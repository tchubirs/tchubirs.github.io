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ssions" sheetId="2" state="visible" r:id="rId2"/>
    <sheet name="Clients" sheetId="3" state="visible" r:id="rId3"/>
    <sheet name="Packages" sheetId="4" state="visible" r:id="rId4"/>
    <sheet name="Check-ins" sheetId="5" state="visible" r:id="rId5"/>
    <sheet name="Report" sheetId="6" state="visible" r:id="rId6"/>
    <sheet name="Settings" sheetId="7" state="visible" r:id="rId7"/>
    <sheet name="Start He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 MMM YYYY"/>
    <numFmt numFmtId="166" formatCode="hh:mm"/>
    <numFmt numFmtId="167" formatCode="0.#"/>
    <numFmt numFmtId="168" formatCode="0.##"/>
    <numFmt numFmtId="169" formatCode="+0.#;-0.#;0"/>
    <numFmt numFmtId="170" formatCode="ddd d mmm"/>
  </numFmts>
  <fonts count="18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color rgb="001E2A2F"/>
      <sz val="11"/>
    </font>
    <font>
      <name val="Arial"/>
      <b val="1"/>
      <color rgb="0015525A"/>
      <sz val="11"/>
    </font>
    <font>
      <name val="Arial"/>
      <b val="1"/>
      <color rgb="00FFFFFF"/>
      <sz val="11"/>
    </font>
    <font>
      <name val="Arial"/>
      <b val="1"/>
      <color rgb="0015525A"/>
      <sz val="18"/>
    </font>
    <font>
      <name val="Arial"/>
      <b val="1"/>
      <color rgb="001E2A2F"/>
      <sz val="12"/>
    </font>
    <font>
      <color rgb="00FFFFFF"/>
      <sz val="8"/>
    </font>
    <font>
      <name val="Arial"/>
      <i val="1"/>
      <color rgb="006B7B80"/>
      <sz val="8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86E1C"/>
      <sz val="16"/>
    </font>
    <font>
      <name val="Arial"/>
      <b val="1"/>
      <color rgb="00B23B2E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/>
      <top style="thin">
        <color rgb="00D5DBDB"/>
      </top>
      <bottom style="thin">
        <color rgb="00D5DBDB"/>
      </bottom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2" fillId="2" borderId="1" pivotButton="0" quotePrefix="0" xfId="0"/>
    <xf numFmtId="1" fontId="13" fillId="2" borderId="1" applyAlignment="1" pivotButton="0" quotePrefix="0" xfId="0">
      <alignment horizontal="right"/>
    </xf>
    <xf numFmtId="1" fontId="14" fillId="2" borderId="1" applyAlignment="1" pivotButton="0" quotePrefix="0" xfId="0">
      <alignment horizontal="right"/>
    </xf>
    <xf numFmtId="4" fontId="13" fillId="2" borderId="1" applyAlignment="1" pivotButton="0" quotePrefix="0" xfId="0">
      <alignment horizontal="right"/>
    </xf>
    <xf numFmtId="4" fontId="15" fillId="2" borderId="1" applyAlignment="1" pivotButton="0" quotePrefix="0" xfId="0">
      <alignment horizontal="right"/>
    </xf>
    <xf numFmtId="0" fontId="7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2" borderId="1" pivotButton="0" quotePrefix="0" xfId="0"/>
    <xf numFmtId="0" fontId="5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170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4" fontId="5" fillId="2" borderId="1" pivotButton="0" quotePrefix="0" xfId="0"/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1" fontId="3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4" fontId="5" fillId="3" borderId="1" pivotButton="0" quotePrefix="0" xfId="0"/>
    <xf numFmtId="0" fontId="3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0" fontId="8" fillId="2" borderId="0" pivotButton="0" quotePrefix="0" xfId="0"/>
    <xf numFmtId="0" fontId="4" fillId="2" borderId="0" pivotButton="0" quotePrefix="0" xfId="0"/>
    <xf numFmtId="0" fontId="9" fillId="2" borderId="0" pivotButton="0" quotePrefix="0" xfId="0"/>
    <xf numFmtId="0" fontId="0" fillId="0" borderId="4" pivotButton="0" quotePrefix="0" xfId="0"/>
    <xf numFmtId="0" fontId="3" fillId="2" borderId="0" pivotButton="0" quotePrefix="0" xfId="0"/>
    <xf numFmtId="0" fontId="5" fillId="2" borderId="0" applyAlignment="1" pivotButton="0" quotePrefix="0" xfId="0">
      <alignment horizontal="left"/>
    </xf>
    <xf numFmtId="165" fontId="5" fillId="2" borderId="0" applyAlignment="1" pivotButton="0" quotePrefix="0" xfId="0">
      <alignment horizontal="left"/>
    </xf>
    <xf numFmtId="1" fontId="5" fillId="2" borderId="0" applyAlignment="1" pivotButton="0" quotePrefix="0" xfId="0">
      <alignment horizontal="left"/>
    </xf>
    <xf numFmtId="9" fontId="5" fillId="2" borderId="0" applyAlignment="1" pivotButton="0" quotePrefix="0" xfId="0">
      <alignment horizontal="left"/>
    </xf>
    <xf numFmtId="167" fontId="5" fillId="2" borderId="1" applyAlignment="1" pivotButton="0" quotePrefix="0" xfId="0">
      <alignment horizontal="center" vertical="center"/>
    </xf>
    <xf numFmtId="169" fontId="3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3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10" fillId="2" borderId="0" pivotButton="0" quotePrefix="0" xfId="0"/>
    <xf numFmtId="0" fontId="5" fillId="2" borderId="0" applyAlignment="1" pivotButton="0" quotePrefix="0" xfId="0">
      <alignment vertical="top" wrapText="1"/>
    </xf>
    <xf numFmtId="0" fontId="11" fillId="2" borderId="0" pivotButton="0" quotePrefix="0" xfId="0"/>
    <xf numFmtId="0" fontId="16" fillId="2" borderId="0" pivotButton="0" quotePrefix="0" xfId="0"/>
    <xf numFmtId="0" fontId="17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Sessions each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'Dashboard'!C19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'Dashboard'!$B$20:$B$31</f>
            </numRef>
          </cat>
          <val>
            <numRef>
              <f>'Dashboard'!$C$20:$C$31</f>
            </numRef>
          </val>
        </ser>
        <ser>
          <idx val="1"/>
          <order val="1"/>
          <tx>
            <strRef>
              <f>'Dashboard'!D19</f>
            </strRef>
          </tx>
          <spPr>
            <a:solidFill>
              <a:srgbClr val="E39A4B"/>
            </a:solidFill>
            <a:ln>
              <a:prstDash val="solid"/>
            </a:ln>
          </spPr>
          <cat>
            <numRef>
              <f>'Dashboard'!$B$20:$B$31</f>
            </numRef>
          </cat>
          <val>
            <numRef>
              <f>'Dashboard'!$D$20:$D$31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spPr>
            <a:ln w="28000">
              <a:solidFill>
                <a:srgbClr val="1F6F78"/>
              </a:solidFill>
              <a:prstDash val="solid"/>
            </a:ln>
          </spPr>
          <marker>
            <symbol val="circle"/>
            <spPr>
              <a:solidFill>
                <a:srgbClr val="1F6F78"/>
              </a:solidFill>
              <a:ln>
                <a:solidFill>
                  <a:srgbClr val="1F6F78"/>
                </a:solidFill>
                <a:prstDash val="solid"/>
              </a:ln>
            </spPr>
          </marker>
          <cat>
            <numRef>
              <f>'Report'!$B$30:$B$41</f>
            </numRef>
          </cat>
          <val>
            <numRef>
              <f>'Report'!$C$30:$C$41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18</row>
      <rowOff>0</rowOff>
    </from>
    <ext cx="414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28</row>
      <rowOff>0</rowOff>
    </from>
    <ext cx="486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3" customWidth="1" min="3" max="3"/>
    <col width="13" customWidth="1" min="4" max="4"/>
    <col width="13" customWidth="1" min="5" max="5"/>
    <col width="3" customWidth="1" min="6" max="6"/>
    <col width="20" customWidth="1" min="7" max="7"/>
    <col width="13" customWidth="1" min="8" max="8"/>
    <col width="13" customWidth="1" min="9" max="9"/>
    <col width="3" customWidth="1" min="10" max="10"/>
    <col hidden="1" width="13" customWidth="1" min="12" max="12"/>
    <col hidden="1" width="1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>
        <f>IF(Settings!$C$4="","Clients and sessions",Settings!$C$4)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>
        <f>"This month, "&amp;CHOOSE(MONTH(TODAY()),"January","February","March","April","May","June","July","August","September","October","November","December")&amp;": the sessions, what was sold, and who needs you."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4" t="inlineStr">
        <is>
          <t>Active clients</t>
        </is>
      </c>
      <c r="C4" s="4" t="inlineStr">
        <is>
          <t>Sessions</t>
        </is>
      </c>
      <c r="D4" s="4" t="inlineStr">
        <is>
          <t>Missed</t>
        </is>
      </c>
      <c r="E4" s="4" t="inlineStr">
        <is>
          <t>Sold</t>
        </is>
      </c>
      <c r="F4" s="1" t="n"/>
      <c r="G4" s="4" t="inlineStr">
        <is>
          <t>Owed to you</t>
        </is>
      </c>
      <c r="H4" s="4" t="inlineStr">
        <is>
          <t>Few sessions left</t>
        </is>
      </c>
      <c r="I4" s="4" t="inlineStr">
        <is>
          <t>Check-ins due</t>
        </is>
      </c>
      <c r="J4" s="1" t="n"/>
      <c r="K4" s="1" t="n"/>
    </row>
    <row r="5" ht="34" customHeight="1">
      <c r="A5" s="1" t="n"/>
      <c r="B5" s="5">
        <f>SUM(Clients!$V$6:$V$105)</f>
        <v/>
      </c>
      <c r="C5" s="5">
        <f>SUMIFS(Sessions!$L$6:$L$3005,Sessions!$J$6:$J$3005,(YEAR(TODAY())*100+MONTH(TODAY())))</f>
        <v/>
      </c>
      <c r="D5" s="6">
        <f>SUMIFS(Sessions!$M$6:$M$3005,Sessions!$J$6:$J$3005,(YEAR(TODAY())*100+MONTH(TODAY())))</f>
        <v/>
      </c>
      <c r="E5" s="7">
        <f>SUMIFS(Packages!$E$6:$E$505,Packages!$L$6:$L$505,(YEAR(TODAY())*100+MONTH(TODAY())),Packages!$M$6:$M$505,1)</f>
        <v/>
      </c>
      <c r="F5" s="1" t="n"/>
      <c r="G5" s="8">
        <f>SUM(Clients!$O$6:$O$105)</f>
        <v/>
      </c>
      <c r="H5" s="6">
        <f>SUM(Clients!$T$6:$T$105)</f>
        <v/>
      </c>
      <c r="I5" s="5">
        <f>SUM(Clients!$U$6:$U$105)</f>
        <v/>
      </c>
      <c r="J5" s="1" t="n"/>
      <c r="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9" t="inlineStr">
        <is>
          <t>Needs attention</t>
        </is>
      </c>
      <c r="C7" s="9" t="inlineStr">
        <is>
          <t>Why</t>
        </is>
      </c>
      <c r="D7" s="10" t="n"/>
      <c r="E7" s="9" t="inlineStr">
        <is>
          <t>Left</t>
        </is>
      </c>
      <c r="F7" s="1" t="n"/>
      <c r="G7" s="9" t="inlineStr">
        <is>
          <t>Coming up</t>
        </is>
      </c>
      <c r="H7" s="9" t="inlineStr">
        <is>
          <t>Date</t>
        </is>
      </c>
      <c r="I7" s="9" t="inlineStr">
        <is>
          <t>Time</t>
        </is>
      </c>
      <c r="J7" s="1" t="n"/>
      <c r="K7" s="1" t="n"/>
    </row>
    <row r="8" ht="18" customHeight="1">
      <c r="A8" s="1" t="n"/>
      <c r="B8" s="11">
        <f>IF(L8="","",INDEX(Clients!$B$1:$B$105,L8))</f>
        <v/>
      </c>
      <c r="C8" s="12">
        <f>IF(L8="","",INDEX(Clients!$P$1:$P$105,L8))</f>
        <v/>
      </c>
      <c r="D8" s="10" t="n"/>
      <c r="E8" s="13">
        <f>IF(L8="","",IF(INDEX(Clients!$J$1:$J$105,L8)=0,"",INDEX(Clients!$L$1:$L$105,L8)))</f>
        <v/>
      </c>
      <c r="F8" s="1" t="n"/>
      <c r="G8" s="11">
        <f>IF(M8="","",INDEX(Sessions!$D$1:$D$3005,MOD(M8,10000)))</f>
        <v/>
      </c>
      <c r="H8" s="14">
        <f>IF(M8="","",INDEX(Sessions!$B$1:$B$3005,MOD(M8,10000)))</f>
        <v/>
      </c>
      <c r="I8" s="15">
        <f>IF(M8="","",IF(INDEX(Sessions!$C$1:$C$3005,MOD(M8,10000))="","",INDEX(Sessions!$C$1:$C$3005,MOD(M8,10000))))</f>
        <v/>
      </c>
      <c r="J8" s="1" t="n"/>
      <c r="K8" s="1" t="n"/>
      <c r="L8">
        <f>IFERROR(SMALL(Clients!$R$6:$R$105,1),"")</f>
        <v/>
      </c>
      <c r="M8">
        <f>IFERROR(SMALL(Sessions!$N$6:$N$3005,1),"")</f>
        <v/>
      </c>
    </row>
    <row r="9" ht="18" customHeight="1">
      <c r="A9" s="1" t="n"/>
      <c r="B9" s="11">
        <f>IF(L9="","",INDEX(Clients!$B$1:$B$105,L9))</f>
        <v/>
      </c>
      <c r="C9" s="12">
        <f>IF(L9="","",INDEX(Clients!$P$1:$P$105,L9))</f>
        <v/>
      </c>
      <c r="D9" s="10" t="n"/>
      <c r="E9" s="13">
        <f>IF(L9="","",IF(INDEX(Clients!$J$1:$J$105,L9)=0,"",INDEX(Clients!$L$1:$L$105,L9)))</f>
        <v/>
      </c>
      <c r="F9" s="1" t="n"/>
      <c r="G9" s="11">
        <f>IF(M9="","",INDEX(Sessions!$D$1:$D$3005,MOD(M9,10000)))</f>
        <v/>
      </c>
      <c r="H9" s="14">
        <f>IF(M9="","",INDEX(Sessions!$B$1:$B$3005,MOD(M9,10000)))</f>
        <v/>
      </c>
      <c r="I9" s="15">
        <f>IF(M9="","",IF(INDEX(Sessions!$C$1:$C$3005,MOD(M9,10000))="","",INDEX(Sessions!$C$1:$C$3005,MOD(M9,10000))))</f>
        <v/>
      </c>
      <c r="J9" s="1" t="n"/>
      <c r="K9" s="1" t="n"/>
      <c r="L9">
        <f>IFERROR(SMALL(Clients!$R$6:$R$105,2),"")</f>
        <v/>
      </c>
      <c r="M9">
        <f>IFERROR(SMALL(Sessions!$N$6:$N$3005,2),"")</f>
        <v/>
      </c>
    </row>
    <row r="10" ht="18" customHeight="1">
      <c r="A10" s="1" t="n"/>
      <c r="B10" s="11">
        <f>IF(L10="","",INDEX(Clients!$B$1:$B$105,L10))</f>
        <v/>
      </c>
      <c r="C10" s="12">
        <f>IF(L10="","",INDEX(Clients!$P$1:$P$105,L10))</f>
        <v/>
      </c>
      <c r="D10" s="10" t="n"/>
      <c r="E10" s="13">
        <f>IF(L10="","",IF(INDEX(Clients!$J$1:$J$105,L10)=0,"",INDEX(Clients!$L$1:$L$105,L10)))</f>
        <v/>
      </c>
      <c r="F10" s="1" t="n"/>
      <c r="G10" s="11">
        <f>IF(M10="","",INDEX(Sessions!$D$1:$D$3005,MOD(M10,10000)))</f>
        <v/>
      </c>
      <c r="H10" s="14">
        <f>IF(M10="","",INDEX(Sessions!$B$1:$B$3005,MOD(M10,10000)))</f>
        <v/>
      </c>
      <c r="I10" s="15">
        <f>IF(M10="","",IF(INDEX(Sessions!$C$1:$C$3005,MOD(M10,10000))="","",INDEX(Sessions!$C$1:$C$3005,MOD(M10,10000))))</f>
        <v/>
      </c>
      <c r="J10" s="1" t="n"/>
      <c r="K10" s="1" t="n"/>
      <c r="L10">
        <f>IFERROR(SMALL(Clients!$R$6:$R$105,3),"")</f>
        <v/>
      </c>
      <c r="M10">
        <f>IFERROR(SMALL(Sessions!$N$6:$N$3005,3),"")</f>
        <v/>
      </c>
    </row>
    <row r="11" ht="18" customHeight="1">
      <c r="A11" s="1" t="n"/>
      <c r="B11" s="11">
        <f>IF(L11="","",INDEX(Clients!$B$1:$B$105,L11))</f>
        <v/>
      </c>
      <c r="C11" s="12">
        <f>IF(L11="","",INDEX(Clients!$P$1:$P$105,L11))</f>
        <v/>
      </c>
      <c r="D11" s="10" t="n"/>
      <c r="E11" s="13">
        <f>IF(L11="","",IF(INDEX(Clients!$J$1:$J$105,L11)=0,"",INDEX(Clients!$L$1:$L$105,L11)))</f>
        <v/>
      </c>
      <c r="F11" s="1" t="n"/>
      <c r="G11" s="11">
        <f>IF(M11="","",INDEX(Sessions!$D$1:$D$3005,MOD(M11,10000)))</f>
        <v/>
      </c>
      <c r="H11" s="14">
        <f>IF(M11="","",INDEX(Sessions!$B$1:$B$3005,MOD(M11,10000)))</f>
        <v/>
      </c>
      <c r="I11" s="15">
        <f>IF(M11="","",IF(INDEX(Sessions!$C$1:$C$3005,MOD(M11,10000))="","",INDEX(Sessions!$C$1:$C$3005,MOD(M11,10000))))</f>
        <v/>
      </c>
      <c r="J11" s="1" t="n"/>
      <c r="K11" s="1" t="n"/>
      <c r="L11">
        <f>IFERROR(SMALL(Clients!$R$6:$R$105,4),"")</f>
        <v/>
      </c>
      <c r="M11">
        <f>IFERROR(SMALL(Sessions!$N$6:$N$3005,4),"")</f>
        <v/>
      </c>
    </row>
    <row r="12" ht="18" customHeight="1">
      <c r="A12" s="1" t="n"/>
      <c r="B12" s="11">
        <f>IF(L12="","",INDEX(Clients!$B$1:$B$105,L12))</f>
        <v/>
      </c>
      <c r="C12" s="12">
        <f>IF(L12="","",INDEX(Clients!$P$1:$P$105,L12))</f>
        <v/>
      </c>
      <c r="D12" s="10" t="n"/>
      <c r="E12" s="13">
        <f>IF(L12="","",IF(INDEX(Clients!$J$1:$J$105,L12)=0,"",INDEX(Clients!$L$1:$L$105,L12)))</f>
        <v/>
      </c>
      <c r="F12" s="1" t="n"/>
      <c r="G12" s="11">
        <f>IF(M12="","",INDEX(Sessions!$D$1:$D$3005,MOD(M12,10000)))</f>
        <v/>
      </c>
      <c r="H12" s="14">
        <f>IF(M12="","",INDEX(Sessions!$B$1:$B$3005,MOD(M12,10000)))</f>
        <v/>
      </c>
      <c r="I12" s="15">
        <f>IF(M12="","",IF(INDEX(Sessions!$C$1:$C$3005,MOD(M12,10000))="","",INDEX(Sessions!$C$1:$C$3005,MOD(M12,10000))))</f>
        <v/>
      </c>
      <c r="J12" s="1" t="n"/>
      <c r="K12" s="1" t="n"/>
      <c r="L12">
        <f>IFERROR(SMALL(Clients!$R$6:$R$105,5),"")</f>
        <v/>
      </c>
      <c r="M12">
        <f>IFERROR(SMALL(Sessions!$N$6:$N$3005,5),"")</f>
        <v/>
      </c>
    </row>
    <row r="13" ht="18" customHeight="1">
      <c r="A13" s="1" t="n"/>
      <c r="B13" s="11">
        <f>IF(L13="","",INDEX(Clients!$B$1:$B$105,L13))</f>
        <v/>
      </c>
      <c r="C13" s="12">
        <f>IF(L13="","",INDEX(Clients!$P$1:$P$105,L13))</f>
        <v/>
      </c>
      <c r="D13" s="10" t="n"/>
      <c r="E13" s="13">
        <f>IF(L13="","",IF(INDEX(Clients!$J$1:$J$105,L13)=0,"",INDEX(Clients!$L$1:$L$105,L13)))</f>
        <v/>
      </c>
      <c r="F13" s="1" t="n"/>
      <c r="G13" s="11">
        <f>IF(M13="","",INDEX(Sessions!$D$1:$D$3005,MOD(M13,10000)))</f>
        <v/>
      </c>
      <c r="H13" s="14">
        <f>IF(M13="","",INDEX(Sessions!$B$1:$B$3005,MOD(M13,10000)))</f>
        <v/>
      </c>
      <c r="I13" s="15">
        <f>IF(M13="","",IF(INDEX(Sessions!$C$1:$C$3005,MOD(M13,10000))="","",INDEX(Sessions!$C$1:$C$3005,MOD(M13,10000))))</f>
        <v/>
      </c>
      <c r="J13" s="1" t="n"/>
      <c r="K13" s="1" t="n"/>
      <c r="L13">
        <f>IFERROR(SMALL(Clients!$R$6:$R$105,6),"")</f>
        <v/>
      </c>
      <c r="M13">
        <f>IFERROR(SMALL(Sessions!$N$6:$N$3005,6),"")</f>
        <v/>
      </c>
    </row>
    <row r="14" ht="18" customHeight="1">
      <c r="A14" s="1" t="n"/>
      <c r="B14" s="11">
        <f>IF(L14="","",INDEX(Clients!$B$1:$B$105,L14))</f>
        <v/>
      </c>
      <c r="C14" s="12">
        <f>IF(L14="","",INDEX(Clients!$P$1:$P$105,L14))</f>
        <v/>
      </c>
      <c r="D14" s="10" t="n"/>
      <c r="E14" s="13">
        <f>IF(L14="","",IF(INDEX(Clients!$J$1:$J$105,L14)=0,"",INDEX(Clients!$L$1:$L$105,L14)))</f>
        <v/>
      </c>
      <c r="F14" s="1" t="n"/>
      <c r="G14" s="11">
        <f>IF(M14="","",INDEX(Sessions!$D$1:$D$3005,MOD(M14,10000)))</f>
        <v/>
      </c>
      <c r="H14" s="14">
        <f>IF(M14="","",INDEX(Sessions!$B$1:$B$3005,MOD(M14,10000)))</f>
        <v/>
      </c>
      <c r="I14" s="15">
        <f>IF(M14="","",IF(INDEX(Sessions!$C$1:$C$3005,MOD(M14,10000))="","",INDEX(Sessions!$C$1:$C$3005,MOD(M14,10000))))</f>
        <v/>
      </c>
      <c r="J14" s="1" t="n"/>
      <c r="K14" s="1" t="n"/>
      <c r="L14">
        <f>IFERROR(SMALL(Clients!$R$6:$R$105,7),"")</f>
        <v/>
      </c>
      <c r="M14">
        <f>IFERROR(SMALL(Sessions!$N$6:$N$3005,7),"")</f>
        <v/>
      </c>
    </row>
    <row r="15" ht="18" customHeight="1">
      <c r="A15" s="1" t="n"/>
      <c r="B15" s="11">
        <f>IF(L15="","",INDEX(Clients!$B$1:$B$105,L15))</f>
        <v/>
      </c>
      <c r="C15" s="12">
        <f>IF(L15="","",INDEX(Clients!$P$1:$P$105,L15))</f>
        <v/>
      </c>
      <c r="D15" s="10" t="n"/>
      <c r="E15" s="13">
        <f>IF(L15="","",IF(INDEX(Clients!$J$1:$J$105,L15)=0,"",INDEX(Clients!$L$1:$L$105,L15)))</f>
        <v/>
      </c>
      <c r="F15" s="1" t="n"/>
      <c r="G15" s="11">
        <f>IF(M15="","",INDEX(Sessions!$D$1:$D$3005,MOD(M15,10000)))</f>
        <v/>
      </c>
      <c r="H15" s="14">
        <f>IF(M15="","",INDEX(Sessions!$B$1:$B$3005,MOD(M15,10000)))</f>
        <v/>
      </c>
      <c r="I15" s="15">
        <f>IF(M15="","",IF(INDEX(Sessions!$C$1:$C$3005,MOD(M15,10000))="","",INDEX(Sessions!$C$1:$C$3005,MOD(M15,10000))))</f>
        <v/>
      </c>
      <c r="J15" s="1" t="n"/>
      <c r="K15" s="1" t="n"/>
      <c r="L15">
        <f>IFERROR(SMALL(Clients!$R$6:$R$105,8),"")</f>
        <v/>
      </c>
      <c r="M15">
        <f>IFERROR(SMALL(Sessions!$N$6:$N$3005,8),"")</f>
        <v/>
      </c>
    </row>
    <row r="16" ht="18" customHeight="1">
      <c r="A16" s="1" t="n"/>
      <c r="B16" s="11">
        <f>IF(L16="","",INDEX(Clients!$B$1:$B$105,L16))</f>
        <v/>
      </c>
      <c r="C16" s="12">
        <f>IF(L16="","",INDEX(Clients!$P$1:$P$105,L16))</f>
        <v/>
      </c>
      <c r="D16" s="10" t="n"/>
      <c r="E16" s="13">
        <f>IF(L16="","",IF(INDEX(Clients!$J$1:$J$105,L16)=0,"",INDEX(Clients!$L$1:$L$105,L16)))</f>
        <v/>
      </c>
      <c r="F16" s="1" t="n"/>
      <c r="G16" s="11">
        <f>IF(M16="","",INDEX(Sessions!$D$1:$D$3005,MOD(M16,10000)))</f>
        <v/>
      </c>
      <c r="H16" s="14">
        <f>IF(M16="","",INDEX(Sessions!$B$1:$B$3005,MOD(M16,10000)))</f>
        <v/>
      </c>
      <c r="I16" s="15">
        <f>IF(M16="","",IF(INDEX(Sessions!$C$1:$C$3005,MOD(M16,10000))="","",INDEX(Sessions!$C$1:$C$3005,MOD(M16,10000))))</f>
        <v/>
      </c>
      <c r="J16" s="1" t="n"/>
      <c r="K16" s="1" t="n"/>
      <c r="L16">
        <f>IFERROR(SMALL(Clients!$R$6:$R$105,9),"")</f>
        <v/>
      </c>
      <c r="M16">
        <f>IFERROR(SMALL(Sessions!$N$6:$N$3005,9),"")</f>
        <v/>
      </c>
    </row>
    <row r="17" ht="18" customHeight="1">
      <c r="A17" s="1" t="n"/>
      <c r="B17" s="11">
        <f>IF(L17="","",INDEX(Clients!$B$1:$B$105,L17))</f>
        <v/>
      </c>
      <c r="C17" s="12">
        <f>IF(L17="","",INDEX(Clients!$P$1:$P$105,L17))</f>
        <v/>
      </c>
      <c r="D17" s="10" t="n"/>
      <c r="E17" s="13">
        <f>IF(L17="","",IF(INDEX(Clients!$J$1:$J$105,L17)=0,"",INDEX(Clients!$L$1:$L$105,L17)))</f>
        <v/>
      </c>
      <c r="F17" s="1" t="n"/>
      <c r="G17" s="11">
        <f>IF(M17="","",INDEX(Sessions!$D$1:$D$3005,MOD(M17,10000)))</f>
        <v/>
      </c>
      <c r="H17" s="14">
        <f>IF(M17="","",INDEX(Sessions!$B$1:$B$3005,MOD(M17,10000)))</f>
        <v/>
      </c>
      <c r="I17" s="15">
        <f>IF(M17="","",IF(INDEX(Sessions!$C$1:$C$3005,MOD(M17,10000))="","",INDEX(Sessions!$C$1:$C$3005,MOD(M17,10000))))</f>
        <v/>
      </c>
      <c r="J17" s="1" t="n"/>
      <c r="K17" s="1" t="n"/>
      <c r="L17">
        <f>IFERROR(SMALL(Clients!$R$6:$R$105,10),"")</f>
        <v/>
      </c>
      <c r="M17">
        <f>IFERROR(SMALL(Sessions!$N$6:$N$3005,10),"")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30" customHeight="1">
      <c r="A19" s="1" t="n"/>
      <c r="B19" s="9" t="inlineStr">
        <is>
          <t>Month</t>
        </is>
      </c>
      <c r="C19" s="9" t="inlineStr">
        <is>
          <t>Attended</t>
        </is>
      </c>
      <c r="D19" s="9" t="inlineStr">
        <is>
          <t>Missed</t>
        </is>
      </c>
      <c r="E19" s="9" t="inlineStr">
        <is>
          <t>Sold</t>
        </is>
      </c>
      <c r="F19" s="1" t="n"/>
      <c r="G19" s="1" t="n"/>
      <c r="H19" s="1" t="n"/>
      <c r="I19" s="1" t="n"/>
      <c r="J19" s="1" t="n"/>
      <c r="K19" s="1" t="n"/>
    </row>
    <row r="20" ht="18" customHeight="1">
      <c r="A20" s="1" t="n"/>
      <c r="B20" s="11" t="inlineStr">
        <is>
          <t>Jan</t>
        </is>
      </c>
      <c r="C20" s="13">
        <f>SUMIFS(Sessions!$L$6:$L$3005,Sessions!$J$6:$J$3005,(YEAR(TODAY())*100+1))</f>
        <v/>
      </c>
      <c r="D20" s="13">
        <f>SUMIFS(Sessions!$M$6:$M$3005,Sessions!$J$6:$J$3005,(YEAR(TODAY())*100+1))</f>
        <v/>
      </c>
      <c r="E20" s="16">
        <f>SUMIFS(Packages!$E$6:$E$505,Packages!$L$6:$L$505,(YEAR(TODAY())*100+1),Packages!$M$6:$M$505,1)</f>
        <v/>
      </c>
      <c r="F20" s="1" t="n"/>
      <c r="G20" s="1" t="n"/>
      <c r="H20" s="1" t="n"/>
      <c r="I20" s="1" t="n"/>
      <c r="J20" s="1" t="n"/>
      <c r="K20" s="1" t="n"/>
    </row>
    <row r="21" ht="18" customHeight="1">
      <c r="A21" s="1" t="n"/>
      <c r="B21" s="11" t="inlineStr">
        <is>
          <t>Feb</t>
        </is>
      </c>
      <c r="C21" s="13">
        <f>SUMIFS(Sessions!$L$6:$L$3005,Sessions!$J$6:$J$3005,(YEAR(TODAY())*100+2))</f>
        <v/>
      </c>
      <c r="D21" s="13">
        <f>SUMIFS(Sessions!$M$6:$M$3005,Sessions!$J$6:$J$3005,(YEAR(TODAY())*100+2))</f>
        <v/>
      </c>
      <c r="E21" s="16">
        <f>SUMIFS(Packages!$E$6:$E$505,Packages!$L$6:$L$505,(YEAR(TODAY())*100+2),Packages!$M$6:$M$505,1)</f>
        <v/>
      </c>
      <c r="F21" s="1" t="n"/>
      <c r="G21" s="1" t="n"/>
      <c r="H21" s="1" t="n"/>
      <c r="I21" s="1" t="n"/>
      <c r="J21" s="1" t="n"/>
      <c r="K21" s="1" t="n"/>
    </row>
    <row r="22" ht="18" customHeight="1">
      <c r="A22" s="1" t="n"/>
      <c r="B22" s="11" t="inlineStr">
        <is>
          <t>Mar</t>
        </is>
      </c>
      <c r="C22" s="13">
        <f>SUMIFS(Sessions!$L$6:$L$3005,Sessions!$J$6:$J$3005,(YEAR(TODAY())*100+3))</f>
        <v/>
      </c>
      <c r="D22" s="13">
        <f>SUMIFS(Sessions!$M$6:$M$3005,Sessions!$J$6:$J$3005,(YEAR(TODAY())*100+3))</f>
        <v/>
      </c>
      <c r="E22" s="16">
        <f>SUMIFS(Packages!$E$6:$E$505,Packages!$L$6:$L$505,(YEAR(TODAY())*100+3),Packages!$M$6:$M$505,1)</f>
        <v/>
      </c>
      <c r="F22" s="1" t="n"/>
      <c r="G22" s="1" t="n"/>
      <c r="H22" s="1" t="n"/>
      <c r="I22" s="1" t="n"/>
      <c r="J22" s="1" t="n"/>
      <c r="K22" s="1" t="n"/>
    </row>
    <row r="23" ht="18" customHeight="1">
      <c r="A23" s="1" t="n"/>
      <c r="B23" s="11" t="inlineStr">
        <is>
          <t>Apr</t>
        </is>
      </c>
      <c r="C23" s="13">
        <f>SUMIFS(Sessions!$L$6:$L$3005,Sessions!$J$6:$J$3005,(YEAR(TODAY())*100+4))</f>
        <v/>
      </c>
      <c r="D23" s="13">
        <f>SUMIFS(Sessions!$M$6:$M$3005,Sessions!$J$6:$J$3005,(YEAR(TODAY())*100+4))</f>
        <v/>
      </c>
      <c r="E23" s="16">
        <f>SUMIFS(Packages!$E$6:$E$505,Packages!$L$6:$L$505,(YEAR(TODAY())*100+4),Packages!$M$6:$M$505,1)</f>
        <v/>
      </c>
      <c r="F23" s="1" t="n"/>
      <c r="G23" s="1" t="n"/>
      <c r="H23" s="1" t="n"/>
      <c r="I23" s="1" t="n"/>
      <c r="J23" s="1" t="n"/>
      <c r="K23" s="1" t="n"/>
    </row>
    <row r="24" ht="18" customHeight="1">
      <c r="A24" s="1" t="n"/>
      <c r="B24" s="11" t="inlineStr">
        <is>
          <t>May</t>
        </is>
      </c>
      <c r="C24" s="13">
        <f>SUMIFS(Sessions!$L$6:$L$3005,Sessions!$J$6:$J$3005,(YEAR(TODAY())*100+5))</f>
        <v/>
      </c>
      <c r="D24" s="13">
        <f>SUMIFS(Sessions!$M$6:$M$3005,Sessions!$J$6:$J$3005,(YEAR(TODAY())*100+5))</f>
        <v/>
      </c>
      <c r="E24" s="16">
        <f>SUMIFS(Packages!$E$6:$E$505,Packages!$L$6:$L$505,(YEAR(TODAY())*100+5),Packages!$M$6:$M$505,1)</f>
        <v/>
      </c>
      <c r="F24" s="1" t="n"/>
      <c r="G24" s="1" t="n"/>
      <c r="H24" s="1" t="n"/>
      <c r="I24" s="1" t="n"/>
      <c r="J24" s="1" t="n"/>
      <c r="K24" s="1" t="n"/>
    </row>
    <row r="25" ht="18" customHeight="1">
      <c r="A25" s="1" t="n"/>
      <c r="B25" s="11" t="inlineStr">
        <is>
          <t>Jun</t>
        </is>
      </c>
      <c r="C25" s="13">
        <f>SUMIFS(Sessions!$L$6:$L$3005,Sessions!$J$6:$J$3005,(YEAR(TODAY())*100+6))</f>
        <v/>
      </c>
      <c r="D25" s="13">
        <f>SUMIFS(Sessions!$M$6:$M$3005,Sessions!$J$6:$J$3005,(YEAR(TODAY())*100+6))</f>
        <v/>
      </c>
      <c r="E25" s="16">
        <f>SUMIFS(Packages!$E$6:$E$505,Packages!$L$6:$L$505,(YEAR(TODAY())*100+6),Packages!$M$6:$M$505,1)</f>
        <v/>
      </c>
      <c r="F25" s="1" t="n"/>
      <c r="G25" s="1" t="n"/>
      <c r="H25" s="1" t="n"/>
      <c r="I25" s="1" t="n"/>
      <c r="J25" s="1" t="n"/>
      <c r="K25" s="1" t="n"/>
    </row>
    <row r="26" ht="18" customHeight="1">
      <c r="A26" s="1" t="n"/>
      <c r="B26" s="11" t="inlineStr">
        <is>
          <t>Jul</t>
        </is>
      </c>
      <c r="C26" s="13">
        <f>SUMIFS(Sessions!$L$6:$L$3005,Sessions!$J$6:$J$3005,(YEAR(TODAY())*100+7))</f>
        <v/>
      </c>
      <c r="D26" s="13">
        <f>SUMIFS(Sessions!$M$6:$M$3005,Sessions!$J$6:$J$3005,(YEAR(TODAY())*100+7))</f>
        <v/>
      </c>
      <c r="E26" s="16">
        <f>SUMIFS(Packages!$E$6:$E$505,Packages!$L$6:$L$505,(YEAR(TODAY())*100+7),Packages!$M$6:$M$505,1)</f>
        <v/>
      </c>
      <c r="F26" s="1" t="n"/>
      <c r="G26" s="1" t="n"/>
      <c r="H26" s="1" t="n"/>
      <c r="I26" s="1" t="n"/>
      <c r="J26" s="1" t="n"/>
      <c r="K26" s="1" t="n"/>
    </row>
    <row r="27" ht="18" customHeight="1">
      <c r="A27" s="1" t="n"/>
      <c r="B27" s="11" t="inlineStr">
        <is>
          <t>Aug</t>
        </is>
      </c>
      <c r="C27" s="13">
        <f>SUMIFS(Sessions!$L$6:$L$3005,Sessions!$J$6:$J$3005,(YEAR(TODAY())*100+8))</f>
        <v/>
      </c>
      <c r="D27" s="13">
        <f>SUMIFS(Sessions!$M$6:$M$3005,Sessions!$J$6:$J$3005,(YEAR(TODAY())*100+8))</f>
        <v/>
      </c>
      <c r="E27" s="16">
        <f>SUMIFS(Packages!$E$6:$E$505,Packages!$L$6:$L$505,(YEAR(TODAY())*100+8),Packages!$M$6:$M$505,1)</f>
        <v/>
      </c>
      <c r="F27" s="1" t="n"/>
      <c r="G27" s="1" t="n"/>
      <c r="H27" s="1" t="n"/>
      <c r="I27" s="1" t="n"/>
      <c r="J27" s="1" t="n"/>
      <c r="K27" s="1" t="n"/>
    </row>
    <row r="28" ht="18" customHeight="1">
      <c r="A28" s="1" t="n"/>
      <c r="B28" s="11" t="inlineStr">
        <is>
          <t>Sep</t>
        </is>
      </c>
      <c r="C28" s="13">
        <f>SUMIFS(Sessions!$L$6:$L$3005,Sessions!$J$6:$J$3005,(YEAR(TODAY())*100+9))</f>
        <v/>
      </c>
      <c r="D28" s="13">
        <f>SUMIFS(Sessions!$M$6:$M$3005,Sessions!$J$6:$J$3005,(YEAR(TODAY())*100+9))</f>
        <v/>
      </c>
      <c r="E28" s="16">
        <f>SUMIFS(Packages!$E$6:$E$505,Packages!$L$6:$L$505,(YEAR(TODAY())*100+9),Packages!$M$6:$M$505,1)</f>
        <v/>
      </c>
      <c r="F28" s="1" t="n"/>
      <c r="G28" s="1" t="n"/>
      <c r="H28" s="1" t="n"/>
      <c r="I28" s="1" t="n"/>
      <c r="J28" s="1" t="n"/>
      <c r="K28" s="1" t="n"/>
    </row>
    <row r="29" ht="18" customHeight="1">
      <c r="A29" s="1" t="n"/>
      <c r="B29" s="11" t="inlineStr">
        <is>
          <t>Oct</t>
        </is>
      </c>
      <c r="C29" s="13">
        <f>SUMIFS(Sessions!$L$6:$L$3005,Sessions!$J$6:$J$3005,(YEAR(TODAY())*100+10))</f>
        <v/>
      </c>
      <c r="D29" s="13">
        <f>SUMIFS(Sessions!$M$6:$M$3005,Sessions!$J$6:$J$3005,(YEAR(TODAY())*100+10))</f>
        <v/>
      </c>
      <c r="E29" s="16">
        <f>SUMIFS(Packages!$E$6:$E$505,Packages!$L$6:$L$505,(YEAR(TODAY())*100+10),Packages!$M$6:$M$505,1)</f>
        <v/>
      </c>
      <c r="F29" s="1" t="n"/>
      <c r="G29" s="1" t="n"/>
      <c r="H29" s="1" t="n"/>
      <c r="I29" s="1" t="n"/>
      <c r="J29" s="1" t="n"/>
      <c r="K29" s="1" t="n"/>
    </row>
    <row r="30" ht="18" customHeight="1">
      <c r="A30" s="1" t="n"/>
      <c r="B30" s="11" t="inlineStr">
        <is>
          <t>Nov</t>
        </is>
      </c>
      <c r="C30" s="13">
        <f>SUMIFS(Sessions!$L$6:$L$3005,Sessions!$J$6:$J$3005,(YEAR(TODAY())*100+11))</f>
        <v/>
      </c>
      <c r="D30" s="13">
        <f>SUMIFS(Sessions!$M$6:$M$3005,Sessions!$J$6:$J$3005,(YEAR(TODAY())*100+11))</f>
        <v/>
      </c>
      <c r="E30" s="16">
        <f>SUMIFS(Packages!$E$6:$E$505,Packages!$L$6:$L$505,(YEAR(TODAY())*100+11),Packages!$M$6:$M$505,1)</f>
        <v/>
      </c>
      <c r="F30" s="1" t="n"/>
      <c r="G30" s="1" t="n"/>
      <c r="H30" s="1" t="n"/>
      <c r="I30" s="1" t="n"/>
      <c r="J30" s="1" t="n"/>
      <c r="K30" s="1" t="n"/>
    </row>
    <row r="31" ht="18" customHeight="1">
      <c r="A31" s="1" t="n"/>
      <c r="B31" s="11" t="inlineStr">
        <is>
          <t>Dec</t>
        </is>
      </c>
      <c r="C31" s="13">
        <f>SUMIFS(Sessions!$L$6:$L$3005,Sessions!$J$6:$J$3005,(YEAR(TODAY())*100+12))</f>
        <v/>
      </c>
      <c r="D31" s="13">
        <f>SUMIFS(Sessions!$M$6:$M$3005,Sessions!$J$6:$J$3005,(YEAR(TODAY())*100+12))</f>
        <v/>
      </c>
      <c r="E31" s="16">
        <f>SUMIFS(Packages!$E$6:$E$505,Packages!$L$6:$L$505,(YEAR(TODAY())*100+12),Packages!$M$6:$M$505,1)</f>
        <v/>
      </c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</sheetData>
  <mergeCells count="11">
    <mergeCell ref="C12:D12"/>
    <mergeCell ref="C10:D10"/>
    <mergeCell ref="C7:D7"/>
    <mergeCell ref="C16:D16"/>
    <mergeCell ref="C15:D15"/>
    <mergeCell ref="C11:D11"/>
    <mergeCell ref="C14:D14"/>
    <mergeCell ref="C13:D13"/>
    <mergeCell ref="C9:D9"/>
    <mergeCell ref="C17:D17"/>
    <mergeCell ref="C8:D8"/>
  </mergeCells>
  <conditionalFormatting sqref="C8:C17">
    <cfRule type="expression" priority="1" dxfId="0">
      <formula>OR(C8="Owes money",C8="No sessions left")</formula>
    </cfRule>
    <cfRule type="expression" priority="2" dxfId="1">
      <formula>C8&lt;&gt;""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006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8" customWidth="1" min="3" max="3"/>
    <col width="18" customWidth="1" min="4" max="4"/>
    <col width="12" customWidth="1" min="5" max="5"/>
    <col width="13" customWidth="1" min="6" max="6"/>
    <col width="26" customWidth="1" min="7" max="7"/>
    <col width="18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Sessions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Each session, booked ahead or done. Leave the status empty until it has happened.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9" t="inlineStr">
        <is>
          <t>Date</t>
        </is>
      </c>
      <c r="C5" s="9" t="inlineStr">
        <is>
          <t>Time</t>
        </is>
      </c>
      <c r="D5" s="9" t="inlineStr">
        <is>
          <t>Client</t>
        </is>
      </c>
      <c r="E5" s="9" t="inlineStr">
        <is>
          <t>Type</t>
        </is>
      </c>
      <c r="F5" s="9" t="inlineStr">
        <is>
          <t>Status</t>
        </is>
      </c>
      <c r="G5" s="9" t="inlineStr">
        <is>
          <t>Note</t>
        </is>
      </c>
      <c r="H5" s="9" t="inlineStr">
        <is>
          <t>Check</t>
        </is>
      </c>
      <c r="I5" s="1" t="n"/>
    </row>
    <row r="6">
      <c r="A6" s="1" t="n"/>
      <c r="B6" s="17" t="n">
        <v>45993</v>
      </c>
      <c r="C6" s="18" t="n">
        <v>0.7291666666666666</v>
      </c>
      <c r="D6" s="19" t="inlineStr">
        <is>
          <t>Hannah Brooks</t>
        </is>
      </c>
      <c r="E6" s="20" t="inlineStr">
        <is>
          <t>Duo</t>
        </is>
      </c>
      <c r="F6" s="20" t="inlineStr">
        <is>
          <t>Attended</t>
        </is>
      </c>
      <c r="G6" s="21" t="n"/>
      <c r="H6" s="12">
        <f>IF(AND(B6="",D6="",F6=""),"",IF(NOT(ISNUMBER(B6)),"Needs a date",IF(D6="","Needs a client",IF(COUNTIF(Clients!$B$6:$B$105,D6)=0,"Not on Clients",IF(AND(F6="",INT(B6)&lt;TODAY()),"Needs a status","")))))</f>
        <v/>
      </c>
      <c r="I6" s="1">
        <f>IF(ISNUMBER(B6),INT(B6),0)</f>
        <v/>
      </c>
      <c r="J6">
        <f>IF(ISNUMBER(B6),YEAR(B6)*100+MONTH(B6),"")</f>
        <v/>
      </c>
      <c r="K6">
        <f>IF(AND(H6="",OR(F6="Attended",F6="No-show",AND(F6="Late cancel",Settings!$C$9="Yes"))),1,0)</f>
        <v/>
      </c>
      <c r="L6">
        <f>IF(AND(H6="",F6="Attended"),1,0)</f>
        <v/>
      </c>
      <c r="M6">
        <f>IF(AND(H6="",OR(F6="No-show",F6="Late cancel")),1,0)</f>
        <v/>
      </c>
      <c r="N6">
        <f>IF(AND(H6="",F6="",D6&lt;&gt;"",I6&gt;=TODAY()),ROUND((I6+IF(ISNUMBER(C6),MOD(C6,1),0))*1440,0)*10000+ROW(),"")</f>
        <v/>
      </c>
    </row>
    <row r="7">
      <c r="A7" s="1" t="n"/>
      <c r="B7" s="17" t="n">
        <v>45996</v>
      </c>
      <c r="C7" s="18" t="n">
        <v>0.7291666666666666</v>
      </c>
      <c r="D7" s="19" t="inlineStr">
        <is>
          <t>Hannah Brooks</t>
        </is>
      </c>
      <c r="E7" s="20" t="inlineStr">
        <is>
          <t>Duo</t>
        </is>
      </c>
      <c r="F7" s="20" t="inlineStr">
        <is>
          <t>Attended</t>
        </is>
      </c>
      <c r="G7" s="21" t="n"/>
      <c r="H7" s="12">
        <f>IF(AND(B7="",D7="",F7=""),"",IF(NOT(ISNUMBER(B7)),"Needs a date",IF(D7="","Needs a client",IF(COUNTIF(Clients!$B$6:$B$105,D7)=0,"Not on Clients",IF(AND(F7="",INT(B7)&lt;TODAY()),"Needs a status","")))))</f>
        <v/>
      </c>
      <c r="I7" s="1">
        <f>IF(ISNUMBER(B7),INT(B7),0)</f>
        <v/>
      </c>
      <c r="J7">
        <f>IF(ISNUMBER(B7),YEAR(B7)*100+MONTH(B7),"")</f>
        <v/>
      </c>
      <c r="K7">
        <f>IF(AND(H7="",OR(F7="Attended",F7="No-show",AND(F7="Late cancel",Settings!$C$9="Yes"))),1,0)</f>
        <v/>
      </c>
      <c r="L7">
        <f>IF(AND(H7="",F7="Attended"),1,0)</f>
        <v/>
      </c>
      <c r="M7">
        <f>IF(AND(H7="",OR(F7="No-show",F7="Late cancel")),1,0)</f>
        <v/>
      </c>
      <c r="N7">
        <f>IF(AND(H7="",F7="",D7&lt;&gt;"",I7&gt;=TODAY()),ROUND((I7+IF(ISNUMBER(C7),MOD(C7,1),0))*1440,0)*10000+ROW(),"")</f>
        <v/>
      </c>
    </row>
    <row r="8">
      <c r="A8" s="1" t="n"/>
      <c r="B8" s="17" t="n">
        <v>46000</v>
      </c>
      <c r="C8" s="18" t="n">
        <v>0.7291666666666666</v>
      </c>
      <c r="D8" s="19" t="inlineStr">
        <is>
          <t>Hannah Brooks</t>
        </is>
      </c>
      <c r="E8" s="20" t="inlineStr">
        <is>
          <t>Duo</t>
        </is>
      </c>
      <c r="F8" s="20" t="inlineStr">
        <is>
          <t>Attended</t>
        </is>
      </c>
      <c r="G8" s="21" t="n"/>
      <c r="H8" s="12">
        <f>IF(AND(B8="",D8="",F8=""),"",IF(NOT(ISNUMBER(B8)),"Needs a date",IF(D8="","Needs a client",IF(COUNTIF(Clients!$B$6:$B$105,D8)=0,"Not on Clients",IF(AND(F8="",INT(B8)&lt;TODAY()),"Needs a status","")))))</f>
        <v/>
      </c>
      <c r="I8" s="1">
        <f>IF(ISNUMBER(B8),INT(B8),0)</f>
        <v/>
      </c>
      <c r="J8">
        <f>IF(ISNUMBER(B8),YEAR(B8)*100+MONTH(B8),"")</f>
        <v/>
      </c>
      <c r="K8">
        <f>IF(AND(H8="",OR(F8="Attended",F8="No-show",AND(F8="Late cancel",Settings!$C$9="Yes"))),1,0)</f>
        <v/>
      </c>
      <c r="L8">
        <f>IF(AND(H8="",F8="Attended"),1,0)</f>
        <v/>
      </c>
      <c r="M8">
        <f>IF(AND(H8="",OR(F8="No-show",F8="Late cancel")),1,0)</f>
        <v/>
      </c>
      <c r="N8">
        <f>IF(AND(H8="",F8="",D8&lt;&gt;"",I8&gt;=TODAY()),ROUND((I8+IF(ISNUMBER(C8),MOD(C8,1),0))*1440,0)*10000+ROW(),"")</f>
        <v/>
      </c>
    </row>
    <row r="9">
      <c r="A9" s="1" t="n"/>
      <c r="B9" s="17" t="n">
        <v>46003</v>
      </c>
      <c r="C9" s="18" t="n">
        <v>0.7291666666666666</v>
      </c>
      <c r="D9" s="19" t="inlineStr">
        <is>
          <t>Hannah Brooks</t>
        </is>
      </c>
      <c r="E9" s="20" t="inlineStr">
        <is>
          <t>Duo</t>
        </is>
      </c>
      <c r="F9" s="20" t="inlineStr">
        <is>
          <t>Attended</t>
        </is>
      </c>
      <c r="G9" s="21" t="n"/>
      <c r="H9" s="12">
        <f>IF(AND(B9="",D9="",F9=""),"",IF(NOT(ISNUMBER(B9)),"Needs a date",IF(D9="","Needs a client",IF(COUNTIF(Clients!$B$6:$B$105,D9)=0,"Not on Clients",IF(AND(F9="",INT(B9)&lt;TODAY()),"Needs a status","")))))</f>
        <v/>
      </c>
      <c r="I9" s="1">
        <f>IF(ISNUMBER(B9),INT(B9),0)</f>
        <v/>
      </c>
      <c r="J9">
        <f>IF(ISNUMBER(B9),YEAR(B9)*100+MONTH(B9),"")</f>
        <v/>
      </c>
      <c r="K9">
        <f>IF(AND(H9="",OR(F9="Attended",F9="No-show",AND(F9="Late cancel",Settings!$C$9="Yes"))),1,0)</f>
        <v/>
      </c>
      <c r="L9">
        <f>IF(AND(H9="",F9="Attended"),1,0)</f>
        <v/>
      </c>
      <c r="M9">
        <f>IF(AND(H9="",OR(F9="No-show",F9="Late cancel")),1,0)</f>
        <v/>
      </c>
      <c r="N9">
        <f>IF(AND(H9="",F9="",D9&lt;&gt;"",I9&gt;=TODAY()),ROUND((I9+IF(ISNUMBER(C9),MOD(C9,1),0))*1440,0)*10000+ROW(),"")</f>
        <v/>
      </c>
    </row>
    <row r="10">
      <c r="A10" s="1" t="n"/>
      <c r="B10" s="17" t="n">
        <v>46007</v>
      </c>
      <c r="C10" s="18" t="n">
        <v>0.7291666666666666</v>
      </c>
      <c r="D10" s="19" t="inlineStr">
        <is>
          <t>Hannah Brooks</t>
        </is>
      </c>
      <c r="E10" s="20" t="inlineStr">
        <is>
          <t>Duo</t>
        </is>
      </c>
      <c r="F10" s="20" t="inlineStr">
        <is>
          <t>No-show</t>
        </is>
      </c>
      <c r="G10" s="21" t="n"/>
      <c r="H10" s="12">
        <f>IF(AND(B10="",D10="",F10=""),"",IF(NOT(ISNUMBER(B10)),"Needs a date",IF(D10="","Needs a client",IF(COUNTIF(Clients!$B$6:$B$105,D10)=0,"Not on Clients",IF(AND(F10="",INT(B10)&lt;TODAY()),"Needs a status","")))))</f>
        <v/>
      </c>
      <c r="I10" s="1">
        <f>IF(ISNUMBER(B10),INT(B10),0)</f>
        <v/>
      </c>
      <c r="J10">
        <f>IF(ISNUMBER(B10),YEAR(B10)*100+MONTH(B10),"")</f>
        <v/>
      </c>
      <c r="K10">
        <f>IF(AND(H10="",OR(F10="Attended",F10="No-show",AND(F10="Late cancel",Settings!$C$9="Yes"))),1,0)</f>
        <v/>
      </c>
      <c r="L10">
        <f>IF(AND(H10="",F10="Attended"),1,0)</f>
        <v/>
      </c>
      <c r="M10">
        <f>IF(AND(H10="",OR(F10="No-show",F10="Late cancel")),1,0)</f>
        <v/>
      </c>
      <c r="N10">
        <f>IF(AND(H10="",F10="",D10&lt;&gt;"",I10&gt;=TODAY()),ROUND((I10+IF(ISNUMBER(C10),MOD(C10,1),0))*1440,0)*10000+ROW(),"")</f>
        <v/>
      </c>
    </row>
    <row r="11">
      <c r="A11" s="1" t="n"/>
      <c r="B11" s="17" t="n">
        <v>46010</v>
      </c>
      <c r="C11" s="18" t="n">
        <v>0.7291666666666666</v>
      </c>
      <c r="D11" s="19" t="inlineStr">
        <is>
          <t>Hannah Brooks</t>
        </is>
      </c>
      <c r="E11" s="20" t="inlineStr">
        <is>
          <t>Duo</t>
        </is>
      </c>
      <c r="F11" s="20" t="inlineStr">
        <is>
          <t>Attended</t>
        </is>
      </c>
      <c r="G11" s="21" t="n"/>
      <c r="H11" s="12">
        <f>IF(AND(B11="",D11="",F11=""),"",IF(NOT(ISNUMBER(B11)),"Needs a date",IF(D11="","Needs a client",IF(COUNTIF(Clients!$B$6:$B$105,D11)=0,"Not on Clients",IF(AND(F11="",INT(B11)&lt;TODAY()),"Needs a status","")))))</f>
        <v/>
      </c>
      <c r="I11" s="1">
        <f>IF(ISNUMBER(B11),INT(B11),0)</f>
        <v/>
      </c>
      <c r="J11">
        <f>IF(ISNUMBER(B11),YEAR(B11)*100+MONTH(B11),"")</f>
        <v/>
      </c>
      <c r="K11">
        <f>IF(AND(H11="",OR(F11="Attended",F11="No-show",AND(F11="Late cancel",Settings!$C$9="Yes"))),1,0)</f>
        <v/>
      </c>
      <c r="L11">
        <f>IF(AND(H11="",F11="Attended"),1,0)</f>
        <v/>
      </c>
      <c r="M11">
        <f>IF(AND(H11="",OR(F11="No-show",F11="Late cancel")),1,0)</f>
        <v/>
      </c>
      <c r="N11">
        <f>IF(AND(H11="",F11="",D11&lt;&gt;"",I11&gt;=TODAY()),ROUND((I11+IF(ISNUMBER(C11),MOD(C11,1),0))*1440,0)*10000+ROW(),"")</f>
        <v/>
      </c>
    </row>
    <row r="12">
      <c r="A12" s="1" t="n"/>
      <c r="B12" s="17" t="n">
        <v>46014</v>
      </c>
      <c r="C12" s="18" t="n">
        <v>0.7291666666666666</v>
      </c>
      <c r="D12" s="19" t="inlineStr">
        <is>
          <t>Hannah Brooks</t>
        </is>
      </c>
      <c r="E12" s="20" t="inlineStr">
        <is>
          <t>Duo</t>
        </is>
      </c>
      <c r="F12" s="20" t="inlineStr">
        <is>
          <t>Attended</t>
        </is>
      </c>
      <c r="G12" s="21" t="n"/>
      <c r="H12" s="12">
        <f>IF(AND(B12="",D12="",F12=""),"",IF(NOT(ISNUMBER(B12)),"Needs a date",IF(D12="","Needs a client",IF(COUNTIF(Clients!$B$6:$B$105,D12)=0,"Not on Clients",IF(AND(F12="",INT(B12)&lt;TODAY()),"Needs a status","")))))</f>
        <v/>
      </c>
      <c r="I12" s="1">
        <f>IF(ISNUMBER(B12),INT(B12),0)</f>
        <v/>
      </c>
      <c r="J12">
        <f>IF(ISNUMBER(B12),YEAR(B12)*100+MONTH(B12),"")</f>
        <v/>
      </c>
      <c r="K12">
        <f>IF(AND(H12="",OR(F12="Attended",F12="No-show",AND(F12="Late cancel",Settings!$C$9="Yes"))),1,0)</f>
        <v/>
      </c>
      <c r="L12">
        <f>IF(AND(H12="",F12="Attended"),1,0)</f>
        <v/>
      </c>
      <c r="M12">
        <f>IF(AND(H12="",OR(F12="No-show",F12="Late cancel")),1,0)</f>
        <v/>
      </c>
      <c r="N12">
        <f>IF(AND(H12="",F12="",D12&lt;&gt;"",I12&gt;=TODAY()),ROUND((I12+IF(ISNUMBER(C12),MOD(C12,1),0))*1440,0)*10000+ROW(),"")</f>
        <v/>
      </c>
    </row>
    <row r="13">
      <c r="A13" s="1" t="n"/>
      <c r="B13" s="17" t="n">
        <v>46017</v>
      </c>
      <c r="C13" s="18" t="n">
        <v>0.7291666666666666</v>
      </c>
      <c r="D13" s="19" t="inlineStr">
        <is>
          <t>Hannah Brooks</t>
        </is>
      </c>
      <c r="E13" s="20" t="inlineStr">
        <is>
          <t>Duo</t>
        </is>
      </c>
      <c r="F13" s="20" t="inlineStr">
        <is>
          <t>Attended</t>
        </is>
      </c>
      <c r="G13" s="21" t="n"/>
      <c r="H13" s="12">
        <f>IF(AND(B13="",D13="",F13=""),"",IF(NOT(ISNUMBER(B13)),"Needs a date",IF(D13="","Needs a client",IF(COUNTIF(Clients!$B$6:$B$105,D13)=0,"Not on Clients",IF(AND(F13="",INT(B13)&lt;TODAY()),"Needs a status","")))))</f>
        <v/>
      </c>
      <c r="I13" s="1">
        <f>IF(ISNUMBER(B13),INT(B13),0)</f>
        <v/>
      </c>
      <c r="J13">
        <f>IF(ISNUMBER(B13),YEAR(B13)*100+MONTH(B13),"")</f>
        <v/>
      </c>
      <c r="K13">
        <f>IF(AND(H13="",OR(F13="Attended",F13="No-show",AND(F13="Late cancel",Settings!$C$9="Yes"))),1,0)</f>
        <v/>
      </c>
      <c r="L13">
        <f>IF(AND(H13="",F13="Attended"),1,0)</f>
        <v/>
      </c>
      <c r="M13">
        <f>IF(AND(H13="",OR(F13="No-show",F13="Late cancel")),1,0)</f>
        <v/>
      </c>
      <c r="N13">
        <f>IF(AND(H13="",F13="",D13&lt;&gt;"",I13&gt;=TODAY()),ROUND((I13+IF(ISNUMBER(C13),MOD(C13,1),0))*1440,0)*10000+ROW(),"")</f>
        <v/>
      </c>
    </row>
    <row r="14">
      <c r="A14" s="1" t="n"/>
      <c r="B14" s="17" t="n">
        <v>46021</v>
      </c>
      <c r="C14" s="18" t="n">
        <v>0.7291666666666666</v>
      </c>
      <c r="D14" s="19" t="inlineStr">
        <is>
          <t>Hannah Brooks</t>
        </is>
      </c>
      <c r="E14" s="20" t="inlineStr">
        <is>
          <t>Duo</t>
        </is>
      </c>
      <c r="F14" s="20" t="inlineStr">
        <is>
          <t>Attended</t>
        </is>
      </c>
      <c r="G14" s="21" t="n"/>
      <c r="H14" s="12">
        <f>IF(AND(B14="",D14="",F14=""),"",IF(NOT(ISNUMBER(B14)),"Needs a date",IF(D14="","Needs a client",IF(COUNTIF(Clients!$B$6:$B$105,D14)=0,"Not on Clients",IF(AND(F14="",INT(B14)&lt;TODAY()),"Needs a status","")))))</f>
        <v/>
      </c>
      <c r="I14" s="1">
        <f>IF(ISNUMBER(B14),INT(B14),0)</f>
        <v/>
      </c>
      <c r="J14">
        <f>IF(ISNUMBER(B14),YEAR(B14)*100+MONTH(B14),"")</f>
        <v/>
      </c>
      <c r="K14">
        <f>IF(AND(H14="",OR(F14="Attended",F14="No-show",AND(F14="Late cancel",Settings!$C$9="Yes"))),1,0)</f>
        <v/>
      </c>
      <c r="L14">
        <f>IF(AND(H14="",F14="Attended"),1,0)</f>
        <v/>
      </c>
      <c r="M14">
        <f>IF(AND(H14="",OR(F14="No-show",F14="Late cancel")),1,0)</f>
        <v/>
      </c>
      <c r="N14">
        <f>IF(AND(H14="",F14="",D14&lt;&gt;"",I14&gt;=TODAY()),ROUND((I14+IF(ISNUMBER(C14),MOD(C14,1),0))*1440,0)*10000+ROW(),"")</f>
        <v/>
      </c>
    </row>
    <row r="15">
      <c r="A15" s="1" t="n"/>
      <c r="B15" s="17" t="n">
        <v>46024</v>
      </c>
      <c r="C15" s="18" t="n">
        <v>0.7291666666666666</v>
      </c>
      <c r="D15" s="19" t="inlineStr">
        <is>
          <t>Hannah Brooks</t>
        </is>
      </c>
      <c r="E15" s="20" t="inlineStr">
        <is>
          <t>Duo</t>
        </is>
      </c>
      <c r="F15" s="20" t="inlineStr">
        <is>
          <t>No-show</t>
        </is>
      </c>
      <c r="G15" s="21" t="n"/>
      <c r="H15" s="12">
        <f>IF(AND(B15="",D15="",F15=""),"",IF(NOT(ISNUMBER(B15)),"Needs a date",IF(D15="","Needs a client",IF(COUNTIF(Clients!$B$6:$B$105,D15)=0,"Not on Clients",IF(AND(F15="",INT(B15)&lt;TODAY()),"Needs a status","")))))</f>
        <v/>
      </c>
      <c r="I15" s="1">
        <f>IF(ISNUMBER(B15),INT(B15),0)</f>
        <v/>
      </c>
      <c r="J15">
        <f>IF(ISNUMBER(B15),YEAR(B15)*100+MONTH(B15),"")</f>
        <v/>
      </c>
      <c r="K15">
        <f>IF(AND(H15="",OR(F15="Attended",F15="No-show",AND(F15="Late cancel",Settings!$C$9="Yes"))),1,0)</f>
        <v/>
      </c>
      <c r="L15">
        <f>IF(AND(H15="",F15="Attended"),1,0)</f>
        <v/>
      </c>
      <c r="M15">
        <f>IF(AND(H15="",OR(F15="No-show",F15="Late cancel")),1,0)</f>
        <v/>
      </c>
      <c r="N15">
        <f>IF(AND(H15="",F15="",D15&lt;&gt;"",I15&gt;=TODAY()),ROUND((I15+IF(ISNUMBER(C15),MOD(C15,1),0))*1440,0)*10000+ROW(),"")</f>
        <v/>
      </c>
    </row>
    <row r="16">
      <c r="A16" s="1" t="n"/>
      <c r="B16" s="17" t="n">
        <v>46028</v>
      </c>
      <c r="C16" s="18" t="n">
        <v>0.7291666666666666</v>
      </c>
      <c r="D16" s="19" t="inlineStr">
        <is>
          <t>Hannah Brooks</t>
        </is>
      </c>
      <c r="E16" s="20" t="inlineStr">
        <is>
          <t>Duo</t>
        </is>
      </c>
      <c r="F16" s="20" t="inlineStr">
        <is>
          <t>Attended</t>
        </is>
      </c>
      <c r="G16" s="21" t="n"/>
      <c r="H16" s="12">
        <f>IF(AND(B16="",D16="",F16=""),"",IF(NOT(ISNUMBER(B16)),"Needs a date",IF(D16="","Needs a client",IF(COUNTIF(Clients!$B$6:$B$105,D16)=0,"Not on Clients",IF(AND(F16="",INT(B16)&lt;TODAY()),"Needs a status","")))))</f>
        <v/>
      </c>
      <c r="I16" s="1">
        <f>IF(ISNUMBER(B16),INT(B16),0)</f>
        <v/>
      </c>
      <c r="J16">
        <f>IF(ISNUMBER(B16),YEAR(B16)*100+MONTH(B16),"")</f>
        <v/>
      </c>
      <c r="K16">
        <f>IF(AND(H16="",OR(F16="Attended",F16="No-show",AND(F16="Late cancel",Settings!$C$9="Yes"))),1,0)</f>
        <v/>
      </c>
      <c r="L16">
        <f>IF(AND(H16="",F16="Attended"),1,0)</f>
        <v/>
      </c>
      <c r="M16">
        <f>IF(AND(H16="",OR(F16="No-show",F16="Late cancel")),1,0)</f>
        <v/>
      </c>
      <c r="N16">
        <f>IF(AND(H16="",F16="",D16&lt;&gt;"",I16&gt;=TODAY()),ROUND((I16+IF(ISNUMBER(C16),MOD(C16,1),0))*1440,0)*10000+ROW(),"")</f>
        <v/>
      </c>
    </row>
    <row r="17">
      <c r="A17" s="1" t="n"/>
      <c r="B17" s="17" t="n">
        <v>46031</v>
      </c>
      <c r="C17" s="18" t="n">
        <v>0.7291666666666666</v>
      </c>
      <c r="D17" s="19" t="inlineStr">
        <is>
          <t>Hannah Brooks</t>
        </is>
      </c>
      <c r="E17" s="20" t="inlineStr">
        <is>
          <t>Duo</t>
        </is>
      </c>
      <c r="F17" s="20" t="inlineStr">
        <is>
          <t>Attended</t>
        </is>
      </c>
      <c r="G17" s="21" t="n"/>
      <c r="H17" s="12">
        <f>IF(AND(B17="",D17="",F17=""),"",IF(NOT(ISNUMBER(B17)),"Needs a date",IF(D17="","Needs a client",IF(COUNTIF(Clients!$B$6:$B$105,D17)=0,"Not on Clients",IF(AND(F17="",INT(B17)&lt;TODAY()),"Needs a status","")))))</f>
        <v/>
      </c>
      <c r="I17" s="1">
        <f>IF(ISNUMBER(B17),INT(B17),0)</f>
        <v/>
      </c>
      <c r="J17">
        <f>IF(ISNUMBER(B17),YEAR(B17)*100+MONTH(B17),"")</f>
        <v/>
      </c>
      <c r="K17">
        <f>IF(AND(H17="",OR(F17="Attended",F17="No-show",AND(F17="Late cancel",Settings!$C$9="Yes"))),1,0)</f>
        <v/>
      </c>
      <c r="L17">
        <f>IF(AND(H17="",F17="Attended"),1,0)</f>
        <v/>
      </c>
      <c r="M17">
        <f>IF(AND(H17="",OR(F17="No-show",F17="Late cancel")),1,0)</f>
        <v/>
      </c>
      <c r="N17">
        <f>IF(AND(H17="",F17="",D17&lt;&gt;"",I17&gt;=TODAY()),ROUND((I17+IF(ISNUMBER(C17),MOD(C17,1),0))*1440,0)*10000+ROW(),"")</f>
        <v/>
      </c>
    </row>
    <row r="18">
      <c r="A18" s="1" t="n"/>
      <c r="B18" s="17" t="n">
        <v>46035</v>
      </c>
      <c r="C18" s="18" t="n">
        <v>0.7291666666666666</v>
      </c>
      <c r="D18" s="19" t="inlineStr">
        <is>
          <t>Hannah Brooks</t>
        </is>
      </c>
      <c r="E18" s="20" t="inlineStr">
        <is>
          <t>Duo</t>
        </is>
      </c>
      <c r="F18" s="20" t="inlineStr">
        <is>
          <t>Attended</t>
        </is>
      </c>
      <c r="G18" s="21" t="n"/>
      <c r="H18" s="12">
        <f>IF(AND(B18="",D18="",F18=""),"",IF(NOT(ISNUMBER(B18)),"Needs a date",IF(D18="","Needs a client",IF(COUNTIF(Clients!$B$6:$B$105,D18)=0,"Not on Clients",IF(AND(F18="",INT(B18)&lt;TODAY()),"Needs a status","")))))</f>
        <v/>
      </c>
      <c r="I18" s="1">
        <f>IF(ISNUMBER(B18),INT(B18),0)</f>
        <v/>
      </c>
      <c r="J18">
        <f>IF(ISNUMBER(B18),YEAR(B18)*100+MONTH(B18),"")</f>
        <v/>
      </c>
      <c r="K18">
        <f>IF(AND(H18="",OR(F18="Attended",F18="No-show",AND(F18="Late cancel",Settings!$C$9="Yes"))),1,0)</f>
        <v/>
      </c>
      <c r="L18">
        <f>IF(AND(H18="",F18="Attended"),1,0)</f>
        <v/>
      </c>
      <c r="M18">
        <f>IF(AND(H18="",OR(F18="No-show",F18="Late cancel")),1,0)</f>
        <v/>
      </c>
      <c r="N18">
        <f>IF(AND(H18="",F18="",D18&lt;&gt;"",I18&gt;=TODAY()),ROUND((I18+IF(ISNUMBER(C18),MOD(C18,1),0))*1440,0)*10000+ROW(),"")</f>
        <v/>
      </c>
    </row>
    <row r="19">
      <c r="A19" s="1" t="n"/>
      <c r="B19" s="17" t="n">
        <v>46038</v>
      </c>
      <c r="C19" s="18" t="n">
        <v>0.7291666666666666</v>
      </c>
      <c r="D19" s="19" t="inlineStr">
        <is>
          <t>Hannah Brooks</t>
        </is>
      </c>
      <c r="E19" s="20" t="inlineStr">
        <is>
          <t>Duo</t>
        </is>
      </c>
      <c r="F19" s="20" t="inlineStr">
        <is>
          <t>Attended</t>
        </is>
      </c>
      <c r="G19" s="21" t="n"/>
      <c r="H19" s="12">
        <f>IF(AND(B19="",D19="",F19=""),"",IF(NOT(ISNUMBER(B19)),"Needs a date",IF(D19="","Needs a client",IF(COUNTIF(Clients!$B$6:$B$105,D19)=0,"Not on Clients",IF(AND(F19="",INT(B19)&lt;TODAY()),"Needs a status","")))))</f>
        <v/>
      </c>
      <c r="I19" s="1">
        <f>IF(ISNUMBER(B19),INT(B19),0)</f>
        <v/>
      </c>
      <c r="J19">
        <f>IF(ISNUMBER(B19),YEAR(B19)*100+MONTH(B19),"")</f>
        <v/>
      </c>
      <c r="K19">
        <f>IF(AND(H19="",OR(F19="Attended",F19="No-show",AND(F19="Late cancel",Settings!$C$9="Yes"))),1,0)</f>
        <v/>
      </c>
      <c r="L19">
        <f>IF(AND(H19="",F19="Attended"),1,0)</f>
        <v/>
      </c>
      <c r="M19">
        <f>IF(AND(H19="",OR(F19="No-show",F19="Late cancel")),1,0)</f>
        <v/>
      </c>
      <c r="N19">
        <f>IF(AND(H19="",F19="",D19&lt;&gt;"",I19&gt;=TODAY()),ROUND((I19+IF(ISNUMBER(C19),MOD(C19,1),0))*1440,0)*10000+ROW(),"")</f>
        <v/>
      </c>
    </row>
    <row r="20">
      <c r="A20" s="1" t="n"/>
      <c r="B20" s="17" t="n">
        <v>46042</v>
      </c>
      <c r="C20" s="18" t="n">
        <v>0.7291666666666666</v>
      </c>
      <c r="D20" s="19" t="inlineStr">
        <is>
          <t>Hannah Brooks</t>
        </is>
      </c>
      <c r="E20" s="20" t="inlineStr">
        <is>
          <t>Duo</t>
        </is>
      </c>
      <c r="F20" s="20" t="inlineStr">
        <is>
          <t>Attended</t>
        </is>
      </c>
      <c r="G20" s="21" t="n"/>
      <c r="H20" s="12">
        <f>IF(AND(B20="",D20="",F20=""),"",IF(NOT(ISNUMBER(B20)),"Needs a date",IF(D20="","Needs a client",IF(COUNTIF(Clients!$B$6:$B$105,D20)=0,"Not on Clients",IF(AND(F20="",INT(B20)&lt;TODAY()),"Needs a status","")))))</f>
        <v/>
      </c>
      <c r="I20" s="1">
        <f>IF(ISNUMBER(B20),INT(B20),0)</f>
        <v/>
      </c>
      <c r="J20">
        <f>IF(ISNUMBER(B20),YEAR(B20)*100+MONTH(B20),"")</f>
        <v/>
      </c>
      <c r="K20">
        <f>IF(AND(H20="",OR(F20="Attended",F20="No-show",AND(F20="Late cancel",Settings!$C$9="Yes"))),1,0)</f>
        <v/>
      </c>
      <c r="L20">
        <f>IF(AND(H20="",F20="Attended"),1,0)</f>
        <v/>
      </c>
      <c r="M20">
        <f>IF(AND(H20="",OR(F20="No-show",F20="Late cancel")),1,0)</f>
        <v/>
      </c>
      <c r="N20">
        <f>IF(AND(H20="",F20="",D20&lt;&gt;"",I20&gt;=TODAY()),ROUND((I20+IF(ISNUMBER(C20),MOD(C20,1),0))*1440,0)*10000+ROW(),"")</f>
        <v/>
      </c>
    </row>
    <row r="21">
      <c r="A21" s="1" t="n"/>
      <c r="B21" s="17" t="n">
        <v>46045</v>
      </c>
      <c r="C21" s="18" t="n">
        <v>0.7291666666666666</v>
      </c>
      <c r="D21" s="19" t="inlineStr">
        <is>
          <t>Hannah Brooks</t>
        </is>
      </c>
      <c r="E21" s="20" t="inlineStr">
        <is>
          <t>Duo</t>
        </is>
      </c>
      <c r="F21" s="20" t="inlineStr">
        <is>
          <t>Attended</t>
        </is>
      </c>
      <c r="G21" s="21" t="n"/>
      <c r="H21" s="12">
        <f>IF(AND(B21="",D21="",F21=""),"",IF(NOT(ISNUMBER(B21)),"Needs a date",IF(D21="","Needs a client",IF(COUNTIF(Clients!$B$6:$B$105,D21)=0,"Not on Clients",IF(AND(F21="",INT(B21)&lt;TODAY()),"Needs a status","")))))</f>
        <v/>
      </c>
      <c r="I21" s="1">
        <f>IF(ISNUMBER(B21),INT(B21),0)</f>
        <v/>
      </c>
      <c r="J21">
        <f>IF(ISNUMBER(B21),YEAR(B21)*100+MONTH(B21),"")</f>
        <v/>
      </c>
      <c r="K21">
        <f>IF(AND(H21="",OR(F21="Attended",F21="No-show",AND(F21="Late cancel",Settings!$C$9="Yes"))),1,0)</f>
        <v/>
      </c>
      <c r="L21">
        <f>IF(AND(H21="",F21="Attended"),1,0)</f>
        <v/>
      </c>
      <c r="M21">
        <f>IF(AND(H21="",OR(F21="No-show",F21="Late cancel")),1,0)</f>
        <v/>
      </c>
      <c r="N21">
        <f>IF(AND(H21="",F21="",D21&lt;&gt;"",I21&gt;=TODAY()),ROUND((I21+IF(ISNUMBER(C21),MOD(C21,1),0))*1440,0)*10000+ROW(),"")</f>
        <v/>
      </c>
    </row>
    <row r="22">
      <c r="A22" s="1" t="n"/>
      <c r="B22" s="17" t="n">
        <v>46049</v>
      </c>
      <c r="C22" s="18" t="n">
        <v>0.7291666666666666</v>
      </c>
      <c r="D22" s="19" t="inlineStr">
        <is>
          <t>Hannah Brooks</t>
        </is>
      </c>
      <c r="E22" s="20" t="inlineStr">
        <is>
          <t>Duo</t>
        </is>
      </c>
      <c r="F22" s="20" t="inlineStr">
        <is>
          <t>Attended</t>
        </is>
      </c>
      <c r="G22" s="21" t="n"/>
      <c r="H22" s="12">
        <f>IF(AND(B22="",D22="",F22=""),"",IF(NOT(ISNUMBER(B22)),"Needs a date",IF(D22="","Needs a client",IF(COUNTIF(Clients!$B$6:$B$105,D22)=0,"Not on Clients",IF(AND(F22="",INT(B22)&lt;TODAY()),"Needs a status","")))))</f>
        <v/>
      </c>
      <c r="I22" s="1">
        <f>IF(ISNUMBER(B22),INT(B22),0)</f>
        <v/>
      </c>
      <c r="J22">
        <f>IF(ISNUMBER(B22),YEAR(B22)*100+MONTH(B22),"")</f>
        <v/>
      </c>
      <c r="K22">
        <f>IF(AND(H22="",OR(F22="Attended",F22="No-show",AND(F22="Late cancel",Settings!$C$9="Yes"))),1,0)</f>
        <v/>
      </c>
      <c r="L22">
        <f>IF(AND(H22="",F22="Attended"),1,0)</f>
        <v/>
      </c>
      <c r="M22">
        <f>IF(AND(H22="",OR(F22="No-show",F22="Late cancel")),1,0)</f>
        <v/>
      </c>
      <c r="N22">
        <f>IF(AND(H22="",F22="",D22&lt;&gt;"",I22&gt;=TODAY()),ROUND((I22+IF(ISNUMBER(C22),MOD(C22,1),0))*1440,0)*10000+ROW(),"")</f>
        <v/>
      </c>
    </row>
    <row r="23">
      <c r="A23" s="1" t="n"/>
      <c r="B23" s="17" t="n">
        <v>46052</v>
      </c>
      <c r="C23" s="18" t="n">
        <v>0.7291666666666666</v>
      </c>
      <c r="D23" s="19" t="inlineStr">
        <is>
          <t>Hannah Brooks</t>
        </is>
      </c>
      <c r="E23" s="20" t="inlineStr">
        <is>
          <t>Duo</t>
        </is>
      </c>
      <c r="F23" s="20" t="inlineStr">
        <is>
          <t>Attended</t>
        </is>
      </c>
      <c r="G23" s="21" t="n"/>
      <c r="H23" s="12">
        <f>IF(AND(B23="",D23="",F23=""),"",IF(NOT(ISNUMBER(B23)),"Needs a date",IF(D23="","Needs a client",IF(COUNTIF(Clients!$B$6:$B$105,D23)=0,"Not on Clients",IF(AND(F23="",INT(B23)&lt;TODAY()),"Needs a status","")))))</f>
        <v/>
      </c>
      <c r="I23" s="1">
        <f>IF(ISNUMBER(B23),INT(B23),0)</f>
        <v/>
      </c>
      <c r="J23">
        <f>IF(ISNUMBER(B23),YEAR(B23)*100+MONTH(B23),"")</f>
        <v/>
      </c>
      <c r="K23">
        <f>IF(AND(H23="",OR(F23="Attended",F23="No-show",AND(F23="Late cancel",Settings!$C$9="Yes"))),1,0)</f>
        <v/>
      </c>
      <c r="L23">
        <f>IF(AND(H23="",F23="Attended"),1,0)</f>
        <v/>
      </c>
      <c r="M23">
        <f>IF(AND(H23="",OR(F23="No-show",F23="Late cancel")),1,0)</f>
        <v/>
      </c>
      <c r="N23">
        <f>IF(AND(H23="",F23="",D23&lt;&gt;"",I23&gt;=TODAY()),ROUND((I23+IF(ISNUMBER(C23),MOD(C23,1),0))*1440,0)*10000+ROW(),"")</f>
        <v/>
      </c>
    </row>
    <row r="24">
      <c r="A24" s="1" t="n"/>
      <c r="B24" s="17" t="n">
        <v>46053</v>
      </c>
      <c r="C24" s="18" t="n">
        <v>0.2916666666666667</v>
      </c>
      <c r="D24" s="19" t="inlineStr">
        <is>
          <t>Maya Ortiz</t>
        </is>
      </c>
      <c r="E24" s="20" t="inlineStr">
        <is>
          <t>Duo</t>
        </is>
      </c>
      <c r="F24" s="20" t="inlineStr">
        <is>
          <t>Attended</t>
        </is>
      </c>
      <c r="G24" s="21" t="n"/>
      <c r="H24" s="12">
        <f>IF(AND(B24="",D24="",F24=""),"",IF(NOT(ISNUMBER(B24)),"Needs a date",IF(D24="","Needs a client",IF(COUNTIF(Clients!$B$6:$B$105,D24)=0,"Not on Clients",IF(AND(F24="",INT(B24)&lt;TODAY()),"Needs a status","")))))</f>
        <v/>
      </c>
      <c r="I24" s="1">
        <f>IF(ISNUMBER(B24),INT(B24),0)</f>
        <v/>
      </c>
      <c r="J24">
        <f>IF(ISNUMBER(B24),YEAR(B24)*100+MONTH(B24),"")</f>
        <v/>
      </c>
      <c r="K24">
        <f>IF(AND(H24="",OR(F24="Attended",F24="No-show",AND(F24="Late cancel",Settings!$C$9="Yes"))),1,0)</f>
        <v/>
      </c>
      <c r="L24">
        <f>IF(AND(H24="",F24="Attended"),1,0)</f>
        <v/>
      </c>
      <c r="M24">
        <f>IF(AND(H24="",OR(F24="No-show",F24="Late cancel")),1,0)</f>
        <v/>
      </c>
      <c r="N24">
        <f>IF(AND(H24="",F24="",D24&lt;&gt;"",I24&gt;=TODAY()),ROUND((I24+IF(ISNUMBER(C24),MOD(C24,1),0))*1440,0)*10000+ROW(),"")</f>
        <v/>
      </c>
    </row>
    <row r="25">
      <c r="A25" s="1" t="n"/>
      <c r="B25" s="17" t="n">
        <v>46056</v>
      </c>
      <c r="C25" s="18" t="n">
        <v>0.7291666666666666</v>
      </c>
      <c r="D25" s="19" t="inlineStr">
        <is>
          <t>Hannah Brooks</t>
        </is>
      </c>
      <c r="E25" s="20" t="inlineStr">
        <is>
          <t>Duo</t>
        </is>
      </c>
      <c r="F25" s="20" t="inlineStr">
        <is>
          <t>Attended</t>
        </is>
      </c>
      <c r="G25" s="21" t="n"/>
      <c r="H25" s="12">
        <f>IF(AND(B25="",D25="",F25=""),"",IF(NOT(ISNUMBER(B25)),"Needs a date",IF(D25="","Needs a client",IF(COUNTIF(Clients!$B$6:$B$105,D25)=0,"Not on Clients",IF(AND(F25="",INT(B25)&lt;TODAY()),"Needs a status","")))))</f>
        <v/>
      </c>
      <c r="I25" s="1">
        <f>IF(ISNUMBER(B25),INT(B25),0)</f>
        <v/>
      </c>
      <c r="J25">
        <f>IF(ISNUMBER(B25),YEAR(B25)*100+MONTH(B25),"")</f>
        <v/>
      </c>
      <c r="K25">
        <f>IF(AND(H25="",OR(F25="Attended",F25="No-show",AND(F25="Late cancel",Settings!$C$9="Yes"))),1,0)</f>
        <v/>
      </c>
      <c r="L25">
        <f>IF(AND(H25="",F25="Attended"),1,0)</f>
        <v/>
      </c>
      <c r="M25">
        <f>IF(AND(H25="",OR(F25="No-show",F25="Late cancel")),1,0)</f>
        <v/>
      </c>
      <c r="N25">
        <f>IF(AND(H25="",F25="",D25&lt;&gt;"",I25&gt;=TODAY()),ROUND((I25+IF(ISNUMBER(C25),MOD(C25,1),0))*1440,0)*10000+ROW(),"")</f>
        <v/>
      </c>
    </row>
    <row r="26">
      <c r="A26" s="1" t="n"/>
      <c r="B26" s="17" t="n">
        <v>46059</v>
      </c>
      <c r="C26" s="18" t="n">
        <v>0.7291666666666666</v>
      </c>
      <c r="D26" s="19" t="inlineStr">
        <is>
          <t>Hannah Brooks</t>
        </is>
      </c>
      <c r="E26" s="20" t="inlineStr">
        <is>
          <t>Duo</t>
        </is>
      </c>
      <c r="F26" s="20" t="inlineStr">
        <is>
          <t>Attended</t>
        </is>
      </c>
      <c r="G26" s="21" t="n"/>
      <c r="H26" s="12">
        <f>IF(AND(B26="",D26="",F26=""),"",IF(NOT(ISNUMBER(B26)),"Needs a date",IF(D26="","Needs a client",IF(COUNTIF(Clients!$B$6:$B$105,D26)=0,"Not on Clients",IF(AND(F26="",INT(B26)&lt;TODAY()),"Needs a status","")))))</f>
        <v/>
      </c>
      <c r="I26" s="1">
        <f>IF(ISNUMBER(B26),INT(B26),0)</f>
        <v/>
      </c>
      <c r="J26">
        <f>IF(ISNUMBER(B26),YEAR(B26)*100+MONTH(B26),"")</f>
        <v/>
      </c>
      <c r="K26">
        <f>IF(AND(H26="",OR(F26="Attended",F26="No-show",AND(F26="Late cancel",Settings!$C$9="Yes"))),1,0)</f>
        <v/>
      </c>
      <c r="L26">
        <f>IF(AND(H26="",F26="Attended"),1,0)</f>
        <v/>
      </c>
      <c r="M26">
        <f>IF(AND(H26="",OR(F26="No-show",F26="Late cancel")),1,0)</f>
        <v/>
      </c>
      <c r="N26">
        <f>IF(AND(H26="",F26="",D26&lt;&gt;"",I26&gt;=TODAY()),ROUND((I26+IF(ISNUMBER(C26),MOD(C26,1),0))*1440,0)*10000+ROW(),"")</f>
        <v/>
      </c>
    </row>
    <row r="27">
      <c r="A27" s="1" t="n"/>
      <c r="B27" s="17" t="n">
        <v>46060</v>
      </c>
      <c r="C27" s="18" t="n">
        <v>0.2916666666666667</v>
      </c>
      <c r="D27" s="19" t="inlineStr">
        <is>
          <t>Maya Ortiz</t>
        </is>
      </c>
      <c r="E27" s="20" t="inlineStr">
        <is>
          <t>Duo</t>
        </is>
      </c>
      <c r="F27" s="20" t="inlineStr">
        <is>
          <t>Attended</t>
        </is>
      </c>
      <c r="G27" s="21" t="n"/>
      <c r="H27" s="12">
        <f>IF(AND(B27="",D27="",F27=""),"",IF(NOT(ISNUMBER(B27)),"Needs a date",IF(D27="","Needs a client",IF(COUNTIF(Clients!$B$6:$B$105,D27)=0,"Not on Clients",IF(AND(F27="",INT(B27)&lt;TODAY()),"Needs a status","")))))</f>
        <v/>
      </c>
      <c r="I27" s="1">
        <f>IF(ISNUMBER(B27),INT(B27),0)</f>
        <v/>
      </c>
      <c r="J27">
        <f>IF(ISNUMBER(B27),YEAR(B27)*100+MONTH(B27),"")</f>
        <v/>
      </c>
      <c r="K27">
        <f>IF(AND(H27="",OR(F27="Attended",F27="No-show",AND(F27="Late cancel",Settings!$C$9="Yes"))),1,0)</f>
        <v/>
      </c>
      <c r="L27">
        <f>IF(AND(H27="",F27="Attended"),1,0)</f>
        <v/>
      </c>
      <c r="M27">
        <f>IF(AND(H27="",OR(F27="No-show",F27="Late cancel")),1,0)</f>
        <v/>
      </c>
      <c r="N27">
        <f>IF(AND(H27="",F27="",D27&lt;&gt;"",I27&gt;=TODAY()),ROUND((I27+IF(ISNUMBER(C27),MOD(C27,1),0))*1440,0)*10000+ROW(),"")</f>
        <v/>
      </c>
    </row>
    <row r="28">
      <c r="A28" s="1" t="n"/>
      <c r="B28" s="17" t="n">
        <v>46063</v>
      </c>
      <c r="C28" s="18" t="n">
        <v>0.7291666666666666</v>
      </c>
      <c r="D28" s="19" t="inlineStr">
        <is>
          <t>Hannah Brooks</t>
        </is>
      </c>
      <c r="E28" s="20" t="inlineStr">
        <is>
          <t>Duo</t>
        </is>
      </c>
      <c r="F28" s="20" t="inlineStr">
        <is>
          <t>Attended</t>
        </is>
      </c>
      <c r="G28" s="21" t="n"/>
      <c r="H28" s="12">
        <f>IF(AND(B28="",D28="",F28=""),"",IF(NOT(ISNUMBER(B28)),"Needs a date",IF(D28="","Needs a client",IF(COUNTIF(Clients!$B$6:$B$105,D28)=0,"Not on Clients",IF(AND(F28="",INT(B28)&lt;TODAY()),"Needs a status","")))))</f>
        <v/>
      </c>
      <c r="I28" s="1">
        <f>IF(ISNUMBER(B28),INT(B28),0)</f>
        <v/>
      </c>
      <c r="J28">
        <f>IF(ISNUMBER(B28),YEAR(B28)*100+MONTH(B28),"")</f>
        <v/>
      </c>
      <c r="K28">
        <f>IF(AND(H28="",OR(F28="Attended",F28="No-show",AND(F28="Late cancel",Settings!$C$9="Yes"))),1,0)</f>
        <v/>
      </c>
      <c r="L28">
        <f>IF(AND(H28="",F28="Attended"),1,0)</f>
        <v/>
      </c>
      <c r="M28">
        <f>IF(AND(H28="",OR(F28="No-show",F28="Late cancel")),1,0)</f>
        <v/>
      </c>
      <c r="N28">
        <f>IF(AND(H28="",F28="",D28&lt;&gt;"",I28&gt;=TODAY()),ROUND((I28+IF(ISNUMBER(C28),MOD(C28,1),0))*1440,0)*10000+ROW(),"")</f>
        <v/>
      </c>
    </row>
    <row r="29">
      <c r="A29" s="1" t="n"/>
      <c r="B29" s="17" t="n">
        <v>46066</v>
      </c>
      <c r="C29" s="18" t="n">
        <v>0.7291666666666666</v>
      </c>
      <c r="D29" s="19" t="inlineStr">
        <is>
          <t>Hannah Brooks</t>
        </is>
      </c>
      <c r="E29" s="20" t="inlineStr">
        <is>
          <t>Duo</t>
        </is>
      </c>
      <c r="F29" s="20" t="inlineStr">
        <is>
          <t>Attended</t>
        </is>
      </c>
      <c r="G29" s="21" t="n"/>
      <c r="H29" s="12">
        <f>IF(AND(B29="",D29="",F29=""),"",IF(NOT(ISNUMBER(B29)),"Needs a date",IF(D29="","Needs a client",IF(COUNTIF(Clients!$B$6:$B$105,D29)=0,"Not on Clients",IF(AND(F29="",INT(B29)&lt;TODAY()),"Needs a status","")))))</f>
        <v/>
      </c>
      <c r="I29" s="1">
        <f>IF(ISNUMBER(B29),INT(B29),0)</f>
        <v/>
      </c>
      <c r="J29">
        <f>IF(ISNUMBER(B29),YEAR(B29)*100+MONTH(B29),"")</f>
        <v/>
      </c>
      <c r="K29">
        <f>IF(AND(H29="",OR(F29="Attended",F29="No-show",AND(F29="Late cancel",Settings!$C$9="Yes"))),1,0)</f>
        <v/>
      </c>
      <c r="L29">
        <f>IF(AND(H29="",F29="Attended"),1,0)</f>
        <v/>
      </c>
      <c r="M29">
        <f>IF(AND(H29="",OR(F29="No-show",F29="Late cancel")),1,0)</f>
        <v/>
      </c>
      <c r="N29">
        <f>IF(AND(H29="",F29="",D29&lt;&gt;"",I29&gt;=TODAY()),ROUND((I29+IF(ISNUMBER(C29),MOD(C29,1),0))*1440,0)*10000+ROW(),"")</f>
        <v/>
      </c>
    </row>
    <row r="30">
      <c r="A30" s="1" t="n"/>
      <c r="B30" s="17" t="n">
        <v>46067</v>
      </c>
      <c r="C30" s="18" t="n">
        <v>0.2916666666666667</v>
      </c>
      <c r="D30" s="19" t="inlineStr">
        <is>
          <t>Maya Ortiz</t>
        </is>
      </c>
      <c r="E30" s="20" t="inlineStr">
        <is>
          <t>Duo</t>
        </is>
      </c>
      <c r="F30" s="20" t="inlineStr">
        <is>
          <t>No-show</t>
        </is>
      </c>
      <c r="G30" s="21" t="n"/>
      <c r="H30" s="12">
        <f>IF(AND(B30="",D30="",F30=""),"",IF(NOT(ISNUMBER(B30)),"Needs a date",IF(D30="","Needs a client",IF(COUNTIF(Clients!$B$6:$B$105,D30)=0,"Not on Clients",IF(AND(F30="",INT(B30)&lt;TODAY()),"Needs a status","")))))</f>
        <v/>
      </c>
      <c r="I30" s="1">
        <f>IF(ISNUMBER(B30),INT(B30),0)</f>
        <v/>
      </c>
      <c r="J30">
        <f>IF(ISNUMBER(B30),YEAR(B30)*100+MONTH(B30),"")</f>
        <v/>
      </c>
      <c r="K30">
        <f>IF(AND(H30="",OR(F30="Attended",F30="No-show",AND(F30="Late cancel",Settings!$C$9="Yes"))),1,0)</f>
        <v/>
      </c>
      <c r="L30">
        <f>IF(AND(H30="",F30="Attended"),1,0)</f>
        <v/>
      </c>
      <c r="M30">
        <f>IF(AND(H30="",OR(F30="No-show",F30="Late cancel")),1,0)</f>
        <v/>
      </c>
      <c r="N30">
        <f>IF(AND(H30="",F30="",D30&lt;&gt;"",I30&gt;=TODAY()),ROUND((I30+IF(ISNUMBER(C30),MOD(C30,1),0))*1440,0)*10000+ROW(),"")</f>
        <v/>
      </c>
    </row>
    <row r="31">
      <c r="A31" s="1" t="n"/>
      <c r="B31" s="17" t="n">
        <v>46070</v>
      </c>
      <c r="C31" s="18" t="n">
        <v>0.7291666666666666</v>
      </c>
      <c r="D31" s="19" t="inlineStr">
        <is>
          <t>Hannah Brooks</t>
        </is>
      </c>
      <c r="E31" s="20" t="inlineStr">
        <is>
          <t>Duo</t>
        </is>
      </c>
      <c r="F31" s="20" t="inlineStr">
        <is>
          <t>Attended</t>
        </is>
      </c>
      <c r="G31" s="21" t="n"/>
      <c r="H31" s="12">
        <f>IF(AND(B31="",D31="",F31=""),"",IF(NOT(ISNUMBER(B31)),"Needs a date",IF(D31="","Needs a client",IF(COUNTIF(Clients!$B$6:$B$105,D31)=0,"Not on Clients",IF(AND(F31="",INT(B31)&lt;TODAY()),"Needs a status","")))))</f>
        <v/>
      </c>
      <c r="I31" s="1">
        <f>IF(ISNUMBER(B31),INT(B31),0)</f>
        <v/>
      </c>
      <c r="J31">
        <f>IF(ISNUMBER(B31),YEAR(B31)*100+MONTH(B31),"")</f>
        <v/>
      </c>
      <c r="K31">
        <f>IF(AND(H31="",OR(F31="Attended",F31="No-show",AND(F31="Late cancel",Settings!$C$9="Yes"))),1,0)</f>
        <v/>
      </c>
      <c r="L31">
        <f>IF(AND(H31="",F31="Attended"),1,0)</f>
        <v/>
      </c>
      <c r="M31">
        <f>IF(AND(H31="",OR(F31="No-show",F31="Late cancel")),1,0)</f>
        <v/>
      </c>
      <c r="N31">
        <f>IF(AND(H31="",F31="",D31&lt;&gt;"",I31&gt;=TODAY()),ROUND((I31+IF(ISNUMBER(C31),MOD(C31,1),0))*1440,0)*10000+ROW(),"")</f>
        <v/>
      </c>
    </row>
    <row r="32">
      <c r="A32" s="1" t="n"/>
      <c r="B32" s="17" t="n">
        <v>46073</v>
      </c>
      <c r="C32" s="18" t="n">
        <v>0.7291666666666666</v>
      </c>
      <c r="D32" s="19" t="inlineStr">
        <is>
          <t>Hannah Brooks</t>
        </is>
      </c>
      <c r="E32" s="20" t="inlineStr">
        <is>
          <t>Duo</t>
        </is>
      </c>
      <c r="F32" s="20" t="inlineStr">
        <is>
          <t>Cancelled</t>
        </is>
      </c>
      <c r="G32" s="21" t="n"/>
      <c r="H32" s="12">
        <f>IF(AND(B32="",D32="",F32=""),"",IF(NOT(ISNUMBER(B32)),"Needs a date",IF(D32="","Needs a client",IF(COUNTIF(Clients!$B$6:$B$105,D32)=0,"Not on Clients",IF(AND(F32="",INT(B32)&lt;TODAY()),"Needs a status","")))))</f>
        <v/>
      </c>
      <c r="I32" s="1">
        <f>IF(ISNUMBER(B32),INT(B32),0)</f>
        <v/>
      </c>
      <c r="J32">
        <f>IF(ISNUMBER(B32),YEAR(B32)*100+MONTH(B32),"")</f>
        <v/>
      </c>
      <c r="K32">
        <f>IF(AND(H32="",OR(F32="Attended",F32="No-show",AND(F32="Late cancel",Settings!$C$9="Yes"))),1,0)</f>
        <v/>
      </c>
      <c r="L32">
        <f>IF(AND(H32="",F32="Attended"),1,0)</f>
        <v/>
      </c>
      <c r="M32">
        <f>IF(AND(H32="",OR(F32="No-show",F32="Late cancel")),1,0)</f>
        <v/>
      </c>
      <c r="N32">
        <f>IF(AND(H32="",F32="",D32&lt;&gt;"",I32&gt;=TODAY()),ROUND((I32+IF(ISNUMBER(C32),MOD(C32,1),0))*1440,0)*10000+ROW(),"")</f>
        <v/>
      </c>
    </row>
    <row r="33">
      <c r="A33" s="1" t="n"/>
      <c r="B33" s="17" t="n">
        <v>46074</v>
      </c>
      <c r="C33" s="18" t="n">
        <v>0.2916666666666667</v>
      </c>
      <c r="D33" s="19" t="inlineStr">
        <is>
          <t>Maya Ortiz</t>
        </is>
      </c>
      <c r="E33" s="20" t="inlineStr">
        <is>
          <t>Duo</t>
        </is>
      </c>
      <c r="F33" s="20" t="inlineStr">
        <is>
          <t>Attended</t>
        </is>
      </c>
      <c r="G33" s="21" t="n"/>
      <c r="H33" s="12">
        <f>IF(AND(B33="",D33="",F33=""),"",IF(NOT(ISNUMBER(B33)),"Needs a date",IF(D33="","Needs a client",IF(COUNTIF(Clients!$B$6:$B$105,D33)=0,"Not on Clients",IF(AND(F33="",INT(B33)&lt;TODAY()),"Needs a status","")))))</f>
        <v/>
      </c>
      <c r="I33" s="1">
        <f>IF(ISNUMBER(B33),INT(B33),0)</f>
        <v/>
      </c>
      <c r="J33">
        <f>IF(ISNUMBER(B33),YEAR(B33)*100+MONTH(B33),"")</f>
        <v/>
      </c>
      <c r="K33">
        <f>IF(AND(H33="",OR(F33="Attended",F33="No-show",AND(F33="Late cancel",Settings!$C$9="Yes"))),1,0)</f>
        <v/>
      </c>
      <c r="L33">
        <f>IF(AND(H33="",F33="Attended"),1,0)</f>
        <v/>
      </c>
      <c r="M33">
        <f>IF(AND(H33="",OR(F33="No-show",F33="Late cancel")),1,0)</f>
        <v/>
      </c>
      <c r="N33">
        <f>IF(AND(H33="",F33="",D33&lt;&gt;"",I33&gt;=TODAY()),ROUND((I33+IF(ISNUMBER(C33),MOD(C33,1),0))*1440,0)*10000+ROW(),"")</f>
        <v/>
      </c>
    </row>
    <row r="34">
      <c r="A34" s="1" t="n"/>
      <c r="B34" s="17" t="n">
        <v>46077</v>
      </c>
      <c r="C34" s="18" t="n">
        <v>0.7291666666666666</v>
      </c>
      <c r="D34" s="19" t="inlineStr">
        <is>
          <t>Hannah Brooks</t>
        </is>
      </c>
      <c r="E34" s="20" t="inlineStr">
        <is>
          <t>Duo</t>
        </is>
      </c>
      <c r="F34" s="20" t="inlineStr">
        <is>
          <t>Attended</t>
        </is>
      </c>
      <c r="G34" s="21" t="n"/>
      <c r="H34" s="12">
        <f>IF(AND(B34="",D34="",F34=""),"",IF(NOT(ISNUMBER(B34)),"Needs a date",IF(D34="","Needs a client",IF(COUNTIF(Clients!$B$6:$B$105,D34)=0,"Not on Clients",IF(AND(F34="",INT(B34)&lt;TODAY()),"Needs a status","")))))</f>
        <v/>
      </c>
      <c r="I34" s="1">
        <f>IF(ISNUMBER(B34),INT(B34),0)</f>
        <v/>
      </c>
      <c r="J34">
        <f>IF(ISNUMBER(B34),YEAR(B34)*100+MONTH(B34),"")</f>
        <v/>
      </c>
      <c r="K34">
        <f>IF(AND(H34="",OR(F34="Attended",F34="No-show",AND(F34="Late cancel",Settings!$C$9="Yes"))),1,0)</f>
        <v/>
      </c>
      <c r="L34">
        <f>IF(AND(H34="",F34="Attended"),1,0)</f>
        <v/>
      </c>
      <c r="M34">
        <f>IF(AND(H34="",OR(F34="No-show",F34="Late cancel")),1,0)</f>
        <v/>
      </c>
      <c r="N34">
        <f>IF(AND(H34="",F34="",D34&lt;&gt;"",I34&gt;=TODAY()),ROUND((I34+IF(ISNUMBER(C34),MOD(C34,1),0))*1440,0)*10000+ROW(),"")</f>
        <v/>
      </c>
    </row>
    <row r="35">
      <c r="A35" s="1" t="n"/>
      <c r="B35" s="17" t="n">
        <v>46080</v>
      </c>
      <c r="C35" s="18" t="n">
        <v>0.7291666666666666</v>
      </c>
      <c r="D35" s="19" t="inlineStr">
        <is>
          <t>Hannah Brooks</t>
        </is>
      </c>
      <c r="E35" s="20" t="inlineStr">
        <is>
          <t>Duo</t>
        </is>
      </c>
      <c r="F35" s="20" t="inlineStr">
        <is>
          <t>Late cancel</t>
        </is>
      </c>
      <c r="G35" s="21" t="n"/>
      <c r="H35" s="12">
        <f>IF(AND(B35="",D35="",F35=""),"",IF(NOT(ISNUMBER(B35)),"Needs a date",IF(D35="","Needs a client",IF(COUNTIF(Clients!$B$6:$B$105,D35)=0,"Not on Clients",IF(AND(F35="",INT(B35)&lt;TODAY()),"Needs a status","")))))</f>
        <v/>
      </c>
      <c r="I35" s="1">
        <f>IF(ISNUMBER(B35),INT(B35),0)</f>
        <v/>
      </c>
      <c r="J35">
        <f>IF(ISNUMBER(B35),YEAR(B35)*100+MONTH(B35),"")</f>
        <v/>
      </c>
      <c r="K35">
        <f>IF(AND(H35="",OR(F35="Attended",F35="No-show",AND(F35="Late cancel",Settings!$C$9="Yes"))),1,0)</f>
        <v/>
      </c>
      <c r="L35">
        <f>IF(AND(H35="",F35="Attended"),1,0)</f>
        <v/>
      </c>
      <c r="M35">
        <f>IF(AND(H35="",OR(F35="No-show",F35="Late cancel")),1,0)</f>
        <v/>
      </c>
      <c r="N35">
        <f>IF(AND(H35="",F35="",D35&lt;&gt;"",I35&gt;=TODAY()),ROUND((I35+IF(ISNUMBER(C35),MOD(C35,1),0))*1440,0)*10000+ROW(),"")</f>
        <v/>
      </c>
    </row>
    <row r="36">
      <c r="A36" s="1" t="n"/>
      <c r="B36" s="17" t="n">
        <v>46081</v>
      </c>
      <c r="C36" s="18" t="n">
        <v>0.2916666666666667</v>
      </c>
      <c r="D36" s="19" t="inlineStr">
        <is>
          <t>Maya Ortiz</t>
        </is>
      </c>
      <c r="E36" s="20" t="inlineStr">
        <is>
          <t>Duo</t>
        </is>
      </c>
      <c r="F36" s="20" t="inlineStr">
        <is>
          <t>Attended</t>
        </is>
      </c>
      <c r="G36" s="21" t="n"/>
      <c r="H36" s="12">
        <f>IF(AND(B36="",D36="",F36=""),"",IF(NOT(ISNUMBER(B36)),"Needs a date",IF(D36="","Needs a client",IF(COUNTIF(Clients!$B$6:$B$105,D36)=0,"Not on Clients",IF(AND(F36="",INT(B36)&lt;TODAY()),"Needs a status","")))))</f>
        <v/>
      </c>
      <c r="I36" s="1">
        <f>IF(ISNUMBER(B36),INT(B36),0)</f>
        <v/>
      </c>
      <c r="J36">
        <f>IF(ISNUMBER(B36),YEAR(B36)*100+MONTH(B36),"")</f>
        <v/>
      </c>
      <c r="K36">
        <f>IF(AND(H36="",OR(F36="Attended",F36="No-show",AND(F36="Late cancel",Settings!$C$9="Yes"))),1,0)</f>
        <v/>
      </c>
      <c r="L36">
        <f>IF(AND(H36="",F36="Attended"),1,0)</f>
        <v/>
      </c>
      <c r="M36">
        <f>IF(AND(H36="",OR(F36="No-show",F36="Late cancel")),1,0)</f>
        <v/>
      </c>
      <c r="N36">
        <f>IF(AND(H36="",F36="",D36&lt;&gt;"",I36&gt;=TODAY()),ROUND((I36+IF(ISNUMBER(C36),MOD(C36,1),0))*1440,0)*10000+ROW(),"")</f>
        <v/>
      </c>
    </row>
    <row r="37">
      <c r="A37" s="1" t="n"/>
      <c r="B37" s="17" t="n">
        <v>46084</v>
      </c>
      <c r="C37" s="18" t="n">
        <v>0.7291666666666666</v>
      </c>
      <c r="D37" s="19" t="inlineStr">
        <is>
          <t>Hannah Brooks</t>
        </is>
      </c>
      <c r="E37" s="20" t="inlineStr">
        <is>
          <t>Duo</t>
        </is>
      </c>
      <c r="F37" s="20" t="inlineStr">
        <is>
          <t>Attended</t>
        </is>
      </c>
      <c r="G37" s="21" t="n"/>
      <c r="H37" s="12">
        <f>IF(AND(B37="",D37="",F37=""),"",IF(NOT(ISNUMBER(B37)),"Needs a date",IF(D37="","Needs a client",IF(COUNTIF(Clients!$B$6:$B$105,D37)=0,"Not on Clients",IF(AND(F37="",INT(B37)&lt;TODAY()),"Needs a status","")))))</f>
        <v/>
      </c>
      <c r="I37" s="1">
        <f>IF(ISNUMBER(B37),INT(B37),0)</f>
        <v/>
      </c>
      <c r="J37">
        <f>IF(ISNUMBER(B37),YEAR(B37)*100+MONTH(B37),"")</f>
        <v/>
      </c>
      <c r="K37">
        <f>IF(AND(H37="",OR(F37="Attended",F37="No-show",AND(F37="Late cancel",Settings!$C$9="Yes"))),1,0)</f>
        <v/>
      </c>
      <c r="L37">
        <f>IF(AND(H37="",F37="Attended"),1,0)</f>
        <v/>
      </c>
      <c r="M37">
        <f>IF(AND(H37="",OR(F37="No-show",F37="Late cancel")),1,0)</f>
        <v/>
      </c>
      <c r="N37">
        <f>IF(AND(H37="",F37="",D37&lt;&gt;"",I37&gt;=TODAY()),ROUND((I37+IF(ISNUMBER(C37),MOD(C37,1),0))*1440,0)*10000+ROW(),"")</f>
        <v/>
      </c>
    </row>
    <row r="38">
      <c r="A38" s="1" t="n"/>
      <c r="B38" s="17" t="n">
        <v>46087</v>
      </c>
      <c r="C38" s="18" t="n">
        <v>0.7291666666666666</v>
      </c>
      <c r="D38" s="19" t="inlineStr">
        <is>
          <t>Hannah Brooks</t>
        </is>
      </c>
      <c r="E38" s="20" t="inlineStr">
        <is>
          <t>Duo</t>
        </is>
      </c>
      <c r="F38" s="20" t="inlineStr">
        <is>
          <t>Attended</t>
        </is>
      </c>
      <c r="G38" s="21" t="n"/>
      <c r="H38" s="12">
        <f>IF(AND(B38="",D38="",F38=""),"",IF(NOT(ISNUMBER(B38)),"Needs a date",IF(D38="","Needs a client",IF(COUNTIF(Clients!$B$6:$B$105,D38)=0,"Not on Clients",IF(AND(F38="",INT(B38)&lt;TODAY()),"Needs a status","")))))</f>
        <v/>
      </c>
      <c r="I38" s="1">
        <f>IF(ISNUMBER(B38),INT(B38),0)</f>
        <v/>
      </c>
      <c r="J38">
        <f>IF(ISNUMBER(B38),YEAR(B38)*100+MONTH(B38),"")</f>
        <v/>
      </c>
      <c r="K38">
        <f>IF(AND(H38="",OR(F38="Attended",F38="No-show",AND(F38="Late cancel",Settings!$C$9="Yes"))),1,0)</f>
        <v/>
      </c>
      <c r="L38">
        <f>IF(AND(H38="",F38="Attended"),1,0)</f>
        <v/>
      </c>
      <c r="M38">
        <f>IF(AND(H38="",OR(F38="No-show",F38="Late cancel")),1,0)</f>
        <v/>
      </c>
      <c r="N38">
        <f>IF(AND(H38="",F38="",D38&lt;&gt;"",I38&gt;=TODAY()),ROUND((I38+IF(ISNUMBER(C38),MOD(C38,1),0))*1440,0)*10000+ROW(),"")</f>
        <v/>
      </c>
    </row>
    <row r="39">
      <c r="A39" s="1" t="n"/>
      <c r="B39" s="17" t="n">
        <v>46088</v>
      </c>
      <c r="C39" s="18" t="n">
        <v>0.2916666666666667</v>
      </c>
      <c r="D39" s="19" t="inlineStr">
        <is>
          <t>Maya Ortiz</t>
        </is>
      </c>
      <c r="E39" s="20" t="inlineStr">
        <is>
          <t>Duo</t>
        </is>
      </c>
      <c r="F39" s="20" t="inlineStr">
        <is>
          <t>Attended</t>
        </is>
      </c>
      <c r="G39" s="21" t="n"/>
      <c r="H39" s="12">
        <f>IF(AND(B39="",D39="",F39=""),"",IF(NOT(ISNUMBER(B39)),"Needs a date",IF(D39="","Needs a client",IF(COUNTIF(Clients!$B$6:$B$105,D39)=0,"Not on Clients",IF(AND(F39="",INT(B39)&lt;TODAY()),"Needs a status","")))))</f>
        <v/>
      </c>
      <c r="I39" s="1">
        <f>IF(ISNUMBER(B39),INT(B39),0)</f>
        <v/>
      </c>
      <c r="J39">
        <f>IF(ISNUMBER(B39),YEAR(B39)*100+MONTH(B39),"")</f>
        <v/>
      </c>
      <c r="K39">
        <f>IF(AND(H39="",OR(F39="Attended",F39="No-show",AND(F39="Late cancel",Settings!$C$9="Yes"))),1,0)</f>
        <v/>
      </c>
      <c r="L39">
        <f>IF(AND(H39="",F39="Attended"),1,0)</f>
        <v/>
      </c>
      <c r="M39">
        <f>IF(AND(H39="",OR(F39="No-show",F39="Late cancel")),1,0)</f>
        <v/>
      </c>
      <c r="N39">
        <f>IF(AND(H39="",F39="",D39&lt;&gt;"",I39&gt;=TODAY()),ROUND((I39+IF(ISNUMBER(C39),MOD(C39,1),0))*1440,0)*10000+ROW(),"")</f>
        <v/>
      </c>
    </row>
    <row r="40">
      <c r="A40" s="1" t="n"/>
      <c r="B40" s="17" t="n">
        <v>46091</v>
      </c>
      <c r="C40" s="18" t="n">
        <v>0.7291666666666666</v>
      </c>
      <c r="D40" s="19" t="inlineStr">
        <is>
          <t>Hannah Brooks</t>
        </is>
      </c>
      <c r="E40" s="20" t="inlineStr">
        <is>
          <t>Duo</t>
        </is>
      </c>
      <c r="F40" s="20" t="inlineStr">
        <is>
          <t>Attended</t>
        </is>
      </c>
      <c r="G40" s="21" t="n"/>
      <c r="H40" s="12">
        <f>IF(AND(B40="",D40="",F40=""),"",IF(NOT(ISNUMBER(B40)),"Needs a date",IF(D40="","Needs a client",IF(COUNTIF(Clients!$B$6:$B$105,D40)=0,"Not on Clients",IF(AND(F40="",INT(B40)&lt;TODAY()),"Needs a status","")))))</f>
        <v/>
      </c>
      <c r="I40" s="1">
        <f>IF(ISNUMBER(B40),INT(B40),0)</f>
        <v/>
      </c>
      <c r="J40">
        <f>IF(ISNUMBER(B40),YEAR(B40)*100+MONTH(B40),"")</f>
        <v/>
      </c>
      <c r="K40">
        <f>IF(AND(H40="",OR(F40="Attended",F40="No-show",AND(F40="Late cancel",Settings!$C$9="Yes"))),1,0)</f>
        <v/>
      </c>
      <c r="L40">
        <f>IF(AND(H40="",F40="Attended"),1,0)</f>
        <v/>
      </c>
      <c r="M40">
        <f>IF(AND(H40="",OR(F40="No-show",F40="Late cancel")),1,0)</f>
        <v/>
      </c>
      <c r="N40">
        <f>IF(AND(H40="",F40="",D40&lt;&gt;"",I40&gt;=TODAY()),ROUND((I40+IF(ISNUMBER(C40),MOD(C40,1),0))*1440,0)*10000+ROW(),"")</f>
        <v/>
      </c>
    </row>
    <row r="41">
      <c r="A41" s="1" t="n"/>
      <c r="B41" s="17" t="n">
        <v>46093</v>
      </c>
      <c r="C41" s="18" t="n">
        <v>0.3333333333333333</v>
      </c>
      <c r="D41" s="19" t="inlineStr">
        <is>
          <t>Ben Carter</t>
        </is>
      </c>
      <c r="E41" s="20" t="inlineStr">
        <is>
          <t>1 to 1</t>
        </is>
      </c>
      <c r="F41" s="20" t="inlineStr">
        <is>
          <t>Attended</t>
        </is>
      </c>
      <c r="G41" s="21" t="n"/>
      <c r="H41" s="12">
        <f>IF(AND(B41="",D41="",F41=""),"",IF(NOT(ISNUMBER(B41)),"Needs a date",IF(D41="","Needs a client",IF(COUNTIF(Clients!$B$6:$B$105,D41)=0,"Not on Clients",IF(AND(F41="",INT(B41)&lt;TODAY()),"Needs a status","")))))</f>
        <v/>
      </c>
      <c r="I41" s="1">
        <f>IF(ISNUMBER(B41),INT(B41),0)</f>
        <v/>
      </c>
      <c r="J41">
        <f>IF(ISNUMBER(B41),YEAR(B41)*100+MONTH(B41),"")</f>
        <v/>
      </c>
      <c r="K41">
        <f>IF(AND(H41="",OR(F41="Attended",F41="No-show",AND(F41="Late cancel",Settings!$C$9="Yes"))),1,0)</f>
        <v/>
      </c>
      <c r="L41">
        <f>IF(AND(H41="",F41="Attended"),1,0)</f>
        <v/>
      </c>
      <c r="M41">
        <f>IF(AND(H41="",OR(F41="No-show",F41="Late cancel")),1,0)</f>
        <v/>
      </c>
      <c r="N41">
        <f>IF(AND(H41="",F41="",D41&lt;&gt;"",I41&gt;=TODAY()),ROUND((I41+IF(ISNUMBER(C41),MOD(C41,1),0))*1440,0)*10000+ROW(),"")</f>
        <v/>
      </c>
    </row>
    <row r="42">
      <c r="A42" s="1" t="n"/>
      <c r="B42" s="17" t="n">
        <v>46094</v>
      </c>
      <c r="C42" s="18" t="n">
        <v>0.7291666666666666</v>
      </c>
      <c r="D42" s="19" t="inlineStr">
        <is>
          <t>Hannah Brooks</t>
        </is>
      </c>
      <c r="E42" s="20" t="inlineStr">
        <is>
          <t>Duo</t>
        </is>
      </c>
      <c r="F42" s="20" t="inlineStr">
        <is>
          <t>Late cancel</t>
        </is>
      </c>
      <c r="G42" s="21" t="n"/>
      <c r="H42" s="12">
        <f>IF(AND(B42="",D42="",F42=""),"",IF(NOT(ISNUMBER(B42)),"Needs a date",IF(D42="","Needs a client",IF(COUNTIF(Clients!$B$6:$B$105,D42)=0,"Not on Clients",IF(AND(F42="",INT(B42)&lt;TODAY()),"Needs a status","")))))</f>
        <v/>
      </c>
      <c r="I42" s="1">
        <f>IF(ISNUMBER(B42),INT(B42),0)</f>
        <v/>
      </c>
      <c r="J42">
        <f>IF(ISNUMBER(B42),YEAR(B42)*100+MONTH(B42),"")</f>
        <v/>
      </c>
      <c r="K42">
        <f>IF(AND(H42="",OR(F42="Attended",F42="No-show",AND(F42="Late cancel",Settings!$C$9="Yes"))),1,0)</f>
        <v/>
      </c>
      <c r="L42">
        <f>IF(AND(H42="",F42="Attended"),1,0)</f>
        <v/>
      </c>
      <c r="M42">
        <f>IF(AND(H42="",OR(F42="No-show",F42="Late cancel")),1,0)</f>
        <v/>
      </c>
      <c r="N42">
        <f>IF(AND(H42="",F42="",D42&lt;&gt;"",I42&gt;=TODAY()),ROUND((I42+IF(ISNUMBER(C42),MOD(C42,1),0))*1440,0)*10000+ROW(),"")</f>
        <v/>
      </c>
    </row>
    <row r="43">
      <c r="A43" s="1" t="n"/>
      <c r="B43" s="17" t="n">
        <v>46095</v>
      </c>
      <c r="C43" s="18" t="n">
        <v>0.2916666666666667</v>
      </c>
      <c r="D43" s="19" t="inlineStr">
        <is>
          <t>Maya Ortiz</t>
        </is>
      </c>
      <c r="E43" s="20" t="inlineStr">
        <is>
          <t>Duo</t>
        </is>
      </c>
      <c r="F43" s="20" t="inlineStr">
        <is>
          <t>Attended</t>
        </is>
      </c>
      <c r="G43" s="21" t="n"/>
      <c r="H43" s="12">
        <f>IF(AND(B43="",D43="",F43=""),"",IF(NOT(ISNUMBER(B43)),"Needs a date",IF(D43="","Needs a client",IF(COUNTIF(Clients!$B$6:$B$105,D43)=0,"Not on Clients",IF(AND(F43="",INT(B43)&lt;TODAY()),"Needs a status","")))))</f>
        <v/>
      </c>
      <c r="I43" s="1">
        <f>IF(ISNUMBER(B43),INT(B43),0)</f>
        <v/>
      </c>
      <c r="J43">
        <f>IF(ISNUMBER(B43),YEAR(B43)*100+MONTH(B43),"")</f>
        <v/>
      </c>
      <c r="K43">
        <f>IF(AND(H43="",OR(F43="Attended",F43="No-show",AND(F43="Late cancel",Settings!$C$9="Yes"))),1,0)</f>
        <v/>
      </c>
      <c r="L43">
        <f>IF(AND(H43="",F43="Attended"),1,0)</f>
        <v/>
      </c>
      <c r="M43">
        <f>IF(AND(H43="",OR(F43="No-show",F43="Late cancel")),1,0)</f>
        <v/>
      </c>
      <c r="N43">
        <f>IF(AND(H43="",F43="",D43&lt;&gt;"",I43&gt;=TODAY()),ROUND((I43+IF(ISNUMBER(C43),MOD(C43,1),0))*1440,0)*10000+ROW(),"")</f>
        <v/>
      </c>
    </row>
    <row r="44">
      <c r="A44" s="1" t="n"/>
      <c r="B44" s="17" t="n">
        <v>46096</v>
      </c>
      <c r="C44" s="18" t="n">
        <v>0.3333333333333333</v>
      </c>
      <c r="D44" s="19" t="inlineStr">
        <is>
          <t>Ben Carter</t>
        </is>
      </c>
      <c r="E44" s="20" t="inlineStr">
        <is>
          <t>1 to 1</t>
        </is>
      </c>
      <c r="F44" s="20" t="inlineStr">
        <is>
          <t>Attended</t>
        </is>
      </c>
      <c r="G44" s="21" t="n"/>
      <c r="H44" s="12">
        <f>IF(AND(B44="",D44="",F44=""),"",IF(NOT(ISNUMBER(B44)),"Needs a date",IF(D44="","Needs a client",IF(COUNTIF(Clients!$B$6:$B$105,D44)=0,"Not on Clients",IF(AND(F44="",INT(B44)&lt;TODAY()),"Needs a status","")))))</f>
        <v/>
      </c>
      <c r="I44" s="1">
        <f>IF(ISNUMBER(B44),INT(B44),0)</f>
        <v/>
      </c>
      <c r="J44">
        <f>IF(ISNUMBER(B44),YEAR(B44)*100+MONTH(B44),"")</f>
        <v/>
      </c>
      <c r="K44">
        <f>IF(AND(H44="",OR(F44="Attended",F44="No-show",AND(F44="Late cancel",Settings!$C$9="Yes"))),1,0)</f>
        <v/>
      </c>
      <c r="L44">
        <f>IF(AND(H44="",F44="Attended"),1,0)</f>
        <v/>
      </c>
      <c r="M44">
        <f>IF(AND(H44="",OR(F44="No-show",F44="Late cancel")),1,0)</f>
        <v/>
      </c>
      <c r="N44">
        <f>IF(AND(H44="",F44="",D44&lt;&gt;"",I44&gt;=TODAY()),ROUND((I44+IF(ISNUMBER(C44),MOD(C44,1),0))*1440,0)*10000+ROW(),"")</f>
        <v/>
      </c>
    </row>
    <row r="45">
      <c r="A45" s="1" t="n"/>
      <c r="B45" s="17" t="n">
        <v>46098</v>
      </c>
      <c r="C45" s="18" t="n">
        <v>0.7291666666666666</v>
      </c>
      <c r="D45" s="19" t="inlineStr">
        <is>
          <t>Hannah Brooks</t>
        </is>
      </c>
      <c r="E45" s="20" t="inlineStr">
        <is>
          <t>Duo</t>
        </is>
      </c>
      <c r="F45" s="20" t="inlineStr">
        <is>
          <t>Attended</t>
        </is>
      </c>
      <c r="G45" s="21" t="n"/>
      <c r="H45" s="12">
        <f>IF(AND(B45="",D45="",F45=""),"",IF(NOT(ISNUMBER(B45)),"Needs a date",IF(D45="","Needs a client",IF(COUNTIF(Clients!$B$6:$B$105,D45)=0,"Not on Clients",IF(AND(F45="",INT(B45)&lt;TODAY()),"Needs a status","")))))</f>
        <v/>
      </c>
      <c r="I45" s="1">
        <f>IF(ISNUMBER(B45),INT(B45),0)</f>
        <v/>
      </c>
      <c r="J45">
        <f>IF(ISNUMBER(B45),YEAR(B45)*100+MONTH(B45),"")</f>
        <v/>
      </c>
      <c r="K45">
        <f>IF(AND(H45="",OR(F45="Attended",F45="No-show",AND(F45="Late cancel",Settings!$C$9="Yes"))),1,0)</f>
        <v/>
      </c>
      <c r="L45">
        <f>IF(AND(H45="",F45="Attended"),1,0)</f>
        <v/>
      </c>
      <c r="M45">
        <f>IF(AND(H45="",OR(F45="No-show",F45="Late cancel")),1,0)</f>
        <v/>
      </c>
      <c r="N45">
        <f>IF(AND(H45="",F45="",D45&lt;&gt;"",I45&gt;=TODAY()),ROUND((I45+IF(ISNUMBER(C45),MOD(C45,1),0))*1440,0)*10000+ROW(),"")</f>
        <v/>
      </c>
    </row>
    <row r="46">
      <c r="A46" s="1" t="n"/>
      <c r="B46" s="17" t="n">
        <v>46100</v>
      </c>
      <c r="C46" s="18" t="n">
        <v>0.3333333333333333</v>
      </c>
      <c r="D46" s="19" t="inlineStr">
        <is>
          <t>Ben Carter</t>
        </is>
      </c>
      <c r="E46" s="20" t="inlineStr">
        <is>
          <t>1 to 1</t>
        </is>
      </c>
      <c r="F46" s="20" t="inlineStr">
        <is>
          <t>Late cancel</t>
        </is>
      </c>
      <c r="G46" s="21" t="n"/>
      <c r="H46" s="12">
        <f>IF(AND(B46="",D46="",F46=""),"",IF(NOT(ISNUMBER(B46)),"Needs a date",IF(D46="","Needs a client",IF(COUNTIF(Clients!$B$6:$B$105,D46)=0,"Not on Clients",IF(AND(F46="",INT(B46)&lt;TODAY()),"Needs a status","")))))</f>
        <v/>
      </c>
      <c r="I46" s="1">
        <f>IF(ISNUMBER(B46),INT(B46),0)</f>
        <v/>
      </c>
      <c r="J46">
        <f>IF(ISNUMBER(B46),YEAR(B46)*100+MONTH(B46),"")</f>
        <v/>
      </c>
      <c r="K46">
        <f>IF(AND(H46="",OR(F46="Attended",F46="No-show",AND(F46="Late cancel",Settings!$C$9="Yes"))),1,0)</f>
        <v/>
      </c>
      <c r="L46">
        <f>IF(AND(H46="",F46="Attended"),1,0)</f>
        <v/>
      </c>
      <c r="M46">
        <f>IF(AND(H46="",OR(F46="No-show",F46="Late cancel")),1,0)</f>
        <v/>
      </c>
      <c r="N46">
        <f>IF(AND(H46="",F46="",D46&lt;&gt;"",I46&gt;=TODAY()),ROUND((I46+IF(ISNUMBER(C46),MOD(C46,1),0))*1440,0)*10000+ROW(),"")</f>
        <v/>
      </c>
    </row>
    <row r="47">
      <c r="A47" s="1" t="n"/>
      <c r="B47" s="17" t="n">
        <v>46101</v>
      </c>
      <c r="C47" s="18" t="n">
        <v>0.7291666666666666</v>
      </c>
      <c r="D47" s="19" t="inlineStr">
        <is>
          <t>Hannah Brooks</t>
        </is>
      </c>
      <c r="E47" s="20" t="inlineStr">
        <is>
          <t>Duo</t>
        </is>
      </c>
      <c r="F47" s="20" t="inlineStr">
        <is>
          <t>Attended</t>
        </is>
      </c>
      <c r="G47" s="21" t="n"/>
      <c r="H47" s="12">
        <f>IF(AND(B47="",D47="",F47=""),"",IF(NOT(ISNUMBER(B47)),"Needs a date",IF(D47="","Needs a client",IF(COUNTIF(Clients!$B$6:$B$105,D47)=0,"Not on Clients",IF(AND(F47="",INT(B47)&lt;TODAY()),"Needs a status","")))))</f>
        <v/>
      </c>
      <c r="I47" s="1">
        <f>IF(ISNUMBER(B47),INT(B47),0)</f>
        <v/>
      </c>
      <c r="J47">
        <f>IF(ISNUMBER(B47),YEAR(B47)*100+MONTH(B47),"")</f>
        <v/>
      </c>
      <c r="K47">
        <f>IF(AND(H47="",OR(F47="Attended",F47="No-show",AND(F47="Late cancel",Settings!$C$9="Yes"))),1,0)</f>
        <v/>
      </c>
      <c r="L47">
        <f>IF(AND(H47="",F47="Attended"),1,0)</f>
        <v/>
      </c>
      <c r="M47">
        <f>IF(AND(H47="",OR(F47="No-show",F47="Late cancel")),1,0)</f>
        <v/>
      </c>
      <c r="N47">
        <f>IF(AND(H47="",F47="",D47&lt;&gt;"",I47&gt;=TODAY()),ROUND((I47+IF(ISNUMBER(C47),MOD(C47,1),0))*1440,0)*10000+ROW(),"")</f>
        <v/>
      </c>
    </row>
    <row r="48">
      <c r="A48" s="1" t="n"/>
      <c r="B48" s="17" t="n">
        <v>46102</v>
      </c>
      <c r="C48" s="18" t="n">
        <v>0.2916666666666667</v>
      </c>
      <c r="D48" s="19" t="inlineStr">
        <is>
          <t>Maya Ortiz</t>
        </is>
      </c>
      <c r="E48" s="20" t="inlineStr">
        <is>
          <t>Duo</t>
        </is>
      </c>
      <c r="F48" s="20" t="inlineStr">
        <is>
          <t>Attended</t>
        </is>
      </c>
      <c r="G48" s="21" t="n"/>
      <c r="H48" s="12">
        <f>IF(AND(B48="",D48="",F48=""),"",IF(NOT(ISNUMBER(B48)),"Needs a date",IF(D48="","Needs a client",IF(COUNTIF(Clients!$B$6:$B$105,D48)=0,"Not on Clients",IF(AND(F48="",INT(B48)&lt;TODAY()),"Needs a status","")))))</f>
        <v/>
      </c>
      <c r="I48" s="1">
        <f>IF(ISNUMBER(B48),INT(B48),0)</f>
        <v/>
      </c>
      <c r="J48">
        <f>IF(ISNUMBER(B48),YEAR(B48)*100+MONTH(B48),"")</f>
        <v/>
      </c>
      <c r="K48">
        <f>IF(AND(H48="",OR(F48="Attended",F48="No-show",AND(F48="Late cancel",Settings!$C$9="Yes"))),1,0)</f>
        <v/>
      </c>
      <c r="L48">
        <f>IF(AND(H48="",F48="Attended"),1,0)</f>
        <v/>
      </c>
      <c r="M48">
        <f>IF(AND(H48="",OR(F48="No-show",F48="Late cancel")),1,0)</f>
        <v/>
      </c>
      <c r="N48">
        <f>IF(AND(H48="",F48="",D48&lt;&gt;"",I48&gt;=TODAY()),ROUND((I48+IF(ISNUMBER(C48),MOD(C48,1),0))*1440,0)*10000+ROW(),"")</f>
        <v/>
      </c>
    </row>
    <row r="49">
      <c r="A49" s="1" t="n"/>
      <c r="B49" s="17" t="n">
        <v>46103</v>
      </c>
      <c r="C49" s="18" t="n">
        <v>0.3333333333333333</v>
      </c>
      <c r="D49" s="19" t="inlineStr">
        <is>
          <t>Ben Carter</t>
        </is>
      </c>
      <c r="E49" s="20" t="inlineStr">
        <is>
          <t>1 to 1</t>
        </is>
      </c>
      <c r="F49" s="20" t="inlineStr">
        <is>
          <t>Attended</t>
        </is>
      </c>
      <c r="G49" s="21" t="n"/>
      <c r="H49" s="12">
        <f>IF(AND(B49="",D49="",F49=""),"",IF(NOT(ISNUMBER(B49)),"Needs a date",IF(D49="","Needs a client",IF(COUNTIF(Clients!$B$6:$B$105,D49)=0,"Not on Clients",IF(AND(F49="",INT(B49)&lt;TODAY()),"Needs a status","")))))</f>
        <v/>
      </c>
      <c r="I49" s="1">
        <f>IF(ISNUMBER(B49),INT(B49),0)</f>
        <v/>
      </c>
      <c r="J49">
        <f>IF(ISNUMBER(B49),YEAR(B49)*100+MONTH(B49),"")</f>
        <v/>
      </c>
      <c r="K49">
        <f>IF(AND(H49="",OR(F49="Attended",F49="No-show",AND(F49="Late cancel",Settings!$C$9="Yes"))),1,0)</f>
        <v/>
      </c>
      <c r="L49">
        <f>IF(AND(H49="",F49="Attended"),1,0)</f>
        <v/>
      </c>
      <c r="M49">
        <f>IF(AND(H49="",OR(F49="No-show",F49="Late cancel")),1,0)</f>
        <v/>
      </c>
      <c r="N49">
        <f>IF(AND(H49="",F49="",D49&lt;&gt;"",I49&gt;=TODAY()),ROUND((I49+IF(ISNUMBER(C49),MOD(C49,1),0))*1440,0)*10000+ROW(),"")</f>
        <v/>
      </c>
    </row>
    <row r="50">
      <c r="A50" s="1" t="n"/>
      <c r="B50" s="17" t="n">
        <v>46105</v>
      </c>
      <c r="C50" s="18" t="n">
        <v>0.7291666666666666</v>
      </c>
      <c r="D50" s="19" t="inlineStr">
        <is>
          <t>Hannah Brooks</t>
        </is>
      </c>
      <c r="E50" s="20" t="inlineStr">
        <is>
          <t>Duo</t>
        </is>
      </c>
      <c r="F50" s="20" t="inlineStr">
        <is>
          <t>Attended</t>
        </is>
      </c>
      <c r="G50" s="21" t="n"/>
      <c r="H50" s="12">
        <f>IF(AND(B50="",D50="",F50=""),"",IF(NOT(ISNUMBER(B50)),"Needs a date",IF(D50="","Needs a client",IF(COUNTIF(Clients!$B$6:$B$105,D50)=0,"Not on Clients",IF(AND(F50="",INT(B50)&lt;TODAY()),"Needs a status","")))))</f>
        <v/>
      </c>
      <c r="I50" s="1">
        <f>IF(ISNUMBER(B50),INT(B50),0)</f>
        <v/>
      </c>
      <c r="J50">
        <f>IF(ISNUMBER(B50),YEAR(B50)*100+MONTH(B50),"")</f>
        <v/>
      </c>
      <c r="K50">
        <f>IF(AND(H50="",OR(F50="Attended",F50="No-show",AND(F50="Late cancel",Settings!$C$9="Yes"))),1,0)</f>
        <v/>
      </c>
      <c r="L50">
        <f>IF(AND(H50="",F50="Attended"),1,0)</f>
        <v/>
      </c>
      <c r="M50">
        <f>IF(AND(H50="",OR(F50="No-show",F50="Late cancel")),1,0)</f>
        <v/>
      </c>
      <c r="N50">
        <f>IF(AND(H50="",F50="",D50&lt;&gt;"",I50&gt;=TODAY()),ROUND((I50+IF(ISNUMBER(C50),MOD(C50,1),0))*1440,0)*10000+ROW(),"")</f>
        <v/>
      </c>
    </row>
    <row r="51">
      <c r="A51" s="1" t="n"/>
      <c r="B51" s="17" t="n">
        <v>46107</v>
      </c>
      <c r="C51" s="18" t="n">
        <v>0.3333333333333333</v>
      </c>
      <c r="D51" s="19" t="inlineStr">
        <is>
          <t>Ben Carter</t>
        </is>
      </c>
      <c r="E51" s="20" t="inlineStr">
        <is>
          <t>1 to 1</t>
        </is>
      </c>
      <c r="F51" s="20" t="inlineStr">
        <is>
          <t>Attended</t>
        </is>
      </c>
      <c r="G51" s="21" t="n"/>
      <c r="H51" s="12">
        <f>IF(AND(B51="",D51="",F51=""),"",IF(NOT(ISNUMBER(B51)),"Needs a date",IF(D51="","Needs a client",IF(COUNTIF(Clients!$B$6:$B$105,D51)=0,"Not on Clients",IF(AND(F51="",INT(B51)&lt;TODAY()),"Needs a status","")))))</f>
        <v/>
      </c>
      <c r="I51" s="1">
        <f>IF(ISNUMBER(B51),INT(B51),0)</f>
        <v/>
      </c>
      <c r="J51">
        <f>IF(ISNUMBER(B51),YEAR(B51)*100+MONTH(B51),"")</f>
        <v/>
      </c>
      <c r="K51">
        <f>IF(AND(H51="",OR(F51="Attended",F51="No-show",AND(F51="Late cancel",Settings!$C$9="Yes"))),1,0)</f>
        <v/>
      </c>
      <c r="L51">
        <f>IF(AND(H51="",F51="Attended"),1,0)</f>
        <v/>
      </c>
      <c r="M51">
        <f>IF(AND(H51="",OR(F51="No-show",F51="Late cancel")),1,0)</f>
        <v/>
      </c>
      <c r="N51">
        <f>IF(AND(H51="",F51="",D51&lt;&gt;"",I51&gt;=TODAY()),ROUND((I51+IF(ISNUMBER(C51),MOD(C51,1),0))*1440,0)*10000+ROW(),"")</f>
        <v/>
      </c>
    </row>
    <row r="52">
      <c r="A52" s="1" t="n"/>
      <c r="B52" s="17" t="n">
        <v>46108</v>
      </c>
      <c r="C52" s="18" t="n">
        <v>0.7291666666666666</v>
      </c>
      <c r="D52" s="19" t="inlineStr">
        <is>
          <t>Hannah Brooks</t>
        </is>
      </c>
      <c r="E52" s="20" t="inlineStr">
        <is>
          <t>Duo</t>
        </is>
      </c>
      <c r="F52" s="20" t="inlineStr">
        <is>
          <t>Attended</t>
        </is>
      </c>
      <c r="G52" s="21" t="n"/>
      <c r="H52" s="12">
        <f>IF(AND(B52="",D52="",F52=""),"",IF(NOT(ISNUMBER(B52)),"Needs a date",IF(D52="","Needs a client",IF(COUNTIF(Clients!$B$6:$B$105,D52)=0,"Not on Clients",IF(AND(F52="",INT(B52)&lt;TODAY()),"Needs a status","")))))</f>
        <v/>
      </c>
      <c r="I52" s="1">
        <f>IF(ISNUMBER(B52),INT(B52),0)</f>
        <v/>
      </c>
      <c r="J52">
        <f>IF(ISNUMBER(B52),YEAR(B52)*100+MONTH(B52),"")</f>
        <v/>
      </c>
      <c r="K52">
        <f>IF(AND(H52="",OR(F52="Attended",F52="No-show",AND(F52="Late cancel",Settings!$C$9="Yes"))),1,0)</f>
        <v/>
      </c>
      <c r="L52">
        <f>IF(AND(H52="",F52="Attended"),1,0)</f>
        <v/>
      </c>
      <c r="M52">
        <f>IF(AND(H52="",OR(F52="No-show",F52="Late cancel")),1,0)</f>
        <v/>
      </c>
      <c r="N52">
        <f>IF(AND(H52="",F52="",D52&lt;&gt;"",I52&gt;=TODAY()),ROUND((I52+IF(ISNUMBER(C52),MOD(C52,1),0))*1440,0)*10000+ROW(),"")</f>
        <v/>
      </c>
    </row>
    <row r="53">
      <c r="A53" s="1" t="n"/>
      <c r="B53" s="17" t="n">
        <v>46109</v>
      </c>
      <c r="C53" s="18" t="n">
        <v>0.2916666666666667</v>
      </c>
      <c r="D53" s="19" t="inlineStr">
        <is>
          <t>Maya Ortiz</t>
        </is>
      </c>
      <c r="E53" s="20" t="inlineStr">
        <is>
          <t>Duo</t>
        </is>
      </c>
      <c r="F53" s="20" t="inlineStr">
        <is>
          <t>Attended</t>
        </is>
      </c>
      <c r="G53" s="21" t="n"/>
      <c r="H53" s="12">
        <f>IF(AND(B53="",D53="",F53=""),"",IF(NOT(ISNUMBER(B53)),"Needs a date",IF(D53="","Needs a client",IF(COUNTIF(Clients!$B$6:$B$105,D53)=0,"Not on Clients",IF(AND(F53="",INT(B53)&lt;TODAY()),"Needs a status","")))))</f>
        <v/>
      </c>
      <c r="I53" s="1">
        <f>IF(ISNUMBER(B53),INT(B53),0)</f>
        <v/>
      </c>
      <c r="J53">
        <f>IF(ISNUMBER(B53),YEAR(B53)*100+MONTH(B53),"")</f>
        <v/>
      </c>
      <c r="K53">
        <f>IF(AND(H53="",OR(F53="Attended",F53="No-show",AND(F53="Late cancel",Settings!$C$9="Yes"))),1,0)</f>
        <v/>
      </c>
      <c r="L53">
        <f>IF(AND(H53="",F53="Attended"),1,0)</f>
        <v/>
      </c>
      <c r="M53">
        <f>IF(AND(H53="",OR(F53="No-show",F53="Late cancel")),1,0)</f>
        <v/>
      </c>
      <c r="N53">
        <f>IF(AND(H53="",F53="",D53&lt;&gt;"",I53&gt;=TODAY()),ROUND((I53+IF(ISNUMBER(C53),MOD(C53,1),0))*1440,0)*10000+ROW(),"")</f>
        <v/>
      </c>
    </row>
    <row r="54">
      <c r="A54" s="1" t="n"/>
      <c r="B54" s="17" t="n">
        <v>46110</v>
      </c>
      <c r="C54" s="18" t="n">
        <v>0.3333333333333333</v>
      </c>
      <c r="D54" s="19" t="inlineStr">
        <is>
          <t>Ben Carter</t>
        </is>
      </c>
      <c r="E54" s="20" t="inlineStr">
        <is>
          <t>1 to 1</t>
        </is>
      </c>
      <c r="F54" s="20" t="inlineStr">
        <is>
          <t>Attended</t>
        </is>
      </c>
      <c r="G54" s="21" t="n"/>
      <c r="H54" s="12">
        <f>IF(AND(B54="",D54="",F54=""),"",IF(NOT(ISNUMBER(B54)),"Needs a date",IF(D54="","Needs a client",IF(COUNTIF(Clients!$B$6:$B$105,D54)=0,"Not on Clients",IF(AND(F54="",INT(B54)&lt;TODAY()),"Needs a status","")))))</f>
        <v/>
      </c>
      <c r="I54" s="1">
        <f>IF(ISNUMBER(B54),INT(B54),0)</f>
        <v/>
      </c>
      <c r="J54">
        <f>IF(ISNUMBER(B54),YEAR(B54)*100+MONTH(B54),"")</f>
        <v/>
      </c>
      <c r="K54">
        <f>IF(AND(H54="",OR(F54="Attended",F54="No-show",AND(F54="Late cancel",Settings!$C$9="Yes"))),1,0)</f>
        <v/>
      </c>
      <c r="L54">
        <f>IF(AND(H54="",F54="Attended"),1,0)</f>
        <v/>
      </c>
      <c r="M54">
        <f>IF(AND(H54="",OR(F54="No-show",F54="Late cancel")),1,0)</f>
        <v/>
      </c>
      <c r="N54">
        <f>IF(AND(H54="",F54="",D54&lt;&gt;"",I54&gt;=TODAY()),ROUND((I54+IF(ISNUMBER(C54),MOD(C54,1),0))*1440,0)*10000+ROW(),"")</f>
        <v/>
      </c>
    </row>
    <row r="55">
      <c r="A55" s="1" t="n"/>
      <c r="B55" s="17" t="n">
        <v>46112</v>
      </c>
      <c r="C55" s="18" t="n">
        <v>0.7291666666666666</v>
      </c>
      <c r="D55" s="19" t="inlineStr">
        <is>
          <t>Hannah Brooks</t>
        </is>
      </c>
      <c r="E55" s="20" t="inlineStr">
        <is>
          <t>Duo</t>
        </is>
      </c>
      <c r="F55" s="20" t="inlineStr">
        <is>
          <t>Attended</t>
        </is>
      </c>
      <c r="G55" s="21" t="n"/>
      <c r="H55" s="12">
        <f>IF(AND(B55="",D55="",F55=""),"",IF(NOT(ISNUMBER(B55)),"Needs a date",IF(D55="","Needs a client",IF(COUNTIF(Clients!$B$6:$B$105,D55)=0,"Not on Clients",IF(AND(F55="",INT(B55)&lt;TODAY()),"Needs a status","")))))</f>
        <v/>
      </c>
      <c r="I55" s="1">
        <f>IF(ISNUMBER(B55),INT(B55),0)</f>
        <v/>
      </c>
      <c r="J55">
        <f>IF(ISNUMBER(B55),YEAR(B55)*100+MONTH(B55),"")</f>
        <v/>
      </c>
      <c r="K55">
        <f>IF(AND(H55="",OR(F55="Attended",F55="No-show",AND(F55="Late cancel",Settings!$C$9="Yes"))),1,0)</f>
        <v/>
      </c>
      <c r="L55">
        <f>IF(AND(H55="",F55="Attended"),1,0)</f>
        <v/>
      </c>
      <c r="M55">
        <f>IF(AND(H55="",OR(F55="No-show",F55="Late cancel")),1,0)</f>
        <v/>
      </c>
      <c r="N55">
        <f>IF(AND(H55="",F55="",D55&lt;&gt;"",I55&gt;=TODAY()),ROUND((I55+IF(ISNUMBER(C55),MOD(C55,1),0))*1440,0)*10000+ROW(),"")</f>
        <v/>
      </c>
    </row>
    <row r="56">
      <c r="A56" s="1" t="n"/>
      <c r="B56" s="17" t="n">
        <v>46113</v>
      </c>
      <c r="C56" s="18" t="n">
        <v>0.5208333333333334</v>
      </c>
      <c r="D56" s="19" t="inlineStr">
        <is>
          <t>Priya Nair</t>
        </is>
      </c>
      <c r="E56" s="20" t="inlineStr">
        <is>
          <t>1 to 1</t>
        </is>
      </c>
      <c r="F56" s="20" t="inlineStr">
        <is>
          <t>Attended</t>
        </is>
      </c>
      <c r="G56" s="21" t="n"/>
      <c r="H56" s="12">
        <f>IF(AND(B56="",D56="",F56=""),"",IF(NOT(ISNUMBER(B56)),"Needs a date",IF(D56="","Needs a client",IF(COUNTIF(Clients!$B$6:$B$105,D56)=0,"Not on Clients",IF(AND(F56="",INT(B56)&lt;TODAY()),"Needs a status","")))))</f>
        <v/>
      </c>
      <c r="I56" s="1">
        <f>IF(ISNUMBER(B56),INT(B56),0)</f>
        <v/>
      </c>
      <c r="J56">
        <f>IF(ISNUMBER(B56),YEAR(B56)*100+MONTH(B56),"")</f>
        <v/>
      </c>
      <c r="K56">
        <f>IF(AND(H56="",OR(F56="Attended",F56="No-show",AND(F56="Late cancel",Settings!$C$9="Yes"))),1,0)</f>
        <v/>
      </c>
      <c r="L56">
        <f>IF(AND(H56="",F56="Attended"),1,0)</f>
        <v/>
      </c>
      <c r="M56">
        <f>IF(AND(H56="",OR(F56="No-show",F56="Late cancel")),1,0)</f>
        <v/>
      </c>
      <c r="N56">
        <f>IF(AND(H56="",F56="",D56&lt;&gt;"",I56&gt;=TODAY()),ROUND((I56+IF(ISNUMBER(C56),MOD(C56,1),0))*1440,0)*10000+ROW(),"")</f>
        <v/>
      </c>
    </row>
    <row r="57">
      <c r="A57" s="1" t="n"/>
      <c r="B57" s="17" t="n">
        <v>46114</v>
      </c>
      <c r="C57" s="18" t="n">
        <v>0.3333333333333333</v>
      </c>
      <c r="D57" s="19" t="inlineStr">
        <is>
          <t>Ben Carter</t>
        </is>
      </c>
      <c r="E57" s="20" t="inlineStr">
        <is>
          <t>1 to 1</t>
        </is>
      </c>
      <c r="F57" s="20" t="inlineStr">
        <is>
          <t>Attended</t>
        </is>
      </c>
      <c r="G57" s="21" t="n"/>
      <c r="H57" s="12">
        <f>IF(AND(B57="",D57="",F57=""),"",IF(NOT(ISNUMBER(B57)),"Needs a date",IF(D57="","Needs a client",IF(COUNTIF(Clients!$B$6:$B$105,D57)=0,"Not on Clients",IF(AND(F57="",INT(B57)&lt;TODAY()),"Needs a status","")))))</f>
        <v/>
      </c>
      <c r="I57" s="1">
        <f>IF(ISNUMBER(B57),INT(B57),0)</f>
        <v/>
      </c>
      <c r="J57">
        <f>IF(ISNUMBER(B57),YEAR(B57)*100+MONTH(B57),"")</f>
        <v/>
      </c>
      <c r="K57">
        <f>IF(AND(H57="",OR(F57="Attended",F57="No-show",AND(F57="Late cancel",Settings!$C$9="Yes"))),1,0)</f>
        <v/>
      </c>
      <c r="L57">
        <f>IF(AND(H57="",F57="Attended"),1,0)</f>
        <v/>
      </c>
      <c r="M57">
        <f>IF(AND(H57="",OR(F57="No-show",F57="Late cancel")),1,0)</f>
        <v/>
      </c>
      <c r="N57">
        <f>IF(AND(H57="",F57="",D57&lt;&gt;"",I57&gt;=TODAY()),ROUND((I57+IF(ISNUMBER(C57),MOD(C57,1),0))*1440,0)*10000+ROW(),"")</f>
        <v/>
      </c>
    </row>
    <row r="58">
      <c r="A58" s="1" t="n"/>
      <c r="B58" s="17" t="n">
        <v>46115</v>
      </c>
      <c r="C58" s="18" t="n">
        <v>0.7291666666666666</v>
      </c>
      <c r="D58" s="19" t="inlineStr">
        <is>
          <t>Hannah Brooks</t>
        </is>
      </c>
      <c r="E58" s="20" t="inlineStr">
        <is>
          <t>Duo</t>
        </is>
      </c>
      <c r="F58" s="20" t="inlineStr">
        <is>
          <t>Attended</t>
        </is>
      </c>
      <c r="G58" s="21" t="n"/>
      <c r="H58" s="12">
        <f>IF(AND(B58="",D58="",F58=""),"",IF(NOT(ISNUMBER(B58)),"Needs a date",IF(D58="","Needs a client",IF(COUNTIF(Clients!$B$6:$B$105,D58)=0,"Not on Clients",IF(AND(F58="",INT(B58)&lt;TODAY()),"Needs a status","")))))</f>
        <v/>
      </c>
      <c r="I58" s="1">
        <f>IF(ISNUMBER(B58),INT(B58),0)</f>
        <v/>
      </c>
      <c r="J58">
        <f>IF(ISNUMBER(B58),YEAR(B58)*100+MONTH(B58),"")</f>
        <v/>
      </c>
      <c r="K58">
        <f>IF(AND(H58="",OR(F58="Attended",F58="No-show",AND(F58="Late cancel",Settings!$C$9="Yes"))),1,0)</f>
        <v/>
      </c>
      <c r="L58">
        <f>IF(AND(H58="",F58="Attended"),1,0)</f>
        <v/>
      </c>
      <c r="M58">
        <f>IF(AND(H58="",OR(F58="No-show",F58="Late cancel")),1,0)</f>
        <v/>
      </c>
      <c r="N58">
        <f>IF(AND(H58="",F58="",D58&lt;&gt;"",I58&gt;=TODAY()),ROUND((I58+IF(ISNUMBER(C58),MOD(C58,1),0))*1440,0)*10000+ROW(),"")</f>
        <v/>
      </c>
    </row>
    <row r="59">
      <c r="A59" s="1" t="n"/>
      <c r="B59" s="17" t="n">
        <v>46116</v>
      </c>
      <c r="C59" s="18" t="n">
        <v>0.2916666666666667</v>
      </c>
      <c r="D59" s="19" t="inlineStr">
        <is>
          <t>Maya Ortiz</t>
        </is>
      </c>
      <c r="E59" s="20" t="inlineStr">
        <is>
          <t>Duo</t>
        </is>
      </c>
      <c r="F59" s="20" t="inlineStr">
        <is>
          <t>Attended</t>
        </is>
      </c>
      <c r="G59" s="21" t="n"/>
      <c r="H59" s="12">
        <f>IF(AND(B59="",D59="",F59=""),"",IF(NOT(ISNUMBER(B59)),"Needs a date",IF(D59="","Needs a client",IF(COUNTIF(Clients!$B$6:$B$105,D59)=0,"Not on Clients",IF(AND(F59="",INT(B59)&lt;TODAY()),"Needs a status","")))))</f>
        <v/>
      </c>
      <c r="I59" s="1">
        <f>IF(ISNUMBER(B59),INT(B59),0)</f>
        <v/>
      </c>
      <c r="J59">
        <f>IF(ISNUMBER(B59),YEAR(B59)*100+MONTH(B59),"")</f>
        <v/>
      </c>
      <c r="K59">
        <f>IF(AND(H59="",OR(F59="Attended",F59="No-show",AND(F59="Late cancel",Settings!$C$9="Yes"))),1,0)</f>
        <v/>
      </c>
      <c r="L59">
        <f>IF(AND(H59="",F59="Attended"),1,0)</f>
        <v/>
      </c>
      <c r="M59">
        <f>IF(AND(H59="",OR(F59="No-show",F59="Late cancel")),1,0)</f>
        <v/>
      </c>
      <c r="N59">
        <f>IF(AND(H59="",F59="",D59&lt;&gt;"",I59&gt;=TODAY()),ROUND((I59+IF(ISNUMBER(C59),MOD(C59,1),0))*1440,0)*10000+ROW(),"")</f>
        <v/>
      </c>
    </row>
    <row r="60">
      <c r="A60" s="1" t="n"/>
      <c r="B60" s="17" t="n">
        <v>46116</v>
      </c>
      <c r="C60" s="18" t="n">
        <v>0.5208333333333334</v>
      </c>
      <c r="D60" s="19" t="inlineStr">
        <is>
          <t>Priya Nair</t>
        </is>
      </c>
      <c r="E60" s="20" t="inlineStr">
        <is>
          <t>1 to 1</t>
        </is>
      </c>
      <c r="F60" s="20" t="inlineStr">
        <is>
          <t>Late cancel</t>
        </is>
      </c>
      <c r="G60" s="21" t="n"/>
      <c r="H60" s="12">
        <f>IF(AND(B60="",D60="",F60=""),"",IF(NOT(ISNUMBER(B60)),"Needs a date",IF(D60="","Needs a client",IF(COUNTIF(Clients!$B$6:$B$105,D60)=0,"Not on Clients",IF(AND(F60="",INT(B60)&lt;TODAY()),"Needs a status","")))))</f>
        <v/>
      </c>
      <c r="I60" s="1">
        <f>IF(ISNUMBER(B60),INT(B60),0)</f>
        <v/>
      </c>
      <c r="J60">
        <f>IF(ISNUMBER(B60),YEAR(B60)*100+MONTH(B60),"")</f>
        <v/>
      </c>
      <c r="K60">
        <f>IF(AND(H60="",OR(F60="Attended",F60="No-show",AND(F60="Late cancel",Settings!$C$9="Yes"))),1,0)</f>
        <v/>
      </c>
      <c r="L60">
        <f>IF(AND(H60="",F60="Attended"),1,0)</f>
        <v/>
      </c>
      <c r="M60">
        <f>IF(AND(H60="",OR(F60="No-show",F60="Late cancel")),1,0)</f>
        <v/>
      </c>
      <c r="N60">
        <f>IF(AND(H60="",F60="",D60&lt;&gt;"",I60&gt;=TODAY()),ROUND((I60+IF(ISNUMBER(C60),MOD(C60,1),0))*1440,0)*10000+ROW(),"")</f>
        <v/>
      </c>
    </row>
    <row r="61">
      <c r="A61" s="1" t="n"/>
      <c r="B61" s="17" t="n">
        <v>46117</v>
      </c>
      <c r="C61" s="18" t="n">
        <v>0.3333333333333333</v>
      </c>
      <c r="D61" s="19" t="inlineStr">
        <is>
          <t>Ben Carter</t>
        </is>
      </c>
      <c r="E61" s="20" t="inlineStr">
        <is>
          <t>1 to 1</t>
        </is>
      </c>
      <c r="F61" s="20" t="inlineStr">
        <is>
          <t>Attended</t>
        </is>
      </c>
      <c r="G61" s="21" t="n"/>
      <c r="H61" s="12">
        <f>IF(AND(B61="",D61="",F61=""),"",IF(NOT(ISNUMBER(B61)),"Needs a date",IF(D61="","Needs a client",IF(COUNTIF(Clients!$B$6:$B$105,D61)=0,"Not on Clients",IF(AND(F61="",INT(B61)&lt;TODAY()),"Needs a status","")))))</f>
        <v/>
      </c>
      <c r="I61" s="1">
        <f>IF(ISNUMBER(B61),INT(B61),0)</f>
        <v/>
      </c>
      <c r="J61">
        <f>IF(ISNUMBER(B61),YEAR(B61)*100+MONTH(B61),"")</f>
        <v/>
      </c>
      <c r="K61">
        <f>IF(AND(H61="",OR(F61="Attended",F61="No-show",AND(F61="Late cancel",Settings!$C$9="Yes"))),1,0)</f>
        <v/>
      </c>
      <c r="L61">
        <f>IF(AND(H61="",F61="Attended"),1,0)</f>
        <v/>
      </c>
      <c r="M61">
        <f>IF(AND(H61="",OR(F61="No-show",F61="Late cancel")),1,0)</f>
        <v/>
      </c>
      <c r="N61">
        <f>IF(AND(H61="",F61="",D61&lt;&gt;"",I61&gt;=TODAY()),ROUND((I61+IF(ISNUMBER(C61),MOD(C61,1),0))*1440,0)*10000+ROW(),"")</f>
        <v/>
      </c>
    </row>
    <row r="62">
      <c r="A62" s="1" t="n"/>
      <c r="B62" s="17" t="n">
        <v>46119</v>
      </c>
      <c r="C62" s="18" t="n">
        <v>0.7291666666666666</v>
      </c>
      <c r="D62" s="19" t="inlineStr">
        <is>
          <t>Hannah Brooks</t>
        </is>
      </c>
      <c r="E62" s="20" t="inlineStr">
        <is>
          <t>Duo</t>
        </is>
      </c>
      <c r="F62" s="20" t="inlineStr">
        <is>
          <t>No-show</t>
        </is>
      </c>
      <c r="G62" s="21" t="n"/>
      <c r="H62" s="12">
        <f>IF(AND(B62="",D62="",F62=""),"",IF(NOT(ISNUMBER(B62)),"Needs a date",IF(D62="","Needs a client",IF(COUNTIF(Clients!$B$6:$B$105,D62)=0,"Not on Clients",IF(AND(F62="",INT(B62)&lt;TODAY()),"Needs a status","")))))</f>
        <v/>
      </c>
      <c r="I62" s="1">
        <f>IF(ISNUMBER(B62),INT(B62),0)</f>
        <v/>
      </c>
      <c r="J62">
        <f>IF(ISNUMBER(B62),YEAR(B62)*100+MONTH(B62),"")</f>
        <v/>
      </c>
      <c r="K62">
        <f>IF(AND(H62="",OR(F62="Attended",F62="No-show",AND(F62="Late cancel",Settings!$C$9="Yes"))),1,0)</f>
        <v/>
      </c>
      <c r="L62">
        <f>IF(AND(H62="",F62="Attended"),1,0)</f>
        <v/>
      </c>
      <c r="M62">
        <f>IF(AND(H62="",OR(F62="No-show",F62="Late cancel")),1,0)</f>
        <v/>
      </c>
      <c r="N62">
        <f>IF(AND(H62="",F62="",D62&lt;&gt;"",I62&gt;=TODAY()),ROUND((I62+IF(ISNUMBER(C62),MOD(C62,1),0))*1440,0)*10000+ROW(),"")</f>
        <v/>
      </c>
    </row>
    <row r="63">
      <c r="A63" s="1" t="n"/>
      <c r="B63" s="17" t="n">
        <v>46120</v>
      </c>
      <c r="C63" s="18" t="n">
        <v>0.5208333333333334</v>
      </c>
      <c r="D63" s="19" t="inlineStr">
        <is>
          <t>Priya Nair</t>
        </is>
      </c>
      <c r="E63" s="20" t="inlineStr">
        <is>
          <t>1 to 1</t>
        </is>
      </c>
      <c r="F63" s="20" t="inlineStr">
        <is>
          <t>Attended</t>
        </is>
      </c>
      <c r="G63" s="21" t="n"/>
      <c r="H63" s="12">
        <f>IF(AND(B63="",D63="",F63=""),"",IF(NOT(ISNUMBER(B63)),"Needs a date",IF(D63="","Needs a client",IF(COUNTIF(Clients!$B$6:$B$105,D63)=0,"Not on Clients",IF(AND(F63="",INT(B63)&lt;TODAY()),"Needs a status","")))))</f>
        <v/>
      </c>
      <c r="I63" s="1">
        <f>IF(ISNUMBER(B63),INT(B63),0)</f>
        <v/>
      </c>
      <c r="J63">
        <f>IF(ISNUMBER(B63),YEAR(B63)*100+MONTH(B63),"")</f>
        <v/>
      </c>
      <c r="K63">
        <f>IF(AND(H63="",OR(F63="Attended",F63="No-show",AND(F63="Late cancel",Settings!$C$9="Yes"))),1,0)</f>
        <v/>
      </c>
      <c r="L63">
        <f>IF(AND(H63="",F63="Attended"),1,0)</f>
        <v/>
      </c>
      <c r="M63">
        <f>IF(AND(H63="",OR(F63="No-show",F63="Late cancel")),1,0)</f>
        <v/>
      </c>
      <c r="N63">
        <f>IF(AND(H63="",F63="",D63&lt;&gt;"",I63&gt;=TODAY()),ROUND((I63+IF(ISNUMBER(C63),MOD(C63,1),0))*1440,0)*10000+ROW(),"")</f>
        <v/>
      </c>
    </row>
    <row r="64">
      <c r="A64" s="1" t="n"/>
      <c r="B64" s="17" t="n">
        <v>46121</v>
      </c>
      <c r="C64" s="18" t="n">
        <v>0.3333333333333333</v>
      </c>
      <c r="D64" s="19" t="inlineStr">
        <is>
          <t>Ben Carter</t>
        </is>
      </c>
      <c r="E64" s="20" t="inlineStr">
        <is>
          <t>1 to 1</t>
        </is>
      </c>
      <c r="F64" s="20" t="inlineStr">
        <is>
          <t>Attended</t>
        </is>
      </c>
      <c r="G64" s="21" t="n"/>
      <c r="H64" s="12">
        <f>IF(AND(B64="",D64="",F64=""),"",IF(NOT(ISNUMBER(B64)),"Needs a date",IF(D64="","Needs a client",IF(COUNTIF(Clients!$B$6:$B$105,D64)=0,"Not on Clients",IF(AND(F64="",INT(B64)&lt;TODAY()),"Needs a status","")))))</f>
        <v/>
      </c>
      <c r="I64" s="1">
        <f>IF(ISNUMBER(B64),INT(B64),0)</f>
        <v/>
      </c>
      <c r="J64">
        <f>IF(ISNUMBER(B64),YEAR(B64)*100+MONTH(B64),"")</f>
        <v/>
      </c>
      <c r="K64">
        <f>IF(AND(H64="",OR(F64="Attended",F64="No-show",AND(F64="Late cancel",Settings!$C$9="Yes"))),1,0)</f>
        <v/>
      </c>
      <c r="L64">
        <f>IF(AND(H64="",F64="Attended"),1,0)</f>
        <v/>
      </c>
      <c r="M64">
        <f>IF(AND(H64="",OR(F64="No-show",F64="Late cancel")),1,0)</f>
        <v/>
      </c>
      <c r="N64">
        <f>IF(AND(H64="",F64="",D64&lt;&gt;"",I64&gt;=TODAY()),ROUND((I64+IF(ISNUMBER(C64),MOD(C64,1),0))*1440,0)*10000+ROW(),"")</f>
        <v/>
      </c>
    </row>
    <row r="65">
      <c r="A65" s="1" t="n"/>
      <c r="B65" s="17" t="n">
        <v>46122</v>
      </c>
      <c r="C65" s="18" t="n">
        <v>0.7291666666666666</v>
      </c>
      <c r="D65" s="19" t="inlineStr">
        <is>
          <t>Hannah Brooks</t>
        </is>
      </c>
      <c r="E65" s="20" t="inlineStr">
        <is>
          <t>Duo</t>
        </is>
      </c>
      <c r="F65" s="20" t="inlineStr">
        <is>
          <t>Attended</t>
        </is>
      </c>
      <c r="G65" s="21" t="n"/>
      <c r="H65" s="12">
        <f>IF(AND(B65="",D65="",F65=""),"",IF(NOT(ISNUMBER(B65)),"Needs a date",IF(D65="","Needs a client",IF(COUNTIF(Clients!$B$6:$B$105,D65)=0,"Not on Clients",IF(AND(F65="",INT(B65)&lt;TODAY()),"Needs a status","")))))</f>
        <v/>
      </c>
      <c r="I65" s="1">
        <f>IF(ISNUMBER(B65),INT(B65),0)</f>
        <v/>
      </c>
      <c r="J65">
        <f>IF(ISNUMBER(B65),YEAR(B65)*100+MONTH(B65),"")</f>
        <v/>
      </c>
      <c r="K65">
        <f>IF(AND(H65="",OR(F65="Attended",F65="No-show",AND(F65="Late cancel",Settings!$C$9="Yes"))),1,0)</f>
        <v/>
      </c>
      <c r="L65">
        <f>IF(AND(H65="",F65="Attended"),1,0)</f>
        <v/>
      </c>
      <c r="M65">
        <f>IF(AND(H65="",OR(F65="No-show",F65="Late cancel")),1,0)</f>
        <v/>
      </c>
      <c r="N65">
        <f>IF(AND(H65="",F65="",D65&lt;&gt;"",I65&gt;=TODAY()),ROUND((I65+IF(ISNUMBER(C65),MOD(C65,1),0))*1440,0)*10000+ROW(),"")</f>
        <v/>
      </c>
    </row>
    <row r="66">
      <c r="A66" s="1" t="n"/>
      <c r="B66" s="17" t="n">
        <v>46123</v>
      </c>
      <c r="C66" s="18" t="n">
        <v>0.2916666666666667</v>
      </c>
      <c r="D66" s="19" t="inlineStr">
        <is>
          <t>Maya Ortiz</t>
        </is>
      </c>
      <c r="E66" s="20" t="inlineStr">
        <is>
          <t>Duo</t>
        </is>
      </c>
      <c r="F66" s="20" t="inlineStr">
        <is>
          <t>Cancelled</t>
        </is>
      </c>
      <c r="G66" s="21" t="n"/>
      <c r="H66" s="12">
        <f>IF(AND(B66="",D66="",F66=""),"",IF(NOT(ISNUMBER(B66)),"Needs a date",IF(D66="","Needs a client",IF(COUNTIF(Clients!$B$6:$B$105,D66)=0,"Not on Clients",IF(AND(F66="",INT(B66)&lt;TODAY()),"Needs a status","")))))</f>
        <v/>
      </c>
      <c r="I66" s="1">
        <f>IF(ISNUMBER(B66),INT(B66),0)</f>
        <v/>
      </c>
      <c r="J66">
        <f>IF(ISNUMBER(B66),YEAR(B66)*100+MONTH(B66),"")</f>
        <v/>
      </c>
      <c r="K66">
        <f>IF(AND(H66="",OR(F66="Attended",F66="No-show",AND(F66="Late cancel",Settings!$C$9="Yes"))),1,0)</f>
        <v/>
      </c>
      <c r="L66">
        <f>IF(AND(H66="",F66="Attended"),1,0)</f>
        <v/>
      </c>
      <c r="M66">
        <f>IF(AND(H66="",OR(F66="No-show",F66="Late cancel")),1,0)</f>
        <v/>
      </c>
      <c r="N66">
        <f>IF(AND(H66="",F66="",D66&lt;&gt;"",I66&gt;=TODAY()),ROUND((I66+IF(ISNUMBER(C66),MOD(C66,1),0))*1440,0)*10000+ROW(),"")</f>
        <v/>
      </c>
    </row>
    <row r="67">
      <c r="A67" s="1" t="n"/>
      <c r="B67" s="17" t="n">
        <v>46123</v>
      </c>
      <c r="C67" s="18" t="n">
        <v>0.5208333333333334</v>
      </c>
      <c r="D67" s="19" t="inlineStr">
        <is>
          <t>Priya Nair</t>
        </is>
      </c>
      <c r="E67" s="20" t="inlineStr">
        <is>
          <t>1 to 1</t>
        </is>
      </c>
      <c r="F67" s="20" t="inlineStr">
        <is>
          <t>Attended</t>
        </is>
      </c>
      <c r="G67" s="21" t="n"/>
      <c r="H67" s="12">
        <f>IF(AND(B67="",D67="",F67=""),"",IF(NOT(ISNUMBER(B67)),"Needs a date",IF(D67="","Needs a client",IF(COUNTIF(Clients!$B$6:$B$105,D67)=0,"Not on Clients",IF(AND(F67="",INT(B67)&lt;TODAY()),"Needs a status","")))))</f>
        <v/>
      </c>
      <c r="I67" s="1">
        <f>IF(ISNUMBER(B67),INT(B67),0)</f>
        <v/>
      </c>
      <c r="J67">
        <f>IF(ISNUMBER(B67),YEAR(B67)*100+MONTH(B67),"")</f>
        <v/>
      </c>
      <c r="K67">
        <f>IF(AND(H67="",OR(F67="Attended",F67="No-show",AND(F67="Late cancel",Settings!$C$9="Yes"))),1,0)</f>
        <v/>
      </c>
      <c r="L67">
        <f>IF(AND(H67="",F67="Attended"),1,0)</f>
        <v/>
      </c>
      <c r="M67">
        <f>IF(AND(H67="",OR(F67="No-show",F67="Late cancel")),1,0)</f>
        <v/>
      </c>
      <c r="N67">
        <f>IF(AND(H67="",F67="",D67&lt;&gt;"",I67&gt;=TODAY()),ROUND((I67+IF(ISNUMBER(C67),MOD(C67,1),0))*1440,0)*10000+ROW(),"")</f>
        <v/>
      </c>
    </row>
    <row r="68">
      <c r="A68" s="1" t="n"/>
      <c r="B68" s="17" t="n">
        <v>46124</v>
      </c>
      <c r="C68" s="18" t="n">
        <v>0.3333333333333333</v>
      </c>
      <c r="D68" s="19" t="inlineStr">
        <is>
          <t>Ben Carter</t>
        </is>
      </c>
      <c r="E68" s="20" t="inlineStr">
        <is>
          <t>1 to 1</t>
        </is>
      </c>
      <c r="F68" s="20" t="inlineStr">
        <is>
          <t>Attended</t>
        </is>
      </c>
      <c r="G68" s="21" t="n"/>
      <c r="H68" s="12">
        <f>IF(AND(B68="",D68="",F68=""),"",IF(NOT(ISNUMBER(B68)),"Needs a date",IF(D68="","Needs a client",IF(COUNTIF(Clients!$B$6:$B$105,D68)=0,"Not on Clients",IF(AND(F68="",INT(B68)&lt;TODAY()),"Needs a status","")))))</f>
        <v/>
      </c>
      <c r="I68" s="1">
        <f>IF(ISNUMBER(B68),INT(B68),0)</f>
        <v/>
      </c>
      <c r="J68">
        <f>IF(ISNUMBER(B68),YEAR(B68)*100+MONTH(B68),"")</f>
        <v/>
      </c>
      <c r="K68">
        <f>IF(AND(H68="",OR(F68="Attended",F68="No-show",AND(F68="Late cancel",Settings!$C$9="Yes"))),1,0)</f>
        <v/>
      </c>
      <c r="L68">
        <f>IF(AND(H68="",F68="Attended"),1,0)</f>
        <v/>
      </c>
      <c r="M68">
        <f>IF(AND(H68="",OR(F68="No-show",F68="Late cancel")),1,0)</f>
        <v/>
      </c>
      <c r="N68">
        <f>IF(AND(H68="",F68="",D68&lt;&gt;"",I68&gt;=TODAY()),ROUND((I68+IF(ISNUMBER(C68),MOD(C68,1),0))*1440,0)*10000+ROW(),"")</f>
        <v/>
      </c>
    </row>
    <row r="69">
      <c r="A69" s="1" t="n"/>
      <c r="B69" s="17" t="n">
        <v>46126</v>
      </c>
      <c r="C69" s="18" t="n">
        <v>0.7291666666666666</v>
      </c>
      <c r="D69" s="19" t="inlineStr">
        <is>
          <t>Hannah Brooks</t>
        </is>
      </c>
      <c r="E69" s="20" t="inlineStr">
        <is>
          <t>Duo</t>
        </is>
      </c>
      <c r="F69" s="20" t="inlineStr">
        <is>
          <t>Attended</t>
        </is>
      </c>
      <c r="G69" s="21" t="n"/>
      <c r="H69" s="12">
        <f>IF(AND(B69="",D69="",F69=""),"",IF(NOT(ISNUMBER(B69)),"Needs a date",IF(D69="","Needs a client",IF(COUNTIF(Clients!$B$6:$B$105,D69)=0,"Not on Clients",IF(AND(F69="",INT(B69)&lt;TODAY()),"Needs a status","")))))</f>
        <v/>
      </c>
      <c r="I69" s="1">
        <f>IF(ISNUMBER(B69),INT(B69),0)</f>
        <v/>
      </c>
      <c r="J69">
        <f>IF(ISNUMBER(B69),YEAR(B69)*100+MONTH(B69),"")</f>
        <v/>
      </c>
      <c r="K69">
        <f>IF(AND(H69="",OR(F69="Attended",F69="No-show",AND(F69="Late cancel",Settings!$C$9="Yes"))),1,0)</f>
        <v/>
      </c>
      <c r="L69">
        <f>IF(AND(H69="",F69="Attended"),1,0)</f>
        <v/>
      </c>
      <c r="M69">
        <f>IF(AND(H69="",OR(F69="No-show",F69="Late cancel")),1,0)</f>
        <v/>
      </c>
      <c r="N69">
        <f>IF(AND(H69="",F69="",D69&lt;&gt;"",I69&gt;=TODAY()),ROUND((I69+IF(ISNUMBER(C69),MOD(C69,1),0))*1440,0)*10000+ROW(),"")</f>
        <v/>
      </c>
    </row>
    <row r="70">
      <c r="A70" s="1" t="n"/>
      <c r="B70" s="17" t="n">
        <v>46127</v>
      </c>
      <c r="C70" s="18" t="n">
        <v>0.5208333333333334</v>
      </c>
      <c r="D70" s="19" t="inlineStr">
        <is>
          <t>Priya Nair</t>
        </is>
      </c>
      <c r="E70" s="20" t="inlineStr">
        <is>
          <t>1 to 1</t>
        </is>
      </c>
      <c r="F70" s="20" t="inlineStr">
        <is>
          <t>Attended</t>
        </is>
      </c>
      <c r="G70" s="21" t="n"/>
      <c r="H70" s="12">
        <f>IF(AND(B70="",D70="",F70=""),"",IF(NOT(ISNUMBER(B70)),"Needs a date",IF(D70="","Needs a client",IF(COUNTIF(Clients!$B$6:$B$105,D70)=0,"Not on Clients",IF(AND(F70="",INT(B70)&lt;TODAY()),"Needs a status","")))))</f>
        <v/>
      </c>
      <c r="I70" s="1">
        <f>IF(ISNUMBER(B70),INT(B70),0)</f>
        <v/>
      </c>
      <c r="J70">
        <f>IF(ISNUMBER(B70),YEAR(B70)*100+MONTH(B70),"")</f>
        <v/>
      </c>
      <c r="K70">
        <f>IF(AND(H70="",OR(F70="Attended",F70="No-show",AND(F70="Late cancel",Settings!$C$9="Yes"))),1,0)</f>
        <v/>
      </c>
      <c r="L70">
        <f>IF(AND(H70="",F70="Attended"),1,0)</f>
        <v/>
      </c>
      <c r="M70">
        <f>IF(AND(H70="",OR(F70="No-show",F70="Late cancel")),1,0)</f>
        <v/>
      </c>
      <c r="N70">
        <f>IF(AND(H70="",F70="",D70&lt;&gt;"",I70&gt;=TODAY()),ROUND((I70+IF(ISNUMBER(C70),MOD(C70,1),0))*1440,0)*10000+ROW(),"")</f>
        <v/>
      </c>
    </row>
    <row r="71">
      <c r="A71" s="1" t="n"/>
      <c r="B71" s="17" t="n">
        <v>46128</v>
      </c>
      <c r="C71" s="18" t="n">
        <v>0.3333333333333333</v>
      </c>
      <c r="D71" s="19" t="inlineStr">
        <is>
          <t>Ben Carter</t>
        </is>
      </c>
      <c r="E71" s="20" t="inlineStr">
        <is>
          <t>1 to 1</t>
        </is>
      </c>
      <c r="F71" s="20" t="inlineStr">
        <is>
          <t>Attended</t>
        </is>
      </c>
      <c r="G71" s="21" t="n"/>
      <c r="H71" s="12">
        <f>IF(AND(B71="",D71="",F71=""),"",IF(NOT(ISNUMBER(B71)),"Needs a date",IF(D71="","Needs a client",IF(COUNTIF(Clients!$B$6:$B$105,D71)=0,"Not on Clients",IF(AND(F71="",INT(B71)&lt;TODAY()),"Needs a status","")))))</f>
        <v/>
      </c>
      <c r="I71" s="1">
        <f>IF(ISNUMBER(B71),INT(B71),0)</f>
        <v/>
      </c>
      <c r="J71">
        <f>IF(ISNUMBER(B71),YEAR(B71)*100+MONTH(B71),"")</f>
        <v/>
      </c>
      <c r="K71">
        <f>IF(AND(H71="",OR(F71="Attended",F71="No-show",AND(F71="Late cancel",Settings!$C$9="Yes"))),1,0)</f>
        <v/>
      </c>
      <c r="L71">
        <f>IF(AND(H71="",F71="Attended"),1,0)</f>
        <v/>
      </c>
      <c r="M71">
        <f>IF(AND(H71="",OR(F71="No-show",F71="Late cancel")),1,0)</f>
        <v/>
      </c>
      <c r="N71">
        <f>IF(AND(H71="",F71="",D71&lt;&gt;"",I71&gt;=TODAY()),ROUND((I71+IF(ISNUMBER(C71),MOD(C71,1),0))*1440,0)*10000+ROW(),"")</f>
        <v/>
      </c>
    </row>
    <row r="72">
      <c r="A72" s="1" t="n"/>
      <c r="B72" s="17" t="n">
        <v>46129</v>
      </c>
      <c r="C72" s="18" t="n">
        <v>0.7291666666666666</v>
      </c>
      <c r="D72" s="19" t="inlineStr">
        <is>
          <t>Hannah Brooks</t>
        </is>
      </c>
      <c r="E72" s="20" t="inlineStr">
        <is>
          <t>Duo</t>
        </is>
      </c>
      <c r="F72" s="20" t="inlineStr">
        <is>
          <t>Attended</t>
        </is>
      </c>
      <c r="G72" s="21" t="n"/>
      <c r="H72" s="12">
        <f>IF(AND(B72="",D72="",F72=""),"",IF(NOT(ISNUMBER(B72)),"Needs a date",IF(D72="","Needs a client",IF(COUNTIF(Clients!$B$6:$B$105,D72)=0,"Not on Clients",IF(AND(F72="",INT(B72)&lt;TODAY()),"Needs a status","")))))</f>
        <v/>
      </c>
      <c r="I72" s="1">
        <f>IF(ISNUMBER(B72),INT(B72),0)</f>
        <v/>
      </c>
      <c r="J72">
        <f>IF(ISNUMBER(B72),YEAR(B72)*100+MONTH(B72),"")</f>
        <v/>
      </c>
      <c r="K72">
        <f>IF(AND(H72="",OR(F72="Attended",F72="No-show",AND(F72="Late cancel",Settings!$C$9="Yes"))),1,0)</f>
        <v/>
      </c>
      <c r="L72">
        <f>IF(AND(H72="",F72="Attended"),1,0)</f>
        <v/>
      </c>
      <c r="M72">
        <f>IF(AND(H72="",OR(F72="No-show",F72="Late cancel")),1,0)</f>
        <v/>
      </c>
      <c r="N72">
        <f>IF(AND(H72="",F72="",D72&lt;&gt;"",I72&gt;=TODAY()),ROUND((I72+IF(ISNUMBER(C72),MOD(C72,1),0))*1440,0)*10000+ROW(),"")</f>
        <v/>
      </c>
    </row>
    <row r="73">
      <c r="A73" s="1" t="n"/>
      <c r="B73" s="17" t="n">
        <v>46130</v>
      </c>
      <c r="C73" s="18" t="n">
        <v>0.2916666666666667</v>
      </c>
      <c r="D73" s="19" t="inlineStr">
        <is>
          <t>Maya Ortiz</t>
        </is>
      </c>
      <c r="E73" s="20" t="inlineStr">
        <is>
          <t>Duo</t>
        </is>
      </c>
      <c r="F73" s="20" t="inlineStr">
        <is>
          <t>Attended</t>
        </is>
      </c>
      <c r="G73" s="21" t="n"/>
      <c r="H73" s="12">
        <f>IF(AND(B73="",D73="",F73=""),"",IF(NOT(ISNUMBER(B73)),"Needs a date",IF(D73="","Needs a client",IF(COUNTIF(Clients!$B$6:$B$105,D73)=0,"Not on Clients",IF(AND(F73="",INT(B73)&lt;TODAY()),"Needs a status","")))))</f>
        <v/>
      </c>
      <c r="I73" s="1">
        <f>IF(ISNUMBER(B73),INT(B73),0)</f>
        <v/>
      </c>
      <c r="J73">
        <f>IF(ISNUMBER(B73),YEAR(B73)*100+MONTH(B73),"")</f>
        <v/>
      </c>
      <c r="K73">
        <f>IF(AND(H73="",OR(F73="Attended",F73="No-show",AND(F73="Late cancel",Settings!$C$9="Yes"))),1,0)</f>
        <v/>
      </c>
      <c r="L73">
        <f>IF(AND(H73="",F73="Attended"),1,0)</f>
        <v/>
      </c>
      <c r="M73">
        <f>IF(AND(H73="",OR(F73="No-show",F73="Late cancel")),1,0)</f>
        <v/>
      </c>
      <c r="N73">
        <f>IF(AND(H73="",F73="",D73&lt;&gt;"",I73&gt;=TODAY()),ROUND((I73+IF(ISNUMBER(C73),MOD(C73,1),0))*1440,0)*10000+ROW(),"")</f>
        <v/>
      </c>
    </row>
    <row r="74">
      <c r="A74" s="1" t="n"/>
      <c r="B74" s="17" t="n">
        <v>46130</v>
      </c>
      <c r="C74" s="18" t="n">
        <v>0.5208333333333334</v>
      </c>
      <c r="D74" s="19" t="inlineStr">
        <is>
          <t>Priya Nair</t>
        </is>
      </c>
      <c r="E74" s="20" t="inlineStr">
        <is>
          <t>1 to 1</t>
        </is>
      </c>
      <c r="F74" s="20" t="inlineStr">
        <is>
          <t>Attended</t>
        </is>
      </c>
      <c r="G74" s="21" t="n"/>
      <c r="H74" s="12">
        <f>IF(AND(B74="",D74="",F74=""),"",IF(NOT(ISNUMBER(B74)),"Needs a date",IF(D74="","Needs a client",IF(COUNTIF(Clients!$B$6:$B$105,D74)=0,"Not on Clients",IF(AND(F74="",INT(B74)&lt;TODAY()),"Needs a status","")))))</f>
        <v/>
      </c>
      <c r="I74" s="1">
        <f>IF(ISNUMBER(B74),INT(B74),0)</f>
        <v/>
      </c>
      <c r="J74">
        <f>IF(ISNUMBER(B74),YEAR(B74)*100+MONTH(B74),"")</f>
        <v/>
      </c>
      <c r="K74">
        <f>IF(AND(H74="",OR(F74="Attended",F74="No-show",AND(F74="Late cancel",Settings!$C$9="Yes"))),1,0)</f>
        <v/>
      </c>
      <c r="L74">
        <f>IF(AND(H74="",F74="Attended"),1,0)</f>
        <v/>
      </c>
      <c r="M74">
        <f>IF(AND(H74="",OR(F74="No-show",F74="Late cancel")),1,0)</f>
        <v/>
      </c>
      <c r="N74">
        <f>IF(AND(H74="",F74="",D74&lt;&gt;"",I74&gt;=TODAY()),ROUND((I74+IF(ISNUMBER(C74),MOD(C74,1),0))*1440,0)*10000+ROW(),"")</f>
        <v/>
      </c>
    </row>
    <row r="75">
      <c r="A75" s="1" t="n"/>
      <c r="B75" s="17" t="n">
        <v>46131</v>
      </c>
      <c r="C75" s="18" t="n">
        <v>0.3333333333333333</v>
      </c>
      <c r="D75" s="19" t="inlineStr">
        <is>
          <t>Ben Carter</t>
        </is>
      </c>
      <c r="E75" s="20" t="inlineStr">
        <is>
          <t>1 to 1</t>
        </is>
      </c>
      <c r="F75" s="20" t="inlineStr">
        <is>
          <t>Attended</t>
        </is>
      </c>
      <c r="G75" s="21" t="n"/>
      <c r="H75" s="12">
        <f>IF(AND(B75="",D75="",F75=""),"",IF(NOT(ISNUMBER(B75)),"Needs a date",IF(D75="","Needs a client",IF(COUNTIF(Clients!$B$6:$B$105,D75)=0,"Not on Clients",IF(AND(F75="",INT(B75)&lt;TODAY()),"Needs a status","")))))</f>
        <v/>
      </c>
      <c r="I75" s="1">
        <f>IF(ISNUMBER(B75),INT(B75),0)</f>
        <v/>
      </c>
      <c r="J75">
        <f>IF(ISNUMBER(B75),YEAR(B75)*100+MONTH(B75),"")</f>
        <v/>
      </c>
      <c r="K75">
        <f>IF(AND(H75="",OR(F75="Attended",F75="No-show",AND(F75="Late cancel",Settings!$C$9="Yes"))),1,0)</f>
        <v/>
      </c>
      <c r="L75">
        <f>IF(AND(H75="",F75="Attended"),1,0)</f>
        <v/>
      </c>
      <c r="M75">
        <f>IF(AND(H75="",OR(F75="No-show",F75="Late cancel")),1,0)</f>
        <v/>
      </c>
      <c r="N75">
        <f>IF(AND(H75="",F75="",D75&lt;&gt;"",I75&gt;=TODAY()),ROUND((I75+IF(ISNUMBER(C75),MOD(C75,1),0))*1440,0)*10000+ROW(),"")</f>
        <v/>
      </c>
    </row>
    <row r="76">
      <c r="A76" s="1" t="n"/>
      <c r="B76" s="17" t="n">
        <v>46133</v>
      </c>
      <c r="C76" s="18" t="n">
        <v>0.7291666666666666</v>
      </c>
      <c r="D76" s="19" t="inlineStr">
        <is>
          <t>Hannah Brooks</t>
        </is>
      </c>
      <c r="E76" s="20" t="inlineStr">
        <is>
          <t>Duo</t>
        </is>
      </c>
      <c r="F76" s="20" t="inlineStr">
        <is>
          <t>Attended</t>
        </is>
      </c>
      <c r="G76" s="21" t="n"/>
      <c r="H76" s="12">
        <f>IF(AND(B76="",D76="",F76=""),"",IF(NOT(ISNUMBER(B76)),"Needs a date",IF(D76="","Needs a client",IF(COUNTIF(Clients!$B$6:$B$105,D76)=0,"Not on Clients",IF(AND(F76="",INT(B76)&lt;TODAY()),"Needs a status","")))))</f>
        <v/>
      </c>
      <c r="I76" s="1">
        <f>IF(ISNUMBER(B76),INT(B76),0)</f>
        <v/>
      </c>
      <c r="J76">
        <f>IF(ISNUMBER(B76),YEAR(B76)*100+MONTH(B76),"")</f>
        <v/>
      </c>
      <c r="K76">
        <f>IF(AND(H76="",OR(F76="Attended",F76="No-show",AND(F76="Late cancel",Settings!$C$9="Yes"))),1,0)</f>
        <v/>
      </c>
      <c r="L76">
        <f>IF(AND(H76="",F76="Attended"),1,0)</f>
        <v/>
      </c>
      <c r="M76">
        <f>IF(AND(H76="",OR(F76="No-show",F76="Late cancel")),1,0)</f>
        <v/>
      </c>
      <c r="N76">
        <f>IF(AND(H76="",F76="",D76&lt;&gt;"",I76&gt;=TODAY()),ROUND((I76+IF(ISNUMBER(C76),MOD(C76,1),0))*1440,0)*10000+ROW(),"")</f>
        <v/>
      </c>
    </row>
    <row r="77">
      <c r="A77" s="1" t="n"/>
      <c r="B77" s="17" t="n">
        <v>46134</v>
      </c>
      <c r="C77" s="18" t="n">
        <v>0.5208333333333334</v>
      </c>
      <c r="D77" s="19" t="inlineStr">
        <is>
          <t>Priya Nair</t>
        </is>
      </c>
      <c r="E77" s="20" t="inlineStr">
        <is>
          <t>1 to 1</t>
        </is>
      </c>
      <c r="F77" s="20" t="inlineStr">
        <is>
          <t>Attended</t>
        </is>
      </c>
      <c r="G77" s="21" t="n"/>
      <c r="H77" s="12">
        <f>IF(AND(B77="",D77="",F77=""),"",IF(NOT(ISNUMBER(B77)),"Needs a date",IF(D77="","Needs a client",IF(COUNTIF(Clients!$B$6:$B$105,D77)=0,"Not on Clients",IF(AND(F77="",INT(B77)&lt;TODAY()),"Needs a status","")))))</f>
        <v/>
      </c>
      <c r="I77" s="1">
        <f>IF(ISNUMBER(B77),INT(B77),0)</f>
        <v/>
      </c>
      <c r="J77">
        <f>IF(ISNUMBER(B77),YEAR(B77)*100+MONTH(B77),"")</f>
        <v/>
      </c>
      <c r="K77">
        <f>IF(AND(H77="",OR(F77="Attended",F77="No-show",AND(F77="Late cancel",Settings!$C$9="Yes"))),1,0)</f>
        <v/>
      </c>
      <c r="L77">
        <f>IF(AND(H77="",F77="Attended"),1,0)</f>
        <v/>
      </c>
      <c r="M77">
        <f>IF(AND(H77="",OR(F77="No-show",F77="Late cancel")),1,0)</f>
        <v/>
      </c>
      <c r="N77">
        <f>IF(AND(H77="",F77="",D77&lt;&gt;"",I77&gt;=TODAY()),ROUND((I77+IF(ISNUMBER(C77),MOD(C77,1),0))*1440,0)*10000+ROW(),"")</f>
        <v/>
      </c>
    </row>
    <row r="78">
      <c r="A78" s="1" t="n"/>
      <c r="B78" s="17" t="n">
        <v>46135</v>
      </c>
      <c r="C78" s="18" t="n">
        <v>0.3333333333333333</v>
      </c>
      <c r="D78" s="19" t="inlineStr">
        <is>
          <t>Ben Carter</t>
        </is>
      </c>
      <c r="E78" s="20" t="inlineStr">
        <is>
          <t>1 to 1</t>
        </is>
      </c>
      <c r="F78" s="20" t="inlineStr">
        <is>
          <t>No-show</t>
        </is>
      </c>
      <c r="G78" s="21" t="n"/>
      <c r="H78" s="12">
        <f>IF(AND(B78="",D78="",F78=""),"",IF(NOT(ISNUMBER(B78)),"Needs a date",IF(D78="","Needs a client",IF(COUNTIF(Clients!$B$6:$B$105,D78)=0,"Not on Clients",IF(AND(F78="",INT(B78)&lt;TODAY()),"Needs a status","")))))</f>
        <v/>
      </c>
      <c r="I78" s="1">
        <f>IF(ISNUMBER(B78),INT(B78),0)</f>
        <v/>
      </c>
      <c r="J78">
        <f>IF(ISNUMBER(B78),YEAR(B78)*100+MONTH(B78),"")</f>
        <v/>
      </c>
      <c r="K78">
        <f>IF(AND(H78="",OR(F78="Attended",F78="No-show",AND(F78="Late cancel",Settings!$C$9="Yes"))),1,0)</f>
        <v/>
      </c>
      <c r="L78">
        <f>IF(AND(H78="",F78="Attended"),1,0)</f>
        <v/>
      </c>
      <c r="M78">
        <f>IF(AND(H78="",OR(F78="No-show",F78="Late cancel")),1,0)</f>
        <v/>
      </c>
      <c r="N78">
        <f>IF(AND(H78="",F78="",D78&lt;&gt;"",I78&gt;=TODAY()),ROUND((I78+IF(ISNUMBER(C78),MOD(C78,1),0))*1440,0)*10000+ROW(),"")</f>
        <v/>
      </c>
    </row>
    <row r="79">
      <c r="A79" s="1" t="n"/>
      <c r="B79" s="17" t="n">
        <v>46136</v>
      </c>
      <c r="C79" s="18" t="n">
        <v>0.7291666666666666</v>
      </c>
      <c r="D79" s="19" t="inlineStr">
        <is>
          <t>Hannah Brooks</t>
        </is>
      </c>
      <c r="E79" s="20" t="inlineStr">
        <is>
          <t>Duo</t>
        </is>
      </c>
      <c r="F79" s="20" t="inlineStr">
        <is>
          <t>Cancelled</t>
        </is>
      </c>
      <c r="G79" s="21" t="n"/>
      <c r="H79" s="12">
        <f>IF(AND(B79="",D79="",F79=""),"",IF(NOT(ISNUMBER(B79)),"Needs a date",IF(D79="","Needs a client",IF(COUNTIF(Clients!$B$6:$B$105,D79)=0,"Not on Clients",IF(AND(F79="",INT(B79)&lt;TODAY()),"Needs a status","")))))</f>
        <v/>
      </c>
      <c r="I79" s="1">
        <f>IF(ISNUMBER(B79),INT(B79),0)</f>
        <v/>
      </c>
      <c r="J79">
        <f>IF(ISNUMBER(B79),YEAR(B79)*100+MONTH(B79),"")</f>
        <v/>
      </c>
      <c r="K79">
        <f>IF(AND(H79="",OR(F79="Attended",F79="No-show",AND(F79="Late cancel",Settings!$C$9="Yes"))),1,0)</f>
        <v/>
      </c>
      <c r="L79">
        <f>IF(AND(H79="",F79="Attended"),1,0)</f>
        <v/>
      </c>
      <c r="M79">
        <f>IF(AND(H79="",OR(F79="No-show",F79="Late cancel")),1,0)</f>
        <v/>
      </c>
      <c r="N79">
        <f>IF(AND(H79="",F79="",D79&lt;&gt;"",I79&gt;=TODAY()),ROUND((I79+IF(ISNUMBER(C79),MOD(C79,1),0))*1440,0)*10000+ROW(),"")</f>
        <v/>
      </c>
    </row>
    <row r="80">
      <c r="A80" s="1" t="n"/>
      <c r="B80" s="17" t="n">
        <v>46137</v>
      </c>
      <c r="C80" s="18" t="n">
        <v>0.2916666666666667</v>
      </c>
      <c r="D80" s="19" t="inlineStr">
        <is>
          <t>Maya Ortiz</t>
        </is>
      </c>
      <c r="E80" s="20" t="inlineStr">
        <is>
          <t>Duo</t>
        </is>
      </c>
      <c r="F80" s="20" t="inlineStr">
        <is>
          <t>Attended</t>
        </is>
      </c>
      <c r="G80" s="21" t="n"/>
      <c r="H80" s="12">
        <f>IF(AND(B80="",D80="",F80=""),"",IF(NOT(ISNUMBER(B80)),"Needs a date",IF(D80="","Needs a client",IF(COUNTIF(Clients!$B$6:$B$105,D80)=0,"Not on Clients",IF(AND(F80="",INT(B80)&lt;TODAY()),"Needs a status","")))))</f>
        <v/>
      </c>
      <c r="I80" s="1">
        <f>IF(ISNUMBER(B80),INT(B80),0)</f>
        <v/>
      </c>
      <c r="J80">
        <f>IF(ISNUMBER(B80),YEAR(B80)*100+MONTH(B80),"")</f>
        <v/>
      </c>
      <c r="K80">
        <f>IF(AND(H80="",OR(F80="Attended",F80="No-show",AND(F80="Late cancel",Settings!$C$9="Yes"))),1,0)</f>
        <v/>
      </c>
      <c r="L80">
        <f>IF(AND(H80="",F80="Attended"),1,0)</f>
        <v/>
      </c>
      <c r="M80">
        <f>IF(AND(H80="",OR(F80="No-show",F80="Late cancel")),1,0)</f>
        <v/>
      </c>
      <c r="N80">
        <f>IF(AND(H80="",F80="",D80&lt;&gt;"",I80&gt;=TODAY()),ROUND((I80+IF(ISNUMBER(C80),MOD(C80,1),0))*1440,0)*10000+ROW(),"")</f>
        <v/>
      </c>
    </row>
    <row r="81">
      <c r="A81" s="1" t="n"/>
      <c r="B81" s="17" t="n">
        <v>46137</v>
      </c>
      <c r="C81" s="18" t="n">
        <v>0.5208333333333334</v>
      </c>
      <c r="D81" s="19" t="inlineStr">
        <is>
          <t>Priya Nair</t>
        </is>
      </c>
      <c r="E81" s="20" t="inlineStr">
        <is>
          <t>1 to 1</t>
        </is>
      </c>
      <c r="F81" s="20" t="inlineStr">
        <is>
          <t>Attended</t>
        </is>
      </c>
      <c r="G81" s="21" t="n"/>
      <c r="H81" s="12">
        <f>IF(AND(B81="",D81="",F81=""),"",IF(NOT(ISNUMBER(B81)),"Needs a date",IF(D81="","Needs a client",IF(COUNTIF(Clients!$B$6:$B$105,D81)=0,"Not on Clients",IF(AND(F81="",INT(B81)&lt;TODAY()),"Needs a status","")))))</f>
        <v/>
      </c>
      <c r="I81" s="1">
        <f>IF(ISNUMBER(B81),INT(B81),0)</f>
        <v/>
      </c>
      <c r="J81">
        <f>IF(ISNUMBER(B81),YEAR(B81)*100+MONTH(B81),"")</f>
        <v/>
      </c>
      <c r="K81">
        <f>IF(AND(H81="",OR(F81="Attended",F81="No-show",AND(F81="Late cancel",Settings!$C$9="Yes"))),1,0)</f>
        <v/>
      </c>
      <c r="L81">
        <f>IF(AND(H81="",F81="Attended"),1,0)</f>
        <v/>
      </c>
      <c r="M81">
        <f>IF(AND(H81="",OR(F81="No-show",F81="Late cancel")),1,0)</f>
        <v/>
      </c>
      <c r="N81">
        <f>IF(AND(H81="",F81="",D81&lt;&gt;"",I81&gt;=TODAY()),ROUND((I81+IF(ISNUMBER(C81),MOD(C81,1),0))*1440,0)*10000+ROW(),"")</f>
        <v/>
      </c>
    </row>
    <row r="82">
      <c r="A82" s="1" t="n"/>
      <c r="B82" s="17" t="n">
        <v>46138</v>
      </c>
      <c r="C82" s="18" t="n">
        <v>0.3333333333333333</v>
      </c>
      <c r="D82" s="19" t="inlineStr">
        <is>
          <t>Ben Carter</t>
        </is>
      </c>
      <c r="E82" s="20" t="inlineStr">
        <is>
          <t>1 to 1</t>
        </is>
      </c>
      <c r="F82" s="20" t="inlineStr">
        <is>
          <t>Attended</t>
        </is>
      </c>
      <c r="G82" s="21" t="n"/>
      <c r="H82" s="12">
        <f>IF(AND(B82="",D82="",F82=""),"",IF(NOT(ISNUMBER(B82)),"Needs a date",IF(D82="","Needs a client",IF(COUNTIF(Clients!$B$6:$B$105,D82)=0,"Not on Clients",IF(AND(F82="",INT(B82)&lt;TODAY()),"Needs a status","")))))</f>
        <v/>
      </c>
      <c r="I82" s="1">
        <f>IF(ISNUMBER(B82),INT(B82),0)</f>
        <v/>
      </c>
      <c r="J82">
        <f>IF(ISNUMBER(B82),YEAR(B82)*100+MONTH(B82),"")</f>
        <v/>
      </c>
      <c r="K82">
        <f>IF(AND(H82="",OR(F82="Attended",F82="No-show",AND(F82="Late cancel",Settings!$C$9="Yes"))),1,0)</f>
        <v/>
      </c>
      <c r="L82">
        <f>IF(AND(H82="",F82="Attended"),1,0)</f>
        <v/>
      </c>
      <c r="M82">
        <f>IF(AND(H82="",OR(F82="No-show",F82="Late cancel")),1,0)</f>
        <v/>
      </c>
      <c r="N82">
        <f>IF(AND(H82="",F82="",D82&lt;&gt;"",I82&gt;=TODAY()),ROUND((I82+IF(ISNUMBER(C82),MOD(C82,1),0))*1440,0)*10000+ROW(),"")</f>
        <v/>
      </c>
    </row>
    <row r="83">
      <c r="A83" s="1" t="n"/>
      <c r="B83" s="17" t="n">
        <v>46140</v>
      </c>
      <c r="C83" s="18" t="n">
        <v>0.7291666666666666</v>
      </c>
      <c r="D83" s="19" t="inlineStr">
        <is>
          <t>Hannah Brooks</t>
        </is>
      </c>
      <c r="E83" s="20" t="inlineStr">
        <is>
          <t>Duo</t>
        </is>
      </c>
      <c r="F83" s="20" t="inlineStr">
        <is>
          <t>Attended</t>
        </is>
      </c>
      <c r="G83" s="21" t="n"/>
      <c r="H83" s="12">
        <f>IF(AND(B83="",D83="",F83=""),"",IF(NOT(ISNUMBER(B83)),"Needs a date",IF(D83="","Needs a client",IF(COUNTIF(Clients!$B$6:$B$105,D83)=0,"Not on Clients",IF(AND(F83="",INT(B83)&lt;TODAY()),"Needs a status","")))))</f>
        <v/>
      </c>
      <c r="I83" s="1">
        <f>IF(ISNUMBER(B83),INT(B83),0)</f>
        <v/>
      </c>
      <c r="J83">
        <f>IF(ISNUMBER(B83),YEAR(B83)*100+MONTH(B83),"")</f>
        <v/>
      </c>
      <c r="K83">
        <f>IF(AND(H83="",OR(F83="Attended",F83="No-show",AND(F83="Late cancel",Settings!$C$9="Yes"))),1,0)</f>
        <v/>
      </c>
      <c r="L83">
        <f>IF(AND(H83="",F83="Attended"),1,0)</f>
        <v/>
      </c>
      <c r="M83">
        <f>IF(AND(H83="",OR(F83="No-show",F83="Late cancel")),1,0)</f>
        <v/>
      </c>
      <c r="N83">
        <f>IF(AND(H83="",F83="",D83&lt;&gt;"",I83&gt;=TODAY()),ROUND((I83+IF(ISNUMBER(C83),MOD(C83,1),0))*1440,0)*10000+ROW(),"")</f>
        <v/>
      </c>
    </row>
    <row r="84">
      <c r="A84" s="1" t="n"/>
      <c r="B84" s="17" t="n">
        <v>46141</v>
      </c>
      <c r="C84" s="18" t="n">
        <v>0.5208333333333334</v>
      </c>
      <c r="D84" s="19" t="inlineStr">
        <is>
          <t>Priya Nair</t>
        </is>
      </c>
      <c r="E84" s="20" t="inlineStr">
        <is>
          <t>1 to 1</t>
        </is>
      </c>
      <c r="F84" s="20" t="inlineStr">
        <is>
          <t>Attended</t>
        </is>
      </c>
      <c r="G84" s="21" t="n"/>
      <c r="H84" s="12">
        <f>IF(AND(B84="",D84="",F84=""),"",IF(NOT(ISNUMBER(B84)),"Needs a date",IF(D84="","Needs a client",IF(COUNTIF(Clients!$B$6:$B$105,D84)=0,"Not on Clients",IF(AND(F84="",INT(B84)&lt;TODAY()),"Needs a status","")))))</f>
        <v/>
      </c>
      <c r="I84" s="1">
        <f>IF(ISNUMBER(B84),INT(B84),0)</f>
        <v/>
      </c>
      <c r="J84">
        <f>IF(ISNUMBER(B84),YEAR(B84)*100+MONTH(B84),"")</f>
        <v/>
      </c>
      <c r="K84">
        <f>IF(AND(H84="",OR(F84="Attended",F84="No-show",AND(F84="Late cancel",Settings!$C$9="Yes"))),1,0)</f>
        <v/>
      </c>
      <c r="L84">
        <f>IF(AND(H84="",F84="Attended"),1,0)</f>
        <v/>
      </c>
      <c r="M84">
        <f>IF(AND(H84="",OR(F84="No-show",F84="Late cancel")),1,0)</f>
        <v/>
      </c>
      <c r="N84">
        <f>IF(AND(H84="",F84="",D84&lt;&gt;"",I84&gt;=TODAY()),ROUND((I84+IF(ISNUMBER(C84),MOD(C84,1),0))*1440,0)*10000+ROW(),"")</f>
        <v/>
      </c>
    </row>
    <row r="85">
      <c r="A85" s="1" t="n"/>
      <c r="B85" s="17" t="n">
        <v>46142</v>
      </c>
      <c r="C85" s="18" t="n">
        <v>0.3333333333333333</v>
      </c>
      <c r="D85" s="19" t="inlineStr">
        <is>
          <t>Ben Carter</t>
        </is>
      </c>
      <c r="E85" s="20" t="inlineStr">
        <is>
          <t>1 to 1</t>
        </is>
      </c>
      <c r="F85" s="20" t="inlineStr">
        <is>
          <t>Attended</t>
        </is>
      </c>
      <c r="G85" s="21" t="n"/>
      <c r="H85" s="12">
        <f>IF(AND(B85="",D85="",F85=""),"",IF(NOT(ISNUMBER(B85)),"Needs a date",IF(D85="","Needs a client",IF(COUNTIF(Clients!$B$6:$B$105,D85)=0,"Not on Clients",IF(AND(F85="",INT(B85)&lt;TODAY()),"Needs a status","")))))</f>
        <v/>
      </c>
      <c r="I85" s="1">
        <f>IF(ISNUMBER(B85),INT(B85),0)</f>
        <v/>
      </c>
      <c r="J85">
        <f>IF(ISNUMBER(B85),YEAR(B85)*100+MONTH(B85),"")</f>
        <v/>
      </c>
      <c r="K85">
        <f>IF(AND(H85="",OR(F85="Attended",F85="No-show",AND(F85="Late cancel",Settings!$C$9="Yes"))),1,0)</f>
        <v/>
      </c>
      <c r="L85">
        <f>IF(AND(H85="",F85="Attended"),1,0)</f>
        <v/>
      </c>
      <c r="M85">
        <f>IF(AND(H85="",OR(F85="No-show",F85="Late cancel")),1,0)</f>
        <v/>
      </c>
      <c r="N85">
        <f>IF(AND(H85="",F85="",D85&lt;&gt;"",I85&gt;=TODAY()),ROUND((I85+IF(ISNUMBER(C85),MOD(C85,1),0))*1440,0)*10000+ROW(),"")</f>
        <v/>
      </c>
    </row>
    <row r="86">
      <c r="A86" s="1" t="n"/>
      <c r="B86" s="17" t="n">
        <v>46143</v>
      </c>
      <c r="C86" s="18" t="n">
        <v>0.3333333333333333</v>
      </c>
      <c r="D86" s="19" t="inlineStr">
        <is>
          <t>Grace Kim</t>
        </is>
      </c>
      <c r="E86" s="20" t="inlineStr">
        <is>
          <t>1 to 1</t>
        </is>
      </c>
      <c r="F86" s="20" t="inlineStr">
        <is>
          <t>Attended</t>
        </is>
      </c>
      <c r="G86" s="21" t="n"/>
      <c r="H86" s="12">
        <f>IF(AND(B86="",D86="",F86=""),"",IF(NOT(ISNUMBER(B86)),"Needs a date",IF(D86="","Needs a client",IF(COUNTIF(Clients!$B$6:$B$105,D86)=0,"Not on Clients",IF(AND(F86="",INT(B86)&lt;TODAY()),"Needs a status","")))))</f>
        <v/>
      </c>
      <c r="I86" s="1">
        <f>IF(ISNUMBER(B86),INT(B86),0)</f>
        <v/>
      </c>
      <c r="J86">
        <f>IF(ISNUMBER(B86),YEAR(B86)*100+MONTH(B86),"")</f>
        <v/>
      </c>
      <c r="K86">
        <f>IF(AND(H86="",OR(F86="Attended",F86="No-show",AND(F86="Late cancel",Settings!$C$9="Yes"))),1,0)</f>
        <v/>
      </c>
      <c r="L86">
        <f>IF(AND(H86="",F86="Attended"),1,0)</f>
        <v/>
      </c>
      <c r="M86">
        <f>IF(AND(H86="",OR(F86="No-show",F86="Late cancel")),1,0)</f>
        <v/>
      </c>
      <c r="N86">
        <f>IF(AND(H86="",F86="",D86&lt;&gt;"",I86&gt;=TODAY()),ROUND((I86+IF(ISNUMBER(C86),MOD(C86,1),0))*1440,0)*10000+ROW(),"")</f>
        <v/>
      </c>
    </row>
    <row r="87">
      <c r="A87" s="1" t="n"/>
      <c r="B87" s="17" t="n">
        <v>46143</v>
      </c>
      <c r="C87" s="18" t="n">
        <v>0.7291666666666666</v>
      </c>
      <c r="D87" s="19" t="inlineStr">
        <is>
          <t>Tom Walsh</t>
        </is>
      </c>
      <c r="E87" s="20" t="inlineStr">
        <is>
          <t>1 to 1</t>
        </is>
      </c>
      <c r="F87" s="20" t="inlineStr">
        <is>
          <t>Attended</t>
        </is>
      </c>
      <c r="G87" s="21" t="n"/>
      <c r="H87" s="12">
        <f>IF(AND(B87="",D87="",F87=""),"",IF(NOT(ISNUMBER(B87)),"Needs a date",IF(D87="","Needs a client",IF(COUNTIF(Clients!$B$6:$B$105,D87)=0,"Not on Clients",IF(AND(F87="",INT(B87)&lt;TODAY()),"Needs a status","")))))</f>
        <v/>
      </c>
      <c r="I87" s="1">
        <f>IF(ISNUMBER(B87),INT(B87),0)</f>
        <v/>
      </c>
      <c r="J87">
        <f>IF(ISNUMBER(B87),YEAR(B87)*100+MONTH(B87),"")</f>
        <v/>
      </c>
      <c r="K87">
        <f>IF(AND(H87="",OR(F87="Attended",F87="No-show",AND(F87="Late cancel",Settings!$C$9="Yes"))),1,0)</f>
        <v/>
      </c>
      <c r="L87">
        <f>IF(AND(H87="",F87="Attended"),1,0)</f>
        <v/>
      </c>
      <c r="M87">
        <f>IF(AND(H87="",OR(F87="No-show",F87="Late cancel")),1,0)</f>
        <v/>
      </c>
      <c r="N87">
        <f>IF(AND(H87="",F87="",D87&lt;&gt;"",I87&gt;=TODAY()),ROUND((I87+IF(ISNUMBER(C87),MOD(C87,1),0))*1440,0)*10000+ROW(),"")</f>
        <v/>
      </c>
    </row>
    <row r="88">
      <c r="A88" s="1" t="n"/>
      <c r="B88" s="17" t="n">
        <v>46143</v>
      </c>
      <c r="C88" s="18" t="n">
        <v>0.7291666666666666</v>
      </c>
      <c r="D88" s="19" t="inlineStr">
        <is>
          <t>Hannah Brooks</t>
        </is>
      </c>
      <c r="E88" s="20" t="inlineStr">
        <is>
          <t>Duo</t>
        </is>
      </c>
      <c r="F88" s="20" t="inlineStr">
        <is>
          <t>Attended</t>
        </is>
      </c>
      <c r="G88" s="21" t="n"/>
      <c r="H88" s="12">
        <f>IF(AND(B88="",D88="",F88=""),"",IF(NOT(ISNUMBER(B88)),"Needs a date",IF(D88="","Needs a client",IF(COUNTIF(Clients!$B$6:$B$105,D88)=0,"Not on Clients",IF(AND(F88="",INT(B88)&lt;TODAY()),"Needs a status","")))))</f>
        <v/>
      </c>
      <c r="I88" s="1">
        <f>IF(ISNUMBER(B88),INT(B88),0)</f>
        <v/>
      </c>
      <c r="J88">
        <f>IF(ISNUMBER(B88),YEAR(B88)*100+MONTH(B88),"")</f>
        <v/>
      </c>
      <c r="K88">
        <f>IF(AND(H88="",OR(F88="Attended",F88="No-show",AND(F88="Late cancel",Settings!$C$9="Yes"))),1,0)</f>
        <v/>
      </c>
      <c r="L88">
        <f>IF(AND(H88="",F88="Attended"),1,0)</f>
        <v/>
      </c>
      <c r="M88">
        <f>IF(AND(H88="",OR(F88="No-show",F88="Late cancel")),1,0)</f>
        <v/>
      </c>
      <c r="N88">
        <f>IF(AND(H88="",F88="",D88&lt;&gt;"",I88&gt;=TODAY()),ROUND((I88+IF(ISNUMBER(C88),MOD(C88,1),0))*1440,0)*10000+ROW(),"")</f>
        <v/>
      </c>
    </row>
    <row r="89">
      <c r="A89" s="1" t="n"/>
      <c r="B89" s="17" t="n">
        <v>46144</v>
      </c>
      <c r="C89" s="18" t="n">
        <v>0.2916666666666667</v>
      </c>
      <c r="D89" s="19" t="inlineStr">
        <is>
          <t>Maya Ortiz</t>
        </is>
      </c>
      <c r="E89" s="20" t="inlineStr">
        <is>
          <t>Duo</t>
        </is>
      </c>
      <c r="F89" s="20" t="inlineStr">
        <is>
          <t>Attended</t>
        </is>
      </c>
      <c r="G89" s="21" t="n"/>
      <c r="H89" s="12">
        <f>IF(AND(B89="",D89="",F89=""),"",IF(NOT(ISNUMBER(B89)),"Needs a date",IF(D89="","Needs a client",IF(COUNTIF(Clients!$B$6:$B$105,D89)=0,"Not on Clients",IF(AND(F89="",INT(B89)&lt;TODAY()),"Needs a status","")))))</f>
        <v/>
      </c>
      <c r="I89" s="1">
        <f>IF(ISNUMBER(B89),INT(B89),0)</f>
        <v/>
      </c>
      <c r="J89">
        <f>IF(ISNUMBER(B89),YEAR(B89)*100+MONTH(B89),"")</f>
        <v/>
      </c>
      <c r="K89">
        <f>IF(AND(H89="",OR(F89="Attended",F89="No-show",AND(F89="Late cancel",Settings!$C$9="Yes"))),1,0)</f>
        <v/>
      </c>
      <c r="L89">
        <f>IF(AND(H89="",F89="Attended"),1,0)</f>
        <v/>
      </c>
      <c r="M89">
        <f>IF(AND(H89="",OR(F89="No-show",F89="Late cancel")),1,0)</f>
        <v/>
      </c>
      <c r="N89">
        <f>IF(AND(H89="",F89="",D89&lt;&gt;"",I89&gt;=TODAY()),ROUND((I89+IF(ISNUMBER(C89),MOD(C89,1),0))*1440,0)*10000+ROW(),"")</f>
        <v/>
      </c>
    </row>
    <row r="90">
      <c r="A90" s="1" t="n"/>
      <c r="B90" s="17" t="n">
        <v>46144</v>
      </c>
      <c r="C90" s="18" t="n">
        <v>0.5208333333333334</v>
      </c>
      <c r="D90" s="19" t="inlineStr">
        <is>
          <t>Priya Nair</t>
        </is>
      </c>
      <c r="E90" s="20" t="inlineStr">
        <is>
          <t>1 to 1</t>
        </is>
      </c>
      <c r="F90" s="20" t="inlineStr">
        <is>
          <t>No-show</t>
        </is>
      </c>
      <c r="G90" s="21" t="n"/>
      <c r="H90" s="12">
        <f>IF(AND(B90="",D90="",F90=""),"",IF(NOT(ISNUMBER(B90)),"Needs a date",IF(D90="","Needs a client",IF(COUNTIF(Clients!$B$6:$B$105,D90)=0,"Not on Clients",IF(AND(F90="",INT(B90)&lt;TODAY()),"Needs a status","")))))</f>
        <v/>
      </c>
      <c r="I90" s="1">
        <f>IF(ISNUMBER(B90),INT(B90),0)</f>
        <v/>
      </c>
      <c r="J90">
        <f>IF(ISNUMBER(B90),YEAR(B90)*100+MONTH(B90),"")</f>
        <v/>
      </c>
      <c r="K90">
        <f>IF(AND(H90="",OR(F90="Attended",F90="No-show",AND(F90="Late cancel",Settings!$C$9="Yes"))),1,0)</f>
        <v/>
      </c>
      <c r="L90">
        <f>IF(AND(H90="",F90="Attended"),1,0)</f>
        <v/>
      </c>
      <c r="M90">
        <f>IF(AND(H90="",OR(F90="No-show",F90="Late cancel")),1,0)</f>
        <v/>
      </c>
      <c r="N90">
        <f>IF(AND(H90="",F90="",D90&lt;&gt;"",I90&gt;=TODAY()),ROUND((I90+IF(ISNUMBER(C90),MOD(C90,1),0))*1440,0)*10000+ROW(),"")</f>
        <v/>
      </c>
    </row>
    <row r="91">
      <c r="A91" s="1" t="n"/>
      <c r="B91" s="17" t="n">
        <v>46145</v>
      </c>
      <c r="C91" s="18" t="n">
        <v>0.3333333333333333</v>
      </c>
      <c r="D91" s="19" t="inlineStr">
        <is>
          <t>Ben Carter</t>
        </is>
      </c>
      <c r="E91" s="20" t="inlineStr">
        <is>
          <t>1 to 1</t>
        </is>
      </c>
      <c r="F91" s="20" t="inlineStr">
        <is>
          <t>Attended</t>
        </is>
      </c>
      <c r="G91" s="21" t="n"/>
      <c r="H91" s="12">
        <f>IF(AND(B91="",D91="",F91=""),"",IF(NOT(ISNUMBER(B91)),"Needs a date",IF(D91="","Needs a client",IF(COUNTIF(Clients!$B$6:$B$105,D91)=0,"Not on Clients",IF(AND(F91="",INT(B91)&lt;TODAY()),"Needs a status","")))))</f>
        <v/>
      </c>
      <c r="I91" s="1">
        <f>IF(ISNUMBER(B91),INT(B91),0)</f>
        <v/>
      </c>
      <c r="J91">
        <f>IF(ISNUMBER(B91),YEAR(B91)*100+MONTH(B91),"")</f>
        <v/>
      </c>
      <c r="K91">
        <f>IF(AND(H91="",OR(F91="Attended",F91="No-show",AND(F91="Late cancel",Settings!$C$9="Yes"))),1,0)</f>
        <v/>
      </c>
      <c r="L91">
        <f>IF(AND(H91="",F91="Attended"),1,0)</f>
        <v/>
      </c>
      <c r="M91">
        <f>IF(AND(H91="",OR(F91="No-show",F91="Late cancel")),1,0)</f>
        <v/>
      </c>
      <c r="N91">
        <f>IF(AND(H91="",F91="",D91&lt;&gt;"",I91&gt;=TODAY()),ROUND((I91+IF(ISNUMBER(C91),MOD(C91,1),0))*1440,0)*10000+ROW(),"")</f>
        <v/>
      </c>
    </row>
    <row r="92">
      <c r="A92" s="1" t="n"/>
      <c r="B92" s="17" t="n">
        <v>46147</v>
      </c>
      <c r="C92" s="18" t="n">
        <v>0.7291666666666666</v>
      </c>
      <c r="D92" s="19" t="inlineStr">
        <is>
          <t>Hannah Brooks</t>
        </is>
      </c>
      <c r="E92" s="20" t="inlineStr">
        <is>
          <t>Duo</t>
        </is>
      </c>
      <c r="F92" s="20" t="inlineStr">
        <is>
          <t>Attended</t>
        </is>
      </c>
      <c r="G92" s="21" t="n"/>
      <c r="H92" s="12">
        <f>IF(AND(B92="",D92="",F92=""),"",IF(NOT(ISNUMBER(B92)),"Needs a date",IF(D92="","Needs a client",IF(COUNTIF(Clients!$B$6:$B$105,D92)=0,"Not on Clients",IF(AND(F92="",INT(B92)&lt;TODAY()),"Needs a status","")))))</f>
        <v/>
      </c>
      <c r="I92" s="1">
        <f>IF(ISNUMBER(B92),INT(B92),0)</f>
        <v/>
      </c>
      <c r="J92">
        <f>IF(ISNUMBER(B92),YEAR(B92)*100+MONTH(B92),"")</f>
        <v/>
      </c>
      <c r="K92">
        <f>IF(AND(H92="",OR(F92="Attended",F92="No-show",AND(F92="Late cancel",Settings!$C$9="Yes"))),1,0)</f>
        <v/>
      </c>
      <c r="L92">
        <f>IF(AND(H92="",F92="Attended"),1,0)</f>
        <v/>
      </c>
      <c r="M92">
        <f>IF(AND(H92="",OR(F92="No-show",F92="Late cancel")),1,0)</f>
        <v/>
      </c>
      <c r="N92">
        <f>IF(AND(H92="",F92="",D92&lt;&gt;"",I92&gt;=TODAY()),ROUND((I92+IF(ISNUMBER(C92),MOD(C92,1),0))*1440,0)*10000+ROW(),"")</f>
        <v/>
      </c>
    </row>
    <row r="93">
      <c r="A93" s="1" t="n"/>
      <c r="B93" s="17" t="n">
        <v>46148</v>
      </c>
      <c r="C93" s="18" t="n">
        <v>0.5208333333333334</v>
      </c>
      <c r="D93" s="19" t="inlineStr">
        <is>
          <t>Priya Nair</t>
        </is>
      </c>
      <c r="E93" s="20" t="inlineStr">
        <is>
          <t>1 to 1</t>
        </is>
      </c>
      <c r="F93" s="20" t="inlineStr">
        <is>
          <t>Attended</t>
        </is>
      </c>
      <c r="G93" s="21" t="n"/>
      <c r="H93" s="12">
        <f>IF(AND(B93="",D93="",F93=""),"",IF(NOT(ISNUMBER(B93)),"Needs a date",IF(D93="","Needs a client",IF(COUNTIF(Clients!$B$6:$B$105,D93)=0,"Not on Clients",IF(AND(F93="",INT(B93)&lt;TODAY()),"Needs a status","")))))</f>
        <v/>
      </c>
      <c r="I93" s="1">
        <f>IF(ISNUMBER(B93),INT(B93),0)</f>
        <v/>
      </c>
      <c r="J93">
        <f>IF(ISNUMBER(B93),YEAR(B93)*100+MONTH(B93),"")</f>
        <v/>
      </c>
      <c r="K93">
        <f>IF(AND(H93="",OR(F93="Attended",F93="No-show",AND(F93="Late cancel",Settings!$C$9="Yes"))),1,0)</f>
        <v/>
      </c>
      <c r="L93">
        <f>IF(AND(H93="",F93="Attended"),1,0)</f>
        <v/>
      </c>
      <c r="M93">
        <f>IF(AND(H93="",OR(F93="No-show",F93="Late cancel")),1,0)</f>
        <v/>
      </c>
      <c r="N93">
        <f>IF(AND(H93="",F93="",D93&lt;&gt;"",I93&gt;=TODAY()),ROUND((I93+IF(ISNUMBER(C93),MOD(C93,1),0))*1440,0)*10000+ROW(),"")</f>
        <v/>
      </c>
    </row>
    <row r="94">
      <c r="A94" s="1" t="n"/>
      <c r="B94" s="17" t="n">
        <v>46149</v>
      </c>
      <c r="C94" s="18" t="n">
        <v>0.3333333333333333</v>
      </c>
      <c r="D94" s="19" t="inlineStr">
        <is>
          <t>Ben Carter</t>
        </is>
      </c>
      <c r="E94" s="20" t="inlineStr">
        <is>
          <t>1 to 1</t>
        </is>
      </c>
      <c r="F94" s="20" t="inlineStr">
        <is>
          <t>Attended</t>
        </is>
      </c>
      <c r="G94" s="21" t="n"/>
      <c r="H94" s="12">
        <f>IF(AND(B94="",D94="",F94=""),"",IF(NOT(ISNUMBER(B94)),"Needs a date",IF(D94="","Needs a client",IF(COUNTIF(Clients!$B$6:$B$105,D94)=0,"Not on Clients",IF(AND(F94="",INT(B94)&lt;TODAY()),"Needs a status","")))))</f>
        <v/>
      </c>
      <c r="I94" s="1">
        <f>IF(ISNUMBER(B94),INT(B94),0)</f>
        <v/>
      </c>
      <c r="J94">
        <f>IF(ISNUMBER(B94),YEAR(B94)*100+MONTH(B94),"")</f>
        <v/>
      </c>
      <c r="K94">
        <f>IF(AND(H94="",OR(F94="Attended",F94="No-show",AND(F94="Late cancel",Settings!$C$9="Yes"))),1,0)</f>
        <v/>
      </c>
      <c r="L94">
        <f>IF(AND(H94="",F94="Attended"),1,0)</f>
        <v/>
      </c>
      <c r="M94">
        <f>IF(AND(H94="",OR(F94="No-show",F94="Late cancel")),1,0)</f>
        <v/>
      </c>
      <c r="N94">
        <f>IF(AND(H94="",F94="",D94&lt;&gt;"",I94&gt;=TODAY()),ROUND((I94+IF(ISNUMBER(C94),MOD(C94,1),0))*1440,0)*10000+ROW(),"")</f>
        <v/>
      </c>
    </row>
    <row r="95">
      <c r="A95" s="1" t="n"/>
      <c r="B95" s="17" t="n">
        <v>46150</v>
      </c>
      <c r="C95" s="18" t="n">
        <v>0.3333333333333333</v>
      </c>
      <c r="D95" s="19" t="inlineStr">
        <is>
          <t>Grace Kim</t>
        </is>
      </c>
      <c r="E95" s="20" t="inlineStr">
        <is>
          <t>1 to 1</t>
        </is>
      </c>
      <c r="F95" s="20" t="inlineStr">
        <is>
          <t>Attended</t>
        </is>
      </c>
      <c r="G95" s="21" t="n"/>
      <c r="H95" s="12">
        <f>IF(AND(B95="",D95="",F95=""),"",IF(NOT(ISNUMBER(B95)),"Needs a date",IF(D95="","Needs a client",IF(COUNTIF(Clients!$B$6:$B$105,D95)=0,"Not on Clients",IF(AND(F95="",INT(B95)&lt;TODAY()),"Needs a status","")))))</f>
        <v/>
      </c>
      <c r="I95" s="1">
        <f>IF(ISNUMBER(B95),INT(B95),0)</f>
        <v/>
      </c>
      <c r="J95">
        <f>IF(ISNUMBER(B95),YEAR(B95)*100+MONTH(B95),"")</f>
        <v/>
      </c>
      <c r="K95">
        <f>IF(AND(H95="",OR(F95="Attended",F95="No-show",AND(F95="Late cancel",Settings!$C$9="Yes"))),1,0)</f>
        <v/>
      </c>
      <c r="L95">
        <f>IF(AND(H95="",F95="Attended"),1,0)</f>
        <v/>
      </c>
      <c r="M95">
        <f>IF(AND(H95="",OR(F95="No-show",F95="Late cancel")),1,0)</f>
        <v/>
      </c>
      <c r="N95">
        <f>IF(AND(H95="",F95="",D95&lt;&gt;"",I95&gt;=TODAY()),ROUND((I95+IF(ISNUMBER(C95),MOD(C95,1),0))*1440,0)*10000+ROW(),"")</f>
        <v/>
      </c>
    </row>
    <row r="96">
      <c r="A96" s="1" t="n"/>
      <c r="B96" s="17" t="n">
        <v>46150</v>
      </c>
      <c r="C96" s="18" t="n">
        <v>0.7291666666666666</v>
      </c>
      <c r="D96" s="19" t="inlineStr">
        <is>
          <t>Tom Walsh</t>
        </is>
      </c>
      <c r="E96" s="20" t="inlineStr">
        <is>
          <t>1 to 1</t>
        </is>
      </c>
      <c r="F96" s="20" t="inlineStr">
        <is>
          <t>Attended</t>
        </is>
      </c>
      <c r="G96" s="21" t="n"/>
      <c r="H96" s="12">
        <f>IF(AND(B96="",D96="",F96=""),"",IF(NOT(ISNUMBER(B96)),"Needs a date",IF(D96="","Needs a client",IF(COUNTIF(Clients!$B$6:$B$105,D96)=0,"Not on Clients",IF(AND(F96="",INT(B96)&lt;TODAY()),"Needs a status","")))))</f>
        <v/>
      </c>
      <c r="I96" s="1">
        <f>IF(ISNUMBER(B96),INT(B96),0)</f>
        <v/>
      </c>
      <c r="J96">
        <f>IF(ISNUMBER(B96),YEAR(B96)*100+MONTH(B96),"")</f>
        <v/>
      </c>
      <c r="K96">
        <f>IF(AND(H96="",OR(F96="Attended",F96="No-show",AND(F96="Late cancel",Settings!$C$9="Yes"))),1,0)</f>
        <v/>
      </c>
      <c r="L96">
        <f>IF(AND(H96="",F96="Attended"),1,0)</f>
        <v/>
      </c>
      <c r="M96">
        <f>IF(AND(H96="",OR(F96="No-show",F96="Late cancel")),1,0)</f>
        <v/>
      </c>
      <c r="N96">
        <f>IF(AND(H96="",F96="",D96&lt;&gt;"",I96&gt;=TODAY()),ROUND((I96+IF(ISNUMBER(C96),MOD(C96,1),0))*1440,0)*10000+ROW(),"")</f>
        <v/>
      </c>
    </row>
    <row r="97">
      <c r="A97" s="1" t="n"/>
      <c r="B97" s="17" t="n">
        <v>46150</v>
      </c>
      <c r="C97" s="18" t="n">
        <v>0.7291666666666666</v>
      </c>
      <c r="D97" s="19" t="inlineStr">
        <is>
          <t>Hannah Brooks</t>
        </is>
      </c>
      <c r="E97" s="20" t="inlineStr">
        <is>
          <t>Duo</t>
        </is>
      </c>
      <c r="F97" s="20" t="inlineStr">
        <is>
          <t>Attended</t>
        </is>
      </c>
      <c r="G97" s="21" t="n"/>
      <c r="H97" s="12">
        <f>IF(AND(B97="",D97="",F97=""),"",IF(NOT(ISNUMBER(B97)),"Needs a date",IF(D97="","Needs a client",IF(COUNTIF(Clients!$B$6:$B$105,D97)=0,"Not on Clients",IF(AND(F97="",INT(B97)&lt;TODAY()),"Needs a status","")))))</f>
        <v/>
      </c>
      <c r="I97" s="1">
        <f>IF(ISNUMBER(B97),INT(B97),0)</f>
        <v/>
      </c>
      <c r="J97">
        <f>IF(ISNUMBER(B97),YEAR(B97)*100+MONTH(B97),"")</f>
        <v/>
      </c>
      <c r="K97">
        <f>IF(AND(H97="",OR(F97="Attended",F97="No-show",AND(F97="Late cancel",Settings!$C$9="Yes"))),1,0)</f>
        <v/>
      </c>
      <c r="L97">
        <f>IF(AND(H97="",F97="Attended"),1,0)</f>
        <v/>
      </c>
      <c r="M97">
        <f>IF(AND(H97="",OR(F97="No-show",F97="Late cancel")),1,0)</f>
        <v/>
      </c>
      <c r="N97">
        <f>IF(AND(H97="",F97="",D97&lt;&gt;"",I97&gt;=TODAY()),ROUND((I97+IF(ISNUMBER(C97),MOD(C97,1),0))*1440,0)*10000+ROW(),"")</f>
        <v/>
      </c>
    </row>
    <row r="98">
      <c r="A98" s="1" t="n"/>
      <c r="B98" s="17" t="n">
        <v>46151</v>
      </c>
      <c r="C98" s="18" t="n">
        <v>0.2916666666666667</v>
      </c>
      <c r="D98" s="19" t="inlineStr">
        <is>
          <t>Maya Ortiz</t>
        </is>
      </c>
      <c r="E98" s="20" t="inlineStr">
        <is>
          <t>Duo</t>
        </is>
      </c>
      <c r="F98" s="20" t="inlineStr">
        <is>
          <t>Attended</t>
        </is>
      </c>
      <c r="G98" s="21" t="n"/>
      <c r="H98" s="12">
        <f>IF(AND(B98="",D98="",F98=""),"",IF(NOT(ISNUMBER(B98)),"Needs a date",IF(D98="","Needs a client",IF(COUNTIF(Clients!$B$6:$B$105,D98)=0,"Not on Clients",IF(AND(F98="",INT(B98)&lt;TODAY()),"Needs a status","")))))</f>
        <v/>
      </c>
      <c r="I98" s="1">
        <f>IF(ISNUMBER(B98),INT(B98),0)</f>
        <v/>
      </c>
      <c r="J98">
        <f>IF(ISNUMBER(B98),YEAR(B98)*100+MONTH(B98),"")</f>
        <v/>
      </c>
      <c r="K98">
        <f>IF(AND(H98="",OR(F98="Attended",F98="No-show",AND(F98="Late cancel",Settings!$C$9="Yes"))),1,0)</f>
        <v/>
      </c>
      <c r="L98">
        <f>IF(AND(H98="",F98="Attended"),1,0)</f>
        <v/>
      </c>
      <c r="M98">
        <f>IF(AND(H98="",OR(F98="No-show",F98="Late cancel")),1,0)</f>
        <v/>
      </c>
      <c r="N98">
        <f>IF(AND(H98="",F98="",D98&lt;&gt;"",I98&gt;=TODAY()),ROUND((I98+IF(ISNUMBER(C98),MOD(C98,1),0))*1440,0)*10000+ROW(),"")</f>
        <v/>
      </c>
    </row>
    <row r="99">
      <c r="A99" s="1" t="n"/>
      <c r="B99" s="17" t="n">
        <v>46151</v>
      </c>
      <c r="C99" s="18" t="n">
        <v>0.5208333333333334</v>
      </c>
      <c r="D99" s="19" t="inlineStr">
        <is>
          <t>Priya Nair</t>
        </is>
      </c>
      <c r="E99" s="20" t="inlineStr">
        <is>
          <t>1 to 1</t>
        </is>
      </c>
      <c r="F99" s="20" t="inlineStr">
        <is>
          <t>Attended</t>
        </is>
      </c>
      <c r="G99" s="21" t="n"/>
      <c r="H99" s="12">
        <f>IF(AND(B99="",D99="",F99=""),"",IF(NOT(ISNUMBER(B99)),"Needs a date",IF(D99="","Needs a client",IF(COUNTIF(Clients!$B$6:$B$105,D99)=0,"Not on Clients",IF(AND(F99="",INT(B99)&lt;TODAY()),"Needs a status","")))))</f>
        <v/>
      </c>
      <c r="I99" s="1">
        <f>IF(ISNUMBER(B99),INT(B99),0)</f>
        <v/>
      </c>
      <c r="J99">
        <f>IF(ISNUMBER(B99),YEAR(B99)*100+MONTH(B99),"")</f>
        <v/>
      </c>
      <c r="K99">
        <f>IF(AND(H99="",OR(F99="Attended",F99="No-show",AND(F99="Late cancel",Settings!$C$9="Yes"))),1,0)</f>
        <v/>
      </c>
      <c r="L99">
        <f>IF(AND(H99="",F99="Attended"),1,0)</f>
        <v/>
      </c>
      <c r="M99">
        <f>IF(AND(H99="",OR(F99="No-show",F99="Late cancel")),1,0)</f>
        <v/>
      </c>
      <c r="N99">
        <f>IF(AND(H99="",F99="",D99&lt;&gt;"",I99&gt;=TODAY()),ROUND((I99+IF(ISNUMBER(C99),MOD(C99,1),0))*1440,0)*10000+ROW(),"")</f>
        <v/>
      </c>
    </row>
    <row r="100">
      <c r="A100" s="1" t="n"/>
      <c r="B100" s="17" t="n">
        <v>46152</v>
      </c>
      <c r="C100" s="18" t="n">
        <v>0.3333333333333333</v>
      </c>
      <c r="D100" s="19" t="inlineStr">
        <is>
          <t>Ben Carter</t>
        </is>
      </c>
      <c r="E100" s="20" t="inlineStr">
        <is>
          <t>1 to 1</t>
        </is>
      </c>
      <c r="F100" s="20" t="inlineStr">
        <is>
          <t>Attended</t>
        </is>
      </c>
      <c r="G100" s="21" t="n"/>
      <c r="H100" s="12">
        <f>IF(AND(B100="",D100="",F100=""),"",IF(NOT(ISNUMBER(B100)),"Needs a date",IF(D100="","Needs a client",IF(COUNTIF(Clients!$B$6:$B$105,D100)=0,"Not on Clients",IF(AND(F100="",INT(B100)&lt;TODAY()),"Needs a status","")))))</f>
        <v/>
      </c>
      <c r="I100" s="1">
        <f>IF(ISNUMBER(B100),INT(B100),0)</f>
        <v/>
      </c>
      <c r="J100">
        <f>IF(ISNUMBER(B100),YEAR(B100)*100+MONTH(B100),"")</f>
        <v/>
      </c>
      <c r="K100">
        <f>IF(AND(H100="",OR(F100="Attended",F100="No-show",AND(F100="Late cancel",Settings!$C$9="Yes"))),1,0)</f>
        <v/>
      </c>
      <c r="L100">
        <f>IF(AND(H100="",F100="Attended"),1,0)</f>
        <v/>
      </c>
      <c r="M100">
        <f>IF(AND(H100="",OR(F100="No-show",F100="Late cancel")),1,0)</f>
        <v/>
      </c>
      <c r="N100">
        <f>IF(AND(H100="",F100="",D100&lt;&gt;"",I100&gt;=TODAY()),ROUND((I100+IF(ISNUMBER(C100),MOD(C100,1),0))*1440,0)*10000+ROW(),"")</f>
        <v/>
      </c>
    </row>
    <row r="101">
      <c r="A101" s="1" t="n"/>
      <c r="B101" s="17" t="n">
        <v>46154</v>
      </c>
      <c r="C101" s="18" t="n">
        <v>0.7291666666666666</v>
      </c>
      <c r="D101" s="19" t="inlineStr">
        <is>
          <t>Hannah Brooks</t>
        </is>
      </c>
      <c r="E101" s="20" t="inlineStr">
        <is>
          <t>Duo</t>
        </is>
      </c>
      <c r="F101" s="20" t="inlineStr">
        <is>
          <t>No-show</t>
        </is>
      </c>
      <c r="G101" s="21" t="n"/>
      <c r="H101" s="12">
        <f>IF(AND(B101="",D101="",F101=""),"",IF(NOT(ISNUMBER(B101)),"Needs a date",IF(D101="","Needs a client",IF(COUNTIF(Clients!$B$6:$B$105,D101)=0,"Not on Clients",IF(AND(F101="",INT(B101)&lt;TODAY()),"Needs a status","")))))</f>
        <v/>
      </c>
      <c r="I101" s="1">
        <f>IF(ISNUMBER(B101),INT(B101),0)</f>
        <v/>
      </c>
      <c r="J101">
        <f>IF(ISNUMBER(B101),YEAR(B101)*100+MONTH(B101),"")</f>
        <v/>
      </c>
      <c r="K101">
        <f>IF(AND(H101="",OR(F101="Attended",F101="No-show",AND(F101="Late cancel",Settings!$C$9="Yes"))),1,0)</f>
        <v/>
      </c>
      <c r="L101">
        <f>IF(AND(H101="",F101="Attended"),1,0)</f>
        <v/>
      </c>
      <c r="M101">
        <f>IF(AND(H101="",OR(F101="No-show",F101="Late cancel")),1,0)</f>
        <v/>
      </c>
      <c r="N101">
        <f>IF(AND(H101="",F101="",D101&lt;&gt;"",I101&gt;=TODAY()),ROUND((I101+IF(ISNUMBER(C101),MOD(C101,1),0))*1440,0)*10000+ROW(),"")</f>
        <v/>
      </c>
    </row>
    <row r="102">
      <c r="A102" s="1" t="n"/>
      <c r="B102" s="17" t="n">
        <v>46155</v>
      </c>
      <c r="C102" s="18" t="n">
        <v>0.5208333333333334</v>
      </c>
      <c r="D102" s="19" t="inlineStr">
        <is>
          <t>Priya Nair</t>
        </is>
      </c>
      <c r="E102" s="20" t="inlineStr">
        <is>
          <t>1 to 1</t>
        </is>
      </c>
      <c r="F102" s="20" t="inlineStr">
        <is>
          <t>Attended</t>
        </is>
      </c>
      <c r="G102" s="21" t="n"/>
      <c r="H102" s="12">
        <f>IF(AND(B102="",D102="",F102=""),"",IF(NOT(ISNUMBER(B102)),"Needs a date",IF(D102="","Needs a client",IF(COUNTIF(Clients!$B$6:$B$105,D102)=0,"Not on Clients",IF(AND(F102="",INT(B102)&lt;TODAY()),"Needs a status","")))))</f>
        <v/>
      </c>
      <c r="I102" s="1">
        <f>IF(ISNUMBER(B102),INT(B102),0)</f>
        <v/>
      </c>
      <c r="J102">
        <f>IF(ISNUMBER(B102),YEAR(B102)*100+MONTH(B102),"")</f>
        <v/>
      </c>
      <c r="K102">
        <f>IF(AND(H102="",OR(F102="Attended",F102="No-show",AND(F102="Late cancel",Settings!$C$9="Yes"))),1,0)</f>
        <v/>
      </c>
      <c r="L102">
        <f>IF(AND(H102="",F102="Attended"),1,0)</f>
        <v/>
      </c>
      <c r="M102">
        <f>IF(AND(H102="",OR(F102="No-show",F102="Late cancel")),1,0)</f>
        <v/>
      </c>
      <c r="N102">
        <f>IF(AND(H102="",F102="",D102&lt;&gt;"",I102&gt;=TODAY()),ROUND((I102+IF(ISNUMBER(C102),MOD(C102,1),0))*1440,0)*10000+ROW(),"")</f>
        <v/>
      </c>
    </row>
    <row r="103">
      <c r="A103" s="1" t="n"/>
      <c r="B103" s="17" t="n">
        <v>46156</v>
      </c>
      <c r="C103" s="18" t="n">
        <v>0.3333333333333333</v>
      </c>
      <c r="D103" s="19" t="inlineStr">
        <is>
          <t>Ben Carter</t>
        </is>
      </c>
      <c r="E103" s="20" t="inlineStr">
        <is>
          <t>1 to 1</t>
        </is>
      </c>
      <c r="F103" s="20" t="inlineStr">
        <is>
          <t>Attended</t>
        </is>
      </c>
      <c r="G103" s="21" t="n"/>
      <c r="H103" s="12">
        <f>IF(AND(B103="",D103="",F103=""),"",IF(NOT(ISNUMBER(B103)),"Needs a date",IF(D103="","Needs a client",IF(COUNTIF(Clients!$B$6:$B$105,D103)=0,"Not on Clients",IF(AND(F103="",INT(B103)&lt;TODAY()),"Needs a status","")))))</f>
        <v/>
      </c>
      <c r="I103" s="1">
        <f>IF(ISNUMBER(B103),INT(B103),0)</f>
        <v/>
      </c>
      <c r="J103">
        <f>IF(ISNUMBER(B103),YEAR(B103)*100+MONTH(B103),"")</f>
        <v/>
      </c>
      <c r="K103">
        <f>IF(AND(H103="",OR(F103="Attended",F103="No-show",AND(F103="Late cancel",Settings!$C$9="Yes"))),1,0)</f>
        <v/>
      </c>
      <c r="L103">
        <f>IF(AND(H103="",F103="Attended"),1,0)</f>
        <v/>
      </c>
      <c r="M103">
        <f>IF(AND(H103="",OR(F103="No-show",F103="Late cancel")),1,0)</f>
        <v/>
      </c>
      <c r="N103">
        <f>IF(AND(H103="",F103="",D103&lt;&gt;"",I103&gt;=TODAY()),ROUND((I103+IF(ISNUMBER(C103),MOD(C103,1),0))*1440,0)*10000+ROW(),"")</f>
        <v/>
      </c>
    </row>
    <row r="104">
      <c r="A104" s="1" t="n"/>
      <c r="B104" s="17" t="n">
        <v>46157</v>
      </c>
      <c r="C104" s="18" t="n">
        <v>0.3333333333333333</v>
      </c>
      <c r="D104" s="19" t="inlineStr">
        <is>
          <t>Grace Kim</t>
        </is>
      </c>
      <c r="E104" s="20" t="inlineStr">
        <is>
          <t>1 to 1</t>
        </is>
      </c>
      <c r="F104" s="20" t="inlineStr">
        <is>
          <t>Attended</t>
        </is>
      </c>
      <c r="G104" s="21" t="n"/>
      <c r="H104" s="12">
        <f>IF(AND(B104="",D104="",F104=""),"",IF(NOT(ISNUMBER(B104)),"Needs a date",IF(D104="","Needs a client",IF(COUNTIF(Clients!$B$6:$B$105,D104)=0,"Not on Clients",IF(AND(F104="",INT(B104)&lt;TODAY()),"Needs a status","")))))</f>
        <v/>
      </c>
      <c r="I104" s="1">
        <f>IF(ISNUMBER(B104),INT(B104),0)</f>
        <v/>
      </c>
      <c r="J104">
        <f>IF(ISNUMBER(B104),YEAR(B104)*100+MONTH(B104),"")</f>
        <v/>
      </c>
      <c r="K104">
        <f>IF(AND(H104="",OR(F104="Attended",F104="No-show",AND(F104="Late cancel",Settings!$C$9="Yes"))),1,0)</f>
        <v/>
      </c>
      <c r="L104">
        <f>IF(AND(H104="",F104="Attended"),1,0)</f>
        <v/>
      </c>
      <c r="M104">
        <f>IF(AND(H104="",OR(F104="No-show",F104="Late cancel")),1,0)</f>
        <v/>
      </c>
      <c r="N104">
        <f>IF(AND(H104="",F104="",D104&lt;&gt;"",I104&gt;=TODAY()),ROUND((I104+IF(ISNUMBER(C104),MOD(C104,1),0))*1440,0)*10000+ROW(),"")</f>
        <v/>
      </c>
    </row>
    <row r="105">
      <c r="A105" s="1" t="n"/>
      <c r="B105" s="17" t="n">
        <v>46157</v>
      </c>
      <c r="C105" s="18" t="n">
        <v>0.7291666666666666</v>
      </c>
      <c r="D105" s="19" t="inlineStr">
        <is>
          <t>Tom Walsh</t>
        </is>
      </c>
      <c r="E105" s="20" t="inlineStr">
        <is>
          <t>1 to 1</t>
        </is>
      </c>
      <c r="F105" s="20" t="inlineStr">
        <is>
          <t>Attended</t>
        </is>
      </c>
      <c r="G105" s="21" t="n"/>
      <c r="H105" s="12">
        <f>IF(AND(B105="",D105="",F105=""),"",IF(NOT(ISNUMBER(B105)),"Needs a date",IF(D105="","Needs a client",IF(COUNTIF(Clients!$B$6:$B$105,D105)=0,"Not on Clients",IF(AND(F105="",INT(B105)&lt;TODAY()),"Needs a status","")))))</f>
        <v/>
      </c>
      <c r="I105" s="1">
        <f>IF(ISNUMBER(B105),INT(B105),0)</f>
        <v/>
      </c>
      <c r="J105">
        <f>IF(ISNUMBER(B105),YEAR(B105)*100+MONTH(B105),"")</f>
        <v/>
      </c>
      <c r="K105">
        <f>IF(AND(H105="",OR(F105="Attended",F105="No-show",AND(F105="Late cancel",Settings!$C$9="Yes"))),1,0)</f>
        <v/>
      </c>
      <c r="L105">
        <f>IF(AND(H105="",F105="Attended"),1,0)</f>
        <v/>
      </c>
      <c r="M105">
        <f>IF(AND(H105="",OR(F105="No-show",F105="Late cancel")),1,0)</f>
        <v/>
      </c>
      <c r="N105">
        <f>IF(AND(H105="",F105="",D105&lt;&gt;"",I105&gt;=TODAY()),ROUND((I105+IF(ISNUMBER(C105),MOD(C105,1),0))*1440,0)*10000+ROW(),"")</f>
        <v/>
      </c>
    </row>
    <row r="106">
      <c r="A106" s="1" t="n"/>
      <c r="B106" s="17" t="n">
        <v>46157</v>
      </c>
      <c r="C106" s="18" t="n">
        <v>0.7291666666666666</v>
      </c>
      <c r="D106" s="19" t="inlineStr">
        <is>
          <t>Hannah Brooks</t>
        </is>
      </c>
      <c r="E106" s="20" t="inlineStr">
        <is>
          <t>Duo</t>
        </is>
      </c>
      <c r="F106" s="20" t="inlineStr">
        <is>
          <t>Attended</t>
        </is>
      </c>
      <c r="G106" s="21" t="n"/>
      <c r="H106" s="12">
        <f>IF(AND(B106="",D106="",F106=""),"",IF(NOT(ISNUMBER(B106)),"Needs a date",IF(D106="","Needs a client",IF(COUNTIF(Clients!$B$6:$B$105,D106)=0,"Not on Clients",IF(AND(F106="",INT(B106)&lt;TODAY()),"Needs a status","")))))</f>
        <v/>
      </c>
      <c r="I106" s="1">
        <f>IF(ISNUMBER(B106),INT(B106),0)</f>
        <v/>
      </c>
      <c r="J106">
        <f>IF(ISNUMBER(B106),YEAR(B106)*100+MONTH(B106),"")</f>
        <v/>
      </c>
      <c r="K106">
        <f>IF(AND(H106="",OR(F106="Attended",F106="No-show",AND(F106="Late cancel",Settings!$C$9="Yes"))),1,0)</f>
        <v/>
      </c>
      <c r="L106">
        <f>IF(AND(H106="",F106="Attended"),1,0)</f>
        <v/>
      </c>
      <c r="M106">
        <f>IF(AND(H106="",OR(F106="No-show",F106="Late cancel")),1,0)</f>
        <v/>
      </c>
      <c r="N106">
        <f>IF(AND(H106="",F106="",D106&lt;&gt;"",I106&gt;=TODAY()),ROUND((I106+IF(ISNUMBER(C106),MOD(C106,1),0))*1440,0)*10000+ROW(),"")</f>
        <v/>
      </c>
    </row>
    <row r="107">
      <c r="A107" s="1" t="n"/>
      <c r="B107" s="17" t="n">
        <v>46158</v>
      </c>
      <c r="C107" s="18" t="n">
        <v>0.2916666666666667</v>
      </c>
      <c r="D107" s="19" t="inlineStr">
        <is>
          <t>Maya Ortiz</t>
        </is>
      </c>
      <c r="E107" s="20" t="inlineStr">
        <is>
          <t>Duo</t>
        </is>
      </c>
      <c r="F107" s="20" t="inlineStr">
        <is>
          <t>Attended</t>
        </is>
      </c>
      <c r="G107" s="21" t="n"/>
      <c r="H107" s="12">
        <f>IF(AND(B107="",D107="",F107=""),"",IF(NOT(ISNUMBER(B107)),"Needs a date",IF(D107="","Needs a client",IF(COUNTIF(Clients!$B$6:$B$105,D107)=0,"Not on Clients",IF(AND(F107="",INT(B107)&lt;TODAY()),"Needs a status","")))))</f>
        <v/>
      </c>
      <c r="I107" s="1">
        <f>IF(ISNUMBER(B107),INT(B107),0)</f>
        <v/>
      </c>
      <c r="J107">
        <f>IF(ISNUMBER(B107),YEAR(B107)*100+MONTH(B107),"")</f>
        <v/>
      </c>
      <c r="K107">
        <f>IF(AND(H107="",OR(F107="Attended",F107="No-show",AND(F107="Late cancel",Settings!$C$9="Yes"))),1,0)</f>
        <v/>
      </c>
      <c r="L107">
        <f>IF(AND(H107="",F107="Attended"),1,0)</f>
        <v/>
      </c>
      <c r="M107">
        <f>IF(AND(H107="",OR(F107="No-show",F107="Late cancel")),1,0)</f>
        <v/>
      </c>
      <c r="N107">
        <f>IF(AND(H107="",F107="",D107&lt;&gt;"",I107&gt;=TODAY()),ROUND((I107+IF(ISNUMBER(C107),MOD(C107,1),0))*1440,0)*10000+ROW(),"")</f>
        <v/>
      </c>
    </row>
    <row r="108">
      <c r="A108" s="1" t="n"/>
      <c r="B108" s="17" t="n">
        <v>46158</v>
      </c>
      <c r="C108" s="18" t="n">
        <v>0.5208333333333334</v>
      </c>
      <c r="D108" s="19" t="inlineStr">
        <is>
          <t>Priya Nair</t>
        </is>
      </c>
      <c r="E108" s="20" t="inlineStr">
        <is>
          <t>1 to 1</t>
        </is>
      </c>
      <c r="F108" s="20" t="inlineStr">
        <is>
          <t>Attended</t>
        </is>
      </c>
      <c r="G108" s="21" t="n"/>
      <c r="H108" s="12">
        <f>IF(AND(B108="",D108="",F108=""),"",IF(NOT(ISNUMBER(B108)),"Needs a date",IF(D108="","Needs a client",IF(COUNTIF(Clients!$B$6:$B$105,D108)=0,"Not on Clients",IF(AND(F108="",INT(B108)&lt;TODAY()),"Needs a status","")))))</f>
        <v/>
      </c>
      <c r="I108" s="1">
        <f>IF(ISNUMBER(B108),INT(B108),0)</f>
        <v/>
      </c>
      <c r="J108">
        <f>IF(ISNUMBER(B108),YEAR(B108)*100+MONTH(B108),"")</f>
        <v/>
      </c>
      <c r="K108">
        <f>IF(AND(H108="",OR(F108="Attended",F108="No-show",AND(F108="Late cancel",Settings!$C$9="Yes"))),1,0)</f>
        <v/>
      </c>
      <c r="L108">
        <f>IF(AND(H108="",F108="Attended"),1,0)</f>
        <v/>
      </c>
      <c r="M108">
        <f>IF(AND(H108="",OR(F108="No-show",F108="Late cancel")),1,0)</f>
        <v/>
      </c>
      <c r="N108">
        <f>IF(AND(H108="",F108="",D108&lt;&gt;"",I108&gt;=TODAY()),ROUND((I108+IF(ISNUMBER(C108),MOD(C108,1),0))*1440,0)*10000+ROW(),"")</f>
        <v/>
      </c>
    </row>
    <row r="109">
      <c r="A109" s="1" t="n"/>
      <c r="B109" s="17" t="n">
        <v>46159</v>
      </c>
      <c r="C109" s="18" t="n">
        <v>0.3333333333333333</v>
      </c>
      <c r="D109" s="19" t="inlineStr">
        <is>
          <t>Ben Carter</t>
        </is>
      </c>
      <c r="E109" s="20" t="inlineStr">
        <is>
          <t>1 to 1</t>
        </is>
      </c>
      <c r="F109" s="20" t="inlineStr">
        <is>
          <t>Attended</t>
        </is>
      </c>
      <c r="G109" s="21" t="n"/>
      <c r="H109" s="12">
        <f>IF(AND(B109="",D109="",F109=""),"",IF(NOT(ISNUMBER(B109)),"Needs a date",IF(D109="","Needs a client",IF(COUNTIF(Clients!$B$6:$B$105,D109)=0,"Not on Clients",IF(AND(F109="",INT(B109)&lt;TODAY()),"Needs a status","")))))</f>
        <v/>
      </c>
      <c r="I109" s="1">
        <f>IF(ISNUMBER(B109),INT(B109),0)</f>
        <v/>
      </c>
      <c r="J109">
        <f>IF(ISNUMBER(B109),YEAR(B109)*100+MONTH(B109),"")</f>
        <v/>
      </c>
      <c r="K109">
        <f>IF(AND(H109="",OR(F109="Attended",F109="No-show",AND(F109="Late cancel",Settings!$C$9="Yes"))),1,0)</f>
        <v/>
      </c>
      <c r="L109">
        <f>IF(AND(H109="",F109="Attended"),1,0)</f>
        <v/>
      </c>
      <c r="M109">
        <f>IF(AND(H109="",OR(F109="No-show",F109="Late cancel")),1,0)</f>
        <v/>
      </c>
      <c r="N109">
        <f>IF(AND(H109="",F109="",D109&lt;&gt;"",I109&gt;=TODAY()),ROUND((I109+IF(ISNUMBER(C109),MOD(C109,1),0))*1440,0)*10000+ROW(),"")</f>
        <v/>
      </c>
    </row>
    <row r="110">
      <c r="A110" s="1" t="n"/>
      <c r="B110" s="17" t="n">
        <v>46161</v>
      </c>
      <c r="C110" s="18" t="n">
        <v>0.7291666666666666</v>
      </c>
      <c r="D110" s="19" t="inlineStr">
        <is>
          <t>Hannah Brooks</t>
        </is>
      </c>
      <c r="E110" s="20" t="inlineStr">
        <is>
          <t>Duo</t>
        </is>
      </c>
      <c r="F110" s="20" t="inlineStr">
        <is>
          <t>Attended</t>
        </is>
      </c>
      <c r="G110" s="21" t="n"/>
      <c r="H110" s="12">
        <f>IF(AND(B110="",D110="",F110=""),"",IF(NOT(ISNUMBER(B110)),"Needs a date",IF(D110="","Needs a client",IF(COUNTIF(Clients!$B$6:$B$105,D110)=0,"Not on Clients",IF(AND(F110="",INT(B110)&lt;TODAY()),"Needs a status","")))))</f>
        <v/>
      </c>
      <c r="I110" s="1">
        <f>IF(ISNUMBER(B110),INT(B110),0)</f>
        <v/>
      </c>
      <c r="J110">
        <f>IF(ISNUMBER(B110),YEAR(B110)*100+MONTH(B110),"")</f>
        <v/>
      </c>
      <c r="K110">
        <f>IF(AND(H110="",OR(F110="Attended",F110="No-show",AND(F110="Late cancel",Settings!$C$9="Yes"))),1,0)</f>
        <v/>
      </c>
      <c r="L110">
        <f>IF(AND(H110="",F110="Attended"),1,0)</f>
        <v/>
      </c>
      <c r="M110">
        <f>IF(AND(H110="",OR(F110="No-show",F110="Late cancel")),1,0)</f>
        <v/>
      </c>
      <c r="N110">
        <f>IF(AND(H110="",F110="",D110&lt;&gt;"",I110&gt;=TODAY()),ROUND((I110+IF(ISNUMBER(C110),MOD(C110,1),0))*1440,0)*10000+ROW(),"")</f>
        <v/>
      </c>
    </row>
    <row r="111">
      <c r="A111" s="1" t="n"/>
      <c r="B111" s="17" t="n">
        <v>46162</v>
      </c>
      <c r="C111" s="18" t="n">
        <v>0.5208333333333334</v>
      </c>
      <c r="D111" s="19" t="inlineStr">
        <is>
          <t>Priya Nair</t>
        </is>
      </c>
      <c r="E111" s="20" t="inlineStr">
        <is>
          <t>1 to 1</t>
        </is>
      </c>
      <c r="F111" s="20" t="inlineStr">
        <is>
          <t>Attended</t>
        </is>
      </c>
      <c r="G111" s="21" t="n"/>
      <c r="H111" s="12">
        <f>IF(AND(B111="",D111="",F111=""),"",IF(NOT(ISNUMBER(B111)),"Needs a date",IF(D111="","Needs a client",IF(COUNTIF(Clients!$B$6:$B$105,D111)=0,"Not on Clients",IF(AND(F111="",INT(B111)&lt;TODAY()),"Needs a status","")))))</f>
        <v/>
      </c>
      <c r="I111" s="1">
        <f>IF(ISNUMBER(B111),INT(B111),0)</f>
        <v/>
      </c>
      <c r="J111">
        <f>IF(ISNUMBER(B111),YEAR(B111)*100+MONTH(B111),"")</f>
        <v/>
      </c>
      <c r="K111">
        <f>IF(AND(H111="",OR(F111="Attended",F111="No-show",AND(F111="Late cancel",Settings!$C$9="Yes"))),1,0)</f>
        <v/>
      </c>
      <c r="L111">
        <f>IF(AND(H111="",F111="Attended"),1,0)</f>
        <v/>
      </c>
      <c r="M111">
        <f>IF(AND(H111="",OR(F111="No-show",F111="Late cancel")),1,0)</f>
        <v/>
      </c>
      <c r="N111">
        <f>IF(AND(H111="",F111="",D111&lt;&gt;"",I111&gt;=TODAY()),ROUND((I111+IF(ISNUMBER(C111),MOD(C111,1),0))*1440,0)*10000+ROW(),"")</f>
        <v/>
      </c>
    </row>
    <row r="112">
      <c r="A112" s="1" t="n"/>
      <c r="B112" s="17" t="n">
        <v>46163</v>
      </c>
      <c r="C112" s="18" t="n">
        <v>0.3333333333333333</v>
      </c>
      <c r="D112" s="19" t="inlineStr">
        <is>
          <t>Ben Carter</t>
        </is>
      </c>
      <c r="E112" s="20" t="inlineStr">
        <is>
          <t>1 to 1</t>
        </is>
      </c>
      <c r="F112" s="20" t="inlineStr">
        <is>
          <t>Attended</t>
        </is>
      </c>
      <c r="G112" s="21" t="n"/>
      <c r="H112" s="12">
        <f>IF(AND(B112="",D112="",F112=""),"",IF(NOT(ISNUMBER(B112)),"Needs a date",IF(D112="","Needs a client",IF(COUNTIF(Clients!$B$6:$B$105,D112)=0,"Not on Clients",IF(AND(F112="",INT(B112)&lt;TODAY()),"Needs a status","")))))</f>
        <v/>
      </c>
      <c r="I112" s="1">
        <f>IF(ISNUMBER(B112),INT(B112),0)</f>
        <v/>
      </c>
      <c r="J112">
        <f>IF(ISNUMBER(B112),YEAR(B112)*100+MONTH(B112),"")</f>
        <v/>
      </c>
      <c r="K112">
        <f>IF(AND(H112="",OR(F112="Attended",F112="No-show",AND(F112="Late cancel",Settings!$C$9="Yes"))),1,0)</f>
        <v/>
      </c>
      <c r="L112">
        <f>IF(AND(H112="",F112="Attended"),1,0)</f>
        <v/>
      </c>
      <c r="M112">
        <f>IF(AND(H112="",OR(F112="No-show",F112="Late cancel")),1,0)</f>
        <v/>
      </c>
      <c r="N112">
        <f>IF(AND(H112="",F112="",D112&lt;&gt;"",I112&gt;=TODAY()),ROUND((I112+IF(ISNUMBER(C112),MOD(C112,1),0))*1440,0)*10000+ROW(),"")</f>
        <v/>
      </c>
    </row>
    <row r="113">
      <c r="A113" s="1" t="n"/>
      <c r="B113" s="17" t="n">
        <v>46164</v>
      </c>
      <c r="C113" s="18" t="n">
        <v>0.3333333333333333</v>
      </c>
      <c r="D113" s="19" t="inlineStr">
        <is>
          <t>Grace Kim</t>
        </is>
      </c>
      <c r="E113" s="20" t="inlineStr">
        <is>
          <t>1 to 1</t>
        </is>
      </c>
      <c r="F113" s="20" t="inlineStr">
        <is>
          <t>Attended</t>
        </is>
      </c>
      <c r="G113" s="21" t="n"/>
      <c r="H113" s="12">
        <f>IF(AND(B113="",D113="",F113=""),"",IF(NOT(ISNUMBER(B113)),"Needs a date",IF(D113="","Needs a client",IF(COUNTIF(Clients!$B$6:$B$105,D113)=0,"Not on Clients",IF(AND(F113="",INT(B113)&lt;TODAY()),"Needs a status","")))))</f>
        <v/>
      </c>
      <c r="I113" s="1">
        <f>IF(ISNUMBER(B113),INT(B113),0)</f>
        <v/>
      </c>
      <c r="J113">
        <f>IF(ISNUMBER(B113),YEAR(B113)*100+MONTH(B113),"")</f>
        <v/>
      </c>
      <c r="K113">
        <f>IF(AND(H113="",OR(F113="Attended",F113="No-show",AND(F113="Late cancel",Settings!$C$9="Yes"))),1,0)</f>
        <v/>
      </c>
      <c r="L113">
        <f>IF(AND(H113="",F113="Attended"),1,0)</f>
        <v/>
      </c>
      <c r="M113">
        <f>IF(AND(H113="",OR(F113="No-show",F113="Late cancel")),1,0)</f>
        <v/>
      </c>
      <c r="N113">
        <f>IF(AND(H113="",F113="",D113&lt;&gt;"",I113&gt;=TODAY()),ROUND((I113+IF(ISNUMBER(C113),MOD(C113,1),0))*1440,0)*10000+ROW(),"")</f>
        <v/>
      </c>
    </row>
    <row r="114">
      <c r="A114" s="1" t="n"/>
      <c r="B114" s="17" t="n">
        <v>46164</v>
      </c>
      <c r="C114" s="18" t="n">
        <v>0.7291666666666666</v>
      </c>
      <c r="D114" s="19" t="inlineStr">
        <is>
          <t>Tom Walsh</t>
        </is>
      </c>
      <c r="E114" s="20" t="inlineStr">
        <is>
          <t>1 to 1</t>
        </is>
      </c>
      <c r="F114" s="20" t="inlineStr">
        <is>
          <t>Attended</t>
        </is>
      </c>
      <c r="G114" s="21" t="n"/>
      <c r="H114" s="12">
        <f>IF(AND(B114="",D114="",F114=""),"",IF(NOT(ISNUMBER(B114)),"Needs a date",IF(D114="","Needs a client",IF(COUNTIF(Clients!$B$6:$B$105,D114)=0,"Not on Clients",IF(AND(F114="",INT(B114)&lt;TODAY()),"Needs a status","")))))</f>
        <v/>
      </c>
      <c r="I114" s="1">
        <f>IF(ISNUMBER(B114),INT(B114),0)</f>
        <v/>
      </c>
      <c r="J114">
        <f>IF(ISNUMBER(B114),YEAR(B114)*100+MONTH(B114),"")</f>
        <v/>
      </c>
      <c r="K114">
        <f>IF(AND(H114="",OR(F114="Attended",F114="No-show",AND(F114="Late cancel",Settings!$C$9="Yes"))),1,0)</f>
        <v/>
      </c>
      <c r="L114">
        <f>IF(AND(H114="",F114="Attended"),1,0)</f>
        <v/>
      </c>
      <c r="M114">
        <f>IF(AND(H114="",OR(F114="No-show",F114="Late cancel")),1,0)</f>
        <v/>
      </c>
      <c r="N114">
        <f>IF(AND(H114="",F114="",D114&lt;&gt;"",I114&gt;=TODAY()),ROUND((I114+IF(ISNUMBER(C114),MOD(C114,1),0))*1440,0)*10000+ROW(),"")</f>
        <v/>
      </c>
    </row>
    <row r="115">
      <c r="A115" s="1" t="n"/>
      <c r="B115" s="17" t="n">
        <v>46164</v>
      </c>
      <c r="C115" s="18" t="n">
        <v>0.7291666666666666</v>
      </c>
      <c r="D115" s="19" t="inlineStr">
        <is>
          <t>Hannah Brooks</t>
        </is>
      </c>
      <c r="E115" s="20" t="inlineStr">
        <is>
          <t>Duo</t>
        </is>
      </c>
      <c r="F115" s="20" t="inlineStr">
        <is>
          <t>Late cancel</t>
        </is>
      </c>
      <c r="G115" s="21" t="n"/>
      <c r="H115" s="12">
        <f>IF(AND(B115="",D115="",F115=""),"",IF(NOT(ISNUMBER(B115)),"Needs a date",IF(D115="","Needs a client",IF(COUNTIF(Clients!$B$6:$B$105,D115)=0,"Not on Clients",IF(AND(F115="",INT(B115)&lt;TODAY()),"Needs a status","")))))</f>
        <v/>
      </c>
      <c r="I115" s="1">
        <f>IF(ISNUMBER(B115),INT(B115),0)</f>
        <v/>
      </c>
      <c r="J115">
        <f>IF(ISNUMBER(B115),YEAR(B115)*100+MONTH(B115),"")</f>
        <v/>
      </c>
      <c r="K115">
        <f>IF(AND(H115="",OR(F115="Attended",F115="No-show",AND(F115="Late cancel",Settings!$C$9="Yes"))),1,0)</f>
        <v/>
      </c>
      <c r="L115">
        <f>IF(AND(H115="",F115="Attended"),1,0)</f>
        <v/>
      </c>
      <c r="M115">
        <f>IF(AND(H115="",OR(F115="No-show",F115="Late cancel")),1,0)</f>
        <v/>
      </c>
      <c r="N115">
        <f>IF(AND(H115="",F115="",D115&lt;&gt;"",I115&gt;=TODAY()),ROUND((I115+IF(ISNUMBER(C115),MOD(C115,1),0))*1440,0)*10000+ROW(),"")</f>
        <v/>
      </c>
    </row>
    <row r="116">
      <c r="A116" s="1" t="n"/>
      <c r="B116" s="17" t="n">
        <v>46165</v>
      </c>
      <c r="C116" s="18" t="n">
        <v>0.2916666666666667</v>
      </c>
      <c r="D116" s="19" t="inlineStr">
        <is>
          <t>Maya Ortiz</t>
        </is>
      </c>
      <c r="E116" s="20" t="inlineStr">
        <is>
          <t>Duo</t>
        </is>
      </c>
      <c r="F116" s="20" t="inlineStr">
        <is>
          <t>Attended</t>
        </is>
      </c>
      <c r="G116" s="21" t="n"/>
      <c r="H116" s="12">
        <f>IF(AND(B116="",D116="",F116=""),"",IF(NOT(ISNUMBER(B116)),"Needs a date",IF(D116="","Needs a client",IF(COUNTIF(Clients!$B$6:$B$105,D116)=0,"Not on Clients",IF(AND(F116="",INT(B116)&lt;TODAY()),"Needs a status","")))))</f>
        <v/>
      </c>
      <c r="I116" s="1">
        <f>IF(ISNUMBER(B116),INT(B116),0)</f>
        <v/>
      </c>
      <c r="J116">
        <f>IF(ISNUMBER(B116),YEAR(B116)*100+MONTH(B116),"")</f>
        <v/>
      </c>
      <c r="K116">
        <f>IF(AND(H116="",OR(F116="Attended",F116="No-show",AND(F116="Late cancel",Settings!$C$9="Yes"))),1,0)</f>
        <v/>
      </c>
      <c r="L116">
        <f>IF(AND(H116="",F116="Attended"),1,0)</f>
        <v/>
      </c>
      <c r="M116">
        <f>IF(AND(H116="",OR(F116="No-show",F116="Late cancel")),1,0)</f>
        <v/>
      </c>
      <c r="N116">
        <f>IF(AND(H116="",F116="",D116&lt;&gt;"",I116&gt;=TODAY()),ROUND((I116+IF(ISNUMBER(C116),MOD(C116,1),0))*1440,0)*10000+ROW(),"")</f>
        <v/>
      </c>
    </row>
    <row r="117">
      <c r="A117" s="1" t="n"/>
      <c r="B117" s="17" t="n">
        <v>46165</v>
      </c>
      <c r="C117" s="18" t="n">
        <v>0.5208333333333334</v>
      </c>
      <c r="D117" s="19" t="inlineStr">
        <is>
          <t>Priya Nair</t>
        </is>
      </c>
      <c r="E117" s="20" t="inlineStr">
        <is>
          <t>1 to 1</t>
        </is>
      </c>
      <c r="F117" s="20" t="inlineStr">
        <is>
          <t>Late cancel</t>
        </is>
      </c>
      <c r="G117" s="21" t="n"/>
      <c r="H117" s="12">
        <f>IF(AND(B117="",D117="",F117=""),"",IF(NOT(ISNUMBER(B117)),"Needs a date",IF(D117="","Needs a client",IF(COUNTIF(Clients!$B$6:$B$105,D117)=0,"Not on Clients",IF(AND(F117="",INT(B117)&lt;TODAY()),"Needs a status","")))))</f>
        <v/>
      </c>
      <c r="I117" s="1">
        <f>IF(ISNUMBER(B117),INT(B117),0)</f>
        <v/>
      </c>
      <c r="J117">
        <f>IF(ISNUMBER(B117),YEAR(B117)*100+MONTH(B117),"")</f>
        <v/>
      </c>
      <c r="K117">
        <f>IF(AND(H117="",OR(F117="Attended",F117="No-show",AND(F117="Late cancel",Settings!$C$9="Yes"))),1,0)</f>
        <v/>
      </c>
      <c r="L117">
        <f>IF(AND(H117="",F117="Attended"),1,0)</f>
        <v/>
      </c>
      <c r="M117">
        <f>IF(AND(H117="",OR(F117="No-show",F117="Late cancel")),1,0)</f>
        <v/>
      </c>
      <c r="N117">
        <f>IF(AND(H117="",F117="",D117&lt;&gt;"",I117&gt;=TODAY()),ROUND((I117+IF(ISNUMBER(C117),MOD(C117,1),0))*1440,0)*10000+ROW(),"")</f>
        <v/>
      </c>
    </row>
    <row r="118">
      <c r="A118" s="1" t="n"/>
      <c r="B118" s="17" t="n">
        <v>46166</v>
      </c>
      <c r="C118" s="18" t="n">
        <v>0.3333333333333333</v>
      </c>
      <c r="D118" s="19" t="inlineStr">
        <is>
          <t>Ben Carter</t>
        </is>
      </c>
      <c r="E118" s="20" t="inlineStr">
        <is>
          <t>1 to 1</t>
        </is>
      </c>
      <c r="F118" s="20" t="inlineStr">
        <is>
          <t>Attended</t>
        </is>
      </c>
      <c r="G118" s="21" t="n"/>
      <c r="H118" s="12">
        <f>IF(AND(B118="",D118="",F118=""),"",IF(NOT(ISNUMBER(B118)),"Needs a date",IF(D118="","Needs a client",IF(COUNTIF(Clients!$B$6:$B$105,D118)=0,"Not on Clients",IF(AND(F118="",INT(B118)&lt;TODAY()),"Needs a status","")))))</f>
        <v/>
      </c>
      <c r="I118" s="1">
        <f>IF(ISNUMBER(B118),INT(B118),0)</f>
        <v/>
      </c>
      <c r="J118">
        <f>IF(ISNUMBER(B118),YEAR(B118)*100+MONTH(B118),"")</f>
        <v/>
      </c>
      <c r="K118">
        <f>IF(AND(H118="",OR(F118="Attended",F118="No-show",AND(F118="Late cancel",Settings!$C$9="Yes"))),1,0)</f>
        <v/>
      </c>
      <c r="L118">
        <f>IF(AND(H118="",F118="Attended"),1,0)</f>
        <v/>
      </c>
      <c r="M118">
        <f>IF(AND(H118="",OR(F118="No-show",F118="Late cancel")),1,0)</f>
        <v/>
      </c>
      <c r="N118">
        <f>IF(AND(H118="",F118="",D118&lt;&gt;"",I118&gt;=TODAY()),ROUND((I118+IF(ISNUMBER(C118),MOD(C118,1),0))*1440,0)*10000+ROW(),"")</f>
        <v/>
      </c>
    </row>
    <row r="119">
      <c r="A119" s="1" t="n"/>
      <c r="B119" s="17" t="n">
        <v>46168</v>
      </c>
      <c r="C119" s="18" t="n">
        <v>0.7291666666666666</v>
      </c>
      <c r="D119" s="19" t="inlineStr">
        <is>
          <t>Hannah Brooks</t>
        </is>
      </c>
      <c r="E119" s="20" t="inlineStr">
        <is>
          <t>Duo</t>
        </is>
      </c>
      <c r="F119" s="20" t="inlineStr">
        <is>
          <t>No-show</t>
        </is>
      </c>
      <c r="G119" s="21" t="n"/>
      <c r="H119" s="12">
        <f>IF(AND(B119="",D119="",F119=""),"",IF(NOT(ISNUMBER(B119)),"Needs a date",IF(D119="","Needs a client",IF(COUNTIF(Clients!$B$6:$B$105,D119)=0,"Not on Clients",IF(AND(F119="",INT(B119)&lt;TODAY()),"Needs a status","")))))</f>
        <v/>
      </c>
      <c r="I119" s="1">
        <f>IF(ISNUMBER(B119),INT(B119),0)</f>
        <v/>
      </c>
      <c r="J119">
        <f>IF(ISNUMBER(B119),YEAR(B119)*100+MONTH(B119),"")</f>
        <v/>
      </c>
      <c r="K119">
        <f>IF(AND(H119="",OR(F119="Attended",F119="No-show",AND(F119="Late cancel",Settings!$C$9="Yes"))),1,0)</f>
        <v/>
      </c>
      <c r="L119">
        <f>IF(AND(H119="",F119="Attended"),1,0)</f>
        <v/>
      </c>
      <c r="M119">
        <f>IF(AND(H119="",OR(F119="No-show",F119="Late cancel")),1,0)</f>
        <v/>
      </c>
      <c r="N119">
        <f>IF(AND(H119="",F119="",D119&lt;&gt;"",I119&gt;=TODAY()),ROUND((I119+IF(ISNUMBER(C119),MOD(C119,1),0))*1440,0)*10000+ROW(),"")</f>
        <v/>
      </c>
    </row>
    <row r="120">
      <c r="A120" s="1" t="n"/>
      <c r="B120" s="17" t="n">
        <v>46169</v>
      </c>
      <c r="C120" s="18" t="n">
        <v>0.5208333333333334</v>
      </c>
      <c r="D120" s="19" t="inlineStr">
        <is>
          <t>Priya Nair</t>
        </is>
      </c>
      <c r="E120" s="20" t="inlineStr">
        <is>
          <t>1 to 1</t>
        </is>
      </c>
      <c r="F120" s="20" t="inlineStr">
        <is>
          <t>Attended</t>
        </is>
      </c>
      <c r="G120" s="21" t="n"/>
      <c r="H120" s="12">
        <f>IF(AND(B120="",D120="",F120=""),"",IF(NOT(ISNUMBER(B120)),"Needs a date",IF(D120="","Needs a client",IF(COUNTIF(Clients!$B$6:$B$105,D120)=0,"Not on Clients",IF(AND(F120="",INT(B120)&lt;TODAY()),"Needs a status","")))))</f>
        <v/>
      </c>
      <c r="I120" s="1">
        <f>IF(ISNUMBER(B120),INT(B120),0)</f>
        <v/>
      </c>
      <c r="J120">
        <f>IF(ISNUMBER(B120),YEAR(B120)*100+MONTH(B120),"")</f>
        <v/>
      </c>
      <c r="K120">
        <f>IF(AND(H120="",OR(F120="Attended",F120="No-show",AND(F120="Late cancel",Settings!$C$9="Yes"))),1,0)</f>
        <v/>
      </c>
      <c r="L120">
        <f>IF(AND(H120="",F120="Attended"),1,0)</f>
        <v/>
      </c>
      <c r="M120">
        <f>IF(AND(H120="",OR(F120="No-show",F120="Late cancel")),1,0)</f>
        <v/>
      </c>
      <c r="N120">
        <f>IF(AND(H120="",F120="",D120&lt;&gt;"",I120&gt;=TODAY()),ROUND((I120+IF(ISNUMBER(C120),MOD(C120,1),0))*1440,0)*10000+ROW(),"")</f>
        <v/>
      </c>
    </row>
    <row r="121">
      <c r="A121" s="1" t="n"/>
      <c r="B121" s="17" t="n">
        <v>46170</v>
      </c>
      <c r="C121" s="18" t="n">
        <v>0.3333333333333333</v>
      </c>
      <c r="D121" s="19" t="inlineStr">
        <is>
          <t>Ben Carter</t>
        </is>
      </c>
      <c r="E121" s="20" t="inlineStr">
        <is>
          <t>1 to 1</t>
        </is>
      </c>
      <c r="F121" s="20" t="inlineStr">
        <is>
          <t>Late cancel</t>
        </is>
      </c>
      <c r="G121" s="21" t="n"/>
      <c r="H121" s="12">
        <f>IF(AND(B121="",D121="",F121=""),"",IF(NOT(ISNUMBER(B121)),"Needs a date",IF(D121="","Needs a client",IF(COUNTIF(Clients!$B$6:$B$105,D121)=0,"Not on Clients",IF(AND(F121="",INT(B121)&lt;TODAY()),"Needs a status","")))))</f>
        <v/>
      </c>
      <c r="I121" s="1">
        <f>IF(ISNUMBER(B121),INT(B121),0)</f>
        <v/>
      </c>
      <c r="J121">
        <f>IF(ISNUMBER(B121),YEAR(B121)*100+MONTH(B121),"")</f>
        <v/>
      </c>
      <c r="K121">
        <f>IF(AND(H121="",OR(F121="Attended",F121="No-show",AND(F121="Late cancel",Settings!$C$9="Yes"))),1,0)</f>
        <v/>
      </c>
      <c r="L121">
        <f>IF(AND(H121="",F121="Attended"),1,0)</f>
        <v/>
      </c>
      <c r="M121">
        <f>IF(AND(H121="",OR(F121="No-show",F121="Late cancel")),1,0)</f>
        <v/>
      </c>
      <c r="N121">
        <f>IF(AND(H121="",F121="",D121&lt;&gt;"",I121&gt;=TODAY()),ROUND((I121+IF(ISNUMBER(C121),MOD(C121,1),0))*1440,0)*10000+ROW(),"")</f>
        <v/>
      </c>
    </row>
    <row r="122">
      <c r="A122" s="1" t="n"/>
      <c r="B122" s="17" t="n">
        <v>46171</v>
      </c>
      <c r="C122" s="18" t="n">
        <v>0.3333333333333333</v>
      </c>
      <c r="D122" s="19" t="inlineStr">
        <is>
          <t>Grace Kim</t>
        </is>
      </c>
      <c r="E122" s="20" t="inlineStr">
        <is>
          <t>1 to 1</t>
        </is>
      </c>
      <c r="F122" s="20" t="inlineStr">
        <is>
          <t>Attended</t>
        </is>
      </c>
      <c r="G122" s="21" t="n"/>
      <c r="H122" s="12">
        <f>IF(AND(B122="",D122="",F122=""),"",IF(NOT(ISNUMBER(B122)),"Needs a date",IF(D122="","Needs a client",IF(COUNTIF(Clients!$B$6:$B$105,D122)=0,"Not on Clients",IF(AND(F122="",INT(B122)&lt;TODAY()),"Needs a status","")))))</f>
        <v/>
      </c>
      <c r="I122" s="1">
        <f>IF(ISNUMBER(B122),INT(B122),0)</f>
        <v/>
      </c>
      <c r="J122">
        <f>IF(ISNUMBER(B122),YEAR(B122)*100+MONTH(B122),"")</f>
        <v/>
      </c>
      <c r="K122">
        <f>IF(AND(H122="",OR(F122="Attended",F122="No-show",AND(F122="Late cancel",Settings!$C$9="Yes"))),1,0)</f>
        <v/>
      </c>
      <c r="L122">
        <f>IF(AND(H122="",F122="Attended"),1,0)</f>
        <v/>
      </c>
      <c r="M122">
        <f>IF(AND(H122="",OR(F122="No-show",F122="Late cancel")),1,0)</f>
        <v/>
      </c>
      <c r="N122">
        <f>IF(AND(H122="",F122="",D122&lt;&gt;"",I122&gt;=TODAY()),ROUND((I122+IF(ISNUMBER(C122),MOD(C122,1),0))*1440,0)*10000+ROW(),"")</f>
        <v/>
      </c>
    </row>
    <row r="123">
      <c r="A123" s="1" t="n"/>
      <c r="B123" s="17" t="n">
        <v>46171</v>
      </c>
      <c r="C123" s="18" t="n">
        <v>0.7291666666666666</v>
      </c>
      <c r="D123" s="19" t="inlineStr">
        <is>
          <t>Tom Walsh</t>
        </is>
      </c>
      <c r="E123" s="20" t="inlineStr">
        <is>
          <t>1 to 1</t>
        </is>
      </c>
      <c r="F123" s="20" t="inlineStr">
        <is>
          <t>Late cancel</t>
        </is>
      </c>
      <c r="G123" s="21" t="n"/>
      <c r="H123" s="12">
        <f>IF(AND(B123="",D123="",F123=""),"",IF(NOT(ISNUMBER(B123)),"Needs a date",IF(D123="","Needs a client",IF(COUNTIF(Clients!$B$6:$B$105,D123)=0,"Not on Clients",IF(AND(F123="",INT(B123)&lt;TODAY()),"Needs a status","")))))</f>
        <v/>
      </c>
      <c r="I123" s="1">
        <f>IF(ISNUMBER(B123),INT(B123),0)</f>
        <v/>
      </c>
      <c r="J123">
        <f>IF(ISNUMBER(B123),YEAR(B123)*100+MONTH(B123),"")</f>
        <v/>
      </c>
      <c r="K123">
        <f>IF(AND(H123="",OR(F123="Attended",F123="No-show",AND(F123="Late cancel",Settings!$C$9="Yes"))),1,0)</f>
        <v/>
      </c>
      <c r="L123">
        <f>IF(AND(H123="",F123="Attended"),1,0)</f>
        <v/>
      </c>
      <c r="M123">
        <f>IF(AND(H123="",OR(F123="No-show",F123="Late cancel")),1,0)</f>
        <v/>
      </c>
      <c r="N123">
        <f>IF(AND(H123="",F123="",D123&lt;&gt;"",I123&gt;=TODAY()),ROUND((I123+IF(ISNUMBER(C123),MOD(C123,1),0))*1440,0)*10000+ROW(),"")</f>
        <v/>
      </c>
    </row>
    <row r="124">
      <c r="A124" s="1" t="n"/>
      <c r="B124" s="17" t="n">
        <v>46171</v>
      </c>
      <c r="C124" s="18" t="n">
        <v>0.7291666666666666</v>
      </c>
      <c r="D124" s="19" t="inlineStr">
        <is>
          <t>Hannah Brooks</t>
        </is>
      </c>
      <c r="E124" s="20" t="inlineStr">
        <is>
          <t>Duo</t>
        </is>
      </c>
      <c r="F124" s="20" t="inlineStr">
        <is>
          <t>No-show</t>
        </is>
      </c>
      <c r="G124" s="21" t="n"/>
      <c r="H124" s="12">
        <f>IF(AND(B124="",D124="",F124=""),"",IF(NOT(ISNUMBER(B124)),"Needs a date",IF(D124="","Needs a client",IF(COUNTIF(Clients!$B$6:$B$105,D124)=0,"Not on Clients",IF(AND(F124="",INT(B124)&lt;TODAY()),"Needs a status","")))))</f>
        <v/>
      </c>
      <c r="I124" s="1">
        <f>IF(ISNUMBER(B124),INT(B124),0)</f>
        <v/>
      </c>
      <c r="J124">
        <f>IF(ISNUMBER(B124),YEAR(B124)*100+MONTH(B124),"")</f>
        <v/>
      </c>
      <c r="K124">
        <f>IF(AND(H124="",OR(F124="Attended",F124="No-show",AND(F124="Late cancel",Settings!$C$9="Yes"))),1,0)</f>
        <v/>
      </c>
      <c r="L124">
        <f>IF(AND(H124="",F124="Attended"),1,0)</f>
        <v/>
      </c>
      <c r="M124">
        <f>IF(AND(H124="",OR(F124="No-show",F124="Late cancel")),1,0)</f>
        <v/>
      </c>
      <c r="N124">
        <f>IF(AND(H124="",F124="",D124&lt;&gt;"",I124&gt;=TODAY()),ROUND((I124+IF(ISNUMBER(C124),MOD(C124,1),0))*1440,0)*10000+ROW(),"")</f>
        <v/>
      </c>
    </row>
    <row r="125">
      <c r="A125" s="1" t="n"/>
      <c r="B125" s="17" t="n">
        <v>46172</v>
      </c>
      <c r="C125" s="18" t="n">
        <v>0.2916666666666667</v>
      </c>
      <c r="D125" s="19" t="inlineStr">
        <is>
          <t>Maya Ortiz</t>
        </is>
      </c>
      <c r="E125" s="20" t="inlineStr">
        <is>
          <t>Duo</t>
        </is>
      </c>
      <c r="F125" s="20" t="inlineStr">
        <is>
          <t>Attended</t>
        </is>
      </c>
      <c r="G125" s="21" t="n"/>
      <c r="H125" s="12">
        <f>IF(AND(B125="",D125="",F125=""),"",IF(NOT(ISNUMBER(B125)),"Needs a date",IF(D125="","Needs a client",IF(COUNTIF(Clients!$B$6:$B$105,D125)=0,"Not on Clients",IF(AND(F125="",INT(B125)&lt;TODAY()),"Needs a status","")))))</f>
        <v/>
      </c>
      <c r="I125" s="1">
        <f>IF(ISNUMBER(B125),INT(B125),0)</f>
        <v/>
      </c>
      <c r="J125">
        <f>IF(ISNUMBER(B125),YEAR(B125)*100+MONTH(B125),"")</f>
        <v/>
      </c>
      <c r="K125">
        <f>IF(AND(H125="",OR(F125="Attended",F125="No-show",AND(F125="Late cancel",Settings!$C$9="Yes"))),1,0)</f>
        <v/>
      </c>
      <c r="L125">
        <f>IF(AND(H125="",F125="Attended"),1,0)</f>
        <v/>
      </c>
      <c r="M125">
        <f>IF(AND(H125="",OR(F125="No-show",F125="Late cancel")),1,0)</f>
        <v/>
      </c>
      <c r="N125">
        <f>IF(AND(H125="",F125="",D125&lt;&gt;"",I125&gt;=TODAY()),ROUND((I125+IF(ISNUMBER(C125),MOD(C125,1),0))*1440,0)*10000+ROW(),"")</f>
        <v/>
      </c>
    </row>
    <row r="126">
      <c r="A126" s="1" t="n"/>
      <c r="B126" s="17" t="n">
        <v>46172</v>
      </c>
      <c r="C126" s="18" t="n">
        <v>0.5208333333333334</v>
      </c>
      <c r="D126" s="19" t="inlineStr">
        <is>
          <t>Priya Nair</t>
        </is>
      </c>
      <c r="E126" s="20" t="inlineStr">
        <is>
          <t>1 to 1</t>
        </is>
      </c>
      <c r="F126" s="20" t="inlineStr">
        <is>
          <t>Cancelled</t>
        </is>
      </c>
      <c r="G126" s="21" t="n"/>
      <c r="H126" s="12">
        <f>IF(AND(B126="",D126="",F126=""),"",IF(NOT(ISNUMBER(B126)),"Needs a date",IF(D126="","Needs a client",IF(COUNTIF(Clients!$B$6:$B$105,D126)=0,"Not on Clients",IF(AND(F126="",INT(B126)&lt;TODAY()),"Needs a status","")))))</f>
        <v/>
      </c>
      <c r="I126" s="1">
        <f>IF(ISNUMBER(B126),INT(B126),0)</f>
        <v/>
      </c>
      <c r="J126">
        <f>IF(ISNUMBER(B126),YEAR(B126)*100+MONTH(B126),"")</f>
        <v/>
      </c>
      <c r="K126">
        <f>IF(AND(H126="",OR(F126="Attended",F126="No-show",AND(F126="Late cancel",Settings!$C$9="Yes"))),1,0)</f>
        <v/>
      </c>
      <c r="L126">
        <f>IF(AND(H126="",F126="Attended"),1,0)</f>
        <v/>
      </c>
      <c r="M126">
        <f>IF(AND(H126="",OR(F126="No-show",F126="Late cancel")),1,0)</f>
        <v/>
      </c>
      <c r="N126">
        <f>IF(AND(H126="",F126="",D126&lt;&gt;"",I126&gt;=TODAY()),ROUND((I126+IF(ISNUMBER(C126),MOD(C126,1),0))*1440,0)*10000+ROW(),"")</f>
        <v/>
      </c>
    </row>
    <row r="127">
      <c r="A127" s="1" t="n"/>
      <c r="B127" s="17" t="n">
        <v>46173</v>
      </c>
      <c r="C127" s="18" t="n">
        <v>0.3333333333333333</v>
      </c>
      <c r="D127" s="19" t="inlineStr">
        <is>
          <t>Ben Carter</t>
        </is>
      </c>
      <c r="E127" s="20" t="inlineStr">
        <is>
          <t>1 to 1</t>
        </is>
      </c>
      <c r="F127" s="20" t="inlineStr">
        <is>
          <t>Attended</t>
        </is>
      </c>
      <c r="G127" s="21" t="n"/>
      <c r="H127" s="12">
        <f>IF(AND(B127="",D127="",F127=""),"",IF(NOT(ISNUMBER(B127)),"Needs a date",IF(D127="","Needs a client",IF(COUNTIF(Clients!$B$6:$B$105,D127)=0,"Not on Clients",IF(AND(F127="",INT(B127)&lt;TODAY()),"Needs a status","")))))</f>
        <v/>
      </c>
      <c r="I127" s="1">
        <f>IF(ISNUMBER(B127),INT(B127),0)</f>
        <v/>
      </c>
      <c r="J127">
        <f>IF(ISNUMBER(B127),YEAR(B127)*100+MONTH(B127),"")</f>
        <v/>
      </c>
      <c r="K127">
        <f>IF(AND(H127="",OR(F127="Attended",F127="No-show",AND(F127="Late cancel",Settings!$C$9="Yes"))),1,0)</f>
        <v/>
      </c>
      <c r="L127">
        <f>IF(AND(H127="",F127="Attended"),1,0)</f>
        <v/>
      </c>
      <c r="M127">
        <f>IF(AND(H127="",OR(F127="No-show",F127="Late cancel")),1,0)</f>
        <v/>
      </c>
      <c r="N127">
        <f>IF(AND(H127="",F127="",D127&lt;&gt;"",I127&gt;=TODAY()),ROUND((I127+IF(ISNUMBER(C127),MOD(C127,1),0))*1440,0)*10000+ROW(),"")</f>
        <v/>
      </c>
    </row>
    <row r="128">
      <c r="A128" s="1" t="n"/>
      <c r="B128" s="17" t="n">
        <v>46173</v>
      </c>
      <c r="C128" s="18" t="n">
        <v>0.7708333333333334</v>
      </c>
      <c r="D128" s="19" t="inlineStr">
        <is>
          <t>Leah Fischer</t>
        </is>
      </c>
      <c r="E128" s="20" t="inlineStr">
        <is>
          <t>Duo</t>
        </is>
      </c>
      <c r="F128" s="20" t="inlineStr">
        <is>
          <t>Attended</t>
        </is>
      </c>
      <c r="G128" s="21" t="n"/>
      <c r="H128" s="12">
        <f>IF(AND(B128="",D128="",F128=""),"",IF(NOT(ISNUMBER(B128)),"Needs a date",IF(D128="","Needs a client",IF(COUNTIF(Clients!$B$6:$B$105,D128)=0,"Not on Clients",IF(AND(F128="",INT(B128)&lt;TODAY()),"Needs a status","")))))</f>
        <v/>
      </c>
      <c r="I128" s="1">
        <f>IF(ISNUMBER(B128),INT(B128),0)</f>
        <v/>
      </c>
      <c r="J128">
        <f>IF(ISNUMBER(B128),YEAR(B128)*100+MONTH(B128),"")</f>
        <v/>
      </c>
      <c r="K128">
        <f>IF(AND(H128="",OR(F128="Attended",F128="No-show",AND(F128="Late cancel",Settings!$C$9="Yes"))),1,0)</f>
        <v/>
      </c>
      <c r="L128">
        <f>IF(AND(H128="",F128="Attended"),1,0)</f>
        <v/>
      </c>
      <c r="M128">
        <f>IF(AND(H128="",OR(F128="No-show",F128="Late cancel")),1,0)</f>
        <v/>
      </c>
      <c r="N128">
        <f>IF(AND(H128="",F128="",D128&lt;&gt;"",I128&gt;=TODAY()),ROUND((I128+IF(ISNUMBER(C128),MOD(C128,1),0))*1440,0)*10000+ROW(),"")</f>
        <v/>
      </c>
    </row>
    <row r="129">
      <c r="A129" s="1" t="n"/>
      <c r="B129" s="17" t="n">
        <v>46175</v>
      </c>
      <c r="C129" s="18" t="n">
        <v>0.7291666666666666</v>
      </c>
      <c r="D129" s="19" t="inlineStr">
        <is>
          <t>Hannah Brooks</t>
        </is>
      </c>
      <c r="E129" s="20" t="inlineStr">
        <is>
          <t>Duo</t>
        </is>
      </c>
      <c r="F129" s="20" t="inlineStr">
        <is>
          <t>Cancelled</t>
        </is>
      </c>
      <c r="G129" s="21" t="n"/>
      <c r="H129" s="12">
        <f>IF(AND(B129="",D129="",F129=""),"",IF(NOT(ISNUMBER(B129)),"Needs a date",IF(D129="","Needs a client",IF(COUNTIF(Clients!$B$6:$B$105,D129)=0,"Not on Clients",IF(AND(F129="",INT(B129)&lt;TODAY()),"Needs a status","")))))</f>
        <v/>
      </c>
      <c r="I129" s="1">
        <f>IF(ISNUMBER(B129),INT(B129),0)</f>
        <v/>
      </c>
      <c r="J129">
        <f>IF(ISNUMBER(B129),YEAR(B129)*100+MONTH(B129),"")</f>
        <v/>
      </c>
      <c r="K129">
        <f>IF(AND(H129="",OR(F129="Attended",F129="No-show",AND(F129="Late cancel",Settings!$C$9="Yes"))),1,0)</f>
        <v/>
      </c>
      <c r="L129">
        <f>IF(AND(H129="",F129="Attended"),1,0)</f>
        <v/>
      </c>
      <c r="M129">
        <f>IF(AND(H129="",OR(F129="No-show",F129="Late cancel")),1,0)</f>
        <v/>
      </c>
      <c r="N129">
        <f>IF(AND(H129="",F129="",D129&lt;&gt;"",I129&gt;=TODAY()),ROUND((I129+IF(ISNUMBER(C129),MOD(C129,1),0))*1440,0)*10000+ROW(),"")</f>
        <v/>
      </c>
    </row>
    <row r="130">
      <c r="A130" s="1" t="n"/>
      <c r="B130" s="17" t="n">
        <v>46176</v>
      </c>
      <c r="C130" s="18" t="n">
        <v>0.5208333333333334</v>
      </c>
      <c r="D130" s="19" t="inlineStr">
        <is>
          <t>Priya Nair</t>
        </is>
      </c>
      <c r="E130" s="20" t="inlineStr">
        <is>
          <t>1 to 1</t>
        </is>
      </c>
      <c r="F130" s="20" t="inlineStr">
        <is>
          <t>Attended</t>
        </is>
      </c>
      <c r="G130" s="21" t="n"/>
      <c r="H130" s="12">
        <f>IF(AND(B130="",D130="",F130=""),"",IF(NOT(ISNUMBER(B130)),"Needs a date",IF(D130="","Needs a client",IF(COUNTIF(Clients!$B$6:$B$105,D130)=0,"Not on Clients",IF(AND(F130="",INT(B130)&lt;TODAY()),"Needs a status","")))))</f>
        <v/>
      </c>
      <c r="I130" s="1">
        <f>IF(ISNUMBER(B130),INT(B130),0)</f>
        <v/>
      </c>
      <c r="J130">
        <f>IF(ISNUMBER(B130),YEAR(B130)*100+MONTH(B130),"")</f>
        <v/>
      </c>
      <c r="K130">
        <f>IF(AND(H130="",OR(F130="Attended",F130="No-show",AND(F130="Late cancel",Settings!$C$9="Yes"))),1,0)</f>
        <v/>
      </c>
      <c r="L130">
        <f>IF(AND(H130="",F130="Attended"),1,0)</f>
        <v/>
      </c>
      <c r="M130">
        <f>IF(AND(H130="",OR(F130="No-show",F130="Late cancel")),1,0)</f>
        <v/>
      </c>
      <c r="N130">
        <f>IF(AND(H130="",F130="",D130&lt;&gt;"",I130&gt;=TODAY()),ROUND((I130+IF(ISNUMBER(C130),MOD(C130,1),0))*1440,0)*10000+ROW(),"")</f>
        <v/>
      </c>
    </row>
    <row r="131">
      <c r="A131" s="1" t="n"/>
      <c r="B131" s="17" t="n">
        <v>46176</v>
      </c>
      <c r="C131" s="18" t="n">
        <v>0.7708333333333334</v>
      </c>
      <c r="D131" s="19" t="inlineStr">
        <is>
          <t>Leah Fischer</t>
        </is>
      </c>
      <c r="E131" s="20" t="inlineStr">
        <is>
          <t>Duo</t>
        </is>
      </c>
      <c r="F131" s="20" t="inlineStr">
        <is>
          <t>Attended</t>
        </is>
      </c>
      <c r="G131" s="21" t="n"/>
      <c r="H131" s="12">
        <f>IF(AND(B131="",D131="",F131=""),"",IF(NOT(ISNUMBER(B131)),"Needs a date",IF(D131="","Needs a client",IF(COUNTIF(Clients!$B$6:$B$105,D131)=0,"Not on Clients",IF(AND(F131="",INT(B131)&lt;TODAY()),"Needs a status","")))))</f>
        <v/>
      </c>
      <c r="I131" s="1">
        <f>IF(ISNUMBER(B131),INT(B131),0)</f>
        <v/>
      </c>
      <c r="J131">
        <f>IF(ISNUMBER(B131),YEAR(B131)*100+MONTH(B131),"")</f>
        <v/>
      </c>
      <c r="K131">
        <f>IF(AND(H131="",OR(F131="Attended",F131="No-show",AND(F131="Late cancel",Settings!$C$9="Yes"))),1,0)</f>
        <v/>
      </c>
      <c r="L131">
        <f>IF(AND(H131="",F131="Attended"),1,0)</f>
        <v/>
      </c>
      <c r="M131">
        <f>IF(AND(H131="",OR(F131="No-show",F131="Late cancel")),1,0)</f>
        <v/>
      </c>
      <c r="N131">
        <f>IF(AND(H131="",F131="",D131&lt;&gt;"",I131&gt;=TODAY()),ROUND((I131+IF(ISNUMBER(C131),MOD(C131,1),0))*1440,0)*10000+ROW(),"")</f>
        <v/>
      </c>
    </row>
    <row r="132">
      <c r="A132" s="1" t="n"/>
      <c r="B132" s="17" t="n">
        <v>46177</v>
      </c>
      <c r="C132" s="18" t="n">
        <v>0.3333333333333333</v>
      </c>
      <c r="D132" s="19" t="inlineStr">
        <is>
          <t>Ben Carter</t>
        </is>
      </c>
      <c r="E132" s="20" t="inlineStr">
        <is>
          <t>1 to 1</t>
        </is>
      </c>
      <c r="F132" s="20" t="inlineStr">
        <is>
          <t>Attended</t>
        </is>
      </c>
      <c r="G132" s="21" t="n"/>
      <c r="H132" s="12">
        <f>IF(AND(B132="",D132="",F132=""),"",IF(NOT(ISNUMBER(B132)),"Needs a date",IF(D132="","Needs a client",IF(COUNTIF(Clients!$B$6:$B$105,D132)=0,"Not on Clients",IF(AND(F132="",INT(B132)&lt;TODAY()),"Needs a status","")))))</f>
        <v/>
      </c>
      <c r="I132" s="1">
        <f>IF(ISNUMBER(B132),INT(B132),0)</f>
        <v/>
      </c>
      <c r="J132">
        <f>IF(ISNUMBER(B132),YEAR(B132)*100+MONTH(B132),"")</f>
        <v/>
      </c>
      <c r="K132">
        <f>IF(AND(H132="",OR(F132="Attended",F132="No-show",AND(F132="Late cancel",Settings!$C$9="Yes"))),1,0)</f>
        <v/>
      </c>
      <c r="L132">
        <f>IF(AND(H132="",F132="Attended"),1,0)</f>
        <v/>
      </c>
      <c r="M132">
        <f>IF(AND(H132="",OR(F132="No-show",F132="Late cancel")),1,0)</f>
        <v/>
      </c>
      <c r="N132">
        <f>IF(AND(H132="",F132="",D132&lt;&gt;"",I132&gt;=TODAY()),ROUND((I132+IF(ISNUMBER(C132),MOD(C132,1),0))*1440,0)*10000+ROW(),"")</f>
        <v/>
      </c>
    </row>
    <row r="133">
      <c r="A133" s="1" t="n"/>
      <c r="B133" s="17" t="n">
        <v>46178</v>
      </c>
      <c r="C133" s="18" t="n">
        <v>0.3333333333333333</v>
      </c>
      <c r="D133" s="19" t="inlineStr">
        <is>
          <t>Grace Kim</t>
        </is>
      </c>
      <c r="E133" s="20" t="inlineStr">
        <is>
          <t>1 to 1</t>
        </is>
      </c>
      <c r="F133" s="20" t="inlineStr">
        <is>
          <t>Attended</t>
        </is>
      </c>
      <c r="G133" s="21" t="n"/>
      <c r="H133" s="12">
        <f>IF(AND(B133="",D133="",F133=""),"",IF(NOT(ISNUMBER(B133)),"Needs a date",IF(D133="","Needs a client",IF(COUNTIF(Clients!$B$6:$B$105,D133)=0,"Not on Clients",IF(AND(F133="",INT(B133)&lt;TODAY()),"Needs a status","")))))</f>
        <v/>
      </c>
      <c r="I133" s="1">
        <f>IF(ISNUMBER(B133),INT(B133),0)</f>
        <v/>
      </c>
      <c r="J133">
        <f>IF(ISNUMBER(B133),YEAR(B133)*100+MONTH(B133),"")</f>
        <v/>
      </c>
      <c r="K133">
        <f>IF(AND(H133="",OR(F133="Attended",F133="No-show",AND(F133="Late cancel",Settings!$C$9="Yes"))),1,0)</f>
        <v/>
      </c>
      <c r="L133">
        <f>IF(AND(H133="",F133="Attended"),1,0)</f>
        <v/>
      </c>
      <c r="M133">
        <f>IF(AND(H133="",OR(F133="No-show",F133="Late cancel")),1,0)</f>
        <v/>
      </c>
      <c r="N133">
        <f>IF(AND(H133="",F133="",D133&lt;&gt;"",I133&gt;=TODAY()),ROUND((I133+IF(ISNUMBER(C133),MOD(C133,1),0))*1440,0)*10000+ROW(),"")</f>
        <v/>
      </c>
    </row>
    <row r="134">
      <c r="A134" s="1" t="n"/>
      <c r="B134" s="17" t="n">
        <v>46178</v>
      </c>
      <c r="C134" s="18" t="n">
        <v>0.7291666666666666</v>
      </c>
      <c r="D134" s="19" t="inlineStr">
        <is>
          <t>Tom Walsh</t>
        </is>
      </c>
      <c r="E134" s="20" t="inlineStr">
        <is>
          <t>1 to 1</t>
        </is>
      </c>
      <c r="F134" s="20" t="inlineStr">
        <is>
          <t>Attended</t>
        </is>
      </c>
      <c r="G134" s="21" t="n"/>
      <c r="H134" s="12">
        <f>IF(AND(B134="",D134="",F134=""),"",IF(NOT(ISNUMBER(B134)),"Needs a date",IF(D134="","Needs a client",IF(COUNTIF(Clients!$B$6:$B$105,D134)=0,"Not on Clients",IF(AND(F134="",INT(B134)&lt;TODAY()),"Needs a status","")))))</f>
        <v/>
      </c>
      <c r="I134" s="1">
        <f>IF(ISNUMBER(B134),INT(B134),0)</f>
        <v/>
      </c>
      <c r="J134">
        <f>IF(ISNUMBER(B134),YEAR(B134)*100+MONTH(B134),"")</f>
        <v/>
      </c>
      <c r="K134">
        <f>IF(AND(H134="",OR(F134="Attended",F134="No-show",AND(F134="Late cancel",Settings!$C$9="Yes"))),1,0)</f>
        <v/>
      </c>
      <c r="L134">
        <f>IF(AND(H134="",F134="Attended"),1,0)</f>
        <v/>
      </c>
      <c r="M134">
        <f>IF(AND(H134="",OR(F134="No-show",F134="Late cancel")),1,0)</f>
        <v/>
      </c>
      <c r="N134">
        <f>IF(AND(H134="",F134="",D134&lt;&gt;"",I134&gt;=TODAY()),ROUND((I134+IF(ISNUMBER(C134),MOD(C134,1),0))*1440,0)*10000+ROW(),"")</f>
        <v/>
      </c>
    </row>
    <row r="135">
      <c r="A135" s="1" t="n"/>
      <c r="B135" s="17" t="n">
        <v>46178</v>
      </c>
      <c r="C135" s="18" t="n">
        <v>0.7291666666666666</v>
      </c>
      <c r="D135" s="19" t="inlineStr">
        <is>
          <t>Hannah Brooks</t>
        </is>
      </c>
      <c r="E135" s="20" t="inlineStr">
        <is>
          <t>Duo</t>
        </is>
      </c>
      <c r="F135" s="20" t="inlineStr">
        <is>
          <t>Late cancel</t>
        </is>
      </c>
      <c r="G135" s="21" t="n"/>
      <c r="H135" s="12">
        <f>IF(AND(B135="",D135="",F135=""),"",IF(NOT(ISNUMBER(B135)),"Needs a date",IF(D135="","Needs a client",IF(COUNTIF(Clients!$B$6:$B$105,D135)=0,"Not on Clients",IF(AND(F135="",INT(B135)&lt;TODAY()),"Needs a status","")))))</f>
        <v/>
      </c>
      <c r="I135" s="1">
        <f>IF(ISNUMBER(B135),INT(B135),0)</f>
        <v/>
      </c>
      <c r="J135">
        <f>IF(ISNUMBER(B135),YEAR(B135)*100+MONTH(B135),"")</f>
        <v/>
      </c>
      <c r="K135">
        <f>IF(AND(H135="",OR(F135="Attended",F135="No-show",AND(F135="Late cancel",Settings!$C$9="Yes"))),1,0)</f>
        <v/>
      </c>
      <c r="L135">
        <f>IF(AND(H135="",F135="Attended"),1,0)</f>
        <v/>
      </c>
      <c r="M135">
        <f>IF(AND(H135="",OR(F135="No-show",F135="Late cancel")),1,0)</f>
        <v/>
      </c>
      <c r="N135">
        <f>IF(AND(H135="",F135="",D135&lt;&gt;"",I135&gt;=TODAY()),ROUND((I135+IF(ISNUMBER(C135),MOD(C135,1),0))*1440,0)*10000+ROW(),"")</f>
        <v/>
      </c>
    </row>
    <row r="136">
      <c r="A136" s="1" t="n"/>
      <c r="B136" s="17" t="n">
        <v>46179</v>
      </c>
      <c r="C136" s="18" t="n">
        <v>0.2916666666666667</v>
      </c>
      <c r="D136" s="19" t="inlineStr">
        <is>
          <t>Maya Ortiz</t>
        </is>
      </c>
      <c r="E136" s="20" t="inlineStr">
        <is>
          <t>Duo</t>
        </is>
      </c>
      <c r="F136" s="20" t="inlineStr">
        <is>
          <t>Attended</t>
        </is>
      </c>
      <c r="G136" s="21" t="n"/>
      <c r="H136" s="12">
        <f>IF(AND(B136="",D136="",F136=""),"",IF(NOT(ISNUMBER(B136)),"Needs a date",IF(D136="","Needs a client",IF(COUNTIF(Clients!$B$6:$B$105,D136)=0,"Not on Clients",IF(AND(F136="",INT(B136)&lt;TODAY()),"Needs a status","")))))</f>
        <v/>
      </c>
      <c r="I136" s="1">
        <f>IF(ISNUMBER(B136),INT(B136),0)</f>
        <v/>
      </c>
      <c r="J136">
        <f>IF(ISNUMBER(B136),YEAR(B136)*100+MONTH(B136),"")</f>
        <v/>
      </c>
      <c r="K136">
        <f>IF(AND(H136="",OR(F136="Attended",F136="No-show",AND(F136="Late cancel",Settings!$C$9="Yes"))),1,0)</f>
        <v/>
      </c>
      <c r="L136">
        <f>IF(AND(H136="",F136="Attended"),1,0)</f>
        <v/>
      </c>
      <c r="M136">
        <f>IF(AND(H136="",OR(F136="No-show",F136="Late cancel")),1,0)</f>
        <v/>
      </c>
      <c r="N136">
        <f>IF(AND(H136="",F136="",D136&lt;&gt;"",I136&gt;=TODAY()),ROUND((I136+IF(ISNUMBER(C136),MOD(C136,1),0))*1440,0)*10000+ROW(),"")</f>
        <v/>
      </c>
    </row>
    <row r="137">
      <c r="A137" s="1" t="n"/>
      <c r="B137" s="17" t="n">
        <v>46179</v>
      </c>
      <c r="C137" s="18" t="n">
        <v>0.5208333333333334</v>
      </c>
      <c r="D137" s="19" t="inlineStr">
        <is>
          <t>Priya Nair</t>
        </is>
      </c>
      <c r="E137" s="20" t="inlineStr">
        <is>
          <t>1 to 1</t>
        </is>
      </c>
      <c r="F137" s="20" t="inlineStr">
        <is>
          <t>Attended</t>
        </is>
      </c>
      <c r="G137" s="21" t="n"/>
      <c r="H137" s="12">
        <f>IF(AND(B137="",D137="",F137=""),"",IF(NOT(ISNUMBER(B137)),"Needs a date",IF(D137="","Needs a client",IF(COUNTIF(Clients!$B$6:$B$105,D137)=0,"Not on Clients",IF(AND(F137="",INT(B137)&lt;TODAY()),"Needs a status","")))))</f>
        <v/>
      </c>
      <c r="I137" s="1">
        <f>IF(ISNUMBER(B137),INT(B137),0)</f>
        <v/>
      </c>
      <c r="J137">
        <f>IF(ISNUMBER(B137),YEAR(B137)*100+MONTH(B137),"")</f>
        <v/>
      </c>
      <c r="K137">
        <f>IF(AND(H137="",OR(F137="Attended",F137="No-show",AND(F137="Late cancel",Settings!$C$9="Yes"))),1,0)</f>
        <v/>
      </c>
      <c r="L137">
        <f>IF(AND(H137="",F137="Attended"),1,0)</f>
        <v/>
      </c>
      <c r="M137">
        <f>IF(AND(H137="",OR(F137="No-show",F137="Late cancel")),1,0)</f>
        <v/>
      </c>
      <c r="N137">
        <f>IF(AND(H137="",F137="",D137&lt;&gt;"",I137&gt;=TODAY()),ROUND((I137+IF(ISNUMBER(C137),MOD(C137,1),0))*1440,0)*10000+ROW(),"")</f>
        <v/>
      </c>
    </row>
    <row r="138">
      <c r="A138" s="1" t="n"/>
      <c r="B138" s="17" t="n">
        <v>46180</v>
      </c>
      <c r="C138" s="18" t="n">
        <v>0.3333333333333333</v>
      </c>
      <c r="D138" s="19" t="inlineStr">
        <is>
          <t>Ben Carter</t>
        </is>
      </c>
      <c r="E138" s="20" t="inlineStr">
        <is>
          <t>1 to 1</t>
        </is>
      </c>
      <c r="F138" s="20" t="inlineStr">
        <is>
          <t>Attended</t>
        </is>
      </c>
      <c r="G138" s="21" t="n"/>
      <c r="H138" s="12">
        <f>IF(AND(B138="",D138="",F138=""),"",IF(NOT(ISNUMBER(B138)),"Needs a date",IF(D138="","Needs a client",IF(COUNTIF(Clients!$B$6:$B$105,D138)=0,"Not on Clients",IF(AND(F138="",INT(B138)&lt;TODAY()),"Needs a status","")))))</f>
        <v/>
      </c>
      <c r="I138" s="1">
        <f>IF(ISNUMBER(B138),INT(B138),0)</f>
        <v/>
      </c>
      <c r="J138">
        <f>IF(ISNUMBER(B138),YEAR(B138)*100+MONTH(B138),"")</f>
        <v/>
      </c>
      <c r="K138">
        <f>IF(AND(H138="",OR(F138="Attended",F138="No-show",AND(F138="Late cancel",Settings!$C$9="Yes"))),1,0)</f>
        <v/>
      </c>
      <c r="L138">
        <f>IF(AND(H138="",F138="Attended"),1,0)</f>
        <v/>
      </c>
      <c r="M138">
        <f>IF(AND(H138="",OR(F138="No-show",F138="Late cancel")),1,0)</f>
        <v/>
      </c>
      <c r="N138">
        <f>IF(AND(H138="",F138="",D138&lt;&gt;"",I138&gt;=TODAY()),ROUND((I138+IF(ISNUMBER(C138),MOD(C138,1),0))*1440,0)*10000+ROW(),"")</f>
        <v/>
      </c>
    </row>
    <row r="139">
      <c r="A139" s="1" t="n"/>
      <c r="B139" s="17" t="n">
        <v>46180</v>
      </c>
      <c r="C139" s="18" t="n">
        <v>0.7708333333333334</v>
      </c>
      <c r="D139" s="19" t="inlineStr">
        <is>
          <t>Leah Fischer</t>
        </is>
      </c>
      <c r="E139" s="20" t="inlineStr">
        <is>
          <t>Duo</t>
        </is>
      </c>
      <c r="F139" s="20" t="inlineStr">
        <is>
          <t>Attended</t>
        </is>
      </c>
      <c r="G139" s="21" t="n"/>
      <c r="H139" s="12">
        <f>IF(AND(B139="",D139="",F139=""),"",IF(NOT(ISNUMBER(B139)),"Needs a date",IF(D139="","Needs a client",IF(COUNTIF(Clients!$B$6:$B$105,D139)=0,"Not on Clients",IF(AND(F139="",INT(B139)&lt;TODAY()),"Needs a status","")))))</f>
        <v/>
      </c>
      <c r="I139" s="1">
        <f>IF(ISNUMBER(B139),INT(B139),0)</f>
        <v/>
      </c>
      <c r="J139">
        <f>IF(ISNUMBER(B139),YEAR(B139)*100+MONTH(B139),"")</f>
        <v/>
      </c>
      <c r="K139">
        <f>IF(AND(H139="",OR(F139="Attended",F139="No-show",AND(F139="Late cancel",Settings!$C$9="Yes"))),1,0)</f>
        <v/>
      </c>
      <c r="L139">
        <f>IF(AND(H139="",F139="Attended"),1,0)</f>
        <v/>
      </c>
      <c r="M139">
        <f>IF(AND(H139="",OR(F139="No-show",F139="Late cancel")),1,0)</f>
        <v/>
      </c>
      <c r="N139">
        <f>IF(AND(H139="",F139="",D139&lt;&gt;"",I139&gt;=TODAY()),ROUND((I139+IF(ISNUMBER(C139),MOD(C139,1),0))*1440,0)*10000+ROW(),"")</f>
        <v/>
      </c>
    </row>
    <row r="140">
      <c r="A140" s="1" t="n"/>
      <c r="B140" s="17" t="n">
        <v>46182</v>
      </c>
      <c r="C140" s="18" t="n">
        <v>0.7291666666666666</v>
      </c>
      <c r="D140" s="19" t="inlineStr">
        <is>
          <t>Hannah Brooks</t>
        </is>
      </c>
      <c r="E140" s="20" t="inlineStr">
        <is>
          <t>Duo</t>
        </is>
      </c>
      <c r="F140" s="20" t="inlineStr">
        <is>
          <t>Attended</t>
        </is>
      </c>
      <c r="G140" s="21" t="n"/>
      <c r="H140" s="12">
        <f>IF(AND(B140="",D140="",F140=""),"",IF(NOT(ISNUMBER(B140)),"Needs a date",IF(D140="","Needs a client",IF(COUNTIF(Clients!$B$6:$B$105,D140)=0,"Not on Clients",IF(AND(F140="",INT(B140)&lt;TODAY()),"Needs a status","")))))</f>
        <v/>
      </c>
      <c r="I140" s="1">
        <f>IF(ISNUMBER(B140),INT(B140),0)</f>
        <v/>
      </c>
      <c r="J140">
        <f>IF(ISNUMBER(B140),YEAR(B140)*100+MONTH(B140),"")</f>
        <v/>
      </c>
      <c r="K140">
        <f>IF(AND(H140="",OR(F140="Attended",F140="No-show",AND(F140="Late cancel",Settings!$C$9="Yes"))),1,0)</f>
        <v/>
      </c>
      <c r="L140">
        <f>IF(AND(H140="",F140="Attended"),1,0)</f>
        <v/>
      </c>
      <c r="M140">
        <f>IF(AND(H140="",OR(F140="No-show",F140="Late cancel")),1,0)</f>
        <v/>
      </c>
      <c r="N140">
        <f>IF(AND(H140="",F140="",D140&lt;&gt;"",I140&gt;=TODAY()),ROUND((I140+IF(ISNUMBER(C140),MOD(C140,1),0))*1440,0)*10000+ROW(),"")</f>
        <v/>
      </c>
    </row>
    <row r="141">
      <c r="A141" s="1" t="n"/>
      <c r="B141" s="17" t="n">
        <v>46183</v>
      </c>
      <c r="C141" s="18" t="n">
        <v>0.5208333333333334</v>
      </c>
      <c r="D141" s="19" t="inlineStr">
        <is>
          <t>Priya Nair</t>
        </is>
      </c>
      <c r="E141" s="20" t="inlineStr">
        <is>
          <t>1 to 1</t>
        </is>
      </c>
      <c r="F141" s="20" t="inlineStr">
        <is>
          <t>Attended</t>
        </is>
      </c>
      <c r="G141" s="21" t="n"/>
      <c r="H141" s="12">
        <f>IF(AND(B141="",D141="",F141=""),"",IF(NOT(ISNUMBER(B141)),"Needs a date",IF(D141="","Needs a client",IF(COUNTIF(Clients!$B$6:$B$105,D141)=0,"Not on Clients",IF(AND(F141="",INT(B141)&lt;TODAY()),"Needs a status","")))))</f>
        <v/>
      </c>
      <c r="I141" s="1">
        <f>IF(ISNUMBER(B141),INT(B141),0)</f>
        <v/>
      </c>
      <c r="J141">
        <f>IF(ISNUMBER(B141),YEAR(B141)*100+MONTH(B141),"")</f>
        <v/>
      </c>
      <c r="K141">
        <f>IF(AND(H141="",OR(F141="Attended",F141="No-show",AND(F141="Late cancel",Settings!$C$9="Yes"))),1,0)</f>
        <v/>
      </c>
      <c r="L141">
        <f>IF(AND(H141="",F141="Attended"),1,0)</f>
        <v/>
      </c>
      <c r="M141">
        <f>IF(AND(H141="",OR(F141="No-show",F141="Late cancel")),1,0)</f>
        <v/>
      </c>
      <c r="N141">
        <f>IF(AND(H141="",F141="",D141&lt;&gt;"",I141&gt;=TODAY()),ROUND((I141+IF(ISNUMBER(C141),MOD(C141,1),0))*1440,0)*10000+ROW(),"")</f>
        <v/>
      </c>
    </row>
    <row r="142">
      <c r="A142" s="1" t="n"/>
      <c r="B142" s="17" t="n">
        <v>46183</v>
      </c>
      <c r="C142" s="18" t="n">
        <v>0.7708333333333334</v>
      </c>
      <c r="D142" s="19" t="inlineStr">
        <is>
          <t>Leah Fischer</t>
        </is>
      </c>
      <c r="E142" s="20" t="inlineStr">
        <is>
          <t>Duo</t>
        </is>
      </c>
      <c r="F142" s="20" t="inlineStr">
        <is>
          <t>Attended</t>
        </is>
      </c>
      <c r="G142" s="21" t="n"/>
      <c r="H142" s="12">
        <f>IF(AND(B142="",D142="",F142=""),"",IF(NOT(ISNUMBER(B142)),"Needs a date",IF(D142="","Needs a client",IF(COUNTIF(Clients!$B$6:$B$105,D142)=0,"Not on Clients",IF(AND(F142="",INT(B142)&lt;TODAY()),"Needs a status","")))))</f>
        <v/>
      </c>
      <c r="I142" s="1">
        <f>IF(ISNUMBER(B142),INT(B142),0)</f>
        <v/>
      </c>
      <c r="J142">
        <f>IF(ISNUMBER(B142),YEAR(B142)*100+MONTH(B142),"")</f>
        <v/>
      </c>
      <c r="K142">
        <f>IF(AND(H142="",OR(F142="Attended",F142="No-show",AND(F142="Late cancel",Settings!$C$9="Yes"))),1,0)</f>
        <v/>
      </c>
      <c r="L142">
        <f>IF(AND(H142="",F142="Attended"),1,0)</f>
        <v/>
      </c>
      <c r="M142">
        <f>IF(AND(H142="",OR(F142="No-show",F142="Late cancel")),1,0)</f>
        <v/>
      </c>
      <c r="N142">
        <f>IF(AND(H142="",F142="",D142&lt;&gt;"",I142&gt;=TODAY()),ROUND((I142+IF(ISNUMBER(C142),MOD(C142,1),0))*1440,0)*10000+ROW(),"")</f>
        <v/>
      </c>
    </row>
    <row r="143">
      <c r="A143" s="1" t="n"/>
      <c r="B143" s="17" t="n">
        <v>46184</v>
      </c>
      <c r="C143" s="18" t="n">
        <v>0.3333333333333333</v>
      </c>
      <c r="D143" s="19" t="inlineStr">
        <is>
          <t>Ben Carter</t>
        </is>
      </c>
      <c r="E143" s="20" t="inlineStr">
        <is>
          <t>1 to 1</t>
        </is>
      </c>
      <c r="F143" s="20" t="inlineStr">
        <is>
          <t>Late cancel</t>
        </is>
      </c>
      <c r="G143" s="21" t="n"/>
      <c r="H143" s="12">
        <f>IF(AND(B143="",D143="",F143=""),"",IF(NOT(ISNUMBER(B143)),"Needs a date",IF(D143="","Needs a client",IF(COUNTIF(Clients!$B$6:$B$105,D143)=0,"Not on Clients",IF(AND(F143="",INT(B143)&lt;TODAY()),"Needs a status","")))))</f>
        <v/>
      </c>
      <c r="I143" s="1">
        <f>IF(ISNUMBER(B143),INT(B143),0)</f>
        <v/>
      </c>
      <c r="J143">
        <f>IF(ISNUMBER(B143),YEAR(B143)*100+MONTH(B143),"")</f>
        <v/>
      </c>
      <c r="K143">
        <f>IF(AND(H143="",OR(F143="Attended",F143="No-show",AND(F143="Late cancel",Settings!$C$9="Yes"))),1,0)</f>
        <v/>
      </c>
      <c r="L143">
        <f>IF(AND(H143="",F143="Attended"),1,0)</f>
        <v/>
      </c>
      <c r="M143">
        <f>IF(AND(H143="",OR(F143="No-show",F143="Late cancel")),1,0)</f>
        <v/>
      </c>
      <c r="N143">
        <f>IF(AND(H143="",F143="",D143&lt;&gt;"",I143&gt;=TODAY()),ROUND((I143+IF(ISNUMBER(C143),MOD(C143,1),0))*1440,0)*10000+ROW(),"")</f>
        <v/>
      </c>
    </row>
    <row r="144">
      <c r="A144" s="1" t="n"/>
      <c r="B144" s="17" t="n">
        <v>46185</v>
      </c>
      <c r="C144" s="18" t="n">
        <v>0.3333333333333333</v>
      </c>
      <c r="D144" s="19" t="inlineStr">
        <is>
          <t>Grace Kim</t>
        </is>
      </c>
      <c r="E144" s="20" t="inlineStr">
        <is>
          <t>1 to 1</t>
        </is>
      </c>
      <c r="F144" s="20" t="inlineStr">
        <is>
          <t>Attended</t>
        </is>
      </c>
      <c r="G144" s="21" t="n"/>
      <c r="H144" s="12">
        <f>IF(AND(B144="",D144="",F144=""),"",IF(NOT(ISNUMBER(B144)),"Needs a date",IF(D144="","Needs a client",IF(COUNTIF(Clients!$B$6:$B$105,D144)=0,"Not on Clients",IF(AND(F144="",INT(B144)&lt;TODAY()),"Needs a status","")))))</f>
        <v/>
      </c>
      <c r="I144" s="1">
        <f>IF(ISNUMBER(B144),INT(B144),0)</f>
        <v/>
      </c>
      <c r="J144">
        <f>IF(ISNUMBER(B144),YEAR(B144)*100+MONTH(B144),"")</f>
        <v/>
      </c>
      <c r="K144">
        <f>IF(AND(H144="",OR(F144="Attended",F144="No-show",AND(F144="Late cancel",Settings!$C$9="Yes"))),1,0)</f>
        <v/>
      </c>
      <c r="L144">
        <f>IF(AND(H144="",F144="Attended"),1,0)</f>
        <v/>
      </c>
      <c r="M144">
        <f>IF(AND(H144="",OR(F144="No-show",F144="Late cancel")),1,0)</f>
        <v/>
      </c>
      <c r="N144">
        <f>IF(AND(H144="",F144="",D144&lt;&gt;"",I144&gt;=TODAY()),ROUND((I144+IF(ISNUMBER(C144),MOD(C144,1),0))*1440,0)*10000+ROW(),"")</f>
        <v/>
      </c>
    </row>
    <row r="145">
      <c r="A145" s="1" t="n"/>
      <c r="B145" s="17" t="n">
        <v>46185</v>
      </c>
      <c r="C145" s="18" t="n">
        <v>0.7291666666666666</v>
      </c>
      <c r="D145" s="19" t="inlineStr">
        <is>
          <t>Tom Walsh</t>
        </is>
      </c>
      <c r="E145" s="20" t="inlineStr">
        <is>
          <t>1 to 1</t>
        </is>
      </c>
      <c r="F145" s="20" t="inlineStr">
        <is>
          <t>Late cancel</t>
        </is>
      </c>
      <c r="G145" s="21" t="n"/>
      <c r="H145" s="12">
        <f>IF(AND(B145="",D145="",F145=""),"",IF(NOT(ISNUMBER(B145)),"Needs a date",IF(D145="","Needs a client",IF(COUNTIF(Clients!$B$6:$B$105,D145)=0,"Not on Clients",IF(AND(F145="",INT(B145)&lt;TODAY()),"Needs a status","")))))</f>
        <v/>
      </c>
      <c r="I145" s="1">
        <f>IF(ISNUMBER(B145),INT(B145),0)</f>
        <v/>
      </c>
      <c r="J145">
        <f>IF(ISNUMBER(B145),YEAR(B145)*100+MONTH(B145),"")</f>
        <v/>
      </c>
      <c r="K145">
        <f>IF(AND(H145="",OR(F145="Attended",F145="No-show",AND(F145="Late cancel",Settings!$C$9="Yes"))),1,0)</f>
        <v/>
      </c>
      <c r="L145">
        <f>IF(AND(H145="",F145="Attended"),1,0)</f>
        <v/>
      </c>
      <c r="M145">
        <f>IF(AND(H145="",OR(F145="No-show",F145="Late cancel")),1,0)</f>
        <v/>
      </c>
      <c r="N145">
        <f>IF(AND(H145="",F145="",D145&lt;&gt;"",I145&gt;=TODAY()),ROUND((I145+IF(ISNUMBER(C145),MOD(C145,1),0))*1440,0)*10000+ROW(),"")</f>
        <v/>
      </c>
    </row>
    <row r="146">
      <c r="A146" s="1" t="n"/>
      <c r="B146" s="17" t="n">
        <v>46185</v>
      </c>
      <c r="C146" s="18" t="n">
        <v>0.7291666666666666</v>
      </c>
      <c r="D146" s="19" t="inlineStr">
        <is>
          <t>Hannah Brooks</t>
        </is>
      </c>
      <c r="E146" s="20" t="inlineStr">
        <is>
          <t>Duo</t>
        </is>
      </c>
      <c r="F146" s="20" t="inlineStr">
        <is>
          <t>Attended</t>
        </is>
      </c>
      <c r="G146" s="21" t="n"/>
      <c r="H146" s="12">
        <f>IF(AND(B146="",D146="",F146=""),"",IF(NOT(ISNUMBER(B146)),"Needs a date",IF(D146="","Needs a client",IF(COUNTIF(Clients!$B$6:$B$105,D146)=0,"Not on Clients",IF(AND(F146="",INT(B146)&lt;TODAY()),"Needs a status","")))))</f>
        <v/>
      </c>
      <c r="I146" s="1">
        <f>IF(ISNUMBER(B146),INT(B146),0)</f>
        <v/>
      </c>
      <c r="J146">
        <f>IF(ISNUMBER(B146),YEAR(B146)*100+MONTH(B146),"")</f>
        <v/>
      </c>
      <c r="K146">
        <f>IF(AND(H146="",OR(F146="Attended",F146="No-show",AND(F146="Late cancel",Settings!$C$9="Yes"))),1,0)</f>
        <v/>
      </c>
      <c r="L146">
        <f>IF(AND(H146="",F146="Attended"),1,0)</f>
        <v/>
      </c>
      <c r="M146">
        <f>IF(AND(H146="",OR(F146="No-show",F146="Late cancel")),1,0)</f>
        <v/>
      </c>
      <c r="N146">
        <f>IF(AND(H146="",F146="",D146&lt;&gt;"",I146&gt;=TODAY()),ROUND((I146+IF(ISNUMBER(C146),MOD(C146,1),0))*1440,0)*10000+ROW(),"")</f>
        <v/>
      </c>
    </row>
    <row r="147">
      <c r="A147" s="1" t="n"/>
      <c r="B147" s="17" t="n">
        <v>46186</v>
      </c>
      <c r="C147" s="18" t="n">
        <v>0.2916666666666667</v>
      </c>
      <c r="D147" s="19" t="inlineStr">
        <is>
          <t>Maya Ortiz</t>
        </is>
      </c>
      <c r="E147" s="20" t="inlineStr">
        <is>
          <t>Duo</t>
        </is>
      </c>
      <c r="F147" s="20" t="inlineStr">
        <is>
          <t>Attended</t>
        </is>
      </c>
      <c r="G147" s="21" t="n"/>
      <c r="H147" s="12">
        <f>IF(AND(B147="",D147="",F147=""),"",IF(NOT(ISNUMBER(B147)),"Needs a date",IF(D147="","Needs a client",IF(COUNTIF(Clients!$B$6:$B$105,D147)=0,"Not on Clients",IF(AND(F147="",INT(B147)&lt;TODAY()),"Needs a status","")))))</f>
        <v/>
      </c>
      <c r="I147" s="1">
        <f>IF(ISNUMBER(B147),INT(B147),0)</f>
        <v/>
      </c>
      <c r="J147">
        <f>IF(ISNUMBER(B147),YEAR(B147)*100+MONTH(B147),"")</f>
        <v/>
      </c>
      <c r="K147">
        <f>IF(AND(H147="",OR(F147="Attended",F147="No-show",AND(F147="Late cancel",Settings!$C$9="Yes"))),1,0)</f>
        <v/>
      </c>
      <c r="L147">
        <f>IF(AND(H147="",F147="Attended"),1,0)</f>
        <v/>
      </c>
      <c r="M147">
        <f>IF(AND(H147="",OR(F147="No-show",F147="Late cancel")),1,0)</f>
        <v/>
      </c>
      <c r="N147">
        <f>IF(AND(H147="",F147="",D147&lt;&gt;"",I147&gt;=TODAY()),ROUND((I147+IF(ISNUMBER(C147),MOD(C147,1),0))*1440,0)*10000+ROW(),"")</f>
        <v/>
      </c>
    </row>
    <row r="148">
      <c r="A148" s="1" t="n"/>
      <c r="B148" s="17" t="n">
        <v>46186</v>
      </c>
      <c r="C148" s="18" t="n">
        <v>0.5208333333333334</v>
      </c>
      <c r="D148" s="19" t="inlineStr">
        <is>
          <t>Priya Nair</t>
        </is>
      </c>
      <c r="E148" s="20" t="inlineStr">
        <is>
          <t>1 to 1</t>
        </is>
      </c>
      <c r="F148" s="20" t="inlineStr">
        <is>
          <t>Attended</t>
        </is>
      </c>
      <c r="G148" s="21" t="n"/>
      <c r="H148" s="12">
        <f>IF(AND(B148="",D148="",F148=""),"",IF(NOT(ISNUMBER(B148)),"Needs a date",IF(D148="","Needs a client",IF(COUNTIF(Clients!$B$6:$B$105,D148)=0,"Not on Clients",IF(AND(F148="",INT(B148)&lt;TODAY()),"Needs a status","")))))</f>
        <v/>
      </c>
      <c r="I148" s="1">
        <f>IF(ISNUMBER(B148),INT(B148),0)</f>
        <v/>
      </c>
      <c r="J148">
        <f>IF(ISNUMBER(B148),YEAR(B148)*100+MONTH(B148),"")</f>
        <v/>
      </c>
      <c r="K148">
        <f>IF(AND(H148="",OR(F148="Attended",F148="No-show",AND(F148="Late cancel",Settings!$C$9="Yes"))),1,0)</f>
        <v/>
      </c>
      <c r="L148">
        <f>IF(AND(H148="",F148="Attended"),1,0)</f>
        <v/>
      </c>
      <c r="M148">
        <f>IF(AND(H148="",OR(F148="No-show",F148="Late cancel")),1,0)</f>
        <v/>
      </c>
      <c r="N148">
        <f>IF(AND(H148="",F148="",D148&lt;&gt;"",I148&gt;=TODAY()),ROUND((I148+IF(ISNUMBER(C148),MOD(C148,1),0))*1440,0)*10000+ROW(),"")</f>
        <v/>
      </c>
    </row>
    <row r="149">
      <c r="A149" s="1" t="n"/>
      <c r="B149" s="17" t="n">
        <v>46187</v>
      </c>
      <c r="C149" s="18" t="n">
        <v>0.3333333333333333</v>
      </c>
      <c r="D149" s="19" t="inlineStr">
        <is>
          <t>Ben Carter</t>
        </is>
      </c>
      <c r="E149" s="20" t="inlineStr">
        <is>
          <t>1 to 1</t>
        </is>
      </c>
      <c r="F149" s="20" t="inlineStr">
        <is>
          <t>Attended</t>
        </is>
      </c>
      <c r="G149" s="21" t="n"/>
      <c r="H149" s="12">
        <f>IF(AND(B149="",D149="",F149=""),"",IF(NOT(ISNUMBER(B149)),"Needs a date",IF(D149="","Needs a client",IF(COUNTIF(Clients!$B$6:$B$105,D149)=0,"Not on Clients",IF(AND(F149="",INT(B149)&lt;TODAY()),"Needs a status","")))))</f>
        <v/>
      </c>
      <c r="I149" s="1">
        <f>IF(ISNUMBER(B149),INT(B149),0)</f>
        <v/>
      </c>
      <c r="J149">
        <f>IF(ISNUMBER(B149),YEAR(B149)*100+MONTH(B149),"")</f>
        <v/>
      </c>
      <c r="K149">
        <f>IF(AND(H149="",OR(F149="Attended",F149="No-show",AND(F149="Late cancel",Settings!$C$9="Yes"))),1,0)</f>
        <v/>
      </c>
      <c r="L149">
        <f>IF(AND(H149="",F149="Attended"),1,0)</f>
        <v/>
      </c>
      <c r="M149">
        <f>IF(AND(H149="",OR(F149="No-show",F149="Late cancel")),1,0)</f>
        <v/>
      </c>
      <c r="N149">
        <f>IF(AND(H149="",F149="",D149&lt;&gt;"",I149&gt;=TODAY()),ROUND((I149+IF(ISNUMBER(C149),MOD(C149,1),0))*1440,0)*10000+ROW(),"")</f>
        <v/>
      </c>
    </row>
    <row r="150">
      <c r="A150" s="1" t="n"/>
      <c r="B150" s="17" t="n">
        <v>46187</v>
      </c>
      <c r="C150" s="18" t="n">
        <v>0.7708333333333334</v>
      </c>
      <c r="D150" s="19" t="inlineStr">
        <is>
          <t>Leah Fischer</t>
        </is>
      </c>
      <c r="E150" s="20" t="inlineStr">
        <is>
          <t>Duo</t>
        </is>
      </c>
      <c r="F150" s="20" t="inlineStr">
        <is>
          <t>Attended</t>
        </is>
      </c>
      <c r="G150" s="21" t="n"/>
      <c r="H150" s="12">
        <f>IF(AND(B150="",D150="",F150=""),"",IF(NOT(ISNUMBER(B150)),"Needs a date",IF(D150="","Needs a client",IF(COUNTIF(Clients!$B$6:$B$105,D150)=0,"Not on Clients",IF(AND(F150="",INT(B150)&lt;TODAY()),"Needs a status","")))))</f>
        <v/>
      </c>
      <c r="I150" s="1">
        <f>IF(ISNUMBER(B150),INT(B150),0)</f>
        <v/>
      </c>
      <c r="J150">
        <f>IF(ISNUMBER(B150),YEAR(B150)*100+MONTH(B150),"")</f>
        <v/>
      </c>
      <c r="K150">
        <f>IF(AND(H150="",OR(F150="Attended",F150="No-show",AND(F150="Late cancel",Settings!$C$9="Yes"))),1,0)</f>
        <v/>
      </c>
      <c r="L150">
        <f>IF(AND(H150="",F150="Attended"),1,0)</f>
        <v/>
      </c>
      <c r="M150">
        <f>IF(AND(H150="",OR(F150="No-show",F150="Late cancel")),1,0)</f>
        <v/>
      </c>
      <c r="N150">
        <f>IF(AND(H150="",F150="",D150&lt;&gt;"",I150&gt;=TODAY()),ROUND((I150+IF(ISNUMBER(C150),MOD(C150,1),0))*1440,0)*10000+ROW(),"")</f>
        <v/>
      </c>
    </row>
    <row r="151">
      <c r="A151" s="1" t="n"/>
      <c r="B151" s="17" t="n">
        <v>46189</v>
      </c>
      <c r="C151" s="18" t="n">
        <v>0.7291666666666666</v>
      </c>
      <c r="D151" s="19" t="inlineStr">
        <is>
          <t>Hannah Brooks</t>
        </is>
      </c>
      <c r="E151" s="20" t="inlineStr">
        <is>
          <t>Duo</t>
        </is>
      </c>
      <c r="F151" s="20" t="inlineStr">
        <is>
          <t>Attended</t>
        </is>
      </c>
      <c r="G151" s="21" t="n"/>
      <c r="H151" s="12">
        <f>IF(AND(B151="",D151="",F151=""),"",IF(NOT(ISNUMBER(B151)),"Needs a date",IF(D151="","Needs a client",IF(COUNTIF(Clients!$B$6:$B$105,D151)=0,"Not on Clients",IF(AND(F151="",INT(B151)&lt;TODAY()),"Needs a status","")))))</f>
        <v/>
      </c>
      <c r="I151" s="1">
        <f>IF(ISNUMBER(B151),INT(B151),0)</f>
        <v/>
      </c>
      <c r="J151">
        <f>IF(ISNUMBER(B151),YEAR(B151)*100+MONTH(B151),"")</f>
        <v/>
      </c>
      <c r="K151">
        <f>IF(AND(H151="",OR(F151="Attended",F151="No-show",AND(F151="Late cancel",Settings!$C$9="Yes"))),1,0)</f>
        <v/>
      </c>
      <c r="L151">
        <f>IF(AND(H151="",F151="Attended"),1,0)</f>
        <v/>
      </c>
      <c r="M151">
        <f>IF(AND(H151="",OR(F151="No-show",F151="Late cancel")),1,0)</f>
        <v/>
      </c>
      <c r="N151">
        <f>IF(AND(H151="",F151="",D151&lt;&gt;"",I151&gt;=TODAY()),ROUND((I151+IF(ISNUMBER(C151),MOD(C151,1),0))*1440,0)*10000+ROW(),"")</f>
        <v/>
      </c>
    </row>
    <row r="152">
      <c r="A152" s="1" t="n"/>
      <c r="B152" s="17" t="n">
        <v>46190</v>
      </c>
      <c r="C152" s="18" t="n">
        <v>0.5208333333333334</v>
      </c>
      <c r="D152" s="19" t="inlineStr">
        <is>
          <t>Priya Nair</t>
        </is>
      </c>
      <c r="E152" s="20" t="inlineStr">
        <is>
          <t>1 to 1</t>
        </is>
      </c>
      <c r="F152" s="20" t="inlineStr">
        <is>
          <t>Attended</t>
        </is>
      </c>
      <c r="G152" s="21" t="n"/>
      <c r="H152" s="12">
        <f>IF(AND(B152="",D152="",F152=""),"",IF(NOT(ISNUMBER(B152)),"Needs a date",IF(D152="","Needs a client",IF(COUNTIF(Clients!$B$6:$B$105,D152)=0,"Not on Clients",IF(AND(F152="",INT(B152)&lt;TODAY()),"Needs a status","")))))</f>
        <v/>
      </c>
      <c r="I152" s="1">
        <f>IF(ISNUMBER(B152),INT(B152),0)</f>
        <v/>
      </c>
      <c r="J152">
        <f>IF(ISNUMBER(B152),YEAR(B152)*100+MONTH(B152),"")</f>
        <v/>
      </c>
      <c r="K152">
        <f>IF(AND(H152="",OR(F152="Attended",F152="No-show",AND(F152="Late cancel",Settings!$C$9="Yes"))),1,0)</f>
        <v/>
      </c>
      <c r="L152">
        <f>IF(AND(H152="",F152="Attended"),1,0)</f>
        <v/>
      </c>
      <c r="M152">
        <f>IF(AND(H152="",OR(F152="No-show",F152="Late cancel")),1,0)</f>
        <v/>
      </c>
      <c r="N152">
        <f>IF(AND(H152="",F152="",D152&lt;&gt;"",I152&gt;=TODAY()),ROUND((I152+IF(ISNUMBER(C152),MOD(C152,1),0))*1440,0)*10000+ROW(),"")</f>
        <v/>
      </c>
    </row>
    <row r="153">
      <c r="A153" s="1" t="n"/>
      <c r="B153" s="17" t="n">
        <v>46190</v>
      </c>
      <c r="C153" s="18" t="n">
        <v>0.7708333333333334</v>
      </c>
      <c r="D153" s="19" t="inlineStr">
        <is>
          <t>Leah Fischer</t>
        </is>
      </c>
      <c r="E153" s="20" t="inlineStr">
        <is>
          <t>Duo</t>
        </is>
      </c>
      <c r="F153" s="20" t="inlineStr">
        <is>
          <t>No-show</t>
        </is>
      </c>
      <c r="G153" s="21" t="n"/>
      <c r="H153" s="12">
        <f>IF(AND(B153="",D153="",F153=""),"",IF(NOT(ISNUMBER(B153)),"Needs a date",IF(D153="","Needs a client",IF(COUNTIF(Clients!$B$6:$B$105,D153)=0,"Not on Clients",IF(AND(F153="",INT(B153)&lt;TODAY()),"Needs a status","")))))</f>
        <v/>
      </c>
      <c r="I153" s="1">
        <f>IF(ISNUMBER(B153),INT(B153),0)</f>
        <v/>
      </c>
      <c r="J153">
        <f>IF(ISNUMBER(B153),YEAR(B153)*100+MONTH(B153),"")</f>
        <v/>
      </c>
      <c r="K153">
        <f>IF(AND(H153="",OR(F153="Attended",F153="No-show",AND(F153="Late cancel",Settings!$C$9="Yes"))),1,0)</f>
        <v/>
      </c>
      <c r="L153">
        <f>IF(AND(H153="",F153="Attended"),1,0)</f>
        <v/>
      </c>
      <c r="M153">
        <f>IF(AND(H153="",OR(F153="No-show",F153="Late cancel")),1,0)</f>
        <v/>
      </c>
      <c r="N153">
        <f>IF(AND(H153="",F153="",D153&lt;&gt;"",I153&gt;=TODAY()),ROUND((I153+IF(ISNUMBER(C153),MOD(C153,1),0))*1440,0)*10000+ROW(),"")</f>
        <v/>
      </c>
    </row>
    <row r="154">
      <c r="A154" s="1" t="n"/>
      <c r="B154" s="17" t="n">
        <v>46191</v>
      </c>
      <c r="C154" s="18" t="n">
        <v>0.3333333333333333</v>
      </c>
      <c r="D154" s="19" t="inlineStr">
        <is>
          <t>Ben Carter</t>
        </is>
      </c>
      <c r="E154" s="20" t="inlineStr">
        <is>
          <t>1 to 1</t>
        </is>
      </c>
      <c r="F154" s="20" t="inlineStr">
        <is>
          <t>Attended</t>
        </is>
      </c>
      <c r="G154" s="21" t="n"/>
      <c r="H154" s="12">
        <f>IF(AND(B154="",D154="",F154=""),"",IF(NOT(ISNUMBER(B154)),"Needs a date",IF(D154="","Needs a client",IF(COUNTIF(Clients!$B$6:$B$105,D154)=0,"Not on Clients",IF(AND(F154="",INT(B154)&lt;TODAY()),"Needs a status","")))))</f>
        <v/>
      </c>
      <c r="I154" s="1">
        <f>IF(ISNUMBER(B154),INT(B154),0)</f>
        <v/>
      </c>
      <c r="J154">
        <f>IF(ISNUMBER(B154),YEAR(B154)*100+MONTH(B154),"")</f>
        <v/>
      </c>
      <c r="K154">
        <f>IF(AND(H154="",OR(F154="Attended",F154="No-show",AND(F154="Late cancel",Settings!$C$9="Yes"))),1,0)</f>
        <v/>
      </c>
      <c r="L154">
        <f>IF(AND(H154="",F154="Attended"),1,0)</f>
        <v/>
      </c>
      <c r="M154">
        <f>IF(AND(H154="",OR(F154="No-show",F154="Late cancel")),1,0)</f>
        <v/>
      </c>
      <c r="N154">
        <f>IF(AND(H154="",F154="",D154&lt;&gt;"",I154&gt;=TODAY()),ROUND((I154+IF(ISNUMBER(C154),MOD(C154,1),0))*1440,0)*10000+ROW(),"")</f>
        <v/>
      </c>
    </row>
    <row r="155">
      <c r="A155" s="1" t="n"/>
      <c r="B155" s="17" t="n">
        <v>46192</v>
      </c>
      <c r="C155" s="18" t="n">
        <v>0.3333333333333333</v>
      </c>
      <c r="D155" s="19" t="inlineStr">
        <is>
          <t>Grace Kim</t>
        </is>
      </c>
      <c r="E155" s="20" t="inlineStr">
        <is>
          <t>1 to 1</t>
        </is>
      </c>
      <c r="F155" s="20" t="inlineStr">
        <is>
          <t>Attended</t>
        </is>
      </c>
      <c r="G155" s="21" t="n"/>
      <c r="H155" s="12">
        <f>IF(AND(B155="",D155="",F155=""),"",IF(NOT(ISNUMBER(B155)),"Needs a date",IF(D155="","Needs a client",IF(COUNTIF(Clients!$B$6:$B$105,D155)=0,"Not on Clients",IF(AND(F155="",INT(B155)&lt;TODAY()),"Needs a status","")))))</f>
        <v/>
      </c>
      <c r="I155" s="1">
        <f>IF(ISNUMBER(B155),INT(B155),0)</f>
        <v/>
      </c>
      <c r="J155">
        <f>IF(ISNUMBER(B155),YEAR(B155)*100+MONTH(B155),"")</f>
        <v/>
      </c>
      <c r="K155">
        <f>IF(AND(H155="",OR(F155="Attended",F155="No-show",AND(F155="Late cancel",Settings!$C$9="Yes"))),1,0)</f>
        <v/>
      </c>
      <c r="L155">
        <f>IF(AND(H155="",F155="Attended"),1,0)</f>
        <v/>
      </c>
      <c r="M155">
        <f>IF(AND(H155="",OR(F155="No-show",F155="Late cancel")),1,0)</f>
        <v/>
      </c>
      <c r="N155">
        <f>IF(AND(H155="",F155="",D155&lt;&gt;"",I155&gt;=TODAY()),ROUND((I155+IF(ISNUMBER(C155),MOD(C155,1),0))*1440,0)*10000+ROW(),"")</f>
        <v/>
      </c>
    </row>
    <row r="156">
      <c r="A156" s="1" t="n"/>
      <c r="B156" s="17" t="n">
        <v>46192</v>
      </c>
      <c r="C156" s="18" t="n">
        <v>0.7291666666666666</v>
      </c>
      <c r="D156" s="19" t="inlineStr">
        <is>
          <t>Tom Walsh</t>
        </is>
      </c>
      <c r="E156" s="20" t="inlineStr">
        <is>
          <t>1 to 1</t>
        </is>
      </c>
      <c r="F156" s="20" t="inlineStr">
        <is>
          <t>Attended</t>
        </is>
      </c>
      <c r="G156" s="21" t="n"/>
      <c r="H156" s="12">
        <f>IF(AND(B156="",D156="",F156=""),"",IF(NOT(ISNUMBER(B156)),"Needs a date",IF(D156="","Needs a client",IF(COUNTIF(Clients!$B$6:$B$105,D156)=0,"Not on Clients",IF(AND(F156="",INT(B156)&lt;TODAY()),"Needs a status","")))))</f>
        <v/>
      </c>
      <c r="I156" s="1">
        <f>IF(ISNUMBER(B156),INT(B156),0)</f>
        <v/>
      </c>
      <c r="J156">
        <f>IF(ISNUMBER(B156),YEAR(B156)*100+MONTH(B156),"")</f>
        <v/>
      </c>
      <c r="K156">
        <f>IF(AND(H156="",OR(F156="Attended",F156="No-show",AND(F156="Late cancel",Settings!$C$9="Yes"))),1,0)</f>
        <v/>
      </c>
      <c r="L156">
        <f>IF(AND(H156="",F156="Attended"),1,0)</f>
        <v/>
      </c>
      <c r="M156">
        <f>IF(AND(H156="",OR(F156="No-show",F156="Late cancel")),1,0)</f>
        <v/>
      </c>
      <c r="N156">
        <f>IF(AND(H156="",F156="",D156&lt;&gt;"",I156&gt;=TODAY()),ROUND((I156+IF(ISNUMBER(C156),MOD(C156,1),0))*1440,0)*10000+ROW(),"")</f>
        <v/>
      </c>
    </row>
    <row r="157">
      <c r="A157" s="1" t="n"/>
      <c r="B157" s="17" t="n">
        <v>46192</v>
      </c>
      <c r="C157" s="18" t="n">
        <v>0.7291666666666666</v>
      </c>
      <c r="D157" s="19" t="inlineStr">
        <is>
          <t>Hannah Brooks</t>
        </is>
      </c>
      <c r="E157" s="20" t="inlineStr">
        <is>
          <t>Duo</t>
        </is>
      </c>
      <c r="F157" s="20" t="inlineStr">
        <is>
          <t>Late cancel</t>
        </is>
      </c>
      <c r="G157" s="21" t="n"/>
      <c r="H157" s="12">
        <f>IF(AND(B157="",D157="",F157=""),"",IF(NOT(ISNUMBER(B157)),"Needs a date",IF(D157="","Needs a client",IF(COUNTIF(Clients!$B$6:$B$105,D157)=0,"Not on Clients",IF(AND(F157="",INT(B157)&lt;TODAY()),"Needs a status","")))))</f>
        <v/>
      </c>
      <c r="I157" s="1">
        <f>IF(ISNUMBER(B157),INT(B157),0)</f>
        <v/>
      </c>
      <c r="J157">
        <f>IF(ISNUMBER(B157),YEAR(B157)*100+MONTH(B157),"")</f>
        <v/>
      </c>
      <c r="K157">
        <f>IF(AND(H157="",OR(F157="Attended",F157="No-show",AND(F157="Late cancel",Settings!$C$9="Yes"))),1,0)</f>
        <v/>
      </c>
      <c r="L157">
        <f>IF(AND(H157="",F157="Attended"),1,0)</f>
        <v/>
      </c>
      <c r="M157">
        <f>IF(AND(H157="",OR(F157="No-show",F157="Late cancel")),1,0)</f>
        <v/>
      </c>
      <c r="N157">
        <f>IF(AND(H157="",F157="",D157&lt;&gt;"",I157&gt;=TODAY()),ROUND((I157+IF(ISNUMBER(C157),MOD(C157,1),0))*1440,0)*10000+ROW(),"")</f>
        <v/>
      </c>
    </row>
    <row r="158">
      <c r="A158" s="1" t="n"/>
      <c r="B158" s="17" t="n">
        <v>46193</v>
      </c>
      <c r="C158" s="18" t="n">
        <v>0.2916666666666667</v>
      </c>
      <c r="D158" s="19" t="inlineStr">
        <is>
          <t>Maya Ortiz</t>
        </is>
      </c>
      <c r="E158" s="20" t="inlineStr">
        <is>
          <t>Duo</t>
        </is>
      </c>
      <c r="F158" s="20" t="inlineStr">
        <is>
          <t>Attended</t>
        </is>
      </c>
      <c r="G158" s="21" t="n"/>
      <c r="H158" s="12">
        <f>IF(AND(B158="",D158="",F158=""),"",IF(NOT(ISNUMBER(B158)),"Needs a date",IF(D158="","Needs a client",IF(COUNTIF(Clients!$B$6:$B$105,D158)=0,"Not on Clients",IF(AND(F158="",INT(B158)&lt;TODAY()),"Needs a status","")))))</f>
        <v/>
      </c>
      <c r="I158" s="1">
        <f>IF(ISNUMBER(B158),INT(B158),0)</f>
        <v/>
      </c>
      <c r="J158">
        <f>IF(ISNUMBER(B158),YEAR(B158)*100+MONTH(B158),"")</f>
        <v/>
      </c>
      <c r="K158">
        <f>IF(AND(H158="",OR(F158="Attended",F158="No-show",AND(F158="Late cancel",Settings!$C$9="Yes"))),1,0)</f>
        <v/>
      </c>
      <c r="L158">
        <f>IF(AND(H158="",F158="Attended"),1,0)</f>
        <v/>
      </c>
      <c r="M158">
        <f>IF(AND(H158="",OR(F158="No-show",F158="Late cancel")),1,0)</f>
        <v/>
      </c>
      <c r="N158">
        <f>IF(AND(H158="",F158="",D158&lt;&gt;"",I158&gt;=TODAY()),ROUND((I158+IF(ISNUMBER(C158),MOD(C158,1),0))*1440,0)*10000+ROW(),"")</f>
        <v/>
      </c>
    </row>
    <row r="159">
      <c r="A159" s="1" t="n"/>
      <c r="B159" s="17" t="n">
        <v>46193</v>
      </c>
      <c r="C159" s="18" t="n">
        <v>0.2916666666666667</v>
      </c>
      <c r="D159" s="19" t="inlineStr">
        <is>
          <t>Omar Haddad</t>
        </is>
      </c>
      <c r="E159" s="20" t="inlineStr">
        <is>
          <t>1 to 1</t>
        </is>
      </c>
      <c r="F159" s="20" t="inlineStr">
        <is>
          <t>Attended</t>
        </is>
      </c>
      <c r="G159" s="21" t="n"/>
      <c r="H159" s="12">
        <f>IF(AND(B159="",D159="",F159=""),"",IF(NOT(ISNUMBER(B159)),"Needs a date",IF(D159="","Needs a client",IF(COUNTIF(Clients!$B$6:$B$105,D159)=0,"Not on Clients",IF(AND(F159="",INT(B159)&lt;TODAY()),"Needs a status","")))))</f>
        <v/>
      </c>
      <c r="I159" s="1">
        <f>IF(ISNUMBER(B159),INT(B159),0)</f>
        <v/>
      </c>
      <c r="J159">
        <f>IF(ISNUMBER(B159),YEAR(B159)*100+MONTH(B159),"")</f>
        <v/>
      </c>
      <c r="K159">
        <f>IF(AND(H159="",OR(F159="Attended",F159="No-show",AND(F159="Late cancel",Settings!$C$9="Yes"))),1,0)</f>
        <v/>
      </c>
      <c r="L159">
        <f>IF(AND(H159="",F159="Attended"),1,0)</f>
        <v/>
      </c>
      <c r="M159">
        <f>IF(AND(H159="",OR(F159="No-show",F159="Late cancel")),1,0)</f>
        <v/>
      </c>
      <c r="N159">
        <f>IF(AND(H159="",F159="",D159&lt;&gt;"",I159&gt;=TODAY()),ROUND((I159+IF(ISNUMBER(C159),MOD(C159,1),0))*1440,0)*10000+ROW(),"")</f>
        <v/>
      </c>
    </row>
    <row r="160">
      <c r="A160" s="1" t="n"/>
      <c r="B160" s="17" t="n">
        <v>46193</v>
      </c>
      <c r="C160" s="18" t="n">
        <v>0.5208333333333334</v>
      </c>
      <c r="D160" s="19" t="inlineStr">
        <is>
          <t>Priya Nair</t>
        </is>
      </c>
      <c r="E160" s="20" t="inlineStr">
        <is>
          <t>1 to 1</t>
        </is>
      </c>
      <c r="F160" s="20" t="inlineStr">
        <is>
          <t>Attended</t>
        </is>
      </c>
      <c r="G160" s="21" t="n"/>
      <c r="H160" s="12">
        <f>IF(AND(B160="",D160="",F160=""),"",IF(NOT(ISNUMBER(B160)),"Needs a date",IF(D160="","Needs a client",IF(COUNTIF(Clients!$B$6:$B$105,D160)=0,"Not on Clients",IF(AND(F160="",INT(B160)&lt;TODAY()),"Needs a status","")))))</f>
        <v/>
      </c>
      <c r="I160" s="1">
        <f>IF(ISNUMBER(B160),INT(B160),0)</f>
        <v/>
      </c>
      <c r="J160">
        <f>IF(ISNUMBER(B160),YEAR(B160)*100+MONTH(B160),"")</f>
        <v/>
      </c>
      <c r="K160">
        <f>IF(AND(H160="",OR(F160="Attended",F160="No-show",AND(F160="Late cancel",Settings!$C$9="Yes"))),1,0)</f>
        <v/>
      </c>
      <c r="L160">
        <f>IF(AND(H160="",F160="Attended"),1,0)</f>
        <v/>
      </c>
      <c r="M160">
        <f>IF(AND(H160="",OR(F160="No-show",F160="Late cancel")),1,0)</f>
        <v/>
      </c>
      <c r="N160">
        <f>IF(AND(H160="",F160="",D160&lt;&gt;"",I160&gt;=TODAY()),ROUND((I160+IF(ISNUMBER(C160),MOD(C160,1),0))*1440,0)*10000+ROW(),"")</f>
        <v/>
      </c>
    </row>
    <row r="161">
      <c r="A161" s="1" t="n"/>
      <c r="B161" s="17" t="n">
        <v>46194</v>
      </c>
      <c r="C161" s="18" t="n">
        <v>0.3333333333333333</v>
      </c>
      <c r="D161" s="19" t="inlineStr">
        <is>
          <t>Ben Carter</t>
        </is>
      </c>
      <c r="E161" s="20" t="inlineStr">
        <is>
          <t>1 to 1</t>
        </is>
      </c>
      <c r="F161" s="20" t="inlineStr">
        <is>
          <t>Attended</t>
        </is>
      </c>
      <c r="G161" s="21" t="n"/>
      <c r="H161" s="12">
        <f>IF(AND(B161="",D161="",F161=""),"",IF(NOT(ISNUMBER(B161)),"Needs a date",IF(D161="","Needs a client",IF(COUNTIF(Clients!$B$6:$B$105,D161)=0,"Not on Clients",IF(AND(F161="",INT(B161)&lt;TODAY()),"Needs a status","")))))</f>
        <v/>
      </c>
      <c r="I161" s="1">
        <f>IF(ISNUMBER(B161),INT(B161),0)</f>
        <v/>
      </c>
      <c r="J161">
        <f>IF(ISNUMBER(B161),YEAR(B161)*100+MONTH(B161),"")</f>
        <v/>
      </c>
      <c r="K161">
        <f>IF(AND(H161="",OR(F161="Attended",F161="No-show",AND(F161="Late cancel",Settings!$C$9="Yes"))),1,0)</f>
        <v/>
      </c>
      <c r="L161">
        <f>IF(AND(H161="",F161="Attended"),1,0)</f>
        <v/>
      </c>
      <c r="M161">
        <f>IF(AND(H161="",OR(F161="No-show",F161="Late cancel")),1,0)</f>
        <v/>
      </c>
      <c r="N161">
        <f>IF(AND(H161="",F161="",D161&lt;&gt;"",I161&gt;=TODAY()),ROUND((I161+IF(ISNUMBER(C161),MOD(C161,1),0))*1440,0)*10000+ROW(),"")</f>
        <v/>
      </c>
    </row>
    <row r="162">
      <c r="A162" s="1" t="n"/>
      <c r="B162" s="17" t="n">
        <v>46194</v>
      </c>
      <c r="C162" s="18" t="n">
        <v>0.7708333333333334</v>
      </c>
      <c r="D162" s="19" t="inlineStr">
        <is>
          <t>Leah Fischer</t>
        </is>
      </c>
      <c r="E162" s="20" t="inlineStr">
        <is>
          <t>Duo</t>
        </is>
      </c>
      <c r="F162" s="20" t="inlineStr">
        <is>
          <t>Attended</t>
        </is>
      </c>
      <c r="G162" s="21" t="n"/>
      <c r="H162" s="12">
        <f>IF(AND(B162="",D162="",F162=""),"",IF(NOT(ISNUMBER(B162)),"Needs a date",IF(D162="","Needs a client",IF(COUNTIF(Clients!$B$6:$B$105,D162)=0,"Not on Clients",IF(AND(F162="",INT(B162)&lt;TODAY()),"Needs a status","")))))</f>
        <v/>
      </c>
      <c r="I162" s="1">
        <f>IF(ISNUMBER(B162),INT(B162),0)</f>
        <v/>
      </c>
      <c r="J162">
        <f>IF(ISNUMBER(B162),YEAR(B162)*100+MONTH(B162),"")</f>
        <v/>
      </c>
      <c r="K162">
        <f>IF(AND(H162="",OR(F162="Attended",F162="No-show",AND(F162="Late cancel",Settings!$C$9="Yes"))),1,0)</f>
        <v/>
      </c>
      <c r="L162">
        <f>IF(AND(H162="",F162="Attended"),1,0)</f>
        <v/>
      </c>
      <c r="M162">
        <f>IF(AND(H162="",OR(F162="No-show",F162="Late cancel")),1,0)</f>
        <v/>
      </c>
      <c r="N162">
        <f>IF(AND(H162="",F162="",D162&lt;&gt;"",I162&gt;=TODAY()),ROUND((I162+IF(ISNUMBER(C162),MOD(C162,1),0))*1440,0)*10000+ROW(),"")</f>
        <v/>
      </c>
    </row>
    <row r="163">
      <c r="A163" s="1" t="n"/>
      <c r="B163" s="17" t="n">
        <v>46196</v>
      </c>
      <c r="C163" s="18" t="n">
        <v>0.2916666666666667</v>
      </c>
      <c r="D163" s="19" t="inlineStr">
        <is>
          <t>Omar Haddad</t>
        </is>
      </c>
      <c r="E163" s="20" t="inlineStr">
        <is>
          <t>1 to 1</t>
        </is>
      </c>
      <c r="F163" s="20" t="inlineStr">
        <is>
          <t>Attended</t>
        </is>
      </c>
      <c r="G163" s="21" t="n"/>
      <c r="H163" s="12">
        <f>IF(AND(B163="",D163="",F163=""),"",IF(NOT(ISNUMBER(B163)),"Needs a date",IF(D163="","Needs a client",IF(COUNTIF(Clients!$B$6:$B$105,D163)=0,"Not on Clients",IF(AND(F163="",INT(B163)&lt;TODAY()),"Needs a status","")))))</f>
        <v/>
      </c>
      <c r="I163" s="1">
        <f>IF(ISNUMBER(B163),INT(B163),0)</f>
        <v/>
      </c>
      <c r="J163">
        <f>IF(ISNUMBER(B163),YEAR(B163)*100+MONTH(B163),"")</f>
        <v/>
      </c>
      <c r="K163">
        <f>IF(AND(H163="",OR(F163="Attended",F163="No-show",AND(F163="Late cancel",Settings!$C$9="Yes"))),1,0)</f>
        <v/>
      </c>
      <c r="L163">
        <f>IF(AND(H163="",F163="Attended"),1,0)</f>
        <v/>
      </c>
      <c r="M163">
        <f>IF(AND(H163="",OR(F163="No-show",F163="Late cancel")),1,0)</f>
        <v/>
      </c>
      <c r="N163">
        <f>IF(AND(H163="",F163="",D163&lt;&gt;"",I163&gt;=TODAY()),ROUND((I163+IF(ISNUMBER(C163),MOD(C163,1),0))*1440,0)*10000+ROW(),"")</f>
        <v/>
      </c>
    </row>
    <row r="164">
      <c r="A164" s="1" t="n"/>
      <c r="B164" s="17" t="n">
        <v>46197</v>
      </c>
      <c r="C164" s="18" t="n">
        <v>0.5208333333333334</v>
      </c>
      <c r="D164" s="19" t="inlineStr">
        <is>
          <t>Priya Nair</t>
        </is>
      </c>
      <c r="E164" s="20" t="inlineStr">
        <is>
          <t>1 to 1</t>
        </is>
      </c>
      <c r="F164" s="20" t="inlineStr">
        <is>
          <t>Attended</t>
        </is>
      </c>
      <c r="G164" s="21" t="n"/>
      <c r="H164" s="12">
        <f>IF(AND(B164="",D164="",F164=""),"",IF(NOT(ISNUMBER(B164)),"Needs a date",IF(D164="","Needs a client",IF(COUNTIF(Clients!$B$6:$B$105,D164)=0,"Not on Clients",IF(AND(F164="",INT(B164)&lt;TODAY()),"Needs a status","")))))</f>
        <v/>
      </c>
      <c r="I164" s="1">
        <f>IF(ISNUMBER(B164),INT(B164),0)</f>
        <v/>
      </c>
      <c r="J164">
        <f>IF(ISNUMBER(B164),YEAR(B164)*100+MONTH(B164),"")</f>
        <v/>
      </c>
      <c r="K164">
        <f>IF(AND(H164="",OR(F164="Attended",F164="No-show",AND(F164="Late cancel",Settings!$C$9="Yes"))),1,0)</f>
        <v/>
      </c>
      <c r="L164">
        <f>IF(AND(H164="",F164="Attended"),1,0)</f>
        <v/>
      </c>
      <c r="M164">
        <f>IF(AND(H164="",OR(F164="No-show",F164="Late cancel")),1,0)</f>
        <v/>
      </c>
      <c r="N164">
        <f>IF(AND(H164="",F164="",D164&lt;&gt;"",I164&gt;=TODAY()),ROUND((I164+IF(ISNUMBER(C164),MOD(C164,1),0))*1440,0)*10000+ROW(),"")</f>
        <v/>
      </c>
    </row>
    <row r="165">
      <c r="A165" s="1" t="n"/>
      <c r="B165" s="17" t="n">
        <v>46197</v>
      </c>
      <c r="C165" s="18" t="n">
        <v>0.7708333333333334</v>
      </c>
      <c r="D165" s="19" t="inlineStr">
        <is>
          <t>Leah Fischer</t>
        </is>
      </c>
      <c r="E165" s="20" t="inlineStr">
        <is>
          <t>Duo</t>
        </is>
      </c>
      <c r="F165" s="20" t="inlineStr">
        <is>
          <t>Attended</t>
        </is>
      </c>
      <c r="G165" s="21" t="n"/>
      <c r="H165" s="12">
        <f>IF(AND(B165="",D165="",F165=""),"",IF(NOT(ISNUMBER(B165)),"Needs a date",IF(D165="","Needs a client",IF(COUNTIF(Clients!$B$6:$B$105,D165)=0,"Not on Clients",IF(AND(F165="",INT(B165)&lt;TODAY()),"Needs a status","")))))</f>
        <v/>
      </c>
      <c r="I165" s="1">
        <f>IF(ISNUMBER(B165),INT(B165),0)</f>
        <v/>
      </c>
      <c r="J165">
        <f>IF(ISNUMBER(B165),YEAR(B165)*100+MONTH(B165),"")</f>
        <v/>
      </c>
      <c r="K165">
        <f>IF(AND(H165="",OR(F165="Attended",F165="No-show",AND(F165="Late cancel",Settings!$C$9="Yes"))),1,0)</f>
        <v/>
      </c>
      <c r="L165">
        <f>IF(AND(H165="",F165="Attended"),1,0)</f>
        <v/>
      </c>
      <c r="M165">
        <f>IF(AND(H165="",OR(F165="No-show",F165="Late cancel")),1,0)</f>
        <v/>
      </c>
      <c r="N165">
        <f>IF(AND(H165="",F165="",D165&lt;&gt;"",I165&gt;=TODAY()),ROUND((I165+IF(ISNUMBER(C165),MOD(C165,1),0))*1440,0)*10000+ROW(),"")</f>
        <v/>
      </c>
    </row>
    <row r="166">
      <c r="A166" s="1" t="n"/>
      <c r="B166" s="17" t="n">
        <v>46198</v>
      </c>
      <c r="C166" s="18" t="n">
        <v>0.3333333333333333</v>
      </c>
      <c r="D166" s="19" t="inlineStr">
        <is>
          <t>Ben Carter</t>
        </is>
      </c>
      <c r="E166" s="20" t="inlineStr">
        <is>
          <t>1 to 1</t>
        </is>
      </c>
      <c r="F166" s="20" t="inlineStr">
        <is>
          <t>Attended</t>
        </is>
      </c>
      <c r="G166" s="21" t="n"/>
      <c r="H166" s="12">
        <f>IF(AND(B166="",D166="",F166=""),"",IF(NOT(ISNUMBER(B166)),"Needs a date",IF(D166="","Needs a client",IF(COUNTIF(Clients!$B$6:$B$105,D166)=0,"Not on Clients",IF(AND(F166="",INT(B166)&lt;TODAY()),"Needs a status","")))))</f>
        <v/>
      </c>
      <c r="I166" s="1">
        <f>IF(ISNUMBER(B166),INT(B166),0)</f>
        <v/>
      </c>
      <c r="J166">
        <f>IF(ISNUMBER(B166),YEAR(B166)*100+MONTH(B166),"")</f>
        <v/>
      </c>
      <c r="K166">
        <f>IF(AND(H166="",OR(F166="Attended",F166="No-show",AND(F166="Late cancel",Settings!$C$9="Yes"))),1,0)</f>
        <v/>
      </c>
      <c r="L166">
        <f>IF(AND(H166="",F166="Attended"),1,0)</f>
        <v/>
      </c>
      <c r="M166">
        <f>IF(AND(H166="",OR(F166="No-show",F166="Late cancel")),1,0)</f>
        <v/>
      </c>
      <c r="N166">
        <f>IF(AND(H166="",F166="",D166&lt;&gt;"",I166&gt;=TODAY()),ROUND((I166+IF(ISNUMBER(C166),MOD(C166,1),0))*1440,0)*10000+ROW(),"")</f>
        <v/>
      </c>
    </row>
    <row r="167">
      <c r="A167" s="1" t="n"/>
      <c r="B167" s="17" t="n">
        <v>46199</v>
      </c>
      <c r="C167" s="18" t="n">
        <v>0.3333333333333333</v>
      </c>
      <c r="D167" s="19" t="inlineStr">
        <is>
          <t>Grace Kim</t>
        </is>
      </c>
      <c r="E167" s="20" t="inlineStr">
        <is>
          <t>1 to 1</t>
        </is>
      </c>
      <c r="F167" s="20" t="inlineStr">
        <is>
          <t>Attended</t>
        </is>
      </c>
      <c r="G167" s="21" t="n"/>
      <c r="H167" s="12">
        <f>IF(AND(B167="",D167="",F167=""),"",IF(NOT(ISNUMBER(B167)),"Needs a date",IF(D167="","Needs a client",IF(COUNTIF(Clients!$B$6:$B$105,D167)=0,"Not on Clients",IF(AND(F167="",INT(B167)&lt;TODAY()),"Needs a status","")))))</f>
        <v/>
      </c>
      <c r="I167" s="1">
        <f>IF(ISNUMBER(B167),INT(B167),0)</f>
        <v/>
      </c>
      <c r="J167">
        <f>IF(ISNUMBER(B167),YEAR(B167)*100+MONTH(B167),"")</f>
        <v/>
      </c>
      <c r="K167">
        <f>IF(AND(H167="",OR(F167="Attended",F167="No-show",AND(F167="Late cancel",Settings!$C$9="Yes"))),1,0)</f>
        <v/>
      </c>
      <c r="L167">
        <f>IF(AND(H167="",F167="Attended"),1,0)</f>
        <v/>
      </c>
      <c r="M167">
        <f>IF(AND(H167="",OR(F167="No-show",F167="Late cancel")),1,0)</f>
        <v/>
      </c>
      <c r="N167">
        <f>IF(AND(H167="",F167="",D167&lt;&gt;"",I167&gt;=TODAY()),ROUND((I167+IF(ISNUMBER(C167),MOD(C167,1),0))*1440,0)*10000+ROW(),"")</f>
        <v/>
      </c>
    </row>
    <row r="168">
      <c r="A168" s="1" t="n"/>
      <c r="B168" s="17" t="n">
        <v>46199</v>
      </c>
      <c r="C168" s="18" t="n">
        <v>0.7291666666666666</v>
      </c>
      <c r="D168" s="19" t="inlineStr">
        <is>
          <t>Tom Walsh</t>
        </is>
      </c>
      <c r="E168" s="20" t="inlineStr">
        <is>
          <t>1 to 1</t>
        </is>
      </c>
      <c r="F168" s="20" t="inlineStr">
        <is>
          <t>Cancelled</t>
        </is>
      </c>
      <c r="G168" s="21" t="n"/>
      <c r="H168" s="12">
        <f>IF(AND(B168="",D168="",F168=""),"",IF(NOT(ISNUMBER(B168)),"Needs a date",IF(D168="","Needs a client",IF(COUNTIF(Clients!$B$6:$B$105,D168)=0,"Not on Clients",IF(AND(F168="",INT(B168)&lt;TODAY()),"Needs a status","")))))</f>
        <v/>
      </c>
      <c r="I168" s="1">
        <f>IF(ISNUMBER(B168),INT(B168),0)</f>
        <v/>
      </c>
      <c r="J168">
        <f>IF(ISNUMBER(B168),YEAR(B168)*100+MONTH(B168),"")</f>
        <v/>
      </c>
      <c r="K168">
        <f>IF(AND(H168="",OR(F168="Attended",F168="No-show",AND(F168="Late cancel",Settings!$C$9="Yes"))),1,0)</f>
        <v/>
      </c>
      <c r="L168">
        <f>IF(AND(H168="",F168="Attended"),1,0)</f>
        <v/>
      </c>
      <c r="M168">
        <f>IF(AND(H168="",OR(F168="No-show",F168="Late cancel")),1,0)</f>
        <v/>
      </c>
      <c r="N168">
        <f>IF(AND(H168="",F168="",D168&lt;&gt;"",I168&gt;=TODAY()),ROUND((I168+IF(ISNUMBER(C168),MOD(C168,1),0))*1440,0)*10000+ROW(),"")</f>
        <v/>
      </c>
    </row>
    <row r="169">
      <c r="A169" s="1" t="n"/>
      <c r="B169" s="17" t="n">
        <v>46200</v>
      </c>
      <c r="C169" s="18" t="n">
        <v>0.2916666666666667</v>
      </c>
      <c r="D169" s="19" t="inlineStr">
        <is>
          <t>Maya Ortiz</t>
        </is>
      </c>
      <c r="E169" s="20" t="inlineStr">
        <is>
          <t>Duo</t>
        </is>
      </c>
      <c r="F169" s="20" t="inlineStr">
        <is>
          <t>Attended</t>
        </is>
      </c>
      <c r="G169" s="21" t="n"/>
      <c r="H169" s="12">
        <f>IF(AND(B169="",D169="",F169=""),"",IF(NOT(ISNUMBER(B169)),"Needs a date",IF(D169="","Needs a client",IF(COUNTIF(Clients!$B$6:$B$105,D169)=0,"Not on Clients",IF(AND(F169="",INT(B169)&lt;TODAY()),"Needs a status","")))))</f>
        <v/>
      </c>
      <c r="I169" s="1">
        <f>IF(ISNUMBER(B169),INT(B169),0)</f>
        <v/>
      </c>
      <c r="J169">
        <f>IF(ISNUMBER(B169),YEAR(B169)*100+MONTH(B169),"")</f>
        <v/>
      </c>
      <c r="K169">
        <f>IF(AND(H169="",OR(F169="Attended",F169="No-show",AND(F169="Late cancel",Settings!$C$9="Yes"))),1,0)</f>
        <v/>
      </c>
      <c r="L169">
        <f>IF(AND(H169="",F169="Attended"),1,0)</f>
        <v/>
      </c>
      <c r="M169">
        <f>IF(AND(H169="",OR(F169="No-show",F169="Late cancel")),1,0)</f>
        <v/>
      </c>
      <c r="N169">
        <f>IF(AND(H169="",F169="",D169&lt;&gt;"",I169&gt;=TODAY()),ROUND((I169+IF(ISNUMBER(C169),MOD(C169,1),0))*1440,0)*10000+ROW(),"")</f>
        <v/>
      </c>
    </row>
    <row r="170">
      <c r="A170" s="1" t="n"/>
      <c r="B170" s="17" t="n">
        <v>46200</v>
      </c>
      <c r="C170" s="18" t="n">
        <v>0.2916666666666667</v>
      </c>
      <c r="D170" s="19" t="inlineStr">
        <is>
          <t>Omar Haddad</t>
        </is>
      </c>
      <c r="E170" s="20" t="inlineStr">
        <is>
          <t>1 to 1</t>
        </is>
      </c>
      <c r="F170" s="20" t="inlineStr">
        <is>
          <t>Attended</t>
        </is>
      </c>
      <c r="G170" s="21" t="n"/>
      <c r="H170" s="12">
        <f>IF(AND(B170="",D170="",F170=""),"",IF(NOT(ISNUMBER(B170)),"Needs a date",IF(D170="","Needs a client",IF(COUNTIF(Clients!$B$6:$B$105,D170)=0,"Not on Clients",IF(AND(F170="",INT(B170)&lt;TODAY()),"Needs a status","")))))</f>
        <v/>
      </c>
      <c r="I170" s="1">
        <f>IF(ISNUMBER(B170),INT(B170),0)</f>
        <v/>
      </c>
      <c r="J170">
        <f>IF(ISNUMBER(B170),YEAR(B170)*100+MONTH(B170),"")</f>
        <v/>
      </c>
      <c r="K170">
        <f>IF(AND(H170="",OR(F170="Attended",F170="No-show",AND(F170="Late cancel",Settings!$C$9="Yes"))),1,0)</f>
        <v/>
      </c>
      <c r="L170">
        <f>IF(AND(H170="",F170="Attended"),1,0)</f>
        <v/>
      </c>
      <c r="M170">
        <f>IF(AND(H170="",OR(F170="No-show",F170="Late cancel")),1,0)</f>
        <v/>
      </c>
      <c r="N170">
        <f>IF(AND(H170="",F170="",D170&lt;&gt;"",I170&gt;=TODAY()),ROUND((I170+IF(ISNUMBER(C170),MOD(C170,1),0))*1440,0)*10000+ROW(),"")</f>
        <v/>
      </c>
    </row>
    <row r="171">
      <c r="A171" s="1" t="n"/>
      <c r="B171" s="17" t="n">
        <v>46200</v>
      </c>
      <c r="C171" s="18" t="n">
        <v>0.5208333333333334</v>
      </c>
      <c r="D171" s="19" t="inlineStr">
        <is>
          <t>Priya Nair</t>
        </is>
      </c>
      <c r="E171" s="20" t="inlineStr">
        <is>
          <t>1 to 1</t>
        </is>
      </c>
      <c r="F171" s="20" t="inlineStr">
        <is>
          <t>Attended</t>
        </is>
      </c>
      <c r="G171" s="21" t="n"/>
      <c r="H171" s="12">
        <f>IF(AND(B171="",D171="",F171=""),"",IF(NOT(ISNUMBER(B171)),"Needs a date",IF(D171="","Needs a client",IF(COUNTIF(Clients!$B$6:$B$105,D171)=0,"Not on Clients",IF(AND(F171="",INT(B171)&lt;TODAY()),"Needs a status","")))))</f>
        <v/>
      </c>
      <c r="I171" s="1">
        <f>IF(ISNUMBER(B171),INT(B171),0)</f>
        <v/>
      </c>
      <c r="J171">
        <f>IF(ISNUMBER(B171),YEAR(B171)*100+MONTH(B171),"")</f>
        <v/>
      </c>
      <c r="K171">
        <f>IF(AND(H171="",OR(F171="Attended",F171="No-show",AND(F171="Late cancel",Settings!$C$9="Yes"))),1,0)</f>
        <v/>
      </c>
      <c r="L171">
        <f>IF(AND(H171="",F171="Attended"),1,0)</f>
        <v/>
      </c>
      <c r="M171">
        <f>IF(AND(H171="",OR(F171="No-show",F171="Late cancel")),1,0)</f>
        <v/>
      </c>
      <c r="N171">
        <f>IF(AND(H171="",F171="",D171&lt;&gt;"",I171&gt;=TODAY()),ROUND((I171+IF(ISNUMBER(C171),MOD(C171,1),0))*1440,0)*10000+ROW(),"")</f>
        <v/>
      </c>
    </row>
    <row r="172">
      <c r="A172" s="1" t="n"/>
      <c r="B172" s="17" t="n">
        <v>46201</v>
      </c>
      <c r="C172" s="18" t="n">
        <v>0.3333333333333333</v>
      </c>
      <c r="D172" s="19" t="inlineStr">
        <is>
          <t>Ben Carter</t>
        </is>
      </c>
      <c r="E172" s="20" t="inlineStr">
        <is>
          <t>1 to 1</t>
        </is>
      </c>
      <c r="F172" s="20" t="inlineStr">
        <is>
          <t>No-show</t>
        </is>
      </c>
      <c r="G172" s="21" t="n"/>
      <c r="H172" s="12">
        <f>IF(AND(B172="",D172="",F172=""),"",IF(NOT(ISNUMBER(B172)),"Needs a date",IF(D172="","Needs a client",IF(COUNTIF(Clients!$B$6:$B$105,D172)=0,"Not on Clients",IF(AND(F172="",INT(B172)&lt;TODAY()),"Needs a status","")))))</f>
        <v/>
      </c>
      <c r="I172" s="1">
        <f>IF(ISNUMBER(B172),INT(B172),0)</f>
        <v/>
      </c>
      <c r="J172">
        <f>IF(ISNUMBER(B172),YEAR(B172)*100+MONTH(B172),"")</f>
        <v/>
      </c>
      <c r="K172">
        <f>IF(AND(H172="",OR(F172="Attended",F172="No-show",AND(F172="Late cancel",Settings!$C$9="Yes"))),1,0)</f>
        <v/>
      </c>
      <c r="L172">
        <f>IF(AND(H172="",F172="Attended"),1,0)</f>
        <v/>
      </c>
      <c r="M172">
        <f>IF(AND(H172="",OR(F172="No-show",F172="Late cancel")),1,0)</f>
        <v/>
      </c>
      <c r="N172">
        <f>IF(AND(H172="",F172="",D172&lt;&gt;"",I172&gt;=TODAY()),ROUND((I172+IF(ISNUMBER(C172),MOD(C172,1),0))*1440,0)*10000+ROW(),"")</f>
        <v/>
      </c>
    </row>
    <row r="173">
      <c r="A173" s="1" t="n"/>
      <c r="B173" s="17" t="n">
        <v>46201</v>
      </c>
      <c r="C173" s="18" t="n">
        <v>0.7708333333333334</v>
      </c>
      <c r="D173" s="19" t="inlineStr">
        <is>
          <t>Leah Fischer</t>
        </is>
      </c>
      <c r="E173" s="20" t="inlineStr">
        <is>
          <t>Duo</t>
        </is>
      </c>
      <c r="F173" s="20" t="inlineStr">
        <is>
          <t>No-show</t>
        </is>
      </c>
      <c r="G173" s="21" t="n"/>
      <c r="H173" s="12">
        <f>IF(AND(B173="",D173="",F173=""),"",IF(NOT(ISNUMBER(B173)),"Needs a date",IF(D173="","Needs a client",IF(COUNTIF(Clients!$B$6:$B$105,D173)=0,"Not on Clients",IF(AND(F173="",INT(B173)&lt;TODAY()),"Needs a status","")))))</f>
        <v/>
      </c>
      <c r="I173" s="1">
        <f>IF(ISNUMBER(B173),INT(B173),0)</f>
        <v/>
      </c>
      <c r="J173">
        <f>IF(ISNUMBER(B173),YEAR(B173)*100+MONTH(B173),"")</f>
        <v/>
      </c>
      <c r="K173">
        <f>IF(AND(H173="",OR(F173="Attended",F173="No-show",AND(F173="Late cancel",Settings!$C$9="Yes"))),1,0)</f>
        <v/>
      </c>
      <c r="L173">
        <f>IF(AND(H173="",F173="Attended"),1,0)</f>
        <v/>
      </c>
      <c r="M173">
        <f>IF(AND(H173="",OR(F173="No-show",F173="Late cancel")),1,0)</f>
        <v/>
      </c>
      <c r="N173">
        <f>IF(AND(H173="",F173="",D173&lt;&gt;"",I173&gt;=TODAY()),ROUND((I173+IF(ISNUMBER(C173),MOD(C173,1),0))*1440,0)*10000+ROW(),"")</f>
        <v/>
      </c>
    </row>
    <row r="174">
      <c r="A174" s="1" t="n"/>
      <c r="B174" s="17" t="n">
        <v>46203</v>
      </c>
      <c r="C174" s="18" t="n">
        <v>0.2916666666666667</v>
      </c>
      <c r="D174" s="19" t="inlineStr">
        <is>
          <t>Omar Haddad</t>
        </is>
      </c>
      <c r="E174" s="20" t="inlineStr">
        <is>
          <t>1 to 1</t>
        </is>
      </c>
      <c r="F174" s="20" t="inlineStr">
        <is>
          <t>Attended</t>
        </is>
      </c>
      <c r="G174" s="21" t="n"/>
      <c r="H174" s="12">
        <f>IF(AND(B174="",D174="",F174=""),"",IF(NOT(ISNUMBER(B174)),"Needs a date",IF(D174="","Needs a client",IF(COUNTIF(Clients!$B$6:$B$105,D174)=0,"Not on Clients",IF(AND(F174="",INT(B174)&lt;TODAY()),"Needs a status","")))))</f>
        <v/>
      </c>
      <c r="I174" s="1">
        <f>IF(ISNUMBER(B174),INT(B174),0)</f>
        <v/>
      </c>
      <c r="J174">
        <f>IF(ISNUMBER(B174),YEAR(B174)*100+MONTH(B174),"")</f>
        <v/>
      </c>
      <c r="K174">
        <f>IF(AND(H174="",OR(F174="Attended",F174="No-show",AND(F174="Late cancel",Settings!$C$9="Yes"))),1,0)</f>
        <v/>
      </c>
      <c r="L174">
        <f>IF(AND(H174="",F174="Attended"),1,0)</f>
        <v/>
      </c>
      <c r="M174">
        <f>IF(AND(H174="",OR(F174="No-show",F174="Late cancel")),1,0)</f>
        <v/>
      </c>
      <c r="N174">
        <f>IF(AND(H174="",F174="",D174&lt;&gt;"",I174&gt;=TODAY()),ROUND((I174+IF(ISNUMBER(C174),MOD(C174,1),0))*1440,0)*10000+ROW(),"")</f>
        <v/>
      </c>
    </row>
    <row r="175">
      <c r="A175" s="1" t="n"/>
      <c r="B175" s="17" t="n">
        <v>46204</v>
      </c>
      <c r="C175" s="18" t="n">
        <v>0.5208333333333334</v>
      </c>
      <c r="D175" s="19" t="inlineStr">
        <is>
          <t>Priya Nair</t>
        </is>
      </c>
      <c r="E175" s="20" t="inlineStr">
        <is>
          <t>1 to 1</t>
        </is>
      </c>
      <c r="F175" s="20" t="inlineStr">
        <is>
          <t>Attended</t>
        </is>
      </c>
      <c r="G175" s="21" t="n"/>
      <c r="H175" s="12">
        <f>IF(AND(B175="",D175="",F175=""),"",IF(NOT(ISNUMBER(B175)),"Needs a date",IF(D175="","Needs a client",IF(COUNTIF(Clients!$B$6:$B$105,D175)=0,"Not on Clients",IF(AND(F175="",INT(B175)&lt;TODAY()),"Needs a status","")))))</f>
        <v/>
      </c>
      <c r="I175" s="1">
        <f>IF(ISNUMBER(B175),INT(B175),0)</f>
        <v/>
      </c>
      <c r="J175">
        <f>IF(ISNUMBER(B175),YEAR(B175)*100+MONTH(B175),"")</f>
        <v/>
      </c>
      <c r="K175">
        <f>IF(AND(H175="",OR(F175="Attended",F175="No-show",AND(F175="Late cancel",Settings!$C$9="Yes"))),1,0)</f>
        <v/>
      </c>
      <c r="L175">
        <f>IF(AND(H175="",F175="Attended"),1,0)</f>
        <v/>
      </c>
      <c r="M175">
        <f>IF(AND(H175="",OR(F175="No-show",F175="Late cancel")),1,0)</f>
        <v/>
      </c>
      <c r="N175">
        <f>IF(AND(H175="",F175="",D175&lt;&gt;"",I175&gt;=TODAY()),ROUND((I175+IF(ISNUMBER(C175),MOD(C175,1),0))*1440,0)*10000+ROW(),"")</f>
        <v/>
      </c>
    </row>
    <row r="176">
      <c r="A176" s="1" t="n"/>
      <c r="B176" s="17" t="n">
        <v>46204</v>
      </c>
      <c r="C176" s="18" t="n">
        <v>0.7708333333333334</v>
      </c>
      <c r="D176" s="19" t="inlineStr">
        <is>
          <t>Leah Fischer</t>
        </is>
      </c>
      <c r="E176" s="20" t="inlineStr">
        <is>
          <t>Duo</t>
        </is>
      </c>
      <c r="F176" s="20" t="inlineStr">
        <is>
          <t>Attended</t>
        </is>
      </c>
      <c r="G176" s="21" t="n"/>
      <c r="H176" s="12">
        <f>IF(AND(B176="",D176="",F176=""),"",IF(NOT(ISNUMBER(B176)),"Needs a date",IF(D176="","Needs a client",IF(COUNTIF(Clients!$B$6:$B$105,D176)=0,"Not on Clients",IF(AND(F176="",INT(B176)&lt;TODAY()),"Needs a status","")))))</f>
        <v/>
      </c>
      <c r="I176" s="1">
        <f>IF(ISNUMBER(B176),INT(B176),0)</f>
        <v/>
      </c>
      <c r="J176">
        <f>IF(ISNUMBER(B176),YEAR(B176)*100+MONTH(B176),"")</f>
        <v/>
      </c>
      <c r="K176">
        <f>IF(AND(H176="",OR(F176="Attended",F176="No-show",AND(F176="Late cancel",Settings!$C$9="Yes"))),1,0)</f>
        <v/>
      </c>
      <c r="L176">
        <f>IF(AND(H176="",F176="Attended"),1,0)</f>
        <v/>
      </c>
      <c r="M176">
        <f>IF(AND(H176="",OR(F176="No-show",F176="Late cancel")),1,0)</f>
        <v/>
      </c>
      <c r="N176">
        <f>IF(AND(H176="",F176="",D176&lt;&gt;"",I176&gt;=TODAY()),ROUND((I176+IF(ISNUMBER(C176),MOD(C176,1),0))*1440,0)*10000+ROW(),"")</f>
        <v/>
      </c>
    </row>
    <row r="177">
      <c r="A177" s="1" t="n"/>
      <c r="B177" s="17" t="n">
        <v>46205</v>
      </c>
      <c r="C177" s="18" t="n">
        <v>0.3333333333333333</v>
      </c>
      <c r="D177" s="19" t="inlineStr">
        <is>
          <t>Ben Carter</t>
        </is>
      </c>
      <c r="E177" s="20" t="inlineStr">
        <is>
          <t>1 to 1</t>
        </is>
      </c>
      <c r="F177" s="20" t="inlineStr">
        <is>
          <t>Attended</t>
        </is>
      </c>
      <c r="G177" s="21" t="n"/>
      <c r="H177" s="12">
        <f>IF(AND(B177="",D177="",F177=""),"",IF(NOT(ISNUMBER(B177)),"Needs a date",IF(D177="","Needs a client",IF(COUNTIF(Clients!$B$6:$B$105,D177)=0,"Not on Clients",IF(AND(F177="",INT(B177)&lt;TODAY()),"Needs a status","")))))</f>
        <v/>
      </c>
      <c r="I177" s="1">
        <f>IF(ISNUMBER(B177),INT(B177),0)</f>
        <v/>
      </c>
      <c r="J177">
        <f>IF(ISNUMBER(B177),YEAR(B177)*100+MONTH(B177),"")</f>
        <v/>
      </c>
      <c r="K177">
        <f>IF(AND(H177="",OR(F177="Attended",F177="No-show",AND(F177="Late cancel",Settings!$C$9="Yes"))),1,0)</f>
        <v/>
      </c>
      <c r="L177">
        <f>IF(AND(H177="",F177="Attended"),1,0)</f>
        <v/>
      </c>
      <c r="M177">
        <f>IF(AND(H177="",OR(F177="No-show",F177="Late cancel")),1,0)</f>
        <v/>
      </c>
      <c r="N177">
        <f>IF(AND(H177="",F177="",D177&lt;&gt;"",I177&gt;=TODAY()),ROUND((I177+IF(ISNUMBER(C177),MOD(C177,1),0))*1440,0)*10000+ROW(),"")</f>
        <v/>
      </c>
    </row>
    <row r="178">
      <c r="A178" s="1" t="n"/>
      <c r="B178" s="17" t="n">
        <v>46206</v>
      </c>
      <c r="C178" s="18" t="n">
        <v>0.3333333333333333</v>
      </c>
      <c r="D178" s="19" t="inlineStr">
        <is>
          <t>Grace Kim</t>
        </is>
      </c>
      <c r="E178" s="20" t="inlineStr">
        <is>
          <t>1 to 1</t>
        </is>
      </c>
      <c r="F178" s="20" t="inlineStr">
        <is>
          <t>Attended</t>
        </is>
      </c>
      <c r="G178" s="21" t="n"/>
      <c r="H178" s="12">
        <f>IF(AND(B178="",D178="",F178=""),"",IF(NOT(ISNUMBER(B178)),"Needs a date",IF(D178="","Needs a client",IF(COUNTIF(Clients!$B$6:$B$105,D178)=0,"Not on Clients",IF(AND(F178="",INT(B178)&lt;TODAY()),"Needs a status","")))))</f>
        <v/>
      </c>
      <c r="I178" s="1">
        <f>IF(ISNUMBER(B178),INT(B178),0)</f>
        <v/>
      </c>
      <c r="J178">
        <f>IF(ISNUMBER(B178),YEAR(B178)*100+MONTH(B178),"")</f>
        <v/>
      </c>
      <c r="K178">
        <f>IF(AND(H178="",OR(F178="Attended",F178="No-show",AND(F178="Late cancel",Settings!$C$9="Yes"))),1,0)</f>
        <v/>
      </c>
      <c r="L178">
        <f>IF(AND(H178="",F178="Attended"),1,0)</f>
        <v/>
      </c>
      <c r="M178">
        <f>IF(AND(H178="",OR(F178="No-show",F178="Late cancel")),1,0)</f>
        <v/>
      </c>
      <c r="N178">
        <f>IF(AND(H178="",F178="",D178&lt;&gt;"",I178&gt;=TODAY()),ROUND((I178+IF(ISNUMBER(C178),MOD(C178,1),0))*1440,0)*10000+ROW(),"")</f>
        <v/>
      </c>
    </row>
    <row r="179">
      <c r="A179" s="1" t="n"/>
      <c r="B179" s="17" t="n">
        <v>46206</v>
      </c>
      <c r="C179" s="18" t="n">
        <v>0.7291666666666666</v>
      </c>
      <c r="D179" s="19" t="inlineStr">
        <is>
          <t>Tom Walsh</t>
        </is>
      </c>
      <c r="E179" s="20" t="inlineStr">
        <is>
          <t>1 to 1</t>
        </is>
      </c>
      <c r="F179" s="20" t="inlineStr">
        <is>
          <t>Attended</t>
        </is>
      </c>
      <c r="G179" s="21" t="n"/>
      <c r="H179" s="12">
        <f>IF(AND(B179="",D179="",F179=""),"",IF(NOT(ISNUMBER(B179)),"Needs a date",IF(D179="","Needs a client",IF(COUNTIF(Clients!$B$6:$B$105,D179)=0,"Not on Clients",IF(AND(F179="",INT(B179)&lt;TODAY()),"Needs a status","")))))</f>
        <v/>
      </c>
      <c r="I179" s="1">
        <f>IF(ISNUMBER(B179),INT(B179),0)</f>
        <v/>
      </c>
      <c r="J179">
        <f>IF(ISNUMBER(B179),YEAR(B179)*100+MONTH(B179),"")</f>
        <v/>
      </c>
      <c r="K179">
        <f>IF(AND(H179="",OR(F179="Attended",F179="No-show",AND(F179="Late cancel",Settings!$C$9="Yes"))),1,0)</f>
        <v/>
      </c>
      <c r="L179">
        <f>IF(AND(H179="",F179="Attended"),1,0)</f>
        <v/>
      </c>
      <c r="M179">
        <f>IF(AND(H179="",OR(F179="No-show",F179="Late cancel")),1,0)</f>
        <v/>
      </c>
      <c r="N179">
        <f>IF(AND(H179="",F179="",D179&lt;&gt;"",I179&gt;=TODAY()),ROUND((I179+IF(ISNUMBER(C179),MOD(C179,1),0))*1440,0)*10000+ROW(),"")</f>
        <v/>
      </c>
    </row>
    <row r="180">
      <c r="A180" s="1" t="n"/>
      <c r="B180" s="17" t="n">
        <v>46207</v>
      </c>
      <c r="C180" s="18" t="n">
        <v>0.2916666666666667</v>
      </c>
      <c r="D180" s="19" t="inlineStr">
        <is>
          <t>Maya Ortiz</t>
        </is>
      </c>
      <c r="E180" s="20" t="inlineStr">
        <is>
          <t>Duo</t>
        </is>
      </c>
      <c r="F180" s="20" t="inlineStr">
        <is>
          <t>Cancelled</t>
        </is>
      </c>
      <c r="G180" s="21" t="n"/>
      <c r="H180" s="12">
        <f>IF(AND(B180="",D180="",F180=""),"",IF(NOT(ISNUMBER(B180)),"Needs a date",IF(D180="","Needs a client",IF(COUNTIF(Clients!$B$6:$B$105,D180)=0,"Not on Clients",IF(AND(F180="",INT(B180)&lt;TODAY()),"Needs a status","")))))</f>
        <v/>
      </c>
      <c r="I180" s="1">
        <f>IF(ISNUMBER(B180),INT(B180),0)</f>
        <v/>
      </c>
      <c r="J180">
        <f>IF(ISNUMBER(B180),YEAR(B180)*100+MONTH(B180),"")</f>
        <v/>
      </c>
      <c r="K180">
        <f>IF(AND(H180="",OR(F180="Attended",F180="No-show",AND(F180="Late cancel",Settings!$C$9="Yes"))),1,0)</f>
        <v/>
      </c>
      <c r="L180">
        <f>IF(AND(H180="",F180="Attended"),1,0)</f>
        <v/>
      </c>
      <c r="M180">
        <f>IF(AND(H180="",OR(F180="No-show",F180="Late cancel")),1,0)</f>
        <v/>
      </c>
      <c r="N180">
        <f>IF(AND(H180="",F180="",D180&lt;&gt;"",I180&gt;=TODAY()),ROUND((I180+IF(ISNUMBER(C180),MOD(C180,1),0))*1440,0)*10000+ROW(),"")</f>
        <v/>
      </c>
    </row>
    <row r="181">
      <c r="A181" s="1" t="n"/>
      <c r="B181" s="17" t="n">
        <v>46207</v>
      </c>
      <c r="C181" s="18" t="n">
        <v>0.2916666666666667</v>
      </c>
      <c r="D181" s="19" t="inlineStr">
        <is>
          <t>Omar Haddad</t>
        </is>
      </c>
      <c r="E181" s="20" t="inlineStr">
        <is>
          <t>1 to 1</t>
        </is>
      </c>
      <c r="F181" s="20" t="inlineStr">
        <is>
          <t>Attended</t>
        </is>
      </c>
      <c r="G181" s="21" t="n"/>
      <c r="H181" s="12">
        <f>IF(AND(B181="",D181="",F181=""),"",IF(NOT(ISNUMBER(B181)),"Needs a date",IF(D181="","Needs a client",IF(COUNTIF(Clients!$B$6:$B$105,D181)=0,"Not on Clients",IF(AND(F181="",INT(B181)&lt;TODAY()),"Needs a status","")))))</f>
        <v/>
      </c>
      <c r="I181" s="1">
        <f>IF(ISNUMBER(B181),INT(B181),0)</f>
        <v/>
      </c>
      <c r="J181">
        <f>IF(ISNUMBER(B181),YEAR(B181)*100+MONTH(B181),"")</f>
        <v/>
      </c>
      <c r="K181">
        <f>IF(AND(H181="",OR(F181="Attended",F181="No-show",AND(F181="Late cancel",Settings!$C$9="Yes"))),1,0)</f>
        <v/>
      </c>
      <c r="L181">
        <f>IF(AND(H181="",F181="Attended"),1,0)</f>
        <v/>
      </c>
      <c r="M181">
        <f>IF(AND(H181="",OR(F181="No-show",F181="Late cancel")),1,0)</f>
        <v/>
      </c>
      <c r="N181">
        <f>IF(AND(H181="",F181="",D181&lt;&gt;"",I181&gt;=TODAY()),ROUND((I181+IF(ISNUMBER(C181),MOD(C181,1),0))*1440,0)*10000+ROW(),"")</f>
        <v/>
      </c>
    </row>
    <row r="182">
      <c r="A182" s="1" t="n"/>
      <c r="B182" s="17" t="n">
        <v>46207</v>
      </c>
      <c r="C182" s="18" t="n">
        <v>0.5208333333333334</v>
      </c>
      <c r="D182" s="19" t="inlineStr">
        <is>
          <t>Priya Nair</t>
        </is>
      </c>
      <c r="E182" s="20" t="inlineStr">
        <is>
          <t>1 to 1</t>
        </is>
      </c>
      <c r="F182" s="20" t="inlineStr">
        <is>
          <t>Attended</t>
        </is>
      </c>
      <c r="G182" s="21" t="n"/>
      <c r="H182" s="12">
        <f>IF(AND(B182="",D182="",F182=""),"",IF(NOT(ISNUMBER(B182)),"Needs a date",IF(D182="","Needs a client",IF(COUNTIF(Clients!$B$6:$B$105,D182)=0,"Not on Clients",IF(AND(F182="",INT(B182)&lt;TODAY()),"Needs a status","")))))</f>
        <v/>
      </c>
      <c r="I182" s="1">
        <f>IF(ISNUMBER(B182),INT(B182),0)</f>
        <v/>
      </c>
      <c r="J182">
        <f>IF(ISNUMBER(B182),YEAR(B182)*100+MONTH(B182),"")</f>
        <v/>
      </c>
      <c r="K182">
        <f>IF(AND(H182="",OR(F182="Attended",F182="No-show",AND(F182="Late cancel",Settings!$C$9="Yes"))),1,0)</f>
        <v/>
      </c>
      <c r="L182">
        <f>IF(AND(H182="",F182="Attended"),1,0)</f>
        <v/>
      </c>
      <c r="M182">
        <f>IF(AND(H182="",OR(F182="No-show",F182="Late cancel")),1,0)</f>
        <v/>
      </c>
      <c r="N182">
        <f>IF(AND(H182="",F182="",D182&lt;&gt;"",I182&gt;=TODAY()),ROUND((I182+IF(ISNUMBER(C182),MOD(C182,1),0))*1440,0)*10000+ROW(),"")</f>
        <v/>
      </c>
    </row>
    <row r="183">
      <c r="A183" s="1" t="n"/>
      <c r="B183" s="17" t="n">
        <v>46208</v>
      </c>
      <c r="C183" s="18" t="n">
        <v>0.3333333333333333</v>
      </c>
      <c r="D183" s="19" t="inlineStr">
        <is>
          <t>Ben Carter</t>
        </is>
      </c>
      <c r="E183" s="20" t="inlineStr">
        <is>
          <t>1 to 1</t>
        </is>
      </c>
      <c r="F183" s="20" t="inlineStr">
        <is>
          <t>Attended</t>
        </is>
      </c>
      <c r="G183" s="21" t="n"/>
      <c r="H183" s="12">
        <f>IF(AND(B183="",D183="",F183=""),"",IF(NOT(ISNUMBER(B183)),"Needs a date",IF(D183="","Needs a client",IF(COUNTIF(Clients!$B$6:$B$105,D183)=0,"Not on Clients",IF(AND(F183="",INT(B183)&lt;TODAY()),"Needs a status","")))))</f>
        <v/>
      </c>
      <c r="I183" s="1">
        <f>IF(ISNUMBER(B183),INT(B183),0)</f>
        <v/>
      </c>
      <c r="J183">
        <f>IF(ISNUMBER(B183),YEAR(B183)*100+MONTH(B183),"")</f>
        <v/>
      </c>
      <c r="K183">
        <f>IF(AND(H183="",OR(F183="Attended",F183="No-show",AND(F183="Late cancel",Settings!$C$9="Yes"))),1,0)</f>
        <v/>
      </c>
      <c r="L183">
        <f>IF(AND(H183="",F183="Attended"),1,0)</f>
        <v/>
      </c>
      <c r="M183">
        <f>IF(AND(H183="",OR(F183="No-show",F183="Late cancel")),1,0)</f>
        <v/>
      </c>
      <c r="N183">
        <f>IF(AND(H183="",F183="",D183&lt;&gt;"",I183&gt;=TODAY()),ROUND((I183+IF(ISNUMBER(C183),MOD(C183,1),0))*1440,0)*10000+ROW(),"")</f>
        <v/>
      </c>
    </row>
    <row r="184">
      <c r="A184" s="1" t="n"/>
      <c r="B184" s="17" t="n">
        <v>46208</v>
      </c>
      <c r="C184" s="18" t="n">
        <v>0.7708333333333334</v>
      </c>
      <c r="D184" s="19" t="inlineStr">
        <is>
          <t>Leah Fischer</t>
        </is>
      </c>
      <c r="E184" s="20" t="inlineStr">
        <is>
          <t>Duo</t>
        </is>
      </c>
      <c r="F184" s="20" t="inlineStr">
        <is>
          <t>Attended</t>
        </is>
      </c>
      <c r="G184" s="21" t="n"/>
      <c r="H184" s="12">
        <f>IF(AND(B184="",D184="",F184=""),"",IF(NOT(ISNUMBER(B184)),"Needs a date",IF(D184="","Needs a client",IF(COUNTIF(Clients!$B$6:$B$105,D184)=0,"Not on Clients",IF(AND(F184="",INT(B184)&lt;TODAY()),"Needs a status","")))))</f>
        <v/>
      </c>
      <c r="I184" s="1">
        <f>IF(ISNUMBER(B184),INT(B184),0)</f>
        <v/>
      </c>
      <c r="J184">
        <f>IF(ISNUMBER(B184),YEAR(B184)*100+MONTH(B184),"")</f>
        <v/>
      </c>
      <c r="K184">
        <f>IF(AND(H184="",OR(F184="Attended",F184="No-show",AND(F184="Late cancel",Settings!$C$9="Yes"))),1,0)</f>
        <v/>
      </c>
      <c r="L184">
        <f>IF(AND(H184="",F184="Attended"),1,0)</f>
        <v/>
      </c>
      <c r="M184">
        <f>IF(AND(H184="",OR(F184="No-show",F184="Late cancel")),1,0)</f>
        <v/>
      </c>
      <c r="N184">
        <f>IF(AND(H184="",F184="",D184&lt;&gt;"",I184&gt;=TODAY()),ROUND((I184+IF(ISNUMBER(C184),MOD(C184,1),0))*1440,0)*10000+ROW(),"")</f>
        <v/>
      </c>
    </row>
    <row r="185">
      <c r="A185" s="1" t="n"/>
      <c r="B185" s="17" t="n">
        <v>46210</v>
      </c>
      <c r="C185" s="18" t="n">
        <v>0.2916666666666667</v>
      </c>
      <c r="D185" s="19" t="inlineStr">
        <is>
          <t>Omar Haddad</t>
        </is>
      </c>
      <c r="E185" s="20" t="inlineStr">
        <is>
          <t>1 to 1</t>
        </is>
      </c>
      <c r="F185" s="20" t="inlineStr">
        <is>
          <t>Cancelled</t>
        </is>
      </c>
      <c r="G185" s="21" t="n"/>
      <c r="H185" s="12">
        <f>IF(AND(B185="",D185="",F185=""),"",IF(NOT(ISNUMBER(B185)),"Needs a date",IF(D185="","Needs a client",IF(COUNTIF(Clients!$B$6:$B$105,D185)=0,"Not on Clients",IF(AND(F185="",INT(B185)&lt;TODAY()),"Needs a status","")))))</f>
        <v/>
      </c>
      <c r="I185" s="1">
        <f>IF(ISNUMBER(B185),INT(B185),0)</f>
        <v/>
      </c>
      <c r="J185">
        <f>IF(ISNUMBER(B185),YEAR(B185)*100+MONTH(B185),"")</f>
        <v/>
      </c>
      <c r="K185">
        <f>IF(AND(H185="",OR(F185="Attended",F185="No-show",AND(F185="Late cancel",Settings!$C$9="Yes"))),1,0)</f>
        <v/>
      </c>
      <c r="L185">
        <f>IF(AND(H185="",F185="Attended"),1,0)</f>
        <v/>
      </c>
      <c r="M185">
        <f>IF(AND(H185="",OR(F185="No-show",F185="Late cancel")),1,0)</f>
        <v/>
      </c>
      <c r="N185">
        <f>IF(AND(H185="",F185="",D185&lt;&gt;"",I185&gt;=TODAY()),ROUND((I185+IF(ISNUMBER(C185),MOD(C185,1),0))*1440,0)*10000+ROW(),"")</f>
        <v/>
      </c>
    </row>
    <row r="186">
      <c r="A186" s="1" t="n"/>
      <c r="B186" s="17" t="n">
        <v>46211</v>
      </c>
      <c r="C186" s="18" t="n">
        <v>0.5208333333333334</v>
      </c>
      <c r="D186" s="19" t="inlineStr">
        <is>
          <t>Priya Nair</t>
        </is>
      </c>
      <c r="E186" s="20" t="inlineStr">
        <is>
          <t>1 to 1</t>
        </is>
      </c>
      <c r="F186" s="20" t="inlineStr">
        <is>
          <t>Attended</t>
        </is>
      </c>
      <c r="G186" s="21" t="n"/>
      <c r="H186" s="12">
        <f>IF(AND(B186="",D186="",F186=""),"",IF(NOT(ISNUMBER(B186)),"Needs a date",IF(D186="","Needs a client",IF(COUNTIF(Clients!$B$6:$B$105,D186)=0,"Not on Clients",IF(AND(F186="",INT(B186)&lt;TODAY()),"Needs a status","")))))</f>
        <v/>
      </c>
      <c r="I186" s="1">
        <f>IF(ISNUMBER(B186),INT(B186),0)</f>
        <v/>
      </c>
      <c r="J186">
        <f>IF(ISNUMBER(B186),YEAR(B186)*100+MONTH(B186),"")</f>
        <v/>
      </c>
      <c r="K186">
        <f>IF(AND(H186="",OR(F186="Attended",F186="No-show",AND(F186="Late cancel",Settings!$C$9="Yes"))),1,0)</f>
        <v/>
      </c>
      <c r="L186">
        <f>IF(AND(H186="",F186="Attended"),1,0)</f>
        <v/>
      </c>
      <c r="M186">
        <f>IF(AND(H186="",OR(F186="No-show",F186="Late cancel")),1,0)</f>
        <v/>
      </c>
      <c r="N186">
        <f>IF(AND(H186="",F186="",D186&lt;&gt;"",I186&gt;=TODAY()),ROUND((I186+IF(ISNUMBER(C186),MOD(C186,1),0))*1440,0)*10000+ROW(),"")</f>
        <v/>
      </c>
    </row>
    <row r="187">
      <c r="A187" s="1" t="n"/>
      <c r="B187" s="17" t="n">
        <v>46211</v>
      </c>
      <c r="C187" s="18" t="n">
        <v>0.7708333333333334</v>
      </c>
      <c r="D187" s="19" t="inlineStr">
        <is>
          <t>Leah Fischer</t>
        </is>
      </c>
      <c r="E187" s="20" t="inlineStr">
        <is>
          <t>Duo</t>
        </is>
      </c>
      <c r="F187" s="20" t="inlineStr">
        <is>
          <t>Attended</t>
        </is>
      </c>
      <c r="G187" s="21" t="n"/>
      <c r="H187" s="12">
        <f>IF(AND(B187="",D187="",F187=""),"",IF(NOT(ISNUMBER(B187)),"Needs a date",IF(D187="","Needs a client",IF(COUNTIF(Clients!$B$6:$B$105,D187)=0,"Not on Clients",IF(AND(F187="",INT(B187)&lt;TODAY()),"Needs a status","")))))</f>
        <v/>
      </c>
      <c r="I187" s="1">
        <f>IF(ISNUMBER(B187),INT(B187),0)</f>
        <v/>
      </c>
      <c r="J187">
        <f>IF(ISNUMBER(B187),YEAR(B187)*100+MONTH(B187),"")</f>
        <v/>
      </c>
      <c r="K187">
        <f>IF(AND(H187="",OR(F187="Attended",F187="No-show",AND(F187="Late cancel",Settings!$C$9="Yes"))),1,0)</f>
        <v/>
      </c>
      <c r="L187">
        <f>IF(AND(H187="",F187="Attended"),1,0)</f>
        <v/>
      </c>
      <c r="M187">
        <f>IF(AND(H187="",OR(F187="No-show",F187="Late cancel")),1,0)</f>
        <v/>
      </c>
      <c r="N187">
        <f>IF(AND(H187="",F187="",D187&lt;&gt;"",I187&gt;=TODAY()),ROUND((I187+IF(ISNUMBER(C187),MOD(C187,1),0))*1440,0)*10000+ROW(),"")</f>
        <v/>
      </c>
    </row>
    <row r="188">
      <c r="A188" s="1" t="n"/>
      <c r="B188" s="17" t="n">
        <v>46212</v>
      </c>
      <c r="C188" s="18" t="n">
        <v>0.3333333333333333</v>
      </c>
      <c r="D188" s="19" t="inlineStr">
        <is>
          <t>Ben Carter</t>
        </is>
      </c>
      <c r="E188" s="20" t="inlineStr">
        <is>
          <t>1 to 1</t>
        </is>
      </c>
      <c r="F188" s="20" t="inlineStr">
        <is>
          <t>Cancelled</t>
        </is>
      </c>
      <c r="G188" s="21" t="n"/>
      <c r="H188" s="12">
        <f>IF(AND(B188="",D188="",F188=""),"",IF(NOT(ISNUMBER(B188)),"Needs a date",IF(D188="","Needs a client",IF(COUNTIF(Clients!$B$6:$B$105,D188)=0,"Not on Clients",IF(AND(F188="",INT(B188)&lt;TODAY()),"Needs a status","")))))</f>
        <v/>
      </c>
      <c r="I188" s="1">
        <f>IF(ISNUMBER(B188),INT(B188),0)</f>
        <v/>
      </c>
      <c r="J188">
        <f>IF(ISNUMBER(B188),YEAR(B188)*100+MONTH(B188),"")</f>
        <v/>
      </c>
      <c r="K188">
        <f>IF(AND(H188="",OR(F188="Attended",F188="No-show",AND(F188="Late cancel",Settings!$C$9="Yes"))),1,0)</f>
        <v/>
      </c>
      <c r="L188">
        <f>IF(AND(H188="",F188="Attended"),1,0)</f>
        <v/>
      </c>
      <c r="M188">
        <f>IF(AND(H188="",OR(F188="No-show",F188="Late cancel")),1,0)</f>
        <v/>
      </c>
      <c r="N188">
        <f>IF(AND(H188="",F188="",D188&lt;&gt;"",I188&gt;=TODAY()),ROUND((I188+IF(ISNUMBER(C188),MOD(C188,1),0))*1440,0)*10000+ROW(),"")</f>
        <v/>
      </c>
    </row>
    <row r="189">
      <c r="A189" s="1" t="n"/>
      <c r="B189" s="17" t="n">
        <v>46213</v>
      </c>
      <c r="C189" s="18" t="n">
        <v>0.3333333333333333</v>
      </c>
      <c r="D189" s="19" t="inlineStr">
        <is>
          <t>Grace Kim</t>
        </is>
      </c>
      <c r="E189" s="20" t="inlineStr">
        <is>
          <t>1 to 1</t>
        </is>
      </c>
      <c r="F189" s="20" t="inlineStr">
        <is>
          <t>Attended</t>
        </is>
      </c>
      <c r="G189" s="21" t="n"/>
      <c r="H189" s="12">
        <f>IF(AND(B189="",D189="",F189=""),"",IF(NOT(ISNUMBER(B189)),"Needs a date",IF(D189="","Needs a client",IF(COUNTIF(Clients!$B$6:$B$105,D189)=0,"Not on Clients",IF(AND(F189="",INT(B189)&lt;TODAY()),"Needs a status","")))))</f>
        <v/>
      </c>
      <c r="I189" s="1">
        <f>IF(ISNUMBER(B189),INT(B189),0)</f>
        <v/>
      </c>
      <c r="J189">
        <f>IF(ISNUMBER(B189),YEAR(B189)*100+MONTH(B189),"")</f>
        <v/>
      </c>
      <c r="K189">
        <f>IF(AND(H189="",OR(F189="Attended",F189="No-show",AND(F189="Late cancel",Settings!$C$9="Yes"))),1,0)</f>
        <v/>
      </c>
      <c r="L189">
        <f>IF(AND(H189="",F189="Attended"),1,0)</f>
        <v/>
      </c>
      <c r="M189">
        <f>IF(AND(H189="",OR(F189="No-show",F189="Late cancel")),1,0)</f>
        <v/>
      </c>
      <c r="N189">
        <f>IF(AND(H189="",F189="",D189&lt;&gt;"",I189&gt;=TODAY()),ROUND((I189+IF(ISNUMBER(C189),MOD(C189,1),0))*1440,0)*10000+ROW(),"")</f>
        <v/>
      </c>
    </row>
    <row r="190">
      <c r="A190" s="1" t="n"/>
      <c r="B190" s="17" t="n">
        <v>46213</v>
      </c>
      <c r="C190" s="18" t="n">
        <v>0.7291666666666666</v>
      </c>
      <c r="D190" s="19" t="inlineStr">
        <is>
          <t>Tom Walsh</t>
        </is>
      </c>
      <c r="E190" s="20" t="inlineStr">
        <is>
          <t>1 to 1</t>
        </is>
      </c>
      <c r="F190" s="20" t="inlineStr">
        <is>
          <t>Attended</t>
        </is>
      </c>
      <c r="G190" s="21" t="n"/>
      <c r="H190" s="12">
        <f>IF(AND(B190="",D190="",F190=""),"",IF(NOT(ISNUMBER(B190)),"Needs a date",IF(D190="","Needs a client",IF(COUNTIF(Clients!$B$6:$B$105,D190)=0,"Not on Clients",IF(AND(F190="",INT(B190)&lt;TODAY()),"Needs a status","")))))</f>
        <v/>
      </c>
      <c r="I190" s="1">
        <f>IF(ISNUMBER(B190),INT(B190),0)</f>
        <v/>
      </c>
      <c r="J190">
        <f>IF(ISNUMBER(B190),YEAR(B190)*100+MONTH(B190),"")</f>
        <v/>
      </c>
      <c r="K190">
        <f>IF(AND(H190="",OR(F190="Attended",F190="No-show",AND(F190="Late cancel",Settings!$C$9="Yes"))),1,0)</f>
        <v/>
      </c>
      <c r="L190">
        <f>IF(AND(H190="",F190="Attended"),1,0)</f>
        <v/>
      </c>
      <c r="M190">
        <f>IF(AND(H190="",OR(F190="No-show",F190="Late cancel")),1,0)</f>
        <v/>
      </c>
      <c r="N190">
        <f>IF(AND(H190="",F190="",D190&lt;&gt;"",I190&gt;=TODAY()),ROUND((I190+IF(ISNUMBER(C190),MOD(C190,1),0))*1440,0)*10000+ROW(),"")</f>
        <v/>
      </c>
    </row>
    <row r="191">
      <c r="A191" s="1" t="n"/>
      <c r="B191" s="17" t="n">
        <v>46214</v>
      </c>
      <c r="C191" s="18" t="n">
        <v>0.2916666666666667</v>
      </c>
      <c r="D191" s="19" t="inlineStr">
        <is>
          <t>Maya Ortiz</t>
        </is>
      </c>
      <c r="E191" s="20" t="inlineStr">
        <is>
          <t>Duo</t>
        </is>
      </c>
      <c r="F191" s="20" t="inlineStr">
        <is>
          <t>Attended</t>
        </is>
      </c>
      <c r="G191" s="21" t="n"/>
      <c r="H191" s="12">
        <f>IF(AND(B191="",D191="",F191=""),"",IF(NOT(ISNUMBER(B191)),"Needs a date",IF(D191="","Needs a client",IF(COUNTIF(Clients!$B$6:$B$105,D191)=0,"Not on Clients",IF(AND(F191="",INT(B191)&lt;TODAY()),"Needs a status","")))))</f>
        <v/>
      </c>
      <c r="I191" s="1">
        <f>IF(ISNUMBER(B191),INT(B191),0)</f>
        <v/>
      </c>
      <c r="J191">
        <f>IF(ISNUMBER(B191),YEAR(B191)*100+MONTH(B191),"")</f>
        <v/>
      </c>
      <c r="K191">
        <f>IF(AND(H191="",OR(F191="Attended",F191="No-show",AND(F191="Late cancel",Settings!$C$9="Yes"))),1,0)</f>
        <v/>
      </c>
      <c r="L191">
        <f>IF(AND(H191="",F191="Attended"),1,0)</f>
        <v/>
      </c>
      <c r="M191">
        <f>IF(AND(H191="",OR(F191="No-show",F191="Late cancel")),1,0)</f>
        <v/>
      </c>
      <c r="N191">
        <f>IF(AND(H191="",F191="",D191&lt;&gt;"",I191&gt;=TODAY()),ROUND((I191+IF(ISNUMBER(C191),MOD(C191,1),0))*1440,0)*10000+ROW(),"")</f>
        <v/>
      </c>
    </row>
    <row r="192">
      <c r="A192" s="1" t="n"/>
      <c r="B192" s="17" t="n">
        <v>46214</v>
      </c>
      <c r="C192" s="18" t="n">
        <v>0.2916666666666667</v>
      </c>
      <c r="D192" s="19" t="inlineStr">
        <is>
          <t>Omar Haddad</t>
        </is>
      </c>
      <c r="E192" s="20" t="inlineStr">
        <is>
          <t>1 to 1</t>
        </is>
      </c>
      <c r="F192" s="20" t="inlineStr">
        <is>
          <t>Attended</t>
        </is>
      </c>
      <c r="G192" s="21" t="n"/>
      <c r="H192" s="12">
        <f>IF(AND(B192="",D192="",F192=""),"",IF(NOT(ISNUMBER(B192)),"Needs a date",IF(D192="","Needs a client",IF(COUNTIF(Clients!$B$6:$B$105,D192)=0,"Not on Clients",IF(AND(F192="",INT(B192)&lt;TODAY()),"Needs a status","")))))</f>
        <v/>
      </c>
      <c r="I192" s="1">
        <f>IF(ISNUMBER(B192),INT(B192),0)</f>
        <v/>
      </c>
      <c r="J192">
        <f>IF(ISNUMBER(B192),YEAR(B192)*100+MONTH(B192),"")</f>
        <v/>
      </c>
      <c r="K192">
        <f>IF(AND(H192="",OR(F192="Attended",F192="No-show",AND(F192="Late cancel",Settings!$C$9="Yes"))),1,0)</f>
        <v/>
      </c>
      <c r="L192">
        <f>IF(AND(H192="",F192="Attended"),1,0)</f>
        <v/>
      </c>
      <c r="M192">
        <f>IF(AND(H192="",OR(F192="No-show",F192="Late cancel")),1,0)</f>
        <v/>
      </c>
      <c r="N192">
        <f>IF(AND(H192="",F192="",D192&lt;&gt;"",I192&gt;=TODAY()),ROUND((I192+IF(ISNUMBER(C192),MOD(C192,1),0))*1440,0)*10000+ROW(),"")</f>
        <v/>
      </c>
    </row>
    <row r="193">
      <c r="A193" s="1" t="n"/>
      <c r="B193" s="17" t="n">
        <v>46214</v>
      </c>
      <c r="C193" s="18" t="n">
        <v>0.5208333333333334</v>
      </c>
      <c r="D193" s="19" t="inlineStr">
        <is>
          <t>Priya Nair</t>
        </is>
      </c>
      <c r="E193" s="20" t="inlineStr">
        <is>
          <t>1 to 1</t>
        </is>
      </c>
      <c r="F193" s="20" t="inlineStr">
        <is>
          <t>Attended</t>
        </is>
      </c>
      <c r="G193" s="21" t="n"/>
      <c r="H193" s="12">
        <f>IF(AND(B193="",D193="",F193=""),"",IF(NOT(ISNUMBER(B193)),"Needs a date",IF(D193="","Needs a client",IF(COUNTIF(Clients!$B$6:$B$105,D193)=0,"Not on Clients",IF(AND(F193="",INT(B193)&lt;TODAY()),"Needs a status","")))))</f>
        <v/>
      </c>
      <c r="I193" s="1">
        <f>IF(ISNUMBER(B193),INT(B193),0)</f>
        <v/>
      </c>
      <c r="J193">
        <f>IF(ISNUMBER(B193),YEAR(B193)*100+MONTH(B193),"")</f>
        <v/>
      </c>
      <c r="K193">
        <f>IF(AND(H193="",OR(F193="Attended",F193="No-show",AND(F193="Late cancel",Settings!$C$9="Yes"))),1,0)</f>
        <v/>
      </c>
      <c r="L193">
        <f>IF(AND(H193="",F193="Attended"),1,0)</f>
        <v/>
      </c>
      <c r="M193">
        <f>IF(AND(H193="",OR(F193="No-show",F193="Late cancel")),1,0)</f>
        <v/>
      </c>
      <c r="N193">
        <f>IF(AND(H193="",F193="",D193&lt;&gt;"",I193&gt;=TODAY()),ROUND((I193+IF(ISNUMBER(C193),MOD(C193,1),0))*1440,0)*10000+ROW(),"")</f>
        <v/>
      </c>
    </row>
    <row r="194">
      <c r="A194" s="1" t="n"/>
      <c r="B194" s="17" t="n">
        <v>46215</v>
      </c>
      <c r="C194" s="18" t="n">
        <v>0.3333333333333333</v>
      </c>
      <c r="D194" s="19" t="inlineStr">
        <is>
          <t>Ben Carter</t>
        </is>
      </c>
      <c r="E194" s="20" t="inlineStr">
        <is>
          <t>1 to 1</t>
        </is>
      </c>
      <c r="F194" s="20" t="inlineStr">
        <is>
          <t>Attended</t>
        </is>
      </c>
      <c r="G194" s="21" t="n"/>
      <c r="H194" s="12">
        <f>IF(AND(B194="",D194="",F194=""),"",IF(NOT(ISNUMBER(B194)),"Needs a date",IF(D194="","Needs a client",IF(COUNTIF(Clients!$B$6:$B$105,D194)=0,"Not on Clients",IF(AND(F194="",INT(B194)&lt;TODAY()),"Needs a status","")))))</f>
        <v/>
      </c>
      <c r="I194" s="1">
        <f>IF(ISNUMBER(B194),INT(B194),0)</f>
        <v/>
      </c>
      <c r="J194">
        <f>IF(ISNUMBER(B194),YEAR(B194)*100+MONTH(B194),"")</f>
        <v/>
      </c>
      <c r="K194">
        <f>IF(AND(H194="",OR(F194="Attended",F194="No-show",AND(F194="Late cancel",Settings!$C$9="Yes"))),1,0)</f>
        <v/>
      </c>
      <c r="L194">
        <f>IF(AND(H194="",F194="Attended"),1,0)</f>
        <v/>
      </c>
      <c r="M194">
        <f>IF(AND(H194="",OR(F194="No-show",F194="Late cancel")),1,0)</f>
        <v/>
      </c>
      <c r="N194">
        <f>IF(AND(H194="",F194="",D194&lt;&gt;"",I194&gt;=TODAY()),ROUND((I194+IF(ISNUMBER(C194),MOD(C194,1),0))*1440,0)*10000+ROW(),"")</f>
        <v/>
      </c>
    </row>
    <row r="195">
      <c r="A195" s="1" t="n"/>
      <c r="B195" s="17" t="n">
        <v>46215</v>
      </c>
      <c r="C195" s="18" t="n">
        <v>0.7708333333333334</v>
      </c>
      <c r="D195" s="19" t="inlineStr">
        <is>
          <t>Leah Fischer</t>
        </is>
      </c>
      <c r="E195" s="20" t="inlineStr">
        <is>
          <t>Duo</t>
        </is>
      </c>
      <c r="F195" s="20" t="inlineStr">
        <is>
          <t>Attended</t>
        </is>
      </c>
      <c r="G195" s="21" t="n"/>
      <c r="H195" s="12">
        <f>IF(AND(B195="",D195="",F195=""),"",IF(NOT(ISNUMBER(B195)),"Needs a date",IF(D195="","Needs a client",IF(COUNTIF(Clients!$B$6:$B$105,D195)=0,"Not on Clients",IF(AND(F195="",INT(B195)&lt;TODAY()),"Needs a status","")))))</f>
        <v/>
      </c>
      <c r="I195" s="1">
        <f>IF(ISNUMBER(B195),INT(B195),0)</f>
        <v/>
      </c>
      <c r="J195">
        <f>IF(ISNUMBER(B195),YEAR(B195)*100+MONTH(B195),"")</f>
        <v/>
      </c>
      <c r="K195">
        <f>IF(AND(H195="",OR(F195="Attended",F195="No-show",AND(F195="Late cancel",Settings!$C$9="Yes"))),1,0)</f>
        <v/>
      </c>
      <c r="L195">
        <f>IF(AND(H195="",F195="Attended"),1,0)</f>
        <v/>
      </c>
      <c r="M195">
        <f>IF(AND(H195="",OR(F195="No-show",F195="Late cancel")),1,0)</f>
        <v/>
      </c>
      <c r="N195">
        <f>IF(AND(H195="",F195="",D195&lt;&gt;"",I195&gt;=TODAY()),ROUND((I195+IF(ISNUMBER(C195),MOD(C195,1),0))*1440,0)*10000+ROW(),"")</f>
        <v/>
      </c>
    </row>
    <row r="196">
      <c r="A196" s="1" t="n"/>
      <c r="B196" s="17" t="n">
        <v>46217</v>
      </c>
      <c r="C196" s="18" t="n">
        <v>0.2916666666666667</v>
      </c>
      <c r="D196" s="19" t="inlineStr">
        <is>
          <t>Omar Haddad</t>
        </is>
      </c>
      <c r="E196" s="20" t="inlineStr">
        <is>
          <t>1 to 1</t>
        </is>
      </c>
      <c r="F196" s="20" t="inlineStr">
        <is>
          <t>Attended</t>
        </is>
      </c>
      <c r="G196" s="21" t="n"/>
      <c r="H196" s="12">
        <f>IF(AND(B196="",D196="",F196=""),"",IF(NOT(ISNUMBER(B196)),"Needs a date",IF(D196="","Needs a client",IF(COUNTIF(Clients!$B$6:$B$105,D196)=0,"Not on Clients",IF(AND(F196="",INT(B196)&lt;TODAY()),"Needs a status","")))))</f>
        <v/>
      </c>
      <c r="I196" s="1">
        <f>IF(ISNUMBER(B196),INT(B196),0)</f>
        <v/>
      </c>
      <c r="J196">
        <f>IF(ISNUMBER(B196),YEAR(B196)*100+MONTH(B196),"")</f>
        <v/>
      </c>
      <c r="K196">
        <f>IF(AND(H196="",OR(F196="Attended",F196="No-show",AND(F196="Late cancel",Settings!$C$9="Yes"))),1,0)</f>
        <v/>
      </c>
      <c r="L196">
        <f>IF(AND(H196="",F196="Attended"),1,0)</f>
        <v/>
      </c>
      <c r="M196">
        <f>IF(AND(H196="",OR(F196="No-show",F196="Late cancel")),1,0)</f>
        <v/>
      </c>
      <c r="N196">
        <f>IF(AND(H196="",F196="",D196&lt;&gt;"",I196&gt;=TODAY()),ROUND((I196+IF(ISNUMBER(C196),MOD(C196,1),0))*1440,0)*10000+ROW(),"")</f>
        <v/>
      </c>
    </row>
    <row r="197">
      <c r="A197" s="1" t="n"/>
      <c r="B197" s="17" t="n">
        <v>46218</v>
      </c>
      <c r="C197" s="18" t="n">
        <v>0.5208333333333334</v>
      </c>
      <c r="D197" s="19" t="inlineStr">
        <is>
          <t>Priya Nair</t>
        </is>
      </c>
      <c r="E197" s="20" t="inlineStr">
        <is>
          <t>1 to 1</t>
        </is>
      </c>
      <c r="F197" s="20" t="inlineStr">
        <is>
          <t>Attended</t>
        </is>
      </c>
      <c r="G197" s="21" t="n"/>
      <c r="H197" s="12">
        <f>IF(AND(B197="",D197="",F197=""),"",IF(NOT(ISNUMBER(B197)),"Needs a date",IF(D197="","Needs a client",IF(COUNTIF(Clients!$B$6:$B$105,D197)=0,"Not on Clients",IF(AND(F197="",INT(B197)&lt;TODAY()),"Needs a status","")))))</f>
        <v/>
      </c>
      <c r="I197" s="1">
        <f>IF(ISNUMBER(B197),INT(B197),0)</f>
        <v/>
      </c>
      <c r="J197">
        <f>IF(ISNUMBER(B197),YEAR(B197)*100+MONTH(B197),"")</f>
        <v/>
      </c>
      <c r="K197">
        <f>IF(AND(H197="",OR(F197="Attended",F197="No-show",AND(F197="Late cancel",Settings!$C$9="Yes"))),1,0)</f>
        <v/>
      </c>
      <c r="L197">
        <f>IF(AND(H197="",F197="Attended"),1,0)</f>
        <v/>
      </c>
      <c r="M197">
        <f>IF(AND(H197="",OR(F197="No-show",F197="Late cancel")),1,0)</f>
        <v/>
      </c>
      <c r="N197">
        <f>IF(AND(H197="",F197="",D197&lt;&gt;"",I197&gt;=TODAY()),ROUND((I197+IF(ISNUMBER(C197),MOD(C197,1),0))*1440,0)*10000+ROW(),"")</f>
        <v/>
      </c>
    </row>
    <row r="198">
      <c r="A198" s="1" t="n"/>
      <c r="B198" s="17" t="n">
        <v>46218</v>
      </c>
      <c r="C198" s="18" t="n">
        <v>0.7708333333333334</v>
      </c>
      <c r="D198" s="19" t="inlineStr">
        <is>
          <t>Leah Fischer</t>
        </is>
      </c>
      <c r="E198" s="20" t="inlineStr">
        <is>
          <t>Duo</t>
        </is>
      </c>
      <c r="F198" s="20" t="inlineStr">
        <is>
          <t>Attended</t>
        </is>
      </c>
      <c r="G198" s="21" t="n"/>
      <c r="H198" s="12">
        <f>IF(AND(B198="",D198="",F198=""),"",IF(NOT(ISNUMBER(B198)),"Needs a date",IF(D198="","Needs a client",IF(COUNTIF(Clients!$B$6:$B$105,D198)=0,"Not on Clients",IF(AND(F198="",INT(B198)&lt;TODAY()),"Needs a status","")))))</f>
        <v/>
      </c>
      <c r="I198" s="1">
        <f>IF(ISNUMBER(B198),INT(B198),0)</f>
        <v/>
      </c>
      <c r="J198">
        <f>IF(ISNUMBER(B198),YEAR(B198)*100+MONTH(B198),"")</f>
        <v/>
      </c>
      <c r="K198">
        <f>IF(AND(H198="",OR(F198="Attended",F198="No-show",AND(F198="Late cancel",Settings!$C$9="Yes"))),1,0)</f>
        <v/>
      </c>
      <c r="L198">
        <f>IF(AND(H198="",F198="Attended"),1,0)</f>
        <v/>
      </c>
      <c r="M198">
        <f>IF(AND(H198="",OR(F198="No-show",F198="Late cancel")),1,0)</f>
        <v/>
      </c>
      <c r="N198">
        <f>IF(AND(H198="",F198="",D198&lt;&gt;"",I198&gt;=TODAY()),ROUND((I198+IF(ISNUMBER(C198),MOD(C198,1),0))*1440,0)*10000+ROW(),"")</f>
        <v/>
      </c>
    </row>
    <row r="199">
      <c r="A199" s="1" t="n"/>
      <c r="B199" s="17" t="n">
        <v>46219</v>
      </c>
      <c r="C199" s="18" t="n">
        <v>0.3333333333333333</v>
      </c>
      <c r="D199" s="19" t="inlineStr">
        <is>
          <t>Ben Carter</t>
        </is>
      </c>
      <c r="E199" s="20" t="inlineStr">
        <is>
          <t>1 to 1</t>
        </is>
      </c>
      <c r="F199" s="20" t="inlineStr">
        <is>
          <t>Attended</t>
        </is>
      </c>
      <c r="G199" s="21" t="n"/>
      <c r="H199" s="12">
        <f>IF(AND(B199="",D199="",F199=""),"",IF(NOT(ISNUMBER(B199)),"Needs a date",IF(D199="","Needs a client",IF(COUNTIF(Clients!$B$6:$B$105,D199)=0,"Not on Clients",IF(AND(F199="",INT(B199)&lt;TODAY()),"Needs a status","")))))</f>
        <v/>
      </c>
      <c r="I199" s="1">
        <f>IF(ISNUMBER(B199),INT(B199),0)</f>
        <v/>
      </c>
      <c r="J199">
        <f>IF(ISNUMBER(B199),YEAR(B199)*100+MONTH(B199),"")</f>
        <v/>
      </c>
      <c r="K199">
        <f>IF(AND(H199="",OR(F199="Attended",F199="No-show",AND(F199="Late cancel",Settings!$C$9="Yes"))),1,0)</f>
        <v/>
      </c>
      <c r="L199">
        <f>IF(AND(H199="",F199="Attended"),1,0)</f>
        <v/>
      </c>
      <c r="M199">
        <f>IF(AND(H199="",OR(F199="No-show",F199="Late cancel")),1,0)</f>
        <v/>
      </c>
      <c r="N199">
        <f>IF(AND(H199="",F199="",D199&lt;&gt;"",I199&gt;=TODAY()),ROUND((I199+IF(ISNUMBER(C199),MOD(C199,1),0))*1440,0)*10000+ROW(),"")</f>
        <v/>
      </c>
    </row>
    <row r="200">
      <c r="A200" s="1" t="n"/>
      <c r="B200" s="17" t="n">
        <v>46220</v>
      </c>
      <c r="C200" s="18" t="n">
        <v>0.3333333333333333</v>
      </c>
      <c r="D200" s="19" t="inlineStr">
        <is>
          <t>Grace Kim</t>
        </is>
      </c>
      <c r="E200" s="20" t="inlineStr">
        <is>
          <t>1 to 1</t>
        </is>
      </c>
      <c r="F200" s="20" t="inlineStr">
        <is>
          <t>Attended</t>
        </is>
      </c>
      <c r="G200" s="21" t="n"/>
      <c r="H200" s="12">
        <f>IF(AND(B200="",D200="",F200=""),"",IF(NOT(ISNUMBER(B200)),"Needs a date",IF(D200="","Needs a client",IF(COUNTIF(Clients!$B$6:$B$105,D200)=0,"Not on Clients",IF(AND(F200="",INT(B200)&lt;TODAY()),"Needs a status","")))))</f>
        <v/>
      </c>
      <c r="I200" s="1">
        <f>IF(ISNUMBER(B200),INT(B200),0)</f>
        <v/>
      </c>
      <c r="J200">
        <f>IF(ISNUMBER(B200),YEAR(B200)*100+MONTH(B200),"")</f>
        <v/>
      </c>
      <c r="K200">
        <f>IF(AND(H200="",OR(F200="Attended",F200="No-show",AND(F200="Late cancel",Settings!$C$9="Yes"))),1,0)</f>
        <v/>
      </c>
      <c r="L200">
        <f>IF(AND(H200="",F200="Attended"),1,0)</f>
        <v/>
      </c>
      <c r="M200">
        <f>IF(AND(H200="",OR(F200="No-show",F200="Late cancel")),1,0)</f>
        <v/>
      </c>
      <c r="N200">
        <f>IF(AND(H200="",F200="",D200&lt;&gt;"",I200&gt;=TODAY()),ROUND((I200+IF(ISNUMBER(C200),MOD(C200,1),0))*1440,0)*10000+ROW(),"")</f>
        <v/>
      </c>
    </row>
    <row r="201">
      <c r="A201" s="1" t="n"/>
      <c r="B201" s="17" t="n">
        <v>46220</v>
      </c>
      <c r="C201" s="18" t="n">
        <v>0.7291666666666666</v>
      </c>
      <c r="D201" s="19" t="inlineStr">
        <is>
          <t>Tom Walsh</t>
        </is>
      </c>
      <c r="E201" s="20" t="inlineStr">
        <is>
          <t>1 to 1</t>
        </is>
      </c>
      <c r="F201" s="20" t="inlineStr">
        <is>
          <t>Attended</t>
        </is>
      </c>
      <c r="G201" s="21" t="n"/>
      <c r="H201" s="12">
        <f>IF(AND(B201="",D201="",F201=""),"",IF(NOT(ISNUMBER(B201)),"Needs a date",IF(D201="","Needs a client",IF(COUNTIF(Clients!$B$6:$B$105,D201)=0,"Not on Clients",IF(AND(F201="",INT(B201)&lt;TODAY()),"Needs a status","")))))</f>
        <v/>
      </c>
      <c r="I201" s="1">
        <f>IF(ISNUMBER(B201),INT(B201),0)</f>
        <v/>
      </c>
      <c r="J201">
        <f>IF(ISNUMBER(B201),YEAR(B201)*100+MONTH(B201),"")</f>
        <v/>
      </c>
      <c r="K201">
        <f>IF(AND(H201="",OR(F201="Attended",F201="No-show",AND(F201="Late cancel",Settings!$C$9="Yes"))),1,0)</f>
        <v/>
      </c>
      <c r="L201">
        <f>IF(AND(H201="",F201="Attended"),1,0)</f>
        <v/>
      </c>
      <c r="M201">
        <f>IF(AND(H201="",OR(F201="No-show",F201="Late cancel")),1,0)</f>
        <v/>
      </c>
      <c r="N201">
        <f>IF(AND(H201="",F201="",D201&lt;&gt;"",I201&gt;=TODAY()),ROUND((I201+IF(ISNUMBER(C201),MOD(C201,1),0))*1440,0)*10000+ROW(),"")</f>
        <v/>
      </c>
    </row>
    <row r="202">
      <c r="A202" s="1" t="n"/>
      <c r="B202" s="17" t="n">
        <v>46221</v>
      </c>
      <c r="C202" s="18" t="n">
        <v>0.2916666666666667</v>
      </c>
      <c r="D202" s="19" t="inlineStr">
        <is>
          <t>Maya Ortiz</t>
        </is>
      </c>
      <c r="E202" s="20" t="inlineStr">
        <is>
          <t>Duo</t>
        </is>
      </c>
      <c r="F202" s="20" t="inlineStr">
        <is>
          <t>Attended</t>
        </is>
      </c>
      <c r="G202" s="21" t="n"/>
      <c r="H202" s="12">
        <f>IF(AND(B202="",D202="",F202=""),"",IF(NOT(ISNUMBER(B202)),"Needs a date",IF(D202="","Needs a client",IF(COUNTIF(Clients!$B$6:$B$105,D202)=0,"Not on Clients",IF(AND(F202="",INT(B202)&lt;TODAY()),"Needs a status","")))))</f>
        <v/>
      </c>
      <c r="I202" s="1">
        <f>IF(ISNUMBER(B202),INT(B202),0)</f>
        <v/>
      </c>
      <c r="J202">
        <f>IF(ISNUMBER(B202),YEAR(B202)*100+MONTH(B202),"")</f>
        <v/>
      </c>
      <c r="K202">
        <f>IF(AND(H202="",OR(F202="Attended",F202="No-show",AND(F202="Late cancel",Settings!$C$9="Yes"))),1,0)</f>
        <v/>
      </c>
      <c r="L202">
        <f>IF(AND(H202="",F202="Attended"),1,0)</f>
        <v/>
      </c>
      <c r="M202">
        <f>IF(AND(H202="",OR(F202="No-show",F202="Late cancel")),1,0)</f>
        <v/>
      </c>
      <c r="N202">
        <f>IF(AND(H202="",F202="",D202&lt;&gt;"",I202&gt;=TODAY()),ROUND((I202+IF(ISNUMBER(C202),MOD(C202,1),0))*1440,0)*10000+ROW(),"")</f>
        <v/>
      </c>
    </row>
    <row r="203">
      <c r="A203" s="1" t="n"/>
      <c r="B203" s="17" t="n">
        <v>46221</v>
      </c>
      <c r="C203" s="18" t="n">
        <v>0.2916666666666667</v>
      </c>
      <c r="D203" s="19" t="inlineStr">
        <is>
          <t>Omar Haddad</t>
        </is>
      </c>
      <c r="E203" s="20" t="inlineStr">
        <is>
          <t>1 to 1</t>
        </is>
      </c>
      <c r="F203" s="20" t="inlineStr">
        <is>
          <t>Attended</t>
        </is>
      </c>
      <c r="G203" s="21" t="n"/>
      <c r="H203" s="12">
        <f>IF(AND(B203="",D203="",F203=""),"",IF(NOT(ISNUMBER(B203)),"Needs a date",IF(D203="","Needs a client",IF(COUNTIF(Clients!$B$6:$B$105,D203)=0,"Not on Clients",IF(AND(F203="",INT(B203)&lt;TODAY()),"Needs a status","")))))</f>
        <v/>
      </c>
      <c r="I203" s="1">
        <f>IF(ISNUMBER(B203),INT(B203),0)</f>
        <v/>
      </c>
      <c r="J203">
        <f>IF(ISNUMBER(B203),YEAR(B203)*100+MONTH(B203),"")</f>
        <v/>
      </c>
      <c r="K203">
        <f>IF(AND(H203="",OR(F203="Attended",F203="No-show",AND(F203="Late cancel",Settings!$C$9="Yes"))),1,0)</f>
        <v/>
      </c>
      <c r="L203">
        <f>IF(AND(H203="",F203="Attended"),1,0)</f>
        <v/>
      </c>
      <c r="M203">
        <f>IF(AND(H203="",OR(F203="No-show",F203="Late cancel")),1,0)</f>
        <v/>
      </c>
      <c r="N203">
        <f>IF(AND(H203="",F203="",D203&lt;&gt;"",I203&gt;=TODAY()),ROUND((I203+IF(ISNUMBER(C203),MOD(C203,1),0))*1440,0)*10000+ROW(),"")</f>
        <v/>
      </c>
    </row>
    <row r="204">
      <c r="A204" s="1" t="n"/>
      <c r="B204" s="17" t="n">
        <v>46221</v>
      </c>
      <c r="C204" s="18" t="n">
        <v>0.5208333333333334</v>
      </c>
      <c r="D204" s="19" t="inlineStr">
        <is>
          <t>Priya Nair</t>
        </is>
      </c>
      <c r="E204" s="20" t="inlineStr">
        <is>
          <t>1 to 1</t>
        </is>
      </c>
      <c r="F204" s="20" t="inlineStr">
        <is>
          <t>Attended</t>
        </is>
      </c>
      <c r="G204" s="21" t="n"/>
      <c r="H204" s="12">
        <f>IF(AND(B204="",D204="",F204=""),"",IF(NOT(ISNUMBER(B204)),"Needs a date",IF(D204="","Needs a client",IF(COUNTIF(Clients!$B$6:$B$105,D204)=0,"Not on Clients",IF(AND(F204="",INT(B204)&lt;TODAY()),"Needs a status","")))))</f>
        <v/>
      </c>
      <c r="I204" s="1">
        <f>IF(ISNUMBER(B204),INT(B204),0)</f>
        <v/>
      </c>
      <c r="J204">
        <f>IF(ISNUMBER(B204),YEAR(B204)*100+MONTH(B204),"")</f>
        <v/>
      </c>
      <c r="K204">
        <f>IF(AND(H204="",OR(F204="Attended",F204="No-show",AND(F204="Late cancel",Settings!$C$9="Yes"))),1,0)</f>
        <v/>
      </c>
      <c r="L204">
        <f>IF(AND(H204="",F204="Attended"),1,0)</f>
        <v/>
      </c>
      <c r="M204">
        <f>IF(AND(H204="",OR(F204="No-show",F204="Late cancel")),1,0)</f>
        <v/>
      </c>
      <c r="N204">
        <f>IF(AND(H204="",F204="",D204&lt;&gt;"",I204&gt;=TODAY()),ROUND((I204+IF(ISNUMBER(C204),MOD(C204,1),0))*1440,0)*10000+ROW(),"")</f>
        <v/>
      </c>
    </row>
    <row r="205">
      <c r="A205" s="1" t="n"/>
      <c r="B205" s="17" t="n">
        <v>46222</v>
      </c>
      <c r="C205" s="18" t="n">
        <v>0.3333333333333333</v>
      </c>
      <c r="D205" s="19" t="inlineStr">
        <is>
          <t>Ben Carter</t>
        </is>
      </c>
      <c r="E205" s="20" t="inlineStr">
        <is>
          <t>1 to 1</t>
        </is>
      </c>
      <c r="F205" s="20" t="inlineStr">
        <is>
          <t>Attended</t>
        </is>
      </c>
      <c r="G205" s="21" t="n"/>
      <c r="H205" s="12">
        <f>IF(AND(B205="",D205="",F205=""),"",IF(NOT(ISNUMBER(B205)),"Needs a date",IF(D205="","Needs a client",IF(COUNTIF(Clients!$B$6:$B$105,D205)=0,"Not on Clients",IF(AND(F205="",INT(B205)&lt;TODAY()),"Needs a status","")))))</f>
        <v/>
      </c>
      <c r="I205" s="1">
        <f>IF(ISNUMBER(B205),INT(B205),0)</f>
        <v/>
      </c>
      <c r="J205">
        <f>IF(ISNUMBER(B205),YEAR(B205)*100+MONTH(B205),"")</f>
        <v/>
      </c>
      <c r="K205">
        <f>IF(AND(H205="",OR(F205="Attended",F205="No-show",AND(F205="Late cancel",Settings!$C$9="Yes"))),1,0)</f>
        <v/>
      </c>
      <c r="L205">
        <f>IF(AND(H205="",F205="Attended"),1,0)</f>
        <v/>
      </c>
      <c r="M205">
        <f>IF(AND(H205="",OR(F205="No-show",F205="Late cancel")),1,0)</f>
        <v/>
      </c>
      <c r="N205">
        <f>IF(AND(H205="",F205="",D205&lt;&gt;"",I205&gt;=TODAY()),ROUND((I205+IF(ISNUMBER(C205),MOD(C205,1),0))*1440,0)*10000+ROW(),"")</f>
        <v/>
      </c>
    </row>
    <row r="206">
      <c r="A206" s="1" t="n"/>
      <c r="B206" s="17" t="n">
        <v>46222</v>
      </c>
      <c r="C206" s="18" t="n">
        <v>0.7708333333333334</v>
      </c>
      <c r="D206" s="19" t="inlineStr">
        <is>
          <t>Leah Fischer</t>
        </is>
      </c>
      <c r="E206" s="20" t="inlineStr">
        <is>
          <t>Duo</t>
        </is>
      </c>
      <c r="F206" s="20" t="inlineStr">
        <is>
          <t>Attended</t>
        </is>
      </c>
      <c r="G206" s="21" t="n"/>
      <c r="H206" s="12">
        <f>IF(AND(B206="",D206="",F206=""),"",IF(NOT(ISNUMBER(B206)),"Needs a date",IF(D206="","Needs a client",IF(COUNTIF(Clients!$B$6:$B$105,D206)=0,"Not on Clients",IF(AND(F206="",INT(B206)&lt;TODAY()),"Needs a status","")))))</f>
        <v/>
      </c>
      <c r="I206" s="1">
        <f>IF(ISNUMBER(B206),INT(B206),0)</f>
        <v/>
      </c>
      <c r="J206">
        <f>IF(ISNUMBER(B206),YEAR(B206)*100+MONTH(B206),"")</f>
        <v/>
      </c>
      <c r="K206">
        <f>IF(AND(H206="",OR(F206="Attended",F206="No-show",AND(F206="Late cancel",Settings!$C$9="Yes"))),1,0)</f>
        <v/>
      </c>
      <c r="L206">
        <f>IF(AND(H206="",F206="Attended"),1,0)</f>
        <v/>
      </c>
      <c r="M206">
        <f>IF(AND(H206="",OR(F206="No-show",F206="Late cancel")),1,0)</f>
        <v/>
      </c>
      <c r="N206">
        <f>IF(AND(H206="",F206="",D206&lt;&gt;"",I206&gt;=TODAY()),ROUND((I206+IF(ISNUMBER(C206),MOD(C206,1),0))*1440,0)*10000+ROW(),"")</f>
        <v/>
      </c>
    </row>
    <row r="207">
      <c r="A207" s="1" t="n"/>
      <c r="B207" s="17" t="n">
        <v>46224</v>
      </c>
      <c r="C207" s="18" t="n">
        <v>0.2916666666666667</v>
      </c>
      <c r="D207" s="19" t="inlineStr">
        <is>
          <t>Omar Haddad</t>
        </is>
      </c>
      <c r="E207" s="20" t="inlineStr">
        <is>
          <t>1 to 1</t>
        </is>
      </c>
      <c r="F207" s="20" t="inlineStr">
        <is>
          <t>Attended</t>
        </is>
      </c>
      <c r="G207" s="21" t="n"/>
      <c r="H207" s="12">
        <f>IF(AND(B207="",D207="",F207=""),"",IF(NOT(ISNUMBER(B207)),"Needs a date",IF(D207="","Needs a client",IF(COUNTIF(Clients!$B$6:$B$105,D207)=0,"Not on Clients",IF(AND(F207="",INT(B207)&lt;TODAY()),"Needs a status","")))))</f>
        <v/>
      </c>
      <c r="I207" s="1">
        <f>IF(ISNUMBER(B207),INT(B207),0)</f>
        <v/>
      </c>
      <c r="J207">
        <f>IF(ISNUMBER(B207),YEAR(B207)*100+MONTH(B207),"")</f>
        <v/>
      </c>
      <c r="K207">
        <f>IF(AND(H207="",OR(F207="Attended",F207="No-show",AND(F207="Late cancel",Settings!$C$9="Yes"))),1,0)</f>
        <v/>
      </c>
      <c r="L207">
        <f>IF(AND(H207="",F207="Attended"),1,0)</f>
        <v/>
      </c>
      <c r="M207">
        <f>IF(AND(H207="",OR(F207="No-show",F207="Late cancel")),1,0)</f>
        <v/>
      </c>
      <c r="N207">
        <f>IF(AND(H207="",F207="",D207&lt;&gt;"",I207&gt;=TODAY()),ROUND((I207+IF(ISNUMBER(C207),MOD(C207,1),0))*1440,0)*10000+ROW(),"")</f>
        <v/>
      </c>
    </row>
    <row r="208">
      <c r="A208" s="1" t="n"/>
      <c r="B208" s="17" t="n">
        <v>46225</v>
      </c>
      <c r="C208" s="18" t="n">
        <v>0.5208333333333334</v>
      </c>
      <c r="D208" s="19" t="inlineStr">
        <is>
          <t>Priya Nair</t>
        </is>
      </c>
      <c r="E208" s="20" t="inlineStr">
        <is>
          <t>1 to 1</t>
        </is>
      </c>
      <c r="F208" s="20" t="inlineStr">
        <is>
          <t>Cancelled</t>
        </is>
      </c>
      <c r="G208" s="21" t="n"/>
      <c r="H208" s="12">
        <f>IF(AND(B208="",D208="",F208=""),"",IF(NOT(ISNUMBER(B208)),"Needs a date",IF(D208="","Needs a client",IF(COUNTIF(Clients!$B$6:$B$105,D208)=0,"Not on Clients",IF(AND(F208="",INT(B208)&lt;TODAY()),"Needs a status","")))))</f>
        <v/>
      </c>
      <c r="I208" s="1">
        <f>IF(ISNUMBER(B208),INT(B208),0)</f>
        <v/>
      </c>
      <c r="J208">
        <f>IF(ISNUMBER(B208),YEAR(B208)*100+MONTH(B208),"")</f>
        <v/>
      </c>
      <c r="K208">
        <f>IF(AND(H208="",OR(F208="Attended",F208="No-show",AND(F208="Late cancel",Settings!$C$9="Yes"))),1,0)</f>
        <v/>
      </c>
      <c r="L208">
        <f>IF(AND(H208="",F208="Attended"),1,0)</f>
        <v/>
      </c>
      <c r="M208">
        <f>IF(AND(H208="",OR(F208="No-show",F208="Late cancel")),1,0)</f>
        <v/>
      </c>
      <c r="N208">
        <f>IF(AND(H208="",F208="",D208&lt;&gt;"",I208&gt;=TODAY()),ROUND((I208+IF(ISNUMBER(C208),MOD(C208,1),0))*1440,0)*10000+ROW(),"")</f>
        <v/>
      </c>
    </row>
    <row r="209">
      <c r="A209" s="1" t="n"/>
      <c r="B209" s="17" t="n">
        <v>46225</v>
      </c>
      <c r="C209" s="18" t="n">
        <v>0.7708333333333334</v>
      </c>
      <c r="D209" s="19" t="inlineStr">
        <is>
          <t>Leah Fischer</t>
        </is>
      </c>
      <c r="E209" s="20" t="inlineStr">
        <is>
          <t>Duo</t>
        </is>
      </c>
      <c r="F209" s="20" t="inlineStr">
        <is>
          <t>Attended</t>
        </is>
      </c>
      <c r="G209" s="21" t="n"/>
      <c r="H209" s="12">
        <f>IF(AND(B209="",D209="",F209=""),"",IF(NOT(ISNUMBER(B209)),"Needs a date",IF(D209="","Needs a client",IF(COUNTIF(Clients!$B$6:$B$105,D209)=0,"Not on Clients",IF(AND(F209="",INT(B209)&lt;TODAY()),"Needs a status","")))))</f>
        <v/>
      </c>
      <c r="I209" s="1">
        <f>IF(ISNUMBER(B209),INT(B209),0)</f>
        <v/>
      </c>
      <c r="J209">
        <f>IF(ISNUMBER(B209),YEAR(B209)*100+MONTH(B209),"")</f>
        <v/>
      </c>
      <c r="K209">
        <f>IF(AND(H209="",OR(F209="Attended",F209="No-show",AND(F209="Late cancel",Settings!$C$9="Yes"))),1,0)</f>
        <v/>
      </c>
      <c r="L209">
        <f>IF(AND(H209="",F209="Attended"),1,0)</f>
        <v/>
      </c>
      <c r="M209">
        <f>IF(AND(H209="",OR(F209="No-show",F209="Late cancel")),1,0)</f>
        <v/>
      </c>
      <c r="N209">
        <f>IF(AND(H209="",F209="",D209&lt;&gt;"",I209&gt;=TODAY()),ROUND((I209+IF(ISNUMBER(C209),MOD(C209,1),0))*1440,0)*10000+ROW(),"")</f>
        <v/>
      </c>
    </row>
    <row r="210">
      <c r="A210" s="1" t="n"/>
      <c r="B210" s="17" t="n">
        <v>46226</v>
      </c>
      <c r="C210" s="18" t="n">
        <v>0.3333333333333333</v>
      </c>
      <c r="D210" s="19" t="inlineStr">
        <is>
          <t>Ben Carter</t>
        </is>
      </c>
      <c r="E210" s="20" t="inlineStr">
        <is>
          <t>1 to 1</t>
        </is>
      </c>
      <c r="F210" s="20" t="inlineStr">
        <is>
          <t>Attended</t>
        </is>
      </c>
      <c r="G210" s="21" t="n"/>
      <c r="H210" s="12">
        <f>IF(AND(B210="",D210="",F210=""),"",IF(NOT(ISNUMBER(B210)),"Needs a date",IF(D210="","Needs a client",IF(COUNTIF(Clients!$B$6:$B$105,D210)=0,"Not on Clients",IF(AND(F210="",INT(B210)&lt;TODAY()),"Needs a status","")))))</f>
        <v/>
      </c>
      <c r="I210" s="1">
        <f>IF(ISNUMBER(B210),INT(B210),0)</f>
        <v/>
      </c>
      <c r="J210">
        <f>IF(ISNUMBER(B210),YEAR(B210)*100+MONTH(B210),"")</f>
        <v/>
      </c>
      <c r="K210">
        <f>IF(AND(H210="",OR(F210="Attended",F210="No-show",AND(F210="Late cancel",Settings!$C$9="Yes"))),1,0)</f>
        <v/>
      </c>
      <c r="L210">
        <f>IF(AND(H210="",F210="Attended"),1,0)</f>
        <v/>
      </c>
      <c r="M210">
        <f>IF(AND(H210="",OR(F210="No-show",F210="Late cancel")),1,0)</f>
        <v/>
      </c>
      <c r="N210">
        <f>IF(AND(H210="",F210="",D210&lt;&gt;"",I210&gt;=TODAY()),ROUND((I210+IF(ISNUMBER(C210),MOD(C210,1),0))*1440,0)*10000+ROW(),"")</f>
        <v/>
      </c>
    </row>
    <row r="211">
      <c r="A211" s="1" t="n"/>
      <c r="B211" s="17" t="n">
        <v>46227</v>
      </c>
      <c r="C211" s="18" t="n">
        <v>0.3333333333333333</v>
      </c>
      <c r="D211" s="19" t="inlineStr">
        <is>
          <t>Grace Kim</t>
        </is>
      </c>
      <c r="E211" s="20" t="inlineStr">
        <is>
          <t>1 to 1</t>
        </is>
      </c>
      <c r="F211" s="20" t="inlineStr">
        <is>
          <t>Attended</t>
        </is>
      </c>
      <c r="G211" s="21" t="n"/>
      <c r="H211" s="12">
        <f>IF(AND(B211="",D211="",F211=""),"",IF(NOT(ISNUMBER(B211)),"Needs a date",IF(D211="","Needs a client",IF(COUNTIF(Clients!$B$6:$B$105,D211)=0,"Not on Clients",IF(AND(F211="",INT(B211)&lt;TODAY()),"Needs a status","")))))</f>
        <v/>
      </c>
      <c r="I211" s="1">
        <f>IF(ISNUMBER(B211),INT(B211),0)</f>
        <v/>
      </c>
      <c r="J211">
        <f>IF(ISNUMBER(B211),YEAR(B211)*100+MONTH(B211),"")</f>
        <v/>
      </c>
      <c r="K211">
        <f>IF(AND(H211="",OR(F211="Attended",F211="No-show",AND(F211="Late cancel",Settings!$C$9="Yes"))),1,0)</f>
        <v/>
      </c>
      <c r="L211">
        <f>IF(AND(H211="",F211="Attended"),1,0)</f>
        <v/>
      </c>
      <c r="M211">
        <f>IF(AND(H211="",OR(F211="No-show",F211="Late cancel")),1,0)</f>
        <v/>
      </c>
      <c r="N211">
        <f>IF(AND(H211="",F211="",D211&lt;&gt;"",I211&gt;=TODAY()),ROUND((I211+IF(ISNUMBER(C211),MOD(C211,1),0))*1440,0)*10000+ROW(),"")</f>
        <v/>
      </c>
    </row>
    <row r="212">
      <c r="A212" s="1" t="n"/>
      <c r="B212" s="17" t="n">
        <v>46227</v>
      </c>
      <c r="C212" s="18" t="n">
        <v>0.7291666666666666</v>
      </c>
      <c r="D212" s="19" t="inlineStr">
        <is>
          <t>Tom Walsh</t>
        </is>
      </c>
      <c r="E212" s="20" t="inlineStr">
        <is>
          <t>1 to 1</t>
        </is>
      </c>
      <c r="F212" s="20" t="inlineStr">
        <is>
          <t>Attended</t>
        </is>
      </c>
      <c r="G212" s="21" t="n"/>
      <c r="H212" s="12">
        <f>IF(AND(B212="",D212="",F212=""),"",IF(NOT(ISNUMBER(B212)),"Needs a date",IF(D212="","Needs a client",IF(COUNTIF(Clients!$B$6:$B$105,D212)=0,"Not on Clients",IF(AND(F212="",INT(B212)&lt;TODAY()),"Needs a status","")))))</f>
        <v/>
      </c>
      <c r="I212" s="1">
        <f>IF(ISNUMBER(B212),INT(B212),0)</f>
        <v/>
      </c>
      <c r="J212">
        <f>IF(ISNUMBER(B212),YEAR(B212)*100+MONTH(B212),"")</f>
        <v/>
      </c>
      <c r="K212">
        <f>IF(AND(H212="",OR(F212="Attended",F212="No-show",AND(F212="Late cancel",Settings!$C$9="Yes"))),1,0)</f>
        <v/>
      </c>
      <c r="L212">
        <f>IF(AND(H212="",F212="Attended"),1,0)</f>
        <v/>
      </c>
      <c r="M212">
        <f>IF(AND(H212="",OR(F212="No-show",F212="Late cancel")),1,0)</f>
        <v/>
      </c>
      <c r="N212">
        <f>IF(AND(H212="",F212="",D212&lt;&gt;"",I212&gt;=TODAY()),ROUND((I212+IF(ISNUMBER(C212),MOD(C212,1),0))*1440,0)*10000+ROW(),"")</f>
        <v/>
      </c>
    </row>
    <row r="213">
      <c r="A213" s="1" t="n"/>
      <c r="B213" s="17" t="n">
        <v>46228</v>
      </c>
      <c r="C213" s="18" t="n">
        <v>0.2916666666666667</v>
      </c>
      <c r="D213" s="19" t="inlineStr">
        <is>
          <t>Maya Ortiz</t>
        </is>
      </c>
      <c r="E213" s="20" t="inlineStr">
        <is>
          <t>Duo</t>
        </is>
      </c>
      <c r="F213" s="20" t="inlineStr">
        <is>
          <t>Cancelled</t>
        </is>
      </c>
      <c r="G213" s="21" t="n"/>
      <c r="H213" s="12">
        <f>IF(AND(B213="",D213="",F213=""),"",IF(NOT(ISNUMBER(B213)),"Needs a date",IF(D213="","Needs a client",IF(COUNTIF(Clients!$B$6:$B$105,D213)=0,"Not on Clients",IF(AND(F213="",INT(B213)&lt;TODAY()),"Needs a status","")))))</f>
        <v/>
      </c>
      <c r="I213" s="1">
        <f>IF(ISNUMBER(B213),INT(B213),0)</f>
        <v/>
      </c>
      <c r="J213">
        <f>IF(ISNUMBER(B213),YEAR(B213)*100+MONTH(B213),"")</f>
        <v/>
      </c>
      <c r="K213">
        <f>IF(AND(H213="",OR(F213="Attended",F213="No-show",AND(F213="Late cancel",Settings!$C$9="Yes"))),1,0)</f>
        <v/>
      </c>
      <c r="L213">
        <f>IF(AND(H213="",F213="Attended"),1,0)</f>
        <v/>
      </c>
      <c r="M213">
        <f>IF(AND(H213="",OR(F213="No-show",F213="Late cancel")),1,0)</f>
        <v/>
      </c>
      <c r="N213">
        <f>IF(AND(H213="",F213="",D213&lt;&gt;"",I213&gt;=TODAY()),ROUND((I213+IF(ISNUMBER(C213),MOD(C213,1),0))*1440,0)*10000+ROW(),"")</f>
        <v/>
      </c>
    </row>
    <row r="214">
      <c r="A214" s="1" t="n"/>
      <c r="B214" s="17" t="n">
        <v>46228</v>
      </c>
      <c r="C214" s="18" t="n">
        <v>0.2916666666666667</v>
      </c>
      <c r="D214" s="19" t="inlineStr">
        <is>
          <t>Omar Haddad</t>
        </is>
      </c>
      <c r="E214" s="20" t="inlineStr">
        <is>
          <t>1 to 1</t>
        </is>
      </c>
      <c r="F214" s="20" t="inlineStr">
        <is>
          <t>Attended</t>
        </is>
      </c>
      <c r="G214" s="21" t="n"/>
      <c r="H214" s="12">
        <f>IF(AND(B214="",D214="",F214=""),"",IF(NOT(ISNUMBER(B214)),"Needs a date",IF(D214="","Needs a client",IF(COUNTIF(Clients!$B$6:$B$105,D214)=0,"Not on Clients",IF(AND(F214="",INT(B214)&lt;TODAY()),"Needs a status","")))))</f>
        <v/>
      </c>
      <c r="I214" s="1">
        <f>IF(ISNUMBER(B214),INT(B214),0)</f>
        <v/>
      </c>
      <c r="J214">
        <f>IF(ISNUMBER(B214),YEAR(B214)*100+MONTH(B214),"")</f>
        <v/>
      </c>
      <c r="K214">
        <f>IF(AND(H214="",OR(F214="Attended",F214="No-show",AND(F214="Late cancel",Settings!$C$9="Yes"))),1,0)</f>
        <v/>
      </c>
      <c r="L214">
        <f>IF(AND(H214="",F214="Attended"),1,0)</f>
        <v/>
      </c>
      <c r="M214">
        <f>IF(AND(H214="",OR(F214="No-show",F214="Late cancel")),1,0)</f>
        <v/>
      </c>
      <c r="N214">
        <f>IF(AND(H214="",F214="",D214&lt;&gt;"",I214&gt;=TODAY()),ROUND((I214+IF(ISNUMBER(C214),MOD(C214,1),0))*1440,0)*10000+ROW(),"")</f>
        <v/>
      </c>
    </row>
    <row r="215">
      <c r="A215" s="1" t="n"/>
      <c r="B215" s="17" t="n">
        <v>46228</v>
      </c>
      <c r="C215" s="18" t="n">
        <v>0.5208333333333334</v>
      </c>
      <c r="D215" s="19" t="inlineStr">
        <is>
          <t>Priya Nair</t>
        </is>
      </c>
      <c r="E215" s="20" t="inlineStr">
        <is>
          <t>1 to 1</t>
        </is>
      </c>
      <c r="F215" s="20" t="inlineStr">
        <is>
          <t>Cancelled</t>
        </is>
      </c>
      <c r="G215" s="21" t="n"/>
      <c r="H215" s="12">
        <f>IF(AND(B215="",D215="",F215=""),"",IF(NOT(ISNUMBER(B215)),"Needs a date",IF(D215="","Needs a client",IF(COUNTIF(Clients!$B$6:$B$105,D215)=0,"Not on Clients",IF(AND(F215="",INT(B215)&lt;TODAY()),"Needs a status","")))))</f>
        <v/>
      </c>
      <c r="I215" s="1">
        <f>IF(ISNUMBER(B215),INT(B215),0)</f>
        <v/>
      </c>
      <c r="J215">
        <f>IF(ISNUMBER(B215),YEAR(B215)*100+MONTH(B215),"")</f>
        <v/>
      </c>
      <c r="K215">
        <f>IF(AND(H215="",OR(F215="Attended",F215="No-show",AND(F215="Late cancel",Settings!$C$9="Yes"))),1,0)</f>
        <v/>
      </c>
      <c r="L215">
        <f>IF(AND(H215="",F215="Attended"),1,0)</f>
        <v/>
      </c>
      <c r="M215">
        <f>IF(AND(H215="",OR(F215="No-show",F215="Late cancel")),1,0)</f>
        <v/>
      </c>
      <c r="N215">
        <f>IF(AND(H215="",F215="",D215&lt;&gt;"",I215&gt;=TODAY()),ROUND((I215+IF(ISNUMBER(C215),MOD(C215,1),0))*1440,0)*10000+ROW(),"")</f>
        <v/>
      </c>
    </row>
    <row r="216">
      <c r="A216" s="1" t="n"/>
      <c r="B216" s="17" t="n">
        <v>46229</v>
      </c>
      <c r="C216" s="18" t="n">
        <v>0.3333333333333333</v>
      </c>
      <c r="D216" s="19" t="inlineStr">
        <is>
          <t>Ben Carter</t>
        </is>
      </c>
      <c r="E216" s="20" t="inlineStr">
        <is>
          <t>1 to 1</t>
        </is>
      </c>
      <c r="F216" s="20" t="inlineStr">
        <is>
          <t>Attended</t>
        </is>
      </c>
      <c r="G216" s="21" t="n"/>
      <c r="H216" s="12">
        <f>IF(AND(B216="",D216="",F216=""),"",IF(NOT(ISNUMBER(B216)),"Needs a date",IF(D216="","Needs a client",IF(COUNTIF(Clients!$B$6:$B$105,D216)=0,"Not on Clients",IF(AND(F216="",INT(B216)&lt;TODAY()),"Needs a status","")))))</f>
        <v/>
      </c>
      <c r="I216" s="1">
        <f>IF(ISNUMBER(B216),INT(B216),0)</f>
        <v/>
      </c>
      <c r="J216">
        <f>IF(ISNUMBER(B216),YEAR(B216)*100+MONTH(B216),"")</f>
        <v/>
      </c>
      <c r="K216">
        <f>IF(AND(H216="",OR(F216="Attended",F216="No-show",AND(F216="Late cancel",Settings!$C$9="Yes"))),1,0)</f>
        <v/>
      </c>
      <c r="L216">
        <f>IF(AND(H216="",F216="Attended"),1,0)</f>
        <v/>
      </c>
      <c r="M216">
        <f>IF(AND(H216="",OR(F216="No-show",F216="Late cancel")),1,0)</f>
        <v/>
      </c>
      <c r="N216">
        <f>IF(AND(H216="",F216="",D216&lt;&gt;"",I216&gt;=TODAY()),ROUND((I216+IF(ISNUMBER(C216),MOD(C216,1),0))*1440,0)*10000+ROW(),"")</f>
        <v/>
      </c>
    </row>
    <row r="217">
      <c r="A217" s="1" t="n"/>
      <c r="B217" s="17" t="n">
        <v>46229</v>
      </c>
      <c r="C217" s="18" t="n">
        <v>0.7708333333333334</v>
      </c>
      <c r="D217" s="19" t="inlineStr">
        <is>
          <t>Leah Fischer</t>
        </is>
      </c>
      <c r="E217" s="20" t="inlineStr">
        <is>
          <t>Duo</t>
        </is>
      </c>
      <c r="F217" s="20" t="inlineStr">
        <is>
          <t>Attended</t>
        </is>
      </c>
      <c r="G217" s="21" t="n"/>
      <c r="H217" s="12">
        <f>IF(AND(B217="",D217="",F217=""),"",IF(NOT(ISNUMBER(B217)),"Needs a date",IF(D217="","Needs a client",IF(COUNTIF(Clients!$B$6:$B$105,D217)=0,"Not on Clients",IF(AND(F217="",INT(B217)&lt;TODAY()),"Needs a status","")))))</f>
        <v/>
      </c>
      <c r="I217" s="1">
        <f>IF(ISNUMBER(B217),INT(B217),0)</f>
        <v/>
      </c>
      <c r="J217">
        <f>IF(ISNUMBER(B217),YEAR(B217)*100+MONTH(B217),"")</f>
        <v/>
      </c>
      <c r="K217">
        <f>IF(AND(H217="",OR(F217="Attended",F217="No-show",AND(F217="Late cancel",Settings!$C$9="Yes"))),1,0)</f>
        <v/>
      </c>
      <c r="L217">
        <f>IF(AND(H217="",F217="Attended"),1,0)</f>
        <v/>
      </c>
      <c r="M217">
        <f>IF(AND(H217="",OR(F217="No-show",F217="Late cancel")),1,0)</f>
        <v/>
      </c>
      <c r="N217">
        <f>IF(AND(H217="",F217="",D217&lt;&gt;"",I217&gt;=TODAY()),ROUND((I217+IF(ISNUMBER(C217),MOD(C217,1),0))*1440,0)*10000+ROW(),"")</f>
        <v/>
      </c>
    </row>
    <row r="218">
      <c r="A218" s="1" t="n"/>
      <c r="B218" s="17" t="n">
        <v>46231</v>
      </c>
      <c r="C218" s="18" t="n">
        <v>0.2916666666666667</v>
      </c>
      <c r="D218" s="19" t="inlineStr">
        <is>
          <t>Omar Haddad</t>
        </is>
      </c>
      <c r="E218" s="20" t="inlineStr">
        <is>
          <t>1 to 1</t>
        </is>
      </c>
      <c r="F218" s="20" t="inlineStr">
        <is>
          <t>Attended</t>
        </is>
      </c>
      <c r="G218" s="21" t="n"/>
      <c r="H218" s="12">
        <f>IF(AND(B218="",D218="",F218=""),"",IF(NOT(ISNUMBER(B218)),"Needs a date",IF(D218="","Needs a client",IF(COUNTIF(Clients!$B$6:$B$105,D218)=0,"Not on Clients",IF(AND(F218="",INT(B218)&lt;TODAY()),"Needs a status","")))))</f>
        <v/>
      </c>
      <c r="I218" s="1">
        <f>IF(ISNUMBER(B218),INT(B218),0)</f>
        <v/>
      </c>
      <c r="J218">
        <f>IF(ISNUMBER(B218),YEAR(B218)*100+MONTH(B218),"")</f>
        <v/>
      </c>
      <c r="K218">
        <f>IF(AND(H218="",OR(F218="Attended",F218="No-show",AND(F218="Late cancel",Settings!$C$9="Yes"))),1,0)</f>
        <v/>
      </c>
      <c r="L218">
        <f>IF(AND(H218="",F218="Attended"),1,0)</f>
        <v/>
      </c>
      <c r="M218">
        <f>IF(AND(H218="",OR(F218="No-show",F218="Late cancel")),1,0)</f>
        <v/>
      </c>
      <c r="N218">
        <f>IF(AND(H218="",F218="",D218&lt;&gt;"",I218&gt;=TODAY()),ROUND((I218+IF(ISNUMBER(C218),MOD(C218,1),0))*1440,0)*10000+ROW(),"")</f>
        <v/>
      </c>
    </row>
    <row r="219">
      <c r="A219" s="1" t="n"/>
      <c r="B219" s="17" t="n">
        <v>46232</v>
      </c>
      <c r="C219" s="18" t="n">
        <v>0.5208333333333334</v>
      </c>
      <c r="D219" s="19" t="inlineStr">
        <is>
          <t>Priya Nair</t>
        </is>
      </c>
      <c r="E219" s="20" t="inlineStr">
        <is>
          <t>1 to 1</t>
        </is>
      </c>
      <c r="F219" s="20" t="inlineStr">
        <is>
          <t>Attended</t>
        </is>
      </c>
      <c r="G219" s="21" t="n"/>
      <c r="H219" s="12">
        <f>IF(AND(B219="",D219="",F219=""),"",IF(NOT(ISNUMBER(B219)),"Needs a date",IF(D219="","Needs a client",IF(COUNTIF(Clients!$B$6:$B$105,D219)=0,"Not on Clients",IF(AND(F219="",INT(B219)&lt;TODAY()),"Needs a status","")))))</f>
        <v/>
      </c>
      <c r="I219" s="1">
        <f>IF(ISNUMBER(B219),INT(B219),0)</f>
        <v/>
      </c>
      <c r="J219">
        <f>IF(ISNUMBER(B219),YEAR(B219)*100+MONTH(B219),"")</f>
        <v/>
      </c>
      <c r="K219">
        <f>IF(AND(H219="",OR(F219="Attended",F219="No-show",AND(F219="Late cancel",Settings!$C$9="Yes"))),1,0)</f>
        <v/>
      </c>
      <c r="L219">
        <f>IF(AND(H219="",F219="Attended"),1,0)</f>
        <v/>
      </c>
      <c r="M219">
        <f>IF(AND(H219="",OR(F219="No-show",F219="Late cancel")),1,0)</f>
        <v/>
      </c>
      <c r="N219">
        <f>IF(AND(H219="",F219="",D219&lt;&gt;"",I219&gt;=TODAY()),ROUND((I219+IF(ISNUMBER(C219),MOD(C219,1),0))*1440,0)*10000+ROW(),"")</f>
        <v/>
      </c>
    </row>
    <row r="220">
      <c r="A220" s="1" t="n"/>
      <c r="B220" s="17" t="n">
        <v>46232</v>
      </c>
      <c r="C220" s="18" t="n">
        <v>0.7708333333333334</v>
      </c>
      <c r="D220" s="19" t="inlineStr">
        <is>
          <t>Leah Fischer</t>
        </is>
      </c>
      <c r="E220" s="20" t="inlineStr">
        <is>
          <t>Duo</t>
        </is>
      </c>
      <c r="F220" s="20" t="inlineStr">
        <is>
          <t>Attended</t>
        </is>
      </c>
      <c r="G220" s="21" t="n"/>
      <c r="H220" s="12">
        <f>IF(AND(B220="",D220="",F220=""),"",IF(NOT(ISNUMBER(B220)),"Needs a date",IF(D220="","Needs a client",IF(COUNTIF(Clients!$B$6:$B$105,D220)=0,"Not on Clients",IF(AND(F220="",INT(B220)&lt;TODAY()),"Needs a status","")))))</f>
        <v/>
      </c>
      <c r="I220" s="1">
        <f>IF(ISNUMBER(B220),INT(B220),0)</f>
        <v/>
      </c>
      <c r="J220">
        <f>IF(ISNUMBER(B220),YEAR(B220)*100+MONTH(B220),"")</f>
        <v/>
      </c>
      <c r="K220">
        <f>IF(AND(H220="",OR(F220="Attended",F220="No-show",AND(F220="Late cancel",Settings!$C$9="Yes"))),1,0)</f>
        <v/>
      </c>
      <c r="L220">
        <f>IF(AND(H220="",F220="Attended"),1,0)</f>
        <v/>
      </c>
      <c r="M220">
        <f>IF(AND(H220="",OR(F220="No-show",F220="Late cancel")),1,0)</f>
        <v/>
      </c>
      <c r="N220">
        <f>IF(AND(H220="",F220="",D220&lt;&gt;"",I220&gt;=TODAY()),ROUND((I220+IF(ISNUMBER(C220),MOD(C220,1),0))*1440,0)*10000+ROW(),"")</f>
        <v/>
      </c>
    </row>
    <row r="221">
      <c r="A221" s="1" t="n"/>
      <c r="B221" s="17" t="n">
        <v>46233</v>
      </c>
      <c r="C221" s="18" t="n">
        <v>0.3333333333333333</v>
      </c>
      <c r="D221" s="19" t="inlineStr">
        <is>
          <t>Ben Carter</t>
        </is>
      </c>
      <c r="E221" s="20" t="inlineStr">
        <is>
          <t>1 to 1</t>
        </is>
      </c>
      <c r="F221" s="20" t="inlineStr">
        <is>
          <t>Attended</t>
        </is>
      </c>
      <c r="G221" s="21" t="n"/>
      <c r="H221" s="12">
        <f>IF(AND(B221="",D221="",F221=""),"",IF(NOT(ISNUMBER(B221)),"Needs a date",IF(D221="","Needs a client",IF(COUNTIF(Clients!$B$6:$B$105,D221)=0,"Not on Clients",IF(AND(F221="",INT(B221)&lt;TODAY()),"Needs a status","")))))</f>
        <v/>
      </c>
      <c r="I221" s="1">
        <f>IF(ISNUMBER(B221),INT(B221),0)</f>
        <v/>
      </c>
      <c r="J221">
        <f>IF(ISNUMBER(B221),YEAR(B221)*100+MONTH(B221),"")</f>
        <v/>
      </c>
      <c r="K221">
        <f>IF(AND(H221="",OR(F221="Attended",F221="No-show",AND(F221="Late cancel",Settings!$C$9="Yes"))),1,0)</f>
        <v/>
      </c>
      <c r="L221">
        <f>IF(AND(H221="",F221="Attended"),1,0)</f>
        <v/>
      </c>
      <c r="M221">
        <f>IF(AND(H221="",OR(F221="No-show",F221="Late cancel")),1,0)</f>
        <v/>
      </c>
      <c r="N221">
        <f>IF(AND(H221="",F221="",D221&lt;&gt;"",I221&gt;=TODAY()),ROUND((I221+IF(ISNUMBER(C221),MOD(C221,1),0))*1440,0)*10000+ROW(),"")</f>
        <v/>
      </c>
    </row>
    <row r="222">
      <c r="A222" s="1" t="n"/>
      <c r="B222" s="17" t="n">
        <v>46233</v>
      </c>
      <c r="C222" s="18" t="n">
        <v>0.5208333333333334</v>
      </c>
      <c r="D222" s="19" t="inlineStr">
        <is>
          <t>Luis Moreno</t>
        </is>
      </c>
      <c r="E222" s="20" t="inlineStr">
        <is>
          <t>1 to 1</t>
        </is>
      </c>
      <c r="F222" s="20" t="inlineStr">
        <is>
          <t>Attended</t>
        </is>
      </c>
      <c r="G222" s="21" t="n"/>
      <c r="H222" s="12">
        <f>IF(AND(B222="",D222="",F222=""),"",IF(NOT(ISNUMBER(B222)),"Needs a date",IF(D222="","Needs a client",IF(COUNTIF(Clients!$B$6:$B$105,D222)=0,"Not on Clients",IF(AND(F222="",INT(B222)&lt;TODAY()),"Needs a status","")))))</f>
        <v/>
      </c>
      <c r="I222" s="1">
        <f>IF(ISNUMBER(B222),INT(B222),0)</f>
        <v/>
      </c>
      <c r="J222">
        <f>IF(ISNUMBER(B222),YEAR(B222)*100+MONTH(B222),"")</f>
        <v/>
      </c>
      <c r="K222">
        <f>IF(AND(H222="",OR(F222="Attended",F222="No-show",AND(F222="Late cancel",Settings!$C$9="Yes"))),1,0)</f>
        <v/>
      </c>
      <c r="L222">
        <f>IF(AND(H222="",F222="Attended"),1,0)</f>
        <v/>
      </c>
      <c r="M222">
        <f>IF(AND(H222="",OR(F222="No-show",F222="Late cancel")),1,0)</f>
        <v/>
      </c>
      <c r="N222">
        <f>IF(AND(H222="",F222="",D222&lt;&gt;"",I222&gt;=TODAY()),ROUND((I222+IF(ISNUMBER(C222),MOD(C222,1),0))*1440,0)*10000+ROW(),"")</f>
        <v/>
      </c>
    </row>
    <row r="223">
      <c r="A223" s="1" t="n"/>
      <c r="B223" s="17" t="n">
        <v>46234</v>
      </c>
      <c r="C223" s="18" t="n">
        <v>0.7291666666666666</v>
      </c>
      <c r="D223" s="19" t="inlineStr">
        <is>
          <t>Tom Walsh</t>
        </is>
      </c>
      <c r="E223" s="20" t="inlineStr">
        <is>
          <t>1 to 1</t>
        </is>
      </c>
      <c r="F223" s="20" t="inlineStr">
        <is>
          <t>Attended</t>
        </is>
      </c>
      <c r="G223" s="21" t="n"/>
      <c r="H223" s="12">
        <f>IF(AND(B223="",D223="",F223=""),"",IF(NOT(ISNUMBER(B223)),"Needs a date",IF(D223="","Needs a client",IF(COUNTIF(Clients!$B$6:$B$105,D223)=0,"Not on Clients",IF(AND(F223="",INT(B223)&lt;TODAY()),"Needs a status","")))))</f>
        <v/>
      </c>
      <c r="I223" s="1">
        <f>IF(ISNUMBER(B223),INT(B223),0)</f>
        <v/>
      </c>
      <c r="J223">
        <f>IF(ISNUMBER(B223),YEAR(B223)*100+MONTH(B223),"")</f>
        <v/>
      </c>
      <c r="K223">
        <f>IF(AND(H223="",OR(F223="Attended",F223="No-show",AND(F223="Late cancel",Settings!$C$9="Yes"))),1,0)</f>
        <v/>
      </c>
      <c r="L223">
        <f>IF(AND(H223="",F223="Attended"),1,0)</f>
        <v/>
      </c>
      <c r="M223">
        <f>IF(AND(H223="",OR(F223="No-show",F223="Late cancel")),1,0)</f>
        <v/>
      </c>
      <c r="N223">
        <f>IF(AND(H223="",F223="",D223&lt;&gt;"",I223&gt;=TODAY()),ROUND((I223+IF(ISNUMBER(C223),MOD(C223,1),0))*1440,0)*10000+ROW(),"")</f>
        <v/>
      </c>
    </row>
    <row r="224">
      <c r="A224" s="1" t="n"/>
      <c r="B224" s="17" t="n">
        <v>46235</v>
      </c>
      <c r="C224" s="18" t="n">
        <v>0.2916666666666667</v>
      </c>
      <c r="D224" s="19" t="inlineStr">
        <is>
          <t>Maya Ortiz</t>
        </is>
      </c>
      <c r="E224" s="20" t="inlineStr">
        <is>
          <t>Duo</t>
        </is>
      </c>
      <c r="F224" s="20" t="inlineStr">
        <is>
          <t>Attended</t>
        </is>
      </c>
      <c r="G224" s="21" t="n"/>
      <c r="H224" s="12">
        <f>IF(AND(B224="",D224="",F224=""),"",IF(NOT(ISNUMBER(B224)),"Needs a date",IF(D224="","Needs a client",IF(COUNTIF(Clients!$B$6:$B$105,D224)=0,"Not on Clients",IF(AND(F224="",INT(B224)&lt;TODAY()),"Needs a status","")))))</f>
        <v/>
      </c>
      <c r="I224" s="1">
        <f>IF(ISNUMBER(B224),INT(B224),0)</f>
        <v/>
      </c>
      <c r="J224">
        <f>IF(ISNUMBER(B224),YEAR(B224)*100+MONTH(B224),"")</f>
        <v/>
      </c>
      <c r="K224">
        <f>IF(AND(H224="",OR(F224="Attended",F224="No-show",AND(F224="Late cancel",Settings!$C$9="Yes"))),1,0)</f>
        <v/>
      </c>
      <c r="L224">
        <f>IF(AND(H224="",F224="Attended"),1,0)</f>
        <v/>
      </c>
      <c r="M224">
        <f>IF(AND(H224="",OR(F224="No-show",F224="Late cancel")),1,0)</f>
        <v/>
      </c>
      <c r="N224">
        <f>IF(AND(H224="",F224="",D224&lt;&gt;"",I224&gt;=TODAY()),ROUND((I224+IF(ISNUMBER(C224),MOD(C224,1),0))*1440,0)*10000+ROW(),"")</f>
        <v/>
      </c>
    </row>
    <row r="225">
      <c r="A225" s="1" t="n"/>
      <c r="B225" s="17" t="n">
        <v>46235</v>
      </c>
      <c r="C225" s="18" t="n">
        <v>0.2916666666666667</v>
      </c>
      <c r="D225" s="19" t="inlineStr">
        <is>
          <t>Omar Haddad</t>
        </is>
      </c>
      <c r="E225" s="20" t="inlineStr">
        <is>
          <t>1 to 1</t>
        </is>
      </c>
      <c r="F225" s="20" t="inlineStr">
        <is>
          <t>Attended</t>
        </is>
      </c>
      <c r="G225" s="21" t="n"/>
      <c r="H225" s="12">
        <f>IF(AND(B225="",D225="",F225=""),"",IF(NOT(ISNUMBER(B225)),"Needs a date",IF(D225="","Needs a client",IF(COUNTIF(Clients!$B$6:$B$105,D225)=0,"Not on Clients",IF(AND(F225="",INT(B225)&lt;TODAY()),"Needs a status","")))))</f>
        <v/>
      </c>
      <c r="I225" s="1">
        <f>IF(ISNUMBER(B225),INT(B225),0)</f>
        <v/>
      </c>
      <c r="J225">
        <f>IF(ISNUMBER(B225),YEAR(B225)*100+MONTH(B225),"")</f>
        <v/>
      </c>
      <c r="K225">
        <f>IF(AND(H225="",OR(F225="Attended",F225="No-show",AND(F225="Late cancel",Settings!$C$9="Yes"))),1,0)</f>
        <v/>
      </c>
      <c r="L225">
        <f>IF(AND(H225="",F225="Attended"),1,0)</f>
        <v/>
      </c>
      <c r="M225">
        <f>IF(AND(H225="",OR(F225="No-show",F225="Late cancel")),1,0)</f>
        <v/>
      </c>
      <c r="N225">
        <f>IF(AND(H225="",F225="",D225&lt;&gt;"",I225&gt;=TODAY()),ROUND((I225+IF(ISNUMBER(C225),MOD(C225,1),0))*1440,0)*10000+ROW(),"")</f>
        <v/>
      </c>
    </row>
    <row r="226">
      <c r="A226" s="1" t="n"/>
      <c r="B226" s="17" t="n">
        <v>46235</v>
      </c>
      <c r="C226" s="18" t="n">
        <v>0.5208333333333334</v>
      </c>
      <c r="D226" s="19" t="inlineStr">
        <is>
          <t>Priya Nair</t>
        </is>
      </c>
      <c r="E226" s="20" t="inlineStr">
        <is>
          <t>1 to 1</t>
        </is>
      </c>
      <c r="F226" s="20" t="inlineStr">
        <is>
          <t>Attended</t>
        </is>
      </c>
      <c r="G226" s="21" t="n"/>
      <c r="H226" s="12">
        <f>IF(AND(B226="",D226="",F226=""),"",IF(NOT(ISNUMBER(B226)),"Needs a date",IF(D226="","Needs a client",IF(COUNTIF(Clients!$B$6:$B$105,D226)=0,"Not on Clients",IF(AND(F226="",INT(B226)&lt;TODAY()),"Needs a status","")))))</f>
        <v/>
      </c>
      <c r="I226" s="1">
        <f>IF(ISNUMBER(B226),INT(B226),0)</f>
        <v/>
      </c>
      <c r="J226">
        <f>IF(ISNUMBER(B226),YEAR(B226)*100+MONTH(B226),"")</f>
        <v/>
      </c>
      <c r="K226">
        <f>IF(AND(H226="",OR(F226="Attended",F226="No-show",AND(F226="Late cancel",Settings!$C$9="Yes"))),1,0)</f>
        <v/>
      </c>
      <c r="L226">
        <f>IF(AND(H226="",F226="Attended"),1,0)</f>
        <v/>
      </c>
      <c r="M226">
        <f>IF(AND(H226="",OR(F226="No-show",F226="Late cancel")),1,0)</f>
        <v/>
      </c>
      <c r="N226">
        <f>IF(AND(H226="",F226="",D226&lt;&gt;"",I226&gt;=TODAY()),ROUND((I226+IF(ISNUMBER(C226),MOD(C226,1),0))*1440,0)*10000+ROW(),"")</f>
        <v/>
      </c>
    </row>
    <row r="227">
      <c r="A227" s="1" t="n"/>
      <c r="B227" s="17" t="n">
        <v>46236</v>
      </c>
      <c r="C227" s="18" t="n">
        <v>0.3333333333333333</v>
      </c>
      <c r="D227" s="19" t="inlineStr">
        <is>
          <t>Ben Carter</t>
        </is>
      </c>
      <c r="E227" s="20" t="inlineStr">
        <is>
          <t>1 to 1</t>
        </is>
      </c>
      <c r="F227" s="20" t="inlineStr">
        <is>
          <t>Late cancel</t>
        </is>
      </c>
      <c r="G227" s="21" t="n"/>
      <c r="H227" s="12">
        <f>IF(AND(B227="",D227="",F227=""),"",IF(NOT(ISNUMBER(B227)),"Needs a date",IF(D227="","Needs a client",IF(COUNTIF(Clients!$B$6:$B$105,D227)=0,"Not on Clients",IF(AND(F227="",INT(B227)&lt;TODAY()),"Needs a status","")))))</f>
        <v/>
      </c>
      <c r="I227" s="1">
        <f>IF(ISNUMBER(B227),INT(B227),0)</f>
        <v/>
      </c>
      <c r="J227">
        <f>IF(ISNUMBER(B227),YEAR(B227)*100+MONTH(B227),"")</f>
        <v/>
      </c>
      <c r="K227">
        <f>IF(AND(H227="",OR(F227="Attended",F227="No-show",AND(F227="Late cancel",Settings!$C$9="Yes"))),1,0)</f>
        <v/>
      </c>
      <c r="L227">
        <f>IF(AND(H227="",F227="Attended"),1,0)</f>
        <v/>
      </c>
      <c r="M227">
        <f>IF(AND(H227="",OR(F227="No-show",F227="Late cancel")),1,0)</f>
        <v/>
      </c>
      <c r="N227">
        <f>IF(AND(H227="",F227="",D227&lt;&gt;"",I227&gt;=TODAY()),ROUND((I227+IF(ISNUMBER(C227),MOD(C227,1),0))*1440,0)*10000+ROW(),"")</f>
        <v/>
      </c>
    </row>
    <row r="228">
      <c r="A228" s="1" t="n"/>
      <c r="B228" s="17" t="n">
        <v>46236</v>
      </c>
      <c r="C228" s="18" t="n">
        <v>0.5208333333333334</v>
      </c>
      <c r="D228" s="19" t="inlineStr">
        <is>
          <t>Luis Moreno</t>
        </is>
      </c>
      <c r="E228" s="20" t="inlineStr">
        <is>
          <t>1 to 1</t>
        </is>
      </c>
      <c r="F228" s="20" t="inlineStr">
        <is>
          <t>Attended</t>
        </is>
      </c>
      <c r="G228" s="21" t="n"/>
      <c r="H228" s="12">
        <f>IF(AND(B228="",D228="",F228=""),"",IF(NOT(ISNUMBER(B228)),"Needs a date",IF(D228="","Needs a client",IF(COUNTIF(Clients!$B$6:$B$105,D228)=0,"Not on Clients",IF(AND(F228="",INT(B228)&lt;TODAY()),"Needs a status","")))))</f>
        <v/>
      </c>
      <c r="I228" s="1">
        <f>IF(ISNUMBER(B228),INT(B228),0)</f>
        <v/>
      </c>
      <c r="J228">
        <f>IF(ISNUMBER(B228),YEAR(B228)*100+MONTH(B228),"")</f>
        <v/>
      </c>
      <c r="K228">
        <f>IF(AND(H228="",OR(F228="Attended",F228="No-show",AND(F228="Late cancel",Settings!$C$9="Yes"))),1,0)</f>
        <v/>
      </c>
      <c r="L228">
        <f>IF(AND(H228="",F228="Attended"),1,0)</f>
        <v/>
      </c>
      <c r="M228">
        <f>IF(AND(H228="",OR(F228="No-show",F228="Late cancel")),1,0)</f>
        <v/>
      </c>
      <c r="N228">
        <f>IF(AND(H228="",F228="",D228&lt;&gt;"",I228&gt;=TODAY()),ROUND((I228+IF(ISNUMBER(C228),MOD(C228,1),0))*1440,0)*10000+ROW(),"")</f>
        <v/>
      </c>
    </row>
    <row r="229">
      <c r="A229" s="1" t="n"/>
      <c r="B229" s="17" t="n">
        <v>46236</v>
      </c>
      <c r="C229" s="18" t="n">
        <v>0.7708333333333334</v>
      </c>
      <c r="D229" s="19" t="inlineStr">
        <is>
          <t>Leah Fischer</t>
        </is>
      </c>
      <c r="E229" s="20" t="inlineStr">
        <is>
          <t>Duo</t>
        </is>
      </c>
      <c r="F229" s="20" t="inlineStr">
        <is>
          <t>Attended</t>
        </is>
      </c>
      <c r="G229" s="21" t="n"/>
      <c r="H229" s="12">
        <f>IF(AND(B229="",D229="",F229=""),"",IF(NOT(ISNUMBER(B229)),"Needs a date",IF(D229="","Needs a client",IF(COUNTIF(Clients!$B$6:$B$105,D229)=0,"Not on Clients",IF(AND(F229="",INT(B229)&lt;TODAY()),"Needs a status","")))))</f>
        <v/>
      </c>
      <c r="I229" s="1">
        <f>IF(ISNUMBER(B229),INT(B229),0)</f>
        <v/>
      </c>
      <c r="J229">
        <f>IF(ISNUMBER(B229),YEAR(B229)*100+MONTH(B229),"")</f>
        <v/>
      </c>
      <c r="K229">
        <f>IF(AND(H229="",OR(F229="Attended",F229="No-show",AND(F229="Late cancel",Settings!$C$9="Yes"))),1,0)</f>
        <v/>
      </c>
      <c r="L229">
        <f>IF(AND(H229="",F229="Attended"),1,0)</f>
        <v/>
      </c>
      <c r="M229">
        <f>IF(AND(H229="",OR(F229="No-show",F229="Late cancel")),1,0)</f>
        <v/>
      </c>
      <c r="N229">
        <f>IF(AND(H229="",F229="",D229&lt;&gt;"",I229&gt;=TODAY()),ROUND((I229+IF(ISNUMBER(C229),MOD(C229,1),0))*1440,0)*10000+ROW(),"")</f>
        <v/>
      </c>
    </row>
    <row r="230">
      <c r="A230" s="1" t="n"/>
      <c r="B230" s="17" t="n">
        <v>46238</v>
      </c>
      <c r="C230" s="18" t="n">
        <v>0.2916666666666667</v>
      </c>
      <c r="D230" s="19" t="inlineStr">
        <is>
          <t>Omar Haddad</t>
        </is>
      </c>
      <c r="E230" s="20" t="inlineStr">
        <is>
          <t>1 to 1</t>
        </is>
      </c>
      <c r="F230" s="20" t="inlineStr">
        <is>
          <t>Attended</t>
        </is>
      </c>
      <c r="G230" s="21" t="n"/>
      <c r="H230" s="12">
        <f>IF(AND(B230="",D230="",F230=""),"",IF(NOT(ISNUMBER(B230)),"Needs a date",IF(D230="","Needs a client",IF(COUNTIF(Clients!$B$6:$B$105,D230)=0,"Not on Clients",IF(AND(F230="",INT(B230)&lt;TODAY()),"Needs a status","")))))</f>
        <v/>
      </c>
      <c r="I230" s="1">
        <f>IF(ISNUMBER(B230),INT(B230),0)</f>
        <v/>
      </c>
      <c r="J230">
        <f>IF(ISNUMBER(B230),YEAR(B230)*100+MONTH(B230),"")</f>
        <v/>
      </c>
      <c r="K230">
        <f>IF(AND(H230="",OR(F230="Attended",F230="No-show",AND(F230="Late cancel",Settings!$C$9="Yes"))),1,0)</f>
        <v/>
      </c>
      <c r="L230">
        <f>IF(AND(H230="",F230="Attended"),1,0)</f>
        <v/>
      </c>
      <c r="M230">
        <f>IF(AND(H230="",OR(F230="No-show",F230="Late cancel")),1,0)</f>
        <v/>
      </c>
      <c r="N230">
        <f>IF(AND(H230="",F230="",D230&lt;&gt;"",I230&gt;=TODAY()),ROUND((I230+IF(ISNUMBER(C230),MOD(C230,1),0))*1440,0)*10000+ROW(),"")</f>
        <v/>
      </c>
    </row>
    <row r="231">
      <c r="A231" s="1" t="n"/>
      <c r="B231" s="17" t="n">
        <v>46239</v>
      </c>
      <c r="C231" s="18" t="n">
        <v>0.5208333333333334</v>
      </c>
      <c r="D231" s="19" t="inlineStr">
        <is>
          <t>Priya Nair</t>
        </is>
      </c>
      <c r="E231" s="20" t="inlineStr">
        <is>
          <t>1 to 1</t>
        </is>
      </c>
      <c r="F231" s="20" t="inlineStr">
        <is>
          <t>Attended</t>
        </is>
      </c>
      <c r="G231" s="21" t="n"/>
      <c r="H231" s="12">
        <f>IF(AND(B231="",D231="",F231=""),"",IF(NOT(ISNUMBER(B231)),"Needs a date",IF(D231="","Needs a client",IF(COUNTIF(Clients!$B$6:$B$105,D231)=0,"Not on Clients",IF(AND(F231="",INT(B231)&lt;TODAY()),"Needs a status","")))))</f>
        <v/>
      </c>
      <c r="I231" s="1">
        <f>IF(ISNUMBER(B231),INT(B231),0)</f>
        <v/>
      </c>
      <c r="J231">
        <f>IF(ISNUMBER(B231),YEAR(B231)*100+MONTH(B231),"")</f>
        <v/>
      </c>
      <c r="K231">
        <f>IF(AND(H231="",OR(F231="Attended",F231="No-show",AND(F231="Late cancel",Settings!$C$9="Yes"))),1,0)</f>
        <v/>
      </c>
      <c r="L231">
        <f>IF(AND(H231="",F231="Attended"),1,0)</f>
        <v/>
      </c>
      <c r="M231">
        <f>IF(AND(H231="",OR(F231="No-show",F231="Late cancel")),1,0)</f>
        <v/>
      </c>
      <c r="N231">
        <f>IF(AND(H231="",F231="",D231&lt;&gt;"",I231&gt;=TODAY()),ROUND((I231+IF(ISNUMBER(C231),MOD(C231,1),0))*1440,0)*10000+ROW(),"")</f>
        <v/>
      </c>
    </row>
    <row r="232">
      <c r="A232" s="1" t="n"/>
      <c r="B232" s="17" t="n">
        <v>46239</v>
      </c>
      <c r="C232" s="18" t="n">
        <v>0.7708333333333334</v>
      </c>
      <c r="D232" s="19" t="inlineStr">
        <is>
          <t>Leah Fischer</t>
        </is>
      </c>
      <c r="E232" s="20" t="inlineStr">
        <is>
          <t>Duo</t>
        </is>
      </c>
      <c r="F232" s="20" t="inlineStr">
        <is>
          <t>No-show</t>
        </is>
      </c>
      <c r="G232" s="21" t="n"/>
      <c r="H232" s="12">
        <f>IF(AND(B232="",D232="",F232=""),"",IF(NOT(ISNUMBER(B232)),"Needs a date",IF(D232="","Needs a client",IF(COUNTIF(Clients!$B$6:$B$105,D232)=0,"Not on Clients",IF(AND(F232="",INT(B232)&lt;TODAY()),"Needs a status","")))))</f>
        <v/>
      </c>
      <c r="I232" s="1">
        <f>IF(ISNUMBER(B232),INT(B232),0)</f>
        <v/>
      </c>
      <c r="J232">
        <f>IF(ISNUMBER(B232),YEAR(B232)*100+MONTH(B232),"")</f>
        <v/>
      </c>
      <c r="K232">
        <f>IF(AND(H232="",OR(F232="Attended",F232="No-show",AND(F232="Late cancel",Settings!$C$9="Yes"))),1,0)</f>
        <v/>
      </c>
      <c r="L232">
        <f>IF(AND(H232="",F232="Attended"),1,0)</f>
        <v/>
      </c>
      <c r="M232">
        <f>IF(AND(H232="",OR(F232="No-show",F232="Late cancel")),1,0)</f>
        <v/>
      </c>
      <c r="N232">
        <f>IF(AND(H232="",F232="",D232&lt;&gt;"",I232&gt;=TODAY()),ROUND((I232+IF(ISNUMBER(C232),MOD(C232,1),0))*1440,0)*10000+ROW(),"")</f>
        <v/>
      </c>
    </row>
    <row r="233">
      <c r="A233" s="1" t="n"/>
      <c r="B233" s="17" t="n">
        <v>46240</v>
      </c>
      <c r="C233" s="18" t="n">
        <v>0.3333333333333333</v>
      </c>
      <c r="D233" s="19" t="inlineStr">
        <is>
          <t>Ben Carter</t>
        </is>
      </c>
      <c r="E233" s="20" t="inlineStr">
        <is>
          <t>1 to 1</t>
        </is>
      </c>
      <c r="F233" s="20" t="inlineStr">
        <is>
          <t>Attended</t>
        </is>
      </c>
      <c r="G233" s="21" t="n"/>
      <c r="H233" s="12">
        <f>IF(AND(B233="",D233="",F233=""),"",IF(NOT(ISNUMBER(B233)),"Needs a date",IF(D233="","Needs a client",IF(COUNTIF(Clients!$B$6:$B$105,D233)=0,"Not on Clients",IF(AND(F233="",INT(B233)&lt;TODAY()),"Needs a status","")))))</f>
        <v/>
      </c>
      <c r="I233" s="1">
        <f>IF(ISNUMBER(B233),INT(B233),0)</f>
        <v/>
      </c>
      <c r="J233">
        <f>IF(ISNUMBER(B233),YEAR(B233)*100+MONTH(B233),"")</f>
        <v/>
      </c>
      <c r="K233">
        <f>IF(AND(H233="",OR(F233="Attended",F233="No-show",AND(F233="Late cancel",Settings!$C$9="Yes"))),1,0)</f>
        <v/>
      </c>
      <c r="L233">
        <f>IF(AND(H233="",F233="Attended"),1,0)</f>
        <v/>
      </c>
      <c r="M233">
        <f>IF(AND(H233="",OR(F233="No-show",F233="Late cancel")),1,0)</f>
        <v/>
      </c>
      <c r="N233">
        <f>IF(AND(H233="",F233="",D233&lt;&gt;"",I233&gt;=TODAY()),ROUND((I233+IF(ISNUMBER(C233),MOD(C233,1),0))*1440,0)*10000+ROW(),"")</f>
        <v/>
      </c>
    </row>
    <row r="234">
      <c r="A234" s="1" t="n"/>
      <c r="B234" s="17" t="n">
        <v>46240</v>
      </c>
      <c r="C234" s="18" t="n">
        <v>0.5208333333333334</v>
      </c>
      <c r="D234" s="19" t="inlineStr">
        <is>
          <t>Luis Moreno</t>
        </is>
      </c>
      <c r="E234" s="20" t="inlineStr">
        <is>
          <t>1 to 1</t>
        </is>
      </c>
      <c r="F234" s="20" t="inlineStr">
        <is>
          <t>Attended</t>
        </is>
      </c>
      <c r="G234" s="21" t="n"/>
      <c r="H234" s="12">
        <f>IF(AND(B234="",D234="",F234=""),"",IF(NOT(ISNUMBER(B234)),"Needs a date",IF(D234="","Needs a client",IF(COUNTIF(Clients!$B$6:$B$105,D234)=0,"Not on Clients",IF(AND(F234="",INT(B234)&lt;TODAY()),"Needs a status","")))))</f>
        <v/>
      </c>
      <c r="I234" s="1">
        <f>IF(ISNUMBER(B234),INT(B234),0)</f>
        <v/>
      </c>
      <c r="J234">
        <f>IF(ISNUMBER(B234),YEAR(B234)*100+MONTH(B234),"")</f>
        <v/>
      </c>
      <c r="K234">
        <f>IF(AND(H234="",OR(F234="Attended",F234="No-show",AND(F234="Late cancel",Settings!$C$9="Yes"))),1,0)</f>
        <v/>
      </c>
      <c r="L234">
        <f>IF(AND(H234="",F234="Attended"),1,0)</f>
        <v/>
      </c>
      <c r="M234">
        <f>IF(AND(H234="",OR(F234="No-show",F234="Late cancel")),1,0)</f>
        <v/>
      </c>
      <c r="N234">
        <f>IF(AND(H234="",F234="",D234&lt;&gt;"",I234&gt;=TODAY()),ROUND((I234+IF(ISNUMBER(C234),MOD(C234,1),0))*1440,0)*10000+ROW(),"")</f>
        <v/>
      </c>
    </row>
    <row r="235">
      <c r="A235" s="1" t="n"/>
      <c r="B235" s="17" t="n">
        <v>46241</v>
      </c>
      <c r="C235" s="18" t="n">
        <v>0.7291666666666666</v>
      </c>
      <c r="D235" s="19" t="inlineStr">
        <is>
          <t>Tom Walsh</t>
        </is>
      </c>
      <c r="E235" s="20" t="inlineStr">
        <is>
          <t>1 to 1</t>
        </is>
      </c>
      <c r="F235" s="20" t="inlineStr">
        <is>
          <t>No-show</t>
        </is>
      </c>
      <c r="G235" s="21" t="n"/>
      <c r="H235" s="12">
        <f>IF(AND(B235="",D235="",F235=""),"",IF(NOT(ISNUMBER(B235)),"Needs a date",IF(D235="","Needs a client",IF(COUNTIF(Clients!$B$6:$B$105,D235)=0,"Not on Clients",IF(AND(F235="",INT(B235)&lt;TODAY()),"Needs a status","")))))</f>
        <v/>
      </c>
      <c r="I235" s="1">
        <f>IF(ISNUMBER(B235),INT(B235),0)</f>
        <v/>
      </c>
      <c r="J235">
        <f>IF(ISNUMBER(B235),YEAR(B235)*100+MONTH(B235),"")</f>
        <v/>
      </c>
      <c r="K235">
        <f>IF(AND(H235="",OR(F235="Attended",F235="No-show",AND(F235="Late cancel",Settings!$C$9="Yes"))),1,0)</f>
        <v/>
      </c>
      <c r="L235">
        <f>IF(AND(H235="",F235="Attended"),1,0)</f>
        <v/>
      </c>
      <c r="M235">
        <f>IF(AND(H235="",OR(F235="No-show",F235="Late cancel")),1,0)</f>
        <v/>
      </c>
      <c r="N235">
        <f>IF(AND(H235="",F235="",D235&lt;&gt;"",I235&gt;=TODAY()),ROUND((I235+IF(ISNUMBER(C235),MOD(C235,1),0))*1440,0)*10000+ROW(),"")</f>
        <v/>
      </c>
    </row>
    <row r="236">
      <c r="A236" s="1" t="n"/>
      <c r="B236" s="17" t="n">
        <v>46242</v>
      </c>
      <c r="C236" s="18" t="n">
        <v>0.2916666666666667</v>
      </c>
      <c r="D236" s="19" t="inlineStr">
        <is>
          <t>Maya Ortiz</t>
        </is>
      </c>
      <c r="E236" s="20" t="inlineStr">
        <is>
          <t>Duo</t>
        </is>
      </c>
      <c r="F236" s="20" t="inlineStr">
        <is>
          <t>Attended</t>
        </is>
      </c>
      <c r="G236" s="21" t="n"/>
      <c r="H236" s="12">
        <f>IF(AND(B236="",D236="",F236=""),"",IF(NOT(ISNUMBER(B236)),"Needs a date",IF(D236="","Needs a client",IF(COUNTIF(Clients!$B$6:$B$105,D236)=0,"Not on Clients",IF(AND(F236="",INT(B236)&lt;TODAY()),"Needs a status","")))))</f>
        <v/>
      </c>
      <c r="I236" s="1">
        <f>IF(ISNUMBER(B236),INT(B236),0)</f>
        <v/>
      </c>
      <c r="J236">
        <f>IF(ISNUMBER(B236),YEAR(B236)*100+MONTH(B236),"")</f>
        <v/>
      </c>
      <c r="K236">
        <f>IF(AND(H236="",OR(F236="Attended",F236="No-show",AND(F236="Late cancel",Settings!$C$9="Yes"))),1,0)</f>
        <v/>
      </c>
      <c r="L236">
        <f>IF(AND(H236="",F236="Attended"),1,0)</f>
        <v/>
      </c>
      <c r="M236">
        <f>IF(AND(H236="",OR(F236="No-show",F236="Late cancel")),1,0)</f>
        <v/>
      </c>
      <c r="N236">
        <f>IF(AND(H236="",F236="",D236&lt;&gt;"",I236&gt;=TODAY()),ROUND((I236+IF(ISNUMBER(C236),MOD(C236,1),0))*1440,0)*10000+ROW(),"")</f>
        <v/>
      </c>
    </row>
    <row r="237">
      <c r="A237" s="1" t="n"/>
      <c r="B237" s="17" t="n">
        <v>46242</v>
      </c>
      <c r="C237" s="18" t="n">
        <v>0.2916666666666667</v>
      </c>
      <c r="D237" s="19" t="inlineStr">
        <is>
          <t>Omar Haddad</t>
        </is>
      </c>
      <c r="E237" s="20" t="inlineStr">
        <is>
          <t>1 to 1</t>
        </is>
      </c>
      <c r="F237" s="20" t="inlineStr">
        <is>
          <t>Attended</t>
        </is>
      </c>
      <c r="G237" s="21" t="n"/>
      <c r="H237" s="12">
        <f>IF(AND(B237="",D237="",F237=""),"",IF(NOT(ISNUMBER(B237)),"Needs a date",IF(D237="","Needs a client",IF(COUNTIF(Clients!$B$6:$B$105,D237)=0,"Not on Clients",IF(AND(F237="",INT(B237)&lt;TODAY()),"Needs a status","")))))</f>
        <v/>
      </c>
      <c r="I237" s="1">
        <f>IF(ISNUMBER(B237),INT(B237),0)</f>
        <v/>
      </c>
      <c r="J237">
        <f>IF(ISNUMBER(B237),YEAR(B237)*100+MONTH(B237),"")</f>
        <v/>
      </c>
      <c r="K237">
        <f>IF(AND(H237="",OR(F237="Attended",F237="No-show",AND(F237="Late cancel",Settings!$C$9="Yes"))),1,0)</f>
        <v/>
      </c>
      <c r="L237">
        <f>IF(AND(H237="",F237="Attended"),1,0)</f>
        <v/>
      </c>
      <c r="M237">
        <f>IF(AND(H237="",OR(F237="No-show",F237="Late cancel")),1,0)</f>
        <v/>
      </c>
      <c r="N237">
        <f>IF(AND(H237="",F237="",D237&lt;&gt;"",I237&gt;=TODAY()),ROUND((I237+IF(ISNUMBER(C237),MOD(C237,1),0))*1440,0)*10000+ROW(),"")</f>
        <v/>
      </c>
    </row>
    <row r="238">
      <c r="A238" s="1" t="n"/>
      <c r="B238" s="17" t="n">
        <v>46242</v>
      </c>
      <c r="C238" s="18" t="n">
        <v>0.5208333333333334</v>
      </c>
      <c r="D238" s="19" t="inlineStr">
        <is>
          <t>Priya Nair</t>
        </is>
      </c>
      <c r="E238" s="20" t="inlineStr">
        <is>
          <t>1 to 1</t>
        </is>
      </c>
      <c r="F238" s="20" t="inlineStr">
        <is>
          <t>Attended</t>
        </is>
      </c>
      <c r="G238" s="21" t="n"/>
      <c r="H238" s="12">
        <f>IF(AND(B238="",D238="",F238=""),"",IF(NOT(ISNUMBER(B238)),"Needs a date",IF(D238="","Needs a client",IF(COUNTIF(Clients!$B$6:$B$105,D238)=0,"Not on Clients",IF(AND(F238="",INT(B238)&lt;TODAY()),"Needs a status","")))))</f>
        <v/>
      </c>
      <c r="I238" s="1">
        <f>IF(ISNUMBER(B238),INT(B238),0)</f>
        <v/>
      </c>
      <c r="J238">
        <f>IF(ISNUMBER(B238),YEAR(B238)*100+MONTH(B238),"")</f>
        <v/>
      </c>
      <c r="K238">
        <f>IF(AND(H238="",OR(F238="Attended",F238="No-show",AND(F238="Late cancel",Settings!$C$9="Yes"))),1,0)</f>
        <v/>
      </c>
      <c r="L238">
        <f>IF(AND(H238="",F238="Attended"),1,0)</f>
        <v/>
      </c>
      <c r="M238">
        <f>IF(AND(H238="",OR(F238="No-show",F238="Late cancel")),1,0)</f>
        <v/>
      </c>
      <c r="N238">
        <f>IF(AND(H238="",F238="",D238&lt;&gt;"",I238&gt;=TODAY()),ROUND((I238+IF(ISNUMBER(C238),MOD(C238,1),0))*1440,0)*10000+ROW(),"")</f>
        <v/>
      </c>
    </row>
    <row r="239">
      <c r="A239" s="1" t="n"/>
      <c r="B239" s="17" t="n">
        <v>46243</v>
      </c>
      <c r="C239" s="18" t="n">
        <v>0.3333333333333333</v>
      </c>
      <c r="D239" s="19" t="inlineStr">
        <is>
          <t>Ben Carter</t>
        </is>
      </c>
      <c r="E239" s="20" t="inlineStr">
        <is>
          <t>1 to 1</t>
        </is>
      </c>
      <c r="F239" s="20" t="inlineStr">
        <is>
          <t>Attended</t>
        </is>
      </c>
      <c r="G239" s="21" t="n"/>
      <c r="H239" s="12">
        <f>IF(AND(B239="",D239="",F239=""),"",IF(NOT(ISNUMBER(B239)),"Needs a date",IF(D239="","Needs a client",IF(COUNTIF(Clients!$B$6:$B$105,D239)=0,"Not on Clients",IF(AND(F239="",INT(B239)&lt;TODAY()),"Needs a status","")))))</f>
        <v/>
      </c>
      <c r="I239" s="1">
        <f>IF(ISNUMBER(B239),INT(B239),0)</f>
        <v/>
      </c>
      <c r="J239">
        <f>IF(ISNUMBER(B239),YEAR(B239)*100+MONTH(B239),"")</f>
        <v/>
      </c>
      <c r="K239">
        <f>IF(AND(H239="",OR(F239="Attended",F239="No-show",AND(F239="Late cancel",Settings!$C$9="Yes"))),1,0)</f>
        <v/>
      </c>
      <c r="L239">
        <f>IF(AND(H239="",F239="Attended"),1,0)</f>
        <v/>
      </c>
      <c r="M239">
        <f>IF(AND(H239="",OR(F239="No-show",F239="Late cancel")),1,0)</f>
        <v/>
      </c>
      <c r="N239">
        <f>IF(AND(H239="",F239="",D239&lt;&gt;"",I239&gt;=TODAY()),ROUND((I239+IF(ISNUMBER(C239),MOD(C239,1),0))*1440,0)*10000+ROW(),"")</f>
        <v/>
      </c>
    </row>
    <row r="240">
      <c r="A240" s="1" t="n"/>
      <c r="B240" s="17" t="n">
        <v>46243</v>
      </c>
      <c r="C240" s="18" t="n">
        <v>0.5208333333333334</v>
      </c>
      <c r="D240" s="19" t="inlineStr">
        <is>
          <t>Luis Moreno</t>
        </is>
      </c>
      <c r="E240" s="20" t="inlineStr">
        <is>
          <t>1 to 1</t>
        </is>
      </c>
      <c r="F240" s="20" t="inlineStr">
        <is>
          <t>Attended</t>
        </is>
      </c>
      <c r="G240" s="21" t="n"/>
      <c r="H240" s="12">
        <f>IF(AND(B240="",D240="",F240=""),"",IF(NOT(ISNUMBER(B240)),"Needs a date",IF(D240="","Needs a client",IF(COUNTIF(Clients!$B$6:$B$105,D240)=0,"Not on Clients",IF(AND(F240="",INT(B240)&lt;TODAY()),"Needs a status","")))))</f>
        <v/>
      </c>
      <c r="I240" s="1">
        <f>IF(ISNUMBER(B240),INT(B240),0)</f>
        <v/>
      </c>
      <c r="J240">
        <f>IF(ISNUMBER(B240),YEAR(B240)*100+MONTH(B240),"")</f>
        <v/>
      </c>
      <c r="K240">
        <f>IF(AND(H240="",OR(F240="Attended",F240="No-show",AND(F240="Late cancel",Settings!$C$9="Yes"))),1,0)</f>
        <v/>
      </c>
      <c r="L240">
        <f>IF(AND(H240="",F240="Attended"),1,0)</f>
        <v/>
      </c>
      <c r="M240">
        <f>IF(AND(H240="",OR(F240="No-show",F240="Late cancel")),1,0)</f>
        <v/>
      </c>
      <c r="N240">
        <f>IF(AND(H240="",F240="",D240&lt;&gt;"",I240&gt;=TODAY()),ROUND((I240+IF(ISNUMBER(C240),MOD(C240,1),0))*1440,0)*10000+ROW(),"")</f>
        <v/>
      </c>
    </row>
    <row r="241">
      <c r="A241" s="1" t="n"/>
      <c r="B241" s="17" t="n">
        <v>46243</v>
      </c>
      <c r="C241" s="18" t="n">
        <v>0.7708333333333334</v>
      </c>
      <c r="D241" s="19" t="inlineStr">
        <is>
          <t>Leah Fischer</t>
        </is>
      </c>
      <c r="E241" s="20" t="inlineStr">
        <is>
          <t>Duo</t>
        </is>
      </c>
      <c r="F241" s="20" t="inlineStr">
        <is>
          <t>Cancelled</t>
        </is>
      </c>
      <c r="G241" s="21" t="n"/>
      <c r="H241" s="12">
        <f>IF(AND(B241="",D241="",F241=""),"",IF(NOT(ISNUMBER(B241)),"Needs a date",IF(D241="","Needs a client",IF(COUNTIF(Clients!$B$6:$B$105,D241)=0,"Not on Clients",IF(AND(F241="",INT(B241)&lt;TODAY()),"Needs a status","")))))</f>
        <v/>
      </c>
      <c r="I241" s="1">
        <f>IF(ISNUMBER(B241),INT(B241),0)</f>
        <v/>
      </c>
      <c r="J241">
        <f>IF(ISNUMBER(B241),YEAR(B241)*100+MONTH(B241),"")</f>
        <v/>
      </c>
      <c r="K241">
        <f>IF(AND(H241="",OR(F241="Attended",F241="No-show",AND(F241="Late cancel",Settings!$C$9="Yes"))),1,0)</f>
        <v/>
      </c>
      <c r="L241">
        <f>IF(AND(H241="",F241="Attended"),1,0)</f>
        <v/>
      </c>
      <c r="M241">
        <f>IF(AND(H241="",OR(F241="No-show",F241="Late cancel")),1,0)</f>
        <v/>
      </c>
      <c r="N241">
        <f>IF(AND(H241="",F241="",D241&lt;&gt;"",I241&gt;=TODAY()),ROUND((I241+IF(ISNUMBER(C241),MOD(C241,1),0))*1440,0)*10000+ROW(),"")</f>
        <v/>
      </c>
    </row>
    <row r="242">
      <c r="A242" s="1" t="n"/>
      <c r="B242" s="17" t="n">
        <v>46245</v>
      </c>
      <c r="C242" s="18" t="n">
        <v>0.2916666666666667</v>
      </c>
      <c r="D242" s="19" t="inlineStr">
        <is>
          <t>Omar Haddad</t>
        </is>
      </c>
      <c r="E242" s="20" t="inlineStr">
        <is>
          <t>1 to 1</t>
        </is>
      </c>
      <c r="F242" s="20" t="inlineStr">
        <is>
          <t>No-show</t>
        </is>
      </c>
      <c r="G242" s="21" t="n"/>
      <c r="H242" s="12">
        <f>IF(AND(B242="",D242="",F242=""),"",IF(NOT(ISNUMBER(B242)),"Needs a date",IF(D242="","Needs a client",IF(COUNTIF(Clients!$B$6:$B$105,D242)=0,"Not on Clients",IF(AND(F242="",INT(B242)&lt;TODAY()),"Needs a status","")))))</f>
        <v/>
      </c>
      <c r="I242" s="1">
        <f>IF(ISNUMBER(B242),INT(B242),0)</f>
        <v/>
      </c>
      <c r="J242">
        <f>IF(ISNUMBER(B242),YEAR(B242)*100+MONTH(B242),"")</f>
        <v/>
      </c>
      <c r="K242">
        <f>IF(AND(H242="",OR(F242="Attended",F242="No-show",AND(F242="Late cancel",Settings!$C$9="Yes"))),1,0)</f>
        <v/>
      </c>
      <c r="L242">
        <f>IF(AND(H242="",F242="Attended"),1,0)</f>
        <v/>
      </c>
      <c r="M242">
        <f>IF(AND(H242="",OR(F242="No-show",F242="Late cancel")),1,0)</f>
        <v/>
      </c>
      <c r="N242">
        <f>IF(AND(H242="",F242="",D242&lt;&gt;"",I242&gt;=TODAY()),ROUND((I242+IF(ISNUMBER(C242),MOD(C242,1),0))*1440,0)*10000+ROW(),"")</f>
        <v/>
      </c>
    </row>
    <row r="243">
      <c r="A243" s="1" t="n"/>
      <c r="B243" s="17" t="n">
        <v>46246</v>
      </c>
      <c r="C243" s="18" t="n">
        <v>0.5208333333333334</v>
      </c>
      <c r="D243" s="19" t="inlineStr">
        <is>
          <t>Priya Nair</t>
        </is>
      </c>
      <c r="E243" s="20" t="inlineStr">
        <is>
          <t>1 to 1</t>
        </is>
      </c>
      <c r="F243" s="20" t="inlineStr">
        <is>
          <t>Attended</t>
        </is>
      </c>
      <c r="G243" s="21" t="n"/>
      <c r="H243" s="12">
        <f>IF(AND(B243="",D243="",F243=""),"",IF(NOT(ISNUMBER(B243)),"Needs a date",IF(D243="","Needs a client",IF(COUNTIF(Clients!$B$6:$B$105,D243)=0,"Not on Clients",IF(AND(F243="",INT(B243)&lt;TODAY()),"Needs a status","")))))</f>
        <v/>
      </c>
      <c r="I243" s="1">
        <f>IF(ISNUMBER(B243),INT(B243),0)</f>
        <v/>
      </c>
      <c r="J243">
        <f>IF(ISNUMBER(B243),YEAR(B243)*100+MONTH(B243),"")</f>
        <v/>
      </c>
      <c r="K243">
        <f>IF(AND(H243="",OR(F243="Attended",F243="No-show",AND(F243="Late cancel",Settings!$C$9="Yes"))),1,0)</f>
        <v/>
      </c>
      <c r="L243">
        <f>IF(AND(H243="",F243="Attended"),1,0)</f>
        <v/>
      </c>
      <c r="M243">
        <f>IF(AND(H243="",OR(F243="No-show",F243="Late cancel")),1,0)</f>
        <v/>
      </c>
      <c r="N243">
        <f>IF(AND(H243="",F243="",D243&lt;&gt;"",I243&gt;=TODAY()),ROUND((I243+IF(ISNUMBER(C243),MOD(C243,1),0))*1440,0)*10000+ROW(),"")</f>
        <v/>
      </c>
    </row>
    <row r="244">
      <c r="A244" s="1" t="n"/>
      <c r="B244" s="17" t="n">
        <v>46246</v>
      </c>
      <c r="C244" s="18" t="n">
        <v>0.7708333333333334</v>
      </c>
      <c r="D244" s="19" t="inlineStr">
        <is>
          <t>Leah Fischer</t>
        </is>
      </c>
      <c r="E244" s="20" t="inlineStr">
        <is>
          <t>Duo</t>
        </is>
      </c>
      <c r="F244" s="20" t="inlineStr">
        <is>
          <t>Cancelled</t>
        </is>
      </c>
      <c r="G244" s="21" t="n"/>
      <c r="H244" s="12">
        <f>IF(AND(B244="",D244="",F244=""),"",IF(NOT(ISNUMBER(B244)),"Needs a date",IF(D244="","Needs a client",IF(COUNTIF(Clients!$B$6:$B$105,D244)=0,"Not on Clients",IF(AND(F244="",INT(B244)&lt;TODAY()),"Needs a status","")))))</f>
        <v/>
      </c>
      <c r="I244" s="1">
        <f>IF(ISNUMBER(B244),INT(B244),0)</f>
        <v/>
      </c>
      <c r="J244">
        <f>IF(ISNUMBER(B244),YEAR(B244)*100+MONTH(B244),"")</f>
        <v/>
      </c>
      <c r="K244">
        <f>IF(AND(H244="",OR(F244="Attended",F244="No-show",AND(F244="Late cancel",Settings!$C$9="Yes"))),1,0)</f>
        <v/>
      </c>
      <c r="L244">
        <f>IF(AND(H244="",F244="Attended"),1,0)</f>
        <v/>
      </c>
      <c r="M244">
        <f>IF(AND(H244="",OR(F244="No-show",F244="Late cancel")),1,0)</f>
        <v/>
      </c>
      <c r="N244">
        <f>IF(AND(H244="",F244="",D244&lt;&gt;"",I244&gt;=TODAY()),ROUND((I244+IF(ISNUMBER(C244),MOD(C244,1),0))*1440,0)*10000+ROW(),"")</f>
        <v/>
      </c>
    </row>
    <row r="245">
      <c r="A245" s="1" t="n"/>
      <c r="B245" s="17" t="n">
        <v>46247</v>
      </c>
      <c r="C245" s="18" t="n">
        <v>0.3333333333333333</v>
      </c>
      <c r="D245" s="19" t="inlineStr">
        <is>
          <t>Ben Carter</t>
        </is>
      </c>
      <c r="E245" s="20" t="inlineStr">
        <is>
          <t>1 to 1</t>
        </is>
      </c>
      <c r="F245" s="20" t="inlineStr">
        <is>
          <t>No-show</t>
        </is>
      </c>
      <c r="G245" s="21" t="n"/>
      <c r="H245" s="12">
        <f>IF(AND(B245="",D245="",F245=""),"",IF(NOT(ISNUMBER(B245)),"Needs a date",IF(D245="","Needs a client",IF(COUNTIF(Clients!$B$6:$B$105,D245)=0,"Not on Clients",IF(AND(F245="",INT(B245)&lt;TODAY()),"Needs a status","")))))</f>
        <v/>
      </c>
      <c r="I245" s="1">
        <f>IF(ISNUMBER(B245),INT(B245),0)</f>
        <v/>
      </c>
      <c r="J245">
        <f>IF(ISNUMBER(B245),YEAR(B245)*100+MONTH(B245),"")</f>
        <v/>
      </c>
      <c r="K245">
        <f>IF(AND(H245="",OR(F245="Attended",F245="No-show",AND(F245="Late cancel",Settings!$C$9="Yes"))),1,0)</f>
        <v/>
      </c>
      <c r="L245">
        <f>IF(AND(H245="",F245="Attended"),1,0)</f>
        <v/>
      </c>
      <c r="M245">
        <f>IF(AND(H245="",OR(F245="No-show",F245="Late cancel")),1,0)</f>
        <v/>
      </c>
      <c r="N245">
        <f>IF(AND(H245="",F245="",D245&lt;&gt;"",I245&gt;=TODAY()),ROUND((I245+IF(ISNUMBER(C245),MOD(C245,1),0))*1440,0)*10000+ROW(),"")</f>
        <v/>
      </c>
    </row>
    <row r="246">
      <c r="A246" s="1" t="n"/>
      <c r="B246" s="17" t="n">
        <v>46247</v>
      </c>
      <c r="C246" s="18" t="n">
        <v>0.5208333333333334</v>
      </c>
      <c r="D246" s="19" t="inlineStr">
        <is>
          <t>Luis Moreno</t>
        </is>
      </c>
      <c r="E246" s="20" t="inlineStr">
        <is>
          <t>1 to 1</t>
        </is>
      </c>
      <c r="F246" s="20" t="inlineStr">
        <is>
          <t>Attended</t>
        </is>
      </c>
      <c r="G246" s="21" t="n"/>
      <c r="H246" s="12">
        <f>IF(AND(B246="",D246="",F246=""),"",IF(NOT(ISNUMBER(B246)),"Needs a date",IF(D246="","Needs a client",IF(COUNTIF(Clients!$B$6:$B$105,D246)=0,"Not on Clients",IF(AND(F246="",INT(B246)&lt;TODAY()),"Needs a status","")))))</f>
        <v/>
      </c>
      <c r="I246" s="1">
        <f>IF(ISNUMBER(B246),INT(B246),0)</f>
        <v/>
      </c>
      <c r="J246">
        <f>IF(ISNUMBER(B246),YEAR(B246)*100+MONTH(B246),"")</f>
        <v/>
      </c>
      <c r="K246">
        <f>IF(AND(H246="",OR(F246="Attended",F246="No-show",AND(F246="Late cancel",Settings!$C$9="Yes"))),1,0)</f>
        <v/>
      </c>
      <c r="L246">
        <f>IF(AND(H246="",F246="Attended"),1,0)</f>
        <v/>
      </c>
      <c r="M246">
        <f>IF(AND(H246="",OR(F246="No-show",F246="Late cancel")),1,0)</f>
        <v/>
      </c>
      <c r="N246">
        <f>IF(AND(H246="",F246="",D246&lt;&gt;"",I246&gt;=TODAY()),ROUND((I246+IF(ISNUMBER(C246),MOD(C246,1),0))*1440,0)*10000+ROW(),"")</f>
        <v/>
      </c>
    </row>
    <row r="247">
      <c r="A247" s="1" t="n"/>
      <c r="B247" s="17" t="n">
        <v>46248</v>
      </c>
      <c r="C247" s="18" t="n">
        <v>0.7291666666666666</v>
      </c>
      <c r="D247" s="19" t="inlineStr">
        <is>
          <t>Tom Walsh</t>
        </is>
      </c>
      <c r="E247" s="20" t="inlineStr">
        <is>
          <t>1 to 1</t>
        </is>
      </c>
      <c r="F247" s="20" t="inlineStr">
        <is>
          <t>Attended</t>
        </is>
      </c>
      <c r="G247" s="21" t="n"/>
      <c r="H247" s="12">
        <f>IF(AND(B247="",D247="",F247=""),"",IF(NOT(ISNUMBER(B247)),"Needs a date",IF(D247="","Needs a client",IF(COUNTIF(Clients!$B$6:$B$105,D247)=0,"Not on Clients",IF(AND(F247="",INT(B247)&lt;TODAY()),"Needs a status","")))))</f>
        <v/>
      </c>
      <c r="I247" s="1">
        <f>IF(ISNUMBER(B247),INT(B247),0)</f>
        <v/>
      </c>
      <c r="J247">
        <f>IF(ISNUMBER(B247),YEAR(B247)*100+MONTH(B247),"")</f>
        <v/>
      </c>
      <c r="K247">
        <f>IF(AND(H247="",OR(F247="Attended",F247="No-show",AND(F247="Late cancel",Settings!$C$9="Yes"))),1,0)</f>
        <v/>
      </c>
      <c r="L247">
        <f>IF(AND(H247="",F247="Attended"),1,0)</f>
        <v/>
      </c>
      <c r="M247">
        <f>IF(AND(H247="",OR(F247="No-show",F247="Late cancel")),1,0)</f>
        <v/>
      </c>
      <c r="N247">
        <f>IF(AND(H247="",F247="",D247&lt;&gt;"",I247&gt;=TODAY()),ROUND((I247+IF(ISNUMBER(C247),MOD(C247,1),0))*1440,0)*10000+ROW(),"")</f>
        <v/>
      </c>
    </row>
    <row r="248">
      <c r="A248" s="1" t="n"/>
      <c r="B248" s="17" t="n">
        <v>46249</v>
      </c>
      <c r="C248" s="18" t="n">
        <v>0.2916666666666667</v>
      </c>
      <c r="D248" s="19" t="inlineStr">
        <is>
          <t>Maya Ortiz</t>
        </is>
      </c>
      <c r="E248" s="20" t="inlineStr">
        <is>
          <t>Duo</t>
        </is>
      </c>
      <c r="F248" s="20" t="inlineStr">
        <is>
          <t>Attended</t>
        </is>
      </c>
      <c r="G248" s="21" t="n"/>
      <c r="H248" s="12">
        <f>IF(AND(B248="",D248="",F248=""),"",IF(NOT(ISNUMBER(B248)),"Needs a date",IF(D248="","Needs a client",IF(COUNTIF(Clients!$B$6:$B$105,D248)=0,"Not on Clients",IF(AND(F248="",INT(B248)&lt;TODAY()),"Needs a status","")))))</f>
        <v/>
      </c>
      <c r="I248" s="1">
        <f>IF(ISNUMBER(B248),INT(B248),0)</f>
        <v/>
      </c>
      <c r="J248">
        <f>IF(ISNUMBER(B248),YEAR(B248)*100+MONTH(B248),"")</f>
        <v/>
      </c>
      <c r="K248">
        <f>IF(AND(H248="",OR(F248="Attended",F248="No-show",AND(F248="Late cancel",Settings!$C$9="Yes"))),1,0)</f>
        <v/>
      </c>
      <c r="L248">
        <f>IF(AND(H248="",F248="Attended"),1,0)</f>
        <v/>
      </c>
      <c r="M248">
        <f>IF(AND(H248="",OR(F248="No-show",F248="Late cancel")),1,0)</f>
        <v/>
      </c>
      <c r="N248">
        <f>IF(AND(H248="",F248="",D248&lt;&gt;"",I248&gt;=TODAY()),ROUND((I248+IF(ISNUMBER(C248),MOD(C248,1),0))*1440,0)*10000+ROW(),"")</f>
        <v/>
      </c>
    </row>
    <row r="249">
      <c r="A249" s="1" t="n"/>
      <c r="B249" s="17" t="n">
        <v>46249</v>
      </c>
      <c r="C249" s="18" t="n">
        <v>0.2916666666666667</v>
      </c>
      <c r="D249" s="19" t="inlineStr">
        <is>
          <t>Omar Haddad</t>
        </is>
      </c>
      <c r="E249" s="20" t="inlineStr">
        <is>
          <t>1 to 1</t>
        </is>
      </c>
      <c r="F249" s="20" t="inlineStr">
        <is>
          <t>Attended</t>
        </is>
      </c>
      <c r="G249" s="21" t="n"/>
      <c r="H249" s="12">
        <f>IF(AND(B249="",D249="",F249=""),"",IF(NOT(ISNUMBER(B249)),"Needs a date",IF(D249="","Needs a client",IF(COUNTIF(Clients!$B$6:$B$105,D249)=0,"Not on Clients",IF(AND(F249="",INT(B249)&lt;TODAY()),"Needs a status","")))))</f>
        <v/>
      </c>
      <c r="I249" s="1">
        <f>IF(ISNUMBER(B249),INT(B249),0)</f>
        <v/>
      </c>
      <c r="J249">
        <f>IF(ISNUMBER(B249),YEAR(B249)*100+MONTH(B249),"")</f>
        <v/>
      </c>
      <c r="K249">
        <f>IF(AND(H249="",OR(F249="Attended",F249="No-show",AND(F249="Late cancel",Settings!$C$9="Yes"))),1,0)</f>
        <v/>
      </c>
      <c r="L249">
        <f>IF(AND(H249="",F249="Attended"),1,0)</f>
        <v/>
      </c>
      <c r="M249">
        <f>IF(AND(H249="",OR(F249="No-show",F249="Late cancel")),1,0)</f>
        <v/>
      </c>
      <c r="N249">
        <f>IF(AND(H249="",F249="",D249&lt;&gt;"",I249&gt;=TODAY()),ROUND((I249+IF(ISNUMBER(C249),MOD(C249,1),0))*1440,0)*10000+ROW(),"")</f>
        <v/>
      </c>
    </row>
    <row r="250">
      <c r="A250" s="1" t="n"/>
      <c r="B250" s="17" t="n">
        <v>46249</v>
      </c>
      <c r="C250" s="18" t="n">
        <v>0.5208333333333334</v>
      </c>
      <c r="D250" s="19" t="inlineStr">
        <is>
          <t>Priya Nair</t>
        </is>
      </c>
      <c r="E250" s="20" t="inlineStr">
        <is>
          <t>1 to 1</t>
        </is>
      </c>
      <c r="F250" s="20" t="inlineStr">
        <is>
          <t>Attended</t>
        </is>
      </c>
      <c r="G250" s="21" t="n"/>
      <c r="H250" s="12">
        <f>IF(AND(B250="",D250="",F250=""),"",IF(NOT(ISNUMBER(B250)),"Needs a date",IF(D250="","Needs a client",IF(COUNTIF(Clients!$B$6:$B$105,D250)=0,"Not on Clients",IF(AND(F250="",INT(B250)&lt;TODAY()),"Needs a status","")))))</f>
        <v/>
      </c>
      <c r="I250" s="1">
        <f>IF(ISNUMBER(B250),INT(B250),0)</f>
        <v/>
      </c>
      <c r="J250">
        <f>IF(ISNUMBER(B250),YEAR(B250)*100+MONTH(B250),"")</f>
        <v/>
      </c>
      <c r="K250">
        <f>IF(AND(H250="",OR(F250="Attended",F250="No-show",AND(F250="Late cancel",Settings!$C$9="Yes"))),1,0)</f>
        <v/>
      </c>
      <c r="L250">
        <f>IF(AND(H250="",F250="Attended"),1,0)</f>
        <v/>
      </c>
      <c r="M250">
        <f>IF(AND(H250="",OR(F250="No-show",F250="Late cancel")),1,0)</f>
        <v/>
      </c>
      <c r="N250">
        <f>IF(AND(H250="",F250="",D250&lt;&gt;"",I250&gt;=TODAY()),ROUND((I250+IF(ISNUMBER(C250),MOD(C250,1),0))*1440,0)*10000+ROW(),"")</f>
        <v/>
      </c>
    </row>
    <row r="251">
      <c r="A251" s="1" t="n"/>
      <c r="B251" s="17" t="n">
        <v>46250</v>
      </c>
      <c r="C251" s="18" t="n">
        <v>0.3333333333333333</v>
      </c>
      <c r="D251" s="19" t="inlineStr">
        <is>
          <t>Ben Carter</t>
        </is>
      </c>
      <c r="E251" s="20" t="inlineStr">
        <is>
          <t>1 to 1</t>
        </is>
      </c>
      <c r="F251" s="20" t="inlineStr">
        <is>
          <t>Attended</t>
        </is>
      </c>
      <c r="G251" s="21" t="n"/>
      <c r="H251" s="12">
        <f>IF(AND(B251="",D251="",F251=""),"",IF(NOT(ISNUMBER(B251)),"Needs a date",IF(D251="","Needs a client",IF(COUNTIF(Clients!$B$6:$B$105,D251)=0,"Not on Clients",IF(AND(F251="",INT(B251)&lt;TODAY()),"Needs a status","")))))</f>
        <v/>
      </c>
      <c r="I251" s="1">
        <f>IF(ISNUMBER(B251),INT(B251),0)</f>
        <v/>
      </c>
      <c r="J251">
        <f>IF(ISNUMBER(B251),YEAR(B251)*100+MONTH(B251),"")</f>
        <v/>
      </c>
      <c r="K251">
        <f>IF(AND(H251="",OR(F251="Attended",F251="No-show",AND(F251="Late cancel",Settings!$C$9="Yes"))),1,0)</f>
        <v/>
      </c>
      <c r="L251">
        <f>IF(AND(H251="",F251="Attended"),1,0)</f>
        <v/>
      </c>
      <c r="M251">
        <f>IF(AND(H251="",OR(F251="No-show",F251="Late cancel")),1,0)</f>
        <v/>
      </c>
      <c r="N251">
        <f>IF(AND(H251="",F251="",D251&lt;&gt;"",I251&gt;=TODAY()),ROUND((I251+IF(ISNUMBER(C251),MOD(C251,1),0))*1440,0)*10000+ROW(),"")</f>
        <v/>
      </c>
    </row>
    <row r="252">
      <c r="A252" s="1" t="n"/>
      <c r="B252" s="17" t="n">
        <v>46250</v>
      </c>
      <c r="C252" s="18" t="n">
        <v>0.5208333333333334</v>
      </c>
      <c r="D252" s="19" t="inlineStr">
        <is>
          <t>Luis Moreno</t>
        </is>
      </c>
      <c r="E252" s="20" t="inlineStr">
        <is>
          <t>1 to 1</t>
        </is>
      </c>
      <c r="F252" s="20" t="inlineStr">
        <is>
          <t>Attended</t>
        </is>
      </c>
      <c r="G252" s="21" t="n"/>
      <c r="H252" s="12">
        <f>IF(AND(B252="",D252="",F252=""),"",IF(NOT(ISNUMBER(B252)),"Needs a date",IF(D252="","Needs a client",IF(COUNTIF(Clients!$B$6:$B$105,D252)=0,"Not on Clients",IF(AND(F252="",INT(B252)&lt;TODAY()),"Needs a status","")))))</f>
        <v/>
      </c>
      <c r="I252" s="1">
        <f>IF(ISNUMBER(B252),INT(B252),0)</f>
        <v/>
      </c>
      <c r="J252">
        <f>IF(ISNUMBER(B252),YEAR(B252)*100+MONTH(B252),"")</f>
        <v/>
      </c>
      <c r="K252">
        <f>IF(AND(H252="",OR(F252="Attended",F252="No-show",AND(F252="Late cancel",Settings!$C$9="Yes"))),1,0)</f>
        <v/>
      </c>
      <c r="L252">
        <f>IF(AND(H252="",F252="Attended"),1,0)</f>
        <v/>
      </c>
      <c r="M252">
        <f>IF(AND(H252="",OR(F252="No-show",F252="Late cancel")),1,0)</f>
        <v/>
      </c>
      <c r="N252">
        <f>IF(AND(H252="",F252="",D252&lt;&gt;"",I252&gt;=TODAY()),ROUND((I252+IF(ISNUMBER(C252),MOD(C252,1),0))*1440,0)*10000+ROW(),"")</f>
        <v/>
      </c>
    </row>
    <row r="253">
      <c r="A253" s="1" t="n"/>
      <c r="B253" s="17" t="n">
        <v>46250</v>
      </c>
      <c r="C253" s="18" t="n">
        <v>0.7708333333333334</v>
      </c>
      <c r="D253" s="19" t="inlineStr">
        <is>
          <t>Leah Fischer</t>
        </is>
      </c>
      <c r="E253" s="20" t="inlineStr">
        <is>
          <t>Duo</t>
        </is>
      </c>
      <c r="F253" s="20" t="inlineStr">
        <is>
          <t>Attended</t>
        </is>
      </c>
      <c r="G253" s="21" t="n"/>
      <c r="H253" s="12">
        <f>IF(AND(B253="",D253="",F253=""),"",IF(NOT(ISNUMBER(B253)),"Needs a date",IF(D253="","Needs a client",IF(COUNTIF(Clients!$B$6:$B$105,D253)=0,"Not on Clients",IF(AND(F253="",INT(B253)&lt;TODAY()),"Needs a status","")))))</f>
        <v/>
      </c>
      <c r="I253" s="1">
        <f>IF(ISNUMBER(B253),INT(B253),0)</f>
        <v/>
      </c>
      <c r="J253">
        <f>IF(ISNUMBER(B253),YEAR(B253)*100+MONTH(B253),"")</f>
        <v/>
      </c>
      <c r="K253">
        <f>IF(AND(H253="",OR(F253="Attended",F253="No-show",AND(F253="Late cancel",Settings!$C$9="Yes"))),1,0)</f>
        <v/>
      </c>
      <c r="L253">
        <f>IF(AND(H253="",F253="Attended"),1,0)</f>
        <v/>
      </c>
      <c r="M253">
        <f>IF(AND(H253="",OR(F253="No-show",F253="Late cancel")),1,0)</f>
        <v/>
      </c>
      <c r="N253">
        <f>IF(AND(H253="",F253="",D253&lt;&gt;"",I253&gt;=TODAY()),ROUND((I253+IF(ISNUMBER(C253),MOD(C253,1),0))*1440,0)*10000+ROW(),"")</f>
        <v/>
      </c>
    </row>
    <row r="254">
      <c r="A254" s="1" t="n"/>
      <c r="B254" s="17" t="n">
        <v>46252</v>
      </c>
      <c r="C254" s="18" t="n">
        <v>0.2916666666666667</v>
      </c>
      <c r="D254" s="19" t="inlineStr">
        <is>
          <t>Omar Haddad</t>
        </is>
      </c>
      <c r="E254" s="20" t="inlineStr">
        <is>
          <t>1 to 1</t>
        </is>
      </c>
      <c r="F254" s="20" t="inlineStr">
        <is>
          <t>Attended</t>
        </is>
      </c>
      <c r="G254" s="21" t="n"/>
      <c r="H254" s="12">
        <f>IF(AND(B254="",D254="",F254=""),"",IF(NOT(ISNUMBER(B254)),"Needs a date",IF(D254="","Needs a client",IF(COUNTIF(Clients!$B$6:$B$105,D254)=0,"Not on Clients",IF(AND(F254="",INT(B254)&lt;TODAY()),"Needs a status","")))))</f>
        <v/>
      </c>
      <c r="I254" s="1">
        <f>IF(ISNUMBER(B254),INT(B254),0)</f>
        <v/>
      </c>
      <c r="J254">
        <f>IF(ISNUMBER(B254),YEAR(B254)*100+MONTH(B254),"")</f>
        <v/>
      </c>
      <c r="K254">
        <f>IF(AND(H254="",OR(F254="Attended",F254="No-show",AND(F254="Late cancel",Settings!$C$9="Yes"))),1,0)</f>
        <v/>
      </c>
      <c r="L254">
        <f>IF(AND(H254="",F254="Attended"),1,0)</f>
        <v/>
      </c>
      <c r="M254">
        <f>IF(AND(H254="",OR(F254="No-show",F254="Late cancel")),1,0)</f>
        <v/>
      </c>
      <c r="N254">
        <f>IF(AND(H254="",F254="",D254&lt;&gt;"",I254&gt;=TODAY()),ROUND((I254+IF(ISNUMBER(C254),MOD(C254,1),0))*1440,0)*10000+ROW(),"")</f>
        <v/>
      </c>
    </row>
    <row r="255">
      <c r="A255" s="1" t="n"/>
      <c r="B255" s="17" t="n">
        <v>46253</v>
      </c>
      <c r="C255" s="18" t="n">
        <v>0.5208333333333334</v>
      </c>
      <c r="D255" s="19" t="inlineStr">
        <is>
          <t>Priya Nair</t>
        </is>
      </c>
      <c r="E255" s="20" t="inlineStr">
        <is>
          <t>1 to 1</t>
        </is>
      </c>
      <c r="F255" s="20" t="inlineStr">
        <is>
          <t>Attended</t>
        </is>
      </c>
      <c r="G255" s="21" t="n"/>
      <c r="H255" s="12">
        <f>IF(AND(B255="",D255="",F255=""),"",IF(NOT(ISNUMBER(B255)),"Needs a date",IF(D255="","Needs a client",IF(COUNTIF(Clients!$B$6:$B$105,D255)=0,"Not on Clients",IF(AND(F255="",INT(B255)&lt;TODAY()),"Needs a status","")))))</f>
        <v/>
      </c>
      <c r="I255" s="1">
        <f>IF(ISNUMBER(B255),INT(B255),0)</f>
        <v/>
      </c>
      <c r="J255">
        <f>IF(ISNUMBER(B255),YEAR(B255)*100+MONTH(B255),"")</f>
        <v/>
      </c>
      <c r="K255">
        <f>IF(AND(H255="",OR(F255="Attended",F255="No-show",AND(F255="Late cancel",Settings!$C$9="Yes"))),1,0)</f>
        <v/>
      </c>
      <c r="L255">
        <f>IF(AND(H255="",F255="Attended"),1,0)</f>
        <v/>
      </c>
      <c r="M255">
        <f>IF(AND(H255="",OR(F255="No-show",F255="Late cancel")),1,0)</f>
        <v/>
      </c>
      <c r="N255">
        <f>IF(AND(H255="",F255="",D255&lt;&gt;"",I255&gt;=TODAY()),ROUND((I255+IF(ISNUMBER(C255),MOD(C255,1),0))*1440,0)*10000+ROW(),"")</f>
        <v/>
      </c>
    </row>
    <row r="256">
      <c r="A256" s="1" t="n"/>
      <c r="B256" s="17" t="n">
        <v>46253</v>
      </c>
      <c r="C256" s="18" t="n">
        <v>0.7708333333333334</v>
      </c>
      <c r="D256" s="19" t="inlineStr">
        <is>
          <t>Leah Fischer</t>
        </is>
      </c>
      <c r="E256" s="20" t="inlineStr">
        <is>
          <t>Duo</t>
        </is>
      </c>
      <c r="F256" s="20" t="inlineStr">
        <is>
          <t>Attended</t>
        </is>
      </c>
      <c r="G256" s="21" t="n"/>
      <c r="H256" s="12">
        <f>IF(AND(B256="",D256="",F256=""),"",IF(NOT(ISNUMBER(B256)),"Needs a date",IF(D256="","Needs a client",IF(COUNTIF(Clients!$B$6:$B$105,D256)=0,"Not on Clients",IF(AND(F256="",INT(B256)&lt;TODAY()),"Needs a status","")))))</f>
        <v/>
      </c>
      <c r="I256" s="1">
        <f>IF(ISNUMBER(B256),INT(B256),0)</f>
        <v/>
      </c>
      <c r="J256">
        <f>IF(ISNUMBER(B256),YEAR(B256)*100+MONTH(B256),"")</f>
        <v/>
      </c>
      <c r="K256">
        <f>IF(AND(H256="",OR(F256="Attended",F256="No-show",AND(F256="Late cancel",Settings!$C$9="Yes"))),1,0)</f>
        <v/>
      </c>
      <c r="L256">
        <f>IF(AND(H256="",F256="Attended"),1,0)</f>
        <v/>
      </c>
      <c r="M256">
        <f>IF(AND(H256="",OR(F256="No-show",F256="Late cancel")),1,0)</f>
        <v/>
      </c>
      <c r="N256">
        <f>IF(AND(H256="",F256="",D256&lt;&gt;"",I256&gt;=TODAY()),ROUND((I256+IF(ISNUMBER(C256),MOD(C256,1),0))*1440,0)*10000+ROW(),"")</f>
        <v/>
      </c>
    </row>
    <row r="257">
      <c r="A257" s="1" t="n"/>
      <c r="B257" s="17" t="n">
        <v>46254</v>
      </c>
      <c r="C257" s="18" t="n">
        <v>0.3333333333333333</v>
      </c>
      <c r="D257" s="19" t="inlineStr">
        <is>
          <t>Ben Carter</t>
        </is>
      </c>
      <c r="E257" s="20" t="inlineStr">
        <is>
          <t>1 to 1</t>
        </is>
      </c>
      <c r="F257" s="20" t="inlineStr">
        <is>
          <t>Attended</t>
        </is>
      </c>
      <c r="G257" s="21" t="n"/>
      <c r="H257" s="12">
        <f>IF(AND(B257="",D257="",F257=""),"",IF(NOT(ISNUMBER(B257)),"Needs a date",IF(D257="","Needs a client",IF(COUNTIF(Clients!$B$6:$B$105,D257)=0,"Not on Clients",IF(AND(F257="",INT(B257)&lt;TODAY()),"Needs a status","")))))</f>
        <v/>
      </c>
      <c r="I257" s="1">
        <f>IF(ISNUMBER(B257),INT(B257),0)</f>
        <v/>
      </c>
      <c r="J257">
        <f>IF(ISNUMBER(B257),YEAR(B257)*100+MONTH(B257),"")</f>
        <v/>
      </c>
      <c r="K257">
        <f>IF(AND(H257="",OR(F257="Attended",F257="No-show",AND(F257="Late cancel",Settings!$C$9="Yes"))),1,0)</f>
        <v/>
      </c>
      <c r="L257">
        <f>IF(AND(H257="",F257="Attended"),1,0)</f>
        <v/>
      </c>
      <c r="M257">
        <f>IF(AND(H257="",OR(F257="No-show",F257="Late cancel")),1,0)</f>
        <v/>
      </c>
      <c r="N257">
        <f>IF(AND(H257="",F257="",D257&lt;&gt;"",I257&gt;=TODAY()),ROUND((I257+IF(ISNUMBER(C257),MOD(C257,1),0))*1440,0)*10000+ROW(),"")</f>
        <v/>
      </c>
    </row>
    <row r="258">
      <c r="A258" s="1" t="n"/>
      <c r="B258" s="17" t="n">
        <v>46254</v>
      </c>
      <c r="C258" s="18" t="n">
        <v>0.5208333333333334</v>
      </c>
      <c r="D258" s="19" t="inlineStr">
        <is>
          <t>Luis Moreno</t>
        </is>
      </c>
      <c r="E258" s="20" t="inlineStr">
        <is>
          <t>1 to 1</t>
        </is>
      </c>
      <c r="F258" s="20" t="inlineStr">
        <is>
          <t>Attended</t>
        </is>
      </c>
      <c r="G258" s="21" t="n"/>
      <c r="H258" s="12">
        <f>IF(AND(B258="",D258="",F258=""),"",IF(NOT(ISNUMBER(B258)),"Needs a date",IF(D258="","Needs a client",IF(COUNTIF(Clients!$B$6:$B$105,D258)=0,"Not on Clients",IF(AND(F258="",INT(B258)&lt;TODAY()),"Needs a status","")))))</f>
        <v/>
      </c>
      <c r="I258" s="1">
        <f>IF(ISNUMBER(B258),INT(B258),0)</f>
        <v/>
      </c>
      <c r="J258">
        <f>IF(ISNUMBER(B258),YEAR(B258)*100+MONTH(B258),"")</f>
        <v/>
      </c>
      <c r="K258">
        <f>IF(AND(H258="",OR(F258="Attended",F258="No-show",AND(F258="Late cancel",Settings!$C$9="Yes"))),1,0)</f>
        <v/>
      </c>
      <c r="L258">
        <f>IF(AND(H258="",F258="Attended"),1,0)</f>
        <v/>
      </c>
      <c r="M258">
        <f>IF(AND(H258="",OR(F258="No-show",F258="Late cancel")),1,0)</f>
        <v/>
      </c>
      <c r="N258">
        <f>IF(AND(H258="",F258="",D258&lt;&gt;"",I258&gt;=TODAY()),ROUND((I258+IF(ISNUMBER(C258),MOD(C258,1),0))*1440,0)*10000+ROW(),"")</f>
        <v/>
      </c>
    </row>
    <row r="259">
      <c r="A259" s="1" t="n"/>
      <c r="B259" s="17" t="n">
        <v>46255</v>
      </c>
      <c r="C259" s="18" t="n">
        <v>0.7291666666666666</v>
      </c>
      <c r="D259" s="19" t="inlineStr">
        <is>
          <t>Tom Walsh</t>
        </is>
      </c>
      <c r="E259" s="20" t="inlineStr">
        <is>
          <t>1 to 1</t>
        </is>
      </c>
      <c r="F259" s="20" t="inlineStr">
        <is>
          <t>Attended</t>
        </is>
      </c>
      <c r="G259" s="21" t="n"/>
      <c r="H259" s="12">
        <f>IF(AND(B259="",D259="",F259=""),"",IF(NOT(ISNUMBER(B259)),"Needs a date",IF(D259="","Needs a client",IF(COUNTIF(Clients!$B$6:$B$105,D259)=0,"Not on Clients",IF(AND(F259="",INT(B259)&lt;TODAY()),"Needs a status","")))))</f>
        <v/>
      </c>
      <c r="I259" s="1">
        <f>IF(ISNUMBER(B259),INT(B259),0)</f>
        <v/>
      </c>
      <c r="J259">
        <f>IF(ISNUMBER(B259),YEAR(B259)*100+MONTH(B259),"")</f>
        <v/>
      </c>
      <c r="K259">
        <f>IF(AND(H259="",OR(F259="Attended",F259="No-show",AND(F259="Late cancel",Settings!$C$9="Yes"))),1,0)</f>
        <v/>
      </c>
      <c r="L259">
        <f>IF(AND(H259="",F259="Attended"),1,0)</f>
        <v/>
      </c>
      <c r="M259">
        <f>IF(AND(H259="",OR(F259="No-show",F259="Late cancel")),1,0)</f>
        <v/>
      </c>
      <c r="N259">
        <f>IF(AND(H259="",F259="",D259&lt;&gt;"",I259&gt;=TODAY()),ROUND((I259+IF(ISNUMBER(C259),MOD(C259,1),0))*1440,0)*10000+ROW(),"")</f>
        <v/>
      </c>
    </row>
    <row r="260">
      <c r="A260" s="1" t="n"/>
      <c r="B260" s="17" t="n">
        <v>46256</v>
      </c>
      <c r="C260" s="18" t="n">
        <v>0.2916666666666667</v>
      </c>
      <c r="D260" s="19" t="inlineStr">
        <is>
          <t>Maya Ortiz</t>
        </is>
      </c>
      <c r="E260" s="20" t="inlineStr">
        <is>
          <t>Duo</t>
        </is>
      </c>
      <c r="F260" s="20" t="inlineStr">
        <is>
          <t>Late cancel</t>
        </is>
      </c>
      <c r="G260" s="21" t="n"/>
      <c r="H260" s="12">
        <f>IF(AND(B260="",D260="",F260=""),"",IF(NOT(ISNUMBER(B260)),"Needs a date",IF(D260="","Needs a client",IF(COUNTIF(Clients!$B$6:$B$105,D260)=0,"Not on Clients",IF(AND(F260="",INT(B260)&lt;TODAY()),"Needs a status","")))))</f>
        <v/>
      </c>
      <c r="I260" s="1">
        <f>IF(ISNUMBER(B260),INT(B260),0)</f>
        <v/>
      </c>
      <c r="J260">
        <f>IF(ISNUMBER(B260),YEAR(B260)*100+MONTH(B260),"")</f>
        <v/>
      </c>
      <c r="K260">
        <f>IF(AND(H260="",OR(F260="Attended",F260="No-show",AND(F260="Late cancel",Settings!$C$9="Yes"))),1,0)</f>
        <v/>
      </c>
      <c r="L260">
        <f>IF(AND(H260="",F260="Attended"),1,0)</f>
        <v/>
      </c>
      <c r="M260">
        <f>IF(AND(H260="",OR(F260="No-show",F260="Late cancel")),1,0)</f>
        <v/>
      </c>
      <c r="N260">
        <f>IF(AND(H260="",F260="",D260&lt;&gt;"",I260&gt;=TODAY()),ROUND((I260+IF(ISNUMBER(C260),MOD(C260,1),0))*1440,0)*10000+ROW(),"")</f>
        <v/>
      </c>
    </row>
    <row r="261">
      <c r="A261" s="1" t="n"/>
      <c r="B261" s="17" t="n">
        <v>46256</v>
      </c>
      <c r="C261" s="18" t="n">
        <v>0.2916666666666667</v>
      </c>
      <c r="D261" s="19" t="inlineStr">
        <is>
          <t>Omar Haddad</t>
        </is>
      </c>
      <c r="E261" s="20" t="inlineStr">
        <is>
          <t>1 to 1</t>
        </is>
      </c>
      <c r="F261" s="20" t="inlineStr">
        <is>
          <t>Attended</t>
        </is>
      </c>
      <c r="G261" s="21" t="n"/>
      <c r="H261" s="12">
        <f>IF(AND(B261="",D261="",F261=""),"",IF(NOT(ISNUMBER(B261)),"Needs a date",IF(D261="","Needs a client",IF(COUNTIF(Clients!$B$6:$B$105,D261)=0,"Not on Clients",IF(AND(F261="",INT(B261)&lt;TODAY()),"Needs a status","")))))</f>
        <v/>
      </c>
      <c r="I261" s="1">
        <f>IF(ISNUMBER(B261),INT(B261),0)</f>
        <v/>
      </c>
      <c r="J261">
        <f>IF(ISNUMBER(B261),YEAR(B261)*100+MONTH(B261),"")</f>
        <v/>
      </c>
      <c r="K261">
        <f>IF(AND(H261="",OR(F261="Attended",F261="No-show",AND(F261="Late cancel",Settings!$C$9="Yes"))),1,0)</f>
        <v/>
      </c>
      <c r="L261">
        <f>IF(AND(H261="",F261="Attended"),1,0)</f>
        <v/>
      </c>
      <c r="M261">
        <f>IF(AND(H261="",OR(F261="No-show",F261="Late cancel")),1,0)</f>
        <v/>
      </c>
      <c r="N261">
        <f>IF(AND(H261="",F261="",D261&lt;&gt;"",I261&gt;=TODAY()),ROUND((I261+IF(ISNUMBER(C261),MOD(C261,1),0))*1440,0)*10000+ROW(),"")</f>
        <v/>
      </c>
    </row>
    <row r="262">
      <c r="A262" s="1" t="n"/>
      <c r="B262" s="17" t="n">
        <v>46256</v>
      </c>
      <c r="C262" s="18" t="n">
        <v>0.5208333333333334</v>
      </c>
      <c r="D262" s="19" t="inlineStr">
        <is>
          <t>Priya Nair</t>
        </is>
      </c>
      <c r="E262" s="20" t="inlineStr">
        <is>
          <t>1 to 1</t>
        </is>
      </c>
      <c r="F262" s="20" t="inlineStr">
        <is>
          <t>Attended</t>
        </is>
      </c>
      <c r="G262" s="21" t="n"/>
      <c r="H262" s="12">
        <f>IF(AND(B262="",D262="",F262=""),"",IF(NOT(ISNUMBER(B262)),"Needs a date",IF(D262="","Needs a client",IF(COUNTIF(Clients!$B$6:$B$105,D262)=0,"Not on Clients",IF(AND(F262="",INT(B262)&lt;TODAY()),"Needs a status","")))))</f>
        <v/>
      </c>
      <c r="I262" s="1">
        <f>IF(ISNUMBER(B262),INT(B262),0)</f>
        <v/>
      </c>
      <c r="J262">
        <f>IF(ISNUMBER(B262),YEAR(B262)*100+MONTH(B262),"")</f>
        <v/>
      </c>
      <c r="K262">
        <f>IF(AND(H262="",OR(F262="Attended",F262="No-show",AND(F262="Late cancel",Settings!$C$9="Yes"))),1,0)</f>
        <v/>
      </c>
      <c r="L262">
        <f>IF(AND(H262="",F262="Attended"),1,0)</f>
        <v/>
      </c>
      <c r="M262">
        <f>IF(AND(H262="",OR(F262="No-show",F262="Late cancel")),1,0)</f>
        <v/>
      </c>
      <c r="N262">
        <f>IF(AND(H262="",F262="",D262&lt;&gt;"",I262&gt;=TODAY()),ROUND((I262+IF(ISNUMBER(C262),MOD(C262,1),0))*1440,0)*10000+ROW(),"")</f>
        <v/>
      </c>
    </row>
    <row r="263">
      <c r="A263" s="1" t="n"/>
      <c r="B263" s="17" t="n">
        <v>46257</v>
      </c>
      <c r="C263" s="18" t="n">
        <v>0.3333333333333333</v>
      </c>
      <c r="D263" s="19" t="inlineStr">
        <is>
          <t>Ben Carter</t>
        </is>
      </c>
      <c r="E263" s="20" t="inlineStr">
        <is>
          <t>1 to 1</t>
        </is>
      </c>
      <c r="F263" s="20" t="inlineStr">
        <is>
          <t>Attended</t>
        </is>
      </c>
      <c r="G263" s="21" t="n"/>
      <c r="H263" s="12">
        <f>IF(AND(B263="",D263="",F263=""),"",IF(NOT(ISNUMBER(B263)),"Needs a date",IF(D263="","Needs a client",IF(COUNTIF(Clients!$B$6:$B$105,D263)=0,"Not on Clients",IF(AND(F263="",INT(B263)&lt;TODAY()),"Needs a status","")))))</f>
        <v/>
      </c>
      <c r="I263" s="1">
        <f>IF(ISNUMBER(B263),INT(B263),0)</f>
        <v/>
      </c>
      <c r="J263">
        <f>IF(ISNUMBER(B263),YEAR(B263)*100+MONTH(B263),"")</f>
        <v/>
      </c>
      <c r="K263">
        <f>IF(AND(H263="",OR(F263="Attended",F263="No-show",AND(F263="Late cancel",Settings!$C$9="Yes"))),1,0)</f>
        <v/>
      </c>
      <c r="L263">
        <f>IF(AND(H263="",F263="Attended"),1,0)</f>
        <v/>
      </c>
      <c r="M263">
        <f>IF(AND(H263="",OR(F263="No-show",F263="Late cancel")),1,0)</f>
        <v/>
      </c>
      <c r="N263">
        <f>IF(AND(H263="",F263="",D263&lt;&gt;"",I263&gt;=TODAY()),ROUND((I263+IF(ISNUMBER(C263),MOD(C263,1),0))*1440,0)*10000+ROW(),"")</f>
        <v/>
      </c>
    </row>
    <row r="264">
      <c r="A264" s="1" t="n"/>
      <c r="B264" s="17" t="n">
        <v>46257</v>
      </c>
      <c r="C264" s="18" t="n">
        <v>0.5208333333333334</v>
      </c>
      <c r="D264" s="19" t="inlineStr">
        <is>
          <t>Luis Moreno</t>
        </is>
      </c>
      <c r="E264" s="20" t="inlineStr">
        <is>
          <t>1 to 1</t>
        </is>
      </c>
      <c r="F264" s="20" t="inlineStr">
        <is>
          <t>Attended</t>
        </is>
      </c>
      <c r="G264" s="21" t="n"/>
      <c r="H264" s="12">
        <f>IF(AND(B264="",D264="",F264=""),"",IF(NOT(ISNUMBER(B264)),"Needs a date",IF(D264="","Needs a client",IF(COUNTIF(Clients!$B$6:$B$105,D264)=0,"Not on Clients",IF(AND(F264="",INT(B264)&lt;TODAY()),"Needs a status","")))))</f>
        <v/>
      </c>
      <c r="I264" s="1">
        <f>IF(ISNUMBER(B264),INT(B264),0)</f>
        <v/>
      </c>
      <c r="J264">
        <f>IF(ISNUMBER(B264),YEAR(B264)*100+MONTH(B264),"")</f>
        <v/>
      </c>
      <c r="K264">
        <f>IF(AND(H264="",OR(F264="Attended",F264="No-show",AND(F264="Late cancel",Settings!$C$9="Yes"))),1,0)</f>
        <v/>
      </c>
      <c r="L264">
        <f>IF(AND(H264="",F264="Attended"),1,0)</f>
        <v/>
      </c>
      <c r="M264">
        <f>IF(AND(H264="",OR(F264="No-show",F264="Late cancel")),1,0)</f>
        <v/>
      </c>
      <c r="N264">
        <f>IF(AND(H264="",F264="",D264&lt;&gt;"",I264&gt;=TODAY()),ROUND((I264+IF(ISNUMBER(C264),MOD(C264,1),0))*1440,0)*10000+ROW(),"")</f>
        <v/>
      </c>
    </row>
    <row r="265">
      <c r="A265" s="1" t="n"/>
      <c r="B265" s="17" t="n">
        <v>46257</v>
      </c>
      <c r="C265" s="18" t="n">
        <v>0.7708333333333334</v>
      </c>
      <c r="D265" s="19" t="inlineStr">
        <is>
          <t>Leah Fischer</t>
        </is>
      </c>
      <c r="E265" s="20" t="inlineStr">
        <is>
          <t>Duo</t>
        </is>
      </c>
      <c r="F265" s="20" t="inlineStr">
        <is>
          <t>Attended</t>
        </is>
      </c>
      <c r="G265" s="21" t="n"/>
      <c r="H265" s="12">
        <f>IF(AND(B265="",D265="",F265=""),"",IF(NOT(ISNUMBER(B265)),"Needs a date",IF(D265="","Needs a client",IF(COUNTIF(Clients!$B$6:$B$105,D265)=0,"Not on Clients",IF(AND(F265="",INT(B265)&lt;TODAY()),"Needs a status","")))))</f>
        <v/>
      </c>
      <c r="I265" s="1">
        <f>IF(ISNUMBER(B265),INT(B265),0)</f>
        <v/>
      </c>
      <c r="J265">
        <f>IF(ISNUMBER(B265),YEAR(B265)*100+MONTH(B265),"")</f>
        <v/>
      </c>
      <c r="K265">
        <f>IF(AND(H265="",OR(F265="Attended",F265="No-show",AND(F265="Late cancel",Settings!$C$9="Yes"))),1,0)</f>
        <v/>
      </c>
      <c r="L265">
        <f>IF(AND(H265="",F265="Attended"),1,0)</f>
        <v/>
      </c>
      <c r="M265">
        <f>IF(AND(H265="",OR(F265="No-show",F265="Late cancel")),1,0)</f>
        <v/>
      </c>
      <c r="N265">
        <f>IF(AND(H265="",F265="",D265&lt;&gt;"",I265&gt;=TODAY()),ROUND((I265+IF(ISNUMBER(C265),MOD(C265,1),0))*1440,0)*10000+ROW(),"")</f>
        <v/>
      </c>
    </row>
    <row r="266">
      <c r="A266" s="1" t="n"/>
      <c r="B266" s="17" t="n">
        <v>46259</v>
      </c>
      <c r="C266" s="18" t="n">
        <v>0.2916666666666667</v>
      </c>
      <c r="D266" s="19" t="inlineStr">
        <is>
          <t>Omar Haddad</t>
        </is>
      </c>
      <c r="E266" s="20" t="inlineStr">
        <is>
          <t>1 to 1</t>
        </is>
      </c>
      <c r="F266" s="20" t="inlineStr">
        <is>
          <t>Attended</t>
        </is>
      </c>
      <c r="G266" s="21" t="n"/>
      <c r="H266" s="12">
        <f>IF(AND(B266="",D266="",F266=""),"",IF(NOT(ISNUMBER(B266)),"Needs a date",IF(D266="","Needs a client",IF(COUNTIF(Clients!$B$6:$B$105,D266)=0,"Not on Clients",IF(AND(F266="",INT(B266)&lt;TODAY()),"Needs a status","")))))</f>
        <v/>
      </c>
      <c r="I266" s="1">
        <f>IF(ISNUMBER(B266),INT(B266),0)</f>
        <v/>
      </c>
      <c r="J266">
        <f>IF(ISNUMBER(B266),YEAR(B266)*100+MONTH(B266),"")</f>
        <v/>
      </c>
      <c r="K266">
        <f>IF(AND(H266="",OR(F266="Attended",F266="No-show",AND(F266="Late cancel",Settings!$C$9="Yes"))),1,0)</f>
        <v/>
      </c>
      <c r="L266">
        <f>IF(AND(H266="",F266="Attended"),1,0)</f>
        <v/>
      </c>
      <c r="M266">
        <f>IF(AND(H266="",OR(F266="No-show",F266="Late cancel")),1,0)</f>
        <v/>
      </c>
      <c r="N266">
        <f>IF(AND(H266="",F266="",D266&lt;&gt;"",I266&gt;=TODAY()),ROUND((I266+IF(ISNUMBER(C266),MOD(C266,1),0))*1440,0)*10000+ROW(),"")</f>
        <v/>
      </c>
    </row>
    <row r="267">
      <c r="A267" s="1" t="n"/>
      <c r="B267" s="17" t="n">
        <v>46260</v>
      </c>
      <c r="C267" s="18" t="n">
        <v>0.5208333333333334</v>
      </c>
      <c r="D267" s="19" t="inlineStr">
        <is>
          <t>Priya Nair</t>
        </is>
      </c>
      <c r="E267" s="20" t="inlineStr">
        <is>
          <t>1 to 1</t>
        </is>
      </c>
      <c r="F267" s="20" t="inlineStr">
        <is>
          <t>Attended</t>
        </is>
      </c>
      <c r="G267" s="21" t="n"/>
      <c r="H267" s="12">
        <f>IF(AND(B267="",D267="",F267=""),"",IF(NOT(ISNUMBER(B267)),"Needs a date",IF(D267="","Needs a client",IF(COUNTIF(Clients!$B$6:$B$105,D267)=0,"Not on Clients",IF(AND(F267="",INT(B267)&lt;TODAY()),"Needs a status","")))))</f>
        <v/>
      </c>
      <c r="I267" s="1">
        <f>IF(ISNUMBER(B267),INT(B267),0)</f>
        <v/>
      </c>
      <c r="J267">
        <f>IF(ISNUMBER(B267),YEAR(B267)*100+MONTH(B267),"")</f>
        <v/>
      </c>
      <c r="K267">
        <f>IF(AND(H267="",OR(F267="Attended",F267="No-show",AND(F267="Late cancel",Settings!$C$9="Yes"))),1,0)</f>
        <v/>
      </c>
      <c r="L267">
        <f>IF(AND(H267="",F267="Attended"),1,0)</f>
        <v/>
      </c>
      <c r="M267">
        <f>IF(AND(H267="",OR(F267="No-show",F267="Late cancel")),1,0)</f>
        <v/>
      </c>
      <c r="N267">
        <f>IF(AND(H267="",F267="",D267&lt;&gt;"",I267&gt;=TODAY()),ROUND((I267+IF(ISNUMBER(C267),MOD(C267,1),0))*1440,0)*10000+ROW(),"")</f>
        <v/>
      </c>
    </row>
    <row r="268">
      <c r="A268" s="1" t="n"/>
      <c r="B268" s="17" t="n">
        <v>46260</v>
      </c>
      <c r="C268" s="18" t="n">
        <v>0.7708333333333334</v>
      </c>
      <c r="D268" s="19" t="inlineStr">
        <is>
          <t>Leah Fischer</t>
        </is>
      </c>
      <c r="E268" s="20" t="inlineStr">
        <is>
          <t>Duo</t>
        </is>
      </c>
      <c r="F268" s="20" t="inlineStr">
        <is>
          <t>Attended</t>
        </is>
      </c>
      <c r="G268" s="21" t="n"/>
      <c r="H268" s="12">
        <f>IF(AND(B268="",D268="",F268=""),"",IF(NOT(ISNUMBER(B268)),"Needs a date",IF(D268="","Needs a client",IF(COUNTIF(Clients!$B$6:$B$105,D268)=0,"Not on Clients",IF(AND(F268="",INT(B268)&lt;TODAY()),"Needs a status","")))))</f>
        <v/>
      </c>
      <c r="I268" s="1">
        <f>IF(ISNUMBER(B268),INT(B268),0)</f>
        <v/>
      </c>
      <c r="J268">
        <f>IF(ISNUMBER(B268),YEAR(B268)*100+MONTH(B268),"")</f>
        <v/>
      </c>
      <c r="K268">
        <f>IF(AND(H268="",OR(F268="Attended",F268="No-show",AND(F268="Late cancel",Settings!$C$9="Yes"))),1,0)</f>
        <v/>
      </c>
      <c r="L268">
        <f>IF(AND(H268="",F268="Attended"),1,0)</f>
        <v/>
      </c>
      <c r="M268">
        <f>IF(AND(H268="",OR(F268="No-show",F268="Late cancel")),1,0)</f>
        <v/>
      </c>
      <c r="N268">
        <f>IF(AND(H268="",F268="",D268&lt;&gt;"",I268&gt;=TODAY()),ROUND((I268+IF(ISNUMBER(C268),MOD(C268,1),0))*1440,0)*10000+ROW(),"")</f>
        <v/>
      </c>
    </row>
    <row r="269">
      <c r="A269" s="1" t="n"/>
      <c r="B269" s="17" t="n">
        <v>46261</v>
      </c>
      <c r="C269" s="18" t="n">
        <v>0.3333333333333333</v>
      </c>
      <c r="D269" s="19" t="inlineStr">
        <is>
          <t>Ben Carter</t>
        </is>
      </c>
      <c r="E269" s="20" t="inlineStr">
        <is>
          <t>1 to 1</t>
        </is>
      </c>
      <c r="F269" s="20" t="inlineStr">
        <is>
          <t>Attended</t>
        </is>
      </c>
      <c r="G269" s="21" t="n"/>
      <c r="H269" s="12">
        <f>IF(AND(B269="",D269="",F269=""),"",IF(NOT(ISNUMBER(B269)),"Needs a date",IF(D269="","Needs a client",IF(COUNTIF(Clients!$B$6:$B$105,D269)=0,"Not on Clients",IF(AND(F269="",INT(B269)&lt;TODAY()),"Needs a status","")))))</f>
        <v/>
      </c>
      <c r="I269" s="1">
        <f>IF(ISNUMBER(B269),INT(B269),0)</f>
        <v/>
      </c>
      <c r="J269">
        <f>IF(ISNUMBER(B269),YEAR(B269)*100+MONTH(B269),"")</f>
        <v/>
      </c>
      <c r="K269">
        <f>IF(AND(H269="",OR(F269="Attended",F269="No-show",AND(F269="Late cancel",Settings!$C$9="Yes"))),1,0)</f>
        <v/>
      </c>
      <c r="L269">
        <f>IF(AND(H269="",F269="Attended"),1,0)</f>
        <v/>
      </c>
      <c r="M269">
        <f>IF(AND(H269="",OR(F269="No-show",F269="Late cancel")),1,0)</f>
        <v/>
      </c>
      <c r="N269">
        <f>IF(AND(H269="",F269="",D269&lt;&gt;"",I269&gt;=TODAY()),ROUND((I269+IF(ISNUMBER(C269),MOD(C269,1),0))*1440,0)*10000+ROW(),"")</f>
        <v/>
      </c>
    </row>
    <row r="270">
      <c r="A270" s="1" t="n"/>
      <c r="B270" s="17" t="n">
        <v>46261</v>
      </c>
      <c r="C270" s="18" t="n">
        <v>0.5208333333333334</v>
      </c>
      <c r="D270" s="19" t="inlineStr">
        <is>
          <t>Luis Moreno</t>
        </is>
      </c>
      <c r="E270" s="20" t="inlineStr">
        <is>
          <t>1 to 1</t>
        </is>
      </c>
      <c r="F270" s="20" t="inlineStr">
        <is>
          <t>Attended</t>
        </is>
      </c>
      <c r="G270" s="21" t="n"/>
      <c r="H270" s="12">
        <f>IF(AND(B270="",D270="",F270=""),"",IF(NOT(ISNUMBER(B270)),"Needs a date",IF(D270="","Needs a client",IF(COUNTIF(Clients!$B$6:$B$105,D270)=0,"Not on Clients",IF(AND(F270="",INT(B270)&lt;TODAY()),"Needs a status","")))))</f>
        <v/>
      </c>
      <c r="I270" s="1">
        <f>IF(ISNUMBER(B270),INT(B270),0)</f>
        <v/>
      </c>
      <c r="J270">
        <f>IF(ISNUMBER(B270),YEAR(B270)*100+MONTH(B270),"")</f>
        <v/>
      </c>
      <c r="K270">
        <f>IF(AND(H270="",OR(F270="Attended",F270="No-show",AND(F270="Late cancel",Settings!$C$9="Yes"))),1,0)</f>
        <v/>
      </c>
      <c r="L270">
        <f>IF(AND(H270="",F270="Attended"),1,0)</f>
        <v/>
      </c>
      <c r="M270">
        <f>IF(AND(H270="",OR(F270="No-show",F270="Late cancel")),1,0)</f>
        <v/>
      </c>
      <c r="N270">
        <f>IF(AND(H270="",F270="",D270&lt;&gt;"",I270&gt;=TODAY()),ROUND((I270+IF(ISNUMBER(C270),MOD(C270,1),0))*1440,0)*10000+ROW(),"")</f>
        <v/>
      </c>
    </row>
    <row r="271">
      <c r="A271" s="1" t="n"/>
      <c r="B271" s="17" t="n">
        <v>46262</v>
      </c>
      <c r="C271" s="18" t="n">
        <v>0.7291666666666666</v>
      </c>
      <c r="D271" s="19" t="inlineStr">
        <is>
          <t>Tom Walsh</t>
        </is>
      </c>
      <c r="E271" s="20" t="inlineStr">
        <is>
          <t>1 to 1</t>
        </is>
      </c>
      <c r="F271" s="20" t="inlineStr">
        <is>
          <t>Cancelled</t>
        </is>
      </c>
      <c r="G271" s="21" t="n"/>
      <c r="H271" s="12">
        <f>IF(AND(B271="",D271="",F271=""),"",IF(NOT(ISNUMBER(B271)),"Needs a date",IF(D271="","Needs a client",IF(COUNTIF(Clients!$B$6:$B$105,D271)=0,"Not on Clients",IF(AND(F271="",INT(B271)&lt;TODAY()),"Needs a status","")))))</f>
        <v/>
      </c>
      <c r="I271" s="1">
        <f>IF(ISNUMBER(B271),INT(B271),0)</f>
        <v/>
      </c>
      <c r="J271">
        <f>IF(ISNUMBER(B271),YEAR(B271)*100+MONTH(B271),"")</f>
        <v/>
      </c>
      <c r="K271">
        <f>IF(AND(H271="",OR(F271="Attended",F271="No-show",AND(F271="Late cancel",Settings!$C$9="Yes"))),1,0)</f>
        <v/>
      </c>
      <c r="L271">
        <f>IF(AND(H271="",F271="Attended"),1,0)</f>
        <v/>
      </c>
      <c r="M271">
        <f>IF(AND(H271="",OR(F271="No-show",F271="Late cancel")),1,0)</f>
        <v/>
      </c>
      <c r="N271">
        <f>IF(AND(H271="",F271="",D271&lt;&gt;"",I271&gt;=TODAY()),ROUND((I271+IF(ISNUMBER(C271),MOD(C271,1),0))*1440,0)*10000+ROW(),"")</f>
        <v/>
      </c>
    </row>
    <row r="272">
      <c r="A272" s="1" t="n"/>
      <c r="B272" s="17" t="n">
        <v>46263</v>
      </c>
      <c r="C272" s="18" t="n">
        <v>0.2916666666666667</v>
      </c>
      <c r="D272" s="19" t="inlineStr">
        <is>
          <t>Maya Ortiz</t>
        </is>
      </c>
      <c r="E272" s="20" t="inlineStr">
        <is>
          <t>Duo</t>
        </is>
      </c>
      <c r="F272" s="20" t="inlineStr">
        <is>
          <t>Attended</t>
        </is>
      </c>
      <c r="G272" s="21" t="n"/>
      <c r="H272" s="12">
        <f>IF(AND(B272="",D272="",F272=""),"",IF(NOT(ISNUMBER(B272)),"Needs a date",IF(D272="","Needs a client",IF(COUNTIF(Clients!$B$6:$B$105,D272)=0,"Not on Clients",IF(AND(F272="",INT(B272)&lt;TODAY()),"Needs a status","")))))</f>
        <v/>
      </c>
      <c r="I272" s="1">
        <f>IF(ISNUMBER(B272),INT(B272),0)</f>
        <v/>
      </c>
      <c r="J272">
        <f>IF(ISNUMBER(B272),YEAR(B272)*100+MONTH(B272),"")</f>
        <v/>
      </c>
      <c r="K272">
        <f>IF(AND(H272="",OR(F272="Attended",F272="No-show",AND(F272="Late cancel",Settings!$C$9="Yes"))),1,0)</f>
        <v/>
      </c>
      <c r="L272">
        <f>IF(AND(H272="",F272="Attended"),1,0)</f>
        <v/>
      </c>
      <c r="M272">
        <f>IF(AND(H272="",OR(F272="No-show",F272="Late cancel")),1,0)</f>
        <v/>
      </c>
      <c r="N272">
        <f>IF(AND(H272="",F272="",D272&lt;&gt;"",I272&gt;=TODAY()),ROUND((I272+IF(ISNUMBER(C272),MOD(C272,1),0))*1440,0)*10000+ROW(),"")</f>
        <v/>
      </c>
    </row>
    <row r="273">
      <c r="A273" s="1" t="n"/>
      <c r="B273" s="17" t="n">
        <v>46263</v>
      </c>
      <c r="C273" s="18" t="n">
        <v>0.2916666666666667</v>
      </c>
      <c r="D273" s="19" t="inlineStr">
        <is>
          <t>Omar Haddad</t>
        </is>
      </c>
      <c r="E273" s="20" t="inlineStr">
        <is>
          <t>1 to 1</t>
        </is>
      </c>
      <c r="F273" s="20" t="inlineStr">
        <is>
          <t>Attended</t>
        </is>
      </c>
      <c r="G273" s="21" t="n"/>
      <c r="H273" s="12">
        <f>IF(AND(B273="",D273="",F273=""),"",IF(NOT(ISNUMBER(B273)),"Needs a date",IF(D273="","Needs a client",IF(COUNTIF(Clients!$B$6:$B$105,D273)=0,"Not on Clients",IF(AND(F273="",INT(B273)&lt;TODAY()),"Needs a status","")))))</f>
        <v/>
      </c>
      <c r="I273" s="1">
        <f>IF(ISNUMBER(B273),INT(B273),0)</f>
        <v/>
      </c>
      <c r="J273">
        <f>IF(ISNUMBER(B273),YEAR(B273)*100+MONTH(B273),"")</f>
        <v/>
      </c>
      <c r="K273">
        <f>IF(AND(H273="",OR(F273="Attended",F273="No-show",AND(F273="Late cancel",Settings!$C$9="Yes"))),1,0)</f>
        <v/>
      </c>
      <c r="L273">
        <f>IF(AND(H273="",F273="Attended"),1,0)</f>
        <v/>
      </c>
      <c r="M273">
        <f>IF(AND(H273="",OR(F273="No-show",F273="Late cancel")),1,0)</f>
        <v/>
      </c>
      <c r="N273">
        <f>IF(AND(H273="",F273="",D273&lt;&gt;"",I273&gt;=TODAY()),ROUND((I273+IF(ISNUMBER(C273),MOD(C273,1),0))*1440,0)*10000+ROW(),"")</f>
        <v/>
      </c>
    </row>
    <row r="274">
      <c r="A274" s="1" t="n"/>
      <c r="B274" s="17" t="n">
        <v>46263</v>
      </c>
      <c r="C274" s="18" t="n">
        <v>0.5208333333333334</v>
      </c>
      <c r="D274" s="19" t="inlineStr">
        <is>
          <t>Priya Nair</t>
        </is>
      </c>
      <c r="E274" s="20" t="inlineStr">
        <is>
          <t>1 to 1</t>
        </is>
      </c>
      <c r="F274" s="20" t="inlineStr">
        <is>
          <t>Attended</t>
        </is>
      </c>
      <c r="G274" s="21" t="n"/>
      <c r="H274" s="12">
        <f>IF(AND(B274="",D274="",F274=""),"",IF(NOT(ISNUMBER(B274)),"Needs a date",IF(D274="","Needs a client",IF(COUNTIF(Clients!$B$6:$B$105,D274)=0,"Not on Clients",IF(AND(F274="",INT(B274)&lt;TODAY()),"Needs a status","")))))</f>
        <v/>
      </c>
      <c r="I274" s="1">
        <f>IF(ISNUMBER(B274),INT(B274),0)</f>
        <v/>
      </c>
      <c r="J274">
        <f>IF(ISNUMBER(B274),YEAR(B274)*100+MONTH(B274),"")</f>
        <v/>
      </c>
      <c r="K274">
        <f>IF(AND(H274="",OR(F274="Attended",F274="No-show",AND(F274="Late cancel",Settings!$C$9="Yes"))),1,0)</f>
        <v/>
      </c>
      <c r="L274">
        <f>IF(AND(H274="",F274="Attended"),1,0)</f>
        <v/>
      </c>
      <c r="M274">
        <f>IF(AND(H274="",OR(F274="No-show",F274="Late cancel")),1,0)</f>
        <v/>
      </c>
      <c r="N274">
        <f>IF(AND(H274="",F274="",D274&lt;&gt;"",I274&gt;=TODAY()),ROUND((I274+IF(ISNUMBER(C274),MOD(C274,1),0))*1440,0)*10000+ROW(),"")</f>
        <v/>
      </c>
    </row>
    <row r="275">
      <c r="A275" s="1" t="n"/>
      <c r="B275" s="17" t="n">
        <v>46263</v>
      </c>
      <c r="C275" s="18" t="n">
        <v>0.7708333333333334</v>
      </c>
      <c r="D275" s="19" t="inlineStr">
        <is>
          <t>Sam Taylor</t>
        </is>
      </c>
      <c r="E275" s="20" t="inlineStr">
        <is>
          <t>1 to 1</t>
        </is>
      </c>
      <c r="F275" s="20" t="inlineStr">
        <is>
          <t>Attended</t>
        </is>
      </c>
      <c r="G275" s="21" t="n"/>
      <c r="H275" s="12">
        <f>IF(AND(B275="",D275="",F275=""),"",IF(NOT(ISNUMBER(B275)),"Needs a date",IF(D275="","Needs a client",IF(COUNTIF(Clients!$B$6:$B$105,D275)=0,"Not on Clients",IF(AND(F275="",INT(B275)&lt;TODAY()),"Needs a status","")))))</f>
        <v/>
      </c>
      <c r="I275" s="1">
        <f>IF(ISNUMBER(B275),INT(B275),0)</f>
        <v/>
      </c>
      <c r="J275">
        <f>IF(ISNUMBER(B275),YEAR(B275)*100+MONTH(B275),"")</f>
        <v/>
      </c>
      <c r="K275">
        <f>IF(AND(H275="",OR(F275="Attended",F275="No-show",AND(F275="Late cancel",Settings!$C$9="Yes"))),1,0)</f>
        <v/>
      </c>
      <c r="L275">
        <f>IF(AND(H275="",F275="Attended"),1,0)</f>
        <v/>
      </c>
      <c r="M275">
        <f>IF(AND(H275="",OR(F275="No-show",F275="Late cancel")),1,0)</f>
        <v/>
      </c>
      <c r="N275">
        <f>IF(AND(H275="",F275="",D275&lt;&gt;"",I275&gt;=TODAY()),ROUND((I275+IF(ISNUMBER(C275),MOD(C275,1),0))*1440,0)*10000+ROW(),"")</f>
        <v/>
      </c>
    </row>
    <row r="276">
      <c r="A276" s="1" t="n"/>
      <c r="B276" s="17" t="n">
        <v>46264</v>
      </c>
      <c r="C276" s="18" t="n">
        <v>0.3333333333333333</v>
      </c>
      <c r="D276" s="19" t="inlineStr">
        <is>
          <t>Ben Carter</t>
        </is>
      </c>
      <c r="E276" s="20" t="inlineStr">
        <is>
          <t>1 to 1</t>
        </is>
      </c>
      <c r="F276" s="20" t="inlineStr">
        <is>
          <t>Attended</t>
        </is>
      </c>
      <c r="G276" s="21" t="n"/>
      <c r="H276" s="12">
        <f>IF(AND(B276="",D276="",F276=""),"",IF(NOT(ISNUMBER(B276)),"Needs a date",IF(D276="","Needs a client",IF(COUNTIF(Clients!$B$6:$B$105,D276)=0,"Not on Clients",IF(AND(F276="",INT(B276)&lt;TODAY()),"Needs a status","")))))</f>
        <v/>
      </c>
      <c r="I276" s="1">
        <f>IF(ISNUMBER(B276),INT(B276),0)</f>
        <v/>
      </c>
      <c r="J276">
        <f>IF(ISNUMBER(B276),YEAR(B276)*100+MONTH(B276),"")</f>
        <v/>
      </c>
      <c r="K276">
        <f>IF(AND(H276="",OR(F276="Attended",F276="No-show",AND(F276="Late cancel",Settings!$C$9="Yes"))),1,0)</f>
        <v/>
      </c>
      <c r="L276">
        <f>IF(AND(H276="",F276="Attended"),1,0)</f>
        <v/>
      </c>
      <c r="M276">
        <f>IF(AND(H276="",OR(F276="No-show",F276="Late cancel")),1,0)</f>
        <v/>
      </c>
      <c r="N276">
        <f>IF(AND(H276="",F276="",D276&lt;&gt;"",I276&gt;=TODAY()),ROUND((I276+IF(ISNUMBER(C276),MOD(C276,1),0))*1440,0)*10000+ROW(),"")</f>
        <v/>
      </c>
    </row>
    <row r="277">
      <c r="A277" s="1" t="n"/>
      <c r="B277" s="17" t="n">
        <v>46264</v>
      </c>
      <c r="C277" s="18" t="n">
        <v>0.5208333333333334</v>
      </c>
      <c r="D277" s="19" t="inlineStr">
        <is>
          <t>Luis Moreno</t>
        </is>
      </c>
      <c r="E277" s="20" t="inlineStr">
        <is>
          <t>1 to 1</t>
        </is>
      </c>
      <c r="F277" s="20" t="inlineStr">
        <is>
          <t>Attended</t>
        </is>
      </c>
      <c r="G277" s="21" t="n"/>
      <c r="H277" s="12">
        <f>IF(AND(B277="",D277="",F277=""),"",IF(NOT(ISNUMBER(B277)),"Needs a date",IF(D277="","Needs a client",IF(COUNTIF(Clients!$B$6:$B$105,D277)=0,"Not on Clients",IF(AND(F277="",INT(B277)&lt;TODAY()),"Needs a status","")))))</f>
        <v/>
      </c>
      <c r="I277" s="1">
        <f>IF(ISNUMBER(B277),INT(B277),0)</f>
        <v/>
      </c>
      <c r="J277">
        <f>IF(ISNUMBER(B277),YEAR(B277)*100+MONTH(B277),"")</f>
        <v/>
      </c>
      <c r="K277">
        <f>IF(AND(H277="",OR(F277="Attended",F277="No-show",AND(F277="Late cancel",Settings!$C$9="Yes"))),1,0)</f>
        <v/>
      </c>
      <c r="L277">
        <f>IF(AND(H277="",F277="Attended"),1,0)</f>
        <v/>
      </c>
      <c r="M277">
        <f>IF(AND(H277="",OR(F277="No-show",F277="Late cancel")),1,0)</f>
        <v/>
      </c>
      <c r="N277">
        <f>IF(AND(H277="",F277="",D277&lt;&gt;"",I277&gt;=TODAY()),ROUND((I277+IF(ISNUMBER(C277),MOD(C277,1),0))*1440,0)*10000+ROW(),"")</f>
        <v/>
      </c>
    </row>
    <row r="278">
      <c r="A278" s="1" t="n"/>
      <c r="B278" s="17" t="n">
        <v>46264</v>
      </c>
      <c r="C278" s="18" t="n">
        <v>0.7708333333333334</v>
      </c>
      <c r="D278" s="19" t="inlineStr">
        <is>
          <t>Leah Fischer</t>
        </is>
      </c>
      <c r="E278" s="20" t="inlineStr">
        <is>
          <t>Duo</t>
        </is>
      </c>
      <c r="F278" s="20" t="inlineStr">
        <is>
          <t>Attended</t>
        </is>
      </c>
      <c r="G278" s="21" t="n"/>
      <c r="H278" s="12">
        <f>IF(AND(B278="",D278="",F278=""),"",IF(NOT(ISNUMBER(B278)),"Needs a date",IF(D278="","Needs a client",IF(COUNTIF(Clients!$B$6:$B$105,D278)=0,"Not on Clients",IF(AND(F278="",INT(B278)&lt;TODAY()),"Needs a status","")))))</f>
        <v/>
      </c>
      <c r="I278" s="1">
        <f>IF(ISNUMBER(B278),INT(B278),0)</f>
        <v/>
      </c>
      <c r="J278">
        <f>IF(ISNUMBER(B278),YEAR(B278)*100+MONTH(B278),"")</f>
        <v/>
      </c>
      <c r="K278">
        <f>IF(AND(H278="",OR(F278="Attended",F278="No-show",AND(F278="Late cancel",Settings!$C$9="Yes"))),1,0)</f>
        <v/>
      </c>
      <c r="L278">
        <f>IF(AND(H278="",F278="Attended"),1,0)</f>
        <v/>
      </c>
      <c r="M278">
        <f>IF(AND(H278="",OR(F278="No-show",F278="Late cancel")),1,0)</f>
        <v/>
      </c>
      <c r="N278">
        <f>IF(AND(H278="",F278="",D278&lt;&gt;"",I278&gt;=TODAY()),ROUND((I278+IF(ISNUMBER(C278),MOD(C278,1),0))*1440,0)*10000+ROW(),"")</f>
        <v/>
      </c>
    </row>
    <row r="279">
      <c r="A279" s="1" t="n"/>
      <c r="B279" s="17" t="n">
        <v>46266</v>
      </c>
      <c r="C279" s="18" t="n">
        <v>0.2916666666666667</v>
      </c>
      <c r="D279" s="19" t="inlineStr">
        <is>
          <t>Omar Haddad</t>
        </is>
      </c>
      <c r="E279" s="20" t="inlineStr">
        <is>
          <t>1 to 1</t>
        </is>
      </c>
      <c r="F279" s="20" t="inlineStr">
        <is>
          <t>Attended</t>
        </is>
      </c>
      <c r="G279" s="21" t="n"/>
      <c r="H279" s="12">
        <f>IF(AND(B279="",D279="",F279=""),"",IF(NOT(ISNUMBER(B279)),"Needs a date",IF(D279="","Needs a client",IF(COUNTIF(Clients!$B$6:$B$105,D279)=0,"Not on Clients",IF(AND(F279="",INT(B279)&lt;TODAY()),"Needs a status","")))))</f>
        <v/>
      </c>
      <c r="I279" s="1">
        <f>IF(ISNUMBER(B279),INT(B279),0)</f>
        <v/>
      </c>
      <c r="J279">
        <f>IF(ISNUMBER(B279),YEAR(B279)*100+MONTH(B279),"")</f>
        <v/>
      </c>
      <c r="K279">
        <f>IF(AND(H279="",OR(F279="Attended",F279="No-show",AND(F279="Late cancel",Settings!$C$9="Yes"))),1,0)</f>
        <v/>
      </c>
      <c r="L279">
        <f>IF(AND(H279="",F279="Attended"),1,0)</f>
        <v/>
      </c>
      <c r="M279">
        <f>IF(AND(H279="",OR(F279="No-show",F279="Late cancel")),1,0)</f>
        <v/>
      </c>
      <c r="N279">
        <f>IF(AND(H279="",F279="",D279&lt;&gt;"",I279&gt;=TODAY()),ROUND((I279+IF(ISNUMBER(C279),MOD(C279,1),0))*1440,0)*10000+ROW(),"")</f>
        <v/>
      </c>
    </row>
    <row r="280">
      <c r="A280" s="1" t="n"/>
      <c r="B280" s="17" t="n">
        <v>46267</v>
      </c>
      <c r="C280" s="18" t="n">
        <v>0.5208333333333334</v>
      </c>
      <c r="D280" s="19" t="inlineStr">
        <is>
          <t>Priya Nair</t>
        </is>
      </c>
      <c r="E280" s="20" t="inlineStr">
        <is>
          <t>1 to 1</t>
        </is>
      </c>
      <c r="F280" s="20" t="inlineStr">
        <is>
          <t>Attended</t>
        </is>
      </c>
      <c r="G280" s="21" t="n"/>
      <c r="H280" s="12">
        <f>IF(AND(B280="",D280="",F280=""),"",IF(NOT(ISNUMBER(B280)),"Needs a date",IF(D280="","Needs a client",IF(COUNTIF(Clients!$B$6:$B$105,D280)=0,"Not on Clients",IF(AND(F280="",INT(B280)&lt;TODAY()),"Needs a status","")))))</f>
        <v/>
      </c>
      <c r="I280" s="1">
        <f>IF(ISNUMBER(B280),INT(B280),0)</f>
        <v/>
      </c>
      <c r="J280">
        <f>IF(ISNUMBER(B280),YEAR(B280)*100+MONTH(B280),"")</f>
        <v/>
      </c>
      <c r="K280">
        <f>IF(AND(H280="",OR(F280="Attended",F280="No-show",AND(F280="Late cancel",Settings!$C$9="Yes"))),1,0)</f>
        <v/>
      </c>
      <c r="L280">
        <f>IF(AND(H280="",F280="Attended"),1,0)</f>
        <v/>
      </c>
      <c r="M280">
        <f>IF(AND(H280="",OR(F280="No-show",F280="Late cancel")),1,0)</f>
        <v/>
      </c>
      <c r="N280">
        <f>IF(AND(H280="",F280="",D280&lt;&gt;"",I280&gt;=TODAY()),ROUND((I280+IF(ISNUMBER(C280),MOD(C280,1),0))*1440,0)*10000+ROW(),"")</f>
        <v/>
      </c>
    </row>
    <row r="281">
      <c r="A281" s="1" t="n"/>
      <c r="B281" s="17" t="n">
        <v>46267</v>
      </c>
      <c r="C281" s="18" t="n">
        <v>0.7708333333333334</v>
      </c>
      <c r="D281" s="19" t="inlineStr">
        <is>
          <t>Leah Fischer</t>
        </is>
      </c>
      <c r="E281" s="20" t="inlineStr">
        <is>
          <t>Duo</t>
        </is>
      </c>
      <c r="F281" s="20" t="inlineStr">
        <is>
          <t>Attended</t>
        </is>
      </c>
      <c r="G281" s="21" t="n"/>
      <c r="H281" s="12">
        <f>IF(AND(B281="",D281="",F281=""),"",IF(NOT(ISNUMBER(B281)),"Needs a date",IF(D281="","Needs a client",IF(COUNTIF(Clients!$B$6:$B$105,D281)=0,"Not on Clients",IF(AND(F281="",INT(B281)&lt;TODAY()),"Needs a status","")))))</f>
        <v/>
      </c>
      <c r="I281" s="1">
        <f>IF(ISNUMBER(B281),INT(B281),0)</f>
        <v/>
      </c>
      <c r="J281">
        <f>IF(ISNUMBER(B281),YEAR(B281)*100+MONTH(B281),"")</f>
        <v/>
      </c>
      <c r="K281">
        <f>IF(AND(H281="",OR(F281="Attended",F281="No-show",AND(F281="Late cancel",Settings!$C$9="Yes"))),1,0)</f>
        <v/>
      </c>
      <c r="L281">
        <f>IF(AND(H281="",F281="Attended"),1,0)</f>
        <v/>
      </c>
      <c r="M281">
        <f>IF(AND(H281="",OR(F281="No-show",F281="Late cancel")),1,0)</f>
        <v/>
      </c>
      <c r="N281">
        <f>IF(AND(H281="",F281="",D281&lt;&gt;"",I281&gt;=TODAY()),ROUND((I281+IF(ISNUMBER(C281),MOD(C281,1),0))*1440,0)*10000+ROW(),"")</f>
        <v/>
      </c>
    </row>
    <row r="282">
      <c r="A282" s="1" t="n"/>
      <c r="B282" s="17" t="n">
        <v>46268</v>
      </c>
      <c r="C282" s="18" t="n">
        <v>0.3333333333333333</v>
      </c>
      <c r="D282" s="19" t="inlineStr">
        <is>
          <t>Ben Carter</t>
        </is>
      </c>
      <c r="E282" s="20" t="inlineStr">
        <is>
          <t>1 to 1</t>
        </is>
      </c>
      <c r="F282" s="20" t="inlineStr">
        <is>
          <t>Attended</t>
        </is>
      </c>
      <c r="G282" s="21" t="n"/>
      <c r="H282" s="12">
        <f>IF(AND(B282="",D282="",F282=""),"",IF(NOT(ISNUMBER(B282)),"Needs a date",IF(D282="","Needs a client",IF(COUNTIF(Clients!$B$6:$B$105,D282)=0,"Not on Clients",IF(AND(F282="",INT(B282)&lt;TODAY()),"Needs a status","")))))</f>
        <v/>
      </c>
      <c r="I282" s="1">
        <f>IF(ISNUMBER(B282),INT(B282),0)</f>
        <v/>
      </c>
      <c r="J282">
        <f>IF(ISNUMBER(B282),YEAR(B282)*100+MONTH(B282),"")</f>
        <v/>
      </c>
      <c r="K282">
        <f>IF(AND(H282="",OR(F282="Attended",F282="No-show",AND(F282="Late cancel",Settings!$C$9="Yes"))),1,0)</f>
        <v/>
      </c>
      <c r="L282">
        <f>IF(AND(H282="",F282="Attended"),1,0)</f>
        <v/>
      </c>
      <c r="M282">
        <f>IF(AND(H282="",OR(F282="No-show",F282="Late cancel")),1,0)</f>
        <v/>
      </c>
      <c r="N282">
        <f>IF(AND(H282="",F282="",D282&lt;&gt;"",I282&gt;=TODAY()),ROUND((I282+IF(ISNUMBER(C282),MOD(C282,1),0))*1440,0)*10000+ROW(),"")</f>
        <v/>
      </c>
    </row>
    <row r="283">
      <c r="A283" s="1" t="n"/>
      <c r="B283" s="17" t="n">
        <v>46268</v>
      </c>
      <c r="C283" s="18" t="n">
        <v>0.5208333333333334</v>
      </c>
      <c r="D283" s="19" t="inlineStr">
        <is>
          <t>Luis Moreno</t>
        </is>
      </c>
      <c r="E283" s="20" t="inlineStr">
        <is>
          <t>1 to 1</t>
        </is>
      </c>
      <c r="F283" s="20" t="inlineStr">
        <is>
          <t>Attended</t>
        </is>
      </c>
      <c r="G283" s="21" t="n"/>
      <c r="H283" s="12">
        <f>IF(AND(B283="",D283="",F283=""),"",IF(NOT(ISNUMBER(B283)),"Needs a date",IF(D283="","Needs a client",IF(COUNTIF(Clients!$B$6:$B$105,D283)=0,"Not on Clients",IF(AND(F283="",INT(B283)&lt;TODAY()),"Needs a status","")))))</f>
        <v/>
      </c>
      <c r="I283" s="1">
        <f>IF(ISNUMBER(B283),INT(B283),0)</f>
        <v/>
      </c>
      <c r="J283">
        <f>IF(ISNUMBER(B283),YEAR(B283)*100+MONTH(B283),"")</f>
        <v/>
      </c>
      <c r="K283">
        <f>IF(AND(H283="",OR(F283="Attended",F283="No-show",AND(F283="Late cancel",Settings!$C$9="Yes"))),1,0)</f>
        <v/>
      </c>
      <c r="L283">
        <f>IF(AND(H283="",F283="Attended"),1,0)</f>
        <v/>
      </c>
      <c r="M283">
        <f>IF(AND(H283="",OR(F283="No-show",F283="Late cancel")),1,0)</f>
        <v/>
      </c>
      <c r="N283">
        <f>IF(AND(H283="",F283="",D283&lt;&gt;"",I283&gt;=TODAY()),ROUND((I283+IF(ISNUMBER(C283),MOD(C283,1),0))*1440,0)*10000+ROW(),"")</f>
        <v/>
      </c>
    </row>
    <row r="284">
      <c r="A284" s="1" t="n"/>
      <c r="B284" s="17" t="n">
        <v>46269</v>
      </c>
      <c r="C284" s="18" t="n">
        <v>0.7291666666666666</v>
      </c>
      <c r="D284" s="19" t="inlineStr">
        <is>
          <t>Tom Walsh</t>
        </is>
      </c>
      <c r="E284" s="20" t="inlineStr">
        <is>
          <t>1 to 1</t>
        </is>
      </c>
      <c r="F284" s="20" t="inlineStr">
        <is>
          <t>No-show</t>
        </is>
      </c>
      <c r="G284" s="21" t="n"/>
      <c r="H284" s="12">
        <f>IF(AND(B284="",D284="",F284=""),"",IF(NOT(ISNUMBER(B284)),"Needs a date",IF(D284="","Needs a client",IF(COUNTIF(Clients!$B$6:$B$105,D284)=0,"Not on Clients",IF(AND(F284="",INT(B284)&lt;TODAY()),"Needs a status","")))))</f>
        <v/>
      </c>
      <c r="I284" s="1">
        <f>IF(ISNUMBER(B284),INT(B284),0)</f>
        <v/>
      </c>
      <c r="J284">
        <f>IF(ISNUMBER(B284),YEAR(B284)*100+MONTH(B284),"")</f>
        <v/>
      </c>
      <c r="K284">
        <f>IF(AND(H284="",OR(F284="Attended",F284="No-show",AND(F284="Late cancel",Settings!$C$9="Yes"))),1,0)</f>
        <v/>
      </c>
      <c r="L284">
        <f>IF(AND(H284="",F284="Attended"),1,0)</f>
        <v/>
      </c>
      <c r="M284">
        <f>IF(AND(H284="",OR(F284="No-show",F284="Late cancel")),1,0)</f>
        <v/>
      </c>
      <c r="N284">
        <f>IF(AND(H284="",F284="",D284&lt;&gt;"",I284&gt;=TODAY()),ROUND((I284+IF(ISNUMBER(C284),MOD(C284,1),0))*1440,0)*10000+ROW(),"")</f>
        <v/>
      </c>
    </row>
    <row r="285">
      <c r="A285" s="1" t="n"/>
      <c r="B285" s="17" t="n">
        <v>46270</v>
      </c>
      <c r="C285" s="18" t="n">
        <v>0.2916666666666667</v>
      </c>
      <c r="D285" s="19" t="inlineStr">
        <is>
          <t>Maya Ortiz</t>
        </is>
      </c>
      <c r="E285" s="20" t="inlineStr">
        <is>
          <t>Duo</t>
        </is>
      </c>
      <c r="F285" s="20" t="inlineStr">
        <is>
          <t>Attended</t>
        </is>
      </c>
      <c r="G285" s="21" t="n"/>
      <c r="H285" s="12">
        <f>IF(AND(B285="",D285="",F285=""),"",IF(NOT(ISNUMBER(B285)),"Needs a date",IF(D285="","Needs a client",IF(COUNTIF(Clients!$B$6:$B$105,D285)=0,"Not on Clients",IF(AND(F285="",INT(B285)&lt;TODAY()),"Needs a status","")))))</f>
        <v/>
      </c>
      <c r="I285" s="1">
        <f>IF(ISNUMBER(B285),INT(B285),0)</f>
        <v/>
      </c>
      <c r="J285">
        <f>IF(ISNUMBER(B285),YEAR(B285)*100+MONTH(B285),"")</f>
        <v/>
      </c>
      <c r="K285">
        <f>IF(AND(H285="",OR(F285="Attended",F285="No-show",AND(F285="Late cancel",Settings!$C$9="Yes"))),1,0)</f>
        <v/>
      </c>
      <c r="L285">
        <f>IF(AND(H285="",F285="Attended"),1,0)</f>
        <v/>
      </c>
      <c r="M285">
        <f>IF(AND(H285="",OR(F285="No-show",F285="Late cancel")),1,0)</f>
        <v/>
      </c>
      <c r="N285">
        <f>IF(AND(H285="",F285="",D285&lt;&gt;"",I285&gt;=TODAY()),ROUND((I285+IF(ISNUMBER(C285),MOD(C285,1),0))*1440,0)*10000+ROW(),"")</f>
        <v/>
      </c>
    </row>
    <row r="286">
      <c r="A286" s="1" t="n"/>
      <c r="B286" s="17" t="n">
        <v>46270</v>
      </c>
      <c r="C286" s="18" t="n">
        <v>0.2916666666666667</v>
      </c>
      <c r="D286" s="19" t="inlineStr">
        <is>
          <t>Omar Haddad</t>
        </is>
      </c>
      <c r="E286" s="20" t="inlineStr">
        <is>
          <t>1 to 1</t>
        </is>
      </c>
      <c r="F286" s="20" t="inlineStr">
        <is>
          <t>Attended</t>
        </is>
      </c>
      <c r="G286" s="21" t="n"/>
      <c r="H286" s="12">
        <f>IF(AND(B286="",D286="",F286=""),"",IF(NOT(ISNUMBER(B286)),"Needs a date",IF(D286="","Needs a client",IF(COUNTIF(Clients!$B$6:$B$105,D286)=0,"Not on Clients",IF(AND(F286="",INT(B286)&lt;TODAY()),"Needs a status","")))))</f>
        <v/>
      </c>
      <c r="I286" s="1">
        <f>IF(ISNUMBER(B286),INT(B286),0)</f>
        <v/>
      </c>
      <c r="J286">
        <f>IF(ISNUMBER(B286),YEAR(B286)*100+MONTH(B286),"")</f>
        <v/>
      </c>
      <c r="K286">
        <f>IF(AND(H286="",OR(F286="Attended",F286="No-show",AND(F286="Late cancel",Settings!$C$9="Yes"))),1,0)</f>
        <v/>
      </c>
      <c r="L286">
        <f>IF(AND(H286="",F286="Attended"),1,0)</f>
        <v/>
      </c>
      <c r="M286">
        <f>IF(AND(H286="",OR(F286="No-show",F286="Late cancel")),1,0)</f>
        <v/>
      </c>
      <c r="N286">
        <f>IF(AND(H286="",F286="",D286&lt;&gt;"",I286&gt;=TODAY()),ROUND((I286+IF(ISNUMBER(C286),MOD(C286,1),0))*1440,0)*10000+ROW(),"")</f>
        <v/>
      </c>
    </row>
    <row r="287">
      <c r="A287" s="1" t="n"/>
      <c r="B287" s="17" t="n">
        <v>46270</v>
      </c>
      <c r="C287" s="18" t="n">
        <v>0.5208333333333334</v>
      </c>
      <c r="D287" s="19" t="inlineStr">
        <is>
          <t>Priya Nair</t>
        </is>
      </c>
      <c r="E287" s="20" t="inlineStr">
        <is>
          <t>1 to 1</t>
        </is>
      </c>
      <c r="F287" s="20" t="inlineStr">
        <is>
          <t>Attended</t>
        </is>
      </c>
      <c r="G287" s="21" t="n"/>
      <c r="H287" s="12">
        <f>IF(AND(B287="",D287="",F287=""),"",IF(NOT(ISNUMBER(B287)),"Needs a date",IF(D287="","Needs a client",IF(COUNTIF(Clients!$B$6:$B$105,D287)=0,"Not on Clients",IF(AND(F287="",INT(B287)&lt;TODAY()),"Needs a status","")))))</f>
        <v/>
      </c>
      <c r="I287" s="1">
        <f>IF(ISNUMBER(B287),INT(B287),0)</f>
        <v/>
      </c>
      <c r="J287">
        <f>IF(ISNUMBER(B287),YEAR(B287)*100+MONTH(B287),"")</f>
        <v/>
      </c>
      <c r="K287">
        <f>IF(AND(H287="",OR(F287="Attended",F287="No-show",AND(F287="Late cancel",Settings!$C$9="Yes"))),1,0)</f>
        <v/>
      </c>
      <c r="L287">
        <f>IF(AND(H287="",F287="Attended"),1,0)</f>
        <v/>
      </c>
      <c r="M287">
        <f>IF(AND(H287="",OR(F287="No-show",F287="Late cancel")),1,0)</f>
        <v/>
      </c>
      <c r="N287">
        <f>IF(AND(H287="",F287="",D287&lt;&gt;"",I287&gt;=TODAY()),ROUND((I287+IF(ISNUMBER(C287),MOD(C287,1),0))*1440,0)*10000+ROW(),"")</f>
        <v/>
      </c>
    </row>
    <row r="288">
      <c r="A288" s="1" t="n"/>
      <c r="B288" s="17" t="n">
        <v>46270</v>
      </c>
      <c r="C288" s="18" t="n">
        <v>0.7708333333333334</v>
      </c>
      <c r="D288" s="19" t="inlineStr">
        <is>
          <t>Sam Taylor</t>
        </is>
      </c>
      <c r="E288" s="20" t="inlineStr">
        <is>
          <t>1 to 1</t>
        </is>
      </c>
      <c r="F288" s="20" t="inlineStr">
        <is>
          <t>Attended</t>
        </is>
      </c>
      <c r="G288" s="21" t="n"/>
      <c r="H288" s="12">
        <f>IF(AND(B288="",D288="",F288=""),"",IF(NOT(ISNUMBER(B288)),"Needs a date",IF(D288="","Needs a client",IF(COUNTIF(Clients!$B$6:$B$105,D288)=0,"Not on Clients",IF(AND(F288="",INT(B288)&lt;TODAY()),"Needs a status","")))))</f>
        <v/>
      </c>
      <c r="I288" s="1">
        <f>IF(ISNUMBER(B288),INT(B288),0)</f>
        <v/>
      </c>
      <c r="J288">
        <f>IF(ISNUMBER(B288),YEAR(B288)*100+MONTH(B288),"")</f>
        <v/>
      </c>
      <c r="K288">
        <f>IF(AND(H288="",OR(F288="Attended",F288="No-show",AND(F288="Late cancel",Settings!$C$9="Yes"))),1,0)</f>
        <v/>
      </c>
      <c r="L288">
        <f>IF(AND(H288="",F288="Attended"),1,0)</f>
        <v/>
      </c>
      <c r="M288">
        <f>IF(AND(H288="",OR(F288="No-show",F288="Late cancel")),1,0)</f>
        <v/>
      </c>
      <c r="N288">
        <f>IF(AND(H288="",F288="",D288&lt;&gt;"",I288&gt;=TODAY()),ROUND((I288+IF(ISNUMBER(C288),MOD(C288,1),0))*1440,0)*10000+ROW(),"")</f>
        <v/>
      </c>
    </row>
    <row r="289">
      <c r="A289" s="1" t="n"/>
      <c r="B289" s="17" t="n">
        <v>46271</v>
      </c>
      <c r="C289" s="18" t="n">
        <v>0.3333333333333333</v>
      </c>
      <c r="D289" s="19" t="inlineStr">
        <is>
          <t>Ben Carter</t>
        </is>
      </c>
      <c r="E289" s="20" t="inlineStr">
        <is>
          <t>1 to 1</t>
        </is>
      </c>
      <c r="F289" s="20" t="inlineStr">
        <is>
          <t>Attended</t>
        </is>
      </c>
      <c r="G289" s="21" t="n"/>
      <c r="H289" s="12">
        <f>IF(AND(B289="",D289="",F289=""),"",IF(NOT(ISNUMBER(B289)),"Needs a date",IF(D289="","Needs a client",IF(COUNTIF(Clients!$B$6:$B$105,D289)=0,"Not on Clients",IF(AND(F289="",INT(B289)&lt;TODAY()),"Needs a status","")))))</f>
        <v/>
      </c>
      <c r="I289" s="1">
        <f>IF(ISNUMBER(B289),INT(B289),0)</f>
        <v/>
      </c>
      <c r="J289">
        <f>IF(ISNUMBER(B289),YEAR(B289)*100+MONTH(B289),"")</f>
        <v/>
      </c>
      <c r="K289">
        <f>IF(AND(H289="",OR(F289="Attended",F289="No-show",AND(F289="Late cancel",Settings!$C$9="Yes"))),1,0)</f>
        <v/>
      </c>
      <c r="L289">
        <f>IF(AND(H289="",F289="Attended"),1,0)</f>
        <v/>
      </c>
      <c r="M289">
        <f>IF(AND(H289="",OR(F289="No-show",F289="Late cancel")),1,0)</f>
        <v/>
      </c>
      <c r="N289">
        <f>IF(AND(H289="",F289="",D289&lt;&gt;"",I289&gt;=TODAY()),ROUND((I289+IF(ISNUMBER(C289),MOD(C289,1),0))*1440,0)*10000+ROW(),"")</f>
        <v/>
      </c>
    </row>
    <row r="290">
      <c r="A290" s="1" t="n"/>
      <c r="B290" s="17" t="n">
        <v>46271</v>
      </c>
      <c r="C290" s="18" t="n">
        <v>0.5208333333333334</v>
      </c>
      <c r="D290" s="19" t="inlineStr">
        <is>
          <t>Luis Moreno</t>
        </is>
      </c>
      <c r="E290" s="20" t="inlineStr">
        <is>
          <t>1 to 1</t>
        </is>
      </c>
      <c r="F290" s="20" t="inlineStr">
        <is>
          <t>Attended</t>
        </is>
      </c>
      <c r="G290" s="21" t="n"/>
      <c r="H290" s="12">
        <f>IF(AND(B290="",D290="",F290=""),"",IF(NOT(ISNUMBER(B290)),"Needs a date",IF(D290="","Needs a client",IF(COUNTIF(Clients!$B$6:$B$105,D290)=0,"Not on Clients",IF(AND(F290="",INT(B290)&lt;TODAY()),"Needs a status","")))))</f>
        <v/>
      </c>
      <c r="I290" s="1">
        <f>IF(ISNUMBER(B290),INT(B290),0)</f>
        <v/>
      </c>
      <c r="J290">
        <f>IF(ISNUMBER(B290),YEAR(B290)*100+MONTH(B290),"")</f>
        <v/>
      </c>
      <c r="K290">
        <f>IF(AND(H290="",OR(F290="Attended",F290="No-show",AND(F290="Late cancel",Settings!$C$9="Yes"))),1,0)</f>
        <v/>
      </c>
      <c r="L290">
        <f>IF(AND(H290="",F290="Attended"),1,0)</f>
        <v/>
      </c>
      <c r="M290">
        <f>IF(AND(H290="",OR(F290="No-show",F290="Late cancel")),1,0)</f>
        <v/>
      </c>
      <c r="N290">
        <f>IF(AND(H290="",F290="",D290&lt;&gt;"",I290&gt;=TODAY()),ROUND((I290+IF(ISNUMBER(C290),MOD(C290,1),0))*1440,0)*10000+ROW(),"")</f>
        <v/>
      </c>
    </row>
    <row r="291">
      <c r="A291" s="1" t="n"/>
      <c r="B291" s="17" t="n">
        <v>46271</v>
      </c>
      <c r="C291" s="18" t="n">
        <v>0.7708333333333334</v>
      </c>
      <c r="D291" s="19" t="inlineStr">
        <is>
          <t>Leah Fischer</t>
        </is>
      </c>
      <c r="E291" s="20" t="inlineStr">
        <is>
          <t>Duo</t>
        </is>
      </c>
      <c r="F291" s="20" t="inlineStr">
        <is>
          <t>Attended</t>
        </is>
      </c>
      <c r="G291" s="21" t="n"/>
      <c r="H291" s="12">
        <f>IF(AND(B291="",D291="",F291=""),"",IF(NOT(ISNUMBER(B291)),"Needs a date",IF(D291="","Needs a client",IF(COUNTIF(Clients!$B$6:$B$105,D291)=0,"Not on Clients",IF(AND(F291="",INT(B291)&lt;TODAY()),"Needs a status","")))))</f>
        <v/>
      </c>
      <c r="I291" s="1">
        <f>IF(ISNUMBER(B291),INT(B291),0)</f>
        <v/>
      </c>
      <c r="J291">
        <f>IF(ISNUMBER(B291),YEAR(B291)*100+MONTH(B291),"")</f>
        <v/>
      </c>
      <c r="K291">
        <f>IF(AND(H291="",OR(F291="Attended",F291="No-show",AND(F291="Late cancel",Settings!$C$9="Yes"))),1,0)</f>
        <v/>
      </c>
      <c r="L291">
        <f>IF(AND(H291="",F291="Attended"),1,0)</f>
        <v/>
      </c>
      <c r="M291">
        <f>IF(AND(H291="",OR(F291="No-show",F291="Late cancel")),1,0)</f>
        <v/>
      </c>
      <c r="N291">
        <f>IF(AND(H291="",F291="",D291&lt;&gt;"",I291&gt;=TODAY()),ROUND((I291+IF(ISNUMBER(C291),MOD(C291,1),0))*1440,0)*10000+ROW(),"")</f>
        <v/>
      </c>
    </row>
    <row r="292">
      <c r="A292" s="1" t="n"/>
      <c r="B292" s="17" t="n">
        <v>46273</v>
      </c>
      <c r="C292" s="18" t="n">
        <v>0.2916666666666667</v>
      </c>
      <c r="D292" s="19" t="inlineStr">
        <is>
          <t>Omar Haddad</t>
        </is>
      </c>
      <c r="E292" s="20" t="inlineStr">
        <is>
          <t>1 to 1</t>
        </is>
      </c>
      <c r="F292" s="20" t="inlineStr">
        <is>
          <t>Cancelled</t>
        </is>
      </c>
      <c r="G292" s="21" t="n"/>
      <c r="H292" s="12">
        <f>IF(AND(B292="",D292="",F292=""),"",IF(NOT(ISNUMBER(B292)),"Needs a date",IF(D292="","Needs a client",IF(COUNTIF(Clients!$B$6:$B$105,D292)=0,"Not on Clients",IF(AND(F292="",INT(B292)&lt;TODAY()),"Needs a status","")))))</f>
        <v/>
      </c>
      <c r="I292" s="1">
        <f>IF(ISNUMBER(B292),INT(B292),0)</f>
        <v/>
      </c>
      <c r="J292">
        <f>IF(ISNUMBER(B292),YEAR(B292)*100+MONTH(B292),"")</f>
        <v/>
      </c>
      <c r="K292">
        <f>IF(AND(H292="",OR(F292="Attended",F292="No-show",AND(F292="Late cancel",Settings!$C$9="Yes"))),1,0)</f>
        <v/>
      </c>
      <c r="L292">
        <f>IF(AND(H292="",F292="Attended"),1,0)</f>
        <v/>
      </c>
      <c r="M292">
        <f>IF(AND(H292="",OR(F292="No-show",F292="Late cancel")),1,0)</f>
        <v/>
      </c>
      <c r="N292">
        <f>IF(AND(H292="",F292="",D292&lt;&gt;"",I292&gt;=TODAY()),ROUND((I292+IF(ISNUMBER(C292),MOD(C292,1),0))*1440,0)*10000+ROW(),"")</f>
        <v/>
      </c>
    </row>
    <row r="293">
      <c r="A293" s="1" t="n"/>
      <c r="B293" s="17" t="n">
        <v>46274</v>
      </c>
      <c r="C293" s="18" t="n">
        <v>0.5208333333333334</v>
      </c>
      <c r="D293" s="19" t="inlineStr">
        <is>
          <t>Priya Nair</t>
        </is>
      </c>
      <c r="E293" s="20" t="inlineStr">
        <is>
          <t>1 to 1</t>
        </is>
      </c>
      <c r="F293" s="20" t="inlineStr">
        <is>
          <t>Attended</t>
        </is>
      </c>
      <c r="G293" s="21" t="n"/>
      <c r="H293" s="12">
        <f>IF(AND(B293="",D293="",F293=""),"",IF(NOT(ISNUMBER(B293)),"Needs a date",IF(D293="","Needs a client",IF(COUNTIF(Clients!$B$6:$B$105,D293)=0,"Not on Clients",IF(AND(F293="",INT(B293)&lt;TODAY()),"Needs a status","")))))</f>
        <v/>
      </c>
      <c r="I293" s="1">
        <f>IF(ISNUMBER(B293),INT(B293),0)</f>
        <v/>
      </c>
      <c r="J293">
        <f>IF(ISNUMBER(B293),YEAR(B293)*100+MONTH(B293),"")</f>
        <v/>
      </c>
      <c r="K293">
        <f>IF(AND(H293="",OR(F293="Attended",F293="No-show",AND(F293="Late cancel",Settings!$C$9="Yes"))),1,0)</f>
        <v/>
      </c>
      <c r="L293">
        <f>IF(AND(H293="",F293="Attended"),1,0)</f>
        <v/>
      </c>
      <c r="M293">
        <f>IF(AND(H293="",OR(F293="No-show",F293="Late cancel")),1,0)</f>
        <v/>
      </c>
      <c r="N293">
        <f>IF(AND(H293="",F293="",D293&lt;&gt;"",I293&gt;=TODAY()),ROUND((I293+IF(ISNUMBER(C293),MOD(C293,1),0))*1440,0)*10000+ROW(),"")</f>
        <v/>
      </c>
    </row>
    <row r="294">
      <c r="A294" s="1" t="n"/>
      <c r="B294" s="17" t="n">
        <v>46274</v>
      </c>
      <c r="C294" s="18" t="n">
        <v>0.7708333333333334</v>
      </c>
      <c r="D294" s="19" t="inlineStr">
        <is>
          <t>Leah Fischer</t>
        </is>
      </c>
      <c r="E294" s="20" t="inlineStr">
        <is>
          <t>Duo</t>
        </is>
      </c>
      <c r="F294" s="20" t="inlineStr">
        <is>
          <t>Attended</t>
        </is>
      </c>
      <c r="G294" s="21" t="n"/>
      <c r="H294" s="12">
        <f>IF(AND(B294="",D294="",F294=""),"",IF(NOT(ISNUMBER(B294)),"Needs a date",IF(D294="","Needs a client",IF(COUNTIF(Clients!$B$6:$B$105,D294)=0,"Not on Clients",IF(AND(F294="",INT(B294)&lt;TODAY()),"Needs a status","")))))</f>
        <v/>
      </c>
      <c r="I294" s="1">
        <f>IF(ISNUMBER(B294),INT(B294),0)</f>
        <v/>
      </c>
      <c r="J294">
        <f>IF(ISNUMBER(B294),YEAR(B294)*100+MONTH(B294),"")</f>
        <v/>
      </c>
      <c r="K294">
        <f>IF(AND(H294="",OR(F294="Attended",F294="No-show",AND(F294="Late cancel",Settings!$C$9="Yes"))),1,0)</f>
        <v/>
      </c>
      <c r="L294">
        <f>IF(AND(H294="",F294="Attended"),1,0)</f>
        <v/>
      </c>
      <c r="M294">
        <f>IF(AND(H294="",OR(F294="No-show",F294="Late cancel")),1,0)</f>
        <v/>
      </c>
      <c r="N294">
        <f>IF(AND(H294="",F294="",D294&lt;&gt;"",I294&gt;=TODAY()),ROUND((I294+IF(ISNUMBER(C294),MOD(C294,1),0))*1440,0)*10000+ROW(),"")</f>
        <v/>
      </c>
    </row>
    <row r="295">
      <c r="A295" s="1" t="n"/>
      <c r="B295" s="17" t="n">
        <v>46275</v>
      </c>
      <c r="C295" s="18" t="n">
        <v>0.3333333333333333</v>
      </c>
      <c r="D295" s="19" t="inlineStr">
        <is>
          <t>Ben Carter</t>
        </is>
      </c>
      <c r="E295" s="20" t="inlineStr">
        <is>
          <t>1 to 1</t>
        </is>
      </c>
      <c r="F295" s="20" t="inlineStr">
        <is>
          <t>Attended</t>
        </is>
      </c>
      <c r="G295" s="21" t="n"/>
      <c r="H295" s="12">
        <f>IF(AND(B295="",D295="",F295=""),"",IF(NOT(ISNUMBER(B295)),"Needs a date",IF(D295="","Needs a client",IF(COUNTIF(Clients!$B$6:$B$105,D295)=0,"Not on Clients",IF(AND(F295="",INT(B295)&lt;TODAY()),"Needs a status","")))))</f>
        <v/>
      </c>
      <c r="I295" s="1">
        <f>IF(ISNUMBER(B295),INT(B295),0)</f>
        <v/>
      </c>
      <c r="J295">
        <f>IF(ISNUMBER(B295),YEAR(B295)*100+MONTH(B295),"")</f>
        <v/>
      </c>
      <c r="K295">
        <f>IF(AND(H295="",OR(F295="Attended",F295="No-show",AND(F295="Late cancel",Settings!$C$9="Yes"))),1,0)</f>
        <v/>
      </c>
      <c r="L295">
        <f>IF(AND(H295="",F295="Attended"),1,0)</f>
        <v/>
      </c>
      <c r="M295">
        <f>IF(AND(H295="",OR(F295="No-show",F295="Late cancel")),1,0)</f>
        <v/>
      </c>
      <c r="N295">
        <f>IF(AND(H295="",F295="",D295&lt;&gt;"",I295&gt;=TODAY()),ROUND((I295+IF(ISNUMBER(C295),MOD(C295,1),0))*1440,0)*10000+ROW(),"")</f>
        <v/>
      </c>
    </row>
    <row r="296">
      <c r="A296" s="1" t="n"/>
      <c r="B296" s="17" t="n">
        <v>46275</v>
      </c>
      <c r="C296" s="18" t="n">
        <v>0.5208333333333334</v>
      </c>
      <c r="D296" s="19" t="inlineStr">
        <is>
          <t>Luis Moreno</t>
        </is>
      </c>
      <c r="E296" s="20" t="inlineStr">
        <is>
          <t>1 to 1</t>
        </is>
      </c>
      <c r="F296" s="20" t="inlineStr">
        <is>
          <t>Attended</t>
        </is>
      </c>
      <c r="G296" s="21" t="n"/>
      <c r="H296" s="12">
        <f>IF(AND(B296="",D296="",F296=""),"",IF(NOT(ISNUMBER(B296)),"Needs a date",IF(D296="","Needs a client",IF(COUNTIF(Clients!$B$6:$B$105,D296)=0,"Not on Clients",IF(AND(F296="",INT(B296)&lt;TODAY()),"Needs a status","")))))</f>
        <v/>
      </c>
      <c r="I296" s="1">
        <f>IF(ISNUMBER(B296),INT(B296),0)</f>
        <v/>
      </c>
      <c r="J296">
        <f>IF(ISNUMBER(B296),YEAR(B296)*100+MONTH(B296),"")</f>
        <v/>
      </c>
      <c r="K296">
        <f>IF(AND(H296="",OR(F296="Attended",F296="No-show",AND(F296="Late cancel",Settings!$C$9="Yes"))),1,0)</f>
        <v/>
      </c>
      <c r="L296">
        <f>IF(AND(H296="",F296="Attended"),1,0)</f>
        <v/>
      </c>
      <c r="M296">
        <f>IF(AND(H296="",OR(F296="No-show",F296="Late cancel")),1,0)</f>
        <v/>
      </c>
      <c r="N296">
        <f>IF(AND(H296="",F296="",D296&lt;&gt;"",I296&gt;=TODAY()),ROUND((I296+IF(ISNUMBER(C296),MOD(C296,1),0))*1440,0)*10000+ROW(),"")</f>
        <v/>
      </c>
    </row>
    <row r="297">
      <c r="A297" s="1" t="n"/>
      <c r="B297" s="17" t="n">
        <v>46276</v>
      </c>
      <c r="C297" s="18" t="n">
        <v>0.7291666666666666</v>
      </c>
      <c r="D297" s="19" t="inlineStr">
        <is>
          <t>Tom Walsh</t>
        </is>
      </c>
      <c r="E297" s="20" t="inlineStr">
        <is>
          <t>1 to 1</t>
        </is>
      </c>
      <c r="F297" s="20" t="inlineStr">
        <is>
          <t>Attended</t>
        </is>
      </c>
      <c r="G297" s="21" t="n"/>
      <c r="H297" s="12">
        <f>IF(AND(B297="",D297="",F297=""),"",IF(NOT(ISNUMBER(B297)),"Needs a date",IF(D297="","Needs a client",IF(COUNTIF(Clients!$B$6:$B$105,D297)=0,"Not on Clients",IF(AND(F297="",INT(B297)&lt;TODAY()),"Needs a status","")))))</f>
        <v/>
      </c>
      <c r="I297" s="1">
        <f>IF(ISNUMBER(B297),INT(B297),0)</f>
        <v/>
      </c>
      <c r="J297">
        <f>IF(ISNUMBER(B297),YEAR(B297)*100+MONTH(B297),"")</f>
        <v/>
      </c>
      <c r="K297">
        <f>IF(AND(H297="",OR(F297="Attended",F297="No-show",AND(F297="Late cancel",Settings!$C$9="Yes"))),1,0)</f>
        <v/>
      </c>
      <c r="L297">
        <f>IF(AND(H297="",F297="Attended"),1,0)</f>
        <v/>
      </c>
      <c r="M297">
        <f>IF(AND(H297="",OR(F297="No-show",F297="Late cancel")),1,0)</f>
        <v/>
      </c>
      <c r="N297">
        <f>IF(AND(H297="",F297="",D297&lt;&gt;"",I297&gt;=TODAY()),ROUND((I297+IF(ISNUMBER(C297),MOD(C297,1),0))*1440,0)*10000+ROW(),"")</f>
        <v/>
      </c>
    </row>
    <row r="298">
      <c r="A298" s="1" t="n"/>
      <c r="B298" s="17" t="n">
        <v>46277</v>
      </c>
      <c r="C298" s="18" t="n">
        <v>0.2916666666666667</v>
      </c>
      <c r="D298" s="19" t="inlineStr">
        <is>
          <t>Maya Ortiz</t>
        </is>
      </c>
      <c r="E298" s="20" t="inlineStr">
        <is>
          <t>Duo</t>
        </is>
      </c>
      <c r="F298" s="20" t="inlineStr">
        <is>
          <t>Attended</t>
        </is>
      </c>
      <c r="G298" s="21" t="n"/>
      <c r="H298" s="12">
        <f>IF(AND(B298="",D298="",F298=""),"",IF(NOT(ISNUMBER(B298)),"Needs a date",IF(D298="","Needs a client",IF(COUNTIF(Clients!$B$6:$B$105,D298)=0,"Not on Clients",IF(AND(F298="",INT(B298)&lt;TODAY()),"Needs a status","")))))</f>
        <v/>
      </c>
      <c r="I298" s="1">
        <f>IF(ISNUMBER(B298),INT(B298),0)</f>
        <v/>
      </c>
      <c r="J298">
        <f>IF(ISNUMBER(B298),YEAR(B298)*100+MONTH(B298),"")</f>
        <v/>
      </c>
      <c r="K298">
        <f>IF(AND(H298="",OR(F298="Attended",F298="No-show",AND(F298="Late cancel",Settings!$C$9="Yes"))),1,0)</f>
        <v/>
      </c>
      <c r="L298">
        <f>IF(AND(H298="",F298="Attended"),1,0)</f>
        <v/>
      </c>
      <c r="M298">
        <f>IF(AND(H298="",OR(F298="No-show",F298="Late cancel")),1,0)</f>
        <v/>
      </c>
      <c r="N298">
        <f>IF(AND(H298="",F298="",D298&lt;&gt;"",I298&gt;=TODAY()),ROUND((I298+IF(ISNUMBER(C298),MOD(C298,1),0))*1440,0)*10000+ROW(),"")</f>
        <v/>
      </c>
    </row>
    <row r="299">
      <c r="A299" s="1" t="n"/>
      <c r="B299" s="17" t="n">
        <v>46277</v>
      </c>
      <c r="C299" s="18" t="n">
        <v>0.2916666666666667</v>
      </c>
      <c r="D299" s="19" t="inlineStr">
        <is>
          <t>Omar Haddad</t>
        </is>
      </c>
      <c r="E299" s="20" t="inlineStr">
        <is>
          <t>1 to 1</t>
        </is>
      </c>
      <c r="F299" s="20" t="inlineStr">
        <is>
          <t>Attended</t>
        </is>
      </c>
      <c r="G299" s="21" t="n"/>
      <c r="H299" s="12">
        <f>IF(AND(B299="",D299="",F299=""),"",IF(NOT(ISNUMBER(B299)),"Needs a date",IF(D299="","Needs a client",IF(COUNTIF(Clients!$B$6:$B$105,D299)=0,"Not on Clients",IF(AND(F299="",INT(B299)&lt;TODAY()),"Needs a status","")))))</f>
        <v/>
      </c>
      <c r="I299" s="1">
        <f>IF(ISNUMBER(B299),INT(B299),0)</f>
        <v/>
      </c>
      <c r="J299">
        <f>IF(ISNUMBER(B299),YEAR(B299)*100+MONTH(B299),"")</f>
        <v/>
      </c>
      <c r="K299">
        <f>IF(AND(H299="",OR(F299="Attended",F299="No-show",AND(F299="Late cancel",Settings!$C$9="Yes"))),1,0)</f>
        <v/>
      </c>
      <c r="L299">
        <f>IF(AND(H299="",F299="Attended"),1,0)</f>
        <v/>
      </c>
      <c r="M299">
        <f>IF(AND(H299="",OR(F299="No-show",F299="Late cancel")),1,0)</f>
        <v/>
      </c>
      <c r="N299">
        <f>IF(AND(H299="",F299="",D299&lt;&gt;"",I299&gt;=TODAY()),ROUND((I299+IF(ISNUMBER(C299),MOD(C299,1),0))*1440,0)*10000+ROW(),"")</f>
        <v/>
      </c>
    </row>
    <row r="300">
      <c r="A300" s="1" t="n"/>
      <c r="B300" s="17" t="n">
        <v>46277</v>
      </c>
      <c r="C300" s="18" t="n">
        <v>0.5208333333333334</v>
      </c>
      <c r="D300" s="19" t="inlineStr">
        <is>
          <t>Priya Nair</t>
        </is>
      </c>
      <c r="E300" s="20" t="inlineStr">
        <is>
          <t>1 to 1</t>
        </is>
      </c>
      <c r="F300" s="20" t="inlineStr">
        <is>
          <t>Attended</t>
        </is>
      </c>
      <c r="G300" s="21" t="n"/>
      <c r="H300" s="12">
        <f>IF(AND(B300="",D300="",F300=""),"",IF(NOT(ISNUMBER(B300)),"Needs a date",IF(D300="","Needs a client",IF(COUNTIF(Clients!$B$6:$B$105,D300)=0,"Not on Clients",IF(AND(F300="",INT(B300)&lt;TODAY()),"Needs a status","")))))</f>
        <v/>
      </c>
      <c r="I300" s="1">
        <f>IF(ISNUMBER(B300),INT(B300),0)</f>
        <v/>
      </c>
      <c r="J300">
        <f>IF(ISNUMBER(B300),YEAR(B300)*100+MONTH(B300),"")</f>
        <v/>
      </c>
      <c r="K300">
        <f>IF(AND(H300="",OR(F300="Attended",F300="No-show",AND(F300="Late cancel",Settings!$C$9="Yes"))),1,0)</f>
        <v/>
      </c>
      <c r="L300">
        <f>IF(AND(H300="",F300="Attended"),1,0)</f>
        <v/>
      </c>
      <c r="M300">
        <f>IF(AND(H300="",OR(F300="No-show",F300="Late cancel")),1,0)</f>
        <v/>
      </c>
      <c r="N300">
        <f>IF(AND(H300="",F300="",D300&lt;&gt;"",I300&gt;=TODAY()),ROUND((I300+IF(ISNUMBER(C300),MOD(C300,1),0))*1440,0)*10000+ROW(),"")</f>
        <v/>
      </c>
    </row>
    <row r="301">
      <c r="A301" s="1" t="n"/>
      <c r="B301" s="17" t="n">
        <v>46277</v>
      </c>
      <c r="C301" s="18" t="n">
        <v>0.7708333333333334</v>
      </c>
      <c r="D301" s="19" t="inlineStr">
        <is>
          <t>Sam Taylor</t>
        </is>
      </c>
      <c r="E301" s="20" t="inlineStr">
        <is>
          <t>1 to 1</t>
        </is>
      </c>
      <c r="F301" s="20" t="inlineStr">
        <is>
          <t>Attended</t>
        </is>
      </c>
      <c r="G301" s="21" t="n"/>
      <c r="H301" s="12">
        <f>IF(AND(B301="",D301="",F301=""),"",IF(NOT(ISNUMBER(B301)),"Needs a date",IF(D301="","Needs a client",IF(COUNTIF(Clients!$B$6:$B$105,D301)=0,"Not on Clients",IF(AND(F301="",INT(B301)&lt;TODAY()),"Needs a status","")))))</f>
        <v/>
      </c>
      <c r="I301" s="1">
        <f>IF(ISNUMBER(B301),INT(B301),0)</f>
        <v/>
      </c>
      <c r="J301">
        <f>IF(ISNUMBER(B301),YEAR(B301)*100+MONTH(B301),"")</f>
        <v/>
      </c>
      <c r="K301">
        <f>IF(AND(H301="",OR(F301="Attended",F301="No-show",AND(F301="Late cancel",Settings!$C$9="Yes"))),1,0)</f>
        <v/>
      </c>
      <c r="L301">
        <f>IF(AND(H301="",F301="Attended"),1,0)</f>
        <v/>
      </c>
      <c r="M301">
        <f>IF(AND(H301="",OR(F301="No-show",F301="Late cancel")),1,0)</f>
        <v/>
      </c>
      <c r="N301">
        <f>IF(AND(H301="",F301="",D301&lt;&gt;"",I301&gt;=TODAY()),ROUND((I301+IF(ISNUMBER(C301),MOD(C301,1),0))*1440,0)*10000+ROW(),"")</f>
        <v/>
      </c>
    </row>
    <row r="302">
      <c r="A302" s="1" t="n"/>
      <c r="B302" s="17" t="n">
        <v>46278</v>
      </c>
      <c r="C302" s="18" t="n">
        <v>0.3333333333333333</v>
      </c>
      <c r="D302" s="19" t="inlineStr">
        <is>
          <t>Ben Carter</t>
        </is>
      </c>
      <c r="E302" s="20" t="inlineStr">
        <is>
          <t>1 to 1</t>
        </is>
      </c>
      <c r="F302" s="20" t="inlineStr">
        <is>
          <t>Attended</t>
        </is>
      </c>
      <c r="G302" s="21" t="n"/>
      <c r="H302" s="12">
        <f>IF(AND(B302="",D302="",F302=""),"",IF(NOT(ISNUMBER(B302)),"Needs a date",IF(D302="","Needs a client",IF(COUNTIF(Clients!$B$6:$B$105,D302)=0,"Not on Clients",IF(AND(F302="",INT(B302)&lt;TODAY()),"Needs a status","")))))</f>
        <v/>
      </c>
      <c r="I302" s="1">
        <f>IF(ISNUMBER(B302),INT(B302),0)</f>
        <v/>
      </c>
      <c r="J302">
        <f>IF(ISNUMBER(B302),YEAR(B302)*100+MONTH(B302),"")</f>
        <v/>
      </c>
      <c r="K302">
        <f>IF(AND(H302="",OR(F302="Attended",F302="No-show",AND(F302="Late cancel",Settings!$C$9="Yes"))),1,0)</f>
        <v/>
      </c>
      <c r="L302">
        <f>IF(AND(H302="",F302="Attended"),1,0)</f>
        <v/>
      </c>
      <c r="M302">
        <f>IF(AND(H302="",OR(F302="No-show",F302="Late cancel")),1,0)</f>
        <v/>
      </c>
      <c r="N302">
        <f>IF(AND(H302="",F302="",D302&lt;&gt;"",I302&gt;=TODAY()),ROUND((I302+IF(ISNUMBER(C302),MOD(C302,1),0))*1440,0)*10000+ROW(),"")</f>
        <v/>
      </c>
    </row>
    <row r="303">
      <c r="A303" s="1" t="n"/>
      <c r="B303" s="17" t="n">
        <v>46278</v>
      </c>
      <c r="C303" s="18" t="n">
        <v>0.5208333333333334</v>
      </c>
      <c r="D303" s="19" t="inlineStr">
        <is>
          <t>Luis Moreno</t>
        </is>
      </c>
      <c r="E303" s="20" t="inlineStr">
        <is>
          <t>1 to 1</t>
        </is>
      </c>
      <c r="F303" s="20" t="inlineStr">
        <is>
          <t>Attended</t>
        </is>
      </c>
      <c r="G303" s="21" t="n"/>
      <c r="H303" s="12">
        <f>IF(AND(B303="",D303="",F303=""),"",IF(NOT(ISNUMBER(B303)),"Needs a date",IF(D303="","Needs a client",IF(COUNTIF(Clients!$B$6:$B$105,D303)=0,"Not on Clients",IF(AND(F303="",INT(B303)&lt;TODAY()),"Needs a status","")))))</f>
        <v/>
      </c>
      <c r="I303" s="1">
        <f>IF(ISNUMBER(B303),INT(B303),0)</f>
        <v/>
      </c>
      <c r="J303">
        <f>IF(ISNUMBER(B303),YEAR(B303)*100+MONTH(B303),"")</f>
        <v/>
      </c>
      <c r="K303">
        <f>IF(AND(H303="",OR(F303="Attended",F303="No-show",AND(F303="Late cancel",Settings!$C$9="Yes"))),1,0)</f>
        <v/>
      </c>
      <c r="L303">
        <f>IF(AND(H303="",F303="Attended"),1,0)</f>
        <v/>
      </c>
      <c r="M303">
        <f>IF(AND(H303="",OR(F303="No-show",F303="Late cancel")),1,0)</f>
        <v/>
      </c>
      <c r="N303">
        <f>IF(AND(H303="",F303="",D303&lt;&gt;"",I303&gt;=TODAY()),ROUND((I303+IF(ISNUMBER(C303),MOD(C303,1),0))*1440,0)*10000+ROW(),"")</f>
        <v/>
      </c>
    </row>
    <row r="304">
      <c r="A304" s="1" t="n"/>
      <c r="B304" s="17" t="n">
        <v>46278</v>
      </c>
      <c r="C304" s="18" t="n">
        <v>0.7708333333333334</v>
      </c>
      <c r="D304" s="19" t="inlineStr">
        <is>
          <t>Leah Fischer</t>
        </is>
      </c>
      <c r="E304" s="20" t="inlineStr">
        <is>
          <t>Duo</t>
        </is>
      </c>
      <c r="F304" s="20" t="inlineStr">
        <is>
          <t>Attended</t>
        </is>
      </c>
      <c r="G304" s="21" t="n"/>
      <c r="H304" s="12">
        <f>IF(AND(B304="",D304="",F304=""),"",IF(NOT(ISNUMBER(B304)),"Needs a date",IF(D304="","Needs a client",IF(COUNTIF(Clients!$B$6:$B$105,D304)=0,"Not on Clients",IF(AND(F304="",INT(B304)&lt;TODAY()),"Needs a status","")))))</f>
        <v/>
      </c>
      <c r="I304" s="1">
        <f>IF(ISNUMBER(B304),INT(B304),0)</f>
        <v/>
      </c>
      <c r="J304">
        <f>IF(ISNUMBER(B304),YEAR(B304)*100+MONTH(B304),"")</f>
        <v/>
      </c>
      <c r="K304">
        <f>IF(AND(H304="",OR(F304="Attended",F304="No-show",AND(F304="Late cancel",Settings!$C$9="Yes"))),1,0)</f>
        <v/>
      </c>
      <c r="L304">
        <f>IF(AND(H304="",F304="Attended"),1,0)</f>
        <v/>
      </c>
      <c r="M304">
        <f>IF(AND(H304="",OR(F304="No-show",F304="Late cancel")),1,0)</f>
        <v/>
      </c>
      <c r="N304">
        <f>IF(AND(H304="",F304="",D304&lt;&gt;"",I304&gt;=TODAY()),ROUND((I304+IF(ISNUMBER(C304),MOD(C304,1),0))*1440,0)*10000+ROW(),"")</f>
        <v/>
      </c>
    </row>
    <row r="305">
      <c r="A305" s="1" t="n"/>
      <c r="B305" s="17" t="n">
        <v>46280</v>
      </c>
      <c r="C305" s="18" t="n">
        <v>0.2916666666666667</v>
      </c>
      <c r="D305" s="19" t="inlineStr">
        <is>
          <t>Omar Haddad</t>
        </is>
      </c>
      <c r="E305" s="20" t="inlineStr">
        <is>
          <t>1 to 1</t>
        </is>
      </c>
      <c r="F305" s="20" t="inlineStr">
        <is>
          <t>Attended</t>
        </is>
      </c>
      <c r="G305" s="21" t="n"/>
      <c r="H305" s="12">
        <f>IF(AND(B305="",D305="",F305=""),"",IF(NOT(ISNUMBER(B305)),"Needs a date",IF(D305="","Needs a client",IF(COUNTIF(Clients!$B$6:$B$105,D305)=0,"Not on Clients",IF(AND(F305="",INT(B305)&lt;TODAY()),"Needs a status","")))))</f>
        <v/>
      </c>
      <c r="I305" s="1">
        <f>IF(ISNUMBER(B305),INT(B305),0)</f>
        <v/>
      </c>
      <c r="J305">
        <f>IF(ISNUMBER(B305),YEAR(B305)*100+MONTH(B305),"")</f>
        <v/>
      </c>
      <c r="K305">
        <f>IF(AND(H305="",OR(F305="Attended",F305="No-show",AND(F305="Late cancel",Settings!$C$9="Yes"))),1,0)</f>
        <v/>
      </c>
      <c r="L305">
        <f>IF(AND(H305="",F305="Attended"),1,0)</f>
        <v/>
      </c>
      <c r="M305">
        <f>IF(AND(H305="",OR(F305="No-show",F305="Late cancel")),1,0)</f>
        <v/>
      </c>
      <c r="N305">
        <f>IF(AND(H305="",F305="",D305&lt;&gt;"",I305&gt;=TODAY()),ROUND((I305+IF(ISNUMBER(C305),MOD(C305,1),0))*1440,0)*10000+ROW(),"")</f>
        <v/>
      </c>
    </row>
    <row r="306">
      <c r="A306" s="1" t="n"/>
      <c r="B306" s="17" t="n">
        <v>46281</v>
      </c>
      <c r="C306" s="18" t="n">
        <v>0.5208333333333334</v>
      </c>
      <c r="D306" s="19" t="inlineStr">
        <is>
          <t>Priya Nair</t>
        </is>
      </c>
      <c r="E306" s="20" t="inlineStr">
        <is>
          <t>1 to 1</t>
        </is>
      </c>
      <c r="F306" s="20" t="inlineStr">
        <is>
          <t>Attended</t>
        </is>
      </c>
      <c r="G306" s="21" t="n"/>
      <c r="H306" s="12">
        <f>IF(AND(B306="",D306="",F306=""),"",IF(NOT(ISNUMBER(B306)),"Needs a date",IF(D306="","Needs a client",IF(COUNTIF(Clients!$B$6:$B$105,D306)=0,"Not on Clients",IF(AND(F306="",INT(B306)&lt;TODAY()),"Needs a status","")))))</f>
        <v/>
      </c>
      <c r="I306" s="1">
        <f>IF(ISNUMBER(B306),INT(B306),0)</f>
        <v/>
      </c>
      <c r="J306">
        <f>IF(ISNUMBER(B306),YEAR(B306)*100+MONTH(B306),"")</f>
        <v/>
      </c>
      <c r="K306">
        <f>IF(AND(H306="",OR(F306="Attended",F306="No-show",AND(F306="Late cancel",Settings!$C$9="Yes"))),1,0)</f>
        <v/>
      </c>
      <c r="L306">
        <f>IF(AND(H306="",F306="Attended"),1,0)</f>
        <v/>
      </c>
      <c r="M306">
        <f>IF(AND(H306="",OR(F306="No-show",F306="Late cancel")),1,0)</f>
        <v/>
      </c>
      <c r="N306">
        <f>IF(AND(H306="",F306="",D306&lt;&gt;"",I306&gt;=TODAY()),ROUND((I306+IF(ISNUMBER(C306),MOD(C306,1),0))*1440,0)*10000+ROW(),"")</f>
        <v/>
      </c>
    </row>
    <row r="307">
      <c r="A307" s="1" t="n"/>
      <c r="B307" s="17" t="n">
        <v>46281</v>
      </c>
      <c r="C307" s="18" t="n">
        <v>0.7708333333333334</v>
      </c>
      <c r="D307" s="19" t="inlineStr">
        <is>
          <t>Leah Fischer</t>
        </is>
      </c>
      <c r="E307" s="20" t="inlineStr">
        <is>
          <t>Duo</t>
        </is>
      </c>
      <c r="F307" s="20" t="inlineStr">
        <is>
          <t>Attended</t>
        </is>
      </c>
      <c r="G307" s="21" t="n"/>
      <c r="H307" s="12">
        <f>IF(AND(B307="",D307="",F307=""),"",IF(NOT(ISNUMBER(B307)),"Needs a date",IF(D307="","Needs a client",IF(COUNTIF(Clients!$B$6:$B$105,D307)=0,"Not on Clients",IF(AND(F307="",INT(B307)&lt;TODAY()),"Needs a status","")))))</f>
        <v/>
      </c>
      <c r="I307" s="1">
        <f>IF(ISNUMBER(B307),INT(B307),0)</f>
        <v/>
      </c>
      <c r="J307">
        <f>IF(ISNUMBER(B307),YEAR(B307)*100+MONTH(B307),"")</f>
        <v/>
      </c>
      <c r="K307">
        <f>IF(AND(H307="",OR(F307="Attended",F307="No-show",AND(F307="Late cancel",Settings!$C$9="Yes"))),1,0)</f>
        <v/>
      </c>
      <c r="L307">
        <f>IF(AND(H307="",F307="Attended"),1,0)</f>
        <v/>
      </c>
      <c r="M307">
        <f>IF(AND(H307="",OR(F307="No-show",F307="Late cancel")),1,0)</f>
        <v/>
      </c>
      <c r="N307">
        <f>IF(AND(H307="",F307="",D307&lt;&gt;"",I307&gt;=TODAY()),ROUND((I307+IF(ISNUMBER(C307),MOD(C307,1),0))*1440,0)*10000+ROW(),"")</f>
        <v/>
      </c>
    </row>
    <row r="308">
      <c r="A308" s="1" t="n"/>
      <c r="B308" s="17" t="n">
        <v>46282</v>
      </c>
      <c r="C308" s="18" t="n">
        <v>0.3333333333333333</v>
      </c>
      <c r="D308" s="19" t="inlineStr">
        <is>
          <t>Ben Carter</t>
        </is>
      </c>
      <c r="E308" s="20" t="inlineStr">
        <is>
          <t>1 to 1</t>
        </is>
      </c>
      <c r="F308" s="20" t="inlineStr">
        <is>
          <t>Attended</t>
        </is>
      </c>
      <c r="G308" s="21" t="n"/>
      <c r="H308" s="12">
        <f>IF(AND(B308="",D308="",F308=""),"",IF(NOT(ISNUMBER(B308)),"Needs a date",IF(D308="","Needs a client",IF(COUNTIF(Clients!$B$6:$B$105,D308)=0,"Not on Clients",IF(AND(F308="",INT(B308)&lt;TODAY()),"Needs a status","")))))</f>
        <v/>
      </c>
      <c r="I308" s="1">
        <f>IF(ISNUMBER(B308),INT(B308),0)</f>
        <v/>
      </c>
      <c r="J308">
        <f>IF(ISNUMBER(B308),YEAR(B308)*100+MONTH(B308),"")</f>
        <v/>
      </c>
      <c r="K308">
        <f>IF(AND(H308="",OR(F308="Attended",F308="No-show",AND(F308="Late cancel",Settings!$C$9="Yes"))),1,0)</f>
        <v/>
      </c>
      <c r="L308">
        <f>IF(AND(H308="",F308="Attended"),1,0)</f>
        <v/>
      </c>
      <c r="M308">
        <f>IF(AND(H308="",OR(F308="No-show",F308="Late cancel")),1,0)</f>
        <v/>
      </c>
      <c r="N308">
        <f>IF(AND(H308="",F308="",D308&lt;&gt;"",I308&gt;=TODAY()),ROUND((I308+IF(ISNUMBER(C308),MOD(C308,1),0))*1440,0)*10000+ROW(),"")</f>
        <v/>
      </c>
    </row>
    <row r="309">
      <c r="A309" s="1" t="n"/>
      <c r="B309" s="17" t="n">
        <v>46282</v>
      </c>
      <c r="C309" s="18" t="n">
        <v>0.5208333333333334</v>
      </c>
      <c r="D309" s="19" t="inlineStr">
        <is>
          <t>Luis Moreno</t>
        </is>
      </c>
      <c r="E309" s="20" t="inlineStr">
        <is>
          <t>1 to 1</t>
        </is>
      </c>
      <c r="F309" s="20" t="inlineStr">
        <is>
          <t>Attended</t>
        </is>
      </c>
      <c r="G309" s="21" t="n"/>
      <c r="H309" s="12">
        <f>IF(AND(B309="",D309="",F309=""),"",IF(NOT(ISNUMBER(B309)),"Needs a date",IF(D309="","Needs a client",IF(COUNTIF(Clients!$B$6:$B$105,D309)=0,"Not on Clients",IF(AND(F309="",INT(B309)&lt;TODAY()),"Needs a status","")))))</f>
        <v/>
      </c>
      <c r="I309" s="1">
        <f>IF(ISNUMBER(B309),INT(B309),0)</f>
        <v/>
      </c>
      <c r="J309">
        <f>IF(ISNUMBER(B309),YEAR(B309)*100+MONTH(B309),"")</f>
        <v/>
      </c>
      <c r="K309">
        <f>IF(AND(H309="",OR(F309="Attended",F309="No-show",AND(F309="Late cancel",Settings!$C$9="Yes"))),1,0)</f>
        <v/>
      </c>
      <c r="L309">
        <f>IF(AND(H309="",F309="Attended"),1,0)</f>
        <v/>
      </c>
      <c r="M309">
        <f>IF(AND(H309="",OR(F309="No-show",F309="Late cancel")),1,0)</f>
        <v/>
      </c>
      <c r="N309">
        <f>IF(AND(H309="",F309="",D309&lt;&gt;"",I309&gt;=TODAY()),ROUND((I309+IF(ISNUMBER(C309),MOD(C309,1),0))*1440,0)*10000+ROW(),"")</f>
        <v/>
      </c>
    </row>
    <row r="310">
      <c r="A310" s="1" t="n"/>
      <c r="B310" s="17" t="n">
        <v>46283</v>
      </c>
      <c r="C310" s="18" t="n">
        <v>0.7291666666666666</v>
      </c>
      <c r="D310" s="19" t="inlineStr">
        <is>
          <t>Tom Walsh</t>
        </is>
      </c>
      <c r="E310" s="20" t="inlineStr">
        <is>
          <t>1 to 1</t>
        </is>
      </c>
      <c r="F310" s="20" t="inlineStr">
        <is>
          <t>Attended</t>
        </is>
      </c>
      <c r="G310" s="21" t="n"/>
      <c r="H310" s="12">
        <f>IF(AND(B310="",D310="",F310=""),"",IF(NOT(ISNUMBER(B310)),"Needs a date",IF(D310="","Needs a client",IF(COUNTIF(Clients!$B$6:$B$105,D310)=0,"Not on Clients",IF(AND(F310="",INT(B310)&lt;TODAY()),"Needs a status","")))))</f>
        <v/>
      </c>
      <c r="I310" s="1">
        <f>IF(ISNUMBER(B310),INT(B310),0)</f>
        <v/>
      </c>
      <c r="J310">
        <f>IF(ISNUMBER(B310),YEAR(B310)*100+MONTH(B310),"")</f>
        <v/>
      </c>
      <c r="K310">
        <f>IF(AND(H310="",OR(F310="Attended",F310="No-show",AND(F310="Late cancel",Settings!$C$9="Yes"))),1,0)</f>
        <v/>
      </c>
      <c r="L310">
        <f>IF(AND(H310="",F310="Attended"),1,0)</f>
        <v/>
      </c>
      <c r="M310">
        <f>IF(AND(H310="",OR(F310="No-show",F310="Late cancel")),1,0)</f>
        <v/>
      </c>
      <c r="N310">
        <f>IF(AND(H310="",F310="",D310&lt;&gt;"",I310&gt;=TODAY()),ROUND((I310+IF(ISNUMBER(C310),MOD(C310,1),0))*1440,0)*10000+ROW(),"")</f>
        <v/>
      </c>
    </row>
    <row r="311">
      <c r="A311" s="1" t="n"/>
      <c r="B311" s="17" t="n">
        <v>46284</v>
      </c>
      <c r="C311" s="18" t="n">
        <v>0.2916666666666667</v>
      </c>
      <c r="D311" s="19" t="inlineStr">
        <is>
          <t>Maya Ortiz</t>
        </is>
      </c>
      <c r="E311" s="20" t="inlineStr">
        <is>
          <t>Duo</t>
        </is>
      </c>
      <c r="F311" s="20" t="inlineStr">
        <is>
          <t>Attended</t>
        </is>
      </c>
      <c r="G311" s="21" t="n"/>
      <c r="H311" s="12">
        <f>IF(AND(B311="",D311="",F311=""),"",IF(NOT(ISNUMBER(B311)),"Needs a date",IF(D311="","Needs a client",IF(COUNTIF(Clients!$B$6:$B$105,D311)=0,"Not on Clients",IF(AND(F311="",INT(B311)&lt;TODAY()),"Needs a status","")))))</f>
        <v/>
      </c>
      <c r="I311" s="1">
        <f>IF(ISNUMBER(B311),INT(B311),0)</f>
        <v/>
      </c>
      <c r="J311">
        <f>IF(ISNUMBER(B311),YEAR(B311)*100+MONTH(B311),"")</f>
        <v/>
      </c>
      <c r="K311">
        <f>IF(AND(H311="",OR(F311="Attended",F311="No-show",AND(F311="Late cancel",Settings!$C$9="Yes"))),1,0)</f>
        <v/>
      </c>
      <c r="L311">
        <f>IF(AND(H311="",F311="Attended"),1,0)</f>
        <v/>
      </c>
      <c r="M311">
        <f>IF(AND(H311="",OR(F311="No-show",F311="Late cancel")),1,0)</f>
        <v/>
      </c>
      <c r="N311">
        <f>IF(AND(H311="",F311="",D311&lt;&gt;"",I311&gt;=TODAY()),ROUND((I311+IF(ISNUMBER(C311),MOD(C311,1),0))*1440,0)*10000+ROW(),"")</f>
        <v/>
      </c>
    </row>
    <row r="312">
      <c r="A312" s="1" t="n"/>
      <c r="B312" s="17" t="n">
        <v>46284</v>
      </c>
      <c r="C312" s="18" t="n">
        <v>0.2916666666666667</v>
      </c>
      <c r="D312" s="19" t="inlineStr">
        <is>
          <t>Omar Haddad</t>
        </is>
      </c>
      <c r="E312" s="20" t="inlineStr">
        <is>
          <t>1 to 1</t>
        </is>
      </c>
      <c r="F312" s="20" t="inlineStr">
        <is>
          <t>Attended</t>
        </is>
      </c>
      <c r="G312" s="21" t="n"/>
      <c r="H312" s="12">
        <f>IF(AND(B312="",D312="",F312=""),"",IF(NOT(ISNUMBER(B312)),"Needs a date",IF(D312="","Needs a client",IF(COUNTIF(Clients!$B$6:$B$105,D312)=0,"Not on Clients",IF(AND(F312="",INT(B312)&lt;TODAY()),"Needs a status","")))))</f>
        <v/>
      </c>
      <c r="I312" s="1">
        <f>IF(ISNUMBER(B312),INT(B312),0)</f>
        <v/>
      </c>
      <c r="J312">
        <f>IF(ISNUMBER(B312),YEAR(B312)*100+MONTH(B312),"")</f>
        <v/>
      </c>
      <c r="K312">
        <f>IF(AND(H312="",OR(F312="Attended",F312="No-show",AND(F312="Late cancel",Settings!$C$9="Yes"))),1,0)</f>
        <v/>
      </c>
      <c r="L312">
        <f>IF(AND(H312="",F312="Attended"),1,0)</f>
        <v/>
      </c>
      <c r="M312">
        <f>IF(AND(H312="",OR(F312="No-show",F312="Late cancel")),1,0)</f>
        <v/>
      </c>
      <c r="N312">
        <f>IF(AND(H312="",F312="",D312&lt;&gt;"",I312&gt;=TODAY()),ROUND((I312+IF(ISNUMBER(C312),MOD(C312,1),0))*1440,0)*10000+ROW(),"")</f>
        <v/>
      </c>
    </row>
    <row r="313">
      <c r="A313" s="1" t="n"/>
      <c r="B313" s="17" t="n">
        <v>46284</v>
      </c>
      <c r="C313" s="18" t="n">
        <v>0.5208333333333334</v>
      </c>
      <c r="D313" s="19" t="inlineStr">
        <is>
          <t>Priya Nair</t>
        </is>
      </c>
      <c r="E313" s="20" t="inlineStr">
        <is>
          <t>1 to 1</t>
        </is>
      </c>
      <c r="F313" s="20" t="inlineStr">
        <is>
          <t>Attended</t>
        </is>
      </c>
      <c r="G313" s="21" t="n"/>
      <c r="H313" s="12">
        <f>IF(AND(B313="",D313="",F313=""),"",IF(NOT(ISNUMBER(B313)),"Needs a date",IF(D313="","Needs a client",IF(COUNTIF(Clients!$B$6:$B$105,D313)=0,"Not on Clients",IF(AND(F313="",INT(B313)&lt;TODAY()),"Needs a status","")))))</f>
        <v/>
      </c>
      <c r="I313" s="1">
        <f>IF(ISNUMBER(B313),INT(B313),0)</f>
        <v/>
      </c>
      <c r="J313">
        <f>IF(ISNUMBER(B313),YEAR(B313)*100+MONTH(B313),"")</f>
        <v/>
      </c>
      <c r="K313">
        <f>IF(AND(H313="",OR(F313="Attended",F313="No-show",AND(F313="Late cancel",Settings!$C$9="Yes"))),1,0)</f>
        <v/>
      </c>
      <c r="L313">
        <f>IF(AND(H313="",F313="Attended"),1,0)</f>
        <v/>
      </c>
      <c r="M313">
        <f>IF(AND(H313="",OR(F313="No-show",F313="Late cancel")),1,0)</f>
        <v/>
      </c>
      <c r="N313">
        <f>IF(AND(H313="",F313="",D313&lt;&gt;"",I313&gt;=TODAY()),ROUND((I313+IF(ISNUMBER(C313),MOD(C313,1),0))*1440,0)*10000+ROW(),"")</f>
        <v/>
      </c>
    </row>
    <row r="314">
      <c r="A314" s="1" t="n"/>
      <c r="B314" s="17" t="n">
        <v>46284</v>
      </c>
      <c r="C314" s="18" t="n">
        <v>0.7708333333333334</v>
      </c>
      <c r="D314" s="19" t="inlineStr">
        <is>
          <t>Sam Taylor</t>
        </is>
      </c>
      <c r="E314" s="20" t="inlineStr">
        <is>
          <t>1 to 1</t>
        </is>
      </c>
      <c r="F314" s="20" t="inlineStr">
        <is>
          <t>Attended</t>
        </is>
      </c>
      <c r="G314" s="21" t="n"/>
      <c r="H314" s="12">
        <f>IF(AND(B314="",D314="",F314=""),"",IF(NOT(ISNUMBER(B314)),"Needs a date",IF(D314="","Needs a client",IF(COUNTIF(Clients!$B$6:$B$105,D314)=0,"Not on Clients",IF(AND(F314="",INT(B314)&lt;TODAY()),"Needs a status","")))))</f>
        <v/>
      </c>
      <c r="I314" s="1">
        <f>IF(ISNUMBER(B314),INT(B314),0)</f>
        <v/>
      </c>
      <c r="J314">
        <f>IF(ISNUMBER(B314),YEAR(B314)*100+MONTH(B314),"")</f>
        <v/>
      </c>
      <c r="K314">
        <f>IF(AND(H314="",OR(F314="Attended",F314="No-show",AND(F314="Late cancel",Settings!$C$9="Yes"))),1,0)</f>
        <v/>
      </c>
      <c r="L314">
        <f>IF(AND(H314="",F314="Attended"),1,0)</f>
        <v/>
      </c>
      <c r="M314">
        <f>IF(AND(H314="",OR(F314="No-show",F314="Late cancel")),1,0)</f>
        <v/>
      </c>
      <c r="N314">
        <f>IF(AND(H314="",F314="",D314&lt;&gt;"",I314&gt;=TODAY()),ROUND((I314+IF(ISNUMBER(C314),MOD(C314,1),0))*1440,0)*10000+ROW(),"")</f>
        <v/>
      </c>
    </row>
    <row r="315">
      <c r="A315" s="1" t="n"/>
      <c r="B315" s="17" t="n">
        <v>46285</v>
      </c>
      <c r="C315" s="18" t="n">
        <v>0.3333333333333333</v>
      </c>
      <c r="D315" s="19" t="inlineStr">
        <is>
          <t>Ben Carter</t>
        </is>
      </c>
      <c r="E315" s="20" t="inlineStr">
        <is>
          <t>1 to 1</t>
        </is>
      </c>
      <c r="F315" s="20" t="inlineStr">
        <is>
          <t>Attended</t>
        </is>
      </c>
      <c r="G315" s="21" t="n"/>
      <c r="H315" s="12">
        <f>IF(AND(B315="",D315="",F315=""),"",IF(NOT(ISNUMBER(B315)),"Needs a date",IF(D315="","Needs a client",IF(COUNTIF(Clients!$B$6:$B$105,D315)=0,"Not on Clients",IF(AND(F315="",INT(B315)&lt;TODAY()),"Needs a status","")))))</f>
        <v/>
      </c>
      <c r="I315" s="1">
        <f>IF(ISNUMBER(B315),INT(B315),0)</f>
        <v/>
      </c>
      <c r="J315">
        <f>IF(ISNUMBER(B315),YEAR(B315)*100+MONTH(B315),"")</f>
        <v/>
      </c>
      <c r="K315">
        <f>IF(AND(H315="",OR(F315="Attended",F315="No-show",AND(F315="Late cancel",Settings!$C$9="Yes"))),1,0)</f>
        <v/>
      </c>
      <c r="L315">
        <f>IF(AND(H315="",F315="Attended"),1,0)</f>
        <v/>
      </c>
      <c r="M315">
        <f>IF(AND(H315="",OR(F315="No-show",F315="Late cancel")),1,0)</f>
        <v/>
      </c>
      <c r="N315">
        <f>IF(AND(H315="",F315="",D315&lt;&gt;"",I315&gt;=TODAY()),ROUND((I315+IF(ISNUMBER(C315),MOD(C315,1),0))*1440,0)*10000+ROW(),"")</f>
        <v/>
      </c>
    </row>
    <row r="316">
      <c r="A316" s="1" t="n"/>
      <c r="B316" s="17" t="n">
        <v>46285</v>
      </c>
      <c r="C316" s="18" t="n">
        <v>0.5208333333333334</v>
      </c>
      <c r="D316" s="19" t="inlineStr">
        <is>
          <t>Luis Moreno</t>
        </is>
      </c>
      <c r="E316" s="20" t="inlineStr">
        <is>
          <t>1 to 1</t>
        </is>
      </c>
      <c r="F316" s="20" t="inlineStr">
        <is>
          <t>No-show</t>
        </is>
      </c>
      <c r="G316" s="21" t="n"/>
      <c r="H316" s="12">
        <f>IF(AND(B316="",D316="",F316=""),"",IF(NOT(ISNUMBER(B316)),"Needs a date",IF(D316="","Needs a client",IF(COUNTIF(Clients!$B$6:$B$105,D316)=0,"Not on Clients",IF(AND(F316="",INT(B316)&lt;TODAY()),"Needs a status","")))))</f>
        <v/>
      </c>
      <c r="I316" s="1">
        <f>IF(ISNUMBER(B316),INT(B316),0)</f>
        <v/>
      </c>
      <c r="J316">
        <f>IF(ISNUMBER(B316),YEAR(B316)*100+MONTH(B316),"")</f>
        <v/>
      </c>
      <c r="K316">
        <f>IF(AND(H316="",OR(F316="Attended",F316="No-show",AND(F316="Late cancel",Settings!$C$9="Yes"))),1,0)</f>
        <v/>
      </c>
      <c r="L316">
        <f>IF(AND(H316="",F316="Attended"),1,0)</f>
        <v/>
      </c>
      <c r="M316">
        <f>IF(AND(H316="",OR(F316="No-show",F316="Late cancel")),1,0)</f>
        <v/>
      </c>
      <c r="N316">
        <f>IF(AND(H316="",F316="",D316&lt;&gt;"",I316&gt;=TODAY()),ROUND((I316+IF(ISNUMBER(C316),MOD(C316,1),0))*1440,0)*10000+ROW(),"")</f>
        <v/>
      </c>
    </row>
    <row r="317">
      <c r="A317" s="1" t="n"/>
      <c r="B317" s="17" t="n">
        <v>46285</v>
      </c>
      <c r="C317" s="18" t="n">
        <v>0.7708333333333334</v>
      </c>
      <c r="D317" s="19" t="inlineStr">
        <is>
          <t>Leah Fischer</t>
        </is>
      </c>
      <c r="E317" s="20" t="inlineStr">
        <is>
          <t>Duo</t>
        </is>
      </c>
      <c r="F317" s="20" t="inlineStr">
        <is>
          <t>Attended</t>
        </is>
      </c>
      <c r="G317" s="21" t="n"/>
      <c r="H317" s="12">
        <f>IF(AND(B317="",D317="",F317=""),"",IF(NOT(ISNUMBER(B317)),"Needs a date",IF(D317="","Needs a client",IF(COUNTIF(Clients!$B$6:$B$105,D317)=0,"Not on Clients",IF(AND(F317="",INT(B317)&lt;TODAY()),"Needs a status","")))))</f>
        <v/>
      </c>
      <c r="I317" s="1">
        <f>IF(ISNUMBER(B317),INT(B317),0)</f>
        <v/>
      </c>
      <c r="J317">
        <f>IF(ISNUMBER(B317),YEAR(B317)*100+MONTH(B317),"")</f>
        <v/>
      </c>
      <c r="K317">
        <f>IF(AND(H317="",OR(F317="Attended",F317="No-show",AND(F317="Late cancel",Settings!$C$9="Yes"))),1,0)</f>
        <v/>
      </c>
      <c r="L317">
        <f>IF(AND(H317="",F317="Attended"),1,0)</f>
        <v/>
      </c>
      <c r="M317">
        <f>IF(AND(H317="",OR(F317="No-show",F317="Late cancel")),1,0)</f>
        <v/>
      </c>
      <c r="N317">
        <f>IF(AND(H317="",F317="",D317&lt;&gt;"",I317&gt;=TODAY()),ROUND((I317+IF(ISNUMBER(C317),MOD(C317,1),0))*1440,0)*10000+ROW(),"")</f>
        <v/>
      </c>
    </row>
    <row r="318">
      <c r="A318" s="1" t="n"/>
      <c r="B318" s="17" t="n">
        <v>46287</v>
      </c>
      <c r="C318" s="18" t="n">
        <v>0.2916666666666667</v>
      </c>
      <c r="D318" s="19" t="inlineStr">
        <is>
          <t>Omar Haddad</t>
        </is>
      </c>
      <c r="E318" s="20" t="inlineStr">
        <is>
          <t>1 to 1</t>
        </is>
      </c>
      <c r="F318" s="20" t="inlineStr">
        <is>
          <t>Attended</t>
        </is>
      </c>
      <c r="G318" s="21" t="n"/>
      <c r="H318" s="12">
        <f>IF(AND(B318="",D318="",F318=""),"",IF(NOT(ISNUMBER(B318)),"Needs a date",IF(D318="","Needs a client",IF(COUNTIF(Clients!$B$6:$B$105,D318)=0,"Not on Clients",IF(AND(F318="",INT(B318)&lt;TODAY()),"Needs a status","")))))</f>
        <v/>
      </c>
      <c r="I318" s="1">
        <f>IF(ISNUMBER(B318),INT(B318),0)</f>
        <v/>
      </c>
      <c r="J318">
        <f>IF(ISNUMBER(B318),YEAR(B318)*100+MONTH(B318),"")</f>
        <v/>
      </c>
      <c r="K318">
        <f>IF(AND(H318="",OR(F318="Attended",F318="No-show",AND(F318="Late cancel",Settings!$C$9="Yes"))),1,0)</f>
        <v/>
      </c>
      <c r="L318">
        <f>IF(AND(H318="",F318="Attended"),1,0)</f>
        <v/>
      </c>
      <c r="M318">
        <f>IF(AND(H318="",OR(F318="No-show",F318="Late cancel")),1,0)</f>
        <v/>
      </c>
      <c r="N318">
        <f>IF(AND(H318="",F318="",D318&lt;&gt;"",I318&gt;=TODAY()),ROUND((I318+IF(ISNUMBER(C318),MOD(C318,1),0))*1440,0)*10000+ROW(),"")</f>
        <v/>
      </c>
    </row>
    <row r="319">
      <c r="A319" s="1" t="n"/>
      <c r="B319" s="17" t="n">
        <v>46288</v>
      </c>
      <c r="C319" s="18" t="n">
        <v>0.5208333333333334</v>
      </c>
      <c r="D319" s="19" t="inlineStr">
        <is>
          <t>Priya Nair</t>
        </is>
      </c>
      <c r="E319" s="20" t="inlineStr">
        <is>
          <t>1 to 1</t>
        </is>
      </c>
      <c r="F319" s="20" t="inlineStr">
        <is>
          <t>Attended</t>
        </is>
      </c>
      <c r="G319" s="21" t="n"/>
      <c r="H319" s="12">
        <f>IF(AND(B319="",D319="",F319=""),"",IF(NOT(ISNUMBER(B319)),"Needs a date",IF(D319="","Needs a client",IF(COUNTIF(Clients!$B$6:$B$105,D319)=0,"Not on Clients",IF(AND(F319="",INT(B319)&lt;TODAY()),"Needs a status","")))))</f>
        <v/>
      </c>
      <c r="I319" s="1">
        <f>IF(ISNUMBER(B319),INT(B319),0)</f>
        <v/>
      </c>
      <c r="J319">
        <f>IF(ISNUMBER(B319),YEAR(B319)*100+MONTH(B319),"")</f>
        <v/>
      </c>
      <c r="K319">
        <f>IF(AND(H319="",OR(F319="Attended",F319="No-show",AND(F319="Late cancel",Settings!$C$9="Yes"))),1,0)</f>
        <v/>
      </c>
      <c r="L319">
        <f>IF(AND(H319="",F319="Attended"),1,0)</f>
        <v/>
      </c>
      <c r="M319">
        <f>IF(AND(H319="",OR(F319="No-show",F319="Late cancel")),1,0)</f>
        <v/>
      </c>
      <c r="N319">
        <f>IF(AND(H319="",F319="",D319&lt;&gt;"",I319&gt;=TODAY()),ROUND((I319+IF(ISNUMBER(C319),MOD(C319,1),0))*1440,0)*10000+ROW(),"")</f>
        <v/>
      </c>
    </row>
    <row r="320">
      <c r="A320" s="1" t="n"/>
      <c r="B320" s="17" t="n">
        <v>46288</v>
      </c>
      <c r="C320" s="18" t="n">
        <v>0.7708333333333334</v>
      </c>
      <c r="D320" s="19" t="inlineStr">
        <is>
          <t>Leah Fischer</t>
        </is>
      </c>
      <c r="E320" s="20" t="inlineStr">
        <is>
          <t>Duo</t>
        </is>
      </c>
      <c r="F320" s="20" t="inlineStr">
        <is>
          <t>Attended</t>
        </is>
      </c>
      <c r="G320" s="21" t="n"/>
      <c r="H320" s="12">
        <f>IF(AND(B320="",D320="",F320=""),"",IF(NOT(ISNUMBER(B320)),"Needs a date",IF(D320="","Needs a client",IF(COUNTIF(Clients!$B$6:$B$105,D320)=0,"Not on Clients",IF(AND(F320="",INT(B320)&lt;TODAY()),"Needs a status","")))))</f>
        <v/>
      </c>
      <c r="I320" s="1">
        <f>IF(ISNUMBER(B320),INT(B320),0)</f>
        <v/>
      </c>
      <c r="J320">
        <f>IF(ISNUMBER(B320),YEAR(B320)*100+MONTH(B320),"")</f>
        <v/>
      </c>
      <c r="K320">
        <f>IF(AND(H320="",OR(F320="Attended",F320="No-show",AND(F320="Late cancel",Settings!$C$9="Yes"))),1,0)</f>
        <v/>
      </c>
      <c r="L320">
        <f>IF(AND(H320="",F320="Attended"),1,0)</f>
        <v/>
      </c>
      <c r="M320">
        <f>IF(AND(H320="",OR(F320="No-show",F320="Late cancel")),1,0)</f>
        <v/>
      </c>
      <c r="N320">
        <f>IF(AND(H320="",F320="",D320&lt;&gt;"",I320&gt;=TODAY()),ROUND((I320+IF(ISNUMBER(C320),MOD(C320,1),0))*1440,0)*10000+ROW(),"")</f>
        <v/>
      </c>
    </row>
    <row r="321">
      <c r="A321" s="1" t="n"/>
      <c r="B321" s="17" t="n">
        <v>46289</v>
      </c>
      <c r="C321" s="18" t="n">
        <v>0.3333333333333333</v>
      </c>
      <c r="D321" s="19" t="inlineStr">
        <is>
          <t>Ben Carter</t>
        </is>
      </c>
      <c r="E321" s="20" t="inlineStr">
        <is>
          <t>1 to 1</t>
        </is>
      </c>
      <c r="F321" s="20" t="inlineStr">
        <is>
          <t>Attended</t>
        </is>
      </c>
      <c r="G321" s="21" t="n"/>
      <c r="H321" s="12">
        <f>IF(AND(B321="",D321="",F321=""),"",IF(NOT(ISNUMBER(B321)),"Needs a date",IF(D321="","Needs a client",IF(COUNTIF(Clients!$B$6:$B$105,D321)=0,"Not on Clients",IF(AND(F321="",INT(B321)&lt;TODAY()),"Needs a status","")))))</f>
        <v/>
      </c>
      <c r="I321" s="1">
        <f>IF(ISNUMBER(B321),INT(B321),0)</f>
        <v/>
      </c>
      <c r="J321">
        <f>IF(ISNUMBER(B321),YEAR(B321)*100+MONTH(B321),"")</f>
        <v/>
      </c>
      <c r="K321">
        <f>IF(AND(H321="",OR(F321="Attended",F321="No-show",AND(F321="Late cancel",Settings!$C$9="Yes"))),1,0)</f>
        <v/>
      </c>
      <c r="L321">
        <f>IF(AND(H321="",F321="Attended"),1,0)</f>
        <v/>
      </c>
      <c r="M321">
        <f>IF(AND(H321="",OR(F321="No-show",F321="Late cancel")),1,0)</f>
        <v/>
      </c>
      <c r="N321">
        <f>IF(AND(H321="",F321="",D321&lt;&gt;"",I321&gt;=TODAY()),ROUND((I321+IF(ISNUMBER(C321),MOD(C321,1),0))*1440,0)*10000+ROW(),"")</f>
        <v/>
      </c>
    </row>
    <row r="322">
      <c r="A322" s="1" t="n"/>
      <c r="B322" s="17" t="n">
        <v>46289</v>
      </c>
      <c r="C322" s="18" t="n">
        <v>0.5208333333333334</v>
      </c>
      <c r="D322" s="19" t="inlineStr">
        <is>
          <t>Luis Moreno</t>
        </is>
      </c>
      <c r="E322" s="20" t="inlineStr">
        <is>
          <t>1 to 1</t>
        </is>
      </c>
      <c r="F322" s="20" t="inlineStr">
        <is>
          <t>Attended</t>
        </is>
      </c>
      <c r="G322" s="21" t="n"/>
      <c r="H322" s="12">
        <f>IF(AND(B322="",D322="",F322=""),"",IF(NOT(ISNUMBER(B322)),"Needs a date",IF(D322="","Needs a client",IF(COUNTIF(Clients!$B$6:$B$105,D322)=0,"Not on Clients",IF(AND(F322="",INT(B322)&lt;TODAY()),"Needs a status","")))))</f>
        <v/>
      </c>
      <c r="I322" s="1">
        <f>IF(ISNUMBER(B322),INT(B322),0)</f>
        <v/>
      </c>
      <c r="J322">
        <f>IF(ISNUMBER(B322),YEAR(B322)*100+MONTH(B322),"")</f>
        <v/>
      </c>
      <c r="K322">
        <f>IF(AND(H322="",OR(F322="Attended",F322="No-show",AND(F322="Late cancel",Settings!$C$9="Yes"))),1,0)</f>
        <v/>
      </c>
      <c r="L322">
        <f>IF(AND(H322="",F322="Attended"),1,0)</f>
        <v/>
      </c>
      <c r="M322">
        <f>IF(AND(H322="",OR(F322="No-show",F322="Late cancel")),1,0)</f>
        <v/>
      </c>
      <c r="N322">
        <f>IF(AND(H322="",F322="",D322&lt;&gt;"",I322&gt;=TODAY()),ROUND((I322+IF(ISNUMBER(C322),MOD(C322,1),0))*1440,0)*10000+ROW(),"")</f>
        <v/>
      </c>
    </row>
    <row r="323">
      <c r="A323" s="1" t="n"/>
      <c r="B323" s="17" t="n">
        <v>46290</v>
      </c>
      <c r="C323" s="18" t="n">
        <v>0.7291666666666666</v>
      </c>
      <c r="D323" s="19" t="inlineStr">
        <is>
          <t>Tom Walsh</t>
        </is>
      </c>
      <c r="E323" s="20" t="inlineStr">
        <is>
          <t>1 to 1</t>
        </is>
      </c>
      <c r="F323" s="20" t="inlineStr">
        <is>
          <t>Attended</t>
        </is>
      </c>
      <c r="G323" s="21" t="n"/>
      <c r="H323" s="12">
        <f>IF(AND(B323="",D323="",F323=""),"",IF(NOT(ISNUMBER(B323)),"Needs a date",IF(D323="","Needs a client",IF(COUNTIF(Clients!$B$6:$B$105,D323)=0,"Not on Clients",IF(AND(F323="",INT(B323)&lt;TODAY()),"Needs a status","")))))</f>
        <v/>
      </c>
      <c r="I323" s="1">
        <f>IF(ISNUMBER(B323),INT(B323),0)</f>
        <v/>
      </c>
      <c r="J323">
        <f>IF(ISNUMBER(B323),YEAR(B323)*100+MONTH(B323),"")</f>
        <v/>
      </c>
      <c r="K323">
        <f>IF(AND(H323="",OR(F323="Attended",F323="No-show",AND(F323="Late cancel",Settings!$C$9="Yes"))),1,0)</f>
        <v/>
      </c>
      <c r="L323">
        <f>IF(AND(H323="",F323="Attended"),1,0)</f>
        <v/>
      </c>
      <c r="M323">
        <f>IF(AND(H323="",OR(F323="No-show",F323="Late cancel")),1,0)</f>
        <v/>
      </c>
      <c r="N323">
        <f>IF(AND(H323="",F323="",D323&lt;&gt;"",I323&gt;=TODAY()),ROUND((I323+IF(ISNUMBER(C323),MOD(C323,1),0))*1440,0)*10000+ROW(),"")</f>
        <v/>
      </c>
    </row>
    <row r="324">
      <c r="A324" s="1" t="n"/>
      <c r="B324" s="17" t="n">
        <v>46291</v>
      </c>
      <c r="C324" s="18" t="n">
        <v>0.2916666666666667</v>
      </c>
      <c r="D324" s="19" t="inlineStr">
        <is>
          <t>Maya Ortiz</t>
        </is>
      </c>
      <c r="E324" s="20" t="inlineStr">
        <is>
          <t>Duo</t>
        </is>
      </c>
      <c r="F324" s="20" t="inlineStr">
        <is>
          <t>Attended</t>
        </is>
      </c>
      <c r="G324" s="21" t="n"/>
      <c r="H324" s="12">
        <f>IF(AND(B324="",D324="",F324=""),"",IF(NOT(ISNUMBER(B324)),"Needs a date",IF(D324="","Needs a client",IF(COUNTIF(Clients!$B$6:$B$105,D324)=0,"Not on Clients",IF(AND(F324="",INT(B324)&lt;TODAY()),"Needs a status","")))))</f>
        <v/>
      </c>
      <c r="I324" s="1">
        <f>IF(ISNUMBER(B324),INT(B324),0)</f>
        <v/>
      </c>
      <c r="J324">
        <f>IF(ISNUMBER(B324),YEAR(B324)*100+MONTH(B324),"")</f>
        <v/>
      </c>
      <c r="K324">
        <f>IF(AND(H324="",OR(F324="Attended",F324="No-show",AND(F324="Late cancel",Settings!$C$9="Yes"))),1,0)</f>
        <v/>
      </c>
      <c r="L324">
        <f>IF(AND(H324="",F324="Attended"),1,0)</f>
        <v/>
      </c>
      <c r="M324">
        <f>IF(AND(H324="",OR(F324="No-show",F324="Late cancel")),1,0)</f>
        <v/>
      </c>
      <c r="N324">
        <f>IF(AND(H324="",F324="",D324&lt;&gt;"",I324&gt;=TODAY()),ROUND((I324+IF(ISNUMBER(C324),MOD(C324,1),0))*1440,0)*10000+ROW(),"")</f>
        <v/>
      </c>
    </row>
    <row r="325">
      <c r="A325" s="1" t="n"/>
      <c r="B325" s="17" t="n">
        <v>46291</v>
      </c>
      <c r="C325" s="18" t="n">
        <v>0.2916666666666667</v>
      </c>
      <c r="D325" s="19" t="inlineStr">
        <is>
          <t>Omar Haddad</t>
        </is>
      </c>
      <c r="E325" s="20" t="inlineStr">
        <is>
          <t>1 to 1</t>
        </is>
      </c>
      <c r="F325" s="20" t="inlineStr">
        <is>
          <t>Attended</t>
        </is>
      </c>
      <c r="G325" s="21" t="n"/>
      <c r="H325" s="12">
        <f>IF(AND(B325="",D325="",F325=""),"",IF(NOT(ISNUMBER(B325)),"Needs a date",IF(D325="","Needs a client",IF(COUNTIF(Clients!$B$6:$B$105,D325)=0,"Not on Clients",IF(AND(F325="",INT(B325)&lt;TODAY()),"Needs a status","")))))</f>
        <v/>
      </c>
      <c r="I325" s="1">
        <f>IF(ISNUMBER(B325),INT(B325),0)</f>
        <v/>
      </c>
      <c r="J325">
        <f>IF(ISNUMBER(B325),YEAR(B325)*100+MONTH(B325),"")</f>
        <v/>
      </c>
      <c r="K325">
        <f>IF(AND(H325="",OR(F325="Attended",F325="No-show",AND(F325="Late cancel",Settings!$C$9="Yes"))),1,0)</f>
        <v/>
      </c>
      <c r="L325">
        <f>IF(AND(H325="",F325="Attended"),1,0)</f>
        <v/>
      </c>
      <c r="M325">
        <f>IF(AND(H325="",OR(F325="No-show",F325="Late cancel")),1,0)</f>
        <v/>
      </c>
      <c r="N325">
        <f>IF(AND(H325="",F325="",D325&lt;&gt;"",I325&gt;=TODAY()),ROUND((I325+IF(ISNUMBER(C325),MOD(C325,1),0))*1440,0)*10000+ROW(),"")</f>
        <v/>
      </c>
    </row>
    <row r="326">
      <c r="A326" s="1" t="n"/>
      <c r="B326" s="17" t="n">
        <v>46291</v>
      </c>
      <c r="C326" s="18" t="n">
        <v>0.5208333333333334</v>
      </c>
      <c r="D326" s="19" t="inlineStr">
        <is>
          <t>Priya Nair</t>
        </is>
      </c>
      <c r="E326" s="20" t="inlineStr">
        <is>
          <t>1 to 1</t>
        </is>
      </c>
      <c r="F326" s="20" t="inlineStr">
        <is>
          <t>Attended</t>
        </is>
      </c>
      <c r="G326" s="21" t="n"/>
      <c r="H326" s="12">
        <f>IF(AND(B326="",D326="",F326=""),"",IF(NOT(ISNUMBER(B326)),"Needs a date",IF(D326="","Needs a client",IF(COUNTIF(Clients!$B$6:$B$105,D326)=0,"Not on Clients",IF(AND(F326="",INT(B326)&lt;TODAY()),"Needs a status","")))))</f>
        <v/>
      </c>
      <c r="I326" s="1">
        <f>IF(ISNUMBER(B326),INT(B326),0)</f>
        <v/>
      </c>
      <c r="J326">
        <f>IF(ISNUMBER(B326),YEAR(B326)*100+MONTH(B326),"")</f>
        <v/>
      </c>
      <c r="K326">
        <f>IF(AND(H326="",OR(F326="Attended",F326="No-show",AND(F326="Late cancel",Settings!$C$9="Yes"))),1,0)</f>
        <v/>
      </c>
      <c r="L326">
        <f>IF(AND(H326="",F326="Attended"),1,0)</f>
        <v/>
      </c>
      <c r="M326">
        <f>IF(AND(H326="",OR(F326="No-show",F326="Late cancel")),1,0)</f>
        <v/>
      </c>
      <c r="N326">
        <f>IF(AND(H326="",F326="",D326&lt;&gt;"",I326&gt;=TODAY()),ROUND((I326+IF(ISNUMBER(C326),MOD(C326,1),0))*1440,0)*10000+ROW(),"")</f>
        <v/>
      </c>
    </row>
    <row r="327">
      <c r="A327" s="1" t="n"/>
      <c r="B327" s="17" t="n">
        <v>46291</v>
      </c>
      <c r="C327" s="18" t="n">
        <v>0.7708333333333334</v>
      </c>
      <c r="D327" s="19" t="inlineStr">
        <is>
          <t>Sam Taylor</t>
        </is>
      </c>
      <c r="E327" s="20" t="inlineStr">
        <is>
          <t>1 to 1</t>
        </is>
      </c>
      <c r="F327" s="20" t="inlineStr">
        <is>
          <t>Cancelled</t>
        </is>
      </c>
      <c r="G327" s="21" t="n"/>
      <c r="H327" s="12">
        <f>IF(AND(B327="",D327="",F327=""),"",IF(NOT(ISNUMBER(B327)),"Needs a date",IF(D327="","Needs a client",IF(COUNTIF(Clients!$B$6:$B$105,D327)=0,"Not on Clients",IF(AND(F327="",INT(B327)&lt;TODAY()),"Needs a status","")))))</f>
        <v/>
      </c>
      <c r="I327" s="1">
        <f>IF(ISNUMBER(B327),INT(B327),0)</f>
        <v/>
      </c>
      <c r="J327">
        <f>IF(ISNUMBER(B327),YEAR(B327)*100+MONTH(B327),"")</f>
        <v/>
      </c>
      <c r="K327">
        <f>IF(AND(H327="",OR(F327="Attended",F327="No-show",AND(F327="Late cancel",Settings!$C$9="Yes"))),1,0)</f>
        <v/>
      </c>
      <c r="L327">
        <f>IF(AND(H327="",F327="Attended"),1,0)</f>
        <v/>
      </c>
      <c r="M327">
        <f>IF(AND(H327="",OR(F327="No-show",F327="Late cancel")),1,0)</f>
        <v/>
      </c>
      <c r="N327">
        <f>IF(AND(H327="",F327="",D327&lt;&gt;"",I327&gt;=TODAY()),ROUND((I327+IF(ISNUMBER(C327),MOD(C327,1),0))*1440,0)*10000+ROW(),"")</f>
        <v/>
      </c>
    </row>
    <row r="328">
      <c r="A328" s="1" t="n"/>
      <c r="B328" s="17" t="n">
        <v>46292</v>
      </c>
      <c r="C328" s="18" t="n">
        <v>0.3333333333333333</v>
      </c>
      <c r="D328" s="19" t="inlineStr">
        <is>
          <t>Ben Carter</t>
        </is>
      </c>
      <c r="E328" s="20" t="inlineStr">
        <is>
          <t>1 to 1</t>
        </is>
      </c>
      <c r="F328" s="20" t="inlineStr">
        <is>
          <t>Attended</t>
        </is>
      </c>
      <c r="G328" s="21" t="n"/>
      <c r="H328" s="12">
        <f>IF(AND(B328="",D328="",F328=""),"",IF(NOT(ISNUMBER(B328)),"Needs a date",IF(D328="","Needs a client",IF(COUNTIF(Clients!$B$6:$B$105,D328)=0,"Not on Clients",IF(AND(F328="",INT(B328)&lt;TODAY()),"Needs a status","")))))</f>
        <v/>
      </c>
      <c r="I328" s="1">
        <f>IF(ISNUMBER(B328),INT(B328),0)</f>
        <v/>
      </c>
      <c r="J328">
        <f>IF(ISNUMBER(B328),YEAR(B328)*100+MONTH(B328),"")</f>
        <v/>
      </c>
      <c r="K328">
        <f>IF(AND(H328="",OR(F328="Attended",F328="No-show",AND(F328="Late cancel",Settings!$C$9="Yes"))),1,0)</f>
        <v/>
      </c>
      <c r="L328">
        <f>IF(AND(H328="",F328="Attended"),1,0)</f>
        <v/>
      </c>
      <c r="M328">
        <f>IF(AND(H328="",OR(F328="No-show",F328="Late cancel")),1,0)</f>
        <v/>
      </c>
      <c r="N328">
        <f>IF(AND(H328="",F328="",D328&lt;&gt;"",I328&gt;=TODAY()),ROUND((I328+IF(ISNUMBER(C328),MOD(C328,1),0))*1440,0)*10000+ROW(),"")</f>
        <v/>
      </c>
    </row>
    <row r="329">
      <c r="A329" s="1" t="n"/>
      <c r="B329" s="17" t="n">
        <v>46292</v>
      </c>
      <c r="C329" s="18" t="n">
        <v>0.5208333333333334</v>
      </c>
      <c r="D329" s="19" t="inlineStr">
        <is>
          <t>Luis Moreno</t>
        </is>
      </c>
      <c r="E329" s="20" t="inlineStr">
        <is>
          <t>1 to 1</t>
        </is>
      </c>
      <c r="F329" s="20" t="inlineStr">
        <is>
          <t>Attended</t>
        </is>
      </c>
      <c r="G329" s="21" t="n"/>
      <c r="H329" s="12">
        <f>IF(AND(B329="",D329="",F329=""),"",IF(NOT(ISNUMBER(B329)),"Needs a date",IF(D329="","Needs a client",IF(COUNTIF(Clients!$B$6:$B$105,D329)=0,"Not on Clients",IF(AND(F329="",INT(B329)&lt;TODAY()),"Needs a status","")))))</f>
        <v/>
      </c>
      <c r="I329" s="1">
        <f>IF(ISNUMBER(B329),INT(B329),0)</f>
        <v/>
      </c>
      <c r="J329">
        <f>IF(ISNUMBER(B329),YEAR(B329)*100+MONTH(B329),"")</f>
        <v/>
      </c>
      <c r="K329">
        <f>IF(AND(H329="",OR(F329="Attended",F329="No-show",AND(F329="Late cancel",Settings!$C$9="Yes"))),1,0)</f>
        <v/>
      </c>
      <c r="L329">
        <f>IF(AND(H329="",F329="Attended"),1,0)</f>
        <v/>
      </c>
      <c r="M329">
        <f>IF(AND(H329="",OR(F329="No-show",F329="Late cancel")),1,0)</f>
        <v/>
      </c>
      <c r="N329">
        <f>IF(AND(H329="",F329="",D329&lt;&gt;"",I329&gt;=TODAY()),ROUND((I329+IF(ISNUMBER(C329),MOD(C329,1),0))*1440,0)*10000+ROW(),"")</f>
        <v/>
      </c>
    </row>
    <row r="330">
      <c r="A330" s="1" t="n"/>
      <c r="B330" s="17" t="n">
        <v>46292</v>
      </c>
      <c r="C330" s="18" t="n">
        <v>0.7708333333333334</v>
      </c>
      <c r="D330" s="19" t="inlineStr">
        <is>
          <t>Leah Fischer</t>
        </is>
      </c>
      <c r="E330" s="20" t="inlineStr">
        <is>
          <t>Duo</t>
        </is>
      </c>
      <c r="F330" s="20" t="inlineStr">
        <is>
          <t>Attended</t>
        </is>
      </c>
      <c r="G330" s="21" t="n"/>
      <c r="H330" s="12">
        <f>IF(AND(B330="",D330="",F330=""),"",IF(NOT(ISNUMBER(B330)),"Needs a date",IF(D330="","Needs a client",IF(COUNTIF(Clients!$B$6:$B$105,D330)=0,"Not on Clients",IF(AND(F330="",INT(B330)&lt;TODAY()),"Needs a status","")))))</f>
        <v/>
      </c>
      <c r="I330" s="1">
        <f>IF(ISNUMBER(B330),INT(B330),0)</f>
        <v/>
      </c>
      <c r="J330">
        <f>IF(ISNUMBER(B330),YEAR(B330)*100+MONTH(B330),"")</f>
        <v/>
      </c>
      <c r="K330">
        <f>IF(AND(H330="",OR(F330="Attended",F330="No-show",AND(F330="Late cancel",Settings!$C$9="Yes"))),1,0)</f>
        <v/>
      </c>
      <c r="L330">
        <f>IF(AND(H330="",F330="Attended"),1,0)</f>
        <v/>
      </c>
      <c r="M330">
        <f>IF(AND(H330="",OR(F330="No-show",F330="Late cancel")),1,0)</f>
        <v/>
      </c>
      <c r="N330">
        <f>IF(AND(H330="",F330="",D330&lt;&gt;"",I330&gt;=TODAY()),ROUND((I330+IF(ISNUMBER(C330),MOD(C330,1),0))*1440,0)*10000+ROW(),"")</f>
        <v/>
      </c>
    </row>
    <row r="331">
      <c r="A331" s="1" t="n"/>
      <c r="B331" s="17" t="n">
        <v>46294</v>
      </c>
      <c r="C331" s="18" t="n">
        <v>0.2916666666666667</v>
      </c>
      <c r="D331" s="19" t="inlineStr">
        <is>
          <t>Maya Ortiz</t>
        </is>
      </c>
      <c r="E331" s="20" t="inlineStr">
        <is>
          <t>Duo</t>
        </is>
      </c>
      <c r="F331" s="20" t="n"/>
      <c r="G331" s="21" t="n"/>
      <c r="H331" s="12">
        <f>IF(AND(B331="",D331="",F331=""),"",IF(NOT(ISNUMBER(B331)),"Needs a date",IF(D331="","Needs a client",IF(COUNTIF(Clients!$B$6:$B$105,D331)=0,"Not on Clients",IF(AND(F331="",INT(B331)&lt;TODAY()),"Needs a status","")))))</f>
        <v/>
      </c>
      <c r="I331" s="1">
        <f>IF(ISNUMBER(B331),INT(B331),0)</f>
        <v/>
      </c>
      <c r="J331">
        <f>IF(ISNUMBER(B331),YEAR(B331)*100+MONTH(B331),"")</f>
        <v/>
      </c>
      <c r="K331">
        <f>IF(AND(H331="",OR(F331="Attended",F331="No-show",AND(F331="Late cancel",Settings!$C$9="Yes"))),1,0)</f>
        <v/>
      </c>
      <c r="L331">
        <f>IF(AND(H331="",F331="Attended"),1,0)</f>
        <v/>
      </c>
      <c r="M331">
        <f>IF(AND(H331="",OR(F331="No-show",F331="Late cancel")),1,0)</f>
        <v/>
      </c>
      <c r="N331">
        <f>IF(AND(H331="",F331="",D331&lt;&gt;"",I331&gt;=TODAY()),ROUND((I331+IF(ISNUMBER(C331),MOD(C331,1),0))*1440,0)*10000+ROW(),"")</f>
        <v/>
      </c>
    </row>
    <row r="332">
      <c r="A332" s="1" t="n"/>
      <c r="B332" s="17" t="n">
        <v>46294</v>
      </c>
      <c r="C332" s="18" t="n">
        <v>0.7291666666666666</v>
      </c>
      <c r="D332" s="19" t="inlineStr">
        <is>
          <t>Tom Walsh</t>
        </is>
      </c>
      <c r="E332" s="20" t="inlineStr">
        <is>
          <t>1 to 1</t>
        </is>
      </c>
      <c r="F332" s="20" t="n"/>
      <c r="G332" s="21" t="n"/>
      <c r="H332" s="12">
        <f>IF(AND(B332="",D332="",F332=""),"",IF(NOT(ISNUMBER(B332)),"Needs a date",IF(D332="","Needs a client",IF(COUNTIF(Clients!$B$6:$B$105,D332)=0,"Not on Clients",IF(AND(F332="",INT(B332)&lt;TODAY()),"Needs a status","")))))</f>
        <v/>
      </c>
      <c r="I332" s="1">
        <f>IF(ISNUMBER(B332),INT(B332),0)</f>
        <v/>
      </c>
      <c r="J332">
        <f>IF(ISNUMBER(B332),YEAR(B332)*100+MONTH(B332),"")</f>
        <v/>
      </c>
      <c r="K332">
        <f>IF(AND(H332="",OR(F332="Attended",F332="No-show",AND(F332="Late cancel",Settings!$C$9="Yes"))),1,0)</f>
        <v/>
      </c>
      <c r="L332">
        <f>IF(AND(H332="",F332="Attended"),1,0)</f>
        <v/>
      </c>
      <c r="M332">
        <f>IF(AND(H332="",OR(F332="No-show",F332="Late cancel")),1,0)</f>
        <v/>
      </c>
      <c r="N332">
        <f>IF(AND(H332="",F332="",D332&lt;&gt;"",I332&gt;=TODAY()),ROUND((I332+IF(ISNUMBER(C332),MOD(C332,1),0))*1440,0)*10000+ROW(),"")</f>
        <v/>
      </c>
    </row>
    <row r="333">
      <c r="A333" s="1" t="n"/>
      <c r="B333" s="17" t="n">
        <v>46294</v>
      </c>
      <c r="C333" s="18" t="n">
        <v>0.7708333333333334</v>
      </c>
      <c r="D333" s="19" t="inlineStr">
        <is>
          <t>Sam Taylor</t>
        </is>
      </c>
      <c r="E333" s="20" t="inlineStr">
        <is>
          <t>1 to 1</t>
        </is>
      </c>
      <c r="F333" s="20" t="n"/>
      <c r="G333" s="21" t="n"/>
      <c r="H333" s="12">
        <f>IF(AND(B333="",D333="",F333=""),"",IF(NOT(ISNUMBER(B333)),"Needs a date",IF(D333="","Needs a client",IF(COUNTIF(Clients!$B$6:$B$105,D333)=0,"Not on Clients",IF(AND(F333="",INT(B333)&lt;TODAY()),"Needs a status","")))))</f>
        <v/>
      </c>
      <c r="I333" s="1">
        <f>IF(ISNUMBER(B333),INT(B333),0)</f>
        <v/>
      </c>
      <c r="J333">
        <f>IF(ISNUMBER(B333),YEAR(B333)*100+MONTH(B333),"")</f>
        <v/>
      </c>
      <c r="K333">
        <f>IF(AND(H333="",OR(F333="Attended",F333="No-show",AND(F333="Late cancel",Settings!$C$9="Yes"))),1,0)</f>
        <v/>
      </c>
      <c r="L333">
        <f>IF(AND(H333="",F333="Attended"),1,0)</f>
        <v/>
      </c>
      <c r="M333">
        <f>IF(AND(H333="",OR(F333="No-show",F333="Late cancel")),1,0)</f>
        <v/>
      </c>
      <c r="N333">
        <f>IF(AND(H333="",F333="",D333&lt;&gt;"",I333&gt;=TODAY()),ROUND((I333+IF(ISNUMBER(C333),MOD(C333,1),0))*1440,0)*10000+ROW(),"")</f>
        <v/>
      </c>
    </row>
    <row r="334">
      <c r="A334" s="1" t="n"/>
      <c r="B334" s="17" t="n">
        <v>46295</v>
      </c>
      <c r="C334" s="18" t="n">
        <v>0.3333333333333333</v>
      </c>
      <c r="D334" s="19" t="inlineStr">
        <is>
          <t>Ben Carter</t>
        </is>
      </c>
      <c r="E334" s="20" t="inlineStr">
        <is>
          <t>1 to 1</t>
        </is>
      </c>
      <c r="F334" s="20" t="n"/>
      <c r="G334" s="21" t="n"/>
      <c r="H334" s="12">
        <f>IF(AND(B334="",D334="",F334=""),"",IF(NOT(ISNUMBER(B334)),"Needs a date",IF(D334="","Needs a client",IF(COUNTIF(Clients!$B$6:$B$105,D334)=0,"Not on Clients",IF(AND(F334="",INT(B334)&lt;TODAY()),"Needs a status","")))))</f>
        <v/>
      </c>
      <c r="I334" s="1">
        <f>IF(ISNUMBER(B334),INT(B334),0)</f>
        <v/>
      </c>
      <c r="J334">
        <f>IF(ISNUMBER(B334),YEAR(B334)*100+MONTH(B334),"")</f>
        <v/>
      </c>
      <c r="K334">
        <f>IF(AND(H334="",OR(F334="Attended",F334="No-show",AND(F334="Late cancel",Settings!$C$9="Yes"))),1,0)</f>
        <v/>
      </c>
      <c r="L334">
        <f>IF(AND(H334="",F334="Attended"),1,0)</f>
        <v/>
      </c>
      <c r="M334">
        <f>IF(AND(H334="",OR(F334="No-show",F334="Late cancel")),1,0)</f>
        <v/>
      </c>
      <c r="N334">
        <f>IF(AND(H334="",F334="",D334&lt;&gt;"",I334&gt;=TODAY()),ROUND((I334+IF(ISNUMBER(C334),MOD(C334,1),0))*1440,0)*10000+ROW(),"")</f>
        <v/>
      </c>
    </row>
    <row r="335">
      <c r="A335" s="1" t="n"/>
      <c r="B335" s="17" t="n">
        <v>46295</v>
      </c>
      <c r="C335" s="18" t="n">
        <v>0.5208333333333334</v>
      </c>
      <c r="D335" s="19" t="inlineStr">
        <is>
          <t>Luis Moreno</t>
        </is>
      </c>
      <c r="E335" s="20" t="inlineStr">
        <is>
          <t>1 to 1</t>
        </is>
      </c>
      <c r="F335" s="20" t="n"/>
      <c r="G335" s="21" t="n"/>
      <c r="H335" s="12">
        <f>IF(AND(B335="",D335="",F335=""),"",IF(NOT(ISNUMBER(B335)),"Needs a date",IF(D335="","Needs a client",IF(COUNTIF(Clients!$B$6:$B$105,D335)=0,"Not on Clients",IF(AND(F335="",INT(B335)&lt;TODAY()),"Needs a status","")))))</f>
        <v/>
      </c>
      <c r="I335" s="1">
        <f>IF(ISNUMBER(B335),INT(B335),0)</f>
        <v/>
      </c>
      <c r="J335">
        <f>IF(ISNUMBER(B335),YEAR(B335)*100+MONTH(B335),"")</f>
        <v/>
      </c>
      <c r="K335">
        <f>IF(AND(H335="",OR(F335="Attended",F335="No-show",AND(F335="Late cancel",Settings!$C$9="Yes"))),1,0)</f>
        <v/>
      </c>
      <c r="L335">
        <f>IF(AND(H335="",F335="Attended"),1,0)</f>
        <v/>
      </c>
      <c r="M335">
        <f>IF(AND(H335="",OR(F335="No-show",F335="Late cancel")),1,0)</f>
        <v/>
      </c>
      <c r="N335">
        <f>IF(AND(H335="",F335="",D335&lt;&gt;"",I335&gt;=TODAY()),ROUND((I335+IF(ISNUMBER(C335),MOD(C335,1),0))*1440,0)*10000+ROW(),"")</f>
        <v/>
      </c>
    </row>
    <row r="336">
      <c r="A336" s="1" t="n"/>
      <c r="B336" s="17" t="n">
        <v>46295</v>
      </c>
      <c r="C336" s="18" t="n">
        <v>0.7708333333333334</v>
      </c>
      <c r="D336" s="19" t="inlineStr">
        <is>
          <t>Leah Fischer</t>
        </is>
      </c>
      <c r="E336" s="20" t="inlineStr">
        <is>
          <t>Duo</t>
        </is>
      </c>
      <c r="F336" s="20" t="n"/>
      <c r="G336" s="21" t="n"/>
      <c r="H336" s="12">
        <f>IF(AND(B336="",D336="",F336=""),"",IF(NOT(ISNUMBER(B336)),"Needs a date",IF(D336="","Needs a client",IF(COUNTIF(Clients!$B$6:$B$105,D336)=0,"Not on Clients",IF(AND(F336="",INT(B336)&lt;TODAY()),"Needs a status","")))))</f>
        <v/>
      </c>
      <c r="I336" s="1">
        <f>IF(ISNUMBER(B336),INT(B336),0)</f>
        <v/>
      </c>
      <c r="J336">
        <f>IF(ISNUMBER(B336),YEAR(B336)*100+MONTH(B336),"")</f>
        <v/>
      </c>
      <c r="K336">
        <f>IF(AND(H336="",OR(F336="Attended",F336="No-show",AND(F336="Late cancel",Settings!$C$9="Yes"))),1,0)</f>
        <v/>
      </c>
      <c r="L336">
        <f>IF(AND(H336="",F336="Attended"),1,0)</f>
        <v/>
      </c>
      <c r="M336">
        <f>IF(AND(H336="",OR(F336="No-show",F336="Late cancel")),1,0)</f>
        <v/>
      </c>
      <c r="N336">
        <f>IF(AND(H336="",F336="",D336&lt;&gt;"",I336&gt;=TODAY()),ROUND((I336+IF(ISNUMBER(C336),MOD(C336,1),0))*1440,0)*10000+ROW(),"")</f>
        <v/>
      </c>
    </row>
    <row r="337">
      <c r="A337" s="1" t="n"/>
      <c r="B337" s="17" t="n">
        <v>46296</v>
      </c>
      <c r="C337" s="18" t="n">
        <v>0.2916666666666667</v>
      </c>
      <c r="D337" s="19" t="inlineStr">
        <is>
          <t>Maya Ortiz</t>
        </is>
      </c>
      <c r="E337" s="20" t="inlineStr">
        <is>
          <t>Duo</t>
        </is>
      </c>
      <c r="F337" s="20" t="n"/>
      <c r="G337" s="21" t="n"/>
      <c r="H337" s="12">
        <f>IF(AND(B337="",D337="",F337=""),"",IF(NOT(ISNUMBER(B337)),"Needs a date",IF(D337="","Needs a client",IF(COUNTIF(Clients!$B$6:$B$105,D337)=0,"Not on Clients",IF(AND(F337="",INT(B337)&lt;TODAY()),"Needs a status","")))))</f>
        <v/>
      </c>
      <c r="I337" s="1">
        <f>IF(ISNUMBER(B337),INT(B337),0)</f>
        <v/>
      </c>
      <c r="J337">
        <f>IF(ISNUMBER(B337),YEAR(B337)*100+MONTH(B337),"")</f>
        <v/>
      </c>
      <c r="K337">
        <f>IF(AND(H337="",OR(F337="Attended",F337="No-show",AND(F337="Late cancel",Settings!$C$9="Yes"))),1,0)</f>
        <v/>
      </c>
      <c r="L337">
        <f>IF(AND(H337="",F337="Attended"),1,0)</f>
        <v/>
      </c>
      <c r="M337">
        <f>IF(AND(H337="",OR(F337="No-show",F337="Late cancel")),1,0)</f>
        <v/>
      </c>
      <c r="N337">
        <f>IF(AND(H337="",F337="",D337&lt;&gt;"",I337&gt;=TODAY()),ROUND((I337+IF(ISNUMBER(C337),MOD(C337,1),0))*1440,0)*10000+ROW(),"")</f>
        <v/>
      </c>
    </row>
    <row r="338">
      <c r="A338" s="1" t="n"/>
      <c r="B338" s="17" t="n">
        <v>46296</v>
      </c>
      <c r="C338" s="18" t="n">
        <v>0.2916666666666667</v>
      </c>
      <c r="D338" s="19" t="inlineStr">
        <is>
          <t>Omar Haddad</t>
        </is>
      </c>
      <c r="E338" s="20" t="inlineStr">
        <is>
          <t>1 to 1</t>
        </is>
      </c>
      <c r="F338" s="20" t="n"/>
      <c r="G338" s="21" t="n"/>
      <c r="H338" s="12">
        <f>IF(AND(B338="",D338="",F338=""),"",IF(NOT(ISNUMBER(B338)),"Needs a date",IF(D338="","Needs a client",IF(COUNTIF(Clients!$B$6:$B$105,D338)=0,"Not on Clients",IF(AND(F338="",INT(B338)&lt;TODAY()),"Needs a status","")))))</f>
        <v/>
      </c>
      <c r="I338" s="1">
        <f>IF(ISNUMBER(B338),INT(B338),0)</f>
        <v/>
      </c>
      <c r="J338">
        <f>IF(ISNUMBER(B338),YEAR(B338)*100+MONTH(B338),"")</f>
        <v/>
      </c>
      <c r="K338">
        <f>IF(AND(H338="",OR(F338="Attended",F338="No-show",AND(F338="Late cancel",Settings!$C$9="Yes"))),1,0)</f>
        <v/>
      </c>
      <c r="L338">
        <f>IF(AND(H338="",F338="Attended"),1,0)</f>
        <v/>
      </c>
      <c r="M338">
        <f>IF(AND(H338="",OR(F338="No-show",F338="Late cancel")),1,0)</f>
        <v/>
      </c>
      <c r="N338">
        <f>IF(AND(H338="",F338="",D338&lt;&gt;"",I338&gt;=TODAY()),ROUND((I338+IF(ISNUMBER(C338),MOD(C338,1),0))*1440,0)*10000+ROW(),"")</f>
        <v/>
      </c>
    </row>
    <row r="339">
      <c r="A339" s="1" t="n"/>
      <c r="B339" s="17" t="n">
        <v>46296</v>
      </c>
      <c r="C339" s="18" t="n">
        <v>0.5208333333333334</v>
      </c>
      <c r="D339" s="19" t="inlineStr">
        <is>
          <t>Priya Nair</t>
        </is>
      </c>
      <c r="E339" s="20" t="inlineStr">
        <is>
          <t>1 to 1</t>
        </is>
      </c>
      <c r="F339" s="20" t="n"/>
      <c r="G339" s="21" t="n"/>
      <c r="H339" s="12">
        <f>IF(AND(B339="",D339="",F339=""),"",IF(NOT(ISNUMBER(B339)),"Needs a date",IF(D339="","Needs a client",IF(COUNTIF(Clients!$B$6:$B$105,D339)=0,"Not on Clients",IF(AND(F339="",INT(B339)&lt;TODAY()),"Needs a status","")))))</f>
        <v/>
      </c>
      <c r="I339" s="1">
        <f>IF(ISNUMBER(B339),INT(B339),0)</f>
        <v/>
      </c>
      <c r="J339">
        <f>IF(ISNUMBER(B339),YEAR(B339)*100+MONTH(B339),"")</f>
        <v/>
      </c>
      <c r="K339">
        <f>IF(AND(H339="",OR(F339="Attended",F339="No-show",AND(F339="Late cancel",Settings!$C$9="Yes"))),1,0)</f>
        <v/>
      </c>
      <c r="L339">
        <f>IF(AND(H339="",F339="Attended"),1,0)</f>
        <v/>
      </c>
      <c r="M339">
        <f>IF(AND(H339="",OR(F339="No-show",F339="Late cancel")),1,0)</f>
        <v/>
      </c>
      <c r="N339">
        <f>IF(AND(H339="",F339="",D339&lt;&gt;"",I339&gt;=TODAY()),ROUND((I339+IF(ISNUMBER(C339),MOD(C339,1),0))*1440,0)*10000+ROW(),"")</f>
        <v/>
      </c>
    </row>
    <row r="340">
      <c r="A340" s="1" t="n"/>
      <c r="B340" s="17" t="n">
        <v>46296</v>
      </c>
      <c r="C340" s="18" t="n">
        <v>0.7291666666666666</v>
      </c>
      <c r="D340" s="19" t="inlineStr">
        <is>
          <t>Tom Walsh</t>
        </is>
      </c>
      <c r="E340" s="20" t="inlineStr">
        <is>
          <t>1 to 1</t>
        </is>
      </c>
      <c r="F340" s="20" t="n"/>
      <c r="G340" s="21" t="n"/>
      <c r="H340" s="12">
        <f>IF(AND(B340="",D340="",F340=""),"",IF(NOT(ISNUMBER(B340)),"Needs a date",IF(D340="","Needs a client",IF(COUNTIF(Clients!$B$6:$B$105,D340)=0,"Not on Clients",IF(AND(F340="",INT(B340)&lt;TODAY()),"Needs a status","")))))</f>
        <v/>
      </c>
      <c r="I340" s="1">
        <f>IF(ISNUMBER(B340),INT(B340),0)</f>
        <v/>
      </c>
      <c r="J340">
        <f>IF(ISNUMBER(B340),YEAR(B340)*100+MONTH(B340),"")</f>
        <v/>
      </c>
      <c r="K340">
        <f>IF(AND(H340="",OR(F340="Attended",F340="No-show",AND(F340="Late cancel",Settings!$C$9="Yes"))),1,0)</f>
        <v/>
      </c>
      <c r="L340">
        <f>IF(AND(H340="",F340="Attended"),1,0)</f>
        <v/>
      </c>
      <c r="M340">
        <f>IF(AND(H340="",OR(F340="No-show",F340="Late cancel")),1,0)</f>
        <v/>
      </c>
      <c r="N340">
        <f>IF(AND(H340="",F340="",D340&lt;&gt;"",I340&gt;=TODAY()),ROUND((I340+IF(ISNUMBER(C340),MOD(C340,1),0))*1440,0)*10000+ROW(),"")</f>
        <v/>
      </c>
    </row>
    <row r="341">
      <c r="A341" s="1" t="n"/>
      <c r="B341" s="17" t="n">
        <v>46296</v>
      </c>
      <c r="C341" s="18" t="n">
        <v>0.7708333333333334</v>
      </c>
      <c r="D341" s="19" t="inlineStr">
        <is>
          <t>Sam Taylor</t>
        </is>
      </c>
      <c r="E341" s="20" t="inlineStr">
        <is>
          <t>1 to 1</t>
        </is>
      </c>
      <c r="F341" s="20" t="n"/>
      <c r="G341" s="21" t="n"/>
      <c r="H341" s="12">
        <f>IF(AND(B341="",D341="",F341=""),"",IF(NOT(ISNUMBER(B341)),"Needs a date",IF(D341="","Needs a client",IF(COUNTIF(Clients!$B$6:$B$105,D341)=0,"Not on Clients",IF(AND(F341="",INT(B341)&lt;TODAY()),"Needs a status","")))))</f>
        <v/>
      </c>
      <c r="I341" s="1">
        <f>IF(ISNUMBER(B341),INT(B341),0)</f>
        <v/>
      </c>
      <c r="J341">
        <f>IF(ISNUMBER(B341),YEAR(B341)*100+MONTH(B341),"")</f>
        <v/>
      </c>
      <c r="K341">
        <f>IF(AND(H341="",OR(F341="Attended",F341="No-show",AND(F341="Late cancel",Settings!$C$9="Yes"))),1,0)</f>
        <v/>
      </c>
      <c r="L341">
        <f>IF(AND(H341="",F341="Attended"),1,0)</f>
        <v/>
      </c>
      <c r="M341">
        <f>IF(AND(H341="",OR(F341="No-show",F341="Late cancel")),1,0)</f>
        <v/>
      </c>
      <c r="N341">
        <f>IF(AND(H341="",F341="",D341&lt;&gt;"",I341&gt;=TODAY()),ROUND((I341+IF(ISNUMBER(C341),MOD(C341,1),0))*1440,0)*10000+ROW(),"")</f>
        <v/>
      </c>
    </row>
    <row r="342">
      <c r="A342" s="1" t="n"/>
      <c r="B342" s="17" t="n">
        <v>46297</v>
      </c>
      <c r="C342" s="18" t="n">
        <v>0.3333333333333333</v>
      </c>
      <c r="D342" s="19" t="inlineStr">
        <is>
          <t>Ben Carter</t>
        </is>
      </c>
      <c r="E342" s="20" t="inlineStr">
        <is>
          <t>1 to 1</t>
        </is>
      </c>
      <c r="F342" s="20" t="n"/>
      <c r="G342" s="21" t="n"/>
      <c r="H342" s="12">
        <f>IF(AND(B342="",D342="",F342=""),"",IF(NOT(ISNUMBER(B342)),"Needs a date",IF(D342="","Needs a client",IF(COUNTIF(Clients!$B$6:$B$105,D342)=0,"Not on Clients",IF(AND(F342="",INT(B342)&lt;TODAY()),"Needs a status","")))))</f>
        <v/>
      </c>
      <c r="I342" s="1">
        <f>IF(ISNUMBER(B342),INT(B342),0)</f>
        <v/>
      </c>
      <c r="J342">
        <f>IF(ISNUMBER(B342),YEAR(B342)*100+MONTH(B342),"")</f>
        <v/>
      </c>
      <c r="K342">
        <f>IF(AND(H342="",OR(F342="Attended",F342="No-show",AND(F342="Late cancel",Settings!$C$9="Yes"))),1,0)</f>
        <v/>
      </c>
      <c r="L342">
        <f>IF(AND(H342="",F342="Attended"),1,0)</f>
        <v/>
      </c>
      <c r="M342">
        <f>IF(AND(H342="",OR(F342="No-show",F342="Late cancel")),1,0)</f>
        <v/>
      </c>
      <c r="N342">
        <f>IF(AND(H342="",F342="",D342&lt;&gt;"",I342&gt;=TODAY()),ROUND((I342+IF(ISNUMBER(C342),MOD(C342,1),0))*1440,0)*10000+ROW(),"")</f>
        <v/>
      </c>
    </row>
    <row r="343">
      <c r="A343" s="1" t="n"/>
      <c r="B343" s="17" t="n">
        <v>46297</v>
      </c>
      <c r="C343" s="18" t="n">
        <v>0.5208333333333334</v>
      </c>
      <c r="D343" s="19" t="inlineStr">
        <is>
          <t>Luis Moreno</t>
        </is>
      </c>
      <c r="E343" s="20" t="inlineStr">
        <is>
          <t>1 to 1</t>
        </is>
      </c>
      <c r="F343" s="20" t="n"/>
      <c r="G343" s="21" t="n"/>
      <c r="H343" s="12">
        <f>IF(AND(B343="",D343="",F343=""),"",IF(NOT(ISNUMBER(B343)),"Needs a date",IF(D343="","Needs a client",IF(COUNTIF(Clients!$B$6:$B$105,D343)=0,"Not on Clients",IF(AND(F343="",INT(B343)&lt;TODAY()),"Needs a status","")))))</f>
        <v/>
      </c>
      <c r="I343" s="1">
        <f>IF(ISNUMBER(B343),INT(B343),0)</f>
        <v/>
      </c>
      <c r="J343">
        <f>IF(ISNUMBER(B343),YEAR(B343)*100+MONTH(B343),"")</f>
        <v/>
      </c>
      <c r="K343">
        <f>IF(AND(H343="",OR(F343="Attended",F343="No-show",AND(F343="Late cancel",Settings!$C$9="Yes"))),1,0)</f>
        <v/>
      </c>
      <c r="L343">
        <f>IF(AND(H343="",F343="Attended"),1,0)</f>
        <v/>
      </c>
      <c r="M343">
        <f>IF(AND(H343="",OR(F343="No-show",F343="Late cancel")),1,0)</f>
        <v/>
      </c>
      <c r="N343">
        <f>IF(AND(H343="",F343="",D343&lt;&gt;"",I343&gt;=TODAY()),ROUND((I343+IF(ISNUMBER(C343),MOD(C343,1),0))*1440,0)*10000+ROW(),"")</f>
        <v/>
      </c>
    </row>
    <row r="344">
      <c r="A344" s="1" t="n"/>
      <c r="B344" s="17" t="n">
        <v>46297</v>
      </c>
      <c r="C344" s="18" t="n">
        <v>0.7708333333333334</v>
      </c>
      <c r="D344" s="19" t="inlineStr">
        <is>
          <t>Leah Fischer</t>
        </is>
      </c>
      <c r="E344" s="20" t="inlineStr">
        <is>
          <t>Duo</t>
        </is>
      </c>
      <c r="F344" s="20" t="n"/>
      <c r="G344" s="21" t="n"/>
      <c r="H344" s="12">
        <f>IF(AND(B344="",D344="",F344=""),"",IF(NOT(ISNUMBER(B344)),"Needs a date",IF(D344="","Needs a client",IF(COUNTIF(Clients!$B$6:$B$105,D344)=0,"Not on Clients",IF(AND(F344="",INT(B344)&lt;TODAY()),"Needs a status","")))))</f>
        <v/>
      </c>
      <c r="I344" s="1">
        <f>IF(ISNUMBER(B344),INT(B344),0)</f>
        <v/>
      </c>
      <c r="J344">
        <f>IF(ISNUMBER(B344),YEAR(B344)*100+MONTH(B344),"")</f>
        <v/>
      </c>
      <c r="K344">
        <f>IF(AND(H344="",OR(F344="Attended",F344="No-show",AND(F344="Late cancel",Settings!$C$9="Yes"))),1,0)</f>
        <v/>
      </c>
      <c r="L344">
        <f>IF(AND(H344="",F344="Attended"),1,0)</f>
        <v/>
      </c>
      <c r="M344">
        <f>IF(AND(H344="",OR(F344="No-show",F344="Late cancel")),1,0)</f>
        <v/>
      </c>
      <c r="N344">
        <f>IF(AND(H344="",F344="",D344&lt;&gt;"",I344&gt;=TODAY()),ROUND((I344+IF(ISNUMBER(C344),MOD(C344,1),0))*1440,0)*10000+ROW(),"")</f>
        <v/>
      </c>
    </row>
    <row r="345">
      <c r="A345" s="1" t="n"/>
      <c r="B345" s="17" t="n">
        <v>46298</v>
      </c>
      <c r="C345" s="18" t="n">
        <v>0.2916666666666667</v>
      </c>
      <c r="D345" s="19" t="inlineStr">
        <is>
          <t>Omar Haddad</t>
        </is>
      </c>
      <c r="E345" s="20" t="inlineStr">
        <is>
          <t>1 to 1</t>
        </is>
      </c>
      <c r="F345" s="20" t="n"/>
      <c r="G345" s="21" t="n"/>
      <c r="H345" s="12">
        <f>IF(AND(B345="",D345="",F345=""),"",IF(NOT(ISNUMBER(B345)),"Needs a date",IF(D345="","Needs a client",IF(COUNTIF(Clients!$B$6:$B$105,D345)=0,"Not on Clients",IF(AND(F345="",INT(B345)&lt;TODAY()),"Needs a status","")))))</f>
        <v/>
      </c>
      <c r="I345" s="1">
        <f>IF(ISNUMBER(B345),INT(B345),0)</f>
        <v/>
      </c>
      <c r="J345">
        <f>IF(ISNUMBER(B345),YEAR(B345)*100+MONTH(B345),"")</f>
        <v/>
      </c>
      <c r="K345">
        <f>IF(AND(H345="",OR(F345="Attended",F345="No-show",AND(F345="Late cancel",Settings!$C$9="Yes"))),1,0)</f>
        <v/>
      </c>
      <c r="L345">
        <f>IF(AND(H345="",F345="Attended"),1,0)</f>
        <v/>
      </c>
      <c r="M345">
        <f>IF(AND(H345="",OR(F345="No-show",F345="Late cancel")),1,0)</f>
        <v/>
      </c>
      <c r="N345">
        <f>IF(AND(H345="",F345="",D345&lt;&gt;"",I345&gt;=TODAY()),ROUND((I345+IF(ISNUMBER(C345),MOD(C345,1),0))*1440,0)*10000+ROW(),"")</f>
        <v/>
      </c>
    </row>
    <row r="346">
      <c r="A346" s="1" t="n"/>
      <c r="B346" s="17" t="n">
        <v>46298</v>
      </c>
      <c r="C346" s="18" t="n">
        <v>0.5208333333333334</v>
      </c>
      <c r="D346" s="19" t="inlineStr">
        <is>
          <t>Priya Nair</t>
        </is>
      </c>
      <c r="E346" s="20" t="inlineStr">
        <is>
          <t>1 to 1</t>
        </is>
      </c>
      <c r="F346" s="20" t="n"/>
      <c r="G346" s="21" t="n"/>
      <c r="H346" s="12">
        <f>IF(AND(B346="",D346="",F346=""),"",IF(NOT(ISNUMBER(B346)),"Needs a date",IF(D346="","Needs a client",IF(COUNTIF(Clients!$B$6:$B$105,D346)=0,"Not on Clients",IF(AND(F346="",INT(B346)&lt;TODAY()),"Needs a status","")))))</f>
        <v/>
      </c>
      <c r="I346" s="1">
        <f>IF(ISNUMBER(B346),INT(B346),0)</f>
        <v/>
      </c>
      <c r="J346">
        <f>IF(ISNUMBER(B346),YEAR(B346)*100+MONTH(B346),"")</f>
        <v/>
      </c>
      <c r="K346">
        <f>IF(AND(H346="",OR(F346="Attended",F346="No-show",AND(F346="Late cancel",Settings!$C$9="Yes"))),1,0)</f>
        <v/>
      </c>
      <c r="L346">
        <f>IF(AND(H346="",F346="Attended"),1,0)</f>
        <v/>
      </c>
      <c r="M346">
        <f>IF(AND(H346="",OR(F346="No-show",F346="Late cancel")),1,0)</f>
        <v/>
      </c>
      <c r="N346">
        <f>IF(AND(H346="",F346="",D346&lt;&gt;"",I346&gt;=TODAY()),ROUND((I346+IF(ISNUMBER(C346),MOD(C346,1),0))*1440,0)*10000+ROW(),"")</f>
        <v/>
      </c>
    </row>
    <row r="347">
      <c r="A347" s="1" t="n"/>
      <c r="B347" s="17" t="n">
        <v>46301</v>
      </c>
      <c r="C347" s="18" t="n">
        <v>0.2916666666666667</v>
      </c>
      <c r="D347" s="19" t="inlineStr">
        <is>
          <t>Maya Ortiz</t>
        </is>
      </c>
      <c r="E347" s="20" t="inlineStr">
        <is>
          <t>Duo</t>
        </is>
      </c>
      <c r="F347" s="20" t="n"/>
      <c r="G347" s="21" t="n"/>
      <c r="H347" s="12">
        <f>IF(AND(B347="",D347="",F347=""),"",IF(NOT(ISNUMBER(B347)),"Needs a date",IF(D347="","Needs a client",IF(COUNTIF(Clients!$B$6:$B$105,D347)=0,"Not on Clients",IF(AND(F347="",INT(B347)&lt;TODAY()),"Needs a status","")))))</f>
        <v/>
      </c>
      <c r="I347" s="1">
        <f>IF(ISNUMBER(B347),INT(B347),0)</f>
        <v/>
      </c>
      <c r="J347">
        <f>IF(ISNUMBER(B347),YEAR(B347)*100+MONTH(B347),"")</f>
        <v/>
      </c>
      <c r="K347">
        <f>IF(AND(H347="",OR(F347="Attended",F347="No-show",AND(F347="Late cancel",Settings!$C$9="Yes"))),1,0)</f>
        <v/>
      </c>
      <c r="L347">
        <f>IF(AND(H347="",F347="Attended"),1,0)</f>
        <v/>
      </c>
      <c r="M347">
        <f>IF(AND(H347="",OR(F347="No-show",F347="Late cancel")),1,0)</f>
        <v/>
      </c>
      <c r="N347">
        <f>IF(AND(H347="",F347="",D347&lt;&gt;"",I347&gt;=TODAY()),ROUND((I347+IF(ISNUMBER(C347),MOD(C347,1),0))*1440,0)*10000+ROW(),"")</f>
        <v/>
      </c>
    </row>
    <row r="348">
      <c r="A348" s="1" t="n"/>
      <c r="B348" s="17" t="n">
        <v>46301</v>
      </c>
      <c r="C348" s="18" t="n">
        <v>0.7291666666666666</v>
      </c>
      <c r="D348" s="19" t="inlineStr">
        <is>
          <t>Tom Walsh</t>
        </is>
      </c>
      <c r="E348" s="20" t="inlineStr">
        <is>
          <t>1 to 1</t>
        </is>
      </c>
      <c r="F348" s="20" t="n"/>
      <c r="G348" s="21" t="n"/>
      <c r="H348" s="12">
        <f>IF(AND(B348="",D348="",F348=""),"",IF(NOT(ISNUMBER(B348)),"Needs a date",IF(D348="","Needs a client",IF(COUNTIF(Clients!$B$6:$B$105,D348)=0,"Not on Clients",IF(AND(F348="",INT(B348)&lt;TODAY()),"Needs a status","")))))</f>
        <v/>
      </c>
      <c r="I348" s="1">
        <f>IF(ISNUMBER(B348),INT(B348),0)</f>
        <v/>
      </c>
      <c r="J348">
        <f>IF(ISNUMBER(B348),YEAR(B348)*100+MONTH(B348),"")</f>
        <v/>
      </c>
      <c r="K348">
        <f>IF(AND(H348="",OR(F348="Attended",F348="No-show",AND(F348="Late cancel",Settings!$C$9="Yes"))),1,0)</f>
        <v/>
      </c>
      <c r="L348">
        <f>IF(AND(H348="",F348="Attended"),1,0)</f>
        <v/>
      </c>
      <c r="M348">
        <f>IF(AND(H348="",OR(F348="No-show",F348="Late cancel")),1,0)</f>
        <v/>
      </c>
      <c r="N348">
        <f>IF(AND(H348="",F348="",D348&lt;&gt;"",I348&gt;=TODAY()),ROUND((I348+IF(ISNUMBER(C348),MOD(C348,1),0))*1440,0)*10000+ROW(),"")</f>
        <v/>
      </c>
    </row>
    <row r="349">
      <c r="A349" s="1" t="n"/>
      <c r="B349" s="17" t="n">
        <v>46301</v>
      </c>
      <c r="C349" s="18" t="n">
        <v>0.7708333333333334</v>
      </c>
      <c r="D349" s="19" t="inlineStr">
        <is>
          <t>Sam Taylor</t>
        </is>
      </c>
      <c r="E349" s="20" t="inlineStr">
        <is>
          <t>1 to 1</t>
        </is>
      </c>
      <c r="F349" s="20" t="n"/>
      <c r="G349" s="21" t="n"/>
      <c r="H349" s="12">
        <f>IF(AND(B349="",D349="",F349=""),"",IF(NOT(ISNUMBER(B349)),"Needs a date",IF(D349="","Needs a client",IF(COUNTIF(Clients!$B$6:$B$105,D349)=0,"Not on Clients",IF(AND(F349="",INT(B349)&lt;TODAY()),"Needs a status","")))))</f>
        <v/>
      </c>
      <c r="I349" s="1">
        <f>IF(ISNUMBER(B349),INT(B349),0)</f>
        <v/>
      </c>
      <c r="J349">
        <f>IF(ISNUMBER(B349),YEAR(B349)*100+MONTH(B349),"")</f>
        <v/>
      </c>
      <c r="K349">
        <f>IF(AND(H349="",OR(F349="Attended",F349="No-show",AND(F349="Late cancel",Settings!$C$9="Yes"))),1,0)</f>
        <v/>
      </c>
      <c r="L349">
        <f>IF(AND(H349="",F349="Attended"),1,0)</f>
        <v/>
      </c>
      <c r="M349">
        <f>IF(AND(H349="",OR(F349="No-show",F349="Late cancel")),1,0)</f>
        <v/>
      </c>
      <c r="N349">
        <f>IF(AND(H349="",F349="",D349&lt;&gt;"",I349&gt;=TODAY()),ROUND((I349+IF(ISNUMBER(C349),MOD(C349,1),0))*1440,0)*10000+ROW(),"")</f>
        <v/>
      </c>
    </row>
    <row r="350">
      <c r="A350" s="1" t="n"/>
      <c r="B350" s="17" t="n">
        <v>46302</v>
      </c>
      <c r="C350" s="18" t="n">
        <v>0.3333333333333333</v>
      </c>
      <c r="D350" s="19" t="inlineStr">
        <is>
          <t>Ben Carter</t>
        </is>
      </c>
      <c r="E350" s="20" t="inlineStr">
        <is>
          <t>1 to 1</t>
        </is>
      </c>
      <c r="F350" s="20" t="n"/>
      <c r="G350" s="21" t="n"/>
      <c r="H350" s="12">
        <f>IF(AND(B350="",D350="",F350=""),"",IF(NOT(ISNUMBER(B350)),"Needs a date",IF(D350="","Needs a client",IF(COUNTIF(Clients!$B$6:$B$105,D350)=0,"Not on Clients",IF(AND(F350="",INT(B350)&lt;TODAY()),"Needs a status","")))))</f>
        <v/>
      </c>
      <c r="I350" s="1">
        <f>IF(ISNUMBER(B350),INT(B350),0)</f>
        <v/>
      </c>
      <c r="J350">
        <f>IF(ISNUMBER(B350),YEAR(B350)*100+MONTH(B350),"")</f>
        <v/>
      </c>
      <c r="K350">
        <f>IF(AND(H350="",OR(F350="Attended",F350="No-show",AND(F350="Late cancel",Settings!$C$9="Yes"))),1,0)</f>
        <v/>
      </c>
      <c r="L350">
        <f>IF(AND(H350="",F350="Attended"),1,0)</f>
        <v/>
      </c>
      <c r="M350">
        <f>IF(AND(H350="",OR(F350="No-show",F350="Late cancel")),1,0)</f>
        <v/>
      </c>
      <c r="N350">
        <f>IF(AND(H350="",F350="",D350&lt;&gt;"",I350&gt;=TODAY()),ROUND((I350+IF(ISNUMBER(C350),MOD(C350,1),0))*1440,0)*10000+ROW(),"")</f>
        <v/>
      </c>
    </row>
    <row r="351">
      <c r="A351" s="1" t="n"/>
      <c r="B351" s="17" t="n">
        <v>46302</v>
      </c>
      <c r="C351" s="18" t="n">
        <v>0.5208333333333334</v>
      </c>
      <c r="D351" s="19" t="inlineStr">
        <is>
          <t>Luis Moreno</t>
        </is>
      </c>
      <c r="E351" s="20" t="inlineStr">
        <is>
          <t>1 to 1</t>
        </is>
      </c>
      <c r="F351" s="20" t="n"/>
      <c r="G351" s="21" t="n"/>
      <c r="H351" s="12">
        <f>IF(AND(B351="",D351="",F351=""),"",IF(NOT(ISNUMBER(B351)),"Needs a date",IF(D351="","Needs a client",IF(COUNTIF(Clients!$B$6:$B$105,D351)=0,"Not on Clients",IF(AND(F351="",INT(B351)&lt;TODAY()),"Needs a status","")))))</f>
        <v/>
      </c>
      <c r="I351" s="1">
        <f>IF(ISNUMBER(B351),INT(B351),0)</f>
        <v/>
      </c>
      <c r="J351">
        <f>IF(ISNUMBER(B351),YEAR(B351)*100+MONTH(B351),"")</f>
        <v/>
      </c>
      <c r="K351">
        <f>IF(AND(H351="",OR(F351="Attended",F351="No-show",AND(F351="Late cancel",Settings!$C$9="Yes"))),1,0)</f>
        <v/>
      </c>
      <c r="L351">
        <f>IF(AND(H351="",F351="Attended"),1,0)</f>
        <v/>
      </c>
      <c r="M351">
        <f>IF(AND(H351="",OR(F351="No-show",F351="Late cancel")),1,0)</f>
        <v/>
      </c>
      <c r="N351">
        <f>IF(AND(H351="",F351="",D351&lt;&gt;"",I351&gt;=TODAY()),ROUND((I351+IF(ISNUMBER(C351),MOD(C351,1),0))*1440,0)*10000+ROW(),"")</f>
        <v/>
      </c>
    </row>
    <row r="352">
      <c r="A352" s="1" t="n"/>
      <c r="B352" s="17" t="n">
        <v>46302</v>
      </c>
      <c r="C352" s="18" t="n">
        <v>0.7708333333333334</v>
      </c>
      <c r="D352" s="19" t="inlineStr">
        <is>
          <t>Leah Fischer</t>
        </is>
      </c>
      <c r="E352" s="20" t="inlineStr">
        <is>
          <t>Duo</t>
        </is>
      </c>
      <c r="F352" s="20" t="n"/>
      <c r="G352" s="21" t="n"/>
      <c r="H352" s="12">
        <f>IF(AND(B352="",D352="",F352=""),"",IF(NOT(ISNUMBER(B352)),"Needs a date",IF(D352="","Needs a client",IF(COUNTIF(Clients!$B$6:$B$105,D352)=0,"Not on Clients",IF(AND(F352="",INT(B352)&lt;TODAY()),"Needs a status","")))))</f>
        <v/>
      </c>
      <c r="I352" s="1">
        <f>IF(ISNUMBER(B352),INT(B352),0)</f>
        <v/>
      </c>
      <c r="J352">
        <f>IF(ISNUMBER(B352),YEAR(B352)*100+MONTH(B352),"")</f>
        <v/>
      </c>
      <c r="K352">
        <f>IF(AND(H352="",OR(F352="Attended",F352="No-show",AND(F352="Late cancel",Settings!$C$9="Yes"))),1,0)</f>
        <v/>
      </c>
      <c r="L352">
        <f>IF(AND(H352="",F352="Attended"),1,0)</f>
        <v/>
      </c>
      <c r="M352">
        <f>IF(AND(H352="",OR(F352="No-show",F352="Late cancel")),1,0)</f>
        <v/>
      </c>
      <c r="N352">
        <f>IF(AND(H352="",F352="",D352&lt;&gt;"",I352&gt;=TODAY()),ROUND((I352+IF(ISNUMBER(C352),MOD(C352,1),0))*1440,0)*10000+ROW(),"")</f>
        <v/>
      </c>
    </row>
    <row r="353">
      <c r="A353" s="1" t="n"/>
      <c r="B353" s="17" t="n">
        <v>46303</v>
      </c>
      <c r="C353" s="18" t="n">
        <v>0.2916666666666667</v>
      </c>
      <c r="D353" s="19" t="inlineStr">
        <is>
          <t>Omar Haddad</t>
        </is>
      </c>
      <c r="E353" s="20" t="inlineStr">
        <is>
          <t>1 to 1</t>
        </is>
      </c>
      <c r="F353" s="20" t="n"/>
      <c r="G353" s="21" t="n"/>
      <c r="H353" s="12">
        <f>IF(AND(B353="",D353="",F353=""),"",IF(NOT(ISNUMBER(B353)),"Needs a date",IF(D353="","Needs a client",IF(COUNTIF(Clients!$B$6:$B$105,D353)=0,"Not on Clients",IF(AND(F353="",INT(B353)&lt;TODAY()),"Needs a status","")))))</f>
        <v/>
      </c>
      <c r="I353" s="1">
        <f>IF(ISNUMBER(B353),INT(B353),0)</f>
        <v/>
      </c>
      <c r="J353">
        <f>IF(ISNUMBER(B353),YEAR(B353)*100+MONTH(B353),"")</f>
        <v/>
      </c>
      <c r="K353">
        <f>IF(AND(H353="",OR(F353="Attended",F353="No-show",AND(F353="Late cancel",Settings!$C$9="Yes"))),1,0)</f>
        <v/>
      </c>
      <c r="L353">
        <f>IF(AND(H353="",F353="Attended"),1,0)</f>
        <v/>
      </c>
      <c r="M353">
        <f>IF(AND(H353="",OR(F353="No-show",F353="Late cancel")),1,0)</f>
        <v/>
      </c>
      <c r="N353">
        <f>IF(AND(H353="",F353="",D353&lt;&gt;"",I353&gt;=TODAY()),ROUND((I353+IF(ISNUMBER(C353),MOD(C353,1),0))*1440,0)*10000+ROW(),"")</f>
        <v/>
      </c>
    </row>
    <row r="354">
      <c r="A354" s="1" t="n"/>
      <c r="B354" s="17" t="n">
        <v>46303</v>
      </c>
      <c r="C354" s="18" t="n">
        <v>0.5208333333333334</v>
      </c>
      <c r="D354" s="19" t="inlineStr">
        <is>
          <t>Priya Nair</t>
        </is>
      </c>
      <c r="E354" s="20" t="inlineStr">
        <is>
          <t>1 to 1</t>
        </is>
      </c>
      <c r="F354" s="20" t="n"/>
      <c r="G354" s="21" t="n"/>
      <c r="H354" s="12">
        <f>IF(AND(B354="",D354="",F354=""),"",IF(NOT(ISNUMBER(B354)),"Needs a date",IF(D354="","Needs a client",IF(COUNTIF(Clients!$B$6:$B$105,D354)=0,"Not on Clients",IF(AND(F354="",INT(B354)&lt;TODAY()),"Needs a status","")))))</f>
        <v/>
      </c>
      <c r="I354" s="1">
        <f>IF(ISNUMBER(B354),INT(B354),0)</f>
        <v/>
      </c>
      <c r="J354">
        <f>IF(ISNUMBER(B354),YEAR(B354)*100+MONTH(B354),"")</f>
        <v/>
      </c>
      <c r="K354">
        <f>IF(AND(H354="",OR(F354="Attended",F354="No-show",AND(F354="Late cancel",Settings!$C$9="Yes"))),1,0)</f>
        <v/>
      </c>
      <c r="L354">
        <f>IF(AND(H354="",F354="Attended"),1,0)</f>
        <v/>
      </c>
      <c r="M354">
        <f>IF(AND(H354="",OR(F354="No-show",F354="Late cancel")),1,0)</f>
        <v/>
      </c>
      <c r="N354">
        <f>IF(AND(H354="",F354="",D354&lt;&gt;"",I354&gt;=TODAY()),ROUND((I354+IF(ISNUMBER(C354),MOD(C354,1),0))*1440,0)*10000+ROW(),"")</f>
        <v/>
      </c>
    </row>
    <row r="355">
      <c r="A355" s="1" t="n"/>
      <c r="B355" s="17" t="n"/>
      <c r="C355" s="18" t="n"/>
      <c r="D355" s="19" t="n"/>
      <c r="E355" s="20" t="n"/>
      <c r="F355" s="20" t="n"/>
      <c r="G355" s="21" t="n"/>
      <c r="H355" s="12">
        <f>IF(AND(B355="",D355="",F355=""),"",IF(NOT(ISNUMBER(B355)),"Needs a date",IF(D355="","Needs a client",IF(COUNTIF(Clients!$B$6:$B$105,D355)=0,"Not on Clients",IF(AND(F355="",INT(B355)&lt;TODAY()),"Needs a status","")))))</f>
        <v/>
      </c>
      <c r="I355" s="1">
        <f>IF(ISNUMBER(B355),INT(B355),0)</f>
        <v/>
      </c>
      <c r="J355">
        <f>IF(ISNUMBER(B355),YEAR(B355)*100+MONTH(B355),"")</f>
        <v/>
      </c>
      <c r="K355">
        <f>IF(AND(H355="",OR(F355="Attended",F355="No-show",AND(F355="Late cancel",Settings!$C$9="Yes"))),1,0)</f>
        <v/>
      </c>
      <c r="L355">
        <f>IF(AND(H355="",F355="Attended"),1,0)</f>
        <v/>
      </c>
      <c r="M355">
        <f>IF(AND(H355="",OR(F355="No-show",F355="Late cancel")),1,0)</f>
        <v/>
      </c>
      <c r="N355">
        <f>IF(AND(H355="",F355="",D355&lt;&gt;"",I355&gt;=TODAY()),ROUND((I355+IF(ISNUMBER(C355),MOD(C355,1),0))*1440,0)*10000+ROW(),"")</f>
        <v/>
      </c>
    </row>
    <row r="356">
      <c r="A356" s="1" t="n"/>
      <c r="B356" s="17" t="n"/>
      <c r="C356" s="18" t="n"/>
      <c r="D356" s="19" t="n"/>
      <c r="E356" s="20" t="n"/>
      <c r="F356" s="20" t="n"/>
      <c r="G356" s="21" t="n"/>
      <c r="H356" s="12">
        <f>IF(AND(B356="",D356="",F356=""),"",IF(NOT(ISNUMBER(B356)),"Needs a date",IF(D356="","Needs a client",IF(COUNTIF(Clients!$B$6:$B$105,D356)=0,"Not on Clients",IF(AND(F356="",INT(B356)&lt;TODAY()),"Needs a status","")))))</f>
        <v/>
      </c>
      <c r="I356" s="1">
        <f>IF(ISNUMBER(B356),INT(B356),0)</f>
        <v/>
      </c>
      <c r="J356">
        <f>IF(ISNUMBER(B356),YEAR(B356)*100+MONTH(B356),"")</f>
        <v/>
      </c>
      <c r="K356">
        <f>IF(AND(H356="",OR(F356="Attended",F356="No-show",AND(F356="Late cancel",Settings!$C$9="Yes"))),1,0)</f>
        <v/>
      </c>
      <c r="L356">
        <f>IF(AND(H356="",F356="Attended"),1,0)</f>
        <v/>
      </c>
      <c r="M356">
        <f>IF(AND(H356="",OR(F356="No-show",F356="Late cancel")),1,0)</f>
        <v/>
      </c>
      <c r="N356">
        <f>IF(AND(H356="",F356="",D356&lt;&gt;"",I356&gt;=TODAY()),ROUND((I356+IF(ISNUMBER(C356),MOD(C356,1),0))*1440,0)*10000+ROW(),"")</f>
        <v/>
      </c>
    </row>
    <row r="357">
      <c r="A357" s="1" t="n"/>
      <c r="B357" s="17" t="n"/>
      <c r="C357" s="18" t="n"/>
      <c r="D357" s="19" t="n"/>
      <c r="E357" s="20" t="n"/>
      <c r="F357" s="20" t="n"/>
      <c r="G357" s="21" t="n"/>
      <c r="H357" s="12">
        <f>IF(AND(B357="",D357="",F357=""),"",IF(NOT(ISNUMBER(B357)),"Needs a date",IF(D357="","Needs a client",IF(COUNTIF(Clients!$B$6:$B$105,D357)=0,"Not on Clients",IF(AND(F357="",INT(B357)&lt;TODAY()),"Needs a status","")))))</f>
        <v/>
      </c>
      <c r="I357" s="1">
        <f>IF(ISNUMBER(B357),INT(B357),0)</f>
        <v/>
      </c>
      <c r="J357">
        <f>IF(ISNUMBER(B357),YEAR(B357)*100+MONTH(B357),"")</f>
        <v/>
      </c>
      <c r="K357">
        <f>IF(AND(H357="",OR(F357="Attended",F357="No-show",AND(F357="Late cancel",Settings!$C$9="Yes"))),1,0)</f>
        <v/>
      </c>
      <c r="L357">
        <f>IF(AND(H357="",F357="Attended"),1,0)</f>
        <v/>
      </c>
      <c r="M357">
        <f>IF(AND(H357="",OR(F357="No-show",F357="Late cancel")),1,0)</f>
        <v/>
      </c>
      <c r="N357">
        <f>IF(AND(H357="",F357="",D357&lt;&gt;"",I357&gt;=TODAY()),ROUND((I357+IF(ISNUMBER(C357),MOD(C357,1),0))*1440,0)*10000+ROW(),"")</f>
        <v/>
      </c>
    </row>
    <row r="358">
      <c r="A358" s="1" t="n"/>
      <c r="B358" s="17" t="n"/>
      <c r="C358" s="18" t="n"/>
      <c r="D358" s="19" t="n"/>
      <c r="E358" s="20" t="n"/>
      <c r="F358" s="20" t="n"/>
      <c r="G358" s="21" t="n"/>
      <c r="H358" s="12">
        <f>IF(AND(B358="",D358="",F358=""),"",IF(NOT(ISNUMBER(B358)),"Needs a date",IF(D358="","Needs a client",IF(COUNTIF(Clients!$B$6:$B$105,D358)=0,"Not on Clients",IF(AND(F358="",INT(B358)&lt;TODAY()),"Needs a status","")))))</f>
        <v/>
      </c>
      <c r="I358" s="1">
        <f>IF(ISNUMBER(B358),INT(B358),0)</f>
        <v/>
      </c>
      <c r="J358">
        <f>IF(ISNUMBER(B358),YEAR(B358)*100+MONTH(B358),"")</f>
        <v/>
      </c>
      <c r="K358">
        <f>IF(AND(H358="",OR(F358="Attended",F358="No-show",AND(F358="Late cancel",Settings!$C$9="Yes"))),1,0)</f>
        <v/>
      </c>
      <c r="L358">
        <f>IF(AND(H358="",F358="Attended"),1,0)</f>
        <v/>
      </c>
      <c r="M358">
        <f>IF(AND(H358="",OR(F358="No-show",F358="Late cancel")),1,0)</f>
        <v/>
      </c>
      <c r="N358">
        <f>IF(AND(H358="",F358="",D358&lt;&gt;"",I358&gt;=TODAY()),ROUND((I358+IF(ISNUMBER(C358),MOD(C358,1),0))*1440,0)*10000+ROW(),"")</f>
        <v/>
      </c>
    </row>
    <row r="359">
      <c r="A359" s="1" t="n"/>
      <c r="B359" s="17" t="n"/>
      <c r="C359" s="18" t="n"/>
      <c r="D359" s="19" t="n"/>
      <c r="E359" s="20" t="n"/>
      <c r="F359" s="20" t="n"/>
      <c r="G359" s="21" t="n"/>
      <c r="H359" s="12">
        <f>IF(AND(B359="",D359="",F359=""),"",IF(NOT(ISNUMBER(B359)),"Needs a date",IF(D359="","Needs a client",IF(COUNTIF(Clients!$B$6:$B$105,D359)=0,"Not on Clients",IF(AND(F359="",INT(B359)&lt;TODAY()),"Needs a status","")))))</f>
        <v/>
      </c>
      <c r="I359" s="1">
        <f>IF(ISNUMBER(B359),INT(B359),0)</f>
        <v/>
      </c>
      <c r="J359">
        <f>IF(ISNUMBER(B359),YEAR(B359)*100+MONTH(B359),"")</f>
        <v/>
      </c>
      <c r="K359">
        <f>IF(AND(H359="",OR(F359="Attended",F359="No-show",AND(F359="Late cancel",Settings!$C$9="Yes"))),1,0)</f>
        <v/>
      </c>
      <c r="L359">
        <f>IF(AND(H359="",F359="Attended"),1,0)</f>
        <v/>
      </c>
      <c r="M359">
        <f>IF(AND(H359="",OR(F359="No-show",F359="Late cancel")),1,0)</f>
        <v/>
      </c>
      <c r="N359">
        <f>IF(AND(H359="",F359="",D359&lt;&gt;"",I359&gt;=TODAY()),ROUND((I359+IF(ISNUMBER(C359),MOD(C359,1),0))*1440,0)*10000+ROW(),"")</f>
        <v/>
      </c>
    </row>
    <row r="360">
      <c r="A360" s="1" t="n"/>
      <c r="B360" s="17" t="n"/>
      <c r="C360" s="18" t="n"/>
      <c r="D360" s="19" t="n"/>
      <c r="E360" s="20" t="n"/>
      <c r="F360" s="20" t="n"/>
      <c r="G360" s="21" t="n"/>
      <c r="H360" s="12">
        <f>IF(AND(B360="",D360="",F360=""),"",IF(NOT(ISNUMBER(B360)),"Needs a date",IF(D360="","Needs a client",IF(COUNTIF(Clients!$B$6:$B$105,D360)=0,"Not on Clients",IF(AND(F360="",INT(B360)&lt;TODAY()),"Needs a status","")))))</f>
        <v/>
      </c>
      <c r="I360" s="1">
        <f>IF(ISNUMBER(B360),INT(B360),0)</f>
        <v/>
      </c>
      <c r="J360">
        <f>IF(ISNUMBER(B360),YEAR(B360)*100+MONTH(B360),"")</f>
        <v/>
      </c>
      <c r="K360">
        <f>IF(AND(H360="",OR(F360="Attended",F360="No-show",AND(F360="Late cancel",Settings!$C$9="Yes"))),1,0)</f>
        <v/>
      </c>
      <c r="L360">
        <f>IF(AND(H360="",F360="Attended"),1,0)</f>
        <v/>
      </c>
      <c r="M360">
        <f>IF(AND(H360="",OR(F360="No-show",F360="Late cancel")),1,0)</f>
        <v/>
      </c>
      <c r="N360">
        <f>IF(AND(H360="",F360="",D360&lt;&gt;"",I360&gt;=TODAY()),ROUND((I360+IF(ISNUMBER(C360),MOD(C360,1),0))*1440,0)*10000+ROW(),"")</f>
        <v/>
      </c>
    </row>
    <row r="361">
      <c r="A361" s="1" t="n"/>
      <c r="B361" s="17" t="n"/>
      <c r="C361" s="18" t="n"/>
      <c r="D361" s="19" t="n"/>
      <c r="E361" s="20" t="n"/>
      <c r="F361" s="20" t="n"/>
      <c r="G361" s="21" t="n"/>
      <c r="H361" s="12">
        <f>IF(AND(B361="",D361="",F361=""),"",IF(NOT(ISNUMBER(B361)),"Needs a date",IF(D361="","Needs a client",IF(COUNTIF(Clients!$B$6:$B$105,D361)=0,"Not on Clients",IF(AND(F361="",INT(B361)&lt;TODAY()),"Needs a status","")))))</f>
        <v/>
      </c>
      <c r="I361" s="1">
        <f>IF(ISNUMBER(B361),INT(B361),0)</f>
        <v/>
      </c>
      <c r="J361">
        <f>IF(ISNUMBER(B361),YEAR(B361)*100+MONTH(B361),"")</f>
        <v/>
      </c>
      <c r="K361">
        <f>IF(AND(H361="",OR(F361="Attended",F361="No-show",AND(F361="Late cancel",Settings!$C$9="Yes"))),1,0)</f>
        <v/>
      </c>
      <c r="L361">
        <f>IF(AND(H361="",F361="Attended"),1,0)</f>
        <v/>
      </c>
      <c r="M361">
        <f>IF(AND(H361="",OR(F361="No-show",F361="Late cancel")),1,0)</f>
        <v/>
      </c>
      <c r="N361">
        <f>IF(AND(H361="",F361="",D361&lt;&gt;"",I361&gt;=TODAY()),ROUND((I361+IF(ISNUMBER(C361),MOD(C361,1),0))*1440,0)*10000+ROW(),"")</f>
        <v/>
      </c>
    </row>
    <row r="362">
      <c r="A362" s="1" t="n"/>
      <c r="B362" s="17" t="n"/>
      <c r="C362" s="18" t="n"/>
      <c r="D362" s="19" t="n"/>
      <c r="E362" s="20" t="n"/>
      <c r="F362" s="20" t="n"/>
      <c r="G362" s="21" t="n"/>
      <c r="H362" s="12">
        <f>IF(AND(B362="",D362="",F362=""),"",IF(NOT(ISNUMBER(B362)),"Needs a date",IF(D362="","Needs a client",IF(COUNTIF(Clients!$B$6:$B$105,D362)=0,"Not on Clients",IF(AND(F362="",INT(B362)&lt;TODAY()),"Needs a status","")))))</f>
        <v/>
      </c>
      <c r="I362" s="1">
        <f>IF(ISNUMBER(B362),INT(B362),0)</f>
        <v/>
      </c>
      <c r="J362">
        <f>IF(ISNUMBER(B362),YEAR(B362)*100+MONTH(B362),"")</f>
        <v/>
      </c>
      <c r="K362">
        <f>IF(AND(H362="",OR(F362="Attended",F362="No-show",AND(F362="Late cancel",Settings!$C$9="Yes"))),1,0)</f>
        <v/>
      </c>
      <c r="L362">
        <f>IF(AND(H362="",F362="Attended"),1,0)</f>
        <v/>
      </c>
      <c r="M362">
        <f>IF(AND(H362="",OR(F362="No-show",F362="Late cancel")),1,0)</f>
        <v/>
      </c>
      <c r="N362">
        <f>IF(AND(H362="",F362="",D362&lt;&gt;"",I362&gt;=TODAY()),ROUND((I362+IF(ISNUMBER(C362),MOD(C362,1),0))*1440,0)*10000+ROW(),"")</f>
        <v/>
      </c>
    </row>
    <row r="363">
      <c r="A363" s="1" t="n"/>
      <c r="B363" s="17" t="n"/>
      <c r="C363" s="18" t="n"/>
      <c r="D363" s="19" t="n"/>
      <c r="E363" s="20" t="n"/>
      <c r="F363" s="20" t="n"/>
      <c r="G363" s="21" t="n"/>
      <c r="H363" s="12">
        <f>IF(AND(B363="",D363="",F363=""),"",IF(NOT(ISNUMBER(B363)),"Needs a date",IF(D363="","Needs a client",IF(COUNTIF(Clients!$B$6:$B$105,D363)=0,"Not on Clients",IF(AND(F363="",INT(B363)&lt;TODAY()),"Needs a status","")))))</f>
        <v/>
      </c>
      <c r="I363" s="1">
        <f>IF(ISNUMBER(B363),INT(B363),0)</f>
        <v/>
      </c>
      <c r="J363">
        <f>IF(ISNUMBER(B363),YEAR(B363)*100+MONTH(B363),"")</f>
        <v/>
      </c>
      <c r="K363">
        <f>IF(AND(H363="",OR(F363="Attended",F363="No-show",AND(F363="Late cancel",Settings!$C$9="Yes"))),1,0)</f>
        <v/>
      </c>
      <c r="L363">
        <f>IF(AND(H363="",F363="Attended"),1,0)</f>
        <v/>
      </c>
      <c r="M363">
        <f>IF(AND(H363="",OR(F363="No-show",F363="Late cancel")),1,0)</f>
        <v/>
      </c>
      <c r="N363">
        <f>IF(AND(H363="",F363="",D363&lt;&gt;"",I363&gt;=TODAY()),ROUND((I363+IF(ISNUMBER(C363),MOD(C363,1),0))*1440,0)*10000+ROW(),"")</f>
        <v/>
      </c>
    </row>
    <row r="364">
      <c r="A364" s="1" t="n"/>
      <c r="B364" s="17" t="n"/>
      <c r="C364" s="18" t="n"/>
      <c r="D364" s="19" t="n"/>
      <c r="E364" s="20" t="n"/>
      <c r="F364" s="20" t="n"/>
      <c r="G364" s="21" t="n"/>
      <c r="H364" s="12">
        <f>IF(AND(B364="",D364="",F364=""),"",IF(NOT(ISNUMBER(B364)),"Needs a date",IF(D364="","Needs a client",IF(COUNTIF(Clients!$B$6:$B$105,D364)=0,"Not on Clients",IF(AND(F364="",INT(B364)&lt;TODAY()),"Needs a status","")))))</f>
        <v/>
      </c>
      <c r="I364" s="1">
        <f>IF(ISNUMBER(B364),INT(B364),0)</f>
        <v/>
      </c>
      <c r="J364">
        <f>IF(ISNUMBER(B364),YEAR(B364)*100+MONTH(B364),"")</f>
        <v/>
      </c>
      <c r="K364">
        <f>IF(AND(H364="",OR(F364="Attended",F364="No-show",AND(F364="Late cancel",Settings!$C$9="Yes"))),1,0)</f>
        <v/>
      </c>
      <c r="L364">
        <f>IF(AND(H364="",F364="Attended"),1,0)</f>
        <v/>
      </c>
      <c r="M364">
        <f>IF(AND(H364="",OR(F364="No-show",F364="Late cancel")),1,0)</f>
        <v/>
      </c>
      <c r="N364">
        <f>IF(AND(H364="",F364="",D364&lt;&gt;"",I364&gt;=TODAY()),ROUND((I364+IF(ISNUMBER(C364),MOD(C364,1),0))*1440,0)*10000+ROW(),"")</f>
        <v/>
      </c>
    </row>
    <row r="365">
      <c r="A365" s="1" t="n"/>
      <c r="B365" s="17" t="n"/>
      <c r="C365" s="18" t="n"/>
      <c r="D365" s="19" t="n"/>
      <c r="E365" s="20" t="n"/>
      <c r="F365" s="20" t="n"/>
      <c r="G365" s="21" t="n"/>
      <c r="H365" s="12">
        <f>IF(AND(B365="",D365="",F365=""),"",IF(NOT(ISNUMBER(B365)),"Needs a date",IF(D365="","Needs a client",IF(COUNTIF(Clients!$B$6:$B$105,D365)=0,"Not on Clients",IF(AND(F365="",INT(B365)&lt;TODAY()),"Needs a status","")))))</f>
        <v/>
      </c>
      <c r="I365" s="1">
        <f>IF(ISNUMBER(B365),INT(B365),0)</f>
        <v/>
      </c>
      <c r="J365">
        <f>IF(ISNUMBER(B365),YEAR(B365)*100+MONTH(B365),"")</f>
        <v/>
      </c>
      <c r="K365">
        <f>IF(AND(H365="",OR(F365="Attended",F365="No-show",AND(F365="Late cancel",Settings!$C$9="Yes"))),1,0)</f>
        <v/>
      </c>
      <c r="L365">
        <f>IF(AND(H365="",F365="Attended"),1,0)</f>
        <v/>
      </c>
      <c r="M365">
        <f>IF(AND(H365="",OR(F365="No-show",F365="Late cancel")),1,0)</f>
        <v/>
      </c>
      <c r="N365">
        <f>IF(AND(H365="",F365="",D365&lt;&gt;"",I365&gt;=TODAY()),ROUND((I365+IF(ISNUMBER(C365),MOD(C365,1),0))*1440,0)*10000+ROW(),"")</f>
        <v/>
      </c>
    </row>
    <row r="366">
      <c r="A366" s="1" t="n"/>
      <c r="B366" s="17" t="n"/>
      <c r="C366" s="18" t="n"/>
      <c r="D366" s="19" t="n"/>
      <c r="E366" s="20" t="n"/>
      <c r="F366" s="20" t="n"/>
      <c r="G366" s="21" t="n"/>
      <c r="H366" s="12">
        <f>IF(AND(B366="",D366="",F366=""),"",IF(NOT(ISNUMBER(B366)),"Needs a date",IF(D366="","Needs a client",IF(COUNTIF(Clients!$B$6:$B$105,D366)=0,"Not on Clients",IF(AND(F366="",INT(B366)&lt;TODAY()),"Needs a status","")))))</f>
        <v/>
      </c>
      <c r="I366" s="1">
        <f>IF(ISNUMBER(B366),INT(B366),0)</f>
        <v/>
      </c>
      <c r="J366">
        <f>IF(ISNUMBER(B366),YEAR(B366)*100+MONTH(B366),"")</f>
        <v/>
      </c>
      <c r="K366">
        <f>IF(AND(H366="",OR(F366="Attended",F366="No-show",AND(F366="Late cancel",Settings!$C$9="Yes"))),1,0)</f>
        <v/>
      </c>
      <c r="L366">
        <f>IF(AND(H366="",F366="Attended"),1,0)</f>
        <v/>
      </c>
      <c r="M366">
        <f>IF(AND(H366="",OR(F366="No-show",F366="Late cancel")),1,0)</f>
        <v/>
      </c>
      <c r="N366">
        <f>IF(AND(H366="",F366="",D366&lt;&gt;"",I366&gt;=TODAY()),ROUND((I366+IF(ISNUMBER(C366),MOD(C366,1),0))*1440,0)*10000+ROW(),"")</f>
        <v/>
      </c>
    </row>
    <row r="367">
      <c r="A367" s="1" t="n"/>
      <c r="B367" s="17" t="n"/>
      <c r="C367" s="18" t="n"/>
      <c r="D367" s="19" t="n"/>
      <c r="E367" s="20" t="n"/>
      <c r="F367" s="20" t="n"/>
      <c r="G367" s="21" t="n"/>
      <c r="H367" s="12">
        <f>IF(AND(B367="",D367="",F367=""),"",IF(NOT(ISNUMBER(B367)),"Needs a date",IF(D367="","Needs a client",IF(COUNTIF(Clients!$B$6:$B$105,D367)=0,"Not on Clients",IF(AND(F367="",INT(B367)&lt;TODAY()),"Needs a status","")))))</f>
        <v/>
      </c>
      <c r="I367" s="1">
        <f>IF(ISNUMBER(B367),INT(B367),0)</f>
        <v/>
      </c>
      <c r="J367">
        <f>IF(ISNUMBER(B367),YEAR(B367)*100+MONTH(B367),"")</f>
        <v/>
      </c>
      <c r="K367">
        <f>IF(AND(H367="",OR(F367="Attended",F367="No-show",AND(F367="Late cancel",Settings!$C$9="Yes"))),1,0)</f>
        <v/>
      </c>
      <c r="L367">
        <f>IF(AND(H367="",F367="Attended"),1,0)</f>
        <v/>
      </c>
      <c r="M367">
        <f>IF(AND(H367="",OR(F367="No-show",F367="Late cancel")),1,0)</f>
        <v/>
      </c>
      <c r="N367">
        <f>IF(AND(H367="",F367="",D367&lt;&gt;"",I367&gt;=TODAY()),ROUND((I367+IF(ISNUMBER(C367),MOD(C367,1),0))*1440,0)*10000+ROW(),"")</f>
        <v/>
      </c>
    </row>
    <row r="368">
      <c r="A368" s="1" t="n"/>
      <c r="B368" s="17" t="n"/>
      <c r="C368" s="18" t="n"/>
      <c r="D368" s="19" t="n"/>
      <c r="E368" s="20" t="n"/>
      <c r="F368" s="20" t="n"/>
      <c r="G368" s="21" t="n"/>
      <c r="H368" s="12">
        <f>IF(AND(B368="",D368="",F368=""),"",IF(NOT(ISNUMBER(B368)),"Needs a date",IF(D368="","Needs a client",IF(COUNTIF(Clients!$B$6:$B$105,D368)=0,"Not on Clients",IF(AND(F368="",INT(B368)&lt;TODAY()),"Needs a status","")))))</f>
        <v/>
      </c>
      <c r="I368" s="1">
        <f>IF(ISNUMBER(B368),INT(B368),0)</f>
        <v/>
      </c>
      <c r="J368">
        <f>IF(ISNUMBER(B368),YEAR(B368)*100+MONTH(B368),"")</f>
        <v/>
      </c>
      <c r="K368">
        <f>IF(AND(H368="",OR(F368="Attended",F368="No-show",AND(F368="Late cancel",Settings!$C$9="Yes"))),1,0)</f>
        <v/>
      </c>
      <c r="L368">
        <f>IF(AND(H368="",F368="Attended"),1,0)</f>
        <v/>
      </c>
      <c r="M368">
        <f>IF(AND(H368="",OR(F368="No-show",F368="Late cancel")),1,0)</f>
        <v/>
      </c>
      <c r="N368">
        <f>IF(AND(H368="",F368="",D368&lt;&gt;"",I368&gt;=TODAY()),ROUND((I368+IF(ISNUMBER(C368),MOD(C368,1),0))*1440,0)*10000+ROW(),"")</f>
        <v/>
      </c>
    </row>
    <row r="369">
      <c r="A369" s="1" t="n"/>
      <c r="B369" s="17" t="n"/>
      <c r="C369" s="18" t="n"/>
      <c r="D369" s="19" t="n"/>
      <c r="E369" s="20" t="n"/>
      <c r="F369" s="20" t="n"/>
      <c r="G369" s="21" t="n"/>
      <c r="H369" s="12">
        <f>IF(AND(B369="",D369="",F369=""),"",IF(NOT(ISNUMBER(B369)),"Needs a date",IF(D369="","Needs a client",IF(COUNTIF(Clients!$B$6:$B$105,D369)=0,"Not on Clients",IF(AND(F369="",INT(B369)&lt;TODAY()),"Needs a status","")))))</f>
        <v/>
      </c>
      <c r="I369" s="1">
        <f>IF(ISNUMBER(B369),INT(B369),0)</f>
        <v/>
      </c>
      <c r="J369">
        <f>IF(ISNUMBER(B369),YEAR(B369)*100+MONTH(B369),"")</f>
        <v/>
      </c>
      <c r="K369">
        <f>IF(AND(H369="",OR(F369="Attended",F369="No-show",AND(F369="Late cancel",Settings!$C$9="Yes"))),1,0)</f>
        <v/>
      </c>
      <c r="L369">
        <f>IF(AND(H369="",F369="Attended"),1,0)</f>
        <v/>
      </c>
      <c r="M369">
        <f>IF(AND(H369="",OR(F369="No-show",F369="Late cancel")),1,0)</f>
        <v/>
      </c>
      <c r="N369">
        <f>IF(AND(H369="",F369="",D369&lt;&gt;"",I369&gt;=TODAY()),ROUND((I369+IF(ISNUMBER(C369),MOD(C369,1),0))*1440,0)*10000+ROW(),"")</f>
        <v/>
      </c>
    </row>
    <row r="370">
      <c r="A370" s="1" t="n"/>
      <c r="B370" s="17" t="n"/>
      <c r="C370" s="18" t="n"/>
      <c r="D370" s="19" t="n"/>
      <c r="E370" s="20" t="n"/>
      <c r="F370" s="20" t="n"/>
      <c r="G370" s="21" t="n"/>
      <c r="H370" s="12">
        <f>IF(AND(B370="",D370="",F370=""),"",IF(NOT(ISNUMBER(B370)),"Needs a date",IF(D370="","Needs a client",IF(COUNTIF(Clients!$B$6:$B$105,D370)=0,"Not on Clients",IF(AND(F370="",INT(B370)&lt;TODAY()),"Needs a status","")))))</f>
        <v/>
      </c>
      <c r="I370" s="1">
        <f>IF(ISNUMBER(B370),INT(B370),0)</f>
        <v/>
      </c>
      <c r="J370">
        <f>IF(ISNUMBER(B370),YEAR(B370)*100+MONTH(B370),"")</f>
        <v/>
      </c>
      <c r="K370">
        <f>IF(AND(H370="",OR(F370="Attended",F370="No-show",AND(F370="Late cancel",Settings!$C$9="Yes"))),1,0)</f>
        <v/>
      </c>
      <c r="L370">
        <f>IF(AND(H370="",F370="Attended"),1,0)</f>
        <v/>
      </c>
      <c r="M370">
        <f>IF(AND(H370="",OR(F370="No-show",F370="Late cancel")),1,0)</f>
        <v/>
      </c>
      <c r="N370">
        <f>IF(AND(H370="",F370="",D370&lt;&gt;"",I370&gt;=TODAY()),ROUND((I370+IF(ISNUMBER(C370),MOD(C370,1),0))*1440,0)*10000+ROW(),"")</f>
        <v/>
      </c>
    </row>
    <row r="371">
      <c r="A371" s="1" t="n"/>
      <c r="B371" s="17" t="n"/>
      <c r="C371" s="18" t="n"/>
      <c r="D371" s="19" t="n"/>
      <c r="E371" s="20" t="n"/>
      <c r="F371" s="20" t="n"/>
      <c r="G371" s="21" t="n"/>
      <c r="H371" s="12">
        <f>IF(AND(B371="",D371="",F371=""),"",IF(NOT(ISNUMBER(B371)),"Needs a date",IF(D371="","Needs a client",IF(COUNTIF(Clients!$B$6:$B$105,D371)=0,"Not on Clients",IF(AND(F371="",INT(B371)&lt;TODAY()),"Needs a status","")))))</f>
        <v/>
      </c>
      <c r="I371" s="1">
        <f>IF(ISNUMBER(B371),INT(B371),0)</f>
        <v/>
      </c>
      <c r="J371">
        <f>IF(ISNUMBER(B371),YEAR(B371)*100+MONTH(B371),"")</f>
        <v/>
      </c>
      <c r="K371">
        <f>IF(AND(H371="",OR(F371="Attended",F371="No-show",AND(F371="Late cancel",Settings!$C$9="Yes"))),1,0)</f>
        <v/>
      </c>
      <c r="L371">
        <f>IF(AND(H371="",F371="Attended"),1,0)</f>
        <v/>
      </c>
      <c r="M371">
        <f>IF(AND(H371="",OR(F371="No-show",F371="Late cancel")),1,0)</f>
        <v/>
      </c>
      <c r="N371">
        <f>IF(AND(H371="",F371="",D371&lt;&gt;"",I371&gt;=TODAY()),ROUND((I371+IF(ISNUMBER(C371),MOD(C371,1),0))*1440,0)*10000+ROW(),"")</f>
        <v/>
      </c>
    </row>
    <row r="372">
      <c r="A372" s="1" t="n"/>
      <c r="B372" s="17" t="n"/>
      <c r="C372" s="18" t="n"/>
      <c r="D372" s="19" t="n"/>
      <c r="E372" s="20" t="n"/>
      <c r="F372" s="20" t="n"/>
      <c r="G372" s="21" t="n"/>
      <c r="H372" s="12">
        <f>IF(AND(B372="",D372="",F372=""),"",IF(NOT(ISNUMBER(B372)),"Needs a date",IF(D372="","Needs a client",IF(COUNTIF(Clients!$B$6:$B$105,D372)=0,"Not on Clients",IF(AND(F372="",INT(B372)&lt;TODAY()),"Needs a status","")))))</f>
        <v/>
      </c>
      <c r="I372" s="1">
        <f>IF(ISNUMBER(B372),INT(B372),0)</f>
        <v/>
      </c>
      <c r="J372">
        <f>IF(ISNUMBER(B372),YEAR(B372)*100+MONTH(B372),"")</f>
        <v/>
      </c>
      <c r="K372">
        <f>IF(AND(H372="",OR(F372="Attended",F372="No-show",AND(F372="Late cancel",Settings!$C$9="Yes"))),1,0)</f>
        <v/>
      </c>
      <c r="L372">
        <f>IF(AND(H372="",F372="Attended"),1,0)</f>
        <v/>
      </c>
      <c r="M372">
        <f>IF(AND(H372="",OR(F372="No-show",F372="Late cancel")),1,0)</f>
        <v/>
      </c>
      <c r="N372">
        <f>IF(AND(H372="",F372="",D372&lt;&gt;"",I372&gt;=TODAY()),ROUND((I372+IF(ISNUMBER(C372),MOD(C372,1),0))*1440,0)*10000+ROW(),"")</f>
        <v/>
      </c>
    </row>
    <row r="373">
      <c r="A373" s="1" t="n"/>
      <c r="B373" s="17" t="n"/>
      <c r="C373" s="18" t="n"/>
      <c r="D373" s="19" t="n"/>
      <c r="E373" s="20" t="n"/>
      <c r="F373" s="20" t="n"/>
      <c r="G373" s="21" t="n"/>
      <c r="H373" s="12">
        <f>IF(AND(B373="",D373="",F373=""),"",IF(NOT(ISNUMBER(B373)),"Needs a date",IF(D373="","Needs a client",IF(COUNTIF(Clients!$B$6:$B$105,D373)=0,"Not on Clients",IF(AND(F373="",INT(B373)&lt;TODAY()),"Needs a status","")))))</f>
        <v/>
      </c>
      <c r="I373" s="1">
        <f>IF(ISNUMBER(B373),INT(B373),0)</f>
        <v/>
      </c>
      <c r="J373">
        <f>IF(ISNUMBER(B373),YEAR(B373)*100+MONTH(B373),"")</f>
        <v/>
      </c>
      <c r="K373">
        <f>IF(AND(H373="",OR(F373="Attended",F373="No-show",AND(F373="Late cancel",Settings!$C$9="Yes"))),1,0)</f>
        <v/>
      </c>
      <c r="L373">
        <f>IF(AND(H373="",F373="Attended"),1,0)</f>
        <v/>
      </c>
      <c r="M373">
        <f>IF(AND(H373="",OR(F373="No-show",F373="Late cancel")),1,0)</f>
        <v/>
      </c>
      <c r="N373">
        <f>IF(AND(H373="",F373="",D373&lt;&gt;"",I373&gt;=TODAY()),ROUND((I373+IF(ISNUMBER(C373),MOD(C373,1),0))*1440,0)*10000+ROW(),"")</f>
        <v/>
      </c>
    </row>
    <row r="374">
      <c r="A374" s="1" t="n"/>
      <c r="B374" s="17" t="n"/>
      <c r="C374" s="18" t="n"/>
      <c r="D374" s="19" t="n"/>
      <c r="E374" s="20" t="n"/>
      <c r="F374" s="20" t="n"/>
      <c r="G374" s="21" t="n"/>
      <c r="H374" s="12">
        <f>IF(AND(B374="",D374="",F374=""),"",IF(NOT(ISNUMBER(B374)),"Needs a date",IF(D374="","Needs a client",IF(COUNTIF(Clients!$B$6:$B$105,D374)=0,"Not on Clients",IF(AND(F374="",INT(B374)&lt;TODAY()),"Needs a status","")))))</f>
        <v/>
      </c>
      <c r="I374" s="1">
        <f>IF(ISNUMBER(B374),INT(B374),0)</f>
        <v/>
      </c>
      <c r="J374">
        <f>IF(ISNUMBER(B374),YEAR(B374)*100+MONTH(B374),"")</f>
        <v/>
      </c>
      <c r="K374">
        <f>IF(AND(H374="",OR(F374="Attended",F374="No-show",AND(F374="Late cancel",Settings!$C$9="Yes"))),1,0)</f>
        <v/>
      </c>
      <c r="L374">
        <f>IF(AND(H374="",F374="Attended"),1,0)</f>
        <v/>
      </c>
      <c r="M374">
        <f>IF(AND(H374="",OR(F374="No-show",F374="Late cancel")),1,0)</f>
        <v/>
      </c>
      <c r="N374">
        <f>IF(AND(H374="",F374="",D374&lt;&gt;"",I374&gt;=TODAY()),ROUND((I374+IF(ISNUMBER(C374),MOD(C374,1),0))*1440,0)*10000+ROW(),"")</f>
        <v/>
      </c>
    </row>
    <row r="375">
      <c r="A375" s="1" t="n"/>
      <c r="B375" s="17" t="n"/>
      <c r="C375" s="18" t="n"/>
      <c r="D375" s="19" t="n"/>
      <c r="E375" s="20" t="n"/>
      <c r="F375" s="20" t="n"/>
      <c r="G375" s="21" t="n"/>
      <c r="H375" s="12">
        <f>IF(AND(B375="",D375="",F375=""),"",IF(NOT(ISNUMBER(B375)),"Needs a date",IF(D375="","Needs a client",IF(COUNTIF(Clients!$B$6:$B$105,D375)=0,"Not on Clients",IF(AND(F375="",INT(B375)&lt;TODAY()),"Needs a status","")))))</f>
        <v/>
      </c>
      <c r="I375" s="1">
        <f>IF(ISNUMBER(B375),INT(B375),0)</f>
        <v/>
      </c>
      <c r="J375">
        <f>IF(ISNUMBER(B375),YEAR(B375)*100+MONTH(B375),"")</f>
        <v/>
      </c>
      <c r="K375">
        <f>IF(AND(H375="",OR(F375="Attended",F375="No-show",AND(F375="Late cancel",Settings!$C$9="Yes"))),1,0)</f>
        <v/>
      </c>
      <c r="L375">
        <f>IF(AND(H375="",F375="Attended"),1,0)</f>
        <v/>
      </c>
      <c r="M375">
        <f>IF(AND(H375="",OR(F375="No-show",F375="Late cancel")),1,0)</f>
        <v/>
      </c>
      <c r="N375">
        <f>IF(AND(H375="",F375="",D375&lt;&gt;"",I375&gt;=TODAY()),ROUND((I375+IF(ISNUMBER(C375),MOD(C375,1),0))*1440,0)*10000+ROW(),"")</f>
        <v/>
      </c>
    </row>
    <row r="376">
      <c r="A376" s="1" t="n"/>
      <c r="B376" s="17" t="n"/>
      <c r="C376" s="18" t="n"/>
      <c r="D376" s="19" t="n"/>
      <c r="E376" s="20" t="n"/>
      <c r="F376" s="20" t="n"/>
      <c r="G376" s="21" t="n"/>
      <c r="H376" s="12">
        <f>IF(AND(B376="",D376="",F376=""),"",IF(NOT(ISNUMBER(B376)),"Needs a date",IF(D376="","Needs a client",IF(COUNTIF(Clients!$B$6:$B$105,D376)=0,"Not on Clients",IF(AND(F376="",INT(B376)&lt;TODAY()),"Needs a status","")))))</f>
        <v/>
      </c>
      <c r="I376" s="1">
        <f>IF(ISNUMBER(B376),INT(B376),0)</f>
        <v/>
      </c>
      <c r="J376">
        <f>IF(ISNUMBER(B376),YEAR(B376)*100+MONTH(B376),"")</f>
        <v/>
      </c>
      <c r="K376">
        <f>IF(AND(H376="",OR(F376="Attended",F376="No-show",AND(F376="Late cancel",Settings!$C$9="Yes"))),1,0)</f>
        <v/>
      </c>
      <c r="L376">
        <f>IF(AND(H376="",F376="Attended"),1,0)</f>
        <v/>
      </c>
      <c r="M376">
        <f>IF(AND(H376="",OR(F376="No-show",F376="Late cancel")),1,0)</f>
        <v/>
      </c>
      <c r="N376">
        <f>IF(AND(H376="",F376="",D376&lt;&gt;"",I376&gt;=TODAY()),ROUND((I376+IF(ISNUMBER(C376),MOD(C376,1),0))*1440,0)*10000+ROW(),"")</f>
        <v/>
      </c>
    </row>
    <row r="377">
      <c r="A377" s="1" t="n"/>
      <c r="B377" s="17" t="n"/>
      <c r="C377" s="18" t="n"/>
      <c r="D377" s="19" t="n"/>
      <c r="E377" s="20" t="n"/>
      <c r="F377" s="20" t="n"/>
      <c r="G377" s="21" t="n"/>
      <c r="H377" s="12">
        <f>IF(AND(B377="",D377="",F377=""),"",IF(NOT(ISNUMBER(B377)),"Needs a date",IF(D377="","Needs a client",IF(COUNTIF(Clients!$B$6:$B$105,D377)=0,"Not on Clients",IF(AND(F377="",INT(B377)&lt;TODAY()),"Needs a status","")))))</f>
        <v/>
      </c>
      <c r="I377" s="1">
        <f>IF(ISNUMBER(B377),INT(B377),0)</f>
        <v/>
      </c>
      <c r="J377">
        <f>IF(ISNUMBER(B377),YEAR(B377)*100+MONTH(B377),"")</f>
        <v/>
      </c>
      <c r="K377">
        <f>IF(AND(H377="",OR(F377="Attended",F377="No-show",AND(F377="Late cancel",Settings!$C$9="Yes"))),1,0)</f>
        <v/>
      </c>
      <c r="L377">
        <f>IF(AND(H377="",F377="Attended"),1,0)</f>
        <v/>
      </c>
      <c r="M377">
        <f>IF(AND(H377="",OR(F377="No-show",F377="Late cancel")),1,0)</f>
        <v/>
      </c>
      <c r="N377">
        <f>IF(AND(H377="",F377="",D377&lt;&gt;"",I377&gt;=TODAY()),ROUND((I377+IF(ISNUMBER(C377),MOD(C377,1),0))*1440,0)*10000+ROW(),"")</f>
        <v/>
      </c>
    </row>
    <row r="378">
      <c r="A378" s="1" t="n"/>
      <c r="B378" s="17" t="n"/>
      <c r="C378" s="18" t="n"/>
      <c r="D378" s="19" t="n"/>
      <c r="E378" s="20" t="n"/>
      <c r="F378" s="20" t="n"/>
      <c r="G378" s="21" t="n"/>
      <c r="H378" s="12">
        <f>IF(AND(B378="",D378="",F378=""),"",IF(NOT(ISNUMBER(B378)),"Needs a date",IF(D378="","Needs a client",IF(COUNTIF(Clients!$B$6:$B$105,D378)=0,"Not on Clients",IF(AND(F378="",INT(B378)&lt;TODAY()),"Needs a status","")))))</f>
        <v/>
      </c>
      <c r="I378" s="1">
        <f>IF(ISNUMBER(B378),INT(B378),0)</f>
        <v/>
      </c>
      <c r="J378">
        <f>IF(ISNUMBER(B378),YEAR(B378)*100+MONTH(B378),"")</f>
        <v/>
      </c>
      <c r="K378">
        <f>IF(AND(H378="",OR(F378="Attended",F378="No-show",AND(F378="Late cancel",Settings!$C$9="Yes"))),1,0)</f>
        <v/>
      </c>
      <c r="L378">
        <f>IF(AND(H378="",F378="Attended"),1,0)</f>
        <v/>
      </c>
      <c r="M378">
        <f>IF(AND(H378="",OR(F378="No-show",F378="Late cancel")),1,0)</f>
        <v/>
      </c>
      <c r="N378">
        <f>IF(AND(H378="",F378="",D378&lt;&gt;"",I378&gt;=TODAY()),ROUND((I378+IF(ISNUMBER(C378),MOD(C378,1),0))*1440,0)*10000+ROW(),"")</f>
        <v/>
      </c>
    </row>
    <row r="379">
      <c r="A379" s="1" t="n"/>
      <c r="B379" s="17" t="n"/>
      <c r="C379" s="18" t="n"/>
      <c r="D379" s="19" t="n"/>
      <c r="E379" s="20" t="n"/>
      <c r="F379" s="20" t="n"/>
      <c r="G379" s="21" t="n"/>
      <c r="H379" s="12">
        <f>IF(AND(B379="",D379="",F379=""),"",IF(NOT(ISNUMBER(B379)),"Needs a date",IF(D379="","Needs a client",IF(COUNTIF(Clients!$B$6:$B$105,D379)=0,"Not on Clients",IF(AND(F379="",INT(B379)&lt;TODAY()),"Needs a status","")))))</f>
        <v/>
      </c>
      <c r="I379" s="1">
        <f>IF(ISNUMBER(B379),INT(B379),0)</f>
        <v/>
      </c>
      <c r="J379">
        <f>IF(ISNUMBER(B379),YEAR(B379)*100+MONTH(B379),"")</f>
        <v/>
      </c>
      <c r="K379">
        <f>IF(AND(H379="",OR(F379="Attended",F379="No-show",AND(F379="Late cancel",Settings!$C$9="Yes"))),1,0)</f>
        <v/>
      </c>
      <c r="L379">
        <f>IF(AND(H379="",F379="Attended"),1,0)</f>
        <v/>
      </c>
      <c r="M379">
        <f>IF(AND(H379="",OR(F379="No-show",F379="Late cancel")),1,0)</f>
        <v/>
      </c>
      <c r="N379">
        <f>IF(AND(H379="",F379="",D379&lt;&gt;"",I379&gt;=TODAY()),ROUND((I379+IF(ISNUMBER(C379),MOD(C379,1),0))*1440,0)*10000+ROW(),"")</f>
        <v/>
      </c>
    </row>
    <row r="380">
      <c r="A380" s="1" t="n"/>
      <c r="B380" s="17" t="n"/>
      <c r="C380" s="18" t="n"/>
      <c r="D380" s="19" t="n"/>
      <c r="E380" s="20" t="n"/>
      <c r="F380" s="20" t="n"/>
      <c r="G380" s="21" t="n"/>
      <c r="H380" s="12">
        <f>IF(AND(B380="",D380="",F380=""),"",IF(NOT(ISNUMBER(B380)),"Needs a date",IF(D380="","Needs a client",IF(COUNTIF(Clients!$B$6:$B$105,D380)=0,"Not on Clients",IF(AND(F380="",INT(B380)&lt;TODAY()),"Needs a status","")))))</f>
        <v/>
      </c>
      <c r="I380" s="1">
        <f>IF(ISNUMBER(B380),INT(B380),0)</f>
        <v/>
      </c>
      <c r="J380">
        <f>IF(ISNUMBER(B380),YEAR(B380)*100+MONTH(B380),"")</f>
        <v/>
      </c>
      <c r="K380">
        <f>IF(AND(H380="",OR(F380="Attended",F380="No-show",AND(F380="Late cancel",Settings!$C$9="Yes"))),1,0)</f>
        <v/>
      </c>
      <c r="L380">
        <f>IF(AND(H380="",F380="Attended"),1,0)</f>
        <v/>
      </c>
      <c r="M380">
        <f>IF(AND(H380="",OR(F380="No-show",F380="Late cancel")),1,0)</f>
        <v/>
      </c>
      <c r="N380">
        <f>IF(AND(H380="",F380="",D380&lt;&gt;"",I380&gt;=TODAY()),ROUND((I380+IF(ISNUMBER(C380),MOD(C380,1),0))*1440,0)*10000+ROW(),"")</f>
        <v/>
      </c>
    </row>
    <row r="381">
      <c r="A381" s="1" t="n"/>
      <c r="B381" s="17" t="n"/>
      <c r="C381" s="18" t="n"/>
      <c r="D381" s="19" t="n"/>
      <c r="E381" s="20" t="n"/>
      <c r="F381" s="20" t="n"/>
      <c r="G381" s="21" t="n"/>
      <c r="H381" s="12">
        <f>IF(AND(B381="",D381="",F381=""),"",IF(NOT(ISNUMBER(B381)),"Needs a date",IF(D381="","Needs a client",IF(COUNTIF(Clients!$B$6:$B$105,D381)=0,"Not on Clients",IF(AND(F381="",INT(B381)&lt;TODAY()),"Needs a status","")))))</f>
        <v/>
      </c>
      <c r="I381" s="1">
        <f>IF(ISNUMBER(B381),INT(B381),0)</f>
        <v/>
      </c>
      <c r="J381">
        <f>IF(ISNUMBER(B381),YEAR(B381)*100+MONTH(B381),"")</f>
        <v/>
      </c>
      <c r="K381">
        <f>IF(AND(H381="",OR(F381="Attended",F381="No-show",AND(F381="Late cancel",Settings!$C$9="Yes"))),1,0)</f>
        <v/>
      </c>
      <c r="L381">
        <f>IF(AND(H381="",F381="Attended"),1,0)</f>
        <v/>
      </c>
      <c r="M381">
        <f>IF(AND(H381="",OR(F381="No-show",F381="Late cancel")),1,0)</f>
        <v/>
      </c>
      <c r="N381">
        <f>IF(AND(H381="",F381="",D381&lt;&gt;"",I381&gt;=TODAY()),ROUND((I381+IF(ISNUMBER(C381),MOD(C381,1),0))*1440,0)*10000+ROW(),"")</f>
        <v/>
      </c>
    </row>
    <row r="382">
      <c r="A382" s="1" t="n"/>
      <c r="B382" s="17" t="n"/>
      <c r="C382" s="18" t="n"/>
      <c r="D382" s="19" t="n"/>
      <c r="E382" s="20" t="n"/>
      <c r="F382" s="20" t="n"/>
      <c r="G382" s="21" t="n"/>
      <c r="H382" s="12">
        <f>IF(AND(B382="",D382="",F382=""),"",IF(NOT(ISNUMBER(B382)),"Needs a date",IF(D382="","Needs a client",IF(COUNTIF(Clients!$B$6:$B$105,D382)=0,"Not on Clients",IF(AND(F382="",INT(B382)&lt;TODAY()),"Needs a status","")))))</f>
        <v/>
      </c>
      <c r="I382" s="1">
        <f>IF(ISNUMBER(B382),INT(B382),0)</f>
        <v/>
      </c>
      <c r="J382">
        <f>IF(ISNUMBER(B382),YEAR(B382)*100+MONTH(B382),"")</f>
        <v/>
      </c>
      <c r="K382">
        <f>IF(AND(H382="",OR(F382="Attended",F382="No-show",AND(F382="Late cancel",Settings!$C$9="Yes"))),1,0)</f>
        <v/>
      </c>
      <c r="L382">
        <f>IF(AND(H382="",F382="Attended"),1,0)</f>
        <v/>
      </c>
      <c r="M382">
        <f>IF(AND(H382="",OR(F382="No-show",F382="Late cancel")),1,0)</f>
        <v/>
      </c>
      <c r="N382">
        <f>IF(AND(H382="",F382="",D382&lt;&gt;"",I382&gt;=TODAY()),ROUND((I382+IF(ISNUMBER(C382),MOD(C382,1),0))*1440,0)*10000+ROW(),"")</f>
        <v/>
      </c>
    </row>
    <row r="383">
      <c r="A383" s="1" t="n"/>
      <c r="B383" s="17" t="n"/>
      <c r="C383" s="18" t="n"/>
      <c r="D383" s="19" t="n"/>
      <c r="E383" s="20" t="n"/>
      <c r="F383" s="20" t="n"/>
      <c r="G383" s="21" t="n"/>
      <c r="H383" s="12">
        <f>IF(AND(B383="",D383="",F383=""),"",IF(NOT(ISNUMBER(B383)),"Needs a date",IF(D383="","Needs a client",IF(COUNTIF(Clients!$B$6:$B$105,D383)=0,"Not on Clients",IF(AND(F383="",INT(B383)&lt;TODAY()),"Needs a status","")))))</f>
        <v/>
      </c>
      <c r="I383" s="1">
        <f>IF(ISNUMBER(B383),INT(B383),0)</f>
        <v/>
      </c>
      <c r="J383">
        <f>IF(ISNUMBER(B383),YEAR(B383)*100+MONTH(B383),"")</f>
        <v/>
      </c>
      <c r="K383">
        <f>IF(AND(H383="",OR(F383="Attended",F383="No-show",AND(F383="Late cancel",Settings!$C$9="Yes"))),1,0)</f>
        <v/>
      </c>
      <c r="L383">
        <f>IF(AND(H383="",F383="Attended"),1,0)</f>
        <v/>
      </c>
      <c r="M383">
        <f>IF(AND(H383="",OR(F383="No-show",F383="Late cancel")),1,0)</f>
        <v/>
      </c>
      <c r="N383">
        <f>IF(AND(H383="",F383="",D383&lt;&gt;"",I383&gt;=TODAY()),ROUND((I383+IF(ISNUMBER(C383),MOD(C383,1),0))*1440,0)*10000+ROW(),"")</f>
        <v/>
      </c>
    </row>
    <row r="384">
      <c r="A384" s="1" t="n"/>
      <c r="B384" s="17" t="n"/>
      <c r="C384" s="18" t="n"/>
      <c r="D384" s="19" t="n"/>
      <c r="E384" s="20" t="n"/>
      <c r="F384" s="20" t="n"/>
      <c r="G384" s="21" t="n"/>
      <c r="H384" s="12">
        <f>IF(AND(B384="",D384="",F384=""),"",IF(NOT(ISNUMBER(B384)),"Needs a date",IF(D384="","Needs a client",IF(COUNTIF(Clients!$B$6:$B$105,D384)=0,"Not on Clients",IF(AND(F384="",INT(B384)&lt;TODAY()),"Needs a status","")))))</f>
        <v/>
      </c>
      <c r="I384" s="1">
        <f>IF(ISNUMBER(B384),INT(B384),0)</f>
        <v/>
      </c>
      <c r="J384">
        <f>IF(ISNUMBER(B384),YEAR(B384)*100+MONTH(B384),"")</f>
        <v/>
      </c>
      <c r="K384">
        <f>IF(AND(H384="",OR(F384="Attended",F384="No-show",AND(F384="Late cancel",Settings!$C$9="Yes"))),1,0)</f>
        <v/>
      </c>
      <c r="L384">
        <f>IF(AND(H384="",F384="Attended"),1,0)</f>
        <v/>
      </c>
      <c r="M384">
        <f>IF(AND(H384="",OR(F384="No-show",F384="Late cancel")),1,0)</f>
        <v/>
      </c>
      <c r="N384">
        <f>IF(AND(H384="",F384="",D384&lt;&gt;"",I384&gt;=TODAY()),ROUND((I384+IF(ISNUMBER(C384),MOD(C384,1),0))*1440,0)*10000+ROW(),"")</f>
        <v/>
      </c>
    </row>
    <row r="385">
      <c r="A385" s="1" t="n"/>
      <c r="B385" s="17" t="n"/>
      <c r="C385" s="18" t="n"/>
      <c r="D385" s="19" t="n"/>
      <c r="E385" s="20" t="n"/>
      <c r="F385" s="20" t="n"/>
      <c r="G385" s="21" t="n"/>
      <c r="H385" s="12">
        <f>IF(AND(B385="",D385="",F385=""),"",IF(NOT(ISNUMBER(B385)),"Needs a date",IF(D385="","Needs a client",IF(COUNTIF(Clients!$B$6:$B$105,D385)=0,"Not on Clients",IF(AND(F385="",INT(B385)&lt;TODAY()),"Needs a status","")))))</f>
        <v/>
      </c>
      <c r="I385" s="1">
        <f>IF(ISNUMBER(B385),INT(B385),0)</f>
        <v/>
      </c>
      <c r="J385">
        <f>IF(ISNUMBER(B385),YEAR(B385)*100+MONTH(B385),"")</f>
        <v/>
      </c>
      <c r="K385">
        <f>IF(AND(H385="",OR(F385="Attended",F385="No-show",AND(F385="Late cancel",Settings!$C$9="Yes"))),1,0)</f>
        <v/>
      </c>
      <c r="L385">
        <f>IF(AND(H385="",F385="Attended"),1,0)</f>
        <v/>
      </c>
      <c r="M385">
        <f>IF(AND(H385="",OR(F385="No-show",F385="Late cancel")),1,0)</f>
        <v/>
      </c>
      <c r="N385">
        <f>IF(AND(H385="",F385="",D385&lt;&gt;"",I385&gt;=TODAY()),ROUND((I385+IF(ISNUMBER(C385),MOD(C385,1),0))*1440,0)*10000+ROW(),"")</f>
        <v/>
      </c>
    </row>
    <row r="386">
      <c r="A386" s="1" t="n"/>
      <c r="B386" s="17" t="n"/>
      <c r="C386" s="18" t="n"/>
      <c r="D386" s="19" t="n"/>
      <c r="E386" s="20" t="n"/>
      <c r="F386" s="20" t="n"/>
      <c r="G386" s="21" t="n"/>
      <c r="H386" s="12">
        <f>IF(AND(B386="",D386="",F386=""),"",IF(NOT(ISNUMBER(B386)),"Needs a date",IF(D386="","Needs a client",IF(COUNTIF(Clients!$B$6:$B$105,D386)=0,"Not on Clients",IF(AND(F386="",INT(B386)&lt;TODAY()),"Needs a status","")))))</f>
        <v/>
      </c>
      <c r="I386" s="1">
        <f>IF(ISNUMBER(B386),INT(B386),0)</f>
        <v/>
      </c>
      <c r="J386">
        <f>IF(ISNUMBER(B386),YEAR(B386)*100+MONTH(B386),"")</f>
        <v/>
      </c>
      <c r="K386">
        <f>IF(AND(H386="",OR(F386="Attended",F386="No-show",AND(F386="Late cancel",Settings!$C$9="Yes"))),1,0)</f>
        <v/>
      </c>
      <c r="L386">
        <f>IF(AND(H386="",F386="Attended"),1,0)</f>
        <v/>
      </c>
      <c r="M386">
        <f>IF(AND(H386="",OR(F386="No-show",F386="Late cancel")),1,0)</f>
        <v/>
      </c>
      <c r="N386">
        <f>IF(AND(H386="",F386="",D386&lt;&gt;"",I386&gt;=TODAY()),ROUND((I386+IF(ISNUMBER(C386),MOD(C386,1),0))*1440,0)*10000+ROW(),"")</f>
        <v/>
      </c>
    </row>
    <row r="387">
      <c r="A387" s="1" t="n"/>
      <c r="B387" s="17" t="n"/>
      <c r="C387" s="18" t="n"/>
      <c r="D387" s="19" t="n"/>
      <c r="E387" s="20" t="n"/>
      <c r="F387" s="20" t="n"/>
      <c r="G387" s="21" t="n"/>
      <c r="H387" s="12">
        <f>IF(AND(B387="",D387="",F387=""),"",IF(NOT(ISNUMBER(B387)),"Needs a date",IF(D387="","Needs a client",IF(COUNTIF(Clients!$B$6:$B$105,D387)=0,"Not on Clients",IF(AND(F387="",INT(B387)&lt;TODAY()),"Needs a status","")))))</f>
        <v/>
      </c>
      <c r="I387" s="1">
        <f>IF(ISNUMBER(B387),INT(B387),0)</f>
        <v/>
      </c>
      <c r="J387">
        <f>IF(ISNUMBER(B387),YEAR(B387)*100+MONTH(B387),"")</f>
        <v/>
      </c>
      <c r="K387">
        <f>IF(AND(H387="",OR(F387="Attended",F387="No-show",AND(F387="Late cancel",Settings!$C$9="Yes"))),1,0)</f>
        <v/>
      </c>
      <c r="L387">
        <f>IF(AND(H387="",F387="Attended"),1,0)</f>
        <v/>
      </c>
      <c r="M387">
        <f>IF(AND(H387="",OR(F387="No-show",F387="Late cancel")),1,0)</f>
        <v/>
      </c>
      <c r="N387">
        <f>IF(AND(H387="",F387="",D387&lt;&gt;"",I387&gt;=TODAY()),ROUND((I387+IF(ISNUMBER(C387),MOD(C387,1),0))*1440,0)*10000+ROW(),"")</f>
        <v/>
      </c>
    </row>
    <row r="388">
      <c r="A388" s="1" t="n"/>
      <c r="B388" s="17" t="n"/>
      <c r="C388" s="18" t="n"/>
      <c r="D388" s="19" t="n"/>
      <c r="E388" s="20" t="n"/>
      <c r="F388" s="20" t="n"/>
      <c r="G388" s="21" t="n"/>
      <c r="H388" s="12">
        <f>IF(AND(B388="",D388="",F388=""),"",IF(NOT(ISNUMBER(B388)),"Needs a date",IF(D388="","Needs a client",IF(COUNTIF(Clients!$B$6:$B$105,D388)=0,"Not on Clients",IF(AND(F388="",INT(B388)&lt;TODAY()),"Needs a status","")))))</f>
        <v/>
      </c>
      <c r="I388" s="1">
        <f>IF(ISNUMBER(B388),INT(B388),0)</f>
        <v/>
      </c>
      <c r="J388">
        <f>IF(ISNUMBER(B388),YEAR(B388)*100+MONTH(B388),"")</f>
        <v/>
      </c>
      <c r="K388">
        <f>IF(AND(H388="",OR(F388="Attended",F388="No-show",AND(F388="Late cancel",Settings!$C$9="Yes"))),1,0)</f>
        <v/>
      </c>
      <c r="L388">
        <f>IF(AND(H388="",F388="Attended"),1,0)</f>
        <v/>
      </c>
      <c r="M388">
        <f>IF(AND(H388="",OR(F388="No-show",F388="Late cancel")),1,0)</f>
        <v/>
      </c>
      <c r="N388">
        <f>IF(AND(H388="",F388="",D388&lt;&gt;"",I388&gt;=TODAY()),ROUND((I388+IF(ISNUMBER(C388),MOD(C388,1),0))*1440,0)*10000+ROW(),"")</f>
        <v/>
      </c>
    </row>
    <row r="389">
      <c r="A389" s="1" t="n"/>
      <c r="B389" s="17" t="n"/>
      <c r="C389" s="18" t="n"/>
      <c r="D389" s="19" t="n"/>
      <c r="E389" s="20" t="n"/>
      <c r="F389" s="20" t="n"/>
      <c r="G389" s="21" t="n"/>
      <c r="H389" s="12">
        <f>IF(AND(B389="",D389="",F389=""),"",IF(NOT(ISNUMBER(B389)),"Needs a date",IF(D389="","Needs a client",IF(COUNTIF(Clients!$B$6:$B$105,D389)=0,"Not on Clients",IF(AND(F389="",INT(B389)&lt;TODAY()),"Needs a status","")))))</f>
        <v/>
      </c>
      <c r="I389" s="1">
        <f>IF(ISNUMBER(B389),INT(B389),0)</f>
        <v/>
      </c>
      <c r="J389">
        <f>IF(ISNUMBER(B389),YEAR(B389)*100+MONTH(B389),"")</f>
        <v/>
      </c>
      <c r="K389">
        <f>IF(AND(H389="",OR(F389="Attended",F389="No-show",AND(F389="Late cancel",Settings!$C$9="Yes"))),1,0)</f>
        <v/>
      </c>
      <c r="L389">
        <f>IF(AND(H389="",F389="Attended"),1,0)</f>
        <v/>
      </c>
      <c r="M389">
        <f>IF(AND(H389="",OR(F389="No-show",F389="Late cancel")),1,0)</f>
        <v/>
      </c>
      <c r="N389">
        <f>IF(AND(H389="",F389="",D389&lt;&gt;"",I389&gt;=TODAY()),ROUND((I389+IF(ISNUMBER(C389),MOD(C389,1),0))*1440,0)*10000+ROW(),"")</f>
        <v/>
      </c>
    </row>
    <row r="390">
      <c r="A390" s="1" t="n"/>
      <c r="B390" s="17" t="n"/>
      <c r="C390" s="18" t="n"/>
      <c r="D390" s="19" t="n"/>
      <c r="E390" s="20" t="n"/>
      <c r="F390" s="20" t="n"/>
      <c r="G390" s="21" t="n"/>
      <c r="H390" s="12">
        <f>IF(AND(B390="",D390="",F390=""),"",IF(NOT(ISNUMBER(B390)),"Needs a date",IF(D390="","Needs a client",IF(COUNTIF(Clients!$B$6:$B$105,D390)=0,"Not on Clients",IF(AND(F390="",INT(B390)&lt;TODAY()),"Needs a status","")))))</f>
        <v/>
      </c>
      <c r="I390" s="1">
        <f>IF(ISNUMBER(B390),INT(B390),0)</f>
        <v/>
      </c>
      <c r="J390">
        <f>IF(ISNUMBER(B390),YEAR(B390)*100+MONTH(B390),"")</f>
        <v/>
      </c>
      <c r="K390">
        <f>IF(AND(H390="",OR(F390="Attended",F390="No-show",AND(F390="Late cancel",Settings!$C$9="Yes"))),1,0)</f>
        <v/>
      </c>
      <c r="L390">
        <f>IF(AND(H390="",F390="Attended"),1,0)</f>
        <v/>
      </c>
      <c r="M390">
        <f>IF(AND(H390="",OR(F390="No-show",F390="Late cancel")),1,0)</f>
        <v/>
      </c>
      <c r="N390">
        <f>IF(AND(H390="",F390="",D390&lt;&gt;"",I390&gt;=TODAY()),ROUND((I390+IF(ISNUMBER(C390),MOD(C390,1),0))*1440,0)*10000+ROW(),"")</f>
        <v/>
      </c>
    </row>
    <row r="391">
      <c r="A391" s="1" t="n"/>
      <c r="B391" s="17" t="n"/>
      <c r="C391" s="18" t="n"/>
      <c r="D391" s="19" t="n"/>
      <c r="E391" s="20" t="n"/>
      <c r="F391" s="20" t="n"/>
      <c r="G391" s="21" t="n"/>
      <c r="H391" s="12">
        <f>IF(AND(B391="",D391="",F391=""),"",IF(NOT(ISNUMBER(B391)),"Needs a date",IF(D391="","Needs a client",IF(COUNTIF(Clients!$B$6:$B$105,D391)=0,"Not on Clients",IF(AND(F391="",INT(B391)&lt;TODAY()),"Needs a status","")))))</f>
        <v/>
      </c>
      <c r="I391" s="1">
        <f>IF(ISNUMBER(B391),INT(B391),0)</f>
        <v/>
      </c>
      <c r="J391">
        <f>IF(ISNUMBER(B391),YEAR(B391)*100+MONTH(B391),"")</f>
        <v/>
      </c>
      <c r="K391">
        <f>IF(AND(H391="",OR(F391="Attended",F391="No-show",AND(F391="Late cancel",Settings!$C$9="Yes"))),1,0)</f>
        <v/>
      </c>
      <c r="L391">
        <f>IF(AND(H391="",F391="Attended"),1,0)</f>
        <v/>
      </c>
      <c r="M391">
        <f>IF(AND(H391="",OR(F391="No-show",F391="Late cancel")),1,0)</f>
        <v/>
      </c>
      <c r="N391">
        <f>IF(AND(H391="",F391="",D391&lt;&gt;"",I391&gt;=TODAY()),ROUND((I391+IF(ISNUMBER(C391),MOD(C391,1),0))*1440,0)*10000+ROW(),"")</f>
        <v/>
      </c>
    </row>
    <row r="392">
      <c r="A392" s="1" t="n"/>
      <c r="B392" s="17" t="n"/>
      <c r="C392" s="18" t="n"/>
      <c r="D392" s="19" t="n"/>
      <c r="E392" s="20" t="n"/>
      <c r="F392" s="20" t="n"/>
      <c r="G392" s="21" t="n"/>
      <c r="H392" s="12">
        <f>IF(AND(B392="",D392="",F392=""),"",IF(NOT(ISNUMBER(B392)),"Needs a date",IF(D392="","Needs a client",IF(COUNTIF(Clients!$B$6:$B$105,D392)=0,"Not on Clients",IF(AND(F392="",INT(B392)&lt;TODAY()),"Needs a status","")))))</f>
        <v/>
      </c>
      <c r="I392" s="1">
        <f>IF(ISNUMBER(B392),INT(B392),0)</f>
        <v/>
      </c>
      <c r="J392">
        <f>IF(ISNUMBER(B392),YEAR(B392)*100+MONTH(B392),"")</f>
        <v/>
      </c>
      <c r="K392">
        <f>IF(AND(H392="",OR(F392="Attended",F392="No-show",AND(F392="Late cancel",Settings!$C$9="Yes"))),1,0)</f>
        <v/>
      </c>
      <c r="L392">
        <f>IF(AND(H392="",F392="Attended"),1,0)</f>
        <v/>
      </c>
      <c r="M392">
        <f>IF(AND(H392="",OR(F392="No-show",F392="Late cancel")),1,0)</f>
        <v/>
      </c>
      <c r="N392">
        <f>IF(AND(H392="",F392="",D392&lt;&gt;"",I392&gt;=TODAY()),ROUND((I392+IF(ISNUMBER(C392),MOD(C392,1),0))*1440,0)*10000+ROW(),"")</f>
        <v/>
      </c>
    </row>
    <row r="393">
      <c r="A393" s="1" t="n"/>
      <c r="B393" s="17" t="n"/>
      <c r="C393" s="18" t="n"/>
      <c r="D393" s="19" t="n"/>
      <c r="E393" s="20" t="n"/>
      <c r="F393" s="20" t="n"/>
      <c r="G393" s="21" t="n"/>
      <c r="H393" s="12">
        <f>IF(AND(B393="",D393="",F393=""),"",IF(NOT(ISNUMBER(B393)),"Needs a date",IF(D393="","Needs a client",IF(COUNTIF(Clients!$B$6:$B$105,D393)=0,"Not on Clients",IF(AND(F393="",INT(B393)&lt;TODAY()),"Needs a status","")))))</f>
        <v/>
      </c>
      <c r="I393" s="1">
        <f>IF(ISNUMBER(B393),INT(B393),0)</f>
        <v/>
      </c>
      <c r="J393">
        <f>IF(ISNUMBER(B393),YEAR(B393)*100+MONTH(B393),"")</f>
        <v/>
      </c>
      <c r="K393">
        <f>IF(AND(H393="",OR(F393="Attended",F393="No-show",AND(F393="Late cancel",Settings!$C$9="Yes"))),1,0)</f>
        <v/>
      </c>
      <c r="L393">
        <f>IF(AND(H393="",F393="Attended"),1,0)</f>
        <v/>
      </c>
      <c r="M393">
        <f>IF(AND(H393="",OR(F393="No-show",F393="Late cancel")),1,0)</f>
        <v/>
      </c>
      <c r="N393">
        <f>IF(AND(H393="",F393="",D393&lt;&gt;"",I393&gt;=TODAY()),ROUND((I393+IF(ISNUMBER(C393),MOD(C393,1),0))*1440,0)*10000+ROW(),"")</f>
        <v/>
      </c>
    </row>
    <row r="394">
      <c r="A394" s="1" t="n"/>
      <c r="B394" s="17" t="n"/>
      <c r="C394" s="18" t="n"/>
      <c r="D394" s="19" t="n"/>
      <c r="E394" s="20" t="n"/>
      <c r="F394" s="20" t="n"/>
      <c r="G394" s="21" t="n"/>
      <c r="H394" s="12">
        <f>IF(AND(B394="",D394="",F394=""),"",IF(NOT(ISNUMBER(B394)),"Needs a date",IF(D394="","Needs a client",IF(COUNTIF(Clients!$B$6:$B$105,D394)=0,"Not on Clients",IF(AND(F394="",INT(B394)&lt;TODAY()),"Needs a status","")))))</f>
        <v/>
      </c>
      <c r="I394" s="1">
        <f>IF(ISNUMBER(B394),INT(B394),0)</f>
        <v/>
      </c>
      <c r="J394">
        <f>IF(ISNUMBER(B394),YEAR(B394)*100+MONTH(B394),"")</f>
        <v/>
      </c>
      <c r="K394">
        <f>IF(AND(H394="",OR(F394="Attended",F394="No-show",AND(F394="Late cancel",Settings!$C$9="Yes"))),1,0)</f>
        <v/>
      </c>
      <c r="L394">
        <f>IF(AND(H394="",F394="Attended"),1,0)</f>
        <v/>
      </c>
      <c r="M394">
        <f>IF(AND(H394="",OR(F394="No-show",F394="Late cancel")),1,0)</f>
        <v/>
      </c>
      <c r="N394">
        <f>IF(AND(H394="",F394="",D394&lt;&gt;"",I394&gt;=TODAY()),ROUND((I394+IF(ISNUMBER(C394),MOD(C394,1),0))*1440,0)*10000+ROW(),"")</f>
        <v/>
      </c>
    </row>
    <row r="395">
      <c r="A395" s="1" t="n"/>
      <c r="B395" s="17" t="n"/>
      <c r="C395" s="18" t="n"/>
      <c r="D395" s="19" t="n"/>
      <c r="E395" s="20" t="n"/>
      <c r="F395" s="20" t="n"/>
      <c r="G395" s="21" t="n"/>
      <c r="H395" s="12">
        <f>IF(AND(B395="",D395="",F395=""),"",IF(NOT(ISNUMBER(B395)),"Needs a date",IF(D395="","Needs a client",IF(COUNTIF(Clients!$B$6:$B$105,D395)=0,"Not on Clients",IF(AND(F395="",INT(B395)&lt;TODAY()),"Needs a status","")))))</f>
        <v/>
      </c>
      <c r="I395" s="1">
        <f>IF(ISNUMBER(B395),INT(B395),0)</f>
        <v/>
      </c>
      <c r="J395">
        <f>IF(ISNUMBER(B395),YEAR(B395)*100+MONTH(B395),"")</f>
        <v/>
      </c>
      <c r="K395">
        <f>IF(AND(H395="",OR(F395="Attended",F395="No-show",AND(F395="Late cancel",Settings!$C$9="Yes"))),1,0)</f>
        <v/>
      </c>
      <c r="L395">
        <f>IF(AND(H395="",F395="Attended"),1,0)</f>
        <v/>
      </c>
      <c r="M395">
        <f>IF(AND(H395="",OR(F395="No-show",F395="Late cancel")),1,0)</f>
        <v/>
      </c>
      <c r="N395">
        <f>IF(AND(H395="",F395="",D395&lt;&gt;"",I395&gt;=TODAY()),ROUND((I395+IF(ISNUMBER(C395),MOD(C395,1),0))*1440,0)*10000+ROW(),"")</f>
        <v/>
      </c>
    </row>
    <row r="396">
      <c r="A396" s="1" t="n"/>
      <c r="B396" s="17" t="n"/>
      <c r="C396" s="18" t="n"/>
      <c r="D396" s="19" t="n"/>
      <c r="E396" s="20" t="n"/>
      <c r="F396" s="20" t="n"/>
      <c r="G396" s="21" t="n"/>
      <c r="H396" s="12">
        <f>IF(AND(B396="",D396="",F396=""),"",IF(NOT(ISNUMBER(B396)),"Needs a date",IF(D396="","Needs a client",IF(COUNTIF(Clients!$B$6:$B$105,D396)=0,"Not on Clients",IF(AND(F396="",INT(B396)&lt;TODAY()),"Needs a status","")))))</f>
        <v/>
      </c>
      <c r="I396" s="1">
        <f>IF(ISNUMBER(B396),INT(B396),0)</f>
        <v/>
      </c>
      <c r="J396">
        <f>IF(ISNUMBER(B396),YEAR(B396)*100+MONTH(B396),"")</f>
        <v/>
      </c>
      <c r="K396">
        <f>IF(AND(H396="",OR(F396="Attended",F396="No-show",AND(F396="Late cancel",Settings!$C$9="Yes"))),1,0)</f>
        <v/>
      </c>
      <c r="L396">
        <f>IF(AND(H396="",F396="Attended"),1,0)</f>
        <v/>
      </c>
      <c r="M396">
        <f>IF(AND(H396="",OR(F396="No-show",F396="Late cancel")),1,0)</f>
        <v/>
      </c>
      <c r="N396">
        <f>IF(AND(H396="",F396="",D396&lt;&gt;"",I396&gt;=TODAY()),ROUND((I396+IF(ISNUMBER(C396),MOD(C396,1),0))*1440,0)*10000+ROW(),"")</f>
        <v/>
      </c>
    </row>
    <row r="397">
      <c r="A397" s="1" t="n"/>
      <c r="B397" s="17" t="n"/>
      <c r="C397" s="18" t="n"/>
      <c r="D397" s="19" t="n"/>
      <c r="E397" s="20" t="n"/>
      <c r="F397" s="20" t="n"/>
      <c r="G397" s="21" t="n"/>
      <c r="H397" s="12">
        <f>IF(AND(B397="",D397="",F397=""),"",IF(NOT(ISNUMBER(B397)),"Needs a date",IF(D397="","Needs a client",IF(COUNTIF(Clients!$B$6:$B$105,D397)=0,"Not on Clients",IF(AND(F397="",INT(B397)&lt;TODAY()),"Needs a status","")))))</f>
        <v/>
      </c>
      <c r="I397" s="1">
        <f>IF(ISNUMBER(B397),INT(B397),0)</f>
        <v/>
      </c>
      <c r="J397">
        <f>IF(ISNUMBER(B397),YEAR(B397)*100+MONTH(B397),"")</f>
        <v/>
      </c>
      <c r="K397">
        <f>IF(AND(H397="",OR(F397="Attended",F397="No-show",AND(F397="Late cancel",Settings!$C$9="Yes"))),1,0)</f>
        <v/>
      </c>
      <c r="L397">
        <f>IF(AND(H397="",F397="Attended"),1,0)</f>
        <v/>
      </c>
      <c r="M397">
        <f>IF(AND(H397="",OR(F397="No-show",F397="Late cancel")),1,0)</f>
        <v/>
      </c>
      <c r="N397">
        <f>IF(AND(H397="",F397="",D397&lt;&gt;"",I397&gt;=TODAY()),ROUND((I397+IF(ISNUMBER(C397),MOD(C397,1),0))*1440,0)*10000+ROW(),"")</f>
        <v/>
      </c>
    </row>
    <row r="398">
      <c r="A398" s="1" t="n"/>
      <c r="B398" s="17" t="n"/>
      <c r="C398" s="18" t="n"/>
      <c r="D398" s="19" t="n"/>
      <c r="E398" s="20" t="n"/>
      <c r="F398" s="20" t="n"/>
      <c r="G398" s="21" t="n"/>
      <c r="H398" s="12">
        <f>IF(AND(B398="",D398="",F398=""),"",IF(NOT(ISNUMBER(B398)),"Needs a date",IF(D398="","Needs a client",IF(COUNTIF(Clients!$B$6:$B$105,D398)=0,"Not on Clients",IF(AND(F398="",INT(B398)&lt;TODAY()),"Needs a status","")))))</f>
        <v/>
      </c>
      <c r="I398" s="1">
        <f>IF(ISNUMBER(B398),INT(B398),0)</f>
        <v/>
      </c>
      <c r="J398">
        <f>IF(ISNUMBER(B398),YEAR(B398)*100+MONTH(B398),"")</f>
        <v/>
      </c>
      <c r="K398">
        <f>IF(AND(H398="",OR(F398="Attended",F398="No-show",AND(F398="Late cancel",Settings!$C$9="Yes"))),1,0)</f>
        <v/>
      </c>
      <c r="L398">
        <f>IF(AND(H398="",F398="Attended"),1,0)</f>
        <v/>
      </c>
      <c r="M398">
        <f>IF(AND(H398="",OR(F398="No-show",F398="Late cancel")),1,0)</f>
        <v/>
      </c>
      <c r="N398">
        <f>IF(AND(H398="",F398="",D398&lt;&gt;"",I398&gt;=TODAY()),ROUND((I398+IF(ISNUMBER(C398),MOD(C398,1),0))*1440,0)*10000+ROW(),"")</f>
        <v/>
      </c>
    </row>
    <row r="399">
      <c r="A399" s="1" t="n"/>
      <c r="B399" s="17" t="n"/>
      <c r="C399" s="18" t="n"/>
      <c r="D399" s="19" t="n"/>
      <c r="E399" s="20" t="n"/>
      <c r="F399" s="20" t="n"/>
      <c r="G399" s="21" t="n"/>
      <c r="H399" s="12">
        <f>IF(AND(B399="",D399="",F399=""),"",IF(NOT(ISNUMBER(B399)),"Needs a date",IF(D399="","Needs a client",IF(COUNTIF(Clients!$B$6:$B$105,D399)=0,"Not on Clients",IF(AND(F399="",INT(B399)&lt;TODAY()),"Needs a status","")))))</f>
        <v/>
      </c>
      <c r="I399" s="1">
        <f>IF(ISNUMBER(B399),INT(B399),0)</f>
        <v/>
      </c>
      <c r="J399">
        <f>IF(ISNUMBER(B399),YEAR(B399)*100+MONTH(B399),"")</f>
        <v/>
      </c>
      <c r="K399">
        <f>IF(AND(H399="",OR(F399="Attended",F399="No-show",AND(F399="Late cancel",Settings!$C$9="Yes"))),1,0)</f>
        <v/>
      </c>
      <c r="L399">
        <f>IF(AND(H399="",F399="Attended"),1,0)</f>
        <v/>
      </c>
      <c r="M399">
        <f>IF(AND(H399="",OR(F399="No-show",F399="Late cancel")),1,0)</f>
        <v/>
      </c>
      <c r="N399">
        <f>IF(AND(H399="",F399="",D399&lt;&gt;"",I399&gt;=TODAY()),ROUND((I399+IF(ISNUMBER(C399),MOD(C399,1),0))*1440,0)*10000+ROW(),"")</f>
        <v/>
      </c>
    </row>
    <row r="400">
      <c r="A400" s="1" t="n"/>
      <c r="B400" s="17" t="n"/>
      <c r="C400" s="18" t="n"/>
      <c r="D400" s="19" t="n"/>
      <c r="E400" s="20" t="n"/>
      <c r="F400" s="20" t="n"/>
      <c r="G400" s="21" t="n"/>
      <c r="H400" s="12">
        <f>IF(AND(B400="",D400="",F400=""),"",IF(NOT(ISNUMBER(B400)),"Needs a date",IF(D400="","Needs a client",IF(COUNTIF(Clients!$B$6:$B$105,D400)=0,"Not on Clients",IF(AND(F400="",INT(B400)&lt;TODAY()),"Needs a status","")))))</f>
        <v/>
      </c>
      <c r="I400" s="1">
        <f>IF(ISNUMBER(B400),INT(B400),0)</f>
        <v/>
      </c>
      <c r="J400">
        <f>IF(ISNUMBER(B400),YEAR(B400)*100+MONTH(B400),"")</f>
        <v/>
      </c>
      <c r="K400">
        <f>IF(AND(H400="",OR(F400="Attended",F400="No-show",AND(F400="Late cancel",Settings!$C$9="Yes"))),1,0)</f>
        <v/>
      </c>
      <c r="L400">
        <f>IF(AND(H400="",F400="Attended"),1,0)</f>
        <v/>
      </c>
      <c r="M400">
        <f>IF(AND(H400="",OR(F400="No-show",F400="Late cancel")),1,0)</f>
        <v/>
      </c>
      <c r="N400">
        <f>IF(AND(H400="",F400="",D400&lt;&gt;"",I400&gt;=TODAY()),ROUND((I400+IF(ISNUMBER(C400),MOD(C400,1),0))*1440,0)*10000+ROW(),"")</f>
        <v/>
      </c>
    </row>
    <row r="401">
      <c r="A401" s="1" t="n"/>
      <c r="B401" s="17" t="n"/>
      <c r="C401" s="18" t="n"/>
      <c r="D401" s="19" t="n"/>
      <c r="E401" s="20" t="n"/>
      <c r="F401" s="20" t="n"/>
      <c r="G401" s="21" t="n"/>
      <c r="H401" s="12">
        <f>IF(AND(B401="",D401="",F401=""),"",IF(NOT(ISNUMBER(B401)),"Needs a date",IF(D401="","Needs a client",IF(COUNTIF(Clients!$B$6:$B$105,D401)=0,"Not on Clients",IF(AND(F401="",INT(B401)&lt;TODAY()),"Needs a status","")))))</f>
        <v/>
      </c>
      <c r="I401" s="1">
        <f>IF(ISNUMBER(B401),INT(B401),0)</f>
        <v/>
      </c>
      <c r="J401">
        <f>IF(ISNUMBER(B401),YEAR(B401)*100+MONTH(B401),"")</f>
        <v/>
      </c>
      <c r="K401">
        <f>IF(AND(H401="",OR(F401="Attended",F401="No-show",AND(F401="Late cancel",Settings!$C$9="Yes"))),1,0)</f>
        <v/>
      </c>
      <c r="L401">
        <f>IF(AND(H401="",F401="Attended"),1,0)</f>
        <v/>
      </c>
      <c r="M401">
        <f>IF(AND(H401="",OR(F401="No-show",F401="Late cancel")),1,0)</f>
        <v/>
      </c>
      <c r="N401">
        <f>IF(AND(H401="",F401="",D401&lt;&gt;"",I401&gt;=TODAY()),ROUND((I401+IF(ISNUMBER(C401),MOD(C401,1),0))*1440,0)*10000+ROW(),"")</f>
        <v/>
      </c>
    </row>
    <row r="402">
      <c r="A402" s="1" t="n"/>
      <c r="B402" s="17" t="n"/>
      <c r="C402" s="18" t="n"/>
      <c r="D402" s="19" t="n"/>
      <c r="E402" s="20" t="n"/>
      <c r="F402" s="20" t="n"/>
      <c r="G402" s="21" t="n"/>
      <c r="H402" s="12">
        <f>IF(AND(B402="",D402="",F402=""),"",IF(NOT(ISNUMBER(B402)),"Needs a date",IF(D402="","Needs a client",IF(COUNTIF(Clients!$B$6:$B$105,D402)=0,"Not on Clients",IF(AND(F402="",INT(B402)&lt;TODAY()),"Needs a status","")))))</f>
        <v/>
      </c>
      <c r="I402" s="1">
        <f>IF(ISNUMBER(B402),INT(B402),0)</f>
        <v/>
      </c>
      <c r="J402">
        <f>IF(ISNUMBER(B402),YEAR(B402)*100+MONTH(B402),"")</f>
        <v/>
      </c>
      <c r="K402">
        <f>IF(AND(H402="",OR(F402="Attended",F402="No-show",AND(F402="Late cancel",Settings!$C$9="Yes"))),1,0)</f>
        <v/>
      </c>
      <c r="L402">
        <f>IF(AND(H402="",F402="Attended"),1,0)</f>
        <v/>
      </c>
      <c r="M402">
        <f>IF(AND(H402="",OR(F402="No-show",F402="Late cancel")),1,0)</f>
        <v/>
      </c>
      <c r="N402">
        <f>IF(AND(H402="",F402="",D402&lt;&gt;"",I402&gt;=TODAY()),ROUND((I402+IF(ISNUMBER(C402),MOD(C402,1),0))*1440,0)*10000+ROW(),"")</f>
        <v/>
      </c>
    </row>
    <row r="403">
      <c r="A403" s="1" t="n"/>
      <c r="B403" s="17" t="n"/>
      <c r="C403" s="18" t="n"/>
      <c r="D403" s="19" t="n"/>
      <c r="E403" s="20" t="n"/>
      <c r="F403" s="20" t="n"/>
      <c r="G403" s="21" t="n"/>
      <c r="H403" s="12">
        <f>IF(AND(B403="",D403="",F403=""),"",IF(NOT(ISNUMBER(B403)),"Needs a date",IF(D403="","Needs a client",IF(COUNTIF(Clients!$B$6:$B$105,D403)=0,"Not on Clients",IF(AND(F403="",INT(B403)&lt;TODAY()),"Needs a status","")))))</f>
        <v/>
      </c>
      <c r="I403" s="1">
        <f>IF(ISNUMBER(B403),INT(B403),0)</f>
        <v/>
      </c>
      <c r="J403">
        <f>IF(ISNUMBER(B403),YEAR(B403)*100+MONTH(B403),"")</f>
        <v/>
      </c>
      <c r="K403">
        <f>IF(AND(H403="",OR(F403="Attended",F403="No-show",AND(F403="Late cancel",Settings!$C$9="Yes"))),1,0)</f>
        <v/>
      </c>
      <c r="L403">
        <f>IF(AND(H403="",F403="Attended"),1,0)</f>
        <v/>
      </c>
      <c r="M403">
        <f>IF(AND(H403="",OR(F403="No-show",F403="Late cancel")),1,0)</f>
        <v/>
      </c>
      <c r="N403">
        <f>IF(AND(H403="",F403="",D403&lt;&gt;"",I403&gt;=TODAY()),ROUND((I403+IF(ISNUMBER(C403),MOD(C403,1),0))*1440,0)*10000+ROW(),"")</f>
        <v/>
      </c>
    </row>
    <row r="404">
      <c r="A404" s="1" t="n"/>
      <c r="B404" s="17" t="n"/>
      <c r="C404" s="18" t="n"/>
      <c r="D404" s="19" t="n"/>
      <c r="E404" s="20" t="n"/>
      <c r="F404" s="20" t="n"/>
      <c r="G404" s="21" t="n"/>
      <c r="H404" s="12">
        <f>IF(AND(B404="",D404="",F404=""),"",IF(NOT(ISNUMBER(B404)),"Needs a date",IF(D404="","Needs a client",IF(COUNTIF(Clients!$B$6:$B$105,D404)=0,"Not on Clients",IF(AND(F404="",INT(B404)&lt;TODAY()),"Needs a status","")))))</f>
        <v/>
      </c>
      <c r="I404" s="1">
        <f>IF(ISNUMBER(B404),INT(B404),0)</f>
        <v/>
      </c>
      <c r="J404">
        <f>IF(ISNUMBER(B404),YEAR(B404)*100+MONTH(B404),"")</f>
        <v/>
      </c>
      <c r="K404">
        <f>IF(AND(H404="",OR(F404="Attended",F404="No-show",AND(F404="Late cancel",Settings!$C$9="Yes"))),1,0)</f>
        <v/>
      </c>
      <c r="L404">
        <f>IF(AND(H404="",F404="Attended"),1,0)</f>
        <v/>
      </c>
      <c r="M404">
        <f>IF(AND(H404="",OR(F404="No-show",F404="Late cancel")),1,0)</f>
        <v/>
      </c>
      <c r="N404">
        <f>IF(AND(H404="",F404="",D404&lt;&gt;"",I404&gt;=TODAY()),ROUND((I404+IF(ISNUMBER(C404),MOD(C404,1),0))*1440,0)*10000+ROW(),"")</f>
        <v/>
      </c>
    </row>
    <row r="405">
      <c r="A405" s="1" t="n"/>
      <c r="B405" s="17" t="n"/>
      <c r="C405" s="18" t="n"/>
      <c r="D405" s="19" t="n"/>
      <c r="E405" s="20" t="n"/>
      <c r="F405" s="20" t="n"/>
      <c r="G405" s="21" t="n"/>
      <c r="H405" s="12">
        <f>IF(AND(B405="",D405="",F405=""),"",IF(NOT(ISNUMBER(B405)),"Needs a date",IF(D405="","Needs a client",IF(COUNTIF(Clients!$B$6:$B$105,D405)=0,"Not on Clients",IF(AND(F405="",INT(B405)&lt;TODAY()),"Needs a status","")))))</f>
        <v/>
      </c>
      <c r="I405" s="1">
        <f>IF(ISNUMBER(B405),INT(B405),0)</f>
        <v/>
      </c>
      <c r="J405">
        <f>IF(ISNUMBER(B405),YEAR(B405)*100+MONTH(B405),"")</f>
        <v/>
      </c>
      <c r="K405">
        <f>IF(AND(H405="",OR(F405="Attended",F405="No-show",AND(F405="Late cancel",Settings!$C$9="Yes"))),1,0)</f>
        <v/>
      </c>
      <c r="L405">
        <f>IF(AND(H405="",F405="Attended"),1,0)</f>
        <v/>
      </c>
      <c r="M405">
        <f>IF(AND(H405="",OR(F405="No-show",F405="Late cancel")),1,0)</f>
        <v/>
      </c>
      <c r="N405">
        <f>IF(AND(H405="",F405="",D405&lt;&gt;"",I405&gt;=TODAY()),ROUND((I405+IF(ISNUMBER(C405),MOD(C405,1),0))*1440,0)*10000+ROW(),"")</f>
        <v/>
      </c>
    </row>
    <row r="406">
      <c r="A406" s="1" t="n"/>
      <c r="B406" s="17" t="n"/>
      <c r="C406" s="18" t="n"/>
      <c r="D406" s="19" t="n"/>
      <c r="E406" s="20" t="n"/>
      <c r="F406" s="20" t="n"/>
      <c r="G406" s="21" t="n"/>
      <c r="H406" s="12">
        <f>IF(AND(B406="",D406="",F406=""),"",IF(NOT(ISNUMBER(B406)),"Needs a date",IF(D406="","Needs a client",IF(COUNTIF(Clients!$B$6:$B$105,D406)=0,"Not on Clients",IF(AND(F406="",INT(B406)&lt;TODAY()),"Needs a status","")))))</f>
        <v/>
      </c>
      <c r="I406" s="1">
        <f>IF(ISNUMBER(B406),INT(B406),0)</f>
        <v/>
      </c>
      <c r="J406">
        <f>IF(ISNUMBER(B406),YEAR(B406)*100+MONTH(B406),"")</f>
        <v/>
      </c>
      <c r="K406">
        <f>IF(AND(H406="",OR(F406="Attended",F406="No-show",AND(F406="Late cancel",Settings!$C$9="Yes"))),1,0)</f>
        <v/>
      </c>
      <c r="L406">
        <f>IF(AND(H406="",F406="Attended"),1,0)</f>
        <v/>
      </c>
      <c r="M406">
        <f>IF(AND(H406="",OR(F406="No-show",F406="Late cancel")),1,0)</f>
        <v/>
      </c>
      <c r="N406">
        <f>IF(AND(H406="",F406="",D406&lt;&gt;"",I406&gt;=TODAY()),ROUND((I406+IF(ISNUMBER(C406),MOD(C406,1),0))*1440,0)*10000+ROW(),"")</f>
        <v/>
      </c>
    </row>
    <row r="407">
      <c r="A407" s="1" t="n"/>
      <c r="B407" s="17" t="n"/>
      <c r="C407" s="18" t="n"/>
      <c r="D407" s="19" t="n"/>
      <c r="E407" s="20" t="n"/>
      <c r="F407" s="20" t="n"/>
      <c r="G407" s="21" t="n"/>
      <c r="H407" s="12">
        <f>IF(AND(B407="",D407="",F407=""),"",IF(NOT(ISNUMBER(B407)),"Needs a date",IF(D407="","Needs a client",IF(COUNTIF(Clients!$B$6:$B$105,D407)=0,"Not on Clients",IF(AND(F407="",INT(B407)&lt;TODAY()),"Needs a status","")))))</f>
        <v/>
      </c>
      <c r="I407" s="1">
        <f>IF(ISNUMBER(B407),INT(B407),0)</f>
        <v/>
      </c>
      <c r="J407">
        <f>IF(ISNUMBER(B407),YEAR(B407)*100+MONTH(B407),"")</f>
        <v/>
      </c>
      <c r="K407">
        <f>IF(AND(H407="",OR(F407="Attended",F407="No-show",AND(F407="Late cancel",Settings!$C$9="Yes"))),1,0)</f>
        <v/>
      </c>
      <c r="L407">
        <f>IF(AND(H407="",F407="Attended"),1,0)</f>
        <v/>
      </c>
      <c r="M407">
        <f>IF(AND(H407="",OR(F407="No-show",F407="Late cancel")),1,0)</f>
        <v/>
      </c>
      <c r="N407">
        <f>IF(AND(H407="",F407="",D407&lt;&gt;"",I407&gt;=TODAY()),ROUND((I407+IF(ISNUMBER(C407),MOD(C407,1),0))*1440,0)*10000+ROW(),"")</f>
        <v/>
      </c>
    </row>
    <row r="408">
      <c r="A408" s="1" t="n"/>
      <c r="B408" s="17" t="n"/>
      <c r="C408" s="18" t="n"/>
      <c r="D408" s="19" t="n"/>
      <c r="E408" s="20" t="n"/>
      <c r="F408" s="20" t="n"/>
      <c r="G408" s="21" t="n"/>
      <c r="H408" s="12">
        <f>IF(AND(B408="",D408="",F408=""),"",IF(NOT(ISNUMBER(B408)),"Needs a date",IF(D408="","Needs a client",IF(COUNTIF(Clients!$B$6:$B$105,D408)=0,"Not on Clients",IF(AND(F408="",INT(B408)&lt;TODAY()),"Needs a status","")))))</f>
        <v/>
      </c>
      <c r="I408" s="1">
        <f>IF(ISNUMBER(B408),INT(B408),0)</f>
        <v/>
      </c>
      <c r="J408">
        <f>IF(ISNUMBER(B408),YEAR(B408)*100+MONTH(B408),"")</f>
        <v/>
      </c>
      <c r="K408">
        <f>IF(AND(H408="",OR(F408="Attended",F408="No-show",AND(F408="Late cancel",Settings!$C$9="Yes"))),1,0)</f>
        <v/>
      </c>
      <c r="L408">
        <f>IF(AND(H408="",F408="Attended"),1,0)</f>
        <v/>
      </c>
      <c r="M408">
        <f>IF(AND(H408="",OR(F408="No-show",F408="Late cancel")),1,0)</f>
        <v/>
      </c>
      <c r="N408">
        <f>IF(AND(H408="",F408="",D408&lt;&gt;"",I408&gt;=TODAY()),ROUND((I408+IF(ISNUMBER(C408),MOD(C408,1),0))*1440,0)*10000+ROW(),"")</f>
        <v/>
      </c>
    </row>
    <row r="409">
      <c r="A409" s="1" t="n"/>
      <c r="B409" s="17" t="n"/>
      <c r="C409" s="18" t="n"/>
      <c r="D409" s="19" t="n"/>
      <c r="E409" s="20" t="n"/>
      <c r="F409" s="20" t="n"/>
      <c r="G409" s="21" t="n"/>
      <c r="H409" s="12">
        <f>IF(AND(B409="",D409="",F409=""),"",IF(NOT(ISNUMBER(B409)),"Needs a date",IF(D409="","Needs a client",IF(COUNTIF(Clients!$B$6:$B$105,D409)=0,"Not on Clients",IF(AND(F409="",INT(B409)&lt;TODAY()),"Needs a status","")))))</f>
        <v/>
      </c>
      <c r="I409" s="1">
        <f>IF(ISNUMBER(B409),INT(B409),0)</f>
        <v/>
      </c>
      <c r="J409">
        <f>IF(ISNUMBER(B409),YEAR(B409)*100+MONTH(B409),"")</f>
        <v/>
      </c>
      <c r="K409">
        <f>IF(AND(H409="",OR(F409="Attended",F409="No-show",AND(F409="Late cancel",Settings!$C$9="Yes"))),1,0)</f>
        <v/>
      </c>
      <c r="L409">
        <f>IF(AND(H409="",F409="Attended"),1,0)</f>
        <v/>
      </c>
      <c r="M409">
        <f>IF(AND(H409="",OR(F409="No-show",F409="Late cancel")),1,0)</f>
        <v/>
      </c>
      <c r="N409">
        <f>IF(AND(H409="",F409="",D409&lt;&gt;"",I409&gt;=TODAY()),ROUND((I409+IF(ISNUMBER(C409),MOD(C409,1),0))*1440,0)*10000+ROW(),"")</f>
        <v/>
      </c>
    </row>
    <row r="410">
      <c r="A410" s="1" t="n"/>
      <c r="B410" s="17" t="n"/>
      <c r="C410" s="18" t="n"/>
      <c r="D410" s="19" t="n"/>
      <c r="E410" s="20" t="n"/>
      <c r="F410" s="20" t="n"/>
      <c r="G410" s="21" t="n"/>
      <c r="H410" s="12">
        <f>IF(AND(B410="",D410="",F410=""),"",IF(NOT(ISNUMBER(B410)),"Needs a date",IF(D410="","Needs a client",IF(COUNTIF(Clients!$B$6:$B$105,D410)=0,"Not on Clients",IF(AND(F410="",INT(B410)&lt;TODAY()),"Needs a status","")))))</f>
        <v/>
      </c>
      <c r="I410" s="1">
        <f>IF(ISNUMBER(B410),INT(B410),0)</f>
        <v/>
      </c>
      <c r="J410">
        <f>IF(ISNUMBER(B410),YEAR(B410)*100+MONTH(B410),"")</f>
        <v/>
      </c>
      <c r="K410">
        <f>IF(AND(H410="",OR(F410="Attended",F410="No-show",AND(F410="Late cancel",Settings!$C$9="Yes"))),1,0)</f>
        <v/>
      </c>
      <c r="L410">
        <f>IF(AND(H410="",F410="Attended"),1,0)</f>
        <v/>
      </c>
      <c r="M410">
        <f>IF(AND(H410="",OR(F410="No-show",F410="Late cancel")),1,0)</f>
        <v/>
      </c>
      <c r="N410">
        <f>IF(AND(H410="",F410="",D410&lt;&gt;"",I410&gt;=TODAY()),ROUND((I410+IF(ISNUMBER(C410),MOD(C410,1),0))*1440,0)*10000+ROW(),"")</f>
        <v/>
      </c>
    </row>
    <row r="411">
      <c r="A411" s="1" t="n"/>
      <c r="B411" s="17" t="n"/>
      <c r="C411" s="18" t="n"/>
      <c r="D411" s="19" t="n"/>
      <c r="E411" s="20" t="n"/>
      <c r="F411" s="20" t="n"/>
      <c r="G411" s="21" t="n"/>
      <c r="H411" s="12">
        <f>IF(AND(B411="",D411="",F411=""),"",IF(NOT(ISNUMBER(B411)),"Needs a date",IF(D411="","Needs a client",IF(COUNTIF(Clients!$B$6:$B$105,D411)=0,"Not on Clients",IF(AND(F411="",INT(B411)&lt;TODAY()),"Needs a status","")))))</f>
        <v/>
      </c>
      <c r="I411" s="1">
        <f>IF(ISNUMBER(B411),INT(B411),0)</f>
        <v/>
      </c>
      <c r="J411">
        <f>IF(ISNUMBER(B411),YEAR(B411)*100+MONTH(B411),"")</f>
        <v/>
      </c>
      <c r="K411">
        <f>IF(AND(H411="",OR(F411="Attended",F411="No-show",AND(F411="Late cancel",Settings!$C$9="Yes"))),1,0)</f>
        <v/>
      </c>
      <c r="L411">
        <f>IF(AND(H411="",F411="Attended"),1,0)</f>
        <v/>
      </c>
      <c r="M411">
        <f>IF(AND(H411="",OR(F411="No-show",F411="Late cancel")),1,0)</f>
        <v/>
      </c>
      <c r="N411">
        <f>IF(AND(H411="",F411="",D411&lt;&gt;"",I411&gt;=TODAY()),ROUND((I411+IF(ISNUMBER(C411),MOD(C411,1),0))*1440,0)*10000+ROW(),"")</f>
        <v/>
      </c>
    </row>
    <row r="412">
      <c r="A412" s="1" t="n"/>
      <c r="B412" s="17" t="n"/>
      <c r="C412" s="18" t="n"/>
      <c r="D412" s="19" t="n"/>
      <c r="E412" s="20" t="n"/>
      <c r="F412" s="20" t="n"/>
      <c r="G412" s="21" t="n"/>
      <c r="H412" s="12">
        <f>IF(AND(B412="",D412="",F412=""),"",IF(NOT(ISNUMBER(B412)),"Needs a date",IF(D412="","Needs a client",IF(COUNTIF(Clients!$B$6:$B$105,D412)=0,"Not on Clients",IF(AND(F412="",INT(B412)&lt;TODAY()),"Needs a status","")))))</f>
        <v/>
      </c>
      <c r="I412" s="1">
        <f>IF(ISNUMBER(B412),INT(B412),0)</f>
        <v/>
      </c>
      <c r="J412">
        <f>IF(ISNUMBER(B412),YEAR(B412)*100+MONTH(B412),"")</f>
        <v/>
      </c>
      <c r="K412">
        <f>IF(AND(H412="",OR(F412="Attended",F412="No-show",AND(F412="Late cancel",Settings!$C$9="Yes"))),1,0)</f>
        <v/>
      </c>
      <c r="L412">
        <f>IF(AND(H412="",F412="Attended"),1,0)</f>
        <v/>
      </c>
      <c r="M412">
        <f>IF(AND(H412="",OR(F412="No-show",F412="Late cancel")),1,0)</f>
        <v/>
      </c>
      <c r="N412">
        <f>IF(AND(H412="",F412="",D412&lt;&gt;"",I412&gt;=TODAY()),ROUND((I412+IF(ISNUMBER(C412),MOD(C412,1),0))*1440,0)*10000+ROW(),"")</f>
        <v/>
      </c>
    </row>
    <row r="413">
      <c r="A413" s="1" t="n"/>
      <c r="B413" s="17" t="n"/>
      <c r="C413" s="18" t="n"/>
      <c r="D413" s="19" t="n"/>
      <c r="E413" s="20" t="n"/>
      <c r="F413" s="20" t="n"/>
      <c r="G413" s="21" t="n"/>
      <c r="H413" s="12">
        <f>IF(AND(B413="",D413="",F413=""),"",IF(NOT(ISNUMBER(B413)),"Needs a date",IF(D413="","Needs a client",IF(COUNTIF(Clients!$B$6:$B$105,D413)=0,"Not on Clients",IF(AND(F413="",INT(B413)&lt;TODAY()),"Needs a status","")))))</f>
        <v/>
      </c>
      <c r="I413" s="1">
        <f>IF(ISNUMBER(B413),INT(B413),0)</f>
        <v/>
      </c>
      <c r="J413">
        <f>IF(ISNUMBER(B413),YEAR(B413)*100+MONTH(B413),"")</f>
        <v/>
      </c>
      <c r="K413">
        <f>IF(AND(H413="",OR(F413="Attended",F413="No-show",AND(F413="Late cancel",Settings!$C$9="Yes"))),1,0)</f>
        <v/>
      </c>
      <c r="L413">
        <f>IF(AND(H413="",F413="Attended"),1,0)</f>
        <v/>
      </c>
      <c r="M413">
        <f>IF(AND(H413="",OR(F413="No-show",F413="Late cancel")),1,0)</f>
        <v/>
      </c>
      <c r="N413">
        <f>IF(AND(H413="",F413="",D413&lt;&gt;"",I413&gt;=TODAY()),ROUND((I413+IF(ISNUMBER(C413),MOD(C413,1),0))*1440,0)*10000+ROW(),"")</f>
        <v/>
      </c>
    </row>
    <row r="414">
      <c r="A414" s="1" t="n"/>
      <c r="B414" s="17" t="n"/>
      <c r="C414" s="18" t="n"/>
      <c r="D414" s="19" t="n"/>
      <c r="E414" s="20" t="n"/>
      <c r="F414" s="20" t="n"/>
      <c r="G414" s="21" t="n"/>
      <c r="H414" s="12">
        <f>IF(AND(B414="",D414="",F414=""),"",IF(NOT(ISNUMBER(B414)),"Needs a date",IF(D414="","Needs a client",IF(COUNTIF(Clients!$B$6:$B$105,D414)=0,"Not on Clients",IF(AND(F414="",INT(B414)&lt;TODAY()),"Needs a status","")))))</f>
        <v/>
      </c>
      <c r="I414" s="1">
        <f>IF(ISNUMBER(B414),INT(B414),0)</f>
        <v/>
      </c>
      <c r="J414">
        <f>IF(ISNUMBER(B414),YEAR(B414)*100+MONTH(B414),"")</f>
        <v/>
      </c>
      <c r="K414">
        <f>IF(AND(H414="",OR(F414="Attended",F414="No-show",AND(F414="Late cancel",Settings!$C$9="Yes"))),1,0)</f>
        <v/>
      </c>
      <c r="L414">
        <f>IF(AND(H414="",F414="Attended"),1,0)</f>
        <v/>
      </c>
      <c r="M414">
        <f>IF(AND(H414="",OR(F414="No-show",F414="Late cancel")),1,0)</f>
        <v/>
      </c>
      <c r="N414">
        <f>IF(AND(H414="",F414="",D414&lt;&gt;"",I414&gt;=TODAY()),ROUND((I414+IF(ISNUMBER(C414),MOD(C414,1),0))*1440,0)*10000+ROW(),"")</f>
        <v/>
      </c>
    </row>
    <row r="415">
      <c r="A415" s="1" t="n"/>
      <c r="B415" s="17" t="n"/>
      <c r="C415" s="18" t="n"/>
      <c r="D415" s="19" t="n"/>
      <c r="E415" s="20" t="n"/>
      <c r="F415" s="20" t="n"/>
      <c r="G415" s="21" t="n"/>
      <c r="H415" s="12">
        <f>IF(AND(B415="",D415="",F415=""),"",IF(NOT(ISNUMBER(B415)),"Needs a date",IF(D415="","Needs a client",IF(COUNTIF(Clients!$B$6:$B$105,D415)=0,"Not on Clients",IF(AND(F415="",INT(B415)&lt;TODAY()),"Needs a status","")))))</f>
        <v/>
      </c>
      <c r="I415" s="1">
        <f>IF(ISNUMBER(B415),INT(B415),0)</f>
        <v/>
      </c>
      <c r="J415">
        <f>IF(ISNUMBER(B415),YEAR(B415)*100+MONTH(B415),"")</f>
        <v/>
      </c>
      <c r="K415">
        <f>IF(AND(H415="",OR(F415="Attended",F415="No-show",AND(F415="Late cancel",Settings!$C$9="Yes"))),1,0)</f>
        <v/>
      </c>
      <c r="L415">
        <f>IF(AND(H415="",F415="Attended"),1,0)</f>
        <v/>
      </c>
      <c r="M415">
        <f>IF(AND(H415="",OR(F415="No-show",F415="Late cancel")),1,0)</f>
        <v/>
      </c>
      <c r="N415">
        <f>IF(AND(H415="",F415="",D415&lt;&gt;"",I415&gt;=TODAY()),ROUND((I415+IF(ISNUMBER(C415),MOD(C415,1),0))*1440,0)*10000+ROW(),"")</f>
        <v/>
      </c>
    </row>
    <row r="416">
      <c r="A416" s="1" t="n"/>
      <c r="B416" s="17" t="n"/>
      <c r="C416" s="18" t="n"/>
      <c r="D416" s="19" t="n"/>
      <c r="E416" s="20" t="n"/>
      <c r="F416" s="20" t="n"/>
      <c r="G416" s="21" t="n"/>
      <c r="H416" s="12">
        <f>IF(AND(B416="",D416="",F416=""),"",IF(NOT(ISNUMBER(B416)),"Needs a date",IF(D416="","Needs a client",IF(COUNTIF(Clients!$B$6:$B$105,D416)=0,"Not on Clients",IF(AND(F416="",INT(B416)&lt;TODAY()),"Needs a status","")))))</f>
        <v/>
      </c>
      <c r="I416" s="1">
        <f>IF(ISNUMBER(B416),INT(B416),0)</f>
        <v/>
      </c>
      <c r="J416">
        <f>IF(ISNUMBER(B416),YEAR(B416)*100+MONTH(B416),"")</f>
        <v/>
      </c>
      <c r="K416">
        <f>IF(AND(H416="",OR(F416="Attended",F416="No-show",AND(F416="Late cancel",Settings!$C$9="Yes"))),1,0)</f>
        <v/>
      </c>
      <c r="L416">
        <f>IF(AND(H416="",F416="Attended"),1,0)</f>
        <v/>
      </c>
      <c r="M416">
        <f>IF(AND(H416="",OR(F416="No-show",F416="Late cancel")),1,0)</f>
        <v/>
      </c>
      <c r="N416">
        <f>IF(AND(H416="",F416="",D416&lt;&gt;"",I416&gt;=TODAY()),ROUND((I416+IF(ISNUMBER(C416),MOD(C416,1),0))*1440,0)*10000+ROW(),"")</f>
        <v/>
      </c>
    </row>
    <row r="417">
      <c r="A417" s="1" t="n"/>
      <c r="B417" s="17" t="n"/>
      <c r="C417" s="18" t="n"/>
      <c r="D417" s="19" t="n"/>
      <c r="E417" s="20" t="n"/>
      <c r="F417" s="20" t="n"/>
      <c r="G417" s="21" t="n"/>
      <c r="H417" s="12">
        <f>IF(AND(B417="",D417="",F417=""),"",IF(NOT(ISNUMBER(B417)),"Needs a date",IF(D417="","Needs a client",IF(COUNTIF(Clients!$B$6:$B$105,D417)=0,"Not on Clients",IF(AND(F417="",INT(B417)&lt;TODAY()),"Needs a status","")))))</f>
        <v/>
      </c>
      <c r="I417" s="1">
        <f>IF(ISNUMBER(B417),INT(B417),0)</f>
        <v/>
      </c>
      <c r="J417">
        <f>IF(ISNUMBER(B417),YEAR(B417)*100+MONTH(B417),"")</f>
        <v/>
      </c>
      <c r="K417">
        <f>IF(AND(H417="",OR(F417="Attended",F417="No-show",AND(F417="Late cancel",Settings!$C$9="Yes"))),1,0)</f>
        <v/>
      </c>
      <c r="L417">
        <f>IF(AND(H417="",F417="Attended"),1,0)</f>
        <v/>
      </c>
      <c r="M417">
        <f>IF(AND(H417="",OR(F417="No-show",F417="Late cancel")),1,0)</f>
        <v/>
      </c>
      <c r="N417">
        <f>IF(AND(H417="",F417="",D417&lt;&gt;"",I417&gt;=TODAY()),ROUND((I417+IF(ISNUMBER(C417),MOD(C417,1),0))*1440,0)*10000+ROW(),"")</f>
        <v/>
      </c>
    </row>
    <row r="418">
      <c r="A418" s="1" t="n"/>
      <c r="B418" s="17" t="n"/>
      <c r="C418" s="18" t="n"/>
      <c r="D418" s="19" t="n"/>
      <c r="E418" s="20" t="n"/>
      <c r="F418" s="20" t="n"/>
      <c r="G418" s="21" t="n"/>
      <c r="H418" s="12">
        <f>IF(AND(B418="",D418="",F418=""),"",IF(NOT(ISNUMBER(B418)),"Needs a date",IF(D418="","Needs a client",IF(COUNTIF(Clients!$B$6:$B$105,D418)=0,"Not on Clients",IF(AND(F418="",INT(B418)&lt;TODAY()),"Needs a status","")))))</f>
        <v/>
      </c>
      <c r="I418" s="1">
        <f>IF(ISNUMBER(B418),INT(B418),0)</f>
        <v/>
      </c>
      <c r="J418">
        <f>IF(ISNUMBER(B418),YEAR(B418)*100+MONTH(B418),"")</f>
        <v/>
      </c>
      <c r="K418">
        <f>IF(AND(H418="",OR(F418="Attended",F418="No-show",AND(F418="Late cancel",Settings!$C$9="Yes"))),1,0)</f>
        <v/>
      </c>
      <c r="L418">
        <f>IF(AND(H418="",F418="Attended"),1,0)</f>
        <v/>
      </c>
      <c r="M418">
        <f>IF(AND(H418="",OR(F418="No-show",F418="Late cancel")),1,0)</f>
        <v/>
      </c>
      <c r="N418">
        <f>IF(AND(H418="",F418="",D418&lt;&gt;"",I418&gt;=TODAY()),ROUND((I418+IF(ISNUMBER(C418),MOD(C418,1),0))*1440,0)*10000+ROW(),"")</f>
        <v/>
      </c>
    </row>
    <row r="419">
      <c r="A419" s="1" t="n"/>
      <c r="B419" s="17" t="n"/>
      <c r="C419" s="18" t="n"/>
      <c r="D419" s="19" t="n"/>
      <c r="E419" s="20" t="n"/>
      <c r="F419" s="20" t="n"/>
      <c r="G419" s="21" t="n"/>
      <c r="H419" s="12">
        <f>IF(AND(B419="",D419="",F419=""),"",IF(NOT(ISNUMBER(B419)),"Needs a date",IF(D419="","Needs a client",IF(COUNTIF(Clients!$B$6:$B$105,D419)=0,"Not on Clients",IF(AND(F419="",INT(B419)&lt;TODAY()),"Needs a status","")))))</f>
        <v/>
      </c>
      <c r="I419" s="1">
        <f>IF(ISNUMBER(B419),INT(B419),0)</f>
        <v/>
      </c>
      <c r="J419">
        <f>IF(ISNUMBER(B419),YEAR(B419)*100+MONTH(B419),"")</f>
        <v/>
      </c>
      <c r="K419">
        <f>IF(AND(H419="",OR(F419="Attended",F419="No-show",AND(F419="Late cancel",Settings!$C$9="Yes"))),1,0)</f>
        <v/>
      </c>
      <c r="L419">
        <f>IF(AND(H419="",F419="Attended"),1,0)</f>
        <v/>
      </c>
      <c r="M419">
        <f>IF(AND(H419="",OR(F419="No-show",F419="Late cancel")),1,0)</f>
        <v/>
      </c>
      <c r="N419">
        <f>IF(AND(H419="",F419="",D419&lt;&gt;"",I419&gt;=TODAY()),ROUND((I419+IF(ISNUMBER(C419),MOD(C419,1),0))*1440,0)*10000+ROW(),"")</f>
        <v/>
      </c>
    </row>
    <row r="420">
      <c r="A420" s="1" t="n"/>
      <c r="B420" s="17" t="n"/>
      <c r="C420" s="18" t="n"/>
      <c r="D420" s="19" t="n"/>
      <c r="E420" s="20" t="n"/>
      <c r="F420" s="20" t="n"/>
      <c r="G420" s="21" t="n"/>
      <c r="H420" s="12">
        <f>IF(AND(B420="",D420="",F420=""),"",IF(NOT(ISNUMBER(B420)),"Needs a date",IF(D420="","Needs a client",IF(COUNTIF(Clients!$B$6:$B$105,D420)=0,"Not on Clients",IF(AND(F420="",INT(B420)&lt;TODAY()),"Needs a status","")))))</f>
        <v/>
      </c>
      <c r="I420" s="1">
        <f>IF(ISNUMBER(B420),INT(B420),0)</f>
        <v/>
      </c>
      <c r="J420">
        <f>IF(ISNUMBER(B420),YEAR(B420)*100+MONTH(B420),"")</f>
        <v/>
      </c>
      <c r="K420">
        <f>IF(AND(H420="",OR(F420="Attended",F420="No-show",AND(F420="Late cancel",Settings!$C$9="Yes"))),1,0)</f>
        <v/>
      </c>
      <c r="L420">
        <f>IF(AND(H420="",F420="Attended"),1,0)</f>
        <v/>
      </c>
      <c r="M420">
        <f>IF(AND(H420="",OR(F420="No-show",F420="Late cancel")),1,0)</f>
        <v/>
      </c>
      <c r="N420">
        <f>IF(AND(H420="",F420="",D420&lt;&gt;"",I420&gt;=TODAY()),ROUND((I420+IF(ISNUMBER(C420),MOD(C420,1),0))*1440,0)*10000+ROW(),"")</f>
        <v/>
      </c>
    </row>
    <row r="421">
      <c r="A421" s="1" t="n"/>
      <c r="B421" s="17" t="n"/>
      <c r="C421" s="18" t="n"/>
      <c r="D421" s="19" t="n"/>
      <c r="E421" s="20" t="n"/>
      <c r="F421" s="20" t="n"/>
      <c r="G421" s="21" t="n"/>
      <c r="H421" s="12">
        <f>IF(AND(B421="",D421="",F421=""),"",IF(NOT(ISNUMBER(B421)),"Needs a date",IF(D421="","Needs a client",IF(COUNTIF(Clients!$B$6:$B$105,D421)=0,"Not on Clients",IF(AND(F421="",INT(B421)&lt;TODAY()),"Needs a status","")))))</f>
        <v/>
      </c>
      <c r="I421" s="1">
        <f>IF(ISNUMBER(B421),INT(B421),0)</f>
        <v/>
      </c>
      <c r="J421">
        <f>IF(ISNUMBER(B421),YEAR(B421)*100+MONTH(B421),"")</f>
        <v/>
      </c>
      <c r="K421">
        <f>IF(AND(H421="",OR(F421="Attended",F421="No-show",AND(F421="Late cancel",Settings!$C$9="Yes"))),1,0)</f>
        <v/>
      </c>
      <c r="L421">
        <f>IF(AND(H421="",F421="Attended"),1,0)</f>
        <v/>
      </c>
      <c r="M421">
        <f>IF(AND(H421="",OR(F421="No-show",F421="Late cancel")),1,0)</f>
        <v/>
      </c>
      <c r="N421">
        <f>IF(AND(H421="",F421="",D421&lt;&gt;"",I421&gt;=TODAY()),ROUND((I421+IF(ISNUMBER(C421),MOD(C421,1),0))*1440,0)*10000+ROW(),"")</f>
        <v/>
      </c>
    </row>
    <row r="422">
      <c r="A422" s="1" t="n"/>
      <c r="B422" s="17" t="n"/>
      <c r="C422" s="18" t="n"/>
      <c r="D422" s="19" t="n"/>
      <c r="E422" s="20" t="n"/>
      <c r="F422" s="20" t="n"/>
      <c r="G422" s="21" t="n"/>
      <c r="H422" s="12">
        <f>IF(AND(B422="",D422="",F422=""),"",IF(NOT(ISNUMBER(B422)),"Needs a date",IF(D422="","Needs a client",IF(COUNTIF(Clients!$B$6:$B$105,D422)=0,"Not on Clients",IF(AND(F422="",INT(B422)&lt;TODAY()),"Needs a status","")))))</f>
        <v/>
      </c>
      <c r="I422" s="1">
        <f>IF(ISNUMBER(B422),INT(B422),0)</f>
        <v/>
      </c>
      <c r="J422">
        <f>IF(ISNUMBER(B422),YEAR(B422)*100+MONTH(B422),"")</f>
        <v/>
      </c>
      <c r="K422">
        <f>IF(AND(H422="",OR(F422="Attended",F422="No-show",AND(F422="Late cancel",Settings!$C$9="Yes"))),1,0)</f>
        <v/>
      </c>
      <c r="L422">
        <f>IF(AND(H422="",F422="Attended"),1,0)</f>
        <v/>
      </c>
      <c r="M422">
        <f>IF(AND(H422="",OR(F422="No-show",F422="Late cancel")),1,0)</f>
        <v/>
      </c>
      <c r="N422">
        <f>IF(AND(H422="",F422="",D422&lt;&gt;"",I422&gt;=TODAY()),ROUND((I422+IF(ISNUMBER(C422),MOD(C422,1),0))*1440,0)*10000+ROW(),"")</f>
        <v/>
      </c>
    </row>
    <row r="423">
      <c r="A423" s="1" t="n"/>
      <c r="B423" s="17" t="n"/>
      <c r="C423" s="18" t="n"/>
      <c r="D423" s="19" t="n"/>
      <c r="E423" s="20" t="n"/>
      <c r="F423" s="20" t="n"/>
      <c r="G423" s="21" t="n"/>
      <c r="H423" s="12">
        <f>IF(AND(B423="",D423="",F423=""),"",IF(NOT(ISNUMBER(B423)),"Needs a date",IF(D423="","Needs a client",IF(COUNTIF(Clients!$B$6:$B$105,D423)=0,"Not on Clients",IF(AND(F423="",INT(B423)&lt;TODAY()),"Needs a status","")))))</f>
        <v/>
      </c>
      <c r="I423" s="1">
        <f>IF(ISNUMBER(B423),INT(B423),0)</f>
        <v/>
      </c>
      <c r="J423">
        <f>IF(ISNUMBER(B423),YEAR(B423)*100+MONTH(B423),"")</f>
        <v/>
      </c>
      <c r="K423">
        <f>IF(AND(H423="",OR(F423="Attended",F423="No-show",AND(F423="Late cancel",Settings!$C$9="Yes"))),1,0)</f>
        <v/>
      </c>
      <c r="L423">
        <f>IF(AND(H423="",F423="Attended"),1,0)</f>
        <v/>
      </c>
      <c r="M423">
        <f>IF(AND(H423="",OR(F423="No-show",F423="Late cancel")),1,0)</f>
        <v/>
      </c>
      <c r="N423">
        <f>IF(AND(H423="",F423="",D423&lt;&gt;"",I423&gt;=TODAY()),ROUND((I423+IF(ISNUMBER(C423),MOD(C423,1),0))*1440,0)*10000+ROW(),"")</f>
        <v/>
      </c>
    </row>
    <row r="424">
      <c r="A424" s="1" t="n"/>
      <c r="B424" s="17" t="n"/>
      <c r="C424" s="18" t="n"/>
      <c r="D424" s="19" t="n"/>
      <c r="E424" s="20" t="n"/>
      <c r="F424" s="20" t="n"/>
      <c r="G424" s="21" t="n"/>
      <c r="H424" s="12">
        <f>IF(AND(B424="",D424="",F424=""),"",IF(NOT(ISNUMBER(B424)),"Needs a date",IF(D424="","Needs a client",IF(COUNTIF(Clients!$B$6:$B$105,D424)=0,"Not on Clients",IF(AND(F424="",INT(B424)&lt;TODAY()),"Needs a status","")))))</f>
        <v/>
      </c>
      <c r="I424" s="1">
        <f>IF(ISNUMBER(B424),INT(B424),0)</f>
        <v/>
      </c>
      <c r="J424">
        <f>IF(ISNUMBER(B424),YEAR(B424)*100+MONTH(B424),"")</f>
        <v/>
      </c>
      <c r="K424">
        <f>IF(AND(H424="",OR(F424="Attended",F424="No-show",AND(F424="Late cancel",Settings!$C$9="Yes"))),1,0)</f>
        <v/>
      </c>
      <c r="L424">
        <f>IF(AND(H424="",F424="Attended"),1,0)</f>
        <v/>
      </c>
      <c r="M424">
        <f>IF(AND(H424="",OR(F424="No-show",F424="Late cancel")),1,0)</f>
        <v/>
      </c>
      <c r="N424">
        <f>IF(AND(H424="",F424="",D424&lt;&gt;"",I424&gt;=TODAY()),ROUND((I424+IF(ISNUMBER(C424),MOD(C424,1),0))*1440,0)*10000+ROW(),"")</f>
        <v/>
      </c>
    </row>
    <row r="425">
      <c r="A425" s="1" t="n"/>
      <c r="B425" s="17" t="n"/>
      <c r="C425" s="18" t="n"/>
      <c r="D425" s="19" t="n"/>
      <c r="E425" s="20" t="n"/>
      <c r="F425" s="20" t="n"/>
      <c r="G425" s="21" t="n"/>
      <c r="H425" s="12">
        <f>IF(AND(B425="",D425="",F425=""),"",IF(NOT(ISNUMBER(B425)),"Needs a date",IF(D425="","Needs a client",IF(COUNTIF(Clients!$B$6:$B$105,D425)=0,"Not on Clients",IF(AND(F425="",INT(B425)&lt;TODAY()),"Needs a status","")))))</f>
        <v/>
      </c>
      <c r="I425" s="1">
        <f>IF(ISNUMBER(B425),INT(B425),0)</f>
        <v/>
      </c>
      <c r="J425">
        <f>IF(ISNUMBER(B425),YEAR(B425)*100+MONTH(B425),"")</f>
        <v/>
      </c>
      <c r="K425">
        <f>IF(AND(H425="",OR(F425="Attended",F425="No-show",AND(F425="Late cancel",Settings!$C$9="Yes"))),1,0)</f>
        <v/>
      </c>
      <c r="L425">
        <f>IF(AND(H425="",F425="Attended"),1,0)</f>
        <v/>
      </c>
      <c r="M425">
        <f>IF(AND(H425="",OR(F425="No-show",F425="Late cancel")),1,0)</f>
        <v/>
      </c>
      <c r="N425">
        <f>IF(AND(H425="",F425="",D425&lt;&gt;"",I425&gt;=TODAY()),ROUND((I425+IF(ISNUMBER(C425),MOD(C425,1),0))*1440,0)*10000+ROW(),"")</f>
        <v/>
      </c>
    </row>
    <row r="426">
      <c r="A426" s="1" t="n"/>
      <c r="B426" s="17" t="n"/>
      <c r="C426" s="18" t="n"/>
      <c r="D426" s="19" t="n"/>
      <c r="E426" s="20" t="n"/>
      <c r="F426" s="20" t="n"/>
      <c r="G426" s="21" t="n"/>
      <c r="H426" s="12">
        <f>IF(AND(B426="",D426="",F426=""),"",IF(NOT(ISNUMBER(B426)),"Needs a date",IF(D426="","Needs a client",IF(COUNTIF(Clients!$B$6:$B$105,D426)=0,"Not on Clients",IF(AND(F426="",INT(B426)&lt;TODAY()),"Needs a status","")))))</f>
        <v/>
      </c>
      <c r="I426" s="1">
        <f>IF(ISNUMBER(B426),INT(B426),0)</f>
        <v/>
      </c>
      <c r="J426">
        <f>IF(ISNUMBER(B426),YEAR(B426)*100+MONTH(B426),"")</f>
        <v/>
      </c>
      <c r="K426">
        <f>IF(AND(H426="",OR(F426="Attended",F426="No-show",AND(F426="Late cancel",Settings!$C$9="Yes"))),1,0)</f>
        <v/>
      </c>
      <c r="L426">
        <f>IF(AND(H426="",F426="Attended"),1,0)</f>
        <v/>
      </c>
      <c r="M426">
        <f>IF(AND(H426="",OR(F426="No-show",F426="Late cancel")),1,0)</f>
        <v/>
      </c>
      <c r="N426">
        <f>IF(AND(H426="",F426="",D426&lt;&gt;"",I426&gt;=TODAY()),ROUND((I426+IF(ISNUMBER(C426),MOD(C426,1),0))*1440,0)*10000+ROW(),"")</f>
        <v/>
      </c>
    </row>
    <row r="427">
      <c r="A427" s="1" t="n"/>
      <c r="B427" s="17" t="n"/>
      <c r="C427" s="18" t="n"/>
      <c r="D427" s="19" t="n"/>
      <c r="E427" s="20" t="n"/>
      <c r="F427" s="20" t="n"/>
      <c r="G427" s="21" t="n"/>
      <c r="H427" s="12">
        <f>IF(AND(B427="",D427="",F427=""),"",IF(NOT(ISNUMBER(B427)),"Needs a date",IF(D427="","Needs a client",IF(COUNTIF(Clients!$B$6:$B$105,D427)=0,"Not on Clients",IF(AND(F427="",INT(B427)&lt;TODAY()),"Needs a status","")))))</f>
        <v/>
      </c>
      <c r="I427" s="1">
        <f>IF(ISNUMBER(B427),INT(B427),0)</f>
        <v/>
      </c>
      <c r="J427">
        <f>IF(ISNUMBER(B427),YEAR(B427)*100+MONTH(B427),"")</f>
        <v/>
      </c>
      <c r="K427">
        <f>IF(AND(H427="",OR(F427="Attended",F427="No-show",AND(F427="Late cancel",Settings!$C$9="Yes"))),1,0)</f>
        <v/>
      </c>
      <c r="L427">
        <f>IF(AND(H427="",F427="Attended"),1,0)</f>
        <v/>
      </c>
      <c r="M427">
        <f>IF(AND(H427="",OR(F427="No-show",F427="Late cancel")),1,0)</f>
        <v/>
      </c>
      <c r="N427">
        <f>IF(AND(H427="",F427="",D427&lt;&gt;"",I427&gt;=TODAY()),ROUND((I427+IF(ISNUMBER(C427),MOD(C427,1),0))*1440,0)*10000+ROW(),"")</f>
        <v/>
      </c>
    </row>
    <row r="428">
      <c r="A428" s="1" t="n"/>
      <c r="B428" s="17" t="n"/>
      <c r="C428" s="18" t="n"/>
      <c r="D428" s="19" t="n"/>
      <c r="E428" s="20" t="n"/>
      <c r="F428" s="20" t="n"/>
      <c r="G428" s="21" t="n"/>
      <c r="H428" s="12">
        <f>IF(AND(B428="",D428="",F428=""),"",IF(NOT(ISNUMBER(B428)),"Needs a date",IF(D428="","Needs a client",IF(COUNTIF(Clients!$B$6:$B$105,D428)=0,"Not on Clients",IF(AND(F428="",INT(B428)&lt;TODAY()),"Needs a status","")))))</f>
        <v/>
      </c>
      <c r="I428" s="1">
        <f>IF(ISNUMBER(B428),INT(B428),0)</f>
        <v/>
      </c>
      <c r="J428">
        <f>IF(ISNUMBER(B428),YEAR(B428)*100+MONTH(B428),"")</f>
        <v/>
      </c>
      <c r="K428">
        <f>IF(AND(H428="",OR(F428="Attended",F428="No-show",AND(F428="Late cancel",Settings!$C$9="Yes"))),1,0)</f>
        <v/>
      </c>
      <c r="L428">
        <f>IF(AND(H428="",F428="Attended"),1,0)</f>
        <v/>
      </c>
      <c r="M428">
        <f>IF(AND(H428="",OR(F428="No-show",F428="Late cancel")),1,0)</f>
        <v/>
      </c>
      <c r="N428">
        <f>IF(AND(H428="",F428="",D428&lt;&gt;"",I428&gt;=TODAY()),ROUND((I428+IF(ISNUMBER(C428),MOD(C428,1),0))*1440,0)*10000+ROW(),"")</f>
        <v/>
      </c>
    </row>
    <row r="429">
      <c r="A429" s="1" t="n"/>
      <c r="B429" s="17" t="n"/>
      <c r="C429" s="18" t="n"/>
      <c r="D429" s="19" t="n"/>
      <c r="E429" s="20" t="n"/>
      <c r="F429" s="20" t="n"/>
      <c r="G429" s="21" t="n"/>
      <c r="H429" s="12">
        <f>IF(AND(B429="",D429="",F429=""),"",IF(NOT(ISNUMBER(B429)),"Needs a date",IF(D429="","Needs a client",IF(COUNTIF(Clients!$B$6:$B$105,D429)=0,"Not on Clients",IF(AND(F429="",INT(B429)&lt;TODAY()),"Needs a status","")))))</f>
        <v/>
      </c>
      <c r="I429" s="1">
        <f>IF(ISNUMBER(B429),INT(B429),0)</f>
        <v/>
      </c>
      <c r="J429">
        <f>IF(ISNUMBER(B429),YEAR(B429)*100+MONTH(B429),"")</f>
        <v/>
      </c>
      <c r="K429">
        <f>IF(AND(H429="",OR(F429="Attended",F429="No-show",AND(F429="Late cancel",Settings!$C$9="Yes"))),1,0)</f>
        <v/>
      </c>
      <c r="L429">
        <f>IF(AND(H429="",F429="Attended"),1,0)</f>
        <v/>
      </c>
      <c r="M429">
        <f>IF(AND(H429="",OR(F429="No-show",F429="Late cancel")),1,0)</f>
        <v/>
      </c>
      <c r="N429">
        <f>IF(AND(H429="",F429="",D429&lt;&gt;"",I429&gt;=TODAY()),ROUND((I429+IF(ISNUMBER(C429),MOD(C429,1),0))*1440,0)*10000+ROW(),"")</f>
        <v/>
      </c>
    </row>
    <row r="430">
      <c r="A430" s="1" t="n"/>
      <c r="B430" s="17" t="n"/>
      <c r="C430" s="18" t="n"/>
      <c r="D430" s="19" t="n"/>
      <c r="E430" s="20" t="n"/>
      <c r="F430" s="20" t="n"/>
      <c r="G430" s="21" t="n"/>
      <c r="H430" s="12">
        <f>IF(AND(B430="",D430="",F430=""),"",IF(NOT(ISNUMBER(B430)),"Needs a date",IF(D430="","Needs a client",IF(COUNTIF(Clients!$B$6:$B$105,D430)=0,"Not on Clients",IF(AND(F430="",INT(B430)&lt;TODAY()),"Needs a status","")))))</f>
        <v/>
      </c>
      <c r="I430" s="1">
        <f>IF(ISNUMBER(B430),INT(B430),0)</f>
        <v/>
      </c>
      <c r="J430">
        <f>IF(ISNUMBER(B430),YEAR(B430)*100+MONTH(B430),"")</f>
        <v/>
      </c>
      <c r="K430">
        <f>IF(AND(H430="",OR(F430="Attended",F430="No-show",AND(F430="Late cancel",Settings!$C$9="Yes"))),1,0)</f>
        <v/>
      </c>
      <c r="L430">
        <f>IF(AND(H430="",F430="Attended"),1,0)</f>
        <v/>
      </c>
      <c r="M430">
        <f>IF(AND(H430="",OR(F430="No-show",F430="Late cancel")),1,0)</f>
        <v/>
      </c>
      <c r="N430">
        <f>IF(AND(H430="",F430="",D430&lt;&gt;"",I430&gt;=TODAY()),ROUND((I430+IF(ISNUMBER(C430),MOD(C430,1),0))*1440,0)*10000+ROW(),"")</f>
        <v/>
      </c>
    </row>
    <row r="431">
      <c r="A431" s="1" t="n"/>
      <c r="B431" s="17" t="n"/>
      <c r="C431" s="18" t="n"/>
      <c r="D431" s="19" t="n"/>
      <c r="E431" s="20" t="n"/>
      <c r="F431" s="20" t="n"/>
      <c r="G431" s="21" t="n"/>
      <c r="H431" s="12">
        <f>IF(AND(B431="",D431="",F431=""),"",IF(NOT(ISNUMBER(B431)),"Needs a date",IF(D431="","Needs a client",IF(COUNTIF(Clients!$B$6:$B$105,D431)=0,"Not on Clients",IF(AND(F431="",INT(B431)&lt;TODAY()),"Needs a status","")))))</f>
        <v/>
      </c>
      <c r="I431" s="1">
        <f>IF(ISNUMBER(B431),INT(B431),0)</f>
        <v/>
      </c>
      <c r="J431">
        <f>IF(ISNUMBER(B431),YEAR(B431)*100+MONTH(B431),"")</f>
        <v/>
      </c>
      <c r="K431">
        <f>IF(AND(H431="",OR(F431="Attended",F431="No-show",AND(F431="Late cancel",Settings!$C$9="Yes"))),1,0)</f>
        <v/>
      </c>
      <c r="L431">
        <f>IF(AND(H431="",F431="Attended"),1,0)</f>
        <v/>
      </c>
      <c r="M431">
        <f>IF(AND(H431="",OR(F431="No-show",F431="Late cancel")),1,0)</f>
        <v/>
      </c>
      <c r="N431">
        <f>IF(AND(H431="",F431="",D431&lt;&gt;"",I431&gt;=TODAY()),ROUND((I431+IF(ISNUMBER(C431),MOD(C431,1),0))*1440,0)*10000+ROW(),"")</f>
        <v/>
      </c>
    </row>
    <row r="432">
      <c r="A432" s="1" t="n"/>
      <c r="B432" s="17" t="n"/>
      <c r="C432" s="18" t="n"/>
      <c r="D432" s="19" t="n"/>
      <c r="E432" s="20" t="n"/>
      <c r="F432" s="20" t="n"/>
      <c r="G432" s="21" t="n"/>
      <c r="H432" s="12">
        <f>IF(AND(B432="",D432="",F432=""),"",IF(NOT(ISNUMBER(B432)),"Needs a date",IF(D432="","Needs a client",IF(COUNTIF(Clients!$B$6:$B$105,D432)=0,"Not on Clients",IF(AND(F432="",INT(B432)&lt;TODAY()),"Needs a status","")))))</f>
        <v/>
      </c>
      <c r="I432" s="1">
        <f>IF(ISNUMBER(B432),INT(B432),0)</f>
        <v/>
      </c>
      <c r="J432">
        <f>IF(ISNUMBER(B432),YEAR(B432)*100+MONTH(B432),"")</f>
        <v/>
      </c>
      <c r="K432">
        <f>IF(AND(H432="",OR(F432="Attended",F432="No-show",AND(F432="Late cancel",Settings!$C$9="Yes"))),1,0)</f>
        <v/>
      </c>
      <c r="L432">
        <f>IF(AND(H432="",F432="Attended"),1,0)</f>
        <v/>
      </c>
      <c r="M432">
        <f>IF(AND(H432="",OR(F432="No-show",F432="Late cancel")),1,0)</f>
        <v/>
      </c>
      <c r="N432">
        <f>IF(AND(H432="",F432="",D432&lt;&gt;"",I432&gt;=TODAY()),ROUND((I432+IF(ISNUMBER(C432),MOD(C432,1),0))*1440,0)*10000+ROW(),"")</f>
        <v/>
      </c>
    </row>
    <row r="433">
      <c r="A433" s="1" t="n"/>
      <c r="B433" s="17" t="n"/>
      <c r="C433" s="18" t="n"/>
      <c r="D433" s="19" t="n"/>
      <c r="E433" s="20" t="n"/>
      <c r="F433" s="20" t="n"/>
      <c r="G433" s="21" t="n"/>
      <c r="H433" s="12">
        <f>IF(AND(B433="",D433="",F433=""),"",IF(NOT(ISNUMBER(B433)),"Needs a date",IF(D433="","Needs a client",IF(COUNTIF(Clients!$B$6:$B$105,D433)=0,"Not on Clients",IF(AND(F433="",INT(B433)&lt;TODAY()),"Needs a status","")))))</f>
        <v/>
      </c>
      <c r="I433" s="1">
        <f>IF(ISNUMBER(B433),INT(B433),0)</f>
        <v/>
      </c>
      <c r="J433">
        <f>IF(ISNUMBER(B433),YEAR(B433)*100+MONTH(B433),"")</f>
        <v/>
      </c>
      <c r="K433">
        <f>IF(AND(H433="",OR(F433="Attended",F433="No-show",AND(F433="Late cancel",Settings!$C$9="Yes"))),1,0)</f>
        <v/>
      </c>
      <c r="L433">
        <f>IF(AND(H433="",F433="Attended"),1,0)</f>
        <v/>
      </c>
      <c r="M433">
        <f>IF(AND(H433="",OR(F433="No-show",F433="Late cancel")),1,0)</f>
        <v/>
      </c>
      <c r="N433">
        <f>IF(AND(H433="",F433="",D433&lt;&gt;"",I433&gt;=TODAY()),ROUND((I433+IF(ISNUMBER(C433),MOD(C433,1),0))*1440,0)*10000+ROW(),"")</f>
        <v/>
      </c>
    </row>
    <row r="434">
      <c r="A434" s="1" t="n"/>
      <c r="B434" s="17" t="n"/>
      <c r="C434" s="18" t="n"/>
      <c r="D434" s="19" t="n"/>
      <c r="E434" s="20" t="n"/>
      <c r="F434" s="20" t="n"/>
      <c r="G434" s="21" t="n"/>
      <c r="H434" s="12">
        <f>IF(AND(B434="",D434="",F434=""),"",IF(NOT(ISNUMBER(B434)),"Needs a date",IF(D434="","Needs a client",IF(COUNTIF(Clients!$B$6:$B$105,D434)=0,"Not on Clients",IF(AND(F434="",INT(B434)&lt;TODAY()),"Needs a status","")))))</f>
        <v/>
      </c>
      <c r="I434" s="1">
        <f>IF(ISNUMBER(B434),INT(B434),0)</f>
        <v/>
      </c>
      <c r="J434">
        <f>IF(ISNUMBER(B434),YEAR(B434)*100+MONTH(B434),"")</f>
        <v/>
      </c>
      <c r="K434">
        <f>IF(AND(H434="",OR(F434="Attended",F434="No-show",AND(F434="Late cancel",Settings!$C$9="Yes"))),1,0)</f>
        <v/>
      </c>
      <c r="L434">
        <f>IF(AND(H434="",F434="Attended"),1,0)</f>
        <v/>
      </c>
      <c r="M434">
        <f>IF(AND(H434="",OR(F434="No-show",F434="Late cancel")),1,0)</f>
        <v/>
      </c>
      <c r="N434">
        <f>IF(AND(H434="",F434="",D434&lt;&gt;"",I434&gt;=TODAY()),ROUND((I434+IF(ISNUMBER(C434),MOD(C434,1),0))*1440,0)*10000+ROW(),"")</f>
        <v/>
      </c>
    </row>
    <row r="435">
      <c r="A435" s="1" t="n"/>
      <c r="B435" s="17" t="n"/>
      <c r="C435" s="18" t="n"/>
      <c r="D435" s="19" t="n"/>
      <c r="E435" s="20" t="n"/>
      <c r="F435" s="20" t="n"/>
      <c r="G435" s="21" t="n"/>
      <c r="H435" s="12">
        <f>IF(AND(B435="",D435="",F435=""),"",IF(NOT(ISNUMBER(B435)),"Needs a date",IF(D435="","Needs a client",IF(COUNTIF(Clients!$B$6:$B$105,D435)=0,"Not on Clients",IF(AND(F435="",INT(B435)&lt;TODAY()),"Needs a status","")))))</f>
        <v/>
      </c>
      <c r="I435" s="1">
        <f>IF(ISNUMBER(B435),INT(B435),0)</f>
        <v/>
      </c>
      <c r="J435">
        <f>IF(ISNUMBER(B435),YEAR(B435)*100+MONTH(B435),"")</f>
        <v/>
      </c>
      <c r="K435">
        <f>IF(AND(H435="",OR(F435="Attended",F435="No-show",AND(F435="Late cancel",Settings!$C$9="Yes"))),1,0)</f>
        <v/>
      </c>
      <c r="L435">
        <f>IF(AND(H435="",F435="Attended"),1,0)</f>
        <v/>
      </c>
      <c r="M435">
        <f>IF(AND(H435="",OR(F435="No-show",F435="Late cancel")),1,0)</f>
        <v/>
      </c>
      <c r="N435">
        <f>IF(AND(H435="",F435="",D435&lt;&gt;"",I435&gt;=TODAY()),ROUND((I435+IF(ISNUMBER(C435),MOD(C435,1),0))*1440,0)*10000+ROW(),"")</f>
        <v/>
      </c>
    </row>
    <row r="436">
      <c r="A436" s="1" t="n"/>
      <c r="B436" s="17" t="n"/>
      <c r="C436" s="18" t="n"/>
      <c r="D436" s="19" t="n"/>
      <c r="E436" s="20" t="n"/>
      <c r="F436" s="20" t="n"/>
      <c r="G436" s="21" t="n"/>
      <c r="H436" s="12">
        <f>IF(AND(B436="",D436="",F436=""),"",IF(NOT(ISNUMBER(B436)),"Needs a date",IF(D436="","Needs a client",IF(COUNTIF(Clients!$B$6:$B$105,D436)=0,"Not on Clients",IF(AND(F436="",INT(B436)&lt;TODAY()),"Needs a status","")))))</f>
        <v/>
      </c>
      <c r="I436" s="1">
        <f>IF(ISNUMBER(B436),INT(B436),0)</f>
        <v/>
      </c>
      <c r="J436">
        <f>IF(ISNUMBER(B436),YEAR(B436)*100+MONTH(B436),"")</f>
        <v/>
      </c>
      <c r="K436">
        <f>IF(AND(H436="",OR(F436="Attended",F436="No-show",AND(F436="Late cancel",Settings!$C$9="Yes"))),1,0)</f>
        <v/>
      </c>
      <c r="L436">
        <f>IF(AND(H436="",F436="Attended"),1,0)</f>
        <v/>
      </c>
      <c r="M436">
        <f>IF(AND(H436="",OR(F436="No-show",F436="Late cancel")),1,0)</f>
        <v/>
      </c>
      <c r="N436">
        <f>IF(AND(H436="",F436="",D436&lt;&gt;"",I436&gt;=TODAY()),ROUND((I436+IF(ISNUMBER(C436),MOD(C436,1),0))*1440,0)*10000+ROW(),"")</f>
        <v/>
      </c>
    </row>
    <row r="437">
      <c r="A437" s="1" t="n"/>
      <c r="B437" s="17" t="n"/>
      <c r="C437" s="18" t="n"/>
      <c r="D437" s="19" t="n"/>
      <c r="E437" s="20" t="n"/>
      <c r="F437" s="20" t="n"/>
      <c r="G437" s="21" t="n"/>
      <c r="H437" s="12">
        <f>IF(AND(B437="",D437="",F437=""),"",IF(NOT(ISNUMBER(B437)),"Needs a date",IF(D437="","Needs a client",IF(COUNTIF(Clients!$B$6:$B$105,D437)=0,"Not on Clients",IF(AND(F437="",INT(B437)&lt;TODAY()),"Needs a status","")))))</f>
        <v/>
      </c>
      <c r="I437" s="1">
        <f>IF(ISNUMBER(B437),INT(B437),0)</f>
        <v/>
      </c>
      <c r="J437">
        <f>IF(ISNUMBER(B437),YEAR(B437)*100+MONTH(B437),"")</f>
        <v/>
      </c>
      <c r="K437">
        <f>IF(AND(H437="",OR(F437="Attended",F437="No-show",AND(F437="Late cancel",Settings!$C$9="Yes"))),1,0)</f>
        <v/>
      </c>
      <c r="L437">
        <f>IF(AND(H437="",F437="Attended"),1,0)</f>
        <v/>
      </c>
      <c r="M437">
        <f>IF(AND(H437="",OR(F437="No-show",F437="Late cancel")),1,0)</f>
        <v/>
      </c>
      <c r="N437">
        <f>IF(AND(H437="",F437="",D437&lt;&gt;"",I437&gt;=TODAY()),ROUND((I437+IF(ISNUMBER(C437),MOD(C437,1),0))*1440,0)*10000+ROW(),"")</f>
        <v/>
      </c>
    </row>
    <row r="438">
      <c r="A438" s="1" t="n"/>
      <c r="B438" s="17" t="n"/>
      <c r="C438" s="18" t="n"/>
      <c r="D438" s="19" t="n"/>
      <c r="E438" s="20" t="n"/>
      <c r="F438" s="20" t="n"/>
      <c r="G438" s="21" t="n"/>
      <c r="H438" s="12">
        <f>IF(AND(B438="",D438="",F438=""),"",IF(NOT(ISNUMBER(B438)),"Needs a date",IF(D438="","Needs a client",IF(COUNTIF(Clients!$B$6:$B$105,D438)=0,"Not on Clients",IF(AND(F438="",INT(B438)&lt;TODAY()),"Needs a status","")))))</f>
        <v/>
      </c>
      <c r="I438" s="1">
        <f>IF(ISNUMBER(B438),INT(B438),0)</f>
        <v/>
      </c>
      <c r="J438">
        <f>IF(ISNUMBER(B438),YEAR(B438)*100+MONTH(B438),"")</f>
        <v/>
      </c>
      <c r="K438">
        <f>IF(AND(H438="",OR(F438="Attended",F438="No-show",AND(F438="Late cancel",Settings!$C$9="Yes"))),1,0)</f>
        <v/>
      </c>
      <c r="L438">
        <f>IF(AND(H438="",F438="Attended"),1,0)</f>
        <v/>
      </c>
      <c r="M438">
        <f>IF(AND(H438="",OR(F438="No-show",F438="Late cancel")),1,0)</f>
        <v/>
      </c>
      <c r="N438">
        <f>IF(AND(H438="",F438="",D438&lt;&gt;"",I438&gt;=TODAY()),ROUND((I438+IF(ISNUMBER(C438),MOD(C438,1),0))*1440,0)*10000+ROW(),"")</f>
        <v/>
      </c>
    </row>
    <row r="439">
      <c r="A439" s="1" t="n"/>
      <c r="B439" s="17" t="n"/>
      <c r="C439" s="18" t="n"/>
      <c r="D439" s="19" t="n"/>
      <c r="E439" s="20" t="n"/>
      <c r="F439" s="20" t="n"/>
      <c r="G439" s="21" t="n"/>
      <c r="H439" s="12">
        <f>IF(AND(B439="",D439="",F439=""),"",IF(NOT(ISNUMBER(B439)),"Needs a date",IF(D439="","Needs a client",IF(COUNTIF(Clients!$B$6:$B$105,D439)=0,"Not on Clients",IF(AND(F439="",INT(B439)&lt;TODAY()),"Needs a status","")))))</f>
        <v/>
      </c>
      <c r="I439" s="1">
        <f>IF(ISNUMBER(B439),INT(B439),0)</f>
        <v/>
      </c>
      <c r="J439">
        <f>IF(ISNUMBER(B439),YEAR(B439)*100+MONTH(B439),"")</f>
        <v/>
      </c>
      <c r="K439">
        <f>IF(AND(H439="",OR(F439="Attended",F439="No-show",AND(F439="Late cancel",Settings!$C$9="Yes"))),1,0)</f>
        <v/>
      </c>
      <c r="L439">
        <f>IF(AND(H439="",F439="Attended"),1,0)</f>
        <v/>
      </c>
      <c r="M439">
        <f>IF(AND(H439="",OR(F439="No-show",F439="Late cancel")),1,0)</f>
        <v/>
      </c>
      <c r="N439">
        <f>IF(AND(H439="",F439="",D439&lt;&gt;"",I439&gt;=TODAY()),ROUND((I439+IF(ISNUMBER(C439),MOD(C439,1),0))*1440,0)*10000+ROW(),"")</f>
        <v/>
      </c>
    </row>
    <row r="440">
      <c r="A440" s="1" t="n"/>
      <c r="B440" s="17" t="n"/>
      <c r="C440" s="18" t="n"/>
      <c r="D440" s="19" t="n"/>
      <c r="E440" s="20" t="n"/>
      <c r="F440" s="20" t="n"/>
      <c r="G440" s="21" t="n"/>
      <c r="H440" s="12">
        <f>IF(AND(B440="",D440="",F440=""),"",IF(NOT(ISNUMBER(B440)),"Needs a date",IF(D440="","Needs a client",IF(COUNTIF(Clients!$B$6:$B$105,D440)=0,"Not on Clients",IF(AND(F440="",INT(B440)&lt;TODAY()),"Needs a status","")))))</f>
        <v/>
      </c>
      <c r="I440" s="1">
        <f>IF(ISNUMBER(B440),INT(B440),0)</f>
        <v/>
      </c>
      <c r="J440">
        <f>IF(ISNUMBER(B440),YEAR(B440)*100+MONTH(B440),"")</f>
        <v/>
      </c>
      <c r="K440">
        <f>IF(AND(H440="",OR(F440="Attended",F440="No-show",AND(F440="Late cancel",Settings!$C$9="Yes"))),1,0)</f>
        <v/>
      </c>
      <c r="L440">
        <f>IF(AND(H440="",F440="Attended"),1,0)</f>
        <v/>
      </c>
      <c r="M440">
        <f>IF(AND(H440="",OR(F440="No-show",F440="Late cancel")),1,0)</f>
        <v/>
      </c>
      <c r="N440">
        <f>IF(AND(H440="",F440="",D440&lt;&gt;"",I440&gt;=TODAY()),ROUND((I440+IF(ISNUMBER(C440),MOD(C440,1),0))*1440,0)*10000+ROW(),"")</f>
        <v/>
      </c>
    </row>
    <row r="441">
      <c r="A441" s="1" t="n"/>
      <c r="B441" s="17" t="n"/>
      <c r="C441" s="18" t="n"/>
      <c r="D441" s="19" t="n"/>
      <c r="E441" s="20" t="n"/>
      <c r="F441" s="20" t="n"/>
      <c r="G441" s="21" t="n"/>
      <c r="H441" s="12">
        <f>IF(AND(B441="",D441="",F441=""),"",IF(NOT(ISNUMBER(B441)),"Needs a date",IF(D441="","Needs a client",IF(COUNTIF(Clients!$B$6:$B$105,D441)=0,"Not on Clients",IF(AND(F441="",INT(B441)&lt;TODAY()),"Needs a status","")))))</f>
        <v/>
      </c>
      <c r="I441" s="1">
        <f>IF(ISNUMBER(B441),INT(B441),0)</f>
        <v/>
      </c>
      <c r="J441">
        <f>IF(ISNUMBER(B441),YEAR(B441)*100+MONTH(B441),"")</f>
        <v/>
      </c>
      <c r="K441">
        <f>IF(AND(H441="",OR(F441="Attended",F441="No-show",AND(F441="Late cancel",Settings!$C$9="Yes"))),1,0)</f>
        <v/>
      </c>
      <c r="L441">
        <f>IF(AND(H441="",F441="Attended"),1,0)</f>
        <v/>
      </c>
      <c r="M441">
        <f>IF(AND(H441="",OR(F441="No-show",F441="Late cancel")),1,0)</f>
        <v/>
      </c>
      <c r="N441">
        <f>IF(AND(H441="",F441="",D441&lt;&gt;"",I441&gt;=TODAY()),ROUND((I441+IF(ISNUMBER(C441),MOD(C441,1),0))*1440,0)*10000+ROW(),"")</f>
        <v/>
      </c>
    </row>
    <row r="442">
      <c r="A442" s="1" t="n"/>
      <c r="B442" s="17" t="n"/>
      <c r="C442" s="18" t="n"/>
      <c r="D442" s="19" t="n"/>
      <c r="E442" s="20" t="n"/>
      <c r="F442" s="20" t="n"/>
      <c r="G442" s="21" t="n"/>
      <c r="H442" s="12">
        <f>IF(AND(B442="",D442="",F442=""),"",IF(NOT(ISNUMBER(B442)),"Needs a date",IF(D442="","Needs a client",IF(COUNTIF(Clients!$B$6:$B$105,D442)=0,"Not on Clients",IF(AND(F442="",INT(B442)&lt;TODAY()),"Needs a status","")))))</f>
        <v/>
      </c>
      <c r="I442" s="1">
        <f>IF(ISNUMBER(B442),INT(B442),0)</f>
        <v/>
      </c>
      <c r="J442">
        <f>IF(ISNUMBER(B442),YEAR(B442)*100+MONTH(B442),"")</f>
        <v/>
      </c>
      <c r="K442">
        <f>IF(AND(H442="",OR(F442="Attended",F442="No-show",AND(F442="Late cancel",Settings!$C$9="Yes"))),1,0)</f>
        <v/>
      </c>
      <c r="L442">
        <f>IF(AND(H442="",F442="Attended"),1,0)</f>
        <v/>
      </c>
      <c r="M442">
        <f>IF(AND(H442="",OR(F442="No-show",F442="Late cancel")),1,0)</f>
        <v/>
      </c>
      <c r="N442">
        <f>IF(AND(H442="",F442="",D442&lt;&gt;"",I442&gt;=TODAY()),ROUND((I442+IF(ISNUMBER(C442),MOD(C442,1),0))*1440,0)*10000+ROW(),"")</f>
        <v/>
      </c>
    </row>
    <row r="443">
      <c r="A443" s="1" t="n"/>
      <c r="B443" s="17" t="n"/>
      <c r="C443" s="18" t="n"/>
      <c r="D443" s="19" t="n"/>
      <c r="E443" s="20" t="n"/>
      <c r="F443" s="20" t="n"/>
      <c r="G443" s="21" t="n"/>
      <c r="H443" s="12">
        <f>IF(AND(B443="",D443="",F443=""),"",IF(NOT(ISNUMBER(B443)),"Needs a date",IF(D443="","Needs a client",IF(COUNTIF(Clients!$B$6:$B$105,D443)=0,"Not on Clients",IF(AND(F443="",INT(B443)&lt;TODAY()),"Needs a status","")))))</f>
        <v/>
      </c>
      <c r="I443" s="1">
        <f>IF(ISNUMBER(B443),INT(B443),0)</f>
        <v/>
      </c>
      <c r="J443">
        <f>IF(ISNUMBER(B443),YEAR(B443)*100+MONTH(B443),"")</f>
        <v/>
      </c>
      <c r="K443">
        <f>IF(AND(H443="",OR(F443="Attended",F443="No-show",AND(F443="Late cancel",Settings!$C$9="Yes"))),1,0)</f>
        <v/>
      </c>
      <c r="L443">
        <f>IF(AND(H443="",F443="Attended"),1,0)</f>
        <v/>
      </c>
      <c r="M443">
        <f>IF(AND(H443="",OR(F443="No-show",F443="Late cancel")),1,0)</f>
        <v/>
      </c>
      <c r="N443">
        <f>IF(AND(H443="",F443="",D443&lt;&gt;"",I443&gt;=TODAY()),ROUND((I443+IF(ISNUMBER(C443),MOD(C443,1),0))*1440,0)*10000+ROW(),"")</f>
        <v/>
      </c>
    </row>
    <row r="444">
      <c r="A444" s="1" t="n"/>
      <c r="B444" s="17" t="n"/>
      <c r="C444" s="18" t="n"/>
      <c r="D444" s="19" t="n"/>
      <c r="E444" s="20" t="n"/>
      <c r="F444" s="20" t="n"/>
      <c r="G444" s="21" t="n"/>
      <c r="H444" s="12">
        <f>IF(AND(B444="",D444="",F444=""),"",IF(NOT(ISNUMBER(B444)),"Needs a date",IF(D444="","Needs a client",IF(COUNTIF(Clients!$B$6:$B$105,D444)=0,"Not on Clients",IF(AND(F444="",INT(B444)&lt;TODAY()),"Needs a status","")))))</f>
        <v/>
      </c>
      <c r="I444" s="1">
        <f>IF(ISNUMBER(B444),INT(B444),0)</f>
        <v/>
      </c>
      <c r="J444">
        <f>IF(ISNUMBER(B444),YEAR(B444)*100+MONTH(B444),"")</f>
        <v/>
      </c>
      <c r="K444">
        <f>IF(AND(H444="",OR(F444="Attended",F444="No-show",AND(F444="Late cancel",Settings!$C$9="Yes"))),1,0)</f>
        <v/>
      </c>
      <c r="L444">
        <f>IF(AND(H444="",F444="Attended"),1,0)</f>
        <v/>
      </c>
      <c r="M444">
        <f>IF(AND(H444="",OR(F444="No-show",F444="Late cancel")),1,0)</f>
        <v/>
      </c>
      <c r="N444">
        <f>IF(AND(H444="",F444="",D444&lt;&gt;"",I444&gt;=TODAY()),ROUND((I444+IF(ISNUMBER(C444),MOD(C444,1),0))*1440,0)*10000+ROW(),"")</f>
        <v/>
      </c>
    </row>
    <row r="445">
      <c r="A445" s="1" t="n"/>
      <c r="B445" s="17" t="n"/>
      <c r="C445" s="18" t="n"/>
      <c r="D445" s="19" t="n"/>
      <c r="E445" s="20" t="n"/>
      <c r="F445" s="20" t="n"/>
      <c r="G445" s="21" t="n"/>
      <c r="H445" s="12">
        <f>IF(AND(B445="",D445="",F445=""),"",IF(NOT(ISNUMBER(B445)),"Needs a date",IF(D445="","Needs a client",IF(COUNTIF(Clients!$B$6:$B$105,D445)=0,"Not on Clients",IF(AND(F445="",INT(B445)&lt;TODAY()),"Needs a status","")))))</f>
        <v/>
      </c>
      <c r="I445" s="1">
        <f>IF(ISNUMBER(B445),INT(B445),0)</f>
        <v/>
      </c>
      <c r="J445">
        <f>IF(ISNUMBER(B445),YEAR(B445)*100+MONTH(B445),"")</f>
        <v/>
      </c>
      <c r="K445">
        <f>IF(AND(H445="",OR(F445="Attended",F445="No-show",AND(F445="Late cancel",Settings!$C$9="Yes"))),1,0)</f>
        <v/>
      </c>
      <c r="L445">
        <f>IF(AND(H445="",F445="Attended"),1,0)</f>
        <v/>
      </c>
      <c r="M445">
        <f>IF(AND(H445="",OR(F445="No-show",F445="Late cancel")),1,0)</f>
        <v/>
      </c>
      <c r="N445">
        <f>IF(AND(H445="",F445="",D445&lt;&gt;"",I445&gt;=TODAY()),ROUND((I445+IF(ISNUMBER(C445),MOD(C445,1),0))*1440,0)*10000+ROW(),"")</f>
        <v/>
      </c>
    </row>
    <row r="446">
      <c r="A446" s="1" t="n"/>
      <c r="B446" s="17" t="n"/>
      <c r="C446" s="18" t="n"/>
      <c r="D446" s="19" t="n"/>
      <c r="E446" s="20" t="n"/>
      <c r="F446" s="20" t="n"/>
      <c r="G446" s="21" t="n"/>
      <c r="H446" s="12">
        <f>IF(AND(B446="",D446="",F446=""),"",IF(NOT(ISNUMBER(B446)),"Needs a date",IF(D446="","Needs a client",IF(COUNTIF(Clients!$B$6:$B$105,D446)=0,"Not on Clients",IF(AND(F446="",INT(B446)&lt;TODAY()),"Needs a status","")))))</f>
        <v/>
      </c>
      <c r="I446" s="1">
        <f>IF(ISNUMBER(B446),INT(B446),0)</f>
        <v/>
      </c>
      <c r="J446">
        <f>IF(ISNUMBER(B446),YEAR(B446)*100+MONTH(B446),"")</f>
        <v/>
      </c>
      <c r="K446">
        <f>IF(AND(H446="",OR(F446="Attended",F446="No-show",AND(F446="Late cancel",Settings!$C$9="Yes"))),1,0)</f>
        <v/>
      </c>
      <c r="L446">
        <f>IF(AND(H446="",F446="Attended"),1,0)</f>
        <v/>
      </c>
      <c r="M446">
        <f>IF(AND(H446="",OR(F446="No-show",F446="Late cancel")),1,0)</f>
        <v/>
      </c>
      <c r="N446">
        <f>IF(AND(H446="",F446="",D446&lt;&gt;"",I446&gt;=TODAY()),ROUND((I446+IF(ISNUMBER(C446),MOD(C446,1),0))*1440,0)*10000+ROW(),"")</f>
        <v/>
      </c>
    </row>
    <row r="447">
      <c r="A447" s="1" t="n"/>
      <c r="B447" s="17" t="n"/>
      <c r="C447" s="18" t="n"/>
      <c r="D447" s="19" t="n"/>
      <c r="E447" s="20" t="n"/>
      <c r="F447" s="20" t="n"/>
      <c r="G447" s="21" t="n"/>
      <c r="H447" s="12">
        <f>IF(AND(B447="",D447="",F447=""),"",IF(NOT(ISNUMBER(B447)),"Needs a date",IF(D447="","Needs a client",IF(COUNTIF(Clients!$B$6:$B$105,D447)=0,"Not on Clients",IF(AND(F447="",INT(B447)&lt;TODAY()),"Needs a status","")))))</f>
        <v/>
      </c>
      <c r="I447" s="1">
        <f>IF(ISNUMBER(B447),INT(B447),0)</f>
        <v/>
      </c>
      <c r="J447">
        <f>IF(ISNUMBER(B447),YEAR(B447)*100+MONTH(B447),"")</f>
        <v/>
      </c>
      <c r="K447">
        <f>IF(AND(H447="",OR(F447="Attended",F447="No-show",AND(F447="Late cancel",Settings!$C$9="Yes"))),1,0)</f>
        <v/>
      </c>
      <c r="L447">
        <f>IF(AND(H447="",F447="Attended"),1,0)</f>
        <v/>
      </c>
      <c r="M447">
        <f>IF(AND(H447="",OR(F447="No-show",F447="Late cancel")),1,0)</f>
        <v/>
      </c>
      <c r="N447">
        <f>IF(AND(H447="",F447="",D447&lt;&gt;"",I447&gt;=TODAY()),ROUND((I447+IF(ISNUMBER(C447),MOD(C447,1),0))*1440,0)*10000+ROW(),"")</f>
        <v/>
      </c>
    </row>
    <row r="448">
      <c r="A448" s="1" t="n"/>
      <c r="B448" s="17" t="n"/>
      <c r="C448" s="18" t="n"/>
      <c r="D448" s="19" t="n"/>
      <c r="E448" s="20" t="n"/>
      <c r="F448" s="20" t="n"/>
      <c r="G448" s="21" t="n"/>
      <c r="H448" s="12">
        <f>IF(AND(B448="",D448="",F448=""),"",IF(NOT(ISNUMBER(B448)),"Needs a date",IF(D448="","Needs a client",IF(COUNTIF(Clients!$B$6:$B$105,D448)=0,"Not on Clients",IF(AND(F448="",INT(B448)&lt;TODAY()),"Needs a status","")))))</f>
        <v/>
      </c>
      <c r="I448" s="1">
        <f>IF(ISNUMBER(B448),INT(B448),0)</f>
        <v/>
      </c>
      <c r="J448">
        <f>IF(ISNUMBER(B448),YEAR(B448)*100+MONTH(B448),"")</f>
        <v/>
      </c>
      <c r="K448">
        <f>IF(AND(H448="",OR(F448="Attended",F448="No-show",AND(F448="Late cancel",Settings!$C$9="Yes"))),1,0)</f>
        <v/>
      </c>
      <c r="L448">
        <f>IF(AND(H448="",F448="Attended"),1,0)</f>
        <v/>
      </c>
      <c r="M448">
        <f>IF(AND(H448="",OR(F448="No-show",F448="Late cancel")),1,0)</f>
        <v/>
      </c>
      <c r="N448">
        <f>IF(AND(H448="",F448="",D448&lt;&gt;"",I448&gt;=TODAY()),ROUND((I448+IF(ISNUMBER(C448),MOD(C448,1),0))*1440,0)*10000+ROW(),"")</f>
        <v/>
      </c>
    </row>
    <row r="449">
      <c r="A449" s="1" t="n"/>
      <c r="B449" s="17" t="n"/>
      <c r="C449" s="18" t="n"/>
      <c r="D449" s="19" t="n"/>
      <c r="E449" s="20" t="n"/>
      <c r="F449" s="20" t="n"/>
      <c r="G449" s="21" t="n"/>
      <c r="H449" s="12">
        <f>IF(AND(B449="",D449="",F449=""),"",IF(NOT(ISNUMBER(B449)),"Needs a date",IF(D449="","Needs a client",IF(COUNTIF(Clients!$B$6:$B$105,D449)=0,"Not on Clients",IF(AND(F449="",INT(B449)&lt;TODAY()),"Needs a status","")))))</f>
        <v/>
      </c>
      <c r="I449" s="1">
        <f>IF(ISNUMBER(B449),INT(B449),0)</f>
        <v/>
      </c>
      <c r="J449">
        <f>IF(ISNUMBER(B449),YEAR(B449)*100+MONTH(B449),"")</f>
        <v/>
      </c>
      <c r="K449">
        <f>IF(AND(H449="",OR(F449="Attended",F449="No-show",AND(F449="Late cancel",Settings!$C$9="Yes"))),1,0)</f>
        <v/>
      </c>
      <c r="L449">
        <f>IF(AND(H449="",F449="Attended"),1,0)</f>
        <v/>
      </c>
      <c r="M449">
        <f>IF(AND(H449="",OR(F449="No-show",F449="Late cancel")),1,0)</f>
        <v/>
      </c>
      <c r="N449">
        <f>IF(AND(H449="",F449="",D449&lt;&gt;"",I449&gt;=TODAY()),ROUND((I449+IF(ISNUMBER(C449),MOD(C449,1),0))*1440,0)*10000+ROW(),"")</f>
        <v/>
      </c>
    </row>
    <row r="450">
      <c r="A450" s="1" t="n"/>
      <c r="B450" s="17" t="n"/>
      <c r="C450" s="18" t="n"/>
      <c r="D450" s="19" t="n"/>
      <c r="E450" s="20" t="n"/>
      <c r="F450" s="20" t="n"/>
      <c r="G450" s="21" t="n"/>
      <c r="H450" s="12">
        <f>IF(AND(B450="",D450="",F450=""),"",IF(NOT(ISNUMBER(B450)),"Needs a date",IF(D450="","Needs a client",IF(COUNTIF(Clients!$B$6:$B$105,D450)=0,"Not on Clients",IF(AND(F450="",INT(B450)&lt;TODAY()),"Needs a status","")))))</f>
        <v/>
      </c>
      <c r="I450" s="1">
        <f>IF(ISNUMBER(B450),INT(B450),0)</f>
        <v/>
      </c>
      <c r="J450">
        <f>IF(ISNUMBER(B450),YEAR(B450)*100+MONTH(B450),"")</f>
        <v/>
      </c>
      <c r="K450">
        <f>IF(AND(H450="",OR(F450="Attended",F450="No-show",AND(F450="Late cancel",Settings!$C$9="Yes"))),1,0)</f>
        <v/>
      </c>
      <c r="L450">
        <f>IF(AND(H450="",F450="Attended"),1,0)</f>
        <v/>
      </c>
      <c r="M450">
        <f>IF(AND(H450="",OR(F450="No-show",F450="Late cancel")),1,0)</f>
        <v/>
      </c>
      <c r="N450">
        <f>IF(AND(H450="",F450="",D450&lt;&gt;"",I450&gt;=TODAY()),ROUND((I450+IF(ISNUMBER(C450),MOD(C450,1),0))*1440,0)*10000+ROW(),"")</f>
        <v/>
      </c>
    </row>
    <row r="451">
      <c r="A451" s="1" t="n"/>
      <c r="B451" s="17" t="n"/>
      <c r="C451" s="18" t="n"/>
      <c r="D451" s="19" t="n"/>
      <c r="E451" s="20" t="n"/>
      <c r="F451" s="20" t="n"/>
      <c r="G451" s="21" t="n"/>
      <c r="H451" s="12">
        <f>IF(AND(B451="",D451="",F451=""),"",IF(NOT(ISNUMBER(B451)),"Needs a date",IF(D451="","Needs a client",IF(COUNTIF(Clients!$B$6:$B$105,D451)=0,"Not on Clients",IF(AND(F451="",INT(B451)&lt;TODAY()),"Needs a status","")))))</f>
        <v/>
      </c>
      <c r="I451" s="1">
        <f>IF(ISNUMBER(B451),INT(B451),0)</f>
        <v/>
      </c>
      <c r="J451">
        <f>IF(ISNUMBER(B451),YEAR(B451)*100+MONTH(B451),"")</f>
        <v/>
      </c>
      <c r="K451">
        <f>IF(AND(H451="",OR(F451="Attended",F451="No-show",AND(F451="Late cancel",Settings!$C$9="Yes"))),1,0)</f>
        <v/>
      </c>
      <c r="L451">
        <f>IF(AND(H451="",F451="Attended"),1,0)</f>
        <v/>
      </c>
      <c r="M451">
        <f>IF(AND(H451="",OR(F451="No-show",F451="Late cancel")),1,0)</f>
        <v/>
      </c>
      <c r="N451">
        <f>IF(AND(H451="",F451="",D451&lt;&gt;"",I451&gt;=TODAY()),ROUND((I451+IF(ISNUMBER(C451),MOD(C451,1),0))*1440,0)*10000+ROW(),"")</f>
        <v/>
      </c>
    </row>
    <row r="452">
      <c r="A452" s="1" t="n"/>
      <c r="B452" s="17" t="n"/>
      <c r="C452" s="18" t="n"/>
      <c r="D452" s="19" t="n"/>
      <c r="E452" s="20" t="n"/>
      <c r="F452" s="20" t="n"/>
      <c r="G452" s="21" t="n"/>
      <c r="H452" s="12">
        <f>IF(AND(B452="",D452="",F452=""),"",IF(NOT(ISNUMBER(B452)),"Needs a date",IF(D452="","Needs a client",IF(COUNTIF(Clients!$B$6:$B$105,D452)=0,"Not on Clients",IF(AND(F452="",INT(B452)&lt;TODAY()),"Needs a status","")))))</f>
        <v/>
      </c>
      <c r="I452" s="1">
        <f>IF(ISNUMBER(B452),INT(B452),0)</f>
        <v/>
      </c>
      <c r="J452">
        <f>IF(ISNUMBER(B452),YEAR(B452)*100+MONTH(B452),"")</f>
        <v/>
      </c>
      <c r="K452">
        <f>IF(AND(H452="",OR(F452="Attended",F452="No-show",AND(F452="Late cancel",Settings!$C$9="Yes"))),1,0)</f>
        <v/>
      </c>
      <c r="L452">
        <f>IF(AND(H452="",F452="Attended"),1,0)</f>
        <v/>
      </c>
      <c r="M452">
        <f>IF(AND(H452="",OR(F452="No-show",F452="Late cancel")),1,0)</f>
        <v/>
      </c>
      <c r="N452">
        <f>IF(AND(H452="",F452="",D452&lt;&gt;"",I452&gt;=TODAY()),ROUND((I452+IF(ISNUMBER(C452),MOD(C452,1),0))*1440,0)*10000+ROW(),"")</f>
        <v/>
      </c>
    </row>
    <row r="453">
      <c r="A453" s="1" t="n"/>
      <c r="B453" s="17" t="n"/>
      <c r="C453" s="18" t="n"/>
      <c r="D453" s="19" t="n"/>
      <c r="E453" s="20" t="n"/>
      <c r="F453" s="20" t="n"/>
      <c r="G453" s="21" t="n"/>
      <c r="H453" s="12">
        <f>IF(AND(B453="",D453="",F453=""),"",IF(NOT(ISNUMBER(B453)),"Needs a date",IF(D453="","Needs a client",IF(COUNTIF(Clients!$B$6:$B$105,D453)=0,"Not on Clients",IF(AND(F453="",INT(B453)&lt;TODAY()),"Needs a status","")))))</f>
        <v/>
      </c>
      <c r="I453" s="1">
        <f>IF(ISNUMBER(B453),INT(B453),0)</f>
        <v/>
      </c>
      <c r="J453">
        <f>IF(ISNUMBER(B453),YEAR(B453)*100+MONTH(B453),"")</f>
        <v/>
      </c>
      <c r="K453">
        <f>IF(AND(H453="",OR(F453="Attended",F453="No-show",AND(F453="Late cancel",Settings!$C$9="Yes"))),1,0)</f>
        <v/>
      </c>
      <c r="L453">
        <f>IF(AND(H453="",F453="Attended"),1,0)</f>
        <v/>
      </c>
      <c r="M453">
        <f>IF(AND(H453="",OR(F453="No-show",F453="Late cancel")),1,0)</f>
        <v/>
      </c>
      <c r="N453">
        <f>IF(AND(H453="",F453="",D453&lt;&gt;"",I453&gt;=TODAY()),ROUND((I453+IF(ISNUMBER(C453),MOD(C453,1),0))*1440,0)*10000+ROW(),"")</f>
        <v/>
      </c>
    </row>
    <row r="454">
      <c r="A454" s="1" t="n"/>
      <c r="B454" s="17" t="n"/>
      <c r="C454" s="18" t="n"/>
      <c r="D454" s="19" t="n"/>
      <c r="E454" s="20" t="n"/>
      <c r="F454" s="20" t="n"/>
      <c r="G454" s="21" t="n"/>
      <c r="H454" s="12">
        <f>IF(AND(B454="",D454="",F454=""),"",IF(NOT(ISNUMBER(B454)),"Needs a date",IF(D454="","Needs a client",IF(COUNTIF(Clients!$B$6:$B$105,D454)=0,"Not on Clients",IF(AND(F454="",INT(B454)&lt;TODAY()),"Needs a status","")))))</f>
        <v/>
      </c>
      <c r="I454" s="1">
        <f>IF(ISNUMBER(B454),INT(B454),0)</f>
        <v/>
      </c>
      <c r="J454">
        <f>IF(ISNUMBER(B454),YEAR(B454)*100+MONTH(B454),"")</f>
        <v/>
      </c>
      <c r="K454">
        <f>IF(AND(H454="",OR(F454="Attended",F454="No-show",AND(F454="Late cancel",Settings!$C$9="Yes"))),1,0)</f>
        <v/>
      </c>
      <c r="L454">
        <f>IF(AND(H454="",F454="Attended"),1,0)</f>
        <v/>
      </c>
      <c r="M454">
        <f>IF(AND(H454="",OR(F454="No-show",F454="Late cancel")),1,0)</f>
        <v/>
      </c>
      <c r="N454">
        <f>IF(AND(H454="",F454="",D454&lt;&gt;"",I454&gt;=TODAY()),ROUND((I454+IF(ISNUMBER(C454),MOD(C454,1),0))*1440,0)*10000+ROW(),"")</f>
        <v/>
      </c>
    </row>
    <row r="455">
      <c r="A455" s="1" t="n"/>
      <c r="B455" s="17" t="n"/>
      <c r="C455" s="18" t="n"/>
      <c r="D455" s="19" t="n"/>
      <c r="E455" s="20" t="n"/>
      <c r="F455" s="20" t="n"/>
      <c r="G455" s="21" t="n"/>
      <c r="H455" s="12">
        <f>IF(AND(B455="",D455="",F455=""),"",IF(NOT(ISNUMBER(B455)),"Needs a date",IF(D455="","Needs a client",IF(COUNTIF(Clients!$B$6:$B$105,D455)=0,"Not on Clients",IF(AND(F455="",INT(B455)&lt;TODAY()),"Needs a status","")))))</f>
        <v/>
      </c>
      <c r="I455" s="1">
        <f>IF(ISNUMBER(B455),INT(B455),0)</f>
        <v/>
      </c>
      <c r="J455">
        <f>IF(ISNUMBER(B455),YEAR(B455)*100+MONTH(B455),"")</f>
        <v/>
      </c>
      <c r="K455">
        <f>IF(AND(H455="",OR(F455="Attended",F455="No-show",AND(F455="Late cancel",Settings!$C$9="Yes"))),1,0)</f>
        <v/>
      </c>
      <c r="L455">
        <f>IF(AND(H455="",F455="Attended"),1,0)</f>
        <v/>
      </c>
      <c r="M455">
        <f>IF(AND(H455="",OR(F455="No-show",F455="Late cancel")),1,0)</f>
        <v/>
      </c>
      <c r="N455">
        <f>IF(AND(H455="",F455="",D455&lt;&gt;"",I455&gt;=TODAY()),ROUND((I455+IF(ISNUMBER(C455),MOD(C455,1),0))*1440,0)*10000+ROW(),"")</f>
        <v/>
      </c>
    </row>
    <row r="456">
      <c r="A456" s="1" t="n"/>
      <c r="B456" s="17" t="n"/>
      <c r="C456" s="18" t="n"/>
      <c r="D456" s="19" t="n"/>
      <c r="E456" s="20" t="n"/>
      <c r="F456" s="20" t="n"/>
      <c r="G456" s="21" t="n"/>
      <c r="H456" s="12">
        <f>IF(AND(B456="",D456="",F456=""),"",IF(NOT(ISNUMBER(B456)),"Needs a date",IF(D456="","Needs a client",IF(COUNTIF(Clients!$B$6:$B$105,D456)=0,"Not on Clients",IF(AND(F456="",INT(B456)&lt;TODAY()),"Needs a status","")))))</f>
        <v/>
      </c>
      <c r="I456" s="1">
        <f>IF(ISNUMBER(B456),INT(B456),0)</f>
        <v/>
      </c>
      <c r="J456">
        <f>IF(ISNUMBER(B456),YEAR(B456)*100+MONTH(B456),"")</f>
        <v/>
      </c>
      <c r="K456">
        <f>IF(AND(H456="",OR(F456="Attended",F456="No-show",AND(F456="Late cancel",Settings!$C$9="Yes"))),1,0)</f>
        <v/>
      </c>
      <c r="L456">
        <f>IF(AND(H456="",F456="Attended"),1,0)</f>
        <v/>
      </c>
      <c r="M456">
        <f>IF(AND(H456="",OR(F456="No-show",F456="Late cancel")),1,0)</f>
        <v/>
      </c>
      <c r="N456">
        <f>IF(AND(H456="",F456="",D456&lt;&gt;"",I456&gt;=TODAY()),ROUND((I456+IF(ISNUMBER(C456),MOD(C456,1),0))*1440,0)*10000+ROW(),"")</f>
        <v/>
      </c>
    </row>
    <row r="457">
      <c r="A457" s="1" t="n"/>
      <c r="B457" s="17" t="n"/>
      <c r="C457" s="18" t="n"/>
      <c r="D457" s="19" t="n"/>
      <c r="E457" s="20" t="n"/>
      <c r="F457" s="20" t="n"/>
      <c r="G457" s="21" t="n"/>
      <c r="H457" s="12">
        <f>IF(AND(B457="",D457="",F457=""),"",IF(NOT(ISNUMBER(B457)),"Needs a date",IF(D457="","Needs a client",IF(COUNTIF(Clients!$B$6:$B$105,D457)=0,"Not on Clients",IF(AND(F457="",INT(B457)&lt;TODAY()),"Needs a status","")))))</f>
        <v/>
      </c>
      <c r="I457" s="1">
        <f>IF(ISNUMBER(B457),INT(B457),0)</f>
        <v/>
      </c>
      <c r="J457">
        <f>IF(ISNUMBER(B457),YEAR(B457)*100+MONTH(B457),"")</f>
        <v/>
      </c>
      <c r="K457">
        <f>IF(AND(H457="",OR(F457="Attended",F457="No-show",AND(F457="Late cancel",Settings!$C$9="Yes"))),1,0)</f>
        <v/>
      </c>
      <c r="L457">
        <f>IF(AND(H457="",F457="Attended"),1,0)</f>
        <v/>
      </c>
      <c r="M457">
        <f>IF(AND(H457="",OR(F457="No-show",F457="Late cancel")),1,0)</f>
        <v/>
      </c>
      <c r="N457">
        <f>IF(AND(H457="",F457="",D457&lt;&gt;"",I457&gt;=TODAY()),ROUND((I457+IF(ISNUMBER(C457),MOD(C457,1),0))*1440,0)*10000+ROW(),"")</f>
        <v/>
      </c>
    </row>
    <row r="458">
      <c r="A458" s="1" t="n"/>
      <c r="B458" s="17" t="n"/>
      <c r="C458" s="18" t="n"/>
      <c r="D458" s="19" t="n"/>
      <c r="E458" s="20" t="n"/>
      <c r="F458" s="20" t="n"/>
      <c r="G458" s="21" t="n"/>
      <c r="H458" s="12">
        <f>IF(AND(B458="",D458="",F458=""),"",IF(NOT(ISNUMBER(B458)),"Needs a date",IF(D458="","Needs a client",IF(COUNTIF(Clients!$B$6:$B$105,D458)=0,"Not on Clients",IF(AND(F458="",INT(B458)&lt;TODAY()),"Needs a status","")))))</f>
        <v/>
      </c>
      <c r="I458" s="1">
        <f>IF(ISNUMBER(B458),INT(B458),0)</f>
        <v/>
      </c>
      <c r="J458">
        <f>IF(ISNUMBER(B458),YEAR(B458)*100+MONTH(B458),"")</f>
        <v/>
      </c>
      <c r="K458">
        <f>IF(AND(H458="",OR(F458="Attended",F458="No-show",AND(F458="Late cancel",Settings!$C$9="Yes"))),1,0)</f>
        <v/>
      </c>
      <c r="L458">
        <f>IF(AND(H458="",F458="Attended"),1,0)</f>
        <v/>
      </c>
      <c r="M458">
        <f>IF(AND(H458="",OR(F458="No-show",F458="Late cancel")),1,0)</f>
        <v/>
      </c>
      <c r="N458">
        <f>IF(AND(H458="",F458="",D458&lt;&gt;"",I458&gt;=TODAY()),ROUND((I458+IF(ISNUMBER(C458),MOD(C458,1),0))*1440,0)*10000+ROW(),"")</f>
        <v/>
      </c>
    </row>
    <row r="459">
      <c r="A459" s="1" t="n"/>
      <c r="B459" s="17" t="n"/>
      <c r="C459" s="18" t="n"/>
      <c r="D459" s="19" t="n"/>
      <c r="E459" s="20" t="n"/>
      <c r="F459" s="20" t="n"/>
      <c r="G459" s="21" t="n"/>
      <c r="H459" s="12">
        <f>IF(AND(B459="",D459="",F459=""),"",IF(NOT(ISNUMBER(B459)),"Needs a date",IF(D459="","Needs a client",IF(COUNTIF(Clients!$B$6:$B$105,D459)=0,"Not on Clients",IF(AND(F459="",INT(B459)&lt;TODAY()),"Needs a status","")))))</f>
        <v/>
      </c>
      <c r="I459" s="1">
        <f>IF(ISNUMBER(B459),INT(B459),0)</f>
        <v/>
      </c>
      <c r="J459">
        <f>IF(ISNUMBER(B459),YEAR(B459)*100+MONTH(B459),"")</f>
        <v/>
      </c>
      <c r="K459">
        <f>IF(AND(H459="",OR(F459="Attended",F459="No-show",AND(F459="Late cancel",Settings!$C$9="Yes"))),1,0)</f>
        <v/>
      </c>
      <c r="L459">
        <f>IF(AND(H459="",F459="Attended"),1,0)</f>
        <v/>
      </c>
      <c r="M459">
        <f>IF(AND(H459="",OR(F459="No-show",F459="Late cancel")),1,0)</f>
        <v/>
      </c>
      <c r="N459">
        <f>IF(AND(H459="",F459="",D459&lt;&gt;"",I459&gt;=TODAY()),ROUND((I459+IF(ISNUMBER(C459),MOD(C459,1),0))*1440,0)*10000+ROW(),"")</f>
        <v/>
      </c>
    </row>
    <row r="460">
      <c r="A460" s="1" t="n"/>
      <c r="B460" s="17" t="n"/>
      <c r="C460" s="18" t="n"/>
      <c r="D460" s="19" t="n"/>
      <c r="E460" s="20" t="n"/>
      <c r="F460" s="20" t="n"/>
      <c r="G460" s="21" t="n"/>
      <c r="H460" s="12">
        <f>IF(AND(B460="",D460="",F460=""),"",IF(NOT(ISNUMBER(B460)),"Needs a date",IF(D460="","Needs a client",IF(COUNTIF(Clients!$B$6:$B$105,D460)=0,"Not on Clients",IF(AND(F460="",INT(B460)&lt;TODAY()),"Needs a status","")))))</f>
        <v/>
      </c>
      <c r="I460" s="1">
        <f>IF(ISNUMBER(B460),INT(B460),0)</f>
        <v/>
      </c>
      <c r="J460">
        <f>IF(ISNUMBER(B460),YEAR(B460)*100+MONTH(B460),"")</f>
        <v/>
      </c>
      <c r="K460">
        <f>IF(AND(H460="",OR(F460="Attended",F460="No-show",AND(F460="Late cancel",Settings!$C$9="Yes"))),1,0)</f>
        <v/>
      </c>
      <c r="L460">
        <f>IF(AND(H460="",F460="Attended"),1,0)</f>
        <v/>
      </c>
      <c r="M460">
        <f>IF(AND(H460="",OR(F460="No-show",F460="Late cancel")),1,0)</f>
        <v/>
      </c>
      <c r="N460">
        <f>IF(AND(H460="",F460="",D460&lt;&gt;"",I460&gt;=TODAY()),ROUND((I460+IF(ISNUMBER(C460),MOD(C460,1),0))*1440,0)*10000+ROW(),"")</f>
        <v/>
      </c>
    </row>
    <row r="461">
      <c r="A461" s="1" t="n"/>
      <c r="B461" s="17" t="n"/>
      <c r="C461" s="18" t="n"/>
      <c r="D461" s="19" t="n"/>
      <c r="E461" s="20" t="n"/>
      <c r="F461" s="20" t="n"/>
      <c r="G461" s="21" t="n"/>
      <c r="H461" s="12">
        <f>IF(AND(B461="",D461="",F461=""),"",IF(NOT(ISNUMBER(B461)),"Needs a date",IF(D461="","Needs a client",IF(COUNTIF(Clients!$B$6:$B$105,D461)=0,"Not on Clients",IF(AND(F461="",INT(B461)&lt;TODAY()),"Needs a status","")))))</f>
        <v/>
      </c>
      <c r="I461" s="1">
        <f>IF(ISNUMBER(B461),INT(B461),0)</f>
        <v/>
      </c>
      <c r="J461">
        <f>IF(ISNUMBER(B461),YEAR(B461)*100+MONTH(B461),"")</f>
        <v/>
      </c>
      <c r="K461">
        <f>IF(AND(H461="",OR(F461="Attended",F461="No-show",AND(F461="Late cancel",Settings!$C$9="Yes"))),1,0)</f>
        <v/>
      </c>
      <c r="L461">
        <f>IF(AND(H461="",F461="Attended"),1,0)</f>
        <v/>
      </c>
      <c r="M461">
        <f>IF(AND(H461="",OR(F461="No-show",F461="Late cancel")),1,0)</f>
        <v/>
      </c>
      <c r="N461">
        <f>IF(AND(H461="",F461="",D461&lt;&gt;"",I461&gt;=TODAY()),ROUND((I461+IF(ISNUMBER(C461),MOD(C461,1),0))*1440,0)*10000+ROW(),"")</f>
        <v/>
      </c>
    </row>
    <row r="462">
      <c r="A462" s="1" t="n"/>
      <c r="B462" s="17" t="n"/>
      <c r="C462" s="18" t="n"/>
      <c r="D462" s="19" t="n"/>
      <c r="E462" s="20" t="n"/>
      <c r="F462" s="20" t="n"/>
      <c r="G462" s="21" t="n"/>
      <c r="H462" s="12">
        <f>IF(AND(B462="",D462="",F462=""),"",IF(NOT(ISNUMBER(B462)),"Needs a date",IF(D462="","Needs a client",IF(COUNTIF(Clients!$B$6:$B$105,D462)=0,"Not on Clients",IF(AND(F462="",INT(B462)&lt;TODAY()),"Needs a status","")))))</f>
        <v/>
      </c>
      <c r="I462" s="1">
        <f>IF(ISNUMBER(B462),INT(B462),0)</f>
        <v/>
      </c>
      <c r="J462">
        <f>IF(ISNUMBER(B462),YEAR(B462)*100+MONTH(B462),"")</f>
        <v/>
      </c>
      <c r="K462">
        <f>IF(AND(H462="",OR(F462="Attended",F462="No-show",AND(F462="Late cancel",Settings!$C$9="Yes"))),1,0)</f>
        <v/>
      </c>
      <c r="L462">
        <f>IF(AND(H462="",F462="Attended"),1,0)</f>
        <v/>
      </c>
      <c r="M462">
        <f>IF(AND(H462="",OR(F462="No-show",F462="Late cancel")),1,0)</f>
        <v/>
      </c>
      <c r="N462">
        <f>IF(AND(H462="",F462="",D462&lt;&gt;"",I462&gt;=TODAY()),ROUND((I462+IF(ISNUMBER(C462),MOD(C462,1),0))*1440,0)*10000+ROW(),"")</f>
        <v/>
      </c>
    </row>
    <row r="463">
      <c r="A463" s="1" t="n"/>
      <c r="B463" s="17" t="n"/>
      <c r="C463" s="18" t="n"/>
      <c r="D463" s="19" t="n"/>
      <c r="E463" s="20" t="n"/>
      <c r="F463" s="20" t="n"/>
      <c r="G463" s="21" t="n"/>
      <c r="H463" s="12">
        <f>IF(AND(B463="",D463="",F463=""),"",IF(NOT(ISNUMBER(B463)),"Needs a date",IF(D463="","Needs a client",IF(COUNTIF(Clients!$B$6:$B$105,D463)=0,"Not on Clients",IF(AND(F463="",INT(B463)&lt;TODAY()),"Needs a status","")))))</f>
        <v/>
      </c>
      <c r="I463" s="1">
        <f>IF(ISNUMBER(B463),INT(B463),0)</f>
        <v/>
      </c>
      <c r="J463">
        <f>IF(ISNUMBER(B463),YEAR(B463)*100+MONTH(B463),"")</f>
        <v/>
      </c>
      <c r="K463">
        <f>IF(AND(H463="",OR(F463="Attended",F463="No-show",AND(F463="Late cancel",Settings!$C$9="Yes"))),1,0)</f>
        <v/>
      </c>
      <c r="L463">
        <f>IF(AND(H463="",F463="Attended"),1,0)</f>
        <v/>
      </c>
      <c r="M463">
        <f>IF(AND(H463="",OR(F463="No-show",F463="Late cancel")),1,0)</f>
        <v/>
      </c>
      <c r="N463">
        <f>IF(AND(H463="",F463="",D463&lt;&gt;"",I463&gt;=TODAY()),ROUND((I463+IF(ISNUMBER(C463),MOD(C463,1),0))*1440,0)*10000+ROW(),"")</f>
        <v/>
      </c>
    </row>
    <row r="464">
      <c r="A464" s="1" t="n"/>
      <c r="B464" s="17" t="n"/>
      <c r="C464" s="18" t="n"/>
      <c r="D464" s="19" t="n"/>
      <c r="E464" s="20" t="n"/>
      <c r="F464" s="20" t="n"/>
      <c r="G464" s="21" t="n"/>
      <c r="H464" s="12">
        <f>IF(AND(B464="",D464="",F464=""),"",IF(NOT(ISNUMBER(B464)),"Needs a date",IF(D464="","Needs a client",IF(COUNTIF(Clients!$B$6:$B$105,D464)=0,"Not on Clients",IF(AND(F464="",INT(B464)&lt;TODAY()),"Needs a status","")))))</f>
        <v/>
      </c>
      <c r="I464" s="1">
        <f>IF(ISNUMBER(B464),INT(B464),0)</f>
        <v/>
      </c>
      <c r="J464">
        <f>IF(ISNUMBER(B464),YEAR(B464)*100+MONTH(B464),"")</f>
        <v/>
      </c>
      <c r="K464">
        <f>IF(AND(H464="",OR(F464="Attended",F464="No-show",AND(F464="Late cancel",Settings!$C$9="Yes"))),1,0)</f>
        <v/>
      </c>
      <c r="L464">
        <f>IF(AND(H464="",F464="Attended"),1,0)</f>
        <v/>
      </c>
      <c r="M464">
        <f>IF(AND(H464="",OR(F464="No-show",F464="Late cancel")),1,0)</f>
        <v/>
      </c>
      <c r="N464">
        <f>IF(AND(H464="",F464="",D464&lt;&gt;"",I464&gt;=TODAY()),ROUND((I464+IF(ISNUMBER(C464),MOD(C464,1),0))*1440,0)*10000+ROW(),"")</f>
        <v/>
      </c>
    </row>
    <row r="465">
      <c r="A465" s="1" t="n"/>
      <c r="B465" s="17" t="n"/>
      <c r="C465" s="18" t="n"/>
      <c r="D465" s="19" t="n"/>
      <c r="E465" s="20" t="n"/>
      <c r="F465" s="20" t="n"/>
      <c r="G465" s="21" t="n"/>
      <c r="H465" s="12">
        <f>IF(AND(B465="",D465="",F465=""),"",IF(NOT(ISNUMBER(B465)),"Needs a date",IF(D465="","Needs a client",IF(COUNTIF(Clients!$B$6:$B$105,D465)=0,"Not on Clients",IF(AND(F465="",INT(B465)&lt;TODAY()),"Needs a status","")))))</f>
        <v/>
      </c>
      <c r="I465" s="1">
        <f>IF(ISNUMBER(B465),INT(B465),0)</f>
        <v/>
      </c>
      <c r="J465">
        <f>IF(ISNUMBER(B465),YEAR(B465)*100+MONTH(B465),"")</f>
        <v/>
      </c>
      <c r="K465">
        <f>IF(AND(H465="",OR(F465="Attended",F465="No-show",AND(F465="Late cancel",Settings!$C$9="Yes"))),1,0)</f>
        <v/>
      </c>
      <c r="L465">
        <f>IF(AND(H465="",F465="Attended"),1,0)</f>
        <v/>
      </c>
      <c r="M465">
        <f>IF(AND(H465="",OR(F465="No-show",F465="Late cancel")),1,0)</f>
        <v/>
      </c>
      <c r="N465">
        <f>IF(AND(H465="",F465="",D465&lt;&gt;"",I465&gt;=TODAY()),ROUND((I465+IF(ISNUMBER(C465),MOD(C465,1),0))*1440,0)*10000+ROW(),"")</f>
        <v/>
      </c>
    </row>
    <row r="466">
      <c r="A466" s="1" t="n"/>
      <c r="B466" s="17" t="n"/>
      <c r="C466" s="18" t="n"/>
      <c r="D466" s="19" t="n"/>
      <c r="E466" s="20" t="n"/>
      <c r="F466" s="20" t="n"/>
      <c r="G466" s="21" t="n"/>
      <c r="H466" s="12">
        <f>IF(AND(B466="",D466="",F466=""),"",IF(NOT(ISNUMBER(B466)),"Needs a date",IF(D466="","Needs a client",IF(COUNTIF(Clients!$B$6:$B$105,D466)=0,"Not on Clients",IF(AND(F466="",INT(B466)&lt;TODAY()),"Needs a status","")))))</f>
        <v/>
      </c>
      <c r="I466" s="1">
        <f>IF(ISNUMBER(B466),INT(B466),0)</f>
        <v/>
      </c>
      <c r="J466">
        <f>IF(ISNUMBER(B466),YEAR(B466)*100+MONTH(B466),"")</f>
        <v/>
      </c>
      <c r="K466">
        <f>IF(AND(H466="",OR(F466="Attended",F466="No-show",AND(F466="Late cancel",Settings!$C$9="Yes"))),1,0)</f>
        <v/>
      </c>
      <c r="L466">
        <f>IF(AND(H466="",F466="Attended"),1,0)</f>
        <v/>
      </c>
      <c r="M466">
        <f>IF(AND(H466="",OR(F466="No-show",F466="Late cancel")),1,0)</f>
        <v/>
      </c>
      <c r="N466">
        <f>IF(AND(H466="",F466="",D466&lt;&gt;"",I466&gt;=TODAY()),ROUND((I466+IF(ISNUMBER(C466),MOD(C466,1),0))*1440,0)*10000+ROW(),"")</f>
        <v/>
      </c>
    </row>
    <row r="467">
      <c r="A467" s="1" t="n"/>
      <c r="B467" s="17" t="n"/>
      <c r="C467" s="18" t="n"/>
      <c r="D467" s="19" t="n"/>
      <c r="E467" s="20" t="n"/>
      <c r="F467" s="20" t="n"/>
      <c r="G467" s="21" t="n"/>
      <c r="H467" s="12">
        <f>IF(AND(B467="",D467="",F467=""),"",IF(NOT(ISNUMBER(B467)),"Needs a date",IF(D467="","Needs a client",IF(COUNTIF(Clients!$B$6:$B$105,D467)=0,"Not on Clients",IF(AND(F467="",INT(B467)&lt;TODAY()),"Needs a status","")))))</f>
        <v/>
      </c>
      <c r="I467" s="1">
        <f>IF(ISNUMBER(B467),INT(B467),0)</f>
        <v/>
      </c>
      <c r="J467">
        <f>IF(ISNUMBER(B467),YEAR(B467)*100+MONTH(B467),"")</f>
        <v/>
      </c>
      <c r="K467">
        <f>IF(AND(H467="",OR(F467="Attended",F467="No-show",AND(F467="Late cancel",Settings!$C$9="Yes"))),1,0)</f>
        <v/>
      </c>
      <c r="L467">
        <f>IF(AND(H467="",F467="Attended"),1,0)</f>
        <v/>
      </c>
      <c r="M467">
        <f>IF(AND(H467="",OR(F467="No-show",F467="Late cancel")),1,0)</f>
        <v/>
      </c>
      <c r="N467">
        <f>IF(AND(H467="",F467="",D467&lt;&gt;"",I467&gt;=TODAY()),ROUND((I467+IF(ISNUMBER(C467),MOD(C467,1),0))*1440,0)*10000+ROW(),"")</f>
        <v/>
      </c>
    </row>
    <row r="468">
      <c r="A468" s="1" t="n"/>
      <c r="B468" s="17" t="n"/>
      <c r="C468" s="18" t="n"/>
      <c r="D468" s="19" t="n"/>
      <c r="E468" s="20" t="n"/>
      <c r="F468" s="20" t="n"/>
      <c r="G468" s="21" t="n"/>
      <c r="H468" s="12">
        <f>IF(AND(B468="",D468="",F468=""),"",IF(NOT(ISNUMBER(B468)),"Needs a date",IF(D468="","Needs a client",IF(COUNTIF(Clients!$B$6:$B$105,D468)=0,"Not on Clients",IF(AND(F468="",INT(B468)&lt;TODAY()),"Needs a status","")))))</f>
        <v/>
      </c>
      <c r="I468" s="1">
        <f>IF(ISNUMBER(B468),INT(B468),0)</f>
        <v/>
      </c>
      <c r="J468">
        <f>IF(ISNUMBER(B468),YEAR(B468)*100+MONTH(B468),"")</f>
        <v/>
      </c>
      <c r="K468">
        <f>IF(AND(H468="",OR(F468="Attended",F468="No-show",AND(F468="Late cancel",Settings!$C$9="Yes"))),1,0)</f>
        <v/>
      </c>
      <c r="L468">
        <f>IF(AND(H468="",F468="Attended"),1,0)</f>
        <v/>
      </c>
      <c r="M468">
        <f>IF(AND(H468="",OR(F468="No-show",F468="Late cancel")),1,0)</f>
        <v/>
      </c>
      <c r="N468">
        <f>IF(AND(H468="",F468="",D468&lt;&gt;"",I468&gt;=TODAY()),ROUND((I468+IF(ISNUMBER(C468),MOD(C468,1),0))*1440,0)*10000+ROW(),"")</f>
        <v/>
      </c>
    </row>
    <row r="469">
      <c r="A469" s="1" t="n"/>
      <c r="B469" s="17" t="n"/>
      <c r="C469" s="18" t="n"/>
      <c r="D469" s="19" t="n"/>
      <c r="E469" s="20" t="n"/>
      <c r="F469" s="20" t="n"/>
      <c r="G469" s="21" t="n"/>
      <c r="H469" s="12">
        <f>IF(AND(B469="",D469="",F469=""),"",IF(NOT(ISNUMBER(B469)),"Needs a date",IF(D469="","Needs a client",IF(COUNTIF(Clients!$B$6:$B$105,D469)=0,"Not on Clients",IF(AND(F469="",INT(B469)&lt;TODAY()),"Needs a status","")))))</f>
        <v/>
      </c>
      <c r="I469" s="1">
        <f>IF(ISNUMBER(B469),INT(B469),0)</f>
        <v/>
      </c>
      <c r="J469">
        <f>IF(ISNUMBER(B469),YEAR(B469)*100+MONTH(B469),"")</f>
        <v/>
      </c>
      <c r="K469">
        <f>IF(AND(H469="",OR(F469="Attended",F469="No-show",AND(F469="Late cancel",Settings!$C$9="Yes"))),1,0)</f>
        <v/>
      </c>
      <c r="L469">
        <f>IF(AND(H469="",F469="Attended"),1,0)</f>
        <v/>
      </c>
      <c r="M469">
        <f>IF(AND(H469="",OR(F469="No-show",F469="Late cancel")),1,0)</f>
        <v/>
      </c>
      <c r="N469">
        <f>IF(AND(H469="",F469="",D469&lt;&gt;"",I469&gt;=TODAY()),ROUND((I469+IF(ISNUMBER(C469),MOD(C469,1),0))*1440,0)*10000+ROW(),"")</f>
        <v/>
      </c>
    </row>
    <row r="470">
      <c r="A470" s="1" t="n"/>
      <c r="B470" s="17" t="n"/>
      <c r="C470" s="18" t="n"/>
      <c r="D470" s="19" t="n"/>
      <c r="E470" s="20" t="n"/>
      <c r="F470" s="20" t="n"/>
      <c r="G470" s="21" t="n"/>
      <c r="H470" s="12">
        <f>IF(AND(B470="",D470="",F470=""),"",IF(NOT(ISNUMBER(B470)),"Needs a date",IF(D470="","Needs a client",IF(COUNTIF(Clients!$B$6:$B$105,D470)=0,"Not on Clients",IF(AND(F470="",INT(B470)&lt;TODAY()),"Needs a status","")))))</f>
        <v/>
      </c>
      <c r="I470" s="1">
        <f>IF(ISNUMBER(B470),INT(B470),0)</f>
        <v/>
      </c>
      <c r="J470">
        <f>IF(ISNUMBER(B470),YEAR(B470)*100+MONTH(B470),"")</f>
        <v/>
      </c>
      <c r="K470">
        <f>IF(AND(H470="",OR(F470="Attended",F470="No-show",AND(F470="Late cancel",Settings!$C$9="Yes"))),1,0)</f>
        <v/>
      </c>
      <c r="L470">
        <f>IF(AND(H470="",F470="Attended"),1,0)</f>
        <v/>
      </c>
      <c r="M470">
        <f>IF(AND(H470="",OR(F470="No-show",F470="Late cancel")),1,0)</f>
        <v/>
      </c>
      <c r="N470">
        <f>IF(AND(H470="",F470="",D470&lt;&gt;"",I470&gt;=TODAY()),ROUND((I470+IF(ISNUMBER(C470),MOD(C470,1),0))*1440,0)*10000+ROW(),"")</f>
        <v/>
      </c>
    </row>
    <row r="471">
      <c r="A471" s="1" t="n"/>
      <c r="B471" s="17" t="n"/>
      <c r="C471" s="18" t="n"/>
      <c r="D471" s="19" t="n"/>
      <c r="E471" s="20" t="n"/>
      <c r="F471" s="20" t="n"/>
      <c r="G471" s="21" t="n"/>
      <c r="H471" s="12">
        <f>IF(AND(B471="",D471="",F471=""),"",IF(NOT(ISNUMBER(B471)),"Needs a date",IF(D471="","Needs a client",IF(COUNTIF(Clients!$B$6:$B$105,D471)=0,"Not on Clients",IF(AND(F471="",INT(B471)&lt;TODAY()),"Needs a status","")))))</f>
        <v/>
      </c>
      <c r="I471" s="1">
        <f>IF(ISNUMBER(B471),INT(B471),0)</f>
        <v/>
      </c>
      <c r="J471">
        <f>IF(ISNUMBER(B471),YEAR(B471)*100+MONTH(B471),"")</f>
        <v/>
      </c>
      <c r="K471">
        <f>IF(AND(H471="",OR(F471="Attended",F471="No-show",AND(F471="Late cancel",Settings!$C$9="Yes"))),1,0)</f>
        <v/>
      </c>
      <c r="L471">
        <f>IF(AND(H471="",F471="Attended"),1,0)</f>
        <v/>
      </c>
      <c r="M471">
        <f>IF(AND(H471="",OR(F471="No-show",F471="Late cancel")),1,0)</f>
        <v/>
      </c>
      <c r="N471">
        <f>IF(AND(H471="",F471="",D471&lt;&gt;"",I471&gt;=TODAY()),ROUND((I471+IF(ISNUMBER(C471),MOD(C471,1),0))*1440,0)*10000+ROW(),"")</f>
        <v/>
      </c>
    </row>
    <row r="472">
      <c r="A472" s="1" t="n"/>
      <c r="B472" s="17" t="n"/>
      <c r="C472" s="18" t="n"/>
      <c r="D472" s="19" t="n"/>
      <c r="E472" s="20" t="n"/>
      <c r="F472" s="20" t="n"/>
      <c r="G472" s="21" t="n"/>
      <c r="H472" s="12">
        <f>IF(AND(B472="",D472="",F472=""),"",IF(NOT(ISNUMBER(B472)),"Needs a date",IF(D472="","Needs a client",IF(COUNTIF(Clients!$B$6:$B$105,D472)=0,"Not on Clients",IF(AND(F472="",INT(B472)&lt;TODAY()),"Needs a status","")))))</f>
        <v/>
      </c>
      <c r="I472" s="1">
        <f>IF(ISNUMBER(B472),INT(B472),0)</f>
        <v/>
      </c>
      <c r="J472">
        <f>IF(ISNUMBER(B472),YEAR(B472)*100+MONTH(B472),"")</f>
        <v/>
      </c>
      <c r="K472">
        <f>IF(AND(H472="",OR(F472="Attended",F472="No-show",AND(F472="Late cancel",Settings!$C$9="Yes"))),1,0)</f>
        <v/>
      </c>
      <c r="L472">
        <f>IF(AND(H472="",F472="Attended"),1,0)</f>
        <v/>
      </c>
      <c r="M472">
        <f>IF(AND(H472="",OR(F472="No-show",F472="Late cancel")),1,0)</f>
        <v/>
      </c>
      <c r="N472">
        <f>IF(AND(H472="",F472="",D472&lt;&gt;"",I472&gt;=TODAY()),ROUND((I472+IF(ISNUMBER(C472),MOD(C472,1),0))*1440,0)*10000+ROW(),"")</f>
        <v/>
      </c>
    </row>
    <row r="473">
      <c r="A473" s="1" t="n"/>
      <c r="B473" s="17" t="n"/>
      <c r="C473" s="18" t="n"/>
      <c r="D473" s="19" t="n"/>
      <c r="E473" s="20" t="n"/>
      <c r="F473" s="20" t="n"/>
      <c r="G473" s="21" t="n"/>
      <c r="H473" s="12">
        <f>IF(AND(B473="",D473="",F473=""),"",IF(NOT(ISNUMBER(B473)),"Needs a date",IF(D473="","Needs a client",IF(COUNTIF(Clients!$B$6:$B$105,D473)=0,"Not on Clients",IF(AND(F473="",INT(B473)&lt;TODAY()),"Needs a status","")))))</f>
        <v/>
      </c>
      <c r="I473" s="1">
        <f>IF(ISNUMBER(B473),INT(B473),0)</f>
        <v/>
      </c>
      <c r="J473">
        <f>IF(ISNUMBER(B473),YEAR(B473)*100+MONTH(B473),"")</f>
        <v/>
      </c>
      <c r="K473">
        <f>IF(AND(H473="",OR(F473="Attended",F473="No-show",AND(F473="Late cancel",Settings!$C$9="Yes"))),1,0)</f>
        <v/>
      </c>
      <c r="L473">
        <f>IF(AND(H473="",F473="Attended"),1,0)</f>
        <v/>
      </c>
      <c r="M473">
        <f>IF(AND(H473="",OR(F473="No-show",F473="Late cancel")),1,0)</f>
        <v/>
      </c>
      <c r="N473">
        <f>IF(AND(H473="",F473="",D473&lt;&gt;"",I473&gt;=TODAY()),ROUND((I473+IF(ISNUMBER(C473),MOD(C473,1),0))*1440,0)*10000+ROW(),"")</f>
        <v/>
      </c>
    </row>
    <row r="474">
      <c r="A474" s="1" t="n"/>
      <c r="B474" s="17" t="n"/>
      <c r="C474" s="18" t="n"/>
      <c r="D474" s="19" t="n"/>
      <c r="E474" s="20" t="n"/>
      <c r="F474" s="20" t="n"/>
      <c r="G474" s="21" t="n"/>
      <c r="H474" s="12">
        <f>IF(AND(B474="",D474="",F474=""),"",IF(NOT(ISNUMBER(B474)),"Needs a date",IF(D474="","Needs a client",IF(COUNTIF(Clients!$B$6:$B$105,D474)=0,"Not on Clients",IF(AND(F474="",INT(B474)&lt;TODAY()),"Needs a status","")))))</f>
        <v/>
      </c>
      <c r="I474" s="1">
        <f>IF(ISNUMBER(B474),INT(B474),0)</f>
        <v/>
      </c>
      <c r="J474">
        <f>IF(ISNUMBER(B474),YEAR(B474)*100+MONTH(B474),"")</f>
        <v/>
      </c>
      <c r="K474">
        <f>IF(AND(H474="",OR(F474="Attended",F474="No-show",AND(F474="Late cancel",Settings!$C$9="Yes"))),1,0)</f>
        <v/>
      </c>
      <c r="L474">
        <f>IF(AND(H474="",F474="Attended"),1,0)</f>
        <v/>
      </c>
      <c r="M474">
        <f>IF(AND(H474="",OR(F474="No-show",F474="Late cancel")),1,0)</f>
        <v/>
      </c>
      <c r="N474">
        <f>IF(AND(H474="",F474="",D474&lt;&gt;"",I474&gt;=TODAY()),ROUND((I474+IF(ISNUMBER(C474),MOD(C474,1),0))*1440,0)*10000+ROW(),"")</f>
        <v/>
      </c>
    </row>
    <row r="475">
      <c r="A475" s="1" t="n"/>
      <c r="B475" s="17" t="n"/>
      <c r="C475" s="18" t="n"/>
      <c r="D475" s="19" t="n"/>
      <c r="E475" s="20" t="n"/>
      <c r="F475" s="20" t="n"/>
      <c r="G475" s="21" t="n"/>
      <c r="H475" s="12">
        <f>IF(AND(B475="",D475="",F475=""),"",IF(NOT(ISNUMBER(B475)),"Needs a date",IF(D475="","Needs a client",IF(COUNTIF(Clients!$B$6:$B$105,D475)=0,"Not on Clients",IF(AND(F475="",INT(B475)&lt;TODAY()),"Needs a status","")))))</f>
        <v/>
      </c>
      <c r="I475" s="1">
        <f>IF(ISNUMBER(B475),INT(B475),0)</f>
        <v/>
      </c>
      <c r="J475">
        <f>IF(ISNUMBER(B475),YEAR(B475)*100+MONTH(B475),"")</f>
        <v/>
      </c>
      <c r="K475">
        <f>IF(AND(H475="",OR(F475="Attended",F475="No-show",AND(F475="Late cancel",Settings!$C$9="Yes"))),1,0)</f>
        <v/>
      </c>
      <c r="L475">
        <f>IF(AND(H475="",F475="Attended"),1,0)</f>
        <v/>
      </c>
      <c r="M475">
        <f>IF(AND(H475="",OR(F475="No-show",F475="Late cancel")),1,0)</f>
        <v/>
      </c>
      <c r="N475">
        <f>IF(AND(H475="",F475="",D475&lt;&gt;"",I475&gt;=TODAY()),ROUND((I475+IF(ISNUMBER(C475),MOD(C475,1),0))*1440,0)*10000+ROW(),"")</f>
        <v/>
      </c>
    </row>
    <row r="476">
      <c r="A476" s="1" t="n"/>
      <c r="B476" s="17" t="n"/>
      <c r="C476" s="18" t="n"/>
      <c r="D476" s="19" t="n"/>
      <c r="E476" s="20" t="n"/>
      <c r="F476" s="20" t="n"/>
      <c r="G476" s="21" t="n"/>
      <c r="H476" s="12">
        <f>IF(AND(B476="",D476="",F476=""),"",IF(NOT(ISNUMBER(B476)),"Needs a date",IF(D476="","Needs a client",IF(COUNTIF(Clients!$B$6:$B$105,D476)=0,"Not on Clients",IF(AND(F476="",INT(B476)&lt;TODAY()),"Needs a status","")))))</f>
        <v/>
      </c>
      <c r="I476" s="1">
        <f>IF(ISNUMBER(B476),INT(B476),0)</f>
        <v/>
      </c>
      <c r="J476">
        <f>IF(ISNUMBER(B476),YEAR(B476)*100+MONTH(B476),"")</f>
        <v/>
      </c>
      <c r="K476">
        <f>IF(AND(H476="",OR(F476="Attended",F476="No-show",AND(F476="Late cancel",Settings!$C$9="Yes"))),1,0)</f>
        <v/>
      </c>
      <c r="L476">
        <f>IF(AND(H476="",F476="Attended"),1,0)</f>
        <v/>
      </c>
      <c r="M476">
        <f>IF(AND(H476="",OR(F476="No-show",F476="Late cancel")),1,0)</f>
        <v/>
      </c>
      <c r="N476">
        <f>IF(AND(H476="",F476="",D476&lt;&gt;"",I476&gt;=TODAY()),ROUND((I476+IF(ISNUMBER(C476),MOD(C476,1),0))*1440,0)*10000+ROW(),"")</f>
        <v/>
      </c>
    </row>
    <row r="477">
      <c r="A477" s="1" t="n"/>
      <c r="B477" s="17" t="n"/>
      <c r="C477" s="18" t="n"/>
      <c r="D477" s="19" t="n"/>
      <c r="E477" s="20" t="n"/>
      <c r="F477" s="20" t="n"/>
      <c r="G477" s="21" t="n"/>
      <c r="H477" s="12">
        <f>IF(AND(B477="",D477="",F477=""),"",IF(NOT(ISNUMBER(B477)),"Needs a date",IF(D477="","Needs a client",IF(COUNTIF(Clients!$B$6:$B$105,D477)=0,"Not on Clients",IF(AND(F477="",INT(B477)&lt;TODAY()),"Needs a status","")))))</f>
        <v/>
      </c>
      <c r="I477" s="1">
        <f>IF(ISNUMBER(B477),INT(B477),0)</f>
        <v/>
      </c>
      <c r="J477">
        <f>IF(ISNUMBER(B477),YEAR(B477)*100+MONTH(B477),"")</f>
        <v/>
      </c>
      <c r="K477">
        <f>IF(AND(H477="",OR(F477="Attended",F477="No-show",AND(F477="Late cancel",Settings!$C$9="Yes"))),1,0)</f>
        <v/>
      </c>
      <c r="L477">
        <f>IF(AND(H477="",F477="Attended"),1,0)</f>
        <v/>
      </c>
      <c r="M477">
        <f>IF(AND(H477="",OR(F477="No-show",F477="Late cancel")),1,0)</f>
        <v/>
      </c>
      <c r="N477">
        <f>IF(AND(H477="",F477="",D477&lt;&gt;"",I477&gt;=TODAY()),ROUND((I477+IF(ISNUMBER(C477),MOD(C477,1),0))*1440,0)*10000+ROW(),"")</f>
        <v/>
      </c>
    </row>
    <row r="478">
      <c r="A478" s="1" t="n"/>
      <c r="B478" s="17" t="n"/>
      <c r="C478" s="18" t="n"/>
      <c r="D478" s="19" t="n"/>
      <c r="E478" s="20" t="n"/>
      <c r="F478" s="20" t="n"/>
      <c r="G478" s="21" t="n"/>
      <c r="H478" s="12">
        <f>IF(AND(B478="",D478="",F478=""),"",IF(NOT(ISNUMBER(B478)),"Needs a date",IF(D478="","Needs a client",IF(COUNTIF(Clients!$B$6:$B$105,D478)=0,"Not on Clients",IF(AND(F478="",INT(B478)&lt;TODAY()),"Needs a status","")))))</f>
        <v/>
      </c>
      <c r="I478" s="1">
        <f>IF(ISNUMBER(B478),INT(B478),0)</f>
        <v/>
      </c>
      <c r="J478">
        <f>IF(ISNUMBER(B478),YEAR(B478)*100+MONTH(B478),"")</f>
        <v/>
      </c>
      <c r="K478">
        <f>IF(AND(H478="",OR(F478="Attended",F478="No-show",AND(F478="Late cancel",Settings!$C$9="Yes"))),1,0)</f>
        <v/>
      </c>
      <c r="L478">
        <f>IF(AND(H478="",F478="Attended"),1,0)</f>
        <v/>
      </c>
      <c r="M478">
        <f>IF(AND(H478="",OR(F478="No-show",F478="Late cancel")),1,0)</f>
        <v/>
      </c>
      <c r="N478">
        <f>IF(AND(H478="",F478="",D478&lt;&gt;"",I478&gt;=TODAY()),ROUND((I478+IF(ISNUMBER(C478),MOD(C478,1),0))*1440,0)*10000+ROW(),"")</f>
        <v/>
      </c>
    </row>
    <row r="479">
      <c r="A479" s="1" t="n"/>
      <c r="B479" s="17" t="n"/>
      <c r="C479" s="18" t="n"/>
      <c r="D479" s="19" t="n"/>
      <c r="E479" s="20" t="n"/>
      <c r="F479" s="20" t="n"/>
      <c r="G479" s="21" t="n"/>
      <c r="H479" s="12">
        <f>IF(AND(B479="",D479="",F479=""),"",IF(NOT(ISNUMBER(B479)),"Needs a date",IF(D479="","Needs a client",IF(COUNTIF(Clients!$B$6:$B$105,D479)=0,"Not on Clients",IF(AND(F479="",INT(B479)&lt;TODAY()),"Needs a status","")))))</f>
        <v/>
      </c>
      <c r="I479" s="1">
        <f>IF(ISNUMBER(B479),INT(B479),0)</f>
        <v/>
      </c>
      <c r="J479">
        <f>IF(ISNUMBER(B479),YEAR(B479)*100+MONTH(B479),"")</f>
        <v/>
      </c>
      <c r="K479">
        <f>IF(AND(H479="",OR(F479="Attended",F479="No-show",AND(F479="Late cancel",Settings!$C$9="Yes"))),1,0)</f>
        <v/>
      </c>
      <c r="L479">
        <f>IF(AND(H479="",F479="Attended"),1,0)</f>
        <v/>
      </c>
      <c r="M479">
        <f>IF(AND(H479="",OR(F479="No-show",F479="Late cancel")),1,0)</f>
        <v/>
      </c>
      <c r="N479">
        <f>IF(AND(H479="",F479="",D479&lt;&gt;"",I479&gt;=TODAY()),ROUND((I479+IF(ISNUMBER(C479),MOD(C479,1),0))*1440,0)*10000+ROW(),"")</f>
        <v/>
      </c>
    </row>
    <row r="480">
      <c r="A480" s="1" t="n"/>
      <c r="B480" s="17" t="n"/>
      <c r="C480" s="18" t="n"/>
      <c r="D480" s="19" t="n"/>
      <c r="E480" s="20" t="n"/>
      <c r="F480" s="20" t="n"/>
      <c r="G480" s="21" t="n"/>
      <c r="H480" s="12">
        <f>IF(AND(B480="",D480="",F480=""),"",IF(NOT(ISNUMBER(B480)),"Needs a date",IF(D480="","Needs a client",IF(COUNTIF(Clients!$B$6:$B$105,D480)=0,"Not on Clients",IF(AND(F480="",INT(B480)&lt;TODAY()),"Needs a status","")))))</f>
        <v/>
      </c>
      <c r="I480" s="1">
        <f>IF(ISNUMBER(B480),INT(B480),0)</f>
        <v/>
      </c>
      <c r="J480">
        <f>IF(ISNUMBER(B480),YEAR(B480)*100+MONTH(B480),"")</f>
        <v/>
      </c>
      <c r="K480">
        <f>IF(AND(H480="",OR(F480="Attended",F480="No-show",AND(F480="Late cancel",Settings!$C$9="Yes"))),1,0)</f>
        <v/>
      </c>
      <c r="L480">
        <f>IF(AND(H480="",F480="Attended"),1,0)</f>
        <v/>
      </c>
      <c r="M480">
        <f>IF(AND(H480="",OR(F480="No-show",F480="Late cancel")),1,0)</f>
        <v/>
      </c>
      <c r="N480">
        <f>IF(AND(H480="",F480="",D480&lt;&gt;"",I480&gt;=TODAY()),ROUND((I480+IF(ISNUMBER(C480),MOD(C480,1),0))*1440,0)*10000+ROW(),"")</f>
        <v/>
      </c>
    </row>
    <row r="481">
      <c r="A481" s="1" t="n"/>
      <c r="B481" s="17" t="n"/>
      <c r="C481" s="18" t="n"/>
      <c r="D481" s="19" t="n"/>
      <c r="E481" s="20" t="n"/>
      <c r="F481" s="20" t="n"/>
      <c r="G481" s="21" t="n"/>
      <c r="H481" s="12">
        <f>IF(AND(B481="",D481="",F481=""),"",IF(NOT(ISNUMBER(B481)),"Needs a date",IF(D481="","Needs a client",IF(COUNTIF(Clients!$B$6:$B$105,D481)=0,"Not on Clients",IF(AND(F481="",INT(B481)&lt;TODAY()),"Needs a status","")))))</f>
        <v/>
      </c>
      <c r="I481" s="1">
        <f>IF(ISNUMBER(B481),INT(B481),0)</f>
        <v/>
      </c>
      <c r="J481">
        <f>IF(ISNUMBER(B481),YEAR(B481)*100+MONTH(B481),"")</f>
        <v/>
      </c>
      <c r="K481">
        <f>IF(AND(H481="",OR(F481="Attended",F481="No-show",AND(F481="Late cancel",Settings!$C$9="Yes"))),1,0)</f>
        <v/>
      </c>
      <c r="L481">
        <f>IF(AND(H481="",F481="Attended"),1,0)</f>
        <v/>
      </c>
      <c r="M481">
        <f>IF(AND(H481="",OR(F481="No-show",F481="Late cancel")),1,0)</f>
        <v/>
      </c>
      <c r="N481">
        <f>IF(AND(H481="",F481="",D481&lt;&gt;"",I481&gt;=TODAY()),ROUND((I481+IF(ISNUMBER(C481),MOD(C481,1),0))*1440,0)*10000+ROW(),"")</f>
        <v/>
      </c>
    </row>
    <row r="482">
      <c r="A482" s="1" t="n"/>
      <c r="B482" s="17" t="n"/>
      <c r="C482" s="18" t="n"/>
      <c r="D482" s="19" t="n"/>
      <c r="E482" s="20" t="n"/>
      <c r="F482" s="20" t="n"/>
      <c r="G482" s="21" t="n"/>
      <c r="H482" s="12">
        <f>IF(AND(B482="",D482="",F482=""),"",IF(NOT(ISNUMBER(B482)),"Needs a date",IF(D482="","Needs a client",IF(COUNTIF(Clients!$B$6:$B$105,D482)=0,"Not on Clients",IF(AND(F482="",INT(B482)&lt;TODAY()),"Needs a status","")))))</f>
        <v/>
      </c>
      <c r="I482" s="1">
        <f>IF(ISNUMBER(B482),INT(B482),0)</f>
        <v/>
      </c>
      <c r="J482">
        <f>IF(ISNUMBER(B482),YEAR(B482)*100+MONTH(B482),"")</f>
        <v/>
      </c>
      <c r="K482">
        <f>IF(AND(H482="",OR(F482="Attended",F482="No-show",AND(F482="Late cancel",Settings!$C$9="Yes"))),1,0)</f>
        <v/>
      </c>
      <c r="L482">
        <f>IF(AND(H482="",F482="Attended"),1,0)</f>
        <v/>
      </c>
      <c r="M482">
        <f>IF(AND(H482="",OR(F482="No-show",F482="Late cancel")),1,0)</f>
        <v/>
      </c>
      <c r="N482">
        <f>IF(AND(H482="",F482="",D482&lt;&gt;"",I482&gt;=TODAY()),ROUND((I482+IF(ISNUMBER(C482),MOD(C482,1),0))*1440,0)*10000+ROW(),"")</f>
        <v/>
      </c>
    </row>
    <row r="483">
      <c r="A483" s="1" t="n"/>
      <c r="B483" s="17" t="n"/>
      <c r="C483" s="18" t="n"/>
      <c r="D483" s="19" t="n"/>
      <c r="E483" s="20" t="n"/>
      <c r="F483" s="20" t="n"/>
      <c r="G483" s="21" t="n"/>
      <c r="H483" s="12">
        <f>IF(AND(B483="",D483="",F483=""),"",IF(NOT(ISNUMBER(B483)),"Needs a date",IF(D483="","Needs a client",IF(COUNTIF(Clients!$B$6:$B$105,D483)=0,"Not on Clients",IF(AND(F483="",INT(B483)&lt;TODAY()),"Needs a status","")))))</f>
        <v/>
      </c>
      <c r="I483" s="1">
        <f>IF(ISNUMBER(B483),INT(B483),0)</f>
        <v/>
      </c>
      <c r="J483">
        <f>IF(ISNUMBER(B483),YEAR(B483)*100+MONTH(B483),"")</f>
        <v/>
      </c>
      <c r="K483">
        <f>IF(AND(H483="",OR(F483="Attended",F483="No-show",AND(F483="Late cancel",Settings!$C$9="Yes"))),1,0)</f>
        <v/>
      </c>
      <c r="L483">
        <f>IF(AND(H483="",F483="Attended"),1,0)</f>
        <v/>
      </c>
      <c r="M483">
        <f>IF(AND(H483="",OR(F483="No-show",F483="Late cancel")),1,0)</f>
        <v/>
      </c>
      <c r="N483">
        <f>IF(AND(H483="",F483="",D483&lt;&gt;"",I483&gt;=TODAY()),ROUND((I483+IF(ISNUMBER(C483),MOD(C483,1),0))*1440,0)*10000+ROW(),"")</f>
        <v/>
      </c>
    </row>
    <row r="484">
      <c r="A484" s="1" t="n"/>
      <c r="B484" s="17" t="n"/>
      <c r="C484" s="18" t="n"/>
      <c r="D484" s="19" t="n"/>
      <c r="E484" s="20" t="n"/>
      <c r="F484" s="20" t="n"/>
      <c r="G484" s="21" t="n"/>
      <c r="H484" s="12">
        <f>IF(AND(B484="",D484="",F484=""),"",IF(NOT(ISNUMBER(B484)),"Needs a date",IF(D484="","Needs a client",IF(COUNTIF(Clients!$B$6:$B$105,D484)=0,"Not on Clients",IF(AND(F484="",INT(B484)&lt;TODAY()),"Needs a status","")))))</f>
        <v/>
      </c>
      <c r="I484" s="1">
        <f>IF(ISNUMBER(B484),INT(B484),0)</f>
        <v/>
      </c>
      <c r="J484">
        <f>IF(ISNUMBER(B484),YEAR(B484)*100+MONTH(B484),"")</f>
        <v/>
      </c>
      <c r="K484">
        <f>IF(AND(H484="",OR(F484="Attended",F484="No-show",AND(F484="Late cancel",Settings!$C$9="Yes"))),1,0)</f>
        <v/>
      </c>
      <c r="L484">
        <f>IF(AND(H484="",F484="Attended"),1,0)</f>
        <v/>
      </c>
      <c r="M484">
        <f>IF(AND(H484="",OR(F484="No-show",F484="Late cancel")),1,0)</f>
        <v/>
      </c>
      <c r="N484">
        <f>IF(AND(H484="",F484="",D484&lt;&gt;"",I484&gt;=TODAY()),ROUND((I484+IF(ISNUMBER(C484),MOD(C484,1),0))*1440,0)*10000+ROW(),"")</f>
        <v/>
      </c>
    </row>
    <row r="485">
      <c r="A485" s="1" t="n"/>
      <c r="B485" s="17" t="n"/>
      <c r="C485" s="18" t="n"/>
      <c r="D485" s="19" t="n"/>
      <c r="E485" s="20" t="n"/>
      <c r="F485" s="20" t="n"/>
      <c r="G485" s="21" t="n"/>
      <c r="H485" s="12">
        <f>IF(AND(B485="",D485="",F485=""),"",IF(NOT(ISNUMBER(B485)),"Needs a date",IF(D485="","Needs a client",IF(COUNTIF(Clients!$B$6:$B$105,D485)=0,"Not on Clients",IF(AND(F485="",INT(B485)&lt;TODAY()),"Needs a status","")))))</f>
        <v/>
      </c>
      <c r="I485" s="1">
        <f>IF(ISNUMBER(B485),INT(B485),0)</f>
        <v/>
      </c>
      <c r="J485">
        <f>IF(ISNUMBER(B485),YEAR(B485)*100+MONTH(B485),"")</f>
        <v/>
      </c>
      <c r="K485">
        <f>IF(AND(H485="",OR(F485="Attended",F485="No-show",AND(F485="Late cancel",Settings!$C$9="Yes"))),1,0)</f>
        <v/>
      </c>
      <c r="L485">
        <f>IF(AND(H485="",F485="Attended"),1,0)</f>
        <v/>
      </c>
      <c r="M485">
        <f>IF(AND(H485="",OR(F485="No-show",F485="Late cancel")),1,0)</f>
        <v/>
      </c>
      <c r="N485">
        <f>IF(AND(H485="",F485="",D485&lt;&gt;"",I485&gt;=TODAY()),ROUND((I485+IF(ISNUMBER(C485),MOD(C485,1),0))*1440,0)*10000+ROW(),"")</f>
        <v/>
      </c>
    </row>
    <row r="486">
      <c r="A486" s="1" t="n"/>
      <c r="B486" s="17" t="n"/>
      <c r="C486" s="18" t="n"/>
      <c r="D486" s="19" t="n"/>
      <c r="E486" s="20" t="n"/>
      <c r="F486" s="20" t="n"/>
      <c r="G486" s="21" t="n"/>
      <c r="H486" s="12">
        <f>IF(AND(B486="",D486="",F486=""),"",IF(NOT(ISNUMBER(B486)),"Needs a date",IF(D486="","Needs a client",IF(COUNTIF(Clients!$B$6:$B$105,D486)=0,"Not on Clients",IF(AND(F486="",INT(B486)&lt;TODAY()),"Needs a status","")))))</f>
        <v/>
      </c>
      <c r="I486" s="1">
        <f>IF(ISNUMBER(B486),INT(B486),0)</f>
        <v/>
      </c>
      <c r="J486">
        <f>IF(ISNUMBER(B486),YEAR(B486)*100+MONTH(B486),"")</f>
        <v/>
      </c>
      <c r="K486">
        <f>IF(AND(H486="",OR(F486="Attended",F486="No-show",AND(F486="Late cancel",Settings!$C$9="Yes"))),1,0)</f>
        <v/>
      </c>
      <c r="L486">
        <f>IF(AND(H486="",F486="Attended"),1,0)</f>
        <v/>
      </c>
      <c r="M486">
        <f>IF(AND(H486="",OR(F486="No-show",F486="Late cancel")),1,0)</f>
        <v/>
      </c>
      <c r="N486">
        <f>IF(AND(H486="",F486="",D486&lt;&gt;"",I486&gt;=TODAY()),ROUND((I486+IF(ISNUMBER(C486),MOD(C486,1),0))*1440,0)*10000+ROW(),"")</f>
        <v/>
      </c>
    </row>
    <row r="487">
      <c r="A487" s="1" t="n"/>
      <c r="B487" s="17" t="n"/>
      <c r="C487" s="18" t="n"/>
      <c r="D487" s="19" t="n"/>
      <c r="E487" s="20" t="n"/>
      <c r="F487" s="20" t="n"/>
      <c r="G487" s="21" t="n"/>
      <c r="H487" s="12">
        <f>IF(AND(B487="",D487="",F487=""),"",IF(NOT(ISNUMBER(B487)),"Needs a date",IF(D487="","Needs a client",IF(COUNTIF(Clients!$B$6:$B$105,D487)=0,"Not on Clients",IF(AND(F487="",INT(B487)&lt;TODAY()),"Needs a status","")))))</f>
        <v/>
      </c>
      <c r="I487" s="1">
        <f>IF(ISNUMBER(B487),INT(B487),0)</f>
        <v/>
      </c>
      <c r="J487">
        <f>IF(ISNUMBER(B487),YEAR(B487)*100+MONTH(B487),"")</f>
        <v/>
      </c>
      <c r="K487">
        <f>IF(AND(H487="",OR(F487="Attended",F487="No-show",AND(F487="Late cancel",Settings!$C$9="Yes"))),1,0)</f>
        <v/>
      </c>
      <c r="L487">
        <f>IF(AND(H487="",F487="Attended"),1,0)</f>
        <v/>
      </c>
      <c r="M487">
        <f>IF(AND(H487="",OR(F487="No-show",F487="Late cancel")),1,0)</f>
        <v/>
      </c>
      <c r="N487">
        <f>IF(AND(H487="",F487="",D487&lt;&gt;"",I487&gt;=TODAY()),ROUND((I487+IF(ISNUMBER(C487),MOD(C487,1),0))*1440,0)*10000+ROW(),"")</f>
        <v/>
      </c>
    </row>
    <row r="488">
      <c r="A488" s="1" t="n"/>
      <c r="B488" s="17" t="n"/>
      <c r="C488" s="18" t="n"/>
      <c r="D488" s="19" t="n"/>
      <c r="E488" s="20" t="n"/>
      <c r="F488" s="20" t="n"/>
      <c r="G488" s="21" t="n"/>
      <c r="H488" s="12">
        <f>IF(AND(B488="",D488="",F488=""),"",IF(NOT(ISNUMBER(B488)),"Needs a date",IF(D488="","Needs a client",IF(COUNTIF(Clients!$B$6:$B$105,D488)=0,"Not on Clients",IF(AND(F488="",INT(B488)&lt;TODAY()),"Needs a status","")))))</f>
        <v/>
      </c>
      <c r="I488" s="1">
        <f>IF(ISNUMBER(B488),INT(B488),0)</f>
        <v/>
      </c>
      <c r="J488">
        <f>IF(ISNUMBER(B488),YEAR(B488)*100+MONTH(B488),"")</f>
        <v/>
      </c>
      <c r="K488">
        <f>IF(AND(H488="",OR(F488="Attended",F488="No-show",AND(F488="Late cancel",Settings!$C$9="Yes"))),1,0)</f>
        <v/>
      </c>
      <c r="L488">
        <f>IF(AND(H488="",F488="Attended"),1,0)</f>
        <v/>
      </c>
      <c r="M488">
        <f>IF(AND(H488="",OR(F488="No-show",F488="Late cancel")),1,0)</f>
        <v/>
      </c>
      <c r="N488">
        <f>IF(AND(H488="",F488="",D488&lt;&gt;"",I488&gt;=TODAY()),ROUND((I488+IF(ISNUMBER(C488),MOD(C488,1),0))*1440,0)*10000+ROW(),"")</f>
        <v/>
      </c>
    </row>
    <row r="489">
      <c r="A489" s="1" t="n"/>
      <c r="B489" s="17" t="n"/>
      <c r="C489" s="18" t="n"/>
      <c r="D489" s="19" t="n"/>
      <c r="E489" s="20" t="n"/>
      <c r="F489" s="20" t="n"/>
      <c r="G489" s="21" t="n"/>
      <c r="H489" s="12">
        <f>IF(AND(B489="",D489="",F489=""),"",IF(NOT(ISNUMBER(B489)),"Needs a date",IF(D489="","Needs a client",IF(COUNTIF(Clients!$B$6:$B$105,D489)=0,"Not on Clients",IF(AND(F489="",INT(B489)&lt;TODAY()),"Needs a status","")))))</f>
        <v/>
      </c>
      <c r="I489" s="1">
        <f>IF(ISNUMBER(B489),INT(B489),0)</f>
        <v/>
      </c>
      <c r="J489">
        <f>IF(ISNUMBER(B489),YEAR(B489)*100+MONTH(B489),"")</f>
        <v/>
      </c>
      <c r="K489">
        <f>IF(AND(H489="",OR(F489="Attended",F489="No-show",AND(F489="Late cancel",Settings!$C$9="Yes"))),1,0)</f>
        <v/>
      </c>
      <c r="L489">
        <f>IF(AND(H489="",F489="Attended"),1,0)</f>
        <v/>
      </c>
      <c r="M489">
        <f>IF(AND(H489="",OR(F489="No-show",F489="Late cancel")),1,0)</f>
        <v/>
      </c>
      <c r="N489">
        <f>IF(AND(H489="",F489="",D489&lt;&gt;"",I489&gt;=TODAY()),ROUND((I489+IF(ISNUMBER(C489),MOD(C489,1),0))*1440,0)*10000+ROW(),"")</f>
        <v/>
      </c>
    </row>
    <row r="490">
      <c r="A490" s="1" t="n"/>
      <c r="B490" s="17" t="n"/>
      <c r="C490" s="18" t="n"/>
      <c r="D490" s="19" t="n"/>
      <c r="E490" s="20" t="n"/>
      <c r="F490" s="20" t="n"/>
      <c r="G490" s="21" t="n"/>
      <c r="H490" s="12">
        <f>IF(AND(B490="",D490="",F490=""),"",IF(NOT(ISNUMBER(B490)),"Needs a date",IF(D490="","Needs a client",IF(COUNTIF(Clients!$B$6:$B$105,D490)=0,"Not on Clients",IF(AND(F490="",INT(B490)&lt;TODAY()),"Needs a status","")))))</f>
        <v/>
      </c>
      <c r="I490" s="1">
        <f>IF(ISNUMBER(B490),INT(B490),0)</f>
        <v/>
      </c>
      <c r="J490">
        <f>IF(ISNUMBER(B490),YEAR(B490)*100+MONTH(B490),"")</f>
        <v/>
      </c>
      <c r="K490">
        <f>IF(AND(H490="",OR(F490="Attended",F490="No-show",AND(F490="Late cancel",Settings!$C$9="Yes"))),1,0)</f>
        <v/>
      </c>
      <c r="L490">
        <f>IF(AND(H490="",F490="Attended"),1,0)</f>
        <v/>
      </c>
      <c r="M490">
        <f>IF(AND(H490="",OR(F490="No-show",F490="Late cancel")),1,0)</f>
        <v/>
      </c>
      <c r="N490">
        <f>IF(AND(H490="",F490="",D490&lt;&gt;"",I490&gt;=TODAY()),ROUND((I490+IF(ISNUMBER(C490),MOD(C490,1),0))*1440,0)*10000+ROW(),"")</f>
        <v/>
      </c>
    </row>
    <row r="491">
      <c r="A491" s="1" t="n"/>
      <c r="B491" s="17" t="n"/>
      <c r="C491" s="18" t="n"/>
      <c r="D491" s="19" t="n"/>
      <c r="E491" s="20" t="n"/>
      <c r="F491" s="20" t="n"/>
      <c r="G491" s="21" t="n"/>
      <c r="H491" s="12">
        <f>IF(AND(B491="",D491="",F491=""),"",IF(NOT(ISNUMBER(B491)),"Needs a date",IF(D491="","Needs a client",IF(COUNTIF(Clients!$B$6:$B$105,D491)=0,"Not on Clients",IF(AND(F491="",INT(B491)&lt;TODAY()),"Needs a status","")))))</f>
        <v/>
      </c>
      <c r="I491" s="1">
        <f>IF(ISNUMBER(B491),INT(B491),0)</f>
        <v/>
      </c>
      <c r="J491">
        <f>IF(ISNUMBER(B491),YEAR(B491)*100+MONTH(B491),"")</f>
        <v/>
      </c>
      <c r="K491">
        <f>IF(AND(H491="",OR(F491="Attended",F491="No-show",AND(F491="Late cancel",Settings!$C$9="Yes"))),1,0)</f>
        <v/>
      </c>
      <c r="L491">
        <f>IF(AND(H491="",F491="Attended"),1,0)</f>
        <v/>
      </c>
      <c r="M491">
        <f>IF(AND(H491="",OR(F491="No-show",F491="Late cancel")),1,0)</f>
        <v/>
      </c>
      <c r="N491">
        <f>IF(AND(H491="",F491="",D491&lt;&gt;"",I491&gt;=TODAY()),ROUND((I491+IF(ISNUMBER(C491),MOD(C491,1),0))*1440,0)*10000+ROW(),"")</f>
        <v/>
      </c>
    </row>
    <row r="492">
      <c r="A492" s="1" t="n"/>
      <c r="B492" s="17" t="n"/>
      <c r="C492" s="18" t="n"/>
      <c r="D492" s="19" t="n"/>
      <c r="E492" s="20" t="n"/>
      <c r="F492" s="20" t="n"/>
      <c r="G492" s="21" t="n"/>
      <c r="H492" s="12">
        <f>IF(AND(B492="",D492="",F492=""),"",IF(NOT(ISNUMBER(B492)),"Needs a date",IF(D492="","Needs a client",IF(COUNTIF(Clients!$B$6:$B$105,D492)=0,"Not on Clients",IF(AND(F492="",INT(B492)&lt;TODAY()),"Needs a status","")))))</f>
        <v/>
      </c>
      <c r="I492" s="1">
        <f>IF(ISNUMBER(B492),INT(B492),0)</f>
        <v/>
      </c>
      <c r="J492">
        <f>IF(ISNUMBER(B492),YEAR(B492)*100+MONTH(B492),"")</f>
        <v/>
      </c>
      <c r="K492">
        <f>IF(AND(H492="",OR(F492="Attended",F492="No-show",AND(F492="Late cancel",Settings!$C$9="Yes"))),1,0)</f>
        <v/>
      </c>
      <c r="L492">
        <f>IF(AND(H492="",F492="Attended"),1,0)</f>
        <v/>
      </c>
      <c r="M492">
        <f>IF(AND(H492="",OR(F492="No-show",F492="Late cancel")),1,0)</f>
        <v/>
      </c>
      <c r="N492">
        <f>IF(AND(H492="",F492="",D492&lt;&gt;"",I492&gt;=TODAY()),ROUND((I492+IF(ISNUMBER(C492),MOD(C492,1),0))*1440,0)*10000+ROW(),"")</f>
        <v/>
      </c>
    </row>
    <row r="493">
      <c r="A493" s="1" t="n"/>
      <c r="B493" s="17" t="n"/>
      <c r="C493" s="18" t="n"/>
      <c r="D493" s="19" t="n"/>
      <c r="E493" s="20" t="n"/>
      <c r="F493" s="20" t="n"/>
      <c r="G493" s="21" t="n"/>
      <c r="H493" s="12">
        <f>IF(AND(B493="",D493="",F493=""),"",IF(NOT(ISNUMBER(B493)),"Needs a date",IF(D493="","Needs a client",IF(COUNTIF(Clients!$B$6:$B$105,D493)=0,"Not on Clients",IF(AND(F493="",INT(B493)&lt;TODAY()),"Needs a status","")))))</f>
        <v/>
      </c>
      <c r="I493" s="1">
        <f>IF(ISNUMBER(B493),INT(B493),0)</f>
        <v/>
      </c>
      <c r="J493">
        <f>IF(ISNUMBER(B493),YEAR(B493)*100+MONTH(B493),"")</f>
        <v/>
      </c>
      <c r="K493">
        <f>IF(AND(H493="",OR(F493="Attended",F493="No-show",AND(F493="Late cancel",Settings!$C$9="Yes"))),1,0)</f>
        <v/>
      </c>
      <c r="L493">
        <f>IF(AND(H493="",F493="Attended"),1,0)</f>
        <v/>
      </c>
      <c r="M493">
        <f>IF(AND(H493="",OR(F493="No-show",F493="Late cancel")),1,0)</f>
        <v/>
      </c>
      <c r="N493">
        <f>IF(AND(H493="",F493="",D493&lt;&gt;"",I493&gt;=TODAY()),ROUND((I493+IF(ISNUMBER(C493),MOD(C493,1),0))*1440,0)*10000+ROW(),"")</f>
        <v/>
      </c>
    </row>
    <row r="494">
      <c r="A494" s="1" t="n"/>
      <c r="B494" s="17" t="n"/>
      <c r="C494" s="18" t="n"/>
      <c r="D494" s="19" t="n"/>
      <c r="E494" s="20" t="n"/>
      <c r="F494" s="20" t="n"/>
      <c r="G494" s="21" t="n"/>
      <c r="H494" s="12">
        <f>IF(AND(B494="",D494="",F494=""),"",IF(NOT(ISNUMBER(B494)),"Needs a date",IF(D494="","Needs a client",IF(COUNTIF(Clients!$B$6:$B$105,D494)=0,"Not on Clients",IF(AND(F494="",INT(B494)&lt;TODAY()),"Needs a status","")))))</f>
        <v/>
      </c>
      <c r="I494" s="1">
        <f>IF(ISNUMBER(B494),INT(B494),0)</f>
        <v/>
      </c>
      <c r="J494">
        <f>IF(ISNUMBER(B494),YEAR(B494)*100+MONTH(B494),"")</f>
        <v/>
      </c>
      <c r="K494">
        <f>IF(AND(H494="",OR(F494="Attended",F494="No-show",AND(F494="Late cancel",Settings!$C$9="Yes"))),1,0)</f>
        <v/>
      </c>
      <c r="L494">
        <f>IF(AND(H494="",F494="Attended"),1,0)</f>
        <v/>
      </c>
      <c r="M494">
        <f>IF(AND(H494="",OR(F494="No-show",F494="Late cancel")),1,0)</f>
        <v/>
      </c>
      <c r="N494">
        <f>IF(AND(H494="",F494="",D494&lt;&gt;"",I494&gt;=TODAY()),ROUND((I494+IF(ISNUMBER(C494),MOD(C494,1),0))*1440,0)*10000+ROW(),"")</f>
        <v/>
      </c>
    </row>
    <row r="495">
      <c r="A495" s="1" t="n"/>
      <c r="B495" s="17" t="n"/>
      <c r="C495" s="18" t="n"/>
      <c r="D495" s="19" t="n"/>
      <c r="E495" s="20" t="n"/>
      <c r="F495" s="20" t="n"/>
      <c r="G495" s="21" t="n"/>
      <c r="H495" s="12">
        <f>IF(AND(B495="",D495="",F495=""),"",IF(NOT(ISNUMBER(B495)),"Needs a date",IF(D495="","Needs a client",IF(COUNTIF(Clients!$B$6:$B$105,D495)=0,"Not on Clients",IF(AND(F495="",INT(B495)&lt;TODAY()),"Needs a status","")))))</f>
        <v/>
      </c>
      <c r="I495" s="1">
        <f>IF(ISNUMBER(B495),INT(B495),0)</f>
        <v/>
      </c>
      <c r="J495">
        <f>IF(ISNUMBER(B495),YEAR(B495)*100+MONTH(B495),"")</f>
        <v/>
      </c>
      <c r="K495">
        <f>IF(AND(H495="",OR(F495="Attended",F495="No-show",AND(F495="Late cancel",Settings!$C$9="Yes"))),1,0)</f>
        <v/>
      </c>
      <c r="L495">
        <f>IF(AND(H495="",F495="Attended"),1,0)</f>
        <v/>
      </c>
      <c r="M495">
        <f>IF(AND(H495="",OR(F495="No-show",F495="Late cancel")),1,0)</f>
        <v/>
      </c>
      <c r="N495">
        <f>IF(AND(H495="",F495="",D495&lt;&gt;"",I495&gt;=TODAY()),ROUND((I495+IF(ISNUMBER(C495),MOD(C495,1),0))*1440,0)*10000+ROW(),"")</f>
        <v/>
      </c>
    </row>
    <row r="496">
      <c r="A496" s="1" t="n"/>
      <c r="B496" s="17" t="n"/>
      <c r="C496" s="18" t="n"/>
      <c r="D496" s="19" t="n"/>
      <c r="E496" s="20" t="n"/>
      <c r="F496" s="20" t="n"/>
      <c r="G496" s="21" t="n"/>
      <c r="H496" s="12">
        <f>IF(AND(B496="",D496="",F496=""),"",IF(NOT(ISNUMBER(B496)),"Needs a date",IF(D496="","Needs a client",IF(COUNTIF(Clients!$B$6:$B$105,D496)=0,"Not on Clients",IF(AND(F496="",INT(B496)&lt;TODAY()),"Needs a status","")))))</f>
        <v/>
      </c>
      <c r="I496" s="1">
        <f>IF(ISNUMBER(B496),INT(B496),0)</f>
        <v/>
      </c>
      <c r="J496">
        <f>IF(ISNUMBER(B496),YEAR(B496)*100+MONTH(B496),"")</f>
        <v/>
      </c>
      <c r="K496">
        <f>IF(AND(H496="",OR(F496="Attended",F496="No-show",AND(F496="Late cancel",Settings!$C$9="Yes"))),1,0)</f>
        <v/>
      </c>
      <c r="L496">
        <f>IF(AND(H496="",F496="Attended"),1,0)</f>
        <v/>
      </c>
      <c r="M496">
        <f>IF(AND(H496="",OR(F496="No-show",F496="Late cancel")),1,0)</f>
        <v/>
      </c>
      <c r="N496">
        <f>IF(AND(H496="",F496="",D496&lt;&gt;"",I496&gt;=TODAY()),ROUND((I496+IF(ISNUMBER(C496),MOD(C496,1),0))*1440,0)*10000+ROW(),"")</f>
        <v/>
      </c>
    </row>
    <row r="497">
      <c r="A497" s="1" t="n"/>
      <c r="B497" s="17" t="n"/>
      <c r="C497" s="18" t="n"/>
      <c r="D497" s="19" t="n"/>
      <c r="E497" s="20" t="n"/>
      <c r="F497" s="20" t="n"/>
      <c r="G497" s="21" t="n"/>
      <c r="H497" s="12">
        <f>IF(AND(B497="",D497="",F497=""),"",IF(NOT(ISNUMBER(B497)),"Needs a date",IF(D497="","Needs a client",IF(COUNTIF(Clients!$B$6:$B$105,D497)=0,"Not on Clients",IF(AND(F497="",INT(B497)&lt;TODAY()),"Needs a status","")))))</f>
        <v/>
      </c>
      <c r="I497" s="1">
        <f>IF(ISNUMBER(B497),INT(B497),0)</f>
        <v/>
      </c>
      <c r="J497">
        <f>IF(ISNUMBER(B497),YEAR(B497)*100+MONTH(B497),"")</f>
        <v/>
      </c>
      <c r="K497">
        <f>IF(AND(H497="",OR(F497="Attended",F497="No-show",AND(F497="Late cancel",Settings!$C$9="Yes"))),1,0)</f>
        <v/>
      </c>
      <c r="L497">
        <f>IF(AND(H497="",F497="Attended"),1,0)</f>
        <v/>
      </c>
      <c r="M497">
        <f>IF(AND(H497="",OR(F497="No-show",F497="Late cancel")),1,0)</f>
        <v/>
      </c>
      <c r="N497">
        <f>IF(AND(H497="",F497="",D497&lt;&gt;"",I497&gt;=TODAY()),ROUND((I497+IF(ISNUMBER(C497),MOD(C497,1),0))*1440,0)*10000+ROW(),"")</f>
        <v/>
      </c>
    </row>
    <row r="498">
      <c r="A498" s="1" t="n"/>
      <c r="B498" s="17" t="n"/>
      <c r="C498" s="18" t="n"/>
      <c r="D498" s="19" t="n"/>
      <c r="E498" s="20" t="n"/>
      <c r="F498" s="20" t="n"/>
      <c r="G498" s="21" t="n"/>
      <c r="H498" s="12">
        <f>IF(AND(B498="",D498="",F498=""),"",IF(NOT(ISNUMBER(B498)),"Needs a date",IF(D498="","Needs a client",IF(COUNTIF(Clients!$B$6:$B$105,D498)=0,"Not on Clients",IF(AND(F498="",INT(B498)&lt;TODAY()),"Needs a status","")))))</f>
        <v/>
      </c>
      <c r="I498" s="1">
        <f>IF(ISNUMBER(B498),INT(B498),0)</f>
        <v/>
      </c>
      <c r="J498">
        <f>IF(ISNUMBER(B498),YEAR(B498)*100+MONTH(B498),"")</f>
        <v/>
      </c>
      <c r="K498">
        <f>IF(AND(H498="",OR(F498="Attended",F498="No-show",AND(F498="Late cancel",Settings!$C$9="Yes"))),1,0)</f>
        <v/>
      </c>
      <c r="L498">
        <f>IF(AND(H498="",F498="Attended"),1,0)</f>
        <v/>
      </c>
      <c r="M498">
        <f>IF(AND(H498="",OR(F498="No-show",F498="Late cancel")),1,0)</f>
        <v/>
      </c>
      <c r="N498">
        <f>IF(AND(H498="",F498="",D498&lt;&gt;"",I498&gt;=TODAY()),ROUND((I498+IF(ISNUMBER(C498),MOD(C498,1),0))*1440,0)*10000+ROW(),"")</f>
        <v/>
      </c>
    </row>
    <row r="499">
      <c r="A499" s="1" t="n"/>
      <c r="B499" s="17" t="n"/>
      <c r="C499" s="18" t="n"/>
      <c r="D499" s="19" t="n"/>
      <c r="E499" s="20" t="n"/>
      <c r="F499" s="20" t="n"/>
      <c r="G499" s="21" t="n"/>
      <c r="H499" s="12">
        <f>IF(AND(B499="",D499="",F499=""),"",IF(NOT(ISNUMBER(B499)),"Needs a date",IF(D499="","Needs a client",IF(COUNTIF(Clients!$B$6:$B$105,D499)=0,"Not on Clients",IF(AND(F499="",INT(B499)&lt;TODAY()),"Needs a status","")))))</f>
        <v/>
      </c>
      <c r="I499" s="1">
        <f>IF(ISNUMBER(B499),INT(B499),0)</f>
        <v/>
      </c>
      <c r="J499">
        <f>IF(ISNUMBER(B499),YEAR(B499)*100+MONTH(B499),"")</f>
        <v/>
      </c>
      <c r="K499">
        <f>IF(AND(H499="",OR(F499="Attended",F499="No-show",AND(F499="Late cancel",Settings!$C$9="Yes"))),1,0)</f>
        <v/>
      </c>
      <c r="L499">
        <f>IF(AND(H499="",F499="Attended"),1,0)</f>
        <v/>
      </c>
      <c r="M499">
        <f>IF(AND(H499="",OR(F499="No-show",F499="Late cancel")),1,0)</f>
        <v/>
      </c>
      <c r="N499">
        <f>IF(AND(H499="",F499="",D499&lt;&gt;"",I499&gt;=TODAY()),ROUND((I499+IF(ISNUMBER(C499),MOD(C499,1),0))*1440,0)*10000+ROW(),"")</f>
        <v/>
      </c>
    </row>
    <row r="500">
      <c r="A500" s="1" t="n"/>
      <c r="B500" s="17" t="n"/>
      <c r="C500" s="18" t="n"/>
      <c r="D500" s="19" t="n"/>
      <c r="E500" s="20" t="n"/>
      <c r="F500" s="20" t="n"/>
      <c r="G500" s="21" t="n"/>
      <c r="H500" s="12">
        <f>IF(AND(B500="",D500="",F500=""),"",IF(NOT(ISNUMBER(B500)),"Needs a date",IF(D500="","Needs a client",IF(COUNTIF(Clients!$B$6:$B$105,D500)=0,"Not on Clients",IF(AND(F500="",INT(B500)&lt;TODAY()),"Needs a status","")))))</f>
        <v/>
      </c>
      <c r="I500" s="1">
        <f>IF(ISNUMBER(B500),INT(B500),0)</f>
        <v/>
      </c>
      <c r="J500">
        <f>IF(ISNUMBER(B500),YEAR(B500)*100+MONTH(B500),"")</f>
        <v/>
      </c>
      <c r="K500">
        <f>IF(AND(H500="",OR(F500="Attended",F500="No-show",AND(F500="Late cancel",Settings!$C$9="Yes"))),1,0)</f>
        <v/>
      </c>
      <c r="L500">
        <f>IF(AND(H500="",F500="Attended"),1,0)</f>
        <v/>
      </c>
      <c r="M500">
        <f>IF(AND(H500="",OR(F500="No-show",F500="Late cancel")),1,0)</f>
        <v/>
      </c>
      <c r="N500">
        <f>IF(AND(H500="",F500="",D500&lt;&gt;"",I500&gt;=TODAY()),ROUND((I500+IF(ISNUMBER(C500),MOD(C500,1),0))*1440,0)*10000+ROW(),"")</f>
        <v/>
      </c>
    </row>
    <row r="501">
      <c r="A501" s="1" t="n"/>
      <c r="B501" s="17" t="n"/>
      <c r="C501" s="18" t="n"/>
      <c r="D501" s="19" t="n"/>
      <c r="E501" s="20" t="n"/>
      <c r="F501" s="20" t="n"/>
      <c r="G501" s="21" t="n"/>
      <c r="H501" s="12">
        <f>IF(AND(B501="",D501="",F501=""),"",IF(NOT(ISNUMBER(B501)),"Needs a date",IF(D501="","Needs a client",IF(COUNTIF(Clients!$B$6:$B$105,D501)=0,"Not on Clients",IF(AND(F501="",INT(B501)&lt;TODAY()),"Needs a status","")))))</f>
        <v/>
      </c>
      <c r="I501" s="1">
        <f>IF(ISNUMBER(B501),INT(B501),0)</f>
        <v/>
      </c>
      <c r="J501">
        <f>IF(ISNUMBER(B501),YEAR(B501)*100+MONTH(B501),"")</f>
        <v/>
      </c>
      <c r="K501">
        <f>IF(AND(H501="",OR(F501="Attended",F501="No-show",AND(F501="Late cancel",Settings!$C$9="Yes"))),1,0)</f>
        <v/>
      </c>
      <c r="L501">
        <f>IF(AND(H501="",F501="Attended"),1,0)</f>
        <v/>
      </c>
      <c r="M501">
        <f>IF(AND(H501="",OR(F501="No-show",F501="Late cancel")),1,0)</f>
        <v/>
      </c>
      <c r="N501">
        <f>IF(AND(H501="",F501="",D501&lt;&gt;"",I501&gt;=TODAY()),ROUND((I501+IF(ISNUMBER(C501),MOD(C501,1),0))*1440,0)*10000+ROW(),"")</f>
        <v/>
      </c>
    </row>
    <row r="502">
      <c r="A502" s="1" t="n"/>
      <c r="B502" s="17" t="n"/>
      <c r="C502" s="18" t="n"/>
      <c r="D502" s="19" t="n"/>
      <c r="E502" s="20" t="n"/>
      <c r="F502" s="20" t="n"/>
      <c r="G502" s="21" t="n"/>
      <c r="H502" s="12">
        <f>IF(AND(B502="",D502="",F502=""),"",IF(NOT(ISNUMBER(B502)),"Needs a date",IF(D502="","Needs a client",IF(COUNTIF(Clients!$B$6:$B$105,D502)=0,"Not on Clients",IF(AND(F502="",INT(B502)&lt;TODAY()),"Needs a status","")))))</f>
        <v/>
      </c>
      <c r="I502" s="1">
        <f>IF(ISNUMBER(B502),INT(B502),0)</f>
        <v/>
      </c>
      <c r="J502">
        <f>IF(ISNUMBER(B502),YEAR(B502)*100+MONTH(B502),"")</f>
        <v/>
      </c>
      <c r="K502">
        <f>IF(AND(H502="",OR(F502="Attended",F502="No-show",AND(F502="Late cancel",Settings!$C$9="Yes"))),1,0)</f>
        <v/>
      </c>
      <c r="L502">
        <f>IF(AND(H502="",F502="Attended"),1,0)</f>
        <v/>
      </c>
      <c r="M502">
        <f>IF(AND(H502="",OR(F502="No-show",F502="Late cancel")),1,0)</f>
        <v/>
      </c>
      <c r="N502">
        <f>IF(AND(H502="",F502="",D502&lt;&gt;"",I502&gt;=TODAY()),ROUND((I502+IF(ISNUMBER(C502),MOD(C502,1),0))*1440,0)*10000+ROW(),"")</f>
        <v/>
      </c>
    </row>
    <row r="503">
      <c r="A503" s="1" t="n"/>
      <c r="B503" s="17" t="n"/>
      <c r="C503" s="18" t="n"/>
      <c r="D503" s="19" t="n"/>
      <c r="E503" s="20" t="n"/>
      <c r="F503" s="20" t="n"/>
      <c r="G503" s="21" t="n"/>
      <c r="H503" s="12">
        <f>IF(AND(B503="",D503="",F503=""),"",IF(NOT(ISNUMBER(B503)),"Needs a date",IF(D503="","Needs a client",IF(COUNTIF(Clients!$B$6:$B$105,D503)=0,"Not on Clients",IF(AND(F503="",INT(B503)&lt;TODAY()),"Needs a status","")))))</f>
        <v/>
      </c>
      <c r="I503" s="1">
        <f>IF(ISNUMBER(B503),INT(B503),0)</f>
        <v/>
      </c>
      <c r="J503">
        <f>IF(ISNUMBER(B503),YEAR(B503)*100+MONTH(B503),"")</f>
        <v/>
      </c>
      <c r="K503">
        <f>IF(AND(H503="",OR(F503="Attended",F503="No-show",AND(F503="Late cancel",Settings!$C$9="Yes"))),1,0)</f>
        <v/>
      </c>
      <c r="L503">
        <f>IF(AND(H503="",F503="Attended"),1,0)</f>
        <v/>
      </c>
      <c r="M503">
        <f>IF(AND(H503="",OR(F503="No-show",F503="Late cancel")),1,0)</f>
        <v/>
      </c>
      <c r="N503">
        <f>IF(AND(H503="",F503="",D503&lt;&gt;"",I503&gt;=TODAY()),ROUND((I503+IF(ISNUMBER(C503),MOD(C503,1),0))*1440,0)*10000+ROW(),"")</f>
        <v/>
      </c>
    </row>
    <row r="504">
      <c r="A504" s="1" t="n"/>
      <c r="B504" s="17" t="n"/>
      <c r="C504" s="18" t="n"/>
      <c r="D504" s="19" t="n"/>
      <c r="E504" s="20" t="n"/>
      <c r="F504" s="20" t="n"/>
      <c r="G504" s="21" t="n"/>
      <c r="H504" s="12">
        <f>IF(AND(B504="",D504="",F504=""),"",IF(NOT(ISNUMBER(B504)),"Needs a date",IF(D504="","Needs a client",IF(COUNTIF(Clients!$B$6:$B$105,D504)=0,"Not on Clients",IF(AND(F504="",INT(B504)&lt;TODAY()),"Needs a status","")))))</f>
        <v/>
      </c>
      <c r="I504" s="1">
        <f>IF(ISNUMBER(B504),INT(B504),0)</f>
        <v/>
      </c>
      <c r="J504">
        <f>IF(ISNUMBER(B504),YEAR(B504)*100+MONTH(B504),"")</f>
        <v/>
      </c>
      <c r="K504">
        <f>IF(AND(H504="",OR(F504="Attended",F504="No-show",AND(F504="Late cancel",Settings!$C$9="Yes"))),1,0)</f>
        <v/>
      </c>
      <c r="L504">
        <f>IF(AND(H504="",F504="Attended"),1,0)</f>
        <v/>
      </c>
      <c r="M504">
        <f>IF(AND(H504="",OR(F504="No-show",F504="Late cancel")),1,0)</f>
        <v/>
      </c>
      <c r="N504">
        <f>IF(AND(H504="",F504="",D504&lt;&gt;"",I504&gt;=TODAY()),ROUND((I504+IF(ISNUMBER(C504),MOD(C504,1),0))*1440,0)*10000+ROW(),"")</f>
        <v/>
      </c>
    </row>
    <row r="505">
      <c r="A505" s="1" t="n"/>
      <c r="B505" s="17" t="n"/>
      <c r="C505" s="18" t="n"/>
      <c r="D505" s="19" t="n"/>
      <c r="E505" s="20" t="n"/>
      <c r="F505" s="20" t="n"/>
      <c r="G505" s="21" t="n"/>
      <c r="H505" s="12">
        <f>IF(AND(B505="",D505="",F505=""),"",IF(NOT(ISNUMBER(B505)),"Needs a date",IF(D505="","Needs a client",IF(COUNTIF(Clients!$B$6:$B$105,D505)=0,"Not on Clients",IF(AND(F505="",INT(B505)&lt;TODAY()),"Needs a status","")))))</f>
        <v/>
      </c>
      <c r="I505" s="1">
        <f>IF(ISNUMBER(B505),INT(B505),0)</f>
        <v/>
      </c>
      <c r="J505">
        <f>IF(ISNUMBER(B505),YEAR(B505)*100+MONTH(B505),"")</f>
        <v/>
      </c>
      <c r="K505">
        <f>IF(AND(H505="",OR(F505="Attended",F505="No-show",AND(F505="Late cancel",Settings!$C$9="Yes"))),1,0)</f>
        <v/>
      </c>
      <c r="L505">
        <f>IF(AND(H505="",F505="Attended"),1,0)</f>
        <v/>
      </c>
      <c r="M505">
        <f>IF(AND(H505="",OR(F505="No-show",F505="Late cancel")),1,0)</f>
        <v/>
      </c>
      <c r="N505">
        <f>IF(AND(H505="",F505="",D505&lt;&gt;"",I505&gt;=TODAY()),ROUND((I505+IF(ISNUMBER(C505),MOD(C505,1),0))*1440,0)*10000+ROW(),"")</f>
        <v/>
      </c>
    </row>
    <row r="506">
      <c r="A506" s="1" t="n"/>
      <c r="B506" s="17" t="n"/>
      <c r="C506" s="18" t="n"/>
      <c r="D506" s="19" t="n"/>
      <c r="E506" s="20" t="n"/>
      <c r="F506" s="20" t="n"/>
      <c r="G506" s="21" t="n"/>
      <c r="H506" s="12">
        <f>IF(AND(B506="",D506="",F506=""),"",IF(NOT(ISNUMBER(B506)),"Needs a date",IF(D506="","Needs a client",IF(COUNTIF(Clients!$B$6:$B$105,D506)=0,"Not on Clients",IF(AND(F506="",INT(B506)&lt;TODAY()),"Needs a status","")))))</f>
        <v/>
      </c>
      <c r="I506" s="1">
        <f>IF(ISNUMBER(B506),INT(B506),0)</f>
        <v/>
      </c>
      <c r="J506">
        <f>IF(ISNUMBER(B506),YEAR(B506)*100+MONTH(B506),"")</f>
        <v/>
      </c>
      <c r="K506">
        <f>IF(AND(H506="",OR(F506="Attended",F506="No-show",AND(F506="Late cancel",Settings!$C$9="Yes"))),1,0)</f>
        <v/>
      </c>
      <c r="L506">
        <f>IF(AND(H506="",F506="Attended"),1,0)</f>
        <v/>
      </c>
      <c r="M506">
        <f>IF(AND(H506="",OR(F506="No-show",F506="Late cancel")),1,0)</f>
        <v/>
      </c>
      <c r="N506">
        <f>IF(AND(H506="",F506="",D506&lt;&gt;"",I506&gt;=TODAY()),ROUND((I506+IF(ISNUMBER(C506),MOD(C506,1),0))*1440,0)*10000+ROW(),"")</f>
        <v/>
      </c>
    </row>
    <row r="507">
      <c r="A507" s="1" t="n"/>
      <c r="B507" s="17" t="n"/>
      <c r="C507" s="18" t="n"/>
      <c r="D507" s="19" t="n"/>
      <c r="E507" s="20" t="n"/>
      <c r="F507" s="20" t="n"/>
      <c r="G507" s="21" t="n"/>
      <c r="H507" s="12">
        <f>IF(AND(B507="",D507="",F507=""),"",IF(NOT(ISNUMBER(B507)),"Needs a date",IF(D507="","Needs a client",IF(COUNTIF(Clients!$B$6:$B$105,D507)=0,"Not on Clients",IF(AND(F507="",INT(B507)&lt;TODAY()),"Needs a status","")))))</f>
        <v/>
      </c>
      <c r="I507" s="1">
        <f>IF(ISNUMBER(B507),INT(B507),0)</f>
        <v/>
      </c>
      <c r="J507">
        <f>IF(ISNUMBER(B507),YEAR(B507)*100+MONTH(B507),"")</f>
        <v/>
      </c>
      <c r="K507">
        <f>IF(AND(H507="",OR(F507="Attended",F507="No-show",AND(F507="Late cancel",Settings!$C$9="Yes"))),1,0)</f>
        <v/>
      </c>
      <c r="L507">
        <f>IF(AND(H507="",F507="Attended"),1,0)</f>
        <v/>
      </c>
      <c r="M507">
        <f>IF(AND(H507="",OR(F507="No-show",F507="Late cancel")),1,0)</f>
        <v/>
      </c>
      <c r="N507">
        <f>IF(AND(H507="",F507="",D507&lt;&gt;"",I507&gt;=TODAY()),ROUND((I507+IF(ISNUMBER(C507),MOD(C507,1),0))*1440,0)*10000+ROW(),"")</f>
        <v/>
      </c>
    </row>
    <row r="508">
      <c r="A508" s="1" t="n"/>
      <c r="B508" s="17" t="n"/>
      <c r="C508" s="18" t="n"/>
      <c r="D508" s="19" t="n"/>
      <c r="E508" s="20" t="n"/>
      <c r="F508" s="20" t="n"/>
      <c r="G508" s="21" t="n"/>
      <c r="H508" s="12">
        <f>IF(AND(B508="",D508="",F508=""),"",IF(NOT(ISNUMBER(B508)),"Needs a date",IF(D508="","Needs a client",IF(COUNTIF(Clients!$B$6:$B$105,D508)=0,"Not on Clients",IF(AND(F508="",INT(B508)&lt;TODAY()),"Needs a status","")))))</f>
        <v/>
      </c>
      <c r="I508" s="1">
        <f>IF(ISNUMBER(B508),INT(B508),0)</f>
        <v/>
      </c>
      <c r="J508">
        <f>IF(ISNUMBER(B508),YEAR(B508)*100+MONTH(B508),"")</f>
        <v/>
      </c>
      <c r="K508">
        <f>IF(AND(H508="",OR(F508="Attended",F508="No-show",AND(F508="Late cancel",Settings!$C$9="Yes"))),1,0)</f>
        <v/>
      </c>
      <c r="L508">
        <f>IF(AND(H508="",F508="Attended"),1,0)</f>
        <v/>
      </c>
      <c r="M508">
        <f>IF(AND(H508="",OR(F508="No-show",F508="Late cancel")),1,0)</f>
        <v/>
      </c>
      <c r="N508">
        <f>IF(AND(H508="",F508="",D508&lt;&gt;"",I508&gt;=TODAY()),ROUND((I508+IF(ISNUMBER(C508),MOD(C508,1),0))*1440,0)*10000+ROW(),"")</f>
        <v/>
      </c>
    </row>
    <row r="509">
      <c r="A509" s="1" t="n"/>
      <c r="B509" s="17" t="n"/>
      <c r="C509" s="18" t="n"/>
      <c r="D509" s="19" t="n"/>
      <c r="E509" s="20" t="n"/>
      <c r="F509" s="20" t="n"/>
      <c r="G509" s="21" t="n"/>
      <c r="H509" s="12">
        <f>IF(AND(B509="",D509="",F509=""),"",IF(NOT(ISNUMBER(B509)),"Needs a date",IF(D509="","Needs a client",IF(COUNTIF(Clients!$B$6:$B$105,D509)=0,"Not on Clients",IF(AND(F509="",INT(B509)&lt;TODAY()),"Needs a status","")))))</f>
        <v/>
      </c>
      <c r="I509" s="1">
        <f>IF(ISNUMBER(B509),INT(B509),0)</f>
        <v/>
      </c>
      <c r="J509">
        <f>IF(ISNUMBER(B509),YEAR(B509)*100+MONTH(B509),"")</f>
        <v/>
      </c>
      <c r="K509">
        <f>IF(AND(H509="",OR(F509="Attended",F509="No-show",AND(F509="Late cancel",Settings!$C$9="Yes"))),1,0)</f>
        <v/>
      </c>
      <c r="L509">
        <f>IF(AND(H509="",F509="Attended"),1,0)</f>
        <v/>
      </c>
      <c r="M509">
        <f>IF(AND(H509="",OR(F509="No-show",F509="Late cancel")),1,0)</f>
        <v/>
      </c>
      <c r="N509">
        <f>IF(AND(H509="",F509="",D509&lt;&gt;"",I509&gt;=TODAY()),ROUND((I509+IF(ISNUMBER(C509),MOD(C509,1),0))*1440,0)*10000+ROW(),"")</f>
        <v/>
      </c>
    </row>
    <row r="510">
      <c r="A510" s="1" t="n"/>
      <c r="B510" s="17" t="n"/>
      <c r="C510" s="18" t="n"/>
      <c r="D510" s="19" t="n"/>
      <c r="E510" s="20" t="n"/>
      <c r="F510" s="20" t="n"/>
      <c r="G510" s="21" t="n"/>
      <c r="H510" s="12">
        <f>IF(AND(B510="",D510="",F510=""),"",IF(NOT(ISNUMBER(B510)),"Needs a date",IF(D510="","Needs a client",IF(COUNTIF(Clients!$B$6:$B$105,D510)=0,"Not on Clients",IF(AND(F510="",INT(B510)&lt;TODAY()),"Needs a status","")))))</f>
        <v/>
      </c>
      <c r="I510" s="1">
        <f>IF(ISNUMBER(B510),INT(B510),0)</f>
        <v/>
      </c>
      <c r="J510">
        <f>IF(ISNUMBER(B510),YEAR(B510)*100+MONTH(B510),"")</f>
        <v/>
      </c>
      <c r="K510">
        <f>IF(AND(H510="",OR(F510="Attended",F510="No-show",AND(F510="Late cancel",Settings!$C$9="Yes"))),1,0)</f>
        <v/>
      </c>
      <c r="L510">
        <f>IF(AND(H510="",F510="Attended"),1,0)</f>
        <v/>
      </c>
      <c r="M510">
        <f>IF(AND(H510="",OR(F510="No-show",F510="Late cancel")),1,0)</f>
        <v/>
      </c>
      <c r="N510">
        <f>IF(AND(H510="",F510="",D510&lt;&gt;"",I510&gt;=TODAY()),ROUND((I510+IF(ISNUMBER(C510),MOD(C510,1),0))*1440,0)*10000+ROW(),"")</f>
        <v/>
      </c>
    </row>
    <row r="511">
      <c r="A511" s="1" t="n"/>
      <c r="B511" s="17" t="n"/>
      <c r="C511" s="18" t="n"/>
      <c r="D511" s="19" t="n"/>
      <c r="E511" s="20" t="n"/>
      <c r="F511" s="20" t="n"/>
      <c r="G511" s="21" t="n"/>
      <c r="H511" s="12">
        <f>IF(AND(B511="",D511="",F511=""),"",IF(NOT(ISNUMBER(B511)),"Needs a date",IF(D511="","Needs a client",IF(COUNTIF(Clients!$B$6:$B$105,D511)=0,"Not on Clients",IF(AND(F511="",INT(B511)&lt;TODAY()),"Needs a status","")))))</f>
        <v/>
      </c>
      <c r="I511" s="1">
        <f>IF(ISNUMBER(B511),INT(B511),0)</f>
        <v/>
      </c>
      <c r="J511">
        <f>IF(ISNUMBER(B511),YEAR(B511)*100+MONTH(B511),"")</f>
        <v/>
      </c>
      <c r="K511">
        <f>IF(AND(H511="",OR(F511="Attended",F511="No-show",AND(F511="Late cancel",Settings!$C$9="Yes"))),1,0)</f>
        <v/>
      </c>
      <c r="L511">
        <f>IF(AND(H511="",F511="Attended"),1,0)</f>
        <v/>
      </c>
      <c r="M511">
        <f>IF(AND(H511="",OR(F511="No-show",F511="Late cancel")),1,0)</f>
        <v/>
      </c>
      <c r="N511">
        <f>IF(AND(H511="",F511="",D511&lt;&gt;"",I511&gt;=TODAY()),ROUND((I511+IF(ISNUMBER(C511),MOD(C511,1),0))*1440,0)*10000+ROW(),"")</f>
        <v/>
      </c>
    </row>
    <row r="512">
      <c r="A512" s="1" t="n"/>
      <c r="B512" s="17" t="n"/>
      <c r="C512" s="18" t="n"/>
      <c r="D512" s="19" t="n"/>
      <c r="E512" s="20" t="n"/>
      <c r="F512" s="20" t="n"/>
      <c r="G512" s="21" t="n"/>
      <c r="H512" s="12">
        <f>IF(AND(B512="",D512="",F512=""),"",IF(NOT(ISNUMBER(B512)),"Needs a date",IF(D512="","Needs a client",IF(COUNTIF(Clients!$B$6:$B$105,D512)=0,"Not on Clients",IF(AND(F512="",INT(B512)&lt;TODAY()),"Needs a status","")))))</f>
        <v/>
      </c>
      <c r="I512" s="1">
        <f>IF(ISNUMBER(B512),INT(B512),0)</f>
        <v/>
      </c>
      <c r="J512">
        <f>IF(ISNUMBER(B512),YEAR(B512)*100+MONTH(B512),"")</f>
        <v/>
      </c>
      <c r="K512">
        <f>IF(AND(H512="",OR(F512="Attended",F512="No-show",AND(F512="Late cancel",Settings!$C$9="Yes"))),1,0)</f>
        <v/>
      </c>
      <c r="L512">
        <f>IF(AND(H512="",F512="Attended"),1,0)</f>
        <v/>
      </c>
      <c r="M512">
        <f>IF(AND(H512="",OR(F512="No-show",F512="Late cancel")),1,0)</f>
        <v/>
      </c>
      <c r="N512">
        <f>IF(AND(H512="",F512="",D512&lt;&gt;"",I512&gt;=TODAY()),ROUND((I512+IF(ISNUMBER(C512),MOD(C512,1),0))*1440,0)*10000+ROW(),"")</f>
        <v/>
      </c>
    </row>
    <row r="513">
      <c r="A513" s="1" t="n"/>
      <c r="B513" s="17" t="n"/>
      <c r="C513" s="18" t="n"/>
      <c r="D513" s="19" t="n"/>
      <c r="E513" s="20" t="n"/>
      <c r="F513" s="20" t="n"/>
      <c r="G513" s="21" t="n"/>
      <c r="H513" s="12">
        <f>IF(AND(B513="",D513="",F513=""),"",IF(NOT(ISNUMBER(B513)),"Needs a date",IF(D513="","Needs a client",IF(COUNTIF(Clients!$B$6:$B$105,D513)=0,"Not on Clients",IF(AND(F513="",INT(B513)&lt;TODAY()),"Needs a status","")))))</f>
        <v/>
      </c>
      <c r="I513" s="1">
        <f>IF(ISNUMBER(B513),INT(B513),0)</f>
        <v/>
      </c>
      <c r="J513">
        <f>IF(ISNUMBER(B513),YEAR(B513)*100+MONTH(B513),"")</f>
        <v/>
      </c>
      <c r="K513">
        <f>IF(AND(H513="",OR(F513="Attended",F513="No-show",AND(F513="Late cancel",Settings!$C$9="Yes"))),1,0)</f>
        <v/>
      </c>
      <c r="L513">
        <f>IF(AND(H513="",F513="Attended"),1,0)</f>
        <v/>
      </c>
      <c r="M513">
        <f>IF(AND(H513="",OR(F513="No-show",F513="Late cancel")),1,0)</f>
        <v/>
      </c>
      <c r="N513">
        <f>IF(AND(H513="",F513="",D513&lt;&gt;"",I513&gt;=TODAY()),ROUND((I513+IF(ISNUMBER(C513),MOD(C513,1),0))*1440,0)*10000+ROW(),"")</f>
        <v/>
      </c>
    </row>
    <row r="514">
      <c r="A514" s="1" t="n"/>
      <c r="B514" s="17" t="n"/>
      <c r="C514" s="18" t="n"/>
      <c r="D514" s="19" t="n"/>
      <c r="E514" s="20" t="n"/>
      <c r="F514" s="20" t="n"/>
      <c r="G514" s="21" t="n"/>
      <c r="H514" s="12">
        <f>IF(AND(B514="",D514="",F514=""),"",IF(NOT(ISNUMBER(B514)),"Needs a date",IF(D514="","Needs a client",IF(COUNTIF(Clients!$B$6:$B$105,D514)=0,"Not on Clients",IF(AND(F514="",INT(B514)&lt;TODAY()),"Needs a status","")))))</f>
        <v/>
      </c>
      <c r="I514" s="1">
        <f>IF(ISNUMBER(B514),INT(B514),0)</f>
        <v/>
      </c>
      <c r="J514">
        <f>IF(ISNUMBER(B514),YEAR(B514)*100+MONTH(B514),"")</f>
        <v/>
      </c>
      <c r="K514">
        <f>IF(AND(H514="",OR(F514="Attended",F514="No-show",AND(F514="Late cancel",Settings!$C$9="Yes"))),1,0)</f>
        <v/>
      </c>
      <c r="L514">
        <f>IF(AND(H514="",F514="Attended"),1,0)</f>
        <v/>
      </c>
      <c r="M514">
        <f>IF(AND(H514="",OR(F514="No-show",F514="Late cancel")),1,0)</f>
        <v/>
      </c>
      <c r="N514">
        <f>IF(AND(H514="",F514="",D514&lt;&gt;"",I514&gt;=TODAY()),ROUND((I514+IF(ISNUMBER(C514),MOD(C514,1),0))*1440,0)*10000+ROW(),"")</f>
        <v/>
      </c>
    </row>
    <row r="515">
      <c r="A515" s="1" t="n"/>
      <c r="B515" s="17" t="n"/>
      <c r="C515" s="18" t="n"/>
      <c r="D515" s="19" t="n"/>
      <c r="E515" s="20" t="n"/>
      <c r="F515" s="20" t="n"/>
      <c r="G515" s="21" t="n"/>
      <c r="H515" s="12">
        <f>IF(AND(B515="",D515="",F515=""),"",IF(NOT(ISNUMBER(B515)),"Needs a date",IF(D515="","Needs a client",IF(COUNTIF(Clients!$B$6:$B$105,D515)=0,"Not on Clients",IF(AND(F515="",INT(B515)&lt;TODAY()),"Needs a status","")))))</f>
        <v/>
      </c>
      <c r="I515" s="1">
        <f>IF(ISNUMBER(B515),INT(B515),0)</f>
        <v/>
      </c>
      <c r="J515">
        <f>IF(ISNUMBER(B515),YEAR(B515)*100+MONTH(B515),"")</f>
        <v/>
      </c>
      <c r="K515">
        <f>IF(AND(H515="",OR(F515="Attended",F515="No-show",AND(F515="Late cancel",Settings!$C$9="Yes"))),1,0)</f>
        <v/>
      </c>
      <c r="L515">
        <f>IF(AND(H515="",F515="Attended"),1,0)</f>
        <v/>
      </c>
      <c r="M515">
        <f>IF(AND(H515="",OR(F515="No-show",F515="Late cancel")),1,0)</f>
        <v/>
      </c>
      <c r="N515">
        <f>IF(AND(H515="",F515="",D515&lt;&gt;"",I515&gt;=TODAY()),ROUND((I515+IF(ISNUMBER(C515),MOD(C515,1),0))*1440,0)*10000+ROW(),"")</f>
        <v/>
      </c>
    </row>
    <row r="516">
      <c r="A516" s="1" t="n"/>
      <c r="B516" s="17" t="n"/>
      <c r="C516" s="18" t="n"/>
      <c r="D516" s="19" t="n"/>
      <c r="E516" s="20" t="n"/>
      <c r="F516" s="20" t="n"/>
      <c r="G516" s="21" t="n"/>
      <c r="H516" s="12">
        <f>IF(AND(B516="",D516="",F516=""),"",IF(NOT(ISNUMBER(B516)),"Needs a date",IF(D516="","Needs a client",IF(COUNTIF(Clients!$B$6:$B$105,D516)=0,"Not on Clients",IF(AND(F516="",INT(B516)&lt;TODAY()),"Needs a status","")))))</f>
        <v/>
      </c>
      <c r="I516" s="1">
        <f>IF(ISNUMBER(B516),INT(B516),0)</f>
        <v/>
      </c>
      <c r="J516">
        <f>IF(ISNUMBER(B516),YEAR(B516)*100+MONTH(B516),"")</f>
        <v/>
      </c>
      <c r="K516">
        <f>IF(AND(H516="",OR(F516="Attended",F516="No-show",AND(F516="Late cancel",Settings!$C$9="Yes"))),1,0)</f>
        <v/>
      </c>
      <c r="L516">
        <f>IF(AND(H516="",F516="Attended"),1,0)</f>
        <v/>
      </c>
      <c r="M516">
        <f>IF(AND(H516="",OR(F516="No-show",F516="Late cancel")),1,0)</f>
        <v/>
      </c>
      <c r="N516">
        <f>IF(AND(H516="",F516="",D516&lt;&gt;"",I516&gt;=TODAY()),ROUND((I516+IF(ISNUMBER(C516),MOD(C516,1),0))*1440,0)*10000+ROW(),"")</f>
        <v/>
      </c>
    </row>
    <row r="517">
      <c r="A517" s="1" t="n"/>
      <c r="B517" s="17" t="n"/>
      <c r="C517" s="18" t="n"/>
      <c r="D517" s="19" t="n"/>
      <c r="E517" s="20" t="n"/>
      <c r="F517" s="20" t="n"/>
      <c r="G517" s="21" t="n"/>
      <c r="H517" s="12">
        <f>IF(AND(B517="",D517="",F517=""),"",IF(NOT(ISNUMBER(B517)),"Needs a date",IF(D517="","Needs a client",IF(COUNTIF(Clients!$B$6:$B$105,D517)=0,"Not on Clients",IF(AND(F517="",INT(B517)&lt;TODAY()),"Needs a status","")))))</f>
        <v/>
      </c>
      <c r="I517" s="1">
        <f>IF(ISNUMBER(B517),INT(B517),0)</f>
        <v/>
      </c>
      <c r="J517">
        <f>IF(ISNUMBER(B517),YEAR(B517)*100+MONTH(B517),"")</f>
        <v/>
      </c>
      <c r="K517">
        <f>IF(AND(H517="",OR(F517="Attended",F517="No-show",AND(F517="Late cancel",Settings!$C$9="Yes"))),1,0)</f>
        <v/>
      </c>
      <c r="L517">
        <f>IF(AND(H517="",F517="Attended"),1,0)</f>
        <v/>
      </c>
      <c r="M517">
        <f>IF(AND(H517="",OR(F517="No-show",F517="Late cancel")),1,0)</f>
        <v/>
      </c>
      <c r="N517">
        <f>IF(AND(H517="",F517="",D517&lt;&gt;"",I517&gt;=TODAY()),ROUND((I517+IF(ISNUMBER(C517),MOD(C517,1),0))*1440,0)*10000+ROW(),"")</f>
        <v/>
      </c>
    </row>
    <row r="518">
      <c r="A518" s="1" t="n"/>
      <c r="B518" s="17" t="n"/>
      <c r="C518" s="18" t="n"/>
      <c r="D518" s="19" t="n"/>
      <c r="E518" s="20" t="n"/>
      <c r="F518" s="20" t="n"/>
      <c r="G518" s="21" t="n"/>
      <c r="H518" s="12">
        <f>IF(AND(B518="",D518="",F518=""),"",IF(NOT(ISNUMBER(B518)),"Needs a date",IF(D518="","Needs a client",IF(COUNTIF(Clients!$B$6:$B$105,D518)=0,"Not on Clients",IF(AND(F518="",INT(B518)&lt;TODAY()),"Needs a status","")))))</f>
        <v/>
      </c>
      <c r="I518" s="1">
        <f>IF(ISNUMBER(B518),INT(B518),0)</f>
        <v/>
      </c>
      <c r="J518">
        <f>IF(ISNUMBER(B518),YEAR(B518)*100+MONTH(B518),"")</f>
        <v/>
      </c>
      <c r="K518">
        <f>IF(AND(H518="",OR(F518="Attended",F518="No-show",AND(F518="Late cancel",Settings!$C$9="Yes"))),1,0)</f>
        <v/>
      </c>
      <c r="L518">
        <f>IF(AND(H518="",F518="Attended"),1,0)</f>
        <v/>
      </c>
      <c r="M518">
        <f>IF(AND(H518="",OR(F518="No-show",F518="Late cancel")),1,0)</f>
        <v/>
      </c>
      <c r="N518">
        <f>IF(AND(H518="",F518="",D518&lt;&gt;"",I518&gt;=TODAY()),ROUND((I518+IF(ISNUMBER(C518),MOD(C518,1),0))*1440,0)*10000+ROW(),"")</f>
        <v/>
      </c>
    </row>
    <row r="519">
      <c r="A519" s="1" t="n"/>
      <c r="B519" s="17" t="n"/>
      <c r="C519" s="18" t="n"/>
      <c r="D519" s="19" t="n"/>
      <c r="E519" s="20" t="n"/>
      <c r="F519" s="20" t="n"/>
      <c r="G519" s="21" t="n"/>
      <c r="H519" s="12">
        <f>IF(AND(B519="",D519="",F519=""),"",IF(NOT(ISNUMBER(B519)),"Needs a date",IF(D519="","Needs a client",IF(COUNTIF(Clients!$B$6:$B$105,D519)=0,"Not on Clients",IF(AND(F519="",INT(B519)&lt;TODAY()),"Needs a status","")))))</f>
        <v/>
      </c>
      <c r="I519" s="1">
        <f>IF(ISNUMBER(B519),INT(B519),0)</f>
        <v/>
      </c>
      <c r="J519">
        <f>IF(ISNUMBER(B519),YEAR(B519)*100+MONTH(B519),"")</f>
        <v/>
      </c>
      <c r="K519">
        <f>IF(AND(H519="",OR(F519="Attended",F519="No-show",AND(F519="Late cancel",Settings!$C$9="Yes"))),1,0)</f>
        <v/>
      </c>
      <c r="L519">
        <f>IF(AND(H519="",F519="Attended"),1,0)</f>
        <v/>
      </c>
      <c r="M519">
        <f>IF(AND(H519="",OR(F519="No-show",F519="Late cancel")),1,0)</f>
        <v/>
      </c>
      <c r="N519">
        <f>IF(AND(H519="",F519="",D519&lt;&gt;"",I519&gt;=TODAY()),ROUND((I519+IF(ISNUMBER(C519),MOD(C519,1),0))*1440,0)*10000+ROW(),"")</f>
        <v/>
      </c>
    </row>
    <row r="520">
      <c r="A520" s="1" t="n"/>
      <c r="B520" s="17" t="n"/>
      <c r="C520" s="18" t="n"/>
      <c r="D520" s="19" t="n"/>
      <c r="E520" s="20" t="n"/>
      <c r="F520" s="20" t="n"/>
      <c r="G520" s="21" t="n"/>
      <c r="H520" s="12">
        <f>IF(AND(B520="",D520="",F520=""),"",IF(NOT(ISNUMBER(B520)),"Needs a date",IF(D520="","Needs a client",IF(COUNTIF(Clients!$B$6:$B$105,D520)=0,"Not on Clients",IF(AND(F520="",INT(B520)&lt;TODAY()),"Needs a status","")))))</f>
        <v/>
      </c>
      <c r="I520" s="1">
        <f>IF(ISNUMBER(B520),INT(B520),0)</f>
        <v/>
      </c>
      <c r="J520">
        <f>IF(ISNUMBER(B520),YEAR(B520)*100+MONTH(B520),"")</f>
        <v/>
      </c>
      <c r="K520">
        <f>IF(AND(H520="",OR(F520="Attended",F520="No-show",AND(F520="Late cancel",Settings!$C$9="Yes"))),1,0)</f>
        <v/>
      </c>
      <c r="L520">
        <f>IF(AND(H520="",F520="Attended"),1,0)</f>
        <v/>
      </c>
      <c r="M520">
        <f>IF(AND(H520="",OR(F520="No-show",F520="Late cancel")),1,0)</f>
        <v/>
      </c>
      <c r="N520">
        <f>IF(AND(H520="",F520="",D520&lt;&gt;"",I520&gt;=TODAY()),ROUND((I520+IF(ISNUMBER(C520),MOD(C520,1),0))*1440,0)*10000+ROW(),"")</f>
        <v/>
      </c>
    </row>
    <row r="521">
      <c r="A521" s="1" t="n"/>
      <c r="B521" s="17" t="n"/>
      <c r="C521" s="18" t="n"/>
      <c r="D521" s="19" t="n"/>
      <c r="E521" s="20" t="n"/>
      <c r="F521" s="20" t="n"/>
      <c r="G521" s="21" t="n"/>
      <c r="H521" s="12">
        <f>IF(AND(B521="",D521="",F521=""),"",IF(NOT(ISNUMBER(B521)),"Needs a date",IF(D521="","Needs a client",IF(COUNTIF(Clients!$B$6:$B$105,D521)=0,"Not on Clients",IF(AND(F521="",INT(B521)&lt;TODAY()),"Needs a status","")))))</f>
        <v/>
      </c>
      <c r="I521" s="1">
        <f>IF(ISNUMBER(B521),INT(B521),0)</f>
        <v/>
      </c>
      <c r="J521">
        <f>IF(ISNUMBER(B521),YEAR(B521)*100+MONTH(B521),"")</f>
        <v/>
      </c>
      <c r="K521">
        <f>IF(AND(H521="",OR(F521="Attended",F521="No-show",AND(F521="Late cancel",Settings!$C$9="Yes"))),1,0)</f>
        <v/>
      </c>
      <c r="L521">
        <f>IF(AND(H521="",F521="Attended"),1,0)</f>
        <v/>
      </c>
      <c r="M521">
        <f>IF(AND(H521="",OR(F521="No-show",F521="Late cancel")),1,0)</f>
        <v/>
      </c>
      <c r="N521">
        <f>IF(AND(H521="",F521="",D521&lt;&gt;"",I521&gt;=TODAY()),ROUND((I521+IF(ISNUMBER(C521),MOD(C521,1),0))*1440,0)*10000+ROW(),"")</f>
        <v/>
      </c>
    </row>
    <row r="522">
      <c r="A522" s="1" t="n"/>
      <c r="B522" s="17" t="n"/>
      <c r="C522" s="18" t="n"/>
      <c r="D522" s="19" t="n"/>
      <c r="E522" s="20" t="n"/>
      <c r="F522" s="20" t="n"/>
      <c r="G522" s="21" t="n"/>
      <c r="H522" s="12">
        <f>IF(AND(B522="",D522="",F522=""),"",IF(NOT(ISNUMBER(B522)),"Needs a date",IF(D522="","Needs a client",IF(COUNTIF(Clients!$B$6:$B$105,D522)=0,"Not on Clients",IF(AND(F522="",INT(B522)&lt;TODAY()),"Needs a status","")))))</f>
        <v/>
      </c>
      <c r="I522" s="1">
        <f>IF(ISNUMBER(B522),INT(B522),0)</f>
        <v/>
      </c>
      <c r="J522">
        <f>IF(ISNUMBER(B522),YEAR(B522)*100+MONTH(B522),"")</f>
        <v/>
      </c>
      <c r="K522">
        <f>IF(AND(H522="",OR(F522="Attended",F522="No-show",AND(F522="Late cancel",Settings!$C$9="Yes"))),1,0)</f>
        <v/>
      </c>
      <c r="L522">
        <f>IF(AND(H522="",F522="Attended"),1,0)</f>
        <v/>
      </c>
      <c r="M522">
        <f>IF(AND(H522="",OR(F522="No-show",F522="Late cancel")),1,0)</f>
        <v/>
      </c>
      <c r="N522">
        <f>IF(AND(H522="",F522="",D522&lt;&gt;"",I522&gt;=TODAY()),ROUND((I522+IF(ISNUMBER(C522),MOD(C522,1),0))*1440,0)*10000+ROW(),"")</f>
        <v/>
      </c>
    </row>
    <row r="523">
      <c r="A523" s="1" t="n"/>
      <c r="B523" s="17" t="n"/>
      <c r="C523" s="18" t="n"/>
      <c r="D523" s="19" t="n"/>
      <c r="E523" s="20" t="n"/>
      <c r="F523" s="20" t="n"/>
      <c r="G523" s="21" t="n"/>
      <c r="H523" s="12">
        <f>IF(AND(B523="",D523="",F523=""),"",IF(NOT(ISNUMBER(B523)),"Needs a date",IF(D523="","Needs a client",IF(COUNTIF(Clients!$B$6:$B$105,D523)=0,"Not on Clients",IF(AND(F523="",INT(B523)&lt;TODAY()),"Needs a status","")))))</f>
        <v/>
      </c>
      <c r="I523" s="1">
        <f>IF(ISNUMBER(B523),INT(B523),0)</f>
        <v/>
      </c>
      <c r="J523">
        <f>IF(ISNUMBER(B523),YEAR(B523)*100+MONTH(B523),"")</f>
        <v/>
      </c>
      <c r="K523">
        <f>IF(AND(H523="",OR(F523="Attended",F523="No-show",AND(F523="Late cancel",Settings!$C$9="Yes"))),1,0)</f>
        <v/>
      </c>
      <c r="L523">
        <f>IF(AND(H523="",F523="Attended"),1,0)</f>
        <v/>
      </c>
      <c r="M523">
        <f>IF(AND(H523="",OR(F523="No-show",F523="Late cancel")),1,0)</f>
        <v/>
      </c>
      <c r="N523">
        <f>IF(AND(H523="",F523="",D523&lt;&gt;"",I523&gt;=TODAY()),ROUND((I523+IF(ISNUMBER(C523),MOD(C523,1),0))*1440,0)*10000+ROW(),"")</f>
        <v/>
      </c>
    </row>
    <row r="524">
      <c r="A524" s="1" t="n"/>
      <c r="B524" s="17" t="n"/>
      <c r="C524" s="18" t="n"/>
      <c r="D524" s="19" t="n"/>
      <c r="E524" s="20" t="n"/>
      <c r="F524" s="20" t="n"/>
      <c r="G524" s="21" t="n"/>
      <c r="H524" s="12">
        <f>IF(AND(B524="",D524="",F524=""),"",IF(NOT(ISNUMBER(B524)),"Needs a date",IF(D524="","Needs a client",IF(COUNTIF(Clients!$B$6:$B$105,D524)=0,"Not on Clients",IF(AND(F524="",INT(B524)&lt;TODAY()),"Needs a status","")))))</f>
        <v/>
      </c>
      <c r="I524" s="1">
        <f>IF(ISNUMBER(B524),INT(B524),0)</f>
        <v/>
      </c>
      <c r="J524">
        <f>IF(ISNUMBER(B524),YEAR(B524)*100+MONTH(B524),"")</f>
        <v/>
      </c>
      <c r="K524">
        <f>IF(AND(H524="",OR(F524="Attended",F524="No-show",AND(F524="Late cancel",Settings!$C$9="Yes"))),1,0)</f>
        <v/>
      </c>
      <c r="L524">
        <f>IF(AND(H524="",F524="Attended"),1,0)</f>
        <v/>
      </c>
      <c r="M524">
        <f>IF(AND(H524="",OR(F524="No-show",F524="Late cancel")),1,0)</f>
        <v/>
      </c>
      <c r="N524">
        <f>IF(AND(H524="",F524="",D524&lt;&gt;"",I524&gt;=TODAY()),ROUND((I524+IF(ISNUMBER(C524),MOD(C524,1),0))*1440,0)*10000+ROW(),"")</f>
        <v/>
      </c>
    </row>
    <row r="525">
      <c r="A525" s="1" t="n"/>
      <c r="B525" s="17" t="n"/>
      <c r="C525" s="18" t="n"/>
      <c r="D525" s="19" t="n"/>
      <c r="E525" s="20" t="n"/>
      <c r="F525" s="20" t="n"/>
      <c r="G525" s="21" t="n"/>
      <c r="H525" s="12">
        <f>IF(AND(B525="",D525="",F525=""),"",IF(NOT(ISNUMBER(B525)),"Needs a date",IF(D525="","Needs a client",IF(COUNTIF(Clients!$B$6:$B$105,D525)=0,"Not on Clients",IF(AND(F525="",INT(B525)&lt;TODAY()),"Needs a status","")))))</f>
        <v/>
      </c>
      <c r="I525" s="1">
        <f>IF(ISNUMBER(B525),INT(B525),0)</f>
        <v/>
      </c>
      <c r="J525">
        <f>IF(ISNUMBER(B525),YEAR(B525)*100+MONTH(B525),"")</f>
        <v/>
      </c>
      <c r="K525">
        <f>IF(AND(H525="",OR(F525="Attended",F525="No-show",AND(F525="Late cancel",Settings!$C$9="Yes"))),1,0)</f>
        <v/>
      </c>
      <c r="L525">
        <f>IF(AND(H525="",F525="Attended"),1,0)</f>
        <v/>
      </c>
      <c r="M525">
        <f>IF(AND(H525="",OR(F525="No-show",F525="Late cancel")),1,0)</f>
        <v/>
      </c>
      <c r="N525">
        <f>IF(AND(H525="",F525="",D525&lt;&gt;"",I525&gt;=TODAY()),ROUND((I525+IF(ISNUMBER(C525),MOD(C525,1),0))*1440,0)*10000+ROW(),"")</f>
        <v/>
      </c>
    </row>
    <row r="526">
      <c r="A526" s="1" t="n"/>
      <c r="B526" s="17" t="n"/>
      <c r="C526" s="18" t="n"/>
      <c r="D526" s="19" t="n"/>
      <c r="E526" s="20" t="n"/>
      <c r="F526" s="20" t="n"/>
      <c r="G526" s="21" t="n"/>
      <c r="H526" s="12">
        <f>IF(AND(B526="",D526="",F526=""),"",IF(NOT(ISNUMBER(B526)),"Needs a date",IF(D526="","Needs a client",IF(COUNTIF(Clients!$B$6:$B$105,D526)=0,"Not on Clients",IF(AND(F526="",INT(B526)&lt;TODAY()),"Needs a status","")))))</f>
        <v/>
      </c>
      <c r="I526" s="1">
        <f>IF(ISNUMBER(B526),INT(B526),0)</f>
        <v/>
      </c>
      <c r="J526">
        <f>IF(ISNUMBER(B526),YEAR(B526)*100+MONTH(B526),"")</f>
        <v/>
      </c>
      <c r="K526">
        <f>IF(AND(H526="",OR(F526="Attended",F526="No-show",AND(F526="Late cancel",Settings!$C$9="Yes"))),1,0)</f>
        <v/>
      </c>
      <c r="L526">
        <f>IF(AND(H526="",F526="Attended"),1,0)</f>
        <v/>
      </c>
      <c r="M526">
        <f>IF(AND(H526="",OR(F526="No-show",F526="Late cancel")),1,0)</f>
        <v/>
      </c>
      <c r="N526">
        <f>IF(AND(H526="",F526="",D526&lt;&gt;"",I526&gt;=TODAY()),ROUND((I526+IF(ISNUMBER(C526),MOD(C526,1),0))*1440,0)*10000+ROW(),"")</f>
        <v/>
      </c>
    </row>
    <row r="527">
      <c r="A527" s="1" t="n"/>
      <c r="B527" s="17" t="n"/>
      <c r="C527" s="18" t="n"/>
      <c r="D527" s="19" t="n"/>
      <c r="E527" s="20" t="n"/>
      <c r="F527" s="20" t="n"/>
      <c r="G527" s="21" t="n"/>
      <c r="H527" s="12">
        <f>IF(AND(B527="",D527="",F527=""),"",IF(NOT(ISNUMBER(B527)),"Needs a date",IF(D527="","Needs a client",IF(COUNTIF(Clients!$B$6:$B$105,D527)=0,"Not on Clients",IF(AND(F527="",INT(B527)&lt;TODAY()),"Needs a status","")))))</f>
        <v/>
      </c>
      <c r="I527" s="1">
        <f>IF(ISNUMBER(B527),INT(B527),0)</f>
        <v/>
      </c>
      <c r="J527">
        <f>IF(ISNUMBER(B527),YEAR(B527)*100+MONTH(B527),"")</f>
        <v/>
      </c>
      <c r="K527">
        <f>IF(AND(H527="",OR(F527="Attended",F527="No-show",AND(F527="Late cancel",Settings!$C$9="Yes"))),1,0)</f>
        <v/>
      </c>
      <c r="L527">
        <f>IF(AND(H527="",F527="Attended"),1,0)</f>
        <v/>
      </c>
      <c r="M527">
        <f>IF(AND(H527="",OR(F527="No-show",F527="Late cancel")),1,0)</f>
        <v/>
      </c>
      <c r="N527">
        <f>IF(AND(H527="",F527="",D527&lt;&gt;"",I527&gt;=TODAY()),ROUND((I527+IF(ISNUMBER(C527),MOD(C527,1),0))*1440,0)*10000+ROW(),"")</f>
        <v/>
      </c>
    </row>
    <row r="528">
      <c r="A528" s="1" t="n"/>
      <c r="B528" s="17" t="n"/>
      <c r="C528" s="18" t="n"/>
      <c r="D528" s="19" t="n"/>
      <c r="E528" s="20" t="n"/>
      <c r="F528" s="20" t="n"/>
      <c r="G528" s="21" t="n"/>
      <c r="H528" s="12">
        <f>IF(AND(B528="",D528="",F528=""),"",IF(NOT(ISNUMBER(B528)),"Needs a date",IF(D528="","Needs a client",IF(COUNTIF(Clients!$B$6:$B$105,D528)=0,"Not on Clients",IF(AND(F528="",INT(B528)&lt;TODAY()),"Needs a status","")))))</f>
        <v/>
      </c>
      <c r="I528" s="1">
        <f>IF(ISNUMBER(B528),INT(B528),0)</f>
        <v/>
      </c>
      <c r="J528">
        <f>IF(ISNUMBER(B528),YEAR(B528)*100+MONTH(B528),"")</f>
        <v/>
      </c>
      <c r="K528">
        <f>IF(AND(H528="",OR(F528="Attended",F528="No-show",AND(F528="Late cancel",Settings!$C$9="Yes"))),1,0)</f>
        <v/>
      </c>
      <c r="L528">
        <f>IF(AND(H528="",F528="Attended"),1,0)</f>
        <v/>
      </c>
      <c r="M528">
        <f>IF(AND(H528="",OR(F528="No-show",F528="Late cancel")),1,0)</f>
        <v/>
      </c>
      <c r="N528">
        <f>IF(AND(H528="",F528="",D528&lt;&gt;"",I528&gt;=TODAY()),ROUND((I528+IF(ISNUMBER(C528),MOD(C528,1),0))*1440,0)*10000+ROW(),"")</f>
        <v/>
      </c>
    </row>
    <row r="529">
      <c r="A529" s="1" t="n"/>
      <c r="B529" s="17" t="n"/>
      <c r="C529" s="18" t="n"/>
      <c r="D529" s="19" t="n"/>
      <c r="E529" s="20" t="n"/>
      <c r="F529" s="20" t="n"/>
      <c r="G529" s="21" t="n"/>
      <c r="H529" s="12">
        <f>IF(AND(B529="",D529="",F529=""),"",IF(NOT(ISNUMBER(B529)),"Needs a date",IF(D529="","Needs a client",IF(COUNTIF(Clients!$B$6:$B$105,D529)=0,"Not on Clients",IF(AND(F529="",INT(B529)&lt;TODAY()),"Needs a status","")))))</f>
        <v/>
      </c>
      <c r="I529" s="1">
        <f>IF(ISNUMBER(B529),INT(B529),0)</f>
        <v/>
      </c>
      <c r="J529">
        <f>IF(ISNUMBER(B529),YEAR(B529)*100+MONTH(B529),"")</f>
        <v/>
      </c>
      <c r="K529">
        <f>IF(AND(H529="",OR(F529="Attended",F529="No-show",AND(F529="Late cancel",Settings!$C$9="Yes"))),1,0)</f>
        <v/>
      </c>
      <c r="L529">
        <f>IF(AND(H529="",F529="Attended"),1,0)</f>
        <v/>
      </c>
      <c r="M529">
        <f>IF(AND(H529="",OR(F529="No-show",F529="Late cancel")),1,0)</f>
        <v/>
      </c>
      <c r="N529">
        <f>IF(AND(H529="",F529="",D529&lt;&gt;"",I529&gt;=TODAY()),ROUND((I529+IF(ISNUMBER(C529),MOD(C529,1),0))*1440,0)*10000+ROW(),"")</f>
        <v/>
      </c>
    </row>
    <row r="530">
      <c r="A530" s="1" t="n"/>
      <c r="B530" s="17" t="n"/>
      <c r="C530" s="18" t="n"/>
      <c r="D530" s="19" t="n"/>
      <c r="E530" s="20" t="n"/>
      <c r="F530" s="20" t="n"/>
      <c r="G530" s="21" t="n"/>
      <c r="H530" s="12">
        <f>IF(AND(B530="",D530="",F530=""),"",IF(NOT(ISNUMBER(B530)),"Needs a date",IF(D530="","Needs a client",IF(COUNTIF(Clients!$B$6:$B$105,D530)=0,"Not on Clients",IF(AND(F530="",INT(B530)&lt;TODAY()),"Needs a status","")))))</f>
        <v/>
      </c>
      <c r="I530" s="1">
        <f>IF(ISNUMBER(B530),INT(B530),0)</f>
        <v/>
      </c>
      <c r="J530">
        <f>IF(ISNUMBER(B530),YEAR(B530)*100+MONTH(B530),"")</f>
        <v/>
      </c>
      <c r="K530">
        <f>IF(AND(H530="",OR(F530="Attended",F530="No-show",AND(F530="Late cancel",Settings!$C$9="Yes"))),1,0)</f>
        <v/>
      </c>
      <c r="L530">
        <f>IF(AND(H530="",F530="Attended"),1,0)</f>
        <v/>
      </c>
      <c r="M530">
        <f>IF(AND(H530="",OR(F530="No-show",F530="Late cancel")),1,0)</f>
        <v/>
      </c>
      <c r="N530">
        <f>IF(AND(H530="",F530="",D530&lt;&gt;"",I530&gt;=TODAY()),ROUND((I530+IF(ISNUMBER(C530),MOD(C530,1),0))*1440,0)*10000+ROW(),"")</f>
        <v/>
      </c>
    </row>
    <row r="531">
      <c r="A531" s="1" t="n"/>
      <c r="B531" s="17" t="n"/>
      <c r="C531" s="18" t="n"/>
      <c r="D531" s="19" t="n"/>
      <c r="E531" s="20" t="n"/>
      <c r="F531" s="20" t="n"/>
      <c r="G531" s="21" t="n"/>
      <c r="H531" s="12">
        <f>IF(AND(B531="",D531="",F531=""),"",IF(NOT(ISNUMBER(B531)),"Needs a date",IF(D531="","Needs a client",IF(COUNTIF(Clients!$B$6:$B$105,D531)=0,"Not on Clients",IF(AND(F531="",INT(B531)&lt;TODAY()),"Needs a status","")))))</f>
        <v/>
      </c>
      <c r="I531" s="1">
        <f>IF(ISNUMBER(B531),INT(B531),0)</f>
        <v/>
      </c>
      <c r="J531">
        <f>IF(ISNUMBER(B531),YEAR(B531)*100+MONTH(B531),"")</f>
        <v/>
      </c>
      <c r="K531">
        <f>IF(AND(H531="",OR(F531="Attended",F531="No-show",AND(F531="Late cancel",Settings!$C$9="Yes"))),1,0)</f>
        <v/>
      </c>
      <c r="L531">
        <f>IF(AND(H531="",F531="Attended"),1,0)</f>
        <v/>
      </c>
      <c r="M531">
        <f>IF(AND(H531="",OR(F531="No-show",F531="Late cancel")),1,0)</f>
        <v/>
      </c>
      <c r="N531">
        <f>IF(AND(H531="",F531="",D531&lt;&gt;"",I531&gt;=TODAY()),ROUND((I531+IF(ISNUMBER(C531),MOD(C531,1),0))*1440,0)*10000+ROW(),"")</f>
        <v/>
      </c>
    </row>
    <row r="532">
      <c r="A532" s="1" t="n"/>
      <c r="B532" s="17" t="n"/>
      <c r="C532" s="18" t="n"/>
      <c r="D532" s="19" t="n"/>
      <c r="E532" s="20" t="n"/>
      <c r="F532" s="20" t="n"/>
      <c r="G532" s="21" t="n"/>
      <c r="H532" s="12">
        <f>IF(AND(B532="",D532="",F532=""),"",IF(NOT(ISNUMBER(B532)),"Needs a date",IF(D532="","Needs a client",IF(COUNTIF(Clients!$B$6:$B$105,D532)=0,"Not on Clients",IF(AND(F532="",INT(B532)&lt;TODAY()),"Needs a status","")))))</f>
        <v/>
      </c>
      <c r="I532" s="1">
        <f>IF(ISNUMBER(B532),INT(B532),0)</f>
        <v/>
      </c>
      <c r="J532">
        <f>IF(ISNUMBER(B532),YEAR(B532)*100+MONTH(B532),"")</f>
        <v/>
      </c>
      <c r="K532">
        <f>IF(AND(H532="",OR(F532="Attended",F532="No-show",AND(F532="Late cancel",Settings!$C$9="Yes"))),1,0)</f>
        <v/>
      </c>
      <c r="L532">
        <f>IF(AND(H532="",F532="Attended"),1,0)</f>
        <v/>
      </c>
      <c r="M532">
        <f>IF(AND(H532="",OR(F532="No-show",F532="Late cancel")),1,0)</f>
        <v/>
      </c>
      <c r="N532">
        <f>IF(AND(H532="",F532="",D532&lt;&gt;"",I532&gt;=TODAY()),ROUND((I532+IF(ISNUMBER(C532),MOD(C532,1),0))*1440,0)*10000+ROW(),"")</f>
        <v/>
      </c>
    </row>
    <row r="533">
      <c r="A533" s="1" t="n"/>
      <c r="B533" s="17" t="n"/>
      <c r="C533" s="18" t="n"/>
      <c r="D533" s="19" t="n"/>
      <c r="E533" s="20" t="n"/>
      <c r="F533" s="20" t="n"/>
      <c r="G533" s="21" t="n"/>
      <c r="H533" s="12">
        <f>IF(AND(B533="",D533="",F533=""),"",IF(NOT(ISNUMBER(B533)),"Needs a date",IF(D533="","Needs a client",IF(COUNTIF(Clients!$B$6:$B$105,D533)=0,"Not on Clients",IF(AND(F533="",INT(B533)&lt;TODAY()),"Needs a status","")))))</f>
        <v/>
      </c>
      <c r="I533" s="1">
        <f>IF(ISNUMBER(B533),INT(B533),0)</f>
        <v/>
      </c>
      <c r="J533">
        <f>IF(ISNUMBER(B533),YEAR(B533)*100+MONTH(B533),"")</f>
        <v/>
      </c>
      <c r="K533">
        <f>IF(AND(H533="",OR(F533="Attended",F533="No-show",AND(F533="Late cancel",Settings!$C$9="Yes"))),1,0)</f>
        <v/>
      </c>
      <c r="L533">
        <f>IF(AND(H533="",F533="Attended"),1,0)</f>
        <v/>
      </c>
      <c r="M533">
        <f>IF(AND(H533="",OR(F533="No-show",F533="Late cancel")),1,0)</f>
        <v/>
      </c>
      <c r="N533">
        <f>IF(AND(H533="",F533="",D533&lt;&gt;"",I533&gt;=TODAY()),ROUND((I533+IF(ISNUMBER(C533),MOD(C533,1),0))*1440,0)*10000+ROW(),"")</f>
        <v/>
      </c>
    </row>
    <row r="534">
      <c r="A534" s="1" t="n"/>
      <c r="B534" s="17" t="n"/>
      <c r="C534" s="18" t="n"/>
      <c r="D534" s="19" t="n"/>
      <c r="E534" s="20" t="n"/>
      <c r="F534" s="20" t="n"/>
      <c r="G534" s="21" t="n"/>
      <c r="H534" s="12">
        <f>IF(AND(B534="",D534="",F534=""),"",IF(NOT(ISNUMBER(B534)),"Needs a date",IF(D534="","Needs a client",IF(COUNTIF(Clients!$B$6:$B$105,D534)=0,"Not on Clients",IF(AND(F534="",INT(B534)&lt;TODAY()),"Needs a status","")))))</f>
        <v/>
      </c>
      <c r="I534" s="1">
        <f>IF(ISNUMBER(B534),INT(B534),0)</f>
        <v/>
      </c>
      <c r="J534">
        <f>IF(ISNUMBER(B534),YEAR(B534)*100+MONTH(B534),"")</f>
        <v/>
      </c>
      <c r="K534">
        <f>IF(AND(H534="",OR(F534="Attended",F534="No-show",AND(F534="Late cancel",Settings!$C$9="Yes"))),1,0)</f>
        <v/>
      </c>
      <c r="L534">
        <f>IF(AND(H534="",F534="Attended"),1,0)</f>
        <v/>
      </c>
      <c r="M534">
        <f>IF(AND(H534="",OR(F534="No-show",F534="Late cancel")),1,0)</f>
        <v/>
      </c>
      <c r="N534">
        <f>IF(AND(H534="",F534="",D534&lt;&gt;"",I534&gt;=TODAY()),ROUND((I534+IF(ISNUMBER(C534),MOD(C534,1),0))*1440,0)*10000+ROW(),"")</f>
        <v/>
      </c>
    </row>
    <row r="535">
      <c r="A535" s="1" t="n"/>
      <c r="B535" s="17" t="n"/>
      <c r="C535" s="18" t="n"/>
      <c r="D535" s="19" t="n"/>
      <c r="E535" s="20" t="n"/>
      <c r="F535" s="20" t="n"/>
      <c r="G535" s="21" t="n"/>
      <c r="H535" s="12">
        <f>IF(AND(B535="",D535="",F535=""),"",IF(NOT(ISNUMBER(B535)),"Needs a date",IF(D535="","Needs a client",IF(COUNTIF(Clients!$B$6:$B$105,D535)=0,"Not on Clients",IF(AND(F535="",INT(B535)&lt;TODAY()),"Needs a status","")))))</f>
        <v/>
      </c>
      <c r="I535" s="1">
        <f>IF(ISNUMBER(B535),INT(B535),0)</f>
        <v/>
      </c>
      <c r="J535">
        <f>IF(ISNUMBER(B535),YEAR(B535)*100+MONTH(B535),"")</f>
        <v/>
      </c>
      <c r="K535">
        <f>IF(AND(H535="",OR(F535="Attended",F535="No-show",AND(F535="Late cancel",Settings!$C$9="Yes"))),1,0)</f>
        <v/>
      </c>
      <c r="L535">
        <f>IF(AND(H535="",F535="Attended"),1,0)</f>
        <v/>
      </c>
      <c r="M535">
        <f>IF(AND(H535="",OR(F535="No-show",F535="Late cancel")),1,0)</f>
        <v/>
      </c>
      <c r="N535">
        <f>IF(AND(H535="",F535="",D535&lt;&gt;"",I535&gt;=TODAY()),ROUND((I535+IF(ISNUMBER(C535),MOD(C535,1),0))*1440,0)*10000+ROW(),"")</f>
        <v/>
      </c>
    </row>
    <row r="536">
      <c r="A536" s="1" t="n"/>
      <c r="B536" s="17" t="n"/>
      <c r="C536" s="18" t="n"/>
      <c r="D536" s="19" t="n"/>
      <c r="E536" s="20" t="n"/>
      <c r="F536" s="20" t="n"/>
      <c r="G536" s="21" t="n"/>
      <c r="H536" s="12">
        <f>IF(AND(B536="",D536="",F536=""),"",IF(NOT(ISNUMBER(B536)),"Needs a date",IF(D536="","Needs a client",IF(COUNTIF(Clients!$B$6:$B$105,D536)=0,"Not on Clients",IF(AND(F536="",INT(B536)&lt;TODAY()),"Needs a status","")))))</f>
        <v/>
      </c>
      <c r="I536" s="1">
        <f>IF(ISNUMBER(B536),INT(B536),0)</f>
        <v/>
      </c>
      <c r="J536">
        <f>IF(ISNUMBER(B536),YEAR(B536)*100+MONTH(B536),"")</f>
        <v/>
      </c>
      <c r="K536">
        <f>IF(AND(H536="",OR(F536="Attended",F536="No-show",AND(F536="Late cancel",Settings!$C$9="Yes"))),1,0)</f>
        <v/>
      </c>
      <c r="L536">
        <f>IF(AND(H536="",F536="Attended"),1,0)</f>
        <v/>
      </c>
      <c r="M536">
        <f>IF(AND(H536="",OR(F536="No-show",F536="Late cancel")),1,0)</f>
        <v/>
      </c>
      <c r="N536">
        <f>IF(AND(H536="",F536="",D536&lt;&gt;"",I536&gt;=TODAY()),ROUND((I536+IF(ISNUMBER(C536),MOD(C536,1),0))*1440,0)*10000+ROW(),"")</f>
        <v/>
      </c>
    </row>
    <row r="537">
      <c r="A537" s="1" t="n"/>
      <c r="B537" s="17" t="n"/>
      <c r="C537" s="18" t="n"/>
      <c r="D537" s="19" t="n"/>
      <c r="E537" s="20" t="n"/>
      <c r="F537" s="20" t="n"/>
      <c r="G537" s="21" t="n"/>
      <c r="H537" s="12">
        <f>IF(AND(B537="",D537="",F537=""),"",IF(NOT(ISNUMBER(B537)),"Needs a date",IF(D537="","Needs a client",IF(COUNTIF(Clients!$B$6:$B$105,D537)=0,"Not on Clients",IF(AND(F537="",INT(B537)&lt;TODAY()),"Needs a status","")))))</f>
        <v/>
      </c>
      <c r="I537" s="1">
        <f>IF(ISNUMBER(B537),INT(B537),0)</f>
        <v/>
      </c>
      <c r="J537">
        <f>IF(ISNUMBER(B537),YEAR(B537)*100+MONTH(B537),"")</f>
        <v/>
      </c>
      <c r="K537">
        <f>IF(AND(H537="",OR(F537="Attended",F537="No-show",AND(F537="Late cancel",Settings!$C$9="Yes"))),1,0)</f>
        <v/>
      </c>
      <c r="L537">
        <f>IF(AND(H537="",F537="Attended"),1,0)</f>
        <v/>
      </c>
      <c r="M537">
        <f>IF(AND(H537="",OR(F537="No-show",F537="Late cancel")),1,0)</f>
        <v/>
      </c>
      <c r="N537">
        <f>IF(AND(H537="",F537="",D537&lt;&gt;"",I537&gt;=TODAY()),ROUND((I537+IF(ISNUMBER(C537),MOD(C537,1),0))*1440,0)*10000+ROW(),"")</f>
        <v/>
      </c>
    </row>
    <row r="538">
      <c r="A538" s="1" t="n"/>
      <c r="B538" s="17" t="n"/>
      <c r="C538" s="18" t="n"/>
      <c r="D538" s="19" t="n"/>
      <c r="E538" s="20" t="n"/>
      <c r="F538" s="20" t="n"/>
      <c r="G538" s="21" t="n"/>
      <c r="H538" s="12">
        <f>IF(AND(B538="",D538="",F538=""),"",IF(NOT(ISNUMBER(B538)),"Needs a date",IF(D538="","Needs a client",IF(COUNTIF(Clients!$B$6:$B$105,D538)=0,"Not on Clients",IF(AND(F538="",INT(B538)&lt;TODAY()),"Needs a status","")))))</f>
        <v/>
      </c>
      <c r="I538" s="1">
        <f>IF(ISNUMBER(B538),INT(B538),0)</f>
        <v/>
      </c>
      <c r="J538">
        <f>IF(ISNUMBER(B538),YEAR(B538)*100+MONTH(B538),"")</f>
        <v/>
      </c>
      <c r="K538">
        <f>IF(AND(H538="",OR(F538="Attended",F538="No-show",AND(F538="Late cancel",Settings!$C$9="Yes"))),1,0)</f>
        <v/>
      </c>
      <c r="L538">
        <f>IF(AND(H538="",F538="Attended"),1,0)</f>
        <v/>
      </c>
      <c r="M538">
        <f>IF(AND(H538="",OR(F538="No-show",F538="Late cancel")),1,0)</f>
        <v/>
      </c>
      <c r="N538">
        <f>IF(AND(H538="",F538="",D538&lt;&gt;"",I538&gt;=TODAY()),ROUND((I538+IF(ISNUMBER(C538),MOD(C538,1),0))*1440,0)*10000+ROW(),"")</f>
        <v/>
      </c>
    </row>
    <row r="539">
      <c r="A539" s="1" t="n"/>
      <c r="B539" s="17" t="n"/>
      <c r="C539" s="18" t="n"/>
      <c r="D539" s="19" t="n"/>
      <c r="E539" s="20" t="n"/>
      <c r="F539" s="20" t="n"/>
      <c r="G539" s="21" t="n"/>
      <c r="H539" s="12">
        <f>IF(AND(B539="",D539="",F539=""),"",IF(NOT(ISNUMBER(B539)),"Needs a date",IF(D539="","Needs a client",IF(COUNTIF(Clients!$B$6:$B$105,D539)=0,"Not on Clients",IF(AND(F539="",INT(B539)&lt;TODAY()),"Needs a status","")))))</f>
        <v/>
      </c>
      <c r="I539" s="1">
        <f>IF(ISNUMBER(B539),INT(B539),0)</f>
        <v/>
      </c>
      <c r="J539">
        <f>IF(ISNUMBER(B539),YEAR(B539)*100+MONTH(B539),"")</f>
        <v/>
      </c>
      <c r="K539">
        <f>IF(AND(H539="",OR(F539="Attended",F539="No-show",AND(F539="Late cancel",Settings!$C$9="Yes"))),1,0)</f>
        <v/>
      </c>
      <c r="L539">
        <f>IF(AND(H539="",F539="Attended"),1,0)</f>
        <v/>
      </c>
      <c r="M539">
        <f>IF(AND(H539="",OR(F539="No-show",F539="Late cancel")),1,0)</f>
        <v/>
      </c>
      <c r="N539">
        <f>IF(AND(H539="",F539="",D539&lt;&gt;"",I539&gt;=TODAY()),ROUND((I539+IF(ISNUMBER(C539),MOD(C539,1),0))*1440,0)*10000+ROW(),"")</f>
        <v/>
      </c>
    </row>
    <row r="540">
      <c r="A540" s="1" t="n"/>
      <c r="B540" s="17" t="n"/>
      <c r="C540" s="18" t="n"/>
      <c r="D540" s="19" t="n"/>
      <c r="E540" s="20" t="n"/>
      <c r="F540" s="20" t="n"/>
      <c r="G540" s="21" t="n"/>
      <c r="H540" s="12">
        <f>IF(AND(B540="",D540="",F540=""),"",IF(NOT(ISNUMBER(B540)),"Needs a date",IF(D540="","Needs a client",IF(COUNTIF(Clients!$B$6:$B$105,D540)=0,"Not on Clients",IF(AND(F540="",INT(B540)&lt;TODAY()),"Needs a status","")))))</f>
        <v/>
      </c>
      <c r="I540" s="1">
        <f>IF(ISNUMBER(B540),INT(B540),0)</f>
        <v/>
      </c>
      <c r="J540">
        <f>IF(ISNUMBER(B540),YEAR(B540)*100+MONTH(B540),"")</f>
        <v/>
      </c>
      <c r="K540">
        <f>IF(AND(H540="",OR(F540="Attended",F540="No-show",AND(F540="Late cancel",Settings!$C$9="Yes"))),1,0)</f>
        <v/>
      </c>
      <c r="L540">
        <f>IF(AND(H540="",F540="Attended"),1,0)</f>
        <v/>
      </c>
      <c r="M540">
        <f>IF(AND(H540="",OR(F540="No-show",F540="Late cancel")),1,0)</f>
        <v/>
      </c>
      <c r="N540">
        <f>IF(AND(H540="",F540="",D540&lt;&gt;"",I540&gt;=TODAY()),ROUND((I540+IF(ISNUMBER(C540),MOD(C540,1),0))*1440,0)*10000+ROW(),"")</f>
        <v/>
      </c>
    </row>
    <row r="541">
      <c r="A541" s="1" t="n"/>
      <c r="B541" s="17" t="n"/>
      <c r="C541" s="18" t="n"/>
      <c r="D541" s="19" t="n"/>
      <c r="E541" s="20" t="n"/>
      <c r="F541" s="20" t="n"/>
      <c r="G541" s="21" t="n"/>
      <c r="H541" s="12">
        <f>IF(AND(B541="",D541="",F541=""),"",IF(NOT(ISNUMBER(B541)),"Needs a date",IF(D541="","Needs a client",IF(COUNTIF(Clients!$B$6:$B$105,D541)=0,"Not on Clients",IF(AND(F541="",INT(B541)&lt;TODAY()),"Needs a status","")))))</f>
        <v/>
      </c>
      <c r="I541" s="1">
        <f>IF(ISNUMBER(B541),INT(B541),0)</f>
        <v/>
      </c>
      <c r="J541">
        <f>IF(ISNUMBER(B541),YEAR(B541)*100+MONTH(B541),"")</f>
        <v/>
      </c>
      <c r="K541">
        <f>IF(AND(H541="",OR(F541="Attended",F541="No-show",AND(F541="Late cancel",Settings!$C$9="Yes"))),1,0)</f>
        <v/>
      </c>
      <c r="L541">
        <f>IF(AND(H541="",F541="Attended"),1,0)</f>
        <v/>
      </c>
      <c r="M541">
        <f>IF(AND(H541="",OR(F541="No-show",F541="Late cancel")),1,0)</f>
        <v/>
      </c>
      <c r="N541">
        <f>IF(AND(H541="",F541="",D541&lt;&gt;"",I541&gt;=TODAY()),ROUND((I541+IF(ISNUMBER(C541),MOD(C541,1),0))*1440,0)*10000+ROW(),"")</f>
        <v/>
      </c>
    </row>
    <row r="542">
      <c r="A542" s="1" t="n"/>
      <c r="B542" s="17" t="n"/>
      <c r="C542" s="18" t="n"/>
      <c r="D542" s="19" t="n"/>
      <c r="E542" s="20" t="n"/>
      <c r="F542" s="20" t="n"/>
      <c r="G542" s="21" t="n"/>
      <c r="H542" s="12">
        <f>IF(AND(B542="",D542="",F542=""),"",IF(NOT(ISNUMBER(B542)),"Needs a date",IF(D542="","Needs a client",IF(COUNTIF(Clients!$B$6:$B$105,D542)=0,"Not on Clients",IF(AND(F542="",INT(B542)&lt;TODAY()),"Needs a status","")))))</f>
        <v/>
      </c>
      <c r="I542" s="1">
        <f>IF(ISNUMBER(B542),INT(B542),0)</f>
        <v/>
      </c>
      <c r="J542">
        <f>IF(ISNUMBER(B542),YEAR(B542)*100+MONTH(B542),"")</f>
        <v/>
      </c>
      <c r="K542">
        <f>IF(AND(H542="",OR(F542="Attended",F542="No-show",AND(F542="Late cancel",Settings!$C$9="Yes"))),1,0)</f>
        <v/>
      </c>
      <c r="L542">
        <f>IF(AND(H542="",F542="Attended"),1,0)</f>
        <v/>
      </c>
      <c r="M542">
        <f>IF(AND(H542="",OR(F542="No-show",F542="Late cancel")),1,0)</f>
        <v/>
      </c>
      <c r="N542">
        <f>IF(AND(H542="",F542="",D542&lt;&gt;"",I542&gt;=TODAY()),ROUND((I542+IF(ISNUMBER(C542),MOD(C542,1),0))*1440,0)*10000+ROW(),"")</f>
        <v/>
      </c>
    </row>
    <row r="543">
      <c r="A543" s="1" t="n"/>
      <c r="B543" s="17" t="n"/>
      <c r="C543" s="18" t="n"/>
      <c r="D543" s="19" t="n"/>
      <c r="E543" s="20" t="n"/>
      <c r="F543" s="20" t="n"/>
      <c r="G543" s="21" t="n"/>
      <c r="H543" s="12">
        <f>IF(AND(B543="",D543="",F543=""),"",IF(NOT(ISNUMBER(B543)),"Needs a date",IF(D543="","Needs a client",IF(COUNTIF(Clients!$B$6:$B$105,D543)=0,"Not on Clients",IF(AND(F543="",INT(B543)&lt;TODAY()),"Needs a status","")))))</f>
        <v/>
      </c>
      <c r="I543" s="1">
        <f>IF(ISNUMBER(B543),INT(B543),0)</f>
        <v/>
      </c>
      <c r="J543">
        <f>IF(ISNUMBER(B543),YEAR(B543)*100+MONTH(B543),"")</f>
        <v/>
      </c>
      <c r="K543">
        <f>IF(AND(H543="",OR(F543="Attended",F543="No-show",AND(F543="Late cancel",Settings!$C$9="Yes"))),1,0)</f>
        <v/>
      </c>
      <c r="L543">
        <f>IF(AND(H543="",F543="Attended"),1,0)</f>
        <v/>
      </c>
      <c r="M543">
        <f>IF(AND(H543="",OR(F543="No-show",F543="Late cancel")),1,0)</f>
        <v/>
      </c>
      <c r="N543">
        <f>IF(AND(H543="",F543="",D543&lt;&gt;"",I543&gt;=TODAY()),ROUND((I543+IF(ISNUMBER(C543),MOD(C543,1),0))*1440,0)*10000+ROW(),"")</f>
        <v/>
      </c>
    </row>
    <row r="544">
      <c r="A544" s="1" t="n"/>
      <c r="B544" s="17" t="n"/>
      <c r="C544" s="18" t="n"/>
      <c r="D544" s="19" t="n"/>
      <c r="E544" s="20" t="n"/>
      <c r="F544" s="20" t="n"/>
      <c r="G544" s="21" t="n"/>
      <c r="H544" s="12">
        <f>IF(AND(B544="",D544="",F544=""),"",IF(NOT(ISNUMBER(B544)),"Needs a date",IF(D544="","Needs a client",IF(COUNTIF(Clients!$B$6:$B$105,D544)=0,"Not on Clients",IF(AND(F544="",INT(B544)&lt;TODAY()),"Needs a status","")))))</f>
        <v/>
      </c>
      <c r="I544" s="1">
        <f>IF(ISNUMBER(B544),INT(B544),0)</f>
        <v/>
      </c>
      <c r="J544">
        <f>IF(ISNUMBER(B544),YEAR(B544)*100+MONTH(B544),"")</f>
        <v/>
      </c>
      <c r="K544">
        <f>IF(AND(H544="",OR(F544="Attended",F544="No-show",AND(F544="Late cancel",Settings!$C$9="Yes"))),1,0)</f>
        <v/>
      </c>
      <c r="L544">
        <f>IF(AND(H544="",F544="Attended"),1,0)</f>
        <v/>
      </c>
      <c r="M544">
        <f>IF(AND(H544="",OR(F544="No-show",F544="Late cancel")),1,0)</f>
        <v/>
      </c>
      <c r="N544">
        <f>IF(AND(H544="",F544="",D544&lt;&gt;"",I544&gt;=TODAY()),ROUND((I544+IF(ISNUMBER(C544),MOD(C544,1),0))*1440,0)*10000+ROW(),"")</f>
        <v/>
      </c>
    </row>
    <row r="545">
      <c r="A545" s="1" t="n"/>
      <c r="B545" s="17" t="n"/>
      <c r="C545" s="18" t="n"/>
      <c r="D545" s="19" t="n"/>
      <c r="E545" s="20" t="n"/>
      <c r="F545" s="20" t="n"/>
      <c r="G545" s="21" t="n"/>
      <c r="H545" s="12">
        <f>IF(AND(B545="",D545="",F545=""),"",IF(NOT(ISNUMBER(B545)),"Needs a date",IF(D545="","Needs a client",IF(COUNTIF(Clients!$B$6:$B$105,D545)=0,"Not on Clients",IF(AND(F545="",INT(B545)&lt;TODAY()),"Needs a status","")))))</f>
        <v/>
      </c>
      <c r="I545" s="1">
        <f>IF(ISNUMBER(B545),INT(B545),0)</f>
        <v/>
      </c>
      <c r="J545">
        <f>IF(ISNUMBER(B545),YEAR(B545)*100+MONTH(B545),"")</f>
        <v/>
      </c>
      <c r="K545">
        <f>IF(AND(H545="",OR(F545="Attended",F545="No-show",AND(F545="Late cancel",Settings!$C$9="Yes"))),1,0)</f>
        <v/>
      </c>
      <c r="L545">
        <f>IF(AND(H545="",F545="Attended"),1,0)</f>
        <v/>
      </c>
      <c r="M545">
        <f>IF(AND(H545="",OR(F545="No-show",F545="Late cancel")),1,0)</f>
        <v/>
      </c>
      <c r="N545">
        <f>IF(AND(H545="",F545="",D545&lt;&gt;"",I545&gt;=TODAY()),ROUND((I545+IF(ISNUMBER(C545),MOD(C545,1),0))*1440,0)*10000+ROW(),"")</f>
        <v/>
      </c>
    </row>
    <row r="546">
      <c r="A546" s="1" t="n"/>
      <c r="B546" s="17" t="n"/>
      <c r="C546" s="18" t="n"/>
      <c r="D546" s="19" t="n"/>
      <c r="E546" s="20" t="n"/>
      <c r="F546" s="20" t="n"/>
      <c r="G546" s="21" t="n"/>
      <c r="H546" s="12">
        <f>IF(AND(B546="",D546="",F546=""),"",IF(NOT(ISNUMBER(B546)),"Needs a date",IF(D546="","Needs a client",IF(COUNTIF(Clients!$B$6:$B$105,D546)=0,"Not on Clients",IF(AND(F546="",INT(B546)&lt;TODAY()),"Needs a status","")))))</f>
        <v/>
      </c>
      <c r="I546" s="1">
        <f>IF(ISNUMBER(B546),INT(B546),0)</f>
        <v/>
      </c>
      <c r="J546">
        <f>IF(ISNUMBER(B546),YEAR(B546)*100+MONTH(B546),"")</f>
        <v/>
      </c>
      <c r="K546">
        <f>IF(AND(H546="",OR(F546="Attended",F546="No-show",AND(F546="Late cancel",Settings!$C$9="Yes"))),1,0)</f>
        <v/>
      </c>
      <c r="L546">
        <f>IF(AND(H546="",F546="Attended"),1,0)</f>
        <v/>
      </c>
      <c r="M546">
        <f>IF(AND(H546="",OR(F546="No-show",F546="Late cancel")),1,0)</f>
        <v/>
      </c>
      <c r="N546">
        <f>IF(AND(H546="",F546="",D546&lt;&gt;"",I546&gt;=TODAY()),ROUND((I546+IF(ISNUMBER(C546),MOD(C546,1),0))*1440,0)*10000+ROW(),"")</f>
        <v/>
      </c>
    </row>
    <row r="547">
      <c r="A547" s="1" t="n"/>
      <c r="B547" s="17" t="n"/>
      <c r="C547" s="18" t="n"/>
      <c r="D547" s="19" t="n"/>
      <c r="E547" s="20" t="n"/>
      <c r="F547" s="20" t="n"/>
      <c r="G547" s="21" t="n"/>
      <c r="H547" s="12">
        <f>IF(AND(B547="",D547="",F547=""),"",IF(NOT(ISNUMBER(B547)),"Needs a date",IF(D547="","Needs a client",IF(COUNTIF(Clients!$B$6:$B$105,D547)=0,"Not on Clients",IF(AND(F547="",INT(B547)&lt;TODAY()),"Needs a status","")))))</f>
        <v/>
      </c>
      <c r="I547" s="1">
        <f>IF(ISNUMBER(B547),INT(B547),0)</f>
        <v/>
      </c>
      <c r="J547">
        <f>IF(ISNUMBER(B547),YEAR(B547)*100+MONTH(B547),"")</f>
        <v/>
      </c>
      <c r="K547">
        <f>IF(AND(H547="",OR(F547="Attended",F547="No-show",AND(F547="Late cancel",Settings!$C$9="Yes"))),1,0)</f>
        <v/>
      </c>
      <c r="L547">
        <f>IF(AND(H547="",F547="Attended"),1,0)</f>
        <v/>
      </c>
      <c r="M547">
        <f>IF(AND(H547="",OR(F547="No-show",F547="Late cancel")),1,0)</f>
        <v/>
      </c>
      <c r="N547">
        <f>IF(AND(H547="",F547="",D547&lt;&gt;"",I547&gt;=TODAY()),ROUND((I547+IF(ISNUMBER(C547),MOD(C547,1),0))*1440,0)*10000+ROW(),"")</f>
        <v/>
      </c>
    </row>
    <row r="548">
      <c r="A548" s="1" t="n"/>
      <c r="B548" s="17" t="n"/>
      <c r="C548" s="18" t="n"/>
      <c r="D548" s="19" t="n"/>
      <c r="E548" s="20" t="n"/>
      <c r="F548" s="20" t="n"/>
      <c r="G548" s="21" t="n"/>
      <c r="H548" s="12">
        <f>IF(AND(B548="",D548="",F548=""),"",IF(NOT(ISNUMBER(B548)),"Needs a date",IF(D548="","Needs a client",IF(COUNTIF(Clients!$B$6:$B$105,D548)=0,"Not on Clients",IF(AND(F548="",INT(B548)&lt;TODAY()),"Needs a status","")))))</f>
        <v/>
      </c>
      <c r="I548" s="1">
        <f>IF(ISNUMBER(B548),INT(B548),0)</f>
        <v/>
      </c>
      <c r="J548">
        <f>IF(ISNUMBER(B548),YEAR(B548)*100+MONTH(B548),"")</f>
        <v/>
      </c>
      <c r="K548">
        <f>IF(AND(H548="",OR(F548="Attended",F548="No-show",AND(F548="Late cancel",Settings!$C$9="Yes"))),1,0)</f>
        <v/>
      </c>
      <c r="L548">
        <f>IF(AND(H548="",F548="Attended"),1,0)</f>
        <v/>
      </c>
      <c r="M548">
        <f>IF(AND(H548="",OR(F548="No-show",F548="Late cancel")),1,0)</f>
        <v/>
      </c>
      <c r="N548">
        <f>IF(AND(H548="",F548="",D548&lt;&gt;"",I548&gt;=TODAY()),ROUND((I548+IF(ISNUMBER(C548),MOD(C548,1),0))*1440,0)*10000+ROW(),"")</f>
        <v/>
      </c>
    </row>
    <row r="549">
      <c r="A549" s="1" t="n"/>
      <c r="B549" s="17" t="n"/>
      <c r="C549" s="18" t="n"/>
      <c r="D549" s="19" t="n"/>
      <c r="E549" s="20" t="n"/>
      <c r="F549" s="20" t="n"/>
      <c r="G549" s="21" t="n"/>
      <c r="H549" s="12">
        <f>IF(AND(B549="",D549="",F549=""),"",IF(NOT(ISNUMBER(B549)),"Needs a date",IF(D549="","Needs a client",IF(COUNTIF(Clients!$B$6:$B$105,D549)=0,"Not on Clients",IF(AND(F549="",INT(B549)&lt;TODAY()),"Needs a status","")))))</f>
        <v/>
      </c>
      <c r="I549" s="1">
        <f>IF(ISNUMBER(B549),INT(B549),0)</f>
        <v/>
      </c>
      <c r="J549">
        <f>IF(ISNUMBER(B549),YEAR(B549)*100+MONTH(B549),"")</f>
        <v/>
      </c>
      <c r="K549">
        <f>IF(AND(H549="",OR(F549="Attended",F549="No-show",AND(F549="Late cancel",Settings!$C$9="Yes"))),1,0)</f>
        <v/>
      </c>
      <c r="L549">
        <f>IF(AND(H549="",F549="Attended"),1,0)</f>
        <v/>
      </c>
      <c r="M549">
        <f>IF(AND(H549="",OR(F549="No-show",F549="Late cancel")),1,0)</f>
        <v/>
      </c>
      <c r="N549">
        <f>IF(AND(H549="",F549="",D549&lt;&gt;"",I549&gt;=TODAY()),ROUND((I549+IF(ISNUMBER(C549),MOD(C549,1),0))*1440,0)*10000+ROW(),"")</f>
        <v/>
      </c>
    </row>
    <row r="550">
      <c r="A550" s="1" t="n"/>
      <c r="B550" s="17" t="n"/>
      <c r="C550" s="18" t="n"/>
      <c r="D550" s="19" t="n"/>
      <c r="E550" s="20" t="n"/>
      <c r="F550" s="20" t="n"/>
      <c r="G550" s="21" t="n"/>
      <c r="H550" s="12">
        <f>IF(AND(B550="",D550="",F550=""),"",IF(NOT(ISNUMBER(B550)),"Needs a date",IF(D550="","Needs a client",IF(COUNTIF(Clients!$B$6:$B$105,D550)=0,"Not on Clients",IF(AND(F550="",INT(B550)&lt;TODAY()),"Needs a status","")))))</f>
        <v/>
      </c>
      <c r="I550" s="1">
        <f>IF(ISNUMBER(B550),INT(B550),0)</f>
        <v/>
      </c>
      <c r="J550">
        <f>IF(ISNUMBER(B550),YEAR(B550)*100+MONTH(B550),"")</f>
        <v/>
      </c>
      <c r="K550">
        <f>IF(AND(H550="",OR(F550="Attended",F550="No-show",AND(F550="Late cancel",Settings!$C$9="Yes"))),1,0)</f>
        <v/>
      </c>
      <c r="L550">
        <f>IF(AND(H550="",F550="Attended"),1,0)</f>
        <v/>
      </c>
      <c r="M550">
        <f>IF(AND(H550="",OR(F550="No-show",F550="Late cancel")),1,0)</f>
        <v/>
      </c>
      <c r="N550">
        <f>IF(AND(H550="",F550="",D550&lt;&gt;"",I550&gt;=TODAY()),ROUND((I550+IF(ISNUMBER(C550),MOD(C550,1),0))*1440,0)*10000+ROW(),"")</f>
        <v/>
      </c>
    </row>
    <row r="551">
      <c r="A551" s="1" t="n"/>
      <c r="B551" s="17" t="n"/>
      <c r="C551" s="18" t="n"/>
      <c r="D551" s="19" t="n"/>
      <c r="E551" s="20" t="n"/>
      <c r="F551" s="20" t="n"/>
      <c r="G551" s="21" t="n"/>
      <c r="H551" s="12">
        <f>IF(AND(B551="",D551="",F551=""),"",IF(NOT(ISNUMBER(B551)),"Needs a date",IF(D551="","Needs a client",IF(COUNTIF(Clients!$B$6:$B$105,D551)=0,"Not on Clients",IF(AND(F551="",INT(B551)&lt;TODAY()),"Needs a status","")))))</f>
        <v/>
      </c>
      <c r="I551" s="1">
        <f>IF(ISNUMBER(B551),INT(B551),0)</f>
        <v/>
      </c>
      <c r="J551">
        <f>IF(ISNUMBER(B551),YEAR(B551)*100+MONTH(B551),"")</f>
        <v/>
      </c>
      <c r="K551">
        <f>IF(AND(H551="",OR(F551="Attended",F551="No-show",AND(F551="Late cancel",Settings!$C$9="Yes"))),1,0)</f>
        <v/>
      </c>
      <c r="L551">
        <f>IF(AND(H551="",F551="Attended"),1,0)</f>
        <v/>
      </c>
      <c r="M551">
        <f>IF(AND(H551="",OR(F551="No-show",F551="Late cancel")),1,0)</f>
        <v/>
      </c>
      <c r="N551">
        <f>IF(AND(H551="",F551="",D551&lt;&gt;"",I551&gt;=TODAY()),ROUND((I551+IF(ISNUMBER(C551),MOD(C551,1),0))*1440,0)*10000+ROW(),"")</f>
        <v/>
      </c>
    </row>
    <row r="552">
      <c r="A552" s="1" t="n"/>
      <c r="B552" s="17" t="n"/>
      <c r="C552" s="18" t="n"/>
      <c r="D552" s="19" t="n"/>
      <c r="E552" s="20" t="n"/>
      <c r="F552" s="20" t="n"/>
      <c r="G552" s="21" t="n"/>
      <c r="H552" s="12">
        <f>IF(AND(B552="",D552="",F552=""),"",IF(NOT(ISNUMBER(B552)),"Needs a date",IF(D552="","Needs a client",IF(COUNTIF(Clients!$B$6:$B$105,D552)=0,"Not on Clients",IF(AND(F552="",INT(B552)&lt;TODAY()),"Needs a status","")))))</f>
        <v/>
      </c>
      <c r="I552" s="1">
        <f>IF(ISNUMBER(B552),INT(B552),0)</f>
        <v/>
      </c>
      <c r="J552">
        <f>IF(ISNUMBER(B552),YEAR(B552)*100+MONTH(B552),"")</f>
        <v/>
      </c>
      <c r="K552">
        <f>IF(AND(H552="",OR(F552="Attended",F552="No-show",AND(F552="Late cancel",Settings!$C$9="Yes"))),1,0)</f>
        <v/>
      </c>
      <c r="L552">
        <f>IF(AND(H552="",F552="Attended"),1,0)</f>
        <v/>
      </c>
      <c r="M552">
        <f>IF(AND(H552="",OR(F552="No-show",F552="Late cancel")),1,0)</f>
        <v/>
      </c>
      <c r="N552">
        <f>IF(AND(H552="",F552="",D552&lt;&gt;"",I552&gt;=TODAY()),ROUND((I552+IF(ISNUMBER(C552),MOD(C552,1),0))*1440,0)*10000+ROW(),"")</f>
        <v/>
      </c>
    </row>
    <row r="553">
      <c r="A553" s="1" t="n"/>
      <c r="B553" s="17" t="n"/>
      <c r="C553" s="18" t="n"/>
      <c r="D553" s="19" t="n"/>
      <c r="E553" s="20" t="n"/>
      <c r="F553" s="20" t="n"/>
      <c r="G553" s="21" t="n"/>
      <c r="H553" s="12">
        <f>IF(AND(B553="",D553="",F553=""),"",IF(NOT(ISNUMBER(B553)),"Needs a date",IF(D553="","Needs a client",IF(COUNTIF(Clients!$B$6:$B$105,D553)=0,"Not on Clients",IF(AND(F553="",INT(B553)&lt;TODAY()),"Needs a status","")))))</f>
        <v/>
      </c>
      <c r="I553" s="1">
        <f>IF(ISNUMBER(B553),INT(B553),0)</f>
        <v/>
      </c>
      <c r="J553">
        <f>IF(ISNUMBER(B553),YEAR(B553)*100+MONTH(B553),"")</f>
        <v/>
      </c>
      <c r="K553">
        <f>IF(AND(H553="",OR(F553="Attended",F553="No-show",AND(F553="Late cancel",Settings!$C$9="Yes"))),1,0)</f>
        <v/>
      </c>
      <c r="L553">
        <f>IF(AND(H553="",F553="Attended"),1,0)</f>
        <v/>
      </c>
      <c r="M553">
        <f>IF(AND(H553="",OR(F553="No-show",F553="Late cancel")),1,0)</f>
        <v/>
      </c>
      <c r="N553">
        <f>IF(AND(H553="",F553="",D553&lt;&gt;"",I553&gt;=TODAY()),ROUND((I553+IF(ISNUMBER(C553),MOD(C553,1),0))*1440,0)*10000+ROW(),"")</f>
        <v/>
      </c>
    </row>
    <row r="554">
      <c r="A554" s="1" t="n"/>
      <c r="B554" s="17" t="n"/>
      <c r="C554" s="18" t="n"/>
      <c r="D554" s="19" t="n"/>
      <c r="E554" s="20" t="n"/>
      <c r="F554" s="20" t="n"/>
      <c r="G554" s="21" t="n"/>
      <c r="H554" s="12">
        <f>IF(AND(B554="",D554="",F554=""),"",IF(NOT(ISNUMBER(B554)),"Needs a date",IF(D554="","Needs a client",IF(COUNTIF(Clients!$B$6:$B$105,D554)=0,"Not on Clients",IF(AND(F554="",INT(B554)&lt;TODAY()),"Needs a status","")))))</f>
        <v/>
      </c>
      <c r="I554" s="1">
        <f>IF(ISNUMBER(B554),INT(B554),0)</f>
        <v/>
      </c>
      <c r="J554">
        <f>IF(ISNUMBER(B554),YEAR(B554)*100+MONTH(B554),"")</f>
        <v/>
      </c>
      <c r="K554">
        <f>IF(AND(H554="",OR(F554="Attended",F554="No-show",AND(F554="Late cancel",Settings!$C$9="Yes"))),1,0)</f>
        <v/>
      </c>
      <c r="L554">
        <f>IF(AND(H554="",F554="Attended"),1,0)</f>
        <v/>
      </c>
      <c r="M554">
        <f>IF(AND(H554="",OR(F554="No-show",F554="Late cancel")),1,0)</f>
        <v/>
      </c>
      <c r="N554">
        <f>IF(AND(H554="",F554="",D554&lt;&gt;"",I554&gt;=TODAY()),ROUND((I554+IF(ISNUMBER(C554),MOD(C554,1),0))*1440,0)*10000+ROW(),"")</f>
        <v/>
      </c>
    </row>
    <row r="555">
      <c r="A555" s="1" t="n"/>
      <c r="B555" s="17" t="n"/>
      <c r="C555" s="18" t="n"/>
      <c r="D555" s="19" t="n"/>
      <c r="E555" s="20" t="n"/>
      <c r="F555" s="20" t="n"/>
      <c r="G555" s="21" t="n"/>
      <c r="H555" s="12">
        <f>IF(AND(B555="",D555="",F555=""),"",IF(NOT(ISNUMBER(B555)),"Needs a date",IF(D555="","Needs a client",IF(COUNTIF(Clients!$B$6:$B$105,D555)=0,"Not on Clients",IF(AND(F555="",INT(B555)&lt;TODAY()),"Needs a status","")))))</f>
        <v/>
      </c>
      <c r="I555" s="1">
        <f>IF(ISNUMBER(B555),INT(B555),0)</f>
        <v/>
      </c>
      <c r="J555">
        <f>IF(ISNUMBER(B555),YEAR(B555)*100+MONTH(B555),"")</f>
        <v/>
      </c>
      <c r="K555">
        <f>IF(AND(H555="",OR(F555="Attended",F555="No-show",AND(F555="Late cancel",Settings!$C$9="Yes"))),1,0)</f>
        <v/>
      </c>
      <c r="L555">
        <f>IF(AND(H555="",F555="Attended"),1,0)</f>
        <v/>
      </c>
      <c r="M555">
        <f>IF(AND(H555="",OR(F555="No-show",F555="Late cancel")),1,0)</f>
        <v/>
      </c>
      <c r="N555">
        <f>IF(AND(H555="",F555="",D555&lt;&gt;"",I555&gt;=TODAY()),ROUND((I555+IF(ISNUMBER(C555),MOD(C555,1),0))*1440,0)*10000+ROW(),"")</f>
        <v/>
      </c>
    </row>
    <row r="556">
      <c r="A556" s="1" t="n"/>
      <c r="B556" s="17" t="n"/>
      <c r="C556" s="18" t="n"/>
      <c r="D556" s="19" t="n"/>
      <c r="E556" s="20" t="n"/>
      <c r="F556" s="20" t="n"/>
      <c r="G556" s="21" t="n"/>
      <c r="H556" s="12">
        <f>IF(AND(B556="",D556="",F556=""),"",IF(NOT(ISNUMBER(B556)),"Needs a date",IF(D556="","Needs a client",IF(COUNTIF(Clients!$B$6:$B$105,D556)=0,"Not on Clients",IF(AND(F556="",INT(B556)&lt;TODAY()),"Needs a status","")))))</f>
        <v/>
      </c>
      <c r="I556" s="1">
        <f>IF(ISNUMBER(B556),INT(B556),0)</f>
        <v/>
      </c>
      <c r="J556">
        <f>IF(ISNUMBER(B556),YEAR(B556)*100+MONTH(B556),"")</f>
        <v/>
      </c>
      <c r="K556">
        <f>IF(AND(H556="",OR(F556="Attended",F556="No-show",AND(F556="Late cancel",Settings!$C$9="Yes"))),1,0)</f>
        <v/>
      </c>
      <c r="L556">
        <f>IF(AND(H556="",F556="Attended"),1,0)</f>
        <v/>
      </c>
      <c r="M556">
        <f>IF(AND(H556="",OR(F556="No-show",F556="Late cancel")),1,0)</f>
        <v/>
      </c>
      <c r="N556">
        <f>IF(AND(H556="",F556="",D556&lt;&gt;"",I556&gt;=TODAY()),ROUND((I556+IF(ISNUMBER(C556),MOD(C556,1),0))*1440,0)*10000+ROW(),"")</f>
        <v/>
      </c>
    </row>
    <row r="557">
      <c r="A557" s="1" t="n"/>
      <c r="B557" s="17" t="n"/>
      <c r="C557" s="18" t="n"/>
      <c r="D557" s="19" t="n"/>
      <c r="E557" s="20" t="n"/>
      <c r="F557" s="20" t="n"/>
      <c r="G557" s="21" t="n"/>
      <c r="H557" s="12">
        <f>IF(AND(B557="",D557="",F557=""),"",IF(NOT(ISNUMBER(B557)),"Needs a date",IF(D557="","Needs a client",IF(COUNTIF(Clients!$B$6:$B$105,D557)=0,"Not on Clients",IF(AND(F557="",INT(B557)&lt;TODAY()),"Needs a status","")))))</f>
        <v/>
      </c>
      <c r="I557" s="1">
        <f>IF(ISNUMBER(B557),INT(B557),0)</f>
        <v/>
      </c>
      <c r="J557">
        <f>IF(ISNUMBER(B557),YEAR(B557)*100+MONTH(B557),"")</f>
        <v/>
      </c>
      <c r="K557">
        <f>IF(AND(H557="",OR(F557="Attended",F557="No-show",AND(F557="Late cancel",Settings!$C$9="Yes"))),1,0)</f>
        <v/>
      </c>
      <c r="L557">
        <f>IF(AND(H557="",F557="Attended"),1,0)</f>
        <v/>
      </c>
      <c r="M557">
        <f>IF(AND(H557="",OR(F557="No-show",F557="Late cancel")),1,0)</f>
        <v/>
      </c>
      <c r="N557">
        <f>IF(AND(H557="",F557="",D557&lt;&gt;"",I557&gt;=TODAY()),ROUND((I557+IF(ISNUMBER(C557),MOD(C557,1),0))*1440,0)*10000+ROW(),"")</f>
        <v/>
      </c>
    </row>
    <row r="558">
      <c r="A558" s="1" t="n"/>
      <c r="B558" s="17" t="n"/>
      <c r="C558" s="18" t="n"/>
      <c r="D558" s="19" t="n"/>
      <c r="E558" s="20" t="n"/>
      <c r="F558" s="20" t="n"/>
      <c r="G558" s="21" t="n"/>
      <c r="H558" s="12">
        <f>IF(AND(B558="",D558="",F558=""),"",IF(NOT(ISNUMBER(B558)),"Needs a date",IF(D558="","Needs a client",IF(COUNTIF(Clients!$B$6:$B$105,D558)=0,"Not on Clients",IF(AND(F558="",INT(B558)&lt;TODAY()),"Needs a status","")))))</f>
        <v/>
      </c>
      <c r="I558" s="1">
        <f>IF(ISNUMBER(B558),INT(B558),0)</f>
        <v/>
      </c>
      <c r="J558">
        <f>IF(ISNUMBER(B558),YEAR(B558)*100+MONTH(B558),"")</f>
        <v/>
      </c>
      <c r="K558">
        <f>IF(AND(H558="",OR(F558="Attended",F558="No-show",AND(F558="Late cancel",Settings!$C$9="Yes"))),1,0)</f>
        <v/>
      </c>
      <c r="L558">
        <f>IF(AND(H558="",F558="Attended"),1,0)</f>
        <v/>
      </c>
      <c r="M558">
        <f>IF(AND(H558="",OR(F558="No-show",F558="Late cancel")),1,0)</f>
        <v/>
      </c>
      <c r="N558">
        <f>IF(AND(H558="",F558="",D558&lt;&gt;"",I558&gt;=TODAY()),ROUND((I558+IF(ISNUMBER(C558),MOD(C558,1),0))*1440,0)*10000+ROW(),"")</f>
        <v/>
      </c>
    </row>
    <row r="559">
      <c r="A559" s="1" t="n"/>
      <c r="B559" s="17" t="n"/>
      <c r="C559" s="18" t="n"/>
      <c r="D559" s="19" t="n"/>
      <c r="E559" s="20" t="n"/>
      <c r="F559" s="20" t="n"/>
      <c r="G559" s="21" t="n"/>
      <c r="H559" s="12">
        <f>IF(AND(B559="",D559="",F559=""),"",IF(NOT(ISNUMBER(B559)),"Needs a date",IF(D559="","Needs a client",IF(COUNTIF(Clients!$B$6:$B$105,D559)=0,"Not on Clients",IF(AND(F559="",INT(B559)&lt;TODAY()),"Needs a status","")))))</f>
        <v/>
      </c>
      <c r="I559" s="1">
        <f>IF(ISNUMBER(B559),INT(B559),0)</f>
        <v/>
      </c>
      <c r="J559">
        <f>IF(ISNUMBER(B559),YEAR(B559)*100+MONTH(B559),"")</f>
        <v/>
      </c>
      <c r="K559">
        <f>IF(AND(H559="",OR(F559="Attended",F559="No-show",AND(F559="Late cancel",Settings!$C$9="Yes"))),1,0)</f>
        <v/>
      </c>
      <c r="L559">
        <f>IF(AND(H559="",F559="Attended"),1,0)</f>
        <v/>
      </c>
      <c r="M559">
        <f>IF(AND(H559="",OR(F559="No-show",F559="Late cancel")),1,0)</f>
        <v/>
      </c>
      <c r="N559">
        <f>IF(AND(H559="",F559="",D559&lt;&gt;"",I559&gt;=TODAY()),ROUND((I559+IF(ISNUMBER(C559),MOD(C559,1),0))*1440,0)*10000+ROW(),"")</f>
        <v/>
      </c>
    </row>
    <row r="560">
      <c r="A560" s="1" t="n"/>
      <c r="B560" s="17" t="n"/>
      <c r="C560" s="18" t="n"/>
      <c r="D560" s="19" t="n"/>
      <c r="E560" s="20" t="n"/>
      <c r="F560" s="20" t="n"/>
      <c r="G560" s="21" t="n"/>
      <c r="H560" s="12">
        <f>IF(AND(B560="",D560="",F560=""),"",IF(NOT(ISNUMBER(B560)),"Needs a date",IF(D560="","Needs a client",IF(COUNTIF(Clients!$B$6:$B$105,D560)=0,"Not on Clients",IF(AND(F560="",INT(B560)&lt;TODAY()),"Needs a status","")))))</f>
        <v/>
      </c>
      <c r="I560" s="1">
        <f>IF(ISNUMBER(B560),INT(B560),0)</f>
        <v/>
      </c>
      <c r="J560">
        <f>IF(ISNUMBER(B560),YEAR(B560)*100+MONTH(B560),"")</f>
        <v/>
      </c>
      <c r="K560">
        <f>IF(AND(H560="",OR(F560="Attended",F560="No-show",AND(F560="Late cancel",Settings!$C$9="Yes"))),1,0)</f>
        <v/>
      </c>
      <c r="L560">
        <f>IF(AND(H560="",F560="Attended"),1,0)</f>
        <v/>
      </c>
      <c r="M560">
        <f>IF(AND(H560="",OR(F560="No-show",F560="Late cancel")),1,0)</f>
        <v/>
      </c>
      <c r="N560">
        <f>IF(AND(H560="",F560="",D560&lt;&gt;"",I560&gt;=TODAY()),ROUND((I560+IF(ISNUMBER(C560),MOD(C560,1),0))*1440,0)*10000+ROW(),"")</f>
        <v/>
      </c>
    </row>
    <row r="561">
      <c r="A561" s="1" t="n"/>
      <c r="B561" s="17" t="n"/>
      <c r="C561" s="18" t="n"/>
      <c r="D561" s="19" t="n"/>
      <c r="E561" s="20" t="n"/>
      <c r="F561" s="20" t="n"/>
      <c r="G561" s="21" t="n"/>
      <c r="H561" s="12">
        <f>IF(AND(B561="",D561="",F561=""),"",IF(NOT(ISNUMBER(B561)),"Needs a date",IF(D561="","Needs a client",IF(COUNTIF(Clients!$B$6:$B$105,D561)=0,"Not on Clients",IF(AND(F561="",INT(B561)&lt;TODAY()),"Needs a status","")))))</f>
        <v/>
      </c>
      <c r="I561" s="1">
        <f>IF(ISNUMBER(B561),INT(B561),0)</f>
        <v/>
      </c>
      <c r="J561">
        <f>IF(ISNUMBER(B561),YEAR(B561)*100+MONTH(B561),"")</f>
        <v/>
      </c>
      <c r="K561">
        <f>IF(AND(H561="",OR(F561="Attended",F561="No-show",AND(F561="Late cancel",Settings!$C$9="Yes"))),1,0)</f>
        <v/>
      </c>
      <c r="L561">
        <f>IF(AND(H561="",F561="Attended"),1,0)</f>
        <v/>
      </c>
      <c r="M561">
        <f>IF(AND(H561="",OR(F561="No-show",F561="Late cancel")),1,0)</f>
        <v/>
      </c>
      <c r="N561">
        <f>IF(AND(H561="",F561="",D561&lt;&gt;"",I561&gt;=TODAY()),ROUND((I561+IF(ISNUMBER(C561),MOD(C561,1),0))*1440,0)*10000+ROW(),"")</f>
        <v/>
      </c>
    </row>
    <row r="562">
      <c r="A562" s="1" t="n"/>
      <c r="B562" s="17" t="n"/>
      <c r="C562" s="18" t="n"/>
      <c r="D562" s="19" t="n"/>
      <c r="E562" s="20" t="n"/>
      <c r="F562" s="20" t="n"/>
      <c r="G562" s="21" t="n"/>
      <c r="H562" s="12">
        <f>IF(AND(B562="",D562="",F562=""),"",IF(NOT(ISNUMBER(B562)),"Needs a date",IF(D562="","Needs a client",IF(COUNTIF(Clients!$B$6:$B$105,D562)=0,"Not on Clients",IF(AND(F562="",INT(B562)&lt;TODAY()),"Needs a status","")))))</f>
        <v/>
      </c>
      <c r="I562" s="1">
        <f>IF(ISNUMBER(B562),INT(B562),0)</f>
        <v/>
      </c>
      <c r="J562">
        <f>IF(ISNUMBER(B562),YEAR(B562)*100+MONTH(B562),"")</f>
        <v/>
      </c>
      <c r="K562">
        <f>IF(AND(H562="",OR(F562="Attended",F562="No-show",AND(F562="Late cancel",Settings!$C$9="Yes"))),1,0)</f>
        <v/>
      </c>
      <c r="L562">
        <f>IF(AND(H562="",F562="Attended"),1,0)</f>
        <v/>
      </c>
      <c r="M562">
        <f>IF(AND(H562="",OR(F562="No-show",F562="Late cancel")),1,0)</f>
        <v/>
      </c>
      <c r="N562">
        <f>IF(AND(H562="",F562="",D562&lt;&gt;"",I562&gt;=TODAY()),ROUND((I562+IF(ISNUMBER(C562),MOD(C562,1),0))*1440,0)*10000+ROW(),"")</f>
        <v/>
      </c>
    </row>
    <row r="563">
      <c r="A563" s="1" t="n"/>
      <c r="B563" s="17" t="n"/>
      <c r="C563" s="18" t="n"/>
      <c r="D563" s="19" t="n"/>
      <c r="E563" s="20" t="n"/>
      <c r="F563" s="20" t="n"/>
      <c r="G563" s="21" t="n"/>
      <c r="H563" s="12">
        <f>IF(AND(B563="",D563="",F563=""),"",IF(NOT(ISNUMBER(B563)),"Needs a date",IF(D563="","Needs a client",IF(COUNTIF(Clients!$B$6:$B$105,D563)=0,"Not on Clients",IF(AND(F563="",INT(B563)&lt;TODAY()),"Needs a status","")))))</f>
        <v/>
      </c>
      <c r="I563" s="1">
        <f>IF(ISNUMBER(B563),INT(B563),0)</f>
        <v/>
      </c>
      <c r="J563">
        <f>IF(ISNUMBER(B563),YEAR(B563)*100+MONTH(B563),"")</f>
        <v/>
      </c>
      <c r="K563">
        <f>IF(AND(H563="",OR(F563="Attended",F563="No-show",AND(F563="Late cancel",Settings!$C$9="Yes"))),1,0)</f>
        <v/>
      </c>
      <c r="L563">
        <f>IF(AND(H563="",F563="Attended"),1,0)</f>
        <v/>
      </c>
      <c r="M563">
        <f>IF(AND(H563="",OR(F563="No-show",F563="Late cancel")),1,0)</f>
        <v/>
      </c>
      <c r="N563">
        <f>IF(AND(H563="",F563="",D563&lt;&gt;"",I563&gt;=TODAY()),ROUND((I563+IF(ISNUMBER(C563),MOD(C563,1),0))*1440,0)*10000+ROW(),"")</f>
        <v/>
      </c>
    </row>
    <row r="564">
      <c r="A564" s="1" t="n"/>
      <c r="B564" s="17" t="n"/>
      <c r="C564" s="18" t="n"/>
      <c r="D564" s="19" t="n"/>
      <c r="E564" s="20" t="n"/>
      <c r="F564" s="20" t="n"/>
      <c r="G564" s="21" t="n"/>
      <c r="H564" s="12">
        <f>IF(AND(B564="",D564="",F564=""),"",IF(NOT(ISNUMBER(B564)),"Needs a date",IF(D564="","Needs a client",IF(COUNTIF(Clients!$B$6:$B$105,D564)=0,"Not on Clients",IF(AND(F564="",INT(B564)&lt;TODAY()),"Needs a status","")))))</f>
        <v/>
      </c>
      <c r="I564" s="1">
        <f>IF(ISNUMBER(B564),INT(B564),0)</f>
        <v/>
      </c>
      <c r="J564">
        <f>IF(ISNUMBER(B564),YEAR(B564)*100+MONTH(B564),"")</f>
        <v/>
      </c>
      <c r="K564">
        <f>IF(AND(H564="",OR(F564="Attended",F564="No-show",AND(F564="Late cancel",Settings!$C$9="Yes"))),1,0)</f>
        <v/>
      </c>
      <c r="L564">
        <f>IF(AND(H564="",F564="Attended"),1,0)</f>
        <v/>
      </c>
      <c r="M564">
        <f>IF(AND(H564="",OR(F564="No-show",F564="Late cancel")),1,0)</f>
        <v/>
      </c>
      <c r="N564">
        <f>IF(AND(H564="",F564="",D564&lt;&gt;"",I564&gt;=TODAY()),ROUND((I564+IF(ISNUMBER(C564),MOD(C564,1),0))*1440,0)*10000+ROW(),"")</f>
        <v/>
      </c>
    </row>
    <row r="565">
      <c r="A565" s="1" t="n"/>
      <c r="B565" s="17" t="n"/>
      <c r="C565" s="18" t="n"/>
      <c r="D565" s="19" t="n"/>
      <c r="E565" s="20" t="n"/>
      <c r="F565" s="20" t="n"/>
      <c r="G565" s="21" t="n"/>
      <c r="H565" s="12">
        <f>IF(AND(B565="",D565="",F565=""),"",IF(NOT(ISNUMBER(B565)),"Needs a date",IF(D565="","Needs a client",IF(COUNTIF(Clients!$B$6:$B$105,D565)=0,"Not on Clients",IF(AND(F565="",INT(B565)&lt;TODAY()),"Needs a status","")))))</f>
        <v/>
      </c>
      <c r="I565" s="1">
        <f>IF(ISNUMBER(B565),INT(B565),0)</f>
        <v/>
      </c>
      <c r="J565">
        <f>IF(ISNUMBER(B565),YEAR(B565)*100+MONTH(B565),"")</f>
        <v/>
      </c>
      <c r="K565">
        <f>IF(AND(H565="",OR(F565="Attended",F565="No-show",AND(F565="Late cancel",Settings!$C$9="Yes"))),1,0)</f>
        <v/>
      </c>
      <c r="L565">
        <f>IF(AND(H565="",F565="Attended"),1,0)</f>
        <v/>
      </c>
      <c r="M565">
        <f>IF(AND(H565="",OR(F565="No-show",F565="Late cancel")),1,0)</f>
        <v/>
      </c>
      <c r="N565">
        <f>IF(AND(H565="",F565="",D565&lt;&gt;"",I565&gt;=TODAY()),ROUND((I565+IF(ISNUMBER(C565),MOD(C565,1),0))*1440,0)*10000+ROW(),"")</f>
        <v/>
      </c>
    </row>
    <row r="566">
      <c r="A566" s="1" t="n"/>
      <c r="B566" s="17" t="n"/>
      <c r="C566" s="18" t="n"/>
      <c r="D566" s="19" t="n"/>
      <c r="E566" s="20" t="n"/>
      <c r="F566" s="20" t="n"/>
      <c r="G566" s="21" t="n"/>
      <c r="H566" s="12">
        <f>IF(AND(B566="",D566="",F566=""),"",IF(NOT(ISNUMBER(B566)),"Needs a date",IF(D566="","Needs a client",IF(COUNTIF(Clients!$B$6:$B$105,D566)=0,"Not on Clients",IF(AND(F566="",INT(B566)&lt;TODAY()),"Needs a status","")))))</f>
        <v/>
      </c>
      <c r="I566" s="1">
        <f>IF(ISNUMBER(B566),INT(B566),0)</f>
        <v/>
      </c>
      <c r="J566">
        <f>IF(ISNUMBER(B566),YEAR(B566)*100+MONTH(B566),"")</f>
        <v/>
      </c>
      <c r="K566">
        <f>IF(AND(H566="",OR(F566="Attended",F566="No-show",AND(F566="Late cancel",Settings!$C$9="Yes"))),1,0)</f>
        <v/>
      </c>
      <c r="L566">
        <f>IF(AND(H566="",F566="Attended"),1,0)</f>
        <v/>
      </c>
      <c r="M566">
        <f>IF(AND(H566="",OR(F566="No-show",F566="Late cancel")),1,0)</f>
        <v/>
      </c>
      <c r="N566">
        <f>IF(AND(H566="",F566="",D566&lt;&gt;"",I566&gt;=TODAY()),ROUND((I566+IF(ISNUMBER(C566),MOD(C566,1),0))*1440,0)*10000+ROW(),"")</f>
        <v/>
      </c>
    </row>
    <row r="567">
      <c r="A567" s="1" t="n"/>
      <c r="B567" s="17" t="n"/>
      <c r="C567" s="18" t="n"/>
      <c r="D567" s="19" t="n"/>
      <c r="E567" s="20" t="n"/>
      <c r="F567" s="20" t="n"/>
      <c r="G567" s="21" t="n"/>
      <c r="H567" s="12">
        <f>IF(AND(B567="",D567="",F567=""),"",IF(NOT(ISNUMBER(B567)),"Needs a date",IF(D567="","Needs a client",IF(COUNTIF(Clients!$B$6:$B$105,D567)=0,"Not on Clients",IF(AND(F567="",INT(B567)&lt;TODAY()),"Needs a status","")))))</f>
        <v/>
      </c>
      <c r="I567" s="1">
        <f>IF(ISNUMBER(B567),INT(B567),0)</f>
        <v/>
      </c>
      <c r="J567">
        <f>IF(ISNUMBER(B567),YEAR(B567)*100+MONTH(B567),"")</f>
        <v/>
      </c>
      <c r="K567">
        <f>IF(AND(H567="",OR(F567="Attended",F567="No-show",AND(F567="Late cancel",Settings!$C$9="Yes"))),1,0)</f>
        <v/>
      </c>
      <c r="L567">
        <f>IF(AND(H567="",F567="Attended"),1,0)</f>
        <v/>
      </c>
      <c r="M567">
        <f>IF(AND(H567="",OR(F567="No-show",F567="Late cancel")),1,0)</f>
        <v/>
      </c>
      <c r="N567">
        <f>IF(AND(H567="",F567="",D567&lt;&gt;"",I567&gt;=TODAY()),ROUND((I567+IF(ISNUMBER(C567),MOD(C567,1),0))*1440,0)*10000+ROW(),"")</f>
        <v/>
      </c>
    </row>
    <row r="568">
      <c r="A568" s="1" t="n"/>
      <c r="B568" s="17" t="n"/>
      <c r="C568" s="18" t="n"/>
      <c r="D568" s="19" t="n"/>
      <c r="E568" s="20" t="n"/>
      <c r="F568" s="20" t="n"/>
      <c r="G568" s="21" t="n"/>
      <c r="H568" s="12">
        <f>IF(AND(B568="",D568="",F568=""),"",IF(NOT(ISNUMBER(B568)),"Needs a date",IF(D568="","Needs a client",IF(COUNTIF(Clients!$B$6:$B$105,D568)=0,"Not on Clients",IF(AND(F568="",INT(B568)&lt;TODAY()),"Needs a status","")))))</f>
        <v/>
      </c>
      <c r="I568" s="1">
        <f>IF(ISNUMBER(B568),INT(B568),0)</f>
        <v/>
      </c>
      <c r="J568">
        <f>IF(ISNUMBER(B568),YEAR(B568)*100+MONTH(B568),"")</f>
        <v/>
      </c>
      <c r="K568">
        <f>IF(AND(H568="",OR(F568="Attended",F568="No-show",AND(F568="Late cancel",Settings!$C$9="Yes"))),1,0)</f>
        <v/>
      </c>
      <c r="L568">
        <f>IF(AND(H568="",F568="Attended"),1,0)</f>
        <v/>
      </c>
      <c r="M568">
        <f>IF(AND(H568="",OR(F568="No-show",F568="Late cancel")),1,0)</f>
        <v/>
      </c>
      <c r="N568">
        <f>IF(AND(H568="",F568="",D568&lt;&gt;"",I568&gt;=TODAY()),ROUND((I568+IF(ISNUMBER(C568),MOD(C568,1),0))*1440,0)*10000+ROW(),"")</f>
        <v/>
      </c>
    </row>
    <row r="569">
      <c r="A569" s="1" t="n"/>
      <c r="B569" s="17" t="n"/>
      <c r="C569" s="18" t="n"/>
      <c r="D569" s="19" t="n"/>
      <c r="E569" s="20" t="n"/>
      <c r="F569" s="20" t="n"/>
      <c r="G569" s="21" t="n"/>
      <c r="H569" s="12">
        <f>IF(AND(B569="",D569="",F569=""),"",IF(NOT(ISNUMBER(B569)),"Needs a date",IF(D569="","Needs a client",IF(COUNTIF(Clients!$B$6:$B$105,D569)=0,"Not on Clients",IF(AND(F569="",INT(B569)&lt;TODAY()),"Needs a status","")))))</f>
        <v/>
      </c>
      <c r="I569" s="1">
        <f>IF(ISNUMBER(B569),INT(B569),0)</f>
        <v/>
      </c>
      <c r="J569">
        <f>IF(ISNUMBER(B569),YEAR(B569)*100+MONTH(B569),"")</f>
        <v/>
      </c>
      <c r="K569">
        <f>IF(AND(H569="",OR(F569="Attended",F569="No-show",AND(F569="Late cancel",Settings!$C$9="Yes"))),1,0)</f>
        <v/>
      </c>
      <c r="L569">
        <f>IF(AND(H569="",F569="Attended"),1,0)</f>
        <v/>
      </c>
      <c r="M569">
        <f>IF(AND(H569="",OR(F569="No-show",F569="Late cancel")),1,0)</f>
        <v/>
      </c>
      <c r="N569">
        <f>IF(AND(H569="",F569="",D569&lt;&gt;"",I569&gt;=TODAY()),ROUND((I569+IF(ISNUMBER(C569),MOD(C569,1),0))*1440,0)*10000+ROW(),"")</f>
        <v/>
      </c>
    </row>
    <row r="570">
      <c r="A570" s="1" t="n"/>
      <c r="B570" s="17" t="n"/>
      <c r="C570" s="18" t="n"/>
      <c r="D570" s="19" t="n"/>
      <c r="E570" s="20" t="n"/>
      <c r="F570" s="20" t="n"/>
      <c r="G570" s="21" t="n"/>
      <c r="H570" s="12">
        <f>IF(AND(B570="",D570="",F570=""),"",IF(NOT(ISNUMBER(B570)),"Needs a date",IF(D570="","Needs a client",IF(COUNTIF(Clients!$B$6:$B$105,D570)=0,"Not on Clients",IF(AND(F570="",INT(B570)&lt;TODAY()),"Needs a status","")))))</f>
        <v/>
      </c>
      <c r="I570" s="1">
        <f>IF(ISNUMBER(B570),INT(B570),0)</f>
        <v/>
      </c>
      <c r="J570">
        <f>IF(ISNUMBER(B570),YEAR(B570)*100+MONTH(B570),"")</f>
        <v/>
      </c>
      <c r="K570">
        <f>IF(AND(H570="",OR(F570="Attended",F570="No-show",AND(F570="Late cancel",Settings!$C$9="Yes"))),1,0)</f>
        <v/>
      </c>
      <c r="L570">
        <f>IF(AND(H570="",F570="Attended"),1,0)</f>
        <v/>
      </c>
      <c r="M570">
        <f>IF(AND(H570="",OR(F570="No-show",F570="Late cancel")),1,0)</f>
        <v/>
      </c>
      <c r="N570">
        <f>IF(AND(H570="",F570="",D570&lt;&gt;"",I570&gt;=TODAY()),ROUND((I570+IF(ISNUMBER(C570),MOD(C570,1),0))*1440,0)*10000+ROW(),"")</f>
        <v/>
      </c>
    </row>
    <row r="571">
      <c r="A571" s="1" t="n"/>
      <c r="B571" s="17" t="n"/>
      <c r="C571" s="18" t="n"/>
      <c r="D571" s="19" t="n"/>
      <c r="E571" s="20" t="n"/>
      <c r="F571" s="20" t="n"/>
      <c r="G571" s="21" t="n"/>
      <c r="H571" s="12">
        <f>IF(AND(B571="",D571="",F571=""),"",IF(NOT(ISNUMBER(B571)),"Needs a date",IF(D571="","Needs a client",IF(COUNTIF(Clients!$B$6:$B$105,D571)=0,"Not on Clients",IF(AND(F571="",INT(B571)&lt;TODAY()),"Needs a status","")))))</f>
        <v/>
      </c>
      <c r="I571" s="1">
        <f>IF(ISNUMBER(B571),INT(B571),0)</f>
        <v/>
      </c>
      <c r="J571">
        <f>IF(ISNUMBER(B571),YEAR(B571)*100+MONTH(B571),"")</f>
        <v/>
      </c>
      <c r="K571">
        <f>IF(AND(H571="",OR(F571="Attended",F571="No-show",AND(F571="Late cancel",Settings!$C$9="Yes"))),1,0)</f>
        <v/>
      </c>
      <c r="L571">
        <f>IF(AND(H571="",F571="Attended"),1,0)</f>
        <v/>
      </c>
      <c r="M571">
        <f>IF(AND(H571="",OR(F571="No-show",F571="Late cancel")),1,0)</f>
        <v/>
      </c>
      <c r="N571">
        <f>IF(AND(H571="",F571="",D571&lt;&gt;"",I571&gt;=TODAY()),ROUND((I571+IF(ISNUMBER(C571),MOD(C571,1),0))*1440,0)*10000+ROW(),"")</f>
        <v/>
      </c>
    </row>
    <row r="572">
      <c r="A572" s="1" t="n"/>
      <c r="B572" s="17" t="n"/>
      <c r="C572" s="18" t="n"/>
      <c r="D572" s="19" t="n"/>
      <c r="E572" s="20" t="n"/>
      <c r="F572" s="20" t="n"/>
      <c r="G572" s="21" t="n"/>
      <c r="H572" s="12">
        <f>IF(AND(B572="",D572="",F572=""),"",IF(NOT(ISNUMBER(B572)),"Needs a date",IF(D572="","Needs a client",IF(COUNTIF(Clients!$B$6:$B$105,D572)=0,"Not on Clients",IF(AND(F572="",INT(B572)&lt;TODAY()),"Needs a status","")))))</f>
        <v/>
      </c>
      <c r="I572" s="1">
        <f>IF(ISNUMBER(B572),INT(B572),0)</f>
        <v/>
      </c>
      <c r="J572">
        <f>IF(ISNUMBER(B572),YEAR(B572)*100+MONTH(B572),"")</f>
        <v/>
      </c>
      <c r="K572">
        <f>IF(AND(H572="",OR(F572="Attended",F572="No-show",AND(F572="Late cancel",Settings!$C$9="Yes"))),1,0)</f>
        <v/>
      </c>
      <c r="L572">
        <f>IF(AND(H572="",F572="Attended"),1,0)</f>
        <v/>
      </c>
      <c r="M572">
        <f>IF(AND(H572="",OR(F572="No-show",F572="Late cancel")),1,0)</f>
        <v/>
      </c>
      <c r="N572">
        <f>IF(AND(H572="",F572="",D572&lt;&gt;"",I572&gt;=TODAY()),ROUND((I572+IF(ISNUMBER(C572),MOD(C572,1),0))*1440,0)*10000+ROW(),"")</f>
        <v/>
      </c>
    </row>
    <row r="573">
      <c r="A573" s="1" t="n"/>
      <c r="B573" s="17" t="n"/>
      <c r="C573" s="18" t="n"/>
      <c r="D573" s="19" t="n"/>
      <c r="E573" s="20" t="n"/>
      <c r="F573" s="20" t="n"/>
      <c r="G573" s="21" t="n"/>
      <c r="H573" s="12">
        <f>IF(AND(B573="",D573="",F573=""),"",IF(NOT(ISNUMBER(B573)),"Needs a date",IF(D573="","Needs a client",IF(COUNTIF(Clients!$B$6:$B$105,D573)=0,"Not on Clients",IF(AND(F573="",INT(B573)&lt;TODAY()),"Needs a status","")))))</f>
        <v/>
      </c>
      <c r="I573" s="1">
        <f>IF(ISNUMBER(B573),INT(B573),0)</f>
        <v/>
      </c>
      <c r="J573">
        <f>IF(ISNUMBER(B573),YEAR(B573)*100+MONTH(B573),"")</f>
        <v/>
      </c>
      <c r="K573">
        <f>IF(AND(H573="",OR(F573="Attended",F573="No-show",AND(F573="Late cancel",Settings!$C$9="Yes"))),1,0)</f>
        <v/>
      </c>
      <c r="L573">
        <f>IF(AND(H573="",F573="Attended"),1,0)</f>
        <v/>
      </c>
      <c r="M573">
        <f>IF(AND(H573="",OR(F573="No-show",F573="Late cancel")),1,0)</f>
        <v/>
      </c>
      <c r="N573">
        <f>IF(AND(H573="",F573="",D573&lt;&gt;"",I573&gt;=TODAY()),ROUND((I573+IF(ISNUMBER(C573),MOD(C573,1),0))*1440,0)*10000+ROW(),"")</f>
        <v/>
      </c>
    </row>
    <row r="574">
      <c r="A574" s="1" t="n"/>
      <c r="B574" s="17" t="n"/>
      <c r="C574" s="18" t="n"/>
      <c r="D574" s="19" t="n"/>
      <c r="E574" s="20" t="n"/>
      <c r="F574" s="20" t="n"/>
      <c r="G574" s="21" t="n"/>
      <c r="H574" s="12">
        <f>IF(AND(B574="",D574="",F574=""),"",IF(NOT(ISNUMBER(B574)),"Needs a date",IF(D574="","Needs a client",IF(COUNTIF(Clients!$B$6:$B$105,D574)=0,"Not on Clients",IF(AND(F574="",INT(B574)&lt;TODAY()),"Needs a status","")))))</f>
        <v/>
      </c>
      <c r="I574" s="1">
        <f>IF(ISNUMBER(B574),INT(B574),0)</f>
        <v/>
      </c>
      <c r="J574">
        <f>IF(ISNUMBER(B574),YEAR(B574)*100+MONTH(B574),"")</f>
        <v/>
      </c>
      <c r="K574">
        <f>IF(AND(H574="",OR(F574="Attended",F574="No-show",AND(F574="Late cancel",Settings!$C$9="Yes"))),1,0)</f>
        <v/>
      </c>
      <c r="L574">
        <f>IF(AND(H574="",F574="Attended"),1,0)</f>
        <v/>
      </c>
      <c r="M574">
        <f>IF(AND(H574="",OR(F574="No-show",F574="Late cancel")),1,0)</f>
        <v/>
      </c>
      <c r="N574">
        <f>IF(AND(H574="",F574="",D574&lt;&gt;"",I574&gt;=TODAY()),ROUND((I574+IF(ISNUMBER(C574),MOD(C574,1),0))*1440,0)*10000+ROW(),"")</f>
        <v/>
      </c>
    </row>
    <row r="575">
      <c r="A575" s="1" t="n"/>
      <c r="B575" s="17" t="n"/>
      <c r="C575" s="18" t="n"/>
      <c r="D575" s="19" t="n"/>
      <c r="E575" s="20" t="n"/>
      <c r="F575" s="20" t="n"/>
      <c r="G575" s="21" t="n"/>
      <c r="H575" s="12">
        <f>IF(AND(B575="",D575="",F575=""),"",IF(NOT(ISNUMBER(B575)),"Needs a date",IF(D575="","Needs a client",IF(COUNTIF(Clients!$B$6:$B$105,D575)=0,"Not on Clients",IF(AND(F575="",INT(B575)&lt;TODAY()),"Needs a status","")))))</f>
        <v/>
      </c>
      <c r="I575" s="1">
        <f>IF(ISNUMBER(B575),INT(B575),0)</f>
        <v/>
      </c>
      <c r="J575">
        <f>IF(ISNUMBER(B575),YEAR(B575)*100+MONTH(B575),"")</f>
        <v/>
      </c>
      <c r="K575">
        <f>IF(AND(H575="",OR(F575="Attended",F575="No-show",AND(F575="Late cancel",Settings!$C$9="Yes"))),1,0)</f>
        <v/>
      </c>
      <c r="L575">
        <f>IF(AND(H575="",F575="Attended"),1,0)</f>
        <v/>
      </c>
      <c r="M575">
        <f>IF(AND(H575="",OR(F575="No-show",F575="Late cancel")),1,0)</f>
        <v/>
      </c>
      <c r="N575">
        <f>IF(AND(H575="",F575="",D575&lt;&gt;"",I575&gt;=TODAY()),ROUND((I575+IF(ISNUMBER(C575),MOD(C575,1),0))*1440,0)*10000+ROW(),"")</f>
        <v/>
      </c>
    </row>
    <row r="576">
      <c r="A576" s="1" t="n"/>
      <c r="B576" s="17" t="n"/>
      <c r="C576" s="18" t="n"/>
      <c r="D576" s="19" t="n"/>
      <c r="E576" s="20" t="n"/>
      <c r="F576" s="20" t="n"/>
      <c r="G576" s="21" t="n"/>
      <c r="H576" s="12">
        <f>IF(AND(B576="",D576="",F576=""),"",IF(NOT(ISNUMBER(B576)),"Needs a date",IF(D576="","Needs a client",IF(COUNTIF(Clients!$B$6:$B$105,D576)=0,"Not on Clients",IF(AND(F576="",INT(B576)&lt;TODAY()),"Needs a status","")))))</f>
        <v/>
      </c>
      <c r="I576" s="1">
        <f>IF(ISNUMBER(B576),INT(B576),0)</f>
        <v/>
      </c>
      <c r="J576">
        <f>IF(ISNUMBER(B576),YEAR(B576)*100+MONTH(B576),"")</f>
        <v/>
      </c>
      <c r="K576">
        <f>IF(AND(H576="",OR(F576="Attended",F576="No-show",AND(F576="Late cancel",Settings!$C$9="Yes"))),1,0)</f>
        <v/>
      </c>
      <c r="L576">
        <f>IF(AND(H576="",F576="Attended"),1,0)</f>
        <v/>
      </c>
      <c r="M576">
        <f>IF(AND(H576="",OR(F576="No-show",F576="Late cancel")),1,0)</f>
        <v/>
      </c>
      <c r="N576">
        <f>IF(AND(H576="",F576="",D576&lt;&gt;"",I576&gt;=TODAY()),ROUND((I576+IF(ISNUMBER(C576),MOD(C576,1),0))*1440,0)*10000+ROW(),"")</f>
        <v/>
      </c>
    </row>
    <row r="577">
      <c r="A577" s="1" t="n"/>
      <c r="B577" s="17" t="n"/>
      <c r="C577" s="18" t="n"/>
      <c r="D577" s="19" t="n"/>
      <c r="E577" s="20" t="n"/>
      <c r="F577" s="20" t="n"/>
      <c r="G577" s="21" t="n"/>
      <c r="H577" s="12">
        <f>IF(AND(B577="",D577="",F577=""),"",IF(NOT(ISNUMBER(B577)),"Needs a date",IF(D577="","Needs a client",IF(COUNTIF(Clients!$B$6:$B$105,D577)=0,"Not on Clients",IF(AND(F577="",INT(B577)&lt;TODAY()),"Needs a status","")))))</f>
        <v/>
      </c>
      <c r="I577" s="1">
        <f>IF(ISNUMBER(B577),INT(B577),0)</f>
        <v/>
      </c>
      <c r="J577">
        <f>IF(ISNUMBER(B577),YEAR(B577)*100+MONTH(B577),"")</f>
        <v/>
      </c>
      <c r="K577">
        <f>IF(AND(H577="",OR(F577="Attended",F577="No-show",AND(F577="Late cancel",Settings!$C$9="Yes"))),1,0)</f>
        <v/>
      </c>
      <c r="L577">
        <f>IF(AND(H577="",F577="Attended"),1,0)</f>
        <v/>
      </c>
      <c r="M577">
        <f>IF(AND(H577="",OR(F577="No-show",F577="Late cancel")),1,0)</f>
        <v/>
      </c>
      <c r="N577">
        <f>IF(AND(H577="",F577="",D577&lt;&gt;"",I577&gt;=TODAY()),ROUND((I577+IF(ISNUMBER(C577),MOD(C577,1),0))*1440,0)*10000+ROW(),"")</f>
        <v/>
      </c>
    </row>
    <row r="578">
      <c r="A578" s="1" t="n"/>
      <c r="B578" s="17" t="n"/>
      <c r="C578" s="18" t="n"/>
      <c r="D578" s="19" t="n"/>
      <c r="E578" s="20" t="n"/>
      <c r="F578" s="20" t="n"/>
      <c r="G578" s="21" t="n"/>
      <c r="H578" s="12">
        <f>IF(AND(B578="",D578="",F578=""),"",IF(NOT(ISNUMBER(B578)),"Needs a date",IF(D578="","Needs a client",IF(COUNTIF(Clients!$B$6:$B$105,D578)=0,"Not on Clients",IF(AND(F578="",INT(B578)&lt;TODAY()),"Needs a status","")))))</f>
        <v/>
      </c>
      <c r="I578" s="1">
        <f>IF(ISNUMBER(B578),INT(B578),0)</f>
        <v/>
      </c>
      <c r="J578">
        <f>IF(ISNUMBER(B578),YEAR(B578)*100+MONTH(B578),"")</f>
        <v/>
      </c>
      <c r="K578">
        <f>IF(AND(H578="",OR(F578="Attended",F578="No-show",AND(F578="Late cancel",Settings!$C$9="Yes"))),1,0)</f>
        <v/>
      </c>
      <c r="L578">
        <f>IF(AND(H578="",F578="Attended"),1,0)</f>
        <v/>
      </c>
      <c r="M578">
        <f>IF(AND(H578="",OR(F578="No-show",F578="Late cancel")),1,0)</f>
        <v/>
      </c>
      <c r="N578">
        <f>IF(AND(H578="",F578="",D578&lt;&gt;"",I578&gt;=TODAY()),ROUND((I578+IF(ISNUMBER(C578),MOD(C578,1),0))*1440,0)*10000+ROW(),"")</f>
        <v/>
      </c>
    </row>
    <row r="579">
      <c r="A579" s="1" t="n"/>
      <c r="B579" s="17" t="n"/>
      <c r="C579" s="18" t="n"/>
      <c r="D579" s="19" t="n"/>
      <c r="E579" s="20" t="n"/>
      <c r="F579" s="20" t="n"/>
      <c r="G579" s="21" t="n"/>
      <c r="H579" s="12">
        <f>IF(AND(B579="",D579="",F579=""),"",IF(NOT(ISNUMBER(B579)),"Needs a date",IF(D579="","Needs a client",IF(COUNTIF(Clients!$B$6:$B$105,D579)=0,"Not on Clients",IF(AND(F579="",INT(B579)&lt;TODAY()),"Needs a status","")))))</f>
        <v/>
      </c>
      <c r="I579" s="1">
        <f>IF(ISNUMBER(B579),INT(B579),0)</f>
        <v/>
      </c>
      <c r="J579">
        <f>IF(ISNUMBER(B579),YEAR(B579)*100+MONTH(B579),"")</f>
        <v/>
      </c>
      <c r="K579">
        <f>IF(AND(H579="",OR(F579="Attended",F579="No-show",AND(F579="Late cancel",Settings!$C$9="Yes"))),1,0)</f>
        <v/>
      </c>
      <c r="L579">
        <f>IF(AND(H579="",F579="Attended"),1,0)</f>
        <v/>
      </c>
      <c r="M579">
        <f>IF(AND(H579="",OR(F579="No-show",F579="Late cancel")),1,0)</f>
        <v/>
      </c>
      <c r="N579">
        <f>IF(AND(H579="",F579="",D579&lt;&gt;"",I579&gt;=TODAY()),ROUND((I579+IF(ISNUMBER(C579),MOD(C579,1),0))*1440,0)*10000+ROW(),"")</f>
        <v/>
      </c>
    </row>
    <row r="580">
      <c r="A580" s="1" t="n"/>
      <c r="B580" s="17" t="n"/>
      <c r="C580" s="18" t="n"/>
      <c r="D580" s="19" t="n"/>
      <c r="E580" s="20" t="n"/>
      <c r="F580" s="20" t="n"/>
      <c r="G580" s="21" t="n"/>
      <c r="H580" s="12">
        <f>IF(AND(B580="",D580="",F580=""),"",IF(NOT(ISNUMBER(B580)),"Needs a date",IF(D580="","Needs a client",IF(COUNTIF(Clients!$B$6:$B$105,D580)=0,"Not on Clients",IF(AND(F580="",INT(B580)&lt;TODAY()),"Needs a status","")))))</f>
        <v/>
      </c>
      <c r="I580" s="1">
        <f>IF(ISNUMBER(B580),INT(B580),0)</f>
        <v/>
      </c>
      <c r="J580">
        <f>IF(ISNUMBER(B580),YEAR(B580)*100+MONTH(B580),"")</f>
        <v/>
      </c>
      <c r="K580">
        <f>IF(AND(H580="",OR(F580="Attended",F580="No-show",AND(F580="Late cancel",Settings!$C$9="Yes"))),1,0)</f>
        <v/>
      </c>
      <c r="L580">
        <f>IF(AND(H580="",F580="Attended"),1,0)</f>
        <v/>
      </c>
      <c r="M580">
        <f>IF(AND(H580="",OR(F580="No-show",F580="Late cancel")),1,0)</f>
        <v/>
      </c>
      <c r="N580">
        <f>IF(AND(H580="",F580="",D580&lt;&gt;"",I580&gt;=TODAY()),ROUND((I580+IF(ISNUMBER(C580),MOD(C580,1),0))*1440,0)*10000+ROW(),"")</f>
        <v/>
      </c>
    </row>
    <row r="581">
      <c r="A581" s="1" t="n"/>
      <c r="B581" s="17" t="n"/>
      <c r="C581" s="18" t="n"/>
      <c r="D581" s="19" t="n"/>
      <c r="E581" s="20" t="n"/>
      <c r="F581" s="20" t="n"/>
      <c r="G581" s="21" t="n"/>
      <c r="H581" s="12">
        <f>IF(AND(B581="",D581="",F581=""),"",IF(NOT(ISNUMBER(B581)),"Needs a date",IF(D581="","Needs a client",IF(COUNTIF(Clients!$B$6:$B$105,D581)=0,"Not on Clients",IF(AND(F581="",INT(B581)&lt;TODAY()),"Needs a status","")))))</f>
        <v/>
      </c>
      <c r="I581" s="1">
        <f>IF(ISNUMBER(B581),INT(B581),0)</f>
        <v/>
      </c>
      <c r="J581">
        <f>IF(ISNUMBER(B581),YEAR(B581)*100+MONTH(B581),"")</f>
        <v/>
      </c>
      <c r="K581">
        <f>IF(AND(H581="",OR(F581="Attended",F581="No-show",AND(F581="Late cancel",Settings!$C$9="Yes"))),1,0)</f>
        <v/>
      </c>
      <c r="L581">
        <f>IF(AND(H581="",F581="Attended"),1,0)</f>
        <v/>
      </c>
      <c r="M581">
        <f>IF(AND(H581="",OR(F581="No-show",F581="Late cancel")),1,0)</f>
        <v/>
      </c>
      <c r="N581">
        <f>IF(AND(H581="",F581="",D581&lt;&gt;"",I581&gt;=TODAY()),ROUND((I581+IF(ISNUMBER(C581),MOD(C581,1),0))*1440,0)*10000+ROW(),"")</f>
        <v/>
      </c>
    </row>
    <row r="582">
      <c r="A582" s="1" t="n"/>
      <c r="B582" s="17" t="n"/>
      <c r="C582" s="18" t="n"/>
      <c r="D582" s="19" t="n"/>
      <c r="E582" s="20" t="n"/>
      <c r="F582" s="20" t="n"/>
      <c r="G582" s="21" t="n"/>
      <c r="H582" s="12">
        <f>IF(AND(B582="",D582="",F582=""),"",IF(NOT(ISNUMBER(B582)),"Needs a date",IF(D582="","Needs a client",IF(COUNTIF(Clients!$B$6:$B$105,D582)=0,"Not on Clients",IF(AND(F582="",INT(B582)&lt;TODAY()),"Needs a status","")))))</f>
        <v/>
      </c>
      <c r="I582" s="1">
        <f>IF(ISNUMBER(B582),INT(B582),0)</f>
        <v/>
      </c>
      <c r="J582">
        <f>IF(ISNUMBER(B582),YEAR(B582)*100+MONTH(B582),"")</f>
        <v/>
      </c>
      <c r="K582">
        <f>IF(AND(H582="",OR(F582="Attended",F582="No-show",AND(F582="Late cancel",Settings!$C$9="Yes"))),1,0)</f>
        <v/>
      </c>
      <c r="L582">
        <f>IF(AND(H582="",F582="Attended"),1,0)</f>
        <v/>
      </c>
      <c r="M582">
        <f>IF(AND(H582="",OR(F582="No-show",F582="Late cancel")),1,0)</f>
        <v/>
      </c>
      <c r="N582">
        <f>IF(AND(H582="",F582="",D582&lt;&gt;"",I582&gt;=TODAY()),ROUND((I582+IF(ISNUMBER(C582),MOD(C582,1),0))*1440,0)*10000+ROW(),"")</f>
        <v/>
      </c>
    </row>
    <row r="583">
      <c r="A583" s="1" t="n"/>
      <c r="B583" s="17" t="n"/>
      <c r="C583" s="18" t="n"/>
      <c r="D583" s="19" t="n"/>
      <c r="E583" s="20" t="n"/>
      <c r="F583" s="20" t="n"/>
      <c r="G583" s="21" t="n"/>
      <c r="H583" s="12">
        <f>IF(AND(B583="",D583="",F583=""),"",IF(NOT(ISNUMBER(B583)),"Needs a date",IF(D583="","Needs a client",IF(COUNTIF(Clients!$B$6:$B$105,D583)=0,"Not on Clients",IF(AND(F583="",INT(B583)&lt;TODAY()),"Needs a status","")))))</f>
        <v/>
      </c>
      <c r="I583" s="1">
        <f>IF(ISNUMBER(B583),INT(B583),0)</f>
        <v/>
      </c>
      <c r="J583">
        <f>IF(ISNUMBER(B583),YEAR(B583)*100+MONTH(B583),"")</f>
        <v/>
      </c>
      <c r="K583">
        <f>IF(AND(H583="",OR(F583="Attended",F583="No-show",AND(F583="Late cancel",Settings!$C$9="Yes"))),1,0)</f>
        <v/>
      </c>
      <c r="L583">
        <f>IF(AND(H583="",F583="Attended"),1,0)</f>
        <v/>
      </c>
      <c r="M583">
        <f>IF(AND(H583="",OR(F583="No-show",F583="Late cancel")),1,0)</f>
        <v/>
      </c>
      <c r="N583">
        <f>IF(AND(H583="",F583="",D583&lt;&gt;"",I583&gt;=TODAY()),ROUND((I583+IF(ISNUMBER(C583),MOD(C583,1),0))*1440,0)*10000+ROW(),"")</f>
        <v/>
      </c>
    </row>
    <row r="584">
      <c r="A584" s="1" t="n"/>
      <c r="B584" s="17" t="n"/>
      <c r="C584" s="18" t="n"/>
      <c r="D584" s="19" t="n"/>
      <c r="E584" s="20" t="n"/>
      <c r="F584" s="20" t="n"/>
      <c r="G584" s="21" t="n"/>
      <c r="H584" s="12">
        <f>IF(AND(B584="",D584="",F584=""),"",IF(NOT(ISNUMBER(B584)),"Needs a date",IF(D584="","Needs a client",IF(COUNTIF(Clients!$B$6:$B$105,D584)=0,"Not on Clients",IF(AND(F584="",INT(B584)&lt;TODAY()),"Needs a status","")))))</f>
        <v/>
      </c>
      <c r="I584" s="1">
        <f>IF(ISNUMBER(B584),INT(B584),0)</f>
        <v/>
      </c>
      <c r="J584">
        <f>IF(ISNUMBER(B584),YEAR(B584)*100+MONTH(B584),"")</f>
        <v/>
      </c>
      <c r="K584">
        <f>IF(AND(H584="",OR(F584="Attended",F584="No-show",AND(F584="Late cancel",Settings!$C$9="Yes"))),1,0)</f>
        <v/>
      </c>
      <c r="L584">
        <f>IF(AND(H584="",F584="Attended"),1,0)</f>
        <v/>
      </c>
      <c r="M584">
        <f>IF(AND(H584="",OR(F584="No-show",F584="Late cancel")),1,0)</f>
        <v/>
      </c>
      <c r="N584">
        <f>IF(AND(H584="",F584="",D584&lt;&gt;"",I584&gt;=TODAY()),ROUND((I584+IF(ISNUMBER(C584),MOD(C584,1),0))*1440,0)*10000+ROW(),"")</f>
        <v/>
      </c>
    </row>
    <row r="585">
      <c r="A585" s="1" t="n"/>
      <c r="B585" s="17" t="n"/>
      <c r="C585" s="18" t="n"/>
      <c r="D585" s="19" t="n"/>
      <c r="E585" s="20" t="n"/>
      <c r="F585" s="20" t="n"/>
      <c r="G585" s="21" t="n"/>
      <c r="H585" s="12">
        <f>IF(AND(B585="",D585="",F585=""),"",IF(NOT(ISNUMBER(B585)),"Needs a date",IF(D585="","Needs a client",IF(COUNTIF(Clients!$B$6:$B$105,D585)=0,"Not on Clients",IF(AND(F585="",INT(B585)&lt;TODAY()),"Needs a status","")))))</f>
        <v/>
      </c>
      <c r="I585" s="1">
        <f>IF(ISNUMBER(B585),INT(B585),0)</f>
        <v/>
      </c>
      <c r="J585">
        <f>IF(ISNUMBER(B585),YEAR(B585)*100+MONTH(B585),"")</f>
        <v/>
      </c>
      <c r="K585">
        <f>IF(AND(H585="",OR(F585="Attended",F585="No-show",AND(F585="Late cancel",Settings!$C$9="Yes"))),1,0)</f>
        <v/>
      </c>
      <c r="L585">
        <f>IF(AND(H585="",F585="Attended"),1,0)</f>
        <v/>
      </c>
      <c r="M585">
        <f>IF(AND(H585="",OR(F585="No-show",F585="Late cancel")),1,0)</f>
        <v/>
      </c>
      <c r="N585">
        <f>IF(AND(H585="",F585="",D585&lt;&gt;"",I585&gt;=TODAY()),ROUND((I585+IF(ISNUMBER(C585),MOD(C585,1),0))*1440,0)*10000+ROW(),"")</f>
        <v/>
      </c>
    </row>
    <row r="586">
      <c r="A586" s="1" t="n"/>
      <c r="B586" s="17" t="n"/>
      <c r="C586" s="18" t="n"/>
      <c r="D586" s="19" t="n"/>
      <c r="E586" s="20" t="n"/>
      <c r="F586" s="20" t="n"/>
      <c r="G586" s="21" t="n"/>
      <c r="H586" s="12">
        <f>IF(AND(B586="",D586="",F586=""),"",IF(NOT(ISNUMBER(B586)),"Needs a date",IF(D586="","Needs a client",IF(COUNTIF(Clients!$B$6:$B$105,D586)=0,"Not on Clients",IF(AND(F586="",INT(B586)&lt;TODAY()),"Needs a status","")))))</f>
        <v/>
      </c>
      <c r="I586" s="1">
        <f>IF(ISNUMBER(B586),INT(B586),0)</f>
        <v/>
      </c>
      <c r="J586">
        <f>IF(ISNUMBER(B586),YEAR(B586)*100+MONTH(B586),"")</f>
        <v/>
      </c>
      <c r="K586">
        <f>IF(AND(H586="",OR(F586="Attended",F586="No-show",AND(F586="Late cancel",Settings!$C$9="Yes"))),1,0)</f>
        <v/>
      </c>
      <c r="L586">
        <f>IF(AND(H586="",F586="Attended"),1,0)</f>
        <v/>
      </c>
      <c r="M586">
        <f>IF(AND(H586="",OR(F586="No-show",F586="Late cancel")),1,0)</f>
        <v/>
      </c>
      <c r="N586">
        <f>IF(AND(H586="",F586="",D586&lt;&gt;"",I586&gt;=TODAY()),ROUND((I586+IF(ISNUMBER(C586),MOD(C586,1),0))*1440,0)*10000+ROW(),"")</f>
        <v/>
      </c>
    </row>
    <row r="587">
      <c r="A587" s="1" t="n"/>
      <c r="B587" s="17" t="n"/>
      <c r="C587" s="18" t="n"/>
      <c r="D587" s="19" t="n"/>
      <c r="E587" s="20" t="n"/>
      <c r="F587" s="20" t="n"/>
      <c r="G587" s="21" t="n"/>
      <c r="H587" s="12">
        <f>IF(AND(B587="",D587="",F587=""),"",IF(NOT(ISNUMBER(B587)),"Needs a date",IF(D587="","Needs a client",IF(COUNTIF(Clients!$B$6:$B$105,D587)=0,"Not on Clients",IF(AND(F587="",INT(B587)&lt;TODAY()),"Needs a status","")))))</f>
        <v/>
      </c>
      <c r="I587" s="1">
        <f>IF(ISNUMBER(B587),INT(B587),0)</f>
        <v/>
      </c>
      <c r="J587">
        <f>IF(ISNUMBER(B587),YEAR(B587)*100+MONTH(B587),"")</f>
        <v/>
      </c>
      <c r="K587">
        <f>IF(AND(H587="",OR(F587="Attended",F587="No-show",AND(F587="Late cancel",Settings!$C$9="Yes"))),1,0)</f>
        <v/>
      </c>
      <c r="L587">
        <f>IF(AND(H587="",F587="Attended"),1,0)</f>
        <v/>
      </c>
      <c r="M587">
        <f>IF(AND(H587="",OR(F587="No-show",F587="Late cancel")),1,0)</f>
        <v/>
      </c>
      <c r="N587">
        <f>IF(AND(H587="",F587="",D587&lt;&gt;"",I587&gt;=TODAY()),ROUND((I587+IF(ISNUMBER(C587),MOD(C587,1),0))*1440,0)*10000+ROW(),"")</f>
        <v/>
      </c>
    </row>
    <row r="588">
      <c r="A588" s="1" t="n"/>
      <c r="B588" s="17" t="n"/>
      <c r="C588" s="18" t="n"/>
      <c r="D588" s="19" t="n"/>
      <c r="E588" s="20" t="n"/>
      <c r="F588" s="20" t="n"/>
      <c r="G588" s="21" t="n"/>
      <c r="H588" s="12">
        <f>IF(AND(B588="",D588="",F588=""),"",IF(NOT(ISNUMBER(B588)),"Needs a date",IF(D588="","Needs a client",IF(COUNTIF(Clients!$B$6:$B$105,D588)=0,"Not on Clients",IF(AND(F588="",INT(B588)&lt;TODAY()),"Needs a status","")))))</f>
        <v/>
      </c>
      <c r="I588" s="1">
        <f>IF(ISNUMBER(B588),INT(B588),0)</f>
        <v/>
      </c>
      <c r="J588">
        <f>IF(ISNUMBER(B588),YEAR(B588)*100+MONTH(B588),"")</f>
        <v/>
      </c>
      <c r="K588">
        <f>IF(AND(H588="",OR(F588="Attended",F588="No-show",AND(F588="Late cancel",Settings!$C$9="Yes"))),1,0)</f>
        <v/>
      </c>
      <c r="L588">
        <f>IF(AND(H588="",F588="Attended"),1,0)</f>
        <v/>
      </c>
      <c r="M588">
        <f>IF(AND(H588="",OR(F588="No-show",F588="Late cancel")),1,0)</f>
        <v/>
      </c>
      <c r="N588">
        <f>IF(AND(H588="",F588="",D588&lt;&gt;"",I588&gt;=TODAY()),ROUND((I588+IF(ISNUMBER(C588),MOD(C588,1),0))*1440,0)*10000+ROW(),"")</f>
        <v/>
      </c>
    </row>
    <row r="589">
      <c r="A589" s="1" t="n"/>
      <c r="B589" s="17" t="n"/>
      <c r="C589" s="18" t="n"/>
      <c r="D589" s="19" t="n"/>
      <c r="E589" s="20" t="n"/>
      <c r="F589" s="20" t="n"/>
      <c r="G589" s="21" t="n"/>
      <c r="H589" s="12">
        <f>IF(AND(B589="",D589="",F589=""),"",IF(NOT(ISNUMBER(B589)),"Needs a date",IF(D589="","Needs a client",IF(COUNTIF(Clients!$B$6:$B$105,D589)=0,"Not on Clients",IF(AND(F589="",INT(B589)&lt;TODAY()),"Needs a status","")))))</f>
        <v/>
      </c>
      <c r="I589" s="1">
        <f>IF(ISNUMBER(B589),INT(B589),0)</f>
        <v/>
      </c>
      <c r="J589">
        <f>IF(ISNUMBER(B589),YEAR(B589)*100+MONTH(B589),"")</f>
        <v/>
      </c>
      <c r="K589">
        <f>IF(AND(H589="",OR(F589="Attended",F589="No-show",AND(F589="Late cancel",Settings!$C$9="Yes"))),1,0)</f>
        <v/>
      </c>
      <c r="L589">
        <f>IF(AND(H589="",F589="Attended"),1,0)</f>
        <v/>
      </c>
      <c r="M589">
        <f>IF(AND(H589="",OR(F589="No-show",F589="Late cancel")),1,0)</f>
        <v/>
      </c>
      <c r="N589">
        <f>IF(AND(H589="",F589="",D589&lt;&gt;"",I589&gt;=TODAY()),ROUND((I589+IF(ISNUMBER(C589),MOD(C589,1),0))*1440,0)*10000+ROW(),"")</f>
        <v/>
      </c>
    </row>
    <row r="590">
      <c r="A590" s="1" t="n"/>
      <c r="B590" s="17" t="n"/>
      <c r="C590" s="18" t="n"/>
      <c r="D590" s="19" t="n"/>
      <c r="E590" s="20" t="n"/>
      <c r="F590" s="20" t="n"/>
      <c r="G590" s="21" t="n"/>
      <c r="H590" s="12">
        <f>IF(AND(B590="",D590="",F590=""),"",IF(NOT(ISNUMBER(B590)),"Needs a date",IF(D590="","Needs a client",IF(COUNTIF(Clients!$B$6:$B$105,D590)=0,"Not on Clients",IF(AND(F590="",INT(B590)&lt;TODAY()),"Needs a status","")))))</f>
        <v/>
      </c>
      <c r="I590" s="1">
        <f>IF(ISNUMBER(B590),INT(B590),0)</f>
        <v/>
      </c>
      <c r="J590">
        <f>IF(ISNUMBER(B590),YEAR(B590)*100+MONTH(B590),"")</f>
        <v/>
      </c>
      <c r="K590">
        <f>IF(AND(H590="",OR(F590="Attended",F590="No-show",AND(F590="Late cancel",Settings!$C$9="Yes"))),1,0)</f>
        <v/>
      </c>
      <c r="L590">
        <f>IF(AND(H590="",F590="Attended"),1,0)</f>
        <v/>
      </c>
      <c r="M590">
        <f>IF(AND(H590="",OR(F590="No-show",F590="Late cancel")),1,0)</f>
        <v/>
      </c>
      <c r="N590">
        <f>IF(AND(H590="",F590="",D590&lt;&gt;"",I590&gt;=TODAY()),ROUND((I590+IF(ISNUMBER(C590),MOD(C590,1),0))*1440,0)*10000+ROW(),"")</f>
        <v/>
      </c>
    </row>
    <row r="591">
      <c r="A591" s="1" t="n"/>
      <c r="B591" s="17" t="n"/>
      <c r="C591" s="18" t="n"/>
      <c r="D591" s="19" t="n"/>
      <c r="E591" s="20" t="n"/>
      <c r="F591" s="20" t="n"/>
      <c r="G591" s="21" t="n"/>
      <c r="H591" s="12">
        <f>IF(AND(B591="",D591="",F591=""),"",IF(NOT(ISNUMBER(B591)),"Needs a date",IF(D591="","Needs a client",IF(COUNTIF(Clients!$B$6:$B$105,D591)=0,"Not on Clients",IF(AND(F591="",INT(B591)&lt;TODAY()),"Needs a status","")))))</f>
        <v/>
      </c>
      <c r="I591" s="1">
        <f>IF(ISNUMBER(B591),INT(B591),0)</f>
        <v/>
      </c>
      <c r="J591">
        <f>IF(ISNUMBER(B591),YEAR(B591)*100+MONTH(B591),"")</f>
        <v/>
      </c>
      <c r="K591">
        <f>IF(AND(H591="",OR(F591="Attended",F591="No-show",AND(F591="Late cancel",Settings!$C$9="Yes"))),1,0)</f>
        <v/>
      </c>
      <c r="L591">
        <f>IF(AND(H591="",F591="Attended"),1,0)</f>
        <v/>
      </c>
      <c r="M591">
        <f>IF(AND(H591="",OR(F591="No-show",F591="Late cancel")),1,0)</f>
        <v/>
      </c>
      <c r="N591">
        <f>IF(AND(H591="",F591="",D591&lt;&gt;"",I591&gt;=TODAY()),ROUND((I591+IF(ISNUMBER(C591),MOD(C591,1),0))*1440,0)*10000+ROW(),"")</f>
        <v/>
      </c>
    </row>
    <row r="592">
      <c r="A592" s="1" t="n"/>
      <c r="B592" s="17" t="n"/>
      <c r="C592" s="18" t="n"/>
      <c r="D592" s="19" t="n"/>
      <c r="E592" s="20" t="n"/>
      <c r="F592" s="20" t="n"/>
      <c r="G592" s="21" t="n"/>
      <c r="H592" s="12">
        <f>IF(AND(B592="",D592="",F592=""),"",IF(NOT(ISNUMBER(B592)),"Needs a date",IF(D592="","Needs a client",IF(COUNTIF(Clients!$B$6:$B$105,D592)=0,"Not on Clients",IF(AND(F592="",INT(B592)&lt;TODAY()),"Needs a status","")))))</f>
        <v/>
      </c>
      <c r="I592" s="1">
        <f>IF(ISNUMBER(B592),INT(B592),0)</f>
        <v/>
      </c>
      <c r="J592">
        <f>IF(ISNUMBER(B592),YEAR(B592)*100+MONTH(B592),"")</f>
        <v/>
      </c>
      <c r="K592">
        <f>IF(AND(H592="",OR(F592="Attended",F592="No-show",AND(F592="Late cancel",Settings!$C$9="Yes"))),1,0)</f>
        <v/>
      </c>
      <c r="L592">
        <f>IF(AND(H592="",F592="Attended"),1,0)</f>
        <v/>
      </c>
      <c r="M592">
        <f>IF(AND(H592="",OR(F592="No-show",F592="Late cancel")),1,0)</f>
        <v/>
      </c>
      <c r="N592">
        <f>IF(AND(H592="",F592="",D592&lt;&gt;"",I592&gt;=TODAY()),ROUND((I592+IF(ISNUMBER(C592),MOD(C592,1),0))*1440,0)*10000+ROW(),"")</f>
        <v/>
      </c>
    </row>
    <row r="593">
      <c r="A593" s="1" t="n"/>
      <c r="B593" s="17" t="n"/>
      <c r="C593" s="18" t="n"/>
      <c r="D593" s="19" t="n"/>
      <c r="E593" s="20" t="n"/>
      <c r="F593" s="20" t="n"/>
      <c r="G593" s="21" t="n"/>
      <c r="H593" s="12">
        <f>IF(AND(B593="",D593="",F593=""),"",IF(NOT(ISNUMBER(B593)),"Needs a date",IF(D593="","Needs a client",IF(COUNTIF(Clients!$B$6:$B$105,D593)=0,"Not on Clients",IF(AND(F593="",INT(B593)&lt;TODAY()),"Needs a status","")))))</f>
        <v/>
      </c>
      <c r="I593" s="1">
        <f>IF(ISNUMBER(B593),INT(B593),0)</f>
        <v/>
      </c>
      <c r="J593">
        <f>IF(ISNUMBER(B593),YEAR(B593)*100+MONTH(B593),"")</f>
        <v/>
      </c>
      <c r="K593">
        <f>IF(AND(H593="",OR(F593="Attended",F593="No-show",AND(F593="Late cancel",Settings!$C$9="Yes"))),1,0)</f>
        <v/>
      </c>
      <c r="L593">
        <f>IF(AND(H593="",F593="Attended"),1,0)</f>
        <v/>
      </c>
      <c r="M593">
        <f>IF(AND(H593="",OR(F593="No-show",F593="Late cancel")),1,0)</f>
        <v/>
      </c>
      <c r="N593">
        <f>IF(AND(H593="",F593="",D593&lt;&gt;"",I593&gt;=TODAY()),ROUND((I593+IF(ISNUMBER(C593),MOD(C593,1),0))*1440,0)*10000+ROW(),"")</f>
        <v/>
      </c>
    </row>
    <row r="594">
      <c r="A594" s="1" t="n"/>
      <c r="B594" s="17" t="n"/>
      <c r="C594" s="18" t="n"/>
      <c r="D594" s="19" t="n"/>
      <c r="E594" s="20" t="n"/>
      <c r="F594" s="20" t="n"/>
      <c r="G594" s="21" t="n"/>
      <c r="H594" s="12">
        <f>IF(AND(B594="",D594="",F594=""),"",IF(NOT(ISNUMBER(B594)),"Needs a date",IF(D594="","Needs a client",IF(COUNTIF(Clients!$B$6:$B$105,D594)=0,"Not on Clients",IF(AND(F594="",INT(B594)&lt;TODAY()),"Needs a status","")))))</f>
        <v/>
      </c>
      <c r="I594" s="1">
        <f>IF(ISNUMBER(B594),INT(B594),0)</f>
        <v/>
      </c>
      <c r="J594">
        <f>IF(ISNUMBER(B594),YEAR(B594)*100+MONTH(B594),"")</f>
        <v/>
      </c>
      <c r="K594">
        <f>IF(AND(H594="",OR(F594="Attended",F594="No-show",AND(F594="Late cancel",Settings!$C$9="Yes"))),1,0)</f>
        <v/>
      </c>
      <c r="L594">
        <f>IF(AND(H594="",F594="Attended"),1,0)</f>
        <v/>
      </c>
      <c r="M594">
        <f>IF(AND(H594="",OR(F594="No-show",F594="Late cancel")),1,0)</f>
        <v/>
      </c>
      <c r="N594">
        <f>IF(AND(H594="",F594="",D594&lt;&gt;"",I594&gt;=TODAY()),ROUND((I594+IF(ISNUMBER(C594),MOD(C594,1),0))*1440,0)*10000+ROW(),"")</f>
        <v/>
      </c>
    </row>
    <row r="595">
      <c r="A595" s="1" t="n"/>
      <c r="B595" s="17" t="n"/>
      <c r="C595" s="18" t="n"/>
      <c r="D595" s="19" t="n"/>
      <c r="E595" s="20" t="n"/>
      <c r="F595" s="20" t="n"/>
      <c r="G595" s="21" t="n"/>
      <c r="H595" s="12">
        <f>IF(AND(B595="",D595="",F595=""),"",IF(NOT(ISNUMBER(B595)),"Needs a date",IF(D595="","Needs a client",IF(COUNTIF(Clients!$B$6:$B$105,D595)=0,"Not on Clients",IF(AND(F595="",INT(B595)&lt;TODAY()),"Needs a status","")))))</f>
        <v/>
      </c>
      <c r="I595" s="1">
        <f>IF(ISNUMBER(B595),INT(B595),0)</f>
        <v/>
      </c>
      <c r="J595">
        <f>IF(ISNUMBER(B595),YEAR(B595)*100+MONTH(B595),"")</f>
        <v/>
      </c>
      <c r="K595">
        <f>IF(AND(H595="",OR(F595="Attended",F595="No-show",AND(F595="Late cancel",Settings!$C$9="Yes"))),1,0)</f>
        <v/>
      </c>
      <c r="L595">
        <f>IF(AND(H595="",F595="Attended"),1,0)</f>
        <v/>
      </c>
      <c r="M595">
        <f>IF(AND(H595="",OR(F595="No-show",F595="Late cancel")),1,0)</f>
        <v/>
      </c>
      <c r="N595">
        <f>IF(AND(H595="",F595="",D595&lt;&gt;"",I595&gt;=TODAY()),ROUND((I595+IF(ISNUMBER(C595),MOD(C595,1),0))*1440,0)*10000+ROW(),"")</f>
        <v/>
      </c>
    </row>
    <row r="596">
      <c r="A596" s="1" t="n"/>
      <c r="B596" s="17" t="n"/>
      <c r="C596" s="18" t="n"/>
      <c r="D596" s="19" t="n"/>
      <c r="E596" s="20" t="n"/>
      <c r="F596" s="20" t="n"/>
      <c r="G596" s="21" t="n"/>
      <c r="H596" s="12">
        <f>IF(AND(B596="",D596="",F596=""),"",IF(NOT(ISNUMBER(B596)),"Needs a date",IF(D596="","Needs a client",IF(COUNTIF(Clients!$B$6:$B$105,D596)=0,"Not on Clients",IF(AND(F596="",INT(B596)&lt;TODAY()),"Needs a status","")))))</f>
        <v/>
      </c>
      <c r="I596" s="1">
        <f>IF(ISNUMBER(B596),INT(B596),0)</f>
        <v/>
      </c>
      <c r="J596">
        <f>IF(ISNUMBER(B596),YEAR(B596)*100+MONTH(B596),"")</f>
        <v/>
      </c>
      <c r="K596">
        <f>IF(AND(H596="",OR(F596="Attended",F596="No-show",AND(F596="Late cancel",Settings!$C$9="Yes"))),1,0)</f>
        <v/>
      </c>
      <c r="L596">
        <f>IF(AND(H596="",F596="Attended"),1,0)</f>
        <v/>
      </c>
      <c r="M596">
        <f>IF(AND(H596="",OR(F596="No-show",F596="Late cancel")),1,0)</f>
        <v/>
      </c>
      <c r="N596">
        <f>IF(AND(H596="",F596="",D596&lt;&gt;"",I596&gt;=TODAY()),ROUND((I596+IF(ISNUMBER(C596),MOD(C596,1),0))*1440,0)*10000+ROW(),"")</f>
        <v/>
      </c>
    </row>
    <row r="597">
      <c r="A597" s="1" t="n"/>
      <c r="B597" s="17" t="n"/>
      <c r="C597" s="18" t="n"/>
      <c r="D597" s="19" t="n"/>
      <c r="E597" s="20" t="n"/>
      <c r="F597" s="20" t="n"/>
      <c r="G597" s="21" t="n"/>
      <c r="H597" s="12">
        <f>IF(AND(B597="",D597="",F597=""),"",IF(NOT(ISNUMBER(B597)),"Needs a date",IF(D597="","Needs a client",IF(COUNTIF(Clients!$B$6:$B$105,D597)=0,"Not on Clients",IF(AND(F597="",INT(B597)&lt;TODAY()),"Needs a status","")))))</f>
        <v/>
      </c>
      <c r="I597" s="1">
        <f>IF(ISNUMBER(B597),INT(B597),0)</f>
        <v/>
      </c>
      <c r="J597">
        <f>IF(ISNUMBER(B597),YEAR(B597)*100+MONTH(B597),"")</f>
        <v/>
      </c>
      <c r="K597">
        <f>IF(AND(H597="",OR(F597="Attended",F597="No-show",AND(F597="Late cancel",Settings!$C$9="Yes"))),1,0)</f>
        <v/>
      </c>
      <c r="L597">
        <f>IF(AND(H597="",F597="Attended"),1,0)</f>
        <v/>
      </c>
      <c r="M597">
        <f>IF(AND(H597="",OR(F597="No-show",F597="Late cancel")),1,0)</f>
        <v/>
      </c>
      <c r="N597">
        <f>IF(AND(H597="",F597="",D597&lt;&gt;"",I597&gt;=TODAY()),ROUND((I597+IF(ISNUMBER(C597),MOD(C597,1),0))*1440,0)*10000+ROW(),"")</f>
        <v/>
      </c>
    </row>
    <row r="598">
      <c r="A598" s="1" t="n"/>
      <c r="B598" s="17" t="n"/>
      <c r="C598" s="18" t="n"/>
      <c r="D598" s="19" t="n"/>
      <c r="E598" s="20" t="n"/>
      <c r="F598" s="20" t="n"/>
      <c r="G598" s="21" t="n"/>
      <c r="H598" s="12">
        <f>IF(AND(B598="",D598="",F598=""),"",IF(NOT(ISNUMBER(B598)),"Needs a date",IF(D598="","Needs a client",IF(COUNTIF(Clients!$B$6:$B$105,D598)=0,"Not on Clients",IF(AND(F598="",INT(B598)&lt;TODAY()),"Needs a status","")))))</f>
        <v/>
      </c>
      <c r="I598" s="1">
        <f>IF(ISNUMBER(B598),INT(B598),0)</f>
        <v/>
      </c>
      <c r="J598">
        <f>IF(ISNUMBER(B598),YEAR(B598)*100+MONTH(B598),"")</f>
        <v/>
      </c>
      <c r="K598">
        <f>IF(AND(H598="",OR(F598="Attended",F598="No-show",AND(F598="Late cancel",Settings!$C$9="Yes"))),1,0)</f>
        <v/>
      </c>
      <c r="L598">
        <f>IF(AND(H598="",F598="Attended"),1,0)</f>
        <v/>
      </c>
      <c r="M598">
        <f>IF(AND(H598="",OR(F598="No-show",F598="Late cancel")),1,0)</f>
        <v/>
      </c>
      <c r="N598">
        <f>IF(AND(H598="",F598="",D598&lt;&gt;"",I598&gt;=TODAY()),ROUND((I598+IF(ISNUMBER(C598),MOD(C598,1),0))*1440,0)*10000+ROW(),"")</f>
        <v/>
      </c>
    </row>
    <row r="599">
      <c r="A599" s="1" t="n"/>
      <c r="B599" s="17" t="n"/>
      <c r="C599" s="18" t="n"/>
      <c r="D599" s="19" t="n"/>
      <c r="E599" s="20" t="n"/>
      <c r="F599" s="20" t="n"/>
      <c r="G599" s="21" t="n"/>
      <c r="H599" s="12">
        <f>IF(AND(B599="",D599="",F599=""),"",IF(NOT(ISNUMBER(B599)),"Needs a date",IF(D599="","Needs a client",IF(COUNTIF(Clients!$B$6:$B$105,D599)=0,"Not on Clients",IF(AND(F599="",INT(B599)&lt;TODAY()),"Needs a status","")))))</f>
        <v/>
      </c>
      <c r="I599" s="1">
        <f>IF(ISNUMBER(B599),INT(B599),0)</f>
        <v/>
      </c>
      <c r="J599">
        <f>IF(ISNUMBER(B599),YEAR(B599)*100+MONTH(B599),"")</f>
        <v/>
      </c>
      <c r="K599">
        <f>IF(AND(H599="",OR(F599="Attended",F599="No-show",AND(F599="Late cancel",Settings!$C$9="Yes"))),1,0)</f>
        <v/>
      </c>
      <c r="L599">
        <f>IF(AND(H599="",F599="Attended"),1,0)</f>
        <v/>
      </c>
      <c r="M599">
        <f>IF(AND(H599="",OR(F599="No-show",F599="Late cancel")),1,0)</f>
        <v/>
      </c>
      <c r="N599">
        <f>IF(AND(H599="",F599="",D599&lt;&gt;"",I599&gt;=TODAY()),ROUND((I599+IF(ISNUMBER(C599),MOD(C599,1),0))*1440,0)*10000+ROW(),"")</f>
        <v/>
      </c>
    </row>
    <row r="600">
      <c r="A600" s="1" t="n"/>
      <c r="B600" s="17" t="n"/>
      <c r="C600" s="18" t="n"/>
      <c r="D600" s="19" t="n"/>
      <c r="E600" s="20" t="n"/>
      <c r="F600" s="20" t="n"/>
      <c r="G600" s="21" t="n"/>
      <c r="H600" s="12">
        <f>IF(AND(B600="",D600="",F600=""),"",IF(NOT(ISNUMBER(B600)),"Needs a date",IF(D600="","Needs a client",IF(COUNTIF(Clients!$B$6:$B$105,D600)=0,"Not on Clients",IF(AND(F600="",INT(B600)&lt;TODAY()),"Needs a status","")))))</f>
        <v/>
      </c>
      <c r="I600" s="1">
        <f>IF(ISNUMBER(B600),INT(B600),0)</f>
        <v/>
      </c>
      <c r="J600">
        <f>IF(ISNUMBER(B600),YEAR(B600)*100+MONTH(B600),"")</f>
        <v/>
      </c>
      <c r="K600">
        <f>IF(AND(H600="",OR(F600="Attended",F600="No-show",AND(F600="Late cancel",Settings!$C$9="Yes"))),1,0)</f>
        <v/>
      </c>
      <c r="L600">
        <f>IF(AND(H600="",F600="Attended"),1,0)</f>
        <v/>
      </c>
      <c r="M600">
        <f>IF(AND(H600="",OR(F600="No-show",F600="Late cancel")),1,0)</f>
        <v/>
      </c>
      <c r="N600">
        <f>IF(AND(H600="",F600="",D600&lt;&gt;"",I600&gt;=TODAY()),ROUND((I600+IF(ISNUMBER(C600),MOD(C600,1),0))*1440,0)*10000+ROW(),"")</f>
        <v/>
      </c>
    </row>
    <row r="601">
      <c r="A601" s="1" t="n"/>
      <c r="B601" s="17" t="n"/>
      <c r="C601" s="18" t="n"/>
      <c r="D601" s="19" t="n"/>
      <c r="E601" s="20" t="n"/>
      <c r="F601" s="20" t="n"/>
      <c r="G601" s="21" t="n"/>
      <c r="H601" s="12">
        <f>IF(AND(B601="",D601="",F601=""),"",IF(NOT(ISNUMBER(B601)),"Needs a date",IF(D601="","Needs a client",IF(COUNTIF(Clients!$B$6:$B$105,D601)=0,"Not on Clients",IF(AND(F601="",INT(B601)&lt;TODAY()),"Needs a status","")))))</f>
        <v/>
      </c>
      <c r="I601" s="1">
        <f>IF(ISNUMBER(B601),INT(B601),0)</f>
        <v/>
      </c>
      <c r="J601">
        <f>IF(ISNUMBER(B601),YEAR(B601)*100+MONTH(B601),"")</f>
        <v/>
      </c>
      <c r="K601">
        <f>IF(AND(H601="",OR(F601="Attended",F601="No-show",AND(F601="Late cancel",Settings!$C$9="Yes"))),1,0)</f>
        <v/>
      </c>
      <c r="L601">
        <f>IF(AND(H601="",F601="Attended"),1,0)</f>
        <v/>
      </c>
      <c r="M601">
        <f>IF(AND(H601="",OR(F601="No-show",F601="Late cancel")),1,0)</f>
        <v/>
      </c>
      <c r="N601">
        <f>IF(AND(H601="",F601="",D601&lt;&gt;"",I601&gt;=TODAY()),ROUND((I601+IF(ISNUMBER(C601),MOD(C601,1),0))*1440,0)*10000+ROW(),"")</f>
        <v/>
      </c>
    </row>
    <row r="602">
      <c r="A602" s="1" t="n"/>
      <c r="B602" s="17" t="n"/>
      <c r="C602" s="18" t="n"/>
      <c r="D602" s="19" t="n"/>
      <c r="E602" s="20" t="n"/>
      <c r="F602" s="20" t="n"/>
      <c r="G602" s="21" t="n"/>
      <c r="H602" s="12">
        <f>IF(AND(B602="",D602="",F602=""),"",IF(NOT(ISNUMBER(B602)),"Needs a date",IF(D602="","Needs a client",IF(COUNTIF(Clients!$B$6:$B$105,D602)=0,"Not on Clients",IF(AND(F602="",INT(B602)&lt;TODAY()),"Needs a status","")))))</f>
        <v/>
      </c>
      <c r="I602" s="1">
        <f>IF(ISNUMBER(B602),INT(B602),0)</f>
        <v/>
      </c>
      <c r="J602">
        <f>IF(ISNUMBER(B602),YEAR(B602)*100+MONTH(B602),"")</f>
        <v/>
      </c>
      <c r="K602">
        <f>IF(AND(H602="",OR(F602="Attended",F602="No-show",AND(F602="Late cancel",Settings!$C$9="Yes"))),1,0)</f>
        <v/>
      </c>
      <c r="L602">
        <f>IF(AND(H602="",F602="Attended"),1,0)</f>
        <v/>
      </c>
      <c r="M602">
        <f>IF(AND(H602="",OR(F602="No-show",F602="Late cancel")),1,0)</f>
        <v/>
      </c>
      <c r="N602">
        <f>IF(AND(H602="",F602="",D602&lt;&gt;"",I602&gt;=TODAY()),ROUND((I602+IF(ISNUMBER(C602),MOD(C602,1),0))*1440,0)*10000+ROW(),"")</f>
        <v/>
      </c>
    </row>
    <row r="603">
      <c r="A603" s="1" t="n"/>
      <c r="B603" s="17" t="n"/>
      <c r="C603" s="18" t="n"/>
      <c r="D603" s="19" t="n"/>
      <c r="E603" s="20" t="n"/>
      <c r="F603" s="20" t="n"/>
      <c r="G603" s="21" t="n"/>
      <c r="H603" s="12">
        <f>IF(AND(B603="",D603="",F603=""),"",IF(NOT(ISNUMBER(B603)),"Needs a date",IF(D603="","Needs a client",IF(COUNTIF(Clients!$B$6:$B$105,D603)=0,"Not on Clients",IF(AND(F603="",INT(B603)&lt;TODAY()),"Needs a status","")))))</f>
        <v/>
      </c>
      <c r="I603" s="1">
        <f>IF(ISNUMBER(B603),INT(B603),0)</f>
        <v/>
      </c>
      <c r="J603">
        <f>IF(ISNUMBER(B603),YEAR(B603)*100+MONTH(B603),"")</f>
        <v/>
      </c>
      <c r="K603">
        <f>IF(AND(H603="",OR(F603="Attended",F603="No-show",AND(F603="Late cancel",Settings!$C$9="Yes"))),1,0)</f>
        <v/>
      </c>
      <c r="L603">
        <f>IF(AND(H603="",F603="Attended"),1,0)</f>
        <v/>
      </c>
      <c r="M603">
        <f>IF(AND(H603="",OR(F603="No-show",F603="Late cancel")),1,0)</f>
        <v/>
      </c>
      <c r="N603">
        <f>IF(AND(H603="",F603="",D603&lt;&gt;"",I603&gt;=TODAY()),ROUND((I603+IF(ISNUMBER(C603),MOD(C603,1),0))*1440,0)*10000+ROW(),"")</f>
        <v/>
      </c>
    </row>
    <row r="604">
      <c r="A604" s="1" t="n"/>
      <c r="B604" s="17" t="n"/>
      <c r="C604" s="18" t="n"/>
      <c r="D604" s="19" t="n"/>
      <c r="E604" s="20" t="n"/>
      <c r="F604" s="20" t="n"/>
      <c r="G604" s="21" t="n"/>
      <c r="H604" s="12">
        <f>IF(AND(B604="",D604="",F604=""),"",IF(NOT(ISNUMBER(B604)),"Needs a date",IF(D604="","Needs a client",IF(COUNTIF(Clients!$B$6:$B$105,D604)=0,"Not on Clients",IF(AND(F604="",INT(B604)&lt;TODAY()),"Needs a status","")))))</f>
        <v/>
      </c>
      <c r="I604" s="1">
        <f>IF(ISNUMBER(B604),INT(B604),0)</f>
        <v/>
      </c>
      <c r="J604">
        <f>IF(ISNUMBER(B604),YEAR(B604)*100+MONTH(B604),"")</f>
        <v/>
      </c>
      <c r="K604">
        <f>IF(AND(H604="",OR(F604="Attended",F604="No-show",AND(F604="Late cancel",Settings!$C$9="Yes"))),1,0)</f>
        <v/>
      </c>
      <c r="L604">
        <f>IF(AND(H604="",F604="Attended"),1,0)</f>
        <v/>
      </c>
      <c r="M604">
        <f>IF(AND(H604="",OR(F604="No-show",F604="Late cancel")),1,0)</f>
        <v/>
      </c>
      <c r="N604">
        <f>IF(AND(H604="",F604="",D604&lt;&gt;"",I604&gt;=TODAY()),ROUND((I604+IF(ISNUMBER(C604),MOD(C604,1),0))*1440,0)*10000+ROW(),"")</f>
        <v/>
      </c>
    </row>
    <row r="605">
      <c r="A605" s="1" t="n"/>
      <c r="B605" s="17" t="n"/>
      <c r="C605" s="18" t="n"/>
      <c r="D605" s="19" t="n"/>
      <c r="E605" s="20" t="n"/>
      <c r="F605" s="20" t="n"/>
      <c r="G605" s="21" t="n"/>
      <c r="H605" s="12">
        <f>IF(AND(B605="",D605="",F605=""),"",IF(NOT(ISNUMBER(B605)),"Needs a date",IF(D605="","Needs a client",IF(COUNTIF(Clients!$B$6:$B$105,D605)=0,"Not on Clients",IF(AND(F605="",INT(B605)&lt;TODAY()),"Needs a status","")))))</f>
        <v/>
      </c>
      <c r="I605" s="1">
        <f>IF(ISNUMBER(B605),INT(B605),0)</f>
        <v/>
      </c>
      <c r="J605">
        <f>IF(ISNUMBER(B605),YEAR(B605)*100+MONTH(B605),"")</f>
        <v/>
      </c>
      <c r="K605">
        <f>IF(AND(H605="",OR(F605="Attended",F605="No-show",AND(F605="Late cancel",Settings!$C$9="Yes"))),1,0)</f>
        <v/>
      </c>
      <c r="L605">
        <f>IF(AND(H605="",F605="Attended"),1,0)</f>
        <v/>
      </c>
      <c r="M605">
        <f>IF(AND(H605="",OR(F605="No-show",F605="Late cancel")),1,0)</f>
        <v/>
      </c>
      <c r="N605">
        <f>IF(AND(H605="",F605="",D605&lt;&gt;"",I605&gt;=TODAY()),ROUND((I605+IF(ISNUMBER(C605),MOD(C605,1),0))*1440,0)*10000+ROW(),"")</f>
        <v/>
      </c>
    </row>
    <row r="606">
      <c r="A606" s="1" t="n"/>
      <c r="B606" s="17" t="n"/>
      <c r="C606" s="18" t="n"/>
      <c r="D606" s="19" t="n"/>
      <c r="E606" s="20" t="n"/>
      <c r="F606" s="20" t="n"/>
      <c r="G606" s="21" t="n"/>
      <c r="H606" s="12">
        <f>IF(AND(B606="",D606="",F606=""),"",IF(NOT(ISNUMBER(B606)),"Needs a date",IF(D606="","Needs a client",IF(COUNTIF(Clients!$B$6:$B$105,D606)=0,"Not on Clients",IF(AND(F606="",INT(B606)&lt;TODAY()),"Needs a status","")))))</f>
        <v/>
      </c>
      <c r="I606" s="1">
        <f>IF(ISNUMBER(B606),INT(B606),0)</f>
        <v/>
      </c>
      <c r="J606">
        <f>IF(ISNUMBER(B606),YEAR(B606)*100+MONTH(B606),"")</f>
        <v/>
      </c>
      <c r="K606">
        <f>IF(AND(H606="",OR(F606="Attended",F606="No-show",AND(F606="Late cancel",Settings!$C$9="Yes"))),1,0)</f>
        <v/>
      </c>
      <c r="L606">
        <f>IF(AND(H606="",F606="Attended"),1,0)</f>
        <v/>
      </c>
      <c r="M606">
        <f>IF(AND(H606="",OR(F606="No-show",F606="Late cancel")),1,0)</f>
        <v/>
      </c>
      <c r="N606">
        <f>IF(AND(H606="",F606="",D606&lt;&gt;"",I606&gt;=TODAY()),ROUND((I606+IF(ISNUMBER(C606),MOD(C606,1),0))*1440,0)*10000+ROW(),"")</f>
        <v/>
      </c>
    </row>
    <row r="607">
      <c r="A607" s="1" t="n"/>
      <c r="B607" s="17" t="n"/>
      <c r="C607" s="18" t="n"/>
      <c r="D607" s="19" t="n"/>
      <c r="E607" s="20" t="n"/>
      <c r="F607" s="20" t="n"/>
      <c r="G607" s="21" t="n"/>
      <c r="H607" s="12">
        <f>IF(AND(B607="",D607="",F607=""),"",IF(NOT(ISNUMBER(B607)),"Needs a date",IF(D607="","Needs a client",IF(COUNTIF(Clients!$B$6:$B$105,D607)=0,"Not on Clients",IF(AND(F607="",INT(B607)&lt;TODAY()),"Needs a status","")))))</f>
        <v/>
      </c>
      <c r="I607" s="1">
        <f>IF(ISNUMBER(B607),INT(B607),0)</f>
        <v/>
      </c>
      <c r="J607">
        <f>IF(ISNUMBER(B607),YEAR(B607)*100+MONTH(B607),"")</f>
        <v/>
      </c>
      <c r="K607">
        <f>IF(AND(H607="",OR(F607="Attended",F607="No-show",AND(F607="Late cancel",Settings!$C$9="Yes"))),1,0)</f>
        <v/>
      </c>
      <c r="L607">
        <f>IF(AND(H607="",F607="Attended"),1,0)</f>
        <v/>
      </c>
      <c r="M607">
        <f>IF(AND(H607="",OR(F607="No-show",F607="Late cancel")),1,0)</f>
        <v/>
      </c>
      <c r="N607">
        <f>IF(AND(H607="",F607="",D607&lt;&gt;"",I607&gt;=TODAY()),ROUND((I607+IF(ISNUMBER(C607),MOD(C607,1),0))*1440,0)*10000+ROW(),"")</f>
        <v/>
      </c>
    </row>
    <row r="608">
      <c r="A608" s="1" t="n"/>
      <c r="B608" s="17" t="n"/>
      <c r="C608" s="18" t="n"/>
      <c r="D608" s="19" t="n"/>
      <c r="E608" s="20" t="n"/>
      <c r="F608" s="20" t="n"/>
      <c r="G608" s="21" t="n"/>
      <c r="H608" s="12">
        <f>IF(AND(B608="",D608="",F608=""),"",IF(NOT(ISNUMBER(B608)),"Needs a date",IF(D608="","Needs a client",IF(COUNTIF(Clients!$B$6:$B$105,D608)=0,"Not on Clients",IF(AND(F608="",INT(B608)&lt;TODAY()),"Needs a status","")))))</f>
        <v/>
      </c>
      <c r="I608" s="1">
        <f>IF(ISNUMBER(B608),INT(B608),0)</f>
        <v/>
      </c>
      <c r="J608">
        <f>IF(ISNUMBER(B608),YEAR(B608)*100+MONTH(B608),"")</f>
        <v/>
      </c>
      <c r="K608">
        <f>IF(AND(H608="",OR(F608="Attended",F608="No-show",AND(F608="Late cancel",Settings!$C$9="Yes"))),1,0)</f>
        <v/>
      </c>
      <c r="L608">
        <f>IF(AND(H608="",F608="Attended"),1,0)</f>
        <v/>
      </c>
      <c r="M608">
        <f>IF(AND(H608="",OR(F608="No-show",F608="Late cancel")),1,0)</f>
        <v/>
      </c>
      <c r="N608">
        <f>IF(AND(H608="",F608="",D608&lt;&gt;"",I608&gt;=TODAY()),ROUND((I608+IF(ISNUMBER(C608),MOD(C608,1),0))*1440,0)*10000+ROW(),"")</f>
        <v/>
      </c>
    </row>
    <row r="609">
      <c r="A609" s="1" t="n"/>
      <c r="B609" s="17" t="n"/>
      <c r="C609" s="18" t="n"/>
      <c r="D609" s="19" t="n"/>
      <c r="E609" s="20" t="n"/>
      <c r="F609" s="20" t="n"/>
      <c r="G609" s="21" t="n"/>
      <c r="H609" s="12">
        <f>IF(AND(B609="",D609="",F609=""),"",IF(NOT(ISNUMBER(B609)),"Needs a date",IF(D609="","Needs a client",IF(COUNTIF(Clients!$B$6:$B$105,D609)=0,"Not on Clients",IF(AND(F609="",INT(B609)&lt;TODAY()),"Needs a status","")))))</f>
        <v/>
      </c>
      <c r="I609" s="1">
        <f>IF(ISNUMBER(B609),INT(B609),0)</f>
        <v/>
      </c>
      <c r="J609">
        <f>IF(ISNUMBER(B609),YEAR(B609)*100+MONTH(B609),"")</f>
        <v/>
      </c>
      <c r="K609">
        <f>IF(AND(H609="",OR(F609="Attended",F609="No-show",AND(F609="Late cancel",Settings!$C$9="Yes"))),1,0)</f>
        <v/>
      </c>
      <c r="L609">
        <f>IF(AND(H609="",F609="Attended"),1,0)</f>
        <v/>
      </c>
      <c r="M609">
        <f>IF(AND(H609="",OR(F609="No-show",F609="Late cancel")),1,0)</f>
        <v/>
      </c>
      <c r="N609">
        <f>IF(AND(H609="",F609="",D609&lt;&gt;"",I609&gt;=TODAY()),ROUND((I609+IF(ISNUMBER(C609),MOD(C609,1),0))*1440,0)*10000+ROW(),"")</f>
        <v/>
      </c>
    </row>
    <row r="610">
      <c r="A610" s="1" t="n"/>
      <c r="B610" s="17" t="n"/>
      <c r="C610" s="18" t="n"/>
      <c r="D610" s="19" t="n"/>
      <c r="E610" s="20" t="n"/>
      <c r="F610" s="20" t="n"/>
      <c r="G610" s="21" t="n"/>
      <c r="H610" s="12">
        <f>IF(AND(B610="",D610="",F610=""),"",IF(NOT(ISNUMBER(B610)),"Needs a date",IF(D610="","Needs a client",IF(COUNTIF(Clients!$B$6:$B$105,D610)=0,"Not on Clients",IF(AND(F610="",INT(B610)&lt;TODAY()),"Needs a status","")))))</f>
        <v/>
      </c>
      <c r="I610" s="1">
        <f>IF(ISNUMBER(B610),INT(B610),0)</f>
        <v/>
      </c>
      <c r="J610">
        <f>IF(ISNUMBER(B610),YEAR(B610)*100+MONTH(B610),"")</f>
        <v/>
      </c>
      <c r="K610">
        <f>IF(AND(H610="",OR(F610="Attended",F610="No-show",AND(F610="Late cancel",Settings!$C$9="Yes"))),1,0)</f>
        <v/>
      </c>
      <c r="L610">
        <f>IF(AND(H610="",F610="Attended"),1,0)</f>
        <v/>
      </c>
      <c r="M610">
        <f>IF(AND(H610="",OR(F610="No-show",F610="Late cancel")),1,0)</f>
        <v/>
      </c>
      <c r="N610">
        <f>IF(AND(H610="",F610="",D610&lt;&gt;"",I610&gt;=TODAY()),ROUND((I610+IF(ISNUMBER(C610),MOD(C610,1),0))*1440,0)*10000+ROW(),"")</f>
        <v/>
      </c>
    </row>
    <row r="611">
      <c r="A611" s="1" t="n"/>
      <c r="B611" s="17" t="n"/>
      <c r="C611" s="18" t="n"/>
      <c r="D611" s="19" t="n"/>
      <c r="E611" s="20" t="n"/>
      <c r="F611" s="20" t="n"/>
      <c r="G611" s="21" t="n"/>
      <c r="H611" s="12">
        <f>IF(AND(B611="",D611="",F611=""),"",IF(NOT(ISNUMBER(B611)),"Needs a date",IF(D611="","Needs a client",IF(COUNTIF(Clients!$B$6:$B$105,D611)=0,"Not on Clients",IF(AND(F611="",INT(B611)&lt;TODAY()),"Needs a status","")))))</f>
        <v/>
      </c>
      <c r="I611" s="1">
        <f>IF(ISNUMBER(B611),INT(B611),0)</f>
        <v/>
      </c>
      <c r="J611">
        <f>IF(ISNUMBER(B611),YEAR(B611)*100+MONTH(B611),"")</f>
        <v/>
      </c>
      <c r="K611">
        <f>IF(AND(H611="",OR(F611="Attended",F611="No-show",AND(F611="Late cancel",Settings!$C$9="Yes"))),1,0)</f>
        <v/>
      </c>
      <c r="L611">
        <f>IF(AND(H611="",F611="Attended"),1,0)</f>
        <v/>
      </c>
      <c r="M611">
        <f>IF(AND(H611="",OR(F611="No-show",F611="Late cancel")),1,0)</f>
        <v/>
      </c>
      <c r="N611">
        <f>IF(AND(H611="",F611="",D611&lt;&gt;"",I611&gt;=TODAY()),ROUND((I611+IF(ISNUMBER(C611),MOD(C611,1),0))*1440,0)*10000+ROW(),"")</f>
        <v/>
      </c>
    </row>
    <row r="612">
      <c r="A612" s="1" t="n"/>
      <c r="B612" s="17" t="n"/>
      <c r="C612" s="18" t="n"/>
      <c r="D612" s="19" t="n"/>
      <c r="E612" s="20" t="n"/>
      <c r="F612" s="20" t="n"/>
      <c r="G612" s="21" t="n"/>
      <c r="H612" s="12">
        <f>IF(AND(B612="",D612="",F612=""),"",IF(NOT(ISNUMBER(B612)),"Needs a date",IF(D612="","Needs a client",IF(COUNTIF(Clients!$B$6:$B$105,D612)=0,"Not on Clients",IF(AND(F612="",INT(B612)&lt;TODAY()),"Needs a status","")))))</f>
        <v/>
      </c>
      <c r="I612" s="1">
        <f>IF(ISNUMBER(B612),INT(B612),0)</f>
        <v/>
      </c>
      <c r="J612">
        <f>IF(ISNUMBER(B612),YEAR(B612)*100+MONTH(B612),"")</f>
        <v/>
      </c>
      <c r="K612">
        <f>IF(AND(H612="",OR(F612="Attended",F612="No-show",AND(F612="Late cancel",Settings!$C$9="Yes"))),1,0)</f>
        <v/>
      </c>
      <c r="L612">
        <f>IF(AND(H612="",F612="Attended"),1,0)</f>
        <v/>
      </c>
      <c r="M612">
        <f>IF(AND(H612="",OR(F612="No-show",F612="Late cancel")),1,0)</f>
        <v/>
      </c>
      <c r="N612">
        <f>IF(AND(H612="",F612="",D612&lt;&gt;"",I612&gt;=TODAY()),ROUND((I612+IF(ISNUMBER(C612),MOD(C612,1),0))*1440,0)*10000+ROW(),"")</f>
        <v/>
      </c>
    </row>
    <row r="613">
      <c r="A613" s="1" t="n"/>
      <c r="B613" s="17" t="n"/>
      <c r="C613" s="18" t="n"/>
      <c r="D613" s="19" t="n"/>
      <c r="E613" s="20" t="n"/>
      <c r="F613" s="20" t="n"/>
      <c r="G613" s="21" t="n"/>
      <c r="H613" s="12">
        <f>IF(AND(B613="",D613="",F613=""),"",IF(NOT(ISNUMBER(B613)),"Needs a date",IF(D613="","Needs a client",IF(COUNTIF(Clients!$B$6:$B$105,D613)=0,"Not on Clients",IF(AND(F613="",INT(B613)&lt;TODAY()),"Needs a status","")))))</f>
        <v/>
      </c>
      <c r="I613" s="1">
        <f>IF(ISNUMBER(B613),INT(B613),0)</f>
        <v/>
      </c>
      <c r="J613">
        <f>IF(ISNUMBER(B613),YEAR(B613)*100+MONTH(B613),"")</f>
        <v/>
      </c>
      <c r="K613">
        <f>IF(AND(H613="",OR(F613="Attended",F613="No-show",AND(F613="Late cancel",Settings!$C$9="Yes"))),1,0)</f>
        <v/>
      </c>
      <c r="L613">
        <f>IF(AND(H613="",F613="Attended"),1,0)</f>
        <v/>
      </c>
      <c r="M613">
        <f>IF(AND(H613="",OR(F613="No-show",F613="Late cancel")),1,0)</f>
        <v/>
      </c>
      <c r="N613">
        <f>IF(AND(H613="",F613="",D613&lt;&gt;"",I613&gt;=TODAY()),ROUND((I613+IF(ISNUMBER(C613),MOD(C613,1),0))*1440,0)*10000+ROW(),"")</f>
        <v/>
      </c>
    </row>
    <row r="614">
      <c r="A614" s="1" t="n"/>
      <c r="B614" s="17" t="n"/>
      <c r="C614" s="18" t="n"/>
      <c r="D614" s="19" t="n"/>
      <c r="E614" s="20" t="n"/>
      <c r="F614" s="20" t="n"/>
      <c r="G614" s="21" t="n"/>
      <c r="H614" s="12">
        <f>IF(AND(B614="",D614="",F614=""),"",IF(NOT(ISNUMBER(B614)),"Needs a date",IF(D614="","Needs a client",IF(COUNTIF(Clients!$B$6:$B$105,D614)=0,"Not on Clients",IF(AND(F614="",INT(B614)&lt;TODAY()),"Needs a status","")))))</f>
        <v/>
      </c>
      <c r="I614" s="1">
        <f>IF(ISNUMBER(B614),INT(B614),0)</f>
        <v/>
      </c>
      <c r="J614">
        <f>IF(ISNUMBER(B614),YEAR(B614)*100+MONTH(B614),"")</f>
        <v/>
      </c>
      <c r="K614">
        <f>IF(AND(H614="",OR(F614="Attended",F614="No-show",AND(F614="Late cancel",Settings!$C$9="Yes"))),1,0)</f>
        <v/>
      </c>
      <c r="L614">
        <f>IF(AND(H614="",F614="Attended"),1,0)</f>
        <v/>
      </c>
      <c r="M614">
        <f>IF(AND(H614="",OR(F614="No-show",F614="Late cancel")),1,0)</f>
        <v/>
      </c>
      <c r="N614">
        <f>IF(AND(H614="",F614="",D614&lt;&gt;"",I614&gt;=TODAY()),ROUND((I614+IF(ISNUMBER(C614),MOD(C614,1),0))*1440,0)*10000+ROW(),"")</f>
        <v/>
      </c>
    </row>
    <row r="615">
      <c r="A615" s="1" t="n"/>
      <c r="B615" s="17" t="n"/>
      <c r="C615" s="18" t="n"/>
      <c r="D615" s="19" t="n"/>
      <c r="E615" s="20" t="n"/>
      <c r="F615" s="20" t="n"/>
      <c r="G615" s="21" t="n"/>
      <c r="H615" s="12">
        <f>IF(AND(B615="",D615="",F615=""),"",IF(NOT(ISNUMBER(B615)),"Needs a date",IF(D615="","Needs a client",IF(COUNTIF(Clients!$B$6:$B$105,D615)=0,"Not on Clients",IF(AND(F615="",INT(B615)&lt;TODAY()),"Needs a status","")))))</f>
        <v/>
      </c>
      <c r="I615" s="1">
        <f>IF(ISNUMBER(B615),INT(B615),0)</f>
        <v/>
      </c>
      <c r="J615">
        <f>IF(ISNUMBER(B615),YEAR(B615)*100+MONTH(B615),"")</f>
        <v/>
      </c>
      <c r="K615">
        <f>IF(AND(H615="",OR(F615="Attended",F615="No-show",AND(F615="Late cancel",Settings!$C$9="Yes"))),1,0)</f>
        <v/>
      </c>
      <c r="L615">
        <f>IF(AND(H615="",F615="Attended"),1,0)</f>
        <v/>
      </c>
      <c r="M615">
        <f>IF(AND(H615="",OR(F615="No-show",F615="Late cancel")),1,0)</f>
        <v/>
      </c>
      <c r="N615">
        <f>IF(AND(H615="",F615="",D615&lt;&gt;"",I615&gt;=TODAY()),ROUND((I615+IF(ISNUMBER(C615),MOD(C615,1),0))*1440,0)*10000+ROW(),"")</f>
        <v/>
      </c>
    </row>
    <row r="616">
      <c r="A616" s="1" t="n"/>
      <c r="B616" s="17" t="n"/>
      <c r="C616" s="18" t="n"/>
      <c r="D616" s="19" t="n"/>
      <c r="E616" s="20" t="n"/>
      <c r="F616" s="20" t="n"/>
      <c r="G616" s="21" t="n"/>
      <c r="H616" s="12">
        <f>IF(AND(B616="",D616="",F616=""),"",IF(NOT(ISNUMBER(B616)),"Needs a date",IF(D616="","Needs a client",IF(COUNTIF(Clients!$B$6:$B$105,D616)=0,"Not on Clients",IF(AND(F616="",INT(B616)&lt;TODAY()),"Needs a status","")))))</f>
        <v/>
      </c>
      <c r="I616" s="1">
        <f>IF(ISNUMBER(B616),INT(B616),0)</f>
        <v/>
      </c>
      <c r="J616">
        <f>IF(ISNUMBER(B616),YEAR(B616)*100+MONTH(B616),"")</f>
        <v/>
      </c>
      <c r="K616">
        <f>IF(AND(H616="",OR(F616="Attended",F616="No-show",AND(F616="Late cancel",Settings!$C$9="Yes"))),1,0)</f>
        <v/>
      </c>
      <c r="L616">
        <f>IF(AND(H616="",F616="Attended"),1,0)</f>
        <v/>
      </c>
      <c r="M616">
        <f>IF(AND(H616="",OR(F616="No-show",F616="Late cancel")),1,0)</f>
        <v/>
      </c>
      <c r="N616">
        <f>IF(AND(H616="",F616="",D616&lt;&gt;"",I616&gt;=TODAY()),ROUND((I616+IF(ISNUMBER(C616),MOD(C616,1),0))*1440,0)*10000+ROW(),"")</f>
        <v/>
      </c>
    </row>
    <row r="617">
      <c r="A617" s="1" t="n"/>
      <c r="B617" s="17" t="n"/>
      <c r="C617" s="18" t="n"/>
      <c r="D617" s="19" t="n"/>
      <c r="E617" s="20" t="n"/>
      <c r="F617" s="20" t="n"/>
      <c r="G617" s="21" t="n"/>
      <c r="H617" s="12">
        <f>IF(AND(B617="",D617="",F617=""),"",IF(NOT(ISNUMBER(B617)),"Needs a date",IF(D617="","Needs a client",IF(COUNTIF(Clients!$B$6:$B$105,D617)=0,"Not on Clients",IF(AND(F617="",INT(B617)&lt;TODAY()),"Needs a status","")))))</f>
        <v/>
      </c>
      <c r="I617" s="1">
        <f>IF(ISNUMBER(B617),INT(B617),0)</f>
        <v/>
      </c>
      <c r="J617">
        <f>IF(ISNUMBER(B617),YEAR(B617)*100+MONTH(B617),"")</f>
        <v/>
      </c>
      <c r="K617">
        <f>IF(AND(H617="",OR(F617="Attended",F617="No-show",AND(F617="Late cancel",Settings!$C$9="Yes"))),1,0)</f>
        <v/>
      </c>
      <c r="L617">
        <f>IF(AND(H617="",F617="Attended"),1,0)</f>
        <v/>
      </c>
      <c r="M617">
        <f>IF(AND(H617="",OR(F617="No-show",F617="Late cancel")),1,0)</f>
        <v/>
      </c>
      <c r="N617">
        <f>IF(AND(H617="",F617="",D617&lt;&gt;"",I617&gt;=TODAY()),ROUND((I617+IF(ISNUMBER(C617),MOD(C617,1),0))*1440,0)*10000+ROW(),"")</f>
        <v/>
      </c>
    </row>
    <row r="618">
      <c r="A618" s="1" t="n"/>
      <c r="B618" s="17" t="n"/>
      <c r="C618" s="18" t="n"/>
      <c r="D618" s="19" t="n"/>
      <c r="E618" s="20" t="n"/>
      <c r="F618" s="20" t="n"/>
      <c r="G618" s="21" t="n"/>
      <c r="H618" s="12">
        <f>IF(AND(B618="",D618="",F618=""),"",IF(NOT(ISNUMBER(B618)),"Needs a date",IF(D618="","Needs a client",IF(COUNTIF(Clients!$B$6:$B$105,D618)=0,"Not on Clients",IF(AND(F618="",INT(B618)&lt;TODAY()),"Needs a status","")))))</f>
        <v/>
      </c>
      <c r="I618" s="1">
        <f>IF(ISNUMBER(B618),INT(B618),0)</f>
        <v/>
      </c>
      <c r="J618">
        <f>IF(ISNUMBER(B618),YEAR(B618)*100+MONTH(B618),"")</f>
        <v/>
      </c>
      <c r="K618">
        <f>IF(AND(H618="",OR(F618="Attended",F618="No-show",AND(F618="Late cancel",Settings!$C$9="Yes"))),1,0)</f>
        <v/>
      </c>
      <c r="L618">
        <f>IF(AND(H618="",F618="Attended"),1,0)</f>
        <v/>
      </c>
      <c r="M618">
        <f>IF(AND(H618="",OR(F618="No-show",F618="Late cancel")),1,0)</f>
        <v/>
      </c>
      <c r="N618">
        <f>IF(AND(H618="",F618="",D618&lt;&gt;"",I618&gt;=TODAY()),ROUND((I618+IF(ISNUMBER(C618),MOD(C618,1),0))*1440,0)*10000+ROW(),"")</f>
        <v/>
      </c>
    </row>
    <row r="619">
      <c r="A619" s="1" t="n"/>
      <c r="B619" s="17" t="n"/>
      <c r="C619" s="18" t="n"/>
      <c r="D619" s="19" t="n"/>
      <c r="E619" s="20" t="n"/>
      <c r="F619" s="20" t="n"/>
      <c r="G619" s="21" t="n"/>
      <c r="H619" s="12">
        <f>IF(AND(B619="",D619="",F619=""),"",IF(NOT(ISNUMBER(B619)),"Needs a date",IF(D619="","Needs a client",IF(COUNTIF(Clients!$B$6:$B$105,D619)=0,"Not on Clients",IF(AND(F619="",INT(B619)&lt;TODAY()),"Needs a status","")))))</f>
        <v/>
      </c>
      <c r="I619" s="1">
        <f>IF(ISNUMBER(B619),INT(B619),0)</f>
        <v/>
      </c>
      <c r="J619">
        <f>IF(ISNUMBER(B619),YEAR(B619)*100+MONTH(B619),"")</f>
        <v/>
      </c>
      <c r="K619">
        <f>IF(AND(H619="",OR(F619="Attended",F619="No-show",AND(F619="Late cancel",Settings!$C$9="Yes"))),1,0)</f>
        <v/>
      </c>
      <c r="L619">
        <f>IF(AND(H619="",F619="Attended"),1,0)</f>
        <v/>
      </c>
      <c r="M619">
        <f>IF(AND(H619="",OR(F619="No-show",F619="Late cancel")),1,0)</f>
        <v/>
      </c>
      <c r="N619">
        <f>IF(AND(H619="",F619="",D619&lt;&gt;"",I619&gt;=TODAY()),ROUND((I619+IF(ISNUMBER(C619),MOD(C619,1),0))*1440,0)*10000+ROW(),"")</f>
        <v/>
      </c>
    </row>
    <row r="620">
      <c r="A620" s="1" t="n"/>
      <c r="B620" s="17" t="n"/>
      <c r="C620" s="18" t="n"/>
      <c r="D620" s="19" t="n"/>
      <c r="E620" s="20" t="n"/>
      <c r="F620" s="20" t="n"/>
      <c r="G620" s="21" t="n"/>
      <c r="H620" s="12">
        <f>IF(AND(B620="",D620="",F620=""),"",IF(NOT(ISNUMBER(B620)),"Needs a date",IF(D620="","Needs a client",IF(COUNTIF(Clients!$B$6:$B$105,D620)=0,"Not on Clients",IF(AND(F620="",INT(B620)&lt;TODAY()),"Needs a status","")))))</f>
        <v/>
      </c>
      <c r="I620" s="1">
        <f>IF(ISNUMBER(B620),INT(B620),0)</f>
        <v/>
      </c>
      <c r="J620">
        <f>IF(ISNUMBER(B620),YEAR(B620)*100+MONTH(B620),"")</f>
        <v/>
      </c>
      <c r="K620">
        <f>IF(AND(H620="",OR(F620="Attended",F620="No-show",AND(F620="Late cancel",Settings!$C$9="Yes"))),1,0)</f>
        <v/>
      </c>
      <c r="L620">
        <f>IF(AND(H620="",F620="Attended"),1,0)</f>
        <v/>
      </c>
      <c r="M620">
        <f>IF(AND(H620="",OR(F620="No-show",F620="Late cancel")),1,0)</f>
        <v/>
      </c>
      <c r="N620">
        <f>IF(AND(H620="",F620="",D620&lt;&gt;"",I620&gt;=TODAY()),ROUND((I620+IF(ISNUMBER(C620),MOD(C620,1),0))*1440,0)*10000+ROW(),"")</f>
        <v/>
      </c>
    </row>
    <row r="621">
      <c r="A621" s="1" t="n"/>
      <c r="B621" s="17" t="n"/>
      <c r="C621" s="18" t="n"/>
      <c r="D621" s="19" t="n"/>
      <c r="E621" s="20" t="n"/>
      <c r="F621" s="20" t="n"/>
      <c r="G621" s="21" t="n"/>
      <c r="H621" s="12">
        <f>IF(AND(B621="",D621="",F621=""),"",IF(NOT(ISNUMBER(B621)),"Needs a date",IF(D621="","Needs a client",IF(COUNTIF(Clients!$B$6:$B$105,D621)=0,"Not on Clients",IF(AND(F621="",INT(B621)&lt;TODAY()),"Needs a status","")))))</f>
        <v/>
      </c>
      <c r="I621" s="1">
        <f>IF(ISNUMBER(B621),INT(B621),0)</f>
        <v/>
      </c>
      <c r="J621">
        <f>IF(ISNUMBER(B621),YEAR(B621)*100+MONTH(B621),"")</f>
        <v/>
      </c>
      <c r="K621">
        <f>IF(AND(H621="",OR(F621="Attended",F621="No-show",AND(F621="Late cancel",Settings!$C$9="Yes"))),1,0)</f>
        <v/>
      </c>
      <c r="L621">
        <f>IF(AND(H621="",F621="Attended"),1,0)</f>
        <v/>
      </c>
      <c r="M621">
        <f>IF(AND(H621="",OR(F621="No-show",F621="Late cancel")),1,0)</f>
        <v/>
      </c>
      <c r="N621">
        <f>IF(AND(H621="",F621="",D621&lt;&gt;"",I621&gt;=TODAY()),ROUND((I621+IF(ISNUMBER(C621),MOD(C621,1),0))*1440,0)*10000+ROW(),"")</f>
        <v/>
      </c>
    </row>
    <row r="622">
      <c r="A622" s="1" t="n"/>
      <c r="B622" s="17" t="n"/>
      <c r="C622" s="18" t="n"/>
      <c r="D622" s="19" t="n"/>
      <c r="E622" s="20" t="n"/>
      <c r="F622" s="20" t="n"/>
      <c r="G622" s="21" t="n"/>
      <c r="H622" s="12">
        <f>IF(AND(B622="",D622="",F622=""),"",IF(NOT(ISNUMBER(B622)),"Needs a date",IF(D622="","Needs a client",IF(COUNTIF(Clients!$B$6:$B$105,D622)=0,"Not on Clients",IF(AND(F622="",INT(B622)&lt;TODAY()),"Needs a status","")))))</f>
        <v/>
      </c>
      <c r="I622" s="1">
        <f>IF(ISNUMBER(B622),INT(B622),0)</f>
        <v/>
      </c>
      <c r="J622">
        <f>IF(ISNUMBER(B622),YEAR(B622)*100+MONTH(B622),"")</f>
        <v/>
      </c>
      <c r="K622">
        <f>IF(AND(H622="",OR(F622="Attended",F622="No-show",AND(F622="Late cancel",Settings!$C$9="Yes"))),1,0)</f>
        <v/>
      </c>
      <c r="L622">
        <f>IF(AND(H622="",F622="Attended"),1,0)</f>
        <v/>
      </c>
      <c r="M622">
        <f>IF(AND(H622="",OR(F622="No-show",F622="Late cancel")),1,0)</f>
        <v/>
      </c>
      <c r="N622">
        <f>IF(AND(H622="",F622="",D622&lt;&gt;"",I622&gt;=TODAY()),ROUND((I622+IF(ISNUMBER(C622),MOD(C622,1),0))*1440,0)*10000+ROW(),"")</f>
        <v/>
      </c>
    </row>
    <row r="623">
      <c r="A623" s="1" t="n"/>
      <c r="B623" s="17" t="n"/>
      <c r="C623" s="18" t="n"/>
      <c r="D623" s="19" t="n"/>
      <c r="E623" s="20" t="n"/>
      <c r="F623" s="20" t="n"/>
      <c r="G623" s="21" t="n"/>
      <c r="H623" s="12">
        <f>IF(AND(B623="",D623="",F623=""),"",IF(NOT(ISNUMBER(B623)),"Needs a date",IF(D623="","Needs a client",IF(COUNTIF(Clients!$B$6:$B$105,D623)=0,"Not on Clients",IF(AND(F623="",INT(B623)&lt;TODAY()),"Needs a status","")))))</f>
        <v/>
      </c>
      <c r="I623" s="1">
        <f>IF(ISNUMBER(B623),INT(B623),0)</f>
        <v/>
      </c>
      <c r="J623">
        <f>IF(ISNUMBER(B623),YEAR(B623)*100+MONTH(B623),"")</f>
        <v/>
      </c>
      <c r="K623">
        <f>IF(AND(H623="",OR(F623="Attended",F623="No-show",AND(F623="Late cancel",Settings!$C$9="Yes"))),1,0)</f>
        <v/>
      </c>
      <c r="L623">
        <f>IF(AND(H623="",F623="Attended"),1,0)</f>
        <v/>
      </c>
      <c r="M623">
        <f>IF(AND(H623="",OR(F623="No-show",F623="Late cancel")),1,0)</f>
        <v/>
      </c>
      <c r="N623">
        <f>IF(AND(H623="",F623="",D623&lt;&gt;"",I623&gt;=TODAY()),ROUND((I623+IF(ISNUMBER(C623),MOD(C623,1),0))*1440,0)*10000+ROW(),"")</f>
        <v/>
      </c>
    </row>
    <row r="624">
      <c r="A624" s="1" t="n"/>
      <c r="B624" s="17" t="n"/>
      <c r="C624" s="18" t="n"/>
      <c r="D624" s="19" t="n"/>
      <c r="E624" s="20" t="n"/>
      <c r="F624" s="20" t="n"/>
      <c r="G624" s="21" t="n"/>
      <c r="H624" s="12">
        <f>IF(AND(B624="",D624="",F624=""),"",IF(NOT(ISNUMBER(B624)),"Needs a date",IF(D624="","Needs a client",IF(COUNTIF(Clients!$B$6:$B$105,D624)=0,"Not on Clients",IF(AND(F624="",INT(B624)&lt;TODAY()),"Needs a status","")))))</f>
        <v/>
      </c>
      <c r="I624" s="1">
        <f>IF(ISNUMBER(B624),INT(B624),0)</f>
        <v/>
      </c>
      <c r="J624">
        <f>IF(ISNUMBER(B624),YEAR(B624)*100+MONTH(B624),"")</f>
        <v/>
      </c>
      <c r="K624">
        <f>IF(AND(H624="",OR(F624="Attended",F624="No-show",AND(F624="Late cancel",Settings!$C$9="Yes"))),1,0)</f>
        <v/>
      </c>
      <c r="L624">
        <f>IF(AND(H624="",F624="Attended"),1,0)</f>
        <v/>
      </c>
      <c r="M624">
        <f>IF(AND(H624="",OR(F624="No-show",F624="Late cancel")),1,0)</f>
        <v/>
      </c>
      <c r="N624">
        <f>IF(AND(H624="",F624="",D624&lt;&gt;"",I624&gt;=TODAY()),ROUND((I624+IF(ISNUMBER(C624),MOD(C624,1),0))*1440,0)*10000+ROW(),"")</f>
        <v/>
      </c>
    </row>
    <row r="625">
      <c r="A625" s="1" t="n"/>
      <c r="B625" s="17" t="n"/>
      <c r="C625" s="18" t="n"/>
      <c r="D625" s="19" t="n"/>
      <c r="E625" s="20" t="n"/>
      <c r="F625" s="20" t="n"/>
      <c r="G625" s="21" t="n"/>
      <c r="H625" s="12">
        <f>IF(AND(B625="",D625="",F625=""),"",IF(NOT(ISNUMBER(B625)),"Needs a date",IF(D625="","Needs a client",IF(COUNTIF(Clients!$B$6:$B$105,D625)=0,"Not on Clients",IF(AND(F625="",INT(B625)&lt;TODAY()),"Needs a status","")))))</f>
        <v/>
      </c>
      <c r="I625" s="1">
        <f>IF(ISNUMBER(B625),INT(B625),0)</f>
        <v/>
      </c>
      <c r="J625">
        <f>IF(ISNUMBER(B625),YEAR(B625)*100+MONTH(B625),"")</f>
        <v/>
      </c>
      <c r="K625">
        <f>IF(AND(H625="",OR(F625="Attended",F625="No-show",AND(F625="Late cancel",Settings!$C$9="Yes"))),1,0)</f>
        <v/>
      </c>
      <c r="L625">
        <f>IF(AND(H625="",F625="Attended"),1,0)</f>
        <v/>
      </c>
      <c r="M625">
        <f>IF(AND(H625="",OR(F625="No-show",F625="Late cancel")),1,0)</f>
        <v/>
      </c>
      <c r="N625">
        <f>IF(AND(H625="",F625="",D625&lt;&gt;"",I625&gt;=TODAY()),ROUND((I625+IF(ISNUMBER(C625),MOD(C625,1),0))*1440,0)*10000+ROW(),"")</f>
        <v/>
      </c>
    </row>
    <row r="626">
      <c r="A626" s="1" t="n"/>
      <c r="B626" s="17" t="n"/>
      <c r="C626" s="18" t="n"/>
      <c r="D626" s="19" t="n"/>
      <c r="E626" s="20" t="n"/>
      <c r="F626" s="20" t="n"/>
      <c r="G626" s="21" t="n"/>
      <c r="H626" s="12">
        <f>IF(AND(B626="",D626="",F626=""),"",IF(NOT(ISNUMBER(B626)),"Needs a date",IF(D626="","Needs a client",IF(COUNTIF(Clients!$B$6:$B$105,D626)=0,"Not on Clients",IF(AND(F626="",INT(B626)&lt;TODAY()),"Needs a status","")))))</f>
        <v/>
      </c>
      <c r="I626" s="1">
        <f>IF(ISNUMBER(B626),INT(B626),0)</f>
        <v/>
      </c>
      <c r="J626">
        <f>IF(ISNUMBER(B626),YEAR(B626)*100+MONTH(B626),"")</f>
        <v/>
      </c>
      <c r="K626">
        <f>IF(AND(H626="",OR(F626="Attended",F626="No-show",AND(F626="Late cancel",Settings!$C$9="Yes"))),1,0)</f>
        <v/>
      </c>
      <c r="L626">
        <f>IF(AND(H626="",F626="Attended"),1,0)</f>
        <v/>
      </c>
      <c r="M626">
        <f>IF(AND(H626="",OR(F626="No-show",F626="Late cancel")),1,0)</f>
        <v/>
      </c>
      <c r="N626">
        <f>IF(AND(H626="",F626="",D626&lt;&gt;"",I626&gt;=TODAY()),ROUND((I626+IF(ISNUMBER(C626),MOD(C626,1),0))*1440,0)*10000+ROW(),"")</f>
        <v/>
      </c>
    </row>
    <row r="627">
      <c r="A627" s="1" t="n"/>
      <c r="B627" s="17" t="n"/>
      <c r="C627" s="18" t="n"/>
      <c r="D627" s="19" t="n"/>
      <c r="E627" s="20" t="n"/>
      <c r="F627" s="20" t="n"/>
      <c r="G627" s="21" t="n"/>
      <c r="H627" s="12">
        <f>IF(AND(B627="",D627="",F627=""),"",IF(NOT(ISNUMBER(B627)),"Needs a date",IF(D627="","Needs a client",IF(COUNTIF(Clients!$B$6:$B$105,D627)=0,"Not on Clients",IF(AND(F627="",INT(B627)&lt;TODAY()),"Needs a status","")))))</f>
        <v/>
      </c>
      <c r="I627" s="1">
        <f>IF(ISNUMBER(B627),INT(B627),0)</f>
        <v/>
      </c>
      <c r="J627">
        <f>IF(ISNUMBER(B627),YEAR(B627)*100+MONTH(B627),"")</f>
        <v/>
      </c>
      <c r="K627">
        <f>IF(AND(H627="",OR(F627="Attended",F627="No-show",AND(F627="Late cancel",Settings!$C$9="Yes"))),1,0)</f>
        <v/>
      </c>
      <c r="L627">
        <f>IF(AND(H627="",F627="Attended"),1,0)</f>
        <v/>
      </c>
      <c r="M627">
        <f>IF(AND(H627="",OR(F627="No-show",F627="Late cancel")),1,0)</f>
        <v/>
      </c>
      <c r="N627">
        <f>IF(AND(H627="",F627="",D627&lt;&gt;"",I627&gt;=TODAY()),ROUND((I627+IF(ISNUMBER(C627),MOD(C627,1),0))*1440,0)*10000+ROW(),"")</f>
        <v/>
      </c>
    </row>
    <row r="628">
      <c r="A628" s="1" t="n"/>
      <c r="B628" s="17" t="n"/>
      <c r="C628" s="18" t="n"/>
      <c r="D628" s="19" t="n"/>
      <c r="E628" s="20" t="n"/>
      <c r="F628" s="20" t="n"/>
      <c r="G628" s="21" t="n"/>
      <c r="H628" s="12">
        <f>IF(AND(B628="",D628="",F628=""),"",IF(NOT(ISNUMBER(B628)),"Needs a date",IF(D628="","Needs a client",IF(COUNTIF(Clients!$B$6:$B$105,D628)=0,"Not on Clients",IF(AND(F628="",INT(B628)&lt;TODAY()),"Needs a status","")))))</f>
        <v/>
      </c>
      <c r="I628" s="1">
        <f>IF(ISNUMBER(B628),INT(B628),0)</f>
        <v/>
      </c>
      <c r="J628">
        <f>IF(ISNUMBER(B628),YEAR(B628)*100+MONTH(B628),"")</f>
        <v/>
      </c>
      <c r="K628">
        <f>IF(AND(H628="",OR(F628="Attended",F628="No-show",AND(F628="Late cancel",Settings!$C$9="Yes"))),1,0)</f>
        <v/>
      </c>
      <c r="L628">
        <f>IF(AND(H628="",F628="Attended"),1,0)</f>
        <v/>
      </c>
      <c r="M628">
        <f>IF(AND(H628="",OR(F628="No-show",F628="Late cancel")),1,0)</f>
        <v/>
      </c>
      <c r="N628">
        <f>IF(AND(H628="",F628="",D628&lt;&gt;"",I628&gt;=TODAY()),ROUND((I628+IF(ISNUMBER(C628),MOD(C628,1),0))*1440,0)*10000+ROW(),"")</f>
        <v/>
      </c>
    </row>
    <row r="629">
      <c r="A629" s="1" t="n"/>
      <c r="B629" s="17" t="n"/>
      <c r="C629" s="18" t="n"/>
      <c r="D629" s="19" t="n"/>
      <c r="E629" s="20" t="n"/>
      <c r="F629" s="20" t="n"/>
      <c r="G629" s="21" t="n"/>
      <c r="H629" s="12">
        <f>IF(AND(B629="",D629="",F629=""),"",IF(NOT(ISNUMBER(B629)),"Needs a date",IF(D629="","Needs a client",IF(COUNTIF(Clients!$B$6:$B$105,D629)=0,"Not on Clients",IF(AND(F629="",INT(B629)&lt;TODAY()),"Needs a status","")))))</f>
        <v/>
      </c>
      <c r="I629" s="1">
        <f>IF(ISNUMBER(B629),INT(B629),0)</f>
        <v/>
      </c>
      <c r="J629">
        <f>IF(ISNUMBER(B629),YEAR(B629)*100+MONTH(B629),"")</f>
        <v/>
      </c>
      <c r="K629">
        <f>IF(AND(H629="",OR(F629="Attended",F629="No-show",AND(F629="Late cancel",Settings!$C$9="Yes"))),1,0)</f>
        <v/>
      </c>
      <c r="L629">
        <f>IF(AND(H629="",F629="Attended"),1,0)</f>
        <v/>
      </c>
      <c r="M629">
        <f>IF(AND(H629="",OR(F629="No-show",F629="Late cancel")),1,0)</f>
        <v/>
      </c>
      <c r="N629">
        <f>IF(AND(H629="",F629="",D629&lt;&gt;"",I629&gt;=TODAY()),ROUND((I629+IF(ISNUMBER(C629),MOD(C629,1),0))*1440,0)*10000+ROW(),"")</f>
        <v/>
      </c>
    </row>
    <row r="630">
      <c r="A630" s="1" t="n"/>
      <c r="B630" s="17" t="n"/>
      <c r="C630" s="18" t="n"/>
      <c r="D630" s="19" t="n"/>
      <c r="E630" s="20" t="n"/>
      <c r="F630" s="20" t="n"/>
      <c r="G630" s="21" t="n"/>
      <c r="H630" s="12">
        <f>IF(AND(B630="",D630="",F630=""),"",IF(NOT(ISNUMBER(B630)),"Needs a date",IF(D630="","Needs a client",IF(COUNTIF(Clients!$B$6:$B$105,D630)=0,"Not on Clients",IF(AND(F630="",INT(B630)&lt;TODAY()),"Needs a status","")))))</f>
        <v/>
      </c>
      <c r="I630" s="1">
        <f>IF(ISNUMBER(B630),INT(B630),0)</f>
        <v/>
      </c>
      <c r="J630">
        <f>IF(ISNUMBER(B630),YEAR(B630)*100+MONTH(B630),"")</f>
        <v/>
      </c>
      <c r="K630">
        <f>IF(AND(H630="",OR(F630="Attended",F630="No-show",AND(F630="Late cancel",Settings!$C$9="Yes"))),1,0)</f>
        <v/>
      </c>
      <c r="L630">
        <f>IF(AND(H630="",F630="Attended"),1,0)</f>
        <v/>
      </c>
      <c r="M630">
        <f>IF(AND(H630="",OR(F630="No-show",F630="Late cancel")),1,0)</f>
        <v/>
      </c>
      <c r="N630">
        <f>IF(AND(H630="",F630="",D630&lt;&gt;"",I630&gt;=TODAY()),ROUND((I630+IF(ISNUMBER(C630),MOD(C630,1),0))*1440,0)*10000+ROW(),"")</f>
        <v/>
      </c>
    </row>
    <row r="631">
      <c r="A631" s="1" t="n"/>
      <c r="B631" s="17" t="n"/>
      <c r="C631" s="18" t="n"/>
      <c r="D631" s="19" t="n"/>
      <c r="E631" s="20" t="n"/>
      <c r="F631" s="20" t="n"/>
      <c r="G631" s="21" t="n"/>
      <c r="H631" s="12">
        <f>IF(AND(B631="",D631="",F631=""),"",IF(NOT(ISNUMBER(B631)),"Needs a date",IF(D631="","Needs a client",IF(COUNTIF(Clients!$B$6:$B$105,D631)=0,"Not on Clients",IF(AND(F631="",INT(B631)&lt;TODAY()),"Needs a status","")))))</f>
        <v/>
      </c>
      <c r="I631" s="1">
        <f>IF(ISNUMBER(B631),INT(B631),0)</f>
        <v/>
      </c>
      <c r="J631">
        <f>IF(ISNUMBER(B631),YEAR(B631)*100+MONTH(B631),"")</f>
        <v/>
      </c>
      <c r="K631">
        <f>IF(AND(H631="",OR(F631="Attended",F631="No-show",AND(F631="Late cancel",Settings!$C$9="Yes"))),1,0)</f>
        <v/>
      </c>
      <c r="L631">
        <f>IF(AND(H631="",F631="Attended"),1,0)</f>
        <v/>
      </c>
      <c r="M631">
        <f>IF(AND(H631="",OR(F631="No-show",F631="Late cancel")),1,0)</f>
        <v/>
      </c>
      <c r="N631">
        <f>IF(AND(H631="",F631="",D631&lt;&gt;"",I631&gt;=TODAY()),ROUND((I631+IF(ISNUMBER(C631),MOD(C631,1),0))*1440,0)*10000+ROW(),"")</f>
        <v/>
      </c>
    </row>
    <row r="632">
      <c r="A632" s="1" t="n"/>
      <c r="B632" s="17" t="n"/>
      <c r="C632" s="18" t="n"/>
      <c r="D632" s="19" t="n"/>
      <c r="E632" s="20" t="n"/>
      <c r="F632" s="20" t="n"/>
      <c r="G632" s="21" t="n"/>
      <c r="H632" s="12">
        <f>IF(AND(B632="",D632="",F632=""),"",IF(NOT(ISNUMBER(B632)),"Needs a date",IF(D632="","Needs a client",IF(COUNTIF(Clients!$B$6:$B$105,D632)=0,"Not on Clients",IF(AND(F632="",INT(B632)&lt;TODAY()),"Needs a status","")))))</f>
        <v/>
      </c>
      <c r="I632" s="1">
        <f>IF(ISNUMBER(B632),INT(B632),0)</f>
        <v/>
      </c>
      <c r="J632">
        <f>IF(ISNUMBER(B632),YEAR(B632)*100+MONTH(B632),"")</f>
        <v/>
      </c>
      <c r="K632">
        <f>IF(AND(H632="",OR(F632="Attended",F632="No-show",AND(F632="Late cancel",Settings!$C$9="Yes"))),1,0)</f>
        <v/>
      </c>
      <c r="L632">
        <f>IF(AND(H632="",F632="Attended"),1,0)</f>
        <v/>
      </c>
      <c r="M632">
        <f>IF(AND(H632="",OR(F632="No-show",F632="Late cancel")),1,0)</f>
        <v/>
      </c>
      <c r="N632">
        <f>IF(AND(H632="",F632="",D632&lt;&gt;"",I632&gt;=TODAY()),ROUND((I632+IF(ISNUMBER(C632),MOD(C632,1),0))*1440,0)*10000+ROW(),"")</f>
        <v/>
      </c>
    </row>
    <row r="633">
      <c r="A633" s="1" t="n"/>
      <c r="B633" s="17" t="n"/>
      <c r="C633" s="18" t="n"/>
      <c r="D633" s="19" t="n"/>
      <c r="E633" s="20" t="n"/>
      <c r="F633" s="20" t="n"/>
      <c r="G633" s="21" t="n"/>
      <c r="H633" s="12">
        <f>IF(AND(B633="",D633="",F633=""),"",IF(NOT(ISNUMBER(B633)),"Needs a date",IF(D633="","Needs a client",IF(COUNTIF(Clients!$B$6:$B$105,D633)=0,"Not on Clients",IF(AND(F633="",INT(B633)&lt;TODAY()),"Needs a status","")))))</f>
        <v/>
      </c>
      <c r="I633" s="1">
        <f>IF(ISNUMBER(B633),INT(B633),0)</f>
        <v/>
      </c>
      <c r="J633">
        <f>IF(ISNUMBER(B633),YEAR(B633)*100+MONTH(B633),"")</f>
        <v/>
      </c>
      <c r="K633">
        <f>IF(AND(H633="",OR(F633="Attended",F633="No-show",AND(F633="Late cancel",Settings!$C$9="Yes"))),1,0)</f>
        <v/>
      </c>
      <c r="L633">
        <f>IF(AND(H633="",F633="Attended"),1,0)</f>
        <v/>
      </c>
      <c r="M633">
        <f>IF(AND(H633="",OR(F633="No-show",F633="Late cancel")),1,0)</f>
        <v/>
      </c>
      <c r="N633">
        <f>IF(AND(H633="",F633="",D633&lt;&gt;"",I633&gt;=TODAY()),ROUND((I633+IF(ISNUMBER(C633),MOD(C633,1),0))*1440,0)*10000+ROW(),"")</f>
        <v/>
      </c>
    </row>
    <row r="634">
      <c r="A634" s="1" t="n"/>
      <c r="B634" s="17" t="n"/>
      <c r="C634" s="18" t="n"/>
      <c r="D634" s="19" t="n"/>
      <c r="E634" s="20" t="n"/>
      <c r="F634" s="20" t="n"/>
      <c r="G634" s="21" t="n"/>
      <c r="H634" s="12">
        <f>IF(AND(B634="",D634="",F634=""),"",IF(NOT(ISNUMBER(B634)),"Needs a date",IF(D634="","Needs a client",IF(COUNTIF(Clients!$B$6:$B$105,D634)=0,"Not on Clients",IF(AND(F634="",INT(B634)&lt;TODAY()),"Needs a status","")))))</f>
        <v/>
      </c>
      <c r="I634" s="1">
        <f>IF(ISNUMBER(B634),INT(B634),0)</f>
        <v/>
      </c>
      <c r="J634">
        <f>IF(ISNUMBER(B634),YEAR(B634)*100+MONTH(B634),"")</f>
        <v/>
      </c>
      <c r="K634">
        <f>IF(AND(H634="",OR(F634="Attended",F634="No-show",AND(F634="Late cancel",Settings!$C$9="Yes"))),1,0)</f>
        <v/>
      </c>
      <c r="L634">
        <f>IF(AND(H634="",F634="Attended"),1,0)</f>
        <v/>
      </c>
      <c r="M634">
        <f>IF(AND(H634="",OR(F634="No-show",F634="Late cancel")),1,0)</f>
        <v/>
      </c>
      <c r="N634">
        <f>IF(AND(H634="",F634="",D634&lt;&gt;"",I634&gt;=TODAY()),ROUND((I634+IF(ISNUMBER(C634),MOD(C634,1),0))*1440,0)*10000+ROW(),"")</f>
        <v/>
      </c>
    </row>
    <row r="635">
      <c r="A635" s="1" t="n"/>
      <c r="B635" s="17" t="n"/>
      <c r="C635" s="18" t="n"/>
      <c r="D635" s="19" t="n"/>
      <c r="E635" s="20" t="n"/>
      <c r="F635" s="20" t="n"/>
      <c r="G635" s="21" t="n"/>
      <c r="H635" s="12">
        <f>IF(AND(B635="",D635="",F635=""),"",IF(NOT(ISNUMBER(B635)),"Needs a date",IF(D635="","Needs a client",IF(COUNTIF(Clients!$B$6:$B$105,D635)=0,"Not on Clients",IF(AND(F635="",INT(B635)&lt;TODAY()),"Needs a status","")))))</f>
        <v/>
      </c>
      <c r="I635" s="1">
        <f>IF(ISNUMBER(B635),INT(B635),0)</f>
        <v/>
      </c>
      <c r="J635">
        <f>IF(ISNUMBER(B635),YEAR(B635)*100+MONTH(B635),"")</f>
        <v/>
      </c>
      <c r="K635">
        <f>IF(AND(H635="",OR(F635="Attended",F635="No-show",AND(F635="Late cancel",Settings!$C$9="Yes"))),1,0)</f>
        <v/>
      </c>
      <c r="L635">
        <f>IF(AND(H635="",F635="Attended"),1,0)</f>
        <v/>
      </c>
      <c r="M635">
        <f>IF(AND(H635="",OR(F635="No-show",F635="Late cancel")),1,0)</f>
        <v/>
      </c>
      <c r="N635">
        <f>IF(AND(H635="",F635="",D635&lt;&gt;"",I635&gt;=TODAY()),ROUND((I635+IF(ISNUMBER(C635),MOD(C635,1),0))*1440,0)*10000+ROW(),"")</f>
        <v/>
      </c>
    </row>
    <row r="636">
      <c r="A636" s="1" t="n"/>
      <c r="B636" s="17" t="n"/>
      <c r="C636" s="18" t="n"/>
      <c r="D636" s="19" t="n"/>
      <c r="E636" s="20" t="n"/>
      <c r="F636" s="20" t="n"/>
      <c r="G636" s="21" t="n"/>
      <c r="H636" s="12">
        <f>IF(AND(B636="",D636="",F636=""),"",IF(NOT(ISNUMBER(B636)),"Needs a date",IF(D636="","Needs a client",IF(COUNTIF(Clients!$B$6:$B$105,D636)=0,"Not on Clients",IF(AND(F636="",INT(B636)&lt;TODAY()),"Needs a status","")))))</f>
        <v/>
      </c>
      <c r="I636" s="1">
        <f>IF(ISNUMBER(B636),INT(B636),0)</f>
        <v/>
      </c>
      <c r="J636">
        <f>IF(ISNUMBER(B636),YEAR(B636)*100+MONTH(B636),"")</f>
        <v/>
      </c>
      <c r="K636">
        <f>IF(AND(H636="",OR(F636="Attended",F636="No-show",AND(F636="Late cancel",Settings!$C$9="Yes"))),1,0)</f>
        <v/>
      </c>
      <c r="L636">
        <f>IF(AND(H636="",F636="Attended"),1,0)</f>
        <v/>
      </c>
      <c r="M636">
        <f>IF(AND(H636="",OR(F636="No-show",F636="Late cancel")),1,0)</f>
        <v/>
      </c>
      <c r="N636">
        <f>IF(AND(H636="",F636="",D636&lt;&gt;"",I636&gt;=TODAY()),ROUND((I636+IF(ISNUMBER(C636),MOD(C636,1),0))*1440,0)*10000+ROW(),"")</f>
        <v/>
      </c>
    </row>
    <row r="637">
      <c r="A637" s="1" t="n"/>
      <c r="B637" s="17" t="n"/>
      <c r="C637" s="18" t="n"/>
      <c r="D637" s="19" t="n"/>
      <c r="E637" s="20" t="n"/>
      <c r="F637" s="20" t="n"/>
      <c r="G637" s="21" t="n"/>
      <c r="H637" s="12">
        <f>IF(AND(B637="",D637="",F637=""),"",IF(NOT(ISNUMBER(B637)),"Needs a date",IF(D637="","Needs a client",IF(COUNTIF(Clients!$B$6:$B$105,D637)=0,"Not on Clients",IF(AND(F637="",INT(B637)&lt;TODAY()),"Needs a status","")))))</f>
        <v/>
      </c>
      <c r="I637" s="1">
        <f>IF(ISNUMBER(B637),INT(B637),0)</f>
        <v/>
      </c>
      <c r="J637">
        <f>IF(ISNUMBER(B637),YEAR(B637)*100+MONTH(B637),"")</f>
        <v/>
      </c>
      <c r="K637">
        <f>IF(AND(H637="",OR(F637="Attended",F637="No-show",AND(F637="Late cancel",Settings!$C$9="Yes"))),1,0)</f>
        <v/>
      </c>
      <c r="L637">
        <f>IF(AND(H637="",F637="Attended"),1,0)</f>
        <v/>
      </c>
      <c r="M637">
        <f>IF(AND(H637="",OR(F637="No-show",F637="Late cancel")),1,0)</f>
        <v/>
      </c>
      <c r="N637">
        <f>IF(AND(H637="",F637="",D637&lt;&gt;"",I637&gt;=TODAY()),ROUND((I637+IF(ISNUMBER(C637),MOD(C637,1),0))*1440,0)*10000+ROW(),"")</f>
        <v/>
      </c>
    </row>
    <row r="638">
      <c r="A638" s="1" t="n"/>
      <c r="B638" s="17" t="n"/>
      <c r="C638" s="18" t="n"/>
      <c r="D638" s="19" t="n"/>
      <c r="E638" s="20" t="n"/>
      <c r="F638" s="20" t="n"/>
      <c r="G638" s="21" t="n"/>
      <c r="H638" s="12">
        <f>IF(AND(B638="",D638="",F638=""),"",IF(NOT(ISNUMBER(B638)),"Needs a date",IF(D638="","Needs a client",IF(COUNTIF(Clients!$B$6:$B$105,D638)=0,"Not on Clients",IF(AND(F638="",INT(B638)&lt;TODAY()),"Needs a status","")))))</f>
        <v/>
      </c>
      <c r="I638" s="1">
        <f>IF(ISNUMBER(B638),INT(B638),0)</f>
        <v/>
      </c>
      <c r="J638">
        <f>IF(ISNUMBER(B638),YEAR(B638)*100+MONTH(B638),"")</f>
        <v/>
      </c>
      <c r="K638">
        <f>IF(AND(H638="",OR(F638="Attended",F638="No-show",AND(F638="Late cancel",Settings!$C$9="Yes"))),1,0)</f>
        <v/>
      </c>
      <c r="L638">
        <f>IF(AND(H638="",F638="Attended"),1,0)</f>
        <v/>
      </c>
      <c r="M638">
        <f>IF(AND(H638="",OR(F638="No-show",F638="Late cancel")),1,0)</f>
        <v/>
      </c>
      <c r="N638">
        <f>IF(AND(H638="",F638="",D638&lt;&gt;"",I638&gt;=TODAY()),ROUND((I638+IF(ISNUMBER(C638),MOD(C638,1),0))*1440,0)*10000+ROW(),"")</f>
        <v/>
      </c>
    </row>
    <row r="639">
      <c r="A639" s="1" t="n"/>
      <c r="B639" s="17" t="n"/>
      <c r="C639" s="18" t="n"/>
      <c r="D639" s="19" t="n"/>
      <c r="E639" s="20" t="n"/>
      <c r="F639" s="20" t="n"/>
      <c r="G639" s="21" t="n"/>
      <c r="H639" s="12">
        <f>IF(AND(B639="",D639="",F639=""),"",IF(NOT(ISNUMBER(B639)),"Needs a date",IF(D639="","Needs a client",IF(COUNTIF(Clients!$B$6:$B$105,D639)=0,"Not on Clients",IF(AND(F639="",INT(B639)&lt;TODAY()),"Needs a status","")))))</f>
        <v/>
      </c>
      <c r="I639" s="1">
        <f>IF(ISNUMBER(B639),INT(B639),0)</f>
        <v/>
      </c>
      <c r="J639">
        <f>IF(ISNUMBER(B639),YEAR(B639)*100+MONTH(B639),"")</f>
        <v/>
      </c>
      <c r="K639">
        <f>IF(AND(H639="",OR(F639="Attended",F639="No-show",AND(F639="Late cancel",Settings!$C$9="Yes"))),1,0)</f>
        <v/>
      </c>
      <c r="L639">
        <f>IF(AND(H639="",F639="Attended"),1,0)</f>
        <v/>
      </c>
      <c r="M639">
        <f>IF(AND(H639="",OR(F639="No-show",F639="Late cancel")),1,0)</f>
        <v/>
      </c>
      <c r="N639">
        <f>IF(AND(H639="",F639="",D639&lt;&gt;"",I639&gt;=TODAY()),ROUND((I639+IF(ISNUMBER(C639),MOD(C639,1),0))*1440,0)*10000+ROW(),"")</f>
        <v/>
      </c>
    </row>
    <row r="640">
      <c r="A640" s="1" t="n"/>
      <c r="B640" s="17" t="n"/>
      <c r="C640" s="18" t="n"/>
      <c r="D640" s="19" t="n"/>
      <c r="E640" s="20" t="n"/>
      <c r="F640" s="20" t="n"/>
      <c r="G640" s="21" t="n"/>
      <c r="H640" s="12">
        <f>IF(AND(B640="",D640="",F640=""),"",IF(NOT(ISNUMBER(B640)),"Needs a date",IF(D640="","Needs a client",IF(COUNTIF(Clients!$B$6:$B$105,D640)=0,"Not on Clients",IF(AND(F640="",INT(B640)&lt;TODAY()),"Needs a status","")))))</f>
        <v/>
      </c>
      <c r="I640" s="1">
        <f>IF(ISNUMBER(B640),INT(B640),0)</f>
        <v/>
      </c>
      <c r="J640">
        <f>IF(ISNUMBER(B640),YEAR(B640)*100+MONTH(B640),"")</f>
        <v/>
      </c>
      <c r="K640">
        <f>IF(AND(H640="",OR(F640="Attended",F640="No-show",AND(F640="Late cancel",Settings!$C$9="Yes"))),1,0)</f>
        <v/>
      </c>
      <c r="L640">
        <f>IF(AND(H640="",F640="Attended"),1,0)</f>
        <v/>
      </c>
      <c r="M640">
        <f>IF(AND(H640="",OR(F640="No-show",F640="Late cancel")),1,0)</f>
        <v/>
      </c>
      <c r="N640">
        <f>IF(AND(H640="",F640="",D640&lt;&gt;"",I640&gt;=TODAY()),ROUND((I640+IF(ISNUMBER(C640),MOD(C640,1),0))*1440,0)*10000+ROW(),"")</f>
        <v/>
      </c>
    </row>
    <row r="641">
      <c r="A641" s="1" t="n"/>
      <c r="B641" s="17" t="n"/>
      <c r="C641" s="18" t="n"/>
      <c r="D641" s="19" t="n"/>
      <c r="E641" s="20" t="n"/>
      <c r="F641" s="20" t="n"/>
      <c r="G641" s="21" t="n"/>
      <c r="H641" s="12">
        <f>IF(AND(B641="",D641="",F641=""),"",IF(NOT(ISNUMBER(B641)),"Needs a date",IF(D641="","Needs a client",IF(COUNTIF(Clients!$B$6:$B$105,D641)=0,"Not on Clients",IF(AND(F641="",INT(B641)&lt;TODAY()),"Needs a status","")))))</f>
        <v/>
      </c>
      <c r="I641" s="1">
        <f>IF(ISNUMBER(B641),INT(B641),0)</f>
        <v/>
      </c>
      <c r="J641">
        <f>IF(ISNUMBER(B641),YEAR(B641)*100+MONTH(B641),"")</f>
        <v/>
      </c>
      <c r="K641">
        <f>IF(AND(H641="",OR(F641="Attended",F641="No-show",AND(F641="Late cancel",Settings!$C$9="Yes"))),1,0)</f>
        <v/>
      </c>
      <c r="L641">
        <f>IF(AND(H641="",F641="Attended"),1,0)</f>
        <v/>
      </c>
      <c r="M641">
        <f>IF(AND(H641="",OR(F641="No-show",F641="Late cancel")),1,0)</f>
        <v/>
      </c>
      <c r="N641">
        <f>IF(AND(H641="",F641="",D641&lt;&gt;"",I641&gt;=TODAY()),ROUND((I641+IF(ISNUMBER(C641),MOD(C641,1),0))*1440,0)*10000+ROW(),"")</f>
        <v/>
      </c>
    </row>
    <row r="642">
      <c r="A642" s="1" t="n"/>
      <c r="B642" s="17" t="n"/>
      <c r="C642" s="18" t="n"/>
      <c r="D642" s="19" t="n"/>
      <c r="E642" s="20" t="n"/>
      <c r="F642" s="20" t="n"/>
      <c r="G642" s="21" t="n"/>
      <c r="H642" s="12">
        <f>IF(AND(B642="",D642="",F642=""),"",IF(NOT(ISNUMBER(B642)),"Needs a date",IF(D642="","Needs a client",IF(COUNTIF(Clients!$B$6:$B$105,D642)=0,"Not on Clients",IF(AND(F642="",INT(B642)&lt;TODAY()),"Needs a status","")))))</f>
        <v/>
      </c>
      <c r="I642" s="1">
        <f>IF(ISNUMBER(B642),INT(B642),0)</f>
        <v/>
      </c>
      <c r="J642">
        <f>IF(ISNUMBER(B642),YEAR(B642)*100+MONTH(B642),"")</f>
        <v/>
      </c>
      <c r="K642">
        <f>IF(AND(H642="",OR(F642="Attended",F642="No-show",AND(F642="Late cancel",Settings!$C$9="Yes"))),1,0)</f>
        <v/>
      </c>
      <c r="L642">
        <f>IF(AND(H642="",F642="Attended"),1,0)</f>
        <v/>
      </c>
      <c r="M642">
        <f>IF(AND(H642="",OR(F642="No-show",F642="Late cancel")),1,0)</f>
        <v/>
      </c>
      <c r="N642">
        <f>IF(AND(H642="",F642="",D642&lt;&gt;"",I642&gt;=TODAY()),ROUND((I642+IF(ISNUMBER(C642),MOD(C642,1),0))*1440,0)*10000+ROW(),"")</f>
        <v/>
      </c>
    </row>
    <row r="643">
      <c r="A643" s="1" t="n"/>
      <c r="B643" s="17" t="n"/>
      <c r="C643" s="18" t="n"/>
      <c r="D643" s="19" t="n"/>
      <c r="E643" s="20" t="n"/>
      <c r="F643" s="20" t="n"/>
      <c r="G643" s="21" t="n"/>
      <c r="H643" s="12">
        <f>IF(AND(B643="",D643="",F643=""),"",IF(NOT(ISNUMBER(B643)),"Needs a date",IF(D643="","Needs a client",IF(COUNTIF(Clients!$B$6:$B$105,D643)=0,"Not on Clients",IF(AND(F643="",INT(B643)&lt;TODAY()),"Needs a status","")))))</f>
        <v/>
      </c>
      <c r="I643" s="1">
        <f>IF(ISNUMBER(B643),INT(B643),0)</f>
        <v/>
      </c>
      <c r="J643">
        <f>IF(ISNUMBER(B643),YEAR(B643)*100+MONTH(B643),"")</f>
        <v/>
      </c>
      <c r="K643">
        <f>IF(AND(H643="",OR(F643="Attended",F643="No-show",AND(F643="Late cancel",Settings!$C$9="Yes"))),1,0)</f>
        <v/>
      </c>
      <c r="L643">
        <f>IF(AND(H643="",F643="Attended"),1,0)</f>
        <v/>
      </c>
      <c r="M643">
        <f>IF(AND(H643="",OR(F643="No-show",F643="Late cancel")),1,0)</f>
        <v/>
      </c>
      <c r="N643">
        <f>IF(AND(H643="",F643="",D643&lt;&gt;"",I643&gt;=TODAY()),ROUND((I643+IF(ISNUMBER(C643),MOD(C643,1),0))*1440,0)*10000+ROW(),"")</f>
        <v/>
      </c>
    </row>
    <row r="644">
      <c r="A644" s="1" t="n"/>
      <c r="B644" s="17" t="n"/>
      <c r="C644" s="18" t="n"/>
      <c r="D644" s="19" t="n"/>
      <c r="E644" s="20" t="n"/>
      <c r="F644" s="20" t="n"/>
      <c r="G644" s="21" t="n"/>
      <c r="H644" s="12">
        <f>IF(AND(B644="",D644="",F644=""),"",IF(NOT(ISNUMBER(B644)),"Needs a date",IF(D644="","Needs a client",IF(COUNTIF(Clients!$B$6:$B$105,D644)=0,"Not on Clients",IF(AND(F644="",INT(B644)&lt;TODAY()),"Needs a status","")))))</f>
        <v/>
      </c>
      <c r="I644" s="1">
        <f>IF(ISNUMBER(B644),INT(B644),0)</f>
        <v/>
      </c>
      <c r="J644">
        <f>IF(ISNUMBER(B644),YEAR(B644)*100+MONTH(B644),"")</f>
        <v/>
      </c>
      <c r="K644">
        <f>IF(AND(H644="",OR(F644="Attended",F644="No-show",AND(F644="Late cancel",Settings!$C$9="Yes"))),1,0)</f>
        <v/>
      </c>
      <c r="L644">
        <f>IF(AND(H644="",F644="Attended"),1,0)</f>
        <v/>
      </c>
      <c r="M644">
        <f>IF(AND(H644="",OR(F644="No-show",F644="Late cancel")),1,0)</f>
        <v/>
      </c>
      <c r="N644">
        <f>IF(AND(H644="",F644="",D644&lt;&gt;"",I644&gt;=TODAY()),ROUND((I644+IF(ISNUMBER(C644),MOD(C644,1),0))*1440,0)*10000+ROW(),"")</f>
        <v/>
      </c>
    </row>
    <row r="645">
      <c r="A645" s="1" t="n"/>
      <c r="B645" s="17" t="n"/>
      <c r="C645" s="18" t="n"/>
      <c r="D645" s="19" t="n"/>
      <c r="E645" s="20" t="n"/>
      <c r="F645" s="20" t="n"/>
      <c r="G645" s="21" t="n"/>
      <c r="H645" s="12">
        <f>IF(AND(B645="",D645="",F645=""),"",IF(NOT(ISNUMBER(B645)),"Needs a date",IF(D645="","Needs a client",IF(COUNTIF(Clients!$B$6:$B$105,D645)=0,"Not on Clients",IF(AND(F645="",INT(B645)&lt;TODAY()),"Needs a status","")))))</f>
        <v/>
      </c>
      <c r="I645" s="1">
        <f>IF(ISNUMBER(B645),INT(B645),0)</f>
        <v/>
      </c>
      <c r="J645">
        <f>IF(ISNUMBER(B645),YEAR(B645)*100+MONTH(B645),"")</f>
        <v/>
      </c>
      <c r="K645">
        <f>IF(AND(H645="",OR(F645="Attended",F645="No-show",AND(F645="Late cancel",Settings!$C$9="Yes"))),1,0)</f>
        <v/>
      </c>
      <c r="L645">
        <f>IF(AND(H645="",F645="Attended"),1,0)</f>
        <v/>
      </c>
      <c r="M645">
        <f>IF(AND(H645="",OR(F645="No-show",F645="Late cancel")),1,0)</f>
        <v/>
      </c>
      <c r="N645">
        <f>IF(AND(H645="",F645="",D645&lt;&gt;"",I645&gt;=TODAY()),ROUND((I645+IF(ISNUMBER(C645),MOD(C645,1),0))*1440,0)*10000+ROW(),"")</f>
        <v/>
      </c>
    </row>
    <row r="646">
      <c r="A646" s="1" t="n"/>
      <c r="B646" s="17" t="n"/>
      <c r="C646" s="18" t="n"/>
      <c r="D646" s="19" t="n"/>
      <c r="E646" s="20" t="n"/>
      <c r="F646" s="20" t="n"/>
      <c r="G646" s="21" t="n"/>
      <c r="H646" s="12">
        <f>IF(AND(B646="",D646="",F646=""),"",IF(NOT(ISNUMBER(B646)),"Needs a date",IF(D646="","Needs a client",IF(COUNTIF(Clients!$B$6:$B$105,D646)=0,"Not on Clients",IF(AND(F646="",INT(B646)&lt;TODAY()),"Needs a status","")))))</f>
        <v/>
      </c>
      <c r="I646" s="1">
        <f>IF(ISNUMBER(B646),INT(B646),0)</f>
        <v/>
      </c>
      <c r="J646">
        <f>IF(ISNUMBER(B646),YEAR(B646)*100+MONTH(B646),"")</f>
        <v/>
      </c>
      <c r="K646">
        <f>IF(AND(H646="",OR(F646="Attended",F646="No-show",AND(F646="Late cancel",Settings!$C$9="Yes"))),1,0)</f>
        <v/>
      </c>
      <c r="L646">
        <f>IF(AND(H646="",F646="Attended"),1,0)</f>
        <v/>
      </c>
      <c r="M646">
        <f>IF(AND(H646="",OR(F646="No-show",F646="Late cancel")),1,0)</f>
        <v/>
      </c>
      <c r="N646">
        <f>IF(AND(H646="",F646="",D646&lt;&gt;"",I646&gt;=TODAY()),ROUND((I646+IF(ISNUMBER(C646),MOD(C646,1),0))*1440,0)*10000+ROW(),"")</f>
        <v/>
      </c>
    </row>
    <row r="647">
      <c r="A647" s="1" t="n"/>
      <c r="B647" s="17" t="n"/>
      <c r="C647" s="18" t="n"/>
      <c r="D647" s="19" t="n"/>
      <c r="E647" s="20" t="n"/>
      <c r="F647" s="20" t="n"/>
      <c r="G647" s="21" t="n"/>
      <c r="H647" s="12">
        <f>IF(AND(B647="",D647="",F647=""),"",IF(NOT(ISNUMBER(B647)),"Needs a date",IF(D647="","Needs a client",IF(COUNTIF(Clients!$B$6:$B$105,D647)=0,"Not on Clients",IF(AND(F647="",INT(B647)&lt;TODAY()),"Needs a status","")))))</f>
        <v/>
      </c>
      <c r="I647" s="1">
        <f>IF(ISNUMBER(B647),INT(B647),0)</f>
        <v/>
      </c>
      <c r="J647">
        <f>IF(ISNUMBER(B647),YEAR(B647)*100+MONTH(B647),"")</f>
        <v/>
      </c>
      <c r="K647">
        <f>IF(AND(H647="",OR(F647="Attended",F647="No-show",AND(F647="Late cancel",Settings!$C$9="Yes"))),1,0)</f>
        <v/>
      </c>
      <c r="L647">
        <f>IF(AND(H647="",F647="Attended"),1,0)</f>
        <v/>
      </c>
      <c r="M647">
        <f>IF(AND(H647="",OR(F647="No-show",F647="Late cancel")),1,0)</f>
        <v/>
      </c>
      <c r="N647">
        <f>IF(AND(H647="",F647="",D647&lt;&gt;"",I647&gt;=TODAY()),ROUND((I647+IF(ISNUMBER(C647),MOD(C647,1),0))*1440,0)*10000+ROW(),"")</f>
        <v/>
      </c>
    </row>
    <row r="648">
      <c r="A648" s="1" t="n"/>
      <c r="B648" s="17" t="n"/>
      <c r="C648" s="18" t="n"/>
      <c r="D648" s="19" t="n"/>
      <c r="E648" s="20" t="n"/>
      <c r="F648" s="20" t="n"/>
      <c r="G648" s="21" t="n"/>
      <c r="H648" s="12">
        <f>IF(AND(B648="",D648="",F648=""),"",IF(NOT(ISNUMBER(B648)),"Needs a date",IF(D648="","Needs a client",IF(COUNTIF(Clients!$B$6:$B$105,D648)=0,"Not on Clients",IF(AND(F648="",INT(B648)&lt;TODAY()),"Needs a status","")))))</f>
        <v/>
      </c>
      <c r="I648" s="1">
        <f>IF(ISNUMBER(B648),INT(B648),0)</f>
        <v/>
      </c>
      <c r="J648">
        <f>IF(ISNUMBER(B648),YEAR(B648)*100+MONTH(B648),"")</f>
        <v/>
      </c>
      <c r="K648">
        <f>IF(AND(H648="",OR(F648="Attended",F648="No-show",AND(F648="Late cancel",Settings!$C$9="Yes"))),1,0)</f>
        <v/>
      </c>
      <c r="L648">
        <f>IF(AND(H648="",F648="Attended"),1,0)</f>
        <v/>
      </c>
      <c r="M648">
        <f>IF(AND(H648="",OR(F648="No-show",F648="Late cancel")),1,0)</f>
        <v/>
      </c>
      <c r="N648">
        <f>IF(AND(H648="",F648="",D648&lt;&gt;"",I648&gt;=TODAY()),ROUND((I648+IF(ISNUMBER(C648),MOD(C648,1),0))*1440,0)*10000+ROW(),"")</f>
        <v/>
      </c>
    </row>
    <row r="649">
      <c r="A649" s="1" t="n"/>
      <c r="B649" s="17" t="n"/>
      <c r="C649" s="18" t="n"/>
      <c r="D649" s="19" t="n"/>
      <c r="E649" s="20" t="n"/>
      <c r="F649" s="20" t="n"/>
      <c r="G649" s="21" t="n"/>
      <c r="H649" s="12">
        <f>IF(AND(B649="",D649="",F649=""),"",IF(NOT(ISNUMBER(B649)),"Needs a date",IF(D649="","Needs a client",IF(COUNTIF(Clients!$B$6:$B$105,D649)=0,"Not on Clients",IF(AND(F649="",INT(B649)&lt;TODAY()),"Needs a status","")))))</f>
        <v/>
      </c>
      <c r="I649" s="1">
        <f>IF(ISNUMBER(B649),INT(B649),0)</f>
        <v/>
      </c>
      <c r="J649">
        <f>IF(ISNUMBER(B649),YEAR(B649)*100+MONTH(B649),"")</f>
        <v/>
      </c>
      <c r="K649">
        <f>IF(AND(H649="",OR(F649="Attended",F649="No-show",AND(F649="Late cancel",Settings!$C$9="Yes"))),1,0)</f>
        <v/>
      </c>
      <c r="L649">
        <f>IF(AND(H649="",F649="Attended"),1,0)</f>
        <v/>
      </c>
      <c r="M649">
        <f>IF(AND(H649="",OR(F649="No-show",F649="Late cancel")),1,0)</f>
        <v/>
      </c>
      <c r="N649">
        <f>IF(AND(H649="",F649="",D649&lt;&gt;"",I649&gt;=TODAY()),ROUND((I649+IF(ISNUMBER(C649),MOD(C649,1),0))*1440,0)*10000+ROW(),"")</f>
        <v/>
      </c>
    </row>
    <row r="650">
      <c r="A650" s="1" t="n"/>
      <c r="B650" s="17" t="n"/>
      <c r="C650" s="18" t="n"/>
      <c r="D650" s="19" t="n"/>
      <c r="E650" s="20" t="n"/>
      <c r="F650" s="20" t="n"/>
      <c r="G650" s="21" t="n"/>
      <c r="H650" s="12">
        <f>IF(AND(B650="",D650="",F650=""),"",IF(NOT(ISNUMBER(B650)),"Needs a date",IF(D650="","Needs a client",IF(COUNTIF(Clients!$B$6:$B$105,D650)=0,"Not on Clients",IF(AND(F650="",INT(B650)&lt;TODAY()),"Needs a status","")))))</f>
        <v/>
      </c>
      <c r="I650" s="1">
        <f>IF(ISNUMBER(B650),INT(B650),0)</f>
        <v/>
      </c>
      <c r="J650">
        <f>IF(ISNUMBER(B650),YEAR(B650)*100+MONTH(B650),"")</f>
        <v/>
      </c>
      <c r="K650">
        <f>IF(AND(H650="",OR(F650="Attended",F650="No-show",AND(F650="Late cancel",Settings!$C$9="Yes"))),1,0)</f>
        <v/>
      </c>
      <c r="L650">
        <f>IF(AND(H650="",F650="Attended"),1,0)</f>
        <v/>
      </c>
      <c r="M650">
        <f>IF(AND(H650="",OR(F650="No-show",F650="Late cancel")),1,0)</f>
        <v/>
      </c>
      <c r="N650">
        <f>IF(AND(H650="",F650="",D650&lt;&gt;"",I650&gt;=TODAY()),ROUND((I650+IF(ISNUMBER(C650),MOD(C650,1),0))*1440,0)*10000+ROW(),"")</f>
        <v/>
      </c>
    </row>
    <row r="651">
      <c r="A651" s="1" t="n"/>
      <c r="B651" s="17" t="n"/>
      <c r="C651" s="18" t="n"/>
      <c r="D651" s="19" t="n"/>
      <c r="E651" s="20" t="n"/>
      <c r="F651" s="20" t="n"/>
      <c r="G651" s="21" t="n"/>
      <c r="H651" s="12">
        <f>IF(AND(B651="",D651="",F651=""),"",IF(NOT(ISNUMBER(B651)),"Needs a date",IF(D651="","Needs a client",IF(COUNTIF(Clients!$B$6:$B$105,D651)=0,"Not on Clients",IF(AND(F651="",INT(B651)&lt;TODAY()),"Needs a status","")))))</f>
        <v/>
      </c>
      <c r="I651" s="1">
        <f>IF(ISNUMBER(B651),INT(B651),0)</f>
        <v/>
      </c>
      <c r="J651">
        <f>IF(ISNUMBER(B651),YEAR(B651)*100+MONTH(B651),"")</f>
        <v/>
      </c>
      <c r="K651">
        <f>IF(AND(H651="",OR(F651="Attended",F651="No-show",AND(F651="Late cancel",Settings!$C$9="Yes"))),1,0)</f>
        <v/>
      </c>
      <c r="L651">
        <f>IF(AND(H651="",F651="Attended"),1,0)</f>
        <v/>
      </c>
      <c r="M651">
        <f>IF(AND(H651="",OR(F651="No-show",F651="Late cancel")),1,0)</f>
        <v/>
      </c>
      <c r="N651">
        <f>IF(AND(H651="",F651="",D651&lt;&gt;"",I651&gt;=TODAY()),ROUND((I651+IF(ISNUMBER(C651),MOD(C651,1),0))*1440,0)*10000+ROW(),"")</f>
        <v/>
      </c>
    </row>
    <row r="652">
      <c r="A652" s="1" t="n"/>
      <c r="B652" s="17" t="n"/>
      <c r="C652" s="18" t="n"/>
      <c r="D652" s="19" t="n"/>
      <c r="E652" s="20" t="n"/>
      <c r="F652" s="20" t="n"/>
      <c r="G652" s="21" t="n"/>
      <c r="H652" s="12">
        <f>IF(AND(B652="",D652="",F652=""),"",IF(NOT(ISNUMBER(B652)),"Needs a date",IF(D652="","Needs a client",IF(COUNTIF(Clients!$B$6:$B$105,D652)=0,"Not on Clients",IF(AND(F652="",INT(B652)&lt;TODAY()),"Needs a status","")))))</f>
        <v/>
      </c>
      <c r="I652" s="1">
        <f>IF(ISNUMBER(B652),INT(B652),0)</f>
        <v/>
      </c>
      <c r="J652">
        <f>IF(ISNUMBER(B652),YEAR(B652)*100+MONTH(B652),"")</f>
        <v/>
      </c>
      <c r="K652">
        <f>IF(AND(H652="",OR(F652="Attended",F652="No-show",AND(F652="Late cancel",Settings!$C$9="Yes"))),1,0)</f>
        <v/>
      </c>
      <c r="L652">
        <f>IF(AND(H652="",F652="Attended"),1,0)</f>
        <v/>
      </c>
      <c r="M652">
        <f>IF(AND(H652="",OR(F652="No-show",F652="Late cancel")),1,0)</f>
        <v/>
      </c>
      <c r="N652">
        <f>IF(AND(H652="",F652="",D652&lt;&gt;"",I652&gt;=TODAY()),ROUND((I652+IF(ISNUMBER(C652),MOD(C652,1),0))*1440,0)*10000+ROW(),"")</f>
        <v/>
      </c>
    </row>
    <row r="653">
      <c r="A653" s="1" t="n"/>
      <c r="B653" s="17" t="n"/>
      <c r="C653" s="18" t="n"/>
      <c r="D653" s="19" t="n"/>
      <c r="E653" s="20" t="n"/>
      <c r="F653" s="20" t="n"/>
      <c r="G653" s="21" t="n"/>
      <c r="H653" s="12">
        <f>IF(AND(B653="",D653="",F653=""),"",IF(NOT(ISNUMBER(B653)),"Needs a date",IF(D653="","Needs a client",IF(COUNTIF(Clients!$B$6:$B$105,D653)=0,"Not on Clients",IF(AND(F653="",INT(B653)&lt;TODAY()),"Needs a status","")))))</f>
        <v/>
      </c>
      <c r="I653" s="1">
        <f>IF(ISNUMBER(B653),INT(B653),0)</f>
        <v/>
      </c>
      <c r="J653">
        <f>IF(ISNUMBER(B653),YEAR(B653)*100+MONTH(B653),"")</f>
        <v/>
      </c>
      <c r="K653">
        <f>IF(AND(H653="",OR(F653="Attended",F653="No-show",AND(F653="Late cancel",Settings!$C$9="Yes"))),1,0)</f>
        <v/>
      </c>
      <c r="L653">
        <f>IF(AND(H653="",F653="Attended"),1,0)</f>
        <v/>
      </c>
      <c r="M653">
        <f>IF(AND(H653="",OR(F653="No-show",F653="Late cancel")),1,0)</f>
        <v/>
      </c>
      <c r="N653">
        <f>IF(AND(H653="",F653="",D653&lt;&gt;"",I653&gt;=TODAY()),ROUND((I653+IF(ISNUMBER(C653),MOD(C653,1),0))*1440,0)*10000+ROW(),"")</f>
        <v/>
      </c>
    </row>
    <row r="654">
      <c r="A654" s="1" t="n"/>
      <c r="B654" s="17" t="n"/>
      <c r="C654" s="18" t="n"/>
      <c r="D654" s="19" t="n"/>
      <c r="E654" s="20" t="n"/>
      <c r="F654" s="20" t="n"/>
      <c r="G654" s="21" t="n"/>
      <c r="H654" s="12">
        <f>IF(AND(B654="",D654="",F654=""),"",IF(NOT(ISNUMBER(B654)),"Needs a date",IF(D654="","Needs a client",IF(COUNTIF(Clients!$B$6:$B$105,D654)=0,"Not on Clients",IF(AND(F654="",INT(B654)&lt;TODAY()),"Needs a status","")))))</f>
        <v/>
      </c>
      <c r="I654" s="1">
        <f>IF(ISNUMBER(B654),INT(B654),0)</f>
        <v/>
      </c>
      <c r="J654">
        <f>IF(ISNUMBER(B654),YEAR(B654)*100+MONTH(B654),"")</f>
        <v/>
      </c>
      <c r="K654">
        <f>IF(AND(H654="",OR(F654="Attended",F654="No-show",AND(F654="Late cancel",Settings!$C$9="Yes"))),1,0)</f>
        <v/>
      </c>
      <c r="L654">
        <f>IF(AND(H654="",F654="Attended"),1,0)</f>
        <v/>
      </c>
      <c r="M654">
        <f>IF(AND(H654="",OR(F654="No-show",F654="Late cancel")),1,0)</f>
        <v/>
      </c>
      <c r="N654">
        <f>IF(AND(H654="",F654="",D654&lt;&gt;"",I654&gt;=TODAY()),ROUND((I654+IF(ISNUMBER(C654),MOD(C654,1),0))*1440,0)*10000+ROW(),"")</f>
        <v/>
      </c>
    </row>
    <row r="655">
      <c r="A655" s="1" t="n"/>
      <c r="B655" s="17" t="n"/>
      <c r="C655" s="18" t="n"/>
      <c r="D655" s="19" t="n"/>
      <c r="E655" s="20" t="n"/>
      <c r="F655" s="20" t="n"/>
      <c r="G655" s="21" t="n"/>
      <c r="H655" s="12">
        <f>IF(AND(B655="",D655="",F655=""),"",IF(NOT(ISNUMBER(B655)),"Needs a date",IF(D655="","Needs a client",IF(COUNTIF(Clients!$B$6:$B$105,D655)=0,"Not on Clients",IF(AND(F655="",INT(B655)&lt;TODAY()),"Needs a status","")))))</f>
        <v/>
      </c>
      <c r="I655" s="1">
        <f>IF(ISNUMBER(B655),INT(B655),0)</f>
        <v/>
      </c>
      <c r="J655">
        <f>IF(ISNUMBER(B655),YEAR(B655)*100+MONTH(B655),"")</f>
        <v/>
      </c>
      <c r="K655">
        <f>IF(AND(H655="",OR(F655="Attended",F655="No-show",AND(F655="Late cancel",Settings!$C$9="Yes"))),1,0)</f>
        <v/>
      </c>
      <c r="L655">
        <f>IF(AND(H655="",F655="Attended"),1,0)</f>
        <v/>
      </c>
      <c r="M655">
        <f>IF(AND(H655="",OR(F655="No-show",F655="Late cancel")),1,0)</f>
        <v/>
      </c>
      <c r="N655">
        <f>IF(AND(H655="",F655="",D655&lt;&gt;"",I655&gt;=TODAY()),ROUND((I655+IF(ISNUMBER(C655),MOD(C655,1),0))*1440,0)*10000+ROW(),"")</f>
        <v/>
      </c>
    </row>
    <row r="656">
      <c r="A656" s="1" t="n"/>
      <c r="B656" s="17" t="n"/>
      <c r="C656" s="18" t="n"/>
      <c r="D656" s="19" t="n"/>
      <c r="E656" s="20" t="n"/>
      <c r="F656" s="20" t="n"/>
      <c r="G656" s="21" t="n"/>
      <c r="H656" s="12">
        <f>IF(AND(B656="",D656="",F656=""),"",IF(NOT(ISNUMBER(B656)),"Needs a date",IF(D656="","Needs a client",IF(COUNTIF(Clients!$B$6:$B$105,D656)=0,"Not on Clients",IF(AND(F656="",INT(B656)&lt;TODAY()),"Needs a status","")))))</f>
        <v/>
      </c>
      <c r="I656" s="1">
        <f>IF(ISNUMBER(B656),INT(B656),0)</f>
        <v/>
      </c>
      <c r="J656">
        <f>IF(ISNUMBER(B656),YEAR(B656)*100+MONTH(B656),"")</f>
        <v/>
      </c>
      <c r="K656">
        <f>IF(AND(H656="",OR(F656="Attended",F656="No-show",AND(F656="Late cancel",Settings!$C$9="Yes"))),1,0)</f>
        <v/>
      </c>
      <c r="L656">
        <f>IF(AND(H656="",F656="Attended"),1,0)</f>
        <v/>
      </c>
      <c r="M656">
        <f>IF(AND(H656="",OR(F656="No-show",F656="Late cancel")),1,0)</f>
        <v/>
      </c>
      <c r="N656">
        <f>IF(AND(H656="",F656="",D656&lt;&gt;"",I656&gt;=TODAY()),ROUND((I656+IF(ISNUMBER(C656),MOD(C656,1),0))*1440,0)*10000+ROW(),"")</f>
        <v/>
      </c>
    </row>
    <row r="657">
      <c r="A657" s="1" t="n"/>
      <c r="B657" s="17" t="n"/>
      <c r="C657" s="18" t="n"/>
      <c r="D657" s="19" t="n"/>
      <c r="E657" s="20" t="n"/>
      <c r="F657" s="20" t="n"/>
      <c r="G657" s="21" t="n"/>
      <c r="H657" s="12">
        <f>IF(AND(B657="",D657="",F657=""),"",IF(NOT(ISNUMBER(B657)),"Needs a date",IF(D657="","Needs a client",IF(COUNTIF(Clients!$B$6:$B$105,D657)=0,"Not on Clients",IF(AND(F657="",INT(B657)&lt;TODAY()),"Needs a status","")))))</f>
        <v/>
      </c>
      <c r="I657" s="1">
        <f>IF(ISNUMBER(B657),INT(B657),0)</f>
        <v/>
      </c>
      <c r="J657">
        <f>IF(ISNUMBER(B657),YEAR(B657)*100+MONTH(B657),"")</f>
        <v/>
      </c>
      <c r="K657">
        <f>IF(AND(H657="",OR(F657="Attended",F657="No-show",AND(F657="Late cancel",Settings!$C$9="Yes"))),1,0)</f>
        <v/>
      </c>
      <c r="L657">
        <f>IF(AND(H657="",F657="Attended"),1,0)</f>
        <v/>
      </c>
      <c r="M657">
        <f>IF(AND(H657="",OR(F657="No-show",F657="Late cancel")),1,0)</f>
        <v/>
      </c>
      <c r="N657">
        <f>IF(AND(H657="",F657="",D657&lt;&gt;"",I657&gt;=TODAY()),ROUND((I657+IF(ISNUMBER(C657),MOD(C657,1),0))*1440,0)*10000+ROW(),"")</f>
        <v/>
      </c>
    </row>
    <row r="658">
      <c r="A658" s="1" t="n"/>
      <c r="B658" s="17" t="n"/>
      <c r="C658" s="18" t="n"/>
      <c r="D658" s="19" t="n"/>
      <c r="E658" s="20" t="n"/>
      <c r="F658" s="20" t="n"/>
      <c r="G658" s="21" t="n"/>
      <c r="H658" s="12">
        <f>IF(AND(B658="",D658="",F658=""),"",IF(NOT(ISNUMBER(B658)),"Needs a date",IF(D658="","Needs a client",IF(COUNTIF(Clients!$B$6:$B$105,D658)=0,"Not on Clients",IF(AND(F658="",INT(B658)&lt;TODAY()),"Needs a status","")))))</f>
        <v/>
      </c>
      <c r="I658" s="1">
        <f>IF(ISNUMBER(B658),INT(B658),0)</f>
        <v/>
      </c>
      <c r="J658">
        <f>IF(ISNUMBER(B658),YEAR(B658)*100+MONTH(B658),"")</f>
        <v/>
      </c>
      <c r="K658">
        <f>IF(AND(H658="",OR(F658="Attended",F658="No-show",AND(F658="Late cancel",Settings!$C$9="Yes"))),1,0)</f>
        <v/>
      </c>
      <c r="L658">
        <f>IF(AND(H658="",F658="Attended"),1,0)</f>
        <v/>
      </c>
      <c r="M658">
        <f>IF(AND(H658="",OR(F658="No-show",F658="Late cancel")),1,0)</f>
        <v/>
      </c>
      <c r="N658">
        <f>IF(AND(H658="",F658="",D658&lt;&gt;"",I658&gt;=TODAY()),ROUND((I658+IF(ISNUMBER(C658),MOD(C658,1),0))*1440,0)*10000+ROW(),"")</f>
        <v/>
      </c>
    </row>
    <row r="659">
      <c r="A659" s="1" t="n"/>
      <c r="B659" s="17" t="n"/>
      <c r="C659" s="18" t="n"/>
      <c r="D659" s="19" t="n"/>
      <c r="E659" s="20" t="n"/>
      <c r="F659" s="20" t="n"/>
      <c r="G659" s="21" t="n"/>
      <c r="H659" s="12">
        <f>IF(AND(B659="",D659="",F659=""),"",IF(NOT(ISNUMBER(B659)),"Needs a date",IF(D659="","Needs a client",IF(COUNTIF(Clients!$B$6:$B$105,D659)=0,"Not on Clients",IF(AND(F659="",INT(B659)&lt;TODAY()),"Needs a status","")))))</f>
        <v/>
      </c>
      <c r="I659" s="1">
        <f>IF(ISNUMBER(B659),INT(B659),0)</f>
        <v/>
      </c>
      <c r="J659">
        <f>IF(ISNUMBER(B659),YEAR(B659)*100+MONTH(B659),"")</f>
        <v/>
      </c>
      <c r="K659">
        <f>IF(AND(H659="",OR(F659="Attended",F659="No-show",AND(F659="Late cancel",Settings!$C$9="Yes"))),1,0)</f>
        <v/>
      </c>
      <c r="L659">
        <f>IF(AND(H659="",F659="Attended"),1,0)</f>
        <v/>
      </c>
      <c r="M659">
        <f>IF(AND(H659="",OR(F659="No-show",F659="Late cancel")),1,0)</f>
        <v/>
      </c>
      <c r="N659">
        <f>IF(AND(H659="",F659="",D659&lt;&gt;"",I659&gt;=TODAY()),ROUND((I659+IF(ISNUMBER(C659),MOD(C659,1),0))*1440,0)*10000+ROW(),"")</f>
        <v/>
      </c>
    </row>
    <row r="660">
      <c r="A660" s="1" t="n"/>
      <c r="B660" s="17" t="n"/>
      <c r="C660" s="18" t="n"/>
      <c r="D660" s="19" t="n"/>
      <c r="E660" s="20" t="n"/>
      <c r="F660" s="20" t="n"/>
      <c r="G660" s="21" t="n"/>
      <c r="H660" s="12">
        <f>IF(AND(B660="",D660="",F660=""),"",IF(NOT(ISNUMBER(B660)),"Needs a date",IF(D660="","Needs a client",IF(COUNTIF(Clients!$B$6:$B$105,D660)=0,"Not on Clients",IF(AND(F660="",INT(B660)&lt;TODAY()),"Needs a status","")))))</f>
        <v/>
      </c>
      <c r="I660" s="1">
        <f>IF(ISNUMBER(B660),INT(B660),0)</f>
        <v/>
      </c>
      <c r="J660">
        <f>IF(ISNUMBER(B660),YEAR(B660)*100+MONTH(B660),"")</f>
        <v/>
      </c>
      <c r="K660">
        <f>IF(AND(H660="",OR(F660="Attended",F660="No-show",AND(F660="Late cancel",Settings!$C$9="Yes"))),1,0)</f>
        <v/>
      </c>
      <c r="L660">
        <f>IF(AND(H660="",F660="Attended"),1,0)</f>
        <v/>
      </c>
      <c r="M660">
        <f>IF(AND(H660="",OR(F660="No-show",F660="Late cancel")),1,0)</f>
        <v/>
      </c>
      <c r="N660">
        <f>IF(AND(H660="",F660="",D660&lt;&gt;"",I660&gt;=TODAY()),ROUND((I660+IF(ISNUMBER(C660),MOD(C660,1),0))*1440,0)*10000+ROW(),"")</f>
        <v/>
      </c>
    </row>
    <row r="661">
      <c r="A661" s="1" t="n"/>
      <c r="B661" s="17" t="n"/>
      <c r="C661" s="18" t="n"/>
      <c r="D661" s="19" t="n"/>
      <c r="E661" s="20" t="n"/>
      <c r="F661" s="20" t="n"/>
      <c r="G661" s="21" t="n"/>
      <c r="H661" s="12">
        <f>IF(AND(B661="",D661="",F661=""),"",IF(NOT(ISNUMBER(B661)),"Needs a date",IF(D661="","Needs a client",IF(COUNTIF(Clients!$B$6:$B$105,D661)=0,"Not on Clients",IF(AND(F661="",INT(B661)&lt;TODAY()),"Needs a status","")))))</f>
        <v/>
      </c>
      <c r="I661" s="1">
        <f>IF(ISNUMBER(B661),INT(B661),0)</f>
        <v/>
      </c>
      <c r="J661">
        <f>IF(ISNUMBER(B661),YEAR(B661)*100+MONTH(B661),"")</f>
        <v/>
      </c>
      <c r="K661">
        <f>IF(AND(H661="",OR(F661="Attended",F661="No-show",AND(F661="Late cancel",Settings!$C$9="Yes"))),1,0)</f>
        <v/>
      </c>
      <c r="L661">
        <f>IF(AND(H661="",F661="Attended"),1,0)</f>
        <v/>
      </c>
      <c r="M661">
        <f>IF(AND(H661="",OR(F661="No-show",F661="Late cancel")),1,0)</f>
        <v/>
      </c>
      <c r="N661">
        <f>IF(AND(H661="",F661="",D661&lt;&gt;"",I661&gt;=TODAY()),ROUND((I661+IF(ISNUMBER(C661),MOD(C661,1),0))*1440,0)*10000+ROW(),"")</f>
        <v/>
      </c>
    </row>
    <row r="662">
      <c r="A662" s="1" t="n"/>
      <c r="B662" s="17" t="n"/>
      <c r="C662" s="18" t="n"/>
      <c r="D662" s="19" t="n"/>
      <c r="E662" s="20" t="n"/>
      <c r="F662" s="20" t="n"/>
      <c r="G662" s="21" t="n"/>
      <c r="H662" s="12">
        <f>IF(AND(B662="",D662="",F662=""),"",IF(NOT(ISNUMBER(B662)),"Needs a date",IF(D662="","Needs a client",IF(COUNTIF(Clients!$B$6:$B$105,D662)=0,"Not on Clients",IF(AND(F662="",INT(B662)&lt;TODAY()),"Needs a status","")))))</f>
        <v/>
      </c>
      <c r="I662" s="1">
        <f>IF(ISNUMBER(B662),INT(B662),0)</f>
        <v/>
      </c>
      <c r="J662">
        <f>IF(ISNUMBER(B662),YEAR(B662)*100+MONTH(B662),"")</f>
        <v/>
      </c>
      <c r="K662">
        <f>IF(AND(H662="",OR(F662="Attended",F662="No-show",AND(F662="Late cancel",Settings!$C$9="Yes"))),1,0)</f>
        <v/>
      </c>
      <c r="L662">
        <f>IF(AND(H662="",F662="Attended"),1,0)</f>
        <v/>
      </c>
      <c r="M662">
        <f>IF(AND(H662="",OR(F662="No-show",F662="Late cancel")),1,0)</f>
        <v/>
      </c>
      <c r="N662">
        <f>IF(AND(H662="",F662="",D662&lt;&gt;"",I662&gt;=TODAY()),ROUND((I662+IF(ISNUMBER(C662),MOD(C662,1),0))*1440,0)*10000+ROW(),"")</f>
        <v/>
      </c>
    </row>
    <row r="663">
      <c r="A663" s="1" t="n"/>
      <c r="B663" s="17" t="n"/>
      <c r="C663" s="18" t="n"/>
      <c r="D663" s="19" t="n"/>
      <c r="E663" s="20" t="n"/>
      <c r="F663" s="20" t="n"/>
      <c r="G663" s="21" t="n"/>
      <c r="H663" s="12">
        <f>IF(AND(B663="",D663="",F663=""),"",IF(NOT(ISNUMBER(B663)),"Needs a date",IF(D663="","Needs a client",IF(COUNTIF(Clients!$B$6:$B$105,D663)=0,"Not on Clients",IF(AND(F663="",INT(B663)&lt;TODAY()),"Needs a status","")))))</f>
        <v/>
      </c>
      <c r="I663" s="1">
        <f>IF(ISNUMBER(B663),INT(B663),0)</f>
        <v/>
      </c>
      <c r="J663">
        <f>IF(ISNUMBER(B663),YEAR(B663)*100+MONTH(B663),"")</f>
        <v/>
      </c>
      <c r="K663">
        <f>IF(AND(H663="",OR(F663="Attended",F663="No-show",AND(F663="Late cancel",Settings!$C$9="Yes"))),1,0)</f>
        <v/>
      </c>
      <c r="L663">
        <f>IF(AND(H663="",F663="Attended"),1,0)</f>
        <v/>
      </c>
      <c r="M663">
        <f>IF(AND(H663="",OR(F663="No-show",F663="Late cancel")),1,0)</f>
        <v/>
      </c>
      <c r="N663">
        <f>IF(AND(H663="",F663="",D663&lt;&gt;"",I663&gt;=TODAY()),ROUND((I663+IF(ISNUMBER(C663),MOD(C663,1),0))*1440,0)*10000+ROW(),"")</f>
        <v/>
      </c>
    </row>
    <row r="664">
      <c r="A664" s="1" t="n"/>
      <c r="B664" s="17" t="n"/>
      <c r="C664" s="18" t="n"/>
      <c r="D664" s="19" t="n"/>
      <c r="E664" s="20" t="n"/>
      <c r="F664" s="20" t="n"/>
      <c r="G664" s="21" t="n"/>
      <c r="H664" s="12">
        <f>IF(AND(B664="",D664="",F664=""),"",IF(NOT(ISNUMBER(B664)),"Needs a date",IF(D664="","Needs a client",IF(COUNTIF(Clients!$B$6:$B$105,D664)=0,"Not on Clients",IF(AND(F664="",INT(B664)&lt;TODAY()),"Needs a status","")))))</f>
        <v/>
      </c>
      <c r="I664" s="1">
        <f>IF(ISNUMBER(B664),INT(B664),0)</f>
        <v/>
      </c>
      <c r="J664">
        <f>IF(ISNUMBER(B664),YEAR(B664)*100+MONTH(B664),"")</f>
        <v/>
      </c>
      <c r="K664">
        <f>IF(AND(H664="",OR(F664="Attended",F664="No-show",AND(F664="Late cancel",Settings!$C$9="Yes"))),1,0)</f>
        <v/>
      </c>
      <c r="L664">
        <f>IF(AND(H664="",F664="Attended"),1,0)</f>
        <v/>
      </c>
      <c r="M664">
        <f>IF(AND(H664="",OR(F664="No-show",F664="Late cancel")),1,0)</f>
        <v/>
      </c>
      <c r="N664">
        <f>IF(AND(H664="",F664="",D664&lt;&gt;"",I664&gt;=TODAY()),ROUND((I664+IF(ISNUMBER(C664),MOD(C664,1),0))*1440,0)*10000+ROW(),"")</f>
        <v/>
      </c>
    </row>
    <row r="665">
      <c r="A665" s="1" t="n"/>
      <c r="B665" s="17" t="n"/>
      <c r="C665" s="18" t="n"/>
      <c r="D665" s="19" t="n"/>
      <c r="E665" s="20" t="n"/>
      <c r="F665" s="20" t="n"/>
      <c r="G665" s="21" t="n"/>
      <c r="H665" s="12">
        <f>IF(AND(B665="",D665="",F665=""),"",IF(NOT(ISNUMBER(B665)),"Needs a date",IF(D665="","Needs a client",IF(COUNTIF(Clients!$B$6:$B$105,D665)=0,"Not on Clients",IF(AND(F665="",INT(B665)&lt;TODAY()),"Needs a status","")))))</f>
        <v/>
      </c>
      <c r="I665" s="1">
        <f>IF(ISNUMBER(B665),INT(B665),0)</f>
        <v/>
      </c>
      <c r="J665">
        <f>IF(ISNUMBER(B665),YEAR(B665)*100+MONTH(B665),"")</f>
        <v/>
      </c>
      <c r="K665">
        <f>IF(AND(H665="",OR(F665="Attended",F665="No-show",AND(F665="Late cancel",Settings!$C$9="Yes"))),1,0)</f>
        <v/>
      </c>
      <c r="L665">
        <f>IF(AND(H665="",F665="Attended"),1,0)</f>
        <v/>
      </c>
      <c r="M665">
        <f>IF(AND(H665="",OR(F665="No-show",F665="Late cancel")),1,0)</f>
        <v/>
      </c>
      <c r="N665">
        <f>IF(AND(H665="",F665="",D665&lt;&gt;"",I665&gt;=TODAY()),ROUND((I665+IF(ISNUMBER(C665),MOD(C665,1),0))*1440,0)*10000+ROW(),"")</f>
        <v/>
      </c>
    </row>
    <row r="666">
      <c r="A666" s="1" t="n"/>
      <c r="B666" s="17" t="n"/>
      <c r="C666" s="18" t="n"/>
      <c r="D666" s="19" t="n"/>
      <c r="E666" s="20" t="n"/>
      <c r="F666" s="20" t="n"/>
      <c r="G666" s="21" t="n"/>
      <c r="H666" s="12">
        <f>IF(AND(B666="",D666="",F666=""),"",IF(NOT(ISNUMBER(B666)),"Needs a date",IF(D666="","Needs a client",IF(COUNTIF(Clients!$B$6:$B$105,D666)=0,"Not on Clients",IF(AND(F666="",INT(B666)&lt;TODAY()),"Needs a status","")))))</f>
        <v/>
      </c>
      <c r="I666" s="1">
        <f>IF(ISNUMBER(B666),INT(B666),0)</f>
        <v/>
      </c>
      <c r="J666">
        <f>IF(ISNUMBER(B666),YEAR(B666)*100+MONTH(B666),"")</f>
        <v/>
      </c>
      <c r="K666">
        <f>IF(AND(H666="",OR(F666="Attended",F666="No-show",AND(F666="Late cancel",Settings!$C$9="Yes"))),1,0)</f>
        <v/>
      </c>
      <c r="L666">
        <f>IF(AND(H666="",F666="Attended"),1,0)</f>
        <v/>
      </c>
      <c r="M666">
        <f>IF(AND(H666="",OR(F666="No-show",F666="Late cancel")),1,0)</f>
        <v/>
      </c>
      <c r="N666">
        <f>IF(AND(H666="",F666="",D666&lt;&gt;"",I666&gt;=TODAY()),ROUND((I666+IF(ISNUMBER(C666),MOD(C666,1),0))*1440,0)*10000+ROW(),"")</f>
        <v/>
      </c>
    </row>
    <row r="667">
      <c r="A667" s="1" t="n"/>
      <c r="B667" s="17" t="n"/>
      <c r="C667" s="18" t="n"/>
      <c r="D667" s="19" t="n"/>
      <c r="E667" s="20" t="n"/>
      <c r="F667" s="20" t="n"/>
      <c r="G667" s="21" t="n"/>
      <c r="H667" s="12">
        <f>IF(AND(B667="",D667="",F667=""),"",IF(NOT(ISNUMBER(B667)),"Needs a date",IF(D667="","Needs a client",IF(COUNTIF(Clients!$B$6:$B$105,D667)=0,"Not on Clients",IF(AND(F667="",INT(B667)&lt;TODAY()),"Needs a status","")))))</f>
        <v/>
      </c>
      <c r="I667" s="1">
        <f>IF(ISNUMBER(B667),INT(B667),0)</f>
        <v/>
      </c>
      <c r="J667">
        <f>IF(ISNUMBER(B667),YEAR(B667)*100+MONTH(B667),"")</f>
        <v/>
      </c>
      <c r="K667">
        <f>IF(AND(H667="",OR(F667="Attended",F667="No-show",AND(F667="Late cancel",Settings!$C$9="Yes"))),1,0)</f>
        <v/>
      </c>
      <c r="L667">
        <f>IF(AND(H667="",F667="Attended"),1,0)</f>
        <v/>
      </c>
      <c r="M667">
        <f>IF(AND(H667="",OR(F667="No-show",F667="Late cancel")),1,0)</f>
        <v/>
      </c>
      <c r="N667">
        <f>IF(AND(H667="",F667="",D667&lt;&gt;"",I667&gt;=TODAY()),ROUND((I667+IF(ISNUMBER(C667),MOD(C667,1),0))*1440,0)*10000+ROW(),"")</f>
        <v/>
      </c>
    </row>
    <row r="668">
      <c r="A668" s="1" t="n"/>
      <c r="B668" s="17" t="n"/>
      <c r="C668" s="18" t="n"/>
      <c r="D668" s="19" t="n"/>
      <c r="E668" s="20" t="n"/>
      <c r="F668" s="20" t="n"/>
      <c r="G668" s="21" t="n"/>
      <c r="H668" s="12">
        <f>IF(AND(B668="",D668="",F668=""),"",IF(NOT(ISNUMBER(B668)),"Needs a date",IF(D668="","Needs a client",IF(COUNTIF(Clients!$B$6:$B$105,D668)=0,"Not on Clients",IF(AND(F668="",INT(B668)&lt;TODAY()),"Needs a status","")))))</f>
        <v/>
      </c>
      <c r="I668" s="1">
        <f>IF(ISNUMBER(B668),INT(B668),0)</f>
        <v/>
      </c>
      <c r="J668">
        <f>IF(ISNUMBER(B668),YEAR(B668)*100+MONTH(B668),"")</f>
        <v/>
      </c>
      <c r="K668">
        <f>IF(AND(H668="",OR(F668="Attended",F668="No-show",AND(F668="Late cancel",Settings!$C$9="Yes"))),1,0)</f>
        <v/>
      </c>
      <c r="L668">
        <f>IF(AND(H668="",F668="Attended"),1,0)</f>
        <v/>
      </c>
      <c r="M668">
        <f>IF(AND(H668="",OR(F668="No-show",F668="Late cancel")),1,0)</f>
        <v/>
      </c>
      <c r="N668">
        <f>IF(AND(H668="",F668="",D668&lt;&gt;"",I668&gt;=TODAY()),ROUND((I668+IF(ISNUMBER(C668),MOD(C668,1),0))*1440,0)*10000+ROW(),"")</f>
        <v/>
      </c>
    </row>
    <row r="669">
      <c r="A669" s="1" t="n"/>
      <c r="B669" s="17" t="n"/>
      <c r="C669" s="18" t="n"/>
      <c r="D669" s="19" t="n"/>
      <c r="E669" s="20" t="n"/>
      <c r="F669" s="20" t="n"/>
      <c r="G669" s="21" t="n"/>
      <c r="H669" s="12">
        <f>IF(AND(B669="",D669="",F669=""),"",IF(NOT(ISNUMBER(B669)),"Needs a date",IF(D669="","Needs a client",IF(COUNTIF(Clients!$B$6:$B$105,D669)=0,"Not on Clients",IF(AND(F669="",INT(B669)&lt;TODAY()),"Needs a status","")))))</f>
        <v/>
      </c>
      <c r="I669" s="1">
        <f>IF(ISNUMBER(B669),INT(B669),0)</f>
        <v/>
      </c>
      <c r="J669">
        <f>IF(ISNUMBER(B669),YEAR(B669)*100+MONTH(B669),"")</f>
        <v/>
      </c>
      <c r="K669">
        <f>IF(AND(H669="",OR(F669="Attended",F669="No-show",AND(F669="Late cancel",Settings!$C$9="Yes"))),1,0)</f>
        <v/>
      </c>
      <c r="L669">
        <f>IF(AND(H669="",F669="Attended"),1,0)</f>
        <v/>
      </c>
      <c r="M669">
        <f>IF(AND(H669="",OR(F669="No-show",F669="Late cancel")),1,0)</f>
        <v/>
      </c>
      <c r="N669">
        <f>IF(AND(H669="",F669="",D669&lt;&gt;"",I669&gt;=TODAY()),ROUND((I669+IF(ISNUMBER(C669),MOD(C669,1),0))*1440,0)*10000+ROW(),"")</f>
        <v/>
      </c>
    </row>
    <row r="670">
      <c r="A670" s="1" t="n"/>
      <c r="B670" s="17" t="n"/>
      <c r="C670" s="18" t="n"/>
      <c r="D670" s="19" t="n"/>
      <c r="E670" s="20" t="n"/>
      <c r="F670" s="20" t="n"/>
      <c r="G670" s="21" t="n"/>
      <c r="H670" s="12">
        <f>IF(AND(B670="",D670="",F670=""),"",IF(NOT(ISNUMBER(B670)),"Needs a date",IF(D670="","Needs a client",IF(COUNTIF(Clients!$B$6:$B$105,D670)=0,"Not on Clients",IF(AND(F670="",INT(B670)&lt;TODAY()),"Needs a status","")))))</f>
        <v/>
      </c>
      <c r="I670" s="1">
        <f>IF(ISNUMBER(B670),INT(B670),0)</f>
        <v/>
      </c>
      <c r="J670">
        <f>IF(ISNUMBER(B670),YEAR(B670)*100+MONTH(B670),"")</f>
        <v/>
      </c>
      <c r="K670">
        <f>IF(AND(H670="",OR(F670="Attended",F670="No-show",AND(F670="Late cancel",Settings!$C$9="Yes"))),1,0)</f>
        <v/>
      </c>
      <c r="L670">
        <f>IF(AND(H670="",F670="Attended"),1,0)</f>
        <v/>
      </c>
      <c r="M670">
        <f>IF(AND(H670="",OR(F670="No-show",F670="Late cancel")),1,0)</f>
        <v/>
      </c>
      <c r="N670">
        <f>IF(AND(H670="",F670="",D670&lt;&gt;"",I670&gt;=TODAY()),ROUND((I670+IF(ISNUMBER(C670),MOD(C670,1),0))*1440,0)*10000+ROW(),"")</f>
        <v/>
      </c>
    </row>
    <row r="671">
      <c r="A671" s="1" t="n"/>
      <c r="B671" s="17" t="n"/>
      <c r="C671" s="18" t="n"/>
      <c r="D671" s="19" t="n"/>
      <c r="E671" s="20" t="n"/>
      <c r="F671" s="20" t="n"/>
      <c r="G671" s="21" t="n"/>
      <c r="H671" s="12">
        <f>IF(AND(B671="",D671="",F671=""),"",IF(NOT(ISNUMBER(B671)),"Needs a date",IF(D671="","Needs a client",IF(COUNTIF(Clients!$B$6:$B$105,D671)=0,"Not on Clients",IF(AND(F671="",INT(B671)&lt;TODAY()),"Needs a status","")))))</f>
        <v/>
      </c>
      <c r="I671" s="1">
        <f>IF(ISNUMBER(B671),INT(B671),0)</f>
        <v/>
      </c>
      <c r="J671">
        <f>IF(ISNUMBER(B671),YEAR(B671)*100+MONTH(B671),"")</f>
        <v/>
      </c>
      <c r="K671">
        <f>IF(AND(H671="",OR(F671="Attended",F671="No-show",AND(F671="Late cancel",Settings!$C$9="Yes"))),1,0)</f>
        <v/>
      </c>
      <c r="L671">
        <f>IF(AND(H671="",F671="Attended"),1,0)</f>
        <v/>
      </c>
      <c r="M671">
        <f>IF(AND(H671="",OR(F671="No-show",F671="Late cancel")),1,0)</f>
        <v/>
      </c>
      <c r="N671">
        <f>IF(AND(H671="",F671="",D671&lt;&gt;"",I671&gt;=TODAY()),ROUND((I671+IF(ISNUMBER(C671),MOD(C671,1),0))*1440,0)*10000+ROW(),"")</f>
        <v/>
      </c>
    </row>
    <row r="672">
      <c r="A672" s="1" t="n"/>
      <c r="B672" s="17" t="n"/>
      <c r="C672" s="18" t="n"/>
      <c r="D672" s="19" t="n"/>
      <c r="E672" s="20" t="n"/>
      <c r="F672" s="20" t="n"/>
      <c r="G672" s="21" t="n"/>
      <c r="H672" s="12">
        <f>IF(AND(B672="",D672="",F672=""),"",IF(NOT(ISNUMBER(B672)),"Needs a date",IF(D672="","Needs a client",IF(COUNTIF(Clients!$B$6:$B$105,D672)=0,"Not on Clients",IF(AND(F672="",INT(B672)&lt;TODAY()),"Needs a status","")))))</f>
        <v/>
      </c>
      <c r="I672" s="1">
        <f>IF(ISNUMBER(B672),INT(B672),0)</f>
        <v/>
      </c>
      <c r="J672">
        <f>IF(ISNUMBER(B672),YEAR(B672)*100+MONTH(B672),"")</f>
        <v/>
      </c>
      <c r="K672">
        <f>IF(AND(H672="",OR(F672="Attended",F672="No-show",AND(F672="Late cancel",Settings!$C$9="Yes"))),1,0)</f>
        <v/>
      </c>
      <c r="L672">
        <f>IF(AND(H672="",F672="Attended"),1,0)</f>
        <v/>
      </c>
      <c r="M672">
        <f>IF(AND(H672="",OR(F672="No-show",F672="Late cancel")),1,0)</f>
        <v/>
      </c>
      <c r="N672">
        <f>IF(AND(H672="",F672="",D672&lt;&gt;"",I672&gt;=TODAY()),ROUND((I672+IF(ISNUMBER(C672),MOD(C672,1),0))*1440,0)*10000+ROW(),"")</f>
        <v/>
      </c>
    </row>
    <row r="673">
      <c r="A673" s="1" t="n"/>
      <c r="B673" s="17" t="n"/>
      <c r="C673" s="18" t="n"/>
      <c r="D673" s="19" t="n"/>
      <c r="E673" s="20" t="n"/>
      <c r="F673" s="20" t="n"/>
      <c r="G673" s="21" t="n"/>
      <c r="H673" s="12">
        <f>IF(AND(B673="",D673="",F673=""),"",IF(NOT(ISNUMBER(B673)),"Needs a date",IF(D673="","Needs a client",IF(COUNTIF(Clients!$B$6:$B$105,D673)=0,"Not on Clients",IF(AND(F673="",INT(B673)&lt;TODAY()),"Needs a status","")))))</f>
        <v/>
      </c>
      <c r="I673" s="1">
        <f>IF(ISNUMBER(B673),INT(B673),0)</f>
        <v/>
      </c>
      <c r="J673">
        <f>IF(ISNUMBER(B673),YEAR(B673)*100+MONTH(B673),"")</f>
        <v/>
      </c>
      <c r="K673">
        <f>IF(AND(H673="",OR(F673="Attended",F673="No-show",AND(F673="Late cancel",Settings!$C$9="Yes"))),1,0)</f>
        <v/>
      </c>
      <c r="L673">
        <f>IF(AND(H673="",F673="Attended"),1,0)</f>
        <v/>
      </c>
      <c r="M673">
        <f>IF(AND(H673="",OR(F673="No-show",F673="Late cancel")),1,0)</f>
        <v/>
      </c>
      <c r="N673">
        <f>IF(AND(H673="",F673="",D673&lt;&gt;"",I673&gt;=TODAY()),ROUND((I673+IF(ISNUMBER(C673),MOD(C673,1),0))*1440,0)*10000+ROW(),"")</f>
        <v/>
      </c>
    </row>
    <row r="674">
      <c r="A674" s="1" t="n"/>
      <c r="B674" s="17" t="n"/>
      <c r="C674" s="18" t="n"/>
      <c r="D674" s="19" t="n"/>
      <c r="E674" s="20" t="n"/>
      <c r="F674" s="20" t="n"/>
      <c r="G674" s="21" t="n"/>
      <c r="H674" s="12">
        <f>IF(AND(B674="",D674="",F674=""),"",IF(NOT(ISNUMBER(B674)),"Needs a date",IF(D674="","Needs a client",IF(COUNTIF(Clients!$B$6:$B$105,D674)=0,"Not on Clients",IF(AND(F674="",INT(B674)&lt;TODAY()),"Needs a status","")))))</f>
        <v/>
      </c>
      <c r="I674" s="1">
        <f>IF(ISNUMBER(B674),INT(B674),0)</f>
        <v/>
      </c>
      <c r="J674">
        <f>IF(ISNUMBER(B674),YEAR(B674)*100+MONTH(B674),"")</f>
        <v/>
      </c>
      <c r="K674">
        <f>IF(AND(H674="",OR(F674="Attended",F674="No-show",AND(F674="Late cancel",Settings!$C$9="Yes"))),1,0)</f>
        <v/>
      </c>
      <c r="L674">
        <f>IF(AND(H674="",F674="Attended"),1,0)</f>
        <v/>
      </c>
      <c r="M674">
        <f>IF(AND(H674="",OR(F674="No-show",F674="Late cancel")),1,0)</f>
        <v/>
      </c>
      <c r="N674">
        <f>IF(AND(H674="",F674="",D674&lt;&gt;"",I674&gt;=TODAY()),ROUND((I674+IF(ISNUMBER(C674),MOD(C674,1),0))*1440,0)*10000+ROW(),"")</f>
        <v/>
      </c>
    </row>
    <row r="675">
      <c r="A675" s="1" t="n"/>
      <c r="B675" s="17" t="n"/>
      <c r="C675" s="18" t="n"/>
      <c r="D675" s="19" t="n"/>
      <c r="E675" s="20" t="n"/>
      <c r="F675" s="20" t="n"/>
      <c r="G675" s="21" t="n"/>
      <c r="H675" s="12">
        <f>IF(AND(B675="",D675="",F675=""),"",IF(NOT(ISNUMBER(B675)),"Needs a date",IF(D675="","Needs a client",IF(COUNTIF(Clients!$B$6:$B$105,D675)=0,"Not on Clients",IF(AND(F675="",INT(B675)&lt;TODAY()),"Needs a status","")))))</f>
        <v/>
      </c>
      <c r="I675" s="1">
        <f>IF(ISNUMBER(B675),INT(B675),0)</f>
        <v/>
      </c>
      <c r="J675">
        <f>IF(ISNUMBER(B675),YEAR(B675)*100+MONTH(B675),"")</f>
        <v/>
      </c>
      <c r="K675">
        <f>IF(AND(H675="",OR(F675="Attended",F675="No-show",AND(F675="Late cancel",Settings!$C$9="Yes"))),1,0)</f>
        <v/>
      </c>
      <c r="L675">
        <f>IF(AND(H675="",F675="Attended"),1,0)</f>
        <v/>
      </c>
      <c r="M675">
        <f>IF(AND(H675="",OR(F675="No-show",F675="Late cancel")),1,0)</f>
        <v/>
      </c>
      <c r="N675">
        <f>IF(AND(H675="",F675="",D675&lt;&gt;"",I675&gt;=TODAY()),ROUND((I675+IF(ISNUMBER(C675),MOD(C675,1),0))*1440,0)*10000+ROW(),"")</f>
        <v/>
      </c>
    </row>
    <row r="676">
      <c r="A676" s="1" t="n"/>
      <c r="B676" s="17" t="n"/>
      <c r="C676" s="18" t="n"/>
      <c r="D676" s="19" t="n"/>
      <c r="E676" s="20" t="n"/>
      <c r="F676" s="20" t="n"/>
      <c r="G676" s="21" t="n"/>
      <c r="H676" s="12">
        <f>IF(AND(B676="",D676="",F676=""),"",IF(NOT(ISNUMBER(B676)),"Needs a date",IF(D676="","Needs a client",IF(COUNTIF(Clients!$B$6:$B$105,D676)=0,"Not on Clients",IF(AND(F676="",INT(B676)&lt;TODAY()),"Needs a status","")))))</f>
        <v/>
      </c>
      <c r="I676" s="1">
        <f>IF(ISNUMBER(B676),INT(B676),0)</f>
        <v/>
      </c>
      <c r="J676">
        <f>IF(ISNUMBER(B676),YEAR(B676)*100+MONTH(B676),"")</f>
        <v/>
      </c>
      <c r="K676">
        <f>IF(AND(H676="",OR(F676="Attended",F676="No-show",AND(F676="Late cancel",Settings!$C$9="Yes"))),1,0)</f>
        <v/>
      </c>
      <c r="L676">
        <f>IF(AND(H676="",F676="Attended"),1,0)</f>
        <v/>
      </c>
      <c r="M676">
        <f>IF(AND(H676="",OR(F676="No-show",F676="Late cancel")),1,0)</f>
        <v/>
      </c>
      <c r="N676">
        <f>IF(AND(H676="",F676="",D676&lt;&gt;"",I676&gt;=TODAY()),ROUND((I676+IF(ISNUMBER(C676),MOD(C676,1),0))*1440,0)*10000+ROW(),"")</f>
        <v/>
      </c>
    </row>
    <row r="677">
      <c r="A677" s="1" t="n"/>
      <c r="B677" s="17" t="n"/>
      <c r="C677" s="18" t="n"/>
      <c r="D677" s="19" t="n"/>
      <c r="E677" s="20" t="n"/>
      <c r="F677" s="20" t="n"/>
      <c r="G677" s="21" t="n"/>
      <c r="H677" s="12">
        <f>IF(AND(B677="",D677="",F677=""),"",IF(NOT(ISNUMBER(B677)),"Needs a date",IF(D677="","Needs a client",IF(COUNTIF(Clients!$B$6:$B$105,D677)=0,"Not on Clients",IF(AND(F677="",INT(B677)&lt;TODAY()),"Needs a status","")))))</f>
        <v/>
      </c>
      <c r="I677" s="1">
        <f>IF(ISNUMBER(B677),INT(B677),0)</f>
        <v/>
      </c>
      <c r="J677">
        <f>IF(ISNUMBER(B677),YEAR(B677)*100+MONTH(B677),"")</f>
        <v/>
      </c>
      <c r="K677">
        <f>IF(AND(H677="",OR(F677="Attended",F677="No-show",AND(F677="Late cancel",Settings!$C$9="Yes"))),1,0)</f>
        <v/>
      </c>
      <c r="L677">
        <f>IF(AND(H677="",F677="Attended"),1,0)</f>
        <v/>
      </c>
      <c r="M677">
        <f>IF(AND(H677="",OR(F677="No-show",F677="Late cancel")),1,0)</f>
        <v/>
      </c>
      <c r="N677">
        <f>IF(AND(H677="",F677="",D677&lt;&gt;"",I677&gt;=TODAY()),ROUND((I677+IF(ISNUMBER(C677),MOD(C677,1),0))*1440,0)*10000+ROW(),"")</f>
        <v/>
      </c>
    </row>
    <row r="678">
      <c r="A678" s="1" t="n"/>
      <c r="B678" s="17" t="n"/>
      <c r="C678" s="18" t="n"/>
      <c r="D678" s="19" t="n"/>
      <c r="E678" s="20" t="n"/>
      <c r="F678" s="20" t="n"/>
      <c r="G678" s="21" t="n"/>
      <c r="H678" s="12">
        <f>IF(AND(B678="",D678="",F678=""),"",IF(NOT(ISNUMBER(B678)),"Needs a date",IF(D678="","Needs a client",IF(COUNTIF(Clients!$B$6:$B$105,D678)=0,"Not on Clients",IF(AND(F678="",INT(B678)&lt;TODAY()),"Needs a status","")))))</f>
        <v/>
      </c>
      <c r="I678" s="1">
        <f>IF(ISNUMBER(B678),INT(B678),0)</f>
        <v/>
      </c>
      <c r="J678">
        <f>IF(ISNUMBER(B678),YEAR(B678)*100+MONTH(B678),"")</f>
        <v/>
      </c>
      <c r="K678">
        <f>IF(AND(H678="",OR(F678="Attended",F678="No-show",AND(F678="Late cancel",Settings!$C$9="Yes"))),1,0)</f>
        <v/>
      </c>
      <c r="L678">
        <f>IF(AND(H678="",F678="Attended"),1,0)</f>
        <v/>
      </c>
      <c r="M678">
        <f>IF(AND(H678="",OR(F678="No-show",F678="Late cancel")),1,0)</f>
        <v/>
      </c>
      <c r="N678">
        <f>IF(AND(H678="",F678="",D678&lt;&gt;"",I678&gt;=TODAY()),ROUND((I678+IF(ISNUMBER(C678),MOD(C678,1),0))*1440,0)*10000+ROW(),"")</f>
        <v/>
      </c>
    </row>
    <row r="679">
      <c r="A679" s="1" t="n"/>
      <c r="B679" s="17" t="n"/>
      <c r="C679" s="18" t="n"/>
      <c r="D679" s="19" t="n"/>
      <c r="E679" s="20" t="n"/>
      <c r="F679" s="20" t="n"/>
      <c r="G679" s="21" t="n"/>
      <c r="H679" s="12">
        <f>IF(AND(B679="",D679="",F679=""),"",IF(NOT(ISNUMBER(B679)),"Needs a date",IF(D679="","Needs a client",IF(COUNTIF(Clients!$B$6:$B$105,D679)=0,"Not on Clients",IF(AND(F679="",INT(B679)&lt;TODAY()),"Needs a status","")))))</f>
        <v/>
      </c>
      <c r="I679" s="1">
        <f>IF(ISNUMBER(B679),INT(B679),0)</f>
        <v/>
      </c>
      <c r="J679">
        <f>IF(ISNUMBER(B679),YEAR(B679)*100+MONTH(B679),"")</f>
        <v/>
      </c>
      <c r="K679">
        <f>IF(AND(H679="",OR(F679="Attended",F679="No-show",AND(F679="Late cancel",Settings!$C$9="Yes"))),1,0)</f>
        <v/>
      </c>
      <c r="L679">
        <f>IF(AND(H679="",F679="Attended"),1,0)</f>
        <v/>
      </c>
      <c r="M679">
        <f>IF(AND(H679="",OR(F679="No-show",F679="Late cancel")),1,0)</f>
        <v/>
      </c>
      <c r="N679">
        <f>IF(AND(H679="",F679="",D679&lt;&gt;"",I679&gt;=TODAY()),ROUND((I679+IF(ISNUMBER(C679),MOD(C679,1),0))*1440,0)*10000+ROW(),"")</f>
        <v/>
      </c>
    </row>
    <row r="680">
      <c r="A680" s="1" t="n"/>
      <c r="B680" s="17" t="n"/>
      <c r="C680" s="18" t="n"/>
      <c r="D680" s="19" t="n"/>
      <c r="E680" s="20" t="n"/>
      <c r="F680" s="20" t="n"/>
      <c r="G680" s="21" t="n"/>
      <c r="H680" s="12">
        <f>IF(AND(B680="",D680="",F680=""),"",IF(NOT(ISNUMBER(B680)),"Needs a date",IF(D680="","Needs a client",IF(COUNTIF(Clients!$B$6:$B$105,D680)=0,"Not on Clients",IF(AND(F680="",INT(B680)&lt;TODAY()),"Needs a status","")))))</f>
        <v/>
      </c>
      <c r="I680" s="1">
        <f>IF(ISNUMBER(B680),INT(B680),0)</f>
        <v/>
      </c>
      <c r="J680">
        <f>IF(ISNUMBER(B680),YEAR(B680)*100+MONTH(B680),"")</f>
        <v/>
      </c>
      <c r="K680">
        <f>IF(AND(H680="",OR(F680="Attended",F680="No-show",AND(F680="Late cancel",Settings!$C$9="Yes"))),1,0)</f>
        <v/>
      </c>
      <c r="L680">
        <f>IF(AND(H680="",F680="Attended"),1,0)</f>
        <v/>
      </c>
      <c r="M680">
        <f>IF(AND(H680="",OR(F680="No-show",F680="Late cancel")),1,0)</f>
        <v/>
      </c>
      <c r="N680">
        <f>IF(AND(H680="",F680="",D680&lt;&gt;"",I680&gt;=TODAY()),ROUND((I680+IF(ISNUMBER(C680),MOD(C680,1),0))*1440,0)*10000+ROW(),"")</f>
        <v/>
      </c>
    </row>
    <row r="681">
      <c r="A681" s="1" t="n"/>
      <c r="B681" s="17" t="n"/>
      <c r="C681" s="18" t="n"/>
      <c r="D681" s="19" t="n"/>
      <c r="E681" s="20" t="n"/>
      <c r="F681" s="20" t="n"/>
      <c r="G681" s="21" t="n"/>
      <c r="H681" s="12">
        <f>IF(AND(B681="",D681="",F681=""),"",IF(NOT(ISNUMBER(B681)),"Needs a date",IF(D681="","Needs a client",IF(COUNTIF(Clients!$B$6:$B$105,D681)=0,"Not on Clients",IF(AND(F681="",INT(B681)&lt;TODAY()),"Needs a status","")))))</f>
        <v/>
      </c>
      <c r="I681" s="1">
        <f>IF(ISNUMBER(B681),INT(B681),0)</f>
        <v/>
      </c>
      <c r="J681">
        <f>IF(ISNUMBER(B681),YEAR(B681)*100+MONTH(B681),"")</f>
        <v/>
      </c>
      <c r="K681">
        <f>IF(AND(H681="",OR(F681="Attended",F681="No-show",AND(F681="Late cancel",Settings!$C$9="Yes"))),1,0)</f>
        <v/>
      </c>
      <c r="L681">
        <f>IF(AND(H681="",F681="Attended"),1,0)</f>
        <v/>
      </c>
      <c r="M681">
        <f>IF(AND(H681="",OR(F681="No-show",F681="Late cancel")),1,0)</f>
        <v/>
      </c>
      <c r="N681">
        <f>IF(AND(H681="",F681="",D681&lt;&gt;"",I681&gt;=TODAY()),ROUND((I681+IF(ISNUMBER(C681),MOD(C681,1),0))*1440,0)*10000+ROW(),"")</f>
        <v/>
      </c>
    </row>
    <row r="682">
      <c r="A682" s="1" t="n"/>
      <c r="B682" s="17" t="n"/>
      <c r="C682" s="18" t="n"/>
      <c r="D682" s="19" t="n"/>
      <c r="E682" s="20" t="n"/>
      <c r="F682" s="20" t="n"/>
      <c r="G682" s="21" t="n"/>
      <c r="H682" s="12">
        <f>IF(AND(B682="",D682="",F682=""),"",IF(NOT(ISNUMBER(B682)),"Needs a date",IF(D682="","Needs a client",IF(COUNTIF(Clients!$B$6:$B$105,D682)=0,"Not on Clients",IF(AND(F682="",INT(B682)&lt;TODAY()),"Needs a status","")))))</f>
        <v/>
      </c>
      <c r="I682" s="1">
        <f>IF(ISNUMBER(B682),INT(B682),0)</f>
        <v/>
      </c>
      <c r="J682">
        <f>IF(ISNUMBER(B682),YEAR(B682)*100+MONTH(B682),"")</f>
        <v/>
      </c>
      <c r="K682">
        <f>IF(AND(H682="",OR(F682="Attended",F682="No-show",AND(F682="Late cancel",Settings!$C$9="Yes"))),1,0)</f>
        <v/>
      </c>
      <c r="L682">
        <f>IF(AND(H682="",F682="Attended"),1,0)</f>
        <v/>
      </c>
      <c r="M682">
        <f>IF(AND(H682="",OR(F682="No-show",F682="Late cancel")),1,0)</f>
        <v/>
      </c>
      <c r="N682">
        <f>IF(AND(H682="",F682="",D682&lt;&gt;"",I682&gt;=TODAY()),ROUND((I682+IF(ISNUMBER(C682),MOD(C682,1),0))*1440,0)*10000+ROW(),"")</f>
        <v/>
      </c>
    </row>
    <row r="683">
      <c r="A683" s="1" t="n"/>
      <c r="B683" s="17" t="n"/>
      <c r="C683" s="18" t="n"/>
      <c r="D683" s="19" t="n"/>
      <c r="E683" s="20" t="n"/>
      <c r="F683" s="20" t="n"/>
      <c r="G683" s="21" t="n"/>
      <c r="H683" s="12">
        <f>IF(AND(B683="",D683="",F683=""),"",IF(NOT(ISNUMBER(B683)),"Needs a date",IF(D683="","Needs a client",IF(COUNTIF(Clients!$B$6:$B$105,D683)=0,"Not on Clients",IF(AND(F683="",INT(B683)&lt;TODAY()),"Needs a status","")))))</f>
        <v/>
      </c>
      <c r="I683" s="1">
        <f>IF(ISNUMBER(B683),INT(B683),0)</f>
        <v/>
      </c>
      <c r="J683">
        <f>IF(ISNUMBER(B683),YEAR(B683)*100+MONTH(B683),"")</f>
        <v/>
      </c>
      <c r="K683">
        <f>IF(AND(H683="",OR(F683="Attended",F683="No-show",AND(F683="Late cancel",Settings!$C$9="Yes"))),1,0)</f>
        <v/>
      </c>
      <c r="L683">
        <f>IF(AND(H683="",F683="Attended"),1,0)</f>
        <v/>
      </c>
      <c r="M683">
        <f>IF(AND(H683="",OR(F683="No-show",F683="Late cancel")),1,0)</f>
        <v/>
      </c>
      <c r="N683">
        <f>IF(AND(H683="",F683="",D683&lt;&gt;"",I683&gt;=TODAY()),ROUND((I683+IF(ISNUMBER(C683),MOD(C683,1),0))*1440,0)*10000+ROW(),"")</f>
        <v/>
      </c>
    </row>
    <row r="684">
      <c r="A684" s="1" t="n"/>
      <c r="B684" s="17" t="n"/>
      <c r="C684" s="18" t="n"/>
      <c r="D684" s="19" t="n"/>
      <c r="E684" s="20" t="n"/>
      <c r="F684" s="20" t="n"/>
      <c r="G684" s="21" t="n"/>
      <c r="H684" s="12">
        <f>IF(AND(B684="",D684="",F684=""),"",IF(NOT(ISNUMBER(B684)),"Needs a date",IF(D684="","Needs a client",IF(COUNTIF(Clients!$B$6:$B$105,D684)=0,"Not on Clients",IF(AND(F684="",INT(B684)&lt;TODAY()),"Needs a status","")))))</f>
        <v/>
      </c>
      <c r="I684" s="1">
        <f>IF(ISNUMBER(B684),INT(B684),0)</f>
        <v/>
      </c>
      <c r="J684">
        <f>IF(ISNUMBER(B684),YEAR(B684)*100+MONTH(B684),"")</f>
        <v/>
      </c>
      <c r="K684">
        <f>IF(AND(H684="",OR(F684="Attended",F684="No-show",AND(F684="Late cancel",Settings!$C$9="Yes"))),1,0)</f>
        <v/>
      </c>
      <c r="L684">
        <f>IF(AND(H684="",F684="Attended"),1,0)</f>
        <v/>
      </c>
      <c r="M684">
        <f>IF(AND(H684="",OR(F684="No-show",F684="Late cancel")),1,0)</f>
        <v/>
      </c>
      <c r="N684">
        <f>IF(AND(H684="",F684="",D684&lt;&gt;"",I684&gt;=TODAY()),ROUND((I684+IF(ISNUMBER(C684),MOD(C684,1),0))*1440,0)*10000+ROW(),"")</f>
        <v/>
      </c>
    </row>
    <row r="685">
      <c r="A685" s="1" t="n"/>
      <c r="B685" s="17" t="n"/>
      <c r="C685" s="18" t="n"/>
      <c r="D685" s="19" t="n"/>
      <c r="E685" s="20" t="n"/>
      <c r="F685" s="20" t="n"/>
      <c r="G685" s="21" t="n"/>
      <c r="H685" s="12">
        <f>IF(AND(B685="",D685="",F685=""),"",IF(NOT(ISNUMBER(B685)),"Needs a date",IF(D685="","Needs a client",IF(COUNTIF(Clients!$B$6:$B$105,D685)=0,"Not on Clients",IF(AND(F685="",INT(B685)&lt;TODAY()),"Needs a status","")))))</f>
        <v/>
      </c>
      <c r="I685" s="1">
        <f>IF(ISNUMBER(B685),INT(B685),0)</f>
        <v/>
      </c>
      <c r="J685">
        <f>IF(ISNUMBER(B685),YEAR(B685)*100+MONTH(B685),"")</f>
        <v/>
      </c>
      <c r="K685">
        <f>IF(AND(H685="",OR(F685="Attended",F685="No-show",AND(F685="Late cancel",Settings!$C$9="Yes"))),1,0)</f>
        <v/>
      </c>
      <c r="L685">
        <f>IF(AND(H685="",F685="Attended"),1,0)</f>
        <v/>
      </c>
      <c r="M685">
        <f>IF(AND(H685="",OR(F685="No-show",F685="Late cancel")),1,0)</f>
        <v/>
      </c>
      <c r="N685">
        <f>IF(AND(H685="",F685="",D685&lt;&gt;"",I685&gt;=TODAY()),ROUND((I685+IF(ISNUMBER(C685),MOD(C685,1),0))*1440,0)*10000+ROW(),"")</f>
        <v/>
      </c>
    </row>
    <row r="686">
      <c r="A686" s="1" t="n"/>
      <c r="B686" s="17" t="n"/>
      <c r="C686" s="18" t="n"/>
      <c r="D686" s="19" t="n"/>
      <c r="E686" s="20" t="n"/>
      <c r="F686" s="20" t="n"/>
      <c r="G686" s="21" t="n"/>
      <c r="H686" s="12">
        <f>IF(AND(B686="",D686="",F686=""),"",IF(NOT(ISNUMBER(B686)),"Needs a date",IF(D686="","Needs a client",IF(COUNTIF(Clients!$B$6:$B$105,D686)=0,"Not on Clients",IF(AND(F686="",INT(B686)&lt;TODAY()),"Needs a status","")))))</f>
        <v/>
      </c>
      <c r="I686" s="1">
        <f>IF(ISNUMBER(B686),INT(B686),0)</f>
        <v/>
      </c>
      <c r="J686">
        <f>IF(ISNUMBER(B686),YEAR(B686)*100+MONTH(B686),"")</f>
        <v/>
      </c>
      <c r="K686">
        <f>IF(AND(H686="",OR(F686="Attended",F686="No-show",AND(F686="Late cancel",Settings!$C$9="Yes"))),1,0)</f>
        <v/>
      </c>
      <c r="L686">
        <f>IF(AND(H686="",F686="Attended"),1,0)</f>
        <v/>
      </c>
      <c r="M686">
        <f>IF(AND(H686="",OR(F686="No-show",F686="Late cancel")),1,0)</f>
        <v/>
      </c>
      <c r="N686">
        <f>IF(AND(H686="",F686="",D686&lt;&gt;"",I686&gt;=TODAY()),ROUND((I686+IF(ISNUMBER(C686),MOD(C686,1),0))*1440,0)*10000+ROW(),"")</f>
        <v/>
      </c>
    </row>
    <row r="687">
      <c r="A687" s="1" t="n"/>
      <c r="B687" s="17" t="n"/>
      <c r="C687" s="18" t="n"/>
      <c r="D687" s="19" t="n"/>
      <c r="E687" s="20" t="n"/>
      <c r="F687" s="20" t="n"/>
      <c r="G687" s="21" t="n"/>
      <c r="H687" s="12">
        <f>IF(AND(B687="",D687="",F687=""),"",IF(NOT(ISNUMBER(B687)),"Needs a date",IF(D687="","Needs a client",IF(COUNTIF(Clients!$B$6:$B$105,D687)=0,"Not on Clients",IF(AND(F687="",INT(B687)&lt;TODAY()),"Needs a status","")))))</f>
        <v/>
      </c>
      <c r="I687" s="1">
        <f>IF(ISNUMBER(B687),INT(B687),0)</f>
        <v/>
      </c>
      <c r="J687">
        <f>IF(ISNUMBER(B687),YEAR(B687)*100+MONTH(B687),"")</f>
        <v/>
      </c>
      <c r="K687">
        <f>IF(AND(H687="",OR(F687="Attended",F687="No-show",AND(F687="Late cancel",Settings!$C$9="Yes"))),1,0)</f>
        <v/>
      </c>
      <c r="L687">
        <f>IF(AND(H687="",F687="Attended"),1,0)</f>
        <v/>
      </c>
      <c r="M687">
        <f>IF(AND(H687="",OR(F687="No-show",F687="Late cancel")),1,0)</f>
        <v/>
      </c>
      <c r="N687">
        <f>IF(AND(H687="",F687="",D687&lt;&gt;"",I687&gt;=TODAY()),ROUND((I687+IF(ISNUMBER(C687),MOD(C687,1),0))*1440,0)*10000+ROW(),"")</f>
        <v/>
      </c>
    </row>
    <row r="688">
      <c r="A688" s="1" t="n"/>
      <c r="B688" s="17" t="n"/>
      <c r="C688" s="18" t="n"/>
      <c r="D688" s="19" t="n"/>
      <c r="E688" s="20" t="n"/>
      <c r="F688" s="20" t="n"/>
      <c r="G688" s="21" t="n"/>
      <c r="H688" s="12">
        <f>IF(AND(B688="",D688="",F688=""),"",IF(NOT(ISNUMBER(B688)),"Needs a date",IF(D688="","Needs a client",IF(COUNTIF(Clients!$B$6:$B$105,D688)=0,"Not on Clients",IF(AND(F688="",INT(B688)&lt;TODAY()),"Needs a status","")))))</f>
        <v/>
      </c>
      <c r="I688" s="1">
        <f>IF(ISNUMBER(B688),INT(B688),0)</f>
        <v/>
      </c>
      <c r="J688">
        <f>IF(ISNUMBER(B688),YEAR(B688)*100+MONTH(B688),"")</f>
        <v/>
      </c>
      <c r="K688">
        <f>IF(AND(H688="",OR(F688="Attended",F688="No-show",AND(F688="Late cancel",Settings!$C$9="Yes"))),1,0)</f>
        <v/>
      </c>
      <c r="L688">
        <f>IF(AND(H688="",F688="Attended"),1,0)</f>
        <v/>
      </c>
      <c r="M688">
        <f>IF(AND(H688="",OR(F688="No-show",F688="Late cancel")),1,0)</f>
        <v/>
      </c>
      <c r="N688">
        <f>IF(AND(H688="",F688="",D688&lt;&gt;"",I688&gt;=TODAY()),ROUND((I688+IF(ISNUMBER(C688),MOD(C688,1),0))*1440,0)*10000+ROW(),"")</f>
        <v/>
      </c>
    </row>
    <row r="689">
      <c r="A689" s="1" t="n"/>
      <c r="B689" s="17" t="n"/>
      <c r="C689" s="18" t="n"/>
      <c r="D689" s="19" t="n"/>
      <c r="E689" s="20" t="n"/>
      <c r="F689" s="20" t="n"/>
      <c r="G689" s="21" t="n"/>
      <c r="H689" s="12">
        <f>IF(AND(B689="",D689="",F689=""),"",IF(NOT(ISNUMBER(B689)),"Needs a date",IF(D689="","Needs a client",IF(COUNTIF(Clients!$B$6:$B$105,D689)=0,"Not on Clients",IF(AND(F689="",INT(B689)&lt;TODAY()),"Needs a status","")))))</f>
        <v/>
      </c>
      <c r="I689" s="1">
        <f>IF(ISNUMBER(B689),INT(B689),0)</f>
        <v/>
      </c>
      <c r="J689">
        <f>IF(ISNUMBER(B689),YEAR(B689)*100+MONTH(B689),"")</f>
        <v/>
      </c>
      <c r="K689">
        <f>IF(AND(H689="",OR(F689="Attended",F689="No-show",AND(F689="Late cancel",Settings!$C$9="Yes"))),1,0)</f>
        <v/>
      </c>
      <c r="L689">
        <f>IF(AND(H689="",F689="Attended"),1,0)</f>
        <v/>
      </c>
      <c r="M689">
        <f>IF(AND(H689="",OR(F689="No-show",F689="Late cancel")),1,0)</f>
        <v/>
      </c>
      <c r="N689">
        <f>IF(AND(H689="",F689="",D689&lt;&gt;"",I689&gt;=TODAY()),ROUND((I689+IF(ISNUMBER(C689),MOD(C689,1),0))*1440,0)*10000+ROW(),"")</f>
        <v/>
      </c>
    </row>
    <row r="690">
      <c r="A690" s="1" t="n"/>
      <c r="B690" s="17" t="n"/>
      <c r="C690" s="18" t="n"/>
      <c r="D690" s="19" t="n"/>
      <c r="E690" s="20" t="n"/>
      <c r="F690" s="20" t="n"/>
      <c r="G690" s="21" t="n"/>
      <c r="H690" s="12">
        <f>IF(AND(B690="",D690="",F690=""),"",IF(NOT(ISNUMBER(B690)),"Needs a date",IF(D690="","Needs a client",IF(COUNTIF(Clients!$B$6:$B$105,D690)=0,"Not on Clients",IF(AND(F690="",INT(B690)&lt;TODAY()),"Needs a status","")))))</f>
        <v/>
      </c>
      <c r="I690" s="1">
        <f>IF(ISNUMBER(B690),INT(B690),0)</f>
        <v/>
      </c>
      <c r="J690">
        <f>IF(ISNUMBER(B690),YEAR(B690)*100+MONTH(B690),"")</f>
        <v/>
      </c>
      <c r="K690">
        <f>IF(AND(H690="",OR(F690="Attended",F690="No-show",AND(F690="Late cancel",Settings!$C$9="Yes"))),1,0)</f>
        <v/>
      </c>
      <c r="L690">
        <f>IF(AND(H690="",F690="Attended"),1,0)</f>
        <v/>
      </c>
      <c r="M690">
        <f>IF(AND(H690="",OR(F690="No-show",F690="Late cancel")),1,0)</f>
        <v/>
      </c>
      <c r="N690">
        <f>IF(AND(H690="",F690="",D690&lt;&gt;"",I690&gt;=TODAY()),ROUND((I690+IF(ISNUMBER(C690),MOD(C690,1),0))*1440,0)*10000+ROW(),"")</f>
        <v/>
      </c>
    </row>
    <row r="691">
      <c r="A691" s="1" t="n"/>
      <c r="B691" s="17" t="n"/>
      <c r="C691" s="18" t="n"/>
      <c r="D691" s="19" t="n"/>
      <c r="E691" s="20" t="n"/>
      <c r="F691" s="20" t="n"/>
      <c r="G691" s="21" t="n"/>
      <c r="H691" s="12">
        <f>IF(AND(B691="",D691="",F691=""),"",IF(NOT(ISNUMBER(B691)),"Needs a date",IF(D691="","Needs a client",IF(COUNTIF(Clients!$B$6:$B$105,D691)=0,"Not on Clients",IF(AND(F691="",INT(B691)&lt;TODAY()),"Needs a status","")))))</f>
        <v/>
      </c>
      <c r="I691" s="1">
        <f>IF(ISNUMBER(B691),INT(B691),0)</f>
        <v/>
      </c>
      <c r="J691">
        <f>IF(ISNUMBER(B691),YEAR(B691)*100+MONTH(B691),"")</f>
        <v/>
      </c>
      <c r="K691">
        <f>IF(AND(H691="",OR(F691="Attended",F691="No-show",AND(F691="Late cancel",Settings!$C$9="Yes"))),1,0)</f>
        <v/>
      </c>
      <c r="L691">
        <f>IF(AND(H691="",F691="Attended"),1,0)</f>
        <v/>
      </c>
      <c r="M691">
        <f>IF(AND(H691="",OR(F691="No-show",F691="Late cancel")),1,0)</f>
        <v/>
      </c>
      <c r="N691">
        <f>IF(AND(H691="",F691="",D691&lt;&gt;"",I691&gt;=TODAY()),ROUND((I691+IF(ISNUMBER(C691),MOD(C691,1),0))*1440,0)*10000+ROW(),"")</f>
        <v/>
      </c>
    </row>
    <row r="692">
      <c r="A692" s="1" t="n"/>
      <c r="B692" s="17" t="n"/>
      <c r="C692" s="18" t="n"/>
      <c r="D692" s="19" t="n"/>
      <c r="E692" s="20" t="n"/>
      <c r="F692" s="20" t="n"/>
      <c r="G692" s="21" t="n"/>
      <c r="H692" s="12">
        <f>IF(AND(B692="",D692="",F692=""),"",IF(NOT(ISNUMBER(B692)),"Needs a date",IF(D692="","Needs a client",IF(COUNTIF(Clients!$B$6:$B$105,D692)=0,"Not on Clients",IF(AND(F692="",INT(B692)&lt;TODAY()),"Needs a status","")))))</f>
        <v/>
      </c>
      <c r="I692" s="1">
        <f>IF(ISNUMBER(B692),INT(B692),0)</f>
        <v/>
      </c>
      <c r="J692">
        <f>IF(ISNUMBER(B692),YEAR(B692)*100+MONTH(B692),"")</f>
        <v/>
      </c>
      <c r="K692">
        <f>IF(AND(H692="",OR(F692="Attended",F692="No-show",AND(F692="Late cancel",Settings!$C$9="Yes"))),1,0)</f>
        <v/>
      </c>
      <c r="L692">
        <f>IF(AND(H692="",F692="Attended"),1,0)</f>
        <v/>
      </c>
      <c r="M692">
        <f>IF(AND(H692="",OR(F692="No-show",F692="Late cancel")),1,0)</f>
        <v/>
      </c>
      <c r="N692">
        <f>IF(AND(H692="",F692="",D692&lt;&gt;"",I692&gt;=TODAY()),ROUND((I692+IF(ISNUMBER(C692),MOD(C692,1),0))*1440,0)*10000+ROW(),"")</f>
        <v/>
      </c>
    </row>
    <row r="693">
      <c r="A693" s="1" t="n"/>
      <c r="B693" s="17" t="n"/>
      <c r="C693" s="18" t="n"/>
      <c r="D693" s="19" t="n"/>
      <c r="E693" s="20" t="n"/>
      <c r="F693" s="20" t="n"/>
      <c r="G693" s="21" t="n"/>
      <c r="H693" s="12">
        <f>IF(AND(B693="",D693="",F693=""),"",IF(NOT(ISNUMBER(B693)),"Needs a date",IF(D693="","Needs a client",IF(COUNTIF(Clients!$B$6:$B$105,D693)=0,"Not on Clients",IF(AND(F693="",INT(B693)&lt;TODAY()),"Needs a status","")))))</f>
        <v/>
      </c>
      <c r="I693" s="1">
        <f>IF(ISNUMBER(B693),INT(B693),0)</f>
        <v/>
      </c>
      <c r="J693">
        <f>IF(ISNUMBER(B693),YEAR(B693)*100+MONTH(B693),"")</f>
        <v/>
      </c>
      <c r="K693">
        <f>IF(AND(H693="",OR(F693="Attended",F693="No-show",AND(F693="Late cancel",Settings!$C$9="Yes"))),1,0)</f>
        <v/>
      </c>
      <c r="L693">
        <f>IF(AND(H693="",F693="Attended"),1,0)</f>
        <v/>
      </c>
      <c r="M693">
        <f>IF(AND(H693="",OR(F693="No-show",F693="Late cancel")),1,0)</f>
        <v/>
      </c>
      <c r="N693">
        <f>IF(AND(H693="",F693="",D693&lt;&gt;"",I693&gt;=TODAY()),ROUND((I693+IF(ISNUMBER(C693),MOD(C693,1),0))*1440,0)*10000+ROW(),"")</f>
        <v/>
      </c>
    </row>
    <row r="694">
      <c r="A694" s="1" t="n"/>
      <c r="B694" s="17" t="n"/>
      <c r="C694" s="18" t="n"/>
      <c r="D694" s="19" t="n"/>
      <c r="E694" s="20" t="n"/>
      <c r="F694" s="20" t="n"/>
      <c r="G694" s="21" t="n"/>
      <c r="H694" s="12">
        <f>IF(AND(B694="",D694="",F694=""),"",IF(NOT(ISNUMBER(B694)),"Needs a date",IF(D694="","Needs a client",IF(COUNTIF(Clients!$B$6:$B$105,D694)=0,"Not on Clients",IF(AND(F694="",INT(B694)&lt;TODAY()),"Needs a status","")))))</f>
        <v/>
      </c>
      <c r="I694" s="1">
        <f>IF(ISNUMBER(B694),INT(B694),0)</f>
        <v/>
      </c>
      <c r="J694">
        <f>IF(ISNUMBER(B694),YEAR(B694)*100+MONTH(B694),"")</f>
        <v/>
      </c>
      <c r="K694">
        <f>IF(AND(H694="",OR(F694="Attended",F694="No-show",AND(F694="Late cancel",Settings!$C$9="Yes"))),1,0)</f>
        <v/>
      </c>
      <c r="L694">
        <f>IF(AND(H694="",F694="Attended"),1,0)</f>
        <v/>
      </c>
      <c r="M694">
        <f>IF(AND(H694="",OR(F694="No-show",F694="Late cancel")),1,0)</f>
        <v/>
      </c>
      <c r="N694">
        <f>IF(AND(H694="",F694="",D694&lt;&gt;"",I694&gt;=TODAY()),ROUND((I694+IF(ISNUMBER(C694),MOD(C694,1),0))*1440,0)*10000+ROW(),"")</f>
        <v/>
      </c>
    </row>
    <row r="695">
      <c r="A695" s="1" t="n"/>
      <c r="B695" s="17" t="n"/>
      <c r="C695" s="18" t="n"/>
      <c r="D695" s="19" t="n"/>
      <c r="E695" s="20" t="n"/>
      <c r="F695" s="20" t="n"/>
      <c r="G695" s="21" t="n"/>
      <c r="H695" s="12">
        <f>IF(AND(B695="",D695="",F695=""),"",IF(NOT(ISNUMBER(B695)),"Needs a date",IF(D695="","Needs a client",IF(COUNTIF(Clients!$B$6:$B$105,D695)=0,"Not on Clients",IF(AND(F695="",INT(B695)&lt;TODAY()),"Needs a status","")))))</f>
        <v/>
      </c>
      <c r="I695" s="1">
        <f>IF(ISNUMBER(B695),INT(B695),0)</f>
        <v/>
      </c>
      <c r="J695">
        <f>IF(ISNUMBER(B695),YEAR(B695)*100+MONTH(B695),"")</f>
        <v/>
      </c>
      <c r="K695">
        <f>IF(AND(H695="",OR(F695="Attended",F695="No-show",AND(F695="Late cancel",Settings!$C$9="Yes"))),1,0)</f>
        <v/>
      </c>
      <c r="L695">
        <f>IF(AND(H695="",F695="Attended"),1,0)</f>
        <v/>
      </c>
      <c r="M695">
        <f>IF(AND(H695="",OR(F695="No-show",F695="Late cancel")),1,0)</f>
        <v/>
      </c>
      <c r="N695">
        <f>IF(AND(H695="",F695="",D695&lt;&gt;"",I695&gt;=TODAY()),ROUND((I695+IF(ISNUMBER(C695),MOD(C695,1),0))*1440,0)*10000+ROW(),"")</f>
        <v/>
      </c>
    </row>
    <row r="696">
      <c r="A696" s="1" t="n"/>
      <c r="B696" s="17" t="n"/>
      <c r="C696" s="18" t="n"/>
      <c r="D696" s="19" t="n"/>
      <c r="E696" s="20" t="n"/>
      <c r="F696" s="20" t="n"/>
      <c r="G696" s="21" t="n"/>
      <c r="H696" s="12">
        <f>IF(AND(B696="",D696="",F696=""),"",IF(NOT(ISNUMBER(B696)),"Needs a date",IF(D696="","Needs a client",IF(COUNTIF(Clients!$B$6:$B$105,D696)=0,"Not on Clients",IF(AND(F696="",INT(B696)&lt;TODAY()),"Needs a status","")))))</f>
        <v/>
      </c>
      <c r="I696" s="1">
        <f>IF(ISNUMBER(B696),INT(B696),0)</f>
        <v/>
      </c>
      <c r="J696">
        <f>IF(ISNUMBER(B696),YEAR(B696)*100+MONTH(B696),"")</f>
        <v/>
      </c>
      <c r="K696">
        <f>IF(AND(H696="",OR(F696="Attended",F696="No-show",AND(F696="Late cancel",Settings!$C$9="Yes"))),1,0)</f>
        <v/>
      </c>
      <c r="L696">
        <f>IF(AND(H696="",F696="Attended"),1,0)</f>
        <v/>
      </c>
      <c r="M696">
        <f>IF(AND(H696="",OR(F696="No-show",F696="Late cancel")),1,0)</f>
        <v/>
      </c>
      <c r="N696">
        <f>IF(AND(H696="",F696="",D696&lt;&gt;"",I696&gt;=TODAY()),ROUND((I696+IF(ISNUMBER(C696),MOD(C696,1),0))*1440,0)*10000+ROW(),"")</f>
        <v/>
      </c>
    </row>
    <row r="697">
      <c r="A697" s="1" t="n"/>
      <c r="B697" s="17" t="n"/>
      <c r="C697" s="18" t="n"/>
      <c r="D697" s="19" t="n"/>
      <c r="E697" s="20" t="n"/>
      <c r="F697" s="20" t="n"/>
      <c r="G697" s="21" t="n"/>
      <c r="H697" s="12">
        <f>IF(AND(B697="",D697="",F697=""),"",IF(NOT(ISNUMBER(B697)),"Needs a date",IF(D697="","Needs a client",IF(COUNTIF(Clients!$B$6:$B$105,D697)=0,"Not on Clients",IF(AND(F697="",INT(B697)&lt;TODAY()),"Needs a status","")))))</f>
        <v/>
      </c>
      <c r="I697" s="1">
        <f>IF(ISNUMBER(B697),INT(B697),0)</f>
        <v/>
      </c>
      <c r="J697">
        <f>IF(ISNUMBER(B697),YEAR(B697)*100+MONTH(B697),"")</f>
        <v/>
      </c>
      <c r="K697">
        <f>IF(AND(H697="",OR(F697="Attended",F697="No-show",AND(F697="Late cancel",Settings!$C$9="Yes"))),1,0)</f>
        <v/>
      </c>
      <c r="L697">
        <f>IF(AND(H697="",F697="Attended"),1,0)</f>
        <v/>
      </c>
      <c r="M697">
        <f>IF(AND(H697="",OR(F697="No-show",F697="Late cancel")),1,0)</f>
        <v/>
      </c>
      <c r="N697">
        <f>IF(AND(H697="",F697="",D697&lt;&gt;"",I697&gt;=TODAY()),ROUND((I697+IF(ISNUMBER(C697),MOD(C697,1),0))*1440,0)*10000+ROW(),"")</f>
        <v/>
      </c>
    </row>
    <row r="698">
      <c r="A698" s="1" t="n"/>
      <c r="B698" s="17" t="n"/>
      <c r="C698" s="18" t="n"/>
      <c r="D698" s="19" t="n"/>
      <c r="E698" s="20" t="n"/>
      <c r="F698" s="20" t="n"/>
      <c r="G698" s="21" t="n"/>
      <c r="H698" s="12">
        <f>IF(AND(B698="",D698="",F698=""),"",IF(NOT(ISNUMBER(B698)),"Needs a date",IF(D698="","Needs a client",IF(COUNTIF(Clients!$B$6:$B$105,D698)=0,"Not on Clients",IF(AND(F698="",INT(B698)&lt;TODAY()),"Needs a status","")))))</f>
        <v/>
      </c>
      <c r="I698" s="1">
        <f>IF(ISNUMBER(B698),INT(B698),0)</f>
        <v/>
      </c>
      <c r="J698">
        <f>IF(ISNUMBER(B698),YEAR(B698)*100+MONTH(B698),"")</f>
        <v/>
      </c>
      <c r="K698">
        <f>IF(AND(H698="",OR(F698="Attended",F698="No-show",AND(F698="Late cancel",Settings!$C$9="Yes"))),1,0)</f>
        <v/>
      </c>
      <c r="L698">
        <f>IF(AND(H698="",F698="Attended"),1,0)</f>
        <v/>
      </c>
      <c r="M698">
        <f>IF(AND(H698="",OR(F698="No-show",F698="Late cancel")),1,0)</f>
        <v/>
      </c>
      <c r="N698">
        <f>IF(AND(H698="",F698="",D698&lt;&gt;"",I698&gt;=TODAY()),ROUND((I698+IF(ISNUMBER(C698),MOD(C698,1),0))*1440,0)*10000+ROW(),"")</f>
        <v/>
      </c>
    </row>
    <row r="699">
      <c r="A699" s="1" t="n"/>
      <c r="B699" s="17" t="n"/>
      <c r="C699" s="18" t="n"/>
      <c r="D699" s="19" t="n"/>
      <c r="E699" s="20" t="n"/>
      <c r="F699" s="20" t="n"/>
      <c r="G699" s="21" t="n"/>
      <c r="H699" s="12">
        <f>IF(AND(B699="",D699="",F699=""),"",IF(NOT(ISNUMBER(B699)),"Needs a date",IF(D699="","Needs a client",IF(COUNTIF(Clients!$B$6:$B$105,D699)=0,"Not on Clients",IF(AND(F699="",INT(B699)&lt;TODAY()),"Needs a status","")))))</f>
        <v/>
      </c>
      <c r="I699" s="1">
        <f>IF(ISNUMBER(B699),INT(B699),0)</f>
        <v/>
      </c>
      <c r="J699">
        <f>IF(ISNUMBER(B699),YEAR(B699)*100+MONTH(B699),"")</f>
        <v/>
      </c>
      <c r="K699">
        <f>IF(AND(H699="",OR(F699="Attended",F699="No-show",AND(F699="Late cancel",Settings!$C$9="Yes"))),1,0)</f>
        <v/>
      </c>
      <c r="L699">
        <f>IF(AND(H699="",F699="Attended"),1,0)</f>
        <v/>
      </c>
      <c r="M699">
        <f>IF(AND(H699="",OR(F699="No-show",F699="Late cancel")),1,0)</f>
        <v/>
      </c>
      <c r="N699">
        <f>IF(AND(H699="",F699="",D699&lt;&gt;"",I699&gt;=TODAY()),ROUND((I699+IF(ISNUMBER(C699),MOD(C699,1),0))*1440,0)*10000+ROW(),"")</f>
        <v/>
      </c>
    </row>
    <row r="700">
      <c r="A700" s="1" t="n"/>
      <c r="B700" s="17" t="n"/>
      <c r="C700" s="18" t="n"/>
      <c r="D700" s="19" t="n"/>
      <c r="E700" s="20" t="n"/>
      <c r="F700" s="20" t="n"/>
      <c r="G700" s="21" t="n"/>
      <c r="H700" s="12">
        <f>IF(AND(B700="",D700="",F700=""),"",IF(NOT(ISNUMBER(B700)),"Needs a date",IF(D700="","Needs a client",IF(COUNTIF(Clients!$B$6:$B$105,D700)=0,"Not on Clients",IF(AND(F700="",INT(B700)&lt;TODAY()),"Needs a status","")))))</f>
        <v/>
      </c>
      <c r="I700" s="1">
        <f>IF(ISNUMBER(B700),INT(B700),0)</f>
        <v/>
      </c>
      <c r="J700">
        <f>IF(ISNUMBER(B700),YEAR(B700)*100+MONTH(B700),"")</f>
        <v/>
      </c>
      <c r="K700">
        <f>IF(AND(H700="",OR(F700="Attended",F700="No-show",AND(F700="Late cancel",Settings!$C$9="Yes"))),1,0)</f>
        <v/>
      </c>
      <c r="L700">
        <f>IF(AND(H700="",F700="Attended"),1,0)</f>
        <v/>
      </c>
      <c r="M700">
        <f>IF(AND(H700="",OR(F700="No-show",F700="Late cancel")),1,0)</f>
        <v/>
      </c>
      <c r="N700">
        <f>IF(AND(H700="",F700="",D700&lt;&gt;"",I700&gt;=TODAY()),ROUND((I700+IF(ISNUMBER(C700),MOD(C700,1),0))*1440,0)*10000+ROW(),"")</f>
        <v/>
      </c>
    </row>
    <row r="701">
      <c r="A701" s="1" t="n"/>
      <c r="B701" s="17" t="n"/>
      <c r="C701" s="18" t="n"/>
      <c r="D701" s="19" t="n"/>
      <c r="E701" s="20" t="n"/>
      <c r="F701" s="20" t="n"/>
      <c r="G701" s="21" t="n"/>
      <c r="H701" s="12">
        <f>IF(AND(B701="",D701="",F701=""),"",IF(NOT(ISNUMBER(B701)),"Needs a date",IF(D701="","Needs a client",IF(COUNTIF(Clients!$B$6:$B$105,D701)=0,"Not on Clients",IF(AND(F701="",INT(B701)&lt;TODAY()),"Needs a status","")))))</f>
        <v/>
      </c>
      <c r="I701" s="1">
        <f>IF(ISNUMBER(B701),INT(B701),0)</f>
        <v/>
      </c>
      <c r="J701">
        <f>IF(ISNUMBER(B701),YEAR(B701)*100+MONTH(B701),"")</f>
        <v/>
      </c>
      <c r="K701">
        <f>IF(AND(H701="",OR(F701="Attended",F701="No-show",AND(F701="Late cancel",Settings!$C$9="Yes"))),1,0)</f>
        <v/>
      </c>
      <c r="L701">
        <f>IF(AND(H701="",F701="Attended"),1,0)</f>
        <v/>
      </c>
      <c r="M701">
        <f>IF(AND(H701="",OR(F701="No-show",F701="Late cancel")),1,0)</f>
        <v/>
      </c>
      <c r="N701">
        <f>IF(AND(H701="",F701="",D701&lt;&gt;"",I701&gt;=TODAY()),ROUND((I701+IF(ISNUMBER(C701),MOD(C701,1),0))*1440,0)*10000+ROW(),"")</f>
        <v/>
      </c>
    </row>
    <row r="702">
      <c r="A702" s="1" t="n"/>
      <c r="B702" s="17" t="n"/>
      <c r="C702" s="18" t="n"/>
      <c r="D702" s="19" t="n"/>
      <c r="E702" s="20" t="n"/>
      <c r="F702" s="20" t="n"/>
      <c r="G702" s="21" t="n"/>
      <c r="H702" s="12">
        <f>IF(AND(B702="",D702="",F702=""),"",IF(NOT(ISNUMBER(B702)),"Needs a date",IF(D702="","Needs a client",IF(COUNTIF(Clients!$B$6:$B$105,D702)=0,"Not on Clients",IF(AND(F702="",INT(B702)&lt;TODAY()),"Needs a status","")))))</f>
        <v/>
      </c>
      <c r="I702" s="1">
        <f>IF(ISNUMBER(B702),INT(B702),0)</f>
        <v/>
      </c>
      <c r="J702">
        <f>IF(ISNUMBER(B702),YEAR(B702)*100+MONTH(B702),"")</f>
        <v/>
      </c>
      <c r="K702">
        <f>IF(AND(H702="",OR(F702="Attended",F702="No-show",AND(F702="Late cancel",Settings!$C$9="Yes"))),1,0)</f>
        <v/>
      </c>
      <c r="L702">
        <f>IF(AND(H702="",F702="Attended"),1,0)</f>
        <v/>
      </c>
      <c r="M702">
        <f>IF(AND(H702="",OR(F702="No-show",F702="Late cancel")),1,0)</f>
        <v/>
      </c>
      <c r="N702">
        <f>IF(AND(H702="",F702="",D702&lt;&gt;"",I702&gt;=TODAY()),ROUND((I702+IF(ISNUMBER(C702),MOD(C702,1),0))*1440,0)*10000+ROW(),"")</f>
        <v/>
      </c>
    </row>
    <row r="703">
      <c r="A703" s="1" t="n"/>
      <c r="B703" s="17" t="n"/>
      <c r="C703" s="18" t="n"/>
      <c r="D703" s="19" t="n"/>
      <c r="E703" s="20" t="n"/>
      <c r="F703" s="20" t="n"/>
      <c r="G703" s="21" t="n"/>
      <c r="H703" s="12">
        <f>IF(AND(B703="",D703="",F703=""),"",IF(NOT(ISNUMBER(B703)),"Needs a date",IF(D703="","Needs a client",IF(COUNTIF(Clients!$B$6:$B$105,D703)=0,"Not on Clients",IF(AND(F703="",INT(B703)&lt;TODAY()),"Needs a status","")))))</f>
        <v/>
      </c>
      <c r="I703" s="1">
        <f>IF(ISNUMBER(B703),INT(B703),0)</f>
        <v/>
      </c>
      <c r="J703">
        <f>IF(ISNUMBER(B703),YEAR(B703)*100+MONTH(B703),"")</f>
        <v/>
      </c>
      <c r="K703">
        <f>IF(AND(H703="",OR(F703="Attended",F703="No-show",AND(F703="Late cancel",Settings!$C$9="Yes"))),1,0)</f>
        <v/>
      </c>
      <c r="L703">
        <f>IF(AND(H703="",F703="Attended"),1,0)</f>
        <v/>
      </c>
      <c r="M703">
        <f>IF(AND(H703="",OR(F703="No-show",F703="Late cancel")),1,0)</f>
        <v/>
      </c>
      <c r="N703">
        <f>IF(AND(H703="",F703="",D703&lt;&gt;"",I703&gt;=TODAY()),ROUND((I703+IF(ISNUMBER(C703),MOD(C703,1),0))*1440,0)*10000+ROW(),"")</f>
        <v/>
      </c>
    </row>
    <row r="704">
      <c r="A704" s="1" t="n"/>
      <c r="B704" s="17" t="n"/>
      <c r="C704" s="18" t="n"/>
      <c r="D704" s="19" t="n"/>
      <c r="E704" s="20" t="n"/>
      <c r="F704" s="20" t="n"/>
      <c r="G704" s="21" t="n"/>
      <c r="H704" s="12">
        <f>IF(AND(B704="",D704="",F704=""),"",IF(NOT(ISNUMBER(B704)),"Needs a date",IF(D704="","Needs a client",IF(COUNTIF(Clients!$B$6:$B$105,D704)=0,"Not on Clients",IF(AND(F704="",INT(B704)&lt;TODAY()),"Needs a status","")))))</f>
        <v/>
      </c>
      <c r="I704" s="1">
        <f>IF(ISNUMBER(B704),INT(B704),0)</f>
        <v/>
      </c>
      <c r="J704">
        <f>IF(ISNUMBER(B704),YEAR(B704)*100+MONTH(B704),"")</f>
        <v/>
      </c>
      <c r="K704">
        <f>IF(AND(H704="",OR(F704="Attended",F704="No-show",AND(F704="Late cancel",Settings!$C$9="Yes"))),1,0)</f>
        <v/>
      </c>
      <c r="L704">
        <f>IF(AND(H704="",F704="Attended"),1,0)</f>
        <v/>
      </c>
      <c r="M704">
        <f>IF(AND(H704="",OR(F704="No-show",F704="Late cancel")),1,0)</f>
        <v/>
      </c>
      <c r="N704">
        <f>IF(AND(H704="",F704="",D704&lt;&gt;"",I704&gt;=TODAY()),ROUND((I704+IF(ISNUMBER(C704),MOD(C704,1),0))*1440,0)*10000+ROW(),"")</f>
        <v/>
      </c>
    </row>
    <row r="705">
      <c r="A705" s="1" t="n"/>
      <c r="B705" s="17" t="n"/>
      <c r="C705" s="18" t="n"/>
      <c r="D705" s="19" t="n"/>
      <c r="E705" s="20" t="n"/>
      <c r="F705" s="20" t="n"/>
      <c r="G705" s="21" t="n"/>
      <c r="H705" s="12">
        <f>IF(AND(B705="",D705="",F705=""),"",IF(NOT(ISNUMBER(B705)),"Needs a date",IF(D705="","Needs a client",IF(COUNTIF(Clients!$B$6:$B$105,D705)=0,"Not on Clients",IF(AND(F705="",INT(B705)&lt;TODAY()),"Needs a status","")))))</f>
        <v/>
      </c>
      <c r="I705" s="1">
        <f>IF(ISNUMBER(B705),INT(B705),0)</f>
        <v/>
      </c>
      <c r="J705">
        <f>IF(ISNUMBER(B705),YEAR(B705)*100+MONTH(B705),"")</f>
        <v/>
      </c>
      <c r="K705">
        <f>IF(AND(H705="",OR(F705="Attended",F705="No-show",AND(F705="Late cancel",Settings!$C$9="Yes"))),1,0)</f>
        <v/>
      </c>
      <c r="L705">
        <f>IF(AND(H705="",F705="Attended"),1,0)</f>
        <v/>
      </c>
      <c r="M705">
        <f>IF(AND(H705="",OR(F705="No-show",F705="Late cancel")),1,0)</f>
        <v/>
      </c>
      <c r="N705">
        <f>IF(AND(H705="",F705="",D705&lt;&gt;"",I705&gt;=TODAY()),ROUND((I705+IF(ISNUMBER(C705),MOD(C705,1),0))*1440,0)*10000+ROW(),"")</f>
        <v/>
      </c>
    </row>
    <row r="706">
      <c r="A706" s="1" t="n"/>
      <c r="B706" s="17" t="n"/>
      <c r="C706" s="18" t="n"/>
      <c r="D706" s="19" t="n"/>
      <c r="E706" s="20" t="n"/>
      <c r="F706" s="20" t="n"/>
      <c r="G706" s="21" t="n"/>
      <c r="H706" s="12">
        <f>IF(AND(B706="",D706="",F706=""),"",IF(NOT(ISNUMBER(B706)),"Needs a date",IF(D706="","Needs a client",IF(COUNTIF(Clients!$B$6:$B$105,D706)=0,"Not on Clients",IF(AND(F706="",INT(B706)&lt;TODAY()),"Needs a status","")))))</f>
        <v/>
      </c>
      <c r="I706" s="1">
        <f>IF(ISNUMBER(B706),INT(B706),0)</f>
        <v/>
      </c>
      <c r="J706">
        <f>IF(ISNUMBER(B706),YEAR(B706)*100+MONTH(B706),"")</f>
        <v/>
      </c>
      <c r="K706">
        <f>IF(AND(H706="",OR(F706="Attended",F706="No-show",AND(F706="Late cancel",Settings!$C$9="Yes"))),1,0)</f>
        <v/>
      </c>
      <c r="L706">
        <f>IF(AND(H706="",F706="Attended"),1,0)</f>
        <v/>
      </c>
      <c r="M706">
        <f>IF(AND(H706="",OR(F706="No-show",F706="Late cancel")),1,0)</f>
        <v/>
      </c>
      <c r="N706">
        <f>IF(AND(H706="",F706="",D706&lt;&gt;"",I706&gt;=TODAY()),ROUND((I706+IF(ISNUMBER(C706),MOD(C706,1),0))*1440,0)*10000+ROW(),"")</f>
        <v/>
      </c>
    </row>
    <row r="707">
      <c r="A707" s="1" t="n"/>
      <c r="B707" s="17" t="n"/>
      <c r="C707" s="18" t="n"/>
      <c r="D707" s="19" t="n"/>
      <c r="E707" s="20" t="n"/>
      <c r="F707" s="20" t="n"/>
      <c r="G707" s="21" t="n"/>
      <c r="H707" s="12">
        <f>IF(AND(B707="",D707="",F707=""),"",IF(NOT(ISNUMBER(B707)),"Needs a date",IF(D707="","Needs a client",IF(COUNTIF(Clients!$B$6:$B$105,D707)=0,"Not on Clients",IF(AND(F707="",INT(B707)&lt;TODAY()),"Needs a status","")))))</f>
        <v/>
      </c>
      <c r="I707" s="1">
        <f>IF(ISNUMBER(B707),INT(B707),0)</f>
        <v/>
      </c>
      <c r="J707">
        <f>IF(ISNUMBER(B707),YEAR(B707)*100+MONTH(B707),"")</f>
        <v/>
      </c>
      <c r="K707">
        <f>IF(AND(H707="",OR(F707="Attended",F707="No-show",AND(F707="Late cancel",Settings!$C$9="Yes"))),1,0)</f>
        <v/>
      </c>
      <c r="L707">
        <f>IF(AND(H707="",F707="Attended"),1,0)</f>
        <v/>
      </c>
      <c r="M707">
        <f>IF(AND(H707="",OR(F707="No-show",F707="Late cancel")),1,0)</f>
        <v/>
      </c>
      <c r="N707">
        <f>IF(AND(H707="",F707="",D707&lt;&gt;"",I707&gt;=TODAY()),ROUND((I707+IF(ISNUMBER(C707),MOD(C707,1),0))*1440,0)*10000+ROW(),"")</f>
        <v/>
      </c>
    </row>
    <row r="708">
      <c r="A708" s="1" t="n"/>
      <c r="B708" s="17" t="n"/>
      <c r="C708" s="18" t="n"/>
      <c r="D708" s="19" t="n"/>
      <c r="E708" s="20" t="n"/>
      <c r="F708" s="20" t="n"/>
      <c r="G708" s="21" t="n"/>
      <c r="H708" s="12">
        <f>IF(AND(B708="",D708="",F708=""),"",IF(NOT(ISNUMBER(B708)),"Needs a date",IF(D708="","Needs a client",IF(COUNTIF(Clients!$B$6:$B$105,D708)=0,"Not on Clients",IF(AND(F708="",INT(B708)&lt;TODAY()),"Needs a status","")))))</f>
        <v/>
      </c>
      <c r="I708" s="1">
        <f>IF(ISNUMBER(B708),INT(B708),0)</f>
        <v/>
      </c>
      <c r="J708">
        <f>IF(ISNUMBER(B708),YEAR(B708)*100+MONTH(B708),"")</f>
        <v/>
      </c>
      <c r="K708">
        <f>IF(AND(H708="",OR(F708="Attended",F708="No-show",AND(F708="Late cancel",Settings!$C$9="Yes"))),1,0)</f>
        <v/>
      </c>
      <c r="L708">
        <f>IF(AND(H708="",F708="Attended"),1,0)</f>
        <v/>
      </c>
      <c r="M708">
        <f>IF(AND(H708="",OR(F708="No-show",F708="Late cancel")),1,0)</f>
        <v/>
      </c>
      <c r="N708">
        <f>IF(AND(H708="",F708="",D708&lt;&gt;"",I708&gt;=TODAY()),ROUND((I708+IF(ISNUMBER(C708),MOD(C708,1),0))*1440,0)*10000+ROW(),"")</f>
        <v/>
      </c>
    </row>
    <row r="709">
      <c r="A709" s="1" t="n"/>
      <c r="B709" s="17" t="n"/>
      <c r="C709" s="18" t="n"/>
      <c r="D709" s="19" t="n"/>
      <c r="E709" s="20" t="n"/>
      <c r="F709" s="20" t="n"/>
      <c r="G709" s="21" t="n"/>
      <c r="H709" s="12">
        <f>IF(AND(B709="",D709="",F709=""),"",IF(NOT(ISNUMBER(B709)),"Needs a date",IF(D709="","Needs a client",IF(COUNTIF(Clients!$B$6:$B$105,D709)=0,"Not on Clients",IF(AND(F709="",INT(B709)&lt;TODAY()),"Needs a status","")))))</f>
        <v/>
      </c>
      <c r="I709" s="1">
        <f>IF(ISNUMBER(B709),INT(B709),0)</f>
        <v/>
      </c>
      <c r="J709">
        <f>IF(ISNUMBER(B709),YEAR(B709)*100+MONTH(B709),"")</f>
        <v/>
      </c>
      <c r="K709">
        <f>IF(AND(H709="",OR(F709="Attended",F709="No-show",AND(F709="Late cancel",Settings!$C$9="Yes"))),1,0)</f>
        <v/>
      </c>
      <c r="L709">
        <f>IF(AND(H709="",F709="Attended"),1,0)</f>
        <v/>
      </c>
      <c r="M709">
        <f>IF(AND(H709="",OR(F709="No-show",F709="Late cancel")),1,0)</f>
        <v/>
      </c>
      <c r="N709">
        <f>IF(AND(H709="",F709="",D709&lt;&gt;"",I709&gt;=TODAY()),ROUND((I709+IF(ISNUMBER(C709),MOD(C709,1),0))*1440,0)*10000+ROW(),"")</f>
        <v/>
      </c>
    </row>
    <row r="710">
      <c r="A710" s="1" t="n"/>
      <c r="B710" s="17" t="n"/>
      <c r="C710" s="18" t="n"/>
      <c r="D710" s="19" t="n"/>
      <c r="E710" s="20" t="n"/>
      <c r="F710" s="20" t="n"/>
      <c r="G710" s="21" t="n"/>
      <c r="H710" s="12">
        <f>IF(AND(B710="",D710="",F710=""),"",IF(NOT(ISNUMBER(B710)),"Needs a date",IF(D710="","Needs a client",IF(COUNTIF(Clients!$B$6:$B$105,D710)=0,"Not on Clients",IF(AND(F710="",INT(B710)&lt;TODAY()),"Needs a status","")))))</f>
        <v/>
      </c>
      <c r="I710" s="1">
        <f>IF(ISNUMBER(B710),INT(B710),0)</f>
        <v/>
      </c>
      <c r="J710">
        <f>IF(ISNUMBER(B710),YEAR(B710)*100+MONTH(B710),"")</f>
        <v/>
      </c>
      <c r="K710">
        <f>IF(AND(H710="",OR(F710="Attended",F710="No-show",AND(F710="Late cancel",Settings!$C$9="Yes"))),1,0)</f>
        <v/>
      </c>
      <c r="L710">
        <f>IF(AND(H710="",F710="Attended"),1,0)</f>
        <v/>
      </c>
      <c r="M710">
        <f>IF(AND(H710="",OR(F710="No-show",F710="Late cancel")),1,0)</f>
        <v/>
      </c>
      <c r="N710">
        <f>IF(AND(H710="",F710="",D710&lt;&gt;"",I710&gt;=TODAY()),ROUND((I710+IF(ISNUMBER(C710),MOD(C710,1),0))*1440,0)*10000+ROW(),"")</f>
        <v/>
      </c>
    </row>
    <row r="711">
      <c r="A711" s="1" t="n"/>
      <c r="B711" s="17" t="n"/>
      <c r="C711" s="18" t="n"/>
      <c r="D711" s="19" t="n"/>
      <c r="E711" s="20" t="n"/>
      <c r="F711" s="20" t="n"/>
      <c r="G711" s="21" t="n"/>
      <c r="H711" s="12">
        <f>IF(AND(B711="",D711="",F711=""),"",IF(NOT(ISNUMBER(B711)),"Needs a date",IF(D711="","Needs a client",IF(COUNTIF(Clients!$B$6:$B$105,D711)=0,"Not on Clients",IF(AND(F711="",INT(B711)&lt;TODAY()),"Needs a status","")))))</f>
        <v/>
      </c>
      <c r="I711" s="1">
        <f>IF(ISNUMBER(B711),INT(B711),0)</f>
        <v/>
      </c>
      <c r="J711">
        <f>IF(ISNUMBER(B711),YEAR(B711)*100+MONTH(B711),"")</f>
        <v/>
      </c>
      <c r="K711">
        <f>IF(AND(H711="",OR(F711="Attended",F711="No-show",AND(F711="Late cancel",Settings!$C$9="Yes"))),1,0)</f>
        <v/>
      </c>
      <c r="L711">
        <f>IF(AND(H711="",F711="Attended"),1,0)</f>
        <v/>
      </c>
      <c r="M711">
        <f>IF(AND(H711="",OR(F711="No-show",F711="Late cancel")),1,0)</f>
        <v/>
      </c>
      <c r="N711">
        <f>IF(AND(H711="",F711="",D711&lt;&gt;"",I711&gt;=TODAY()),ROUND((I711+IF(ISNUMBER(C711),MOD(C711,1),0))*1440,0)*10000+ROW(),"")</f>
        <v/>
      </c>
    </row>
    <row r="712">
      <c r="A712" s="1" t="n"/>
      <c r="B712" s="17" t="n"/>
      <c r="C712" s="18" t="n"/>
      <c r="D712" s="19" t="n"/>
      <c r="E712" s="20" t="n"/>
      <c r="F712" s="20" t="n"/>
      <c r="G712" s="21" t="n"/>
      <c r="H712" s="12">
        <f>IF(AND(B712="",D712="",F712=""),"",IF(NOT(ISNUMBER(B712)),"Needs a date",IF(D712="","Needs a client",IF(COUNTIF(Clients!$B$6:$B$105,D712)=0,"Not on Clients",IF(AND(F712="",INT(B712)&lt;TODAY()),"Needs a status","")))))</f>
        <v/>
      </c>
      <c r="I712" s="1">
        <f>IF(ISNUMBER(B712),INT(B712),0)</f>
        <v/>
      </c>
      <c r="J712">
        <f>IF(ISNUMBER(B712),YEAR(B712)*100+MONTH(B712),"")</f>
        <v/>
      </c>
      <c r="K712">
        <f>IF(AND(H712="",OR(F712="Attended",F712="No-show",AND(F712="Late cancel",Settings!$C$9="Yes"))),1,0)</f>
        <v/>
      </c>
      <c r="L712">
        <f>IF(AND(H712="",F712="Attended"),1,0)</f>
        <v/>
      </c>
      <c r="M712">
        <f>IF(AND(H712="",OR(F712="No-show",F712="Late cancel")),1,0)</f>
        <v/>
      </c>
      <c r="N712">
        <f>IF(AND(H712="",F712="",D712&lt;&gt;"",I712&gt;=TODAY()),ROUND((I712+IF(ISNUMBER(C712),MOD(C712,1),0))*1440,0)*10000+ROW(),"")</f>
        <v/>
      </c>
    </row>
    <row r="713">
      <c r="A713" s="1" t="n"/>
      <c r="B713" s="17" t="n"/>
      <c r="C713" s="18" t="n"/>
      <c r="D713" s="19" t="n"/>
      <c r="E713" s="20" t="n"/>
      <c r="F713" s="20" t="n"/>
      <c r="G713" s="21" t="n"/>
      <c r="H713" s="12">
        <f>IF(AND(B713="",D713="",F713=""),"",IF(NOT(ISNUMBER(B713)),"Needs a date",IF(D713="","Needs a client",IF(COUNTIF(Clients!$B$6:$B$105,D713)=0,"Not on Clients",IF(AND(F713="",INT(B713)&lt;TODAY()),"Needs a status","")))))</f>
        <v/>
      </c>
      <c r="I713" s="1">
        <f>IF(ISNUMBER(B713),INT(B713),0)</f>
        <v/>
      </c>
      <c r="J713">
        <f>IF(ISNUMBER(B713),YEAR(B713)*100+MONTH(B713),"")</f>
        <v/>
      </c>
      <c r="K713">
        <f>IF(AND(H713="",OR(F713="Attended",F713="No-show",AND(F713="Late cancel",Settings!$C$9="Yes"))),1,0)</f>
        <v/>
      </c>
      <c r="L713">
        <f>IF(AND(H713="",F713="Attended"),1,0)</f>
        <v/>
      </c>
      <c r="M713">
        <f>IF(AND(H713="",OR(F713="No-show",F713="Late cancel")),1,0)</f>
        <v/>
      </c>
      <c r="N713">
        <f>IF(AND(H713="",F713="",D713&lt;&gt;"",I713&gt;=TODAY()),ROUND((I713+IF(ISNUMBER(C713),MOD(C713,1),0))*1440,0)*10000+ROW(),"")</f>
        <v/>
      </c>
    </row>
    <row r="714">
      <c r="A714" s="1" t="n"/>
      <c r="B714" s="17" t="n"/>
      <c r="C714" s="18" t="n"/>
      <c r="D714" s="19" t="n"/>
      <c r="E714" s="20" t="n"/>
      <c r="F714" s="20" t="n"/>
      <c r="G714" s="21" t="n"/>
      <c r="H714" s="12">
        <f>IF(AND(B714="",D714="",F714=""),"",IF(NOT(ISNUMBER(B714)),"Needs a date",IF(D714="","Needs a client",IF(COUNTIF(Clients!$B$6:$B$105,D714)=0,"Not on Clients",IF(AND(F714="",INT(B714)&lt;TODAY()),"Needs a status","")))))</f>
        <v/>
      </c>
      <c r="I714" s="1">
        <f>IF(ISNUMBER(B714),INT(B714),0)</f>
        <v/>
      </c>
      <c r="J714">
        <f>IF(ISNUMBER(B714),YEAR(B714)*100+MONTH(B714),"")</f>
        <v/>
      </c>
      <c r="K714">
        <f>IF(AND(H714="",OR(F714="Attended",F714="No-show",AND(F714="Late cancel",Settings!$C$9="Yes"))),1,0)</f>
        <v/>
      </c>
      <c r="L714">
        <f>IF(AND(H714="",F714="Attended"),1,0)</f>
        <v/>
      </c>
      <c r="M714">
        <f>IF(AND(H714="",OR(F714="No-show",F714="Late cancel")),1,0)</f>
        <v/>
      </c>
      <c r="N714">
        <f>IF(AND(H714="",F714="",D714&lt;&gt;"",I714&gt;=TODAY()),ROUND((I714+IF(ISNUMBER(C714),MOD(C714,1),0))*1440,0)*10000+ROW(),"")</f>
        <v/>
      </c>
    </row>
    <row r="715">
      <c r="A715" s="1" t="n"/>
      <c r="B715" s="17" t="n"/>
      <c r="C715" s="18" t="n"/>
      <c r="D715" s="19" t="n"/>
      <c r="E715" s="20" t="n"/>
      <c r="F715" s="20" t="n"/>
      <c r="G715" s="21" t="n"/>
      <c r="H715" s="12">
        <f>IF(AND(B715="",D715="",F715=""),"",IF(NOT(ISNUMBER(B715)),"Needs a date",IF(D715="","Needs a client",IF(COUNTIF(Clients!$B$6:$B$105,D715)=0,"Not on Clients",IF(AND(F715="",INT(B715)&lt;TODAY()),"Needs a status","")))))</f>
        <v/>
      </c>
      <c r="I715" s="1">
        <f>IF(ISNUMBER(B715),INT(B715),0)</f>
        <v/>
      </c>
      <c r="J715">
        <f>IF(ISNUMBER(B715),YEAR(B715)*100+MONTH(B715),"")</f>
        <v/>
      </c>
      <c r="K715">
        <f>IF(AND(H715="",OR(F715="Attended",F715="No-show",AND(F715="Late cancel",Settings!$C$9="Yes"))),1,0)</f>
        <v/>
      </c>
      <c r="L715">
        <f>IF(AND(H715="",F715="Attended"),1,0)</f>
        <v/>
      </c>
      <c r="M715">
        <f>IF(AND(H715="",OR(F715="No-show",F715="Late cancel")),1,0)</f>
        <v/>
      </c>
      <c r="N715">
        <f>IF(AND(H715="",F715="",D715&lt;&gt;"",I715&gt;=TODAY()),ROUND((I715+IF(ISNUMBER(C715),MOD(C715,1),0))*1440,0)*10000+ROW(),"")</f>
        <v/>
      </c>
    </row>
    <row r="716">
      <c r="A716" s="1" t="n"/>
      <c r="B716" s="17" t="n"/>
      <c r="C716" s="18" t="n"/>
      <c r="D716" s="19" t="n"/>
      <c r="E716" s="20" t="n"/>
      <c r="F716" s="20" t="n"/>
      <c r="G716" s="21" t="n"/>
      <c r="H716" s="12">
        <f>IF(AND(B716="",D716="",F716=""),"",IF(NOT(ISNUMBER(B716)),"Needs a date",IF(D716="","Needs a client",IF(COUNTIF(Clients!$B$6:$B$105,D716)=0,"Not on Clients",IF(AND(F716="",INT(B716)&lt;TODAY()),"Needs a status","")))))</f>
        <v/>
      </c>
      <c r="I716" s="1">
        <f>IF(ISNUMBER(B716),INT(B716),0)</f>
        <v/>
      </c>
      <c r="J716">
        <f>IF(ISNUMBER(B716),YEAR(B716)*100+MONTH(B716),"")</f>
        <v/>
      </c>
      <c r="K716">
        <f>IF(AND(H716="",OR(F716="Attended",F716="No-show",AND(F716="Late cancel",Settings!$C$9="Yes"))),1,0)</f>
        <v/>
      </c>
      <c r="L716">
        <f>IF(AND(H716="",F716="Attended"),1,0)</f>
        <v/>
      </c>
      <c r="M716">
        <f>IF(AND(H716="",OR(F716="No-show",F716="Late cancel")),1,0)</f>
        <v/>
      </c>
      <c r="N716">
        <f>IF(AND(H716="",F716="",D716&lt;&gt;"",I716&gt;=TODAY()),ROUND((I716+IF(ISNUMBER(C716),MOD(C716,1),0))*1440,0)*10000+ROW(),"")</f>
        <v/>
      </c>
    </row>
    <row r="717">
      <c r="A717" s="1" t="n"/>
      <c r="B717" s="17" t="n"/>
      <c r="C717" s="18" t="n"/>
      <c r="D717" s="19" t="n"/>
      <c r="E717" s="20" t="n"/>
      <c r="F717" s="20" t="n"/>
      <c r="G717" s="21" t="n"/>
      <c r="H717" s="12">
        <f>IF(AND(B717="",D717="",F717=""),"",IF(NOT(ISNUMBER(B717)),"Needs a date",IF(D717="","Needs a client",IF(COUNTIF(Clients!$B$6:$B$105,D717)=0,"Not on Clients",IF(AND(F717="",INT(B717)&lt;TODAY()),"Needs a status","")))))</f>
        <v/>
      </c>
      <c r="I717" s="1">
        <f>IF(ISNUMBER(B717),INT(B717),0)</f>
        <v/>
      </c>
      <c r="J717">
        <f>IF(ISNUMBER(B717),YEAR(B717)*100+MONTH(B717),"")</f>
        <v/>
      </c>
      <c r="K717">
        <f>IF(AND(H717="",OR(F717="Attended",F717="No-show",AND(F717="Late cancel",Settings!$C$9="Yes"))),1,0)</f>
        <v/>
      </c>
      <c r="L717">
        <f>IF(AND(H717="",F717="Attended"),1,0)</f>
        <v/>
      </c>
      <c r="M717">
        <f>IF(AND(H717="",OR(F717="No-show",F717="Late cancel")),1,0)</f>
        <v/>
      </c>
      <c r="N717">
        <f>IF(AND(H717="",F717="",D717&lt;&gt;"",I717&gt;=TODAY()),ROUND((I717+IF(ISNUMBER(C717),MOD(C717,1),0))*1440,0)*10000+ROW(),"")</f>
        <v/>
      </c>
    </row>
    <row r="718">
      <c r="A718" s="1" t="n"/>
      <c r="B718" s="17" t="n"/>
      <c r="C718" s="18" t="n"/>
      <c r="D718" s="19" t="n"/>
      <c r="E718" s="20" t="n"/>
      <c r="F718" s="20" t="n"/>
      <c r="G718" s="21" t="n"/>
      <c r="H718" s="12">
        <f>IF(AND(B718="",D718="",F718=""),"",IF(NOT(ISNUMBER(B718)),"Needs a date",IF(D718="","Needs a client",IF(COUNTIF(Clients!$B$6:$B$105,D718)=0,"Not on Clients",IF(AND(F718="",INT(B718)&lt;TODAY()),"Needs a status","")))))</f>
        <v/>
      </c>
      <c r="I718" s="1">
        <f>IF(ISNUMBER(B718),INT(B718),0)</f>
        <v/>
      </c>
      <c r="J718">
        <f>IF(ISNUMBER(B718),YEAR(B718)*100+MONTH(B718),"")</f>
        <v/>
      </c>
      <c r="K718">
        <f>IF(AND(H718="",OR(F718="Attended",F718="No-show",AND(F718="Late cancel",Settings!$C$9="Yes"))),1,0)</f>
        <v/>
      </c>
      <c r="L718">
        <f>IF(AND(H718="",F718="Attended"),1,0)</f>
        <v/>
      </c>
      <c r="M718">
        <f>IF(AND(H718="",OR(F718="No-show",F718="Late cancel")),1,0)</f>
        <v/>
      </c>
      <c r="N718">
        <f>IF(AND(H718="",F718="",D718&lt;&gt;"",I718&gt;=TODAY()),ROUND((I718+IF(ISNUMBER(C718),MOD(C718,1),0))*1440,0)*10000+ROW(),"")</f>
        <v/>
      </c>
    </row>
    <row r="719">
      <c r="A719" s="1" t="n"/>
      <c r="B719" s="17" t="n"/>
      <c r="C719" s="18" t="n"/>
      <c r="D719" s="19" t="n"/>
      <c r="E719" s="20" t="n"/>
      <c r="F719" s="20" t="n"/>
      <c r="G719" s="21" t="n"/>
      <c r="H719" s="12">
        <f>IF(AND(B719="",D719="",F719=""),"",IF(NOT(ISNUMBER(B719)),"Needs a date",IF(D719="","Needs a client",IF(COUNTIF(Clients!$B$6:$B$105,D719)=0,"Not on Clients",IF(AND(F719="",INT(B719)&lt;TODAY()),"Needs a status","")))))</f>
        <v/>
      </c>
      <c r="I719" s="1">
        <f>IF(ISNUMBER(B719),INT(B719),0)</f>
        <v/>
      </c>
      <c r="J719">
        <f>IF(ISNUMBER(B719),YEAR(B719)*100+MONTH(B719),"")</f>
        <v/>
      </c>
      <c r="K719">
        <f>IF(AND(H719="",OR(F719="Attended",F719="No-show",AND(F719="Late cancel",Settings!$C$9="Yes"))),1,0)</f>
        <v/>
      </c>
      <c r="L719">
        <f>IF(AND(H719="",F719="Attended"),1,0)</f>
        <v/>
      </c>
      <c r="M719">
        <f>IF(AND(H719="",OR(F719="No-show",F719="Late cancel")),1,0)</f>
        <v/>
      </c>
      <c r="N719">
        <f>IF(AND(H719="",F719="",D719&lt;&gt;"",I719&gt;=TODAY()),ROUND((I719+IF(ISNUMBER(C719),MOD(C719,1),0))*1440,0)*10000+ROW(),"")</f>
        <v/>
      </c>
    </row>
    <row r="720">
      <c r="A720" s="1" t="n"/>
      <c r="B720" s="17" t="n"/>
      <c r="C720" s="18" t="n"/>
      <c r="D720" s="19" t="n"/>
      <c r="E720" s="20" t="n"/>
      <c r="F720" s="20" t="n"/>
      <c r="G720" s="21" t="n"/>
      <c r="H720" s="12">
        <f>IF(AND(B720="",D720="",F720=""),"",IF(NOT(ISNUMBER(B720)),"Needs a date",IF(D720="","Needs a client",IF(COUNTIF(Clients!$B$6:$B$105,D720)=0,"Not on Clients",IF(AND(F720="",INT(B720)&lt;TODAY()),"Needs a status","")))))</f>
        <v/>
      </c>
      <c r="I720" s="1">
        <f>IF(ISNUMBER(B720),INT(B720),0)</f>
        <v/>
      </c>
      <c r="J720">
        <f>IF(ISNUMBER(B720),YEAR(B720)*100+MONTH(B720),"")</f>
        <v/>
      </c>
      <c r="K720">
        <f>IF(AND(H720="",OR(F720="Attended",F720="No-show",AND(F720="Late cancel",Settings!$C$9="Yes"))),1,0)</f>
        <v/>
      </c>
      <c r="L720">
        <f>IF(AND(H720="",F720="Attended"),1,0)</f>
        <v/>
      </c>
      <c r="M720">
        <f>IF(AND(H720="",OR(F720="No-show",F720="Late cancel")),1,0)</f>
        <v/>
      </c>
      <c r="N720">
        <f>IF(AND(H720="",F720="",D720&lt;&gt;"",I720&gt;=TODAY()),ROUND((I720+IF(ISNUMBER(C720),MOD(C720,1),0))*1440,0)*10000+ROW(),"")</f>
        <v/>
      </c>
    </row>
    <row r="721">
      <c r="A721" s="1" t="n"/>
      <c r="B721" s="17" t="n"/>
      <c r="C721" s="18" t="n"/>
      <c r="D721" s="19" t="n"/>
      <c r="E721" s="20" t="n"/>
      <c r="F721" s="20" t="n"/>
      <c r="G721" s="21" t="n"/>
      <c r="H721" s="12">
        <f>IF(AND(B721="",D721="",F721=""),"",IF(NOT(ISNUMBER(B721)),"Needs a date",IF(D721="","Needs a client",IF(COUNTIF(Clients!$B$6:$B$105,D721)=0,"Not on Clients",IF(AND(F721="",INT(B721)&lt;TODAY()),"Needs a status","")))))</f>
        <v/>
      </c>
      <c r="I721" s="1">
        <f>IF(ISNUMBER(B721),INT(B721),0)</f>
        <v/>
      </c>
      <c r="J721">
        <f>IF(ISNUMBER(B721),YEAR(B721)*100+MONTH(B721),"")</f>
        <v/>
      </c>
      <c r="K721">
        <f>IF(AND(H721="",OR(F721="Attended",F721="No-show",AND(F721="Late cancel",Settings!$C$9="Yes"))),1,0)</f>
        <v/>
      </c>
      <c r="L721">
        <f>IF(AND(H721="",F721="Attended"),1,0)</f>
        <v/>
      </c>
      <c r="M721">
        <f>IF(AND(H721="",OR(F721="No-show",F721="Late cancel")),1,0)</f>
        <v/>
      </c>
      <c r="N721">
        <f>IF(AND(H721="",F721="",D721&lt;&gt;"",I721&gt;=TODAY()),ROUND((I721+IF(ISNUMBER(C721),MOD(C721,1),0))*1440,0)*10000+ROW(),"")</f>
        <v/>
      </c>
    </row>
    <row r="722">
      <c r="A722" s="1" t="n"/>
      <c r="B722" s="17" t="n"/>
      <c r="C722" s="18" t="n"/>
      <c r="D722" s="19" t="n"/>
      <c r="E722" s="20" t="n"/>
      <c r="F722" s="20" t="n"/>
      <c r="G722" s="21" t="n"/>
      <c r="H722" s="12">
        <f>IF(AND(B722="",D722="",F722=""),"",IF(NOT(ISNUMBER(B722)),"Needs a date",IF(D722="","Needs a client",IF(COUNTIF(Clients!$B$6:$B$105,D722)=0,"Not on Clients",IF(AND(F722="",INT(B722)&lt;TODAY()),"Needs a status","")))))</f>
        <v/>
      </c>
      <c r="I722" s="1">
        <f>IF(ISNUMBER(B722),INT(B722),0)</f>
        <v/>
      </c>
      <c r="J722">
        <f>IF(ISNUMBER(B722),YEAR(B722)*100+MONTH(B722),"")</f>
        <v/>
      </c>
      <c r="K722">
        <f>IF(AND(H722="",OR(F722="Attended",F722="No-show",AND(F722="Late cancel",Settings!$C$9="Yes"))),1,0)</f>
        <v/>
      </c>
      <c r="L722">
        <f>IF(AND(H722="",F722="Attended"),1,0)</f>
        <v/>
      </c>
      <c r="M722">
        <f>IF(AND(H722="",OR(F722="No-show",F722="Late cancel")),1,0)</f>
        <v/>
      </c>
      <c r="N722">
        <f>IF(AND(H722="",F722="",D722&lt;&gt;"",I722&gt;=TODAY()),ROUND((I722+IF(ISNUMBER(C722),MOD(C722,1),0))*1440,0)*10000+ROW(),"")</f>
        <v/>
      </c>
    </row>
    <row r="723">
      <c r="A723" s="1" t="n"/>
      <c r="B723" s="17" t="n"/>
      <c r="C723" s="18" t="n"/>
      <c r="D723" s="19" t="n"/>
      <c r="E723" s="20" t="n"/>
      <c r="F723" s="20" t="n"/>
      <c r="G723" s="21" t="n"/>
      <c r="H723" s="12">
        <f>IF(AND(B723="",D723="",F723=""),"",IF(NOT(ISNUMBER(B723)),"Needs a date",IF(D723="","Needs a client",IF(COUNTIF(Clients!$B$6:$B$105,D723)=0,"Not on Clients",IF(AND(F723="",INT(B723)&lt;TODAY()),"Needs a status","")))))</f>
        <v/>
      </c>
      <c r="I723" s="1">
        <f>IF(ISNUMBER(B723),INT(B723),0)</f>
        <v/>
      </c>
      <c r="J723">
        <f>IF(ISNUMBER(B723),YEAR(B723)*100+MONTH(B723),"")</f>
        <v/>
      </c>
      <c r="K723">
        <f>IF(AND(H723="",OR(F723="Attended",F723="No-show",AND(F723="Late cancel",Settings!$C$9="Yes"))),1,0)</f>
        <v/>
      </c>
      <c r="L723">
        <f>IF(AND(H723="",F723="Attended"),1,0)</f>
        <v/>
      </c>
      <c r="M723">
        <f>IF(AND(H723="",OR(F723="No-show",F723="Late cancel")),1,0)</f>
        <v/>
      </c>
      <c r="N723">
        <f>IF(AND(H723="",F723="",D723&lt;&gt;"",I723&gt;=TODAY()),ROUND((I723+IF(ISNUMBER(C723),MOD(C723,1),0))*1440,0)*10000+ROW(),"")</f>
        <v/>
      </c>
    </row>
    <row r="724">
      <c r="A724" s="1" t="n"/>
      <c r="B724" s="17" t="n"/>
      <c r="C724" s="18" t="n"/>
      <c r="D724" s="19" t="n"/>
      <c r="E724" s="20" t="n"/>
      <c r="F724" s="20" t="n"/>
      <c r="G724" s="21" t="n"/>
      <c r="H724" s="12">
        <f>IF(AND(B724="",D724="",F724=""),"",IF(NOT(ISNUMBER(B724)),"Needs a date",IF(D724="","Needs a client",IF(COUNTIF(Clients!$B$6:$B$105,D724)=0,"Not on Clients",IF(AND(F724="",INT(B724)&lt;TODAY()),"Needs a status","")))))</f>
        <v/>
      </c>
      <c r="I724" s="1">
        <f>IF(ISNUMBER(B724),INT(B724),0)</f>
        <v/>
      </c>
      <c r="J724">
        <f>IF(ISNUMBER(B724),YEAR(B724)*100+MONTH(B724),"")</f>
        <v/>
      </c>
      <c r="K724">
        <f>IF(AND(H724="",OR(F724="Attended",F724="No-show",AND(F724="Late cancel",Settings!$C$9="Yes"))),1,0)</f>
        <v/>
      </c>
      <c r="L724">
        <f>IF(AND(H724="",F724="Attended"),1,0)</f>
        <v/>
      </c>
      <c r="M724">
        <f>IF(AND(H724="",OR(F724="No-show",F724="Late cancel")),1,0)</f>
        <v/>
      </c>
      <c r="N724">
        <f>IF(AND(H724="",F724="",D724&lt;&gt;"",I724&gt;=TODAY()),ROUND((I724+IF(ISNUMBER(C724),MOD(C724,1),0))*1440,0)*10000+ROW(),"")</f>
        <v/>
      </c>
    </row>
    <row r="725">
      <c r="A725" s="1" t="n"/>
      <c r="B725" s="17" t="n"/>
      <c r="C725" s="18" t="n"/>
      <c r="D725" s="19" t="n"/>
      <c r="E725" s="20" t="n"/>
      <c r="F725" s="20" t="n"/>
      <c r="G725" s="21" t="n"/>
      <c r="H725" s="12">
        <f>IF(AND(B725="",D725="",F725=""),"",IF(NOT(ISNUMBER(B725)),"Needs a date",IF(D725="","Needs a client",IF(COUNTIF(Clients!$B$6:$B$105,D725)=0,"Not on Clients",IF(AND(F725="",INT(B725)&lt;TODAY()),"Needs a status","")))))</f>
        <v/>
      </c>
      <c r="I725" s="1">
        <f>IF(ISNUMBER(B725),INT(B725),0)</f>
        <v/>
      </c>
      <c r="J725">
        <f>IF(ISNUMBER(B725),YEAR(B725)*100+MONTH(B725),"")</f>
        <v/>
      </c>
      <c r="K725">
        <f>IF(AND(H725="",OR(F725="Attended",F725="No-show",AND(F725="Late cancel",Settings!$C$9="Yes"))),1,0)</f>
        <v/>
      </c>
      <c r="L725">
        <f>IF(AND(H725="",F725="Attended"),1,0)</f>
        <v/>
      </c>
      <c r="M725">
        <f>IF(AND(H725="",OR(F725="No-show",F725="Late cancel")),1,0)</f>
        <v/>
      </c>
      <c r="N725">
        <f>IF(AND(H725="",F725="",D725&lt;&gt;"",I725&gt;=TODAY()),ROUND((I725+IF(ISNUMBER(C725),MOD(C725,1),0))*1440,0)*10000+ROW(),"")</f>
        <v/>
      </c>
    </row>
    <row r="726">
      <c r="A726" s="1" t="n"/>
      <c r="B726" s="17" t="n"/>
      <c r="C726" s="18" t="n"/>
      <c r="D726" s="19" t="n"/>
      <c r="E726" s="20" t="n"/>
      <c r="F726" s="20" t="n"/>
      <c r="G726" s="21" t="n"/>
      <c r="H726" s="12">
        <f>IF(AND(B726="",D726="",F726=""),"",IF(NOT(ISNUMBER(B726)),"Needs a date",IF(D726="","Needs a client",IF(COUNTIF(Clients!$B$6:$B$105,D726)=0,"Not on Clients",IF(AND(F726="",INT(B726)&lt;TODAY()),"Needs a status","")))))</f>
        <v/>
      </c>
      <c r="I726" s="1">
        <f>IF(ISNUMBER(B726),INT(B726),0)</f>
        <v/>
      </c>
      <c r="J726">
        <f>IF(ISNUMBER(B726),YEAR(B726)*100+MONTH(B726),"")</f>
        <v/>
      </c>
      <c r="K726">
        <f>IF(AND(H726="",OR(F726="Attended",F726="No-show",AND(F726="Late cancel",Settings!$C$9="Yes"))),1,0)</f>
        <v/>
      </c>
      <c r="L726">
        <f>IF(AND(H726="",F726="Attended"),1,0)</f>
        <v/>
      </c>
      <c r="M726">
        <f>IF(AND(H726="",OR(F726="No-show",F726="Late cancel")),1,0)</f>
        <v/>
      </c>
      <c r="N726">
        <f>IF(AND(H726="",F726="",D726&lt;&gt;"",I726&gt;=TODAY()),ROUND((I726+IF(ISNUMBER(C726),MOD(C726,1),0))*1440,0)*10000+ROW(),"")</f>
        <v/>
      </c>
    </row>
    <row r="727">
      <c r="A727" s="1" t="n"/>
      <c r="B727" s="17" t="n"/>
      <c r="C727" s="18" t="n"/>
      <c r="D727" s="19" t="n"/>
      <c r="E727" s="20" t="n"/>
      <c r="F727" s="20" t="n"/>
      <c r="G727" s="21" t="n"/>
      <c r="H727" s="12">
        <f>IF(AND(B727="",D727="",F727=""),"",IF(NOT(ISNUMBER(B727)),"Needs a date",IF(D727="","Needs a client",IF(COUNTIF(Clients!$B$6:$B$105,D727)=0,"Not on Clients",IF(AND(F727="",INT(B727)&lt;TODAY()),"Needs a status","")))))</f>
        <v/>
      </c>
      <c r="I727" s="1">
        <f>IF(ISNUMBER(B727),INT(B727),0)</f>
        <v/>
      </c>
      <c r="J727">
        <f>IF(ISNUMBER(B727),YEAR(B727)*100+MONTH(B727),"")</f>
        <v/>
      </c>
      <c r="K727">
        <f>IF(AND(H727="",OR(F727="Attended",F727="No-show",AND(F727="Late cancel",Settings!$C$9="Yes"))),1,0)</f>
        <v/>
      </c>
      <c r="L727">
        <f>IF(AND(H727="",F727="Attended"),1,0)</f>
        <v/>
      </c>
      <c r="M727">
        <f>IF(AND(H727="",OR(F727="No-show",F727="Late cancel")),1,0)</f>
        <v/>
      </c>
      <c r="N727">
        <f>IF(AND(H727="",F727="",D727&lt;&gt;"",I727&gt;=TODAY()),ROUND((I727+IF(ISNUMBER(C727),MOD(C727,1),0))*1440,0)*10000+ROW(),"")</f>
        <v/>
      </c>
    </row>
    <row r="728">
      <c r="A728" s="1" t="n"/>
      <c r="B728" s="17" t="n"/>
      <c r="C728" s="18" t="n"/>
      <c r="D728" s="19" t="n"/>
      <c r="E728" s="20" t="n"/>
      <c r="F728" s="20" t="n"/>
      <c r="G728" s="21" t="n"/>
      <c r="H728" s="12">
        <f>IF(AND(B728="",D728="",F728=""),"",IF(NOT(ISNUMBER(B728)),"Needs a date",IF(D728="","Needs a client",IF(COUNTIF(Clients!$B$6:$B$105,D728)=0,"Not on Clients",IF(AND(F728="",INT(B728)&lt;TODAY()),"Needs a status","")))))</f>
        <v/>
      </c>
      <c r="I728" s="1">
        <f>IF(ISNUMBER(B728),INT(B728),0)</f>
        <v/>
      </c>
      <c r="J728">
        <f>IF(ISNUMBER(B728),YEAR(B728)*100+MONTH(B728),"")</f>
        <v/>
      </c>
      <c r="K728">
        <f>IF(AND(H728="",OR(F728="Attended",F728="No-show",AND(F728="Late cancel",Settings!$C$9="Yes"))),1,0)</f>
        <v/>
      </c>
      <c r="L728">
        <f>IF(AND(H728="",F728="Attended"),1,0)</f>
        <v/>
      </c>
      <c r="M728">
        <f>IF(AND(H728="",OR(F728="No-show",F728="Late cancel")),1,0)</f>
        <v/>
      </c>
      <c r="N728">
        <f>IF(AND(H728="",F728="",D728&lt;&gt;"",I728&gt;=TODAY()),ROUND((I728+IF(ISNUMBER(C728),MOD(C728,1),0))*1440,0)*10000+ROW(),"")</f>
        <v/>
      </c>
    </row>
    <row r="729">
      <c r="A729" s="1" t="n"/>
      <c r="B729" s="17" t="n"/>
      <c r="C729" s="18" t="n"/>
      <c r="D729" s="19" t="n"/>
      <c r="E729" s="20" t="n"/>
      <c r="F729" s="20" t="n"/>
      <c r="G729" s="21" t="n"/>
      <c r="H729" s="12">
        <f>IF(AND(B729="",D729="",F729=""),"",IF(NOT(ISNUMBER(B729)),"Needs a date",IF(D729="","Needs a client",IF(COUNTIF(Clients!$B$6:$B$105,D729)=0,"Not on Clients",IF(AND(F729="",INT(B729)&lt;TODAY()),"Needs a status","")))))</f>
        <v/>
      </c>
      <c r="I729" s="1">
        <f>IF(ISNUMBER(B729),INT(B729),0)</f>
        <v/>
      </c>
      <c r="J729">
        <f>IF(ISNUMBER(B729),YEAR(B729)*100+MONTH(B729),"")</f>
        <v/>
      </c>
      <c r="K729">
        <f>IF(AND(H729="",OR(F729="Attended",F729="No-show",AND(F729="Late cancel",Settings!$C$9="Yes"))),1,0)</f>
        <v/>
      </c>
      <c r="L729">
        <f>IF(AND(H729="",F729="Attended"),1,0)</f>
        <v/>
      </c>
      <c r="M729">
        <f>IF(AND(H729="",OR(F729="No-show",F729="Late cancel")),1,0)</f>
        <v/>
      </c>
      <c r="N729">
        <f>IF(AND(H729="",F729="",D729&lt;&gt;"",I729&gt;=TODAY()),ROUND((I729+IF(ISNUMBER(C729),MOD(C729,1),0))*1440,0)*10000+ROW(),"")</f>
        <v/>
      </c>
    </row>
    <row r="730">
      <c r="A730" s="1" t="n"/>
      <c r="B730" s="17" t="n"/>
      <c r="C730" s="18" t="n"/>
      <c r="D730" s="19" t="n"/>
      <c r="E730" s="20" t="n"/>
      <c r="F730" s="20" t="n"/>
      <c r="G730" s="21" t="n"/>
      <c r="H730" s="12">
        <f>IF(AND(B730="",D730="",F730=""),"",IF(NOT(ISNUMBER(B730)),"Needs a date",IF(D730="","Needs a client",IF(COUNTIF(Clients!$B$6:$B$105,D730)=0,"Not on Clients",IF(AND(F730="",INT(B730)&lt;TODAY()),"Needs a status","")))))</f>
        <v/>
      </c>
      <c r="I730" s="1">
        <f>IF(ISNUMBER(B730),INT(B730),0)</f>
        <v/>
      </c>
      <c r="J730">
        <f>IF(ISNUMBER(B730),YEAR(B730)*100+MONTH(B730),"")</f>
        <v/>
      </c>
      <c r="K730">
        <f>IF(AND(H730="",OR(F730="Attended",F730="No-show",AND(F730="Late cancel",Settings!$C$9="Yes"))),1,0)</f>
        <v/>
      </c>
      <c r="L730">
        <f>IF(AND(H730="",F730="Attended"),1,0)</f>
        <v/>
      </c>
      <c r="M730">
        <f>IF(AND(H730="",OR(F730="No-show",F730="Late cancel")),1,0)</f>
        <v/>
      </c>
      <c r="N730">
        <f>IF(AND(H730="",F730="",D730&lt;&gt;"",I730&gt;=TODAY()),ROUND((I730+IF(ISNUMBER(C730),MOD(C730,1),0))*1440,0)*10000+ROW(),"")</f>
        <v/>
      </c>
    </row>
    <row r="731">
      <c r="A731" s="1" t="n"/>
      <c r="B731" s="17" t="n"/>
      <c r="C731" s="18" t="n"/>
      <c r="D731" s="19" t="n"/>
      <c r="E731" s="20" t="n"/>
      <c r="F731" s="20" t="n"/>
      <c r="G731" s="21" t="n"/>
      <c r="H731" s="12">
        <f>IF(AND(B731="",D731="",F731=""),"",IF(NOT(ISNUMBER(B731)),"Needs a date",IF(D731="","Needs a client",IF(COUNTIF(Clients!$B$6:$B$105,D731)=0,"Not on Clients",IF(AND(F731="",INT(B731)&lt;TODAY()),"Needs a status","")))))</f>
        <v/>
      </c>
      <c r="I731" s="1">
        <f>IF(ISNUMBER(B731),INT(B731),0)</f>
        <v/>
      </c>
      <c r="J731">
        <f>IF(ISNUMBER(B731),YEAR(B731)*100+MONTH(B731),"")</f>
        <v/>
      </c>
      <c r="K731">
        <f>IF(AND(H731="",OR(F731="Attended",F731="No-show",AND(F731="Late cancel",Settings!$C$9="Yes"))),1,0)</f>
        <v/>
      </c>
      <c r="L731">
        <f>IF(AND(H731="",F731="Attended"),1,0)</f>
        <v/>
      </c>
      <c r="M731">
        <f>IF(AND(H731="",OR(F731="No-show",F731="Late cancel")),1,0)</f>
        <v/>
      </c>
      <c r="N731">
        <f>IF(AND(H731="",F731="",D731&lt;&gt;"",I731&gt;=TODAY()),ROUND((I731+IF(ISNUMBER(C731),MOD(C731,1),0))*1440,0)*10000+ROW(),"")</f>
        <v/>
      </c>
    </row>
    <row r="732">
      <c r="A732" s="1" t="n"/>
      <c r="B732" s="17" t="n"/>
      <c r="C732" s="18" t="n"/>
      <c r="D732" s="19" t="n"/>
      <c r="E732" s="20" t="n"/>
      <c r="F732" s="20" t="n"/>
      <c r="G732" s="21" t="n"/>
      <c r="H732" s="12">
        <f>IF(AND(B732="",D732="",F732=""),"",IF(NOT(ISNUMBER(B732)),"Needs a date",IF(D732="","Needs a client",IF(COUNTIF(Clients!$B$6:$B$105,D732)=0,"Not on Clients",IF(AND(F732="",INT(B732)&lt;TODAY()),"Needs a status","")))))</f>
        <v/>
      </c>
      <c r="I732" s="1">
        <f>IF(ISNUMBER(B732),INT(B732),0)</f>
        <v/>
      </c>
      <c r="J732">
        <f>IF(ISNUMBER(B732),YEAR(B732)*100+MONTH(B732),"")</f>
        <v/>
      </c>
      <c r="K732">
        <f>IF(AND(H732="",OR(F732="Attended",F732="No-show",AND(F732="Late cancel",Settings!$C$9="Yes"))),1,0)</f>
        <v/>
      </c>
      <c r="L732">
        <f>IF(AND(H732="",F732="Attended"),1,0)</f>
        <v/>
      </c>
      <c r="M732">
        <f>IF(AND(H732="",OR(F732="No-show",F732="Late cancel")),1,0)</f>
        <v/>
      </c>
      <c r="N732">
        <f>IF(AND(H732="",F732="",D732&lt;&gt;"",I732&gt;=TODAY()),ROUND((I732+IF(ISNUMBER(C732),MOD(C732,1),0))*1440,0)*10000+ROW(),"")</f>
        <v/>
      </c>
    </row>
    <row r="733">
      <c r="A733" s="1" t="n"/>
      <c r="B733" s="17" t="n"/>
      <c r="C733" s="18" t="n"/>
      <c r="D733" s="19" t="n"/>
      <c r="E733" s="20" t="n"/>
      <c r="F733" s="20" t="n"/>
      <c r="G733" s="21" t="n"/>
      <c r="H733" s="12">
        <f>IF(AND(B733="",D733="",F733=""),"",IF(NOT(ISNUMBER(B733)),"Needs a date",IF(D733="","Needs a client",IF(COUNTIF(Clients!$B$6:$B$105,D733)=0,"Not on Clients",IF(AND(F733="",INT(B733)&lt;TODAY()),"Needs a status","")))))</f>
        <v/>
      </c>
      <c r="I733" s="1">
        <f>IF(ISNUMBER(B733),INT(B733),0)</f>
        <v/>
      </c>
      <c r="J733">
        <f>IF(ISNUMBER(B733),YEAR(B733)*100+MONTH(B733),"")</f>
        <v/>
      </c>
      <c r="K733">
        <f>IF(AND(H733="",OR(F733="Attended",F733="No-show",AND(F733="Late cancel",Settings!$C$9="Yes"))),1,0)</f>
        <v/>
      </c>
      <c r="L733">
        <f>IF(AND(H733="",F733="Attended"),1,0)</f>
        <v/>
      </c>
      <c r="M733">
        <f>IF(AND(H733="",OR(F733="No-show",F733="Late cancel")),1,0)</f>
        <v/>
      </c>
      <c r="N733">
        <f>IF(AND(H733="",F733="",D733&lt;&gt;"",I733&gt;=TODAY()),ROUND((I733+IF(ISNUMBER(C733),MOD(C733,1),0))*1440,0)*10000+ROW(),"")</f>
        <v/>
      </c>
    </row>
    <row r="734">
      <c r="A734" s="1" t="n"/>
      <c r="B734" s="17" t="n"/>
      <c r="C734" s="18" t="n"/>
      <c r="D734" s="19" t="n"/>
      <c r="E734" s="20" t="n"/>
      <c r="F734" s="20" t="n"/>
      <c r="G734" s="21" t="n"/>
      <c r="H734" s="12">
        <f>IF(AND(B734="",D734="",F734=""),"",IF(NOT(ISNUMBER(B734)),"Needs a date",IF(D734="","Needs a client",IF(COUNTIF(Clients!$B$6:$B$105,D734)=0,"Not on Clients",IF(AND(F734="",INT(B734)&lt;TODAY()),"Needs a status","")))))</f>
        <v/>
      </c>
      <c r="I734" s="1">
        <f>IF(ISNUMBER(B734),INT(B734),0)</f>
        <v/>
      </c>
      <c r="J734">
        <f>IF(ISNUMBER(B734),YEAR(B734)*100+MONTH(B734),"")</f>
        <v/>
      </c>
      <c r="K734">
        <f>IF(AND(H734="",OR(F734="Attended",F734="No-show",AND(F734="Late cancel",Settings!$C$9="Yes"))),1,0)</f>
        <v/>
      </c>
      <c r="L734">
        <f>IF(AND(H734="",F734="Attended"),1,0)</f>
        <v/>
      </c>
      <c r="M734">
        <f>IF(AND(H734="",OR(F734="No-show",F734="Late cancel")),1,0)</f>
        <v/>
      </c>
      <c r="N734">
        <f>IF(AND(H734="",F734="",D734&lt;&gt;"",I734&gt;=TODAY()),ROUND((I734+IF(ISNUMBER(C734),MOD(C734,1),0))*1440,0)*10000+ROW(),"")</f>
        <v/>
      </c>
    </row>
    <row r="735">
      <c r="A735" s="1" t="n"/>
      <c r="B735" s="17" t="n"/>
      <c r="C735" s="18" t="n"/>
      <c r="D735" s="19" t="n"/>
      <c r="E735" s="20" t="n"/>
      <c r="F735" s="20" t="n"/>
      <c r="G735" s="21" t="n"/>
      <c r="H735" s="12">
        <f>IF(AND(B735="",D735="",F735=""),"",IF(NOT(ISNUMBER(B735)),"Needs a date",IF(D735="","Needs a client",IF(COUNTIF(Clients!$B$6:$B$105,D735)=0,"Not on Clients",IF(AND(F735="",INT(B735)&lt;TODAY()),"Needs a status","")))))</f>
        <v/>
      </c>
      <c r="I735" s="1">
        <f>IF(ISNUMBER(B735),INT(B735),0)</f>
        <v/>
      </c>
      <c r="J735">
        <f>IF(ISNUMBER(B735),YEAR(B735)*100+MONTH(B735),"")</f>
        <v/>
      </c>
      <c r="K735">
        <f>IF(AND(H735="",OR(F735="Attended",F735="No-show",AND(F735="Late cancel",Settings!$C$9="Yes"))),1,0)</f>
        <v/>
      </c>
      <c r="L735">
        <f>IF(AND(H735="",F735="Attended"),1,0)</f>
        <v/>
      </c>
      <c r="M735">
        <f>IF(AND(H735="",OR(F735="No-show",F735="Late cancel")),1,0)</f>
        <v/>
      </c>
      <c r="N735">
        <f>IF(AND(H735="",F735="",D735&lt;&gt;"",I735&gt;=TODAY()),ROUND((I735+IF(ISNUMBER(C735),MOD(C735,1),0))*1440,0)*10000+ROW(),"")</f>
        <v/>
      </c>
    </row>
    <row r="736">
      <c r="A736" s="1" t="n"/>
      <c r="B736" s="17" t="n"/>
      <c r="C736" s="18" t="n"/>
      <c r="D736" s="19" t="n"/>
      <c r="E736" s="20" t="n"/>
      <c r="F736" s="20" t="n"/>
      <c r="G736" s="21" t="n"/>
      <c r="H736" s="12">
        <f>IF(AND(B736="",D736="",F736=""),"",IF(NOT(ISNUMBER(B736)),"Needs a date",IF(D736="","Needs a client",IF(COUNTIF(Clients!$B$6:$B$105,D736)=0,"Not on Clients",IF(AND(F736="",INT(B736)&lt;TODAY()),"Needs a status","")))))</f>
        <v/>
      </c>
      <c r="I736" s="1">
        <f>IF(ISNUMBER(B736),INT(B736),0)</f>
        <v/>
      </c>
      <c r="J736">
        <f>IF(ISNUMBER(B736),YEAR(B736)*100+MONTH(B736),"")</f>
        <v/>
      </c>
      <c r="K736">
        <f>IF(AND(H736="",OR(F736="Attended",F736="No-show",AND(F736="Late cancel",Settings!$C$9="Yes"))),1,0)</f>
        <v/>
      </c>
      <c r="L736">
        <f>IF(AND(H736="",F736="Attended"),1,0)</f>
        <v/>
      </c>
      <c r="M736">
        <f>IF(AND(H736="",OR(F736="No-show",F736="Late cancel")),1,0)</f>
        <v/>
      </c>
      <c r="N736">
        <f>IF(AND(H736="",F736="",D736&lt;&gt;"",I736&gt;=TODAY()),ROUND((I736+IF(ISNUMBER(C736),MOD(C736,1),0))*1440,0)*10000+ROW(),"")</f>
        <v/>
      </c>
    </row>
    <row r="737">
      <c r="A737" s="1" t="n"/>
      <c r="B737" s="17" t="n"/>
      <c r="C737" s="18" t="n"/>
      <c r="D737" s="19" t="n"/>
      <c r="E737" s="20" t="n"/>
      <c r="F737" s="20" t="n"/>
      <c r="G737" s="21" t="n"/>
      <c r="H737" s="12">
        <f>IF(AND(B737="",D737="",F737=""),"",IF(NOT(ISNUMBER(B737)),"Needs a date",IF(D737="","Needs a client",IF(COUNTIF(Clients!$B$6:$B$105,D737)=0,"Not on Clients",IF(AND(F737="",INT(B737)&lt;TODAY()),"Needs a status","")))))</f>
        <v/>
      </c>
      <c r="I737" s="1">
        <f>IF(ISNUMBER(B737),INT(B737),0)</f>
        <v/>
      </c>
      <c r="J737">
        <f>IF(ISNUMBER(B737),YEAR(B737)*100+MONTH(B737),"")</f>
        <v/>
      </c>
      <c r="K737">
        <f>IF(AND(H737="",OR(F737="Attended",F737="No-show",AND(F737="Late cancel",Settings!$C$9="Yes"))),1,0)</f>
        <v/>
      </c>
      <c r="L737">
        <f>IF(AND(H737="",F737="Attended"),1,0)</f>
        <v/>
      </c>
      <c r="M737">
        <f>IF(AND(H737="",OR(F737="No-show",F737="Late cancel")),1,0)</f>
        <v/>
      </c>
      <c r="N737">
        <f>IF(AND(H737="",F737="",D737&lt;&gt;"",I737&gt;=TODAY()),ROUND((I737+IF(ISNUMBER(C737),MOD(C737,1),0))*1440,0)*10000+ROW(),"")</f>
        <v/>
      </c>
    </row>
    <row r="738">
      <c r="A738" s="1" t="n"/>
      <c r="B738" s="17" t="n"/>
      <c r="C738" s="18" t="n"/>
      <c r="D738" s="19" t="n"/>
      <c r="E738" s="20" t="n"/>
      <c r="F738" s="20" t="n"/>
      <c r="G738" s="21" t="n"/>
      <c r="H738" s="12">
        <f>IF(AND(B738="",D738="",F738=""),"",IF(NOT(ISNUMBER(B738)),"Needs a date",IF(D738="","Needs a client",IF(COUNTIF(Clients!$B$6:$B$105,D738)=0,"Not on Clients",IF(AND(F738="",INT(B738)&lt;TODAY()),"Needs a status","")))))</f>
        <v/>
      </c>
      <c r="I738" s="1">
        <f>IF(ISNUMBER(B738),INT(B738),0)</f>
        <v/>
      </c>
      <c r="J738">
        <f>IF(ISNUMBER(B738),YEAR(B738)*100+MONTH(B738),"")</f>
        <v/>
      </c>
      <c r="K738">
        <f>IF(AND(H738="",OR(F738="Attended",F738="No-show",AND(F738="Late cancel",Settings!$C$9="Yes"))),1,0)</f>
        <v/>
      </c>
      <c r="L738">
        <f>IF(AND(H738="",F738="Attended"),1,0)</f>
        <v/>
      </c>
      <c r="M738">
        <f>IF(AND(H738="",OR(F738="No-show",F738="Late cancel")),1,0)</f>
        <v/>
      </c>
      <c r="N738">
        <f>IF(AND(H738="",F738="",D738&lt;&gt;"",I738&gt;=TODAY()),ROUND((I738+IF(ISNUMBER(C738),MOD(C738,1),0))*1440,0)*10000+ROW(),"")</f>
        <v/>
      </c>
    </row>
    <row r="739">
      <c r="A739" s="1" t="n"/>
      <c r="B739" s="17" t="n"/>
      <c r="C739" s="18" t="n"/>
      <c r="D739" s="19" t="n"/>
      <c r="E739" s="20" t="n"/>
      <c r="F739" s="20" t="n"/>
      <c r="G739" s="21" t="n"/>
      <c r="H739" s="12">
        <f>IF(AND(B739="",D739="",F739=""),"",IF(NOT(ISNUMBER(B739)),"Needs a date",IF(D739="","Needs a client",IF(COUNTIF(Clients!$B$6:$B$105,D739)=0,"Not on Clients",IF(AND(F739="",INT(B739)&lt;TODAY()),"Needs a status","")))))</f>
        <v/>
      </c>
      <c r="I739" s="1">
        <f>IF(ISNUMBER(B739),INT(B739),0)</f>
        <v/>
      </c>
      <c r="J739">
        <f>IF(ISNUMBER(B739),YEAR(B739)*100+MONTH(B739),"")</f>
        <v/>
      </c>
      <c r="K739">
        <f>IF(AND(H739="",OR(F739="Attended",F739="No-show",AND(F739="Late cancel",Settings!$C$9="Yes"))),1,0)</f>
        <v/>
      </c>
      <c r="L739">
        <f>IF(AND(H739="",F739="Attended"),1,0)</f>
        <v/>
      </c>
      <c r="M739">
        <f>IF(AND(H739="",OR(F739="No-show",F739="Late cancel")),1,0)</f>
        <v/>
      </c>
      <c r="N739">
        <f>IF(AND(H739="",F739="",D739&lt;&gt;"",I739&gt;=TODAY()),ROUND((I739+IF(ISNUMBER(C739),MOD(C739,1),0))*1440,0)*10000+ROW(),"")</f>
        <v/>
      </c>
    </row>
    <row r="740">
      <c r="A740" s="1" t="n"/>
      <c r="B740" s="17" t="n"/>
      <c r="C740" s="18" t="n"/>
      <c r="D740" s="19" t="n"/>
      <c r="E740" s="20" t="n"/>
      <c r="F740" s="20" t="n"/>
      <c r="G740" s="21" t="n"/>
      <c r="H740" s="12">
        <f>IF(AND(B740="",D740="",F740=""),"",IF(NOT(ISNUMBER(B740)),"Needs a date",IF(D740="","Needs a client",IF(COUNTIF(Clients!$B$6:$B$105,D740)=0,"Not on Clients",IF(AND(F740="",INT(B740)&lt;TODAY()),"Needs a status","")))))</f>
        <v/>
      </c>
      <c r="I740" s="1">
        <f>IF(ISNUMBER(B740),INT(B740),0)</f>
        <v/>
      </c>
      <c r="J740">
        <f>IF(ISNUMBER(B740),YEAR(B740)*100+MONTH(B740),"")</f>
        <v/>
      </c>
      <c r="K740">
        <f>IF(AND(H740="",OR(F740="Attended",F740="No-show",AND(F740="Late cancel",Settings!$C$9="Yes"))),1,0)</f>
        <v/>
      </c>
      <c r="L740">
        <f>IF(AND(H740="",F740="Attended"),1,0)</f>
        <v/>
      </c>
      <c r="M740">
        <f>IF(AND(H740="",OR(F740="No-show",F740="Late cancel")),1,0)</f>
        <v/>
      </c>
      <c r="N740">
        <f>IF(AND(H740="",F740="",D740&lt;&gt;"",I740&gt;=TODAY()),ROUND((I740+IF(ISNUMBER(C740),MOD(C740,1),0))*1440,0)*10000+ROW(),"")</f>
        <v/>
      </c>
    </row>
    <row r="741">
      <c r="A741" s="1" t="n"/>
      <c r="B741" s="17" t="n"/>
      <c r="C741" s="18" t="n"/>
      <c r="D741" s="19" t="n"/>
      <c r="E741" s="20" t="n"/>
      <c r="F741" s="20" t="n"/>
      <c r="G741" s="21" t="n"/>
      <c r="H741" s="12">
        <f>IF(AND(B741="",D741="",F741=""),"",IF(NOT(ISNUMBER(B741)),"Needs a date",IF(D741="","Needs a client",IF(COUNTIF(Clients!$B$6:$B$105,D741)=0,"Not on Clients",IF(AND(F741="",INT(B741)&lt;TODAY()),"Needs a status","")))))</f>
        <v/>
      </c>
      <c r="I741" s="1">
        <f>IF(ISNUMBER(B741),INT(B741),0)</f>
        <v/>
      </c>
      <c r="J741">
        <f>IF(ISNUMBER(B741),YEAR(B741)*100+MONTH(B741),"")</f>
        <v/>
      </c>
      <c r="K741">
        <f>IF(AND(H741="",OR(F741="Attended",F741="No-show",AND(F741="Late cancel",Settings!$C$9="Yes"))),1,0)</f>
        <v/>
      </c>
      <c r="L741">
        <f>IF(AND(H741="",F741="Attended"),1,0)</f>
        <v/>
      </c>
      <c r="M741">
        <f>IF(AND(H741="",OR(F741="No-show",F741="Late cancel")),1,0)</f>
        <v/>
      </c>
      <c r="N741">
        <f>IF(AND(H741="",F741="",D741&lt;&gt;"",I741&gt;=TODAY()),ROUND((I741+IF(ISNUMBER(C741),MOD(C741,1),0))*1440,0)*10000+ROW(),"")</f>
        <v/>
      </c>
    </row>
    <row r="742">
      <c r="A742" s="1" t="n"/>
      <c r="B742" s="17" t="n"/>
      <c r="C742" s="18" t="n"/>
      <c r="D742" s="19" t="n"/>
      <c r="E742" s="20" t="n"/>
      <c r="F742" s="20" t="n"/>
      <c r="G742" s="21" t="n"/>
      <c r="H742" s="12">
        <f>IF(AND(B742="",D742="",F742=""),"",IF(NOT(ISNUMBER(B742)),"Needs a date",IF(D742="","Needs a client",IF(COUNTIF(Clients!$B$6:$B$105,D742)=0,"Not on Clients",IF(AND(F742="",INT(B742)&lt;TODAY()),"Needs a status","")))))</f>
        <v/>
      </c>
      <c r="I742" s="1">
        <f>IF(ISNUMBER(B742),INT(B742),0)</f>
        <v/>
      </c>
      <c r="J742">
        <f>IF(ISNUMBER(B742),YEAR(B742)*100+MONTH(B742),"")</f>
        <v/>
      </c>
      <c r="K742">
        <f>IF(AND(H742="",OR(F742="Attended",F742="No-show",AND(F742="Late cancel",Settings!$C$9="Yes"))),1,0)</f>
        <v/>
      </c>
      <c r="L742">
        <f>IF(AND(H742="",F742="Attended"),1,0)</f>
        <v/>
      </c>
      <c r="M742">
        <f>IF(AND(H742="",OR(F742="No-show",F742="Late cancel")),1,0)</f>
        <v/>
      </c>
      <c r="N742">
        <f>IF(AND(H742="",F742="",D742&lt;&gt;"",I742&gt;=TODAY()),ROUND((I742+IF(ISNUMBER(C742),MOD(C742,1),0))*1440,0)*10000+ROW(),"")</f>
        <v/>
      </c>
    </row>
    <row r="743">
      <c r="A743" s="1" t="n"/>
      <c r="B743" s="17" t="n"/>
      <c r="C743" s="18" t="n"/>
      <c r="D743" s="19" t="n"/>
      <c r="E743" s="20" t="n"/>
      <c r="F743" s="20" t="n"/>
      <c r="G743" s="21" t="n"/>
      <c r="H743" s="12">
        <f>IF(AND(B743="",D743="",F743=""),"",IF(NOT(ISNUMBER(B743)),"Needs a date",IF(D743="","Needs a client",IF(COUNTIF(Clients!$B$6:$B$105,D743)=0,"Not on Clients",IF(AND(F743="",INT(B743)&lt;TODAY()),"Needs a status","")))))</f>
        <v/>
      </c>
      <c r="I743" s="1">
        <f>IF(ISNUMBER(B743),INT(B743),0)</f>
        <v/>
      </c>
      <c r="J743">
        <f>IF(ISNUMBER(B743),YEAR(B743)*100+MONTH(B743),"")</f>
        <v/>
      </c>
      <c r="K743">
        <f>IF(AND(H743="",OR(F743="Attended",F743="No-show",AND(F743="Late cancel",Settings!$C$9="Yes"))),1,0)</f>
        <v/>
      </c>
      <c r="L743">
        <f>IF(AND(H743="",F743="Attended"),1,0)</f>
        <v/>
      </c>
      <c r="M743">
        <f>IF(AND(H743="",OR(F743="No-show",F743="Late cancel")),1,0)</f>
        <v/>
      </c>
      <c r="N743">
        <f>IF(AND(H743="",F743="",D743&lt;&gt;"",I743&gt;=TODAY()),ROUND((I743+IF(ISNUMBER(C743),MOD(C743,1),0))*1440,0)*10000+ROW(),"")</f>
        <v/>
      </c>
    </row>
    <row r="744">
      <c r="A744" s="1" t="n"/>
      <c r="B744" s="17" t="n"/>
      <c r="C744" s="18" t="n"/>
      <c r="D744" s="19" t="n"/>
      <c r="E744" s="20" t="n"/>
      <c r="F744" s="20" t="n"/>
      <c r="G744" s="21" t="n"/>
      <c r="H744" s="12">
        <f>IF(AND(B744="",D744="",F744=""),"",IF(NOT(ISNUMBER(B744)),"Needs a date",IF(D744="","Needs a client",IF(COUNTIF(Clients!$B$6:$B$105,D744)=0,"Not on Clients",IF(AND(F744="",INT(B744)&lt;TODAY()),"Needs a status","")))))</f>
        <v/>
      </c>
      <c r="I744" s="1">
        <f>IF(ISNUMBER(B744),INT(B744),0)</f>
        <v/>
      </c>
      <c r="J744">
        <f>IF(ISNUMBER(B744),YEAR(B744)*100+MONTH(B744),"")</f>
        <v/>
      </c>
      <c r="K744">
        <f>IF(AND(H744="",OR(F744="Attended",F744="No-show",AND(F744="Late cancel",Settings!$C$9="Yes"))),1,0)</f>
        <v/>
      </c>
      <c r="L744">
        <f>IF(AND(H744="",F744="Attended"),1,0)</f>
        <v/>
      </c>
      <c r="M744">
        <f>IF(AND(H744="",OR(F744="No-show",F744="Late cancel")),1,0)</f>
        <v/>
      </c>
      <c r="N744">
        <f>IF(AND(H744="",F744="",D744&lt;&gt;"",I744&gt;=TODAY()),ROUND((I744+IF(ISNUMBER(C744),MOD(C744,1),0))*1440,0)*10000+ROW(),"")</f>
        <v/>
      </c>
    </row>
    <row r="745">
      <c r="A745" s="1" t="n"/>
      <c r="B745" s="17" t="n"/>
      <c r="C745" s="18" t="n"/>
      <c r="D745" s="19" t="n"/>
      <c r="E745" s="20" t="n"/>
      <c r="F745" s="20" t="n"/>
      <c r="G745" s="21" t="n"/>
      <c r="H745" s="12">
        <f>IF(AND(B745="",D745="",F745=""),"",IF(NOT(ISNUMBER(B745)),"Needs a date",IF(D745="","Needs a client",IF(COUNTIF(Clients!$B$6:$B$105,D745)=0,"Not on Clients",IF(AND(F745="",INT(B745)&lt;TODAY()),"Needs a status","")))))</f>
        <v/>
      </c>
      <c r="I745" s="1">
        <f>IF(ISNUMBER(B745),INT(B745),0)</f>
        <v/>
      </c>
      <c r="J745">
        <f>IF(ISNUMBER(B745),YEAR(B745)*100+MONTH(B745),"")</f>
        <v/>
      </c>
      <c r="K745">
        <f>IF(AND(H745="",OR(F745="Attended",F745="No-show",AND(F745="Late cancel",Settings!$C$9="Yes"))),1,0)</f>
        <v/>
      </c>
      <c r="L745">
        <f>IF(AND(H745="",F745="Attended"),1,0)</f>
        <v/>
      </c>
      <c r="M745">
        <f>IF(AND(H745="",OR(F745="No-show",F745="Late cancel")),1,0)</f>
        <v/>
      </c>
      <c r="N745">
        <f>IF(AND(H745="",F745="",D745&lt;&gt;"",I745&gt;=TODAY()),ROUND((I745+IF(ISNUMBER(C745),MOD(C745,1),0))*1440,0)*10000+ROW(),"")</f>
        <v/>
      </c>
    </row>
    <row r="746">
      <c r="A746" s="1" t="n"/>
      <c r="B746" s="17" t="n"/>
      <c r="C746" s="18" t="n"/>
      <c r="D746" s="19" t="n"/>
      <c r="E746" s="20" t="n"/>
      <c r="F746" s="20" t="n"/>
      <c r="G746" s="21" t="n"/>
      <c r="H746" s="12">
        <f>IF(AND(B746="",D746="",F746=""),"",IF(NOT(ISNUMBER(B746)),"Needs a date",IF(D746="","Needs a client",IF(COUNTIF(Clients!$B$6:$B$105,D746)=0,"Not on Clients",IF(AND(F746="",INT(B746)&lt;TODAY()),"Needs a status","")))))</f>
        <v/>
      </c>
      <c r="I746" s="1">
        <f>IF(ISNUMBER(B746),INT(B746),0)</f>
        <v/>
      </c>
      <c r="J746">
        <f>IF(ISNUMBER(B746),YEAR(B746)*100+MONTH(B746),"")</f>
        <v/>
      </c>
      <c r="K746">
        <f>IF(AND(H746="",OR(F746="Attended",F746="No-show",AND(F746="Late cancel",Settings!$C$9="Yes"))),1,0)</f>
        <v/>
      </c>
      <c r="L746">
        <f>IF(AND(H746="",F746="Attended"),1,0)</f>
        <v/>
      </c>
      <c r="M746">
        <f>IF(AND(H746="",OR(F746="No-show",F746="Late cancel")),1,0)</f>
        <v/>
      </c>
      <c r="N746">
        <f>IF(AND(H746="",F746="",D746&lt;&gt;"",I746&gt;=TODAY()),ROUND((I746+IF(ISNUMBER(C746),MOD(C746,1),0))*1440,0)*10000+ROW(),"")</f>
        <v/>
      </c>
    </row>
    <row r="747">
      <c r="A747" s="1" t="n"/>
      <c r="B747" s="17" t="n"/>
      <c r="C747" s="18" t="n"/>
      <c r="D747" s="19" t="n"/>
      <c r="E747" s="20" t="n"/>
      <c r="F747" s="20" t="n"/>
      <c r="G747" s="21" t="n"/>
      <c r="H747" s="12">
        <f>IF(AND(B747="",D747="",F747=""),"",IF(NOT(ISNUMBER(B747)),"Needs a date",IF(D747="","Needs a client",IF(COUNTIF(Clients!$B$6:$B$105,D747)=0,"Not on Clients",IF(AND(F747="",INT(B747)&lt;TODAY()),"Needs a status","")))))</f>
        <v/>
      </c>
      <c r="I747" s="1">
        <f>IF(ISNUMBER(B747),INT(B747),0)</f>
        <v/>
      </c>
      <c r="J747">
        <f>IF(ISNUMBER(B747),YEAR(B747)*100+MONTH(B747),"")</f>
        <v/>
      </c>
      <c r="K747">
        <f>IF(AND(H747="",OR(F747="Attended",F747="No-show",AND(F747="Late cancel",Settings!$C$9="Yes"))),1,0)</f>
        <v/>
      </c>
      <c r="L747">
        <f>IF(AND(H747="",F747="Attended"),1,0)</f>
        <v/>
      </c>
      <c r="M747">
        <f>IF(AND(H747="",OR(F747="No-show",F747="Late cancel")),1,0)</f>
        <v/>
      </c>
      <c r="N747">
        <f>IF(AND(H747="",F747="",D747&lt;&gt;"",I747&gt;=TODAY()),ROUND((I747+IF(ISNUMBER(C747),MOD(C747,1),0))*1440,0)*10000+ROW(),"")</f>
        <v/>
      </c>
    </row>
    <row r="748">
      <c r="A748" s="1" t="n"/>
      <c r="B748" s="17" t="n"/>
      <c r="C748" s="18" t="n"/>
      <c r="D748" s="19" t="n"/>
      <c r="E748" s="20" t="n"/>
      <c r="F748" s="20" t="n"/>
      <c r="G748" s="21" t="n"/>
      <c r="H748" s="12">
        <f>IF(AND(B748="",D748="",F748=""),"",IF(NOT(ISNUMBER(B748)),"Needs a date",IF(D748="","Needs a client",IF(COUNTIF(Clients!$B$6:$B$105,D748)=0,"Not on Clients",IF(AND(F748="",INT(B748)&lt;TODAY()),"Needs a status","")))))</f>
        <v/>
      </c>
      <c r="I748" s="1">
        <f>IF(ISNUMBER(B748),INT(B748),0)</f>
        <v/>
      </c>
      <c r="J748">
        <f>IF(ISNUMBER(B748),YEAR(B748)*100+MONTH(B748),"")</f>
        <v/>
      </c>
      <c r="K748">
        <f>IF(AND(H748="",OR(F748="Attended",F748="No-show",AND(F748="Late cancel",Settings!$C$9="Yes"))),1,0)</f>
        <v/>
      </c>
      <c r="L748">
        <f>IF(AND(H748="",F748="Attended"),1,0)</f>
        <v/>
      </c>
      <c r="M748">
        <f>IF(AND(H748="",OR(F748="No-show",F748="Late cancel")),1,0)</f>
        <v/>
      </c>
      <c r="N748">
        <f>IF(AND(H748="",F748="",D748&lt;&gt;"",I748&gt;=TODAY()),ROUND((I748+IF(ISNUMBER(C748),MOD(C748,1),0))*1440,0)*10000+ROW(),"")</f>
        <v/>
      </c>
    </row>
    <row r="749">
      <c r="A749" s="1" t="n"/>
      <c r="B749" s="17" t="n"/>
      <c r="C749" s="18" t="n"/>
      <c r="D749" s="19" t="n"/>
      <c r="E749" s="20" t="n"/>
      <c r="F749" s="20" t="n"/>
      <c r="G749" s="21" t="n"/>
      <c r="H749" s="12">
        <f>IF(AND(B749="",D749="",F749=""),"",IF(NOT(ISNUMBER(B749)),"Needs a date",IF(D749="","Needs a client",IF(COUNTIF(Clients!$B$6:$B$105,D749)=0,"Not on Clients",IF(AND(F749="",INT(B749)&lt;TODAY()),"Needs a status","")))))</f>
        <v/>
      </c>
      <c r="I749" s="1">
        <f>IF(ISNUMBER(B749),INT(B749),0)</f>
        <v/>
      </c>
      <c r="J749">
        <f>IF(ISNUMBER(B749),YEAR(B749)*100+MONTH(B749),"")</f>
        <v/>
      </c>
      <c r="K749">
        <f>IF(AND(H749="",OR(F749="Attended",F749="No-show",AND(F749="Late cancel",Settings!$C$9="Yes"))),1,0)</f>
        <v/>
      </c>
      <c r="L749">
        <f>IF(AND(H749="",F749="Attended"),1,0)</f>
        <v/>
      </c>
      <c r="M749">
        <f>IF(AND(H749="",OR(F749="No-show",F749="Late cancel")),1,0)</f>
        <v/>
      </c>
      <c r="N749">
        <f>IF(AND(H749="",F749="",D749&lt;&gt;"",I749&gt;=TODAY()),ROUND((I749+IF(ISNUMBER(C749),MOD(C749,1),0))*1440,0)*10000+ROW(),"")</f>
        <v/>
      </c>
    </row>
    <row r="750">
      <c r="A750" s="1" t="n"/>
      <c r="B750" s="17" t="n"/>
      <c r="C750" s="18" t="n"/>
      <c r="D750" s="19" t="n"/>
      <c r="E750" s="20" t="n"/>
      <c r="F750" s="20" t="n"/>
      <c r="G750" s="21" t="n"/>
      <c r="H750" s="12">
        <f>IF(AND(B750="",D750="",F750=""),"",IF(NOT(ISNUMBER(B750)),"Needs a date",IF(D750="","Needs a client",IF(COUNTIF(Clients!$B$6:$B$105,D750)=0,"Not on Clients",IF(AND(F750="",INT(B750)&lt;TODAY()),"Needs a status","")))))</f>
        <v/>
      </c>
      <c r="I750" s="1">
        <f>IF(ISNUMBER(B750),INT(B750),0)</f>
        <v/>
      </c>
      <c r="J750">
        <f>IF(ISNUMBER(B750),YEAR(B750)*100+MONTH(B750),"")</f>
        <v/>
      </c>
      <c r="K750">
        <f>IF(AND(H750="",OR(F750="Attended",F750="No-show",AND(F750="Late cancel",Settings!$C$9="Yes"))),1,0)</f>
        <v/>
      </c>
      <c r="L750">
        <f>IF(AND(H750="",F750="Attended"),1,0)</f>
        <v/>
      </c>
      <c r="M750">
        <f>IF(AND(H750="",OR(F750="No-show",F750="Late cancel")),1,0)</f>
        <v/>
      </c>
      <c r="N750">
        <f>IF(AND(H750="",F750="",D750&lt;&gt;"",I750&gt;=TODAY()),ROUND((I750+IF(ISNUMBER(C750),MOD(C750,1),0))*1440,0)*10000+ROW(),"")</f>
        <v/>
      </c>
    </row>
    <row r="751">
      <c r="A751" s="1" t="n"/>
      <c r="B751" s="17" t="n"/>
      <c r="C751" s="18" t="n"/>
      <c r="D751" s="19" t="n"/>
      <c r="E751" s="20" t="n"/>
      <c r="F751" s="20" t="n"/>
      <c r="G751" s="21" t="n"/>
      <c r="H751" s="12">
        <f>IF(AND(B751="",D751="",F751=""),"",IF(NOT(ISNUMBER(B751)),"Needs a date",IF(D751="","Needs a client",IF(COUNTIF(Clients!$B$6:$B$105,D751)=0,"Not on Clients",IF(AND(F751="",INT(B751)&lt;TODAY()),"Needs a status","")))))</f>
        <v/>
      </c>
      <c r="I751" s="1">
        <f>IF(ISNUMBER(B751),INT(B751),0)</f>
        <v/>
      </c>
      <c r="J751">
        <f>IF(ISNUMBER(B751),YEAR(B751)*100+MONTH(B751),"")</f>
        <v/>
      </c>
      <c r="K751">
        <f>IF(AND(H751="",OR(F751="Attended",F751="No-show",AND(F751="Late cancel",Settings!$C$9="Yes"))),1,0)</f>
        <v/>
      </c>
      <c r="L751">
        <f>IF(AND(H751="",F751="Attended"),1,0)</f>
        <v/>
      </c>
      <c r="M751">
        <f>IF(AND(H751="",OR(F751="No-show",F751="Late cancel")),1,0)</f>
        <v/>
      </c>
      <c r="N751">
        <f>IF(AND(H751="",F751="",D751&lt;&gt;"",I751&gt;=TODAY()),ROUND((I751+IF(ISNUMBER(C751),MOD(C751,1),0))*1440,0)*10000+ROW(),"")</f>
        <v/>
      </c>
    </row>
    <row r="752">
      <c r="A752" s="1" t="n"/>
      <c r="B752" s="17" t="n"/>
      <c r="C752" s="18" t="n"/>
      <c r="D752" s="19" t="n"/>
      <c r="E752" s="20" t="n"/>
      <c r="F752" s="20" t="n"/>
      <c r="G752" s="21" t="n"/>
      <c r="H752" s="12">
        <f>IF(AND(B752="",D752="",F752=""),"",IF(NOT(ISNUMBER(B752)),"Needs a date",IF(D752="","Needs a client",IF(COUNTIF(Clients!$B$6:$B$105,D752)=0,"Not on Clients",IF(AND(F752="",INT(B752)&lt;TODAY()),"Needs a status","")))))</f>
        <v/>
      </c>
      <c r="I752" s="1">
        <f>IF(ISNUMBER(B752),INT(B752),0)</f>
        <v/>
      </c>
      <c r="J752">
        <f>IF(ISNUMBER(B752),YEAR(B752)*100+MONTH(B752),"")</f>
        <v/>
      </c>
      <c r="K752">
        <f>IF(AND(H752="",OR(F752="Attended",F752="No-show",AND(F752="Late cancel",Settings!$C$9="Yes"))),1,0)</f>
        <v/>
      </c>
      <c r="L752">
        <f>IF(AND(H752="",F752="Attended"),1,0)</f>
        <v/>
      </c>
      <c r="M752">
        <f>IF(AND(H752="",OR(F752="No-show",F752="Late cancel")),1,0)</f>
        <v/>
      </c>
      <c r="N752">
        <f>IF(AND(H752="",F752="",D752&lt;&gt;"",I752&gt;=TODAY()),ROUND((I752+IF(ISNUMBER(C752),MOD(C752,1),0))*1440,0)*10000+ROW(),"")</f>
        <v/>
      </c>
    </row>
    <row r="753">
      <c r="A753" s="1" t="n"/>
      <c r="B753" s="17" t="n"/>
      <c r="C753" s="18" t="n"/>
      <c r="D753" s="19" t="n"/>
      <c r="E753" s="20" t="n"/>
      <c r="F753" s="20" t="n"/>
      <c r="G753" s="21" t="n"/>
      <c r="H753" s="12">
        <f>IF(AND(B753="",D753="",F753=""),"",IF(NOT(ISNUMBER(B753)),"Needs a date",IF(D753="","Needs a client",IF(COUNTIF(Clients!$B$6:$B$105,D753)=0,"Not on Clients",IF(AND(F753="",INT(B753)&lt;TODAY()),"Needs a status","")))))</f>
        <v/>
      </c>
      <c r="I753" s="1">
        <f>IF(ISNUMBER(B753),INT(B753),0)</f>
        <v/>
      </c>
      <c r="J753">
        <f>IF(ISNUMBER(B753),YEAR(B753)*100+MONTH(B753),"")</f>
        <v/>
      </c>
      <c r="K753">
        <f>IF(AND(H753="",OR(F753="Attended",F753="No-show",AND(F753="Late cancel",Settings!$C$9="Yes"))),1,0)</f>
        <v/>
      </c>
      <c r="L753">
        <f>IF(AND(H753="",F753="Attended"),1,0)</f>
        <v/>
      </c>
      <c r="M753">
        <f>IF(AND(H753="",OR(F753="No-show",F753="Late cancel")),1,0)</f>
        <v/>
      </c>
      <c r="N753">
        <f>IF(AND(H753="",F753="",D753&lt;&gt;"",I753&gt;=TODAY()),ROUND((I753+IF(ISNUMBER(C753),MOD(C753,1),0))*1440,0)*10000+ROW(),"")</f>
        <v/>
      </c>
    </row>
    <row r="754">
      <c r="A754" s="1" t="n"/>
      <c r="B754" s="17" t="n"/>
      <c r="C754" s="18" t="n"/>
      <c r="D754" s="19" t="n"/>
      <c r="E754" s="20" t="n"/>
      <c r="F754" s="20" t="n"/>
      <c r="G754" s="21" t="n"/>
      <c r="H754" s="12">
        <f>IF(AND(B754="",D754="",F754=""),"",IF(NOT(ISNUMBER(B754)),"Needs a date",IF(D754="","Needs a client",IF(COUNTIF(Clients!$B$6:$B$105,D754)=0,"Not on Clients",IF(AND(F754="",INT(B754)&lt;TODAY()),"Needs a status","")))))</f>
        <v/>
      </c>
      <c r="I754" s="1">
        <f>IF(ISNUMBER(B754),INT(B754),0)</f>
        <v/>
      </c>
      <c r="J754">
        <f>IF(ISNUMBER(B754),YEAR(B754)*100+MONTH(B754),"")</f>
        <v/>
      </c>
      <c r="K754">
        <f>IF(AND(H754="",OR(F754="Attended",F754="No-show",AND(F754="Late cancel",Settings!$C$9="Yes"))),1,0)</f>
        <v/>
      </c>
      <c r="L754">
        <f>IF(AND(H754="",F754="Attended"),1,0)</f>
        <v/>
      </c>
      <c r="M754">
        <f>IF(AND(H754="",OR(F754="No-show",F754="Late cancel")),1,0)</f>
        <v/>
      </c>
      <c r="N754">
        <f>IF(AND(H754="",F754="",D754&lt;&gt;"",I754&gt;=TODAY()),ROUND((I754+IF(ISNUMBER(C754),MOD(C754,1),0))*1440,0)*10000+ROW(),"")</f>
        <v/>
      </c>
    </row>
    <row r="755">
      <c r="A755" s="1" t="n"/>
      <c r="B755" s="17" t="n"/>
      <c r="C755" s="18" t="n"/>
      <c r="D755" s="19" t="n"/>
      <c r="E755" s="20" t="n"/>
      <c r="F755" s="20" t="n"/>
      <c r="G755" s="21" t="n"/>
      <c r="H755" s="12">
        <f>IF(AND(B755="",D755="",F755=""),"",IF(NOT(ISNUMBER(B755)),"Needs a date",IF(D755="","Needs a client",IF(COUNTIF(Clients!$B$6:$B$105,D755)=0,"Not on Clients",IF(AND(F755="",INT(B755)&lt;TODAY()),"Needs a status","")))))</f>
        <v/>
      </c>
      <c r="I755" s="1">
        <f>IF(ISNUMBER(B755),INT(B755),0)</f>
        <v/>
      </c>
      <c r="J755">
        <f>IF(ISNUMBER(B755),YEAR(B755)*100+MONTH(B755),"")</f>
        <v/>
      </c>
      <c r="K755">
        <f>IF(AND(H755="",OR(F755="Attended",F755="No-show",AND(F755="Late cancel",Settings!$C$9="Yes"))),1,0)</f>
        <v/>
      </c>
      <c r="L755">
        <f>IF(AND(H755="",F755="Attended"),1,0)</f>
        <v/>
      </c>
      <c r="M755">
        <f>IF(AND(H755="",OR(F755="No-show",F755="Late cancel")),1,0)</f>
        <v/>
      </c>
      <c r="N755">
        <f>IF(AND(H755="",F755="",D755&lt;&gt;"",I755&gt;=TODAY()),ROUND((I755+IF(ISNUMBER(C755),MOD(C755,1),0))*1440,0)*10000+ROW(),"")</f>
        <v/>
      </c>
    </row>
    <row r="756">
      <c r="A756" s="1" t="n"/>
      <c r="B756" s="17" t="n"/>
      <c r="C756" s="18" t="n"/>
      <c r="D756" s="19" t="n"/>
      <c r="E756" s="20" t="n"/>
      <c r="F756" s="20" t="n"/>
      <c r="G756" s="21" t="n"/>
      <c r="H756" s="12">
        <f>IF(AND(B756="",D756="",F756=""),"",IF(NOT(ISNUMBER(B756)),"Needs a date",IF(D756="","Needs a client",IF(COUNTIF(Clients!$B$6:$B$105,D756)=0,"Not on Clients",IF(AND(F756="",INT(B756)&lt;TODAY()),"Needs a status","")))))</f>
        <v/>
      </c>
      <c r="I756" s="1">
        <f>IF(ISNUMBER(B756),INT(B756),0)</f>
        <v/>
      </c>
      <c r="J756">
        <f>IF(ISNUMBER(B756),YEAR(B756)*100+MONTH(B756),"")</f>
        <v/>
      </c>
      <c r="K756">
        <f>IF(AND(H756="",OR(F756="Attended",F756="No-show",AND(F756="Late cancel",Settings!$C$9="Yes"))),1,0)</f>
        <v/>
      </c>
      <c r="L756">
        <f>IF(AND(H756="",F756="Attended"),1,0)</f>
        <v/>
      </c>
      <c r="M756">
        <f>IF(AND(H756="",OR(F756="No-show",F756="Late cancel")),1,0)</f>
        <v/>
      </c>
      <c r="N756">
        <f>IF(AND(H756="",F756="",D756&lt;&gt;"",I756&gt;=TODAY()),ROUND((I756+IF(ISNUMBER(C756),MOD(C756,1),0))*1440,0)*10000+ROW(),"")</f>
        <v/>
      </c>
    </row>
    <row r="757">
      <c r="A757" s="1" t="n"/>
      <c r="B757" s="17" t="n"/>
      <c r="C757" s="18" t="n"/>
      <c r="D757" s="19" t="n"/>
      <c r="E757" s="20" t="n"/>
      <c r="F757" s="20" t="n"/>
      <c r="G757" s="21" t="n"/>
      <c r="H757" s="12">
        <f>IF(AND(B757="",D757="",F757=""),"",IF(NOT(ISNUMBER(B757)),"Needs a date",IF(D757="","Needs a client",IF(COUNTIF(Clients!$B$6:$B$105,D757)=0,"Not on Clients",IF(AND(F757="",INT(B757)&lt;TODAY()),"Needs a status","")))))</f>
        <v/>
      </c>
      <c r="I757" s="1">
        <f>IF(ISNUMBER(B757),INT(B757),0)</f>
        <v/>
      </c>
      <c r="J757">
        <f>IF(ISNUMBER(B757),YEAR(B757)*100+MONTH(B757),"")</f>
        <v/>
      </c>
      <c r="K757">
        <f>IF(AND(H757="",OR(F757="Attended",F757="No-show",AND(F757="Late cancel",Settings!$C$9="Yes"))),1,0)</f>
        <v/>
      </c>
      <c r="L757">
        <f>IF(AND(H757="",F757="Attended"),1,0)</f>
        <v/>
      </c>
      <c r="M757">
        <f>IF(AND(H757="",OR(F757="No-show",F757="Late cancel")),1,0)</f>
        <v/>
      </c>
      <c r="N757">
        <f>IF(AND(H757="",F757="",D757&lt;&gt;"",I757&gt;=TODAY()),ROUND((I757+IF(ISNUMBER(C757),MOD(C757,1),0))*1440,0)*10000+ROW(),"")</f>
        <v/>
      </c>
    </row>
    <row r="758">
      <c r="A758" s="1" t="n"/>
      <c r="B758" s="17" t="n"/>
      <c r="C758" s="18" t="n"/>
      <c r="D758" s="19" t="n"/>
      <c r="E758" s="20" t="n"/>
      <c r="F758" s="20" t="n"/>
      <c r="G758" s="21" t="n"/>
      <c r="H758" s="12">
        <f>IF(AND(B758="",D758="",F758=""),"",IF(NOT(ISNUMBER(B758)),"Needs a date",IF(D758="","Needs a client",IF(COUNTIF(Clients!$B$6:$B$105,D758)=0,"Not on Clients",IF(AND(F758="",INT(B758)&lt;TODAY()),"Needs a status","")))))</f>
        <v/>
      </c>
      <c r="I758" s="1">
        <f>IF(ISNUMBER(B758),INT(B758),0)</f>
        <v/>
      </c>
      <c r="J758">
        <f>IF(ISNUMBER(B758),YEAR(B758)*100+MONTH(B758),"")</f>
        <v/>
      </c>
      <c r="K758">
        <f>IF(AND(H758="",OR(F758="Attended",F758="No-show",AND(F758="Late cancel",Settings!$C$9="Yes"))),1,0)</f>
        <v/>
      </c>
      <c r="L758">
        <f>IF(AND(H758="",F758="Attended"),1,0)</f>
        <v/>
      </c>
      <c r="M758">
        <f>IF(AND(H758="",OR(F758="No-show",F758="Late cancel")),1,0)</f>
        <v/>
      </c>
      <c r="N758">
        <f>IF(AND(H758="",F758="",D758&lt;&gt;"",I758&gt;=TODAY()),ROUND((I758+IF(ISNUMBER(C758),MOD(C758,1),0))*1440,0)*10000+ROW(),"")</f>
        <v/>
      </c>
    </row>
    <row r="759">
      <c r="A759" s="1" t="n"/>
      <c r="B759" s="17" t="n"/>
      <c r="C759" s="18" t="n"/>
      <c r="D759" s="19" t="n"/>
      <c r="E759" s="20" t="n"/>
      <c r="F759" s="20" t="n"/>
      <c r="G759" s="21" t="n"/>
      <c r="H759" s="12">
        <f>IF(AND(B759="",D759="",F759=""),"",IF(NOT(ISNUMBER(B759)),"Needs a date",IF(D759="","Needs a client",IF(COUNTIF(Clients!$B$6:$B$105,D759)=0,"Not on Clients",IF(AND(F759="",INT(B759)&lt;TODAY()),"Needs a status","")))))</f>
        <v/>
      </c>
      <c r="I759" s="1">
        <f>IF(ISNUMBER(B759),INT(B759),0)</f>
        <v/>
      </c>
      <c r="J759">
        <f>IF(ISNUMBER(B759),YEAR(B759)*100+MONTH(B759),"")</f>
        <v/>
      </c>
      <c r="K759">
        <f>IF(AND(H759="",OR(F759="Attended",F759="No-show",AND(F759="Late cancel",Settings!$C$9="Yes"))),1,0)</f>
        <v/>
      </c>
      <c r="L759">
        <f>IF(AND(H759="",F759="Attended"),1,0)</f>
        <v/>
      </c>
      <c r="M759">
        <f>IF(AND(H759="",OR(F759="No-show",F759="Late cancel")),1,0)</f>
        <v/>
      </c>
      <c r="N759">
        <f>IF(AND(H759="",F759="",D759&lt;&gt;"",I759&gt;=TODAY()),ROUND((I759+IF(ISNUMBER(C759),MOD(C759,1),0))*1440,0)*10000+ROW(),"")</f>
        <v/>
      </c>
    </row>
    <row r="760">
      <c r="A760" s="1" t="n"/>
      <c r="B760" s="17" t="n"/>
      <c r="C760" s="18" t="n"/>
      <c r="D760" s="19" t="n"/>
      <c r="E760" s="20" t="n"/>
      <c r="F760" s="20" t="n"/>
      <c r="G760" s="21" t="n"/>
      <c r="H760" s="12">
        <f>IF(AND(B760="",D760="",F760=""),"",IF(NOT(ISNUMBER(B760)),"Needs a date",IF(D760="","Needs a client",IF(COUNTIF(Clients!$B$6:$B$105,D760)=0,"Not on Clients",IF(AND(F760="",INT(B760)&lt;TODAY()),"Needs a status","")))))</f>
        <v/>
      </c>
      <c r="I760" s="1">
        <f>IF(ISNUMBER(B760),INT(B760),0)</f>
        <v/>
      </c>
      <c r="J760">
        <f>IF(ISNUMBER(B760),YEAR(B760)*100+MONTH(B760),"")</f>
        <v/>
      </c>
      <c r="K760">
        <f>IF(AND(H760="",OR(F760="Attended",F760="No-show",AND(F760="Late cancel",Settings!$C$9="Yes"))),1,0)</f>
        <v/>
      </c>
      <c r="L760">
        <f>IF(AND(H760="",F760="Attended"),1,0)</f>
        <v/>
      </c>
      <c r="M760">
        <f>IF(AND(H760="",OR(F760="No-show",F760="Late cancel")),1,0)</f>
        <v/>
      </c>
      <c r="N760">
        <f>IF(AND(H760="",F760="",D760&lt;&gt;"",I760&gt;=TODAY()),ROUND((I760+IF(ISNUMBER(C760),MOD(C760,1),0))*1440,0)*10000+ROW(),"")</f>
        <v/>
      </c>
    </row>
    <row r="761">
      <c r="A761" s="1" t="n"/>
      <c r="B761" s="17" t="n"/>
      <c r="C761" s="18" t="n"/>
      <c r="D761" s="19" t="n"/>
      <c r="E761" s="20" t="n"/>
      <c r="F761" s="20" t="n"/>
      <c r="G761" s="21" t="n"/>
      <c r="H761" s="12">
        <f>IF(AND(B761="",D761="",F761=""),"",IF(NOT(ISNUMBER(B761)),"Needs a date",IF(D761="","Needs a client",IF(COUNTIF(Clients!$B$6:$B$105,D761)=0,"Not on Clients",IF(AND(F761="",INT(B761)&lt;TODAY()),"Needs a status","")))))</f>
        <v/>
      </c>
      <c r="I761" s="1">
        <f>IF(ISNUMBER(B761),INT(B761),0)</f>
        <v/>
      </c>
      <c r="J761">
        <f>IF(ISNUMBER(B761),YEAR(B761)*100+MONTH(B761),"")</f>
        <v/>
      </c>
      <c r="K761">
        <f>IF(AND(H761="",OR(F761="Attended",F761="No-show",AND(F761="Late cancel",Settings!$C$9="Yes"))),1,0)</f>
        <v/>
      </c>
      <c r="L761">
        <f>IF(AND(H761="",F761="Attended"),1,0)</f>
        <v/>
      </c>
      <c r="M761">
        <f>IF(AND(H761="",OR(F761="No-show",F761="Late cancel")),1,0)</f>
        <v/>
      </c>
      <c r="N761">
        <f>IF(AND(H761="",F761="",D761&lt;&gt;"",I761&gt;=TODAY()),ROUND((I761+IF(ISNUMBER(C761),MOD(C761,1),0))*1440,0)*10000+ROW(),"")</f>
        <v/>
      </c>
    </row>
    <row r="762">
      <c r="A762" s="1" t="n"/>
      <c r="B762" s="17" t="n"/>
      <c r="C762" s="18" t="n"/>
      <c r="D762" s="19" t="n"/>
      <c r="E762" s="20" t="n"/>
      <c r="F762" s="20" t="n"/>
      <c r="G762" s="21" t="n"/>
      <c r="H762" s="12">
        <f>IF(AND(B762="",D762="",F762=""),"",IF(NOT(ISNUMBER(B762)),"Needs a date",IF(D762="","Needs a client",IF(COUNTIF(Clients!$B$6:$B$105,D762)=0,"Not on Clients",IF(AND(F762="",INT(B762)&lt;TODAY()),"Needs a status","")))))</f>
        <v/>
      </c>
      <c r="I762" s="1">
        <f>IF(ISNUMBER(B762),INT(B762),0)</f>
        <v/>
      </c>
      <c r="J762">
        <f>IF(ISNUMBER(B762),YEAR(B762)*100+MONTH(B762),"")</f>
        <v/>
      </c>
      <c r="K762">
        <f>IF(AND(H762="",OR(F762="Attended",F762="No-show",AND(F762="Late cancel",Settings!$C$9="Yes"))),1,0)</f>
        <v/>
      </c>
      <c r="L762">
        <f>IF(AND(H762="",F762="Attended"),1,0)</f>
        <v/>
      </c>
      <c r="M762">
        <f>IF(AND(H762="",OR(F762="No-show",F762="Late cancel")),1,0)</f>
        <v/>
      </c>
      <c r="N762">
        <f>IF(AND(H762="",F762="",D762&lt;&gt;"",I762&gt;=TODAY()),ROUND((I762+IF(ISNUMBER(C762),MOD(C762,1),0))*1440,0)*10000+ROW(),"")</f>
        <v/>
      </c>
    </row>
    <row r="763">
      <c r="A763" s="1" t="n"/>
      <c r="B763" s="17" t="n"/>
      <c r="C763" s="18" t="n"/>
      <c r="D763" s="19" t="n"/>
      <c r="E763" s="20" t="n"/>
      <c r="F763" s="20" t="n"/>
      <c r="G763" s="21" t="n"/>
      <c r="H763" s="12">
        <f>IF(AND(B763="",D763="",F763=""),"",IF(NOT(ISNUMBER(B763)),"Needs a date",IF(D763="","Needs a client",IF(COUNTIF(Clients!$B$6:$B$105,D763)=0,"Not on Clients",IF(AND(F763="",INT(B763)&lt;TODAY()),"Needs a status","")))))</f>
        <v/>
      </c>
      <c r="I763" s="1">
        <f>IF(ISNUMBER(B763),INT(B763),0)</f>
        <v/>
      </c>
      <c r="J763">
        <f>IF(ISNUMBER(B763),YEAR(B763)*100+MONTH(B763),"")</f>
        <v/>
      </c>
      <c r="K763">
        <f>IF(AND(H763="",OR(F763="Attended",F763="No-show",AND(F763="Late cancel",Settings!$C$9="Yes"))),1,0)</f>
        <v/>
      </c>
      <c r="L763">
        <f>IF(AND(H763="",F763="Attended"),1,0)</f>
        <v/>
      </c>
      <c r="M763">
        <f>IF(AND(H763="",OR(F763="No-show",F763="Late cancel")),1,0)</f>
        <v/>
      </c>
      <c r="N763">
        <f>IF(AND(H763="",F763="",D763&lt;&gt;"",I763&gt;=TODAY()),ROUND((I763+IF(ISNUMBER(C763),MOD(C763,1),0))*1440,0)*10000+ROW(),"")</f>
        <v/>
      </c>
    </row>
    <row r="764">
      <c r="A764" s="1" t="n"/>
      <c r="B764" s="17" t="n"/>
      <c r="C764" s="18" t="n"/>
      <c r="D764" s="19" t="n"/>
      <c r="E764" s="20" t="n"/>
      <c r="F764" s="20" t="n"/>
      <c r="G764" s="21" t="n"/>
      <c r="H764" s="12">
        <f>IF(AND(B764="",D764="",F764=""),"",IF(NOT(ISNUMBER(B764)),"Needs a date",IF(D764="","Needs a client",IF(COUNTIF(Clients!$B$6:$B$105,D764)=0,"Not on Clients",IF(AND(F764="",INT(B764)&lt;TODAY()),"Needs a status","")))))</f>
        <v/>
      </c>
      <c r="I764" s="1">
        <f>IF(ISNUMBER(B764),INT(B764),0)</f>
        <v/>
      </c>
      <c r="J764">
        <f>IF(ISNUMBER(B764),YEAR(B764)*100+MONTH(B764),"")</f>
        <v/>
      </c>
      <c r="K764">
        <f>IF(AND(H764="",OR(F764="Attended",F764="No-show",AND(F764="Late cancel",Settings!$C$9="Yes"))),1,0)</f>
        <v/>
      </c>
      <c r="L764">
        <f>IF(AND(H764="",F764="Attended"),1,0)</f>
        <v/>
      </c>
      <c r="M764">
        <f>IF(AND(H764="",OR(F764="No-show",F764="Late cancel")),1,0)</f>
        <v/>
      </c>
      <c r="N764">
        <f>IF(AND(H764="",F764="",D764&lt;&gt;"",I764&gt;=TODAY()),ROUND((I764+IF(ISNUMBER(C764),MOD(C764,1),0))*1440,0)*10000+ROW(),"")</f>
        <v/>
      </c>
    </row>
    <row r="765">
      <c r="A765" s="1" t="n"/>
      <c r="B765" s="17" t="n"/>
      <c r="C765" s="18" t="n"/>
      <c r="D765" s="19" t="n"/>
      <c r="E765" s="20" t="n"/>
      <c r="F765" s="20" t="n"/>
      <c r="G765" s="21" t="n"/>
      <c r="H765" s="12">
        <f>IF(AND(B765="",D765="",F765=""),"",IF(NOT(ISNUMBER(B765)),"Needs a date",IF(D765="","Needs a client",IF(COUNTIF(Clients!$B$6:$B$105,D765)=0,"Not on Clients",IF(AND(F765="",INT(B765)&lt;TODAY()),"Needs a status","")))))</f>
        <v/>
      </c>
      <c r="I765" s="1">
        <f>IF(ISNUMBER(B765),INT(B765),0)</f>
        <v/>
      </c>
      <c r="J765">
        <f>IF(ISNUMBER(B765),YEAR(B765)*100+MONTH(B765),"")</f>
        <v/>
      </c>
      <c r="K765">
        <f>IF(AND(H765="",OR(F765="Attended",F765="No-show",AND(F765="Late cancel",Settings!$C$9="Yes"))),1,0)</f>
        <v/>
      </c>
      <c r="L765">
        <f>IF(AND(H765="",F765="Attended"),1,0)</f>
        <v/>
      </c>
      <c r="M765">
        <f>IF(AND(H765="",OR(F765="No-show",F765="Late cancel")),1,0)</f>
        <v/>
      </c>
      <c r="N765">
        <f>IF(AND(H765="",F765="",D765&lt;&gt;"",I765&gt;=TODAY()),ROUND((I765+IF(ISNUMBER(C765),MOD(C765,1),0))*1440,0)*10000+ROW(),"")</f>
        <v/>
      </c>
    </row>
    <row r="766">
      <c r="A766" s="1" t="n"/>
      <c r="B766" s="17" t="n"/>
      <c r="C766" s="18" t="n"/>
      <c r="D766" s="19" t="n"/>
      <c r="E766" s="20" t="n"/>
      <c r="F766" s="20" t="n"/>
      <c r="G766" s="21" t="n"/>
      <c r="H766" s="12">
        <f>IF(AND(B766="",D766="",F766=""),"",IF(NOT(ISNUMBER(B766)),"Needs a date",IF(D766="","Needs a client",IF(COUNTIF(Clients!$B$6:$B$105,D766)=0,"Not on Clients",IF(AND(F766="",INT(B766)&lt;TODAY()),"Needs a status","")))))</f>
        <v/>
      </c>
      <c r="I766" s="1">
        <f>IF(ISNUMBER(B766),INT(B766),0)</f>
        <v/>
      </c>
      <c r="J766">
        <f>IF(ISNUMBER(B766),YEAR(B766)*100+MONTH(B766),"")</f>
        <v/>
      </c>
      <c r="K766">
        <f>IF(AND(H766="",OR(F766="Attended",F766="No-show",AND(F766="Late cancel",Settings!$C$9="Yes"))),1,0)</f>
        <v/>
      </c>
      <c r="L766">
        <f>IF(AND(H766="",F766="Attended"),1,0)</f>
        <v/>
      </c>
      <c r="M766">
        <f>IF(AND(H766="",OR(F766="No-show",F766="Late cancel")),1,0)</f>
        <v/>
      </c>
      <c r="N766">
        <f>IF(AND(H766="",F766="",D766&lt;&gt;"",I766&gt;=TODAY()),ROUND((I766+IF(ISNUMBER(C766),MOD(C766,1),0))*1440,0)*10000+ROW(),"")</f>
        <v/>
      </c>
    </row>
    <row r="767">
      <c r="A767" s="1" t="n"/>
      <c r="B767" s="17" t="n"/>
      <c r="C767" s="18" t="n"/>
      <c r="D767" s="19" t="n"/>
      <c r="E767" s="20" t="n"/>
      <c r="F767" s="20" t="n"/>
      <c r="G767" s="21" t="n"/>
      <c r="H767" s="12">
        <f>IF(AND(B767="",D767="",F767=""),"",IF(NOT(ISNUMBER(B767)),"Needs a date",IF(D767="","Needs a client",IF(COUNTIF(Clients!$B$6:$B$105,D767)=0,"Not on Clients",IF(AND(F767="",INT(B767)&lt;TODAY()),"Needs a status","")))))</f>
        <v/>
      </c>
      <c r="I767" s="1">
        <f>IF(ISNUMBER(B767),INT(B767),0)</f>
        <v/>
      </c>
      <c r="J767">
        <f>IF(ISNUMBER(B767),YEAR(B767)*100+MONTH(B767),"")</f>
        <v/>
      </c>
      <c r="K767">
        <f>IF(AND(H767="",OR(F767="Attended",F767="No-show",AND(F767="Late cancel",Settings!$C$9="Yes"))),1,0)</f>
        <v/>
      </c>
      <c r="L767">
        <f>IF(AND(H767="",F767="Attended"),1,0)</f>
        <v/>
      </c>
      <c r="M767">
        <f>IF(AND(H767="",OR(F767="No-show",F767="Late cancel")),1,0)</f>
        <v/>
      </c>
      <c r="N767">
        <f>IF(AND(H767="",F767="",D767&lt;&gt;"",I767&gt;=TODAY()),ROUND((I767+IF(ISNUMBER(C767),MOD(C767,1),0))*1440,0)*10000+ROW(),"")</f>
        <v/>
      </c>
    </row>
    <row r="768">
      <c r="A768" s="1" t="n"/>
      <c r="B768" s="17" t="n"/>
      <c r="C768" s="18" t="n"/>
      <c r="D768" s="19" t="n"/>
      <c r="E768" s="20" t="n"/>
      <c r="F768" s="20" t="n"/>
      <c r="G768" s="21" t="n"/>
      <c r="H768" s="12">
        <f>IF(AND(B768="",D768="",F768=""),"",IF(NOT(ISNUMBER(B768)),"Needs a date",IF(D768="","Needs a client",IF(COUNTIF(Clients!$B$6:$B$105,D768)=0,"Not on Clients",IF(AND(F768="",INT(B768)&lt;TODAY()),"Needs a status","")))))</f>
        <v/>
      </c>
      <c r="I768" s="1">
        <f>IF(ISNUMBER(B768),INT(B768),0)</f>
        <v/>
      </c>
      <c r="J768">
        <f>IF(ISNUMBER(B768),YEAR(B768)*100+MONTH(B768),"")</f>
        <v/>
      </c>
      <c r="K768">
        <f>IF(AND(H768="",OR(F768="Attended",F768="No-show",AND(F768="Late cancel",Settings!$C$9="Yes"))),1,0)</f>
        <v/>
      </c>
      <c r="L768">
        <f>IF(AND(H768="",F768="Attended"),1,0)</f>
        <v/>
      </c>
      <c r="M768">
        <f>IF(AND(H768="",OR(F768="No-show",F768="Late cancel")),1,0)</f>
        <v/>
      </c>
      <c r="N768">
        <f>IF(AND(H768="",F768="",D768&lt;&gt;"",I768&gt;=TODAY()),ROUND((I768+IF(ISNUMBER(C768),MOD(C768,1),0))*1440,0)*10000+ROW(),"")</f>
        <v/>
      </c>
    </row>
    <row r="769">
      <c r="A769" s="1" t="n"/>
      <c r="B769" s="17" t="n"/>
      <c r="C769" s="18" t="n"/>
      <c r="D769" s="19" t="n"/>
      <c r="E769" s="20" t="n"/>
      <c r="F769" s="20" t="n"/>
      <c r="G769" s="21" t="n"/>
      <c r="H769" s="12">
        <f>IF(AND(B769="",D769="",F769=""),"",IF(NOT(ISNUMBER(B769)),"Needs a date",IF(D769="","Needs a client",IF(COUNTIF(Clients!$B$6:$B$105,D769)=0,"Not on Clients",IF(AND(F769="",INT(B769)&lt;TODAY()),"Needs a status","")))))</f>
        <v/>
      </c>
      <c r="I769" s="1">
        <f>IF(ISNUMBER(B769),INT(B769),0)</f>
        <v/>
      </c>
      <c r="J769">
        <f>IF(ISNUMBER(B769),YEAR(B769)*100+MONTH(B769),"")</f>
        <v/>
      </c>
      <c r="K769">
        <f>IF(AND(H769="",OR(F769="Attended",F769="No-show",AND(F769="Late cancel",Settings!$C$9="Yes"))),1,0)</f>
        <v/>
      </c>
      <c r="L769">
        <f>IF(AND(H769="",F769="Attended"),1,0)</f>
        <v/>
      </c>
      <c r="M769">
        <f>IF(AND(H769="",OR(F769="No-show",F769="Late cancel")),1,0)</f>
        <v/>
      </c>
      <c r="N769">
        <f>IF(AND(H769="",F769="",D769&lt;&gt;"",I769&gt;=TODAY()),ROUND((I769+IF(ISNUMBER(C769),MOD(C769,1),0))*1440,0)*10000+ROW(),"")</f>
        <v/>
      </c>
    </row>
    <row r="770">
      <c r="A770" s="1" t="n"/>
      <c r="B770" s="17" t="n"/>
      <c r="C770" s="18" t="n"/>
      <c r="D770" s="19" t="n"/>
      <c r="E770" s="20" t="n"/>
      <c r="F770" s="20" t="n"/>
      <c r="G770" s="21" t="n"/>
      <c r="H770" s="12">
        <f>IF(AND(B770="",D770="",F770=""),"",IF(NOT(ISNUMBER(B770)),"Needs a date",IF(D770="","Needs a client",IF(COUNTIF(Clients!$B$6:$B$105,D770)=0,"Not on Clients",IF(AND(F770="",INT(B770)&lt;TODAY()),"Needs a status","")))))</f>
        <v/>
      </c>
      <c r="I770" s="1">
        <f>IF(ISNUMBER(B770),INT(B770),0)</f>
        <v/>
      </c>
      <c r="J770">
        <f>IF(ISNUMBER(B770),YEAR(B770)*100+MONTH(B770),"")</f>
        <v/>
      </c>
      <c r="K770">
        <f>IF(AND(H770="",OR(F770="Attended",F770="No-show",AND(F770="Late cancel",Settings!$C$9="Yes"))),1,0)</f>
        <v/>
      </c>
      <c r="L770">
        <f>IF(AND(H770="",F770="Attended"),1,0)</f>
        <v/>
      </c>
      <c r="M770">
        <f>IF(AND(H770="",OR(F770="No-show",F770="Late cancel")),1,0)</f>
        <v/>
      </c>
      <c r="N770">
        <f>IF(AND(H770="",F770="",D770&lt;&gt;"",I770&gt;=TODAY()),ROUND((I770+IF(ISNUMBER(C770),MOD(C770,1),0))*1440,0)*10000+ROW(),"")</f>
        <v/>
      </c>
    </row>
    <row r="771">
      <c r="A771" s="1" t="n"/>
      <c r="B771" s="17" t="n"/>
      <c r="C771" s="18" t="n"/>
      <c r="D771" s="19" t="n"/>
      <c r="E771" s="20" t="n"/>
      <c r="F771" s="20" t="n"/>
      <c r="G771" s="21" t="n"/>
      <c r="H771" s="12">
        <f>IF(AND(B771="",D771="",F771=""),"",IF(NOT(ISNUMBER(B771)),"Needs a date",IF(D771="","Needs a client",IF(COUNTIF(Clients!$B$6:$B$105,D771)=0,"Not on Clients",IF(AND(F771="",INT(B771)&lt;TODAY()),"Needs a status","")))))</f>
        <v/>
      </c>
      <c r="I771" s="1">
        <f>IF(ISNUMBER(B771),INT(B771),0)</f>
        <v/>
      </c>
      <c r="J771">
        <f>IF(ISNUMBER(B771),YEAR(B771)*100+MONTH(B771),"")</f>
        <v/>
      </c>
      <c r="K771">
        <f>IF(AND(H771="",OR(F771="Attended",F771="No-show",AND(F771="Late cancel",Settings!$C$9="Yes"))),1,0)</f>
        <v/>
      </c>
      <c r="L771">
        <f>IF(AND(H771="",F771="Attended"),1,0)</f>
        <v/>
      </c>
      <c r="M771">
        <f>IF(AND(H771="",OR(F771="No-show",F771="Late cancel")),1,0)</f>
        <v/>
      </c>
      <c r="N771">
        <f>IF(AND(H771="",F771="",D771&lt;&gt;"",I771&gt;=TODAY()),ROUND((I771+IF(ISNUMBER(C771),MOD(C771,1),0))*1440,0)*10000+ROW(),"")</f>
        <v/>
      </c>
    </row>
    <row r="772">
      <c r="A772" s="1" t="n"/>
      <c r="B772" s="17" t="n"/>
      <c r="C772" s="18" t="n"/>
      <c r="D772" s="19" t="n"/>
      <c r="E772" s="20" t="n"/>
      <c r="F772" s="20" t="n"/>
      <c r="G772" s="21" t="n"/>
      <c r="H772" s="12">
        <f>IF(AND(B772="",D772="",F772=""),"",IF(NOT(ISNUMBER(B772)),"Needs a date",IF(D772="","Needs a client",IF(COUNTIF(Clients!$B$6:$B$105,D772)=0,"Not on Clients",IF(AND(F772="",INT(B772)&lt;TODAY()),"Needs a status","")))))</f>
        <v/>
      </c>
      <c r="I772" s="1">
        <f>IF(ISNUMBER(B772),INT(B772),0)</f>
        <v/>
      </c>
      <c r="J772">
        <f>IF(ISNUMBER(B772),YEAR(B772)*100+MONTH(B772),"")</f>
        <v/>
      </c>
      <c r="K772">
        <f>IF(AND(H772="",OR(F772="Attended",F772="No-show",AND(F772="Late cancel",Settings!$C$9="Yes"))),1,0)</f>
        <v/>
      </c>
      <c r="L772">
        <f>IF(AND(H772="",F772="Attended"),1,0)</f>
        <v/>
      </c>
      <c r="M772">
        <f>IF(AND(H772="",OR(F772="No-show",F772="Late cancel")),1,0)</f>
        <v/>
      </c>
      <c r="N772">
        <f>IF(AND(H772="",F772="",D772&lt;&gt;"",I772&gt;=TODAY()),ROUND((I772+IF(ISNUMBER(C772),MOD(C772,1),0))*1440,0)*10000+ROW(),"")</f>
        <v/>
      </c>
    </row>
    <row r="773">
      <c r="A773" s="1" t="n"/>
      <c r="B773" s="17" t="n"/>
      <c r="C773" s="18" t="n"/>
      <c r="D773" s="19" t="n"/>
      <c r="E773" s="20" t="n"/>
      <c r="F773" s="20" t="n"/>
      <c r="G773" s="21" t="n"/>
      <c r="H773" s="12">
        <f>IF(AND(B773="",D773="",F773=""),"",IF(NOT(ISNUMBER(B773)),"Needs a date",IF(D773="","Needs a client",IF(COUNTIF(Clients!$B$6:$B$105,D773)=0,"Not on Clients",IF(AND(F773="",INT(B773)&lt;TODAY()),"Needs a status","")))))</f>
        <v/>
      </c>
      <c r="I773" s="1">
        <f>IF(ISNUMBER(B773),INT(B773),0)</f>
        <v/>
      </c>
      <c r="J773">
        <f>IF(ISNUMBER(B773),YEAR(B773)*100+MONTH(B773),"")</f>
        <v/>
      </c>
      <c r="K773">
        <f>IF(AND(H773="",OR(F773="Attended",F773="No-show",AND(F773="Late cancel",Settings!$C$9="Yes"))),1,0)</f>
        <v/>
      </c>
      <c r="L773">
        <f>IF(AND(H773="",F773="Attended"),1,0)</f>
        <v/>
      </c>
      <c r="M773">
        <f>IF(AND(H773="",OR(F773="No-show",F773="Late cancel")),1,0)</f>
        <v/>
      </c>
      <c r="N773">
        <f>IF(AND(H773="",F773="",D773&lt;&gt;"",I773&gt;=TODAY()),ROUND((I773+IF(ISNUMBER(C773),MOD(C773,1),0))*1440,0)*10000+ROW(),"")</f>
        <v/>
      </c>
    </row>
    <row r="774">
      <c r="A774" s="1" t="n"/>
      <c r="B774" s="17" t="n"/>
      <c r="C774" s="18" t="n"/>
      <c r="D774" s="19" t="n"/>
      <c r="E774" s="20" t="n"/>
      <c r="F774" s="20" t="n"/>
      <c r="G774" s="21" t="n"/>
      <c r="H774" s="12">
        <f>IF(AND(B774="",D774="",F774=""),"",IF(NOT(ISNUMBER(B774)),"Needs a date",IF(D774="","Needs a client",IF(COUNTIF(Clients!$B$6:$B$105,D774)=0,"Not on Clients",IF(AND(F774="",INT(B774)&lt;TODAY()),"Needs a status","")))))</f>
        <v/>
      </c>
      <c r="I774" s="1">
        <f>IF(ISNUMBER(B774),INT(B774),0)</f>
        <v/>
      </c>
      <c r="J774">
        <f>IF(ISNUMBER(B774),YEAR(B774)*100+MONTH(B774),"")</f>
        <v/>
      </c>
      <c r="K774">
        <f>IF(AND(H774="",OR(F774="Attended",F774="No-show",AND(F774="Late cancel",Settings!$C$9="Yes"))),1,0)</f>
        <v/>
      </c>
      <c r="L774">
        <f>IF(AND(H774="",F774="Attended"),1,0)</f>
        <v/>
      </c>
      <c r="M774">
        <f>IF(AND(H774="",OR(F774="No-show",F774="Late cancel")),1,0)</f>
        <v/>
      </c>
      <c r="N774">
        <f>IF(AND(H774="",F774="",D774&lt;&gt;"",I774&gt;=TODAY()),ROUND((I774+IF(ISNUMBER(C774),MOD(C774,1),0))*1440,0)*10000+ROW(),"")</f>
        <v/>
      </c>
    </row>
    <row r="775">
      <c r="A775" s="1" t="n"/>
      <c r="B775" s="17" t="n"/>
      <c r="C775" s="18" t="n"/>
      <c r="D775" s="19" t="n"/>
      <c r="E775" s="20" t="n"/>
      <c r="F775" s="20" t="n"/>
      <c r="G775" s="21" t="n"/>
      <c r="H775" s="12">
        <f>IF(AND(B775="",D775="",F775=""),"",IF(NOT(ISNUMBER(B775)),"Needs a date",IF(D775="","Needs a client",IF(COUNTIF(Clients!$B$6:$B$105,D775)=0,"Not on Clients",IF(AND(F775="",INT(B775)&lt;TODAY()),"Needs a status","")))))</f>
        <v/>
      </c>
      <c r="I775" s="1">
        <f>IF(ISNUMBER(B775),INT(B775),0)</f>
        <v/>
      </c>
      <c r="J775">
        <f>IF(ISNUMBER(B775),YEAR(B775)*100+MONTH(B775),"")</f>
        <v/>
      </c>
      <c r="K775">
        <f>IF(AND(H775="",OR(F775="Attended",F775="No-show",AND(F775="Late cancel",Settings!$C$9="Yes"))),1,0)</f>
        <v/>
      </c>
      <c r="L775">
        <f>IF(AND(H775="",F775="Attended"),1,0)</f>
        <v/>
      </c>
      <c r="M775">
        <f>IF(AND(H775="",OR(F775="No-show",F775="Late cancel")),1,0)</f>
        <v/>
      </c>
      <c r="N775">
        <f>IF(AND(H775="",F775="",D775&lt;&gt;"",I775&gt;=TODAY()),ROUND((I775+IF(ISNUMBER(C775),MOD(C775,1),0))*1440,0)*10000+ROW(),"")</f>
        <v/>
      </c>
    </row>
    <row r="776">
      <c r="A776" s="1" t="n"/>
      <c r="B776" s="17" t="n"/>
      <c r="C776" s="18" t="n"/>
      <c r="D776" s="19" t="n"/>
      <c r="E776" s="20" t="n"/>
      <c r="F776" s="20" t="n"/>
      <c r="G776" s="21" t="n"/>
      <c r="H776" s="12">
        <f>IF(AND(B776="",D776="",F776=""),"",IF(NOT(ISNUMBER(B776)),"Needs a date",IF(D776="","Needs a client",IF(COUNTIF(Clients!$B$6:$B$105,D776)=0,"Not on Clients",IF(AND(F776="",INT(B776)&lt;TODAY()),"Needs a status","")))))</f>
        <v/>
      </c>
      <c r="I776" s="1">
        <f>IF(ISNUMBER(B776),INT(B776),0)</f>
        <v/>
      </c>
      <c r="J776">
        <f>IF(ISNUMBER(B776),YEAR(B776)*100+MONTH(B776),"")</f>
        <v/>
      </c>
      <c r="K776">
        <f>IF(AND(H776="",OR(F776="Attended",F776="No-show",AND(F776="Late cancel",Settings!$C$9="Yes"))),1,0)</f>
        <v/>
      </c>
      <c r="L776">
        <f>IF(AND(H776="",F776="Attended"),1,0)</f>
        <v/>
      </c>
      <c r="M776">
        <f>IF(AND(H776="",OR(F776="No-show",F776="Late cancel")),1,0)</f>
        <v/>
      </c>
      <c r="N776">
        <f>IF(AND(H776="",F776="",D776&lt;&gt;"",I776&gt;=TODAY()),ROUND((I776+IF(ISNUMBER(C776),MOD(C776,1),0))*1440,0)*10000+ROW(),"")</f>
        <v/>
      </c>
    </row>
    <row r="777">
      <c r="A777" s="1" t="n"/>
      <c r="B777" s="17" t="n"/>
      <c r="C777" s="18" t="n"/>
      <c r="D777" s="19" t="n"/>
      <c r="E777" s="20" t="n"/>
      <c r="F777" s="20" t="n"/>
      <c r="G777" s="21" t="n"/>
      <c r="H777" s="12">
        <f>IF(AND(B777="",D777="",F777=""),"",IF(NOT(ISNUMBER(B777)),"Needs a date",IF(D777="","Needs a client",IF(COUNTIF(Clients!$B$6:$B$105,D777)=0,"Not on Clients",IF(AND(F777="",INT(B777)&lt;TODAY()),"Needs a status","")))))</f>
        <v/>
      </c>
      <c r="I777" s="1">
        <f>IF(ISNUMBER(B777),INT(B777),0)</f>
        <v/>
      </c>
      <c r="J777">
        <f>IF(ISNUMBER(B777),YEAR(B777)*100+MONTH(B777),"")</f>
        <v/>
      </c>
      <c r="K777">
        <f>IF(AND(H777="",OR(F777="Attended",F777="No-show",AND(F777="Late cancel",Settings!$C$9="Yes"))),1,0)</f>
        <v/>
      </c>
      <c r="L777">
        <f>IF(AND(H777="",F777="Attended"),1,0)</f>
        <v/>
      </c>
      <c r="M777">
        <f>IF(AND(H777="",OR(F777="No-show",F777="Late cancel")),1,0)</f>
        <v/>
      </c>
      <c r="N777">
        <f>IF(AND(H777="",F777="",D777&lt;&gt;"",I777&gt;=TODAY()),ROUND((I777+IF(ISNUMBER(C777),MOD(C777,1),0))*1440,0)*10000+ROW(),"")</f>
        <v/>
      </c>
    </row>
    <row r="778">
      <c r="A778" s="1" t="n"/>
      <c r="B778" s="17" t="n"/>
      <c r="C778" s="18" t="n"/>
      <c r="D778" s="19" t="n"/>
      <c r="E778" s="20" t="n"/>
      <c r="F778" s="20" t="n"/>
      <c r="G778" s="21" t="n"/>
      <c r="H778" s="12">
        <f>IF(AND(B778="",D778="",F778=""),"",IF(NOT(ISNUMBER(B778)),"Needs a date",IF(D778="","Needs a client",IF(COUNTIF(Clients!$B$6:$B$105,D778)=0,"Not on Clients",IF(AND(F778="",INT(B778)&lt;TODAY()),"Needs a status","")))))</f>
        <v/>
      </c>
      <c r="I778" s="1">
        <f>IF(ISNUMBER(B778),INT(B778),0)</f>
        <v/>
      </c>
      <c r="J778">
        <f>IF(ISNUMBER(B778),YEAR(B778)*100+MONTH(B778),"")</f>
        <v/>
      </c>
      <c r="K778">
        <f>IF(AND(H778="",OR(F778="Attended",F778="No-show",AND(F778="Late cancel",Settings!$C$9="Yes"))),1,0)</f>
        <v/>
      </c>
      <c r="L778">
        <f>IF(AND(H778="",F778="Attended"),1,0)</f>
        <v/>
      </c>
      <c r="M778">
        <f>IF(AND(H778="",OR(F778="No-show",F778="Late cancel")),1,0)</f>
        <v/>
      </c>
      <c r="N778">
        <f>IF(AND(H778="",F778="",D778&lt;&gt;"",I778&gt;=TODAY()),ROUND((I778+IF(ISNUMBER(C778),MOD(C778,1),0))*1440,0)*10000+ROW(),"")</f>
        <v/>
      </c>
    </row>
    <row r="779">
      <c r="A779" s="1" t="n"/>
      <c r="B779" s="17" t="n"/>
      <c r="C779" s="18" t="n"/>
      <c r="D779" s="19" t="n"/>
      <c r="E779" s="20" t="n"/>
      <c r="F779" s="20" t="n"/>
      <c r="G779" s="21" t="n"/>
      <c r="H779" s="12">
        <f>IF(AND(B779="",D779="",F779=""),"",IF(NOT(ISNUMBER(B779)),"Needs a date",IF(D779="","Needs a client",IF(COUNTIF(Clients!$B$6:$B$105,D779)=0,"Not on Clients",IF(AND(F779="",INT(B779)&lt;TODAY()),"Needs a status","")))))</f>
        <v/>
      </c>
      <c r="I779" s="1">
        <f>IF(ISNUMBER(B779),INT(B779),0)</f>
        <v/>
      </c>
      <c r="J779">
        <f>IF(ISNUMBER(B779),YEAR(B779)*100+MONTH(B779),"")</f>
        <v/>
      </c>
      <c r="K779">
        <f>IF(AND(H779="",OR(F779="Attended",F779="No-show",AND(F779="Late cancel",Settings!$C$9="Yes"))),1,0)</f>
        <v/>
      </c>
      <c r="L779">
        <f>IF(AND(H779="",F779="Attended"),1,0)</f>
        <v/>
      </c>
      <c r="M779">
        <f>IF(AND(H779="",OR(F779="No-show",F779="Late cancel")),1,0)</f>
        <v/>
      </c>
      <c r="N779">
        <f>IF(AND(H779="",F779="",D779&lt;&gt;"",I779&gt;=TODAY()),ROUND((I779+IF(ISNUMBER(C779),MOD(C779,1),0))*1440,0)*10000+ROW(),"")</f>
        <v/>
      </c>
    </row>
    <row r="780">
      <c r="A780" s="1" t="n"/>
      <c r="B780" s="17" t="n"/>
      <c r="C780" s="18" t="n"/>
      <c r="D780" s="19" t="n"/>
      <c r="E780" s="20" t="n"/>
      <c r="F780" s="20" t="n"/>
      <c r="G780" s="21" t="n"/>
      <c r="H780" s="12">
        <f>IF(AND(B780="",D780="",F780=""),"",IF(NOT(ISNUMBER(B780)),"Needs a date",IF(D780="","Needs a client",IF(COUNTIF(Clients!$B$6:$B$105,D780)=0,"Not on Clients",IF(AND(F780="",INT(B780)&lt;TODAY()),"Needs a status","")))))</f>
        <v/>
      </c>
      <c r="I780" s="1">
        <f>IF(ISNUMBER(B780),INT(B780),0)</f>
        <v/>
      </c>
      <c r="J780">
        <f>IF(ISNUMBER(B780),YEAR(B780)*100+MONTH(B780),"")</f>
        <v/>
      </c>
      <c r="K780">
        <f>IF(AND(H780="",OR(F780="Attended",F780="No-show",AND(F780="Late cancel",Settings!$C$9="Yes"))),1,0)</f>
        <v/>
      </c>
      <c r="L780">
        <f>IF(AND(H780="",F780="Attended"),1,0)</f>
        <v/>
      </c>
      <c r="M780">
        <f>IF(AND(H780="",OR(F780="No-show",F780="Late cancel")),1,0)</f>
        <v/>
      </c>
      <c r="N780">
        <f>IF(AND(H780="",F780="",D780&lt;&gt;"",I780&gt;=TODAY()),ROUND((I780+IF(ISNUMBER(C780),MOD(C780,1),0))*1440,0)*10000+ROW(),"")</f>
        <v/>
      </c>
    </row>
    <row r="781">
      <c r="A781" s="1" t="n"/>
      <c r="B781" s="17" t="n"/>
      <c r="C781" s="18" t="n"/>
      <c r="D781" s="19" t="n"/>
      <c r="E781" s="20" t="n"/>
      <c r="F781" s="20" t="n"/>
      <c r="G781" s="21" t="n"/>
      <c r="H781" s="12">
        <f>IF(AND(B781="",D781="",F781=""),"",IF(NOT(ISNUMBER(B781)),"Needs a date",IF(D781="","Needs a client",IF(COUNTIF(Clients!$B$6:$B$105,D781)=0,"Not on Clients",IF(AND(F781="",INT(B781)&lt;TODAY()),"Needs a status","")))))</f>
        <v/>
      </c>
      <c r="I781" s="1">
        <f>IF(ISNUMBER(B781),INT(B781),0)</f>
        <v/>
      </c>
      <c r="J781">
        <f>IF(ISNUMBER(B781),YEAR(B781)*100+MONTH(B781),"")</f>
        <v/>
      </c>
      <c r="K781">
        <f>IF(AND(H781="",OR(F781="Attended",F781="No-show",AND(F781="Late cancel",Settings!$C$9="Yes"))),1,0)</f>
        <v/>
      </c>
      <c r="L781">
        <f>IF(AND(H781="",F781="Attended"),1,0)</f>
        <v/>
      </c>
      <c r="M781">
        <f>IF(AND(H781="",OR(F781="No-show",F781="Late cancel")),1,0)</f>
        <v/>
      </c>
      <c r="N781">
        <f>IF(AND(H781="",F781="",D781&lt;&gt;"",I781&gt;=TODAY()),ROUND((I781+IF(ISNUMBER(C781),MOD(C781,1),0))*1440,0)*10000+ROW(),"")</f>
        <v/>
      </c>
    </row>
    <row r="782">
      <c r="A782" s="1" t="n"/>
      <c r="B782" s="17" t="n"/>
      <c r="C782" s="18" t="n"/>
      <c r="D782" s="19" t="n"/>
      <c r="E782" s="20" t="n"/>
      <c r="F782" s="20" t="n"/>
      <c r="G782" s="21" t="n"/>
      <c r="H782" s="12">
        <f>IF(AND(B782="",D782="",F782=""),"",IF(NOT(ISNUMBER(B782)),"Needs a date",IF(D782="","Needs a client",IF(COUNTIF(Clients!$B$6:$B$105,D782)=0,"Not on Clients",IF(AND(F782="",INT(B782)&lt;TODAY()),"Needs a status","")))))</f>
        <v/>
      </c>
      <c r="I782" s="1">
        <f>IF(ISNUMBER(B782),INT(B782),0)</f>
        <v/>
      </c>
      <c r="J782">
        <f>IF(ISNUMBER(B782),YEAR(B782)*100+MONTH(B782),"")</f>
        <v/>
      </c>
      <c r="K782">
        <f>IF(AND(H782="",OR(F782="Attended",F782="No-show",AND(F782="Late cancel",Settings!$C$9="Yes"))),1,0)</f>
        <v/>
      </c>
      <c r="L782">
        <f>IF(AND(H782="",F782="Attended"),1,0)</f>
        <v/>
      </c>
      <c r="M782">
        <f>IF(AND(H782="",OR(F782="No-show",F782="Late cancel")),1,0)</f>
        <v/>
      </c>
      <c r="N782">
        <f>IF(AND(H782="",F782="",D782&lt;&gt;"",I782&gt;=TODAY()),ROUND((I782+IF(ISNUMBER(C782),MOD(C782,1),0))*1440,0)*10000+ROW(),"")</f>
        <v/>
      </c>
    </row>
    <row r="783">
      <c r="A783" s="1" t="n"/>
      <c r="B783" s="17" t="n"/>
      <c r="C783" s="18" t="n"/>
      <c r="D783" s="19" t="n"/>
      <c r="E783" s="20" t="n"/>
      <c r="F783" s="20" t="n"/>
      <c r="G783" s="21" t="n"/>
      <c r="H783" s="12">
        <f>IF(AND(B783="",D783="",F783=""),"",IF(NOT(ISNUMBER(B783)),"Needs a date",IF(D783="","Needs a client",IF(COUNTIF(Clients!$B$6:$B$105,D783)=0,"Not on Clients",IF(AND(F783="",INT(B783)&lt;TODAY()),"Needs a status","")))))</f>
        <v/>
      </c>
      <c r="I783" s="1">
        <f>IF(ISNUMBER(B783),INT(B783),0)</f>
        <v/>
      </c>
      <c r="J783">
        <f>IF(ISNUMBER(B783),YEAR(B783)*100+MONTH(B783),"")</f>
        <v/>
      </c>
      <c r="K783">
        <f>IF(AND(H783="",OR(F783="Attended",F783="No-show",AND(F783="Late cancel",Settings!$C$9="Yes"))),1,0)</f>
        <v/>
      </c>
      <c r="L783">
        <f>IF(AND(H783="",F783="Attended"),1,0)</f>
        <v/>
      </c>
      <c r="M783">
        <f>IF(AND(H783="",OR(F783="No-show",F783="Late cancel")),1,0)</f>
        <v/>
      </c>
      <c r="N783">
        <f>IF(AND(H783="",F783="",D783&lt;&gt;"",I783&gt;=TODAY()),ROUND((I783+IF(ISNUMBER(C783),MOD(C783,1),0))*1440,0)*10000+ROW(),"")</f>
        <v/>
      </c>
    </row>
    <row r="784">
      <c r="A784" s="1" t="n"/>
      <c r="B784" s="17" t="n"/>
      <c r="C784" s="18" t="n"/>
      <c r="D784" s="19" t="n"/>
      <c r="E784" s="20" t="n"/>
      <c r="F784" s="20" t="n"/>
      <c r="G784" s="21" t="n"/>
      <c r="H784" s="12">
        <f>IF(AND(B784="",D784="",F784=""),"",IF(NOT(ISNUMBER(B784)),"Needs a date",IF(D784="","Needs a client",IF(COUNTIF(Clients!$B$6:$B$105,D784)=0,"Not on Clients",IF(AND(F784="",INT(B784)&lt;TODAY()),"Needs a status","")))))</f>
        <v/>
      </c>
      <c r="I784" s="1">
        <f>IF(ISNUMBER(B784),INT(B784),0)</f>
        <v/>
      </c>
      <c r="J784">
        <f>IF(ISNUMBER(B784),YEAR(B784)*100+MONTH(B784),"")</f>
        <v/>
      </c>
      <c r="K784">
        <f>IF(AND(H784="",OR(F784="Attended",F784="No-show",AND(F784="Late cancel",Settings!$C$9="Yes"))),1,0)</f>
        <v/>
      </c>
      <c r="L784">
        <f>IF(AND(H784="",F784="Attended"),1,0)</f>
        <v/>
      </c>
      <c r="M784">
        <f>IF(AND(H784="",OR(F784="No-show",F784="Late cancel")),1,0)</f>
        <v/>
      </c>
      <c r="N784">
        <f>IF(AND(H784="",F784="",D784&lt;&gt;"",I784&gt;=TODAY()),ROUND((I784+IF(ISNUMBER(C784),MOD(C784,1),0))*1440,0)*10000+ROW(),"")</f>
        <v/>
      </c>
    </row>
    <row r="785">
      <c r="A785" s="1" t="n"/>
      <c r="B785" s="17" t="n"/>
      <c r="C785" s="18" t="n"/>
      <c r="D785" s="19" t="n"/>
      <c r="E785" s="20" t="n"/>
      <c r="F785" s="20" t="n"/>
      <c r="G785" s="21" t="n"/>
      <c r="H785" s="12">
        <f>IF(AND(B785="",D785="",F785=""),"",IF(NOT(ISNUMBER(B785)),"Needs a date",IF(D785="","Needs a client",IF(COUNTIF(Clients!$B$6:$B$105,D785)=0,"Not on Clients",IF(AND(F785="",INT(B785)&lt;TODAY()),"Needs a status","")))))</f>
        <v/>
      </c>
      <c r="I785" s="1">
        <f>IF(ISNUMBER(B785),INT(B785),0)</f>
        <v/>
      </c>
      <c r="J785">
        <f>IF(ISNUMBER(B785),YEAR(B785)*100+MONTH(B785),"")</f>
        <v/>
      </c>
      <c r="K785">
        <f>IF(AND(H785="",OR(F785="Attended",F785="No-show",AND(F785="Late cancel",Settings!$C$9="Yes"))),1,0)</f>
        <v/>
      </c>
      <c r="L785">
        <f>IF(AND(H785="",F785="Attended"),1,0)</f>
        <v/>
      </c>
      <c r="M785">
        <f>IF(AND(H785="",OR(F785="No-show",F785="Late cancel")),1,0)</f>
        <v/>
      </c>
      <c r="N785">
        <f>IF(AND(H785="",F785="",D785&lt;&gt;"",I785&gt;=TODAY()),ROUND((I785+IF(ISNUMBER(C785),MOD(C785,1),0))*1440,0)*10000+ROW(),"")</f>
        <v/>
      </c>
    </row>
    <row r="786">
      <c r="A786" s="1" t="n"/>
      <c r="B786" s="17" t="n"/>
      <c r="C786" s="18" t="n"/>
      <c r="D786" s="19" t="n"/>
      <c r="E786" s="20" t="n"/>
      <c r="F786" s="20" t="n"/>
      <c r="G786" s="21" t="n"/>
      <c r="H786" s="12">
        <f>IF(AND(B786="",D786="",F786=""),"",IF(NOT(ISNUMBER(B786)),"Needs a date",IF(D786="","Needs a client",IF(COUNTIF(Clients!$B$6:$B$105,D786)=0,"Not on Clients",IF(AND(F786="",INT(B786)&lt;TODAY()),"Needs a status","")))))</f>
        <v/>
      </c>
      <c r="I786" s="1">
        <f>IF(ISNUMBER(B786),INT(B786),0)</f>
        <v/>
      </c>
      <c r="J786">
        <f>IF(ISNUMBER(B786),YEAR(B786)*100+MONTH(B786),"")</f>
        <v/>
      </c>
      <c r="K786">
        <f>IF(AND(H786="",OR(F786="Attended",F786="No-show",AND(F786="Late cancel",Settings!$C$9="Yes"))),1,0)</f>
        <v/>
      </c>
      <c r="L786">
        <f>IF(AND(H786="",F786="Attended"),1,0)</f>
        <v/>
      </c>
      <c r="M786">
        <f>IF(AND(H786="",OR(F786="No-show",F786="Late cancel")),1,0)</f>
        <v/>
      </c>
      <c r="N786">
        <f>IF(AND(H786="",F786="",D786&lt;&gt;"",I786&gt;=TODAY()),ROUND((I786+IF(ISNUMBER(C786),MOD(C786,1),0))*1440,0)*10000+ROW(),"")</f>
        <v/>
      </c>
    </row>
    <row r="787">
      <c r="A787" s="1" t="n"/>
      <c r="B787" s="17" t="n"/>
      <c r="C787" s="18" t="n"/>
      <c r="D787" s="19" t="n"/>
      <c r="E787" s="20" t="n"/>
      <c r="F787" s="20" t="n"/>
      <c r="G787" s="21" t="n"/>
      <c r="H787" s="12">
        <f>IF(AND(B787="",D787="",F787=""),"",IF(NOT(ISNUMBER(B787)),"Needs a date",IF(D787="","Needs a client",IF(COUNTIF(Clients!$B$6:$B$105,D787)=0,"Not on Clients",IF(AND(F787="",INT(B787)&lt;TODAY()),"Needs a status","")))))</f>
        <v/>
      </c>
      <c r="I787" s="1">
        <f>IF(ISNUMBER(B787),INT(B787),0)</f>
        <v/>
      </c>
      <c r="J787">
        <f>IF(ISNUMBER(B787),YEAR(B787)*100+MONTH(B787),"")</f>
        <v/>
      </c>
      <c r="K787">
        <f>IF(AND(H787="",OR(F787="Attended",F787="No-show",AND(F787="Late cancel",Settings!$C$9="Yes"))),1,0)</f>
        <v/>
      </c>
      <c r="L787">
        <f>IF(AND(H787="",F787="Attended"),1,0)</f>
        <v/>
      </c>
      <c r="M787">
        <f>IF(AND(H787="",OR(F787="No-show",F787="Late cancel")),1,0)</f>
        <v/>
      </c>
      <c r="N787">
        <f>IF(AND(H787="",F787="",D787&lt;&gt;"",I787&gt;=TODAY()),ROUND((I787+IF(ISNUMBER(C787),MOD(C787,1),0))*1440,0)*10000+ROW(),"")</f>
        <v/>
      </c>
    </row>
    <row r="788">
      <c r="A788" s="1" t="n"/>
      <c r="B788" s="17" t="n"/>
      <c r="C788" s="18" t="n"/>
      <c r="D788" s="19" t="n"/>
      <c r="E788" s="20" t="n"/>
      <c r="F788" s="20" t="n"/>
      <c r="G788" s="21" t="n"/>
      <c r="H788" s="12">
        <f>IF(AND(B788="",D788="",F788=""),"",IF(NOT(ISNUMBER(B788)),"Needs a date",IF(D788="","Needs a client",IF(COUNTIF(Clients!$B$6:$B$105,D788)=0,"Not on Clients",IF(AND(F788="",INT(B788)&lt;TODAY()),"Needs a status","")))))</f>
        <v/>
      </c>
      <c r="I788" s="1">
        <f>IF(ISNUMBER(B788),INT(B788),0)</f>
        <v/>
      </c>
      <c r="J788">
        <f>IF(ISNUMBER(B788),YEAR(B788)*100+MONTH(B788),"")</f>
        <v/>
      </c>
      <c r="K788">
        <f>IF(AND(H788="",OR(F788="Attended",F788="No-show",AND(F788="Late cancel",Settings!$C$9="Yes"))),1,0)</f>
        <v/>
      </c>
      <c r="L788">
        <f>IF(AND(H788="",F788="Attended"),1,0)</f>
        <v/>
      </c>
      <c r="M788">
        <f>IF(AND(H788="",OR(F788="No-show",F788="Late cancel")),1,0)</f>
        <v/>
      </c>
      <c r="N788">
        <f>IF(AND(H788="",F788="",D788&lt;&gt;"",I788&gt;=TODAY()),ROUND((I788+IF(ISNUMBER(C788),MOD(C788,1),0))*1440,0)*10000+ROW(),"")</f>
        <v/>
      </c>
    </row>
    <row r="789">
      <c r="A789" s="1" t="n"/>
      <c r="B789" s="17" t="n"/>
      <c r="C789" s="18" t="n"/>
      <c r="D789" s="19" t="n"/>
      <c r="E789" s="20" t="n"/>
      <c r="F789" s="20" t="n"/>
      <c r="G789" s="21" t="n"/>
      <c r="H789" s="12">
        <f>IF(AND(B789="",D789="",F789=""),"",IF(NOT(ISNUMBER(B789)),"Needs a date",IF(D789="","Needs a client",IF(COUNTIF(Clients!$B$6:$B$105,D789)=0,"Not on Clients",IF(AND(F789="",INT(B789)&lt;TODAY()),"Needs a status","")))))</f>
        <v/>
      </c>
      <c r="I789" s="1">
        <f>IF(ISNUMBER(B789),INT(B789),0)</f>
        <v/>
      </c>
      <c r="J789">
        <f>IF(ISNUMBER(B789),YEAR(B789)*100+MONTH(B789),"")</f>
        <v/>
      </c>
      <c r="K789">
        <f>IF(AND(H789="",OR(F789="Attended",F789="No-show",AND(F789="Late cancel",Settings!$C$9="Yes"))),1,0)</f>
        <v/>
      </c>
      <c r="L789">
        <f>IF(AND(H789="",F789="Attended"),1,0)</f>
        <v/>
      </c>
      <c r="M789">
        <f>IF(AND(H789="",OR(F789="No-show",F789="Late cancel")),1,0)</f>
        <v/>
      </c>
      <c r="N789">
        <f>IF(AND(H789="",F789="",D789&lt;&gt;"",I789&gt;=TODAY()),ROUND((I789+IF(ISNUMBER(C789),MOD(C789,1),0))*1440,0)*10000+ROW(),"")</f>
        <v/>
      </c>
    </row>
    <row r="790">
      <c r="A790" s="1" t="n"/>
      <c r="B790" s="17" t="n"/>
      <c r="C790" s="18" t="n"/>
      <c r="D790" s="19" t="n"/>
      <c r="E790" s="20" t="n"/>
      <c r="F790" s="20" t="n"/>
      <c r="G790" s="21" t="n"/>
      <c r="H790" s="12">
        <f>IF(AND(B790="",D790="",F790=""),"",IF(NOT(ISNUMBER(B790)),"Needs a date",IF(D790="","Needs a client",IF(COUNTIF(Clients!$B$6:$B$105,D790)=0,"Not on Clients",IF(AND(F790="",INT(B790)&lt;TODAY()),"Needs a status","")))))</f>
        <v/>
      </c>
      <c r="I790" s="1">
        <f>IF(ISNUMBER(B790),INT(B790),0)</f>
        <v/>
      </c>
      <c r="J790">
        <f>IF(ISNUMBER(B790),YEAR(B790)*100+MONTH(B790),"")</f>
        <v/>
      </c>
      <c r="K790">
        <f>IF(AND(H790="",OR(F790="Attended",F790="No-show",AND(F790="Late cancel",Settings!$C$9="Yes"))),1,0)</f>
        <v/>
      </c>
      <c r="L790">
        <f>IF(AND(H790="",F790="Attended"),1,0)</f>
        <v/>
      </c>
      <c r="M790">
        <f>IF(AND(H790="",OR(F790="No-show",F790="Late cancel")),1,0)</f>
        <v/>
      </c>
      <c r="N790">
        <f>IF(AND(H790="",F790="",D790&lt;&gt;"",I790&gt;=TODAY()),ROUND((I790+IF(ISNUMBER(C790),MOD(C790,1),0))*1440,0)*10000+ROW(),"")</f>
        <v/>
      </c>
    </row>
    <row r="791">
      <c r="A791" s="1" t="n"/>
      <c r="B791" s="17" t="n"/>
      <c r="C791" s="18" t="n"/>
      <c r="D791" s="19" t="n"/>
      <c r="E791" s="20" t="n"/>
      <c r="F791" s="20" t="n"/>
      <c r="G791" s="21" t="n"/>
      <c r="H791" s="12">
        <f>IF(AND(B791="",D791="",F791=""),"",IF(NOT(ISNUMBER(B791)),"Needs a date",IF(D791="","Needs a client",IF(COUNTIF(Clients!$B$6:$B$105,D791)=0,"Not on Clients",IF(AND(F791="",INT(B791)&lt;TODAY()),"Needs a status","")))))</f>
        <v/>
      </c>
      <c r="I791" s="1">
        <f>IF(ISNUMBER(B791),INT(B791),0)</f>
        <v/>
      </c>
      <c r="J791">
        <f>IF(ISNUMBER(B791),YEAR(B791)*100+MONTH(B791),"")</f>
        <v/>
      </c>
      <c r="K791">
        <f>IF(AND(H791="",OR(F791="Attended",F791="No-show",AND(F791="Late cancel",Settings!$C$9="Yes"))),1,0)</f>
        <v/>
      </c>
      <c r="L791">
        <f>IF(AND(H791="",F791="Attended"),1,0)</f>
        <v/>
      </c>
      <c r="M791">
        <f>IF(AND(H791="",OR(F791="No-show",F791="Late cancel")),1,0)</f>
        <v/>
      </c>
      <c r="N791">
        <f>IF(AND(H791="",F791="",D791&lt;&gt;"",I791&gt;=TODAY()),ROUND((I791+IF(ISNUMBER(C791),MOD(C791,1),0))*1440,0)*10000+ROW(),"")</f>
        <v/>
      </c>
    </row>
    <row r="792">
      <c r="A792" s="1" t="n"/>
      <c r="B792" s="17" t="n"/>
      <c r="C792" s="18" t="n"/>
      <c r="D792" s="19" t="n"/>
      <c r="E792" s="20" t="n"/>
      <c r="F792" s="20" t="n"/>
      <c r="G792" s="21" t="n"/>
      <c r="H792" s="12">
        <f>IF(AND(B792="",D792="",F792=""),"",IF(NOT(ISNUMBER(B792)),"Needs a date",IF(D792="","Needs a client",IF(COUNTIF(Clients!$B$6:$B$105,D792)=0,"Not on Clients",IF(AND(F792="",INT(B792)&lt;TODAY()),"Needs a status","")))))</f>
        <v/>
      </c>
      <c r="I792" s="1">
        <f>IF(ISNUMBER(B792),INT(B792),0)</f>
        <v/>
      </c>
      <c r="J792">
        <f>IF(ISNUMBER(B792),YEAR(B792)*100+MONTH(B792),"")</f>
        <v/>
      </c>
      <c r="K792">
        <f>IF(AND(H792="",OR(F792="Attended",F792="No-show",AND(F792="Late cancel",Settings!$C$9="Yes"))),1,0)</f>
        <v/>
      </c>
      <c r="L792">
        <f>IF(AND(H792="",F792="Attended"),1,0)</f>
        <v/>
      </c>
      <c r="M792">
        <f>IF(AND(H792="",OR(F792="No-show",F792="Late cancel")),1,0)</f>
        <v/>
      </c>
      <c r="N792">
        <f>IF(AND(H792="",F792="",D792&lt;&gt;"",I792&gt;=TODAY()),ROUND((I792+IF(ISNUMBER(C792),MOD(C792,1),0))*1440,0)*10000+ROW(),"")</f>
        <v/>
      </c>
    </row>
    <row r="793">
      <c r="A793" s="1" t="n"/>
      <c r="B793" s="17" t="n"/>
      <c r="C793" s="18" t="n"/>
      <c r="D793" s="19" t="n"/>
      <c r="E793" s="20" t="n"/>
      <c r="F793" s="20" t="n"/>
      <c r="G793" s="21" t="n"/>
      <c r="H793" s="12">
        <f>IF(AND(B793="",D793="",F793=""),"",IF(NOT(ISNUMBER(B793)),"Needs a date",IF(D793="","Needs a client",IF(COUNTIF(Clients!$B$6:$B$105,D793)=0,"Not on Clients",IF(AND(F793="",INT(B793)&lt;TODAY()),"Needs a status","")))))</f>
        <v/>
      </c>
      <c r="I793" s="1">
        <f>IF(ISNUMBER(B793),INT(B793),0)</f>
        <v/>
      </c>
      <c r="J793">
        <f>IF(ISNUMBER(B793),YEAR(B793)*100+MONTH(B793),"")</f>
        <v/>
      </c>
      <c r="K793">
        <f>IF(AND(H793="",OR(F793="Attended",F793="No-show",AND(F793="Late cancel",Settings!$C$9="Yes"))),1,0)</f>
        <v/>
      </c>
      <c r="L793">
        <f>IF(AND(H793="",F793="Attended"),1,0)</f>
        <v/>
      </c>
      <c r="M793">
        <f>IF(AND(H793="",OR(F793="No-show",F793="Late cancel")),1,0)</f>
        <v/>
      </c>
      <c r="N793">
        <f>IF(AND(H793="",F793="",D793&lt;&gt;"",I793&gt;=TODAY()),ROUND((I793+IF(ISNUMBER(C793),MOD(C793,1),0))*1440,0)*10000+ROW(),"")</f>
        <v/>
      </c>
    </row>
    <row r="794">
      <c r="A794" s="1" t="n"/>
      <c r="B794" s="17" t="n"/>
      <c r="C794" s="18" t="n"/>
      <c r="D794" s="19" t="n"/>
      <c r="E794" s="20" t="n"/>
      <c r="F794" s="20" t="n"/>
      <c r="G794" s="21" t="n"/>
      <c r="H794" s="12">
        <f>IF(AND(B794="",D794="",F794=""),"",IF(NOT(ISNUMBER(B794)),"Needs a date",IF(D794="","Needs a client",IF(COUNTIF(Clients!$B$6:$B$105,D794)=0,"Not on Clients",IF(AND(F794="",INT(B794)&lt;TODAY()),"Needs a status","")))))</f>
        <v/>
      </c>
      <c r="I794" s="1">
        <f>IF(ISNUMBER(B794),INT(B794),0)</f>
        <v/>
      </c>
      <c r="J794">
        <f>IF(ISNUMBER(B794),YEAR(B794)*100+MONTH(B794),"")</f>
        <v/>
      </c>
      <c r="K794">
        <f>IF(AND(H794="",OR(F794="Attended",F794="No-show",AND(F794="Late cancel",Settings!$C$9="Yes"))),1,0)</f>
        <v/>
      </c>
      <c r="L794">
        <f>IF(AND(H794="",F794="Attended"),1,0)</f>
        <v/>
      </c>
      <c r="M794">
        <f>IF(AND(H794="",OR(F794="No-show",F794="Late cancel")),1,0)</f>
        <v/>
      </c>
      <c r="N794">
        <f>IF(AND(H794="",F794="",D794&lt;&gt;"",I794&gt;=TODAY()),ROUND((I794+IF(ISNUMBER(C794),MOD(C794,1),0))*1440,0)*10000+ROW(),"")</f>
        <v/>
      </c>
    </row>
    <row r="795">
      <c r="A795" s="1" t="n"/>
      <c r="B795" s="17" t="n"/>
      <c r="C795" s="18" t="n"/>
      <c r="D795" s="19" t="n"/>
      <c r="E795" s="20" t="n"/>
      <c r="F795" s="20" t="n"/>
      <c r="G795" s="21" t="n"/>
      <c r="H795" s="12">
        <f>IF(AND(B795="",D795="",F795=""),"",IF(NOT(ISNUMBER(B795)),"Needs a date",IF(D795="","Needs a client",IF(COUNTIF(Clients!$B$6:$B$105,D795)=0,"Not on Clients",IF(AND(F795="",INT(B795)&lt;TODAY()),"Needs a status","")))))</f>
        <v/>
      </c>
      <c r="I795" s="1">
        <f>IF(ISNUMBER(B795),INT(B795),0)</f>
        <v/>
      </c>
      <c r="J795">
        <f>IF(ISNUMBER(B795),YEAR(B795)*100+MONTH(B795),"")</f>
        <v/>
      </c>
      <c r="K795">
        <f>IF(AND(H795="",OR(F795="Attended",F795="No-show",AND(F795="Late cancel",Settings!$C$9="Yes"))),1,0)</f>
        <v/>
      </c>
      <c r="L795">
        <f>IF(AND(H795="",F795="Attended"),1,0)</f>
        <v/>
      </c>
      <c r="M795">
        <f>IF(AND(H795="",OR(F795="No-show",F795="Late cancel")),1,0)</f>
        <v/>
      </c>
      <c r="N795">
        <f>IF(AND(H795="",F795="",D795&lt;&gt;"",I795&gt;=TODAY()),ROUND((I795+IF(ISNUMBER(C795),MOD(C795,1),0))*1440,0)*10000+ROW(),"")</f>
        <v/>
      </c>
    </row>
    <row r="796">
      <c r="A796" s="1" t="n"/>
      <c r="B796" s="17" t="n"/>
      <c r="C796" s="18" t="n"/>
      <c r="D796" s="19" t="n"/>
      <c r="E796" s="20" t="n"/>
      <c r="F796" s="20" t="n"/>
      <c r="G796" s="21" t="n"/>
      <c r="H796" s="12">
        <f>IF(AND(B796="",D796="",F796=""),"",IF(NOT(ISNUMBER(B796)),"Needs a date",IF(D796="","Needs a client",IF(COUNTIF(Clients!$B$6:$B$105,D796)=0,"Not on Clients",IF(AND(F796="",INT(B796)&lt;TODAY()),"Needs a status","")))))</f>
        <v/>
      </c>
      <c r="I796" s="1">
        <f>IF(ISNUMBER(B796),INT(B796),0)</f>
        <v/>
      </c>
      <c r="J796">
        <f>IF(ISNUMBER(B796),YEAR(B796)*100+MONTH(B796),"")</f>
        <v/>
      </c>
      <c r="K796">
        <f>IF(AND(H796="",OR(F796="Attended",F796="No-show",AND(F796="Late cancel",Settings!$C$9="Yes"))),1,0)</f>
        <v/>
      </c>
      <c r="L796">
        <f>IF(AND(H796="",F796="Attended"),1,0)</f>
        <v/>
      </c>
      <c r="M796">
        <f>IF(AND(H796="",OR(F796="No-show",F796="Late cancel")),1,0)</f>
        <v/>
      </c>
      <c r="N796">
        <f>IF(AND(H796="",F796="",D796&lt;&gt;"",I796&gt;=TODAY()),ROUND((I796+IF(ISNUMBER(C796),MOD(C796,1),0))*1440,0)*10000+ROW(),"")</f>
        <v/>
      </c>
    </row>
    <row r="797">
      <c r="A797" s="1" t="n"/>
      <c r="B797" s="17" t="n"/>
      <c r="C797" s="18" t="n"/>
      <c r="D797" s="19" t="n"/>
      <c r="E797" s="20" t="n"/>
      <c r="F797" s="20" t="n"/>
      <c r="G797" s="21" t="n"/>
      <c r="H797" s="12">
        <f>IF(AND(B797="",D797="",F797=""),"",IF(NOT(ISNUMBER(B797)),"Needs a date",IF(D797="","Needs a client",IF(COUNTIF(Clients!$B$6:$B$105,D797)=0,"Not on Clients",IF(AND(F797="",INT(B797)&lt;TODAY()),"Needs a status","")))))</f>
        <v/>
      </c>
      <c r="I797" s="1">
        <f>IF(ISNUMBER(B797),INT(B797),0)</f>
        <v/>
      </c>
      <c r="J797">
        <f>IF(ISNUMBER(B797),YEAR(B797)*100+MONTH(B797),"")</f>
        <v/>
      </c>
      <c r="K797">
        <f>IF(AND(H797="",OR(F797="Attended",F797="No-show",AND(F797="Late cancel",Settings!$C$9="Yes"))),1,0)</f>
        <v/>
      </c>
      <c r="L797">
        <f>IF(AND(H797="",F797="Attended"),1,0)</f>
        <v/>
      </c>
      <c r="M797">
        <f>IF(AND(H797="",OR(F797="No-show",F797="Late cancel")),1,0)</f>
        <v/>
      </c>
      <c r="N797">
        <f>IF(AND(H797="",F797="",D797&lt;&gt;"",I797&gt;=TODAY()),ROUND((I797+IF(ISNUMBER(C797),MOD(C797,1),0))*1440,0)*10000+ROW(),"")</f>
        <v/>
      </c>
    </row>
    <row r="798">
      <c r="A798" s="1" t="n"/>
      <c r="B798" s="17" t="n"/>
      <c r="C798" s="18" t="n"/>
      <c r="D798" s="19" t="n"/>
      <c r="E798" s="20" t="n"/>
      <c r="F798" s="20" t="n"/>
      <c r="G798" s="21" t="n"/>
      <c r="H798" s="12">
        <f>IF(AND(B798="",D798="",F798=""),"",IF(NOT(ISNUMBER(B798)),"Needs a date",IF(D798="","Needs a client",IF(COUNTIF(Clients!$B$6:$B$105,D798)=0,"Not on Clients",IF(AND(F798="",INT(B798)&lt;TODAY()),"Needs a status","")))))</f>
        <v/>
      </c>
      <c r="I798" s="1">
        <f>IF(ISNUMBER(B798),INT(B798),0)</f>
        <v/>
      </c>
      <c r="J798">
        <f>IF(ISNUMBER(B798),YEAR(B798)*100+MONTH(B798),"")</f>
        <v/>
      </c>
      <c r="K798">
        <f>IF(AND(H798="",OR(F798="Attended",F798="No-show",AND(F798="Late cancel",Settings!$C$9="Yes"))),1,0)</f>
        <v/>
      </c>
      <c r="L798">
        <f>IF(AND(H798="",F798="Attended"),1,0)</f>
        <v/>
      </c>
      <c r="M798">
        <f>IF(AND(H798="",OR(F798="No-show",F798="Late cancel")),1,0)</f>
        <v/>
      </c>
      <c r="N798">
        <f>IF(AND(H798="",F798="",D798&lt;&gt;"",I798&gt;=TODAY()),ROUND((I798+IF(ISNUMBER(C798),MOD(C798,1),0))*1440,0)*10000+ROW(),"")</f>
        <v/>
      </c>
    </row>
    <row r="799">
      <c r="A799" s="1" t="n"/>
      <c r="B799" s="17" t="n"/>
      <c r="C799" s="18" t="n"/>
      <c r="D799" s="19" t="n"/>
      <c r="E799" s="20" t="n"/>
      <c r="F799" s="20" t="n"/>
      <c r="G799" s="21" t="n"/>
      <c r="H799" s="12">
        <f>IF(AND(B799="",D799="",F799=""),"",IF(NOT(ISNUMBER(B799)),"Needs a date",IF(D799="","Needs a client",IF(COUNTIF(Clients!$B$6:$B$105,D799)=0,"Not on Clients",IF(AND(F799="",INT(B799)&lt;TODAY()),"Needs a status","")))))</f>
        <v/>
      </c>
      <c r="I799" s="1">
        <f>IF(ISNUMBER(B799),INT(B799),0)</f>
        <v/>
      </c>
      <c r="J799">
        <f>IF(ISNUMBER(B799),YEAR(B799)*100+MONTH(B799),"")</f>
        <v/>
      </c>
      <c r="K799">
        <f>IF(AND(H799="",OR(F799="Attended",F799="No-show",AND(F799="Late cancel",Settings!$C$9="Yes"))),1,0)</f>
        <v/>
      </c>
      <c r="L799">
        <f>IF(AND(H799="",F799="Attended"),1,0)</f>
        <v/>
      </c>
      <c r="M799">
        <f>IF(AND(H799="",OR(F799="No-show",F799="Late cancel")),1,0)</f>
        <v/>
      </c>
      <c r="N799">
        <f>IF(AND(H799="",F799="",D799&lt;&gt;"",I799&gt;=TODAY()),ROUND((I799+IF(ISNUMBER(C799),MOD(C799,1),0))*1440,0)*10000+ROW(),"")</f>
        <v/>
      </c>
    </row>
    <row r="800">
      <c r="A800" s="1" t="n"/>
      <c r="B800" s="17" t="n"/>
      <c r="C800" s="18" t="n"/>
      <c r="D800" s="19" t="n"/>
      <c r="E800" s="20" t="n"/>
      <c r="F800" s="20" t="n"/>
      <c r="G800" s="21" t="n"/>
      <c r="H800" s="12">
        <f>IF(AND(B800="",D800="",F800=""),"",IF(NOT(ISNUMBER(B800)),"Needs a date",IF(D800="","Needs a client",IF(COUNTIF(Clients!$B$6:$B$105,D800)=0,"Not on Clients",IF(AND(F800="",INT(B800)&lt;TODAY()),"Needs a status","")))))</f>
        <v/>
      </c>
      <c r="I800" s="1">
        <f>IF(ISNUMBER(B800),INT(B800),0)</f>
        <v/>
      </c>
      <c r="J800">
        <f>IF(ISNUMBER(B800),YEAR(B800)*100+MONTH(B800),"")</f>
        <v/>
      </c>
      <c r="K800">
        <f>IF(AND(H800="",OR(F800="Attended",F800="No-show",AND(F800="Late cancel",Settings!$C$9="Yes"))),1,0)</f>
        <v/>
      </c>
      <c r="L800">
        <f>IF(AND(H800="",F800="Attended"),1,0)</f>
        <v/>
      </c>
      <c r="M800">
        <f>IF(AND(H800="",OR(F800="No-show",F800="Late cancel")),1,0)</f>
        <v/>
      </c>
      <c r="N800">
        <f>IF(AND(H800="",F800="",D800&lt;&gt;"",I800&gt;=TODAY()),ROUND((I800+IF(ISNUMBER(C800),MOD(C800,1),0))*1440,0)*10000+ROW(),"")</f>
        <v/>
      </c>
    </row>
    <row r="801">
      <c r="A801" s="1" t="n"/>
      <c r="B801" s="17" t="n"/>
      <c r="C801" s="18" t="n"/>
      <c r="D801" s="19" t="n"/>
      <c r="E801" s="20" t="n"/>
      <c r="F801" s="20" t="n"/>
      <c r="G801" s="21" t="n"/>
      <c r="H801" s="12">
        <f>IF(AND(B801="",D801="",F801=""),"",IF(NOT(ISNUMBER(B801)),"Needs a date",IF(D801="","Needs a client",IF(COUNTIF(Clients!$B$6:$B$105,D801)=0,"Not on Clients",IF(AND(F801="",INT(B801)&lt;TODAY()),"Needs a status","")))))</f>
        <v/>
      </c>
      <c r="I801" s="1">
        <f>IF(ISNUMBER(B801),INT(B801),0)</f>
        <v/>
      </c>
      <c r="J801">
        <f>IF(ISNUMBER(B801),YEAR(B801)*100+MONTH(B801),"")</f>
        <v/>
      </c>
      <c r="K801">
        <f>IF(AND(H801="",OR(F801="Attended",F801="No-show",AND(F801="Late cancel",Settings!$C$9="Yes"))),1,0)</f>
        <v/>
      </c>
      <c r="L801">
        <f>IF(AND(H801="",F801="Attended"),1,0)</f>
        <v/>
      </c>
      <c r="M801">
        <f>IF(AND(H801="",OR(F801="No-show",F801="Late cancel")),1,0)</f>
        <v/>
      </c>
      <c r="N801">
        <f>IF(AND(H801="",F801="",D801&lt;&gt;"",I801&gt;=TODAY()),ROUND((I801+IF(ISNUMBER(C801),MOD(C801,1),0))*1440,0)*10000+ROW(),"")</f>
        <v/>
      </c>
    </row>
    <row r="802">
      <c r="A802" s="1" t="n"/>
      <c r="B802" s="17" t="n"/>
      <c r="C802" s="18" t="n"/>
      <c r="D802" s="19" t="n"/>
      <c r="E802" s="20" t="n"/>
      <c r="F802" s="20" t="n"/>
      <c r="G802" s="21" t="n"/>
      <c r="H802" s="12">
        <f>IF(AND(B802="",D802="",F802=""),"",IF(NOT(ISNUMBER(B802)),"Needs a date",IF(D802="","Needs a client",IF(COUNTIF(Clients!$B$6:$B$105,D802)=0,"Not on Clients",IF(AND(F802="",INT(B802)&lt;TODAY()),"Needs a status","")))))</f>
        <v/>
      </c>
      <c r="I802" s="1">
        <f>IF(ISNUMBER(B802),INT(B802),0)</f>
        <v/>
      </c>
      <c r="J802">
        <f>IF(ISNUMBER(B802),YEAR(B802)*100+MONTH(B802),"")</f>
        <v/>
      </c>
      <c r="K802">
        <f>IF(AND(H802="",OR(F802="Attended",F802="No-show",AND(F802="Late cancel",Settings!$C$9="Yes"))),1,0)</f>
        <v/>
      </c>
      <c r="L802">
        <f>IF(AND(H802="",F802="Attended"),1,0)</f>
        <v/>
      </c>
      <c r="M802">
        <f>IF(AND(H802="",OR(F802="No-show",F802="Late cancel")),1,0)</f>
        <v/>
      </c>
      <c r="N802">
        <f>IF(AND(H802="",F802="",D802&lt;&gt;"",I802&gt;=TODAY()),ROUND((I802+IF(ISNUMBER(C802),MOD(C802,1),0))*1440,0)*10000+ROW(),"")</f>
        <v/>
      </c>
    </row>
    <row r="803">
      <c r="A803" s="1" t="n"/>
      <c r="B803" s="17" t="n"/>
      <c r="C803" s="18" t="n"/>
      <c r="D803" s="19" t="n"/>
      <c r="E803" s="20" t="n"/>
      <c r="F803" s="20" t="n"/>
      <c r="G803" s="21" t="n"/>
      <c r="H803" s="12">
        <f>IF(AND(B803="",D803="",F803=""),"",IF(NOT(ISNUMBER(B803)),"Needs a date",IF(D803="","Needs a client",IF(COUNTIF(Clients!$B$6:$B$105,D803)=0,"Not on Clients",IF(AND(F803="",INT(B803)&lt;TODAY()),"Needs a status","")))))</f>
        <v/>
      </c>
      <c r="I803" s="1">
        <f>IF(ISNUMBER(B803),INT(B803),0)</f>
        <v/>
      </c>
      <c r="J803">
        <f>IF(ISNUMBER(B803),YEAR(B803)*100+MONTH(B803),"")</f>
        <v/>
      </c>
      <c r="K803">
        <f>IF(AND(H803="",OR(F803="Attended",F803="No-show",AND(F803="Late cancel",Settings!$C$9="Yes"))),1,0)</f>
        <v/>
      </c>
      <c r="L803">
        <f>IF(AND(H803="",F803="Attended"),1,0)</f>
        <v/>
      </c>
      <c r="M803">
        <f>IF(AND(H803="",OR(F803="No-show",F803="Late cancel")),1,0)</f>
        <v/>
      </c>
      <c r="N803">
        <f>IF(AND(H803="",F803="",D803&lt;&gt;"",I803&gt;=TODAY()),ROUND((I803+IF(ISNUMBER(C803),MOD(C803,1),0))*1440,0)*10000+ROW(),"")</f>
        <v/>
      </c>
    </row>
    <row r="804">
      <c r="A804" s="1" t="n"/>
      <c r="B804" s="17" t="n"/>
      <c r="C804" s="18" t="n"/>
      <c r="D804" s="19" t="n"/>
      <c r="E804" s="20" t="n"/>
      <c r="F804" s="20" t="n"/>
      <c r="G804" s="21" t="n"/>
      <c r="H804" s="12">
        <f>IF(AND(B804="",D804="",F804=""),"",IF(NOT(ISNUMBER(B804)),"Needs a date",IF(D804="","Needs a client",IF(COUNTIF(Clients!$B$6:$B$105,D804)=0,"Not on Clients",IF(AND(F804="",INT(B804)&lt;TODAY()),"Needs a status","")))))</f>
        <v/>
      </c>
      <c r="I804" s="1">
        <f>IF(ISNUMBER(B804),INT(B804),0)</f>
        <v/>
      </c>
      <c r="J804">
        <f>IF(ISNUMBER(B804),YEAR(B804)*100+MONTH(B804),"")</f>
        <v/>
      </c>
      <c r="K804">
        <f>IF(AND(H804="",OR(F804="Attended",F804="No-show",AND(F804="Late cancel",Settings!$C$9="Yes"))),1,0)</f>
        <v/>
      </c>
      <c r="L804">
        <f>IF(AND(H804="",F804="Attended"),1,0)</f>
        <v/>
      </c>
      <c r="M804">
        <f>IF(AND(H804="",OR(F804="No-show",F804="Late cancel")),1,0)</f>
        <v/>
      </c>
      <c r="N804">
        <f>IF(AND(H804="",F804="",D804&lt;&gt;"",I804&gt;=TODAY()),ROUND((I804+IF(ISNUMBER(C804),MOD(C804,1),0))*1440,0)*10000+ROW(),"")</f>
        <v/>
      </c>
    </row>
    <row r="805">
      <c r="A805" s="1" t="n"/>
      <c r="B805" s="17" t="n"/>
      <c r="C805" s="18" t="n"/>
      <c r="D805" s="19" t="n"/>
      <c r="E805" s="20" t="n"/>
      <c r="F805" s="20" t="n"/>
      <c r="G805" s="21" t="n"/>
      <c r="H805" s="12">
        <f>IF(AND(B805="",D805="",F805=""),"",IF(NOT(ISNUMBER(B805)),"Needs a date",IF(D805="","Needs a client",IF(COUNTIF(Clients!$B$6:$B$105,D805)=0,"Not on Clients",IF(AND(F805="",INT(B805)&lt;TODAY()),"Needs a status","")))))</f>
        <v/>
      </c>
      <c r="I805" s="1">
        <f>IF(ISNUMBER(B805),INT(B805),0)</f>
        <v/>
      </c>
      <c r="J805">
        <f>IF(ISNUMBER(B805),YEAR(B805)*100+MONTH(B805),"")</f>
        <v/>
      </c>
      <c r="K805">
        <f>IF(AND(H805="",OR(F805="Attended",F805="No-show",AND(F805="Late cancel",Settings!$C$9="Yes"))),1,0)</f>
        <v/>
      </c>
      <c r="L805">
        <f>IF(AND(H805="",F805="Attended"),1,0)</f>
        <v/>
      </c>
      <c r="M805">
        <f>IF(AND(H805="",OR(F805="No-show",F805="Late cancel")),1,0)</f>
        <v/>
      </c>
      <c r="N805">
        <f>IF(AND(H805="",F805="",D805&lt;&gt;"",I805&gt;=TODAY()),ROUND((I805+IF(ISNUMBER(C805),MOD(C805,1),0))*1440,0)*10000+ROW(),"")</f>
        <v/>
      </c>
    </row>
    <row r="806">
      <c r="A806" s="1" t="n"/>
      <c r="B806" s="17" t="n"/>
      <c r="C806" s="18" t="n"/>
      <c r="D806" s="19" t="n"/>
      <c r="E806" s="20" t="n"/>
      <c r="F806" s="20" t="n"/>
      <c r="G806" s="21" t="n"/>
      <c r="H806" s="12">
        <f>IF(AND(B806="",D806="",F806=""),"",IF(NOT(ISNUMBER(B806)),"Needs a date",IF(D806="","Needs a client",IF(COUNTIF(Clients!$B$6:$B$105,D806)=0,"Not on Clients",IF(AND(F806="",INT(B806)&lt;TODAY()),"Needs a status","")))))</f>
        <v/>
      </c>
      <c r="I806" s="1">
        <f>IF(ISNUMBER(B806),INT(B806),0)</f>
        <v/>
      </c>
      <c r="J806">
        <f>IF(ISNUMBER(B806),YEAR(B806)*100+MONTH(B806),"")</f>
        <v/>
      </c>
      <c r="K806">
        <f>IF(AND(H806="",OR(F806="Attended",F806="No-show",AND(F806="Late cancel",Settings!$C$9="Yes"))),1,0)</f>
        <v/>
      </c>
      <c r="L806">
        <f>IF(AND(H806="",F806="Attended"),1,0)</f>
        <v/>
      </c>
      <c r="M806">
        <f>IF(AND(H806="",OR(F806="No-show",F806="Late cancel")),1,0)</f>
        <v/>
      </c>
      <c r="N806">
        <f>IF(AND(H806="",F806="",D806&lt;&gt;"",I806&gt;=TODAY()),ROUND((I806+IF(ISNUMBER(C806),MOD(C806,1),0))*1440,0)*10000+ROW(),"")</f>
        <v/>
      </c>
    </row>
    <row r="807">
      <c r="A807" s="1" t="n"/>
      <c r="B807" s="17" t="n"/>
      <c r="C807" s="18" t="n"/>
      <c r="D807" s="19" t="n"/>
      <c r="E807" s="20" t="n"/>
      <c r="F807" s="20" t="n"/>
      <c r="G807" s="21" t="n"/>
      <c r="H807" s="12">
        <f>IF(AND(B807="",D807="",F807=""),"",IF(NOT(ISNUMBER(B807)),"Needs a date",IF(D807="","Needs a client",IF(COUNTIF(Clients!$B$6:$B$105,D807)=0,"Not on Clients",IF(AND(F807="",INT(B807)&lt;TODAY()),"Needs a status","")))))</f>
        <v/>
      </c>
      <c r="I807" s="1">
        <f>IF(ISNUMBER(B807),INT(B807),0)</f>
        <v/>
      </c>
      <c r="J807">
        <f>IF(ISNUMBER(B807),YEAR(B807)*100+MONTH(B807),"")</f>
        <v/>
      </c>
      <c r="K807">
        <f>IF(AND(H807="",OR(F807="Attended",F807="No-show",AND(F807="Late cancel",Settings!$C$9="Yes"))),1,0)</f>
        <v/>
      </c>
      <c r="L807">
        <f>IF(AND(H807="",F807="Attended"),1,0)</f>
        <v/>
      </c>
      <c r="M807">
        <f>IF(AND(H807="",OR(F807="No-show",F807="Late cancel")),1,0)</f>
        <v/>
      </c>
      <c r="N807">
        <f>IF(AND(H807="",F807="",D807&lt;&gt;"",I807&gt;=TODAY()),ROUND((I807+IF(ISNUMBER(C807),MOD(C807,1),0))*1440,0)*10000+ROW(),"")</f>
        <v/>
      </c>
    </row>
    <row r="808">
      <c r="A808" s="1" t="n"/>
      <c r="B808" s="17" t="n"/>
      <c r="C808" s="18" t="n"/>
      <c r="D808" s="19" t="n"/>
      <c r="E808" s="20" t="n"/>
      <c r="F808" s="20" t="n"/>
      <c r="G808" s="21" t="n"/>
      <c r="H808" s="12">
        <f>IF(AND(B808="",D808="",F808=""),"",IF(NOT(ISNUMBER(B808)),"Needs a date",IF(D808="","Needs a client",IF(COUNTIF(Clients!$B$6:$B$105,D808)=0,"Not on Clients",IF(AND(F808="",INT(B808)&lt;TODAY()),"Needs a status","")))))</f>
        <v/>
      </c>
      <c r="I808" s="1">
        <f>IF(ISNUMBER(B808),INT(B808),0)</f>
        <v/>
      </c>
      <c r="J808">
        <f>IF(ISNUMBER(B808),YEAR(B808)*100+MONTH(B808),"")</f>
        <v/>
      </c>
      <c r="K808">
        <f>IF(AND(H808="",OR(F808="Attended",F808="No-show",AND(F808="Late cancel",Settings!$C$9="Yes"))),1,0)</f>
        <v/>
      </c>
      <c r="L808">
        <f>IF(AND(H808="",F808="Attended"),1,0)</f>
        <v/>
      </c>
      <c r="M808">
        <f>IF(AND(H808="",OR(F808="No-show",F808="Late cancel")),1,0)</f>
        <v/>
      </c>
      <c r="N808">
        <f>IF(AND(H808="",F808="",D808&lt;&gt;"",I808&gt;=TODAY()),ROUND((I808+IF(ISNUMBER(C808),MOD(C808,1),0))*1440,0)*10000+ROW(),"")</f>
        <v/>
      </c>
    </row>
    <row r="809">
      <c r="A809" s="1" t="n"/>
      <c r="B809" s="17" t="n"/>
      <c r="C809" s="18" t="n"/>
      <c r="D809" s="19" t="n"/>
      <c r="E809" s="20" t="n"/>
      <c r="F809" s="20" t="n"/>
      <c r="G809" s="21" t="n"/>
      <c r="H809" s="12">
        <f>IF(AND(B809="",D809="",F809=""),"",IF(NOT(ISNUMBER(B809)),"Needs a date",IF(D809="","Needs a client",IF(COUNTIF(Clients!$B$6:$B$105,D809)=0,"Not on Clients",IF(AND(F809="",INT(B809)&lt;TODAY()),"Needs a status","")))))</f>
        <v/>
      </c>
      <c r="I809" s="1">
        <f>IF(ISNUMBER(B809),INT(B809),0)</f>
        <v/>
      </c>
      <c r="J809">
        <f>IF(ISNUMBER(B809),YEAR(B809)*100+MONTH(B809),"")</f>
        <v/>
      </c>
      <c r="K809">
        <f>IF(AND(H809="",OR(F809="Attended",F809="No-show",AND(F809="Late cancel",Settings!$C$9="Yes"))),1,0)</f>
        <v/>
      </c>
      <c r="L809">
        <f>IF(AND(H809="",F809="Attended"),1,0)</f>
        <v/>
      </c>
      <c r="M809">
        <f>IF(AND(H809="",OR(F809="No-show",F809="Late cancel")),1,0)</f>
        <v/>
      </c>
      <c r="N809">
        <f>IF(AND(H809="",F809="",D809&lt;&gt;"",I809&gt;=TODAY()),ROUND((I809+IF(ISNUMBER(C809),MOD(C809,1),0))*1440,0)*10000+ROW(),"")</f>
        <v/>
      </c>
    </row>
    <row r="810">
      <c r="A810" s="1" t="n"/>
      <c r="B810" s="17" t="n"/>
      <c r="C810" s="18" t="n"/>
      <c r="D810" s="19" t="n"/>
      <c r="E810" s="20" t="n"/>
      <c r="F810" s="20" t="n"/>
      <c r="G810" s="21" t="n"/>
      <c r="H810" s="12">
        <f>IF(AND(B810="",D810="",F810=""),"",IF(NOT(ISNUMBER(B810)),"Needs a date",IF(D810="","Needs a client",IF(COUNTIF(Clients!$B$6:$B$105,D810)=0,"Not on Clients",IF(AND(F810="",INT(B810)&lt;TODAY()),"Needs a status","")))))</f>
        <v/>
      </c>
      <c r="I810" s="1">
        <f>IF(ISNUMBER(B810),INT(B810),0)</f>
        <v/>
      </c>
      <c r="J810">
        <f>IF(ISNUMBER(B810),YEAR(B810)*100+MONTH(B810),"")</f>
        <v/>
      </c>
      <c r="K810">
        <f>IF(AND(H810="",OR(F810="Attended",F810="No-show",AND(F810="Late cancel",Settings!$C$9="Yes"))),1,0)</f>
        <v/>
      </c>
      <c r="L810">
        <f>IF(AND(H810="",F810="Attended"),1,0)</f>
        <v/>
      </c>
      <c r="M810">
        <f>IF(AND(H810="",OR(F810="No-show",F810="Late cancel")),1,0)</f>
        <v/>
      </c>
      <c r="N810">
        <f>IF(AND(H810="",F810="",D810&lt;&gt;"",I810&gt;=TODAY()),ROUND((I810+IF(ISNUMBER(C810),MOD(C810,1),0))*1440,0)*10000+ROW(),"")</f>
        <v/>
      </c>
    </row>
    <row r="811">
      <c r="A811" s="1" t="n"/>
      <c r="B811" s="17" t="n"/>
      <c r="C811" s="18" t="n"/>
      <c r="D811" s="19" t="n"/>
      <c r="E811" s="20" t="n"/>
      <c r="F811" s="20" t="n"/>
      <c r="G811" s="21" t="n"/>
      <c r="H811" s="12">
        <f>IF(AND(B811="",D811="",F811=""),"",IF(NOT(ISNUMBER(B811)),"Needs a date",IF(D811="","Needs a client",IF(COUNTIF(Clients!$B$6:$B$105,D811)=0,"Not on Clients",IF(AND(F811="",INT(B811)&lt;TODAY()),"Needs a status","")))))</f>
        <v/>
      </c>
      <c r="I811" s="1">
        <f>IF(ISNUMBER(B811),INT(B811),0)</f>
        <v/>
      </c>
      <c r="J811">
        <f>IF(ISNUMBER(B811),YEAR(B811)*100+MONTH(B811),"")</f>
        <v/>
      </c>
      <c r="K811">
        <f>IF(AND(H811="",OR(F811="Attended",F811="No-show",AND(F811="Late cancel",Settings!$C$9="Yes"))),1,0)</f>
        <v/>
      </c>
      <c r="L811">
        <f>IF(AND(H811="",F811="Attended"),1,0)</f>
        <v/>
      </c>
      <c r="M811">
        <f>IF(AND(H811="",OR(F811="No-show",F811="Late cancel")),1,0)</f>
        <v/>
      </c>
      <c r="N811">
        <f>IF(AND(H811="",F811="",D811&lt;&gt;"",I811&gt;=TODAY()),ROUND((I811+IF(ISNUMBER(C811),MOD(C811,1),0))*1440,0)*10000+ROW(),"")</f>
        <v/>
      </c>
    </row>
    <row r="812">
      <c r="A812" s="1" t="n"/>
      <c r="B812" s="17" t="n"/>
      <c r="C812" s="18" t="n"/>
      <c r="D812" s="19" t="n"/>
      <c r="E812" s="20" t="n"/>
      <c r="F812" s="20" t="n"/>
      <c r="G812" s="21" t="n"/>
      <c r="H812" s="12">
        <f>IF(AND(B812="",D812="",F812=""),"",IF(NOT(ISNUMBER(B812)),"Needs a date",IF(D812="","Needs a client",IF(COUNTIF(Clients!$B$6:$B$105,D812)=0,"Not on Clients",IF(AND(F812="",INT(B812)&lt;TODAY()),"Needs a status","")))))</f>
        <v/>
      </c>
      <c r="I812" s="1">
        <f>IF(ISNUMBER(B812),INT(B812),0)</f>
        <v/>
      </c>
      <c r="J812">
        <f>IF(ISNUMBER(B812),YEAR(B812)*100+MONTH(B812),"")</f>
        <v/>
      </c>
      <c r="K812">
        <f>IF(AND(H812="",OR(F812="Attended",F812="No-show",AND(F812="Late cancel",Settings!$C$9="Yes"))),1,0)</f>
        <v/>
      </c>
      <c r="L812">
        <f>IF(AND(H812="",F812="Attended"),1,0)</f>
        <v/>
      </c>
      <c r="M812">
        <f>IF(AND(H812="",OR(F812="No-show",F812="Late cancel")),1,0)</f>
        <v/>
      </c>
      <c r="N812">
        <f>IF(AND(H812="",F812="",D812&lt;&gt;"",I812&gt;=TODAY()),ROUND((I812+IF(ISNUMBER(C812),MOD(C812,1),0))*1440,0)*10000+ROW(),"")</f>
        <v/>
      </c>
    </row>
    <row r="813">
      <c r="A813" s="1" t="n"/>
      <c r="B813" s="17" t="n"/>
      <c r="C813" s="18" t="n"/>
      <c r="D813" s="19" t="n"/>
      <c r="E813" s="20" t="n"/>
      <c r="F813" s="20" t="n"/>
      <c r="G813" s="21" t="n"/>
      <c r="H813" s="12">
        <f>IF(AND(B813="",D813="",F813=""),"",IF(NOT(ISNUMBER(B813)),"Needs a date",IF(D813="","Needs a client",IF(COUNTIF(Clients!$B$6:$B$105,D813)=0,"Not on Clients",IF(AND(F813="",INT(B813)&lt;TODAY()),"Needs a status","")))))</f>
        <v/>
      </c>
      <c r="I813" s="1">
        <f>IF(ISNUMBER(B813),INT(B813),0)</f>
        <v/>
      </c>
      <c r="J813">
        <f>IF(ISNUMBER(B813),YEAR(B813)*100+MONTH(B813),"")</f>
        <v/>
      </c>
      <c r="K813">
        <f>IF(AND(H813="",OR(F813="Attended",F813="No-show",AND(F813="Late cancel",Settings!$C$9="Yes"))),1,0)</f>
        <v/>
      </c>
      <c r="L813">
        <f>IF(AND(H813="",F813="Attended"),1,0)</f>
        <v/>
      </c>
      <c r="M813">
        <f>IF(AND(H813="",OR(F813="No-show",F813="Late cancel")),1,0)</f>
        <v/>
      </c>
      <c r="N813">
        <f>IF(AND(H813="",F813="",D813&lt;&gt;"",I813&gt;=TODAY()),ROUND((I813+IF(ISNUMBER(C813),MOD(C813,1),0))*1440,0)*10000+ROW(),"")</f>
        <v/>
      </c>
    </row>
    <row r="814">
      <c r="A814" s="1" t="n"/>
      <c r="B814" s="17" t="n"/>
      <c r="C814" s="18" t="n"/>
      <c r="D814" s="19" t="n"/>
      <c r="E814" s="20" t="n"/>
      <c r="F814" s="20" t="n"/>
      <c r="G814" s="21" t="n"/>
      <c r="H814" s="12">
        <f>IF(AND(B814="",D814="",F814=""),"",IF(NOT(ISNUMBER(B814)),"Needs a date",IF(D814="","Needs a client",IF(COUNTIF(Clients!$B$6:$B$105,D814)=0,"Not on Clients",IF(AND(F814="",INT(B814)&lt;TODAY()),"Needs a status","")))))</f>
        <v/>
      </c>
      <c r="I814" s="1">
        <f>IF(ISNUMBER(B814),INT(B814),0)</f>
        <v/>
      </c>
      <c r="J814">
        <f>IF(ISNUMBER(B814),YEAR(B814)*100+MONTH(B814),"")</f>
        <v/>
      </c>
      <c r="K814">
        <f>IF(AND(H814="",OR(F814="Attended",F814="No-show",AND(F814="Late cancel",Settings!$C$9="Yes"))),1,0)</f>
        <v/>
      </c>
      <c r="L814">
        <f>IF(AND(H814="",F814="Attended"),1,0)</f>
        <v/>
      </c>
      <c r="M814">
        <f>IF(AND(H814="",OR(F814="No-show",F814="Late cancel")),1,0)</f>
        <v/>
      </c>
      <c r="N814">
        <f>IF(AND(H814="",F814="",D814&lt;&gt;"",I814&gt;=TODAY()),ROUND((I814+IF(ISNUMBER(C814),MOD(C814,1),0))*1440,0)*10000+ROW(),"")</f>
        <v/>
      </c>
    </row>
    <row r="815">
      <c r="A815" s="1" t="n"/>
      <c r="B815" s="17" t="n"/>
      <c r="C815" s="18" t="n"/>
      <c r="D815" s="19" t="n"/>
      <c r="E815" s="20" t="n"/>
      <c r="F815" s="20" t="n"/>
      <c r="G815" s="21" t="n"/>
      <c r="H815" s="12">
        <f>IF(AND(B815="",D815="",F815=""),"",IF(NOT(ISNUMBER(B815)),"Needs a date",IF(D815="","Needs a client",IF(COUNTIF(Clients!$B$6:$B$105,D815)=0,"Not on Clients",IF(AND(F815="",INT(B815)&lt;TODAY()),"Needs a status","")))))</f>
        <v/>
      </c>
      <c r="I815" s="1">
        <f>IF(ISNUMBER(B815),INT(B815),0)</f>
        <v/>
      </c>
      <c r="J815">
        <f>IF(ISNUMBER(B815),YEAR(B815)*100+MONTH(B815),"")</f>
        <v/>
      </c>
      <c r="K815">
        <f>IF(AND(H815="",OR(F815="Attended",F815="No-show",AND(F815="Late cancel",Settings!$C$9="Yes"))),1,0)</f>
        <v/>
      </c>
      <c r="L815">
        <f>IF(AND(H815="",F815="Attended"),1,0)</f>
        <v/>
      </c>
      <c r="M815">
        <f>IF(AND(H815="",OR(F815="No-show",F815="Late cancel")),1,0)</f>
        <v/>
      </c>
      <c r="N815">
        <f>IF(AND(H815="",F815="",D815&lt;&gt;"",I815&gt;=TODAY()),ROUND((I815+IF(ISNUMBER(C815),MOD(C815,1),0))*1440,0)*10000+ROW(),"")</f>
        <v/>
      </c>
    </row>
    <row r="816">
      <c r="A816" s="1" t="n"/>
      <c r="B816" s="17" t="n"/>
      <c r="C816" s="18" t="n"/>
      <c r="D816" s="19" t="n"/>
      <c r="E816" s="20" t="n"/>
      <c r="F816" s="20" t="n"/>
      <c r="G816" s="21" t="n"/>
      <c r="H816" s="12">
        <f>IF(AND(B816="",D816="",F816=""),"",IF(NOT(ISNUMBER(B816)),"Needs a date",IF(D816="","Needs a client",IF(COUNTIF(Clients!$B$6:$B$105,D816)=0,"Not on Clients",IF(AND(F816="",INT(B816)&lt;TODAY()),"Needs a status","")))))</f>
        <v/>
      </c>
      <c r="I816" s="1">
        <f>IF(ISNUMBER(B816),INT(B816),0)</f>
        <v/>
      </c>
      <c r="J816">
        <f>IF(ISNUMBER(B816),YEAR(B816)*100+MONTH(B816),"")</f>
        <v/>
      </c>
      <c r="K816">
        <f>IF(AND(H816="",OR(F816="Attended",F816="No-show",AND(F816="Late cancel",Settings!$C$9="Yes"))),1,0)</f>
        <v/>
      </c>
      <c r="L816">
        <f>IF(AND(H816="",F816="Attended"),1,0)</f>
        <v/>
      </c>
      <c r="M816">
        <f>IF(AND(H816="",OR(F816="No-show",F816="Late cancel")),1,0)</f>
        <v/>
      </c>
      <c r="N816">
        <f>IF(AND(H816="",F816="",D816&lt;&gt;"",I816&gt;=TODAY()),ROUND((I816+IF(ISNUMBER(C816),MOD(C816,1),0))*1440,0)*10000+ROW(),"")</f>
        <v/>
      </c>
    </row>
    <row r="817">
      <c r="A817" s="1" t="n"/>
      <c r="B817" s="17" t="n"/>
      <c r="C817" s="18" t="n"/>
      <c r="D817" s="19" t="n"/>
      <c r="E817" s="20" t="n"/>
      <c r="F817" s="20" t="n"/>
      <c r="G817" s="21" t="n"/>
      <c r="H817" s="12">
        <f>IF(AND(B817="",D817="",F817=""),"",IF(NOT(ISNUMBER(B817)),"Needs a date",IF(D817="","Needs a client",IF(COUNTIF(Clients!$B$6:$B$105,D817)=0,"Not on Clients",IF(AND(F817="",INT(B817)&lt;TODAY()),"Needs a status","")))))</f>
        <v/>
      </c>
      <c r="I817" s="1">
        <f>IF(ISNUMBER(B817),INT(B817),0)</f>
        <v/>
      </c>
      <c r="J817">
        <f>IF(ISNUMBER(B817),YEAR(B817)*100+MONTH(B817),"")</f>
        <v/>
      </c>
      <c r="K817">
        <f>IF(AND(H817="",OR(F817="Attended",F817="No-show",AND(F817="Late cancel",Settings!$C$9="Yes"))),1,0)</f>
        <v/>
      </c>
      <c r="L817">
        <f>IF(AND(H817="",F817="Attended"),1,0)</f>
        <v/>
      </c>
      <c r="M817">
        <f>IF(AND(H817="",OR(F817="No-show",F817="Late cancel")),1,0)</f>
        <v/>
      </c>
      <c r="N817">
        <f>IF(AND(H817="",F817="",D817&lt;&gt;"",I817&gt;=TODAY()),ROUND((I817+IF(ISNUMBER(C817),MOD(C817,1),0))*1440,0)*10000+ROW(),"")</f>
        <v/>
      </c>
    </row>
    <row r="818">
      <c r="A818" s="1" t="n"/>
      <c r="B818" s="17" t="n"/>
      <c r="C818" s="18" t="n"/>
      <c r="D818" s="19" t="n"/>
      <c r="E818" s="20" t="n"/>
      <c r="F818" s="20" t="n"/>
      <c r="G818" s="21" t="n"/>
      <c r="H818" s="12">
        <f>IF(AND(B818="",D818="",F818=""),"",IF(NOT(ISNUMBER(B818)),"Needs a date",IF(D818="","Needs a client",IF(COUNTIF(Clients!$B$6:$B$105,D818)=0,"Not on Clients",IF(AND(F818="",INT(B818)&lt;TODAY()),"Needs a status","")))))</f>
        <v/>
      </c>
      <c r="I818" s="1">
        <f>IF(ISNUMBER(B818),INT(B818),0)</f>
        <v/>
      </c>
      <c r="J818">
        <f>IF(ISNUMBER(B818),YEAR(B818)*100+MONTH(B818),"")</f>
        <v/>
      </c>
      <c r="K818">
        <f>IF(AND(H818="",OR(F818="Attended",F818="No-show",AND(F818="Late cancel",Settings!$C$9="Yes"))),1,0)</f>
        <v/>
      </c>
      <c r="L818">
        <f>IF(AND(H818="",F818="Attended"),1,0)</f>
        <v/>
      </c>
      <c r="M818">
        <f>IF(AND(H818="",OR(F818="No-show",F818="Late cancel")),1,0)</f>
        <v/>
      </c>
      <c r="N818">
        <f>IF(AND(H818="",F818="",D818&lt;&gt;"",I818&gt;=TODAY()),ROUND((I818+IF(ISNUMBER(C818),MOD(C818,1),0))*1440,0)*10000+ROW(),"")</f>
        <v/>
      </c>
    </row>
    <row r="819">
      <c r="A819" s="1" t="n"/>
      <c r="B819" s="17" t="n"/>
      <c r="C819" s="18" t="n"/>
      <c r="D819" s="19" t="n"/>
      <c r="E819" s="20" t="n"/>
      <c r="F819" s="20" t="n"/>
      <c r="G819" s="21" t="n"/>
      <c r="H819" s="12">
        <f>IF(AND(B819="",D819="",F819=""),"",IF(NOT(ISNUMBER(B819)),"Needs a date",IF(D819="","Needs a client",IF(COUNTIF(Clients!$B$6:$B$105,D819)=0,"Not on Clients",IF(AND(F819="",INT(B819)&lt;TODAY()),"Needs a status","")))))</f>
        <v/>
      </c>
      <c r="I819" s="1">
        <f>IF(ISNUMBER(B819),INT(B819),0)</f>
        <v/>
      </c>
      <c r="J819">
        <f>IF(ISNUMBER(B819),YEAR(B819)*100+MONTH(B819),"")</f>
        <v/>
      </c>
      <c r="K819">
        <f>IF(AND(H819="",OR(F819="Attended",F819="No-show",AND(F819="Late cancel",Settings!$C$9="Yes"))),1,0)</f>
        <v/>
      </c>
      <c r="L819">
        <f>IF(AND(H819="",F819="Attended"),1,0)</f>
        <v/>
      </c>
      <c r="M819">
        <f>IF(AND(H819="",OR(F819="No-show",F819="Late cancel")),1,0)</f>
        <v/>
      </c>
      <c r="N819">
        <f>IF(AND(H819="",F819="",D819&lt;&gt;"",I819&gt;=TODAY()),ROUND((I819+IF(ISNUMBER(C819),MOD(C819,1),0))*1440,0)*10000+ROW(),"")</f>
        <v/>
      </c>
    </row>
    <row r="820">
      <c r="A820" s="1" t="n"/>
      <c r="B820" s="17" t="n"/>
      <c r="C820" s="18" t="n"/>
      <c r="D820" s="19" t="n"/>
      <c r="E820" s="20" t="n"/>
      <c r="F820" s="20" t="n"/>
      <c r="G820" s="21" t="n"/>
      <c r="H820" s="12">
        <f>IF(AND(B820="",D820="",F820=""),"",IF(NOT(ISNUMBER(B820)),"Needs a date",IF(D820="","Needs a client",IF(COUNTIF(Clients!$B$6:$B$105,D820)=0,"Not on Clients",IF(AND(F820="",INT(B820)&lt;TODAY()),"Needs a status","")))))</f>
        <v/>
      </c>
      <c r="I820" s="1">
        <f>IF(ISNUMBER(B820),INT(B820),0)</f>
        <v/>
      </c>
      <c r="J820">
        <f>IF(ISNUMBER(B820),YEAR(B820)*100+MONTH(B820),"")</f>
        <v/>
      </c>
      <c r="K820">
        <f>IF(AND(H820="",OR(F820="Attended",F820="No-show",AND(F820="Late cancel",Settings!$C$9="Yes"))),1,0)</f>
        <v/>
      </c>
      <c r="L820">
        <f>IF(AND(H820="",F820="Attended"),1,0)</f>
        <v/>
      </c>
      <c r="M820">
        <f>IF(AND(H820="",OR(F820="No-show",F820="Late cancel")),1,0)</f>
        <v/>
      </c>
      <c r="N820">
        <f>IF(AND(H820="",F820="",D820&lt;&gt;"",I820&gt;=TODAY()),ROUND((I820+IF(ISNUMBER(C820),MOD(C820,1),0))*1440,0)*10000+ROW(),"")</f>
        <v/>
      </c>
    </row>
    <row r="821">
      <c r="A821" s="1" t="n"/>
      <c r="B821" s="17" t="n"/>
      <c r="C821" s="18" t="n"/>
      <c r="D821" s="19" t="n"/>
      <c r="E821" s="20" t="n"/>
      <c r="F821" s="20" t="n"/>
      <c r="G821" s="21" t="n"/>
      <c r="H821" s="12">
        <f>IF(AND(B821="",D821="",F821=""),"",IF(NOT(ISNUMBER(B821)),"Needs a date",IF(D821="","Needs a client",IF(COUNTIF(Clients!$B$6:$B$105,D821)=0,"Not on Clients",IF(AND(F821="",INT(B821)&lt;TODAY()),"Needs a status","")))))</f>
        <v/>
      </c>
      <c r="I821" s="1">
        <f>IF(ISNUMBER(B821),INT(B821),0)</f>
        <v/>
      </c>
      <c r="J821">
        <f>IF(ISNUMBER(B821),YEAR(B821)*100+MONTH(B821),"")</f>
        <v/>
      </c>
      <c r="K821">
        <f>IF(AND(H821="",OR(F821="Attended",F821="No-show",AND(F821="Late cancel",Settings!$C$9="Yes"))),1,0)</f>
        <v/>
      </c>
      <c r="L821">
        <f>IF(AND(H821="",F821="Attended"),1,0)</f>
        <v/>
      </c>
      <c r="M821">
        <f>IF(AND(H821="",OR(F821="No-show",F821="Late cancel")),1,0)</f>
        <v/>
      </c>
      <c r="N821">
        <f>IF(AND(H821="",F821="",D821&lt;&gt;"",I821&gt;=TODAY()),ROUND((I821+IF(ISNUMBER(C821),MOD(C821,1),0))*1440,0)*10000+ROW(),"")</f>
        <v/>
      </c>
    </row>
    <row r="822">
      <c r="A822" s="1" t="n"/>
      <c r="B822" s="17" t="n"/>
      <c r="C822" s="18" t="n"/>
      <c r="D822" s="19" t="n"/>
      <c r="E822" s="20" t="n"/>
      <c r="F822" s="20" t="n"/>
      <c r="G822" s="21" t="n"/>
      <c r="H822" s="12">
        <f>IF(AND(B822="",D822="",F822=""),"",IF(NOT(ISNUMBER(B822)),"Needs a date",IF(D822="","Needs a client",IF(COUNTIF(Clients!$B$6:$B$105,D822)=0,"Not on Clients",IF(AND(F822="",INT(B822)&lt;TODAY()),"Needs a status","")))))</f>
        <v/>
      </c>
      <c r="I822" s="1">
        <f>IF(ISNUMBER(B822),INT(B822),0)</f>
        <v/>
      </c>
      <c r="J822">
        <f>IF(ISNUMBER(B822),YEAR(B822)*100+MONTH(B822),"")</f>
        <v/>
      </c>
      <c r="K822">
        <f>IF(AND(H822="",OR(F822="Attended",F822="No-show",AND(F822="Late cancel",Settings!$C$9="Yes"))),1,0)</f>
        <v/>
      </c>
      <c r="L822">
        <f>IF(AND(H822="",F822="Attended"),1,0)</f>
        <v/>
      </c>
      <c r="M822">
        <f>IF(AND(H822="",OR(F822="No-show",F822="Late cancel")),1,0)</f>
        <v/>
      </c>
      <c r="N822">
        <f>IF(AND(H822="",F822="",D822&lt;&gt;"",I822&gt;=TODAY()),ROUND((I822+IF(ISNUMBER(C822),MOD(C822,1),0))*1440,0)*10000+ROW(),"")</f>
        <v/>
      </c>
    </row>
    <row r="823">
      <c r="A823" s="1" t="n"/>
      <c r="B823" s="17" t="n"/>
      <c r="C823" s="18" t="n"/>
      <c r="D823" s="19" t="n"/>
      <c r="E823" s="20" t="n"/>
      <c r="F823" s="20" t="n"/>
      <c r="G823" s="21" t="n"/>
      <c r="H823" s="12">
        <f>IF(AND(B823="",D823="",F823=""),"",IF(NOT(ISNUMBER(B823)),"Needs a date",IF(D823="","Needs a client",IF(COUNTIF(Clients!$B$6:$B$105,D823)=0,"Not on Clients",IF(AND(F823="",INT(B823)&lt;TODAY()),"Needs a status","")))))</f>
        <v/>
      </c>
      <c r="I823" s="1">
        <f>IF(ISNUMBER(B823),INT(B823),0)</f>
        <v/>
      </c>
      <c r="J823">
        <f>IF(ISNUMBER(B823),YEAR(B823)*100+MONTH(B823),"")</f>
        <v/>
      </c>
      <c r="K823">
        <f>IF(AND(H823="",OR(F823="Attended",F823="No-show",AND(F823="Late cancel",Settings!$C$9="Yes"))),1,0)</f>
        <v/>
      </c>
      <c r="L823">
        <f>IF(AND(H823="",F823="Attended"),1,0)</f>
        <v/>
      </c>
      <c r="M823">
        <f>IF(AND(H823="",OR(F823="No-show",F823="Late cancel")),1,0)</f>
        <v/>
      </c>
      <c r="N823">
        <f>IF(AND(H823="",F823="",D823&lt;&gt;"",I823&gt;=TODAY()),ROUND((I823+IF(ISNUMBER(C823),MOD(C823,1),0))*1440,0)*10000+ROW(),"")</f>
        <v/>
      </c>
    </row>
    <row r="824">
      <c r="A824" s="1" t="n"/>
      <c r="B824" s="17" t="n"/>
      <c r="C824" s="18" t="n"/>
      <c r="D824" s="19" t="n"/>
      <c r="E824" s="20" t="n"/>
      <c r="F824" s="20" t="n"/>
      <c r="G824" s="21" t="n"/>
      <c r="H824" s="12">
        <f>IF(AND(B824="",D824="",F824=""),"",IF(NOT(ISNUMBER(B824)),"Needs a date",IF(D824="","Needs a client",IF(COUNTIF(Clients!$B$6:$B$105,D824)=0,"Not on Clients",IF(AND(F824="",INT(B824)&lt;TODAY()),"Needs a status","")))))</f>
        <v/>
      </c>
      <c r="I824" s="1">
        <f>IF(ISNUMBER(B824),INT(B824),0)</f>
        <v/>
      </c>
      <c r="J824">
        <f>IF(ISNUMBER(B824),YEAR(B824)*100+MONTH(B824),"")</f>
        <v/>
      </c>
      <c r="K824">
        <f>IF(AND(H824="",OR(F824="Attended",F824="No-show",AND(F824="Late cancel",Settings!$C$9="Yes"))),1,0)</f>
        <v/>
      </c>
      <c r="L824">
        <f>IF(AND(H824="",F824="Attended"),1,0)</f>
        <v/>
      </c>
      <c r="M824">
        <f>IF(AND(H824="",OR(F824="No-show",F824="Late cancel")),1,0)</f>
        <v/>
      </c>
      <c r="N824">
        <f>IF(AND(H824="",F824="",D824&lt;&gt;"",I824&gt;=TODAY()),ROUND((I824+IF(ISNUMBER(C824),MOD(C824,1),0))*1440,0)*10000+ROW(),"")</f>
        <v/>
      </c>
    </row>
    <row r="825">
      <c r="A825" s="1" t="n"/>
      <c r="B825" s="17" t="n"/>
      <c r="C825" s="18" t="n"/>
      <c r="D825" s="19" t="n"/>
      <c r="E825" s="20" t="n"/>
      <c r="F825" s="20" t="n"/>
      <c r="G825" s="21" t="n"/>
      <c r="H825" s="12">
        <f>IF(AND(B825="",D825="",F825=""),"",IF(NOT(ISNUMBER(B825)),"Needs a date",IF(D825="","Needs a client",IF(COUNTIF(Clients!$B$6:$B$105,D825)=0,"Not on Clients",IF(AND(F825="",INT(B825)&lt;TODAY()),"Needs a status","")))))</f>
        <v/>
      </c>
      <c r="I825" s="1">
        <f>IF(ISNUMBER(B825),INT(B825),0)</f>
        <v/>
      </c>
      <c r="J825">
        <f>IF(ISNUMBER(B825),YEAR(B825)*100+MONTH(B825),"")</f>
        <v/>
      </c>
      <c r="K825">
        <f>IF(AND(H825="",OR(F825="Attended",F825="No-show",AND(F825="Late cancel",Settings!$C$9="Yes"))),1,0)</f>
        <v/>
      </c>
      <c r="L825">
        <f>IF(AND(H825="",F825="Attended"),1,0)</f>
        <v/>
      </c>
      <c r="M825">
        <f>IF(AND(H825="",OR(F825="No-show",F825="Late cancel")),1,0)</f>
        <v/>
      </c>
      <c r="N825">
        <f>IF(AND(H825="",F825="",D825&lt;&gt;"",I825&gt;=TODAY()),ROUND((I825+IF(ISNUMBER(C825),MOD(C825,1),0))*1440,0)*10000+ROW(),"")</f>
        <v/>
      </c>
    </row>
    <row r="826">
      <c r="A826" s="1" t="n"/>
      <c r="B826" s="17" t="n"/>
      <c r="C826" s="18" t="n"/>
      <c r="D826" s="19" t="n"/>
      <c r="E826" s="20" t="n"/>
      <c r="F826" s="20" t="n"/>
      <c r="G826" s="21" t="n"/>
      <c r="H826" s="12">
        <f>IF(AND(B826="",D826="",F826=""),"",IF(NOT(ISNUMBER(B826)),"Needs a date",IF(D826="","Needs a client",IF(COUNTIF(Clients!$B$6:$B$105,D826)=0,"Not on Clients",IF(AND(F826="",INT(B826)&lt;TODAY()),"Needs a status","")))))</f>
        <v/>
      </c>
      <c r="I826" s="1">
        <f>IF(ISNUMBER(B826),INT(B826),0)</f>
        <v/>
      </c>
      <c r="J826">
        <f>IF(ISNUMBER(B826),YEAR(B826)*100+MONTH(B826),"")</f>
        <v/>
      </c>
      <c r="K826">
        <f>IF(AND(H826="",OR(F826="Attended",F826="No-show",AND(F826="Late cancel",Settings!$C$9="Yes"))),1,0)</f>
        <v/>
      </c>
      <c r="L826">
        <f>IF(AND(H826="",F826="Attended"),1,0)</f>
        <v/>
      </c>
      <c r="M826">
        <f>IF(AND(H826="",OR(F826="No-show",F826="Late cancel")),1,0)</f>
        <v/>
      </c>
      <c r="N826">
        <f>IF(AND(H826="",F826="",D826&lt;&gt;"",I826&gt;=TODAY()),ROUND((I826+IF(ISNUMBER(C826),MOD(C826,1),0))*1440,0)*10000+ROW(),"")</f>
        <v/>
      </c>
    </row>
    <row r="827">
      <c r="A827" s="1" t="n"/>
      <c r="B827" s="17" t="n"/>
      <c r="C827" s="18" t="n"/>
      <c r="D827" s="19" t="n"/>
      <c r="E827" s="20" t="n"/>
      <c r="F827" s="20" t="n"/>
      <c r="G827" s="21" t="n"/>
      <c r="H827" s="12">
        <f>IF(AND(B827="",D827="",F827=""),"",IF(NOT(ISNUMBER(B827)),"Needs a date",IF(D827="","Needs a client",IF(COUNTIF(Clients!$B$6:$B$105,D827)=0,"Not on Clients",IF(AND(F827="",INT(B827)&lt;TODAY()),"Needs a status","")))))</f>
        <v/>
      </c>
      <c r="I827" s="1">
        <f>IF(ISNUMBER(B827),INT(B827),0)</f>
        <v/>
      </c>
      <c r="J827">
        <f>IF(ISNUMBER(B827),YEAR(B827)*100+MONTH(B827),"")</f>
        <v/>
      </c>
      <c r="K827">
        <f>IF(AND(H827="",OR(F827="Attended",F827="No-show",AND(F827="Late cancel",Settings!$C$9="Yes"))),1,0)</f>
        <v/>
      </c>
      <c r="L827">
        <f>IF(AND(H827="",F827="Attended"),1,0)</f>
        <v/>
      </c>
      <c r="M827">
        <f>IF(AND(H827="",OR(F827="No-show",F827="Late cancel")),1,0)</f>
        <v/>
      </c>
      <c r="N827">
        <f>IF(AND(H827="",F827="",D827&lt;&gt;"",I827&gt;=TODAY()),ROUND((I827+IF(ISNUMBER(C827),MOD(C827,1),0))*1440,0)*10000+ROW(),"")</f>
        <v/>
      </c>
    </row>
    <row r="828">
      <c r="A828" s="1" t="n"/>
      <c r="B828" s="17" t="n"/>
      <c r="C828" s="18" t="n"/>
      <c r="D828" s="19" t="n"/>
      <c r="E828" s="20" t="n"/>
      <c r="F828" s="20" t="n"/>
      <c r="G828" s="21" t="n"/>
      <c r="H828" s="12">
        <f>IF(AND(B828="",D828="",F828=""),"",IF(NOT(ISNUMBER(B828)),"Needs a date",IF(D828="","Needs a client",IF(COUNTIF(Clients!$B$6:$B$105,D828)=0,"Not on Clients",IF(AND(F828="",INT(B828)&lt;TODAY()),"Needs a status","")))))</f>
        <v/>
      </c>
      <c r="I828" s="1">
        <f>IF(ISNUMBER(B828),INT(B828),0)</f>
        <v/>
      </c>
      <c r="J828">
        <f>IF(ISNUMBER(B828),YEAR(B828)*100+MONTH(B828),"")</f>
        <v/>
      </c>
      <c r="K828">
        <f>IF(AND(H828="",OR(F828="Attended",F828="No-show",AND(F828="Late cancel",Settings!$C$9="Yes"))),1,0)</f>
        <v/>
      </c>
      <c r="L828">
        <f>IF(AND(H828="",F828="Attended"),1,0)</f>
        <v/>
      </c>
      <c r="M828">
        <f>IF(AND(H828="",OR(F828="No-show",F828="Late cancel")),1,0)</f>
        <v/>
      </c>
      <c r="N828">
        <f>IF(AND(H828="",F828="",D828&lt;&gt;"",I828&gt;=TODAY()),ROUND((I828+IF(ISNUMBER(C828),MOD(C828,1),0))*1440,0)*10000+ROW(),"")</f>
        <v/>
      </c>
    </row>
    <row r="829">
      <c r="A829" s="1" t="n"/>
      <c r="B829" s="17" t="n"/>
      <c r="C829" s="18" t="n"/>
      <c r="D829" s="19" t="n"/>
      <c r="E829" s="20" t="n"/>
      <c r="F829" s="20" t="n"/>
      <c r="G829" s="21" t="n"/>
      <c r="H829" s="12">
        <f>IF(AND(B829="",D829="",F829=""),"",IF(NOT(ISNUMBER(B829)),"Needs a date",IF(D829="","Needs a client",IF(COUNTIF(Clients!$B$6:$B$105,D829)=0,"Not on Clients",IF(AND(F829="",INT(B829)&lt;TODAY()),"Needs a status","")))))</f>
        <v/>
      </c>
      <c r="I829" s="1">
        <f>IF(ISNUMBER(B829),INT(B829),0)</f>
        <v/>
      </c>
      <c r="J829">
        <f>IF(ISNUMBER(B829),YEAR(B829)*100+MONTH(B829),"")</f>
        <v/>
      </c>
      <c r="K829">
        <f>IF(AND(H829="",OR(F829="Attended",F829="No-show",AND(F829="Late cancel",Settings!$C$9="Yes"))),1,0)</f>
        <v/>
      </c>
      <c r="L829">
        <f>IF(AND(H829="",F829="Attended"),1,0)</f>
        <v/>
      </c>
      <c r="M829">
        <f>IF(AND(H829="",OR(F829="No-show",F829="Late cancel")),1,0)</f>
        <v/>
      </c>
      <c r="N829">
        <f>IF(AND(H829="",F829="",D829&lt;&gt;"",I829&gt;=TODAY()),ROUND((I829+IF(ISNUMBER(C829),MOD(C829,1),0))*1440,0)*10000+ROW(),"")</f>
        <v/>
      </c>
    </row>
    <row r="830">
      <c r="A830" s="1" t="n"/>
      <c r="B830" s="17" t="n"/>
      <c r="C830" s="18" t="n"/>
      <c r="D830" s="19" t="n"/>
      <c r="E830" s="20" t="n"/>
      <c r="F830" s="20" t="n"/>
      <c r="G830" s="21" t="n"/>
      <c r="H830" s="12">
        <f>IF(AND(B830="",D830="",F830=""),"",IF(NOT(ISNUMBER(B830)),"Needs a date",IF(D830="","Needs a client",IF(COUNTIF(Clients!$B$6:$B$105,D830)=0,"Not on Clients",IF(AND(F830="",INT(B830)&lt;TODAY()),"Needs a status","")))))</f>
        <v/>
      </c>
      <c r="I830" s="1">
        <f>IF(ISNUMBER(B830),INT(B830),0)</f>
        <v/>
      </c>
      <c r="J830">
        <f>IF(ISNUMBER(B830),YEAR(B830)*100+MONTH(B830),"")</f>
        <v/>
      </c>
      <c r="K830">
        <f>IF(AND(H830="",OR(F830="Attended",F830="No-show",AND(F830="Late cancel",Settings!$C$9="Yes"))),1,0)</f>
        <v/>
      </c>
      <c r="L830">
        <f>IF(AND(H830="",F830="Attended"),1,0)</f>
        <v/>
      </c>
      <c r="M830">
        <f>IF(AND(H830="",OR(F830="No-show",F830="Late cancel")),1,0)</f>
        <v/>
      </c>
      <c r="N830">
        <f>IF(AND(H830="",F830="",D830&lt;&gt;"",I830&gt;=TODAY()),ROUND((I830+IF(ISNUMBER(C830),MOD(C830,1),0))*1440,0)*10000+ROW(),"")</f>
        <v/>
      </c>
    </row>
    <row r="831">
      <c r="A831" s="1" t="n"/>
      <c r="B831" s="17" t="n"/>
      <c r="C831" s="18" t="n"/>
      <c r="D831" s="19" t="n"/>
      <c r="E831" s="20" t="n"/>
      <c r="F831" s="20" t="n"/>
      <c r="G831" s="21" t="n"/>
      <c r="H831" s="12">
        <f>IF(AND(B831="",D831="",F831=""),"",IF(NOT(ISNUMBER(B831)),"Needs a date",IF(D831="","Needs a client",IF(COUNTIF(Clients!$B$6:$B$105,D831)=0,"Not on Clients",IF(AND(F831="",INT(B831)&lt;TODAY()),"Needs a status","")))))</f>
        <v/>
      </c>
      <c r="I831" s="1">
        <f>IF(ISNUMBER(B831),INT(B831),0)</f>
        <v/>
      </c>
      <c r="J831">
        <f>IF(ISNUMBER(B831),YEAR(B831)*100+MONTH(B831),"")</f>
        <v/>
      </c>
      <c r="K831">
        <f>IF(AND(H831="",OR(F831="Attended",F831="No-show",AND(F831="Late cancel",Settings!$C$9="Yes"))),1,0)</f>
        <v/>
      </c>
      <c r="L831">
        <f>IF(AND(H831="",F831="Attended"),1,0)</f>
        <v/>
      </c>
      <c r="M831">
        <f>IF(AND(H831="",OR(F831="No-show",F831="Late cancel")),1,0)</f>
        <v/>
      </c>
      <c r="N831">
        <f>IF(AND(H831="",F831="",D831&lt;&gt;"",I831&gt;=TODAY()),ROUND((I831+IF(ISNUMBER(C831),MOD(C831,1),0))*1440,0)*10000+ROW(),"")</f>
        <v/>
      </c>
    </row>
    <row r="832">
      <c r="A832" s="1" t="n"/>
      <c r="B832" s="17" t="n"/>
      <c r="C832" s="18" t="n"/>
      <c r="D832" s="19" t="n"/>
      <c r="E832" s="20" t="n"/>
      <c r="F832" s="20" t="n"/>
      <c r="G832" s="21" t="n"/>
      <c r="H832" s="12">
        <f>IF(AND(B832="",D832="",F832=""),"",IF(NOT(ISNUMBER(B832)),"Needs a date",IF(D832="","Needs a client",IF(COUNTIF(Clients!$B$6:$B$105,D832)=0,"Not on Clients",IF(AND(F832="",INT(B832)&lt;TODAY()),"Needs a status","")))))</f>
        <v/>
      </c>
      <c r="I832" s="1">
        <f>IF(ISNUMBER(B832),INT(B832),0)</f>
        <v/>
      </c>
      <c r="J832">
        <f>IF(ISNUMBER(B832),YEAR(B832)*100+MONTH(B832),"")</f>
        <v/>
      </c>
      <c r="K832">
        <f>IF(AND(H832="",OR(F832="Attended",F832="No-show",AND(F832="Late cancel",Settings!$C$9="Yes"))),1,0)</f>
        <v/>
      </c>
      <c r="L832">
        <f>IF(AND(H832="",F832="Attended"),1,0)</f>
        <v/>
      </c>
      <c r="M832">
        <f>IF(AND(H832="",OR(F832="No-show",F832="Late cancel")),1,0)</f>
        <v/>
      </c>
      <c r="N832">
        <f>IF(AND(H832="",F832="",D832&lt;&gt;"",I832&gt;=TODAY()),ROUND((I832+IF(ISNUMBER(C832),MOD(C832,1),0))*1440,0)*10000+ROW(),"")</f>
        <v/>
      </c>
    </row>
    <row r="833">
      <c r="A833" s="1" t="n"/>
      <c r="B833" s="17" t="n"/>
      <c r="C833" s="18" t="n"/>
      <c r="D833" s="19" t="n"/>
      <c r="E833" s="20" t="n"/>
      <c r="F833" s="20" t="n"/>
      <c r="G833" s="21" t="n"/>
      <c r="H833" s="12">
        <f>IF(AND(B833="",D833="",F833=""),"",IF(NOT(ISNUMBER(B833)),"Needs a date",IF(D833="","Needs a client",IF(COUNTIF(Clients!$B$6:$B$105,D833)=0,"Not on Clients",IF(AND(F833="",INT(B833)&lt;TODAY()),"Needs a status","")))))</f>
        <v/>
      </c>
      <c r="I833" s="1">
        <f>IF(ISNUMBER(B833),INT(B833),0)</f>
        <v/>
      </c>
      <c r="J833">
        <f>IF(ISNUMBER(B833),YEAR(B833)*100+MONTH(B833),"")</f>
        <v/>
      </c>
      <c r="K833">
        <f>IF(AND(H833="",OR(F833="Attended",F833="No-show",AND(F833="Late cancel",Settings!$C$9="Yes"))),1,0)</f>
        <v/>
      </c>
      <c r="L833">
        <f>IF(AND(H833="",F833="Attended"),1,0)</f>
        <v/>
      </c>
      <c r="M833">
        <f>IF(AND(H833="",OR(F833="No-show",F833="Late cancel")),1,0)</f>
        <v/>
      </c>
      <c r="N833">
        <f>IF(AND(H833="",F833="",D833&lt;&gt;"",I833&gt;=TODAY()),ROUND((I833+IF(ISNUMBER(C833),MOD(C833,1),0))*1440,0)*10000+ROW(),"")</f>
        <v/>
      </c>
    </row>
    <row r="834">
      <c r="A834" s="1" t="n"/>
      <c r="B834" s="17" t="n"/>
      <c r="C834" s="18" t="n"/>
      <c r="D834" s="19" t="n"/>
      <c r="E834" s="20" t="n"/>
      <c r="F834" s="20" t="n"/>
      <c r="G834" s="21" t="n"/>
      <c r="H834" s="12">
        <f>IF(AND(B834="",D834="",F834=""),"",IF(NOT(ISNUMBER(B834)),"Needs a date",IF(D834="","Needs a client",IF(COUNTIF(Clients!$B$6:$B$105,D834)=0,"Not on Clients",IF(AND(F834="",INT(B834)&lt;TODAY()),"Needs a status","")))))</f>
        <v/>
      </c>
      <c r="I834" s="1">
        <f>IF(ISNUMBER(B834),INT(B834),0)</f>
        <v/>
      </c>
      <c r="J834">
        <f>IF(ISNUMBER(B834),YEAR(B834)*100+MONTH(B834),"")</f>
        <v/>
      </c>
      <c r="K834">
        <f>IF(AND(H834="",OR(F834="Attended",F834="No-show",AND(F834="Late cancel",Settings!$C$9="Yes"))),1,0)</f>
        <v/>
      </c>
      <c r="L834">
        <f>IF(AND(H834="",F834="Attended"),1,0)</f>
        <v/>
      </c>
      <c r="M834">
        <f>IF(AND(H834="",OR(F834="No-show",F834="Late cancel")),1,0)</f>
        <v/>
      </c>
      <c r="N834">
        <f>IF(AND(H834="",F834="",D834&lt;&gt;"",I834&gt;=TODAY()),ROUND((I834+IF(ISNUMBER(C834),MOD(C834,1),0))*1440,0)*10000+ROW(),"")</f>
        <v/>
      </c>
    </row>
    <row r="835">
      <c r="A835" s="1" t="n"/>
      <c r="B835" s="17" t="n"/>
      <c r="C835" s="18" t="n"/>
      <c r="D835" s="19" t="n"/>
      <c r="E835" s="20" t="n"/>
      <c r="F835" s="20" t="n"/>
      <c r="G835" s="21" t="n"/>
      <c r="H835" s="12">
        <f>IF(AND(B835="",D835="",F835=""),"",IF(NOT(ISNUMBER(B835)),"Needs a date",IF(D835="","Needs a client",IF(COUNTIF(Clients!$B$6:$B$105,D835)=0,"Not on Clients",IF(AND(F835="",INT(B835)&lt;TODAY()),"Needs a status","")))))</f>
        <v/>
      </c>
      <c r="I835" s="1">
        <f>IF(ISNUMBER(B835),INT(B835),0)</f>
        <v/>
      </c>
      <c r="J835">
        <f>IF(ISNUMBER(B835),YEAR(B835)*100+MONTH(B835),"")</f>
        <v/>
      </c>
      <c r="K835">
        <f>IF(AND(H835="",OR(F835="Attended",F835="No-show",AND(F835="Late cancel",Settings!$C$9="Yes"))),1,0)</f>
        <v/>
      </c>
      <c r="L835">
        <f>IF(AND(H835="",F835="Attended"),1,0)</f>
        <v/>
      </c>
      <c r="M835">
        <f>IF(AND(H835="",OR(F835="No-show",F835="Late cancel")),1,0)</f>
        <v/>
      </c>
      <c r="N835">
        <f>IF(AND(H835="",F835="",D835&lt;&gt;"",I835&gt;=TODAY()),ROUND((I835+IF(ISNUMBER(C835),MOD(C835,1),0))*1440,0)*10000+ROW(),"")</f>
        <v/>
      </c>
    </row>
    <row r="836">
      <c r="A836" s="1" t="n"/>
      <c r="B836" s="17" t="n"/>
      <c r="C836" s="18" t="n"/>
      <c r="D836" s="19" t="n"/>
      <c r="E836" s="20" t="n"/>
      <c r="F836" s="20" t="n"/>
      <c r="G836" s="21" t="n"/>
      <c r="H836" s="12">
        <f>IF(AND(B836="",D836="",F836=""),"",IF(NOT(ISNUMBER(B836)),"Needs a date",IF(D836="","Needs a client",IF(COUNTIF(Clients!$B$6:$B$105,D836)=0,"Not on Clients",IF(AND(F836="",INT(B836)&lt;TODAY()),"Needs a status","")))))</f>
        <v/>
      </c>
      <c r="I836" s="1">
        <f>IF(ISNUMBER(B836),INT(B836),0)</f>
        <v/>
      </c>
      <c r="J836">
        <f>IF(ISNUMBER(B836),YEAR(B836)*100+MONTH(B836),"")</f>
        <v/>
      </c>
      <c r="K836">
        <f>IF(AND(H836="",OR(F836="Attended",F836="No-show",AND(F836="Late cancel",Settings!$C$9="Yes"))),1,0)</f>
        <v/>
      </c>
      <c r="L836">
        <f>IF(AND(H836="",F836="Attended"),1,0)</f>
        <v/>
      </c>
      <c r="M836">
        <f>IF(AND(H836="",OR(F836="No-show",F836="Late cancel")),1,0)</f>
        <v/>
      </c>
      <c r="N836">
        <f>IF(AND(H836="",F836="",D836&lt;&gt;"",I836&gt;=TODAY()),ROUND((I836+IF(ISNUMBER(C836),MOD(C836,1),0))*1440,0)*10000+ROW(),"")</f>
        <v/>
      </c>
    </row>
    <row r="837">
      <c r="A837" s="1" t="n"/>
      <c r="B837" s="17" t="n"/>
      <c r="C837" s="18" t="n"/>
      <c r="D837" s="19" t="n"/>
      <c r="E837" s="20" t="n"/>
      <c r="F837" s="20" t="n"/>
      <c r="G837" s="21" t="n"/>
      <c r="H837" s="12">
        <f>IF(AND(B837="",D837="",F837=""),"",IF(NOT(ISNUMBER(B837)),"Needs a date",IF(D837="","Needs a client",IF(COUNTIF(Clients!$B$6:$B$105,D837)=0,"Not on Clients",IF(AND(F837="",INT(B837)&lt;TODAY()),"Needs a status","")))))</f>
        <v/>
      </c>
      <c r="I837" s="1">
        <f>IF(ISNUMBER(B837),INT(B837),0)</f>
        <v/>
      </c>
      <c r="J837">
        <f>IF(ISNUMBER(B837),YEAR(B837)*100+MONTH(B837),"")</f>
        <v/>
      </c>
      <c r="K837">
        <f>IF(AND(H837="",OR(F837="Attended",F837="No-show",AND(F837="Late cancel",Settings!$C$9="Yes"))),1,0)</f>
        <v/>
      </c>
      <c r="L837">
        <f>IF(AND(H837="",F837="Attended"),1,0)</f>
        <v/>
      </c>
      <c r="M837">
        <f>IF(AND(H837="",OR(F837="No-show",F837="Late cancel")),1,0)</f>
        <v/>
      </c>
      <c r="N837">
        <f>IF(AND(H837="",F837="",D837&lt;&gt;"",I837&gt;=TODAY()),ROUND((I837+IF(ISNUMBER(C837),MOD(C837,1),0))*1440,0)*10000+ROW(),"")</f>
        <v/>
      </c>
    </row>
    <row r="838">
      <c r="A838" s="1" t="n"/>
      <c r="B838" s="17" t="n"/>
      <c r="C838" s="18" t="n"/>
      <c r="D838" s="19" t="n"/>
      <c r="E838" s="20" t="n"/>
      <c r="F838" s="20" t="n"/>
      <c r="G838" s="21" t="n"/>
      <c r="H838" s="12">
        <f>IF(AND(B838="",D838="",F838=""),"",IF(NOT(ISNUMBER(B838)),"Needs a date",IF(D838="","Needs a client",IF(COUNTIF(Clients!$B$6:$B$105,D838)=0,"Not on Clients",IF(AND(F838="",INT(B838)&lt;TODAY()),"Needs a status","")))))</f>
        <v/>
      </c>
      <c r="I838" s="1">
        <f>IF(ISNUMBER(B838),INT(B838),0)</f>
        <v/>
      </c>
      <c r="J838">
        <f>IF(ISNUMBER(B838),YEAR(B838)*100+MONTH(B838),"")</f>
        <v/>
      </c>
      <c r="K838">
        <f>IF(AND(H838="",OR(F838="Attended",F838="No-show",AND(F838="Late cancel",Settings!$C$9="Yes"))),1,0)</f>
        <v/>
      </c>
      <c r="L838">
        <f>IF(AND(H838="",F838="Attended"),1,0)</f>
        <v/>
      </c>
      <c r="M838">
        <f>IF(AND(H838="",OR(F838="No-show",F838="Late cancel")),1,0)</f>
        <v/>
      </c>
      <c r="N838">
        <f>IF(AND(H838="",F838="",D838&lt;&gt;"",I838&gt;=TODAY()),ROUND((I838+IF(ISNUMBER(C838),MOD(C838,1),0))*1440,0)*10000+ROW(),"")</f>
        <v/>
      </c>
    </row>
    <row r="839">
      <c r="A839" s="1" t="n"/>
      <c r="B839" s="17" t="n"/>
      <c r="C839" s="18" t="n"/>
      <c r="D839" s="19" t="n"/>
      <c r="E839" s="20" t="n"/>
      <c r="F839" s="20" t="n"/>
      <c r="G839" s="21" t="n"/>
      <c r="H839" s="12">
        <f>IF(AND(B839="",D839="",F839=""),"",IF(NOT(ISNUMBER(B839)),"Needs a date",IF(D839="","Needs a client",IF(COUNTIF(Clients!$B$6:$B$105,D839)=0,"Not on Clients",IF(AND(F839="",INT(B839)&lt;TODAY()),"Needs a status","")))))</f>
        <v/>
      </c>
      <c r="I839" s="1">
        <f>IF(ISNUMBER(B839),INT(B839),0)</f>
        <v/>
      </c>
      <c r="J839">
        <f>IF(ISNUMBER(B839),YEAR(B839)*100+MONTH(B839),"")</f>
        <v/>
      </c>
      <c r="K839">
        <f>IF(AND(H839="",OR(F839="Attended",F839="No-show",AND(F839="Late cancel",Settings!$C$9="Yes"))),1,0)</f>
        <v/>
      </c>
      <c r="L839">
        <f>IF(AND(H839="",F839="Attended"),1,0)</f>
        <v/>
      </c>
      <c r="M839">
        <f>IF(AND(H839="",OR(F839="No-show",F839="Late cancel")),1,0)</f>
        <v/>
      </c>
      <c r="N839">
        <f>IF(AND(H839="",F839="",D839&lt;&gt;"",I839&gt;=TODAY()),ROUND((I839+IF(ISNUMBER(C839),MOD(C839,1),0))*1440,0)*10000+ROW(),"")</f>
        <v/>
      </c>
    </row>
    <row r="840">
      <c r="A840" s="1" t="n"/>
      <c r="B840" s="17" t="n"/>
      <c r="C840" s="18" t="n"/>
      <c r="D840" s="19" t="n"/>
      <c r="E840" s="20" t="n"/>
      <c r="F840" s="20" t="n"/>
      <c r="G840" s="21" t="n"/>
      <c r="H840" s="12">
        <f>IF(AND(B840="",D840="",F840=""),"",IF(NOT(ISNUMBER(B840)),"Needs a date",IF(D840="","Needs a client",IF(COUNTIF(Clients!$B$6:$B$105,D840)=0,"Not on Clients",IF(AND(F840="",INT(B840)&lt;TODAY()),"Needs a status","")))))</f>
        <v/>
      </c>
      <c r="I840" s="1">
        <f>IF(ISNUMBER(B840),INT(B840),0)</f>
        <v/>
      </c>
      <c r="J840">
        <f>IF(ISNUMBER(B840),YEAR(B840)*100+MONTH(B840),"")</f>
        <v/>
      </c>
      <c r="K840">
        <f>IF(AND(H840="",OR(F840="Attended",F840="No-show",AND(F840="Late cancel",Settings!$C$9="Yes"))),1,0)</f>
        <v/>
      </c>
      <c r="L840">
        <f>IF(AND(H840="",F840="Attended"),1,0)</f>
        <v/>
      </c>
      <c r="M840">
        <f>IF(AND(H840="",OR(F840="No-show",F840="Late cancel")),1,0)</f>
        <v/>
      </c>
      <c r="N840">
        <f>IF(AND(H840="",F840="",D840&lt;&gt;"",I840&gt;=TODAY()),ROUND((I840+IF(ISNUMBER(C840),MOD(C840,1),0))*1440,0)*10000+ROW(),"")</f>
        <v/>
      </c>
    </row>
    <row r="841">
      <c r="A841" s="1" t="n"/>
      <c r="B841" s="17" t="n"/>
      <c r="C841" s="18" t="n"/>
      <c r="D841" s="19" t="n"/>
      <c r="E841" s="20" t="n"/>
      <c r="F841" s="20" t="n"/>
      <c r="G841" s="21" t="n"/>
      <c r="H841" s="12">
        <f>IF(AND(B841="",D841="",F841=""),"",IF(NOT(ISNUMBER(B841)),"Needs a date",IF(D841="","Needs a client",IF(COUNTIF(Clients!$B$6:$B$105,D841)=0,"Not on Clients",IF(AND(F841="",INT(B841)&lt;TODAY()),"Needs a status","")))))</f>
        <v/>
      </c>
      <c r="I841" s="1">
        <f>IF(ISNUMBER(B841),INT(B841),0)</f>
        <v/>
      </c>
      <c r="J841">
        <f>IF(ISNUMBER(B841),YEAR(B841)*100+MONTH(B841),"")</f>
        <v/>
      </c>
      <c r="K841">
        <f>IF(AND(H841="",OR(F841="Attended",F841="No-show",AND(F841="Late cancel",Settings!$C$9="Yes"))),1,0)</f>
        <v/>
      </c>
      <c r="L841">
        <f>IF(AND(H841="",F841="Attended"),1,0)</f>
        <v/>
      </c>
      <c r="M841">
        <f>IF(AND(H841="",OR(F841="No-show",F841="Late cancel")),1,0)</f>
        <v/>
      </c>
      <c r="N841">
        <f>IF(AND(H841="",F841="",D841&lt;&gt;"",I841&gt;=TODAY()),ROUND((I841+IF(ISNUMBER(C841),MOD(C841,1),0))*1440,0)*10000+ROW(),"")</f>
        <v/>
      </c>
    </row>
    <row r="842">
      <c r="A842" s="1" t="n"/>
      <c r="B842" s="17" t="n"/>
      <c r="C842" s="18" t="n"/>
      <c r="D842" s="19" t="n"/>
      <c r="E842" s="20" t="n"/>
      <c r="F842" s="20" t="n"/>
      <c r="G842" s="21" t="n"/>
      <c r="H842" s="12">
        <f>IF(AND(B842="",D842="",F842=""),"",IF(NOT(ISNUMBER(B842)),"Needs a date",IF(D842="","Needs a client",IF(COUNTIF(Clients!$B$6:$B$105,D842)=0,"Not on Clients",IF(AND(F842="",INT(B842)&lt;TODAY()),"Needs a status","")))))</f>
        <v/>
      </c>
      <c r="I842" s="1">
        <f>IF(ISNUMBER(B842),INT(B842),0)</f>
        <v/>
      </c>
      <c r="J842">
        <f>IF(ISNUMBER(B842),YEAR(B842)*100+MONTH(B842),"")</f>
        <v/>
      </c>
      <c r="K842">
        <f>IF(AND(H842="",OR(F842="Attended",F842="No-show",AND(F842="Late cancel",Settings!$C$9="Yes"))),1,0)</f>
        <v/>
      </c>
      <c r="L842">
        <f>IF(AND(H842="",F842="Attended"),1,0)</f>
        <v/>
      </c>
      <c r="M842">
        <f>IF(AND(H842="",OR(F842="No-show",F842="Late cancel")),1,0)</f>
        <v/>
      </c>
      <c r="N842">
        <f>IF(AND(H842="",F842="",D842&lt;&gt;"",I842&gt;=TODAY()),ROUND((I842+IF(ISNUMBER(C842),MOD(C842,1),0))*1440,0)*10000+ROW(),"")</f>
        <v/>
      </c>
    </row>
    <row r="843">
      <c r="A843" s="1" t="n"/>
      <c r="B843" s="17" t="n"/>
      <c r="C843" s="18" t="n"/>
      <c r="D843" s="19" t="n"/>
      <c r="E843" s="20" t="n"/>
      <c r="F843" s="20" t="n"/>
      <c r="G843" s="21" t="n"/>
      <c r="H843" s="12">
        <f>IF(AND(B843="",D843="",F843=""),"",IF(NOT(ISNUMBER(B843)),"Needs a date",IF(D843="","Needs a client",IF(COUNTIF(Clients!$B$6:$B$105,D843)=0,"Not on Clients",IF(AND(F843="",INT(B843)&lt;TODAY()),"Needs a status","")))))</f>
        <v/>
      </c>
      <c r="I843" s="1">
        <f>IF(ISNUMBER(B843),INT(B843),0)</f>
        <v/>
      </c>
      <c r="J843">
        <f>IF(ISNUMBER(B843),YEAR(B843)*100+MONTH(B843),"")</f>
        <v/>
      </c>
      <c r="K843">
        <f>IF(AND(H843="",OR(F843="Attended",F843="No-show",AND(F843="Late cancel",Settings!$C$9="Yes"))),1,0)</f>
        <v/>
      </c>
      <c r="L843">
        <f>IF(AND(H843="",F843="Attended"),1,0)</f>
        <v/>
      </c>
      <c r="M843">
        <f>IF(AND(H843="",OR(F843="No-show",F843="Late cancel")),1,0)</f>
        <v/>
      </c>
      <c r="N843">
        <f>IF(AND(H843="",F843="",D843&lt;&gt;"",I843&gt;=TODAY()),ROUND((I843+IF(ISNUMBER(C843),MOD(C843,1),0))*1440,0)*10000+ROW(),"")</f>
        <v/>
      </c>
    </row>
    <row r="844">
      <c r="A844" s="1" t="n"/>
      <c r="B844" s="17" t="n"/>
      <c r="C844" s="18" t="n"/>
      <c r="D844" s="19" t="n"/>
      <c r="E844" s="20" t="n"/>
      <c r="F844" s="20" t="n"/>
      <c r="G844" s="21" t="n"/>
      <c r="H844" s="12">
        <f>IF(AND(B844="",D844="",F844=""),"",IF(NOT(ISNUMBER(B844)),"Needs a date",IF(D844="","Needs a client",IF(COUNTIF(Clients!$B$6:$B$105,D844)=0,"Not on Clients",IF(AND(F844="",INT(B844)&lt;TODAY()),"Needs a status","")))))</f>
        <v/>
      </c>
      <c r="I844" s="1">
        <f>IF(ISNUMBER(B844),INT(B844),0)</f>
        <v/>
      </c>
      <c r="J844">
        <f>IF(ISNUMBER(B844),YEAR(B844)*100+MONTH(B844),"")</f>
        <v/>
      </c>
      <c r="K844">
        <f>IF(AND(H844="",OR(F844="Attended",F844="No-show",AND(F844="Late cancel",Settings!$C$9="Yes"))),1,0)</f>
        <v/>
      </c>
      <c r="L844">
        <f>IF(AND(H844="",F844="Attended"),1,0)</f>
        <v/>
      </c>
      <c r="M844">
        <f>IF(AND(H844="",OR(F844="No-show",F844="Late cancel")),1,0)</f>
        <v/>
      </c>
      <c r="N844">
        <f>IF(AND(H844="",F844="",D844&lt;&gt;"",I844&gt;=TODAY()),ROUND((I844+IF(ISNUMBER(C844),MOD(C844,1),0))*1440,0)*10000+ROW(),"")</f>
        <v/>
      </c>
    </row>
    <row r="845">
      <c r="A845" s="1" t="n"/>
      <c r="B845" s="17" t="n"/>
      <c r="C845" s="18" t="n"/>
      <c r="D845" s="19" t="n"/>
      <c r="E845" s="20" t="n"/>
      <c r="F845" s="20" t="n"/>
      <c r="G845" s="21" t="n"/>
      <c r="H845" s="12">
        <f>IF(AND(B845="",D845="",F845=""),"",IF(NOT(ISNUMBER(B845)),"Needs a date",IF(D845="","Needs a client",IF(COUNTIF(Clients!$B$6:$B$105,D845)=0,"Not on Clients",IF(AND(F845="",INT(B845)&lt;TODAY()),"Needs a status","")))))</f>
        <v/>
      </c>
      <c r="I845" s="1">
        <f>IF(ISNUMBER(B845),INT(B845),0)</f>
        <v/>
      </c>
      <c r="J845">
        <f>IF(ISNUMBER(B845),YEAR(B845)*100+MONTH(B845),"")</f>
        <v/>
      </c>
      <c r="K845">
        <f>IF(AND(H845="",OR(F845="Attended",F845="No-show",AND(F845="Late cancel",Settings!$C$9="Yes"))),1,0)</f>
        <v/>
      </c>
      <c r="L845">
        <f>IF(AND(H845="",F845="Attended"),1,0)</f>
        <v/>
      </c>
      <c r="M845">
        <f>IF(AND(H845="",OR(F845="No-show",F845="Late cancel")),1,0)</f>
        <v/>
      </c>
      <c r="N845">
        <f>IF(AND(H845="",F845="",D845&lt;&gt;"",I845&gt;=TODAY()),ROUND((I845+IF(ISNUMBER(C845),MOD(C845,1),0))*1440,0)*10000+ROW(),"")</f>
        <v/>
      </c>
    </row>
    <row r="846">
      <c r="A846" s="1" t="n"/>
      <c r="B846" s="17" t="n"/>
      <c r="C846" s="18" t="n"/>
      <c r="D846" s="19" t="n"/>
      <c r="E846" s="20" t="n"/>
      <c r="F846" s="20" t="n"/>
      <c r="G846" s="21" t="n"/>
      <c r="H846" s="12">
        <f>IF(AND(B846="",D846="",F846=""),"",IF(NOT(ISNUMBER(B846)),"Needs a date",IF(D846="","Needs a client",IF(COUNTIF(Clients!$B$6:$B$105,D846)=0,"Not on Clients",IF(AND(F846="",INT(B846)&lt;TODAY()),"Needs a status","")))))</f>
        <v/>
      </c>
      <c r="I846" s="1">
        <f>IF(ISNUMBER(B846),INT(B846),0)</f>
        <v/>
      </c>
      <c r="J846">
        <f>IF(ISNUMBER(B846),YEAR(B846)*100+MONTH(B846),"")</f>
        <v/>
      </c>
      <c r="K846">
        <f>IF(AND(H846="",OR(F846="Attended",F846="No-show",AND(F846="Late cancel",Settings!$C$9="Yes"))),1,0)</f>
        <v/>
      </c>
      <c r="L846">
        <f>IF(AND(H846="",F846="Attended"),1,0)</f>
        <v/>
      </c>
      <c r="M846">
        <f>IF(AND(H846="",OR(F846="No-show",F846="Late cancel")),1,0)</f>
        <v/>
      </c>
      <c r="N846">
        <f>IF(AND(H846="",F846="",D846&lt;&gt;"",I846&gt;=TODAY()),ROUND((I846+IF(ISNUMBER(C846),MOD(C846,1),0))*1440,0)*10000+ROW(),"")</f>
        <v/>
      </c>
    </row>
    <row r="847">
      <c r="A847" s="1" t="n"/>
      <c r="B847" s="17" t="n"/>
      <c r="C847" s="18" t="n"/>
      <c r="D847" s="19" t="n"/>
      <c r="E847" s="20" t="n"/>
      <c r="F847" s="20" t="n"/>
      <c r="G847" s="21" t="n"/>
      <c r="H847" s="12">
        <f>IF(AND(B847="",D847="",F847=""),"",IF(NOT(ISNUMBER(B847)),"Needs a date",IF(D847="","Needs a client",IF(COUNTIF(Clients!$B$6:$B$105,D847)=0,"Not on Clients",IF(AND(F847="",INT(B847)&lt;TODAY()),"Needs a status","")))))</f>
        <v/>
      </c>
      <c r="I847" s="1">
        <f>IF(ISNUMBER(B847),INT(B847),0)</f>
        <v/>
      </c>
      <c r="J847">
        <f>IF(ISNUMBER(B847),YEAR(B847)*100+MONTH(B847),"")</f>
        <v/>
      </c>
      <c r="K847">
        <f>IF(AND(H847="",OR(F847="Attended",F847="No-show",AND(F847="Late cancel",Settings!$C$9="Yes"))),1,0)</f>
        <v/>
      </c>
      <c r="L847">
        <f>IF(AND(H847="",F847="Attended"),1,0)</f>
        <v/>
      </c>
      <c r="M847">
        <f>IF(AND(H847="",OR(F847="No-show",F847="Late cancel")),1,0)</f>
        <v/>
      </c>
      <c r="N847">
        <f>IF(AND(H847="",F847="",D847&lt;&gt;"",I847&gt;=TODAY()),ROUND((I847+IF(ISNUMBER(C847),MOD(C847,1),0))*1440,0)*10000+ROW(),"")</f>
        <v/>
      </c>
    </row>
    <row r="848">
      <c r="A848" s="1" t="n"/>
      <c r="B848" s="17" t="n"/>
      <c r="C848" s="18" t="n"/>
      <c r="D848" s="19" t="n"/>
      <c r="E848" s="20" t="n"/>
      <c r="F848" s="20" t="n"/>
      <c r="G848" s="21" t="n"/>
      <c r="H848" s="12">
        <f>IF(AND(B848="",D848="",F848=""),"",IF(NOT(ISNUMBER(B848)),"Needs a date",IF(D848="","Needs a client",IF(COUNTIF(Clients!$B$6:$B$105,D848)=0,"Not on Clients",IF(AND(F848="",INT(B848)&lt;TODAY()),"Needs a status","")))))</f>
        <v/>
      </c>
      <c r="I848" s="1">
        <f>IF(ISNUMBER(B848),INT(B848),0)</f>
        <v/>
      </c>
      <c r="J848">
        <f>IF(ISNUMBER(B848),YEAR(B848)*100+MONTH(B848),"")</f>
        <v/>
      </c>
      <c r="K848">
        <f>IF(AND(H848="",OR(F848="Attended",F848="No-show",AND(F848="Late cancel",Settings!$C$9="Yes"))),1,0)</f>
        <v/>
      </c>
      <c r="L848">
        <f>IF(AND(H848="",F848="Attended"),1,0)</f>
        <v/>
      </c>
      <c r="M848">
        <f>IF(AND(H848="",OR(F848="No-show",F848="Late cancel")),1,0)</f>
        <v/>
      </c>
      <c r="N848">
        <f>IF(AND(H848="",F848="",D848&lt;&gt;"",I848&gt;=TODAY()),ROUND((I848+IF(ISNUMBER(C848),MOD(C848,1),0))*1440,0)*10000+ROW(),"")</f>
        <v/>
      </c>
    </row>
    <row r="849">
      <c r="A849" s="1" t="n"/>
      <c r="B849" s="17" t="n"/>
      <c r="C849" s="18" t="n"/>
      <c r="D849" s="19" t="n"/>
      <c r="E849" s="20" t="n"/>
      <c r="F849" s="20" t="n"/>
      <c r="G849" s="21" t="n"/>
      <c r="H849" s="12">
        <f>IF(AND(B849="",D849="",F849=""),"",IF(NOT(ISNUMBER(B849)),"Needs a date",IF(D849="","Needs a client",IF(COUNTIF(Clients!$B$6:$B$105,D849)=0,"Not on Clients",IF(AND(F849="",INT(B849)&lt;TODAY()),"Needs a status","")))))</f>
        <v/>
      </c>
      <c r="I849" s="1">
        <f>IF(ISNUMBER(B849),INT(B849),0)</f>
        <v/>
      </c>
      <c r="J849">
        <f>IF(ISNUMBER(B849),YEAR(B849)*100+MONTH(B849),"")</f>
        <v/>
      </c>
      <c r="K849">
        <f>IF(AND(H849="",OR(F849="Attended",F849="No-show",AND(F849="Late cancel",Settings!$C$9="Yes"))),1,0)</f>
        <v/>
      </c>
      <c r="L849">
        <f>IF(AND(H849="",F849="Attended"),1,0)</f>
        <v/>
      </c>
      <c r="M849">
        <f>IF(AND(H849="",OR(F849="No-show",F849="Late cancel")),1,0)</f>
        <v/>
      </c>
      <c r="N849">
        <f>IF(AND(H849="",F849="",D849&lt;&gt;"",I849&gt;=TODAY()),ROUND((I849+IF(ISNUMBER(C849),MOD(C849,1),0))*1440,0)*10000+ROW(),"")</f>
        <v/>
      </c>
    </row>
    <row r="850">
      <c r="A850" s="1" t="n"/>
      <c r="B850" s="17" t="n"/>
      <c r="C850" s="18" t="n"/>
      <c r="D850" s="19" t="n"/>
      <c r="E850" s="20" t="n"/>
      <c r="F850" s="20" t="n"/>
      <c r="G850" s="21" t="n"/>
      <c r="H850" s="12">
        <f>IF(AND(B850="",D850="",F850=""),"",IF(NOT(ISNUMBER(B850)),"Needs a date",IF(D850="","Needs a client",IF(COUNTIF(Clients!$B$6:$B$105,D850)=0,"Not on Clients",IF(AND(F850="",INT(B850)&lt;TODAY()),"Needs a status","")))))</f>
        <v/>
      </c>
      <c r="I850" s="1">
        <f>IF(ISNUMBER(B850),INT(B850),0)</f>
        <v/>
      </c>
      <c r="J850">
        <f>IF(ISNUMBER(B850),YEAR(B850)*100+MONTH(B850),"")</f>
        <v/>
      </c>
      <c r="K850">
        <f>IF(AND(H850="",OR(F850="Attended",F850="No-show",AND(F850="Late cancel",Settings!$C$9="Yes"))),1,0)</f>
        <v/>
      </c>
      <c r="L850">
        <f>IF(AND(H850="",F850="Attended"),1,0)</f>
        <v/>
      </c>
      <c r="M850">
        <f>IF(AND(H850="",OR(F850="No-show",F850="Late cancel")),1,0)</f>
        <v/>
      </c>
      <c r="N850">
        <f>IF(AND(H850="",F850="",D850&lt;&gt;"",I850&gt;=TODAY()),ROUND((I850+IF(ISNUMBER(C850),MOD(C850,1),0))*1440,0)*10000+ROW(),"")</f>
        <v/>
      </c>
    </row>
    <row r="851">
      <c r="A851" s="1" t="n"/>
      <c r="B851" s="17" t="n"/>
      <c r="C851" s="18" t="n"/>
      <c r="D851" s="19" t="n"/>
      <c r="E851" s="20" t="n"/>
      <c r="F851" s="20" t="n"/>
      <c r="G851" s="21" t="n"/>
      <c r="H851" s="12">
        <f>IF(AND(B851="",D851="",F851=""),"",IF(NOT(ISNUMBER(B851)),"Needs a date",IF(D851="","Needs a client",IF(COUNTIF(Clients!$B$6:$B$105,D851)=0,"Not on Clients",IF(AND(F851="",INT(B851)&lt;TODAY()),"Needs a status","")))))</f>
        <v/>
      </c>
      <c r="I851" s="1">
        <f>IF(ISNUMBER(B851),INT(B851),0)</f>
        <v/>
      </c>
      <c r="J851">
        <f>IF(ISNUMBER(B851),YEAR(B851)*100+MONTH(B851),"")</f>
        <v/>
      </c>
      <c r="K851">
        <f>IF(AND(H851="",OR(F851="Attended",F851="No-show",AND(F851="Late cancel",Settings!$C$9="Yes"))),1,0)</f>
        <v/>
      </c>
      <c r="L851">
        <f>IF(AND(H851="",F851="Attended"),1,0)</f>
        <v/>
      </c>
      <c r="M851">
        <f>IF(AND(H851="",OR(F851="No-show",F851="Late cancel")),1,0)</f>
        <v/>
      </c>
      <c r="N851">
        <f>IF(AND(H851="",F851="",D851&lt;&gt;"",I851&gt;=TODAY()),ROUND((I851+IF(ISNUMBER(C851),MOD(C851,1),0))*1440,0)*10000+ROW(),"")</f>
        <v/>
      </c>
    </row>
    <row r="852">
      <c r="A852" s="1" t="n"/>
      <c r="B852" s="17" t="n"/>
      <c r="C852" s="18" t="n"/>
      <c r="D852" s="19" t="n"/>
      <c r="E852" s="20" t="n"/>
      <c r="F852" s="20" t="n"/>
      <c r="G852" s="21" t="n"/>
      <c r="H852" s="12">
        <f>IF(AND(B852="",D852="",F852=""),"",IF(NOT(ISNUMBER(B852)),"Needs a date",IF(D852="","Needs a client",IF(COUNTIF(Clients!$B$6:$B$105,D852)=0,"Not on Clients",IF(AND(F852="",INT(B852)&lt;TODAY()),"Needs a status","")))))</f>
        <v/>
      </c>
      <c r="I852" s="1">
        <f>IF(ISNUMBER(B852),INT(B852),0)</f>
        <v/>
      </c>
      <c r="J852">
        <f>IF(ISNUMBER(B852),YEAR(B852)*100+MONTH(B852),"")</f>
        <v/>
      </c>
      <c r="K852">
        <f>IF(AND(H852="",OR(F852="Attended",F852="No-show",AND(F852="Late cancel",Settings!$C$9="Yes"))),1,0)</f>
        <v/>
      </c>
      <c r="L852">
        <f>IF(AND(H852="",F852="Attended"),1,0)</f>
        <v/>
      </c>
      <c r="M852">
        <f>IF(AND(H852="",OR(F852="No-show",F852="Late cancel")),1,0)</f>
        <v/>
      </c>
      <c r="N852">
        <f>IF(AND(H852="",F852="",D852&lt;&gt;"",I852&gt;=TODAY()),ROUND((I852+IF(ISNUMBER(C852),MOD(C852,1),0))*1440,0)*10000+ROW(),"")</f>
        <v/>
      </c>
    </row>
    <row r="853">
      <c r="A853" s="1" t="n"/>
      <c r="B853" s="17" t="n"/>
      <c r="C853" s="18" t="n"/>
      <c r="D853" s="19" t="n"/>
      <c r="E853" s="20" t="n"/>
      <c r="F853" s="20" t="n"/>
      <c r="G853" s="21" t="n"/>
      <c r="H853" s="12">
        <f>IF(AND(B853="",D853="",F853=""),"",IF(NOT(ISNUMBER(B853)),"Needs a date",IF(D853="","Needs a client",IF(COUNTIF(Clients!$B$6:$B$105,D853)=0,"Not on Clients",IF(AND(F853="",INT(B853)&lt;TODAY()),"Needs a status","")))))</f>
        <v/>
      </c>
      <c r="I853" s="1">
        <f>IF(ISNUMBER(B853),INT(B853),0)</f>
        <v/>
      </c>
      <c r="J853">
        <f>IF(ISNUMBER(B853),YEAR(B853)*100+MONTH(B853),"")</f>
        <v/>
      </c>
      <c r="K853">
        <f>IF(AND(H853="",OR(F853="Attended",F853="No-show",AND(F853="Late cancel",Settings!$C$9="Yes"))),1,0)</f>
        <v/>
      </c>
      <c r="L853">
        <f>IF(AND(H853="",F853="Attended"),1,0)</f>
        <v/>
      </c>
      <c r="M853">
        <f>IF(AND(H853="",OR(F853="No-show",F853="Late cancel")),1,0)</f>
        <v/>
      </c>
      <c r="N853">
        <f>IF(AND(H853="",F853="",D853&lt;&gt;"",I853&gt;=TODAY()),ROUND((I853+IF(ISNUMBER(C853),MOD(C853,1),0))*1440,0)*10000+ROW(),"")</f>
        <v/>
      </c>
    </row>
    <row r="854">
      <c r="A854" s="1" t="n"/>
      <c r="B854" s="17" t="n"/>
      <c r="C854" s="18" t="n"/>
      <c r="D854" s="19" t="n"/>
      <c r="E854" s="20" t="n"/>
      <c r="F854" s="20" t="n"/>
      <c r="G854" s="21" t="n"/>
      <c r="H854" s="12">
        <f>IF(AND(B854="",D854="",F854=""),"",IF(NOT(ISNUMBER(B854)),"Needs a date",IF(D854="","Needs a client",IF(COUNTIF(Clients!$B$6:$B$105,D854)=0,"Not on Clients",IF(AND(F854="",INT(B854)&lt;TODAY()),"Needs a status","")))))</f>
        <v/>
      </c>
      <c r="I854" s="1">
        <f>IF(ISNUMBER(B854),INT(B854),0)</f>
        <v/>
      </c>
      <c r="J854">
        <f>IF(ISNUMBER(B854),YEAR(B854)*100+MONTH(B854),"")</f>
        <v/>
      </c>
      <c r="K854">
        <f>IF(AND(H854="",OR(F854="Attended",F854="No-show",AND(F854="Late cancel",Settings!$C$9="Yes"))),1,0)</f>
        <v/>
      </c>
      <c r="L854">
        <f>IF(AND(H854="",F854="Attended"),1,0)</f>
        <v/>
      </c>
      <c r="M854">
        <f>IF(AND(H854="",OR(F854="No-show",F854="Late cancel")),1,0)</f>
        <v/>
      </c>
      <c r="N854">
        <f>IF(AND(H854="",F854="",D854&lt;&gt;"",I854&gt;=TODAY()),ROUND((I854+IF(ISNUMBER(C854),MOD(C854,1),0))*1440,0)*10000+ROW(),"")</f>
        <v/>
      </c>
    </row>
    <row r="855">
      <c r="A855" s="1" t="n"/>
      <c r="B855" s="17" t="n"/>
      <c r="C855" s="18" t="n"/>
      <c r="D855" s="19" t="n"/>
      <c r="E855" s="20" t="n"/>
      <c r="F855" s="20" t="n"/>
      <c r="G855" s="21" t="n"/>
      <c r="H855" s="12">
        <f>IF(AND(B855="",D855="",F855=""),"",IF(NOT(ISNUMBER(B855)),"Needs a date",IF(D855="","Needs a client",IF(COUNTIF(Clients!$B$6:$B$105,D855)=0,"Not on Clients",IF(AND(F855="",INT(B855)&lt;TODAY()),"Needs a status","")))))</f>
        <v/>
      </c>
      <c r="I855" s="1">
        <f>IF(ISNUMBER(B855),INT(B855),0)</f>
        <v/>
      </c>
      <c r="J855">
        <f>IF(ISNUMBER(B855),YEAR(B855)*100+MONTH(B855),"")</f>
        <v/>
      </c>
      <c r="K855">
        <f>IF(AND(H855="",OR(F855="Attended",F855="No-show",AND(F855="Late cancel",Settings!$C$9="Yes"))),1,0)</f>
        <v/>
      </c>
      <c r="L855">
        <f>IF(AND(H855="",F855="Attended"),1,0)</f>
        <v/>
      </c>
      <c r="M855">
        <f>IF(AND(H855="",OR(F855="No-show",F855="Late cancel")),1,0)</f>
        <v/>
      </c>
      <c r="N855">
        <f>IF(AND(H855="",F855="",D855&lt;&gt;"",I855&gt;=TODAY()),ROUND((I855+IF(ISNUMBER(C855),MOD(C855,1),0))*1440,0)*10000+ROW(),"")</f>
        <v/>
      </c>
    </row>
    <row r="856">
      <c r="A856" s="1" t="n"/>
      <c r="B856" s="17" t="n"/>
      <c r="C856" s="18" t="n"/>
      <c r="D856" s="19" t="n"/>
      <c r="E856" s="20" t="n"/>
      <c r="F856" s="20" t="n"/>
      <c r="G856" s="21" t="n"/>
      <c r="H856" s="12">
        <f>IF(AND(B856="",D856="",F856=""),"",IF(NOT(ISNUMBER(B856)),"Needs a date",IF(D856="","Needs a client",IF(COUNTIF(Clients!$B$6:$B$105,D856)=0,"Not on Clients",IF(AND(F856="",INT(B856)&lt;TODAY()),"Needs a status","")))))</f>
        <v/>
      </c>
      <c r="I856" s="1">
        <f>IF(ISNUMBER(B856),INT(B856),0)</f>
        <v/>
      </c>
      <c r="J856">
        <f>IF(ISNUMBER(B856),YEAR(B856)*100+MONTH(B856),"")</f>
        <v/>
      </c>
      <c r="K856">
        <f>IF(AND(H856="",OR(F856="Attended",F856="No-show",AND(F856="Late cancel",Settings!$C$9="Yes"))),1,0)</f>
        <v/>
      </c>
      <c r="L856">
        <f>IF(AND(H856="",F856="Attended"),1,0)</f>
        <v/>
      </c>
      <c r="M856">
        <f>IF(AND(H856="",OR(F856="No-show",F856="Late cancel")),1,0)</f>
        <v/>
      </c>
      <c r="N856">
        <f>IF(AND(H856="",F856="",D856&lt;&gt;"",I856&gt;=TODAY()),ROUND((I856+IF(ISNUMBER(C856),MOD(C856,1),0))*1440,0)*10000+ROW(),"")</f>
        <v/>
      </c>
    </row>
    <row r="857">
      <c r="A857" s="1" t="n"/>
      <c r="B857" s="17" t="n"/>
      <c r="C857" s="18" t="n"/>
      <c r="D857" s="19" t="n"/>
      <c r="E857" s="20" t="n"/>
      <c r="F857" s="20" t="n"/>
      <c r="G857" s="21" t="n"/>
      <c r="H857" s="12">
        <f>IF(AND(B857="",D857="",F857=""),"",IF(NOT(ISNUMBER(B857)),"Needs a date",IF(D857="","Needs a client",IF(COUNTIF(Clients!$B$6:$B$105,D857)=0,"Not on Clients",IF(AND(F857="",INT(B857)&lt;TODAY()),"Needs a status","")))))</f>
        <v/>
      </c>
      <c r="I857" s="1">
        <f>IF(ISNUMBER(B857),INT(B857),0)</f>
        <v/>
      </c>
      <c r="J857">
        <f>IF(ISNUMBER(B857),YEAR(B857)*100+MONTH(B857),"")</f>
        <v/>
      </c>
      <c r="K857">
        <f>IF(AND(H857="",OR(F857="Attended",F857="No-show",AND(F857="Late cancel",Settings!$C$9="Yes"))),1,0)</f>
        <v/>
      </c>
      <c r="L857">
        <f>IF(AND(H857="",F857="Attended"),1,0)</f>
        <v/>
      </c>
      <c r="M857">
        <f>IF(AND(H857="",OR(F857="No-show",F857="Late cancel")),1,0)</f>
        <v/>
      </c>
      <c r="N857">
        <f>IF(AND(H857="",F857="",D857&lt;&gt;"",I857&gt;=TODAY()),ROUND((I857+IF(ISNUMBER(C857),MOD(C857,1),0))*1440,0)*10000+ROW(),"")</f>
        <v/>
      </c>
    </row>
    <row r="858">
      <c r="A858" s="1" t="n"/>
      <c r="B858" s="17" t="n"/>
      <c r="C858" s="18" t="n"/>
      <c r="D858" s="19" t="n"/>
      <c r="E858" s="20" t="n"/>
      <c r="F858" s="20" t="n"/>
      <c r="G858" s="21" t="n"/>
      <c r="H858" s="12">
        <f>IF(AND(B858="",D858="",F858=""),"",IF(NOT(ISNUMBER(B858)),"Needs a date",IF(D858="","Needs a client",IF(COUNTIF(Clients!$B$6:$B$105,D858)=0,"Not on Clients",IF(AND(F858="",INT(B858)&lt;TODAY()),"Needs a status","")))))</f>
        <v/>
      </c>
      <c r="I858" s="1">
        <f>IF(ISNUMBER(B858),INT(B858),0)</f>
        <v/>
      </c>
      <c r="J858">
        <f>IF(ISNUMBER(B858),YEAR(B858)*100+MONTH(B858),"")</f>
        <v/>
      </c>
      <c r="K858">
        <f>IF(AND(H858="",OR(F858="Attended",F858="No-show",AND(F858="Late cancel",Settings!$C$9="Yes"))),1,0)</f>
        <v/>
      </c>
      <c r="L858">
        <f>IF(AND(H858="",F858="Attended"),1,0)</f>
        <v/>
      </c>
      <c r="M858">
        <f>IF(AND(H858="",OR(F858="No-show",F858="Late cancel")),1,0)</f>
        <v/>
      </c>
      <c r="N858">
        <f>IF(AND(H858="",F858="",D858&lt;&gt;"",I858&gt;=TODAY()),ROUND((I858+IF(ISNUMBER(C858),MOD(C858,1),0))*1440,0)*10000+ROW(),"")</f>
        <v/>
      </c>
    </row>
    <row r="859">
      <c r="A859" s="1" t="n"/>
      <c r="B859" s="17" t="n"/>
      <c r="C859" s="18" t="n"/>
      <c r="D859" s="19" t="n"/>
      <c r="E859" s="20" t="n"/>
      <c r="F859" s="20" t="n"/>
      <c r="G859" s="21" t="n"/>
      <c r="H859" s="12">
        <f>IF(AND(B859="",D859="",F859=""),"",IF(NOT(ISNUMBER(B859)),"Needs a date",IF(D859="","Needs a client",IF(COUNTIF(Clients!$B$6:$B$105,D859)=0,"Not on Clients",IF(AND(F859="",INT(B859)&lt;TODAY()),"Needs a status","")))))</f>
        <v/>
      </c>
      <c r="I859" s="1">
        <f>IF(ISNUMBER(B859),INT(B859),0)</f>
        <v/>
      </c>
      <c r="J859">
        <f>IF(ISNUMBER(B859),YEAR(B859)*100+MONTH(B859),"")</f>
        <v/>
      </c>
      <c r="K859">
        <f>IF(AND(H859="",OR(F859="Attended",F859="No-show",AND(F859="Late cancel",Settings!$C$9="Yes"))),1,0)</f>
        <v/>
      </c>
      <c r="L859">
        <f>IF(AND(H859="",F859="Attended"),1,0)</f>
        <v/>
      </c>
      <c r="M859">
        <f>IF(AND(H859="",OR(F859="No-show",F859="Late cancel")),1,0)</f>
        <v/>
      </c>
      <c r="N859">
        <f>IF(AND(H859="",F859="",D859&lt;&gt;"",I859&gt;=TODAY()),ROUND((I859+IF(ISNUMBER(C859),MOD(C859,1),0))*1440,0)*10000+ROW(),"")</f>
        <v/>
      </c>
    </row>
    <row r="860">
      <c r="A860" s="1" t="n"/>
      <c r="B860" s="17" t="n"/>
      <c r="C860" s="18" t="n"/>
      <c r="D860" s="19" t="n"/>
      <c r="E860" s="20" t="n"/>
      <c r="F860" s="20" t="n"/>
      <c r="G860" s="21" t="n"/>
      <c r="H860" s="12">
        <f>IF(AND(B860="",D860="",F860=""),"",IF(NOT(ISNUMBER(B860)),"Needs a date",IF(D860="","Needs a client",IF(COUNTIF(Clients!$B$6:$B$105,D860)=0,"Not on Clients",IF(AND(F860="",INT(B860)&lt;TODAY()),"Needs a status","")))))</f>
        <v/>
      </c>
      <c r="I860" s="1">
        <f>IF(ISNUMBER(B860),INT(B860),0)</f>
        <v/>
      </c>
      <c r="J860">
        <f>IF(ISNUMBER(B860),YEAR(B860)*100+MONTH(B860),"")</f>
        <v/>
      </c>
      <c r="K860">
        <f>IF(AND(H860="",OR(F860="Attended",F860="No-show",AND(F860="Late cancel",Settings!$C$9="Yes"))),1,0)</f>
        <v/>
      </c>
      <c r="L860">
        <f>IF(AND(H860="",F860="Attended"),1,0)</f>
        <v/>
      </c>
      <c r="M860">
        <f>IF(AND(H860="",OR(F860="No-show",F860="Late cancel")),1,0)</f>
        <v/>
      </c>
      <c r="N860">
        <f>IF(AND(H860="",F860="",D860&lt;&gt;"",I860&gt;=TODAY()),ROUND((I860+IF(ISNUMBER(C860),MOD(C860,1),0))*1440,0)*10000+ROW(),"")</f>
        <v/>
      </c>
    </row>
    <row r="861">
      <c r="A861" s="1" t="n"/>
      <c r="B861" s="17" t="n"/>
      <c r="C861" s="18" t="n"/>
      <c r="D861" s="19" t="n"/>
      <c r="E861" s="20" t="n"/>
      <c r="F861" s="20" t="n"/>
      <c r="G861" s="21" t="n"/>
      <c r="H861" s="12">
        <f>IF(AND(B861="",D861="",F861=""),"",IF(NOT(ISNUMBER(B861)),"Needs a date",IF(D861="","Needs a client",IF(COUNTIF(Clients!$B$6:$B$105,D861)=0,"Not on Clients",IF(AND(F861="",INT(B861)&lt;TODAY()),"Needs a status","")))))</f>
        <v/>
      </c>
      <c r="I861" s="1">
        <f>IF(ISNUMBER(B861),INT(B861),0)</f>
        <v/>
      </c>
      <c r="J861">
        <f>IF(ISNUMBER(B861),YEAR(B861)*100+MONTH(B861),"")</f>
        <v/>
      </c>
      <c r="K861">
        <f>IF(AND(H861="",OR(F861="Attended",F861="No-show",AND(F861="Late cancel",Settings!$C$9="Yes"))),1,0)</f>
        <v/>
      </c>
      <c r="L861">
        <f>IF(AND(H861="",F861="Attended"),1,0)</f>
        <v/>
      </c>
      <c r="M861">
        <f>IF(AND(H861="",OR(F861="No-show",F861="Late cancel")),1,0)</f>
        <v/>
      </c>
      <c r="N861">
        <f>IF(AND(H861="",F861="",D861&lt;&gt;"",I861&gt;=TODAY()),ROUND((I861+IF(ISNUMBER(C861),MOD(C861,1),0))*1440,0)*10000+ROW(),"")</f>
        <v/>
      </c>
    </row>
    <row r="862">
      <c r="A862" s="1" t="n"/>
      <c r="B862" s="17" t="n"/>
      <c r="C862" s="18" t="n"/>
      <c r="D862" s="19" t="n"/>
      <c r="E862" s="20" t="n"/>
      <c r="F862" s="20" t="n"/>
      <c r="G862" s="21" t="n"/>
      <c r="H862" s="12">
        <f>IF(AND(B862="",D862="",F862=""),"",IF(NOT(ISNUMBER(B862)),"Needs a date",IF(D862="","Needs a client",IF(COUNTIF(Clients!$B$6:$B$105,D862)=0,"Not on Clients",IF(AND(F862="",INT(B862)&lt;TODAY()),"Needs a status","")))))</f>
        <v/>
      </c>
      <c r="I862" s="1">
        <f>IF(ISNUMBER(B862),INT(B862),0)</f>
        <v/>
      </c>
      <c r="J862">
        <f>IF(ISNUMBER(B862),YEAR(B862)*100+MONTH(B862),"")</f>
        <v/>
      </c>
      <c r="K862">
        <f>IF(AND(H862="",OR(F862="Attended",F862="No-show",AND(F862="Late cancel",Settings!$C$9="Yes"))),1,0)</f>
        <v/>
      </c>
      <c r="L862">
        <f>IF(AND(H862="",F862="Attended"),1,0)</f>
        <v/>
      </c>
      <c r="M862">
        <f>IF(AND(H862="",OR(F862="No-show",F862="Late cancel")),1,0)</f>
        <v/>
      </c>
      <c r="N862">
        <f>IF(AND(H862="",F862="",D862&lt;&gt;"",I862&gt;=TODAY()),ROUND((I862+IF(ISNUMBER(C862),MOD(C862,1),0))*1440,0)*10000+ROW(),"")</f>
        <v/>
      </c>
    </row>
    <row r="863">
      <c r="A863" s="1" t="n"/>
      <c r="B863" s="17" t="n"/>
      <c r="C863" s="18" t="n"/>
      <c r="D863" s="19" t="n"/>
      <c r="E863" s="20" t="n"/>
      <c r="F863" s="20" t="n"/>
      <c r="G863" s="21" t="n"/>
      <c r="H863" s="12">
        <f>IF(AND(B863="",D863="",F863=""),"",IF(NOT(ISNUMBER(B863)),"Needs a date",IF(D863="","Needs a client",IF(COUNTIF(Clients!$B$6:$B$105,D863)=0,"Not on Clients",IF(AND(F863="",INT(B863)&lt;TODAY()),"Needs a status","")))))</f>
        <v/>
      </c>
      <c r="I863" s="1">
        <f>IF(ISNUMBER(B863),INT(B863),0)</f>
        <v/>
      </c>
      <c r="J863">
        <f>IF(ISNUMBER(B863),YEAR(B863)*100+MONTH(B863),"")</f>
        <v/>
      </c>
      <c r="K863">
        <f>IF(AND(H863="",OR(F863="Attended",F863="No-show",AND(F863="Late cancel",Settings!$C$9="Yes"))),1,0)</f>
        <v/>
      </c>
      <c r="L863">
        <f>IF(AND(H863="",F863="Attended"),1,0)</f>
        <v/>
      </c>
      <c r="M863">
        <f>IF(AND(H863="",OR(F863="No-show",F863="Late cancel")),1,0)</f>
        <v/>
      </c>
      <c r="N863">
        <f>IF(AND(H863="",F863="",D863&lt;&gt;"",I863&gt;=TODAY()),ROUND((I863+IF(ISNUMBER(C863),MOD(C863,1),0))*1440,0)*10000+ROW(),"")</f>
        <v/>
      </c>
    </row>
    <row r="864">
      <c r="A864" s="1" t="n"/>
      <c r="B864" s="17" t="n"/>
      <c r="C864" s="18" t="n"/>
      <c r="D864" s="19" t="n"/>
      <c r="E864" s="20" t="n"/>
      <c r="F864" s="20" t="n"/>
      <c r="G864" s="21" t="n"/>
      <c r="H864" s="12">
        <f>IF(AND(B864="",D864="",F864=""),"",IF(NOT(ISNUMBER(B864)),"Needs a date",IF(D864="","Needs a client",IF(COUNTIF(Clients!$B$6:$B$105,D864)=0,"Not on Clients",IF(AND(F864="",INT(B864)&lt;TODAY()),"Needs a status","")))))</f>
        <v/>
      </c>
      <c r="I864" s="1">
        <f>IF(ISNUMBER(B864),INT(B864),0)</f>
        <v/>
      </c>
      <c r="J864">
        <f>IF(ISNUMBER(B864),YEAR(B864)*100+MONTH(B864),"")</f>
        <v/>
      </c>
      <c r="K864">
        <f>IF(AND(H864="",OR(F864="Attended",F864="No-show",AND(F864="Late cancel",Settings!$C$9="Yes"))),1,0)</f>
        <v/>
      </c>
      <c r="L864">
        <f>IF(AND(H864="",F864="Attended"),1,0)</f>
        <v/>
      </c>
      <c r="M864">
        <f>IF(AND(H864="",OR(F864="No-show",F864="Late cancel")),1,0)</f>
        <v/>
      </c>
      <c r="N864">
        <f>IF(AND(H864="",F864="",D864&lt;&gt;"",I864&gt;=TODAY()),ROUND((I864+IF(ISNUMBER(C864),MOD(C864,1),0))*1440,0)*10000+ROW(),"")</f>
        <v/>
      </c>
    </row>
    <row r="865">
      <c r="A865" s="1" t="n"/>
      <c r="B865" s="17" t="n"/>
      <c r="C865" s="18" t="n"/>
      <c r="D865" s="19" t="n"/>
      <c r="E865" s="20" t="n"/>
      <c r="F865" s="20" t="n"/>
      <c r="G865" s="21" t="n"/>
      <c r="H865" s="12">
        <f>IF(AND(B865="",D865="",F865=""),"",IF(NOT(ISNUMBER(B865)),"Needs a date",IF(D865="","Needs a client",IF(COUNTIF(Clients!$B$6:$B$105,D865)=0,"Not on Clients",IF(AND(F865="",INT(B865)&lt;TODAY()),"Needs a status","")))))</f>
        <v/>
      </c>
      <c r="I865" s="1">
        <f>IF(ISNUMBER(B865),INT(B865),0)</f>
        <v/>
      </c>
      <c r="J865">
        <f>IF(ISNUMBER(B865),YEAR(B865)*100+MONTH(B865),"")</f>
        <v/>
      </c>
      <c r="K865">
        <f>IF(AND(H865="",OR(F865="Attended",F865="No-show",AND(F865="Late cancel",Settings!$C$9="Yes"))),1,0)</f>
        <v/>
      </c>
      <c r="L865">
        <f>IF(AND(H865="",F865="Attended"),1,0)</f>
        <v/>
      </c>
      <c r="M865">
        <f>IF(AND(H865="",OR(F865="No-show",F865="Late cancel")),1,0)</f>
        <v/>
      </c>
      <c r="N865">
        <f>IF(AND(H865="",F865="",D865&lt;&gt;"",I865&gt;=TODAY()),ROUND((I865+IF(ISNUMBER(C865),MOD(C865,1),0))*1440,0)*10000+ROW(),"")</f>
        <v/>
      </c>
    </row>
    <row r="866">
      <c r="A866" s="1" t="n"/>
      <c r="B866" s="17" t="n"/>
      <c r="C866" s="18" t="n"/>
      <c r="D866" s="19" t="n"/>
      <c r="E866" s="20" t="n"/>
      <c r="F866" s="20" t="n"/>
      <c r="G866" s="21" t="n"/>
      <c r="H866" s="12">
        <f>IF(AND(B866="",D866="",F866=""),"",IF(NOT(ISNUMBER(B866)),"Needs a date",IF(D866="","Needs a client",IF(COUNTIF(Clients!$B$6:$B$105,D866)=0,"Not on Clients",IF(AND(F866="",INT(B866)&lt;TODAY()),"Needs a status","")))))</f>
        <v/>
      </c>
      <c r="I866" s="1">
        <f>IF(ISNUMBER(B866),INT(B866),0)</f>
        <v/>
      </c>
      <c r="J866">
        <f>IF(ISNUMBER(B866),YEAR(B866)*100+MONTH(B866),"")</f>
        <v/>
      </c>
      <c r="K866">
        <f>IF(AND(H866="",OR(F866="Attended",F866="No-show",AND(F866="Late cancel",Settings!$C$9="Yes"))),1,0)</f>
        <v/>
      </c>
      <c r="L866">
        <f>IF(AND(H866="",F866="Attended"),1,0)</f>
        <v/>
      </c>
      <c r="M866">
        <f>IF(AND(H866="",OR(F866="No-show",F866="Late cancel")),1,0)</f>
        <v/>
      </c>
      <c r="N866">
        <f>IF(AND(H866="",F866="",D866&lt;&gt;"",I866&gt;=TODAY()),ROUND((I866+IF(ISNUMBER(C866),MOD(C866,1),0))*1440,0)*10000+ROW(),"")</f>
        <v/>
      </c>
    </row>
    <row r="867">
      <c r="A867" s="1" t="n"/>
      <c r="B867" s="17" t="n"/>
      <c r="C867" s="18" t="n"/>
      <c r="D867" s="19" t="n"/>
      <c r="E867" s="20" t="n"/>
      <c r="F867" s="20" t="n"/>
      <c r="G867" s="21" t="n"/>
      <c r="H867" s="12">
        <f>IF(AND(B867="",D867="",F867=""),"",IF(NOT(ISNUMBER(B867)),"Needs a date",IF(D867="","Needs a client",IF(COUNTIF(Clients!$B$6:$B$105,D867)=0,"Not on Clients",IF(AND(F867="",INT(B867)&lt;TODAY()),"Needs a status","")))))</f>
        <v/>
      </c>
      <c r="I867" s="1">
        <f>IF(ISNUMBER(B867),INT(B867),0)</f>
        <v/>
      </c>
      <c r="J867">
        <f>IF(ISNUMBER(B867),YEAR(B867)*100+MONTH(B867),"")</f>
        <v/>
      </c>
      <c r="K867">
        <f>IF(AND(H867="",OR(F867="Attended",F867="No-show",AND(F867="Late cancel",Settings!$C$9="Yes"))),1,0)</f>
        <v/>
      </c>
      <c r="L867">
        <f>IF(AND(H867="",F867="Attended"),1,0)</f>
        <v/>
      </c>
      <c r="M867">
        <f>IF(AND(H867="",OR(F867="No-show",F867="Late cancel")),1,0)</f>
        <v/>
      </c>
      <c r="N867">
        <f>IF(AND(H867="",F867="",D867&lt;&gt;"",I867&gt;=TODAY()),ROUND((I867+IF(ISNUMBER(C867),MOD(C867,1),0))*1440,0)*10000+ROW(),"")</f>
        <v/>
      </c>
    </row>
    <row r="868">
      <c r="A868" s="1" t="n"/>
      <c r="B868" s="17" t="n"/>
      <c r="C868" s="18" t="n"/>
      <c r="D868" s="19" t="n"/>
      <c r="E868" s="20" t="n"/>
      <c r="F868" s="20" t="n"/>
      <c r="G868" s="21" t="n"/>
      <c r="H868" s="12">
        <f>IF(AND(B868="",D868="",F868=""),"",IF(NOT(ISNUMBER(B868)),"Needs a date",IF(D868="","Needs a client",IF(COUNTIF(Clients!$B$6:$B$105,D868)=0,"Not on Clients",IF(AND(F868="",INT(B868)&lt;TODAY()),"Needs a status","")))))</f>
        <v/>
      </c>
      <c r="I868" s="1">
        <f>IF(ISNUMBER(B868),INT(B868),0)</f>
        <v/>
      </c>
      <c r="J868">
        <f>IF(ISNUMBER(B868),YEAR(B868)*100+MONTH(B868),"")</f>
        <v/>
      </c>
      <c r="K868">
        <f>IF(AND(H868="",OR(F868="Attended",F868="No-show",AND(F868="Late cancel",Settings!$C$9="Yes"))),1,0)</f>
        <v/>
      </c>
      <c r="L868">
        <f>IF(AND(H868="",F868="Attended"),1,0)</f>
        <v/>
      </c>
      <c r="M868">
        <f>IF(AND(H868="",OR(F868="No-show",F868="Late cancel")),1,0)</f>
        <v/>
      </c>
      <c r="N868">
        <f>IF(AND(H868="",F868="",D868&lt;&gt;"",I868&gt;=TODAY()),ROUND((I868+IF(ISNUMBER(C868),MOD(C868,1),0))*1440,0)*10000+ROW(),"")</f>
        <v/>
      </c>
    </row>
    <row r="869">
      <c r="A869" s="1" t="n"/>
      <c r="B869" s="17" t="n"/>
      <c r="C869" s="18" t="n"/>
      <c r="D869" s="19" t="n"/>
      <c r="E869" s="20" t="n"/>
      <c r="F869" s="20" t="n"/>
      <c r="G869" s="21" t="n"/>
      <c r="H869" s="12">
        <f>IF(AND(B869="",D869="",F869=""),"",IF(NOT(ISNUMBER(B869)),"Needs a date",IF(D869="","Needs a client",IF(COUNTIF(Clients!$B$6:$B$105,D869)=0,"Not on Clients",IF(AND(F869="",INT(B869)&lt;TODAY()),"Needs a status","")))))</f>
        <v/>
      </c>
      <c r="I869" s="1">
        <f>IF(ISNUMBER(B869),INT(B869),0)</f>
        <v/>
      </c>
      <c r="J869">
        <f>IF(ISNUMBER(B869),YEAR(B869)*100+MONTH(B869),"")</f>
        <v/>
      </c>
      <c r="K869">
        <f>IF(AND(H869="",OR(F869="Attended",F869="No-show",AND(F869="Late cancel",Settings!$C$9="Yes"))),1,0)</f>
        <v/>
      </c>
      <c r="L869">
        <f>IF(AND(H869="",F869="Attended"),1,0)</f>
        <v/>
      </c>
      <c r="M869">
        <f>IF(AND(H869="",OR(F869="No-show",F869="Late cancel")),1,0)</f>
        <v/>
      </c>
      <c r="N869">
        <f>IF(AND(H869="",F869="",D869&lt;&gt;"",I869&gt;=TODAY()),ROUND((I869+IF(ISNUMBER(C869),MOD(C869,1),0))*1440,0)*10000+ROW(),"")</f>
        <v/>
      </c>
    </row>
    <row r="870">
      <c r="A870" s="1" t="n"/>
      <c r="B870" s="17" t="n"/>
      <c r="C870" s="18" t="n"/>
      <c r="D870" s="19" t="n"/>
      <c r="E870" s="20" t="n"/>
      <c r="F870" s="20" t="n"/>
      <c r="G870" s="21" t="n"/>
      <c r="H870" s="12">
        <f>IF(AND(B870="",D870="",F870=""),"",IF(NOT(ISNUMBER(B870)),"Needs a date",IF(D870="","Needs a client",IF(COUNTIF(Clients!$B$6:$B$105,D870)=0,"Not on Clients",IF(AND(F870="",INT(B870)&lt;TODAY()),"Needs a status","")))))</f>
        <v/>
      </c>
      <c r="I870" s="1">
        <f>IF(ISNUMBER(B870),INT(B870),0)</f>
        <v/>
      </c>
      <c r="J870">
        <f>IF(ISNUMBER(B870),YEAR(B870)*100+MONTH(B870),"")</f>
        <v/>
      </c>
      <c r="K870">
        <f>IF(AND(H870="",OR(F870="Attended",F870="No-show",AND(F870="Late cancel",Settings!$C$9="Yes"))),1,0)</f>
        <v/>
      </c>
      <c r="L870">
        <f>IF(AND(H870="",F870="Attended"),1,0)</f>
        <v/>
      </c>
      <c r="M870">
        <f>IF(AND(H870="",OR(F870="No-show",F870="Late cancel")),1,0)</f>
        <v/>
      </c>
      <c r="N870">
        <f>IF(AND(H870="",F870="",D870&lt;&gt;"",I870&gt;=TODAY()),ROUND((I870+IF(ISNUMBER(C870),MOD(C870,1),0))*1440,0)*10000+ROW(),"")</f>
        <v/>
      </c>
    </row>
    <row r="871">
      <c r="A871" s="1" t="n"/>
      <c r="B871" s="17" t="n"/>
      <c r="C871" s="18" t="n"/>
      <c r="D871" s="19" t="n"/>
      <c r="E871" s="20" t="n"/>
      <c r="F871" s="20" t="n"/>
      <c r="G871" s="21" t="n"/>
      <c r="H871" s="12">
        <f>IF(AND(B871="",D871="",F871=""),"",IF(NOT(ISNUMBER(B871)),"Needs a date",IF(D871="","Needs a client",IF(COUNTIF(Clients!$B$6:$B$105,D871)=0,"Not on Clients",IF(AND(F871="",INT(B871)&lt;TODAY()),"Needs a status","")))))</f>
        <v/>
      </c>
      <c r="I871" s="1">
        <f>IF(ISNUMBER(B871),INT(B871),0)</f>
        <v/>
      </c>
      <c r="J871">
        <f>IF(ISNUMBER(B871),YEAR(B871)*100+MONTH(B871),"")</f>
        <v/>
      </c>
      <c r="K871">
        <f>IF(AND(H871="",OR(F871="Attended",F871="No-show",AND(F871="Late cancel",Settings!$C$9="Yes"))),1,0)</f>
        <v/>
      </c>
      <c r="L871">
        <f>IF(AND(H871="",F871="Attended"),1,0)</f>
        <v/>
      </c>
      <c r="M871">
        <f>IF(AND(H871="",OR(F871="No-show",F871="Late cancel")),1,0)</f>
        <v/>
      </c>
      <c r="N871">
        <f>IF(AND(H871="",F871="",D871&lt;&gt;"",I871&gt;=TODAY()),ROUND((I871+IF(ISNUMBER(C871),MOD(C871,1),0))*1440,0)*10000+ROW(),"")</f>
        <v/>
      </c>
    </row>
    <row r="872">
      <c r="A872" s="1" t="n"/>
      <c r="B872" s="17" t="n"/>
      <c r="C872" s="18" t="n"/>
      <c r="D872" s="19" t="n"/>
      <c r="E872" s="20" t="n"/>
      <c r="F872" s="20" t="n"/>
      <c r="G872" s="21" t="n"/>
      <c r="H872" s="12">
        <f>IF(AND(B872="",D872="",F872=""),"",IF(NOT(ISNUMBER(B872)),"Needs a date",IF(D872="","Needs a client",IF(COUNTIF(Clients!$B$6:$B$105,D872)=0,"Not on Clients",IF(AND(F872="",INT(B872)&lt;TODAY()),"Needs a status","")))))</f>
        <v/>
      </c>
      <c r="I872" s="1">
        <f>IF(ISNUMBER(B872),INT(B872),0)</f>
        <v/>
      </c>
      <c r="J872">
        <f>IF(ISNUMBER(B872),YEAR(B872)*100+MONTH(B872),"")</f>
        <v/>
      </c>
      <c r="K872">
        <f>IF(AND(H872="",OR(F872="Attended",F872="No-show",AND(F872="Late cancel",Settings!$C$9="Yes"))),1,0)</f>
        <v/>
      </c>
      <c r="L872">
        <f>IF(AND(H872="",F872="Attended"),1,0)</f>
        <v/>
      </c>
      <c r="M872">
        <f>IF(AND(H872="",OR(F872="No-show",F872="Late cancel")),1,0)</f>
        <v/>
      </c>
      <c r="N872">
        <f>IF(AND(H872="",F872="",D872&lt;&gt;"",I872&gt;=TODAY()),ROUND((I872+IF(ISNUMBER(C872),MOD(C872,1),0))*1440,0)*10000+ROW(),"")</f>
        <v/>
      </c>
    </row>
    <row r="873">
      <c r="A873" s="1" t="n"/>
      <c r="B873" s="17" t="n"/>
      <c r="C873" s="18" t="n"/>
      <c r="D873" s="19" t="n"/>
      <c r="E873" s="20" t="n"/>
      <c r="F873" s="20" t="n"/>
      <c r="G873" s="21" t="n"/>
      <c r="H873" s="12">
        <f>IF(AND(B873="",D873="",F873=""),"",IF(NOT(ISNUMBER(B873)),"Needs a date",IF(D873="","Needs a client",IF(COUNTIF(Clients!$B$6:$B$105,D873)=0,"Not on Clients",IF(AND(F873="",INT(B873)&lt;TODAY()),"Needs a status","")))))</f>
        <v/>
      </c>
      <c r="I873" s="1">
        <f>IF(ISNUMBER(B873),INT(B873),0)</f>
        <v/>
      </c>
      <c r="J873">
        <f>IF(ISNUMBER(B873),YEAR(B873)*100+MONTH(B873),"")</f>
        <v/>
      </c>
      <c r="K873">
        <f>IF(AND(H873="",OR(F873="Attended",F873="No-show",AND(F873="Late cancel",Settings!$C$9="Yes"))),1,0)</f>
        <v/>
      </c>
      <c r="L873">
        <f>IF(AND(H873="",F873="Attended"),1,0)</f>
        <v/>
      </c>
      <c r="M873">
        <f>IF(AND(H873="",OR(F873="No-show",F873="Late cancel")),1,0)</f>
        <v/>
      </c>
      <c r="N873">
        <f>IF(AND(H873="",F873="",D873&lt;&gt;"",I873&gt;=TODAY()),ROUND((I873+IF(ISNUMBER(C873),MOD(C873,1),0))*1440,0)*10000+ROW(),"")</f>
        <v/>
      </c>
    </row>
    <row r="874">
      <c r="A874" s="1" t="n"/>
      <c r="B874" s="17" t="n"/>
      <c r="C874" s="18" t="n"/>
      <c r="D874" s="19" t="n"/>
      <c r="E874" s="20" t="n"/>
      <c r="F874" s="20" t="n"/>
      <c r="G874" s="21" t="n"/>
      <c r="H874" s="12">
        <f>IF(AND(B874="",D874="",F874=""),"",IF(NOT(ISNUMBER(B874)),"Needs a date",IF(D874="","Needs a client",IF(COUNTIF(Clients!$B$6:$B$105,D874)=0,"Not on Clients",IF(AND(F874="",INT(B874)&lt;TODAY()),"Needs a status","")))))</f>
        <v/>
      </c>
      <c r="I874" s="1">
        <f>IF(ISNUMBER(B874),INT(B874),0)</f>
        <v/>
      </c>
      <c r="J874">
        <f>IF(ISNUMBER(B874),YEAR(B874)*100+MONTH(B874),"")</f>
        <v/>
      </c>
      <c r="K874">
        <f>IF(AND(H874="",OR(F874="Attended",F874="No-show",AND(F874="Late cancel",Settings!$C$9="Yes"))),1,0)</f>
        <v/>
      </c>
      <c r="L874">
        <f>IF(AND(H874="",F874="Attended"),1,0)</f>
        <v/>
      </c>
      <c r="M874">
        <f>IF(AND(H874="",OR(F874="No-show",F874="Late cancel")),1,0)</f>
        <v/>
      </c>
      <c r="N874">
        <f>IF(AND(H874="",F874="",D874&lt;&gt;"",I874&gt;=TODAY()),ROUND((I874+IF(ISNUMBER(C874),MOD(C874,1),0))*1440,0)*10000+ROW(),"")</f>
        <v/>
      </c>
    </row>
    <row r="875">
      <c r="A875" s="1" t="n"/>
      <c r="B875" s="17" t="n"/>
      <c r="C875" s="18" t="n"/>
      <c r="D875" s="19" t="n"/>
      <c r="E875" s="20" t="n"/>
      <c r="F875" s="20" t="n"/>
      <c r="G875" s="21" t="n"/>
      <c r="H875" s="12">
        <f>IF(AND(B875="",D875="",F875=""),"",IF(NOT(ISNUMBER(B875)),"Needs a date",IF(D875="","Needs a client",IF(COUNTIF(Clients!$B$6:$B$105,D875)=0,"Not on Clients",IF(AND(F875="",INT(B875)&lt;TODAY()),"Needs a status","")))))</f>
        <v/>
      </c>
      <c r="I875" s="1">
        <f>IF(ISNUMBER(B875),INT(B875),0)</f>
        <v/>
      </c>
      <c r="J875">
        <f>IF(ISNUMBER(B875),YEAR(B875)*100+MONTH(B875),"")</f>
        <v/>
      </c>
      <c r="K875">
        <f>IF(AND(H875="",OR(F875="Attended",F875="No-show",AND(F875="Late cancel",Settings!$C$9="Yes"))),1,0)</f>
        <v/>
      </c>
      <c r="L875">
        <f>IF(AND(H875="",F875="Attended"),1,0)</f>
        <v/>
      </c>
      <c r="M875">
        <f>IF(AND(H875="",OR(F875="No-show",F875="Late cancel")),1,0)</f>
        <v/>
      </c>
      <c r="N875">
        <f>IF(AND(H875="",F875="",D875&lt;&gt;"",I875&gt;=TODAY()),ROUND((I875+IF(ISNUMBER(C875),MOD(C875,1),0))*1440,0)*10000+ROW(),"")</f>
        <v/>
      </c>
    </row>
    <row r="876">
      <c r="A876" s="1" t="n"/>
      <c r="B876" s="17" t="n"/>
      <c r="C876" s="18" t="n"/>
      <c r="D876" s="19" t="n"/>
      <c r="E876" s="20" t="n"/>
      <c r="F876" s="20" t="n"/>
      <c r="G876" s="21" t="n"/>
      <c r="H876" s="12">
        <f>IF(AND(B876="",D876="",F876=""),"",IF(NOT(ISNUMBER(B876)),"Needs a date",IF(D876="","Needs a client",IF(COUNTIF(Clients!$B$6:$B$105,D876)=0,"Not on Clients",IF(AND(F876="",INT(B876)&lt;TODAY()),"Needs a status","")))))</f>
        <v/>
      </c>
      <c r="I876" s="1">
        <f>IF(ISNUMBER(B876),INT(B876),0)</f>
        <v/>
      </c>
      <c r="J876">
        <f>IF(ISNUMBER(B876),YEAR(B876)*100+MONTH(B876),"")</f>
        <v/>
      </c>
      <c r="K876">
        <f>IF(AND(H876="",OR(F876="Attended",F876="No-show",AND(F876="Late cancel",Settings!$C$9="Yes"))),1,0)</f>
        <v/>
      </c>
      <c r="L876">
        <f>IF(AND(H876="",F876="Attended"),1,0)</f>
        <v/>
      </c>
      <c r="M876">
        <f>IF(AND(H876="",OR(F876="No-show",F876="Late cancel")),1,0)</f>
        <v/>
      </c>
      <c r="N876">
        <f>IF(AND(H876="",F876="",D876&lt;&gt;"",I876&gt;=TODAY()),ROUND((I876+IF(ISNUMBER(C876),MOD(C876,1),0))*1440,0)*10000+ROW(),"")</f>
        <v/>
      </c>
    </row>
    <row r="877">
      <c r="A877" s="1" t="n"/>
      <c r="B877" s="17" t="n"/>
      <c r="C877" s="18" t="n"/>
      <c r="D877" s="19" t="n"/>
      <c r="E877" s="20" t="n"/>
      <c r="F877" s="20" t="n"/>
      <c r="G877" s="21" t="n"/>
      <c r="H877" s="12">
        <f>IF(AND(B877="",D877="",F877=""),"",IF(NOT(ISNUMBER(B877)),"Needs a date",IF(D877="","Needs a client",IF(COUNTIF(Clients!$B$6:$B$105,D877)=0,"Not on Clients",IF(AND(F877="",INT(B877)&lt;TODAY()),"Needs a status","")))))</f>
        <v/>
      </c>
      <c r="I877" s="1">
        <f>IF(ISNUMBER(B877),INT(B877),0)</f>
        <v/>
      </c>
      <c r="J877">
        <f>IF(ISNUMBER(B877),YEAR(B877)*100+MONTH(B877),"")</f>
        <v/>
      </c>
      <c r="K877">
        <f>IF(AND(H877="",OR(F877="Attended",F877="No-show",AND(F877="Late cancel",Settings!$C$9="Yes"))),1,0)</f>
        <v/>
      </c>
      <c r="L877">
        <f>IF(AND(H877="",F877="Attended"),1,0)</f>
        <v/>
      </c>
      <c r="M877">
        <f>IF(AND(H877="",OR(F877="No-show",F877="Late cancel")),1,0)</f>
        <v/>
      </c>
      <c r="N877">
        <f>IF(AND(H877="",F877="",D877&lt;&gt;"",I877&gt;=TODAY()),ROUND((I877+IF(ISNUMBER(C877),MOD(C877,1),0))*1440,0)*10000+ROW(),"")</f>
        <v/>
      </c>
    </row>
    <row r="878">
      <c r="A878" s="1" t="n"/>
      <c r="B878" s="17" t="n"/>
      <c r="C878" s="18" t="n"/>
      <c r="D878" s="19" t="n"/>
      <c r="E878" s="20" t="n"/>
      <c r="F878" s="20" t="n"/>
      <c r="G878" s="21" t="n"/>
      <c r="H878" s="12">
        <f>IF(AND(B878="",D878="",F878=""),"",IF(NOT(ISNUMBER(B878)),"Needs a date",IF(D878="","Needs a client",IF(COUNTIF(Clients!$B$6:$B$105,D878)=0,"Not on Clients",IF(AND(F878="",INT(B878)&lt;TODAY()),"Needs a status","")))))</f>
        <v/>
      </c>
      <c r="I878" s="1">
        <f>IF(ISNUMBER(B878),INT(B878),0)</f>
        <v/>
      </c>
      <c r="J878">
        <f>IF(ISNUMBER(B878),YEAR(B878)*100+MONTH(B878),"")</f>
        <v/>
      </c>
      <c r="K878">
        <f>IF(AND(H878="",OR(F878="Attended",F878="No-show",AND(F878="Late cancel",Settings!$C$9="Yes"))),1,0)</f>
        <v/>
      </c>
      <c r="L878">
        <f>IF(AND(H878="",F878="Attended"),1,0)</f>
        <v/>
      </c>
      <c r="M878">
        <f>IF(AND(H878="",OR(F878="No-show",F878="Late cancel")),1,0)</f>
        <v/>
      </c>
      <c r="N878">
        <f>IF(AND(H878="",F878="",D878&lt;&gt;"",I878&gt;=TODAY()),ROUND((I878+IF(ISNUMBER(C878),MOD(C878,1),0))*1440,0)*10000+ROW(),"")</f>
        <v/>
      </c>
    </row>
    <row r="879">
      <c r="A879" s="1" t="n"/>
      <c r="B879" s="17" t="n"/>
      <c r="C879" s="18" t="n"/>
      <c r="D879" s="19" t="n"/>
      <c r="E879" s="20" t="n"/>
      <c r="F879" s="20" t="n"/>
      <c r="G879" s="21" t="n"/>
      <c r="H879" s="12">
        <f>IF(AND(B879="",D879="",F879=""),"",IF(NOT(ISNUMBER(B879)),"Needs a date",IF(D879="","Needs a client",IF(COUNTIF(Clients!$B$6:$B$105,D879)=0,"Not on Clients",IF(AND(F879="",INT(B879)&lt;TODAY()),"Needs a status","")))))</f>
        <v/>
      </c>
      <c r="I879" s="1">
        <f>IF(ISNUMBER(B879),INT(B879),0)</f>
        <v/>
      </c>
      <c r="J879">
        <f>IF(ISNUMBER(B879),YEAR(B879)*100+MONTH(B879),"")</f>
        <v/>
      </c>
      <c r="K879">
        <f>IF(AND(H879="",OR(F879="Attended",F879="No-show",AND(F879="Late cancel",Settings!$C$9="Yes"))),1,0)</f>
        <v/>
      </c>
      <c r="L879">
        <f>IF(AND(H879="",F879="Attended"),1,0)</f>
        <v/>
      </c>
      <c r="M879">
        <f>IF(AND(H879="",OR(F879="No-show",F879="Late cancel")),1,0)</f>
        <v/>
      </c>
      <c r="N879">
        <f>IF(AND(H879="",F879="",D879&lt;&gt;"",I879&gt;=TODAY()),ROUND((I879+IF(ISNUMBER(C879),MOD(C879,1),0))*1440,0)*10000+ROW(),"")</f>
        <v/>
      </c>
    </row>
    <row r="880">
      <c r="A880" s="1" t="n"/>
      <c r="B880" s="17" t="n"/>
      <c r="C880" s="18" t="n"/>
      <c r="D880" s="19" t="n"/>
      <c r="E880" s="20" t="n"/>
      <c r="F880" s="20" t="n"/>
      <c r="G880" s="21" t="n"/>
      <c r="H880" s="12">
        <f>IF(AND(B880="",D880="",F880=""),"",IF(NOT(ISNUMBER(B880)),"Needs a date",IF(D880="","Needs a client",IF(COUNTIF(Clients!$B$6:$B$105,D880)=0,"Not on Clients",IF(AND(F880="",INT(B880)&lt;TODAY()),"Needs a status","")))))</f>
        <v/>
      </c>
      <c r="I880" s="1">
        <f>IF(ISNUMBER(B880),INT(B880),0)</f>
        <v/>
      </c>
      <c r="J880">
        <f>IF(ISNUMBER(B880),YEAR(B880)*100+MONTH(B880),"")</f>
        <v/>
      </c>
      <c r="K880">
        <f>IF(AND(H880="",OR(F880="Attended",F880="No-show",AND(F880="Late cancel",Settings!$C$9="Yes"))),1,0)</f>
        <v/>
      </c>
      <c r="L880">
        <f>IF(AND(H880="",F880="Attended"),1,0)</f>
        <v/>
      </c>
      <c r="M880">
        <f>IF(AND(H880="",OR(F880="No-show",F880="Late cancel")),1,0)</f>
        <v/>
      </c>
      <c r="N880">
        <f>IF(AND(H880="",F880="",D880&lt;&gt;"",I880&gt;=TODAY()),ROUND((I880+IF(ISNUMBER(C880),MOD(C880,1),0))*1440,0)*10000+ROW(),"")</f>
        <v/>
      </c>
    </row>
    <row r="881">
      <c r="A881" s="1" t="n"/>
      <c r="B881" s="17" t="n"/>
      <c r="C881" s="18" t="n"/>
      <c r="D881" s="19" t="n"/>
      <c r="E881" s="20" t="n"/>
      <c r="F881" s="20" t="n"/>
      <c r="G881" s="21" t="n"/>
      <c r="H881" s="12">
        <f>IF(AND(B881="",D881="",F881=""),"",IF(NOT(ISNUMBER(B881)),"Needs a date",IF(D881="","Needs a client",IF(COUNTIF(Clients!$B$6:$B$105,D881)=0,"Not on Clients",IF(AND(F881="",INT(B881)&lt;TODAY()),"Needs a status","")))))</f>
        <v/>
      </c>
      <c r="I881" s="1">
        <f>IF(ISNUMBER(B881),INT(B881),0)</f>
        <v/>
      </c>
      <c r="J881">
        <f>IF(ISNUMBER(B881),YEAR(B881)*100+MONTH(B881),"")</f>
        <v/>
      </c>
      <c r="K881">
        <f>IF(AND(H881="",OR(F881="Attended",F881="No-show",AND(F881="Late cancel",Settings!$C$9="Yes"))),1,0)</f>
        <v/>
      </c>
      <c r="L881">
        <f>IF(AND(H881="",F881="Attended"),1,0)</f>
        <v/>
      </c>
      <c r="M881">
        <f>IF(AND(H881="",OR(F881="No-show",F881="Late cancel")),1,0)</f>
        <v/>
      </c>
      <c r="N881">
        <f>IF(AND(H881="",F881="",D881&lt;&gt;"",I881&gt;=TODAY()),ROUND((I881+IF(ISNUMBER(C881),MOD(C881,1),0))*1440,0)*10000+ROW(),"")</f>
        <v/>
      </c>
    </row>
    <row r="882">
      <c r="A882" s="1" t="n"/>
      <c r="B882" s="17" t="n"/>
      <c r="C882" s="18" t="n"/>
      <c r="D882" s="19" t="n"/>
      <c r="E882" s="20" t="n"/>
      <c r="F882" s="20" t="n"/>
      <c r="G882" s="21" t="n"/>
      <c r="H882" s="12">
        <f>IF(AND(B882="",D882="",F882=""),"",IF(NOT(ISNUMBER(B882)),"Needs a date",IF(D882="","Needs a client",IF(COUNTIF(Clients!$B$6:$B$105,D882)=0,"Not on Clients",IF(AND(F882="",INT(B882)&lt;TODAY()),"Needs a status","")))))</f>
        <v/>
      </c>
      <c r="I882" s="1">
        <f>IF(ISNUMBER(B882),INT(B882),0)</f>
        <v/>
      </c>
      <c r="J882">
        <f>IF(ISNUMBER(B882),YEAR(B882)*100+MONTH(B882),"")</f>
        <v/>
      </c>
      <c r="K882">
        <f>IF(AND(H882="",OR(F882="Attended",F882="No-show",AND(F882="Late cancel",Settings!$C$9="Yes"))),1,0)</f>
        <v/>
      </c>
      <c r="L882">
        <f>IF(AND(H882="",F882="Attended"),1,0)</f>
        <v/>
      </c>
      <c r="M882">
        <f>IF(AND(H882="",OR(F882="No-show",F882="Late cancel")),1,0)</f>
        <v/>
      </c>
      <c r="N882">
        <f>IF(AND(H882="",F882="",D882&lt;&gt;"",I882&gt;=TODAY()),ROUND((I882+IF(ISNUMBER(C882),MOD(C882,1),0))*1440,0)*10000+ROW(),"")</f>
        <v/>
      </c>
    </row>
    <row r="883">
      <c r="A883" s="1" t="n"/>
      <c r="B883" s="17" t="n"/>
      <c r="C883" s="18" t="n"/>
      <c r="D883" s="19" t="n"/>
      <c r="E883" s="20" t="n"/>
      <c r="F883" s="20" t="n"/>
      <c r="G883" s="21" t="n"/>
      <c r="H883" s="12">
        <f>IF(AND(B883="",D883="",F883=""),"",IF(NOT(ISNUMBER(B883)),"Needs a date",IF(D883="","Needs a client",IF(COUNTIF(Clients!$B$6:$B$105,D883)=0,"Not on Clients",IF(AND(F883="",INT(B883)&lt;TODAY()),"Needs a status","")))))</f>
        <v/>
      </c>
      <c r="I883" s="1">
        <f>IF(ISNUMBER(B883),INT(B883),0)</f>
        <v/>
      </c>
      <c r="J883">
        <f>IF(ISNUMBER(B883),YEAR(B883)*100+MONTH(B883),"")</f>
        <v/>
      </c>
      <c r="K883">
        <f>IF(AND(H883="",OR(F883="Attended",F883="No-show",AND(F883="Late cancel",Settings!$C$9="Yes"))),1,0)</f>
        <v/>
      </c>
      <c r="L883">
        <f>IF(AND(H883="",F883="Attended"),1,0)</f>
        <v/>
      </c>
      <c r="M883">
        <f>IF(AND(H883="",OR(F883="No-show",F883="Late cancel")),1,0)</f>
        <v/>
      </c>
      <c r="N883">
        <f>IF(AND(H883="",F883="",D883&lt;&gt;"",I883&gt;=TODAY()),ROUND((I883+IF(ISNUMBER(C883),MOD(C883,1),0))*1440,0)*10000+ROW(),"")</f>
        <v/>
      </c>
    </row>
    <row r="884">
      <c r="A884" s="1" t="n"/>
      <c r="B884" s="17" t="n"/>
      <c r="C884" s="18" t="n"/>
      <c r="D884" s="19" t="n"/>
      <c r="E884" s="20" t="n"/>
      <c r="F884" s="20" t="n"/>
      <c r="G884" s="21" t="n"/>
      <c r="H884" s="12">
        <f>IF(AND(B884="",D884="",F884=""),"",IF(NOT(ISNUMBER(B884)),"Needs a date",IF(D884="","Needs a client",IF(COUNTIF(Clients!$B$6:$B$105,D884)=0,"Not on Clients",IF(AND(F884="",INT(B884)&lt;TODAY()),"Needs a status","")))))</f>
        <v/>
      </c>
      <c r="I884" s="1">
        <f>IF(ISNUMBER(B884),INT(B884),0)</f>
        <v/>
      </c>
      <c r="J884">
        <f>IF(ISNUMBER(B884),YEAR(B884)*100+MONTH(B884),"")</f>
        <v/>
      </c>
      <c r="K884">
        <f>IF(AND(H884="",OR(F884="Attended",F884="No-show",AND(F884="Late cancel",Settings!$C$9="Yes"))),1,0)</f>
        <v/>
      </c>
      <c r="L884">
        <f>IF(AND(H884="",F884="Attended"),1,0)</f>
        <v/>
      </c>
      <c r="M884">
        <f>IF(AND(H884="",OR(F884="No-show",F884="Late cancel")),1,0)</f>
        <v/>
      </c>
      <c r="N884">
        <f>IF(AND(H884="",F884="",D884&lt;&gt;"",I884&gt;=TODAY()),ROUND((I884+IF(ISNUMBER(C884),MOD(C884,1),0))*1440,0)*10000+ROW(),"")</f>
        <v/>
      </c>
    </row>
    <row r="885">
      <c r="A885" s="1" t="n"/>
      <c r="B885" s="17" t="n"/>
      <c r="C885" s="18" t="n"/>
      <c r="D885" s="19" t="n"/>
      <c r="E885" s="20" t="n"/>
      <c r="F885" s="20" t="n"/>
      <c r="G885" s="21" t="n"/>
      <c r="H885" s="12">
        <f>IF(AND(B885="",D885="",F885=""),"",IF(NOT(ISNUMBER(B885)),"Needs a date",IF(D885="","Needs a client",IF(COUNTIF(Clients!$B$6:$B$105,D885)=0,"Not on Clients",IF(AND(F885="",INT(B885)&lt;TODAY()),"Needs a status","")))))</f>
        <v/>
      </c>
      <c r="I885" s="1">
        <f>IF(ISNUMBER(B885),INT(B885),0)</f>
        <v/>
      </c>
      <c r="J885">
        <f>IF(ISNUMBER(B885),YEAR(B885)*100+MONTH(B885),"")</f>
        <v/>
      </c>
      <c r="K885">
        <f>IF(AND(H885="",OR(F885="Attended",F885="No-show",AND(F885="Late cancel",Settings!$C$9="Yes"))),1,0)</f>
        <v/>
      </c>
      <c r="L885">
        <f>IF(AND(H885="",F885="Attended"),1,0)</f>
        <v/>
      </c>
      <c r="M885">
        <f>IF(AND(H885="",OR(F885="No-show",F885="Late cancel")),1,0)</f>
        <v/>
      </c>
      <c r="N885">
        <f>IF(AND(H885="",F885="",D885&lt;&gt;"",I885&gt;=TODAY()),ROUND((I885+IF(ISNUMBER(C885),MOD(C885,1),0))*1440,0)*10000+ROW(),"")</f>
        <v/>
      </c>
    </row>
    <row r="886">
      <c r="A886" s="1" t="n"/>
      <c r="B886" s="17" t="n"/>
      <c r="C886" s="18" t="n"/>
      <c r="D886" s="19" t="n"/>
      <c r="E886" s="20" t="n"/>
      <c r="F886" s="20" t="n"/>
      <c r="G886" s="21" t="n"/>
      <c r="H886" s="12">
        <f>IF(AND(B886="",D886="",F886=""),"",IF(NOT(ISNUMBER(B886)),"Needs a date",IF(D886="","Needs a client",IF(COUNTIF(Clients!$B$6:$B$105,D886)=0,"Not on Clients",IF(AND(F886="",INT(B886)&lt;TODAY()),"Needs a status","")))))</f>
        <v/>
      </c>
      <c r="I886" s="1">
        <f>IF(ISNUMBER(B886),INT(B886),0)</f>
        <v/>
      </c>
      <c r="J886">
        <f>IF(ISNUMBER(B886),YEAR(B886)*100+MONTH(B886),"")</f>
        <v/>
      </c>
      <c r="K886">
        <f>IF(AND(H886="",OR(F886="Attended",F886="No-show",AND(F886="Late cancel",Settings!$C$9="Yes"))),1,0)</f>
        <v/>
      </c>
      <c r="L886">
        <f>IF(AND(H886="",F886="Attended"),1,0)</f>
        <v/>
      </c>
      <c r="M886">
        <f>IF(AND(H886="",OR(F886="No-show",F886="Late cancel")),1,0)</f>
        <v/>
      </c>
      <c r="N886">
        <f>IF(AND(H886="",F886="",D886&lt;&gt;"",I886&gt;=TODAY()),ROUND((I886+IF(ISNUMBER(C886),MOD(C886,1),0))*1440,0)*10000+ROW(),"")</f>
        <v/>
      </c>
    </row>
    <row r="887">
      <c r="A887" s="1" t="n"/>
      <c r="B887" s="17" t="n"/>
      <c r="C887" s="18" t="n"/>
      <c r="D887" s="19" t="n"/>
      <c r="E887" s="20" t="n"/>
      <c r="F887" s="20" t="n"/>
      <c r="G887" s="21" t="n"/>
      <c r="H887" s="12">
        <f>IF(AND(B887="",D887="",F887=""),"",IF(NOT(ISNUMBER(B887)),"Needs a date",IF(D887="","Needs a client",IF(COUNTIF(Clients!$B$6:$B$105,D887)=0,"Not on Clients",IF(AND(F887="",INT(B887)&lt;TODAY()),"Needs a status","")))))</f>
        <v/>
      </c>
      <c r="I887" s="1">
        <f>IF(ISNUMBER(B887),INT(B887),0)</f>
        <v/>
      </c>
      <c r="J887">
        <f>IF(ISNUMBER(B887),YEAR(B887)*100+MONTH(B887),"")</f>
        <v/>
      </c>
      <c r="K887">
        <f>IF(AND(H887="",OR(F887="Attended",F887="No-show",AND(F887="Late cancel",Settings!$C$9="Yes"))),1,0)</f>
        <v/>
      </c>
      <c r="L887">
        <f>IF(AND(H887="",F887="Attended"),1,0)</f>
        <v/>
      </c>
      <c r="M887">
        <f>IF(AND(H887="",OR(F887="No-show",F887="Late cancel")),1,0)</f>
        <v/>
      </c>
      <c r="N887">
        <f>IF(AND(H887="",F887="",D887&lt;&gt;"",I887&gt;=TODAY()),ROUND((I887+IF(ISNUMBER(C887),MOD(C887,1),0))*1440,0)*10000+ROW(),"")</f>
        <v/>
      </c>
    </row>
    <row r="888">
      <c r="A888" s="1" t="n"/>
      <c r="B888" s="17" t="n"/>
      <c r="C888" s="18" t="n"/>
      <c r="D888" s="19" t="n"/>
      <c r="E888" s="20" t="n"/>
      <c r="F888" s="20" t="n"/>
      <c r="G888" s="21" t="n"/>
      <c r="H888" s="12">
        <f>IF(AND(B888="",D888="",F888=""),"",IF(NOT(ISNUMBER(B888)),"Needs a date",IF(D888="","Needs a client",IF(COUNTIF(Clients!$B$6:$B$105,D888)=0,"Not on Clients",IF(AND(F888="",INT(B888)&lt;TODAY()),"Needs a status","")))))</f>
        <v/>
      </c>
      <c r="I888" s="1">
        <f>IF(ISNUMBER(B888),INT(B888),0)</f>
        <v/>
      </c>
      <c r="J888">
        <f>IF(ISNUMBER(B888),YEAR(B888)*100+MONTH(B888),"")</f>
        <v/>
      </c>
      <c r="K888">
        <f>IF(AND(H888="",OR(F888="Attended",F888="No-show",AND(F888="Late cancel",Settings!$C$9="Yes"))),1,0)</f>
        <v/>
      </c>
      <c r="L888">
        <f>IF(AND(H888="",F888="Attended"),1,0)</f>
        <v/>
      </c>
      <c r="M888">
        <f>IF(AND(H888="",OR(F888="No-show",F888="Late cancel")),1,0)</f>
        <v/>
      </c>
      <c r="N888">
        <f>IF(AND(H888="",F888="",D888&lt;&gt;"",I888&gt;=TODAY()),ROUND((I888+IF(ISNUMBER(C888),MOD(C888,1),0))*1440,0)*10000+ROW(),"")</f>
        <v/>
      </c>
    </row>
    <row r="889">
      <c r="A889" s="1" t="n"/>
      <c r="B889" s="17" t="n"/>
      <c r="C889" s="18" t="n"/>
      <c r="D889" s="19" t="n"/>
      <c r="E889" s="20" t="n"/>
      <c r="F889" s="20" t="n"/>
      <c r="G889" s="21" t="n"/>
      <c r="H889" s="12">
        <f>IF(AND(B889="",D889="",F889=""),"",IF(NOT(ISNUMBER(B889)),"Needs a date",IF(D889="","Needs a client",IF(COUNTIF(Clients!$B$6:$B$105,D889)=0,"Not on Clients",IF(AND(F889="",INT(B889)&lt;TODAY()),"Needs a status","")))))</f>
        <v/>
      </c>
      <c r="I889" s="1">
        <f>IF(ISNUMBER(B889),INT(B889),0)</f>
        <v/>
      </c>
      <c r="J889">
        <f>IF(ISNUMBER(B889),YEAR(B889)*100+MONTH(B889),"")</f>
        <v/>
      </c>
      <c r="K889">
        <f>IF(AND(H889="",OR(F889="Attended",F889="No-show",AND(F889="Late cancel",Settings!$C$9="Yes"))),1,0)</f>
        <v/>
      </c>
      <c r="L889">
        <f>IF(AND(H889="",F889="Attended"),1,0)</f>
        <v/>
      </c>
      <c r="M889">
        <f>IF(AND(H889="",OR(F889="No-show",F889="Late cancel")),1,0)</f>
        <v/>
      </c>
      <c r="N889">
        <f>IF(AND(H889="",F889="",D889&lt;&gt;"",I889&gt;=TODAY()),ROUND((I889+IF(ISNUMBER(C889),MOD(C889,1),0))*1440,0)*10000+ROW(),"")</f>
        <v/>
      </c>
    </row>
    <row r="890">
      <c r="A890" s="1" t="n"/>
      <c r="B890" s="17" t="n"/>
      <c r="C890" s="18" t="n"/>
      <c r="D890" s="19" t="n"/>
      <c r="E890" s="20" t="n"/>
      <c r="F890" s="20" t="n"/>
      <c r="G890" s="21" t="n"/>
      <c r="H890" s="12">
        <f>IF(AND(B890="",D890="",F890=""),"",IF(NOT(ISNUMBER(B890)),"Needs a date",IF(D890="","Needs a client",IF(COUNTIF(Clients!$B$6:$B$105,D890)=0,"Not on Clients",IF(AND(F890="",INT(B890)&lt;TODAY()),"Needs a status","")))))</f>
        <v/>
      </c>
      <c r="I890" s="1">
        <f>IF(ISNUMBER(B890),INT(B890),0)</f>
        <v/>
      </c>
      <c r="J890">
        <f>IF(ISNUMBER(B890),YEAR(B890)*100+MONTH(B890),"")</f>
        <v/>
      </c>
      <c r="K890">
        <f>IF(AND(H890="",OR(F890="Attended",F890="No-show",AND(F890="Late cancel",Settings!$C$9="Yes"))),1,0)</f>
        <v/>
      </c>
      <c r="L890">
        <f>IF(AND(H890="",F890="Attended"),1,0)</f>
        <v/>
      </c>
      <c r="M890">
        <f>IF(AND(H890="",OR(F890="No-show",F890="Late cancel")),1,0)</f>
        <v/>
      </c>
      <c r="N890">
        <f>IF(AND(H890="",F890="",D890&lt;&gt;"",I890&gt;=TODAY()),ROUND((I890+IF(ISNUMBER(C890),MOD(C890,1),0))*1440,0)*10000+ROW(),"")</f>
        <v/>
      </c>
    </row>
    <row r="891">
      <c r="A891" s="1" t="n"/>
      <c r="B891" s="17" t="n"/>
      <c r="C891" s="18" t="n"/>
      <c r="D891" s="19" t="n"/>
      <c r="E891" s="20" t="n"/>
      <c r="F891" s="20" t="n"/>
      <c r="G891" s="21" t="n"/>
      <c r="H891" s="12">
        <f>IF(AND(B891="",D891="",F891=""),"",IF(NOT(ISNUMBER(B891)),"Needs a date",IF(D891="","Needs a client",IF(COUNTIF(Clients!$B$6:$B$105,D891)=0,"Not on Clients",IF(AND(F891="",INT(B891)&lt;TODAY()),"Needs a status","")))))</f>
        <v/>
      </c>
      <c r="I891" s="1">
        <f>IF(ISNUMBER(B891),INT(B891),0)</f>
        <v/>
      </c>
      <c r="J891">
        <f>IF(ISNUMBER(B891),YEAR(B891)*100+MONTH(B891),"")</f>
        <v/>
      </c>
      <c r="K891">
        <f>IF(AND(H891="",OR(F891="Attended",F891="No-show",AND(F891="Late cancel",Settings!$C$9="Yes"))),1,0)</f>
        <v/>
      </c>
      <c r="L891">
        <f>IF(AND(H891="",F891="Attended"),1,0)</f>
        <v/>
      </c>
      <c r="M891">
        <f>IF(AND(H891="",OR(F891="No-show",F891="Late cancel")),1,0)</f>
        <v/>
      </c>
      <c r="N891">
        <f>IF(AND(H891="",F891="",D891&lt;&gt;"",I891&gt;=TODAY()),ROUND((I891+IF(ISNUMBER(C891),MOD(C891,1),0))*1440,0)*10000+ROW(),"")</f>
        <v/>
      </c>
    </row>
    <row r="892">
      <c r="A892" s="1" t="n"/>
      <c r="B892" s="17" t="n"/>
      <c r="C892" s="18" t="n"/>
      <c r="D892" s="19" t="n"/>
      <c r="E892" s="20" t="n"/>
      <c r="F892" s="20" t="n"/>
      <c r="G892" s="21" t="n"/>
      <c r="H892" s="12">
        <f>IF(AND(B892="",D892="",F892=""),"",IF(NOT(ISNUMBER(B892)),"Needs a date",IF(D892="","Needs a client",IF(COUNTIF(Clients!$B$6:$B$105,D892)=0,"Not on Clients",IF(AND(F892="",INT(B892)&lt;TODAY()),"Needs a status","")))))</f>
        <v/>
      </c>
      <c r="I892" s="1">
        <f>IF(ISNUMBER(B892),INT(B892),0)</f>
        <v/>
      </c>
      <c r="J892">
        <f>IF(ISNUMBER(B892),YEAR(B892)*100+MONTH(B892),"")</f>
        <v/>
      </c>
      <c r="K892">
        <f>IF(AND(H892="",OR(F892="Attended",F892="No-show",AND(F892="Late cancel",Settings!$C$9="Yes"))),1,0)</f>
        <v/>
      </c>
      <c r="L892">
        <f>IF(AND(H892="",F892="Attended"),1,0)</f>
        <v/>
      </c>
      <c r="M892">
        <f>IF(AND(H892="",OR(F892="No-show",F892="Late cancel")),1,0)</f>
        <v/>
      </c>
      <c r="N892">
        <f>IF(AND(H892="",F892="",D892&lt;&gt;"",I892&gt;=TODAY()),ROUND((I892+IF(ISNUMBER(C892),MOD(C892,1),0))*1440,0)*10000+ROW(),"")</f>
        <v/>
      </c>
    </row>
    <row r="893">
      <c r="A893" s="1" t="n"/>
      <c r="B893" s="17" t="n"/>
      <c r="C893" s="18" t="n"/>
      <c r="D893" s="19" t="n"/>
      <c r="E893" s="20" t="n"/>
      <c r="F893" s="20" t="n"/>
      <c r="G893" s="21" t="n"/>
      <c r="H893" s="12">
        <f>IF(AND(B893="",D893="",F893=""),"",IF(NOT(ISNUMBER(B893)),"Needs a date",IF(D893="","Needs a client",IF(COUNTIF(Clients!$B$6:$B$105,D893)=0,"Not on Clients",IF(AND(F893="",INT(B893)&lt;TODAY()),"Needs a status","")))))</f>
        <v/>
      </c>
      <c r="I893" s="1">
        <f>IF(ISNUMBER(B893),INT(B893),0)</f>
        <v/>
      </c>
      <c r="J893">
        <f>IF(ISNUMBER(B893),YEAR(B893)*100+MONTH(B893),"")</f>
        <v/>
      </c>
      <c r="K893">
        <f>IF(AND(H893="",OR(F893="Attended",F893="No-show",AND(F893="Late cancel",Settings!$C$9="Yes"))),1,0)</f>
        <v/>
      </c>
      <c r="L893">
        <f>IF(AND(H893="",F893="Attended"),1,0)</f>
        <v/>
      </c>
      <c r="M893">
        <f>IF(AND(H893="",OR(F893="No-show",F893="Late cancel")),1,0)</f>
        <v/>
      </c>
      <c r="N893">
        <f>IF(AND(H893="",F893="",D893&lt;&gt;"",I893&gt;=TODAY()),ROUND((I893+IF(ISNUMBER(C893),MOD(C893,1),0))*1440,0)*10000+ROW(),"")</f>
        <v/>
      </c>
    </row>
    <row r="894">
      <c r="A894" s="1" t="n"/>
      <c r="B894" s="17" t="n"/>
      <c r="C894" s="18" t="n"/>
      <c r="D894" s="19" t="n"/>
      <c r="E894" s="20" t="n"/>
      <c r="F894" s="20" t="n"/>
      <c r="G894" s="21" t="n"/>
      <c r="H894" s="12">
        <f>IF(AND(B894="",D894="",F894=""),"",IF(NOT(ISNUMBER(B894)),"Needs a date",IF(D894="","Needs a client",IF(COUNTIF(Clients!$B$6:$B$105,D894)=0,"Not on Clients",IF(AND(F894="",INT(B894)&lt;TODAY()),"Needs a status","")))))</f>
        <v/>
      </c>
      <c r="I894" s="1">
        <f>IF(ISNUMBER(B894),INT(B894),0)</f>
        <v/>
      </c>
      <c r="J894">
        <f>IF(ISNUMBER(B894),YEAR(B894)*100+MONTH(B894),"")</f>
        <v/>
      </c>
      <c r="K894">
        <f>IF(AND(H894="",OR(F894="Attended",F894="No-show",AND(F894="Late cancel",Settings!$C$9="Yes"))),1,0)</f>
        <v/>
      </c>
      <c r="L894">
        <f>IF(AND(H894="",F894="Attended"),1,0)</f>
        <v/>
      </c>
      <c r="M894">
        <f>IF(AND(H894="",OR(F894="No-show",F894="Late cancel")),1,0)</f>
        <v/>
      </c>
      <c r="N894">
        <f>IF(AND(H894="",F894="",D894&lt;&gt;"",I894&gt;=TODAY()),ROUND((I894+IF(ISNUMBER(C894),MOD(C894,1),0))*1440,0)*10000+ROW(),"")</f>
        <v/>
      </c>
    </row>
    <row r="895">
      <c r="A895" s="1" t="n"/>
      <c r="B895" s="17" t="n"/>
      <c r="C895" s="18" t="n"/>
      <c r="D895" s="19" t="n"/>
      <c r="E895" s="20" t="n"/>
      <c r="F895" s="20" t="n"/>
      <c r="G895" s="21" t="n"/>
      <c r="H895" s="12">
        <f>IF(AND(B895="",D895="",F895=""),"",IF(NOT(ISNUMBER(B895)),"Needs a date",IF(D895="","Needs a client",IF(COUNTIF(Clients!$B$6:$B$105,D895)=0,"Not on Clients",IF(AND(F895="",INT(B895)&lt;TODAY()),"Needs a status","")))))</f>
        <v/>
      </c>
      <c r="I895" s="1">
        <f>IF(ISNUMBER(B895),INT(B895),0)</f>
        <v/>
      </c>
      <c r="J895">
        <f>IF(ISNUMBER(B895),YEAR(B895)*100+MONTH(B895),"")</f>
        <v/>
      </c>
      <c r="K895">
        <f>IF(AND(H895="",OR(F895="Attended",F895="No-show",AND(F895="Late cancel",Settings!$C$9="Yes"))),1,0)</f>
        <v/>
      </c>
      <c r="L895">
        <f>IF(AND(H895="",F895="Attended"),1,0)</f>
        <v/>
      </c>
      <c r="M895">
        <f>IF(AND(H895="",OR(F895="No-show",F895="Late cancel")),1,0)</f>
        <v/>
      </c>
      <c r="N895">
        <f>IF(AND(H895="",F895="",D895&lt;&gt;"",I895&gt;=TODAY()),ROUND((I895+IF(ISNUMBER(C895),MOD(C895,1),0))*1440,0)*10000+ROW(),"")</f>
        <v/>
      </c>
    </row>
    <row r="896">
      <c r="A896" s="1" t="n"/>
      <c r="B896" s="17" t="n"/>
      <c r="C896" s="18" t="n"/>
      <c r="D896" s="19" t="n"/>
      <c r="E896" s="20" t="n"/>
      <c r="F896" s="20" t="n"/>
      <c r="G896" s="21" t="n"/>
      <c r="H896" s="12">
        <f>IF(AND(B896="",D896="",F896=""),"",IF(NOT(ISNUMBER(B896)),"Needs a date",IF(D896="","Needs a client",IF(COUNTIF(Clients!$B$6:$B$105,D896)=0,"Not on Clients",IF(AND(F896="",INT(B896)&lt;TODAY()),"Needs a status","")))))</f>
        <v/>
      </c>
      <c r="I896" s="1">
        <f>IF(ISNUMBER(B896),INT(B896),0)</f>
        <v/>
      </c>
      <c r="J896">
        <f>IF(ISNUMBER(B896),YEAR(B896)*100+MONTH(B896),"")</f>
        <v/>
      </c>
      <c r="K896">
        <f>IF(AND(H896="",OR(F896="Attended",F896="No-show",AND(F896="Late cancel",Settings!$C$9="Yes"))),1,0)</f>
        <v/>
      </c>
      <c r="L896">
        <f>IF(AND(H896="",F896="Attended"),1,0)</f>
        <v/>
      </c>
      <c r="M896">
        <f>IF(AND(H896="",OR(F896="No-show",F896="Late cancel")),1,0)</f>
        <v/>
      </c>
      <c r="N896">
        <f>IF(AND(H896="",F896="",D896&lt;&gt;"",I896&gt;=TODAY()),ROUND((I896+IF(ISNUMBER(C896),MOD(C896,1),0))*1440,0)*10000+ROW(),"")</f>
        <v/>
      </c>
    </row>
    <row r="897">
      <c r="A897" s="1" t="n"/>
      <c r="B897" s="17" t="n"/>
      <c r="C897" s="18" t="n"/>
      <c r="D897" s="19" t="n"/>
      <c r="E897" s="20" t="n"/>
      <c r="F897" s="20" t="n"/>
      <c r="G897" s="21" t="n"/>
      <c r="H897" s="12">
        <f>IF(AND(B897="",D897="",F897=""),"",IF(NOT(ISNUMBER(B897)),"Needs a date",IF(D897="","Needs a client",IF(COUNTIF(Clients!$B$6:$B$105,D897)=0,"Not on Clients",IF(AND(F897="",INT(B897)&lt;TODAY()),"Needs a status","")))))</f>
        <v/>
      </c>
      <c r="I897" s="1">
        <f>IF(ISNUMBER(B897),INT(B897),0)</f>
        <v/>
      </c>
      <c r="J897">
        <f>IF(ISNUMBER(B897),YEAR(B897)*100+MONTH(B897),"")</f>
        <v/>
      </c>
      <c r="K897">
        <f>IF(AND(H897="",OR(F897="Attended",F897="No-show",AND(F897="Late cancel",Settings!$C$9="Yes"))),1,0)</f>
        <v/>
      </c>
      <c r="L897">
        <f>IF(AND(H897="",F897="Attended"),1,0)</f>
        <v/>
      </c>
      <c r="M897">
        <f>IF(AND(H897="",OR(F897="No-show",F897="Late cancel")),1,0)</f>
        <v/>
      </c>
      <c r="N897">
        <f>IF(AND(H897="",F897="",D897&lt;&gt;"",I897&gt;=TODAY()),ROUND((I897+IF(ISNUMBER(C897),MOD(C897,1),0))*1440,0)*10000+ROW(),"")</f>
        <v/>
      </c>
    </row>
    <row r="898">
      <c r="A898" s="1" t="n"/>
      <c r="B898" s="17" t="n"/>
      <c r="C898" s="18" t="n"/>
      <c r="D898" s="19" t="n"/>
      <c r="E898" s="20" t="n"/>
      <c r="F898" s="20" t="n"/>
      <c r="G898" s="21" t="n"/>
      <c r="H898" s="12">
        <f>IF(AND(B898="",D898="",F898=""),"",IF(NOT(ISNUMBER(B898)),"Needs a date",IF(D898="","Needs a client",IF(COUNTIF(Clients!$B$6:$B$105,D898)=0,"Not on Clients",IF(AND(F898="",INT(B898)&lt;TODAY()),"Needs a status","")))))</f>
        <v/>
      </c>
      <c r="I898" s="1">
        <f>IF(ISNUMBER(B898),INT(B898),0)</f>
        <v/>
      </c>
      <c r="J898">
        <f>IF(ISNUMBER(B898),YEAR(B898)*100+MONTH(B898),"")</f>
        <v/>
      </c>
      <c r="K898">
        <f>IF(AND(H898="",OR(F898="Attended",F898="No-show",AND(F898="Late cancel",Settings!$C$9="Yes"))),1,0)</f>
        <v/>
      </c>
      <c r="L898">
        <f>IF(AND(H898="",F898="Attended"),1,0)</f>
        <v/>
      </c>
      <c r="M898">
        <f>IF(AND(H898="",OR(F898="No-show",F898="Late cancel")),1,0)</f>
        <v/>
      </c>
      <c r="N898">
        <f>IF(AND(H898="",F898="",D898&lt;&gt;"",I898&gt;=TODAY()),ROUND((I898+IF(ISNUMBER(C898),MOD(C898,1),0))*1440,0)*10000+ROW(),"")</f>
        <v/>
      </c>
    </row>
    <row r="899">
      <c r="A899" s="1" t="n"/>
      <c r="B899" s="17" t="n"/>
      <c r="C899" s="18" t="n"/>
      <c r="D899" s="19" t="n"/>
      <c r="E899" s="20" t="n"/>
      <c r="F899" s="20" t="n"/>
      <c r="G899" s="21" t="n"/>
      <c r="H899" s="12">
        <f>IF(AND(B899="",D899="",F899=""),"",IF(NOT(ISNUMBER(B899)),"Needs a date",IF(D899="","Needs a client",IF(COUNTIF(Clients!$B$6:$B$105,D899)=0,"Not on Clients",IF(AND(F899="",INT(B899)&lt;TODAY()),"Needs a status","")))))</f>
        <v/>
      </c>
      <c r="I899" s="1">
        <f>IF(ISNUMBER(B899),INT(B899),0)</f>
        <v/>
      </c>
      <c r="J899">
        <f>IF(ISNUMBER(B899),YEAR(B899)*100+MONTH(B899),"")</f>
        <v/>
      </c>
      <c r="K899">
        <f>IF(AND(H899="",OR(F899="Attended",F899="No-show",AND(F899="Late cancel",Settings!$C$9="Yes"))),1,0)</f>
        <v/>
      </c>
      <c r="L899">
        <f>IF(AND(H899="",F899="Attended"),1,0)</f>
        <v/>
      </c>
      <c r="M899">
        <f>IF(AND(H899="",OR(F899="No-show",F899="Late cancel")),1,0)</f>
        <v/>
      </c>
      <c r="N899">
        <f>IF(AND(H899="",F899="",D899&lt;&gt;"",I899&gt;=TODAY()),ROUND((I899+IF(ISNUMBER(C899),MOD(C899,1),0))*1440,0)*10000+ROW(),"")</f>
        <v/>
      </c>
    </row>
    <row r="900">
      <c r="A900" s="1" t="n"/>
      <c r="B900" s="17" t="n"/>
      <c r="C900" s="18" t="n"/>
      <c r="D900" s="19" t="n"/>
      <c r="E900" s="20" t="n"/>
      <c r="F900" s="20" t="n"/>
      <c r="G900" s="21" t="n"/>
      <c r="H900" s="12">
        <f>IF(AND(B900="",D900="",F900=""),"",IF(NOT(ISNUMBER(B900)),"Needs a date",IF(D900="","Needs a client",IF(COUNTIF(Clients!$B$6:$B$105,D900)=0,"Not on Clients",IF(AND(F900="",INT(B900)&lt;TODAY()),"Needs a status","")))))</f>
        <v/>
      </c>
      <c r="I900" s="1">
        <f>IF(ISNUMBER(B900),INT(B900),0)</f>
        <v/>
      </c>
      <c r="J900">
        <f>IF(ISNUMBER(B900),YEAR(B900)*100+MONTH(B900),"")</f>
        <v/>
      </c>
      <c r="K900">
        <f>IF(AND(H900="",OR(F900="Attended",F900="No-show",AND(F900="Late cancel",Settings!$C$9="Yes"))),1,0)</f>
        <v/>
      </c>
      <c r="L900">
        <f>IF(AND(H900="",F900="Attended"),1,0)</f>
        <v/>
      </c>
      <c r="M900">
        <f>IF(AND(H900="",OR(F900="No-show",F900="Late cancel")),1,0)</f>
        <v/>
      </c>
      <c r="N900">
        <f>IF(AND(H900="",F900="",D900&lt;&gt;"",I900&gt;=TODAY()),ROUND((I900+IF(ISNUMBER(C900),MOD(C900,1),0))*1440,0)*10000+ROW(),"")</f>
        <v/>
      </c>
    </row>
    <row r="901">
      <c r="A901" s="1" t="n"/>
      <c r="B901" s="17" t="n"/>
      <c r="C901" s="18" t="n"/>
      <c r="D901" s="19" t="n"/>
      <c r="E901" s="20" t="n"/>
      <c r="F901" s="20" t="n"/>
      <c r="G901" s="21" t="n"/>
      <c r="H901" s="12">
        <f>IF(AND(B901="",D901="",F901=""),"",IF(NOT(ISNUMBER(B901)),"Needs a date",IF(D901="","Needs a client",IF(COUNTIF(Clients!$B$6:$B$105,D901)=0,"Not on Clients",IF(AND(F901="",INT(B901)&lt;TODAY()),"Needs a status","")))))</f>
        <v/>
      </c>
      <c r="I901" s="1">
        <f>IF(ISNUMBER(B901),INT(B901),0)</f>
        <v/>
      </c>
      <c r="J901">
        <f>IF(ISNUMBER(B901),YEAR(B901)*100+MONTH(B901),"")</f>
        <v/>
      </c>
      <c r="K901">
        <f>IF(AND(H901="",OR(F901="Attended",F901="No-show",AND(F901="Late cancel",Settings!$C$9="Yes"))),1,0)</f>
        <v/>
      </c>
      <c r="L901">
        <f>IF(AND(H901="",F901="Attended"),1,0)</f>
        <v/>
      </c>
      <c r="M901">
        <f>IF(AND(H901="",OR(F901="No-show",F901="Late cancel")),1,0)</f>
        <v/>
      </c>
      <c r="N901">
        <f>IF(AND(H901="",F901="",D901&lt;&gt;"",I901&gt;=TODAY()),ROUND((I901+IF(ISNUMBER(C901),MOD(C901,1),0))*1440,0)*10000+ROW(),"")</f>
        <v/>
      </c>
    </row>
    <row r="902">
      <c r="A902" s="1" t="n"/>
      <c r="B902" s="17" t="n"/>
      <c r="C902" s="18" t="n"/>
      <c r="D902" s="19" t="n"/>
      <c r="E902" s="20" t="n"/>
      <c r="F902" s="20" t="n"/>
      <c r="G902" s="21" t="n"/>
      <c r="H902" s="12">
        <f>IF(AND(B902="",D902="",F902=""),"",IF(NOT(ISNUMBER(B902)),"Needs a date",IF(D902="","Needs a client",IF(COUNTIF(Clients!$B$6:$B$105,D902)=0,"Not on Clients",IF(AND(F902="",INT(B902)&lt;TODAY()),"Needs a status","")))))</f>
        <v/>
      </c>
      <c r="I902" s="1">
        <f>IF(ISNUMBER(B902),INT(B902),0)</f>
        <v/>
      </c>
      <c r="J902">
        <f>IF(ISNUMBER(B902),YEAR(B902)*100+MONTH(B902),"")</f>
        <v/>
      </c>
      <c r="K902">
        <f>IF(AND(H902="",OR(F902="Attended",F902="No-show",AND(F902="Late cancel",Settings!$C$9="Yes"))),1,0)</f>
        <v/>
      </c>
      <c r="L902">
        <f>IF(AND(H902="",F902="Attended"),1,0)</f>
        <v/>
      </c>
      <c r="M902">
        <f>IF(AND(H902="",OR(F902="No-show",F902="Late cancel")),1,0)</f>
        <v/>
      </c>
      <c r="N902">
        <f>IF(AND(H902="",F902="",D902&lt;&gt;"",I902&gt;=TODAY()),ROUND((I902+IF(ISNUMBER(C902),MOD(C902,1),0))*1440,0)*10000+ROW(),"")</f>
        <v/>
      </c>
    </row>
    <row r="903">
      <c r="A903" s="1" t="n"/>
      <c r="B903" s="17" t="n"/>
      <c r="C903" s="18" t="n"/>
      <c r="D903" s="19" t="n"/>
      <c r="E903" s="20" t="n"/>
      <c r="F903" s="20" t="n"/>
      <c r="G903" s="21" t="n"/>
      <c r="H903" s="12">
        <f>IF(AND(B903="",D903="",F903=""),"",IF(NOT(ISNUMBER(B903)),"Needs a date",IF(D903="","Needs a client",IF(COUNTIF(Clients!$B$6:$B$105,D903)=0,"Not on Clients",IF(AND(F903="",INT(B903)&lt;TODAY()),"Needs a status","")))))</f>
        <v/>
      </c>
      <c r="I903" s="1">
        <f>IF(ISNUMBER(B903),INT(B903),0)</f>
        <v/>
      </c>
      <c r="J903">
        <f>IF(ISNUMBER(B903),YEAR(B903)*100+MONTH(B903),"")</f>
        <v/>
      </c>
      <c r="K903">
        <f>IF(AND(H903="",OR(F903="Attended",F903="No-show",AND(F903="Late cancel",Settings!$C$9="Yes"))),1,0)</f>
        <v/>
      </c>
      <c r="L903">
        <f>IF(AND(H903="",F903="Attended"),1,0)</f>
        <v/>
      </c>
      <c r="M903">
        <f>IF(AND(H903="",OR(F903="No-show",F903="Late cancel")),1,0)</f>
        <v/>
      </c>
      <c r="N903">
        <f>IF(AND(H903="",F903="",D903&lt;&gt;"",I903&gt;=TODAY()),ROUND((I903+IF(ISNUMBER(C903),MOD(C903,1),0))*1440,0)*10000+ROW(),"")</f>
        <v/>
      </c>
    </row>
    <row r="904">
      <c r="A904" s="1" t="n"/>
      <c r="B904" s="17" t="n"/>
      <c r="C904" s="18" t="n"/>
      <c r="D904" s="19" t="n"/>
      <c r="E904" s="20" t="n"/>
      <c r="F904" s="20" t="n"/>
      <c r="G904" s="21" t="n"/>
      <c r="H904" s="12">
        <f>IF(AND(B904="",D904="",F904=""),"",IF(NOT(ISNUMBER(B904)),"Needs a date",IF(D904="","Needs a client",IF(COUNTIF(Clients!$B$6:$B$105,D904)=0,"Not on Clients",IF(AND(F904="",INT(B904)&lt;TODAY()),"Needs a status","")))))</f>
        <v/>
      </c>
      <c r="I904" s="1">
        <f>IF(ISNUMBER(B904),INT(B904),0)</f>
        <v/>
      </c>
      <c r="J904">
        <f>IF(ISNUMBER(B904),YEAR(B904)*100+MONTH(B904),"")</f>
        <v/>
      </c>
      <c r="K904">
        <f>IF(AND(H904="",OR(F904="Attended",F904="No-show",AND(F904="Late cancel",Settings!$C$9="Yes"))),1,0)</f>
        <v/>
      </c>
      <c r="L904">
        <f>IF(AND(H904="",F904="Attended"),1,0)</f>
        <v/>
      </c>
      <c r="M904">
        <f>IF(AND(H904="",OR(F904="No-show",F904="Late cancel")),1,0)</f>
        <v/>
      </c>
      <c r="N904">
        <f>IF(AND(H904="",F904="",D904&lt;&gt;"",I904&gt;=TODAY()),ROUND((I904+IF(ISNUMBER(C904),MOD(C904,1),0))*1440,0)*10000+ROW(),"")</f>
        <v/>
      </c>
    </row>
    <row r="905">
      <c r="A905" s="1" t="n"/>
      <c r="B905" s="17" t="n"/>
      <c r="C905" s="18" t="n"/>
      <c r="D905" s="19" t="n"/>
      <c r="E905" s="20" t="n"/>
      <c r="F905" s="20" t="n"/>
      <c r="G905" s="21" t="n"/>
      <c r="H905" s="12">
        <f>IF(AND(B905="",D905="",F905=""),"",IF(NOT(ISNUMBER(B905)),"Needs a date",IF(D905="","Needs a client",IF(COUNTIF(Clients!$B$6:$B$105,D905)=0,"Not on Clients",IF(AND(F905="",INT(B905)&lt;TODAY()),"Needs a status","")))))</f>
        <v/>
      </c>
      <c r="I905" s="1">
        <f>IF(ISNUMBER(B905),INT(B905),0)</f>
        <v/>
      </c>
      <c r="J905">
        <f>IF(ISNUMBER(B905),YEAR(B905)*100+MONTH(B905),"")</f>
        <v/>
      </c>
      <c r="K905">
        <f>IF(AND(H905="",OR(F905="Attended",F905="No-show",AND(F905="Late cancel",Settings!$C$9="Yes"))),1,0)</f>
        <v/>
      </c>
      <c r="L905">
        <f>IF(AND(H905="",F905="Attended"),1,0)</f>
        <v/>
      </c>
      <c r="M905">
        <f>IF(AND(H905="",OR(F905="No-show",F905="Late cancel")),1,0)</f>
        <v/>
      </c>
      <c r="N905">
        <f>IF(AND(H905="",F905="",D905&lt;&gt;"",I905&gt;=TODAY()),ROUND((I905+IF(ISNUMBER(C905),MOD(C905,1),0))*1440,0)*10000+ROW(),"")</f>
        <v/>
      </c>
    </row>
    <row r="906">
      <c r="A906" s="1" t="n"/>
      <c r="B906" s="17" t="n"/>
      <c r="C906" s="18" t="n"/>
      <c r="D906" s="19" t="n"/>
      <c r="E906" s="20" t="n"/>
      <c r="F906" s="20" t="n"/>
      <c r="G906" s="21" t="n"/>
      <c r="H906" s="12">
        <f>IF(AND(B906="",D906="",F906=""),"",IF(NOT(ISNUMBER(B906)),"Needs a date",IF(D906="","Needs a client",IF(COUNTIF(Clients!$B$6:$B$105,D906)=0,"Not on Clients",IF(AND(F906="",INT(B906)&lt;TODAY()),"Needs a status","")))))</f>
        <v/>
      </c>
      <c r="I906" s="1">
        <f>IF(ISNUMBER(B906),INT(B906),0)</f>
        <v/>
      </c>
      <c r="J906">
        <f>IF(ISNUMBER(B906),YEAR(B906)*100+MONTH(B906),"")</f>
        <v/>
      </c>
      <c r="K906">
        <f>IF(AND(H906="",OR(F906="Attended",F906="No-show",AND(F906="Late cancel",Settings!$C$9="Yes"))),1,0)</f>
        <v/>
      </c>
      <c r="L906">
        <f>IF(AND(H906="",F906="Attended"),1,0)</f>
        <v/>
      </c>
      <c r="M906">
        <f>IF(AND(H906="",OR(F906="No-show",F906="Late cancel")),1,0)</f>
        <v/>
      </c>
      <c r="N906">
        <f>IF(AND(H906="",F906="",D906&lt;&gt;"",I906&gt;=TODAY()),ROUND((I906+IF(ISNUMBER(C906),MOD(C906,1),0))*1440,0)*10000+ROW(),"")</f>
        <v/>
      </c>
    </row>
    <row r="907">
      <c r="A907" s="1" t="n"/>
      <c r="B907" s="17" t="n"/>
      <c r="C907" s="18" t="n"/>
      <c r="D907" s="19" t="n"/>
      <c r="E907" s="20" t="n"/>
      <c r="F907" s="20" t="n"/>
      <c r="G907" s="21" t="n"/>
      <c r="H907" s="12">
        <f>IF(AND(B907="",D907="",F907=""),"",IF(NOT(ISNUMBER(B907)),"Needs a date",IF(D907="","Needs a client",IF(COUNTIF(Clients!$B$6:$B$105,D907)=0,"Not on Clients",IF(AND(F907="",INT(B907)&lt;TODAY()),"Needs a status","")))))</f>
        <v/>
      </c>
      <c r="I907" s="1">
        <f>IF(ISNUMBER(B907),INT(B907),0)</f>
        <v/>
      </c>
      <c r="J907">
        <f>IF(ISNUMBER(B907),YEAR(B907)*100+MONTH(B907),"")</f>
        <v/>
      </c>
      <c r="K907">
        <f>IF(AND(H907="",OR(F907="Attended",F907="No-show",AND(F907="Late cancel",Settings!$C$9="Yes"))),1,0)</f>
        <v/>
      </c>
      <c r="L907">
        <f>IF(AND(H907="",F907="Attended"),1,0)</f>
        <v/>
      </c>
      <c r="M907">
        <f>IF(AND(H907="",OR(F907="No-show",F907="Late cancel")),1,0)</f>
        <v/>
      </c>
      <c r="N907">
        <f>IF(AND(H907="",F907="",D907&lt;&gt;"",I907&gt;=TODAY()),ROUND((I907+IF(ISNUMBER(C907),MOD(C907,1),0))*1440,0)*10000+ROW(),"")</f>
        <v/>
      </c>
    </row>
    <row r="908">
      <c r="A908" s="1" t="n"/>
      <c r="B908" s="17" t="n"/>
      <c r="C908" s="18" t="n"/>
      <c r="D908" s="19" t="n"/>
      <c r="E908" s="20" t="n"/>
      <c r="F908" s="20" t="n"/>
      <c r="G908" s="21" t="n"/>
      <c r="H908" s="12">
        <f>IF(AND(B908="",D908="",F908=""),"",IF(NOT(ISNUMBER(B908)),"Needs a date",IF(D908="","Needs a client",IF(COUNTIF(Clients!$B$6:$B$105,D908)=0,"Not on Clients",IF(AND(F908="",INT(B908)&lt;TODAY()),"Needs a status","")))))</f>
        <v/>
      </c>
      <c r="I908" s="1">
        <f>IF(ISNUMBER(B908),INT(B908),0)</f>
        <v/>
      </c>
      <c r="J908">
        <f>IF(ISNUMBER(B908),YEAR(B908)*100+MONTH(B908),"")</f>
        <v/>
      </c>
      <c r="K908">
        <f>IF(AND(H908="",OR(F908="Attended",F908="No-show",AND(F908="Late cancel",Settings!$C$9="Yes"))),1,0)</f>
        <v/>
      </c>
      <c r="L908">
        <f>IF(AND(H908="",F908="Attended"),1,0)</f>
        <v/>
      </c>
      <c r="M908">
        <f>IF(AND(H908="",OR(F908="No-show",F908="Late cancel")),1,0)</f>
        <v/>
      </c>
      <c r="N908">
        <f>IF(AND(H908="",F908="",D908&lt;&gt;"",I908&gt;=TODAY()),ROUND((I908+IF(ISNUMBER(C908),MOD(C908,1),0))*1440,0)*10000+ROW(),"")</f>
        <v/>
      </c>
    </row>
    <row r="909">
      <c r="A909" s="1" t="n"/>
      <c r="B909" s="17" t="n"/>
      <c r="C909" s="18" t="n"/>
      <c r="D909" s="19" t="n"/>
      <c r="E909" s="20" t="n"/>
      <c r="F909" s="20" t="n"/>
      <c r="G909" s="21" t="n"/>
      <c r="H909" s="12">
        <f>IF(AND(B909="",D909="",F909=""),"",IF(NOT(ISNUMBER(B909)),"Needs a date",IF(D909="","Needs a client",IF(COUNTIF(Clients!$B$6:$B$105,D909)=0,"Not on Clients",IF(AND(F909="",INT(B909)&lt;TODAY()),"Needs a status","")))))</f>
        <v/>
      </c>
      <c r="I909" s="1">
        <f>IF(ISNUMBER(B909),INT(B909),0)</f>
        <v/>
      </c>
      <c r="J909">
        <f>IF(ISNUMBER(B909),YEAR(B909)*100+MONTH(B909),"")</f>
        <v/>
      </c>
      <c r="K909">
        <f>IF(AND(H909="",OR(F909="Attended",F909="No-show",AND(F909="Late cancel",Settings!$C$9="Yes"))),1,0)</f>
        <v/>
      </c>
      <c r="L909">
        <f>IF(AND(H909="",F909="Attended"),1,0)</f>
        <v/>
      </c>
      <c r="M909">
        <f>IF(AND(H909="",OR(F909="No-show",F909="Late cancel")),1,0)</f>
        <v/>
      </c>
      <c r="N909">
        <f>IF(AND(H909="",F909="",D909&lt;&gt;"",I909&gt;=TODAY()),ROUND((I909+IF(ISNUMBER(C909),MOD(C909,1),0))*1440,0)*10000+ROW(),"")</f>
        <v/>
      </c>
    </row>
    <row r="910">
      <c r="A910" s="1" t="n"/>
      <c r="B910" s="17" t="n"/>
      <c r="C910" s="18" t="n"/>
      <c r="D910" s="19" t="n"/>
      <c r="E910" s="20" t="n"/>
      <c r="F910" s="20" t="n"/>
      <c r="G910" s="21" t="n"/>
      <c r="H910" s="12">
        <f>IF(AND(B910="",D910="",F910=""),"",IF(NOT(ISNUMBER(B910)),"Needs a date",IF(D910="","Needs a client",IF(COUNTIF(Clients!$B$6:$B$105,D910)=0,"Not on Clients",IF(AND(F910="",INT(B910)&lt;TODAY()),"Needs a status","")))))</f>
        <v/>
      </c>
      <c r="I910" s="1">
        <f>IF(ISNUMBER(B910),INT(B910),0)</f>
        <v/>
      </c>
      <c r="J910">
        <f>IF(ISNUMBER(B910),YEAR(B910)*100+MONTH(B910),"")</f>
        <v/>
      </c>
      <c r="K910">
        <f>IF(AND(H910="",OR(F910="Attended",F910="No-show",AND(F910="Late cancel",Settings!$C$9="Yes"))),1,0)</f>
        <v/>
      </c>
      <c r="L910">
        <f>IF(AND(H910="",F910="Attended"),1,0)</f>
        <v/>
      </c>
      <c r="M910">
        <f>IF(AND(H910="",OR(F910="No-show",F910="Late cancel")),1,0)</f>
        <v/>
      </c>
      <c r="N910">
        <f>IF(AND(H910="",F910="",D910&lt;&gt;"",I910&gt;=TODAY()),ROUND((I910+IF(ISNUMBER(C910),MOD(C910,1),0))*1440,0)*10000+ROW(),"")</f>
        <v/>
      </c>
    </row>
    <row r="911">
      <c r="A911" s="1" t="n"/>
      <c r="B911" s="17" t="n"/>
      <c r="C911" s="18" t="n"/>
      <c r="D911" s="19" t="n"/>
      <c r="E911" s="20" t="n"/>
      <c r="F911" s="20" t="n"/>
      <c r="G911" s="21" t="n"/>
      <c r="H911" s="12">
        <f>IF(AND(B911="",D911="",F911=""),"",IF(NOT(ISNUMBER(B911)),"Needs a date",IF(D911="","Needs a client",IF(COUNTIF(Clients!$B$6:$B$105,D911)=0,"Not on Clients",IF(AND(F911="",INT(B911)&lt;TODAY()),"Needs a status","")))))</f>
        <v/>
      </c>
      <c r="I911" s="1">
        <f>IF(ISNUMBER(B911),INT(B911),0)</f>
        <v/>
      </c>
      <c r="J911">
        <f>IF(ISNUMBER(B911),YEAR(B911)*100+MONTH(B911),"")</f>
        <v/>
      </c>
      <c r="K911">
        <f>IF(AND(H911="",OR(F911="Attended",F911="No-show",AND(F911="Late cancel",Settings!$C$9="Yes"))),1,0)</f>
        <v/>
      </c>
      <c r="L911">
        <f>IF(AND(H911="",F911="Attended"),1,0)</f>
        <v/>
      </c>
      <c r="M911">
        <f>IF(AND(H911="",OR(F911="No-show",F911="Late cancel")),1,0)</f>
        <v/>
      </c>
      <c r="N911">
        <f>IF(AND(H911="",F911="",D911&lt;&gt;"",I911&gt;=TODAY()),ROUND((I911+IF(ISNUMBER(C911),MOD(C911,1),0))*1440,0)*10000+ROW(),"")</f>
        <v/>
      </c>
    </row>
    <row r="912">
      <c r="A912" s="1" t="n"/>
      <c r="B912" s="17" t="n"/>
      <c r="C912" s="18" t="n"/>
      <c r="D912" s="19" t="n"/>
      <c r="E912" s="20" t="n"/>
      <c r="F912" s="20" t="n"/>
      <c r="G912" s="21" t="n"/>
      <c r="H912" s="12">
        <f>IF(AND(B912="",D912="",F912=""),"",IF(NOT(ISNUMBER(B912)),"Needs a date",IF(D912="","Needs a client",IF(COUNTIF(Clients!$B$6:$B$105,D912)=0,"Not on Clients",IF(AND(F912="",INT(B912)&lt;TODAY()),"Needs a status","")))))</f>
        <v/>
      </c>
      <c r="I912" s="1">
        <f>IF(ISNUMBER(B912),INT(B912),0)</f>
        <v/>
      </c>
      <c r="J912">
        <f>IF(ISNUMBER(B912),YEAR(B912)*100+MONTH(B912),"")</f>
        <v/>
      </c>
      <c r="K912">
        <f>IF(AND(H912="",OR(F912="Attended",F912="No-show",AND(F912="Late cancel",Settings!$C$9="Yes"))),1,0)</f>
        <v/>
      </c>
      <c r="L912">
        <f>IF(AND(H912="",F912="Attended"),1,0)</f>
        <v/>
      </c>
      <c r="M912">
        <f>IF(AND(H912="",OR(F912="No-show",F912="Late cancel")),1,0)</f>
        <v/>
      </c>
      <c r="N912">
        <f>IF(AND(H912="",F912="",D912&lt;&gt;"",I912&gt;=TODAY()),ROUND((I912+IF(ISNUMBER(C912),MOD(C912,1),0))*1440,0)*10000+ROW(),"")</f>
        <v/>
      </c>
    </row>
    <row r="913">
      <c r="A913" s="1" t="n"/>
      <c r="B913" s="17" t="n"/>
      <c r="C913" s="18" t="n"/>
      <c r="D913" s="19" t="n"/>
      <c r="E913" s="20" t="n"/>
      <c r="F913" s="20" t="n"/>
      <c r="G913" s="21" t="n"/>
      <c r="H913" s="12">
        <f>IF(AND(B913="",D913="",F913=""),"",IF(NOT(ISNUMBER(B913)),"Needs a date",IF(D913="","Needs a client",IF(COUNTIF(Clients!$B$6:$B$105,D913)=0,"Not on Clients",IF(AND(F913="",INT(B913)&lt;TODAY()),"Needs a status","")))))</f>
        <v/>
      </c>
      <c r="I913" s="1">
        <f>IF(ISNUMBER(B913),INT(B913),0)</f>
        <v/>
      </c>
      <c r="J913">
        <f>IF(ISNUMBER(B913),YEAR(B913)*100+MONTH(B913),"")</f>
        <v/>
      </c>
      <c r="K913">
        <f>IF(AND(H913="",OR(F913="Attended",F913="No-show",AND(F913="Late cancel",Settings!$C$9="Yes"))),1,0)</f>
        <v/>
      </c>
      <c r="L913">
        <f>IF(AND(H913="",F913="Attended"),1,0)</f>
        <v/>
      </c>
      <c r="M913">
        <f>IF(AND(H913="",OR(F913="No-show",F913="Late cancel")),1,0)</f>
        <v/>
      </c>
      <c r="N913">
        <f>IF(AND(H913="",F913="",D913&lt;&gt;"",I913&gt;=TODAY()),ROUND((I913+IF(ISNUMBER(C913),MOD(C913,1),0))*1440,0)*10000+ROW(),"")</f>
        <v/>
      </c>
    </row>
    <row r="914">
      <c r="A914" s="1" t="n"/>
      <c r="B914" s="17" t="n"/>
      <c r="C914" s="18" t="n"/>
      <c r="D914" s="19" t="n"/>
      <c r="E914" s="20" t="n"/>
      <c r="F914" s="20" t="n"/>
      <c r="G914" s="21" t="n"/>
      <c r="H914" s="12">
        <f>IF(AND(B914="",D914="",F914=""),"",IF(NOT(ISNUMBER(B914)),"Needs a date",IF(D914="","Needs a client",IF(COUNTIF(Clients!$B$6:$B$105,D914)=0,"Not on Clients",IF(AND(F914="",INT(B914)&lt;TODAY()),"Needs a status","")))))</f>
        <v/>
      </c>
      <c r="I914" s="1">
        <f>IF(ISNUMBER(B914),INT(B914),0)</f>
        <v/>
      </c>
      <c r="J914">
        <f>IF(ISNUMBER(B914),YEAR(B914)*100+MONTH(B914),"")</f>
        <v/>
      </c>
      <c r="K914">
        <f>IF(AND(H914="",OR(F914="Attended",F914="No-show",AND(F914="Late cancel",Settings!$C$9="Yes"))),1,0)</f>
        <v/>
      </c>
      <c r="L914">
        <f>IF(AND(H914="",F914="Attended"),1,0)</f>
        <v/>
      </c>
      <c r="M914">
        <f>IF(AND(H914="",OR(F914="No-show",F914="Late cancel")),1,0)</f>
        <v/>
      </c>
      <c r="N914">
        <f>IF(AND(H914="",F914="",D914&lt;&gt;"",I914&gt;=TODAY()),ROUND((I914+IF(ISNUMBER(C914),MOD(C914,1),0))*1440,0)*10000+ROW(),"")</f>
        <v/>
      </c>
    </row>
    <row r="915">
      <c r="A915" s="1" t="n"/>
      <c r="B915" s="17" t="n"/>
      <c r="C915" s="18" t="n"/>
      <c r="D915" s="19" t="n"/>
      <c r="E915" s="20" t="n"/>
      <c r="F915" s="20" t="n"/>
      <c r="G915" s="21" t="n"/>
      <c r="H915" s="12">
        <f>IF(AND(B915="",D915="",F915=""),"",IF(NOT(ISNUMBER(B915)),"Needs a date",IF(D915="","Needs a client",IF(COUNTIF(Clients!$B$6:$B$105,D915)=0,"Not on Clients",IF(AND(F915="",INT(B915)&lt;TODAY()),"Needs a status","")))))</f>
        <v/>
      </c>
      <c r="I915" s="1">
        <f>IF(ISNUMBER(B915),INT(B915),0)</f>
        <v/>
      </c>
      <c r="J915">
        <f>IF(ISNUMBER(B915),YEAR(B915)*100+MONTH(B915),"")</f>
        <v/>
      </c>
      <c r="K915">
        <f>IF(AND(H915="",OR(F915="Attended",F915="No-show",AND(F915="Late cancel",Settings!$C$9="Yes"))),1,0)</f>
        <v/>
      </c>
      <c r="L915">
        <f>IF(AND(H915="",F915="Attended"),1,0)</f>
        <v/>
      </c>
      <c r="M915">
        <f>IF(AND(H915="",OR(F915="No-show",F915="Late cancel")),1,0)</f>
        <v/>
      </c>
      <c r="N915">
        <f>IF(AND(H915="",F915="",D915&lt;&gt;"",I915&gt;=TODAY()),ROUND((I915+IF(ISNUMBER(C915),MOD(C915,1),0))*1440,0)*10000+ROW(),"")</f>
        <v/>
      </c>
    </row>
    <row r="916">
      <c r="A916" s="1" t="n"/>
      <c r="B916" s="17" t="n"/>
      <c r="C916" s="18" t="n"/>
      <c r="D916" s="19" t="n"/>
      <c r="E916" s="20" t="n"/>
      <c r="F916" s="20" t="n"/>
      <c r="G916" s="21" t="n"/>
      <c r="H916" s="12">
        <f>IF(AND(B916="",D916="",F916=""),"",IF(NOT(ISNUMBER(B916)),"Needs a date",IF(D916="","Needs a client",IF(COUNTIF(Clients!$B$6:$B$105,D916)=0,"Not on Clients",IF(AND(F916="",INT(B916)&lt;TODAY()),"Needs a status","")))))</f>
        <v/>
      </c>
      <c r="I916" s="1">
        <f>IF(ISNUMBER(B916),INT(B916),0)</f>
        <v/>
      </c>
      <c r="J916">
        <f>IF(ISNUMBER(B916),YEAR(B916)*100+MONTH(B916),"")</f>
        <v/>
      </c>
      <c r="K916">
        <f>IF(AND(H916="",OR(F916="Attended",F916="No-show",AND(F916="Late cancel",Settings!$C$9="Yes"))),1,0)</f>
        <v/>
      </c>
      <c r="L916">
        <f>IF(AND(H916="",F916="Attended"),1,0)</f>
        <v/>
      </c>
      <c r="M916">
        <f>IF(AND(H916="",OR(F916="No-show",F916="Late cancel")),1,0)</f>
        <v/>
      </c>
      <c r="N916">
        <f>IF(AND(H916="",F916="",D916&lt;&gt;"",I916&gt;=TODAY()),ROUND((I916+IF(ISNUMBER(C916),MOD(C916,1),0))*1440,0)*10000+ROW(),"")</f>
        <v/>
      </c>
    </row>
    <row r="917">
      <c r="A917" s="1" t="n"/>
      <c r="B917" s="17" t="n"/>
      <c r="C917" s="18" t="n"/>
      <c r="D917" s="19" t="n"/>
      <c r="E917" s="20" t="n"/>
      <c r="F917" s="20" t="n"/>
      <c r="G917" s="21" t="n"/>
      <c r="H917" s="12">
        <f>IF(AND(B917="",D917="",F917=""),"",IF(NOT(ISNUMBER(B917)),"Needs a date",IF(D917="","Needs a client",IF(COUNTIF(Clients!$B$6:$B$105,D917)=0,"Not on Clients",IF(AND(F917="",INT(B917)&lt;TODAY()),"Needs a status","")))))</f>
        <v/>
      </c>
      <c r="I917" s="1">
        <f>IF(ISNUMBER(B917),INT(B917),0)</f>
        <v/>
      </c>
      <c r="J917">
        <f>IF(ISNUMBER(B917),YEAR(B917)*100+MONTH(B917),"")</f>
        <v/>
      </c>
      <c r="K917">
        <f>IF(AND(H917="",OR(F917="Attended",F917="No-show",AND(F917="Late cancel",Settings!$C$9="Yes"))),1,0)</f>
        <v/>
      </c>
      <c r="L917">
        <f>IF(AND(H917="",F917="Attended"),1,0)</f>
        <v/>
      </c>
      <c r="M917">
        <f>IF(AND(H917="",OR(F917="No-show",F917="Late cancel")),1,0)</f>
        <v/>
      </c>
      <c r="N917">
        <f>IF(AND(H917="",F917="",D917&lt;&gt;"",I917&gt;=TODAY()),ROUND((I917+IF(ISNUMBER(C917),MOD(C917,1),0))*1440,0)*10000+ROW(),"")</f>
        <v/>
      </c>
    </row>
    <row r="918">
      <c r="A918" s="1" t="n"/>
      <c r="B918" s="17" t="n"/>
      <c r="C918" s="18" t="n"/>
      <c r="D918" s="19" t="n"/>
      <c r="E918" s="20" t="n"/>
      <c r="F918" s="20" t="n"/>
      <c r="G918" s="21" t="n"/>
      <c r="H918" s="12">
        <f>IF(AND(B918="",D918="",F918=""),"",IF(NOT(ISNUMBER(B918)),"Needs a date",IF(D918="","Needs a client",IF(COUNTIF(Clients!$B$6:$B$105,D918)=0,"Not on Clients",IF(AND(F918="",INT(B918)&lt;TODAY()),"Needs a status","")))))</f>
        <v/>
      </c>
      <c r="I918" s="1">
        <f>IF(ISNUMBER(B918),INT(B918),0)</f>
        <v/>
      </c>
      <c r="J918">
        <f>IF(ISNUMBER(B918),YEAR(B918)*100+MONTH(B918),"")</f>
        <v/>
      </c>
      <c r="K918">
        <f>IF(AND(H918="",OR(F918="Attended",F918="No-show",AND(F918="Late cancel",Settings!$C$9="Yes"))),1,0)</f>
        <v/>
      </c>
      <c r="L918">
        <f>IF(AND(H918="",F918="Attended"),1,0)</f>
        <v/>
      </c>
      <c r="M918">
        <f>IF(AND(H918="",OR(F918="No-show",F918="Late cancel")),1,0)</f>
        <v/>
      </c>
      <c r="N918">
        <f>IF(AND(H918="",F918="",D918&lt;&gt;"",I918&gt;=TODAY()),ROUND((I918+IF(ISNUMBER(C918),MOD(C918,1),0))*1440,0)*10000+ROW(),"")</f>
        <v/>
      </c>
    </row>
    <row r="919">
      <c r="A919" s="1" t="n"/>
      <c r="B919" s="17" t="n"/>
      <c r="C919" s="18" t="n"/>
      <c r="D919" s="19" t="n"/>
      <c r="E919" s="20" t="n"/>
      <c r="F919" s="20" t="n"/>
      <c r="G919" s="21" t="n"/>
      <c r="H919" s="12">
        <f>IF(AND(B919="",D919="",F919=""),"",IF(NOT(ISNUMBER(B919)),"Needs a date",IF(D919="","Needs a client",IF(COUNTIF(Clients!$B$6:$B$105,D919)=0,"Not on Clients",IF(AND(F919="",INT(B919)&lt;TODAY()),"Needs a status","")))))</f>
        <v/>
      </c>
      <c r="I919" s="1">
        <f>IF(ISNUMBER(B919),INT(B919),0)</f>
        <v/>
      </c>
      <c r="J919">
        <f>IF(ISNUMBER(B919),YEAR(B919)*100+MONTH(B919),"")</f>
        <v/>
      </c>
      <c r="K919">
        <f>IF(AND(H919="",OR(F919="Attended",F919="No-show",AND(F919="Late cancel",Settings!$C$9="Yes"))),1,0)</f>
        <v/>
      </c>
      <c r="L919">
        <f>IF(AND(H919="",F919="Attended"),1,0)</f>
        <v/>
      </c>
      <c r="M919">
        <f>IF(AND(H919="",OR(F919="No-show",F919="Late cancel")),1,0)</f>
        <v/>
      </c>
      <c r="N919">
        <f>IF(AND(H919="",F919="",D919&lt;&gt;"",I919&gt;=TODAY()),ROUND((I919+IF(ISNUMBER(C919),MOD(C919,1),0))*1440,0)*10000+ROW(),"")</f>
        <v/>
      </c>
    </row>
    <row r="920">
      <c r="A920" s="1" t="n"/>
      <c r="B920" s="17" t="n"/>
      <c r="C920" s="18" t="n"/>
      <c r="D920" s="19" t="n"/>
      <c r="E920" s="20" t="n"/>
      <c r="F920" s="20" t="n"/>
      <c r="G920" s="21" t="n"/>
      <c r="H920" s="12">
        <f>IF(AND(B920="",D920="",F920=""),"",IF(NOT(ISNUMBER(B920)),"Needs a date",IF(D920="","Needs a client",IF(COUNTIF(Clients!$B$6:$B$105,D920)=0,"Not on Clients",IF(AND(F920="",INT(B920)&lt;TODAY()),"Needs a status","")))))</f>
        <v/>
      </c>
      <c r="I920" s="1">
        <f>IF(ISNUMBER(B920),INT(B920),0)</f>
        <v/>
      </c>
      <c r="J920">
        <f>IF(ISNUMBER(B920),YEAR(B920)*100+MONTH(B920),"")</f>
        <v/>
      </c>
      <c r="K920">
        <f>IF(AND(H920="",OR(F920="Attended",F920="No-show",AND(F920="Late cancel",Settings!$C$9="Yes"))),1,0)</f>
        <v/>
      </c>
      <c r="L920">
        <f>IF(AND(H920="",F920="Attended"),1,0)</f>
        <v/>
      </c>
      <c r="M920">
        <f>IF(AND(H920="",OR(F920="No-show",F920="Late cancel")),1,0)</f>
        <v/>
      </c>
      <c r="N920">
        <f>IF(AND(H920="",F920="",D920&lt;&gt;"",I920&gt;=TODAY()),ROUND((I920+IF(ISNUMBER(C920),MOD(C920,1),0))*1440,0)*10000+ROW(),"")</f>
        <v/>
      </c>
    </row>
    <row r="921">
      <c r="A921" s="1" t="n"/>
      <c r="B921" s="17" t="n"/>
      <c r="C921" s="18" t="n"/>
      <c r="D921" s="19" t="n"/>
      <c r="E921" s="20" t="n"/>
      <c r="F921" s="20" t="n"/>
      <c r="G921" s="21" t="n"/>
      <c r="H921" s="12">
        <f>IF(AND(B921="",D921="",F921=""),"",IF(NOT(ISNUMBER(B921)),"Needs a date",IF(D921="","Needs a client",IF(COUNTIF(Clients!$B$6:$B$105,D921)=0,"Not on Clients",IF(AND(F921="",INT(B921)&lt;TODAY()),"Needs a status","")))))</f>
        <v/>
      </c>
      <c r="I921" s="1">
        <f>IF(ISNUMBER(B921),INT(B921),0)</f>
        <v/>
      </c>
      <c r="J921">
        <f>IF(ISNUMBER(B921),YEAR(B921)*100+MONTH(B921),"")</f>
        <v/>
      </c>
      <c r="K921">
        <f>IF(AND(H921="",OR(F921="Attended",F921="No-show",AND(F921="Late cancel",Settings!$C$9="Yes"))),1,0)</f>
        <v/>
      </c>
      <c r="L921">
        <f>IF(AND(H921="",F921="Attended"),1,0)</f>
        <v/>
      </c>
      <c r="M921">
        <f>IF(AND(H921="",OR(F921="No-show",F921="Late cancel")),1,0)</f>
        <v/>
      </c>
      <c r="N921">
        <f>IF(AND(H921="",F921="",D921&lt;&gt;"",I921&gt;=TODAY()),ROUND((I921+IF(ISNUMBER(C921),MOD(C921,1),0))*1440,0)*10000+ROW(),"")</f>
        <v/>
      </c>
    </row>
    <row r="922">
      <c r="A922" s="1" t="n"/>
      <c r="B922" s="17" t="n"/>
      <c r="C922" s="18" t="n"/>
      <c r="D922" s="19" t="n"/>
      <c r="E922" s="20" t="n"/>
      <c r="F922" s="20" t="n"/>
      <c r="G922" s="21" t="n"/>
      <c r="H922" s="12">
        <f>IF(AND(B922="",D922="",F922=""),"",IF(NOT(ISNUMBER(B922)),"Needs a date",IF(D922="","Needs a client",IF(COUNTIF(Clients!$B$6:$B$105,D922)=0,"Not on Clients",IF(AND(F922="",INT(B922)&lt;TODAY()),"Needs a status","")))))</f>
        <v/>
      </c>
      <c r="I922" s="1">
        <f>IF(ISNUMBER(B922),INT(B922),0)</f>
        <v/>
      </c>
      <c r="J922">
        <f>IF(ISNUMBER(B922),YEAR(B922)*100+MONTH(B922),"")</f>
        <v/>
      </c>
      <c r="K922">
        <f>IF(AND(H922="",OR(F922="Attended",F922="No-show",AND(F922="Late cancel",Settings!$C$9="Yes"))),1,0)</f>
        <v/>
      </c>
      <c r="L922">
        <f>IF(AND(H922="",F922="Attended"),1,0)</f>
        <v/>
      </c>
      <c r="M922">
        <f>IF(AND(H922="",OR(F922="No-show",F922="Late cancel")),1,0)</f>
        <v/>
      </c>
      <c r="N922">
        <f>IF(AND(H922="",F922="",D922&lt;&gt;"",I922&gt;=TODAY()),ROUND((I922+IF(ISNUMBER(C922),MOD(C922,1),0))*1440,0)*10000+ROW(),"")</f>
        <v/>
      </c>
    </row>
    <row r="923">
      <c r="A923" s="1" t="n"/>
      <c r="B923" s="17" t="n"/>
      <c r="C923" s="18" t="n"/>
      <c r="D923" s="19" t="n"/>
      <c r="E923" s="20" t="n"/>
      <c r="F923" s="20" t="n"/>
      <c r="G923" s="21" t="n"/>
      <c r="H923" s="12">
        <f>IF(AND(B923="",D923="",F923=""),"",IF(NOT(ISNUMBER(B923)),"Needs a date",IF(D923="","Needs a client",IF(COUNTIF(Clients!$B$6:$B$105,D923)=0,"Not on Clients",IF(AND(F923="",INT(B923)&lt;TODAY()),"Needs a status","")))))</f>
        <v/>
      </c>
      <c r="I923" s="1">
        <f>IF(ISNUMBER(B923),INT(B923),0)</f>
        <v/>
      </c>
      <c r="J923">
        <f>IF(ISNUMBER(B923),YEAR(B923)*100+MONTH(B923),"")</f>
        <v/>
      </c>
      <c r="K923">
        <f>IF(AND(H923="",OR(F923="Attended",F923="No-show",AND(F923="Late cancel",Settings!$C$9="Yes"))),1,0)</f>
        <v/>
      </c>
      <c r="L923">
        <f>IF(AND(H923="",F923="Attended"),1,0)</f>
        <v/>
      </c>
      <c r="M923">
        <f>IF(AND(H923="",OR(F923="No-show",F923="Late cancel")),1,0)</f>
        <v/>
      </c>
      <c r="N923">
        <f>IF(AND(H923="",F923="",D923&lt;&gt;"",I923&gt;=TODAY()),ROUND((I923+IF(ISNUMBER(C923),MOD(C923,1),0))*1440,0)*10000+ROW(),"")</f>
        <v/>
      </c>
    </row>
    <row r="924">
      <c r="A924" s="1" t="n"/>
      <c r="B924" s="17" t="n"/>
      <c r="C924" s="18" t="n"/>
      <c r="D924" s="19" t="n"/>
      <c r="E924" s="20" t="n"/>
      <c r="F924" s="20" t="n"/>
      <c r="G924" s="21" t="n"/>
      <c r="H924" s="12">
        <f>IF(AND(B924="",D924="",F924=""),"",IF(NOT(ISNUMBER(B924)),"Needs a date",IF(D924="","Needs a client",IF(COUNTIF(Clients!$B$6:$B$105,D924)=0,"Not on Clients",IF(AND(F924="",INT(B924)&lt;TODAY()),"Needs a status","")))))</f>
        <v/>
      </c>
      <c r="I924" s="1">
        <f>IF(ISNUMBER(B924),INT(B924),0)</f>
        <v/>
      </c>
      <c r="J924">
        <f>IF(ISNUMBER(B924),YEAR(B924)*100+MONTH(B924),"")</f>
        <v/>
      </c>
      <c r="K924">
        <f>IF(AND(H924="",OR(F924="Attended",F924="No-show",AND(F924="Late cancel",Settings!$C$9="Yes"))),1,0)</f>
        <v/>
      </c>
      <c r="L924">
        <f>IF(AND(H924="",F924="Attended"),1,0)</f>
        <v/>
      </c>
      <c r="M924">
        <f>IF(AND(H924="",OR(F924="No-show",F924="Late cancel")),1,0)</f>
        <v/>
      </c>
      <c r="N924">
        <f>IF(AND(H924="",F924="",D924&lt;&gt;"",I924&gt;=TODAY()),ROUND((I924+IF(ISNUMBER(C924),MOD(C924,1),0))*1440,0)*10000+ROW(),"")</f>
        <v/>
      </c>
    </row>
    <row r="925">
      <c r="A925" s="1" t="n"/>
      <c r="B925" s="17" t="n"/>
      <c r="C925" s="18" t="n"/>
      <c r="D925" s="19" t="n"/>
      <c r="E925" s="20" t="n"/>
      <c r="F925" s="20" t="n"/>
      <c r="G925" s="21" t="n"/>
      <c r="H925" s="12">
        <f>IF(AND(B925="",D925="",F925=""),"",IF(NOT(ISNUMBER(B925)),"Needs a date",IF(D925="","Needs a client",IF(COUNTIF(Clients!$B$6:$B$105,D925)=0,"Not on Clients",IF(AND(F925="",INT(B925)&lt;TODAY()),"Needs a status","")))))</f>
        <v/>
      </c>
      <c r="I925" s="1">
        <f>IF(ISNUMBER(B925),INT(B925),0)</f>
        <v/>
      </c>
      <c r="J925">
        <f>IF(ISNUMBER(B925),YEAR(B925)*100+MONTH(B925),"")</f>
        <v/>
      </c>
      <c r="K925">
        <f>IF(AND(H925="",OR(F925="Attended",F925="No-show",AND(F925="Late cancel",Settings!$C$9="Yes"))),1,0)</f>
        <v/>
      </c>
      <c r="L925">
        <f>IF(AND(H925="",F925="Attended"),1,0)</f>
        <v/>
      </c>
      <c r="M925">
        <f>IF(AND(H925="",OR(F925="No-show",F925="Late cancel")),1,0)</f>
        <v/>
      </c>
      <c r="N925">
        <f>IF(AND(H925="",F925="",D925&lt;&gt;"",I925&gt;=TODAY()),ROUND((I925+IF(ISNUMBER(C925),MOD(C925,1),0))*1440,0)*10000+ROW(),"")</f>
        <v/>
      </c>
    </row>
    <row r="926">
      <c r="A926" s="1" t="n"/>
      <c r="B926" s="17" t="n"/>
      <c r="C926" s="18" t="n"/>
      <c r="D926" s="19" t="n"/>
      <c r="E926" s="20" t="n"/>
      <c r="F926" s="20" t="n"/>
      <c r="G926" s="21" t="n"/>
      <c r="H926" s="12">
        <f>IF(AND(B926="",D926="",F926=""),"",IF(NOT(ISNUMBER(B926)),"Needs a date",IF(D926="","Needs a client",IF(COUNTIF(Clients!$B$6:$B$105,D926)=0,"Not on Clients",IF(AND(F926="",INT(B926)&lt;TODAY()),"Needs a status","")))))</f>
        <v/>
      </c>
      <c r="I926" s="1">
        <f>IF(ISNUMBER(B926),INT(B926),0)</f>
        <v/>
      </c>
      <c r="J926">
        <f>IF(ISNUMBER(B926),YEAR(B926)*100+MONTH(B926),"")</f>
        <v/>
      </c>
      <c r="K926">
        <f>IF(AND(H926="",OR(F926="Attended",F926="No-show",AND(F926="Late cancel",Settings!$C$9="Yes"))),1,0)</f>
        <v/>
      </c>
      <c r="L926">
        <f>IF(AND(H926="",F926="Attended"),1,0)</f>
        <v/>
      </c>
      <c r="M926">
        <f>IF(AND(H926="",OR(F926="No-show",F926="Late cancel")),1,0)</f>
        <v/>
      </c>
      <c r="N926">
        <f>IF(AND(H926="",F926="",D926&lt;&gt;"",I926&gt;=TODAY()),ROUND((I926+IF(ISNUMBER(C926),MOD(C926,1),0))*1440,0)*10000+ROW(),"")</f>
        <v/>
      </c>
    </row>
    <row r="927">
      <c r="A927" s="1" t="n"/>
      <c r="B927" s="17" t="n"/>
      <c r="C927" s="18" t="n"/>
      <c r="D927" s="19" t="n"/>
      <c r="E927" s="20" t="n"/>
      <c r="F927" s="20" t="n"/>
      <c r="G927" s="21" t="n"/>
      <c r="H927" s="12">
        <f>IF(AND(B927="",D927="",F927=""),"",IF(NOT(ISNUMBER(B927)),"Needs a date",IF(D927="","Needs a client",IF(COUNTIF(Clients!$B$6:$B$105,D927)=0,"Not on Clients",IF(AND(F927="",INT(B927)&lt;TODAY()),"Needs a status","")))))</f>
        <v/>
      </c>
      <c r="I927" s="1">
        <f>IF(ISNUMBER(B927),INT(B927),0)</f>
        <v/>
      </c>
      <c r="J927">
        <f>IF(ISNUMBER(B927),YEAR(B927)*100+MONTH(B927),"")</f>
        <v/>
      </c>
      <c r="K927">
        <f>IF(AND(H927="",OR(F927="Attended",F927="No-show",AND(F927="Late cancel",Settings!$C$9="Yes"))),1,0)</f>
        <v/>
      </c>
      <c r="L927">
        <f>IF(AND(H927="",F927="Attended"),1,0)</f>
        <v/>
      </c>
      <c r="M927">
        <f>IF(AND(H927="",OR(F927="No-show",F927="Late cancel")),1,0)</f>
        <v/>
      </c>
      <c r="N927">
        <f>IF(AND(H927="",F927="",D927&lt;&gt;"",I927&gt;=TODAY()),ROUND((I927+IF(ISNUMBER(C927),MOD(C927,1),0))*1440,0)*10000+ROW(),"")</f>
        <v/>
      </c>
    </row>
    <row r="928">
      <c r="A928" s="1" t="n"/>
      <c r="B928" s="17" t="n"/>
      <c r="C928" s="18" t="n"/>
      <c r="D928" s="19" t="n"/>
      <c r="E928" s="20" t="n"/>
      <c r="F928" s="20" t="n"/>
      <c r="G928" s="21" t="n"/>
      <c r="H928" s="12">
        <f>IF(AND(B928="",D928="",F928=""),"",IF(NOT(ISNUMBER(B928)),"Needs a date",IF(D928="","Needs a client",IF(COUNTIF(Clients!$B$6:$B$105,D928)=0,"Not on Clients",IF(AND(F928="",INT(B928)&lt;TODAY()),"Needs a status","")))))</f>
        <v/>
      </c>
      <c r="I928" s="1">
        <f>IF(ISNUMBER(B928),INT(B928),0)</f>
        <v/>
      </c>
      <c r="J928">
        <f>IF(ISNUMBER(B928),YEAR(B928)*100+MONTH(B928),"")</f>
        <v/>
      </c>
      <c r="K928">
        <f>IF(AND(H928="",OR(F928="Attended",F928="No-show",AND(F928="Late cancel",Settings!$C$9="Yes"))),1,0)</f>
        <v/>
      </c>
      <c r="L928">
        <f>IF(AND(H928="",F928="Attended"),1,0)</f>
        <v/>
      </c>
      <c r="M928">
        <f>IF(AND(H928="",OR(F928="No-show",F928="Late cancel")),1,0)</f>
        <v/>
      </c>
      <c r="N928">
        <f>IF(AND(H928="",F928="",D928&lt;&gt;"",I928&gt;=TODAY()),ROUND((I928+IF(ISNUMBER(C928),MOD(C928,1),0))*1440,0)*10000+ROW(),"")</f>
        <v/>
      </c>
    </row>
    <row r="929">
      <c r="A929" s="1" t="n"/>
      <c r="B929" s="17" t="n"/>
      <c r="C929" s="18" t="n"/>
      <c r="D929" s="19" t="n"/>
      <c r="E929" s="20" t="n"/>
      <c r="F929" s="20" t="n"/>
      <c r="G929" s="21" t="n"/>
      <c r="H929" s="12">
        <f>IF(AND(B929="",D929="",F929=""),"",IF(NOT(ISNUMBER(B929)),"Needs a date",IF(D929="","Needs a client",IF(COUNTIF(Clients!$B$6:$B$105,D929)=0,"Not on Clients",IF(AND(F929="",INT(B929)&lt;TODAY()),"Needs a status","")))))</f>
        <v/>
      </c>
      <c r="I929" s="1">
        <f>IF(ISNUMBER(B929),INT(B929),0)</f>
        <v/>
      </c>
      <c r="J929">
        <f>IF(ISNUMBER(B929),YEAR(B929)*100+MONTH(B929),"")</f>
        <v/>
      </c>
      <c r="K929">
        <f>IF(AND(H929="",OR(F929="Attended",F929="No-show",AND(F929="Late cancel",Settings!$C$9="Yes"))),1,0)</f>
        <v/>
      </c>
      <c r="L929">
        <f>IF(AND(H929="",F929="Attended"),1,0)</f>
        <v/>
      </c>
      <c r="M929">
        <f>IF(AND(H929="",OR(F929="No-show",F929="Late cancel")),1,0)</f>
        <v/>
      </c>
      <c r="N929">
        <f>IF(AND(H929="",F929="",D929&lt;&gt;"",I929&gt;=TODAY()),ROUND((I929+IF(ISNUMBER(C929),MOD(C929,1),0))*1440,0)*10000+ROW(),"")</f>
        <v/>
      </c>
    </row>
    <row r="930">
      <c r="A930" s="1" t="n"/>
      <c r="B930" s="17" t="n"/>
      <c r="C930" s="18" t="n"/>
      <c r="D930" s="19" t="n"/>
      <c r="E930" s="20" t="n"/>
      <c r="F930" s="20" t="n"/>
      <c r="G930" s="21" t="n"/>
      <c r="H930" s="12">
        <f>IF(AND(B930="",D930="",F930=""),"",IF(NOT(ISNUMBER(B930)),"Needs a date",IF(D930="","Needs a client",IF(COUNTIF(Clients!$B$6:$B$105,D930)=0,"Not on Clients",IF(AND(F930="",INT(B930)&lt;TODAY()),"Needs a status","")))))</f>
        <v/>
      </c>
      <c r="I930" s="1">
        <f>IF(ISNUMBER(B930),INT(B930),0)</f>
        <v/>
      </c>
      <c r="J930">
        <f>IF(ISNUMBER(B930),YEAR(B930)*100+MONTH(B930),"")</f>
        <v/>
      </c>
      <c r="K930">
        <f>IF(AND(H930="",OR(F930="Attended",F930="No-show",AND(F930="Late cancel",Settings!$C$9="Yes"))),1,0)</f>
        <v/>
      </c>
      <c r="L930">
        <f>IF(AND(H930="",F930="Attended"),1,0)</f>
        <v/>
      </c>
      <c r="M930">
        <f>IF(AND(H930="",OR(F930="No-show",F930="Late cancel")),1,0)</f>
        <v/>
      </c>
      <c r="N930">
        <f>IF(AND(H930="",F930="",D930&lt;&gt;"",I930&gt;=TODAY()),ROUND((I930+IF(ISNUMBER(C930),MOD(C930,1),0))*1440,0)*10000+ROW(),"")</f>
        <v/>
      </c>
    </row>
    <row r="931">
      <c r="A931" s="1" t="n"/>
      <c r="B931" s="17" t="n"/>
      <c r="C931" s="18" t="n"/>
      <c r="D931" s="19" t="n"/>
      <c r="E931" s="20" t="n"/>
      <c r="F931" s="20" t="n"/>
      <c r="G931" s="21" t="n"/>
      <c r="H931" s="12">
        <f>IF(AND(B931="",D931="",F931=""),"",IF(NOT(ISNUMBER(B931)),"Needs a date",IF(D931="","Needs a client",IF(COUNTIF(Clients!$B$6:$B$105,D931)=0,"Not on Clients",IF(AND(F931="",INT(B931)&lt;TODAY()),"Needs a status","")))))</f>
        <v/>
      </c>
      <c r="I931" s="1">
        <f>IF(ISNUMBER(B931),INT(B931),0)</f>
        <v/>
      </c>
      <c r="J931">
        <f>IF(ISNUMBER(B931),YEAR(B931)*100+MONTH(B931),"")</f>
        <v/>
      </c>
      <c r="K931">
        <f>IF(AND(H931="",OR(F931="Attended",F931="No-show",AND(F931="Late cancel",Settings!$C$9="Yes"))),1,0)</f>
        <v/>
      </c>
      <c r="L931">
        <f>IF(AND(H931="",F931="Attended"),1,0)</f>
        <v/>
      </c>
      <c r="M931">
        <f>IF(AND(H931="",OR(F931="No-show",F931="Late cancel")),1,0)</f>
        <v/>
      </c>
      <c r="N931">
        <f>IF(AND(H931="",F931="",D931&lt;&gt;"",I931&gt;=TODAY()),ROUND((I931+IF(ISNUMBER(C931),MOD(C931,1),0))*1440,0)*10000+ROW(),"")</f>
        <v/>
      </c>
    </row>
    <row r="932">
      <c r="A932" s="1" t="n"/>
      <c r="B932" s="17" t="n"/>
      <c r="C932" s="18" t="n"/>
      <c r="D932" s="19" t="n"/>
      <c r="E932" s="20" t="n"/>
      <c r="F932" s="20" t="n"/>
      <c r="G932" s="21" t="n"/>
      <c r="H932" s="12">
        <f>IF(AND(B932="",D932="",F932=""),"",IF(NOT(ISNUMBER(B932)),"Needs a date",IF(D932="","Needs a client",IF(COUNTIF(Clients!$B$6:$B$105,D932)=0,"Not on Clients",IF(AND(F932="",INT(B932)&lt;TODAY()),"Needs a status","")))))</f>
        <v/>
      </c>
      <c r="I932" s="1">
        <f>IF(ISNUMBER(B932),INT(B932),0)</f>
        <v/>
      </c>
      <c r="J932">
        <f>IF(ISNUMBER(B932),YEAR(B932)*100+MONTH(B932),"")</f>
        <v/>
      </c>
      <c r="K932">
        <f>IF(AND(H932="",OR(F932="Attended",F932="No-show",AND(F932="Late cancel",Settings!$C$9="Yes"))),1,0)</f>
        <v/>
      </c>
      <c r="L932">
        <f>IF(AND(H932="",F932="Attended"),1,0)</f>
        <v/>
      </c>
      <c r="M932">
        <f>IF(AND(H932="",OR(F932="No-show",F932="Late cancel")),1,0)</f>
        <v/>
      </c>
      <c r="N932">
        <f>IF(AND(H932="",F932="",D932&lt;&gt;"",I932&gt;=TODAY()),ROUND((I932+IF(ISNUMBER(C932),MOD(C932,1),0))*1440,0)*10000+ROW(),"")</f>
        <v/>
      </c>
    </row>
    <row r="933">
      <c r="A933" s="1" t="n"/>
      <c r="B933" s="17" t="n"/>
      <c r="C933" s="18" t="n"/>
      <c r="D933" s="19" t="n"/>
      <c r="E933" s="20" t="n"/>
      <c r="F933" s="20" t="n"/>
      <c r="G933" s="21" t="n"/>
      <c r="H933" s="12">
        <f>IF(AND(B933="",D933="",F933=""),"",IF(NOT(ISNUMBER(B933)),"Needs a date",IF(D933="","Needs a client",IF(COUNTIF(Clients!$B$6:$B$105,D933)=0,"Not on Clients",IF(AND(F933="",INT(B933)&lt;TODAY()),"Needs a status","")))))</f>
        <v/>
      </c>
      <c r="I933" s="1">
        <f>IF(ISNUMBER(B933),INT(B933),0)</f>
        <v/>
      </c>
      <c r="J933">
        <f>IF(ISNUMBER(B933),YEAR(B933)*100+MONTH(B933),"")</f>
        <v/>
      </c>
      <c r="K933">
        <f>IF(AND(H933="",OR(F933="Attended",F933="No-show",AND(F933="Late cancel",Settings!$C$9="Yes"))),1,0)</f>
        <v/>
      </c>
      <c r="L933">
        <f>IF(AND(H933="",F933="Attended"),1,0)</f>
        <v/>
      </c>
      <c r="M933">
        <f>IF(AND(H933="",OR(F933="No-show",F933="Late cancel")),1,0)</f>
        <v/>
      </c>
      <c r="N933">
        <f>IF(AND(H933="",F933="",D933&lt;&gt;"",I933&gt;=TODAY()),ROUND((I933+IF(ISNUMBER(C933),MOD(C933,1),0))*1440,0)*10000+ROW(),"")</f>
        <v/>
      </c>
    </row>
    <row r="934">
      <c r="A934" s="1" t="n"/>
      <c r="B934" s="17" t="n"/>
      <c r="C934" s="18" t="n"/>
      <c r="D934" s="19" t="n"/>
      <c r="E934" s="20" t="n"/>
      <c r="F934" s="20" t="n"/>
      <c r="G934" s="21" t="n"/>
      <c r="H934" s="12">
        <f>IF(AND(B934="",D934="",F934=""),"",IF(NOT(ISNUMBER(B934)),"Needs a date",IF(D934="","Needs a client",IF(COUNTIF(Clients!$B$6:$B$105,D934)=0,"Not on Clients",IF(AND(F934="",INT(B934)&lt;TODAY()),"Needs a status","")))))</f>
        <v/>
      </c>
      <c r="I934" s="1">
        <f>IF(ISNUMBER(B934),INT(B934),0)</f>
        <v/>
      </c>
      <c r="J934">
        <f>IF(ISNUMBER(B934),YEAR(B934)*100+MONTH(B934),"")</f>
        <v/>
      </c>
      <c r="K934">
        <f>IF(AND(H934="",OR(F934="Attended",F934="No-show",AND(F934="Late cancel",Settings!$C$9="Yes"))),1,0)</f>
        <v/>
      </c>
      <c r="L934">
        <f>IF(AND(H934="",F934="Attended"),1,0)</f>
        <v/>
      </c>
      <c r="M934">
        <f>IF(AND(H934="",OR(F934="No-show",F934="Late cancel")),1,0)</f>
        <v/>
      </c>
      <c r="N934">
        <f>IF(AND(H934="",F934="",D934&lt;&gt;"",I934&gt;=TODAY()),ROUND((I934+IF(ISNUMBER(C934),MOD(C934,1),0))*1440,0)*10000+ROW(),"")</f>
        <v/>
      </c>
    </row>
    <row r="935">
      <c r="A935" s="1" t="n"/>
      <c r="B935" s="17" t="n"/>
      <c r="C935" s="18" t="n"/>
      <c r="D935" s="19" t="n"/>
      <c r="E935" s="20" t="n"/>
      <c r="F935" s="20" t="n"/>
      <c r="G935" s="21" t="n"/>
      <c r="H935" s="12">
        <f>IF(AND(B935="",D935="",F935=""),"",IF(NOT(ISNUMBER(B935)),"Needs a date",IF(D935="","Needs a client",IF(COUNTIF(Clients!$B$6:$B$105,D935)=0,"Not on Clients",IF(AND(F935="",INT(B935)&lt;TODAY()),"Needs a status","")))))</f>
        <v/>
      </c>
      <c r="I935" s="1">
        <f>IF(ISNUMBER(B935),INT(B935),0)</f>
        <v/>
      </c>
      <c r="J935">
        <f>IF(ISNUMBER(B935),YEAR(B935)*100+MONTH(B935),"")</f>
        <v/>
      </c>
      <c r="K935">
        <f>IF(AND(H935="",OR(F935="Attended",F935="No-show",AND(F935="Late cancel",Settings!$C$9="Yes"))),1,0)</f>
        <v/>
      </c>
      <c r="L935">
        <f>IF(AND(H935="",F935="Attended"),1,0)</f>
        <v/>
      </c>
      <c r="M935">
        <f>IF(AND(H935="",OR(F935="No-show",F935="Late cancel")),1,0)</f>
        <v/>
      </c>
      <c r="N935">
        <f>IF(AND(H935="",F935="",D935&lt;&gt;"",I935&gt;=TODAY()),ROUND((I935+IF(ISNUMBER(C935),MOD(C935,1),0))*1440,0)*10000+ROW(),"")</f>
        <v/>
      </c>
    </row>
    <row r="936">
      <c r="A936" s="1" t="n"/>
      <c r="B936" s="17" t="n"/>
      <c r="C936" s="18" t="n"/>
      <c r="D936" s="19" t="n"/>
      <c r="E936" s="20" t="n"/>
      <c r="F936" s="20" t="n"/>
      <c r="G936" s="21" t="n"/>
      <c r="H936" s="12">
        <f>IF(AND(B936="",D936="",F936=""),"",IF(NOT(ISNUMBER(B936)),"Needs a date",IF(D936="","Needs a client",IF(COUNTIF(Clients!$B$6:$B$105,D936)=0,"Not on Clients",IF(AND(F936="",INT(B936)&lt;TODAY()),"Needs a status","")))))</f>
        <v/>
      </c>
      <c r="I936" s="1">
        <f>IF(ISNUMBER(B936),INT(B936),0)</f>
        <v/>
      </c>
      <c r="J936">
        <f>IF(ISNUMBER(B936),YEAR(B936)*100+MONTH(B936),"")</f>
        <v/>
      </c>
      <c r="K936">
        <f>IF(AND(H936="",OR(F936="Attended",F936="No-show",AND(F936="Late cancel",Settings!$C$9="Yes"))),1,0)</f>
        <v/>
      </c>
      <c r="L936">
        <f>IF(AND(H936="",F936="Attended"),1,0)</f>
        <v/>
      </c>
      <c r="M936">
        <f>IF(AND(H936="",OR(F936="No-show",F936="Late cancel")),1,0)</f>
        <v/>
      </c>
      <c r="N936">
        <f>IF(AND(H936="",F936="",D936&lt;&gt;"",I936&gt;=TODAY()),ROUND((I936+IF(ISNUMBER(C936),MOD(C936,1),0))*1440,0)*10000+ROW(),"")</f>
        <v/>
      </c>
    </row>
    <row r="937">
      <c r="A937" s="1" t="n"/>
      <c r="B937" s="17" t="n"/>
      <c r="C937" s="18" t="n"/>
      <c r="D937" s="19" t="n"/>
      <c r="E937" s="20" t="n"/>
      <c r="F937" s="20" t="n"/>
      <c r="G937" s="21" t="n"/>
      <c r="H937" s="12">
        <f>IF(AND(B937="",D937="",F937=""),"",IF(NOT(ISNUMBER(B937)),"Needs a date",IF(D937="","Needs a client",IF(COUNTIF(Clients!$B$6:$B$105,D937)=0,"Not on Clients",IF(AND(F937="",INT(B937)&lt;TODAY()),"Needs a status","")))))</f>
        <v/>
      </c>
      <c r="I937" s="1">
        <f>IF(ISNUMBER(B937),INT(B937),0)</f>
        <v/>
      </c>
      <c r="J937">
        <f>IF(ISNUMBER(B937),YEAR(B937)*100+MONTH(B937),"")</f>
        <v/>
      </c>
      <c r="K937">
        <f>IF(AND(H937="",OR(F937="Attended",F937="No-show",AND(F937="Late cancel",Settings!$C$9="Yes"))),1,0)</f>
        <v/>
      </c>
      <c r="L937">
        <f>IF(AND(H937="",F937="Attended"),1,0)</f>
        <v/>
      </c>
      <c r="M937">
        <f>IF(AND(H937="",OR(F937="No-show",F937="Late cancel")),1,0)</f>
        <v/>
      </c>
      <c r="N937">
        <f>IF(AND(H937="",F937="",D937&lt;&gt;"",I937&gt;=TODAY()),ROUND((I937+IF(ISNUMBER(C937),MOD(C937,1),0))*1440,0)*10000+ROW(),"")</f>
        <v/>
      </c>
    </row>
    <row r="938">
      <c r="A938" s="1" t="n"/>
      <c r="B938" s="17" t="n"/>
      <c r="C938" s="18" t="n"/>
      <c r="D938" s="19" t="n"/>
      <c r="E938" s="20" t="n"/>
      <c r="F938" s="20" t="n"/>
      <c r="G938" s="21" t="n"/>
      <c r="H938" s="12">
        <f>IF(AND(B938="",D938="",F938=""),"",IF(NOT(ISNUMBER(B938)),"Needs a date",IF(D938="","Needs a client",IF(COUNTIF(Clients!$B$6:$B$105,D938)=0,"Not on Clients",IF(AND(F938="",INT(B938)&lt;TODAY()),"Needs a status","")))))</f>
        <v/>
      </c>
      <c r="I938" s="1">
        <f>IF(ISNUMBER(B938),INT(B938),0)</f>
        <v/>
      </c>
      <c r="J938">
        <f>IF(ISNUMBER(B938),YEAR(B938)*100+MONTH(B938),"")</f>
        <v/>
      </c>
      <c r="K938">
        <f>IF(AND(H938="",OR(F938="Attended",F938="No-show",AND(F938="Late cancel",Settings!$C$9="Yes"))),1,0)</f>
        <v/>
      </c>
      <c r="L938">
        <f>IF(AND(H938="",F938="Attended"),1,0)</f>
        <v/>
      </c>
      <c r="M938">
        <f>IF(AND(H938="",OR(F938="No-show",F938="Late cancel")),1,0)</f>
        <v/>
      </c>
      <c r="N938">
        <f>IF(AND(H938="",F938="",D938&lt;&gt;"",I938&gt;=TODAY()),ROUND((I938+IF(ISNUMBER(C938),MOD(C938,1),0))*1440,0)*10000+ROW(),"")</f>
        <v/>
      </c>
    </row>
    <row r="939">
      <c r="A939" s="1" t="n"/>
      <c r="B939" s="17" t="n"/>
      <c r="C939" s="18" t="n"/>
      <c r="D939" s="19" t="n"/>
      <c r="E939" s="20" t="n"/>
      <c r="F939" s="20" t="n"/>
      <c r="G939" s="21" t="n"/>
      <c r="H939" s="12">
        <f>IF(AND(B939="",D939="",F939=""),"",IF(NOT(ISNUMBER(B939)),"Needs a date",IF(D939="","Needs a client",IF(COUNTIF(Clients!$B$6:$B$105,D939)=0,"Not on Clients",IF(AND(F939="",INT(B939)&lt;TODAY()),"Needs a status","")))))</f>
        <v/>
      </c>
      <c r="I939" s="1">
        <f>IF(ISNUMBER(B939),INT(B939),0)</f>
        <v/>
      </c>
      <c r="J939">
        <f>IF(ISNUMBER(B939),YEAR(B939)*100+MONTH(B939),"")</f>
        <v/>
      </c>
      <c r="K939">
        <f>IF(AND(H939="",OR(F939="Attended",F939="No-show",AND(F939="Late cancel",Settings!$C$9="Yes"))),1,0)</f>
        <v/>
      </c>
      <c r="L939">
        <f>IF(AND(H939="",F939="Attended"),1,0)</f>
        <v/>
      </c>
      <c r="M939">
        <f>IF(AND(H939="",OR(F939="No-show",F939="Late cancel")),1,0)</f>
        <v/>
      </c>
      <c r="N939">
        <f>IF(AND(H939="",F939="",D939&lt;&gt;"",I939&gt;=TODAY()),ROUND((I939+IF(ISNUMBER(C939),MOD(C939,1),0))*1440,0)*10000+ROW(),"")</f>
        <v/>
      </c>
    </row>
    <row r="940">
      <c r="A940" s="1" t="n"/>
      <c r="B940" s="17" t="n"/>
      <c r="C940" s="18" t="n"/>
      <c r="D940" s="19" t="n"/>
      <c r="E940" s="20" t="n"/>
      <c r="F940" s="20" t="n"/>
      <c r="G940" s="21" t="n"/>
      <c r="H940" s="12">
        <f>IF(AND(B940="",D940="",F940=""),"",IF(NOT(ISNUMBER(B940)),"Needs a date",IF(D940="","Needs a client",IF(COUNTIF(Clients!$B$6:$B$105,D940)=0,"Not on Clients",IF(AND(F940="",INT(B940)&lt;TODAY()),"Needs a status","")))))</f>
        <v/>
      </c>
      <c r="I940" s="1">
        <f>IF(ISNUMBER(B940),INT(B940),0)</f>
        <v/>
      </c>
      <c r="J940">
        <f>IF(ISNUMBER(B940),YEAR(B940)*100+MONTH(B940),"")</f>
        <v/>
      </c>
      <c r="K940">
        <f>IF(AND(H940="",OR(F940="Attended",F940="No-show",AND(F940="Late cancel",Settings!$C$9="Yes"))),1,0)</f>
        <v/>
      </c>
      <c r="L940">
        <f>IF(AND(H940="",F940="Attended"),1,0)</f>
        <v/>
      </c>
      <c r="M940">
        <f>IF(AND(H940="",OR(F940="No-show",F940="Late cancel")),1,0)</f>
        <v/>
      </c>
      <c r="N940">
        <f>IF(AND(H940="",F940="",D940&lt;&gt;"",I940&gt;=TODAY()),ROUND((I940+IF(ISNUMBER(C940),MOD(C940,1),0))*1440,0)*10000+ROW(),"")</f>
        <v/>
      </c>
    </row>
    <row r="941">
      <c r="A941" s="1" t="n"/>
      <c r="B941" s="17" t="n"/>
      <c r="C941" s="18" t="n"/>
      <c r="D941" s="19" t="n"/>
      <c r="E941" s="20" t="n"/>
      <c r="F941" s="20" t="n"/>
      <c r="G941" s="21" t="n"/>
      <c r="H941" s="12">
        <f>IF(AND(B941="",D941="",F941=""),"",IF(NOT(ISNUMBER(B941)),"Needs a date",IF(D941="","Needs a client",IF(COUNTIF(Clients!$B$6:$B$105,D941)=0,"Not on Clients",IF(AND(F941="",INT(B941)&lt;TODAY()),"Needs a status","")))))</f>
        <v/>
      </c>
      <c r="I941" s="1">
        <f>IF(ISNUMBER(B941),INT(B941),0)</f>
        <v/>
      </c>
      <c r="J941">
        <f>IF(ISNUMBER(B941),YEAR(B941)*100+MONTH(B941),"")</f>
        <v/>
      </c>
      <c r="K941">
        <f>IF(AND(H941="",OR(F941="Attended",F941="No-show",AND(F941="Late cancel",Settings!$C$9="Yes"))),1,0)</f>
        <v/>
      </c>
      <c r="L941">
        <f>IF(AND(H941="",F941="Attended"),1,0)</f>
        <v/>
      </c>
      <c r="M941">
        <f>IF(AND(H941="",OR(F941="No-show",F941="Late cancel")),1,0)</f>
        <v/>
      </c>
      <c r="N941">
        <f>IF(AND(H941="",F941="",D941&lt;&gt;"",I941&gt;=TODAY()),ROUND((I941+IF(ISNUMBER(C941),MOD(C941,1),0))*1440,0)*10000+ROW(),"")</f>
        <v/>
      </c>
    </row>
    <row r="942">
      <c r="A942" s="1" t="n"/>
      <c r="B942" s="17" t="n"/>
      <c r="C942" s="18" t="n"/>
      <c r="D942" s="19" t="n"/>
      <c r="E942" s="20" t="n"/>
      <c r="F942" s="20" t="n"/>
      <c r="G942" s="21" t="n"/>
      <c r="H942" s="12">
        <f>IF(AND(B942="",D942="",F942=""),"",IF(NOT(ISNUMBER(B942)),"Needs a date",IF(D942="","Needs a client",IF(COUNTIF(Clients!$B$6:$B$105,D942)=0,"Not on Clients",IF(AND(F942="",INT(B942)&lt;TODAY()),"Needs a status","")))))</f>
        <v/>
      </c>
      <c r="I942" s="1">
        <f>IF(ISNUMBER(B942),INT(B942),0)</f>
        <v/>
      </c>
      <c r="J942">
        <f>IF(ISNUMBER(B942),YEAR(B942)*100+MONTH(B942),"")</f>
        <v/>
      </c>
      <c r="K942">
        <f>IF(AND(H942="",OR(F942="Attended",F942="No-show",AND(F942="Late cancel",Settings!$C$9="Yes"))),1,0)</f>
        <v/>
      </c>
      <c r="L942">
        <f>IF(AND(H942="",F942="Attended"),1,0)</f>
        <v/>
      </c>
      <c r="M942">
        <f>IF(AND(H942="",OR(F942="No-show",F942="Late cancel")),1,0)</f>
        <v/>
      </c>
      <c r="N942">
        <f>IF(AND(H942="",F942="",D942&lt;&gt;"",I942&gt;=TODAY()),ROUND((I942+IF(ISNUMBER(C942),MOD(C942,1),0))*1440,0)*10000+ROW(),"")</f>
        <v/>
      </c>
    </row>
    <row r="943">
      <c r="A943" s="1" t="n"/>
      <c r="B943" s="17" t="n"/>
      <c r="C943" s="18" t="n"/>
      <c r="D943" s="19" t="n"/>
      <c r="E943" s="20" t="n"/>
      <c r="F943" s="20" t="n"/>
      <c r="G943" s="21" t="n"/>
      <c r="H943" s="12">
        <f>IF(AND(B943="",D943="",F943=""),"",IF(NOT(ISNUMBER(B943)),"Needs a date",IF(D943="","Needs a client",IF(COUNTIF(Clients!$B$6:$B$105,D943)=0,"Not on Clients",IF(AND(F943="",INT(B943)&lt;TODAY()),"Needs a status","")))))</f>
        <v/>
      </c>
      <c r="I943" s="1">
        <f>IF(ISNUMBER(B943),INT(B943),0)</f>
        <v/>
      </c>
      <c r="J943">
        <f>IF(ISNUMBER(B943),YEAR(B943)*100+MONTH(B943),"")</f>
        <v/>
      </c>
      <c r="K943">
        <f>IF(AND(H943="",OR(F943="Attended",F943="No-show",AND(F943="Late cancel",Settings!$C$9="Yes"))),1,0)</f>
        <v/>
      </c>
      <c r="L943">
        <f>IF(AND(H943="",F943="Attended"),1,0)</f>
        <v/>
      </c>
      <c r="M943">
        <f>IF(AND(H943="",OR(F943="No-show",F943="Late cancel")),1,0)</f>
        <v/>
      </c>
      <c r="N943">
        <f>IF(AND(H943="",F943="",D943&lt;&gt;"",I943&gt;=TODAY()),ROUND((I943+IF(ISNUMBER(C943),MOD(C943,1),0))*1440,0)*10000+ROW(),"")</f>
        <v/>
      </c>
    </row>
    <row r="944">
      <c r="A944" s="1" t="n"/>
      <c r="B944" s="17" t="n"/>
      <c r="C944" s="18" t="n"/>
      <c r="D944" s="19" t="n"/>
      <c r="E944" s="20" t="n"/>
      <c r="F944" s="20" t="n"/>
      <c r="G944" s="21" t="n"/>
      <c r="H944" s="12">
        <f>IF(AND(B944="",D944="",F944=""),"",IF(NOT(ISNUMBER(B944)),"Needs a date",IF(D944="","Needs a client",IF(COUNTIF(Clients!$B$6:$B$105,D944)=0,"Not on Clients",IF(AND(F944="",INT(B944)&lt;TODAY()),"Needs a status","")))))</f>
        <v/>
      </c>
      <c r="I944" s="1">
        <f>IF(ISNUMBER(B944),INT(B944),0)</f>
        <v/>
      </c>
      <c r="J944">
        <f>IF(ISNUMBER(B944),YEAR(B944)*100+MONTH(B944),"")</f>
        <v/>
      </c>
      <c r="K944">
        <f>IF(AND(H944="",OR(F944="Attended",F944="No-show",AND(F944="Late cancel",Settings!$C$9="Yes"))),1,0)</f>
        <v/>
      </c>
      <c r="L944">
        <f>IF(AND(H944="",F944="Attended"),1,0)</f>
        <v/>
      </c>
      <c r="M944">
        <f>IF(AND(H944="",OR(F944="No-show",F944="Late cancel")),1,0)</f>
        <v/>
      </c>
      <c r="N944">
        <f>IF(AND(H944="",F944="",D944&lt;&gt;"",I944&gt;=TODAY()),ROUND((I944+IF(ISNUMBER(C944),MOD(C944,1),0))*1440,0)*10000+ROW(),"")</f>
        <v/>
      </c>
    </row>
    <row r="945">
      <c r="A945" s="1" t="n"/>
      <c r="B945" s="17" t="n"/>
      <c r="C945" s="18" t="n"/>
      <c r="D945" s="19" t="n"/>
      <c r="E945" s="20" t="n"/>
      <c r="F945" s="20" t="n"/>
      <c r="G945" s="21" t="n"/>
      <c r="H945" s="12">
        <f>IF(AND(B945="",D945="",F945=""),"",IF(NOT(ISNUMBER(B945)),"Needs a date",IF(D945="","Needs a client",IF(COUNTIF(Clients!$B$6:$B$105,D945)=0,"Not on Clients",IF(AND(F945="",INT(B945)&lt;TODAY()),"Needs a status","")))))</f>
        <v/>
      </c>
      <c r="I945" s="1">
        <f>IF(ISNUMBER(B945),INT(B945),0)</f>
        <v/>
      </c>
      <c r="J945">
        <f>IF(ISNUMBER(B945),YEAR(B945)*100+MONTH(B945),"")</f>
        <v/>
      </c>
      <c r="K945">
        <f>IF(AND(H945="",OR(F945="Attended",F945="No-show",AND(F945="Late cancel",Settings!$C$9="Yes"))),1,0)</f>
        <v/>
      </c>
      <c r="L945">
        <f>IF(AND(H945="",F945="Attended"),1,0)</f>
        <v/>
      </c>
      <c r="M945">
        <f>IF(AND(H945="",OR(F945="No-show",F945="Late cancel")),1,0)</f>
        <v/>
      </c>
      <c r="N945">
        <f>IF(AND(H945="",F945="",D945&lt;&gt;"",I945&gt;=TODAY()),ROUND((I945+IF(ISNUMBER(C945),MOD(C945,1),0))*1440,0)*10000+ROW(),"")</f>
        <v/>
      </c>
    </row>
    <row r="946">
      <c r="A946" s="1" t="n"/>
      <c r="B946" s="17" t="n"/>
      <c r="C946" s="18" t="n"/>
      <c r="D946" s="19" t="n"/>
      <c r="E946" s="20" t="n"/>
      <c r="F946" s="20" t="n"/>
      <c r="G946" s="21" t="n"/>
      <c r="H946" s="12">
        <f>IF(AND(B946="",D946="",F946=""),"",IF(NOT(ISNUMBER(B946)),"Needs a date",IF(D946="","Needs a client",IF(COUNTIF(Clients!$B$6:$B$105,D946)=0,"Not on Clients",IF(AND(F946="",INT(B946)&lt;TODAY()),"Needs a status","")))))</f>
        <v/>
      </c>
      <c r="I946" s="1">
        <f>IF(ISNUMBER(B946),INT(B946),0)</f>
        <v/>
      </c>
      <c r="J946">
        <f>IF(ISNUMBER(B946),YEAR(B946)*100+MONTH(B946),"")</f>
        <v/>
      </c>
      <c r="K946">
        <f>IF(AND(H946="",OR(F946="Attended",F946="No-show",AND(F946="Late cancel",Settings!$C$9="Yes"))),1,0)</f>
        <v/>
      </c>
      <c r="L946">
        <f>IF(AND(H946="",F946="Attended"),1,0)</f>
        <v/>
      </c>
      <c r="M946">
        <f>IF(AND(H946="",OR(F946="No-show",F946="Late cancel")),1,0)</f>
        <v/>
      </c>
      <c r="N946">
        <f>IF(AND(H946="",F946="",D946&lt;&gt;"",I946&gt;=TODAY()),ROUND((I946+IF(ISNUMBER(C946),MOD(C946,1),0))*1440,0)*10000+ROW(),"")</f>
        <v/>
      </c>
    </row>
    <row r="947">
      <c r="A947" s="1" t="n"/>
      <c r="B947" s="17" t="n"/>
      <c r="C947" s="18" t="n"/>
      <c r="D947" s="19" t="n"/>
      <c r="E947" s="20" t="n"/>
      <c r="F947" s="20" t="n"/>
      <c r="G947" s="21" t="n"/>
      <c r="H947" s="12">
        <f>IF(AND(B947="",D947="",F947=""),"",IF(NOT(ISNUMBER(B947)),"Needs a date",IF(D947="","Needs a client",IF(COUNTIF(Clients!$B$6:$B$105,D947)=0,"Not on Clients",IF(AND(F947="",INT(B947)&lt;TODAY()),"Needs a status","")))))</f>
        <v/>
      </c>
      <c r="I947" s="1">
        <f>IF(ISNUMBER(B947),INT(B947),0)</f>
        <v/>
      </c>
      <c r="J947">
        <f>IF(ISNUMBER(B947),YEAR(B947)*100+MONTH(B947),"")</f>
        <v/>
      </c>
      <c r="K947">
        <f>IF(AND(H947="",OR(F947="Attended",F947="No-show",AND(F947="Late cancel",Settings!$C$9="Yes"))),1,0)</f>
        <v/>
      </c>
      <c r="L947">
        <f>IF(AND(H947="",F947="Attended"),1,0)</f>
        <v/>
      </c>
      <c r="M947">
        <f>IF(AND(H947="",OR(F947="No-show",F947="Late cancel")),1,0)</f>
        <v/>
      </c>
      <c r="N947">
        <f>IF(AND(H947="",F947="",D947&lt;&gt;"",I947&gt;=TODAY()),ROUND((I947+IF(ISNUMBER(C947),MOD(C947,1),0))*1440,0)*10000+ROW(),"")</f>
        <v/>
      </c>
    </row>
    <row r="948">
      <c r="A948" s="1" t="n"/>
      <c r="B948" s="17" t="n"/>
      <c r="C948" s="18" t="n"/>
      <c r="D948" s="19" t="n"/>
      <c r="E948" s="20" t="n"/>
      <c r="F948" s="20" t="n"/>
      <c r="G948" s="21" t="n"/>
      <c r="H948" s="12">
        <f>IF(AND(B948="",D948="",F948=""),"",IF(NOT(ISNUMBER(B948)),"Needs a date",IF(D948="","Needs a client",IF(COUNTIF(Clients!$B$6:$B$105,D948)=0,"Not on Clients",IF(AND(F948="",INT(B948)&lt;TODAY()),"Needs a status","")))))</f>
        <v/>
      </c>
      <c r="I948" s="1">
        <f>IF(ISNUMBER(B948),INT(B948),0)</f>
        <v/>
      </c>
      <c r="J948">
        <f>IF(ISNUMBER(B948),YEAR(B948)*100+MONTH(B948),"")</f>
        <v/>
      </c>
      <c r="K948">
        <f>IF(AND(H948="",OR(F948="Attended",F948="No-show",AND(F948="Late cancel",Settings!$C$9="Yes"))),1,0)</f>
        <v/>
      </c>
      <c r="L948">
        <f>IF(AND(H948="",F948="Attended"),1,0)</f>
        <v/>
      </c>
      <c r="M948">
        <f>IF(AND(H948="",OR(F948="No-show",F948="Late cancel")),1,0)</f>
        <v/>
      </c>
      <c r="N948">
        <f>IF(AND(H948="",F948="",D948&lt;&gt;"",I948&gt;=TODAY()),ROUND((I948+IF(ISNUMBER(C948),MOD(C948,1),0))*1440,0)*10000+ROW(),"")</f>
        <v/>
      </c>
    </row>
    <row r="949">
      <c r="A949" s="1" t="n"/>
      <c r="B949" s="17" t="n"/>
      <c r="C949" s="18" t="n"/>
      <c r="D949" s="19" t="n"/>
      <c r="E949" s="20" t="n"/>
      <c r="F949" s="20" t="n"/>
      <c r="G949" s="21" t="n"/>
      <c r="H949" s="12">
        <f>IF(AND(B949="",D949="",F949=""),"",IF(NOT(ISNUMBER(B949)),"Needs a date",IF(D949="","Needs a client",IF(COUNTIF(Clients!$B$6:$B$105,D949)=0,"Not on Clients",IF(AND(F949="",INT(B949)&lt;TODAY()),"Needs a status","")))))</f>
        <v/>
      </c>
      <c r="I949" s="1">
        <f>IF(ISNUMBER(B949),INT(B949),0)</f>
        <v/>
      </c>
      <c r="J949">
        <f>IF(ISNUMBER(B949),YEAR(B949)*100+MONTH(B949),"")</f>
        <v/>
      </c>
      <c r="K949">
        <f>IF(AND(H949="",OR(F949="Attended",F949="No-show",AND(F949="Late cancel",Settings!$C$9="Yes"))),1,0)</f>
        <v/>
      </c>
      <c r="L949">
        <f>IF(AND(H949="",F949="Attended"),1,0)</f>
        <v/>
      </c>
      <c r="M949">
        <f>IF(AND(H949="",OR(F949="No-show",F949="Late cancel")),1,0)</f>
        <v/>
      </c>
      <c r="N949">
        <f>IF(AND(H949="",F949="",D949&lt;&gt;"",I949&gt;=TODAY()),ROUND((I949+IF(ISNUMBER(C949),MOD(C949,1),0))*1440,0)*10000+ROW(),"")</f>
        <v/>
      </c>
    </row>
    <row r="950">
      <c r="A950" s="1" t="n"/>
      <c r="B950" s="17" t="n"/>
      <c r="C950" s="18" t="n"/>
      <c r="D950" s="19" t="n"/>
      <c r="E950" s="20" t="n"/>
      <c r="F950" s="20" t="n"/>
      <c r="G950" s="21" t="n"/>
      <c r="H950" s="12">
        <f>IF(AND(B950="",D950="",F950=""),"",IF(NOT(ISNUMBER(B950)),"Needs a date",IF(D950="","Needs a client",IF(COUNTIF(Clients!$B$6:$B$105,D950)=0,"Not on Clients",IF(AND(F950="",INT(B950)&lt;TODAY()),"Needs a status","")))))</f>
        <v/>
      </c>
      <c r="I950" s="1">
        <f>IF(ISNUMBER(B950),INT(B950),0)</f>
        <v/>
      </c>
      <c r="J950">
        <f>IF(ISNUMBER(B950),YEAR(B950)*100+MONTH(B950),"")</f>
        <v/>
      </c>
      <c r="K950">
        <f>IF(AND(H950="",OR(F950="Attended",F950="No-show",AND(F950="Late cancel",Settings!$C$9="Yes"))),1,0)</f>
        <v/>
      </c>
      <c r="L950">
        <f>IF(AND(H950="",F950="Attended"),1,0)</f>
        <v/>
      </c>
      <c r="M950">
        <f>IF(AND(H950="",OR(F950="No-show",F950="Late cancel")),1,0)</f>
        <v/>
      </c>
      <c r="N950">
        <f>IF(AND(H950="",F950="",D950&lt;&gt;"",I950&gt;=TODAY()),ROUND((I950+IF(ISNUMBER(C950),MOD(C950,1),0))*1440,0)*10000+ROW(),"")</f>
        <v/>
      </c>
    </row>
    <row r="951">
      <c r="A951" s="1" t="n"/>
      <c r="B951" s="17" t="n"/>
      <c r="C951" s="18" t="n"/>
      <c r="D951" s="19" t="n"/>
      <c r="E951" s="20" t="n"/>
      <c r="F951" s="20" t="n"/>
      <c r="G951" s="21" t="n"/>
      <c r="H951" s="12">
        <f>IF(AND(B951="",D951="",F951=""),"",IF(NOT(ISNUMBER(B951)),"Needs a date",IF(D951="","Needs a client",IF(COUNTIF(Clients!$B$6:$B$105,D951)=0,"Not on Clients",IF(AND(F951="",INT(B951)&lt;TODAY()),"Needs a status","")))))</f>
        <v/>
      </c>
      <c r="I951" s="1">
        <f>IF(ISNUMBER(B951),INT(B951),0)</f>
        <v/>
      </c>
      <c r="J951">
        <f>IF(ISNUMBER(B951),YEAR(B951)*100+MONTH(B951),"")</f>
        <v/>
      </c>
      <c r="K951">
        <f>IF(AND(H951="",OR(F951="Attended",F951="No-show",AND(F951="Late cancel",Settings!$C$9="Yes"))),1,0)</f>
        <v/>
      </c>
      <c r="L951">
        <f>IF(AND(H951="",F951="Attended"),1,0)</f>
        <v/>
      </c>
      <c r="M951">
        <f>IF(AND(H951="",OR(F951="No-show",F951="Late cancel")),1,0)</f>
        <v/>
      </c>
      <c r="N951">
        <f>IF(AND(H951="",F951="",D951&lt;&gt;"",I951&gt;=TODAY()),ROUND((I951+IF(ISNUMBER(C951),MOD(C951,1),0))*1440,0)*10000+ROW(),"")</f>
        <v/>
      </c>
    </row>
    <row r="952">
      <c r="A952" s="1" t="n"/>
      <c r="B952" s="17" t="n"/>
      <c r="C952" s="18" t="n"/>
      <c r="D952" s="19" t="n"/>
      <c r="E952" s="20" t="n"/>
      <c r="F952" s="20" t="n"/>
      <c r="G952" s="21" t="n"/>
      <c r="H952" s="12">
        <f>IF(AND(B952="",D952="",F952=""),"",IF(NOT(ISNUMBER(B952)),"Needs a date",IF(D952="","Needs a client",IF(COUNTIF(Clients!$B$6:$B$105,D952)=0,"Not on Clients",IF(AND(F952="",INT(B952)&lt;TODAY()),"Needs a status","")))))</f>
        <v/>
      </c>
      <c r="I952" s="1">
        <f>IF(ISNUMBER(B952),INT(B952),0)</f>
        <v/>
      </c>
      <c r="J952">
        <f>IF(ISNUMBER(B952),YEAR(B952)*100+MONTH(B952),"")</f>
        <v/>
      </c>
      <c r="K952">
        <f>IF(AND(H952="",OR(F952="Attended",F952="No-show",AND(F952="Late cancel",Settings!$C$9="Yes"))),1,0)</f>
        <v/>
      </c>
      <c r="L952">
        <f>IF(AND(H952="",F952="Attended"),1,0)</f>
        <v/>
      </c>
      <c r="M952">
        <f>IF(AND(H952="",OR(F952="No-show",F952="Late cancel")),1,0)</f>
        <v/>
      </c>
      <c r="N952">
        <f>IF(AND(H952="",F952="",D952&lt;&gt;"",I952&gt;=TODAY()),ROUND((I952+IF(ISNUMBER(C952),MOD(C952,1),0))*1440,0)*10000+ROW(),"")</f>
        <v/>
      </c>
    </row>
    <row r="953">
      <c r="A953" s="1" t="n"/>
      <c r="B953" s="17" t="n"/>
      <c r="C953" s="18" t="n"/>
      <c r="D953" s="19" t="n"/>
      <c r="E953" s="20" t="n"/>
      <c r="F953" s="20" t="n"/>
      <c r="G953" s="21" t="n"/>
      <c r="H953" s="12">
        <f>IF(AND(B953="",D953="",F953=""),"",IF(NOT(ISNUMBER(B953)),"Needs a date",IF(D953="","Needs a client",IF(COUNTIF(Clients!$B$6:$B$105,D953)=0,"Not on Clients",IF(AND(F953="",INT(B953)&lt;TODAY()),"Needs a status","")))))</f>
        <v/>
      </c>
      <c r="I953" s="1">
        <f>IF(ISNUMBER(B953),INT(B953),0)</f>
        <v/>
      </c>
      <c r="J953">
        <f>IF(ISNUMBER(B953),YEAR(B953)*100+MONTH(B953),"")</f>
        <v/>
      </c>
      <c r="K953">
        <f>IF(AND(H953="",OR(F953="Attended",F953="No-show",AND(F953="Late cancel",Settings!$C$9="Yes"))),1,0)</f>
        <v/>
      </c>
      <c r="L953">
        <f>IF(AND(H953="",F953="Attended"),1,0)</f>
        <v/>
      </c>
      <c r="M953">
        <f>IF(AND(H953="",OR(F953="No-show",F953="Late cancel")),1,0)</f>
        <v/>
      </c>
      <c r="N953">
        <f>IF(AND(H953="",F953="",D953&lt;&gt;"",I953&gt;=TODAY()),ROUND((I953+IF(ISNUMBER(C953),MOD(C953,1),0))*1440,0)*10000+ROW(),"")</f>
        <v/>
      </c>
    </row>
    <row r="954">
      <c r="A954" s="1" t="n"/>
      <c r="B954" s="17" t="n"/>
      <c r="C954" s="18" t="n"/>
      <c r="D954" s="19" t="n"/>
      <c r="E954" s="20" t="n"/>
      <c r="F954" s="20" t="n"/>
      <c r="G954" s="21" t="n"/>
      <c r="H954" s="12">
        <f>IF(AND(B954="",D954="",F954=""),"",IF(NOT(ISNUMBER(B954)),"Needs a date",IF(D954="","Needs a client",IF(COUNTIF(Clients!$B$6:$B$105,D954)=0,"Not on Clients",IF(AND(F954="",INT(B954)&lt;TODAY()),"Needs a status","")))))</f>
        <v/>
      </c>
      <c r="I954" s="1">
        <f>IF(ISNUMBER(B954),INT(B954),0)</f>
        <v/>
      </c>
      <c r="J954">
        <f>IF(ISNUMBER(B954),YEAR(B954)*100+MONTH(B954),"")</f>
        <v/>
      </c>
      <c r="K954">
        <f>IF(AND(H954="",OR(F954="Attended",F954="No-show",AND(F954="Late cancel",Settings!$C$9="Yes"))),1,0)</f>
        <v/>
      </c>
      <c r="L954">
        <f>IF(AND(H954="",F954="Attended"),1,0)</f>
        <v/>
      </c>
      <c r="M954">
        <f>IF(AND(H954="",OR(F954="No-show",F954="Late cancel")),1,0)</f>
        <v/>
      </c>
      <c r="N954">
        <f>IF(AND(H954="",F954="",D954&lt;&gt;"",I954&gt;=TODAY()),ROUND((I954+IF(ISNUMBER(C954),MOD(C954,1),0))*1440,0)*10000+ROW(),"")</f>
        <v/>
      </c>
    </row>
    <row r="955">
      <c r="A955" s="1" t="n"/>
      <c r="B955" s="17" t="n"/>
      <c r="C955" s="18" t="n"/>
      <c r="D955" s="19" t="n"/>
      <c r="E955" s="20" t="n"/>
      <c r="F955" s="20" t="n"/>
      <c r="G955" s="21" t="n"/>
      <c r="H955" s="12">
        <f>IF(AND(B955="",D955="",F955=""),"",IF(NOT(ISNUMBER(B955)),"Needs a date",IF(D955="","Needs a client",IF(COUNTIF(Clients!$B$6:$B$105,D955)=0,"Not on Clients",IF(AND(F955="",INT(B955)&lt;TODAY()),"Needs a status","")))))</f>
        <v/>
      </c>
      <c r="I955" s="1">
        <f>IF(ISNUMBER(B955),INT(B955),0)</f>
        <v/>
      </c>
      <c r="J955">
        <f>IF(ISNUMBER(B955),YEAR(B955)*100+MONTH(B955),"")</f>
        <v/>
      </c>
      <c r="K955">
        <f>IF(AND(H955="",OR(F955="Attended",F955="No-show",AND(F955="Late cancel",Settings!$C$9="Yes"))),1,0)</f>
        <v/>
      </c>
      <c r="L955">
        <f>IF(AND(H955="",F955="Attended"),1,0)</f>
        <v/>
      </c>
      <c r="M955">
        <f>IF(AND(H955="",OR(F955="No-show",F955="Late cancel")),1,0)</f>
        <v/>
      </c>
      <c r="N955">
        <f>IF(AND(H955="",F955="",D955&lt;&gt;"",I955&gt;=TODAY()),ROUND((I955+IF(ISNUMBER(C955),MOD(C955,1),0))*1440,0)*10000+ROW(),"")</f>
        <v/>
      </c>
    </row>
    <row r="956">
      <c r="A956" s="1" t="n"/>
      <c r="B956" s="17" t="n"/>
      <c r="C956" s="18" t="n"/>
      <c r="D956" s="19" t="n"/>
      <c r="E956" s="20" t="n"/>
      <c r="F956" s="20" t="n"/>
      <c r="G956" s="21" t="n"/>
      <c r="H956" s="12">
        <f>IF(AND(B956="",D956="",F956=""),"",IF(NOT(ISNUMBER(B956)),"Needs a date",IF(D956="","Needs a client",IF(COUNTIF(Clients!$B$6:$B$105,D956)=0,"Not on Clients",IF(AND(F956="",INT(B956)&lt;TODAY()),"Needs a status","")))))</f>
        <v/>
      </c>
      <c r="I956" s="1">
        <f>IF(ISNUMBER(B956),INT(B956),0)</f>
        <v/>
      </c>
      <c r="J956">
        <f>IF(ISNUMBER(B956),YEAR(B956)*100+MONTH(B956),"")</f>
        <v/>
      </c>
      <c r="K956">
        <f>IF(AND(H956="",OR(F956="Attended",F956="No-show",AND(F956="Late cancel",Settings!$C$9="Yes"))),1,0)</f>
        <v/>
      </c>
      <c r="L956">
        <f>IF(AND(H956="",F956="Attended"),1,0)</f>
        <v/>
      </c>
      <c r="M956">
        <f>IF(AND(H956="",OR(F956="No-show",F956="Late cancel")),1,0)</f>
        <v/>
      </c>
      <c r="N956">
        <f>IF(AND(H956="",F956="",D956&lt;&gt;"",I956&gt;=TODAY()),ROUND((I956+IF(ISNUMBER(C956),MOD(C956,1),0))*1440,0)*10000+ROW(),"")</f>
        <v/>
      </c>
    </row>
    <row r="957">
      <c r="A957" s="1" t="n"/>
      <c r="B957" s="17" t="n"/>
      <c r="C957" s="18" t="n"/>
      <c r="D957" s="19" t="n"/>
      <c r="E957" s="20" t="n"/>
      <c r="F957" s="20" t="n"/>
      <c r="G957" s="21" t="n"/>
      <c r="H957" s="12">
        <f>IF(AND(B957="",D957="",F957=""),"",IF(NOT(ISNUMBER(B957)),"Needs a date",IF(D957="","Needs a client",IF(COUNTIF(Clients!$B$6:$B$105,D957)=0,"Not on Clients",IF(AND(F957="",INT(B957)&lt;TODAY()),"Needs a status","")))))</f>
        <v/>
      </c>
      <c r="I957" s="1">
        <f>IF(ISNUMBER(B957),INT(B957),0)</f>
        <v/>
      </c>
      <c r="J957">
        <f>IF(ISNUMBER(B957),YEAR(B957)*100+MONTH(B957),"")</f>
        <v/>
      </c>
      <c r="K957">
        <f>IF(AND(H957="",OR(F957="Attended",F957="No-show",AND(F957="Late cancel",Settings!$C$9="Yes"))),1,0)</f>
        <v/>
      </c>
      <c r="L957">
        <f>IF(AND(H957="",F957="Attended"),1,0)</f>
        <v/>
      </c>
      <c r="M957">
        <f>IF(AND(H957="",OR(F957="No-show",F957="Late cancel")),1,0)</f>
        <v/>
      </c>
      <c r="N957">
        <f>IF(AND(H957="",F957="",D957&lt;&gt;"",I957&gt;=TODAY()),ROUND((I957+IF(ISNUMBER(C957),MOD(C957,1),0))*1440,0)*10000+ROW(),"")</f>
        <v/>
      </c>
    </row>
    <row r="958">
      <c r="A958" s="1" t="n"/>
      <c r="B958" s="17" t="n"/>
      <c r="C958" s="18" t="n"/>
      <c r="D958" s="19" t="n"/>
      <c r="E958" s="20" t="n"/>
      <c r="F958" s="20" t="n"/>
      <c r="G958" s="21" t="n"/>
      <c r="H958" s="12">
        <f>IF(AND(B958="",D958="",F958=""),"",IF(NOT(ISNUMBER(B958)),"Needs a date",IF(D958="","Needs a client",IF(COUNTIF(Clients!$B$6:$B$105,D958)=0,"Not on Clients",IF(AND(F958="",INT(B958)&lt;TODAY()),"Needs a status","")))))</f>
        <v/>
      </c>
      <c r="I958" s="1">
        <f>IF(ISNUMBER(B958),INT(B958),0)</f>
        <v/>
      </c>
      <c r="J958">
        <f>IF(ISNUMBER(B958),YEAR(B958)*100+MONTH(B958),"")</f>
        <v/>
      </c>
      <c r="K958">
        <f>IF(AND(H958="",OR(F958="Attended",F958="No-show",AND(F958="Late cancel",Settings!$C$9="Yes"))),1,0)</f>
        <v/>
      </c>
      <c r="L958">
        <f>IF(AND(H958="",F958="Attended"),1,0)</f>
        <v/>
      </c>
      <c r="M958">
        <f>IF(AND(H958="",OR(F958="No-show",F958="Late cancel")),1,0)</f>
        <v/>
      </c>
      <c r="N958">
        <f>IF(AND(H958="",F958="",D958&lt;&gt;"",I958&gt;=TODAY()),ROUND((I958+IF(ISNUMBER(C958),MOD(C958,1),0))*1440,0)*10000+ROW(),"")</f>
        <v/>
      </c>
    </row>
    <row r="959">
      <c r="A959" s="1" t="n"/>
      <c r="B959" s="17" t="n"/>
      <c r="C959" s="18" t="n"/>
      <c r="D959" s="19" t="n"/>
      <c r="E959" s="20" t="n"/>
      <c r="F959" s="20" t="n"/>
      <c r="G959" s="21" t="n"/>
      <c r="H959" s="12">
        <f>IF(AND(B959="",D959="",F959=""),"",IF(NOT(ISNUMBER(B959)),"Needs a date",IF(D959="","Needs a client",IF(COUNTIF(Clients!$B$6:$B$105,D959)=0,"Not on Clients",IF(AND(F959="",INT(B959)&lt;TODAY()),"Needs a status","")))))</f>
        <v/>
      </c>
      <c r="I959" s="1">
        <f>IF(ISNUMBER(B959),INT(B959),0)</f>
        <v/>
      </c>
      <c r="J959">
        <f>IF(ISNUMBER(B959),YEAR(B959)*100+MONTH(B959),"")</f>
        <v/>
      </c>
      <c r="K959">
        <f>IF(AND(H959="",OR(F959="Attended",F959="No-show",AND(F959="Late cancel",Settings!$C$9="Yes"))),1,0)</f>
        <v/>
      </c>
      <c r="L959">
        <f>IF(AND(H959="",F959="Attended"),1,0)</f>
        <v/>
      </c>
      <c r="M959">
        <f>IF(AND(H959="",OR(F959="No-show",F959="Late cancel")),1,0)</f>
        <v/>
      </c>
      <c r="N959">
        <f>IF(AND(H959="",F959="",D959&lt;&gt;"",I959&gt;=TODAY()),ROUND((I959+IF(ISNUMBER(C959),MOD(C959,1),0))*1440,0)*10000+ROW(),"")</f>
        <v/>
      </c>
    </row>
    <row r="960">
      <c r="A960" s="1" t="n"/>
      <c r="B960" s="17" t="n"/>
      <c r="C960" s="18" t="n"/>
      <c r="D960" s="19" t="n"/>
      <c r="E960" s="20" t="n"/>
      <c r="F960" s="20" t="n"/>
      <c r="G960" s="21" t="n"/>
      <c r="H960" s="12">
        <f>IF(AND(B960="",D960="",F960=""),"",IF(NOT(ISNUMBER(B960)),"Needs a date",IF(D960="","Needs a client",IF(COUNTIF(Clients!$B$6:$B$105,D960)=0,"Not on Clients",IF(AND(F960="",INT(B960)&lt;TODAY()),"Needs a status","")))))</f>
        <v/>
      </c>
      <c r="I960" s="1">
        <f>IF(ISNUMBER(B960),INT(B960),0)</f>
        <v/>
      </c>
      <c r="J960">
        <f>IF(ISNUMBER(B960),YEAR(B960)*100+MONTH(B960),"")</f>
        <v/>
      </c>
      <c r="K960">
        <f>IF(AND(H960="",OR(F960="Attended",F960="No-show",AND(F960="Late cancel",Settings!$C$9="Yes"))),1,0)</f>
        <v/>
      </c>
      <c r="L960">
        <f>IF(AND(H960="",F960="Attended"),1,0)</f>
        <v/>
      </c>
      <c r="M960">
        <f>IF(AND(H960="",OR(F960="No-show",F960="Late cancel")),1,0)</f>
        <v/>
      </c>
      <c r="N960">
        <f>IF(AND(H960="",F960="",D960&lt;&gt;"",I960&gt;=TODAY()),ROUND((I960+IF(ISNUMBER(C960),MOD(C960,1),0))*1440,0)*10000+ROW(),"")</f>
        <v/>
      </c>
    </row>
    <row r="961">
      <c r="A961" s="1" t="n"/>
      <c r="B961" s="17" t="n"/>
      <c r="C961" s="18" t="n"/>
      <c r="D961" s="19" t="n"/>
      <c r="E961" s="20" t="n"/>
      <c r="F961" s="20" t="n"/>
      <c r="G961" s="21" t="n"/>
      <c r="H961" s="12">
        <f>IF(AND(B961="",D961="",F961=""),"",IF(NOT(ISNUMBER(B961)),"Needs a date",IF(D961="","Needs a client",IF(COUNTIF(Clients!$B$6:$B$105,D961)=0,"Not on Clients",IF(AND(F961="",INT(B961)&lt;TODAY()),"Needs a status","")))))</f>
        <v/>
      </c>
      <c r="I961" s="1">
        <f>IF(ISNUMBER(B961),INT(B961),0)</f>
        <v/>
      </c>
      <c r="J961">
        <f>IF(ISNUMBER(B961),YEAR(B961)*100+MONTH(B961),"")</f>
        <v/>
      </c>
      <c r="K961">
        <f>IF(AND(H961="",OR(F961="Attended",F961="No-show",AND(F961="Late cancel",Settings!$C$9="Yes"))),1,0)</f>
        <v/>
      </c>
      <c r="L961">
        <f>IF(AND(H961="",F961="Attended"),1,0)</f>
        <v/>
      </c>
      <c r="M961">
        <f>IF(AND(H961="",OR(F961="No-show",F961="Late cancel")),1,0)</f>
        <v/>
      </c>
      <c r="N961">
        <f>IF(AND(H961="",F961="",D961&lt;&gt;"",I961&gt;=TODAY()),ROUND((I961+IF(ISNUMBER(C961),MOD(C961,1),0))*1440,0)*10000+ROW(),"")</f>
        <v/>
      </c>
    </row>
    <row r="962">
      <c r="A962" s="1" t="n"/>
      <c r="B962" s="17" t="n"/>
      <c r="C962" s="18" t="n"/>
      <c r="D962" s="19" t="n"/>
      <c r="E962" s="20" t="n"/>
      <c r="F962" s="20" t="n"/>
      <c r="G962" s="21" t="n"/>
      <c r="H962" s="12">
        <f>IF(AND(B962="",D962="",F962=""),"",IF(NOT(ISNUMBER(B962)),"Needs a date",IF(D962="","Needs a client",IF(COUNTIF(Clients!$B$6:$B$105,D962)=0,"Not on Clients",IF(AND(F962="",INT(B962)&lt;TODAY()),"Needs a status","")))))</f>
        <v/>
      </c>
      <c r="I962" s="1">
        <f>IF(ISNUMBER(B962),INT(B962),0)</f>
        <v/>
      </c>
      <c r="J962">
        <f>IF(ISNUMBER(B962),YEAR(B962)*100+MONTH(B962),"")</f>
        <v/>
      </c>
      <c r="K962">
        <f>IF(AND(H962="",OR(F962="Attended",F962="No-show",AND(F962="Late cancel",Settings!$C$9="Yes"))),1,0)</f>
        <v/>
      </c>
      <c r="L962">
        <f>IF(AND(H962="",F962="Attended"),1,0)</f>
        <v/>
      </c>
      <c r="M962">
        <f>IF(AND(H962="",OR(F962="No-show",F962="Late cancel")),1,0)</f>
        <v/>
      </c>
      <c r="N962">
        <f>IF(AND(H962="",F962="",D962&lt;&gt;"",I962&gt;=TODAY()),ROUND((I962+IF(ISNUMBER(C962),MOD(C962,1),0))*1440,0)*10000+ROW(),"")</f>
        <v/>
      </c>
    </row>
    <row r="963">
      <c r="A963" s="1" t="n"/>
      <c r="B963" s="17" t="n"/>
      <c r="C963" s="18" t="n"/>
      <c r="D963" s="19" t="n"/>
      <c r="E963" s="20" t="n"/>
      <c r="F963" s="20" t="n"/>
      <c r="G963" s="21" t="n"/>
      <c r="H963" s="12">
        <f>IF(AND(B963="",D963="",F963=""),"",IF(NOT(ISNUMBER(B963)),"Needs a date",IF(D963="","Needs a client",IF(COUNTIF(Clients!$B$6:$B$105,D963)=0,"Not on Clients",IF(AND(F963="",INT(B963)&lt;TODAY()),"Needs a status","")))))</f>
        <v/>
      </c>
      <c r="I963" s="1">
        <f>IF(ISNUMBER(B963),INT(B963),0)</f>
        <v/>
      </c>
      <c r="J963">
        <f>IF(ISNUMBER(B963),YEAR(B963)*100+MONTH(B963),"")</f>
        <v/>
      </c>
      <c r="K963">
        <f>IF(AND(H963="",OR(F963="Attended",F963="No-show",AND(F963="Late cancel",Settings!$C$9="Yes"))),1,0)</f>
        <v/>
      </c>
      <c r="L963">
        <f>IF(AND(H963="",F963="Attended"),1,0)</f>
        <v/>
      </c>
      <c r="M963">
        <f>IF(AND(H963="",OR(F963="No-show",F963="Late cancel")),1,0)</f>
        <v/>
      </c>
      <c r="N963">
        <f>IF(AND(H963="",F963="",D963&lt;&gt;"",I963&gt;=TODAY()),ROUND((I963+IF(ISNUMBER(C963),MOD(C963,1),0))*1440,0)*10000+ROW(),"")</f>
        <v/>
      </c>
    </row>
    <row r="964">
      <c r="A964" s="1" t="n"/>
      <c r="B964" s="17" t="n"/>
      <c r="C964" s="18" t="n"/>
      <c r="D964" s="19" t="n"/>
      <c r="E964" s="20" t="n"/>
      <c r="F964" s="20" t="n"/>
      <c r="G964" s="21" t="n"/>
      <c r="H964" s="12">
        <f>IF(AND(B964="",D964="",F964=""),"",IF(NOT(ISNUMBER(B964)),"Needs a date",IF(D964="","Needs a client",IF(COUNTIF(Clients!$B$6:$B$105,D964)=0,"Not on Clients",IF(AND(F964="",INT(B964)&lt;TODAY()),"Needs a status","")))))</f>
        <v/>
      </c>
      <c r="I964" s="1">
        <f>IF(ISNUMBER(B964),INT(B964),0)</f>
        <v/>
      </c>
      <c r="J964">
        <f>IF(ISNUMBER(B964),YEAR(B964)*100+MONTH(B964),"")</f>
        <v/>
      </c>
      <c r="K964">
        <f>IF(AND(H964="",OR(F964="Attended",F964="No-show",AND(F964="Late cancel",Settings!$C$9="Yes"))),1,0)</f>
        <v/>
      </c>
      <c r="L964">
        <f>IF(AND(H964="",F964="Attended"),1,0)</f>
        <v/>
      </c>
      <c r="M964">
        <f>IF(AND(H964="",OR(F964="No-show",F964="Late cancel")),1,0)</f>
        <v/>
      </c>
      <c r="N964">
        <f>IF(AND(H964="",F964="",D964&lt;&gt;"",I964&gt;=TODAY()),ROUND((I964+IF(ISNUMBER(C964),MOD(C964,1),0))*1440,0)*10000+ROW(),"")</f>
        <v/>
      </c>
    </row>
    <row r="965">
      <c r="A965" s="1" t="n"/>
      <c r="B965" s="17" t="n"/>
      <c r="C965" s="18" t="n"/>
      <c r="D965" s="19" t="n"/>
      <c r="E965" s="20" t="n"/>
      <c r="F965" s="20" t="n"/>
      <c r="G965" s="21" t="n"/>
      <c r="H965" s="12">
        <f>IF(AND(B965="",D965="",F965=""),"",IF(NOT(ISNUMBER(B965)),"Needs a date",IF(D965="","Needs a client",IF(COUNTIF(Clients!$B$6:$B$105,D965)=0,"Not on Clients",IF(AND(F965="",INT(B965)&lt;TODAY()),"Needs a status","")))))</f>
        <v/>
      </c>
      <c r="I965" s="1">
        <f>IF(ISNUMBER(B965),INT(B965),0)</f>
        <v/>
      </c>
      <c r="J965">
        <f>IF(ISNUMBER(B965),YEAR(B965)*100+MONTH(B965),"")</f>
        <v/>
      </c>
      <c r="K965">
        <f>IF(AND(H965="",OR(F965="Attended",F965="No-show",AND(F965="Late cancel",Settings!$C$9="Yes"))),1,0)</f>
        <v/>
      </c>
      <c r="L965">
        <f>IF(AND(H965="",F965="Attended"),1,0)</f>
        <v/>
      </c>
      <c r="M965">
        <f>IF(AND(H965="",OR(F965="No-show",F965="Late cancel")),1,0)</f>
        <v/>
      </c>
      <c r="N965">
        <f>IF(AND(H965="",F965="",D965&lt;&gt;"",I965&gt;=TODAY()),ROUND((I965+IF(ISNUMBER(C965),MOD(C965,1),0))*1440,0)*10000+ROW(),"")</f>
        <v/>
      </c>
    </row>
    <row r="966">
      <c r="A966" s="1" t="n"/>
      <c r="B966" s="17" t="n"/>
      <c r="C966" s="18" t="n"/>
      <c r="D966" s="19" t="n"/>
      <c r="E966" s="20" t="n"/>
      <c r="F966" s="20" t="n"/>
      <c r="G966" s="21" t="n"/>
      <c r="H966" s="12">
        <f>IF(AND(B966="",D966="",F966=""),"",IF(NOT(ISNUMBER(B966)),"Needs a date",IF(D966="","Needs a client",IF(COUNTIF(Clients!$B$6:$B$105,D966)=0,"Not on Clients",IF(AND(F966="",INT(B966)&lt;TODAY()),"Needs a status","")))))</f>
        <v/>
      </c>
      <c r="I966" s="1">
        <f>IF(ISNUMBER(B966),INT(B966),0)</f>
        <v/>
      </c>
      <c r="J966">
        <f>IF(ISNUMBER(B966),YEAR(B966)*100+MONTH(B966),"")</f>
        <v/>
      </c>
      <c r="K966">
        <f>IF(AND(H966="",OR(F966="Attended",F966="No-show",AND(F966="Late cancel",Settings!$C$9="Yes"))),1,0)</f>
        <v/>
      </c>
      <c r="L966">
        <f>IF(AND(H966="",F966="Attended"),1,0)</f>
        <v/>
      </c>
      <c r="M966">
        <f>IF(AND(H966="",OR(F966="No-show",F966="Late cancel")),1,0)</f>
        <v/>
      </c>
      <c r="N966">
        <f>IF(AND(H966="",F966="",D966&lt;&gt;"",I966&gt;=TODAY()),ROUND((I966+IF(ISNUMBER(C966),MOD(C966,1),0))*1440,0)*10000+ROW(),"")</f>
        <v/>
      </c>
    </row>
    <row r="967">
      <c r="A967" s="1" t="n"/>
      <c r="B967" s="17" t="n"/>
      <c r="C967" s="18" t="n"/>
      <c r="D967" s="19" t="n"/>
      <c r="E967" s="20" t="n"/>
      <c r="F967" s="20" t="n"/>
      <c r="G967" s="21" t="n"/>
      <c r="H967" s="12">
        <f>IF(AND(B967="",D967="",F967=""),"",IF(NOT(ISNUMBER(B967)),"Needs a date",IF(D967="","Needs a client",IF(COUNTIF(Clients!$B$6:$B$105,D967)=0,"Not on Clients",IF(AND(F967="",INT(B967)&lt;TODAY()),"Needs a status","")))))</f>
        <v/>
      </c>
      <c r="I967" s="1">
        <f>IF(ISNUMBER(B967),INT(B967),0)</f>
        <v/>
      </c>
      <c r="J967">
        <f>IF(ISNUMBER(B967),YEAR(B967)*100+MONTH(B967),"")</f>
        <v/>
      </c>
      <c r="K967">
        <f>IF(AND(H967="",OR(F967="Attended",F967="No-show",AND(F967="Late cancel",Settings!$C$9="Yes"))),1,0)</f>
        <v/>
      </c>
      <c r="L967">
        <f>IF(AND(H967="",F967="Attended"),1,0)</f>
        <v/>
      </c>
      <c r="M967">
        <f>IF(AND(H967="",OR(F967="No-show",F967="Late cancel")),1,0)</f>
        <v/>
      </c>
      <c r="N967">
        <f>IF(AND(H967="",F967="",D967&lt;&gt;"",I967&gt;=TODAY()),ROUND((I967+IF(ISNUMBER(C967),MOD(C967,1),0))*1440,0)*10000+ROW(),"")</f>
        <v/>
      </c>
    </row>
    <row r="968">
      <c r="A968" s="1" t="n"/>
      <c r="B968" s="17" t="n"/>
      <c r="C968" s="18" t="n"/>
      <c r="D968" s="19" t="n"/>
      <c r="E968" s="20" t="n"/>
      <c r="F968" s="20" t="n"/>
      <c r="G968" s="21" t="n"/>
      <c r="H968" s="12">
        <f>IF(AND(B968="",D968="",F968=""),"",IF(NOT(ISNUMBER(B968)),"Needs a date",IF(D968="","Needs a client",IF(COUNTIF(Clients!$B$6:$B$105,D968)=0,"Not on Clients",IF(AND(F968="",INT(B968)&lt;TODAY()),"Needs a status","")))))</f>
        <v/>
      </c>
      <c r="I968" s="1">
        <f>IF(ISNUMBER(B968),INT(B968),0)</f>
        <v/>
      </c>
      <c r="J968">
        <f>IF(ISNUMBER(B968),YEAR(B968)*100+MONTH(B968),"")</f>
        <v/>
      </c>
      <c r="K968">
        <f>IF(AND(H968="",OR(F968="Attended",F968="No-show",AND(F968="Late cancel",Settings!$C$9="Yes"))),1,0)</f>
        <v/>
      </c>
      <c r="L968">
        <f>IF(AND(H968="",F968="Attended"),1,0)</f>
        <v/>
      </c>
      <c r="M968">
        <f>IF(AND(H968="",OR(F968="No-show",F968="Late cancel")),1,0)</f>
        <v/>
      </c>
      <c r="N968">
        <f>IF(AND(H968="",F968="",D968&lt;&gt;"",I968&gt;=TODAY()),ROUND((I968+IF(ISNUMBER(C968),MOD(C968,1),0))*1440,0)*10000+ROW(),"")</f>
        <v/>
      </c>
    </row>
    <row r="969">
      <c r="A969" s="1" t="n"/>
      <c r="B969" s="17" t="n"/>
      <c r="C969" s="18" t="n"/>
      <c r="D969" s="19" t="n"/>
      <c r="E969" s="20" t="n"/>
      <c r="F969" s="20" t="n"/>
      <c r="G969" s="21" t="n"/>
      <c r="H969" s="12">
        <f>IF(AND(B969="",D969="",F969=""),"",IF(NOT(ISNUMBER(B969)),"Needs a date",IF(D969="","Needs a client",IF(COUNTIF(Clients!$B$6:$B$105,D969)=0,"Not on Clients",IF(AND(F969="",INT(B969)&lt;TODAY()),"Needs a status","")))))</f>
        <v/>
      </c>
      <c r="I969" s="1">
        <f>IF(ISNUMBER(B969),INT(B969),0)</f>
        <v/>
      </c>
      <c r="J969">
        <f>IF(ISNUMBER(B969),YEAR(B969)*100+MONTH(B969),"")</f>
        <v/>
      </c>
      <c r="K969">
        <f>IF(AND(H969="",OR(F969="Attended",F969="No-show",AND(F969="Late cancel",Settings!$C$9="Yes"))),1,0)</f>
        <v/>
      </c>
      <c r="L969">
        <f>IF(AND(H969="",F969="Attended"),1,0)</f>
        <v/>
      </c>
      <c r="M969">
        <f>IF(AND(H969="",OR(F969="No-show",F969="Late cancel")),1,0)</f>
        <v/>
      </c>
      <c r="N969">
        <f>IF(AND(H969="",F969="",D969&lt;&gt;"",I969&gt;=TODAY()),ROUND((I969+IF(ISNUMBER(C969),MOD(C969,1),0))*1440,0)*10000+ROW(),"")</f>
        <v/>
      </c>
    </row>
    <row r="970">
      <c r="A970" s="1" t="n"/>
      <c r="B970" s="17" t="n"/>
      <c r="C970" s="18" t="n"/>
      <c r="D970" s="19" t="n"/>
      <c r="E970" s="20" t="n"/>
      <c r="F970" s="20" t="n"/>
      <c r="G970" s="21" t="n"/>
      <c r="H970" s="12">
        <f>IF(AND(B970="",D970="",F970=""),"",IF(NOT(ISNUMBER(B970)),"Needs a date",IF(D970="","Needs a client",IF(COUNTIF(Clients!$B$6:$B$105,D970)=0,"Not on Clients",IF(AND(F970="",INT(B970)&lt;TODAY()),"Needs a status","")))))</f>
        <v/>
      </c>
      <c r="I970" s="1">
        <f>IF(ISNUMBER(B970),INT(B970),0)</f>
        <v/>
      </c>
      <c r="J970">
        <f>IF(ISNUMBER(B970),YEAR(B970)*100+MONTH(B970),"")</f>
        <v/>
      </c>
      <c r="K970">
        <f>IF(AND(H970="",OR(F970="Attended",F970="No-show",AND(F970="Late cancel",Settings!$C$9="Yes"))),1,0)</f>
        <v/>
      </c>
      <c r="L970">
        <f>IF(AND(H970="",F970="Attended"),1,0)</f>
        <v/>
      </c>
      <c r="M970">
        <f>IF(AND(H970="",OR(F970="No-show",F970="Late cancel")),1,0)</f>
        <v/>
      </c>
      <c r="N970">
        <f>IF(AND(H970="",F970="",D970&lt;&gt;"",I970&gt;=TODAY()),ROUND((I970+IF(ISNUMBER(C970),MOD(C970,1),0))*1440,0)*10000+ROW(),"")</f>
        <v/>
      </c>
    </row>
    <row r="971">
      <c r="A971" s="1" t="n"/>
      <c r="B971" s="17" t="n"/>
      <c r="C971" s="18" t="n"/>
      <c r="D971" s="19" t="n"/>
      <c r="E971" s="20" t="n"/>
      <c r="F971" s="20" t="n"/>
      <c r="G971" s="21" t="n"/>
      <c r="H971" s="12">
        <f>IF(AND(B971="",D971="",F971=""),"",IF(NOT(ISNUMBER(B971)),"Needs a date",IF(D971="","Needs a client",IF(COUNTIF(Clients!$B$6:$B$105,D971)=0,"Not on Clients",IF(AND(F971="",INT(B971)&lt;TODAY()),"Needs a status","")))))</f>
        <v/>
      </c>
      <c r="I971" s="1">
        <f>IF(ISNUMBER(B971),INT(B971),0)</f>
        <v/>
      </c>
      <c r="J971">
        <f>IF(ISNUMBER(B971),YEAR(B971)*100+MONTH(B971),"")</f>
        <v/>
      </c>
      <c r="K971">
        <f>IF(AND(H971="",OR(F971="Attended",F971="No-show",AND(F971="Late cancel",Settings!$C$9="Yes"))),1,0)</f>
        <v/>
      </c>
      <c r="L971">
        <f>IF(AND(H971="",F971="Attended"),1,0)</f>
        <v/>
      </c>
      <c r="M971">
        <f>IF(AND(H971="",OR(F971="No-show",F971="Late cancel")),1,0)</f>
        <v/>
      </c>
      <c r="N971">
        <f>IF(AND(H971="",F971="",D971&lt;&gt;"",I971&gt;=TODAY()),ROUND((I971+IF(ISNUMBER(C971),MOD(C971,1),0))*1440,0)*10000+ROW(),"")</f>
        <v/>
      </c>
    </row>
    <row r="972">
      <c r="A972" s="1" t="n"/>
      <c r="B972" s="17" t="n"/>
      <c r="C972" s="18" t="n"/>
      <c r="D972" s="19" t="n"/>
      <c r="E972" s="20" t="n"/>
      <c r="F972" s="20" t="n"/>
      <c r="G972" s="21" t="n"/>
      <c r="H972" s="12">
        <f>IF(AND(B972="",D972="",F972=""),"",IF(NOT(ISNUMBER(B972)),"Needs a date",IF(D972="","Needs a client",IF(COUNTIF(Clients!$B$6:$B$105,D972)=0,"Not on Clients",IF(AND(F972="",INT(B972)&lt;TODAY()),"Needs a status","")))))</f>
        <v/>
      </c>
      <c r="I972" s="1">
        <f>IF(ISNUMBER(B972),INT(B972),0)</f>
        <v/>
      </c>
      <c r="J972">
        <f>IF(ISNUMBER(B972),YEAR(B972)*100+MONTH(B972),"")</f>
        <v/>
      </c>
      <c r="K972">
        <f>IF(AND(H972="",OR(F972="Attended",F972="No-show",AND(F972="Late cancel",Settings!$C$9="Yes"))),1,0)</f>
        <v/>
      </c>
      <c r="L972">
        <f>IF(AND(H972="",F972="Attended"),1,0)</f>
        <v/>
      </c>
      <c r="M972">
        <f>IF(AND(H972="",OR(F972="No-show",F972="Late cancel")),1,0)</f>
        <v/>
      </c>
      <c r="N972">
        <f>IF(AND(H972="",F972="",D972&lt;&gt;"",I972&gt;=TODAY()),ROUND((I972+IF(ISNUMBER(C972),MOD(C972,1),0))*1440,0)*10000+ROW(),"")</f>
        <v/>
      </c>
    </row>
    <row r="973">
      <c r="A973" s="1" t="n"/>
      <c r="B973" s="17" t="n"/>
      <c r="C973" s="18" t="n"/>
      <c r="D973" s="19" t="n"/>
      <c r="E973" s="20" t="n"/>
      <c r="F973" s="20" t="n"/>
      <c r="G973" s="21" t="n"/>
      <c r="H973" s="12">
        <f>IF(AND(B973="",D973="",F973=""),"",IF(NOT(ISNUMBER(B973)),"Needs a date",IF(D973="","Needs a client",IF(COUNTIF(Clients!$B$6:$B$105,D973)=0,"Not on Clients",IF(AND(F973="",INT(B973)&lt;TODAY()),"Needs a status","")))))</f>
        <v/>
      </c>
      <c r="I973" s="1">
        <f>IF(ISNUMBER(B973),INT(B973),0)</f>
        <v/>
      </c>
      <c r="J973">
        <f>IF(ISNUMBER(B973),YEAR(B973)*100+MONTH(B973),"")</f>
        <v/>
      </c>
      <c r="K973">
        <f>IF(AND(H973="",OR(F973="Attended",F973="No-show",AND(F973="Late cancel",Settings!$C$9="Yes"))),1,0)</f>
        <v/>
      </c>
      <c r="L973">
        <f>IF(AND(H973="",F973="Attended"),1,0)</f>
        <v/>
      </c>
      <c r="M973">
        <f>IF(AND(H973="",OR(F973="No-show",F973="Late cancel")),1,0)</f>
        <v/>
      </c>
      <c r="N973">
        <f>IF(AND(H973="",F973="",D973&lt;&gt;"",I973&gt;=TODAY()),ROUND((I973+IF(ISNUMBER(C973),MOD(C973,1),0))*1440,0)*10000+ROW(),"")</f>
        <v/>
      </c>
    </row>
    <row r="974">
      <c r="A974" s="1" t="n"/>
      <c r="B974" s="17" t="n"/>
      <c r="C974" s="18" t="n"/>
      <c r="D974" s="19" t="n"/>
      <c r="E974" s="20" t="n"/>
      <c r="F974" s="20" t="n"/>
      <c r="G974" s="21" t="n"/>
      <c r="H974" s="12">
        <f>IF(AND(B974="",D974="",F974=""),"",IF(NOT(ISNUMBER(B974)),"Needs a date",IF(D974="","Needs a client",IF(COUNTIF(Clients!$B$6:$B$105,D974)=0,"Not on Clients",IF(AND(F974="",INT(B974)&lt;TODAY()),"Needs a status","")))))</f>
        <v/>
      </c>
      <c r="I974" s="1">
        <f>IF(ISNUMBER(B974),INT(B974),0)</f>
        <v/>
      </c>
      <c r="J974">
        <f>IF(ISNUMBER(B974),YEAR(B974)*100+MONTH(B974),"")</f>
        <v/>
      </c>
      <c r="K974">
        <f>IF(AND(H974="",OR(F974="Attended",F974="No-show",AND(F974="Late cancel",Settings!$C$9="Yes"))),1,0)</f>
        <v/>
      </c>
      <c r="L974">
        <f>IF(AND(H974="",F974="Attended"),1,0)</f>
        <v/>
      </c>
      <c r="M974">
        <f>IF(AND(H974="",OR(F974="No-show",F974="Late cancel")),1,0)</f>
        <v/>
      </c>
      <c r="N974">
        <f>IF(AND(H974="",F974="",D974&lt;&gt;"",I974&gt;=TODAY()),ROUND((I974+IF(ISNUMBER(C974),MOD(C974,1),0))*1440,0)*10000+ROW(),"")</f>
        <v/>
      </c>
    </row>
    <row r="975">
      <c r="A975" s="1" t="n"/>
      <c r="B975" s="17" t="n"/>
      <c r="C975" s="18" t="n"/>
      <c r="D975" s="19" t="n"/>
      <c r="E975" s="20" t="n"/>
      <c r="F975" s="20" t="n"/>
      <c r="G975" s="21" t="n"/>
      <c r="H975" s="12">
        <f>IF(AND(B975="",D975="",F975=""),"",IF(NOT(ISNUMBER(B975)),"Needs a date",IF(D975="","Needs a client",IF(COUNTIF(Clients!$B$6:$B$105,D975)=0,"Not on Clients",IF(AND(F975="",INT(B975)&lt;TODAY()),"Needs a status","")))))</f>
        <v/>
      </c>
      <c r="I975" s="1">
        <f>IF(ISNUMBER(B975),INT(B975),0)</f>
        <v/>
      </c>
      <c r="J975">
        <f>IF(ISNUMBER(B975),YEAR(B975)*100+MONTH(B975),"")</f>
        <v/>
      </c>
      <c r="K975">
        <f>IF(AND(H975="",OR(F975="Attended",F975="No-show",AND(F975="Late cancel",Settings!$C$9="Yes"))),1,0)</f>
        <v/>
      </c>
      <c r="L975">
        <f>IF(AND(H975="",F975="Attended"),1,0)</f>
        <v/>
      </c>
      <c r="M975">
        <f>IF(AND(H975="",OR(F975="No-show",F975="Late cancel")),1,0)</f>
        <v/>
      </c>
      <c r="N975">
        <f>IF(AND(H975="",F975="",D975&lt;&gt;"",I975&gt;=TODAY()),ROUND((I975+IF(ISNUMBER(C975),MOD(C975,1),0))*1440,0)*10000+ROW(),"")</f>
        <v/>
      </c>
    </row>
    <row r="976">
      <c r="A976" s="1" t="n"/>
      <c r="B976" s="17" t="n"/>
      <c r="C976" s="18" t="n"/>
      <c r="D976" s="19" t="n"/>
      <c r="E976" s="20" t="n"/>
      <c r="F976" s="20" t="n"/>
      <c r="G976" s="21" t="n"/>
      <c r="H976" s="12">
        <f>IF(AND(B976="",D976="",F976=""),"",IF(NOT(ISNUMBER(B976)),"Needs a date",IF(D976="","Needs a client",IF(COUNTIF(Clients!$B$6:$B$105,D976)=0,"Not on Clients",IF(AND(F976="",INT(B976)&lt;TODAY()),"Needs a status","")))))</f>
        <v/>
      </c>
      <c r="I976" s="1">
        <f>IF(ISNUMBER(B976),INT(B976),0)</f>
        <v/>
      </c>
      <c r="J976">
        <f>IF(ISNUMBER(B976),YEAR(B976)*100+MONTH(B976),"")</f>
        <v/>
      </c>
      <c r="K976">
        <f>IF(AND(H976="",OR(F976="Attended",F976="No-show",AND(F976="Late cancel",Settings!$C$9="Yes"))),1,0)</f>
        <v/>
      </c>
      <c r="L976">
        <f>IF(AND(H976="",F976="Attended"),1,0)</f>
        <v/>
      </c>
      <c r="M976">
        <f>IF(AND(H976="",OR(F976="No-show",F976="Late cancel")),1,0)</f>
        <v/>
      </c>
      <c r="N976">
        <f>IF(AND(H976="",F976="",D976&lt;&gt;"",I976&gt;=TODAY()),ROUND((I976+IF(ISNUMBER(C976),MOD(C976,1),0))*1440,0)*10000+ROW(),"")</f>
        <v/>
      </c>
    </row>
    <row r="977">
      <c r="A977" s="1" t="n"/>
      <c r="B977" s="17" t="n"/>
      <c r="C977" s="18" t="n"/>
      <c r="D977" s="19" t="n"/>
      <c r="E977" s="20" t="n"/>
      <c r="F977" s="20" t="n"/>
      <c r="G977" s="21" t="n"/>
      <c r="H977" s="12">
        <f>IF(AND(B977="",D977="",F977=""),"",IF(NOT(ISNUMBER(B977)),"Needs a date",IF(D977="","Needs a client",IF(COUNTIF(Clients!$B$6:$B$105,D977)=0,"Not on Clients",IF(AND(F977="",INT(B977)&lt;TODAY()),"Needs a status","")))))</f>
        <v/>
      </c>
      <c r="I977" s="1">
        <f>IF(ISNUMBER(B977),INT(B977),0)</f>
        <v/>
      </c>
      <c r="J977">
        <f>IF(ISNUMBER(B977),YEAR(B977)*100+MONTH(B977),"")</f>
        <v/>
      </c>
      <c r="K977">
        <f>IF(AND(H977="",OR(F977="Attended",F977="No-show",AND(F977="Late cancel",Settings!$C$9="Yes"))),1,0)</f>
        <v/>
      </c>
      <c r="L977">
        <f>IF(AND(H977="",F977="Attended"),1,0)</f>
        <v/>
      </c>
      <c r="M977">
        <f>IF(AND(H977="",OR(F977="No-show",F977="Late cancel")),1,0)</f>
        <v/>
      </c>
      <c r="N977">
        <f>IF(AND(H977="",F977="",D977&lt;&gt;"",I977&gt;=TODAY()),ROUND((I977+IF(ISNUMBER(C977),MOD(C977,1),0))*1440,0)*10000+ROW(),"")</f>
        <v/>
      </c>
    </row>
    <row r="978">
      <c r="A978" s="1" t="n"/>
      <c r="B978" s="17" t="n"/>
      <c r="C978" s="18" t="n"/>
      <c r="D978" s="19" t="n"/>
      <c r="E978" s="20" t="n"/>
      <c r="F978" s="20" t="n"/>
      <c r="G978" s="21" t="n"/>
      <c r="H978" s="12">
        <f>IF(AND(B978="",D978="",F978=""),"",IF(NOT(ISNUMBER(B978)),"Needs a date",IF(D978="","Needs a client",IF(COUNTIF(Clients!$B$6:$B$105,D978)=0,"Not on Clients",IF(AND(F978="",INT(B978)&lt;TODAY()),"Needs a status","")))))</f>
        <v/>
      </c>
      <c r="I978" s="1">
        <f>IF(ISNUMBER(B978),INT(B978),0)</f>
        <v/>
      </c>
      <c r="J978">
        <f>IF(ISNUMBER(B978),YEAR(B978)*100+MONTH(B978),"")</f>
        <v/>
      </c>
      <c r="K978">
        <f>IF(AND(H978="",OR(F978="Attended",F978="No-show",AND(F978="Late cancel",Settings!$C$9="Yes"))),1,0)</f>
        <v/>
      </c>
      <c r="L978">
        <f>IF(AND(H978="",F978="Attended"),1,0)</f>
        <v/>
      </c>
      <c r="M978">
        <f>IF(AND(H978="",OR(F978="No-show",F978="Late cancel")),1,0)</f>
        <v/>
      </c>
      <c r="N978">
        <f>IF(AND(H978="",F978="",D978&lt;&gt;"",I978&gt;=TODAY()),ROUND((I978+IF(ISNUMBER(C978),MOD(C978,1),0))*1440,0)*10000+ROW(),"")</f>
        <v/>
      </c>
    </row>
    <row r="979">
      <c r="A979" s="1" t="n"/>
      <c r="B979" s="17" t="n"/>
      <c r="C979" s="18" t="n"/>
      <c r="D979" s="19" t="n"/>
      <c r="E979" s="20" t="n"/>
      <c r="F979" s="20" t="n"/>
      <c r="G979" s="21" t="n"/>
      <c r="H979" s="12">
        <f>IF(AND(B979="",D979="",F979=""),"",IF(NOT(ISNUMBER(B979)),"Needs a date",IF(D979="","Needs a client",IF(COUNTIF(Clients!$B$6:$B$105,D979)=0,"Not on Clients",IF(AND(F979="",INT(B979)&lt;TODAY()),"Needs a status","")))))</f>
        <v/>
      </c>
      <c r="I979" s="1">
        <f>IF(ISNUMBER(B979),INT(B979),0)</f>
        <v/>
      </c>
      <c r="J979">
        <f>IF(ISNUMBER(B979),YEAR(B979)*100+MONTH(B979),"")</f>
        <v/>
      </c>
      <c r="K979">
        <f>IF(AND(H979="",OR(F979="Attended",F979="No-show",AND(F979="Late cancel",Settings!$C$9="Yes"))),1,0)</f>
        <v/>
      </c>
      <c r="L979">
        <f>IF(AND(H979="",F979="Attended"),1,0)</f>
        <v/>
      </c>
      <c r="M979">
        <f>IF(AND(H979="",OR(F979="No-show",F979="Late cancel")),1,0)</f>
        <v/>
      </c>
      <c r="N979">
        <f>IF(AND(H979="",F979="",D979&lt;&gt;"",I979&gt;=TODAY()),ROUND((I979+IF(ISNUMBER(C979),MOD(C979,1),0))*1440,0)*10000+ROW(),"")</f>
        <v/>
      </c>
    </row>
    <row r="980">
      <c r="A980" s="1" t="n"/>
      <c r="B980" s="17" t="n"/>
      <c r="C980" s="18" t="n"/>
      <c r="D980" s="19" t="n"/>
      <c r="E980" s="20" t="n"/>
      <c r="F980" s="20" t="n"/>
      <c r="G980" s="21" t="n"/>
      <c r="H980" s="12">
        <f>IF(AND(B980="",D980="",F980=""),"",IF(NOT(ISNUMBER(B980)),"Needs a date",IF(D980="","Needs a client",IF(COUNTIF(Clients!$B$6:$B$105,D980)=0,"Not on Clients",IF(AND(F980="",INT(B980)&lt;TODAY()),"Needs a status","")))))</f>
        <v/>
      </c>
      <c r="I980" s="1">
        <f>IF(ISNUMBER(B980),INT(B980),0)</f>
        <v/>
      </c>
      <c r="J980">
        <f>IF(ISNUMBER(B980),YEAR(B980)*100+MONTH(B980),"")</f>
        <v/>
      </c>
      <c r="K980">
        <f>IF(AND(H980="",OR(F980="Attended",F980="No-show",AND(F980="Late cancel",Settings!$C$9="Yes"))),1,0)</f>
        <v/>
      </c>
      <c r="L980">
        <f>IF(AND(H980="",F980="Attended"),1,0)</f>
        <v/>
      </c>
      <c r="M980">
        <f>IF(AND(H980="",OR(F980="No-show",F980="Late cancel")),1,0)</f>
        <v/>
      </c>
      <c r="N980">
        <f>IF(AND(H980="",F980="",D980&lt;&gt;"",I980&gt;=TODAY()),ROUND((I980+IF(ISNUMBER(C980),MOD(C980,1),0))*1440,0)*10000+ROW(),"")</f>
        <v/>
      </c>
    </row>
    <row r="981">
      <c r="A981" s="1" t="n"/>
      <c r="B981" s="17" t="n"/>
      <c r="C981" s="18" t="n"/>
      <c r="D981" s="19" t="n"/>
      <c r="E981" s="20" t="n"/>
      <c r="F981" s="20" t="n"/>
      <c r="G981" s="21" t="n"/>
      <c r="H981" s="12">
        <f>IF(AND(B981="",D981="",F981=""),"",IF(NOT(ISNUMBER(B981)),"Needs a date",IF(D981="","Needs a client",IF(COUNTIF(Clients!$B$6:$B$105,D981)=0,"Not on Clients",IF(AND(F981="",INT(B981)&lt;TODAY()),"Needs a status","")))))</f>
        <v/>
      </c>
      <c r="I981" s="1">
        <f>IF(ISNUMBER(B981),INT(B981),0)</f>
        <v/>
      </c>
      <c r="J981">
        <f>IF(ISNUMBER(B981),YEAR(B981)*100+MONTH(B981),"")</f>
        <v/>
      </c>
      <c r="K981">
        <f>IF(AND(H981="",OR(F981="Attended",F981="No-show",AND(F981="Late cancel",Settings!$C$9="Yes"))),1,0)</f>
        <v/>
      </c>
      <c r="L981">
        <f>IF(AND(H981="",F981="Attended"),1,0)</f>
        <v/>
      </c>
      <c r="M981">
        <f>IF(AND(H981="",OR(F981="No-show",F981="Late cancel")),1,0)</f>
        <v/>
      </c>
      <c r="N981">
        <f>IF(AND(H981="",F981="",D981&lt;&gt;"",I981&gt;=TODAY()),ROUND((I981+IF(ISNUMBER(C981),MOD(C981,1),0))*1440,0)*10000+ROW(),"")</f>
        <v/>
      </c>
    </row>
    <row r="982">
      <c r="A982" s="1" t="n"/>
      <c r="B982" s="17" t="n"/>
      <c r="C982" s="18" t="n"/>
      <c r="D982" s="19" t="n"/>
      <c r="E982" s="20" t="n"/>
      <c r="F982" s="20" t="n"/>
      <c r="G982" s="21" t="n"/>
      <c r="H982" s="12">
        <f>IF(AND(B982="",D982="",F982=""),"",IF(NOT(ISNUMBER(B982)),"Needs a date",IF(D982="","Needs a client",IF(COUNTIF(Clients!$B$6:$B$105,D982)=0,"Not on Clients",IF(AND(F982="",INT(B982)&lt;TODAY()),"Needs a status","")))))</f>
        <v/>
      </c>
      <c r="I982" s="1">
        <f>IF(ISNUMBER(B982),INT(B982),0)</f>
        <v/>
      </c>
      <c r="J982">
        <f>IF(ISNUMBER(B982),YEAR(B982)*100+MONTH(B982),"")</f>
        <v/>
      </c>
      <c r="K982">
        <f>IF(AND(H982="",OR(F982="Attended",F982="No-show",AND(F982="Late cancel",Settings!$C$9="Yes"))),1,0)</f>
        <v/>
      </c>
      <c r="L982">
        <f>IF(AND(H982="",F982="Attended"),1,0)</f>
        <v/>
      </c>
      <c r="M982">
        <f>IF(AND(H982="",OR(F982="No-show",F982="Late cancel")),1,0)</f>
        <v/>
      </c>
      <c r="N982">
        <f>IF(AND(H982="",F982="",D982&lt;&gt;"",I982&gt;=TODAY()),ROUND((I982+IF(ISNUMBER(C982),MOD(C982,1),0))*1440,0)*10000+ROW(),"")</f>
        <v/>
      </c>
    </row>
    <row r="983">
      <c r="A983" s="1" t="n"/>
      <c r="B983" s="17" t="n"/>
      <c r="C983" s="18" t="n"/>
      <c r="D983" s="19" t="n"/>
      <c r="E983" s="20" t="n"/>
      <c r="F983" s="20" t="n"/>
      <c r="G983" s="21" t="n"/>
      <c r="H983" s="12">
        <f>IF(AND(B983="",D983="",F983=""),"",IF(NOT(ISNUMBER(B983)),"Needs a date",IF(D983="","Needs a client",IF(COUNTIF(Clients!$B$6:$B$105,D983)=0,"Not on Clients",IF(AND(F983="",INT(B983)&lt;TODAY()),"Needs a status","")))))</f>
        <v/>
      </c>
      <c r="I983" s="1">
        <f>IF(ISNUMBER(B983),INT(B983),0)</f>
        <v/>
      </c>
      <c r="J983">
        <f>IF(ISNUMBER(B983),YEAR(B983)*100+MONTH(B983),"")</f>
        <v/>
      </c>
      <c r="K983">
        <f>IF(AND(H983="",OR(F983="Attended",F983="No-show",AND(F983="Late cancel",Settings!$C$9="Yes"))),1,0)</f>
        <v/>
      </c>
      <c r="L983">
        <f>IF(AND(H983="",F983="Attended"),1,0)</f>
        <v/>
      </c>
      <c r="M983">
        <f>IF(AND(H983="",OR(F983="No-show",F983="Late cancel")),1,0)</f>
        <v/>
      </c>
      <c r="N983">
        <f>IF(AND(H983="",F983="",D983&lt;&gt;"",I983&gt;=TODAY()),ROUND((I983+IF(ISNUMBER(C983),MOD(C983,1),0))*1440,0)*10000+ROW(),"")</f>
        <v/>
      </c>
    </row>
    <row r="984">
      <c r="A984" s="1" t="n"/>
      <c r="B984" s="17" t="n"/>
      <c r="C984" s="18" t="n"/>
      <c r="D984" s="19" t="n"/>
      <c r="E984" s="20" t="n"/>
      <c r="F984" s="20" t="n"/>
      <c r="G984" s="21" t="n"/>
      <c r="H984" s="12">
        <f>IF(AND(B984="",D984="",F984=""),"",IF(NOT(ISNUMBER(B984)),"Needs a date",IF(D984="","Needs a client",IF(COUNTIF(Clients!$B$6:$B$105,D984)=0,"Not on Clients",IF(AND(F984="",INT(B984)&lt;TODAY()),"Needs a status","")))))</f>
        <v/>
      </c>
      <c r="I984" s="1">
        <f>IF(ISNUMBER(B984),INT(B984),0)</f>
        <v/>
      </c>
      <c r="J984">
        <f>IF(ISNUMBER(B984),YEAR(B984)*100+MONTH(B984),"")</f>
        <v/>
      </c>
      <c r="K984">
        <f>IF(AND(H984="",OR(F984="Attended",F984="No-show",AND(F984="Late cancel",Settings!$C$9="Yes"))),1,0)</f>
        <v/>
      </c>
      <c r="L984">
        <f>IF(AND(H984="",F984="Attended"),1,0)</f>
        <v/>
      </c>
      <c r="M984">
        <f>IF(AND(H984="",OR(F984="No-show",F984="Late cancel")),1,0)</f>
        <v/>
      </c>
      <c r="N984">
        <f>IF(AND(H984="",F984="",D984&lt;&gt;"",I984&gt;=TODAY()),ROUND((I984+IF(ISNUMBER(C984),MOD(C984,1),0))*1440,0)*10000+ROW(),"")</f>
        <v/>
      </c>
    </row>
    <row r="985">
      <c r="A985" s="1" t="n"/>
      <c r="B985" s="17" t="n"/>
      <c r="C985" s="18" t="n"/>
      <c r="D985" s="19" t="n"/>
      <c r="E985" s="20" t="n"/>
      <c r="F985" s="20" t="n"/>
      <c r="G985" s="21" t="n"/>
      <c r="H985" s="12">
        <f>IF(AND(B985="",D985="",F985=""),"",IF(NOT(ISNUMBER(B985)),"Needs a date",IF(D985="","Needs a client",IF(COUNTIF(Clients!$B$6:$B$105,D985)=0,"Not on Clients",IF(AND(F985="",INT(B985)&lt;TODAY()),"Needs a status","")))))</f>
        <v/>
      </c>
      <c r="I985" s="1">
        <f>IF(ISNUMBER(B985),INT(B985),0)</f>
        <v/>
      </c>
      <c r="J985">
        <f>IF(ISNUMBER(B985),YEAR(B985)*100+MONTH(B985),"")</f>
        <v/>
      </c>
      <c r="K985">
        <f>IF(AND(H985="",OR(F985="Attended",F985="No-show",AND(F985="Late cancel",Settings!$C$9="Yes"))),1,0)</f>
        <v/>
      </c>
      <c r="L985">
        <f>IF(AND(H985="",F985="Attended"),1,0)</f>
        <v/>
      </c>
      <c r="M985">
        <f>IF(AND(H985="",OR(F985="No-show",F985="Late cancel")),1,0)</f>
        <v/>
      </c>
      <c r="N985">
        <f>IF(AND(H985="",F985="",D985&lt;&gt;"",I985&gt;=TODAY()),ROUND((I985+IF(ISNUMBER(C985),MOD(C985,1),0))*1440,0)*10000+ROW(),"")</f>
        <v/>
      </c>
    </row>
    <row r="986">
      <c r="A986" s="1" t="n"/>
      <c r="B986" s="17" t="n"/>
      <c r="C986" s="18" t="n"/>
      <c r="D986" s="19" t="n"/>
      <c r="E986" s="20" t="n"/>
      <c r="F986" s="20" t="n"/>
      <c r="G986" s="21" t="n"/>
      <c r="H986" s="12">
        <f>IF(AND(B986="",D986="",F986=""),"",IF(NOT(ISNUMBER(B986)),"Needs a date",IF(D986="","Needs a client",IF(COUNTIF(Clients!$B$6:$B$105,D986)=0,"Not on Clients",IF(AND(F986="",INT(B986)&lt;TODAY()),"Needs a status","")))))</f>
        <v/>
      </c>
      <c r="I986" s="1">
        <f>IF(ISNUMBER(B986),INT(B986),0)</f>
        <v/>
      </c>
      <c r="J986">
        <f>IF(ISNUMBER(B986),YEAR(B986)*100+MONTH(B986),"")</f>
        <v/>
      </c>
      <c r="K986">
        <f>IF(AND(H986="",OR(F986="Attended",F986="No-show",AND(F986="Late cancel",Settings!$C$9="Yes"))),1,0)</f>
        <v/>
      </c>
      <c r="L986">
        <f>IF(AND(H986="",F986="Attended"),1,0)</f>
        <v/>
      </c>
      <c r="M986">
        <f>IF(AND(H986="",OR(F986="No-show",F986="Late cancel")),1,0)</f>
        <v/>
      </c>
      <c r="N986">
        <f>IF(AND(H986="",F986="",D986&lt;&gt;"",I986&gt;=TODAY()),ROUND((I986+IF(ISNUMBER(C986),MOD(C986,1),0))*1440,0)*10000+ROW(),"")</f>
        <v/>
      </c>
    </row>
    <row r="987">
      <c r="A987" s="1" t="n"/>
      <c r="B987" s="17" t="n"/>
      <c r="C987" s="18" t="n"/>
      <c r="D987" s="19" t="n"/>
      <c r="E987" s="20" t="n"/>
      <c r="F987" s="20" t="n"/>
      <c r="G987" s="21" t="n"/>
      <c r="H987" s="12">
        <f>IF(AND(B987="",D987="",F987=""),"",IF(NOT(ISNUMBER(B987)),"Needs a date",IF(D987="","Needs a client",IF(COUNTIF(Clients!$B$6:$B$105,D987)=0,"Not on Clients",IF(AND(F987="",INT(B987)&lt;TODAY()),"Needs a status","")))))</f>
        <v/>
      </c>
      <c r="I987" s="1">
        <f>IF(ISNUMBER(B987),INT(B987),0)</f>
        <v/>
      </c>
      <c r="J987">
        <f>IF(ISNUMBER(B987),YEAR(B987)*100+MONTH(B987),"")</f>
        <v/>
      </c>
      <c r="K987">
        <f>IF(AND(H987="",OR(F987="Attended",F987="No-show",AND(F987="Late cancel",Settings!$C$9="Yes"))),1,0)</f>
        <v/>
      </c>
      <c r="L987">
        <f>IF(AND(H987="",F987="Attended"),1,0)</f>
        <v/>
      </c>
      <c r="M987">
        <f>IF(AND(H987="",OR(F987="No-show",F987="Late cancel")),1,0)</f>
        <v/>
      </c>
      <c r="N987">
        <f>IF(AND(H987="",F987="",D987&lt;&gt;"",I987&gt;=TODAY()),ROUND((I987+IF(ISNUMBER(C987),MOD(C987,1),0))*1440,0)*10000+ROW(),"")</f>
        <v/>
      </c>
    </row>
    <row r="988">
      <c r="A988" s="1" t="n"/>
      <c r="B988" s="17" t="n"/>
      <c r="C988" s="18" t="n"/>
      <c r="D988" s="19" t="n"/>
      <c r="E988" s="20" t="n"/>
      <c r="F988" s="20" t="n"/>
      <c r="G988" s="21" t="n"/>
      <c r="H988" s="12">
        <f>IF(AND(B988="",D988="",F988=""),"",IF(NOT(ISNUMBER(B988)),"Needs a date",IF(D988="","Needs a client",IF(COUNTIF(Clients!$B$6:$B$105,D988)=0,"Not on Clients",IF(AND(F988="",INT(B988)&lt;TODAY()),"Needs a status","")))))</f>
        <v/>
      </c>
      <c r="I988" s="1">
        <f>IF(ISNUMBER(B988),INT(B988),0)</f>
        <v/>
      </c>
      <c r="J988">
        <f>IF(ISNUMBER(B988),YEAR(B988)*100+MONTH(B988),"")</f>
        <v/>
      </c>
      <c r="K988">
        <f>IF(AND(H988="",OR(F988="Attended",F988="No-show",AND(F988="Late cancel",Settings!$C$9="Yes"))),1,0)</f>
        <v/>
      </c>
      <c r="L988">
        <f>IF(AND(H988="",F988="Attended"),1,0)</f>
        <v/>
      </c>
      <c r="M988">
        <f>IF(AND(H988="",OR(F988="No-show",F988="Late cancel")),1,0)</f>
        <v/>
      </c>
      <c r="N988">
        <f>IF(AND(H988="",F988="",D988&lt;&gt;"",I988&gt;=TODAY()),ROUND((I988+IF(ISNUMBER(C988),MOD(C988,1),0))*1440,0)*10000+ROW(),"")</f>
        <v/>
      </c>
    </row>
    <row r="989">
      <c r="A989" s="1" t="n"/>
      <c r="B989" s="17" t="n"/>
      <c r="C989" s="18" t="n"/>
      <c r="D989" s="19" t="n"/>
      <c r="E989" s="20" t="n"/>
      <c r="F989" s="20" t="n"/>
      <c r="G989" s="21" t="n"/>
      <c r="H989" s="12">
        <f>IF(AND(B989="",D989="",F989=""),"",IF(NOT(ISNUMBER(B989)),"Needs a date",IF(D989="","Needs a client",IF(COUNTIF(Clients!$B$6:$B$105,D989)=0,"Not on Clients",IF(AND(F989="",INT(B989)&lt;TODAY()),"Needs a status","")))))</f>
        <v/>
      </c>
      <c r="I989" s="1">
        <f>IF(ISNUMBER(B989),INT(B989),0)</f>
        <v/>
      </c>
      <c r="J989">
        <f>IF(ISNUMBER(B989),YEAR(B989)*100+MONTH(B989),"")</f>
        <v/>
      </c>
      <c r="K989">
        <f>IF(AND(H989="",OR(F989="Attended",F989="No-show",AND(F989="Late cancel",Settings!$C$9="Yes"))),1,0)</f>
        <v/>
      </c>
      <c r="L989">
        <f>IF(AND(H989="",F989="Attended"),1,0)</f>
        <v/>
      </c>
      <c r="M989">
        <f>IF(AND(H989="",OR(F989="No-show",F989="Late cancel")),1,0)</f>
        <v/>
      </c>
      <c r="N989">
        <f>IF(AND(H989="",F989="",D989&lt;&gt;"",I989&gt;=TODAY()),ROUND((I989+IF(ISNUMBER(C989),MOD(C989,1),0))*1440,0)*10000+ROW(),"")</f>
        <v/>
      </c>
    </row>
    <row r="990">
      <c r="A990" s="1" t="n"/>
      <c r="B990" s="17" t="n"/>
      <c r="C990" s="18" t="n"/>
      <c r="D990" s="19" t="n"/>
      <c r="E990" s="20" t="n"/>
      <c r="F990" s="20" t="n"/>
      <c r="G990" s="21" t="n"/>
      <c r="H990" s="12">
        <f>IF(AND(B990="",D990="",F990=""),"",IF(NOT(ISNUMBER(B990)),"Needs a date",IF(D990="","Needs a client",IF(COUNTIF(Clients!$B$6:$B$105,D990)=0,"Not on Clients",IF(AND(F990="",INT(B990)&lt;TODAY()),"Needs a status","")))))</f>
        <v/>
      </c>
      <c r="I990" s="1">
        <f>IF(ISNUMBER(B990),INT(B990),0)</f>
        <v/>
      </c>
      <c r="J990">
        <f>IF(ISNUMBER(B990),YEAR(B990)*100+MONTH(B990),"")</f>
        <v/>
      </c>
      <c r="K990">
        <f>IF(AND(H990="",OR(F990="Attended",F990="No-show",AND(F990="Late cancel",Settings!$C$9="Yes"))),1,0)</f>
        <v/>
      </c>
      <c r="L990">
        <f>IF(AND(H990="",F990="Attended"),1,0)</f>
        <v/>
      </c>
      <c r="M990">
        <f>IF(AND(H990="",OR(F990="No-show",F990="Late cancel")),1,0)</f>
        <v/>
      </c>
      <c r="N990">
        <f>IF(AND(H990="",F990="",D990&lt;&gt;"",I990&gt;=TODAY()),ROUND((I990+IF(ISNUMBER(C990),MOD(C990,1),0))*1440,0)*10000+ROW(),"")</f>
        <v/>
      </c>
    </row>
    <row r="991">
      <c r="A991" s="1" t="n"/>
      <c r="B991" s="17" t="n"/>
      <c r="C991" s="18" t="n"/>
      <c r="D991" s="19" t="n"/>
      <c r="E991" s="20" t="n"/>
      <c r="F991" s="20" t="n"/>
      <c r="G991" s="21" t="n"/>
      <c r="H991" s="12">
        <f>IF(AND(B991="",D991="",F991=""),"",IF(NOT(ISNUMBER(B991)),"Needs a date",IF(D991="","Needs a client",IF(COUNTIF(Clients!$B$6:$B$105,D991)=0,"Not on Clients",IF(AND(F991="",INT(B991)&lt;TODAY()),"Needs a status","")))))</f>
        <v/>
      </c>
      <c r="I991" s="1">
        <f>IF(ISNUMBER(B991),INT(B991),0)</f>
        <v/>
      </c>
      <c r="J991">
        <f>IF(ISNUMBER(B991),YEAR(B991)*100+MONTH(B991),"")</f>
        <v/>
      </c>
      <c r="K991">
        <f>IF(AND(H991="",OR(F991="Attended",F991="No-show",AND(F991="Late cancel",Settings!$C$9="Yes"))),1,0)</f>
        <v/>
      </c>
      <c r="L991">
        <f>IF(AND(H991="",F991="Attended"),1,0)</f>
        <v/>
      </c>
      <c r="M991">
        <f>IF(AND(H991="",OR(F991="No-show",F991="Late cancel")),1,0)</f>
        <v/>
      </c>
      <c r="N991">
        <f>IF(AND(H991="",F991="",D991&lt;&gt;"",I991&gt;=TODAY()),ROUND((I991+IF(ISNUMBER(C991),MOD(C991,1),0))*1440,0)*10000+ROW(),"")</f>
        <v/>
      </c>
    </row>
    <row r="992">
      <c r="A992" s="1" t="n"/>
      <c r="B992" s="17" t="n"/>
      <c r="C992" s="18" t="n"/>
      <c r="D992" s="19" t="n"/>
      <c r="E992" s="20" t="n"/>
      <c r="F992" s="20" t="n"/>
      <c r="G992" s="21" t="n"/>
      <c r="H992" s="12">
        <f>IF(AND(B992="",D992="",F992=""),"",IF(NOT(ISNUMBER(B992)),"Needs a date",IF(D992="","Needs a client",IF(COUNTIF(Clients!$B$6:$B$105,D992)=0,"Not on Clients",IF(AND(F992="",INT(B992)&lt;TODAY()),"Needs a status","")))))</f>
        <v/>
      </c>
      <c r="I992" s="1">
        <f>IF(ISNUMBER(B992),INT(B992),0)</f>
        <v/>
      </c>
      <c r="J992">
        <f>IF(ISNUMBER(B992),YEAR(B992)*100+MONTH(B992),"")</f>
        <v/>
      </c>
      <c r="K992">
        <f>IF(AND(H992="",OR(F992="Attended",F992="No-show",AND(F992="Late cancel",Settings!$C$9="Yes"))),1,0)</f>
        <v/>
      </c>
      <c r="L992">
        <f>IF(AND(H992="",F992="Attended"),1,0)</f>
        <v/>
      </c>
      <c r="M992">
        <f>IF(AND(H992="",OR(F992="No-show",F992="Late cancel")),1,0)</f>
        <v/>
      </c>
      <c r="N992">
        <f>IF(AND(H992="",F992="",D992&lt;&gt;"",I992&gt;=TODAY()),ROUND((I992+IF(ISNUMBER(C992),MOD(C992,1),0))*1440,0)*10000+ROW(),"")</f>
        <v/>
      </c>
    </row>
    <row r="993">
      <c r="A993" s="1" t="n"/>
      <c r="B993" s="17" t="n"/>
      <c r="C993" s="18" t="n"/>
      <c r="D993" s="19" t="n"/>
      <c r="E993" s="20" t="n"/>
      <c r="F993" s="20" t="n"/>
      <c r="G993" s="21" t="n"/>
      <c r="H993" s="12">
        <f>IF(AND(B993="",D993="",F993=""),"",IF(NOT(ISNUMBER(B993)),"Needs a date",IF(D993="","Needs a client",IF(COUNTIF(Clients!$B$6:$B$105,D993)=0,"Not on Clients",IF(AND(F993="",INT(B993)&lt;TODAY()),"Needs a status","")))))</f>
        <v/>
      </c>
      <c r="I993" s="1">
        <f>IF(ISNUMBER(B993),INT(B993),0)</f>
        <v/>
      </c>
      <c r="J993">
        <f>IF(ISNUMBER(B993),YEAR(B993)*100+MONTH(B993),"")</f>
        <v/>
      </c>
      <c r="K993">
        <f>IF(AND(H993="",OR(F993="Attended",F993="No-show",AND(F993="Late cancel",Settings!$C$9="Yes"))),1,0)</f>
        <v/>
      </c>
      <c r="L993">
        <f>IF(AND(H993="",F993="Attended"),1,0)</f>
        <v/>
      </c>
      <c r="M993">
        <f>IF(AND(H993="",OR(F993="No-show",F993="Late cancel")),1,0)</f>
        <v/>
      </c>
      <c r="N993">
        <f>IF(AND(H993="",F993="",D993&lt;&gt;"",I993&gt;=TODAY()),ROUND((I993+IF(ISNUMBER(C993),MOD(C993,1),0))*1440,0)*10000+ROW(),"")</f>
        <v/>
      </c>
    </row>
    <row r="994">
      <c r="A994" s="1" t="n"/>
      <c r="B994" s="17" t="n"/>
      <c r="C994" s="18" t="n"/>
      <c r="D994" s="19" t="n"/>
      <c r="E994" s="20" t="n"/>
      <c r="F994" s="20" t="n"/>
      <c r="G994" s="21" t="n"/>
      <c r="H994" s="12">
        <f>IF(AND(B994="",D994="",F994=""),"",IF(NOT(ISNUMBER(B994)),"Needs a date",IF(D994="","Needs a client",IF(COUNTIF(Clients!$B$6:$B$105,D994)=0,"Not on Clients",IF(AND(F994="",INT(B994)&lt;TODAY()),"Needs a status","")))))</f>
        <v/>
      </c>
      <c r="I994" s="1">
        <f>IF(ISNUMBER(B994),INT(B994),0)</f>
        <v/>
      </c>
      <c r="J994">
        <f>IF(ISNUMBER(B994),YEAR(B994)*100+MONTH(B994),"")</f>
        <v/>
      </c>
      <c r="K994">
        <f>IF(AND(H994="",OR(F994="Attended",F994="No-show",AND(F994="Late cancel",Settings!$C$9="Yes"))),1,0)</f>
        <v/>
      </c>
      <c r="L994">
        <f>IF(AND(H994="",F994="Attended"),1,0)</f>
        <v/>
      </c>
      <c r="M994">
        <f>IF(AND(H994="",OR(F994="No-show",F994="Late cancel")),1,0)</f>
        <v/>
      </c>
      <c r="N994">
        <f>IF(AND(H994="",F994="",D994&lt;&gt;"",I994&gt;=TODAY()),ROUND((I994+IF(ISNUMBER(C994),MOD(C994,1),0))*1440,0)*10000+ROW(),"")</f>
        <v/>
      </c>
    </row>
    <row r="995">
      <c r="A995" s="1" t="n"/>
      <c r="B995" s="17" t="n"/>
      <c r="C995" s="18" t="n"/>
      <c r="D995" s="19" t="n"/>
      <c r="E995" s="20" t="n"/>
      <c r="F995" s="20" t="n"/>
      <c r="G995" s="21" t="n"/>
      <c r="H995" s="12">
        <f>IF(AND(B995="",D995="",F995=""),"",IF(NOT(ISNUMBER(B995)),"Needs a date",IF(D995="","Needs a client",IF(COUNTIF(Clients!$B$6:$B$105,D995)=0,"Not on Clients",IF(AND(F995="",INT(B995)&lt;TODAY()),"Needs a status","")))))</f>
        <v/>
      </c>
      <c r="I995" s="1">
        <f>IF(ISNUMBER(B995),INT(B995),0)</f>
        <v/>
      </c>
      <c r="J995">
        <f>IF(ISNUMBER(B995),YEAR(B995)*100+MONTH(B995),"")</f>
        <v/>
      </c>
      <c r="K995">
        <f>IF(AND(H995="",OR(F995="Attended",F995="No-show",AND(F995="Late cancel",Settings!$C$9="Yes"))),1,0)</f>
        <v/>
      </c>
      <c r="L995">
        <f>IF(AND(H995="",F995="Attended"),1,0)</f>
        <v/>
      </c>
      <c r="M995">
        <f>IF(AND(H995="",OR(F995="No-show",F995="Late cancel")),1,0)</f>
        <v/>
      </c>
      <c r="N995">
        <f>IF(AND(H995="",F995="",D995&lt;&gt;"",I995&gt;=TODAY()),ROUND((I995+IF(ISNUMBER(C995),MOD(C995,1),0))*1440,0)*10000+ROW(),"")</f>
        <v/>
      </c>
    </row>
    <row r="996">
      <c r="A996" s="1" t="n"/>
      <c r="B996" s="17" t="n"/>
      <c r="C996" s="18" t="n"/>
      <c r="D996" s="19" t="n"/>
      <c r="E996" s="20" t="n"/>
      <c r="F996" s="20" t="n"/>
      <c r="G996" s="21" t="n"/>
      <c r="H996" s="12">
        <f>IF(AND(B996="",D996="",F996=""),"",IF(NOT(ISNUMBER(B996)),"Needs a date",IF(D996="","Needs a client",IF(COUNTIF(Clients!$B$6:$B$105,D996)=0,"Not on Clients",IF(AND(F996="",INT(B996)&lt;TODAY()),"Needs a status","")))))</f>
        <v/>
      </c>
      <c r="I996" s="1">
        <f>IF(ISNUMBER(B996),INT(B996),0)</f>
        <v/>
      </c>
      <c r="J996">
        <f>IF(ISNUMBER(B996),YEAR(B996)*100+MONTH(B996),"")</f>
        <v/>
      </c>
      <c r="K996">
        <f>IF(AND(H996="",OR(F996="Attended",F996="No-show",AND(F996="Late cancel",Settings!$C$9="Yes"))),1,0)</f>
        <v/>
      </c>
      <c r="L996">
        <f>IF(AND(H996="",F996="Attended"),1,0)</f>
        <v/>
      </c>
      <c r="M996">
        <f>IF(AND(H996="",OR(F996="No-show",F996="Late cancel")),1,0)</f>
        <v/>
      </c>
      <c r="N996">
        <f>IF(AND(H996="",F996="",D996&lt;&gt;"",I996&gt;=TODAY()),ROUND((I996+IF(ISNUMBER(C996),MOD(C996,1),0))*1440,0)*10000+ROW(),"")</f>
        <v/>
      </c>
    </row>
    <row r="997">
      <c r="A997" s="1" t="n"/>
      <c r="B997" s="17" t="n"/>
      <c r="C997" s="18" t="n"/>
      <c r="D997" s="19" t="n"/>
      <c r="E997" s="20" t="n"/>
      <c r="F997" s="20" t="n"/>
      <c r="G997" s="21" t="n"/>
      <c r="H997" s="12">
        <f>IF(AND(B997="",D997="",F997=""),"",IF(NOT(ISNUMBER(B997)),"Needs a date",IF(D997="","Needs a client",IF(COUNTIF(Clients!$B$6:$B$105,D997)=0,"Not on Clients",IF(AND(F997="",INT(B997)&lt;TODAY()),"Needs a status","")))))</f>
        <v/>
      </c>
      <c r="I997" s="1">
        <f>IF(ISNUMBER(B997),INT(B997),0)</f>
        <v/>
      </c>
      <c r="J997">
        <f>IF(ISNUMBER(B997),YEAR(B997)*100+MONTH(B997),"")</f>
        <v/>
      </c>
      <c r="K997">
        <f>IF(AND(H997="",OR(F997="Attended",F997="No-show",AND(F997="Late cancel",Settings!$C$9="Yes"))),1,0)</f>
        <v/>
      </c>
      <c r="L997">
        <f>IF(AND(H997="",F997="Attended"),1,0)</f>
        <v/>
      </c>
      <c r="M997">
        <f>IF(AND(H997="",OR(F997="No-show",F997="Late cancel")),1,0)</f>
        <v/>
      </c>
      <c r="N997">
        <f>IF(AND(H997="",F997="",D997&lt;&gt;"",I997&gt;=TODAY()),ROUND((I997+IF(ISNUMBER(C997),MOD(C997,1),0))*1440,0)*10000+ROW(),"")</f>
        <v/>
      </c>
    </row>
    <row r="998">
      <c r="A998" s="1" t="n"/>
      <c r="B998" s="17" t="n"/>
      <c r="C998" s="18" t="n"/>
      <c r="D998" s="19" t="n"/>
      <c r="E998" s="20" t="n"/>
      <c r="F998" s="20" t="n"/>
      <c r="G998" s="21" t="n"/>
      <c r="H998" s="12">
        <f>IF(AND(B998="",D998="",F998=""),"",IF(NOT(ISNUMBER(B998)),"Needs a date",IF(D998="","Needs a client",IF(COUNTIF(Clients!$B$6:$B$105,D998)=0,"Not on Clients",IF(AND(F998="",INT(B998)&lt;TODAY()),"Needs a status","")))))</f>
        <v/>
      </c>
      <c r="I998" s="1">
        <f>IF(ISNUMBER(B998),INT(B998),0)</f>
        <v/>
      </c>
      <c r="J998">
        <f>IF(ISNUMBER(B998),YEAR(B998)*100+MONTH(B998),"")</f>
        <v/>
      </c>
      <c r="K998">
        <f>IF(AND(H998="",OR(F998="Attended",F998="No-show",AND(F998="Late cancel",Settings!$C$9="Yes"))),1,0)</f>
        <v/>
      </c>
      <c r="L998">
        <f>IF(AND(H998="",F998="Attended"),1,0)</f>
        <v/>
      </c>
      <c r="M998">
        <f>IF(AND(H998="",OR(F998="No-show",F998="Late cancel")),1,0)</f>
        <v/>
      </c>
      <c r="N998">
        <f>IF(AND(H998="",F998="",D998&lt;&gt;"",I998&gt;=TODAY()),ROUND((I998+IF(ISNUMBER(C998),MOD(C998,1),0))*1440,0)*10000+ROW(),"")</f>
        <v/>
      </c>
    </row>
    <row r="999">
      <c r="A999" s="1" t="n"/>
      <c r="B999" s="17" t="n"/>
      <c r="C999" s="18" t="n"/>
      <c r="D999" s="19" t="n"/>
      <c r="E999" s="20" t="n"/>
      <c r="F999" s="20" t="n"/>
      <c r="G999" s="21" t="n"/>
      <c r="H999" s="12">
        <f>IF(AND(B999="",D999="",F999=""),"",IF(NOT(ISNUMBER(B999)),"Needs a date",IF(D999="","Needs a client",IF(COUNTIF(Clients!$B$6:$B$105,D999)=0,"Not on Clients",IF(AND(F999="",INT(B999)&lt;TODAY()),"Needs a status","")))))</f>
        <v/>
      </c>
      <c r="I999" s="1">
        <f>IF(ISNUMBER(B999),INT(B999),0)</f>
        <v/>
      </c>
      <c r="J999">
        <f>IF(ISNUMBER(B999),YEAR(B999)*100+MONTH(B999),"")</f>
        <v/>
      </c>
      <c r="K999">
        <f>IF(AND(H999="",OR(F999="Attended",F999="No-show",AND(F999="Late cancel",Settings!$C$9="Yes"))),1,0)</f>
        <v/>
      </c>
      <c r="L999">
        <f>IF(AND(H999="",F999="Attended"),1,0)</f>
        <v/>
      </c>
      <c r="M999">
        <f>IF(AND(H999="",OR(F999="No-show",F999="Late cancel")),1,0)</f>
        <v/>
      </c>
      <c r="N999">
        <f>IF(AND(H999="",F999="",D999&lt;&gt;"",I999&gt;=TODAY()),ROUND((I999+IF(ISNUMBER(C999),MOD(C999,1),0))*1440,0)*10000+ROW(),"")</f>
        <v/>
      </c>
    </row>
    <row r="1000">
      <c r="A1000" s="1" t="n"/>
      <c r="B1000" s="17" t="n"/>
      <c r="C1000" s="18" t="n"/>
      <c r="D1000" s="19" t="n"/>
      <c r="E1000" s="20" t="n"/>
      <c r="F1000" s="20" t="n"/>
      <c r="G1000" s="21" t="n"/>
      <c r="H1000" s="12">
        <f>IF(AND(B1000="",D1000="",F1000=""),"",IF(NOT(ISNUMBER(B1000)),"Needs a date",IF(D1000="","Needs a client",IF(COUNTIF(Clients!$B$6:$B$105,D1000)=0,"Not on Clients",IF(AND(F1000="",INT(B1000)&lt;TODAY()),"Needs a status","")))))</f>
        <v/>
      </c>
      <c r="I1000" s="1">
        <f>IF(ISNUMBER(B1000),INT(B1000),0)</f>
        <v/>
      </c>
      <c r="J1000">
        <f>IF(ISNUMBER(B1000),YEAR(B1000)*100+MONTH(B1000),"")</f>
        <v/>
      </c>
      <c r="K1000">
        <f>IF(AND(H1000="",OR(F1000="Attended",F1000="No-show",AND(F1000="Late cancel",Settings!$C$9="Yes"))),1,0)</f>
        <v/>
      </c>
      <c r="L1000">
        <f>IF(AND(H1000="",F1000="Attended"),1,0)</f>
        <v/>
      </c>
      <c r="M1000">
        <f>IF(AND(H1000="",OR(F1000="No-show",F1000="Late cancel")),1,0)</f>
        <v/>
      </c>
      <c r="N1000">
        <f>IF(AND(H1000="",F1000="",D1000&lt;&gt;"",I1000&gt;=TODAY()),ROUND((I1000+IF(ISNUMBER(C1000),MOD(C1000,1),0))*1440,0)*10000+ROW(),"")</f>
        <v/>
      </c>
    </row>
    <row r="1001">
      <c r="A1001" s="1" t="n"/>
      <c r="B1001" s="17" t="n"/>
      <c r="C1001" s="18" t="n"/>
      <c r="D1001" s="19" t="n"/>
      <c r="E1001" s="20" t="n"/>
      <c r="F1001" s="20" t="n"/>
      <c r="G1001" s="21" t="n"/>
      <c r="H1001" s="12">
        <f>IF(AND(B1001="",D1001="",F1001=""),"",IF(NOT(ISNUMBER(B1001)),"Needs a date",IF(D1001="","Needs a client",IF(COUNTIF(Clients!$B$6:$B$105,D1001)=0,"Not on Clients",IF(AND(F1001="",INT(B1001)&lt;TODAY()),"Needs a status","")))))</f>
        <v/>
      </c>
      <c r="I1001" s="1">
        <f>IF(ISNUMBER(B1001),INT(B1001),0)</f>
        <v/>
      </c>
      <c r="J1001">
        <f>IF(ISNUMBER(B1001),YEAR(B1001)*100+MONTH(B1001),"")</f>
        <v/>
      </c>
      <c r="K1001">
        <f>IF(AND(H1001="",OR(F1001="Attended",F1001="No-show",AND(F1001="Late cancel",Settings!$C$9="Yes"))),1,0)</f>
        <v/>
      </c>
      <c r="L1001">
        <f>IF(AND(H1001="",F1001="Attended"),1,0)</f>
        <v/>
      </c>
      <c r="M1001">
        <f>IF(AND(H1001="",OR(F1001="No-show",F1001="Late cancel")),1,0)</f>
        <v/>
      </c>
      <c r="N1001">
        <f>IF(AND(H1001="",F1001="",D1001&lt;&gt;"",I1001&gt;=TODAY()),ROUND((I1001+IF(ISNUMBER(C1001),MOD(C1001,1),0))*1440,0)*10000+ROW(),"")</f>
        <v/>
      </c>
    </row>
    <row r="1002">
      <c r="A1002" s="1" t="n"/>
      <c r="B1002" s="17" t="n"/>
      <c r="C1002" s="18" t="n"/>
      <c r="D1002" s="19" t="n"/>
      <c r="E1002" s="20" t="n"/>
      <c r="F1002" s="20" t="n"/>
      <c r="G1002" s="21" t="n"/>
      <c r="H1002" s="12">
        <f>IF(AND(B1002="",D1002="",F1002=""),"",IF(NOT(ISNUMBER(B1002)),"Needs a date",IF(D1002="","Needs a client",IF(COUNTIF(Clients!$B$6:$B$105,D1002)=0,"Not on Clients",IF(AND(F1002="",INT(B1002)&lt;TODAY()),"Needs a status","")))))</f>
        <v/>
      </c>
      <c r="I1002" s="1">
        <f>IF(ISNUMBER(B1002),INT(B1002),0)</f>
        <v/>
      </c>
      <c r="J1002">
        <f>IF(ISNUMBER(B1002),YEAR(B1002)*100+MONTH(B1002),"")</f>
        <v/>
      </c>
      <c r="K1002">
        <f>IF(AND(H1002="",OR(F1002="Attended",F1002="No-show",AND(F1002="Late cancel",Settings!$C$9="Yes"))),1,0)</f>
        <v/>
      </c>
      <c r="L1002">
        <f>IF(AND(H1002="",F1002="Attended"),1,0)</f>
        <v/>
      </c>
      <c r="M1002">
        <f>IF(AND(H1002="",OR(F1002="No-show",F1002="Late cancel")),1,0)</f>
        <v/>
      </c>
      <c r="N1002">
        <f>IF(AND(H1002="",F1002="",D1002&lt;&gt;"",I1002&gt;=TODAY()),ROUND((I1002+IF(ISNUMBER(C1002),MOD(C1002,1),0))*1440,0)*10000+ROW(),"")</f>
        <v/>
      </c>
    </row>
    <row r="1003">
      <c r="A1003" s="1" t="n"/>
      <c r="B1003" s="17" t="n"/>
      <c r="C1003" s="18" t="n"/>
      <c r="D1003" s="19" t="n"/>
      <c r="E1003" s="20" t="n"/>
      <c r="F1003" s="20" t="n"/>
      <c r="G1003" s="21" t="n"/>
      <c r="H1003" s="12">
        <f>IF(AND(B1003="",D1003="",F1003=""),"",IF(NOT(ISNUMBER(B1003)),"Needs a date",IF(D1003="","Needs a client",IF(COUNTIF(Clients!$B$6:$B$105,D1003)=0,"Not on Clients",IF(AND(F1003="",INT(B1003)&lt;TODAY()),"Needs a status","")))))</f>
        <v/>
      </c>
      <c r="I1003" s="1">
        <f>IF(ISNUMBER(B1003),INT(B1003),0)</f>
        <v/>
      </c>
      <c r="J1003">
        <f>IF(ISNUMBER(B1003),YEAR(B1003)*100+MONTH(B1003),"")</f>
        <v/>
      </c>
      <c r="K1003">
        <f>IF(AND(H1003="",OR(F1003="Attended",F1003="No-show",AND(F1003="Late cancel",Settings!$C$9="Yes"))),1,0)</f>
        <v/>
      </c>
      <c r="L1003">
        <f>IF(AND(H1003="",F1003="Attended"),1,0)</f>
        <v/>
      </c>
      <c r="M1003">
        <f>IF(AND(H1003="",OR(F1003="No-show",F1003="Late cancel")),1,0)</f>
        <v/>
      </c>
      <c r="N1003">
        <f>IF(AND(H1003="",F1003="",D1003&lt;&gt;"",I1003&gt;=TODAY()),ROUND((I1003+IF(ISNUMBER(C1003),MOD(C1003,1),0))*1440,0)*10000+ROW(),"")</f>
        <v/>
      </c>
    </row>
    <row r="1004">
      <c r="A1004" s="1" t="n"/>
      <c r="B1004" s="17" t="n"/>
      <c r="C1004" s="18" t="n"/>
      <c r="D1004" s="19" t="n"/>
      <c r="E1004" s="20" t="n"/>
      <c r="F1004" s="20" t="n"/>
      <c r="G1004" s="21" t="n"/>
      <c r="H1004" s="12">
        <f>IF(AND(B1004="",D1004="",F1004=""),"",IF(NOT(ISNUMBER(B1004)),"Needs a date",IF(D1004="","Needs a client",IF(COUNTIF(Clients!$B$6:$B$105,D1004)=0,"Not on Clients",IF(AND(F1004="",INT(B1004)&lt;TODAY()),"Needs a status","")))))</f>
        <v/>
      </c>
      <c r="I1004" s="1">
        <f>IF(ISNUMBER(B1004),INT(B1004),0)</f>
        <v/>
      </c>
      <c r="J1004">
        <f>IF(ISNUMBER(B1004),YEAR(B1004)*100+MONTH(B1004),"")</f>
        <v/>
      </c>
      <c r="K1004">
        <f>IF(AND(H1004="",OR(F1004="Attended",F1004="No-show",AND(F1004="Late cancel",Settings!$C$9="Yes"))),1,0)</f>
        <v/>
      </c>
      <c r="L1004">
        <f>IF(AND(H1004="",F1004="Attended"),1,0)</f>
        <v/>
      </c>
      <c r="M1004">
        <f>IF(AND(H1004="",OR(F1004="No-show",F1004="Late cancel")),1,0)</f>
        <v/>
      </c>
      <c r="N1004">
        <f>IF(AND(H1004="",F1004="",D1004&lt;&gt;"",I1004&gt;=TODAY()),ROUND((I1004+IF(ISNUMBER(C1004),MOD(C1004,1),0))*1440,0)*10000+ROW(),"")</f>
        <v/>
      </c>
    </row>
    <row r="1005">
      <c r="A1005" s="1" t="n"/>
      <c r="B1005" s="17" t="n"/>
      <c r="C1005" s="18" t="n"/>
      <c r="D1005" s="19" t="n"/>
      <c r="E1005" s="20" t="n"/>
      <c r="F1005" s="20" t="n"/>
      <c r="G1005" s="21" t="n"/>
      <c r="H1005" s="12">
        <f>IF(AND(B1005="",D1005="",F1005=""),"",IF(NOT(ISNUMBER(B1005)),"Needs a date",IF(D1005="","Needs a client",IF(COUNTIF(Clients!$B$6:$B$105,D1005)=0,"Not on Clients",IF(AND(F1005="",INT(B1005)&lt;TODAY()),"Needs a status","")))))</f>
        <v/>
      </c>
      <c r="I1005" s="1">
        <f>IF(ISNUMBER(B1005),INT(B1005),0)</f>
        <v/>
      </c>
      <c r="J1005">
        <f>IF(ISNUMBER(B1005),YEAR(B1005)*100+MONTH(B1005),"")</f>
        <v/>
      </c>
      <c r="K1005">
        <f>IF(AND(H1005="",OR(F1005="Attended",F1005="No-show",AND(F1005="Late cancel",Settings!$C$9="Yes"))),1,0)</f>
        <v/>
      </c>
      <c r="L1005">
        <f>IF(AND(H1005="",F1005="Attended"),1,0)</f>
        <v/>
      </c>
      <c r="M1005">
        <f>IF(AND(H1005="",OR(F1005="No-show",F1005="Late cancel")),1,0)</f>
        <v/>
      </c>
      <c r="N1005">
        <f>IF(AND(H1005="",F1005="",D1005&lt;&gt;"",I1005&gt;=TODAY()),ROUND((I1005+IF(ISNUMBER(C1005),MOD(C1005,1),0))*1440,0)*10000+ROW(),"")</f>
        <v/>
      </c>
    </row>
    <row r="1006">
      <c r="A1006" s="1" t="n"/>
      <c r="B1006" s="17" t="n"/>
      <c r="C1006" s="18" t="n"/>
      <c r="D1006" s="19" t="n"/>
      <c r="E1006" s="20" t="n"/>
      <c r="F1006" s="20" t="n"/>
      <c r="G1006" s="21" t="n"/>
      <c r="H1006" s="12">
        <f>IF(AND(B1006="",D1006="",F1006=""),"",IF(NOT(ISNUMBER(B1006)),"Needs a date",IF(D1006="","Needs a client",IF(COUNTIF(Clients!$B$6:$B$105,D1006)=0,"Not on Clients",IF(AND(F1006="",INT(B1006)&lt;TODAY()),"Needs a status","")))))</f>
        <v/>
      </c>
      <c r="I1006" s="1">
        <f>IF(ISNUMBER(B1006),INT(B1006),0)</f>
        <v/>
      </c>
      <c r="J1006">
        <f>IF(ISNUMBER(B1006),YEAR(B1006)*100+MONTH(B1006),"")</f>
        <v/>
      </c>
      <c r="K1006">
        <f>IF(AND(H1006="",OR(F1006="Attended",F1006="No-show",AND(F1006="Late cancel",Settings!$C$9="Yes"))),1,0)</f>
        <v/>
      </c>
      <c r="L1006">
        <f>IF(AND(H1006="",F1006="Attended"),1,0)</f>
        <v/>
      </c>
      <c r="M1006">
        <f>IF(AND(H1006="",OR(F1006="No-show",F1006="Late cancel")),1,0)</f>
        <v/>
      </c>
      <c r="N1006">
        <f>IF(AND(H1006="",F1006="",D1006&lt;&gt;"",I1006&gt;=TODAY()),ROUND((I1006+IF(ISNUMBER(C1006),MOD(C1006,1),0))*1440,0)*10000+ROW(),"")</f>
        <v/>
      </c>
    </row>
    <row r="1007">
      <c r="A1007" s="1" t="n"/>
      <c r="B1007" s="17" t="n"/>
      <c r="C1007" s="18" t="n"/>
      <c r="D1007" s="19" t="n"/>
      <c r="E1007" s="20" t="n"/>
      <c r="F1007" s="20" t="n"/>
      <c r="G1007" s="21" t="n"/>
      <c r="H1007" s="12">
        <f>IF(AND(B1007="",D1007="",F1007=""),"",IF(NOT(ISNUMBER(B1007)),"Needs a date",IF(D1007="","Needs a client",IF(COUNTIF(Clients!$B$6:$B$105,D1007)=0,"Not on Clients",IF(AND(F1007="",INT(B1007)&lt;TODAY()),"Needs a status","")))))</f>
        <v/>
      </c>
      <c r="I1007" s="1">
        <f>IF(ISNUMBER(B1007),INT(B1007),0)</f>
        <v/>
      </c>
      <c r="J1007">
        <f>IF(ISNUMBER(B1007),YEAR(B1007)*100+MONTH(B1007),"")</f>
        <v/>
      </c>
      <c r="K1007">
        <f>IF(AND(H1007="",OR(F1007="Attended",F1007="No-show",AND(F1007="Late cancel",Settings!$C$9="Yes"))),1,0)</f>
        <v/>
      </c>
      <c r="L1007">
        <f>IF(AND(H1007="",F1007="Attended"),1,0)</f>
        <v/>
      </c>
      <c r="M1007">
        <f>IF(AND(H1007="",OR(F1007="No-show",F1007="Late cancel")),1,0)</f>
        <v/>
      </c>
      <c r="N1007">
        <f>IF(AND(H1007="",F1007="",D1007&lt;&gt;"",I1007&gt;=TODAY()),ROUND((I1007+IF(ISNUMBER(C1007),MOD(C1007,1),0))*1440,0)*10000+ROW(),"")</f>
        <v/>
      </c>
    </row>
    <row r="1008">
      <c r="A1008" s="1" t="n"/>
      <c r="B1008" s="17" t="n"/>
      <c r="C1008" s="18" t="n"/>
      <c r="D1008" s="19" t="n"/>
      <c r="E1008" s="20" t="n"/>
      <c r="F1008" s="20" t="n"/>
      <c r="G1008" s="21" t="n"/>
      <c r="H1008" s="12">
        <f>IF(AND(B1008="",D1008="",F1008=""),"",IF(NOT(ISNUMBER(B1008)),"Needs a date",IF(D1008="","Needs a client",IF(COUNTIF(Clients!$B$6:$B$105,D1008)=0,"Not on Clients",IF(AND(F1008="",INT(B1008)&lt;TODAY()),"Needs a status","")))))</f>
        <v/>
      </c>
      <c r="I1008" s="1">
        <f>IF(ISNUMBER(B1008),INT(B1008),0)</f>
        <v/>
      </c>
      <c r="J1008">
        <f>IF(ISNUMBER(B1008),YEAR(B1008)*100+MONTH(B1008),"")</f>
        <v/>
      </c>
      <c r="K1008">
        <f>IF(AND(H1008="",OR(F1008="Attended",F1008="No-show",AND(F1008="Late cancel",Settings!$C$9="Yes"))),1,0)</f>
        <v/>
      </c>
      <c r="L1008">
        <f>IF(AND(H1008="",F1008="Attended"),1,0)</f>
        <v/>
      </c>
      <c r="M1008">
        <f>IF(AND(H1008="",OR(F1008="No-show",F1008="Late cancel")),1,0)</f>
        <v/>
      </c>
      <c r="N1008">
        <f>IF(AND(H1008="",F1008="",D1008&lt;&gt;"",I1008&gt;=TODAY()),ROUND((I1008+IF(ISNUMBER(C1008),MOD(C1008,1),0))*1440,0)*10000+ROW(),"")</f>
        <v/>
      </c>
    </row>
    <row r="1009">
      <c r="A1009" s="1" t="n"/>
      <c r="B1009" s="17" t="n"/>
      <c r="C1009" s="18" t="n"/>
      <c r="D1009" s="19" t="n"/>
      <c r="E1009" s="20" t="n"/>
      <c r="F1009" s="20" t="n"/>
      <c r="G1009" s="21" t="n"/>
      <c r="H1009" s="12">
        <f>IF(AND(B1009="",D1009="",F1009=""),"",IF(NOT(ISNUMBER(B1009)),"Needs a date",IF(D1009="","Needs a client",IF(COUNTIF(Clients!$B$6:$B$105,D1009)=0,"Not on Clients",IF(AND(F1009="",INT(B1009)&lt;TODAY()),"Needs a status","")))))</f>
        <v/>
      </c>
      <c r="I1009" s="1">
        <f>IF(ISNUMBER(B1009),INT(B1009),0)</f>
        <v/>
      </c>
      <c r="J1009">
        <f>IF(ISNUMBER(B1009),YEAR(B1009)*100+MONTH(B1009),"")</f>
        <v/>
      </c>
      <c r="K1009">
        <f>IF(AND(H1009="",OR(F1009="Attended",F1009="No-show",AND(F1009="Late cancel",Settings!$C$9="Yes"))),1,0)</f>
        <v/>
      </c>
      <c r="L1009">
        <f>IF(AND(H1009="",F1009="Attended"),1,0)</f>
        <v/>
      </c>
      <c r="M1009">
        <f>IF(AND(H1009="",OR(F1009="No-show",F1009="Late cancel")),1,0)</f>
        <v/>
      </c>
      <c r="N1009">
        <f>IF(AND(H1009="",F1009="",D1009&lt;&gt;"",I1009&gt;=TODAY()),ROUND((I1009+IF(ISNUMBER(C1009),MOD(C1009,1),0))*1440,0)*10000+ROW(),"")</f>
        <v/>
      </c>
    </row>
    <row r="1010">
      <c r="A1010" s="1" t="n"/>
      <c r="B1010" s="17" t="n"/>
      <c r="C1010" s="18" t="n"/>
      <c r="D1010" s="19" t="n"/>
      <c r="E1010" s="20" t="n"/>
      <c r="F1010" s="20" t="n"/>
      <c r="G1010" s="21" t="n"/>
      <c r="H1010" s="12">
        <f>IF(AND(B1010="",D1010="",F1010=""),"",IF(NOT(ISNUMBER(B1010)),"Needs a date",IF(D1010="","Needs a client",IF(COUNTIF(Clients!$B$6:$B$105,D1010)=0,"Not on Clients",IF(AND(F1010="",INT(B1010)&lt;TODAY()),"Needs a status","")))))</f>
        <v/>
      </c>
      <c r="I1010" s="1">
        <f>IF(ISNUMBER(B1010),INT(B1010),0)</f>
        <v/>
      </c>
      <c r="J1010">
        <f>IF(ISNUMBER(B1010),YEAR(B1010)*100+MONTH(B1010),"")</f>
        <v/>
      </c>
      <c r="K1010">
        <f>IF(AND(H1010="",OR(F1010="Attended",F1010="No-show",AND(F1010="Late cancel",Settings!$C$9="Yes"))),1,0)</f>
        <v/>
      </c>
      <c r="L1010">
        <f>IF(AND(H1010="",F1010="Attended"),1,0)</f>
        <v/>
      </c>
      <c r="M1010">
        <f>IF(AND(H1010="",OR(F1010="No-show",F1010="Late cancel")),1,0)</f>
        <v/>
      </c>
      <c r="N1010">
        <f>IF(AND(H1010="",F1010="",D1010&lt;&gt;"",I1010&gt;=TODAY()),ROUND((I1010+IF(ISNUMBER(C1010),MOD(C1010,1),0))*1440,0)*10000+ROW(),"")</f>
        <v/>
      </c>
    </row>
    <row r="1011">
      <c r="A1011" s="1" t="n"/>
      <c r="B1011" s="17" t="n"/>
      <c r="C1011" s="18" t="n"/>
      <c r="D1011" s="19" t="n"/>
      <c r="E1011" s="20" t="n"/>
      <c r="F1011" s="20" t="n"/>
      <c r="G1011" s="21" t="n"/>
      <c r="H1011" s="12">
        <f>IF(AND(B1011="",D1011="",F1011=""),"",IF(NOT(ISNUMBER(B1011)),"Needs a date",IF(D1011="","Needs a client",IF(COUNTIF(Clients!$B$6:$B$105,D1011)=0,"Not on Clients",IF(AND(F1011="",INT(B1011)&lt;TODAY()),"Needs a status","")))))</f>
        <v/>
      </c>
      <c r="I1011" s="1">
        <f>IF(ISNUMBER(B1011),INT(B1011),0)</f>
        <v/>
      </c>
      <c r="J1011">
        <f>IF(ISNUMBER(B1011),YEAR(B1011)*100+MONTH(B1011),"")</f>
        <v/>
      </c>
      <c r="K1011">
        <f>IF(AND(H1011="",OR(F1011="Attended",F1011="No-show",AND(F1011="Late cancel",Settings!$C$9="Yes"))),1,0)</f>
        <v/>
      </c>
      <c r="L1011">
        <f>IF(AND(H1011="",F1011="Attended"),1,0)</f>
        <v/>
      </c>
      <c r="M1011">
        <f>IF(AND(H1011="",OR(F1011="No-show",F1011="Late cancel")),1,0)</f>
        <v/>
      </c>
      <c r="N1011">
        <f>IF(AND(H1011="",F1011="",D1011&lt;&gt;"",I1011&gt;=TODAY()),ROUND((I1011+IF(ISNUMBER(C1011),MOD(C1011,1),0))*1440,0)*10000+ROW(),"")</f>
        <v/>
      </c>
    </row>
    <row r="1012">
      <c r="A1012" s="1" t="n"/>
      <c r="B1012" s="17" t="n"/>
      <c r="C1012" s="18" t="n"/>
      <c r="D1012" s="19" t="n"/>
      <c r="E1012" s="20" t="n"/>
      <c r="F1012" s="20" t="n"/>
      <c r="G1012" s="21" t="n"/>
      <c r="H1012" s="12">
        <f>IF(AND(B1012="",D1012="",F1012=""),"",IF(NOT(ISNUMBER(B1012)),"Needs a date",IF(D1012="","Needs a client",IF(COUNTIF(Clients!$B$6:$B$105,D1012)=0,"Not on Clients",IF(AND(F1012="",INT(B1012)&lt;TODAY()),"Needs a status","")))))</f>
        <v/>
      </c>
      <c r="I1012" s="1">
        <f>IF(ISNUMBER(B1012),INT(B1012),0)</f>
        <v/>
      </c>
      <c r="J1012">
        <f>IF(ISNUMBER(B1012),YEAR(B1012)*100+MONTH(B1012),"")</f>
        <v/>
      </c>
      <c r="K1012">
        <f>IF(AND(H1012="",OR(F1012="Attended",F1012="No-show",AND(F1012="Late cancel",Settings!$C$9="Yes"))),1,0)</f>
        <v/>
      </c>
      <c r="L1012">
        <f>IF(AND(H1012="",F1012="Attended"),1,0)</f>
        <v/>
      </c>
      <c r="M1012">
        <f>IF(AND(H1012="",OR(F1012="No-show",F1012="Late cancel")),1,0)</f>
        <v/>
      </c>
      <c r="N1012">
        <f>IF(AND(H1012="",F1012="",D1012&lt;&gt;"",I1012&gt;=TODAY()),ROUND((I1012+IF(ISNUMBER(C1012),MOD(C1012,1),0))*1440,0)*10000+ROW(),"")</f>
        <v/>
      </c>
    </row>
    <row r="1013">
      <c r="A1013" s="1" t="n"/>
      <c r="B1013" s="17" t="n"/>
      <c r="C1013" s="18" t="n"/>
      <c r="D1013" s="19" t="n"/>
      <c r="E1013" s="20" t="n"/>
      <c r="F1013" s="20" t="n"/>
      <c r="G1013" s="21" t="n"/>
      <c r="H1013" s="12">
        <f>IF(AND(B1013="",D1013="",F1013=""),"",IF(NOT(ISNUMBER(B1013)),"Needs a date",IF(D1013="","Needs a client",IF(COUNTIF(Clients!$B$6:$B$105,D1013)=0,"Not on Clients",IF(AND(F1013="",INT(B1013)&lt;TODAY()),"Needs a status","")))))</f>
        <v/>
      </c>
      <c r="I1013" s="1">
        <f>IF(ISNUMBER(B1013),INT(B1013),0)</f>
        <v/>
      </c>
      <c r="J1013">
        <f>IF(ISNUMBER(B1013),YEAR(B1013)*100+MONTH(B1013),"")</f>
        <v/>
      </c>
      <c r="K1013">
        <f>IF(AND(H1013="",OR(F1013="Attended",F1013="No-show",AND(F1013="Late cancel",Settings!$C$9="Yes"))),1,0)</f>
        <v/>
      </c>
      <c r="L1013">
        <f>IF(AND(H1013="",F1013="Attended"),1,0)</f>
        <v/>
      </c>
      <c r="M1013">
        <f>IF(AND(H1013="",OR(F1013="No-show",F1013="Late cancel")),1,0)</f>
        <v/>
      </c>
      <c r="N1013">
        <f>IF(AND(H1013="",F1013="",D1013&lt;&gt;"",I1013&gt;=TODAY()),ROUND((I1013+IF(ISNUMBER(C1013),MOD(C1013,1),0))*1440,0)*10000+ROW(),"")</f>
        <v/>
      </c>
    </row>
    <row r="1014">
      <c r="A1014" s="1" t="n"/>
      <c r="B1014" s="17" t="n"/>
      <c r="C1014" s="18" t="n"/>
      <c r="D1014" s="19" t="n"/>
      <c r="E1014" s="20" t="n"/>
      <c r="F1014" s="20" t="n"/>
      <c r="G1014" s="21" t="n"/>
      <c r="H1014" s="12">
        <f>IF(AND(B1014="",D1014="",F1014=""),"",IF(NOT(ISNUMBER(B1014)),"Needs a date",IF(D1014="","Needs a client",IF(COUNTIF(Clients!$B$6:$B$105,D1014)=0,"Not on Clients",IF(AND(F1014="",INT(B1014)&lt;TODAY()),"Needs a status","")))))</f>
        <v/>
      </c>
      <c r="I1014" s="1">
        <f>IF(ISNUMBER(B1014),INT(B1014),0)</f>
        <v/>
      </c>
      <c r="J1014">
        <f>IF(ISNUMBER(B1014),YEAR(B1014)*100+MONTH(B1014),"")</f>
        <v/>
      </c>
      <c r="K1014">
        <f>IF(AND(H1014="",OR(F1014="Attended",F1014="No-show",AND(F1014="Late cancel",Settings!$C$9="Yes"))),1,0)</f>
        <v/>
      </c>
      <c r="L1014">
        <f>IF(AND(H1014="",F1014="Attended"),1,0)</f>
        <v/>
      </c>
      <c r="M1014">
        <f>IF(AND(H1014="",OR(F1014="No-show",F1014="Late cancel")),1,0)</f>
        <v/>
      </c>
      <c r="N1014">
        <f>IF(AND(H1014="",F1014="",D1014&lt;&gt;"",I1014&gt;=TODAY()),ROUND((I1014+IF(ISNUMBER(C1014),MOD(C1014,1),0))*1440,0)*10000+ROW(),"")</f>
        <v/>
      </c>
    </row>
    <row r="1015">
      <c r="A1015" s="1" t="n"/>
      <c r="B1015" s="17" t="n"/>
      <c r="C1015" s="18" t="n"/>
      <c r="D1015" s="19" t="n"/>
      <c r="E1015" s="20" t="n"/>
      <c r="F1015" s="20" t="n"/>
      <c r="G1015" s="21" t="n"/>
      <c r="H1015" s="12">
        <f>IF(AND(B1015="",D1015="",F1015=""),"",IF(NOT(ISNUMBER(B1015)),"Needs a date",IF(D1015="","Needs a client",IF(COUNTIF(Clients!$B$6:$B$105,D1015)=0,"Not on Clients",IF(AND(F1015="",INT(B1015)&lt;TODAY()),"Needs a status","")))))</f>
        <v/>
      </c>
      <c r="I1015" s="1">
        <f>IF(ISNUMBER(B1015),INT(B1015),0)</f>
        <v/>
      </c>
      <c r="J1015">
        <f>IF(ISNUMBER(B1015),YEAR(B1015)*100+MONTH(B1015),"")</f>
        <v/>
      </c>
      <c r="K1015">
        <f>IF(AND(H1015="",OR(F1015="Attended",F1015="No-show",AND(F1015="Late cancel",Settings!$C$9="Yes"))),1,0)</f>
        <v/>
      </c>
      <c r="L1015">
        <f>IF(AND(H1015="",F1015="Attended"),1,0)</f>
        <v/>
      </c>
      <c r="M1015">
        <f>IF(AND(H1015="",OR(F1015="No-show",F1015="Late cancel")),1,0)</f>
        <v/>
      </c>
      <c r="N1015">
        <f>IF(AND(H1015="",F1015="",D1015&lt;&gt;"",I1015&gt;=TODAY()),ROUND((I1015+IF(ISNUMBER(C1015),MOD(C1015,1),0))*1440,0)*10000+ROW(),"")</f>
        <v/>
      </c>
    </row>
    <row r="1016">
      <c r="A1016" s="1" t="n"/>
      <c r="B1016" s="17" t="n"/>
      <c r="C1016" s="18" t="n"/>
      <c r="D1016" s="19" t="n"/>
      <c r="E1016" s="20" t="n"/>
      <c r="F1016" s="20" t="n"/>
      <c r="G1016" s="21" t="n"/>
      <c r="H1016" s="12">
        <f>IF(AND(B1016="",D1016="",F1016=""),"",IF(NOT(ISNUMBER(B1016)),"Needs a date",IF(D1016="","Needs a client",IF(COUNTIF(Clients!$B$6:$B$105,D1016)=0,"Not on Clients",IF(AND(F1016="",INT(B1016)&lt;TODAY()),"Needs a status","")))))</f>
        <v/>
      </c>
      <c r="I1016" s="1">
        <f>IF(ISNUMBER(B1016),INT(B1016),0)</f>
        <v/>
      </c>
      <c r="J1016">
        <f>IF(ISNUMBER(B1016),YEAR(B1016)*100+MONTH(B1016),"")</f>
        <v/>
      </c>
      <c r="K1016">
        <f>IF(AND(H1016="",OR(F1016="Attended",F1016="No-show",AND(F1016="Late cancel",Settings!$C$9="Yes"))),1,0)</f>
        <v/>
      </c>
      <c r="L1016">
        <f>IF(AND(H1016="",F1016="Attended"),1,0)</f>
        <v/>
      </c>
      <c r="M1016">
        <f>IF(AND(H1016="",OR(F1016="No-show",F1016="Late cancel")),1,0)</f>
        <v/>
      </c>
      <c r="N1016">
        <f>IF(AND(H1016="",F1016="",D1016&lt;&gt;"",I1016&gt;=TODAY()),ROUND((I1016+IF(ISNUMBER(C1016),MOD(C1016,1),0))*1440,0)*10000+ROW(),"")</f>
        <v/>
      </c>
    </row>
    <row r="1017">
      <c r="A1017" s="1" t="n"/>
      <c r="B1017" s="17" t="n"/>
      <c r="C1017" s="18" t="n"/>
      <c r="D1017" s="19" t="n"/>
      <c r="E1017" s="20" t="n"/>
      <c r="F1017" s="20" t="n"/>
      <c r="G1017" s="21" t="n"/>
      <c r="H1017" s="12">
        <f>IF(AND(B1017="",D1017="",F1017=""),"",IF(NOT(ISNUMBER(B1017)),"Needs a date",IF(D1017="","Needs a client",IF(COUNTIF(Clients!$B$6:$B$105,D1017)=0,"Not on Clients",IF(AND(F1017="",INT(B1017)&lt;TODAY()),"Needs a status","")))))</f>
        <v/>
      </c>
      <c r="I1017" s="1">
        <f>IF(ISNUMBER(B1017),INT(B1017),0)</f>
        <v/>
      </c>
      <c r="J1017">
        <f>IF(ISNUMBER(B1017),YEAR(B1017)*100+MONTH(B1017),"")</f>
        <v/>
      </c>
      <c r="K1017">
        <f>IF(AND(H1017="",OR(F1017="Attended",F1017="No-show",AND(F1017="Late cancel",Settings!$C$9="Yes"))),1,0)</f>
        <v/>
      </c>
      <c r="L1017">
        <f>IF(AND(H1017="",F1017="Attended"),1,0)</f>
        <v/>
      </c>
      <c r="M1017">
        <f>IF(AND(H1017="",OR(F1017="No-show",F1017="Late cancel")),1,0)</f>
        <v/>
      </c>
      <c r="N1017">
        <f>IF(AND(H1017="",F1017="",D1017&lt;&gt;"",I1017&gt;=TODAY()),ROUND((I1017+IF(ISNUMBER(C1017),MOD(C1017,1),0))*1440,0)*10000+ROW(),"")</f>
        <v/>
      </c>
    </row>
    <row r="1018">
      <c r="A1018" s="1" t="n"/>
      <c r="B1018" s="17" t="n"/>
      <c r="C1018" s="18" t="n"/>
      <c r="D1018" s="19" t="n"/>
      <c r="E1018" s="20" t="n"/>
      <c r="F1018" s="20" t="n"/>
      <c r="G1018" s="21" t="n"/>
      <c r="H1018" s="12">
        <f>IF(AND(B1018="",D1018="",F1018=""),"",IF(NOT(ISNUMBER(B1018)),"Needs a date",IF(D1018="","Needs a client",IF(COUNTIF(Clients!$B$6:$B$105,D1018)=0,"Not on Clients",IF(AND(F1018="",INT(B1018)&lt;TODAY()),"Needs a status","")))))</f>
        <v/>
      </c>
      <c r="I1018" s="1">
        <f>IF(ISNUMBER(B1018),INT(B1018),0)</f>
        <v/>
      </c>
      <c r="J1018">
        <f>IF(ISNUMBER(B1018),YEAR(B1018)*100+MONTH(B1018),"")</f>
        <v/>
      </c>
      <c r="K1018">
        <f>IF(AND(H1018="",OR(F1018="Attended",F1018="No-show",AND(F1018="Late cancel",Settings!$C$9="Yes"))),1,0)</f>
        <v/>
      </c>
      <c r="L1018">
        <f>IF(AND(H1018="",F1018="Attended"),1,0)</f>
        <v/>
      </c>
      <c r="M1018">
        <f>IF(AND(H1018="",OR(F1018="No-show",F1018="Late cancel")),1,0)</f>
        <v/>
      </c>
      <c r="N1018">
        <f>IF(AND(H1018="",F1018="",D1018&lt;&gt;"",I1018&gt;=TODAY()),ROUND((I1018+IF(ISNUMBER(C1018),MOD(C1018,1),0))*1440,0)*10000+ROW(),"")</f>
        <v/>
      </c>
    </row>
    <row r="1019">
      <c r="A1019" s="1" t="n"/>
      <c r="B1019" s="17" t="n"/>
      <c r="C1019" s="18" t="n"/>
      <c r="D1019" s="19" t="n"/>
      <c r="E1019" s="20" t="n"/>
      <c r="F1019" s="20" t="n"/>
      <c r="G1019" s="21" t="n"/>
      <c r="H1019" s="12">
        <f>IF(AND(B1019="",D1019="",F1019=""),"",IF(NOT(ISNUMBER(B1019)),"Needs a date",IF(D1019="","Needs a client",IF(COUNTIF(Clients!$B$6:$B$105,D1019)=0,"Not on Clients",IF(AND(F1019="",INT(B1019)&lt;TODAY()),"Needs a status","")))))</f>
        <v/>
      </c>
      <c r="I1019" s="1">
        <f>IF(ISNUMBER(B1019),INT(B1019),0)</f>
        <v/>
      </c>
      <c r="J1019">
        <f>IF(ISNUMBER(B1019),YEAR(B1019)*100+MONTH(B1019),"")</f>
        <v/>
      </c>
      <c r="K1019">
        <f>IF(AND(H1019="",OR(F1019="Attended",F1019="No-show",AND(F1019="Late cancel",Settings!$C$9="Yes"))),1,0)</f>
        <v/>
      </c>
      <c r="L1019">
        <f>IF(AND(H1019="",F1019="Attended"),1,0)</f>
        <v/>
      </c>
      <c r="M1019">
        <f>IF(AND(H1019="",OR(F1019="No-show",F1019="Late cancel")),1,0)</f>
        <v/>
      </c>
      <c r="N1019">
        <f>IF(AND(H1019="",F1019="",D1019&lt;&gt;"",I1019&gt;=TODAY()),ROUND((I1019+IF(ISNUMBER(C1019),MOD(C1019,1),0))*1440,0)*10000+ROW(),"")</f>
        <v/>
      </c>
    </row>
    <row r="1020">
      <c r="A1020" s="1" t="n"/>
      <c r="B1020" s="17" t="n"/>
      <c r="C1020" s="18" t="n"/>
      <c r="D1020" s="19" t="n"/>
      <c r="E1020" s="20" t="n"/>
      <c r="F1020" s="20" t="n"/>
      <c r="G1020" s="21" t="n"/>
      <c r="H1020" s="12">
        <f>IF(AND(B1020="",D1020="",F1020=""),"",IF(NOT(ISNUMBER(B1020)),"Needs a date",IF(D1020="","Needs a client",IF(COUNTIF(Clients!$B$6:$B$105,D1020)=0,"Not on Clients",IF(AND(F1020="",INT(B1020)&lt;TODAY()),"Needs a status","")))))</f>
        <v/>
      </c>
      <c r="I1020" s="1">
        <f>IF(ISNUMBER(B1020),INT(B1020),0)</f>
        <v/>
      </c>
      <c r="J1020">
        <f>IF(ISNUMBER(B1020),YEAR(B1020)*100+MONTH(B1020),"")</f>
        <v/>
      </c>
      <c r="K1020">
        <f>IF(AND(H1020="",OR(F1020="Attended",F1020="No-show",AND(F1020="Late cancel",Settings!$C$9="Yes"))),1,0)</f>
        <v/>
      </c>
      <c r="L1020">
        <f>IF(AND(H1020="",F1020="Attended"),1,0)</f>
        <v/>
      </c>
      <c r="M1020">
        <f>IF(AND(H1020="",OR(F1020="No-show",F1020="Late cancel")),1,0)</f>
        <v/>
      </c>
      <c r="N1020">
        <f>IF(AND(H1020="",F1020="",D1020&lt;&gt;"",I1020&gt;=TODAY()),ROUND((I1020+IF(ISNUMBER(C1020),MOD(C1020,1),0))*1440,0)*10000+ROW(),"")</f>
        <v/>
      </c>
    </row>
    <row r="1021">
      <c r="A1021" s="1" t="n"/>
      <c r="B1021" s="17" t="n"/>
      <c r="C1021" s="18" t="n"/>
      <c r="D1021" s="19" t="n"/>
      <c r="E1021" s="20" t="n"/>
      <c r="F1021" s="20" t="n"/>
      <c r="G1021" s="21" t="n"/>
      <c r="H1021" s="12">
        <f>IF(AND(B1021="",D1021="",F1021=""),"",IF(NOT(ISNUMBER(B1021)),"Needs a date",IF(D1021="","Needs a client",IF(COUNTIF(Clients!$B$6:$B$105,D1021)=0,"Not on Clients",IF(AND(F1021="",INT(B1021)&lt;TODAY()),"Needs a status","")))))</f>
        <v/>
      </c>
      <c r="I1021" s="1">
        <f>IF(ISNUMBER(B1021),INT(B1021),0)</f>
        <v/>
      </c>
      <c r="J1021">
        <f>IF(ISNUMBER(B1021),YEAR(B1021)*100+MONTH(B1021),"")</f>
        <v/>
      </c>
      <c r="K1021">
        <f>IF(AND(H1021="",OR(F1021="Attended",F1021="No-show",AND(F1021="Late cancel",Settings!$C$9="Yes"))),1,0)</f>
        <v/>
      </c>
      <c r="L1021">
        <f>IF(AND(H1021="",F1021="Attended"),1,0)</f>
        <v/>
      </c>
      <c r="M1021">
        <f>IF(AND(H1021="",OR(F1021="No-show",F1021="Late cancel")),1,0)</f>
        <v/>
      </c>
      <c r="N1021">
        <f>IF(AND(H1021="",F1021="",D1021&lt;&gt;"",I1021&gt;=TODAY()),ROUND((I1021+IF(ISNUMBER(C1021),MOD(C1021,1),0))*1440,0)*10000+ROW(),"")</f>
        <v/>
      </c>
    </row>
    <row r="1022">
      <c r="A1022" s="1" t="n"/>
      <c r="B1022" s="17" t="n"/>
      <c r="C1022" s="18" t="n"/>
      <c r="D1022" s="19" t="n"/>
      <c r="E1022" s="20" t="n"/>
      <c r="F1022" s="20" t="n"/>
      <c r="G1022" s="21" t="n"/>
      <c r="H1022" s="12">
        <f>IF(AND(B1022="",D1022="",F1022=""),"",IF(NOT(ISNUMBER(B1022)),"Needs a date",IF(D1022="","Needs a client",IF(COUNTIF(Clients!$B$6:$B$105,D1022)=0,"Not on Clients",IF(AND(F1022="",INT(B1022)&lt;TODAY()),"Needs a status","")))))</f>
        <v/>
      </c>
      <c r="I1022" s="1">
        <f>IF(ISNUMBER(B1022),INT(B1022),0)</f>
        <v/>
      </c>
      <c r="J1022">
        <f>IF(ISNUMBER(B1022),YEAR(B1022)*100+MONTH(B1022),"")</f>
        <v/>
      </c>
      <c r="K1022">
        <f>IF(AND(H1022="",OR(F1022="Attended",F1022="No-show",AND(F1022="Late cancel",Settings!$C$9="Yes"))),1,0)</f>
        <v/>
      </c>
      <c r="L1022">
        <f>IF(AND(H1022="",F1022="Attended"),1,0)</f>
        <v/>
      </c>
      <c r="M1022">
        <f>IF(AND(H1022="",OR(F1022="No-show",F1022="Late cancel")),1,0)</f>
        <v/>
      </c>
      <c r="N1022">
        <f>IF(AND(H1022="",F1022="",D1022&lt;&gt;"",I1022&gt;=TODAY()),ROUND((I1022+IF(ISNUMBER(C1022),MOD(C1022,1),0))*1440,0)*10000+ROW(),"")</f>
        <v/>
      </c>
    </row>
    <row r="1023">
      <c r="A1023" s="1" t="n"/>
      <c r="B1023" s="17" t="n"/>
      <c r="C1023" s="18" t="n"/>
      <c r="D1023" s="19" t="n"/>
      <c r="E1023" s="20" t="n"/>
      <c r="F1023" s="20" t="n"/>
      <c r="G1023" s="21" t="n"/>
      <c r="H1023" s="12">
        <f>IF(AND(B1023="",D1023="",F1023=""),"",IF(NOT(ISNUMBER(B1023)),"Needs a date",IF(D1023="","Needs a client",IF(COUNTIF(Clients!$B$6:$B$105,D1023)=0,"Not on Clients",IF(AND(F1023="",INT(B1023)&lt;TODAY()),"Needs a status","")))))</f>
        <v/>
      </c>
      <c r="I1023" s="1">
        <f>IF(ISNUMBER(B1023),INT(B1023),0)</f>
        <v/>
      </c>
      <c r="J1023">
        <f>IF(ISNUMBER(B1023),YEAR(B1023)*100+MONTH(B1023),"")</f>
        <v/>
      </c>
      <c r="K1023">
        <f>IF(AND(H1023="",OR(F1023="Attended",F1023="No-show",AND(F1023="Late cancel",Settings!$C$9="Yes"))),1,0)</f>
        <v/>
      </c>
      <c r="L1023">
        <f>IF(AND(H1023="",F1023="Attended"),1,0)</f>
        <v/>
      </c>
      <c r="M1023">
        <f>IF(AND(H1023="",OR(F1023="No-show",F1023="Late cancel")),1,0)</f>
        <v/>
      </c>
      <c r="N1023">
        <f>IF(AND(H1023="",F1023="",D1023&lt;&gt;"",I1023&gt;=TODAY()),ROUND((I1023+IF(ISNUMBER(C1023),MOD(C1023,1),0))*1440,0)*10000+ROW(),"")</f>
        <v/>
      </c>
    </row>
    <row r="1024">
      <c r="A1024" s="1" t="n"/>
      <c r="B1024" s="17" t="n"/>
      <c r="C1024" s="18" t="n"/>
      <c r="D1024" s="19" t="n"/>
      <c r="E1024" s="20" t="n"/>
      <c r="F1024" s="20" t="n"/>
      <c r="G1024" s="21" t="n"/>
      <c r="H1024" s="12">
        <f>IF(AND(B1024="",D1024="",F1024=""),"",IF(NOT(ISNUMBER(B1024)),"Needs a date",IF(D1024="","Needs a client",IF(COUNTIF(Clients!$B$6:$B$105,D1024)=0,"Not on Clients",IF(AND(F1024="",INT(B1024)&lt;TODAY()),"Needs a status","")))))</f>
        <v/>
      </c>
      <c r="I1024" s="1">
        <f>IF(ISNUMBER(B1024),INT(B1024),0)</f>
        <v/>
      </c>
      <c r="J1024">
        <f>IF(ISNUMBER(B1024),YEAR(B1024)*100+MONTH(B1024),"")</f>
        <v/>
      </c>
      <c r="K1024">
        <f>IF(AND(H1024="",OR(F1024="Attended",F1024="No-show",AND(F1024="Late cancel",Settings!$C$9="Yes"))),1,0)</f>
        <v/>
      </c>
      <c r="L1024">
        <f>IF(AND(H1024="",F1024="Attended"),1,0)</f>
        <v/>
      </c>
      <c r="M1024">
        <f>IF(AND(H1024="",OR(F1024="No-show",F1024="Late cancel")),1,0)</f>
        <v/>
      </c>
      <c r="N1024">
        <f>IF(AND(H1024="",F1024="",D1024&lt;&gt;"",I1024&gt;=TODAY()),ROUND((I1024+IF(ISNUMBER(C1024),MOD(C1024,1),0))*1440,0)*10000+ROW(),"")</f>
        <v/>
      </c>
    </row>
    <row r="1025">
      <c r="A1025" s="1" t="n"/>
      <c r="B1025" s="17" t="n"/>
      <c r="C1025" s="18" t="n"/>
      <c r="D1025" s="19" t="n"/>
      <c r="E1025" s="20" t="n"/>
      <c r="F1025" s="20" t="n"/>
      <c r="G1025" s="21" t="n"/>
      <c r="H1025" s="12">
        <f>IF(AND(B1025="",D1025="",F1025=""),"",IF(NOT(ISNUMBER(B1025)),"Needs a date",IF(D1025="","Needs a client",IF(COUNTIF(Clients!$B$6:$B$105,D1025)=0,"Not on Clients",IF(AND(F1025="",INT(B1025)&lt;TODAY()),"Needs a status","")))))</f>
        <v/>
      </c>
      <c r="I1025" s="1">
        <f>IF(ISNUMBER(B1025),INT(B1025),0)</f>
        <v/>
      </c>
      <c r="J1025">
        <f>IF(ISNUMBER(B1025),YEAR(B1025)*100+MONTH(B1025),"")</f>
        <v/>
      </c>
      <c r="K1025">
        <f>IF(AND(H1025="",OR(F1025="Attended",F1025="No-show",AND(F1025="Late cancel",Settings!$C$9="Yes"))),1,0)</f>
        <v/>
      </c>
      <c r="L1025">
        <f>IF(AND(H1025="",F1025="Attended"),1,0)</f>
        <v/>
      </c>
      <c r="M1025">
        <f>IF(AND(H1025="",OR(F1025="No-show",F1025="Late cancel")),1,0)</f>
        <v/>
      </c>
      <c r="N1025">
        <f>IF(AND(H1025="",F1025="",D1025&lt;&gt;"",I1025&gt;=TODAY()),ROUND((I1025+IF(ISNUMBER(C1025),MOD(C1025,1),0))*1440,0)*10000+ROW(),"")</f>
        <v/>
      </c>
    </row>
    <row r="1026">
      <c r="A1026" s="1" t="n"/>
      <c r="B1026" s="17" t="n"/>
      <c r="C1026" s="18" t="n"/>
      <c r="D1026" s="19" t="n"/>
      <c r="E1026" s="20" t="n"/>
      <c r="F1026" s="20" t="n"/>
      <c r="G1026" s="21" t="n"/>
      <c r="H1026" s="12">
        <f>IF(AND(B1026="",D1026="",F1026=""),"",IF(NOT(ISNUMBER(B1026)),"Needs a date",IF(D1026="","Needs a client",IF(COUNTIF(Clients!$B$6:$B$105,D1026)=0,"Not on Clients",IF(AND(F1026="",INT(B1026)&lt;TODAY()),"Needs a status","")))))</f>
        <v/>
      </c>
      <c r="I1026" s="1">
        <f>IF(ISNUMBER(B1026),INT(B1026),0)</f>
        <v/>
      </c>
      <c r="J1026">
        <f>IF(ISNUMBER(B1026),YEAR(B1026)*100+MONTH(B1026),"")</f>
        <v/>
      </c>
      <c r="K1026">
        <f>IF(AND(H1026="",OR(F1026="Attended",F1026="No-show",AND(F1026="Late cancel",Settings!$C$9="Yes"))),1,0)</f>
        <v/>
      </c>
      <c r="L1026">
        <f>IF(AND(H1026="",F1026="Attended"),1,0)</f>
        <v/>
      </c>
      <c r="M1026">
        <f>IF(AND(H1026="",OR(F1026="No-show",F1026="Late cancel")),1,0)</f>
        <v/>
      </c>
      <c r="N1026">
        <f>IF(AND(H1026="",F1026="",D1026&lt;&gt;"",I1026&gt;=TODAY()),ROUND((I1026+IF(ISNUMBER(C1026),MOD(C1026,1),0))*1440,0)*10000+ROW(),"")</f>
        <v/>
      </c>
    </row>
    <row r="1027">
      <c r="A1027" s="1" t="n"/>
      <c r="B1027" s="17" t="n"/>
      <c r="C1027" s="18" t="n"/>
      <c r="D1027" s="19" t="n"/>
      <c r="E1027" s="20" t="n"/>
      <c r="F1027" s="20" t="n"/>
      <c r="G1027" s="21" t="n"/>
      <c r="H1027" s="12">
        <f>IF(AND(B1027="",D1027="",F1027=""),"",IF(NOT(ISNUMBER(B1027)),"Needs a date",IF(D1027="","Needs a client",IF(COUNTIF(Clients!$B$6:$B$105,D1027)=0,"Not on Clients",IF(AND(F1027="",INT(B1027)&lt;TODAY()),"Needs a status","")))))</f>
        <v/>
      </c>
      <c r="I1027" s="1">
        <f>IF(ISNUMBER(B1027),INT(B1027),0)</f>
        <v/>
      </c>
      <c r="J1027">
        <f>IF(ISNUMBER(B1027),YEAR(B1027)*100+MONTH(B1027),"")</f>
        <v/>
      </c>
      <c r="K1027">
        <f>IF(AND(H1027="",OR(F1027="Attended",F1027="No-show",AND(F1027="Late cancel",Settings!$C$9="Yes"))),1,0)</f>
        <v/>
      </c>
      <c r="L1027">
        <f>IF(AND(H1027="",F1027="Attended"),1,0)</f>
        <v/>
      </c>
      <c r="M1027">
        <f>IF(AND(H1027="",OR(F1027="No-show",F1027="Late cancel")),1,0)</f>
        <v/>
      </c>
      <c r="N1027">
        <f>IF(AND(H1027="",F1027="",D1027&lt;&gt;"",I1027&gt;=TODAY()),ROUND((I1027+IF(ISNUMBER(C1027),MOD(C1027,1),0))*1440,0)*10000+ROW(),"")</f>
        <v/>
      </c>
    </row>
    <row r="1028">
      <c r="A1028" s="1" t="n"/>
      <c r="B1028" s="17" t="n"/>
      <c r="C1028" s="18" t="n"/>
      <c r="D1028" s="19" t="n"/>
      <c r="E1028" s="20" t="n"/>
      <c r="F1028" s="20" t="n"/>
      <c r="G1028" s="21" t="n"/>
      <c r="H1028" s="12">
        <f>IF(AND(B1028="",D1028="",F1028=""),"",IF(NOT(ISNUMBER(B1028)),"Needs a date",IF(D1028="","Needs a client",IF(COUNTIF(Clients!$B$6:$B$105,D1028)=0,"Not on Clients",IF(AND(F1028="",INT(B1028)&lt;TODAY()),"Needs a status","")))))</f>
        <v/>
      </c>
      <c r="I1028" s="1">
        <f>IF(ISNUMBER(B1028),INT(B1028),0)</f>
        <v/>
      </c>
      <c r="J1028">
        <f>IF(ISNUMBER(B1028),YEAR(B1028)*100+MONTH(B1028),"")</f>
        <v/>
      </c>
      <c r="K1028">
        <f>IF(AND(H1028="",OR(F1028="Attended",F1028="No-show",AND(F1028="Late cancel",Settings!$C$9="Yes"))),1,0)</f>
        <v/>
      </c>
      <c r="L1028">
        <f>IF(AND(H1028="",F1028="Attended"),1,0)</f>
        <v/>
      </c>
      <c r="M1028">
        <f>IF(AND(H1028="",OR(F1028="No-show",F1028="Late cancel")),1,0)</f>
        <v/>
      </c>
      <c r="N1028">
        <f>IF(AND(H1028="",F1028="",D1028&lt;&gt;"",I1028&gt;=TODAY()),ROUND((I1028+IF(ISNUMBER(C1028),MOD(C1028,1),0))*1440,0)*10000+ROW(),"")</f>
        <v/>
      </c>
    </row>
    <row r="1029">
      <c r="A1029" s="1" t="n"/>
      <c r="B1029" s="17" t="n"/>
      <c r="C1029" s="18" t="n"/>
      <c r="D1029" s="19" t="n"/>
      <c r="E1029" s="20" t="n"/>
      <c r="F1029" s="20" t="n"/>
      <c r="G1029" s="21" t="n"/>
      <c r="H1029" s="12">
        <f>IF(AND(B1029="",D1029="",F1029=""),"",IF(NOT(ISNUMBER(B1029)),"Needs a date",IF(D1029="","Needs a client",IF(COUNTIF(Clients!$B$6:$B$105,D1029)=0,"Not on Clients",IF(AND(F1029="",INT(B1029)&lt;TODAY()),"Needs a status","")))))</f>
        <v/>
      </c>
      <c r="I1029" s="1">
        <f>IF(ISNUMBER(B1029),INT(B1029),0)</f>
        <v/>
      </c>
      <c r="J1029">
        <f>IF(ISNUMBER(B1029),YEAR(B1029)*100+MONTH(B1029),"")</f>
        <v/>
      </c>
      <c r="K1029">
        <f>IF(AND(H1029="",OR(F1029="Attended",F1029="No-show",AND(F1029="Late cancel",Settings!$C$9="Yes"))),1,0)</f>
        <v/>
      </c>
      <c r="L1029">
        <f>IF(AND(H1029="",F1029="Attended"),1,0)</f>
        <v/>
      </c>
      <c r="M1029">
        <f>IF(AND(H1029="",OR(F1029="No-show",F1029="Late cancel")),1,0)</f>
        <v/>
      </c>
      <c r="N1029">
        <f>IF(AND(H1029="",F1029="",D1029&lt;&gt;"",I1029&gt;=TODAY()),ROUND((I1029+IF(ISNUMBER(C1029),MOD(C1029,1),0))*1440,0)*10000+ROW(),"")</f>
        <v/>
      </c>
    </row>
    <row r="1030">
      <c r="A1030" s="1" t="n"/>
      <c r="B1030" s="17" t="n"/>
      <c r="C1030" s="18" t="n"/>
      <c r="D1030" s="19" t="n"/>
      <c r="E1030" s="20" t="n"/>
      <c r="F1030" s="20" t="n"/>
      <c r="G1030" s="21" t="n"/>
      <c r="H1030" s="12">
        <f>IF(AND(B1030="",D1030="",F1030=""),"",IF(NOT(ISNUMBER(B1030)),"Needs a date",IF(D1030="","Needs a client",IF(COUNTIF(Clients!$B$6:$B$105,D1030)=0,"Not on Clients",IF(AND(F1030="",INT(B1030)&lt;TODAY()),"Needs a status","")))))</f>
        <v/>
      </c>
      <c r="I1030" s="1">
        <f>IF(ISNUMBER(B1030),INT(B1030),0)</f>
        <v/>
      </c>
      <c r="J1030">
        <f>IF(ISNUMBER(B1030),YEAR(B1030)*100+MONTH(B1030),"")</f>
        <v/>
      </c>
      <c r="K1030">
        <f>IF(AND(H1030="",OR(F1030="Attended",F1030="No-show",AND(F1030="Late cancel",Settings!$C$9="Yes"))),1,0)</f>
        <v/>
      </c>
      <c r="L1030">
        <f>IF(AND(H1030="",F1030="Attended"),1,0)</f>
        <v/>
      </c>
      <c r="M1030">
        <f>IF(AND(H1030="",OR(F1030="No-show",F1030="Late cancel")),1,0)</f>
        <v/>
      </c>
      <c r="N1030">
        <f>IF(AND(H1030="",F1030="",D1030&lt;&gt;"",I1030&gt;=TODAY()),ROUND((I1030+IF(ISNUMBER(C1030),MOD(C1030,1),0))*1440,0)*10000+ROW(),"")</f>
        <v/>
      </c>
    </row>
    <row r="1031">
      <c r="A1031" s="1" t="n"/>
      <c r="B1031" s="17" t="n"/>
      <c r="C1031" s="18" t="n"/>
      <c r="D1031" s="19" t="n"/>
      <c r="E1031" s="20" t="n"/>
      <c r="F1031" s="20" t="n"/>
      <c r="G1031" s="21" t="n"/>
      <c r="H1031" s="12">
        <f>IF(AND(B1031="",D1031="",F1031=""),"",IF(NOT(ISNUMBER(B1031)),"Needs a date",IF(D1031="","Needs a client",IF(COUNTIF(Clients!$B$6:$B$105,D1031)=0,"Not on Clients",IF(AND(F1031="",INT(B1031)&lt;TODAY()),"Needs a status","")))))</f>
        <v/>
      </c>
      <c r="I1031" s="1">
        <f>IF(ISNUMBER(B1031),INT(B1031),0)</f>
        <v/>
      </c>
      <c r="J1031">
        <f>IF(ISNUMBER(B1031),YEAR(B1031)*100+MONTH(B1031),"")</f>
        <v/>
      </c>
      <c r="K1031">
        <f>IF(AND(H1031="",OR(F1031="Attended",F1031="No-show",AND(F1031="Late cancel",Settings!$C$9="Yes"))),1,0)</f>
        <v/>
      </c>
      <c r="L1031">
        <f>IF(AND(H1031="",F1031="Attended"),1,0)</f>
        <v/>
      </c>
      <c r="M1031">
        <f>IF(AND(H1031="",OR(F1031="No-show",F1031="Late cancel")),1,0)</f>
        <v/>
      </c>
      <c r="N1031">
        <f>IF(AND(H1031="",F1031="",D1031&lt;&gt;"",I1031&gt;=TODAY()),ROUND((I1031+IF(ISNUMBER(C1031),MOD(C1031,1),0))*1440,0)*10000+ROW(),"")</f>
        <v/>
      </c>
    </row>
    <row r="1032">
      <c r="A1032" s="1" t="n"/>
      <c r="B1032" s="17" t="n"/>
      <c r="C1032" s="18" t="n"/>
      <c r="D1032" s="19" t="n"/>
      <c r="E1032" s="20" t="n"/>
      <c r="F1032" s="20" t="n"/>
      <c r="G1032" s="21" t="n"/>
      <c r="H1032" s="12">
        <f>IF(AND(B1032="",D1032="",F1032=""),"",IF(NOT(ISNUMBER(B1032)),"Needs a date",IF(D1032="","Needs a client",IF(COUNTIF(Clients!$B$6:$B$105,D1032)=0,"Not on Clients",IF(AND(F1032="",INT(B1032)&lt;TODAY()),"Needs a status","")))))</f>
        <v/>
      </c>
      <c r="I1032" s="1">
        <f>IF(ISNUMBER(B1032),INT(B1032),0)</f>
        <v/>
      </c>
      <c r="J1032">
        <f>IF(ISNUMBER(B1032),YEAR(B1032)*100+MONTH(B1032),"")</f>
        <v/>
      </c>
      <c r="K1032">
        <f>IF(AND(H1032="",OR(F1032="Attended",F1032="No-show",AND(F1032="Late cancel",Settings!$C$9="Yes"))),1,0)</f>
        <v/>
      </c>
      <c r="L1032">
        <f>IF(AND(H1032="",F1032="Attended"),1,0)</f>
        <v/>
      </c>
      <c r="M1032">
        <f>IF(AND(H1032="",OR(F1032="No-show",F1032="Late cancel")),1,0)</f>
        <v/>
      </c>
      <c r="N1032">
        <f>IF(AND(H1032="",F1032="",D1032&lt;&gt;"",I1032&gt;=TODAY()),ROUND((I1032+IF(ISNUMBER(C1032),MOD(C1032,1),0))*1440,0)*10000+ROW(),"")</f>
        <v/>
      </c>
    </row>
    <row r="1033">
      <c r="A1033" s="1" t="n"/>
      <c r="B1033" s="17" t="n"/>
      <c r="C1033" s="18" t="n"/>
      <c r="D1033" s="19" t="n"/>
      <c r="E1033" s="20" t="n"/>
      <c r="F1033" s="20" t="n"/>
      <c r="G1033" s="21" t="n"/>
      <c r="H1033" s="12">
        <f>IF(AND(B1033="",D1033="",F1033=""),"",IF(NOT(ISNUMBER(B1033)),"Needs a date",IF(D1033="","Needs a client",IF(COUNTIF(Clients!$B$6:$B$105,D1033)=0,"Not on Clients",IF(AND(F1033="",INT(B1033)&lt;TODAY()),"Needs a status","")))))</f>
        <v/>
      </c>
      <c r="I1033" s="1">
        <f>IF(ISNUMBER(B1033),INT(B1033),0)</f>
        <v/>
      </c>
      <c r="J1033">
        <f>IF(ISNUMBER(B1033),YEAR(B1033)*100+MONTH(B1033),"")</f>
        <v/>
      </c>
      <c r="K1033">
        <f>IF(AND(H1033="",OR(F1033="Attended",F1033="No-show",AND(F1033="Late cancel",Settings!$C$9="Yes"))),1,0)</f>
        <v/>
      </c>
      <c r="L1033">
        <f>IF(AND(H1033="",F1033="Attended"),1,0)</f>
        <v/>
      </c>
      <c r="M1033">
        <f>IF(AND(H1033="",OR(F1033="No-show",F1033="Late cancel")),1,0)</f>
        <v/>
      </c>
      <c r="N1033">
        <f>IF(AND(H1033="",F1033="",D1033&lt;&gt;"",I1033&gt;=TODAY()),ROUND((I1033+IF(ISNUMBER(C1033),MOD(C1033,1),0))*1440,0)*10000+ROW(),"")</f>
        <v/>
      </c>
    </row>
    <row r="1034">
      <c r="A1034" s="1" t="n"/>
      <c r="B1034" s="17" t="n"/>
      <c r="C1034" s="18" t="n"/>
      <c r="D1034" s="19" t="n"/>
      <c r="E1034" s="20" t="n"/>
      <c r="F1034" s="20" t="n"/>
      <c r="G1034" s="21" t="n"/>
      <c r="H1034" s="12">
        <f>IF(AND(B1034="",D1034="",F1034=""),"",IF(NOT(ISNUMBER(B1034)),"Needs a date",IF(D1034="","Needs a client",IF(COUNTIF(Clients!$B$6:$B$105,D1034)=0,"Not on Clients",IF(AND(F1034="",INT(B1034)&lt;TODAY()),"Needs a status","")))))</f>
        <v/>
      </c>
      <c r="I1034" s="1">
        <f>IF(ISNUMBER(B1034),INT(B1034),0)</f>
        <v/>
      </c>
      <c r="J1034">
        <f>IF(ISNUMBER(B1034),YEAR(B1034)*100+MONTH(B1034),"")</f>
        <v/>
      </c>
      <c r="K1034">
        <f>IF(AND(H1034="",OR(F1034="Attended",F1034="No-show",AND(F1034="Late cancel",Settings!$C$9="Yes"))),1,0)</f>
        <v/>
      </c>
      <c r="L1034">
        <f>IF(AND(H1034="",F1034="Attended"),1,0)</f>
        <v/>
      </c>
      <c r="M1034">
        <f>IF(AND(H1034="",OR(F1034="No-show",F1034="Late cancel")),1,0)</f>
        <v/>
      </c>
      <c r="N1034">
        <f>IF(AND(H1034="",F1034="",D1034&lt;&gt;"",I1034&gt;=TODAY()),ROUND((I1034+IF(ISNUMBER(C1034),MOD(C1034,1),0))*1440,0)*10000+ROW(),"")</f>
        <v/>
      </c>
    </row>
    <row r="1035">
      <c r="A1035" s="1" t="n"/>
      <c r="B1035" s="17" t="n"/>
      <c r="C1035" s="18" t="n"/>
      <c r="D1035" s="19" t="n"/>
      <c r="E1035" s="20" t="n"/>
      <c r="F1035" s="20" t="n"/>
      <c r="G1035" s="21" t="n"/>
      <c r="H1035" s="12">
        <f>IF(AND(B1035="",D1035="",F1035=""),"",IF(NOT(ISNUMBER(B1035)),"Needs a date",IF(D1035="","Needs a client",IF(COUNTIF(Clients!$B$6:$B$105,D1035)=0,"Not on Clients",IF(AND(F1035="",INT(B1035)&lt;TODAY()),"Needs a status","")))))</f>
        <v/>
      </c>
      <c r="I1035" s="1">
        <f>IF(ISNUMBER(B1035),INT(B1035),0)</f>
        <v/>
      </c>
      <c r="J1035">
        <f>IF(ISNUMBER(B1035),YEAR(B1035)*100+MONTH(B1035),"")</f>
        <v/>
      </c>
      <c r="K1035">
        <f>IF(AND(H1035="",OR(F1035="Attended",F1035="No-show",AND(F1035="Late cancel",Settings!$C$9="Yes"))),1,0)</f>
        <v/>
      </c>
      <c r="L1035">
        <f>IF(AND(H1035="",F1035="Attended"),1,0)</f>
        <v/>
      </c>
      <c r="M1035">
        <f>IF(AND(H1035="",OR(F1035="No-show",F1035="Late cancel")),1,0)</f>
        <v/>
      </c>
      <c r="N1035">
        <f>IF(AND(H1035="",F1035="",D1035&lt;&gt;"",I1035&gt;=TODAY()),ROUND((I1035+IF(ISNUMBER(C1035),MOD(C1035,1),0))*1440,0)*10000+ROW(),"")</f>
        <v/>
      </c>
    </row>
    <row r="1036">
      <c r="A1036" s="1" t="n"/>
      <c r="B1036" s="17" t="n"/>
      <c r="C1036" s="18" t="n"/>
      <c r="D1036" s="19" t="n"/>
      <c r="E1036" s="20" t="n"/>
      <c r="F1036" s="20" t="n"/>
      <c r="G1036" s="21" t="n"/>
      <c r="H1036" s="12">
        <f>IF(AND(B1036="",D1036="",F1036=""),"",IF(NOT(ISNUMBER(B1036)),"Needs a date",IF(D1036="","Needs a client",IF(COUNTIF(Clients!$B$6:$B$105,D1036)=0,"Not on Clients",IF(AND(F1036="",INT(B1036)&lt;TODAY()),"Needs a status","")))))</f>
        <v/>
      </c>
      <c r="I1036" s="1">
        <f>IF(ISNUMBER(B1036),INT(B1036),0)</f>
        <v/>
      </c>
      <c r="J1036">
        <f>IF(ISNUMBER(B1036),YEAR(B1036)*100+MONTH(B1036),"")</f>
        <v/>
      </c>
      <c r="K1036">
        <f>IF(AND(H1036="",OR(F1036="Attended",F1036="No-show",AND(F1036="Late cancel",Settings!$C$9="Yes"))),1,0)</f>
        <v/>
      </c>
      <c r="L1036">
        <f>IF(AND(H1036="",F1036="Attended"),1,0)</f>
        <v/>
      </c>
      <c r="M1036">
        <f>IF(AND(H1036="",OR(F1036="No-show",F1036="Late cancel")),1,0)</f>
        <v/>
      </c>
      <c r="N1036">
        <f>IF(AND(H1036="",F1036="",D1036&lt;&gt;"",I1036&gt;=TODAY()),ROUND((I1036+IF(ISNUMBER(C1036),MOD(C1036,1),0))*1440,0)*10000+ROW(),"")</f>
        <v/>
      </c>
    </row>
    <row r="1037">
      <c r="A1037" s="1" t="n"/>
      <c r="B1037" s="17" t="n"/>
      <c r="C1037" s="18" t="n"/>
      <c r="D1037" s="19" t="n"/>
      <c r="E1037" s="20" t="n"/>
      <c r="F1037" s="20" t="n"/>
      <c r="G1037" s="21" t="n"/>
      <c r="H1037" s="12">
        <f>IF(AND(B1037="",D1037="",F1037=""),"",IF(NOT(ISNUMBER(B1037)),"Needs a date",IF(D1037="","Needs a client",IF(COUNTIF(Clients!$B$6:$B$105,D1037)=0,"Not on Clients",IF(AND(F1037="",INT(B1037)&lt;TODAY()),"Needs a status","")))))</f>
        <v/>
      </c>
      <c r="I1037" s="1">
        <f>IF(ISNUMBER(B1037),INT(B1037),0)</f>
        <v/>
      </c>
      <c r="J1037">
        <f>IF(ISNUMBER(B1037),YEAR(B1037)*100+MONTH(B1037),"")</f>
        <v/>
      </c>
      <c r="K1037">
        <f>IF(AND(H1037="",OR(F1037="Attended",F1037="No-show",AND(F1037="Late cancel",Settings!$C$9="Yes"))),1,0)</f>
        <v/>
      </c>
      <c r="L1037">
        <f>IF(AND(H1037="",F1037="Attended"),1,0)</f>
        <v/>
      </c>
      <c r="M1037">
        <f>IF(AND(H1037="",OR(F1037="No-show",F1037="Late cancel")),1,0)</f>
        <v/>
      </c>
      <c r="N1037">
        <f>IF(AND(H1037="",F1037="",D1037&lt;&gt;"",I1037&gt;=TODAY()),ROUND((I1037+IF(ISNUMBER(C1037),MOD(C1037,1),0))*1440,0)*10000+ROW(),"")</f>
        <v/>
      </c>
    </row>
    <row r="1038">
      <c r="A1038" s="1" t="n"/>
      <c r="B1038" s="17" t="n"/>
      <c r="C1038" s="18" t="n"/>
      <c r="D1038" s="19" t="n"/>
      <c r="E1038" s="20" t="n"/>
      <c r="F1038" s="20" t="n"/>
      <c r="G1038" s="21" t="n"/>
      <c r="H1038" s="12">
        <f>IF(AND(B1038="",D1038="",F1038=""),"",IF(NOT(ISNUMBER(B1038)),"Needs a date",IF(D1038="","Needs a client",IF(COUNTIF(Clients!$B$6:$B$105,D1038)=0,"Not on Clients",IF(AND(F1038="",INT(B1038)&lt;TODAY()),"Needs a status","")))))</f>
        <v/>
      </c>
      <c r="I1038" s="1">
        <f>IF(ISNUMBER(B1038),INT(B1038),0)</f>
        <v/>
      </c>
      <c r="J1038">
        <f>IF(ISNUMBER(B1038),YEAR(B1038)*100+MONTH(B1038),"")</f>
        <v/>
      </c>
      <c r="K1038">
        <f>IF(AND(H1038="",OR(F1038="Attended",F1038="No-show",AND(F1038="Late cancel",Settings!$C$9="Yes"))),1,0)</f>
        <v/>
      </c>
      <c r="L1038">
        <f>IF(AND(H1038="",F1038="Attended"),1,0)</f>
        <v/>
      </c>
      <c r="M1038">
        <f>IF(AND(H1038="",OR(F1038="No-show",F1038="Late cancel")),1,0)</f>
        <v/>
      </c>
      <c r="N1038">
        <f>IF(AND(H1038="",F1038="",D1038&lt;&gt;"",I1038&gt;=TODAY()),ROUND((I1038+IF(ISNUMBER(C1038),MOD(C1038,1),0))*1440,0)*10000+ROW(),"")</f>
        <v/>
      </c>
    </row>
    <row r="1039">
      <c r="A1039" s="1" t="n"/>
      <c r="B1039" s="17" t="n"/>
      <c r="C1039" s="18" t="n"/>
      <c r="D1039" s="19" t="n"/>
      <c r="E1039" s="20" t="n"/>
      <c r="F1039" s="20" t="n"/>
      <c r="G1039" s="21" t="n"/>
      <c r="H1039" s="12">
        <f>IF(AND(B1039="",D1039="",F1039=""),"",IF(NOT(ISNUMBER(B1039)),"Needs a date",IF(D1039="","Needs a client",IF(COUNTIF(Clients!$B$6:$B$105,D1039)=0,"Not on Clients",IF(AND(F1039="",INT(B1039)&lt;TODAY()),"Needs a status","")))))</f>
        <v/>
      </c>
      <c r="I1039" s="1">
        <f>IF(ISNUMBER(B1039),INT(B1039),0)</f>
        <v/>
      </c>
      <c r="J1039">
        <f>IF(ISNUMBER(B1039),YEAR(B1039)*100+MONTH(B1039),"")</f>
        <v/>
      </c>
      <c r="K1039">
        <f>IF(AND(H1039="",OR(F1039="Attended",F1039="No-show",AND(F1039="Late cancel",Settings!$C$9="Yes"))),1,0)</f>
        <v/>
      </c>
      <c r="L1039">
        <f>IF(AND(H1039="",F1039="Attended"),1,0)</f>
        <v/>
      </c>
      <c r="M1039">
        <f>IF(AND(H1039="",OR(F1039="No-show",F1039="Late cancel")),1,0)</f>
        <v/>
      </c>
      <c r="N1039">
        <f>IF(AND(H1039="",F1039="",D1039&lt;&gt;"",I1039&gt;=TODAY()),ROUND((I1039+IF(ISNUMBER(C1039),MOD(C1039,1),0))*1440,0)*10000+ROW(),"")</f>
        <v/>
      </c>
    </row>
    <row r="1040">
      <c r="A1040" s="1" t="n"/>
      <c r="B1040" s="17" t="n"/>
      <c r="C1040" s="18" t="n"/>
      <c r="D1040" s="19" t="n"/>
      <c r="E1040" s="20" t="n"/>
      <c r="F1040" s="20" t="n"/>
      <c r="G1040" s="21" t="n"/>
      <c r="H1040" s="12">
        <f>IF(AND(B1040="",D1040="",F1040=""),"",IF(NOT(ISNUMBER(B1040)),"Needs a date",IF(D1040="","Needs a client",IF(COUNTIF(Clients!$B$6:$B$105,D1040)=0,"Not on Clients",IF(AND(F1040="",INT(B1040)&lt;TODAY()),"Needs a status","")))))</f>
        <v/>
      </c>
      <c r="I1040" s="1">
        <f>IF(ISNUMBER(B1040),INT(B1040),0)</f>
        <v/>
      </c>
      <c r="J1040">
        <f>IF(ISNUMBER(B1040),YEAR(B1040)*100+MONTH(B1040),"")</f>
        <v/>
      </c>
      <c r="K1040">
        <f>IF(AND(H1040="",OR(F1040="Attended",F1040="No-show",AND(F1040="Late cancel",Settings!$C$9="Yes"))),1,0)</f>
        <v/>
      </c>
      <c r="L1040">
        <f>IF(AND(H1040="",F1040="Attended"),1,0)</f>
        <v/>
      </c>
      <c r="M1040">
        <f>IF(AND(H1040="",OR(F1040="No-show",F1040="Late cancel")),1,0)</f>
        <v/>
      </c>
      <c r="N1040">
        <f>IF(AND(H1040="",F1040="",D1040&lt;&gt;"",I1040&gt;=TODAY()),ROUND((I1040+IF(ISNUMBER(C1040),MOD(C1040,1),0))*1440,0)*10000+ROW(),"")</f>
        <v/>
      </c>
    </row>
    <row r="1041">
      <c r="A1041" s="1" t="n"/>
      <c r="B1041" s="17" t="n"/>
      <c r="C1041" s="18" t="n"/>
      <c r="D1041" s="19" t="n"/>
      <c r="E1041" s="20" t="n"/>
      <c r="F1041" s="20" t="n"/>
      <c r="G1041" s="21" t="n"/>
      <c r="H1041" s="12">
        <f>IF(AND(B1041="",D1041="",F1041=""),"",IF(NOT(ISNUMBER(B1041)),"Needs a date",IF(D1041="","Needs a client",IF(COUNTIF(Clients!$B$6:$B$105,D1041)=0,"Not on Clients",IF(AND(F1041="",INT(B1041)&lt;TODAY()),"Needs a status","")))))</f>
        <v/>
      </c>
      <c r="I1041" s="1">
        <f>IF(ISNUMBER(B1041),INT(B1041),0)</f>
        <v/>
      </c>
      <c r="J1041">
        <f>IF(ISNUMBER(B1041),YEAR(B1041)*100+MONTH(B1041),"")</f>
        <v/>
      </c>
      <c r="K1041">
        <f>IF(AND(H1041="",OR(F1041="Attended",F1041="No-show",AND(F1041="Late cancel",Settings!$C$9="Yes"))),1,0)</f>
        <v/>
      </c>
      <c r="L1041">
        <f>IF(AND(H1041="",F1041="Attended"),1,0)</f>
        <v/>
      </c>
      <c r="M1041">
        <f>IF(AND(H1041="",OR(F1041="No-show",F1041="Late cancel")),1,0)</f>
        <v/>
      </c>
      <c r="N1041">
        <f>IF(AND(H1041="",F1041="",D1041&lt;&gt;"",I1041&gt;=TODAY()),ROUND((I1041+IF(ISNUMBER(C1041),MOD(C1041,1),0))*1440,0)*10000+ROW(),"")</f>
        <v/>
      </c>
    </row>
    <row r="1042">
      <c r="A1042" s="1" t="n"/>
      <c r="B1042" s="17" t="n"/>
      <c r="C1042" s="18" t="n"/>
      <c r="D1042" s="19" t="n"/>
      <c r="E1042" s="20" t="n"/>
      <c r="F1042" s="20" t="n"/>
      <c r="G1042" s="21" t="n"/>
      <c r="H1042" s="12">
        <f>IF(AND(B1042="",D1042="",F1042=""),"",IF(NOT(ISNUMBER(B1042)),"Needs a date",IF(D1042="","Needs a client",IF(COUNTIF(Clients!$B$6:$B$105,D1042)=0,"Not on Clients",IF(AND(F1042="",INT(B1042)&lt;TODAY()),"Needs a status","")))))</f>
        <v/>
      </c>
      <c r="I1042" s="1">
        <f>IF(ISNUMBER(B1042),INT(B1042),0)</f>
        <v/>
      </c>
      <c r="J1042">
        <f>IF(ISNUMBER(B1042),YEAR(B1042)*100+MONTH(B1042),"")</f>
        <v/>
      </c>
      <c r="K1042">
        <f>IF(AND(H1042="",OR(F1042="Attended",F1042="No-show",AND(F1042="Late cancel",Settings!$C$9="Yes"))),1,0)</f>
        <v/>
      </c>
      <c r="L1042">
        <f>IF(AND(H1042="",F1042="Attended"),1,0)</f>
        <v/>
      </c>
      <c r="M1042">
        <f>IF(AND(H1042="",OR(F1042="No-show",F1042="Late cancel")),1,0)</f>
        <v/>
      </c>
      <c r="N1042">
        <f>IF(AND(H1042="",F1042="",D1042&lt;&gt;"",I1042&gt;=TODAY()),ROUND((I1042+IF(ISNUMBER(C1042),MOD(C1042,1),0))*1440,0)*10000+ROW(),"")</f>
        <v/>
      </c>
    </row>
    <row r="1043">
      <c r="A1043" s="1" t="n"/>
      <c r="B1043" s="17" t="n"/>
      <c r="C1043" s="18" t="n"/>
      <c r="D1043" s="19" t="n"/>
      <c r="E1043" s="20" t="n"/>
      <c r="F1043" s="20" t="n"/>
      <c r="G1043" s="21" t="n"/>
      <c r="H1043" s="12">
        <f>IF(AND(B1043="",D1043="",F1043=""),"",IF(NOT(ISNUMBER(B1043)),"Needs a date",IF(D1043="","Needs a client",IF(COUNTIF(Clients!$B$6:$B$105,D1043)=0,"Not on Clients",IF(AND(F1043="",INT(B1043)&lt;TODAY()),"Needs a status","")))))</f>
        <v/>
      </c>
      <c r="I1043" s="1">
        <f>IF(ISNUMBER(B1043),INT(B1043),0)</f>
        <v/>
      </c>
      <c r="J1043">
        <f>IF(ISNUMBER(B1043),YEAR(B1043)*100+MONTH(B1043),"")</f>
        <v/>
      </c>
      <c r="K1043">
        <f>IF(AND(H1043="",OR(F1043="Attended",F1043="No-show",AND(F1043="Late cancel",Settings!$C$9="Yes"))),1,0)</f>
        <v/>
      </c>
      <c r="L1043">
        <f>IF(AND(H1043="",F1043="Attended"),1,0)</f>
        <v/>
      </c>
      <c r="M1043">
        <f>IF(AND(H1043="",OR(F1043="No-show",F1043="Late cancel")),1,0)</f>
        <v/>
      </c>
      <c r="N1043">
        <f>IF(AND(H1043="",F1043="",D1043&lt;&gt;"",I1043&gt;=TODAY()),ROUND((I1043+IF(ISNUMBER(C1043),MOD(C1043,1),0))*1440,0)*10000+ROW(),"")</f>
        <v/>
      </c>
    </row>
    <row r="1044">
      <c r="A1044" s="1" t="n"/>
      <c r="B1044" s="17" t="n"/>
      <c r="C1044" s="18" t="n"/>
      <c r="D1044" s="19" t="n"/>
      <c r="E1044" s="20" t="n"/>
      <c r="F1044" s="20" t="n"/>
      <c r="G1044" s="21" t="n"/>
      <c r="H1044" s="12">
        <f>IF(AND(B1044="",D1044="",F1044=""),"",IF(NOT(ISNUMBER(B1044)),"Needs a date",IF(D1044="","Needs a client",IF(COUNTIF(Clients!$B$6:$B$105,D1044)=0,"Not on Clients",IF(AND(F1044="",INT(B1044)&lt;TODAY()),"Needs a status","")))))</f>
        <v/>
      </c>
      <c r="I1044" s="1">
        <f>IF(ISNUMBER(B1044),INT(B1044),0)</f>
        <v/>
      </c>
      <c r="J1044">
        <f>IF(ISNUMBER(B1044),YEAR(B1044)*100+MONTH(B1044),"")</f>
        <v/>
      </c>
      <c r="K1044">
        <f>IF(AND(H1044="",OR(F1044="Attended",F1044="No-show",AND(F1044="Late cancel",Settings!$C$9="Yes"))),1,0)</f>
        <v/>
      </c>
      <c r="L1044">
        <f>IF(AND(H1044="",F1044="Attended"),1,0)</f>
        <v/>
      </c>
      <c r="M1044">
        <f>IF(AND(H1044="",OR(F1044="No-show",F1044="Late cancel")),1,0)</f>
        <v/>
      </c>
      <c r="N1044">
        <f>IF(AND(H1044="",F1044="",D1044&lt;&gt;"",I1044&gt;=TODAY()),ROUND((I1044+IF(ISNUMBER(C1044),MOD(C1044,1),0))*1440,0)*10000+ROW(),"")</f>
        <v/>
      </c>
    </row>
    <row r="1045">
      <c r="A1045" s="1" t="n"/>
      <c r="B1045" s="17" t="n"/>
      <c r="C1045" s="18" t="n"/>
      <c r="D1045" s="19" t="n"/>
      <c r="E1045" s="20" t="n"/>
      <c r="F1045" s="20" t="n"/>
      <c r="G1045" s="21" t="n"/>
      <c r="H1045" s="12">
        <f>IF(AND(B1045="",D1045="",F1045=""),"",IF(NOT(ISNUMBER(B1045)),"Needs a date",IF(D1045="","Needs a client",IF(COUNTIF(Clients!$B$6:$B$105,D1045)=0,"Not on Clients",IF(AND(F1045="",INT(B1045)&lt;TODAY()),"Needs a status","")))))</f>
        <v/>
      </c>
      <c r="I1045" s="1">
        <f>IF(ISNUMBER(B1045),INT(B1045),0)</f>
        <v/>
      </c>
      <c r="J1045">
        <f>IF(ISNUMBER(B1045),YEAR(B1045)*100+MONTH(B1045),"")</f>
        <v/>
      </c>
      <c r="K1045">
        <f>IF(AND(H1045="",OR(F1045="Attended",F1045="No-show",AND(F1045="Late cancel",Settings!$C$9="Yes"))),1,0)</f>
        <v/>
      </c>
      <c r="L1045">
        <f>IF(AND(H1045="",F1045="Attended"),1,0)</f>
        <v/>
      </c>
      <c r="M1045">
        <f>IF(AND(H1045="",OR(F1045="No-show",F1045="Late cancel")),1,0)</f>
        <v/>
      </c>
      <c r="N1045">
        <f>IF(AND(H1045="",F1045="",D1045&lt;&gt;"",I1045&gt;=TODAY()),ROUND((I1045+IF(ISNUMBER(C1045),MOD(C1045,1),0))*1440,0)*10000+ROW(),"")</f>
        <v/>
      </c>
    </row>
    <row r="1046">
      <c r="A1046" s="1" t="n"/>
      <c r="B1046" s="17" t="n"/>
      <c r="C1046" s="18" t="n"/>
      <c r="D1046" s="19" t="n"/>
      <c r="E1046" s="20" t="n"/>
      <c r="F1046" s="20" t="n"/>
      <c r="G1046" s="21" t="n"/>
      <c r="H1046" s="12">
        <f>IF(AND(B1046="",D1046="",F1046=""),"",IF(NOT(ISNUMBER(B1046)),"Needs a date",IF(D1046="","Needs a client",IF(COUNTIF(Clients!$B$6:$B$105,D1046)=0,"Not on Clients",IF(AND(F1046="",INT(B1046)&lt;TODAY()),"Needs a status","")))))</f>
        <v/>
      </c>
      <c r="I1046" s="1">
        <f>IF(ISNUMBER(B1046),INT(B1046),0)</f>
        <v/>
      </c>
      <c r="J1046">
        <f>IF(ISNUMBER(B1046),YEAR(B1046)*100+MONTH(B1046),"")</f>
        <v/>
      </c>
      <c r="K1046">
        <f>IF(AND(H1046="",OR(F1046="Attended",F1046="No-show",AND(F1046="Late cancel",Settings!$C$9="Yes"))),1,0)</f>
        <v/>
      </c>
      <c r="L1046">
        <f>IF(AND(H1046="",F1046="Attended"),1,0)</f>
        <v/>
      </c>
      <c r="M1046">
        <f>IF(AND(H1046="",OR(F1046="No-show",F1046="Late cancel")),1,0)</f>
        <v/>
      </c>
      <c r="N1046">
        <f>IF(AND(H1046="",F1046="",D1046&lt;&gt;"",I1046&gt;=TODAY()),ROUND((I1046+IF(ISNUMBER(C1046),MOD(C1046,1),0))*1440,0)*10000+ROW(),"")</f>
        <v/>
      </c>
    </row>
    <row r="1047">
      <c r="A1047" s="1" t="n"/>
      <c r="B1047" s="17" t="n"/>
      <c r="C1047" s="18" t="n"/>
      <c r="D1047" s="19" t="n"/>
      <c r="E1047" s="20" t="n"/>
      <c r="F1047" s="20" t="n"/>
      <c r="G1047" s="21" t="n"/>
      <c r="H1047" s="12">
        <f>IF(AND(B1047="",D1047="",F1047=""),"",IF(NOT(ISNUMBER(B1047)),"Needs a date",IF(D1047="","Needs a client",IF(COUNTIF(Clients!$B$6:$B$105,D1047)=0,"Not on Clients",IF(AND(F1047="",INT(B1047)&lt;TODAY()),"Needs a status","")))))</f>
        <v/>
      </c>
      <c r="I1047" s="1">
        <f>IF(ISNUMBER(B1047),INT(B1047),0)</f>
        <v/>
      </c>
      <c r="J1047">
        <f>IF(ISNUMBER(B1047),YEAR(B1047)*100+MONTH(B1047),"")</f>
        <v/>
      </c>
      <c r="K1047">
        <f>IF(AND(H1047="",OR(F1047="Attended",F1047="No-show",AND(F1047="Late cancel",Settings!$C$9="Yes"))),1,0)</f>
        <v/>
      </c>
      <c r="L1047">
        <f>IF(AND(H1047="",F1047="Attended"),1,0)</f>
        <v/>
      </c>
      <c r="M1047">
        <f>IF(AND(H1047="",OR(F1047="No-show",F1047="Late cancel")),1,0)</f>
        <v/>
      </c>
      <c r="N1047">
        <f>IF(AND(H1047="",F1047="",D1047&lt;&gt;"",I1047&gt;=TODAY()),ROUND((I1047+IF(ISNUMBER(C1047),MOD(C1047,1),0))*1440,0)*10000+ROW(),"")</f>
        <v/>
      </c>
    </row>
    <row r="1048">
      <c r="A1048" s="1" t="n"/>
      <c r="B1048" s="17" t="n"/>
      <c r="C1048" s="18" t="n"/>
      <c r="D1048" s="19" t="n"/>
      <c r="E1048" s="20" t="n"/>
      <c r="F1048" s="20" t="n"/>
      <c r="G1048" s="21" t="n"/>
      <c r="H1048" s="12">
        <f>IF(AND(B1048="",D1048="",F1048=""),"",IF(NOT(ISNUMBER(B1048)),"Needs a date",IF(D1048="","Needs a client",IF(COUNTIF(Clients!$B$6:$B$105,D1048)=0,"Not on Clients",IF(AND(F1048="",INT(B1048)&lt;TODAY()),"Needs a status","")))))</f>
        <v/>
      </c>
      <c r="I1048" s="1">
        <f>IF(ISNUMBER(B1048),INT(B1048),0)</f>
        <v/>
      </c>
      <c r="J1048">
        <f>IF(ISNUMBER(B1048),YEAR(B1048)*100+MONTH(B1048),"")</f>
        <v/>
      </c>
      <c r="K1048">
        <f>IF(AND(H1048="",OR(F1048="Attended",F1048="No-show",AND(F1048="Late cancel",Settings!$C$9="Yes"))),1,0)</f>
        <v/>
      </c>
      <c r="L1048">
        <f>IF(AND(H1048="",F1048="Attended"),1,0)</f>
        <v/>
      </c>
      <c r="M1048">
        <f>IF(AND(H1048="",OR(F1048="No-show",F1048="Late cancel")),1,0)</f>
        <v/>
      </c>
      <c r="N1048">
        <f>IF(AND(H1048="",F1048="",D1048&lt;&gt;"",I1048&gt;=TODAY()),ROUND((I1048+IF(ISNUMBER(C1048),MOD(C1048,1),0))*1440,0)*10000+ROW(),"")</f>
        <v/>
      </c>
    </row>
    <row r="1049">
      <c r="A1049" s="1" t="n"/>
      <c r="B1049" s="17" t="n"/>
      <c r="C1049" s="18" t="n"/>
      <c r="D1049" s="19" t="n"/>
      <c r="E1049" s="20" t="n"/>
      <c r="F1049" s="20" t="n"/>
      <c r="G1049" s="21" t="n"/>
      <c r="H1049" s="12">
        <f>IF(AND(B1049="",D1049="",F1049=""),"",IF(NOT(ISNUMBER(B1049)),"Needs a date",IF(D1049="","Needs a client",IF(COUNTIF(Clients!$B$6:$B$105,D1049)=0,"Not on Clients",IF(AND(F1049="",INT(B1049)&lt;TODAY()),"Needs a status","")))))</f>
        <v/>
      </c>
      <c r="I1049" s="1">
        <f>IF(ISNUMBER(B1049),INT(B1049),0)</f>
        <v/>
      </c>
      <c r="J1049">
        <f>IF(ISNUMBER(B1049),YEAR(B1049)*100+MONTH(B1049),"")</f>
        <v/>
      </c>
      <c r="K1049">
        <f>IF(AND(H1049="",OR(F1049="Attended",F1049="No-show",AND(F1049="Late cancel",Settings!$C$9="Yes"))),1,0)</f>
        <v/>
      </c>
      <c r="L1049">
        <f>IF(AND(H1049="",F1049="Attended"),1,0)</f>
        <v/>
      </c>
      <c r="M1049">
        <f>IF(AND(H1049="",OR(F1049="No-show",F1049="Late cancel")),1,0)</f>
        <v/>
      </c>
      <c r="N1049">
        <f>IF(AND(H1049="",F1049="",D1049&lt;&gt;"",I1049&gt;=TODAY()),ROUND((I1049+IF(ISNUMBER(C1049),MOD(C1049,1),0))*1440,0)*10000+ROW(),"")</f>
        <v/>
      </c>
    </row>
    <row r="1050">
      <c r="A1050" s="1" t="n"/>
      <c r="B1050" s="17" t="n"/>
      <c r="C1050" s="18" t="n"/>
      <c r="D1050" s="19" t="n"/>
      <c r="E1050" s="20" t="n"/>
      <c r="F1050" s="20" t="n"/>
      <c r="G1050" s="21" t="n"/>
      <c r="H1050" s="12">
        <f>IF(AND(B1050="",D1050="",F1050=""),"",IF(NOT(ISNUMBER(B1050)),"Needs a date",IF(D1050="","Needs a client",IF(COUNTIF(Clients!$B$6:$B$105,D1050)=0,"Not on Clients",IF(AND(F1050="",INT(B1050)&lt;TODAY()),"Needs a status","")))))</f>
        <v/>
      </c>
      <c r="I1050" s="1">
        <f>IF(ISNUMBER(B1050),INT(B1050),0)</f>
        <v/>
      </c>
      <c r="J1050">
        <f>IF(ISNUMBER(B1050),YEAR(B1050)*100+MONTH(B1050),"")</f>
        <v/>
      </c>
      <c r="K1050">
        <f>IF(AND(H1050="",OR(F1050="Attended",F1050="No-show",AND(F1050="Late cancel",Settings!$C$9="Yes"))),1,0)</f>
        <v/>
      </c>
      <c r="L1050">
        <f>IF(AND(H1050="",F1050="Attended"),1,0)</f>
        <v/>
      </c>
      <c r="M1050">
        <f>IF(AND(H1050="",OR(F1050="No-show",F1050="Late cancel")),1,0)</f>
        <v/>
      </c>
      <c r="N1050">
        <f>IF(AND(H1050="",F1050="",D1050&lt;&gt;"",I1050&gt;=TODAY()),ROUND((I1050+IF(ISNUMBER(C1050),MOD(C1050,1),0))*1440,0)*10000+ROW(),"")</f>
        <v/>
      </c>
    </row>
    <row r="1051">
      <c r="A1051" s="1" t="n"/>
      <c r="B1051" s="17" t="n"/>
      <c r="C1051" s="18" t="n"/>
      <c r="D1051" s="19" t="n"/>
      <c r="E1051" s="20" t="n"/>
      <c r="F1051" s="20" t="n"/>
      <c r="G1051" s="21" t="n"/>
      <c r="H1051" s="12">
        <f>IF(AND(B1051="",D1051="",F1051=""),"",IF(NOT(ISNUMBER(B1051)),"Needs a date",IF(D1051="","Needs a client",IF(COUNTIF(Clients!$B$6:$B$105,D1051)=0,"Not on Clients",IF(AND(F1051="",INT(B1051)&lt;TODAY()),"Needs a status","")))))</f>
        <v/>
      </c>
      <c r="I1051" s="1">
        <f>IF(ISNUMBER(B1051),INT(B1051),0)</f>
        <v/>
      </c>
      <c r="J1051">
        <f>IF(ISNUMBER(B1051),YEAR(B1051)*100+MONTH(B1051),"")</f>
        <v/>
      </c>
      <c r="K1051">
        <f>IF(AND(H1051="",OR(F1051="Attended",F1051="No-show",AND(F1051="Late cancel",Settings!$C$9="Yes"))),1,0)</f>
        <v/>
      </c>
      <c r="L1051">
        <f>IF(AND(H1051="",F1051="Attended"),1,0)</f>
        <v/>
      </c>
      <c r="M1051">
        <f>IF(AND(H1051="",OR(F1051="No-show",F1051="Late cancel")),1,0)</f>
        <v/>
      </c>
      <c r="N1051">
        <f>IF(AND(H1051="",F1051="",D1051&lt;&gt;"",I1051&gt;=TODAY()),ROUND((I1051+IF(ISNUMBER(C1051),MOD(C1051,1),0))*1440,0)*10000+ROW(),"")</f>
        <v/>
      </c>
    </row>
    <row r="1052">
      <c r="A1052" s="1" t="n"/>
      <c r="B1052" s="17" t="n"/>
      <c r="C1052" s="18" t="n"/>
      <c r="D1052" s="19" t="n"/>
      <c r="E1052" s="20" t="n"/>
      <c r="F1052" s="20" t="n"/>
      <c r="G1052" s="21" t="n"/>
      <c r="H1052" s="12">
        <f>IF(AND(B1052="",D1052="",F1052=""),"",IF(NOT(ISNUMBER(B1052)),"Needs a date",IF(D1052="","Needs a client",IF(COUNTIF(Clients!$B$6:$B$105,D1052)=0,"Not on Clients",IF(AND(F1052="",INT(B1052)&lt;TODAY()),"Needs a status","")))))</f>
        <v/>
      </c>
      <c r="I1052" s="1">
        <f>IF(ISNUMBER(B1052),INT(B1052),0)</f>
        <v/>
      </c>
      <c r="J1052">
        <f>IF(ISNUMBER(B1052),YEAR(B1052)*100+MONTH(B1052),"")</f>
        <v/>
      </c>
      <c r="K1052">
        <f>IF(AND(H1052="",OR(F1052="Attended",F1052="No-show",AND(F1052="Late cancel",Settings!$C$9="Yes"))),1,0)</f>
        <v/>
      </c>
      <c r="L1052">
        <f>IF(AND(H1052="",F1052="Attended"),1,0)</f>
        <v/>
      </c>
      <c r="M1052">
        <f>IF(AND(H1052="",OR(F1052="No-show",F1052="Late cancel")),1,0)</f>
        <v/>
      </c>
      <c r="N1052">
        <f>IF(AND(H1052="",F1052="",D1052&lt;&gt;"",I1052&gt;=TODAY()),ROUND((I1052+IF(ISNUMBER(C1052),MOD(C1052,1),0))*1440,0)*10000+ROW(),"")</f>
        <v/>
      </c>
    </row>
    <row r="1053">
      <c r="A1053" s="1" t="n"/>
      <c r="B1053" s="17" t="n"/>
      <c r="C1053" s="18" t="n"/>
      <c r="D1053" s="19" t="n"/>
      <c r="E1053" s="20" t="n"/>
      <c r="F1053" s="20" t="n"/>
      <c r="G1053" s="21" t="n"/>
      <c r="H1053" s="12">
        <f>IF(AND(B1053="",D1053="",F1053=""),"",IF(NOT(ISNUMBER(B1053)),"Needs a date",IF(D1053="","Needs a client",IF(COUNTIF(Clients!$B$6:$B$105,D1053)=0,"Not on Clients",IF(AND(F1053="",INT(B1053)&lt;TODAY()),"Needs a status","")))))</f>
        <v/>
      </c>
      <c r="I1053" s="1">
        <f>IF(ISNUMBER(B1053),INT(B1053),0)</f>
        <v/>
      </c>
      <c r="J1053">
        <f>IF(ISNUMBER(B1053),YEAR(B1053)*100+MONTH(B1053),"")</f>
        <v/>
      </c>
      <c r="K1053">
        <f>IF(AND(H1053="",OR(F1053="Attended",F1053="No-show",AND(F1053="Late cancel",Settings!$C$9="Yes"))),1,0)</f>
        <v/>
      </c>
      <c r="L1053">
        <f>IF(AND(H1053="",F1053="Attended"),1,0)</f>
        <v/>
      </c>
      <c r="M1053">
        <f>IF(AND(H1053="",OR(F1053="No-show",F1053="Late cancel")),1,0)</f>
        <v/>
      </c>
      <c r="N1053">
        <f>IF(AND(H1053="",F1053="",D1053&lt;&gt;"",I1053&gt;=TODAY()),ROUND((I1053+IF(ISNUMBER(C1053),MOD(C1053,1),0))*1440,0)*10000+ROW(),"")</f>
        <v/>
      </c>
    </row>
    <row r="1054">
      <c r="A1054" s="1" t="n"/>
      <c r="B1054" s="17" t="n"/>
      <c r="C1054" s="18" t="n"/>
      <c r="D1054" s="19" t="n"/>
      <c r="E1054" s="20" t="n"/>
      <c r="F1054" s="20" t="n"/>
      <c r="G1054" s="21" t="n"/>
      <c r="H1054" s="12">
        <f>IF(AND(B1054="",D1054="",F1054=""),"",IF(NOT(ISNUMBER(B1054)),"Needs a date",IF(D1054="","Needs a client",IF(COUNTIF(Clients!$B$6:$B$105,D1054)=0,"Not on Clients",IF(AND(F1054="",INT(B1054)&lt;TODAY()),"Needs a status","")))))</f>
        <v/>
      </c>
      <c r="I1054" s="1">
        <f>IF(ISNUMBER(B1054),INT(B1054),0)</f>
        <v/>
      </c>
      <c r="J1054">
        <f>IF(ISNUMBER(B1054),YEAR(B1054)*100+MONTH(B1054),"")</f>
        <v/>
      </c>
      <c r="K1054">
        <f>IF(AND(H1054="",OR(F1054="Attended",F1054="No-show",AND(F1054="Late cancel",Settings!$C$9="Yes"))),1,0)</f>
        <v/>
      </c>
      <c r="L1054">
        <f>IF(AND(H1054="",F1054="Attended"),1,0)</f>
        <v/>
      </c>
      <c r="M1054">
        <f>IF(AND(H1054="",OR(F1054="No-show",F1054="Late cancel")),1,0)</f>
        <v/>
      </c>
      <c r="N1054">
        <f>IF(AND(H1054="",F1054="",D1054&lt;&gt;"",I1054&gt;=TODAY()),ROUND((I1054+IF(ISNUMBER(C1054),MOD(C1054,1),0))*1440,0)*10000+ROW(),"")</f>
        <v/>
      </c>
    </row>
    <row r="1055">
      <c r="A1055" s="1" t="n"/>
      <c r="B1055" s="17" t="n"/>
      <c r="C1055" s="18" t="n"/>
      <c r="D1055" s="19" t="n"/>
      <c r="E1055" s="20" t="n"/>
      <c r="F1055" s="20" t="n"/>
      <c r="G1055" s="21" t="n"/>
      <c r="H1055" s="12">
        <f>IF(AND(B1055="",D1055="",F1055=""),"",IF(NOT(ISNUMBER(B1055)),"Needs a date",IF(D1055="","Needs a client",IF(COUNTIF(Clients!$B$6:$B$105,D1055)=0,"Not on Clients",IF(AND(F1055="",INT(B1055)&lt;TODAY()),"Needs a status","")))))</f>
        <v/>
      </c>
      <c r="I1055" s="1">
        <f>IF(ISNUMBER(B1055),INT(B1055),0)</f>
        <v/>
      </c>
      <c r="J1055">
        <f>IF(ISNUMBER(B1055),YEAR(B1055)*100+MONTH(B1055),"")</f>
        <v/>
      </c>
      <c r="K1055">
        <f>IF(AND(H1055="",OR(F1055="Attended",F1055="No-show",AND(F1055="Late cancel",Settings!$C$9="Yes"))),1,0)</f>
        <v/>
      </c>
      <c r="L1055">
        <f>IF(AND(H1055="",F1055="Attended"),1,0)</f>
        <v/>
      </c>
      <c r="M1055">
        <f>IF(AND(H1055="",OR(F1055="No-show",F1055="Late cancel")),1,0)</f>
        <v/>
      </c>
      <c r="N1055">
        <f>IF(AND(H1055="",F1055="",D1055&lt;&gt;"",I1055&gt;=TODAY()),ROUND((I1055+IF(ISNUMBER(C1055),MOD(C1055,1),0))*1440,0)*10000+ROW(),"")</f>
        <v/>
      </c>
    </row>
    <row r="1056">
      <c r="A1056" s="1" t="n"/>
      <c r="B1056" s="17" t="n"/>
      <c r="C1056" s="18" t="n"/>
      <c r="D1056" s="19" t="n"/>
      <c r="E1056" s="20" t="n"/>
      <c r="F1056" s="20" t="n"/>
      <c r="G1056" s="21" t="n"/>
      <c r="H1056" s="12">
        <f>IF(AND(B1056="",D1056="",F1056=""),"",IF(NOT(ISNUMBER(B1056)),"Needs a date",IF(D1056="","Needs a client",IF(COUNTIF(Clients!$B$6:$B$105,D1056)=0,"Not on Clients",IF(AND(F1056="",INT(B1056)&lt;TODAY()),"Needs a status","")))))</f>
        <v/>
      </c>
      <c r="I1056" s="1">
        <f>IF(ISNUMBER(B1056),INT(B1056),0)</f>
        <v/>
      </c>
      <c r="J1056">
        <f>IF(ISNUMBER(B1056),YEAR(B1056)*100+MONTH(B1056),"")</f>
        <v/>
      </c>
      <c r="K1056">
        <f>IF(AND(H1056="",OR(F1056="Attended",F1056="No-show",AND(F1056="Late cancel",Settings!$C$9="Yes"))),1,0)</f>
        <v/>
      </c>
      <c r="L1056">
        <f>IF(AND(H1056="",F1056="Attended"),1,0)</f>
        <v/>
      </c>
      <c r="M1056">
        <f>IF(AND(H1056="",OR(F1056="No-show",F1056="Late cancel")),1,0)</f>
        <v/>
      </c>
      <c r="N1056">
        <f>IF(AND(H1056="",F1056="",D1056&lt;&gt;"",I1056&gt;=TODAY()),ROUND((I1056+IF(ISNUMBER(C1056),MOD(C1056,1),0))*1440,0)*10000+ROW(),"")</f>
        <v/>
      </c>
    </row>
    <row r="1057">
      <c r="A1057" s="1" t="n"/>
      <c r="B1057" s="17" t="n"/>
      <c r="C1057" s="18" t="n"/>
      <c r="D1057" s="19" t="n"/>
      <c r="E1057" s="20" t="n"/>
      <c r="F1057" s="20" t="n"/>
      <c r="G1057" s="21" t="n"/>
      <c r="H1057" s="12">
        <f>IF(AND(B1057="",D1057="",F1057=""),"",IF(NOT(ISNUMBER(B1057)),"Needs a date",IF(D1057="","Needs a client",IF(COUNTIF(Clients!$B$6:$B$105,D1057)=0,"Not on Clients",IF(AND(F1057="",INT(B1057)&lt;TODAY()),"Needs a status","")))))</f>
        <v/>
      </c>
      <c r="I1057" s="1">
        <f>IF(ISNUMBER(B1057),INT(B1057),0)</f>
        <v/>
      </c>
      <c r="J1057">
        <f>IF(ISNUMBER(B1057),YEAR(B1057)*100+MONTH(B1057),"")</f>
        <v/>
      </c>
      <c r="K1057">
        <f>IF(AND(H1057="",OR(F1057="Attended",F1057="No-show",AND(F1057="Late cancel",Settings!$C$9="Yes"))),1,0)</f>
        <v/>
      </c>
      <c r="L1057">
        <f>IF(AND(H1057="",F1057="Attended"),1,0)</f>
        <v/>
      </c>
      <c r="M1057">
        <f>IF(AND(H1057="",OR(F1057="No-show",F1057="Late cancel")),1,0)</f>
        <v/>
      </c>
      <c r="N1057">
        <f>IF(AND(H1057="",F1057="",D1057&lt;&gt;"",I1057&gt;=TODAY()),ROUND((I1057+IF(ISNUMBER(C1057),MOD(C1057,1),0))*1440,0)*10000+ROW(),"")</f>
        <v/>
      </c>
    </row>
    <row r="1058">
      <c r="A1058" s="1" t="n"/>
      <c r="B1058" s="17" t="n"/>
      <c r="C1058" s="18" t="n"/>
      <c r="D1058" s="19" t="n"/>
      <c r="E1058" s="20" t="n"/>
      <c r="F1058" s="20" t="n"/>
      <c r="G1058" s="21" t="n"/>
      <c r="H1058" s="12">
        <f>IF(AND(B1058="",D1058="",F1058=""),"",IF(NOT(ISNUMBER(B1058)),"Needs a date",IF(D1058="","Needs a client",IF(COUNTIF(Clients!$B$6:$B$105,D1058)=0,"Not on Clients",IF(AND(F1058="",INT(B1058)&lt;TODAY()),"Needs a status","")))))</f>
        <v/>
      </c>
      <c r="I1058" s="1">
        <f>IF(ISNUMBER(B1058),INT(B1058),0)</f>
        <v/>
      </c>
      <c r="J1058">
        <f>IF(ISNUMBER(B1058),YEAR(B1058)*100+MONTH(B1058),"")</f>
        <v/>
      </c>
      <c r="K1058">
        <f>IF(AND(H1058="",OR(F1058="Attended",F1058="No-show",AND(F1058="Late cancel",Settings!$C$9="Yes"))),1,0)</f>
        <v/>
      </c>
      <c r="L1058">
        <f>IF(AND(H1058="",F1058="Attended"),1,0)</f>
        <v/>
      </c>
      <c r="M1058">
        <f>IF(AND(H1058="",OR(F1058="No-show",F1058="Late cancel")),1,0)</f>
        <v/>
      </c>
      <c r="N1058">
        <f>IF(AND(H1058="",F1058="",D1058&lt;&gt;"",I1058&gt;=TODAY()),ROUND((I1058+IF(ISNUMBER(C1058),MOD(C1058,1),0))*1440,0)*10000+ROW(),"")</f>
        <v/>
      </c>
    </row>
    <row r="1059">
      <c r="A1059" s="1" t="n"/>
      <c r="B1059" s="17" t="n"/>
      <c r="C1059" s="18" t="n"/>
      <c r="D1059" s="19" t="n"/>
      <c r="E1059" s="20" t="n"/>
      <c r="F1059" s="20" t="n"/>
      <c r="G1059" s="21" t="n"/>
      <c r="H1059" s="12">
        <f>IF(AND(B1059="",D1059="",F1059=""),"",IF(NOT(ISNUMBER(B1059)),"Needs a date",IF(D1059="","Needs a client",IF(COUNTIF(Clients!$B$6:$B$105,D1059)=0,"Not on Clients",IF(AND(F1059="",INT(B1059)&lt;TODAY()),"Needs a status","")))))</f>
        <v/>
      </c>
      <c r="I1059" s="1">
        <f>IF(ISNUMBER(B1059),INT(B1059),0)</f>
        <v/>
      </c>
      <c r="J1059">
        <f>IF(ISNUMBER(B1059),YEAR(B1059)*100+MONTH(B1059),"")</f>
        <v/>
      </c>
      <c r="K1059">
        <f>IF(AND(H1059="",OR(F1059="Attended",F1059="No-show",AND(F1059="Late cancel",Settings!$C$9="Yes"))),1,0)</f>
        <v/>
      </c>
      <c r="L1059">
        <f>IF(AND(H1059="",F1059="Attended"),1,0)</f>
        <v/>
      </c>
      <c r="M1059">
        <f>IF(AND(H1059="",OR(F1059="No-show",F1059="Late cancel")),1,0)</f>
        <v/>
      </c>
      <c r="N1059">
        <f>IF(AND(H1059="",F1059="",D1059&lt;&gt;"",I1059&gt;=TODAY()),ROUND((I1059+IF(ISNUMBER(C1059),MOD(C1059,1),0))*1440,0)*10000+ROW(),"")</f>
        <v/>
      </c>
    </row>
    <row r="1060">
      <c r="A1060" s="1" t="n"/>
      <c r="B1060" s="17" t="n"/>
      <c r="C1060" s="18" t="n"/>
      <c r="D1060" s="19" t="n"/>
      <c r="E1060" s="20" t="n"/>
      <c r="F1060" s="20" t="n"/>
      <c r="G1060" s="21" t="n"/>
      <c r="H1060" s="12">
        <f>IF(AND(B1060="",D1060="",F1060=""),"",IF(NOT(ISNUMBER(B1060)),"Needs a date",IF(D1060="","Needs a client",IF(COUNTIF(Clients!$B$6:$B$105,D1060)=0,"Not on Clients",IF(AND(F1060="",INT(B1060)&lt;TODAY()),"Needs a status","")))))</f>
        <v/>
      </c>
      <c r="I1060" s="1">
        <f>IF(ISNUMBER(B1060),INT(B1060),0)</f>
        <v/>
      </c>
      <c r="J1060">
        <f>IF(ISNUMBER(B1060),YEAR(B1060)*100+MONTH(B1060),"")</f>
        <v/>
      </c>
      <c r="K1060">
        <f>IF(AND(H1060="",OR(F1060="Attended",F1060="No-show",AND(F1060="Late cancel",Settings!$C$9="Yes"))),1,0)</f>
        <v/>
      </c>
      <c r="L1060">
        <f>IF(AND(H1060="",F1060="Attended"),1,0)</f>
        <v/>
      </c>
      <c r="M1060">
        <f>IF(AND(H1060="",OR(F1060="No-show",F1060="Late cancel")),1,0)</f>
        <v/>
      </c>
      <c r="N1060">
        <f>IF(AND(H1060="",F1060="",D1060&lt;&gt;"",I1060&gt;=TODAY()),ROUND((I1060+IF(ISNUMBER(C1060),MOD(C1060,1),0))*1440,0)*10000+ROW(),"")</f>
        <v/>
      </c>
    </row>
    <row r="1061">
      <c r="A1061" s="1" t="n"/>
      <c r="B1061" s="17" t="n"/>
      <c r="C1061" s="18" t="n"/>
      <c r="D1061" s="19" t="n"/>
      <c r="E1061" s="20" t="n"/>
      <c r="F1061" s="20" t="n"/>
      <c r="G1061" s="21" t="n"/>
      <c r="H1061" s="12">
        <f>IF(AND(B1061="",D1061="",F1061=""),"",IF(NOT(ISNUMBER(B1061)),"Needs a date",IF(D1061="","Needs a client",IF(COUNTIF(Clients!$B$6:$B$105,D1061)=0,"Not on Clients",IF(AND(F1061="",INT(B1061)&lt;TODAY()),"Needs a status","")))))</f>
        <v/>
      </c>
      <c r="I1061" s="1">
        <f>IF(ISNUMBER(B1061),INT(B1061),0)</f>
        <v/>
      </c>
      <c r="J1061">
        <f>IF(ISNUMBER(B1061),YEAR(B1061)*100+MONTH(B1061),"")</f>
        <v/>
      </c>
      <c r="K1061">
        <f>IF(AND(H1061="",OR(F1061="Attended",F1061="No-show",AND(F1061="Late cancel",Settings!$C$9="Yes"))),1,0)</f>
        <v/>
      </c>
      <c r="L1061">
        <f>IF(AND(H1061="",F1061="Attended"),1,0)</f>
        <v/>
      </c>
      <c r="M1061">
        <f>IF(AND(H1061="",OR(F1061="No-show",F1061="Late cancel")),1,0)</f>
        <v/>
      </c>
      <c r="N1061">
        <f>IF(AND(H1061="",F1061="",D1061&lt;&gt;"",I1061&gt;=TODAY()),ROUND((I1061+IF(ISNUMBER(C1061),MOD(C1061,1),0))*1440,0)*10000+ROW(),"")</f>
        <v/>
      </c>
    </row>
    <row r="1062">
      <c r="A1062" s="1" t="n"/>
      <c r="B1062" s="17" t="n"/>
      <c r="C1062" s="18" t="n"/>
      <c r="D1062" s="19" t="n"/>
      <c r="E1062" s="20" t="n"/>
      <c r="F1062" s="20" t="n"/>
      <c r="G1062" s="21" t="n"/>
      <c r="H1062" s="12">
        <f>IF(AND(B1062="",D1062="",F1062=""),"",IF(NOT(ISNUMBER(B1062)),"Needs a date",IF(D1062="","Needs a client",IF(COUNTIF(Clients!$B$6:$B$105,D1062)=0,"Not on Clients",IF(AND(F1062="",INT(B1062)&lt;TODAY()),"Needs a status","")))))</f>
        <v/>
      </c>
      <c r="I1062" s="1">
        <f>IF(ISNUMBER(B1062),INT(B1062),0)</f>
        <v/>
      </c>
      <c r="J1062">
        <f>IF(ISNUMBER(B1062),YEAR(B1062)*100+MONTH(B1062),"")</f>
        <v/>
      </c>
      <c r="K1062">
        <f>IF(AND(H1062="",OR(F1062="Attended",F1062="No-show",AND(F1062="Late cancel",Settings!$C$9="Yes"))),1,0)</f>
        <v/>
      </c>
      <c r="L1062">
        <f>IF(AND(H1062="",F1062="Attended"),1,0)</f>
        <v/>
      </c>
      <c r="M1062">
        <f>IF(AND(H1062="",OR(F1062="No-show",F1062="Late cancel")),1,0)</f>
        <v/>
      </c>
      <c r="N1062">
        <f>IF(AND(H1062="",F1062="",D1062&lt;&gt;"",I1062&gt;=TODAY()),ROUND((I1062+IF(ISNUMBER(C1062),MOD(C1062,1),0))*1440,0)*10000+ROW(),"")</f>
        <v/>
      </c>
    </row>
    <row r="1063">
      <c r="A1063" s="1" t="n"/>
      <c r="B1063" s="17" t="n"/>
      <c r="C1063" s="18" t="n"/>
      <c r="D1063" s="19" t="n"/>
      <c r="E1063" s="20" t="n"/>
      <c r="F1063" s="20" t="n"/>
      <c r="G1063" s="21" t="n"/>
      <c r="H1063" s="12">
        <f>IF(AND(B1063="",D1063="",F1063=""),"",IF(NOT(ISNUMBER(B1063)),"Needs a date",IF(D1063="","Needs a client",IF(COUNTIF(Clients!$B$6:$B$105,D1063)=0,"Not on Clients",IF(AND(F1063="",INT(B1063)&lt;TODAY()),"Needs a status","")))))</f>
        <v/>
      </c>
      <c r="I1063" s="1">
        <f>IF(ISNUMBER(B1063),INT(B1063),0)</f>
        <v/>
      </c>
      <c r="J1063">
        <f>IF(ISNUMBER(B1063),YEAR(B1063)*100+MONTH(B1063),"")</f>
        <v/>
      </c>
      <c r="K1063">
        <f>IF(AND(H1063="",OR(F1063="Attended",F1063="No-show",AND(F1063="Late cancel",Settings!$C$9="Yes"))),1,0)</f>
        <v/>
      </c>
      <c r="L1063">
        <f>IF(AND(H1063="",F1063="Attended"),1,0)</f>
        <v/>
      </c>
      <c r="M1063">
        <f>IF(AND(H1063="",OR(F1063="No-show",F1063="Late cancel")),1,0)</f>
        <v/>
      </c>
      <c r="N1063">
        <f>IF(AND(H1063="",F1063="",D1063&lt;&gt;"",I1063&gt;=TODAY()),ROUND((I1063+IF(ISNUMBER(C1063),MOD(C1063,1),0))*1440,0)*10000+ROW(),"")</f>
        <v/>
      </c>
    </row>
    <row r="1064">
      <c r="A1064" s="1" t="n"/>
      <c r="B1064" s="17" t="n"/>
      <c r="C1064" s="18" t="n"/>
      <c r="D1064" s="19" t="n"/>
      <c r="E1064" s="20" t="n"/>
      <c r="F1064" s="20" t="n"/>
      <c r="G1064" s="21" t="n"/>
      <c r="H1064" s="12">
        <f>IF(AND(B1064="",D1064="",F1064=""),"",IF(NOT(ISNUMBER(B1064)),"Needs a date",IF(D1064="","Needs a client",IF(COUNTIF(Clients!$B$6:$B$105,D1064)=0,"Not on Clients",IF(AND(F1064="",INT(B1064)&lt;TODAY()),"Needs a status","")))))</f>
        <v/>
      </c>
      <c r="I1064" s="1">
        <f>IF(ISNUMBER(B1064),INT(B1064),0)</f>
        <v/>
      </c>
      <c r="J1064">
        <f>IF(ISNUMBER(B1064),YEAR(B1064)*100+MONTH(B1064),"")</f>
        <v/>
      </c>
      <c r="K1064">
        <f>IF(AND(H1064="",OR(F1064="Attended",F1064="No-show",AND(F1064="Late cancel",Settings!$C$9="Yes"))),1,0)</f>
        <v/>
      </c>
      <c r="L1064">
        <f>IF(AND(H1064="",F1064="Attended"),1,0)</f>
        <v/>
      </c>
      <c r="M1064">
        <f>IF(AND(H1064="",OR(F1064="No-show",F1064="Late cancel")),1,0)</f>
        <v/>
      </c>
      <c r="N1064">
        <f>IF(AND(H1064="",F1064="",D1064&lt;&gt;"",I1064&gt;=TODAY()),ROUND((I1064+IF(ISNUMBER(C1064),MOD(C1064,1),0))*1440,0)*10000+ROW(),"")</f>
        <v/>
      </c>
    </row>
    <row r="1065">
      <c r="A1065" s="1" t="n"/>
      <c r="B1065" s="17" t="n"/>
      <c r="C1065" s="18" t="n"/>
      <c r="D1065" s="19" t="n"/>
      <c r="E1065" s="20" t="n"/>
      <c r="F1065" s="20" t="n"/>
      <c r="G1065" s="21" t="n"/>
      <c r="H1065" s="12">
        <f>IF(AND(B1065="",D1065="",F1065=""),"",IF(NOT(ISNUMBER(B1065)),"Needs a date",IF(D1065="","Needs a client",IF(COUNTIF(Clients!$B$6:$B$105,D1065)=0,"Not on Clients",IF(AND(F1065="",INT(B1065)&lt;TODAY()),"Needs a status","")))))</f>
        <v/>
      </c>
      <c r="I1065" s="1">
        <f>IF(ISNUMBER(B1065),INT(B1065),0)</f>
        <v/>
      </c>
      <c r="J1065">
        <f>IF(ISNUMBER(B1065),YEAR(B1065)*100+MONTH(B1065),"")</f>
        <v/>
      </c>
      <c r="K1065">
        <f>IF(AND(H1065="",OR(F1065="Attended",F1065="No-show",AND(F1065="Late cancel",Settings!$C$9="Yes"))),1,0)</f>
        <v/>
      </c>
      <c r="L1065">
        <f>IF(AND(H1065="",F1065="Attended"),1,0)</f>
        <v/>
      </c>
      <c r="M1065">
        <f>IF(AND(H1065="",OR(F1065="No-show",F1065="Late cancel")),1,0)</f>
        <v/>
      </c>
      <c r="N1065">
        <f>IF(AND(H1065="",F1065="",D1065&lt;&gt;"",I1065&gt;=TODAY()),ROUND((I1065+IF(ISNUMBER(C1065),MOD(C1065,1),0))*1440,0)*10000+ROW(),"")</f>
        <v/>
      </c>
    </row>
    <row r="1066">
      <c r="A1066" s="1" t="n"/>
      <c r="B1066" s="17" t="n"/>
      <c r="C1066" s="18" t="n"/>
      <c r="D1066" s="19" t="n"/>
      <c r="E1066" s="20" t="n"/>
      <c r="F1066" s="20" t="n"/>
      <c r="G1066" s="21" t="n"/>
      <c r="H1066" s="12">
        <f>IF(AND(B1066="",D1066="",F1066=""),"",IF(NOT(ISNUMBER(B1066)),"Needs a date",IF(D1066="","Needs a client",IF(COUNTIF(Clients!$B$6:$B$105,D1066)=0,"Not on Clients",IF(AND(F1066="",INT(B1066)&lt;TODAY()),"Needs a status","")))))</f>
        <v/>
      </c>
      <c r="I1066" s="1">
        <f>IF(ISNUMBER(B1066),INT(B1066),0)</f>
        <v/>
      </c>
      <c r="J1066">
        <f>IF(ISNUMBER(B1066),YEAR(B1066)*100+MONTH(B1066),"")</f>
        <v/>
      </c>
      <c r="K1066">
        <f>IF(AND(H1066="",OR(F1066="Attended",F1066="No-show",AND(F1066="Late cancel",Settings!$C$9="Yes"))),1,0)</f>
        <v/>
      </c>
      <c r="L1066">
        <f>IF(AND(H1066="",F1066="Attended"),1,0)</f>
        <v/>
      </c>
      <c r="M1066">
        <f>IF(AND(H1066="",OR(F1066="No-show",F1066="Late cancel")),1,0)</f>
        <v/>
      </c>
      <c r="N1066">
        <f>IF(AND(H1066="",F1066="",D1066&lt;&gt;"",I1066&gt;=TODAY()),ROUND((I1066+IF(ISNUMBER(C1066),MOD(C1066,1),0))*1440,0)*10000+ROW(),"")</f>
        <v/>
      </c>
    </row>
    <row r="1067">
      <c r="A1067" s="1" t="n"/>
      <c r="B1067" s="17" t="n"/>
      <c r="C1067" s="18" t="n"/>
      <c r="D1067" s="19" t="n"/>
      <c r="E1067" s="20" t="n"/>
      <c r="F1067" s="20" t="n"/>
      <c r="G1067" s="21" t="n"/>
      <c r="H1067" s="12">
        <f>IF(AND(B1067="",D1067="",F1067=""),"",IF(NOT(ISNUMBER(B1067)),"Needs a date",IF(D1067="","Needs a client",IF(COUNTIF(Clients!$B$6:$B$105,D1067)=0,"Not on Clients",IF(AND(F1067="",INT(B1067)&lt;TODAY()),"Needs a status","")))))</f>
        <v/>
      </c>
      <c r="I1067" s="1">
        <f>IF(ISNUMBER(B1067),INT(B1067),0)</f>
        <v/>
      </c>
      <c r="J1067">
        <f>IF(ISNUMBER(B1067),YEAR(B1067)*100+MONTH(B1067),"")</f>
        <v/>
      </c>
      <c r="K1067">
        <f>IF(AND(H1067="",OR(F1067="Attended",F1067="No-show",AND(F1067="Late cancel",Settings!$C$9="Yes"))),1,0)</f>
        <v/>
      </c>
      <c r="L1067">
        <f>IF(AND(H1067="",F1067="Attended"),1,0)</f>
        <v/>
      </c>
      <c r="M1067">
        <f>IF(AND(H1067="",OR(F1067="No-show",F1067="Late cancel")),1,0)</f>
        <v/>
      </c>
      <c r="N1067">
        <f>IF(AND(H1067="",F1067="",D1067&lt;&gt;"",I1067&gt;=TODAY()),ROUND((I1067+IF(ISNUMBER(C1067),MOD(C1067,1),0))*1440,0)*10000+ROW(),"")</f>
        <v/>
      </c>
    </row>
    <row r="1068">
      <c r="A1068" s="1" t="n"/>
      <c r="B1068" s="17" t="n"/>
      <c r="C1068" s="18" t="n"/>
      <c r="D1068" s="19" t="n"/>
      <c r="E1068" s="20" t="n"/>
      <c r="F1068" s="20" t="n"/>
      <c r="G1068" s="21" t="n"/>
      <c r="H1068" s="12">
        <f>IF(AND(B1068="",D1068="",F1068=""),"",IF(NOT(ISNUMBER(B1068)),"Needs a date",IF(D1068="","Needs a client",IF(COUNTIF(Clients!$B$6:$B$105,D1068)=0,"Not on Clients",IF(AND(F1068="",INT(B1068)&lt;TODAY()),"Needs a status","")))))</f>
        <v/>
      </c>
      <c r="I1068" s="1">
        <f>IF(ISNUMBER(B1068),INT(B1068),0)</f>
        <v/>
      </c>
      <c r="J1068">
        <f>IF(ISNUMBER(B1068),YEAR(B1068)*100+MONTH(B1068),"")</f>
        <v/>
      </c>
      <c r="K1068">
        <f>IF(AND(H1068="",OR(F1068="Attended",F1068="No-show",AND(F1068="Late cancel",Settings!$C$9="Yes"))),1,0)</f>
        <v/>
      </c>
      <c r="L1068">
        <f>IF(AND(H1068="",F1068="Attended"),1,0)</f>
        <v/>
      </c>
      <c r="M1068">
        <f>IF(AND(H1068="",OR(F1068="No-show",F1068="Late cancel")),1,0)</f>
        <v/>
      </c>
      <c r="N1068">
        <f>IF(AND(H1068="",F1068="",D1068&lt;&gt;"",I1068&gt;=TODAY()),ROUND((I1068+IF(ISNUMBER(C1068),MOD(C1068,1),0))*1440,0)*10000+ROW(),"")</f>
        <v/>
      </c>
    </row>
    <row r="1069">
      <c r="A1069" s="1" t="n"/>
      <c r="B1069" s="17" t="n"/>
      <c r="C1069" s="18" t="n"/>
      <c r="D1069" s="19" t="n"/>
      <c r="E1069" s="20" t="n"/>
      <c r="F1069" s="20" t="n"/>
      <c r="G1069" s="21" t="n"/>
      <c r="H1069" s="12">
        <f>IF(AND(B1069="",D1069="",F1069=""),"",IF(NOT(ISNUMBER(B1069)),"Needs a date",IF(D1069="","Needs a client",IF(COUNTIF(Clients!$B$6:$B$105,D1069)=0,"Not on Clients",IF(AND(F1069="",INT(B1069)&lt;TODAY()),"Needs a status","")))))</f>
        <v/>
      </c>
      <c r="I1069" s="1">
        <f>IF(ISNUMBER(B1069),INT(B1069),0)</f>
        <v/>
      </c>
      <c r="J1069">
        <f>IF(ISNUMBER(B1069),YEAR(B1069)*100+MONTH(B1069),"")</f>
        <v/>
      </c>
      <c r="K1069">
        <f>IF(AND(H1069="",OR(F1069="Attended",F1069="No-show",AND(F1069="Late cancel",Settings!$C$9="Yes"))),1,0)</f>
        <v/>
      </c>
      <c r="L1069">
        <f>IF(AND(H1069="",F1069="Attended"),1,0)</f>
        <v/>
      </c>
      <c r="M1069">
        <f>IF(AND(H1069="",OR(F1069="No-show",F1069="Late cancel")),1,0)</f>
        <v/>
      </c>
      <c r="N1069">
        <f>IF(AND(H1069="",F1069="",D1069&lt;&gt;"",I1069&gt;=TODAY()),ROUND((I1069+IF(ISNUMBER(C1069),MOD(C1069,1),0))*1440,0)*10000+ROW(),"")</f>
        <v/>
      </c>
    </row>
    <row r="1070">
      <c r="A1070" s="1" t="n"/>
      <c r="B1070" s="17" t="n"/>
      <c r="C1070" s="18" t="n"/>
      <c r="D1070" s="19" t="n"/>
      <c r="E1070" s="20" t="n"/>
      <c r="F1070" s="20" t="n"/>
      <c r="G1070" s="21" t="n"/>
      <c r="H1070" s="12">
        <f>IF(AND(B1070="",D1070="",F1070=""),"",IF(NOT(ISNUMBER(B1070)),"Needs a date",IF(D1070="","Needs a client",IF(COUNTIF(Clients!$B$6:$B$105,D1070)=0,"Not on Clients",IF(AND(F1070="",INT(B1070)&lt;TODAY()),"Needs a status","")))))</f>
        <v/>
      </c>
      <c r="I1070" s="1">
        <f>IF(ISNUMBER(B1070),INT(B1070),0)</f>
        <v/>
      </c>
      <c r="J1070">
        <f>IF(ISNUMBER(B1070),YEAR(B1070)*100+MONTH(B1070),"")</f>
        <v/>
      </c>
      <c r="K1070">
        <f>IF(AND(H1070="",OR(F1070="Attended",F1070="No-show",AND(F1070="Late cancel",Settings!$C$9="Yes"))),1,0)</f>
        <v/>
      </c>
      <c r="L1070">
        <f>IF(AND(H1070="",F1070="Attended"),1,0)</f>
        <v/>
      </c>
      <c r="M1070">
        <f>IF(AND(H1070="",OR(F1070="No-show",F1070="Late cancel")),1,0)</f>
        <v/>
      </c>
      <c r="N1070">
        <f>IF(AND(H1070="",F1070="",D1070&lt;&gt;"",I1070&gt;=TODAY()),ROUND((I1070+IF(ISNUMBER(C1070),MOD(C1070,1),0))*1440,0)*10000+ROW(),"")</f>
        <v/>
      </c>
    </row>
    <row r="1071">
      <c r="A1071" s="1" t="n"/>
      <c r="B1071" s="17" t="n"/>
      <c r="C1071" s="18" t="n"/>
      <c r="D1071" s="19" t="n"/>
      <c r="E1071" s="20" t="n"/>
      <c r="F1071" s="20" t="n"/>
      <c r="G1071" s="21" t="n"/>
      <c r="H1071" s="12">
        <f>IF(AND(B1071="",D1071="",F1071=""),"",IF(NOT(ISNUMBER(B1071)),"Needs a date",IF(D1071="","Needs a client",IF(COUNTIF(Clients!$B$6:$B$105,D1071)=0,"Not on Clients",IF(AND(F1071="",INT(B1071)&lt;TODAY()),"Needs a status","")))))</f>
        <v/>
      </c>
      <c r="I1071" s="1">
        <f>IF(ISNUMBER(B1071),INT(B1071),0)</f>
        <v/>
      </c>
      <c r="J1071">
        <f>IF(ISNUMBER(B1071),YEAR(B1071)*100+MONTH(B1071),"")</f>
        <v/>
      </c>
      <c r="K1071">
        <f>IF(AND(H1071="",OR(F1071="Attended",F1071="No-show",AND(F1071="Late cancel",Settings!$C$9="Yes"))),1,0)</f>
        <v/>
      </c>
      <c r="L1071">
        <f>IF(AND(H1071="",F1071="Attended"),1,0)</f>
        <v/>
      </c>
      <c r="M1071">
        <f>IF(AND(H1071="",OR(F1071="No-show",F1071="Late cancel")),1,0)</f>
        <v/>
      </c>
      <c r="N1071">
        <f>IF(AND(H1071="",F1071="",D1071&lt;&gt;"",I1071&gt;=TODAY()),ROUND((I1071+IF(ISNUMBER(C1071),MOD(C1071,1),0))*1440,0)*10000+ROW(),"")</f>
        <v/>
      </c>
    </row>
    <row r="1072">
      <c r="A1072" s="1" t="n"/>
      <c r="B1072" s="17" t="n"/>
      <c r="C1072" s="18" t="n"/>
      <c r="D1072" s="19" t="n"/>
      <c r="E1072" s="20" t="n"/>
      <c r="F1072" s="20" t="n"/>
      <c r="G1072" s="21" t="n"/>
      <c r="H1072" s="12">
        <f>IF(AND(B1072="",D1072="",F1072=""),"",IF(NOT(ISNUMBER(B1072)),"Needs a date",IF(D1072="","Needs a client",IF(COUNTIF(Clients!$B$6:$B$105,D1072)=0,"Not on Clients",IF(AND(F1072="",INT(B1072)&lt;TODAY()),"Needs a status","")))))</f>
        <v/>
      </c>
      <c r="I1072" s="1">
        <f>IF(ISNUMBER(B1072),INT(B1072),0)</f>
        <v/>
      </c>
      <c r="J1072">
        <f>IF(ISNUMBER(B1072),YEAR(B1072)*100+MONTH(B1072),"")</f>
        <v/>
      </c>
      <c r="K1072">
        <f>IF(AND(H1072="",OR(F1072="Attended",F1072="No-show",AND(F1072="Late cancel",Settings!$C$9="Yes"))),1,0)</f>
        <v/>
      </c>
      <c r="L1072">
        <f>IF(AND(H1072="",F1072="Attended"),1,0)</f>
        <v/>
      </c>
      <c r="M1072">
        <f>IF(AND(H1072="",OR(F1072="No-show",F1072="Late cancel")),1,0)</f>
        <v/>
      </c>
      <c r="N1072">
        <f>IF(AND(H1072="",F1072="",D1072&lt;&gt;"",I1072&gt;=TODAY()),ROUND((I1072+IF(ISNUMBER(C1072),MOD(C1072,1),0))*1440,0)*10000+ROW(),"")</f>
        <v/>
      </c>
    </row>
    <row r="1073">
      <c r="A1073" s="1" t="n"/>
      <c r="B1073" s="17" t="n"/>
      <c r="C1073" s="18" t="n"/>
      <c r="D1073" s="19" t="n"/>
      <c r="E1073" s="20" t="n"/>
      <c r="F1073" s="20" t="n"/>
      <c r="G1073" s="21" t="n"/>
      <c r="H1073" s="12">
        <f>IF(AND(B1073="",D1073="",F1073=""),"",IF(NOT(ISNUMBER(B1073)),"Needs a date",IF(D1073="","Needs a client",IF(COUNTIF(Clients!$B$6:$B$105,D1073)=0,"Not on Clients",IF(AND(F1073="",INT(B1073)&lt;TODAY()),"Needs a status","")))))</f>
        <v/>
      </c>
      <c r="I1073" s="1">
        <f>IF(ISNUMBER(B1073),INT(B1073),0)</f>
        <v/>
      </c>
      <c r="J1073">
        <f>IF(ISNUMBER(B1073),YEAR(B1073)*100+MONTH(B1073),"")</f>
        <v/>
      </c>
      <c r="K1073">
        <f>IF(AND(H1073="",OR(F1073="Attended",F1073="No-show",AND(F1073="Late cancel",Settings!$C$9="Yes"))),1,0)</f>
        <v/>
      </c>
      <c r="L1073">
        <f>IF(AND(H1073="",F1073="Attended"),1,0)</f>
        <v/>
      </c>
      <c r="M1073">
        <f>IF(AND(H1073="",OR(F1073="No-show",F1073="Late cancel")),1,0)</f>
        <v/>
      </c>
      <c r="N1073">
        <f>IF(AND(H1073="",F1073="",D1073&lt;&gt;"",I1073&gt;=TODAY()),ROUND((I1073+IF(ISNUMBER(C1073),MOD(C1073,1),0))*1440,0)*10000+ROW(),"")</f>
        <v/>
      </c>
    </row>
    <row r="1074">
      <c r="A1074" s="1" t="n"/>
      <c r="B1074" s="17" t="n"/>
      <c r="C1074" s="18" t="n"/>
      <c r="D1074" s="19" t="n"/>
      <c r="E1074" s="20" t="n"/>
      <c r="F1074" s="20" t="n"/>
      <c r="G1074" s="21" t="n"/>
      <c r="H1074" s="12">
        <f>IF(AND(B1074="",D1074="",F1074=""),"",IF(NOT(ISNUMBER(B1074)),"Needs a date",IF(D1074="","Needs a client",IF(COUNTIF(Clients!$B$6:$B$105,D1074)=0,"Not on Clients",IF(AND(F1074="",INT(B1074)&lt;TODAY()),"Needs a status","")))))</f>
        <v/>
      </c>
      <c r="I1074" s="1">
        <f>IF(ISNUMBER(B1074),INT(B1074),0)</f>
        <v/>
      </c>
      <c r="J1074">
        <f>IF(ISNUMBER(B1074),YEAR(B1074)*100+MONTH(B1074),"")</f>
        <v/>
      </c>
      <c r="K1074">
        <f>IF(AND(H1074="",OR(F1074="Attended",F1074="No-show",AND(F1074="Late cancel",Settings!$C$9="Yes"))),1,0)</f>
        <v/>
      </c>
      <c r="L1074">
        <f>IF(AND(H1074="",F1074="Attended"),1,0)</f>
        <v/>
      </c>
      <c r="M1074">
        <f>IF(AND(H1074="",OR(F1074="No-show",F1074="Late cancel")),1,0)</f>
        <v/>
      </c>
      <c r="N1074">
        <f>IF(AND(H1074="",F1074="",D1074&lt;&gt;"",I1074&gt;=TODAY()),ROUND((I1074+IF(ISNUMBER(C1074),MOD(C1074,1),0))*1440,0)*10000+ROW(),"")</f>
        <v/>
      </c>
    </row>
    <row r="1075">
      <c r="A1075" s="1" t="n"/>
      <c r="B1075" s="17" t="n"/>
      <c r="C1075" s="18" t="n"/>
      <c r="D1075" s="19" t="n"/>
      <c r="E1075" s="20" t="n"/>
      <c r="F1075" s="20" t="n"/>
      <c r="G1075" s="21" t="n"/>
      <c r="H1075" s="12">
        <f>IF(AND(B1075="",D1075="",F1075=""),"",IF(NOT(ISNUMBER(B1075)),"Needs a date",IF(D1075="","Needs a client",IF(COUNTIF(Clients!$B$6:$B$105,D1075)=0,"Not on Clients",IF(AND(F1075="",INT(B1075)&lt;TODAY()),"Needs a status","")))))</f>
        <v/>
      </c>
      <c r="I1075" s="1">
        <f>IF(ISNUMBER(B1075),INT(B1075),0)</f>
        <v/>
      </c>
      <c r="J1075">
        <f>IF(ISNUMBER(B1075),YEAR(B1075)*100+MONTH(B1075),"")</f>
        <v/>
      </c>
      <c r="K1075">
        <f>IF(AND(H1075="",OR(F1075="Attended",F1075="No-show",AND(F1075="Late cancel",Settings!$C$9="Yes"))),1,0)</f>
        <v/>
      </c>
      <c r="L1075">
        <f>IF(AND(H1075="",F1075="Attended"),1,0)</f>
        <v/>
      </c>
      <c r="M1075">
        <f>IF(AND(H1075="",OR(F1075="No-show",F1075="Late cancel")),1,0)</f>
        <v/>
      </c>
      <c r="N1075">
        <f>IF(AND(H1075="",F1075="",D1075&lt;&gt;"",I1075&gt;=TODAY()),ROUND((I1075+IF(ISNUMBER(C1075),MOD(C1075,1),0))*1440,0)*10000+ROW(),"")</f>
        <v/>
      </c>
    </row>
    <row r="1076">
      <c r="A1076" s="1" t="n"/>
      <c r="B1076" s="17" t="n"/>
      <c r="C1076" s="18" t="n"/>
      <c r="D1076" s="19" t="n"/>
      <c r="E1076" s="20" t="n"/>
      <c r="F1076" s="20" t="n"/>
      <c r="G1076" s="21" t="n"/>
      <c r="H1076" s="12">
        <f>IF(AND(B1076="",D1076="",F1076=""),"",IF(NOT(ISNUMBER(B1076)),"Needs a date",IF(D1076="","Needs a client",IF(COUNTIF(Clients!$B$6:$B$105,D1076)=0,"Not on Clients",IF(AND(F1076="",INT(B1076)&lt;TODAY()),"Needs a status","")))))</f>
        <v/>
      </c>
      <c r="I1076" s="1">
        <f>IF(ISNUMBER(B1076),INT(B1076),0)</f>
        <v/>
      </c>
      <c r="J1076">
        <f>IF(ISNUMBER(B1076),YEAR(B1076)*100+MONTH(B1076),"")</f>
        <v/>
      </c>
      <c r="K1076">
        <f>IF(AND(H1076="",OR(F1076="Attended",F1076="No-show",AND(F1076="Late cancel",Settings!$C$9="Yes"))),1,0)</f>
        <v/>
      </c>
      <c r="L1076">
        <f>IF(AND(H1076="",F1076="Attended"),1,0)</f>
        <v/>
      </c>
      <c r="M1076">
        <f>IF(AND(H1076="",OR(F1076="No-show",F1076="Late cancel")),1,0)</f>
        <v/>
      </c>
      <c r="N1076">
        <f>IF(AND(H1076="",F1076="",D1076&lt;&gt;"",I1076&gt;=TODAY()),ROUND((I1076+IF(ISNUMBER(C1076),MOD(C1076,1),0))*1440,0)*10000+ROW(),"")</f>
        <v/>
      </c>
    </row>
    <row r="1077">
      <c r="A1077" s="1" t="n"/>
      <c r="B1077" s="17" t="n"/>
      <c r="C1077" s="18" t="n"/>
      <c r="D1077" s="19" t="n"/>
      <c r="E1077" s="20" t="n"/>
      <c r="F1077" s="20" t="n"/>
      <c r="G1077" s="21" t="n"/>
      <c r="H1077" s="12">
        <f>IF(AND(B1077="",D1077="",F1077=""),"",IF(NOT(ISNUMBER(B1077)),"Needs a date",IF(D1077="","Needs a client",IF(COUNTIF(Clients!$B$6:$B$105,D1077)=0,"Not on Clients",IF(AND(F1077="",INT(B1077)&lt;TODAY()),"Needs a status","")))))</f>
        <v/>
      </c>
      <c r="I1077" s="1">
        <f>IF(ISNUMBER(B1077),INT(B1077),0)</f>
        <v/>
      </c>
      <c r="J1077">
        <f>IF(ISNUMBER(B1077),YEAR(B1077)*100+MONTH(B1077),"")</f>
        <v/>
      </c>
      <c r="K1077">
        <f>IF(AND(H1077="",OR(F1077="Attended",F1077="No-show",AND(F1077="Late cancel",Settings!$C$9="Yes"))),1,0)</f>
        <v/>
      </c>
      <c r="L1077">
        <f>IF(AND(H1077="",F1077="Attended"),1,0)</f>
        <v/>
      </c>
      <c r="M1077">
        <f>IF(AND(H1077="",OR(F1077="No-show",F1077="Late cancel")),1,0)</f>
        <v/>
      </c>
      <c r="N1077">
        <f>IF(AND(H1077="",F1077="",D1077&lt;&gt;"",I1077&gt;=TODAY()),ROUND((I1077+IF(ISNUMBER(C1077),MOD(C1077,1),0))*1440,0)*10000+ROW(),"")</f>
        <v/>
      </c>
    </row>
    <row r="1078">
      <c r="A1078" s="1" t="n"/>
      <c r="B1078" s="17" t="n"/>
      <c r="C1078" s="18" t="n"/>
      <c r="D1078" s="19" t="n"/>
      <c r="E1078" s="20" t="n"/>
      <c r="F1078" s="20" t="n"/>
      <c r="G1078" s="21" t="n"/>
      <c r="H1078" s="12">
        <f>IF(AND(B1078="",D1078="",F1078=""),"",IF(NOT(ISNUMBER(B1078)),"Needs a date",IF(D1078="","Needs a client",IF(COUNTIF(Clients!$B$6:$B$105,D1078)=0,"Not on Clients",IF(AND(F1078="",INT(B1078)&lt;TODAY()),"Needs a status","")))))</f>
        <v/>
      </c>
      <c r="I1078" s="1">
        <f>IF(ISNUMBER(B1078),INT(B1078),0)</f>
        <v/>
      </c>
      <c r="J1078">
        <f>IF(ISNUMBER(B1078),YEAR(B1078)*100+MONTH(B1078),"")</f>
        <v/>
      </c>
      <c r="K1078">
        <f>IF(AND(H1078="",OR(F1078="Attended",F1078="No-show",AND(F1078="Late cancel",Settings!$C$9="Yes"))),1,0)</f>
        <v/>
      </c>
      <c r="L1078">
        <f>IF(AND(H1078="",F1078="Attended"),1,0)</f>
        <v/>
      </c>
      <c r="M1078">
        <f>IF(AND(H1078="",OR(F1078="No-show",F1078="Late cancel")),1,0)</f>
        <v/>
      </c>
      <c r="N1078">
        <f>IF(AND(H1078="",F1078="",D1078&lt;&gt;"",I1078&gt;=TODAY()),ROUND((I1078+IF(ISNUMBER(C1078),MOD(C1078,1),0))*1440,0)*10000+ROW(),"")</f>
        <v/>
      </c>
    </row>
    <row r="1079">
      <c r="A1079" s="1" t="n"/>
      <c r="B1079" s="17" t="n"/>
      <c r="C1079" s="18" t="n"/>
      <c r="D1079" s="19" t="n"/>
      <c r="E1079" s="20" t="n"/>
      <c r="F1079" s="20" t="n"/>
      <c r="G1079" s="21" t="n"/>
      <c r="H1079" s="12">
        <f>IF(AND(B1079="",D1079="",F1079=""),"",IF(NOT(ISNUMBER(B1079)),"Needs a date",IF(D1079="","Needs a client",IF(COUNTIF(Clients!$B$6:$B$105,D1079)=0,"Not on Clients",IF(AND(F1079="",INT(B1079)&lt;TODAY()),"Needs a status","")))))</f>
        <v/>
      </c>
      <c r="I1079" s="1">
        <f>IF(ISNUMBER(B1079),INT(B1079),0)</f>
        <v/>
      </c>
      <c r="J1079">
        <f>IF(ISNUMBER(B1079),YEAR(B1079)*100+MONTH(B1079),"")</f>
        <v/>
      </c>
      <c r="K1079">
        <f>IF(AND(H1079="",OR(F1079="Attended",F1079="No-show",AND(F1079="Late cancel",Settings!$C$9="Yes"))),1,0)</f>
        <v/>
      </c>
      <c r="L1079">
        <f>IF(AND(H1079="",F1079="Attended"),1,0)</f>
        <v/>
      </c>
      <c r="M1079">
        <f>IF(AND(H1079="",OR(F1079="No-show",F1079="Late cancel")),1,0)</f>
        <v/>
      </c>
      <c r="N1079">
        <f>IF(AND(H1079="",F1079="",D1079&lt;&gt;"",I1079&gt;=TODAY()),ROUND((I1079+IF(ISNUMBER(C1079),MOD(C1079,1),0))*1440,0)*10000+ROW(),"")</f>
        <v/>
      </c>
    </row>
    <row r="1080">
      <c r="A1080" s="1" t="n"/>
      <c r="B1080" s="17" t="n"/>
      <c r="C1080" s="18" t="n"/>
      <c r="D1080" s="19" t="n"/>
      <c r="E1080" s="20" t="n"/>
      <c r="F1080" s="20" t="n"/>
      <c r="G1080" s="21" t="n"/>
      <c r="H1080" s="12">
        <f>IF(AND(B1080="",D1080="",F1080=""),"",IF(NOT(ISNUMBER(B1080)),"Needs a date",IF(D1080="","Needs a client",IF(COUNTIF(Clients!$B$6:$B$105,D1080)=0,"Not on Clients",IF(AND(F1080="",INT(B1080)&lt;TODAY()),"Needs a status","")))))</f>
        <v/>
      </c>
      <c r="I1080" s="1">
        <f>IF(ISNUMBER(B1080),INT(B1080),0)</f>
        <v/>
      </c>
      <c r="J1080">
        <f>IF(ISNUMBER(B1080),YEAR(B1080)*100+MONTH(B1080),"")</f>
        <v/>
      </c>
      <c r="K1080">
        <f>IF(AND(H1080="",OR(F1080="Attended",F1080="No-show",AND(F1080="Late cancel",Settings!$C$9="Yes"))),1,0)</f>
        <v/>
      </c>
      <c r="L1080">
        <f>IF(AND(H1080="",F1080="Attended"),1,0)</f>
        <v/>
      </c>
      <c r="M1080">
        <f>IF(AND(H1080="",OR(F1080="No-show",F1080="Late cancel")),1,0)</f>
        <v/>
      </c>
      <c r="N1080">
        <f>IF(AND(H1080="",F1080="",D1080&lt;&gt;"",I1080&gt;=TODAY()),ROUND((I1080+IF(ISNUMBER(C1080),MOD(C1080,1),0))*1440,0)*10000+ROW(),"")</f>
        <v/>
      </c>
    </row>
    <row r="1081">
      <c r="A1081" s="1" t="n"/>
      <c r="B1081" s="17" t="n"/>
      <c r="C1081" s="18" t="n"/>
      <c r="D1081" s="19" t="n"/>
      <c r="E1081" s="20" t="n"/>
      <c r="F1081" s="20" t="n"/>
      <c r="G1081" s="21" t="n"/>
      <c r="H1081" s="12">
        <f>IF(AND(B1081="",D1081="",F1081=""),"",IF(NOT(ISNUMBER(B1081)),"Needs a date",IF(D1081="","Needs a client",IF(COUNTIF(Clients!$B$6:$B$105,D1081)=0,"Not on Clients",IF(AND(F1081="",INT(B1081)&lt;TODAY()),"Needs a status","")))))</f>
        <v/>
      </c>
      <c r="I1081" s="1">
        <f>IF(ISNUMBER(B1081),INT(B1081),0)</f>
        <v/>
      </c>
      <c r="J1081">
        <f>IF(ISNUMBER(B1081),YEAR(B1081)*100+MONTH(B1081),"")</f>
        <v/>
      </c>
      <c r="K1081">
        <f>IF(AND(H1081="",OR(F1081="Attended",F1081="No-show",AND(F1081="Late cancel",Settings!$C$9="Yes"))),1,0)</f>
        <v/>
      </c>
      <c r="L1081">
        <f>IF(AND(H1081="",F1081="Attended"),1,0)</f>
        <v/>
      </c>
      <c r="M1081">
        <f>IF(AND(H1081="",OR(F1081="No-show",F1081="Late cancel")),1,0)</f>
        <v/>
      </c>
      <c r="N1081">
        <f>IF(AND(H1081="",F1081="",D1081&lt;&gt;"",I1081&gt;=TODAY()),ROUND((I1081+IF(ISNUMBER(C1081),MOD(C1081,1),0))*1440,0)*10000+ROW(),"")</f>
        <v/>
      </c>
    </row>
    <row r="1082">
      <c r="A1082" s="1" t="n"/>
      <c r="B1082" s="17" t="n"/>
      <c r="C1082" s="18" t="n"/>
      <c r="D1082" s="19" t="n"/>
      <c r="E1082" s="20" t="n"/>
      <c r="F1082" s="20" t="n"/>
      <c r="G1082" s="21" t="n"/>
      <c r="H1082" s="12">
        <f>IF(AND(B1082="",D1082="",F1082=""),"",IF(NOT(ISNUMBER(B1082)),"Needs a date",IF(D1082="","Needs a client",IF(COUNTIF(Clients!$B$6:$B$105,D1082)=0,"Not on Clients",IF(AND(F1082="",INT(B1082)&lt;TODAY()),"Needs a status","")))))</f>
        <v/>
      </c>
      <c r="I1082" s="1">
        <f>IF(ISNUMBER(B1082),INT(B1082),0)</f>
        <v/>
      </c>
      <c r="J1082">
        <f>IF(ISNUMBER(B1082),YEAR(B1082)*100+MONTH(B1082),"")</f>
        <v/>
      </c>
      <c r="K1082">
        <f>IF(AND(H1082="",OR(F1082="Attended",F1082="No-show",AND(F1082="Late cancel",Settings!$C$9="Yes"))),1,0)</f>
        <v/>
      </c>
      <c r="L1082">
        <f>IF(AND(H1082="",F1082="Attended"),1,0)</f>
        <v/>
      </c>
      <c r="M1082">
        <f>IF(AND(H1082="",OR(F1082="No-show",F1082="Late cancel")),1,0)</f>
        <v/>
      </c>
      <c r="N1082">
        <f>IF(AND(H1082="",F1082="",D1082&lt;&gt;"",I1082&gt;=TODAY()),ROUND((I1082+IF(ISNUMBER(C1082),MOD(C1082,1),0))*1440,0)*10000+ROW(),"")</f>
        <v/>
      </c>
    </row>
    <row r="1083">
      <c r="A1083" s="1" t="n"/>
      <c r="B1083" s="17" t="n"/>
      <c r="C1083" s="18" t="n"/>
      <c r="D1083" s="19" t="n"/>
      <c r="E1083" s="20" t="n"/>
      <c r="F1083" s="20" t="n"/>
      <c r="G1083" s="21" t="n"/>
      <c r="H1083" s="12">
        <f>IF(AND(B1083="",D1083="",F1083=""),"",IF(NOT(ISNUMBER(B1083)),"Needs a date",IF(D1083="","Needs a client",IF(COUNTIF(Clients!$B$6:$B$105,D1083)=0,"Not on Clients",IF(AND(F1083="",INT(B1083)&lt;TODAY()),"Needs a status","")))))</f>
        <v/>
      </c>
      <c r="I1083" s="1">
        <f>IF(ISNUMBER(B1083),INT(B1083),0)</f>
        <v/>
      </c>
      <c r="J1083">
        <f>IF(ISNUMBER(B1083),YEAR(B1083)*100+MONTH(B1083),"")</f>
        <v/>
      </c>
      <c r="K1083">
        <f>IF(AND(H1083="",OR(F1083="Attended",F1083="No-show",AND(F1083="Late cancel",Settings!$C$9="Yes"))),1,0)</f>
        <v/>
      </c>
      <c r="L1083">
        <f>IF(AND(H1083="",F1083="Attended"),1,0)</f>
        <v/>
      </c>
      <c r="M1083">
        <f>IF(AND(H1083="",OR(F1083="No-show",F1083="Late cancel")),1,0)</f>
        <v/>
      </c>
      <c r="N1083">
        <f>IF(AND(H1083="",F1083="",D1083&lt;&gt;"",I1083&gt;=TODAY()),ROUND((I1083+IF(ISNUMBER(C1083),MOD(C1083,1),0))*1440,0)*10000+ROW(),"")</f>
        <v/>
      </c>
    </row>
    <row r="1084">
      <c r="A1084" s="1" t="n"/>
      <c r="B1084" s="17" t="n"/>
      <c r="C1084" s="18" t="n"/>
      <c r="D1084" s="19" t="n"/>
      <c r="E1084" s="20" t="n"/>
      <c r="F1084" s="20" t="n"/>
      <c r="G1084" s="21" t="n"/>
      <c r="H1084" s="12">
        <f>IF(AND(B1084="",D1084="",F1084=""),"",IF(NOT(ISNUMBER(B1084)),"Needs a date",IF(D1084="","Needs a client",IF(COUNTIF(Clients!$B$6:$B$105,D1084)=0,"Not on Clients",IF(AND(F1084="",INT(B1084)&lt;TODAY()),"Needs a status","")))))</f>
        <v/>
      </c>
      <c r="I1084" s="1">
        <f>IF(ISNUMBER(B1084),INT(B1084),0)</f>
        <v/>
      </c>
      <c r="J1084">
        <f>IF(ISNUMBER(B1084),YEAR(B1084)*100+MONTH(B1084),"")</f>
        <v/>
      </c>
      <c r="K1084">
        <f>IF(AND(H1084="",OR(F1084="Attended",F1084="No-show",AND(F1084="Late cancel",Settings!$C$9="Yes"))),1,0)</f>
        <v/>
      </c>
      <c r="L1084">
        <f>IF(AND(H1084="",F1084="Attended"),1,0)</f>
        <v/>
      </c>
      <c r="M1084">
        <f>IF(AND(H1084="",OR(F1084="No-show",F1084="Late cancel")),1,0)</f>
        <v/>
      </c>
      <c r="N1084">
        <f>IF(AND(H1084="",F1084="",D1084&lt;&gt;"",I1084&gt;=TODAY()),ROUND((I1084+IF(ISNUMBER(C1084),MOD(C1084,1),0))*1440,0)*10000+ROW(),"")</f>
        <v/>
      </c>
    </row>
    <row r="1085">
      <c r="A1085" s="1" t="n"/>
      <c r="B1085" s="17" t="n"/>
      <c r="C1085" s="18" t="n"/>
      <c r="D1085" s="19" t="n"/>
      <c r="E1085" s="20" t="n"/>
      <c r="F1085" s="20" t="n"/>
      <c r="G1085" s="21" t="n"/>
      <c r="H1085" s="12">
        <f>IF(AND(B1085="",D1085="",F1085=""),"",IF(NOT(ISNUMBER(B1085)),"Needs a date",IF(D1085="","Needs a client",IF(COUNTIF(Clients!$B$6:$B$105,D1085)=0,"Not on Clients",IF(AND(F1085="",INT(B1085)&lt;TODAY()),"Needs a status","")))))</f>
        <v/>
      </c>
      <c r="I1085" s="1">
        <f>IF(ISNUMBER(B1085),INT(B1085),0)</f>
        <v/>
      </c>
      <c r="J1085">
        <f>IF(ISNUMBER(B1085),YEAR(B1085)*100+MONTH(B1085),"")</f>
        <v/>
      </c>
      <c r="K1085">
        <f>IF(AND(H1085="",OR(F1085="Attended",F1085="No-show",AND(F1085="Late cancel",Settings!$C$9="Yes"))),1,0)</f>
        <v/>
      </c>
      <c r="L1085">
        <f>IF(AND(H1085="",F1085="Attended"),1,0)</f>
        <v/>
      </c>
      <c r="M1085">
        <f>IF(AND(H1085="",OR(F1085="No-show",F1085="Late cancel")),1,0)</f>
        <v/>
      </c>
      <c r="N1085">
        <f>IF(AND(H1085="",F1085="",D1085&lt;&gt;"",I1085&gt;=TODAY()),ROUND((I1085+IF(ISNUMBER(C1085),MOD(C1085,1),0))*1440,0)*10000+ROW(),"")</f>
        <v/>
      </c>
    </row>
    <row r="1086">
      <c r="A1086" s="1" t="n"/>
      <c r="B1086" s="17" t="n"/>
      <c r="C1086" s="18" t="n"/>
      <c r="D1086" s="19" t="n"/>
      <c r="E1086" s="20" t="n"/>
      <c r="F1086" s="20" t="n"/>
      <c r="G1086" s="21" t="n"/>
      <c r="H1086" s="12">
        <f>IF(AND(B1086="",D1086="",F1086=""),"",IF(NOT(ISNUMBER(B1086)),"Needs a date",IF(D1086="","Needs a client",IF(COUNTIF(Clients!$B$6:$B$105,D1086)=0,"Not on Clients",IF(AND(F1086="",INT(B1086)&lt;TODAY()),"Needs a status","")))))</f>
        <v/>
      </c>
      <c r="I1086" s="1">
        <f>IF(ISNUMBER(B1086),INT(B1086),0)</f>
        <v/>
      </c>
      <c r="J1086">
        <f>IF(ISNUMBER(B1086),YEAR(B1086)*100+MONTH(B1086),"")</f>
        <v/>
      </c>
      <c r="K1086">
        <f>IF(AND(H1086="",OR(F1086="Attended",F1086="No-show",AND(F1086="Late cancel",Settings!$C$9="Yes"))),1,0)</f>
        <v/>
      </c>
      <c r="L1086">
        <f>IF(AND(H1086="",F1086="Attended"),1,0)</f>
        <v/>
      </c>
      <c r="M1086">
        <f>IF(AND(H1086="",OR(F1086="No-show",F1086="Late cancel")),1,0)</f>
        <v/>
      </c>
      <c r="N1086">
        <f>IF(AND(H1086="",F1086="",D1086&lt;&gt;"",I1086&gt;=TODAY()),ROUND((I1086+IF(ISNUMBER(C1086),MOD(C1086,1),0))*1440,0)*10000+ROW(),"")</f>
        <v/>
      </c>
    </row>
    <row r="1087">
      <c r="A1087" s="1" t="n"/>
      <c r="B1087" s="17" t="n"/>
      <c r="C1087" s="18" t="n"/>
      <c r="D1087" s="19" t="n"/>
      <c r="E1087" s="20" t="n"/>
      <c r="F1087" s="20" t="n"/>
      <c r="G1087" s="21" t="n"/>
      <c r="H1087" s="12">
        <f>IF(AND(B1087="",D1087="",F1087=""),"",IF(NOT(ISNUMBER(B1087)),"Needs a date",IF(D1087="","Needs a client",IF(COUNTIF(Clients!$B$6:$B$105,D1087)=0,"Not on Clients",IF(AND(F1087="",INT(B1087)&lt;TODAY()),"Needs a status","")))))</f>
        <v/>
      </c>
      <c r="I1087" s="1">
        <f>IF(ISNUMBER(B1087),INT(B1087),0)</f>
        <v/>
      </c>
      <c r="J1087">
        <f>IF(ISNUMBER(B1087),YEAR(B1087)*100+MONTH(B1087),"")</f>
        <v/>
      </c>
      <c r="K1087">
        <f>IF(AND(H1087="",OR(F1087="Attended",F1087="No-show",AND(F1087="Late cancel",Settings!$C$9="Yes"))),1,0)</f>
        <v/>
      </c>
      <c r="L1087">
        <f>IF(AND(H1087="",F1087="Attended"),1,0)</f>
        <v/>
      </c>
      <c r="M1087">
        <f>IF(AND(H1087="",OR(F1087="No-show",F1087="Late cancel")),1,0)</f>
        <v/>
      </c>
      <c r="N1087">
        <f>IF(AND(H1087="",F1087="",D1087&lt;&gt;"",I1087&gt;=TODAY()),ROUND((I1087+IF(ISNUMBER(C1087),MOD(C1087,1),0))*1440,0)*10000+ROW(),"")</f>
        <v/>
      </c>
    </row>
    <row r="1088">
      <c r="A1088" s="1" t="n"/>
      <c r="B1088" s="17" t="n"/>
      <c r="C1088" s="18" t="n"/>
      <c r="D1088" s="19" t="n"/>
      <c r="E1088" s="20" t="n"/>
      <c r="F1088" s="20" t="n"/>
      <c r="G1088" s="21" t="n"/>
      <c r="H1088" s="12">
        <f>IF(AND(B1088="",D1088="",F1088=""),"",IF(NOT(ISNUMBER(B1088)),"Needs a date",IF(D1088="","Needs a client",IF(COUNTIF(Clients!$B$6:$B$105,D1088)=0,"Not on Clients",IF(AND(F1088="",INT(B1088)&lt;TODAY()),"Needs a status","")))))</f>
        <v/>
      </c>
      <c r="I1088" s="1">
        <f>IF(ISNUMBER(B1088),INT(B1088),0)</f>
        <v/>
      </c>
      <c r="J1088">
        <f>IF(ISNUMBER(B1088),YEAR(B1088)*100+MONTH(B1088),"")</f>
        <v/>
      </c>
      <c r="K1088">
        <f>IF(AND(H1088="",OR(F1088="Attended",F1088="No-show",AND(F1088="Late cancel",Settings!$C$9="Yes"))),1,0)</f>
        <v/>
      </c>
      <c r="L1088">
        <f>IF(AND(H1088="",F1088="Attended"),1,0)</f>
        <v/>
      </c>
      <c r="M1088">
        <f>IF(AND(H1088="",OR(F1088="No-show",F1088="Late cancel")),1,0)</f>
        <v/>
      </c>
      <c r="N1088">
        <f>IF(AND(H1088="",F1088="",D1088&lt;&gt;"",I1088&gt;=TODAY()),ROUND((I1088+IF(ISNUMBER(C1088),MOD(C1088,1),0))*1440,0)*10000+ROW(),"")</f>
        <v/>
      </c>
    </row>
    <row r="1089">
      <c r="A1089" s="1" t="n"/>
      <c r="B1089" s="17" t="n"/>
      <c r="C1089" s="18" t="n"/>
      <c r="D1089" s="19" t="n"/>
      <c r="E1089" s="20" t="n"/>
      <c r="F1089" s="20" t="n"/>
      <c r="G1089" s="21" t="n"/>
      <c r="H1089" s="12">
        <f>IF(AND(B1089="",D1089="",F1089=""),"",IF(NOT(ISNUMBER(B1089)),"Needs a date",IF(D1089="","Needs a client",IF(COUNTIF(Clients!$B$6:$B$105,D1089)=0,"Not on Clients",IF(AND(F1089="",INT(B1089)&lt;TODAY()),"Needs a status","")))))</f>
        <v/>
      </c>
      <c r="I1089" s="1">
        <f>IF(ISNUMBER(B1089),INT(B1089),0)</f>
        <v/>
      </c>
      <c r="J1089">
        <f>IF(ISNUMBER(B1089),YEAR(B1089)*100+MONTH(B1089),"")</f>
        <v/>
      </c>
      <c r="K1089">
        <f>IF(AND(H1089="",OR(F1089="Attended",F1089="No-show",AND(F1089="Late cancel",Settings!$C$9="Yes"))),1,0)</f>
        <v/>
      </c>
      <c r="L1089">
        <f>IF(AND(H1089="",F1089="Attended"),1,0)</f>
        <v/>
      </c>
      <c r="M1089">
        <f>IF(AND(H1089="",OR(F1089="No-show",F1089="Late cancel")),1,0)</f>
        <v/>
      </c>
      <c r="N1089">
        <f>IF(AND(H1089="",F1089="",D1089&lt;&gt;"",I1089&gt;=TODAY()),ROUND((I1089+IF(ISNUMBER(C1089),MOD(C1089,1),0))*1440,0)*10000+ROW(),"")</f>
        <v/>
      </c>
    </row>
    <row r="1090">
      <c r="A1090" s="1" t="n"/>
      <c r="B1090" s="17" t="n"/>
      <c r="C1090" s="18" t="n"/>
      <c r="D1090" s="19" t="n"/>
      <c r="E1090" s="20" t="n"/>
      <c r="F1090" s="20" t="n"/>
      <c r="G1090" s="21" t="n"/>
      <c r="H1090" s="12">
        <f>IF(AND(B1090="",D1090="",F1090=""),"",IF(NOT(ISNUMBER(B1090)),"Needs a date",IF(D1090="","Needs a client",IF(COUNTIF(Clients!$B$6:$B$105,D1090)=0,"Not on Clients",IF(AND(F1090="",INT(B1090)&lt;TODAY()),"Needs a status","")))))</f>
        <v/>
      </c>
      <c r="I1090" s="1">
        <f>IF(ISNUMBER(B1090),INT(B1090),0)</f>
        <v/>
      </c>
      <c r="J1090">
        <f>IF(ISNUMBER(B1090),YEAR(B1090)*100+MONTH(B1090),"")</f>
        <v/>
      </c>
      <c r="K1090">
        <f>IF(AND(H1090="",OR(F1090="Attended",F1090="No-show",AND(F1090="Late cancel",Settings!$C$9="Yes"))),1,0)</f>
        <v/>
      </c>
      <c r="L1090">
        <f>IF(AND(H1090="",F1090="Attended"),1,0)</f>
        <v/>
      </c>
      <c r="M1090">
        <f>IF(AND(H1090="",OR(F1090="No-show",F1090="Late cancel")),1,0)</f>
        <v/>
      </c>
      <c r="N1090">
        <f>IF(AND(H1090="",F1090="",D1090&lt;&gt;"",I1090&gt;=TODAY()),ROUND((I1090+IF(ISNUMBER(C1090),MOD(C1090,1),0))*1440,0)*10000+ROW(),"")</f>
        <v/>
      </c>
    </row>
    <row r="1091">
      <c r="A1091" s="1" t="n"/>
      <c r="B1091" s="17" t="n"/>
      <c r="C1091" s="18" t="n"/>
      <c r="D1091" s="19" t="n"/>
      <c r="E1091" s="20" t="n"/>
      <c r="F1091" s="20" t="n"/>
      <c r="G1091" s="21" t="n"/>
      <c r="H1091" s="12">
        <f>IF(AND(B1091="",D1091="",F1091=""),"",IF(NOT(ISNUMBER(B1091)),"Needs a date",IF(D1091="","Needs a client",IF(COUNTIF(Clients!$B$6:$B$105,D1091)=0,"Not on Clients",IF(AND(F1091="",INT(B1091)&lt;TODAY()),"Needs a status","")))))</f>
        <v/>
      </c>
      <c r="I1091" s="1">
        <f>IF(ISNUMBER(B1091),INT(B1091),0)</f>
        <v/>
      </c>
      <c r="J1091">
        <f>IF(ISNUMBER(B1091),YEAR(B1091)*100+MONTH(B1091),"")</f>
        <v/>
      </c>
      <c r="K1091">
        <f>IF(AND(H1091="",OR(F1091="Attended",F1091="No-show",AND(F1091="Late cancel",Settings!$C$9="Yes"))),1,0)</f>
        <v/>
      </c>
      <c r="L1091">
        <f>IF(AND(H1091="",F1091="Attended"),1,0)</f>
        <v/>
      </c>
      <c r="M1091">
        <f>IF(AND(H1091="",OR(F1091="No-show",F1091="Late cancel")),1,0)</f>
        <v/>
      </c>
      <c r="N1091">
        <f>IF(AND(H1091="",F1091="",D1091&lt;&gt;"",I1091&gt;=TODAY()),ROUND((I1091+IF(ISNUMBER(C1091),MOD(C1091,1),0))*1440,0)*10000+ROW(),"")</f>
        <v/>
      </c>
    </row>
    <row r="1092">
      <c r="A1092" s="1" t="n"/>
      <c r="B1092" s="17" t="n"/>
      <c r="C1092" s="18" t="n"/>
      <c r="D1092" s="19" t="n"/>
      <c r="E1092" s="20" t="n"/>
      <c r="F1092" s="20" t="n"/>
      <c r="G1092" s="21" t="n"/>
      <c r="H1092" s="12">
        <f>IF(AND(B1092="",D1092="",F1092=""),"",IF(NOT(ISNUMBER(B1092)),"Needs a date",IF(D1092="","Needs a client",IF(COUNTIF(Clients!$B$6:$B$105,D1092)=0,"Not on Clients",IF(AND(F1092="",INT(B1092)&lt;TODAY()),"Needs a status","")))))</f>
        <v/>
      </c>
      <c r="I1092" s="1">
        <f>IF(ISNUMBER(B1092),INT(B1092),0)</f>
        <v/>
      </c>
      <c r="J1092">
        <f>IF(ISNUMBER(B1092),YEAR(B1092)*100+MONTH(B1092),"")</f>
        <v/>
      </c>
      <c r="K1092">
        <f>IF(AND(H1092="",OR(F1092="Attended",F1092="No-show",AND(F1092="Late cancel",Settings!$C$9="Yes"))),1,0)</f>
        <v/>
      </c>
      <c r="L1092">
        <f>IF(AND(H1092="",F1092="Attended"),1,0)</f>
        <v/>
      </c>
      <c r="M1092">
        <f>IF(AND(H1092="",OR(F1092="No-show",F1092="Late cancel")),1,0)</f>
        <v/>
      </c>
      <c r="N1092">
        <f>IF(AND(H1092="",F1092="",D1092&lt;&gt;"",I1092&gt;=TODAY()),ROUND((I1092+IF(ISNUMBER(C1092),MOD(C1092,1),0))*1440,0)*10000+ROW(),"")</f>
        <v/>
      </c>
    </row>
    <row r="1093">
      <c r="A1093" s="1" t="n"/>
      <c r="B1093" s="17" t="n"/>
      <c r="C1093" s="18" t="n"/>
      <c r="D1093" s="19" t="n"/>
      <c r="E1093" s="20" t="n"/>
      <c r="F1093" s="20" t="n"/>
      <c r="G1093" s="21" t="n"/>
      <c r="H1093" s="12">
        <f>IF(AND(B1093="",D1093="",F1093=""),"",IF(NOT(ISNUMBER(B1093)),"Needs a date",IF(D1093="","Needs a client",IF(COUNTIF(Clients!$B$6:$B$105,D1093)=0,"Not on Clients",IF(AND(F1093="",INT(B1093)&lt;TODAY()),"Needs a status","")))))</f>
        <v/>
      </c>
      <c r="I1093" s="1">
        <f>IF(ISNUMBER(B1093),INT(B1093),0)</f>
        <v/>
      </c>
      <c r="J1093">
        <f>IF(ISNUMBER(B1093),YEAR(B1093)*100+MONTH(B1093),"")</f>
        <v/>
      </c>
      <c r="K1093">
        <f>IF(AND(H1093="",OR(F1093="Attended",F1093="No-show",AND(F1093="Late cancel",Settings!$C$9="Yes"))),1,0)</f>
        <v/>
      </c>
      <c r="L1093">
        <f>IF(AND(H1093="",F1093="Attended"),1,0)</f>
        <v/>
      </c>
      <c r="M1093">
        <f>IF(AND(H1093="",OR(F1093="No-show",F1093="Late cancel")),1,0)</f>
        <v/>
      </c>
      <c r="N1093">
        <f>IF(AND(H1093="",F1093="",D1093&lt;&gt;"",I1093&gt;=TODAY()),ROUND((I1093+IF(ISNUMBER(C1093),MOD(C1093,1),0))*1440,0)*10000+ROW(),"")</f>
        <v/>
      </c>
    </row>
    <row r="1094">
      <c r="A1094" s="1" t="n"/>
      <c r="B1094" s="17" t="n"/>
      <c r="C1094" s="18" t="n"/>
      <c r="D1094" s="19" t="n"/>
      <c r="E1094" s="20" t="n"/>
      <c r="F1094" s="20" t="n"/>
      <c r="G1094" s="21" t="n"/>
      <c r="H1094" s="12">
        <f>IF(AND(B1094="",D1094="",F1094=""),"",IF(NOT(ISNUMBER(B1094)),"Needs a date",IF(D1094="","Needs a client",IF(COUNTIF(Clients!$B$6:$B$105,D1094)=0,"Not on Clients",IF(AND(F1094="",INT(B1094)&lt;TODAY()),"Needs a status","")))))</f>
        <v/>
      </c>
      <c r="I1094" s="1">
        <f>IF(ISNUMBER(B1094),INT(B1094),0)</f>
        <v/>
      </c>
      <c r="J1094">
        <f>IF(ISNUMBER(B1094),YEAR(B1094)*100+MONTH(B1094),"")</f>
        <v/>
      </c>
      <c r="K1094">
        <f>IF(AND(H1094="",OR(F1094="Attended",F1094="No-show",AND(F1094="Late cancel",Settings!$C$9="Yes"))),1,0)</f>
        <v/>
      </c>
      <c r="L1094">
        <f>IF(AND(H1094="",F1094="Attended"),1,0)</f>
        <v/>
      </c>
      <c r="M1094">
        <f>IF(AND(H1094="",OR(F1094="No-show",F1094="Late cancel")),1,0)</f>
        <v/>
      </c>
      <c r="N1094">
        <f>IF(AND(H1094="",F1094="",D1094&lt;&gt;"",I1094&gt;=TODAY()),ROUND((I1094+IF(ISNUMBER(C1094),MOD(C1094,1),0))*1440,0)*10000+ROW(),"")</f>
        <v/>
      </c>
    </row>
    <row r="1095">
      <c r="A1095" s="1" t="n"/>
      <c r="B1095" s="17" t="n"/>
      <c r="C1095" s="18" t="n"/>
      <c r="D1095" s="19" t="n"/>
      <c r="E1095" s="20" t="n"/>
      <c r="F1095" s="20" t="n"/>
      <c r="G1095" s="21" t="n"/>
      <c r="H1095" s="12">
        <f>IF(AND(B1095="",D1095="",F1095=""),"",IF(NOT(ISNUMBER(B1095)),"Needs a date",IF(D1095="","Needs a client",IF(COUNTIF(Clients!$B$6:$B$105,D1095)=0,"Not on Clients",IF(AND(F1095="",INT(B1095)&lt;TODAY()),"Needs a status","")))))</f>
        <v/>
      </c>
      <c r="I1095" s="1">
        <f>IF(ISNUMBER(B1095),INT(B1095),0)</f>
        <v/>
      </c>
      <c r="J1095">
        <f>IF(ISNUMBER(B1095),YEAR(B1095)*100+MONTH(B1095),"")</f>
        <v/>
      </c>
      <c r="K1095">
        <f>IF(AND(H1095="",OR(F1095="Attended",F1095="No-show",AND(F1095="Late cancel",Settings!$C$9="Yes"))),1,0)</f>
        <v/>
      </c>
      <c r="L1095">
        <f>IF(AND(H1095="",F1095="Attended"),1,0)</f>
        <v/>
      </c>
      <c r="M1095">
        <f>IF(AND(H1095="",OR(F1095="No-show",F1095="Late cancel")),1,0)</f>
        <v/>
      </c>
      <c r="N1095">
        <f>IF(AND(H1095="",F1095="",D1095&lt;&gt;"",I1095&gt;=TODAY()),ROUND((I1095+IF(ISNUMBER(C1095),MOD(C1095,1),0))*1440,0)*10000+ROW(),"")</f>
        <v/>
      </c>
    </row>
    <row r="1096">
      <c r="A1096" s="1" t="n"/>
      <c r="B1096" s="17" t="n"/>
      <c r="C1096" s="18" t="n"/>
      <c r="D1096" s="19" t="n"/>
      <c r="E1096" s="20" t="n"/>
      <c r="F1096" s="20" t="n"/>
      <c r="G1096" s="21" t="n"/>
      <c r="H1096" s="12">
        <f>IF(AND(B1096="",D1096="",F1096=""),"",IF(NOT(ISNUMBER(B1096)),"Needs a date",IF(D1096="","Needs a client",IF(COUNTIF(Clients!$B$6:$B$105,D1096)=0,"Not on Clients",IF(AND(F1096="",INT(B1096)&lt;TODAY()),"Needs a status","")))))</f>
        <v/>
      </c>
      <c r="I1096" s="1">
        <f>IF(ISNUMBER(B1096),INT(B1096),0)</f>
        <v/>
      </c>
      <c r="J1096">
        <f>IF(ISNUMBER(B1096),YEAR(B1096)*100+MONTH(B1096),"")</f>
        <v/>
      </c>
      <c r="K1096">
        <f>IF(AND(H1096="",OR(F1096="Attended",F1096="No-show",AND(F1096="Late cancel",Settings!$C$9="Yes"))),1,0)</f>
        <v/>
      </c>
      <c r="L1096">
        <f>IF(AND(H1096="",F1096="Attended"),1,0)</f>
        <v/>
      </c>
      <c r="M1096">
        <f>IF(AND(H1096="",OR(F1096="No-show",F1096="Late cancel")),1,0)</f>
        <v/>
      </c>
      <c r="N1096">
        <f>IF(AND(H1096="",F1096="",D1096&lt;&gt;"",I1096&gt;=TODAY()),ROUND((I1096+IF(ISNUMBER(C1096),MOD(C1096,1),0))*1440,0)*10000+ROW(),"")</f>
        <v/>
      </c>
    </row>
    <row r="1097">
      <c r="A1097" s="1" t="n"/>
      <c r="B1097" s="17" t="n"/>
      <c r="C1097" s="18" t="n"/>
      <c r="D1097" s="19" t="n"/>
      <c r="E1097" s="20" t="n"/>
      <c r="F1097" s="20" t="n"/>
      <c r="G1097" s="21" t="n"/>
      <c r="H1097" s="12">
        <f>IF(AND(B1097="",D1097="",F1097=""),"",IF(NOT(ISNUMBER(B1097)),"Needs a date",IF(D1097="","Needs a client",IF(COUNTIF(Clients!$B$6:$B$105,D1097)=0,"Not on Clients",IF(AND(F1097="",INT(B1097)&lt;TODAY()),"Needs a status","")))))</f>
        <v/>
      </c>
      <c r="I1097" s="1">
        <f>IF(ISNUMBER(B1097),INT(B1097),0)</f>
        <v/>
      </c>
      <c r="J1097">
        <f>IF(ISNUMBER(B1097),YEAR(B1097)*100+MONTH(B1097),"")</f>
        <v/>
      </c>
      <c r="K1097">
        <f>IF(AND(H1097="",OR(F1097="Attended",F1097="No-show",AND(F1097="Late cancel",Settings!$C$9="Yes"))),1,0)</f>
        <v/>
      </c>
      <c r="L1097">
        <f>IF(AND(H1097="",F1097="Attended"),1,0)</f>
        <v/>
      </c>
      <c r="M1097">
        <f>IF(AND(H1097="",OR(F1097="No-show",F1097="Late cancel")),1,0)</f>
        <v/>
      </c>
      <c r="N1097">
        <f>IF(AND(H1097="",F1097="",D1097&lt;&gt;"",I1097&gt;=TODAY()),ROUND((I1097+IF(ISNUMBER(C1097),MOD(C1097,1),0))*1440,0)*10000+ROW(),"")</f>
        <v/>
      </c>
    </row>
    <row r="1098">
      <c r="A1098" s="1" t="n"/>
      <c r="B1098" s="17" t="n"/>
      <c r="C1098" s="18" t="n"/>
      <c r="D1098" s="19" t="n"/>
      <c r="E1098" s="20" t="n"/>
      <c r="F1098" s="20" t="n"/>
      <c r="G1098" s="21" t="n"/>
      <c r="H1098" s="12">
        <f>IF(AND(B1098="",D1098="",F1098=""),"",IF(NOT(ISNUMBER(B1098)),"Needs a date",IF(D1098="","Needs a client",IF(COUNTIF(Clients!$B$6:$B$105,D1098)=0,"Not on Clients",IF(AND(F1098="",INT(B1098)&lt;TODAY()),"Needs a status","")))))</f>
        <v/>
      </c>
      <c r="I1098" s="1">
        <f>IF(ISNUMBER(B1098),INT(B1098),0)</f>
        <v/>
      </c>
      <c r="J1098">
        <f>IF(ISNUMBER(B1098),YEAR(B1098)*100+MONTH(B1098),"")</f>
        <v/>
      </c>
      <c r="K1098">
        <f>IF(AND(H1098="",OR(F1098="Attended",F1098="No-show",AND(F1098="Late cancel",Settings!$C$9="Yes"))),1,0)</f>
        <v/>
      </c>
      <c r="L1098">
        <f>IF(AND(H1098="",F1098="Attended"),1,0)</f>
        <v/>
      </c>
      <c r="M1098">
        <f>IF(AND(H1098="",OR(F1098="No-show",F1098="Late cancel")),1,0)</f>
        <v/>
      </c>
      <c r="N1098">
        <f>IF(AND(H1098="",F1098="",D1098&lt;&gt;"",I1098&gt;=TODAY()),ROUND((I1098+IF(ISNUMBER(C1098),MOD(C1098,1),0))*1440,0)*10000+ROW(),"")</f>
        <v/>
      </c>
    </row>
    <row r="1099">
      <c r="A1099" s="1" t="n"/>
      <c r="B1099" s="17" t="n"/>
      <c r="C1099" s="18" t="n"/>
      <c r="D1099" s="19" t="n"/>
      <c r="E1099" s="20" t="n"/>
      <c r="F1099" s="20" t="n"/>
      <c r="G1099" s="21" t="n"/>
      <c r="H1099" s="12">
        <f>IF(AND(B1099="",D1099="",F1099=""),"",IF(NOT(ISNUMBER(B1099)),"Needs a date",IF(D1099="","Needs a client",IF(COUNTIF(Clients!$B$6:$B$105,D1099)=0,"Not on Clients",IF(AND(F1099="",INT(B1099)&lt;TODAY()),"Needs a status","")))))</f>
        <v/>
      </c>
      <c r="I1099" s="1">
        <f>IF(ISNUMBER(B1099),INT(B1099),0)</f>
        <v/>
      </c>
      <c r="J1099">
        <f>IF(ISNUMBER(B1099),YEAR(B1099)*100+MONTH(B1099),"")</f>
        <v/>
      </c>
      <c r="K1099">
        <f>IF(AND(H1099="",OR(F1099="Attended",F1099="No-show",AND(F1099="Late cancel",Settings!$C$9="Yes"))),1,0)</f>
        <v/>
      </c>
      <c r="L1099">
        <f>IF(AND(H1099="",F1099="Attended"),1,0)</f>
        <v/>
      </c>
      <c r="M1099">
        <f>IF(AND(H1099="",OR(F1099="No-show",F1099="Late cancel")),1,0)</f>
        <v/>
      </c>
      <c r="N1099">
        <f>IF(AND(H1099="",F1099="",D1099&lt;&gt;"",I1099&gt;=TODAY()),ROUND((I1099+IF(ISNUMBER(C1099),MOD(C1099,1),0))*1440,0)*10000+ROW(),"")</f>
        <v/>
      </c>
    </row>
    <row r="1100">
      <c r="A1100" s="1" t="n"/>
      <c r="B1100" s="17" t="n"/>
      <c r="C1100" s="18" t="n"/>
      <c r="D1100" s="19" t="n"/>
      <c r="E1100" s="20" t="n"/>
      <c r="F1100" s="20" t="n"/>
      <c r="G1100" s="21" t="n"/>
      <c r="H1100" s="12">
        <f>IF(AND(B1100="",D1100="",F1100=""),"",IF(NOT(ISNUMBER(B1100)),"Needs a date",IF(D1100="","Needs a client",IF(COUNTIF(Clients!$B$6:$B$105,D1100)=0,"Not on Clients",IF(AND(F1100="",INT(B1100)&lt;TODAY()),"Needs a status","")))))</f>
        <v/>
      </c>
      <c r="I1100" s="1">
        <f>IF(ISNUMBER(B1100),INT(B1100),0)</f>
        <v/>
      </c>
      <c r="J1100">
        <f>IF(ISNUMBER(B1100),YEAR(B1100)*100+MONTH(B1100),"")</f>
        <v/>
      </c>
      <c r="K1100">
        <f>IF(AND(H1100="",OR(F1100="Attended",F1100="No-show",AND(F1100="Late cancel",Settings!$C$9="Yes"))),1,0)</f>
        <v/>
      </c>
      <c r="L1100">
        <f>IF(AND(H1100="",F1100="Attended"),1,0)</f>
        <v/>
      </c>
      <c r="M1100">
        <f>IF(AND(H1100="",OR(F1100="No-show",F1100="Late cancel")),1,0)</f>
        <v/>
      </c>
      <c r="N1100">
        <f>IF(AND(H1100="",F1100="",D1100&lt;&gt;"",I1100&gt;=TODAY()),ROUND((I1100+IF(ISNUMBER(C1100),MOD(C1100,1),0))*1440,0)*10000+ROW(),"")</f>
        <v/>
      </c>
    </row>
    <row r="1101">
      <c r="A1101" s="1" t="n"/>
      <c r="B1101" s="17" t="n"/>
      <c r="C1101" s="18" t="n"/>
      <c r="D1101" s="19" t="n"/>
      <c r="E1101" s="20" t="n"/>
      <c r="F1101" s="20" t="n"/>
      <c r="G1101" s="21" t="n"/>
      <c r="H1101" s="12">
        <f>IF(AND(B1101="",D1101="",F1101=""),"",IF(NOT(ISNUMBER(B1101)),"Needs a date",IF(D1101="","Needs a client",IF(COUNTIF(Clients!$B$6:$B$105,D1101)=0,"Not on Clients",IF(AND(F1101="",INT(B1101)&lt;TODAY()),"Needs a status","")))))</f>
        <v/>
      </c>
      <c r="I1101" s="1">
        <f>IF(ISNUMBER(B1101),INT(B1101),0)</f>
        <v/>
      </c>
      <c r="J1101">
        <f>IF(ISNUMBER(B1101),YEAR(B1101)*100+MONTH(B1101),"")</f>
        <v/>
      </c>
      <c r="K1101">
        <f>IF(AND(H1101="",OR(F1101="Attended",F1101="No-show",AND(F1101="Late cancel",Settings!$C$9="Yes"))),1,0)</f>
        <v/>
      </c>
      <c r="L1101">
        <f>IF(AND(H1101="",F1101="Attended"),1,0)</f>
        <v/>
      </c>
      <c r="M1101">
        <f>IF(AND(H1101="",OR(F1101="No-show",F1101="Late cancel")),1,0)</f>
        <v/>
      </c>
      <c r="N1101">
        <f>IF(AND(H1101="",F1101="",D1101&lt;&gt;"",I1101&gt;=TODAY()),ROUND((I1101+IF(ISNUMBER(C1101),MOD(C1101,1),0))*1440,0)*10000+ROW(),"")</f>
        <v/>
      </c>
    </row>
    <row r="1102">
      <c r="A1102" s="1" t="n"/>
      <c r="B1102" s="17" t="n"/>
      <c r="C1102" s="18" t="n"/>
      <c r="D1102" s="19" t="n"/>
      <c r="E1102" s="20" t="n"/>
      <c r="F1102" s="20" t="n"/>
      <c r="G1102" s="21" t="n"/>
      <c r="H1102" s="12">
        <f>IF(AND(B1102="",D1102="",F1102=""),"",IF(NOT(ISNUMBER(B1102)),"Needs a date",IF(D1102="","Needs a client",IF(COUNTIF(Clients!$B$6:$B$105,D1102)=0,"Not on Clients",IF(AND(F1102="",INT(B1102)&lt;TODAY()),"Needs a status","")))))</f>
        <v/>
      </c>
      <c r="I1102" s="1">
        <f>IF(ISNUMBER(B1102),INT(B1102),0)</f>
        <v/>
      </c>
      <c r="J1102">
        <f>IF(ISNUMBER(B1102),YEAR(B1102)*100+MONTH(B1102),"")</f>
        <v/>
      </c>
      <c r="K1102">
        <f>IF(AND(H1102="",OR(F1102="Attended",F1102="No-show",AND(F1102="Late cancel",Settings!$C$9="Yes"))),1,0)</f>
        <v/>
      </c>
      <c r="L1102">
        <f>IF(AND(H1102="",F1102="Attended"),1,0)</f>
        <v/>
      </c>
      <c r="M1102">
        <f>IF(AND(H1102="",OR(F1102="No-show",F1102="Late cancel")),1,0)</f>
        <v/>
      </c>
      <c r="N1102">
        <f>IF(AND(H1102="",F1102="",D1102&lt;&gt;"",I1102&gt;=TODAY()),ROUND((I1102+IF(ISNUMBER(C1102),MOD(C1102,1),0))*1440,0)*10000+ROW(),"")</f>
        <v/>
      </c>
    </row>
    <row r="1103">
      <c r="A1103" s="1" t="n"/>
      <c r="B1103" s="17" t="n"/>
      <c r="C1103" s="18" t="n"/>
      <c r="D1103" s="19" t="n"/>
      <c r="E1103" s="20" t="n"/>
      <c r="F1103" s="20" t="n"/>
      <c r="G1103" s="21" t="n"/>
      <c r="H1103" s="12">
        <f>IF(AND(B1103="",D1103="",F1103=""),"",IF(NOT(ISNUMBER(B1103)),"Needs a date",IF(D1103="","Needs a client",IF(COUNTIF(Clients!$B$6:$B$105,D1103)=0,"Not on Clients",IF(AND(F1103="",INT(B1103)&lt;TODAY()),"Needs a status","")))))</f>
        <v/>
      </c>
      <c r="I1103" s="1">
        <f>IF(ISNUMBER(B1103),INT(B1103),0)</f>
        <v/>
      </c>
      <c r="J1103">
        <f>IF(ISNUMBER(B1103),YEAR(B1103)*100+MONTH(B1103),"")</f>
        <v/>
      </c>
      <c r="K1103">
        <f>IF(AND(H1103="",OR(F1103="Attended",F1103="No-show",AND(F1103="Late cancel",Settings!$C$9="Yes"))),1,0)</f>
        <v/>
      </c>
      <c r="L1103">
        <f>IF(AND(H1103="",F1103="Attended"),1,0)</f>
        <v/>
      </c>
      <c r="M1103">
        <f>IF(AND(H1103="",OR(F1103="No-show",F1103="Late cancel")),1,0)</f>
        <v/>
      </c>
      <c r="N1103">
        <f>IF(AND(H1103="",F1103="",D1103&lt;&gt;"",I1103&gt;=TODAY()),ROUND((I1103+IF(ISNUMBER(C1103),MOD(C1103,1),0))*1440,0)*10000+ROW(),"")</f>
        <v/>
      </c>
    </row>
    <row r="1104">
      <c r="A1104" s="1" t="n"/>
      <c r="B1104" s="17" t="n"/>
      <c r="C1104" s="18" t="n"/>
      <c r="D1104" s="19" t="n"/>
      <c r="E1104" s="20" t="n"/>
      <c r="F1104" s="20" t="n"/>
      <c r="G1104" s="21" t="n"/>
      <c r="H1104" s="12">
        <f>IF(AND(B1104="",D1104="",F1104=""),"",IF(NOT(ISNUMBER(B1104)),"Needs a date",IF(D1104="","Needs a client",IF(COUNTIF(Clients!$B$6:$B$105,D1104)=0,"Not on Clients",IF(AND(F1104="",INT(B1104)&lt;TODAY()),"Needs a status","")))))</f>
        <v/>
      </c>
      <c r="I1104" s="1">
        <f>IF(ISNUMBER(B1104),INT(B1104),0)</f>
        <v/>
      </c>
      <c r="J1104">
        <f>IF(ISNUMBER(B1104),YEAR(B1104)*100+MONTH(B1104),"")</f>
        <v/>
      </c>
      <c r="K1104">
        <f>IF(AND(H1104="",OR(F1104="Attended",F1104="No-show",AND(F1104="Late cancel",Settings!$C$9="Yes"))),1,0)</f>
        <v/>
      </c>
      <c r="L1104">
        <f>IF(AND(H1104="",F1104="Attended"),1,0)</f>
        <v/>
      </c>
      <c r="M1104">
        <f>IF(AND(H1104="",OR(F1104="No-show",F1104="Late cancel")),1,0)</f>
        <v/>
      </c>
      <c r="N1104">
        <f>IF(AND(H1104="",F1104="",D1104&lt;&gt;"",I1104&gt;=TODAY()),ROUND((I1104+IF(ISNUMBER(C1104),MOD(C1104,1),0))*1440,0)*10000+ROW(),"")</f>
        <v/>
      </c>
    </row>
    <row r="1105">
      <c r="A1105" s="1" t="n"/>
      <c r="B1105" s="17" t="n"/>
      <c r="C1105" s="18" t="n"/>
      <c r="D1105" s="19" t="n"/>
      <c r="E1105" s="20" t="n"/>
      <c r="F1105" s="20" t="n"/>
      <c r="G1105" s="21" t="n"/>
      <c r="H1105" s="12">
        <f>IF(AND(B1105="",D1105="",F1105=""),"",IF(NOT(ISNUMBER(B1105)),"Needs a date",IF(D1105="","Needs a client",IF(COUNTIF(Clients!$B$6:$B$105,D1105)=0,"Not on Clients",IF(AND(F1105="",INT(B1105)&lt;TODAY()),"Needs a status","")))))</f>
        <v/>
      </c>
      <c r="I1105" s="1">
        <f>IF(ISNUMBER(B1105),INT(B1105),0)</f>
        <v/>
      </c>
      <c r="J1105">
        <f>IF(ISNUMBER(B1105),YEAR(B1105)*100+MONTH(B1105),"")</f>
        <v/>
      </c>
      <c r="K1105">
        <f>IF(AND(H1105="",OR(F1105="Attended",F1105="No-show",AND(F1105="Late cancel",Settings!$C$9="Yes"))),1,0)</f>
        <v/>
      </c>
      <c r="L1105">
        <f>IF(AND(H1105="",F1105="Attended"),1,0)</f>
        <v/>
      </c>
      <c r="M1105">
        <f>IF(AND(H1105="",OR(F1105="No-show",F1105="Late cancel")),1,0)</f>
        <v/>
      </c>
      <c r="N1105">
        <f>IF(AND(H1105="",F1105="",D1105&lt;&gt;"",I1105&gt;=TODAY()),ROUND((I1105+IF(ISNUMBER(C1105),MOD(C1105,1),0))*1440,0)*10000+ROW(),"")</f>
        <v/>
      </c>
    </row>
    <row r="1106">
      <c r="A1106" s="1" t="n"/>
      <c r="B1106" s="17" t="n"/>
      <c r="C1106" s="18" t="n"/>
      <c r="D1106" s="19" t="n"/>
      <c r="E1106" s="20" t="n"/>
      <c r="F1106" s="20" t="n"/>
      <c r="G1106" s="21" t="n"/>
      <c r="H1106" s="12">
        <f>IF(AND(B1106="",D1106="",F1106=""),"",IF(NOT(ISNUMBER(B1106)),"Needs a date",IF(D1106="","Needs a client",IF(COUNTIF(Clients!$B$6:$B$105,D1106)=0,"Not on Clients",IF(AND(F1106="",INT(B1106)&lt;TODAY()),"Needs a status","")))))</f>
        <v/>
      </c>
      <c r="I1106" s="1">
        <f>IF(ISNUMBER(B1106),INT(B1106),0)</f>
        <v/>
      </c>
      <c r="J1106">
        <f>IF(ISNUMBER(B1106),YEAR(B1106)*100+MONTH(B1106),"")</f>
        <v/>
      </c>
      <c r="K1106">
        <f>IF(AND(H1106="",OR(F1106="Attended",F1106="No-show",AND(F1106="Late cancel",Settings!$C$9="Yes"))),1,0)</f>
        <v/>
      </c>
      <c r="L1106">
        <f>IF(AND(H1106="",F1106="Attended"),1,0)</f>
        <v/>
      </c>
      <c r="M1106">
        <f>IF(AND(H1106="",OR(F1106="No-show",F1106="Late cancel")),1,0)</f>
        <v/>
      </c>
      <c r="N1106">
        <f>IF(AND(H1106="",F1106="",D1106&lt;&gt;"",I1106&gt;=TODAY()),ROUND((I1106+IF(ISNUMBER(C1106),MOD(C1106,1),0))*1440,0)*10000+ROW(),"")</f>
        <v/>
      </c>
    </row>
    <row r="1107">
      <c r="A1107" s="1" t="n"/>
      <c r="B1107" s="17" t="n"/>
      <c r="C1107" s="18" t="n"/>
      <c r="D1107" s="19" t="n"/>
      <c r="E1107" s="20" t="n"/>
      <c r="F1107" s="20" t="n"/>
      <c r="G1107" s="21" t="n"/>
      <c r="H1107" s="12">
        <f>IF(AND(B1107="",D1107="",F1107=""),"",IF(NOT(ISNUMBER(B1107)),"Needs a date",IF(D1107="","Needs a client",IF(COUNTIF(Clients!$B$6:$B$105,D1107)=0,"Not on Clients",IF(AND(F1107="",INT(B1107)&lt;TODAY()),"Needs a status","")))))</f>
        <v/>
      </c>
      <c r="I1107" s="1">
        <f>IF(ISNUMBER(B1107),INT(B1107),0)</f>
        <v/>
      </c>
      <c r="J1107">
        <f>IF(ISNUMBER(B1107),YEAR(B1107)*100+MONTH(B1107),"")</f>
        <v/>
      </c>
      <c r="K1107">
        <f>IF(AND(H1107="",OR(F1107="Attended",F1107="No-show",AND(F1107="Late cancel",Settings!$C$9="Yes"))),1,0)</f>
        <v/>
      </c>
      <c r="L1107">
        <f>IF(AND(H1107="",F1107="Attended"),1,0)</f>
        <v/>
      </c>
      <c r="M1107">
        <f>IF(AND(H1107="",OR(F1107="No-show",F1107="Late cancel")),1,0)</f>
        <v/>
      </c>
      <c r="N1107">
        <f>IF(AND(H1107="",F1107="",D1107&lt;&gt;"",I1107&gt;=TODAY()),ROUND((I1107+IF(ISNUMBER(C1107),MOD(C1107,1),0))*1440,0)*10000+ROW(),"")</f>
        <v/>
      </c>
    </row>
    <row r="1108">
      <c r="A1108" s="1" t="n"/>
      <c r="B1108" s="17" t="n"/>
      <c r="C1108" s="18" t="n"/>
      <c r="D1108" s="19" t="n"/>
      <c r="E1108" s="20" t="n"/>
      <c r="F1108" s="20" t="n"/>
      <c r="G1108" s="21" t="n"/>
      <c r="H1108" s="12">
        <f>IF(AND(B1108="",D1108="",F1108=""),"",IF(NOT(ISNUMBER(B1108)),"Needs a date",IF(D1108="","Needs a client",IF(COUNTIF(Clients!$B$6:$B$105,D1108)=0,"Not on Clients",IF(AND(F1108="",INT(B1108)&lt;TODAY()),"Needs a status","")))))</f>
        <v/>
      </c>
      <c r="I1108" s="1">
        <f>IF(ISNUMBER(B1108),INT(B1108),0)</f>
        <v/>
      </c>
      <c r="J1108">
        <f>IF(ISNUMBER(B1108),YEAR(B1108)*100+MONTH(B1108),"")</f>
        <v/>
      </c>
      <c r="K1108">
        <f>IF(AND(H1108="",OR(F1108="Attended",F1108="No-show",AND(F1108="Late cancel",Settings!$C$9="Yes"))),1,0)</f>
        <v/>
      </c>
      <c r="L1108">
        <f>IF(AND(H1108="",F1108="Attended"),1,0)</f>
        <v/>
      </c>
      <c r="M1108">
        <f>IF(AND(H1108="",OR(F1108="No-show",F1108="Late cancel")),1,0)</f>
        <v/>
      </c>
      <c r="N1108">
        <f>IF(AND(H1108="",F1108="",D1108&lt;&gt;"",I1108&gt;=TODAY()),ROUND((I1108+IF(ISNUMBER(C1108),MOD(C1108,1),0))*1440,0)*10000+ROW(),"")</f>
        <v/>
      </c>
    </row>
    <row r="1109">
      <c r="A1109" s="1" t="n"/>
      <c r="B1109" s="17" t="n"/>
      <c r="C1109" s="18" t="n"/>
      <c r="D1109" s="19" t="n"/>
      <c r="E1109" s="20" t="n"/>
      <c r="F1109" s="20" t="n"/>
      <c r="G1109" s="21" t="n"/>
      <c r="H1109" s="12">
        <f>IF(AND(B1109="",D1109="",F1109=""),"",IF(NOT(ISNUMBER(B1109)),"Needs a date",IF(D1109="","Needs a client",IF(COUNTIF(Clients!$B$6:$B$105,D1109)=0,"Not on Clients",IF(AND(F1109="",INT(B1109)&lt;TODAY()),"Needs a status","")))))</f>
        <v/>
      </c>
      <c r="I1109" s="1">
        <f>IF(ISNUMBER(B1109),INT(B1109),0)</f>
        <v/>
      </c>
      <c r="J1109">
        <f>IF(ISNUMBER(B1109),YEAR(B1109)*100+MONTH(B1109),"")</f>
        <v/>
      </c>
      <c r="K1109">
        <f>IF(AND(H1109="",OR(F1109="Attended",F1109="No-show",AND(F1109="Late cancel",Settings!$C$9="Yes"))),1,0)</f>
        <v/>
      </c>
      <c r="L1109">
        <f>IF(AND(H1109="",F1109="Attended"),1,0)</f>
        <v/>
      </c>
      <c r="M1109">
        <f>IF(AND(H1109="",OR(F1109="No-show",F1109="Late cancel")),1,0)</f>
        <v/>
      </c>
      <c r="N1109">
        <f>IF(AND(H1109="",F1109="",D1109&lt;&gt;"",I1109&gt;=TODAY()),ROUND((I1109+IF(ISNUMBER(C1109),MOD(C1109,1),0))*1440,0)*10000+ROW(),"")</f>
        <v/>
      </c>
    </row>
    <row r="1110">
      <c r="A1110" s="1" t="n"/>
      <c r="B1110" s="17" t="n"/>
      <c r="C1110" s="18" t="n"/>
      <c r="D1110" s="19" t="n"/>
      <c r="E1110" s="20" t="n"/>
      <c r="F1110" s="20" t="n"/>
      <c r="G1110" s="21" t="n"/>
      <c r="H1110" s="12">
        <f>IF(AND(B1110="",D1110="",F1110=""),"",IF(NOT(ISNUMBER(B1110)),"Needs a date",IF(D1110="","Needs a client",IF(COUNTIF(Clients!$B$6:$B$105,D1110)=0,"Not on Clients",IF(AND(F1110="",INT(B1110)&lt;TODAY()),"Needs a status","")))))</f>
        <v/>
      </c>
      <c r="I1110" s="1">
        <f>IF(ISNUMBER(B1110),INT(B1110),0)</f>
        <v/>
      </c>
      <c r="J1110">
        <f>IF(ISNUMBER(B1110),YEAR(B1110)*100+MONTH(B1110),"")</f>
        <v/>
      </c>
      <c r="K1110">
        <f>IF(AND(H1110="",OR(F1110="Attended",F1110="No-show",AND(F1110="Late cancel",Settings!$C$9="Yes"))),1,0)</f>
        <v/>
      </c>
      <c r="L1110">
        <f>IF(AND(H1110="",F1110="Attended"),1,0)</f>
        <v/>
      </c>
      <c r="M1110">
        <f>IF(AND(H1110="",OR(F1110="No-show",F1110="Late cancel")),1,0)</f>
        <v/>
      </c>
      <c r="N1110">
        <f>IF(AND(H1110="",F1110="",D1110&lt;&gt;"",I1110&gt;=TODAY()),ROUND((I1110+IF(ISNUMBER(C1110),MOD(C1110,1),0))*1440,0)*10000+ROW(),"")</f>
        <v/>
      </c>
    </row>
    <row r="1111">
      <c r="A1111" s="1" t="n"/>
      <c r="B1111" s="17" t="n"/>
      <c r="C1111" s="18" t="n"/>
      <c r="D1111" s="19" t="n"/>
      <c r="E1111" s="20" t="n"/>
      <c r="F1111" s="20" t="n"/>
      <c r="G1111" s="21" t="n"/>
      <c r="H1111" s="12">
        <f>IF(AND(B1111="",D1111="",F1111=""),"",IF(NOT(ISNUMBER(B1111)),"Needs a date",IF(D1111="","Needs a client",IF(COUNTIF(Clients!$B$6:$B$105,D1111)=0,"Not on Clients",IF(AND(F1111="",INT(B1111)&lt;TODAY()),"Needs a status","")))))</f>
        <v/>
      </c>
      <c r="I1111" s="1">
        <f>IF(ISNUMBER(B1111),INT(B1111),0)</f>
        <v/>
      </c>
      <c r="J1111">
        <f>IF(ISNUMBER(B1111),YEAR(B1111)*100+MONTH(B1111),"")</f>
        <v/>
      </c>
      <c r="K1111">
        <f>IF(AND(H1111="",OR(F1111="Attended",F1111="No-show",AND(F1111="Late cancel",Settings!$C$9="Yes"))),1,0)</f>
        <v/>
      </c>
      <c r="L1111">
        <f>IF(AND(H1111="",F1111="Attended"),1,0)</f>
        <v/>
      </c>
      <c r="M1111">
        <f>IF(AND(H1111="",OR(F1111="No-show",F1111="Late cancel")),1,0)</f>
        <v/>
      </c>
      <c r="N1111">
        <f>IF(AND(H1111="",F1111="",D1111&lt;&gt;"",I1111&gt;=TODAY()),ROUND((I1111+IF(ISNUMBER(C1111),MOD(C1111,1),0))*1440,0)*10000+ROW(),"")</f>
        <v/>
      </c>
    </row>
    <row r="1112">
      <c r="A1112" s="1" t="n"/>
      <c r="B1112" s="17" t="n"/>
      <c r="C1112" s="18" t="n"/>
      <c r="D1112" s="19" t="n"/>
      <c r="E1112" s="20" t="n"/>
      <c r="F1112" s="20" t="n"/>
      <c r="G1112" s="21" t="n"/>
      <c r="H1112" s="12">
        <f>IF(AND(B1112="",D1112="",F1112=""),"",IF(NOT(ISNUMBER(B1112)),"Needs a date",IF(D1112="","Needs a client",IF(COUNTIF(Clients!$B$6:$B$105,D1112)=0,"Not on Clients",IF(AND(F1112="",INT(B1112)&lt;TODAY()),"Needs a status","")))))</f>
        <v/>
      </c>
      <c r="I1112" s="1">
        <f>IF(ISNUMBER(B1112),INT(B1112),0)</f>
        <v/>
      </c>
      <c r="J1112">
        <f>IF(ISNUMBER(B1112),YEAR(B1112)*100+MONTH(B1112),"")</f>
        <v/>
      </c>
      <c r="K1112">
        <f>IF(AND(H1112="",OR(F1112="Attended",F1112="No-show",AND(F1112="Late cancel",Settings!$C$9="Yes"))),1,0)</f>
        <v/>
      </c>
      <c r="L1112">
        <f>IF(AND(H1112="",F1112="Attended"),1,0)</f>
        <v/>
      </c>
      <c r="M1112">
        <f>IF(AND(H1112="",OR(F1112="No-show",F1112="Late cancel")),1,0)</f>
        <v/>
      </c>
      <c r="N1112">
        <f>IF(AND(H1112="",F1112="",D1112&lt;&gt;"",I1112&gt;=TODAY()),ROUND((I1112+IF(ISNUMBER(C1112),MOD(C1112,1),0))*1440,0)*10000+ROW(),"")</f>
        <v/>
      </c>
    </row>
    <row r="1113">
      <c r="A1113" s="1" t="n"/>
      <c r="B1113" s="17" t="n"/>
      <c r="C1113" s="18" t="n"/>
      <c r="D1113" s="19" t="n"/>
      <c r="E1113" s="20" t="n"/>
      <c r="F1113" s="20" t="n"/>
      <c r="G1113" s="21" t="n"/>
      <c r="H1113" s="12">
        <f>IF(AND(B1113="",D1113="",F1113=""),"",IF(NOT(ISNUMBER(B1113)),"Needs a date",IF(D1113="","Needs a client",IF(COUNTIF(Clients!$B$6:$B$105,D1113)=0,"Not on Clients",IF(AND(F1113="",INT(B1113)&lt;TODAY()),"Needs a status","")))))</f>
        <v/>
      </c>
      <c r="I1113" s="1">
        <f>IF(ISNUMBER(B1113),INT(B1113),0)</f>
        <v/>
      </c>
      <c r="J1113">
        <f>IF(ISNUMBER(B1113),YEAR(B1113)*100+MONTH(B1113),"")</f>
        <v/>
      </c>
      <c r="K1113">
        <f>IF(AND(H1113="",OR(F1113="Attended",F1113="No-show",AND(F1113="Late cancel",Settings!$C$9="Yes"))),1,0)</f>
        <v/>
      </c>
      <c r="L1113">
        <f>IF(AND(H1113="",F1113="Attended"),1,0)</f>
        <v/>
      </c>
      <c r="M1113">
        <f>IF(AND(H1113="",OR(F1113="No-show",F1113="Late cancel")),1,0)</f>
        <v/>
      </c>
      <c r="N1113">
        <f>IF(AND(H1113="",F1113="",D1113&lt;&gt;"",I1113&gt;=TODAY()),ROUND((I1113+IF(ISNUMBER(C1113),MOD(C1113,1),0))*1440,0)*10000+ROW(),"")</f>
        <v/>
      </c>
    </row>
    <row r="1114">
      <c r="A1114" s="1" t="n"/>
      <c r="B1114" s="17" t="n"/>
      <c r="C1114" s="18" t="n"/>
      <c r="D1114" s="19" t="n"/>
      <c r="E1114" s="20" t="n"/>
      <c r="F1114" s="20" t="n"/>
      <c r="G1114" s="21" t="n"/>
      <c r="H1114" s="12">
        <f>IF(AND(B1114="",D1114="",F1114=""),"",IF(NOT(ISNUMBER(B1114)),"Needs a date",IF(D1114="","Needs a client",IF(COUNTIF(Clients!$B$6:$B$105,D1114)=0,"Not on Clients",IF(AND(F1114="",INT(B1114)&lt;TODAY()),"Needs a status","")))))</f>
        <v/>
      </c>
      <c r="I1114" s="1">
        <f>IF(ISNUMBER(B1114),INT(B1114),0)</f>
        <v/>
      </c>
      <c r="J1114">
        <f>IF(ISNUMBER(B1114),YEAR(B1114)*100+MONTH(B1114),"")</f>
        <v/>
      </c>
      <c r="K1114">
        <f>IF(AND(H1114="",OR(F1114="Attended",F1114="No-show",AND(F1114="Late cancel",Settings!$C$9="Yes"))),1,0)</f>
        <v/>
      </c>
      <c r="L1114">
        <f>IF(AND(H1114="",F1114="Attended"),1,0)</f>
        <v/>
      </c>
      <c r="M1114">
        <f>IF(AND(H1114="",OR(F1114="No-show",F1114="Late cancel")),1,0)</f>
        <v/>
      </c>
      <c r="N1114">
        <f>IF(AND(H1114="",F1114="",D1114&lt;&gt;"",I1114&gt;=TODAY()),ROUND((I1114+IF(ISNUMBER(C1114),MOD(C1114,1),0))*1440,0)*10000+ROW(),"")</f>
        <v/>
      </c>
    </row>
    <row r="1115">
      <c r="A1115" s="1" t="n"/>
      <c r="B1115" s="17" t="n"/>
      <c r="C1115" s="18" t="n"/>
      <c r="D1115" s="19" t="n"/>
      <c r="E1115" s="20" t="n"/>
      <c r="F1115" s="20" t="n"/>
      <c r="G1115" s="21" t="n"/>
      <c r="H1115" s="12">
        <f>IF(AND(B1115="",D1115="",F1115=""),"",IF(NOT(ISNUMBER(B1115)),"Needs a date",IF(D1115="","Needs a client",IF(COUNTIF(Clients!$B$6:$B$105,D1115)=0,"Not on Clients",IF(AND(F1115="",INT(B1115)&lt;TODAY()),"Needs a status","")))))</f>
        <v/>
      </c>
      <c r="I1115" s="1">
        <f>IF(ISNUMBER(B1115),INT(B1115),0)</f>
        <v/>
      </c>
      <c r="J1115">
        <f>IF(ISNUMBER(B1115),YEAR(B1115)*100+MONTH(B1115),"")</f>
        <v/>
      </c>
      <c r="K1115">
        <f>IF(AND(H1115="",OR(F1115="Attended",F1115="No-show",AND(F1115="Late cancel",Settings!$C$9="Yes"))),1,0)</f>
        <v/>
      </c>
      <c r="L1115">
        <f>IF(AND(H1115="",F1115="Attended"),1,0)</f>
        <v/>
      </c>
      <c r="M1115">
        <f>IF(AND(H1115="",OR(F1115="No-show",F1115="Late cancel")),1,0)</f>
        <v/>
      </c>
      <c r="N1115">
        <f>IF(AND(H1115="",F1115="",D1115&lt;&gt;"",I1115&gt;=TODAY()),ROUND((I1115+IF(ISNUMBER(C1115),MOD(C1115,1),0))*1440,0)*10000+ROW(),"")</f>
        <v/>
      </c>
    </row>
    <row r="1116">
      <c r="A1116" s="1" t="n"/>
      <c r="B1116" s="17" t="n"/>
      <c r="C1116" s="18" t="n"/>
      <c r="D1116" s="19" t="n"/>
      <c r="E1116" s="20" t="n"/>
      <c r="F1116" s="20" t="n"/>
      <c r="G1116" s="21" t="n"/>
      <c r="H1116" s="12">
        <f>IF(AND(B1116="",D1116="",F1116=""),"",IF(NOT(ISNUMBER(B1116)),"Needs a date",IF(D1116="","Needs a client",IF(COUNTIF(Clients!$B$6:$B$105,D1116)=0,"Not on Clients",IF(AND(F1116="",INT(B1116)&lt;TODAY()),"Needs a status","")))))</f>
        <v/>
      </c>
      <c r="I1116" s="1">
        <f>IF(ISNUMBER(B1116),INT(B1116),0)</f>
        <v/>
      </c>
      <c r="J1116">
        <f>IF(ISNUMBER(B1116),YEAR(B1116)*100+MONTH(B1116),"")</f>
        <v/>
      </c>
      <c r="K1116">
        <f>IF(AND(H1116="",OR(F1116="Attended",F1116="No-show",AND(F1116="Late cancel",Settings!$C$9="Yes"))),1,0)</f>
        <v/>
      </c>
      <c r="L1116">
        <f>IF(AND(H1116="",F1116="Attended"),1,0)</f>
        <v/>
      </c>
      <c r="M1116">
        <f>IF(AND(H1116="",OR(F1116="No-show",F1116="Late cancel")),1,0)</f>
        <v/>
      </c>
      <c r="N1116">
        <f>IF(AND(H1116="",F1116="",D1116&lt;&gt;"",I1116&gt;=TODAY()),ROUND((I1116+IF(ISNUMBER(C1116),MOD(C1116,1),0))*1440,0)*10000+ROW(),"")</f>
        <v/>
      </c>
    </row>
    <row r="1117">
      <c r="A1117" s="1" t="n"/>
      <c r="B1117" s="17" t="n"/>
      <c r="C1117" s="18" t="n"/>
      <c r="D1117" s="19" t="n"/>
      <c r="E1117" s="20" t="n"/>
      <c r="F1117" s="20" t="n"/>
      <c r="G1117" s="21" t="n"/>
      <c r="H1117" s="12">
        <f>IF(AND(B1117="",D1117="",F1117=""),"",IF(NOT(ISNUMBER(B1117)),"Needs a date",IF(D1117="","Needs a client",IF(COUNTIF(Clients!$B$6:$B$105,D1117)=0,"Not on Clients",IF(AND(F1117="",INT(B1117)&lt;TODAY()),"Needs a status","")))))</f>
        <v/>
      </c>
      <c r="I1117" s="1">
        <f>IF(ISNUMBER(B1117),INT(B1117),0)</f>
        <v/>
      </c>
      <c r="J1117">
        <f>IF(ISNUMBER(B1117),YEAR(B1117)*100+MONTH(B1117),"")</f>
        <v/>
      </c>
      <c r="K1117">
        <f>IF(AND(H1117="",OR(F1117="Attended",F1117="No-show",AND(F1117="Late cancel",Settings!$C$9="Yes"))),1,0)</f>
        <v/>
      </c>
      <c r="L1117">
        <f>IF(AND(H1117="",F1117="Attended"),1,0)</f>
        <v/>
      </c>
      <c r="M1117">
        <f>IF(AND(H1117="",OR(F1117="No-show",F1117="Late cancel")),1,0)</f>
        <v/>
      </c>
      <c r="N1117">
        <f>IF(AND(H1117="",F1117="",D1117&lt;&gt;"",I1117&gt;=TODAY()),ROUND((I1117+IF(ISNUMBER(C1117),MOD(C1117,1),0))*1440,0)*10000+ROW(),"")</f>
        <v/>
      </c>
    </row>
    <row r="1118">
      <c r="A1118" s="1" t="n"/>
      <c r="B1118" s="17" t="n"/>
      <c r="C1118" s="18" t="n"/>
      <c r="D1118" s="19" t="n"/>
      <c r="E1118" s="20" t="n"/>
      <c r="F1118" s="20" t="n"/>
      <c r="G1118" s="21" t="n"/>
      <c r="H1118" s="12">
        <f>IF(AND(B1118="",D1118="",F1118=""),"",IF(NOT(ISNUMBER(B1118)),"Needs a date",IF(D1118="","Needs a client",IF(COUNTIF(Clients!$B$6:$B$105,D1118)=0,"Not on Clients",IF(AND(F1118="",INT(B1118)&lt;TODAY()),"Needs a status","")))))</f>
        <v/>
      </c>
      <c r="I1118" s="1">
        <f>IF(ISNUMBER(B1118),INT(B1118),0)</f>
        <v/>
      </c>
      <c r="J1118">
        <f>IF(ISNUMBER(B1118),YEAR(B1118)*100+MONTH(B1118),"")</f>
        <v/>
      </c>
      <c r="K1118">
        <f>IF(AND(H1118="",OR(F1118="Attended",F1118="No-show",AND(F1118="Late cancel",Settings!$C$9="Yes"))),1,0)</f>
        <v/>
      </c>
      <c r="L1118">
        <f>IF(AND(H1118="",F1118="Attended"),1,0)</f>
        <v/>
      </c>
      <c r="M1118">
        <f>IF(AND(H1118="",OR(F1118="No-show",F1118="Late cancel")),1,0)</f>
        <v/>
      </c>
      <c r="N1118">
        <f>IF(AND(H1118="",F1118="",D1118&lt;&gt;"",I1118&gt;=TODAY()),ROUND((I1118+IF(ISNUMBER(C1118),MOD(C1118,1),0))*1440,0)*10000+ROW(),"")</f>
        <v/>
      </c>
    </row>
    <row r="1119">
      <c r="A1119" s="1" t="n"/>
      <c r="B1119" s="17" t="n"/>
      <c r="C1119" s="18" t="n"/>
      <c r="D1119" s="19" t="n"/>
      <c r="E1119" s="20" t="n"/>
      <c r="F1119" s="20" t="n"/>
      <c r="G1119" s="21" t="n"/>
      <c r="H1119" s="12">
        <f>IF(AND(B1119="",D1119="",F1119=""),"",IF(NOT(ISNUMBER(B1119)),"Needs a date",IF(D1119="","Needs a client",IF(COUNTIF(Clients!$B$6:$B$105,D1119)=0,"Not on Clients",IF(AND(F1119="",INT(B1119)&lt;TODAY()),"Needs a status","")))))</f>
        <v/>
      </c>
      <c r="I1119" s="1">
        <f>IF(ISNUMBER(B1119),INT(B1119),0)</f>
        <v/>
      </c>
      <c r="J1119">
        <f>IF(ISNUMBER(B1119),YEAR(B1119)*100+MONTH(B1119),"")</f>
        <v/>
      </c>
      <c r="K1119">
        <f>IF(AND(H1119="",OR(F1119="Attended",F1119="No-show",AND(F1119="Late cancel",Settings!$C$9="Yes"))),1,0)</f>
        <v/>
      </c>
      <c r="L1119">
        <f>IF(AND(H1119="",F1119="Attended"),1,0)</f>
        <v/>
      </c>
      <c r="M1119">
        <f>IF(AND(H1119="",OR(F1119="No-show",F1119="Late cancel")),1,0)</f>
        <v/>
      </c>
      <c r="N1119">
        <f>IF(AND(H1119="",F1119="",D1119&lt;&gt;"",I1119&gt;=TODAY()),ROUND((I1119+IF(ISNUMBER(C1119),MOD(C1119,1),0))*1440,0)*10000+ROW(),"")</f>
        <v/>
      </c>
    </row>
    <row r="1120">
      <c r="A1120" s="1" t="n"/>
      <c r="B1120" s="17" t="n"/>
      <c r="C1120" s="18" t="n"/>
      <c r="D1120" s="19" t="n"/>
      <c r="E1120" s="20" t="n"/>
      <c r="F1120" s="20" t="n"/>
      <c r="G1120" s="21" t="n"/>
      <c r="H1120" s="12">
        <f>IF(AND(B1120="",D1120="",F1120=""),"",IF(NOT(ISNUMBER(B1120)),"Needs a date",IF(D1120="","Needs a client",IF(COUNTIF(Clients!$B$6:$B$105,D1120)=0,"Not on Clients",IF(AND(F1120="",INT(B1120)&lt;TODAY()),"Needs a status","")))))</f>
        <v/>
      </c>
      <c r="I1120" s="1">
        <f>IF(ISNUMBER(B1120),INT(B1120),0)</f>
        <v/>
      </c>
      <c r="J1120">
        <f>IF(ISNUMBER(B1120),YEAR(B1120)*100+MONTH(B1120),"")</f>
        <v/>
      </c>
      <c r="K1120">
        <f>IF(AND(H1120="",OR(F1120="Attended",F1120="No-show",AND(F1120="Late cancel",Settings!$C$9="Yes"))),1,0)</f>
        <v/>
      </c>
      <c r="L1120">
        <f>IF(AND(H1120="",F1120="Attended"),1,0)</f>
        <v/>
      </c>
      <c r="M1120">
        <f>IF(AND(H1120="",OR(F1120="No-show",F1120="Late cancel")),1,0)</f>
        <v/>
      </c>
      <c r="N1120">
        <f>IF(AND(H1120="",F1120="",D1120&lt;&gt;"",I1120&gt;=TODAY()),ROUND((I1120+IF(ISNUMBER(C1120),MOD(C1120,1),0))*1440,0)*10000+ROW(),"")</f>
        <v/>
      </c>
    </row>
    <row r="1121">
      <c r="A1121" s="1" t="n"/>
      <c r="B1121" s="17" t="n"/>
      <c r="C1121" s="18" t="n"/>
      <c r="D1121" s="19" t="n"/>
      <c r="E1121" s="20" t="n"/>
      <c r="F1121" s="20" t="n"/>
      <c r="G1121" s="21" t="n"/>
      <c r="H1121" s="12">
        <f>IF(AND(B1121="",D1121="",F1121=""),"",IF(NOT(ISNUMBER(B1121)),"Needs a date",IF(D1121="","Needs a client",IF(COUNTIF(Clients!$B$6:$B$105,D1121)=0,"Not on Clients",IF(AND(F1121="",INT(B1121)&lt;TODAY()),"Needs a status","")))))</f>
        <v/>
      </c>
      <c r="I1121" s="1">
        <f>IF(ISNUMBER(B1121),INT(B1121),0)</f>
        <v/>
      </c>
      <c r="J1121">
        <f>IF(ISNUMBER(B1121),YEAR(B1121)*100+MONTH(B1121),"")</f>
        <v/>
      </c>
      <c r="K1121">
        <f>IF(AND(H1121="",OR(F1121="Attended",F1121="No-show",AND(F1121="Late cancel",Settings!$C$9="Yes"))),1,0)</f>
        <v/>
      </c>
      <c r="L1121">
        <f>IF(AND(H1121="",F1121="Attended"),1,0)</f>
        <v/>
      </c>
      <c r="M1121">
        <f>IF(AND(H1121="",OR(F1121="No-show",F1121="Late cancel")),1,0)</f>
        <v/>
      </c>
      <c r="N1121">
        <f>IF(AND(H1121="",F1121="",D1121&lt;&gt;"",I1121&gt;=TODAY()),ROUND((I1121+IF(ISNUMBER(C1121),MOD(C1121,1),0))*1440,0)*10000+ROW(),"")</f>
        <v/>
      </c>
    </row>
    <row r="1122">
      <c r="A1122" s="1" t="n"/>
      <c r="B1122" s="17" t="n"/>
      <c r="C1122" s="18" t="n"/>
      <c r="D1122" s="19" t="n"/>
      <c r="E1122" s="20" t="n"/>
      <c r="F1122" s="20" t="n"/>
      <c r="G1122" s="21" t="n"/>
      <c r="H1122" s="12">
        <f>IF(AND(B1122="",D1122="",F1122=""),"",IF(NOT(ISNUMBER(B1122)),"Needs a date",IF(D1122="","Needs a client",IF(COUNTIF(Clients!$B$6:$B$105,D1122)=0,"Not on Clients",IF(AND(F1122="",INT(B1122)&lt;TODAY()),"Needs a status","")))))</f>
        <v/>
      </c>
      <c r="I1122" s="1">
        <f>IF(ISNUMBER(B1122),INT(B1122),0)</f>
        <v/>
      </c>
      <c r="J1122">
        <f>IF(ISNUMBER(B1122),YEAR(B1122)*100+MONTH(B1122),"")</f>
        <v/>
      </c>
      <c r="K1122">
        <f>IF(AND(H1122="",OR(F1122="Attended",F1122="No-show",AND(F1122="Late cancel",Settings!$C$9="Yes"))),1,0)</f>
        <v/>
      </c>
      <c r="L1122">
        <f>IF(AND(H1122="",F1122="Attended"),1,0)</f>
        <v/>
      </c>
      <c r="M1122">
        <f>IF(AND(H1122="",OR(F1122="No-show",F1122="Late cancel")),1,0)</f>
        <v/>
      </c>
      <c r="N1122">
        <f>IF(AND(H1122="",F1122="",D1122&lt;&gt;"",I1122&gt;=TODAY()),ROUND((I1122+IF(ISNUMBER(C1122),MOD(C1122,1),0))*1440,0)*10000+ROW(),"")</f>
        <v/>
      </c>
    </row>
    <row r="1123">
      <c r="A1123" s="1" t="n"/>
      <c r="B1123" s="17" t="n"/>
      <c r="C1123" s="18" t="n"/>
      <c r="D1123" s="19" t="n"/>
      <c r="E1123" s="20" t="n"/>
      <c r="F1123" s="20" t="n"/>
      <c r="G1123" s="21" t="n"/>
      <c r="H1123" s="12">
        <f>IF(AND(B1123="",D1123="",F1123=""),"",IF(NOT(ISNUMBER(B1123)),"Needs a date",IF(D1123="","Needs a client",IF(COUNTIF(Clients!$B$6:$B$105,D1123)=0,"Not on Clients",IF(AND(F1123="",INT(B1123)&lt;TODAY()),"Needs a status","")))))</f>
        <v/>
      </c>
      <c r="I1123" s="1">
        <f>IF(ISNUMBER(B1123),INT(B1123),0)</f>
        <v/>
      </c>
      <c r="J1123">
        <f>IF(ISNUMBER(B1123),YEAR(B1123)*100+MONTH(B1123),"")</f>
        <v/>
      </c>
      <c r="K1123">
        <f>IF(AND(H1123="",OR(F1123="Attended",F1123="No-show",AND(F1123="Late cancel",Settings!$C$9="Yes"))),1,0)</f>
        <v/>
      </c>
      <c r="L1123">
        <f>IF(AND(H1123="",F1123="Attended"),1,0)</f>
        <v/>
      </c>
      <c r="M1123">
        <f>IF(AND(H1123="",OR(F1123="No-show",F1123="Late cancel")),1,0)</f>
        <v/>
      </c>
      <c r="N1123">
        <f>IF(AND(H1123="",F1123="",D1123&lt;&gt;"",I1123&gt;=TODAY()),ROUND((I1123+IF(ISNUMBER(C1123),MOD(C1123,1),0))*1440,0)*10000+ROW(),"")</f>
        <v/>
      </c>
    </row>
    <row r="1124">
      <c r="A1124" s="1" t="n"/>
      <c r="B1124" s="17" t="n"/>
      <c r="C1124" s="18" t="n"/>
      <c r="D1124" s="19" t="n"/>
      <c r="E1124" s="20" t="n"/>
      <c r="F1124" s="20" t="n"/>
      <c r="G1124" s="21" t="n"/>
      <c r="H1124" s="12">
        <f>IF(AND(B1124="",D1124="",F1124=""),"",IF(NOT(ISNUMBER(B1124)),"Needs a date",IF(D1124="","Needs a client",IF(COUNTIF(Clients!$B$6:$B$105,D1124)=0,"Not on Clients",IF(AND(F1124="",INT(B1124)&lt;TODAY()),"Needs a status","")))))</f>
        <v/>
      </c>
      <c r="I1124" s="1">
        <f>IF(ISNUMBER(B1124),INT(B1124),0)</f>
        <v/>
      </c>
      <c r="J1124">
        <f>IF(ISNUMBER(B1124),YEAR(B1124)*100+MONTH(B1124),"")</f>
        <v/>
      </c>
      <c r="K1124">
        <f>IF(AND(H1124="",OR(F1124="Attended",F1124="No-show",AND(F1124="Late cancel",Settings!$C$9="Yes"))),1,0)</f>
        <v/>
      </c>
      <c r="L1124">
        <f>IF(AND(H1124="",F1124="Attended"),1,0)</f>
        <v/>
      </c>
      <c r="M1124">
        <f>IF(AND(H1124="",OR(F1124="No-show",F1124="Late cancel")),1,0)</f>
        <v/>
      </c>
      <c r="N1124">
        <f>IF(AND(H1124="",F1124="",D1124&lt;&gt;"",I1124&gt;=TODAY()),ROUND((I1124+IF(ISNUMBER(C1124),MOD(C1124,1),0))*1440,0)*10000+ROW(),"")</f>
        <v/>
      </c>
    </row>
    <row r="1125">
      <c r="A1125" s="1" t="n"/>
      <c r="B1125" s="17" t="n"/>
      <c r="C1125" s="18" t="n"/>
      <c r="D1125" s="19" t="n"/>
      <c r="E1125" s="20" t="n"/>
      <c r="F1125" s="20" t="n"/>
      <c r="G1125" s="21" t="n"/>
      <c r="H1125" s="12">
        <f>IF(AND(B1125="",D1125="",F1125=""),"",IF(NOT(ISNUMBER(B1125)),"Needs a date",IF(D1125="","Needs a client",IF(COUNTIF(Clients!$B$6:$B$105,D1125)=0,"Not on Clients",IF(AND(F1125="",INT(B1125)&lt;TODAY()),"Needs a status","")))))</f>
        <v/>
      </c>
      <c r="I1125" s="1">
        <f>IF(ISNUMBER(B1125),INT(B1125),0)</f>
        <v/>
      </c>
      <c r="J1125">
        <f>IF(ISNUMBER(B1125),YEAR(B1125)*100+MONTH(B1125),"")</f>
        <v/>
      </c>
      <c r="K1125">
        <f>IF(AND(H1125="",OR(F1125="Attended",F1125="No-show",AND(F1125="Late cancel",Settings!$C$9="Yes"))),1,0)</f>
        <v/>
      </c>
      <c r="L1125">
        <f>IF(AND(H1125="",F1125="Attended"),1,0)</f>
        <v/>
      </c>
      <c r="M1125">
        <f>IF(AND(H1125="",OR(F1125="No-show",F1125="Late cancel")),1,0)</f>
        <v/>
      </c>
      <c r="N1125">
        <f>IF(AND(H1125="",F1125="",D1125&lt;&gt;"",I1125&gt;=TODAY()),ROUND((I1125+IF(ISNUMBER(C1125),MOD(C1125,1),0))*1440,0)*10000+ROW(),"")</f>
        <v/>
      </c>
    </row>
    <row r="1126">
      <c r="A1126" s="1" t="n"/>
      <c r="B1126" s="17" t="n"/>
      <c r="C1126" s="18" t="n"/>
      <c r="D1126" s="19" t="n"/>
      <c r="E1126" s="20" t="n"/>
      <c r="F1126" s="20" t="n"/>
      <c r="G1126" s="21" t="n"/>
      <c r="H1126" s="12">
        <f>IF(AND(B1126="",D1126="",F1126=""),"",IF(NOT(ISNUMBER(B1126)),"Needs a date",IF(D1126="","Needs a client",IF(COUNTIF(Clients!$B$6:$B$105,D1126)=0,"Not on Clients",IF(AND(F1126="",INT(B1126)&lt;TODAY()),"Needs a status","")))))</f>
        <v/>
      </c>
      <c r="I1126" s="1">
        <f>IF(ISNUMBER(B1126),INT(B1126),0)</f>
        <v/>
      </c>
      <c r="J1126">
        <f>IF(ISNUMBER(B1126),YEAR(B1126)*100+MONTH(B1126),"")</f>
        <v/>
      </c>
      <c r="K1126">
        <f>IF(AND(H1126="",OR(F1126="Attended",F1126="No-show",AND(F1126="Late cancel",Settings!$C$9="Yes"))),1,0)</f>
        <v/>
      </c>
      <c r="L1126">
        <f>IF(AND(H1126="",F1126="Attended"),1,0)</f>
        <v/>
      </c>
      <c r="M1126">
        <f>IF(AND(H1126="",OR(F1126="No-show",F1126="Late cancel")),1,0)</f>
        <v/>
      </c>
      <c r="N1126">
        <f>IF(AND(H1126="",F1126="",D1126&lt;&gt;"",I1126&gt;=TODAY()),ROUND((I1126+IF(ISNUMBER(C1126),MOD(C1126,1),0))*1440,0)*10000+ROW(),"")</f>
        <v/>
      </c>
    </row>
    <row r="1127">
      <c r="A1127" s="1" t="n"/>
      <c r="B1127" s="17" t="n"/>
      <c r="C1127" s="18" t="n"/>
      <c r="D1127" s="19" t="n"/>
      <c r="E1127" s="20" t="n"/>
      <c r="F1127" s="20" t="n"/>
      <c r="G1127" s="21" t="n"/>
      <c r="H1127" s="12">
        <f>IF(AND(B1127="",D1127="",F1127=""),"",IF(NOT(ISNUMBER(B1127)),"Needs a date",IF(D1127="","Needs a client",IF(COUNTIF(Clients!$B$6:$B$105,D1127)=0,"Not on Clients",IF(AND(F1127="",INT(B1127)&lt;TODAY()),"Needs a status","")))))</f>
        <v/>
      </c>
      <c r="I1127" s="1">
        <f>IF(ISNUMBER(B1127),INT(B1127),0)</f>
        <v/>
      </c>
      <c r="J1127">
        <f>IF(ISNUMBER(B1127),YEAR(B1127)*100+MONTH(B1127),"")</f>
        <v/>
      </c>
      <c r="K1127">
        <f>IF(AND(H1127="",OR(F1127="Attended",F1127="No-show",AND(F1127="Late cancel",Settings!$C$9="Yes"))),1,0)</f>
        <v/>
      </c>
      <c r="L1127">
        <f>IF(AND(H1127="",F1127="Attended"),1,0)</f>
        <v/>
      </c>
      <c r="M1127">
        <f>IF(AND(H1127="",OR(F1127="No-show",F1127="Late cancel")),1,0)</f>
        <v/>
      </c>
      <c r="N1127">
        <f>IF(AND(H1127="",F1127="",D1127&lt;&gt;"",I1127&gt;=TODAY()),ROUND((I1127+IF(ISNUMBER(C1127),MOD(C1127,1),0))*1440,0)*10000+ROW(),"")</f>
        <v/>
      </c>
    </row>
    <row r="1128">
      <c r="A1128" s="1" t="n"/>
      <c r="B1128" s="17" t="n"/>
      <c r="C1128" s="18" t="n"/>
      <c r="D1128" s="19" t="n"/>
      <c r="E1128" s="20" t="n"/>
      <c r="F1128" s="20" t="n"/>
      <c r="G1128" s="21" t="n"/>
      <c r="H1128" s="12">
        <f>IF(AND(B1128="",D1128="",F1128=""),"",IF(NOT(ISNUMBER(B1128)),"Needs a date",IF(D1128="","Needs a client",IF(COUNTIF(Clients!$B$6:$B$105,D1128)=0,"Not on Clients",IF(AND(F1128="",INT(B1128)&lt;TODAY()),"Needs a status","")))))</f>
        <v/>
      </c>
      <c r="I1128" s="1">
        <f>IF(ISNUMBER(B1128),INT(B1128),0)</f>
        <v/>
      </c>
      <c r="J1128">
        <f>IF(ISNUMBER(B1128),YEAR(B1128)*100+MONTH(B1128),"")</f>
        <v/>
      </c>
      <c r="K1128">
        <f>IF(AND(H1128="",OR(F1128="Attended",F1128="No-show",AND(F1128="Late cancel",Settings!$C$9="Yes"))),1,0)</f>
        <v/>
      </c>
      <c r="L1128">
        <f>IF(AND(H1128="",F1128="Attended"),1,0)</f>
        <v/>
      </c>
      <c r="M1128">
        <f>IF(AND(H1128="",OR(F1128="No-show",F1128="Late cancel")),1,0)</f>
        <v/>
      </c>
      <c r="N1128">
        <f>IF(AND(H1128="",F1128="",D1128&lt;&gt;"",I1128&gt;=TODAY()),ROUND((I1128+IF(ISNUMBER(C1128),MOD(C1128,1),0))*1440,0)*10000+ROW(),"")</f>
        <v/>
      </c>
    </row>
    <row r="1129">
      <c r="A1129" s="1" t="n"/>
      <c r="B1129" s="17" t="n"/>
      <c r="C1129" s="18" t="n"/>
      <c r="D1129" s="19" t="n"/>
      <c r="E1129" s="20" t="n"/>
      <c r="F1129" s="20" t="n"/>
      <c r="G1129" s="21" t="n"/>
      <c r="H1129" s="12">
        <f>IF(AND(B1129="",D1129="",F1129=""),"",IF(NOT(ISNUMBER(B1129)),"Needs a date",IF(D1129="","Needs a client",IF(COUNTIF(Clients!$B$6:$B$105,D1129)=0,"Not on Clients",IF(AND(F1129="",INT(B1129)&lt;TODAY()),"Needs a status","")))))</f>
        <v/>
      </c>
      <c r="I1129" s="1">
        <f>IF(ISNUMBER(B1129),INT(B1129),0)</f>
        <v/>
      </c>
      <c r="J1129">
        <f>IF(ISNUMBER(B1129),YEAR(B1129)*100+MONTH(B1129),"")</f>
        <v/>
      </c>
      <c r="K1129">
        <f>IF(AND(H1129="",OR(F1129="Attended",F1129="No-show",AND(F1129="Late cancel",Settings!$C$9="Yes"))),1,0)</f>
        <v/>
      </c>
      <c r="L1129">
        <f>IF(AND(H1129="",F1129="Attended"),1,0)</f>
        <v/>
      </c>
      <c r="M1129">
        <f>IF(AND(H1129="",OR(F1129="No-show",F1129="Late cancel")),1,0)</f>
        <v/>
      </c>
      <c r="N1129">
        <f>IF(AND(H1129="",F1129="",D1129&lt;&gt;"",I1129&gt;=TODAY()),ROUND((I1129+IF(ISNUMBER(C1129),MOD(C1129,1),0))*1440,0)*10000+ROW(),"")</f>
        <v/>
      </c>
    </row>
    <row r="1130">
      <c r="A1130" s="1" t="n"/>
      <c r="B1130" s="17" t="n"/>
      <c r="C1130" s="18" t="n"/>
      <c r="D1130" s="19" t="n"/>
      <c r="E1130" s="20" t="n"/>
      <c r="F1130" s="20" t="n"/>
      <c r="G1130" s="21" t="n"/>
      <c r="H1130" s="12">
        <f>IF(AND(B1130="",D1130="",F1130=""),"",IF(NOT(ISNUMBER(B1130)),"Needs a date",IF(D1130="","Needs a client",IF(COUNTIF(Clients!$B$6:$B$105,D1130)=0,"Not on Clients",IF(AND(F1130="",INT(B1130)&lt;TODAY()),"Needs a status","")))))</f>
        <v/>
      </c>
      <c r="I1130" s="1">
        <f>IF(ISNUMBER(B1130),INT(B1130),0)</f>
        <v/>
      </c>
      <c r="J1130">
        <f>IF(ISNUMBER(B1130),YEAR(B1130)*100+MONTH(B1130),"")</f>
        <v/>
      </c>
      <c r="K1130">
        <f>IF(AND(H1130="",OR(F1130="Attended",F1130="No-show",AND(F1130="Late cancel",Settings!$C$9="Yes"))),1,0)</f>
        <v/>
      </c>
      <c r="L1130">
        <f>IF(AND(H1130="",F1130="Attended"),1,0)</f>
        <v/>
      </c>
      <c r="M1130">
        <f>IF(AND(H1130="",OR(F1130="No-show",F1130="Late cancel")),1,0)</f>
        <v/>
      </c>
      <c r="N1130">
        <f>IF(AND(H1130="",F1130="",D1130&lt;&gt;"",I1130&gt;=TODAY()),ROUND((I1130+IF(ISNUMBER(C1130),MOD(C1130,1),0))*1440,0)*10000+ROW(),"")</f>
        <v/>
      </c>
    </row>
    <row r="1131">
      <c r="A1131" s="1" t="n"/>
      <c r="B1131" s="17" t="n"/>
      <c r="C1131" s="18" t="n"/>
      <c r="D1131" s="19" t="n"/>
      <c r="E1131" s="20" t="n"/>
      <c r="F1131" s="20" t="n"/>
      <c r="G1131" s="21" t="n"/>
      <c r="H1131" s="12">
        <f>IF(AND(B1131="",D1131="",F1131=""),"",IF(NOT(ISNUMBER(B1131)),"Needs a date",IF(D1131="","Needs a client",IF(COUNTIF(Clients!$B$6:$B$105,D1131)=0,"Not on Clients",IF(AND(F1131="",INT(B1131)&lt;TODAY()),"Needs a status","")))))</f>
        <v/>
      </c>
      <c r="I1131" s="1">
        <f>IF(ISNUMBER(B1131),INT(B1131),0)</f>
        <v/>
      </c>
      <c r="J1131">
        <f>IF(ISNUMBER(B1131),YEAR(B1131)*100+MONTH(B1131),"")</f>
        <v/>
      </c>
      <c r="K1131">
        <f>IF(AND(H1131="",OR(F1131="Attended",F1131="No-show",AND(F1131="Late cancel",Settings!$C$9="Yes"))),1,0)</f>
        <v/>
      </c>
      <c r="L1131">
        <f>IF(AND(H1131="",F1131="Attended"),1,0)</f>
        <v/>
      </c>
      <c r="M1131">
        <f>IF(AND(H1131="",OR(F1131="No-show",F1131="Late cancel")),1,0)</f>
        <v/>
      </c>
      <c r="N1131">
        <f>IF(AND(H1131="",F1131="",D1131&lt;&gt;"",I1131&gt;=TODAY()),ROUND((I1131+IF(ISNUMBER(C1131),MOD(C1131,1),0))*1440,0)*10000+ROW(),"")</f>
        <v/>
      </c>
    </row>
    <row r="1132">
      <c r="A1132" s="1" t="n"/>
      <c r="B1132" s="17" t="n"/>
      <c r="C1132" s="18" t="n"/>
      <c r="D1132" s="19" t="n"/>
      <c r="E1132" s="20" t="n"/>
      <c r="F1132" s="20" t="n"/>
      <c r="G1132" s="21" t="n"/>
      <c r="H1132" s="12">
        <f>IF(AND(B1132="",D1132="",F1132=""),"",IF(NOT(ISNUMBER(B1132)),"Needs a date",IF(D1132="","Needs a client",IF(COUNTIF(Clients!$B$6:$B$105,D1132)=0,"Not on Clients",IF(AND(F1132="",INT(B1132)&lt;TODAY()),"Needs a status","")))))</f>
        <v/>
      </c>
      <c r="I1132" s="1">
        <f>IF(ISNUMBER(B1132),INT(B1132),0)</f>
        <v/>
      </c>
      <c r="J1132">
        <f>IF(ISNUMBER(B1132),YEAR(B1132)*100+MONTH(B1132),"")</f>
        <v/>
      </c>
      <c r="K1132">
        <f>IF(AND(H1132="",OR(F1132="Attended",F1132="No-show",AND(F1132="Late cancel",Settings!$C$9="Yes"))),1,0)</f>
        <v/>
      </c>
      <c r="L1132">
        <f>IF(AND(H1132="",F1132="Attended"),1,0)</f>
        <v/>
      </c>
      <c r="M1132">
        <f>IF(AND(H1132="",OR(F1132="No-show",F1132="Late cancel")),1,0)</f>
        <v/>
      </c>
      <c r="N1132">
        <f>IF(AND(H1132="",F1132="",D1132&lt;&gt;"",I1132&gt;=TODAY()),ROUND((I1132+IF(ISNUMBER(C1132),MOD(C1132,1),0))*1440,0)*10000+ROW(),"")</f>
        <v/>
      </c>
    </row>
    <row r="1133">
      <c r="A1133" s="1" t="n"/>
      <c r="B1133" s="17" t="n"/>
      <c r="C1133" s="18" t="n"/>
      <c r="D1133" s="19" t="n"/>
      <c r="E1133" s="20" t="n"/>
      <c r="F1133" s="20" t="n"/>
      <c r="G1133" s="21" t="n"/>
      <c r="H1133" s="12">
        <f>IF(AND(B1133="",D1133="",F1133=""),"",IF(NOT(ISNUMBER(B1133)),"Needs a date",IF(D1133="","Needs a client",IF(COUNTIF(Clients!$B$6:$B$105,D1133)=0,"Not on Clients",IF(AND(F1133="",INT(B1133)&lt;TODAY()),"Needs a status","")))))</f>
        <v/>
      </c>
      <c r="I1133" s="1">
        <f>IF(ISNUMBER(B1133),INT(B1133),0)</f>
        <v/>
      </c>
      <c r="J1133">
        <f>IF(ISNUMBER(B1133),YEAR(B1133)*100+MONTH(B1133),"")</f>
        <v/>
      </c>
      <c r="K1133">
        <f>IF(AND(H1133="",OR(F1133="Attended",F1133="No-show",AND(F1133="Late cancel",Settings!$C$9="Yes"))),1,0)</f>
        <v/>
      </c>
      <c r="L1133">
        <f>IF(AND(H1133="",F1133="Attended"),1,0)</f>
        <v/>
      </c>
      <c r="M1133">
        <f>IF(AND(H1133="",OR(F1133="No-show",F1133="Late cancel")),1,0)</f>
        <v/>
      </c>
      <c r="N1133">
        <f>IF(AND(H1133="",F1133="",D1133&lt;&gt;"",I1133&gt;=TODAY()),ROUND((I1133+IF(ISNUMBER(C1133),MOD(C1133,1),0))*1440,0)*10000+ROW(),"")</f>
        <v/>
      </c>
    </row>
    <row r="1134">
      <c r="A1134" s="1" t="n"/>
      <c r="B1134" s="17" t="n"/>
      <c r="C1134" s="18" t="n"/>
      <c r="D1134" s="19" t="n"/>
      <c r="E1134" s="20" t="n"/>
      <c r="F1134" s="20" t="n"/>
      <c r="G1134" s="21" t="n"/>
      <c r="H1134" s="12">
        <f>IF(AND(B1134="",D1134="",F1134=""),"",IF(NOT(ISNUMBER(B1134)),"Needs a date",IF(D1134="","Needs a client",IF(COUNTIF(Clients!$B$6:$B$105,D1134)=0,"Not on Clients",IF(AND(F1134="",INT(B1134)&lt;TODAY()),"Needs a status","")))))</f>
        <v/>
      </c>
      <c r="I1134" s="1">
        <f>IF(ISNUMBER(B1134),INT(B1134),0)</f>
        <v/>
      </c>
      <c r="J1134">
        <f>IF(ISNUMBER(B1134),YEAR(B1134)*100+MONTH(B1134),"")</f>
        <v/>
      </c>
      <c r="K1134">
        <f>IF(AND(H1134="",OR(F1134="Attended",F1134="No-show",AND(F1134="Late cancel",Settings!$C$9="Yes"))),1,0)</f>
        <v/>
      </c>
      <c r="L1134">
        <f>IF(AND(H1134="",F1134="Attended"),1,0)</f>
        <v/>
      </c>
      <c r="M1134">
        <f>IF(AND(H1134="",OR(F1134="No-show",F1134="Late cancel")),1,0)</f>
        <v/>
      </c>
      <c r="N1134">
        <f>IF(AND(H1134="",F1134="",D1134&lt;&gt;"",I1134&gt;=TODAY()),ROUND((I1134+IF(ISNUMBER(C1134),MOD(C1134,1),0))*1440,0)*10000+ROW(),"")</f>
        <v/>
      </c>
    </row>
    <row r="1135">
      <c r="A1135" s="1" t="n"/>
      <c r="B1135" s="17" t="n"/>
      <c r="C1135" s="18" t="n"/>
      <c r="D1135" s="19" t="n"/>
      <c r="E1135" s="20" t="n"/>
      <c r="F1135" s="20" t="n"/>
      <c r="G1135" s="21" t="n"/>
      <c r="H1135" s="12">
        <f>IF(AND(B1135="",D1135="",F1135=""),"",IF(NOT(ISNUMBER(B1135)),"Needs a date",IF(D1135="","Needs a client",IF(COUNTIF(Clients!$B$6:$B$105,D1135)=0,"Not on Clients",IF(AND(F1135="",INT(B1135)&lt;TODAY()),"Needs a status","")))))</f>
        <v/>
      </c>
      <c r="I1135" s="1">
        <f>IF(ISNUMBER(B1135),INT(B1135),0)</f>
        <v/>
      </c>
      <c r="J1135">
        <f>IF(ISNUMBER(B1135),YEAR(B1135)*100+MONTH(B1135),"")</f>
        <v/>
      </c>
      <c r="K1135">
        <f>IF(AND(H1135="",OR(F1135="Attended",F1135="No-show",AND(F1135="Late cancel",Settings!$C$9="Yes"))),1,0)</f>
        <v/>
      </c>
      <c r="L1135">
        <f>IF(AND(H1135="",F1135="Attended"),1,0)</f>
        <v/>
      </c>
      <c r="M1135">
        <f>IF(AND(H1135="",OR(F1135="No-show",F1135="Late cancel")),1,0)</f>
        <v/>
      </c>
      <c r="N1135">
        <f>IF(AND(H1135="",F1135="",D1135&lt;&gt;"",I1135&gt;=TODAY()),ROUND((I1135+IF(ISNUMBER(C1135),MOD(C1135,1),0))*1440,0)*10000+ROW(),"")</f>
        <v/>
      </c>
    </row>
    <row r="1136">
      <c r="A1136" s="1" t="n"/>
      <c r="B1136" s="17" t="n"/>
      <c r="C1136" s="18" t="n"/>
      <c r="D1136" s="19" t="n"/>
      <c r="E1136" s="20" t="n"/>
      <c r="F1136" s="20" t="n"/>
      <c r="G1136" s="21" t="n"/>
      <c r="H1136" s="12">
        <f>IF(AND(B1136="",D1136="",F1136=""),"",IF(NOT(ISNUMBER(B1136)),"Needs a date",IF(D1136="","Needs a client",IF(COUNTIF(Clients!$B$6:$B$105,D1136)=0,"Not on Clients",IF(AND(F1136="",INT(B1136)&lt;TODAY()),"Needs a status","")))))</f>
        <v/>
      </c>
      <c r="I1136" s="1">
        <f>IF(ISNUMBER(B1136),INT(B1136),0)</f>
        <v/>
      </c>
      <c r="J1136">
        <f>IF(ISNUMBER(B1136),YEAR(B1136)*100+MONTH(B1136),"")</f>
        <v/>
      </c>
      <c r="K1136">
        <f>IF(AND(H1136="",OR(F1136="Attended",F1136="No-show",AND(F1136="Late cancel",Settings!$C$9="Yes"))),1,0)</f>
        <v/>
      </c>
      <c r="L1136">
        <f>IF(AND(H1136="",F1136="Attended"),1,0)</f>
        <v/>
      </c>
      <c r="M1136">
        <f>IF(AND(H1136="",OR(F1136="No-show",F1136="Late cancel")),1,0)</f>
        <v/>
      </c>
      <c r="N1136">
        <f>IF(AND(H1136="",F1136="",D1136&lt;&gt;"",I1136&gt;=TODAY()),ROUND((I1136+IF(ISNUMBER(C1136),MOD(C1136,1),0))*1440,0)*10000+ROW(),"")</f>
        <v/>
      </c>
    </row>
    <row r="1137">
      <c r="A1137" s="1" t="n"/>
      <c r="B1137" s="17" t="n"/>
      <c r="C1137" s="18" t="n"/>
      <c r="D1137" s="19" t="n"/>
      <c r="E1137" s="20" t="n"/>
      <c r="F1137" s="20" t="n"/>
      <c r="G1137" s="21" t="n"/>
      <c r="H1137" s="12">
        <f>IF(AND(B1137="",D1137="",F1137=""),"",IF(NOT(ISNUMBER(B1137)),"Needs a date",IF(D1137="","Needs a client",IF(COUNTIF(Clients!$B$6:$B$105,D1137)=0,"Not on Clients",IF(AND(F1137="",INT(B1137)&lt;TODAY()),"Needs a status","")))))</f>
        <v/>
      </c>
      <c r="I1137" s="1">
        <f>IF(ISNUMBER(B1137),INT(B1137),0)</f>
        <v/>
      </c>
      <c r="J1137">
        <f>IF(ISNUMBER(B1137),YEAR(B1137)*100+MONTH(B1137),"")</f>
        <v/>
      </c>
      <c r="K1137">
        <f>IF(AND(H1137="",OR(F1137="Attended",F1137="No-show",AND(F1137="Late cancel",Settings!$C$9="Yes"))),1,0)</f>
        <v/>
      </c>
      <c r="L1137">
        <f>IF(AND(H1137="",F1137="Attended"),1,0)</f>
        <v/>
      </c>
      <c r="M1137">
        <f>IF(AND(H1137="",OR(F1137="No-show",F1137="Late cancel")),1,0)</f>
        <v/>
      </c>
      <c r="N1137">
        <f>IF(AND(H1137="",F1137="",D1137&lt;&gt;"",I1137&gt;=TODAY()),ROUND((I1137+IF(ISNUMBER(C1137),MOD(C1137,1),0))*1440,0)*10000+ROW(),"")</f>
        <v/>
      </c>
    </row>
    <row r="1138">
      <c r="A1138" s="1" t="n"/>
      <c r="B1138" s="17" t="n"/>
      <c r="C1138" s="18" t="n"/>
      <c r="D1138" s="19" t="n"/>
      <c r="E1138" s="20" t="n"/>
      <c r="F1138" s="20" t="n"/>
      <c r="G1138" s="21" t="n"/>
      <c r="H1138" s="12">
        <f>IF(AND(B1138="",D1138="",F1138=""),"",IF(NOT(ISNUMBER(B1138)),"Needs a date",IF(D1138="","Needs a client",IF(COUNTIF(Clients!$B$6:$B$105,D1138)=0,"Not on Clients",IF(AND(F1138="",INT(B1138)&lt;TODAY()),"Needs a status","")))))</f>
        <v/>
      </c>
      <c r="I1138" s="1">
        <f>IF(ISNUMBER(B1138),INT(B1138),0)</f>
        <v/>
      </c>
      <c r="J1138">
        <f>IF(ISNUMBER(B1138),YEAR(B1138)*100+MONTH(B1138),"")</f>
        <v/>
      </c>
      <c r="K1138">
        <f>IF(AND(H1138="",OR(F1138="Attended",F1138="No-show",AND(F1138="Late cancel",Settings!$C$9="Yes"))),1,0)</f>
        <v/>
      </c>
      <c r="L1138">
        <f>IF(AND(H1138="",F1138="Attended"),1,0)</f>
        <v/>
      </c>
      <c r="M1138">
        <f>IF(AND(H1138="",OR(F1138="No-show",F1138="Late cancel")),1,0)</f>
        <v/>
      </c>
      <c r="N1138">
        <f>IF(AND(H1138="",F1138="",D1138&lt;&gt;"",I1138&gt;=TODAY()),ROUND((I1138+IF(ISNUMBER(C1138),MOD(C1138,1),0))*1440,0)*10000+ROW(),"")</f>
        <v/>
      </c>
    </row>
    <row r="1139">
      <c r="A1139" s="1" t="n"/>
      <c r="B1139" s="17" t="n"/>
      <c r="C1139" s="18" t="n"/>
      <c r="D1139" s="19" t="n"/>
      <c r="E1139" s="20" t="n"/>
      <c r="F1139" s="20" t="n"/>
      <c r="G1139" s="21" t="n"/>
      <c r="H1139" s="12">
        <f>IF(AND(B1139="",D1139="",F1139=""),"",IF(NOT(ISNUMBER(B1139)),"Needs a date",IF(D1139="","Needs a client",IF(COUNTIF(Clients!$B$6:$B$105,D1139)=0,"Not on Clients",IF(AND(F1139="",INT(B1139)&lt;TODAY()),"Needs a status","")))))</f>
        <v/>
      </c>
      <c r="I1139" s="1">
        <f>IF(ISNUMBER(B1139),INT(B1139),0)</f>
        <v/>
      </c>
      <c r="J1139">
        <f>IF(ISNUMBER(B1139),YEAR(B1139)*100+MONTH(B1139),"")</f>
        <v/>
      </c>
      <c r="K1139">
        <f>IF(AND(H1139="",OR(F1139="Attended",F1139="No-show",AND(F1139="Late cancel",Settings!$C$9="Yes"))),1,0)</f>
        <v/>
      </c>
      <c r="L1139">
        <f>IF(AND(H1139="",F1139="Attended"),1,0)</f>
        <v/>
      </c>
      <c r="M1139">
        <f>IF(AND(H1139="",OR(F1139="No-show",F1139="Late cancel")),1,0)</f>
        <v/>
      </c>
      <c r="N1139">
        <f>IF(AND(H1139="",F1139="",D1139&lt;&gt;"",I1139&gt;=TODAY()),ROUND((I1139+IF(ISNUMBER(C1139),MOD(C1139,1),0))*1440,0)*10000+ROW(),"")</f>
        <v/>
      </c>
    </row>
    <row r="1140">
      <c r="A1140" s="1" t="n"/>
      <c r="B1140" s="17" t="n"/>
      <c r="C1140" s="18" t="n"/>
      <c r="D1140" s="19" t="n"/>
      <c r="E1140" s="20" t="n"/>
      <c r="F1140" s="20" t="n"/>
      <c r="G1140" s="21" t="n"/>
      <c r="H1140" s="12">
        <f>IF(AND(B1140="",D1140="",F1140=""),"",IF(NOT(ISNUMBER(B1140)),"Needs a date",IF(D1140="","Needs a client",IF(COUNTIF(Clients!$B$6:$B$105,D1140)=0,"Not on Clients",IF(AND(F1140="",INT(B1140)&lt;TODAY()),"Needs a status","")))))</f>
        <v/>
      </c>
      <c r="I1140" s="1">
        <f>IF(ISNUMBER(B1140),INT(B1140),0)</f>
        <v/>
      </c>
      <c r="J1140">
        <f>IF(ISNUMBER(B1140),YEAR(B1140)*100+MONTH(B1140),"")</f>
        <v/>
      </c>
      <c r="K1140">
        <f>IF(AND(H1140="",OR(F1140="Attended",F1140="No-show",AND(F1140="Late cancel",Settings!$C$9="Yes"))),1,0)</f>
        <v/>
      </c>
      <c r="L1140">
        <f>IF(AND(H1140="",F1140="Attended"),1,0)</f>
        <v/>
      </c>
      <c r="M1140">
        <f>IF(AND(H1140="",OR(F1140="No-show",F1140="Late cancel")),1,0)</f>
        <v/>
      </c>
      <c r="N1140">
        <f>IF(AND(H1140="",F1140="",D1140&lt;&gt;"",I1140&gt;=TODAY()),ROUND((I1140+IF(ISNUMBER(C1140),MOD(C1140,1),0))*1440,0)*10000+ROW(),"")</f>
        <v/>
      </c>
    </row>
    <row r="1141">
      <c r="A1141" s="1" t="n"/>
      <c r="B1141" s="17" t="n"/>
      <c r="C1141" s="18" t="n"/>
      <c r="D1141" s="19" t="n"/>
      <c r="E1141" s="20" t="n"/>
      <c r="F1141" s="20" t="n"/>
      <c r="G1141" s="21" t="n"/>
      <c r="H1141" s="12">
        <f>IF(AND(B1141="",D1141="",F1141=""),"",IF(NOT(ISNUMBER(B1141)),"Needs a date",IF(D1141="","Needs a client",IF(COUNTIF(Clients!$B$6:$B$105,D1141)=0,"Not on Clients",IF(AND(F1141="",INT(B1141)&lt;TODAY()),"Needs a status","")))))</f>
        <v/>
      </c>
      <c r="I1141" s="1">
        <f>IF(ISNUMBER(B1141),INT(B1141),0)</f>
        <v/>
      </c>
      <c r="J1141">
        <f>IF(ISNUMBER(B1141),YEAR(B1141)*100+MONTH(B1141),"")</f>
        <v/>
      </c>
      <c r="K1141">
        <f>IF(AND(H1141="",OR(F1141="Attended",F1141="No-show",AND(F1141="Late cancel",Settings!$C$9="Yes"))),1,0)</f>
        <v/>
      </c>
      <c r="L1141">
        <f>IF(AND(H1141="",F1141="Attended"),1,0)</f>
        <v/>
      </c>
      <c r="M1141">
        <f>IF(AND(H1141="",OR(F1141="No-show",F1141="Late cancel")),1,0)</f>
        <v/>
      </c>
      <c r="N1141">
        <f>IF(AND(H1141="",F1141="",D1141&lt;&gt;"",I1141&gt;=TODAY()),ROUND((I1141+IF(ISNUMBER(C1141),MOD(C1141,1),0))*1440,0)*10000+ROW(),"")</f>
        <v/>
      </c>
    </row>
    <row r="1142">
      <c r="A1142" s="1" t="n"/>
      <c r="B1142" s="17" t="n"/>
      <c r="C1142" s="18" t="n"/>
      <c r="D1142" s="19" t="n"/>
      <c r="E1142" s="20" t="n"/>
      <c r="F1142" s="20" t="n"/>
      <c r="G1142" s="21" t="n"/>
      <c r="H1142" s="12">
        <f>IF(AND(B1142="",D1142="",F1142=""),"",IF(NOT(ISNUMBER(B1142)),"Needs a date",IF(D1142="","Needs a client",IF(COUNTIF(Clients!$B$6:$B$105,D1142)=0,"Not on Clients",IF(AND(F1142="",INT(B1142)&lt;TODAY()),"Needs a status","")))))</f>
        <v/>
      </c>
      <c r="I1142" s="1">
        <f>IF(ISNUMBER(B1142),INT(B1142),0)</f>
        <v/>
      </c>
      <c r="J1142">
        <f>IF(ISNUMBER(B1142),YEAR(B1142)*100+MONTH(B1142),"")</f>
        <v/>
      </c>
      <c r="K1142">
        <f>IF(AND(H1142="",OR(F1142="Attended",F1142="No-show",AND(F1142="Late cancel",Settings!$C$9="Yes"))),1,0)</f>
        <v/>
      </c>
      <c r="L1142">
        <f>IF(AND(H1142="",F1142="Attended"),1,0)</f>
        <v/>
      </c>
      <c r="M1142">
        <f>IF(AND(H1142="",OR(F1142="No-show",F1142="Late cancel")),1,0)</f>
        <v/>
      </c>
      <c r="N1142">
        <f>IF(AND(H1142="",F1142="",D1142&lt;&gt;"",I1142&gt;=TODAY()),ROUND((I1142+IF(ISNUMBER(C1142),MOD(C1142,1),0))*1440,0)*10000+ROW(),"")</f>
        <v/>
      </c>
    </row>
    <row r="1143">
      <c r="A1143" s="1" t="n"/>
      <c r="B1143" s="17" t="n"/>
      <c r="C1143" s="18" t="n"/>
      <c r="D1143" s="19" t="n"/>
      <c r="E1143" s="20" t="n"/>
      <c r="F1143" s="20" t="n"/>
      <c r="G1143" s="21" t="n"/>
      <c r="H1143" s="12">
        <f>IF(AND(B1143="",D1143="",F1143=""),"",IF(NOT(ISNUMBER(B1143)),"Needs a date",IF(D1143="","Needs a client",IF(COUNTIF(Clients!$B$6:$B$105,D1143)=0,"Not on Clients",IF(AND(F1143="",INT(B1143)&lt;TODAY()),"Needs a status","")))))</f>
        <v/>
      </c>
      <c r="I1143" s="1">
        <f>IF(ISNUMBER(B1143),INT(B1143),0)</f>
        <v/>
      </c>
      <c r="J1143">
        <f>IF(ISNUMBER(B1143),YEAR(B1143)*100+MONTH(B1143),"")</f>
        <v/>
      </c>
      <c r="K1143">
        <f>IF(AND(H1143="",OR(F1143="Attended",F1143="No-show",AND(F1143="Late cancel",Settings!$C$9="Yes"))),1,0)</f>
        <v/>
      </c>
      <c r="L1143">
        <f>IF(AND(H1143="",F1143="Attended"),1,0)</f>
        <v/>
      </c>
      <c r="M1143">
        <f>IF(AND(H1143="",OR(F1143="No-show",F1143="Late cancel")),1,0)</f>
        <v/>
      </c>
      <c r="N1143">
        <f>IF(AND(H1143="",F1143="",D1143&lt;&gt;"",I1143&gt;=TODAY()),ROUND((I1143+IF(ISNUMBER(C1143),MOD(C1143,1),0))*1440,0)*10000+ROW(),"")</f>
        <v/>
      </c>
    </row>
    <row r="1144">
      <c r="A1144" s="1" t="n"/>
      <c r="B1144" s="17" t="n"/>
      <c r="C1144" s="18" t="n"/>
      <c r="D1144" s="19" t="n"/>
      <c r="E1144" s="20" t="n"/>
      <c r="F1144" s="20" t="n"/>
      <c r="G1144" s="21" t="n"/>
      <c r="H1144" s="12">
        <f>IF(AND(B1144="",D1144="",F1144=""),"",IF(NOT(ISNUMBER(B1144)),"Needs a date",IF(D1144="","Needs a client",IF(COUNTIF(Clients!$B$6:$B$105,D1144)=0,"Not on Clients",IF(AND(F1144="",INT(B1144)&lt;TODAY()),"Needs a status","")))))</f>
        <v/>
      </c>
      <c r="I1144" s="1">
        <f>IF(ISNUMBER(B1144),INT(B1144),0)</f>
        <v/>
      </c>
      <c r="J1144">
        <f>IF(ISNUMBER(B1144),YEAR(B1144)*100+MONTH(B1144),"")</f>
        <v/>
      </c>
      <c r="K1144">
        <f>IF(AND(H1144="",OR(F1144="Attended",F1144="No-show",AND(F1144="Late cancel",Settings!$C$9="Yes"))),1,0)</f>
        <v/>
      </c>
      <c r="L1144">
        <f>IF(AND(H1144="",F1144="Attended"),1,0)</f>
        <v/>
      </c>
      <c r="M1144">
        <f>IF(AND(H1144="",OR(F1144="No-show",F1144="Late cancel")),1,0)</f>
        <v/>
      </c>
      <c r="N1144">
        <f>IF(AND(H1144="",F1144="",D1144&lt;&gt;"",I1144&gt;=TODAY()),ROUND((I1144+IF(ISNUMBER(C1144),MOD(C1144,1),0))*1440,0)*10000+ROW(),"")</f>
        <v/>
      </c>
    </row>
    <row r="1145">
      <c r="A1145" s="1" t="n"/>
      <c r="B1145" s="17" t="n"/>
      <c r="C1145" s="18" t="n"/>
      <c r="D1145" s="19" t="n"/>
      <c r="E1145" s="20" t="n"/>
      <c r="F1145" s="20" t="n"/>
      <c r="G1145" s="21" t="n"/>
      <c r="H1145" s="12">
        <f>IF(AND(B1145="",D1145="",F1145=""),"",IF(NOT(ISNUMBER(B1145)),"Needs a date",IF(D1145="","Needs a client",IF(COUNTIF(Clients!$B$6:$B$105,D1145)=0,"Not on Clients",IF(AND(F1145="",INT(B1145)&lt;TODAY()),"Needs a status","")))))</f>
        <v/>
      </c>
      <c r="I1145" s="1">
        <f>IF(ISNUMBER(B1145),INT(B1145),0)</f>
        <v/>
      </c>
      <c r="J1145">
        <f>IF(ISNUMBER(B1145),YEAR(B1145)*100+MONTH(B1145),"")</f>
        <v/>
      </c>
      <c r="K1145">
        <f>IF(AND(H1145="",OR(F1145="Attended",F1145="No-show",AND(F1145="Late cancel",Settings!$C$9="Yes"))),1,0)</f>
        <v/>
      </c>
      <c r="L1145">
        <f>IF(AND(H1145="",F1145="Attended"),1,0)</f>
        <v/>
      </c>
      <c r="M1145">
        <f>IF(AND(H1145="",OR(F1145="No-show",F1145="Late cancel")),1,0)</f>
        <v/>
      </c>
      <c r="N1145">
        <f>IF(AND(H1145="",F1145="",D1145&lt;&gt;"",I1145&gt;=TODAY()),ROUND((I1145+IF(ISNUMBER(C1145),MOD(C1145,1),0))*1440,0)*10000+ROW(),"")</f>
        <v/>
      </c>
    </row>
    <row r="1146">
      <c r="A1146" s="1" t="n"/>
      <c r="B1146" s="17" t="n"/>
      <c r="C1146" s="18" t="n"/>
      <c r="D1146" s="19" t="n"/>
      <c r="E1146" s="20" t="n"/>
      <c r="F1146" s="20" t="n"/>
      <c r="G1146" s="21" t="n"/>
      <c r="H1146" s="12">
        <f>IF(AND(B1146="",D1146="",F1146=""),"",IF(NOT(ISNUMBER(B1146)),"Needs a date",IF(D1146="","Needs a client",IF(COUNTIF(Clients!$B$6:$B$105,D1146)=0,"Not on Clients",IF(AND(F1146="",INT(B1146)&lt;TODAY()),"Needs a status","")))))</f>
        <v/>
      </c>
      <c r="I1146" s="1">
        <f>IF(ISNUMBER(B1146),INT(B1146),0)</f>
        <v/>
      </c>
      <c r="J1146">
        <f>IF(ISNUMBER(B1146),YEAR(B1146)*100+MONTH(B1146),"")</f>
        <v/>
      </c>
      <c r="K1146">
        <f>IF(AND(H1146="",OR(F1146="Attended",F1146="No-show",AND(F1146="Late cancel",Settings!$C$9="Yes"))),1,0)</f>
        <v/>
      </c>
      <c r="L1146">
        <f>IF(AND(H1146="",F1146="Attended"),1,0)</f>
        <v/>
      </c>
      <c r="M1146">
        <f>IF(AND(H1146="",OR(F1146="No-show",F1146="Late cancel")),1,0)</f>
        <v/>
      </c>
      <c r="N1146">
        <f>IF(AND(H1146="",F1146="",D1146&lt;&gt;"",I1146&gt;=TODAY()),ROUND((I1146+IF(ISNUMBER(C1146),MOD(C1146,1),0))*1440,0)*10000+ROW(),"")</f>
        <v/>
      </c>
    </row>
    <row r="1147">
      <c r="A1147" s="1" t="n"/>
      <c r="B1147" s="17" t="n"/>
      <c r="C1147" s="18" t="n"/>
      <c r="D1147" s="19" t="n"/>
      <c r="E1147" s="20" t="n"/>
      <c r="F1147" s="20" t="n"/>
      <c r="G1147" s="21" t="n"/>
      <c r="H1147" s="12">
        <f>IF(AND(B1147="",D1147="",F1147=""),"",IF(NOT(ISNUMBER(B1147)),"Needs a date",IF(D1147="","Needs a client",IF(COUNTIF(Clients!$B$6:$B$105,D1147)=0,"Not on Clients",IF(AND(F1147="",INT(B1147)&lt;TODAY()),"Needs a status","")))))</f>
        <v/>
      </c>
      <c r="I1147" s="1">
        <f>IF(ISNUMBER(B1147),INT(B1147),0)</f>
        <v/>
      </c>
      <c r="J1147">
        <f>IF(ISNUMBER(B1147),YEAR(B1147)*100+MONTH(B1147),"")</f>
        <v/>
      </c>
      <c r="K1147">
        <f>IF(AND(H1147="",OR(F1147="Attended",F1147="No-show",AND(F1147="Late cancel",Settings!$C$9="Yes"))),1,0)</f>
        <v/>
      </c>
      <c r="L1147">
        <f>IF(AND(H1147="",F1147="Attended"),1,0)</f>
        <v/>
      </c>
      <c r="M1147">
        <f>IF(AND(H1147="",OR(F1147="No-show",F1147="Late cancel")),1,0)</f>
        <v/>
      </c>
      <c r="N1147">
        <f>IF(AND(H1147="",F1147="",D1147&lt;&gt;"",I1147&gt;=TODAY()),ROUND((I1147+IF(ISNUMBER(C1147),MOD(C1147,1),0))*1440,0)*10000+ROW(),"")</f>
        <v/>
      </c>
    </row>
    <row r="1148">
      <c r="A1148" s="1" t="n"/>
      <c r="B1148" s="17" t="n"/>
      <c r="C1148" s="18" t="n"/>
      <c r="D1148" s="19" t="n"/>
      <c r="E1148" s="20" t="n"/>
      <c r="F1148" s="20" t="n"/>
      <c r="G1148" s="21" t="n"/>
      <c r="H1148" s="12">
        <f>IF(AND(B1148="",D1148="",F1148=""),"",IF(NOT(ISNUMBER(B1148)),"Needs a date",IF(D1148="","Needs a client",IF(COUNTIF(Clients!$B$6:$B$105,D1148)=0,"Not on Clients",IF(AND(F1148="",INT(B1148)&lt;TODAY()),"Needs a status","")))))</f>
        <v/>
      </c>
      <c r="I1148" s="1">
        <f>IF(ISNUMBER(B1148),INT(B1148),0)</f>
        <v/>
      </c>
      <c r="J1148">
        <f>IF(ISNUMBER(B1148),YEAR(B1148)*100+MONTH(B1148),"")</f>
        <v/>
      </c>
      <c r="K1148">
        <f>IF(AND(H1148="",OR(F1148="Attended",F1148="No-show",AND(F1148="Late cancel",Settings!$C$9="Yes"))),1,0)</f>
        <v/>
      </c>
      <c r="L1148">
        <f>IF(AND(H1148="",F1148="Attended"),1,0)</f>
        <v/>
      </c>
      <c r="M1148">
        <f>IF(AND(H1148="",OR(F1148="No-show",F1148="Late cancel")),1,0)</f>
        <v/>
      </c>
      <c r="N1148">
        <f>IF(AND(H1148="",F1148="",D1148&lt;&gt;"",I1148&gt;=TODAY()),ROUND((I1148+IF(ISNUMBER(C1148),MOD(C1148,1),0))*1440,0)*10000+ROW(),"")</f>
        <v/>
      </c>
    </row>
    <row r="1149">
      <c r="A1149" s="1" t="n"/>
      <c r="B1149" s="17" t="n"/>
      <c r="C1149" s="18" t="n"/>
      <c r="D1149" s="19" t="n"/>
      <c r="E1149" s="20" t="n"/>
      <c r="F1149" s="20" t="n"/>
      <c r="G1149" s="21" t="n"/>
      <c r="H1149" s="12">
        <f>IF(AND(B1149="",D1149="",F1149=""),"",IF(NOT(ISNUMBER(B1149)),"Needs a date",IF(D1149="","Needs a client",IF(COUNTIF(Clients!$B$6:$B$105,D1149)=0,"Not on Clients",IF(AND(F1149="",INT(B1149)&lt;TODAY()),"Needs a status","")))))</f>
        <v/>
      </c>
      <c r="I1149" s="1">
        <f>IF(ISNUMBER(B1149),INT(B1149),0)</f>
        <v/>
      </c>
      <c r="J1149">
        <f>IF(ISNUMBER(B1149),YEAR(B1149)*100+MONTH(B1149),"")</f>
        <v/>
      </c>
      <c r="K1149">
        <f>IF(AND(H1149="",OR(F1149="Attended",F1149="No-show",AND(F1149="Late cancel",Settings!$C$9="Yes"))),1,0)</f>
        <v/>
      </c>
      <c r="L1149">
        <f>IF(AND(H1149="",F1149="Attended"),1,0)</f>
        <v/>
      </c>
      <c r="M1149">
        <f>IF(AND(H1149="",OR(F1149="No-show",F1149="Late cancel")),1,0)</f>
        <v/>
      </c>
      <c r="N1149">
        <f>IF(AND(H1149="",F1149="",D1149&lt;&gt;"",I1149&gt;=TODAY()),ROUND((I1149+IF(ISNUMBER(C1149),MOD(C1149,1),0))*1440,0)*10000+ROW(),"")</f>
        <v/>
      </c>
    </row>
    <row r="1150">
      <c r="A1150" s="1" t="n"/>
      <c r="B1150" s="17" t="n"/>
      <c r="C1150" s="18" t="n"/>
      <c r="D1150" s="19" t="n"/>
      <c r="E1150" s="20" t="n"/>
      <c r="F1150" s="20" t="n"/>
      <c r="G1150" s="21" t="n"/>
      <c r="H1150" s="12">
        <f>IF(AND(B1150="",D1150="",F1150=""),"",IF(NOT(ISNUMBER(B1150)),"Needs a date",IF(D1150="","Needs a client",IF(COUNTIF(Clients!$B$6:$B$105,D1150)=0,"Not on Clients",IF(AND(F1150="",INT(B1150)&lt;TODAY()),"Needs a status","")))))</f>
        <v/>
      </c>
      <c r="I1150" s="1">
        <f>IF(ISNUMBER(B1150),INT(B1150),0)</f>
        <v/>
      </c>
      <c r="J1150">
        <f>IF(ISNUMBER(B1150),YEAR(B1150)*100+MONTH(B1150),"")</f>
        <v/>
      </c>
      <c r="K1150">
        <f>IF(AND(H1150="",OR(F1150="Attended",F1150="No-show",AND(F1150="Late cancel",Settings!$C$9="Yes"))),1,0)</f>
        <v/>
      </c>
      <c r="L1150">
        <f>IF(AND(H1150="",F1150="Attended"),1,0)</f>
        <v/>
      </c>
      <c r="M1150">
        <f>IF(AND(H1150="",OR(F1150="No-show",F1150="Late cancel")),1,0)</f>
        <v/>
      </c>
      <c r="N1150">
        <f>IF(AND(H1150="",F1150="",D1150&lt;&gt;"",I1150&gt;=TODAY()),ROUND((I1150+IF(ISNUMBER(C1150),MOD(C1150,1),0))*1440,0)*10000+ROW(),"")</f>
        <v/>
      </c>
    </row>
    <row r="1151">
      <c r="A1151" s="1" t="n"/>
      <c r="B1151" s="17" t="n"/>
      <c r="C1151" s="18" t="n"/>
      <c r="D1151" s="19" t="n"/>
      <c r="E1151" s="20" t="n"/>
      <c r="F1151" s="20" t="n"/>
      <c r="G1151" s="21" t="n"/>
      <c r="H1151" s="12">
        <f>IF(AND(B1151="",D1151="",F1151=""),"",IF(NOT(ISNUMBER(B1151)),"Needs a date",IF(D1151="","Needs a client",IF(COUNTIF(Clients!$B$6:$B$105,D1151)=0,"Not on Clients",IF(AND(F1151="",INT(B1151)&lt;TODAY()),"Needs a status","")))))</f>
        <v/>
      </c>
      <c r="I1151" s="1">
        <f>IF(ISNUMBER(B1151),INT(B1151),0)</f>
        <v/>
      </c>
      <c r="J1151">
        <f>IF(ISNUMBER(B1151),YEAR(B1151)*100+MONTH(B1151),"")</f>
        <v/>
      </c>
      <c r="K1151">
        <f>IF(AND(H1151="",OR(F1151="Attended",F1151="No-show",AND(F1151="Late cancel",Settings!$C$9="Yes"))),1,0)</f>
        <v/>
      </c>
      <c r="L1151">
        <f>IF(AND(H1151="",F1151="Attended"),1,0)</f>
        <v/>
      </c>
      <c r="M1151">
        <f>IF(AND(H1151="",OR(F1151="No-show",F1151="Late cancel")),1,0)</f>
        <v/>
      </c>
      <c r="N1151">
        <f>IF(AND(H1151="",F1151="",D1151&lt;&gt;"",I1151&gt;=TODAY()),ROUND((I1151+IF(ISNUMBER(C1151),MOD(C1151,1),0))*1440,0)*10000+ROW(),"")</f>
        <v/>
      </c>
    </row>
    <row r="1152">
      <c r="A1152" s="1" t="n"/>
      <c r="B1152" s="17" t="n"/>
      <c r="C1152" s="18" t="n"/>
      <c r="D1152" s="19" t="n"/>
      <c r="E1152" s="20" t="n"/>
      <c r="F1152" s="20" t="n"/>
      <c r="G1152" s="21" t="n"/>
      <c r="H1152" s="12">
        <f>IF(AND(B1152="",D1152="",F1152=""),"",IF(NOT(ISNUMBER(B1152)),"Needs a date",IF(D1152="","Needs a client",IF(COUNTIF(Clients!$B$6:$B$105,D1152)=0,"Not on Clients",IF(AND(F1152="",INT(B1152)&lt;TODAY()),"Needs a status","")))))</f>
        <v/>
      </c>
      <c r="I1152" s="1">
        <f>IF(ISNUMBER(B1152),INT(B1152),0)</f>
        <v/>
      </c>
      <c r="J1152">
        <f>IF(ISNUMBER(B1152),YEAR(B1152)*100+MONTH(B1152),"")</f>
        <v/>
      </c>
      <c r="K1152">
        <f>IF(AND(H1152="",OR(F1152="Attended",F1152="No-show",AND(F1152="Late cancel",Settings!$C$9="Yes"))),1,0)</f>
        <v/>
      </c>
      <c r="L1152">
        <f>IF(AND(H1152="",F1152="Attended"),1,0)</f>
        <v/>
      </c>
      <c r="M1152">
        <f>IF(AND(H1152="",OR(F1152="No-show",F1152="Late cancel")),1,0)</f>
        <v/>
      </c>
      <c r="N1152">
        <f>IF(AND(H1152="",F1152="",D1152&lt;&gt;"",I1152&gt;=TODAY()),ROUND((I1152+IF(ISNUMBER(C1152),MOD(C1152,1),0))*1440,0)*10000+ROW(),"")</f>
        <v/>
      </c>
    </row>
    <row r="1153">
      <c r="A1153" s="1" t="n"/>
      <c r="B1153" s="17" t="n"/>
      <c r="C1153" s="18" t="n"/>
      <c r="D1153" s="19" t="n"/>
      <c r="E1153" s="20" t="n"/>
      <c r="F1153" s="20" t="n"/>
      <c r="G1153" s="21" t="n"/>
      <c r="H1153" s="12">
        <f>IF(AND(B1153="",D1153="",F1153=""),"",IF(NOT(ISNUMBER(B1153)),"Needs a date",IF(D1153="","Needs a client",IF(COUNTIF(Clients!$B$6:$B$105,D1153)=0,"Not on Clients",IF(AND(F1153="",INT(B1153)&lt;TODAY()),"Needs a status","")))))</f>
        <v/>
      </c>
      <c r="I1153" s="1">
        <f>IF(ISNUMBER(B1153),INT(B1153),0)</f>
        <v/>
      </c>
      <c r="J1153">
        <f>IF(ISNUMBER(B1153),YEAR(B1153)*100+MONTH(B1153),"")</f>
        <v/>
      </c>
      <c r="K1153">
        <f>IF(AND(H1153="",OR(F1153="Attended",F1153="No-show",AND(F1153="Late cancel",Settings!$C$9="Yes"))),1,0)</f>
        <v/>
      </c>
      <c r="L1153">
        <f>IF(AND(H1153="",F1153="Attended"),1,0)</f>
        <v/>
      </c>
      <c r="M1153">
        <f>IF(AND(H1153="",OR(F1153="No-show",F1153="Late cancel")),1,0)</f>
        <v/>
      </c>
      <c r="N1153">
        <f>IF(AND(H1153="",F1153="",D1153&lt;&gt;"",I1153&gt;=TODAY()),ROUND((I1153+IF(ISNUMBER(C1153),MOD(C1153,1),0))*1440,0)*10000+ROW(),"")</f>
        <v/>
      </c>
    </row>
    <row r="1154">
      <c r="A1154" s="1" t="n"/>
      <c r="B1154" s="17" t="n"/>
      <c r="C1154" s="18" t="n"/>
      <c r="D1154" s="19" t="n"/>
      <c r="E1154" s="20" t="n"/>
      <c r="F1154" s="20" t="n"/>
      <c r="G1154" s="21" t="n"/>
      <c r="H1154" s="12">
        <f>IF(AND(B1154="",D1154="",F1154=""),"",IF(NOT(ISNUMBER(B1154)),"Needs a date",IF(D1154="","Needs a client",IF(COUNTIF(Clients!$B$6:$B$105,D1154)=0,"Not on Clients",IF(AND(F1154="",INT(B1154)&lt;TODAY()),"Needs a status","")))))</f>
        <v/>
      </c>
      <c r="I1154" s="1">
        <f>IF(ISNUMBER(B1154),INT(B1154),0)</f>
        <v/>
      </c>
      <c r="J1154">
        <f>IF(ISNUMBER(B1154),YEAR(B1154)*100+MONTH(B1154),"")</f>
        <v/>
      </c>
      <c r="K1154">
        <f>IF(AND(H1154="",OR(F1154="Attended",F1154="No-show",AND(F1154="Late cancel",Settings!$C$9="Yes"))),1,0)</f>
        <v/>
      </c>
      <c r="L1154">
        <f>IF(AND(H1154="",F1154="Attended"),1,0)</f>
        <v/>
      </c>
      <c r="M1154">
        <f>IF(AND(H1154="",OR(F1154="No-show",F1154="Late cancel")),1,0)</f>
        <v/>
      </c>
      <c r="N1154">
        <f>IF(AND(H1154="",F1154="",D1154&lt;&gt;"",I1154&gt;=TODAY()),ROUND((I1154+IF(ISNUMBER(C1154),MOD(C1154,1),0))*1440,0)*10000+ROW(),"")</f>
        <v/>
      </c>
    </row>
    <row r="1155">
      <c r="A1155" s="1" t="n"/>
      <c r="B1155" s="17" t="n"/>
      <c r="C1155" s="18" t="n"/>
      <c r="D1155" s="19" t="n"/>
      <c r="E1155" s="20" t="n"/>
      <c r="F1155" s="20" t="n"/>
      <c r="G1155" s="21" t="n"/>
      <c r="H1155" s="12">
        <f>IF(AND(B1155="",D1155="",F1155=""),"",IF(NOT(ISNUMBER(B1155)),"Needs a date",IF(D1155="","Needs a client",IF(COUNTIF(Clients!$B$6:$B$105,D1155)=0,"Not on Clients",IF(AND(F1155="",INT(B1155)&lt;TODAY()),"Needs a status","")))))</f>
        <v/>
      </c>
      <c r="I1155" s="1">
        <f>IF(ISNUMBER(B1155),INT(B1155),0)</f>
        <v/>
      </c>
      <c r="J1155">
        <f>IF(ISNUMBER(B1155),YEAR(B1155)*100+MONTH(B1155),"")</f>
        <v/>
      </c>
      <c r="K1155">
        <f>IF(AND(H1155="",OR(F1155="Attended",F1155="No-show",AND(F1155="Late cancel",Settings!$C$9="Yes"))),1,0)</f>
        <v/>
      </c>
      <c r="L1155">
        <f>IF(AND(H1155="",F1155="Attended"),1,0)</f>
        <v/>
      </c>
      <c r="M1155">
        <f>IF(AND(H1155="",OR(F1155="No-show",F1155="Late cancel")),1,0)</f>
        <v/>
      </c>
      <c r="N1155">
        <f>IF(AND(H1155="",F1155="",D1155&lt;&gt;"",I1155&gt;=TODAY()),ROUND((I1155+IF(ISNUMBER(C1155),MOD(C1155,1),0))*1440,0)*10000+ROW(),"")</f>
        <v/>
      </c>
    </row>
    <row r="1156">
      <c r="A1156" s="1" t="n"/>
      <c r="B1156" s="17" t="n"/>
      <c r="C1156" s="18" t="n"/>
      <c r="D1156" s="19" t="n"/>
      <c r="E1156" s="20" t="n"/>
      <c r="F1156" s="20" t="n"/>
      <c r="G1156" s="21" t="n"/>
      <c r="H1156" s="12">
        <f>IF(AND(B1156="",D1156="",F1156=""),"",IF(NOT(ISNUMBER(B1156)),"Needs a date",IF(D1156="","Needs a client",IF(COUNTIF(Clients!$B$6:$B$105,D1156)=0,"Not on Clients",IF(AND(F1156="",INT(B1156)&lt;TODAY()),"Needs a status","")))))</f>
        <v/>
      </c>
      <c r="I1156" s="1">
        <f>IF(ISNUMBER(B1156),INT(B1156),0)</f>
        <v/>
      </c>
      <c r="J1156">
        <f>IF(ISNUMBER(B1156),YEAR(B1156)*100+MONTH(B1156),"")</f>
        <v/>
      </c>
      <c r="K1156">
        <f>IF(AND(H1156="",OR(F1156="Attended",F1156="No-show",AND(F1156="Late cancel",Settings!$C$9="Yes"))),1,0)</f>
        <v/>
      </c>
      <c r="L1156">
        <f>IF(AND(H1156="",F1156="Attended"),1,0)</f>
        <v/>
      </c>
      <c r="M1156">
        <f>IF(AND(H1156="",OR(F1156="No-show",F1156="Late cancel")),1,0)</f>
        <v/>
      </c>
      <c r="N1156">
        <f>IF(AND(H1156="",F1156="",D1156&lt;&gt;"",I1156&gt;=TODAY()),ROUND((I1156+IF(ISNUMBER(C1156),MOD(C1156,1),0))*1440,0)*10000+ROW(),"")</f>
        <v/>
      </c>
    </row>
    <row r="1157">
      <c r="A1157" s="1" t="n"/>
      <c r="B1157" s="17" t="n"/>
      <c r="C1157" s="18" t="n"/>
      <c r="D1157" s="19" t="n"/>
      <c r="E1157" s="20" t="n"/>
      <c r="F1157" s="20" t="n"/>
      <c r="G1157" s="21" t="n"/>
      <c r="H1157" s="12">
        <f>IF(AND(B1157="",D1157="",F1157=""),"",IF(NOT(ISNUMBER(B1157)),"Needs a date",IF(D1157="","Needs a client",IF(COUNTIF(Clients!$B$6:$B$105,D1157)=0,"Not on Clients",IF(AND(F1157="",INT(B1157)&lt;TODAY()),"Needs a status","")))))</f>
        <v/>
      </c>
      <c r="I1157" s="1">
        <f>IF(ISNUMBER(B1157),INT(B1157),0)</f>
        <v/>
      </c>
      <c r="J1157">
        <f>IF(ISNUMBER(B1157),YEAR(B1157)*100+MONTH(B1157),"")</f>
        <v/>
      </c>
      <c r="K1157">
        <f>IF(AND(H1157="",OR(F1157="Attended",F1157="No-show",AND(F1157="Late cancel",Settings!$C$9="Yes"))),1,0)</f>
        <v/>
      </c>
      <c r="L1157">
        <f>IF(AND(H1157="",F1157="Attended"),1,0)</f>
        <v/>
      </c>
      <c r="M1157">
        <f>IF(AND(H1157="",OR(F1157="No-show",F1157="Late cancel")),1,0)</f>
        <v/>
      </c>
      <c r="N1157">
        <f>IF(AND(H1157="",F1157="",D1157&lt;&gt;"",I1157&gt;=TODAY()),ROUND((I1157+IF(ISNUMBER(C1157),MOD(C1157,1),0))*1440,0)*10000+ROW(),"")</f>
        <v/>
      </c>
    </row>
    <row r="1158">
      <c r="A1158" s="1" t="n"/>
      <c r="B1158" s="17" t="n"/>
      <c r="C1158" s="18" t="n"/>
      <c r="D1158" s="19" t="n"/>
      <c r="E1158" s="20" t="n"/>
      <c r="F1158" s="20" t="n"/>
      <c r="G1158" s="21" t="n"/>
      <c r="H1158" s="12">
        <f>IF(AND(B1158="",D1158="",F1158=""),"",IF(NOT(ISNUMBER(B1158)),"Needs a date",IF(D1158="","Needs a client",IF(COUNTIF(Clients!$B$6:$B$105,D1158)=0,"Not on Clients",IF(AND(F1158="",INT(B1158)&lt;TODAY()),"Needs a status","")))))</f>
        <v/>
      </c>
      <c r="I1158" s="1">
        <f>IF(ISNUMBER(B1158),INT(B1158),0)</f>
        <v/>
      </c>
      <c r="J1158">
        <f>IF(ISNUMBER(B1158),YEAR(B1158)*100+MONTH(B1158),"")</f>
        <v/>
      </c>
      <c r="K1158">
        <f>IF(AND(H1158="",OR(F1158="Attended",F1158="No-show",AND(F1158="Late cancel",Settings!$C$9="Yes"))),1,0)</f>
        <v/>
      </c>
      <c r="L1158">
        <f>IF(AND(H1158="",F1158="Attended"),1,0)</f>
        <v/>
      </c>
      <c r="M1158">
        <f>IF(AND(H1158="",OR(F1158="No-show",F1158="Late cancel")),1,0)</f>
        <v/>
      </c>
      <c r="N1158">
        <f>IF(AND(H1158="",F1158="",D1158&lt;&gt;"",I1158&gt;=TODAY()),ROUND((I1158+IF(ISNUMBER(C1158),MOD(C1158,1),0))*1440,0)*10000+ROW(),"")</f>
        <v/>
      </c>
    </row>
    <row r="1159">
      <c r="A1159" s="1" t="n"/>
      <c r="B1159" s="17" t="n"/>
      <c r="C1159" s="18" t="n"/>
      <c r="D1159" s="19" t="n"/>
      <c r="E1159" s="20" t="n"/>
      <c r="F1159" s="20" t="n"/>
      <c r="G1159" s="21" t="n"/>
      <c r="H1159" s="12">
        <f>IF(AND(B1159="",D1159="",F1159=""),"",IF(NOT(ISNUMBER(B1159)),"Needs a date",IF(D1159="","Needs a client",IF(COUNTIF(Clients!$B$6:$B$105,D1159)=0,"Not on Clients",IF(AND(F1159="",INT(B1159)&lt;TODAY()),"Needs a status","")))))</f>
        <v/>
      </c>
      <c r="I1159" s="1">
        <f>IF(ISNUMBER(B1159),INT(B1159),0)</f>
        <v/>
      </c>
      <c r="J1159">
        <f>IF(ISNUMBER(B1159),YEAR(B1159)*100+MONTH(B1159),"")</f>
        <v/>
      </c>
      <c r="K1159">
        <f>IF(AND(H1159="",OR(F1159="Attended",F1159="No-show",AND(F1159="Late cancel",Settings!$C$9="Yes"))),1,0)</f>
        <v/>
      </c>
      <c r="L1159">
        <f>IF(AND(H1159="",F1159="Attended"),1,0)</f>
        <v/>
      </c>
      <c r="M1159">
        <f>IF(AND(H1159="",OR(F1159="No-show",F1159="Late cancel")),1,0)</f>
        <v/>
      </c>
      <c r="N1159">
        <f>IF(AND(H1159="",F1159="",D1159&lt;&gt;"",I1159&gt;=TODAY()),ROUND((I1159+IF(ISNUMBER(C1159),MOD(C1159,1),0))*1440,0)*10000+ROW(),"")</f>
        <v/>
      </c>
    </row>
    <row r="1160">
      <c r="A1160" s="1" t="n"/>
      <c r="B1160" s="17" t="n"/>
      <c r="C1160" s="18" t="n"/>
      <c r="D1160" s="19" t="n"/>
      <c r="E1160" s="20" t="n"/>
      <c r="F1160" s="20" t="n"/>
      <c r="G1160" s="21" t="n"/>
      <c r="H1160" s="12">
        <f>IF(AND(B1160="",D1160="",F1160=""),"",IF(NOT(ISNUMBER(B1160)),"Needs a date",IF(D1160="","Needs a client",IF(COUNTIF(Clients!$B$6:$B$105,D1160)=0,"Not on Clients",IF(AND(F1160="",INT(B1160)&lt;TODAY()),"Needs a status","")))))</f>
        <v/>
      </c>
      <c r="I1160" s="1">
        <f>IF(ISNUMBER(B1160),INT(B1160),0)</f>
        <v/>
      </c>
      <c r="J1160">
        <f>IF(ISNUMBER(B1160),YEAR(B1160)*100+MONTH(B1160),"")</f>
        <v/>
      </c>
      <c r="K1160">
        <f>IF(AND(H1160="",OR(F1160="Attended",F1160="No-show",AND(F1160="Late cancel",Settings!$C$9="Yes"))),1,0)</f>
        <v/>
      </c>
      <c r="L1160">
        <f>IF(AND(H1160="",F1160="Attended"),1,0)</f>
        <v/>
      </c>
      <c r="M1160">
        <f>IF(AND(H1160="",OR(F1160="No-show",F1160="Late cancel")),1,0)</f>
        <v/>
      </c>
      <c r="N1160">
        <f>IF(AND(H1160="",F1160="",D1160&lt;&gt;"",I1160&gt;=TODAY()),ROUND((I1160+IF(ISNUMBER(C1160),MOD(C1160,1),0))*1440,0)*10000+ROW(),"")</f>
        <v/>
      </c>
    </row>
    <row r="1161">
      <c r="A1161" s="1" t="n"/>
      <c r="B1161" s="17" t="n"/>
      <c r="C1161" s="18" t="n"/>
      <c r="D1161" s="19" t="n"/>
      <c r="E1161" s="20" t="n"/>
      <c r="F1161" s="20" t="n"/>
      <c r="G1161" s="21" t="n"/>
      <c r="H1161" s="12">
        <f>IF(AND(B1161="",D1161="",F1161=""),"",IF(NOT(ISNUMBER(B1161)),"Needs a date",IF(D1161="","Needs a client",IF(COUNTIF(Clients!$B$6:$B$105,D1161)=0,"Not on Clients",IF(AND(F1161="",INT(B1161)&lt;TODAY()),"Needs a status","")))))</f>
        <v/>
      </c>
      <c r="I1161" s="1">
        <f>IF(ISNUMBER(B1161),INT(B1161),0)</f>
        <v/>
      </c>
      <c r="J1161">
        <f>IF(ISNUMBER(B1161),YEAR(B1161)*100+MONTH(B1161),"")</f>
        <v/>
      </c>
      <c r="K1161">
        <f>IF(AND(H1161="",OR(F1161="Attended",F1161="No-show",AND(F1161="Late cancel",Settings!$C$9="Yes"))),1,0)</f>
        <v/>
      </c>
      <c r="L1161">
        <f>IF(AND(H1161="",F1161="Attended"),1,0)</f>
        <v/>
      </c>
      <c r="M1161">
        <f>IF(AND(H1161="",OR(F1161="No-show",F1161="Late cancel")),1,0)</f>
        <v/>
      </c>
      <c r="N1161">
        <f>IF(AND(H1161="",F1161="",D1161&lt;&gt;"",I1161&gt;=TODAY()),ROUND((I1161+IF(ISNUMBER(C1161),MOD(C1161,1),0))*1440,0)*10000+ROW(),"")</f>
        <v/>
      </c>
    </row>
    <row r="1162">
      <c r="A1162" s="1" t="n"/>
      <c r="B1162" s="17" t="n"/>
      <c r="C1162" s="18" t="n"/>
      <c r="D1162" s="19" t="n"/>
      <c r="E1162" s="20" t="n"/>
      <c r="F1162" s="20" t="n"/>
      <c r="G1162" s="21" t="n"/>
      <c r="H1162" s="12">
        <f>IF(AND(B1162="",D1162="",F1162=""),"",IF(NOT(ISNUMBER(B1162)),"Needs a date",IF(D1162="","Needs a client",IF(COUNTIF(Clients!$B$6:$B$105,D1162)=0,"Not on Clients",IF(AND(F1162="",INT(B1162)&lt;TODAY()),"Needs a status","")))))</f>
        <v/>
      </c>
      <c r="I1162" s="1">
        <f>IF(ISNUMBER(B1162),INT(B1162),0)</f>
        <v/>
      </c>
      <c r="J1162">
        <f>IF(ISNUMBER(B1162),YEAR(B1162)*100+MONTH(B1162),"")</f>
        <v/>
      </c>
      <c r="K1162">
        <f>IF(AND(H1162="",OR(F1162="Attended",F1162="No-show",AND(F1162="Late cancel",Settings!$C$9="Yes"))),1,0)</f>
        <v/>
      </c>
      <c r="L1162">
        <f>IF(AND(H1162="",F1162="Attended"),1,0)</f>
        <v/>
      </c>
      <c r="M1162">
        <f>IF(AND(H1162="",OR(F1162="No-show",F1162="Late cancel")),1,0)</f>
        <v/>
      </c>
      <c r="N1162">
        <f>IF(AND(H1162="",F1162="",D1162&lt;&gt;"",I1162&gt;=TODAY()),ROUND((I1162+IF(ISNUMBER(C1162),MOD(C1162,1),0))*1440,0)*10000+ROW(),"")</f>
        <v/>
      </c>
    </row>
    <row r="1163">
      <c r="A1163" s="1" t="n"/>
      <c r="B1163" s="17" t="n"/>
      <c r="C1163" s="18" t="n"/>
      <c r="D1163" s="19" t="n"/>
      <c r="E1163" s="20" t="n"/>
      <c r="F1163" s="20" t="n"/>
      <c r="G1163" s="21" t="n"/>
      <c r="H1163" s="12">
        <f>IF(AND(B1163="",D1163="",F1163=""),"",IF(NOT(ISNUMBER(B1163)),"Needs a date",IF(D1163="","Needs a client",IF(COUNTIF(Clients!$B$6:$B$105,D1163)=0,"Not on Clients",IF(AND(F1163="",INT(B1163)&lt;TODAY()),"Needs a status","")))))</f>
        <v/>
      </c>
      <c r="I1163" s="1">
        <f>IF(ISNUMBER(B1163),INT(B1163),0)</f>
        <v/>
      </c>
      <c r="J1163">
        <f>IF(ISNUMBER(B1163),YEAR(B1163)*100+MONTH(B1163),"")</f>
        <v/>
      </c>
      <c r="K1163">
        <f>IF(AND(H1163="",OR(F1163="Attended",F1163="No-show",AND(F1163="Late cancel",Settings!$C$9="Yes"))),1,0)</f>
        <v/>
      </c>
      <c r="L1163">
        <f>IF(AND(H1163="",F1163="Attended"),1,0)</f>
        <v/>
      </c>
      <c r="M1163">
        <f>IF(AND(H1163="",OR(F1163="No-show",F1163="Late cancel")),1,0)</f>
        <v/>
      </c>
      <c r="N1163">
        <f>IF(AND(H1163="",F1163="",D1163&lt;&gt;"",I1163&gt;=TODAY()),ROUND((I1163+IF(ISNUMBER(C1163),MOD(C1163,1),0))*1440,0)*10000+ROW(),"")</f>
        <v/>
      </c>
    </row>
    <row r="1164">
      <c r="A1164" s="1" t="n"/>
      <c r="B1164" s="17" t="n"/>
      <c r="C1164" s="18" t="n"/>
      <c r="D1164" s="19" t="n"/>
      <c r="E1164" s="20" t="n"/>
      <c r="F1164" s="20" t="n"/>
      <c r="G1164" s="21" t="n"/>
      <c r="H1164" s="12">
        <f>IF(AND(B1164="",D1164="",F1164=""),"",IF(NOT(ISNUMBER(B1164)),"Needs a date",IF(D1164="","Needs a client",IF(COUNTIF(Clients!$B$6:$B$105,D1164)=0,"Not on Clients",IF(AND(F1164="",INT(B1164)&lt;TODAY()),"Needs a status","")))))</f>
        <v/>
      </c>
      <c r="I1164" s="1">
        <f>IF(ISNUMBER(B1164),INT(B1164),0)</f>
        <v/>
      </c>
      <c r="J1164">
        <f>IF(ISNUMBER(B1164),YEAR(B1164)*100+MONTH(B1164),"")</f>
        <v/>
      </c>
      <c r="K1164">
        <f>IF(AND(H1164="",OR(F1164="Attended",F1164="No-show",AND(F1164="Late cancel",Settings!$C$9="Yes"))),1,0)</f>
        <v/>
      </c>
      <c r="L1164">
        <f>IF(AND(H1164="",F1164="Attended"),1,0)</f>
        <v/>
      </c>
      <c r="M1164">
        <f>IF(AND(H1164="",OR(F1164="No-show",F1164="Late cancel")),1,0)</f>
        <v/>
      </c>
      <c r="N1164">
        <f>IF(AND(H1164="",F1164="",D1164&lt;&gt;"",I1164&gt;=TODAY()),ROUND((I1164+IF(ISNUMBER(C1164),MOD(C1164,1),0))*1440,0)*10000+ROW(),"")</f>
        <v/>
      </c>
    </row>
    <row r="1165">
      <c r="A1165" s="1" t="n"/>
      <c r="B1165" s="17" t="n"/>
      <c r="C1165" s="18" t="n"/>
      <c r="D1165" s="19" t="n"/>
      <c r="E1165" s="20" t="n"/>
      <c r="F1165" s="20" t="n"/>
      <c r="G1165" s="21" t="n"/>
      <c r="H1165" s="12">
        <f>IF(AND(B1165="",D1165="",F1165=""),"",IF(NOT(ISNUMBER(B1165)),"Needs a date",IF(D1165="","Needs a client",IF(COUNTIF(Clients!$B$6:$B$105,D1165)=0,"Not on Clients",IF(AND(F1165="",INT(B1165)&lt;TODAY()),"Needs a status","")))))</f>
        <v/>
      </c>
      <c r="I1165" s="1">
        <f>IF(ISNUMBER(B1165),INT(B1165),0)</f>
        <v/>
      </c>
      <c r="J1165">
        <f>IF(ISNUMBER(B1165),YEAR(B1165)*100+MONTH(B1165),"")</f>
        <v/>
      </c>
      <c r="K1165">
        <f>IF(AND(H1165="",OR(F1165="Attended",F1165="No-show",AND(F1165="Late cancel",Settings!$C$9="Yes"))),1,0)</f>
        <v/>
      </c>
      <c r="L1165">
        <f>IF(AND(H1165="",F1165="Attended"),1,0)</f>
        <v/>
      </c>
      <c r="M1165">
        <f>IF(AND(H1165="",OR(F1165="No-show",F1165="Late cancel")),1,0)</f>
        <v/>
      </c>
      <c r="N1165">
        <f>IF(AND(H1165="",F1165="",D1165&lt;&gt;"",I1165&gt;=TODAY()),ROUND((I1165+IF(ISNUMBER(C1165),MOD(C1165,1),0))*1440,0)*10000+ROW(),"")</f>
        <v/>
      </c>
    </row>
    <row r="1166">
      <c r="A1166" s="1" t="n"/>
      <c r="B1166" s="17" t="n"/>
      <c r="C1166" s="18" t="n"/>
      <c r="D1166" s="19" t="n"/>
      <c r="E1166" s="20" t="n"/>
      <c r="F1166" s="20" t="n"/>
      <c r="G1166" s="21" t="n"/>
      <c r="H1166" s="12">
        <f>IF(AND(B1166="",D1166="",F1166=""),"",IF(NOT(ISNUMBER(B1166)),"Needs a date",IF(D1166="","Needs a client",IF(COUNTIF(Clients!$B$6:$B$105,D1166)=0,"Not on Clients",IF(AND(F1166="",INT(B1166)&lt;TODAY()),"Needs a status","")))))</f>
        <v/>
      </c>
      <c r="I1166" s="1">
        <f>IF(ISNUMBER(B1166),INT(B1166),0)</f>
        <v/>
      </c>
      <c r="J1166">
        <f>IF(ISNUMBER(B1166),YEAR(B1166)*100+MONTH(B1166),"")</f>
        <v/>
      </c>
      <c r="K1166">
        <f>IF(AND(H1166="",OR(F1166="Attended",F1166="No-show",AND(F1166="Late cancel",Settings!$C$9="Yes"))),1,0)</f>
        <v/>
      </c>
      <c r="L1166">
        <f>IF(AND(H1166="",F1166="Attended"),1,0)</f>
        <v/>
      </c>
      <c r="M1166">
        <f>IF(AND(H1166="",OR(F1166="No-show",F1166="Late cancel")),1,0)</f>
        <v/>
      </c>
      <c r="N1166">
        <f>IF(AND(H1166="",F1166="",D1166&lt;&gt;"",I1166&gt;=TODAY()),ROUND((I1166+IF(ISNUMBER(C1166),MOD(C1166,1),0))*1440,0)*10000+ROW(),"")</f>
        <v/>
      </c>
    </row>
    <row r="1167">
      <c r="A1167" s="1" t="n"/>
      <c r="B1167" s="17" t="n"/>
      <c r="C1167" s="18" t="n"/>
      <c r="D1167" s="19" t="n"/>
      <c r="E1167" s="20" t="n"/>
      <c r="F1167" s="20" t="n"/>
      <c r="G1167" s="21" t="n"/>
      <c r="H1167" s="12">
        <f>IF(AND(B1167="",D1167="",F1167=""),"",IF(NOT(ISNUMBER(B1167)),"Needs a date",IF(D1167="","Needs a client",IF(COUNTIF(Clients!$B$6:$B$105,D1167)=0,"Not on Clients",IF(AND(F1167="",INT(B1167)&lt;TODAY()),"Needs a status","")))))</f>
        <v/>
      </c>
      <c r="I1167" s="1">
        <f>IF(ISNUMBER(B1167),INT(B1167),0)</f>
        <v/>
      </c>
      <c r="J1167">
        <f>IF(ISNUMBER(B1167),YEAR(B1167)*100+MONTH(B1167),"")</f>
        <v/>
      </c>
      <c r="K1167">
        <f>IF(AND(H1167="",OR(F1167="Attended",F1167="No-show",AND(F1167="Late cancel",Settings!$C$9="Yes"))),1,0)</f>
        <v/>
      </c>
      <c r="L1167">
        <f>IF(AND(H1167="",F1167="Attended"),1,0)</f>
        <v/>
      </c>
      <c r="M1167">
        <f>IF(AND(H1167="",OR(F1167="No-show",F1167="Late cancel")),1,0)</f>
        <v/>
      </c>
      <c r="N1167">
        <f>IF(AND(H1167="",F1167="",D1167&lt;&gt;"",I1167&gt;=TODAY()),ROUND((I1167+IF(ISNUMBER(C1167),MOD(C1167,1),0))*1440,0)*10000+ROW(),"")</f>
        <v/>
      </c>
    </row>
    <row r="1168">
      <c r="A1168" s="1" t="n"/>
      <c r="B1168" s="17" t="n"/>
      <c r="C1168" s="18" t="n"/>
      <c r="D1168" s="19" t="n"/>
      <c r="E1168" s="20" t="n"/>
      <c r="F1168" s="20" t="n"/>
      <c r="G1168" s="21" t="n"/>
      <c r="H1168" s="12">
        <f>IF(AND(B1168="",D1168="",F1168=""),"",IF(NOT(ISNUMBER(B1168)),"Needs a date",IF(D1168="","Needs a client",IF(COUNTIF(Clients!$B$6:$B$105,D1168)=0,"Not on Clients",IF(AND(F1168="",INT(B1168)&lt;TODAY()),"Needs a status","")))))</f>
        <v/>
      </c>
      <c r="I1168" s="1">
        <f>IF(ISNUMBER(B1168),INT(B1168),0)</f>
        <v/>
      </c>
      <c r="J1168">
        <f>IF(ISNUMBER(B1168),YEAR(B1168)*100+MONTH(B1168),"")</f>
        <v/>
      </c>
      <c r="K1168">
        <f>IF(AND(H1168="",OR(F1168="Attended",F1168="No-show",AND(F1168="Late cancel",Settings!$C$9="Yes"))),1,0)</f>
        <v/>
      </c>
      <c r="L1168">
        <f>IF(AND(H1168="",F1168="Attended"),1,0)</f>
        <v/>
      </c>
      <c r="M1168">
        <f>IF(AND(H1168="",OR(F1168="No-show",F1168="Late cancel")),1,0)</f>
        <v/>
      </c>
      <c r="N1168">
        <f>IF(AND(H1168="",F1168="",D1168&lt;&gt;"",I1168&gt;=TODAY()),ROUND((I1168+IF(ISNUMBER(C1168),MOD(C1168,1),0))*1440,0)*10000+ROW(),"")</f>
        <v/>
      </c>
    </row>
    <row r="1169">
      <c r="A1169" s="1" t="n"/>
      <c r="B1169" s="17" t="n"/>
      <c r="C1169" s="18" t="n"/>
      <c r="D1169" s="19" t="n"/>
      <c r="E1169" s="20" t="n"/>
      <c r="F1169" s="20" t="n"/>
      <c r="G1169" s="21" t="n"/>
      <c r="H1169" s="12">
        <f>IF(AND(B1169="",D1169="",F1169=""),"",IF(NOT(ISNUMBER(B1169)),"Needs a date",IF(D1169="","Needs a client",IF(COUNTIF(Clients!$B$6:$B$105,D1169)=0,"Not on Clients",IF(AND(F1169="",INT(B1169)&lt;TODAY()),"Needs a status","")))))</f>
        <v/>
      </c>
      <c r="I1169" s="1">
        <f>IF(ISNUMBER(B1169),INT(B1169),0)</f>
        <v/>
      </c>
      <c r="J1169">
        <f>IF(ISNUMBER(B1169),YEAR(B1169)*100+MONTH(B1169),"")</f>
        <v/>
      </c>
      <c r="K1169">
        <f>IF(AND(H1169="",OR(F1169="Attended",F1169="No-show",AND(F1169="Late cancel",Settings!$C$9="Yes"))),1,0)</f>
        <v/>
      </c>
      <c r="L1169">
        <f>IF(AND(H1169="",F1169="Attended"),1,0)</f>
        <v/>
      </c>
      <c r="M1169">
        <f>IF(AND(H1169="",OR(F1169="No-show",F1169="Late cancel")),1,0)</f>
        <v/>
      </c>
      <c r="N1169">
        <f>IF(AND(H1169="",F1169="",D1169&lt;&gt;"",I1169&gt;=TODAY()),ROUND((I1169+IF(ISNUMBER(C1169),MOD(C1169,1),0))*1440,0)*10000+ROW(),"")</f>
        <v/>
      </c>
    </row>
    <row r="1170">
      <c r="A1170" s="1" t="n"/>
      <c r="B1170" s="17" t="n"/>
      <c r="C1170" s="18" t="n"/>
      <c r="D1170" s="19" t="n"/>
      <c r="E1170" s="20" t="n"/>
      <c r="F1170" s="20" t="n"/>
      <c r="G1170" s="21" t="n"/>
      <c r="H1170" s="12">
        <f>IF(AND(B1170="",D1170="",F1170=""),"",IF(NOT(ISNUMBER(B1170)),"Needs a date",IF(D1170="","Needs a client",IF(COUNTIF(Clients!$B$6:$B$105,D1170)=0,"Not on Clients",IF(AND(F1170="",INT(B1170)&lt;TODAY()),"Needs a status","")))))</f>
        <v/>
      </c>
      <c r="I1170" s="1">
        <f>IF(ISNUMBER(B1170),INT(B1170),0)</f>
        <v/>
      </c>
      <c r="J1170">
        <f>IF(ISNUMBER(B1170),YEAR(B1170)*100+MONTH(B1170),"")</f>
        <v/>
      </c>
      <c r="K1170">
        <f>IF(AND(H1170="",OR(F1170="Attended",F1170="No-show",AND(F1170="Late cancel",Settings!$C$9="Yes"))),1,0)</f>
        <v/>
      </c>
      <c r="L1170">
        <f>IF(AND(H1170="",F1170="Attended"),1,0)</f>
        <v/>
      </c>
      <c r="M1170">
        <f>IF(AND(H1170="",OR(F1170="No-show",F1170="Late cancel")),1,0)</f>
        <v/>
      </c>
      <c r="N1170">
        <f>IF(AND(H1170="",F1170="",D1170&lt;&gt;"",I1170&gt;=TODAY()),ROUND((I1170+IF(ISNUMBER(C1170),MOD(C1170,1),0))*1440,0)*10000+ROW(),"")</f>
        <v/>
      </c>
    </row>
    <row r="1171">
      <c r="A1171" s="1" t="n"/>
      <c r="B1171" s="17" t="n"/>
      <c r="C1171" s="18" t="n"/>
      <c r="D1171" s="19" t="n"/>
      <c r="E1171" s="20" t="n"/>
      <c r="F1171" s="20" t="n"/>
      <c r="G1171" s="21" t="n"/>
      <c r="H1171" s="12">
        <f>IF(AND(B1171="",D1171="",F1171=""),"",IF(NOT(ISNUMBER(B1171)),"Needs a date",IF(D1171="","Needs a client",IF(COUNTIF(Clients!$B$6:$B$105,D1171)=0,"Not on Clients",IF(AND(F1171="",INT(B1171)&lt;TODAY()),"Needs a status","")))))</f>
        <v/>
      </c>
      <c r="I1171" s="1">
        <f>IF(ISNUMBER(B1171),INT(B1171),0)</f>
        <v/>
      </c>
      <c r="J1171">
        <f>IF(ISNUMBER(B1171),YEAR(B1171)*100+MONTH(B1171),"")</f>
        <v/>
      </c>
      <c r="K1171">
        <f>IF(AND(H1171="",OR(F1171="Attended",F1171="No-show",AND(F1171="Late cancel",Settings!$C$9="Yes"))),1,0)</f>
        <v/>
      </c>
      <c r="L1171">
        <f>IF(AND(H1171="",F1171="Attended"),1,0)</f>
        <v/>
      </c>
      <c r="M1171">
        <f>IF(AND(H1171="",OR(F1171="No-show",F1171="Late cancel")),1,0)</f>
        <v/>
      </c>
      <c r="N1171">
        <f>IF(AND(H1171="",F1171="",D1171&lt;&gt;"",I1171&gt;=TODAY()),ROUND((I1171+IF(ISNUMBER(C1171),MOD(C1171,1),0))*1440,0)*10000+ROW(),"")</f>
        <v/>
      </c>
    </row>
    <row r="1172">
      <c r="A1172" s="1" t="n"/>
      <c r="B1172" s="17" t="n"/>
      <c r="C1172" s="18" t="n"/>
      <c r="D1172" s="19" t="n"/>
      <c r="E1172" s="20" t="n"/>
      <c r="F1172" s="20" t="n"/>
      <c r="G1172" s="21" t="n"/>
      <c r="H1172" s="12">
        <f>IF(AND(B1172="",D1172="",F1172=""),"",IF(NOT(ISNUMBER(B1172)),"Needs a date",IF(D1172="","Needs a client",IF(COUNTIF(Clients!$B$6:$B$105,D1172)=0,"Not on Clients",IF(AND(F1172="",INT(B1172)&lt;TODAY()),"Needs a status","")))))</f>
        <v/>
      </c>
      <c r="I1172" s="1">
        <f>IF(ISNUMBER(B1172),INT(B1172),0)</f>
        <v/>
      </c>
      <c r="J1172">
        <f>IF(ISNUMBER(B1172),YEAR(B1172)*100+MONTH(B1172),"")</f>
        <v/>
      </c>
      <c r="K1172">
        <f>IF(AND(H1172="",OR(F1172="Attended",F1172="No-show",AND(F1172="Late cancel",Settings!$C$9="Yes"))),1,0)</f>
        <v/>
      </c>
      <c r="L1172">
        <f>IF(AND(H1172="",F1172="Attended"),1,0)</f>
        <v/>
      </c>
      <c r="M1172">
        <f>IF(AND(H1172="",OR(F1172="No-show",F1172="Late cancel")),1,0)</f>
        <v/>
      </c>
      <c r="N1172">
        <f>IF(AND(H1172="",F1172="",D1172&lt;&gt;"",I1172&gt;=TODAY()),ROUND((I1172+IF(ISNUMBER(C1172),MOD(C1172,1),0))*1440,0)*10000+ROW(),"")</f>
        <v/>
      </c>
    </row>
    <row r="1173">
      <c r="A1173" s="1" t="n"/>
      <c r="B1173" s="17" t="n"/>
      <c r="C1173" s="18" t="n"/>
      <c r="D1173" s="19" t="n"/>
      <c r="E1173" s="20" t="n"/>
      <c r="F1173" s="20" t="n"/>
      <c r="G1173" s="21" t="n"/>
      <c r="H1173" s="12">
        <f>IF(AND(B1173="",D1173="",F1173=""),"",IF(NOT(ISNUMBER(B1173)),"Needs a date",IF(D1173="","Needs a client",IF(COUNTIF(Clients!$B$6:$B$105,D1173)=0,"Not on Clients",IF(AND(F1173="",INT(B1173)&lt;TODAY()),"Needs a status","")))))</f>
        <v/>
      </c>
      <c r="I1173" s="1">
        <f>IF(ISNUMBER(B1173),INT(B1173),0)</f>
        <v/>
      </c>
      <c r="J1173">
        <f>IF(ISNUMBER(B1173),YEAR(B1173)*100+MONTH(B1173),"")</f>
        <v/>
      </c>
      <c r="K1173">
        <f>IF(AND(H1173="",OR(F1173="Attended",F1173="No-show",AND(F1173="Late cancel",Settings!$C$9="Yes"))),1,0)</f>
        <v/>
      </c>
      <c r="L1173">
        <f>IF(AND(H1173="",F1173="Attended"),1,0)</f>
        <v/>
      </c>
      <c r="M1173">
        <f>IF(AND(H1173="",OR(F1173="No-show",F1173="Late cancel")),1,0)</f>
        <v/>
      </c>
      <c r="N1173">
        <f>IF(AND(H1173="",F1173="",D1173&lt;&gt;"",I1173&gt;=TODAY()),ROUND((I1173+IF(ISNUMBER(C1173),MOD(C1173,1),0))*1440,0)*10000+ROW(),"")</f>
        <v/>
      </c>
    </row>
    <row r="1174">
      <c r="A1174" s="1" t="n"/>
      <c r="B1174" s="17" t="n"/>
      <c r="C1174" s="18" t="n"/>
      <c r="D1174" s="19" t="n"/>
      <c r="E1174" s="20" t="n"/>
      <c r="F1174" s="20" t="n"/>
      <c r="G1174" s="21" t="n"/>
      <c r="H1174" s="12">
        <f>IF(AND(B1174="",D1174="",F1174=""),"",IF(NOT(ISNUMBER(B1174)),"Needs a date",IF(D1174="","Needs a client",IF(COUNTIF(Clients!$B$6:$B$105,D1174)=0,"Not on Clients",IF(AND(F1174="",INT(B1174)&lt;TODAY()),"Needs a status","")))))</f>
        <v/>
      </c>
      <c r="I1174" s="1">
        <f>IF(ISNUMBER(B1174),INT(B1174),0)</f>
        <v/>
      </c>
      <c r="J1174">
        <f>IF(ISNUMBER(B1174),YEAR(B1174)*100+MONTH(B1174),"")</f>
        <v/>
      </c>
      <c r="K1174">
        <f>IF(AND(H1174="",OR(F1174="Attended",F1174="No-show",AND(F1174="Late cancel",Settings!$C$9="Yes"))),1,0)</f>
        <v/>
      </c>
      <c r="L1174">
        <f>IF(AND(H1174="",F1174="Attended"),1,0)</f>
        <v/>
      </c>
      <c r="M1174">
        <f>IF(AND(H1174="",OR(F1174="No-show",F1174="Late cancel")),1,0)</f>
        <v/>
      </c>
      <c r="N1174">
        <f>IF(AND(H1174="",F1174="",D1174&lt;&gt;"",I1174&gt;=TODAY()),ROUND((I1174+IF(ISNUMBER(C1174),MOD(C1174,1),0))*1440,0)*10000+ROW(),"")</f>
        <v/>
      </c>
    </row>
    <row r="1175">
      <c r="A1175" s="1" t="n"/>
      <c r="B1175" s="17" t="n"/>
      <c r="C1175" s="18" t="n"/>
      <c r="D1175" s="19" t="n"/>
      <c r="E1175" s="20" t="n"/>
      <c r="F1175" s="20" t="n"/>
      <c r="G1175" s="21" t="n"/>
      <c r="H1175" s="12">
        <f>IF(AND(B1175="",D1175="",F1175=""),"",IF(NOT(ISNUMBER(B1175)),"Needs a date",IF(D1175="","Needs a client",IF(COUNTIF(Clients!$B$6:$B$105,D1175)=0,"Not on Clients",IF(AND(F1175="",INT(B1175)&lt;TODAY()),"Needs a status","")))))</f>
        <v/>
      </c>
      <c r="I1175" s="1">
        <f>IF(ISNUMBER(B1175),INT(B1175),0)</f>
        <v/>
      </c>
      <c r="J1175">
        <f>IF(ISNUMBER(B1175),YEAR(B1175)*100+MONTH(B1175),"")</f>
        <v/>
      </c>
      <c r="K1175">
        <f>IF(AND(H1175="",OR(F1175="Attended",F1175="No-show",AND(F1175="Late cancel",Settings!$C$9="Yes"))),1,0)</f>
        <v/>
      </c>
      <c r="L1175">
        <f>IF(AND(H1175="",F1175="Attended"),1,0)</f>
        <v/>
      </c>
      <c r="M1175">
        <f>IF(AND(H1175="",OR(F1175="No-show",F1175="Late cancel")),1,0)</f>
        <v/>
      </c>
      <c r="N1175">
        <f>IF(AND(H1175="",F1175="",D1175&lt;&gt;"",I1175&gt;=TODAY()),ROUND((I1175+IF(ISNUMBER(C1175),MOD(C1175,1),0))*1440,0)*10000+ROW(),"")</f>
        <v/>
      </c>
    </row>
    <row r="1176">
      <c r="A1176" s="1" t="n"/>
      <c r="B1176" s="17" t="n"/>
      <c r="C1176" s="18" t="n"/>
      <c r="D1176" s="19" t="n"/>
      <c r="E1176" s="20" t="n"/>
      <c r="F1176" s="20" t="n"/>
      <c r="G1176" s="21" t="n"/>
      <c r="H1176" s="12">
        <f>IF(AND(B1176="",D1176="",F1176=""),"",IF(NOT(ISNUMBER(B1176)),"Needs a date",IF(D1176="","Needs a client",IF(COUNTIF(Clients!$B$6:$B$105,D1176)=0,"Not on Clients",IF(AND(F1176="",INT(B1176)&lt;TODAY()),"Needs a status","")))))</f>
        <v/>
      </c>
      <c r="I1176" s="1">
        <f>IF(ISNUMBER(B1176),INT(B1176),0)</f>
        <v/>
      </c>
      <c r="J1176">
        <f>IF(ISNUMBER(B1176),YEAR(B1176)*100+MONTH(B1176),"")</f>
        <v/>
      </c>
      <c r="K1176">
        <f>IF(AND(H1176="",OR(F1176="Attended",F1176="No-show",AND(F1176="Late cancel",Settings!$C$9="Yes"))),1,0)</f>
        <v/>
      </c>
      <c r="L1176">
        <f>IF(AND(H1176="",F1176="Attended"),1,0)</f>
        <v/>
      </c>
      <c r="M1176">
        <f>IF(AND(H1176="",OR(F1176="No-show",F1176="Late cancel")),1,0)</f>
        <v/>
      </c>
      <c r="N1176">
        <f>IF(AND(H1176="",F1176="",D1176&lt;&gt;"",I1176&gt;=TODAY()),ROUND((I1176+IF(ISNUMBER(C1176),MOD(C1176,1),0))*1440,0)*10000+ROW(),"")</f>
        <v/>
      </c>
    </row>
    <row r="1177">
      <c r="A1177" s="1" t="n"/>
      <c r="B1177" s="17" t="n"/>
      <c r="C1177" s="18" t="n"/>
      <c r="D1177" s="19" t="n"/>
      <c r="E1177" s="20" t="n"/>
      <c r="F1177" s="20" t="n"/>
      <c r="G1177" s="21" t="n"/>
      <c r="H1177" s="12">
        <f>IF(AND(B1177="",D1177="",F1177=""),"",IF(NOT(ISNUMBER(B1177)),"Needs a date",IF(D1177="","Needs a client",IF(COUNTIF(Clients!$B$6:$B$105,D1177)=0,"Not on Clients",IF(AND(F1177="",INT(B1177)&lt;TODAY()),"Needs a status","")))))</f>
        <v/>
      </c>
      <c r="I1177" s="1">
        <f>IF(ISNUMBER(B1177),INT(B1177),0)</f>
        <v/>
      </c>
      <c r="J1177">
        <f>IF(ISNUMBER(B1177),YEAR(B1177)*100+MONTH(B1177),"")</f>
        <v/>
      </c>
      <c r="K1177">
        <f>IF(AND(H1177="",OR(F1177="Attended",F1177="No-show",AND(F1177="Late cancel",Settings!$C$9="Yes"))),1,0)</f>
        <v/>
      </c>
      <c r="L1177">
        <f>IF(AND(H1177="",F1177="Attended"),1,0)</f>
        <v/>
      </c>
      <c r="M1177">
        <f>IF(AND(H1177="",OR(F1177="No-show",F1177="Late cancel")),1,0)</f>
        <v/>
      </c>
      <c r="N1177">
        <f>IF(AND(H1177="",F1177="",D1177&lt;&gt;"",I1177&gt;=TODAY()),ROUND((I1177+IF(ISNUMBER(C1177),MOD(C1177,1),0))*1440,0)*10000+ROW(),"")</f>
        <v/>
      </c>
    </row>
    <row r="1178">
      <c r="A1178" s="1" t="n"/>
      <c r="B1178" s="17" t="n"/>
      <c r="C1178" s="18" t="n"/>
      <c r="D1178" s="19" t="n"/>
      <c r="E1178" s="20" t="n"/>
      <c r="F1178" s="20" t="n"/>
      <c r="G1178" s="21" t="n"/>
      <c r="H1178" s="12">
        <f>IF(AND(B1178="",D1178="",F1178=""),"",IF(NOT(ISNUMBER(B1178)),"Needs a date",IF(D1178="","Needs a client",IF(COUNTIF(Clients!$B$6:$B$105,D1178)=0,"Not on Clients",IF(AND(F1178="",INT(B1178)&lt;TODAY()),"Needs a status","")))))</f>
        <v/>
      </c>
      <c r="I1178" s="1">
        <f>IF(ISNUMBER(B1178),INT(B1178),0)</f>
        <v/>
      </c>
      <c r="J1178">
        <f>IF(ISNUMBER(B1178),YEAR(B1178)*100+MONTH(B1178),"")</f>
        <v/>
      </c>
      <c r="K1178">
        <f>IF(AND(H1178="",OR(F1178="Attended",F1178="No-show",AND(F1178="Late cancel",Settings!$C$9="Yes"))),1,0)</f>
        <v/>
      </c>
      <c r="L1178">
        <f>IF(AND(H1178="",F1178="Attended"),1,0)</f>
        <v/>
      </c>
      <c r="M1178">
        <f>IF(AND(H1178="",OR(F1178="No-show",F1178="Late cancel")),1,0)</f>
        <v/>
      </c>
      <c r="N1178">
        <f>IF(AND(H1178="",F1178="",D1178&lt;&gt;"",I1178&gt;=TODAY()),ROUND((I1178+IF(ISNUMBER(C1178),MOD(C1178,1),0))*1440,0)*10000+ROW(),"")</f>
        <v/>
      </c>
    </row>
    <row r="1179">
      <c r="A1179" s="1" t="n"/>
      <c r="B1179" s="17" t="n"/>
      <c r="C1179" s="18" t="n"/>
      <c r="D1179" s="19" t="n"/>
      <c r="E1179" s="20" t="n"/>
      <c r="F1179" s="20" t="n"/>
      <c r="G1179" s="21" t="n"/>
      <c r="H1179" s="12">
        <f>IF(AND(B1179="",D1179="",F1179=""),"",IF(NOT(ISNUMBER(B1179)),"Needs a date",IF(D1179="","Needs a client",IF(COUNTIF(Clients!$B$6:$B$105,D1179)=0,"Not on Clients",IF(AND(F1179="",INT(B1179)&lt;TODAY()),"Needs a status","")))))</f>
        <v/>
      </c>
      <c r="I1179" s="1">
        <f>IF(ISNUMBER(B1179),INT(B1179),0)</f>
        <v/>
      </c>
      <c r="J1179">
        <f>IF(ISNUMBER(B1179),YEAR(B1179)*100+MONTH(B1179),"")</f>
        <v/>
      </c>
      <c r="K1179">
        <f>IF(AND(H1179="",OR(F1179="Attended",F1179="No-show",AND(F1179="Late cancel",Settings!$C$9="Yes"))),1,0)</f>
        <v/>
      </c>
      <c r="L1179">
        <f>IF(AND(H1179="",F1179="Attended"),1,0)</f>
        <v/>
      </c>
      <c r="M1179">
        <f>IF(AND(H1179="",OR(F1179="No-show",F1179="Late cancel")),1,0)</f>
        <v/>
      </c>
      <c r="N1179">
        <f>IF(AND(H1179="",F1179="",D1179&lt;&gt;"",I1179&gt;=TODAY()),ROUND((I1179+IF(ISNUMBER(C1179),MOD(C1179,1),0))*1440,0)*10000+ROW(),"")</f>
        <v/>
      </c>
    </row>
    <row r="1180">
      <c r="A1180" s="1" t="n"/>
      <c r="B1180" s="17" t="n"/>
      <c r="C1180" s="18" t="n"/>
      <c r="D1180" s="19" t="n"/>
      <c r="E1180" s="20" t="n"/>
      <c r="F1180" s="20" t="n"/>
      <c r="G1180" s="21" t="n"/>
      <c r="H1180" s="12">
        <f>IF(AND(B1180="",D1180="",F1180=""),"",IF(NOT(ISNUMBER(B1180)),"Needs a date",IF(D1180="","Needs a client",IF(COUNTIF(Clients!$B$6:$B$105,D1180)=0,"Not on Clients",IF(AND(F1180="",INT(B1180)&lt;TODAY()),"Needs a status","")))))</f>
        <v/>
      </c>
      <c r="I1180" s="1">
        <f>IF(ISNUMBER(B1180),INT(B1180),0)</f>
        <v/>
      </c>
      <c r="J1180">
        <f>IF(ISNUMBER(B1180),YEAR(B1180)*100+MONTH(B1180),"")</f>
        <v/>
      </c>
      <c r="K1180">
        <f>IF(AND(H1180="",OR(F1180="Attended",F1180="No-show",AND(F1180="Late cancel",Settings!$C$9="Yes"))),1,0)</f>
        <v/>
      </c>
      <c r="L1180">
        <f>IF(AND(H1180="",F1180="Attended"),1,0)</f>
        <v/>
      </c>
      <c r="M1180">
        <f>IF(AND(H1180="",OR(F1180="No-show",F1180="Late cancel")),1,0)</f>
        <v/>
      </c>
      <c r="N1180">
        <f>IF(AND(H1180="",F1180="",D1180&lt;&gt;"",I1180&gt;=TODAY()),ROUND((I1180+IF(ISNUMBER(C1180),MOD(C1180,1),0))*1440,0)*10000+ROW(),"")</f>
        <v/>
      </c>
    </row>
    <row r="1181">
      <c r="A1181" s="1" t="n"/>
      <c r="B1181" s="17" t="n"/>
      <c r="C1181" s="18" t="n"/>
      <c r="D1181" s="19" t="n"/>
      <c r="E1181" s="20" t="n"/>
      <c r="F1181" s="20" t="n"/>
      <c r="G1181" s="21" t="n"/>
      <c r="H1181" s="12">
        <f>IF(AND(B1181="",D1181="",F1181=""),"",IF(NOT(ISNUMBER(B1181)),"Needs a date",IF(D1181="","Needs a client",IF(COUNTIF(Clients!$B$6:$B$105,D1181)=0,"Not on Clients",IF(AND(F1181="",INT(B1181)&lt;TODAY()),"Needs a status","")))))</f>
        <v/>
      </c>
      <c r="I1181" s="1">
        <f>IF(ISNUMBER(B1181),INT(B1181),0)</f>
        <v/>
      </c>
      <c r="J1181">
        <f>IF(ISNUMBER(B1181),YEAR(B1181)*100+MONTH(B1181),"")</f>
        <v/>
      </c>
      <c r="K1181">
        <f>IF(AND(H1181="",OR(F1181="Attended",F1181="No-show",AND(F1181="Late cancel",Settings!$C$9="Yes"))),1,0)</f>
        <v/>
      </c>
      <c r="L1181">
        <f>IF(AND(H1181="",F1181="Attended"),1,0)</f>
        <v/>
      </c>
      <c r="M1181">
        <f>IF(AND(H1181="",OR(F1181="No-show",F1181="Late cancel")),1,0)</f>
        <v/>
      </c>
      <c r="N1181">
        <f>IF(AND(H1181="",F1181="",D1181&lt;&gt;"",I1181&gt;=TODAY()),ROUND((I1181+IF(ISNUMBER(C1181),MOD(C1181,1),0))*1440,0)*10000+ROW(),"")</f>
        <v/>
      </c>
    </row>
    <row r="1182">
      <c r="A1182" s="1" t="n"/>
      <c r="B1182" s="17" t="n"/>
      <c r="C1182" s="18" t="n"/>
      <c r="D1182" s="19" t="n"/>
      <c r="E1182" s="20" t="n"/>
      <c r="F1182" s="20" t="n"/>
      <c r="G1182" s="21" t="n"/>
      <c r="H1182" s="12">
        <f>IF(AND(B1182="",D1182="",F1182=""),"",IF(NOT(ISNUMBER(B1182)),"Needs a date",IF(D1182="","Needs a client",IF(COUNTIF(Clients!$B$6:$B$105,D1182)=0,"Not on Clients",IF(AND(F1182="",INT(B1182)&lt;TODAY()),"Needs a status","")))))</f>
        <v/>
      </c>
      <c r="I1182" s="1">
        <f>IF(ISNUMBER(B1182),INT(B1182),0)</f>
        <v/>
      </c>
      <c r="J1182">
        <f>IF(ISNUMBER(B1182),YEAR(B1182)*100+MONTH(B1182),"")</f>
        <v/>
      </c>
      <c r="K1182">
        <f>IF(AND(H1182="",OR(F1182="Attended",F1182="No-show",AND(F1182="Late cancel",Settings!$C$9="Yes"))),1,0)</f>
        <v/>
      </c>
      <c r="L1182">
        <f>IF(AND(H1182="",F1182="Attended"),1,0)</f>
        <v/>
      </c>
      <c r="M1182">
        <f>IF(AND(H1182="",OR(F1182="No-show",F1182="Late cancel")),1,0)</f>
        <v/>
      </c>
      <c r="N1182">
        <f>IF(AND(H1182="",F1182="",D1182&lt;&gt;"",I1182&gt;=TODAY()),ROUND((I1182+IF(ISNUMBER(C1182),MOD(C1182,1),0))*1440,0)*10000+ROW(),"")</f>
        <v/>
      </c>
    </row>
    <row r="1183">
      <c r="A1183" s="1" t="n"/>
      <c r="B1183" s="17" t="n"/>
      <c r="C1183" s="18" t="n"/>
      <c r="D1183" s="19" t="n"/>
      <c r="E1183" s="20" t="n"/>
      <c r="F1183" s="20" t="n"/>
      <c r="G1183" s="21" t="n"/>
      <c r="H1183" s="12">
        <f>IF(AND(B1183="",D1183="",F1183=""),"",IF(NOT(ISNUMBER(B1183)),"Needs a date",IF(D1183="","Needs a client",IF(COUNTIF(Clients!$B$6:$B$105,D1183)=0,"Not on Clients",IF(AND(F1183="",INT(B1183)&lt;TODAY()),"Needs a status","")))))</f>
        <v/>
      </c>
      <c r="I1183" s="1">
        <f>IF(ISNUMBER(B1183),INT(B1183),0)</f>
        <v/>
      </c>
      <c r="J1183">
        <f>IF(ISNUMBER(B1183),YEAR(B1183)*100+MONTH(B1183),"")</f>
        <v/>
      </c>
      <c r="K1183">
        <f>IF(AND(H1183="",OR(F1183="Attended",F1183="No-show",AND(F1183="Late cancel",Settings!$C$9="Yes"))),1,0)</f>
        <v/>
      </c>
      <c r="L1183">
        <f>IF(AND(H1183="",F1183="Attended"),1,0)</f>
        <v/>
      </c>
      <c r="M1183">
        <f>IF(AND(H1183="",OR(F1183="No-show",F1183="Late cancel")),1,0)</f>
        <v/>
      </c>
      <c r="N1183">
        <f>IF(AND(H1183="",F1183="",D1183&lt;&gt;"",I1183&gt;=TODAY()),ROUND((I1183+IF(ISNUMBER(C1183),MOD(C1183,1),0))*1440,0)*10000+ROW(),"")</f>
        <v/>
      </c>
    </row>
    <row r="1184">
      <c r="A1184" s="1" t="n"/>
      <c r="B1184" s="17" t="n"/>
      <c r="C1184" s="18" t="n"/>
      <c r="D1184" s="19" t="n"/>
      <c r="E1184" s="20" t="n"/>
      <c r="F1184" s="20" t="n"/>
      <c r="G1184" s="21" t="n"/>
      <c r="H1184" s="12">
        <f>IF(AND(B1184="",D1184="",F1184=""),"",IF(NOT(ISNUMBER(B1184)),"Needs a date",IF(D1184="","Needs a client",IF(COUNTIF(Clients!$B$6:$B$105,D1184)=0,"Not on Clients",IF(AND(F1184="",INT(B1184)&lt;TODAY()),"Needs a status","")))))</f>
        <v/>
      </c>
      <c r="I1184" s="1">
        <f>IF(ISNUMBER(B1184),INT(B1184),0)</f>
        <v/>
      </c>
      <c r="J1184">
        <f>IF(ISNUMBER(B1184),YEAR(B1184)*100+MONTH(B1184),"")</f>
        <v/>
      </c>
      <c r="K1184">
        <f>IF(AND(H1184="",OR(F1184="Attended",F1184="No-show",AND(F1184="Late cancel",Settings!$C$9="Yes"))),1,0)</f>
        <v/>
      </c>
      <c r="L1184">
        <f>IF(AND(H1184="",F1184="Attended"),1,0)</f>
        <v/>
      </c>
      <c r="M1184">
        <f>IF(AND(H1184="",OR(F1184="No-show",F1184="Late cancel")),1,0)</f>
        <v/>
      </c>
      <c r="N1184">
        <f>IF(AND(H1184="",F1184="",D1184&lt;&gt;"",I1184&gt;=TODAY()),ROUND((I1184+IF(ISNUMBER(C1184),MOD(C1184,1),0))*1440,0)*10000+ROW(),"")</f>
        <v/>
      </c>
    </row>
    <row r="1185">
      <c r="A1185" s="1" t="n"/>
      <c r="B1185" s="17" t="n"/>
      <c r="C1185" s="18" t="n"/>
      <c r="D1185" s="19" t="n"/>
      <c r="E1185" s="20" t="n"/>
      <c r="F1185" s="20" t="n"/>
      <c r="G1185" s="21" t="n"/>
      <c r="H1185" s="12">
        <f>IF(AND(B1185="",D1185="",F1185=""),"",IF(NOT(ISNUMBER(B1185)),"Needs a date",IF(D1185="","Needs a client",IF(COUNTIF(Clients!$B$6:$B$105,D1185)=0,"Not on Clients",IF(AND(F1185="",INT(B1185)&lt;TODAY()),"Needs a status","")))))</f>
        <v/>
      </c>
      <c r="I1185" s="1">
        <f>IF(ISNUMBER(B1185),INT(B1185),0)</f>
        <v/>
      </c>
      <c r="J1185">
        <f>IF(ISNUMBER(B1185),YEAR(B1185)*100+MONTH(B1185),"")</f>
        <v/>
      </c>
      <c r="K1185">
        <f>IF(AND(H1185="",OR(F1185="Attended",F1185="No-show",AND(F1185="Late cancel",Settings!$C$9="Yes"))),1,0)</f>
        <v/>
      </c>
      <c r="L1185">
        <f>IF(AND(H1185="",F1185="Attended"),1,0)</f>
        <v/>
      </c>
      <c r="M1185">
        <f>IF(AND(H1185="",OR(F1185="No-show",F1185="Late cancel")),1,0)</f>
        <v/>
      </c>
      <c r="N1185">
        <f>IF(AND(H1185="",F1185="",D1185&lt;&gt;"",I1185&gt;=TODAY()),ROUND((I1185+IF(ISNUMBER(C1185),MOD(C1185,1),0))*1440,0)*10000+ROW(),"")</f>
        <v/>
      </c>
    </row>
    <row r="1186">
      <c r="A1186" s="1" t="n"/>
      <c r="B1186" s="17" t="n"/>
      <c r="C1186" s="18" t="n"/>
      <c r="D1186" s="19" t="n"/>
      <c r="E1186" s="20" t="n"/>
      <c r="F1186" s="20" t="n"/>
      <c r="G1186" s="21" t="n"/>
      <c r="H1186" s="12">
        <f>IF(AND(B1186="",D1186="",F1186=""),"",IF(NOT(ISNUMBER(B1186)),"Needs a date",IF(D1186="","Needs a client",IF(COUNTIF(Clients!$B$6:$B$105,D1186)=0,"Not on Clients",IF(AND(F1186="",INT(B1186)&lt;TODAY()),"Needs a status","")))))</f>
        <v/>
      </c>
      <c r="I1186" s="1">
        <f>IF(ISNUMBER(B1186),INT(B1186),0)</f>
        <v/>
      </c>
      <c r="J1186">
        <f>IF(ISNUMBER(B1186),YEAR(B1186)*100+MONTH(B1186),"")</f>
        <v/>
      </c>
      <c r="K1186">
        <f>IF(AND(H1186="",OR(F1186="Attended",F1186="No-show",AND(F1186="Late cancel",Settings!$C$9="Yes"))),1,0)</f>
        <v/>
      </c>
      <c r="L1186">
        <f>IF(AND(H1186="",F1186="Attended"),1,0)</f>
        <v/>
      </c>
      <c r="M1186">
        <f>IF(AND(H1186="",OR(F1186="No-show",F1186="Late cancel")),1,0)</f>
        <v/>
      </c>
      <c r="N1186">
        <f>IF(AND(H1186="",F1186="",D1186&lt;&gt;"",I1186&gt;=TODAY()),ROUND((I1186+IF(ISNUMBER(C1186),MOD(C1186,1),0))*1440,0)*10000+ROW(),"")</f>
        <v/>
      </c>
    </row>
    <row r="1187">
      <c r="A1187" s="1" t="n"/>
      <c r="B1187" s="17" t="n"/>
      <c r="C1187" s="18" t="n"/>
      <c r="D1187" s="19" t="n"/>
      <c r="E1187" s="20" t="n"/>
      <c r="F1187" s="20" t="n"/>
      <c r="G1187" s="21" t="n"/>
      <c r="H1187" s="12">
        <f>IF(AND(B1187="",D1187="",F1187=""),"",IF(NOT(ISNUMBER(B1187)),"Needs a date",IF(D1187="","Needs a client",IF(COUNTIF(Clients!$B$6:$B$105,D1187)=0,"Not on Clients",IF(AND(F1187="",INT(B1187)&lt;TODAY()),"Needs a status","")))))</f>
        <v/>
      </c>
      <c r="I1187" s="1">
        <f>IF(ISNUMBER(B1187),INT(B1187),0)</f>
        <v/>
      </c>
      <c r="J1187">
        <f>IF(ISNUMBER(B1187),YEAR(B1187)*100+MONTH(B1187),"")</f>
        <v/>
      </c>
      <c r="K1187">
        <f>IF(AND(H1187="",OR(F1187="Attended",F1187="No-show",AND(F1187="Late cancel",Settings!$C$9="Yes"))),1,0)</f>
        <v/>
      </c>
      <c r="L1187">
        <f>IF(AND(H1187="",F1187="Attended"),1,0)</f>
        <v/>
      </c>
      <c r="M1187">
        <f>IF(AND(H1187="",OR(F1187="No-show",F1187="Late cancel")),1,0)</f>
        <v/>
      </c>
      <c r="N1187">
        <f>IF(AND(H1187="",F1187="",D1187&lt;&gt;"",I1187&gt;=TODAY()),ROUND((I1187+IF(ISNUMBER(C1187),MOD(C1187,1),0))*1440,0)*10000+ROW(),"")</f>
        <v/>
      </c>
    </row>
    <row r="1188">
      <c r="A1188" s="1" t="n"/>
      <c r="B1188" s="17" t="n"/>
      <c r="C1188" s="18" t="n"/>
      <c r="D1188" s="19" t="n"/>
      <c r="E1188" s="20" t="n"/>
      <c r="F1188" s="20" t="n"/>
      <c r="G1188" s="21" t="n"/>
      <c r="H1188" s="12">
        <f>IF(AND(B1188="",D1188="",F1188=""),"",IF(NOT(ISNUMBER(B1188)),"Needs a date",IF(D1188="","Needs a client",IF(COUNTIF(Clients!$B$6:$B$105,D1188)=0,"Not on Clients",IF(AND(F1188="",INT(B1188)&lt;TODAY()),"Needs a status","")))))</f>
        <v/>
      </c>
      <c r="I1188" s="1">
        <f>IF(ISNUMBER(B1188),INT(B1188),0)</f>
        <v/>
      </c>
      <c r="J1188">
        <f>IF(ISNUMBER(B1188),YEAR(B1188)*100+MONTH(B1188),"")</f>
        <v/>
      </c>
      <c r="K1188">
        <f>IF(AND(H1188="",OR(F1188="Attended",F1188="No-show",AND(F1188="Late cancel",Settings!$C$9="Yes"))),1,0)</f>
        <v/>
      </c>
      <c r="L1188">
        <f>IF(AND(H1188="",F1188="Attended"),1,0)</f>
        <v/>
      </c>
      <c r="M1188">
        <f>IF(AND(H1188="",OR(F1188="No-show",F1188="Late cancel")),1,0)</f>
        <v/>
      </c>
      <c r="N1188">
        <f>IF(AND(H1188="",F1188="",D1188&lt;&gt;"",I1188&gt;=TODAY()),ROUND((I1188+IF(ISNUMBER(C1188),MOD(C1188,1),0))*1440,0)*10000+ROW(),"")</f>
        <v/>
      </c>
    </row>
    <row r="1189">
      <c r="A1189" s="1" t="n"/>
      <c r="B1189" s="17" t="n"/>
      <c r="C1189" s="18" t="n"/>
      <c r="D1189" s="19" t="n"/>
      <c r="E1189" s="20" t="n"/>
      <c r="F1189" s="20" t="n"/>
      <c r="G1189" s="21" t="n"/>
      <c r="H1189" s="12">
        <f>IF(AND(B1189="",D1189="",F1189=""),"",IF(NOT(ISNUMBER(B1189)),"Needs a date",IF(D1189="","Needs a client",IF(COUNTIF(Clients!$B$6:$B$105,D1189)=0,"Not on Clients",IF(AND(F1189="",INT(B1189)&lt;TODAY()),"Needs a status","")))))</f>
        <v/>
      </c>
      <c r="I1189" s="1">
        <f>IF(ISNUMBER(B1189),INT(B1189),0)</f>
        <v/>
      </c>
      <c r="J1189">
        <f>IF(ISNUMBER(B1189),YEAR(B1189)*100+MONTH(B1189),"")</f>
        <v/>
      </c>
      <c r="K1189">
        <f>IF(AND(H1189="",OR(F1189="Attended",F1189="No-show",AND(F1189="Late cancel",Settings!$C$9="Yes"))),1,0)</f>
        <v/>
      </c>
      <c r="L1189">
        <f>IF(AND(H1189="",F1189="Attended"),1,0)</f>
        <v/>
      </c>
      <c r="M1189">
        <f>IF(AND(H1189="",OR(F1189="No-show",F1189="Late cancel")),1,0)</f>
        <v/>
      </c>
      <c r="N1189">
        <f>IF(AND(H1189="",F1189="",D1189&lt;&gt;"",I1189&gt;=TODAY()),ROUND((I1189+IF(ISNUMBER(C1189),MOD(C1189,1),0))*1440,0)*10000+ROW(),"")</f>
        <v/>
      </c>
    </row>
    <row r="1190">
      <c r="A1190" s="1" t="n"/>
      <c r="B1190" s="17" t="n"/>
      <c r="C1190" s="18" t="n"/>
      <c r="D1190" s="19" t="n"/>
      <c r="E1190" s="20" t="n"/>
      <c r="F1190" s="20" t="n"/>
      <c r="G1190" s="21" t="n"/>
      <c r="H1190" s="12">
        <f>IF(AND(B1190="",D1190="",F1190=""),"",IF(NOT(ISNUMBER(B1190)),"Needs a date",IF(D1190="","Needs a client",IF(COUNTIF(Clients!$B$6:$B$105,D1190)=0,"Not on Clients",IF(AND(F1190="",INT(B1190)&lt;TODAY()),"Needs a status","")))))</f>
        <v/>
      </c>
      <c r="I1190" s="1">
        <f>IF(ISNUMBER(B1190),INT(B1190),0)</f>
        <v/>
      </c>
      <c r="J1190">
        <f>IF(ISNUMBER(B1190),YEAR(B1190)*100+MONTH(B1190),"")</f>
        <v/>
      </c>
      <c r="K1190">
        <f>IF(AND(H1190="",OR(F1190="Attended",F1190="No-show",AND(F1190="Late cancel",Settings!$C$9="Yes"))),1,0)</f>
        <v/>
      </c>
      <c r="L1190">
        <f>IF(AND(H1190="",F1190="Attended"),1,0)</f>
        <v/>
      </c>
      <c r="M1190">
        <f>IF(AND(H1190="",OR(F1190="No-show",F1190="Late cancel")),1,0)</f>
        <v/>
      </c>
      <c r="N1190">
        <f>IF(AND(H1190="",F1190="",D1190&lt;&gt;"",I1190&gt;=TODAY()),ROUND((I1190+IF(ISNUMBER(C1190),MOD(C1190,1),0))*1440,0)*10000+ROW(),"")</f>
        <v/>
      </c>
    </row>
    <row r="1191">
      <c r="A1191" s="1" t="n"/>
      <c r="B1191" s="17" t="n"/>
      <c r="C1191" s="18" t="n"/>
      <c r="D1191" s="19" t="n"/>
      <c r="E1191" s="20" t="n"/>
      <c r="F1191" s="20" t="n"/>
      <c r="G1191" s="21" t="n"/>
      <c r="H1191" s="12">
        <f>IF(AND(B1191="",D1191="",F1191=""),"",IF(NOT(ISNUMBER(B1191)),"Needs a date",IF(D1191="","Needs a client",IF(COUNTIF(Clients!$B$6:$B$105,D1191)=0,"Not on Clients",IF(AND(F1191="",INT(B1191)&lt;TODAY()),"Needs a status","")))))</f>
        <v/>
      </c>
      <c r="I1191" s="1">
        <f>IF(ISNUMBER(B1191),INT(B1191),0)</f>
        <v/>
      </c>
      <c r="J1191">
        <f>IF(ISNUMBER(B1191),YEAR(B1191)*100+MONTH(B1191),"")</f>
        <v/>
      </c>
      <c r="K1191">
        <f>IF(AND(H1191="",OR(F1191="Attended",F1191="No-show",AND(F1191="Late cancel",Settings!$C$9="Yes"))),1,0)</f>
        <v/>
      </c>
      <c r="L1191">
        <f>IF(AND(H1191="",F1191="Attended"),1,0)</f>
        <v/>
      </c>
      <c r="M1191">
        <f>IF(AND(H1191="",OR(F1191="No-show",F1191="Late cancel")),1,0)</f>
        <v/>
      </c>
      <c r="N1191">
        <f>IF(AND(H1191="",F1191="",D1191&lt;&gt;"",I1191&gt;=TODAY()),ROUND((I1191+IF(ISNUMBER(C1191),MOD(C1191,1),0))*1440,0)*10000+ROW(),"")</f>
        <v/>
      </c>
    </row>
    <row r="1192">
      <c r="A1192" s="1" t="n"/>
      <c r="B1192" s="17" t="n"/>
      <c r="C1192" s="18" t="n"/>
      <c r="D1192" s="19" t="n"/>
      <c r="E1192" s="20" t="n"/>
      <c r="F1192" s="20" t="n"/>
      <c r="G1192" s="21" t="n"/>
      <c r="H1192" s="12">
        <f>IF(AND(B1192="",D1192="",F1192=""),"",IF(NOT(ISNUMBER(B1192)),"Needs a date",IF(D1192="","Needs a client",IF(COUNTIF(Clients!$B$6:$B$105,D1192)=0,"Not on Clients",IF(AND(F1192="",INT(B1192)&lt;TODAY()),"Needs a status","")))))</f>
        <v/>
      </c>
      <c r="I1192" s="1">
        <f>IF(ISNUMBER(B1192),INT(B1192),0)</f>
        <v/>
      </c>
      <c r="J1192">
        <f>IF(ISNUMBER(B1192),YEAR(B1192)*100+MONTH(B1192),"")</f>
        <v/>
      </c>
      <c r="K1192">
        <f>IF(AND(H1192="",OR(F1192="Attended",F1192="No-show",AND(F1192="Late cancel",Settings!$C$9="Yes"))),1,0)</f>
        <v/>
      </c>
      <c r="L1192">
        <f>IF(AND(H1192="",F1192="Attended"),1,0)</f>
        <v/>
      </c>
      <c r="M1192">
        <f>IF(AND(H1192="",OR(F1192="No-show",F1192="Late cancel")),1,0)</f>
        <v/>
      </c>
      <c r="N1192">
        <f>IF(AND(H1192="",F1192="",D1192&lt;&gt;"",I1192&gt;=TODAY()),ROUND((I1192+IF(ISNUMBER(C1192),MOD(C1192,1),0))*1440,0)*10000+ROW(),"")</f>
        <v/>
      </c>
    </row>
    <row r="1193">
      <c r="A1193" s="1" t="n"/>
      <c r="B1193" s="17" t="n"/>
      <c r="C1193" s="18" t="n"/>
      <c r="D1193" s="19" t="n"/>
      <c r="E1193" s="20" t="n"/>
      <c r="F1193" s="20" t="n"/>
      <c r="G1193" s="21" t="n"/>
      <c r="H1193" s="12">
        <f>IF(AND(B1193="",D1193="",F1193=""),"",IF(NOT(ISNUMBER(B1193)),"Needs a date",IF(D1193="","Needs a client",IF(COUNTIF(Clients!$B$6:$B$105,D1193)=0,"Not on Clients",IF(AND(F1193="",INT(B1193)&lt;TODAY()),"Needs a status","")))))</f>
        <v/>
      </c>
      <c r="I1193" s="1">
        <f>IF(ISNUMBER(B1193),INT(B1193),0)</f>
        <v/>
      </c>
      <c r="J1193">
        <f>IF(ISNUMBER(B1193),YEAR(B1193)*100+MONTH(B1193),"")</f>
        <v/>
      </c>
      <c r="K1193">
        <f>IF(AND(H1193="",OR(F1193="Attended",F1193="No-show",AND(F1193="Late cancel",Settings!$C$9="Yes"))),1,0)</f>
        <v/>
      </c>
      <c r="L1193">
        <f>IF(AND(H1193="",F1193="Attended"),1,0)</f>
        <v/>
      </c>
      <c r="M1193">
        <f>IF(AND(H1193="",OR(F1193="No-show",F1193="Late cancel")),1,0)</f>
        <v/>
      </c>
      <c r="N1193">
        <f>IF(AND(H1193="",F1193="",D1193&lt;&gt;"",I1193&gt;=TODAY()),ROUND((I1193+IF(ISNUMBER(C1193),MOD(C1193,1),0))*1440,0)*10000+ROW(),"")</f>
        <v/>
      </c>
    </row>
    <row r="1194">
      <c r="A1194" s="1" t="n"/>
      <c r="B1194" s="17" t="n"/>
      <c r="C1194" s="18" t="n"/>
      <c r="D1194" s="19" t="n"/>
      <c r="E1194" s="20" t="n"/>
      <c r="F1194" s="20" t="n"/>
      <c r="G1194" s="21" t="n"/>
      <c r="H1194" s="12">
        <f>IF(AND(B1194="",D1194="",F1194=""),"",IF(NOT(ISNUMBER(B1194)),"Needs a date",IF(D1194="","Needs a client",IF(COUNTIF(Clients!$B$6:$B$105,D1194)=0,"Not on Clients",IF(AND(F1194="",INT(B1194)&lt;TODAY()),"Needs a status","")))))</f>
        <v/>
      </c>
      <c r="I1194" s="1">
        <f>IF(ISNUMBER(B1194),INT(B1194),0)</f>
        <v/>
      </c>
      <c r="J1194">
        <f>IF(ISNUMBER(B1194),YEAR(B1194)*100+MONTH(B1194),"")</f>
        <v/>
      </c>
      <c r="K1194">
        <f>IF(AND(H1194="",OR(F1194="Attended",F1194="No-show",AND(F1194="Late cancel",Settings!$C$9="Yes"))),1,0)</f>
        <v/>
      </c>
      <c r="L1194">
        <f>IF(AND(H1194="",F1194="Attended"),1,0)</f>
        <v/>
      </c>
      <c r="M1194">
        <f>IF(AND(H1194="",OR(F1194="No-show",F1194="Late cancel")),1,0)</f>
        <v/>
      </c>
      <c r="N1194">
        <f>IF(AND(H1194="",F1194="",D1194&lt;&gt;"",I1194&gt;=TODAY()),ROUND((I1194+IF(ISNUMBER(C1194),MOD(C1194,1),0))*1440,0)*10000+ROW(),"")</f>
        <v/>
      </c>
    </row>
    <row r="1195">
      <c r="A1195" s="1" t="n"/>
      <c r="B1195" s="17" t="n"/>
      <c r="C1195" s="18" t="n"/>
      <c r="D1195" s="19" t="n"/>
      <c r="E1195" s="20" t="n"/>
      <c r="F1195" s="20" t="n"/>
      <c r="G1195" s="21" t="n"/>
      <c r="H1195" s="12">
        <f>IF(AND(B1195="",D1195="",F1195=""),"",IF(NOT(ISNUMBER(B1195)),"Needs a date",IF(D1195="","Needs a client",IF(COUNTIF(Clients!$B$6:$B$105,D1195)=0,"Not on Clients",IF(AND(F1195="",INT(B1195)&lt;TODAY()),"Needs a status","")))))</f>
        <v/>
      </c>
      <c r="I1195" s="1">
        <f>IF(ISNUMBER(B1195),INT(B1195),0)</f>
        <v/>
      </c>
      <c r="J1195">
        <f>IF(ISNUMBER(B1195),YEAR(B1195)*100+MONTH(B1195),"")</f>
        <v/>
      </c>
      <c r="K1195">
        <f>IF(AND(H1195="",OR(F1195="Attended",F1195="No-show",AND(F1195="Late cancel",Settings!$C$9="Yes"))),1,0)</f>
        <v/>
      </c>
      <c r="L1195">
        <f>IF(AND(H1195="",F1195="Attended"),1,0)</f>
        <v/>
      </c>
      <c r="M1195">
        <f>IF(AND(H1195="",OR(F1195="No-show",F1195="Late cancel")),1,0)</f>
        <v/>
      </c>
      <c r="N1195">
        <f>IF(AND(H1195="",F1195="",D1195&lt;&gt;"",I1195&gt;=TODAY()),ROUND((I1195+IF(ISNUMBER(C1195),MOD(C1195,1),0))*1440,0)*10000+ROW(),"")</f>
        <v/>
      </c>
    </row>
    <row r="1196">
      <c r="A1196" s="1" t="n"/>
      <c r="B1196" s="17" t="n"/>
      <c r="C1196" s="18" t="n"/>
      <c r="D1196" s="19" t="n"/>
      <c r="E1196" s="20" t="n"/>
      <c r="F1196" s="20" t="n"/>
      <c r="G1196" s="21" t="n"/>
      <c r="H1196" s="12">
        <f>IF(AND(B1196="",D1196="",F1196=""),"",IF(NOT(ISNUMBER(B1196)),"Needs a date",IF(D1196="","Needs a client",IF(COUNTIF(Clients!$B$6:$B$105,D1196)=0,"Not on Clients",IF(AND(F1196="",INT(B1196)&lt;TODAY()),"Needs a status","")))))</f>
        <v/>
      </c>
      <c r="I1196" s="1">
        <f>IF(ISNUMBER(B1196),INT(B1196),0)</f>
        <v/>
      </c>
      <c r="J1196">
        <f>IF(ISNUMBER(B1196),YEAR(B1196)*100+MONTH(B1196),"")</f>
        <v/>
      </c>
      <c r="K1196">
        <f>IF(AND(H1196="",OR(F1196="Attended",F1196="No-show",AND(F1196="Late cancel",Settings!$C$9="Yes"))),1,0)</f>
        <v/>
      </c>
      <c r="L1196">
        <f>IF(AND(H1196="",F1196="Attended"),1,0)</f>
        <v/>
      </c>
      <c r="M1196">
        <f>IF(AND(H1196="",OR(F1196="No-show",F1196="Late cancel")),1,0)</f>
        <v/>
      </c>
      <c r="N1196">
        <f>IF(AND(H1196="",F1196="",D1196&lt;&gt;"",I1196&gt;=TODAY()),ROUND((I1196+IF(ISNUMBER(C1196),MOD(C1196,1),0))*1440,0)*10000+ROW(),"")</f>
        <v/>
      </c>
    </row>
    <row r="1197">
      <c r="A1197" s="1" t="n"/>
      <c r="B1197" s="17" t="n"/>
      <c r="C1197" s="18" t="n"/>
      <c r="D1197" s="19" t="n"/>
      <c r="E1197" s="20" t="n"/>
      <c r="F1197" s="20" t="n"/>
      <c r="G1197" s="21" t="n"/>
      <c r="H1197" s="12">
        <f>IF(AND(B1197="",D1197="",F1197=""),"",IF(NOT(ISNUMBER(B1197)),"Needs a date",IF(D1197="","Needs a client",IF(COUNTIF(Clients!$B$6:$B$105,D1197)=0,"Not on Clients",IF(AND(F1197="",INT(B1197)&lt;TODAY()),"Needs a status","")))))</f>
        <v/>
      </c>
      <c r="I1197" s="1">
        <f>IF(ISNUMBER(B1197),INT(B1197),0)</f>
        <v/>
      </c>
      <c r="J1197">
        <f>IF(ISNUMBER(B1197),YEAR(B1197)*100+MONTH(B1197),"")</f>
        <v/>
      </c>
      <c r="K1197">
        <f>IF(AND(H1197="",OR(F1197="Attended",F1197="No-show",AND(F1197="Late cancel",Settings!$C$9="Yes"))),1,0)</f>
        <v/>
      </c>
      <c r="L1197">
        <f>IF(AND(H1197="",F1197="Attended"),1,0)</f>
        <v/>
      </c>
      <c r="M1197">
        <f>IF(AND(H1197="",OR(F1197="No-show",F1197="Late cancel")),1,0)</f>
        <v/>
      </c>
      <c r="N1197">
        <f>IF(AND(H1197="",F1197="",D1197&lt;&gt;"",I1197&gt;=TODAY()),ROUND((I1197+IF(ISNUMBER(C1197),MOD(C1197,1),0))*1440,0)*10000+ROW(),"")</f>
        <v/>
      </c>
    </row>
    <row r="1198">
      <c r="A1198" s="1" t="n"/>
      <c r="B1198" s="17" t="n"/>
      <c r="C1198" s="18" t="n"/>
      <c r="D1198" s="19" t="n"/>
      <c r="E1198" s="20" t="n"/>
      <c r="F1198" s="20" t="n"/>
      <c r="G1198" s="21" t="n"/>
      <c r="H1198" s="12">
        <f>IF(AND(B1198="",D1198="",F1198=""),"",IF(NOT(ISNUMBER(B1198)),"Needs a date",IF(D1198="","Needs a client",IF(COUNTIF(Clients!$B$6:$B$105,D1198)=0,"Not on Clients",IF(AND(F1198="",INT(B1198)&lt;TODAY()),"Needs a status","")))))</f>
        <v/>
      </c>
      <c r="I1198" s="1">
        <f>IF(ISNUMBER(B1198),INT(B1198),0)</f>
        <v/>
      </c>
      <c r="J1198">
        <f>IF(ISNUMBER(B1198),YEAR(B1198)*100+MONTH(B1198),"")</f>
        <v/>
      </c>
      <c r="K1198">
        <f>IF(AND(H1198="",OR(F1198="Attended",F1198="No-show",AND(F1198="Late cancel",Settings!$C$9="Yes"))),1,0)</f>
        <v/>
      </c>
      <c r="L1198">
        <f>IF(AND(H1198="",F1198="Attended"),1,0)</f>
        <v/>
      </c>
      <c r="M1198">
        <f>IF(AND(H1198="",OR(F1198="No-show",F1198="Late cancel")),1,0)</f>
        <v/>
      </c>
      <c r="N1198">
        <f>IF(AND(H1198="",F1198="",D1198&lt;&gt;"",I1198&gt;=TODAY()),ROUND((I1198+IF(ISNUMBER(C1198),MOD(C1198,1),0))*1440,0)*10000+ROW(),"")</f>
        <v/>
      </c>
    </row>
    <row r="1199">
      <c r="A1199" s="1" t="n"/>
      <c r="B1199" s="17" t="n"/>
      <c r="C1199" s="18" t="n"/>
      <c r="D1199" s="19" t="n"/>
      <c r="E1199" s="20" t="n"/>
      <c r="F1199" s="20" t="n"/>
      <c r="G1199" s="21" t="n"/>
      <c r="H1199" s="12">
        <f>IF(AND(B1199="",D1199="",F1199=""),"",IF(NOT(ISNUMBER(B1199)),"Needs a date",IF(D1199="","Needs a client",IF(COUNTIF(Clients!$B$6:$B$105,D1199)=0,"Not on Clients",IF(AND(F1199="",INT(B1199)&lt;TODAY()),"Needs a status","")))))</f>
        <v/>
      </c>
      <c r="I1199" s="1">
        <f>IF(ISNUMBER(B1199),INT(B1199),0)</f>
        <v/>
      </c>
      <c r="J1199">
        <f>IF(ISNUMBER(B1199),YEAR(B1199)*100+MONTH(B1199),"")</f>
        <v/>
      </c>
      <c r="K1199">
        <f>IF(AND(H1199="",OR(F1199="Attended",F1199="No-show",AND(F1199="Late cancel",Settings!$C$9="Yes"))),1,0)</f>
        <v/>
      </c>
      <c r="L1199">
        <f>IF(AND(H1199="",F1199="Attended"),1,0)</f>
        <v/>
      </c>
      <c r="M1199">
        <f>IF(AND(H1199="",OR(F1199="No-show",F1199="Late cancel")),1,0)</f>
        <v/>
      </c>
      <c r="N1199">
        <f>IF(AND(H1199="",F1199="",D1199&lt;&gt;"",I1199&gt;=TODAY()),ROUND((I1199+IF(ISNUMBER(C1199),MOD(C1199,1),0))*1440,0)*10000+ROW(),"")</f>
        <v/>
      </c>
    </row>
    <row r="1200">
      <c r="A1200" s="1" t="n"/>
      <c r="B1200" s="17" t="n"/>
      <c r="C1200" s="18" t="n"/>
      <c r="D1200" s="19" t="n"/>
      <c r="E1200" s="20" t="n"/>
      <c r="F1200" s="20" t="n"/>
      <c r="G1200" s="21" t="n"/>
      <c r="H1200" s="12">
        <f>IF(AND(B1200="",D1200="",F1200=""),"",IF(NOT(ISNUMBER(B1200)),"Needs a date",IF(D1200="","Needs a client",IF(COUNTIF(Clients!$B$6:$B$105,D1200)=0,"Not on Clients",IF(AND(F1200="",INT(B1200)&lt;TODAY()),"Needs a status","")))))</f>
        <v/>
      </c>
      <c r="I1200" s="1">
        <f>IF(ISNUMBER(B1200),INT(B1200),0)</f>
        <v/>
      </c>
      <c r="J1200">
        <f>IF(ISNUMBER(B1200),YEAR(B1200)*100+MONTH(B1200),"")</f>
        <v/>
      </c>
      <c r="K1200">
        <f>IF(AND(H1200="",OR(F1200="Attended",F1200="No-show",AND(F1200="Late cancel",Settings!$C$9="Yes"))),1,0)</f>
        <v/>
      </c>
      <c r="L1200">
        <f>IF(AND(H1200="",F1200="Attended"),1,0)</f>
        <v/>
      </c>
      <c r="M1200">
        <f>IF(AND(H1200="",OR(F1200="No-show",F1200="Late cancel")),1,0)</f>
        <v/>
      </c>
      <c r="N1200">
        <f>IF(AND(H1200="",F1200="",D1200&lt;&gt;"",I1200&gt;=TODAY()),ROUND((I1200+IF(ISNUMBER(C1200),MOD(C1200,1),0))*1440,0)*10000+ROW(),"")</f>
        <v/>
      </c>
    </row>
    <row r="1201">
      <c r="A1201" s="1" t="n"/>
      <c r="B1201" s="17" t="n"/>
      <c r="C1201" s="18" t="n"/>
      <c r="D1201" s="19" t="n"/>
      <c r="E1201" s="20" t="n"/>
      <c r="F1201" s="20" t="n"/>
      <c r="G1201" s="21" t="n"/>
      <c r="H1201" s="12">
        <f>IF(AND(B1201="",D1201="",F1201=""),"",IF(NOT(ISNUMBER(B1201)),"Needs a date",IF(D1201="","Needs a client",IF(COUNTIF(Clients!$B$6:$B$105,D1201)=0,"Not on Clients",IF(AND(F1201="",INT(B1201)&lt;TODAY()),"Needs a status","")))))</f>
        <v/>
      </c>
      <c r="I1201" s="1">
        <f>IF(ISNUMBER(B1201),INT(B1201),0)</f>
        <v/>
      </c>
      <c r="J1201">
        <f>IF(ISNUMBER(B1201),YEAR(B1201)*100+MONTH(B1201),"")</f>
        <v/>
      </c>
      <c r="K1201">
        <f>IF(AND(H1201="",OR(F1201="Attended",F1201="No-show",AND(F1201="Late cancel",Settings!$C$9="Yes"))),1,0)</f>
        <v/>
      </c>
      <c r="L1201">
        <f>IF(AND(H1201="",F1201="Attended"),1,0)</f>
        <v/>
      </c>
      <c r="M1201">
        <f>IF(AND(H1201="",OR(F1201="No-show",F1201="Late cancel")),1,0)</f>
        <v/>
      </c>
      <c r="N1201">
        <f>IF(AND(H1201="",F1201="",D1201&lt;&gt;"",I1201&gt;=TODAY()),ROUND((I1201+IF(ISNUMBER(C1201),MOD(C1201,1),0))*1440,0)*10000+ROW(),"")</f>
        <v/>
      </c>
    </row>
    <row r="1202">
      <c r="A1202" s="1" t="n"/>
      <c r="B1202" s="17" t="n"/>
      <c r="C1202" s="18" t="n"/>
      <c r="D1202" s="19" t="n"/>
      <c r="E1202" s="20" t="n"/>
      <c r="F1202" s="20" t="n"/>
      <c r="G1202" s="21" t="n"/>
      <c r="H1202" s="12">
        <f>IF(AND(B1202="",D1202="",F1202=""),"",IF(NOT(ISNUMBER(B1202)),"Needs a date",IF(D1202="","Needs a client",IF(COUNTIF(Clients!$B$6:$B$105,D1202)=0,"Not on Clients",IF(AND(F1202="",INT(B1202)&lt;TODAY()),"Needs a status","")))))</f>
        <v/>
      </c>
      <c r="I1202" s="1">
        <f>IF(ISNUMBER(B1202),INT(B1202),0)</f>
        <v/>
      </c>
      <c r="J1202">
        <f>IF(ISNUMBER(B1202),YEAR(B1202)*100+MONTH(B1202),"")</f>
        <v/>
      </c>
      <c r="K1202">
        <f>IF(AND(H1202="",OR(F1202="Attended",F1202="No-show",AND(F1202="Late cancel",Settings!$C$9="Yes"))),1,0)</f>
        <v/>
      </c>
      <c r="L1202">
        <f>IF(AND(H1202="",F1202="Attended"),1,0)</f>
        <v/>
      </c>
      <c r="M1202">
        <f>IF(AND(H1202="",OR(F1202="No-show",F1202="Late cancel")),1,0)</f>
        <v/>
      </c>
      <c r="N1202">
        <f>IF(AND(H1202="",F1202="",D1202&lt;&gt;"",I1202&gt;=TODAY()),ROUND((I1202+IF(ISNUMBER(C1202),MOD(C1202,1),0))*1440,0)*10000+ROW(),"")</f>
        <v/>
      </c>
    </row>
    <row r="1203">
      <c r="A1203" s="1" t="n"/>
      <c r="B1203" s="17" t="n"/>
      <c r="C1203" s="18" t="n"/>
      <c r="D1203" s="19" t="n"/>
      <c r="E1203" s="20" t="n"/>
      <c r="F1203" s="20" t="n"/>
      <c r="G1203" s="21" t="n"/>
      <c r="H1203" s="12">
        <f>IF(AND(B1203="",D1203="",F1203=""),"",IF(NOT(ISNUMBER(B1203)),"Needs a date",IF(D1203="","Needs a client",IF(COUNTIF(Clients!$B$6:$B$105,D1203)=0,"Not on Clients",IF(AND(F1203="",INT(B1203)&lt;TODAY()),"Needs a status","")))))</f>
        <v/>
      </c>
      <c r="I1203" s="1">
        <f>IF(ISNUMBER(B1203),INT(B1203),0)</f>
        <v/>
      </c>
      <c r="J1203">
        <f>IF(ISNUMBER(B1203),YEAR(B1203)*100+MONTH(B1203),"")</f>
        <v/>
      </c>
      <c r="K1203">
        <f>IF(AND(H1203="",OR(F1203="Attended",F1203="No-show",AND(F1203="Late cancel",Settings!$C$9="Yes"))),1,0)</f>
        <v/>
      </c>
      <c r="L1203">
        <f>IF(AND(H1203="",F1203="Attended"),1,0)</f>
        <v/>
      </c>
      <c r="M1203">
        <f>IF(AND(H1203="",OR(F1203="No-show",F1203="Late cancel")),1,0)</f>
        <v/>
      </c>
      <c r="N1203">
        <f>IF(AND(H1203="",F1203="",D1203&lt;&gt;"",I1203&gt;=TODAY()),ROUND((I1203+IF(ISNUMBER(C1203),MOD(C1203,1),0))*1440,0)*10000+ROW(),"")</f>
        <v/>
      </c>
    </row>
    <row r="1204">
      <c r="A1204" s="1" t="n"/>
      <c r="B1204" s="17" t="n"/>
      <c r="C1204" s="18" t="n"/>
      <c r="D1204" s="19" t="n"/>
      <c r="E1204" s="20" t="n"/>
      <c r="F1204" s="20" t="n"/>
      <c r="G1204" s="21" t="n"/>
      <c r="H1204" s="12">
        <f>IF(AND(B1204="",D1204="",F1204=""),"",IF(NOT(ISNUMBER(B1204)),"Needs a date",IF(D1204="","Needs a client",IF(COUNTIF(Clients!$B$6:$B$105,D1204)=0,"Not on Clients",IF(AND(F1204="",INT(B1204)&lt;TODAY()),"Needs a status","")))))</f>
        <v/>
      </c>
      <c r="I1204" s="1">
        <f>IF(ISNUMBER(B1204),INT(B1204),0)</f>
        <v/>
      </c>
      <c r="J1204">
        <f>IF(ISNUMBER(B1204),YEAR(B1204)*100+MONTH(B1204),"")</f>
        <v/>
      </c>
      <c r="K1204">
        <f>IF(AND(H1204="",OR(F1204="Attended",F1204="No-show",AND(F1204="Late cancel",Settings!$C$9="Yes"))),1,0)</f>
        <v/>
      </c>
      <c r="L1204">
        <f>IF(AND(H1204="",F1204="Attended"),1,0)</f>
        <v/>
      </c>
      <c r="M1204">
        <f>IF(AND(H1204="",OR(F1204="No-show",F1204="Late cancel")),1,0)</f>
        <v/>
      </c>
      <c r="N1204">
        <f>IF(AND(H1204="",F1204="",D1204&lt;&gt;"",I1204&gt;=TODAY()),ROUND((I1204+IF(ISNUMBER(C1204),MOD(C1204,1),0))*1440,0)*10000+ROW(),"")</f>
        <v/>
      </c>
    </row>
    <row r="1205">
      <c r="A1205" s="1" t="n"/>
      <c r="B1205" s="17" t="n"/>
      <c r="C1205" s="18" t="n"/>
      <c r="D1205" s="19" t="n"/>
      <c r="E1205" s="20" t="n"/>
      <c r="F1205" s="20" t="n"/>
      <c r="G1205" s="21" t="n"/>
      <c r="H1205" s="12">
        <f>IF(AND(B1205="",D1205="",F1205=""),"",IF(NOT(ISNUMBER(B1205)),"Needs a date",IF(D1205="","Needs a client",IF(COUNTIF(Clients!$B$6:$B$105,D1205)=0,"Not on Clients",IF(AND(F1205="",INT(B1205)&lt;TODAY()),"Needs a status","")))))</f>
        <v/>
      </c>
      <c r="I1205" s="1">
        <f>IF(ISNUMBER(B1205),INT(B1205),0)</f>
        <v/>
      </c>
      <c r="J1205">
        <f>IF(ISNUMBER(B1205),YEAR(B1205)*100+MONTH(B1205),"")</f>
        <v/>
      </c>
      <c r="K1205">
        <f>IF(AND(H1205="",OR(F1205="Attended",F1205="No-show",AND(F1205="Late cancel",Settings!$C$9="Yes"))),1,0)</f>
        <v/>
      </c>
      <c r="L1205">
        <f>IF(AND(H1205="",F1205="Attended"),1,0)</f>
        <v/>
      </c>
      <c r="M1205">
        <f>IF(AND(H1205="",OR(F1205="No-show",F1205="Late cancel")),1,0)</f>
        <v/>
      </c>
      <c r="N1205">
        <f>IF(AND(H1205="",F1205="",D1205&lt;&gt;"",I1205&gt;=TODAY()),ROUND((I1205+IF(ISNUMBER(C1205),MOD(C1205,1),0))*1440,0)*10000+ROW(),"")</f>
        <v/>
      </c>
    </row>
    <row r="1206">
      <c r="A1206" s="1" t="n"/>
      <c r="B1206" s="17" t="n"/>
      <c r="C1206" s="18" t="n"/>
      <c r="D1206" s="19" t="n"/>
      <c r="E1206" s="20" t="n"/>
      <c r="F1206" s="20" t="n"/>
      <c r="G1206" s="21" t="n"/>
      <c r="H1206" s="12">
        <f>IF(AND(B1206="",D1206="",F1206=""),"",IF(NOT(ISNUMBER(B1206)),"Needs a date",IF(D1206="","Needs a client",IF(COUNTIF(Clients!$B$6:$B$105,D1206)=0,"Not on Clients",IF(AND(F1206="",INT(B1206)&lt;TODAY()),"Needs a status","")))))</f>
        <v/>
      </c>
      <c r="I1206" s="1">
        <f>IF(ISNUMBER(B1206),INT(B1206),0)</f>
        <v/>
      </c>
      <c r="J1206">
        <f>IF(ISNUMBER(B1206),YEAR(B1206)*100+MONTH(B1206),"")</f>
        <v/>
      </c>
      <c r="K1206">
        <f>IF(AND(H1206="",OR(F1206="Attended",F1206="No-show",AND(F1206="Late cancel",Settings!$C$9="Yes"))),1,0)</f>
        <v/>
      </c>
      <c r="L1206">
        <f>IF(AND(H1206="",F1206="Attended"),1,0)</f>
        <v/>
      </c>
      <c r="M1206">
        <f>IF(AND(H1206="",OR(F1206="No-show",F1206="Late cancel")),1,0)</f>
        <v/>
      </c>
      <c r="N1206">
        <f>IF(AND(H1206="",F1206="",D1206&lt;&gt;"",I1206&gt;=TODAY()),ROUND((I1206+IF(ISNUMBER(C1206),MOD(C1206,1),0))*1440,0)*10000+ROW(),"")</f>
        <v/>
      </c>
    </row>
    <row r="1207">
      <c r="A1207" s="1" t="n"/>
      <c r="B1207" s="17" t="n"/>
      <c r="C1207" s="18" t="n"/>
      <c r="D1207" s="19" t="n"/>
      <c r="E1207" s="20" t="n"/>
      <c r="F1207" s="20" t="n"/>
      <c r="G1207" s="21" t="n"/>
      <c r="H1207" s="12">
        <f>IF(AND(B1207="",D1207="",F1207=""),"",IF(NOT(ISNUMBER(B1207)),"Needs a date",IF(D1207="","Needs a client",IF(COUNTIF(Clients!$B$6:$B$105,D1207)=0,"Not on Clients",IF(AND(F1207="",INT(B1207)&lt;TODAY()),"Needs a status","")))))</f>
        <v/>
      </c>
      <c r="I1207" s="1">
        <f>IF(ISNUMBER(B1207),INT(B1207),0)</f>
        <v/>
      </c>
      <c r="J1207">
        <f>IF(ISNUMBER(B1207),YEAR(B1207)*100+MONTH(B1207),"")</f>
        <v/>
      </c>
      <c r="K1207">
        <f>IF(AND(H1207="",OR(F1207="Attended",F1207="No-show",AND(F1207="Late cancel",Settings!$C$9="Yes"))),1,0)</f>
        <v/>
      </c>
      <c r="L1207">
        <f>IF(AND(H1207="",F1207="Attended"),1,0)</f>
        <v/>
      </c>
      <c r="M1207">
        <f>IF(AND(H1207="",OR(F1207="No-show",F1207="Late cancel")),1,0)</f>
        <v/>
      </c>
      <c r="N1207">
        <f>IF(AND(H1207="",F1207="",D1207&lt;&gt;"",I1207&gt;=TODAY()),ROUND((I1207+IF(ISNUMBER(C1207),MOD(C1207,1),0))*1440,0)*10000+ROW(),"")</f>
        <v/>
      </c>
    </row>
    <row r="1208">
      <c r="A1208" s="1" t="n"/>
      <c r="B1208" s="17" t="n"/>
      <c r="C1208" s="18" t="n"/>
      <c r="D1208" s="19" t="n"/>
      <c r="E1208" s="20" t="n"/>
      <c r="F1208" s="20" t="n"/>
      <c r="G1208" s="21" t="n"/>
      <c r="H1208" s="12">
        <f>IF(AND(B1208="",D1208="",F1208=""),"",IF(NOT(ISNUMBER(B1208)),"Needs a date",IF(D1208="","Needs a client",IF(COUNTIF(Clients!$B$6:$B$105,D1208)=0,"Not on Clients",IF(AND(F1208="",INT(B1208)&lt;TODAY()),"Needs a status","")))))</f>
        <v/>
      </c>
      <c r="I1208" s="1">
        <f>IF(ISNUMBER(B1208),INT(B1208),0)</f>
        <v/>
      </c>
      <c r="J1208">
        <f>IF(ISNUMBER(B1208),YEAR(B1208)*100+MONTH(B1208),"")</f>
        <v/>
      </c>
      <c r="K1208">
        <f>IF(AND(H1208="",OR(F1208="Attended",F1208="No-show",AND(F1208="Late cancel",Settings!$C$9="Yes"))),1,0)</f>
        <v/>
      </c>
      <c r="L1208">
        <f>IF(AND(H1208="",F1208="Attended"),1,0)</f>
        <v/>
      </c>
      <c r="M1208">
        <f>IF(AND(H1208="",OR(F1208="No-show",F1208="Late cancel")),1,0)</f>
        <v/>
      </c>
      <c r="N1208">
        <f>IF(AND(H1208="",F1208="",D1208&lt;&gt;"",I1208&gt;=TODAY()),ROUND((I1208+IF(ISNUMBER(C1208),MOD(C1208,1),0))*1440,0)*10000+ROW(),"")</f>
        <v/>
      </c>
    </row>
    <row r="1209">
      <c r="A1209" s="1" t="n"/>
      <c r="B1209" s="17" t="n"/>
      <c r="C1209" s="18" t="n"/>
      <c r="D1209" s="19" t="n"/>
      <c r="E1209" s="20" t="n"/>
      <c r="F1209" s="20" t="n"/>
      <c r="G1209" s="21" t="n"/>
      <c r="H1209" s="12">
        <f>IF(AND(B1209="",D1209="",F1209=""),"",IF(NOT(ISNUMBER(B1209)),"Needs a date",IF(D1209="","Needs a client",IF(COUNTIF(Clients!$B$6:$B$105,D1209)=0,"Not on Clients",IF(AND(F1209="",INT(B1209)&lt;TODAY()),"Needs a status","")))))</f>
        <v/>
      </c>
      <c r="I1209" s="1">
        <f>IF(ISNUMBER(B1209),INT(B1209),0)</f>
        <v/>
      </c>
      <c r="J1209">
        <f>IF(ISNUMBER(B1209),YEAR(B1209)*100+MONTH(B1209),"")</f>
        <v/>
      </c>
      <c r="K1209">
        <f>IF(AND(H1209="",OR(F1209="Attended",F1209="No-show",AND(F1209="Late cancel",Settings!$C$9="Yes"))),1,0)</f>
        <v/>
      </c>
      <c r="L1209">
        <f>IF(AND(H1209="",F1209="Attended"),1,0)</f>
        <v/>
      </c>
      <c r="M1209">
        <f>IF(AND(H1209="",OR(F1209="No-show",F1209="Late cancel")),1,0)</f>
        <v/>
      </c>
      <c r="N1209">
        <f>IF(AND(H1209="",F1209="",D1209&lt;&gt;"",I1209&gt;=TODAY()),ROUND((I1209+IF(ISNUMBER(C1209),MOD(C1209,1),0))*1440,0)*10000+ROW(),"")</f>
        <v/>
      </c>
    </row>
    <row r="1210">
      <c r="A1210" s="1" t="n"/>
      <c r="B1210" s="17" t="n"/>
      <c r="C1210" s="18" t="n"/>
      <c r="D1210" s="19" t="n"/>
      <c r="E1210" s="20" t="n"/>
      <c r="F1210" s="20" t="n"/>
      <c r="G1210" s="21" t="n"/>
      <c r="H1210" s="12">
        <f>IF(AND(B1210="",D1210="",F1210=""),"",IF(NOT(ISNUMBER(B1210)),"Needs a date",IF(D1210="","Needs a client",IF(COUNTIF(Clients!$B$6:$B$105,D1210)=0,"Not on Clients",IF(AND(F1210="",INT(B1210)&lt;TODAY()),"Needs a status","")))))</f>
        <v/>
      </c>
      <c r="I1210" s="1">
        <f>IF(ISNUMBER(B1210),INT(B1210),0)</f>
        <v/>
      </c>
      <c r="J1210">
        <f>IF(ISNUMBER(B1210),YEAR(B1210)*100+MONTH(B1210),"")</f>
        <v/>
      </c>
      <c r="K1210">
        <f>IF(AND(H1210="",OR(F1210="Attended",F1210="No-show",AND(F1210="Late cancel",Settings!$C$9="Yes"))),1,0)</f>
        <v/>
      </c>
      <c r="L1210">
        <f>IF(AND(H1210="",F1210="Attended"),1,0)</f>
        <v/>
      </c>
      <c r="M1210">
        <f>IF(AND(H1210="",OR(F1210="No-show",F1210="Late cancel")),1,0)</f>
        <v/>
      </c>
      <c r="N1210">
        <f>IF(AND(H1210="",F1210="",D1210&lt;&gt;"",I1210&gt;=TODAY()),ROUND((I1210+IF(ISNUMBER(C1210),MOD(C1210,1),0))*1440,0)*10000+ROW(),"")</f>
        <v/>
      </c>
    </row>
    <row r="1211">
      <c r="A1211" s="1" t="n"/>
      <c r="B1211" s="17" t="n"/>
      <c r="C1211" s="18" t="n"/>
      <c r="D1211" s="19" t="n"/>
      <c r="E1211" s="20" t="n"/>
      <c r="F1211" s="20" t="n"/>
      <c r="G1211" s="21" t="n"/>
      <c r="H1211" s="12">
        <f>IF(AND(B1211="",D1211="",F1211=""),"",IF(NOT(ISNUMBER(B1211)),"Needs a date",IF(D1211="","Needs a client",IF(COUNTIF(Clients!$B$6:$B$105,D1211)=0,"Not on Clients",IF(AND(F1211="",INT(B1211)&lt;TODAY()),"Needs a status","")))))</f>
        <v/>
      </c>
      <c r="I1211" s="1">
        <f>IF(ISNUMBER(B1211),INT(B1211),0)</f>
        <v/>
      </c>
      <c r="J1211">
        <f>IF(ISNUMBER(B1211),YEAR(B1211)*100+MONTH(B1211),"")</f>
        <v/>
      </c>
      <c r="K1211">
        <f>IF(AND(H1211="",OR(F1211="Attended",F1211="No-show",AND(F1211="Late cancel",Settings!$C$9="Yes"))),1,0)</f>
        <v/>
      </c>
      <c r="L1211">
        <f>IF(AND(H1211="",F1211="Attended"),1,0)</f>
        <v/>
      </c>
      <c r="M1211">
        <f>IF(AND(H1211="",OR(F1211="No-show",F1211="Late cancel")),1,0)</f>
        <v/>
      </c>
      <c r="N1211">
        <f>IF(AND(H1211="",F1211="",D1211&lt;&gt;"",I1211&gt;=TODAY()),ROUND((I1211+IF(ISNUMBER(C1211),MOD(C1211,1),0))*1440,0)*10000+ROW(),"")</f>
        <v/>
      </c>
    </row>
    <row r="1212">
      <c r="A1212" s="1" t="n"/>
      <c r="B1212" s="17" t="n"/>
      <c r="C1212" s="18" t="n"/>
      <c r="D1212" s="19" t="n"/>
      <c r="E1212" s="20" t="n"/>
      <c r="F1212" s="20" t="n"/>
      <c r="G1212" s="21" t="n"/>
      <c r="H1212" s="12">
        <f>IF(AND(B1212="",D1212="",F1212=""),"",IF(NOT(ISNUMBER(B1212)),"Needs a date",IF(D1212="","Needs a client",IF(COUNTIF(Clients!$B$6:$B$105,D1212)=0,"Not on Clients",IF(AND(F1212="",INT(B1212)&lt;TODAY()),"Needs a status","")))))</f>
        <v/>
      </c>
      <c r="I1212" s="1">
        <f>IF(ISNUMBER(B1212),INT(B1212),0)</f>
        <v/>
      </c>
      <c r="J1212">
        <f>IF(ISNUMBER(B1212),YEAR(B1212)*100+MONTH(B1212),"")</f>
        <v/>
      </c>
      <c r="K1212">
        <f>IF(AND(H1212="",OR(F1212="Attended",F1212="No-show",AND(F1212="Late cancel",Settings!$C$9="Yes"))),1,0)</f>
        <v/>
      </c>
      <c r="L1212">
        <f>IF(AND(H1212="",F1212="Attended"),1,0)</f>
        <v/>
      </c>
      <c r="M1212">
        <f>IF(AND(H1212="",OR(F1212="No-show",F1212="Late cancel")),1,0)</f>
        <v/>
      </c>
      <c r="N1212">
        <f>IF(AND(H1212="",F1212="",D1212&lt;&gt;"",I1212&gt;=TODAY()),ROUND((I1212+IF(ISNUMBER(C1212),MOD(C1212,1),0))*1440,0)*10000+ROW(),"")</f>
        <v/>
      </c>
    </row>
    <row r="1213">
      <c r="A1213" s="1" t="n"/>
      <c r="B1213" s="17" t="n"/>
      <c r="C1213" s="18" t="n"/>
      <c r="D1213" s="19" t="n"/>
      <c r="E1213" s="20" t="n"/>
      <c r="F1213" s="20" t="n"/>
      <c r="G1213" s="21" t="n"/>
      <c r="H1213" s="12">
        <f>IF(AND(B1213="",D1213="",F1213=""),"",IF(NOT(ISNUMBER(B1213)),"Needs a date",IF(D1213="","Needs a client",IF(COUNTIF(Clients!$B$6:$B$105,D1213)=0,"Not on Clients",IF(AND(F1213="",INT(B1213)&lt;TODAY()),"Needs a status","")))))</f>
        <v/>
      </c>
      <c r="I1213" s="1">
        <f>IF(ISNUMBER(B1213),INT(B1213),0)</f>
        <v/>
      </c>
      <c r="J1213">
        <f>IF(ISNUMBER(B1213),YEAR(B1213)*100+MONTH(B1213),"")</f>
        <v/>
      </c>
      <c r="K1213">
        <f>IF(AND(H1213="",OR(F1213="Attended",F1213="No-show",AND(F1213="Late cancel",Settings!$C$9="Yes"))),1,0)</f>
        <v/>
      </c>
      <c r="L1213">
        <f>IF(AND(H1213="",F1213="Attended"),1,0)</f>
        <v/>
      </c>
      <c r="M1213">
        <f>IF(AND(H1213="",OR(F1213="No-show",F1213="Late cancel")),1,0)</f>
        <v/>
      </c>
      <c r="N1213">
        <f>IF(AND(H1213="",F1213="",D1213&lt;&gt;"",I1213&gt;=TODAY()),ROUND((I1213+IF(ISNUMBER(C1213),MOD(C1213,1),0))*1440,0)*10000+ROW(),"")</f>
        <v/>
      </c>
    </row>
    <row r="1214">
      <c r="A1214" s="1" t="n"/>
      <c r="B1214" s="17" t="n"/>
      <c r="C1214" s="18" t="n"/>
      <c r="D1214" s="19" t="n"/>
      <c r="E1214" s="20" t="n"/>
      <c r="F1214" s="20" t="n"/>
      <c r="G1214" s="21" t="n"/>
      <c r="H1214" s="12">
        <f>IF(AND(B1214="",D1214="",F1214=""),"",IF(NOT(ISNUMBER(B1214)),"Needs a date",IF(D1214="","Needs a client",IF(COUNTIF(Clients!$B$6:$B$105,D1214)=0,"Not on Clients",IF(AND(F1214="",INT(B1214)&lt;TODAY()),"Needs a status","")))))</f>
        <v/>
      </c>
      <c r="I1214" s="1">
        <f>IF(ISNUMBER(B1214),INT(B1214),0)</f>
        <v/>
      </c>
      <c r="J1214">
        <f>IF(ISNUMBER(B1214),YEAR(B1214)*100+MONTH(B1214),"")</f>
        <v/>
      </c>
      <c r="K1214">
        <f>IF(AND(H1214="",OR(F1214="Attended",F1214="No-show",AND(F1214="Late cancel",Settings!$C$9="Yes"))),1,0)</f>
        <v/>
      </c>
      <c r="L1214">
        <f>IF(AND(H1214="",F1214="Attended"),1,0)</f>
        <v/>
      </c>
      <c r="M1214">
        <f>IF(AND(H1214="",OR(F1214="No-show",F1214="Late cancel")),1,0)</f>
        <v/>
      </c>
      <c r="N1214">
        <f>IF(AND(H1214="",F1214="",D1214&lt;&gt;"",I1214&gt;=TODAY()),ROUND((I1214+IF(ISNUMBER(C1214),MOD(C1214,1),0))*1440,0)*10000+ROW(),"")</f>
        <v/>
      </c>
    </row>
    <row r="1215">
      <c r="A1215" s="1" t="n"/>
      <c r="B1215" s="17" t="n"/>
      <c r="C1215" s="18" t="n"/>
      <c r="D1215" s="19" t="n"/>
      <c r="E1215" s="20" t="n"/>
      <c r="F1215" s="20" t="n"/>
      <c r="G1215" s="21" t="n"/>
      <c r="H1215" s="12">
        <f>IF(AND(B1215="",D1215="",F1215=""),"",IF(NOT(ISNUMBER(B1215)),"Needs a date",IF(D1215="","Needs a client",IF(COUNTIF(Clients!$B$6:$B$105,D1215)=0,"Not on Clients",IF(AND(F1215="",INT(B1215)&lt;TODAY()),"Needs a status","")))))</f>
        <v/>
      </c>
      <c r="I1215" s="1">
        <f>IF(ISNUMBER(B1215),INT(B1215),0)</f>
        <v/>
      </c>
      <c r="J1215">
        <f>IF(ISNUMBER(B1215),YEAR(B1215)*100+MONTH(B1215),"")</f>
        <v/>
      </c>
      <c r="K1215">
        <f>IF(AND(H1215="",OR(F1215="Attended",F1215="No-show",AND(F1215="Late cancel",Settings!$C$9="Yes"))),1,0)</f>
        <v/>
      </c>
      <c r="L1215">
        <f>IF(AND(H1215="",F1215="Attended"),1,0)</f>
        <v/>
      </c>
      <c r="M1215">
        <f>IF(AND(H1215="",OR(F1215="No-show",F1215="Late cancel")),1,0)</f>
        <v/>
      </c>
      <c r="N1215">
        <f>IF(AND(H1215="",F1215="",D1215&lt;&gt;"",I1215&gt;=TODAY()),ROUND((I1215+IF(ISNUMBER(C1215),MOD(C1215,1),0))*1440,0)*10000+ROW(),"")</f>
        <v/>
      </c>
    </row>
    <row r="1216">
      <c r="A1216" s="1" t="n"/>
      <c r="B1216" s="17" t="n"/>
      <c r="C1216" s="18" t="n"/>
      <c r="D1216" s="19" t="n"/>
      <c r="E1216" s="20" t="n"/>
      <c r="F1216" s="20" t="n"/>
      <c r="G1216" s="21" t="n"/>
      <c r="H1216" s="12">
        <f>IF(AND(B1216="",D1216="",F1216=""),"",IF(NOT(ISNUMBER(B1216)),"Needs a date",IF(D1216="","Needs a client",IF(COUNTIF(Clients!$B$6:$B$105,D1216)=0,"Not on Clients",IF(AND(F1216="",INT(B1216)&lt;TODAY()),"Needs a status","")))))</f>
        <v/>
      </c>
      <c r="I1216" s="1">
        <f>IF(ISNUMBER(B1216),INT(B1216),0)</f>
        <v/>
      </c>
      <c r="J1216">
        <f>IF(ISNUMBER(B1216),YEAR(B1216)*100+MONTH(B1216),"")</f>
        <v/>
      </c>
      <c r="K1216">
        <f>IF(AND(H1216="",OR(F1216="Attended",F1216="No-show",AND(F1216="Late cancel",Settings!$C$9="Yes"))),1,0)</f>
        <v/>
      </c>
      <c r="L1216">
        <f>IF(AND(H1216="",F1216="Attended"),1,0)</f>
        <v/>
      </c>
      <c r="M1216">
        <f>IF(AND(H1216="",OR(F1216="No-show",F1216="Late cancel")),1,0)</f>
        <v/>
      </c>
      <c r="N1216">
        <f>IF(AND(H1216="",F1216="",D1216&lt;&gt;"",I1216&gt;=TODAY()),ROUND((I1216+IF(ISNUMBER(C1216),MOD(C1216,1),0))*1440,0)*10000+ROW(),"")</f>
        <v/>
      </c>
    </row>
    <row r="1217">
      <c r="A1217" s="1" t="n"/>
      <c r="B1217" s="17" t="n"/>
      <c r="C1217" s="18" t="n"/>
      <c r="D1217" s="19" t="n"/>
      <c r="E1217" s="20" t="n"/>
      <c r="F1217" s="20" t="n"/>
      <c r="G1217" s="21" t="n"/>
      <c r="H1217" s="12">
        <f>IF(AND(B1217="",D1217="",F1217=""),"",IF(NOT(ISNUMBER(B1217)),"Needs a date",IF(D1217="","Needs a client",IF(COUNTIF(Clients!$B$6:$B$105,D1217)=0,"Not on Clients",IF(AND(F1217="",INT(B1217)&lt;TODAY()),"Needs a status","")))))</f>
        <v/>
      </c>
      <c r="I1217" s="1">
        <f>IF(ISNUMBER(B1217),INT(B1217),0)</f>
        <v/>
      </c>
      <c r="J1217">
        <f>IF(ISNUMBER(B1217),YEAR(B1217)*100+MONTH(B1217),"")</f>
        <v/>
      </c>
      <c r="K1217">
        <f>IF(AND(H1217="",OR(F1217="Attended",F1217="No-show",AND(F1217="Late cancel",Settings!$C$9="Yes"))),1,0)</f>
        <v/>
      </c>
      <c r="L1217">
        <f>IF(AND(H1217="",F1217="Attended"),1,0)</f>
        <v/>
      </c>
      <c r="M1217">
        <f>IF(AND(H1217="",OR(F1217="No-show",F1217="Late cancel")),1,0)</f>
        <v/>
      </c>
      <c r="N1217">
        <f>IF(AND(H1217="",F1217="",D1217&lt;&gt;"",I1217&gt;=TODAY()),ROUND((I1217+IF(ISNUMBER(C1217),MOD(C1217,1),0))*1440,0)*10000+ROW(),"")</f>
        <v/>
      </c>
    </row>
    <row r="1218">
      <c r="A1218" s="1" t="n"/>
      <c r="B1218" s="17" t="n"/>
      <c r="C1218" s="18" t="n"/>
      <c r="D1218" s="19" t="n"/>
      <c r="E1218" s="20" t="n"/>
      <c r="F1218" s="20" t="n"/>
      <c r="G1218" s="21" t="n"/>
      <c r="H1218" s="12">
        <f>IF(AND(B1218="",D1218="",F1218=""),"",IF(NOT(ISNUMBER(B1218)),"Needs a date",IF(D1218="","Needs a client",IF(COUNTIF(Clients!$B$6:$B$105,D1218)=0,"Not on Clients",IF(AND(F1218="",INT(B1218)&lt;TODAY()),"Needs a status","")))))</f>
        <v/>
      </c>
      <c r="I1218" s="1">
        <f>IF(ISNUMBER(B1218),INT(B1218),0)</f>
        <v/>
      </c>
      <c r="J1218">
        <f>IF(ISNUMBER(B1218),YEAR(B1218)*100+MONTH(B1218),"")</f>
        <v/>
      </c>
      <c r="K1218">
        <f>IF(AND(H1218="",OR(F1218="Attended",F1218="No-show",AND(F1218="Late cancel",Settings!$C$9="Yes"))),1,0)</f>
        <v/>
      </c>
      <c r="L1218">
        <f>IF(AND(H1218="",F1218="Attended"),1,0)</f>
        <v/>
      </c>
      <c r="M1218">
        <f>IF(AND(H1218="",OR(F1218="No-show",F1218="Late cancel")),1,0)</f>
        <v/>
      </c>
      <c r="N1218">
        <f>IF(AND(H1218="",F1218="",D1218&lt;&gt;"",I1218&gt;=TODAY()),ROUND((I1218+IF(ISNUMBER(C1218),MOD(C1218,1),0))*1440,0)*10000+ROW(),"")</f>
        <v/>
      </c>
    </row>
    <row r="1219">
      <c r="A1219" s="1" t="n"/>
      <c r="B1219" s="17" t="n"/>
      <c r="C1219" s="18" t="n"/>
      <c r="D1219" s="19" t="n"/>
      <c r="E1219" s="20" t="n"/>
      <c r="F1219" s="20" t="n"/>
      <c r="G1219" s="21" t="n"/>
      <c r="H1219" s="12">
        <f>IF(AND(B1219="",D1219="",F1219=""),"",IF(NOT(ISNUMBER(B1219)),"Needs a date",IF(D1219="","Needs a client",IF(COUNTIF(Clients!$B$6:$B$105,D1219)=0,"Not on Clients",IF(AND(F1219="",INT(B1219)&lt;TODAY()),"Needs a status","")))))</f>
        <v/>
      </c>
      <c r="I1219" s="1">
        <f>IF(ISNUMBER(B1219),INT(B1219),0)</f>
        <v/>
      </c>
      <c r="J1219">
        <f>IF(ISNUMBER(B1219),YEAR(B1219)*100+MONTH(B1219),"")</f>
        <v/>
      </c>
      <c r="K1219">
        <f>IF(AND(H1219="",OR(F1219="Attended",F1219="No-show",AND(F1219="Late cancel",Settings!$C$9="Yes"))),1,0)</f>
        <v/>
      </c>
      <c r="L1219">
        <f>IF(AND(H1219="",F1219="Attended"),1,0)</f>
        <v/>
      </c>
      <c r="M1219">
        <f>IF(AND(H1219="",OR(F1219="No-show",F1219="Late cancel")),1,0)</f>
        <v/>
      </c>
      <c r="N1219">
        <f>IF(AND(H1219="",F1219="",D1219&lt;&gt;"",I1219&gt;=TODAY()),ROUND((I1219+IF(ISNUMBER(C1219),MOD(C1219,1),0))*1440,0)*10000+ROW(),"")</f>
        <v/>
      </c>
    </row>
    <row r="1220">
      <c r="A1220" s="1" t="n"/>
      <c r="B1220" s="17" t="n"/>
      <c r="C1220" s="18" t="n"/>
      <c r="D1220" s="19" t="n"/>
      <c r="E1220" s="20" t="n"/>
      <c r="F1220" s="20" t="n"/>
      <c r="G1220" s="21" t="n"/>
      <c r="H1220" s="12">
        <f>IF(AND(B1220="",D1220="",F1220=""),"",IF(NOT(ISNUMBER(B1220)),"Needs a date",IF(D1220="","Needs a client",IF(COUNTIF(Clients!$B$6:$B$105,D1220)=0,"Not on Clients",IF(AND(F1220="",INT(B1220)&lt;TODAY()),"Needs a status","")))))</f>
        <v/>
      </c>
      <c r="I1220" s="1">
        <f>IF(ISNUMBER(B1220),INT(B1220),0)</f>
        <v/>
      </c>
      <c r="J1220">
        <f>IF(ISNUMBER(B1220),YEAR(B1220)*100+MONTH(B1220),"")</f>
        <v/>
      </c>
      <c r="K1220">
        <f>IF(AND(H1220="",OR(F1220="Attended",F1220="No-show",AND(F1220="Late cancel",Settings!$C$9="Yes"))),1,0)</f>
        <v/>
      </c>
      <c r="L1220">
        <f>IF(AND(H1220="",F1220="Attended"),1,0)</f>
        <v/>
      </c>
      <c r="M1220">
        <f>IF(AND(H1220="",OR(F1220="No-show",F1220="Late cancel")),1,0)</f>
        <v/>
      </c>
      <c r="N1220">
        <f>IF(AND(H1220="",F1220="",D1220&lt;&gt;"",I1220&gt;=TODAY()),ROUND((I1220+IF(ISNUMBER(C1220),MOD(C1220,1),0))*1440,0)*10000+ROW(),"")</f>
        <v/>
      </c>
    </row>
    <row r="1221">
      <c r="A1221" s="1" t="n"/>
      <c r="B1221" s="17" t="n"/>
      <c r="C1221" s="18" t="n"/>
      <c r="D1221" s="19" t="n"/>
      <c r="E1221" s="20" t="n"/>
      <c r="F1221" s="20" t="n"/>
      <c r="G1221" s="21" t="n"/>
      <c r="H1221" s="12">
        <f>IF(AND(B1221="",D1221="",F1221=""),"",IF(NOT(ISNUMBER(B1221)),"Needs a date",IF(D1221="","Needs a client",IF(COUNTIF(Clients!$B$6:$B$105,D1221)=0,"Not on Clients",IF(AND(F1221="",INT(B1221)&lt;TODAY()),"Needs a status","")))))</f>
        <v/>
      </c>
      <c r="I1221" s="1">
        <f>IF(ISNUMBER(B1221),INT(B1221),0)</f>
        <v/>
      </c>
      <c r="J1221">
        <f>IF(ISNUMBER(B1221),YEAR(B1221)*100+MONTH(B1221),"")</f>
        <v/>
      </c>
      <c r="K1221">
        <f>IF(AND(H1221="",OR(F1221="Attended",F1221="No-show",AND(F1221="Late cancel",Settings!$C$9="Yes"))),1,0)</f>
        <v/>
      </c>
      <c r="L1221">
        <f>IF(AND(H1221="",F1221="Attended"),1,0)</f>
        <v/>
      </c>
      <c r="M1221">
        <f>IF(AND(H1221="",OR(F1221="No-show",F1221="Late cancel")),1,0)</f>
        <v/>
      </c>
      <c r="N1221">
        <f>IF(AND(H1221="",F1221="",D1221&lt;&gt;"",I1221&gt;=TODAY()),ROUND((I1221+IF(ISNUMBER(C1221),MOD(C1221,1),0))*1440,0)*10000+ROW(),"")</f>
        <v/>
      </c>
    </row>
    <row r="1222">
      <c r="A1222" s="1" t="n"/>
      <c r="B1222" s="17" t="n"/>
      <c r="C1222" s="18" t="n"/>
      <c r="D1222" s="19" t="n"/>
      <c r="E1222" s="20" t="n"/>
      <c r="F1222" s="20" t="n"/>
      <c r="G1222" s="21" t="n"/>
      <c r="H1222" s="12">
        <f>IF(AND(B1222="",D1222="",F1222=""),"",IF(NOT(ISNUMBER(B1222)),"Needs a date",IF(D1222="","Needs a client",IF(COUNTIF(Clients!$B$6:$B$105,D1222)=0,"Not on Clients",IF(AND(F1222="",INT(B1222)&lt;TODAY()),"Needs a status","")))))</f>
        <v/>
      </c>
      <c r="I1222" s="1">
        <f>IF(ISNUMBER(B1222),INT(B1222),0)</f>
        <v/>
      </c>
      <c r="J1222">
        <f>IF(ISNUMBER(B1222),YEAR(B1222)*100+MONTH(B1222),"")</f>
        <v/>
      </c>
      <c r="K1222">
        <f>IF(AND(H1222="",OR(F1222="Attended",F1222="No-show",AND(F1222="Late cancel",Settings!$C$9="Yes"))),1,0)</f>
        <v/>
      </c>
      <c r="L1222">
        <f>IF(AND(H1222="",F1222="Attended"),1,0)</f>
        <v/>
      </c>
      <c r="M1222">
        <f>IF(AND(H1222="",OR(F1222="No-show",F1222="Late cancel")),1,0)</f>
        <v/>
      </c>
      <c r="N1222">
        <f>IF(AND(H1222="",F1222="",D1222&lt;&gt;"",I1222&gt;=TODAY()),ROUND((I1222+IF(ISNUMBER(C1222),MOD(C1222,1),0))*1440,0)*10000+ROW(),"")</f>
        <v/>
      </c>
    </row>
    <row r="1223">
      <c r="A1223" s="1" t="n"/>
      <c r="B1223" s="17" t="n"/>
      <c r="C1223" s="18" t="n"/>
      <c r="D1223" s="19" t="n"/>
      <c r="E1223" s="20" t="n"/>
      <c r="F1223" s="20" t="n"/>
      <c r="G1223" s="21" t="n"/>
      <c r="H1223" s="12">
        <f>IF(AND(B1223="",D1223="",F1223=""),"",IF(NOT(ISNUMBER(B1223)),"Needs a date",IF(D1223="","Needs a client",IF(COUNTIF(Clients!$B$6:$B$105,D1223)=0,"Not on Clients",IF(AND(F1223="",INT(B1223)&lt;TODAY()),"Needs a status","")))))</f>
        <v/>
      </c>
      <c r="I1223" s="1">
        <f>IF(ISNUMBER(B1223),INT(B1223),0)</f>
        <v/>
      </c>
      <c r="J1223">
        <f>IF(ISNUMBER(B1223),YEAR(B1223)*100+MONTH(B1223),"")</f>
        <v/>
      </c>
      <c r="K1223">
        <f>IF(AND(H1223="",OR(F1223="Attended",F1223="No-show",AND(F1223="Late cancel",Settings!$C$9="Yes"))),1,0)</f>
        <v/>
      </c>
      <c r="L1223">
        <f>IF(AND(H1223="",F1223="Attended"),1,0)</f>
        <v/>
      </c>
      <c r="M1223">
        <f>IF(AND(H1223="",OR(F1223="No-show",F1223="Late cancel")),1,0)</f>
        <v/>
      </c>
      <c r="N1223">
        <f>IF(AND(H1223="",F1223="",D1223&lt;&gt;"",I1223&gt;=TODAY()),ROUND((I1223+IF(ISNUMBER(C1223),MOD(C1223,1),0))*1440,0)*10000+ROW(),"")</f>
        <v/>
      </c>
    </row>
    <row r="1224">
      <c r="A1224" s="1" t="n"/>
      <c r="B1224" s="17" t="n"/>
      <c r="C1224" s="18" t="n"/>
      <c r="D1224" s="19" t="n"/>
      <c r="E1224" s="20" t="n"/>
      <c r="F1224" s="20" t="n"/>
      <c r="G1224" s="21" t="n"/>
      <c r="H1224" s="12">
        <f>IF(AND(B1224="",D1224="",F1224=""),"",IF(NOT(ISNUMBER(B1224)),"Needs a date",IF(D1224="","Needs a client",IF(COUNTIF(Clients!$B$6:$B$105,D1224)=0,"Not on Clients",IF(AND(F1224="",INT(B1224)&lt;TODAY()),"Needs a status","")))))</f>
        <v/>
      </c>
      <c r="I1224" s="1">
        <f>IF(ISNUMBER(B1224),INT(B1224),0)</f>
        <v/>
      </c>
      <c r="J1224">
        <f>IF(ISNUMBER(B1224),YEAR(B1224)*100+MONTH(B1224),"")</f>
        <v/>
      </c>
      <c r="K1224">
        <f>IF(AND(H1224="",OR(F1224="Attended",F1224="No-show",AND(F1224="Late cancel",Settings!$C$9="Yes"))),1,0)</f>
        <v/>
      </c>
      <c r="L1224">
        <f>IF(AND(H1224="",F1224="Attended"),1,0)</f>
        <v/>
      </c>
      <c r="M1224">
        <f>IF(AND(H1224="",OR(F1224="No-show",F1224="Late cancel")),1,0)</f>
        <v/>
      </c>
      <c r="N1224">
        <f>IF(AND(H1224="",F1224="",D1224&lt;&gt;"",I1224&gt;=TODAY()),ROUND((I1224+IF(ISNUMBER(C1224),MOD(C1224,1),0))*1440,0)*10000+ROW(),"")</f>
        <v/>
      </c>
    </row>
    <row r="1225">
      <c r="A1225" s="1" t="n"/>
      <c r="B1225" s="17" t="n"/>
      <c r="C1225" s="18" t="n"/>
      <c r="D1225" s="19" t="n"/>
      <c r="E1225" s="20" t="n"/>
      <c r="F1225" s="20" t="n"/>
      <c r="G1225" s="21" t="n"/>
      <c r="H1225" s="12">
        <f>IF(AND(B1225="",D1225="",F1225=""),"",IF(NOT(ISNUMBER(B1225)),"Needs a date",IF(D1225="","Needs a client",IF(COUNTIF(Clients!$B$6:$B$105,D1225)=0,"Not on Clients",IF(AND(F1225="",INT(B1225)&lt;TODAY()),"Needs a status","")))))</f>
        <v/>
      </c>
      <c r="I1225" s="1">
        <f>IF(ISNUMBER(B1225),INT(B1225),0)</f>
        <v/>
      </c>
      <c r="J1225">
        <f>IF(ISNUMBER(B1225),YEAR(B1225)*100+MONTH(B1225),"")</f>
        <v/>
      </c>
      <c r="K1225">
        <f>IF(AND(H1225="",OR(F1225="Attended",F1225="No-show",AND(F1225="Late cancel",Settings!$C$9="Yes"))),1,0)</f>
        <v/>
      </c>
      <c r="L1225">
        <f>IF(AND(H1225="",F1225="Attended"),1,0)</f>
        <v/>
      </c>
      <c r="M1225">
        <f>IF(AND(H1225="",OR(F1225="No-show",F1225="Late cancel")),1,0)</f>
        <v/>
      </c>
      <c r="N1225">
        <f>IF(AND(H1225="",F1225="",D1225&lt;&gt;"",I1225&gt;=TODAY()),ROUND((I1225+IF(ISNUMBER(C1225),MOD(C1225,1),0))*1440,0)*10000+ROW(),"")</f>
        <v/>
      </c>
    </row>
    <row r="1226">
      <c r="A1226" s="1" t="n"/>
      <c r="B1226" s="17" t="n"/>
      <c r="C1226" s="18" t="n"/>
      <c r="D1226" s="19" t="n"/>
      <c r="E1226" s="20" t="n"/>
      <c r="F1226" s="20" t="n"/>
      <c r="G1226" s="21" t="n"/>
      <c r="H1226" s="12">
        <f>IF(AND(B1226="",D1226="",F1226=""),"",IF(NOT(ISNUMBER(B1226)),"Needs a date",IF(D1226="","Needs a client",IF(COUNTIF(Clients!$B$6:$B$105,D1226)=0,"Not on Clients",IF(AND(F1226="",INT(B1226)&lt;TODAY()),"Needs a status","")))))</f>
        <v/>
      </c>
      <c r="I1226" s="1">
        <f>IF(ISNUMBER(B1226),INT(B1226),0)</f>
        <v/>
      </c>
      <c r="J1226">
        <f>IF(ISNUMBER(B1226),YEAR(B1226)*100+MONTH(B1226),"")</f>
        <v/>
      </c>
      <c r="K1226">
        <f>IF(AND(H1226="",OR(F1226="Attended",F1226="No-show",AND(F1226="Late cancel",Settings!$C$9="Yes"))),1,0)</f>
        <v/>
      </c>
      <c r="L1226">
        <f>IF(AND(H1226="",F1226="Attended"),1,0)</f>
        <v/>
      </c>
      <c r="M1226">
        <f>IF(AND(H1226="",OR(F1226="No-show",F1226="Late cancel")),1,0)</f>
        <v/>
      </c>
      <c r="N1226">
        <f>IF(AND(H1226="",F1226="",D1226&lt;&gt;"",I1226&gt;=TODAY()),ROUND((I1226+IF(ISNUMBER(C1226),MOD(C1226,1),0))*1440,0)*10000+ROW(),"")</f>
        <v/>
      </c>
    </row>
    <row r="1227">
      <c r="A1227" s="1" t="n"/>
      <c r="B1227" s="17" t="n"/>
      <c r="C1227" s="18" t="n"/>
      <c r="D1227" s="19" t="n"/>
      <c r="E1227" s="20" t="n"/>
      <c r="F1227" s="20" t="n"/>
      <c r="G1227" s="21" t="n"/>
      <c r="H1227" s="12">
        <f>IF(AND(B1227="",D1227="",F1227=""),"",IF(NOT(ISNUMBER(B1227)),"Needs a date",IF(D1227="","Needs a client",IF(COUNTIF(Clients!$B$6:$B$105,D1227)=0,"Not on Clients",IF(AND(F1227="",INT(B1227)&lt;TODAY()),"Needs a status","")))))</f>
        <v/>
      </c>
      <c r="I1227" s="1">
        <f>IF(ISNUMBER(B1227),INT(B1227),0)</f>
        <v/>
      </c>
      <c r="J1227">
        <f>IF(ISNUMBER(B1227),YEAR(B1227)*100+MONTH(B1227),"")</f>
        <v/>
      </c>
      <c r="K1227">
        <f>IF(AND(H1227="",OR(F1227="Attended",F1227="No-show",AND(F1227="Late cancel",Settings!$C$9="Yes"))),1,0)</f>
        <v/>
      </c>
      <c r="L1227">
        <f>IF(AND(H1227="",F1227="Attended"),1,0)</f>
        <v/>
      </c>
      <c r="M1227">
        <f>IF(AND(H1227="",OR(F1227="No-show",F1227="Late cancel")),1,0)</f>
        <v/>
      </c>
      <c r="N1227">
        <f>IF(AND(H1227="",F1227="",D1227&lt;&gt;"",I1227&gt;=TODAY()),ROUND((I1227+IF(ISNUMBER(C1227),MOD(C1227,1),0))*1440,0)*10000+ROW(),"")</f>
        <v/>
      </c>
    </row>
    <row r="1228">
      <c r="A1228" s="1" t="n"/>
      <c r="B1228" s="17" t="n"/>
      <c r="C1228" s="18" t="n"/>
      <c r="D1228" s="19" t="n"/>
      <c r="E1228" s="20" t="n"/>
      <c r="F1228" s="20" t="n"/>
      <c r="G1228" s="21" t="n"/>
      <c r="H1228" s="12">
        <f>IF(AND(B1228="",D1228="",F1228=""),"",IF(NOT(ISNUMBER(B1228)),"Needs a date",IF(D1228="","Needs a client",IF(COUNTIF(Clients!$B$6:$B$105,D1228)=0,"Not on Clients",IF(AND(F1228="",INT(B1228)&lt;TODAY()),"Needs a status","")))))</f>
        <v/>
      </c>
      <c r="I1228" s="1">
        <f>IF(ISNUMBER(B1228),INT(B1228),0)</f>
        <v/>
      </c>
      <c r="J1228">
        <f>IF(ISNUMBER(B1228),YEAR(B1228)*100+MONTH(B1228),"")</f>
        <v/>
      </c>
      <c r="K1228">
        <f>IF(AND(H1228="",OR(F1228="Attended",F1228="No-show",AND(F1228="Late cancel",Settings!$C$9="Yes"))),1,0)</f>
        <v/>
      </c>
      <c r="L1228">
        <f>IF(AND(H1228="",F1228="Attended"),1,0)</f>
        <v/>
      </c>
      <c r="M1228">
        <f>IF(AND(H1228="",OR(F1228="No-show",F1228="Late cancel")),1,0)</f>
        <v/>
      </c>
      <c r="N1228">
        <f>IF(AND(H1228="",F1228="",D1228&lt;&gt;"",I1228&gt;=TODAY()),ROUND((I1228+IF(ISNUMBER(C1228),MOD(C1228,1),0))*1440,0)*10000+ROW(),"")</f>
        <v/>
      </c>
    </row>
    <row r="1229">
      <c r="A1229" s="1" t="n"/>
      <c r="B1229" s="17" t="n"/>
      <c r="C1229" s="18" t="n"/>
      <c r="D1229" s="19" t="n"/>
      <c r="E1229" s="20" t="n"/>
      <c r="F1229" s="20" t="n"/>
      <c r="G1229" s="21" t="n"/>
      <c r="H1229" s="12">
        <f>IF(AND(B1229="",D1229="",F1229=""),"",IF(NOT(ISNUMBER(B1229)),"Needs a date",IF(D1229="","Needs a client",IF(COUNTIF(Clients!$B$6:$B$105,D1229)=0,"Not on Clients",IF(AND(F1229="",INT(B1229)&lt;TODAY()),"Needs a status","")))))</f>
        <v/>
      </c>
      <c r="I1229" s="1">
        <f>IF(ISNUMBER(B1229),INT(B1229),0)</f>
        <v/>
      </c>
      <c r="J1229">
        <f>IF(ISNUMBER(B1229),YEAR(B1229)*100+MONTH(B1229),"")</f>
        <v/>
      </c>
      <c r="K1229">
        <f>IF(AND(H1229="",OR(F1229="Attended",F1229="No-show",AND(F1229="Late cancel",Settings!$C$9="Yes"))),1,0)</f>
        <v/>
      </c>
      <c r="L1229">
        <f>IF(AND(H1229="",F1229="Attended"),1,0)</f>
        <v/>
      </c>
      <c r="M1229">
        <f>IF(AND(H1229="",OR(F1229="No-show",F1229="Late cancel")),1,0)</f>
        <v/>
      </c>
      <c r="N1229">
        <f>IF(AND(H1229="",F1229="",D1229&lt;&gt;"",I1229&gt;=TODAY()),ROUND((I1229+IF(ISNUMBER(C1229),MOD(C1229,1),0))*1440,0)*10000+ROW(),"")</f>
        <v/>
      </c>
    </row>
    <row r="1230">
      <c r="A1230" s="1" t="n"/>
      <c r="B1230" s="17" t="n"/>
      <c r="C1230" s="18" t="n"/>
      <c r="D1230" s="19" t="n"/>
      <c r="E1230" s="20" t="n"/>
      <c r="F1230" s="20" t="n"/>
      <c r="G1230" s="21" t="n"/>
      <c r="H1230" s="12">
        <f>IF(AND(B1230="",D1230="",F1230=""),"",IF(NOT(ISNUMBER(B1230)),"Needs a date",IF(D1230="","Needs a client",IF(COUNTIF(Clients!$B$6:$B$105,D1230)=0,"Not on Clients",IF(AND(F1230="",INT(B1230)&lt;TODAY()),"Needs a status","")))))</f>
        <v/>
      </c>
      <c r="I1230" s="1">
        <f>IF(ISNUMBER(B1230),INT(B1230),0)</f>
        <v/>
      </c>
      <c r="J1230">
        <f>IF(ISNUMBER(B1230),YEAR(B1230)*100+MONTH(B1230),"")</f>
        <v/>
      </c>
      <c r="K1230">
        <f>IF(AND(H1230="",OR(F1230="Attended",F1230="No-show",AND(F1230="Late cancel",Settings!$C$9="Yes"))),1,0)</f>
        <v/>
      </c>
      <c r="L1230">
        <f>IF(AND(H1230="",F1230="Attended"),1,0)</f>
        <v/>
      </c>
      <c r="M1230">
        <f>IF(AND(H1230="",OR(F1230="No-show",F1230="Late cancel")),1,0)</f>
        <v/>
      </c>
      <c r="N1230">
        <f>IF(AND(H1230="",F1230="",D1230&lt;&gt;"",I1230&gt;=TODAY()),ROUND((I1230+IF(ISNUMBER(C1230),MOD(C1230,1),0))*1440,0)*10000+ROW(),"")</f>
        <v/>
      </c>
    </row>
    <row r="1231">
      <c r="A1231" s="1" t="n"/>
      <c r="B1231" s="17" t="n"/>
      <c r="C1231" s="18" t="n"/>
      <c r="D1231" s="19" t="n"/>
      <c r="E1231" s="20" t="n"/>
      <c r="F1231" s="20" t="n"/>
      <c r="G1231" s="21" t="n"/>
      <c r="H1231" s="12">
        <f>IF(AND(B1231="",D1231="",F1231=""),"",IF(NOT(ISNUMBER(B1231)),"Needs a date",IF(D1231="","Needs a client",IF(COUNTIF(Clients!$B$6:$B$105,D1231)=0,"Not on Clients",IF(AND(F1231="",INT(B1231)&lt;TODAY()),"Needs a status","")))))</f>
        <v/>
      </c>
      <c r="I1231" s="1">
        <f>IF(ISNUMBER(B1231),INT(B1231),0)</f>
        <v/>
      </c>
      <c r="J1231">
        <f>IF(ISNUMBER(B1231),YEAR(B1231)*100+MONTH(B1231),"")</f>
        <v/>
      </c>
      <c r="K1231">
        <f>IF(AND(H1231="",OR(F1231="Attended",F1231="No-show",AND(F1231="Late cancel",Settings!$C$9="Yes"))),1,0)</f>
        <v/>
      </c>
      <c r="L1231">
        <f>IF(AND(H1231="",F1231="Attended"),1,0)</f>
        <v/>
      </c>
      <c r="M1231">
        <f>IF(AND(H1231="",OR(F1231="No-show",F1231="Late cancel")),1,0)</f>
        <v/>
      </c>
      <c r="N1231">
        <f>IF(AND(H1231="",F1231="",D1231&lt;&gt;"",I1231&gt;=TODAY()),ROUND((I1231+IF(ISNUMBER(C1231),MOD(C1231,1),0))*1440,0)*10000+ROW(),"")</f>
        <v/>
      </c>
    </row>
    <row r="1232">
      <c r="A1232" s="1" t="n"/>
      <c r="B1232" s="17" t="n"/>
      <c r="C1232" s="18" t="n"/>
      <c r="D1232" s="19" t="n"/>
      <c r="E1232" s="20" t="n"/>
      <c r="F1232" s="20" t="n"/>
      <c r="G1232" s="21" t="n"/>
      <c r="H1232" s="12">
        <f>IF(AND(B1232="",D1232="",F1232=""),"",IF(NOT(ISNUMBER(B1232)),"Needs a date",IF(D1232="","Needs a client",IF(COUNTIF(Clients!$B$6:$B$105,D1232)=0,"Not on Clients",IF(AND(F1232="",INT(B1232)&lt;TODAY()),"Needs a status","")))))</f>
        <v/>
      </c>
      <c r="I1232" s="1">
        <f>IF(ISNUMBER(B1232),INT(B1232),0)</f>
        <v/>
      </c>
      <c r="J1232">
        <f>IF(ISNUMBER(B1232),YEAR(B1232)*100+MONTH(B1232),"")</f>
        <v/>
      </c>
      <c r="K1232">
        <f>IF(AND(H1232="",OR(F1232="Attended",F1232="No-show",AND(F1232="Late cancel",Settings!$C$9="Yes"))),1,0)</f>
        <v/>
      </c>
      <c r="L1232">
        <f>IF(AND(H1232="",F1232="Attended"),1,0)</f>
        <v/>
      </c>
      <c r="M1232">
        <f>IF(AND(H1232="",OR(F1232="No-show",F1232="Late cancel")),1,0)</f>
        <v/>
      </c>
      <c r="N1232">
        <f>IF(AND(H1232="",F1232="",D1232&lt;&gt;"",I1232&gt;=TODAY()),ROUND((I1232+IF(ISNUMBER(C1232),MOD(C1232,1),0))*1440,0)*10000+ROW(),"")</f>
        <v/>
      </c>
    </row>
    <row r="1233">
      <c r="A1233" s="1" t="n"/>
      <c r="B1233" s="17" t="n"/>
      <c r="C1233" s="18" t="n"/>
      <c r="D1233" s="19" t="n"/>
      <c r="E1233" s="20" t="n"/>
      <c r="F1233" s="20" t="n"/>
      <c r="G1233" s="21" t="n"/>
      <c r="H1233" s="12">
        <f>IF(AND(B1233="",D1233="",F1233=""),"",IF(NOT(ISNUMBER(B1233)),"Needs a date",IF(D1233="","Needs a client",IF(COUNTIF(Clients!$B$6:$B$105,D1233)=0,"Not on Clients",IF(AND(F1233="",INT(B1233)&lt;TODAY()),"Needs a status","")))))</f>
        <v/>
      </c>
      <c r="I1233" s="1">
        <f>IF(ISNUMBER(B1233),INT(B1233),0)</f>
        <v/>
      </c>
      <c r="J1233">
        <f>IF(ISNUMBER(B1233),YEAR(B1233)*100+MONTH(B1233),"")</f>
        <v/>
      </c>
      <c r="K1233">
        <f>IF(AND(H1233="",OR(F1233="Attended",F1233="No-show",AND(F1233="Late cancel",Settings!$C$9="Yes"))),1,0)</f>
        <v/>
      </c>
      <c r="L1233">
        <f>IF(AND(H1233="",F1233="Attended"),1,0)</f>
        <v/>
      </c>
      <c r="M1233">
        <f>IF(AND(H1233="",OR(F1233="No-show",F1233="Late cancel")),1,0)</f>
        <v/>
      </c>
      <c r="N1233">
        <f>IF(AND(H1233="",F1233="",D1233&lt;&gt;"",I1233&gt;=TODAY()),ROUND((I1233+IF(ISNUMBER(C1233),MOD(C1233,1),0))*1440,0)*10000+ROW(),"")</f>
        <v/>
      </c>
    </row>
    <row r="1234">
      <c r="A1234" s="1" t="n"/>
      <c r="B1234" s="17" t="n"/>
      <c r="C1234" s="18" t="n"/>
      <c r="D1234" s="19" t="n"/>
      <c r="E1234" s="20" t="n"/>
      <c r="F1234" s="20" t="n"/>
      <c r="G1234" s="21" t="n"/>
      <c r="H1234" s="12">
        <f>IF(AND(B1234="",D1234="",F1234=""),"",IF(NOT(ISNUMBER(B1234)),"Needs a date",IF(D1234="","Needs a client",IF(COUNTIF(Clients!$B$6:$B$105,D1234)=0,"Not on Clients",IF(AND(F1234="",INT(B1234)&lt;TODAY()),"Needs a status","")))))</f>
        <v/>
      </c>
      <c r="I1234" s="1">
        <f>IF(ISNUMBER(B1234),INT(B1234),0)</f>
        <v/>
      </c>
      <c r="J1234">
        <f>IF(ISNUMBER(B1234),YEAR(B1234)*100+MONTH(B1234),"")</f>
        <v/>
      </c>
      <c r="K1234">
        <f>IF(AND(H1234="",OR(F1234="Attended",F1234="No-show",AND(F1234="Late cancel",Settings!$C$9="Yes"))),1,0)</f>
        <v/>
      </c>
      <c r="L1234">
        <f>IF(AND(H1234="",F1234="Attended"),1,0)</f>
        <v/>
      </c>
      <c r="M1234">
        <f>IF(AND(H1234="",OR(F1234="No-show",F1234="Late cancel")),1,0)</f>
        <v/>
      </c>
      <c r="N1234">
        <f>IF(AND(H1234="",F1234="",D1234&lt;&gt;"",I1234&gt;=TODAY()),ROUND((I1234+IF(ISNUMBER(C1234),MOD(C1234,1),0))*1440,0)*10000+ROW(),"")</f>
        <v/>
      </c>
    </row>
    <row r="1235">
      <c r="A1235" s="1" t="n"/>
      <c r="B1235" s="17" t="n"/>
      <c r="C1235" s="18" t="n"/>
      <c r="D1235" s="19" t="n"/>
      <c r="E1235" s="20" t="n"/>
      <c r="F1235" s="20" t="n"/>
      <c r="G1235" s="21" t="n"/>
      <c r="H1235" s="12">
        <f>IF(AND(B1235="",D1235="",F1235=""),"",IF(NOT(ISNUMBER(B1235)),"Needs a date",IF(D1235="","Needs a client",IF(COUNTIF(Clients!$B$6:$B$105,D1235)=0,"Not on Clients",IF(AND(F1235="",INT(B1235)&lt;TODAY()),"Needs a status","")))))</f>
        <v/>
      </c>
      <c r="I1235" s="1">
        <f>IF(ISNUMBER(B1235),INT(B1235),0)</f>
        <v/>
      </c>
      <c r="J1235">
        <f>IF(ISNUMBER(B1235),YEAR(B1235)*100+MONTH(B1235),"")</f>
        <v/>
      </c>
      <c r="K1235">
        <f>IF(AND(H1235="",OR(F1235="Attended",F1235="No-show",AND(F1235="Late cancel",Settings!$C$9="Yes"))),1,0)</f>
        <v/>
      </c>
      <c r="L1235">
        <f>IF(AND(H1235="",F1235="Attended"),1,0)</f>
        <v/>
      </c>
      <c r="M1235">
        <f>IF(AND(H1235="",OR(F1235="No-show",F1235="Late cancel")),1,0)</f>
        <v/>
      </c>
      <c r="N1235">
        <f>IF(AND(H1235="",F1235="",D1235&lt;&gt;"",I1235&gt;=TODAY()),ROUND((I1235+IF(ISNUMBER(C1235),MOD(C1235,1),0))*1440,0)*10000+ROW(),"")</f>
        <v/>
      </c>
    </row>
    <row r="1236">
      <c r="A1236" s="1" t="n"/>
      <c r="B1236" s="17" t="n"/>
      <c r="C1236" s="18" t="n"/>
      <c r="D1236" s="19" t="n"/>
      <c r="E1236" s="20" t="n"/>
      <c r="F1236" s="20" t="n"/>
      <c r="G1236" s="21" t="n"/>
      <c r="H1236" s="12">
        <f>IF(AND(B1236="",D1236="",F1236=""),"",IF(NOT(ISNUMBER(B1236)),"Needs a date",IF(D1236="","Needs a client",IF(COUNTIF(Clients!$B$6:$B$105,D1236)=0,"Not on Clients",IF(AND(F1236="",INT(B1236)&lt;TODAY()),"Needs a status","")))))</f>
        <v/>
      </c>
      <c r="I1236" s="1">
        <f>IF(ISNUMBER(B1236),INT(B1236),0)</f>
        <v/>
      </c>
      <c r="J1236">
        <f>IF(ISNUMBER(B1236),YEAR(B1236)*100+MONTH(B1236),"")</f>
        <v/>
      </c>
      <c r="K1236">
        <f>IF(AND(H1236="",OR(F1236="Attended",F1236="No-show",AND(F1236="Late cancel",Settings!$C$9="Yes"))),1,0)</f>
        <v/>
      </c>
      <c r="L1236">
        <f>IF(AND(H1236="",F1236="Attended"),1,0)</f>
        <v/>
      </c>
      <c r="M1236">
        <f>IF(AND(H1236="",OR(F1236="No-show",F1236="Late cancel")),1,0)</f>
        <v/>
      </c>
      <c r="N1236">
        <f>IF(AND(H1236="",F1236="",D1236&lt;&gt;"",I1236&gt;=TODAY()),ROUND((I1236+IF(ISNUMBER(C1236),MOD(C1236,1),0))*1440,0)*10000+ROW(),"")</f>
        <v/>
      </c>
    </row>
    <row r="1237">
      <c r="A1237" s="1" t="n"/>
      <c r="B1237" s="17" t="n"/>
      <c r="C1237" s="18" t="n"/>
      <c r="D1237" s="19" t="n"/>
      <c r="E1237" s="20" t="n"/>
      <c r="F1237" s="20" t="n"/>
      <c r="G1237" s="21" t="n"/>
      <c r="H1237" s="12">
        <f>IF(AND(B1237="",D1237="",F1237=""),"",IF(NOT(ISNUMBER(B1237)),"Needs a date",IF(D1237="","Needs a client",IF(COUNTIF(Clients!$B$6:$B$105,D1237)=0,"Not on Clients",IF(AND(F1237="",INT(B1237)&lt;TODAY()),"Needs a status","")))))</f>
        <v/>
      </c>
      <c r="I1237" s="1">
        <f>IF(ISNUMBER(B1237),INT(B1237),0)</f>
        <v/>
      </c>
      <c r="J1237">
        <f>IF(ISNUMBER(B1237),YEAR(B1237)*100+MONTH(B1237),"")</f>
        <v/>
      </c>
      <c r="K1237">
        <f>IF(AND(H1237="",OR(F1237="Attended",F1237="No-show",AND(F1237="Late cancel",Settings!$C$9="Yes"))),1,0)</f>
        <v/>
      </c>
      <c r="L1237">
        <f>IF(AND(H1237="",F1237="Attended"),1,0)</f>
        <v/>
      </c>
      <c r="M1237">
        <f>IF(AND(H1237="",OR(F1237="No-show",F1237="Late cancel")),1,0)</f>
        <v/>
      </c>
      <c r="N1237">
        <f>IF(AND(H1237="",F1237="",D1237&lt;&gt;"",I1237&gt;=TODAY()),ROUND((I1237+IF(ISNUMBER(C1237),MOD(C1237,1),0))*1440,0)*10000+ROW(),"")</f>
        <v/>
      </c>
    </row>
    <row r="1238">
      <c r="A1238" s="1" t="n"/>
      <c r="B1238" s="17" t="n"/>
      <c r="C1238" s="18" t="n"/>
      <c r="D1238" s="19" t="n"/>
      <c r="E1238" s="20" t="n"/>
      <c r="F1238" s="20" t="n"/>
      <c r="G1238" s="21" t="n"/>
      <c r="H1238" s="12">
        <f>IF(AND(B1238="",D1238="",F1238=""),"",IF(NOT(ISNUMBER(B1238)),"Needs a date",IF(D1238="","Needs a client",IF(COUNTIF(Clients!$B$6:$B$105,D1238)=0,"Not on Clients",IF(AND(F1238="",INT(B1238)&lt;TODAY()),"Needs a status","")))))</f>
        <v/>
      </c>
      <c r="I1238" s="1">
        <f>IF(ISNUMBER(B1238),INT(B1238),0)</f>
        <v/>
      </c>
      <c r="J1238">
        <f>IF(ISNUMBER(B1238),YEAR(B1238)*100+MONTH(B1238),"")</f>
        <v/>
      </c>
      <c r="K1238">
        <f>IF(AND(H1238="",OR(F1238="Attended",F1238="No-show",AND(F1238="Late cancel",Settings!$C$9="Yes"))),1,0)</f>
        <v/>
      </c>
      <c r="L1238">
        <f>IF(AND(H1238="",F1238="Attended"),1,0)</f>
        <v/>
      </c>
      <c r="M1238">
        <f>IF(AND(H1238="",OR(F1238="No-show",F1238="Late cancel")),1,0)</f>
        <v/>
      </c>
      <c r="N1238">
        <f>IF(AND(H1238="",F1238="",D1238&lt;&gt;"",I1238&gt;=TODAY()),ROUND((I1238+IF(ISNUMBER(C1238),MOD(C1238,1),0))*1440,0)*10000+ROW(),"")</f>
        <v/>
      </c>
    </row>
    <row r="1239">
      <c r="A1239" s="1" t="n"/>
      <c r="B1239" s="17" t="n"/>
      <c r="C1239" s="18" t="n"/>
      <c r="D1239" s="19" t="n"/>
      <c r="E1239" s="20" t="n"/>
      <c r="F1239" s="20" t="n"/>
      <c r="G1239" s="21" t="n"/>
      <c r="H1239" s="12">
        <f>IF(AND(B1239="",D1239="",F1239=""),"",IF(NOT(ISNUMBER(B1239)),"Needs a date",IF(D1239="","Needs a client",IF(COUNTIF(Clients!$B$6:$B$105,D1239)=0,"Not on Clients",IF(AND(F1239="",INT(B1239)&lt;TODAY()),"Needs a status","")))))</f>
        <v/>
      </c>
      <c r="I1239" s="1">
        <f>IF(ISNUMBER(B1239),INT(B1239),0)</f>
        <v/>
      </c>
      <c r="J1239">
        <f>IF(ISNUMBER(B1239),YEAR(B1239)*100+MONTH(B1239),"")</f>
        <v/>
      </c>
      <c r="K1239">
        <f>IF(AND(H1239="",OR(F1239="Attended",F1239="No-show",AND(F1239="Late cancel",Settings!$C$9="Yes"))),1,0)</f>
        <v/>
      </c>
      <c r="L1239">
        <f>IF(AND(H1239="",F1239="Attended"),1,0)</f>
        <v/>
      </c>
      <c r="M1239">
        <f>IF(AND(H1239="",OR(F1239="No-show",F1239="Late cancel")),1,0)</f>
        <v/>
      </c>
      <c r="N1239">
        <f>IF(AND(H1239="",F1239="",D1239&lt;&gt;"",I1239&gt;=TODAY()),ROUND((I1239+IF(ISNUMBER(C1239),MOD(C1239,1),0))*1440,0)*10000+ROW(),"")</f>
        <v/>
      </c>
    </row>
    <row r="1240">
      <c r="A1240" s="1" t="n"/>
      <c r="B1240" s="17" t="n"/>
      <c r="C1240" s="18" t="n"/>
      <c r="D1240" s="19" t="n"/>
      <c r="E1240" s="20" t="n"/>
      <c r="F1240" s="20" t="n"/>
      <c r="G1240" s="21" t="n"/>
      <c r="H1240" s="12">
        <f>IF(AND(B1240="",D1240="",F1240=""),"",IF(NOT(ISNUMBER(B1240)),"Needs a date",IF(D1240="","Needs a client",IF(COUNTIF(Clients!$B$6:$B$105,D1240)=0,"Not on Clients",IF(AND(F1240="",INT(B1240)&lt;TODAY()),"Needs a status","")))))</f>
        <v/>
      </c>
      <c r="I1240" s="1">
        <f>IF(ISNUMBER(B1240),INT(B1240),0)</f>
        <v/>
      </c>
      <c r="J1240">
        <f>IF(ISNUMBER(B1240),YEAR(B1240)*100+MONTH(B1240),"")</f>
        <v/>
      </c>
      <c r="K1240">
        <f>IF(AND(H1240="",OR(F1240="Attended",F1240="No-show",AND(F1240="Late cancel",Settings!$C$9="Yes"))),1,0)</f>
        <v/>
      </c>
      <c r="L1240">
        <f>IF(AND(H1240="",F1240="Attended"),1,0)</f>
        <v/>
      </c>
      <c r="M1240">
        <f>IF(AND(H1240="",OR(F1240="No-show",F1240="Late cancel")),1,0)</f>
        <v/>
      </c>
      <c r="N1240">
        <f>IF(AND(H1240="",F1240="",D1240&lt;&gt;"",I1240&gt;=TODAY()),ROUND((I1240+IF(ISNUMBER(C1240),MOD(C1240,1),0))*1440,0)*10000+ROW(),"")</f>
        <v/>
      </c>
    </row>
    <row r="1241">
      <c r="A1241" s="1" t="n"/>
      <c r="B1241" s="17" t="n"/>
      <c r="C1241" s="18" t="n"/>
      <c r="D1241" s="19" t="n"/>
      <c r="E1241" s="20" t="n"/>
      <c r="F1241" s="20" t="n"/>
      <c r="G1241" s="21" t="n"/>
      <c r="H1241" s="12">
        <f>IF(AND(B1241="",D1241="",F1241=""),"",IF(NOT(ISNUMBER(B1241)),"Needs a date",IF(D1241="","Needs a client",IF(COUNTIF(Clients!$B$6:$B$105,D1241)=0,"Not on Clients",IF(AND(F1241="",INT(B1241)&lt;TODAY()),"Needs a status","")))))</f>
        <v/>
      </c>
      <c r="I1241" s="1">
        <f>IF(ISNUMBER(B1241),INT(B1241),0)</f>
        <v/>
      </c>
      <c r="J1241">
        <f>IF(ISNUMBER(B1241),YEAR(B1241)*100+MONTH(B1241),"")</f>
        <v/>
      </c>
      <c r="K1241">
        <f>IF(AND(H1241="",OR(F1241="Attended",F1241="No-show",AND(F1241="Late cancel",Settings!$C$9="Yes"))),1,0)</f>
        <v/>
      </c>
      <c r="L1241">
        <f>IF(AND(H1241="",F1241="Attended"),1,0)</f>
        <v/>
      </c>
      <c r="M1241">
        <f>IF(AND(H1241="",OR(F1241="No-show",F1241="Late cancel")),1,0)</f>
        <v/>
      </c>
      <c r="N1241">
        <f>IF(AND(H1241="",F1241="",D1241&lt;&gt;"",I1241&gt;=TODAY()),ROUND((I1241+IF(ISNUMBER(C1241),MOD(C1241,1),0))*1440,0)*10000+ROW(),"")</f>
        <v/>
      </c>
    </row>
    <row r="1242">
      <c r="A1242" s="1" t="n"/>
      <c r="B1242" s="17" t="n"/>
      <c r="C1242" s="18" t="n"/>
      <c r="D1242" s="19" t="n"/>
      <c r="E1242" s="20" t="n"/>
      <c r="F1242" s="20" t="n"/>
      <c r="G1242" s="21" t="n"/>
      <c r="H1242" s="12">
        <f>IF(AND(B1242="",D1242="",F1242=""),"",IF(NOT(ISNUMBER(B1242)),"Needs a date",IF(D1242="","Needs a client",IF(COUNTIF(Clients!$B$6:$B$105,D1242)=0,"Not on Clients",IF(AND(F1242="",INT(B1242)&lt;TODAY()),"Needs a status","")))))</f>
        <v/>
      </c>
      <c r="I1242" s="1">
        <f>IF(ISNUMBER(B1242),INT(B1242),0)</f>
        <v/>
      </c>
      <c r="J1242">
        <f>IF(ISNUMBER(B1242),YEAR(B1242)*100+MONTH(B1242),"")</f>
        <v/>
      </c>
      <c r="K1242">
        <f>IF(AND(H1242="",OR(F1242="Attended",F1242="No-show",AND(F1242="Late cancel",Settings!$C$9="Yes"))),1,0)</f>
        <v/>
      </c>
      <c r="L1242">
        <f>IF(AND(H1242="",F1242="Attended"),1,0)</f>
        <v/>
      </c>
      <c r="M1242">
        <f>IF(AND(H1242="",OR(F1242="No-show",F1242="Late cancel")),1,0)</f>
        <v/>
      </c>
      <c r="N1242">
        <f>IF(AND(H1242="",F1242="",D1242&lt;&gt;"",I1242&gt;=TODAY()),ROUND((I1242+IF(ISNUMBER(C1242),MOD(C1242,1),0))*1440,0)*10000+ROW(),"")</f>
        <v/>
      </c>
    </row>
    <row r="1243">
      <c r="A1243" s="1" t="n"/>
      <c r="B1243" s="17" t="n"/>
      <c r="C1243" s="18" t="n"/>
      <c r="D1243" s="19" t="n"/>
      <c r="E1243" s="20" t="n"/>
      <c r="F1243" s="20" t="n"/>
      <c r="G1243" s="21" t="n"/>
      <c r="H1243" s="12">
        <f>IF(AND(B1243="",D1243="",F1243=""),"",IF(NOT(ISNUMBER(B1243)),"Needs a date",IF(D1243="","Needs a client",IF(COUNTIF(Clients!$B$6:$B$105,D1243)=0,"Not on Clients",IF(AND(F1243="",INT(B1243)&lt;TODAY()),"Needs a status","")))))</f>
        <v/>
      </c>
      <c r="I1243" s="1">
        <f>IF(ISNUMBER(B1243),INT(B1243),0)</f>
        <v/>
      </c>
      <c r="J1243">
        <f>IF(ISNUMBER(B1243),YEAR(B1243)*100+MONTH(B1243),"")</f>
        <v/>
      </c>
      <c r="K1243">
        <f>IF(AND(H1243="",OR(F1243="Attended",F1243="No-show",AND(F1243="Late cancel",Settings!$C$9="Yes"))),1,0)</f>
        <v/>
      </c>
      <c r="L1243">
        <f>IF(AND(H1243="",F1243="Attended"),1,0)</f>
        <v/>
      </c>
      <c r="M1243">
        <f>IF(AND(H1243="",OR(F1243="No-show",F1243="Late cancel")),1,0)</f>
        <v/>
      </c>
      <c r="N1243">
        <f>IF(AND(H1243="",F1243="",D1243&lt;&gt;"",I1243&gt;=TODAY()),ROUND((I1243+IF(ISNUMBER(C1243),MOD(C1243,1),0))*1440,0)*10000+ROW(),"")</f>
        <v/>
      </c>
    </row>
    <row r="1244">
      <c r="A1244" s="1" t="n"/>
      <c r="B1244" s="17" t="n"/>
      <c r="C1244" s="18" t="n"/>
      <c r="D1244" s="19" t="n"/>
      <c r="E1244" s="20" t="n"/>
      <c r="F1244" s="20" t="n"/>
      <c r="G1244" s="21" t="n"/>
      <c r="H1244" s="12">
        <f>IF(AND(B1244="",D1244="",F1244=""),"",IF(NOT(ISNUMBER(B1244)),"Needs a date",IF(D1244="","Needs a client",IF(COUNTIF(Clients!$B$6:$B$105,D1244)=0,"Not on Clients",IF(AND(F1244="",INT(B1244)&lt;TODAY()),"Needs a status","")))))</f>
        <v/>
      </c>
      <c r="I1244" s="1">
        <f>IF(ISNUMBER(B1244),INT(B1244),0)</f>
        <v/>
      </c>
      <c r="J1244">
        <f>IF(ISNUMBER(B1244),YEAR(B1244)*100+MONTH(B1244),"")</f>
        <v/>
      </c>
      <c r="K1244">
        <f>IF(AND(H1244="",OR(F1244="Attended",F1244="No-show",AND(F1244="Late cancel",Settings!$C$9="Yes"))),1,0)</f>
        <v/>
      </c>
      <c r="L1244">
        <f>IF(AND(H1244="",F1244="Attended"),1,0)</f>
        <v/>
      </c>
      <c r="M1244">
        <f>IF(AND(H1244="",OR(F1244="No-show",F1244="Late cancel")),1,0)</f>
        <v/>
      </c>
      <c r="N1244">
        <f>IF(AND(H1244="",F1244="",D1244&lt;&gt;"",I1244&gt;=TODAY()),ROUND((I1244+IF(ISNUMBER(C1244),MOD(C1244,1),0))*1440,0)*10000+ROW(),"")</f>
        <v/>
      </c>
    </row>
    <row r="1245">
      <c r="A1245" s="1" t="n"/>
      <c r="B1245" s="17" t="n"/>
      <c r="C1245" s="18" t="n"/>
      <c r="D1245" s="19" t="n"/>
      <c r="E1245" s="20" t="n"/>
      <c r="F1245" s="20" t="n"/>
      <c r="G1245" s="21" t="n"/>
      <c r="H1245" s="12">
        <f>IF(AND(B1245="",D1245="",F1245=""),"",IF(NOT(ISNUMBER(B1245)),"Needs a date",IF(D1245="","Needs a client",IF(COUNTIF(Clients!$B$6:$B$105,D1245)=0,"Not on Clients",IF(AND(F1245="",INT(B1245)&lt;TODAY()),"Needs a status","")))))</f>
        <v/>
      </c>
      <c r="I1245" s="1">
        <f>IF(ISNUMBER(B1245),INT(B1245),0)</f>
        <v/>
      </c>
      <c r="J1245">
        <f>IF(ISNUMBER(B1245),YEAR(B1245)*100+MONTH(B1245),"")</f>
        <v/>
      </c>
      <c r="K1245">
        <f>IF(AND(H1245="",OR(F1245="Attended",F1245="No-show",AND(F1245="Late cancel",Settings!$C$9="Yes"))),1,0)</f>
        <v/>
      </c>
      <c r="L1245">
        <f>IF(AND(H1245="",F1245="Attended"),1,0)</f>
        <v/>
      </c>
      <c r="M1245">
        <f>IF(AND(H1245="",OR(F1245="No-show",F1245="Late cancel")),1,0)</f>
        <v/>
      </c>
      <c r="N1245">
        <f>IF(AND(H1245="",F1245="",D1245&lt;&gt;"",I1245&gt;=TODAY()),ROUND((I1245+IF(ISNUMBER(C1245),MOD(C1245,1),0))*1440,0)*10000+ROW(),"")</f>
        <v/>
      </c>
    </row>
    <row r="1246">
      <c r="A1246" s="1" t="n"/>
      <c r="B1246" s="17" t="n"/>
      <c r="C1246" s="18" t="n"/>
      <c r="D1246" s="19" t="n"/>
      <c r="E1246" s="20" t="n"/>
      <c r="F1246" s="20" t="n"/>
      <c r="G1246" s="21" t="n"/>
      <c r="H1246" s="12">
        <f>IF(AND(B1246="",D1246="",F1246=""),"",IF(NOT(ISNUMBER(B1246)),"Needs a date",IF(D1246="","Needs a client",IF(COUNTIF(Clients!$B$6:$B$105,D1246)=0,"Not on Clients",IF(AND(F1246="",INT(B1246)&lt;TODAY()),"Needs a status","")))))</f>
        <v/>
      </c>
      <c r="I1246" s="1">
        <f>IF(ISNUMBER(B1246),INT(B1246),0)</f>
        <v/>
      </c>
      <c r="J1246">
        <f>IF(ISNUMBER(B1246),YEAR(B1246)*100+MONTH(B1246),"")</f>
        <v/>
      </c>
      <c r="K1246">
        <f>IF(AND(H1246="",OR(F1246="Attended",F1246="No-show",AND(F1246="Late cancel",Settings!$C$9="Yes"))),1,0)</f>
        <v/>
      </c>
      <c r="L1246">
        <f>IF(AND(H1246="",F1246="Attended"),1,0)</f>
        <v/>
      </c>
      <c r="M1246">
        <f>IF(AND(H1246="",OR(F1246="No-show",F1246="Late cancel")),1,0)</f>
        <v/>
      </c>
      <c r="N1246">
        <f>IF(AND(H1246="",F1246="",D1246&lt;&gt;"",I1246&gt;=TODAY()),ROUND((I1246+IF(ISNUMBER(C1246),MOD(C1246,1),0))*1440,0)*10000+ROW(),"")</f>
        <v/>
      </c>
    </row>
    <row r="1247">
      <c r="A1247" s="1" t="n"/>
      <c r="B1247" s="17" t="n"/>
      <c r="C1247" s="18" t="n"/>
      <c r="D1247" s="19" t="n"/>
      <c r="E1247" s="20" t="n"/>
      <c r="F1247" s="20" t="n"/>
      <c r="G1247" s="21" t="n"/>
      <c r="H1247" s="12">
        <f>IF(AND(B1247="",D1247="",F1247=""),"",IF(NOT(ISNUMBER(B1247)),"Needs a date",IF(D1247="","Needs a client",IF(COUNTIF(Clients!$B$6:$B$105,D1247)=0,"Not on Clients",IF(AND(F1247="",INT(B1247)&lt;TODAY()),"Needs a status","")))))</f>
        <v/>
      </c>
      <c r="I1247" s="1">
        <f>IF(ISNUMBER(B1247),INT(B1247),0)</f>
        <v/>
      </c>
      <c r="J1247">
        <f>IF(ISNUMBER(B1247),YEAR(B1247)*100+MONTH(B1247),"")</f>
        <v/>
      </c>
      <c r="K1247">
        <f>IF(AND(H1247="",OR(F1247="Attended",F1247="No-show",AND(F1247="Late cancel",Settings!$C$9="Yes"))),1,0)</f>
        <v/>
      </c>
      <c r="L1247">
        <f>IF(AND(H1247="",F1247="Attended"),1,0)</f>
        <v/>
      </c>
      <c r="M1247">
        <f>IF(AND(H1247="",OR(F1247="No-show",F1247="Late cancel")),1,0)</f>
        <v/>
      </c>
      <c r="N1247">
        <f>IF(AND(H1247="",F1247="",D1247&lt;&gt;"",I1247&gt;=TODAY()),ROUND((I1247+IF(ISNUMBER(C1247),MOD(C1247,1),0))*1440,0)*10000+ROW(),"")</f>
        <v/>
      </c>
    </row>
    <row r="1248">
      <c r="A1248" s="1" t="n"/>
      <c r="B1248" s="17" t="n"/>
      <c r="C1248" s="18" t="n"/>
      <c r="D1248" s="19" t="n"/>
      <c r="E1248" s="20" t="n"/>
      <c r="F1248" s="20" t="n"/>
      <c r="G1248" s="21" t="n"/>
      <c r="H1248" s="12">
        <f>IF(AND(B1248="",D1248="",F1248=""),"",IF(NOT(ISNUMBER(B1248)),"Needs a date",IF(D1248="","Needs a client",IF(COUNTIF(Clients!$B$6:$B$105,D1248)=0,"Not on Clients",IF(AND(F1248="",INT(B1248)&lt;TODAY()),"Needs a status","")))))</f>
        <v/>
      </c>
      <c r="I1248" s="1">
        <f>IF(ISNUMBER(B1248),INT(B1248),0)</f>
        <v/>
      </c>
      <c r="J1248">
        <f>IF(ISNUMBER(B1248),YEAR(B1248)*100+MONTH(B1248),"")</f>
        <v/>
      </c>
      <c r="K1248">
        <f>IF(AND(H1248="",OR(F1248="Attended",F1248="No-show",AND(F1248="Late cancel",Settings!$C$9="Yes"))),1,0)</f>
        <v/>
      </c>
      <c r="L1248">
        <f>IF(AND(H1248="",F1248="Attended"),1,0)</f>
        <v/>
      </c>
      <c r="M1248">
        <f>IF(AND(H1248="",OR(F1248="No-show",F1248="Late cancel")),1,0)</f>
        <v/>
      </c>
      <c r="N1248">
        <f>IF(AND(H1248="",F1248="",D1248&lt;&gt;"",I1248&gt;=TODAY()),ROUND((I1248+IF(ISNUMBER(C1248),MOD(C1248,1),0))*1440,0)*10000+ROW(),"")</f>
        <v/>
      </c>
    </row>
    <row r="1249">
      <c r="A1249" s="1" t="n"/>
      <c r="B1249" s="17" t="n"/>
      <c r="C1249" s="18" t="n"/>
      <c r="D1249" s="19" t="n"/>
      <c r="E1249" s="20" t="n"/>
      <c r="F1249" s="20" t="n"/>
      <c r="G1249" s="21" t="n"/>
      <c r="H1249" s="12">
        <f>IF(AND(B1249="",D1249="",F1249=""),"",IF(NOT(ISNUMBER(B1249)),"Needs a date",IF(D1249="","Needs a client",IF(COUNTIF(Clients!$B$6:$B$105,D1249)=0,"Not on Clients",IF(AND(F1249="",INT(B1249)&lt;TODAY()),"Needs a status","")))))</f>
        <v/>
      </c>
      <c r="I1249" s="1">
        <f>IF(ISNUMBER(B1249),INT(B1249),0)</f>
        <v/>
      </c>
      <c r="J1249">
        <f>IF(ISNUMBER(B1249),YEAR(B1249)*100+MONTH(B1249),"")</f>
        <v/>
      </c>
      <c r="K1249">
        <f>IF(AND(H1249="",OR(F1249="Attended",F1249="No-show",AND(F1249="Late cancel",Settings!$C$9="Yes"))),1,0)</f>
        <v/>
      </c>
      <c r="L1249">
        <f>IF(AND(H1249="",F1249="Attended"),1,0)</f>
        <v/>
      </c>
      <c r="M1249">
        <f>IF(AND(H1249="",OR(F1249="No-show",F1249="Late cancel")),1,0)</f>
        <v/>
      </c>
      <c r="N1249">
        <f>IF(AND(H1249="",F1249="",D1249&lt;&gt;"",I1249&gt;=TODAY()),ROUND((I1249+IF(ISNUMBER(C1249),MOD(C1249,1),0))*1440,0)*10000+ROW(),"")</f>
        <v/>
      </c>
    </row>
    <row r="1250">
      <c r="A1250" s="1" t="n"/>
      <c r="B1250" s="17" t="n"/>
      <c r="C1250" s="18" t="n"/>
      <c r="D1250" s="19" t="n"/>
      <c r="E1250" s="20" t="n"/>
      <c r="F1250" s="20" t="n"/>
      <c r="G1250" s="21" t="n"/>
      <c r="H1250" s="12">
        <f>IF(AND(B1250="",D1250="",F1250=""),"",IF(NOT(ISNUMBER(B1250)),"Needs a date",IF(D1250="","Needs a client",IF(COUNTIF(Clients!$B$6:$B$105,D1250)=0,"Not on Clients",IF(AND(F1250="",INT(B1250)&lt;TODAY()),"Needs a status","")))))</f>
        <v/>
      </c>
      <c r="I1250" s="1">
        <f>IF(ISNUMBER(B1250),INT(B1250),0)</f>
        <v/>
      </c>
      <c r="J1250">
        <f>IF(ISNUMBER(B1250),YEAR(B1250)*100+MONTH(B1250),"")</f>
        <v/>
      </c>
      <c r="K1250">
        <f>IF(AND(H1250="",OR(F1250="Attended",F1250="No-show",AND(F1250="Late cancel",Settings!$C$9="Yes"))),1,0)</f>
        <v/>
      </c>
      <c r="L1250">
        <f>IF(AND(H1250="",F1250="Attended"),1,0)</f>
        <v/>
      </c>
      <c r="M1250">
        <f>IF(AND(H1250="",OR(F1250="No-show",F1250="Late cancel")),1,0)</f>
        <v/>
      </c>
      <c r="N1250">
        <f>IF(AND(H1250="",F1250="",D1250&lt;&gt;"",I1250&gt;=TODAY()),ROUND((I1250+IF(ISNUMBER(C1250),MOD(C1250,1),0))*1440,0)*10000+ROW(),"")</f>
        <v/>
      </c>
    </row>
    <row r="1251">
      <c r="A1251" s="1" t="n"/>
      <c r="B1251" s="17" t="n"/>
      <c r="C1251" s="18" t="n"/>
      <c r="D1251" s="19" t="n"/>
      <c r="E1251" s="20" t="n"/>
      <c r="F1251" s="20" t="n"/>
      <c r="G1251" s="21" t="n"/>
      <c r="H1251" s="12">
        <f>IF(AND(B1251="",D1251="",F1251=""),"",IF(NOT(ISNUMBER(B1251)),"Needs a date",IF(D1251="","Needs a client",IF(COUNTIF(Clients!$B$6:$B$105,D1251)=0,"Not on Clients",IF(AND(F1251="",INT(B1251)&lt;TODAY()),"Needs a status","")))))</f>
        <v/>
      </c>
      <c r="I1251" s="1">
        <f>IF(ISNUMBER(B1251),INT(B1251),0)</f>
        <v/>
      </c>
      <c r="J1251">
        <f>IF(ISNUMBER(B1251),YEAR(B1251)*100+MONTH(B1251),"")</f>
        <v/>
      </c>
      <c r="K1251">
        <f>IF(AND(H1251="",OR(F1251="Attended",F1251="No-show",AND(F1251="Late cancel",Settings!$C$9="Yes"))),1,0)</f>
        <v/>
      </c>
      <c r="L1251">
        <f>IF(AND(H1251="",F1251="Attended"),1,0)</f>
        <v/>
      </c>
      <c r="M1251">
        <f>IF(AND(H1251="",OR(F1251="No-show",F1251="Late cancel")),1,0)</f>
        <v/>
      </c>
      <c r="N1251">
        <f>IF(AND(H1251="",F1251="",D1251&lt;&gt;"",I1251&gt;=TODAY()),ROUND((I1251+IF(ISNUMBER(C1251),MOD(C1251,1),0))*1440,0)*10000+ROW(),"")</f>
        <v/>
      </c>
    </row>
    <row r="1252">
      <c r="A1252" s="1" t="n"/>
      <c r="B1252" s="17" t="n"/>
      <c r="C1252" s="18" t="n"/>
      <c r="D1252" s="19" t="n"/>
      <c r="E1252" s="20" t="n"/>
      <c r="F1252" s="20" t="n"/>
      <c r="G1252" s="21" t="n"/>
      <c r="H1252" s="12">
        <f>IF(AND(B1252="",D1252="",F1252=""),"",IF(NOT(ISNUMBER(B1252)),"Needs a date",IF(D1252="","Needs a client",IF(COUNTIF(Clients!$B$6:$B$105,D1252)=0,"Not on Clients",IF(AND(F1252="",INT(B1252)&lt;TODAY()),"Needs a status","")))))</f>
        <v/>
      </c>
      <c r="I1252" s="1">
        <f>IF(ISNUMBER(B1252),INT(B1252),0)</f>
        <v/>
      </c>
      <c r="J1252">
        <f>IF(ISNUMBER(B1252),YEAR(B1252)*100+MONTH(B1252),"")</f>
        <v/>
      </c>
      <c r="K1252">
        <f>IF(AND(H1252="",OR(F1252="Attended",F1252="No-show",AND(F1252="Late cancel",Settings!$C$9="Yes"))),1,0)</f>
        <v/>
      </c>
      <c r="L1252">
        <f>IF(AND(H1252="",F1252="Attended"),1,0)</f>
        <v/>
      </c>
      <c r="M1252">
        <f>IF(AND(H1252="",OR(F1252="No-show",F1252="Late cancel")),1,0)</f>
        <v/>
      </c>
      <c r="N1252">
        <f>IF(AND(H1252="",F1252="",D1252&lt;&gt;"",I1252&gt;=TODAY()),ROUND((I1252+IF(ISNUMBER(C1252),MOD(C1252,1),0))*1440,0)*10000+ROW(),"")</f>
        <v/>
      </c>
    </row>
    <row r="1253">
      <c r="A1253" s="1" t="n"/>
      <c r="B1253" s="17" t="n"/>
      <c r="C1253" s="18" t="n"/>
      <c r="D1253" s="19" t="n"/>
      <c r="E1253" s="20" t="n"/>
      <c r="F1253" s="20" t="n"/>
      <c r="G1253" s="21" t="n"/>
      <c r="H1253" s="12">
        <f>IF(AND(B1253="",D1253="",F1253=""),"",IF(NOT(ISNUMBER(B1253)),"Needs a date",IF(D1253="","Needs a client",IF(COUNTIF(Clients!$B$6:$B$105,D1253)=0,"Not on Clients",IF(AND(F1253="",INT(B1253)&lt;TODAY()),"Needs a status","")))))</f>
        <v/>
      </c>
      <c r="I1253" s="1">
        <f>IF(ISNUMBER(B1253),INT(B1253),0)</f>
        <v/>
      </c>
      <c r="J1253">
        <f>IF(ISNUMBER(B1253),YEAR(B1253)*100+MONTH(B1253),"")</f>
        <v/>
      </c>
      <c r="K1253">
        <f>IF(AND(H1253="",OR(F1253="Attended",F1253="No-show",AND(F1253="Late cancel",Settings!$C$9="Yes"))),1,0)</f>
        <v/>
      </c>
      <c r="L1253">
        <f>IF(AND(H1253="",F1253="Attended"),1,0)</f>
        <v/>
      </c>
      <c r="M1253">
        <f>IF(AND(H1253="",OR(F1253="No-show",F1253="Late cancel")),1,0)</f>
        <v/>
      </c>
      <c r="N1253">
        <f>IF(AND(H1253="",F1253="",D1253&lt;&gt;"",I1253&gt;=TODAY()),ROUND((I1253+IF(ISNUMBER(C1253),MOD(C1253,1),0))*1440,0)*10000+ROW(),"")</f>
        <v/>
      </c>
    </row>
    <row r="1254">
      <c r="A1254" s="1" t="n"/>
      <c r="B1254" s="17" t="n"/>
      <c r="C1254" s="18" t="n"/>
      <c r="D1254" s="19" t="n"/>
      <c r="E1254" s="20" t="n"/>
      <c r="F1254" s="20" t="n"/>
      <c r="G1254" s="21" t="n"/>
      <c r="H1254" s="12">
        <f>IF(AND(B1254="",D1254="",F1254=""),"",IF(NOT(ISNUMBER(B1254)),"Needs a date",IF(D1254="","Needs a client",IF(COUNTIF(Clients!$B$6:$B$105,D1254)=0,"Not on Clients",IF(AND(F1254="",INT(B1254)&lt;TODAY()),"Needs a status","")))))</f>
        <v/>
      </c>
      <c r="I1254" s="1">
        <f>IF(ISNUMBER(B1254),INT(B1254),0)</f>
        <v/>
      </c>
      <c r="J1254">
        <f>IF(ISNUMBER(B1254),YEAR(B1254)*100+MONTH(B1254),"")</f>
        <v/>
      </c>
      <c r="K1254">
        <f>IF(AND(H1254="",OR(F1254="Attended",F1254="No-show",AND(F1254="Late cancel",Settings!$C$9="Yes"))),1,0)</f>
        <v/>
      </c>
      <c r="L1254">
        <f>IF(AND(H1254="",F1254="Attended"),1,0)</f>
        <v/>
      </c>
      <c r="M1254">
        <f>IF(AND(H1254="",OR(F1254="No-show",F1254="Late cancel")),1,0)</f>
        <v/>
      </c>
      <c r="N1254">
        <f>IF(AND(H1254="",F1254="",D1254&lt;&gt;"",I1254&gt;=TODAY()),ROUND((I1254+IF(ISNUMBER(C1254),MOD(C1254,1),0))*1440,0)*10000+ROW(),"")</f>
        <v/>
      </c>
    </row>
    <row r="1255">
      <c r="A1255" s="1" t="n"/>
      <c r="B1255" s="17" t="n"/>
      <c r="C1255" s="18" t="n"/>
      <c r="D1255" s="19" t="n"/>
      <c r="E1255" s="20" t="n"/>
      <c r="F1255" s="20" t="n"/>
      <c r="G1255" s="21" t="n"/>
      <c r="H1255" s="12">
        <f>IF(AND(B1255="",D1255="",F1255=""),"",IF(NOT(ISNUMBER(B1255)),"Needs a date",IF(D1255="","Needs a client",IF(COUNTIF(Clients!$B$6:$B$105,D1255)=0,"Not on Clients",IF(AND(F1255="",INT(B1255)&lt;TODAY()),"Needs a status","")))))</f>
        <v/>
      </c>
      <c r="I1255" s="1">
        <f>IF(ISNUMBER(B1255),INT(B1255),0)</f>
        <v/>
      </c>
      <c r="J1255">
        <f>IF(ISNUMBER(B1255),YEAR(B1255)*100+MONTH(B1255),"")</f>
        <v/>
      </c>
      <c r="K1255">
        <f>IF(AND(H1255="",OR(F1255="Attended",F1255="No-show",AND(F1255="Late cancel",Settings!$C$9="Yes"))),1,0)</f>
        <v/>
      </c>
      <c r="L1255">
        <f>IF(AND(H1255="",F1255="Attended"),1,0)</f>
        <v/>
      </c>
      <c r="M1255">
        <f>IF(AND(H1255="",OR(F1255="No-show",F1255="Late cancel")),1,0)</f>
        <v/>
      </c>
      <c r="N1255">
        <f>IF(AND(H1255="",F1255="",D1255&lt;&gt;"",I1255&gt;=TODAY()),ROUND((I1255+IF(ISNUMBER(C1255),MOD(C1255,1),0))*1440,0)*10000+ROW(),"")</f>
        <v/>
      </c>
    </row>
    <row r="1256">
      <c r="A1256" s="1" t="n"/>
      <c r="B1256" s="17" t="n"/>
      <c r="C1256" s="18" t="n"/>
      <c r="D1256" s="19" t="n"/>
      <c r="E1256" s="20" t="n"/>
      <c r="F1256" s="20" t="n"/>
      <c r="G1256" s="21" t="n"/>
      <c r="H1256" s="12">
        <f>IF(AND(B1256="",D1256="",F1256=""),"",IF(NOT(ISNUMBER(B1256)),"Needs a date",IF(D1256="","Needs a client",IF(COUNTIF(Clients!$B$6:$B$105,D1256)=0,"Not on Clients",IF(AND(F1256="",INT(B1256)&lt;TODAY()),"Needs a status","")))))</f>
        <v/>
      </c>
      <c r="I1256" s="1">
        <f>IF(ISNUMBER(B1256),INT(B1256),0)</f>
        <v/>
      </c>
      <c r="J1256">
        <f>IF(ISNUMBER(B1256),YEAR(B1256)*100+MONTH(B1256),"")</f>
        <v/>
      </c>
      <c r="K1256">
        <f>IF(AND(H1256="",OR(F1256="Attended",F1256="No-show",AND(F1256="Late cancel",Settings!$C$9="Yes"))),1,0)</f>
        <v/>
      </c>
      <c r="L1256">
        <f>IF(AND(H1256="",F1256="Attended"),1,0)</f>
        <v/>
      </c>
      <c r="M1256">
        <f>IF(AND(H1256="",OR(F1256="No-show",F1256="Late cancel")),1,0)</f>
        <v/>
      </c>
      <c r="N1256">
        <f>IF(AND(H1256="",F1256="",D1256&lt;&gt;"",I1256&gt;=TODAY()),ROUND((I1256+IF(ISNUMBER(C1256),MOD(C1256,1),0))*1440,0)*10000+ROW(),"")</f>
        <v/>
      </c>
    </row>
    <row r="1257">
      <c r="A1257" s="1" t="n"/>
      <c r="B1257" s="17" t="n"/>
      <c r="C1257" s="18" t="n"/>
      <c r="D1257" s="19" t="n"/>
      <c r="E1257" s="20" t="n"/>
      <c r="F1257" s="20" t="n"/>
      <c r="G1257" s="21" t="n"/>
      <c r="H1257" s="12">
        <f>IF(AND(B1257="",D1257="",F1257=""),"",IF(NOT(ISNUMBER(B1257)),"Needs a date",IF(D1257="","Needs a client",IF(COUNTIF(Clients!$B$6:$B$105,D1257)=0,"Not on Clients",IF(AND(F1257="",INT(B1257)&lt;TODAY()),"Needs a status","")))))</f>
        <v/>
      </c>
      <c r="I1257" s="1">
        <f>IF(ISNUMBER(B1257),INT(B1257),0)</f>
        <v/>
      </c>
      <c r="J1257">
        <f>IF(ISNUMBER(B1257),YEAR(B1257)*100+MONTH(B1257),"")</f>
        <v/>
      </c>
      <c r="K1257">
        <f>IF(AND(H1257="",OR(F1257="Attended",F1257="No-show",AND(F1257="Late cancel",Settings!$C$9="Yes"))),1,0)</f>
        <v/>
      </c>
      <c r="L1257">
        <f>IF(AND(H1257="",F1257="Attended"),1,0)</f>
        <v/>
      </c>
      <c r="M1257">
        <f>IF(AND(H1257="",OR(F1257="No-show",F1257="Late cancel")),1,0)</f>
        <v/>
      </c>
      <c r="N1257">
        <f>IF(AND(H1257="",F1257="",D1257&lt;&gt;"",I1257&gt;=TODAY()),ROUND((I1257+IF(ISNUMBER(C1257),MOD(C1257,1),0))*1440,0)*10000+ROW(),"")</f>
        <v/>
      </c>
    </row>
    <row r="1258">
      <c r="A1258" s="1" t="n"/>
      <c r="B1258" s="17" t="n"/>
      <c r="C1258" s="18" t="n"/>
      <c r="D1258" s="19" t="n"/>
      <c r="E1258" s="20" t="n"/>
      <c r="F1258" s="20" t="n"/>
      <c r="G1258" s="21" t="n"/>
      <c r="H1258" s="12">
        <f>IF(AND(B1258="",D1258="",F1258=""),"",IF(NOT(ISNUMBER(B1258)),"Needs a date",IF(D1258="","Needs a client",IF(COUNTIF(Clients!$B$6:$B$105,D1258)=0,"Not on Clients",IF(AND(F1258="",INT(B1258)&lt;TODAY()),"Needs a status","")))))</f>
        <v/>
      </c>
      <c r="I1258" s="1">
        <f>IF(ISNUMBER(B1258),INT(B1258),0)</f>
        <v/>
      </c>
      <c r="J1258">
        <f>IF(ISNUMBER(B1258),YEAR(B1258)*100+MONTH(B1258),"")</f>
        <v/>
      </c>
      <c r="K1258">
        <f>IF(AND(H1258="",OR(F1258="Attended",F1258="No-show",AND(F1258="Late cancel",Settings!$C$9="Yes"))),1,0)</f>
        <v/>
      </c>
      <c r="L1258">
        <f>IF(AND(H1258="",F1258="Attended"),1,0)</f>
        <v/>
      </c>
      <c r="M1258">
        <f>IF(AND(H1258="",OR(F1258="No-show",F1258="Late cancel")),1,0)</f>
        <v/>
      </c>
      <c r="N1258">
        <f>IF(AND(H1258="",F1258="",D1258&lt;&gt;"",I1258&gt;=TODAY()),ROUND((I1258+IF(ISNUMBER(C1258),MOD(C1258,1),0))*1440,0)*10000+ROW(),"")</f>
        <v/>
      </c>
    </row>
    <row r="1259">
      <c r="A1259" s="1" t="n"/>
      <c r="B1259" s="17" t="n"/>
      <c r="C1259" s="18" t="n"/>
      <c r="D1259" s="19" t="n"/>
      <c r="E1259" s="20" t="n"/>
      <c r="F1259" s="20" t="n"/>
      <c r="G1259" s="21" t="n"/>
      <c r="H1259" s="12">
        <f>IF(AND(B1259="",D1259="",F1259=""),"",IF(NOT(ISNUMBER(B1259)),"Needs a date",IF(D1259="","Needs a client",IF(COUNTIF(Clients!$B$6:$B$105,D1259)=0,"Not on Clients",IF(AND(F1259="",INT(B1259)&lt;TODAY()),"Needs a status","")))))</f>
        <v/>
      </c>
      <c r="I1259" s="1">
        <f>IF(ISNUMBER(B1259),INT(B1259),0)</f>
        <v/>
      </c>
      <c r="J1259">
        <f>IF(ISNUMBER(B1259),YEAR(B1259)*100+MONTH(B1259),"")</f>
        <v/>
      </c>
      <c r="K1259">
        <f>IF(AND(H1259="",OR(F1259="Attended",F1259="No-show",AND(F1259="Late cancel",Settings!$C$9="Yes"))),1,0)</f>
        <v/>
      </c>
      <c r="L1259">
        <f>IF(AND(H1259="",F1259="Attended"),1,0)</f>
        <v/>
      </c>
      <c r="M1259">
        <f>IF(AND(H1259="",OR(F1259="No-show",F1259="Late cancel")),1,0)</f>
        <v/>
      </c>
      <c r="N1259">
        <f>IF(AND(H1259="",F1259="",D1259&lt;&gt;"",I1259&gt;=TODAY()),ROUND((I1259+IF(ISNUMBER(C1259),MOD(C1259,1),0))*1440,0)*10000+ROW(),"")</f>
        <v/>
      </c>
    </row>
    <row r="1260">
      <c r="A1260" s="1" t="n"/>
      <c r="B1260" s="17" t="n"/>
      <c r="C1260" s="18" t="n"/>
      <c r="D1260" s="19" t="n"/>
      <c r="E1260" s="20" t="n"/>
      <c r="F1260" s="20" t="n"/>
      <c r="G1260" s="21" t="n"/>
      <c r="H1260" s="12">
        <f>IF(AND(B1260="",D1260="",F1260=""),"",IF(NOT(ISNUMBER(B1260)),"Needs a date",IF(D1260="","Needs a client",IF(COUNTIF(Clients!$B$6:$B$105,D1260)=0,"Not on Clients",IF(AND(F1260="",INT(B1260)&lt;TODAY()),"Needs a status","")))))</f>
        <v/>
      </c>
      <c r="I1260" s="1">
        <f>IF(ISNUMBER(B1260),INT(B1260),0)</f>
        <v/>
      </c>
      <c r="J1260">
        <f>IF(ISNUMBER(B1260),YEAR(B1260)*100+MONTH(B1260),"")</f>
        <v/>
      </c>
      <c r="K1260">
        <f>IF(AND(H1260="",OR(F1260="Attended",F1260="No-show",AND(F1260="Late cancel",Settings!$C$9="Yes"))),1,0)</f>
        <v/>
      </c>
      <c r="L1260">
        <f>IF(AND(H1260="",F1260="Attended"),1,0)</f>
        <v/>
      </c>
      <c r="M1260">
        <f>IF(AND(H1260="",OR(F1260="No-show",F1260="Late cancel")),1,0)</f>
        <v/>
      </c>
      <c r="N1260">
        <f>IF(AND(H1260="",F1260="",D1260&lt;&gt;"",I1260&gt;=TODAY()),ROUND((I1260+IF(ISNUMBER(C1260),MOD(C1260,1),0))*1440,0)*10000+ROW(),"")</f>
        <v/>
      </c>
    </row>
    <row r="1261">
      <c r="A1261" s="1" t="n"/>
      <c r="B1261" s="17" t="n"/>
      <c r="C1261" s="18" t="n"/>
      <c r="D1261" s="19" t="n"/>
      <c r="E1261" s="20" t="n"/>
      <c r="F1261" s="20" t="n"/>
      <c r="G1261" s="21" t="n"/>
      <c r="H1261" s="12">
        <f>IF(AND(B1261="",D1261="",F1261=""),"",IF(NOT(ISNUMBER(B1261)),"Needs a date",IF(D1261="","Needs a client",IF(COUNTIF(Clients!$B$6:$B$105,D1261)=0,"Not on Clients",IF(AND(F1261="",INT(B1261)&lt;TODAY()),"Needs a status","")))))</f>
        <v/>
      </c>
      <c r="I1261" s="1">
        <f>IF(ISNUMBER(B1261),INT(B1261),0)</f>
        <v/>
      </c>
      <c r="J1261">
        <f>IF(ISNUMBER(B1261),YEAR(B1261)*100+MONTH(B1261),"")</f>
        <v/>
      </c>
      <c r="K1261">
        <f>IF(AND(H1261="",OR(F1261="Attended",F1261="No-show",AND(F1261="Late cancel",Settings!$C$9="Yes"))),1,0)</f>
        <v/>
      </c>
      <c r="L1261">
        <f>IF(AND(H1261="",F1261="Attended"),1,0)</f>
        <v/>
      </c>
      <c r="M1261">
        <f>IF(AND(H1261="",OR(F1261="No-show",F1261="Late cancel")),1,0)</f>
        <v/>
      </c>
      <c r="N1261">
        <f>IF(AND(H1261="",F1261="",D1261&lt;&gt;"",I1261&gt;=TODAY()),ROUND((I1261+IF(ISNUMBER(C1261),MOD(C1261,1),0))*1440,0)*10000+ROW(),"")</f>
        <v/>
      </c>
    </row>
    <row r="1262">
      <c r="A1262" s="1" t="n"/>
      <c r="B1262" s="17" t="n"/>
      <c r="C1262" s="18" t="n"/>
      <c r="D1262" s="19" t="n"/>
      <c r="E1262" s="20" t="n"/>
      <c r="F1262" s="20" t="n"/>
      <c r="G1262" s="21" t="n"/>
      <c r="H1262" s="12">
        <f>IF(AND(B1262="",D1262="",F1262=""),"",IF(NOT(ISNUMBER(B1262)),"Needs a date",IF(D1262="","Needs a client",IF(COUNTIF(Clients!$B$6:$B$105,D1262)=0,"Not on Clients",IF(AND(F1262="",INT(B1262)&lt;TODAY()),"Needs a status","")))))</f>
        <v/>
      </c>
      <c r="I1262" s="1">
        <f>IF(ISNUMBER(B1262),INT(B1262),0)</f>
        <v/>
      </c>
      <c r="J1262">
        <f>IF(ISNUMBER(B1262),YEAR(B1262)*100+MONTH(B1262),"")</f>
        <v/>
      </c>
      <c r="K1262">
        <f>IF(AND(H1262="",OR(F1262="Attended",F1262="No-show",AND(F1262="Late cancel",Settings!$C$9="Yes"))),1,0)</f>
        <v/>
      </c>
      <c r="L1262">
        <f>IF(AND(H1262="",F1262="Attended"),1,0)</f>
        <v/>
      </c>
      <c r="M1262">
        <f>IF(AND(H1262="",OR(F1262="No-show",F1262="Late cancel")),1,0)</f>
        <v/>
      </c>
      <c r="N1262">
        <f>IF(AND(H1262="",F1262="",D1262&lt;&gt;"",I1262&gt;=TODAY()),ROUND((I1262+IF(ISNUMBER(C1262),MOD(C1262,1),0))*1440,0)*10000+ROW(),"")</f>
        <v/>
      </c>
    </row>
    <row r="1263">
      <c r="A1263" s="1" t="n"/>
      <c r="B1263" s="17" t="n"/>
      <c r="C1263" s="18" t="n"/>
      <c r="D1263" s="19" t="n"/>
      <c r="E1263" s="20" t="n"/>
      <c r="F1263" s="20" t="n"/>
      <c r="G1263" s="21" t="n"/>
      <c r="H1263" s="12">
        <f>IF(AND(B1263="",D1263="",F1263=""),"",IF(NOT(ISNUMBER(B1263)),"Needs a date",IF(D1263="","Needs a client",IF(COUNTIF(Clients!$B$6:$B$105,D1263)=0,"Not on Clients",IF(AND(F1263="",INT(B1263)&lt;TODAY()),"Needs a status","")))))</f>
        <v/>
      </c>
      <c r="I1263" s="1">
        <f>IF(ISNUMBER(B1263),INT(B1263),0)</f>
        <v/>
      </c>
      <c r="J1263">
        <f>IF(ISNUMBER(B1263),YEAR(B1263)*100+MONTH(B1263),"")</f>
        <v/>
      </c>
      <c r="K1263">
        <f>IF(AND(H1263="",OR(F1263="Attended",F1263="No-show",AND(F1263="Late cancel",Settings!$C$9="Yes"))),1,0)</f>
        <v/>
      </c>
      <c r="L1263">
        <f>IF(AND(H1263="",F1263="Attended"),1,0)</f>
        <v/>
      </c>
      <c r="M1263">
        <f>IF(AND(H1263="",OR(F1263="No-show",F1263="Late cancel")),1,0)</f>
        <v/>
      </c>
      <c r="N1263">
        <f>IF(AND(H1263="",F1263="",D1263&lt;&gt;"",I1263&gt;=TODAY()),ROUND((I1263+IF(ISNUMBER(C1263),MOD(C1263,1),0))*1440,0)*10000+ROW(),"")</f>
        <v/>
      </c>
    </row>
    <row r="1264">
      <c r="A1264" s="1" t="n"/>
      <c r="B1264" s="17" t="n"/>
      <c r="C1264" s="18" t="n"/>
      <c r="D1264" s="19" t="n"/>
      <c r="E1264" s="20" t="n"/>
      <c r="F1264" s="20" t="n"/>
      <c r="G1264" s="21" t="n"/>
      <c r="H1264" s="12">
        <f>IF(AND(B1264="",D1264="",F1264=""),"",IF(NOT(ISNUMBER(B1264)),"Needs a date",IF(D1264="","Needs a client",IF(COUNTIF(Clients!$B$6:$B$105,D1264)=0,"Not on Clients",IF(AND(F1264="",INT(B1264)&lt;TODAY()),"Needs a status","")))))</f>
        <v/>
      </c>
      <c r="I1264" s="1">
        <f>IF(ISNUMBER(B1264),INT(B1264),0)</f>
        <v/>
      </c>
      <c r="J1264">
        <f>IF(ISNUMBER(B1264),YEAR(B1264)*100+MONTH(B1264),"")</f>
        <v/>
      </c>
      <c r="K1264">
        <f>IF(AND(H1264="",OR(F1264="Attended",F1264="No-show",AND(F1264="Late cancel",Settings!$C$9="Yes"))),1,0)</f>
        <v/>
      </c>
      <c r="L1264">
        <f>IF(AND(H1264="",F1264="Attended"),1,0)</f>
        <v/>
      </c>
      <c r="M1264">
        <f>IF(AND(H1264="",OR(F1264="No-show",F1264="Late cancel")),1,0)</f>
        <v/>
      </c>
      <c r="N1264">
        <f>IF(AND(H1264="",F1264="",D1264&lt;&gt;"",I1264&gt;=TODAY()),ROUND((I1264+IF(ISNUMBER(C1264),MOD(C1264,1),0))*1440,0)*10000+ROW(),"")</f>
        <v/>
      </c>
    </row>
    <row r="1265">
      <c r="A1265" s="1" t="n"/>
      <c r="B1265" s="17" t="n"/>
      <c r="C1265" s="18" t="n"/>
      <c r="D1265" s="19" t="n"/>
      <c r="E1265" s="20" t="n"/>
      <c r="F1265" s="20" t="n"/>
      <c r="G1265" s="21" t="n"/>
      <c r="H1265" s="12">
        <f>IF(AND(B1265="",D1265="",F1265=""),"",IF(NOT(ISNUMBER(B1265)),"Needs a date",IF(D1265="","Needs a client",IF(COUNTIF(Clients!$B$6:$B$105,D1265)=0,"Not on Clients",IF(AND(F1265="",INT(B1265)&lt;TODAY()),"Needs a status","")))))</f>
        <v/>
      </c>
      <c r="I1265" s="1">
        <f>IF(ISNUMBER(B1265),INT(B1265),0)</f>
        <v/>
      </c>
      <c r="J1265">
        <f>IF(ISNUMBER(B1265),YEAR(B1265)*100+MONTH(B1265),"")</f>
        <v/>
      </c>
      <c r="K1265">
        <f>IF(AND(H1265="",OR(F1265="Attended",F1265="No-show",AND(F1265="Late cancel",Settings!$C$9="Yes"))),1,0)</f>
        <v/>
      </c>
      <c r="L1265">
        <f>IF(AND(H1265="",F1265="Attended"),1,0)</f>
        <v/>
      </c>
      <c r="M1265">
        <f>IF(AND(H1265="",OR(F1265="No-show",F1265="Late cancel")),1,0)</f>
        <v/>
      </c>
      <c r="N1265">
        <f>IF(AND(H1265="",F1265="",D1265&lt;&gt;"",I1265&gt;=TODAY()),ROUND((I1265+IF(ISNUMBER(C1265),MOD(C1265,1),0))*1440,0)*10000+ROW(),"")</f>
        <v/>
      </c>
    </row>
    <row r="1266">
      <c r="A1266" s="1" t="n"/>
      <c r="B1266" s="17" t="n"/>
      <c r="C1266" s="18" t="n"/>
      <c r="D1266" s="19" t="n"/>
      <c r="E1266" s="20" t="n"/>
      <c r="F1266" s="20" t="n"/>
      <c r="G1266" s="21" t="n"/>
      <c r="H1266" s="12">
        <f>IF(AND(B1266="",D1266="",F1266=""),"",IF(NOT(ISNUMBER(B1266)),"Needs a date",IF(D1266="","Needs a client",IF(COUNTIF(Clients!$B$6:$B$105,D1266)=0,"Not on Clients",IF(AND(F1266="",INT(B1266)&lt;TODAY()),"Needs a status","")))))</f>
        <v/>
      </c>
      <c r="I1266" s="1">
        <f>IF(ISNUMBER(B1266),INT(B1266),0)</f>
        <v/>
      </c>
      <c r="J1266">
        <f>IF(ISNUMBER(B1266),YEAR(B1266)*100+MONTH(B1266),"")</f>
        <v/>
      </c>
      <c r="K1266">
        <f>IF(AND(H1266="",OR(F1266="Attended",F1266="No-show",AND(F1266="Late cancel",Settings!$C$9="Yes"))),1,0)</f>
        <v/>
      </c>
      <c r="L1266">
        <f>IF(AND(H1266="",F1266="Attended"),1,0)</f>
        <v/>
      </c>
      <c r="M1266">
        <f>IF(AND(H1266="",OR(F1266="No-show",F1266="Late cancel")),1,0)</f>
        <v/>
      </c>
      <c r="N1266">
        <f>IF(AND(H1266="",F1266="",D1266&lt;&gt;"",I1266&gt;=TODAY()),ROUND((I1266+IF(ISNUMBER(C1266),MOD(C1266,1),0))*1440,0)*10000+ROW(),"")</f>
        <v/>
      </c>
    </row>
    <row r="1267">
      <c r="A1267" s="1" t="n"/>
      <c r="B1267" s="17" t="n"/>
      <c r="C1267" s="18" t="n"/>
      <c r="D1267" s="19" t="n"/>
      <c r="E1267" s="20" t="n"/>
      <c r="F1267" s="20" t="n"/>
      <c r="G1267" s="21" t="n"/>
      <c r="H1267" s="12">
        <f>IF(AND(B1267="",D1267="",F1267=""),"",IF(NOT(ISNUMBER(B1267)),"Needs a date",IF(D1267="","Needs a client",IF(COUNTIF(Clients!$B$6:$B$105,D1267)=0,"Not on Clients",IF(AND(F1267="",INT(B1267)&lt;TODAY()),"Needs a status","")))))</f>
        <v/>
      </c>
      <c r="I1267" s="1">
        <f>IF(ISNUMBER(B1267),INT(B1267),0)</f>
        <v/>
      </c>
      <c r="J1267">
        <f>IF(ISNUMBER(B1267),YEAR(B1267)*100+MONTH(B1267),"")</f>
        <v/>
      </c>
      <c r="K1267">
        <f>IF(AND(H1267="",OR(F1267="Attended",F1267="No-show",AND(F1267="Late cancel",Settings!$C$9="Yes"))),1,0)</f>
        <v/>
      </c>
      <c r="L1267">
        <f>IF(AND(H1267="",F1267="Attended"),1,0)</f>
        <v/>
      </c>
      <c r="M1267">
        <f>IF(AND(H1267="",OR(F1267="No-show",F1267="Late cancel")),1,0)</f>
        <v/>
      </c>
      <c r="N1267">
        <f>IF(AND(H1267="",F1267="",D1267&lt;&gt;"",I1267&gt;=TODAY()),ROUND((I1267+IF(ISNUMBER(C1267),MOD(C1267,1),0))*1440,0)*10000+ROW(),"")</f>
        <v/>
      </c>
    </row>
    <row r="1268">
      <c r="A1268" s="1" t="n"/>
      <c r="B1268" s="17" t="n"/>
      <c r="C1268" s="18" t="n"/>
      <c r="D1268" s="19" t="n"/>
      <c r="E1268" s="20" t="n"/>
      <c r="F1268" s="20" t="n"/>
      <c r="G1268" s="21" t="n"/>
      <c r="H1268" s="12">
        <f>IF(AND(B1268="",D1268="",F1268=""),"",IF(NOT(ISNUMBER(B1268)),"Needs a date",IF(D1268="","Needs a client",IF(COUNTIF(Clients!$B$6:$B$105,D1268)=0,"Not on Clients",IF(AND(F1268="",INT(B1268)&lt;TODAY()),"Needs a status","")))))</f>
        <v/>
      </c>
      <c r="I1268" s="1">
        <f>IF(ISNUMBER(B1268),INT(B1268),0)</f>
        <v/>
      </c>
      <c r="J1268">
        <f>IF(ISNUMBER(B1268),YEAR(B1268)*100+MONTH(B1268),"")</f>
        <v/>
      </c>
      <c r="K1268">
        <f>IF(AND(H1268="",OR(F1268="Attended",F1268="No-show",AND(F1268="Late cancel",Settings!$C$9="Yes"))),1,0)</f>
        <v/>
      </c>
      <c r="L1268">
        <f>IF(AND(H1268="",F1268="Attended"),1,0)</f>
        <v/>
      </c>
      <c r="M1268">
        <f>IF(AND(H1268="",OR(F1268="No-show",F1268="Late cancel")),1,0)</f>
        <v/>
      </c>
      <c r="N1268">
        <f>IF(AND(H1268="",F1268="",D1268&lt;&gt;"",I1268&gt;=TODAY()),ROUND((I1268+IF(ISNUMBER(C1268),MOD(C1268,1),0))*1440,0)*10000+ROW(),"")</f>
        <v/>
      </c>
    </row>
    <row r="1269">
      <c r="A1269" s="1" t="n"/>
      <c r="B1269" s="17" t="n"/>
      <c r="C1269" s="18" t="n"/>
      <c r="D1269" s="19" t="n"/>
      <c r="E1269" s="20" t="n"/>
      <c r="F1269" s="20" t="n"/>
      <c r="G1269" s="21" t="n"/>
      <c r="H1269" s="12">
        <f>IF(AND(B1269="",D1269="",F1269=""),"",IF(NOT(ISNUMBER(B1269)),"Needs a date",IF(D1269="","Needs a client",IF(COUNTIF(Clients!$B$6:$B$105,D1269)=0,"Not on Clients",IF(AND(F1269="",INT(B1269)&lt;TODAY()),"Needs a status","")))))</f>
        <v/>
      </c>
      <c r="I1269" s="1">
        <f>IF(ISNUMBER(B1269),INT(B1269),0)</f>
        <v/>
      </c>
      <c r="J1269">
        <f>IF(ISNUMBER(B1269),YEAR(B1269)*100+MONTH(B1269),"")</f>
        <v/>
      </c>
      <c r="K1269">
        <f>IF(AND(H1269="",OR(F1269="Attended",F1269="No-show",AND(F1269="Late cancel",Settings!$C$9="Yes"))),1,0)</f>
        <v/>
      </c>
      <c r="L1269">
        <f>IF(AND(H1269="",F1269="Attended"),1,0)</f>
        <v/>
      </c>
      <c r="M1269">
        <f>IF(AND(H1269="",OR(F1269="No-show",F1269="Late cancel")),1,0)</f>
        <v/>
      </c>
      <c r="N1269">
        <f>IF(AND(H1269="",F1269="",D1269&lt;&gt;"",I1269&gt;=TODAY()),ROUND((I1269+IF(ISNUMBER(C1269),MOD(C1269,1),0))*1440,0)*10000+ROW(),"")</f>
        <v/>
      </c>
    </row>
    <row r="1270">
      <c r="A1270" s="1" t="n"/>
      <c r="B1270" s="17" t="n"/>
      <c r="C1270" s="18" t="n"/>
      <c r="D1270" s="19" t="n"/>
      <c r="E1270" s="20" t="n"/>
      <c r="F1270" s="20" t="n"/>
      <c r="G1270" s="21" t="n"/>
      <c r="H1270" s="12">
        <f>IF(AND(B1270="",D1270="",F1270=""),"",IF(NOT(ISNUMBER(B1270)),"Needs a date",IF(D1270="","Needs a client",IF(COUNTIF(Clients!$B$6:$B$105,D1270)=0,"Not on Clients",IF(AND(F1270="",INT(B1270)&lt;TODAY()),"Needs a status","")))))</f>
        <v/>
      </c>
      <c r="I1270" s="1">
        <f>IF(ISNUMBER(B1270),INT(B1270),0)</f>
        <v/>
      </c>
      <c r="J1270">
        <f>IF(ISNUMBER(B1270),YEAR(B1270)*100+MONTH(B1270),"")</f>
        <v/>
      </c>
      <c r="K1270">
        <f>IF(AND(H1270="",OR(F1270="Attended",F1270="No-show",AND(F1270="Late cancel",Settings!$C$9="Yes"))),1,0)</f>
        <v/>
      </c>
      <c r="L1270">
        <f>IF(AND(H1270="",F1270="Attended"),1,0)</f>
        <v/>
      </c>
      <c r="M1270">
        <f>IF(AND(H1270="",OR(F1270="No-show",F1270="Late cancel")),1,0)</f>
        <v/>
      </c>
      <c r="N1270">
        <f>IF(AND(H1270="",F1270="",D1270&lt;&gt;"",I1270&gt;=TODAY()),ROUND((I1270+IF(ISNUMBER(C1270),MOD(C1270,1),0))*1440,0)*10000+ROW(),"")</f>
        <v/>
      </c>
    </row>
    <row r="1271">
      <c r="A1271" s="1" t="n"/>
      <c r="B1271" s="17" t="n"/>
      <c r="C1271" s="18" t="n"/>
      <c r="D1271" s="19" t="n"/>
      <c r="E1271" s="20" t="n"/>
      <c r="F1271" s="20" t="n"/>
      <c r="G1271" s="21" t="n"/>
      <c r="H1271" s="12">
        <f>IF(AND(B1271="",D1271="",F1271=""),"",IF(NOT(ISNUMBER(B1271)),"Needs a date",IF(D1271="","Needs a client",IF(COUNTIF(Clients!$B$6:$B$105,D1271)=0,"Not on Clients",IF(AND(F1271="",INT(B1271)&lt;TODAY()),"Needs a status","")))))</f>
        <v/>
      </c>
      <c r="I1271" s="1">
        <f>IF(ISNUMBER(B1271),INT(B1271),0)</f>
        <v/>
      </c>
      <c r="J1271">
        <f>IF(ISNUMBER(B1271),YEAR(B1271)*100+MONTH(B1271),"")</f>
        <v/>
      </c>
      <c r="K1271">
        <f>IF(AND(H1271="",OR(F1271="Attended",F1271="No-show",AND(F1271="Late cancel",Settings!$C$9="Yes"))),1,0)</f>
        <v/>
      </c>
      <c r="L1271">
        <f>IF(AND(H1271="",F1271="Attended"),1,0)</f>
        <v/>
      </c>
      <c r="M1271">
        <f>IF(AND(H1271="",OR(F1271="No-show",F1271="Late cancel")),1,0)</f>
        <v/>
      </c>
      <c r="N1271">
        <f>IF(AND(H1271="",F1271="",D1271&lt;&gt;"",I1271&gt;=TODAY()),ROUND((I1271+IF(ISNUMBER(C1271),MOD(C1271,1),0))*1440,0)*10000+ROW(),"")</f>
        <v/>
      </c>
    </row>
    <row r="1272">
      <c r="A1272" s="1" t="n"/>
      <c r="B1272" s="17" t="n"/>
      <c r="C1272" s="18" t="n"/>
      <c r="D1272" s="19" t="n"/>
      <c r="E1272" s="20" t="n"/>
      <c r="F1272" s="20" t="n"/>
      <c r="G1272" s="21" t="n"/>
      <c r="H1272" s="12">
        <f>IF(AND(B1272="",D1272="",F1272=""),"",IF(NOT(ISNUMBER(B1272)),"Needs a date",IF(D1272="","Needs a client",IF(COUNTIF(Clients!$B$6:$B$105,D1272)=0,"Not on Clients",IF(AND(F1272="",INT(B1272)&lt;TODAY()),"Needs a status","")))))</f>
        <v/>
      </c>
      <c r="I1272" s="1">
        <f>IF(ISNUMBER(B1272),INT(B1272),0)</f>
        <v/>
      </c>
      <c r="J1272">
        <f>IF(ISNUMBER(B1272),YEAR(B1272)*100+MONTH(B1272),"")</f>
        <v/>
      </c>
      <c r="K1272">
        <f>IF(AND(H1272="",OR(F1272="Attended",F1272="No-show",AND(F1272="Late cancel",Settings!$C$9="Yes"))),1,0)</f>
        <v/>
      </c>
      <c r="L1272">
        <f>IF(AND(H1272="",F1272="Attended"),1,0)</f>
        <v/>
      </c>
      <c r="M1272">
        <f>IF(AND(H1272="",OR(F1272="No-show",F1272="Late cancel")),1,0)</f>
        <v/>
      </c>
      <c r="N1272">
        <f>IF(AND(H1272="",F1272="",D1272&lt;&gt;"",I1272&gt;=TODAY()),ROUND((I1272+IF(ISNUMBER(C1272),MOD(C1272,1),0))*1440,0)*10000+ROW(),"")</f>
        <v/>
      </c>
    </row>
    <row r="1273">
      <c r="A1273" s="1" t="n"/>
      <c r="B1273" s="17" t="n"/>
      <c r="C1273" s="18" t="n"/>
      <c r="D1273" s="19" t="n"/>
      <c r="E1273" s="20" t="n"/>
      <c r="F1273" s="20" t="n"/>
      <c r="G1273" s="21" t="n"/>
      <c r="H1273" s="12">
        <f>IF(AND(B1273="",D1273="",F1273=""),"",IF(NOT(ISNUMBER(B1273)),"Needs a date",IF(D1273="","Needs a client",IF(COUNTIF(Clients!$B$6:$B$105,D1273)=0,"Not on Clients",IF(AND(F1273="",INT(B1273)&lt;TODAY()),"Needs a status","")))))</f>
        <v/>
      </c>
      <c r="I1273" s="1">
        <f>IF(ISNUMBER(B1273),INT(B1273),0)</f>
        <v/>
      </c>
      <c r="J1273">
        <f>IF(ISNUMBER(B1273),YEAR(B1273)*100+MONTH(B1273),"")</f>
        <v/>
      </c>
      <c r="K1273">
        <f>IF(AND(H1273="",OR(F1273="Attended",F1273="No-show",AND(F1273="Late cancel",Settings!$C$9="Yes"))),1,0)</f>
        <v/>
      </c>
      <c r="L1273">
        <f>IF(AND(H1273="",F1273="Attended"),1,0)</f>
        <v/>
      </c>
      <c r="M1273">
        <f>IF(AND(H1273="",OR(F1273="No-show",F1273="Late cancel")),1,0)</f>
        <v/>
      </c>
      <c r="N1273">
        <f>IF(AND(H1273="",F1273="",D1273&lt;&gt;"",I1273&gt;=TODAY()),ROUND((I1273+IF(ISNUMBER(C1273),MOD(C1273,1),0))*1440,0)*10000+ROW(),"")</f>
        <v/>
      </c>
    </row>
    <row r="1274">
      <c r="A1274" s="1" t="n"/>
      <c r="B1274" s="17" t="n"/>
      <c r="C1274" s="18" t="n"/>
      <c r="D1274" s="19" t="n"/>
      <c r="E1274" s="20" t="n"/>
      <c r="F1274" s="20" t="n"/>
      <c r="G1274" s="21" t="n"/>
      <c r="H1274" s="12">
        <f>IF(AND(B1274="",D1274="",F1274=""),"",IF(NOT(ISNUMBER(B1274)),"Needs a date",IF(D1274="","Needs a client",IF(COUNTIF(Clients!$B$6:$B$105,D1274)=0,"Not on Clients",IF(AND(F1274="",INT(B1274)&lt;TODAY()),"Needs a status","")))))</f>
        <v/>
      </c>
      <c r="I1274" s="1">
        <f>IF(ISNUMBER(B1274),INT(B1274),0)</f>
        <v/>
      </c>
      <c r="J1274">
        <f>IF(ISNUMBER(B1274),YEAR(B1274)*100+MONTH(B1274),"")</f>
        <v/>
      </c>
      <c r="K1274">
        <f>IF(AND(H1274="",OR(F1274="Attended",F1274="No-show",AND(F1274="Late cancel",Settings!$C$9="Yes"))),1,0)</f>
        <v/>
      </c>
      <c r="L1274">
        <f>IF(AND(H1274="",F1274="Attended"),1,0)</f>
        <v/>
      </c>
      <c r="M1274">
        <f>IF(AND(H1274="",OR(F1274="No-show",F1274="Late cancel")),1,0)</f>
        <v/>
      </c>
      <c r="N1274">
        <f>IF(AND(H1274="",F1274="",D1274&lt;&gt;"",I1274&gt;=TODAY()),ROUND((I1274+IF(ISNUMBER(C1274),MOD(C1274,1),0))*1440,0)*10000+ROW(),"")</f>
        <v/>
      </c>
    </row>
    <row r="1275">
      <c r="A1275" s="1" t="n"/>
      <c r="B1275" s="17" t="n"/>
      <c r="C1275" s="18" t="n"/>
      <c r="D1275" s="19" t="n"/>
      <c r="E1275" s="20" t="n"/>
      <c r="F1275" s="20" t="n"/>
      <c r="G1275" s="21" t="n"/>
      <c r="H1275" s="12">
        <f>IF(AND(B1275="",D1275="",F1275=""),"",IF(NOT(ISNUMBER(B1275)),"Needs a date",IF(D1275="","Needs a client",IF(COUNTIF(Clients!$B$6:$B$105,D1275)=0,"Not on Clients",IF(AND(F1275="",INT(B1275)&lt;TODAY()),"Needs a status","")))))</f>
        <v/>
      </c>
      <c r="I1275" s="1">
        <f>IF(ISNUMBER(B1275),INT(B1275),0)</f>
        <v/>
      </c>
      <c r="J1275">
        <f>IF(ISNUMBER(B1275),YEAR(B1275)*100+MONTH(B1275),"")</f>
        <v/>
      </c>
      <c r="K1275">
        <f>IF(AND(H1275="",OR(F1275="Attended",F1275="No-show",AND(F1275="Late cancel",Settings!$C$9="Yes"))),1,0)</f>
        <v/>
      </c>
      <c r="L1275">
        <f>IF(AND(H1275="",F1275="Attended"),1,0)</f>
        <v/>
      </c>
      <c r="M1275">
        <f>IF(AND(H1275="",OR(F1275="No-show",F1275="Late cancel")),1,0)</f>
        <v/>
      </c>
      <c r="N1275">
        <f>IF(AND(H1275="",F1275="",D1275&lt;&gt;"",I1275&gt;=TODAY()),ROUND((I1275+IF(ISNUMBER(C1275),MOD(C1275,1),0))*1440,0)*10000+ROW(),"")</f>
        <v/>
      </c>
    </row>
    <row r="1276">
      <c r="A1276" s="1" t="n"/>
      <c r="B1276" s="17" t="n"/>
      <c r="C1276" s="18" t="n"/>
      <c r="D1276" s="19" t="n"/>
      <c r="E1276" s="20" t="n"/>
      <c r="F1276" s="20" t="n"/>
      <c r="G1276" s="21" t="n"/>
      <c r="H1276" s="12">
        <f>IF(AND(B1276="",D1276="",F1276=""),"",IF(NOT(ISNUMBER(B1276)),"Needs a date",IF(D1276="","Needs a client",IF(COUNTIF(Clients!$B$6:$B$105,D1276)=0,"Not on Clients",IF(AND(F1276="",INT(B1276)&lt;TODAY()),"Needs a status","")))))</f>
        <v/>
      </c>
      <c r="I1276" s="1">
        <f>IF(ISNUMBER(B1276),INT(B1276),0)</f>
        <v/>
      </c>
      <c r="J1276">
        <f>IF(ISNUMBER(B1276),YEAR(B1276)*100+MONTH(B1276),"")</f>
        <v/>
      </c>
      <c r="K1276">
        <f>IF(AND(H1276="",OR(F1276="Attended",F1276="No-show",AND(F1276="Late cancel",Settings!$C$9="Yes"))),1,0)</f>
        <v/>
      </c>
      <c r="L1276">
        <f>IF(AND(H1276="",F1276="Attended"),1,0)</f>
        <v/>
      </c>
      <c r="M1276">
        <f>IF(AND(H1276="",OR(F1276="No-show",F1276="Late cancel")),1,0)</f>
        <v/>
      </c>
      <c r="N1276">
        <f>IF(AND(H1276="",F1276="",D1276&lt;&gt;"",I1276&gt;=TODAY()),ROUND((I1276+IF(ISNUMBER(C1276),MOD(C1276,1),0))*1440,0)*10000+ROW(),"")</f>
        <v/>
      </c>
    </row>
    <row r="1277">
      <c r="A1277" s="1" t="n"/>
      <c r="B1277" s="17" t="n"/>
      <c r="C1277" s="18" t="n"/>
      <c r="D1277" s="19" t="n"/>
      <c r="E1277" s="20" t="n"/>
      <c r="F1277" s="20" t="n"/>
      <c r="G1277" s="21" t="n"/>
      <c r="H1277" s="12">
        <f>IF(AND(B1277="",D1277="",F1277=""),"",IF(NOT(ISNUMBER(B1277)),"Needs a date",IF(D1277="","Needs a client",IF(COUNTIF(Clients!$B$6:$B$105,D1277)=0,"Not on Clients",IF(AND(F1277="",INT(B1277)&lt;TODAY()),"Needs a status","")))))</f>
        <v/>
      </c>
      <c r="I1277" s="1">
        <f>IF(ISNUMBER(B1277),INT(B1277),0)</f>
        <v/>
      </c>
      <c r="J1277">
        <f>IF(ISNUMBER(B1277),YEAR(B1277)*100+MONTH(B1277),"")</f>
        <v/>
      </c>
      <c r="K1277">
        <f>IF(AND(H1277="",OR(F1277="Attended",F1277="No-show",AND(F1277="Late cancel",Settings!$C$9="Yes"))),1,0)</f>
        <v/>
      </c>
      <c r="L1277">
        <f>IF(AND(H1277="",F1277="Attended"),1,0)</f>
        <v/>
      </c>
      <c r="M1277">
        <f>IF(AND(H1277="",OR(F1277="No-show",F1277="Late cancel")),1,0)</f>
        <v/>
      </c>
      <c r="N1277">
        <f>IF(AND(H1277="",F1277="",D1277&lt;&gt;"",I1277&gt;=TODAY()),ROUND((I1277+IF(ISNUMBER(C1277),MOD(C1277,1),0))*1440,0)*10000+ROW(),"")</f>
        <v/>
      </c>
    </row>
    <row r="1278">
      <c r="A1278" s="1" t="n"/>
      <c r="B1278" s="17" t="n"/>
      <c r="C1278" s="18" t="n"/>
      <c r="D1278" s="19" t="n"/>
      <c r="E1278" s="20" t="n"/>
      <c r="F1278" s="20" t="n"/>
      <c r="G1278" s="21" t="n"/>
      <c r="H1278" s="12">
        <f>IF(AND(B1278="",D1278="",F1278=""),"",IF(NOT(ISNUMBER(B1278)),"Needs a date",IF(D1278="","Needs a client",IF(COUNTIF(Clients!$B$6:$B$105,D1278)=0,"Not on Clients",IF(AND(F1278="",INT(B1278)&lt;TODAY()),"Needs a status","")))))</f>
        <v/>
      </c>
      <c r="I1278" s="1">
        <f>IF(ISNUMBER(B1278),INT(B1278),0)</f>
        <v/>
      </c>
      <c r="J1278">
        <f>IF(ISNUMBER(B1278),YEAR(B1278)*100+MONTH(B1278),"")</f>
        <v/>
      </c>
      <c r="K1278">
        <f>IF(AND(H1278="",OR(F1278="Attended",F1278="No-show",AND(F1278="Late cancel",Settings!$C$9="Yes"))),1,0)</f>
        <v/>
      </c>
      <c r="L1278">
        <f>IF(AND(H1278="",F1278="Attended"),1,0)</f>
        <v/>
      </c>
      <c r="M1278">
        <f>IF(AND(H1278="",OR(F1278="No-show",F1278="Late cancel")),1,0)</f>
        <v/>
      </c>
      <c r="N1278">
        <f>IF(AND(H1278="",F1278="",D1278&lt;&gt;"",I1278&gt;=TODAY()),ROUND((I1278+IF(ISNUMBER(C1278),MOD(C1278,1),0))*1440,0)*10000+ROW(),"")</f>
        <v/>
      </c>
    </row>
    <row r="1279">
      <c r="A1279" s="1" t="n"/>
      <c r="B1279" s="17" t="n"/>
      <c r="C1279" s="18" t="n"/>
      <c r="D1279" s="19" t="n"/>
      <c r="E1279" s="20" t="n"/>
      <c r="F1279" s="20" t="n"/>
      <c r="G1279" s="21" t="n"/>
      <c r="H1279" s="12">
        <f>IF(AND(B1279="",D1279="",F1279=""),"",IF(NOT(ISNUMBER(B1279)),"Needs a date",IF(D1279="","Needs a client",IF(COUNTIF(Clients!$B$6:$B$105,D1279)=0,"Not on Clients",IF(AND(F1279="",INT(B1279)&lt;TODAY()),"Needs a status","")))))</f>
        <v/>
      </c>
      <c r="I1279" s="1">
        <f>IF(ISNUMBER(B1279),INT(B1279),0)</f>
        <v/>
      </c>
      <c r="J1279">
        <f>IF(ISNUMBER(B1279),YEAR(B1279)*100+MONTH(B1279),"")</f>
        <v/>
      </c>
      <c r="K1279">
        <f>IF(AND(H1279="",OR(F1279="Attended",F1279="No-show",AND(F1279="Late cancel",Settings!$C$9="Yes"))),1,0)</f>
        <v/>
      </c>
      <c r="L1279">
        <f>IF(AND(H1279="",F1279="Attended"),1,0)</f>
        <v/>
      </c>
      <c r="M1279">
        <f>IF(AND(H1279="",OR(F1279="No-show",F1279="Late cancel")),1,0)</f>
        <v/>
      </c>
      <c r="N1279">
        <f>IF(AND(H1279="",F1279="",D1279&lt;&gt;"",I1279&gt;=TODAY()),ROUND((I1279+IF(ISNUMBER(C1279),MOD(C1279,1),0))*1440,0)*10000+ROW(),"")</f>
        <v/>
      </c>
    </row>
    <row r="1280">
      <c r="A1280" s="1" t="n"/>
      <c r="B1280" s="17" t="n"/>
      <c r="C1280" s="18" t="n"/>
      <c r="D1280" s="19" t="n"/>
      <c r="E1280" s="20" t="n"/>
      <c r="F1280" s="20" t="n"/>
      <c r="G1280" s="21" t="n"/>
      <c r="H1280" s="12">
        <f>IF(AND(B1280="",D1280="",F1280=""),"",IF(NOT(ISNUMBER(B1280)),"Needs a date",IF(D1280="","Needs a client",IF(COUNTIF(Clients!$B$6:$B$105,D1280)=0,"Not on Clients",IF(AND(F1280="",INT(B1280)&lt;TODAY()),"Needs a status","")))))</f>
        <v/>
      </c>
      <c r="I1280" s="1">
        <f>IF(ISNUMBER(B1280),INT(B1280),0)</f>
        <v/>
      </c>
      <c r="J1280">
        <f>IF(ISNUMBER(B1280),YEAR(B1280)*100+MONTH(B1280),"")</f>
        <v/>
      </c>
      <c r="K1280">
        <f>IF(AND(H1280="",OR(F1280="Attended",F1280="No-show",AND(F1280="Late cancel",Settings!$C$9="Yes"))),1,0)</f>
        <v/>
      </c>
      <c r="L1280">
        <f>IF(AND(H1280="",F1280="Attended"),1,0)</f>
        <v/>
      </c>
      <c r="M1280">
        <f>IF(AND(H1280="",OR(F1280="No-show",F1280="Late cancel")),1,0)</f>
        <v/>
      </c>
      <c r="N1280">
        <f>IF(AND(H1280="",F1280="",D1280&lt;&gt;"",I1280&gt;=TODAY()),ROUND((I1280+IF(ISNUMBER(C1280),MOD(C1280,1),0))*1440,0)*10000+ROW(),"")</f>
        <v/>
      </c>
    </row>
    <row r="1281">
      <c r="A1281" s="1" t="n"/>
      <c r="B1281" s="17" t="n"/>
      <c r="C1281" s="18" t="n"/>
      <c r="D1281" s="19" t="n"/>
      <c r="E1281" s="20" t="n"/>
      <c r="F1281" s="20" t="n"/>
      <c r="G1281" s="21" t="n"/>
      <c r="H1281" s="12">
        <f>IF(AND(B1281="",D1281="",F1281=""),"",IF(NOT(ISNUMBER(B1281)),"Needs a date",IF(D1281="","Needs a client",IF(COUNTIF(Clients!$B$6:$B$105,D1281)=0,"Not on Clients",IF(AND(F1281="",INT(B1281)&lt;TODAY()),"Needs a status","")))))</f>
        <v/>
      </c>
      <c r="I1281" s="1">
        <f>IF(ISNUMBER(B1281),INT(B1281),0)</f>
        <v/>
      </c>
      <c r="J1281">
        <f>IF(ISNUMBER(B1281),YEAR(B1281)*100+MONTH(B1281),"")</f>
        <v/>
      </c>
      <c r="K1281">
        <f>IF(AND(H1281="",OR(F1281="Attended",F1281="No-show",AND(F1281="Late cancel",Settings!$C$9="Yes"))),1,0)</f>
        <v/>
      </c>
      <c r="L1281">
        <f>IF(AND(H1281="",F1281="Attended"),1,0)</f>
        <v/>
      </c>
      <c r="M1281">
        <f>IF(AND(H1281="",OR(F1281="No-show",F1281="Late cancel")),1,0)</f>
        <v/>
      </c>
      <c r="N1281">
        <f>IF(AND(H1281="",F1281="",D1281&lt;&gt;"",I1281&gt;=TODAY()),ROUND((I1281+IF(ISNUMBER(C1281),MOD(C1281,1),0))*1440,0)*10000+ROW(),"")</f>
        <v/>
      </c>
    </row>
    <row r="1282">
      <c r="A1282" s="1" t="n"/>
      <c r="B1282" s="17" t="n"/>
      <c r="C1282" s="18" t="n"/>
      <c r="D1282" s="19" t="n"/>
      <c r="E1282" s="20" t="n"/>
      <c r="F1282" s="20" t="n"/>
      <c r="G1282" s="21" t="n"/>
      <c r="H1282" s="12">
        <f>IF(AND(B1282="",D1282="",F1282=""),"",IF(NOT(ISNUMBER(B1282)),"Needs a date",IF(D1282="","Needs a client",IF(COUNTIF(Clients!$B$6:$B$105,D1282)=0,"Not on Clients",IF(AND(F1282="",INT(B1282)&lt;TODAY()),"Needs a status","")))))</f>
        <v/>
      </c>
      <c r="I1282" s="1">
        <f>IF(ISNUMBER(B1282),INT(B1282),0)</f>
        <v/>
      </c>
      <c r="J1282">
        <f>IF(ISNUMBER(B1282),YEAR(B1282)*100+MONTH(B1282),"")</f>
        <v/>
      </c>
      <c r="K1282">
        <f>IF(AND(H1282="",OR(F1282="Attended",F1282="No-show",AND(F1282="Late cancel",Settings!$C$9="Yes"))),1,0)</f>
        <v/>
      </c>
      <c r="L1282">
        <f>IF(AND(H1282="",F1282="Attended"),1,0)</f>
        <v/>
      </c>
      <c r="M1282">
        <f>IF(AND(H1282="",OR(F1282="No-show",F1282="Late cancel")),1,0)</f>
        <v/>
      </c>
      <c r="N1282">
        <f>IF(AND(H1282="",F1282="",D1282&lt;&gt;"",I1282&gt;=TODAY()),ROUND((I1282+IF(ISNUMBER(C1282),MOD(C1282,1),0))*1440,0)*10000+ROW(),"")</f>
        <v/>
      </c>
    </row>
    <row r="1283">
      <c r="A1283" s="1" t="n"/>
      <c r="B1283" s="17" t="n"/>
      <c r="C1283" s="18" t="n"/>
      <c r="D1283" s="19" t="n"/>
      <c r="E1283" s="20" t="n"/>
      <c r="F1283" s="20" t="n"/>
      <c r="G1283" s="21" t="n"/>
      <c r="H1283" s="12">
        <f>IF(AND(B1283="",D1283="",F1283=""),"",IF(NOT(ISNUMBER(B1283)),"Needs a date",IF(D1283="","Needs a client",IF(COUNTIF(Clients!$B$6:$B$105,D1283)=0,"Not on Clients",IF(AND(F1283="",INT(B1283)&lt;TODAY()),"Needs a status","")))))</f>
        <v/>
      </c>
      <c r="I1283" s="1">
        <f>IF(ISNUMBER(B1283),INT(B1283),0)</f>
        <v/>
      </c>
      <c r="J1283">
        <f>IF(ISNUMBER(B1283),YEAR(B1283)*100+MONTH(B1283),"")</f>
        <v/>
      </c>
      <c r="K1283">
        <f>IF(AND(H1283="",OR(F1283="Attended",F1283="No-show",AND(F1283="Late cancel",Settings!$C$9="Yes"))),1,0)</f>
        <v/>
      </c>
      <c r="L1283">
        <f>IF(AND(H1283="",F1283="Attended"),1,0)</f>
        <v/>
      </c>
      <c r="M1283">
        <f>IF(AND(H1283="",OR(F1283="No-show",F1283="Late cancel")),1,0)</f>
        <v/>
      </c>
      <c r="N1283">
        <f>IF(AND(H1283="",F1283="",D1283&lt;&gt;"",I1283&gt;=TODAY()),ROUND((I1283+IF(ISNUMBER(C1283),MOD(C1283,1),0))*1440,0)*10000+ROW(),"")</f>
        <v/>
      </c>
    </row>
    <row r="1284">
      <c r="A1284" s="1" t="n"/>
      <c r="B1284" s="17" t="n"/>
      <c r="C1284" s="18" t="n"/>
      <c r="D1284" s="19" t="n"/>
      <c r="E1284" s="20" t="n"/>
      <c r="F1284" s="20" t="n"/>
      <c r="G1284" s="21" t="n"/>
      <c r="H1284" s="12">
        <f>IF(AND(B1284="",D1284="",F1284=""),"",IF(NOT(ISNUMBER(B1284)),"Needs a date",IF(D1284="","Needs a client",IF(COUNTIF(Clients!$B$6:$B$105,D1284)=0,"Not on Clients",IF(AND(F1284="",INT(B1284)&lt;TODAY()),"Needs a status","")))))</f>
        <v/>
      </c>
      <c r="I1284" s="1">
        <f>IF(ISNUMBER(B1284),INT(B1284),0)</f>
        <v/>
      </c>
      <c r="J1284">
        <f>IF(ISNUMBER(B1284),YEAR(B1284)*100+MONTH(B1284),"")</f>
        <v/>
      </c>
      <c r="K1284">
        <f>IF(AND(H1284="",OR(F1284="Attended",F1284="No-show",AND(F1284="Late cancel",Settings!$C$9="Yes"))),1,0)</f>
        <v/>
      </c>
      <c r="L1284">
        <f>IF(AND(H1284="",F1284="Attended"),1,0)</f>
        <v/>
      </c>
      <c r="M1284">
        <f>IF(AND(H1284="",OR(F1284="No-show",F1284="Late cancel")),1,0)</f>
        <v/>
      </c>
      <c r="N1284">
        <f>IF(AND(H1284="",F1284="",D1284&lt;&gt;"",I1284&gt;=TODAY()),ROUND((I1284+IF(ISNUMBER(C1284),MOD(C1284,1),0))*1440,0)*10000+ROW(),"")</f>
        <v/>
      </c>
    </row>
    <row r="1285">
      <c r="A1285" s="1" t="n"/>
      <c r="B1285" s="17" t="n"/>
      <c r="C1285" s="18" t="n"/>
      <c r="D1285" s="19" t="n"/>
      <c r="E1285" s="20" t="n"/>
      <c r="F1285" s="20" t="n"/>
      <c r="G1285" s="21" t="n"/>
      <c r="H1285" s="12">
        <f>IF(AND(B1285="",D1285="",F1285=""),"",IF(NOT(ISNUMBER(B1285)),"Needs a date",IF(D1285="","Needs a client",IF(COUNTIF(Clients!$B$6:$B$105,D1285)=0,"Not on Clients",IF(AND(F1285="",INT(B1285)&lt;TODAY()),"Needs a status","")))))</f>
        <v/>
      </c>
      <c r="I1285" s="1">
        <f>IF(ISNUMBER(B1285),INT(B1285),0)</f>
        <v/>
      </c>
      <c r="J1285">
        <f>IF(ISNUMBER(B1285),YEAR(B1285)*100+MONTH(B1285),"")</f>
        <v/>
      </c>
      <c r="K1285">
        <f>IF(AND(H1285="",OR(F1285="Attended",F1285="No-show",AND(F1285="Late cancel",Settings!$C$9="Yes"))),1,0)</f>
        <v/>
      </c>
      <c r="L1285">
        <f>IF(AND(H1285="",F1285="Attended"),1,0)</f>
        <v/>
      </c>
      <c r="M1285">
        <f>IF(AND(H1285="",OR(F1285="No-show",F1285="Late cancel")),1,0)</f>
        <v/>
      </c>
      <c r="N1285">
        <f>IF(AND(H1285="",F1285="",D1285&lt;&gt;"",I1285&gt;=TODAY()),ROUND((I1285+IF(ISNUMBER(C1285),MOD(C1285,1),0))*1440,0)*10000+ROW(),"")</f>
        <v/>
      </c>
    </row>
    <row r="1286">
      <c r="A1286" s="1" t="n"/>
      <c r="B1286" s="17" t="n"/>
      <c r="C1286" s="18" t="n"/>
      <c r="D1286" s="19" t="n"/>
      <c r="E1286" s="20" t="n"/>
      <c r="F1286" s="20" t="n"/>
      <c r="G1286" s="21" t="n"/>
      <c r="H1286" s="12">
        <f>IF(AND(B1286="",D1286="",F1286=""),"",IF(NOT(ISNUMBER(B1286)),"Needs a date",IF(D1286="","Needs a client",IF(COUNTIF(Clients!$B$6:$B$105,D1286)=0,"Not on Clients",IF(AND(F1286="",INT(B1286)&lt;TODAY()),"Needs a status","")))))</f>
        <v/>
      </c>
      <c r="I1286" s="1">
        <f>IF(ISNUMBER(B1286),INT(B1286),0)</f>
        <v/>
      </c>
      <c r="J1286">
        <f>IF(ISNUMBER(B1286),YEAR(B1286)*100+MONTH(B1286),"")</f>
        <v/>
      </c>
      <c r="K1286">
        <f>IF(AND(H1286="",OR(F1286="Attended",F1286="No-show",AND(F1286="Late cancel",Settings!$C$9="Yes"))),1,0)</f>
        <v/>
      </c>
      <c r="L1286">
        <f>IF(AND(H1286="",F1286="Attended"),1,0)</f>
        <v/>
      </c>
      <c r="M1286">
        <f>IF(AND(H1286="",OR(F1286="No-show",F1286="Late cancel")),1,0)</f>
        <v/>
      </c>
      <c r="N1286">
        <f>IF(AND(H1286="",F1286="",D1286&lt;&gt;"",I1286&gt;=TODAY()),ROUND((I1286+IF(ISNUMBER(C1286),MOD(C1286,1),0))*1440,0)*10000+ROW(),"")</f>
        <v/>
      </c>
    </row>
    <row r="1287">
      <c r="A1287" s="1" t="n"/>
      <c r="B1287" s="17" t="n"/>
      <c r="C1287" s="18" t="n"/>
      <c r="D1287" s="19" t="n"/>
      <c r="E1287" s="20" t="n"/>
      <c r="F1287" s="20" t="n"/>
      <c r="G1287" s="21" t="n"/>
      <c r="H1287" s="12">
        <f>IF(AND(B1287="",D1287="",F1287=""),"",IF(NOT(ISNUMBER(B1287)),"Needs a date",IF(D1287="","Needs a client",IF(COUNTIF(Clients!$B$6:$B$105,D1287)=0,"Not on Clients",IF(AND(F1287="",INT(B1287)&lt;TODAY()),"Needs a status","")))))</f>
        <v/>
      </c>
      <c r="I1287" s="1">
        <f>IF(ISNUMBER(B1287),INT(B1287),0)</f>
        <v/>
      </c>
      <c r="J1287">
        <f>IF(ISNUMBER(B1287),YEAR(B1287)*100+MONTH(B1287),"")</f>
        <v/>
      </c>
      <c r="K1287">
        <f>IF(AND(H1287="",OR(F1287="Attended",F1287="No-show",AND(F1287="Late cancel",Settings!$C$9="Yes"))),1,0)</f>
        <v/>
      </c>
      <c r="L1287">
        <f>IF(AND(H1287="",F1287="Attended"),1,0)</f>
        <v/>
      </c>
      <c r="M1287">
        <f>IF(AND(H1287="",OR(F1287="No-show",F1287="Late cancel")),1,0)</f>
        <v/>
      </c>
      <c r="N1287">
        <f>IF(AND(H1287="",F1287="",D1287&lt;&gt;"",I1287&gt;=TODAY()),ROUND((I1287+IF(ISNUMBER(C1287),MOD(C1287,1),0))*1440,0)*10000+ROW(),"")</f>
        <v/>
      </c>
    </row>
    <row r="1288">
      <c r="A1288" s="1" t="n"/>
      <c r="B1288" s="17" t="n"/>
      <c r="C1288" s="18" t="n"/>
      <c r="D1288" s="19" t="n"/>
      <c r="E1288" s="20" t="n"/>
      <c r="F1288" s="20" t="n"/>
      <c r="G1288" s="21" t="n"/>
      <c r="H1288" s="12">
        <f>IF(AND(B1288="",D1288="",F1288=""),"",IF(NOT(ISNUMBER(B1288)),"Needs a date",IF(D1288="","Needs a client",IF(COUNTIF(Clients!$B$6:$B$105,D1288)=0,"Not on Clients",IF(AND(F1288="",INT(B1288)&lt;TODAY()),"Needs a status","")))))</f>
        <v/>
      </c>
      <c r="I1288" s="1">
        <f>IF(ISNUMBER(B1288),INT(B1288),0)</f>
        <v/>
      </c>
      <c r="J1288">
        <f>IF(ISNUMBER(B1288),YEAR(B1288)*100+MONTH(B1288),"")</f>
        <v/>
      </c>
      <c r="K1288">
        <f>IF(AND(H1288="",OR(F1288="Attended",F1288="No-show",AND(F1288="Late cancel",Settings!$C$9="Yes"))),1,0)</f>
        <v/>
      </c>
      <c r="L1288">
        <f>IF(AND(H1288="",F1288="Attended"),1,0)</f>
        <v/>
      </c>
      <c r="M1288">
        <f>IF(AND(H1288="",OR(F1288="No-show",F1288="Late cancel")),1,0)</f>
        <v/>
      </c>
      <c r="N1288">
        <f>IF(AND(H1288="",F1288="",D1288&lt;&gt;"",I1288&gt;=TODAY()),ROUND((I1288+IF(ISNUMBER(C1288),MOD(C1288,1),0))*1440,0)*10000+ROW(),"")</f>
        <v/>
      </c>
    </row>
    <row r="1289">
      <c r="A1289" s="1" t="n"/>
      <c r="B1289" s="17" t="n"/>
      <c r="C1289" s="18" t="n"/>
      <c r="D1289" s="19" t="n"/>
      <c r="E1289" s="20" t="n"/>
      <c r="F1289" s="20" t="n"/>
      <c r="G1289" s="21" t="n"/>
      <c r="H1289" s="12">
        <f>IF(AND(B1289="",D1289="",F1289=""),"",IF(NOT(ISNUMBER(B1289)),"Needs a date",IF(D1289="","Needs a client",IF(COUNTIF(Clients!$B$6:$B$105,D1289)=0,"Not on Clients",IF(AND(F1289="",INT(B1289)&lt;TODAY()),"Needs a status","")))))</f>
        <v/>
      </c>
      <c r="I1289" s="1">
        <f>IF(ISNUMBER(B1289),INT(B1289),0)</f>
        <v/>
      </c>
      <c r="J1289">
        <f>IF(ISNUMBER(B1289),YEAR(B1289)*100+MONTH(B1289),"")</f>
        <v/>
      </c>
      <c r="K1289">
        <f>IF(AND(H1289="",OR(F1289="Attended",F1289="No-show",AND(F1289="Late cancel",Settings!$C$9="Yes"))),1,0)</f>
        <v/>
      </c>
      <c r="L1289">
        <f>IF(AND(H1289="",F1289="Attended"),1,0)</f>
        <v/>
      </c>
      <c r="M1289">
        <f>IF(AND(H1289="",OR(F1289="No-show",F1289="Late cancel")),1,0)</f>
        <v/>
      </c>
      <c r="N1289">
        <f>IF(AND(H1289="",F1289="",D1289&lt;&gt;"",I1289&gt;=TODAY()),ROUND((I1289+IF(ISNUMBER(C1289),MOD(C1289,1),0))*1440,0)*10000+ROW(),"")</f>
        <v/>
      </c>
    </row>
    <row r="1290">
      <c r="A1290" s="1" t="n"/>
      <c r="B1290" s="17" t="n"/>
      <c r="C1290" s="18" t="n"/>
      <c r="D1290" s="19" t="n"/>
      <c r="E1290" s="20" t="n"/>
      <c r="F1290" s="20" t="n"/>
      <c r="G1290" s="21" t="n"/>
      <c r="H1290" s="12">
        <f>IF(AND(B1290="",D1290="",F1290=""),"",IF(NOT(ISNUMBER(B1290)),"Needs a date",IF(D1290="","Needs a client",IF(COUNTIF(Clients!$B$6:$B$105,D1290)=0,"Not on Clients",IF(AND(F1290="",INT(B1290)&lt;TODAY()),"Needs a status","")))))</f>
        <v/>
      </c>
      <c r="I1290" s="1">
        <f>IF(ISNUMBER(B1290),INT(B1290),0)</f>
        <v/>
      </c>
      <c r="J1290">
        <f>IF(ISNUMBER(B1290),YEAR(B1290)*100+MONTH(B1290),"")</f>
        <v/>
      </c>
      <c r="K1290">
        <f>IF(AND(H1290="",OR(F1290="Attended",F1290="No-show",AND(F1290="Late cancel",Settings!$C$9="Yes"))),1,0)</f>
        <v/>
      </c>
      <c r="L1290">
        <f>IF(AND(H1290="",F1290="Attended"),1,0)</f>
        <v/>
      </c>
      <c r="M1290">
        <f>IF(AND(H1290="",OR(F1290="No-show",F1290="Late cancel")),1,0)</f>
        <v/>
      </c>
      <c r="N1290">
        <f>IF(AND(H1290="",F1290="",D1290&lt;&gt;"",I1290&gt;=TODAY()),ROUND((I1290+IF(ISNUMBER(C1290),MOD(C1290,1),0))*1440,0)*10000+ROW(),"")</f>
        <v/>
      </c>
    </row>
    <row r="1291">
      <c r="A1291" s="1" t="n"/>
      <c r="B1291" s="17" t="n"/>
      <c r="C1291" s="18" t="n"/>
      <c r="D1291" s="19" t="n"/>
      <c r="E1291" s="20" t="n"/>
      <c r="F1291" s="20" t="n"/>
      <c r="G1291" s="21" t="n"/>
      <c r="H1291" s="12">
        <f>IF(AND(B1291="",D1291="",F1291=""),"",IF(NOT(ISNUMBER(B1291)),"Needs a date",IF(D1291="","Needs a client",IF(COUNTIF(Clients!$B$6:$B$105,D1291)=0,"Not on Clients",IF(AND(F1291="",INT(B1291)&lt;TODAY()),"Needs a status","")))))</f>
        <v/>
      </c>
      <c r="I1291" s="1">
        <f>IF(ISNUMBER(B1291),INT(B1291),0)</f>
        <v/>
      </c>
      <c r="J1291">
        <f>IF(ISNUMBER(B1291),YEAR(B1291)*100+MONTH(B1291),"")</f>
        <v/>
      </c>
      <c r="K1291">
        <f>IF(AND(H1291="",OR(F1291="Attended",F1291="No-show",AND(F1291="Late cancel",Settings!$C$9="Yes"))),1,0)</f>
        <v/>
      </c>
      <c r="L1291">
        <f>IF(AND(H1291="",F1291="Attended"),1,0)</f>
        <v/>
      </c>
      <c r="M1291">
        <f>IF(AND(H1291="",OR(F1291="No-show",F1291="Late cancel")),1,0)</f>
        <v/>
      </c>
      <c r="N1291">
        <f>IF(AND(H1291="",F1291="",D1291&lt;&gt;"",I1291&gt;=TODAY()),ROUND((I1291+IF(ISNUMBER(C1291),MOD(C1291,1),0))*1440,0)*10000+ROW(),"")</f>
        <v/>
      </c>
    </row>
    <row r="1292">
      <c r="A1292" s="1" t="n"/>
      <c r="B1292" s="17" t="n"/>
      <c r="C1292" s="18" t="n"/>
      <c r="D1292" s="19" t="n"/>
      <c r="E1292" s="20" t="n"/>
      <c r="F1292" s="20" t="n"/>
      <c r="G1292" s="21" t="n"/>
      <c r="H1292" s="12">
        <f>IF(AND(B1292="",D1292="",F1292=""),"",IF(NOT(ISNUMBER(B1292)),"Needs a date",IF(D1292="","Needs a client",IF(COUNTIF(Clients!$B$6:$B$105,D1292)=0,"Not on Clients",IF(AND(F1292="",INT(B1292)&lt;TODAY()),"Needs a status","")))))</f>
        <v/>
      </c>
      <c r="I1292" s="1">
        <f>IF(ISNUMBER(B1292),INT(B1292),0)</f>
        <v/>
      </c>
      <c r="J1292">
        <f>IF(ISNUMBER(B1292),YEAR(B1292)*100+MONTH(B1292),"")</f>
        <v/>
      </c>
      <c r="K1292">
        <f>IF(AND(H1292="",OR(F1292="Attended",F1292="No-show",AND(F1292="Late cancel",Settings!$C$9="Yes"))),1,0)</f>
        <v/>
      </c>
      <c r="L1292">
        <f>IF(AND(H1292="",F1292="Attended"),1,0)</f>
        <v/>
      </c>
      <c r="M1292">
        <f>IF(AND(H1292="",OR(F1292="No-show",F1292="Late cancel")),1,0)</f>
        <v/>
      </c>
      <c r="N1292">
        <f>IF(AND(H1292="",F1292="",D1292&lt;&gt;"",I1292&gt;=TODAY()),ROUND((I1292+IF(ISNUMBER(C1292),MOD(C1292,1),0))*1440,0)*10000+ROW(),"")</f>
        <v/>
      </c>
    </row>
    <row r="1293">
      <c r="A1293" s="1" t="n"/>
      <c r="B1293" s="17" t="n"/>
      <c r="C1293" s="18" t="n"/>
      <c r="D1293" s="19" t="n"/>
      <c r="E1293" s="20" t="n"/>
      <c r="F1293" s="20" t="n"/>
      <c r="G1293" s="21" t="n"/>
      <c r="H1293" s="12">
        <f>IF(AND(B1293="",D1293="",F1293=""),"",IF(NOT(ISNUMBER(B1293)),"Needs a date",IF(D1293="","Needs a client",IF(COUNTIF(Clients!$B$6:$B$105,D1293)=0,"Not on Clients",IF(AND(F1293="",INT(B1293)&lt;TODAY()),"Needs a status","")))))</f>
        <v/>
      </c>
      <c r="I1293" s="1">
        <f>IF(ISNUMBER(B1293),INT(B1293),0)</f>
        <v/>
      </c>
      <c r="J1293">
        <f>IF(ISNUMBER(B1293),YEAR(B1293)*100+MONTH(B1293),"")</f>
        <v/>
      </c>
      <c r="K1293">
        <f>IF(AND(H1293="",OR(F1293="Attended",F1293="No-show",AND(F1293="Late cancel",Settings!$C$9="Yes"))),1,0)</f>
        <v/>
      </c>
      <c r="L1293">
        <f>IF(AND(H1293="",F1293="Attended"),1,0)</f>
        <v/>
      </c>
      <c r="M1293">
        <f>IF(AND(H1293="",OR(F1293="No-show",F1293="Late cancel")),1,0)</f>
        <v/>
      </c>
      <c r="N1293">
        <f>IF(AND(H1293="",F1293="",D1293&lt;&gt;"",I1293&gt;=TODAY()),ROUND((I1293+IF(ISNUMBER(C1293),MOD(C1293,1),0))*1440,0)*10000+ROW(),"")</f>
        <v/>
      </c>
    </row>
    <row r="1294">
      <c r="A1294" s="1" t="n"/>
      <c r="B1294" s="17" t="n"/>
      <c r="C1294" s="18" t="n"/>
      <c r="D1294" s="19" t="n"/>
      <c r="E1294" s="20" t="n"/>
      <c r="F1294" s="20" t="n"/>
      <c r="G1294" s="21" t="n"/>
      <c r="H1294" s="12">
        <f>IF(AND(B1294="",D1294="",F1294=""),"",IF(NOT(ISNUMBER(B1294)),"Needs a date",IF(D1294="","Needs a client",IF(COUNTIF(Clients!$B$6:$B$105,D1294)=0,"Not on Clients",IF(AND(F1294="",INT(B1294)&lt;TODAY()),"Needs a status","")))))</f>
        <v/>
      </c>
      <c r="I1294" s="1">
        <f>IF(ISNUMBER(B1294),INT(B1294),0)</f>
        <v/>
      </c>
      <c r="J1294">
        <f>IF(ISNUMBER(B1294),YEAR(B1294)*100+MONTH(B1294),"")</f>
        <v/>
      </c>
      <c r="K1294">
        <f>IF(AND(H1294="",OR(F1294="Attended",F1294="No-show",AND(F1294="Late cancel",Settings!$C$9="Yes"))),1,0)</f>
        <v/>
      </c>
      <c r="L1294">
        <f>IF(AND(H1294="",F1294="Attended"),1,0)</f>
        <v/>
      </c>
      <c r="M1294">
        <f>IF(AND(H1294="",OR(F1294="No-show",F1294="Late cancel")),1,0)</f>
        <v/>
      </c>
      <c r="N1294">
        <f>IF(AND(H1294="",F1294="",D1294&lt;&gt;"",I1294&gt;=TODAY()),ROUND((I1294+IF(ISNUMBER(C1294),MOD(C1294,1),0))*1440,0)*10000+ROW(),"")</f>
        <v/>
      </c>
    </row>
    <row r="1295">
      <c r="A1295" s="1" t="n"/>
      <c r="B1295" s="17" t="n"/>
      <c r="C1295" s="18" t="n"/>
      <c r="D1295" s="19" t="n"/>
      <c r="E1295" s="20" t="n"/>
      <c r="F1295" s="20" t="n"/>
      <c r="G1295" s="21" t="n"/>
      <c r="H1295" s="12">
        <f>IF(AND(B1295="",D1295="",F1295=""),"",IF(NOT(ISNUMBER(B1295)),"Needs a date",IF(D1295="","Needs a client",IF(COUNTIF(Clients!$B$6:$B$105,D1295)=0,"Not on Clients",IF(AND(F1295="",INT(B1295)&lt;TODAY()),"Needs a status","")))))</f>
        <v/>
      </c>
      <c r="I1295" s="1">
        <f>IF(ISNUMBER(B1295),INT(B1295),0)</f>
        <v/>
      </c>
      <c r="J1295">
        <f>IF(ISNUMBER(B1295),YEAR(B1295)*100+MONTH(B1295),"")</f>
        <v/>
      </c>
      <c r="K1295">
        <f>IF(AND(H1295="",OR(F1295="Attended",F1295="No-show",AND(F1295="Late cancel",Settings!$C$9="Yes"))),1,0)</f>
        <v/>
      </c>
      <c r="L1295">
        <f>IF(AND(H1295="",F1295="Attended"),1,0)</f>
        <v/>
      </c>
      <c r="M1295">
        <f>IF(AND(H1295="",OR(F1295="No-show",F1295="Late cancel")),1,0)</f>
        <v/>
      </c>
      <c r="N1295">
        <f>IF(AND(H1295="",F1295="",D1295&lt;&gt;"",I1295&gt;=TODAY()),ROUND((I1295+IF(ISNUMBER(C1295),MOD(C1295,1),0))*1440,0)*10000+ROW(),"")</f>
        <v/>
      </c>
    </row>
    <row r="1296">
      <c r="A1296" s="1" t="n"/>
      <c r="B1296" s="17" t="n"/>
      <c r="C1296" s="18" t="n"/>
      <c r="D1296" s="19" t="n"/>
      <c r="E1296" s="20" t="n"/>
      <c r="F1296" s="20" t="n"/>
      <c r="G1296" s="21" t="n"/>
      <c r="H1296" s="12">
        <f>IF(AND(B1296="",D1296="",F1296=""),"",IF(NOT(ISNUMBER(B1296)),"Needs a date",IF(D1296="","Needs a client",IF(COUNTIF(Clients!$B$6:$B$105,D1296)=0,"Not on Clients",IF(AND(F1296="",INT(B1296)&lt;TODAY()),"Needs a status","")))))</f>
        <v/>
      </c>
      <c r="I1296" s="1">
        <f>IF(ISNUMBER(B1296),INT(B1296),0)</f>
        <v/>
      </c>
      <c r="J1296">
        <f>IF(ISNUMBER(B1296),YEAR(B1296)*100+MONTH(B1296),"")</f>
        <v/>
      </c>
      <c r="K1296">
        <f>IF(AND(H1296="",OR(F1296="Attended",F1296="No-show",AND(F1296="Late cancel",Settings!$C$9="Yes"))),1,0)</f>
        <v/>
      </c>
      <c r="L1296">
        <f>IF(AND(H1296="",F1296="Attended"),1,0)</f>
        <v/>
      </c>
      <c r="M1296">
        <f>IF(AND(H1296="",OR(F1296="No-show",F1296="Late cancel")),1,0)</f>
        <v/>
      </c>
      <c r="N1296">
        <f>IF(AND(H1296="",F1296="",D1296&lt;&gt;"",I1296&gt;=TODAY()),ROUND((I1296+IF(ISNUMBER(C1296),MOD(C1296,1),0))*1440,0)*10000+ROW(),"")</f>
        <v/>
      </c>
    </row>
    <row r="1297">
      <c r="A1297" s="1" t="n"/>
      <c r="B1297" s="17" t="n"/>
      <c r="C1297" s="18" t="n"/>
      <c r="D1297" s="19" t="n"/>
      <c r="E1297" s="20" t="n"/>
      <c r="F1297" s="20" t="n"/>
      <c r="G1297" s="21" t="n"/>
      <c r="H1297" s="12">
        <f>IF(AND(B1297="",D1297="",F1297=""),"",IF(NOT(ISNUMBER(B1297)),"Needs a date",IF(D1297="","Needs a client",IF(COUNTIF(Clients!$B$6:$B$105,D1297)=0,"Not on Clients",IF(AND(F1297="",INT(B1297)&lt;TODAY()),"Needs a status","")))))</f>
        <v/>
      </c>
      <c r="I1297" s="1">
        <f>IF(ISNUMBER(B1297),INT(B1297),0)</f>
        <v/>
      </c>
      <c r="J1297">
        <f>IF(ISNUMBER(B1297),YEAR(B1297)*100+MONTH(B1297),"")</f>
        <v/>
      </c>
      <c r="K1297">
        <f>IF(AND(H1297="",OR(F1297="Attended",F1297="No-show",AND(F1297="Late cancel",Settings!$C$9="Yes"))),1,0)</f>
        <v/>
      </c>
      <c r="L1297">
        <f>IF(AND(H1297="",F1297="Attended"),1,0)</f>
        <v/>
      </c>
      <c r="M1297">
        <f>IF(AND(H1297="",OR(F1297="No-show",F1297="Late cancel")),1,0)</f>
        <v/>
      </c>
      <c r="N1297">
        <f>IF(AND(H1297="",F1297="",D1297&lt;&gt;"",I1297&gt;=TODAY()),ROUND((I1297+IF(ISNUMBER(C1297),MOD(C1297,1),0))*1440,0)*10000+ROW(),"")</f>
        <v/>
      </c>
    </row>
    <row r="1298">
      <c r="A1298" s="1" t="n"/>
      <c r="B1298" s="17" t="n"/>
      <c r="C1298" s="18" t="n"/>
      <c r="D1298" s="19" t="n"/>
      <c r="E1298" s="20" t="n"/>
      <c r="F1298" s="20" t="n"/>
      <c r="G1298" s="21" t="n"/>
      <c r="H1298" s="12">
        <f>IF(AND(B1298="",D1298="",F1298=""),"",IF(NOT(ISNUMBER(B1298)),"Needs a date",IF(D1298="","Needs a client",IF(COUNTIF(Clients!$B$6:$B$105,D1298)=0,"Not on Clients",IF(AND(F1298="",INT(B1298)&lt;TODAY()),"Needs a status","")))))</f>
        <v/>
      </c>
      <c r="I1298" s="1">
        <f>IF(ISNUMBER(B1298),INT(B1298),0)</f>
        <v/>
      </c>
      <c r="J1298">
        <f>IF(ISNUMBER(B1298),YEAR(B1298)*100+MONTH(B1298),"")</f>
        <v/>
      </c>
      <c r="K1298">
        <f>IF(AND(H1298="",OR(F1298="Attended",F1298="No-show",AND(F1298="Late cancel",Settings!$C$9="Yes"))),1,0)</f>
        <v/>
      </c>
      <c r="L1298">
        <f>IF(AND(H1298="",F1298="Attended"),1,0)</f>
        <v/>
      </c>
      <c r="M1298">
        <f>IF(AND(H1298="",OR(F1298="No-show",F1298="Late cancel")),1,0)</f>
        <v/>
      </c>
      <c r="N1298">
        <f>IF(AND(H1298="",F1298="",D1298&lt;&gt;"",I1298&gt;=TODAY()),ROUND((I1298+IF(ISNUMBER(C1298),MOD(C1298,1),0))*1440,0)*10000+ROW(),"")</f>
        <v/>
      </c>
    </row>
    <row r="1299">
      <c r="A1299" s="1" t="n"/>
      <c r="B1299" s="17" t="n"/>
      <c r="C1299" s="18" t="n"/>
      <c r="D1299" s="19" t="n"/>
      <c r="E1299" s="20" t="n"/>
      <c r="F1299" s="20" t="n"/>
      <c r="G1299" s="21" t="n"/>
      <c r="H1299" s="12">
        <f>IF(AND(B1299="",D1299="",F1299=""),"",IF(NOT(ISNUMBER(B1299)),"Needs a date",IF(D1299="","Needs a client",IF(COUNTIF(Clients!$B$6:$B$105,D1299)=0,"Not on Clients",IF(AND(F1299="",INT(B1299)&lt;TODAY()),"Needs a status","")))))</f>
        <v/>
      </c>
      <c r="I1299" s="1">
        <f>IF(ISNUMBER(B1299),INT(B1299),0)</f>
        <v/>
      </c>
      <c r="J1299">
        <f>IF(ISNUMBER(B1299),YEAR(B1299)*100+MONTH(B1299),"")</f>
        <v/>
      </c>
      <c r="K1299">
        <f>IF(AND(H1299="",OR(F1299="Attended",F1299="No-show",AND(F1299="Late cancel",Settings!$C$9="Yes"))),1,0)</f>
        <v/>
      </c>
      <c r="L1299">
        <f>IF(AND(H1299="",F1299="Attended"),1,0)</f>
        <v/>
      </c>
      <c r="M1299">
        <f>IF(AND(H1299="",OR(F1299="No-show",F1299="Late cancel")),1,0)</f>
        <v/>
      </c>
      <c r="N1299">
        <f>IF(AND(H1299="",F1299="",D1299&lt;&gt;"",I1299&gt;=TODAY()),ROUND((I1299+IF(ISNUMBER(C1299),MOD(C1299,1),0))*1440,0)*10000+ROW(),"")</f>
        <v/>
      </c>
    </row>
    <row r="1300">
      <c r="A1300" s="1" t="n"/>
      <c r="B1300" s="17" t="n"/>
      <c r="C1300" s="18" t="n"/>
      <c r="D1300" s="19" t="n"/>
      <c r="E1300" s="20" t="n"/>
      <c r="F1300" s="20" t="n"/>
      <c r="G1300" s="21" t="n"/>
      <c r="H1300" s="12">
        <f>IF(AND(B1300="",D1300="",F1300=""),"",IF(NOT(ISNUMBER(B1300)),"Needs a date",IF(D1300="","Needs a client",IF(COUNTIF(Clients!$B$6:$B$105,D1300)=0,"Not on Clients",IF(AND(F1300="",INT(B1300)&lt;TODAY()),"Needs a status","")))))</f>
        <v/>
      </c>
      <c r="I1300" s="1">
        <f>IF(ISNUMBER(B1300),INT(B1300),0)</f>
        <v/>
      </c>
      <c r="J1300">
        <f>IF(ISNUMBER(B1300),YEAR(B1300)*100+MONTH(B1300),"")</f>
        <v/>
      </c>
      <c r="K1300">
        <f>IF(AND(H1300="",OR(F1300="Attended",F1300="No-show",AND(F1300="Late cancel",Settings!$C$9="Yes"))),1,0)</f>
        <v/>
      </c>
      <c r="L1300">
        <f>IF(AND(H1300="",F1300="Attended"),1,0)</f>
        <v/>
      </c>
      <c r="M1300">
        <f>IF(AND(H1300="",OR(F1300="No-show",F1300="Late cancel")),1,0)</f>
        <v/>
      </c>
      <c r="N1300">
        <f>IF(AND(H1300="",F1300="",D1300&lt;&gt;"",I1300&gt;=TODAY()),ROUND((I1300+IF(ISNUMBER(C1300),MOD(C1300,1),0))*1440,0)*10000+ROW(),"")</f>
        <v/>
      </c>
    </row>
    <row r="1301">
      <c r="A1301" s="1" t="n"/>
      <c r="B1301" s="17" t="n"/>
      <c r="C1301" s="18" t="n"/>
      <c r="D1301" s="19" t="n"/>
      <c r="E1301" s="20" t="n"/>
      <c r="F1301" s="20" t="n"/>
      <c r="G1301" s="21" t="n"/>
      <c r="H1301" s="12">
        <f>IF(AND(B1301="",D1301="",F1301=""),"",IF(NOT(ISNUMBER(B1301)),"Needs a date",IF(D1301="","Needs a client",IF(COUNTIF(Clients!$B$6:$B$105,D1301)=0,"Not on Clients",IF(AND(F1301="",INT(B1301)&lt;TODAY()),"Needs a status","")))))</f>
        <v/>
      </c>
      <c r="I1301" s="1">
        <f>IF(ISNUMBER(B1301),INT(B1301),0)</f>
        <v/>
      </c>
      <c r="J1301">
        <f>IF(ISNUMBER(B1301),YEAR(B1301)*100+MONTH(B1301),"")</f>
        <v/>
      </c>
      <c r="K1301">
        <f>IF(AND(H1301="",OR(F1301="Attended",F1301="No-show",AND(F1301="Late cancel",Settings!$C$9="Yes"))),1,0)</f>
        <v/>
      </c>
      <c r="L1301">
        <f>IF(AND(H1301="",F1301="Attended"),1,0)</f>
        <v/>
      </c>
      <c r="M1301">
        <f>IF(AND(H1301="",OR(F1301="No-show",F1301="Late cancel")),1,0)</f>
        <v/>
      </c>
      <c r="N1301">
        <f>IF(AND(H1301="",F1301="",D1301&lt;&gt;"",I1301&gt;=TODAY()),ROUND((I1301+IF(ISNUMBER(C1301),MOD(C1301,1),0))*1440,0)*10000+ROW(),"")</f>
        <v/>
      </c>
    </row>
    <row r="1302">
      <c r="A1302" s="1" t="n"/>
      <c r="B1302" s="17" t="n"/>
      <c r="C1302" s="18" t="n"/>
      <c r="D1302" s="19" t="n"/>
      <c r="E1302" s="20" t="n"/>
      <c r="F1302" s="20" t="n"/>
      <c r="G1302" s="21" t="n"/>
      <c r="H1302" s="12">
        <f>IF(AND(B1302="",D1302="",F1302=""),"",IF(NOT(ISNUMBER(B1302)),"Needs a date",IF(D1302="","Needs a client",IF(COUNTIF(Clients!$B$6:$B$105,D1302)=0,"Not on Clients",IF(AND(F1302="",INT(B1302)&lt;TODAY()),"Needs a status","")))))</f>
        <v/>
      </c>
      <c r="I1302" s="1">
        <f>IF(ISNUMBER(B1302),INT(B1302),0)</f>
        <v/>
      </c>
      <c r="J1302">
        <f>IF(ISNUMBER(B1302),YEAR(B1302)*100+MONTH(B1302),"")</f>
        <v/>
      </c>
      <c r="K1302">
        <f>IF(AND(H1302="",OR(F1302="Attended",F1302="No-show",AND(F1302="Late cancel",Settings!$C$9="Yes"))),1,0)</f>
        <v/>
      </c>
      <c r="L1302">
        <f>IF(AND(H1302="",F1302="Attended"),1,0)</f>
        <v/>
      </c>
      <c r="M1302">
        <f>IF(AND(H1302="",OR(F1302="No-show",F1302="Late cancel")),1,0)</f>
        <v/>
      </c>
      <c r="N1302">
        <f>IF(AND(H1302="",F1302="",D1302&lt;&gt;"",I1302&gt;=TODAY()),ROUND((I1302+IF(ISNUMBER(C1302),MOD(C1302,1),0))*1440,0)*10000+ROW(),"")</f>
        <v/>
      </c>
    </row>
    <row r="1303">
      <c r="A1303" s="1" t="n"/>
      <c r="B1303" s="17" t="n"/>
      <c r="C1303" s="18" t="n"/>
      <c r="D1303" s="19" t="n"/>
      <c r="E1303" s="20" t="n"/>
      <c r="F1303" s="20" t="n"/>
      <c r="G1303" s="21" t="n"/>
      <c r="H1303" s="12">
        <f>IF(AND(B1303="",D1303="",F1303=""),"",IF(NOT(ISNUMBER(B1303)),"Needs a date",IF(D1303="","Needs a client",IF(COUNTIF(Clients!$B$6:$B$105,D1303)=0,"Not on Clients",IF(AND(F1303="",INT(B1303)&lt;TODAY()),"Needs a status","")))))</f>
        <v/>
      </c>
      <c r="I1303" s="1">
        <f>IF(ISNUMBER(B1303),INT(B1303),0)</f>
        <v/>
      </c>
      <c r="J1303">
        <f>IF(ISNUMBER(B1303),YEAR(B1303)*100+MONTH(B1303),"")</f>
        <v/>
      </c>
      <c r="K1303">
        <f>IF(AND(H1303="",OR(F1303="Attended",F1303="No-show",AND(F1303="Late cancel",Settings!$C$9="Yes"))),1,0)</f>
        <v/>
      </c>
      <c r="L1303">
        <f>IF(AND(H1303="",F1303="Attended"),1,0)</f>
        <v/>
      </c>
      <c r="M1303">
        <f>IF(AND(H1303="",OR(F1303="No-show",F1303="Late cancel")),1,0)</f>
        <v/>
      </c>
      <c r="N1303">
        <f>IF(AND(H1303="",F1303="",D1303&lt;&gt;"",I1303&gt;=TODAY()),ROUND((I1303+IF(ISNUMBER(C1303),MOD(C1303,1),0))*1440,0)*10000+ROW(),"")</f>
        <v/>
      </c>
    </row>
    <row r="1304">
      <c r="A1304" s="1" t="n"/>
      <c r="B1304" s="17" t="n"/>
      <c r="C1304" s="18" t="n"/>
      <c r="D1304" s="19" t="n"/>
      <c r="E1304" s="20" t="n"/>
      <c r="F1304" s="20" t="n"/>
      <c r="G1304" s="21" t="n"/>
      <c r="H1304" s="12">
        <f>IF(AND(B1304="",D1304="",F1304=""),"",IF(NOT(ISNUMBER(B1304)),"Needs a date",IF(D1304="","Needs a client",IF(COUNTIF(Clients!$B$6:$B$105,D1304)=0,"Not on Clients",IF(AND(F1304="",INT(B1304)&lt;TODAY()),"Needs a status","")))))</f>
        <v/>
      </c>
      <c r="I1304" s="1">
        <f>IF(ISNUMBER(B1304),INT(B1304),0)</f>
        <v/>
      </c>
      <c r="J1304">
        <f>IF(ISNUMBER(B1304),YEAR(B1304)*100+MONTH(B1304),"")</f>
        <v/>
      </c>
      <c r="K1304">
        <f>IF(AND(H1304="",OR(F1304="Attended",F1304="No-show",AND(F1304="Late cancel",Settings!$C$9="Yes"))),1,0)</f>
        <v/>
      </c>
      <c r="L1304">
        <f>IF(AND(H1304="",F1304="Attended"),1,0)</f>
        <v/>
      </c>
      <c r="M1304">
        <f>IF(AND(H1304="",OR(F1304="No-show",F1304="Late cancel")),1,0)</f>
        <v/>
      </c>
      <c r="N1304">
        <f>IF(AND(H1304="",F1304="",D1304&lt;&gt;"",I1304&gt;=TODAY()),ROUND((I1304+IF(ISNUMBER(C1304),MOD(C1304,1),0))*1440,0)*10000+ROW(),"")</f>
        <v/>
      </c>
    </row>
    <row r="1305">
      <c r="A1305" s="1" t="n"/>
      <c r="B1305" s="17" t="n"/>
      <c r="C1305" s="18" t="n"/>
      <c r="D1305" s="19" t="n"/>
      <c r="E1305" s="20" t="n"/>
      <c r="F1305" s="20" t="n"/>
      <c r="G1305" s="21" t="n"/>
      <c r="H1305" s="12">
        <f>IF(AND(B1305="",D1305="",F1305=""),"",IF(NOT(ISNUMBER(B1305)),"Needs a date",IF(D1305="","Needs a client",IF(COUNTIF(Clients!$B$6:$B$105,D1305)=0,"Not on Clients",IF(AND(F1305="",INT(B1305)&lt;TODAY()),"Needs a status","")))))</f>
        <v/>
      </c>
      <c r="I1305" s="1">
        <f>IF(ISNUMBER(B1305),INT(B1305),0)</f>
        <v/>
      </c>
      <c r="J1305">
        <f>IF(ISNUMBER(B1305),YEAR(B1305)*100+MONTH(B1305),"")</f>
        <v/>
      </c>
      <c r="K1305">
        <f>IF(AND(H1305="",OR(F1305="Attended",F1305="No-show",AND(F1305="Late cancel",Settings!$C$9="Yes"))),1,0)</f>
        <v/>
      </c>
      <c r="L1305">
        <f>IF(AND(H1305="",F1305="Attended"),1,0)</f>
        <v/>
      </c>
      <c r="M1305">
        <f>IF(AND(H1305="",OR(F1305="No-show",F1305="Late cancel")),1,0)</f>
        <v/>
      </c>
      <c r="N1305">
        <f>IF(AND(H1305="",F1305="",D1305&lt;&gt;"",I1305&gt;=TODAY()),ROUND((I1305+IF(ISNUMBER(C1305),MOD(C1305,1),0))*1440,0)*10000+ROW(),"")</f>
        <v/>
      </c>
    </row>
    <row r="1306">
      <c r="A1306" s="1" t="n"/>
      <c r="B1306" s="17" t="n"/>
      <c r="C1306" s="18" t="n"/>
      <c r="D1306" s="19" t="n"/>
      <c r="E1306" s="20" t="n"/>
      <c r="F1306" s="20" t="n"/>
      <c r="G1306" s="21" t="n"/>
      <c r="H1306" s="12">
        <f>IF(AND(B1306="",D1306="",F1306=""),"",IF(NOT(ISNUMBER(B1306)),"Needs a date",IF(D1306="","Needs a client",IF(COUNTIF(Clients!$B$6:$B$105,D1306)=0,"Not on Clients",IF(AND(F1306="",INT(B1306)&lt;TODAY()),"Needs a status","")))))</f>
        <v/>
      </c>
      <c r="I1306" s="1">
        <f>IF(ISNUMBER(B1306),INT(B1306),0)</f>
        <v/>
      </c>
      <c r="J1306">
        <f>IF(ISNUMBER(B1306),YEAR(B1306)*100+MONTH(B1306),"")</f>
        <v/>
      </c>
      <c r="K1306">
        <f>IF(AND(H1306="",OR(F1306="Attended",F1306="No-show",AND(F1306="Late cancel",Settings!$C$9="Yes"))),1,0)</f>
        <v/>
      </c>
      <c r="L1306">
        <f>IF(AND(H1306="",F1306="Attended"),1,0)</f>
        <v/>
      </c>
      <c r="M1306">
        <f>IF(AND(H1306="",OR(F1306="No-show",F1306="Late cancel")),1,0)</f>
        <v/>
      </c>
      <c r="N1306">
        <f>IF(AND(H1306="",F1306="",D1306&lt;&gt;"",I1306&gt;=TODAY()),ROUND((I1306+IF(ISNUMBER(C1306),MOD(C1306,1),0))*1440,0)*10000+ROW(),"")</f>
        <v/>
      </c>
    </row>
    <row r="1307">
      <c r="A1307" s="1" t="n"/>
      <c r="B1307" s="17" t="n"/>
      <c r="C1307" s="18" t="n"/>
      <c r="D1307" s="19" t="n"/>
      <c r="E1307" s="20" t="n"/>
      <c r="F1307" s="20" t="n"/>
      <c r="G1307" s="21" t="n"/>
      <c r="H1307" s="12">
        <f>IF(AND(B1307="",D1307="",F1307=""),"",IF(NOT(ISNUMBER(B1307)),"Needs a date",IF(D1307="","Needs a client",IF(COUNTIF(Clients!$B$6:$B$105,D1307)=0,"Not on Clients",IF(AND(F1307="",INT(B1307)&lt;TODAY()),"Needs a status","")))))</f>
        <v/>
      </c>
      <c r="I1307" s="1">
        <f>IF(ISNUMBER(B1307),INT(B1307),0)</f>
        <v/>
      </c>
      <c r="J1307">
        <f>IF(ISNUMBER(B1307),YEAR(B1307)*100+MONTH(B1307),"")</f>
        <v/>
      </c>
      <c r="K1307">
        <f>IF(AND(H1307="",OR(F1307="Attended",F1307="No-show",AND(F1307="Late cancel",Settings!$C$9="Yes"))),1,0)</f>
        <v/>
      </c>
      <c r="L1307">
        <f>IF(AND(H1307="",F1307="Attended"),1,0)</f>
        <v/>
      </c>
      <c r="M1307">
        <f>IF(AND(H1307="",OR(F1307="No-show",F1307="Late cancel")),1,0)</f>
        <v/>
      </c>
      <c r="N1307">
        <f>IF(AND(H1307="",F1307="",D1307&lt;&gt;"",I1307&gt;=TODAY()),ROUND((I1307+IF(ISNUMBER(C1307),MOD(C1307,1),0))*1440,0)*10000+ROW(),"")</f>
        <v/>
      </c>
    </row>
    <row r="1308">
      <c r="A1308" s="1" t="n"/>
      <c r="B1308" s="17" t="n"/>
      <c r="C1308" s="18" t="n"/>
      <c r="D1308" s="19" t="n"/>
      <c r="E1308" s="20" t="n"/>
      <c r="F1308" s="20" t="n"/>
      <c r="G1308" s="21" t="n"/>
      <c r="H1308" s="12">
        <f>IF(AND(B1308="",D1308="",F1308=""),"",IF(NOT(ISNUMBER(B1308)),"Needs a date",IF(D1308="","Needs a client",IF(COUNTIF(Clients!$B$6:$B$105,D1308)=0,"Not on Clients",IF(AND(F1308="",INT(B1308)&lt;TODAY()),"Needs a status","")))))</f>
        <v/>
      </c>
      <c r="I1308" s="1">
        <f>IF(ISNUMBER(B1308),INT(B1308),0)</f>
        <v/>
      </c>
      <c r="J1308">
        <f>IF(ISNUMBER(B1308),YEAR(B1308)*100+MONTH(B1308),"")</f>
        <v/>
      </c>
      <c r="K1308">
        <f>IF(AND(H1308="",OR(F1308="Attended",F1308="No-show",AND(F1308="Late cancel",Settings!$C$9="Yes"))),1,0)</f>
        <v/>
      </c>
      <c r="L1308">
        <f>IF(AND(H1308="",F1308="Attended"),1,0)</f>
        <v/>
      </c>
      <c r="M1308">
        <f>IF(AND(H1308="",OR(F1308="No-show",F1308="Late cancel")),1,0)</f>
        <v/>
      </c>
      <c r="N1308">
        <f>IF(AND(H1308="",F1308="",D1308&lt;&gt;"",I1308&gt;=TODAY()),ROUND((I1308+IF(ISNUMBER(C1308),MOD(C1308,1),0))*1440,0)*10000+ROW(),"")</f>
        <v/>
      </c>
    </row>
    <row r="1309">
      <c r="A1309" s="1" t="n"/>
      <c r="B1309" s="17" t="n"/>
      <c r="C1309" s="18" t="n"/>
      <c r="D1309" s="19" t="n"/>
      <c r="E1309" s="20" t="n"/>
      <c r="F1309" s="20" t="n"/>
      <c r="G1309" s="21" t="n"/>
      <c r="H1309" s="12">
        <f>IF(AND(B1309="",D1309="",F1309=""),"",IF(NOT(ISNUMBER(B1309)),"Needs a date",IF(D1309="","Needs a client",IF(COUNTIF(Clients!$B$6:$B$105,D1309)=0,"Not on Clients",IF(AND(F1309="",INT(B1309)&lt;TODAY()),"Needs a status","")))))</f>
        <v/>
      </c>
      <c r="I1309" s="1">
        <f>IF(ISNUMBER(B1309),INT(B1309),0)</f>
        <v/>
      </c>
      <c r="J1309">
        <f>IF(ISNUMBER(B1309),YEAR(B1309)*100+MONTH(B1309),"")</f>
        <v/>
      </c>
      <c r="K1309">
        <f>IF(AND(H1309="",OR(F1309="Attended",F1309="No-show",AND(F1309="Late cancel",Settings!$C$9="Yes"))),1,0)</f>
        <v/>
      </c>
      <c r="L1309">
        <f>IF(AND(H1309="",F1309="Attended"),1,0)</f>
        <v/>
      </c>
      <c r="M1309">
        <f>IF(AND(H1309="",OR(F1309="No-show",F1309="Late cancel")),1,0)</f>
        <v/>
      </c>
      <c r="N1309">
        <f>IF(AND(H1309="",F1309="",D1309&lt;&gt;"",I1309&gt;=TODAY()),ROUND((I1309+IF(ISNUMBER(C1309),MOD(C1309,1),0))*1440,0)*10000+ROW(),"")</f>
        <v/>
      </c>
    </row>
    <row r="1310">
      <c r="A1310" s="1" t="n"/>
      <c r="B1310" s="17" t="n"/>
      <c r="C1310" s="18" t="n"/>
      <c r="D1310" s="19" t="n"/>
      <c r="E1310" s="20" t="n"/>
      <c r="F1310" s="20" t="n"/>
      <c r="G1310" s="21" t="n"/>
      <c r="H1310" s="12">
        <f>IF(AND(B1310="",D1310="",F1310=""),"",IF(NOT(ISNUMBER(B1310)),"Needs a date",IF(D1310="","Needs a client",IF(COUNTIF(Clients!$B$6:$B$105,D1310)=0,"Not on Clients",IF(AND(F1310="",INT(B1310)&lt;TODAY()),"Needs a status","")))))</f>
        <v/>
      </c>
      <c r="I1310" s="1">
        <f>IF(ISNUMBER(B1310),INT(B1310),0)</f>
        <v/>
      </c>
      <c r="J1310">
        <f>IF(ISNUMBER(B1310),YEAR(B1310)*100+MONTH(B1310),"")</f>
        <v/>
      </c>
      <c r="K1310">
        <f>IF(AND(H1310="",OR(F1310="Attended",F1310="No-show",AND(F1310="Late cancel",Settings!$C$9="Yes"))),1,0)</f>
        <v/>
      </c>
      <c r="L1310">
        <f>IF(AND(H1310="",F1310="Attended"),1,0)</f>
        <v/>
      </c>
      <c r="M1310">
        <f>IF(AND(H1310="",OR(F1310="No-show",F1310="Late cancel")),1,0)</f>
        <v/>
      </c>
      <c r="N1310">
        <f>IF(AND(H1310="",F1310="",D1310&lt;&gt;"",I1310&gt;=TODAY()),ROUND((I1310+IF(ISNUMBER(C1310),MOD(C1310,1),0))*1440,0)*10000+ROW(),"")</f>
        <v/>
      </c>
    </row>
    <row r="1311">
      <c r="A1311" s="1" t="n"/>
      <c r="B1311" s="17" t="n"/>
      <c r="C1311" s="18" t="n"/>
      <c r="D1311" s="19" t="n"/>
      <c r="E1311" s="20" t="n"/>
      <c r="F1311" s="20" t="n"/>
      <c r="G1311" s="21" t="n"/>
      <c r="H1311" s="12">
        <f>IF(AND(B1311="",D1311="",F1311=""),"",IF(NOT(ISNUMBER(B1311)),"Needs a date",IF(D1311="","Needs a client",IF(COUNTIF(Clients!$B$6:$B$105,D1311)=0,"Not on Clients",IF(AND(F1311="",INT(B1311)&lt;TODAY()),"Needs a status","")))))</f>
        <v/>
      </c>
      <c r="I1311" s="1">
        <f>IF(ISNUMBER(B1311),INT(B1311),0)</f>
        <v/>
      </c>
      <c r="J1311">
        <f>IF(ISNUMBER(B1311),YEAR(B1311)*100+MONTH(B1311),"")</f>
        <v/>
      </c>
      <c r="K1311">
        <f>IF(AND(H1311="",OR(F1311="Attended",F1311="No-show",AND(F1311="Late cancel",Settings!$C$9="Yes"))),1,0)</f>
        <v/>
      </c>
      <c r="L1311">
        <f>IF(AND(H1311="",F1311="Attended"),1,0)</f>
        <v/>
      </c>
      <c r="M1311">
        <f>IF(AND(H1311="",OR(F1311="No-show",F1311="Late cancel")),1,0)</f>
        <v/>
      </c>
      <c r="N1311">
        <f>IF(AND(H1311="",F1311="",D1311&lt;&gt;"",I1311&gt;=TODAY()),ROUND((I1311+IF(ISNUMBER(C1311),MOD(C1311,1),0))*1440,0)*10000+ROW(),"")</f>
        <v/>
      </c>
    </row>
    <row r="1312">
      <c r="A1312" s="1" t="n"/>
      <c r="B1312" s="17" t="n"/>
      <c r="C1312" s="18" t="n"/>
      <c r="D1312" s="19" t="n"/>
      <c r="E1312" s="20" t="n"/>
      <c r="F1312" s="20" t="n"/>
      <c r="G1312" s="21" t="n"/>
      <c r="H1312" s="12">
        <f>IF(AND(B1312="",D1312="",F1312=""),"",IF(NOT(ISNUMBER(B1312)),"Needs a date",IF(D1312="","Needs a client",IF(COUNTIF(Clients!$B$6:$B$105,D1312)=0,"Not on Clients",IF(AND(F1312="",INT(B1312)&lt;TODAY()),"Needs a status","")))))</f>
        <v/>
      </c>
      <c r="I1312" s="1">
        <f>IF(ISNUMBER(B1312),INT(B1312),0)</f>
        <v/>
      </c>
      <c r="J1312">
        <f>IF(ISNUMBER(B1312),YEAR(B1312)*100+MONTH(B1312),"")</f>
        <v/>
      </c>
      <c r="K1312">
        <f>IF(AND(H1312="",OR(F1312="Attended",F1312="No-show",AND(F1312="Late cancel",Settings!$C$9="Yes"))),1,0)</f>
        <v/>
      </c>
      <c r="L1312">
        <f>IF(AND(H1312="",F1312="Attended"),1,0)</f>
        <v/>
      </c>
      <c r="M1312">
        <f>IF(AND(H1312="",OR(F1312="No-show",F1312="Late cancel")),1,0)</f>
        <v/>
      </c>
      <c r="N1312">
        <f>IF(AND(H1312="",F1312="",D1312&lt;&gt;"",I1312&gt;=TODAY()),ROUND((I1312+IF(ISNUMBER(C1312),MOD(C1312,1),0))*1440,0)*10000+ROW(),"")</f>
        <v/>
      </c>
    </row>
    <row r="1313">
      <c r="A1313" s="1" t="n"/>
      <c r="B1313" s="17" t="n"/>
      <c r="C1313" s="18" t="n"/>
      <c r="D1313" s="19" t="n"/>
      <c r="E1313" s="20" t="n"/>
      <c r="F1313" s="20" t="n"/>
      <c r="G1313" s="21" t="n"/>
      <c r="H1313" s="12">
        <f>IF(AND(B1313="",D1313="",F1313=""),"",IF(NOT(ISNUMBER(B1313)),"Needs a date",IF(D1313="","Needs a client",IF(COUNTIF(Clients!$B$6:$B$105,D1313)=0,"Not on Clients",IF(AND(F1313="",INT(B1313)&lt;TODAY()),"Needs a status","")))))</f>
        <v/>
      </c>
      <c r="I1313" s="1">
        <f>IF(ISNUMBER(B1313),INT(B1313),0)</f>
        <v/>
      </c>
      <c r="J1313">
        <f>IF(ISNUMBER(B1313),YEAR(B1313)*100+MONTH(B1313),"")</f>
        <v/>
      </c>
      <c r="K1313">
        <f>IF(AND(H1313="",OR(F1313="Attended",F1313="No-show",AND(F1313="Late cancel",Settings!$C$9="Yes"))),1,0)</f>
        <v/>
      </c>
      <c r="L1313">
        <f>IF(AND(H1313="",F1313="Attended"),1,0)</f>
        <v/>
      </c>
      <c r="M1313">
        <f>IF(AND(H1313="",OR(F1313="No-show",F1313="Late cancel")),1,0)</f>
        <v/>
      </c>
      <c r="N1313">
        <f>IF(AND(H1313="",F1313="",D1313&lt;&gt;"",I1313&gt;=TODAY()),ROUND((I1313+IF(ISNUMBER(C1313),MOD(C1313,1),0))*1440,0)*10000+ROW(),"")</f>
        <v/>
      </c>
    </row>
    <row r="1314">
      <c r="A1314" s="1" t="n"/>
      <c r="B1314" s="17" t="n"/>
      <c r="C1314" s="18" t="n"/>
      <c r="D1314" s="19" t="n"/>
      <c r="E1314" s="20" t="n"/>
      <c r="F1314" s="20" t="n"/>
      <c r="G1314" s="21" t="n"/>
      <c r="H1314" s="12">
        <f>IF(AND(B1314="",D1314="",F1314=""),"",IF(NOT(ISNUMBER(B1314)),"Needs a date",IF(D1314="","Needs a client",IF(COUNTIF(Clients!$B$6:$B$105,D1314)=0,"Not on Clients",IF(AND(F1314="",INT(B1314)&lt;TODAY()),"Needs a status","")))))</f>
        <v/>
      </c>
      <c r="I1314" s="1">
        <f>IF(ISNUMBER(B1314),INT(B1314),0)</f>
        <v/>
      </c>
      <c r="J1314">
        <f>IF(ISNUMBER(B1314),YEAR(B1314)*100+MONTH(B1314),"")</f>
        <v/>
      </c>
      <c r="K1314">
        <f>IF(AND(H1314="",OR(F1314="Attended",F1314="No-show",AND(F1314="Late cancel",Settings!$C$9="Yes"))),1,0)</f>
        <v/>
      </c>
      <c r="L1314">
        <f>IF(AND(H1314="",F1314="Attended"),1,0)</f>
        <v/>
      </c>
      <c r="M1314">
        <f>IF(AND(H1314="",OR(F1314="No-show",F1314="Late cancel")),1,0)</f>
        <v/>
      </c>
      <c r="N1314">
        <f>IF(AND(H1314="",F1314="",D1314&lt;&gt;"",I1314&gt;=TODAY()),ROUND((I1314+IF(ISNUMBER(C1314),MOD(C1314,1),0))*1440,0)*10000+ROW(),"")</f>
        <v/>
      </c>
    </row>
    <row r="1315">
      <c r="A1315" s="1" t="n"/>
      <c r="B1315" s="17" t="n"/>
      <c r="C1315" s="18" t="n"/>
      <c r="D1315" s="19" t="n"/>
      <c r="E1315" s="20" t="n"/>
      <c r="F1315" s="20" t="n"/>
      <c r="G1315" s="21" t="n"/>
      <c r="H1315" s="12">
        <f>IF(AND(B1315="",D1315="",F1315=""),"",IF(NOT(ISNUMBER(B1315)),"Needs a date",IF(D1315="","Needs a client",IF(COUNTIF(Clients!$B$6:$B$105,D1315)=0,"Not on Clients",IF(AND(F1315="",INT(B1315)&lt;TODAY()),"Needs a status","")))))</f>
        <v/>
      </c>
      <c r="I1315" s="1">
        <f>IF(ISNUMBER(B1315),INT(B1315),0)</f>
        <v/>
      </c>
      <c r="J1315">
        <f>IF(ISNUMBER(B1315),YEAR(B1315)*100+MONTH(B1315),"")</f>
        <v/>
      </c>
      <c r="K1315">
        <f>IF(AND(H1315="",OR(F1315="Attended",F1315="No-show",AND(F1315="Late cancel",Settings!$C$9="Yes"))),1,0)</f>
        <v/>
      </c>
      <c r="L1315">
        <f>IF(AND(H1315="",F1315="Attended"),1,0)</f>
        <v/>
      </c>
      <c r="M1315">
        <f>IF(AND(H1315="",OR(F1315="No-show",F1315="Late cancel")),1,0)</f>
        <v/>
      </c>
      <c r="N1315">
        <f>IF(AND(H1315="",F1315="",D1315&lt;&gt;"",I1315&gt;=TODAY()),ROUND((I1315+IF(ISNUMBER(C1315),MOD(C1315,1),0))*1440,0)*10000+ROW(),"")</f>
        <v/>
      </c>
    </row>
    <row r="1316">
      <c r="A1316" s="1" t="n"/>
      <c r="B1316" s="17" t="n"/>
      <c r="C1316" s="18" t="n"/>
      <c r="D1316" s="19" t="n"/>
      <c r="E1316" s="20" t="n"/>
      <c r="F1316" s="20" t="n"/>
      <c r="G1316" s="21" t="n"/>
      <c r="H1316" s="12">
        <f>IF(AND(B1316="",D1316="",F1316=""),"",IF(NOT(ISNUMBER(B1316)),"Needs a date",IF(D1316="","Needs a client",IF(COUNTIF(Clients!$B$6:$B$105,D1316)=0,"Not on Clients",IF(AND(F1316="",INT(B1316)&lt;TODAY()),"Needs a status","")))))</f>
        <v/>
      </c>
      <c r="I1316" s="1">
        <f>IF(ISNUMBER(B1316),INT(B1316),0)</f>
        <v/>
      </c>
      <c r="J1316">
        <f>IF(ISNUMBER(B1316),YEAR(B1316)*100+MONTH(B1316),"")</f>
        <v/>
      </c>
      <c r="K1316">
        <f>IF(AND(H1316="",OR(F1316="Attended",F1316="No-show",AND(F1316="Late cancel",Settings!$C$9="Yes"))),1,0)</f>
        <v/>
      </c>
      <c r="L1316">
        <f>IF(AND(H1316="",F1316="Attended"),1,0)</f>
        <v/>
      </c>
      <c r="M1316">
        <f>IF(AND(H1316="",OR(F1316="No-show",F1316="Late cancel")),1,0)</f>
        <v/>
      </c>
      <c r="N1316">
        <f>IF(AND(H1316="",F1316="",D1316&lt;&gt;"",I1316&gt;=TODAY()),ROUND((I1316+IF(ISNUMBER(C1316),MOD(C1316,1),0))*1440,0)*10000+ROW(),"")</f>
        <v/>
      </c>
    </row>
    <row r="1317">
      <c r="A1317" s="1" t="n"/>
      <c r="B1317" s="17" t="n"/>
      <c r="C1317" s="18" t="n"/>
      <c r="D1317" s="19" t="n"/>
      <c r="E1317" s="20" t="n"/>
      <c r="F1317" s="20" t="n"/>
      <c r="G1317" s="21" t="n"/>
      <c r="H1317" s="12">
        <f>IF(AND(B1317="",D1317="",F1317=""),"",IF(NOT(ISNUMBER(B1317)),"Needs a date",IF(D1317="","Needs a client",IF(COUNTIF(Clients!$B$6:$B$105,D1317)=0,"Not on Clients",IF(AND(F1317="",INT(B1317)&lt;TODAY()),"Needs a status","")))))</f>
        <v/>
      </c>
      <c r="I1317" s="1">
        <f>IF(ISNUMBER(B1317),INT(B1317),0)</f>
        <v/>
      </c>
      <c r="J1317">
        <f>IF(ISNUMBER(B1317),YEAR(B1317)*100+MONTH(B1317),"")</f>
        <v/>
      </c>
      <c r="K1317">
        <f>IF(AND(H1317="",OR(F1317="Attended",F1317="No-show",AND(F1317="Late cancel",Settings!$C$9="Yes"))),1,0)</f>
        <v/>
      </c>
      <c r="L1317">
        <f>IF(AND(H1317="",F1317="Attended"),1,0)</f>
        <v/>
      </c>
      <c r="M1317">
        <f>IF(AND(H1317="",OR(F1317="No-show",F1317="Late cancel")),1,0)</f>
        <v/>
      </c>
      <c r="N1317">
        <f>IF(AND(H1317="",F1317="",D1317&lt;&gt;"",I1317&gt;=TODAY()),ROUND((I1317+IF(ISNUMBER(C1317),MOD(C1317,1),0))*1440,0)*10000+ROW(),"")</f>
        <v/>
      </c>
    </row>
    <row r="1318">
      <c r="A1318" s="1" t="n"/>
      <c r="B1318" s="17" t="n"/>
      <c r="C1318" s="18" t="n"/>
      <c r="D1318" s="19" t="n"/>
      <c r="E1318" s="20" t="n"/>
      <c r="F1318" s="20" t="n"/>
      <c r="G1318" s="21" t="n"/>
      <c r="H1318" s="12">
        <f>IF(AND(B1318="",D1318="",F1318=""),"",IF(NOT(ISNUMBER(B1318)),"Needs a date",IF(D1318="","Needs a client",IF(COUNTIF(Clients!$B$6:$B$105,D1318)=0,"Not on Clients",IF(AND(F1318="",INT(B1318)&lt;TODAY()),"Needs a status","")))))</f>
        <v/>
      </c>
      <c r="I1318" s="1">
        <f>IF(ISNUMBER(B1318),INT(B1318),0)</f>
        <v/>
      </c>
      <c r="J1318">
        <f>IF(ISNUMBER(B1318),YEAR(B1318)*100+MONTH(B1318),"")</f>
        <v/>
      </c>
      <c r="K1318">
        <f>IF(AND(H1318="",OR(F1318="Attended",F1318="No-show",AND(F1318="Late cancel",Settings!$C$9="Yes"))),1,0)</f>
        <v/>
      </c>
      <c r="L1318">
        <f>IF(AND(H1318="",F1318="Attended"),1,0)</f>
        <v/>
      </c>
      <c r="M1318">
        <f>IF(AND(H1318="",OR(F1318="No-show",F1318="Late cancel")),1,0)</f>
        <v/>
      </c>
      <c r="N1318">
        <f>IF(AND(H1318="",F1318="",D1318&lt;&gt;"",I1318&gt;=TODAY()),ROUND((I1318+IF(ISNUMBER(C1318),MOD(C1318,1),0))*1440,0)*10000+ROW(),"")</f>
        <v/>
      </c>
    </row>
    <row r="1319">
      <c r="A1319" s="1" t="n"/>
      <c r="B1319" s="17" t="n"/>
      <c r="C1319" s="18" t="n"/>
      <c r="D1319" s="19" t="n"/>
      <c r="E1319" s="20" t="n"/>
      <c r="F1319" s="20" t="n"/>
      <c r="G1319" s="21" t="n"/>
      <c r="H1319" s="12">
        <f>IF(AND(B1319="",D1319="",F1319=""),"",IF(NOT(ISNUMBER(B1319)),"Needs a date",IF(D1319="","Needs a client",IF(COUNTIF(Clients!$B$6:$B$105,D1319)=0,"Not on Clients",IF(AND(F1319="",INT(B1319)&lt;TODAY()),"Needs a status","")))))</f>
        <v/>
      </c>
      <c r="I1319" s="1">
        <f>IF(ISNUMBER(B1319),INT(B1319),0)</f>
        <v/>
      </c>
      <c r="J1319">
        <f>IF(ISNUMBER(B1319),YEAR(B1319)*100+MONTH(B1319),"")</f>
        <v/>
      </c>
      <c r="K1319">
        <f>IF(AND(H1319="",OR(F1319="Attended",F1319="No-show",AND(F1319="Late cancel",Settings!$C$9="Yes"))),1,0)</f>
        <v/>
      </c>
      <c r="L1319">
        <f>IF(AND(H1319="",F1319="Attended"),1,0)</f>
        <v/>
      </c>
      <c r="M1319">
        <f>IF(AND(H1319="",OR(F1319="No-show",F1319="Late cancel")),1,0)</f>
        <v/>
      </c>
      <c r="N1319">
        <f>IF(AND(H1319="",F1319="",D1319&lt;&gt;"",I1319&gt;=TODAY()),ROUND((I1319+IF(ISNUMBER(C1319),MOD(C1319,1),0))*1440,0)*10000+ROW(),"")</f>
        <v/>
      </c>
    </row>
    <row r="1320">
      <c r="A1320" s="1" t="n"/>
      <c r="B1320" s="17" t="n"/>
      <c r="C1320" s="18" t="n"/>
      <c r="D1320" s="19" t="n"/>
      <c r="E1320" s="20" t="n"/>
      <c r="F1320" s="20" t="n"/>
      <c r="G1320" s="21" t="n"/>
      <c r="H1320" s="12">
        <f>IF(AND(B1320="",D1320="",F1320=""),"",IF(NOT(ISNUMBER(B1320)),"Needs a date",IF(D1320="","Needs a client",IF(COUNTIF(Clients!$B$6:$B$105,D1320)=0,"Not on Clients",IF(AND(F1320="",INT(B1320)&lt;TODAY()),"Needs a status","")))))</f>
        <v/>
      </c>
      <c r="I1320" s="1">
        <f>IF(ISNUMBER(B1320),INT(B1320),0)</f>
        <v/>
      </c>
      <c r="J1320">
        <f>IF(ISNUMBER(B1320),YEAR(B1320)*100+MONTH(B1320),"")</f>
        <v/>
      </c>
      <c r="K1320">
        <f>IF(AND(H1320="",OR(F1320="Attended",F1320="No-show",AND(F1320="Late cancel",Settings!$C$9="Yes"))),1,0)</f>
        <v/>
      </c>
      <c r="L1320">
        <f>IF(AND(H1320="",F1320="Attended"),1,0)</f>
        <v/>
      </c>
      <c r="M1320">
        <f>IF(AND(H1320="",OR(F1320="No-show",F1320="Late cancel")),1,0)</f>
        <v/>
      </c>
      <c r="N1320">
        <f>IF(AND(H1320="",F1320="",D1320&lt;&gt;"",I1320&gt;=TODAY()),ROUND((I1320+IF(ISNUMBER(C1320),MOD(C1320,1),0))*1440,0)*10000+ROW(),"")</f>
        <v/>
      </c>
    </row>
    <row r="1321">
      <c r="A1321" s="1" t="n"/>
      <c r="B1321" s="17" t="n"/>
      <c r="C1321" s="18" t="n"/>
      <c r="D1321" s="19" t="n"/>
      <c r="E1321" s="20" t="n"/>
      <c r="F1321" s="20" t="n"/>
      <c r="G1321" s="21" t="n"/>
      <c r="H1321" s="12">
        <f>IF(AND(B1321="",D1321="",F1321=""),"",IF(NOT(ISNUMBER(B1321)),"Needs a date",IF(D1321="","Needs a client",IF(COUNTIF(Clients!$B$6:$B$105,D1321)=0,"Not on Clients",IF(AND(F1321="",INT(B1321)&lt;TODAY()),"Needs a status","")))))</f>
        <v/>
      </c>
      <c r="I1321" s="1">
        <f>IF(ISNUMBER(B1321),INT(B1321),0)</f>
        <v/>
      </c>
      <c r="J1321">
        <f>IF(ISNUMBER(B1321),YEAR(B1321)*100+MONTH(B1321),"")</f>
        <v/>
      </c>
      <c r="K1321">
        <f>IF(AND(H1321="",OR(F1321="Attended",F1321="No-show",AND(F1321="Late cancel",Settings!$C$9="Yes"))),1,0)</f>
        <v/>
      </c>
      <c r="L1321">
        <f>IF(AND(H1321="",F1321="Attended"),1,0)</f>
        <v/>
      </c>
      <c r="M1321">
        <f>IF(AND(H1321="",OR(F1321="No-show",F1321="Late cancel")),1,0)</f>
        <v/>
      </c>
      <c r="N1321">
        <f>IF(AND(H1321="",F1321="",D1321&lt;&gt;"",I1321&gt;=TODAY()),ROUND((I1321+IF(ISNUMBER(C1321),MOD(C1321,1),0))*1440,0)*10000+ROW(),"")</f>
        <v/>
      </c>
    </row>
    <row r="1322">
      <c r="A1322" s="1" t="n"/>
      <c r="B1322" s="17" t="n"/>
      <c r="C1322" s="18" t="n"/>
      <c r="D1322" s="19" t="n"/>
      <c r="E1322" s="20" t="n"/>
      <c r="F1322" s="20" t="n"/>
      <c r="G1322" s="21" t="n"/>
      <c r="H1322" s="12">
        <f>IF(AND(B1322="",D1322="",F1322=""),"",IF(NOT(ISNUMBER(B1322)),"Needs a date",IF(D1322="","Needs a client",IF(COUNTIF(Clients!$B$6:$B$105,D1322)=0,"Not on Clients",IF(AND(F1322="",INT(B1322)&lt;TODAY()),"Needs a status","")))))</f>
        <v/>
      </c>
      <c r="I1322" s="1">
        <f>IF(ISNUMBER(B1322),INT(B1322),0)</f>
        <v/>
      </c>
      <c r="J1322">
        <f>IF(ISNUMBER(B1322),YEAR(B1322)*100+MONTH(B1322),"")</f>
        <v/>
      </c>
      <c r="K1322">
        <f>IF(AND(H1322="",OR(F1322="Attended",F1322="No-show",AND(F1322="Late cancel",Settings!$C$9="Yes"))),1,0)</f>
        <v/>
      </c>
      <c r="L1322">
        <f>IF(AND(H1322="",F1322="Attended"),1,0)</f>
        <v/>
      </c>
      <c r="M1322">
        <f>IF(AND(H1322="",OR(F1322="No-show",F1322="Late cancel")),1,0)</f>
        <v/>
      </c>
      <c r="N1322">
        <f>IF(AND(H1322="",F1322="",D1322&lt;&gt;"",I1322&gt;=TODAY()),ROUND((I1322+IF(ISNUMBER(C1322),MOD(C1322,1),0))*1440,0)*10000+ROW(),"")</f>
        <v/>
      </c>
    </row>
    <row r="1323">
      <c r="A1323" s="1" t="n"/>
      <c r="B1323" s="17" t="n"/>
      <c r="C1323" s="18" t="n"/>
      <c r="D1323" s="19" t="n"/>
      <c r="E1323" s="20" t="n"/>
      <c r="F1323" s="20" t="n"/>
      <c r="G1323" s="21" t="n"/>
      <c r="H1323" s="12">
        <f>IF(AND(B1323="",D1323="",F1323=""),"",IF(NOT(ISNUMBER(B1323)),"Needs a date",IF(D1323="","Needs a client",IF(COUNTIF(Clients!$B$6:$B$105,D1323)=0,"Not on Clients",IF(AND(F1323="",INT(B1323)&lt;TODAY()),"Needs a status","")))))</f>
        <v/>
      </c>
      <c r="I1323" s="1">
        <f>IF(ISNUMBER(B1323),INT(B1323),0)</f>
        <v/>
      </c>
      <c r="J1323">
        <f>IF(ISNUMBER(B1323),YEAR(B1323)*100+MONTH(B1323),"")</f>
        <v/>
      </c>
      <c r="K1323">
        <f>IF(AND(H1323="",OR(F1323="Attended",F1323="No-show",AND(F1323="Late cancel",Settings!$C$9="Yes"))),1,0)</f>
        <v/>
      </c>
      <c r="L1323">
        <f>IF(AND(H1323="",F1323="Attended"),1,0)</f>
        <v/>
      </c>
      <c r="M1323">
        <f>IF(AND(H1323="",OR(F1323="No-show",F1323="Late cancel")),1,0)</f>
        <v/>
      </c>
      <c r="N1323">
        <f>IF(AND(H1323="",F1323="",D1323&lt;&gt;"",I1323&gt;=TODAY()),ROUND((I1323+IF(ISNUMBER(C1323),MOD(C1323,1),0))*1440,0)*10000+ROW(),"")</f>
        <v/>
      </c>
    </row>
    <row r="1324">
      <c r="A1324" s="1" t="n"/>
      <c r="B1324" s="17" t="n"/>
      <c r="C1324" s="18" t="n"/>
      <c r="D1324" s="19" t="n"/>
      <c r="E1324" s="20" t="n"/>
      <c r="F1324" s="20" t="n"/>
      <c r="G1324" s="21" t="n"/>
      <c r="H1324" s="12">
        <f>IF(AND(B1324="",D1324="",F1324=""),"",IF(NOT(ISNUMBER(B1324)),"Needs a date",IF(D1324="","Needs a client",IF(COUNTIF(Clients!$B$6:$B$105,D1324)=0,"Not on Clients",IF(AND(F1324="",INT(B1324)&lt;TODAY()),"Needs a status","")))))</f>
        <v/>
      </c>
      <c r="I1324" s="1">
        <f>IF(ISNUMBER(B1324),INT(B1324),0)</f>
        <v/>
      </c>
      <c r="J1324">
        <f>IF(ISNUMBER(B1324),YEAR(B1324)*100+MONTH(B1324),"")</f>
        <v/>
      </c>
      <c r="K1324">
        <f>IF(AND(H1324="",OR(F1324="Attended",F1324="No-show",AND(F1324="Late cancel",Settings!$C$9="Yes"))),1,0)</f>
        <v/>
      </c>
      <c r="L1324">
        <f>IF(AND(H1324="",F1324="Attended"),1,0)</f>
        <v/>
      </c>
      <c r="M1324">
        <f>IF(AND(H1324="",OR(F1324="No-show",F1324="Late cancel")),1,0)</f>
        <v/>
      </c>
      <c r="N1324">
        <f>IF(AND(H1324="",F1324="",D1324&lt;&gt;"",I1324&gt;=TODAY()),ROUND((I1324+IF(ISNUMBER(C1324),MOD(C1324,1),0))*1440,0)*10000+ROW(),"")</f>
        <v/>
      </c>
    </row>
    <row r="1325">
      <c r="A1325" s="1" t="n"/>
      <c r="B1325" s="17" t="n"/>
      <c r="C1325" s="18" t="n"/>
      <c r="D1325" s="19" t="n"/>
      <c r="E1325" s="20" t="n"/>
      <c r="F1325" s="20" t="n"/>
      <c r="G1325" s="21" t="n"/>
      <c r="H1325" s="12">
        <f>IF(AND(B1325="",D1325="",F1325=""),"",IF(NOT(ISNUMBER(B1325)),"Needs a date",IF(D1325="","Needs a client",IF(COUNTIF(Clients!$B$6:$B$105,D1325)=0,"Not on Clients",IF(AND(F1325="",INT(B1325)&lt;TODAY()),"Needs a status","")))))</f>
        <v/>
      </c>
      <c r="I1325" s="1">
        <f>IF(ISNUMBER(B1325),INT(B1325),0)</f>
        <v/>
      </c>
      <c r="J1325">
        <f>IF(ISNUMBER(B1325),YEAR(B1325)*100+MONTH(B1325),"")</f>
        <v/>
      </c>
      <c r="K1325">
        <f>IF(AND(H1325="",OR(F1325="Attended",F1325="No-show",AND(F1325="Late cancel",Settings!$C$9="Yes"))),1,0)</f>
        <v/>
      </c>
      <c r="L1325">
        <f>IF(AND(H1325="",F1325="Attended"),1,0)</f>
        <v/>
      </c>
      <c r="M1325">
        <f>IF(AND(H1325="",OR(F1325="No-show",F1325="Late cancel")),1,0)</f>
        <v/>
      </c>
      <c r="N1325">
        <f>IF(AND(H1325="",F1325="",D1325&lt;&gt;"",I1325&gt;=TODAY()),ROUND((I1325+IF(ISNUMBER(C1325),MOD(C1325,1),0))*1440,0)*10000+ROW(),"")</f>
        <v/>
      </c>
    </row>
    <row r="1326">
      <c r="A1326" s="1" t="n"/>
      <c r="B1326" s="17" t="n"/>
      <c r="C1326" s="18" t="n"/>
      <c r="D1326" s="19" t="n"/>
      <c r="E1326" s="20" t="n"/>
      <c r="F1326" s="20" t="n"/>
      <c r="G1326" s="21" t="n"/>
      <c r="H1326" s="12">
        <f>IF(AND(B1326="",D1326="",F1326=""),"",IF(NOT(ISNUMBER(B1326)),"Needs a date",IF(D1326="","Needs a client",IF(COUNTIF(Clients!$B$6:$B$105,D1326)=0,"Not on Clients",IF(AND(F1326="",INT(B1326)&lt;TODAY()),"Needs a status","")))))</f>
        <v/>
      </c>
      <c r="I1326" s="1">
        <f>IF(ISNUMBER(B1326),INT(B1326),0)</f>
        <v/>
      </c>
      <c r="J1326">
        <f>IF(ISNUMBER(B1326),YEAR(B1326)*100+MONTH(B1326),"")</f>
        <v/>
      </c>
      <c r="K1326">
        <f>IF(AND(H1326="",OR(F1326="Attended",F1326="No-show",AND(F1326="Late cancel",Settings!$C$9="Yes"))),1,0)</f>
        <v/>
      </c>
      <c r="L1326">
        <f>IF(AND(H1326="",F1326="Attended"),1,0)</f>
        <v/>
      </c>
      <c r="M1326">
        <f>IF(AND(H1326="",OR(F1326="No-show",F1326="Late cancel")),1,0)</f>
        <v/>
      </c>
      <c r="N1326">
        <f>IF(AND(H1326="",F1326="",D1326&lt;&gt;"",I1326&gt;=TODAY()),ROUND((I1326+IF(ISNUMBER(C1326),MOD(C1326,1),0))*1440,0)*10000+ROW(),"")</f>
        <v/>
      </c>
    </row>
    <row r="1327">
      <c r="A1327" s="1" t="n"/>
      <c r="B1327" s="17" t="n"/>
      <c r="C1327" s="18" t="n"/>
      <c r="D1327" s="19" t="n"/>
      <c r="E1327" s="20" t="n"/>
      <c r="F1327" s="20" t="n"/>
      <c r="G1327" s="21" t="n"/>
      <c r="H1327" s="12">
        <f>IF(AND(B1327="",D1327="",F1327=""),"",IF(NOT(ISNUMBER(B1327)),"Needs a date",IF(D1327="","Needs a client",IF(COUNTIF(Clients!$B$6:$B$105,D1327)=0,"Not on Clients",IF(AND(F1327="",INT(B1327)&lt;TODAY()),"Needs a status","")))))</f>
        <v/>
      </c>
      <c r="I1327" s="1">
        <f>IF(ISNUMBER(B1327),INT(B1327),0)</f>
        <v/>
      </c>
      <c r="J1327">
        <f>IF(ISNUMBER(B1327),YEAR(B1327)*100+MONTH(B1327),"")</f>
        <v/>
      </c>
      <c r="K1327">
        <f>IF(AND(H1327="",OR(F1327="Attended",F1327="No-show",AND(F1327="Late cancel",Settings!$C$9="Yes"))),1,0)</f>
        <v/>
      </c>
      <c r="L1327">
        <f>IF(AND(H1327="",F1327="Attended"),1,0)</f>
        <v/>
      </c>
      <c r="M1327">
        <f>IF(AND(H1327="",OR(F1327="No-show",F1327="Late cancel")),1,0)</f>
        <v/>
      </c>
      <c r="N1327">
        <f>IF(AND(H1327="",F1327="",D1327&lt;&gt;"",I1327&gt;=TODAY()),ROUND((I1327+IF(ISNUMBER(C1327),MOD(C1327,1),0))*1440,0)*10000+ROW(),"")</f>
        <v/>
      </c>
    </row>
    <row r="1328">
      <c r="A1328" s="1" t="n"/>
      <c r="B1328" s="17" t="n"/>
      <c r="C1328" s="18" t="n"/>
      <c r="D1328" s="19" t="n"/>
      <c r="E1328" s="20" t="n"/>
      <c r="F1328" s="20" t="n"/>
      <c r="G1328" s="21" t="n"/>
      <c r="H1328" s="12">
        <f>IF(AND(B1328="",D1328="",F1328=""),"",IF(NOT(ISNUMBER(B1328)),"Needs a date",IF(D1328="","Needs a client",IF(COUNTIF(Clients!$B$6:$B$105,D1328)=0,"Not on Clients",IF(AND(F1328="",INT(B1328)&lt;TODAY()),"Needs a status","")))))</f>
        <v/>
      </c>
      <c r="I1328" s="1">
        <f>IF(ISNUMBER(B1328),INT(B1328),0)</f>
        <v/>
      </c>
      <c r="J1328">
        <f>IF(ISNUMBER(B1328),YEAR(B1328)*100+MONTH(B1328),"")</f>
        <v/>
      </c>
      <c r="K1328">
        <f>IF(AND(H1328="",OR(F1328="Attended",F1328="No-show",AND(F1328="Late cancel",Settings!$C$9="Yes"))),1,0)</f>
        <v/>
      </c>
      <c r="L1328">
        <f>IF(AND(H1328="",F1328="Attended"),1,0)</f>
        <v/>
      </c>
      <c r="M1328">
        <f>IF(AND(H1328="",OR(F1328="No-show",F1328="Late cancel")),1,0)</f>
        <v/>
      </c>
      <c r="N1328">
        <f>IF(AND(H1328="",F1328="",D1328&lt;&gt;"",I1328&gt;=TODAY()),ROUND((I1328+IF(ISNUMBER(C1328),MOD(C1328,1),0))*1440,0)*10000+ROW(),"")</f>
        <v/>
      </c>
    </row>
    <row r="1329">
      <c r="A1329" s="1" t="n"/>
      <c r="B1329" s="17" t="n"/>
      <c r="C1329" s="18" t="n"/>
      <c r="D1329" s="19" t="n"/>
      <c r="E1329" s="20" t="n"/>
      <c r="F1329" s="20" t="n"/>
      <c r="G1329" s="21" t="n"/>
      <c r="H1329" s="12">
        <f>IF(AND(B1329="",D1329="",F1329=""),"",IF(NOT(ISNUMBER(B1329)),"Needs a date",IF(D1329="","Needs a client",IF(COUNTIF(Clients!$B$6:$B$105,D1329)=0,"Not on Clients",IF(AND(F1329="",INT(B1329)&lt;TODAY()),"Needs a status","")))))</f>
        <v/>
      </c>
      <c r="I1329" s="1">
        <f>IF(ISNUMBER(B1329),INT(B1329),0)</f>
        <v/>
      </c>
      <c r="J1329">
        <f>IF(ISNUMBER(B1329),YEAR(B1329)*100+MONTH(B1329),"")</f>
        <v/>
      </c>
      <c r="K1329">
        <f>IF(AND(H1329="",OR(F1329="Attended",F1329="No-show",AND(F1329="Late cancel",Settings!$C$9="Yes"))),1,0)</f>
        <v/>
      </c>
      <c r="L1329">
        <f>IF(AND(H1329="",F1329="Attended"),1,0)</f>
        <v/>
      </c>
      <c r="M1329">
        <f>IF(AND(H1329="",OR(F1329="No-show",F1329="Late cancel")),1,0)</f>
        <v/>
      </c>
      <c r="N1329">
        <f>IF(AND(H1329="",F1329="",D1329&lt;&gt;"",I1329&gt;=TODAY()),ROUND((I1329+IF(ISNUMBER(C1329),MOD(C1329,1),0))*1440,0)*10000+ROW(),"")</f>
        <v/>
      </c>
    </row>
    <row r="1330">
      <c r="A1330" s="1" t="n"/>
      <c r="B1330" s="17" t="n"/>
      <c r="C1330" s="18" t="n"/>
      <c r="D1330" s="19" t="n"/>
      <c r="E1330" s="20" t="n"/>
      <c r="F1330" s="20" t="n"/>
      <c r="G1330" s="21" t="n"/>
      <c r="H1330" s="12">
        <f>IF(AND(B1330="",D1330="",F1330=""),"",IF(NOT(ISNUMBER(B1330)),"Needs a date",IF(D1330="","Needs a client",IF(COUNTIF(Clients!$B$6:$B$105,D1330)=0,"Not on Clients",IF(AND(F1330="",INT(B1330)&lt;TODAY()),"Needs a status","")))))</f>
        <v/>
      </c>
      <c r="I1330" s="1">
        <f>IF(ISNUMBER(B1330),INT(B1330),0)</f>
        <v/>
      </c>
      <c r="J1330">
        <f>IF(ISNUMBER(B1330),YEAR(B1330)*100+MONTH(B1330),"")</f>
        <v/>
      </c>
      <c r="K1330">
        <f>IF(AND(H1330="",OR(F1330="Attended",F1330="No-show",AND(F1330="Late cancel",Settings!$C$9="Yes"))),1,0)</f>
        <v/>
      </c>
      <c r="L1330">
        <f>IF(AND(H1330="",F1330="Attended"),1,0)</f>
        <v/>
      </c>
      <c r="M1330">
        <f>IF(AND(H1330="",OR(F1330="No-show",F1330="Late cancel")),1,0)</f>
        <v/>
      </c>
      <c r="N1330">
        <f>IF(AND(H1330="",F1330="",D1330&lt;&gt;"",I1330&gt;=TODAY()),ROUND((I1330+IF(ISNUMBER(C1330),MOD(C1330,1),0))*1440,0)*10000+ROW(),"")</f>
        <v/>
      </c>
    </row>
    <row r="1331">
      <c r="A1331" s="1" t="n"/>
      <c r="B1331" s="17" t="n"/>
      <c r="C1331" s="18" t="n"/>
      <c r="D1331" s="19" t="n"/>
      <c r="E1331" s="20" t="n"/>
      <c r="F1331" s="20" t="n"/>
      <c r="G1331" s="21" t="n"/>
      <c r="H1331" s="12">
        <f>IF(AND(B1331="",D1331="",F1331=""),"",IF(NOT(ISNUMBER(B1331)),"Needs a date",IF(D1331="","Needs a client",IF(COUNTIF(Clients!$B$6:$B$105,D1331)=0,"Not on Clients",IF(AND(F1331="",INT(B1331)&lt;TODAY()),"Needs a status","")))))</f>
        <v/>
      </c>
      <c r="I1331" s="1">
        <f>IF(ISNUMBER(B1331),INT(B1331),0)</f>
        <v/>
      </c>
      <c r="J1331">
        <f>IF(ISNUMBER(B1331),YEAR(B1331)*100+MONTH(B1331),"")</f>
        <v/>
      </c>
      <c r="K1331">
        <f>IF(AND(H1331="",OR(F1331="Attended",F1331="No-show",AND(F1331="Late cancel",Settings!$C$9="Yes"))),1,0)</f>
        <v/>
      </c>
      <c r="L1331">
        <f>IF(AND(H1331="",F1331="Attended"),1,0)</f>
        <v/>
      </c>
      <c r="M1331">
        <f>IF(AND(H1331="",OR(F1331="No-show",F1331="Late cancel")),1,0)</f>
        <v/>
      </c>
      <c r="N1331">
        <f>IF(AND(H1331="",F1331="",D1331&lt;&gt;"",I1331&gt;=TODAY()),ROUND((I1331+IF(ISNUMBER(C1331),MOD(C1331,1),0))*1440,0)*10000+ROW(),"")</f>
        <v/>
      </c>
    </row>
    <row r="1332">
      <c r="A1332" s="1" t="n"/>
      <c r="B1332" s="17" t="n"/>
      <c r="C1332" s="18" t="n"/>
      <c r="D1332" s="19" t="n"/>
      <c r="E1332" s="20" t="n"/>
      <c r="F1332" s="20" t="n"/>
      <c r="G1332" s="21" t="n"/>
      <c r="H1332" s="12">
        <f>IF(AND(B1332="",D1332="",F1332=""),"",IF(NOT(ISNUMBER(B1332)),"Needs a date",IF(D1332="","Needs a client",IF(COUNTIF(Clients!$B$6:$B$105,D1332)=0,"Not on Clients",IF(AND(F1332="",INT(B1332)&lt;TODAY()),"Needs a status","")))))</f>
        <v/>
      </c>
      <c r="I1332" s="1">
        <f>IF(ISNUMBER(B1332),INT(B1332),0)</f>
        <v/>
      </c>
      <c r="J1332">
        <f>IF(ISNUMBER(B1332),YEAR(B1332)*100+MONTH(B1332),"")</f>
        <v/>
      </c>
      <c r="K1332">
        <f>IF(AND(H1332="",OR(F1332="Attended",F1332="No-show",AND(F1332="Late cancel",Settings!$C$9="Yes"))),1,0)</f>
        <v/>
      </c>
      <c r="L1332">
        <f>IF(AND(H1332="",F1332="Attended"),1,0)</f>
        <v/>
      </c>
      <c r="M1332">
        <f>IF(AND(H1332="",OR(F1332="No-show",F1332="Late cancel")),1,0)</f>
        <v/>
      </c>
      <c r="N1332">
        <f>IF(AND(H1332="",F1332="",D1332&lt;&gt;"",I1332&gt;=TODAY()),ROUND((I1332+IF(ISNUMBER(C1332),MOD(C1332,1),0))*1440,0)*10000+ROW(),"")</f>
        <v/>
      </c>
    </row>
    <row r="1333">
      <c r="A1333" s="1" t="n"/>
      <c r="B1333" s="17" t="n"/>
      <c r="C1333" s="18" t="n"/>
      <c r="D1333" s="19" t="n"/>
      <c r="E1333" s="20" t="n"/>
      <c r="F1333" s="20" t="n"/>
      <c r="G1333" s="21" t="n"/>
      <c r="H1333" s="12">
        <f>IF(AND(B1333="",D1333="",F1333=""),"",IF(NOT(ISNUMBER(B1333)),"Needs a date",IF(D1333="","Needs a client",IF(COUNTIF(Clients!$B$6:$B$105,D1333)=0,"Not on Clients",IF(AND(F1333="",INT(B1333)&lt;TODAY()),"Needs a status","")))))</f>
        <v/>
      </c>
      <c r="I1333" s="1">
        <f>IF(ISNUMBER(B1333),INT(B1333),0)</f>
        <v/>
      </c>
      <c r="J1333">
        <f>IF(ISNUMBER(B1333),YEAR(B1333)*100+MONTH(B1333),"")</f>
        <v/>
      </c>
      <c r="K1333">
        <f>IF(AND(H1333="",OR(F1333="Attended",F1333="No-show",AND(F1333="Late cancel",Settings!$C$9="Yes"))),1,0)</f>
        <v/>
      </c>
      <c r="L1333">
        <f>IF(AND(H1333="",F1333="Attended"),1,0)</f>
        <v/>
      </c>
      <c r="M1333">
        <f>IF(AND(H1333="",OR(F1333="No-show",F1333="Late cancel")),1,0)</f>
        <v/>
      </c>
      <c r="N1333">
        <f>IF(AND(H1333="",F1333="",D1333&lt;&gt;"",I1333&gt;=TODAY()),ROUND((I1333+IF(ISNUMBER(C1333),MOD(C1333,1),0))*1440,0)*10000+ROW(),"")</f>
        <v/>
      </c>
    </row>
    <row r="1334">
      <c r="A1334" s="1" t="n"/>
      <c r="B1334" s="17" t="n"/>
      <c r="C1334" s="18" t="n"/>
      <c r="D1334" s="19" t="n"/>
      <c r="E1334" s="20" t="n"/>
      <c r="F1334" s="20" t="n"/>
      <c r="G1334" s="21" t="n"/>
      <c r="H1334" s="12">
        <f>IF(AND(B1334="",D1334="",F1334=""),"",IF(NOT(ISNUMBER(B1334)),"Needs a date",IF(D1334="","Needs a client",IF(COUNTIF(Clients!$B$6:$B$105,D1334)=0,"Not on Clients",IF(AND(F1334="",INT(B1334)&lt;TODAY()),"Needs a status","")))))</f>
        <v/>
      </c>
      <c r="I1334" s="1">
        <f>IF(ISNUMBER(B1334),INT(B1334),0)</f>
        <v/>
      </c>
      <c r="J1334">
        <f>IF(ISNUMBER(B1334),YEAR(B1334)*100+MONTH(B1334),"")</f>
        <v/>
      </c>
      <c r="K1334">
        <f>IF(AND(H1334="",OR(F1334="Attended",F1334="No-show",AND(F1334="Late cancel",Settings!$C$9="Yes"))),1,0)</f>
        <v/>
      </c>
      <c r="L1334">
        <f>IF(AND(H1334="",F1334="Attended"),1,0)</f>
        <v/>
      </c>
      <c r="M1334">
        <f>IF(AND(H1334="",OR(F1334="No-show",F1334="Late cancel")),1,0)</f>
        <v/>
      </c>
      <c r="N1334">
        <f>IF(AND(H1334="",F1334="",D1334&lt;&gt;"",I1334&gt;=TODAY()),ROUND((I1334+IF(ISNUMBER(C1334),MOD(C1334,1),0))*1440,0)*10000+ROW(),"")</f>
        <v/>
      </c>
    </row>
    <row r="1335">
      <c r="A1335" s="1" t="n"/>
      <c r="B1335" s="17" t="n"/>
      <c r="C1335" s="18" t="n"/>
      <c r="D1335" s="19" t="n"/>
      <c r="E1335" s="20" t="n"/>
      <c r="F1335" s="20" t="n"/>
      <c r="G1335" s="21" t="n"/>
      <c r="H1335" s="12">
        <f>IF(AND(B1335="",D1335="",F1335=""),"",IF(NOT(ISNUMBER(B1335)),"Needs a date",IF(D1335="","Needs a client",IF(COUNTIF(Clients!$B$6:$B$105,D1335)=0,"Not on Clients",IF(AND(F1335="",INT(B1335)&lt;TODAY()),"Needs a status","")))))</f>
        <v/>
      </c>
      <c r="I1335" s="1">
        <f>IF(ISNUMBER(B1335),INT(B1335),0)</f>
        <v/>
      </c>
      <c r="J1335">
        <f>IF(ISNUMBER(B1335),YEAR(B1335)*100+MONTH(B1335),"")</f>
        <v/>
      </c>
      <c r="K1335">
        <f>IF(AND(H1335="",OR(F1335="Attended",F1335="No-show",AND(F1335="Late cancel",Settings!$C$9="Yes"))),1,0)</f>
        <v/>
      </c>
      <c r="L1335">
        <f>IF(AND(H1335="",F1335="Attended"),1,0)</f>
        <v/>
      </c>
      <c r="M1335">
        <f>IF(AND(H1335="",OR(F1335="No-show",F1335="Late cancel")),1,0)</f>
        <v/>
      </c>
      <c r="N1335">
        <f>IF(AND(H1335="",F1335="",D1335&lt;&gt;"",I1335&gt;=TODAY()),ROUND((I1335+IF(ISNUMBER(C1335),MOD(C1335,1),0))*1440,0)*10000+ROW(),"")</f>
        <v/>
      </c>
    </row>
    <row r="1336">
      <c r="A1336" s="1" t="n"/>
      <c r="B1336" s="17" t="n"/>
      <c r="C1336" s="18" t="n"/>
      <c r="D1336" s="19" t="n"/>
      <c r="E1336" s="20" t="n"/>
      <c r="F1336" s="20" t="n"/>
      <c r="G1336" s="21" t="n"/>
      <c r="H1336" s="12">
        <f>IF(AND(B1336="",D1336="",F1336=""),"",IF(NOT(ISNUMBER(B1336)),"Needs a date",IF(D1336="","Needs a client",IF(COUNTIF(Clients!$B$6:$B$105,D1336)=0,"Not on Clients",IF(AND(F1336="",INT(B1336)&lt;TODAY()),"Needs a status","")))))</f>
        <v/>
      </c>
      <c r="I1336" s="1">
        <f>IF(ISNUMBER(B1336),INT(B1336),0)</f>
        <v/>
      </c>
      <c r="J1336">
        <f>IF(ISNUMBER(B1336),YEAR(B1336)*100+MONTH(B1336),"")</f>
        <v/>
      </c>
      <c r="K1336">
        <f>IF(AND(H1336="",OR(F1336="Attended",F1336="No-show",AND(F1336="Late cancel",Settings!$C$9="Yes"))),1,0)</f>
        <v/>
      </c>
      <c r="L1336">
        <f>IF(AND(H1336="",F1336="Attended"),1,0)</f>
        <v/>
      </c>
      <c r="M1336">
        <f>IF(AND(H1336="",OR(F1336="No-show",F1336="Late cancel")),1,0)</f>
        <v/>
      </c>
      <c r="N1336">
        <f>IF(AND(H1336="",F1336="",D1336&lt;&gt;"",I1336&gt;=TODAY()),ROUND((I1336+IF(ISNUMBER(C1336),MOD(C1336,1),0))*1440,0)*10000+ROW(),"")</f>
        <v/>
      </c>
    </row>
    <row r="1337">
      <c r="A1337" s="1" t="n"/>
      <c r="B1337" s="17" t="n"/>
      <c r="C1337" s="18" t="n"/>
      <c r="D1337" s="19" t="n"/>
      <c r="E1337" s="20" t="n"/>
      <c r="F1337" s="20" t="n"/>
      <c r="G1337" s="21" t="n"/>
      <c r="H1337" s="12">
        <f>IF(AND(B1337="",D1337="",F1337=""),"",IF(NOT(ISNUMBER(B1337)),"Needs a date",IF(D1337="","Needs a client",IF(COUNTIF(Clients!$B$6:$B$105,D1337)=0,"Not on Clients",IF(AND(F1337="",INT(B1337)&lt;TODAY()),"Needs a status","")))))</f>
        <v/>
      </c>
      <c r="I1337" s="1">
        <f>IF(ISNUMBER(B1337),INT(B1337),0)</f>
        <v/>
      </c>
      <c r="J1337">
        <f>IF(ISNUMBER(B1337),YEAR(B1337)*100+MONTH(B1337),"")</f>
        <v/>
      </c>
      <c r="K1337">
        <f>IF(AND(H1337="",OR(F1337="Attended",F1337="No-show",AND(F1337="Late cancel",Settings!$C$9="Yes"))),1,0)</f>
        <v/>
      </c>
      <c r="L1337">
        <f>IF(AND(H1337="",F1337="Attended"),1,0)</f>
        <v/>
      </c>
      <c r="M1337">
        <f>IF(AND(H1337="",OR(F1337="No-show",F1337="Late cancel")),1,0)</f>
        <v/>
      </c>
      <c r="N1337">
        <f>IF(AND(H1337="",F1337="",D1337&lt;&gt;"",I1337&gt;=TODAY()),ROUND((I1337+IF(ISNUMBER(C1337),MOD(C1337,1),0))*1440,0)*10000+ROW(),"")</f>
        <v/>
      </c>
    </row>
    <row r="1338">
      <c r="A1338" s="1" t="n"/>
      <c r="B1338" s="17" t="n"/>
      <c r="C1338" s="18" t="n"/>
      <c r="D1338" s="19" t="n"/>
      <c r="E1338" s="20" t="n"/>
      <c r="F1338" s="20" t="n"/>
      <c r="G1338" s="21" t="n"/>
      <c r="H1338" s="12">
        <f>IF(AND(B1338="",D1338="",F1338=""),"",IF(NOT(ISNUMBER(B1338)),"Needs a date",IF(D1338="","Needs a client",IF(COUNTIF(Clients!$B$6:$B$105,D1338)=0,"Not on Clients",IF(AND(F1338="",INT(B1338)&lt;TODAY()),"Needs a status","")))))</f>
        <v/>
      </c>
      <c r="I1338" s="1">
        <f>IF(ISNUMBER(B1338),INT(B1338),0)</f>
        <v/>
      </c>
      <c r="J1338">
        <f>IF(ISNUMBER(B1338),YEAR(B1338)*100+MONTH(B1338),"")</f>
        <v/>
      </c>
      <c r="K1338">
        <f>IF(AND(H1338="",OR(F1338="Attended",F1338="No-show",AND(F1338="Late cancel",Settings!$C$9="Yes"))),1,0)</f>
        <v/>
      </c>
      <c r="L1338">
        <f>IF(AND(H1338="",F1338="Attended"),1,0)</f>
        <v/>
      </c>
      <c r="M1338">
        <f>IF(AND(H1338="",OR(F1338="No-show",F1338="Late cancel")),1,0)</f>
        <v/>
      </c>
      <c r="N1338">
        <f>IF(AND(H1338="",F1338="",D1338&lt;&gt;"",I1338&gt;=TODAY()),ROUND((I1338+IF(ISNUMBER(C1338),MOD(C1338,1),0))*1440,0)*10000+ROW(),"")</f>
        <v/>
      </c>
    </row>
    <row r="1339">
      <c r="A1339" s="1" t="n"/>
      <c r="B1339" s="17" t="n"/>
      <c r="C1339" s="18" t="n"/>
      <c r="D1339" s="19" t="n"/>
      <c r="E1339" s="20" t="n"/>
      <c r="F1339" s="20" t="n"/>
      <c r="G1339" s="21" t="n"/>
      <c r="H1339" s="12">
        <f>IF(AND(B1339="",D1339="",F1339=""),"",IF(NOT(ISNUMBER(B1339)),"Needs a date",IF(D1339="","Needs a client",IF(COUNTIF(Clients!$B$6:$B$105,D1339)=0,"Not on Clients",IF(AND(F1339="",INT(B1339)&lt;TODAY()),"Needs a status","")))))</f>
        <v/>
      </c>
      <c r="I1339" s="1">
        <f>IF(ISNUMBER(B1339),INT(B1339),0)</f>
        <v/>
      </c>
      <c r="J1339">
        <f>IF(ISNUMBER(B1339),YEAR(B1339)*100+MONTH(B1339),"")</f>
        <v/>
      </c>
      <c r="K1339">
        <f>IF(AND(H1339="",OR(F1339="Attended",F1339="No-show",AND(F1339="Late cancel",Settings!$C$9="Yes"))),1,0)</f>
        <v/>
      </c>
      <c r="L1339">
        <f>IF(AND(H1339="",F1339="Attended"),1,0)</f>
        <v/>
      </c>
      <c r="M1339">
        <f>IF(AND(H1339="",OR(F1339="No-show",F1339="Late cancel")),1,0)</f>
        <v/>
      </c>
      <c r="N1339">
        <f>IF(AND(H1339="",F1339="",D1339&lt;&gt;"",I1339&gt;=TODAY()),ROUND((I1339+IF(ISNUMBER(C1339),MOD(C1339,1),0))*1440,0)*10000+ROW(),"")</f>
        <v/>
      </c>
    </row>
    <row r="1340">
      <c r="A1340" s="1" t="n"/>
      <c r="B1340" s="17" t="n"/>
      <c r="C1340" s="18" t="n"/>
      <c r="D1340" s="19" t="n"/>
      <c r="E1340" s="20" t="n"/>
      <c r="F1340" s="20" t="n"/>
      <c r="G1340" s="21" t="n"/>
      <c r="H1340" s="12">
        <f>IF(AND(B1340="",D1340="",F1340=""),"",IF(NOT(ISNUMBER(B1340)),"Needs a date",IF(D1340="","Needs a client",IF(COUNTIF(Clients!$B$6:$B$105,D1340)=0,"Not on Clients",IF(AND(F1340="",INT(B1340)&lt;TODAY()),"Needs a status","")))))</f>
        <v/>
      </c>
      <c r="I1340" s="1">
        <f>IF(ISNUMBER(B1340),INT(B1340),0)</f>
        <v/>
      </c>
      <c r="J1340">
        <f>IF(ISNUMBER(B1340),YEAR(B1340)*100+MONTH(B1340),"")</f>
        <v/>
      </c>
      <c r="K1340">
        <f>IF(AND(H1340="",OR(F1340="Attended",F1340="No-show",AND(F1340="Late cancel",Settings!$C$9="Yes"))),1,0)</f>
        <v/>
      </c>
      <c r="L1340">
        <f>IF(AND(H1340="",F1340="Attended"),1,0)</f>
        <v/>
      </c>
      <c r="M1340">
        <f>IF(AND(H1340="",OR(F1340="No-show",F1340="Late cancel")),1,0)</f>
        <v/>
      </c>
      <c r="N1340">
        <f>IF(AND(H1340="",F1340="",D1340&lt;&gt;"",I1340&gt;=TODAY()),ROUND((I1340+IF(ISNUMBER(C1340),MOD(C1340,1),0))*1440,0)*10000+ROW(),"")</f>
        <v/>
      </c>
    </row>
    <row r="1341">
      <c r="A1341" s="1" t="n"/>
      <c r="B1341" s="17" t="n"/>
      <c r="C1341" s="18" t="n"/>
      <c r="D1341" s="19" t="n"/>
      <c r="E1341" s="20" t="n"/>
      <c r="F1341" s="20" t="n"/>
      <c r="G1341" s="21" t="n"/>
      <c r="H1341" s="12">
        <f>IF(AND(B1341="",D1341="",F1341=""),"",IF(NOT(ISNUMBER(B1341)),"Needs a date",IF(D1341="","Needs a client",IF(COUNTIF(Clients!$B$6:$B$105,D1341)=0,"Not on Clients",IF(AND(F1341="",INT(B1341)&lt;TODAY()),"Needs a status","")))))</f>
        <v/>
      </c>
      <c r="I1341" s="1">
        <f>IF(ISNUMBER(B1341),INT(B1341),0)</f>
        <v/>
      </c>
      <c r="J1341">
        <f>IF(ISNUMBER(B1341),YEAR(B1341)*100+MONTH(B1341),"")</f>
        <v/>
      </c>
      <c r="K1341">
        <f>IF(AND(H1341="",OR(F1341="Attended",F1341="No-show",AND(F1341="Late cancel",Settings!$C$9="Yes"))),1,0)</f>
        <v/>
      </c>
      <c r="L1341">
        <f>IF(AND(H1341="",F1341="Attended"),1,0)</f>
        <v/>
      </c>
      <c r="M1341">
        <f>IF(AND(H1341="",OR(F1341="No-show",F1341="Late cancel")),1,0)</f>
        <v/>
      </c>
      <c r="N1341">
        <f>IF(AND(H1341="",F1341="",D1341&lt;&gt;"",I1341&gt;=TODAY()),ROUND((I1341+IF(ISNUMBER(C1341),MOD(C1341,1),0))*1440,0)*10000+ROW(),"")</f>
        <v/>
      </c>
    </row>
    <row r="1342">
      <c r="A1342" s="1" t="n"/>
      <c r="B1342" s="17" t="n"/>
      <c r="C1342" s="18" t="n"/>
      <c r="D1342" s="19" t="n"/>
      <c r="E1342" s="20" t="n"/>
      <c r="F1342" s="20" t="n"/>
      <c r="G1342" s="21" t="n"/>
      <c r="H1342" s="12">
        <f>IF(AND(B1342="",D1342="",F1342=""),"",IF(NOT(ISNUMBER(B1342)),"Needs a date",IF(D1342="","Needs a client",IF(COUNTIF(Clients!$B$6:$B$105,D1342)=0,"Not on Clients",IF(AND(F1342="",INT(B1342)&lt;TODAY()),"Needs a status","")))))</f>
        <v/>
      </c>
      <c r="I1342" s="1">
        <f>IF(ISNUMBER(B1342),INT(B1342),0)</f>
        <v/>
      </c>
      <c r="J1342">
        <f>IF(ISNUMBER(B1342),YEAR(B1342)*100+MONTH(B1342),"")</f>
        <v/>
      </c>
      <c r="K1342">
        <f>IF(AND(H1342="",OR(F1342="Attended",F1342="No-show",AND(F1342="Late cancel",Settings!$C$9="Yes"))),1,0)</f>
        <v/>
      </c>
      <c r="L1342">
        <f>IF(AND(H1342="",F1342="Attended"),1,0)</f>
        <v/>
      </c>
      <c r="M1342">
        <f>IF(AND(H1342="",OR(F1342="No-show",F1342="Late cancel")),1,0)</f>
        <v/>
      </c>
      <c r="N1342">
        <f>IF(AND(H1342="",F1342="",D1342&lt;&gt;"",I1342&gt;=TODAY()),ROUND((I1342+IF(ISNUMBER(C1342),MOD(C1342,1),0))*1440,0)*10000+ROW(),"")</f>
        <v/>
      </c>
    </row>
    <row r="1343">
      <c r="A1343" s="1" t="n"/>
      <c r="B1343" s="17" t="n"/>
      <c r="C1343" s="18" t="n"/>
      <c r="D1343" s="19" t="n"/>
      <c r="E1343" s="20" t="n"/>
      <c r="F1343" s="20" t="n"/>
      <c r="G1343" s="21" t="n"/>
      <c r="H1343" s="12">
        <f>IF(AND(B1343="",D1343="",F1343=""),"",IF(NOT(ISNUMBER(B1343)),"Needs a date",IF(D1343="","Needs a client",IF(COUNTIF(Clients!$B$6:$B$105,D1343)=0,"Not on Clients",IF(AND(F1343="",INT(B1343)&lt;TODAY()),"Needs a status","")))))</f>
        <v/>
      </c>
      <c r="I1343" s="1">
        <f>IF(ISNUMBER(B1343),INT(B1343),0)</f>
        <v/>
      </c>
      <c r="J1343">
        <f>IF(ISNUMBER(B1343),YEAR(B1343)*100+MONTH(B1343),"")</f>
        <v/>
      </c>
      <c r="K1343">
        <f>IF(AND(H1343="",OR(F1343="Attended",F1343="No-show",AND(F1343="Late cancel",Settings!$C$9="Yes"))),1,0)</f>
        <v/>
      </c>
      <c r="L1343">
        <f>IF(AND(H1343="",F1343="Attended"),1,0)</f>
        <v/>
      </c>
      <c r="M1343">
        <f>IF(AND(H1343="",OR(F1343="No-show",F1343="Late cancel")),1,0)</f>
        <v/>
      </c>
      <c r="N1343">
        <f>IF(AND(H1343="",F1343="",D1343&lt;&gt;"",I1343&gt;=TODAY()),ROUND((I1343+IF(ISNUMBER(C1343),MOD(C1343,1),0))*1440,0)*10000+ROW(),"")</f>
        <v/>
      </c>
    </row>
    <row r="1344">
      <c r="A1344" s="1" t="n"/>
      <c r="B1344" s="17" t="n"/>
      <c r="C1344" s="18" t="n"/>
      <c r="D1344" s="19" t="n"/>
      <c r="E1344" s="20" t="n"/>
      <c r="F1344" s="20" t="n"/>
      <c r="G1344" s="21" t="n"/>
      <c r="H1344" s="12">
        <f>IF(AND(B1344="",D1344="",F1344=""),"",IF(NOT(ISNUMBER(B1344)),"Needs a date",IF(D1344="","Needs a client",IF(COUNTIF(Clients!$B$6:$B$105,D1344)=0,"Not on Clients",IF(AND(F1344="",INT(B1344)&lt;TODAY()),"Needs a status","")))))</f>
        <v/>
      </c>
      <c r="I1344" s="1">
        <f>IF(ISNUMBER(B1344),INT(B1344),0)</f>
        <v/>
      </c>
      <c r="J1344">
        <f>IF(ISNUMBER(B1344),YEAR(B1344)*100+MONTH(B1344),"")</f>
        <v/>
      </c>
      <c r="K1344">
        <f>IF(AND(H1344="",OR(F1344="Attended",F1344="No-show",AND(F1344="Late cancel",Settings!$C$9="Yes"))),1,0)</f>
        <v/>
      </c>
      <c r="L1344">
        <f>IF(AND(H1344="",F1344="Attended"),1,0)</f>
        <v/>
      </c>
      <c r="M1344">
        <f>IF(AND(H1344="",OR(F1344="No-show",F1344="Late cancel")),1,0)</f>
        <v/>
      </c>
      <c r="N1344">
        <f>IF(AND(H1344="",F1344="",D1344&lt;&gt;"",I1344&gt;=TODAY()),ROUND((I1344+IF(ISNUMBER(C1344),MOD(C1344,1),0))*1440,0)*10000+ROW(),"")</f>
        <v/>
      </c>
    </row>
    <row r="1345">
      <c r="A1345" s="1" t="n"/>
      <c r="B1345" s="17" t="n"/>
      <c r="C1345" s="18" t="n"/>
      <c r="D1345" s="19" t="n"/>
      <c r="E1345" s="20" t="n"/>
      <c r="F1345" s="20" t="n"/>
      <c r="G1345" s="21" t="n"/>
      <c r="H1345" s="12">
        <f>IF(AND(B1345="",D1345="",F1345=""),"",IF(NOT(ISNUMBER(B1345)),"Needs a date",IF(D1345="","Needs a client",IF(COUNTIF(Clients!$B$6:$B$105,D1345)=0,"Not on Clients",IF(AND(F1345="",INT(B1345)&lt;TODAY()),"Needs a status","")))))</f>
        <v/>
      </c>
      <c r="I1345" s="1">
        <f>IF(ISNUMBER(B1345),INT(B1345),0)</f>
        <v/>
      </c>
      <c r="J1345">
        <f>IF(ISNUMBER(B1345),YEAR(B1345)*100+MONTH(B1345),"")</f>
        <v/>
      </c>
      <c r="K1345">
        <f>IF(AND(H1345="",OR(F1345="Attended",F1345="No-show",AND(F1345="Late cancel",Settings!$C$9="Yes"))),1,0)</f>
        <v/>
      </c>
      <c r="L1345">
        <f>IF(AND(H1345="",F1345="Attended"),1,0)</f>
        <v/>
      </c>
      <c r="M1345">
        <f>IF(AND(H1345="",OR(F1345="No-show",F1345="Late cancel")),1,0)</f>
        <v/>
      </c>
      <c r="N1345">
        <f>IF(AND(H1345="",F1345="",D1345&lt;&gt;"",I1345&gt;=TODAY()),ROUND((I1345+IF(ISNUMBER(C1345),MOD(C1345,1),0))*1440,0)*10000+ROW(),"")</f>
        <v/>
      </c>
    </row>
    <row r="1346">
      <c r="A1346" s="1" t="n"/>
      <c r="B1346" s="17" t="n"/>
      <c r="C1346" s="18" t="n"/>
      <c r="D1346" s="19" t="n"/>
      <c r="E1346" s="20" t="n"/>
      <c r="F1346" s="20" t="n"/>
      <c r="G1346" s="21" t="n"/>
      <c r="H1346" s="12">
        <f>IF(AND(B1346="",D1346="",F1346=""),"",IF(NOT(ISNUMBER(B1346)),"Needs a date",IF(D1346="","Needs a client",IF(COUNTIF(Clients!$B$6:$B$105,D1346)=0,"Not on Clients",IF(AND(F1346="",INT(B1346)&lt;TODAY()),"Needs a status","")))))</f>
        <v/>
      </c>
      <c r="I1346" s="1">
        <f>IF(ISNUMBER(B1346),INT(B1346),0)</f>
        <v/>
      </c>
      <c r="J1346">
        <f>IF(ISNUMBER(B1346),YEAR(B1346)*100+MONTH(B1346),"")</f>
        <v/>
      </c>
      <c r="K1346">
        <f>IF(AND(H1346="",OR(F1346="Attended",F1346="No-show",AND(F1346="Late cancel",Settings!$C$9="Yes"))),1,0)</f>
        <v/>
      </c>
      <c r="L1346">
        <f>IF(AND(H1346="",F1346="Attended"),1,0)</f>
        <v/>
      </c>
      <c r="M1346">
        <f>IF(AND(H1346="",OR(F1346="No-show",F1346="Late cancel")),1,0)</f>
        <v/>
      </c>
      <c r="N1346">
        <f>IF(AND(H1346="",F1346="",D1346&lt;&gt;"",I1346&gt;=TODAY()),ROUND((I1346+IF(ISNUMBER(C1346),MOD(C1346,1),0))*1440,0)*10000+ROW(),"")</f>
        <v/>
      </c>
    </row>
    <row r="1347">
      <c r="A1347" s="1" t="n"/>
      <c r="B1347" s="17" t="n"/>
      <c r="C1347" s="18" t="n"/>
      <c r="D1347" s="19" t="n"/>
      <c r="E1347" s="20" t="n"/>
      <c r="F1347" s="20" t="n"/>
      <c r="G1347" s="21" t="n"/>
      <c r="H1347" s="12">
        <f>IF(AND(B1347="",D1347="",F1347=""),"",IF(NOT(ISNUMBER(B1347)),"Needs a date",IF(D1347="","Needs a client",IF(COUNTIF(Clients!$B$6:$B$105,D1347)=0,"Not on Clients",IF(AND(F1347="",INT(B1347)&lt;TODAY()),"Needs a status","")))))</f>
        <v/>
      </c>
      <c r="I1347" s="1">
        <f>IF(ISNUMBER(B1347),INT(B1347),0)</f>
        <v/>
      </c>
      <c r="J1347">
        <f>IF(ISNUMBER(B1347),YEAR(B1347)*100+MONTH(B1347),"")</f>
        <v/>
      </c>
      <c r="K1347">
        <f>IF(AND(H1347="",OR(F1347="Attended",F1347="No-show",AND(F1347="Late cancel",Settings!$C$9="Yes"))),1,0)</f>
        <v/>
      </c>
      <c r="L1347">
        <f>IF(AND(H1347="",F1347="Attended"),1,0)</f>
        <v/>
      </c>
      <c r="M1347">
        <f>IF(AND(H1347="",OR(F1347="No-show",F1347="Late cancel")),1,0)</f>
        <v/>
      </c>
      <c r="N1347">
        <f>IF(AND(H1347="",F1347="",D1347&lt;&gt;"",I1347&gt;=TODAY()),ROUND((I1347+IF(ISNUMBER(C1347),MOD(C1347,1),0))*1440,0)*10000+ROW(),"")</f>
        <v/>
      </c>
    </row>
    <row r="1348">
      <c r="A1348" s="1" t="n"/>
      <c r="B1348" s="17" t="n"/>
      <c r="C1348" s="18" t="n"/>
      <c r="D1348" s="19" t="n"/>
      <c r="E1348" s="20" t="n"/>
      <c r="F1348" s="20" t="n"/>
      <c r="G1348" s="21" t="n"/>
      <c r="H1348" s="12">
        <f>IF(AND(B1348="",D1348="",F1348=""),"",IF(NOT(ISNUMBER(B1348)),"Needs a date",IF(D1348="","Needs a client",IF(COUNTIF(Clients!$B$6:$B$105,D1348)=0,"Not on Clients",IF(AND(F1348="",INT(B1348)&lt;TODAY()),"Needs a status","")))))</f>
        <v/>
      </c>
      <c r="I1348" s="1">
        <f>IF(ISNUMBER(B1348),INT(B1348),0)</f>
        <v/>
      </c>
      <c r="J1348">
        <f>IF(ISNUMBER(B1348),YEAR(B1348)*100+MONTH(B1348),"")</f>
        <v/>
      </c>
      <c r="K1348">
        <f>IF(AND(H1348="",OR(F1348="Attended",F1348="No-show",AND(F1348="Late cancel",Settings!$C$9="Yes"))),1,0)</f>
        <v/>
      </c>
      <c r="L1348">
        <f>IF(AND(H1348="",F1348="Attended"),1,0)</f>
        <v/>
      </c>
      <c r="M1348">
        <f>IF(AND(H1348="",OR(F1348="No-show",F1348="Late cancel")),1,0)</f>
        <v/>
      </c>
      <c r="N1348">
        <f>IF(AND(H1348="",F1348="",D1348&lt;&gt;"",I1348&gt;=TODAY()),ROUND((I1348+IF(ISNUMBER(C1348),MOD(C1348,1),0))*1440,0)*10000+ROW(),"")</f>
        <v/>
      </c>
    </row>
    <row r="1349">
      <c r="A1349" s="1" t="n"/>
      <c r="B1349" s="17" t="n"/>
      <c r="C1349" s="18" t="n"/>
      <c r="D1349" s="19" t="n"/>
      <c r="E1349" s="20" t="n"/>
      <c r="F1349" s="20" t="n"/>
      <c r="G1349" s="21" t="n"/>
      <c r="H1349" s="12">
        <f>IF(AND(B1349="",D1349="",F1349=""),"",IF(NOT(ISNUMBER(B1349)),"Needs a date",IF(D1349="","Needs a client",IF(COUNTIF(Clients!$B$6:$B$105,D1349)=0,"Not on Clients",IF(AND(F1349="",INT(B1349)&lt;TODAY()),"Needs a status","")))))</f>
        <v/>
      </c>
      <c r="I1349" s="1">
        <f>IF(ISNUMBER(B1349),INT(B1349),0)</f>
        <v/>
      </c>
      <c r="J1349">
        <f>IF(ISNUMBER(B1349),YEAR(B1349)*100+MONTH(B1349),"")</f>
        <v/>
      </c>
      <c r="K1349">
        <f>IF(AND(H1349="",OR(F1349="Attended",F1349="No-show",AND(F1349="Late cancel",Settings!$C$9="Yes"))),1,0)</f>
        <v/>
      </c>
      <c r="L1349">
        <f>IF(AND(H1349="",F1349="Attended"),1,0)</f>
        <v/>
      </c>
      <c r="M1349">
        <f>IF(AND(H1349="",OR(F1349="No-show",F1349="Late cancel")),1,0)</f>
        <v/>
      </c>
      <c r="N1349">
        <f>IF(AND(H1349="",F1349="",D1349&lt;&gt;"",I1349&gt;=TODAY()),ROUND((I1349+IF(ISNUMBER(C1349),MOD(C1349,1),0))*1440,0)*10000+ROW(),"")</f>
        <v/>
      </c>
    </row>
    <row r="1350">
      <c r="A1350" s="1" t="n"/>
      <c r="B1350" s="17" t="n"/>
      <c r="C1350" s="18" t="n"/>
      <c r="D1350" s="19" t="n"/>
      <c r="E1350" s="20" t="n"/>
      <c r="F1350" s="20" t="n"/>
      <c r="G1350" s="21" t="n"/>
      <c r="H1350" s="12">
        <f>IF(AND(B1350="",D1350="",F1350=""),"",IF(NOT(ISNUMBER(B1350)),"Needs a date",IF(D1350="","Needs a client",IF(COUNTIF(Clients!$B$6:$B$105,D1350)=0,"Not on Clients",IF(AND(F1350="",INT(B1350)&lt;TODAY()),"Needs a status","")))))</f>
        <v/>
      </c>
      <c r="I1350" s="1">
        <f>IF(ISNUMBER(B1350),INT(B1350),0)</f>
        <v/>
      </c>
      <c r="J1350">
        <f>IF(ISNUMBER(B1350),YEAR(B1350)*100+MONTH(B1350),"")</f>
        <v/>
      </c>
      <c r="K1350">
        <f>IF(AND(H1350="",OR(F1350="Attended",F1350="No-show",AND(F1350="Late cancel",Settings!$C$9="Yes"))),1,0)</f>
        <v/>
      </c>
      <c r="L1350">
        <f>IF(AND(H1350="",F1350="Attended"),1,0)</f>
        <v/>
      </c>
      <c r="M1350">
        <f>IF(AND(H1350="",OR(F1350="No-show",F1350="Late cancel")),1,0)</f>
        <v/>
      </c>
      <c r="N1350">
        <f>IF(AND(H1350="",F1350="",D1350&lt;&gt;"",I1350&gt;=TODAY()),ROUND((I1350+IF(ISNUMBER(C1350),MOD(C1350,1),0))*1440,0)*10000+ROW(),"")</f>
        <v/>
      </c>
    </row>
    <row r="1351">
      <c r="A1351" s="1" t="n"/>
      <c r="B1351" s="17" t="n"/>
      <c r="C1351" s="18" t="n"/>
      <c r="D1351" s="19" t="n"/>
      <c r="E1351" s="20" t="n"/>
      <c r="F1351" s="20" t="n"/>
      <c r="G1351" s="21" t="n"/>
      <c r="H1351" s="12">
        <f>IF(AND(B1351="",D1351="",F1351=""),"",IF(NOT(ISNUMBER(B1351)),"Needs a date",IF(D1351="","Needs a client",IF(COUNTIF(Clients!$B$6:$B$105,D1351)=0,"Not on Clients",IF(AND(F1351="",INT(B1351)&lt;TODAY()),"Needs a status","")))))</f>
        <v/>
      </c>
      <c r="I1351" s="1">
        <f>IF(ISNUMBER(B1351),INT(B1351),0)</f>
        <v/>
      </c>
      <c r="J1351">
        <f>IF(ISNUMBER(B1351),YEAR(B1351)*100+MONTH(B1351),"")</f>
        <v/>
      </c>
      <c r="K1351">
        <f>IF(AND(H1351="",OR(F1351="Attended",F1351="No-show",AND(F1351="Late cancel",Settings!$C$9="Yes"))),1,0)</f>
        <v/>
      </c>
      <c r="L1351">
        <f>IF(AND(H1351="",F1351="Attended"),1,0)</f>
        <v/>
      </c>
      <c r="M1351">
        <f>IF(AND(H1351="",OR(F1351="No-show",F1351="Late cancel")),1,0)</f>
        <v/>
      </c>
      <c r="N1351">
        <f>IF(AND(H1351="",F1351="",D1351&lt;&gt;"",I1351&gt;=TODAY()),ROUND((I1351+IF(ISNUMBER(C1351),MOD(C1351,1),0))*1440,0)*10000+ROW(),"")</f>
        <v/>
      </c>
    </row>
    <row r="1352">
      <c r="A1352" s="1" t="n"/>
      <c r="B1352" s="17" t="n"/>
      <c r="C1352" s="18" t="n"/>
      <c r="D1352" s="19" t="n"/>
      <c r="E1352" s="20" t="n"/>
      <c r="F1352" s="20" t="n"/>
      <c r="G1352" s="21" t="n"/>
      <c r="H1352" s="12">
        <f>IF(AND(B1352="",D1352="",F1352=""),"",IF(NOT(ISNUMBER(B1352)),"Needs a date",IF(D1352="","Needs a client",IF(COUNTIF(Clients!$B$6:$B$105,D1352)=0,"Not on Clients",IF(AND(F1352="",INT(B1352)&lt;TODAY()),"Needs a status","")))))</f>
        <v/>
      </c>
      <c r="I1352" s="1">
        <f>IF(ISNUMBER(B1352),INT(B1352),0)</f>
        <v/>
      </c>
      <c r="J1352">
        <f>IF(ISNUMBER(B1352),YEAR(B1352)*100+MONTH(B1352),"")</f>
        <v/>
      </c>
      <c r="K1352">
        <f>IF(AND(H1352="",OR(F1352="Attended",F1352="No-show",AND(F1352="Late cancel",Settings!$C$9="Yes"))),1,0)</f>
        <v/>
      </c>
      <c r="L1352">
        <f>IF(AND(H1352="",F1352="Attended"),1,0)</f>
        <v/>
      </c>
      <c r="M1352">
        <f>IF(AND(H1352="",OR(F1352="No-show",F1352="Late cancel")),1,0)</f>
        <v/>
      </c>
      <c r="N1352">
        <f>IF(AND(H1352="",F1352="",D1352&lt;&gt;"",I1352&gt;=TODAY()),ROUND((I1352+IF(ISNUMBER(C1352),MOD(C1352,1),0))*1440,0)*10000+ROW(),"")</f>
        <v/>
      </c>
    </row>
    <row r="1353">
      <c r="A1353" s="1" t="n"/>
      <c r="B1353" s="17" t="n"/>
      <c r="C1353" s="18" t="n"/>
      <c r="D1353" s="19" t="n"/>
      <c r="E1353" s="20" t="n"/>
      <c r="F1353" s="20" t="n"/>
      <c r="G1353" s="21" t="n"/>
      <c r="H1353" s="12">
        <f>IF(AND(B1353="",D1353="",F1353=""),"",IF(NOT(ISNUMBER(B1353)),"Needs a date",IF(D1353="","Needs a client",IF(COUNTIF(Clients!$B$6:$B$105,D1353)=0,"Not on Clients",IF(AND(F1353="",INT(B1353)&lt;TODAY()),"Needs a status","")))))</f>
        <v/>
      </c>
      <c r="I1353" s="1">
        <f>IF(ISNUMBER(B1353),INT(B1353),0)</f>
        <v/>
      </c>
      <c r="J1353">
        <f>IF(ISNUMBER(B1353),YEAR(B1353)*100+MONTH(B1353),"")</f>
        <v/>
      </c>
      <c r="K1353">
        <f>IF(AND(H1353="",OR(F1353="Attended",F1353="No-show",AND(F1353="Late cancel",Settings!$C$9="Yes"))),1,0)</f>
        <v/>
      </c>
      <c r="L1353">
        <f>IF(AND(H1353="",F1353="Attended"),1,0)</f>
        <v/>
      </c>
      <c r="M1353">
        <f>IF(AND(H1353="",OR(F1353="No-show",F1353="Late cancel")),1,0)</f>
        <v/>
      </c>
      <c r="N1353">
        <f>IF(AND(H1353="",F1353="",D1353&lt;&gt;"",I1353&gt;=TODAY()),ROUND((I1353+IF(ISNUMBER(C1353),MOD(C1353,1),0))*1440,0)*10000+ROW(),"")</f>
        <v/>
      </c>
    </row>
    <row r="1354">
      <c r="A1354" s="1" t="n"/>
      <c r="B1354" s="17" t="n"/>
      <c r="C1354" s="18" t="n"/>
      <c r="D1354" s="19" t="n"/>
      <c r="E1354" s="20" t="n"/>
      <c r="F1354" s="20" t="n"/>
      <c r="G1354" s="21" t="n"/>
      <c r="H1354" s="12">
        <f>IF(AND(B1354="",D1354="",F1354=""),"",IF(NOT(ISNUMBER(B1354)),"Needs a date",IF(D1354="","Needs a client",IF(COUNTIF(Clients!$B$6:$B$105,D1354)=0,"Not on Clients",IF(AND(F1354="",INT(B1354)&lt;TODAY()),"Needs a status","")))))</f>
        <v/>
      </c>
      <c r="I1354" s="1">
        <f>IF(ISNUMBER(B1354),INT(B1354),0)</f>
        <v/>
      </c>
      <c r="J1354">
        <f>IF(ISNUMBER(B1354),YEAR(B1354)*100+MONTH(B1354),"")</f>
        <v/>
      </c>
      <c r="K1354">
        <f>IF(AND(H1354="",OR(F1354="Attended",F1354="No-show",AND(F1354="Late cancel",Settings!$C$9="Yes"))),1,0)</f>
        <v/>
      </c>
      <c r="L1354">
        <f>IF(AND(H1354="",F1354="Attended"),1,0)</f>
        <v/>
      </c>
      <c r="M1354">
        <f>IF(AND(H1354="",OR(F1354="No-show",F1354="Late cancel")),1,0)</f>
        <v/>
      </c>
      <c r="N1354">
        <f>IF(AND(H1354="",F1354="",D1354&lt;&gt;"",I1354&gt;=TODAY()),ROUND((I1354+IF(ISNUMBER(C1354),MOD(C1354,1),0))*1440,0)*10000+ROW(),"")</f>
        <v/>
      </c>
    </row>
    <row r="1355">
      <c r="A1355" s="1" t="n"/>
      <c r="B1355" s="17" t="n"/>
      <c r="C1355" s="18" t="n"/>
      <c r="D1355" s="19" t="n"/>
      <c r="E1355" s="20" t="n"/>
      <c r="F1355" s="20" t="n"/>
      <c r="G1355" s="21" t="n"/>
      <c r="H1355" s="12">
        <f>IF(AND(B1355="",D1355="",F1355=""),"",IF(NOT(ISNUMBER(B1355)),"Needs a date",IF(D1355="","Needs a client",IF(COUNTIF(Clients!$B$6:$B$105,D1355)=0,"Not on Clients",IF(AND(F1355="",INT(B1355)&lt;TODAY()),"Needs a status","")))))</f>
        <v/>
      </c>
      <c r="I1355" s="1">
        <f>IF(ISNUMBER(B1355),INT(B1355),0)</f>
        <v/>
      </c>
      <c r="J1355">
        <f>IF(ISNUMBER(B1355),YEAR(B1355)*100+MONTH(B1355),"")</f>
        <v/>
      </c>
      <c r="K1355">
        <f>IF(AND(H1355="",OR(F1355="Attended",F1355="No-show",AND(F1355="Late cancel",Settings!$C$9="Yes"))),1,0)</f>
        <v/>
      </c>
      <c r="L1355">
        <f>IF(AND(H1355="",F1355="Attended"),1,0)</f>
        <v/>
      </c>
      <c r="M1355">
        <f>IF(AND(H1355="",OR(F1355="No-show",F1355="Late cancel")),1,0)</f>
        <v/>
      </c>
      <c r="N1355">
        <f>IF(AND(H1355="",F1355="",D1355&lt;&gt;"",I1355&gt;=TODAY()),ROUND((I1355+IF(ISNUMBER(C1355),MOD(C1355,1),0))*1440,0)*10000+ROW(),"")</f>
        <v/>
      </c>
    </row>
    <row r="1356">
      <c r="A1356" s="1" t="n"/>
      <c r="B1356" s="17" t="n"/>
      <c r="C1356" s="18" t="n"/>
      <c r="D1356" s="19" t="n"/>
      <c r="E1356" s="20" t="n"/>
      <c r="F1356" s="20" t="n"/>
      <c r="G1356" s="21" t="n"/>
      <c r="H1356" s="12">
        <f>IF(AND(B1356="",D1356="",F1356=""),"",IF(NOT(ISNUMBER(B1356)),"Needs a date",IF(D1356="","Needs a client",IF(COUNTIF(Clients!$B$6:$B$105,D1356)=0,"Not on Clients",IF(AND(F1356="",INT(B1356)&lt;TODAY()),"Needs a status","")))))</f>
        <v/>
      </c>
      <c r="I1356" s="1">
        <f>IF(ISNUMBER(B1356),INT(B1356),0)</f>
        <v/>
      </c>
      <c r="J1356">
        <f>IF(ISNUMBER(B1356),YEAR(B1356)*100+MONTH(B1356),"")</f>
        <v/>
      </c>
      <c r="K1356">
        <f>IF(AND(H1356="",OR(F1356="Attended",F1356="No-show",AND(F1356="Late cancel",Settings!$C$9="Yes"))),1,0)</f>
        <v/>
      </c>
      <c r="L1356">
        <f>IF(AND(H1356="",F1356="Attended"),1,0)</f>
        <v/>
      </c>
      <c r="M1356">
        <f>IF(AND(H1356="",OR(F1356="No-show",F1356="Late cancel")),1,0)</f>
        <v/>
      </c>
      <c r="N1356">
        <f>IF(AND(H1356="",F1356="",D1356&lt;&gt;"",I1356&gt;=TODAY()),ROUND((I1356+IF(ISNUMBER(C1356),MOD(C1356,1),0))*1440,0)*10000+ROW(),"")</f>
        <v/>
      </c>
    </row>
    <row r="1357">
      <c r="A1357" s="1" t="n"/>
      <c r="B1357" s="17" t="n"/>
      <c r="C1357" s="18" t="n"/>
      <c r="D1357" s="19" t="n"/>
      <c r="E1357" s="20" t="n"/>
      <c r="F1357" s="20" t="n"/>
      <c r="G1357" s="21" t="n"/>
      <c r="H1357" s="12">
        <f>IF(AND(B1357="",D1357="",F1357=""),"",IF(NOT(ISNUMBER(B1357)),"Needs a date",IF(D1357="","Needs a client",IF(COUNTIF(Clients!$B$6:$B$105,D1357)=0,"Not on Clients",IF(AND(F1357="",INT(B1357)&lt;TODAY()),"Needs a status","")))))</f>
        <v/>
      </c>
      <c r="I1357" s="1">
        <f>IF(ISNUMBER(B1357),INT(B1357),0)</f>
        <v/>
      </c>
      <c r="J1357">
        <f>IF(ISNUMBER(B1357),YEAR(B1357)*100+MONTH(B1357),"")</f>
        <v/>
      </c>
      <c r="K1357">
        <f>IF(AND(H1357="",OR(F1357="Attended",F1357="No-show",AND(F1357="Late cancel",Settings!$C$9="Yes"))),1,0)</f>
        <v/>
      </c>
      <c r="L1357">
        <f>IF(AND(H1357="",F1357="Attended"),1,0)</f>
        <v/>
      </c>
      <c r="M1357">
        <f>IF(AND(H1357="",OR(F1357="No-show",F1357="Late cancel")),1,0)</f>
        <v/>
      </c>
      <c r="N1357">
        <f>IF(AND(H1357="",F1357="",D1357&lt;&gt;"",I1357&gt;=TODAY()),ROUND((I1357+IF(ISNUMBER(C1357),MOD(C1357,1),0))*1440,0)*10000+ROW(),"")</f>
        <v/>
      </c>
    </row>
    <row r="1358">
      <c r="A1358" s="1" t="n"/>
      <c r="B1358" s="17" t="n"/>
      <c r="C1358" s="18" t="n"/>
      <c r="D1358" s="19" t="n"/>
      <c r="E1358" s="20" t="n"/>
      <c r="F1358" s="20" t="n"/>
      <c r="G1358" s="21" t="n"/>
      <c r="H1358" s="12">
        <f>IF(AND(B1358="",D1358="",F1358=""),"",IF(NOT(ISNUMBER(B1358)),"Needs a date",IF(D1358="","Needs a client",IF(COUNTIF(Clients!$B$6:$B$105,D1358)=0,"Not on Clients",IF(AND(F1358="",INT(B1358)&lt;TODAY()),"Needs a status","")))))</f>
        <v/>
      </c>
      <c r="I1358" s="1">
        <f>IF(ISNUMBER(B1358),INT(B1358),0)</f>
        <v/>
      </c>
      <c r="J1358">
        <f>IF(ISNUMBER(B1358),YEAR(B1358)*100+MONTH(B1358),"")</f>
        <v/>
      </c>
      <c r="K1358">
        <f>IF(AND(H1358="",OR(F1358="Attended",F1358="No-show",AND(F1358="Late cancel",Settings!$C$9="Yes"))),1,0)</f>
        <v/>
      </c>
      <c r="L1358">
        <f>IF(AND(H1358="",F1358="Attended"),1,0)</f>
        <v/>
      </c>
      <c r="M1358">
        <f>IF(AND(H1358="",OR(F1358="No-show",F1358="Late cancel")),1,0)</f>
        <v/>
      </c>
      <c r="N1358">
        <f>IF(AND(H1358="",F1358="",D1358&lt;&gt;"",I1358&gt;=TODAY()),ROUND((I1358+IF(ISNUMBER(C1358),MOD(C1358,1),0))*1440,0)*10000+ROW(),"")</f>
        <v/>
      </c>
    </row>
    <row r="1359">
      <c r="A1359" s="1" t="n"/>
      <c r="B1359" s="17" t="n"/>
      <c r="C1359" s="18" t="n"/>
      <c r="D1359" s="19" t="n"/>
      <c r="E1359" s="20" t="n"/>
      <c r="F1359" s="20" t="n"/>
      <c r="G1359" s="21" t="n"/>
      <c r="H1359" s="12">
        <f>IF(AND(B1359="",D1359="",F1359=""),"",IF(NOT(ISNUMBER(B1359)),"Needs a date",IF(D1359="","Needs a client",IF(COUNTIF(Clients!$B$6:$B$105,D1359)=0,"Not on Clients",IF(AND(F1359="",INT(B1359)&lt;TODAY()),"Needs a status","")))))</f>
        <v/>
      </c>
      <c r="I1359" s="1">
        <f>IF(ISNUMBER(B1359),INT(B1359),0)</f>
        <v/>
      </c>
      <c r="J1359">
        <f>IF(ISNUMBER(B1359),YEAR(B1359)*100+MONTH(B1359),"")</f>
        <v/>
      </c>
      <c r="K1359">
        <f>IF(AND(H1359="",OR(F1359="Attended",F1359="No-show",AND(F1359="Late cancel",Settings!$C$9="Yes"))),1,0)</f>
        <v/>
      </c>
      <c r="L1359">
        <f>IF(AND(H1359="",F1359="Attended"),1,0)</f>
        <v/>
      </c>
      <c r="M1359">
        <f>IF(AND(H1359="",OR(F1359="No-show",F1359="Late cancel")),1,0)</f>
        <v/>
      </c>
      <c r="N1359">
        <f>IF(AND(H1359="",F1359="",D1359&lt;&gt;"",I1359&gt;=TODAY()),ROUND((I1359+IF(ISNUMBER(C1359),MOD(C1359,1),0))*1440,0)*10000+ROW(),"")</f>
        <v/>
      </c>
    </row>
    <row r="1360">
      <c r="A1360" s="1" t="n"/>
      <c r="B1360" s="17" t="n"/>
      <c r="C1360" s="18" t="n"/>
      <c r="D1360" s="19" t="n"/>
      <c r="E1360" s="20" t="n"/>
      <c r="F1360" s="20" t="n"/>
      <c r="G1360" s="21" t="n"/>
      <c r="H1360" s="12">
        <f>IF(AND(B1360="",D1360="",F1360=""),"",IF(NOT(ISNUMBER(B1360)),"Needs a date",IF(D1360="","Needs a client",IF(COUNTIF(Clients!$B$6:$B$105,D1360)=0,"Not on Clients",IF(AND(F1360="",INT(B1360)&lt;TODAY()),"Needs a status","")))))</f>
        <v/>
      </c>
      <c r="I1360" s="1">
        <f>IF(ISNUMBER(B1360),INT(B1360),0)</f>
        <v/>
      </c>
      <c r="J1360">
        <f>IF(ISNUMBER(B1360),YEAR(B1360)*100+MONTH(B1360),"")</f>
        <v/>
      </c>
      <c r="K1360">
        <f>IF(AND(H1360="",OR(F1360="Attended",F1360="No-show",AND(F1360="Late cancel",Settings!$C$9="Yes"))),1,0)</f>
        <v/>
      </c>
      <c r="L1360">
        <f>IF(AND(H1360="",F1360="Attended"),1,0)</f>
        <v/>
      </c>
      <c r="M1360">
        <f>IF(AND(H1360="",OR(F1360="No-show",F1360="Late cancel")),1,0)</f>
        <v/>
      </c>
      <c r="N1360">
        <f>IF(AND(H1360="",F1360="",D1360&lt;&gt;"",I1360&gt;=TODAY()),ROUND((I1360+IF(ISNUMBER(C1360),MOD(C1360,1),0))*1440,0)*10000+ROW(),"")</f>
        <v/>
      </c>
    </row>
    <row r="1361">
      <c r="A1361" s="1" t="n"/>
      <c r="B1361" s="17" t="n"/>
      <c r="C1361" s="18" t="n"/>
      <c r="D1361" s="19" t="n"/>
      <c r="E1361" s="20" t="n"/>
      <c r="F1361" s="20" t="n"/>
      <c r="G1361" s="21" t="n"/>
      <c r="H1361" s="12">
        <f>IF(AND(B1361="",D1361="",F1361=""),"",IF(NOT(ISNUMBER(B1361)),"Needs a date",IF(D1361="","Needs a client",IF(COUNTIF(Clients!$B$6:$B$105,D1361)=0,"Not on Clients",IF(AND(F1361="",INT(B1361)&lt;TODAY()),"Needs a status","")))))</f>
        <v/>
      </c>
      <c r="I1361" s="1">
        <f>IF(ISNUMBER(B1361),INT(B1361),0)</f>
        <v/>
      </c>
      <c r="J1361">
        <f>IF(ISNUMBER(B1361),YEAR(B1361)*100+MONTH(B1361),"")</f>
        <v/>
      </c>
      <c r="K1361">
        <f>IF(AND(H1361="",OR(F1361="Attended",F1361="No-show",AND(F1361="Late cancel",Settings!$C$9="Yes"))),1,0)</f>
        <v/>
      </c>
      <c r="L1361">
        <f>IF(AND(H1361="",F1361="Attended"),1,0)</f>
        <v/>
      </c>
      <c r="M1361">
        <f>IF(AND(H1361="",OR(F1361="No-show",F1361="Late cancel")),1,0)</f>
        <v/>
      </c>
      <c r="N1361">
        <f>IF(AND(H1361="",F1361="",D1361&lt;&gt;"",I1361&gt;=TODAY()),ROUND((I1361+IF(ISNUMBER(C1361),MOD(C1361,1),0))*1440,0)*10000+ROW(),"")</f>
        <v/>
      </c>
    </row>
    <row r="1362">
      <c r="A1362" s="1" t="n"/>
      <c r="B1362" s="17" t="n"/>
      <c r="C1362" s="18" t="n"/>
      <c r="D1362" s="19" t="n"/>
      <c r="E1362" s="20" t="n"/>
      <c r="F1362" s="20" t="n"/>
      <c r="G1362" s="21" t="n"/>
      <c r="H1362" s="12">
        <f>IF(AND(B1362="",D1362="",F1362=""),"",IF(NOT(ISNUMBER(B1362)),"Needs a date",IF(D1362="","Needs a client",IF(COUNTIF(Clients!$B$6:$B$105,D1362)=0,"Not on Clients",IF(AND(F1362="",INT(B1362)&lt;TODAY()),"Needs a status","")))))</f>
        <v/>
      </c>
      <c r="I1362" s="1">
        <f>IF(ISNUMBER(B1362),INT(B1362),0)</f>
        <v/>
      </c>
      <c r="J1362">
        <f>IF(ISNUMBER(B1362),YEAR(B1362)*100+MONTH(B1362),"")</f>
        <v/>
      </c>
      <c r="K1362">
        <f>IF(AND(H1362="",OR(F1362="Attended",F1362="No-show",AND(F1362="Late cancel",Settings!$C$9="Yes"))),1,0)</f>
        <v/>
      </c>
      <c r="L1362">
        <f>IF(AND(H1362="",F1362="Attended"),1,0)</f>
        <v/>
      </c>
      <c r="M1362">
        <f>IF(AND(H1362="",OR(F1362="No-show",F1362="Late cancel")),1,0)</f>
        <v/>
      </c>
      <c r="N1362">
        <f>IF(AND(H1362="",F1362="",D1362&lt;&gt;"",I1362&gt;=TODAY()),ROUND((I1362+IF(ISNUMBER(C1362),MOD(C1362,1),0))*1440,0)*10000+ROW(),"")</f>
        <v/>
      </c>
    </row>
    <row r="1363">
      <c r="A1363" s="1" t="n"/>
      <c r="B1363" s="17" t="n"/>
      <c r="C1363" s="18" t="n"/>
      <c r="D1363" s="19" t="n"/>
      <c r="E1363" s="20" t="n"/>
      <c r="F1363" s="20" t="n"/>
      <c r="G1363" s="21" t="n"/>
      <c r="H1363" s="12">
        <f>IF(AND(B1363="",D1363="",F1363=""),"",IF(NOT(ISNUMBER(B1363)),"Needs a date",IF(D1363="","Needs a client",IF(COUNTIF(Clients!$B$6:$B$105,D1363)=0,"Not on Clients",IF(AND(F1363="",INT(B1363)&lt;TODAY()),"Needs a status","")))))</f>
        <v/>
      </c>
      <c r="I1363" s="1">
        <f>IF(ISNUMBER(B1363),INT(B1363),0)</f>
        <v/>
      </c>
      <c r="J1363">
        <f>IF(ISNUMBER(B1363),YEAR(B1363)*100+MONTH(B1363),"")</f>
        <v/>
      </c>
      <c r="K1363">
        <f>IF(AND(H1363="",OR(F1363="Attended",F1363="No-show",AND(F1363="Late cancel",Settings!$C$9="Yes"))),1,0)</f>
        <v/>
      </c>
      <c r="L1363">
        <f>IF(AND(H1363="",F1363="Attended"),1,0)</f>
        <v/>
      </c>
      <c r="M1363">
        <f>IF(AND(H1363="",OR(F1363="No-show",F1363="Late cancel")),1,0)</f>
        <v/>
      </c>
      <c r="N1363">
        <f>IF(AND(H1363="",F1363="",D1363&lt;&gt;"",I1363&gt;=TODAY()),ROUND((I1363+IF(ISNUMBER(C1363),MOD(C1363,1),0))*1440,0)*10000+ROW(),"")</f>
        <v/>
      </c>
    </row>
    <row r="1364">
      <c r="A1364" s="1" t="n"/>
      <c r="B1364" s="17" t="n"/>
      <c r="C1364" s="18" t="n"/>
      <c r="D1364" s="19" t="n"/>
      <c r="E1364" s="20" t="n"/>
      <c r="F1364" s="20" t="n"/>
      <c r="G1364" s="21" t="n"/>
      <c r="H1364" s="12">
        <f>IF(AND(B1364="",D1364="",F1364=""),"",IF(NOT(ISNUMBER(B1364)),"Needs a date",IF(D1364="","Needs a client",IF(COUNTIF(Clients!$B$6:$B$105,D1364)=0,"Not on Clients",IF(AND(F1364="",INT(B1364)&lt;TODAY()),"Needs a status","")))))</f>
        <v/>
      </c>
      <c r="I1364" s="1">
        <f>IF(ISNUMBER(B1364),INT(B1364),0)</f>
        <v/>
      </c>
      <c r="J1364">
        <f>IF(ISNUMBER(B1364),YEAR(B1364)*100+MONTH(B1364),"")</f>
        <v/>
      </c>
      <c r="K1364">
        <f>IF(AND(H1364="",OR(F1364="Attended",F1364="No-show",AND(F1364="Late cancel",Settings!$C$9="Yes"))),1,0)</f>
        <v/>
      </c>
      <c r="L1364">
        <f>IF(AND(H1364="",F1364="Attended"),1,0)</f>
        <v/>
      </c>
      <c r="M1364">
        <f>IF(AND(H1364="",OR(F1364="No-show",F1364="Late cancel")),1,0)</f>
        <v/>
      </c>
      <c r="N1364">
        <f>IF(AND(H1364="",F1364="",D1364&lt;&gt;"",I1364&gt;=TODAY()),ROUND((I1364+IF(ISNUMBER(C1364),MOD(C1364,1),0))*1440,0)*10000+ROW(),"")</f>
        <v/>
      </c>
    </row>
    <row r="1365">
      <c r="A1365" s="1" t="n"/>
      <c r="B1365" s="17" t="n"/>
      <c r="C1365" s="18" t="n"/>
      <c r="D1365" s="19" t="n"/>
      <c r="E1365" s="20" t="n"/>
      <c r="F1365" s="20" t="n"/>
      <c r="G1365" s="21" t="n"/>
      <c r="H1365" s="12">
        <f>IF(AND(B1365="",D1365="",F1365=""),"",IF(NOT(ISNUMBER(B1365)),"Needs a date",IF(D1365="","Needs a client",IF(COUNTIF(Clients!$B$6:$B$105,D1365)=0,"Not on Clients",IF(AND(F1365="",INT(B1365)&lt;TODAY()),"Needs a status","")))))</f>
        <v/>
      </c>
      <c r="I1365" s="1">
        <f>IF(ISNUMBER(B1365),INT(B1365),0)</f>
        <v/>
      </c>
      <c r="J1365">
        <f>IF(ISNUMBER(B1365),YEAR(B1365)*100+MONTH(B1365),"")</f>
        <v/>
      </c>
      <c r="K1365">
        <f>IF(AND(H1365="",OR(F1365="Attended",F1365="No-show",AND(F1365="Late cancel",Settings!$C$9="Yes"))),1,0)</f>
        <v/>
      </c>
      <c r="L1365">
        <f>IF(AND(H1365="",F1365="Attended"),1,0)</f>
        <v/>
      </c>
      <c r="M1365">
        <f>IF(AND(H1365="",OR(F1365="No-show",F1365="Late cancel")),1,0)</f>
        <v/>
      </c>
      <c r="N1365">
        <f>IF(AND(H1365="",F1365="",D1365&lt;&gt;"",I1365&gt;=TODAY()),ROUND((I1365+IF(ISNUMBER(C1365),MOD(C1365,1),0))*1440,0)*10000+ROW(),"")</f>
        <v/>
      </c>
    </row>
    <row r="1366">
      <c r="A1366" s="1" t="n"/>
      <c r="B1366" s="17" t="n"/>
      <c r="C1366" s="18" t="n"/>
      <c r="D1366" s="19" t="n"/>
      <c r="E1366" s="20" t="n"/>
      <c r="F1366" s="20" t="n"/>
      <c r="G1366" s="21" t="n"/>
      <c r="H1366" s="12">
        <f>IF(AND(B1366="",D1366="",F1366=""),"",IF(NOT(ISNUMBER(B1366)),"Needs a date",IF(D1366="","Needs a client",IF(COUNTIF(Clients!$B$6:$B$105,D1366)=0,"Not on Clients",IF(AND(F1366="",INT(B1366)&lt;TODAY()),"Needs a status","")))))</f>
        <v/>
      </c>
      <c r="I1366" s="1">
        <f>IF(ISNUMBER(B1366),INT(B1366),0)</f>
        <v/>
      </c>
      <c r="J1366">
        <f>IF(ISNUMBER(B1366),YEAR(B1366)*100+MONTH(B1366),"")</f>
        <v/>
      </c>
      <c r="K1366">
        <f>IF(AND(H1366="",OR(F1366="Attended",F1366="No-show",AND(F1366="Late cancel",Settings!$C$9="Yes"))),1,0)</f>
        <v/>
      </c>
      <c r="L1366">
        <f>IF(AND(H1366="",F1366="Attended"),1,0)</f>
        <v/>
      </c>
      <c r="M1366">
        <f>IF(AND(H1366="",OR(F1366="No-show",F1366="Late cancel")),1,0)</f>
        <v/>
      </c>
      <c r="N1366">
        <f>IF(AND(H1366="",F1366="",D1366&lt;&gt;"",I1366&gt;=TODAY()),ROUND((I1366+IF(ISNUMBER(C1366),MOD(C1366,1),0))*1440,0)*10000+ROW(),"")</f>
        <v/>
      </c>
    </row>
    <row r="1367">
      <c r="A1367" s="1" t="n"/>
      <c r="B1367" s="17" t="n"/>
      <c r="C1367" s="18" t="n"/>
      <c r="D1367" s="19" t="n"/>
      <c r="E1367" s="20" t="n"/>
      <c r="F1367" s="20" t="n"/>
      <c r="G1367" s="21" t="n"/>
      <c r="H1367" s="12">
        <f>IF(AND(B1367="",D1367="",F1367=""),"",IF(NOT(ISNUMBER(B1367)),"Needs a date",IF(D1367="","Needs a client",IF(COUNTIF(Clients!$B$6:$B$105,D1367)=0,"Not on Clients",IF(AND(F1367="",INT(B1367)&lt;TODAY()),"Needs a status","")))))</f>
        <v/>
      </c>
      <c r="I1367" s="1">
        <f>IF(ISNUMBER(B1367),INT(B1367),0)</f>
        <v/>
      </c>
      <c r="J1367">
        <f>IF(ISNUMBER(B1367),YEAR(B1367)*100+MONTH(B1367),"")</f>
        <v/>
      </c>
      <c r="K1367">
        <f>IF(AND(H1367="",OR(F1367="Attended",F1367="No-show",AND(F1367="Late cancel",Settings!$C$9="Yes"))),1,0)</f>
        <v/>
      </c>
      <c r="L1367">
        <f>IF(AND(H1367="",F1367="Attended"),1,0)</f>
        <v/>
      </c>
      <c r="M1367">
        <f>IF(AND(H1367="",OR(F1367="No-show",F1367="Late cancel")),1,0)</f>
        <v/>
      </c>
      <c r="N1367">
        <f>IF(AND(H1367="",F1367="",D1367&lt;&gt;"",I1367&gt;=TODAY()),ROUND((I1367+IF(ISNUMBER(C1367),MOD(C1367,1),0))*1440,0)*10000+ROW(),"")</f>
        <v/>
      </c>
    </row>
    <row r="1368">
      <c r="A1368" s="1" t="n"/>
      <c r="B1368" s="17" t="n"/>
      <c r="C1368" s="18" t="n"/>
      <c r="D1368" s="19" t="n"/>
      <c r="E1368" s="20" t="n"/>
      <c r="F1368" s="20" t="n"/>
      <c r="G1368" s="21" t="n"/>
      <c r="H1368" s="12">
        <f>IF(AND(B1368="",D1368="",F1368=""),"",IF(NOT(ISNUMBER(B1368)),"Needs a date",IF(D1368="","Needs a client",IF(COUNTIF(Clients!$B$6:$B$105,D1368)=0,"Not on Clients",IF(AND(F1368="",INT(B1368)&lt;TODAY()),"Needs a status","")))))</f>
        <v/>
      </c>
      <c r="I1368" s="1">
        <f>IF(ISNUMBER(B1368),INT(B1368),0)</f>
        <v/>
      </c>
      <c r="J1368">
        <f>IF(ISNUMBER(B1368),YEAR(B1368)*100+MONTH(B1368),"")</f>
        <v/>
      </c>
      <c r="K1368">
        <f>IF(AND(H1368="",OR(F1368="Attended",F1368="No-show",AND(F1368="Late cancel",Settings!$C$9="Yes"))),1,0)</f>
        <v/>
      </c>
      <c r="L1368">
        <f>IF(AND(H1368="",F1368="Attended"),1,0)</f>
        <v/>
      </c>
      <c r="M1368">
        <f>IF(AND(H1368="",OR(F1368="No-show",F1368="Late cancel")),1,0)</f>
        <v/>
      </c>
      <c r="N1368">
        <f>IF(AND(H1368="",F1368="",D1368&lt;&gt;"",I1368&gt;=TODAY()),ROUND((I1368+IF(ISNUMBER(C1368),MOD(C1368,1),0))*1440,0)*10000+ROW(),"")</f>
        <v/>
      </c>
    </row>
    <row r="1369">
      <c r="A1369" s="1" t="n"/>
      <c r="B1369" s="17" t="n"/>
      <c r="C1369" s="18" t="n"/>
      <c r="D1369" s="19" t="n"/>
      <c r="E1369" s="20" t="n"/>
      <c r="F1369" s="20" t="n"/>
      <c r="G1369" s="21" t="n"/>
      <c r="H1369" s="12">
        <f>IF(AND(B1369="",D1369="",F1369=""),"",IF(NOT(ISNUMBER(B1369)),"Needs a date",IF(D1369="","Needs a client",IF(COUNTIF(Clients!$B$6:$B$105,D1369)=0,"Not on Clients",IF(AND(F1369="",INT(B1369)&lt;TODAY()),"Needs a status","")))))</f>
        <v/>
      </c>
      <c r="I1369" s="1">
        <f>IF(ISNUMBER(B1369),INT(B1369),0)</f>
        <v/>
      </c>
      <c r="J1369">
        <f>IF(ISNUMBER(B1369),YEAR(B1369)*100+MONTH(B1369),"")</f>
        <v/>
      </c>
      <c r="K1369">
        <f>IF(AND(H1369="",OR(F1369="Attended",F1369="No-show",AND(F1369="Late cancel",Settings!$C$9="Yes"))),1,0)</f>
        <v/>
      </c>
      <c r="L1369">
        <f>IF(AND(H1369="",F1369="Attended"),1,0)</f>
        <v/>
      </c>
      <c r="M1369">
        <f>IF(AND(H1369="",OR(F1369="No-show",F1369="Late cancel")),1,0)</f>
        <v/>
      </c>
      <c r="N1369">
        <f>IF(AND(H1369="",F1369="",D1369&lt;&gt;"",I1369&gt;=TODAY()),ROUND((I1369+IF(ISNUMBER(C1369),MOD(C1369,1),0))*1440,0)*10000+ROW(),"")</f>
        <v/>
      </c>
    </row>
    <row r="1370">
      <c r="A1370" s="1" t="n"/>
      <c r="B1370" s="17" t="n"/>
      <c r="C1370" s="18" t="n"/>
      <c r="D1370" s="19" t="n"/>
      <c r="E1370" s="20" t="n"/>
      <c r="F1370" s="20" t="n"/>
      <c r="G1370" s="21" t="n"/>
      <c r="H1370" s="12">
        <f>IF(AND(B1370="",D1370="",F1370=""),"",IF(NOT(ISNUMBER(B1370)),"Needs a date",IF(D1370="","Needs a client",IF(COUNTIF(Clients!$B$6:$B$105,D1370)=0,"Not on Clients",IF(AND(F1370="",INT(B1370)&lt;TODAY()),"Needs a status","")))))</f>
        <v/>
      </c>
      <c r="I1370" s="1">
        <f>IF(ISNUMBER(B1370),INT(B1370),0)</f>
        <v/>
      </c>
      <c r="J1370">
        <f>IF(ISNUMBER(B1370),YEAR(B1370)*100+MONTH(B1370),"")</f>
        <v/>
      </c>
      <c r="K1370">
        <f>IF(AND(H1370="",OR(F1370="Attended",F1370="No-show",AND(F1370="Late cancel",Settings!$C$9="Yes"))),1,0)</f>
        <v/>
      </c>
      <c r="L1370">
        <f>IF(AND(H1370="",F1370="Attended"),1,0)</f>
        <v/>
      </c>
      <c r="M1370">
        <f>IF(AND(H1370="",OR(F1370="No-show",F1370="Late cancel")),1,0)</f>
        <v/>
      </c>
      <c r="N1370">
        <f>IF(AND(H1370="",F1370="",D1370&lt;&gt;"",I1370&gt;=TODAY()),ROUND((I1370+IF(ISNUMBER(C1370),MOD(C1370,1),0))*1440,0)*10000+ROW(),"")</f>
        <v/>
      </c>
    </row>
    <row r="1371">
      <c r="A1371" s="1" t="n"/>
      <c r="B1371" s="17" t="n"/>
      <c r="C1371" s="18" t="n"/>
      <c r="D1371" s="19" t="n"/>
      <c r="E1371" s="20" t="n"/>
      <c r="F1371" s="20" t="n"/>
      <c r="G1371" s="21" t="n"/>
      <c r="H1371" s="12">
        <f>IF(AND(B1371="",D1371="",F1371=""),"",IF(NOT(ISNUMBER(B1371)),"Needs a date",IF(D1371="","Needs a client",IF(COUNTIF(Clients!$B$6:$B$105,D1371)=0,"Not on Clients",IF(AND(F1371="",INT(B1371)&lt;TODAY()),"Needs a status","")))))</f>
        <v/>
      </c>
      <c r="I1371" s="1">
        <f>IF(ISNUMBER(B1371),INT(B1371),0)</f>
        <v/>
      </c>
      <c r="J1371">
        <f>IF(ISNUMBER(B1371),YEAR(B1371)*100+MONTH(B1371),"")</f>
        <v/>
      </c>
      <c r="K1371">
        <f>IF(AND(H1371="",OR(F1371="Attended",F1371="No-show",AND(F1371="Late cancel",Settings!$C$9="Yes"))),1,0)</f>
        <v/>
      </c>
      <c r="L1371">
        <f>IF(AND(H1371="",F1371="Attended"),1,0)</f>
        <v/>
      </c>
      <c r="M1371">
        <f>IF(AND(H1371="",OR(F1371="No-show",F1371="Late cancel")),1,0)</f>
        <v/>
      </c>
      <c r="N1371">
        <f>IF(AND(H1371="",F1371="",D1371&lt;&gt;"",I1371&gt;=TODAY()),ROUND((I1371+IF(ISNUMBER(C1371),MOD(C1371,1),0))*1440,0)*10000+ROW(),"")</f>
        <v/>
      </c>
    </row>
    <row r="1372">
      <c r="A1372" s="1" t="n"/>
      <c r="B1372" s="17" t="n"/>
      <c r="C1372" s="18" t="n"/>
      <c r="D1372" s="19" t="n"/>
      <c r="E1372" s="20" t="n"/>
      <c r="F1372" s="20" t="n"/>
      <c r="G1372" s="21" t="n"/>
      <c r="H1372" s="12">
        <f>IF(AND(B1372="",D1372="",F1372=""),"",IF(NOT(ISNUMBER(B1372)),"Needs a date",IF(D1372="","Needs a client",IF(COUNTIF(Clients!$B$6:$B$105,D1372)=0,"Not on Clients",IF(AND(F1372="",INT(B1372)&lt;TODAY()),"Needs a status","")))))</f>
        <v/>
      </c>
      <c r="I1372" s="1">
        <f>IF(ISNUMBER(B1372),INT(B1372),0)</f>
        <v/>
      </c>
      <c r="J1372">
        <f>IF(ISNUMBER(B1372),YEAR(B1372)*100+MONTH(B1372),"")</f>
        <v/>
      </c>
      <c r="K1372">
        <f>IF(AND(H1372="",OR(F1372="Attended",F1372="No-show",AND(F1372="Late cancel",Settings!$C$9="Yes"))),1,0)</f>
        <v/>
      </c>
      <c r="L1372">
        <f>IF(AND(H1372="",F1372="Attended"),1,0)</f>
        <v/>
      </c>
      <c r="M1372">
        <f>IF(AND(H1372="",OR(F1372="No-show",F1372="Late cancel")),1,0)</f>
        <v/>
      </c>
      <c r="N1372">
        <f>IF(AND(H1372="",F1372="",D1372&lt;&gt;"",I1372&gt;=TODAY()),ROUND((I1372+IF(ISNUMBER(C1372),MOD(C1372,1),0))*1440,0)*10000+ROW(),"")</f>
        <v/>
      </c>
    </row>
    <row r="1373">
      <c r="A1373" s="1" t="n"/>
      <c r="B1373" s="17" t="n"/>
      <c r="C1373" s="18" t="n"/>
      <c r="D1373" s="19" t="n"/>
      <c r="E1373" s="20" t="n"/>
      <c r="F1373" s="20" t="n"/>
      <c r="G1373" s="21" t="n"/>
      <c r="H1373" s="12">
        <f>IF(AND(B1373="",D1373="",F1373=""),"",IF(NOT(ISNUMBER(B1373)),"Needs a date",IF(D1373="","Needs a client",IF(COUNTIF(Clients!$B$6:$B$105,D1373)=0,"Not on Clients",IF(AND(F1373="",INT(B1373)&lt;TODAY()),"Needs a status","")))))</f>
        <v/>
      </c>
      <c r="I1373" s="1">
        <f>IF(ISNUMBER(B1373),INT(B1373),0)</f>
        <v/>
      </c>
      <c r="J1373">
        <f>IF(ISNUMBER(B1373),YEAR(B1373)*100+MONTH(B1373),"")</f>
        <v/>
      </c>
      <c r="K1373">
        <f>IF(AND(H1373="",OR(F1373="Attended",F1373="No-show",AND(F1373="Late cancel",Settings!$C$9="Yes"))),1,0)</f>
        <v/>
      </c>
      <c r="L1373">
        <f>IF(AND(H1373="",F1373="Attended"),1,0)</f>
        <v/>
      </c>
      <c r="M1373">
        <f>IF(AND(H1373="",OR(F1373="No-show",F1373="Late cancel")),1,0)</f>
        <v/>
      </c>
      <c r="N1373">
        <f>IF(AND(H1373="",F1373="",D1373&lt;&gt;"",I1373&gt;=TODAY()),ROUND((I1373+IF(ISNUMBER(C1373),MOD(C1373,1),0))*1440,0)*10000+ROW(),"")</f>
        <v/>
      </c>
    </row>
    <row r="1374">
      <c r="A1374" s="1" t="n"/>
      <c r="B1374" s="17" t="n"/>
      <c r="C1374" s="18" t="n"/>
      <c r="D1374" s="19" t="n"/>
      <c r="E1374" s="20" t="n"/>
      <c r="F1374" s="20" t="n"/>
      <c r="G1374" s="21" t="n"/>
      <c r="H1374" s="12">
        <f>IF(AND(B1374="",D1374="",F1374=""),"",IF(NOT(ISNUMBER(B1374)),"Needs a date",IF(D1374="","Needs a client",IF(COUNTIF(Clients!$B$6:$B$105,D1374)=0,"Not on Clients",IF(AND(F1374="",INT(B1374)&lt;TODAY()),"Needs a status","")))))</f>
        <v/>
      </c>
      <c r="I1374" s="1">
        <f>IF(ISNUMBER(B1374),INT(B1374),0)</f>
        <v/>
      </c>
      <c r="J1374">
        <f>IF(ISNUMBER(B1374),YEAR(B1374)*100+MONTH(B1374),"")</f>
        <v/>
      </c>
      <c r="K1374">
        <f>IF(AND(H1374="",OR(F1374="Attended",F1374="No-show",AND(F1374="Late cancel",Settings!$C$9="Yes"))),1,0)</f>
        <v/>
      </c>
      <c r="L1374">
        <f>IF(AND(H1374="",F1374="Attended"),1,0)</f>
        <v/>
      </c>
      <c r="M1374">
        <f>IF(AND(H1374="",OR(F1374="No-show",F1374="Late cancel")),1,0)</f>
        <v/>
      </c>
      <c r="N1374">
        <f>IF(AND(H1374="",F1374="",D1374&lt;&gt;"",I1374&gt;=TODAY()),ROUND((I1374+IF(ISNUMBER(C1374),MOD(C1374,1),0))*1440,0)*10000+ROW(),"")</f>
        <v/>
      </c>
    </row>
    <row r="1375">
      <c r="A1375" s="1" t="n"/>
      <c r="B1375" s="17" t="n"/>
      <c r="C1375" s="18" t="n"/>
      <c r="D1375" s="19" t="n"/>
      <c r="E1375" s="20" t="n"/>
      <c r="F1375" s="20" t="n"/>
      <c r="G1375" s="21" t="n"/>
      <c r="H1375" s="12">
        <f>IF(AND(B1375="",D1375="",F1375=""),"",IF(NOT(ISNUMBER(B1375)),"Needs a date",IF(D1375="","Needs a client",IF(COUNTIF(Clients!$B$6:$B$105,D1375)=0,"Not on Clients",IF(AND(F1375="",INT(B1375)&lt;TODAY()),"Needs a status","")))))</f>
        <v/>
      </c>
      <c r="I1375" s="1">
        <f>IF(ISNUMBER(B1375),INT(B1375),0)</f>
        <v/>
      </c>
      <c r="J1375">
        <f>IF(ISNUMBER(B1375),YEAR(B1375)*100+MONTH(B1375),"")</f>
        <v/>
      </c>
      <c r="K1375">
        <f>IF(AND(H1375="",OR(F1375="Attended",F1375="No-show",AND(F1375="Late cancel",Settings!$C$9="Yes"))),1,0)</f>
        <v/>
      </c>
      <c r="L1375">
        <f>IF(AND(H1375="",F1375="Attended"),1,0)</f>
        <v/>
      </c>
      <c r="M1375">
        <f>IF(AND(H1375="",OR(F1375="No-show",F1375="Late cancel")),1,0)</f>
        <v/>
      </c>
      <c r="N1375">
        <f>IF(AND(H1375="",F1375="",D1375&lt;&gt;"",I1375&gt;=TODAY()),ROUND((I1375+IF(ISNUMBER(C1375),MOD(C1375,1),0))*1440,0)*10000+ROW(),"")</f>
        <v/>
      </c>
    </row>
    <row r="1376">
      <c r="A1376" s="1" t="n"/>
      <c r="B1376" s="17" t="n"/>
      <c r="C1376" s="18" t="n"/>
      <c r="D1376" s="19" t="n"/>
      <c r="E1376" s="20" t="n"/>
      <c r="F1376" s="20" t="n"/>
      <c r="G1376" s="21" t="n"/>
      <c r="H1376" s="12">
        <f>IF(AND(B1376="",D1376="",F1376=""),"",IF(NOT(ISNUMBER(B1376)),"Needs a date",IF(D1376="","Needs a client",IF(COUNTIF(Clients!$B$6:$B$105,D1376)=0,"Not on Clients",IF(AND(F1376="",INT(B1376)&lt;TODAY()),"Needs a status","")))))</f>
        <v/>
      </c>
      <c r="I1376" s="1">
        <f>IF(ISNUMBER(B1376),INT(B1376),0)</f>
        <v/>
      </c>
      <c r="J1376">
        <f>IF(ISNUMBER(B1376),YEAR(B1376)*100+MONTH(B1376),"")</f>
        <v/>
      </c>
      <c r="K1376">
        <f>IF(AND(H1376="",OR(F1376="Attended",F1376="No-show",AND(F1376="Late cancel",Settings!$C$9="Yes"))),1,0)</f>
        <v/>
      </c>
      <c r="L1376">
        <f>IF(AND(H1376="",F1376="Attended"),1,0)</f>
        <v/>
      </c>
      <c r="M1376">
        <f>IF(AND(H1376="",OR(F1376="No-show",F1376="Late cancel")),1,0)</f>
        <v/>
      </c>
      <c r="N1376">
        <f>IF(AND(H1376="",F1376="",D1376&lt;&gt;"",I1376&gt;=TODAY()),ROUND((I1376+IF(ISNUMBER(C1376),MOD(C1376,1),0))*1440,0)*10000+ROW(),"")</f>
        <v/>
      </c>
    </row>
    <row r="1377">
      <c r="A1377" s="1" t="n"/>
      <c r="B1377" s="17" t="n"/>
      <c r="C1377" s="18" t="n"/>
      <c r="D1377" s="19" t="n"/>
      <c r="E1377" s="20" t="n"/>
      <c r="F1377" s="20" t="n"/>
      <c r="G1377" s="21" t="n"/>
      <c r="H1377" s="12">
        <f>IF(AND(B1377="",D1377="",F1377=""),"",IF(NOT(ISNUMBER(B1377)),"Needs a date",IF(D1377="","Needs a client",IF(COUNTIF(Clients!$B$6:$B$105,D1377)=0,"Not on Clients",IF(AND(F1377="",INT(B1377)&lt;TODAY()),"Needs a status","")))))</f>
        <v/>
      </c>
      <c r="I1377" s="1">
        <f>IF(ISNUMBER(B1377),INT(B1377),0)</f>
        <v/>
      </c>
      <c r="J1377">
        <f>IF(ISNUMBER(B1377),YEAR(B1377)*100+MONTH(B1377),"")</f>
        <v/>
      </c>
      <c r="K1377">
        <f>IF(AND(H1377="",OR(F1377="Attended",F1377="No-show",AND(F1377="Late cancel",Settings!$C$9="Yes"))),1,0)</f>
        <v/>
      </c>
      <c r="L1377">
        <f>IF(AND(H1377="",F1377="Attended"),1,0)</f>
        <v/>
      </c>
      <c r="M1377">
        <f>IF(AND(H1377="",OR(F1377="No-show",F1377="Late cancel")),1,0)</f>
        <v/>
      </c>
      <c r="N1377">
        <f>IF(AND(H1377="",F1377="",D1377&lt;&gt;"",I1377&gt;=TODAY()),ROUND((I1377+IF(ISNUMBER(C1377),MOD(C1377,1),0))*1440,0)*10000+ROW(),"")</f>
        <v/>
      </c>
    </row>
    <row r="1378">
      <c r="A1378" s="1" t="n"/>
      <c r="B1378" s="17" t="n"/>
      <c r="C1378" s="18" t="n"/>
      <c r="D1378" s="19" t="n"/>
      <c r="E1378" s="20" t="n"/>
      <c r="F1378" s="20" t="n"/>
      <c r="G1378" s="21" t="n"/>
      <c r="H1378" s="12">
        <f>IF(AND(B1378="",D1378="",F1378=""),"",IF(NOT(ISNUMBER(B1378)),"Needs a date",IF(D1378="","Needs a client",IF(COUNTIF(Clients!$B$6:$B$105,D1378)=0,"Not on Clients",IF(AND(F1378="",INT(B1378)&lt;TODAY()),"Needs a status","")))))</f>
        <v/>
      </c>
      <c r="I1378" s="1">
        <f>IF(ISNUMBER(B1378),INT(B1378),0)</f>
        <v/>
      </c>
      <c r="J1378">
        <f>IF(ISNUMBER(B1378),YEAR(B1378)*100+MONTH(B1378),"")</f>
        <v/>
      </c>
      <c r="K1378">
        <f>IF(AND(H1378="",OR(F1378="Attended",F1378="No-show",AND(F1378="Late cancel",Settings!$C$9="Yes"))),1,0)</f>
        <v/>
      </c>
      <c r="L1378">
        <f>IF(AND(H1378="",F1378="Attended"),1,0)</f>
        <v/>
      </c>
      <c r="M1378">
        <f>IF(AND(H1378="",OR(F1378="No-show",F1378="Late cancel")),1,0)</f>
        <v/>
      </c>
      <c r="N1378">
        <f>IF(AND(H1378="",F1378="",D1378&lt;&gt;"",I1378&gt;=TODAY()),ROUND((I1378+IF(ISNUMBER(C1378),MOD(C1378,1),0))*1440,0)*10000+ROW(),"")</f>
        <v/>
      </c>
    </row>
    <row r="1379">
      <c r="A1379" s="1" t="n"/>
      <c r="B1379" s="17" t="n"/>
      <c r="C1379" s="18" t="n"/>
      <c r="D1379" s="19" t="n"/>
      <c r="E1379" s="20" t="n"/>
      <c r="F1379" s="20" t="n"/>
      <c r="G1379" s="21" t="n"/>
      <c r="H1379" s="12">
        <f>IF(AND(B1379="",D1379="",F1379=""),"",IF(NOT(ISNUMBER(B1379)),"Needs a date",IF(D1379="","Needs a client",IF(COUNTIF(Clients!$B$6:$B$105,D1379)=0,"Not on Clients",IF(AND(F1379="",INT(B1379)&lt;TODAY()),"Needs a status","")))))</f>
        <v/>
      </c>
      <c r="I1379" s="1">
        <f>IF(ISNUMBER(B1379),INT(B1379),0)</f>
        <v/>
      </c>
      <c r="J1379">
        <f>IF(ISNUMBER(B1379),YEAR(B1379)*100+MONTH(B1379),"")</f>
        <v/>
      </c>
      <c r="K1379">
        <f>IF(AND(H1379="",OR(F1379="Attended",F1379="No-show",AND(F1379="Late cancel",Settings!$C$9="Yes"))),1,0)</f>
        <v/>
      </c>
      <c r="L1379">
        <f>IF(AND(H1379="",F1379="Attended"),1,0)</f>
        <v/>
      </c>
      <c r="M1379">
        <f>IF(AND(H1379="",OR(F1379="No-show",F1379="Late cancel")),1,0)</f>
        <v/>
      </c>
      <c r="N1379">
        <f>IF(AND(H1379="",F1379="",D1379&lt;&gt;"",I1379&gt;=TODAY()),ROUND((I1379+IF(ISNUMBER(C1379),MOD(C1379,1),0))*1440,0)*10000+ROW(),"")</f>
        <v/>
      </c>
    </row>
    <row r="1380">
      <c r="A1380" s="1" t="n"/>
      <c r="B1380" s="17" t="n"/>
      <c r="C1380" s="18" t="n"/>
      <c r="D1380" s="19" t="n"/>
      <c r="E1380" s="20" t="n"/>
      <c r="F1380" s="20" t="n"/>
      <c r="G1380" s="21" t="n"/>
      <c r="H1380" s="12">
        <f>IF(AND(B1380="",D1380="",F1380=""),"",IF(NOT(ISNUMBER(B1380)),"Needs a date",IF(D1380="","Needs a client",IF(COUNTIF(Clients!$B$6:$B$105,D1380)=0,"Not on Clients",IF(AND(F1380="",INT(B1380)&lt;TODAY()),"Needs a status","")))))</f>
        <v/>
      </c>
      <c r="I1380" s="1">
        <f>IF(ISNUMBER(B1380),INT(B1380),0)</f>
        <v/>
      </c>
      <c r="J1380">
        <f>IF(ISNUMBER(B1380),YEAR(B1380)*100+MONTH(B1380),"")</f>
        <v/>
      </c>
      <c r="K1380">
        <f>IF(AND(H1380="",OR(F1380="Attended",F1380="No-show",AND(F1380="Late cancel",Settings!$C$9="Yes"))),1,0)</f>
        <v/>
      </c>
      <c r="L1380">
        <f>IF(AND(H1380="",F1380="Attended"),1,0)</f>
        <v/>
      </c>
      <c r="M1380">
        <f>IF(AND(H1380="",OR(F1380="No-show",F1380="Late cancel")),1,0)</f>
        <v/>
      </c>
      <c r="N1380">
        <f>IF(AND(H1380="",F1380="",D1380&lt;&gt;"",I1380&gt;=TODAY()),ROUND((I1380+IF(ISNUMBER(C1380),MOD(C1380,1),0))*1440,0)*10000+ROW(),"")</f>
        <v/>
      </c>
    </row>
    <row r="1381">
      <c r="A1381" s="1" t="n"/>
      <c r="B1381" s="17" t="n"/>
      <c r="C1381" s="18" t="n"/>
      <c r="D1381" s="19" t="n"/>
      <c r="E1381" s="20" t="n"/>
      <c r="F1381" s="20" t="n"/>
      <c r="G1381" s="21" t="n"/>
      <c r="H1381" s="12">
        <f>IF(AND(B1381="",D1381="",F1381=""),"",IF(NOT(ISNUMBER(B1381)),"Needs a date",IF(D1381="","Needs a client",IF(COUNTIF(Clients!$B$6:$B$105,D1381)=0,"Not on Clients",IF(AND(F1381="",INT(B1381)&lt;TODAY()),"Needs a status","")))))</f>
        <v/>
      </c>
      <c r="I1381" s="1">
        <f>IF(ISNUMBER(B1381),INT(B1381),0)</f>
        <v/>
      </c>
      <c r="J1381">
        <f>IF(ISNUMBER(B1381),YEAR(B1381)*100+MONTH(B1381),"")</f>
        <v/>
      </c>
      <c r="K1381">
        <f>IF(AND(H1381="",OR(F1381="Attended",F1381="No-show",AND(F1381="Late cancel",Settings!$C$9="Yes"))),1,0)</f>
        <v/>
      </c>
      <c r="L1381">
        <f>IF(AND(H1381="",F1381="Attended"),1,0)</f>
        <v/>
      </c>
      <c r="M1381">
        <f>IF(AND(H1381="",OR(F1381="No-show",F1381="Late cancel")),1,0)</f>
        <v/>
      </c>
      <c r="N1381">
        <f>IF(AND(H1381="",F1381="",D1381&lt;&gt;"",I1381&gt;=TODAY()),ROUND((I1381+IF(ISNUMBER(C1381),MOD(C1381,1),0))*1440,0)*10000+ROW(),"")</f>
        <v/>
      </c>
    </row>
    <row r="1382">
      <c r="A1382" s="1" t="n"/>
      <c r="B1382" s="17" t="n"/>
      <c r="C1382" s="18" t="n"/>
      <c r="D1382" s="19" t="n"/>
      <c r="E1382" s="20" t="n"/>
      <c r="F1382" s="20" t="n"/>
      <c r="G1382" s="21" t="n"/>
      <c r="H1382" s="12">
        <f>IF(AND(B1382="",D1382="",F1382=""),"",IF(NOT(ISNUMBER(B1382)),"Needs a date",IF(D1382="","Needs a client",IF(COUNTIF(Clients!$B$6:$B$105,D1382)=0,"Not on Clients",IF(AND(F1382="",INT(B1382)&lt;TODAY()),"Needs a status","")))))</f>
        <v/>
      </c>
      <c r="I1382" s="1">
        <f>IF(ISNUMBER(B1382),INT(B1382),0)</f>
        <v/>
      </c>
      <c r="J1382">
        <f>IF(ISNUMBER(B1382),YEAR(B1382)*100+MONTH(B1382),"")</f>
        <v/>
      </c>
      <c r="K1382">
        <f>IF(AND(H1382="",OR(F1382="Attended",F1382="No-show",AND(F1382="Late cancel",Settings!$C$9="Yes"))),1,0)</f>
        <v/>
      </c>
      <c r="L1382">
        <f>IF(AND(H1382="",F1382="Attended"),1,0)</f>
        <v/>
      </c>
      <c r="M1382">
        <f>IF(AND(H1382="",OR(F1382="No-show",F1382="Late cancel")),1,0)</f>
        <v/>
      </c>
      <c r="N1382">
        <f>IF(AND(H1382="",F1382="",D1382&lt;&gt;"",I1382&gt;=TODAY()),ROUND((I1382+IF(ISNUMBER(C1382),MOD(C1382,1),0))*1440,0)*10000+ROW(),"")</f>
        <v/>
      </c>
    </row>
    <row r="1383">
      <c r="A1383" s="1" t="n"/>
      <c r="B1383" s="17" t="n"/>
      <c r="C1383" s="18" t="n"/>
      <c r="D1383" s="19" t="n"/>
      <c r="E1383" s="20" t="n"/>
      <c r="F1383" s="20" t="n"/>
      <c r="G1383" s="21" t="n"/>
      <c r="H1383" s="12">
        <f>IF(AND(B1383="",D1383="",F1383=""),"",IF(NOT(ISNUMBER(B1383)),"Needs a date",IF(D1383="","Needs a client",IF(COUNTIF(Clients!$B$6:$B$105,D1383)=0,"Not on Clients",IF(AND(F1383="",INT(B1383)&lt;TODAY()),"Needs a status","")))))</f>
        <v/>
      </c>
      <c r="I1383" s="1">
        <f>IF(ISNUMBER(B1383),INT(B1383),0)</f>
        <v/>
      </c>
      <c r="J1383">
        <f>IF(ISNUMBER(B1383),YEAR(B1383)*100+MONTH(B1383),"")</f>
        <v/>
      </c>
      <c r="K1383">
        <f>IF(AND(H1383="",OR(F1383="Attended",F1383="No-show",AND(F1383="Late cancel",Settings!$C$9="Yes"))),1,0)</f>
        <v/>
      </c>
      <c r="L1383">
        <f>IF(AND(H1383="",F1383="Attended"),1,0)</f>
        <v/>
      </c>
      <c r="M1383">
        <f>IF(AND(H1383="",OR(F1383="No-show",F1383="Late cancel")),1,0)</f>
        <v/>
      </c>
      <c r="N1383">
        <f>IF(AND(H1383="",F1383="",D1383&lt;&gt;"",I1383&gt;=TODAY()),ROUND((I1383+IF(ISNUMBER(C1383),MOD(C1383,1),0))*1440,0)*10000+ROW(),"")</f>
        <v/>
      </c>
    </row>
    <row r="1384">
      <c r="A1384" s="1" t="n"/>
      <c r="B1384" s="17" t="n"/>
      <c r="C1384" s="18" t="n"/>
      <c r="D1384" s="19" t="n"/>
      <c r="E1384" s="20" t="n"/>
      <c r="F1384" s="20" t="n"/>
      <c r="G1384" s="21" t="n"/>
      <c r="H1384" s="12">
        <f>IF(AND(B1384="",D1384="",F1384=""),"",IF(NOT(ISNUMBER(B1384)),"Needs a date",IF(D1384="","Needs a client",IF(COUNTIF(Clients!$B$6:$B$105,D1384)=0,"Not on Clients",IF(AND(F1384="",INT(B1384)&lt;TODAY()),"Needs a status","")))))</f>
        <v/>
      </c>
      <c r="I1384" s="1">
        <f>IF(ISNUMBER(B1384),INT(B1384),0)</f>
        <v/>
      </c>
      <c r="J1384">
        <f>IF(ISNUMBER(B1384),YEAR(B1384)*100+MONTH(B1384),"")</f>
        <v/>
      </c>
      <c r="K1384">
        <f>IF(AND(H1384="",OR(F1384="Attended",F1384="No-show",AND(F1384="Late cancel",Settings!$C$9="Yes"))),1,0)</f>
        <v/>
      </c>
      <c r="L1384">
        <f>IF(AND(H1384="",F1384="Attended"),1,0)</f>
        <v/>
      </c>
      <c r="M1384">
        <f>IF(AND(H1384="",OR(F1384="No-show",F1384="Late cancel")),1,0)</f>
        <v/>
      </c>
      <c r="N1384">
        <f>IF(AND(H1384="",F1384="",D1384&lt;&gt;"",I1384&gt;=TODAY()),ROUND((I1384+IF(ISNUMBER(C1384),MOD(C1384,1),0))*1440,0)*10000+ROW(),"")</f>
        <v/>
      </c>
    </row>
    <row r="1385">
      <c r="A1385" s="1" t="n"/>
      <c r="B1385" s="17" t="n"/>
      <c r="C1385" s="18" t="n"/>
      <c r="D1385" s="19" t="n"/>
      <c r="E1385" s="20" t="n"/>
      <c r="F1385" s="20" t="n"/>
      <c r="G1385" s="21" t="n"/>
      <c r="H1385" s="12">
        <f>IF(AND(B1385="",D1385="",F1385=""),"",IF(NOT(ISNUMBER(B1385)),"Needs a date",IF(D1385="","Needs a client",IF(COUNTIF(Clients!$B$6:$B$105,D1385)=0,"Not on Clients",IF(AND(F1385="",INT(B1385)&lt;TODAY()),"Needs a status","")))))</f>
        <v/>
      </c>
      <c r="I1385" s="1">
        <f>IF(ISNUMBER(B1385),INT(B1385),0)</f>
        <v/>
      </c>
      <c r="J1385">
        <f>IF(ISNUMBER(B1385),YEAR(B1385)*100+MONTH(B1385),"")</f>
        <v/>
      </c>
      <c r="K1385">
        <f>IF(AND(H1385="",OR(F1385="Attended",F1385="No-show",AND(F1385="Late cancel",Settings!$C$9="Yes"))),1,0)</f>
        <v/>
      </c>
      <c r="L1385">
        <f>IF(AND(H1385="",F1385="Attended"),1,0)</f>
        <v/>
      </c>
      <c r="M1385">
        <f>IF(AND(H1385="",OR(F1385="No-show",F1385="Late cancel")),1,0)</f>
        <v/>
      </c>
      <c r="N1385">
        <f>IF(AND(H1385="",F1385="",D1385&lt;&gt;"",I1385&gt;=TODAY()),ROUND((I1385+IF(ISNUMBER(C1385),MOD(C1385,1),0))*1440,0)*10000+ROW(),"")</f>
        <v/>
      </c>
    </row>
    <row r="1386">
      <c r="A1386" s="1" t="n"/>
      <c r="B1386" s="17" t="n"/>
      <c r="C1386" s="18" t="n"/>
      <c r="D1386" s="19" t="n"/>
      <c r="E1386" s="20" t="n"/>
      <c r="F1386" s="20" t="n"/>
      <c r="G1386" s="21" t="n"/>
      <c r="H1386" s="12">
        <f>IF(AND(B1386="",D1386="",F1386=""),"",IF(NOT(ISNUMBER(B1386)),"Needs a date",IF(D1386="","Needs a client",IF(COUNTIF(Clients!$B$6:$B$105,D1386)=0,"Not on Clients",IF(AND(F1386="",INT(B1386)&lt;TODAY()),"Needs a status","")))))</f>
        <v/>
      </c>
      <c r="I1386" s="1">
        <f>IF(ISNUMBER(B1386),INT(B1386),0)</f>
        <v/>
      </c>
      <c r="J1386">
        <f>IF(ISNUMBER(B1386),YEAR(B1386)*100+MONTH(B1386),"")</f>
        <v/>
      </c>
      <c r="K1386">
        <f>IF(AND(H1386="",OR(F1386="Attended",F1386="No-show",AND(F1386="Late cancel",Settings!$C$9="Yes"))),1,0)</f>
        <v/>
      </c>
      <c r="L1386">
        <f>IF(AND(H1386="",F1386="Attended"),1,0)</f>
        <v/>
      </c>
      <c r="M1386">
        <f>IF(AND(H1386="",OR(F1386="No-show",F1386="Late cancel")),1,0)</f>
        <v/>
      </c>
      <c r="N1386">
        <f>IF(AND(H1386="",F1386="",D1386&lt;&gt;"",I1386&gt;=TODAY()),ROUND((I1386+IF(ISNUMBER(C1386),MOD(C1386,1),0))*1440,0)*10000+ROW(),"")</f>
        <v/>
      </c>
    </row>
    <row r="1387">
      <c r="A1387" s="1" t="n"/>
      <c r="B1387" s="17" t="n"/>
      <c r="C1387" s="18" t="n"/>
      <c r="D1387" s="19" t="n"/>
      <c r="E1387" s="20" t="n"/>
      <c r="F1387" s="20" t="n"/>
      <c r="G1387" s="21" t="n"/>
      <c r="H1387" s="12">
        <f>IF(AND(B1387="",D1387="",F1387=""),"",IF(NOT(ISNUMBER(B1387)),"Needs a date",IF(D1387="","Needs a client",IF(COUNTIF(Clients!$B$6:$B$105,D1387)=0,"Not on Clients",IF(AND(F1387="",INT(B1387)&lt;TODAY()),"Needs a status","")))))</f>
        <v/>
      </c>
      <c r="I1387" s="1">
        <f>IF(ISNUMBER(B1387),INT(B1387),0)</f>
        <v/>
      </c>
      <c r="J1387">
        <f>IF(ISNUMBER(B1387),YEAR(B1387)*100+MONTH(B1387),"")</f>
        <v/>
      </c>
      <c r="K1387">
        <f>IF(AND(H1387="",OR(F1387="Attended",F1387="No-show",AND(F1387="Late cancel",Settings!$C$9="Yes"))),1,0)</f>
        <v/>
      </c>
      <c r="L1387">
        <f>IF(AND(H1387="",F1387="Attended"),1,0)</f>
        <v/>
      </c>
      <c r="M1387">
        <f>IF(AND(H1387="",OR(F1387="No-show",F1387="Late cancel")),1,0)</f>
        <v/>
      </c>
      <c r="N1387">
        <f>IF(AND(H1387="",F1387="",D1387&lt;&gt;"",I1387&gt;=TODAY()),ROUND((I1387+IF(ISNUMBER(C1387),MOD(C1387,1),0))*1440,0)*10000+ROW(),"")</f>
        <v/>
      </c>
    </row>
    <row r="1388">
      <c r="A1388" s="1" t="n"/>
      <c r="B1388" s="17" t="n"/>
      <c r="C1388" s="18" t="n"/>
      <c r="D1388" s="19" t="n"/>
      <c r="E1388" s="20" t="n"/>
      <c r="F1388" s="20" t="n"/>
      <c r="G1388" s="21" t="n"/>
      <c r="H1388" s="12">
        <f>IF(AND(B1388="",D1388="",F1388=""),"",IF(NOT(ISNUMBER(B1388)),"Needs a date",IF(D1388="","Needs a client",IF(COUNTIF(Clients!$B$6:$B$105,D1388)=0,"Not on Clients",IF(AND(F1388="",INT(B1388)&lt;TODAY()),"Needs a status","")))))</f>
        <v/>
      </c>
      <c r="I1388" s="1">
        <f>IF(ISNUMBER(B1388),INT(B1388),0)</f>
        <v/>
      </c>
      <c r="J1388">
        <f>IF(ISNUMBER(B1388),YEAR(B1388)*100+MONTH(B1388),"")</f>
        <v/>
      </c>
      <c r="K1388">
        <f>IF(AND(H1388="",OR(F1388="Attended",F1388="No-show",AND(F1388="Late cancel",Settings!$C$9="Yes"))),1,0)</f>
        <v/>
      </c>
      <c r="L1388">
        <f>IF(AND(H1388="",F1388="Attended"),1,0)</f>
        <v/>
      </c>
      <c r="M1388">
        <f>IF(AND(H1388="",OR(F1388="No-show",F1388="Late cancel")),1,0)</f>
        <v/>
      </c>
      <c r="N1388">
        <f>IF(AND(H1388="",F1388="",D1388&lt;&gt;"",I1388&gt;=TODAY()),ROUND((I1388+IF(ISNUMBER(C1388),MOD(C1388,1),0))*1440,0)*10000+ROW(),"")</f>
        <v/>
      </c>
    </row>
    <row r="1389">
      <c r="A1389" s="1" t="n"/>
      <c r="B1389" s="17" t="n"/>
      <c r="C1389" s="18" t="n"/>
      <c r="D1389" s="19" t="n"/>
      <c r="E1389" s="20" t="n"/>
      <c r="F1389" s="20" t="n"/>
      <c r="G1389" s="21" t="n"/>
      <c r="H1389" s="12">
        <f>IF(AND(B1389="",D1389="",F1389=""),"",IF(NOT(ISNUMBER(B1389)),"Needs a date",IF(D1389="","Needs a client",IF(COUNTIF(Clients!$B$6:$B$105,D1389)=0,"Not on Clients",IF(AND(F1389="",INT(B1389)&lt;TODAY()),"Needs a status","")))))</f>
        <v/>
      </c>
      <c r="I1389" s="1">
        <f>IF(ISNUMBER(B1389),INT(B1389),0)</f>
        <v/>
      </c>
      <c r="J1389">
        <f>IF(ISNUMBER(B1389),YEAR(B1389)*100+MONTH(B1389),"")</f>
        <v/>
      </c>
      <c r="K1389">
        <f>IF(AND(H1389="",OR(F1389="Attended",F1389="No-show",AND(F1389="Late cancel",Settings!$C$9="Yes"))),1,0)</f>
        <v/>
      </c>
      <c r="L1389">
        <f>IF(AND(H1389="",F1389="Attended"),1,0)</f>
        <v/>
      </c>
      <c r="M1389">
        <f>IF(AND(H1389="",OR(F1389="No-show",F1389="Late cancel")),1,0)</f>
        <v/>
      </c>
      <c r="N1389">
        <f>IF(AND(H1389="",F1389="",D1389&lt;&gt;"",I1389&gt;=TODAY()),ROUND((I1389+IF(ISNUMBER(C1389),MOD(C1389,1),0))*1440,0)*10000+ROW(),"")</f>
        <v/>
      </c>
    </row>
    <row r="1390">
      <c r="A1390" s="1" t="n"/>
      <c r="B1390" s="17" t="n"/>
      <c r="C1390" s="18" t="n"/>
      <c r="D1390" s="19" t="n"/>
      <c r="E1390" s="20" t="n"/>
      <c r="F1390" s="20" t="n"/>
      <c r="G1390" s="21" t="n"/>
      <c r="H1390" s="12">
        <f>IF(AND(B1390="",D1390="",F1390=""),"",IF(NOT(ISNUMBER(B1390)),"Needs a date",IF(D1390="","Needs a client",IF(COUNTIF(Clients!$B$6:$B$105,D1390)=0,"Not on Clients",IF(AND(F1390="",INT(B1390)&lt;TODAY()),"Needs a status","")))))</f>
        <v/>
      </c>
      <c r="I1390" s="1">
        <f>IF(ISNUMBER(B1390),INT(B1390),0)</f>
        <v/>
      </c>
      <c r="J1390">
        <f>IF(ISNUMBER(B1390),YEAR(B1390)*100+MONTH(B1390),"")</f>
        <v/>
      </c>
      <c r="K1390">
        <f>IF(AND(H1390="",OR(F1390="Attended",F1390="No-show",AND(F1390="Late cancel",Settings!$C$9="Yes"))),1,0)</f>
        <v/>
      </c>
      <c r="L1390">
        <f>IF(AND(H1390="",F1390="Attended"),1,0)</f>
        <v/>
      </c>
      <c r="M1390">
        <f>IF(AND(H1390="",OR(F1390="No-show",F1390="Late cancel")),1,0)</f>
        <v/>
      </c>
      <c r="N1390">
        <f>IF(AND(H1390="",F1390="",D1390&lt;&gt;"",I1390&gt;=TODAY()),ROUND((I1390+IF(ISNUMBER(C1390),MOD(C1390,1),0))*1440,0)*10000+ROW(),"")</f>
        <v/>
      </c>
    </row>
    <row r="1391">
      <c r="A1391" s="1" t="n"/>
      <c r="B1391" s="17" t="n"/>
      <c r="C1391" s="18" t="n"/>
      <c r="D1391" s="19" t="n"/>
      <c r="E1391" s="20" t="n"/>
      <c r="F1391" s="20" t="n"/>
      <c r="G1391" s="21" t="n"/>
      <c r="H1391" s="12">
        <f>IF(AND(B1391="",D1391="",F1391=""),"",IF(NOT(ISNUMBER(B1391)),"Needs a date",IF(D1391="","Needs a client",IF(COUNTIF(Clients!$B$6:$B$105,D1391)=0,"Not on Clients",IF(AND(F1391="",INT(B1391)&lt;TODAY()),"Needs a status","")))))</f>
        <v/>
      </c>
      <c r="I1391" s="1">
        <f>IF(ISNUMBER(B1391),INT(B1391),0)</f>
        <v/>
      </c>
      <c r="J1391">
        <f>IF(ISNUMBER(B1391),YEAR(B1391)*100+MONTH(B1391),"")</f>
        <v/>
      </c>
      <c r="K1391">
        <f>IF(AND(H1391="",OR(F1391="Attended",F1391="No-show",AND(F1391="Late cancel",Settings!$C$9="Yes"))),1,0)</f>
        <v/>
      </c>
      <c r="L1391">
        <f>IF(AND(H1391="",F1391="Attended"),1,0)</f>
        <v/>
      </c>
      <c r="M1391">
        <f>IF(AND(H1391="",OR(F1391="No-show",F1391="Late cancel")),1,0)</f>
        <v/>
      </c>
      <c r="N1391">
        <f>IF(AND(H1391="",F1391="",D1391&lt;&gt;"",I1391&gt;=TODAY()),ROUND((I1391+IF(ISNUMBER(C1391),MOD(C1391,1),0))*1440,0)*10000+ROW(),"")</f>
        <v/>
      </c>
    </row>
    <row r="1392">
      <c r="A1392" s="1" t="n"/>
      <c r="B1392" s="17" t="n"/>
      <c r="C1392" s="18" t="n"/>
      <c r="D1392" s="19" t="n"/>
      <c r="E1392" s="20" t="n"/>
      <c r="F1392" s="20" t="n"/>
      <c r="G1392" s="21" t="n"/>
      <c r="H1392" s="12">
        <f>IF(AND(B1392="",D1392="",F1392=""),"",IF(NOT(ISNUMBER(B1392)),"Needs a date",IF(D1392="","Needs a client",IF(COUNTIF(Clients!$B$6:$B$105,D1392)=0,"Not on Clients",IF(AND(F1392="",INT(B1392)&lt;TODAY()),"Needs a status","")))))</f>
        <v/>
      </c>
      <c r="I1392" s="1">
        <f>IF(ISNUMBER(B1392),INT(B1392),0)</f>
        <v/>
      </c>
      <c r="J1392">
        <f>IF(ISNUMBER(B1392),YEAR(B1392)*100+MONTH(B1392),"")</f>
        <v/>
      </c>
      <c r="K1392">
        <f>IF(AND(H1392="",OR(F1392="Attended",F1392="No-show",AND(F1392="Late cancel",Settings!$C$9="Yes"))),1,0)</f>
        <v/>
      </c>
      <c r="L1392">
        <f>IF(AND(H1392="",F1392="Attended"),1,0)</f>
        <v/>
      </c>
      <c r="M1392">
        <f>IF(AND(H1392="",OR(F1392="No-show",F1392="Late cancel")),1,0)</f>
        <v/>
      </c>
      <c r="N1392">
        <f>IF(AND(H1392="",F1392="",D1392&lt;&gt;"",I1392&gt;=TODAY()),ROUND((I1392+IF(ISNUMBER(C1392),MOD(C1392,1),0))*1440,0)*10000+ROW(),"")</f>
        <v/>
      </c>
    </row>
    <row r="1393">
      <c r="A1393" s="1" t="n"/>
      <c r="B1393" s="17" t="n"/>
      <c r="C1393" s="18" t="n"/>
      <c r="D1393" s="19" t="n"/>
      <c r="E1393" s="20" t="n"/>
      <c r="F1393" s="20" t="n"/>
      <c r="G1393" s="21" t="n"/>
      <c r="H1393" s="12">
        <f>IF(AND(B1393="",D1393="",F1393=""),"",IF(NOT(ISNUMBER(B1393)),"Needs a date",IF(D1393="","Needs a client",IF(COUNTIF(Clients!$B$6:$B$105,D1393)=0,"Not on Clients",IF(AND(F1393="",INT(B1393)&lt;TODAY()),"Needs a status","")))))</f>
        <v/>
      </c>
      <c r="I1393" s="1">
        <f>IF(ISNUMBER(B1393),INT(B1393),0)</f>
        <v/>
      </c>
      <c r="J1393">
        <f>IF(ISNUMBER(B1393),YEAR(B1393)*100+MONTH(B1393),"")</f>
        <v/>
      </c>
      <c r="K1393">
        <f>IF(AND(H1393="",OR(F1393="Attended",F1393="No-show",AND(F1393="Late cancel",Settings!$C$9="Yes"))),1,0)</f>
        <v/>
      </c>
      <c r="L1393">
        <f>IF(AND(H1393="",F1393="Attended"),1,0)</f>
        <v/>
      </c>
      <c r="M1393">
        <f>IF(AND(H1393="",OR(F1393="No-show",F1393="Late cancel")),1,0)</f>
        <v/>
      </c>
      <c r="N1393">
        <f>IF(AND(H1393="",F1393="",D1393&lt;&gt;"",I1393&gt;=TODAY()),ROUND((I1393+IF(ISNUMBER(C1393),MOD(C1393,1),0))*1440,0)*10000+ROW(),"")</f>
        <v/>
      </c>
    </row>
    <row r="1394">
      <c r="A1394" s="1" t="n"/>
      <c r="B1394" s="17" t="n"/>
      <c r="C1394" s="18" t="n"/>
      <c r="D1394" s="19" t="n"/>
      <c r="E1394" s="20" t="n"/>
      <c r="F1394" s="20" t="n"/>
      <c r="G1394" s="21" t="n"/>
      <c r="H1394" s="12">
        <f>IF(AND(B1394="",D1394="",F1394=""),"",IF(NOT(ISNUMBER(B1394)),"Needs a date",IF(D1394="","Needs a client",IF(COUNTIF(Clients!$B$6:$B$105,D1394)=0,"Not on Clients",IF(AND(F1394="",INT(B1394)&lt;TODAY()),"Needs a status","")))))</f>
        <v/>
      </c>
      <c r="I1394" s="1">
        <f>IF(ISNUMBER(B1394),INT(B1394),0)</f>
        <v/>
      </c>
      <c r="J1394">
        <f>IF(ISNUMBER(B1394),YEAR(B1394)*100+MONTH(B1394),"")</f>
        <v/>
      </c>
      <c r="K1394">
        <f>IF(AND(H1394="",OR(F1394="Attended",F1394="No-show",AND(F1394="Late cancel",Settings!$C$9="Yes"))),1,0)</f>
        <v/>
      </c>
      <c r="L1394">
        <f>IF(AND(H1394="",F1394="Attended"),1,0)</f>
        <v/>
      </c>
      <c r="M1394">
        <f>IF(AND(H1394="",OR(F1394="No-show",F1394="Late cancel")),1,0)</f>
        <v/>
      </c>
      <c r="N1394">
        <f>IF(AND(H1394="",F1394="",D1394&lt;&gt;"",I1394&gt;=TODAY()),ROUND((I1394+IF(ISNUMBER(C1394),MOD(C1394,1),0))*1440,0)*10000+ROW(),"")</f>
        <v/>
      </c>
    </row>
    <row r="1395">
      <c r="A1395" s="1" t="n"/>
      <c r="B1395" s="17" t="n"/>
      <c r="C1395" s="18" t="n"/>
      <c r="D1395" s="19" t="n"/>
      <c r="E1395" s="20" t="n"/>
      <c r="F1395" s="20" t="n"/>
      <c r="G1395" s="21" t="n"/>
      <c r="H1395" s="12">
        <f>IF(AND(B1395="",D1395="",F1395=""),"",IF(NOT(ISNUMBER(B1395)),"Needs a date",IF(D1395="","Needs a client",IF(COUNTIF(Clients!$B$6:$B$105,D1395)=0,"Not on Clients",IF(AND(F1395="",INT(B1395)&lt;TODAY()),"Needs a status","")))))</f>
        <v/>
      </c>
      <c r="I1395" s="1">
        <f>IF(ISNUMBER(B1395),INT(B1395),0)</f>
        <v/>
      </c>
      <c r="J1395">
        <f>IF(ISNUMBER(B1395),YEAR(B1395)*100+MONTH(B1395),"")</f>
        <v/>
      </c>
      <c r="K1395">
        <f>IF(AND(H1395="",OR(F1395="Attended",F1395="No-show",AND(F1395="Late cancel",Settings!$C$9="Yes"))),1,0)</f>
        <v/>
      </c>
      <c r="L1395">
        <f>IF(AND(H1395="",F1395="Attended"),1,0)</f>
        <v/>
      </c>
      <c r="M1395">
        <f>IF(AND(H1395="",OR(F1395="No-show",F1395="Late cancel")),1,0)</f>
        <v/>
      </c>
      <c r="N1395">
        <f>IF(AND(H1395="",F1395="",D1395&lt;&gt;"",I1395&gt;=TODAY()),ROUND((I1395+IF(ISNUMBER(C1395),MOD(C1395,1),0))*1440,0)*10000+ROW(),"")</f>
        <v/>
      </c>
    </row>
    <row r="1396">
      <c r="A1396" s="1" t="n"/>
      <c r="B1396" s="17" t="n"/>
      <c r="C1396" s="18" t="n"/>
      <c r="D1396" s="19" t="n"/>
      <c r="E1396" s="20" t="n"/>
      <c r="F1396" s="20" t="n"/>
      <c r="G1396" s="21" t="n"/>
      <c r="H1396" s="12">
        <f>IF(AND(B1396="",D1396="",F1396=""),"",IF(NOT(ISNUMBER(B1396)),"Needs a date",IF(D1396="","Needs a client",IF(COUNTIF(Clients!$B$6:$B$105,D1396)=0,"Not on Clients",IF(AND(F1396="",INT(B1396)&lt;TODAY()),"Needs a status","")))))</f>
        <v/>
      </c>
      <c r="I1396" s="1">
        <f>IF(ISNUMBER(B1396),INT(B1396),0)</f>
        <v/>
      </c>
      <c r="J1396">
        <f>IF(ISNUMBER(B1396),YEAR(B1396)*100+MONTH(B1396),"")</f>
        <v/>
      </c>
      <c r="K1396">
        <f>IF(AND(H1396="",OR(F1396="Attended",F1396="No-show",AND(F1396="Late cancel",Settings!$C$9="Yes"))),1,0)</f>
        <v/>
      </c>
      <c r="L1396">
        <f>IF(AND(H1396="",F1396="Attended"),1,0)</f>
        <v/>
      </c>
      <c r="M1396">
        <f>IF(AND(H1396="",OR(F1396="No-show",F1396="Late cancel")),1,0)</f>
        <v/>
      </c>
      <c r="N1396">
        <f>IF(AND(H1396="",F1396="",D1396&lt;&gt;"",I1396&gt;=TODAY()),ROUND((I1396+IF(ISNUMBER(C1396),MOD(C1396,1),0))*1440,0)*10000+ROW(),"")</f>
        <v/>
      </c>
    </row>
    <row r="1397">
      <c r="A1397" s="1" t="n"/>
      <c r="B1397" s="17" t="n"/>
      <c r="C1397" s="18" t="n"/>
      <c r="D1397" s="19" t="n"/>
      <c r="E1397" s="20" t="n"/>
      <c r="F1397" s="20" t="n"/>
      <c r="G1397" s="21" t="n"/>
      <c r="H1397" s="12">
        <f>IF(AND(B1397="",D1397="",F1397=""),"",IF(NOT(ISNUMBER(B1397)),"Needs a date",IF(D1397="","Needs a client",IF(COUNTIF(Clients!$B$6:$B$105,D1397)=0,"Not on Clients",IF(AND(F1397="",INT(B1397)&lt;TODAY()),"Needs a status","")))))</f>
        <v/>
      </c>
      <c r="I1397" s="1">
        <f>IF(ISNUMBER(B1397),INT(B1397),0)</f>
        <v/>
      </c>
      <c r="J1397">
        <f>IF(ISNUMBER(B1397),YEAR(B1397)*100+MONTH(B1397),"")</f>
        <v/>
      </c>
      <c r="K1397">
        <f>IF(AND(H1397="",OR(F1397="Attended",F1397="No-show",AND(F1397="Late cancel",Settings!$C$9="Yes"))),1,0)</f>
        <v/>
      </c>
      <c r="L1397">
        <f>IF(AND(H1397="",F1397="Attended"),1,0)</f>
        <v/>
      </c>
      <c r="M1397">
        <f>IF(AND(H1397="",OR(F1397="No-show",F1397="Late cancel")),1,0)</f>
        <v/>
      </c>
      <c r="N1397">
        <f>IF(AND(H1397="",F1397="",D1397&lt;&gt;"",I1397&gt;=TODAY()),ROUND((I1397+IF(ISNUMBER(C1397),MOD(C1397,1),0))*1440,0)*10000+ROW(),"")</f>
        <v/>
      </c>
    </row>
    <row r="1398">
      <c r="A1398" s="1" t="n"/>
      <c r="B1398" s="17" t="n"/>
      <c r="C1398" s="18" t="n"/>
      <c r="D1398" s="19" t="n"/>
      <c r="E1398" s="20" t="n"/>
      <c r="F1398" s="20" t="n"/>
      <c r="G1398" s="21" t="n"/>
      <c r="H1398" s="12">
        <f>IF(AND(B1398="",D1398="",F1398=""),"",IF(NOT(ISNUMBER(B1398)),"Needs a date",IF(D1398="","Needs a client",IF(COUNTIF(Clients!$B$6:$B$105,D1398)=0,"Not on Clients",IF(AND(F1398="",INT(B1398)&lt;TODAY()),"Needs a status","")))))</f>
        <v/>
      </c>
      <c r="I1398" s="1">
        <f>IF(ISNUMBER(B1398),INT(B1398),0)</f>
        <v/>
      </c>
      <c r="J1398">
        <f>IF(ISNUMBER(B1398),YEAR(B1398)*100+MONTH(B1398),"")</f>
        <v/>
      </c>
      <c r="K1398">
        <f>IF(AND(H1398="",OR(F1398="Attended",F1398="No-show",AND(F1398="Late cancel",Settings!$C$9="Yes"))),1,0)</f>
        <v/>
      </c>
      <c r="L1398">
        <f>IF(AND(H1398="",F1398="Attended"),1,0)</f>
        <v/>
      </c>
      <c r="M1398">
        <f>IF(AND(H1398="",OR(F1398="No-show",F1398="Late cancel")),1,0)</f>
        <v/>
      </c>
      <c r="N1398">
        <f>IF(AND(H1398="",F1398="",D1398&lt;&gt;"",I1398&gt;=TODAY()),ROUND((I1398+IF(ISNUMBER(C1398),MOD(C1398,1),0))*1440,0)*10000+ROW(),"")</f>
        <v/>
      </c>
    </row>
    <row r="1399">
      <c r="A1399" s="1" t="n"/>
      <c r="B1399" s="17" t="n"/>
      <c r="C1399" s="18" t="n"/>
      <c r="D1399" s="19" t="n"/>
      <c r="E1399" s="20" t="n"/>
      <c r="F1399" s="20" t="n"/>
      <c r="G1399" s="21" t="n"/>
      <c r="H1399" s="12">
        <f>IF(AND(B1399="",D1399="",F1399=""),"",IF(NOT(ISNUMBER(B1399)),"Needs a date",IF(D1399="","Needs a client",IF(COUNTIF(Clients!$B$6:$B$105,D1399)=0,"Not on Clients",IF(AND(F1399="",INT(B1399)&lt;TODAY()),"Needs a status","")))))</f>
        <v/>
      </c>
      <c r="I1399" s="1">
        <f>IF(ISNUMBER(B1399),INT(B1399),0)</f>
        <v/>
      </c>
      <c r="J1399">
        <f>IF(ISNUMBER(B1399),YEAR(B1399)*100+MONTH(B1399),"")</f>
        <v/>
      </c>
      <c r="K1399">
        <f>IF(AND(H1399="",OR(F1399="Attended",F1399="No-show",AND(F1399="Late cancel",Settings!$C$9="Yes"))),1,0)</f>
        <v/>
      </c>
      <c r="L1399">
        <f>IF(AND(H1399="",F1399="Attended"),1,0)</f>
        <v/>
      </c>
      <c r="M1399">
        <f>IF(AND(H1399="",OR(F1399="No-show",F1399="Late cancel")),1,0)</f>
        <v/>
      </c>
      <c r="N1399">
        <f>IF(AND(H1399="",F1399="",D1399&lt;&gt;"",I1399&gt;=TODAY()),ROUND((I1399+IF(ISNUMBER(C1399),MOD(C1399,1),0))*1440,0)*10000+ROW(),"")</f>
        <v/>
      </c>
    </row>
    <row r="1400">
      <c r="A1400" s="1" t="n"/>
      <c r="B1400" s="17" t="n"/>
      <c r="C1400" s="18" t="n"/>
      <c r="D1400" s="19" t="n"/>
      <c r="E1400" s="20" t="n"/>
      <c r="F1400" s="20" t="n"/>
      <c r="G1400" s="21" t="n"/>
      <c r="H1400" s="12">
        <f>IF(AND(B1400="",D1400="",F1400=""),"",IF(NOT(ISNUMBER(B1400)),"Needs a date",IF(D1400="","Needs a client",IF(COUNTIF(Clients!$B$6:$B$105,D1400)=0,"Not on Clients",IF(AND(F1400="",INT(B1400)&lt;TODAY()),"Needs a status","")))))</f>
        <v/>
      </c>
      <c r="I1400" s="1">
        <f>IF(ISNUMBER(B1400),INT(B1400),0)</f>
        <v/>
      </c>
      <c r="J1400">
        <f>IF(ISNUMBER(B1400),YEAR(B1400)*100+MONTH(B1400),"")</f>
        <v/>
      </c>
      <c r="K1400">
        <f>IF(AND(H1400="",OR(F1400="Attended",F1400="No-show",AND(F1400="Late cancel",Settings!$C$9="Yes"))),1,0)</f>
        <v/>
      </c>
      <c r="L1400">
        <f>IF(AND(H1400="",F1400="Attended"),1,0)</f>
        <v/>
      </c>
      <c r="M1400">
        <f>IF(AND(H1400="",OR(F1400="No-show",F1400="Late cancel")),1,0)</f>
        <v/>
      </c>
      <c r="N1400">
        <f>IF(AND(H1400="",F1400="",D1400&lt;&gt;"",I1400&gt;=TODAY()),ROUND((I1400+IF(ISNUMBER(C1400),MOD(C1400,1),0))*1440,0)*10000+ROW(),"")</f>
        <v/>
      </c>
    </row>
    <row r="1401">
      <c r="A1401" s="1" t="n"/>
      <c r="B1401" s="17" t="n"/>
      <c r="C1401" s="18" t="n"/>
      <c r="D1401" s="19" t="n"/>
      <c r="E1401" s="20" t="n"/>
      <c r="F1401" s="20" t="n"/>
      <c r="G1401" s="21" t="n"/>
      <c r="H1401" s="12">
        <f>IF(AND(B1401="",D1401="",F1401=""),"",IF(NOT(ISNUMBER(B1401)),"Needs a date",IF(D1401="","Needs a client",IF(COUNTIF(Clients!$B$6:$B$105,D1401)=0,"Not on Clients",IF(AND(F1401="",INT(B1401)&lt;TODAY()),"Needs a status","")))))</f>
        <v/>
      </c>
      <c r="I1401" s="1">
        <f>IF(ISNUMBER(B1401),INT(B1401),0)</f>
        <v/>
      </c>
      <c r="J1401">
        <f>IF(ISNUMBER(B1401),YEAR(B1401)*100+MONTH(B1401),"")</f>
        <v/>
      </c>
      <c r="K1401">
        <f>IF(AND(H1401="",OR(F1401="Attended",F1401="No-show",AND(F1401="Late cancel",Settings!$C$9="Yes"))),1,0)</f>
        <v/>
      </c>
      <c r="L1401">
        <f>IF(AND(H1401="",F1401="Attended"),1,0)</f>
        <v/>
      </c>
      <c r="M1401">
        <f>IF(AND(H1401="",OR(F1401="No-show",F1401="Late cancel")),1,0)</f>
        <v/>
      </c>
      <c r="N1401">
        <f>IF(AND(H1401="",F1401="",D1401&lt;&gt;"",I1401&gt;=TODAY()),ROUND((I1401+IF(ISNUMBER(C1401),MOD(C1401,1),0))*1440,0)*10000+ROW(),"")</f>
        <v/>
      </c>
    </row>
    <row r="1402">
      <c r="A1402" s="1" t="n"/>
      <c r="B1402" s="17" t="n"/>
      <c r="C1402" s="18" t="n"/>
      <c r="D1402" s="19" t="n"/>
      <c r="E1402" s="20" t="n"/>
      <c r="F1402" s="20" t="n"/>
      <c r="G1402" s="21" t="n"/>
      <c r="H1402" s="12">
        <f>IF(AND(B1402="",D1402="",F1402=""),"",IF(NOT(ISNUMBER(B1402)),"Needs a date",IF(D1402="","Needs a client",IF(COUNTIF(Clients!$B$6:$B$105,D1402)=0,"Not on Clients",IF(AND(F1402="",INT(B1402)&lt;TODAY()),"Needs a status","")))))</f>
        <v/>
      </c>
      <c r="I1402" s="1">
        <f>IF(ISNUMBER(B1402),INT(B1402),0)</f>
        <v/>
      </c>
      <c r="J1402">
        <f>IF(ISNUMBER(B1402),YEAR(B1402)*100+MONTH(B1402),"")</f>
        <v/>
      </c>
      <c r="K1402">
        <f>IF(AND(H1402="",OR(F1402="Attended",F1402="No-show",AND(F1402="Late cancel",Settings!$C$9="Yes"))),1,0)</f>
        <v/>
      </c>
      <c r="L1402">
        <f>IF(AND(H1402="",F1402="Attended"),1,0)</f>
        <v/>
      </c>
      <c r="M1402">
        <f>IF(AND(H1402="",OR(F1402="No-show",F1402="Late cancel")),1,0)</f>
        <v/>
      </c>
      <c r="N1402">
        <f>IF(AND(H1402="",F1402="",D1402&lt;&gt;"",I1402&gt;=TODAY()),ROUND((I1402+IF(ISNUMBER(C1402),MOD(C1402,1),0))*1440,0)*10000+ROW(),"")</f>
        <v/>
      </c>
    </row>
    <row r="1403">
      <c r="A1403" s="1" t="n"/>
      <c r="B1403" s="17" t="n"/>
      <c r="C1403" s="18" t="n"/>
      <c r="D1403" s="19" t="n"/>
      <c r="E1403" s="20" t="n"/>
      <c r="F1403" s="20" t="n"/>
      <c r="G1403" s="21" t="n"/>
      <c r="H1403" s="12">
        <f>IF(AND(B1403="",D1403="",F1403=""),"",IF(NOT(ISNUMBER(B1403)),"Needs a date",IF(D1403="","Needs a client",IF(COUNTIF(Clients!$B$6:$B$105,D1403)=0,"Not on Clients",IF(AND(F1403="",INT(B1403)&lt;TODAY()),"Needs a status","")))))</f>
        <v/>
      </c>
      <c r="I1403" s="1">
        <f>IF(ISNUMBER(B1403),INT(B1403),0)</f>
        <v/>
      </c>
      <c r="J1403">
        <f>IF(ISNUMBER(B1403),YEAR(B1403)*100+MONTH(B1403),"")</f>
        <v/>
      </c>
      <c r="K1403">
        <f>IF(AND(H1403="",OR(F1403="Attended",F1403="No-show",AND(F1403="Late cancel",Settings!$C$9="Yes"))),1,0)</f>
        <v/>
      </c>
      <c r="L1403">
        <f>IF(AND(H1403="",F1403="Attended"),1,0)</f>
        <v/>
      </c>
      <c r="M1403">
        <f>IF(AND(H1403="",OR(F1403="No-show",F1403="Late cancel")),1,0)</f>
        <v/>
      </c>
      <c r="N1403">
        <f>IF(AND(H1403="",F1403="",D1403&lt;&gt;"",I1403&gt;=TODAY()),ROUND((I1403+IF(ISNUMBER(C1403),MOD(C1403,1),0))*1440,0)*10000+ROW(),"")</f>
        <v/>
      </c>
    </row>
    <row r="1404">
      <c r="A1404" s="1" t="n"/>
      <c r="B1404" s="17" t="n"/>
      <c r="C1404" s="18" t="n"/>
      <c r="D1404" s="19" t="n"/>
      <c r="E1404" s="20" t="n"/>
      <c r="F1404" s="20" t="n"/>
      <c r="G1404" s="21" t="n"/>
      <c r="H1404" s="12">
        <f>IF(AND(B1404="",D1404="",F1404=""),"",IF(NOT(ISNUMBER(B1404)),"Needs a date",IF(D1404="","Needs a client",IF(COUNTIF(Clients!$B$6:$B$105,D1404)=0,"Not on Clients",IF(AND(F1404="",INT(B1404)&lt;TODAY()),"Needs a status","")))))</f>
        <v/>
      </c>
      <c r="I1404" s="1">
        <f>IF(ISNUMBER(B1404),INT(B1404),0)</f>
        <v/>
      </c>
      <c r="J1404">
        <f>IF(ISNUMBER(B1404),YEAR(B1404)*100+MONTH(B1404),"")</f>
        <v/>
      </c>
      <c r="K1404">
        <f>IF(AND(H1404="",OR(F1404="Attended",F1404="No-show",AND(F1404="Late cancel",Settings!$C$9="Yes"))),1,0)</f>
        <v/>
      </c>
      <c r="L1404">
        <f>IF(AND(H1404="",F1404="Attended"),1,0)</f>
        <v/>
      </c>
      <c r="M1404">
        <f>IF(AND(H1404="",OR(F1404="No-show",F1404="Late cancel")),1,0)</f>
        <v/>
      </c>
      <c r="N1404">
        <f>IF(AND(H1404="",F1404="",D1404&lt;&gt;"",I1404&gt;=TODAY()),ROUND((I1404+IF(ISNUMBER(C1404),MOD(C1404,1),0))*1440,0)*10000+ROW(),"")</f>
        <v/>
      </c>
    </row>
    <row r="1405">
      <c r="A1405" s="1" t="n"/>
      <c r="B1405" s="17" t="n"/>
      <c r="C1405" s="18" t="n"/>
      <c r="D1405" s="19" t="n"/>
      <c r="E1405" s="20" t="n"/>
      <c r="F1405" s="20" t="n"/>
      <c r="G1405" s="21" t="n"/>
      <c r="H1405" s="12">
        <f>IF(AND(B1405="",D1405="",F1405=""),"",IF(NOT(ISNUMBER(B1405)),"Needs a date",IF(D1405="","Needs a client",IF(COUNTIF(Clients!$B$6:$B$105,D1405)=0,"Not on Clients",IF(AND(F1405="",INT(B1405)&lt;TODAY()),"Needs a status","")))))</f>
        <v/>
      </c>
      <c r="I1405" s="1">
        <f>IF(ISNUMBER(B1405),INT(B1405),0)</f>
        <v/>
      </c>
      <c r="J1405">
        <f>IF(ISNUMBER(B1405),YEAR(B1405)*100+MONTH(B1405),"")</f>
        <v/>
      </c>
      <c r="K1405">
        <f>IF(AND(H1405="",OR(F1405="Attended",F1405="No-show",AND(F1405="Late cancel",Settings!$C$9="Yes"))),1,0)</f>
        <v/>
      </c>
      <c r="L1405">
        <f>IF(AND(H1405="",F1405="Attended"),1,0)</f>
        <v/>
      </c>
      <c r="M1405">
        <f>IF(AND(H1405="",OR(F1405="No-show",F1405="Late cancel")),1,0)</f>
        <v/>
      </c>
      <c r="N1405">
        <f>IF(AND(H1405="",F1405="",D1405&lt;&gt;"",I1405&gt;=TODAY()),ROUND((I1405+IF(ISNUMBER(C1405),MOD(C1405,1),0))*1440,0)*10000+ROW(),"")</f>
        <v/>
      </c>
    </row>
    <row r="1406">
      <c r="A1406" s="1" t="n"/>
      <c r="B1406" s="17" t="n"/>
      <c r="C1406" s="18" t="n"/>
      <c r="D1406" s="19" t="n"/>
      <c r="E1406" s="20" t="n"/>
      <c r="F1406" s="20" t="n"/>
      <c r="G1406" s="21" t="n"/>
      <c r="H1406" s="12">
        <f>IF(AND(B1406="",D1406="",F1406=""),"",IF(NOT(ISNUMBER(B1406)),"Needs a date",IF(D1406="","Needs a client",IF(COUNTIF(Clients!$B$6:$B$105,D1406)=0,"Not on Clients",IF(AND(F1406="",INT(B1406)&lt;TODAY()),"Needs a status","")))))</f>
        <v/>
      </c>
      <c r="I1406" s="1">
        <f>IF(ISNUMBER(B1406),INT(B1406),0)</f>
        <v/>
      </c>
      <c r="J1406">
        <f>IF(ISNUMBER(B1406),YEAR(B1406)*100+MONTH(B1406),"")</f>
        <v/>
      </c>
      <c r="K1406">
        <f>IF(AND(H1406="",OR(F1406="Attended",F1406="No-show",AND(F1406="Late cancel",Settings!$C$9="Yes"))),1,0)</f>
        <v/>
      </c>
      <c r="L1406">
        <f>IF(AND(H1406="",F1406="Attended"),1,0)</f>
        <v/>
      </c>
      <c r="M1406">
        <f>IF(AND(H1406="",OR(F1406="No-show",F1406="Late cancel")),1,0)</f>
        <v/>
      </c>
      <c r="N1406">
        <f>IF(AND(H1406="",F1406="",D1406&lt;&gt;"",I1406&gt;=TODAY()),ROUND((I1406+IF(ISNUMBER(C1406),MOD(C1406,1),0))*1440,0)*10000+ROW(),"")</f>
        <v/>
      </c>
    </row>
    <row r="1407">
      <c r="A1407" s="1" t="n"/>
      <c r="B1407" s="17" t="n"/>
      <c r="C1407" s="18" t="n"/>
      <c r="D1407" s="19" t="n"/>
      <c r="E1407" s="20" t="n"/>
      <c r="F1407" s="20" t="n"/>
      <c r="G1407" s="21" t="n"/>
      <c r="H1407" s="12">
        <f>IF(AND(B1407="",D1407="",F1407=""),"",IF(NOT(ISNUMBER(B1407)),"Needs a date",IF(D1407="","Needs a client",IF(COUNTIF(Clients!$B$6:$B$105,D1407)=0,"Not on Clients",IF(AND(F1407="",INT(B1407)&lt;TODAY()),"Needs a status","")))))</f>
        <v/>
      </c>
      <c r="I1407" s="1">
        <f>IF(ISNUMBER(B1407),INT(B1407),0)</f>
        <v/>
      </c>
      <c r="J1407">
        <f>IF(ISNUMBER(B1407),YEAR(B1407)*100+MONTH(B1407),"")</f>
        <v/>
      </c>
      <c r="K1407">
        <f>IF(AND(H1407="",OR(F1407="Attended",F1407="No-show",AND(F1407="Late cancel",Settings!$C$9="Yes"))),1,0)</f>
        <v/>
      </c>
      <c r="L1407">
        <f>IF(AND(H1407="",F1407="Attended"),1,0)</f>
        <v/>
      </c>
      <c r="M1407">
        <f>IF(AND(H1407="",OR(F1407="No-show",F1407="Late cancel")),1,0)</f>
        <v/>
      </c>
      <c r="N1407">
        <f>IF(AND(H1407="",F1407="",D1407&lt;&gt;"",I1407&gt;=TODAY()),ROUND((I1407+IF(ISNUMBER(C1407),MOD(C1407,1),0))*1440,0)*10000+ROW(),"")</f>
        <v/>
      </c>
    </row>
    <row r="1408">
      <c r="A1408" s="1" t="n"/>
      <c r="B1408" s="17" t="n"/>
      <c r="C1408" s="18" t="n"/>
      <c r="D1408" s="19" t="n"/>
      <c r="E1408" s="20" t="n"/>
      <c r="F1408" s="20" t="n"/>
      <c r="G1408" s="21" t="n"/>
      <c r="H1408" s="12">
        <f>IF(AND(B1408="",D1408="",F1408=""),"",IF(NOT(ISNUMBER(B1408)),"Needs a date",IF(D1408="","Needs a client",IF(COUNTIF(Clients!$B$6:$B$105,D1408)=0,"Not on Clients",IF(AND(F1408="",INT(B1408)&lt;TODAY()),"Needs a status","")))))</f>
        <v/>
      </c>
      <c r="I1408" s="1">
        <f>IF(ISNUMBER(B1408),INT(B1408),0)</f>
        <v/>
      </c>
      <c r="J1408">
        <f>IF(ISNUMBER(B1408),YEAR(B1408)*100+MONTH(B1408),"")</f>
        <v/>
      </c>
      <c r="K1408">
        <f>IF(AND(H1408="",OR(F1408="Attended",F1408="No-show",AND(F1408="Late cancel",Settings!$C$9="Yes"))),1,0)</f>
        <v/>
      </c>
      <c r="L1408">
        <f>IF(AND(H1408="",F1408="Attended"),1,0)</f>
        <v/>
      </c>
      <c r="M1408">
        <f>IF(AND(H1408="",OR(F1408="No-show",F1408="Late cancel")),1,0)</f>
        <v/>
      </c>
      <c r="N1408">
        <f>IF(AND(H1408="",F1408="",D1408&lt;&gt;"",I1408&gt;=TODAY()),ROUND((I1408+IF(ISNUMBER(C1408),MOD(C1408,1),0))*1440,0)*10000+ROW(),"")</f>
        <v/>
      </c>
    </row>
    <row r="1409">
      <c r="A1409" s="1" t="n"/>
      <c r="B1409" s="17" t="n"/>
      <c r="C1409" s="18" t="n"/>
      <c r="D1409" s="19" t="n"/>
      <c r="E1409" s="20" t="n"/>
      <c r="F1409" s="20" t="n"/>
      <c r="G1409" s="21" t="n"/>
      <c r="H1409" s="12">
        <f>IF(AND(B1409="",D1409="",F1409=""),"",IF(NOT(ISNUMBER(B1409)),"Needs a date",IF(D1409="","Needs a client",IF(COUNTIF(Clients!$B$6:$B$105,D1409)=0,"Not on Clients",IF(AND(F1409="",INT(B1409)&lt;TODAY()),"Needs a status","")))))</f>
        <v/>
      </c>
      <c r="I1409" s="1">
        <f>IF(ISNUMBER(B1409),INT(B1409),0)</f>
        <v/>
      </c>
      <c r="J1409">
        <f>IF(ISNUMBER(B1409),YEAR(B1409)*100+MONTH(B1409),"")</f>
        <v/>
      </c>
      <c r="K1409">
        <f>IF(AND(H1409="",OR(F1409="Attended",F1409="No-show",AND(F1409="Late cancel",Settings!$C$9="Yes"))),1,0)</f>
        <v/>
      </c>
      <c r="L1409">
        <f>IF(AND(H1409="",F1409="Attended"),1,0)</f>
        <v/>
      </c>
      <c r="M1409">
        <f>IF(AND(H1409="",OR(F1409="No-show",F1409="Late cancel")),1,0)</f>
        <v/>
      </c>
      <c r="N1409">
        <f>IF(AND(H1409="",F1409="",D1409&lt;&gt;"",I1409&gt;=TODAY()),ROUND((I1409+IF(ISNUMBER(C1409),MOD(C1409,1),0))*1440,0)*10000+ROW(),"")</f>
        <v/>
      </c>
    </row>
    <row r="1410">
      <c r="A1410" s="1" t="n"/>
      <c r="B1410" s="17" t="n"/>
      <c r="C1410" s="18" t="n"/>
      <c r="D1410" s="19" t="n"/>
      <c r="E1410" s="20" t="n"/>
      <c r="F1410" s="20" t="n"/>
      <c r="G1410" s="21" t="n"/>
      <c r="H1410" s="12">
        <f>IF(AND(B1410="",D1410="",F1410=""),"",IF(NOT(ISNUMBER(B1410)),"Needs a date",IF(D1410="","Needs a client",IF(COUNTIF(Clients!$B$6:$B$105,D1410)=0,"Not on Clients",IF(AND(F1410="",INT(B1410)&lt;TODAY()),"Needs a status","")))))</f>
        <v/>
      </c>
      <c r="I1410" s="1">
        <f>IF(ISNUMBER(B1410),INT(B1410),0)</f>
        <v/>
      </c>
      <c r="J1410">
        <f>IF(ISNUMBER(B1410),YEAR(B1410)*100+MONTH(B1410),"")</f>
        <v/>
      </c>
      <c r="K1410">
        <f>IF(AND(H1410="",OR(F1410="Attended",F1410="No-show",AND(F1410="Late cancel",Settings!$C$9="Yes"))),1,0)</f>
        <v/>
      </c>
      <c r="L1410">
        <f>IF(AND(H1410="",F1410="Attended"),1,0)</f>
        <v/>
      </c>
      <c r="M1410">
        <f>IF(AND(H1410="",OR(F1410="No-show",F1410="Late cancel")),1,0)</f>
        <v/>
      </c>
      <c r="N1410">
        <f>IF(AND(H1410="",F1410="",D1410&lt;&gt;"",I1410&gt;=TODAY()),ROUND((I1410+IF(ISNUMBER(C1410),MOD(C1410,1),0))*1440,0)*10000+ROW(),"")</f>
        <v/>
      </c>
    </row>
    <row r="1411">
      <c r="A1411" s="1" t="n"/>
      <c r="B1411" s="17" t="n"/>
      <c r="C1411" s="18" t="n"/>
      <c r="D1411" s="19" t="n"/>
      <c r="E1411" s="20" t="n"/>
      <c r="F1411" s="20" t="n"/>
      <c r="G1411" s="21" t="n"/>
      <c r="H1411" s="12">
        <f>IF(AND(B1411="",D1411="",F1411=""),"",IF(NOT(ISNUMBER(B1411)),"Needs a date",IF(D1411="","Needs a client",IF(COUNTIF(Clients!$B$6:$B$105,D1411)=0,"Not on Clients",IF(AND(F1411="",INT(B1411)&lt;TODAY()),"Needs a status","")))))</f>
        <v/>
      </c>
      <c r="I1411" s="1">
        <f>IF(ISNUMBER(B1411),INT(B1411),0)</f>
        <v/>
      </c>
      <c r="J1411">
        <f>IF(ISNUMBER(B1411),YEAR(B1411)*100+MONTH(B1411),"")</f>
        <v/>
      </c>
      <c r="K1411">
        <f>IF(AND(H1411="",OR(F1411="Attended",F1411="No-show",AND(F1411="Late cancel",Settings!$C$9="Yes"))),1,0)</f>
        <v/>
      </c>
      <c r="L1411">
        <f>IF(AND(H1411="",F1411="Attended"),1,0)</f>
        <v/>
      </c>
      <c r="M1411">
        <f>IF(AND(H1411="",OR(F1411="No-show",F1411="Late cancel")),1,0)</f>
        <v/>
      </c>
      <c r="N1411">
        <f>IF(AND(H1411="",F1411="",D1411&lt;&gt;"",I1411&gt;=TODAY()),ROUND((I1411+IF(ISNUMBER(C1411),MOD(C1411,1),0))*1440,0)*10000+ROW(),"")</f>
        <v/>
      </c>
    </row>
    <row r="1412">
      <c r="A1412" s="1" t="n"/>
      <c r="B1412" s="17" t="n"/>
      <c r="C1412" s="18" t="n"/>
      <c r="D1412" s="19" t="n"/>
      <c r="E1412" s="20" t="n"/>
      <c r="F1412" s="20" t="n"/>
      <c r="G1412" s="21" t="n"/>
      <c r="H1412" s="12">
        <f>IF(AND(B1412="",D1412="",F1412=""),"",IF(NOT(ISNUMBER(B1412)),"Needs a date",IF(D1412="","Needs a client",IF(COUNTIF(Clients!$B$6:$B$105,D1412)=0,"Not on Clients",IF(AND(F1412="",INT(B1412)&lt;TODAY()),"Needs a status","")))))</f>
        <v/>
      </c>
      <c r="I1412" s="1">
        <f>IF(ISNUMBER(B1412),INT(B1412),0)</f>
        <v/>
      </c>
      <c r="J1412">
        <f>IF(ISNUMBER(B1412),YEAR(B1412)*100+MONTH(B1412),"")</f>
        <v/>
      </c>
      <c r="K1412">
        <f>IF(AND(H1412="",OR(F1412="Attended",F1412="No-show",AND(F1412="Late cancel",Settings!$C$9="Yes"))),1,0)</f>
        <v/>
      </c>
      <c r="L1412">
        <f>IF(AND(H1412="",F1412="Attended"),1,0)</f>
        <v/>
      </c>
      <c r="M1412">
        <f>IF(AND(H1412="",OR(F1412="No-show",F1412="Late cancel")),1,0)</f>
        <v/>
      </c>
      <c r="N1412">
        <f>IF(AND(H1412="",F1412="",D1412&lt;&gt;"",I1412&gt;=TODAY()),ROUND((I1412+IF(ISNUMBER(C1412),MOD(C1412,1),0))*1440,0)*10000+ROW(),"")</f>
        <v/>
      </c>
    </row>
    <row r="1413">
      <c r="A1413" s="1" t="n"/>
      <c r="B1413" s="17" t="n"/>
      <c r="C1413" s="18" t="n"/>
      <c r="D1413" s="19" t="n"/>
      <c r="E1413" s="20" t="n"/>
      <c r="F1413" s="20" t="n"/>
      <c r="G1413" s="21" t="n"/>
      <c r="H1413" s="12">
        <f>IF(AND(B1413="",D1413="",F1413=""),"",IF(NOT(ISNUMBER(B1413)),"Needs a date",IF(D1413="","Needs a client",IF(COUNTIF(Clients!$B$6:$B$105,D1413)=0,"Not on Clients",IF(AND(F1413="",INT(B1413)&lt;TODAY()),"Needs a status","")))))</f>
        <v/>
      </c>
      <c r="I1413" s="1">
        <f>IF(ISNUMBER(B1413),INT(B1413),0)</f>
        <v/>
      </c>
      <c r="J1413">
        <f>IF(ISNUMBER(B1413),YEAR(B1413)*100+MONTH(B1413),"")</f>
        <v/>
      </c>
      <c r="K1413">
        <f>IF(AND(H1413="",OR(F1413="Attended",F1413="No-show",AND(F1413="Late cancel",Settings!$C$9="Yes"))),1,0)</f>
        <v/>
      </c>
      <c r="L1413">
        <f>IF(AND(H1413="",F1413="Attended"),1,0)</f>
        <v/>
      </c>
      <c r="M1413">
        <f>IF(AND(H1413="",OR(F1413="No-show",F1413="Late cancel")),1,0)</f>
        <v/>
      </c>
      <c r="N1413">
        <f>IF(AND(H1413="",F1413="",D1413&lt;&gt;"",I1413&gt;=TODAY()),ROUND((I1413+IF(ISNUMBER(C1413),MOD(C1413,1),0))*1440,0)*10000+ROW(),"")</f>
        <v/>
      </c>
    </row>
    <row r="1414">
      <c r="A1414" s="1" t="n"/>
      <c r="B1414" s="17" t="n"/>
      <c r="C1414" s="18" t="n"/>
      <c r="D1414" s="19" t="n"/>
      <c r="E1414" s="20" t="n"/>
      <c r="F1414" s="20" t="n"/>
      <c r="G1414" s="21" t="n"/>
      <c r="H1414" s="12">
        <f>IF(AND(B1414="",D1414="",F1414=""),"",IF(NOT(ISNUMBER(B1414)),"Needs a date",IF(D1414="","Needs a client",IF(COUNTIF(Clients!$B$6:$B$105,D1414)=0,"Not on Clients",IF(AND(F1414="",INT(B1414)&lt;TODAY()),"Needs a status","")))))</f>
        <v/>
      </c>
      <c r="I1414" s="1">
        <f>IF(ISNUMBER(B1414),INT(B1414),0)</f>
        <v/>
      </c>
      <c r="J1414">
        <f>IF(ISNUMBER(B1414),YEAR(B1414)*100+MONTH(B1414),"")</f>
        <v/>
      </c>
      <c r="K1414">
        <f>IF(AND(H1414="",OR(F1414="Attended",F1414="No-show",AND(F1414="Late cancel",Settings!$C$9="Yes"))),1,0)</f>
        <v/>
      </c>
      <c r="L1414">
        <f>IF(AND(H1414="",F1414="Attended"),1,0)</f>
        <v/>
      </c>
      <c r="M1414">
        <f>IF(AND(H1414="",OR(F1414="No-show",F1414="Late cancel")),1,0)</f>
        <v/>
      </c>
      <c r="N1414">
        <f>IF(AND(H1414="",F1414="",D1414&lt;&gt;"",I1414&gt;=TODAY()),ROUND((I1414+IF(ISNUMBER(C1414),MOD(C1414,1),0))*1440,0)*10000+ROW(),"")</f>
        <v/>
      </c>
    </row>
    <row r="1415">
      <c r="A1415" s="1" t="n"/>
      <c r="B1415" s="17" t="n"/>
      <c r="C1415" s="18" t="n"/>
      <c r="D1415" s="19" t="n"/>
      <c r="E1415" s="20" t="n"/>
      <c r="F1415" s="20" t="n"/>
      <c r="G1415" s="21" t="n"/>
      <c r="H1415" s="12">
        <f>IF(AND(B1415="",D1415="",F1415=""),"",IF(NOT(ISNUMBER(B1415)),"Needs a date",IF(D1415="","Needs a client",IF(COUNTIF(Clients!$B$6:$B$105,D1415)=0,"Not on Clients",IF(AND(F1415="",INT(B1415)&lt;TODAY()),"Needs a status","")))))</f>
        <v/>
      </c>
      <c r="I1415" s="1">
        <f>IF(ISNUMBER(B1415),INT(B1415),0)</f>
        <v/>
      </c>
      <c r="J1415">
        <f>IF(ISNUMBER(B1415),YEAR(B1415)*100+MONTH(B1415),"")</f>
        <v/>
      </c>
      <c r="K1415">
        <f>IF(AND(H1415="",OR(F1415="Attended",F1415="No-show",AND(F1415="Late cancel",Settings!$C$9="Yes"))),1,0)</f>
        <v/>
      </c>
      <c r="L1415">
        <f>IF(AND(H1415="",F1415="Attended"),1,0)</f>
        <v/>
      </c>
      <c r="M1415">
        <f>IF(AND(H1415="",OR(F1415="No-show",F1415="Late cancel")),1,0)</f>
        <v/>
      </c>
      <c r="N1415">
        <f>IF(AND(H1415="",F1415="",D1415&lt;&gt;"",I1415&gt;=TODAY()),ROUND((I1415+IF(ISNUMBER(C1415),MOD(C1415,1),0))*1440,0)*10000+ROW(),"")</f>
        <v/>
      </c>
    </row>
    <row r="1416">
      <c r="A1416" s="1" t="n"/>
      <c r="B1416" s="17" t="n"/>
      <c r="C1416" s="18" t="n"/>
      <c r="D1416" s="19" t="n"/>
      <c r="E1416" s="20" t="n"/>
      <c r="F1416" s="20" t="n"/>
      <c r="G1416" s="21" t="n"/>
      <c r="H1416" s="12">
        <f>IF(AND(B1416="",D1416="",F1416=""),"",IF(NOT(ISNUMBER(B1416)),"Needs a date",IF(D1416="","Needs a client",IF(COUNTIF(Clients!$B$6:$B$105,D1416)=0,"Not on Clients",IF(AND(F1416="",INT(B1416)&lt;TODAY()),"Needs a status","")))))</f>
        <v/>
      </c>
      <c r="I1416" s="1">
        <f>IF(ISNUMBER(B1416),INT(B1416),0)</f>
        <v/>
      </c>
      <c r="J1416">
        <f>IF(ISNUMBER(B1416),YEAR(B1416)*100+MONTH(B1416),"")</f>
        <v/>
      </c>
      <c r="K1416">
        <f>IF(AND(H1416="",OR(F1416="Attended",F1416="No-show",AND(F1416="Late cancel",Settings!$C$9="Yes"))),1,0)</f>
        <v/>
      </c>
      <c r="L1416">
        <f>IF(AND(H1416="",F1416="Attended"),1,0)</f>
        <v/>
      </c>
      <c r="M1416">
        <f>IF(AND(H1416="",OR(F1416="No-show",F1416="Late cancel")),1,0)</f>
        <v/>
      </c>
      <c r="N1416">
        <f>IF(AND(H1416="",F1416="",D1416&lt;&gt;"",I1416&gt;=TODAY()),ROUND((I1416+IF(ISNUMBER(C1416),MOD(C1416,1),0))*1440,0)*10000+ROW(),"")</f>
        <v/>
      </c>
    </row>
    <row r="1417">
      <c r="A1417" s="1" t="n"/>
      <c r="B1417" s="17" t="n"/>
      <c r="C1417" s="18" t="n"/>
      <c r="D1417" s="19" t="n"/>
      <c r="E1417" s="20" t="n"/>
      <c r="F1417" s="20" t="n"/>
      <c r="G1417" s="21" t="n"/>
      <c r="H1417" s="12">
        <f>IF(AND(B1417="",D1417="",F1417=""),"",IF(NOT(ISNUMBER(B1417)),"Needs a date",IF(D1417="","Needs a client",IF(COUNTIF(Clients!$B$6:$B$105,D1417)=0,"Not on Clients",IF(AND(F1417="",INT(B1417)&lt;TODAY()),"Needs a status","")))))</f>
        <v/>
      </c>
      <c r="I1417" s="1">
        <f>IF(ISNUMBER(B1417),INT(B1417),0)</f>
        <v/>
      </c>
      <c r="J1417">
        <f>IF(ISNUMBER(B1417),YEAR(B1417)*100+MONTH(B1417),"")</f>
        <v/>
      </c>
      <c r="K1417">
        <f>IF(AND(H1417="",OR(F1417="Attended",F1417="No-show",AND(F1417="Late cancel",Settings!$C$9="Yes"))),1,0)</f>
        <v/>
      </c>
      <c r="L1417">
        <f>IF(AND(H1417="",F1417="Attended"),1,0)</f>
        <v/>
      </c>
      <c r="M1417">
        <f>IF(AND(H1417="",OR(F1417="No-show",F1417="Late cancel")),1,0)</f>
        <v/>
      </c>
      <c r="N1417">
        <f>IF(AND(H1417="",F1417="",D1417&lt;&gt;"",I1417&gt;=TODAY()),ROUND((I1417+IF(ISNUMBER(C1417),MOD(C1417,1),0))*1440,0)*10000+ROW(),"")</f>
        <v/>
      </c>
    </row>
    <row r="1418">
      <c r="A1418" s="1" t="n"/>
      <c r="B1418" s="17" t="n"/>
      <c r="C1418" s="18" t="n"/>
      <c r="D1418" s="19" t="n"/>
      <c r="E1418" s="20" t="n"/>
      <c r="F1418" s="20" t="n"/>
      <c r="G1418" s="21" t="n"/>
      <c r="H1418" s="12">
        <f>IF(AND(B1418="",D1418="",F1418=""),"",IF(NOT(ISNUMBER(B1418)),"Needs a date",IF(D1418="","Needs a client",IF(COUNTIF(Clients!$B$6:$B$105,D1418)=0,"Not on Clients",IF(AND(F1418="",INT(B1418)&lt;TODAY()),"Needs a status","")))))</f>
        <v/>
      </c>
      <c r="I1418" s="1">
        <f>IF(ISNUMBER(B1418),INT(B1418),0)</f>
        <v/>
      </c>
      <c r="J1418">
        <f>IF(ISNUMBER(B1418),YEAR(B1418)*100+MONTH(B1418),"")</f>
        <v/>
      </c>
      <c r="K1418">
        <f>IF(AND(H1418="",OR(F1418="Attended",F1418="No-show",AND(F1418="Late cancel",Settings!$C$9="Yes"))),1,0)</f>
        <v/>
      </c>
      <c r="L1418">
        <f>IF(AND(H1418="",F1418="Attended"),1,0)</f>
        <v/>
      </c>
      <c r="M1418">
        <f>IF(AND(H1418="",OR(F1418="No-show",F1418="Late cancel")),1,0)</f>
        <v/>
      </c>
      <c r="N1418">
        <f>IF(AND(H1418="",F1418="",D1418&lt;&gt;"",I1418&gt;=TODAY()),ROUND((I1418+IF(ISNUMBER(C1418),MOD(C1418,1),0))*1440,0)*10000+ROW(),"")</f>
        <v/>
      </c>
    </row>
    <row r="1419">
      <c r="A1419" s="1" t="n"/>
      <c r="B1419" s="17" t="n"/>
      <c r="C1419" s="18" t="n"/>
      <c r="D1419" s="19" t="n"/>
      <c r="E1419" s="20" t="n"/>
      <c r="F1419" s="20" t="n"/>
      <c r="G1419" s="21" t="n"/>
      <c r="H1419" s="12">
        <f>IF(AND(B1419="",D1419="",F1419=""),"",IF(NOT(ISNUMBER(B1419)),"Needs a date",IF(D1419="","Needs a client",IF(COUNTIF(Clients!$B$6:$B$105,D1419)=0,"Not on Clients",IF(AND(F1419="",INT(B1419)&lt;TODAY()),"Needs a status","")))))</f>
        <v/>
      </c>
      <c r="I1419" s="1">
        <f>IF(ISNUMBER(B1419),INT(B1419),0)</f>
        <v/>
      </c>
      <c r="J1419">
        <f>IF(ISNUMBER(B1419),YEAR(B1419)*100+MONTH(B1419),"")</f>
        <v/>
      </c>
      <c r="K1419">
        <f>IF(AND(H1419="",OR(F1419="Attended",F1419="No-show",AND(F1419="Late cancel",Settings!$C$9="Yes"))),1,0)</f>
        <v/>
      </c>
      <c r="L1419">
        <f>IF(AND(H1419="",F1419="Attended"),1,0)</f>
        <v/>
      </c>
      <c r="M1419">
        <f>IF(AND(H1419="",OR(F1419="No-show",F1419="Late cancel")),1,0)</f>
        <v/>
      </c>
      <c r="N1419">
        <f>IF(AND(H1419="",F1419="",D1419&lt;&gt;"",I1419&gt;=TODAY()),ROUND((I1419+IF(ISNUMBER(C1419),MOD(C1419,1),0))*1440,0)*10000+ROW(),"")</f>
        <v/>
      </c>
    </row>
    <row r="1420">
      <c r="A1420" s="1" t="n"/>
      <c r="B1420" s="17" t="n"/>
      <c r="C1420" s="18" t="n"/>
      <c r="D1420" s="19" t="n"/>
      <c r="E1420" s="20" t="n"/>
      <c r="F1420" s="20" t="n"/>
      <c r="G1420" s="21" t="n"/>
      <c r="H1420" s="12">
        <f>IF(AND(B1420="",D1420="",F1420=""),"",IF(NOT(ISNUMBER(B1420)),"Needs a date",IF(D1420="","Needs a client",IF(COUNTIF(Clients!$B$6:$B$105,D1420)=0,"Not on Clients",IF(AND(F1420="",INT(B1420)&lt;TODAY()),"Needs a status","")))))</f>
        <v/>
      </c>
      <c r="I1420" s="1">
        <f>IF(ISNUMBER(B1420),INT(B1420),0)</f>
        <v/>
      </c>
      <c r="J1420">
        <f>IF(ISNUMBER(B1420),YEAR(B1420)*100+MONTH(B1420),"")</f>
        <v/>
      </c>
      <c r="K1420">
        <f>IF(AND(H1420="",OR(F1420="Attended",F1420="No-show",AND(F1420="Late cancel",Settings!$C$9="Yes"))),1,0)</f>
        <v/>
      </c>
      <c r="L1420">
        <f>IF(AND(H1420="",F1420="Attended"),1,0)</f>
        <v/>
      </c>
      <c r="M1420">
        <f>IF(AND(H1420="",OR(F1420="No-show",F1420="Late cancel")),1,0)</f>
        <v/>
      </c>
      <c r="N1420">
        <f>IF(AND(H1420="",F1420="",D1420&lt;&gt;"",I1420&gt;=TODAY()),ROUND((I1420+IF(ISNUMBER(C1420),MOD(C1420,1),0))*1440,0)*10000+ROW(),"")</f>
        <v/>
      </c>
    </row>
    <row r="1421">
      <c r="A1421" s="1" t="n"/>
      <c r="B1421" s="17" t="n"/>
      <c r="C1421" s="18" t="n"/>
      <c r="D1421" s="19" t="n"/>
      <c r="E1421" s="20" t="n"/>
      <c r="F1421" s="20" t="n"/>
      <c r="G1421" s="21" t="n"/>
      <c r="H1421" s="12">
        <f>IF(AND(B1421="",D1421="",F1421=""),"",IF(NOT(ISNUMBER(B1421)),"Needs a date",IF(D1421="","Needs a client",IF(COUNTIF(Clients!$B$6:$B$105,D1421)=0,"Not on Clients",IF(AND(F1421="",INT(B1421)&lt;TODAY()),"Needs a status","")))))</f>
        <v/>
      </c>
      <c r="I1421" s="1">
        <f>IF(ISNUMBER(B1421),INT(B1421),0)</f>
        <v/>
      </c>
      <c r="J1421">
        <f>IF(ISNUMBER(B1421),YEAR(B1421)*100+MONTH(B1421),"")</f>
        <v/>
      </c>
      <c r="K1421">
        <f>IF(AND(H1421="",OR(F1421="Attended",F1421="No-show",AND(F1421="Late cancel",Settings!$C$9="Yes"))),1,0)</f>
        <v/>
      </c>
      <c r="L1421">
        <f>IF(AND(H1421="",F1421="Attended"),1,0)</f>
        <v/>
      </c>
      <c r="M1421">
        <f>IF(AND(H1421="",OR(F1421="No-show",F1421="Late cancel")),1,0)</f>
        <v/>
      </c>
      <c r="N1421">
        <f>IF(AND(H1421="",F1421="",D1421&lt;&gt;"",I1421&gt;=TODAY()),ROUND((I1421+IF(ISNUMBER(C1421),MOD(C1421,1),0))*1440,0)*10000+ROW(),"")</f>
        <v/>
      </c>
    </row>
    <row r="1422">
      <c r="A1422" s="1" t="n"/>
      <c r="B1422" s="17" t="n"/>
      <c r="C1422" s="18" t="n"/>
      <c r="D1422" s="19" t="n"/>
      <c r="E1422" s="20" t="n"/>
      <c r="F1422" s="20" t="n"/>
      <c r="G1422" s="21" t="n"/>
      <c r="H1422" s="12">
        <f>IF(AND(B1422="",D1422="",F1422=""),"",IF(NOT(ISNUMBER(B1422)),"Needs a date",IF(D1422="","Needs a client",IF(COUNTIF(Clients!$B$6:$B$105,D1422)=0,"Not on Clients",IF(AND(F1422="",INT(B1422)&lt;TODAY()),"Needs a status","")))))</f>
        <v/>
      </c>
      <c r="I1422" s="1">
        <f>IF(ISNUMBER(B1422),INT(B1422),0)</f>
        <v/>
      </c>
      <c r="J1422">
        <f>IF(ISNUMBER(B1422),YEAR(B1422)*100+MONTH(B1422),"")</f>
        <v/>
      </c>
      <c r="K1422">
        <f>IF(AND(H1422="",OR(F1422="Attended",F1422="No-show",AND(F1422="Late cancel",Settings!$C$9="Yes"))),1,0)</f>
        <v/>
      </c>
      <c r="L1422">
        <f>IF(AND(H1422="",F1422="Attended"),1,0)</f>
        <v/>
      </c>
      <c r="M1422">
        <f>IF(AND(H1422="",OR(F1422="No-show",F1422="Late cancel")),1,0)</f>
        <v/>
      </c>
      <c r="N1422">
        <f>IF(AND(H1422="",F1422="",D1422&lt;&gt;"",I1422&gt;=TODAY()),ROUND((I1422+IF(ISNUMBER(C1422),MOD(C1422,1),0))*1440,0)*10000+ROW(),"")</f>
        <v/>
      </c>
    </row>
    <row r="1423">
      <c r="A1423" s="1" t="n"/>
      <c r="B1423" s="17" t="n"/>
      <c r="C1423" s="18" t="n"/>
      <c r="D1423" s="19" t="n"/>
      <c r="E1423" s="20" t="n"/>
      <c r="F1423" s="20" t="n"/>
      <c r="G1423" s="21" t="n"/>
      <c r="H1423" s="12">
        <f>IF(AND(B1423="",D1423="",F1423=""),"",IF(NOT(ISNUMBER(B1423)),"Needs a date",IF(D1423="","Needs a client",IF(COUNTIF(Clients!$B$6:$B$105,D1423)=0,"Not on Clients",IF(AND(F1423="",INT(B1423)&lt;TODAY()),"Needs a status","")))))</f>
        <v/>
      </c>
      <c r="I1423" s="1">
        <f>IF(ISNUMBER(B1423),INT(B1423),0)</f>
        <v/>
      </c>
      <c r="J1423">
        <f>IF(ISNUMBER(B1423),YEAR(B1423)*100+MONTH(B1423),"")</f>
        <v/>
      </c>
      <c r="K1423">
        <f>IF(AND(H1423="",OR(F1423="Attended",F1423="No-show",AND(F1423="Late cancel",Settings!$C$9="Yes"))),1,0)</f>
        <v/>
      </c>
      <c r="L1423">
        <f>IF(AND(H1423="",F1423="Attended"),1,0)</f>
        <v/>
      </c>
      <c r="M1423">
        <f>IF(AND(H1423="",OR(F1423="No-show",F1423="Late cancel")),1,0)</f>
        <v/>
      </c>
      <c r="N1423">
        <f>IF(AND(H1423="",F1423="",D1423&lt;&gt;"",I1423&gt;=TODAY()),ROUND((I1423+IF(ISNUMBER(C1423),MOD(C1423,1),0))*1440,0)*10000+ROW(),"")</f>
        <v/>
      </c>
    </row>
    <row r="1424">
      <c r="A1424" s="1" t="n"/>
      <c r="B1424" s="17" t="n"/>
      <c r="C1424" s="18" t="n"/>
      <c r="D1424" s="19" t="n"/>
      <c r="E1424" s="20" t="n"/>
      <c r="F1424" s="20" t="n"/>
      <c r="G1424" s="21" t="n"/>
      <c r="H1424" s="12">
        <f>IF(AND(B1424="",D1424="",F1424=""),"",IF(NOT(ISNUMBER(B1424)),"Needs a date",IF(D1424="","Needs a client",IF(COUNTIF(Clients!$B$6:$B$105,D1424)=0,"Not on Clients",IF(AND(F1424="",INT(B1424)&lt;TODAY()),"Needs a status","")))))</f>
        <v/>
      </c>
      <c r="I1424" s="1">
        <f>IF(ISNUMBER(B1424),INT(B1424),0)</f>
        <v/>
      </c>
      <c r="J1424">
        <f>IF(ISNUMBER(B1424),YEAR(B1424)*100+MONTH(B1424),"")</f>
        <v/>
      </c>
      <c r="K1424">
        <f>IF(AND(H1424="",OR(F1424="Attended",F1424="No-show",AND(F1424="Late cancel",Settings!$C$9="Yes"))),1,0)</f>
        <v/>
      </c>
      <c r="L1424">
        <f>IF(AND(H1424="",F1424="Attended"),1,0)</f>
        <v/>
      </c>
      <c r="M1424">
        <f>IF(AND(H1424="",OR(F1424="No-show",F1424="Late cancel")),1,0)</f>
        <v/>
      </c>
      <c r="N1424">
        <f>IF(AND(H1424="",F1424="",D1424&lt;&gt;"",I1424&gt;=TODAY()),ROUND((I1424+IF(ISNUMBER(C1424),MOD(C1424,1),0))*1440,0)*10000+ROW(),"")</f>
        <v/>
      </c>
    </row>
    <row r="1425">
      <c r="A1425" s="1" t="n"/>
      <c r="B1425" s="17" t="n"/>
      <c r="C1425" s="18" t="n"/>
      <c r="D1425" s="19" t="n"/>
      <c r="E1425" s="20" t="n"/>
      <c r="F1425" s="20" t="n"/>
      <c r="G1425" s="21" t="n"/>
      <c r="H1425" s="12">
        <f>IF(AND(B1425="",D1425="",F1425=""),"",IF(NOT(ISNUMBER(B1425)),"Needs a date",IF(D1425="","Needs a client",IF(COUNTIF(Clients!$B$6:$B$105,D1425)=0,"Not on Clients",IF(AND(F1425="",INT(B1425)&lt;TODAY()),"Needs a status","")))))</f>
        <v/>
      </c>
      <c r="I1425" s="1">
        <f>IF(ISNUMBER(B1425),INT(B1425),0)</f>
        <v/>
      </c>
      <c r="J1425">
        <f>IF(ISNUMBER(B1425),YEAR(B1425)*100+MONTH(B1425),"")</f>
        <v/>
      </c>
      <c r="K1425">
        <f>IF(AND(H1425="",OR(F1425="Attended",F1425="No-show",AND(F1425="Late cancel",Settings!$C$9="Yes"))),1,0)</f>
        <v/>
      </c>
      <c r="L1425">
        <f>IF(AND(H1425="",F1425="Attended"),1,0)</f>
        <v/>
      </c>
      <c r="M1425">
        <f>IF(AND(H1425="",OR(F1425="No-show",F1425="Late cancel")),1,0)</f>
        <v/>
      </c>
      <c r="N1425">
        <f>IF(AND(H1425="",F1425="",D1425&lt;&gt;"",I1425&gt;=TODAY()),ROUND((I1425+IF(ISNUMBER(C1425),MOD(C1425,1),0))*1440,0)*10000+ROW(),"")</f>
        <v/>
      </c>
    </row>
    <row r="1426">
      <c r="A1426" s="1" t="n"/>
      <c r="B1426" s="17" t="n"/>
      <c r="C1426" s="18" t="n"/>
      <c r="D1426" s="19" t="n"/>
      <c r="E1426" s="20" t="n"/>
      <c r="F1426" s="20" t="n"/>
      <c r="G1426" s="21" t="n"/>
      <c r="H1426" s="12">
        <f>IF(AND(B1426="",D1426="",F1426=""),"",IF(NOT(ISNUMBER(B1426)),"Needs a date",IF(D1426="","Needs a client",IF(COUNTIF(Clients!$B$6:$B$105,D1426)=0,"Not on Clients",IF(AND(F1426="",INT(B1426)&lt;TODAY()),"Needs a status","")))))</f>
        <v/>
      </c>
      <c r="I1426" s="1">
        <f>IF(ISNUMBER(B1426),INT(B1426),0)</f>
        <v/>
      </c>
      <c r="J1426">
        <f>IF(ISNUMBER(B1426),YEAR(B1426)*100+MONTH(B1426),"")</f>
        <v/>
      </c>
      <c r="K1426">
        <f>IF(AND(H1426="",OR(F1426="Attended",F1426="No-show",AND(F1426="Late cancel",Settings!$C$9="Yes"))),1,0)</f>
        <v/>
      </c>
      <c r="L1426">
        <f>IF(AND(H1426="",F1426="Attended"),1,0)</f>
        <v/>
      </c>
      <c r="M1426">
        <f>IF(AND(H1426="",OR(F1426="No-show",F1426="Late cancel")),1,0)</f>
        <v/>
      </c>
      <c r="N1426">
        <f>IF(AND(H1426="",F1426="",D1426&lt;&gt;"",I1426&gt;=TODAY()),ROUND((I1426+IF(ISNUMBER(C1426),MOD(C1426,1),0))*1440,0)*10000+ROW(),"")</f>
        <v/>
      </c>
    </row>
    <row r="1427">
      <c r="A1427" s="1" t="n"/>
      <c r="B1427" s="17" t="n"/>
      <c r="C1427" s="18" t="n"/>
      <c r="D1427" s="19" t="n"/>
      <c r="E1427" s="20" t="n"/>
      <c r="F1427" s="20" t="n"/>
      <c r="G1427" s="21" t="n"/>
      <c r="H1427" s="12">
        <f>IF(AND(B1427="",D1427="",F1427=""),"",IF(NOT(ISNUMBER(B1427)),"Needs a date",IF(D1427="","Needs a client",IF(COUNTIF(Clients!$B$6:$B$105,D1427)=0,"Not on Clients",IF(AND(F1427="",INT(B1427)&lt;TODAY()),"Needs a status","")))))</f>
        <v/>
      </c>
      <c r="I1427" s="1">
        <f>IF(ISNUMBER(B1427),INT(B1427),0)</f>
        <v/>
      </c>
      <c r="J1427">
        <f>IF(ISNUMBER(B1427),YEAR(B1427)*100+MONTH(B1427),"")</f>
        <v/>
      </c>
      <c r="K1427">
        <f>IF(AND(H1427="",OR(F1427="Attended",F1427="No-show",AND(F1427="Late cancel",Settings!$C$9="Yes"))),1,0)</f>
        <v/>
      </c>
      <c r="L1427">
        <f>IF(AND(H1427="",F1427="Attended"),1,0)</f>
        <v/>
      </c>
      <c r="M1427">
        <f>IF(AND(H1427="",OR(F1427="No-show",F1427="Late cancel")),1,0)</f>
        <v/>
      </c>
      <c r="N1427">
        <f>IF(AND(H1427="",F1427="",D1427&lt;&gt;"",I1427&gt;=TODAY()),ROUND((I1427+IF(ISNUMBER(C1427),MOD(C1427,1),0))*1440,0)*10000+ROW(),"")</f>
        <v/>
      </c>
    </row>
    <row r="1428">
      <c r="A1428" s="1" t="n"/>
      <c r="B1428" s="17" t="n"/>
      <c r="C1428" s="18" t="n"/>
      <c r="D1428" s="19" t="n"/>
      <c r="E1428" s="20" t="n"/>
      <c r="F1428" s="20" t="n"/>
      <c r="G1428" s="21" t="n"/>
      <c r="H1428" s="12">
        <f>IF(AND(B1428="",D1428="",F1428=""),"",IF(NOT(ISNUMBER(B1428)),"Needs a date",IF(D1428="","Needs a client",IF(COUNTIF(Clients!$B$6:$B$105,D1428)=0,"Not on Clients",IF(AND(F1428="",INT(B1428)&lt;TODAY()),"Needs a status","")))))</f>
        <v/>
      </c>
      <c r="I1428" s="1">
        <f>IF(ISNUMBER(B1428),INT(B1428),0)</f>
        <v/>
      </c>
      <c r="J1428">
        <f>IF(ISNUMBER(B1428),YEAR(B1428)*100+MONTH(B1428),"")</f>
        <v/>
      </c>
      <c r="K1428">
        <f>IF(AND(H1428="",OR(F1428="Attended",F1428="No-show",AND(F1428="Late cancel",Settings!$C$9="Yes"))),1,0)</f>
        <v/>
      </c>
      <c r="L1428">
        <f>IF(AND(H1428="",F1428="Attended"),1,0)</f>
        <v/>
      </c>
      <c r="M1428">
        <f>IF(AND(H1428="",OR(F1428="No-show",F1428="Late cancel")),1,0)</f>
        <v/>
      </c>
      <c r="N1428">
        <f>IF(AND(H1428="",F1428="",D1428&lt;&gt;"",I1428&gt;=TODAY()),ROUND((I1428+IF(ISNUMBER(C1428),MOD(C1428,1),0))*1440,0)*10000+ROW(),"")</f>
        <v/>
      </c>
    </row>
    <row r="1429">
      <c r="A1429" s="1" t="n"/>
      <c r="B1429" s="17" t="n"/>
      <c r="C1429" s="18" t="n"/>
      <c r="D1429" s="19" t="n"/>
      <c r="E1429" s="20" t="n"/>
      <c r="F1429" s="20" t="n"/>
      <c r="G1429" s="21" t="n"/>
      <c r="H1429" s="12">
        <f>IF(AND(B1429="",D1429="",F1429=""),"",IF(NOT(ISNUMBER(B1429)),"Needs a date",IF(D1429="","Needs a client",IF(COUNTIF(Clients!$B$6:$B$105,D1429)=0,"Not on Clients",IF(AND(F1429="",INT(B1429)&lt;TODAY()),"Needs a status","")))))</f>
        <v/>
      </c>
      <c r="I1429" s="1">
        <f>IF(ISNUMBER(B1429),INT(B1429),0)</f>
        <v/>
      </c>
      <c r="J1429">
        <f>IF(ISNUMBER(B1429),YEAR(B1429)*100+MONTH(B1429),"")</f>
        <v/>
      </c>
      <c r="K1429">
        <f>IF(AND(H1429="",OR(F1429="Attended",F1429="No-show",AND(F1429="Late cancel",Settings!$C$9="Yes"))),1,0)</f>
        <v/>
      </c>
      <c r="L1429">
        <f>IF(AND(H1429="",F1429="Attended"),1,0)</f>
        <v/>
      </c>
      <c r="M1429">
        <f>IF(AND(H1429="",OR(F1429="No-show",F1429="Late cancel")),1,0)</f>
        <v/>
      </c>
      <c r="N1429">
        <f>IF(AND(H1429="",F1429="",D1429&lt;&gt;"",I1429&gt;=TODAY()),ROUND((I1429+IF(ISNUMBER(C1429),MOD(C1429,1),0))*1440,0)*10000+ROW(),"")</f>
        <v/>
      </c>
    </row>
    <row r="1430">
      <c r="A1430" s="1" t="n"/>
      <c r="B1430" s="17" t="n"/>
      <c r="C1430" s="18" t="n"/>
      <c r="D1430" s="19" t="n"/>
      <c r="E1430" s="20" t="n"/>
      <c r="F1430" s="20" t="n"/>
      <c r="G1430" s="21" t="n"/>
      <c r="H1430" s="12">
        <f>IF(AND(B1430="",D1430="",F1430=""),"",IF(NOT(ISNUMBER(B1430)),"Needs a date",IF(D1430="","Needs a client",IF(COUNTIF(Clients!$B$6:$B$105,D1430)=0,"Not on Clients",IF(AND(F1430="",INT(B1430)&lt;TODAY()),"Needs a status","")))))</f>
        <v/>
      </c>
      <c r="I1430" s="1">
        <f>IF(ISNUMBER(B1430),INT(B1430),0)</f>
        <v/>
      </c>
      <c r="J1430">
        <f>IF(ISNUMBER(B1430),YEAR(B1430)*100+MONTH(B1430),"")</f>
        <v/>
      </c>
      <c r="K1430">
        <f>IF(AND(H1430="",OR(F1430="Attended",F1430="No-show",AND(F1430="Late cancel",Settings!$C$9="Yes"))),1,0)</f>
        <v/>
      </c>
      <c r="L1430">
        <f>IF(AND(H1430="",F1430="Attended"),1,0)</f>
        <v/>
      </c>
      <c r="M1430">
        <f>IF(AND(H1430="",OR(F1430="No-show",F1430="Late cancel")),1,0)</f>
        <v/>
      </c>
      <c r="N1430">
        <f>IF(AND(H1430="",F1430="",D1430&lt;&gt;"",I1430&gt;=TODAY()),ROUND((I1430+IF(ISNUMBER(C1430),MOD(C1430,1),0))*1440,0)*10000+ROW(),"")</f>
        <v/>
      </c>
    </row>
    <row r="1431">
      <c r="A1431" s="1" t="n"/>
      <c r="B1431" s="17" t="n"/>
      <c r="C1431" s="18" t="n"/>
      <c r="D1431" s="19" t="n"/>
      <c r="E1431" s="20" t="n"/>
      <c r="F1431" s="20" t="n"/>
      <c r="G1431" s="21" t="n"/>
      <c r="H1431" s="12">
        <f>IF(AND(B1431="",D1431="",F1431=""),"",IF(NOT(ISNUMBER(B1431)),"Needs a date",IF(D1431="","Needs a client",IF(COUNTIF(Clients!$B$6:$B$105,D1431)=0,"Not on Clients",IF(AND(F1431="",INT(B1431)&lt;TODAY()),"Needs a status","")))))</f>
        <v/>
      </c>
      <c r="I1431" s="1">
        <f>IF(ISNUMBER(B1431),INT(B1431),0)</f>
        <v/>
      </c>
      <c r="J1431">
        <f>IF(ISNUMBER(B1431),YEAR(B1431)*100+MONTH(B1431),"")</f>
        <v/>
      </c>
      <c r="K1431">
        <f>IF(AND(H1431="",OR(F1431="Attended",F1431="No-show",AND(F1431="Late cancel",Settings!$C$9="Yes"))),1,0)</f>
        <v/>
      </c>
      <c r="L1431">
        <f>IF(AND(H1431="",F1431="Attended"),1,0)</f>
        <v/>
      </c>
      <c r="M1431">
        <f>IF(AND(H1431="",OR(F1431="No-show",F1431="Late cancel")),1,0)</f>
        <v/>
      </c>
      <c r="N1431">
        <f>IF(AND(H1431="",F1431="",D1431&lt;&gt;"",I1431&gt;=TODAY()),ROUND((I1431+IF(ISNUMBER(C1431),MOD(C1431,1),0))*1440,0)*10000+ROW(),"")</f>
        <v/>
      </c>
    </row>
    <row r="1432">
      <c r="A1432" s="1" t="n"/>
      <c r="B1432" s="17" t="n"/>
      <c r="C1432" s="18" t="n"/>
      <c r="D1432" s="19" t="n"/>
      <c r="E1432" s="20" t="n"/>
      <c r="F1432" s="20" t="n"/>
      <c r="G1432" s="21" t="n"/>
      <c r="H1432" s="12">
        <f>IF(AND(B1432="",D1432="",F1432=""),"",IF(NOT(ISNUMBER(B1432)),"Needs a date",IF(D1432="","Needs a client",IF(COUNTIF(Clients!$B$6:$B$105,D1432)=0,"Not on Clients",IF(AND(F1432="",INT(B1432)&lt;TODAY()),"Needs a status","")))))</f>
        <v/>
      </c>
      <c r="I1432" s="1">
        <f>IF(ISNUMBER(B1432),INT(B1432),0)</f>
        <v/>
      </c>
      <c r="J1432">
        <f>IF(ISNUMBER(B1432),YEAR(B1432)*100+MONTH(B1432),"")</f>
        <v/>
      </c>
      <c r="K1432">
        <f>IF(AND(H1432="",OR(F1432="Attended",F1432="No-show",AND(F1432="Late cancel",Settings!$C$9="Yes"))),1,0)</f>
        <v/>
      </c>
      <c r="L1432">
        <f>IF(AND(H1432="",F1432="Attended"),1,0)</f>
        <v/>
      </c>
      <c r="M1432">
        <f>IF(AND(H1432="",OR(F1432="No-show",F1432="Late cancel")),1,0)</f>
        <v/>
      </c>
      <c r="N1432">
        <f>IF(AND(H1432="",F1432="",D1432&lt;&gt;"",I1432&gt;=TODAY()),ROUND((I1432+IF(ISNUMBER(C1432),MOD(C1432,1),0))*1440,0)*10000+ROW(),"")</f>
        <v/>
      </c>
    </row>
    <row r="1433">
      <c r="A1433" s="1" t="n"/>
      <c r="B1433" s="17" t="n"/>
      <c r="C1433" s="18" t="n"/>
      <c r="D1433" s="19" t="n"/>
      <c r="E1433" s="20" t="n"/>
      <c r="F1433" s="20" t="n"/>
      <c r="G1433" s="21" t="n"/>
      <c r="H1433" s="12">
        <f>IF(AND(B1433="",D1433="",F1433=""),"",IF(NOT(ISNUMBER(B1433)),"Needs a date",IF(D1433="","Needs a client",IF(COUNTIF(Clients!$B$6:$B$105,D1433)=0,"Not on Clients",IF(AND(F1433="",INT(B1433)&lt;TODAY()),"Needs a status","")))))</f>
        <v/>
      </c>
      <c r="I1433" s="1">
        <f>IF(ISNUMBER(B1433),INT(B1433),0)</f>
        <v/>
      </c>
      <c r="J1433">
        <f>IF(ISNUMBER(B1433),YEAR(B1433)*100+MONTH(B1433),"")</f>
        <v/>
      </c>
      <c r="K1433">
        <f>IF(AND(H1433="",OR(F1433="Attended",F1433="No-show",AND(F1433="Late cancel",Settings!$C$9="Yes"))),1,0)</f>
        <v/>
      </c>
      <c r="L1433">
        <f>IF(AND(H1433="",F1433="Attended"),1,0)</f>
        <v/>
      </c>
      <c r="M1433">
        <f>IF(AND(H1433="",OR(F1433="No-show",F1433="Late cancel")),1,0)</f>
        <v/>
      </c>
      <c r="N1433">
        <f>IF(AND(H1433="",F1433="",D1433&lt;&gt;"",I1433&gt;=TODAY()),ROUND((I1433+IF(ISNUMBER(C1433),MOD(C1433,1),0))*1440,0)*10000+ROW(),"")</f>
        <v/>
      </c>
    </row>
    <row r="1434">
      <c r="A1434" s="1" t="n"/>
      <c r="B1434" s="17" t="n"/>
      <c r="C1434" s="18" t="n"/>
      <c r="D1434" s="19" t="n"/>
      <c r="E1434" s="20" t="n"/>
      <c r="F1434" s="20" t="n"/>
      <c r="G1434" s="21" t="n"/>
      <c r="H1434" s="12">
        <f>IF(AND(B1434="",D1434="",F1434=""),"",IF(NOT(ISNUMBER(B1434)),"Needs a date",IF(D1434="","Needs a client",IF(COUNTIF(Clients!$B$6:$B$105,D1434)=0,"Not on Clients",IF(AND(F1434="",INT(B1434)&lt;TODAY()),"Needs a status","")))))</f>
        <v/>
      </c>
      <c r="I1434" s="1">
        <f>IF(ISNUMBER(B1434),INT(B1434),0)</f>
        <v/>
      </c>
      <c r="J1434">
        <f>IF(ISNUMBER(B1434),YEAR(B1434)*100+MONTH(B1434),"")</f>
        <v/>
      </c>
      <c r="K1434">
        <f>IF(AND(H1434="",OR(F1434="Attended",F1434="No-show",AND(F1434="Late cancel",Settings!$C$9="Yes"))),1,0)</f>
        <v/>
      </c>
      <c r="L1434">
        <f>IF(AND(H1434="",F1434="Attended"),1,0)</f>
        <v/>
      </c>
      <c r="M1434">
        <f>IF(AND(H1434="",OR(F1434="No-show",F1434="Late cancel")),1,0)</f>
        <v/>
      </c>
      <c r="N1434">
        <f>IF(AND(H1434="",F1434="",D1434&lt;&gt;"",I1434&gt;=TODAY()),ROUND((I1434+IF(ISNUMBER(C1434),MOD(C1434,1),0))*1440,0)*10000+ROW(),"")</f>
        <v/>
      </c>
    </row>
    <row r="1435">
      <c r="A1435" s="1" t="n"/>
      <c r="B1435" s="17" t="n"/>
      <c r="C1435" s="18" t="n"/>
      <c r="D1435" s="19" t="n"/>
      <c r="E1435" s="20" t="n"/>
      <c r="F1435" s="20" t="n"/>
      <c r="G1435" s="21" t="n"/>
      <c r="H1435" s="12">
        <f>IF(AND(B1435="",D1435="",F1435=""),"",IF(NOT(ISNUMBER(B1435)),"Needs a date",IF(D1435="","Needs a client",IF(COUNTIF(Clients!$B$6:$B$105,D1435)=0,"Not on Clients",IF(AND(F1435="",INT(B1435)&lt;TODAY()),"Needs a status","")))))</f>
        <v/>
      </c>
      <c r="I1435" s="1">
        <f>IF(ISNUMBER(B1435),INT(B1435),0)</f>
        <v/>
      </c>
      <c r="J1435">
        <f>IF(ISNUMBER(B1435),YEAR(B1435)*100+MONTH(B1435),"")</f>
        <v/>
      </c>
      <c r="K1435">
        <f>IF(AND(H1435="",OR(F1435="Attended",F1435="No-show",AND(F1435="Late cancel",Settings!$C$9="Yes"))),1,0)</f>
        <v/>
      </c>
      <c r="L1435">
        <f>IF(AND(H1435="",F1435="Attended"),1,0)</f>
        <v/>
      </c>
      <c r="M1435">
        <f>IF(AND(H1435="",OR(F1435="No-show",F1435="Late cancel")),1,0)</f>
        <v/>
      </c>
      <c r="N1435">
        <f>IF(AND(H1435="",F1435="",D1435&lt;&gt;"",I1435&gt;=TODAY()),ROUND((I1435+IF(ISNUMBER(C1435),MOD(C1435,1),0))*1440,0)*10000+ROW(),"")</f>
        <v/>
      </c>
    </row>
    <row r="1436">
      <c r="A1436" s="1" t="n"/>
      <c r="B1436" s="17" t="n"/>
      <c r="C1436" s="18" t="n"/>
      <c r="D1436" s="19" t="n"/>
      <c r="E1436" s="20" t="n"/>
      <c r="F1436" s="20" t="n"/>
      <c r="G1436" s="21" t="n"/>
      <c r="H1436" s="12">
        <f>IF(AND(B1436="",D1436="",F1436=""),"",IF(NOT(ISNUMBER(B1436)),"Needs a date",IF(D1436="","Needs a client",IF(COUNTIF(Clients!$B$6:$B$105,D1436)=0,"Not on Clients",IF(AND(F1436="",INT(B1436)&lt;TODAY()),"Needs a status","")))))</f>
        <v/>
      </c>
      <c r="I1436" s="1">
        <f>IF(ISNUMBER(B1436),INT(B1436),0)</f>
        <v/>
      </c>
      <c r="J1436">
        <f>IF(ISNUMBER(B1436),YEAR(B1436)*100+MONTH(B1436),"")</f>
        <v/>
      </c>
      <c r="K1436">
        <f>IF(AND(H1436="",OR(F1436="Attended",F1436="No-show",AND(F1436="Late cancel",Settings!$C$9="Yes"))),1,0)</f>
        <v/>
      </c>
      <c r="L1436">
        <f>IF(AND(H1436="",F1436="Attended"),1,0)</f>
        <v/>
      </c>
      <c r="M1436">
        <f>IF(AND(H1436="",OR(F1436="No-show",F1436="Late cancel")),1,0)</f>
        <v/>
      </c>
      <c r="N1436">
        <f>IF(AND(H1436="",F1436="",D1436&lt;&gt;"",I1436&gt;=TODAY()),ROUND((I1436+IF(ISNUMBER(C1436),MOD(C1436,1),0))*1440,0)*10000+ROW(),"")</f>
        <v/>
      </c>
    </row>
    <row r="1437">
      <c r="A1437" s="1" t="n"/>
      <c r="B1437" s="17" t="n"/>
      <c r="C1437" s="18" t="n"/>
      <c r="D1437" s="19" t="n"/>
      <c r="E1437" s="20" t="n"/>
      <c r="F1437" s="20" t="n"/>
      <c r="G1437" s="21" t="n"/>
      <c r="H1437" s="12">
        <f>IF(AND(B1437="",D1437="",F1437=""),"",IF(NOT(ISNUMBER(B1437)),"Needs a date",IF(D1437="","Needs a client",IF(COUNTIF(Clients!$B$6:$B$105,D1437)=0,"Not on Clients",IF(AND(F1437="",INT(B1437)&lt;TODAY()),"Needs a status","")))))</f>
        <v/>
      </c>
      <c r="I1437" s="1">
        <f>IF(ISNUMBER(B1437),INT(B1437),0)</f>
        <v/>
      </c>
      <c r="J1437">
        <f>IF(ISNUMBER(B1437),YEAR(B1437)*100+MONTH(B1437),"")</f>
        <v/>
      </c>
      <c r="K1437">
        <f>IF(AND(H1437="",OR(F1437="Attended",F1437="No-show",AND(F1437="Late cancel",Settings!$C$9="Yes"))),1,0)</f>
        <v/>
      </c>
      <c r="L1437">
        <f>IF(AND(H1437="",F1437="Attended"),1,0)</f>
        <v/>
      </c>
      <c r="M1437">
        <f>IF(AND(H1437="",OR(F1437="No-show",F1437="Late cancel")),1,0)</f>
        <v/>
      </c>
      <c r="N1437">
        <f>IF(AND(H1437="",F1437="",D1437&lt;&gt;"",I1437&gt;=TODAY()),ROUND((I1437+IF(ISNUMBER(C1437),MOD(C1437,1),0))*1440,0)*10000+ROW(),"")</f>
        <v/>
      </c>
    </row>
    <row r="1438">
      <c r="A1438" s="1" t="n"/>
      <c r="B1438" s="17" t="n"/>
      <c r="C1438" s="18" t="n"/>
      <c r="D1438" s="19" t="n"/>
      <c r="E1438" s="20" t="n"/>
      <c r="F1438" s="20" t="n"/>
      <c r="G1438" s="21" t="n"/>
      <c r="H1438" s="12">
        <f>IF(AND(B1438="",D1438="",F1438=""),"",IF(NOT(ISNUMBER(B1438)),"Needs a date",IF(D1438="","Needs a client",IF(COUNTIF(Clients!$B$6:$B$105,D1438)=0,"Not on Clients",IF(AND(F1438="",INT(B1438)&lt;TODAY()),"Needs a status","")))))</f>
        <v/>
      </c>
      <c r="I1438" s="1">
        <f>IF(ISNUMBER(B1438),INT(B1438),0)</f>
        <v/>
      </c>
      <c r="J1438">
        <f>IF(ISNUMBER(B1438),YEAR(B1438)*100+MONTH(B1438),"")</f>
        <v/>
      </c>
      <c r="K1438">
        <f>IF(AND(H1438="",OR(F1438="Attended",F1438="No-show",AND(F1438="Late cancel",Settings!$C$9="Yes"))),1,0)</f>
        <v/>
      </c>
      <c r="L1438">
        <f>IF(AND(H1438="",F1438="Attended"),1,0)</f>
        <v/>
      </c>
      <c r="M1438">
        <f>IF(AND(H1438="",OR(F1438="No-show",F1438="Late cancel")),1,0)</f>
        <v/>
      </c>
      <c r="N1438">
        <f>IF(AND(H1438="",F1438="",D1438&lt;&gt;"",I1438&gt;=TODAY()),ROUND((I1438+IF(ISNUMBER(C1438),MOD(C1438,1),0))*1440,0)*10000+ROW(),"")</f>
        <v/>
      </c>
    </row>
    <row r="1439">
      <c r="A1439" s="1" t="n"/>
      <c r="B1439" s="17" t="n"/>
      <c r="C1439" s="18" t="n"/>
      <c r="D1439" s="19" t="n"/>
      <c r="E1439" s="20" t="n"/>
      <c r="F1439" s="20" t="n"/>
      <c r="G1439" s="21" t="n"/>
      <c r="H1439" s="12">
        <f>IF(AND(B1439="",D1439="",F1439=""),"",IF(NOT(ISNUMBER(B1439)),"Needs a date",IF(D1439="","Needs a client",IF(COUNTIF(Clients!$B$6:$B$105,D1439)=0,"Not on Clients",IF(AND(F1439="",INT(B1439)&lt;TODAY()),"Needs a status","")))))</f>
        <v/>
      </c>
      <c r="I1439" s="1">
        <f>IF(ISNUMBER(B1439),INT(B1439),0)</f>
        <v/>
      </c>
      <c r="J1439">
        <f>IF(ISNUMBER(B1439),YEAR(B1439)*100+MONTH(B1439),"")</f>
        <v/>
      </c>
      <c r="K1439">
        <f>IF(AND(H1439="",OR(F1439="Attended",F1439="No-show",AND(F1439="Late cancel",Settings!$C$9="Yes"))),1,0)</f>
        <v/>
      </c>
      <c r="L1439">
        <f>IF(AND(H1439="",F1439="Attended"),1,0)</f>
        <v/>
      </c>
      <c r="M1439">
        <f>IF(AND(H1439="",OR(F1439="No-show",F1439="Late cancel")),1,0)</f>
        <v/>
      </c>
      <c r="N1439">
        <f>IF(AND(H1439="",F1439="",D1439&lt;&gt;"",I1439&gt;=TODAY()),ROUND((I1439+IF(ISNUMBER(C1439),MOD(C1439,1),0))*1440,0)*10000+ROW(),"")</f>
        <v/>
      </c>
    </row>
    <row r="1440">
      <c r="A1440" s="1" t="n"/>
      <c r="B1440" s="17" t="n"/>
      <c r="C1440" s="18" t="n"/>
      <c r="D1440" s="19" t="n"/>
      <c r="E1440" s="20" t="n"/>
      <c r="F1440" s="20" t="n"/>
      <c r="G1440" s="21" t="n"/>
      <c r="H1440" s="12">
        <f>IF(AND(B1440="",D1440="",F1440=""),"",IF(NOT(ISNUMBER(B1440)),"Needs a date",IF(D1440="","Needs a client",IF(COUNTIF(Clients!$B$6:$B$105,D1440)=0,"Not on Clients",IF(AND(F1440="",INT(B1440)&lt;TODAY()),"Needs a status","")))))</f>
        <v/>
      </c>
      <c r="I1440" s="1">
        <f>IF(ISNUMBER(B1440),INT(B1440),0)</f>
        <v/>
      </c>
      <c r="J1440">
        <f>IF(ISNUMBER(B1440),YEAR(B1440)*100+MONTH(B1440),"")</f>
        <v/>
      </c>
      <c r="K1440">
        <f>IF(AND(H1440="",OR(F1440="Attended",F1440="No-show",AND(F1440="Late cancel",Settings!$C$9="Yes"))),1,0)</f>
        <v/>
      </c>
      <c r="L1440">
        <f>IF(AND(H1440="",F1440="Attended"),1,0)</f>
        <v/>
      </c>
      <c r="M1440">
        <f>IF(AND(H1440="",OR(F1440="No-show",F1440="Late cancel")),1,0)</f>
        <v/>
      </c>
      <c r="N1440">
        <f>IF(AND(H1440="",F1440="",D1440&lt;&gt;"",I1440&gt;=TODAY()),ROUND((I1440+IF(ISNUMBER(C1440),MOD(C1440,1),0))*1440,0)*10000+ROW(),"")</f>
        <v/>
      </c>
    </row>
    <row r="1441">
      <c r="A1441" s="1" t="n"/>
      <c r="B1441" s="17" t="n"/>
      <c r="C1441" s="18" t="n"/>
      <c r="D1441" s="19" t="n"/>
      <c r="E1441" s="20" t="n"/>
      <c r="F1441" s="20" t="n"/>
      <c r="G1441" s="21" t="n"/>
      <c r="H1441" s="12">
        <f>IF(AND(B1441="",D1441="",F1441=""),"",IF(NOT(ISNUMBER(B1441)),"Needs a date",IF(D1441="","Needs a client",IF(COUNTIF(Clients!$B$6:$B$105,D1441)=0,"Not on Clients",IF(AND(F1441="",INT(B1441)&lt;TODAY()),"Needs a status","")))))</f>
        <v/>
      </c>
      <c r="I1441" s="1">
        <f>IF(ISNUMBER(B1441),INT(B1441),0)</f>
        <v/>
      </c>
      <c r="J1441">
        <f>IF(ISNUMBER(B1441),YEAR(B1441)*100+MONTH(B1441),"")</f>
        <v/>
      </c>
      <c r="K1441">
        <f>IF(AND(H1441="",OR(F1441="Attended",F1441="No-show",AND(F1441="Late cancel",Settings!$C$9="Yes"))),1,0)</f>
        <v/>
      </c>
      <c r="L1441">
        <f>IF(AND(H1441="",F1441="Attended"),1,0)</f>
        <v/>
      </c>
      <c r="M1441">
        <f>IF(AND(H1441="",OR(F1441="No-show",F1441="Late cancel")),1,0)</f>
        <v/>
      </c>
      <c r="N1441">
        <f>IF(AND(H1441="",F1441="",D1441&lt;&gt;"",I1441&gt;=TODAY()),ROUND((I1441+IF(ISNUMBER(C1441),MOD(C1441,1),0))*1440,0)*10000+ROW(),"")</f>
        <v/>
      </c>
    </row>
    <row r="1442">
      <c r="A1442" s="1" t="n"/>
      <c r="B1442" s="17" t="n"/>
      <c r="C1442" s="18" t="n"/>
      <c r="D1442" s="19" t="n"/>
      <c r="E1442" s="20" t="n"/>
      <c r="F1442" s="20" t="n"/>
      <c r="G1442" s="21" t="n"/>
      <c r="H1442" s="12">
        <f>IF(AND(B1442="",D1442="",F1442=""),"",IF(NOT(ISNUMBER(B1442)),"Needs a date",IF(D1442="","Needs a client",IF(COUNTIF(Clients!$B$6:$B$105,D1442)=0,"Not on Clients",IF(AND(F1442="",INT(B1442)&lt;TODAY()),"Needs a status","")))))</f>
        <v/>
      </c>
      <c r="I1442" s="1">
        <f>IF(ISNUMBER(B1442),INT(B1442),0)</f>
        <v/>
      </c>
      <c r="J1442">
        <f>IF(ISNUMBER(B1442),YEAR(B1442)*100+MONTH(B1442),"")</f>
        <v/>
      </c>
      <c r="K1442">
        <f>IF(AND(H1442="",OR(F1442="Attended",F1442="No-show",AND(F1442="Late cancel",Settings!$C$9="Yes"))),1,0)</f>
        <v/>
      </c>
      <c r="L1442">
        <f>IF(AND(H1442="",F1442="Attended"),1,0)</f>
        <v/>
      </c>
      <c r="M1442">
        <f>IF(AND(H1442="",OR(F1442="No-show",F1442="Late cancel")),1,0)</f>
        <v/>
      </c>
      <c r="N1442">
        <f>IF(AND(H1442="",F1442="",D1442&lt;&gt;"",I1442&gt;=TODAY()),ROUND((I1442+IF(ISNUMBER(C1442),MOD(C1442,1),0))*1440,0)*10000+ROW(),"")</f>
        <v/>
      </c>
    </row>
    <row r="1443">
      <c r="A1443" s="1" t="n"/>
      <c r="B1443" s="17" t="n"/>
      <c r="C1443" s="18" t="n"/>
      <c r="D1443" s="19" t="n"/>
      <c r="E1443" s="20" t="n"/>
      <c r="F1443" s="20" t="n"/>
      <c r="G1443" s="21" t="n"/>
      <c r="H1443" s="12">
        <f>IF(AND(B1443="",D1443="",F1443=""),"",IF(NOT(ISNUMBER(B1443)),"Needs a date",IF(D1443="","Needs a client",IF(COUNTIF(Clients!$B$6:$B$105,D1443)=0,"Not on Clients",IF(AND(F1443="",INT(B1443)&lt;TODAY()),"Needs a status","")))))</f>
        <v/>
      </c>
      <c r="I1443" s="1">
        <f>IF(ISNUMBER(B1443),INT(B1443),0)</f>
        <v/>
      </c>
      <c r="J1443">
        <f>IF(ISNUMBER(B1443),YEAR(B1443)*100+MONTH(B1443),"")</f>
        <v/>
      </c>
      <c r="K1443">
        <f>IF(AND(H1443="",OR(F1443="Attended",F1443="No-show",AND(F1443="Late cancel",Settings!$C$9="Yes"))),1,0)</f>
        <v/>
      </c>
      <c r="L1443">
        <f>IF(AND(H1443="",F1443="Attended"),1,0)</f>
        <v/>
      </c>
      <c r="M1443">
        <f>IF(AND(H1443="",OR(F1443="No-show",F1443="Late cancel")),1,0)</f>
        <v/>
      </c>
      <c r="N1443">
        <f>IF(AND(H1443="",F1443="",D1443&lt;&gt;"",I1443&gt;=TODAY()),ROUND((I1443+IF(ISNUMBER(C1443),MOD(C1443,1),0))*1440,0)*10000+ROW(),"")</f>
        <v/>
      </c>
    </row>
    <row r="1444">
      <c r="A1444" s="1" t="n"/>
      <c r="B1444" s="17" t="n"/>
      <c r="C1444" s="18" t="n"/>
      <c r="D1444" s="19" t="n"/>
      <c r="E1444" s="20" t="n"/>
      <c r="F1444" s="20" t="n"/>
      <c r="G1444" s="21" t="n"/>
      <c r="H1444" s="12">
        <f>IF(AND(B1444="",D1444="",F1444=""),"",IF(NOT(ISNUMBER(B1444)),"Needs a date",IF(D1444="","Needs a client",IF(COUNTIF(Clients!$B$6:$B$105,D1444)=0,"Not on Clients",IF(AND(F1444="",INT(B1444)&lt;TODAY()),"Needs a status","")))))</f>
        <v/>
      </c>
      <c r="I1444" s="1">
        <f>IF(ISNUMBER(B1444),INT(B1444),0)</f>
        <v/>
      </c>
      <c r="J1444">
        <f>IF(ISNUMBER(B1444),YEAR(B1444)*100+MONTH(B1444),"")</f>
        <v/>
      </c>
      <c r="K1444">
        <f>IF(AND(H1444="",OR(F1444="Attended",F1444="No-show",AND(F1444="Late cancel",Settings!$C$9="Yes"))),1,0)</f>
        <v/>
      </c>
      <c r="L1444">
        <f>IF(AND(H1444="",F1444="Attended"),1,0)</f>
        <v/>
      </c>
      <c r="M1444">
        <f>IF(AND(H1444="",OR(F1444="No-show",F1444="Late cancel")),1,0)</f>
        <v/>
      </c>
      <c r="N1444">
        <f>IF(AND(H1444="",F1444="",D1444&lt;&gt;"",I1444&gt;=TODAY()),ROUND((I1444+IF(ISNUMBER(C1444),MOD(C1444,1),0))*1440,0)*10000+ROW(),"")</f>
        <v/>
      </c>
    </row>
    <row r="1445">
      <c r="A1445" s="1" t="n"/>
      <c r="B1445" s="17" t="n"/>
      <c r="C1445" s="18" t="n"/>
      <c r="D1445" s="19" t="n"/>
      <c r="E1445" s="20" t="n"/>
      <c r="F1445" s="20" t="n"/>
      <c r="G1445" s="21" t="n"/>
      <c r="H1445" s="12">
        <f>IF(AND(B1445="",D1445="",F1445=""),"",IF(NOT(ISNUMBER(B1445)),"Needs a date",IF(D1445="","Needs a client",IF(COUNTIF(Clients!$B$6:$B$105,D1445)=0,"Not on Clients",IF(AND(F1445="",INT(B1445)&lt;TODAY()),"Needs a status","")))))</f>
        <v/>
      </c>
      <c r="I1445" s="1">
        <f>IF(ISNUMBER(B1445),INT(B1445),0)</f>
        <v/>
      </c>
      <c r="J1445">
        <f>IF(ISNUMBER(B1445),YEAR(B1445)*100+MONTH(B1445),"")</f>
        <v/>
      </c>
      <c r="K1445">
        <f>IF(AND(H1445="",OR(F1445="Attended",F1445="No-show",AND(F1445="Late cancel",Settings!$C$9="Yes"))),1,0)</f>
        <v/>
      </c>
      <c r="L1445">
        <f>IF(AND(H1445="",F1445="Attended"),1,0)</f>
        <v/>
      </c>
      <c r="M1445">
        <f>IF(AND(H1445="",OR(F1445="No-show",F1445="Late cancel")),1,0)</f>
        <v/>
      </c>
      <c r="N1445">
        <f>IF(AND(H1445="",F1445="",D1445&lt;&gt;"",I1445&gt;=TODAY()),ROUND((I1445+IF(ISNUMBER(C1445),MOD(C1445,1),0))*1440,0)*10000+ROW(),"")</f>
        <v/>
      </c>
    </row>
    <row r="1446">
      <c r="A1446" s="1" t="n"/>
      <c r="B1446" s="17" t="n"/>
      <c r="C1446" s="18" t="n"/>
      <c r="D1446" s="19" t="n"/>
      <c r="E1446" s="20" t="n"/>
      <c r="F1446" s="20" t="n"/>
      <c r="G1446" s="21" t="n"/>
      <c r="H1446" s="12">
        <f>IF(AND(B1446="",D1446="",F1446=""),"",IF(NOT(ISNUMBER(B1446)),"Needs a date",IF(D1446="","Needs a client",IF(COUNTIF(Clients!$B$6:$B$105,D1446)=0,"Not on Clients",IF(AND(F1446="",INT(B1446)&lt;TODAY()),"Needs a status","")))))</f>
        <v/>
      </c>
      <c r="I1446" s="1">
        <f>IF(ISNUMBER(B1446),INT(B1446),0)</f>
        <v/>
      </c>
      <c r="J1446">
        <f>IF(ISNUMBER(B1446),YEAR(B1446)*100+MONTH(B1446),"")</f>
        <v/>
      </c>
      <c r="K1446">
        <f>IF(AND(H1446="",OR(F1446="Attended",F1446="No-show",AND(F1446="Late cancel",Settings!$C$9="Yes"))),1,0)</f>
        <v/>
      </c>
      <c r="L1446">
        <f>IF(AND(H1446="",F1446="Attended"),1,0)</f>
        <v/>
      </c>
      <c r="M1446">
        <f>IF(AND(H1446="",OR(F1446="No-show",F1446="Late cancel")),1,0)</f>
        <v/>
      </c>
      <c r="N1446">
        <f>IF(AND(H1446="",F1446="",D1446&lt;&gt;"",I1446&gt;=TODAY()),ROUND((I1446+IF(ISNUMBER(C1446),MOD(C1446,1),0))*1440,0)*10000+ROW(),"")</f>
        <v/>
      </c>
    </row>
    <row r="1447">
      <c r="A1447" s="1" t="n"/>
      <c r="B1447" s="17" t="n"/>
      <c r="C1447" s="18" t="n"/>
      <c r="D1447" s="19" t="n"/>
      <c r="E1447" s="20" t="n"/>
      <c r="F1447" s="20" t="n"/>
      <c r="G1447" s="21" t="n"/>
      <c r="H1447" s="12">
        <f>IF(AND(B1447="",D1447="",F1447=""),"",IF(NOT(ISNUMBER(B1447)),"Needs a date",IF(D1447="","Needs a client",IF(COUNTIF(Clients!$B$6:$B$105,D1447)=0,"Not on Clients",IF(AND(F1447="",INT(B1447)&lt;TODAY()),"Needs a status","")))))</f>
        <v/>
      </c>
      <c r="I1447" s="1">
        <f>IF(ISNUMBER(B1447),INT(B1447),0)</f>
        <v/>
      </c>
      <c r="J1447">
        <f>IF(ISNUMBER(B1447),YEAR(B1447)*100+MONTH(B1447),"")</f>
        <v/>
      </c>
      <c r="K1447">
        <f>IF(AND(H1447="",OR(F1447="Attended",F1447="No-show",AND(F1447="Late cancel",Settings!$C$9="Yes"))),1,0)</f>
        <v/>
      </c>
      <c r="L1447">
        <f>IF(AND(H1447="",F1447="Attended"),1,0)</f>
        <v/>
      </c>
      <c r="M1447">
        <f>IF(AND(H1447="",OR(F1447="No-show",F1447="Late cancel")),1,0)</f>
        <v/>
      </c>
      <c r="N1447">
        <f>IF(AND(H1447="",F1447="",D1447&lt;&gt;"",I1447&gt;=TODAY()),ROUND((I1447+IF(ISNUMBER(C1447),MOD(C1447,1),0))*1440,0)*10000+ROW(),"")</f>
        <v/>
      </c>
    </row>
    <row r="1448">
      <c r="A1448" s="1" t="n"/>
      <c r="B1448" s="17" t="n"/>
      <c r="C1448" s="18" t="n"/>
      <c r="D1448" s="19" t="n"/>
      <c r="E1448" s="20" t="n"/>
      <c r="F1448" s="20" t="n"/>
      <c r="G1448" s="21" t="n"/>
      <c r="H1448" s="12">
        <f>IF(AND(B1448="",D1448="",F1448=""),"",IF(NOT(ISNUMBER(B1448)),"Needs a date",IF(D1448="","Needs a client",IF(COUNTIF(Clients!$B$6:$B$105,D1448)=0,"Not on Clients",IF(AND(F1448="",INT(B1448)&lt;TODAY()),"Needs a status","")))))</f>
        <v/>
      </c>
      <c r="I1448" s="1">
        <f>IF(ISNUMBER(B1448),INT(B1448),0)</f>
        <v/>
      </c>
      <c r="J1448">
        <f>IF(ISNUMBER(B1448),YEAR(B1448)*100+MONTH(B1448),"")</f>
        <v/>
      </c>
      <c r="K1448">
        <f>IF(AND(H1448="",OR(F1448="Attended",F1448="No-show",AND(F1448="Late cancel",Settings!$C$9="Yes"))),1,0)</f>
        <v/>
      </c>
      <c r="L1448">
        <f>IF(AND(H1448="",F1448="Attended"),1,0)</f>
        <v/>
      </c>
      <c r="M1448">
        <f>IF(AND(H1448="",OR(F1448="No-show",F1448="Late cancel")),1,0)</f>
        <v/>
      </c>
      <c r="N1448">
        <f>IF(AND(H1448="",F1448="",D1448&lt;&gt;"",I1448&gt;=TODAY()),ROUND((I1448+IF(ISNUMBER(C1448),MOD(C1448,1),0))*1440,0)*10000+ROW(),"")</f>
        <v/>
      </c>
    </row>
    <row r="1449">
      <c r="A1449" s="1" t="n"/>
      <c r="B1449" s="17" t="n"/>
      <c r="C1449" s="18" t="n"/>
      <c r="D1449" s="19" t="n"/>
      <c r="E1449" s="20" t="n"/>
      <c r="F1449" s="20" t="n"/>
      <c r="G1449" s="21" t="n"/>
      <c r="H1449" s="12">
        <f>IF(AND(B1449="",D1449="",F1449=""),"",IF(NOT(ISNUMBER(B1449)),"Needs a date",IF(D1449="","Needs a client",IF(COUNTIF(Clients!$B$6:$B$105,D1449)=0,"Not on Clients",IF(AND(F1449="",INT(B1449)&lt;TODAY()),"Needs a status","")))))</f>
        <v/>
      </c>
      <c r="I1449" s="1">
        <f>IF(ISNUMBER(B1449),INT(B1449),0)</f>
        <v/>
      </c>
      <c r="J1449">
        <f>IF(ISNUMBER(B1449),YEAR(B1449)*100+MONTH(B1449),"")</f>
        <v/>
      </c>
      <c r="K1449">
        <f>IF(AND(H1449="",OR(F1449="Attended",F1449="No-show",AND(F1449="Late cancel",Settings!$C$9="Yes"))),1,0)</f>
        <v/>
      </c>
      <c r="L1449">
        <f>IF(AND(H1449="",F1449="Attended"),1,0)</f>
        <v/>
      </c>
      <c r="M1449">
        <f>IF(AND(H1449="",OR(F1449="No-show",F1449="Late cancel")),1,0)</f>
        <v/>
      </c>
      <c r="N1449">
        <f>IF(AND(H1449="",F1449="",D1449&lt;&gt;"",I1449&gt;=TODAY()),ROUND((I1449+IF(ISNUMBER(C1449),MOD(C1449,1),0))*1440,0)*10000+ROW(),"")</f>
        <v/>
      </c>
    </row>
    <row r="1450">
      <c r="A1450" s="1" t="n"/>
      <c r="B1450" s="17" t="n"/>
      <c r="C1450" s="18" t="n"/>
      <c r="D1450" s="19" t="n"/>
      <c r="E1450" s="20" t="n"/>
      <c r="F1450" s="20" t="n"/>
      <c r="G1450" s="21" t="n"/>
      <c r="H1450" s="12">
        <f>IF(AND(B1450="",D1450="",F1450=""),"",IF(NOT(ISNUMBER(B1450)),"Needs a date",IF(D1450="","Needs a client",IF(COUNTIF(Clients!$B$6:$B$105,D1450)=0,"Not on Clients",IF(AND(F1450="",INT(B1450)&lt;TODAY()),"Needs a status","")))))</f>
        <v/>
      </c>
      <c r="I1450" s="1">
        <f>IF(ISNUMBER(B1450),INT(B1450),0)</f>
        <v/>
      </c>
      <c r="J1450">
        <f>IF(ISNUMBER(B1450),YEAR(B1450)*100+MONTH(B1450),"")</f>
        <v/>
      </c>
      <c r="K1450">
        <f>IF(AND(H1450="",OR(F1450="Attended",F1450="No-show",AND(F1450="Late cancel",Settings!$C$9="Yes"))),1,0)</f>
        <v/>
      </c>
      <c r="L1450">
        <f>IF(AND(H1450="",F1450="Attended"),1,0)</f>
        <v/>
      </c>
      <c r="M1450">
        <f>IF(AND(H1450="",OR(F1450="No-show",F1450="Late cancel")),1,0)</f>
        <v/>
      </c>
      <c r="N1450">
        <f>IF(AND(H1450="",F1450="",D1450&lt;&gt;"",I1450&gt;=TODAY()),ROUND((I1450+IF(ISNUMBER(C1450),MOD(C1450,1),0))*1440,0)*10000+ROW(),"")</f>
        <v/>
      </c>
    </row>
    <row r="1451">
      <c r="A1451" s="1" t="n"/>
      <c r="B1451" s="17" t="n"/>
      <c r="C1451" s="18" t="n"/>
      <c r="D1451" s="19" t="n"/>
      <c r="E1451" s="20" t="n"/>
      <c r="F1451" s="20" t="n"/>
      <c r="G1451" s="21" t="n"/>
      <c r="H1451" s="12">
        <f>IF(AND(B1451="",D1451="",F1451=""),"",IF(NOT(ISNUMBER(B1451)),"Needs a date",IF(D1451="","Needs a client",IF(COUNTIF(Clients!$B$6:$B$105,D1451)=0,"Not on Clients",IF(AND(F1451="",INT(B1451)&lt;TODAY()),"Needs a status","")))))</f>
        <v/>
      </c>
      <c r="I1451" s="1">
        <f>IF(ISNUMBER(B1451),INT(B1451),0)</f>
        <v/>
      </c>
      <c r="J1451">
        <f>IF(ISNUMBER(B1451),YEAR(B1451)*100+MONTH(B1451),"")</f>
        <v/>
      </c>
      <c r="K1451">
        <f>IF(AND(H1451="",OR(F1451="Attended",F1451="No-show",AND(F1451="Late cancel",Settings!$C$9="Yes"))),1,0)</f>
        <v/>
      </c>
      <c r="L1451">
        <f>IF(AND(H1451="",F1451="Attended"),1,0)</f>
        <v/>
      </c>
      <c r="M1451">
        <f>IF(AND(H1451="",OR(F1451="No-show",F1451="Late cancel")),1,0)</f>
        <v/>
      </c>
      <c r="N1451">
        <f>IF(AND(H1451="",F1451="",D1451&lt;&gt;"",I1451&gt;=TODAY()),ROUND((I1451+IF(ISNUMBER(C1451),MOD(C1451,1),0))*1440,0)*10000+ROW(),"")</f>
        <v/>
      </c>
    </row>
    <row r="1452">
      <c r="A1452" s="1" t="n"/>
      <c r="B1452" s="17" t="n"/>
      <c r="C1452" s="18" t="n"/>
      <c r="D1452" s="19" t="n"/>
      <c r="E1452" s="20" t="n"/>
      <c r="F1452" s="20" t="n"/>
      <c r="G1452" s="21" t="n"/>
      <c r="H1452" s="12">
        <f>IF(AND(B1452="",D1452="",F1452=""),"",IF(NOT(ISNUMBER(B1452)),"Needs a date",IF(D1452="","Needs a client",IF(COUNTIF(Clients!$B$6:$B$105,D1452)=0,"Not on Clients",IF(AND(F1452="",INT(B1452)&lt;TODAY()),"Needs a status","")))))</f>
        <v/>
      </c>
      <c r="I1452" s="1">
        <f>IF(ISNUMBER(B1452),INT(B1452),0)</f>
        <v/>
      </c>
      <c r="J1452">
        <f>IF(ISNUMBER(B1452),YEAR(B1452)*100+MONTH(B1452),"")</f>
        <v/>
      </c>
      <c r="K1452">
        <f>IF(AND(H1452="",OR(F1452="Attended",F1452="No-show",AND(F1452="Late cancel",Settings!$C$9="Yes"))),1,0)</f>
        <v/>
      </c>
      <c r="L1452">
        <f>IF(AND(H1452="",F1452="Attended"),1,0)</f>
        <v/>
      </c>
      <c r="M1452">
        <f>IF(AND(H1452="",OR(F1452="No-show",F1452="Late cancel")),1,0)</f>
        <v/>
      </c>
      <c r="N1452">
        <f>IF(AND(H1452="",F1452="",D1452&lt;&gt;"",I1452&gt;=TODAY()),ROUND((I1452+IF(ISNUMBER(C1452),MOD(C1452,1),0))*1440,0)*10000+ROW(),"")</f>
        <v/>
      </c>
    </row>
    <row r="1453">
      <c r="A1453" s="1" t="n"/>
      <c r="B1453" s="17" t="n"/>
      <c r="C1453" s="18" t="n"/>
      <c r="D1453" s="19" t="n"/>
      <c r="E1453" s="20" t="n"/>
      <c r="F1453" s="20" t="n"/>
      <c r="G1453" s="21" t="n"/>
      <c r="H1453" s="12">
        <f>IF(AND(B1453="",D1453="",F1453=""),"",IF(NOT(ISNUMBER(B1453)),"Needs a date",IF(D1453="","Needs a client",IF(COUNTIF(Clients!$B$6:$B$105,D1453)=0,"Not on Clients",IF(AND(F1453="",INT(B1453)&lt;TODAY()),"Needs a status","")))))</f>
        <v/>
      </c>
      <c r="I1453" s="1">
        <f>IF(ISNUMBER(B1453),INT(B1453),0)</f>
        <v/>
      </c>
      <c r="J1453">
        <f>IF(ISNUMBER(B1453),YEAR(B1453)*100+MONTH(B1453),"")</f>
        <v/>
      </c>
      <c r="K1453">
        <f>IF(AND(H1453="",OR(F1453="Attended",F1453="No-show",AND(F1453="Late cancel",Settings!$C$9="Yes"))),1,0)</f>
        <v/>
      </c>
      <c r="L1453">
        <f>IF(AND(H1453="",F1453="Attended"),1,0)</f>
        <v/>
      </c>
      <c r="M1453">
        <f>IF(AND(H1453="",OR(F1453="No-show",F1453="Late cancel")),1,0)</f>
        <v/>
      </c>
      <c r="N1453">
        <f>IF(AND(H1453="",F1453="",D1453&lt;&gt;"",I1453&gt;=TODAY()),ROUND((I1453+IF(ISNUMBER(C1453),MOD(C1453,1),0))*1440,0)*10000+ROW(),"")</f>
        <v/>
      </c>
    </row>
    <row r="1454">
      <c r="A1454" s="1" t="n"/>
      <c r="B1454" s="17" t="n"/>
      <c r="C1454" s="18" t="n"/>
      <c r="D1454" s="19" t="n"/>
      <c r="E1454" s="20" t="n"/>
      <c r="F1454" s="20" t="n"/>
      <c r="G1454" s="21" t="n"/>
      <c r="H1454" s="12">
        <f>IF(AND(B1454="",D1454="",F1454=""),"",IF(NOT(ISNUMBER(B1454)),"Needs a date",IF(D1454="","Needs a client",IF(COUNTIF(Clients!$B$6:$B$105,D1454)=0,"Not on Clients",IF(AND(F1454="",INT(B1454)&lt;TODAY()),"Needs a status","")))))</f>
        <v/>
      </c>
      <c r="I1454" s="1">
        <f>IF(ISNUMBER(B1454),INT(B1454),0)</f>
        <v/>
      </c>
      <c r="J1454">
        <f>IF(ISNUMBER(B1454),YEAR(B1454)*100+MONTH(B1454),"")</f>
        <v/>
      </c>
      <c r="K1454">
        <f>IF(AND(H1454="",OR(F1454="Attended",F1454="No-show",AND(F1454="Late cancel",Settings!$C$9="Yes"))),1,0)</f>
        <v/>
      </c>
      <c r="L1454">
        <f>IF(AND(H1454="",F1454="Attended"),1,0)</f>
        <v/>
      </c>
      <c r="M1454">
        <f>IF(AND(H1454="",OR(F1454="No-show",F1454="Late cancel")),1,0)</f>
        <v/>
      </c>
      <c r="N1454">
        <f>IF(AND(H1454="",F1454="",D1454&lt;&gt;"",I1454&gt;=TODAY()),ROUND((I1454+IF(ISNUMBER(C1454),MOD(C1454,1),0))*1440,0)*10000+ROW(),"")</f>
        <v/>
      </c>
    </row>
    <row r="1455">
      <c r="A1455" s="1" t="n"/>
      <c r="B1455" s="17" t="n"/>
      <c r="C1455" s="18" t="n"/>
      <c r="D1455" s="19" t="n"/>
      <c r="E1455" s="20" t="n"/>
      <c r="F1455" s="20" t="n"/>
      <c r="G1455" s="21" t="n"/>
      <c r="H1455" s="12">
        <f>IF(AND(B1455="",D1455="",F1455=""),"",IF(NOT(ISNUMBER(B1455)),"Needs a date",IF(D1455="","Needs a client",IF(COUNTIF(Clients!$B$6:$B$105,D1455)=0,"Not on Clients",IF(AND(F1455="",INT(B1455)&lt;TODAY()),"Needs a status","")))))</f>
        <v/>
      </c>
      <c r="I1455" s="1">
        <f>IF(ISNUMBER(B1455),INT(B1455),0)</f>
        <v/>
      </c>
      <c r="J1455">
        <f>IF(ISNUMBER(B1455),YEAR(B1455)*100+MONTH(B1455),"")</f>
        <v/>
      </c>
      <c r="K1455">
        <f>IF(AND(H1455="",OR(F1455="Attended",F1455="No-show",AND(F1455="Late cancel",Settings!$C$9="Yes"))),1,0)</f>
        <v/>
      </c>
      <c r="L1455">
        <f>IF(AND(H1455="",F1455="Attended"),1,0)</f>
        <v/>
      </c>
      <c r="M1455">
        <f>IF(AND(H1455="",OR(F1455="No-show",F1455="Late cancel")),1,0)</f>
        <v/>
      </c>
      <c r="N1455">
        <f>IF(AND(H1455="",F1455="",D1455&lt;&gt;"",I1455&gt;=TODAY()),ROUND((I1455+IF(ISNUMBER(C1455),MOD(C1455,1),0))*1440,0)*10000+ROW(),"")</f>
        <v/>
      </c>
    </row>
    <row r="1456">
      <c r="A1456" s="1" t="n"/>
      <c r="B1456" s="17" t="n"/>
      <c r="C1456" s="18" t="n"/>
      <c r="D1456" s="19" t="n"/>
      <c r="E1456" s="20" t="n"/>
      <c r="F1456" s="20" t="n"/>
      <c r="G1456" s="21" t="n"/>
      <c r="H1456" s="12">
        <f>IF(AND(B1456="",D1456="",F1456=""),"",IF(NOT(ISNUMBER(B1456)),"Needs a date",IF(D1456="","Needs a client",IF(COUNTIF(Clients!$B$6:$B$105,D1456)=0,"Not on Clients",IF(AND(F1456="",INT(B1456)&lt;TODAY()),"Needs a status","")))))</f>
        <v/>
      </c>
      <c r="I1456" s="1">
        <f>IF(ISNUMBER(B1456),INT(B1456),0)</f>
        <v/>
      </c>
      <c r="J1456">
        <f>IF(ISNUMBER(B1456),YEAR(B1456)*100+MONTH(B1456),"")</f>
        <v/>
      </c>
      <c r="K1456">
        <f>IF(AND(H1456="",OR(F1456="Attended",F1456="No-show",AND(F1456="Late cancel",Settings!$C$9="Yes"))),1,0)</f>
        <v/>
      </c>
      <c r="L1456">
        <f>IF(AND(H1456="",F1456="Attended"),1,0)</f>
        <v/>
      </c>
      <c r="M1456">
        <f>IF(AND(H1456="",OR(F1456="No-show",F1456="Late cancel")),1,0)</f>
        <v/>
      </c>
      <c r="N1456">
        <f>IF(AND(H1456="",F1456="",D1456&lt;&gt;"",I1456&gt;=TODAY()),ROUND((I1456+IF(ISNUMBER(C1456),MOD(C1456,1),0))*1440,0)*10000+ROW(),"")</f>
        <v/>
      </c>
    </row>
    <row r="1457">
      <c r="A1457" s="1" t="n"/>
      <c r="B1457" s="17" t="n"/>
      <c r="C1457" s="18" t="n"/>
      <c r="D1457" s="19" t="n"/>
      <c r="E1457" s="20" t="n"/>
      <c r="F1457" s="20" t="n"/>
      <c r="G1457" s="21" t="n"/>
      <c r="H1457" s="12">
        <f>IF(AND(B1457="",D1457="",F1457=""),"",IF(NOT(ISNUMBER(B1457)),"Needs a date",IF(D1457="","Needs a client",IF(COUNTIF(Clients!$B$6:$B$105,D1457)=0,"Not on Clients",IF(AND(F1457="",INT(B1457)&lt;TODAY()),"Needs a status","")))))</f>
        <v/>
      </c>
      <c r="I1457" s="1">
        <f>IF(ISNUMBER(B1457),INT(B1457),0)</f>
        <v/>
      </c>
      <c r="J1457">
        <f>IF(ISNUMBER(B1457),YEAR(B1457)*100+MONTH(B1457),"")</f>
        <v/>
      </c>
      <c r="K1457">
        <f>IF(AND(H1457="",OR(F1457="Attended",F1457="No-show",AND(F1457="Late cancel",Settings!$C$9="Yes"))),1,0)</f>
        <v/>
      </c>
      <c r="L1457">
        <f>IF(AND(H1457="",F1457="Attended"),1,0)</f>
        <v/>
      </c>
      <c r="M1457">
        <f>IF(AND(H1457="",OR(F1457="No-show",F1457="Late cancel")),1,0)</f>
        <v/>
      </c>
      <c r="N1457">
        <f>IF(AND(H1457="",F1457="",D1457&lt;&gt;"",I1457&gt;=TODAY()),ROUND((I1457+IF(ISNUMBER(C1457),MOD(C1457,1),0))*1440,0)*10000+ROW(),"")</f>
        <v/>
      </c>
    </row>
    <row r="1458">
      <c r="A1458" s="1" t="n"/>
      <c r="B1458" s="17" t="n"/>
      <c r="C1458" s="18" t="n"/>
      <c r="D1458" s="19" t="n"/>
      <c r="E1458" s="20" t="n"/>
      <c r="F1458" s="20" t="n"/>
      <c r="G1458" s="21" t="n"/>
      <c r="H1458" s="12">
        <f>IF(AND(B1458="",D1458="",F1458=""),"",IF(NOT(ISNUMBER(B1458)),"Needs a date",IF(D1458="","Needs a client",IF(COUNTIF(Clients!$B$6:$B$105,D1458)=0,"Not on Clients",IF(AND(F1458="",INT(B1458)&lt;TODAY()),"Needs a status","")))))</f>
        <v/>
      </c>
      <c r="I1458" s="1">
        <f>IF(ISNUMBER(B1458),INT(B1458),0)</f>
        <v/>
      </c>
      <c r="J1458">
        <f>IF(ISNUMBER(B1458),YEAR(B1458)*100+MONTH(B1458),"")</f>
        <v/>
      </c>
      <c r="K1458">
        <f>IF(AND(H1458="",OR(F1458="Attended",F1458="No-show",AND(F1458="Late cancel",Settings!$C$9="Yes"))),1,0)</f>
        <v/>
      </c>
      <c r="L1458">
        <f>IF(AND(H1458="",F1458="Attended"),1,0)</f>
        <v/>
      </c>
      <c r="M1458">
        <f>IF(AND(H1458="",OR(F1458="No-show",F1458="Late cancel")),1,0)</f>
        <v/>
      </c>
      <c r="N1458">
        <f>IF(AND(H1458="",F1458="",D1458&lt;&gt;"",I1458&gt;=TODAY()),ROUND((I1458+IF(ISNUMBER(C1458),MOD(C1458,1),0))*1440,0)*10000+ROW(),"")</f>
        <v/>
      </c>
    </row>
    <row r="1459">
      <c r="A1459" s="1" t="n"/>
      <c r="B1459" s="17" t="n"/>
      <c r="C1459" s="18" t="n"/>
      <c r="D1459" s="19" t="n"/>
      <c r="E1459" s="20" t="n"/>
      <c r="F1459" s="20" t="n"/>
      <c r="G1459" s="21" t="n"/>
      <c r="H1459" s="12">
        <f>IF(AND(B1459="",D1459="",F1459=""),"",IF(NOT(ISNUMBER(B1459)),"Needs a date",IF(D1459="","Needs a client",IF(COUNTIF(Clients!$B$6:$B$105,D1459)=0,"Not on Clients",IF(AND(F1459="",INT(B1459)&lt;TODAY()),"Needs a status","")))))</f>
        <v/>
      </c>
      <c r="I1459" s="1">
        <f>IF(ISNUMBER(B1459),INT(B1459),0)</f>
        <v/>
      </c>
      <c r="J1459">
        <f>IF(ISNUMBER(B1459),YEAR(B1459)*100+MONTH(B1459),"")</f>
        <v/>
      </c>
      <c r="K1459">
        <f>IF(AND(H1459="",OR(F1459="Attended",F1459="No-show",AND(F1459="Late cancel",Settings!$C$9="Yes"))),1,0)</f>
        <v/>
      </c>
      <c r="L1459">
        <f>IF(AND(H1459="",F1459="Attended"),1,0)</f>
        <v/>
      </c>
      <c r="M1459">
        <f>IF(AND(H1459="",OR(F1459="No-show",F1459="Late cancel")),1,0)</f>
        <v/>
      </c>
      <c r="N1459">
        <f>IF(AND(H1459="",F1459="",D1459&lt;&gt;"",I1459&gt;=TODAY()),ROUND((I1459+IF(ISNUMBER(C1459),MOD(C1459,1),0))*1440,0)*10000+ROW(),"")</f>
        <v/>
      </c>
    </row>
    <row r="1460">
      <c r="A1460" s="1" t="n"/>
      <c r="B1460" s="17" t="n"/>
      <c r="C1460" s="18" t="n"/>
      <c r="D1460" s="19" t="n"/>
      <c r="E1460" s="20" t="n"/>
      <c r="F1460" s="20" t="n"/>
      <c r="G1460" s="21" t="n"/>
      <c r="H1460" s="12">
        <f>IF(AND(B1460="",D1460="",F1460=""),"",IF(NOT(ISNUMBER(B1460)),"Needs a date",IF(D1460="","Needs a client",IF(COUNTIF(Clients!$B$6:$B$105,D1460)=0,"Not on Clients",IF(AND(F1460="",INT(B1460)&lt;TODAY()),"Needs a status","")))))</f>
        <v/>
      </c>
      <c r="I1460" s="1">
        <f>IF(ISNUMBER(B1460),INT(B1460),0)</f>
        <v/>
      </c>
      <c r="J1460">
        <f>IF(ISNUMBER(B1460),YEAR(B1460)*100+MONTH(B1460),"")</f>
        <v/>
      </c>
      <c r="K1460">
        <f>IF(AND(H1460="",OR(F1460="Attended",F1460="No-show",AND(F1460="Late cancel",Settings!$C$9="Yes"))),1,0)</f>
        <v/>
      </c>
      <c r="L1460">
        <f>IF(AND(H1460="",F1460="Attended"),1,0)</f>
        <v/>
      </c>
      <c r="M1460">
        <f>IF(AND(H1460="",OR(F1460="No-show",F1460="Late cancel")),1,0)</f>
        <v/>
      </c>
      <c r="N1460">
        <f>IF(AND(H1460="",F1460="",D1460&lt;&gt;"",I1460&gt;=TODAY()),ROUND((I1460+IF(ISNUMBER(C1460),MOD(C1460,1),0))*1440,0)*10000+ROW(),"")</f>
        <v/>
      </c>
    </row>
    <row r="1461">
      <c r="A1461" s="1" t="n"/>
      <c r="B1461" s="17" t="n"/>
      <c r="C1461" s="18" t="n"/>
      <c r="D1461" s="19" t="n"/>
      <c r="E1461" s="20" t="n"/>
      <c r="F1461" s="20" t="n"/>
      <c r="G1461" s="21" t="n"/>
      <c r="H1461" s="12">
        <f>IF(AND(B1461="",D1461="",F1461=""),"",IF(NOT(ISNUMBER(B1461)),"Needs a date",IF(D1461="","Needs a client",IF(COUNTIF(Clients!$B$6:$B$105,D1461)=0,"Not on Clients",IF(AND(F1461="",INT(B1461)&lt;TODAY()),"Needs a status","")))))</f>
        <v/>
      </c>
      <c r="I1461" s="1">
        <f>IF(ISNUMBER(B1461),INT(B1461),0)</f>
        <v/>
      </c>
      <c r="J1461">
        <f>IF(ISNUMBER(B1461),YEAR(B1461)*100+MONTH(B1461),"")</f>
        <v/>
      </c>
      <c r="K1461">
        <f>IF(AND(H1461="",OR(F1461="Attended",F1461="No-show",AND(F1461="Late cancel",Settings!$C$9="Yes"))),1,0)</f>
        <v/>
      </c>
      <c r="L1461">
        <f>IF(AND(H1461="",F1461="Attended"),1,0)</f>
        <v/>
      </c>
      <c r="M1461">
        <f>IF(AND(H1461="",OR(F1461="No-show",F1461="Late cancel")),1,0)</f>
        <v/>
      </c>
      <c r="N1461">
        <f>IF(AND(H1461="",F1461="",D1461&lt;&gt;"",I1461&gt;=TODAY()),ROUND((I1461+IF(ISNUMBER(C1461),MOD(C1461,1),0))*1440,0)*10000+ROW(),"")</f>
        <v/>
      </c>
    </row>
    <row r="1462">
      <c r="A1462" s="1" t="n"/>
      <c r="B1462" s="17" t="n"/>
      <c r="C1462" s="18" t="n"/>
      <c r="D1462" s="19" t="n"/>
      <c r="E1462" s="20" t="n"/>
      <c r="F1462" s="20" t="n"/>
      <c r="G1462" s="21" t="n"/>
      <c r="H1462" s="12">
        <f>IF(AND(B1462="",D1462="",F1462=""),"",IF(NOT(ISNUMBER(B1462)),"Needs a date",IF(D1462="","Needs a client",IF(COUNTIF(Clients!$B$6:$B$105,D1462)=0,"Not on Clients",IF(AND(F1462="",INT(B1462)&lt;TODAY()),"Needs a status","")))))</f>
        <v/>
      </c>
      <c r="I1462" s="1">
        <f>IF(ISNUMBER(B1462),INT(B1462),0)</f>
        <v/>
      </c>
      <c r="J1462">
        <f>IF(ISNUMBER(B1462),YEAR(B1462)*100+MONTH(B1462),"")</f>
        <v/>
      </c>
      <c r="K1462">
        <f>IF(AND(H1462="",OR(F1462="Attended",F1462="No-show",AND(F1462="Late cancel",Settings!$C$9="Yes"))),1,0)</f>
        <v/>
      </c>
      <c r="L1462">
        <f>IF(AND(H1462="",F1462="Attended"),1,0)</f>
        <v/>
      </c>
      <c r="M1462">
        <f>IF(AND(H1462="",OR(F1462="No-show",F1462="Late cancel")),1,0)</f>
        <v/>
      </c>
      <c r="N1462">
        <f>IF(AND(H1462="",F1462="",D1462&lt;&gt;"",I1462&gt;=TODAY()),ROUND((I1462+IF(ISNUMBER(C1462),MOD(C1462,1),0))*1440,0)*10000+ROW(),"")</f>
        <v/>
      </c>
    </row>
    <row r="1463">
      <c r="A1463" s="1" t="n"/>
      <c r="B1463" s="17" t="n"/>
      <c r="C1463" s="18" t="n"/>
      <c r="D1463" s="19" t="n"/>
      <c r="E1463" s="20" t="n"/>
      <c r="F1463" s="20" t="n"/>
      <c r="G1463" s="21" t="n"/>
      <c r="H1463" s="12">
        <f>IF(AND(B1463="",D1463="",F1463=""),"",IF(NOT(ISNUMBER(B1463)),"Needs a date",IF(D1463="","Needs a client",IF(COUNTIF(Clients!$B$6:$B$105,D1463)=0,"Not on Clients",IF(AND(F1463="",INT(B1463)&lt;TODAY()),"Needs a status","")))))</f>
        <v/>
      </c>
      <c r="I1463" s="1">
        <f>IF(ISNUMBER(B1463),INT(B1463),0)</f>
        <v/>
      </c>
      <c r="J1463">
        <f>IF(ISNUMBER(B1463),YEAR(B1463)*100+MONTH(B1463),"")</f>
        <v/>
      </c>
      <c r="K1463">
        <f>IF(AND(H1463="",OR(F1463="Attended",F1463="No-show",AND(F1463="Late cancel",Settings!$C$9="Yes"))),1,0)</f>
        <v/>
      </c>
      <c r="L1463">
        <f>IF(AND(H1463="",F1463="Attended"),1,0)</f>
        <v/>
      </c>
      <c r="M1463">
        <f>IF(AND(H1463="",OR(F1463="No-show",F1463="Late cancel")),1,0)</f>
        <v/>
      </c>
      <c r="N1463">
        <f>IF(AND(H1463="",F1463="",D1463&lt;&gt;"",I1463&gt;=TODAY()),ROUND((I1463+IF(ISNUMBER(C1463),MOD(C1463,1),0))*1440,0)*10000+ROW(),"")</f>
        <v/>
      </c>
    </row>
    <row r="1464">
      <c r="A1464" s="1" t="n"/>
      <c r="B1464" s="17" t="n"/>
      <c r="C1464" s="18" t="n"/>
      <c r="D1464" s="19" t="n"/>
      <c r="E1464" s="20" t="n"/>
      <c r="F1464" s="20" t="n"/>
      <c r="G1464" s="21" t="n"/>
      <c r="H1464" s="12">
        <f>IF(AND(B1464="",D1464="",F1464=""),"",IF(NOT(ISNUMBER(B1464)),"Needs a date",IF(D1464="","Needs a client",IF(COUNTIF(Clients!$B$6:$B$105,D1464)=0,"Not on Clients",IF(AND(F1464="",INT(B1464)&lt;TODAY()),"Needs a status","")))))</f>
        <v/>
      </c>
      <c r="I1464" s="1">
        <f>IF(ISNUMBER(B1464),INT(B1464),0)</f>
        <v/>
      </c>
      <c r="J1464">
        <f>IF(ISNUMBER(B1464),YEAR(B1464)*100+MONTH(B1464),"")</f>
        <v/>
      </c>
      <c r="K1464">
        <f>IF(AND(H1464="",OR(F1464="Attended",F1464="No-show",AND(F1464="Late cancel",Settings!$C$9="Yes"))),1,0)</f>
        <v/>
      </c>
      <c r="L1464">
        <f>IF(AND(H1464="",F1464="Attended"),1,0)</f>
        <v/>
      </c>
      <c r="M1464">
        <f>IF(AND(H1464="",OR(F1464="No-show",F1464="Late cancel")),1,0)</f>
        <v/>
      </c>
      <c r="N1464">
        <f>IF(AND(H1464="",F1464="",D1464&lt;&gt;"",I1464&gt;=TODAY()),ROUND((I1464+IF(ISNUMBER(C1464),MOD(C1464,1),0))*1440,0)*10000+ROW(),"")</f>
        <v/>
      </c>
    </row>
    <row r="1465">
      <c r="A1465" s="1" t="n"/>
      <c r="B1465" s="17" t="n"/>
      <c r="C1465" s="18" t="n"/>
      <c r="D1465" s="19" t="n"/>
      <c r="E1465" s="20" t="n"/>
      <c r="F1465" s="20" t="n"/>
      <c r="G1465" s="21" t="n"/>
      <c r="H1465" s="12">
        <f>IF(AND(B1465="",D1465="",F1465=""),"",IF(NOT(ISNUMBER(B1465)),"Needs a date",IF(D1465="","Needs a client",IF(COUNTIF(Clients!$B$6:$B$105,D1465)=0,"Not on Clients",IF(AND(F1465="",INT(B1465)&lt;TODAY()),"Needs a status","")))))</f>
        <v/>
      </c>
      <c r="I1465" s="1">
        <f>IF(ISNUMBER(B1465),INT(B1465),0)</f>
        <v/>
      </c>
      <c r="J1465">
        <f>IF(ISNUMBER(B1465),YEAR(B1465)*100+MONTH(B1465),"")</f>
        <v/>
      </c>
      <c r="K1465">
        <f>IF(AND(H1465="",OR(F1465="Attended",F1465="No-show",AND(F1465="Late cancel",Settings!$C$9="Yes"))),1,0)</f>
        <v/>
      </c>
      <c r="L1465">
        <f>IF(AND(H1465="",F1465="Attended"),1,0)</f>
        <v/>
      </c>
      <c r="M1465">
        <f>IF(AND(H1465="",OR(F1465="No-show",F1465="Late cancel")),1,0)</f>
        <v/>
      </c>
      <c r="N1465">
        <f>IF(AND(H1465="",F1465="",D1465&lt;&gt;"",I1465&gt;=TODAY()),ROUND((I1465+IF(ISNUMBER(C1465),MOD(C1465,1),0))*1440,0)*10000+ROW(),"")</f>
        <v/>
      </c>
    </row>
    <row r="1466">
      <c r="A1466" s="1" t="n"/>
      <c r="B1466" s="17" t="n"/>
      <c r="C1466" s="18" t="n"/>
      <c r="D1466" s="19" t="n"/>
      <c r="E1466" s="20" t="n"/>
      <c r="F1466" s="20" t="n"/>
      <c r="G1466" s="21" t="n"/>
      <c r="H1466" s="12">
        <f>IF(AND(B1466="",D1466="",F1466=""),"",IF(NOT(ISNUMBER(B1466)),"Needs a date",IF(D1466="","Needs a client",IF(COUNTIF(Clients!$B$6:$B$105,D1466)=0,"Not on Clients",IF(AND(F1466="",INT(B1466)&lt;TODAY()),"Needs a status","")))))</f>
        <v/>
      </c>
      <c r="I1466" s="1">
        <f>IF(ISNUMBER(B1466),INT(B1466),0)</f>
        <v/>
      </c>
      <c r="J1466">
        <f>IF(ISNUMBER(B1466),YEAR(B1466)*100+MONTH(B1466),"")</f>
        <v/>
      </c>
      <c r="K1466">
        <f>IF(AND(H1466="",OR(F1466="Attended",F1466="No-show",AND(F1466="Late cancel",Settings!$C$9="Yes"))),1,0)</f>
        <v/>
      </c>
      <c r="L1466">
        <f>IF(AND(H1466="",F1466="Attended"),1,0)</f>
        <v/>
      </c>
      <c r="M1466">
        <f>IF(AND(H1466="",OR(F1466="No-show",F1466="Late cancel")),1,0)</f>
        <v/>
      </c>
      <c r="N1466">
        <f>IF(AND(H1466="",F1466="",D1466&lt;&gt;"",I1466&gt;=TODAY()),ROUND((I1466+IF(ISNUMBER(C1466),MOD(C1466,1),0))*1440,0)*10000+ROW(),"")</f>
        <v/>
      </c>
    </row>
    <row r="1467">
      <c r="A1467" s="1" t="n"/>
      <c r="B1467" s="17" t="n"/>
      <c r="C1467" s="18" t="n"/>
      <c r="D1467" s="19" t="n"/>
      <c r="E1467" s="20" t="n"/>
      <c r="F1467" s="20" t="n"/>
      <c r="G1467" s="21" t="n"/>
      <c r="H1467" s="12">
        <f>IF(AND(B1467="",D1467="",F1467=""),"",IF(NOT(ISNUMBER(B1467)),"Needs a date",IF(D1467="","Needs a client",IF(COUNTIF(Clients!$B$6:$B$105,D1467)=0,"Not on Clients",IF(AND(F1467="",INT(B1467)&lt;TODAY()),"Needs a status","")))))</f>
        <v/>
      </c>
      <c r="I1467" s="1">
        <f>IF(ISNUMBER(B1467),INT(B1467),0)</f>
        <v/>
      </c>
      <c r="J1467">
        <f>IF(ISNUMBER(B1467),YEAR(B1467)*100+MONTH(B1467),"")</f>
        <v/>
      </c>
      <c r="K1467">
        <f>IF(AND(H1467="",OR(F1467="Attended",F1467="No-show",AND(F1467="Late cancel",Settings!$C$9="Yes"))),1,0)</f>
        <v/>
      </c>
      <c r="L1467">
        <f>IF(AND(H1467="",F1467="Attended"),1,0)</f>
        <v/>
      </c>
      <c r="M1467">
        <f>IF(AND(H1467="",OR(F1467="No-show",F1467="Late cancel")),1,0)</f>
        <v/>
      </c>
      <c r="N1467">
        <f>IF(AND(H1467="",F1467="",D1467&lt;&gt;"",I1467&gt;=TODAY()),ROUND((I1467+IF(ISNUMBER(C1467),MOD(C1467,1),0))*1440,0)*10000+ROW(),"")</f>
        <v/>
      </c>
    </row>
    <row r="1468">
      <c r="A1468" s="1" t="n"/>
      <c r="B1468" s="17" t="n"/>
      <c r="C1468" s="18" t="n"/>
      <c r="D1468" s="19" t="n"/>
      <c r="E1468" s="20" t="n"/>
      <c r="F1468" s="20" t="n"/>
      <c r="G1468" s="21" t="n"/>
      <c r="H1468" s="12">
        <f>IF(AND(B1468="",D1468="",F1468=""),"",IF(NOT(ISNUMBER(B1468)),"Needs a date",IF(D1468="","Needs a client",IF(COUNTIF(Clients!$B$6:$B$105,D1468)=0,"Not on Clients",IF(AND(F1468="",INT(B1468)&lt;TODAY()),"Needs a status","")))))</f>
        <v/>
      </c>
      <c r="I1468" s="1">
        <f>IF(ISNUMBER(B1468),INT(B1468),0)</f>
        <v/>
      </c>
      <c r="J1468">
        <f>IF(ISNUMBER(B1468),YEAR(B1468)*100+MONTH(B1468),"")</f>
        <v/>
      </c>
      <c r="K1468">
        <f>IF(AND(H1468="",OR(F1468="Attended",F1468="No-show",AND(F1468="Late cancel",Settings!$C$9="Yes"))),1,0)</f>
        <v/>
      </c>
      <c r="L1468">
        <f>IF(AND(H1468="",F1468="Attended"),1,0)</f>
        <v/>
      </c>
      <c r="M1468">
        <f>IF(AND(H1468="",OR(F1468="No-show",F1468="Late cancel")),1,0)</f>
        <v/>
      </c>
      <c r="N1468">
        <f>IF(AND(H1468="",F1468="",D1468&lt;&gt;"",I1468&gt;=TODAY()),ROUND((I1468+IF(ISNUMBER(C1468),MOD(C1468,1),0))*1440,0)*10000+ROW(),"")</f>
        <v/>
      </c>
    </row>
    <row r="1469">
      <c r="A1469" s="1" t="n"/>
      <c r="B1469" s="17" t="n"/>
      <c r="C1469" s="18" t="n"/>
      <c r="D1469" s="19" t="n"/>
      <c r="E1469" s="20" t="n"/>
      <c r="F1469" s="20" t="n"/>
      <c r="G1469" s="21" t="n"/>
      <c r="H1469" s="12">
        <f>IF(AND(B1469="",D1469="",F1469=""),"",IF(NOT(ISNUMBER(B1469)),"Needs a date",IF(D1469="","Needs a client",IF(COUNTIF(Clients!$B$6:$B$105,D1469)=0,"Not on Clients",IF(AND(F1469="",INT(B1469)&lt;TODAY()),"Needs a status","")))))</f>
        <v/>
      </c>
      <c r="I1469" s="1">
        <f>IF(ISNUMBER(B1469),INT(B1469),0)</f>
        <v/>
      </c>
      <c r="J1469">
        <f>IF(ISNUMBER(B1469),YEAR(B1469)*100+MONTH(B1469),"")</f>
        <v/>
      </c>
      <c r="K1469">
        <f>IF(AND(H1469="",OR(F1469="Attended",F1469="No-show",AND(F1469="Late cancel",Settings!$C$9="Yes"))),1,0)</f>
        <v/>
      </c>
      <c r="L1469">
        <f>IF(AND(H1469="",F1469="Attended"),1,0)</f>
        <v/>
      </c>
      <c r="M1469">
        <f>IF(AND(H1469="",OR(F1469="No-show",F1469="Late cancel")),1,0)</f>
        <v/>
      </c>
      <c r="N1469">
        <f>IF(AND(H1469="",F1469="",D1469&lt;&gt;"",I1469&gt;=TODAY()),ROUND((I1469+IF(ISNUMBER(C1469),MOD(C1469,1),0))*1440,0)*10000+ROW(),"")</f>
        <v/>
      </c>
    </row>
    <row r="1470">
      <c r="A1470" s="1" t="n"/>
      <c r="B1470" s="17" t="n"/>
      <c r="C1470" s="18" t="n"/>
      <c r="D1470" s="19" t="n"/>
      <c r="E1470" s="20" t="n"/>
      <c r="F1470" s="20" t="n"/>
      <c r="G1470" s="21" t="n"/>
      <c r="H1470" s="12">
        <f>IF(AND(B1470="",D1470="",F1470=""),"",IF(NOT(ISNUMBER(B1470)),"Needs a date",IF(D1470="","Needs a client",IF(COUNTIF(Clients!$B$6:$B$105,D1470)=0,"Not on Clients",IF(AND(F1470="",INT(B1470)&lt;TODAY()),"Needs a status","")))))</f>
        <v/>
      </c>
      <c r="I1470" s="1">
        <f>IF(ISNUMBER(B1470),INT(B1470),0)</f>
        <v/>
      </c>
      <c r="J1470">
        <f>IF(ISNUMBER(B1470),YEAR(B1470)*100+MONTH(B1470),"")</f>
        <v/>
      </c>
      <c r="K1470">
        <f>IF(AND(H1470="",OR(F1470="Attended",F1470="No-show",AND(F1470="Late cancel",Settings!$C$9="Yes"))),1,0)</f>
        <v/>
      </c>
      <c r="L1470">
        <f>IF(AND(H1470="",F1470="Attended"),1,0)</f>
        <v/>
      </c>
      <c r="M1470">
        <f>IF(AND(H1470="",OR(F1470="No-show",F1470="Late cancel")),1,0)</f>
        <v/>
      </c>
      <c r="N1470">
        <f>IF(AND(H1470="",F1470="",D1470&lt;&gt;"",I1470&gt;=TODAY()),ROUND((I1470+IF(ISNUMBER(C1470),MOD(C1470,1),0))*1440,0)*10000+ROW(),"")</f>
        <v/>
      </c>
    </row>
    <row r="1471">
      <c r="A1471" s="1" t="n"/>
      <c r="B1471" s="17" t="n"/>
      <c r="C1471" s="18" t="n"/>
      <c r="D1471" s="19" t="n"/>
      <c r="E1471" s="20" t="n"/>
      <c r="F1471" s="20" t="n"/>
      <c r="G1471" s="21" t="n"/>
      <c r="H1471" s="12">
        <f>IF(AND(B1471="",D1471="",F1471=""),"",IF(NOT(ISNUMBER(B1471)),"Needs a date",IF(D1471="","Needs a client",IF(COUNTIF(Clients!$B$6:$B$105,D1471)=0,"Not on Clients",IF(AND(F1471="",INT(B1471)&lt;TODAY()),"Needs a status","")))))</f>
        <v/>
      </c>
      <c r="I1471" s="1">
        <f>IF(ISNUMBER(B1471),INT(B1471),0)</f>
        <v/>
      </c>
      <c r="J1471">
        <f>IF(ISNUMBER(B1471),YEAR(B1471)*100+MONTH(B1471),"")</f>
        <v/>
      </c>
      <c r="K1471">
        <f>IF(AND(H1471="",OR(F1471="Attended",F1471="No-show",AND(F1471="Late cancel",Settings!$C$9="Yes"))),1,0)</f>
        <v/>
      </c>
      <c r="L1471">
        <f>IF(AND(H1471="",F1471="Attended"),1,0)</f>
        <v/>
      </c>
      <c r="M1471">
        <f>IF(AND(H1471="",OR(F1471="No-show",F1471="Late cancel")),1,0)</f>
        <v/>
      </c>
      <c r="N1471">
        <f>IF(AND(H1471="",F1471="",D1471&lt;&gt;"",I1471&gt;=TODAY()),ROUND((I1471+IF(ISNUMBER(C1471),MOD(C1471,1),0))*1440,0)*10000+ROW(),"")</f>
        <v/>
      </c>
    </row>
    <row r="1472">
      <c r="A1472" s="1" t="n"/>
      <c r="B1472" s="17" t="n"/>
      <c r="C1472" s="18" t="n"/>
      <c r="D1472" s="19" t="n"/>
      <c r="E1472" s="20" t="n"/>
      <c r="F1472" s="20" t="n"/>
      <c r="G1472" s="21" t="n"/>
      <c r="H1472" s="12">
        <f>IF(AND(B1472="",D1472="",F1472=""),"",IF(NOT(ISNUMBER(B1472)),"Needs a date",IF(D1472="","Needs a client",IF(COUNTIF(Clients!$B$6:$B$105,D1472)=0,"Not on Clients",IF(AND(F1472="",INT(B1472)&lt;TODAY()),"Needs a status","")))))</f>
        <v/>
      </c>
      <c r="I1472" s="1">
        <f>IF(ISNUMBER(B1472),INT(B1472),0)</f>
        <v/>
      </c>
      <c r="J1472">
        <f>IF(ISNUMBER(B1472),YEAR(B1472)*100+MONTH(B1472),"")</f>
        <v/>
      </c>
      <c r="K1472">
        <f>IF(AND(H1472="",OR(F1472="Attended",F1472="No-show",AND(F1472="Late cancel",Settings!$C$9="Yes"))),1,0)</f>
        <v/>
      </c>
      <c r="L1472">
        <f>IF(AND(H1472="",F1472="Attended"),1,0)</f>
        <v/>
      </c>
      <c r="M1472">
        <f>IF(AND(H1472="",OR(F1472="No-show",F1472="Late cancel")),1,0)</f>
        <v/>
      </c>
      <c r="N1472">
        <f>IF(AND(H1472="",F1472="",D1472&lt;&gt;"",I1472&gt;=TODAY()),ROUND((I1472+IF(ISNUMBER(C1472),MOD(C1472,1),0))*1440,0)*10000+ROW(),"")</f>
        <v/>
      </c>
    </row>
    <row r="1473">
      <c r="A1473" s="1" t="n"/>
      <c r="B1473" s="17" t="n"/>
      <c r="C1473" s="18" t="n"/>
      <c r="D1473" s="19" t="n"/>
      <c r="E1473" s="20" t="n"/>
      <c r="F1473" s="20" t="n"/>
      <c r="G1473" s="21" t="n"/>
      <c r="H1473" s="12">
        <f>IF(AND(B1473="",D1473="",F1473=""),"",IF(NOT(ISNUMBER(B1473)),"Needs a date",IF(D1473="","Needs a client",IF(COUNTIF(Clients!$B$6:$B$105,D1473)=0,"Not on Clients",IF(AND(F1473="",INT(B1473)&lt;TODAY()),"Needs a status","")))))</f>
        <v/>
      </c>
      <c r="I1473" s="1">
        <f>IF(ISNUMBER(B1473),INT(B1473),0)</f>
        <v/>
      </c>
      <c r="J1473">
        <f>IF(ISNUMBER(B1473),YEAR(B1473)*100+MONTH(B1473),"")</f>
        <v/>
      </c>
      <c r="K1473">
        <f>IF(AND(H1473="",OR(F1473="Attended",F1473="No-show",AND(F1473="Late cancel",Settings!$C$9="Yes"))),1,0)</f>
        <v/>
      </c>
      <c r="L1473">
        <f>IF(AND(H1473="",F1473="Attended"),1,0)</f>
        <v/>
      </c>
      <c r="M1473">
        <f>IF(AND(H1473="",OR(F1473="No-show",F1473="Late cancel")),1,0)</f>
        <v/>
      </c>
      <c r="N1473">
        <f>IF(AND(H1473="",F1473="",D1473&lt;&gt;"",I1473&gt;=TODAY()),ROUND((I1473+IF(ISNUMBER(C1473),MOD(C1473,1),0))*1440,0)*10000+ROW(),"")</f>
        <v/>
      </c>
    </row>
    <row r="1474">
      <c r="A1474" s="1" t="n"/>
      <c r="B1474" s="17" t="n"/>
      <c r="C1474" s="18" t="n"/>
      <c r="D1474" s="19" t="n"/>
      <c r="E1474" s="20" t="n"/>
      <c r="F1474" s="20" t="n"/>
      <c r="G1474" s="21" t="n"/>
      <c r="H1474" s="12">
        <f>IF(AND(B1474="",D1474="",F1474=""),"",IF(NOT(ISNUMBER(B1474)),"Needs a date",IF(D1474="","Needs a client",IF(COUNTIF(Clients!$B$6:$B$105,D1474)=0,"Not on Clients",IF(AND(F1474="",INT(B1474)&lt;TODAY()),"Needs a status","")))))</f>
        <v/>
      </c>
      <c r="I1474" s="1">
        <f>IF(ISNUMBER(B1474),INT(B1474),0)</f>
        <v/>
      </c>
      <c r="J1474">
        <f>IF(ISNUMBER(B1474),YEAR(B1474)*100+MONTH(B1474),"")</f>
        <v/>
      </c>
      <c r="K1474">
        <f>IF(AND(H1474="",OR(F1474="Attended",F1474="No-show",AND(F1474="Late cancel",Settings!$C$9="Yes"))),1,0)</f>
        <v/>
      </c>
      <c r="L1474">
        <f>IF(AND(H1474="",F1474="Attended"),1,0)</f>
        <v/>
      </c>
      <c r="M1474">
        <f>IF(AND(H1474="",OR(F1474="No-show",F1474="Late cancel")),1,0)</f>
        <v/>
      </c>
      <c r="N1474">
        <f>IF(AND(H1474="",F1474="",D1474&lt;&gt;"",I1474&gt;=TODAY()),ROUND((I1474+IF(ISNUMBER(C1474),MOD(C1474,1),0))*1440,0)*10000+ROW(),"")</f>
        <v/>
      </c>
    </row>
    <row r="1475">
      <c r="A1475" s="1" t="n"/>
      <c r="B1475" s="17" t="n"/>
      <c r="C1475" s="18" t="n"/>
      <c r="D1475" s="19" t="n"/>
      <c r="E1475" s="20" t="n"/>
      <c r="F1475" s="20" t="n"/>
      <c r="G1475" s="21" t="n"/>
      <c r="H1475" s="12">
        <f>IF(AND(B1475="",D1475="",F1475=""),"",IF(NOT(ISNUMBER(B1475)),"Needs a date",IF(D1475="","Needs a client",IF(COUNTIF(Clients!$B$6:$B$105,D1475)=0,"Not on Clients",IF(AND(F1475="",INT(B1475)&lt;TODAY()),"Needs a status","")))))</f>
        <v/>
      </c>
      <c r="I1475" s="1">
        <f>IF(ISNUMBER(B1475),INT(B1475),0)</f>
        <v/>
      </c>
      <c r="J1475">
        <f>IF(ISNUMBER(B1475),YEAR(B1475)*100+MONTH(B1475),"")</f>
        <v/>
      </c>
      <c r="K1475">
        <f>IF(AND(H1475="",OR(F1475="Attended",F1475="No-show",AND(F1475="Late cancel",Settings!$C$9="Yes"))),1,0)</f>
        <v/>
      </c>
      <c r="L1475">
        <f>IF(AND(H1475="",F1475="Attended"),1,0)</f>
        <v/>
      </c>
      <c r="M1475">
        <f>IF(AND(H1475="",OR(F1475="No-show",F1475="Late cancel")),1,0)</f>
        <v/>
      </c>
      <c r="N1475">
        <f>IF(AND(H1475="",F1475="",D1475&lt;&gt;"",I1475&gt;=TODAY()),ROUND((I1475+IF(ISNUMBER(C1475),MOD(C1475,1),0))*1440,0)*10000+ROW(),"")</f>
        <v/>
      </c>
    </row>
    <row r="1476">
      <c r="A1476" s="1" t="n"/>
      <c r="B1476" s="17" t="n"/>
      <c r="C1476" s="18" t="n"/>
      <c r="D1476" s="19" t="n"/>
      <c r="E1476" s="20" t="n"/>
      <c r="F1476" s="20" t="n"/>
      <c r="G1476" s="21" t="n"/>
      <c r="H1476" s="12">
        <f>IF(AND(B1476="",D1476="",F1476=""),"",IF(NOT(ISNUMBER(B1476)),"Needs a date",IF(D1476="","Needs a client",IF(COUNTIF(Clients!$B$6:$B$105,D1476)=0,"Not on Clients",IF(AND(F1476="",INT(B1476)&lt;TODAY()),"Needs a status","")))))</f>
        <v/>
      </c>
      <c r="I1476" s="1">
        <f>IF(ISNUMBER(B1476),INT(B1476),0)</f>
        <v/>
      </c>
      <c r="J1476">
        <f>IF(ISNUMBER(B1476),YEAR(B1476)*100+MONTH(B1476),"")</f>
        <v/>
      </c>
      <c r="K1476">
        <f>IF(AND(H1476="",OR(F1476="Attended",F1476="No-show",AND(F1476="Late cancel",Settings!$C$9="Yes"))),1,0)</f>
        <v/>
      </c>
      <c r="L1476">
        <f>IF(AND(H1476="",F1476="Attended"),1,0)</f>
        <v/>
      </c>
      <c r="M1476">
        <f>IF(AND(H1476="",OR(F1476="No-show",F1476="Late cancel")),1,0)</f>
        <v/>
      </c>
      <c r="N1476">
        <f>IF(AND(H1476="",F1476="",D1476&lt;&gt;"",I1476&gt;=TODAY()),ROUND((I1476+IF(ISNUMBER(C1476),MOD(C1476,1),0))*1440,0)*10000+ROW(),"")</f>
        <v/>
      </c>
    </row>
    <row r="1477">
      <c r="A1477" s="1" t="n"/>
      <c r="B1477" s="17" t="n"/>
      <c r="C1477" s="18" t="n"/>
      <c r="D1477" s="19" t="n"/>
      <c r="E1477" s="20" t="n"/>
      <c r="F1477" s="20" t="n"/>
      <c r="G1477" s="21" t="n"/>
      <c r="H1477" s="12">
        <f>IF(AND(B1477="",D1477="",F1477=""),"",IF(NOT(ISNUMBER(B1477)),"Needs a date",IF(D1477="","Needs a client",IF(COUNTIF(Clients!$B$6:$B$105,D1477)=0,"Not on Clients",IF(AND(F1477="",INT(B1477)&lt;TODAY()),"Needs a status","")))))</f>
        <v/>
      </c>
      <c r="I1477" s="1">
        <f>IF(ISNUMBER(B1477),INT(B1477),0)</f>
        <v/>
      </c>
      <c r="J1477">
        <f>IF(ISNUMBER(B1477),YEAR(B1477)*100+MONTH(B1477),"")</f>
        <v/>
      </c>
      <c r="K1477">
        <f>IF(AND(H1477="",OR(F1477="Attended",F1477="No-show",AND(F1477="Late cancel",Settings!$C$9="Yes"))),1,0)</f>
        <v/>
      </c>
      <c r="L1477">
        <f>IF(AND(H1477="",F1477="Attended"),1,0)</f>
        <v/>
      </c>
      <c r="M1477">
        <f>IF(AND(H1477="",OR(F1477="No-show",F1477="Late cancel")),1,0)</f>
        <v/>
      </c>
      <c r="N1477">
        <f>IF(AND(H1477="",F1477="",D1477&lt;&gt;"",I1477&gt;=TODAY()),ROUND((I1477+IF(ISNUMBER(C1477),MOD(C1477,1),0))*1440,0)*10000+ROW(),"")</f>
        <v/>
      </c>
    </row>
    <row r="1478">
      <c r="A1478" s="1" t="n"/>
      <c r="B1478" s="17" t="n"/>
      <c r="C1478" s="18" t="n"/>
      <c r="D1478" s="19" t="n"/>
      <c r="E1478" s="20" t="n"/>
      <c r="F1478" s="20" t="n"/>
      <c r="G1478" s="21" t="n"/>
      <c r="H1478" s="12">
        <f>IF(AND(B1478="",D1478="",F1478=""),"",IF(NOT(ISNUMBER(B1478)),"Needs a date",IF(D1478="","Needs a client",IF(COUNTIF(Clients!$B$6:$B$105,D1478)=0,"Not on Clients",IF(AND(F1478="",INT(B1478)&lt;TODAY()),"Needs a status","")))))</f>
        <v/>
      </c>
      <c r="I1478" s="1">
        <f>IF(ISNUMBER(B1478),INT(B1478),0)</f>
        <v/>
      </c>
      <c r="J1478">
        <f>IF(ISNUMBER(B1478),YEAR(B1478)*100+MONTH(B1478),"")</f>
        <v/>
      </c>
      <c r="K1478">
        <f>IF(AND(H1478="",OR(F1478="Attended",F1478="No-show",AND(F1478="Late cancel",Settings!$C$9="Yes"))),1,0)</f>
        <v/>
      </c>
      <c r="L1478">
        <f>IF(AND(H1478="",F1478="Attended"),1,0)</f>
        <v/>
      </c>
      <c r="M1478">
        <f>IF(AND(H1478="",OR(F1478="No-show",F1478="Late cancel")),1,0)</f>
        <v/>
      </c>
      <c r="N1478">
        <f>IF(AND(H1478="",F1478="",D1478&lt;&gt;"",I1478&gt;=TODAY()),ROUND((I1478+IF(ISNUMBER(C1478),MOD(C1478,1),0))*1440,0)*10000+ROW(),"")</f>
        <v/>
      </c>
    </row>
    <row r="1479">
      <c r="A1479" s="1" t="n"/>
      <c r="B1479" s="17" t="n"/>
      <c r="C1479" s="18" t="n"/>
      <c r="D1479" s="19" t="n"/>
      <c r="E1479" s="20" t="n"/>
      <c r="F1479" s="20" t="n"/>
      <c r="G1479" s="21" t="n"/>
      <c r="H1479" s="12">
        <f>IF(AND(B1479="",D1479="",F1479=""),"",IF(NOT(ISNUMBER(B1479)),"Needs a date",IF(D1479="","Needs a client",IF(COUNTIF(Clients!$B$6:$B$105,D1479)=0,"Not on Clients",IF(AND(F1479="",INT(B1479)&lt;TODAY()),"Needs a status","")))))</f>
        <v/>
      </c>
      <c r="I1479" s="1">
        <f>IF(ISNUMBER(B1479),INT(B1479),0)</f>
        <v/>
      </c>
      <c r="J1479">
        <f>IF(ISNUMBER(B1479),YEAR(B1479)*100+MONTH(B1479),"")</f>
        <v/>
      </c>
      <c r="K1479">
        <f>IF(AND(H1479="",OR(F1479="Attended",F1479="No-show",AND(F1479="Late cancel",Settings!$C$9="Yes"))),1,0)</f>
        <v/>
      </c>
      <c r="L1479">
        <f>IF(AND(H1479="",F1479="Attended"),1,0)</f>
        <v/>
      </c>
      <c r="M1479">
        <f>IF(AND(H1479="",OR(F1479="No-show",F1479="Late cancel")),1,0)</f>
        <v/>
      </c>
      <c r="N1479">
        <f>IF(AND(H1479="",F1479="",D1479&lt;&gt;"",I1479&gt;=TODAY()),ROUND((I1479+IF(ISNUMBER(C1479),MOD(C1479,1),0))*1440,0)*10000+ROW(),"")</f>
        <v/>
      </c>
    </row>
    <row r="1480">
      <c r="A1480" s="1" t="n"/>
      <c r="B1480" s="17" t="n"/>
      <c r="C1480" s="18" t="n"/>
      <c r="D1480" s="19" t="n"/>
      <c r="E1480" s="20" t="n"/>
      <c r="F1480" s="20" t="n"/>
      <c r="G1480" s="21" t="n"/>
      <c r="H1480" s="12">
        <f>IF(AND(B1480="",D1480="",F1480=""),"",IF(NOT(ISNUMBER(B1480)),"Needs a date",IF(D1480="","Needs a client",IF(COUNTIF(Clients!$B$6:$B$105,D1480)=0,"Not on Clients",IF(AND(F1480="",INT(B1480)&lt;TODAY()),"Needs a status","")))))</f>
        <v/>
      </c>
      <c r="I1480" s="1">
        <f>IF(ISNUMBER(B1480),INT(B1480),0)</f>
        <v/>
      </c>
      <c r="J1480">
        <f>IF(ISNUMBER(B1480),YEAR(B1480)*100+MONTH(B1480),"")</f>
        <v/>
      </c>
      <c r="K1480">
        <f>IF(AND(H1480="",OR(F1480="Attended",F1480="No-show",AND(F1480="Late cancel",Settings!$C$9="Yes"))),1,0)</f>
        <v/>
      </c>
      <c r="L1480">
        <f>IF(AND(H1480="",F1480="Attended"),1,0)</f>
        <v/>
      </c>
      <c r="M1480">
        <f>IF(AND(H1480="",OR(F1480="No-show",F1480="Late cancel")),1,0)</f>
        <v/>
      </c>
      <c r="N1480">
        <f>IF(AND(H1480="",F1480="",D1480&lt;&gt;"",I1480&gt;=TODAY()),ROUND((I1480+IF(ISNUMBER(C1480),MOD(C1480,1),0))*1440,0)*10000+ROW(),"")</f>
        <v/>
      </c>
    </row>
    <row r="1481">
      <c r="A1481" s="1" t="n"/>
      <c r="B1481" s="17" t="n"/>
      <c r="C1481" s="18" t="n"/>
      <c r="D1481" s="19" t="n"/>
      <c r="E1481" s="20" t="n"/>
      <c r="F1481" s="20" t="n"/>
      <c r="G1481" s="21" t="n"/>
      <c r="H1481" s="12">
        <f>IF(AND(B1481="",D1481="",F1481=""),"",IF(NOT(ISNUMBER(B1481)),"Needs a date",IF(D1481="","Needs a client",IF(COUNTIF(Clients!$B$6:$B$105,D1481)=0,"Not on Clients",IF(AND(F1481="",INT(B1481)&lt;TODAY()),"Needs a status","")))))</f>
        <v/>
      </c>
      <c r="I1481" s="1">
        <f>IF(ISNUMBER(B1481),INT(B1481),0)</f>
        <v/>
      </c>
      <c r="J1481">
        <f>IF(ISNUMBER(B1481),YEAR(B1481)*100+MONTH(B1481),"")</f>
        <v/>
      </c>
      <c r="K1481">
        <f>IF(AND(H1481="",OR(F1481="Attended",F1481="No-show",AND(F1481="Late cancel",Settings!$C$9="Yes"))),1,0)</f>
        <v/>
      </c>
      <c r="L1481">
        <f>IF(AND(H1481="",F1481="Attended"),1,0)</f>
        <v/>
      </c>
      <c r="M1481">
        <f>IF(AND(H1481="",OR(F1481="No-show",F1481="Late cancel")),1,0)</f>
        <v/>
      </c>
      <c r="N1481">
        <f>IF(AND(H1481="",F1481="",D1481&lt;&gt;"",I1481&gt;=TODAY()),ROUND((I1481+IF(ISNUMBER(C1481),MOD(C1481,1),0))*1440,0)*10000+ROW(),"")</f>
        <v/>
      </c>
    </row>
    <row r="1482">
      <c r="A1482" s="1" t="n"/>
      <c r="B1482" s="17" t="n"/>
      <c r="C1482" s="18" t="n"/>
      <c r="D1482" s="19" t="n"/>
      <c r="E1482" s="20" t="n"/>
      <c r="F1482" s="20" t="n"/>
      <c r="G1482" s="21" t="n"/>
      <c r="H1482" s="12">
        <f>IF(AND(B1482="",D1482="",F1482=""),"",IF(NOT(ISNUMBER(B1482)),"Needs a date",IF(D1482="","Needs a client",IF(COUNTIF(Clients!$B$6:$B$105,D1482)=0,"Not on Clients",IF(AND(F1482="",INT(B1482)&lt;TODAY()),"Needs a status","")))))</f>
        <v/>
      </c>
      <c r="I1482" s="1">
        <f>IF(ISNUMBER(B1482),INT(B1482),0)</f>
        <v/>
      </c>
      <c r="J1482">
        <f>IF(ISNUMBER(B1482),YEAR(B1482)*100+MONTH(B1482),"")</f>
        <v/>
      </c>
      <c r="K1482">
        <f>IF(AND(H1482="",OR(F1482="Attended",F1482="No-show",AND(F1482="Late cancel",Settings!$C$9="Yes"))),1,0)</f>
        <v/>
      </c>
      <c r="L1482">
        <f>IF(AND(H1482="",F1482="Attended"),1,0)</f>
        <v/>
      </c>
      <c r="M1482">
        <f>IF(AND(H1482="",OR(F1482="No-show",F1482="Late cancel")),1,0)</f>
        <v/>
      </c>
      <c r="N1482">
        <f>IF(AND(H1482="",F1482="",D1482&lt;&gt;"",I1482&gt;=TODAY()),ROUND((I1482+IF(ISNUMBER(C1482),MOD(C1482,1),0))*1440,0)*10000+ROW(),"")</f>
        <v/>
      </c>
    </row>
    <row r="1483">
      <c r="A1483" s="1" t="n"/>
      <c r="B1483" s="17" t="n"/>
      <c r="C1483" s="18" t="n"/>
      <c r="D1483" s="19" t="n"/>
      <c r="E1483" s="20" t="n"/>
      <c r="F1483" s="20" t="n"/>
      <c r="G1483" s="21" t="n"/>
      <c r="H1483" s="12">
        <f>IF(AND(B1483="",D1483="",F1483=""),"",IF(NOT(ISNUMBER(B1483)),"Needs a date",IF(D1483="","Needs a client",IF(COUNTIF(Clients!$B$6:$B$105,D1483)=0,"Not on Clients",IF(AND(F1483="",INT(B1483)&lt;TODAY()),"Needs a status","")))))</f>
        <v/>
      </c>
      <c r="I1483" s="1">
        <f>IF(ISNUMBER(B1483),INT(B1483),0)</f>
        <v/>
      </c>
      <c r="J1483">
        <f>IF(ISNUMBER(B1483),YEAR(B1483)*100+MONTH(B1483),"")</f>
        <v/>
      </c>
      <c r="K1483">
        <f>IF(AND(H1483="",OR(F1483="Attended",F1483="No-show",AND(F1483="Late cancel",Settings!$C$9="Yes"))),1,0)</f>
        <v/>
      </c>
      <c r="L1483">
        <f>IF(AND(H1483="",F1483="Attended"),1,0)</f>
        <v/>
      </c>
      <c r="M1483">
        <f>IF(AND(H1483="",OR(F1483="No-show",F1483="Late cancel")),1,0)</f>
        <v/>
      </c>
      <c r="N1483">
        <f>IF(AND(H1483="",F1483="",D1483&lt;&gt;"",I1483&gt;=TODAY()),ROUND((I1483+IF(ISNUMBER(C1483),MOD(C1483,1),0))*1440,0)*10000+ROW(),"")</f>
        <v/>
      </c>
    </row>
    <row r="1484">
      <c r="A1484" s="1" t="n"/>
      <c r="B1484" s="17" t="n"/>
      <c r="C1484" s="18" t="n"/>
      <c r="D1484" s="19" t="n"/>
      <c r="E1484" s="20" t="n"/>
      <c r="F1484" s="20" t="n"/>
      <c r="G1484" s="21" t="n"/>
      <c r="H1484" s="12">
        <f>IF(AND(B1484="",D1484="",F1484=""),"",IF(NOT(ISNUMBER(B1484)),"Needs a date",IF(D1484="","Needs a client",IF(COUNTIF(Clients!$B$6:$B$105,D1484)=0,"Not on Clients",IF(AND(F1484="",INT(B1484)&lt;TODAY()),"Needs a status","")))))</f>
        <v/>
      </c>
      <c r="I1484" s="1">
        <f>IF(ISNUMBER(B1484),INT(B1484),0)</f>
        <v/>
      </c>
      <c r="J1484">
        <f>IF(ISNUMBER(B1484),YEAR(B1484)*100+MONTH(B1484),"")</f>
        <v/>
      </c>
      <c r="K1484">
        <f>IF(AND(H1484="",OR(F1484="Attended",F1484="No-show",AND(F1484="Late cancel",Settings!$C$9="Yes"))),1,0)</f>
        <v/>
      </c>
      <c r="L1484">
        <f>IF(AND(H1484="",F1484="Attended"),1,0)</f>
        <v/>
      </c>
      <c r="M1484">
        <f>IF(AND(H1484="",OR(F1484="No-show",F1484="Late cancel")),1,0)</f>
        <v/>
      </c>
      <c r="N1484">
        <f>IF(AND(H1484="",F1484="",D1484&lt;&gt;"",I1484&gt;=TODAY()),ROUND((I1484+IF(ISNUMBER(C1484),MOD(C1484,1),0))*1440,0)*10000+ROW(),"")</f>
        <v/>
      </c>
    </row>
    <row r="1485">
      <c r="A1485" s="1" t="n"/>
      <c r="B1485" s="17" t="n"/>
      <c r="C1485" s="18" t="n"/>
      <c r="D1485" s="19" t="n"/>
      <c r="E1485" s="20" t="n"/>
      <c r="F1485" s="20" t="n"/>
      <c r="G1485" s="21" t="n"/>
      <c r="H1485" s="12">
        <f>IF(AND(B1485="",D1485="",F1485=""),"",IF(NOT(ISNUMBER(B1485)),"Needs a date",IF(D1485="","Needs a client",IF(COUNTIF(Clients!$B$6:$B$105,D1485)=0,"Not on Clients",IF(AND(F1485="",INT(B1485)&lt;TODAY()),"Needs a status","")))))</f>
        <v/>
      </c>
      <c r="I1485" s="1">
        <f>IF(ISNUMBER(B1485),INT(B1485),0)</f>
        <v/>
      </c>
      <c r="J1485">
        <f>IF(ISNUMBER(B1485),YEAR(B1485)*100+MONTH(B1485),"")</f>
        <v/>
      </c>
      <c r="K1485">
        <f>IF(AND(H1485="",OR(F1485="Attended",F1485="No-show",AND(F1485="Late cancel",Settings!$C$9="Yes"))),1,0)</f>
        <v/>
      </c>
      <c r="L1485">
        <f>IF(AND(H1485="",F1485="Attended"),1,0)</f>
        <v/>
      </c>
      <c r="M1485">
        <f>IF(AND(H1485="",OR(F1485="No-show",F1485="Late cancel")),1,0)</f>
        <v/>
      </c>
      <c r="N1485">
        <f>IF(AND(H1485="",F1485="",D1485&lt;&gt;"",I1485&gt;=TODAY()),ROUND((I1485+IF(ISNUMBER(C1485),MOD(C1485,1),0))*1440,0)*10000+ROW(),"")</f>
        <v/>
      </c>
    </row>
    <row r="1486">
      <c r="A1486" s="1" t="n"/>
      <c r="B1486" s="17" t="n"/>
      <c r="C1486" s="18" t="n"/>
      <c r="D1486" s="19" t="n"/>
      <c r="E1486" s="20" t="n"/>
      <c r="F1486" s="20" t="n"/>
      <c r="G1486" s="21" t="n"/>
      <c r="H1486" s="12">
        <f>IF(AND(B1486="",D1486="",F1486=""),"",IF(NOT(ISNUMBER(B1486)),"Needs a date",IF(D1486="","Needs a client",IF(COUNTIF(Clients!$B$6:$B$105,D1486)=0,"Not on Clients",IF(AND(F1486="",INT(B1486)&lt;TODAY()),"Needs a status","")))))</f>
        <v/>
      </c>
      <c r="I1486" s="1">
        <f>IF(ISNUMBER(B1486),INT(B1486),0)</f>
        <v/>
      </c>
      <c r="J1486">
        <f>IF(ISNUMBER(B1486),YEAR(B1486)*100+MONTH(B1486),"")</f>
        <v/>
      </c>
      <c r="K1486">
        <f>IF(AND(H1486="",OR(F1486="Attended",F1486="No-show",AND(F1486="Late cancel",Settings!$C$9="Yes"))),1,0)</f>
        <v/>
      </c>
      <c r="L1486">
        <f>IF(AND(H1486="",F1486="Attended"),1,0)</f>
        <v/>
      </c>
      <c r="M1486">
        <f>IF(AND(H1486="",OR(F1486="No-show",F1486="Late cancel")),1,0)</f>
        <v/>
      </c>
      <c r="N1486">
        <f>IF(AND(H1486="",F1486="",D1486&lt;&gt;"",I1486&gt;=TODAY()),ROUND((I1486+IF(ISNUMBER(C1486),MOD(C1486,1),0))*1440,0)*10000+ROW(),"")</f>
        <v/>
      </c>
    </row>
    <row r="1487">
      <c r="A1487" s="1" t="n"/>
      <c r="B1487" s="17" t="n"/>
      <c r="C1487" s="18" t="n"/>
      <c r="D1487" s="19" t="n"/>
      <c r="E1487" s="20" t="n"/>
      <c r="F1487" s="20" t="n"/>
      <c r="G1487" s="21" t="n"/>
      <c r="H1487" s="12">
        <f>IF(AND(B1487="",D1487="",F1487=""),"",IF(NOT(ISNUMBER(B1487)),"Needs a date",IF(D1487="","Needs a client",IF(COUNTIF(Clients!$B$6:$B$105,D1487)=0,"Not on Clients",IF(AND(F1487="",INT(B1487)&lt;TODAY()),"Needs a status","")))))</f>
        <v/>
      </c>
      <c r="I1487" s="1">
        <f>IF(ISNUMBER(B1487),INT(B1487),0)</f>
        <v/>
      </c>
      <c r="J1487">
        <f>IF(ISNUMBER(B1487),YEAR(B1487)*100+MONTH(B1487),"")</f>
        <v/>
      </c>
      <c r="K1487">
        <f>IF(AND(H1487="",OR(F1487="Attended",F1487="No-show",AND(F1487="Late cancel",Settings!$C$9="Yes"))),1,0)</f>
        <v/>
      </c>
      <c r="L1487">
        <f>IF(AND(H1487="",F1487="Attended"),1,0)</f>
        <v/>
      </c>
      <c r="M1487">
        <f>IF(AND(H1487="",OR(F1487="No-show",F1487="Late cancel")),1,0)</f>
        <v/>
      </c>
      <c r="N1487">
        <f>IF(AND(H1487="",F1487="",D1487&lt;&gt;"",I1487&gt;=TODAY()),ROUND((I1487+IF(ISNUMBER(C1487),MOD(C1487,1),0))*1440,0)*10000+ROW(),"")</f>
        <v/>
      </c>
    </row>
    <row r="1488">
      <c r="A1488" s="1" t="n"/>
      <c r="B1488" s="17" t="n"/>
      <c r="C1488" s="18" t="n"/>
      <c r="D1488" s="19" t="n"/>
      <c r="E1488" s="20" t="n"/>
      <c r="F1488" s="20" t="n"/>
      <c r="G1488" s="21" t="n"/>
      <c r="H1488" s="12">
        <f>IF(AND(B1488="",D1488="",F1488=""),"",IF(NOT(ISNUMBER(B1488)),"Needs a date",IF(D1488="","Needs a client",IF(COUNTIF(Clients!$B$6:$B$105,D1488)=0,"Not on Clients",IF(AND(F1488="",INT(B1488)&lt;TODAY()),"Needs a status","")))))</f>
        <v/>
      </c>
      <c r="I1488" s="1">
        <f>IF(ISNUMBER(B1488),INT(B1488),0)</f>
        <v/>
      </c>
      <c r="J1488">
        <f>IF(ISNUMBER(B1488),YEAR(B1488)*100+MONTH(B1488),"")</f>
        <v/>
      </c>
      <c r="K1488">
        <f>IF(AND(H1488="",OR(F1488="Attended",F1488="No-show",AND(F1488="Late cancel",Settings!$C$9="Yes"))),1,0)</f>
        <v/>
      </c>
      <c r="L1488">
        <f>IF(AND(H1488="",F1488="Attended"),1,0)</f>
        <v/>
      </c>
      <c r="M1488">
        <f>IF(AND(H1488="",OR(F1488="No-show",F1488="Late cancel")),1,0)</f>
        <v/>
      </c>
      <c r="N1488">
        <f>IF(AND(H1488="",F1488="",D1488&lt;&gt;"",I1488&gt;=TODAY()),ROUND((I1488+IF(ISNUMBER(C1488),MOD(C1488,1),0))*1440,0)*10000+ROW(),"")</f>
        <v/>
      </c>
    </row>
    <row r="1489">
      <c r="A1489" s="1" t="n"/>
      <c r="B1489" s="17" t="n"/>
      <c r="C1489" s="18" t="n"/>
      <c r="D1489" s="19" t="n"/>
      <c r="E1489" s="20" t="n"/>
      <c r="F1489" s="20" t="n"/>
      <c r="G1489" s="21" t="n"/>
      <c r="H1489" s="12">
        <f>IF(AND(B1489="",D1489="",F1489=""),"",IF(NOT(ISNUMBER(B1489)),"Needs a date",IF(D1489="","Needs a client",IF(COUNTIF(Clients!$B$6:$B$105,D1489)=0,"Not on Clients",IF(AND(F1489="",INT(B1489)&lt;TODAY()),"Needs a status","")))))</f>
        <v/>
      </c>
      <c r="I1489" s="1">
        <f>IF(ISNUMBER(B1489),INT(B1489),0)</f>
        <v/>
      </c>
      <c r="J1489">
        <f>IF(ISNUMBER(B1489),YEAR(B1489)*100+MONTH(B1489),"")</f>
        <v/>
      </c>
      <c r="K1489">
        <f>IF(AND(H1489="",OR(F1489="Attended",F1489="No-show",AND(F1489="Late cancel",Settings!$C$9="Yes"))),1,0)</f>
        <v/>
      </c>
      <c r="L1489">
        <f>IF(AND(H1489="",F1489="Attended"),1,0)</f>
        <v/>
      </c>
      <c r="M1489">
        <f>IF(AND(H1489="",OR(F1489="No-show",F1489="Late cancel")),1,0)</f>
        <v/>
      </c>
      <c r="N1489">
        <f>IF(AND(H1489="",F1489="",D1489&lt;&gt;"",I1489&gt;=TODAY()),ROUND((I1489+IF(ISNUMBER(C1489),MOD(C1489,1),0))*1440,0)*10000+ROW(),"")</f>
        <v/>
      </c>
    </row>
    <row r="1490">
      <c r="A1490" s="1" t="n"/>
      <c r="B1490" s="17" t="n"/>
      <c r="C1490" s="18" t="n"/>
      <c r="D1490" s="19" t="n"/>
      <c r="E1490" s="20" t="n"/>
      <c r="F1490" s="20" t="n"/>
      <c r="G1490" s="21" t="n"/>
      <c r="H1490" s="12">
        <f>IF(AND(B1490="",D1490="",F1490=""),"",IF(NOT(ISNUMBER(B1490)),"Needs a date",IF(D1490="","Needs a client",IF(COUNTIF(Clients!$B$6:$B$105,D1490)=0,"Not on Clients",IF(AND(F1490="",INT(B1490)&lt;TODAY()),"Needs a status","")))))</f>
        <v/>
      </c>
      <c r="I1490" s="1">
        <f>IF(ISNUMBER(B1490),INT(B1490),0)</f>
        <v/>
      </c>
      <c r="J1490">
        <f>IF(ISNUMBER(B1490),YEAR(B1490)*100+MONTH(B1490),"")</f>
        <v/>
      </c>
      <c r="K1490">
        <f>IF(AND(H1490="",OR(F1490="Attended",F1490="No-show",AND(F1490="Late cancel",Settings!$C$9="Yes"))),1,0)</f>
        <v/>
      </c>
      <c r="L1490">
        <f>IF(AND(H1490="",F1490="Attended"),1,0)</f>
        <v/>
      </c>
      <c r="M1490">
        <f>IF(AND(H1490="",OR(F1490="No-show",F1490="Late cancel")),1,0)</f>
        <v/>
      </c>
      <c r="N1490">
        <f>IF(AND(H1490="",F1490="",D1490&lt;&gt;"",I1490&gt;=TODAY()),ROUND((I1490+IF(ISNUMBER(C1490),MOD(C1490,1),0))*1440,0)*10000+ROW(),"")</f>
        <v/>
      </c>
    </row>
    <row r="1491">
      <c r="A1491" s="1" t="n"/>
      <c r="B1491" s="17" t="n"/>
      <c r="C1491" s="18" t="n"/>
      <c r="D1491" s="19" t="n"/>
      <c r="E1491" s="20" t="n"/>
      <c r="F1491" s="20" t="n"/>
      <c r="G1491" s="21" t="n"/>
      <c r="H1491" s="12">
        <f>IF(AND(B1491="",D1491="",F1491=""),"",IF(NOT(ISNUMBER(B1491)),"Needs a date",IF(D1491="","Needs a client",IF(COUNTIF(Clients!$B$6:$B$105,D1491)=0,"Not on Clients",IF(AND(F1491="",INT(B1491)&lt;TODAY()),"Needs a status","")))))</f>
        <v/>
      </c>
      <c r="I1491" s="1">
        <f>IF(ISNUMBER(B1491),INT(B1491),0)</f>
        <v/>
      </c>
      <c r="J1491">
        <f>IF(ISNUMBER(B1491),YEAR(B1491)*100+MONTH(B1491),"")</f>
        <v/>
      </c>
      <c r="K1491">
        <f>IF(AND(H1491="",OR(F1491="Attended",F1491="No-show",AND(F1491="Late cancel",Settings!$C$9="Yes"))),1,0)</f>
        <v/>
      </c>
      <c r="L1491">
        <f>IF(AND(H1491="",F1491="Attended"),1,0)</f>
        <v/>
      </c>
      <c r="M1491">
        <f>IF(AND(H1491="",OR(F1491="No-show",F1491="Late cancel")),1,0)</f>
        <v/>
      </c>
      <c r="N1491">
        <f>IF(AND(H1491="",F1491="",D1491&lt;&gt;"",I1491&gt;=TODAY()),ROUND((I1491+IF(ISNUMBER(C1491),MOD(C1491,1),0))*1440,0)*10000+ROW(),"")</f>
        <v/>
      </c>
    </row>
    <row r="1492">
      <c r="A1492" s="1" t="n"/>
      <c r="B1492" s="17" t="n"/>
      <c r="C1492" s="18" t="n"/>
      <c r="D1492" s="19" t="n"/>
      <c r="E1492" s="20" t="n"/>
      <c r="F1492" s="20" t="n"/>
      <c r="G1492" s="21" t="n"/>
      <c r="H1492" s="12">
        <f>IF(AND(B1492="",D1492="",F1492=""),"",IF(NOT(ISNUMBER(B1492)),"Needs a date",IF(D1492="","Needs a client",IF(COUNTIF(Clients!$B$6:$B$105,D1492)=0,"Not on Clients",IF(AND(F1492="",INT(B1492)&lt;TODAY()),"Needs a status","")))))</f>
        <v/>
      </c>
      <c r="I1492" s="1">
        <f>IF(ISNUMBER(B1492),INT(B1492),0)</f>
        <v/>
      </c>
      <c r="J1492">
        <f>IF(ISNUMBER(B1492),YEAR(B1492)*100+MONTH(B1492),"")</f>
        <v/>
      </c>
      <c r="K1492">
        <f>IF(AND(H1492="",OR(F1492="Attended",F1492="No-show",AND(F1492="Late cancel",Settings!$C$9="Yes"))),1,0)</f>
        <v/>
      </c>
      <c r="L1492">
        <f>IF(AND(H1492="",F1492="Attended"),1,0)</f>
        <v/>
      </c>
      <c r="M1492">
        <f>IF(AND(H1492="",OR(F1492="No-show",F1492="Late cancel")),1,0)</f>
        <v/>
      </c>
      <c r="N1492">
        <f>IF(AND(H1492="",F1492="",D1492&lt;&gt;"",I1492&gt;=TODAY()),ROUND((I1492+IF(ISNUMBER(C1492),MOD(C1492,1),0))*1440,0)*10000+ROW(),"")</f>
        <v/>
      </c>
    </row>
    <row r="1493">
      <c r="A1493" s="1" t="n"/>
      <c r="B1493" s="17" t="n"/>
      <c r="C1493" s="18" t="n"/>
      <c r="D1493" s="19" t="n"/>
      <c r="E1493" s="20" t="n"/>
      <c r="F1493" s="20" t="n"/>
      <c r="G1493" s="21" t="n"/>
      <c r="H1493" s="12">
        <f>IF(AND(B1493="",D1493="",F1493=""),"",IF(NOT(ISNUMBER(B1493)),"Needs a date",IF(D1493="","Needs a client",IF(COUNTIF(Clients!$B$6:$B$105,D1493)=0,"Not on Clients",IF(AND(F1493="",INT(B1493)&lt;TODAY()),"Needs a status","")))))</f>
        <v/>
      </c>
      <c r="I1493" s="1">
        <f>IF(ISNUMBER(B1493),INT(B1493),0)</f>
        <v/>
      </c>
      <c r="J1493">
        <f>IF(ISNUMBER(B1493),YEAR(B1493)*100+MONTH(B1493),"")</f>
        <v/>
      </c>
      <c r="K1493">
        <f>IF(AND(H1493="",OR(F1493="Attended",F1493="No-show",AND(F1493="Late cancel",Settings!$C$9="Yes"))),1,0)</f>
        <v/>
      </c>
      <c r="L1493">
        <f>IF(AND(H1493="",F1493="Attended"),1,0)</f>
        <v/>
      </c>
      <c r="M1493">
        <f>IF(AND(H1493="",OR(F1493="No-show",F1493="Late cancel")),1,0)</f>
        <v/>
      </c>
      <c r="N1493">
        <f>IF(AND(H1493="",F1493="",D1493&lt;&gt;"",I1493&gt;=TODAY()),ROUND((I1493+IF(ISNUMBER(C1493),MOD(C1493,1),0))*1440,0)*10000+ROW(),"")</f>
        <v/>
      </c>
    </row>
    <row r="1494">
      <c r="A1494" s="1" t="n"/>
      <c r="B1494" s="17" t="n"/>
      <c r="C1494" s="18" t="n"/>
      <c r="D1494" s="19" t="n"/>
      <c r="E1494" s="20" t="n"/>
      <c r="F1494" s="20" t="n"/>
      <c r="G1494" s="21" t="n"/>
      <c r="H1494" s="12">
        <f>IF(AND(B1494="",D1494="",F1494=""),"",IF(NOT(ISNUMBER(B1494)),"Needs a date",IF(D1494="","Needs a client",IF(COUNTIF(Clients!$B$6:$B$105,D1494)=0,"Not on Clients",IF(AND(F1494="",INT(B1494)&lt;TODAY()),"Needs a status","")))))</f>
        <v/>
      </c>
      <c r="I1494" s="1">
        <f>IF(ISNUMBER(B1494),INT(B1494),0)</f>
        <v/>
      </c>
      <c r="J1494">
        <f>IF(ISNUMBER(B1494),YEAR(B1494)*100+MONTH(B1494),"")</f>
        <v/>
      </c>
      <c r="K1494">
        <f>IF(AND(H1494="",OR(F1494="Attended",F1494="No-show",AND(F1494="Late cancel",Settings!$C$9="Yes"))),1,0)</f>
        <v/>
      </c>
      <c r="L1494">
        <f>IF(AND(H1494="",F1494="Attended"),1,0)</f>
        <v/>
      </c>
      <c r="M1494">
        <f>IF(AND(H1494="",OR(F1494="No-show",F1494="Late cancel")),1,0)</f>
        <v/>
      </c>
      <c r="N1494">
        <f>IF(AND(H1494="",F1494="",D1494&lt;&gt;"",I1494&gt;=TODAY()),ROUND((I1494+IF(ISNUMBER(C1494),MOD(C1494,1),0))*1440,0)*10000+ROW(),"")</f>
        <v/>
      </c>
    </row>
    <row r="1495">
      <c r="A1495" s="1" t="n"/>
      <c r="B1495" s="17" t="n"/>
      <c r="C1495" s="18" t="n"/>
      <c r="D1495" s="19" t="n"/>
      <c r="E1495" s="20" t="n"/>
      <c r="F1495" s="20" t="n"/>
      <c r="G1495" s="21" t="n"/>
      <c r="H1495" s="12">
        <f>IF(AND(B1495="",D1495="",F1495=""),"",IF(NOT(ISNUMBER(B1495)),"Needs a date",IF(D1495="","Needs a client",IF(COUNTIF(Clients!$B$6:$B$105,D1495)=0,"Not on Clients",IF(AND(F1495="",INT(B1495)&lt;TODAY()),"Needs a status","")))))</f>
        <v/>
      </c>
      <c r="I1495" s="1">
        <f>IF(ISNUMBER(B1495),INT(B1495),0)</f>
        <v/>
      </c>
      <c r="J1495">
        <f>IF(ISNUMBER(B1495),YEAR(B1495)*100+MONTH(B1495),"")</f>
        <v/>
      </c>
      <c r="K1495">
        <f>IF(AND(H1495="",OR(F1495="Attended",F1495="No-show",AND(F1495="Late cancel",Settings!$C$9="Yes"))),1,0)</f>
        <v/>
      </c>
      <c r="L1495">
        <f>IF(AND(H1495="",F1495="Attended"),1,0)</f>
        <v/>
      </c>
      <c r="M1495">
        <f>IF(AND(H1495="",OR(F1495="No-show",F1495="Late cancel")),1,0)</f>
        <v/>
      </c>
      <c r="N1495">
        <f>IF(AND(H1495="",F1495="",D1495&lt;&gt;"",I1495&gt;=TODAY()),ROUND((I1495+IF(ISNUMBER(C1495),MOD(C1495,1),0))*1440,0)*10000+ROW(),"")</f>
        <v/>
      </c>
    </row>
    <row r="1496">
      <c r="A1496" s="1" t="n"/>
      <c r="B1496" s="17" t="n"/>
      <c r="C1496" s="18" t="n"/>
      <c r="D1496" s="19" t="n"/>
      <c r="E1496" s="20" t="n"/>
      <c r="F1496" s="20" t="n"/>
      <c r="G1496" s="21" t="n"/>
      <c r="H1496" s="12">
        <f>IF(AND(B1496="",D1496="",F1496=""),"",IF(NOT(ISNUMBER(B1496)),"Needs a date",IF(D1496="","Needs a client",IF(COUNTIF(Clients!$B$6:$B$105,D1496)=0,"Not on Clients",IF(AND(F1496="",INT(B1496)&lt;TODAY()),"Needs a status","")))))</f>
        <v/>
      </c>
      <c r="I1496" s="1">
        <f>IF(ISNUMBER(B1496),INT(B1496),0)</f>
        <v/>
      </c>
      <c r="J1496">
        <f>IF(ISNUMBER(B1496),YEAR(B1496)*100+MONTH(B1496),"")</f>
        <v/>
      </c>
      <c r="K1496">
        <f>IF(AND(H1496="",OR(F1496="Attended",F1496="No-show",AND(F1496="Late cancel",Settings!$C$9="Yes"))),1,0)</f>
        <v/>
      </c>
      <c r="L1496">
        <f>IF(AND(H1496="",F1496="Attended"),1,0)</f>
        <v/>
      </c>
      <c r="M1496">
        <f>IF(AND(H1496="",OR(F1496="No-show",F1496="Late cancel")),1,0)</f>
        <v/>
      </c>
      <c r="N1496">
        <f>IF(AND(H1496="",F1496="",D1496&lt;&gt;"",I1496&gt;=TODAY()),ROUND((I1496+IF(ISNUMBER(C1496),MOD(C1496,1),0))*1440,0)*10000+ROW(),"")</f>
        <v/>
      </c>
    </row>
    <row r="1497">
      <c r="A1497" s="1" t="n"/>
      <c r="B1497" s="17" t="n"/>
      <c r="C1497" s="18" t="n"/>
      <c r="D1497" s="19" t="n"/>
      <c r="E1497" s="20" t="n"/>
      <c r="F1497" s="20" t="n"/>
      <c r="G1497" s="21" t="n"/>
      <c r="H1497" s="12">
        <f>IF(AND(B1497="",D1497="",F1497=""),"",IF(NOT(ISNUMBER(B1497)),"Needs a date",IF(D1497="","Needs a client",IF(COUNTIF(Clients!$B$6:$B$105,D1497)=0,"Not on Clients",IF(AND(F1497="",INT(B1497)&lt;TODAY()),"Needs a status","")))))</f>
        <v/>
      </c>
      <c r="I1497" s="1">
        <f>IF(ISNUMBER(B1497),INT(B1497),0)</f>
        <v/>
      </c>
      <c r="J1497">
        <f>IF(ISNUMBER(B1497),YEAR(B1497)*100+MONTH(B1497),"")</f>
        <v/>
      </c>
      <c r="K1497">
        <f>IF(AND(H1497="",OR(F1497="Attended",F1497="No-show",AND(F1497="Late cancel",Settings!$C$9="Yes"))),1,0)</f>
        <v/>
      </c>
      <c r="L1497">
        <f>IF(AND(H1497="",F1497="Attended"),1,0)</f>
        <v/>
      </c>
      <c r="M1497">
        <f>IF(AND(H1497="",OR(F1497="No-show",F1497="Late cancel")),1,0)</f>
        <v/>
      </c>
      <c r="N1497">
        <f>IF(AND(H1497="",F1497="",D1497&lt;&gt;"",I1497&gt;=TODAY()),ROUND((I1497+IF(ISNUMBER(C1497),MOD(C1497,1),0))*1440,0)*10000+ROW(),"")</f>
        <v/>
      </c>
    </row>
    <row r="1498">
      <c r="A1498" s="1" t="n"/>
      <c r="B1498" s="17" t="n"/>
      <c r="C1498" s="18" t="n"/>
      <c r="D1498" s="19" t="n"/>
      <c r="E1498" s="20" t="n"/>
      <c r="F1498" s="20" t="n"/>
      <c r="G1498" s="21" t="n"/>
      <c r="H1498" s="12">
        <f>IF(AND(B1498="",D1498="",F1498=""),"",IF(NOT(ISNUMBER(B1498)),"Needs a date",IF(D1498="","Needs a client",IF(COUNTIF(Clients!$B$6:$B$105,D1498)=0,"Not on Clients",IF(AND(F1498="",INT(B1498)&lt;TODAY()),"Needs a status","")))))</f>
        <v/>
      </c>
      <c r="I1498" s="1">
        <f>IF(ISNUMBER(B1498),INT(B1498),0)</f>
        <v/>
      </c>
      <c r="J1498">
        <f>IF(ISNUMBER(B1498),YEAR(B1498)*100+MONTH(B1498),"")</f>
        <v/>
      </c>
      <c r="K1498">
        <f>IF(AND(H1498="",OR(F1498="Attended",F1498="No-show",AND(F1498="Late cancel",Settings!$C$9="Yes"))),1,0)</f>
        <v/>
      </c>
      <c r="L1498">
        <f>IF(AND(H1498="",F1498="Attended"),1,0)</f>
        <v/>
      </c>
      <c r="M1498">
        <f>IF(AND(H1498="",OR(F1498="No-show",F1498="Late cancel")),1,0)</f>
        <v/>
      </c>
      <c r="N1498">
        <f>IF(AND(H1498="",F1498="",D1498&lt;&gt;"",I1498&gt;=TODAY()),ROUND((I1498+IF(ISNUMBER(C1498),MOD(C1498,1),0))*1440,0)*10000+ROW(),"")</f>
        <v/>
      </c>
    </row>
    <row r="1499">
      <c r="A1499" s="1" t="n"/>
      <c r="B1499" s="17" t="n"/>
      <c r="C1499" s="18" t="n"/>
      <c r="D1499" s="19" t="n"/>
      <c r="E1499" s="20" t="n"/>
      <c r="F1499" s="20" t="n"/>
      <c r="G1499" s="21" t="n"/>
      <c r="H1499" s="12">
        <f>IF(AND(B1499="",D1499="",F1499=""),"",IF(NOT(ISNUMBER(B1499)),"Needs a date",IF(D1499="","Needs a client",IF(COUNTIF(Clients!$B$6:$B$105,D1499)=0,"Not on Clients",IF(AND(F1499="",INT(B1499)&lt;TODAY()),"Needs a status","")))))</f>
        <v/>
      </c>
      <c r="I1499" s="1">
        <f>IF(ISNUMBER(B1499),INT(B1499),0)</f>
        <v/>
      </c>
      <c r="J1499">
        <f>IF(ISNUMBER(B1499),YEAR(B1499)*100+MONTH(B1499),"")</f>
        <v/>
      </c>
      <c r="K1499">
        <f>IF(AND(H1499="",OR(F1499="Attended",F1499="No-show",AND(F1499="Late cancel",Settings!$C$9="Yes"))),1,0)</f>
        <v/>
      </c>
      <c r="L1499">
        <f>IF(AND(H1499="",F1499="Attended"),1,0)</f>
        <v/>
      </c>
      <c r="M1499">
        <f>IF(AND(H1499="",OR(F1499="No-show",F1499="Late cancel")),1,0)</f>
        <v/>
      </c>
      <c r="N1499">
        <f>IF(AND(H1499="",F1499="",D1499&lt;&gt;"",I1499&gt;=TODAY()),ROUND((I1499+IF(ISNUMBER(C1499),MOD(C1499,1),0))*1440,0)*10000+ROW(),"")</f>
        <v/>
      </c>
    </row>
    <row r="1500">
      <c r="A1500" s="1" t="n"/>
      <c r="B1500" s="17" t="n"/>
      <c r="C1500" s="18" t="n"/>
      <c r="D1500" s="19" t="n"/>
      <c r="E1500" s="20" t="n"/>
      <c r="F1500" s="20" t="n"/>
      <c r="G1500" s="21" t="n"/>
      <c r="H1500" s="12">
        <f>IF(AND(B1500="",D1500="",F1500=""),"",IF(NOT(ISNUMBER(B1500)),"Needs a date",IF(D1500="","Needs a client",IF(COUNTIF(Clients!$B$6:$B$105,D1500)=0,"Not on Clients",IF(AND(F1500="",INT(B1500)&lt;TODAY()),"Needs a status","")))))</f>
        <v/>
      </c>
      <c r="I1500" s="1">
        <f>IF(ISNUMBER(B1500),INT(B1500),0)</f>
        <v/>
      </c>
      <c r="J1500">
        <f>IF(ISNUMBER(B1500),YEAR(B1500)*100+MONTH(B1500),"")</f>
        <v/>
      </c>
      <c r="K1500">
        <f>IF(AND(H1500="",OR(F1500="Attended",F1500="No-show",AND(F1500="Late cancel",Settings!$C$9="Yes"))),1,0)</f>
        <v/>
      </c>
      <c r="L1500">
        <f>IF(AND(H1500="",F1500="Attended"),1,0)</f>
        <v/>
      </c>
      <c r="M1500">
        <f>IF(AND(H1500="",OR(F1500="No-show",F1500="Late cancel")),1,0)</f>
        <v/>
      </c>
      <c r="N1500">
        <f>IF(AND(H1500="",F1500="",D1500&lt;&gt;"",I1500&gt;=TODAY()),ROUND((I1500+IF(ISNUMBER(C1500),MOD(C1500,1),0))*1440,0)*10000+ROW(),"")</f>
        <v/>
      </c>
    </row>
    <row r="1501">
      <c r="A1501" s="1" t="n"/>
      <c r="B1501" s="17" t="n"/>
      <c r="C1501" s="18" t="n"/>
      <c r="D1501" s="19" t="n"/>
      <c r="E1501" s="20" t="n"/>
      <c r="F1501" s="20" t="n"/>
      <c r="G1501" s="21" t="n"/>
      <c r="H1501" s="12">
        <f>IF(AND(B1501="",D1501="",F1501=""),"",IF(NOT(ISNUMBER(B1501)),"Needs a date",IF(D1501="","Needs a client",IF(COUNTIF(Clients!$B$6:$B$105,D1501)=0,"Not on Clients",IF(AND(F1501="",INT(B1501)&lt;TODAY()),"Needs a status","")))))</f>
        <v/>
      </c>
      <c r="I1501" s="1">
        <f>IF(ISNUMBER(B1501),INT(B1501),0)</f>
        <v/>
      </c>
      <c r="J1501">
        <f>IF(ISNUMBER(B1501),YEAR(B1501)*100+MONTH(B1501),"")</f>
        <v/>
      </c>
      <c r="K1501">
        <f>IF(AND(H1501="",OR(F1501="Attended",F1501="No-show",AND(F1501="Late cancel",Settings!$C$9="Yes"))),1,0)</f>
        <v/>
      </c>
      <c r="L1501">
        <f>IF(AND(H1501="",F1501="Attended"),1,0)</f>
        <v/>
      </c>
      <c r="M1501">
        <f>IF(AND(H1501="",OR(F1501="No-show",F1501="Late cancel")),1,0)</f>
        <v/>
      </c>
      <c r="N1501">
        <f>IF(AND(H1501="",F1501="",D1501&lt;&gt;"",I1501&gt;=TODAY()),ROUND((I1501+IF(ISNUMBER(C1501),MOD(C1501,1),0))*1440,0)*10000+ROW(),"")</f>
        <v/>
      </c>
    </row>
    <row r="1502">
      <c r="A1502" s="1" t="n"/>
      <c r="B1502" s="17" t="n"/>
      <c r="C1502" s="18" t="n"/>
      <c r="D1502" s="19" t="n"/>
      <c r="E1502" s="20" t="n"/>
      <c r="F1502" s="20" t="n"/>
      <c r="G1502" s="21" t="n"/>
      <c r="H1502" s="12">
        <f>IF(AND(B1502="",D1502="",F1502=""),"",IF(NOT(ISNUMBER(B1502)),"Needs a date",IF(D1502="","Needs a client",IF(COUNTIF(Clients!$B$6:$B$105,D1502)=0,"Not on Clients",IF(AND(F1502="",INT(B1502)&lt;TODAY()),"Needs a status","")))))</f>
        <v/>
      </c>
      <c r="I1502" s="1">
        <f>IF(ISNUMBER(B1502),INT(B1502),0)</f>
        <v/>
      </c>
      <c r="J1502">
        <f>IF(ISNUMBER(B1502),YEAR(B1502)*100+MONTH(B1502),"")</f>
        <v/>
      </c>
      <c r="K1502">
        <f>IF(AND(H1502="",OR(F1502="Attended",F1502="No-show",AND(F1502="Late cancel",Settings!$C$9="Yes"))),1,0)</f>
        <v/>
      </c>
      <c r="L1502">
        <f>IF(AND(H1502="",F1502="Attended"),1,0)</f>
        <v/>
      </c>
      <c r="M1502">
        <f>IF(AND(H1502="",OR(F1502="No-show",F1502="Late cancel")),1,0)</f>
        <v/>
      </c>
      <c r="N1502">
        <f>IF(AND(H1502="",F1502="",D1502&lt;&gt;"",I1502&gt;=TODAY()),ROUND((I1502+IF(ISNUMBER(C1502),MOD(C1502,1),0))*1440,0)*10000+ROW(),"")</f>
        <v/>
      </c>
    </row>
    <row r="1503">
      <c r="A1503" s="1" t="n"/>
      <c r="B1503" s="17" t="n"/>
      <c r="C1503" s="18" t="n"/>
      <c r="D1503" s="19" t="n"/>
      <c r="E1503" s="20" t="n"/>
      <c r="F1503" s="20" t="n"/>
      <c r="G1503" s="21" t="n"/>
      <c r="H1503" s="12">
        <f>IF(AND(B1503="",D1503="",F1503=""),"",IF(NOT(ISNUMBER(B1503)),"Needs a date",IF(D1503="","Needs a client",IF(COUNTIF(Clients!$B$6:$B$105,D1503)=0,"Not on Clients",IF(AND(F1503="",INT(B1503)&lt;TODAY()),"Needs a status","")))))</f>
        <v/>
      </c>
      <c r="I1503" s="1">
        <f>IF(ISNUMBER(B1503),INT(B1503),0)</f>
        <v/>
      </c>
      <c r="J1503">
        <f>IF(ISNUMBER(B1503),YEAR(B1503)*100+MONTH(B1503),"")</f>
        <v/>
      </c>
      <c r="K1503">
        <f>IF(AND(H1503="",OR(F1503="Attended",F1503="No-show",AND(F1503="Late cancel",Settings!$C$9="Yes"))),1,0)</f>
        <v/>
      </c>
      <c r="L1503">
        <f>IF(AND(H1503="",F1503="Attended"),1,0)</f>
        <v/>
      </c>
      <c r="M1503">
        <f>IF(AND(H1503="",OR(F1503="No-show",F1503="Late cancel")),1,0)</f>
        <v/>
      </c>
      <c r="N1503">
        <f>IF(AND(H1503="",F1503="",D1503&lt;&gt;"",I1503&gt;=TODAY()),ROUND((I1503+IF(ISNUMBER(C1503),MOD(C1503,1),0))*1440,0)*10000+ROW(),"")</f>
        <v/>
      </c>
    </row>
    <row r="1504">
      <c r="A1504" s="1" t="n"/>
      <c r="B1504" s="17" t="n"/>
      <c r="C1504" s="18" t="n"/>
      <c r="D1504" s="19" t="n"/>
      <c r="E1504" s="20" t="n"/>
      <c r="F1504" s="20" t="n"/>
      <c r="G1504" s="21" t="n"/>
      <c r="H1504" s="12">
        <f>IF(AND(B1504="",D1504="",F1504=""),"",IF(NOT(ISNUMBER(B1504)),"Needs a date",IF(D1504="","Needs a client",IF(COUNTIF(Clients!$B$6:$B$105,D1504)=0,"Not on Clients",IF(AND(F1504="",INT(B1504)&lt;TODAY()),"Needs a status","")))))</f>
        <v/>
      </c>
      <c r="I1504" s="1">
        <f>IF(ISNUMBER(B1504),INT(B1504),0)</f>
        <v/>
      </c>
      <c r="J1504">
        <f>IF(ISNUMBER(B1504),YEAR(B1504)*100+MONTH(B1504),"")</f>
        <v/>
      </c>
      <c r="K1504">
        <f>IF(AND(H1504="",OR(F1504="Attended",F1504="No-show",AND(F1504="Late cancel",Settings!$C$9="Yes"))),1,0)</f>
        <v/>
      </c>
      <c r="L1504">
        <f>IF(AND(H1504="",F1504="Attended"),1,0)</f>
        <v/>
      </c>
      <c r="M1504">
        <f>IF(AND(H1504="",OR(F1504="No-show",F1504="Late cancel")),1,0)</f>
        <v/>
      </c>
      <c r="N1504">
        <f>IF(AND(H1504="",F1504="",D1504&lt;&gt;"",I1504&gt;=TODAY()),ROUND((I1504+IF(ISNUMBER(C1504),MOD(C1504,1),0))*1440,0)*10000+ROW(),"")</f>
        <v/>
      </c>
    </row>
    <row r="1505">
      <c r="A1505" s="1" t="n"/>
      <c r="B1505" s="17" t="n"/>
      <c r="C1505" s="18" t="n"/>
      <c r="D1505" s="19" t="n"/>
      <c r="E1505" s="20" t="n"/>
      <c r="F1505" s="20" t="n"/>
      <c r="G1505" s="21" t="n"/>
      <c r="H1505" s="12">
        <f>IF(AND(B1505="",D1505="",F1505=""),"",IF(NOT(ISNUMBER(B1505)),"Needs a date",IF(D1505="","Needs a client",IF(COUNTIF(Clients!$B$6:$B$105,D1505)=0,"Not on Clients",IF(AND(F1505="",INT(B1505)&lt;TODAY()),"Needs a status","")))))</f>
        <v/>
      </c>
      <c r="I1505" s="1">
        <f>IF(ISNUMBER(B1505),INT(B1505),0)</f>
        <v/>
      </c>
      <c r="J1505">
        <f>IF(ISNUMBER(B1505),YEAR(B1505)*100+MONTH(B1505),"")</f>
        <v/>
      </c>
      <c r="K1505">
        <f>IF(AND(H1505="",OR(F1505="Attended",F1505="No-show",AND(F1505="Late cancel",Settings!$C$9="Yes"))),1,0)</f>
        <v/>
      </c>
      <c r="L1505">
        <f>IF(AND(H1505="",F1505="Attended"),1,0)</f>
        <v/>
      </c>
      <c r="M1505">
        <f>IF(AND(H1505="",OR(F1505="No-show",F1505="Late cancel")),1,0)</f>
        <v/>
      </c>
      <c r="N1505">
        <f>IF(AND(H1505="",F1505="",D1505&lt;&gt;"",I1505&gt;=TODAY()),ROUND((I1505+IF(ISNUMBER(C1505),MOD(C1505,1),0))*1440,0)*10000+ROW(),"")</f>
        <v/>
      </c>
    </row>
    <row r="1506">
      <c r="A1506" s="1" t="n"/>
      <c r="B1506" s="17" t="n"/>
      <c r="C1506" s="18" t="n"/>
      <c r="D1506" s="19" t="n"/>
      <c r="E1506" s="20" t="n"/>
      <c r="F1506" s="20" t="n"/>
      <c r="G1506" s="21" t="n"/>
      <c r="H1506" s="12">
        <f>IF(AND(B1506="",D1506="",F1506=""),"",IF(NOT(ISNUMBER(B1506)),"Needs a date",IF(D1506="","Needs a client",IF(COUNTIF(Clients!$B$6:$B$105,D1506)=0,"Not on Clients",IF(AND(F1506="",INT(B1506)&lt;TODAY()),"Needs a status","")))))</f>
        <v/>
      </c>
      <c r="I1506" s="1">
        <f>IF(ISNUMBER(B1506),INT(B1506),0)</f>
        <v/>
      </c>
      <c r="J1506">
        <f>IF(ISNUMBER(B1506),YEAR(B1506)*100+MONTH(B1506),"")</f>
        <v/>
      </c>
      <c r="K1506">
        <f>IF(AND(H1506="",OR(F1506="Attended",F1506="No-show",AND(F1506="Late cancel",Settings!$C$9="Yes"))),1,0)</f>
        <v/>
      </c>
      <c r="L1506">
        <f>IF(AND(H1506="",F1506="Attended"),1,0)</f>
        <v/>
      </c>
      <c r="M1506">
        <f>IF(AND(H1506="",OR(F1506="No-show",F1506="Late cancel")),1,0)</f>
        <v/>
      </c>
      <c r="N1506">
        <f>IF(AND(H1506="",F1506="",D1506&lt;&gt;"",I1506&gt;=TODAY()),ROUND((I1506+IF(ISNUMBER(C1506),MOD(C1506,1),0))*1440,0)*10000+ROW(),"")</f>
        <v/>
      </c>
    </row>
    <row r="1507">
      <c r="A1507" s="1" t="n"/>
      <c r="B1507" s="17" t="n"/>
      <c r="C1507" s="18" t="n"/>
      <c r="D1507" s="19" t="n"/>
      <c r="E1507" s="20" t="n"/>
      <c r="F1507" s="20" t="n"/>
      <c r="G1507" s="21" t="n"/>
      <c r="H1507" s="12">
        <f>IF(AND(B1507="",D1507="",F1507=""),"",IF(NOT(ISNUMBER(B1507)),"Needs a date",IF(D1507="","Needs a client",IF(COUNTIF(Clients!$B$6:$B$105,D1507)=0,"Not on Clients",IF(AND(F1507="",INT(B1507)&lt;TODAY()),"Needs a status","")))))</f>
        <v/>
      </c>
      <c r="I1507" s="1">
        <f>IF(ISNUMBER(B1507),INT(B1507),0)</f>
        <v/>
      </c>
      <c r="J1507">
        <f>IF(ISNUMBER(B1507),YEAR(B1507)*100+MONTH(B1507),"")</f>
        <v/>
      </c>
      <c r="K1507">
        <f>IF(AND(H1507="",OR(F1507="Attended",F1507="No-show",AND(F1507="Late cancel",Settings!$C$9="Yes"))),1,0)</f>
        <v/>
      </c>
      <c r="L1507">
        <f>IF(AND(H1507="",F1507="Attended"),1,0)</f>
        <v/>
      </c>
      <c r="M1507">
        <f>IF(AND(H1507="",OR(F1507="No-show",F1507="Late cancel")),1,0)</f>
        <v/>
      </c>
      <c r="N1507">
        <f>IF(AND(H1507="",F1507="",D1507&lt;&gt;"",I1507&gt;=TODAY()),ROUND((I1507+IF(ISNUMBER(C1507),MOD(C1507,1),0))*1440,0)*10000+ROW(),"")</f>
        <v/>
      </c>
    </row>
    <row r="1508">
      <c r="A1508" s="1" t="n"/>
      <c r="B1508" s="17" t="n"/>
      <c r="C1508" s="18" t="n"/>
      <c r="D1508" s="19" t="n"/>
      <c r="E1508" s="20" t="n"/>
      <c r="F1508" s="20" t="n"/>
      <c r="G1508" s="21" t="n"/>
      <c r="H1508" s="12">
        <f>IF(AND(B1508="",D1508="",F1508=""),"",IF(NOT(ISNUMBER(B1508)),"Needs a date",IF(D1508="","Needs a client",IF(COUNTIF(Clients!$B$6:$B$105,D1508)=0,"Not on Clients",IF(AND(F1508="",INT(B1508)&lt;TODAY()),"Needs a status","")))))</f>
        <v/>
      </c>
      <c r="I1508" s="1">
        <f>IF(ISNUMBER(B1508),INT(B1508),0)</f>
        <v/>
      </c>
      <c r="J1508">
        <f>IF(ISNUMBER(B1508),YEAR(B1508)*100+MONTH(B1508),"")</f>
        <v/>
      </c>
      <c r="K1508">
        <f>IF(AND(H1508="",OR(F1508="Attended",F1508="No-show",AND(F1508="Late cancel",Settings!$C$9="Yes"))),1,0)</f>
        <v/>
      </c>
      <c r="L1508">
        <f>IF(AND(H1508="",F1508="Attended"),1,0)</f>
        <v/>
      </c>
      <c r="M1508">
        <f>IF(AND(H1508="",OR(F1508="No-show",F1508="Late cancel")),1,0)</f>
        <v/>
      </c>
      <c r="N1508">
        <f>IF(AND(H1508="",F1508="",D1508&lt;&gt;"",I1508&gt;=TODAY()),ROUND((I1508+IF(ISNUMBER(C1508),MOD(C1508,1),0))*1440,0)*10000+ROW(),"")</f>
        <v/>
      </c>
    </row>
    <row r="1509">
      <c r="A1509" s="1" t="n"/>
      <c r="B1509" s="17" t="n"/>
      <c r="C1509" s="18" t="n"/>
      <c r="D1509" s="19" t="n"/>
      <c r="E1509" s="20" t="n"/>
      <c r="F1509" s="20" t="n"/>
      <c r="G1509" s="21" t="n"/>
      <c r="H1509" s="12">
        <f>IF(AND(B1509="",D1509="",F1509=""),"",IF(NOT(ISNUMBER(B1509)),"Needs a date",IF(D1509="","Needs a client",IF(COUNTIF(Clients!$B$6:$B$105,D1509)=0,"Not on Clients",IF(AND(F1509="",INT(B1509)&lt;TODAY()),"Needs a status","")))))</f>
        <v/>
      </c>
      <c r="I1509" s="1">
        <f>IF(ISNUMBER(B1509),INT(B1509),0)</f>
        <v/>
      </c>
      <c r="J1509">
        <f>IF(ISNUMBER(B1509),YEAR(B1509)*100+MONTH(B1509),"")</f>
        <v/>
      </c>
      <c r="K1509">
        <f>IF(AND(H1509="",OR(F1509="Attended",F1509="No-show",AND(F1509="Late cancel",Settings!$C$9="Yes"))),1,0)</f>
        <v/>
      </c>
      <c r="L1509">
        <f>IF(AND(H1509="",F1509="Attended"),1,0)</f>
        <v/>
      </c>
      <c r="M1509">
        <f>IF(AND(H1509="",OR(F1509="No-show",F1509="Late cancel")),1,0)</f>
        <v/>
      </c>
      <c r="N1509">
        <f>IF(AND(H1509="",F1509="",D1509&lt;&gt;"",I1509&gt;=TODAY()),ROUND((I1509+IF(ISNUMBER(C1509),MOD(C1509,1),0))*1440,0)*10000+ROW(),"")</f>
        <v/>
      </c>
    </row>
    <row r="1510">
      <c r="A1510" s="1" t="n"/>
      <c r="B1510" s="17" t="n"/>
      <c r="C1510" s="18" t="n"/>
      <c r="D1510" s="19" t="n"/>
      <c r="E1510" s="20" t="n"/>
      <c r="F1510" s="20" t="n"/>
      <c r="G1510" s="21" t="n"/>
      <c r="H1510" s="12">
        <f>IF(AND(B1510="",D1510="",F1510=""),"",IF(NOT(ISNUMBER(B1510)),"Needs a date",IF(D1510="","Needs a client",IF(COUNTIF(Clients!$B$6:$B$105,D1510)=0,"Not on Clients",IF(AND(F1510="",INT(B1510)&lt;TODAY()),"Needs a status","")))))</f>
        <v/>
      </c>
      <c r="I1510" s="1">
        <f>IF(ISNUMBER(B1510),INT(B1510),0)</f>
        <v/>
      </c>
      <c r="J1510">
        <f>IF(ISNUMBER(B1510),YEAR(B1510)*100+MONTH(B1510),"")</f>
        <v/>
      </c>
      <c r="K1510">
        <f>IF(AND(H1510="",OR(F1510="Attended",F1510="No-show",AND(F1510="Late cancel",Settings!$C$9="Yes"))),1,0)</f>
        <v/>
      </c>
      <c r="L1510">
        <f>IF(AND(H1510="",F1510="Attended"),1,0)</f>
        <v/>
      </c>
      <c r="M1510">
        <f>IF(AND(H1510="",OR(F1510="No-show",F1510="Late cancel")),1,0)</f>
        <v/>
      </c>
      <c r="N1510">
        <f>IF(AND(H1510="",F1510="",D1510&lt;&gt;"",I1510&gt;=TODAY()),ROUND((I1510+IF(ISNUMBER(C1510),MOD(C1510,1),0))*1440,0)*10000+ROW(),"")</f>
        <v/>
      </c>
    </row>
    <row r="1511">
      <c r="A1511" s="1" t="n"/>
      <c r="B1511" s="17" t="n"/>
      <c r="C1511" s="18" t="n"/>
      <c r="D1511" s="19" t="n"/>
      <c r="E1511" s="20" t="n"/>
      <c r="F1511" s="20" t="n"/>
      <c r="G1511" s="21" t="n"/>
      <c r="H1511" s="12">
        <f>IF(AND(B1511="",D1511="",F1511=""),"",IF(NOT(ISNUMBER(B1511)),"Needs a date",IF(D1511="","Needs a client",IF(COUNTIF(Clients!$B$6:$B$105,D1511)=0,"Not on Clients",IF(AND(F1511="",INT(B1511)&lt;TODAY()),"Needs a status","")))))</f>
        <v/>
      </c>
      <c r="I1511" s="1">
        <f>IF(ISNUMBER(B1511),INT(B1511),0)</f>
        <v/>
      </c>
      <c r="J1511">
        <f>IF(ISNUMBER(B1511),YEAR(B1511)*100+MONTH(B1511),"")</f>
        <v/>
      </c>
      <c r="K1511">
        <f>IF(AND(H1511="",OR(F1511="Attended",F1511="No-show",AND(F1511="Late cancel",Settings!$C$9="Yes"))),1,0)</f>
        <v/>
      </c>
      <c r="L1511">
        <f>IF(AND(H1511="",F1511="Attended"),1,0)</f>
        <v/>
      </c>
      <c r="M1511">
        <f>IF(AND(H1511="",OR(F1511="No-show",F1511="Late cancel")),1,0)</f>
        <v/>
      </c>
      <c r="N1511">
        <f>IF(AND(H1511="",F1511="",D1511&lt;&gt;"",I1511&gt;=TODAY()),ROUND((I1511+IF(ISNUMBER(C1511),MOD(C1511,1),0))*1440,0)*10000+ROW(),"")</f>
        <v/>
      </c>
    </row>
    <row r="1512">
      <c r="A1512" s="1" t="n"/>
      <c r="B1512" s="17" t="n"/>
      <c r="C1512" s="18" t="n"/>
      <c r="D1512" s="19" t="n"/>
      <c r="E1512" s="20" t="n"/>
      <c r="F1512" s="20" t="n"/>
      <c r="G1512" s="21" t="n"/>
      <c r="H1512" s="12">
        <f>IF(AND(B1512="",D1512="",F1512=""),"",IF(NOT(ISNUMBER(B1512)),"Needs a date",IF(D1512="","Needs a client",IF(COUNTIF(Clients!$B$6:$B$105,D1512)=0,"Not on Clients",IF(AND(F1512="",INT(B1512)&lt;TODAY()),"Needs a status","")))))</f>
        <v/>
      </c>
      <c r="I1512" s="1">
        <f>IF(ISNUMBER(B1512),INT(B1512),0)</f>
        <v/>
      </c>
      <c r="J1512">
        <f>IF(ISNUMBER(B1512),YEAR(B1512)*100+MONTH(B1512),"")</f>
        <v/>
      </c>
      <c r="K1512">
        <f>IF(AND(H1512="",OR(F1512="Attended",F1512="No-show",AND(F1512="Late cancel",Settings!$C$9="Yes"))),1,0)</f>
        <v/>
      </c>
      <c r="L1512">
        <f>IF(AND(H1512="",F1512="Attended"),1,0)</f>
        <v/>
      </c>
      <c r="M1512">
        <f>IF(AND(H1512="",OR(F1512="No-show",F1512="Late cancel")),1,0)</f>
        <v/>
      </c>
      <c r="N1512">
        <f>IF(AND(H1512="",F1512="",D1512&lt;&gt;"",I1512&gt;=TODAY()),ROUND((I1512+IF(ISNUMBER(C1512),MOD(C1512,1),0))*1440,0)*10000+ROW(),"")</f>
        <v/>
      </c>
    </row>
    <row r="1513">
      <c r="A1513" s="1" t="n"/>
      <c r="B1513" s="17" t="n"/>
      <c r="C1513" s="18" t="n"/>
      <c r="D1513" s="19" t="n"/>
      <c r="E1513" s="20" t="n"/>
      <c r="F1513" s="20" t="n"/>
      <c r="G1513" s="21" t="n"/>
      <c r="H1513" s="12">
        <f>IF(AND(B1513="",D1513="",F1513=""),"",IF(NOT(ISNUMBER(B1513)),"Needs a date",IF(D1513="","Needs a client",IF(COUNTIF(Clients!$B$6:$B$105,D1513)=0,"Not on Clients",IF(AND(F1513="",INT(B1513)&lt;TODAY()),"Needs a status","")))))</f>
        <v/>
      </c>
      <c r="I1513" s="1">
        <f>IF(ISNUMBER(B1513),INT(B1513),0)</f>
        <v/>
      </c>
      <c r="J1513">
        <f>IF(ISNUMBER(B1513),YEAR(B1513)*100+MONTH(B1513),"")</f>
        <v/>
      </c>
      <c r="K1513">
        <f>IF(AND(H1513="",OR(F1513="Attended",F1513="No-show",AND(F1513="Late cancel",Settings!$C$9="Yes"))),1,0)</f>
        <v/>
      </c>
      <c r="L1513">
        <f>IF(AND(H1513="",F1513="Attended"),1,0)</f>
        <v/>
      </c>
      <c r="M1513">
        <f>IF(AND(H1513="",OR(F1513="No-show",F1513="Late cancel")),1,0)</f>
        <v/>
      </c>
      <c r="N1513">
        <f>IF(AND(H1513="",F1513="",D1513&lt;&gt;"",I1513&gt;=TODAY()),ROUND((I1513+IF(ISNUMBER(C1513),MOD(C1513,1),0))*1440,0)*10000+ROW(),"")</f>
        <v/>
      </c>
    </row>
    <row r="1514">
      <c r="A1514" s="1" t="n"/>
      <c r="B1514" s="17" t="n"/>
      <c r="C1514" s="18" t="n"/>
      <c r="D1514" s="19" t="n"/>
      <c r="E1514" s="20" t="n"/>
      <c r="F1514" s="20" t="n"/>
      <c r="G1514" s="21" t="n"/>
      <c r="H1514" s="12">
        <f>IF(AND(B1514="",D1514="",F1514=""),"",IF(NOT(ISNUMBER(B1514)),"Needs a date",IF(D1514="","Needs a client",IF(COUNTIF(Clients!$B$6:$B$105,D1514)=0,"Not on Clients",IF(AND(F1514="",INT(B1514)&lt;TODAY()),"Needs a status","")))))</f>
        <v/>
      </c>
      <c r="I1514" s="1">
        <f>IF(ISNUMBER(B1514),INT(B1514),0)</f>
        <v/>
      </c>
      <c r="J1514">
        <f>IF(ISNUMBER(B1514),YEAR(B1514)*100+MONTH(B1514),"")</f>
        <v/>
      </c>
      <c r="K1514">
        <f>IF(AND(H1514="",OR(F1514="Attended",F1514="No-show",AND(F1514="Late cancel",Settings!$C$9="Yes"))),1,0)</f>
        <v/>
      </c>
      <c r="L1514">
        <f>IF(AND(H1514="",F1514="Attended"),1,0)</f>
        <v/>
      </c>
      <c r="M1514">
        <f>IF(AND(H1514="",OR(F1514="No-show",F1514="Late cancel")),1,0)</f>
        <v/>
      </c>
      <c r="N1514">
        <f>IF(AND(H1514="",F1514="",D1514&lt;&gt;"",I1514&gt;=TODAY()),ROUND((I1514+IF(ISNUMBER(C1514),MOD(C1514,1),0))*1440,0)*10000+ROW(),"")</f>
        <v/>
      </c>
    </row>
    <row r="1515">
      <c r="A1515" s="1" t="n"/>
      <c r="B1515" s="17" t="n"/>
      <c r="C1515" s="18" t="n"/>
      <c r="D1515" s="19" t="n"/>
      <c r="E1515" s="20" t="n"/>
      <c r="F1515" s="20" t="n"/>
      <c r="G1515" s="21" t="n"/>
      <c r="H1515" s="12">
        <f>IF(AND(B1515="",D1515="",F1515=""),"",IF(NOT(ISNUMBER(B1515)),"Needs a date",IF(D1515="","Needs a client",IF(COUNTIF(Clients!$B$6:$B$105,D1515)=0,"Not on Clients",IF(AND(F1515="",INT(B1515)&lt;TODAY()),"Needs a status","")))))</f>
        <v/>
      </c>
      <c r="I1515" s="1">
        <f>IF(ISNUMBER(B1515),INT(B1515),0)</f>
        <v/>
      </c>
      <c r="J1515">
        <f>IF(ISNUMBER(B1515),YEAR(B1515)*100+MONTH(B1515),"")</f>
        <v/>
      </c>
      <c r="K1515">
        <f>IF(AND(H1515="",OR(F1515="Attended",F1515="No-show",AND(F1515="Late cancel",Settings!$C$9="Yes"))),1,0)</f>
        <v/>
      </c>
      <c r="L1515">
        <f>IF(AND(H1515="",F1515="Attended"),1,0)</f>
        <v/>
      </c>
      <c r="M1515">
        <f>IF(AND(H1515="",OR(F1515="No-show",F1515="Late cancel")),1,0)</f>
        <v/>
      </c>
      <c r="N1515">
        <f>IF(AND(H1515="",F1515="",D1515&lt;&gt;"",I1515&gt;=TODAY()),ROUND((I1515+IF(ISNUMBER(C1515),MOD(C1515,1),0))*1440,0)*10000+ROW(),"")</f>
        <v/>
      </c>
    </row>
    <row r="1516">
      <c r="A1516" s="1" t="n"/>
      <c r="B1516" s="17" t="n"/>
      <c r="C1516" s="18" t="n"/>
      <c r="D1516" s="19" t="n"/>
      <c r="E1516" s="20" t="n"/>
      <c r="F1516" s="20" t="n"/>
      <c r="G1516" s="21" t="n"/>
      <c r="H1516" s="12">
        <f>IF(AND(B1516="",D1516="",F1516=""),"",IF(NOT(ISNUMBER(B1516)),"Needs a date",IF(D1516="","Needs a client",IF(COUNTIF(Clients!$B$6:$B$105,D1516)=0,"Not on Clients",IF(AND(F1516="",INT(B1516)&lt;TODAY()),"Needs a status","")))))</f>
        <v/>
      </c>
      <c r="I1516" s="1">
        <f>IF(ISNUMBER(B1516),INT(B1516),0)</f>
        <v/>
      </c>
      <c r="J1516">
        <f>IF(ISNUMBER(B1516),YEAR(B1516)*100+MONTH(B1516),"")</f>
        <v/>
      </c>
      <c r="K1516">
        <f>IF(AND(H1516="",OR(F1516="Attended",F1516="No-show",AND(F1516="Late cancel",Settings!$C$9="Yes"))),1,0)</f>
        <v/>
      </c>
      <c r="L1516">
        <f>IF(AND(H1516="",F1516="Attended"),1,0)</f>
        <v/>
      </c>
      <c r="M1516">
        <f>IF(AND(H1516="",OR(F1516="No-show",F1516="Late cancel")),1,0)</f>
        <v/>
      </c>
      <c r="N1516">
        <f>IF(AND(H1516="",F1516="",D1516&lt;&gt;"",I1516&gt;=TODAY()),ROUND((I1516+IF(ISNUMBER(C1516),MOD(C1516,1),0))*1440,0)*10000+ROW(),"")</f>
        <v/>
      </c>
    </row>
    <row r="1517">
      <c r="A1517" s="1" t="n"/>
      <c r="B1517" s="17" t="n"/>
      <c r="C1517" s="18" t="n"/>
      <c r="D1517" s="19" t="n"/>
      <c r="E1517" s="20" t="n"/>
      <c r="F1517" s="20" t="n"/>
      <c r="G1517" s="21" t="n"/>
      <c r="H1517" s="12">
        <f>IF(AND(B1517="",D1517="",F1517=""),"",IF(NOT(ISNUMBER(B1517)),"Needs a date",IF(D1517="","Needs a client",IF(COUNTIF(Clients!$B$6:$B$105,D1517)=0,"Not on Clients",IF(AND(F1517="",INT(B1517)&lt;TODAY()),"Needs a status","")))))</f>
        <v/>
      </c>
      <c r="I1517" s="1">
        <f>IF(ISNUMBER(B1517),INT(B1517),0)</f>
        <v/>
      </c>
      <c r="J1517">
        <f>IF(ISNUMBER(B1517),YEAR(B1517)*100+MONTH(B1517),"")</f>
        <v/>
      </c>
      <c r="K1517">
        <f>IF(AND(H1517="",OR(F1517="Attended",F1517="No-show",AND(F1517="Late cancel",Settings!$C$9="Yes"))),1,0)</f>
        <v/>
      </c>
      <c r="L1517">
        <f>IF(AND(H1517="",F1517="Attended"),1,0)</f>
        <v/>
      </c>
      <c r="M1517">
        <f>IF(AND(H1517="",OR(F1517="No-show",F1517="Late cancel")),1,0)</f>
        <v/>
      </c>
      <c r="N1517">
        <f>IF(AND(H1517="",F1517="",D1517&lt;&gt;"",I1517&gt;=TODAY()),ROUND((I1517+IF(ISNUMBER(C1517),MOD(C1517,1),0))*1440,0)*10000+ROW(),"")</f>
        <v/>
      </c>
    </row>
    <row r="1518">
      <c r="A1518" s="1" t="n"/>
      <c r="B1518" s="17" t="n"/>
      <c r="C1518" s="18" t="n"/>
      <c r="D1518" s="19" t="n"/>
      <c r="E1518" s="20" t="n"/>
      <c r="F1518" s="20" t="n"/>
      <c r="G1518" s="21" t="n"/>
      <c r="H1518" s="12">
        <f>IF(AND(B1518="",D1518="",F1518=""),"",IF(NOT(ISNUMBER(B1518)),"Needs a date",IF(D1518="","Needs a client",IF(COUNTIF(Clients!$B$6:$B$105,D1518)=0,"Not on Clients",IF(AND(F1518="",INT(B1518)&lt;TODAY()),"Needs a status","")))))</f>
        <v/>
      </c>
      <c r="I1518" s="1">
        <f>IF(ISNUMBER(B1518),INT(B1518),0)</f>
        <v/>
      </c>
      <c r="J1518">
        <f>IF(ISNUMBER(B1518),YEAR(B1518)*100+MONTH(B1518),"")</f>
        <v/>
      </c>
      <c r="K1518">
        <f>IF(AND(H1518="",OR(F1518="Attended",F1518="No-show",AND(F1518="Late cancel",Settings!$C$9="Yes"))),1,0)</f>
        <v/>
      </c>
      <c r="L1518">
        <f>IF(AND(H1518="",F1518="Attended"),1,0)</f>
        <v/>
      </c>
      <c r="M1518">
        <f>IF(AND(H1518="",OR(F1518="No-show",F1518="Late cancel")),1,0)</f>
        <v/>
      </c>
      <c r="N1518">
        <f>IF(AND(H1518="",F1518="",D1518&lt;&gt;"",I1518&gt;=TODAY()),ROUND((I1518+IF(ISNUMBER(C1518),MOD(C1518,1),0))*1440,0)*10000+ROW(),"")</f>
        <v/>
      </c>
    </row>
    <row r="1519">
      <c r="A1519" s="1" t="n"/>
      <c r="B1519" s="17" t="n"/>
      <c r="C1519" s="18" t="n"/>
      <c r="D1519" s="19" t="n"/>
      <c r="E1519" s="20" t="n"/>
      <c r="F1519" s="20" t="n"/>
      <c r="G1519" s="21" t="n"/>
      <c r="H1519" s="12">
        <f>IF(AND(B1519="",D1519="",F1519=""),"",IF(NOT(ISNUMBER(B1519)),"Needs a date",IF(D1519="","Needs a client",IF(COUNTIF(Clients!$B$6:$B$105,D1519)=0,"Not on Clients",IF(AND(F1519="",INT(B1519)&lt;TODAY()),"Needs a status","")))))</f>
        <v/>
      </c>
      <c r="I1519" s="1">
        <f>IF(ISNUMBER(B1519),INT(B1519),0)</f>
        <v/>
      </c>
      <c r="J1519">
        <f>IF(ISNUMBER(B1519),YEAR(B1519)*100+MONTH(B1519),"")</f>
        <v/>
      </c>
      <c r="K1519">
        <f>IF(AND(H1519="",OR(F1519="Attended",F1519="No-show",AND(F1519="Late cancel",Settings!$C$9="Yes"))),1,0)</f>
        <v/>
      </c>
      <c r="L1519">
        <f>IF(AND(H1519="",F1519="Attended"),1,0)</f>
        <v/>
      </c>
      <c r="M1519">
        <f>IF(AND(H1519="",OR(F1519="No-show",F1519="Late cancel")),1,0)</f>
        <v/>
      </c>
      <c r="N1519">
        <f>IF(AND(H1519="",F1519="",D1519&lt;&gt;"",I1519&gt;=TODAY()),ROUND((I1519+IF(ISNUMBER(C1519),MOD(C1519,1),0))*1440,0)*10000+ROW(),"")</f>
        <v/>
      </c>
    </row>
    <row r="1520">
      <c r="A1520" s="1" t="n"/>
      <c r="B1520" s="17" t="n"/>
      <c r="C1520" s="18" t="n"/>
      <c r="D1520" s="19" t="n"/>
      <c r="E1520" s="20" t="n"/>
      <c r="F1520" s="20" t="n"/>
      <c r="G1520" s="21" t="n"/>
      <c r="H1520" s="12">
        <f>IF(AND(B1520="",D1520="",F1520=""),"",IF(NOT(ISNUMBER(B1520)),"Needs a date",IF(D1520="","Needs a client",IF(COUNTIF(Clients!$B$6:$B$105,D1520)=0,"Not on Clients",IF(AND(F1520="",INT(B1520)&lt;TODAY()),"Needs a status","")))))</f>
        <v/>
      </c>
      <c r="I1520" s="1">
        <f>IF(ISNUMBER(B1520),INT(B1520),0)</f>
        <v/>
      </c>
      <c r="J1520">
        <f>IF(ISNUMBER(B1520),YEAR(B1520)*100+MONTH(B1520),"")</f>
        <v/>
      </c>
      <c r="K1520">
        <f>IF(AND(H1520="",OR(F1520="Attended",F1520="No-show",AND(F1520="Late cancel",Settings!$C$9="Yes"))),1,0)</f>
        <v/>
      </c>
      <c r="L1520">
        <f>IF(AND(H1520="",F1520="Attended"),1,0)</f>
        <v/>
      </c>
      <c r="M1520">
        <f>IF(AND(H1520="",OR(F1520="No-show",F1520="Late cancel")),1,0)</f>
        <v/>
      </c>
      <c r="N1520">
        <f>IF(AND(H1520="",F1520="",D1520&lt;&gt;"",I1520&gt;=TODAY()),ROUND((I1520+IF(ISNUMBER(C1520),MOD(C1520,1),0))*1440,0)*10000+ROW(),"")</f>
        <v/>
      </c>
    </row>
    <row r="1521">
      <c r="A1521" s="1" t="n"/>
      <c r="B1521" s="17" t="n"/>
      <c r="C1521" s="18" t="n"/>
      <c r="D1521" s="19" t="n"/>
      <c r="E1521" s="20" t="n"/>
      <c r="F1521" s="20" t="n"/>
      <c r="G1521" s="21" t="n"/>
      <c r="H1521" s="12">
        <f>IF(AND(B1521="",D1521="",F1521=""),"",IF(NOT(ISNUMBER(B1521)),"Needs a date",IF(D1521="","Needs a client",IF(COUNTIF(Clients!$B$6:$B$105,D1521)=0,"Not on Clients",IF(AND(F1521="",INT(B1521)&lt;TODAY()),"Needs a status","")))))</f>
        <v/>
      </c>
      <c r="I1521" s="1">
        <f>IF(ISNUMBER(B1521),INT(B1521),0)</f>
        <v/>
      </c>
      <c r="J1521">
        <f>IF(ISNUMBER(B1521),YEAR(B1521)*100+MONTH(B1521),"")</f>
        <v/>
      </c>
      <c r="K1521">
        <f>IF(AND(H1521="",OR(F1521="Attended",F1521="No-show",AND(F1521="Late cancel",Settings!$C$9="Yes"))),1,0)</f>
        <v/>
      </c>
      <c r="L1521">
        <f>IF(AND(H1521="",F1521="Attended"),1,0)</f>
        <v/>
      </c>
      <c r="M1521">
        <f>IF(AND(H1521="",OR(F1521="No-show",F1521="Late cancel")),1,0)</f>
        <v/>
      </c>
      <c r="N1521">
        <f>IF(AND(H1521="",F1521="",D1521&lt;&gt;"",I1521&gt;=TODAY()),ROUND((I1521+IF(ISNUMBER(C1521),MOD(C1521,1),0))*1440,0)*10000+ROW(),"")</f>
        <v/>
      </c>
    </row>
    <row r="1522">
      <c r="A1522" s="1" t="n"/>
      <c r="B1522" s="17" t="n"/>
      <c r="C1522" s="18" t="n"/>
      <c r="D1522" s="19" t="n"/>
      <c r="E1522" s="20" t="n"/>
      <c r="F1522" s="20" t="n"/>
      <c r="G1522" s="21" t="n"/>
      <c r="H1522" s="12">
        <f>IF(AND(B1522="",D1522="",F1522=""),"",IF(NOT(ISNUMBER(B1522)),"Needs a date",IF(D1522="","Needs a client",IF(COUNTIF(Clients!$B$6:$B$105,D1522)=0,"Not on Clients",IF(AND(F1522="",INT(B1522)&lt;TODAY()),"Needs a status","")))))</f>
        <v/>
      </c>
      <c r="I1522" s="1">
        <f>IF(ISNUMBER(B1522),INT(B1522),0)</f>
        <v/>
      </c>
      <c r="J1522">
        <f>IF(ISNUMBER(B1522),YEAR(B1522)*100+MONTH(B1522),"")</f>
        <v/>
      </c>
      <c r="K1522">
        <f>IF(AND(H1522="",OR(F1522="Attended",F1522="No-show",AND(F1522="Late cancel",Settings!$C$9="Yes"))),1,0)</f>
        <v/>
      </c>
      <c r="L1522">
        <f>IF(AND(H1522="",F1522="Attended"),1,0)</f>
        <v/>
      </c>
      <c r="M1522">
        <f>IF(AND(H1522="",OR(F1522="No-show",F1522="Late cancel")),1,0)</f>
        <v/>
      </c>
      <c r="N1522">
        <f>IF(AND(H1522="",F1522="",D1522&lt;&gt;"",I1522&gt;=TODAY()),ROUND((I1522+IF(ISNUMBER(C1522),MOD(C1522,1),0))*1440,0)*10000+ROW(),"")</f>
        <v/>
      </c>
    </row>
    <row r="1523">
      <c r="A1523" s="1" t="n"/>
      <c r="B1523" s="17" t="n"/>
      <c r="C1523" s="18" t="n"/>
      <c r="D1523" s="19" t="n"/>
      <c r="E1523" s="20" t="n"/>
      <c r="F1523" s="20" t="n"/>
      <c r="G1523" s="21" t="n"/>
      <c r="H1523" s="12">
        <f>IF(AND(B1523="",D1523="",F1523=""),"",IF(NOT(ISNUMBER(B1523)),"Needs a date",IF(D1523="","Needs a client",IF(COUNTIF(Clients!$B$6:$B$105,D1523)=0,"Not on Clients",IF(AND(F1523="",INT(B1523)&lt;TODAY()),"Needs a status","")))))</f>
        <v/>
      </c>
      <c r="I1523" s="1">
        <f>IF(ISNUMBER(B1523),INT(B1523),0)</f>
        <v/>
      </c>
      <c r="J1523">
        <f>IF(ISNUMBER(B1523),YEAR(B1523)*100+MONTH(B1523),"")</f>
        <v/>
      </c>
      <c r="K1523">
        <f>IF(AND(H1523="",OR(F1523="Attended",F1523="No-show",AND(F1523="Late cancel",Settings!$C$9="Yes"))),1,0)</f>
        <v/>
      </c>
      <c r="L1523">
        <f>IF(AND(H1523="",F1523="Attended"),1,0)</f>
        <v/>
      </c>
      <c r="M1523">
        <f>IF(AND(H1523="",OR(F1523="No-show",F1523="Late cancel")),1,0)</f>
        <v/>
      </c>
      <c r="N1523">
        <f>IF(AND(H1523="",F1523="",D1523&lt;&gt;"",I1523&gt;=TODAY()),ROUND((I1523+IF(ISNUMBER(C1523),MOD(C1523,1),0))*1440,0)*10000+ROW(),"")</f>
        <v/>
      </c>
    </row>
    <row r="1524">
      <c r="A1524" s="1" t="n"/>
      <c r="B1524" s="17" t="n"/>
      <c r="C1524" s="18" t="n"/>
      <c r="D1524" s="19" t="n"/>
      <c r="E1524" s="20" t="n"/>
      <c r="F1524" s="20" t="n"/>
      <c r="G1524" s="21" t="n"/>
      <c r="H1524" s="12">
        <f>IF(AND(B1524="",D1524="",F1524=""),"",IF(NOT(ISNUMBER(B1524)),"Needs a date",IF(D1524="","Needs a client",IF(COUNTIF(Clients!$B$6:$B$105,D1524)=0,"Not on Clients",IF(AND(F1524="",INT(B1524)&lt;TODAY()),"Needs a status","")))))</f>
        <v/>
      </c>
      <c r="I1524" s="1">
        <f>IF(ISNUMBER(B1524),INT(B1524),0)</f>
        <v/>
      </c>
      <c r="J1524">
        <f>IF(ISNUMBER(B1524),YEAR(B1524)*100+MONTH(B1524),"")</f>
        <v/>
      </c>
      <c r="K1524">
        <f>IF(AND(H1524="",OR(F1524="Attended",F1524="No-show",AND(F1524="Late cancel",Settings!$C$9="Yes"))),1,0)</f>
        <v/>
      </c>
      <c r="L1524">
        <f>IF(AND(H1524="",F1524="Attended"),1,0)</f>
        <v/>
      </c>
      <c r="M1524">
        <f>IF(AND(H1524="",OR(F1524="No-show",F1524="Late cancel")),1,0)</f>
        <v/>
      </c>
      <c r="N1524">
        <f>IF(AND(H1524="",F1524="",D1524&lt;&gt;"",I1524&gt;=TODAY()),ROUND((I1524+IF(ISNUMBER(C1524),MOD(C1524,1),0))*1440,0)*10000+ROW(),"")</f>
        <v/>
      </c>
    </row>
    <row r="1525">
      <c r="A1525" s="1" t="n"/>
      <c r="B1525" s="17" t="n"/>
      <c r="C1525" s="18" t="n"/>
      <c r="D1525" s="19" t="n"/>
      <c r="E1525" s="20" t="n"/>
      <c r="F1525" s="20" t="n"/>
      <c r="G1525" s="21" t="n"/>
      <c r="H1525" s="12">
        <f>IF(AND(B1525="",D1525="",F1525=""),"",IF(NOT(ISNUMBER(B1525)),"Needs a date",IF(D1525="","Needs a client",IF(COUNTIF(Clients!$B$6:$B$105,D1525)=0,"Not on Clients",IF(AND(F1525="",INT(B1525)&lt;TODAY()),"Needs a status","")))))</f>
        <v/>
      </c>
      <c r="I1525" s="1">
        <f>IF(ISNUMBER(B1525),INT(B1525),0)</f>
        <v/>
      </c>
      <c r="J1525">
        <f>IF(ISNUMBER(B1525),YEAR(B1525)*100+MONTH(B1525),"")</f>
        <v/>
      </c>
      <c r="K1525">
        <f>IF(AND(H1525="",OR(F1525="Attended",F1525="No-show",AND(F1525="Late cancel",Settings!$C$9="Yes"))),1,0)</f>
        <v/>
      </c>
      <c r="L1525">
        <f>IF(AND(H1525="",F1525="Attended"),1,0)</f>
        <v/>
      </c>
      <c r="M1525">
        <f>IF(AND(H1525="",OR(F1525="No-show",F1525="Late cancel")),1,0)</f>
        <v/>
      </c>
      <c r="N1525">
        <f>IF(AND(H1525="",F1525="",D1525&lt;&gt;"",I1525&gt;=TODAY()),ROUND((I1525+IF(ISNUMBER(C1525),MOD(C1525,1),0))*1440,0)*10000+ROW(),"")</f>
        <v/>
      </c>
    </row>
    <row r="1526">
      <c r="A1526" s="1" t="n"/>
      <c r="B1526" s="17" t="n"/>
      <c r="C1526" s="18" t="n"/>
      <c r="D1526" s="19" t="n"/>
      <c r="E1526" s="20" t="n"/>
      <c r="F1526" s="20" t="n"/>
      <c r="G1526" s="21" t="n"/>
      <c r="H1526" s="12">
        <f>IF(AND(B1526="",D1526="",F1526=""),"",IF(NOT(ISNUMBER(B1526)),"Needs a date",IF(D1526="","Needs a client",IF(COUNTIF(Clients!$B$6:$B$105,D1526)=0,"Not on Clients",IF(AND(F1526="",INT(B1526)&lt;TODAY()),"Needs a status","")))))</f>
        <v/>
      </c>
      <c r="I1526" s="1">
        <f>IF(ISNUMBER(B1526),INT(B1526),0)</f>
        <v/>
      </c>
      <c r="J1526">
        <f>IF(ISNUMBER(B1526),YEAR(B1526)*100+MONTH(B1526),"")</f>
        <v/>
      </c>
      <c r="K1526">
        <f>IF(AND(H1526="",OR(F1526="Attended",F1526="No-show",AND(F1526="Late cancel",Settings!$C$9="Yes"))),1,0)</f>
        <v/>
      </c>
      <c r="L1526">
        <f>IF(AND(H1526="",F1526="Attended"),1,0)</f>
        <v/>
      </c>
      <c r="M1526">
        <f>IF(AND(H1526="",OR(F1526="No-show",F1526="Late cancel")),1,0)</f>
        <v/>
      </c>
      <c r="N1526">
        <f>IF(AND(H1526="",F1526="",D1526&lt;&gt;"",I1526&gt;=TODAY()),ROUND((I1526+IF(ISNUMBER(C1526),MOD(C1526,1),0))*1440,0)*10000+ROW(),"")</f>
        <v/>
      </c>
    </row>
    <row r="1527">
      <c r="A1527" s="1" t="n"/>
      <c r="B1527" s="17" t="n"/>
      <c r="C1527" s="18" t="n"/>
      <c r="D1527" s="19" t="n"/>
      <c r="E1527" s="20" t="n"/>
      <c r="F1527" s="20" t="n"/>
      <c r="G1527" s="21" t="n"/>
      <c r="H1527" s="12">
        <f>IF(AND(B1527="",D1527="",F1527=""),"",IF(NOT(ISNUMBER(B1527)),"Needs a date",IF(D1527="","Needs a client",IF(COUNTIF(Clients!$B$6:$B$105,D1527)=0,"Not on Clients",IF(AND(F1527="",INT(B1527)&lt;TODAY()),"Needs a status","")))))</f>
        <v/>
      </c>
      <c r="I1527" s="1">
        <f>IF(ISNUMBER(B1527),INT(B1527),0)</f>
        <v/>
      </c>
      <c r="J1527">
        <f>IF(ISNUMBER(B1527),YEAR(B1527)*100+MONTH(B1527),"")</f>
        <v/>
      </c>
      <c r="K1527">
        <f>IF(AND(H1527="",OR(F1527="Attended",F1527="No-show",AND(F1527="Late cancel",Settings!$C$9="Yes"))),1,0)</f>
        <v/>
      </c>
      <c r="L1527">
        <f>IF(AND(H1527="",F1527="Attended"),1,0)</f>
        <v/>
      </c>
      <c r="M1527">
        <f>IF(AND(H1527="",OR(F1527="No-show",F1527="Late cancel")),1,0)</f>
        <v/>
      </c>
      <c r="N1527">
        <f>IF(AND(H1527="",F1527="",D1527&lt;&gt;"",I1527&gt;=TODAY()),ROUND((I1527+IF(ISNUMBER(C1527),MOD(C1527,1),0))*1440,0)*10000+ROW(),"")</f>
        <v/>
      </c>
    </row>
    <row r="1528">
      <c r="A1528" s="1" t="n"/>
      <c r="B1528" s="17" t="n"/>
      <c r="C1528" s="18" t="n"/>
      <c r="D1528" s="19" t="n"/>
      <c r="E1528" s="20" t="n"/>
      <c r="F1528" s="20" t="n"/>
      <c r="G1528" s="21" t="n"/>
      <c r="H1528" s="12">
        <f>IF(AND(B1528="",D1528="",F1528=""),"",IF(NOT(ISNUMBER(B1528)),"Needs a date",IF(D1528="","Needs a client",IF(COUNTIF(Clients!$B$6:$B$105,D1528)=0,"Not on Clients",IF(AND(F1528="",INT(B1528)&lt;TODAY()),"Needs a status","")))))</f>
        <v/>
      </c>
      <c r="I1528" s="1">
        <f>IF(ISNUMBER(B1528),INT(B1528),0)</f>
        <v/>
      </c>
      <c r="J1528">
        <f>IF(ISNUMBER(B1528),YEAR(B1528)*100+MONTH(B1528),"")</f>
        <v/>
      </c>
      <c r="K1528">
        <f>IF(AND(H1528="",OR(F1528="Attended",F1528="No-show",AND(F1528="Late cancel",Settings!$C$9="Yes"))),1,0)</f>
        <v/>
      </c>
      <c r="L1528">
        <f>IF(AND(H1528="",F1528="Attended"),1,0)</f>
        <v/>
      </c>
      <c r="M1528">
        <f>IF(AND(H1528="",OR(F1528="No-show",F1528="Late cancel")),1,0)</f>
        <v/>
      </c>
      <c r="N1528">
        <f>IF(AND(H1528="",F1528="",D1528&lt;&gt;"",I1528&gt;=TODAY()),ROUND((I1528+IF(ISNUMBER(C1528),MOD(C1528,1),0))*1440,0)*10000+ROW(),"")</f>
        <v/>
      </c>
    </row>
    <row r="1529">
      <c r="A1529" s="1" t="n"/>
      <c r="B1529" s="17" t="n"/>
      <c r="C1529" s="18" t="n"/>
      <c r="D1529" s="19" t="n"/>
      <c r="E1529" s="20" t="n"/>
      <c r="F1529" s="20" t="n"/>
      <c r="G1529" s="21" t="n"/>
      <c r="H1529" s="12">
        <f>IF(AND(B1529="",D1529="",F1529=""),"",IF(NOT(ISNUMBER(B1529)),"Needs a date",IF(D1529="","Needs a client",IF(COUNTIF(Clients!$B$6:$B$105,D1529)=0,"Not on Clients",IF(AND(F1529="",INT(B1529)&lt;TODAY()),"Needs a status","")))))</f>
        <v/>
      </c>
      <c r="I1529" s="1">
        <f>IF(ISNUMBER(B1529),INT(B1529),0)</f>
        <v/>
      </c>
      <c r="J1529">
        <f>IF(ISNUMBER(B1529),YEAR(B1529)*100+MONTH(B1529),"")</f>
        <v/>
      </c>
      <c r="K1529">
        <f>IF(AND(H1529="",OR(F1529="Attended",F1529="No-show",AND(F1529="Late cancel",Settings!$C$9="Yes"))),1,0)</f>
        <v/>
      </c>
      <c r="L1529">
        <f>IF(AND(H1529="",F1529="Attended"),1,0)</f>
        <v/>
      </c>
      <c r="M1529">
        <f>IF(AND(H1529="",OR(F1529="No-show",F1529="Late cancel")),1,0)</f>
        <v/>
      </c>
      <c r="N1529">
        <f>IF(AND(H1529="",F1529="",D1529&lt;&gt;"",I1529&gt;=TODAY()),ROUND((I1529+IF(ISNUMBER(C1529),MOD(C1529,1),0))*1440,0)*10000+ROW(),"")</f>
        <v/>
      </c>
    </row>
    <row r="1530">
      <c r="A1530" s="1" t="n"/>
      <c r="B1530" s="17" t="n"/>
      <c r="C1530" s="18" t="n"/>
      <c r="D1530" s="19" t="n"/>
      <c r="E1530" s="20" t="n"/>
      <c r="F1530" s="20" t="n"/>
      <c r="G1530" s="21" t="n"/>
      <c r="H1530" s="12">
        <f>IF(AND(B1530="",D1530="",F1530=""),"",IF(NOT(ISNUMBER(B1530)),"Needs a date",IF(D1530="","Needs a client",IF(COUNTIF(Clients!$B$6:$B$105,D1530)=0,"Not on Clients",IF(AND(F1530="",INT(B1530)&lt;TODAY()),"Needs a status","")))))</f>
        <v/>
      </c>
      <c r="I1530" s="1">
        <f>IF(ISNUMBER(B1530),INT(B1530),0)</f>
        <v/>
      </c>
      <c r="J1530">
        <f>IF(ISNUMBER(B1530),YEAR(B1530)*100+MONTH(B1530),"")</f>
        <v/>
      </c>
      <c r="K1530">
        <f>IF(AND(H1530="",OR(F1530="Attended",F1530="No-show",AND(F1530="Late cancel",Settings!$C$9="Yes"))),1,0)</f>
        <v/>
      </c>
      <c r="L1530">
        <f>IF(AND(H1530="",F1530="Attended"),1,0)</f>
        <v/>
      </c>
      <c r="M1530">
        <f>IF(AND(H1530="",OR(F1530="No-show",F1530="Late cancel")),1,0)</f>
        <v/>
      </c>
      <c r="N1530">
        <f>IF(AND(H1530="",F1530="",D1530&lt;&gt;"",I1530&gt;=TODAY()),ROUND((I1530+IF(ISNUMBER(C1530),MOD(C1530,1),0))*1440,0)*10000+ROW(),"")</f>
        <v/>
      </c>
    </row>
    <row r="1531">
      <c r="A1531" s="1" t="n"/>
      <c r="B1531" s="17" t="n"/>
      <c r="C1531" s="18" t="n"/>
      <c r="D1531" s="19" t="n"/>
      <c r="E1531" s="20" t="n"/>
      <c r="F1531" s="20" t="n"/>
      <c r="G1531" s="21" t="n"/>
      <c r="H1531" s="12">
        <f>IF(AND(B1531="",D1531="",F1531=""),"",IF(NOT(ISNUMBER(B1531)),"Needs a date",IF(D1531="","Needs a client",IF(COUNTIF(Clients!$B$6:$B$105,D1531)=0,"Not on Clients",IF(AND(F1531="",INT(B1531)&lt;TODAY()),"Needs a status","")))))</f>
        <v/>
      </c>
      <c r="I1531" s="1">
        <f>IF(ISNUMBER(B1531),INT(B1531),0)</f>
        <v/>
      </c>
      <c r="J1531">
        <f>IF(ISNUMBER(B1531),YEAR(B1531)*100+MONTH(B1531),"")</f>
        <v/>
      </c>
      <c r="K1531">
        <f>IF(AND(H1531="",OR(F1531="Attended",F1531="No-show",AND(F1531="Late cancel",Settings!$C$9="Yes"))),1,0)</f>
        <v/>
      </c>
      <c r="L1531">
        <f>IF(AND(H1531="",F1531="Attended"),1,0)</f>
        <v/>
      </c>
      <c r="M1531">
        <f>IF(AND(H1531="",OR(F1531="No-show",F1531="Late cancel")),1,0)</f>
        <v/>
      </c>
      <c r="N1531">
        <f>IF(AND(H1531="",F1531="",D1531&lt;&gt;"",I1531&gt;=TODAY()),ROUND((I1531+IF(ISNUMBER(C1531),MOD(C1531,1),0))*1440,0)*10000+ROW(),"")</f>
        <v/>
      </c>
    </row>
    <row r="1532">
      <c r="A1532" s="1" t="n"/>
      <c r="B1532" s="17" t="n"/>
      <c r="C1532" s="18" t="n"/>
      <c r="D1532" s="19" t="n"/>
      <c r="E1532" s="20" t="n"/>
      <c r="F1532" s="20" t="n"/>
      <c r="G1532" s="21" t="n"/>
      <c r="H1532" s="12">
        <f>IF(AND(B1532="",D1532="",F1532=""),"",IF(NOT(ISNUMBER(B1532)),"Needs a date",IF(D1532="","Needs a client",IF(COUNTIF(Clients!$B$6:$B$105,D1532)=0,"Not on Clients",IF(AND(F1532="",INT(B1532)&lt;TODAY()),"Needs a status","")))))</f>
        <v/>
      </c>
      <c r="I1532" s="1">
        <f>IF(ISNUMBER(B1532),INT(B1532),0)</f>
        <v/>
      </c>
      <c r="J1532">
        <f>IF(ISNUMBER(B1532),YEAR(B1532)*100+MONTH(B1532),"")</f>
        <v/>
      </c>
      <c r="K1532">
        <f>IF(AND(H1532="",OR(F1532="Attended",F1532="No-show",AND(F1532="Late cancel",Settings!$C$9="Yes"))),1,0)</f>
        <v/>
      </c>
      <c r="L1532">
        <f>IF(AND(H1532="",F1532="Attended"),1,0)</f>
        <v/>
      </c>
      <c r="M1532">
        <f>IF(AND(H1532="",OR(F1532="No-show",F1532="Late cancel")),1,0)</f>
        <v/>
      </c>
      <c r="N1532">
        <f>IF(AND(H1532="",F1532="",D1532&lt;&gt;"",I1532&gt;=TODAY()),ROUND((I1532+IF(ISNUMBER(C1532),MOD(C1532,1),0))*1440,0)*10000+ROW(),"")</f>
        <v/>
      </c>
    </row>
    <row r="1533">
      <c r="A1533" s="1" t="n"/>
      <c r="B1533" s="17" t="n"/>
      <c r="C1533" s="18" t="n"/>
      <c r="D1533" s="19" t="n"/>
      <c r="E1533" s="20" t="n"/>
      <c r="F1533" s="20" t="n"/>
      <c r="G1533" s="21" t="n"/>
      <c r="H1533" s="12">
        <f>IF(AND(B1533="",D1533="",F1533=""),"",IF(NOT(ISNUMBER(B1533)),"Needs a date",IF(D1533="","Needs a client",IF(COUNTIF(Clients!$B$6:$B$105,D1533)=0,"Not on Clients",IF(AND(F1533="",INT(B1533)&lt;TODAY()),"Needs a status","")))))</f>
        <v/>
      </c>
      <c r="I1533" s="1">
        <f>IF(ISNUMBER(B1533),INT(B1533),0)</f>
        <v/>
      </c>
      <c r="J1533">
        <f>IF(ISNUMBER(B1533),YEAR(B1533)*100+MONTH(B1533),"")</f>
        <v/>
      </c>
      <c r="K1533">
        <f>IF(AND(H1533="",OR(F1533="Attended",F1533="No-show",AND(F1533="Late cancel",Settings!$C$9="Yes"))),1,0)</f>
        <v/>
      </c>
      <c r="L1533">
        <f>IF(AND(H1533="",F1533="Attended"),1,0)</f>
        <v/>
      </c>
      <c r="M1533">
        <f>IF(AND(H1533="",OR(F1533="No-show",F1533="Late cancel")),1,0)</f>
        <v/>
      </c>
      <c r="N1533">
        <f>IF(AND(H1533="",F1533="",D1533&lt;&gt;"",I1533&gt;=TODAY()),ROUND((I1533+IF(ISNUMBER(C1533),MOD(C1533,1),0))*1440,0)*10000+ROW(),"")</f>
        <v/>
      </c>
    </row>
    <row r="1534">
      <c r="A1534" s="1" t="n"/>
      <c r="B1534" s="17" t="n"/>
      <c r="C1534" s="18" t="n"/>
      <c r="D1534" s="19" t="n"/>
      <c r="E1534" s="20" t="n"/>
      <c r="F1534" s="20" t="n"/>
      <c r="G1534" s="21" t="n"/>
      <c r="H1534" s="12">
        <f>IF(AND(B1534="",D1534="",F1534=""),"",IF(NOT(ISNUMBER(B1534)),"Needs a date",IF(D1534="","Needs a client",IF(COUNTIF(Clients!$B$6:$B$105,D1534)=0,"Not on Clients",IF(AND(F1534="",INT(B1534)&lt;TODAY()),"Needs a status","")))))</f>
        <v/>
      </c>
      <c r="I1534" s="1">
        <f>IF(ISNUMBER(B1534),INT(B1534),0)</f>
        <v/>
      </c>
      <c r="J1534">
        <f>IF(ISNUMBER(B1534),YEAR(B1534)*100+MONTH(B1534),"")</f>
        <v/>
      </c>
      <c r="K1534">
        <f>IF(AND(H1534="",OR(F1534="Attended",F1534="No-show",AND(F1534="Late cancel",Settings!$C$9="Yes"))),1,0)</f>
        <v/>
      </c>
      <c r="L1534">
        <f>IF(AND(H1534="",F1534="Attended"),1,0)</f>
        <v/>
      </c>
      <c r="M1534">
        <f>IF(AND(H1534="",OR(F1534="No-show",F1534="Late cancel")),1,0)</f>
        <v/>
      </c>
      <c r="N1534">
        <f>IF(AND(H1534="",F1534="",D1534&lt;&gt;"",I1534&gt;=TODAY()),ROUND((I1534+IF(ISNUMBER(C1534),MOD(C1534,1),0))*1440,0)*10000+ROW(),"")</f>
        <v/>
      </c>
    </row>
    <row r="1535">
      <c r="A1535" s="1" t="n"/>
      <c r="B1535" s="17" t="n"/>
      <c r="C1535" s="18" t="n"/>
      <c r="D1535" s="19" t="n"/>
      <c r="E1535" s="20" t="n"/>
      <c r="F1535" s="20" t="n"/>
      <c r="G1535" s="21" t="n"/>
      <c r="H1535" s="12">
        <f>IF(AND(B1535="",D1535="",F1535=""),"",IF(NOT(ISNUMBER(B1535)),"Needs a date",IF(D1535="","Needs a client",IF(COUNTIF(Clients!$B$6:$B$105,D1535)=0,"Not on Clients",IF(AND(F1535="",INT(B1535)&lt;TODAY()),"Needs a status","")))))</f>
        <v/>
      </c>
      <c r="I1535" s="1">
        <f>IF(ISNUMBER(B1535),INT(B1535),0)</f>
        <v/>
      </c>
      <c r="J1535">
        <f>IF(ISNUMBER(B1535),YEAR(B1535)*100+MONTH(B1535),"")</f>
        <v/>
      </c>
      <c r="K1535">
        <f>IF(AND(H1535="",OR(F1535="Attended",F1535="No-show",AND(F1535="Late cancel",Settings!$C$9="Yes"))),1,0)</f>
        <v/>
      </c>
      <c r="L1535">
        <f>IF(AND(H1535="",F1535="Attended"),1,0)</f>
        <v/>
      </c>
      <c r="M1535">
        <f>IF(AND(H1535="",OR(F1535="No-show",F1535="Late cancel")),1,0)</f>
        <v/>
      </c>
      <c r="N1535">
        <f>IF(AND(H1535="",F1535="",D1535&lt;&gt;"",I1535&gt;=TODAY()),ROUND((I1535+IF(ISNUMBER(C1535),MOD(C1535,1),0))*1440,0)*10000+ROW(),"")</f>
        <v/>
      </c>
    </row>
    <row r="1536">
      <c r="A1536" s="1" t="n"/>
      <c r="B1536" s="17" t="n"/>
      <c r="C1536" s="18" t="n"/>
      <c r="D1536" s="19" t="n"/>
      <c r="E1536" s="20" t="n"/>
      <c r="F1536" s="20" t="n"/>
      <c r="G1536" s="21" t="n"/>
      <c r="H1536" s="12">
        <f>IF(AND(B1536="",D1536="",F1536=""),"",IF(NOT(ISNUMBER(B1536)),"Needs a date",IF(D1536="","Needs a client",IF(COUNTIF(Clients!$B$6:$B$105,D1536)=0,"Not on Clients",IF(AND(F1536="",INT(B1536)&lt;TODAY()),"Needs a status","")))))</f>
        <v/>
      </c>
      <c r="I1536" s="1">
        <f>IF(ISNUMBER(B1536),INT(B1536),0)</f>
        <v/>
      </c>
      <c r="J1536">
        <f>IF(ISNUMBER(B1536),YEAR(B1536)*100+MONTH(B1536),"")</f>
        <v/>
      </c>
      <c r="K1536">
        <f>IF(AND(H1536="",OR(F1536="Attended",F1536="No-show",AND(F1536="Late cancel",Settings!$C$9="Yes"))),1,0)</f>
        <v/>
      </c>
      <c r="L1536">
        <f>IF(AND(H1536="",F1536="Attended"),1,0)</f>
        <v/>
      </c>
      <c r="M1536">
        <f>IF(AND(H1536="",OR(F1536="No-show",F1536="Late cancel")),1,0)</f>
        <v/>
      </c>
      <c r="N1536">
        <f>IF(AND(H1536="",F1536="",D1536&lt;&gt;"",I1536&gt;=TODAY()),ROUND((I1536+IF(ISNUMBER(C1536),MOD(C1536,1),0))*1440,0)*10000+ROW(),"")</f>
        <v/>
      </c>
    </row>
    <row r="1537">
      <c r="A1537" s="1" t="n"/>
      <c r="B1537" s="17" t="n"/>
      <c r="C1537" s="18" t="n"/>
      <c r="D1537" s="19" t="n"/>
      <c r="E1537" s="20" t="n"/>
      <c r="F1537" s="20" t="n"/>
      <c r="G1537" s="21" t="n"/>
      <c r="H1537" s="12">
        <f>IF(AND(B1537="",D1537="",F1537=""),"",IF(NOT(ISNUMBER(B1537)),"Needs a date",IF(D1537="","Needs a client",IF(COUNTIF(Clients!$B$6:$B$105,D1537)=0,"Not on Clients",IF(AND(F1537="",INT(B1537)&lt;TODAY()),"Needs a status","")))))</f>
        <v/>
      </c>
      <c r="I1537" s="1">
        <f>IF(ISNUMBER(B1537),INT(B1537),0)</f>
        <v/>
      </c>
      <c r="J1537">
        <f>IF(ISNUMBER(B1537),YEAR(B1537)*100+MONTH(B1537),"")</f>
        <v/>
      </c>
      <c r="K1537">
        <f>IF(AND(H1537="",OR(F1537="Attended",F1537="No-show",AND(F1537="Late cancel",Settings!$C$9="Yes"))),1,0)</f>
        <v/>
      </c>
      <c r="L1537">
        <f>IF(AND(H1537="",F1537="Attended"),1,0)</f>
        <v/>
      </c>
      <c r="M1537">
        <f>IF(AND(H1537="",OR(F1537="No-show",F1537="Late cancel")),1,0)</f>
        <v/>
      </c>
      <c r="N1537">
        <f>IF(AND(H1537="",F1537="",D1537&lt;&gt;"",I1537&gt;=TODAY()),ROUND((I1537+IF(ISNUMBER(C1537),MOD(C1537,1),0))*1440,0)*10000+ROW(),"")</f>
        <v/>
      </c>
    </row>
    <row r="1538">
      <c r="A1538" s="1" t="n"/>
      <c r="B1538" s="17" t="n"/>
      <c r="C1538" s="18" t="n"/>
      <c r="D1538" s="19" t="n"/>
      <c r="E1538" s="20" t="n"/>
      <c r="F1538" s="20" t="n"/>
      <c r="G1538" s="21" t="n"/>
      <c r="H1538" s="12">
        <f>IF(AND(B1538="",D1538="",F1538=""),"",IF(NOT(ISNUMBER(B1538)),"Needs a date",IF(D1538="","Needs a client",IF(COUNTIF(Clients!$B$6:$B$105,D1538)=0,"Not on Clients",IF(AND(F1538="",INT(B1538)&lt;TODAY()),"Needs a status","")))))</f>
        <v/>
      </c>
      <c r="I1538" s="1">
        <f>IF(ISNUMBER(B1538),INT(B1538),0)</f>
        <v/>
      </c>
      <c r="J1538">
        <f>IF(ISNUMBER(B1538),YEAR(B1538)*100+MONTH(B1538),"")</f>
        <v/>
      </c>
      <c r="K1538">
        <f>IF(AND(H1538="",OR(F1538="Attended",F1538="No-show",AND(F1538="Late cancel",Settings!$C$9="Yes"))),1,0)</f>
        <v/>
      </c>
      <c r="L1538">
        <f>IF(AND(H1538="",F1538="Attended"),1,0)</f>
        <v/>
      </c>
      <c r="M1538">
        <f>IF(AND(H1538="",OR(F1538="No-show",F1538="Late cancel")),1,0)</f>
        <v/>
      </c>
      <c r="N1538">
        <f>IF(AND(H1538="",F1538="",D1538&lt;&gt;"",I1538&gt;=TODAY()),ROUND((I1538+IF(ISNUMBER(C1538),MOD(C1538,1),0))*1440,0)*10000+ROW(),"")</f>
        <v/>
      </c>
    </row>
    <row r="1539">
      <c r="A1539" s="1" t="n"/>
      <c r="B1539" s="17" t="n"/>
      <c r="C1539" s="18" t="n"/>
      <c r="D1539" s="19" t="n"/>
      <c r="E1539" s="20" t="n"/>
      <c r="F1539" s="20" t="n"/>
      <c r="G1539" s="21" t="n"/>
      <c r="H1539" s="12">
        <f>IF(AND(B1539="",D1539="",F1539=""),"",IF(NOT(ISNUMBER(B1539)),"Needs a date",IF(D1539="","Needs a client",IF(COUNTIF(Clients!$B$6:$B$105,D1539)=0,"Not on Clients",IF(AND(F1539="",INT(B1539)&lt;TODAY()),"Needs a status","")))))</f>
        <v/>
      </c>
      <c r="I1539" s="1">
        <f>IF(ISNUMBER(B1539),INT(B1539),0)</f>
        <v/>
      </c>
      <c r="J1539">
        <f>IF(ISNUMBER(B1539),YEAR(B1539)*100+MONTH(B1539),"")</f>
        <v/>
      </c>
      <c r="K1539">
        <f>IF(AND(H1539="",OR(F1539="Attended",F1539="No-show",AND(F1539="Late cancel",Settings!$C$9="Yes"))),1,0)</f>
        <v/>
      </c>
      <c r="L1539">
        <f>IF(AND(H1539="",F1539="Attended"),1,0)</f>
        <v/>
      </c>
      <c r="M1539">
        <f>IF(AND(H1539="",OR(F1539="No-show",F1539="Late cancel")),1,0)</f>
        <v/>
      </c>
      <c r="N1539">
        <f>IF(AND(H1539="",F1539="",D1539&lt;&gt;"",I1539&gt;=TODAY()),ROUND((I1539+IF(ISNUMBER(C1539),MOD(C1539,1),0))*1440,0)*10000+ROW(),"")</f>
        <v/>
      </c>
    </row>
    <row r="1540">
      <c r="A1540" s="1" t="n"/>
      <c r="B1540" s="17" t="n"/>
      <c r="C1540" s="18" t="n"/>
      <c r="D1540" s="19" t="n"/>
      <c r="E1540" s="20" t="n"/>
      <c r="F1540" s="20" t="n"/>
      <c r="G1540" s="21" t="n"/>
      <c r="H1540" s="12">
        <f>IF(AND(B1540="",D1540="",F1540=""),"",IF(NOT(ISNUMBER(B1540)),"Needs a date",IF(D1540="","Needs a client",IF(COUNTIF(Clients!$B$6:$B$105,D1540)=0,"Not on Clients",IF(AND(F1540="",INT(B1540)&lt;TODAY()),"Needs a status","")))))</f>
        <v/>
      </c>
      <c r="I1540" s="1">
        <f>IF(ISNUMBER(B1540),INT(B1540),0)</f>
        <v/>
      </c>
      <c r="J1540">
        <f>IF(ISNUMBER(B1540),YEAR(B1540)*100+MONTH(B1540),"")</f>
        <v/>
      </c>
      <c r="K1540">
        <f>IF(AND(H1540="",OR(F1540="Attended",F1540="No-show",AND(F1540="Late cancel",Settings!$C$9="Yes"))),1,0)</f>
        <v/>
      </c>
      <c r="L1540">
        <f>IF(AND(H1540="",F1540="Attended"),1,0)</f>
        <v/>
      </c>
      <c r="M1540">
        <f>IF(AND(H1540="",OR(F1540="No-show",F1540="Late cancel")),1,0)</f>
        <v/>
      </c>
      <c r="N1540">
        <f>IF(AND(H1540="",F1540="",D1540&lt;&gt;"",I1540&gt;=TODAY()),ROUND((I1540+IF(ISNUMBER(C1540),MOD(C1540,1),0))*1440,0)*10000+ROW(),"")</f>
        <v/>
      </c>
    </row>
    <row r="1541">
      <c r="A1541" s="1" t="n"/>
      <c r="B1541" s="17" t="n"/>
      <c r="C1541" s="18" t="n"/>
      <c r="D1541" s="19" t="n"/>
      <c r="E1541" s="20" t="n"/>
      <c r="F1541" s="20" t="n"/>
      <c r="G1541" s="21" t="n"/>
      <c r="H1541" s="12">
        <f>IF(AND(B1541="",D1541="",F1541=""),"",IF(NOT(ISNUMBER(B1541)),"Needs a date",IF(D1541="","Needs a client",IF(COUNTIF(Clients!$B$6:$B$105,D1541)=0,"Not on Clients",IF(AND(F1541="",INT(B1541)&lt;TODAY()),"Needs a status","")))))</f>
        <v/>
      </c>
      <c r="I1541" s="1">
        <f>IF(ISNUMBER(B1541),INT(B1541),0)</f>
        <v/>
      </c>
      <c r="J1541">
        <f>IF(ISNUMBER(B1541),YEAR(B1541)*100+MONTH(B1541),"")</f>
        <v/>
      </c>
      <c r="K1541">
        <f>IF(AND(H1541="",OR(F1541="Attended",F1541="No-show",AND(F1541="Late cancel",Settings!$C$9="Yes"))),1,0)</f>
        <v/>
      </c>
      <c r="L1541">
        <f>IF(AND(H1541="",F1541="Attended"),1,0)</f>
        <v/>
      </c>
      <c r="M1541">
        <f>IF(AND(H1541="",OR(F1541="No-show",F1541="Late cancel")),1,0)</f>
        <v/>
      </c>
      <c r="N1541">
        <f>IF(AND(H1541="",F1541="",D1541&lt;&gt;"",I1541&gt;=TODAY()),ROUND((I1541+IF(ISNUMBER(C1541),MOD(C1541,1),0))*1440,0)*10000+ROW(),"")</f>
        <v/>
      </c>
    </row>
    <row r="1542">
      <c r="A1542" s="1" t="n"/>
      <c r="B1542" s="17" t="n"/>
      <c r="C1542" s="18" t="n"/>
      <c r="D1542" s="19" t="n"/>
      <c r="E1542" s="20" t="n"/>
      <c r="F1542" s="20" t="n"/>
      <c r="G1542" s="21" t="n"/>
      <c r="H1542" s="12">
        <f>IF(AND(B1542="",D1542="",F1542=""),"",IF(NOT(ISNUMBER(B1542)),"Needs a date",IF(D1542="","Needs a client",IF(COUNTIF(Clients!$B$6:$B$105,D1542)=0,"Not on Clients",IF(AND(F1542="",INT(B1542)&lt;TODAY()),"Needs a status","")))))</f>
        <v/>
      </c>
      <c r="I1542" s="1">
        <f>IF(ISNUMBER(B1542),INT(B1542),0)</f>
        <v/>
      </c>
      <c r="J1542">
        <f>IF(ISNUMBER(B1542),YEAR(B1542)*100+MONTH(B1542),"")</f>
        <v/>
      </c>
      <c r="K1542">
        <f>IF(AND(H1542="",OR(F1542="Attended",F1542="No-show",AND(F1542="Late cancel",Settings!$C$9="Yes"))),1,0)</f>
        <v/>
      </c>
      <c r="L1542">
        <f>IF(AND(H1542="",F1542="Attended"),1,0)</f>
        <v/>
      </c>
      <c r="M1542">
        <f>IF(AND(H1542="",OR(F1542="No-show",F1542="Late cancel")),1,0)</f>
        <v/>
      </c>
      <c r="N1542">
        <f>IF(AND(H1542="",F1542="",D1542&lt;&gt;"",I1542&gt;=TODAY()),ROUND((I1542+IF(ISNUMBER(C1542),MOD(C1542,1),0))*1440,0)*10000+ROW(),"")</f>
        <v/>
      </c>
    </row>
    <row r="1543">
      <c r="A1543" s="1" t="n"/>
      <c r="B1543" s="17" t="n"/>
      <c r="C1543" s="18" t="n"/>
      <c r="D1543" s="19" t="n"/>
      <c r="E1543" s="20" t="n"/>
      <c r="F1543" s="20" t="n"/>
      <c r="G1543" s="21" t="n"/>
      <c r="H1543" s="12">
        <f>IF(AND(B1543="",D1543="",F1543=""),"",IF(NOT(ISNUMBER(B1543)),"Needs a date",IF(D1543="","Needs a client",IF(COUNTIF(Clients!$B$6:$B$105,D1543)=0,"Not on Clients",IF(AND(F1543="",INT(B1543)&lt;TODAY()),"Needs a status","")))))</f>
        <v/>
      </c>
      <c r="I1543" s="1">
        <f>IF(ISNUMBER(B1543),INT(B1543),0)</f>
        <v/>
      </c>
      <c r="J1543">
        <f>IF(ISNUMBER(B1543),YEAR(B1543)*100+MONTH(B1543),"")</f>
        <v/>
      </c>
      <c r="K1543">
        <f>IF(AND(H1543="",OR(F1543="Attended",F1543="No-show",AND(F1543="Late cancel",Settings!$C$9="Yes"))),1,0)</f>
        <v/>
      </c>
      <c r="L1543">
        <f>IF(AND(H1543="",F1543="Attended"),1,0)</f>
        <v/>
      </c>
      <c r="M1543">
        <f>IF(AND(H1543="",OR(F1543="No-show",F1543="Late cancel")),1,0)</f>
        <v/>
      </c>
      <c r="N1543">
        <f>IF(AND(H1543="",F1543="",D1543&lt;&gt;"",I1543&gt;=TODAY()),ROUND((I1543+IF(ISNUMBER(C1543),MOD(C1543,1),0))*1440,0)*10000+ROW(),"")</f>
        <v/>
      </c>
    </row>
    <row r="1544">
      <c r="A1544" s="1" t="n"/>
      <c r="B1544" s="17" t="n"/>
      <c r="C1544" s="18" t="n"/>
      <c r="D1544" s="19" t="n"/>
      <c r="E1544" s="20" t="n"/>
      <c r="F1544" s="20" t="n"/>
      <c r="G1544" s="21" t="n"/>
      <c r="H1544" s="12">
        <f>IF(AND(B1544="",D1544="",F1544=""),"",IF(NOT(ISNUMBER(B1544)),"Needs a date",IF(D1544="","Needs a client",IF(COUNTIF(Clients!$B$6:$B$105,D1544)=0,"Not on Clients",IF(AND(F1544="",INT(B1544)&lt;TODAY()),"Needs a status","")))))</f>
        <v/>
      </c>
      <c r="I1544" s="1">
        <f>IF(ISNUMBER(B1544),INT(B1544),0)</f>
        <v/>
      </c>
      <c r="J1544">
        <f>IF(ISNUMBER(B1544),YEAR(B1544)*100+MONTH(B1544),"")</f>
        <v/>
      </c>
      <c r="K1544">
        <f>IF(AND(H1544="",OR(F1544="Attended",F1544="No-show",AND(F1544="Late cancel",Settings!$C$9="Yes"))),1,0)</f>
        <v/>
      </c>
      <c r="L1544">
        <f>IF(AND(H1544="",F1544="Attended"),1,0)</f>
        <v/>
      </c>
      <c r="M1544">
        <f>IF(AND(H1544="",OR(F1544="No-show",F1544="Late cancel")),1,0)</f>
        <v/>
      </c>
      <c r="N1544">
        <f>IF(AND(H1544="",F1544="",D1544&lt;&gt;"",I1544&gt;=TODAY()),ROUND((I1544+IF(ISNUMBER(C1544),MOD(C1544,1),0))*1440,0)*10000+ROW(),"")</f>
        <v/>
      </c>
    </row>
    <row r="1545">
      <c r="A1545" s="1" t="n"/>
      <c r="B1545" s="17" t="n"/>
      <c r="C1545" s="18" t="n"/>
      <c r="D1545" s="19" t="n"/>
      <c r="E1545" s="20" t="n"/>
      <c r="F1545" s="20" t="n"/>
      <c r="G1545" s="21" t="n"/>
      <c r="H1545" s="12">
        <f>IF(AND(B1545="",D1545="",F1545=""),"",IF(NOT(ISNUMBER(B1545)),"Needs a date",IF(D1545="","Needs a client",IF(COUNTIF(Clients!$B$6:$B$105,D1545)=0,"Not on Clients",IF(AND(F1545="",INT(B1545)&lt;TODAY()),"Needs a status","")))))</f>
        <v/>
      </c>
      <c r="I1545" s="1">
        <f>IF(ISNUMBER(B1545),INT(B1545),0)</f>
        <v/>
      </c>
      <c r="J1545">
        <f>IF(ISNUMBER(B1545),YEAR(B1545)*100+MONTH(B1545),"")</f>
        <v/>
      </c>
      <c r="K1545">
        <f>IF(AND(H1545="",OR(F1545="Attended",F1545="No-show",AND(F1545="Late cancel",Settings!$C$9="Yes"))),1,0)</f>
        <v/>
      </c>
      <c r="L1545">
        <f>IF(AND(H1545="",F1545="Attended"),1,0)</f>
        <v/>
      </c>
      <c r="M1545">
        <f>IF(AND(H1545="",OR(F1545="No-show",F1545="Late cancel")),1,0)</f>
        <v/>
      </c>
      <c r="N1545">
        <f>IF(AND(H1545="",F1545="",D1545&lt;&gt;"",I1545&gt;=TODAY()),ROUND((I1545+IF(ISNUMBER(C1545),MOD(C1545,1),0))*1440,0)*10000+ROW(),"")</f>
        <v/>
      </c>
    </row>
    <row r="1546">
      <c r="A1546" s="1" t="n"/>
      <c r="B1546" s="17" t="n"/>
      <c r="C1546" s="18" t="n"/>
      <c r="D1546" s="19" t="n"/>
      <c r="E1546" s="20" t="n"/>
      <c r="F1546" s="20" t="n"/>
      <c r="G1546" s="21" t="n"/>
      <c r="H1546" s="12">
        <f>IF(AND(B1546="",D1546="",F1546=""),"",IF(NOT(ISNUMBER(B1546)),"Needs a date",IF(D1546="","Needs a client",IF(COUNTIF(Clients!$B$6:$B$105,D1546)=0,"Not on Clients",IF(AND(F1546="",INT(B1546)&lt;TODAY()),"Needs a status","")))))</f>
        <v/>
      </c>
      <c r="I1546" s="1">
        <f>IF(ISNUMBER(B1546),INT(B1546),0)</f>
        <v/>
      </c>
      <c r="J1546">
        <f>IF(ISNUMBER(B1546),YEAR(B1546)*100+MONTH(B1546),"")</f>
        <v/>
      </c>
      <c r="K1546">
        <f>IF(AND(H1546="",OR(F1546="Attended",F1546="No-show",AND(F1546="Late cancel",Settings!$C$9="Yes"))),1,0)</f>
        <v/>
      </c>
      <c r="L1546">
        <f>IF(AND(H1546="",F1546="Attended"),1,0)</f>
        <v/>
      </c>
      <c r="M1546">
        <f>IF(AND(H1546="",OR(F1546="No-show",F1546="Late cancel")),1,0)</f>
        <v/>
      </c>
      <c r="N1546">
        <f>IF(AND(H1546="",F1546="",D1546&lt;&gt;"",I1546&gt;=TODAY()),ROUND((I1546+IF(ISNUMBER(C1546),MOD(C1546,1),0))*1440,0)*10000+ROW(),"")</f>
        <v/>
      </c>
    </row>
    <row r="1547">
      <c r="A1547" s="1" t="n"/>
      <c r="B1547" s="17" t="n"/>
      <c r="C1547" s="18" t="n"/>
      <c r="D1547" s="19" t="n"/>
      <c r="E1547" s="20" t="n"/>
      <c r="F1547" s="20" t="n"/>
      <c r="G1547" s="21" t="n"/>
      <c r="H1547" s="12">
        <f>IF(AND(B1547="",D1547="",F1547=""),"",IF(NOT(ISNUMBER(B1547)),"Needs a date",IF(D1547="","Needs a client",IF(COUNTIF(Clients!$B$6:$B$105,D1547)=0,"Not on Clients",IF(AND(F1547="",INT(B1547)&lt;TODAY()),"Needs a status","")))))</f>
        <v/>
      </c>
      <c r="I1547" s="1">
        <f>IF(ISNUMBER(B1547),INT(B1547),0)</f>
        <v/>
      </c>
      <c r="J1547">
        <f>IF(ISNUMBER(B1547),YEAR(B1547)*100+MONTH(B1547),"")</f>
        <v/>
      </c>
      <c r="K1547">
        <f>IF(AND(H1547="",OR(F1547="Attended",F1547="No-show",AND(F1547="Late cancel",Settings!$C$9="Yes"))),1,0)</f>
        <v/>
      </c>
      <c r="L1547">
        <f>IF(AND(H1547="",F1547="Attended"),1,0)</f>
        <v/>
      </c>
      <c r="M1547">
        <f>IF(AND(H1547="",OR(F1547="No-show",F1547="Late cancel")),1,0)</f>
        <v/>
      </c>
      <c r="N1547">
        <f>IF(AND(H1547="",F1547="",D1547&lt;&gt;"",I1547&gt;=TODAY()),ROUND((I1547+IF(ISNUMBER(C1547),MOD(C1547,1),0))*1440,0)*10000+ROW(),"")</f>
        <v/>
      </c>
    </row>
    <row r="1548">
      <c r="A1548" s="1" t="n"/>
      <c r="B1548" s="17" t="n"/>
      <c r="C1548" s="18" t="n"/>
      <c r="D1548" s="19" t="n"/>
      <c r="E1548" s="20" t="n"/>
      <c r="F1548" s="20" t="n"/>
      <c r="G1548" s="21" t="n"/>
      <c r="H1548" s="12">
        <f>IF(AND(B1548="",D1548="",F1548=""),"",IF(NOT(ISNUMBER(B1548)),"Needs a date",IF(D1548="","Needs a client",IF(COUNTIF(Clients!$B$6:$B$105,D1548)=0,"Not on Clients",IF(AND(F1548="",INT(B1548)&lt;TODAY()),"Needs a status","")))))</f>
        <v/>
      </c>
      <c r="I1548" s="1">
        <f>IF(ISNUMBER(B1548),INT(B1548),0)</f>
        <v/>
      </c>
      <c r="J1548">
        <f>IF(ISNUMBER(B1548),YEAR(B1548)*100+MONTH(B1548),"")</f>
        <v/>
      </c>
      <c r="K1548">
        <f>IF(AND(H1548="",OR(F1548="Attended",F1548="No-show",AND(F1548="Late cancel",Settings!$C$9="Yes"))),1,0)</f>
        <v/>
      </c>
      <c r="L1548">
        <f>IF(AND(H1548="",F1548="Attended"),1,0)</f>
        <v/>
      </c>
      <c r="M1548">
        <f>IF(AND(H1548="",OR(F1548="No-show",F1548="Late cancel")),1,0)</f>
        <v/>
      </c>
      <c r="N1548">
        <f>IF(AND(H1548="",F1548="",D1548&lt;&gt;"",I1548&gt;=TODAY()),ROUND((I1548+IF(ISNUMBER(C1548),MOD(C1548,1),0))*1440,0)*10000+ROW(),"")</f>
        <v/>
      </c>
    </row>
    <row r="1549">
      <c r="A1549" s="1" t="n"/>
      <c r="B1549" s="17" t="n"/>
      <c r="C1549" s="18" t="n"/>
      <c r="D1549" s="19" t="n"/>
      <c r="E1549" s="20" t="n"/>
      <c r="F1549" s="20" t="n"/>
      <c r="G1549" s="21" t="n"/>
      <c r="H1549" s="12">
        <f>IF(AND(B1549="",D1549="",F1549=""),"",IF(NOT(ISNUMBER(B1549)),"Needs a date",IF(D1549="","Needs a client",IF(COUNTIF(Clients!$B$6:$B$105,D1549)=0,"Not on Clients",IF(AND(F1549="",INT(B1549)&lt;TODAY()),"Needs a status","")))))</f>
        <v/>
      </c>
      <c r="I1549" s="1">
        <f>IF(ISNUMBER(B1549),INT(B1549),0)</f>
        <v/>
      </c>
      <c r="J1549">
        <f>IF(ISNUMBER(B1549),YEAR(B1549)*100+MONTH(B1549),"")</f>
        <v/>
      </c>
      <c r="K1549">
        <f>IF(AND(H1549="",OR(F1549="Attended",F1549="No-show",AND(F1549="Late cancel",Settings!$C$9="Yes"))),1,0)</f>
        <v/>
      </c>
      <c r="L1549">
        <f>IF(AND(H1549="",F1549="Attended"),1,0)</f>
        <v/>
      </c>
      <c r="M1549">
        <f>IF(AND(H1549="",OR(F1549="No-show",F1549="Late cancel")),1,0)</f>
        <v/>
      </c>
      <c r="N1549">
        <f>IF(AND(H1549="",F1549="",D1549&lt;&gt;"",I1549&gt;=TODAY()),ROUND((I1549+IF(ISNUMBER(C1549),MOD(C1549,1),0))*1440,0)*10000+ROW(),"")</f>
        <v/>
      </c>
    </row>
    <row r="1550">
      <c r="A1550" s="1" t="n"/>
      <c r="B1550" s="17" t="n"/>
      <c r="C1550" s="18" t="n"/>
      <c r="D1550" s="19" t="n"/>
      <c r="E1550" s="20" t="n"/>
      <c r="F1550" s="20" t="n"/>
      <c r="G1550" s="21" t="n"/>
      <c r="H1550" s="12">
        <f>IF(AND(B1550="",D1550="",F1550=""),"",IF(NOT(ISNUMBER(B1550)),"Needs a date",IF(D1550="","Needs a client",IF(COUNTIF(Clients!$B$6:$B$105,D1550)=0,"Not on Clients",IF(AND(F1550="",INT(B1550)&lt;TODAY()),"Needs a status","")))))</f>
        <v/>
      </c>
      <c r="I1550" s="1">
        <f>IF(ISNUMBER(B1550),INT(B1550),0)</f>
        <v/>
      </c>
      <c r="J1550">
        <f>IF(ISNUMBER(B1550),YEAR(B1550)*100+MONTH(B1550),"")</f>
        <v/>
      </c>
      <c r="K1550">
        <f>IF(AND(H1550="",OR(F1550="Attended",F1550="No-show",AND(F1550="Late cancel",Settings!$C$9="Yes"))),1,0)</f>
        <v/>
      </c>
      <c r="L1550">
        <f>IF(AND(H1550="",F1550="Attended"),1,0)</f>
        <v/>
      </c>
      <c r="M1550">
        <f>IF(AND(H1550="",OR(F1550="No-show",F1550="Late cancel")),1,0)</f>
        <v/>
      </c>
      <c r="N1550">
        <f>IF(AND(H1550="",F1550="",D1550&lt;&gt;"",I1550&gt;=TODAY()),ROUND((I1550+IF(ISNUMBER(C1550),MOD(C1550,1),0))*1440,0)*10000+ROW(),"")</f>
        <v/>
      </c>
    </row>
    <row r="1551">
      <c r="A1551" s="1" t="n"/>
      <c r="B1551" s="17" t="n"/>
      <c r="C1551" s="18" t="n"/>
      <c r="D1551" s="19" t="n"/>
      <c r="E1551" s="20" t="n"/>
      <c r="F1551" s="20" t="n"/>
      <c r="G1551" s="21" t="n"/>
      <c r="H1551" s="12">
        <f>IF(AND(B1551="",D1551="",F1551=""),"",IF(NOT(ISNUMBER(B1551)),"Needs a date",IF(D1551="","Needs a client",IF(COUNTIF(Clients!$B$6:$B$105,D1551)=0,"Not on Clients",IF(AND(F1551="",INT(B1551)&lt;TODAY()),"Needs a status","")))))</f>
        <v/>
      </c>
      <c r="I1551" s="1">
        <f>IF(ISNUMBER(B1551),INT(B1551),0)</f>
        <v/>
      </c>
      <c r="J1551">
        <f>IF(ISNUMBER(B1551),YEAR(B1551)*100+MONTH(B1551),"")</f>
        <v/>
      </c>
      <c r="K1551">
        <f>IF(AND(H1551="",OR(F1551="Attended",F1551="No-show",AND(F1551="Late cancel",Settings!$C$9="Yes"))),1,0)</f>
        <v/>
      </c>
      <c r="L1551">
        <f>IF(AND(H1551="",F1551="Attended"),1,0)</f>
        <v/>
      </c>
      <c r="M1551">
        <f>IF(AND(H1551="",OR(F1551="No-show",F1551="Late cancel")),1,0)</f>
        <v/>
      </c>
      <c r="N1551">
        <f>IF(AND(H1551="",F1551="",D1551&lt;&gt;"",I1551&gt;=TODAY()),ROUND((I1551+IF(ISNUMBER(C1551),MOD(C1551,1),0))*1440,0)*10000+ROW(),"")</f>
        <v/>
      </c>
    </row>
    <row r="1552">
      <c r="A1552" s="1" t="n"/>
      <c r="B1552" s="17" t="n"/>
      <c r="C1552" s="18" t="n"/>
      <c r="D1552" s="19" t="n"/>
      <c r="E1552" s="20" t="n"/>
      <c r="F1552" s="20" t="n"/>
      <c r="G1552" s="21" t="n"/>
      <c r="H1552" s="12">
        <f>IF(AND(B1552="",D1552="",F1552=""),"",IF(NOT(ISNUMBER(B1552)),"Needs a date",IF(D1552="","Needs a client",IF(COUNTIF(Clients!$B$6:$B$105,D1552)=0,"Not on Clients",IF(AND(F1552="",INT(B1552)&lt;TODAY()),"Needs a status","")))))</f>
        <v/>
      </c>
      <c r="I1552" s="1">
        <f>IF(ISNUMBER(B1552),INT(B1552),0)</f>
        <v/>
      </c>
      <c r="J1552">
        <f>IF(ISNUMBER(B1552),YEAR(B1552)*100+MONTH(B1552),"")</f>
        <v/>
      </c>
      <c r="K1552">
        <f>IF(AND(H1552="",OR(F1552="Attended",F1552="No-show",AND(F1552="Late cancel",Settings!$C$9="Yes"))),1,0)</f>
        <v/>
      </c>
      <c r="L1552">
        <f>IF(AND(H1552="",F1552="Attended"),1,0)</f>
        <v/>
      </c>
      <c r="M1552">
        <f>IF(AND(H1552="",OR(F1552="No-show",F1552="Late cancel")),1,0)</f>
        <v/>
      </c>
      <c r="N1552">
        <f>IF(AND(H1552="",F1552="",D1552&lt;&gt;"",I1552&gt;=TODAY()),ROUND((I1552+IF(ISNUMBER(C1552),MOD(C1552,1),0))*1440,0)*10000+ROW(),"")</f>
        <v/>
      </c>
    </row>
    <row r="1553">
      <c r="A1553" s="1" t="n"/>
      <c r="B1553" s="17" t="n"/>
      <c r="C1553" s="18" t="n"/>
      <c r="D1553" s="19" t="n"/>
      <c r="E1553" s="20" t="n"/>
      <c r="F1553" s="20" t="n"/>
      <c r="G1553" s="21" t="n"/>
      <c r="H1553" s="12">
        <f>IF(AND(B1553="",D1553="",F1553=""),"",IF(NOT(ISNUMBER(B1553)),"Needs a date",IF(D1553="","Needs a client",IF(COUNTIF(Clients!$B$6:$B$105,D1553)=0,"Not on Clients",IF(AND(F1553="",INT(B1553)&lt;TODAY()),"Needs a status","")))))</f>
        <v/>
      </c>
      <c r="I1553" s="1">
        <f>IF(ISNUMBER(B1553),INT(B1553),0)</f>
        <v/>
      </c>
      <c r="J1553">
        <f>IF(ISNUMBER(B1553),YEAR(B1553)*100+MONTH(B1553),"")</f>
        <v/>
      </c>
      <c r="K1553">
        <f>IF(AND(H1553="",OR(F1553="Attended",F1553="No-show",AND(F1553="Late cancel",Settings!$C$9="Yes"))),1,0)</f>
        <v/>
      </c>
      <c r="L1553">
        <f>IF(AND(H1553="",F1553="Attended"),1,0)</f>
        <v/>
      </c>
      <c r="M1553">
        <f>IF(AND(H1553="",OR(F1553="No-show",F1553="Late cancel")),1,0)</f>
        <v/>
      </c>
      <c r="N1553">
        <f>IF(AND(H1553="",F1553="",D1553&lt;&gt;"",I1553&gt;=TODAY()),ROUND((I1553+IF(ISNUMBER(C1553),MOD(C1553,1),0))*1440,0)*10000+ROW(),"")</f>
        <v/>
      </c>
    </row>
    <row r="1554">
      <c r="A1554" s="1" t="n"/>
      <c r="B1554" s="17" t="n"/>
      <c r="C1554" s="18" t="n"/>
      <c r="D1554" s="19" t="n"/>
      <c r="E1554" s="20" t="n"/>
      <c r="F1554" s="20" t="n"/>
      <c r="G1554" s="21" t="n"/>
      <c r="H1554" s="12">
        <f>IF(AND(B1554="",D1554="",F1554=""),"",IF(NOT(ISNUMBER(B1554)),"Needs a date",IF(D1554="","Needs a client",IF(COUNTIF(Clients!$B$6:$B$105,D1554)=0,"Not on Clients",IF(AND(F1554="",INT(B1554)&lt;TODAY()),"Needs a status","")))))</f>
        <v/>
      </c>
      <c r="I1554" s="1">
        <f>IF(ISNUMBER(B1554),INT(B1554),0)</f>
        <v/>
      </c>
      <c r="J1554">
        <f>IF(ISNUMBER(B1554),YEAR(B1554)*100+MONTH(B1554),"")</f>
        <v/>
      </c>
      <c r="K1554">
        <f>IF(AND(H1554="",OR(F1554="Attended",F1554="No-show",AND(F1554="Late cancel",Settings!$C$9="Yes"))),1,0)</f>
        <v/>
      </c>
      <c r="L1554">
        <f>IF(AND(H1554="",F1554="Attended"),1,0)</f>
        <v/>
      </c>
      <c r="M1554">
        <f>IF(AND(H1554="",OR(F1554="No-show",F1554="Late cancel")),1,0)</f>
        <v/>
      </c>
      <c r="N1554">
        <f>IF(AND(H1554="",F1554="",D1554&lt;&gt;"",I1554&gt;=TODAY()),ROUND((I1554+IF(ISNUMBER(C1554),MOD(C1554,1),0))*1440,0)*10000+ROW(),"")</f>
        <v/>
      </c>
    </row>
    <row r="1555">
      <c r="A1555" s="1" t="n"/>
      <c r="B1555" s="17" t="n"/>
      <c r="C1555" s="18" t="n"/>
      <c r="D1555" s="19" t="n"/>
      <c r="E1555" s="20" t="n"/>
      <c r="F1555" s="20" t="n"/>
      <c r="G1555" s="21" t="n"/>
      <c r="H1555" s="12">
        <f>IF(AND(B1555="",D1555="",F1555=""),"",IF(NOT(ISNUMBER(B1555)),"Needs a date",IF(D1555="","Needs a client",IF(COUNTIF(Clients!$B$6:$B$105,D1555)=0,"Not on Clients",IF(AND(F1555="",INT(B1555)&lt;TODAY()),"Needs a status","")))))</f>
        <v/>
      </c>
      <c r="I1555" s="1">
        <f>IF(ISNUMBER(B1555),INT(B1555),0)</f>
        <v/>
      </c>
      <c r="J1555">
        <f>IF(ISNUMBER(B1555),YEAR(B1555)*100+MONTH(B1555),"")</f>
        <v/>
      </c>
      <c r="K1555">
        <f>IF(AND(H1555="",OR(F1555="Attended",F1555="No-show",AND(F1555="Late cancel",Settings!$C$9="Yes"))),1,0)</f>
        <v/>
      </c>
      <c r="L1555">
        <f>IF(AND(H1555="",F1555="Attended"),1,0)</f>
        <v/>
      </c>
      <c r="M1555">
        <f>IF(AND(H1555="",OR(F1555="No-show",F1555="Late cancel")),1,0)</f>
        <v/>
      </c>
      <c r="N1555">
        <f>IF(AND(H1555="",F1555="",D1555&lt;&gt;"",I1555&gt;=TODAY()),ROUND((I1555+IF(ISNUMBER(C1555),MOD(C1555,1),0))*1440,0)*10000+ROW(),"")</f>
        <v/>
      </c>
    </row>
    <row r="1556">
      <c r="A1556" s="1" t="n"/>
      <c r="B1556" s="17" t="n"/>
      <c r="C1556" s="18" t="n"/>
      <c r="D1556" s="19" t="n"/>
      <c r="E1556" s="20" t="n"/>
      <c r="F1556" s="20" t="n"/>
      <c r="G1556" s="21" t="n"/>
      <c r="H1556" s="12">
        <f>IF(AND(B1556="",D1556="",F1556=""),"",IF(NOT(ISNUMBER(B1556)),"Needs a date",IF(D1556="","Needs a client",IF(COUNTIF(Clients!$B$6:$B$105,D1556)=0,"Not on Clients",IF(AND(F1556="",INT(B1556)&lt;TODAY()),"Needs a status","")))))</f>
        <v/>
      </c>
      <c r="I1556" s="1">
        <f>IF(ISNUMBER(B1556),INT(B1556),0)</f>
        <v/>
      </c>
      <c r="J1556">
        <f>IF(ISNUMBER(B1556),YEAR(B1556)*100+MONTH(B1556),"")</f>
        <v/>
      </c>
      <c r="K1556">
        <f>IF(AND(H1556="",OR(F1556="Attended",F1556="No-show",AND(F1556="Late cancel",Settings!$C$9="Yes"))),1,0)</f>
        <v/>
      </c>
      <c r="L1556">
        <f>IF(AND(H1556="",F1556="Attended"),1,0)</f>
        <v/>
      </c>
      <c r="M1556">
        <f>IF(AND(H1556="",OR(F1556="No-show",F1556="Late cancel")),1,0)</f>
        <v/>
      </c>
      <c r="N1556">
        <f>IF(AND(H1556="",F1556="",D1556&lt;&gt;"",I1556&gt;=TODAY()),ROUND((I1556+IF(ISNUMBER(C1556),MOD(C1556,1),0))*1440,0)*10000+ROW(),"")</f>
        <v/>
      </c>
    </row>
    <row r="1557">
      <c r="A1557" s="1" t="n"/>
      <c r="B1557" s="17" t="n"/>
      <c r="C1557" s="18" t="n"/>
      <c r="D1557" s="19" t="n"/>
      <c r="E1557" s="20" t="n"/>
      <c r="F1557" s="20" t="n"/>
      <c r="G1557" s="21" t="n"/>
      <c r="H1557" s="12">
        <f>IF(AND(B1557="",D1557="",F1557=""),"",IF(NOT(ISNUMBER(B1557)),"Needs a date",IF(D1557="","Needs a client",IF(COUNTIF(Clients!$B$6:$B$105,D1557)=0,"Not on Clients",IF(AND(F1557="",INT(B1557)&lt;TODAY()),"Needs a status","")))))</f>
        <v/>
      </c>
      <c r="I1557" s="1">
        <f>IF(ISNUMBER(B1557),INT(B1557),0)</f>
        <v/>
      </c>
      <c r="J1557">
        <f>IF(ISNUMBER(B1557),YEAR(B1557)*100+MONTH(B1557),"")</f>
        <v/>
      </c>
      <c r="K1557">
        <f>IF(AND(H1557="",OR(F1557="Attended",F1557="No-show",AND(F1557="Late cancel",Settings!$C$9="Yes"))),1,0)</f>
        <v/>
      </c>
      <c r="L1557">
        <f>IF(AND(H1557="",F1557="Attended"),1,0)</f>
        <v/>
      </c>
      <c r="M1557">
        <f>IF(AND(H1557="",OR(F1557="No-show",F1557="Late cancel")),1,0)</f>
        <v/>
      </c>
      <c r="N1557">
        <f>IF(AND(H1557="",F1557="",D1557&lt;&gt;"",I1557&gt;=TODAY()),ROUND((I1557+IF(ISNUMBER(C1557),MOD(C1557,1),0))*1440,0)*10000+ROW(),"")</f>
        <v/>
      </c>
    </row>
    <row r="1558">
      <c r="A1558" s="1" t="n"/>
      <c r="B1558" s="17" t="n"/>
      <c r="C1558" s="18" t="n"/>
      <c r="D1558" s="19" t="n"/>
      <c r="E1558" s="20" t="n"/>
      <c r="F1558" s="20" t="n"/>
      <c r="G1558" s="21" t="n"/>
      <c r="H1558" s="12">
        <f>IF(AND(B1558="",D1558="",F1558=""),"",IF(NOT(ISNUMBER(B1558)),"Needs a date",IF(D1558="","Needs a client",IF(COUNTIF(Clients!$B$6:$B$105,D1558)=0,"Not on Clients",IF(AND(F1558="",INT(B1558)&lt;TODAY()),"Needs a status","")))))</f>
        <v/>
      </c>
      <c r="I1558" s="1">
        <f>IF(ISNUMBER(B1558),INT(B1558),0)</f>
        <v/>
      </c>
      <c r="J1558">
        <f>IF(ISNUMBER(B1558),YEAR(B1558)*100+MONTH(B1558),"")</f>
        <v/>
      </c>
      <c r="K1558">
        <f>IF(AND(H1558="",OR(F1558="Attended",F1558="No-show",AND(F1558="Late cancel",Settings!$C$9="Yes"))),1,0)</f>
        <v/>
      </c>
      <c r="L1558">
        <f>IF(AND(H1558="",F1558="Attended"),1,0)</f>
        <v/>
      </c>
      <c r="M1558">
        <f>IF(AND(H1558="",OR(F1558="No-show",F1558="Late cancel")),1,0)</f>
        <v/>
      </c>
      <c r="N1558">
        <f>IF(AND(H1558="",F1558="",D1558&lt;&gt;"",I1558&gt;=TODAY()),ROUND((I1558+IF(ISNUMBER(C1558),MOD(C1558,1),0))*1440,0)*10000+ROW(),"")</f>
        <v/>
      </c>
    </row>
    <row r="1559">
      <c r="A1559" s="1" t="n"/>
      <c r="B1559" s="17" t="n"/>
      <c r="C1559" s="18" t="n"/>
      <c r="D1559" s="19" t="n"/>
      <c r="E1559" s="20" t="n"/>
      <c r="F1559" s="20" t="n"/>
      <c r="G1559" s="21" t="n"/>
      <c r="H1559" s="12">
        <f>IF(AND(B1559="",D1559="",F1559=""),"",IF(NOT(ISNUMBER(B1559)),"Needs a date",IF(D1559="","Needs a client",IF(COUNTIF(Clients!$B$6:$B$105,D1559)=0,"Not on Clients",IF(AND(F1559="",INT(B1559)&lt;TODAY()),"Needs a status","")))))</f>
        <v/>
      </c>
      <c r="I1559" s="1">
        <f>IF(ISNUMBER(B1559),INT(B1559),0)</f>
        <v/>
      </c>
      <c r="J1559">
        <f>IF(ISNUMBER(B1559),YEAR(B1559)*100+MONTH(B1559),"")</f>
        <v/>
      </c>
      <c r="K1559">
        <f>IF(AND(H1559="",OR(F1559="Attended",F1559="No-show",AND(F1559="Late cancel",Settings!$C$9="Yes"))),1,0)</f>
        <v/>
      </c>
      <c r="L1559">
        <f>IF(AND(H1559="",F1559="Attended"),1,0)</f>
        <v/>
      </c>
      <c r="M1559">
        <f>IF(AND(H1559="",OR(F1559="No-show",F1559="Late cancel")),1,0)</f>
        <v/>
      </c>
      <c r="N1559">
        <f>IF(AND(H1559="",F1559="",D1559&lt;&gt;"",I1559&gt;=TODAY()),ROUND((I1559+IF(ISNUMBER(C1559),MOD(C1559,1),0))*1440,0)*10000+ROW(),"")</f>
        <v/>
      </c>
    </row>
    <row r="1560">
      <c r="A1560" s="1" t="n"/>
      <c r="B1560" s="17" t="n"/>
      <c r="C1560" s="18" t="n"/>
      <c r="D1560" s="19" t="n"/>
      <c r="E1560" s="20" t="n"/>
      <c r="F1560" s="20" t="n"/>
      <c r="G1560" s="21" t="n"/>
      <c r="H1560" s="12">
        <f>IF(AND(B1560="",D1560="",F1560=""),"",IF(NOT(ISNUMBER(B1560)),"Needs a date",IF(D1560="","Needs a client",IF(COUNTIF(Clients!$B$6:$B$105,D1560)=0,"Not on Clients",IF(AND(F1560="",INT(B1560)&lt;TODAY()),"Needs a status","")))))</f>
        <v/>
      </c>
      <c r="I1560" s="1">
        <f>IF(ISNUMBER(B1560),INT(B1560),0)</f>
        <v/>
      </c>
      <c r="J1560">
        <f>IF(ISNUMBER(B1560),YEAR(B1560)*100+MONTH(B1560),"")</f>
        <v/>
      </c>
      <c r="K1560">
        <f>IF(AND(H1560="",OR(F1560="Attended",F1560="No-show",AND(F1560="Late cancel",Settings!$C$9="Yes"))),1,0)</f>
        <v/>
      </c>
      <c r="L1560">
        <f>IF(AND(H1560="",F1560="Attended"),1,0)</f>
        <v/>
      </c>
      <c r="M1560">
        <f>IF(AND(H1560="",OR(F1560="No-show",F1560="Late cancel")),1,0)</f>
        <v/>
      </c>
      <c r="N1560">
        <f>IF(AND(H1560="",F1560="",D1560&lt;&gt;"",I1560&gt;=TODAY()),ROUND((I1560+IF(ISNUMBER(C1560),MOD(C1560,1),0))*1440,0)*10000+ROW(),"")</f>
        <v/>
      </c>
    </row>
    <row r="1561">
      <c r="A1561" s="1" t="n"/>
      <c r="B1561" s="17" t="n"/>
      <c r="C1561" s="18" t="n"/>
      <c r="D1561" s="19" t="n"/>
      <c r="E1561" s="20" t="n"/>
      <c r="F1561" s="20" t="n"/>
      <c r="G1561" s="21" t="n"/>
      <c r="H1561" s="12">
        <f>IF(AND(B1561="",D1561="",F1561=""),"",IF(NOT(ISNUMBER(B1561)),"Needs a date",IF(D1561="","Needs a client",IF(COUNTIF(Clients!$B$6:$B$105,D1561)=0,"Not on Clients",IF(AND(F1561="",INT(B1561)&lt;TODAY()),"Needs a status","")))))</f>
        <v/>
      </c>
      <c r="I1561" s="1">
        <f>IF(ISNUMBER(B1561),INT(B1561),0)</f>
        <v/>
      </c>
      <c r="J1561">
        <f>IF(ISNUMBER(B1561),YEAR(B1561)*100+MONTH(B1561),"")</f>
        <v/>
      </c>
      <c r="K1561">
        <f>IF(AND(H1561="",OR(F1561="Attended",F1561="No-show",AND(F1561="Late cancel",Settings!$C$9="Yes"))),1,0)</f>
        <v/>
      </c>
      <c r="L1561">
        <f>IF(AND(H1561="",F1561="Attended"),1,0)</f>
        <v/>
      </c>
      <c r="M1561">
        <f>IF(AND(H1561="",OR(F1561="No-show",F1561="Late cancel")),1,0)</f>
        <v/>
      </c>
      <c r="N1561">
        <f>IF(AND(H1561="",F1561="",D1561&lt;&gt;"",I1561&gt;=TODAY()),ROUND((I1561+IF(ISNUMBER(C1561),MOD(C1561,1),0))*1440,0)*10000+ROW(),"")</f>
        <v/>
      </c>
    </row>
    <row r="1562">
      <c r="A1562" s="1" t="n"/>
      <c r="B1562" s="17" t="n"/>
      <c r="C1562" s="18" t="n"/>
      <c r="D1562" s="19" t="n"/>
      <c r="E1562" s="20" t="n"/>
      <c r="F1562" s="20" t="n"/>
      <c r="G1562" s="21" t="n"/>
      <c r="H1562" s="12">
        <f>IF(AND(B1562="",D1562="",F1562=""),"",IF(NOT(ISNUMBER(B1562)),"Needs a date",IF(D1562="","Needs a client",IF(COUNTIF(Clients!$B$6:$B$105,D1562)=0,"Not on Clients",IF(AND(F1562="",INT(B1562)&lt;TODAY()),"Needs a status","")))))</f>
        <v/>
      </c>
      <c r="I1562" s="1">
        <f>IF(ISNUMBER(B1562),INT(B1562),0)</f>
        <v/>
      </c>
      <c r="J1562">
        <f>IF(ISNUMBER(B1562),YEAR(B1562)*100+MONTH(B1562),"")</f>
        <v/>
      </c>
      <c r="K1562">
        <f>IF(AND(H1562="",OR(F1562="Attended",F1562="No-show",AND(F1562="Late cancel",Settings!$C$9="Yes"))),1,0)</f>
        <v/>
      </c>
      <c r="L1562">
        <f>IF(AND(H1562="",F1562="Attended"),1,0)</f>
        <v/>
      </c>
      <c r="M1562">
        <f>IF(AND(H1562="",OR(F1562="No-show",F1562="Late cancel")),1,0)</f>
        <v/>
      </c>
      <c r="N1562">
        <f>IF(AND(H1562="",F1562="",D1562&lt;&gt;"",I1562&gt;=TODAY()),ROUND((I1562+IF(ISNUMBER(C1562),MOD(C1562,1),0))*1440,0)*10000+ROW(),"")</f>
        <v/>
      </c>
    </row>
    <row r="1563">
      <c r="A1563" s="1" t="n"/>
      <c r="B1563" s="17" t="n"/>
      <c r="C1563" s="18" t="n"/>
      <c r="D1563" s="19" t="n"/>
      <c r="E1563" s="20" t="n"/>
      <c r="F1563" s="20" t="n"/>
      <c r="G1563" s="21" t="n"/>
      <c r="H1563" s="12">
        <f>IF(AND(B1563="",D1563="",F1563=""),"",IF(NOT(ISNUMBER(B1563)),"Needs a date",IF(D1563="","Needs a client",IF(COUNTIF(Clients!$B$6:$B$105,D1563)=0,"Not on Clients",IF(AND(F1563="",INT(B1563)&lt;TODAY()),"Needs a status","")))))</f>
        <v/>
      </c>
      <c r="I1563" s="1">
        <f>IF(ISNUMBER(B1563),INT(B1563),0)</f>
        <v/>
      </c>
      <c r="J1563">
        <f>IF(ISNUMBER(B1563),YEAR(B1563)*100+MONTH(B1563),"")</f>
        <v/>
      </c>
      <c r="K1563">
        <f>IF(AND(H1563="",OR(F1563="Attended",F1563="No-show",AND(F1563="Late cancel",Settings!$C$9="Yes"))),1,0)</f>
        <v/>
      </c>
      <c r="L1563">
        <f>IF(AND(H1563="",F1563="Attended"),1,0)</f>
        <v/>
      </c>
      <c r="M1563">
        <f>IF(AND(H1563="",OR(F1563="No-show",F1563="Late cancel")),1,0)</f>
        <v/>
      </c>
      <c r="N1563">
        <f>IF(AND(H1563="",F1563="",D1563&lt;&gt;"",I1563&gt;=TODAY()),ROUND((I1563+IF(ISNUMBER(C1563),MOD(C1563,1),0))*1440,0)*10000+ROW(),"")</f>
        <v/>
      </c>
    </row>
    <row r="1564">
      <c r="A1564" s="1" t="n"/>
      <c r="B1564" s="17" t="n"/>
      <c r="C1564" s="18" t="n"/>
      <c r="D1564" s="19" t="n"/>
      <c r="E1564" s="20" t="n"/>
      <c r="F1564" s="20" t="n"/>
      <c r="G1564" s="21" t="n"/>
      <c r="H1564" s="12">
        <f>IF(AND(B1564="",D1564="",F1564=""),"",IF(NOT(ISNUMBER(B1564)),"Needs a date",IF(D1564="","Needs a client",IF(COUNTIF(Clients!$B$6:$B$105,D1564)=0,"Not on Clients",IF(AND(F1564="",INT(B1564)&lt;TODAY()),"Needs a status","")))))</f>
        <v/>
      </c>
      <c r="I1564" s="1">
        <f>IF(ISNUMBER(B1564),INT(B1564),0)</f>
        <v/>
      </c>
      <c r="J1564">
        <f>IF(ISNUMBER(B1564),YEAR(B1564)*100+MONTH(B1564),"")</f>
        <v/>
      </c>
      <c r="K1564">
        <f>IF(AND(H1564="",OR(F1564="Attended",F1564="No-show",AND(F1564="Late cancel",Settings!$C$9="Yes"))),1,0)</f>
        <v/>
      </c>
      <c r="L1564">
        <f>IF(AND(H1564="",F1564="Attended"),1,0)</f>
        <v/>
      </c>
      <c r="M1564">
        <f>IF(AND(H1564="",OR(F1564="No-show",F1564="Late cancel")),1,0)</f>
        <v/>
      </c>
      <c r="N1564">
        <f>IF(AND(H1564="",F1564="",D1564&lt;&gt;"",I1564&gt;=TODAY()),ROUND((I1564+IF(ISNUMBER(C1564),MOD(C1564,1),0))*1440,0)*10000+ROW(),"")</f>
        <v/>
      </c>
    </row>
    <row r="1565">
      <c r="A1565" s="1" t="n"/>
      <c r="B1565" s="17" t="n"/>
      <c r="C1565" s="18" t="n"/>
      <c r="D1565" s="19" t="n"/>
      <c r="E1565" s="20" t="n"/>
      <c r="F1565" s="20" t="n"/>
      <c r="G1565" s="21" t="n"/>
      <c r="H1565" s="12">
        <f>IF(AND(B1565="",D1565="",F1565=""),"",IF(NOT(ISNUMBER(B1565)),"Needs a date",IF(D1565="","Needs a client",IF(COUNTIF(Clients!$B$6:$B$105,D1565)=0,"Not on Clients",IF(AND(F1565="",INT(B1565)&lt;TODAY()),"Needs a status","")))))</f>
        <v/>
      </c>
      <c r="I1565" s="1">
        <f>IF(ISNUMBER(B1565),INT(B1565),0)</f>
        <v/>
      </c>
      <c r="J1565">
        <f>IF(ISNUMBER(B1565),YEAR(B1565)*100+MONTH(B1565),"")</f>
        <v/>
      </c>
      <c r="K1565">
        <f>IF(AND(H1565="",OR(F1565="Attended",F1565="No-show",AND(F1565="Late cancel",Settings!$C$9="Yes"))),1,0)</f>
        <v/>
      </c>
      <c r="L1565">
        <f>IF(AND(H1565="",F1565="Attended"),1,0)</f>
        <v/>
      </c>
      <c r="M1565">
        <f>IF(AND(H1565="",OR(F1565="No-show",F1565="Late cancel")),1,0)</f>
        <v/>
      </c>
      <c r="N1565">
        <f>IF(AND(H1565="",F1565="",D1565&lt;&gt;"",I1565&gt;=TODAY()),ROUND((I1565+IF(ISNUMBER(C1565),MOD(C1565,1),0))*1440,0)*10000+ROW(),"")</f>
        <v/>
      </c>
    </row>
    <row r="1566">
      <c r="A1566" s="1" t="n"/>
      <c r="B1566" s="17" t="n"/>
      <c r="C1566" s="18" t="n"/>
      <c r="D1566" s="19" t="n"/>
      <c r="E1566" s="20" t="n"/>
      <c r="F1566" s="20" t="n"/>
      <c r="G1566" s="21" t="n"/>
      <c r="H1566" s="12">
        <f>IF(AND(B1566="",D1566="",F1566=""),"",IF(NOT(ISNUMBER(B1566)),"Needs a date",IF(D1566="","Needs a client",IF(COUNTIF(Clients!$B$6:$B$105,D1566)=0,"Not on Clients",IF(AND(F1566="",INT(B1566)&lt;TODAY()),"Needs a status","")))))</f>
        <v/>
      </c>
      <c r="I1566" s="1">
        <f>IF(ISNUMBER(B1566),INT(B1566),0)</f>
        <v/>
      </c>
      <c r="J1566">
        <f>IF(ISNUMBER(B1566),YEAR(B1566)*100+MONTH(B1566),"")</f>
        <v/>
      </c>
      <c r="K1566">
        <f>IF(AND(H1566="",OR(F1566="Attended",F1566="No-show",AND(F1566="Late cancel",Settings!$C$9="Yes"))),1,0)</f>
        <v/>
      </c>
      <c r="L1566">
        <f>IF(AND(H1566="",F1566="Attended"),1,0)</f>
        <v/>
      </c>
      <c r="M1566">
        <f>IF(AND(H1566="",OR(F1566="No-show",F1566="Late cancel")),1,0)</f>
        <v/>
      </c>
      <c r="N1566">
        <f>IF(AND(H1566="",F1566="",D1566&lt;&gt;"",I1566&gt;=TODAY()),ROUND((I1566+IF(ISNUMBER(C1566),MOD(C1566,1),0))*1440,0)*10000+ROW(),"")</f>
        <v/>
      </c>
    </row>
    <row r="1567">
      <c r="A1567" s="1" t="n"/>
      <c r="B1567" s="17" t="n"/>
      <c r="C1567" s="18" t="n"/>
      <c r="D1567" s="19" t="n"/>
      <c r="E1567" s="20" t="n"/>
      <c r="F1567" s="20" t="n"/>
      <c r="G1567" s="21" t="n"/>
      <c r="H1567" s="12">
        <f>IF(AND(B1567="",D1567="",F1567=""),"",IF(NOT(ISNUMBER(B1567)),"Needs a date",IF(D1567="","Needs a client",IF(COUNTIF(Clients!$B$6:$B$105,D1567)=0,"Not on Clients",IF(AND(F1567="",INT(B1567)&lt;TODAY()),"Needs a status","")))))</f>
        <v/>
      </c>
      <c r="I1567" s="1">
        <f>IF(ISNUMBER(B1567),INT(B1567),0)</f>
        <v/>
      </c>
      <c r="J1567">
        <f>IF(ISNUMBER(B1567),YEAR(B1567)*100+MONTH(B1567),"")</f>
        <v/>
      </c>
      <c r="K1567">
        <f>IF(AND(H1567="",OR(F1567="Attended",F1567="No-show",AND(F1567="Late cancel",Settings!$C$9="Yes"))),1,0)</f>
        <v/>
      </c>
      <c r="L1567">
        <f>IF(AND(H1567="",F1567="Attended"),1,0)</f>
        <v/>
      </c>
      <c r="M1567">
        <f>IF(AND(H1567="",OR(F1567="No-show",F1567="Late cancel")),1,0)</f>
        <v/>
      </c>
      <c r="N1567">
        <f>IF(AND(H1567="",F1567="",D1567&lt;&gt;"",I1567&gt;=TODAY()),ROUND((I1567+IF(ISNUMBER(C1567),MOD(C1567,1),0))*1440,0)*10000+ROW(),"")</f>
        <v/>
      </c>
    </row>
    <row r="1568">
      <c r="A1568" s="1" t="n"/>
      <c r="B1568" s="17" t="n"/>
      <c r="C1568" s="18" t="n"/>
      <c r="D1568" s="19" t="n"/>
      <c r="E1568" s="20" t="n"/>
      <c r="F1568" s="20" t="n"/>
      <c r="G1568" s="21" t="n"/>
      <c r="H1568" s="12">
        <f>IF(AND(B1568="",D1568="",F1568=""),"",IF(NOT(ISNUMBER(B1568)),"Needs a date",IF(D1568="","Needs a client",IF(COUNTIF(Clients!$B$6:$B$105,D1568)=0,"Not on Clients",IF(AND(F1568="",INT(B1568)&lt;TODAY()),"Needs a status","")))))</f>
        <v/>
      </c>
      <c r="I1568" s="1">
        <f>IF(ISNUMBER(B1568),INT(B1568),0)</f>
        <v/>
      </c>
      <c r="J1568">
        <f>IF(ISNUMBER(B1568),YEAR(B1568)*100+MONTH(B1568),"")</f>
        <v/>
      </c>
      <c r="K1568">
        <f>IF(AND(H1568="",OR(F1568="Attended",F1568="No-show",AND(F1568="Late cancel",Settings!$C$9="Yes"))),1,0)</f>
        <v/>
      </c>
      <c r="L1568">
        <f>IF(AND(H1568="",F1568="Attended"),1,0)</f>
        <v/>
      </c>
      <c r="M1568">
        <f>IF(AND(H1568="",OR(F1568="No-show",F1568="Late cancel")),1,0)</f>
        <v/>
      </c>
      <c r="N1568">
        <f>IF(AND(H1568="",F1568="",D1568&lt;&gt;"",I1568&gt;=TODAY()),ROUND((I1568+IF(ISNUMBER(C1568),MOD(C1568,1),0))*1440,0)*10000+ROW(),"")</f>
        <v/>
      </c>
    </row>
    <row r="1569">
      <c r="A1569" s="1" t="n"/>
      <c r="B1569" s="17" t="n"/>
      <c r="C1569" s="18" t="n"/>
      <c r="D1569" s="19" t="n"/>
      <c r="E1569" s="20" t="n"/>
      <c r="F1569" s="20" t="n"/>
      <c r="G1569" s="21" t="n"/>
      <c r="H1569" s="12">
        <f>IF(AND(B1569="",D1569="",F1569=""),"",IF(NOT(ISNUMBER(B1569)),"Needs a date",IF(D1569="","Needs a client",IF(COUNTIF(Clients!$B$6:$B$105,D1569)=0,"Not on Clients",IF(AND(F1569="",INT(B1569)&lt;TODAY()),"Needs a status","")))))</f>
        <v/>
      </c>
      <c r="I1569" s="1">
        <f>IF(ISNUMBER(B1569),INT(B1569),0)</f>
        <v/>
      </c>
      <c r="J1569">
        <f>IF(ISNUMBER(B1569),YEAR(B1569)*100+MONTH(B1569),"")</f>
        <v/>
      </c>
      <c r="K1569">
        <f>IF(AND(H1569="",OR(F1569="Attended",F1569="No-show",AND(F1569="Late cancel",Settings!$C$9="Yes"))),1,0)</f>
        <v/>
      </c>
      <c r="L1569">
        <f>IF(AND(H1569="",F1569="Attended"),1,0)</f>
        <v/>
      </c>
      <c r="M1569">
        <f>IF(AND(H1569="",OR(F1569="No-show",F1569="Late cancel")),1,0)</f>
        <v/>
      </c>
      <c r="N1569">
        <f>IF(AND(H1569="",F1569="",D1569&lt;&gt;"",I1569&gt;=TODAY()),ROUND((I1569+IF(ISNUMBER(C1569),MOD(C1569,1),0))*1440,0)*10000+ROW(),"")</f>
        <v/>
      </c>
    </row>
    <row r="1570">
      <c r="A1570" s="1" t="n"/>
      <c r="B1570" s="17" t="n"/>
      <c r="C1570" s="18" t="n"/>
      <c r="D1570" s="19" t="n"/>
      <c r="E1570" s="20" t="n"/>
      <c r="F1570" s="20" t="n"/>
      <c r="G1570" s="21" t="n"/>
      <c r="H1570" s="12">
        <f>IF(AND(B1570="",D1570="",F1570=""),"",IF(NOT(ISNUMBER(B1570)),"Needs a date",IF(D1570="","Needs a client",IF(COUNTIF(Clients!$B$6:$B$105,D1570)=0,"Not on Clients",IF(AND(F1570="",INT(B1570)&lt;TODAY()),"Needs a status","")))))</f>
        <v/>
      </c>
      <c r="I1570" s="1">
        <f>IF(ISNUMBER(B1570),INT(B1570),0)</f>
        <v/>
      </c>
      <c r="J1570">
        <f>IF(ISNUMBER(B1570),YEAR(B1570)*100+MONTH(B1570),"")</f>
        <v/>
      </c>
      <c r="K1570">
        <f>IF(AND(H1570="",OR(F1570="Attended",F1570="No-show",AND(F1570="Late cancel",Settings!$C$9="Yes"))),1,0)</f>
        <v/>
      </c>
      <c r="L1570">
        <f>IF(AND(H1570="",F1570="Attended"),1,0)</f>
        <v/>
      </c>
      <c r="M1570">
        <f>IF(AND(H1570="",OR(F1570="No-show",F1570="Late cancel")),1,0)</f>
        <v/>
      </c>
      <c r="N1570">
        <f>IF(AND(H1570="",F1570="",D1570&lt;&gt;"",I1570&gt;=TODAY()),ROUND((I1570+IF(ISNUMBER(C1570),MOD(C1570,1),0))*1440,0)*10000+ROW(),"")</f>
        <v/>
      </c>
    </row>
    <row r="1571">
      <c r="A1571" s="1" t="n"/>
      <c r="B1571" s="17" t="n"/>
      <c r="C1571" s="18" t="n"/>
      <c r="D1571" s="19" t="n"/>
      <c r="E1571" s="20" t="n"/>
      <c r="F1571" s="20" t="n"/>
      <c r="G1571" s="21" t="n"/>
      <c r="H1571" s="12">
        <f>IF(AND(B1571="",D1571="",F1571=""),"",IF(NOT(ISNUMBER(B1571)),"Needs a date",IF(D1571="","Needs a client",IF(COUNTIF(Clients!$B$6:$B$105,D1571)=0,"Not on Clients",IF(AND(F1571="",INT(B1571)&lt;TODAY()),"Needs a status","")))))</f>
        <v/>
      </c>
      <c r="I1571" s="1">
        <f>IF(ISNUMBER(B1571),INT(B1571),0)</f>
        <v/>
      </c>
      <c r="J1571">
        <f>IF(ISNUMBER(B1571),YEAR(B1571)*100+MONTH(B1571),"")</f>
        <v/>
      </c>
      <c r="K1571">
        <f>IF(AND(H1571="",OR(F1571="Attended",F1571="No-show",AND(F1571="Late cancel",Settings!$C$9="Yes"))),1,0)</f>
        <v/>
      </c>
      <c r="L1571">
        <f>IF(AND(H1571="",F1571="Attended"),1,0)</f>
        <v/>
      </c>
      <c r="M1571">
        <f>IF(AND(H1571="",OR(F1571="No-show",F1571="Late cancel")),1,0)</f>
        <v/>
      </c>
      <c r="N1571">
        <f>IF(AND(H1571="",F1571="",D1571&lt;&gt;"",I1571&gt;=TODAY()),ROUND((I1571+IF(ISNUMBER(C1571),MOD(C1571,1),0))*1440,0)*10000+ROW(),"")</f>
        <v/>
      </c>
    </row>
    <row r="1572">
      <c r="A1572" s="1" t="n"/>
      <c r="B1572" s="17" t="n"/>
      <c r="C1572" s="18" t="n"/>
      <c r="D1572" s="19" t="n"/>
      <c r="E1572" s="20" t="n"/>
      <c r="F1572" s="20" t="n"/>
      <c r="G1572" s="21" t="n"/>
      <c r="H1572" s="12">
        <f>IF(AND(B1572="",D1572="",F1572=""),"",IF(NOT(ISNUMBER(B1572)),"Needs a date",IF(D1572="","Needs a client",IF(COUNTIF(Clients!$B$6:$B$105,D1572)=0,"Not on Clients",IF(AND(F1572="",INT(B1572)&lt;TODAY()),"Needs a status","")))))</f>
        <v/>
      </c>
      <c r="I1572" s="1">
        <f>IF(ISNUMBER(B1572),INT(B1572),0)</f>
        <v/>
      </c>
      <c r="J1572">
        <f>IF(ISNUMBER(B1572),YEAR(B1572)*100+MONTH(B1572),"")</f>
        <v/>
      </c>
      <c r="K1572">
        <f>IF(AND(H1572="",OR(F1572="Attended",F1572="No-show",AND(F1572="Late cancel",Settings!$C$9="Yes"))),1,0)</f>
        <v/>
      </c>
      <c r="L1572">
        <f>IF(AND(H1572="",F1572="Attended"),1,0)</f>
        <v/>
      </c>
      <c r="M1572">
        <f>IF(AND(H1572="",OR(F1572="No-show",F1572="Late cancel")),1,0)</f>
        <v/>
      </c>
      <c r="N1572">
        <f>IF(AND(H1572="",F1572="",D1572&lt;&gt;"",I1572&gt;=TODAY()),ROUND((I1572+IF(ISNUMBER(C1572),MOD(C1572,1),0))*1440,0)*10000+ROW(),"")</f>
        <v/>
      </c>
    </row>
    <row r="1573">
      <c r="A1573" s="1" t="n"/>
      <c r="B1573" s="17" t="n"/>
      <c r="C1573" s="18" t="n"/>
      <c r="D1573" s="19" t="n"/>
      <c r="E1573" s="20" t="n"/>
      <c r="F1573" s="20" t="n"/>
      <c r="G1573" s="21" t="n"/>
      <c r="H1573" s="12">
        <f>IF(AND(B1573="",D1573="",F1573=""),"",IF(NOT(ISNUMBER(B1573)),"Needs a date",IF(D1573="","Needs a client",IF(COUNTIF(Clients!$B$6:$B$105,D1573)=0,"Not on Clients",IF(AND(F1573="",INT(B1573)&lt;TODAY()),"Needs a status","")))))</f>
        <v/>
      </c>
      <c r="I1573" s="1">
        <f>IF(ISNUMBER(B1573),INT(B1573),0)</f>
        <v/>
      </c>
      <c r="J1573">
        <f>IF(ISNUMBER(B1573),YEAR(B1573)*100+MONTH(B1573),"")</f>
        <v/>
      </c>
      <c r="K1573">
        <f>IF(AND(H1573="",OR(F1573="Attended",F1573="No-show",AND(F1573="Late cancel",Settings!$C$9="Yes"))),1,0)</f>
        <v/>
      </c>
      <c r="L1573">
        <f>IF(AND(H1573="",F1573="Attended"),1,0)</f>
        <v/>
      </c>
      <c r="M1573">
        <f>IF(AND(H1573="",OR(F1573="No-show",F1573="Late cancel")),1,0)</f>
        <v/>
      </c>
      <c r="N1573">
        <f>IF(AND(H1573="",F1573="",D1573&lt;&gt;"",I1573&gt;=TODAY()),ROUND((I1573+IF(ISNUMBER(C1573),MOD(C1573,1),0))*1440,0)*10000+ROW(),"")</f>
        <v/>
      </c>
    </row>
    <row r="1574">
      <c r="A1574" s="1" t="n"/>
      <c r="B1574" s="17" t="n"/>
      <c r="C1574" s="18" t="n"/>
      <c r="D1574" s="19" t="n"/>
      <c r="E1574" s="20" t="n"/>
      <c r="F1574" s="20" t="n"/>
      <c r="G1574" s="21" t="n"/>
      <c r="H1574" s="12">
        <f>IF(AND(B1574="",D1574="",F1574=""),"",IF(NOT(ISNUMBER(B1574)),"Needs a date",IF(D1574="","Needs a client",IF(COUNTIF(Clients!$B$6:$B$105,D1574)=0,"Not on Clients",IF(AND(F1574="",INT(B1574)&lt;TODAY()),"Needs a status","")))))</f>
        <v/>
      </c>
      <c r="I1574" s="1">
        <f>IF(ISNUMBER(B1574),INT(B1574),0)</f>
        <v/>
      </c>
      <c r="J1574">
        <f>IF(ISNUMBER(B1574),YEAR(B1574)*100+MONTH(B1574),"")</f>
        <v/>
      </c>
      <c r="K1574">
        <f>IF(AND(H1574="",OR(F1574="Attended",F1574="No-show",AND(F1574="Late cancel",Settings!$C$9="Yes"))),1,0)</f>
        <v/>
      </c>
      <c r="L1574">
        <f>IF(AND(H1574="",F1574="Attended"),1,0)</f>
        <v/>
      </c>
      <c r="M1574">
        <f>IF(AND(H1574="",OR(F1574="No-show",F1574="Late cancel")),1,0)</f>
        <v/>
      </c>
      <c r="N1574">
        <f>IF(AND(H1574="",F1574="",D1574&lt;&gt;"",I1574&gt;=TODAY()),ROUND((I1574+IF(ISNUMBER(C1574),MOD(C1574,1),0))*1440,0)*10000+ROW(),"")</f>
        <v/>
      </c>
    </row>
    <row r="1575">
      <c r="A1575" s="1" t="n"/>
      <c r="B1575" s="17" t="n"/>
      <c r="C1575" s="18" t="n"/>
      <c r="D1575" s="19" t="n"/>
      <c r="E1575" s="20" t="n"/>
      <c r="F1575" s="20" t="n"/>
      <c r="G1575" s="21" t="n"/>
      <c r="H1575" s="12">
        <f>IF(AND(B1575="",D1575="",F1575=""),"",IF(NOT(ISNUMBER(B1575)),"Needs a date",IF(D1575="","Needs a client",IF(COUNTIF(Clients!$B$6:$B$105,D1575)=0,"Not on Clients",IF(AND(F1575="",INT(B1575)&lt;TODAY()),"Needs a status","")))))</f>
        <v/>
      </c>
      <c r="I1575" s="1">
        <f>IF(ISNUMBER(B1575),INT(B1575),0)</f>
        <v/>
      </c>
      <c r="J1575">
        <f>IF(ISNUMBER(B1575),YEAR(B1575)*100+MONTH(B1575),"")</f>
        <v/>
      </c>
      <c r="K1575">
        <f>IF(AND(H1575="",OR(F1575="Attended",F1575="No-show",AND(F1575="Late cancel",Settings!$C$9="Yes"))),1,0)</f>
        <v/>
      </c>
      <c r="L1575">
        <f>IF(AND(H1575="",F1575="Attended"),1,0)</f>
        <v/>
      </c>
      <c r="M1575">
        <f>IF(AND(H1575="",OR(F1575="No-show",F1575="Late cancel")),1,0)</f>
        <v/>
      </c>
      <c r="N1575">
        <f>IF(AND(H1575="",F1575="",D1575&lt;&gt;"",I1575&gt;=TODAY()),ROUND((I1575+IF(ISNUMBER(C1575),MOD(C1575,1),0))*1440,0)*10000+ROW(),"")</f>
        <v/>
      </c>
    </row>
    <row r="1576">
      <c r="A1576" s="1" t="n"/>
      <c r="B1576" s="17" t="n"/>
      <c r="C1576" s="18" t="n"/>
      <c r="D1576" s="19" t="n"/>
      <c r="E1576" s="20" t="n"/>
      <c r="F1576" s="20" t="n"/>
      <c r="G1576" s="21" t="n"/>
      <c r="H1576" s="12">
        <f>IF(AND(B1576="",D1576="",F1576=""),"",IF(NOT(ISNUMBER(B1576)),"Needs a date",IF(D1576="","Needs a client",IF(COUNTIF(Clients!$B$6:$B$105,D1576)=0,"Not on Clients",IF(AND(F1576="",INT(B1576)&lt;TODAY()),"Needs a status","")))))</f>
        <v/>
      </c>
      <c r="I1576" s="1">
        <f>IF(ISNUMBER(B1576),INT(B1576),0)</f>
        <v/>
      </c>
      <c r="J1576">
        <f>IF(ISNUMBER(B1576),YEAR(B1576)*100+MONTH(B1576),"")</f>
        <v/>
      </c>
      <c r="K1576">
        <f>IF(AND(H1576="",OR(F1576="Attended",F1576="No-show",AND(F1576="Late cancel",Settings!$C$9="Yes"))),1,0)</f>
        <v/>
      </c>
      <c r="L1576">
        <f>IF(AND(H1576="",F1576="Attended"),1,0)</f>
        <v/>
      </c>
      <c r="M1576">
        <f>IF(AND(H1576="",OR(F1576="No-show",F1576="Late cancel")),1,0)</f>
        <v/>
      </c>
      <c r="N1576">
        <f>IF(AND(H1576="",F1576="",D1576&lt;&gt;"",I1576&gt;=TODAY()),ROUND((I1576+IF(ISNUMBER(C1576),MOD(C1576,1),0))*1440,0)*10000+ROW(),"")</f>
        <v/>
      </c>
    </row>
    <row r="1577">
      <c r="A1577" s="1" t="n"/>
      <c r="B1577" s="17" t="n"/>
      <c r="C1577" s="18" t="n"/>
      <c r="D1577" s="19" t="n"/>
      <c r="E1577" s="20" t="n"/>
      <c r="F1577" s="20" t="n"/>
      <c r="G1577" s="21" t="n"/>
      <c r="H1577" s="12">
        <f>IF(AND(B1577="",D1577="",F1577=""),"",IF(NOT(ISNUMBER(B1577)),"Needs a date",IF(D1577="","Needs a client",IF(COUNTIF(Clients!$B$6:$B$105,D1577)=0,"Not on Clients",IF(AND(F1577="",INT(B1577)&lt;TODAY()),"Needs a status","")))))</f>
        <v/>
      </c>
      <c r="I1577" s="1">
        <f>IF(ISNUMBER(B1577),INT(B1577),0)</f>
        <v/>
      </c>
      <c r="J1577">
        <f>IF(ISNUMBER(B1577),YEAR(B1577)*100+MONTH(B1577),"")</f>
        <v/>
      </c>
      <c r="K1577">
        <f>IF(AND(H1577="",OR(F1577="Attended",F1577="No-show",AND(F1577="Late cancel",Settings!$C$9="Yes"))),1,0)</f>
        <v/>
      </c>
      <c r="L1577">
        <f>IF(AND(H1577="",F1577="Attended"),1,0)</f>
        <v/>
      </c>
      <c r="M1577">
        <f>IF(AND(H1577="",OR(F1577="No-show",F1577="Late cancel")),1,0)</f>
        <v/>
      </c>
      <c r="N1577">
        <f>IF(AND(H1577="",F1577="",D1577&lt;&gt;"",I1577&gt;=TODAY()),ROUND((I1577+IF(ISNUMBER(C1577),MOD(C1577,1),0))*1440,0)*10000+ROW(),"")</f>
        <v/>
      </c>
    </row>
    <row r="1578">
      <c r="A1578" s="1" t="n"/>
      <c r="B1578" s="17" t="n"/>
      <c r="C1578" s="18" t="n"/>
      <c r="D1578" s="19" t="n"/>
      <c r="E1578" s="20" t="n"/>
      <c r="F1578" s="20" t="n"/>
      <c r="G1578" s="21" t="n"/>
      <c r="H1578" s="12">
        <f>IF(AND(B1578="",D1578="",F1578=""),"",IF(NOT(ISNUMBER(B1578)),"Needs a date",IF(D1578="","Needs a client",IF(COUNTIF(Clients!$B$6:$B$105,D1578)=0,"Not on Clients",IF(AND(F1578="",INT(B1578)&lt;TODAY()),"Needs a status","")))))</f>
        <v/>
      </c>
      <c r="I1578" s="1">
        <f>IF(ISNUMBER(B1578),INT(B1578),0)</f>
        <v/>
      </c>
      <c r="J1578">
        <f>IF(ISNUMBER(B1578),YEAR(B1578)*100+MONTH(B1578),"")</f>
        <v/>
      </c>
      <c r="K1578">
        <f>IF(AND(H1578="",OR(F1578="Attended",F1578="No-show",AND(F1578="Late cancel",Settings!$C$9="Yes"))),1,0)</f>
        <v/>
      </c>
      <c r="L1578">
        <f>IF(AND(H1578="",F1578="Attended"),1,0)</f>
        <v/>
      </c>
      <c r="M1578">
        <f>IF(AND(H1578="",OR(F1578="No-show",F1578="Late cancel")),1,0)</f>
        <v/>
      </c>
      <c r="N1578">
        <f>IF(AND(H1578="",F1578="",D1578&lt;&gt;"",I1578&gt;=TODAY()),ROUND((I1578+IF(ISNUMBER(C1578),MOD(C1578,1),0))*1440,0)*10000+ROW(),"")</f>
        <v/>
      </c>
    </row>
    <row r="1579">
      <c r="A1579" s="1" t="n"/>
      <c r="B1579" s="17" t="n"/>
      <c r="C1579" s="18" t="n"/>
      <c r="D1579" s="19" t="n"/>
      <c r="E1579" s="20" t="n"/>
      <c r="F1579" s="20" t="n"/>
      <c r="G1579" s="21" t="n"/>
      <c r="H1579" s="12">
        <f>IF(AND(B1579="",D1579="",F1579=""),"",IF(NOT(ISNUMBER(B1579)),"Needs a date",IF(D1579="","Needs a client",IF(COUNTIF(Clients!$B$6:$B$105,D1579)=0,"Not on Clients",IF(AND(F1579="",INT(B1579)&lt;TODAY()),"Needs a status","")))))</f>
        <v/>
      </c>
      <c r="I1579" s="1">
        <f>IF(ISNUMBER(B1579),INT(B1579),0)</f>
        <v/>
      </c>
      <c r="J1579">
        <f>IF(ISNUMBER(B1579),YEAR(B1579)*100+MONTH(B1579),"")</f>
        <v/>
      </c>
      <c r="K1579">
        <f>IF(AND(H1579="",OR(F1579="Attended",F1579="No-show",AND(F1579="Late cancel",Settings!$C$9="Yes"))),1,0)</f>
        <v/>
      </c>
      <c r="L1579">
        <f>IF(AND(H1579="",F1579="Attended"),1,0)</f>
        <v/>
      </c>
      <c r="M1579">
        <f>IF(AND(H1579="",OR(F1579="No-show",F1579="Late cancel")),1,0)</f>
        <v/>
      </c>
      <c r="N1579">
        <f>IF(AND(H1579="",F1579="",D1579&lt;&gt;"",I1579&gt;=TODAY()),ROUND((I1579+IF(ISNUMBER(C1579),MOD(C1579,1),0))*1440,0)*10000+ROW(),"")</f>
        <v/>
      </c>
    </row>
    <row r="1580">
      <c r="A1580" s="1" t="n"/>
      <c r="B1580" s="17" t="n"/>
      <c r="C1580" s="18" t="n"/>
      <c r="D1580" s="19" t="n"/>
      <c r="E1580" s="20" t="n"/>
      <c r="F1580" s="20" t="n"/>
      <c r="G1580" s="21" t="n"/>
      <c r="H1580" s="12">
        <f>IF(AND(B1580="",D1580="",F1580=""),"",IF(NOT(ISNUMBER(B1580)),"Needs a date",IF(D1580="","Needs a client",IF(COUNTIF(Clients!$B$6:$B$105,D1580)=0,"Not on Clients",IF(AND(F1580="",INT(B1580)&lt;TODAY()),"Needs a status","")))))</f>
        <v/>
      </c>
      <c r="I1580" s="1">
        <f>IF(ISNUMBER(B1580),INT(B1580),0)</f>
        <v/>
      </c>
      <c r="J1580">
        <f>IF(ISNUMBER(B1580),YEAR(B1580)*100+MONTH(B1580),"")</f>
        <v/>
      </c>
      <c r="K1580">
        <f>IF(AND(H1580="",OR(F1580="Attended",F1580="No-show",AND(F1580="Late cancel",Settings!$C$9="Yes"))),1,0)</f>
        <v/>
      </c>
      <c r="L1580">
        <f>IF(AND(H1580="",F1580="Attended"),1,0)</f>
        <v/>
      </c>
      <c r="M1580">
        <f>IF(AND(H1580="",OR(F1580="No-show",F1580="Late cancel")),1,0)</f>
        <v/>
      </c>
      <c r="N1580">
        <f>IF(AND(H1580="",F1580="",D1580&lt;&gt;"",I1580&gt;=TODAY()),ROUND((I1580+IF(ISNUMBER(C1580),MOD(C1580,1),0))*1440,0)*10000+ROW(),"")</f>
        <v/>
      </c>
    </row>
    <row r="1581">
      <c r="A1581" s="1" t="n"/>
      <c r="B1581" s="17" t="n"/>
      <c r="C1581" s="18" t="n"/>
      <c r="D1581" s="19" t="n"/>
      <c r="E1581" s="20" t="n"/>
      <c r="F1581" s="20" t="n"/>
      <c r="G1581" s="21" t="n"/>
      <c r="H1581" s="12">
        <f>IF(AND(B1581="",D1581="",F1581=""),"",IF(NOT(ISNUMBER(B1581)),"Needs a date",IF(D1581="","Needs a client",IF(COUNTIF(Clients!$B$6:$B$105,D1581)=0,"Not on Clients",IF(AND(F1581="",INT(B1581)&lt;TODAY()),"Needs a status","")))))</f>
        <v/>
      </c>
      <c r="I1581" s="1">
        <f>IF(ISNUMBER(B1581),INT(B1581),0)</f>
        <v/>
      </c>
      <c r="J1581">
        <f>IF(ISNUMBER(B1581),YEAR(B1581)*100+MONTH(B1581),"")</f>
        <v/>
      </c>
      <c r="K1581">
        <f>IF(AND(H1581="",OR(F1581="Attended",F1581="No-show",AND(F1581="Late cancel",Settings!$C$9="Yes"))),1,0)</f>
        <v/>
      </c>
      <c r="L1581">
        <f>IF(AND(H1581="",F1581="Attended"),1,0)</f>
        <v/>
      </c>
      <c r="M1581">
        <f>IF(AND(H1581="",OR(F1581="No-show",F1581="Late cancel")),1,0)</f>
        <v/>
      </c>
      <c r="N1581">
        <f>IF(AND(H1581="",F1581="",D1581&lt;&gt;"",I1581&gt;=TODAY()),ROUND((I1581+IF(ISNUMBER(C1581),MOD(C1581,1),0))*1440,0)*10000+ROW(),"")</f>
        <v/>
      </c>
    </row>
    <row r="1582">
      <c r="A1582" s="1" t="n"/>
      <c r="B1582" s="17" t="n"/>
      <c r="C1582" s="18" t="n"/>
      <c r="D1582" s="19" t="n"/>
      <c r="E1582" s="20" t="n"/>
      <c r="F1582" s="20" t="n"/>
      <c r="G1582" s="21" t="n"/>
      <c r="H1582" s="12">
        <f>IF(AND(B1582="",D1582="",F1582=""),"",IF(NOT(ISNUMBER(B1582)),"Needs a date",IF(D1582="","Needs a client",IF(COUNTIF(Clients!$B$6:$B$105,D1582)=0,"Not on Clients",IF(AND(F1582="",INT(B1582)&lt;TODAY()),"Needs a status","")))))</f>
        <v/>
      </c>
      <c r="I1582" s="1">
        <f>IF(ISNUMBER(B1582),INT(B1582),0)</f>
        <v/>
      </c>
      <c r="J1582">
        <f>IF(ISNUMBER(B1582),YEAR(B1582)*100+MONTH(B1582),"")</f>
        <v/>
      </c>
      <c r="K1582">
        <f>IF(AND(H1582="",OR(F1582="Attended",F1582="No-show",AND(F1582="Late cancel",Settings!$C$9="Yes"))),1,0)</f>
        <v/>
      </c>
      <c r="L1582">
        <f>IF(AND(H1582="",F1582="Attended"),1,0)</f>
        <v/>
      </c>
      <c r="M1582">
        <f>IF(AND(H1582="",OR(F1582="No-show",F1582="Late cancel")),1,0)</f>
        <v/>
      </c>
      <c r="N1582">
        <f>IF(AND(H1582="",F1582="",D1582&lt;&gt;"",I1582&gt;=TODAY()),ROUND((I1582+IF(ISNUMBER(C1582),MOD(C1582,1),0))*1440,0)*10000+ROW(),"")</f>
        <v/>
      </c>
    </row>
    <row r="1583">
      <c r="A1583" s="1" t="n"/>
      <c r="B1583" s="17" t="n"/>
      <c r="C1583" s="18" t="n"/>
      <c r="D1583" s="19" t="n"/>
      <c r="E1583" s="20" t="n"/>
      <c r="F1583" s="20" t="n"/>
      <c r="G1583" s="21" t="n"/>
      <c r="H1583" s="12">
        <f>IF(AND(B1583="",D1583="",F1583=""),"",IF(NOT(ISNUMBER(B1583)),"Needs a date",IF(D1583="","Needs a client",IF(COUNTIF(Clients!$B$6:$B$105,D1583)=0,"Not on Clients",IF(AND(F1583="",INT(B1583)&lt;TODAY()),"Needs a status","")))))</f>
        <v/>
      </c>
      <c r="I1583" s="1">
        <f>IF(ISNUMBER(B1583),INT(B1583),0)</f>
        <v/>
      </c>
      <c r="J1583">
        <f>IF(ISNUMBER(B1583),YEAR(B1583)*100+MONTH(B1583),"")</f>
        <v/>
      </c>
      <c r="K1583">
        <f>IF(AND(H1583="",OR(F1583="Attended",F1583="No-show",AND(F1583="Late cancel",Settings!$C$9="Yes"))),1,0)</f>
        <v/>
      </c>
      <c r="L1583">
        <f>IF(AND(H1583="",F1583="Attended"),1,0)</f>
        <v/>
      </c>
      <c r="M1583">
        <f>IF(AND(H1583="",OR(F1583="No-show",F1583="Late cancel")),1,0)</f>
        <v/>
      </c>
      <c r="N1583">
        <f>IF(AND(H1583="",F1583="",D1583&lt;&gt;"",I1583&gt;=TODAY()),ROUND((I1583+IF(ISNUMBER(C1583),MOD(C1583,1),0))*1440,0)*10000+ROW(),"")</f>
        <v/>
      </c>
    </row>
    <row r="1584">
      <c r="A1584" s="1" t="n"/>
      <c r="B1584" s="17" t="n"/>
      <c r="C1584" s="18" t="n"/>
      <c r="D1584" s="19" t="n"/>
      <c r="E1584" s="20" t="n"/>
      <c r="F1584" s="20" t="n"/>
      <c r="G1584" s="21" t="n"/>
      <c r="H1584" s="12">
        <f>IF(AND(B1584="",D1584="",F1584=""),"",IF(NOT(ISNUMBER(B1584)),"Needs a date",IF(D1584="","Needs a client",IF(COUNTIF(Clients!$B$6:$B$105,D1584)=0,"Not on Clients",IF(AND(F1584="",INT(B1584)&lt;TODAY()),"Needs a status","")))))</f>
        <v/>
      </c>
      <c r="I1584" s="1">
        <f>IF(ISNUMBER(B1584),INT(B1584),0)</f>
        <v/>
      </c>
      <c r="J1584">
        <f>IF(ISNUMBER(B1584),YEAR(B1584)*100+MONTH(B1584),"")</f>
        <v/>
      </c>
      <c r="K1584">
        <f>IF(AND(H1584="",OR(F1584="Attended",F1584="No-show",AND(F1584="Late cancel",Settings!$C$9="Yes"))),1,0)</f>
        <v/>
      </c>
      <c r="L1584">
        <f>IF(AND(H1584="",F1584="Attended"),1,0)</f>
        <v/>
      </c>
      <c r="M1584">
        <f>IF(AND(H1584="",OR(F1584="No-show",F1584="Late cancel")),1,0)</f>
        <v/>
      </c>
      <c r="N1584">
        <f>IF(AND(H1584="",F1584="",D1584&lt;&gt;"",I1584&gt;=TODAY()),ROUND((I1584+IF(ISNUMBER(C1584),MOD(C1584,1),0))*1440,0)*10000+ROW(),"")</f>
        <v/>
      </c>
    </row>
    <row r="1585">
      <c r="A1585" s="1" t="n"/>
      <c r="B1585" s="17" t="n"/>
      <c r="C1585" s="18" t="n"/>
      <c r="D1585" s="19" t="n"/>
      <c r="E1585" s="20" t="n"/>
      <c r="F1585" s="20" t="n"/>
      <c r="G1585" s="21" t="n"/>
      <c r="H1585" s="12">
        <f>IF(AND(B1585="",D1585="",F1585=""),"",IF(NOT(ISNUMBER(B1585)),"Needs a date",IF(D1585="","Needs a client",IF(COUNTIF(Clients!$B$6:$B$105,D1585)=0,"Not on Clients",IF(AND(F1585="",INT(B1585)&lt;TODAY()),"Needs a status","")))))</f>
        <v/>
      </c>
      <c r="I1585" s="1">
        <f>IF(ISNUMBER(B1585),INT(B1585),0)</f>
        <v/>
      </c>
      <c r="J1585">
        <f>IF(ISNUMBER(B1585),YEAR(B1585)*100+MONTH(B1585),"")</f>
        <v/>
      </c>
      <c r="K1585">
        <f>IF(AND(H1585="",OR(F1585="Attended",F1585="No-show",AND(F1585="Late cancel",Settings!$C$9="Yes"))),1,0)</f>
        <v/>
      </c>
      <c r="L1585">
        <f>IF(AND(H1585="",F1585="Attended"),1,0)</f>
        <v/>
      </c>
      <c r="M1585">
        <f>IF(AND(H1585="",OR(F1585="No-show",F1585="Late cancel")),1,0)</f>
        <v/>
      </c>
      <c r="N1585">
        <f>IF(AND(H1585="",F1585="",D1585&lt;&gt;"",I1585&gt;=TODAY()),ROUND((I1585+IF(ISNUMBER(C1585),MOD(C1585,1),0))*1440,0)*10000+ROW(),"")</f>
        <v/>
      </c>
    </row>
    <row r="1586">
      <c r="A1586" s="1" t="n"/>
      <c r="B1586" s="17" t="n"/>
      <c r="C1586" s="18" t="n"/>
      <c r="D1586" s="19" t="n"/>
      <c r="E1586" s="20" t="n"/>
      <c r="F1586" s="20" t="n"/>
      <c r="G1586" s="21" t="n"/>
      <c r="H1586" s="12">
        <f>IF(AND(B1586="",D1586="",F1586=""),"",IF(NOT(ISNUMBER(B1586)),"Needs a date",IF(D1586="","Needs a client",IF(COUNTIF(Clients!$B$6:$B$105,D1586)=0,"Not on Clients",IF(AND(F1586="",INT(B1586)&lt;TODAY()),"Needs a status","")))))</f>
        <v/>
      </c>
      <c r="I1586" s="1">
        <f>IF(ISNUMBER(B1586),INT(B1586),0)</f>
        <v/>
      </c>
      <c r="J1586">
        <f>IF(ISNUMBER(B1586),YEAR(B1586)*100+MONTH(B1586),"")</f>
        <v/>
      </c>
      <c r="K1586">
        <f>IF(AND(H1586="",OR(F1586="Attended",F1586="No-show",AND(F1586="Late cancel",Settings!$C$9="Yes"))),1,0)</f>
        <v/>
      </c>
      <c r="L1586">
        <f>IF(AND(H1586="",F1586="Attended"),1,0)</f>
        <v/>
      </c>
      <c r="M1586">
        <f>IF(AND(H1586="",OR(F1586="No-show",F1586="Late cancel")),1,0)</f>
        <v/>
      </c>
      <c r="N1586">
        <f>IF(AND(H1586="",F1586="",D1586&lt;&gt;"",I1586&gt;=TODAY()),ROUND((I1586+IF(ISNUMBER(C1586),MOD(C1586,1),0))*1440,0)*10000+ROW(),"")</f>
        <v/>
      </c>
    </row>
    <row r="1587">
      <c r="A1587" s="1" t="n"/>
      <c r="B1587" s="17" t="n"/>
      <c r="C1587" s="18" t="n"/>
      <c r="D1587" s="19" t="n"/>
      <c r="E1587" s="20" t="n"/>
      <c r="F1587" s="20" t="n"/>
      <c r="G1587" s="21" t="n"/>
      <c r="H1587" s="12">
        <f>IF(AND(B1587="",D1587="",F1587=""),"",IF(NOT(ISNUMBER(B1587)),"Needs a date",IF(D1587="","Needs a client",IF(COUNTIF(Clients!$B$6:$B$105,D1587)=0,"Not on Clients",IF(AND(F1587="",INT(B1587)&lt;TODAY()),"Needs a status","")))))</f>
        <v/>
      </c>
      <c r="I1587" s="1">
        <f>IF(ISNUMBER(B1587),INT(B1587),0)</f>
        <v/>
      </c>
      <c r="J1587">
        <f>IF(ISNUMBER(B1587),YEAR(B1587)*100+MONTH(B1587),"")</f>
        <v/>
      </c>
      <c r="K1587">
        <f>IF(AND(H1587="",OR(F1587="Attended",F1587="No-show",AND(F1587="Late cancel",Settings!$C$9="Yes"))),1,0)</f>
        <v/>
      </c>
      <c r="L1587">
        <f>IF(AND(H1587="",F1587="Attended"),1,0)</f>
        <v/>
      </c>
      <c r="M1587">
        <f>IF(AND(H1587="",OR(F1587="No-show",F1587="Late cancel")),1,0)</f>
        <v/>
      </c>
      <c r="N1587">
        <f>IF(AND(H1587="",F1587="",D1587&lt;&gt;"",I1587&gt;=TODAY()),ROUND((I1587+IF(ISNUMBER(C1587),MOD(C1587,1),0))*1440,0)*10000+ROW(),"")</f>
        <v/>
      </c>
    </row>
    <row r="1588">
      <c r="A1588" s="1" t="n"/>
      <c r="B1588" s="17" t="n"/>
      <c r="C1588" s="18" t="n"/>
      <c r="D1588" s="19" t="n"/>
      <c r="E1588" s="20" t="n"/>
      <c r="F1588" s="20" t="n"/>
      <c r="G1588" s="21" t="n"/>
      <c r="H1588" s="12">
        <f>IF(AND(B1588="",D1588="",F1588=""),"",IF(NOT(ISNUMBER(B1588)),"Needs a date",IF(D1588="","Needs a client",IF(COUNTIF(Clients!$B$6:$B$105,D1588)=0,"Not on Clients",IF(AND(F1588="",INT(B1588)&lt;TODAY()),"Needs a status","")))))</f>
        <v/>
      </c>
      <c r="I1588" s="1">
        <f>IF(ISNUMBER(B1588),INT(B1588),0)</f>
        <v/>
      </c>
      <c r="J1588">
        <f>IF(ISNUMBER(B1588),YEAR(B1588)*100+MONTH(B1588),"")</f>
        <v/>
      </c>
      <c r="K1588">
        <f>IF(AND(H1588="",OR(F1588="Attended",F1588="No-show",AND(F1588="Late cancel",Settings!$C$9="Yes"))),1,0)</f>
        <v/>
      </c>
      <c r="L1588">
        <f>IF(AND(H1588="",F1588="Attended"),1,0)</f>
        <v/>
      </c>
      <c r="M1588">
        <f>IF(AND(H1588="",OR(F1588="No-show",F1588="Late cancel")),1,0)</f>
        <v/>
      </c>
      <c r="N1588">
        <f>IF(AND(H1588="",F1588="",D1588&lt;&gt;"",I1588&gt;=TODAY()),ROUND((I1588+IF(ISNUMBER(C1588),MOD(C1588,1),0))*1440,0)*10000+ROW(),"")</f>
        <v/>
      </c>
    </row>
    <row r="1589">
      <c r="A1589" s="1" t="n"/>
      <c r="B1589" s="17" t="n"/>
      <c r="C1589" s="18" t="n"/>
      <c r="D1589" s="19" t="n"/>
      <c r="E1589" s="20" t="n"/>
      <c r="F1589" s="20" t="n"/>
      <c r="G1589" s="21" t="n"/>
      <c r="H1589" s="12">
        <f>IF(AND(B1589="",D1589="",F1589=""),"",IF(NOT(ISNUMBER(B1589)),"Needs a date",IF(D1589="","Needs a client",IF(COUNTIF(Clients!$B$6:$B$105,D1589)=0,"Not on Clients",IF(AND(F1589="",INT(B1589)&lt;TODAY()),"Needs a status","")))))</f>
        <v/>
      </c>
      <c r="I1589" s="1">
        <f>IF(ISNUMBER(B1589),INT(B1589),0)</f>
        <v/>
      </c>
      <c r="J1589">
        <f>IF(ISNUMBER(B1589),YEAR(B1589)*100+MONTH(B1589),"")</f>
        <v/>
      </c>
      <c r="K1589">
        <f>IF(AND(H1589="",OR(F1589="Attended",F1589="No-show",AND(F1589="Late cancel",Settings!$C$9="Yes"))),1,0)</f>
        <v/>
      </c>
      <c r="L1589">
        <f>IF(AND(H1589="",F1589="Attended"),1,0)</f>
        <v/>
      </c>
      <c r="M1589">
        <f>IF(AND(H1589="",OR(F1589="No-show",F1589="Late cancel")),1,0)</f>
        <v/>
      </c>
      <c r="N1589">
        <f>IF(AND(H1589="",F1589="",D1589&lt;&gt;"",I1589&gt;=TODAY()),ROUND((I1589+IF(ISNUMBER(C1589),MOD(C1589,1),0))*1440,0)*10000+ROW(),"")</f>
        <v/>
      </c>
    </row>
    <row r="1590">
      <c r="A1590" s="1" t="n"/>
      <c r="B1590" s="17" t="n"/>
      <c r="C1590" s="18" t="n"/>
      <c r="D1590" s="19" t="n"/>
      <c r="E1590" s="20" t="n"/>
      <c r="F1590" s="20" t="n"/>
      <c r="G1590" s="21" t="n"/>
      <c r="H1590" s="12">
        <f>IF(AND(B1590="",D1590="",F1590=""),"",IF(NOT(ISNUMBER(B1590)),"Needs a date",IF(D1590="","Needs a client",IF(COUNTIF(Clients!$B$6:$B$105,D1590)=0,"Not on Clients",IF(AND(F1590="",INT(B1590)&lt;TODAY()),"Needs a status","")))))</f>
        <v/>
      </c>
      <c r="I1590" s="1">
        <f>IF(ISNUMBER(B1590),INT(B1590),0)</f>
        <v/>
      </c>
      <c r="J1590">
        <f>IF(ISNUMBER(B1590),YEAR(B1590)*100+MONTH(B1590),"")</f>
        <v/>
      </c>
      <c r="K1590">
        <f>IF(AND(H1590="",OR(F1590="Attended",F1590="No-show",AND(F1590="Late cancel",Settings!$C$9="Yes"))),1,0)</f>
        <v/>
      </c>
      <c r="L1590">
        <f>IF(AND(H1590="",F1590="Attended"),1,0)</f>
        <v/>
      </c>
      <c r="M1590">
        <f>IF(AND(H1590="",OR(F1590="No-show",F1590="Late cancel")),1,0)</f>
        <v/>
      </c>
      <c r="N1590">
        <f>IF(AND(H1590="",F1590="",D1590&lt;&gt;"",I1590&gt;=TODAY()),ROUND((I1590+IF(ISNUMBER(C1590),MOD(C1590,1),0))*1440,0)*10000+ROW(),"")</f>
        <v/>
      </c>
    </row>
    <row r="1591">
      <c r="A1591" s="1" t="n"/>
      <c r="B1591" s="17" t="n"/>
      <c r="C1591" s="18" t="n"/>
      <c r="D1591" s="19" t="n"/>
      <c r="E1591" s="20" t="n"/>
      <c r="F1591" s="20" t="n"/>
      <c r="G1591" s="21" t="n"/>
      <c r="H1591" s="12">
        <f>IF(AND(B1591="",D1591="",F1591=""),"",IF(NOT(ISNUMBER(B1591)),"Needs a date",IF(D1591="","Needs a client",IF(COUNTIF(Clients!$B$6:$B$105,D1591)=0,"Not on Clients",IF(AND(F1591="",INT(B1591)&lt;TODAY()),"Needs a status","")))))</f>
        <v/>
      </c>
      <c r="I1591" s="1">
        <f>IF(ISNUMBER(B1591),INT(B1591),0)</f>
        <v/>
      </c>
      <c r="J1591">
        <f>IF(ISNUMBER(B1591),YEAR(B1591)*100+MONTH(B1591),"")</f>
        <v/>
      </c>
      <c r="K1591">
        <f>IF(AND(H1591="",OR(F1591="Attended",F1591="No-show",AND(F1591="Late cancel",Settings!$C$9="Yes"))),1,0)</f>
        <v/>
      </c>
      <c r="L1591">
        <f>IF(AND(H1591="",F1591="Attended"),1,0)</f>
        <v/>
      </c>
      <c r="M1591">
        <f>IF(AND(H1591="",OR(F1591="No-show",F1591="Late cancel")),1,0)</f>
        <v/>
      </c>
      <c r="N1591">
        <f>IF(AND(H1591="",F1591="",D1591&lt;&gt;"",I1591&gt;=TODAY()),ROUND((I1591+IF(ISNUMBER(C1591),MOD(C1591,1),0))*1440,0)*10000+ROW(),"")</f>
        <v/>
      </c>
    </row>
    <row r="1592">
      <c r="A1592" s="1" t="n"/>
      <c r="B1592" s="17" t="n"/>
      <c r="C1592" s="18" t="n"/>
      <c r="D1592" s="19" t="n"/>
      <c r="E1592" s="20" t="n"/>
      <c r="F1592" s="20" t="n"/>
      <c r="G1592" s="21" t="n"/>
      <c r="H1592" s="12">
        <f>IF(AND(B1592="",D1592="",F1592=""),"",IF(NOT(ISNUMBER(B1592)),"Needs a date",IF(D1592="","Needs a client",IF(COUNTIF(Clients!$B$6:$B$105,D1592)=0,"Not on Clients",IF(AND(F1592="",INT(B1592)&lt;TODAY()),"Needs a status","")))))</f>
        <v/>
      </c>
      <c r="I1592" s="1">
        <f>IF(ISNUMBER(B1592),INT(B1592),0)</f>
        <v/>
      </c>
      <c r="J1592">
        <f>IF(ISNUMBER(B1592),YEAR(B1592)*100+MONTH(B1592),"")</f>
        <v/>
      </c>
      <c r="K1592">
        <f>IF(AND(H1592="",OR(F1592="Attended",F1592="No-show",AND(F1592="Late cancel",Settings!$C$9="Yes"))),1,0)</f>
        <v/>
      </c>
      <c r="L1592">
        <f>IF(AND(H1592="",F1592="Attended"),1,0)</f>
        <v/>
      </c>
      <c r="M1592">
        <f>IF(AND(H1592="",OR(F1592="No-show",F1592="Late cancel")),1,0)</f>
        <v/>
      </c>
      <c r="N1592">
        <f>IF(AND(H1592="",F1592="",D1592&lt;&gt;"",I1592&gt;=TODAY()),ROUND((I1592+IF(ISNUMBER(C1592),MOD(C1592,1),0))*1440,0)*10000+ROW(),"")</f>
        <v/>
      </c>
    </row>
    <row r="1593">
      <c r="A1593" s="1" t="n"/>
      <c r="B1593" s="17" t="n"/>
      <c r="C1593" s="18" t="n"/>
      <c r="D1593" s="19" t="n"/>
      <c r="E1593" s="20" t="n"/>
      <c r="F1593" s="20" t="n"/>
      <c r="G1593" s="21" t="n"/>
      <c r="H1593" s="12">
        <f>IF(AND(B1593="",D1593="",F1593=""),"",IF(NOT(ISNUMBER(B1593)),"Needs a date",IF(D1593="","Needs a client",IF(COUNTIF(Clients!$B$6:$B$105,D1593)=0,"Not on Clients",IF(AND(F1593="",INT(B1593)&lt;TODAY()),"Needs a status","")))))</f>
        <v/>
      </c>
      <c r="I1593" s="1">
        <f>IF(ISNUMBER(B1593),INT(B1593),0)</f>
        <v/>
      </c>
      <c r="J1593">
        <f>IF(ISNUMBER(B1593),YEAR(B1593)*100+MONTH(B1593),"")</f>
        <v/>
      </c>
      <c r="K1593">
        <f>IF(AND(H1593="",OR(F1593="Attended",F1593="No-show",AND(F1593="Late cancel",Settings!$C$9="Yes"))),1,0)</f>
        <v/>
      </c>
      <c r="L1593">
        <f>IF(AND(H1593="",F1593="Attended"),1,0)</f>
        <v/>
      </c>
      <c r="M1593">
        <f>IF(AND(H1593="",OR(F1593="No-show",F1593="Late cancel")),1,0)</f>
        <v/>
      </c>
      <c r="N1593">
        <f>IF(AND(H1593="",F1593="",D1593&lt;&gt;"",I1593&gt;=TODAY()),ROUND((I1593+IF(ISNUMBER(C1593),MOD(C1593,1),0))*1440,0)*10000+ROW(),"")</f>
        <v/>
      </c>
    </row>
    <row r="1594">
      <c r="A1594" s="1" t="n"/>
      <c r="B1594" s="17" t="n"/>
      <c r="C1594" s="18" t="n"/>
      <c r="D1594" s="19" t="n"/>
      <c r="E1594" s="20" t="n"/>
      <c r="F1594" s="20" t="n"/>
      <c r="G1594" s="21" t="n"/>
      <c r="H1594" s="12">
        <f>IF(AND(B1594="",D1594="",F1594=""),"",IF(NOT(ISNUMBER(B1594)),"Needs a date",IF(D1594="","Needs a client",IF(COUNTIF(Clients!$B$6:$B$105,D1594)=0,"Not on Clients",IF(AND(F1594="",INT(B1594)&lt;TODAY()),"Needs a status","")))))</f>
        <v/>
      </c>
      <c r="I1594" s="1">
        <f>IF(ISNUMBER(B1594),INT(B1594),0)</f>
        <v/>
      </c>
      <c r="J1594">
        <f>IF(ISNUMBER(B1594),YEAR(B1594)*100+MONTH(B1594),"")</f>
        <v/>
      </c>
      <c r="K1594">
        <f>IF(AND(H1594="",OR(F1594="Attended",F1594="No-show",AND(F1594="Late cancel",Settings!$C$9="Yes"))),1,0)</f>
        <v/>
      </c>
      <c r="L1594">
        <f>IF(AND(H1594="",F1594="Attended"),1,0)</f>
        <v/>
      </c>
      <c r="M1594">
        <f>IF(AND(H1594="",OR(F1594="No-show",F1594="Late cancel")),1,0)</f>
        <v/>
      </c>
      <c r="N1594">
        <f>IF(AND(H1594="",F1594="",D1594&lt;&gt;"",I1594&gt;=TODAY()),ROUND((I1594+IF(ISNUMBER(C1594),MOD(C1594,1),0))*1440,0)*10000+ROW(),"")</f>
        <v/>
      </c>
    </row>
    <row r="1595">
      <c r="A1595" s="1" t="n"/>
      <c r="B1595" s="17" t="n"/>
      <c r="C1595" s="18" t="n"/>
      <c r="D1595" s="19" t="n"/>
      <c r="E1595" s="20" t="n"/>
      <c r="F1595" s="20" t="n"/>
      <c r="G1595" s="21" t="n"/>
      <c r="H1595" s="12">
        <f>IF(AND(B1595="",D1595="",F1595=""),"",IF(NOT(ISNUMBER(B1595)),"Needs a date",IF(D1595="","Needs a client",IF(COUNTIF(Clients!$B$6:$B$105,D1595)=0,"Not on Clients",IF(AND(F1595="",INT(B1595)&lt;TODAY()),"Needs a status","")))))</f>
        <v/>
      </c>
      <c r="I1595" s="1">
        <f>IF(ISNUMBER(B1595),INT(B1595),0)</f>
        <v/>
      </c>
      <c r="J1595">
        <f>IF(ISNUMBER(B1595),YEAR(B1595)*100+MONTH(B1595),"")</f>
        <v/>
      </c>
      <c r="K1595">
        <f>IF(AND(H1595="",OR(F1595="Attended",F1595="No-show",AND(F1595="Late cancel",Settings!$C$9="Yes"))),1,0)</f>
        <v/>
      </c>
      <c r="L1595">
        <f>IF(AND(H1595="",F1595="Attended"),1,0)</f>
        <v/>
      </c>
      <c r="M1595">
        <f>IF(AND(H1595="",OR(F1595="No-show",F1595="Late cancel")),1,0)</f>
        <v/>
      </c>
      <c r="N1595">
        <f>IF(AND(H1595="",F1595="",D1595&lt;&gt;"",I1595&gt;=TODAY()),ROUND((I1595+IF(ISNUMBER(C1595),MOD(C1595,1),0))*1440,0)*10000+ROW(),"")</f>
        <v/>
      </c>
    </row>
    <row r="1596">
      <c r="A1596" s="1" t="n"/>
      <c r="B1596" s="17" t="n"/>
      <c r="C1596" s="18" t="n"/>
      <c r="D1596" s="19" t="n"/>
      <c r="E1596" s="20" t="n"/>
      <c r="F1596" s="20" t="n"/>
      <c r="G1596" s="21" t="n"/>
      <c r="H1596" s="12">
        <f>IF(AND(B1596="",D1596="",F1596=""),"",IF(NOT(ISNUMBER(B1596)),"Needs a date",IF(D1596="","Needs a client",IF(COUNTIF(Clients!$B$6:$B$105,D1596)=0,"Not on Clients",IF(AND(F1596="",INT(B1596)&lt;TODAY()),"Needs a status","")))))</f>
        <v/>
      </c>
      <c r="I1596" s="1">
        <f>IF(ISNUMBER(B1596),INT(B1596),0)</f>
        <v/>
      </c>
      <c r="J1596">
        <f>IF(ISNUMBER(B1596),YEAR(B1596)*100+MONTH(B1596),"")</f>
        <v/>
      </c>
      <c r="K1596">
        <f>IF(AND(H1596="",OR(F1596="Attended",F1596="No-show",AND(F1596="Late cancel",Settings!$C$9="Yes"))),1,0)</f>
        <v/>
      </c>
      <c r="L1596">
        <f>IF(AND(H1596="",F1596="Attended"),1,0)</f>
        <v/>
      </c>
      <c r="M1596">
        <f>IF(AND(H1596="",OR(F1596="No-show",F1596="Late cancel")),1,0)</f>
        <v/>
      </c>
      <c r="N1596">
        <f>IF(AND(H1596="",F1596="",D1596&lt;&gt;"",I1596&gt;=TODAY()),ROUND((I1596+IF(ISNUMBER(C1596),MOD(C1596,1),0))*1440,0)*10000+ROW(),"")</f>
        <v/>
      </c>
    </row>
    <row r="1597">
      <c r="A1597" s="1" t="n"/>
      <c r="B1597" s="17" t="n"/>
      <c r="C1597" s="18" t="n"/>
      <c r="D1597" s="19" t="n"/>
      <c r="E1597" s="20" t="n"/>
      <c r="F1597" s="20" t="n"/>
      <c r="G1597" s="21" t="n"/>
      <c r="H1597" s="12">
        <f>IF(AND(B1597="",D1597="",F1597=""),"",IF(NOT(ISNUMBER(B1597)),"Needs a date",IF(D1597="","Needs a client",IF(COUNTIF(Clients!$B$6:$B$105,D1597)=0,"Not on Clients",IF(AND(F1597="",INT(B1597)&lt;TODAY()),"Needs a status","")))))</f>
        <v/>
      </c>
      <c r="I1597" s="1">
        <f>IF(ISNUMBER(B1597),INT(B1597),0)</f>
        <v/>
      </c>
      <c r="J1597">
        <f>IF(ISNUMBER(B1597),YEAR(B1597)*100+MONTH(B1597),"")</f>
        <v/>
      </c>
      <c r="K1597">
        <f>IF(AND(H1597="",OR(F1597="Attended",F1597="No-show",AND(F1597="Late cancel",Settings!$C$9="Yes"))),1,0)</f>
        <v/>
      </c>
      <c r="L1597">
        <f>IF(AND(H1597="",F1597="Attended"),1,0)</f>
        <v/>
      </c>
      <c r="M1597">
        <f>IF(AND(H1597="",OR(F1597="No-show",F1597="Late cancel")),1,0)</f>
        <v/>
      </c>
      <c r="N1597">
        <f>IF(AND(H1597="",F1597="",D1597&lt;&gt;"",I1597&gt;=TODAY()),ROUND((I1597+IF(ISNUMBER(C1597),MOD(C1597,1),0))*1440,0)*10000+ROW(),"")</f>
        <v/>
      </c>
    </row>
    <row r="1598">
      <c r="A1598" s="1" t="n"/>
      <c r="B1598" s="17" t="n"/>
      <c r="C1598" s="18" t="n"/>
      <c r="D1598" s="19" t="n"/>
      <c r="E1598" s="20" t="n"/>
      <c r="F1598" s="20" t="n"/>
      <c r="G1598" s="21" t="n"/>
      <c r="H1598" s="12">
        <f>IF(AND(B1598="",D1598="",F1598=""),"",IF(NOT(ISNUMBER(B1598)),"Needs a date",IF(D1598="","Needs a client",IF(COUNTIF(Clients!$B$6:$B$105,D1598)=0,"Not on Clients",IF(AND(F1598="",INT(B1598)&lt;TODAY()),"Needs a status","")))))</f>
        <v/>
      </c>
      <c r="I1598" s="1">
        <f>IF(ISNUMBER(B1598),INT(B1598),0)</f>
        <v/>
      </c>
      <c r="J1598">
        <f>IF(ISNUMBER(B1598),YEAR(B1598)*100+MONTH(B1598),"")</f>
        <v/>
      </c>
      <c r="K1598">
        <f>IF(AND(H1598="",OR(F1598="Attended",F1598="No-show",AND(F1598="Late cancel",Settings!$C$9="Yes"))),1,0)</f>
        <v/>
      </c>
      <c r="L1598">
        <f>IF(AND(H1598="",F1598="Attended"),1,0)</f>
        <v/>
      </c>
      <c r="M1598">
        <f>IF(AND(H1598="",OR(F1598="No-show",F1598="Late cancel")),1,0)</f>
        <v/>
      </c>
      <c r="N1598">
        <f>IF(AND(H1598="",F1598="",D1598&lt;&gt;"",I1598&gt;=TODAY()),ROUND((I1598+IF(ISNUMBER(C1598),MOD(C1598,1),0))*1440,0)*10000+ROW(),"")</f>
        <v/>
      </c>
    </row>
    <row r="1599">
      <c r="A1599" s="1" t="n"/>
      <c r="B1599" s="17" t="n"/>
      <c r="C1599" s="18" t="n"/>
      <c r="D1599" s="19" t="n"/>
      <c r="E1599" s="20" t="n"/>
      <c r="F1599" s="20" t="n"/>
      <c r="G1599" s="21" t="n"/>
      <c r="H1599" s="12">
        <f>IF(AND(B1599="",D1599="",F1599=""),"",IF(NOT(ISNUMBER(B1599)),"Needs a date",IF(D1599="","Needs a client",IF(COUNTIF(Clients!$B$6:$B$105,D1599)=0,"Not on Clients",IF(AND(F1599="",INT(B1599)&lt;TODAY()),"Needs a status","")))))</f>
        <v/>
      </c>
      <c r="I1599" s="1">
        <f>IF(ISNUMBER(B1599),INT(B1599),0)</f>
        <v/>
      </c>
      <c r="J1599">
        <f>IF(ISNUMBER(B1599),YEAR(B1599)*100+MONTH(B1599),"")</f>
        <v/>
      </c>
      <c r="K1599">
        <f>IF(AND(H1599="",OR(F1599="Attended",F1599="No-show",AND(F1599="Late cancel",Settings!$C$9="Yes"))),1,0)</f>
        <v/>
      </c>
      <c r="L1599">
        <f>IF(AND(H1599="",F1599="Attended"),1,0)</f>
        <v/>
      </c>
      <c r="M1599">
        <f>IF(AND(H1599="",OR(F1599="No-show",F1599="Late cancel")),1,0)</f>
        <v/>
      </c>
      <c r="N1599">
        <f>IF(AND(H1599="",F1599="",D1599&lt;&gt;"",I1599&gt;=TODAY()),ROUND((I1599+IF(ISNUMBER(C1599),MOD(C1599,1),0))*1440,0)*10000+ROW(),"")</f>
        <v/>
      </c>
    </row>
    <row r="1600">
      <c r="A1600" s="1" t="n"/>
      <c r="B1600" s="17" t="n"/>
      <c r="C1600" s="18" t="n"/>
      <c r="D1600" s="19" t="n"/>
      <c r="E1600" s="20" t="n"/>
      <c r="F1600" s="20" t="n"/>
      <c r="G1600" s="21" t="n"/>
      <c r="H1600" s="12">
        <f>IF(AND(B1600="",D1600="",F1600=""),"",IF(NOT(ISNUMBER(B1600)),"Needs a date",IF(D1600="","Needs a client",IF(COUNTIF(Clients!$B$6:$B$105,D1600)=0,"Not on Clients",IF(AND(F1600="",INT(B1600)&lt;TODAY()),"Needs a status","")))))</f>
        <v/>
      </c>
      <c r="I1600" s="1">
        <f>IF(ISNUMBER(B1600),INT(B1600),0)</f>
        <v/>
      </c>
      <c r="J1600">
        <f>IF(ISNUMBER(B1600),YEAR(B1600)*100+MONTH(B1600),"")</f>
        <v/>
      </c>
      <c r="K1600">
        <f>IF(AND(H1600="",OR(F1600="Attended",F1600="No-show",AND(F1600="Late cancel",Settings!$C$9="Yes"))),1,0)</f>
        <v/>
      </c>
      <c r="L1600">
        <f>IF(AND(H1600="",F1600="Attended"),1,0)</f>
        <v/>
      </c>
      <c r="M1600">
        <f>IF(AND(H1600="",OR(F1600="No-show",F1600="Late cancel")),1,0)</f>
        <v/>
      </c>
      <c r="N1600">
        <f>IF(AND(H1600="",F1600="",D1600&lt;&gt;"",I1600&gt;=TODAY()),ROUND((I1600+IF(ISNUMBER(C1600),MOD(C1600,1),0))*1440,0)*10000+ROW(),"")</f>
        <v/>
      </c>
    </row>
    <row r="1601">
      <c r="A1601" s="1" t="n"/>
      <c r="B1601" s="17" t="n"/>
      <c r="C1601" s="18" t="n"/>
      <c r="D1601" s="19" t="n"/>
      <c r="E1601" s="20" t="n"/>
      <c r="F1601" s="20" t="n"/>
      <c r="G1601" s="21" t="n"/>
      <c r="H1601" s="12">
        <f>IF(AND(B1601="",D1601="",F1601=""),"",IF(NOT(ISNUMBER(B1601)),"Needs a date",IF(D1601="","Needs a client",IF(COUNTIF(Clients!$B$6:$B$105,D1601)=0,"Not on Clients",IF(AND(F1601="",INT(B1601)&lt;TODAY()),"Needs a status","")))))</f>
        <v/>
      </c>
      <c r="I1601" s="1">
        <f>IF(ISNUMBER(B1601),INT(B1601),0)</f>
        <v/>
      </c>
      <c r="J1601">
        <f>IF(ISNUMBER(B1601),YEAR(B1601)*100+MONTH(B1601),"")</f>
        <v/>
      </c>
      <c r="K1601">
        <f>IF(AND(H1601="",OR(F1601="Attended",F1601="No-show",AND(F1601="Late cancel",Settings!$C$9="Yes"))),1,0)</f>
        <v/>
      </c>
      <c r="L1601">
        <f>IF(AND(H1601="",F1601="Attended"),1,0)</f>
        <v/>
      </c>
      <c r="M1601">
        <f>IF(AND(H1601="",OR(F1601="No-show",F1601="Late cancel")),1,0)</f>
        <v/>
      </c>
      <c r="N1601">
        <f>IF(AND(H1601="",F1601="",D1601&lt;&gt;"",I1601&gt;=TODAY()),ROUND((I1601+IF(ISNUMBER(C1601),MOD(C1601,1),0))*1440,0)*10000+ROW(),"")</f>
        <v/>
      </c>
    </row>
    <row r="1602">
      <c r="A1602" s="1" t="n"/>
      <c r="B1602" s="17" t="n"/>
      <c r="C1602" s="18" t="n"/>
      <c r="D1602" s="19" t="n"/>
      <c r="E1602" s="20" t="n"/>
      <c r="F1602" s="20" t="n"/>
      <c r="G1602" s="21" t="n"/>
      <c r="H1602" s="12">
        <f>IF(AND(B1602="",D1602="",F1602=""),"",IF(NOT(ISNUMBER(B1602)),"Needs a date",IF(D1602="","Needs a client",IF(COUNTIF(Clients!$B$6:$B$105,D1602)=0,"Not on Clients",IF(AND(F1602="",INT(B1602)&lt;TODAY()),"Needs a status","")))))</f>
        <v/>
      </c>
      <c r="I1602" s="1">
        <f>IF(ISNUMBER(B1602),INT(B1602),0)</f>
        <v/>
      </c>
      <c r="J1602">
        <f>IF(ISNUMBER(B1602),YEAR(B1602)*100+MONTH(B1602),"")</f>
        <v/>
      </c>
      <c r="K1602">
        <f>IF(AND(H1602="",OR(F1602="Attended",F1602="No-show",AND(F1602="Late cancel",Settings!$C$9="Yes"))),1,0)</f>
        <v/>
      </c>
      <c r="L1602">
        <f>IF(AND(H1602="",F1602="Attended"),1,0)</f>
        <v/>
      </c>
      <c r="M1602">
        <f>IF(AND(H1602="",OR(F1602="No-show",F1602="Late cancel")),1,0)</f>
        <v/>
      </c>
      <c r="N1602">
        <f>IF(AND(H1602="",F1602="",D1602&lt;&gt;"",I1602&gt;=TODAY()),ROUND((I1602+IF(ISNUMBER(C1602),MOD(C1602,1),0))*1440,0)*10000+ROW(),"")</f>
        <v/>
      </c>
    </row>
    <row r="1603">
      <c r="A1603" s="1" t="n"/>
      <c r="B1603" s="17" t="n"/>
      <c r="C1603" s="18" t="n"/>
      <c r="D1603" s="19" t="n"/>
      <c r="E1603" s="20" t="n"/>
      <c r="F1603" s="20" t="n"/>
      <c r="G1603" s="21" t="n"/>
      <c r="H1603" s="12">
        <f>IF(AND(B1603="",D1603="",F1603=""),"",IF(NOT(ISNUMBER(B1603)),"Needs a date",IF(D1603="","Needs a client",IF(COUNTIF(Clients!$B$6:$B$105,D1603)=0,"Not on Clients",IF(AND(F1603="",INT(B1603)&lt;TODAY()),"Needs a status","")))))</f>
        <v/>
      </c>
      <c r="I1603" s="1">
        <f>IF(ISNUMBER(B1603),INT(B1603),0)</f>
        <v/>
      </c>
      <c r="J1603">
        <f>IF(ISNUMBER(B1603),YEAR(B1603)*100+MONTH(B1603),"")</f>
        <v/>
      </c>
      <c r="K1603">
        <f>IF(AND(H1603="",OR(F1603="Attended",F1603="No-show",AND(F1603="Late cancel",Settings!$C$9="Yes"))),1,0)</f>
        <v/>
      </c>
      <c r="L1603">
        <f>IF(AND(H1603="",F1603="Attended"),1,0)</f>
        <v/>
      </c>
      <c r="M1603">
        <f>IF(AND(H1603="",OR(F1603="No-show",F1603="Late cancel")),1,0)</f>
        <v/>
      </c>
      <c r="N1603">
        <f>IF(AND(H1603="",F1603="",D1603&lt;&gt;"",I1603&gt;=TODAY()),ROUND((I1603+IF(ISNUMBER(C1603),MOD(C1603,1),0))*1440,0)*10000+ROW(),"")</f>
        <v/>
      </c>
    </row>
    <row r="1604">
      <c r="A1604" s="1" t="n"/>
      <c r="B1604" s="17" t="n"/>
      <c r="C1604" s="18" t="n"/>
      <c r="D1604" s="19" t="n"/>
      <c r="E1604" s="20" t="n"/>
      <c r="F1604" s="20" t="n"/>
      <c r="G1604" s="21" t="n"/>
      <c r="H1604" s="12">
        <f>IF(AND(B1604="",D1604="",F1604=""),"",IF(NOT(ISNUMBER(B1604)),"Needs a date",IF(D1604="","Needs a client",IF(COUNTIF(Clients!$B$6:$B$105,D1604)=0,"Not on Clients",IF(AND(F1604="",INT(B1604)&lt;TODAY()),"Needs a status","")))))</f>
        <v/>
      </c>
      <c r="I1604" s="1">
        <f>IF(ISNUMBER(B1604),INT(B1604),0)</f>
        <v/>
      </c>
      <c r="J1604">
        <f>IF(ISNUMBER(B1604),YEAR(B1604)*100+MONTH(B1604),"")</f>
        <v/>
      </c>
      <c r="K1604">
        <f>IF(AND(H1604="",OR(F1604="Attended",F1604="No-show",AND(F1604="Late cancel",Settings!$C$9="Yes"))),1,0)</f>
        <v/>
      </c>
      <c r="L1604">
        <f>IF(AND(H1604="",F1604="Attended"),1,0)</f>
        <v/>
      </c>
      <c r="M1604">
        <f>IF(AND(H1604="",OR(F1604="No-show",F1604="Late cancel")),1,0)</f>
        <v/>
      </c>
      <c r="N1604">
        <f>IF(AND(H1604="",F1604="",D1604&lt;&gt;"",I1604&gt;=TODAY()),ROUND((I1604+IF(ISNUMBER(C1604),MOD(C1604,1),0))*1440,0)*10000+ROW(),"")</f>
        <v/>
      </c>
    </row>
    <row r="1605">
      <c r="A1605" s="1" t="n"/>
      <c r="B1605" s="17" t="n"/>
      <c r="C1605" s="18" t="n"/>
      <c r="D1605" s="19" t="n"/>
      <c r="E1605" s="20" t="n"/>
      <c r="F1605" s="20" t="n"/>
      <c r="G1605" s="21" t="n"/>
      <c r="H1605" s="12">
        <f>IF(AND(B1605="",D1605="",F1605=""),"",IF(NOT(ISNUMBER(B1605)),"Needs a date",IF(D1605="","Needs a client",IF(COUNTIF(Clients!$B$6:$B$105,D1605)=0,"Not on Clients",IF(AND(F1605="",INT(B1605)&lt;TODAY()),"Needs a status","")))))</f>
        <v/>
      </c>
      <c r="I1605" s="1">
        <f>IF(ISNUMBER(B1605),INT(B1605),0)</f>
        <v/>
      </c>
      <c r="J1605">
        <f>IF(ISNUMBER(B1605),YEAR(B1605)*100+MONTH(B1605),"")</f>
        <v/>
      </c>
      <c r="K1605">
        <f>IF(AND(H1605="",OR(F1605="Attended",F1605="No-show",AND(F1605="Late cancel",Settings!$C$9="Yes"))),1,0)</f>
        <v/>
      </c>
      <c r="L1605">
        <f>IF(AND(H1605="",F1605="Attended"),1,0)</f>
        <v/>
      </c>
      <c r="M1605">
        <f>IF(AND(H1605="",OR(F1605="No-show",F1605="Late cancel")),1,0)</f>
        <v/>
      </c>
      <c r="N1605">
        <f>IF(AND(H1605="",F1605="",D1605&lt;&gt;"",I1605&gt;=TODAY()),ROUND((I1605+IF(ISNUMBER(C1605),MOD(C1605,1),0))*1440,0)*10000+ROW(),"")</f>
        <v/>
      </c>
    </row>
    <row r="1606">
      <c r="A1606" s="1" t="n"/>
      <c r="B1606" s="17" t="n"/>
      <c r="C1606" s="18" t="n"/>
      <c r="D1606" s="19" t="n"/>
      <c r="E1606" s="20" t="n"/>
      <c r="F1606" s="20" t="n"/>
      <c r="G1606" s="21" t="n"/>
      <c r="H1606" s="12">
        <f>IF(AND(B1606="",D1606="",F1606=""),"",IF(NOT(ISNUMBER(B1606)),"Needs a date",IF(D1606="","Needs a client",IF(COUNTIF(Clients!$B$6:$B$105,D1606)=0,"Not on Clients",IF(AND(F1606="",INT(B1606)&lt;TODAY()),"Needs a status","")))))</f>
        <v/>
      </c>
      <c r="I1606" s="1">
        <f>IF(ISNUMBER(B1606),INT(B1606),0)</f>
        <v/>
      </c>
      <c r="J1606">
        <f>IF(ISNUMBER(B1606),YEAR(B1606)*100+MONTH(B1606),"")</f>
        <v/>
      </c>
      <c r="K1606">
        <f>IF(AND(H1606="",OR(F1606="Attended",F1606="No-show",AND(F1606="Late cancel",Settings!$C$9="Yes"))),1,0)</f>
        <v/>
      </c>
      <c r="L1606">
        <f>IF(AND(H1606="",F1606="Attended"),1,0)</f>
        <v/>
      </c>
      <c r="M1606">
        <f>IF(AND(H1606="",OR(F1606="No-show",F1606="Late cancel")),1,0)</f>
        <v/>
      </c>
      <c r="N1606">
        <f>IF(AND(H1606="",F1606="",D1606&lt;&gt;"",I1606&gt;=TODAY()),ROUND((I1606+IF(ISNUMBER(C1606),MOD(C1606,1),0))*1440,0)*10000+ROW(),"")</f>
        <v/>
      </c>
    </row>
    <row r="1607">
      <c r="A1607" s="1" t="n"/>
      <c r="B1607" s="17" t="n"/>
      <c r="C1607" s="18" t="n"/>
      <c r="D1607" s="19" t="n"/>
      <c r="E1607" s="20" t="n"/>
      <c r="F1607" s="20" t="n"/>
      <c r="G1607" s="21" t="n"/>
      <c r="H1607" s="12">
        <f>IF(AND(B1607="",D1607="",F1607=""),"",IF(NOT(ISNUMBER(B1607)),"Needs a date",IF(D1607="","Needs a client",IF(COUNTIF(Clients!$B$6:$B$105,D1607)=0,"Not on Clients",IF(AND(F1607="",INT(B1607)&lt;TODAY()),"Needs a status","")))))</f>
        <v/>
      </c>
      <c r="I1607" s="1">
        <f>IF(ISNUMBER(B1607),INT(B1607),0)</f>
        <v/>
      </c>
      <c r="J1607">
        <f>IF(ISNUMBER(B1607),YEAR(B1607)*100+MONTH(B1607),"")</f>
        <v/>
      </c>
      <c r="K1607">
        <f>IF(AND(H1607="",OR(F1607="Attended",F1607="No-show",AND(F1607="Late cancel",Settings!$C$9="Yes"))),1,0)</f>
        <v/>
      </c>
      <c r="L1607">
        <f>IF(AND(H1607="",F1607="Attended"),1,0)</f>
        <v/>
      </c>
      <c r="M1607">
        <f>IF(AND(H1607="",OR(F1607="No-show",F1607="Late cancel")),1,0)</f>
        <v/>
      </c>
      <c r="N1607">
        <f>IF(AND(H1607="",F1607="",D1607&lt;&gt;"",I1607&gt;=TODAY()),ROUND((I1607+IF(ISNUMBER(C1607),MOD(C1607,1),0))*1440,0)*10000+ROW(),"")</f>
        <v/>
      </c>
    </row>
    <row r="1608">
      <c r="A1608" s="1" t="n"/>
      <c r="B1608" s="17" t="n"/>
      <c r="C1608" s="18" t="n"/>
      <c r="D1608" s="19" t="n"/>
      <c r="E1608" s="20" t="n"/>
      <c r="F1608" s="20" t="n"/>
      <c r="G1608" s="21" t="n"/>
      <c r="H1608" s="12">
        <f>IF(AND(B1608="",D1608="",F1608=""),"",IF(NOT(ISNUMBER(B1608)),"Needs a date",IF(D1608="","Needs a client",IF(COUNTIF(Clients!$B$6:$B$105,D1608)=0,"Not on Clients",IF(AND(F1608="",INT(B1608)&lt;TODAY()),"Needs a status","")))))</f>
        <v/>
      </c>
      <c r="I1608" s="1">
        <f>IF(ISNUMBER(B1608),INT(B1608),0)</f>
        <v/>
      </c>
      <c r="J1608">
        <f>IF(ISNUMBER(B1608),YEAR(B1608)*100+MONTH(B1608),"")</f>
        <v/>
      </c>
      <c r="K1608">
        <f>IF(AND(H1608="",OR(F1608="Attended",F1608="No-show",AND(F1608="Late cancel",Settings!$C$9="Yes"))),1,0)</f>
        <v/>
      </c>
      <c r="L1608">
        <f>IF(AND(H1608="",F1608="Attended"),1,0)</f>
        <v/>
      </c>
      <c r="M1608">
        <f>IF(AND(H1608="",OR(F1608="No-show",F1608="Late cancel")),1,0)</f>
        <v/>
      </c>
      <c r="N1608">
        <f>IF(AND(H1608="",F1608="",D1608&lt;&gt;"",I1608&gt;=TODAY()),ROUND((I1608+IF(ISNUMBER(C1608),MOD(C1608,1),0))*1440,0)*10000+ROW(),"")</f>
        <v/>
      </c>
    </row>
    <row r="1609">
      <c r="A1609" s="1" t="n"/>
      <c r="B1609" s="17" t="n"/>
      <c r="C1609" s="18" t="n"/>
      <c r="D1609" s="19" t="n"/>
      <c r="E1609" s="20" t="n"/>
      <c r="F1609" s="20" t="n"/>
      <c r="G1609" s="21" t="n"/>
      <c r="H1609" s="12">
        <f>IF(AND(B1609="",D1609="",F1609=""),"",IF(NOT(ISNUMBER(B1609)),"Needs a date",IF(D1609="","Needs a client",IF(COUNTIF(Clients!$B$6:$B$105,D1609)=0,"Not on Clients",IF(AND(F1609="",INT(B1609)&lt;TODAY()),"Needs a status","")))))</f>
        <v/>
      </c>
      <c r="I1609" s="1">
        <f>IF(ISNUMBER(B1609),INT(B1609),0)</f>
        <v/>
      </c>
      <c r="J1609">
        <f>IF(ISNUMBER(B1609),YEAR(B1609)*100+MONTH(B1609),"")</f>
        <v/>
      </c>
      <c r="K1609">
        <f>IF(AND(H1609="",OR(F1609="Attended",F1609="No-show",AND(F1609="Late cancel",Settings!$C$9="Yes"))),1,0)</f>
        <v/>
      </c>
      <c r="L1609">
        <f>IF(AND(H1609="",F1609="Attended"),1,0)</f>
        <v/>
      </c>
      <c r="M1609">
        <f>IF(AND(H1609="",OR(F1609="No-show",F1609="Late cancel")),1,0)</f>
        <v/>
      </c>
      <c r="N1609">
        <f>IF(AND(H1609="",F1609="",D1609&lt;&gt;"",I1609&gt;=TODAY()),ROUND((I1609+IF(ISNUMBER(C1609),MOD(C1609,1),0))*1440,0)*10000+ROW(),"")</f>
        <v/>
      </c>
    </row>
    <row r="1610">
      <c r="A1610" s="1" t="n"/>
      <c r="B1610" s="17" t="n"/>
      <c r="C1610" s="18" t="n"/>
      <c r="D1610" s="19" t="n"/>
      <c r="E1610" s="20" t="n"/>
      <c r="F1610" s="20" t="n"/>
      <c r="G1610" s="21" t="n"/>
      <c r="H1610" s="12">
        <f>IF(AND(B1610="",D1610="",F1610=""),"",IF(NOT(ISNUMBER(B1610)),"Needs a date",IF(D1610="","Needs a client",IF(COUNTIF(Clients!$B$6:$B$105,D1610)=0,"Not on Clients",IF(AND(F1610="",INT(B1610)&lt;TODAY()),"Needs a status","")))))</f>
        <v/>
      </c>
      <c r="I1610" s="1">
        <f>IF(ISNUMBER(B1610),INT(B1610),0)</f>
        <v/>
      </c>
      <c r="J1610">
        <f>IF(ISNUMBER(B1610),YEAR(B1610)*100+MONTH(B1610),"")</f>
        <v/>
      </c>
      <c r="K1610">
        <f>IF(AND(H1610="",OR(F1610="Attended",F1610="No-show",AND(F1610="Late cancel",Settings!$C$9="Yes"))),1,0)</f>
        <v/>
      </c>
      <c r="L1610">
        <f>IF(AND(H1610="",F1610="Attended"),1,0)</f>
        <v/>
      </c>
      <c r="M1610">
        <f>IF(AND(H1610="",OR(F1610="No-show",F1610="Late cancel")),1,0)</f>
        <v/>
      </c>
      <c r="N1610">
        <f>IF(AND(H1610="",F1610="",D1610&lt;&gt;"",I1610&gt;=TODAY()),ROUND((I1610+IF(ISNUMBER(C1610),MOD(C1610,1),0))*1440,0)*10000+ROW(),"")</f>
        <v/>
      </c>
    </row>
    <row r="1611">
      <c r="A1611" s="1" t="n"/>
      <c r="B1611" s="17" t="n"/>
      <c r="C1611" s="18" t="n"/>
      <c r="D1611" s="19" t="n"/>
      <c r="E1611" s="20" t="n"/>
      <c r="F1611" s="20" t="n"/>
      <c r="G1611" s="21" t="n"/>
      <c r="H1611" s="12">
        <f>IF(AND(B1611="",D1611="",F1611=""),"",IF(NOT(ISNUMBER(B1611)),"Needs a date",IF(D1611="","Needs a client",IF(COUNTIF(Clients!$B$6:$B$105,D1611)=0,"Not on Clients",IF(AND(F1611="",INT(B1611)&lt;TODAY()),"Needs a status","")))))</f>
        <v/>
      </c>
      <c r="I1611" s="1">
        <f>IF(ISNUMBER(B1611),INT(B1611),0)</f>
        <v/>
      </c>
      <c r="J1611">
        <f>IF(ISNUMBER(B1611),YEAR(B1611)*100+MONTH(B1611),"")</f>
        <v/>
      </c>
      <c r="K1611">
        <f>IF(AND(H1611="",OR(F1611="Attended",F1611="No-show",AND(F1611="Late cancel",Settings!$C$9="Yes"))),1,0)</f>
        <v/>
      </c>
      <c r="L1611">
        <f>IF(AND(H1611="",F1611="Attended"),1,0)</f>
        <v/>
      </c>
      <c r="M1611">
        <f>IF(AND(H1611="",OR(F1611="No-show",F1611="Late cancel")),1,0)</f>
        <v/>
      </c>
      <c r="N1611">
        <f>IF(AND(H1611="",F1611="",D1611&lt;&gt;"",I1611&gt;=TODAY()),ROUND((I1611+IF(ISNUMBER(C1611),MOD(C1611,1),0))*1440,0)*10000+ROW(),"")</f>
        <v/>
      </c>
    </row>
    <row r="1612">
      <c r="A1612" s="1" t="n"/>
      <c r="B1612" s="17" t="n"/>
      <c r="C1612" s="18" t="n"/>
      <c r="D1612" s="19" t="n"/>
      <c r="E1612" s="20" t="n"/>
      <c r="F1612" s="20" t="n"/>
      <c r="G1612" s="21" t="n"/>
      <c r="H1612" s="12">
        <f>IF(AND(B1612="",D1612="",F1612=""),"",IF(NOT(ISNUMBER(B1612)),"Needs a date",IF(D1612="","Needs a client",IF(COUNTIF(Clients!$B$6:$B$105,D1612)=0,"Not on Clients",IF(AND(F1612="",INT(B1612)&lt;TODAY()),"Needs a status","")))))</f>
        <v/>
      </c>
      <c r="I1612" s="1">
        <f>IF(ISNUMBER(B1612),INT(B1612),0)</f>
        <v/>
      </c>
      <c r="J1612">
        <f>IF(ISNUMBER(B1612),YEAR(B1612)*100+MONTH(B1612),"")</f>
        <v/>
      </c>
      <c r="K1612">
        <f>IF(AND(H1612="",OR(F1612="Attended",F1612="No-show",AND(F1612="Late cancel",Settings!$C$9="Yes"))),1,0)</f>
        <v/>
      </c>
      <c r="L1612">
        <f>IF(AND(H1612="",F1612="Attended"),1,0)</f>
        <v/>
      </c>
      <c r="M1612">
        <f>IF(AND(H1612="",OR(F1612="No-show",F1612="Late cancel")),1,0)</f>
        <v/>
      </c>
      <c r="N1612">
        <f>IF(AND(H1612="",F1612="",D1612&lt;&gt;"",I1612&gt;=TODAY()),ROUND((I1612+IF(ISNUMBER(C1612),MOD(C1612,1),0))*1440,0)*10000+ROW(),"")</f>
        <v/>
      </c>
    </row>
    <row r="1613">
      <c r="A1613" s="1" t="n"/>
      <c r="B1613" s="17" t="n"/>
      <c r="C1613" s="18" t="n"/>
      <c r="D1613" s="19" t="n"/>
      <c r="E1613" s="20" t="n"/>
      <c r="F1613" s="20" t="n"/>
      <c r="G1613" s="21" t="n"/>
      <c r="H1613" s="12">
        <f>IF(AND(B1613="",D1613="",F1613=""),"",IF(NOT(ISNUMBER(B1613)),"Needs a date",IF(D1613="","Needs a client",IF(COUNTIF(Clients!$B$6:$B$105,D1613)=0,"Not on Clients",IF(AND(F1613="",INT(B1613)&lt;TODAY()),"Needs a status","")))))</f>
        <v/>
      </c>
      <c r="I1613" s="1">
        <f>IF(ISNUMBER(B1613),INT(B1613),0)</f>
        <v/>
      </c>
      <c r="J1613">
        <f>IF(ISNUMBER(B1613),YEAR(B1613)*100+MONTH(B1613),"")</f>
        <v/>
      </c>
      <c r="K1613">
        <f>IF(AND(H1613="",OR(F1613="Attended",F1613="No-show",AND(F1613="Late cancel",Settings!$C$9="Yes"))),1,0)</f>
        <v/>
      </c>
      <c r="L1613">
        <f>IF(AND(H1613="",F1613="Attended"),1,0)</f>
        <v/>
      </c>
      <c r="M1613">
        <f>IF(AND(H1613="",OR(F1613="No-show",F1613="Late cancel")),1,0)</f>
        <v/>
      </c>
      <c r="N1613">
        <f>IF(AND(H1613="",F1613="",D1613&lt;&gt;"",I1613&gt;=TODAY()),ROUND((I1613+IF(ISNUMBER(C1613),MOD(C1613,1),0))*1440,0)*10000+ROW(),"")</f>
        <v/>
      </c>
    </row>
    <row r="1614">
      <c r="A1614" s="1" t="n"/>
      <c r="B1614" s="17" t="n"/>
      <c r="C1614" s="18" t="n"/>
      <c r="D1614" s="19" t="n"/>
      <c r="E1614" s="20" t="n"/>
      <c r="F1614" s="20" t="n"/>
      <c r="G1614" s="21" t="n"/>
      <c r="H1614" s="12">
        <f>IF(AND(B1614="",D1614="",F1614=""),"",IF(NOT(ISNUMBER(B1614)),"Needs a date",IF(D1614="","Needs a client",IF(COUNTIF(Clients!$B$6:$B$105,D1614)=0,"Not on Clients",IF(AND(F1614="",INT(B1614)&lt;TODAY()),"Needs a status","")))))</f>
        <v/>
      </c>
      <c r="I1614" s="1">
        <f>IF(ISNUMBER(B1614),INT(B1614),0)</f>
        <v/>
      </c>
      <c r="J1614">
        <f>IF(ISNUMBER(B1614),YEAR(B1614)*100+MONTH(B1614),"")</f>
        <v/>
      </c>
      <c r="K1614">
        <f>IF(AND(H1614="",OR(F1614="Attended",F1614="No-show",AND(F1614="Late cancel",Settings!$C$9="Yes"))),1,0)</f>
        <v/>
      </c>
      <c r="L1614">
        <f>IF(AND(H1614="",F1614="Attended"),1,0)</f>
        <v/>
      </c>
      <c r="M1614">
        <f>IF(AND(H1614="",OR(F1614="No-show",F1614="Late cancel")),1,0)</f>
        <v/>
      </c>
      <c r="N1614">
        <f>IF(AND(H1614="",F1614="",D1614&lt;&gt;"",I1614&gt;=TODAY()),ROUND((I1614+IF(ISNUMBER(C1614),MOD(C1614,1),0))*1440,0)*10000+ROW(),"")</f>
        <v/>
      </c>
    </row>
    <row r="1615">
      <c r="A1615" s="1" t="n"/>
      <c r="B1615" s="17" t="n"/>
      <c r="C1615" s="18" t="n"/>
      <c r="D1615" s="19" t="n"/>
      <c r="E1615" s="20" t="n"/>
      <c r="F1615" s="20" t="n"/>
      <c r="G1615" s="21" t="n"/>
      <c r="H1615" s="12">
        <f>IF(AND(B1615="",D1615="",F1615=""),"",IF(NOT(ISNUMBER(B1615)),"Needs a date",IF(D1615="","Needs a client",IF(COUNTIF(Clients!$B$6:$B$105,D1615)=0,"Not on Clients",IF(AND(F1615="",INT(B1615)&lt;TODAY()),"Needs a status","")))))</f>
        <v/>
      </c>
      <c r="I1615" s="1">
        <f>IF(ISNUMBER(B1615),INT(B1615),0)</f>
        <v/>
      </c>
      <c r="J1615">
        <f>IF(ISNUMBER(B1615),YEAR(B1615)*100+MONTH(B1615),"")</f>
        <v/>
      </c>
      <c r="K1615">
        <f>IF(AND(H1615="",OR(F1615="Attended",F1615="No-show",AND(F1615="Late cancel",Settings!$C$9="Yes"))),1,0)</f>
        <v/>
      </c>
      <c r="L1615">
        <f>IF(AND(H1615="",F1615="Attended"),1,0)</f>
        <v/>
      </c>
      <c r="M1615">
        <f>IF(AND(H1615="",OR(F1615="No-show",F1615="Late cancel")),1,0)</f>
        <v/>
      </c>
      <c r="N1615">
        <f>IF(AND(H1615="",F1615="",D1615&lt;&gt;"",I1615&gt;=TODAY()),ROUND((I1615+IF(ISNUMBER(C1615),MOD(C1615,1),0))*1440,0)*10000+ROW(),"")</f>
        <v/>
      </c>
    </row>
    <row r="1616">
      <c r="A1616" s="1" t="n"/>
      <c r="B1616" s="17" t="n"/>
      <c r="C1616" s="18" t="n"/>
      <c r="D1616" s="19" t="n"/>
      <c r="E1616" s="20" t="n"/>
      <c r="F1616" s="20" t="n"/>
      <c r="G1616" s="21" t="n"/>
      <c r="H1616" s="12">
        <f>IF(AND(B1616="",D1616="",F1616=""),"",IF(NOT(ISNUMBER(B1616)),"Needs a date",IF(D1616="","Needs a client",IF(COUNTIF(Clients!$B$6:$B$105,D1616)=0,"Not on Clients",IF(AND(F1616="",INT(B1616)&lt;TODAY()),"Needs a status","")))))</f>
        <v/>
      </c>
      <c r="I1616" s="1">
        <f>IF(ISNUMBER(B1616),INT(B1616),0)</f>
        <v/>
      </c>
      <c r="J1616">
        <f>IF(ISNUMBER(B1616),YEAR(B1616)*100+MONTH(B1616),"")</f>
        <v/>
      </c>
      <c r="K1616">
        <f>IF(AND(H1616="",OR(F1616="Attended",F1616="No-show",AND(F1616="Late cancel",Settings!$C$9="Yes"))),1,0)</f>
        <v/>
      </c>
      <c r="L1616">
        <f>IF(AND(H1616="",F1616="Attended"),1,0)</f>
        <v/>
      </c>
      <c r="M1616">
        <f>IF(AND(H1616="",OR(F1616="No-show",F1616="Late cancel")),1,0)</f>
        <v/>
      </c>
      <c r="N1616">
        <f>IF(AND(H1616="",F1616="",D1616&lt;&gt;"",I1616&gt;=TODAY()),ROUND((I1616+IF(ISNUMBER(C1616),MOD(C1616,1),0))*1440,0)*10000+ROW(),"")</f>
        <v/>
      </c>
    </row>
    <row r="1617">
      <c r="A1617" s="1" t="n"/>
      <c r="B1617" s="17" t="n"/>
      <c r="C1617" s="18" t="n"/>
      <c r="D1617" s="19" t="n"/>
      <c r="E1617" s="20" t="n"/>
      <c r="F1617" s="20" t="n"/>
      <c r="G1617" s="21" t="n"/>
      <c r="H1617" s="12">
        <f>IF(AND(B1617="",D1617="",F1617=""),"",IF(NOT(ISNUMBER(B1617)),"Needs a date",IF(D1617="","Needs a client",IF(COUNTIF(Clients!$B$6:$B$105,D1617)=0,"Not on Clients",IF(AND(F1617="",INT(B1617)&lt;TODAY()),"Needs a status","")))))</f>
        <v/>
      </c>
      <c r="I1617" s="1">
        <f>IF(ISNUMBER(B1617),INT(B1617),0)</f>
        <v/>
      </c>
      <c r="J1617">
        <f>IF(ISNUMBER(B1617),YEAR(B1617)*100+MONTH(B1617),"")</f>
        <v/>
      </c>
      <c r="K1617">
        <f>IF(AND(H1617="",OR(F1617="Attended",F1617="No-show",AND(F1617="Late cancel",Settings!$C$9="Yes"))),1,0)</f>
        <v/>
      </c>
      <c r="L1617">
        <f>IF(AND(H1617="",F1617="Attended"),1,0)</f>
        <v/>
      </c>
      <c r="M1617">
        <f>IF(AND(H1617="",OR(F1617="No-show",F1617="Late cancel")),1,0)</f>
        <v/>
      </c>
      <c r="N1617">
        <f>IF(AND(H1617="",F1617="",D1617&lt;&gt;"",I1617&gt;=TODAY()),ROUND((I1617+IF(ISNUMBER(C1617),MOD(C1617,1),0))*1440,0)*10000+ROW(),"")</f>
        <v/>
      </c>
    </row>
    <row r="1618">
      <c r="A1618" s="1" t="n"/>
      <c r="B1618" s="17" t="n"/>
      <c r="C1618" s="18" t="n"/>
      <c r="D1618" s="19" t="n"/>
      <c r="E1618" s="20" t="n"/>
      <c r="F1618" s="20" t="n"/>
      <c r="G1618" s="21" t="n"/>
      <c r="H1618" s="12">
        <f>IF(AND(B1618="",D1618="",F1618=""),"",IF(NOT(ISNUMBER(B1618)),"Needs a date",IF(D1618="","Needs a client",IF(COUNTIF(Clients!$B$6:$B$105,D1618)=0,"Not on Clients",IF(AND(F1618="",INT(B1618)&lt;TODAY()),"Needs a status","")))))</f>
        <v/>
      </c>
      <c r="I1618" s="1">
        <f>IF(ISNUMBER(B1618),INT(B1618),0)</f>
        <v/>
      </c>
      <c r="J1618">
        <f>IF(ISNUMBER(B1618),YEAR(B1618)*100+MONTH(B1618),"")</f>
        <v/>
      </c>
      <c r="K1618">
        <f>IF(AND(H1618="",OR(F1618="Attended",F1618="No-show",AND(F1618="Late cancel",Settings!$C$9="Yes"))),1,0)</f>
        <v/>
      </c>
      <c r="L1618">
        <f>IF(AND(H1618="",F1618="Attended"),1,0)</f>
        <v/>
      </c>
      <c r="M1618">
        <f>IF(AND(H1618="",OR(F1618="No-show",F1618="Late cancel")),1,0)</f>
        <v/>
      </c>
      <c r="N1618">
        <f>IF(AND(H1618="",F1618="",D1618&lt;&gt;"",I1618&gt;=TODAY()),ROUND((I1618+IF(ISNUMBER(C1618),MOD(C1618,1),0))*1440,0)*10000+ROW(),"")</f>
        <v/>
      </c>
    </row>
    <row r="1619">
      <c r="A1619" s="1" t="n"/>
      <c r="B1619" s="17" t="n"/>
      <c r="C1619" s="18" t="n"/>
      <c r="D1619" s="19" t="n"/>
      <c r="E1619" s="20" t="n"/>
      <c r="F1619" s="20" t="n"/>
      <c r="G1619" s="21" t="n"/>
      <c r="H1619" s="12">
        <f>IF(AND(B1619="",D1619="",F1619=""),"",IF(NOT(ISNUMBER(B1619)),"Needs a date",IF(D1619="","Needs a client",IF(COUNTIF(Clients!$B$6:$B$105,D1619)=0,"Not on Clients",IF(AND(F1619="",INT(B1619)&lt;TODAY()),"Needs a status","")))))</f>
        <v/>
      </c>
      <c r="I1619" s="1">
        <f>IF(ISNUMBER(B1619),INT(B1619),0)</f>
        <v/>
      </c>
      <c r="J1619">
        <f>IF(ISNUMBER(B1619),YEAR(B1619)*100+MONTH(B1619),"")</f>
        <v/>
      </c>
      <c r="K1619">
        <f>IF(AND(H1619="",OR(F1619="Attended",F1619="No-show",AND(F1619="Late cancel",Settings!$C$9="Yes"))),1,0)</f>
        <v/>
      </c>
      <c r="L1619">
        <f>IF(AND(H1619="",F1619="Attended"),1,0)</f>
        <v/>
      </c>
      <c r="M1619">
        <f>IF(AND(H1619="",OR(F1619="No-show",F1619="Late cancel")),1,0)</f>
        <v/>
      </c>
      <c r="N1619">
        <f>IF(AND(H1619="",F1619="",D1619&lt;&gt;"",I1619&gt;=TODAY()),ROUND((I1619+IF(ISNUMBER(C1619),MOD(C1619,1),0))*1440,0)*10000+ROW(),"")</f>
        <v/>
      </c>
    </row>
    <row r="1620">
      <c r="A1620" s="1" t="n"/>
      <c r="B1620" s="17" t="n"/>
      <c r="C1620" s="18" t="n"/>
      <c r="D1620" s="19" t="n"/>
      <c r="E1620" s="20" t="n"/>
      <c r="F1620" s="20" t="n"/>
      <c r="G1620" s="21" t="n"/>
      <c r="H1620" s="12">
        <f>IF(AND(B1620="",D1620="",F1620=""),"",IF(NOT(ISNUMBER(B1620)),"Needs a date",IF(D1620="","Needs a client",IF(COUNTIF(Clients!$B$6:$B$105,D1620)=0,"Not on Clients",IF(AND(F1620="",INT(B1620)&lt;TODAY()),"Needs a status","")))))</f>
        <v/>
      </c>
      <c r="I1620" s="1">
        <f>IF(ISNUMBER(B1620),INT(B1620),0)</f>
        <v/>
      </c>
      <c r="J1620">
        <f>IF(ISNUMBER(B1620),YEAR(B1620)*100+MONTH(B1620),"")</f>
        <v/>
      </c>
      <c r="K1620">
        <f>IF(AND(H1620="",OR(F1620="Attended",F1620="No-show",AND(F1620="Late cancel",Settings!$C$9="Yes"))),1,0)</f>
        <v/>
      </c>
      <c r="L1620">
        <f>IF(AND(H1620="",F1620="Attended"),1,0)</f>
        <v/>
      </c>
      <c r="M1620">
        <f>IF(AND(H1620="",OR(F1620="No-show",F1620="Late cancel")),1,0)</f>
        <v/>
      </c>
      <c r="N1620">
        <f>IF(AND(H1620="",F1620="",D1620&lt;&gt;"",I1620&gt;=TODAY()),ROUND((I1620+IF(ISNUMBER(C1620),MOD(C1620,1),0))*1440,0)*10000+ROW(),"")</f>
        <v/>
      </c>
    </row>
    <row r="1621">
      <c r="A1621" s="1" t="n"/>
      <c r="B1621" s="17" t="n"/>
      <c r="C1621" s="18" t="n"/>
      <c r="D1621" s="19" t="n"/>
      <c r="E1621" s="20" t="n"/>
      <c r="F1621" s="20" t="n"/>
      <c r="G1621" s="21" t="n"/>
      <c r="H1621" s="12">
        <f>IF(AND(B1621="",D1621="",F1621=""),"",IF(NOT(ISNUMBER(B1621)),"Needs a date",IF(D1621="","Needs a client",IF(COUNTIF(Clients!$B$6:$B$105,D1621)=0,"Not on Clients",IF(AND(F1621="",INT(B1621)&lt;TODAY()),"Needs a status","")))))</f>
        <v/>
      </c>
      <c r="I1621" s="1">
        <f>IF(ISNUMBER(B1621),INT(B1621),0)</f>
        <v/>
      </c>
      <c r="J1621">
        <f>IF(ISNUMBER(B1621),YEAR(B1621)*100+MONTH(B1621),"")</f>
        <v/>
      </c>
      <c r="K1621">
        <f>IF(AND(H1621="",OR(F1621="Attended",F1621="No-show",AND(F1621="Late cancel",Settings!$C$9="Yes"))),1,0)</f>
        <v/>
      </c>
      <c r="L1621">
        <f>IF(AND(H1621="",F1621="Attended"),1,0)</f>
        <v/>
      </c>
      <c r="M1621">
        <f>IF(AND(H1621="",OR(F1621="No-show",F1621="Late cancel")),1,0)</f>
        <v/>
      </c>
      <c r="N1621">
        <f>IF(AND(H1621="",F1621="",D1621&lt;&gt;"",I1621&gt;=TODAY()),ROUND((I1621+IF(ISNUMBER(C1621),MOD(C1621,1),0))*1440,0)*10000+ROW(),"")</f>
        <v/>
      </c>
    </row>
    <row r="1622">
      <c r="A1622" s="1" t="n"/>
      <c r="B1622" s="17" t="n"/>
      <c r="C1622" s="18" t="n"/>
      <c r="D1622" s="19" t="n"/>
      <c r="E1622" s="20" t="n"/>
      <c r="F1622" s="20" t="n"/>
      <c r="G1622" s="21" t="n"/>
      <c r="H1622" s="12">
        <f>IF(AND(B1622="",D1622="",F1622=""),"",IF(NOT(ISNUMBER(B1622)),"Needs a date",IF(D1622="","Needs a client",IF(COUNTIF(Clients!$B$6:$B$105,D1622)=0,"Not on Clients",IF(AND(F1622="",INT(B1622)&lt;TODAY()),"Needs a status","")))))</f>
        <v/>
      </c>
      <c r="I1622" s="1">
        <f>IF(ISNUMBER(B1622),INT(B1622),0)</f>
        <v/>
      </c>
      <c r="J1622">
        <f>IF(ISNUMBER(B1622),YEAR(B1622)*100+MONTH(B1622),"")</f>
        <v/>
      </c>
      <c r="K1622">
        <f>IF(AND(H1622="",OR(F1622="Attended",F1622="No-show",AND(F1622="Late cancel",Settings!$C$9="Yes"))),1,0)</f>
        <v/>
      </c>
      <c r="L1622">
        <f>IF(AND(H1622="",F1622="Attended"),1,0)</f>
        <v/>
      </c>
      <c r="M1622">
        <f>IF(AND(H1622="",OR(F1622="No-show",F1622="Late cancel")),1,0)</f>
        <v/>
      </c>
      <c r="N1622">
        <f>IF(AND(H1622="",F1622="",D1622&lt;&gt;"",I1622&gt;=TODAY()),ROUND((I1622+IF(ISNUMBER(C1622),MOD(C1622,1),0))*1440,0)*10000+ROW(),"")</f>
        <v/>
      </c>
    </row>
    <row r="1623">
      <c r="A1623" s="1" t="n"/>
      <c r="B1623" s="17" t="n"/>
      <c r="C1623" s="18" t="n"/>
      <c r="D1623" s="19" t="n"/>
      <c r="E1623" s="20" t="n"/>
      <c r="F1623" s="20" t="n"/>
      <c r="G1623" s="21" t="n"/>
      <c r="H1623" s="12">
        <f>IF(AND(B1623="",D1623="",F1623=""),"",IF(NOT(ISNUMBER(B1623)),"Needs a date",IF(D1623="","Needs a client",IF(COUNTIF(Clients!$B$6:$B$105,D1623)=0,"Not on Clients",IF(AND(F1623="",INT(B1623)&lt;TODAY()),"Needs a status","")))))</f>
        <v/>
      </c>
      <c r="I1623" s="1">
        <f>IF(ISNUMBER(B1623),INT(B1623),0)</f>
        <v/>
      </c>
      <c r="J1623">
        <f>IF(ISNUMBER(B1623),YEAR(B1623)*100+MONTH(B1623),"")</f>
        <v/>
      </c>
      <c r="K1623">
        <f>IF(AND(H1623="",OR(F1623="Attended",F1623="No-show",AND(F1623="Late cancel",Settings!$C$9="Yes"))),1,0)</f>
        <v/>
      </c>
      <c r="L1623">
        <f>IF(AND(H1623="",F1623="Attended"),1,0)</f>
        <v/>
      </c>
      <c r="M1623">
        <f>IF(AND(H1623="",OR(F1623="No-show",F1623="Late cancel")),1,0)</f>
        <v/>
      </c>
      <c r="N1623">
        <f>IF(AND(H1623="",F1623="",D1623&lt;&gt;"",I1623&gt;=TODAY()),ROUND((I1623+IF(ISNUMBER(C1623),MOD(C1623,1),0))*1440,0)*10000+ROW(),"")</f>
        <v/>
      </c>
    </row>
    <row r="1624">
      <c r="A1624" s="1" t="n"/>
      <c r="B1624" s="17" t="n"/>
      <c r="C1624" s="18" t="n"/>
      <c r="D1624" s="19" t="n"/>
      <c r="E1624" s="20" t="n"/>
      <c r="F1624" s="20" t="n"/>
      <c r="G1624" s="21" t="n"/>
      <c r="H1624" s="12">
        <f>IF(AND(B1624="",D1624="",F1624=""),"",IF(NOT(ISNUMBER(B1624)),"Needs a date",IF(D1624="","Needs a client",IF(COUNTIF(Clients!$B$6:$B$105,D1624)=0,"Not on Clients",IF(AND(F1624="",INT(B1624)&lt;TODAY()),"Needs a status","")))))</f>
        <v/>
      </c>
      <c r="I1624" s="1">
        <f>IF(ISNUMBER(B1624),INT(B1624),0)</f>
        <v/>
      </c>
      <c r="J1624">
        <f>IF(ISNUMBER(B1624),YEAR(B1624)*100+MONTH(B1624),"")</f>
        <v/>
      </c>
      <c r="K1624">
        <f>IF(AND(H1624="",OR(F1624="Attended",F1624="No-show",AND(F1624="Late cancel",Settings!$C$9="Yes"))),1,0)</f>
        <v/>
      </c>
      <c r="L1624">
        <f>IF(AND(H1624="",F1624="Attended"),1,0)</f>
        <v/>
      </c>
      <c r="M1624">
        <f>IF(AND(H1624="",OR(F1624="No-show",F1624="Late cancel")),1,0)</f>
        <v/>
      </c>
      <c r="N1624">
        <f>IF(AND(H1624="",F1624="",D1624&lt;&gt;"",I1624&gt;=TODAY()),ROUND((I1624+IF(ISNUMBER(C1624),MOD(C1624,1),0))*1440,0)*10000+ROW(),"")</f>
        <v/>
      </c>
    </row>
    <row r="1625">
      <c r="A1625" s="1" t="n"/>
      <c r="B1625" s="17" t="n"/>
      <c r="C1625" s="18" t="n"/>
      <c r="D1625" s="19" t="n"/>
      <c r="E1625" s="20" t="n"/>
      <c r="F1625" s="20" t="n"/>
      <c r="G1625" s="21" t="n"/>
      <c r="H1625" s="12">
        <f>IF(AND(B1625="",D1625="",F1625=""),"",IF(NOT(ISNUMBER(B1625)),"Needs a date",IF(D1625="","Needs a client",IF(COUNTIF(Clients!$B$6:$B$105,D1625)=0,"Not on Clients",IF(AND(F1625="",INT(B1625)&lt;TODAY()),"Needs a status","")))))</f>
        <v/>
      </c>
      <c r="I1625" s="1">
        <f>IF(ISNUMBER(B1625),INT(B1625),0)</f>
        <v/>
      </c>
      <c r="J1625">
        <f>IF(ISNUMBER(B1625),YEAR(B1625)*100+MONTH(B1625),"")</f>
        <v/>
      </c>
      <c r="K1625">
        <f>IF(AND(H1625="",OR(F1625="Attended",F1625="No-show",AND(F1625="Late cancel",Settings!$C$9="Yes"))),1,0)</f>
        <v/>
      </c>
      <c r="L1625">
        <f>IF(AND(H1625="",F1625="Attended"),1,0)</f>
        <v/>
      </c>
      <c r="M1625">
        <f>IF(AND(H1625="",OR(F1625="No-show",F1625="Late cancel")),1,0)</f>
        <v/>
      </c>
      <c r="N1625">
        <f>IF(AND(H1625="",F1625="",D1625&lt;&gt;"",I1625&gt;=TODAY()),ROUND((I1625+IF(ISNUMBER(C1625),MOD(C1625,1),0))*1440,0)*10000+ROW(),"")</f>
        <v/>
      </c>
    </row>
    <row r="1626">
      <c r="A1626" s="1" t="n"/>
      <c r="B1626" s="17" t="n"/>
      <c r="C1626" s="18" t="n"/>
      <c r="D1626" s="19" t="n"/>
      <c r="E1626" s="20" t="n"/>
      <c r="F1626" s="20" t="n"/>
      <c r="G1626" s="21" t="n"/>
      <c r="H1626" s="12">
        <f>IF(AND(B1626="",D1626="",F1626=""),"",IF(NOT(ISNUMBER(B1626)),"Needs a date",IF(D1626="","Needs a client",IF(COUNTIF(Clients!$B$6:$B$105,D1626)=0,"Not on Clients",IF(AND(F1626="",INT(B1626)&lt;TODAY()),"Needs a status","")))))</f>
        <v/>
      </c>
      <c r="I1626" s="1">
        <f>IF(ISNUMBER(B1626),INT(B1626),0)</f>
        <v/>
      </c>
      <c r="J1626">
        <f>IF(ISNUMBER(B1626),YEAR(B1626)*100+MONTH(B1626),"")</f>
        <v/>
      </c>
      <c r="K1626">
        <f>IF(AND(H1626="",OR(F1626="Attended",F1626="No-show",AND(F1626="Late cancel",Settings!$C$9="Yes"))),1,0)</f>
        <v/>
      </c>
      <c r="L1626">
        <f>IF(AND(H1626="",F1626="Attended"),1,0)</f>
        <v/>
      </c>
      <c r="M1626">
        <f>IF(AND(H1626="",OR(F1626="No-show",F1626="Late cancel")),1,0)</f>
        <v/>
      </c>
      <c r="N1626">
        <f>IF(AND(H1626="",F1626="",D1626&lt;&gt;"",I1626&gt;=TODAY()),ROUND((I1626+IF(ISNUMBER(C1626),MOD(C1626,1),0))*1440,0)*10000+ROW(),"")</f>
        <v/>
      </c>
    </row>
    <row r="1627">
      <c r="A1627" s="1" t="n"/>
      <c r="B1627" s="17" t="n"/>
      <c r="C1627" s="18" t="n"/>
      <c r="D1627" s="19" t="n"/>
      <c r="E1627" s="20" t="n"/>
      <c r="F1627" s="20" t="n"/>
      <c r="G1627" s="21" t="n"/>
      <c r="H1627" s="12">
        <f>IF(AND(B1627="",D1627="",F1627=""),"",IF(NOT(ISNUMBER(B1627)),"Needs a date",IF(D1627="","Needs a client",IF(COUNTIF(Clients!$B$6:$B$105,D1627)=0,"Not on Clients",IF(AND(F1627="",INT(B1627)&lt;TODAY()),"Needs a status","")))))</f>
        <v/>
      </c>
      <c r="I1627" s="1">
        <f>IF(ISNUMBER(B1627),INT(B1627),0)</f>
        <v/>
      </c>
      <c r="J1627">
        <f>IF(ISNUMBER(B1627),YEAR(B1627)*100+MONTH(B1627),"")</f>
        <v/>
      </c>
      <c r="K1627">
        <f>IF(AND(H1627="",OR(F1627="Attended",F1627="No-show",AND(F1627="Late cancel",Settings!$C$9="Yes"))),1,0)</f>
        <v/>
      </c>
      <c r="L1627">
        <f>IF(AND(H1627="",F1627="Attended"),1,0)</f>
        <v/>
      </c>
      <c r="M1627">
        <f>IF(AND(H1627="",OR(F1627="No-show",F1627="Late cancel")),1,0)</f>
        <v/>
      </c>
      <c r="N1627">
        <f>IF(AND(H1627="",F1627="",D1627&lt;&gt;"",I1627&gt;=TODAY()),ROUND((I1627+IF(ISNUMBER(C1627),MOD(C1627,1),0))*1440,0)*10000+ROW(),"")</f>
        <v/>
      </c>
    </row>
    <row r="1628">
      <c r="A1628" s="1" t="n"/>
      <c r="B1628" s="17" t="n"/>
      <c r="C1628" s="18" t="n"/>
      <c r="D1628" s="19" t="n"/>
      <c r="E1628" s="20" t="n"/>
      <c r="F1628" s="20" t="n"/>
      <c r="G1628" s="21" t="n"/>
      <c r="H1628" s="12">
        <f>IF(AND(B1628="",D1628="",F1628=""),"",IF(NOT(ISNUMBER(B1628)),"Needs a date",IF(D1628="","Needs a client",IF(COUNTIF(Clients!$B$6:$B$105,D1628)=0,"Not on Clients",IF(AND(F1628="",INT(B1628)&lt;TODAY()),"Needs a status","")))))</f>
        <v/>
      </c>
      <c r="I1628" s="1">
        <f>IF(ISNUMBER(B1628),INT(B1628),0)</f>
        <v/>
      </c>
      <c r="J1628">
        <f>IF(ISNUMBER(B1628),YEAR(B1628)*100+MONTH(B1628),"")</f>
        <v/>
      </c>
      <c r="K1628">
        <f>IF(AND(H1628="",OR(F1628="Attended",F1628="No-show",AND(F1628="Late cancel",Settings!$C$9="Yes"))),1,0)</f>
        <v/>
      </c>
      <c r="L1628">
        <f>IF(AND(H1628="",F1628="Attended"),1,0)</f>
        <v/>
      </c>
      <c r="M1628">
        <f>IF(AND(H1628="",OR(F1628="No-show",F1628="Late cancel")),1,0)</f>
        <v/>
      </c>
      <c r="N1628">
        <f>IF(AND(H1628="",F1628="",D1628&lt;&gt;"",I1628&gt;=TODAY()),ROUND((I1628+IF(ISNUMBER(C1628),MOD(C1628,1),0))*1440,0)*10000+ROW(),"")</f>
        <v/>
      </c>
    </row>
    <row r="1629">
      <c r="A1629" s="1" t="n"/>
      <c r="B1629" s="17" t="n"/>
      <c r="C1629" s="18" t="n"/>
      <c r="D1629" s="19" t="n"/>
      <c r="E1629" s="20" t="n"/>
      <c r="F1629" s="20" t="n"/>
      <c r="G1629" s="21" t="n"/>
      <c r="H1629" s="12">
        <f>IF(AND(B1629="",D1629="",F1629=""),"",IF(NOT(ISNUMBER(B1629)),"Needs a date",IF(D1629="","Needs a client",IF(COUNTIF(Clients!$B$6:$B$105,D1629)=0,"Not on Clients",IF(AND(F1629="",INT(B1629)&lt;TODAY()),"Needs a status","")))))</f>
        <v/>
      </c>
      <c r="I1629" s="1">
        <f>IF(ISNUMBER(B1629),INT(B1629),0)</f>
        <v/>
      </c>
      <c r="J1629">
        <f>IF(ISNUMBER(B1629),YEAR(B1629)*100+MONTH(B1629),"")</f>
        <v/>
      </c>
      <c r="K1629">
        <f>IF(AND(H1629="",OR(F1629="Attended",F1629="No-show",AND(F1629="Late cancel",Settings!$C$9="Yes"))),1,0)</f>
        <v/>
      </c>
      <c r="L1629">
        <f>IF(AND(H1629="",F1629="Attended"),1,0)</f>
        <v/>
      </c>
      <c r="M1629">
        <f>IF(AND(H1629="",OR(F1629="No-show",F1629="Late cancel")),1,0)</f>
        <v/>
      </c>
      <c r="N1629">
        <f>IF(AND(H1629="",F1629="",D1629&lt;&gt;"",I1629&gt;=TODAY()),ROUND((I1629+IF(ISNUMBER(C1629),MOD(C1629,1),0))*1440,0)*10000+ROW(),"")</f>
        <v/>
      </c>
    </row>
    <row r="1630">
      <c r="A1630" s="1" t="n"/>
      <c r="B1630" s="17" t="n"/>
      <c r="C1630" s="18" t="n"/>
      <c r="D1630" s="19" t="n"/>
      <c r="E1630" s="20" t="n"/>
      <c r="F1630" s="20" t="n"/>
      <c r="G1630" s="21" t="n"/>
      <c r="H1630" s="12">
        <f>IF(AND(B1630="",D1630="",F1630=""),"",IF(NOT(ISNUMBER(B1630)),"Needs a date",IF(D1630="","Needs a client",IF(COUNTIF(Clients!$B$6:$B$105,D1630)=0,"Not on Clients",IF(AND(F1630="",INT(B1630)&lt;TODAY()),"Needs a status","")))))</f>
        <v/>
      </c>
      <c r="I1630" s="1">
        <f>IF(ISNUMBER(B1630),INT(B1630),0)</f>
        <v/>
      </c>
      <c r="J1630">
        <f>IF(ISNUMBER(B1630),YEAR(B1630)*100+MONTH(B1630),"")</f>
        <v/>
      </c>
      <c r="K1630">
        <f>IF(AND(H1630="",OR(F1630="Attended",F1630="No-show",AND(F1630="Late cancel",Settings!$C$9="Yes"))),1,0)</f>
        <v/>
      </c>
      <c r="L1630">
        <f>IF(AND(H1630="",F1630="Attended"),1,0)</f>
        <v/>
      </c>
      <c r="M1630">
        <f>IF(AND(H1630="",OR(F1630="No-show",F1630="Late cancel")),1,0)</f>
        <v/>
      </c>
      <c r="N1630">
        <f>IF(AND(H1630="",F1630="",D1630&lt;&gt;"",I1630&gt;=TODAY()),ROUND((I1630+IF(ISNUMBER(C1630),MOD(C1630,1),0))*1440,0)*10000+ROW(),"")</f>
        <v/>
      </c>
    </row>
    <row r="1631">
      <c r="A1631" s="1" t="n"/>
      <c r="B1631" s="17" t="n"/>
      <c r="C1631" s="18" t="n"/>
      <c r="D1631" s="19" t="n"/>
      <c r="E1631" s="20" t="n"/>
      <c r="F1631" s="20" t="n"/>
      <c r="G1631" s="21" t="n"/>
      <c r="H1631" s="12">
        <f>IF(AND(B1631="",D1631="",F1631=""),"",IF(NOT(ISNUMBER(B1631)),"Needs a date",IF(D1631="","Needs a client",IF(COUNTIF(Clients!$B$6:$B$105,D1631)=0,"Not on Clients",IF(AND(F1631="",INT(B1631)&lt;TODAY()),"Needs a status","")))))</f>
        <v/>
      </c>
      <c r="I1631" s="1">
        <f>IF(ISNUMBER(B1631),INT(B1631),0)</f>
        <v/>
      </c>
      <c r="J1631">
        <f>IF(ISNUMBER(B1631),YEAR(B1631)*100+MONTH(B1631),"")</f>
        <v/>
      </c>
      <c r="K1631">
        <f>IF(AND(H1631="",OR(F1631="Attended",F1631="No-show",AND(F1631="Late cancel",Settings!$C$9="Yes"))),1,0)</f>
        <v/>
      </c>
      <c r="L1631">
        <f>IF(AND(H1631="",F1631="Attended"),1,0)</f>
        <v/>
      </c>
      <c r="M1631">
        <f>IF(AND(H1631="",OR(F1631="No-show",F1631="Late cancel")),1,0)</f>
        <v/>
      </c>
      <c r="N1631">
        <f>IF(AND(H1631="",F1631="",D1631&lt;&gt;"",I1631&gt;=TODAY()),ROUND((I1631+IF(ISNUMBER(C1631),MOD(C1631,1),0))*1440,0)*10000+ROW(),"")</f>
        <v/>
      </c>
    </row>
    <row r="1632">
      <c r="A1632" s="1" t="n"/>
      <c r="B1632" s="17" t="n"/>
      <c r="C1632" s="18" t="n"/>
      <c r="D1632" s="19" t="n"/>
      <c r="E1632" s="20" t="n"/>
      <c r="F1632" s="20" t="n"/>
      <c r="G1632" s="21" t="n"/>
      <c r="H1632" s="12">
        <f>IF(AND(B1632="",D1632="",F1632=""),"",IF(NOT(ISNUMBER(B1632)),"Needs a date",IF(D1632="","Needs a client",IF(COUNTIF(Clients!$B$6:$B$105,D1632)=0,"Not on Clients",IF(AND(F1632="",INT(B1632)&lt;TODAY()),"Needs a status","")))))</f>
        <v/>
      </c>
      <c r="I1632" s="1">
        <f>IF(ISNUMBER(B1632),INT(B1632),0)</f>
        <v/>
      </c>
      <c r="J1632">
        <f>IF(ISNUMBER(B1632),YEAR(B1632)*100+MONTH(B1632),"")</f>
        <v/>
      </c>
      <c r="K1632">
        <f>IF(AND(H1632="",OR(F1632="Attended",F1632="No-show",AND(F1632="Late cancel",Settings!$C$9="Yes"))),1,0)</f>
        <v/>
      </c>
      <c r="L1632">
        <f>IF(AND(H1632="",F1632="Attended"),1,0)</f>
        <v/>
      </c>
      <c r="M1632">
        <f>IF(AND(H1632="",OR(F1632="No-show",F1632="Late cancel")),1,0)</f>
        <v/>
      </c>
      <c r="N1632">
        <f>IF(AND(H1632="",F1632="",D1632&lt;&gt;"",I1632&gt;=TODAY()),ROUND((I1632+IF(ISNUMBER(C1632),MOD(C1632,1),0))*1440,0)*10000+ROW(),"")</f>
        <v/>
      </c>
    </row>
    <row r="1633">
      <c r="A1633" s="1" t="n"/>
      <c r="B1633" s="17" t="n"/>
      <c r="C1633" s="18" t="n"/>
      <c r="D1633" s="19" t="n"/>
      <c r="E1633" s="20" t="n"/>
      <c r="F1633" s="20" t="n"/>
      <c r="G1633" s="21" t="n"/>
      <c r="H1633" s="12">
        <f>IF(AND(B1633="",D1633="",F1633=""),"",IF(NOT(ISNUMBER(B1633)),"Needs a date",IF(D1633="","Needs a client",IF(COUNTIF(Clients!$B$6:$B$105,D1633)=0,"Not on Clients",IF(AND(F1633="",INT(B1633)&lt;TODAY()),"Needs a status","")))))</f>
        <v/>
      </c>
      <c r="I1633" s="1">
        <f>IF(ISNUMBER(B1633),INT(B1633),0)</f>
        <v/>
      </c>
      <c r="J1633">
        <f>IF(ISNUMBER(B1633),YEAR(B1633)*100+MONTH(B1633),"")</f>
        <v/>
      </c>
      <c r="K1633">
        <f>IF(AND(H1633="",OR(F1633="Attended",F1633="No-show",AND(F1633="Late cancel",Settings!$C$9="Yes"))),1,0)</f>
        <v/>
      </c>
      <c r="L1633">
        <f>IF(AND(H1633="",F1633="Attended"),1,0)</f>
        <v/>
      </c>
      <c r="M1633">
        <f>IF(AND(H1633="",OR(F1633="No-show",F1633="Late cancel")),1,0)</f>
        <v/>
      </c>
      <c r="N1633">
        <f>IF(AND(H1633="",F1633="",D1633&lt;&gt;"",I1633&gt;=TODAY()),ROUND((I1633+IF(ISNUMBER(C1633),MOD(C1633,1),0))*1440,0)*10000+ROW(),"")</f>
        <v/>
      </c>
    </row>
    <row r="1634">
      <c r="A1634" s="1" t="n"/>
      <c r="B1634" s="17" t="n"/>
      <c r="C1634" s="18" t="n"/>
      <c r="D1634" s="19" t="n"/>
      <c r="E1634" s="20" t="n"/>
      <c r="F1634" s="20" t="n"/>
      <c r="G1634" s="21" t="n"/>
      <c r="H1634" s="12">
        <f>IF(AND(B1634="",D1634="",F1634=""),"",IF(NOT(ISNUMBER(B1634)),"Needs a date",IF(D1634="","Needs a client",IF(COUNTIF(Clients!$B$6:$B$105,D1634)=0,"Not on Clients",IF(AND(F1634="",INT(B1634)&lt;TODAY()),"Needs a status","")))))</f>
        <v/>
      </c>
      <c r="I1634" s="1">
        <f>IF(ISNUMBER(B1634),INT(B1634),0)</f>
        <v/>
      </c>
      <c r="J1634">
        <f>IF(ISNUMBER(B1634),YEAR(B1634)*100+MONTH(B1634),"")</f>
        <v/>
      </c>
      <c r="K1634">
        <f>IF(AND(H1634="",OR(F1634="Attended",F1634="No-show",AND(F1634="Late cancel",Settings!$C$9="Yes"))),1,0)</f>
        <v/>
      </c>
      <c r="L1634">
        <f>IF(AND(H1634="",F1634="Attended"),1,0)</f>
        <v/>
      </c>
      <c r="M1634">
        <f>IF(AND(H1634="",OR(F1634="No-show",F1634="Late cancel")),1,0)</f>
        <v/>
      </c>
      <c r="N1634">
        <f>IF(AND(H1634="",F1634="",D1634&lt;&gt;"",I1634&gt;=TODAY()),ROUND((I1634+IF(ISNUMBER(C1634),MOD(C1634,1),0))*1440,0)*10000+ROW(),"")</f>
        <v/>
      </c>
    </row>
    <row r="1635">
      <c r="A1635" s="1" t="n"/>
      <c r="B1635" s="17" t="n"/>
      <c r="C1635" s="18" t="n"/>
      <c r="D1635" s="19" t="n"/>
      <c r="E1635" s="20" t="n"/>
      <c r="F1635" s="20" t="n"/>
      <c r="G1635" s="21" t="n"/>
      <c r="H1635" s="12">
        <f>IF(AND(B1635="",D1635="",F1635=""),"",IF(NOT(ISNUMBER(B1635)),"Needs a date",IF(D1635="","Needs a client",IF(COUNTIF(Clients!$B$6:$B$105,D1635)=0,"Not on Clients",IF(AND(F1635="",INT(B1635)&lt;TODAY()),"Needs a status","")))))</f>
        <v/>
      </c>
      <c r="I1635" s="1">
        <f>IF(ISNUMBER(B1635),INT(B1635),0)</f>
        <v/>
      </c>
      <c r="J1635">
        <f>IF(ISNUMBER(B1635),YEAR(B1635)*100+MONTH(B1635),"")</f>
        <v/>
      </c>
      <c r="K1635">
        <f>IF(AND(H1635="",OR(F1635="Attended",F1635="No-show",AND(F1635="Late cancel",Settings!$C$9="Yes"))),1,0)</f>
        <v/>
      </c>
      <c r="L1635">
        <f>IF(AND(H1635="",F1635="Attended"),1,0)</f>
        <v/>
      </c>
      <c r="M1635">
        <f>IF(AND(H1635="",OR(F1635="No-show",F1635="Late cancel")),1,0)</f>
        <v/>
      </c>
      <c r="N1635">
        <f>IF(AND(H1635="",F1635="",D1635&lt;&gt;"",I1635&gt;=TODAY()),ROUND((I1635+IF(ISNUMBER(C1635),MOD(C1635,1),0))*1440,0)*10000+ROW(),"")</f>
        <v/>
      </c>
    </row>
    <row r="1636">
      <c r="A1636" s="1" t="n"/>
      <c r="B1636" s="17" t="n"/>
      <c r="C1636" s="18" t="n"/>
      <c r="D1636" s="19" t="n"/>
      <c r="E1636" s="20" t="n"/>
      <c r="F1636" s="20" t="n"/>
      <c r="G1636" s="21" t="n"/>
      <c r="H1636" s="12">
        <f>IF(AND(B1636="",D1636="",F1636=""),"",IF(NOT(ISNUMBER(B1636)),"Needs a date",IF(D1636="","Needs a client",IF(COUNTIF(Clients!$B$6:$B$105,D1636)=0,"Not on Clients",IF(AND(F1636="",INT(B1636)&lt;TODAY()),"Needs a status","")))))</f>
        <v/>
      </c>
      <c r="I1636" s="1">
        <f>IF(ISNUMBER(B1636),INT(B1636),0)</f>
        <v/>
      </c>
      <c r="J1636">
        <f>IF(ISNUMBER(B1636),YEAR(B1636)*100+MONTH(B1636),"")</f>
        <v/>
      </c>
      <c r="K1636">
        <f>IF(AND(H1636="",OR(F1636="Attended",F1636="No-show",AND(F1636="Late cancel",Settings!$C$9="Yes"))),1,0)</f>
        <v/>
      </c>
      <c r="L1636">
        <f>IF(AND(H1636="",F1636="Attended"),1,0)</f>
        <v/>
      </c>
      <c r="M1636">
        <f>IF(AND(H1636="",OR(F1636="No-show",F1636="Late cancel")),1,0)</f>
        <v/>
      </c>
      <c r="N1636">
        <f>IF(AND(H1636="",F1636="",D1636&lt;&gt;"",I1636&gt;=TODAY()),ROUND((I1636+IF(ISNUMBER(C1636),MOD(C1636,1),0))*1440,0)*10000+ROW(),"")</f>
        <v/>
      </c>
    </row>
    <row r="1637">
      <c r="A1637" s="1" t="n"/>
      <c r="B1637" s="17" t="n"/>
      <c r="C1637" s="18" t="n"/>
      <c r="D1637" s="19" t="n"/>
      <c r="E1637" s="20" t="n"/>
      <c r="F1637" s="20" t="n"/>
      <c r="G1637" s="21" t="n"/>
      <c r="H1637" s="12">
        <f>IF(AND(B1637="",D1637="",F1637=""),"",IF(NOT(ISNUMBER(B1637)),"Needs a date",IF(D1637="","Needs a client",IF(COUNTIF(Clients!$B$6:$B$105,D1637)=0,"Not on Clients",IF(AND(F1637="",INT(B1637)&lt;TODAY()),"Needs a status","")))))</f>
        <v/>
      </c>
      <c r="I1637" s="1">
        <f>IF(ISNUMBER(B1637),INT(B1637),0)</f>
        <v/>
      </c>
      <c r="J1637">
        <f>IF(ISNUMBER(B1637),YEAR(B1637)*100+MONTH(B1637),"")</f>
        <v/>
      </c>
      <c r="K1637">
        <f>IF(AND(H1637="",OR(F1637="Attended",F1637="No-show",AND(F1637="Late cancel",Settings!$C$9="Yes"))),1,0)</f>
        <v/>
      </c>
      <c r="L1637">
        <f>IF(AND(H1637="",F1637="Attended"),1,0)</f>
        <v/>
      </c>
      <c r="M1637">
        <f>IF(AND(H1637="",OR(F1637="No-show",F1637="Late cancel")),1,0)</f>
        <v/>
      </c>
      <c r="N1637">
        <f>IF(AND(H1637="",F1637="",D1637&lt;&gt;"",I1637&gt;=TODAY()),ROUND((I1637+IF(ISNUMBER(C1637),MOD(C1637,1),0))*1440,0)*10000+ROW(),"")</f>
        <v/>
      </c>
    </row>
    <row r="1638">
      <c r="A1638" s="1" t="n"/>
      <c r="B1638" s="17" t="n"/>
      <c r="C1638" s="18" t="n"/>
      <c r="D1638" s="19" t="n"/>
      <c r="E1638" s="20" t="n"/>
      <c r="F1638" s="20" t="n"/>
      <c r="G1638" s="21" t="n"/>
      <c r="H1638" s="12">
        <f>IF(AND(B1638="",D1638="",F1638=""),"",IF(NOT(ISNUMBER(B1638)),"Needs a date",IF(D1638="","Needs a client",IF(COUNTIF(Clients!$B$6:$B$105,D1638)=0,"Not on Clients",IF(AND(F1638="",INT(B1638)&lt;TODAY()),"Needs a status","")))))</f>
        <v/>
      </c>
      <c r="I1638" s="1">
        <f>IF(ISNUMBER(B1638),INT(B1638),0)</f>
        <v/>
      </c>
      <c r="J1638">
        <f>IF(ISNUMBER(B1638),YEAR(B1638)*100+MONTH(B1638),"")</f>
        <v/>
      </c>
      <c r="K1638">
        <f>IF(AND(H1638="",OR(F1638="Attended",F1638="No-show",AND(F1638="Late cancel",Settings!$C$9="Yes"))),1,0)</f>
        <v/>
      </c>
      <c r="L1638">
        <f>IF(AND(H1638="",F1638="Attended"),1,0)</f>
        <v/>
      </c>
      <c r="M1638">
        <f>IF(AND(H1638="",OR(F1638="No-show",F1638="Late cancel")),1,0)</f>
        <v/>
      </c>
      <c r="N1638">
        <f>IF(AND(H1638="",F1638="",D1638&lt;&gt;"",I1638&gt;=TODAY()),ROUND((I1638+IF(ISNUMBER(C1638),MOD(C1638,1),0))*1440,0)*10000+ROW(),"")</f>
        <v/>
      </c>
    </row>
    <row r="1639">
      <c r="A1639" s="1" t="n"/>
      <c r="B1639" s="17" t="n"/>
      <c r="C1639" s="18" t="n"/>
      <c r="D1639" s="19" t="n"/>
      <c r="E1639" s="20" t="n"/>
      <c r="F1639" s="20" t="n"/>
      <c r="G1639" s="21" t="n"/>
      <c r="H1639" s="12">
        <f>IF(AND(B1639="",D1639="",F1639=""),"",IF(NOT(ISNUMBER(B1639)),"Needs a date",IF(D1639="","Needs a client",IF(COUNTIF(Clients!$B$6:$B$105,D1639)=0,"Not on Clients",IF(AND(F1639="",INT(B1639)&lt;TODAY()),"Needs a status","")))))</f>
        <v/>
      </c>
      <c r="I1639" s="1">
        <f>IF(ISNUMBER(B1639),INT(B1639),0)</f>
        <v/>
      </c>
      <c r="J1639">
        <f>IF(ISNUMBER(B1639),YEAR(B1639)*100+MONTH(B1639),"")</f>
        <v/>
      </c>
      <c r="K1639">
        <f>IF(AND(H1639="",OR(F1639="Attended",F1639="No-show",AND(F1639="Late cancel",Settings!$C$9="Yes"))),1,0)</f>
        <v/>
      </c>
      <c r="L1639">
        <f>IF(AND(H1639="",F1639="Attended"),1,0)</f>
        <v/>
      </c>
      <c r="M1639">
        <f>IF(AND(H1639="",OR(F1639="No-show",F1639="Late cancel")),1,0)</f>
        <v/>
      </c>
      <c r="N1639">
        <f>IF(AND(H1639="",F1639="",D1639&lt;&gt;"",I1639&gt;=TODAY()),ROUND((I1639+IF(ISNUMBER(C1639),MOD(C1639,1),0))*1440,0)*10000+ROW(),"")</f>
        <v/>
      </c>
    </row>
    <row r="1640">
      <c r="A1640" s="1" t="n"/>
      <c r="B1640" s="17" t="n"/>
      <c r="C1640" s="18" t="n"/>
      <c r="D1640" s="19" t="n"/>
      <c r="E1640" s="20" t="n"/>
      <c r="F1640" s="20" t="n"/>
      <c r="G1640" s="21" t="n"/>
      <c r="H1640" s="12">
        <f>IF(AND(B1640="",D1640="",F1640=""),"",IF(NOT(ISNUMBER(B1640)),"Needs a date",IF(D1640="","Needs a client",IF(COUNTIF(Clients!$B$6:$B$105,D1640)=0,"Not on Clients",IF(AND(F1640="",INT(B1640)&lt;TODAY()),"Needs a status","")))))</f>
        <v/>
      </c>
      <c r="I1640" s="1">
        <f>IF(ISNUMBER(B1640),INT(B1640),0)</f>
        <v/>
      </c>
      <c r="J1640">
        <f>IF(ISNUMBER(B1640),YEAR(B1640)*100+MONTH(B1640),"")</f>
        <v/>
      </c>
      <c r="K1640">
        <f>IF(AND(H1640="",OR(F1640="Attended",F1640="No-show",AND(F1640="Late cancel",Settings!$C$9="Yes"))),1,0)</f>
        <v/>
      </c>
      <c r="L1640">
        <f>IF(AND(H1640="",F1640="Attended"),1,0)</f>
        <v/>
      </c>
      <c r="M1640">
        <f>IF(AND(H1640="",OR(F1640="No-show",F1640="Late cancel")),1,0)</f>
        <v/>
      </c>
      <c r="N1640">
        <f>IF(AND(H1640="",F1640="",D1640&lt;&gt;"",I1640&gt;=TODAY()),ROUND((I1640+IF(ISNUMBER(C1640),MOD(C1640,1),0))*1440,0)*10000+ROW(),"")</f>
        <v/>
      </c>
    </row>
    <row r="1641">
      <c r="A1641" s="1" t="n"/>
      <c r="B1641" s="17" t="n"/>
      <c r="C1641" s="18" t="n"/>
      <c r="D1641" s="19" t="n"/>
      <c r="E1641" s="20" t="n"/>
      <c r="F1641" s="20" t="n"/>
      <c r="G1641" s="21" t="n"/>
      <c r="H1641" s="12">
        <f>IF(AND(B1641="",D1641="",F1641=""),"",IF(NOT(ISNUMBER(B1641)),"Needs a date",IF(D1641="","Needs a client",IF(COUNTIF(Clients!$B$6:$B$105,D1641)=0,"Not on Clients",IF(AND(F1641="",INT(B1641)&lt;TODAY()),"Needs a status","")))))</f>
        <v/>
      </c>
      <c r="I1641" s="1">
        <f>IF(ISNUMBER(B1641),INT(B1641),0)</f>
        <v/>
      </c>
      <c r="J1641">
        <f>IF(ISNUMBER(B1641),YEAR(B1641)*100+MONTH(B1641),"")</f>
        <v/>
      </c>
      <c r="K1641">
        <f>IF(AND(H1641="",OR(F1641="Attended",F1641="No-show",AND(F1641="Late cancel",Settings!$C$9="Yes"))),1,0)</f>
        <v/>
      </c>
      <c r="L1641">
        <f>IF(AND(H1641="",F1641="Attended"),1,0)</f>
        <v/>
      </c>
      <c r="M1641">
        <f>IF(AND(H1641="",OR(F1641="No-show",F1641="Late cancel")),1,0)</f>
        <v/>
      </c>
      <c r="N1641">
        <f>IF(AND(H1641="",F1641="",D1641&lt;&gt;"",I1641&gt;=TODAY()),ROUND((I1641+IF(ISNUMBER(C1641),MOD(C1641,1),0))*1440,0)*10000+ROW(),"")</f>
        <v/>
      </c>
    </row>
    <row r="1642">
      <c r="A1642" s="1" t="n"/>
      <c r="B1642" s="17" t="n"/>
      <c r="C1642" s="18" t="n"/>
      <c r="D1642" s="19" t="n"/>
      <c r="E1642" s="20" t="n"/>
      <c r="F1642" s="20" t="n"/>
      <c r="G1642" s="21" t="n"/>
      <c r="H1642" s="12">
        <f>IF(AND(B1642="",D1642="",F1642=""),"",IF(NOT(ISNUMBER(B1642)),"Needs a date",IF(D1642="","Needs a client",IF(COUNTIF(Clients!$B$6:$B$105,D1642)=0,"Not on Clients",IF(AND(F1642="",INT(B1642)&lt;TODAY()),"Needs a status","")))))</f>
        <v/>
      </c>
      <c r="I1642" s="1">
        <f>IF(ISNUMBER(B1642),INT(B1642),0)</f>
        <v/>
      </c>
      <c r="J1642">
        <f>IF(ISNUMBER(B1642),YEAR(B1642)*100+MONTH(B1642),"")</f>
        <v/>
      </c>
      <c r="K1642">
        <f>IF(AND(H1642="",OR(F1642="Attended",F1642="No-show",AND(F1642="Late cancel",Settings!$C$9="Yes"))),1,0)</f>
        <v/>
      </c>
      <c r="L1642">
        <f>IF(AND(H1642="",F1642="Attended"),1,0)</f>
        <v/>
      </c>
      <c r="M1642">
        <f>IF(AND(H1642="",OR(F1642="No-show",F1642="Late cancel")),1,0)</f>
        <v/>
      </c>
      <c r="N1642">
        <f>IF(AND(H1642="",F1642="",D1642&lt;&gt;"",I1642&gt;=TODAY()),ROUND((I1642+IF(ISNUMBER(C1642),MOD(C1642,1),0))*1440,0)*10000+ROW(),"")</f>
        <v/>
      </c>
    </row>
    <row r="1643">
      <c r="A1643" s="1" t="n"/>
      <c r="B1643" s="17" t="n"/>
      <c r="C1643" s="18" t="n"/>
      <c r="D1643" s="19" t="n"/>
      <c r="E1643" s="20" t="n"/>
      <c r="F1643" s="20" t="n"/>
      <c r="G1643" s="21" t="n"/>
      <c r="H1643" s="12">
        <f>IF(AND(B1643="",D1643="",F1643=""),"",IF(NOT(ISNUMBER(B1643)),"Needs a date",IF(D1643="","Needs a client",IF(COUNTIF(Clients!$B$6:$B$105,D1643)=0,"Not on Clients",IF(AND(F1643="",INT(B1643)&lt;TODAY()),"Needs a status","")))))</f>
        <v/>
      </c>
      <c r="I1643" s="1">
        <f>IF(ISNUMBER(B1643),INT(B1643),0)</f>
        <v/>
      </c>
      <c r="J1643">
        <f>IF(ISNUMBER(B1643),YEAR(B1643)*100+MONTH(B1643),"")</f>
        <v/>
      </c>
      <c r="K1643">
        <f>IF(AND(H1643="",OR(F1643="Attended",F1643="No-show",AND(F1643="Late cancel",Settings!$C$9="Yes"))),1,0)</f>
        <v/>
      </c>
      <c r="L1643">
        <f>IF(AND(H1643="",F1643="Attended"),1,0)</f>
        <v/>
      </c>
      <c r="M1643">
        <f>IF(AND(H1643="",OR(F1643="No-show",F1643="Late cancel")),1,0)</f>
        <v/>
      </c>
      <c r="N1643">
        <f>IF(AND(H1643="",F1643="",D1643&lt;&gt;"",I1643&gt;=TODAY()),ROUND((I1643+IF(ISNUMBER(C1643),MOD(C1643,1),0))*1440,0)*10000+ROW(),"")</f>
        <v/>
      </c>
    </row>
    <row r="1644">
      <c r="A1644" s="1" t="n"/>
      <c r="B1644" s="17" t="n"/>
      <c r="C1644" s="18" t="n"/>
      <c r="D1644" s="19" t="n"/>
      <c r="E1644" s="20" t="n"/>
      <c r="F1644" s="20" t="n"/>
      <c r="G1644" s="21" t="n"/>
      <c r="H1644" s="12">
        <f>IF(AND(B1644="",D1644="",F1644=""),"",IF(NOT(ISNUMBER(B1644)),"Needs a date",IF(D1644="","Needs a client",IF(COUNTIF(Clients!$B$6:$B$105,D1644)=0,"Not on Clients",IF(AND(F1644="",INT(B1644)&lt;TODAY()),"Needs a status","")))))</f>
        <v/>
      </c>
      <c r="I1644" s="1">
        <f>IF(ISNUMBER(B1644),INT(B1644),0)</f>
        <v/>
      </c>
      <c r="J1644">
        <f>IF(ISNUMBER(B1644),YEAR(B1644)*100+MONTH(B1644),"")</f>
        <v/>
      </c>
      <c r="K1644">
        <f>IF(AND(H1644="",OR(F1644="Attended",F1644="No-show",AND(F1644="Late cancel",Settings!$C$9="Yes"))),1,0)</f>
        <v/>
      </c>
      <c r="L1644">
        <f>IF(AND(H1644="",F1644="Attended"),1,0)</f>
        <v/>
      </c>
      <c r="M1644">
        <f>IF(AND(H1644="",OR(F1644="No-show",F1644="Late cancel")),1,0)</f>
        <v/>
      </c>
      <c r="N1644">
        <f>IF(AND(H1644="",F1644="",D1644&lt;&gt;"",I1644&gt;=TODAY()),ROUND((I1644+IF(ISNUMBER(C1644),MOD(C1644,1),0))*1440,0)*10000+ROW(),"")</f>
        <v/>
      </c>
    </row>
    <row r="1645">
      <c r="A1645" s="1" t="n"/>
      <c r="B1645" s="17" t="n"/>
      <c r="C1645" s="18" t="n"/>
      <c r="D1645" s="19" t="n"/>
      <c r="E1645" s="20" t="n"/>
      <c r="F1645" s="20" t="n"/>
      <c r="G1645" s="21" t="n"/>
      <c r="H1645" s="12">
        <f>IF(AND(B1645="",D1645="",F1645=""),"",IF(NOT(ISNUMBER(B1645)),"Needs a date",IF(D1645="","Needs a client",IF(COUNTIF(Clients!$B$6:$B$105,D1645)=0,"Not on Clients",IF(AND(F1645="",INT(B1645)&lt;TODAY()),"Needs a status","")))))</f>
        <v/>
      </c>
      <c r="I1645" s="1">
        <f>IF(ISNUMBER(B1645),INT(B1645),0)</f>
        <v/>
      </c>
      <c r="J1645">
        <f>IF(ISNUMBER(B1645),YEAR(B1645)*100+MONTH(B1645),"")</f>
        <v/>
      </c>
      <c r="K1645">
        <f>IF(AND(H1645="",OR(F1645="Attended",F1645="No-show",AND(F1645="Late cancel",Settings!$C$9="Yes"))),1,0)</f>
        <v/>
      </c>
      <c r="L1645">
        <f>IF(AND(H1645="",F1645="Attended"),1,0)</f>
        <v/>
      </c>
      <c r="M1645">
        <f>IF(AND(H1645="",OR(F1645="No-show",F1645="Late cancel")),1,0)</f>
        <v/>
      </c>
      <c r="N1645">
        <f>IF(AND(H1645="",F1645="",D1645&lt;&gt;"",I1645&gt;=TODAY()),ROUND((I1645+IF(ISNUMBER(C1645),MOD(C1645,1),0))*1440,0)*10000+ROW(),"")</f>
        <v/>
      </c>
    </row>
    <row r="1646">
      <c r="A1646" s="1" t="n"/>
      <c r="B1646" s="17" t="n"/>
      <c r="C1646" s="18" t="n"/>
      <c r="D1646" s="19" t="n"/>
      <c r="E1646" s="20" t="n"/>
      <c r="F1646" s="20" t="n"/>
      <c r="G1646" s="21" t="n"/>
      <c r="H1646" s="12">
        <f>IF(AND(B1646="",D1646="",F1646=""),"",IF(NOT(ISNUMBER(B1646)),"Needs a date",IF(D1646="","Needs a client",IF(COUNTIF(Clients!$B$6:$B$105,D1646)=0,"Not on Clients",IF(AND(F1646="",INT(B1646)&lt;TODAY()),"Needs a status","")))))</f>
        <v/>
      </c>
      <c r="I1646" s="1">
        <f>IF(ISNUMBER(B1646),INT(B1646),0)</f>
        <v/>
      </c>
      <c r="J1646">
        <f>IF(ISNUMBER(B1646),YEAR(B1646)*100+MONTH(B1646),"")</f>
        <v/>
      </c>
      <c r="K1646">
        <f>IF(AND(H1646="",OR(F1646="Attended",F1646="No-show",AND(F1646="Late cancel",Settings!$C$9="Yes"))),1,0)</f>
        <v/>
      </c>
      <c r="L1646">
        <f>IF(AND(H1646="",F1646="Attended"),1,0)</f>
        <v/>
      </c>
      <c r="M1646">
        <f>IF(AND(H1646="",OR(F1646="No-show",F1646="Late cancel")),1,0)</f>
        <v/>
      </c>
      <c r="N1646">
        <f>IF(AND(H1646="",F1646="",D1646&lt;&gt;"",I1646&gt;=TODAY()),ROUND((I1646+IF(ISNUMBER(C1646),MOD(C1646,1),0))*1440,0)*10000+ROW(),"")</f>
        <v/>
      </c>
    </row>
    <row r="1647">
      <c r="A1647" s="1" t="n"/>
      <c r="B1647" s="17" t="n"/>
      <c r="C1647" s="18" t="n"/>
      <c r="D1647" s="19" t="n"/>
      <c r="E1647" s="20" t="n"/>
      <c r="F1647" s="20" t="n"/>
      <c r="G1647" s="21" t="n"/>
      <c r="H1647" s="12">
        <f>IF(AND(B1647="",D1647="",F1647=""),"",IF(NOT(ISNUMBER(B1647)),"Needs a date",IF(D1647="","Needs a client",IF(COUNTIF(Clients!$B$6:$B$105,D1647)=0,"Not on Clients",IF(AND(F1647="",INT(B1647)&lt;TODAY()),"Needs a status","")))))</f>
        <v/>
      </c>
      <c r="I1647" s="1">
        <f>IF(ISNUMBER(B1647),INT(B1647),0)</f>
        <v/>
      </c>
      <c r="J1647">
        <f>IF(ISNUMBER(B1647),YEAR(B1647)*100+MONTH(B1647),"")</f>
        <v/>
      </c>
      <c r="K1647">
        <f>IF(AND(H1647="",OR(F1647="Attended",F1647="No-show",AND(F1647="Late cancel",Settings!$C$9="Yes"))),1,0)</f>
        <v/>
      </c>
      <c r="L1647">
        <f>IF(AND(H1647="",F1647="Attended"),1,0)</f>
        <v/>
      </c>
      <c r="M1647">
        <f>IF(AND(H1647="",OR(F1647="No-show",F1647="Late cancel")),1,0)</f>
        <v/>
      </c>
      <c r="N1647">
        <f>IF(AND(H1647="",F1647="",D1647&lt;&gt;"",I1647&gt;=TODAY()),ROUND((I1647+IF(ISNUMBER(C1647),MOD(C1647,1),0))*1440,0)*10000+ROW(),"")</f>
        <v/>
      </c>
    </row>
    <row r="1648">
      <c r="A1648" s="1" t="n"/>
      <c r="B1648" s="17" t="n"/>
      <c r="C1648" s="18" t="n"/>
      <c r="D1648" s="19" t="n"/>
      <c r="E1648" s="20" t="n"/>
      <c r="F1648" s="20" t="n"/>
      <c r="G1648" s="21" t="n"/>
      <c r="H1648" s="12">
        <f>IF(AND(B1648="",D1648="",F1648=""),"",IF(NOT(ISNUMBER(B1648)),"Needs a date",IF(D1648="","Needs a client",IF(COUNTIF(Clients!$B$6:$B$105,D1648)=0,"Not on Clients",IF(AND(F1648="",INT(B1648)&lt;TODAY()),"Needs a status","")))))</f>
        <v/>
      </c>
      <c r="I1648" s="1">
        <f>IF(ISNUMBER(B1648),INT(B1648),0)</f>
        <v/>
      </c>
      <c r="J1648">
        <f>IF(ISNUMBER(B1648),YEAR(B1648)*100+MONTH(B1648),"")</f>
        <v/>
      </c>
      <c r="K1648">
        <f>IF(AND(H1648="",OR(F1648="Attended",F1648="No-show",AND(F1648="Late cancel",Settings!$C$9="Yes"))),1,0)</f>
        <v/>
      </c>
      <c r="L1648">
        <f>IF(AND(H1648="",F1648="Attended"),1,0)</f>
        <v/>
      </c>
      <c r="M1648">
        <f>IF(AND(H1648="",OR(F1648="No-show",F1648="Late cancel")),1,0)</f>
        <v/>
      </c>
      <c r="N1648">
        <f>IF(AND(H1648="",F1648="",D1648&lt;&gt;"",I1648&gt;=TODAY()),ROUND((I1648+IF(ISNUMBER(C1648),MOD(C1648,1),0))*1440,0)*10000+ROW(),"")</f>
        <v/>
      </c>
    </row>
    <row r="1649">
      <c r="A1649" s="1" t="n"/>
      <c r="B1649" s="17" t="n"/>
      <c r="C1649" s="18" t="n"/>
      <c r="D1649" s="19" t="n"/>
      <c r="E1649" s="20" t="n"/>
      <c r="F1649" s="20" t="n"/>
      <c r="G1649" s="21" t="n"/>
      <c r="H1649" s="12">
        <f>IF(AND(B1649="",D1649="",F1649=""),"",IF(NOT(ISNUMBER(B1649)),"Needs a date",IF(D1649="","Needs a client",IF(COUNTIF(Clients!$B$6:$B$105,D1649)=0,"Not on Clients",IF(AND(F1649="",INT(B1649)&lt;TODAY()),"Needs a status","")))))</f>
        <v/>
      </c>
      <c r="I1649" s="1">
        <f>IF(ISNUMBER(B1649),INT(B1649),0)</f>
        <v/>
      </c>
      <c r="J1649">
        <f>IF(ISNUMBER(B1649),YEAR(B1649)*100+MONTH(B1649),"")</f>
        <v/>
      </c>
      <c r="K1649">
        <f>IF(AND(H1649="",OR(F1649="Attended",F1649="No-show",AND(F1649="Late cancel",Settings!$C$9="Yes"))),1,0)</f>
        <v/>
      </c>
      <c r="L1649">
        <f>IF(AND(H1649="",F1649="Attended"),1,0)</f>
        <v/>
      </c>
      <c r="M1649">
        <f>IF(AND(H1649="",OR(F1649="No-show",F1649="Late cancel")),1,0)</f>
        <v/>
      </c>
      <c r="N1649">
        <f>IF(AND(H1649="",F1649="",D1649&lt;&gt;"",I1649&gt;=TODAY()),ROUND((I1649+IF(ISNUMBER(C1649),MOD(C1649,1),0))*1440,0)*10000+ROW(),"")</f>
        <v/>
      </c>
    </row>
    <row r="1650">
      <c r="A1650" s="1" t="n"/>
      <c r="B1650" s="17" t="n"/>
      <c r="C1650" s="18" t="n"/>
      <c r="D1650" s="19" t="n"/>
      <c r="E1650" s="20" t="n"/>
      <c r="F1650" s="20" t="n"/>
      <c r="G1650" s="21" t="n"/>
      <c r="H1650" s="12">
        <f>IF(AND(B1650="",D1650="",F1650=""),"",IF(NOT(ISNUMBER(B1650)),"Needs a date",IF(D1650="","Needs a client",IF(COUNTIF(Clients!$B$6:$B$105,D1650)=0,"Not on Clients",IF(AND(F1650="",INT(B1650)&lt;TODAY()),"Needs a status","")))))</f>
        <v/>
      </c>
      <c r="I1650" s="1">
        <f>IF(ISNUMBER(B1650),INT(B1650),0)</f>
        <v/>
      </c>
      <c r="J1650">
        <f>IF(ISNUMBER(B1650),YEAR(B1650)*100+MONTH(B1650),"")</f>
        <v/>
      </c>
      <c r="K1650">
        <f>IF(AND(H1650="",OR(F1650="Attended",F1650="No-show",AND(F1650="Late cancel",Settings!$C$9="Yes"))),1,0)</f>
        <v/>
      </c>
      <c r="L1650">
        <f>IF(AND(H1650="",F1650="Attended"),1,0)</f>
        <v/>
      </c>
      <c r="M1650">
        <f>IF(AND(H1650="",OR(F1650="No-show",F1650="Late cancel")),1,0)</f>
        <v/>
      </c>
      <c r="N1650">
        <f>IF(AND(H1650="",F1650="",D1650&lt;&gt;"",I1650&gt;=TODAY()),ROUND((I1650+IF(ISNUMBER(C1650),MOD(C1650,1),0))*1440,0)*10000+ROW(),"")</f>
        <v/>
      </c>
    </row>
    <row r="1651">
      <c r="A1651" s="1" t="n"/>
      <c r="B1651" s="17" t="n"/>
      <c r="C1651" s="18" t="n"/>
      <c r="D1651" s="19" t="n"/>
      <c r="E1651" s="20" t="n"/>
      <c r="F1651" s="20" t="n"/>
      <c r="G1651" s="21" t="n"/>
      <c r="H1651" s="12">
        <f>IF(AND(B1651="",D1651="",F1651=""),"",IF(NOT(ISNUMBER(B1651)),"Needs a date",IF(D1651="","Needs a client",IF(COUNTIF(Clients!$B$6:$B$105,D1651)=0,"Not on Clients",IF(AND(F1651="",INT(B1651)&lt;TODAY()),"Needs a status","")))))</f>
        <v/>
      </c>
      <c r="I1651" s="1">
        <f>IF(ISNUMBER(B1651),INT(B1651),0)</f>
        <v/>
      </c>
      <c r="J1651">
        <f>IF(ISNUMBER(B1651),YEAR(B1651)*100+MONTH(B1651),"")</f>
        <v/>
      </c>
      <c r="K1651">
        <f>IF(AND(H1651="",OR(F1651="Attended",F1651="No-show",AND(F1651="Late cancel",Settings!$C$9="Yes"))),1,0)</f>
        <v/>
      </c>
      <c r="L1651">
        <f>IF(AND(H1651="",F1651="Attended"),1,0)</f>
        <v/>
      </c>
      <c r="M1651">
        <f>IF(AND(H1651="",OR(F1651="No-show",F1651="Late cancel")),1,0)</f>
        <v/>
      </c>
      <c r="N1651">
        <f>IF(AND(H1651="",F1651="",D1651&lt;&gt;"",I1651&gt;=TODAY()),ROUND((I1651+IF(ISNUMBER(C1651),MOD(C1651,1),0))*1440,0)*10000+ROW(),"")</f>
        <v/>
      </c>
    </row>
    <row r="1652">
      <c r="A1652" s="1" t="n"/>
      <c r="B1652" s="17" t="n"/>
      <c r="C1652" s="18" t="n"/>
      <c r="D1652" s="19" t="n"/>
      <c r="E1652" s="20" t="n"/>
      <c r="F1652" s="20" t="n"/>
      <c r="G1652" s="21" t="n"/>
      <c r="H1652" s="12">
        <f>IF(AND(B1652="",D1652="",F1652=""),"",IF(NOT(ISNUMBER(B1652)),"Needs a date",IF(D1652="","Needs a client",IF(COUNTIF(Clients!$B$6:$B$105,D1652)=0,"Not on Clients",IF(AND(F1652="",INT(B1652)&lt;TODAY()),"Needs a status","")))))</f>
        <v/>
      </c>
      <c r="I1652" s="1">
        <f>IF(ISNUMBER(B1652),INT(B1652),0)</f>
        <v/>
      </c>
      <c r="J1652">
        <f>IF(ISNUMBER(B1652),YEAR(B1652)*100+MONTH(B1652),"")</f>
        <v/>
      </c>
      <c r="K1652">
        <f>IF(AND(H1652="",OR(F1652="Attended",F1652="No-show",AND(F1652="Late cancel",Settings!$C$9="Yes"))),1,0)</f>
        <v/>
      </c>
      <c r="L1652">
        <f>IF(AND(H1652="",F1652="Attended"),1,0)</f>
        <v/>
      </c>
      <c r="M1652">
        <f>IF(AND(H1652="",OR(F1652="No-show",F1652="Late cancel")),1,0)</f>
        <v/>
      </c>
      <c r="N1652">
        <f>IF(AND(H1652="",F1652="",D1652&lt;&gt;"",I1652&gt;=TODAY()),ROUND((I1652+IF(ISNUMBER(C1652),MOD(C1652,1),0))*1440,0)*10000+ROW(),"")</f>
        <v/>
      </c>
    </row>
    <row r="1653">
      <c r="A1653" s="1" t="n"/>
      <c r="B1653" s="17" t="n"/>
      <c r="C1653" s="18" t="n"/>
      <c r="D1653" s="19" t="n"/>
      <c r="E1653" s="20" t="n"/>
      <c r="F1653" s="20" t="n"/>
      <c r="G1653" s="21" t="n"/>
      <c r="H1653" s="12">
        <f>IF(AND(B1653="",D1653="",F1653=""),"",IF(NOT(ISNUMBER(B1653)),"Needs a date",IF(D1653="","Needs a client",IF(COUNTIF(Clients!$B$6:$B$105,D1653)=0,"Not on Clients",IF(AND(F1653="",INT(B1653)&lt;TODAY()),"Needs a status","")))))</f>
        <v/>
      </c>
      <c r="I1653" s="1">
        <f>IF(ISNUMBER(B1653),INT(B1653),0)</f>
        <v/>
      </c>
      <c r="J1653">
        <f>IF(ISNUMBER(B1653),YEAR(B1653)*100+MONTH(B1653),"")</f>
        <v/>
      </c>
      <c r="K1653">
        <f>IF(AND(H1653="",OR(F1653="Attended",F1653="No-show",AND(F1653="Late cancel",Settings!$C$9="Yes"))),1,0)</f>
        <v/>
      </c>
      <c r="L1653">
        <f>IF(AND(H1653="",F1653="Attended"),1,0)</f>
        <v/>
      </c>
      <c r="M1653">
        <f>IF(AND(H1653="",OR(F1653="No-show",F1653="Late cancel")),1,0)</f>
        <v/>
      </c>
      <c r="N1653">
        <f>IF(AND(H1653="",F1653="",D1653&lt;&gt;"",I1653&gt;=TODAY()),ROUND((I1653+IF(ISNUMBER(C1653),MOD(C1653,1),0))*1440,0)*10000+ROW(),"")</f>
        <v/>
      </c>
    </row>
    <row r="1654">
      <c r="A1654" s="1" t="n"/>
      <c r="B1654" s="17" t="n"/>
      <c r="C1654" s="18" t="n"/>
      <c r="D1654" s="19" t="n"/>
      <c r="E1654" s="20" t="n"/>
      <c r="F1654" s="20" t="n"/>
      <c r="G1654" s="21" t="n"/>
      <c r="H1654" s="12">
        <f>IF(AND(B1654="",D1654="",F1654=""),"",IF(NOT(ISNUMBER(B1654)),"Needs a date",IF(D1654="","Needs a client",IF(COUNTIF(Clients!$B$6:$B$105,D1654)=0,"Not on Clients",IF(AND(F1654="",INT(B1654)&lt;TODAY()),"Needs a status","")))))</f>
        <v/>
      </c>
      <c r="I1654" s="1">
        <f>IF(ISNUMBER(B1654),INT(B1654),0)</f>
        <v/>
      </c>
      <c r="J1654">
        <f>IF(ISNUMBER(B1654),YEAR(B1654)*100+MONTH(B1654),"")</f>
        <v/>
      </c>
      <c r="K1654">
        <f>IF(AND(H1654="",OR(F1654="Attended",F1654="No-show",AND(F1654="Late cancel",Settings!$C$9="Yes"))),1,0)</f>
        <v/>
      </c>
      <c r="L1654">
        <f>IF(AND(H1654="",F1654="Attended"),1,0)</f>
        <v/>
      </c>
      <c r="M1654">
        <f>IF(AND(H1654="",OR(F1654="No-show",F1654="Late cancel")),1,0)</f>
        <v/>
      </c>
      <c r="N1654">
        <f>IF(AND(H1654="",F1654="",D1654&lt;&gt;"",I1654&gt;=TODAY()),ROUND((I1654+IF(ISNUMBER(C1654),MOD(C1654,1),0))*1440,0)*10000+ROW(),"")</f>
        <v/>
      </c>
    </row>
    <row r="1655">
      <c r="A1655" s="1" t="n"/>
      <c r="B1655" s="17" t="n"/>
      <c r="C1655" s="18" t="n"/>
      <c r="D1655" s="19" t="n"/>
      <c r="E1655" s="20" t="n"/>
      <c r="F1655" s="20" t="n"/>
      <c r="G1655" s="21" t="n"/>
      <c r="H1655" s="12">
        <f>IF(AND(B1655="",D1655="",F1655=""),"",IF(NOT(ISNUMBER(B1655)),"Needs a date",IF(D1655="","Needs a client",IF(COUNTIF(Clients!$B$6:$B$105,D1655)=0,"Not on Clients",IF(AND(F1655="",INT(B1655)&lt;TODAY()),"Needs a status","")))))</f>
        <v/>
      </c>
      <c r="I1655" s="1">
        <f>IF(ISNUMBER(B1655),INT(B1655),0)</f>
        <v/>
      </c>
      <c r="J1655">
        <f>IF(ISNUMBER(B1655),YEAR(B1655)*100+MONTH(B1655),"")</f>
        <v/>
      </c>
      <c r="K1655">
        <f>IF(AND(H1655="",OR(F1655="Attended",F1655="No-show",AND(F1655="Late cancel",Settings!$C$9="Yes"))),1,0)</f>
        <v/>
      </c>
      <c r="L1655">
        <f>IF(AND(H1655="",F1655="Attended"),1,0)</f>
        <v/>
      </c>
      <c r="M1655">
        <f>IF(AND(H1655="",OR(F1655="No-show",F1655="Late cancel")),1,0)</f>
        <v/>
      </c>
      <c r="N1655">
        <f>IF(AND(H1655="",F1655="",D1655&lt;&gt;"",I1655&gt;=TODAY()),ROUND((I1655+IF(ISNUMBER(C1655),MOD(C1655,1),0))*1440,0)*10000+ROW(),"")</f>
        <v/>
      </c>
    </row>
    <row r="1656">
      <c r="A1656" s="1" t="n"/>
      <c r="B1656" s="17" t="n"/>
      <c r="C1656" s="18" t="n"/>
      <c r="D1656" s="19" t="n"/>
      <c r="E1656" s="20" t="n"/>
      <c r="F1656" s="20" t="n"/>
      <c r="G1656" s="21" t="n"/>
      <c r="H1656" s="12">
        <f>IF(AND(B1656="",D1656="",F1656=""),"",IF(NOT(ISNUMBER(B1656)),"Needs a date",IF(D1656="","Needs a client",IF(COUNTIF(Clients!$B$6:$B$105,D1656)=0,"Not on Clients",IF(AND(F1656="",INT(B1656)&lt;TODAY()),"Needs a status","")))))</f>
        <v/>
      </c>
      <c r="I1656" s="1">
        <f>IF(ISNUMBER(B1656),INT(B1656),0)</f>
        <v/>
      </c>
      <c r="J1656">
        <f>IF(ISNUMBER(B1656),YEAR(B1656)*100+MONTH(B1656),"")</f>
        <v/>
      </c>
      <c r="K1656">
        <f>IF(AND(H1656="",OR(F1656="Attended",F1656="No-show",AND(F1656="Late cancel",Settings!$C$9="Yes"))),1,0)</f>
        <v/>
      </c>
      <c r="L1656">
        <f>IF(AND(H1656="",F1656="Attended"),1,0)</f>
        <v/>
      </c>
      <c r="M1656">
        <f>IF(AND(H1656="",OR(F1656="No-show",F1656="Late cancel")),1,0)</f>
        <v/>
      </c>
      <c r="N1656">
        <f>IF(AND(H1656="",F1656="",D1656&lt;&gt;"",I1656&gt;=TODAY()),ROUND((I1656+IF(ISNUMBER(C1656),MOD(C1656,1),0))*1440,0)*10000+ROW(),"")</f>
        <v/>
      </c>
    </row>
    <row r="1657">
      <c r="A1657" s="1" t="n"/>
      <c r="B1657" s="17" t="n"/>
      <c r="C1657" s="18" t="n"/>
      <c r="D1657" s="19" t="n"/>
      <c r="E1657" s="20" t="n"/>
      <c r="F1657" s="20" t="n"/>
      <c r="G1657" s="21" t="n"/>
      <c r="H1657" s="12">
        <f>IF(AND(B1657="",D1657="",F1657=""),"",IF(NOT(ISNUMBER(B1657)),"Needs a date",IF(D1657="","Needs a client",IF(COUNTIF(Clients!$B$6:$B$105,D1657)=0,"Not on Clients",IF(AND(F1657="",INT(B1657)&lt;TODAY()),"Needs a status","")))))</f>
        <v/>
      </c>
      <c r="I1657" s="1">
        <f>IF(ISNUMBER(B1657),INT(B1657),0)</f>
        <v/>
      </c>
      <c r="J1657">
        <f>IF(ISNUMBER(B1657),YEAR(B1657)*100+MONTH(B1657),"")</f>
        <v/>
      </c>
      <c r="K1657">
        <f>IF(AND(H1657="",OR(F1657="Attended",F1657="No-show",AND(F1657="Late cancel",Settings!$C$9="Yes"))),1,0)</f>
        <v/>
      </c>
      <c r="L1657">
        <f>IF(AND(H1657="",F1657="Attended"),1,0)</f>
        <v/>
      </c>
      <c r="M1657">
        <f>IF(AND(H1657="",OR(F1657="No-show",F1657="Late cancel")),1,0)</f>
        <v/>
      </c>
      <c r="N1657">
        <f>IF(AND(H1657="",F1657="",D1657&lt;&gt;"",I1657&gt;=TODAY()),ROUND((I1657+IF(ISNUMBER(C1657),MOD(C1657,1),0))*1440,0)*10000+ROW(),"")</f>
        <v/>
      </c>
    </row>
    <row r="1658">
      <c r="A1658" s="1" t="n"/>
      <c r="B1658" s="17" t="n"/>
      <c r="C1658" s="18" t="n"/>
      <c r="D1658" s="19" t="n"/>
      <c r="E1658" s="20" t="n"/>
      <c r="F1658" s="20" t="n"/>
      <c r="G1658" s="21" t="n"/>
      <c r="H1658" s="12">
        <f>IF(AND(B1658="",D1658="",F1658=""),"",IF(NOT(ISNUMBER(B1658)),"Needs a date",IF(D1658="","Needs a client",IF(COUNTIF(Clients!$B$6:$B$105,D1658)=0,"Not on Clients",IF(AND(F1658="",INT(B1658)&lt;TODAY()),"Needs a status","")))))</f>
        <v/>
      </c>
      <c r="I1658" s="1">
        <f>IF(ISNUMBER(B1658),INT(B1658),0)</f>
        <v/>
      </c>
      <c r="J1658">
        <f>IF(ISNUMBER(B1658),YEAR(B1658)*100+MONTH(B1658),"")</f>
        <v/>
      </c>
      <c r="K1658">
        <f>IF(AND(H1658="",OR(F1658="Attended",F1658="No-show",AND(F1658="Late cancel",Settings!$C$9="Yes"))),1,0)</f>
        <v/>
      </c>
      <c r="L1658">
        <f>IF(AND(H1658="",F1658="Attended"),1,0)</f>
        <v/>
      </c>
      <c r="M1658">
        <f>IF(AND(H1658="",OR(F1658="No-show",F1658="Late cancel")),1,0)</f>
        <v/>
      </c>
      <c r="N1658">
        <f>IF(AND(H1658="",F1658="",D1658&lt;&gt;"",I1658&gt;=TODAY()),ROUND((I1658+IF(ISNUMBER(C1658),MOD(C1658,1),0))*1440,0)*10000+ROW(),"")</f>
        <v/>
      </c>
    </row>
    <row r="1659">
      <c r="A1659" s="1" t="n"/>
      <c r="B1659" s="17" t="n"/>
      <c r="C1659" s="18" t="n"/>
      <c r="D1659" s="19" t="n"/>
      <c r="E1659" s="20" t="n"/>
      <c r="F1659" s="20" t="n"/>
      <c r="G1659" s="21" t="n"/>
      <c r="H1659" s="12">
        <f>IF(AND(B1659="",D1659="",F1659=""),"",IF(NOT(ISNUMBER(B1659)),"Needs a date",IF(D1659="","Needs a client",IF(COUNTIF(Clients!$B$6:$B$105,D1659)=0,"Not on Clients",IF(AND(F1659="",INT(B1659)&lt;TODAY()),"Needs a status","")))))</f>
        <v/>
      </c>
      <c r="I1659" s="1">
        <f>IF(ISNUMBER(B1659),INT(B1659),0)</f>
        <v/>
      </c>
      <c r="J1659">
        <f>IF(ISNUMBER(B1659),YEAR(B1659)*100+MONTH(B1659),"")</f>
        <v/>
      </c>
      <c r="K1659">
        <f>IF(AND(H1659="",OR(F1659="Attended",F1659="No-show",AND(F1659="Late cancel",Settings!$C$9="Yes"))),1,0)</f>
        <v/>
      </c>
      <c r="L1659">
        <f>IF(AND(H1659="",F1659="Attended"),1,0)</f>
        <v/>
      </c>
      <c r="M1659">
        <f>IF(AND(H1659="",OR(F1659="No-show",F1659="Late cancel")),1,0)</f>
        <v/>
      </c>
      <c r="N1659">
        <f>IF(AND(H1659="",F1659="",D1659&lt;&gt;"",I1659&gt;=TODAY()),ROUND((I1659+IF(ISNUMBER(C1659),MOD(C1659,1),0))*1440,0)*10000+ROW(),"")</f>
        <v/>
      </c>
    </row>
    <row r="1660">
      <c r="A1660" s="1" t="n"/>
      <c r="B1660" s="17" t="n"/>
      <c r="C1660" s="18" t="n"/>
      <c r="D1660" s="19" t="n"/>
      <c r="E1660" s="20" t="n"/>
      <c r="F1660" s="20" t="n"/>
      <c r="G1660" s="21" t="n"/>
      <c r="H1660" s="12">
        <f>IF(AND(B1660="",D1660="",F1660=""),"",IF(NOT(ISNUMBER(B1660)),"Needs a date",IF(D1660="","Needs a client",IF(COUNTIF(Clients!$B$6:$B$105,D1660)=0,"Not on Clients",IF(AND(F1660="",INT(B1660)&lt;TODAY()),"Needs a status","")))))</f>
        <v/>
      </c>
      <c r="I1660" s="1">
        <f>IF(ISNUMBER(B1660),INT(B1660),0)</f>
        <v/>
      </c>
      <c r="J1660">
        <f>IF(ISNUMBER(B1660),YEAR(B1660)*100+MONTH(B1660),"")</f>
        <v/>
      </c>
      <c r="K1660">
        <f>IF(AND(H1660="",OR(F1660="Attended",F1660="No-show",AND(F1660="Late cancel",Settings!$C$9="Yes"))),1,0)</f>
        <v/>
      </c>
      <c r="L1660">
        <f>IF(AND(H1660="",F1660="Attended"),1,0)</f>
        <v/>
      </c>
      <c r="M1660">
        <f>IF(AND(H1660="",OR(F1660="No-show",F1660="Late cancel")),1,0)</f>
        <v/>
      </c>
      <c r="N1660">
        <f>IF(AND(H1660="",F1660="",D1660&lt;&gt;"",I1660&gt;=TODAY()),ROUND((I1660+IF(ISNUMBER(C1660),MOD(C1660,1),0))*1440,0)*10000+ROW(),"")</f>
        <v/>
      </c>
    </row>
    <row r="1661">
      <c r="A1661" s="1" t="n"/>
      <c r="B1661" s="17" t="n"/>
      <c r="C1661" s="18" t="n"/>
      <c r="D1661" s="19" t="n"/>
      <c r="E1661" s="20" t="n"/>
      <c r="F1661" s="20" t="n"/>
      <c r="G1661" s="21" t="n"/>
      <c r="H1661" s="12">
        <f>IF(AND(B1661="",D1661="",F1661=""),"",IF(NOT(ISNUMBER(B1661)),"Needs a date",IF(D1661="","Needs a client",IF(COUNTIF(Clients!$B$6:$B$105,D1661)=0,"Not on Clients",IF(AND(F1661="",INT(B1661)&lt;TODAY()),"Needs a status","")))))</f>
        <v/>
      </c>
      <c r="I1661" s="1">
        <f>IF(ISNUMBER(B1661),INT(B1661),0)</f>
        <v/>
      </c>
      <c r="J1661">
        <f>IF(ISNUMBER(B1661),YEAR(B1661)*100+MONTH(B1661),"")</f>
        <v/>
      </c>
      <c r="K1661">
        <f>IF(AND(H1661="",OR(F1661="Attended",F1661="No-show",AND(F1661="Late cancel",Settings!$C$9="Yes"))),1,0)</f>
        <v/>
      </c>
      <c r="L1661">
        <f>IF(AND(H1661="",F1661="Attended"),1,0)</f>
        <v/>
      </c>
      <c r="M1661">
        <f>IF(AND(H1661="",OR(F1661="No-show",F1661="Late cancel")),1,0)</f>
        <v/>
      </c>
      <c r="N1661">
        <f>IF(AND(H1661="",F1661="",D1661&lt;&gt;"",I1661&gt;=TODAY()),ROUND((I1661+IF(ISNUMBER(C1661),MOD(C1661,1),0))*1440,0)*10000+ROW(),"")</f>
        <v/>
      </c>
    </row>
    <row r="1662">
      <c r="A1662" s="1" t="n"/>
      <c r="B1662" s="17" t="n"/>
      <c r="C1662" s="18" t="n"/>
      <c r="D1662" s="19" t="n"/>
      <c r="E1662" s="20" t="n"/>
      <c r="F1662" s="20" t="n"/>
      <c r="G1662" s="21" t="n"/>
      <c r="H1662" s="12">
        <f>IF(AND(B1662="",D1662="",F1662=""),"",IF(NOT(ISNUMBER(B1662)),"Needs a date",IF(D1662="","Needs a client",IF(COUNTIF(Clients!$B$6:$B$105,D1662)=0,"Not on Clients",IF(AND(F1662="",INT(B1662)&lt;TODAY()),"Needs a status","")))))</f>
        <v/>
      </c>
      <c r="I1662" s="1">
        <f>IF(ISNUMBER(B1662),INT(B1662),0)</f>
        <v/>
      </c>
      <c r="J1662">
        <f>IF(ISNUMBER(B1662),YEAR(B1662)*100+MONTH(B1662),"")</f>
        <v/>
      </c>
      <c r="K1662">
        <f>IF(AND(H1662="",OR(F1662="Attended",F1662="No-show",AND(F1662="Late cancel",Settings!$C$9="Yes"))),1,0)</f>
        <v/>
      </c>
      <c r="L1662">
        <f>IF(AND(H1662="",F1662="Attended"),1,0)</f>
        <v/>
      </c>
      <c r="M1662">
        <f>IF(AND(H1662="",OR(F1662="No-show",F1662="Late cancel")),1,0)</f>
        <v/>
      </c>
      <c r="N1662">
        <f>IF(AND(H1662="",F1662="",D1662&lt;&gt;"",I1662&gt;=TODAY()),ROUND((I1662+IF(ISNUMBER(C1662),MOD(C1662,1),0))*1440,0)*10000+ROW(),"")</f>
        <v/>
      </c>
    </row>
    <row r="1663">
      <c r="A1663" s="1" t="n"/>
      <c r="B1663" s="17" t="n"/>
      <c r="C1663" s="18" t="n"/>
      <c r="D1663" s="19" t="n"/>
      <c r="E1663" s="20" t="n"/>
      <c r="F1663" s="20" t="n"/>
      <c r="G1663" s="21" t="n"/>
      <c r="H1663" s="12">
        <f>IF(AND(B1663="",D1663="",F1663=""),"",IF(NOT(ISNUMBER(B1663)),"Needs a date",IF(D1663="","Needs a client",IF(COUNTIF(Clients!$B$6:$B$105,D1663)=0,"Not on Clients",IF(AND(F1663="",INT(B1663)&lt;TODAY()),"Needs a status","")))))</f>
        <v/>
      </c>
      <c r="I1663" s="1">
        <f>IF(ISNUMBER(B1663),INT(B1663),0)</f>
        <v/>
      </c>
      <c r="J1663">
        <f>IF(ISNUMBER(B1663),YEAR(B1663)*100+MONTH(B1663),"")</f>
        <v/>
      </c>
      <c r="K1663">
        <f>IF(AND(H1663="",OR(F1663="Attended",F1663="No-show",AND(F1663="Late cancel",Settings!$C$9="Yes"))),1,0)</f>
        <v/>
      </c>
      <c r="L1663">
        <f>IF(AND(H1663="",F1663="Attended"),1,0)</f>
        <v/>
      </c>
      <c r="M1663">
        <f>IF(AND(H1663="",OR(F1663="No-show",F1663="Late cancel")),1,0)</f>
        <v/>
      </c>
      <c r="N1663">
        <f>IF(AND(H1663="",F1663="",D1663&lt;&gt;"",I1663&gt;=TODAY()),ROUND((I1663+IF(ISNUMBER(C1663),MOD(C1663,1),0))*1440,0)*10000+ROW(),"")</f>
        <v/>
      </c>
    </row>
    <row r="1664">
      <c r="A1664" s="1" t="n"/>
      <c r="B1664" s="17" t="n"/>
      <c r="C1664" s="18" t="n"/>
      <c r="D1664" s="19" t="n"/>
      <c r="E1664" s="20" t="n"/>
      <c r="F1664" s="20" t="n"/>
      <c r="G1664" s="21" t="n"/>
      <c r="H1664" s="12">
        <f>IF(AND(B1664="",D1664="",F1664=""),"",IF(NOT(ISNUMBER(B1664)),"Needs a date",IF(D1664="","Needs a client",IF(COUNTIF(Clients!$B$6:$B$105,D1664)=0,"Not on Clients",IF(AND(F1664="",INT(B1664)&lt;TODAY()),"Needs a status","")))))</f>
        <v/>
      </c>
      <c r="I1664" s="1">
        <f>IF(ISNUMBER(B1664),INT(B1664),0)</f>
        <v/>
      </c>
      <c r="J1664">
        <f>IF(ISNUMBER(B1664),YEAR(B1664)*100+MONTH(B1664),"")</f>
        <v/>
      </c>
      <c r="K1664">
        <f>IF(AND(H1664="",OR(F1664="Attended",F1664="No-show",AND(F1664="Late cancel",Settings!$C$9="Yes"))),1,0)</f>
        <v/>
      </c>
      <c r="L1664">
        <f>IF(AND(H1664="",F1664="Attended"),1,0)</f>
        <v/>
      </c>
      <c r="M1664">
        <f>IF(AND(H1664="",OR(F1664="No-show",F1664="Late cancel")),1,0)</f>
        <v/>
      </c>
      <c r="N1664">
        <f>IF(AND(H1664="",F1664="",D1664&lt;&gt;"",I1664&gt;=TODAY()),ROUND((I1664+IF(ISNUMBER(C1664),MOD(C1664,1),0))*1440,0)*10000+ROW(),"")</f>
        <v/>
      </c>
    </row>
    <row r="1665">
      <c r="A1665" s="1" t="n"/>
      <c r="B1665" s="17" t="n"/>
      <c r="C1665" s="18" t="n"/>
      <c r="D1665" s="19" t="n"/>
      <c r="E1665" s="20" t="n"/>
      <c r="F1665" s="20" t="n"/>
      <c r="G1665" s="21" t="n"/>
      <c r="H1665" s="12">
        <f>IF(AND(B1665="",D1665="",F1665=""),"",IF(NOT(ISNUMBER(B1665)),"Needs a date",IF(D1665="","Needs a client",IF(COUNTIF(Clients!$B$6:$B$105,D1665)=0,"Not on Clients",IF(AND(F1665="",INT(B1665)&lt;TODAY()),"Needs a status","")))))</f>
        <v/>
      </c>
      <c r="I1665" s="1">
        <f>IF(ISNUMBER(B1665),INT(B1665),0)</f>
        <v/>
      </c>
      <c r="J1665">
        <f>IF(ISNUMBER(B1665),YEAR(B1665)*100+MONTH(B1665),"")</f>
        <v/>
      </c>
      <c r="K1665">
        <f>IF(AND(H1665="",OR(F1665="Attended",F1665="No-show",AND(F1665="Late cancel",Settings!$C$9="Yes"))),1,0)</f>
        <v/>
      </c>
      <c r="L1665">
        <f>IF(AND(H1665="",F1665="Attended"),1,0)</f>
        <v/>
      </c>
      <c r="M1665">
        <f>IF(AND(H1665="",OR(F1665="No-show",F1665="Late cancel")),1,0)</f>
        <v/>
      </c>
      <c r="N1665">
        <f>IF(AND(H1665="",F1665="",D1665&lt;&gt;"",I1665&gt;=TODAY()),ROUND((I1665+IF(ISNUMBER(C1665),MOD(C1665,1),0))*1440,0)*10000+ROW(),"")</f>
        <v/>
      </c>
    </row>
    <row r="1666">
      <c r="A1666" s="1" t="n"/>
      <c r="B1666" s="17" t="n"/>
      <c r="C1666" s="18" t="n"/>
      <c r="D1666" s="19" t="n"/>
      <c r="E1666" s="20" t="n"/>
      <c r="F1666" s="20" t="n"/>
      <c r="G1666" s="21" t="n"/>
      <c r="H1666" s="12">
        <f>IF(AND(B1666="",D1666="",F1666=""),"",IF(NOT(ISNUMBER(B1666)),"Needs a date",IF(D1666="","Needs a client",IF(COUNTIF(Clients!$B$6:$B$105,D1666)=0,"Not on Clients",IF(AND(F1666="",INT(B1666)&lt;TODAY()),"Needs a status","")))))</f>
        <v/>
      </c>
      <c r="I1666" s="1">
        <f>IF(ISNUMBER(B1666),INT(B1666),0)</f>
        <v/>
      </c>
      <c r="J1666">
        <f>IF(ISNUMBER(B1666),YEAR(B1666)*100+MONTH(B1666),"")</f>
        <v/>
      </c>
      <c r="K1666">
        <f>IF(AND(H1666="",OR(F1666="Attended",F1666="No-show",AND(F1666="Late cancel",Settings!$C$9="Yes"))),1,0)</f>
        <v/>
      </c>
      <c r="L1666">
        <f>IF(AND(H1666="",F1666="Attended"),1,0)</f>
        <v/>
      </c>
      <c r="M1666">
        <f>IF(AND(H1666="",OR(F1666="No-show",F1666="Late cancel")),1,0)</f>
        <v/>
      </c>
      <c r="N1666">
        <f>IF(AND(H1666="",F1666="",D1666&lt;&gt;"",I1666&gt;=TODAY()),ROUND((I1666+IF(ISNUMBER(C1666),MOD(C1666,1),0))*1440,0)*10000+ROW(),"")</f>
        <v/>
      </c>
    </row>
    <row r="1667">
      <c r="A1667" s="1" t="n"/>
      <c r="B1667" s="17" t="n"/>
      <c r="C1667" s="18" t="n"/>
      <c r="D1667" s="19" t="n"/>
      <c r="E1667" s="20" t="n"/>
      <c r="F1667" s="20" t="n"/>
      <c r="G1667" s="21" t="n"/>
      <c r="H1667" s="12">
        <f>IF(AND(B1667="",D1667="",F1667=""),"",IF(NOT(ISNUMBER(B1667)),"Needs a date",IF(D1667="","Needs a client",IF(COUNTIF(Clients!$B$6:$B$105,D1667)=0,"Not on Clients",IF(AND(F1667="",INT(B1667)&lt;TODAY()),"Needs a status","")))))</f>
        <v/>
      </c>
      <c r="I1667" s="1">
        <f>IF(ISNUMBER(B1667),INT(B1667),0)</f>
        <v/>
      </c>
      <c r="J1667">
        <f>IF(ISNUMBER(B1667),YEAR(B1667)*100+MONTH(B1667),"")</f>
        <v/>
      </c>
      <c r="K1667">
        <f>IF(AND(H1667="",OR(F1667="Attended",F1667="No-show",AND(F1667="Late cancel",Settings!$C$9="Yes"))),1,0)</f>
        <v/>
      </c>
      <c r="L1667">
        <f>IF(AND(H1667="",F1667="Attended"),1,0)</f>
        <v/>
      </c>
      <c r="M1667">
        <f>IF(AND(H1667="",OR(F1667="No-show",F1667="Late cancel")),1,0)</f>
        <v/>
      </c>
      <c r="N1667">
        <f>IF(AND(H1667="",F1667="",D1667&lt;&gt;"",I1667&gt;=TODAY()),ROUND((I1667+IF(ISNUMBER(C1667),MOD(C1667,1),0))*1440,0)*10000+ROW(),"")</f>
        <v/>
      </c>
    </row>
    <row r="1668">
      <c r="A1668" s="1" t="n"/>
      <c r="B1668" s="17" t="n"/>
      <c r="C1668" s="18" t="n"/>
      <c r="D1668" s="19" t="n"/>
      <c r="E1668" s="20" t="n"/>
      <c r="F1668" s="20" t="n"/>
      <c r="G1668" s="21" t="n"/>
      <c r="H1668" s="12">
        <f>IF(AND(B1668="",D1668="",F1668=""),"",IF(NOT(ISNUMBER(B1668)),"Needs a date",IF(D1668="","Needs a client",IF(COUNTIF(Clients!$B$6:$B$105,D1668)=0,"Not on Clients",IF(AND(F1668="",INT(B1668)&lt;TODAY()),"Needs a status","")))))</f>
        <v/>
      </c>
      <c r="I1668" s="1">
        <f>IF(ISNUMBER(B1668),INT(B1668),0)</f>
        <v/>
      </c>
      <c r="J1668">
        <f>IF(ISNUMBER(B1668),YEAR(B1668)*100+MONTH(B1668),"")</f>
        <v/>
      </c>
      <c r="K1668">
        <f>IF(AND(H1668="",OR(F1668="Attended",F1668="No-show",AND(F1668="Late cancel",Settings!$C$9="Yes"))),1,0)</f>
        <v/>
      </c>
      <c r="L1668">
        <f>IF(AND(H1668="",F1668="Attended"),1,0)</f>
        <v/>
      </c>
      <c r="M1668">
        <f>IF(AND(H1668="",OR(F1668="No-show",F1668="Late cancel")),1,0)</f>
        <v/>
      </c>
      <c r="N1668">
        <f>IF(AND(H1668="",F1668="",D1668&lt;&gt;"",I1668&gt;=TODAY()),ROUND((I1668+IF(ISNUMBER(C1668),MOD(C1668,1),0))*1440,0)*10000+ROW(),"")</f>
        <v/>
      </c>
    </row>
    <row r="1669">
      <c r="A1669" s="1" t="n"/>
      <c r="B1669" s="17" t="n"/>
      <c r="C1669" s="18" t="n"/>
      <c r="D1669" s="19" t="n"/>
      <c r="E1669" s="20" t="n"/>
      <c r="F1669" s="20" t="n"/>
      <c r="G1669" s="21" t="n"/>
      <c r="H1669" s="12">
        <f>IF(AND(B1669="",D1669="",F1669=""),"",IF(NOT(ISNUMBER(B1669)),"Needs a date",IF(D1669="","Needs a client",IF(COUNTIF(Clients!$B$6:$B$105,D1669)=0,"Not on Clients",IF(AND(F1669="",INT(B1669)&lt;TODAY()),"Needs a status","")))))</f>
        <v/>
      </c>
      <c r="I1669" s="1">
        <f>IF(ISNUMBER(B1669),INT(B1669),0)</f>
        <v/>
      </c>
      <c r="J1669">
        <f>IF(ISNUMBER(B1669),YEAR(B1669)*100+MONTH(B1669),"")</f>
        <v/>
      </c>
      <c r="K1669">
        <f>IF(AND(H1669="",OR(F1669="Attended",F1669="No-show",AND(F1669="Late cancel",Settings!$C$9="Yes"))),1,0)</f>
        <v/>
      </c>
      <c r="L1669">
        <f>IF(AND(H1669="",F1669="Attended"),1,0)</f>
        <v/>
      </c>
      <c r="M1669">
        <f>IF(AND(H1669="",OR(F1669="No-show",F1669="Late cancel")),1,0)</f>
        <v/>
      </c>
      <c r="N1669">
        <f>IF(AND(H1669="",F1669="",D1669&lt;&gt;"",I1669&gt;=TODAY()),ROUND((I1669+IF(ISNUMBER(C1669),MOD(C1669,1),0))*1440,0)*10000+ROW(),"")</f>
        <v/>
      </c>
    </row>
    <row r="1670">
      <c r="A1670" s="1" t="n"/>
      <c r="B1670" s="17" t="n"/>
      <c r="C1670" s="18" t="n"/>
      <c r="D1670" s="19" t="n"/>
      <c r="E1670" s="20" t="n"/>
      <c r="F1670" s="20" t="n"/>
      <c r="G1670" s="21" t="n"/>
      <c r="H1670" s="12">
        <f>IF(AND(B1670="",D1670="",F1670=""),"",IF(NOT(ISNUMBER(B1670)),"Needs a date",IF(D1670="","Needs a client",IF(COUNTIF(Clients!$B$6:$B$105,D1670)=0,"Not on Clients",IF(AND(F1670="",INT(B1670)&lt;TODAY()),"Needs a status","")))))</f>
        <v/>
      </c>
      <c r="I1670" s="1">
        <f>IF(ISNUMBER(B1670),INT(B1670),0)</f>
        <v/>
      </c>
      <c r="J1670">
        <f>IF(ISNUMBER(B1670),YEAR(B1670)*100+MONTH(B1670),"")</f>
        <v/>
      </c>
      <c r="K1670">
        <f>IF(AND(H1670="",OR(F1670="Attended",F1670="No-show",AND(F1670="Late cancel",Settings!$C$9="Yes"))),1,0)</f>
        <v/>
      </c>
      <c r="L1670">
        <f>IF(AND(H1670="",F1670="Attended"),1,0)</f>
        <v/>
      </c>
      <c r="M1670">
        <f>IF(AND(H1670="",OR(F1670="No-show",F1670="Late cancel")),1,0)</f>
        <v/>
      </c>
      <c r="N1670">
        <f>IF(AND(H1670="",F1670="",D1670&lt;&gt;"",I1670&gt;=TODAY()),ROUND((I1670+IF(ISNUMBER(C1670),MOD(C1670,1),0))*1440,0)*10000+ROW(),"")</f>
        <v/>
      </c>
    </row>
    <row r="1671">
      <c r="A1671" s="1" t="n"/>
      <c r="B1671" s="17" t="n"/>
      <c r="C1671" s="18" t="n"/>
      <c r="D1671" s="19" t="n"/>
      <c r="E1671" s="20" t="n"/>
      <c r="F1671" s="20" t="n"/>
      <c r="G1671" s="21" t="n"/>
      <c r="H1671" s="12">
        <f>IF(AND(B1671="",D1671="",F1671=""),"",IF(NOT(ISNUMBER(B1671)),"Needs a date",IF(D1671="","Needs a client",IF(COUNTIF(Clients!$B$6:$B$105,D1671)=0,"Not on Clients",IF(AND(F1671="",INT(B1671)&lt;TODAY()),"Needs a status","")))))</f>
        <v/>
      </c>
      <c r="I1671" s="1">
        <f>IF(ISNUMBER(B1671),INT(B1671),0)</f>
        <v/>
      </c>
      <c r="J1671">
        <f>IF(ISNUMBER(B1671),YEAR(B1671)*100+MONTH(B1671),"")</f>
        <v/>
      </c>
      <c r="K1671">
        <f>IF(AND(H1671="",OR(F1671="Attended",F1671="No-show",AND(F1671="Late cancel",Settings!$C$9="Yes"))),1,0)</f>
        <v/>
      </c>
      <c r="L1671">
        <f>IF(AND(H1671="",F1671="Attended"),1,0)</f>
        <v/>
      </c>
      <c r="M1671">
        <f>IF(AND(H1671="",OR(F1671="No-show",F1671="Late cancel")),1,0)</f>
        <v/>
      </c>
      <c r="N1671">
        <f>IF(AND(H1671="",F1671="",D1671&lt;&gt;"",I1671&gt;=TODAY()),ROUND((I1671+IF(ISNUMBER(C1671),MOD(C1671,1),0))*1440,0)*10000+ROW(),"")</f>
        <v/>
      </c>
    </row>
    <row r="1672">
      <c r="A1672" s="1" t="n"/>
      <c r="B1672" s="17" t="n"/>
      <c r="C1672" s="18" t="n"/>
      <c r="D1672" s="19" t="n"/>
      <c r="E1672" s="20" t="n"/>
      <c r="F1672" s="20" t="n"/>
      <c r="G1672" s="21" t="n"/>
      <c r="H1672" s="12">
        <f>IF(AND(B1672="",D1672="",F1672=""),"",IF(NOT(ISNUMBER(B1672)),"Needs a date",IF(D1672="","Needs a client",IF(COUNTIF(Clients!$B$6:$B$105,D1672)=0,"Not on Clients",IF(AND(F1672="",INT(B1672)&lt;TODAY()),"Needs a status","")))))</f>
        <v/>
      </c>
      <c r="I1672" s="1">
        <f>IF(ISNUMBER(B1672),INT(B1672),0)</f>
        <v/>
      </c>
      <c r="J1672">
        <f>IF(ISNUMBER(B1672),YEAR(B1672)*100+MONTH(B1672),"")</f>
        <v/>
      </c>
      <c r="K1672">
        <f>IF(AND(H1672="",OR(F1672="Attended",F1672="No-show",AND(F1672="Late cancel",Settings!$C$9="Yes"))),1,0)</f>
        <v/>
      </c>
      <c r="L1672">
        <f>IF(AND(H1672="",F1672="Attended"),1,0)</f>
        <v/>
      </c>
      <c r="M1672">
        <f>IF(AND(H1672="",OR(F1672="No-show",F1672="Late cancel")),1,0)</f>
        <v/>
      </c>
      <c r="N1672">
        <f>IF(AND(H1672="",F1672="",D1672&lt;&gt;"",I1672&gt;=TODAY()),ROUND((I1672+IF(ISNUMBER(C1672),MOD(C1672,1),0))*1440,0)*10000+ROW(),"")</f>
        <v/>
      </c>
    </row>
    <row r="1673">
      <c r="A1673" s="1" t="n"/>
      <c r="B1673" s="17" t="n"/>
      <c r="C1673" s="18" t="n"/>
      <c r="D1673" s="19" t="n"/>
      <c r="E1673" s="20" t="n"/>
      <c r="F1673" s="20" t="n"/>
      <c r="G1673" s="21" t="n"/>
      <c r="H1673" s="12">
        <f>IF(AND(B1673="",D1673="",F1673=""),"",IF(NOT(ISNUMBER(B1673)),"Needs a date",IF(D1673="","Needs a client",IF(COUNTIF(Clients!$B$6:$B$105,D1673)=0,"Not on Clients",IF(AND(F1673="",INT(B1673)&lt;TODAY()),"Needs a status","")))))</f>
        <v/>
      </c>
      <c r="I1673" s="1">
        <f>IF(ISNUMBER(B1673),INT(B1673),0)</f>
        <v/>
      </c>
      <c r="J1673">
        <f>IF(ISNUMBER(B1673),YEAR(B1673)*100+MONTH(B1673),"")</f>
        <v/>
      </c>
      <c r="K1673">
        <f>IF(AND(H1673="",OR(F1673="Attended",F1673="No-show",AND(F1673="Late cancel",Settings!$C$9="Yes"))),1,0)</f>
        <v/>
      </c>
      <c r="L1673">
        <f>IF(AND(H1673="",F1673="Attended"),1,0)</f>
        <v/>
      </c>
      <c r="M1673">
        <f>IF(AND(H1673="",OR(F1673="No-show",F1673="Late cancel")),1,0)</f>
        <v/>
      </c>
      <c r="N1673">
        <f>IF(AND(H1673="",F1673="",D1673&lt;&gt;"",I1673&gt;=TODAY()),ROUND((I1673+IF(ISNUMBER(C1673),MOD(C1673,1),0))*1440,0)*10000+ROW(),"")</f>
        <v/>
      </c>
    </row>
    <row r="1674">
      <c r="A1674" s="1" t="n"/>
      <c r="B1674" s="17" t="n"/>
      <c r="C1674" s="18" t="n"/>
      <c r="D1674" s="19" t="n"/>
      <c r="E1674" s="20" t="n"/>
      <c r="F1674" s="20" t="n"/>
      <c r="G1674" s="21" t="n"/>
      <c r="H1674" s="12">
        <f>IF(AND(B1674="",D1674="",F1674=""),"",IF(NOT(ISNUMBER(B1674)),"Needs a date",IF(D1674="","Needs a client",IF(COUNTIF(Clients!$B$6:$B$105,D1674)=0,"Not on Clients",IF(AND(F1674="",INT(B1674)&lt;TODAY()),"Needs a status","")))))</f>
        <v/>
      </c>
      <c r="I1674" s="1">
        <f>IF(ISNUMBER(B1674),INT(B1674),0)</f>
        <v/>
      </c>
      <c r="J1674">
        <f>IF(ISNUMBER(B1674),YEAR(B1674)*100+MONTH(B1674),"")</f>
        <v/>
      </c>
      <c r="K1674">
        <f>IF(AND(H1674="",OR(F1674="Attended",F1674="No-show",AND(F1674="Late cancel",Settings!$C$9="Yes"))),1,0)</f>
        <v/>
      </c>
      <c r="L1674">
        <f>IF(AND(H1674="",F1674="Attended"),1,0)</f>
        <v/>
      </c>
      <c r="M1674">
        <f>IF(AND(H1674="",OR(F1674="No-show",F1674="Late cancel")),1,0)</f>
        <v/>
      </c>
      <c r="N1674">
        <f>IF(AND(H1674="",F1674="",D1674&lt;&gt;"",I1674&gt;=TODAY()),ROUND((I1674+IF(ISNUMBER(C1674),MOD(C1674,1),0))*1440,0)*10000+ROW(),"")</f>
        <v/>
      </c>
    </row>
    <row r="1675">
      <c r="A1675" s="1" t="n"/>
      <c r="B1675" s="17" t="n"/>
      <c r="C1675" s="18" t="n"/>
      <c r="D1675" s="19" t="n"/>
      <c r="E1675" s="20" t="n"/>
      <c r="F1675" s="20" t="n"/>
      <c r="G1675" s="21" t="n"/>
      <c r="H1675" s="12">
        <f>IF(AND(B1675="",D1675="",F1675=""),"",IF(NOT(ISNUMBER(B1675)),"Needs a date",IF(D1675="","Needs a client",IF(COUNTIF(Clients!$B$6:$B$105,D1675)=0,"Not on Clients",IF(AND(F1675="",INT(B1675)&lt;TODAY()),"Needs a status","")))))</f>
        <v/>
      </c>
      <c r="I1675" s="1">
        <f>IF(ISNUMBER(B1675),INT(B1675),0)</f>
        <v/>
      </c>
      <c r="J1675">
        <f>IF(ISNUMBER(B1675),YEAR(B1675)*100+MONTH(B1675),"")</f>
        <v/>
      </c>
      <c r="K1675">
        <f>IF(AND(H1675="",OR(F1675="Attended",F1675="No-show",AND(F1675="Late cancel",Settings!$C$9="Yes"))),1,0)</f>
        <v/>
      </c>
      <c r="L1675">
        <f>IF(AND(H1675="",F1675="Attended"),1,0)</f>
        <v/>
      </c>
      <c r="M1675">
        <f>IF(AND(H1675="",OR(F1675="No-show",F1675="Late cancel")),1,0)</f>
        <v/>
      </c>
      <c r="N1675">
        <f>IF(AND(H1675="",F1675="",D1675&lt;&gt;"",I1675&gt;=TODAY()),ROUND((I1675+IF(ISNUMBER(C1675),MOD(C1675,1),0))*1440,0)*10000+ROW(),"")</f>
        <v/>
      </c>
    </row>
    <row r="1676">
      <c r="A1676" s="1" t="n"/>
      <c r="B1676" s="17" t="n"/>
      <c r="C1676" s="18" t="n"/>
      <c r="D1676" s="19" t="n"/>
      <c r="E1676" s="20" t="n"/>
      <c r="F1676" s="20" t="n"/>
      <c r="G1676" s="21" t="n"/>
      <c r="H1676" s="12">
        <f>IF(AND(B1676="",D1676="",F1676=""),"",IF(NOT(ISNUMBER(B1676)),"Needs a date",IF(D1676="","Needs a client",IF(COUNTIF(Clients!$B$6:$B$105,D1676)=0,"Not on Clients",IF(AND(F1676="",INT(B1676)&lt;TODAY()),"Needs a status","")))))</f>
        <v/>
      </c>
      <c r="I1676" s="1">
        <f>IF(ISNUMBER(B1676),INT(B1676),0)</f>
        <v/>
      </c>
      <c r="J1676">
        <f>IF(ISNUMBER(B1676),YEAR(B1676)*100+MONTH(B1676),"")</f>
        <v/>
      </c>
      <c r="K1676">
        <f>IF(AND(H1676="",OR(F1676="Attended",F1676="No-show",AND(F1676="Late cancel",Settings!$C$9="Yes"))),1,0)</f>
        <v/>
      </c>
      <c r="L1676">
        <f>IF(AND(H1676="",F1676="Attended"),1,0)</f>
        <v/>
      </c>
      <c r="M1676">
        <f>IF(AND(H1676="",OR(F1676="No-show",F1676="Late cancel")),1,0)</f>
        <v/>
      </c>
      <c r="N1676">
        <f>IF(AND(H1676="",F1676="",D1676&lt;&gt;"",I1676&gt;=TODAY()),ROUND((I1676+IF(ISNUMBER(C1676),MOD(C1676,1),0))*1440,0)*10000+ROW(),"")</f>
        <v/>
      </c>
    </row>
    <row r="1677">
      <c r="A1677" s="1" t="n"/>
      <c r="B1677" s="17" t="n"/>
      <c r="C1677" s="18" t="n"/>
      <c r="D1677" s="19" t="n"/>
      <c r="E1677" s="20" t="n"/>
      <c r="F1677" s="20" t="n"/>
      <c r="G1677" s="21" t="n"/>
      <c r="H1677" s="12">
        <f>IF(AND(B1677="",D1677="",F1677=""),"",IF(NOT(ISNUMBER(B1677)),"Needs a date",IF(D1677="","Needs a client",IF(COUNTIF(Clients!$B$6:$B$105,D1677)=0,"Not on Clients",IF(AND(F1677="",INT(B1677)&lt;TODAY()),"Needs a status","")))))</f>
        <v/>
      </c>
      <c r="I1677" s="1">
        <f>IF(ISNUMBER(B1677),INT(B1677),0)</f>
        <v/>
      </c>
      <c r="J1677">
        <f>IF(ISNUMBER(B1677),YEAR(B1677)*100+MONTH(B1677),"")</f>
        <v/>
      </c>
      <c r="K1677">
        <f>IF(AND(H1677="",OR(F1677="Attended",F1677="No-show",AND(F1677="Late cancel",Settings!$C$9="Yes"))),1,0)</f>
        <v/>
      </c>
      <c r="L1677">
        <f>IF(AND(H1677="",F1677="Attended"),1,0)</f>
        <v/>
      </c>
      <c r="M1677">
        <f>IF(AND(H1677="",OR(F1677="No-show",F1677="Late cancel")),1,0)</f>
        <v/>
      </c>
      <c r="N1677">
        <f>IF(AND(H1677="",F1677="",D1677&lt;&gt;"",I1677&gt;=TODAY()),ROUND((I1677+IF(ISNUMBER(C1677),MOD(C1677,1),0))*1440,0)*10000+ROW(),"")</f>
        <v/>
      </c>
    </row>
    <row r="1678">
      <c r="A1678" s="1" t="n"/>
      <c r="B1678" s="17" t="n"/>
      <c r="C1678" s="18" t="n"/>
      <c r="D1678" s="19" t="n"/>
      <c r="E1678" s="20" t="n"/>
      <c r="F1678" s="20" t="n"/>
      <c r="G1678" s="21" t="n"/>
      <c r="H1678" s="12">
        <f>IF(AND(B1678="",D1678="",F1678=""),"",IF(NOT(ISNUMBER(B1678)),"Needs a date",IF(D1678="","Needs a client",IF(COUNTIF(Clients!$B$6:$B$105,D1678)=0,"Not on Clients",IF(AND(F1678="",INT(B1678)&lt;TODAY()),"Needs a status","")))))</f>
        <v/>
      </c>
      <c r="I1678" s="1">
        <f>IF(ISNUMBER(B1678),INT(B1678),0)</f>
        <v/>
      </c>
      <c r="J1678">
        <f>IF(ISNUMBER(B1678),YEAR(B1678)*100+MONTH(B1678),"")</f>
        <v/>
      </c>
      <c r="K1678">
        <f>IF(AND(H1678="",OR(F1678="Attended",F1678="No-show",AND(F1678="Late cancel",Settings!$C$9="Yes"))),1,0)</f>
        <v/>
      </c>
      <c r="L1678">
        <f>IF(AND(H1678="",F1678="Attended"),1,0)</f>
        <v/>
      </c>
      <c r="M1678">
        <f>IF(AND(H1678="",OR(F1678="No-show",F1678="Late cancel")),1,0)</f>
        <v/>
      </c>
      <c r="N1678">
        <f>IF(AND(H1678="",F1678="",D1678&lt;&gt;"",I1678&gt;=TODAY()),ROUND((I1678+IF(ISNUMBER(C1678),MOD(C1678,1),0))*1440,0)*10000+ROW(),"")</f>
        <v/>
      </c>
    </row>
    <row r="1679">
      <c r="A1679" s="1" t="n"/>
      <c r="B1679" s="17" t="n"/>
      <c r="C1679" s="18" t="n"/>
      <c r="D1679" s="19" t="n"/>
      <c r="E1679" s="20" t="n"/>
      <c r="F1679" s="20" t="n"/>
      <c r="G1679" s="21" t="n"/>
      <c r="H1679" s="12">
        <f>IF(AND(B1679="",D1679="",F1679=""),"",IF(NOT(ISNUMBER(B1679)),"Needs a date",IF(D1679="","Needs a client",IF(COUNTIF(Clients!$B$6:$B$105,D1679)=0,"Not on Clients",IF(AND(F1679="",INT(B1679)&lt;TODAY()),"Needs a status","")))))</f>
        <v/>
      </c>
      <c r="I1679" s="1">
        <f>IF(ISNUMBER(B1679),INT(B1679),0)</f>
        <v/>
      </c>
      <c r="J1679">
        <f>IF(ISNUMBER(B1679),YEAR(B1679)*100+MONTH(B1679),"")</f>
        <v/>
      </c>
      <c r="K1679">
        <f>IF(AND(H1679="",OR(F1679="Attended",F1679="No-show",AND(F1679="Late cancel",Settings!$C$9="Yes"))),1,0)</f>
        <v/>
      </c>
      <c r="L1679">
        <f>IF(AND(H1679="",F1679="Attended"),1,0)</f>
        <v/>
      </c>
      <c r="M1679">
        <f>IF(AND(H1679="",OR(F1679="No-show",F1679="Late cancel")),1,0)</f>
        <v/>
      </c>
      <c r="N1679">
        <f>IF(AND(H1679="",F1679="",D1679&lt;&gt;"",I1679&gt;=TODAY()),ROUND((I1679+IF(ISNUMBER(C1679),MOD(C1679,1),0))*1440,0)*10000+ROW(),"")</f>
        <v/>
      </c>
    </row>
    <row r="1680">
      <c r="A1680" s="1" t="n"/>
      <c r="B1680" s="17" t="n"/>
      <c r="C1680" s="18" t="n"/>
      <c r="D1680" s="19" t="n"/>
      <c r="E1680" s="20" t="n"/>
      <c r="F1680" s="20" t="n"/>
      <c r="G1680" s="21" t="n"/>
      <c r="H1680" s="12">
        <f>IF(AND(B1680="",D1680="",F1680=""),"",IF(NOT(ISNUMBER(B1680)),"Needs a date",IF(D1680="","Needs a client",IF(COUNTIF(Clients!$B$6:$B$105,D1680)=0,"Not on Clients",IF(AND(F1680="",INT(B1680)&lt;TODAY()),"Needs a status","")))))</f>
        <v/>
      </c>
      <c r="I1680" s="1">
        <f>IF(ISNUMBER(B1680),INT(B1680),0)</f>
        <v/>
      </c>
      <c r="J1680">
        <f>IF(ISNUMBER(B1680),YEAR(B1680)*100+MONTH(B1680),"")</f>
        <v/>
      </c>
      <c r="K1680">
        <f>IF(AND(H1680="",OR(F1680="Attended",F1680="No-show",AND(F1680="Late cancel",Settings!$C$9="Yes"))),1,0)</f>
        <v/>
      </c>
      <c r="L1680">
        <f>IF(AND(H1680="",F1680="Attended"),1,0)</f>
        <v/>
      </c>
      <c r="M1680">
        <f>IF(AND(H1680="",OR(F1680="No-show",F1680="Late cancel")),1,0)</f>
        <v/>
      </c>
      <c r="N1680">
        <f>IF(AND(H1680="",F1680="",D1680&lt;&gt;"",I1680&gt;=TODAY()),ROUND((I1680+IF(ISNUMBER(C1680),MOD(C1680,1),0))*1440,0)*10000+ROW(),"")</f>
        <v/>
      </c>
    </row>
    <row r="1681">
      <c r="A1681" s="1" t="n"/>
      <c r="B1681" s="17" t="n"/>
      <c r="C1681" s="18" t="n"/>
      <c r="D1681" s="19" t="n"/>
      <c r="E1681" s="20" t="n"/>
      <c r="F1681" s="20" t="n"/>
      <c r="G1681" s="21" t="n"/>
      <c r="H1681" s="12">
        <f>IF(AND(B1681="",D1681="",F1681=""),"",IF(NOT(ISNUMBER(B1681)),"Needs a date",IF(D1681="","Needs a client",IF(COUNTIF(Clients!$B$6:$B$105,D1681)=0,"Not on Clients",IF(AND(F1681="",INT(B1681)&lt;TODAY()),"Needs a status","")))))</f>
        <v/>
      </c>
      <c r="I1681" s="1">
        <f>IF(ISNUMBER(B1681),INT(B1681),0)</f>
        <v/>
      </c>
      <c r="J1681">
        <f>IF(ISNUMBER(B1681),YEAR(B1681)*100+MONTH(B1681),"")</f>
        <v/>
      </c>
      <c r="K1681">
        <f>IF(AND(H1681="",OR(F1681="Attended",F1681="No-show",AND(F1681="Late cancel",Settings!$C$9="Yes"))),1,0)</f>
        <v/>
      </c>
      <c r="L1681">
        <f>IF(AND(H1681="",F1681="Attended"),1,0)</f>
        <v/>
      </c>
      <c r="M1681">
        <f>IF(AND(H1681="",OR(F1681="No-show",F1681="Late cancel")),1,0)</f>
        <v/>
      </c>
      <c r="N1681">
        <f>IF(AND(H1681="",F1681="",D1681&lt;&gt;"",I1681&gt;=TODAY()),ROUND((I1681+IF(ISNUMBER(C1681),MOD(C1681,1),0))*1440,0)*10000+ROW(),"")</f>
        <v/>
      </c>
    </row>
    <row r="1682">
      <c r="A1682" s="1" t="n"/>
      <c r="B1682" s="17" t="n"/>
      <c r="C1682" s="18" t="n"/>
      <c r="D1682" s="19" t="n"/>
      <c r="E1682" s="20" t="n"/>
      <c r="F1682" s="20" t="n"/>
      <c r="G1682" s="21" t="n"/>
      <c r="H1682" s="12">
        <f>IF(AND(B1682="",D1682="",F1682=""),"",IF(NOT(ISNUMBER(B1682)),"Needs a date",IF(D1682="","Needs a client",IF(COUNTIF(Clients!$B$6:$B$105,D1682)=0,"Not on Clients",IF(AND(F1682="",INT(B1682)&lt;TODAY()),"Needs a status","")))))</f>
        <v/>
      </c>
      <c r="I1682" s="1">
        <f>IF(ISNUMBER(B1682),INT(B1682),0)</f>
        <v/>
      </c>
      <c r="J1682">
        <f>IF(ISNUMBER(B1682),YEAR(B1682)*100+MONTH(B1682),"")</f>
        <v/>
      </c>
      <c r="K1682">
        <f>IF(AND(H1682="",OR(F1682="Attended",F1682="No-show",AND(F1682="Late cancel",Settings!$C$9="Yes"))),1,0)</f>
        <v/>
      </c>
      <c r="L1682">
        <f>IF(AND(H1682="",F1682="Attended"),1,0)</f>
        <v/>
      </c>
      <c r="M1682">
        <f>IF(AND(H1682="",OR(F1682="No-show",F1682="Late cancel")),1,0)</f>
        <v/>
      </c>
      <c r="N1682">
        <f>IF(AND(H1682="",F1682="",D1682&lt;&gt;"",I1682&gt;=TODAY()),ROUND((I1682+IF(ISNUMBER(C1682),MOD(C1682,1),0))*1440,0)*10000+ROW(),"")</f>
        <v/>
      </c>
    </row>
    <row r="1683">
      <c r="A1683" s="1" t="n"/>
      <c r="B1683" s="17" t="n"/>
      <c r="C1683" s="18" t="n"/>
      <c r="D1683" s="19" t="n"/>
      <c r="E1683" s="20" t="n"/>
      <c r="F1683" s="20" t="n"/>
      <c r="G1683" s="21" t="n"/>
      <c r="H1683" s="12">
        <f>IF(AND(B1683="",D1683="",F1683=""),"",IF(NOT(ISNUMBER(B1683)),"Needs a date",IF(D1683="","Needs a client",IF(COUNTIF(Clients!$B$6:$B$105,D1683)=0,"Not on Clients",IF(AND(F1683="",INT(B1683)&lt;TODAY()),"Needs a status","")))))</f>
        <v/>
      </c>
      <c r="I1683" s="1">
        <f>IF(ISNUMBER(B1683),INT(B1683),0)</f>
        <v/>
      </c>
      <c r="J1683">
        <f>IF(ISNUMBER(B1683),YEAR(B1683)*100+MONTH(B1683),"")</f>
        <v/>
      </c>
      <c r="K1683">
        <f>IF(AND(H1683="",OR(F1683="Attended",F1683="No-show",AND(F1683="Late cancel",Settings!$C$9="Yes"))),1,0)</f>
        <v/>
      </c>
      <c r="L1683">
        <f>IF(AND(H1683="",F1683="Attended"),1,0)</f>
        <v/>
      </c>
      <c r="M1683">
        <f>IF(AND(H1683="",OR(F1683="No-show",F1683="Late cancel")),1,0)</f>
        <v/>
      </c>
      <c r="N1683">
        <f>IF(AND(H1683="",F1683="",D1683&lt;&gt;"",I1683&gt;=TODAY()),ROUND((I1683+IF(ISNUMBER(C1683),MOD(C1683,1),0))*1440,0)*10000+ROW(),"")</f>
        <v/>
      </c>
    </row>
    <row r="1684">
      <c r="A1684" s="1" t="n"/>
      <c r="B1684" s="17" t="n"/>
      <c r="C1684" s="18" t="n"/>
      <c r="D1684" s="19" t="n"/>
      <c r="E1684" s="20" t="n"/>
      <c r="F1684" s="20" t="n"/>
      <c r="G1684" s="21" t="n"/>
      <c r="H1684" s="12">
        <f>IF(AND(B1684="",D1684="",F1684=""),"",IF(NOT(ISNUMBER(B1684)),"Needs a date",IF(D1684="","Needs a client",IF(COUNTIF(Clients!$B$6:$B$105,D1684)=0,"Not on Clients",IF(AND(F1684="",INT(B1684)&lt;TODAY()),"Needs a status","")))))</f>
        <v/>
      </c>
      <c r="I1684" s="1">
        <f>IF(ISNUMBER(B1684),INT(B1684),0)</f>
        <v/>
      </c>
      <c r="J1684">
        <f>IF(ISNUMBER(B1684),YEAR(B1684)*100+MONTH(B1684),"")</f>
        <v/>
      </c>
      <c r="K1684">
        <f>IF(AND(H1684="",OR(F1684="Attended",F1684="No-show",AND(F1684="Late cancel",Settings!$C$9="Yes"))),1,0)</f>
        <v/>
      </c>
      <c r="L1684">
        <f>IF(AND(H1684="",F1684="Attended"),1,0)</f>
        <v/>
      </c>
      <c r="M1684">
        <f>IF(AND(H1684="",OR(F1684="No-show",F1684="Late cancel")),1,0)</f>
        <v/>
      </c>
      <c r="N1684">
        <f>IF(AND(H1684="",F1684="",D1684&lt;&gt;"",I1684&gt;=TODAY()),ROUND((I1684+IF(ISNUMBER(C1684),MOD(C1684,1),0))*1440,0)*10000+ROW(),"")</f>
        <v/>
      </c>
    </row>
    <row r="1685">
      <c r="A1685" s="1" t="n"/>
      <c r="B1685" s="17" t="n"/>
      <c r="C1685" s="18" t="n"/>
      <c r="D1685" s="19" t="n"/>
      <c r="E1685" s="20" t="n"/>
      <c r="F1685" s="20" t="n"/>
      <c r="G1685" s="21" t="n"/>
      <c r="H1685" s="12">
        <f>IF(AND(B1685="",D1685="",F1685=""),"",IF(NOT(ISNUMBER(B1685)),"Needs a date",IF(D1685="","Needs a client",IF(COUNTIF(Clients!$B$6:$B$105,D1685)=0,"Not on Clients",IF(AND(F1685="",INT(B1685)&lt;TODAY()),"Needs a status","")))))</f>
        <v/>
      </c>
      <c r="I1685" s="1">
        <f>IF(ISNUMBER(B1685),INT(B1685),0)</f>
        <v/>
      </c>
      <c r="J1685">
        <f>IF(ISNUMBER(B1685),YEAR(B1685)*100+MONTH(B1685),"")</f>
        <v/>
      </c>
      <c r="K1685">
        <f>IF(AND(H1685="",OR(F1685="Attended",F1685="No-show",AND(F1685="Late cancel",Settings!$C$9="Yes"))),1,0)</f>
        <v/>
      </c>
      <c r="L1685">
        <f>IF(AND(H1685="",F1685="Attended"),1,0)</f>
        <v/>
      </c>
      <c r="M1685">
        <f>IF(AND(H1685="",OR(F1685="No-show",F1685="Late cancel")),1,0)</f>
        <v/>
      </c>
      <c r="N1685">
        <f>IF(AND(H1685="",F1685="",D1685&lt;&gt;"",I1685&gt;=TODAY()),ROUND((I1685+IF(ISNUMBER(C1685),MOD(C1685,1),0))*1440,0)*10000+ROW(),"")</f>
        <v/>
      </c>
    </row>
    <row r="1686">
      <c r="A1686" s="1" t="n"/>
      <c r="B1686" s="17" t="n"/>
      <c r="C1686" s="18" t="n"/>
      <c r="D1686" s="19" t="n"/>
      <c r="E1686" s="20" t="n"/>
      <c r="F1686" s="20" t="n"/>
      <c r="G1686" s="21" t="n"/>
      <c r="H1686" s="12">
        <f>IF(AND(B1686="",D1686="",F1686=""),"",IF(NOT(ISNUMBER(B1686)),"Needs a date",IF(D1686="","Needs a client",IF(COUNTIF(Clients!$B$6:$B$105,D1686)=0,"Not on Clients",IF(AND(F1686="",INT(B1686)&lt;TODAY()),"Needs a status","")))))</f>
        <v/>
      </c>
      <c r="I1686" s="1">
        <f>IF(ISNUMBER(B1686),INT(B1686),0)</f>
        <v/>
      </c>
      <c r="J1686">
        <f>IF(ISNUMBER(B1686),YEAR(B1686)*100+MONTH(B1686),"")</f>
        <v/>
      </c>
      <c r="K1686">
        <f>IF(AND(H1686="",OR(F1686="Attended",F1686="No-show",AND(F1686="Late cancel",Settings!$C$9="Yes"))),1,0)</f>
        <v/>
      </c>
      <c r="L1686">
        <f>IF(AND(H1686="",F1686="Attended"),1,0)</f>
        <v/>
      </c>
      <c r="M1686">
        <f>IF(AND(H1686="",OR(F1686="No-show",F1686="Late cancel")),1,0)</f>
        <v/>
      </c>
      <c r="N1686">
        <f>IF(AND(H1686="",F1686="",D1686&lt;&gt;"",I1686&gt;=TODAY()),ROUND((I1686+IF(ISNUMBER(C1686),MOD(C1686,1),0))*1440,0)*10000+ROW(),"")</f>
        <v/>
      </c>
    </row>
    <row r="1687">
      <c r="A1687" s="1" t="n"/>
      <c r="B1687" s="17" t="n"/>
      <c r="C1687" s="18" t="n"/>
      <c r="D1687" s="19" t="n"/>
      <c r="E1687" s="20" t="n"/>
      <c r="F1687" s="20" t="n"/>
      <c r="G1687" s="21" t="n"/>
      <c r="H1687" s="12">
        <f>IF(AND(B1687="",D1687="",F1687=""),"",IF(NOT(ISNUMBER(B1687)),"Needs a date",IF(D1687="","Needs a client",IF(COUNTIF(Clients!$B$6:$B$105,D1687)=0,"Not on Clients",IF(AND(F1687="",INT(B1687)&lt;TODAY()),"Needs a status","")))))</f>
        <v/>
      </c>
      <c r="I1687" s="1">
        <f>IF(ISNUMBER(B1687),INT(B1687),0)</f>
        <v/>
      </c>
      <c r="J1687">
        <f>IF(ISNUMBER(B1687),YEAR(B1687)*100+MONTH(B1687),"")</f>
        <v/>
      </c>
      <c r="K1687">
        <f>IF(AND(H1687="",OR(F1687="Attended",F1687="No-show",AND(F1687="Late cancel",Settings!$C$9="Yes"))),1,0)</f>
        <v/>
      </c>
      <c r="L1687">
        <f>IF(AND(H1687="",F1687="Attended"),1,0)</f>
        <v/>
      </c>
      <c r="M1687">
        <f>IF(AND(H1687="",OR(F1687="No-show",F1687="Late cancel")),1,0)</f>
        <v/>
      </c>
      <c r="N1687">
        <f>IF(AND(H1687="",F1687="",D1687&lt;&gt;"",I1687&gt;=TODAY()),ROUND((I1687+IF(ISNUMBER(C1687),MOD(C1687,1),0))*1440,0)*10000+ROW(),"")</f>
        <v/>
      </c>
    </row>
    <row r="1688">
      <c r="A1688" s="1" t="n"/>
      <c r="B1688" s="17" t="n"/>
      <c r="C1688" s="18" t="n"/>
      <c r="D1688" s="19" t="n"/>
      <c r="E1688" s="20" t="n"/>
      <c r="F1688" s="20" t="n"/>
      <c r="G1688" s="21" t="n"/>
      <c r="H1688" s="12">
        <f>IF(AND(B1688="",D1688="",F1688=""),"",IF(NOT(ISNUMBER(B1688)),"Needs a date",IF(D1688="","Needs a client",IF(COUNTIF(Clients!$B$6:$B$105,D1688)=0,"Not on Clients",IF(AND(F1688="",INT(B1688)&lt;TODAY()),"Needs a status","")))))</f>
        <v/>
      </c>
      <c r="I1688" s="1">
        <f>IF(ISNUMBER(B1688),INT(B1688),0)</f>
        <v/>
      </c>
      <c r="J1688">
        <f>IF(ISNUMBER(B1688),YEAR(B1688)*100+MONTH(B1688),"")</f>
        <v/>
      </c>
      <c r="K1688">
        <f>IF(AND(H1688="",OR(F1688="Attended",F1688="No-show",AND(F1688="Late cancel",Settings!$C$9="Yes"))),1,0)</f>
        <v/>
      </c>
      <c r="L1688">
        <f>IF(AND(H1688="",F1688="Attended"),1,0)</f>
        <v/>
      </c>
      <c r="M1688">
        <f>IF(AND(H1688="",OR(F1688="No-show",F1688="Late cancel")),1,0)</f>
        <v/>
      </c>
      <c r="N1688">
        <f>IF(AND(H1688="",F1688="",D1688&lt;&gt;"",I1688&gt;=TODAY()),ROUND((I1688+IF(ISNUMBER(C1688),MOD(C1688,1),0))*1440,0)*10000+ROW(),"")</f>
        <v/>
      </c>
    </row>
    <row r="1689">
      <c r="A1689" s="1" t="n"/>
      <c r="B1689" s="17" t="n"/>
      <c r="C1689" s="18" t="n"/>
      <c r="D1689" s="19" t="n"/>
      <c r="E1689" s="20" t="n"/>
      <c r="F1689" s="20" t="n"/>
      <c r="G1689" s="21" t="n"/>
      <c r="H1689" s="12">
        <f>IF(AND(B1689="",D1689="",F1689=""),"",IF(NOT(ISNUMBER(B1689)),"Needs a date",IF(D1689="","Needs a client",IF(COUNTIF(Clients!$B$6:$B$105,D1689)=0,"Not on Clients",IF(AND(F1689="",INT(B1689)&lt;TODAY()),"Needs a status","")))))</f>
        <v/>
      </c>
      <c r="I1689" s="1">
        <f>IF(ISNUMBER(B1689),INT(B1689),0)</f>
        <v/>
      </c>
      <c r="J1689">
        <f>IF(ISNUMBER(B1689),YEAR(B1689)*100+MONTH(B1689),"")</f>
        <v/>
      </c>
      <c r="K1689">
        <f>IF(AND(H1689="",OR(F1689="Attended",F1689="No-show",AND(F1689="Late cancel",Settings!$C$9="Yes"))),1,0)</f>
        <v/>
      </c>
      <c r="L1689">
        <f>IF(AND(H1689="",F1689="Attended"),1,0)</f>
        <v/>
      </c>
      <c r="M1689">
        <f>IF(AND(H1689="",OR(F1689="No-show",F1689="Late cancel")),1,0)</f>
        <v/>
      </c>
      <c r="N1689">
        <f>IF(AND(H1689="",F1689="",D1689&lt;&gt;"",I1689&gt;=TODAY()),ROUND((I1689+IF(ISNUMBER(C1689),MOD(C1689,1),0))*1440,0)*10000+ROW(),"")</f>
        <v/>
      </c>
    </row>
    <row r="1690">
      <c r="A1690" s="1" t="n"/>
      <c r="B1690" s="17" t="n"/>
      <c r="C1690" s="18" t="n"/>
      <c r="D1690" s="19" t="n"/>
      <c r="E1690" s="20" t="n"/>
      <c r="F1690" s="20" t="n"/>
      <c r="G1690" s="21" t="n"/>
      <c r="H1690" s="12">
        <f>IF(AND(B1690="",D1690="",F1690=""),"",IF(NOT(ISNUMBER(B1690)),"Needs a date",IF(D1690="","Needs a client",IF(COUNTIF(Clients!$B$6:$B$105,D1690)=0,"Not on Clients",IF(AND(F1690="",INT(B1690)&lt;TODAY()),"Needs a status","")))))</f>
        <v/>
      </c>
      <c r="I1690" s="1">
        <f>IF(ISNUMBER(B1690),INT(B1690),0)</f>
        <v/>
      </c>
      <c r="J1690">
        <f>IF(ISNUMBER(B1690),YEAR(B1690)*100+MONTH(B1690),"")</f>
        <v/>
      </c>
      <c r="K1690">
        <f>IF(AND(H1690="",OR(F1690="Attended",F1690="No-show",AND(F1690="Late cancel",Settings!$C$9="Yes"))),1,0)</f>
        <v/>
      </c>
      <c r="L1690">
        <f>IF(AND(H1690="",F1690="Attended"),1,0)</f>
        <v/>
      </c>
      <c r="M1690">
        <f>IF(AND(H1690="",OR(F1690="No-show",F1690="Late cancel")),1,0)</f>
        <v/>
      </c>
      <c r="N1690">
        <f>IF(AND(H1690="",F1690="",D1690&lt;&gt;"",I1690&gt;=TODAY()),ROUND((I1690+IF(ISNUMBER(C1690),MOD(C1690,1),0))*1440,0)*10000+ROW(),"")</f>
        <v/>
      </c>
    </row>
    <row r="1691">
      <c r="A1691" s="1" t="n"/>
      <c r="B1691" s="17" t="n"/>
      <c r="C1691" s="18" t="n"/>
      <c r="D1691" s="19" t="n"/>
      <c r="E1691" s="20" t="n"/>
      <c r="F1691" s="20" t="n"/>
      <c r="G1691" s="21" t="n"/>
      <c r="H1691" s="12">
        <f>IF(AND(B1691="",D1691="",F1691=""),"",IF(NOT(ISNUMBER(B1691)),"Needs a date",IF(D1691="","Needs a client",IF(COUNTIF(Clients!$B$6:$B$105,D1691)=0,"Not on Clients",IF(AND(F1691="",INT(B1691)&lt;TODAY()),"Needs a status","")))))</f>
        <v/>
      </c>
      <c r="I1691" s="1">
        <f>IF(ISNUMBER(B1691),INT(B1691),0)</f>
        <v/>
      </c>
      <c r="J1691">
        <f>IF(ISNUMBER(B1691),YEAR(B1691)*100+MONTH(B1691),"")</f>
        <v/>
      </c>
      <c r="K1691">
        <f>IF(AND(H1691="",OR(F1691="Attended",F1691="No-show",AND(F1691="Late cancel",Settings!$C$9="Yes"))),1,0)</f>
        <v/>
      </c>
      <c r="L1691">
        <f>IF(AND(H1691="",F1691="Attended"),1,0)</f>
        <v/>
      </c>
      <c r="M1691">
        <f>IF(AND(H1691="",OR(F1691="No-show",F1691="Late cancel")),1,0)</f>
        <v/>
      </c>
      <c r="N1691">
        <f>IF(AND(H1691="",F1691="",D1691&lt;&gt;"",I1691&gt;=TODAY()),ROUND((I1691+IF(ISNUMBER(C1691),MOD(C1691,1),0))*1440,0)*10000+ROW(),"")</f>
        <v/>
      </c>
    </row>
    <row r="1692">
      <c r="A1692" s="1" t="n"/>
      <c r="B1692" s="17" t="n"/>
      <c r="C1692" s="18" t="n"/>
      <c r="D1692" s="19" t="n"/>
      <c r="E1692" s="20" t="n"/>
      <c r="F1692" s="20" t="n"/>
      <c r="G1692" s="21" t="n"/>
      <c r="H1692" s="12">
        <f>IF(AND(B1692="",D1692="",F1692=""),"",IF(NOT(ISNUMBER(B1692)),"Needs a date",IF(D1692="","Needs a client",IF(COUNTIF(Clients!$B$6:$B$105,D1692)=0,"Not on Clients",IF(AND(F1692="",INT(B1692)&lt;TODAY()),"Needs a status","")))))</f>
        <v/>
      </c>
      <c r="I1692" s="1">
        <f>IF(ISNUMBER(B1692),INT(B1692),0)</f>
        <v/>
      </c>
      <c r="J1692">
        <f>IF(ISNUMBER(B1692),YEAR(B1692)*100+MONTH(B1692),"")</f>
        <v/>
      </c>
      <c r="K1692">
        <f>IF(AND(H1692="",OR(F1692="Attended",F1692="No-show",AND(F1692="Late cancel",Settings!$C$9="Yes"))),1,0)</f>
        <v/>
      </c>
      <c r="L1692">
        <f>IF(AND(H1692="",F1692="Attended"),1,0)</f>
        <v/>
      </c>
      <c r="M1692">
        <f>IF(AND(H1692="",OR(F1692="No-show",F1692="Late cancel")),1,0)</f>
        <v/>
      </c>
      <c r="N1692">
        <f>IF(AND(H1692="",F1692="",D1692&lt;&gt;"",I1692&gt;=TODAY()),ROUND((I1692+IF(ISNUMBER(C1692),MOD(C1692,1),0))*1440,0)*10000+ROW(),"")</f>
        <v/>
      </c>
    </row>
    <row r="1693">
      <c r="A1693" s="1" t="n"/>
      <c r="B1693" s="17" t="n"/>
      <c r="C1693" s="18" t="n"/>
      <c r="D1693" s="19" t="n"/>
      <c r="E1693" s="20" t="n"/>
      <c r="F1693" s="20" t="n"/>
      <c r="G1693" s="21" t="n"/>
      <c r="H1693" s="12">
        <f>IF(AND(B1693="",D1693="",F1693=""),"",IF(NOT(ISNUMBER(B1693)),"Needs a date",IF(D1693="","Needs a client",IF(COUNTIF(Clients!$B$6:$B$105,D1693)=0,"Not on Clients",IF(AND(F1693="",INT(B1693)&lt;TODAY()),"Needs a status","")))))</f>
        <v/>
      </c>
      <c r="I1693" s="1">
        <f>IF(ISNUMBER(B1693),INT(B1693),0)</f>
        <v/>
      </c>
      <c r="J1693">
        <f>IF(ISNUMBER(B1693),YEAR(B1693)*100+MONTH(B1693),"")</f>
        <v/>
      </c>
      <c r="K1693">
        <f>IF(AND(H1693="",OR(F1693="Attended",F1693="No-show",AND(F1693="Late cancel",Settings!$C$9="Yes"))),1,0)</f>
        <v/>
      </c>
      <c r="L1693">
        <f>IF(AND(H1693="",F1693="Attended"),1,0)</f>
        <v/>
      </c>
      <c r="M1693">
        <f>IF(AND(H1693="",OR(F1693="No-show",F1693="Late cancel")),1,0)</f>
        <v/>
      </c>
      <c r="N1693">
        <f>IF(AND(H1693="",F1693="",D1693&lt;&gt;"",I1693&gt;=TODAY()),ROUND((I1693+IF(ISNUMBER(C1693),MOD(C1693,1),0))*1440,0)*10000+ROW(),"")</f>
        <v/>
      </c>
    </row>
    <row r="1694">
      <c r="A1694" s="1" t="n"/>
      <c r="B1694" s="17" t="n"/>
      <c r="C1694" s="18" t="n"/>
      <c r="D1694" s="19" t="n"/>
      <c r="E1694" s="20" t="n"/>
      <c r="F1694" s="20" t="n"/>
      <c r="G1694" s="21" t="n"/>
      <c r="H1694" s="12">
        <f>IF(AND(B1694="",D1694="",F1694=""),"",IF(NOT(ISNUMBER(B1694)),"Needs a date",IF(D1694="","Needs a client",IF(COUNTIF(Clients!$B$6:$B$105,D1694)=0,"Not on Clients",IF(AND(F1694="",INT(B1694)&lt;TODAY()),"Needs a status","")))))</f>
        <v/>
      </c>
      <c r="I1694" s="1">
        <f>IF(ISNUMBER(B1694),INT(B1694),0)</f>
        <v/>
      </c>
      <c r="J1694">
        <f>IF(ISNUMBER(B1694),YEAR(B1694)*100+MONTH(B1694),"")</f>
        <v/>
      </c>
      <c r="K1694">
        <f>IF(AND(H1694="",OR(F1694="Attended",F1694="No-show",AND(F1694="Late cancel",Settings!$C$9="Yes"))),1,0)</f>
        <v/>
      </c>
      <c r="L1694">
        <f>IF(AND(H1694="",F1694="Attended"),1,0)</f>
        <v/>
      </c>
      <c r="M1694">
        <f>IF(AND(H1694="",OR(F1694="No-show",F1694="Late cancel")),1,0)</f>
        <v/>
      </c>
      <c r="N1694">
        <f>IF(AND(H1694="",F1694="",D1694&lt;&gt;"",I1694&gt;=TODAY()),ROUND((I1694+IF(ISNUMBER(C1694),MOD(C1694,1),0))*1440,0)*10000+ROW(),"")</f>
        <v/>
      </c>
    </row>
    <row r="1695">
      <c r="A1695" s="1" t="n"/>
      <c r="B1695" s="17" t="n"/>
      <c r="C1695" s="18" t="n"/>
      <c r="D1695" s="19" t="n"/>
      <c r="E1695" s="20" t="n"/>
      <c r="F1695" s="20" t="n"/>
      <c r="G1695" s="21" t="n"/>
      <c r="H1695" s="12">
        <f>IF(AND(B1695="",D1695="",F1695=""),"",IF(NOT(ISNUMBER(B1695)),"Needs a date",IF(D1695="","Needs a client",IF(COUNTIF(Clients!$B$6:$B$105,D1695)=0,"Not on Clients",IF(AND(F1695="",INT(B1695)&lt;TODAY()),"Needs a status","")))))</f>
        <v/>
      </c>
      <c r="I1695" s="1">
        <f>IF(ISNUMBER(B1695),INT(B1695),0)</f>
        <v/>
      </c>
      <c r="J1695">
        <f>IF(ISNUMBER(B1695),YEAR(B1695)*100+MONTH(B1695),"")</f>
        <v/>
      </c>
      <c r="K1695">
        <f>IF(AND(H1695="",OR(F1695="Attended",F1695="No-show",AND(F1695="Late cancel",Settings!$C$9="Yes"))),1,0)</f>
        <v/>
      </c>
      <c r="L1695">
        <f>IF(AND(H1695="",F1695="Attended"),1,0)</f>
        <v/>
      </c>
      <c r="M1695">
        <f>IF(AND(H1695="",OR(F1695="No-show",F1695="Late cancel")),1,0)</f>
        <v/>
      </c>
      <c r="N1695">
        <f>IF(AND(H1695="",F1695="",D1695&lt;&gt;"",I1695&gt;=TODAY()),ROUND((I1695+IF(ISNUMBER(C1695),MOD(C1695,1),0))*1440,0)*10000+ROW(),"")</f>
        <v/>
      </c>
    </row>
    <row r="1696">
      <c r="A1696" s="1" t="n"/>
      <c r="B1696" s="17" t="n"/>
      <c r="C1696" s="18" t="n"/>
      <c r="D1696" s="19" t="n"/>
      <c r="E1696" s="20" t="n"/>
      <c r="F1696" s="20" t="n"/>
      <c r="G1696" s="21" t="n"/>
      <c r="H1696" s="12">
        <f>IF(AND(B1696="",D1696="",F1696=""),"",IF(NOT(ISNUMBER(B1696)),"Needs a date",IF(D1696="","Needs a client",IF(COUNTIF(Clients!$B$6:$B$105,D1696)=0,"Not on Clients",IF(AND(F1696="",INT(B1696)&lt;TODAY()),"Needs a status","")))))</f>
        <v/>
      </c>
      <c r="I1696" s="1">
        <f>IF(ISNUMBER(B1696),INT(B1696),0)</f>
        <v/>
      </c>
      <c r="J1696">
        <f>IF(ISNUMBER(B1696),YEAR(B1696)*100+MONTH(B1696),"")</f>
        <v/>
      </c>
      <c r="K1696">
        <f>IF(AND(H1696="",OR(F1696="Attended",F1696="No-show",AND(F1696="Late cancel",Settings!$C$9="Yes"))),1,0)</f>
        <v/>
      </c>
      <c r="L1696">
        <f>IF(AND(H1696="",F1696="Attended"),1,0)</f>
        <v/>
      </c>
      <c r="M1696">
        <f>IF(AND(H1696="",OR(F1696="No-show",F1696="Late cancel")),1,0)</f>
        <v/>
      </c>
      <c r="N1696">
        <f>IF(AND(H1696="",F1696="",D1696&lt;&gt;"",I1696&gt;=TODAY()),ROUND((I1696+IF(ISNUMBER(C1696),MOD(C1696,1),0))*1440,0)*10000+ROW(),"")</f>
        <v/>
      </c>
    </row>
    <row r="1697">
      <c r="A1697" s="1" t="n"/>
      <c r="B1697" s="17" t="n"/>
      <c r="C1697" s="18" t="n"/>
      <c r="D1697" s="19" t="n"/>
      <c r="E1697" s="20" t="n"/>
      <c r="F1697" s="20" t="n"/>
      <c r="G1697" s="21" t="n"/>
      <c r="H1697" s="12">
        <f>IF(AND(B1697="",D1697="",F1697=""),"",IF(NOT(ISNUMBER(B1697)),"Needs a date",IF(D1697="","Needs a client",IF(COUNTIF(Clients!$B$6:$B$105,D1697)=0,"Not on Clients",IF(AND(F1697="",INT(B1697)&lt;TODAY()),"Needs a status","")))))</f>
        <v/>
      </c>
      <c r="I1697" s="1">
        <f>IF(ISNUMBER(B1697),INT(B1697),0)</f>
        <v/>
      </c>
      <c r="J1697">
        <f>IF(ISNUMBER(B1697),YEAR(B1697)*100+MONTH(B1697),"")</f>
        <v/>
      </c>
      <c r="K1697">
        <f>IF(AND(H1697="",OR(F1697="Attended",F1697="No-show",AND(F1697="Late cancel",Settings!$C$9="Yes"))),1,0)</f>
        <v/>
      </c>
      <c r="L1697">
        <f>IF(AND(H1697="",F1697="Attended"),1,0)</f>
        <v/>
      </c>
      <c r="M1697">
        <f>IF(AND(H1697="",OR(F1697="No-show",F1697="Late cancel")),1,0)</f>
        <v/>
      </c>
      <c r="N1697">
        <f>IF(AND(H1697="",F1697="",D1697&lt;&gt;"",I1697&gt;=TODAY()),ROUND((I1697+IF(ISNUMBER(C1697),MOD(C1697,1),0))*1440,0)*10000+ROW(),"")</f>
        <v/>
      </c>
    </row>
    <row r="1698">
      <c r="A1698" s="1" t="n"/>
      <c r="B1698" s="17" t="n"/>
      <c r="C1698" s="18" t="n"/>
      <c r="D1698" s="19" t="n"/>
      <c r="E1698" s="20" t="n"/>
      <c r="F1698" s="20" t="n"/>
      <c r="G1698" s="21" t="n"/>
      <c r="H1698" s="12">
        <f>IF(AND(B1698="",D1698="",F1698=""),"",IF(NOT(ISNUMBER(B1698)),"Needs a date",IF(D1698="","Needs a client",IF(COUNTIF(Clients!$B$6:$B$105,D1698)=0,"Not on Clients",IF(AND(F1698="",INT(B1698)&lt;TODAY()),"Needs a status","")))))</f>
        <v/>
      </c>
      <c r="I1698" s="1">
        <f>IF(ISNUMBER(B1698),INT(B1698),0)</f>
        <v/>
      </c>
      <c r="J1698">
        <f>IF(ISNUMBER(B1698),YEAR(B1698)*100+MONTH(B1698),"")</f>
        <v/>
      </c>
      <c r="K1698">
        <f>IF(AND(H1698="",OR(F1698="Attended",F1698="No-show",AND(F1698="Late cancel",Settings!$C$9="Yes"))),1,0)</f>
        <v/>
      </c>
      <c r="L1698">
        <f>IF(AND(H1698="",F1698="Attended"),1,0)</f>
        <v/>
      </c>
      <c r="M1698">
        <f>IF(AND(H1698="",OR(F1698="No-show",F1698="Late cancel")),1,0)</f>
        <v/>
      </c>
      <c r="N1698">
        <f>IF(AND(H1698="",F1698="",D1698&lt;&gt;"",I1698&gt;=TODAY()),ROUND((I1698+IF(ISNUMBER(C1698),MOD(C1698,1),0))*1440,0)*10000+ROW(),"")</f>
        <v/>
      </c>
    </row>
    <row r="1699">
      <c r="A1699" s="1" t="n"/>
      <c r="B1699" s="17" t="n"/>
      <c r="C1699" s="18" t="n"/>
      <c r="D1699" s="19" t="n"/>
      <c r="E1699" s="20" t="n"/>
      <c r="F1699" s="20" t="n"/>
      <c r="G1699" s="21" t="n"/>
      <c r="H1699" s="12">
        <f>IF(AND(B1699="",D1699="",F1699=""),"",IF(NOT(ISNUMBER(B1699)),"Needs a date",IF(D1699="","Needs a client",IF(COUNTIF(Clients!$B$6:$B$105,D1699)=0,"Not on Clients",IF(AND(F1699="",INT(B1699)&lt;TODAY()),"Needs a status","")))))</f>
        <v/>
      </c>
      <c r="I1699" s="1">
        <f>IF(ISNUMBER(B1699),INT(B1699),0)</f>
        <v/>
      </c>
      <c r="J1699">
        <f>IF(ISNUMBER(B1699),YEAR(B1699)*100+MONTH(B1699),"")</f>
        <v/>
      </c>
      <c r="K1699">
        <f>IF(AND(H1699="",OR(F1699="Attended",F1699="No-show",AND(F1699="Late cancel",Settings!$C$9="Yes"))),1,0)</f>
        <v/>
      </c>
      <c r="L1699">
        <f>IF(AND(H1699="",F1699="Attended"),1,0)</f>
        <v/>
      </c>
      <c r="M1699">
        <f>IF(AND(H1699="",OR(F1699="No-show",F1699="Late cancel")),1,0)</f>
        <v/>
      </c>
      <c r="N1699">
        <f>IF(AND(H1699="",F1699="",D1699&lt;&gt;"",I1699&gt;=TODAY()),ROUND((I1699+IF(ISNUMBER(C1699),MOD(C1699,1),0))*1440,0)*10000+ROW(),"")</f>
        <v/>
      </c>
    </row>
    <row r="1700">
      <c r="A1700" s="1" t="n"/>
      <c r="B1700" s="17" t="n"/>
      <c r="C1700" s="18" t="n"/>
      <c r="D1700" s="19" t="n"/>
      <c r="E1700" s="20" t="n"/>
      <c r="F1700" s="20" t="n"/>
      <c r="G1700" s="21" t="n"/>
      <c r="H1700" s="12">
        <f>IF(AND(B1700="",D1700="",F1700=""),"",IF(NOT(ISNUMBER(B1700)),"Needs a date",IF(D1700="","Needs a client",IF(COUNTIF(Clients!$B$6:$B$105,D1700)=0,"Not on Clients",IF(AND(F1700="",INT(B1700)&lt;TODAY()),"Needs a status","")))))</f>
        <v/>
      </c>
      <c r="I1700" s="1">
        <f>IF(ISNUMBER(B1700),INT(B1700),0)</f>
        <v/>
      </c>
      <c r="J1700">
        <f>IF(ISNUMBER(B1700),YEAR(B1700)*100+MONTH(B1700),"")</f>
        <v/>
      </c>
      <c r="K1700">
        <f>IF(AND(H1700="",OR(F1700="Attended",F1700="No-show",AND(F1700="Late cancel",Settings!$C$9="Yes"))),1,0)</f>
        <v/>
      </c>
      <c r="L1700">
        <f>IF(AND(H1700="",F1700="Attended"),1,0)</f>
        <v/>
      </c>
      <c r="M1700">
        <f>IF(AND(H1700="",OR(F1700="No-show",F1700="Late cancel")),1,0)</f>
        <v/>
      </c>
      <c r="N1700">
        <f>IF(AND(H1700="",F1700="",D1700&lt;&gt;"",I1700&gt;=TODAY()),ROUND((I1700+IF(ISNUMBER(C1700),MOD(C1700,1),0))*1440,0)*10000+ROW(),"")</f>
        <v/>
      </c>
    </row>
    <row r="1701">
      <c r="A1701" s="1" t="n"/>
      <c r="B1701" s="17" t="n"/>
      <c r="C1701" s="18" t="n"/>
      <c r="D1701" s="19" t="n"/>
      <c r="E1701" s="20" t="n"/>
      <c r="F1701" s="20" t="n"/>
      <c r="G1701" s="21" t="n"/>
      <c r="H1701" s="12">
        <f>IF(AND(B1701="",D1701="",F1701=""),"",IF(NOT(ISNUMBER(B1701)),"Needs a date",IF(D1701="","Needs a client",IF(COUNTIF(Clients!$B$6:$B$105,D1701)=0,"Not on Clients",IF(AND(F1701="",INT(B1701)&lt;TODAY()),"Needs a status","")))))</f>
        <v/>
      </c>
      <c r="I1701" s="1">
        <f>IF(ISNUMBER(B1701),INT(B1701),0)</f>
        <v/>
      </c>
      <c r="J1701">
        <f>IF(ISNUMBER(B1701),YEAR(B1701)*100+MONTH(B1701),"")</f>
        <v/>
      </c>
      <c r="K1701">
        <f>IF(AND(H1701="",OR(F1701="Attended",F1701="No-show",AND(F1701="Late cancel",Settings!$C$9="Yes"))),1,0)</f>
        <v/>
      </c>
      <c r="L1701">
        <f>IF(AND(H1701="",F1701="Attended"),1,0)</f>
        <v/>
      </c>
      <c r="M1701">
        <f>IF(AND(H1701="",OR(F1701="No-show",F1701="Late cancel")),1,0)</f>
        <v/>
      </c>
      <c r="N1701">
        <f>IF(AND(H1701="",F1701="",D1701&lt;&gt;"",I1701&gt;=TODAY()),ROUND((I1701+IF(ISNUMBER(C1701),MOD(C1701,1),0))*1440,0)*10000+ROW(),"")</f>
        <v/>
      </c>
    </row>
    <row r="1702">
      <c r="A1702" s="1" t="n"/>
      <c r="B1702" s="17" t="n"/>
      <c r="C1702" s="18" t="n"/>
      <c r="D1702" s="19" t="n"/>
      <c r="E1702" s="20" t="n"/>
      <c r="F1702" s="20" t="n"/>
      <c r="G1702" s="21" t="n"/>
      <c r="H1702" s="12">
        <f>IF(AND(B1702="",D1702="",F1702=""),"",IF(NOT(ISNUMBER(B1702)),"Needs a date",IF(D1702="","Needs a client",IF(COUNTIF(Clients!$B$6:$B$105,D1702)=0,"Not on Clients",IF(AND(F1702="",INT(B1702)&lt;TODAY()),"Needs a status","")))))</f>
        <v/>
      </c>
      <c r="I1702" s="1">
        <f>IF(ISNUMBER(B1702),INT(B1702),0)</f>
        <v/>
      </c>
      <c r="J1702">
        <f>IF(ISNUMBER(B1702),YEAR(B1702)*100+MONTH(B1702),"")</f>
        <v/>
      </c>
      <c r="K1702">
        <f>IF(AND(H1702="",OR(F1702="Attended",F1702="No-show",AND(F1702="Late cancel",Settings!$C$9="Yes"))),1,0)</f>
        <v/>
      </c>
      <c r="L1702">
        <f>IF(AND(H1702="",F1702="Attended"),1,0)</f>
        <v/>
      </c>
      <c r="M1702">
        <f>IF(AND(H1702="",OR(F1702="No-show",F1702="Late cancel")),1,0)</f>
        <v/>
      </c>
      <c r="N1702">
        <f>IF(AND(H1702="",F1702="",D1702&lt;&gt;"",I1702&gt;=TODAY()),ROUND((I1702+IF(ISNUMBER(C1702),MOD(C1702,1),0))*1440,0)*10000+ROW(),"")</f>
        <v/>
      </c>
    </row>
    <row r="1703">
      <c r="A1703" s="1" t="n"/>
      <c r="B1703" s="17" t="n"/>
      <c r="C1703" s="18" t="n"/>
      <c r="D1703" s="19" t="n"/>
      <c r="E1703" s="20" t="n"/>
      <c r="F1703" s="20" t="n"/>
      <c r="G1703" s="21" t="n"/>
      <c r="H1703" s="12">
        <f>IF(AND(B1703="",D1703="",F1703=""),"",IF(NOT(ISNUMBER(B1703)),"Needs a date",IF(D1703="","Needs a client",IF(COUNTIF(Clients!$B$6:$B$105,D1703)=0,"Not on Clients",IF(AND(F1703="",INT(B1703)&lt;TODAY()),"Needs a status","")))))</f>
        <v/>
      </c>
      <c r="I1703" s="1">
        <f>IF(ISNUMBER(B1703),INT(B1703),0)</f>
        <v/>
      </c>
      <c r="J1703">
        <f>IF(ISNUMBER(B1703),YEAR(B1703)*100+MONTH(B1703),"")</f>
        <v/>
      </c>
      <c r="K1703">
        <f>IF(AND(H1703="",OR(F1703="Attended",F1703="No-show",AND(F1703="Late cancel",Settings!$C$9="Yes"))),1,0)</f>
        <v/>
      </c>
      <c r="L1703">
        <f>IF(AND(H1703="",F1703="Attended"),1,0)</f>
        <v/>
      </c>
      <c r="M1703">
        <f>IF(AND(H1703="",OR(F1703="No-show",F1703="Late cancel")),1,0)</f>
        <v/>
      </c>
      <c r="N1703">
        <f>IF(AND(H1703="",F1703="",D1703&lt;&gt;"",I1703&gt;=TODAY()),ROUND((I1703+IF(ISNUMBER(C1703),MOD(C1703,1),0))*1440,0)*10000+ROW(),"")</f>
        <v/>
      </c>
    </row>
    <row r="1704">
      <c r="A1704" s="1" t="n"/>
      <c r="B1704" s="17" t="n"/>
      <c r="C1704" s="18" t="n"/>
      <c r="D1704" s="19" t="n"/>
      <c r="E1704" s="20" t="n"/>
      <c r="F1704" s="20" t="n"/>
      <c r="G1704" s="21" t="n"/>
      <c r="H1704" s="12">
        <f>IF(AND(B1704="",D1704="",F1704=""),"",IF(NOT(ISNUMBER(B1704)),"Needs a date",IF(D1704="","Needs a client",IF(COUNTIF(Clients!$B$6:$B$105,D1704)=0,"Not on Clients",IF(AND(F1704="",INT(B1704)&lt;TODAY()),"Needs a status","")))))</f>
        <v/>
      </c>
      <c r="I1704" s="1">
        <f>IF(ISNUMBER(B1704),INT(B1704),0)</f>
        <v/>
      </c>
      <c r="J1704">
        <f>IF(ISNUMBER(B1704),YEAR(B1704)*100+MONTH(B1704),"")</f>
        <v/>
      </c>
      <c r="K1704">
        <f>IF(AND(H1704="",OR(F1704="Attended",F1704="No-show",AND(F1704="Late cancel",Settings!$C$9="Yes"))),1,0)</f>
        <v/>
      </c>
      <c r="L1704">
        <f>IF(AND(H1704="",F1704="Attended"),1,0)</f>
        <v/>
      </c>
      <c r="M1704">
        <f>IF(AND(H1704="",OR(F1704="No-show",F1704="Late cancel")),1,0)</f>
        <v/>
      </c>
      <c r="N1704">
        <f>IF(AND(H1704="",F1704="",D1704&lt;&gt;"",I1704&gt;=TODAY()),ROUND((I1704+IF(ISNUMBER(C1704),MOD(C1704,1),0))*1440,0)*10000+ROW(),"")</f>
        <v/>
      </c>
    </row>
    <row r="1705">
      <c r="A1705" s="1" t="n"/>
      <c r="B1705" s="17" t="n"/>
      <c r="C1705" s="18" t="n"/>
      <c r="D1705" s="19" t="n"/>
      <c r="E1705" s="20" t="n"/>
      <c r="F1705" s="20" t="n"/>
      <c r="G1705" s="21" t="n"/>
      <c r="H1705" s="12">
        <f>IF(AND(B1705="",D1705="",F1705=""),"",IF(NOT(ISNUMBER(B1705)),"Needs a date",IF(D1705="","Needs a client",IF(COUNTIF(Clients!$B$6:$B$105,D1705)=0,"Not on Clients",IF(AND(F1705="",INT(B1705)&lt;TODAY()),"Needs a status","")))))</f>
        <v/>
      </c>
      <c r="I1705" s="1">
        <f>IF(ISNUMBER(B1705),INT(B1705),0)</f>
        <v/>
      </c>
      <c r="J1705">
        <f>IF(ISNUMBER(B1705),YEAR(B1705)*100+MONTH(B1705),"")</f>
        <v/>
      </c>
      <c r="K1705">
        <f>IF(AND(H1705="",OR(F1705="Attended",F1705="No-show",AND(F1705="Late cancel",Settings!$C$9="Yes"))),1,0)</f>
        <v/>
      </c>
      <c r="L1705">
        <f>IF(AND(H1705="",F1705="Attended"),1,0)</f>
        <v/>
      </c>
      <c r="M1705">
        <f>IF(AND(H1705="",OR(F1705="No-show",F1705="Late cancel")),1,0)</f>
        <v/>
      </c>
      <c r="N1705">
        <f>IF(AND(H1705="",F1705="",D1705&lt;&gt;"",I1705&gt;=TODAY()),ROUND((I1705+IF(ISNUMBER(C1705),MOD(C1705,1),0))*1440,0)*10000+ROW(),"")</f>
        <v/>
      </c>
    </row>
    <row r="1706">
      <c r="A1706" s="1" t="n"/>
      <c r="B1706" s="17" t="n"/>
      <c r="C1706" s="18" t="n"/>
      <c r="D1706" s="19" t="n"/>
      <c r="E1706" s="20" t="n"/>
      <c r="F1706" s="20" t="n"/>
      <c r="G1706" s="21" t="n"/>
      <c r="H1706" s="12">
        <f>IF(AND(B1706="",D1706="",F1706=""),"",IF(NOT(ISNUMBER(B1706)),"Needs a date",IF(D1706="","Needs a client",IF(COUNTIF(Clients!$B$6:$B$105,D1706)=0,"Not on Clients",IF(AND(F1706="",INT(B1706)&lt;TODAY()),"Needs a status","")))))</f>
        <v/>
      </c>
      <c r="I1706" s="1">
        <f>IF(ISNUMBER(B1706),INT(B1706),0)</f>
        <v/>
      </c>
      <c r="J1706">
        <f>IF(ISNUMBER(B1706),YEAR(B1706)*100+MONTH(B1706),"")</f>
        <v/>
      </c>
      <c r="K1706">
        <f>IF(AND(H1706="",OR(F1706="Attended",F1706="No-show",AND(F1706="Late cancel",Settings!$C$9="Yes"))),1,0)</f>
        <v/>
      </c>
      <c r="L1706">
        <f>IF(AND(H1706="",F1706="Attended"),1,0)</f>
        <v/>
      </c>
      <c r="M1706">
        <f>IF(AND(H1706="",OR(F1706="No-show",F1706="Late cancel")),1,0)</f>
        <v/>
      </c>
      <c r="N1706">
        <f>IF(AND(H1706="",F1706="",D1706&lt;&gt;"",I1706&gt;=TODAY()),ROUND((I1706+IF(ISNUMBER(C1706),MOD(C1706,1),0))*1440,0)*10000+ROW(),"")</f>
        <v/>
      </c>
    </row>
    <row r="1707">
      <c r="A1707" s="1" t="n"/>
      <c r="B1707" s="17" t="n"/>
      <c r="C1707" s="18" t="n"/>
      <c r="D1707" s="19" t="n"/>
      <c r="E1707" s="20" t="n"/>
      <c r="F1707" s="20" t="n"/>
      <c r="G1707" s="21" t="n"/>
      <c r="H1707" s="12">
        <f>IF(AND(B1707="",D1707="",F1707=""),"",IF(NOT(ISNUMBER(B1707)),"Needs a date",IF(D1707="","Needs a client",IF(COUNTIF(Clients!$B$6:$B$105,D1707)=0,"Not on Clients",IF(AND(F1707="",INT(B1707)&lt;TODAY()),"Needs a status","")))))</f>
        <v/>
      </c>
      <c r="I1707" s="1">
        <f>IF(ISNUMBER(B1707),INT(B1707),0)</f>
        <v/>
      </c>
      <c r="J1707">
        <f>IF(ISNUMBER(B1707),YEAR(B1707)*100+MONTH(B1707),"")</f>
        <v/>
      </c>
      <c r="K1707">
        <f>IF(AND(H1707="",OR(F1707="Attended",F1707="No-show",AND(F1707="Late cancel",Settings!$C$9="Yes"))),1,0)</f>
        <v/>
      </c>
      <c r="L1707">
        <f>IF(AND(H1707="",F1707="Attended"),1,0)</f>
        <v/>
      </c>
      <c r="M1707">
        <f>IF(AND(H1707="",OR(F1707="No-show",F1707="Late cancel")),1,0)</f>
        <v/>
      </c>
      <c r="N1707">
        <f>IF(AND(H1707="",F1707="",D1707&lt;&gt;"",I1707&gt;=TODAY()),ROUND((I1707+IF(ISNUMBER(C1707),MOD(C1707,1),0))*1440,0)*10000+ROW(),"")</f>
        <v/>
      </c>
    </row>
    <row r="1708">
      <c r="A1708" s="1" t="n"/>
      <c r="B1708" s="17" t="n"/>
      <c r="C1708" s="18" t="n"/>
      <c r="D1708" s="19" t="n"/>
      <c r="E1708" s="20" t="n"/>
      <c r="F1708" s="20" t="n"/>
      <c r="G1708" s="21" t="n"/>
      <c r="H1708" s="12">
        <f>IF(AND(B1708="",D1708="",F1708=""),"",IF(NOT(ISNUMBER(B1708)),"Needs a date",IF(D1708="","Needs a client",IF(COUNTIF(Clients!$B$6:$B$105,D1708)=0,"Not on Clients",IF(AND(F1708="",INT(B1708)&lt;TODAY()),"Needs a status","")))))</f>
        <v/>
      </c>
      <c r="I1708" s="1">
        <f>IF(ISNUMBER(B1708),INT(B1708),0)</f>
        <v/>
      </c>
      <c r="J1708">
        <f>IF(ISNUMBER(B1708),YEAR(B1708)*100+MONTH(B1708),"")</f>
        <v/>
      </c>
      <c r="K1708">
        <f>IF(AND(H1708="",OR(F1708="Attended",F1708="No-show",AND(F1708="Late cancel",Settings!$C$9="Yes"))),1,0)</f>
        <v/>
      </c>
      <c r="L1708">
        <f>IF(AND(H1708="",F1708="Attended"),1,0)</f>
        <v/>
      </c>
      <c r="M1708">
        <f>IF(AND(H1708="",OR(F1708="No-show",F1708="Late cancel")),1,0)</f>
        <v/>
      </c>
      <c r="N1708">
        <f>IF(AND(H1708="",F1708="",D1708&lt;&gt;"",I1708&gt;=TODAY()),ROUND((I1708+IF(ISNUMBER(C1708),MOD(C1708,1),0))*1440,0)*10000+ROW(),"")</f>
        <v/>
      </c>
    </row>
    <row r="1709">
      <c r="A1709" s="1" t="n"/>
      <c r="B1709" s="17" t="n"/>
      <c r="C1709" s="18" t="n"/>
      <c r="D1709" s="19" t="n"/>
      <c r="E1709" s="20" t="n"/>
      <c r="F1709" s="20" t="n"/>
      <c r="G1709" s="21" t="n"/>
      <c r="H1709" s="12">
        <f>IF(AND(B1709="",D1709="",F1709=""),"",IF(NOT(ISNUMBER(B1709)),"Needs a date",IF(D1709="","Needs a client",IF(COUNTIF(Clients!$B$6:$B$105,D1709)=0,"Not on Clients",IF(AND(F1709="",INT(B1709)&lt;TODAY()),"Needs a status","")))))</f>
        <v/>
      </c>
      <c r="I1709" s="1">
        <f>IF(ISNUMBER(B1709),INT(B1709),0)</f>
        <v/>
      </c>
      <c r="J1709">
        <f>IF(ISNUMBER(B1709),YEAR(B1709)*100+MONTH(B1709),"")</f>
        <v/>
      </c>
      <c r="K1709">
        <f>IF(AND(H1709="",OR(F1709="Attended",F1709="No-show",AND(F1709="Late cancel",Settings!$C$9="Yes"))),1,0)</f>
        <v/>
      </c>
      <c r="L1709">
        <f>IF(AND(H1709="",F1709="Attended"),1,0)</f>
        <v/>
      </c>
      <c r="M1709">
        <f>IF(AND(H1709="",OR(F1709="No-show",F1709="Late cancel")),1,0)</f>
        <v/>
      </c>
      <c r="N1709">
        <f>IF(AND(H1709="",F1709="",D1709&lt;&gt;"",I1709&gt;=TODAY()),ROUND((I1709+IF(ISNUMBER(C1709),MOD(C1709,1),0))*1440,0)*10000+ROW(),"")</f>
        <v/>
      </c>
    </row>
    <row r="1710">
      <c r="A1710" s="1" t="n"/>
      <c r="B1710" s="17" t="n"/>
      <c r="C1710" s="18" t="n"/>
      <c r="D1710" s="19" t="n"/>
      <c r="E1710" s="20" t="n"/>
      <c r="F1710" s="20" t="n"/>
      <c r="G1710" s="21" t="n"/>
      <c r="H1710" s="12">
        <f>IF(AND(B1710="",D1710="",F1710=""),"",IF(NOT(ISNUMBER(B1710)),"Needs a date",IF(D1710="","Needs a client",IF(COUNTIF(Clients!$B$6:$B$105,D1710)=0,"Not on Clients",IF(AND(F1710="",INT(B1710)&lt;TODAY()),"Needs a status","")))))</f>
        <v/>
      </c>
      <c r="I1710" s="1">
        <f>IF(ISNUMBER(B1710),INT(B1710),0)</f>
        <v/>
      </c>
      <c r="J1710">
        <f>IF(ISNUMBER(B1710),YEAR(B1710)*100+MONTH(B1710),"")</f>
        <v/>
      </c>
      <c r="K1710">
        <f>IF(AND(H1710="",OR(F1710="Attended",F1710="No-show",AND(F1710="Late cancel",Settings!$C$9="Yes"))),1,0)</f>
        <v/>
      </c>
      <c r="L1710">
        <f>IF(AND(H1710="",F1710="Attended"),1,0)</f>
        <v/>
      </c>
      <c r="M1710">
        <f>IF(AND(H1710="",OR(F1710="No-show",F1710="Late cancel")),1,0)</f>
        <v/>
      </c>
      <c r="N1710">
        <f>IF(AND(H1710="",F1710="",D1710&lt;&gt;"",I1710&gt;=TODAY()),ROUND((I1710+IF(ISNUMBER(C1710),MOD(C1710,1),0))*1440,0)*10000+ROW(),"")</f>
        <v/>
      </c>
    </row>
    <row r="1711">
      <c r="A1711" s="1" t="n"/>
      <c r="B1711" s="17" t="n"/>
      <c r="C1711" s="18" t="n"/>
      <c r="D1711" s="19" t="n"/>
      <c r="E1711" s="20" t="n"/>
      <c r="F1711" s="20" t="n"/>
      <c r="G1711" s="21" t="n"/>
      <c r="H1711" s="12">
        <f>IF(AND(B1711="",D1711="",F1711=""),"",IF(NOT(ISNUMBER(B1711)),"Needs a date",IF(D1711="","Needs a client",IF(COUNTIF(Clients!$B$6:$B$105,D1711)=0,"Not on Clients",IF(AND(F1711="",INT(B1711)&lt;TODAY()),"Needs a status","")))))</f>
        <v/>
      </c>
      <c r="I1711" s="1">
        <f>IF(ISNUMBER(B1711),INT(B1711),0)</f>
        <v/>
      </c>
      <c r="J1711">
        <f>IF(ISNUMBER(B1711),YEAR(B1711)*100+MONTH(B1711),"")</f>
        <v/>
      </c>
      <c r="K1711">
        <f>IF(AND(H1711="",OR(F1711="Attended",F1711="No-show",AND(F1711="Late cancel",Settings!$C$9="Yes"))),1,0)</f>
        <v/>
      </c>
      <c r="L1711">
        <f>IF(AND(H1711="",F1711="Attended"),1,0)</f>
        <v/>
      </c>
      <c r="M1711">
        <f>IF(AND(H1711="",OR(F1711="No-show",F1711="Late cancel")),1,0)</f>
        <v/>
      </c>
      <c r="N1711">
        <f>IF(AND(H1711="",F1711="",D1711&lt;&gt;"",I1711&gt;=TODAY()),ROUND((I1711+IF(ISNUMBER(C1711),MOD(C1711,1),0))*1440,0)*10000+ROW(),"")</f>
        <v/>
      </c>
    </row>
    <row r="1712">
      <c r="A1712" s="1" t="n"/>
      <c r="B1712" s="17" t="n"/>
      <c r="C1712" s="18" t="n"/>
      <c r="D1712" s="19" t="n"/>
      <c r="E1712" s="20" t="n"/>
      <c r="F1712" s="20" t="n"/>
      <c r="G1712" s="21" t="n"/>
      <c r="H1712" s="12">
        <f>IF(AND(B1712="",D1712="",F1712=""),"",IF(NOT(ISNUMBER(B1712)),"Needs a date",IF(D1712="","Needs a client",IF(COUNTIF(Clients!$B$6:$B$105,D1712)=0,"Not on Clients",IF(AND(F1712="",INT(B1712)&lt;TODAY()),"Needs a status","")))))</f>
        <v/>
      </c>
      <c r="I1712" s="1">
        <f>IF(ISNUMBER(B1712),INT(B1712),0)</f>
        <v/>
      </c>
      <c r="J1712">
        <f>IF(ISNUMBER(B1712),YEAR(B1712)*100+MONTH(B1712),"")</f>
        <v/>
      </c>
      <c r="K1712">
        <f>IF(AND(H1712="",OR(F1712="Attended",F1712="No-show",AND(F1712="Late cancel",Settings!$C$9="Yes"))),1,0)</f>
        <v/>
      </c>
      <c r="L1712">
        <f>IF(AND(H1712="",F1712="Attended"),1,0)</f>
        <v/>
      </c>
      <c r="M1712">
        <f>IF(AND(H1712="",OR(F1712="No-show",F1712="Late cancel")),1,0)</f>
        <v/>
      </c>
      <c r="N1712">
        <f>IF(AND(H1712="",F1712="",D1712&lt;&gt;"",I1712&gt;=TODAY()),ROUND((I1712+IF(ISNUMBER(C1712),MOD(C1712,1),0))*1440,0)*10000+ROW(),"")</f>
        <v/>
      </c>
    </row>
    <row r="1713">
      <c r="A1713" s="1" t="n"/>
      <c r="B1713" s="17" t="n"/>
      <c r="C1713" s="18" t="n"/>
      <c r="D1713" s="19" t="n"/>
      <c r="E1713" s="20" t="n"/>
      <c r="F1713" s="20" t="n"/>
      <c r="G1713" s="21" t="n"/>
      <c r="H1713" s="12">
        <f>IF(AND(B1713="",D1713="",F1713=""),"",IF(NOT(ISNUMBER(B1713)),"Needs a date",IF(D1713="","Needs a client",IF(COUNTIF(Clients!$B$6:$B$105,D1713)=0,"Not on Clients",IF(AND(F1713="",INT(B1713)&lt;TODAY()),"Needs a status","")))))</f>
        <v/>
      </c>
      <c r="I1713" s="1">
        <f>IF(ISNUMBER(B1713),INT(B1713),0)</f>
        <v/>
      </c>
      <c r="J1713">
        <f>IF(ISNUMBER(B1713),YEAR(B1713)*100+MONTH(B1713),"")</f>
        <v/>
      </c>
      <c r="K1713">
        <f>IF(AND(H1713="",OR(F1713="Attended",F1713="No-show",AND(F1713="Late cancel",Settings!$C$9="Yes"))),1,0)</f>
        <v/>
      </c>
      <c r="L1713">
        <f>IF(AND(H1713="",F1713="Attended"),1,0)</f>
        <v/>
      </c>
      <c r="M1713">
        <f>IF(AND(H1713="",OR(F1713="No-show",F1713="Late cancel")),1,0)</f>
        <v/>
      </c>
      <c r="N1713">
        <f>IF(AND(H1713="",F1713="",D1713&lt;&gt;"",I1713&gt;=TODAY()),ROUND((I1713+IF(ISNUMBER(C1713),MOD(C1713,1),0))*1440,0)*10000+ROW(),"")</f>
        <v/>
      </c>
    </row>
    <row r="1714">
      <c r="A1714" s="1" t="n"/>
      <c r="B1714" s="17" t="n"/>
      <c r="C1714" s="18" t="n"/>
      <c r="D1714" s="19" t="n"/>
      <c r="E1714" s="20" t="n"/>
      <c r="F1714" s="20" t="n"/>
      <c r="G1714" s="21" t="n"/>
      <c r="H1714" s="12">
        <f>IF(AND(B1714="",D1714="",F1714=""),"",IF(NOT(ISNUMBER(B1714)),"Needs a date",IF(D1714="","Needs a client",IF(COUNTIF(Clients!$B$6:$B$105,D1714)=0,"Not on Clients",IF(AND(F1714="",INT(B1714)&lt;TODAY()),"Needs a status","")))))</f>
        <v/>
      </c>
      <c r="I1714" s="1">
        <f>IF(ISNUMBER(B1714),INT(B1714),0)</f>
        <v/>
      </c>
      <c r="J1714">
        <f>IF(ISNUMBER(B1714),YEAR(B1714)*100+MONTH(B1714),"")</f>
        <v/>
      </c>
      <c r="K1714">
        <f>IF(AND(H1714="",OR(F1714="Attended",F1714="No-show",AND(F1714="Late cancel",Settings!$C$9="Yes"))),1,0)</f>
        <v/>
      </c>
      <c r="L1714">
        <f>IF(AND(H1714="",F1714="Attended"),1,0)</f>
        <v/>
      </c>
      <c r="M1714">
        <f>IF(AND(H1714="",OR(F1714="No-show",F1714="Late cancel")),1,0)</f>
        <v/>
      </c>
      <c r="N1714">
        <f>IF(AND(H1714="",F1714="",D1714&lt;&gt;"",I1714&gt;=TODAY()),ROUND((I1714+IF(ISNUMBER(C1714),MOD(C1714,1),0))*1440,0)*10000+ROW(),"")</f>
        <v/>
      </c>
    </row>
    <row r="1715">
      <c r="A1715" s="1" t="n"/>
      <c r="B1715" s="17" t="n"/>
      <c r="C1715" s="18" t="n"/>
      <c r="D1715" s="19" t="n"/>
      <c r="E1715" s="20" t="n"/>
      <c r="F1715" s="20" t="n"/>
      <c r="G1715" s="21" t="n"/>
      <c r="H1715" s="12">
        <f>IF(AND(B1715="",D1715="",F1715=""),"",IF(NOT(ISNUMBER(B1715)),"Needs a date",IF(D1715="","Needs a client",IF(COUNTIF(Clients!$B$6:$B$105,D1715)=0,"Not on Clients",IF(AND(F1715="",INT(B1715)&lt;TODAY()),"Needs a status","")))))</f>
        <v/>
      </c>
      <c r="I1715" s="1">
        <f>IF(ISNUMBER(B1715),INT(B1715),0)</f>
        <v/>
      </c>
      <c r="J1715">
        <f>IF(ISNUMBER(B1715),YEAR(B1715)*100+MONTH(B1715),"")</f>
        <v/>
      </c>
      <c r="K1715">
        <f>IF(AND(H1715="",OR(F1715="Attended",F1715="No-show",AND(F1715="Late cancel",Settings!$C$9="Yes"))),1,0)</f>
        <v/>
      </c>
      <c r="L1715">
        <f>IF(AND(H1715="",F1715="Attended"),1,0)</f>
        <v/>
      </c>
      <c r="M1715">
        <f>IF(AND(H1715="",OR(F1715="No-show",F1715="Late cancel")),1,0)</f>
        <v/>
      </c>
      <c r="N1715">
        <f>IF(AND(H1715="",F1715="",D1715&lt;&gt;"",I1715&gt;=TODAY()),ROUND((I1715+IF(ISNUMBER(C1715),MOD(C1715,1),0))*1440,0)*10000+ROW(),"")</f>
        <v/>
      </c>
    </row>
    <row r="1716">
      <c r="A1716" s="1" t="n"/>
      <c r="B1716" s="17" t="n"/>
      <c r="C1716" s="18" t="n"/>
      <c r="D1716" s="19" t="n"/>
      <c r="E1716" s="20" t="n"/>
      <c r="F1716" s="20" t="n"/>
      <c r="G1716" s="21" t="n"/>
      <c r="H1716" s="12">
        <f>IF(AND(B1716="",D1716="",F1716=""),"",IF(NOT(ISNUMBER(B1716)),"Needs a date",IF(D1716="","Needs a client",IF(COUNTIF(Clients!$B$6:$B$105,D1716)=0,"Not on Clients",IF(AND(F1716="",INT(B1716)&lt;TODAY()),"Needs a status","")))))</f>
        <v/>
      </c>
      <c r="I1716" s="1">
        <f>IF(ISNUMBER(B1716),INT(B1716),0)</f>
        <v/>
      </c>
      <c r="J1716">
        <f>IF(ISNUMBER(B1716),YEAR(B1716)*100+MONTH(B1716),"")</f>
        <v/>
      </c>
      <c r="K1716">
        <f>IF(AND(H1716="",OR(F1716="Attended",F1716="No-show",AND(F1716="Late cancel",Settings!$C$9="Yes"))),1,0)</f>
        <v/>
      </c>
      <c r="L1716">
        <f>IF(AND(H1716="",F1716="Attended"),1,0)</f>
        <v/>
      </c>
      <c r="M1716">
        <f>IF(AND(H1716="",OR(F1716="No-show",F1716="Late cancel")),1,0)</f>
        <v/>
      </c>
      <c r="N1716">
        <f>IF(AND(H1716="",F1716="",D1716&lt;&gt;"",I1716&gt;=TODAY()),ROUND((I1716+IF(ISNUMBER(C1716),MOD(C1716,1),0))*1440,0)*10000+ROW(),"")</f>
        <v/>
      </c>
    </row>
    <row r="1717">
      <c r="A1717" s="1" t="n"/>
      <c r="B1717" s="17" t="n"/>
      <c r="C1717" s="18" t="n"/>
      <c r="D1717" s="19" t="n"/>
      <c r="E1717" s="20" t="n"/>
      <c r="F1717" s="20" t="n"/>
      <c r="G1717" s="21" t="n"/>
      <c r="H1717" s="12">
        <f>IF(AND(B1717="",D1717="",F1717=""),"",IF(NOT(ISNUMBER(B1717)),"Needs a date",IF(D1717="","Needs a client",IF(COUNTIF(Clients!$B$6:$B$105,D1717)=0,"Not on Clients",IF(AND(F1717="",INT(B1717)&lt;TODAY()),"Needs a status","")))))</f>
        <v/>
      </c>
      <c r="I1717" s="1">
        <f>IF(ISNUMBER(B1717),INT(B1717),0)</f>
        <v/>
      </c>
      <c r="J1717">
        <f>IF(ISNUMBER(B1717),YEAR(B1717)*100+MONTH(B1717),"")</f>
        <v/>
      </c>
      <c r="K1717">
        <f>IF(AND(H1717="",OR(F1717="Attended",F1717="No-show",AND(F1717="Late cancel",Settings!$C$9="Yes"))),1,0)</f>
        <v/>
      </c>
      <c r="L1717">
        <f>IF(AND(H1717="",F1717="Attended"),1,0)</f>
        <v/>
      </c>
      <c r="M1717">
        <f>IF(AND(H1717="",OR(F1717="No-show",F1717="Late cancel")),1,0)</f>
        <v/>
      </c>
      <c r="N1717">
        <f>IF(AND(H1717="",F1717="",D1717&lt;&gt;"",I1717&gt;=TODAY()),ROUND((I1717+IF(ISNUMBER(C1717),MOD(C1717,1),0))*1440,0)*10000+ROW(),"")</f>
        <v/>
      </c>
    </row>
    <row r="1718">
      <c r="A1718" s="1" t="n"/>
      <c r="B1718" s="17" t="n"/>
      <c r="C1718" s="18" t="n"/>
      <c r="D1718" s="19" t="n"/>
      <c r="E1718" s="20" t="n"/>
      <c r="F1718" s="20" t="n"/>
      <c r="G1718" s="21" t="n"/>
      <c r="H1718" s="12">
        <f>IF(AND(B1718="",D1718="",F1718=""),"",IF(NOT(ISNUMBER(B1718)),"Needs a date",IF(D1718="","Needs a client",IF(COUNTIF(Clients!$B$6:$B$105,D1718)=0,"Not on Clients",IF(AND(F1718="",INT(B1718)&lt;TODAY()),"Needs a status","")))))</f>
        <v/>
      </c>
      <c r="I1718" s="1">
        <f>IF(ISNUMBER(B1718),INT(B1718),0)</f>
        <v/>
      </c>
      <c r="J1718">
        <f>IF(ISNUMBER(B1718),YEAR(B1718)*100+MONTH(B1718),"")</f>
        <v/>
      </c>
      <c r="K1718">
        <f>IF(AND(H1718="",OR(F1718="Attended",F1718="No-show",AND(F1718="Late cancel",Settings!$C$9="Yes"))),1,0)</f>
        <v/>
      </c>
      <c r="L1718">
        <f>IF(AND(H1718="",F1718="Attended"),1,0)</f>
        <v/>
      </c>
      <c r="M1718">
        <f>IF(AND(H1718="",OR(F1718="No-show",F1718="Late cancel")),1,0)</f>
        <v/>
      </c>
      <c r="N1718">
        <f>IF(AND(H1718="",F1718="",D1718&lt;&gt;"",I1718&gt;=TODAY()),ROUND((I1718+IF(ISNUMBER(C1718),MOD(C1718,1),0))*1440,0)*10000+ROW(),"")</f>
        <v/>
      </c>
    </row>
    <row r="1719">
      <c r="A1719" s="1" t="n"/>
      <c r="B1719" s="17" t="n"/>
      <c r="C1719" s="18" t="n"/>
      <c r="D1719" s="19" t="n"/>
      <c r="E1719" s="20" t="n"/>
      <c r="F1719" s="20" t="n"/>
      <c r="G1719" s="21" t="n"/>
      <c r="H1719" s="12">
        <f>IF(AND(B1719="",D1719="",F1719=""),"",IF(NOT(ISNUMBER(B1719)),"Needs a date",IF(D1719="","Needs a client",IF(COUNTIF(Clients!$B$6:$B$105,D1719)=0,"Not on Clients",IF(AND(F1719="",INT(B1719)&lt;TODAY()),"Needs a status","")))))</f>
        <v/>
      </c>
      <c r="I1719" s="1">
        <f>IF(ISNUMBER(B1719),INT(B1719),0)</f>
        <v/>
      </c>
      <c r="J1719">
        <f>IF(ISNUMBER(B1719),YEAR(B1719)*100+MONTH(B1719),"")</f>
        <v/>
      </c>
      <c r="K1719">
        <f>IF(AND(H1719="",OR(F1719="Attended",F1719="No-show",AND(F1719="Late cancel",Settings!$C$9="Yes"))),1,0)</f>
        <v/>
      </c>
      <c r="L1719">
        <f>IF(AND(H1719="",F1719="Attended"),1,0)</f>
        <v/>
      </c>
      <c r="M1719">
        <f>IF(AND(H1719="",OR(F1719="No-show",F1719="Late cancel")),1,0)</f>
        <v/>
      </c>
      <c r="N1719">
        <f>IF(AND(H1719="",F1719="",D1719&lt;&gt;"",I1719&gt;=TODAY()),ROUND((I1719+IF(ISNUMBER(C1719),MOD(C1719,1),0))*1440,0)*10000+ROW(),"")</f>
        <v/>
      </c>
    </row>
    <row r="1720">
      <c r="A1720" s="1" t="n"/>
      <c r="B1720" s="17" t="n"/>
      <c r="C1720" s="18" t="n"/>
      <c r="D1720" s="19" t="n"/>
      <c r="E1720" s="20" t="n"/>
      <c r="F1720" s="20" t="n"/>
      <c r="G1720" s="21" t="n"/>
      <c r="H1720" s="12">
        <f>IF(AND(B1720="",D1720="",F1720=""),"",IF(NOT(ISNUMBER(B1720)),"Needs a date",IF(D1720="","Needs a client",IF(COUNTIF(Clients!$B$6:$B$105,D1720)=0,"Not on Clients",IF(AND(F1720="",INT(B1720)&lt;TODAY()),"Needs a status","")))))</f>
        <v/>
      </c>
      <c r="I1720" s="1">
        <f>IF(ISNUMBER(B1720),INT(B1720),0)</f>
        <v/>
      </c>
      <c r="J1720">
        <f>IF(ISNUMBER(B1720),YEAR(B1720)*100+MONTH(B1720),"")</f>
        <v/>
      </c>
      <c r="K1720">
        <f>IF(AND(H1720="",OR(F1720="Attended",F1720="No-show",AND(F1720="Late cancel",Settings!$C$9="Yes"))),1,0)</f>
        <v/>
      </c>
      <c r="L1720">
        <f>IF(AND(H1720="",F1720="Attended"),1,0)</f>
        <v/>
      </c>
      <c r="M1720">
        <f>IF(AND(H1720="",OR(F1720="No-show",F1720="Late cancel")),1,0)</f>
        <v/>
      </c>
      <c r="N1720">
        <f>IF(AND(H1720="",F1720="",D1720&lt;&gt;"",I1720&gt;=TODAY()),ROUND((I1720+IF(ISNUMBER(C1720),MOD(C1720,1),0))*1440,0)*10000+ROW(),"")</f>
        <v/>
      </c>
    </row>
    <row r="1721">
      <c r="A1721" s="1" t="n"/>
      <c r="B1721" s="17" t="n"/>
      <c r="C1721" s="18" t="n"/>
      <c r="D1721" s="19" t="n"/>
      <c r="E1721" s="20" t="n"/>
      <c r="F1721" s="20" t="n"/>
      <c r="G1721" s="21" t="n"/>
      <c r="H1721" s="12">
        <f>IF(AND(B1721="",D1721="",F1721=""),"",IF(NOT(ISNUMBER(B1721)),"Needs a date",IF(D1721="","Needs a client",IF(COUNTIF(Clients!$B$6:$B$105,D1721)=0,"Not on Clients",IF(AND(F1721="",INT(B1721)&lt;TODAY()),"Needs a status","")))))</f>
        <v/>
      </c>
      <c r="I1721" s="1">
        <f>IF(ISNUMBER(B1721),INT(B1721),0)</f>
        <v/>
      </c>
      <c r="J1721">
        <f>IF(ISNUMBER(B1721),YEAR(B1721)*100+MONTH(B1721),"")</f>
        <v/>
      </c>
      <c r="K1721">
        <f>IF(AND(H1721="",OR(F1721="Attended",F1721="No-show",AND(F1721="Late cancel",Settings!$C$9="Yes"))),1,0)</f>
        <v/>
      </c>
      <c r="L1721">
        <f>IF(AND(H1721="",F1721="Attended"),1,0)</f>
        <v/>
      </c>
      <c r="M1721">
        <f>IF(AND(H1721="",OR(F1721="No-show",F1721="Late cancel")),1,0)</f>
        <v/>
      </c>
      <c r="N1721">
        <f>IF(AND(H1721="",F1721="",D1721&lt;&gt;"",I1721&gt;=TODAY()),ROUND((I1721+IF(ISNUMBER(C1721),MOD(C1721,1),0))*1440,0)*10000+ROW(),"")</f>
        <v/>
      </c>
    </row>
    <row r="1722">
      <c r="A1722" s="1" t="n"/>
      <c r="B1722" s="17" t="n"/>
      <c r="C1722" s="18" t="n"/>
      <c r="D1722" s="19" t="n"/>
      <c r="E1722" s="20" t="n"/>
      <c r="F1722" s="20" t="n"/>
      <c r="G1722" s="21" t="n"/>
      <c r="H1722" s="12">
        <f>IF(AND(B1722="",D1722="",F1722=""),"",IF(NOT(ISNUMBER(B1722)),"Needs a date",IF(D1722="","Needs a client",IF(COUNTIF(Clients!$B$6:$B$105,D1722)=0,"Not on Clients",IF(AND(F1722="",INT(B1722)&lt;TODAY()),"Needs a status","")))))</f>
        <v/>
      </c>
      <c r="I1722" s="1">
        <f>IF(ISNUMBER(B1722),INT(B1722),0)</f>
        <v/>
      </c>
      <c r="J1722">
        <f>IF(ISNUMBER(B1722),YEAR(B1722)*100+MONTH(B1722),"")</f>
        <v/>
      </c>
      <c r="K1722">
        <f>IF(AND(H1722="",OR(F1722="Attended",F1722="No-show",AND(F1722="Late cancel",Settings!$C$9="Yes"))),1,0)</f>
        <v/>
      </c>
      <c r="L1722">
        <f>IF(AND(H1722="",F1722="Attended"),1,0)</f>
        <v/>
      </c>
      <c r="M1722">
        <f>IF(AND(H1722="",OR(F1722="No-show",F1722="Late cancel")),1,0)</f>
        <v/>
      </c>
      <c r="N1722">
        <f>IF(AND(H1722="",F1722="",D1722&lt;&gt;"",I1722&gt;=TODAY()),ROUND((I1722+IF(ISNUMBER(C1722),MOD(C1722,1),0))*1440,0)*10000+ROW(),"")</f>
        <v/>
      </c>
    </row>
    <row r="1723">
      <c r="A1723" s="1" t="n"/>
      <c r="B1723" s="17" t="n"/>
      <c r="C1723" s="18" t="n"/>
      <c r="D1723" s="19" t="n"/>
      <c r="E1723" s="20" t="n"/>
      <c r="F1723" s="20" t="n"/>
      <c r="G1723" s="21" t="n"/>
      <c r="H1723" s="12">
        <f>IF(AND(B1723="",D1723="",F1723=""),"",IF(NOT(ISNUMBER(B1723)),"Needs a date",IF(D1723="","Needs a client",IF(COUNTIF(Clients!$B$6:$B$105,D1723)=0,"Not on Clients",IF(AND(F1723="",INT(B1723)&lt;TODAY()),"Needs a status","")))))</f>
        <v/>
      </c>
      <c r="I1723" s="1">
        <f>IF(ISNUMBER(B1723),INT(B1723),0)</f>
        <v/>
      </c>
      <c r="J1723">
        <f>IF(ISNUMBER(B1723),YEAR(B1723)*100+MONTH(B1723),"")</f>
        <v/>
      </c>
      <c r="K1723">
        <f>IF(AND(H1723="",OR(F1723="Attended",F1723="No-show",AND(F1723="Late cancel",Settings!$C$9="Yes"))),1,0)</f>
        <v/>
      </c>
      <c r="L1723">
        <f>IF(AND(H1723="",F1723="Attended"),1,0)</f>
        <v/>
      </c>
      <c r="M1723">
        <f>IF(AND(H1723="",OR(F1723="No-show",F1723="Late cancel")),1,0)</f>
        <v/>
      </c>
      <c r="N1723">
        <f>IF(AND(H1723="",F1723="",D1723&lt;&gt;"",I1723&gt;=TODAY()),ROUND((I1723+IF(ISNUMBER(C1723),MOD(C1723,1),0))*1440,0)*10000+ROW(),"")</f>
        <v/>
      </c>
    </row>
    <row r="1724">
      <c r="A1724" s="1" t="n"/>
      <c r="B1724" s="17" t="n"/>
      <c r="C1724" s="18" t="n"/>
      <c r="D1724" s="19" t="n"/>
      <c r="E1724" s="20" t="n"/>
      <c r="F1724" s="20" t="n"/>
      <c r="G1724" s="21" t="n"/>
      <c r="H1724" s="12">
        <f>IF(AND(B1724="",D1724="",F1724=""),"",IF(NOT(ISNUMBER(B1724)),"Needs a date",IF(D1724="","Needs a client",IF(COUNTIF(Clients!$B$6:$B$105,D1724)=0,"Not on Clients",IF(AND(F1724="",INT(B1724)&lt;TODAY()),"Needs a status","")))))</f>
        <v/>
      </c>
      <c r="I1724" s="1">
        <f>IF(ISNUMBER(B1724),INT(B1724),0)</f>
        <v/>
      </c>
      <c r="J1724">
        <f>IF(ISNUMBER(B1724),YEAR(B1724)*100+MONTH(B1724),"")</f>
        <v/>
      </c>
      <c r="K1724">
        <f>IF(AND(H1724="",OR(F1724="Attended",F1724="No-show",AND(F1724="Late cancel",Settings!$C$9="Yes"))),1,0)</f>
        <v/>
      </c>
      <c r="L1724">
        <f>IF(AND(H1724="",F1724="Attended"),1,0)</f>
        <v/>
      </c>
      <c r="M1724">
        <f>IF(AND(H1724="",OR(F1724="No-show",F1724="Late cancel")),1,0)</f>
        <v/>
      </c>
      <c r="N1724">
        <f>IF(AND(H1724="",F1724="",D1724&lt;&gt;"",I1724&gt;=TODAY()),ROUND((I1724+IF(ISNUMBER(C1724),MOD(C1724,1),0))*1440,0)*10000+ROW(),"")</f>
        <v/>
      </c>
    </row>
    <row r="1725">
      <c r="A1725" s="1" t="n"/>
      <c r="B1725" s="17" t="n"/>
      <c r="C1725" s="18" t="n"/>
      <c r="D1725" s="19" t="n"/>
      <c r="E1725" s="20" t="n"/>
      <c r="F1725" s="20" t="n"/>
      <c r="G1725" s="21" t="n"/>
      <c r="H1725" s="12">
        <f>IF(AND(B1725="",D1725="",F1725=""),"",IF(NOT(ISNUMBER(B1725)),"Needs a date",IF(D1725="","Needs a client",IF(COUNTIF(Clients!$B$6:$B$105,D1725)=0,"Not on Clients",IF(AND(F1725="",INT(B1725)&lt;TODAY()),"Needs a status","")))))</f>
        <v/>
      </c>
      <c r="I1725" s="1">
        <f>IF(ISNUMBER(B1725),INT(B1725),0)</f>
        <v/>
      </c>
      <c r="J1725">
        <f>IF(ISNUMBER(B1725),YEAR(B1725)*100+MONTH(B1725),"")</f>
        <v/>
      </c>
      <c r="K1725">
        <f>IF(AND(H1725="",OR(F1725="Attended",F1725="No-show",AND(F1725="Late cancel",Settings!$C$9="Yes"))),1,0)</f>
        <v/>
      </c>
      <c r="L1725">
        <f>IF(AND(H1725="",F1725="Attended"),1,0)</f>
        <v/>
      </c>
      <c r="M1725">
        <f>IF(AND(H1725="",OR(F1725="No-show",F1725="Late cancel")),1,0)</f>
        <v/>
      </c>
      <c r="N1725">
        <f>IF(AND(H1725="",F1725="",D1725&lt;&gt;"",I1725&gt;=TODAY()),ROUND((I1725+IF(ISNUMBER(C1725),MOD(C1725,1),0))*1440,0)*10000+ROW(),"")</f>
        <v/>
      </c>
    </row>
    <row r="1726">
      <c r="A1726" s="1" t="n"/>
      <c r="B1726" s="17" t="n"/>
      <c r="C1726" s="18" t="n"/>
      <c r="D1726" s="19" t="n"/>
      <c r="E1726" s="20" t="n"/>
      <c r="F1726" s="20" t="n"/>
      <c r="G1726" s="21" t="n"/>
      <c r="H1726" s="12">
        <f>IF(AND(B1726="",D1726="",F1726=""),"",IF(NOT(ISNUMBER(B1726)),"Needs a date",IF(D1726="","Needs a client",IF(COUNTIF(Clients!$B$6:$B$105,D1726)=0,"Not on Clients",IF(AND(F1726="",INT(B1726)&lt;TODAY()),"Needs a status","")))))</f>
        <v/>
      </c>
      <c r="I1726" s="1">
        <f>IF(ISNUMBER(B1726),INT(B1726),0)</f>
        <v/>
      </c>
      <c r="J1726">
        <f>IF(ISNUMBER(B1726),YEAR(B1726)*100+MONTH(B1726),"")</f>
        <v/>
      </c>
      <c r="K1726">
        <f>IF(AND(H1726="",OR(F1726="Attended",F1726="No-show",AND(F1726="Late cancel",Settings!$C$9="Yes"))),1,0)</f>
        <v/>
      </c>
      <c r="L1726">
        <f>IF(AND(H1726="",F1726="Attended"),1,0)</f>
        <v/>
      </c>
      <c r="M1726">
        <f>IF(AND(H1726="",OR(F1726="No-show",F1726="Late cancel")),1,0)</f>
        <v/>
      </c>
      <c r="N1726">
        <f>IF(AND(H1726="",F1726="",D1726&lt;&gt;"",I1726&gt;=TODAY()),ROUND((I1726+IF(ISNUMBER(C1726),MOD(C1726,1),0))*1440,0)*10000+ROW(),"")</f>
        <v/>
      </c>
    </row>
    <row r="1727">
      <c r="A1727" s="1" t="n"/>
      <c r="B1727" s="17" t="n"/>
      <c r="C1727" s="18" t="n"/>
      <c r="D1727" s="19" t="n"/>
      <c r="E1727" s="20" t="n"/>
      <c r="F1727" s="20" t="n"/>
      <c r="G1727" s="21" t="n"/>
      <c r="H1727" s="12">
        <f>IF(AND(B1727="",D1727="",F1727=""),"",IF(NOT(ISNUMBER(B1727)),"Needs a date",IF(D1727="","Needs a client",IF(COUNTIF(Clients!$B$6:$B$105,D1727)=0,"Not on Clients",IF(AND(F1727="",INT(B1727)&lt;TODAY()),"Needs a status","")))))</f>
        <v/>
      </c>
      <c r="I1727" s="1">
        <f>IF(ISNUMBER(B1727),INT(B1727),0)</f>
        <v/>
      </c>
      <c r="J1727">
        <f>IF(ISNUMBER(B1727),YEAR(B1727)*100+MONTH(B1727),"")</f>
        <v/>
      </c>
      <c r="K1727">
        <f>IF(AND(H1727="",OR(F1727="Attended",F1727="No-show",AND(F1727="Late cancel",Settings!$C$9="Yes"))),1,0)</f>
        <v/>
      </c>
      <c r="L1727">
        <f>IF(AND(H1727="",F1727="Attended"),1,0)</f>
        <v/>
      </c>
      <c r="M1727">
        <f>IF(AND(H1727="",OR(F1727="No-show",F1727="Late cancel")),1,0)</f>
        <v/>
      </c>
      <c r="N1727">
        <f>IF(AND(H1727="",F1727="",D1727&lt;&gt;"",I1727&gt;=TODAY()),ROUND((I1727+IF(ISNUMBER(C1727),MOD(C1727,1),0))*1440,0)*10000+ROW(),"")</f>
        <v/>
      </c>
    </row>
    <row r="1728">
      <c r="A1728" s="1" t="n"/>
      <c r="B1728" s="17" t="n"/>
      <c r="C1728" s="18" t="n"/>
      <c r="D1728" s="19" t="n"/>
      <c r="E1728" s="20" t="n"/>
      <c r="F1728" s="20" t="n"/>
      <c r="G1728" s="21" t="n"/>
      <c r="H1728" s="12">
        <f>IF(AND(B1728="",D1728="",F1728=""),"",IF(NOT(ISNUMBER(B1728)),"Needs a date",IF(D1728="","Needs a client",IF(COUNTIF(Clients!$B$6:$B$105,D1728)=0,"Not on Clients",IF(AND(F1728="",INT(B1728)&lt;TODAY()),"Needs a status","")))))</f>
        <v/>
      </c>
      <c r="I1728" s="1">
        <f>IF(ISNUMBER(B1728),INT(B1728),0)</f>
        <v/>
      </c>
      <c r="J1728">
        <f>IF(ISNUMBER(B1728),YEAR(B1728)*100+MONTH(B1728),"")</f>
        <v/>
      </c>
      <c r="K1728">
        <f>IF(AND(H1728="",OR(F1728="Attended",F1728="No-show",AND(F1728="Late cancel",Settings!$C$9="Yes"))),1,0)</f>
        <v/>
      </c>
      <c r="L1728">
        <f>IF(AND(H1728="",F1728="Attended"),1,0)</f>
        <v/>
      </c>
      <c r="M1728">
        <f>IF(AND(H1728="",OR(F1728="No-show",F1728="Late cancel")),1,0)</f>
        <v/>
      </c>
      <c r="N1728">
        <f>IF(AND(H1728="",F1728="",D1728&lt;&gt;"",I1728&gt;=TODAY()),ROUND((I1728+IF(ISNUMBER(C1728),MOD(C1728,1),0))*1440,0)*10000+ROW(),"")</f>
        <v/>
      </c>
    </row>
    <row r="1729">
      <c r="A1729" s="1" t="n"/>
      <c r="B1729" s="17" t="n"/>
      <c r="C1729" s="18" t="n"/>
      <c r="D1729" s="19" t="n"/>
      <c r="E1729" s="20" t="n"/>
      <c r="F1729" s="20" t="n"/>
      <c r="G1729" s="21" t="n"/>
      <c r="H1729" s="12">
        <f>IF(AND(B1729="",D1729="",F1729=""),"",IF(NOT(ISNUMBER(B1729)),"Needs a date",IF(D1729="","Needs a client",IF(COUNTIF(Clients!$B$6:$B$105,D1729)=0,"Not on Clients",IF(AND(F1729="",INT(B1729)&lt;TODAY()),"Needs a status","")))))</f>
        <v/>
      </c>
      <c r="I1729" s="1">
        <f>IF(ISNUMBER(B1729),INT(B1729),0)</f>
        <v/>
      </c>
      <c r="J1729">
        <f>IF(ISNUMBER(B1729),YEAR(B1729)*100+MONTH(B1729),"")</f>
        <v/>
      </c>
      <c r="K1729">
        <f>IF(AND(H1729="",OR(F1729="Attended",F1729="No-show",AND(F1729="Late cancel",Settings!$C$9="Yes"))),1,0)</f>
        <v/>
      </c>
      <c r="L1729">
        <f>IF(AND(H1729="",F1729="Attended"),1,0)</f>
        <v/>
      </c>
      <c r="M1729">
        <f>IF(AND(H1729="",OR(F1729="No-show",F1729="Late cancel")),1,0)</f>
        <v/>
      </c>
      <c r="N1729">
        <f>IF(AND(H1729="",F1729="",D1729&lt;&gt;"",I1729&gt;=TODAY()),ROUND((I1729+IF(ISNUMBER(C1729),MOD(C1729,1),0))*1440,0)*10000+ROW(),"")</f>
        <v/>
      </c>
    </row>
    <row r="1730">
      <c r="A1730" s="1" t="n"/>
      <c r="B1730" s="17" t="n"/>
      <c r="C1730" s="18" t="n"/>
      <c r="D1730" s="19" t="n"/>
      <c r="E1730" s="20" t="n"/>
      <c r="F1730" s="20" t="n"/>
      <c r="G1730" s="21" t="n"/>
      <c r="H1730" s="12">
        <f>IF(AND(B1730="",D1730="",F1730=""),"",IF(NOT(ISNUMBER(B1730)),"Needs a date",IF(D1730="","Needs a client",IF(COUNTIF(Clients!$B$6:$B$105,D1730)=0,"Not on Clients",IF(AND(F1730="",INT(B1730)&lt;TODAY()),"Needs a status","")))))</f>
        <v/>
      </c>
      <c r="I1730" s="1">
        <f>IF(ISNUMBER(B1730),INT(B1730),0)</f>
        <v/>
      </c>
      <c r="J1730">
        <f>IF(ISNUMBER(B1730),YEAR(B1730)*100+MONTH(B1730),"")</f>
        <v/>
      </c>
      <c r="K1730">
        <f>IF(AND(H1730="",OR(F1730="Attended",F1730="No-show",AND(F1730="Late cancel",Settings!$C$9="Yes"))),1,0)</f>
        <v/>
      </c>
      <c r="L1730">
        <f>IF(AND(H1730="",F1730="Attended"),1,0)</f>
        <v/>
      </c>
      <c r="M1730">
        <f>IF(AND(H1730="",OR(F1730="No-show",F1730="Late cancel")),1,0)</f>
        <v/>
      </c>
      <c r="N1730">
        <f>IF(AND(H1730="",F1730="",D1730&lt;&gt;"",I1730&gt;=TODAY()),ROUND((I1730+IF(ISNUMBER(C1730),MOD(C1730,1),0))*1440,0)*10000+ROW(),"")</f>
        <v/>
      </c>
    </row>
    <row r="1731">
      <c r="A1731" s="1" t="n"/>
      <c r="B1731" s="17" t="n"/>
      <c r="C1731" s="18" t="n"/>
      <c r="D1731" s="19" t="n"/>
      <c r="E1731" s="20" t="n"/>
      <c r="F1731" s="20" t="n"/>
      <c r="G1731" s="21" t="n"/>
      <c r="H1731" s="12">
        <f>IF(AND(B1731="",D1731="",F1731=""),"",IF(NOT(ISNUMBER(B1731)),"Needs a date",IF(D1731="","Needs a client",IF(COUNTIF(Clients!$B$6:$B$105,D1731)=0,"Not on Clients",IF(AND(F1731="",INT(B1731)&lt;TODAY()),"Needs a status","")))))</f>
        <v/>
      </c>
      <c r="I1731" s="1">
        <f>IF(ISNUMBER(B1731),INT(B1731),0)</f>
        <v/>
      </c>
      <c r="J1731">
        <f>IF(ISNUMBER(B1731),YEAR(B1731)*100+MONTH(B1731),"")</f>
        <v/>
      </c>
      <c r="K1731">
        <f>IF(AND(H1731="",OR(F1731="Attended",F1731="No-show",AND(F1731="Late cancel",Settings!$C$9="Yes"))),1,0)</f>
        <v/>
      </c>
      <c r="L1731">
        <f>IF(AND(H1731="",F1731="Attended"),1,0)</f>
        <v/>
      </c>
      <c r="M1731">
        <f>IF(AND(H1731="",OR(F1731="No-show",F1731="Late cancel")),1,0)</f>
        <v/>
      </c>
      <c r="N1731">
        <f>IF(AND(H1731="",F1731="",D1731&lt;&gt;"",I1731&gt;=TODAY()),ROUND((I1731+IF(ISNUMBER(C1731),MOD(C1731,1),0))*1440,0)*10000+ROW(),"")</f>
        <v/>
      </c>
    </row>
    <row r="1732">
      <c r="A1732" s="1" t="n"/>
      <c r="B1732" s="17" t="n"/>
      <c r="C1732" s="18" t="n"/>
      <c r="D1732" s="19" t="n"/>
      <c r="E1732" s="20" t="n"/>
      <c r="F1732" s="20" t="n"/>
      <c r="G1732" s="21" t="n"/>
      <c r="H1732" s="12">
        <f>IF(AND(B1732="",D1732="",F1732=""),"",IF(NOT(ISNUMBER(B1732)),"Needs a date",IF(D1732="","Needs a client",IF(COUNTIF(Clients!$B$6:$B$105,D1732)=0,"Not on Clients",IF(AND(F1732="",INT(B1732)&lt;TODAY()),"Needs a status","")))))</f>
        <v/>
      </c>
      <c r="I1732" s="1">
        <f>IF(ISNUMBER(B1732),INT(B1732),0)</f>
        <v/>
      </c>
      <c r="J1732">
        <f>IF(ISNUMBER(B1732),YEAR(B1732)*100+MONTH(B1732),"")</f>
        <v/>
      </c>
      <c r="K1732">
        <f>IF(AND(H1732="",OR(F1732="Attended",F1732="No-show",AND(F1732="Late cancel",Settings!$C$9="Yes"))),1,0)</f>
        <v/>
      </c>
      <c r="L1732">
        <f>IF(AND(H1732="",F1732="Attended"),1,0)</f>
        <v/>
      </c>
      <c r="M1732">
        <f>IF(AND(H1732="",OR(F1732="No-show",F1732="Late cancel")),1,0)</f>
        <v/>
      </c>
      <c r="N1732">
        <f>IF(AND(H1732="",F1732="",D1732&lt;&gt;"",I1732&gt;=TODAY()),ROUND((I1732+IF(ISNUMBER(C1732),MOD(C1732,1),0))*1440,0)*10000+ROW(),"")</f>
        <v/>
      </c>
    </row>
    <row r="1733">
      <c r="A1733" s="1" t="n"/>
      <c r="B1733" s="17" t="n"/>
      <c r="C1733" s="18" t="n"/>
      <c r="D1733" s="19" t="n"/>
      <c r="E1733" s="20" t="n"/>
      <c r="F1733" s="20" t="n"/>
      <c r="G1733" s="21" t="n"/>
      <c r="H1733" s="12">
        <f>IF(AND(B1733="",D1733="",F1733=""),"",IF(NOT(ISNUMBER(B1733)),"Needs a date",IF(D1733="","Needs a client",IF(COUNTIF(Clients!$B$6:$B$105,D1733)=0,"Not on Clients",IF(AND(F1733="",INT(B1733)&lt;TODAY()),"Needs a status","")))))</f>
        <v/>
      </c>
      <c r="I1733" s="1">
        <f>IF(ISNUMBER(B1733),INT(B1733),0)</f>
        <v/>
      </c>
      <c r="J1733">
        <f>IF(ISNUMBER(B1733),YEAR(B1733)*100+MONTH(B1733),"")</f>
        <v/>
      </c>
      <c r="K1733">
        <f>IF(AND(H1733="",OR(F1733="Attended",F1733="No-show",AND(F1733="Late cancel",Settings!$C$9="Yes"))),1,0)</f>
        <v/>
      </c>
      <c r="L1733">
        <f>IF(AND(H1733="",F1733="Attended"),1,0)</f>
        <v/>
      </c>
      <c r="M1733">
        <f>IF(AND(H1733="",OR(F1733="No-show",F1733="Late cancel")),1,0)</f>
        <v/>
      </c>
      <c r="N1733">
        <f>IF(AND(H1733="",F1733="",D1733&lt;&gt;"",I1733&gt;=TODAY()),ROUND((I1733+IF(ISNUMBER(C1733),MOD(C1733,1),0))*1440,0)*10000+ROW(),"")</f>
        <v/>
      </c>
    </row>
    <row r="1734">
      <c r="A1734" s="1" t="n"/>
      <c r="B1734" s="17" t="n"/>
      <c r="C1734" s="18" t="n"/>
      <c r="D1734" s="19" t="n"/>
      <c r="E1734" s="20" t="n"/>
      <c r="F1734" s="20" t="n"/>
      <c r="G1734" s="21" t="n"/>
      <c r="H1734" s="12">
        <f>IF(AND(B1734="",D1734="",F1734=""),"",IF(NOT(ISNUMBER(B1734)),"Needs a date",IF(D1734="","Needs a client",IF(COUNTIF(Clients!$B$6:$B$105,D1734)=0,"Not on Clients",IF(AND(F1734="",INT(B1734)&lt;TODAY()),"Needs a status","")))))</f>
        <v/>
      </c>
      <c r="I1734" s="1">
        <f>IF(ISNUMBER(B1734),INT(B1734),0)</f>
        <v/>
      </c>
      <c r="J1734">
        <f>IF(ISNUMBER(B1734),YEAR(B1734)*100+MONTH(B1734),"")</f>
        <v/>
      </c>
      <c r="K1734">
        <f>IF(AND(H1734="",OR(F1734="Attended",F1734="No-show",AND(F1734="Late cancel",Settings!$C$9="Yes"))),1,0)</f>
        <v/>
      </c>
      <c r="L1734">
        <f>IF(AND(H1734="",F1734="Attended"),1,0)</f>
        <v/>
      </c>
      <c r="M1734">
        <f>IF(AND(H1734="",OR(F1734="No-show",F1734="Late cancel")),1,0)</f>
        <v/>
      </c>
      <c r="N1734">
        <f>IF(AND(H1734="",F1734="",D1734&lt;&gt;"",I1734&gt;=TODAY()),ROUND((I1734+IF(ISNUMBER(C1734),MOD(C1734,1),0))*1440,0)*10000+ROW(),"")</f>
        <v/>
      </c>
    </row>
    <row r="1735">
      <c r="A1735" s="1" t="n"/>
      <c r="B1735" s="17" t="n"/>
      <c r="C1735" s="18" t="n"/>
      <c r="D1735" s="19" t="n"/>
      <c r="E1735" s="20" t="n"/>
      <c r="F1735" s="20" t="n"/>
      <c r="G1735" s="21" t="n"/>
      <c r="H1735" s="12">
        <f>IF(AND(B1735="",D1735="",F1735=""),"",IF(NOT(ISNUMBER(B1735)),"Needs a date",IF(D1735="","Needs a client",IF(COUNTIF(Clients!$B$6:$B$105,D1735)=0,"Not on Clients",IF(AND(F1735="",INT(B1735)&lt;TODAY()),"Needs a status","")))))</f>
        <v/>
      </c>
      <c r="I1735" s="1">
        <f>IF(ISNUMBER(B1735),INT(B1735),0)</f>
        <v/>
      </c>
      <c r="J1735">
        <f>IF(ISNUMBER(B1735),YEAR(B1735)*100+MONTH(B1735),"")</f>
        <v/>
      </c>
      <c r="K1735">
        <f>IF(AND(H1735="",OR(F1735="Attended",F1735="No-show",AND(F1735="Late cancel",Settings!$C$9="Yes"))),1,0)</f>
        <v/>
      </c>
      <c r="L1735">
        <f>IF(AND(H1735="",F1735="Attended"),1,0)</f>
        <v/>
      </c>
      <c r="M1735">
        <f>IF(AND(H1735="",OR(F1735="No-show",F1735="Late cancel")),1,0)</f>
        <v/>
      </c>
      <c r="N1735">
        <f>IF(AND(H1735="",F1735="",D1735&lt;&gt;"",I1735&gt;=TODAY()),ROUND((I1735+IF(ISNUMBER(C1735),MOD(C1735,1),0))*1440,0)*10000+ROW(),"")</f>
        <v/>
      </c>
    </row>
    <row r="1736">
      <c r="A1736" s="1" t="n"/>
      <c r="B1736" s="17" t="n"/>
      <c r="C1736" s="18" t="n"/>
      <c r="D1736" s="19" t="n"/>
      <c r="E1736" s="20" t="n"/>
      <c r="F1736" s="20" t="n"/>
      <c r="G1736" s="21" t="n"/>
      <c r="H1736" s="12">
        <f>IF(AND(B1736="",D1736="",F1736=""),"",IF(NOT(ISNUMBER(B1736)),"Needs a date",IF(D1736="","Needs a client",IF(COUNTIF(Clients!$B$6:$B$105,D1736)=0,"Not on Clients",IF(AND(F1736="",INT(B1736)&lt;TODAY()),"Needs a status","")))))</f>
        <v/>
      </c>
      <c r="I1736" s="1">
        <f>IF(ISNUMBER(B1736),INT(B1736),0)</f>
        <v/>
      </c>
      <c r="J1736">
        <f>IF(ISNUMBER(B1736),YEAR(B1736)*100+MONTH(B1736),"")</f>
        <v/>
      </c>
      <c r="K1736">
        <f>IF(AND(H1736="",OR(F1736="Attended",F1736="No-show",AND(F1736="Late cancel",Settings!$C$9="Yes"))),1,0)</f>
        <v/>
      </c>
      <c r="L1736">
        <f>IF(AND(H1736="",F1736="Attended"),1,0)</f>
        <v/>
      </c>
      <c r="M1736">
        <f>IF(AND(H1736="",OR(F1736="No-show",F1736="Late cancel")),1,0)</f>
        <v/>
      </c>
      <c r="N1736">
        <f>IF(AND(H1736="",F1736="",D1736&lt;&gt;"",I1736&gt;=TODAY()),ROUND((I1736+IF(ISNUMBER(C1736),MOD(C1736,1),0))*1440,0)*10000+ROW(),"")</f>
        <v/>
      </c>
    </row>
    <row r="1737">
      <c r="A1737" s="1" t="n"/>
      <c r="B1737" s="17" t="n"/>
      <c r="C1737" s="18" t="n"/>
      <c r="D1737" s="19" t="n"/>
      <c r="E1737" s="20" t="n"/>
      <c r="F1737" s="20" t="n"/>
      <c r="G1737" s="21" t="n"/>
      <c r="H1737" s="12">
        <f>IF(AND(B1737="",D1737="",F1737=""),"",IF(NOT(ISNUMBER(B1737)),"Needs a date",IF(D1737="","Needs a client",IF(COUNTIF(Clients!$B$6:$B$105,D1737)=0,"Not on Clients",IF(AND(F1737="",INT(B1737)&lt;TODAY()),"Needs a status","")))))</f>
        <v/>
      </c>
      <c r="I1737" s="1">
        <f>IF(ISNUMBER(B1737),INT(B1737),0)</f>
        <v/>
      </c>
      <c r="J1737">
        <f>IF(ISNUMBER(B1737),YEAR(B1737)*100+MONTH(B1737),"")</f>
        <v/>
      </c>
      <c r="K1737">
        <f>IF(AND(H1737="",OR(F1737="Attended",F1737="No-show",AND(F1737="Late cancel",Settings!$C$9="Yes"))),1,0)</f>
        <v/>
      </c>
      <c r="L1737">
        <f>IF(AND(H1737="",F1737="Attended"),1,0)</f>
        <v/>
      </c>
      <c r="M1737">
        <f>IF(AND(H1737="",OR(F1737="No-show",F1737="Late cancel")),1,0)</f>
        <v/>
      </c>
      <c r="N1737">
        <f>IF(AND(H1737="",F1737="",D1737&lt;&gt;"",I1737&gt;=TODAY()),ROUND((I1737+IF(ISNUMBER(C1737),MOD(C1737,1),0))*1440,0)*10000+ROW(),"")</f>
        <v/>
      </c>
    </row>
    <row r="1738">
      <c r="A1738" s="1" t="n"/>
      <c r="B1738" s="17" t="n"/>
      <c r="C1738" s="18" t="n"/>
      <c r="D1738" s="19" t="n"/>
      <c r="E1738" s="20" t="n"/>
      <c r="F1738" s="20" t="n"/>
      <c r="G1738" s="21" t="n"/>
      <c r="H1738" s="12">
        <f>IF(AND(B1738="",D1738="",F1738=""),"",IF(NOT(ISNUMBER(B1738)),"Needs a date",IF(D1738="","Needs a client",IF(COUNTIF(Clients!$B$6:$B$105,D1738)=0,"Not on Clients",IF(AND(F1738="",INT(B1738)&lt;TODAY()),"Needs a status","")))))</f>
        <v/>
      </c>
      <c r="I1738" s="1">
        <f>IF(ISNUMBER(B1738),INT(B1738),0)</f>
        <v/>
      </c>
      <c r="J1738">
        <f>IF(ISNUMBER(B1738),YEAR(B1738)*100+MONTH(B1738),"")</f>
        <v/>
      </c>
      <c r="K1738">
        <f>IF(AND(H1738="",OR(F1738="Attended",F1738="No-show",AND(F1738="Late cancel",Settings!$C$9="Yes"))),1,0)</f>
        <v/>
      </c>
      <c r="L1738">
        <f>IF(AND(H1738="",F1738="Attended"),1,0)</f>
        <v/>
      </c>
      <c r="M1738">
        <f>IF(AND(H1738="",OR(F1738="No-show",F1738="Late cancel")),1,0)</f>
        <v/>
      </c>
      <c r="N1738">
        <f>IF(AND(H1738="",F1738="",D1738&lt;&gt;"",I1738&gt;=TODAY()),ROUND((I1738+IF(ISNUMBER(C1738),MOD(C1738,1),0))*1440,0)*10000+ROW(),"")</f>
        <v/>
      </c>
    </row>
    <row r="1739">
      <c r="A1739" s="1" t="n"/>
      <c r="B1739" s="17" t="n"/>
      <c r="C1739" s="18" t="n"/>
      <c r="D1739" s="19" t="n"/>
      <c r="E1739" s="20" t="n"/>
      <c r="F1739" s="20" t="n"/>
      <c r="G1739" s="21" t="n"/>
      <c r="H1739" s="12">
        <f>IF(AND(B1739="",D1739="",F1739=""),"",IF(NOT(ISNUMBER(B1739)),"Needs a date",IF(D1739="","Needs a client",IF(COUNTIF(Clients!$B$6:$B$105,D1739)=0,"Not on Clients",IF(AND(F1739="",INT(B1739)&lt;TODAY()),"Needs a status","")))))</f>
        <v/>
      </c>
      <c r="I1739" s="1">
        <f>IF(ISNUMBER(B1739),INT(B1739),0)</f>
        <v/>
      </c>
      <c r="J1739">
        <f>IF(ISNUMBER(B1739),YEAR(B1739)*100+MONTH(B1739),"")</f>
        <v/>
      </c>
      <c r="K1739">
        <f>IF(AND(H1739="",OR(F1739="Attended",F1739="No-show",AND(F1739="Late cancel",Settings!$C$9="Yes"))),1,0)</f>
        <v/>
      </c>
      <c r="L1739">
        <f>IF(AND(H1739="",F1739="Attended"),1,0)</f>
        <v/>
      </c>
      <c r="M1739">
        <f>IF(AND(H1739="",OR(F1739="No-show",F1739="Late cancel")),1,0)</f>
        <v/>
      </c>
      <c r="N1739">
        <f>IF(AND(H1739="",F1739="",D1739&lt;&gt;"",I1739&gt;=TODAY()),ROUND((I1739+IF(ISNUMBER(C1739),MOD(C1739,1),0))*1440,0)*10000+ROW(),"")</f>
        <v/>
      </c>
    </row>
    <row r="1740">
      <c r="A1740" s="1" t="n"/>
      <c r="B1740" s="17" t="n"/>
      <c r="C1740" s="18" t="n"/>
      <c r="D1740" s="19" t="n"/>
      <c r="E1740" s="20" t="n"/>
      <c r="F1740" s="20" t="n"/>
      <c r="G1740" s="21" t="n"/>
      <c r="H1740" s="12">
        <f>IF(AND(B1740="",D1740="",F1740=""),"",IF(NOT(ISNUMBER(B1740)),"Needs a date",IF(D1740="","Needs a client",IF(COUNTIF(Clients!$B$6:$B$105,D1740)=0,"Not on Clients",IF(AND(F1740="",INT(B1740)&lt;TODAY()),"Needs a status","")))))</f>
        <v/>
      </c>
      <c r="I1740" s="1">
        <f>IF(ISNUMBER(B1740),INT(B1740),0)</f>
        <v/>
      </c>
      <c r="J1740">
        <f>IF(ISNUMBER(B1740),YEAR(B1740)*100+MONTH(B1740),"")</f>
        <v/>
      </c>
      <c r="K1740">
        <f>IF(AND(H1740="",OR(F1740="Attended",F1740="No-show",AND(F1740="Late cancel",Settings!$C$9="Yes"))),1,0)</f>
        <v/>
      </c>
      <c r="L1740">
        <f>IF(AND(H1740="",F1740="Attended"),1,0)</f>
        <v/>
      </c>
      <c r="M1740">
        <f>IF(AND(H1740="",OR(F1740="No-show",F1740="Late cancel")),1,0)</f>
        <v/>
      </c>
      <c r="N1740">
        <f>IF(AND(H1740="",F1740="",D1740&lt;&gt;"",I1740&gt;=TODAY()),ROUND((I1740+IF(ISNUMBER(C1740),MOD(C1740,1),0))*1440,0)*10000+ROW(),"")</f>
        <v/>
      </c>
    </row>
    <row r="1741">
      <c r="A1741" s="1" t="n"/>
      <c r="B1741" s="17" t="n"/>
      <c r="C1741" s="18" t="n"/>
      <c r="D1741" s="19" t="n"/>
      <c r="E1741" s="20" t="n"/>
      <c r="F1741" s="20" t="n"/>
      <c r="G1741" s="21" t="n"/>
      <c r="H1741" s="12">
        <f>IF(AND(B1741="",D1741="",F1741=""),"",IF(NOT(ISNUMBER(B1741)),"Needs a date",IF(D1741="","Needs a client",IF(COUNTIF(Clients!$B$6:$B$105,D1741)=0,"Not on Clients",IF(AND(F1741="",INT(B1741)&lt;TODAY()),"Needs a status","")))))</f>
        <v/>
      </c>
      <c r="I1741" s="1">
        <f>IF(ISNUMBER(B1741),INT(B1741),0)</f>
        <v/>
      </c>
      <c r="J1741">
        <f>IF(ISNUMBER(B1741),YEAR(B1741)*100+MONTH(B1741),"")</f>
        <v/>
      </c>
      <c r="K1741">
        <f>IF(AND(H1741="",OR(F1741="Attended",F1741="No-show",AND(F1741="Late cancel",Settings!$C$9="Yes"))),1,0)</f>
        <v/>
      </c>
      <c r="L1741">
        <f>IF(AND(H1741="",F1741="Attended"),1,0)</f>
        <v/>
      </c>
      <c r="M1741">
        <f>IF(AND(H1741="",OR(F1741="No-show",F1741="Late cancel")),1,0)</f>
        <v/>
      </c>
      <c r="N1741">
        <f>IF(AND(H1741="",F1741="",D1741&lt;&gt;"",I1741&gt;=TODAY()),ROUND((I1741+IF(ISNUMBER(C1741),MOD(C1741,1),0))*1440,0)*10000+ROW(),"")</f>
        <v/>
      </c>
    </row>
    <row r="1742">
      <c r="A1742" s="1" t="n"/>
      <c r="B1742" s="17" t="n"/>
      <c r="C1742" s="18" t="n"/>
      <c r="D1742" s="19" t="n"/>
      <c r="E1742" s="20" t="n"/>
      <c r="F1742" s="20" t="n"/>
      <c r="G1742" s="21" t="n"/>
      <c r="H1742" s="12">
        <f>IF(AND(B1742="",D1742="",F1742=""),"",IF(NOT(ISNUMBER(B1742)),"Needs a date",IF(D1742="","Needs a client",IF(COUNTIF(Clients!$B$6:$B$105,D1742)=0,"Not on Clients",IF(AND(F1742="",INT(B1742)&lt;TODAY()),"Needs a status","")))))</f>
        <v/>
      </c>
      <c r="I1742" s="1">
        <f>IF(ISNUMBER(B1742),INT(B1742),0)</f>
        <v/>
      </c>
      <c r="J1742">
        <f>IF(ISNUMBER(B1742),YEAR(B1742)*100+MONTH(B1742),"")</f>
        <v/>
      </c>
      <c r="K1742">
        <f>IF(AND(H1742="",OR(F1742="Attended",F1742="No-show",AND(F1742="Late cancel",Settings!$C$9="Yes"))),1,0)</f>
        <v/>
      </c>
      <c r="L1742">
        <f>IF(AND(H1742="",F1742="Attended"),1,0)</f>
        <v/>
      </c>
      <c r="M1742">
        <f>IF(AND(H1742="",OR(F1742="No-show",F1742="Late cancel")),1,0)</f>
        <v/>
      </c>
      <c r="N1742">
        <f>IF(AND(H1742="",F1742="",D1742&lt;&gt;"",I1742&gt;=TODAY()),ROUND((I1742+IF(ISNUMBER(C1742),MOD(C1742,1),0))*1440,0)*10000+ROW(),"")</f>
        <v/>
      </c>
    </row>
    <row r="1743">
      <c r="A1743" s="1" t="n"/>
      <c r="B1743" s="17" t="n"/>
      <c r="C1743" s="18" t="n"/>
      <c r="D1743" s="19" t="n"/>
      <c r="E1743" s="20" t="n"/>
      <c r="F1743" s="20" t="n"/>
      <c r="G1743" s="21" t="n"/>
      <c r="H1743" s="12">
        <f>IF(AND(B1743="",D1743="",F1743=""),"",IF(NOT(ISNUMBER(B1743)),"Needs a date",IF(D1743="","Needs a client",IF(COUNTIF(Clients!$B$6:$B$105,D1743)=0,"Not on Clients",IF(AND(F1743="",INT(B1743)&lt;TODAY()),"Needs a status","")))))</f>
        <v/>
      </c>
      <c r="I1743" s="1">
        <f>IF(ISNUMBER(B1743),INT(B1743),0)</f>
        <v/>
      </c>
      <c r="J1743">
        <f>IF(ISNUMBER(B1743),YEAR(B1743)*100+MONTH(B1743),"")</f>
        <v/>
      </c>
      <c r="K1743">
        <f>IF(AND(H1743="",OR(F1743="Attended",F1743="No-show",AND(F1743="Late cancel",Settings!$C$9="Yes"))),1,0)</f>
        <v/>
      </c>
      <c r="L1743">
        <f>IF(AND(H1743="",F1743="Attended"),1,0)</f>
        <v/>
      </c>
      <c r="M1743">
        <f>IF(AND(H1743="",OR(F1743="No-show",F1743="Late cancel")),1,0)</f>
        <v/>
      </c>
      <c r="N1743">
        <f>IF(AND(H1743="",F1743="",D1743&lt;&gt;"",I1743&gt;=TODAY()),ROUND((I1743+IF(ISNUMBER(C1743),MOD(C1743,1),0))*1440,0)*10000+ROW(),"")</f>
        <v/>
      </c>
    </row>
    <row r="1744">
      <c r="A1744" s="1" t="n"/>
      <c r="B1744" s="17" t="n"/>
      <c r="C1744" s="18" t="n"/>
      <c r="D1744" s="19" t="n"/>
      <c r="E1744" s="20" t="n"/>
      <c r="F1744" s="20" t="n"/>
      <c r="G1744" s="21" t="n"/>
      <c r="H1744" s="12">
        <f>IF(AND(B1744="",D1744="",F1744=""),"",IF(NOT(ISNUMBER(B1744)),"Needs a date",IF(D1744="","Needs a client",IF(COUNTIF(Clients!$B$6:$B$105,D1744)=0,"Not on Clients",IF(AND(F1744="",INT(B1744)&lt;TODAY()),"Needs a status","")))))</f>
        <v/>
      </c>
      <c r="I1744" s="1">
        <f>IF(ISNUMBER(B1744),INT(B1744),0)</f>
        <v/>
      </c>
      <c r="J1744">
        <f>IF(ISNUMBER(B1744),YEAR(B1744)*100+MONTH(B1744),"")</f>
        <v/>
      </c>
      <c r="K1744">
        <f>IF(AND(H1744="",OR(F1744="Attended",F1744="No-show",AND(F1744="Late cancel",Settings!$C$9="Yes"))),1,0)</f>
        <v/>
      </c>
      <c r="L1744">
        <f>IF(AND(H1744="",F1744="Attended"),1,0)</f>
        <v/>
      </c>
      <c r="M1744">
        <f>IF(AND(H1744="",OR(F1744="No-show",F1744="Late cancel")),1,0)</f>
        <v/>
      </c>
      <c r="N1744">
        <f>IF(AND(H1744="",F1744="",D1744&lt;&gt;"",I1744&gt;=TODAY()),ROUND((I1744+IF(ISNUMBER(C1744),MOD(C1744,1),0))*1440,0)*10000+ROW(),"")</f>
        <v/>
      </c>
    </row>
    <row r="1745">
      <c r="A1745" s="1" t="n"/>
      <c r="B1745" s="17" t="n"/>
      <c r="C1745" s="18" t="n"/>
      <c r="D1745" s="19" t="n"/>
      <c r="E1745" s="20" t="n"/>
      <c r="F1745" s="20" t="n"/>
      <c r="G1745" s="21" t="n"/>
      <c r="H1745" s="12">
        <f>IF(AND(B1745="",D1745="",F1745=""),"",IF(NOT(ISNUMBER(B1745)),"Needs a date",IF(D1745="","Needs a client",IF(COUNTIF(Clients!$B$6:$B$105,D1745)=0,"Not on Clients",IF(AND(F1745="",INT(B1745)&lt;TODAY()),"Needs a status","")))))</f>
        <v/>
      </c>
      <c r="I1745" s="1">
        <f>IF(ISNUMBER(B1745),INT(B1745),0)</f>
        <v/>
      </c>
      <c r="J1745">
        <f>IF(ISNUMBER(B1745),YEAR(B1745)*100+MONTH(B1745),"")</f>
        <v/>
      </c>
      <c r="K1745">
        <f>IF(AND(H1745="",OR(F1745="Attended",F1745="No-show",AND(F1745="Late cancel",Settings!$C$9="Yes"))),1,0)</f>
        <v/>
      </c>
      <c r="L1745">
        <f>IF(AND(H1745="",F1745="Attended"),1,0)</f>
        <v/>
      </c>
      <c r="M1745">
        <f>IF(AND(H1745="",OR(F1745="No-show",F1745="Late cancel")),1,0)</f>
        <v/>
      </c>
      <c r="N1745">
        <f>IF(AND(H1745="",F1745="",D1745&lt;&gt;"",I1745&gt;=TODAY()),ROUND((I1745+IF(ISNUMBER(C1745),MOD(C1745,1),0))*1440,0)*10000+ROW(),"")</f>
        <v/>
      </c>
    </row>
    <row r="1746">
      <c r="A1746" s="1" t="n"/>
      <c r="B1746" s="17" t="n"/>
      <c r="C1746" s="18" t="n"/>
      <c r="D1746" s="19" t="n"/>
      <c r="E1746" s="20" t="n"/>
      <c r="F1746" s="20" t="n"/>
      <c r="G1746" s="21" t="n"/>
      <c r="H1746" s="12">
        <f>IF(AND(B1746="",D1746="",F1746=""),"",IF(NOT(ISNUMBER(B1746)),"Needs a date",IF(D1746="","Needs a client",IF(COUNTIF(Clients!$B$6:$B$105,D1746)=0,"Not on Clients",IF(AND(F1746="",INT(B1746)&lt;TODAY()),"Needs a status","")))))</f>
        <v/>
      </c>
      <c r="I1746" s="1">
        <f>IF(ISNUMBER(B1746),INT(B1746),0)</f>
        <v/>
      </c>
      <c r="J1746">
        <f>IF(ISNUMBER(B1746),YEAR(B1746)*100+MONTH(B1746),"")</f>
        <v/>
      </c>
      <c r="K1746">
        <f>IF(AND(H1746="",OR(F1746="Attended",F1746="No-show",AND(F1746="Late cancel",Settings!$C$9="Yes"))),1,0)</f>
        <v/>
      </c>
      <c r="L1746">
        <f>IF(AND(H1746="",F1746="Attended"),1,0)</f>
        <v/>
      </c>
      <c r="M1746">
        <f>IF(AND(H1746="",OR(F1746="No-show",F1746="Late cancel")),1,0)</f>
        <v/>
      </c>
      <c r="N1746">
        <f>IF(AND(H1746="",F1746="",D1746&lt;&gt;"",I1746&gt;=TODAY()),ROUND((I1746+IF(ISNUMBER(C1746),MOD(C1746,1),0))*1440,0)*10000+ROW(),"")</f>
        <v/>
      </c>
    </row>
    <row r="1747">
      <c r="A1747" s="1" t="n"/>
      <c r="B1747" s="17" t="n"/>
      <c r="C1747" s="18" t="n"/>
      <c r="D1747" s="19" t="n"/>
      <c r="E1747" s="20" t="n"/>
      <c r="F1747" s="20" t="n"/>
      <c r="G1747" s="21" t="n"/>
      <c r="H1747" s="12">
        <f>IF(AND(B1747="",D1747="",F1747=""),"",IF(NOT(ISNUMBER(B1747)),"Needs a date",IF(D1747="","Needs a client",IF(COUNTIF(Clients!$B$6:$B$105,D1747)=0,"Not on Clients",IF(AND(F1747="",INT(B1747)&lt;TODAY()),"Needs a status","")))))</f>
        <v/>
      </c>
      <c r="I1747" s="1">
        <f>IF(ISNUMBER(B1747),INT(B1747),0)</f>
        <v/>
      </c>
      <c r="J1747">
        <f>IF(ISNUMBER(B1747),YEAR(B1747)*100+MONTH(B1747),"")</f>
        <v/>
      </c>
      <c r="K1747">
        <f>IF(AND(H1747="",OR(F1747="Attended",F1747="No-show",AND(F1747="Late cancel",Settings!$C$9="Yes"))),1,0)</f>
        <v/>
      </c>
      <c r="L1747">
        <f>IF(AND(H1747="",F1747="Attended"),1,0)</f>
        <v/>
      </c>
      <c r="M1747">
        <f>IF(AND(H1747="",OR(F1747="No-show",F1747="Late cancel")),1,0)</f>
        <v/>
      </c>
      <c r="N1747">
        <f>IF(AND(H1747="",F1747="",D1747&lt;&gt;"",I1747&gt;=TODAY()),ROUND((I1747+IF(ISNUMBER(C1747),MOD(C1747,1),0))*1440,0)*10000+ROW(),"")</f>
        <v/>
      </c>
    </row>
    <row r="1748">
      <c r="A1748" s="1" t="n"/>
      <c r="B1748" s="17" t="n"/>
      <c r="C1748" s="18" t="n"/>
      <c r="D1748" s="19" t="n"/>
      <c r="E1748" s="20" t="n"/>
      <c r="F1748" s="20" t="n"/>
      <c r="G1748" s="21" t="n"/>
      <c r="H1748" s="12">
        <f>IF(AND(B1748="",D1748="",F1748=""),"",IF(NOT(ISNUMBER(B1748)),"Needs a date",IF(D1748="","Needs a client",IF(COUNTIF(Clients!$B$6:$B$105,D1748)=0,"Not on Clients",IF(AND(F1748="",INT(B1748)&lt;TODAY()),"Needs a status","")))))</f>
        <v/>
      </c>
      <c r="I1748" s="1">
        <f>IF(ISNUMBER(B1748),INT(B1748),0)</f>
        <v/>
      </c>
      <c r="J1748">
        <f>IF(ISNUMBER(B1748),YEAR(B1748)*100+MONTH(B1748),"")</f>
        <v/>
      </c>
      <c r="K1748">
        <f>IF(AND(H1748="",OR(F1748="Attended",F1748="No-show",AND(F1748="Late cancel",Settings!$C$9="Yes"))),1,0)</f>
        <v/>
      </c>
      <c r="L1748">
        <f>IF(AND(H1748="",F1748="Attended"),1,0)</f>
        <v/>
      </c>
      <c r="M1748">
        <f>IF(AND(H1748="",OR(F1748="No-show",F1748="Late cancel")),1,0)</f>
        <v/>
      </c>
      <c r="N1748">
        <f>IF(AND(H1748="",F1748="",D1748&lt;&gt;"",I1748&gt;=TODAY()),ROUND((I1748+IF(ISNUMBER(C1748),MOD(C1748,1),0))*1440,0)*10000+ROW(),"")</f>
        <v/>
      </c>
    </row>
    <row r="1749">
      <c r="A1749" s="1" t="n"/>
      <c r="B1749" s="17" t="n"/>
      <c r="C1749" s="18" t="n"/>
      <c r="D1749" s="19" t="n"/>
      <c r="E1749" s="20" t="n"/>
      <c r="F1749" s="20" t="n"/>
      <c r="G1749" s="21" t="n"/>
      <c r="H1749" s="12">
        <f>IF(AND(B1749="",D1749="",F1749=""),"",IF(NOT(ISNUMBER(B1749)),"Needs a date",IF(D1749="","Needs a client",IF(COUNTIF(Clients!$B$6:$B$105,D1749)=0,"Not on Clients",IF(AND(F1749="",INT(B1749)&lt;TODAY()),"Needs a status","")))))</f>
        <v/>
      </c>
      <c r="I1749" s="1">
        <f>IF(ISNUMBER(B1749),INT(B1749),0)</f>
        <v/>
      </c>
      <c r="J1749">
        <f>IF(ISNUMBER(B1749),YEAR(B1749)*100+MONTH(B1749),"")</f>
        <v/>
      </c>
      <c r="K1749">
        <f>IF(AND(H1749="",OR(F1749="Attended",F1749="No-show",AND(F1749="Late cancel",Settings!$C$9="Yes"))),1,0)</f>
        <v/>
      </c>
      <c r="L1749">
        <f>IF(AND(H1749="",F1749="Attended"),1,0)</f>
        <v/>
      </c>
      <c r="M1749">
        <f>IF(AND(H1749="",OR(F1749="No-show",F1749="Late cancel")),1,0)</f>
        <v/>
      </c>
      <c r="N1749">
        <f>IF(AND(H1749="",F1749="",D1749&lt;&gt;"",I1749&gt;=TODAY()),ROUND((I1749+IF(ISNUMBER(C1749),MOD(C1749,1),0))*1440,0)*10000+ROW(),"")</f>
        <v/>
      </c>
    </row>
    <row r="1750">
      <c r="A1750" s="1" t="n"/>
      <c r="B1750" s="17" t="n"/>
      <c r="C1750" s="18" t="n"/>
      <c r="D1750" s="19" t="n"/>
      <c r="E1750" s="20" t="n"/>
      <c r="F1750" s="20" t="n"/>
      <c r="G1750" s="21" t="n"/>
      <c r="H1750" s="12">
        <f>IF(AND(B1750="",D1750="",F1750=""),"",IF(NOT(ISNUMBER(B1750)),"Needs a date",IF(D1750="","Needs a client",IF(COUNTIF(Clients!$B$6:$B$105,D1750)=0,"Not on Clients",IF(AND(F1750="",INT(B1750)&lt;TODAY()),"Needs a status","")))))</f>
        <v/>
      </c>
      <c r="I1750" s="1">
        <f>IF(ISNUMBER(B1750),INT(B1750),0)</f>
        <v/>
      </c>
      <c r="J1750">
        <f>IF(ISNUMBER(B1750),YEAR(B1750)*100+MONTH(B1750),"")</f>
        <v/>
      </c>
      <c r="K1750">
        <f>IF(AND(H1750="",OR(F1750="Attended",F1750="No-show",AND(F1750="Late cancel",Settings!$C$9="Yes"))),1,0)</f>
        <v/>
      </c>
      <c r="L1750">
        <f>IF(AND(H1750="",F1750="Attended"),1,0)</f>
        <v/>
      </c>
      <c r="M1750">
        <f>IF(AND(H1750="",OR(F1750="No-show",F1750="Late cancel")),1,0)</f>
        <v/>
      </c>
      <c r="N1750">
        <f>IF(AND(H1750="",F1750="",D1750&lt;&gt;"",I1750&gt;=TODAY()),ROUND((I1750+IF(ISNUMBER(C1750),MOD(C1750,1),0))*1440,0)*10000+ROW(),"")</f>
        <v/>
      </c>
    </row>
    <row r="1751">
      <c r="A1751" s="1" t="n"/>
      <c r="B1751" s="17" t="n"/>
      <c r="C1751" s="18" t="n"/>
      <c r="D1751" s="19" t="n"/>
      <c r="E1751" s="20" t="n"/>
      <c r="F1751" s="20" t="n"/>
      <c r="G1751" s="21" t="n"/>
      <c r="H1751" s="12">
        <f>IF(AND(B1751="",D1751="",F1751=""),"",IF(NOT(ISNUMBER(B1751)),"Needs a date",IF(D1751="","Needs a client",IF(COUNTIF(Clients!$B$6:$B$105,D1751)=0,"Not on Clients",IF(AND(F1751="",INT(B1751)&lt;TODAY()),"Needs a status","")))))</f>
        <v/>
      </c>
      <c r="I1751" s="1">
        <f>IF(ISNUMBER(B1751),INT(B1751),0)</f>
        <v/>
      </c>
      <c r="J1751">
        <f>IF(ISNUMBER(B1751),YEAR(B1751)*100+MONTH(B1751),"")</f>
        <v/>
      </c>
      <c r="K1751">
        <f>IF(AND(H1751="",OR(F1751="Attended",F1751="No-show",AND(F1751="Late cancel",Settings!$C$9="Yes"))),1,0)</f>
        <v/>
      </c>
      <c r="L1751">
        <f>IF(AND(H1751="",F1751="Attended"),1,0)</f>
        <v/>
      </c>
      <c r="M1751">
        <f>IF(AND(H1751="",OR(F1751="No-show",F1751="Late cancel")),1,0)</f>
        <v/>
      </c>
      <c r="N1751">
        <f>IF(AND(H1751="",F1751="",D1751&lt;&gt;"",I1751&gt;=TODAY()),ROUND((I1751+IF(ISNUMBER(C1751),MOD(C1751,1),0))*1440,0)*10000+ROW(),"")</f>
        <v/>
      </c>
    </row>
    <row r="1752">
      <c r="A1752" s="1" t="n"/>
      <c r="B1752" s="17" t="n"/>
      <c r="C1752" s="18" t="n"/>
      <c r="D1752" s="19" t="n"/>
      <c r="E1752" s="20" t="n"/>
      <c r="F1752" s="20" t="n"/>
      <c r="G1752" s="21" t="n"/>
      <c r="H1752" s="12">
        <f>IF(AND(B1752="",D1752="",F1752=""),"",IF(NOT(ISNUMBER(B1752)),"Needs a date",IF(D1752="","Needs a client",IF(COUNTIF(Clients!$B$6:$B$105,D1752)=0,"Not on Clients",IF(AND(F1752="",INT(B1752)&lt;TODAY()),"Needs a status","")))))</f>
        <v/>
      </c>
      <c r="I1752" s="1">
        <f>IF(ISNUMBER(B1752),INT(B1752),0)</f>
        <v/>
      </c>
      <c r="J1752">
        <f>IF(ISNUMBER(B1752),YEAR(B1752)*100+MONTH(B1752),"")</f>
        <v/>
      </c>
      <c r="K1752">
        <f>IF(AND(H1752="",OR(F1752="Attended",F1752="No-show",AND(F1752="Late cancel",Settings!$C$9="Yes"))),1,0)</f>
        <v/>
      </c>
      <c r="L1752">
        <f>IF(AND(H1752="",F1752="Attended"),1,0)</f>
        <v/>
      </c>
      <c r="M1752">
        <f>IF(AND(H1752="",OR(F1752="No-show",F1752="Late cancel")),1,0)</f>
        <v/>
      </c>
      <c r="N1752">
        <f>IF(AND(H1752="",F1752="",D1752&lt;&gt;"",I1752&gt;=TODAY()),ROUND((I1752+IF(ISNUMBER(C1752),MOD(C1752,1),0))*1440,0)*10000+ROW(),"")</f>
        <v/>
      </c>
    </row>
    <row r="1753">
      <c r="A1753" s="1" t="n"/>
      <c r="B1753" s="17" t="n"/>
      <c r="C1753" s="18" t="n"/>
      <c r="D1753" s="19" t="n"/>
      <c r="E1753" s="20" t="n"/>
      <c r="F1753" s="20" t="n"/>
      <c r="G1753" s="21" t="n"/>
      <c r="H1753" s="12">
        <f>IF(AND(B1753="",D1753="",F1753=""),"",IF(NOT(ISNUMBER(B1753)),"Needs a date",IF(D1753="","Needs a client",IF(COUNTIF(Clients!$B$6:$B$105,D1753)=0,"Not on Clients",IF(AND(F1753="",INT(B1753)&lt;TODAY()),"Needs a status","")))))</f>
        <v/>
      </c>
      <c r="I1753" s="1">
        <f>IF(ISNUMBER(B1753),INT(B1753),0)</f>
        <v/>
      </c>
      <c r="J1753">
        <f>IF(ISNUMBER(B1753),YEAR(B1753)*100+MONTH(B1753),"")</f>
        <v/>
      </c>
      <c r="K1753">
        <f>IF(AND(H1753="",OR(F1753="Attended",F1753="No-show",AND(F1753="Late cancel",Settings!$C$9="Yes"))),1,0)</f>
        <v/>
      </c>
      <c r="L1753">
        <f>IF(AND(H1753="",F1753="Attended"),1,0)</f>
        <v/>
      </c>
      <c r="M1753">
        <f>IF(AND(H1753="",OR(F1753="No-show",F1753="Late cancel")),1,0)</f>
        <v/>
      </c>
      <c r="N1753">
        <f>IF(AND(H1753="",F1753="",D1753&lt;&gt;"",I1753&gt;=TODAY()),ROUND((I1753+IF(ISNUMBER(C1753),MOD(C1753,1),0))*1440,0)*10000+ROW(),"")</f>
        <v/>
      </c>
    </row>
    <row r="1754">
      <c r="A1754" s="1" t="n"/>
      <c r="B1754" s="17" t="n"/>
      <c r="C1754" s="18" t="n"/>
      <c r="D1754" s="19" t="n"/>
      <c r="E1754" s="20" t="n"/>
      <c r="F1754" s="20" t="n"/>
      <c r="G1754" s="21" t="n"/>
      <c r="H1754" s="12">
        <f>IF(AND(B1754="",D1754="",F1754=""),"",IF(NOT(ISNUMBER(B1754)),"Needs a date",IF(D1754="","Needs a client",IF(COUNTIF(Clients!$B$6:$B$105,D1754)=0,"Not on Clients",IF(AND(F1754="",INT(B1754)&lt;TODAY()),"Needs a status","")))))</f>
        <v/>
      </c>
      <c r="I1754" s="1">
        <f>IF(ISNUMBER(B1754),INT(B1754),0)</f>
        <v/>
      </c>
      <c r="J1754">
        <f>IF(ISNUMBER(B1754),YEAR(B1754)*100+MONTH(B1754),"")</f>
        <v/>
      </c>
      <c r="K1754">
        <f>IF(AND(H1754="",OR(F1754="Attended",F1754="No-show",AND(F1754="Late cancel",Settings!$C$9="Yes"))),1,0)</f>
        <v/>
      </c>
      <c r="L1754">
        <f>IF(AND(H1754="",F1754="Attended"),1,0)</f>
        <v/>
      </c>
      <c r="M1754">
        <f>IF(AND(H1754="",OR(F1754="No-show",F1754="Late cancel")),1,0)</f>
        <v/>
      </c>
      <c r="N1754">
        <f>IF(AND(H1754="",F1754="",D1754&lt;&gt;"",I1754&gt;=TODAY()),ROUND((I1754+IF(ISNUMBER(C1754),MOD(C1754,1),0))*1440,0)*10000+ROW(),"")</f>
        <v/>
      </c>
    </row>
    <row r="1755">
      <c r="A1755" s="1" t="n"/>
      <c r="B1755" s="17" t="n"/>
      <c r="C1755" s="18" t="n"/>
      <c r="D1755" s="19" t="n"/>
      <c r="E1755" s="20" t="n"/>
      <c r="F1755" s="20" t="n"/>
      <c r="G1755" s="21" t="n"/>
      <c r="H1755" s="12">
        <f>IF(AND(B1755="",D1755="",F1755=""),"",IF(NOT(ISNUMBER(B1755)),"Needs a date",IF(D1755="","Needs a client",IF(COUNTIF(Clients!$B$6:$B$105,D1755)=0,"Not on Clients",IF(AND(F1755="",INT(B1755)&lt;TODAY()),"Needs a status","")))))</f>
        <v/>
      </c>
      <c r="I1755" s="1">
        <f>IF(ISNUMBER(B1755),INT(B1755),0)</f>
        <v/>
      </c>
      <c r="J1755">
        <f>IF(ISNUMBER(B1755),YEAR(B1755)*100+MONTH(B1755),"")</f>
        <v/>
      </c>
      <c r="K1755">
        <f>IF(AND(H1755="",OR(F1755="Attended",F1755="No-show",AND(F1755="Late cancel",Settings!$C$9="Yes"))),1,0)</f>
        <v/>
      </c>
      <c r="L1755">
        <f>IF(AND(H1755="",F1755="Attended"),1,0)</f>
        <v/>
      </c>
      <c r="M1755">
        <f>IF(AND(H1755="",OR(F1755="No-show",F1755="Late cancel")),1,0)</f>
        <v/>
      </c>
      <c r="N1755">
        <f>IF(AND(H1755="",F1755="",D1755&lt;&gt;"",I1755&gt;=TODAY()),ROUND((I1755+IF(ISNUMBER(C1755),MOD(C1755,1),0))*1440,0)*10000+ROW(),"")</f>
        <v/>
      </c>
    </row>
    <row r="1756">
      <c r="A1756" s="1" t="n"/>
      <c r="B1756" s="17" t="n"/>
      <c r="C1756" s="18" t="n"/>
      <c r="D1756" s="19" t="n"/>
      <c r="E1756" s="20" t="n"/>
      <c r="F1756" s="20" t="n"/>
      <c r="G1756" s="21" t="n"/>
      <c r="H1756" s="12">
        <f>IF(AND(B1756="",D1756="",F1756=""),"",IF(NOT(ISNUMBER(B1756)),"Needs a date",IF(D1756="","Needs a client",IF(COUNTIF(Clients!$B$6:$B$105,D1756)=0,"Not on Clients",IF(AND(F1756="",INT(B1756)&lt;TODAY()),"Needs a status","")))))</f>
        <v/>
      </c>
      <c r="I1756" s="1">
        <f>IF(ISNUMBER(B1756),INT(B1756),0)</f>
        <v/>
      </c>
      <c r="J1756">
        <f>IF(ISNUMBER(B1756),YEAR(B1756)*100+MONTH(B1756),"")</f>
        <v/>
      </c>
      <c r="K1756">
        <f>IF(AND(H1756="",OR(F1756="Attended",F1756="No-show",AND(F1756="Late cancel",Settings!$C$9="Yes"))),1,0)</f>
        <v/>
      </c>
      <c r="L1756">
        <f>IF(AND(H1756="",F1756="Attended"),1,0)</f>
        <v/>
      </c>
      <c r="M1756">
        <f>IF(AND(H1756="",OR(F1756="No-show",F1756="Late cancel")),1,0)</f>
        <v/>
      </c>
      <c r="N1756">
        <f>IF(AND(H1756="",F1756="",D1756&lt;&gt;"",I1756&gt;=TODAY()),ROUND((I1756+IF(ISNUMBER(C1756),MOD(C1756,1),0))*1440,0)*10000+ROW(),"")</f>
        <v/>
      </c>
    </row>
    <row r="1757">
      <c r="A1757" s="1" t="n"/>
      <c r="B1757" s="17" t="n"/>
      <c r="C1757" s="18" t="n"/>
      <c r="D1757" s="19" t="n"/>
      <c r="E1757" s="20" t="n"/>
      <c r="F1757" s="20" t="n"/>
      <c r="G1757" s="21" t="n"/>
      <c r="H1757" s="12">
        <f>IF(AND(B1757="",D1757="",F1757=""),"",IF(NOT(ISNUMBER(B1757)),"Needs a date",IF(D1757="","Needs a client",IF(COUNTIF(Clients!$B$6:$B$105,D1757)=0,"Not on Clients",IF(AND(F1757="",INT(B1757)&lt;TODAY()),"Needs a status","")))))</f>
        <v/>
      </c>
      <c r="I1757" s="1">
        <f>IF(ISNUMBER(B1757),INT(B1757),0)</f>
        <v/>
      </c>
      <c r="J1757">
        <f>IF(ISNUMBER(B1757),YEAR(B1757)*100+MONTH(B1757),"")</f>
        <v/>
      </c>
      <c r="K1757">
        <f>IF(AND(H1757="",OR(F1757="Attended",F1757="No-show",AND(F1757="Late cancel",Settings!$C$9="Yes"))),1,0)</f>
        <v/>
      </c>
      <c r="L1757">
        <f>IF(AND(H1757="",F1757="Attended"),1,0)</f>
        <v/>
      </c>
      <c r="M1757">
        <f>IF(AND(H1757="",OR(F1757="No-show",F1757="Late cancel")),1,0)</f>
        <v/>
      </c>
      <c r="N1757">
        <f>IF(AND(H1757="",F1757="",D1757&lt;&gt;"",I1757&gt;=TODAY()),ROUND((I1757+IF(ISNUMBER(C1757),MOD(C1757,1),0))*1440,0)*10000+ROW(),"")</f>
        <v/>
      </c>
    </row>
    <row r="1758">
      <c r="A1758" s="1" t="n"/>
      <c r="B1758" s="17" t="n"/>
      <c r="C1758" s="18" t="n"/>
      <c r="D1758" s="19" t="n"/>
      <c r="E1758" s="20" t="n"/>
      <c r="F1758" s="20" t="n"/>
      <c r="G1758" s="21" t="n"/>
      <c r="H1758" s="12">
        <f>IF(AND(B1758="",D1758="",F1758=""),"",IF(NOT(ISNUMBER(B1758)),"Needs a date",IF(D1758="","Needs a client",IF(COUNTIF(Clients!$B$6:$B$105,D1758)=0,"Not on Clients",IF(AND(F1758="",INT(B1758)&lt;TODAY()),"Needs a status","")))))</f>
        <v/>
      </c>
      <c r="I1758" s="1">
        <f>IF(ISNUMBER(B1758),INT(B1758),0)</f>
        <v/>
      </c>
      <c r="J1758">
        <f>IF(ISNUMBER(B1758),YEAR(B1758)*100+MONTH(B1758),"")</f>
        <v/>
      </c>
      <c r="K1758">
        <f>IF(AND(H1758="",OR(F1758="Attended",F1758="No-show",AND(F1758="Late cancel",Settings!$C$9="Yes"))),1,0)</f>
        <v/>
      </c>
      <c r="L1758">
        <f>IF(AND(H1758="",F1758="Attended"),1,0)</f>
        <v/>
      </c>
      <c r="M1758">
        <f>IF(AND(H1758="",OR(F1758="No-show",F1758="Late cancel")),1,0)</f>
        <v/>
      </c>
      <c r="N1758">
        <f>IF(AND(H1758="",F1758="",D1758&lt;&gt;"",I1758&gt;=TODAY()),ROUND((I1758+IF(ISNUMBER(C1758),MOD(C1758,1),0))*1440,0)*10000+ROW(),"")</f>
        <v/>
      </c>
    </row>
    <row r="1759">
      <c r="A1759" s="1" t="n"/>
      <c r="B1759" s="17" t="n"/>
      <c r="C1759" s="18" t="n"/>
      <c r="D1759" s="19" t="n"/>
      <c r="E1759" s="20" t="n"/>
      <c r="F1759" s="20" t="n"/>
      <c r="G1759" s="21" t="n"/>
      <c r="H1759" s="12">
        <f>IF(AND(B1759="",D1759="",F1759=""),"",IF(NOT(ISNUMBER(B1759)),"Needs a date",IF(D1759="","Needs a client",IF(COUNTIF(Clients!$B$6:$B$105,D1759)=0,"Not on Clients",IF(AND(F1759="",INT(B1759)&lt;TODAY()),"Needs a status","")))))</f>
        <v/>
      </c>
      <c r="I1759" s="1">
        <f>IF(ISNUMBER(B1759),INT(B1759),0)</f>
        <v/>
      </c>
      <c r="J1759">
        <f>IF(ISNUMBER(B1759),YEAR(B1759)*100+MONTH(B1759),"")</f>
        <v/>
      </c>
      <c r="K1759">
        <f>IF(AND(H1759="",OR(F1759="Attended",F1759="No-show",AND(F1759="Late cancel",Settings!$C$9="Yes"))),1,0)</f>
        <v/>
      </c>
      <c r="L1759">
        <f>IF(AND(H1759="",F1759="Attended"),1,0)</f>
        <v/>
      </c>
      <c r="M1759">
        <f>IF(AND(H1759="",OR(F1759="No-show",F1759="Late cancel")),1,0)</f>
        <v/>
      </c>
      <c r="N1759">
        <f>IF(AND(H1759="",F1759="",D1759&lt;&gt;"",I1759&gt;=TODAY()),ROUND((I1759+IF(ISNUMBER(C1759),MOD(C1759,1),0))*1440,0)*10000+ROW(),"")</f>
        <v/>
      </c>
    </row>
    <row r="1760">
      <c r="A1760" s="1" t="n"/>
      <c r="B1760" s="17" t="n"/>
      <c r="C1760" s="18" t="n"/>
      <c r="D1760" s="19" t="n"/>
      <c r="E1760" s="20" t="n"/>
      <c r="F1760" s="20" t="n"/>
      <c r="G1760" s="21" t="n"/>
      <c r="H1760" s="12">
        <f>IF(AND(B1760="",D1760="",F1760=""),"",IF(NOT(ISNUMBER(B1760)),"Needs a date",IF(D1760="","Needs a client",IF(COUNTIF(Clients!$B$6:$B$105,D1760)=0,"Not on Clients",IF(AND(F1760="",INT(B1760)&lt;TODAY()),"Needs a status","")))))</f>
        <v/>
      </c>
      <c r="I1760" s="1">
        <f>IF(ISNUMBER(B1760),INT(B1760),0)</f>
        <v/>
      </c>
      <c r="J1760">
        <f>IF(ISNUMBER(B1760),YEAR(B1760)*100+MONTH(B1760),"")</f>
        <v/>
      </c>
      <c r="K1760">
        <f>IF(AND(H1760="",OR(F1760="Attended",F1760="No-show",AND(F1760="Late cancel",Settings!$C$9="Yes"))),1,0)</f>
        <v/>
      </c>
      <c r="L1760">
        <f>IF(AND(H1760="",F1760="Attended"),1,0)</f>
        <v/>
      </c>
      <c r="M1760">
        <f>IF(AND(H1760="",OR(F1760="No-show",F1760="Late cancel")),1,0)</f>
        <v/>
      </c>
      <c r="N1760">
        <f>IF(AND(H1760="",F1760="",D1760&lt;&gt;"",I1760&gt;=TODAY()),ROUND((I1760+IF(ISNUMBER(C1760),MOD(C1760,1),0))*1440,0)*10000+ROW(),"")</f>
        <v/>
      </c>
    </row>
    <row r="1761">
      <c r="A1761" s="1" t="n"/>
      <c r="B1761" s="17" t="n"/>
      <c r="C1761" s="18" t="n"/>
      <c r="D1761" s="19" t="n"/>
      <c r="E1761" s="20" t="n"/>
      <c r="F1761" s="20" t="n"/>
      <c r="G1761" s="21" t="n"/>
      <c r="H1761" s="12">
        <f>IF(AND(B1761="",D1761="",F1761=""),"",IF(NOT(ISNUMBER(B1761)),"Needs a date",IF(D1761="","Needs a client",IF(COUNTIF(Clients!$B$6:$B$105,D1761)=0,"Not on Clients",IF(AND(F1761="",INT(B1761)&lt;TODAY()),"Needs a status","")))))</f>
        <v/>
      </c>
      <c r="I1761" s="1">
        <f>IF(ISNUMBER(B1761),INT(B1761),0)</f>
        <v/>
      </c>
      <c r="J1761">
        <f>IF(ISNUMBER(B1761),YEAR(B1761)*100+MONTH(B1761),"")</f>
        <v/>
      </c>
      <c r="K1761">
        <f>IF(AND(H1761="",OR(F1761="Attended",F1761="No-show",AND(F1761="Late cancel",Settings!$C$9="Yes"))),1,0)</f>
        <v/>
      </c>
      <c r="L1761">
        <f>IF(AND(H1761="",F1761="Attended"),1,0)</f>
        <v/>
      </c>
      <c r="M1761">
        <f>IF(AND(H1761="",OR(F1761="No-show",F1761="Late cancel")),1,0)</f>
        <v/>
      </c>
      <c r="N1761">
        <f>IF(AND(H1761="",F1761="",D1761&lt;&gt;"",I1761&gt;=TODAY()),ROUND((I1761+IF(ISNUMBER(C1761),MOD(C1761,1),0))*1440,0)*10000+ROW(),"")</f>
        <v/>
      </c>
    </row>
    <row r="1762">
      <c r="A1762" s="1" t="n"/>
      <c r="B1762" s="17" t="n"/>
      <c r="C1762" s="18" t="n"/>
      <c r="D1762" s="19" t="n"/>
      <c r="E1762" s="20" t="n"/>
      <c r="F1762" s="20" t="n"/>
      <c r="G1762" s="21" t="n"/>
      <c r="H1762" s="12">
        <f>IF(AND(B1762="",D1762="",F1762=""),"",IF(NOT(ISNUMBER(B1762)),"Needs a date",IF(D1762="","Needs a client",IF(COUNTIF(Clients!$B$6:$B$105,D1762)=0,"Not on Clients",IF(AND(F1762="",INT(B1762)&lt;TODAY()),"Needs a status","")))))</f>
        <v/>
      </c>
      <c r="I1762" s="1">
        <f>IF(ISNUMBER(B1762),INT(B1762),0)</f>
        <v/>
      </c>
      <c r="J1762">
        <f>IF(ISNUMBER(B1762),YEAR(B1762)*100+MONTH(B1762),"")</f>
        <v/>
      </c>
      <c r="K1762">
        <f>IF(AND(H1762="",OR(F1762="Attended",F1762="No-show",AND(F1762="Late cancel",Settings!$C$9="Yes"))),1,0)</f>
        <v/>
      </c>
      <c r="L1762">
        <f>IF(AND(H1762="",F1762="Attended"),1,0)</f>
        <v/>
      </c>
      <c r="M1762">
        <f>IF(AND(H1762="",OR(F1762="No-show",F1762="Late cancel")),1,0)</f>
        <v/>
      </c>
      <c r="N1762">
        <f>IF(AND(H1762="",F1762="",D1762&lt;&gt;"",I1762&gt;=TODAY()),ROUND((I1762+IF(ISNUMBER(C1762),MOD(C1762,1),0))*1440,0)*10000+ROW(),"")</f>
        <v/>
      </c>
    </row>
    <row r="1763">
      <c r="A1763" s="1" t="n"/>
      <c r="B1763" s="17" t="n"/>
      <c r="C1763" s="18" t="n"/>
      <c r="D1763" s="19" t="n"/>
      <c r="E1763" s="20" t="n"/>
      <c r="F1763" s="20" t="n"/>
      <c r="G1763" s="21" t="n"/>
      <c r="H1763" s="12">
        <f>IF(AND(B1763="",D1763="",F1763=""),"",IF(NOT(ISNUMBER(B1763)),"Needs a date",IF(D1763="","Needs a client",IF(COUNTIF(Clients!$B$6:$B$105,D1763)=0,"Not on Clients",IF(AND(F1763="",INT(B1763)&lt;TODAY()),"Needs a status","")))))</f>
        <v/>
      </c>
      <c r="I1763" s="1">
        <f>IF(ISNUMBER(B1763),INT(B1763),0)</f>
        <v/>
      </c>
      <c r="J1763">
        <f>IF(ISNUMBER(B1763),YEAR(B1763)*100+MONTH(B1763),"")</f>
        <v/>
      </c>
      <c r="K1763">
        <f>IF(AND(H1763="",OR(F1763="Attended",F1763="No-show",AND(F1763="Late cancel",Settings!$C$9="Yes"))),1,0)</f>
        <v/>
      </c>
      <c r="L1763">
        <f>IF(AND(H1763="",F1763="Attended"),1,0)</f>
        <v/>
      </c>
      <c r="M1763">
        <f>IF(AND(H1763="",OR(F1763="No-show",F1763="Late cancel")),1,0)</f>
        <v/>
      </c>
      <c r="N1763">
        <f>IF(AND(H1763="",F1763="",D1763&lt;&gt;"",I1763&gt;=TODAY()),ROUND((I1763+IF(ISNUMBER(C1763),MOD(C1763,1),0))*1440,0)*10000+ROW(),"")</f>
        <v/>
      </c>
    </row>
    <row r="1764">
      <c r="A1764" s="1" t="n"/>
      <c r="B1764" s="17" t="n"/>
      <c r="C1764" s="18" t="n"/>
      <c r="D1764" s="19" t="n"/>
      <c r="E1764" s="20" t="n"/>
      <c r="F1764" s="20" t="n"/>
      <c r="G1764" s="21" t="n"/>
      <c r="H1764" s="12">
        <f>IF(AND(B1764="",D1764="",F1764=""),"",IF(NOT(ISNUMBER(B1764)),"Needs a date",IF(D1764="","Needs a client",IF(COUNTIF(Clients!$B$6:$B$105,D1764)=0,"Not on Clients",IF(AND(F1764="",INT(B1764)&lt;TODAY()),"Needs a status","")))))</f>
        <v/>
      </c>
      <c r="I1764" s="1">
        <f>IF(ISNUMBER(B1764),INT(B1764),0)</f>
        <v/>
      </c>
      <c r="J1764">
        <f>IF(ISNUMBER(B1764),YEAR(B1764)*100+MONTH(B1764),"")</f>
        <v/>
      </c>
      <c r="K1764">
        <f>IF(AND(H1764="",OR(F1764="Attended",F1764="No-show",AND(F1764="Late cancel",Settings!$C$9="Yes"))),1,0)</f>
        <v/>
      </c>
      <c r="L1764">
        <f>IF(AND(H1764="",F1764="Attended"),1,0)</f>
        <v/>
      </c>
      <c r="M1764">
        <f>IF(AND(H1764="",OR(F1764="No-show",F1764="Late cancel")),1,0)</f>
        <v/>
      </c>
      <c r="N1764">
        <f>IF(AND(H1764="",F1764="",D1764&lt;&gt;"",I1764&gt;=TODAY()),ROUND((I1764+IF(ISNUMBER(C1764),MOD(C1764,1),0))*1440,0)*10000+ROW(),"")</f>
        <v/>
      </c>
    </row>
    <row r="1765">
      <c r="A1765" s="1" t="n"/>
      <c r="B1765" s="17" t="n"/>
      <c r="C1765" s="18" t="n"/>
      <c r="D1765" s="19" t="n"/>
      <c r="E1765" s="20" t="n"/>
      <c r="F1765" s="20" t="n"/>
      <c r="G1765" s="21" t="n"/>
      <c r="H1765" s="12">
        <f>IF(AND(B1765="",D1765="",F1765=""),"",IF(NOT(ISNUMBER(B1765)),"Needs a date",IF(D1765="","Needs a client",IF(COUNTIF(Clients!$B$6:$B$105,D1765)=0,"Not on Clients",IF(AND(F1765="",INT(B1765)&lt;TODAY()),"Needs a status","")))))</f>
        <v/>
      </c>
      <c r="I1765" s="1">
        <f>IF(ISNUMBER(B1765),INT(B1765),0)</f>
        <v/>
      </c>
      <c r="J1765">
        <f>IF(ISNUMBER(B1765),YEAR(B1765)*100+MONTH(B1765),"")</f>
        <v/>
      </c>
      <c r="K1765">
        <f>IF(AND(H1765="",OR(F1765="Attended",F1765="No-show",AND(F1765="Late cancel",Settings!$C$9="Yes"))),1,0)</f>
        <v/>
      </c>
      <c r="L1765">
        <f>IF(AND(H1765="",F1765="Attended"),1,0)</f>
        <v/>
      </c>
      <c r="M1765">
        <f>IF(AND(H1765="",OR(F1765="No-show",F1765="Late cancel")),1,0)</f>
        <v/>
      </c>
      <c r="N1765">
        <f>IF(AND(H1765="",F1765="",D1765&lt;&gt;"",I1765&gt;=TODAY()),ROUND((I1765+IF(ISNUMBER(C1765),MOD(C1765,1),0))*1440,0)*10000+ROW(),"")</f>
        <v/>
      </c>
    </row>
    <row r="1766">
      <c r="A1766" s="1" t="n"/>
      <c r="B1766" s="17" t="n"/>
      <c r="C1766" s="18" t="n"/>
      <c r="D1766" s="19" t="n"/>
      <c r="E1766" s="20" t="n"/>
      <c r="F1766" s="20" t="n"/>
      <c r="G1766" s="21" t="n"/>
      <c r="H1766" s="12">
        <f>IF(AND(B1766="",D1766="",F1766=""),"",IF(NOT(ISNUMBER(B1766)),"Needs a date",IF(D1766="","Needs a client",IF(COUNTIF(Clients!$B$6:$B$105,D1766)=0,"Not on Clients",IF(AND(F1766="",INT(B1766)&lt;TODAY()),"Needs a status","")))))</f>
        <v/>
      </c>
      <c r="I1766" s="1">
        <f>IF(ISNUMBER(B1766),INT(B1766),0)</f>
        <v/>
      </c>
      <c r="J1766">
        <f>IF(ISNUMBER(B1766),YEAR(B1766)*100+MONTH(B1766),"")</f>
        <v/>
      </c>
      <c r="K1766">
        <f>IF(AND(H1766="",OR(F1766="Attended",F1766="No-show",AND(F1766="Late cancel",Settings!$C$9="Yes"))),1,0)</f>
        <v/>
      </c>
      <c r="L1766">
        <f>IF(AND(H1766="",F1766="Attended"),1,0)</f>
        <v/>
      </c>
      <c r="M1766">
        <f>IF(AND(H1766="",OR(F1766="No-show",F1766="Late cancel")),1,0)</f>
        <v/>
      </c>
      <c r="N1766">
        <f>IF(AND(H1766="",F1766="",D1766&lt;&gt;"",I1766&gt;=TODAY()),ROUND((I1766+IF(ISNUMBER(C1766),MOD(C1766,1),0))*1440,0)*10000+ROW(),"")</f>
        <v/>
      </c>
    </row>
    <row r="1767">
      <c r="A1767" s="1" t="n"/>
      <c r="B1767" s="17" t="n"/>
      <c r="C1767" s="18" t="n"/>
      <c r="D1767" s="19" t="n"/>
      <c r="E1767" s="20" t="n"/>
      <c r="F1767" s="20" t="n"/>
      <c r="G1767" s="21" t="n"/>
      <c r="H1767" s="12">
        <f>IF(AND(B1767="",D1767="",F1767=""),"",IF(NOT(ISNUMBER(B1767)),"Needs a date",IF(D1767="","Needs a client",IF(COUNTIF(Clients!$B$6:$B$105,D1767)=0,"Not on Clients",IF(AND(F1767="",INT(B1767)&lt;TODAY()),"Needs a status","")))))</f>
        <v/>
      </c>
      <c r="I1767" s="1">
        <f>IF(ISNUMBER(B1767),INT(B1767),0)</f>
        <v/>
      </c>
      <c r="J1767">
        <f>IF(ISNUMBER(B1767),YEAR(B1767)*100+MONTH(B1767),"")</f>
        <v/>
      </c>
      <c r="K1767">
        <f>IF(AND(H1767="",OR(F1767="Attended",F1767="No-show",AND(F1767="Late cancel",Settings!$C$9="Yes"))),1,0)</f>
        <v/>
      </c>
      <c r="L1767">
        <f>IF(AND(H1767="",F1767="Attended"),1,0)</f>
        <v/>
      </c>
      <c r="M1767">
        <f>IF(AND(H1767="",OR(F1767="No-show",F1767="Late cancel")),1,0)</f>
        <v/>
      </c>
      <c r="N1767">
        <f>IF(AND(H1767="",F1767="",D1767&lt;&gt;"",I1767&gt;=TODAY()),ROUND((I1767+IF(ISNUMBER(C1767),MOD(C1767,1),0))*1440,0)*10000+ROW(),"")</f>
        <v/>
      </c>
    </row>
    <row r="1768">
      <c r="A1768" s="1" t="n"/>
      <c r="B1768" s="17" t="n"/>
      <c r="C1768" s="18" t="n"/>
      <c r="D1768" s="19" t="n"/>
      <c r="E1768" s="20" t="n"/>
      <c r="F1768" s="20" t="n"/>
      <c r="G1768" s="21" t="n"/>
      <c r="H1768" s="12">
        <f>IF(AND(B1768="",D1768="",F1768=""),"",IF(NOT(ISNUMBER(B1768)),"Needs a date",IF(D1768="","Needs a client",IF(COUNTIF(Clients!$B$6:$B$105,D1768)=0,"Not on Clients",IF(AND(F1768="",INT(B1768)&lt;TODAY()),"Needs a status","")))))</f>
        <v/>
      </c>
      <c r="I1768" s="1">
        <f>IF(ISNUMBER(B1768),INT(B1768),0)</f>
        <v/>
      </c>
      <c r="J1768">
        <f>IF(ISNUMBER(B1768),YEAR(B1768)*100+MONTH(B1768),"")</f>
        <v/>
      </c>
      <c r="K1768">
        <f>IF(AND(H1768="",OR(F1768="Attended",F1768="No-show",AND(F1768="Late cancel",Settings!$C$9="Yes"))),1,0)</f>
        <v/>
      </c>
      <c r="L1768">
        <f>IF(AND(H1768="",F1768="Attended"),1,0)</f>
        <v/>
      </c>
      <c r="M1768">
        <f>IF(AND(H1768="",OR(F1768="No-show",F1768="Late cancel")),1,0)</f>
        <v/>
      </c>
      <c r="N1768">
        <f>IF(AND(H1768="",F1768="",D1768&lt;&gt;"",I1768&gt;=TODAY()),ROUND((I1768+IF(ISNUMBER(C1768),MOD(C1768,1),0))*1440,0)*10000+ROW(),"")</f>
        <v/>
      </c>
    </row>
    <row r="1769">
      <c r="A1769" s="1" t="n"/>
      <c r="B1769" s="17" t="n"/>
      <c r="C1769" s="18" t="n"/>
      <c r="D1769" s="19" t="n"/>
      <c r="E1769" s="20" t="n"/>
      <c r="F1769" s="20" t="n"/>
      <c r="G1769" s="21" t="n"/>
      <c r="H1769" s="12">
        <f>IF(AND(B1769="",D1769="",F1769=""),"",IF(NOT(ISNUMBER(B1769)),"Needs a date",IF(D1769="","Needs a client",IF(COUNTIF(Clients!$B$6:$B$105,D1769)=0,"Not on Clients",IF(AND(F1769="",INT(B1769)&lt;TODAY()),"Needs a status","")))))</f>
        <v/>
      </c>
      <c r="I1769" s="1">
        <f>IF(ISNUMBER(B1769),INT(B1769),0)</f>
        <v/>
      </c>
      <c r="J1769">
        <f>IF(ISNUMBER(B1769),YEAR(B1769)*100+MONTH(B1769),"")</f>
        <v/>
      </c>
      <c r="K1769">
        <f>IF(AND(H1769="",OR(F1769="Attended",F1769="No-show",AND(F1769="Late cancel",Settings!$C$9="Yes"))),1,0)</f>
        <v/>
      </c>
      <c r="L1769">
        <f>IF(AND(H1769="",F1769="Attended"),1,0)</f>
        <v/>
      </c>
      <c r="M1769">
        <f>IF(AND(H1769="",OR(F1769="No-show",F1769="Late cancel")),1,0)</f>
        <v/>
      </c>
      <c r="N1769">
        <f>IF(AND(H1769="",F1769="",D1769&lt;&gt;"",I1769&gt;=TODAY()),ROUND((I1769+IF(ISNUMBER(C1769),MOD(C1769,1),0))*1440,0)*10000+ROW(),"")</f>
        <v/>
      </c>
    </row>
    <row r="1770">
      <c r="A1770" s="1" t="n"/>
      <c r="B1770" s="17" t="n"/>
      <c r="C1770" s="18" t="n"/>
      <c r="D1770" s="19" t="n"/>
      <c r="E1770" s="20" t="n"/>
      <c r="F1770" s="20" t="n"/>
      <c r="G1770" s="21" t="n"/>
      <c r="H1770" s="12">
        <f>IF(AND(B1770="",D1770="",F1770=""),"",IF(NOT(ISNUMBER(B1770)),"Needs a date",IF(D1770="","Needs a client",IF(COUNTIF(Clients!$B$6:$B$105,D1770)=0,"Not on Clients",IF(AND(F1770="",INT(B1770)&lt;TODAY()),"Needs a status","")))))</f>
        <v/>
      </c>
      <c r="I1770" s="1">
        <f>IF(ISNUMBER(B1770),INT(B1770),0)</f>
        <v/>
      </c>
      <c r="J1770">
        <f>IF(ISNUMBER(B1770),YEAR(B1770)*100+MONTH(B1770),"")</f>
        <v/>
      </c>
      <c r="K1770">
        <f>IF(AND(H1770="",OR(F1770="Attended",F1770="No-show",AND(F1770="Late cancel",Settings!$C$9="Yes"))),1,0)</f>
        <v/>
      </c>
      <c r="L1770">
        <f>IF(AND(H1770="",F1770="Attended"),1,0)</f>
        <v/>
      </c>
      <c r="M1770">
        <f>IF(AND(H1770="",OR(F1770="No-show",F1770="Late cancel")),1,0)</f>
        <v/>
      </c>
      <c r="N1770">
        <f>IF(AND(H1770="",F1770="",D1770&lt;&gt;"",I1770&gt;=TODAY()),ROUND((I1770+IF(ISNUMBER(C1770),MOD(C1770,1),0))*1440,0)*10000+ROW(),"")</f>
        <v/>
      </c>
    </row>
    <row r="1771">
      <c r="A1771" s="1" t="n"/>
      <c r="B1771" s="17" t="n"/>
      <c r="C1771" s="18" t="n"/>
      <c r="D1771" s="19" t="n"/>
      <c r="E1771" s="20" t="n"/>
      <c r="F1771" s="20" t="n"/>
      <c r="G1771" s="21" t="n"/>
      <c r="H1771" s="12">
        <f>IF(AND(B1771="",D1771="",F1771=""),"",IF(NOT(ISNUMBER(B1771)),"Needs a date",IF(D1771="","Needs a client",IF(COUNTIF(Clients!$B$6:$B$105,D1771)=0,"Not on Clients",IF(AND(F1771="",INT(B1771)&lt;TODAY()),"Needs a status","")))))</f>
        <v/>
      </c>
      <c r="I1771" s="1">
        <f>IF(ISNUMBER(B1771),INT(B1771),0)</f>
        <v/>
      </c>
      <c r="J1771">
        <f>IF(ISNUMBER(B1771),YEAR(B1771)*100+MONTH(B1771),"")</f>
        <v/>
      </c>
      <c r="K1771">
        <f>IF(AND(H1771="",OR(F1771="Attended",F1771="No-show",AND(F1771="Late cancel",Settings!$C$9="Yes"))),1,0)</f>
        <v/>
      </c>
      <c r="L1771">
        <f>IF(AND(H1771="",F1771="Attended"),1,0)</f>
        <v/>
      </c>
      <c r="M1771">
        <f>IF(AND(H1771="",OR(F1771="No-show",F1771="Late cancel")),1,0)</f>
        <v/>
      </c>
      <c r="N1771">
        <f>IF(AND(H1771="",F1771="",D1771&lt;&gt;"",I1771&gt;=TODAY()),ROUND((I1771+IF(ISNUMBER(C1771),MOD(C1771,1),0))*1440,0)*10000+ROW(),"")</f>
        <v/>
      </c>
    </row>
    <row r="1772">
      <c r="A1772" s="1" t="n"/>
      <c r="B1772" s="17" t="n"/>
      <c r="C1772" s="18" t="n"/>
      <c r="D1772" s="19" t="n"/>
      <c r="E1772" s="20" t="n"/>
      <c r="F1772" s="20" t="n"/>
      <c r="G1772" s="21" t="n"/>
      <c r="H1772" s="12">
        <f>IF(AND(B1772="",D1772="",F1772=""),"",IF(NOT(ISNUMBER(B1772)),"Needs a date",IF(D1772="","Needs a client",IF(COUNTIF(Clients!$B$6:$B$105,D1772)=0,"Not on Clients",IF(AND(F1772="",INT(B1772)&lt;TODAY()),"Needs a status","")))))</f>
        <v/>
      </c>
      <c r="I1772" s="1">
        <f>IF(ISNUMBER(B1772),INT(B1772),0)</f>
        <v/>
      </c>
      <c r="J1772">
        <f>IF(ISNUMBER(B1772),YEAR(B1772)*100+MONTH(B1772),"")</f>
        <v/>
      </c>
      <c r="K1772">
        <f>IF(AND(H1772="",OR(F1772="Attended",F1772="No-show",AND(F1772="Late cancel",Settings!$C$9="Yes"))),1,0)</f>
        <v/>
      </c>
      <c r="L1772">
        <f>IF(AND(H1772="",F1772="Attended"),1,0)</f>
        <v/>
      </c>
      <c r="M1772">
        <f>IF(AND(H1772="",OR(F1772="No-show",F1772="Late cancel")),1,0)</f>
        <v/>
      </c>
      <c r="N1772">
        <f>IF(AND(H1772="",F1772="",D1772&lt;&gt;"",I1772&gt;=TODAY()),ROUND((I1772+IF(ISNUMBER(C1772),MOD(C1772,1),0))*1440,0)*10000+ROW(),"")</f>
        <v/>
      </c>
    </row>
    <row r="1773">
      <c r="A1773" s="1" t="n"/>
      <c r="B1773" s="17" t="n"/>
      <c r="C1773" s="18" t="n"/>
      <c r="D1773" s="19" t="n"/>
      <c r="E1773" s="20" t="n"/>
      <c r="F1773" s="20" t="n"/>
      <c r="G1773" s="21" t="n"/>
      <c r="H1773" s="12">
        <f>IF(AND(B1773="",D1773="",F1773=""),"",IF(NOT(ISNUMBER(B1773)),"Needs a date",IF(D1773="","Needs a client",IF(COUNTIF(Clients!$B$6:$B$105,D1773)=0,"Not on Clients",IF(AND(F1773="",INT(B1773)&lt;TODAY()),"Needs a status","")))))</f>
        <v/>
      </c>
      <c r="I1773" s="1">
        <f>IF(ISNUMBER(B1773),INT(B1773),0)</f>
        <v/>
      </c>
      <c r="J1773">
        <f>IF(ISNUMBER(B1773),YEAR(B1773)*100+MONTH(B1773),"")</f>
        <v/>
      </c>
      <c r="K1773">
        <f>IF(AND(H1773="",OR(F1773="Attended",F1773="No-show",AND(F1773="Late cancel",Settings!$C$9="Yes"))),1,0)</f>
        <v/>
      </c>
      <c r="L1773">
        <f>IF(AND(H1773="",F1773="Attended"),1,0)</f>
        <v/>
      </c>
      <c r="M1773">
        <f>IF(AND(H1773="",OR(F1773="No-show",F1773="Late cancel")),1,0)</f>
        <v/>
      </c>
      <c r="N1773">
        <f>IF(AND(H1773="",F1773="",D1773&lt;&gt;"",I1773&gt;=TODAY()),ROUND((I1773+IF(ISNUMBER(C1773),MOD(C1773,1),0))*1440,0)*10000+ROW(),"")</f>
        <v/>
      </c>
    </row>
    <row r="1774">
      <c r="A1774" s="1" t="n"/>
      <c r="B1774" s="17" t="n"/>
      <c r="C1774" s="18" t="n"/>
      <c r="D1774" s="19" t="n"/>
      <c r="E1774" s="20" t="n"/>
      <c r="F1774" s="20" t="n"/>
      <c r="G1774" s="21" t="n"/>
      <c r="H1774" s="12">
        <f>IF(AND(B1774="",D1774="",F1774=""),"",IF(NOT(ISNUMBER(B1774)),"Needs a date",IF(D1774="","Needs a client",IF(COUNTIF(Clients!$B$6:$B$105,D1774)=0,"Not on Clients",IF(AND(F1774="",INT(B1774)&lt;TODAY()),"Needs a status","")))))</f>
        <v/>
      </c>
      <c r="I1774" s="1">
        <f>IF(ISNUMBER(B1774),INT(B1774),0)</f>
        <v/>
      </c>
      <c r="J1774">
        <f>IF(ISNUMBER(B1774),YEAR(B1774)*100+MONTH(B1774),"")</f>
        <v/>
      </c>
      <c r="K1774">
        <f>IF(AND(H1774="",OR(F1774="Attended",F1774="No-show",AND(F1774="Late cancel",Settings!$C$9="Yes"))),1,0)</f>
        <v/>
      </c>
      <c r="L1774">
        <f>IF(AND(H1774="",F1774="Attended"),1,0)</f>
        <v/>
      </c>
      <c r="M1774">
        <f>IF(AND(H1774="",OR(F1774="No-show",F1774="Late cancel")),1,0)</f>
        <v/>
      </c>
      <c r="N1774">
        <f>IF(AND(H1774="",F1774="",D1774&lt;&gt;"",I1774&gt;=TODAY()),ROUND((I1774+IF(ISNUMBER(C1774),MOD(C1774,1),0))*1440,0)*10000+ROW(),"")</f>
        <v/>
      </c>
    </row>
    <row r="1775">
      <c r="A1775" s="1" t="n"/>
      <c r="B1775" s="17" t="n"/>
      <c r="C1775" s="18" t="n"/>
      <c r="D1775" s="19" t="n"/>
      <c r="E1775" s="20" t="n"/>
      <c r="F1775" s="20" t="n"/>
      <c r="G1775" s="21" t="n"/>
      <c r="H1775" s="12">
        <f>IF(AND(B1775="",D1775="",F1775=""),"",IF(NOT(ISNUMBER(B1775)),"Needs a date",IF(D1775="","Needs a client",IF(COUNTIF(Clients!$B$6:$B$105,D1775)=0,"Not on Clients",IF(AND(F1775="",INT(B1775)&lt;TODAY()),"Needs a status","")))))</f>
        <v/>
      </c>
      <c r="I1775" s="1">
        <f>IF(ISNUMBER(B1775),INT(B1775),0)</f>
        <v/>
      </c>
      <c r="J1775">
        <f>IF(ISNUMBER(B1775),YEAR(B1775)*100+MONTH(B1775),"")</f>
        <v/>
      </c>
      <c r="K1775">
        <f>IF(AND(H1775="",OR(F1775="Attended",F1775="No-show",AND(F1775="Late cancel",Settings!$C$9="Yes"))),1,0)</f>
        <v/>
      </c>
      <c r="L1775">
        <f>IF(AND(H1775="",F1775="Attended"),1,0)</f>
        <v/>
      </c>
      <c r="M1775">
        <f>IF(AND(H1775="",OR(F1775="No-show",F1775="Late cancel")),1,0)</f>
        <v/>
      </c>
      <c r="N1775">
        <f>IF(AND(H1775="",F1775="",D1775&lt;&gt;"",I1775&gt;=TODAY()),ROUND((I1775+IF(ISNUMBER(C1775),MOD(C1775,1),0))*1440,0)*10000+ROW(),"")</f>
        <v/>
      </c>
    </row>
    <row r="1776">
      <c r="A1776" s="1" t="n"/>
      <c r="B1776" s="17" t="n"/>
      <c r="C1776" s="18" t="n"/>
      <c r="D1776" s="19" t="n"/>
      <c r="E1776" s="20" t="n"/>
      <c r="F1776" s="20" t="n"/>
      <c r="G1776" s="21" t="n"/>
      <c r="H1776" s="12">
        <f>IF(AND(B1776="",D1776="",F1776=""),"",IF(NOT(ISNUMBER(B1776)),"Needs a date",IF(D1776="","Needs a client",IF(COUNTIF(Clients!$B$6:$B$105,D1776)=0,"Not on Clients",IF(AND(F1776="",INT(B1776)&lt;TODAY()),"Needs a status","")))))</f>
        <v/>
      </c>
      <c r="I1776" s="1">
        <f>IF(ISNUMBER(B1776),INT(B1776),0)</f>
        <v/>
      </c>
      <c r="J1776">
        <f>IF(ISNUMBER(B1776),YEAR(B1776)*100+MONTH(B1776),"")</f>
        <v/>
      </c>
      <c r="K1776">
        <f>IF(AND(H1776="",OR(F1776="Attended",F1776="No-show",AND(F1776="Late cancel",Settings!$C$9="Yes"))),1,0)</f>
        <v/>
      </c>
      <c r="L1776">
        <f>IF(AND(H1776="",F1776="Attended"),1,0)</f>
        <v/>
      </c>
      <c r="M1776">
        <f>IF(AND(H1776="",OR(F1776="No-show",F1776="Late cancel")),1,0)</f>
        <v/>
      </c>
      <c r="N1776">
        <f>IF(AND(H1776="",F1776="",D1776&lt;&gt;"",I1776&gt;=TODAY()),ROUND((I1776+IF(ISNUMBER(C1776),MOD(C1776,1),0))*1440,0)*10000+ROW(),"")</f>
        <v/>
      </c>
    </row>
    <row r="1777">
      <c r="A1777" s="1" t="n"/>
      <c r="B1777" s="17" t="n"/>
      <c r="C1777" s="18" t="n"/>
      <c r="D1777" s="19" t="n"/>
      <c r="E1777" s="20" t="n"/>
      <c r="F1777" s="20" t="n"/>
      <c r="G1777" s="21" t="n"/>
      <c r="H1777" s="12">
        <f>IF(AND(B1777="",D1777="",F1777=""),"",IF(NOT(ISNUMBER(B1777)),"Needs a date",IF(D1777="","Needs a client",IF(COUNTIF(Clients!$B$6:$B$105,D1777)=0,"Not on Clients",IF(AND(F1777="",INT(B1777)&lt;TODAY()),"Needs a status","")))))</f>
        <v/>
      </c>
      <c r="I1777" s="1">
        <f>IF(ISNUMBER(B1777),INT(B1777),0)</f>
        <v/>
      </c>
      <c r="J1777">
        <f>IF(ISNUMBER(B1777),YEAR(B1777)*100+MONTH(B1777),"")</f>
        <v/>
      </c>
      <c r="K1777">
        <f>IF(AND(H1777="",OR(F1777="Attended",F1777="No-show",AND(F1777="Late cancel",Settings!$C$9="Yes"))),1,0)</f>
        <v/>
      </c>
      <c r="L1777">
        <f>IF(AND(H1777="",F1777="Attended"),1,0)</f>
        <v/>
      </c>
      <c r="M1777">
        <f>IF(AND(H1777="",OR(F1777="No-show",F1777="Late cancel")),1,0)</f>
        <v/>
      </c>
      <c r="N1777">
        <f>IF(AND(H1777="",F1777="",D1777&lt;&gt;"",I1777&gt;=TODAY()),ROUND((I1777+IF(ISNUMBER(C1777),MOD(C1777,1),0))*1440,0)*10000+ROW(),"")</f>
        <v/>
      </c>
    </row>
    <row r="1778">
      <c r="A1778" s="1" t="n"/>
      <c r="B1778" s="17" t="n"/>
      <c r="C1778" s="18" t="n"/>
      <c r="D1778" s="19" t="n"/>
      <c r="E1778" s="20" t="n"/>
      <c r="F1778" s="20" t="n"/>
      <c r="G1778" s="21" t="n"/>
      <c r="H1778" s="12">
        <f>IF(AND(B1778="",D1778="",F1778=""),"",IF(NOT(ISNUMBER(B1778)),"Needs a date",IF(D1778="","Needs a client",IF(COUNTIF(Clients!$B$6:$B$105,D1778)=0,"Not on Clients",IF(AND(F1778="",INT(B1778)&lt;TODAY()),"Needs a status","")))))</f>
        <v/>
      </c>
      <c r="I1778" s="1">
        <f>IF(ISNUMBER(B1778),INT(B1778),0)</f>
        <v/>
      </c>
      <c r="J1778">
        <f>IF(ISNUMBER(B1778),YEAR(B1778)*100+MONTH(B1778),"")</f>
        <v/>
      </c>
      <c r="K1778">
        <f>IF(AND(H1778="",OR(F1778="Attended",F1778="No-show",AND(F1778="Late cancel",Settings!$C$9="Yes"))),1,0)</f>
        <v/>
      </c>
      <c r="L1778">
        <f>IF(AND(H1778="",F1778="Attended"),1,0)</f>
        <v/>
      </c>
      <c r="M1778">
        <f>IF(AND(H1778="",OR(F1778="No-show",F1778="Late cancel")),1,0)</f>
        <v/>
      </c>
      <c r="N1778">
        <f>IF(AND(H1778="",F1778="",D1778&lt;&gt;"",I1778&gt;=TODAY()),ROUND((I1778+IF(ISNUMBER(C1778),MOD(C1778,1),0))*1440,0)*10000+ROW(),"")</f>
        <v/>
      </c>
    </row>
    <row r="1779">
      <c r="A1779" s="1" t="n"/>
      <c r="B1779" s="17" t="n"/>
      <c r="C1779" s="18" t="n"/>
      <c r="D1779" s="19" t="n"/>
      <c r="E1779" s="20" t="n"/>
      <c r="F1779" s="20" t="n"/>
      <c r="G1779" s="21" t="n"/>
      <c r="H1779" s="12">
        <f>IF(AND(B1779="",D1779="",F1779=""),"",IF(NOT(ISNUMBER(B1779)),"Needs a date",IF(D1779="","Needs a client",IF(COUNTIF(Clients!$B$6:$B$105,D1779)=0,"Not on Clients",IF(AND(F1779="",INT(B1779)&lt;TODAY()),"Needs a status","")))))</f>
        <v/>
      </c>
      <c r="I1779" s="1">
        <f>IF(ISNUMBER(B1779),INT(B1779),0)</f>
        <v/>
      </c>
      <c r="J1779">
        <f>IF(ISNUMBER(B1779),YEAR(B1779)*100+MONTH(B1779),"")</f>
        <v/>
      </c>
      <c r="K1779">
        <f>IF(AND(H1779="",OR(F1779="Attended",F1779="No-show",AND(F1779="Late cancel",Settings!$C$9="Yes"))),1,0)</f>
        <v/>
      </c>
      <c r="L1779">
        <f>IF(AND(H1779="",F1779="Attended"),1,0)</f>
        <v/>
      </c>
      <c r="M1779">
        <f>IF(AND(H1779="",OR(F1779="No-show",F1779="Late cancel")),1,0)</f>
        <v/>
      </c>
      <c r="N1779">
        <f>IF(AND(H1779="",F1779="",D1779&lt;&gt;"",I1779&gt;=TODAY()),ROUND((I1779+IF(ISNUMBER(C1779),MOD(C1779,1),0))*1440,0)*10000+ROW(),"")</f>
        <v/>
      </c>
    </row>
    <row r="1780">
      <c r="A1780" s="1" t="n"/>
      <c r="B1780" s="17" t="n"/>
      <c r="C1780" s="18" t="n"/>
      <c r="D1780" s="19" t="n"/>
      <c r="E1780" s="20" t="n"/>
      <c r="F1780" s="20" t="n"/>
      <c r="G1780" s="21" t="n"/>
      <c r="H1780" s="12">
        <f>IF(AND(B1780="",D1780="",F1780=""),"",IF(NOT(ISNUMBER(B1780)),"Needs a date",IF(D1780="","Needs a client",IF(COUNTIF(Clients!$B$6:$B$105,D1780)=0,"Not on Clients",IF(AND(F1780="",INT(B1780)&lt;TODAY()),"Needs a status","")))))</f>
        <v/>
      </c>
      <c r="I1780" s="1">
        <f>IF(ISNUMBER(B1780),INT(B1780),0)</f>
        <v/>
      </c>
      <c r="J1780">
        <f>IF(ISNUMBER(B1780),YEAR(B1780)*100+MONTH(B1780),"")</f>
        <v/>
      </c>
      <c r="K1780">
        <f>IF(AND(H1780="",OR(F1780="Attended",F1780="No-show",AND(F1780="Late cancel",Settings!$C$9="Yes"))),1,0)</f>
        <v/>
      </c>
      <c r="L1780">
        <f>IF(AND(H1780="",F1780="Attended"),1,0)</f>
        <v/>
      </c>
      <c r="M1780">
        <f>IF(AND(H1780="",OR(F1780="No-show",F1780="Late cancel")),1,0)</f>
        <v/>
      </c>
      <c r="N1780">
        <f>IF(AND(H1780="",F1780="",D1780&lt;&gt;"",I1780&gt;=TODAY()),ROUND((I1780+IF(ISNUMBER(C1780),MOD(C1780,1),0))*1440,0)*10000+ROW(),"")</f>
        <v/>
      </c>
    </row>
    <row r="1781">
      <c r="A1781" s="1" t="n"/>
      <c r="B1781" s="17" t="n"/>
      <c r="C1781" s="18" t="n"/>
      <c r="D1781" s="19" t="n"/>
      <c r="E1781" s="20" t="n"/>
      <c r="F1781" s="20" t="n"/>
      <c r="G1781" s="21" t="n"/>
      <c r="H1781" s="12">
        <f>IF(AND(B1781="",D1781="",F1781=""),"",IF(NOT(ISNUMBER(B1781)),"Needs a date",IF(D1781="","Needs a client",IF(COUNTIF(Clients!$B$6:$B$105,D1781)=0,"Not on Clients",IF(AND(F1781="",INT(B1781)&lt;TODAY()),"Needs a status","")))))</f>
        <v/>
      </c>
      <c r="I1781" s="1">
        <f>IF(ISNUMBER(B1781),INT(B1781),0)</f>
        <v/>
      </c>
      <c r="J1781">
        <f>IF(ISNUMBER(B1781),YEAR(B1781)*100+MONTH(B1781),"")</f>
        <v/>
      </c>
      <c r="K1781">
        <f>IF(AND(H1781="",OR(F1781="Attended",F1781="No-show",AND(F1781="Late cancel",Settings!$C$9="Yes"))),1,0)</f>
        <v/>
      </c>
      <c r="L1781">
        <f>IF(AND(H1781="",F1781="Attended"),1,0)</f>
        <v/>
      </c>
      <c r="M1781">
        <f>IF(AND(H1781="",OR(F1781="No-show",F1781="Late cancel")),1,0)</f>
        <v/>
      </c>
      <c r="N1781">
        <f>IF(AND(H1781="",F1781="",D1781&lt;&gt;"",I1781&gt;=TODAY()),ROUND((I1781+IF(ISNUMBER(C1781),MOD(C1781,1),0))*1440,0)*10000+ROW(),"")</f>
        <v/>
      </c>
    </row>
    <row r="1782">
      <c r="A1782" s="1" t="n"/>
      <c r="B1782" s="17" t="n"/>
      <c r="C1782" s="18" t="n"/>
      <c r="D1782" s="19" t="n"/>
      <c r="E1782" s="20" t="n"/>
      <c r="F1782" s="20" t="n"/>
      <c r="G1782" s="21" t="n"/>
      <c r="H1782" s="12">
        <f>IF(AND(B1782="",D1782="",F1782=""),"",IF(NOT(ISNUMBER(B1782)),"Needs a date",IF(D1782="","Needs a client",IF(COUNTIF(Clients!$B$6:$B$105,D1782)=0,"Not on Clients",IF(AND(F1782="",INT(B1782)&lt;TODAY()),"Needs a status","")))))</f>
        <v/>
      </c>
      <c r="I1782" s="1">
        <f>IF(ISNUMBER(B1782),INT(B1782),0)</f>
        <v/>
      </c>
      <c r="J1782">
        <f>IF(ISNUMBER(B1782),YEAR(B1782)*100+MONTH(B1782),"")</f>
        <v/>
      </c>
      <c r="K1782">
        <f>IF(AND(H1782="",OR(F1782="Attended",F1782="No-show",AND(F1782="Late cancel",Settings!$C$9="Yes"))),1,0)</f>
        <v/>
      </c>
      <c r="L1782">
        <f>IF(AND(H1782="",F1782="Attended"),1,0)</f>
        <v/>
      </c>
      <c r="M1782">
        <f>IF(AND(H1782="",OR(F1782="No-show",F1782="Late cancel")),1,0)</f>
        <v/>
      </c>
      <c r="N1782">
        <f>IF(AND(H1782="",F1782="",D1782&lt;&gt;"",I1782&gt;=TODAY()),ROUND((I1782+IF(ISNUMBER(C1782),MOD(C1782,1),0))*1440,0)*10000+ROW(),"")</f>
        <v/>
      </c>
    </row>
    <row r="1783">
      <c r="A1783" s="1" t="n"/>
      <c r="B1783" s="17" t="n"/>
      <c r="C1783" s="18" t="n"/>
      <c r="D1783" s="19" t="n"/>
      <c r="E1783" s="20" t="n"/>
      <c r="F1783" s="20" t="n"/>
      <c r="G1783" s="21" t="n"/>
      <c r="H1783" s="12">
        <f>IF(AND(B1783="",D1783="",F1783=""),"",IF(NOT(ISNUMBER(B1783)),"Needs a date",IF(D1783="","Needs a client",IF(COUNTIF(Clients!$B$6:$B$105,D1783)=0,"Not on Clients",IF(AND(F1783="",INT(B1783)&lt;TODAY()),"Needs a status","")))))</f>
        <v/>
      </c>
      <c r="I1783" s="1">
        <f>IF(ISNUMBER(B1783),INT(B1783),0)</f>
        <v/>
      </c>
      <c r="J1783">
        <f>IF(ISNUMBER(B1783),YEAR(B1783)*100+MONTH(B1783),"")</f>
        <v/>
      </c>
      <c r="K1783">
        <f>IF(AND(H1783="",OR(F1783="Attended",F1783="No-show",AND(F1783="Late cancel",Settings!$C$9="Yes"))),1,0)</f>
        <v/>
      </c>
      <c r="L1783">
        <f>IF(AND(H1783="",F1783="Attended"),1,0)</f>
        <v/>
      </c>
      <c r="M1783">
        <f>IF(AND(H1783="",OR(F1783="No-show",F1783="Late cancel")),1,0)</f>
        <v/>
      </c>
      <c r="N1783">
        <f>IF(AND(H1783="",F1783="",D1783&lt;&gt;"",I1783&gt;=TODAY()),ROUND((I1783+IF(ISNUMBER(C1783),MOD(C1783,1),0))*1440,0)*10000+ROW(),"")</f>
        <v/>
      </c>
    </row>
    <row r="1784">
      <c r="A1784" s="1" t="n"/>
      <c r="B1784" s="17" t="n"/>
      <c r="C1784" s="18" t="n"/>
      <c r="D1784" s="19" t="n"/>
      <c r="E1784" s="20" t="n"/>
      <c r="F1784" s="20" t="n"/>
      <c r="G1784" s="21" t="n"/>
      <c r="H1784" s="12">
        <f>IF(AND(B1784="",D1784="",F1784=""),"",IF(NOT(ISNUMBER(B1784)),"Needs a date",IF(D1784="","Needs a client",IF(COUNTIF(Clients!$B$6:$B$105,D1784)=0,"Not on Clients",IF(AND(F1784="",INT(B1784)&lt;TODAY()),"Needs a status","")))))</f>
        <v/>
      </c>
      <c r="I1784" s="1">
        <f>IF(ISNUMBER(B1784),INT(B1784),0)</f>
        <v/>
      </c>
      <c r="J1784">
        <f>IF(ISNUMBER(B1784),YEAR(B1784)*100+MONTH(B1784),"")</f>
        <v/>
      </c>
      <c r="K1784">
        <f>IF(AND(H1784="",OR(F1784="Attended",F1784="No-show",AND(F1784="Late cancel",Settings!$C$9="Yes"))),1,0)</f>
        <v/>
      </c>
      <c r="L1784">
        <f>IF(AND(H1784="",F1784="Attended"),1,0)</f>
        <v/>
      </c>
      <c r="M1784">
        <f>IF(AND(H1784="",OR(F1784="No-show",F1784="Late cancel")),1,0)</f>
        <v/>
      </c>
      <c r="N1784">
        <f>IF(AND(H1784="",F1784="",D1784&lt;&gt;"",I1784&gt;=TODAY()),ROUND((I1784+IF(ISNUMBER(C1784),MOD(C1784,1),0))*1440,0)*10000+ROW(),"")</f>
        <v/>
      </c>
    </row>
    <row r="1785">
      <c r="A1785" s="1" t="n"/>
      <c r="B1785" s="17" t="n"/>
      <c r="C1785" s="18" t="n"/>
      <c r="D1785" s="19" t="n"/>
      <c r="E1785" s="20" t="n"/>
      <c r="F1785" s="20" t="n"/>
      <c r="G1785" s="21" t="n"/>
      <c r="H1785" s="12">
        <f>IF(AND(B1785="",D1785="",F1785=""),"",IF(NOT(ISNUMBER(B1785)),"Needs a date",IF(D1785="","Needs a client",IF(COUNTIF(Clients!$B$6:$B$105,D1785)=0,"Not on Clients",IF(AND(F1785="",INT(B1785)&lt;TODAY()),"Needs a status","")))))</f>
        <v/>
      </c>
      <c r="I1785" s="1">
        <f>IF(ISNUMBER(B1785),INT(B1785),0)</f>
        <v/>
      </c>
      <c r="J1785">
        <f>IF(ISNUMBER(B1785),YEAR(B1785)*100+MONTH(B1785),"")</f>
        <v/>
      </c>
      <c r="K1785">
        <f>IF(AND(H1785="",OR(F1785="Attended",F1785="No-show",AND(F1785="Late cancel",Settings!$C$9="Yes"))),1,0)</f>
        <v/>
      </c>
      <c r="L1785">
        <f>IF(AND(H1785="",F1785="Attended"),1,0)</f>
        <v/>
      </c>
      <c r="M1785">
        <f>IF(AND(H1785="",OR(F1785="No-show",F1785="Late cancel")),1,0)</f>
        <v/>
      </c>
      <c r="N1785">
        <f>IF(AND(H1785="",F1785="",D1785&lt;&gt;"",I1785&gt;=TODAY()),ROUND((I1785+IF(ISNUMBER(C1785),MOD(C1785,1),0))*1440,0)*10000+ROW(),"")</f>
        <v/>
      </c>
    </row>
    <row r="1786">
      <c r="A1786" s="1" t="n"/>
      <c r="B1786" s="17" t="n"/>
      <c r="C1786" s="18" t="n"/>
      <c r="D1786" s="19" t="n"/>
      <c r="E1786" s="20" t="n"/>
      <c r="F1786" s="20" t="n"/>
      <c r="G1786" s="21" t="n"/>
      <c r="H1786" s="12">
        <f>IF(AND(B1786="",D1786="",F1786=""),"",IF(NOT(ISNUMBER(B1786)),"Needs a date",IF(D1786="","Needs a client",IF(COUNTIF(Clients!$B$6:$B$105,D1786)=0,"Not on Clients",IF(AND(F1786="",INT(B1786)&lt;TODAY()),"Needs a status","")))))</f>
        <v/>
      </c>
      <c r="I1786" s="1">
        <f>IF(ISNUMBER(B1786),INT(B1786),0)</f>
        <v/>
      </c>
      <c r="J1786">
        <f>IF(ISNUMBER(B1786),YEAR(B1786)*100+MONTH(B1786),"")</f>
        <v/>
      </c>
      <c r="K1786">
        <f>IF(AND(H1786="",OR(F1786="Attended",F1786="No-show",AND(F1786="Late cancel",Settings!$C$9="Yes"))),1,0)</f>
        <v/>
      </c>
      <c r="L1786">
        <f>IF(AND(H1786="",F1786="Attended"),1,0)</f>
        <v/>
      </c>
      <c r="M1786">
        <f>IF(AND(H1786="",OR(F1786="No-show",F1786="Late cancel")),1,0)</f>
        <v/>
      </c>
      <c r="N1786">
        <f>IF(AND(H1786="",F1786="",D1786&lt;&gt;"",I1786&gt;=TODAY()),ROUND((I1786+IF(ISNUMBER(C1786),MOD(C1786,1),0))*1440,0)*10000+ROW(),"")</f>
        <v/>
      </c>
    </row>
    <row r="1787">
      <c r="A1787" s="1" t="n"/>
      <c r="B1787" s="17" t="n"/>
      <c r="C1787" s="18" t="n"/>
      <c r="D1787" s="19" t="n"/>
      <c r="E1787" s="20" t="n"/>
      <c r="F1787" s="20" t="n"/>
      <c r="G1787" s="21" t="n"/>
      <c r="H1787" s="12">
        <f>IF(AND(B1787="",D1787="",F1787=""),"",IF(NOT(ISNUMBER(B1787)),"Needs a date",IF(D1787="","Needs a client",IF(COUNTIF(Clients!$B$6:$B$105,D1787)=0,"Not on Clients",IF(AND(F1787="",INT(B1787)&lt;TODAY()),"Needs a status","")))))</f>
        <v/>
      </c>
      <c r="I1787" s="1">
        <f>IF(ISNUMBER(B1787),INT(B1787),0)</f>
        <v/>
      </c>
      <c r="J1787">
        <f>IF(ISNUMBER(B1787),YEAR(B1787)*100+MONTH(B1787),"")</f>
        <v/>
      </c>
      <c r="K1787">
        <f>IF(AND(H1787="",OR(F1787="Attended",F1787="No-show",AND(F1787="Late cancel",Settings!$C$9="Yes"))),1,0)</f>
        <v/>
      </c>
      <c r="L1787">
        <f>IF(AND(H1787="",F1787="Attended"),1,0)</f>
        <v/>
      </c>
      <c r="M1787">
        <f>IF(AND(H1787="",OR(F1787="No-show",F1787="Late cancel")),1,0)</f>
        <v/>
      </c>
      <c r="N1787">
        <f>IF(AND(H1787="",F1787="",D1787&lt;&gt;"",I1787&gt;=TODAY()),ROUND((I1787+IF(ISNUMBER(C1787),MOD(C1787,1),0))*1440,0)*10000+ROW(),"")</f>
        <v/>
      </c>
    </row>
    <row r="1788">
      <c r="A1788" s="1" t="n"/>
      <c r="B1788" s="17" t="n"/>
      <c r="C1788" s="18" t="n"/>
      <c r="D1788" s="19" t="n"/>
      <c r="E1788" s="20" t="n"/>
      <c r="F1788" s="20" t="n"/>
      <c r="G1788" s="21" t="n"/>
      <c r="H1788" s="12">
        <f>IF(AND(B1788="",D1788="",F1788=""),"",IF(NOT(ISNUMBER(B1788)),"Needs a date",IF(D1788="","Needs a client",IF(COUNTIF(Clients!$B$6:$B$105,D1788)=0,"Not on Clients",IF(AND(F1788="",INT(B1788)&lt;TODAY()),"Needs a status","")))))</f>
        <v/>
      </c>
      <c r="I1788" s="1">
        <f>IF(ISNUMBER(B1788),INT(B1788),0)</f>
        <v/>
      </c>
      <c r="J1788">
        <f>IF(ISNUMBER(B1788),YEAR(B1788)*100+MONTH(B1788),"")</f>
        <v/>
      </c>
      <c r="K1788">
        <f>IF(AND(H1788="",OR(F1788="Attended",F1788="No-show",AND(F1788="Late cancel",Settings!$C$9="Yes"))),1,0)</f>
        <v/>
      </c>
      <c r="L1788">
        <f>IF(AND(H1788="",F1788="Attended"),1,0)</f>
        <v/>
      </c>
      <c r="M1788">
        <f>IF(AND(H1788="",OR(F1788="No-show",F1788="Late cancel")),1,0)</f>
        <v/>
      </c>
      <c r="N1788">
        <f>IF(AND(H1788="",F1788="",D1788&lt;&gt;"",I1788&gt;=TODAY()),ROUND((I1788+IF(ISNUMBER(C1788),MOD(C1788,1),0))*1440,0)*10000+ROW(),"")</f>
        <v/>
      </c>
    </row>
    <row r="1789">
      <c r="A1789" s="1" t="n"/>
      <c r="B1789" s="17" t="n"/>
      <c r="C1789" s="18" t="n"/>
      <c r="D1789" s="19" t="n"/>
      <c r="E1789" s="20" t="n"/>
      <c r="F1789" s="20" t="n"/>
      <c r="G1789" s="21" t="n"/>
      <c r="H1789" s="12">
        <f>IF(AND(B1789="",D1789="",F1789=""),"",IF(NOT(ISNUMBER(B1789)),"Needs a date",IF(D1789="","Needs a client",IF(COUNTIF(Clients!$B$6:$B$105,D1789)=0,"Not on Clients",IF(AND(F1789="",INT(B1789)&lt;TODAY()),"Needs a status","")))))</f>
        <v/>
      </c>
      <c r="I1789" s="1">
        <f>IF(ISNUMBER(B1789),INT(B1789),0)</f>
        <v/>
      </c>
      <c r="J1789">
        <f>IF(ISNUMBER(B1789),YEAR(B1789)*100+MONTH(B1789),"")</f>
        <v/>
      </c>
      <c r="K1789">
        <f>IF(AND(H1789="",OR(F1789="Attended",F1789="No-show",AND(F1789="Late cancel",Settings!$C$9="Yes"))),1,0)</f>
        <v/>
      </c>
      <c r="L1789">
        <f>IF(AND(H1789="",F1789="Attended"),1,0)</f>
        <v/>
      </c>
      <c r="M1789">
        <f>IF(AND(H1789="",OR(F1789="No-show",F1789="Late cancel")),1,0)</f>
        <v/>
      </c>
      <c r="N1789">
        <f>IF(AND(H1789="",F1789="",D1789&lt;&gt;"",I1789&gt;=TODAY()),ROUND((I1789+IF(ISNUMBER(C1789),MOD(C1789,1),0))*1440,0)*10000+ROW(),"")</f>
        <v/>
      </c>
    </row>
    <row r="1790">
      <c r="A1790" s="1" t="n"/>
      <c r="B1790" s="17" t="n"/>
      <c r="C1790" s="18" t="n"/>
      <c r="D1790" s="19" t="n"/>
      <c r="E1790" s="20" t="n"/>
      <c r="F1790" s="20" t="n"/>
      <c r="G1790" s="21" t="n"/>
      <c r="H1790" s="12">
        <f>IF(AND(B1790="",D1790="",F1790=""),"",IF(NOT(ISNUMBER(B1790)),"Needs a date",IF(D1790="","Needs a client",IF(COUNTIF(Clients!$B$6:$B$105,D1790)=0,"Not on Clients",IF(AND(F1790="",INT(B1790)&lt;TODAY()),"Needs a status","")))))</f>
        <v/>
      </c>
      <c r="I1790" s="1">
        <f>IF(ISNUMBER(B1790),INT(B1790),0)</f>
        <v/>
      </c>
      <c r="J1790">
        <f>IF(ISNUMBER(B1790),YEAR(B1790)*100+MONTH(B1790),"")</f>
        <v/>
      </c>
      <c r="K1790">
        <f>IF(AND(H1790="",OR(F1790="Attended",F1790="No-show",AND(F1790="Late cancel",Settings!$C$9="Yes"))),1,0)</f>
        <v/>
      </c>
      <c r="L1790">
        <f>IF(AND(H1790="",F1790="Attended"),1,0)</f>
        <v/>
      </c>
      <c r="M1790">
        <f>IF(AND(H1790="",OR(F1790="No-show",F1790="Late cancel")),1,0)</f>
        <v/>
      </c>
      <c r="N1790">
        <f>IF(AND(H1790="",F1790="",D1790&lt;&gt;"",I1790&gt;=TODAY()),ROUND((I1790+IF(ISNUMBER(C1790),MOD(C1790,1),0))*1440,0)*10000+ROW(),"")</f>
        <v/>
      </c>
    </row>
    <row r="1791">
      <c r="A1791" s="1" t="n"/>
      <c r="B1791" s="17" t="n"/>
      <c r="C1791" s="18" t="n"/>
      <c r="D1791" s="19" t="n"/>
      <c r="E1791" s="20" t="n"/>
      <c r="F1791" s="20" t="n"/>
      <c r="G1791" s="21" t="n"/>
      <c r="H1791" s="12">
        <f>IF(AND(B1791="",D1791="",F1791=""),"",IF(NOT(ISNUMBER(B1791)),"Needs a date",IF(D1791="","Needs a client",IF(COUNTIF(Clients!$B$6:$B$105,D1791)=0,"Not on Clients",IF(AND(F1791="",INT(B1791)&lt;TODAY()),"Needs a status","")))))</f>
        <v/>
      </c>
      <c r="I1791" s="1">
        <f>IF(ISNUMBER(B1791),INT(B1791),0)</f>
        <v/>
      </c>
      <c r="J1791">
        <f>IF(ISNUMBER(B1791),YEAR(B1791)*100+MONTH(B1791),"")</f>
        <v/>
      </c>
      <c r="K1791">
        <f>IF(AND(H1791="",OR(F1791="Attended",F1791="No-show",AND(F1791="Late cancel",Settings!$C$9="Yes"))),1,0)</f>
        <v/>
      </c>
      <c r="L1791">
        <f>IF(AND(H1791="",F1791="Attended"),1,0)</f>
        <v/>
      </c>
      <c r="M1791">
        <f>IF(AND(H1791="",OR(F1791="No-show",F1791="Late cancel")),1,0)</f>
        <v/>
      </c>
      <c r="N1791">
        <f>IF(AND(H1791="",F1791="",D1791&lt;&gt;"",I1791&gt;=TODAY()),ROUND((I1791+IF(ISNUMBER(C1791),MOD(C1791,1),0))*1440,0)*10000+ROW(),"")</f>
        <v/>
      </c>
    </row>
    <row r="1792">
      <c r="A1792" s="1" t="n"/>
      <c r="B1792" s="17" t="n"/>
      <c r="C1792" s="18" t="n"/>
      <c r="D1792" s="19" t="n"/>
      <c r="E1792" s="20" t="n"/>
      <c r="F1792" s="20" t="n"/>
      <c r="G1792" s="21" t="n"/>
      <c r="H1792" s="12">
        <f>IF(AND(B1792="",D1792="",F1792=""),"",IF(NOT(ISNUMBER(B1792)),"Needs a date",IF(D1792="","Needs a client",IF(COUNTIF(Clients!$B$6:$B$105,D1792)=0,"Not on Clients",IF(AND(F1792="",INT(B1792)&lt;TODAY()),"Needs a status","")))))</f>
        <v/>
      </c>
      <c r="I1792" s="1">
        <f>IF(ISNUMBER(B1792),INT(B1792),0)</f>
        <v/>
      </c>
      <c r="J1792">
        <f>IF(ISNUMBER(B1792),YEAR(B1792)*100+MONTH(B1792),"")</f>
        <v/>
      </c>
      <c r="K1792">
        <f>IF(AND(H1792="",OR(F1792="Attended",F1792="No-show",AND(F1792="Late cancel",Settings!$C$9="Yes"))),1,0)</f>
        <v/>
      </c>
      <c r="L1792">
        <f>IF(AND(H1792="",F1792="Attended"),1,0)</f>
        <v/>
      </c>
      <c r="M1792">
        <f>IF(AND(H1792="",OR(F1792="No-show",F1792="Late cancel")),1,0)</f>
        <v/>
      </c>
      <c r="N1792">
        <f>IF(AND(H1792="",F1792="",D1792&lt;&gt;"",I1792&gt;=TODAY()),ROUND((I1792+IF(ISNUMBER(C1792),MOD(C1792,1),0))*1440,0)*10000+ROW(),"")</f>
        <v/>
      </c>
    </row>
    <row r="1793">
      <c r="A1793" s="1" t="n"/>
      <c r="B1793" s="17" t="n"/>
      <c r="C1793" s="18" t="n"/>
      <c r="D1793" s="19" t="n"/>
      <c r="E1793" s="20" t="n"/>
      <c r="F1793" s="20" t="n"/>
      <c r="G1793" s="21" t="n"/>
      <c r="H1793" s="12">
        <f>IF(AND(B1793="",D1793="",F1793=""),"",IF(NOT(ISNUMBER(B1793)),"Needs a date",IF(D1793="","Needs a client",IF(COUNTIF(Clients!$B$6:$B$105,D1793)=0,"Not on Clients",IF(AND(F1793="",INT(B1793)&lt;TODAY()),"Needs a status","")))))</f>
        <v/>
      </c>
      <c r="I1793" s="1">
        <f>IF(ISNUMBER(B1793),INT(B1793),0)</f>
        <v/>
      </c>
      <c r="J1793">
        <f>IF(ISNUMBER(B1793),YEAR(B1793)*100+MONTH(B1793),"")</f>
        <v/>
      </c>
      <c r="K1793">
        <f>IF(AND(H1793="",OR(F1793="Attended",F1793="No-show",AND(F1793="Late cancel",Settings!$C$9="Yes"))),1,0)</f>
        <v/>
      </c>
      <c r="L1793">
        <f>IF(AND(H1793="",F1793="Attended"),1,0)</f>
        <v/>
      </c>
      <c r="M1793">
        <f>IF(AND(H1793="",OR(F1793="No-show",F1793="Late cancel")),1,0)</f>
        <v/>
      </c>
      <c r="N1793">
        <f>IF(AND(H1793="",F1793="",D1793&lt;&gt;"",I1793&gt;=TODAY()),ROUND((I1793+IF(ISNUMBER(C1793),MOD(C1793,1),0))*1440,0)*10000+ROW(),"")</f>
        <v/>
      </c>
    </row>
    <row r="1794">
      <c r="A1794" s="1" t="n"/>
      <c r="B1794" s="17" t="n"/>
      <c r="C1794" s="18" t="n"/>
      <c r="D1794" s="19" t="n"/>
      <c r="E1794" s="20" t="n"/>
      <c r="F1794" s="20" t="n"/>
      <c r="G1794" s="21" t="n"/>
      <c r="H1794" s="12">
        <f>IF(AND(B1794="",D1794="",F1794=""),"",IF(NOT(ISNUMBER(B1794)),"Needs a date",IF(D1794="","Needs a client",IF(COUNTIF(Clients!$B$6:$B$105,D1794)=0,"Not on Clients",IF(AND(F1794="",INT(B1794)&lt;TODAY()),"Needs a status","")))))</f>
        <v/>
      </c>
      <c r="I1794" s="1">
        <f>IF(ISNUMBER(B1794),INT(B1794),0)</f>
        <v/>
      </c>
      <c r="J1794">
        <f>IF(ISNUMBER(B1794),YEAR(B1794)*100+MONTH(B1794),"")</f>
        <v/>
      </c>
      <c r="K1794">
        <f>IF(AND(H1794="",OR(F1794="Attended",F1794="No-show",AND(F1794="Late cancel",Settings!$C$9="Yes"))),1,0)</f>
        <v/>
      </c>
      <c r="L1794">
        <f>IF(AND(H1794="",F1794="Attended"),1,0)</f>
        <v/>
      </c>
      <c r="M1794">
        <f>IF(AND(H1794="",OR(F1794="No-show",F1794="Late cancel")),1,0)</f>
        <v/>
      </c>
      <c r="N1794">
        <f>IF(AND(H1794="",F1794="",D1794&lt;&gt;"",I1794&gt;=TODAY()),ROUND((I1794+IF(ISNUMBER(C1794),MOD(C1794,1),0))*1440,0)*10000+ROW(),"")</f>
        <v/>
      </c>
    </row>
    <row r="1795">
      <c r="A1795" s="1" t="n"/>
      <c r="B1795" s="17" t="n"/>
      <c r="C1795" s="18" t="n"/>
      <c r="D1795" s="19" t="n"/>
      <c r="E1795" s="20" t="n"/>
      <c r="F1795" s="20" t="n"/>
      <c r="G1795" s="21" t="n"/>
      <c r="H1795" s="12">
        <f>IF(AND(B1795="",D1795="",F1795=""),"",IF(NOT(ISNUMBER(B1795)),"Needs a date",IF(D1795="","Needs a client",IF(COUNTIF(Clients!$B$6:$B$105,D1795)=0,"Not on Clients",IF(AND(F1795="",INT(B1795)&lt;TODAY()),"Needs a status","")))))</f>
        <v/>
      </c>
      <c r="I1795" s="1">
        <f>IF(ISNUMBER(B1795),INT(B1795),0)</f>
        <v/>
      </c>
      <c r="J1795">
        <f>IF(ISNUMBER(B1795),YEAR(B1795)*100+MONTH(B1795),"")</f>
        <v/>
      </c>
      <c r="K1795">
        <f>IF(AND(H1795="",OR(F1795="Attended",F1795="No-show",AND(F1795="Late cancel",Settings!$C$9="Yes"))),1,0)</f>
        <v/>
      </c>
      <c r="L1795">
        <f>IF(AND(H1795="",F1795="Attended"),1,0)</f>
        <v/>
      </c>
      <c r="M1795">
        <f>IF(AND(H1795="",OR(F1795="No-show",F1795="Late cancel")),1,0)</f>
        <v/>
      </c>
      <c r="N1795">
        <f>IF(AND(H1795="",F1795="",D1795&lt;&gt;"",I1795&gt;=TODAY()),ROUND((I1795+IF(ISNUMBER(C1795),MOD(C1795,1),0))*1440,0)*10000+ROW(),"")</f>
        <v/>
      </c>
    </row>
    <row r="1796">
      <c r="A1796" s="1" t="n"/>
      <c r="B1796" s="17" t="n"/>
      <c r="C1796" s="18" t="n"/>
      <c r="D1796" s="19" t="n"/>
      <c r="E1796" s="20" t="n"/>
      <c r="F1796" s="20" t="n"/>
      <c r="G1796" s="21" t="n"/>
      <c r="H1796" s="12">
        <f>IF(AND(B1796="",D1796="",F1796=""),"",IF(NOT(ISNUMBER(B1796)),"Needs a date",IF(D1796="","Needs a client",IF(COUNTIF(Clients!$B$6:$B$105,D1796)=0,"Not on Clients",IF(AND(F1796="",INT(B1796)&lt;TODAY()),"Needs a status","")))))</f>
        <v/>
      </c>
      <c r="I1796" s="1">
        <f>IF(ISNUMBER(B1796),INT(B1796),0)</f>
        <v/>
      </c>
      <c r="J1796">
        <f>IF(ISNUMBER(B1796),YEAR(B1796)*100+MONTH(B1796),"")</f>
        <v/>
      </c>
      <c r="K1796">
        <f>IF(AND(H1796="",OR(F1796="Attended",F1796="No-show",AND(F1796="Late cancel",Settings!$C$9="Yes"))),1,0)</f>
        <v/>
      </c>
      <c r="L1796">
        <f>IF(AND(H1796="",F1796="Attended"),1,0)</f>
        <v/>
      </c>
      <c r="M1796">
        <f>IF(AND(H1796="",OR(F1796="No-show",F1796="Late cancel")),1,0)</f>
        <v/>
      </c>
      <c r="N1796">
        <f>IF(AND(H1796="",F1796="",D1796&lt;&gt;"",I1796&gt;=TODAY()),ROUND((I1796+IF(ISNUMBER(C1796),MOD(C1796,1),0))*1440,0)*10000+ROW(),"")</f>
        <v/>
      </c>
    </row>
    <row r="1797">
      <c r="A1797" s="1" t="n"/>
      <c r="B1797" s="17" t="n"/>
      <c r="C1797" s="18" t="n"/>
      <c r="D1797" s="19" t="n"/>
      <c r="E1797" s="20" t="n"/>
      <c r="F1797" s="20" t="n"/>
      <c r="G1797" s="21" t="n"/>
      <c r="H1797" s="12">
        <f>IF(AND(B1797="",D1797="",F1797=""),"",IF(NOT(ISNUMBER(B1797)),"Needs a date",IF(D1797="","Needs a client",IF(COUNTIF(Clients!$B$6:$B$105,D1797)=0,"Not on Clients",IF(AND(F1797="",INT(B1797)&lt;TODAY()),"Needs a status","")))))</f>
        <v/>
      </c>
      <c r="I1797" s="1">
        <f>IF(ISNUMBER(B1797),INT(B1797),0)</f>
        <v/>
      </c>
      <c r="J1797">
        <f>IF(ISNUMBER(B1797),YEAR(B1797)*100+MONTH(B1797),"")</f>
        <v/>
      </c>
      <c r="K1797">
        <f>IF(AND(H1797="",OR(F1797="Attended",F1797="No-show",AND(F1797="Late cancel",Settings!$C$9="Yes"))),1,0)</f>
        <v/>
      </c>
      <c r="L1797">
        <f>IF(AND(H1797="",F1797="Attended"),1,0)</f>
        <v/>
      </c>
      <c r="M1797">
        <f>IF(AND(H1797="",OR(F1797="No-show",F1797="Late cancel")),1,0)</f>
        <v/>
      </c>
      <c r="N1797">
        <f>IF(AND(H1797="",F1797="",D1797&lt;&gt;"",I1797&gt;=TODAY()),ROUND((I1797+IF(ISNUMBER(C1797),MOD(C1797,1),0))*1440,0)*10000+ROW(),"")</f>
        <v/>
      </c>
    </row>
    <row r="1798">
      <c r="A1798" s="1" t="n"/>
      <c r="B1798" s="17" t="n"/>
      <c r="C1798" s="18" t="n"/>
      <c r="D1798" s="19" t="n"/>
      <c r="E1798" s="20" t="n"/>
      <c r="F1798" s="20" t="n"/>
      <c r="G1798" s="21" t="n"/>
      <c r="H1798" s="12">
        <f>IF(AND(B1798="",D1798="",F1798=""),"",IF(NOT(ISNUMBER(B1798)),"Needs a date",IF(D1798="","Needs a client",IF(COUNTIF(Clients!$B$6:$B$105,D1798)=0,"Not on Clients",IF(AND(F1798="",INT(B1798)&lt;TODAY()),"Needs a status","")))))</f>
        <v/>
      </c>
      <c r="I1798" s="1">
        <f>IF(ISNUMBER(B1798),INT(B1798),0)</f>
        <v/>
      </c>
      <c r="J1798">
        <f>IF(ISNUMBER(B1798),YEAR(B1798)*100+MONTH(B1798),"")</f>
        <v/>
      </c>
      <c r="K1798">
        <f>IF(AND(H1798="",OR(F1798="Attended",F1798="No-show",AND(F1798="Late cancel",Settings!$C$9="Yes"))),1,0)</f>
        <v/>
      </c>
      <c r="L1798">
        <f>IF(AND(H1798="",F1798="Attended"),1,0)</f>
        <v/>
      </c>
      <c r="M1798">
        <f>IF(AND(H1798="",OR(F1798="No-show",F1798="Late cancel")),1,0)</f>
        <v/>
      </c>
      <c r="N1798">
        <f>IF(AND(H1798="",F1798="",D1798&lt;&gt;"",I1798&gt;=TODAY()),ROUND((I1798+IF(ISNUMBER(C1798),MOD(C1798,1),0))*1440,0)*10000+ROW(),"")</f>
        <v/>
      </c>
    </row>
    <row r="1799">
      <c r="A1799" s="1" t="n"/>
      <c r="B1799" s="17" t="n"/>
      <c r="C1799" s="18" t="n"/>
      <c r="D1799" s="19" t="n"/>
      <c r="E1799" s="20" t="n"/>
      <c r="F1799" s="20" t="n"/>
      <c r="G1799" s="21" t="n"/>
      <c r="H1799" s="12">
        <f>IF(AND(B1799="",D1799="",F1799=""),"",IF(NOT(ISNUMBER(B1799)),"Needs a date",IF(D1799="","Needs a client",IF(COUNTIF(Clients!$B$6:$B$105,D1799)=0,"Not on Clients",IF(AND(F1799="",INT(B1799)&lt;TODAY()),"Needs a status","")))))</f>
        <v/>
      </c>
      <c r="I1799" s="1">
        <f>IF(ISNUMBER(B1799),INT(B1799),0)</f>
        <v/>
      </c>
      <c r="J1799">
        <f>IF(ISNUMBER(B1799),YEAR(B1799)*100+MONTH(B1799),"")</f>
        <v/>
      </c>
      <c r="K1799">
        <f>IF(AND(H1799="",OR(F1799="Attended",F1799="No-show",AND(F1799="Late cancel",Settings!$C$9="Yes"))),1,0)</f>
        <v/>
      </c>
      <c r="L1799">
        <f>IF(AND(H1799="",F1799="Attended"),1,0)</f>
        <v/>
      </c>
      <c r="M1799">
        <f>IF(AND(H1799="",OR(F1799="No-show",F1799="Late cancel")),1,0)</f>
        <v/>
      </c>
      <c r="N1799">
        <f>IF(AND(H1799="",F1799="",D1799&lt;&gt;"",I1799&gt;=TODAY()),ROUND((I1799+IF(ISNUMBER(C1799),MOD(C1799,1),0))*1440,0)*10000+ROW(),"")</f>
        <v/>
      </c>
    </row>
    <row r="1800">
      <c r="A1800" s="1" t="n"/>
      <c r="B1800" s="17" t="n"/>
      <c r="C1800" s="18" t="n"/>
      <c r="D1800" s="19" t="n"/>
      <c r="E1800" s="20" t="n"/>
      <c r="F1800" s="20" t="n"/>
      <c r="G1800" s="21" t="n"/>
      <c r="H1800" s="12">
        <f>IF(AND(B1800="",D1800="",F1800=""),"",IF(NOT(ISNUMBER(B1800)),"Needs a date",IF(D1800="","Needs a client",IF(COUNTIF(Clients!$B$6:$B$105,D1800)=0,"Not on Clients",IF(AND(F1800="",INT(B1800)&lt;TODAY()),"Needs a status","")))))</f>
        <v/>
      </c>
      <c r="I1800" s="1">
        <f>IF(ISNUMBER(B1800),INT(B1800),0)</f>
        <v/>
      </c>
      <c r="J1800">
        <f>IF(ISNUMBER(B1800),YEAR(B1800)*100+MONTH(B1800),"")</f>
        <v/>
      </c>
      <c r="K1800">
        <f>IF(AND(H1800="",OR(F1800="Attended",F1800="No-show",AND(F1800="Late cancel",Settings!$C$9="Yes"))),1,0)</f>
        <v/>
      </c>
      <c r="L1800">
        <f>IF(AND(H1800="",F1800="Attended"),1,0)</f>
        <v/>
      </c>
      <c r="M1800">
        <f>IF(AND(H1800="",OR(F1800="No-show",F1800="Late cancel")),1,0)</f>
        <v/>
      </c>
      <c r="N1800">
        <f>IF(AND(H1800="",F1800="",D1800&lt;&gt;"",I1800&gt;=TODAY()),ROUND((I1800+IF(ISNUMBER(C1800),MOD(C1800,1),0))*1440,0)*10000+ROW(),"")</f>
        <v/>
      </c>
    </row>
    <row r="1801">
      <c r="A1801" s="1" t="n"/>
      <c r="B1801" s="17" t="n"/>
      <c r="C1801" s="18" t="n"/>
      <c r="D1801" s="19" t="n"/>
      <c r="E1801" s="20" t="n"/>
      <c r="F1801" s="20" t="n"/>
      <c r="G1801" s="21" t="n"/>
      <c r="H1801" s="12">
        <f>IF(AND(B1801="",D1801="",F1801=""),"",IF(NOT(ISNUMBER(B1801)),"Needs a date",IF(D1801="","Needs a client",IF(COUNTIF(Clients!$B$6:$B$105,D1801)=0,"Not on Clients",IF(AND(F1801="",INT(B1801)&lt;TODAY()),"Needs a status","")))))</f>
        <v/>
      </c>
      <c r="I1801" s="1">
        <f>IF(ISNUMBER(B1801),INT(B1801),0)</f>
        <v/>
      </c>
      <c r="J1801">
        <f>IF(ISNUMBER(B1801),YEAR(B1801)*100+MONTH(B1801),"")</f>
        <v/>
      </c>
      <c r="K1801">
        <f>IF(AND(H1801="",OR(F1801="Attended",F1801="No-show",AND(F1801="Late cancel",Settings!$C$9="Yes"))),1,0)</f>
        <v/>
      </c>
      <c r="L1801">
        <f>IF(AND(H1801="",F1801="Attended"),1,0)</f>
        <v/>
      </c>
      <c r="M1801">
        <f>IF(AND(H1801="",OR(F1801="No-show",F1801="Late cancel")),1,0)</f>
        <v/>
      </c>
      <c r="N1801">
        <f>IF(AND(H1801="",F1801="",D1801&lt;&gt;"",I1801&gt;=TODAY()),ROUND((I1801+IF(ISNUMBER(C1801),MOD(C1801,1),0))*1440,0)*10000+ROW(),"")</f>
        <v/>
      </c>
    </row>
    <row r="1802">
      <c r="A1802" s="1" t="n"/>
      <c r="B1802" s="17" t="n"/>
      <c r="C1802" s="18" t="n"/>
      <c r="D1802" s="19" t="n"/>
      <c r="E1802" s="20" t="n"/>
      <c r="F1802" s="20" t="n"/>
      <c r="G1802" s="21" t="n"/>
      <c r="H1802" s="12">
        <f>IF(AND(B1802="",D1802="",F1802=""),"",IF(NOT(ISNUMBER(B1802)),"Needs a date",IF(D1802="","Needs a client",IF(COUNTIF(Clients!$B$6:$B$105,D1802)=0,"Not on Clients",IF(AND(F1802="",INT(B1802)&lt;TODAY()),"Needs a status","")))))</f>
        <v/>
      </c>
      <c r="I1802" s="1">
        <f>IF(ISNUMBER(B1802),INT(B1802),0)</f>
        <v/>
      </c>
      <c r="J1802">
        <f>IF(ISNUMBER(B1802),YEAR(B1802)*100+MONTH(B1802),"")</f>
        <v/>
      </c>
      <c r="K1802">
        <f>IF(AND(H1802="",OR(F1802="Attended",F1802="No-show",AND(F1802="Late cancel",Settings!$C$9="Yes"))),1,0)</f>
        <v/>
      </c>
      <c r="L1802">
        <f>IF(AND(H1802="",F1802="Attended"),1,0)</f>
        <v/>
      </c>
      <c r="M1802">
        <f>IF(AND(H1802="",OR(F1802="No-show",F1802="Late cancel")),1,0)</f>
        <v/>
      </c>
      <c r="N1802">
        <f>IF(AND(H1802="",F1802="",D1802&lt;&gt;"",I1802&gt;=TODAY()),ROUND((I1802+IF(ISNUMBER(C1802),MOD(C1802,1),0))*1440,0)*10000+ROW(),"")</f>
        <v/>
      </c>
    </row>
    <row r="1803">
      <c r="A1803" s="1" t="n"/>
      <c r="B1803" s="17" t="n"/>
      <c r="C1803" s="18" t="n"/>
      <c r="D1803" s="19" t="n"/>
      <c r="E1803" s="20" t="n"/>
      <c r="F1803" s="20" t="n"/>
      <c r="G1803" s="21" t="n"/>
      <c r="H1803" s="12">
        <f>IF(AND(B1803="",D1803="",F1803=""),"",IF(NOT(ISNUMBER(B1803)),"Needs a date",IF(D1803="","Needs a client",IF(COUNTIF(Clients!$B$6:$B$105,D1803)=0,"Not on Clients",IF(AND(F1803="",INT(B1803)&lt;TODAY()),"Needs a status","")))))</f>
        <v/>
      </c>
      <c r="I1803" s="1">
        <f>IF(ISNUMBER(B1803),INT(B1803),0)</f>
        <v/>
      </c>
      <c r="J1803">
        <f>IF(ISNUMBER(B1803),YEAR(B1803)*100+MONTH(B1803),"")</f>
        <v/>
      </c>
      <c r="K1803">
        <f>IF(AND(H1803="",OR(F1803="Attended",F1803="No-show",AND(F1803="Late cancel",Settings!$C$9="Yes"))),1,0)</f>
        <v/>
      </c>
      <c r="L1803">
        <f>IF(AND(H1803="",F1803="Attended"),1,0)</f>
        <v/>
      </c>
      <c r="M1803">
        <f>IF(AND(H1803="",OR(F1803="No-show",F1803="Late cancel")),1,0)</f>
        <v/>
      </c>
      <c r="N1803">
        <f>IF(AND(H1803="",F1803="",D1803&lt;&gt;"",I1803&gt;=TODAY()),ROUND((I1803+IF(ISNUMBER(C1803),MOD(C1803,1),0))*1440,0)*10000+ROW(),"")</f>
        <v/>
      </c>
    </row>
    <row r="1804">
      <c r="A1804" s="1" t="n"/>
      <c r="B1804" s="17" t="n"/>
      <c r="C1804" s="18" t="n"/>
      <c r="D1804" s="19" t="n"/>
      <c r="E1804" s="20" t="n"/>
      <c r="F1804" s="20" t="n"/>
      <c r="G1804" s="21" t="n"/>
      <c r="H1804" s="12">
        <f>IF(AND(B1804="",D1804="",F1804=""),"",IF(NOT(ISNUMBER(B1804)),"Needs a date",IF(D1804="","Needs a client",IF(COUNTIF(Clients!$B$6:$B$105,D1804)=0,"Not on Clients",IF(AND(F1804="",INT(B1804)&lt;TODAY()),"Needs a status","")))))</f>
        <v/>
      </c>
      <c r="I1804" s="1">
        <f>IF(ISNUMBER(B1804),INT(B1804),0)</f>
        <v/>
      </c>
      <c r="J1804">
        <f>IF(ISNUMBER(B1804),YEAR(B1804)*100+MONTH(B1804),"")</f>
        <v/>
      </c>
      <c r="K1804">
        <f>IF(AND(H1804="",OR(F1804="Attended",F1804="No-show",AND(F1804="Late cancel",Settings!$C$9="Yes"))),1,0)</f>
        <v/>
      </c>
      <c r="L1804">
        <f>IF(AND(H1804="",F1804="Attended"),1,0)</f>
        <v/>
      </c>
      <c r="M1804">
        <f>IF(AND(H1804="",OR(F1804="No-show",F1804="Late cancel")),1,0)</f>
        <v/>
      </c>
      <c r="N1804">
        <f>IF(AND(H1804="",F1804="",D1804&lt;&gt;"",I1804&gt;=TODAY()),ROUND((I1804+IF(ISNUMBER(C1804),MOD(C1804,1),0))*1440,0)*10000+ROW(),"")</f>
        <v/>
      </c>
    </row>
    <row r="1805">
      <c r="A1805" s="1" t="n"/>
      <c r="B1805" s="17" t="n"/>
      <c r="C1805" s="18" t="n"/>
      <c r="D1805" s="19" t="n"/>
      <c r="E1805" s="20" t="n"/>
      <c r="F1805" s="20" t="n"/>
      <c r="G1805" s="21" t="n"/>
      <c r="H1805" s="12">
        <f>IF(AND(B1805="",D1805="",F1805=""),"",IF(NOT(ISNUMBER(B1805)),"Needs a date",IF(D1805="","Needs a client",IF(COUNTIF(Clients!$B$6:$B$105,D1805)=0,"Not on Clients",IF(AND(F1805="",INT(B1805)&lt;TODAY()),"Needs a status","")))))</f>
        <v/>
      </c>
      <c r="I1805" s="1">
        <f>IF(ISNUMBER(B1805),INT(B1805),0)</f>
        <v/>
      </c>
      <c r="J1805">
        <f>IF(ISNUMBER(B1805),YEAR(B1805)*100+MONTH(B1805),"")</f>
        <v/>
      </c>
      <c r="K1805">
        <f>IF(AND(H1805="",OR(F1805="Attended",F1805="No-show",AND(F1805="Late cancel",Settings!$C$9="Yes"))),1,0)</f>
        <v/>
      </c>
      <c r="L1805">
        <f>IF(AND(H1805="",F1805="Attended"),1,0)</f>
        <v/>
      </c>
      <c r="M1805">
        <f>IF(AND(H1805="",OR(F1805="No-show",F1805="Late cancel")),1,0)</f>
        <v/>
      </c>
      <c r="N1805">
        <f>IF(AND(H1805="",F1805="",D1805&lt;&gt;"",I1805&gt;=TODAY()),ROUND((I1805+IF(ISNUMBER(C1805),MOD(C1805,1),0))*1440,0)*10000+ROW(),"")</f>
        <v/>
      </c>
    </row>
    <row r="1806">
      <c r="A1806" s="1" t="n"/>
      <c r="B1806" s="17" t="n"/>
      <c r="C1806" s="18" t="n"/>
      <c r="D1806" s="19" t="n"/>
      <c r="E1806" s="20" t="n"/>
      <c r="F1806" s="20" t="n"/>
      <c r="G1806" s="21" t="n"/>
      <c r="H1806" s="12">
        <f>IF(AND(B1806="",D1806="",F1806=""),"",IF(NOT(ISNUMBER(B1806)),"Needs a date",IF(D1806="","Needs a client",IF(COUNTIF(Clients!$B$6:$B$105,D1806)=0,"Not on Clients",IF(AND(F1806="",INT(B1806)&lt;TODAY()),"Needs a status","")))))</f>
        <v/>
      </c>
      <c r="I1806" s="1">
        <f>IF(ISNUMBER(B1806),INT(B1806),0)</f>
        <v/>
      </c>
      <c r="J1806">
        <f>IF(ISNUMBER(B1806),YEAR(B1806)*100+MONTH(B1806),"")</f>
        <v/>
      </c>
      <c r="K1806">
        <f>IF(AND(H1806="",OR(F1806="Attended",F1806="No-show",AND(F1806="Late cancel",Settings!$C$9="Yes"))),1,0)</f>
        <v/>
      </c>
      <c r="L1806">
        <f>IF(AND(H1806="",F1806="Attended"),1,0)</f>
        <v/>
      </c>
      <c r="M1806">
        <f>IF(AND(H1806="",OR(F1806="No-show",F1806="Late cancel")),1,0)</f>
        <v/>
      </c>
      <c r="N1806">
        <f>IF(AND(H1806="",F1806="",D1806&lt;&gt;"",I1806&gt;=TODAY()),ROUND((I1806+IF(ISNUMBER(C1806),MOD(C1806,1),0))*1440,0)*10000+ROW(),"")</f>
        <v/>
      </c>
    </row>
    <row r="1807">
      <c r="A1807" s="1" t="n"/>
      <c r="B1807" s="17" t="n"/>
      <c r="C1807" s="18" t="n"/>
      <c r="D1807" s="19" t="n"/>
      <c r="E1807" s="20" t="n"/>
      <c r="F1807" s="20" t="n"/>
      <c r="G1807" s="21" t="n"/>
      <c r="H1807" s="12">
        <f>IF(AND(B1807="",D1807="",F1807=""),"",IF(NOT(ISNUMBER(B1807)),"Needs a date",IF(D1807="","Needs a client",IF(COUNTIF(Clients!$B$6:$B$105,D1807)=0,"Not on Clients",IF(AND(F1807="",INT(B1807)&lt;TODAY()),"Needs a status","")))))</f>
        <v/>
      </c>
      <c r="I1807" s="1">
        <f>IF(ISNUMBER(B1807),INT(B1807),0)</f>
        <v/>
      </c>
      <c r="J1807">
        <f>IF(ISNUMBER(B1807),YEAR(B1807)*100+MONTH(B1807),"")</f>
        <v/>
      </c>
      <c r="K1807">
        <f>IF(AND(H1807="",OR(F1807="Attended",F1807="No-show",AND(F1807="Late cancel",Settings!$C$9="Yes"))),1,0)</f>
        <v/>
      </c>
      <c r="L1807">
        <f>IF(AND(H1807="",F1807="Attended"),1,0)</f>
        <v/>
      </c>
      <c r="M1807">
        <f>IF(AND(H1807="",OR(F1807="No-show",F1807="Late cancel")),1,0)</f>
        <v/>
      </c>
      <c r="N1807">
        <f>IF(AND(H1807="",F1807="",D1807&lt;&gt;"",I1807&gt;=TODAY()),ROUND((I1807+IF(ISNUMBER(C1807),MOD(C1807,1),0))*1440,0)*10000+ROW(),"")</f>
        <v/>
      </c>
    </row>
    <row r="1808">
      <c r="A1808" s="1" t="n"/>
      <c r="B1808" s="17" t="n"/>
      <c r="C1808" s="18" t="n"/>
      <c r="D1808" s="19" t="n"/>
      <c r="E1808" s="20" t="n"/>
      <c r="F1808" s="20" t="n"/>
      <c r="G1808" s="21" t="n"/>
      <c r="H1808" s="12">
        <f>IF(AND(B1808="",D1808="",F1808=""),"",IF(NOT(ISNUMBER(B1808)),"Needs a date",IF(D1808="","Needs a client",IF(COUNTIF(Clients!$B$6:$B$105,D1808)=0,"Not on Clients",IF(AND(F1808="",INT(B1808)&lt;TODAY()),"Needs a status","")))))</f>
        <v/>
      </c>
      <c r="I1808" s="1">
        <f>IF(ISNUMBER(B1808),INT(B1808),0)</f>
        <v/>
      </c>
      <c r="J1808">
        <f>IF(ISNUMBER(B1808),YEAR(B1808)*100+MONTH(B1808),"")</f>
        <v/>
      </c>
      <c r="K1808">
        <f>IF(AND(H1808="",OR(F1808="Attended",F1808="No-show",AND(F1808="Late cancel",Settings!$C$9="Yes"))),1,0)</f>
        <v/>
      </c>
      <c r="L1808">
        <f>IF(AND(H1808="",F1808="Attended"),1,0)</f>
        <v/>
      </c>
      <c r="M1808">
        <f>IF(AND(H1808="",OR(F1808="No-show",F1808="Late cancel")),1,0)</f>
        <v/>
      </c>
      <c r="N1808">
        <f>IF(AND(H1808="",F1808="",D1808&lt;&gt;"",I1808&gt;=TODAY()),ROUND((I1808+IF(ISNUMBER(C1808),MOD(C1808,1),0))*1440,0)*10000+ROW(),"")</f>
        <v/>
      </c>
    </row>
    <row r="1809">
      <c r="A1809" s="1" t="n"/>
      <c r="B1809" s="17" t="n"/>
      <c r="C1809" s="18" t="n"/>
      <c r="D1809" s="19" t="n"/>
      <c r="E1809" s="20" t="n"/>
      <c r="F1809" s="20" t="n"/>
      <c r="G1809" s="21" t="n"/>
      <c r="H1809" s="12">
        <f>IF(AND(B1809="",D1809="",F1809=""),"",IF(NOT(ISNUMBER(B1809)),"Needs a date",IF(D1809="","Needs a client",IF(COUNTIF(Clients!$B$6:$B$105,D1809)=0,"Not on Clients",IF(AND(F1809="",INT(B1809)&lt;TODAY()),"Needs a status","")))))</f>
        <v/>
      </c>
      <c r="I1809" s="1">
        <f>IF(ISNUMBER(B1809),INT(B1809),0)</f>
        <v/>
      </c>
      <c r="J1809">
        <f>IF(ISNUMBER(B1809),YEAR(B1809)*100+MONTH(B1809),"")</f>
        <v/>
      </c>
      <c r="K1809">
        <f>IF(AND(H1809="",OR(F1809="Attended",F1809="No-show",AND(F1809="Late cancel",Settings!$C$9="Yes"))),1,0)</f>
        <v/>
      </c>
      <c r="L1809">
        <f>IF(AND(H1809="",F1809="Attended"),1,0)</f>
        <v/>
      </c>
      <c r="M1809">
        <f>IF(AND(H1809="",OR(F1809="No-show",F1809="Late cancel")),1,0)</f>
        <v/>
      </c>
      <c r="N1809">
        <f>IF(AND(H1809="",F1809="",D1809&lt;&gt;"",I1809&gt;=TODAY()),ROUND((I1809+IF(ISNUMBER(C1809),MOD(C1809,1),0))*1440,0)*10000+ROW(),"")</f>
        <v/>
      </c>
    </row>
    <row r="1810">
      <c r="A1810" s="1" t="n"/>
      <c r="B1810" s="17" t="n"/>
      <c r="C1810" s="18" t="n"/>
      <c r="D1810" s="19" t="n"/>
      <c r="E1810" s="20" t="n"/>
      <c r="F1810" s="20" t="n"/>
      <c r="G1810" s="21" t="n"/>
      <c r="H1810" s="12">
        <f>IF(AND(B1810="",D1810="",F1810=""),"",IF(NOT(ISNUMBER(B1810)),"Needs a date",IF(D1810="","Needs a client",IF(COUNTIF(Clients!$B$6:$B$105,D1810)=0,"Not on Clients",IF(AND(F1810="",INT(B1810)&lt;TODAY()),"Needs a status","")))))</f>
        <v/>
      </c>
      <c r="I1810" s="1">
        <f>IF(ISNUMBER(B1810),INT(B1810),0)</f>
        <v/>
      </c>
      <c r="J1810">
        <f>IF(ISNUMBER(B1810),YEAR(B1810)*100+MONTH(B1810),"")</f>
        <v/>
      </c>
      <c r="K1810">
        <f>IF(AND(H1810="",OR(F1810="Attended",F1810="No-show",AND(F1810="Late cancel",Settings!$C$9="Yes"))),1,0)</f>
        <v/>
      </c>
      <c r="L1810">
        <f>IF(AND(H1810="",F1810="Attended"),1,0)</f>
        <v/>
      </c>
      <c r="M1810">
        <f>IF(AND(H1810="",OR(F1810="No-show",F1810="Late cancel")),1,0)</f>
        <v/>
      </c>
      <c r="N1810">
        <f>IF(AND(H1810="",F1810="",D1810&lt;&gt;"",I1810&gt;=TODAY()),ROUND((I1810+IF(ISNUMBER(C1810),MOD(C1810,1),0))*1440,0)*10000+ROW(),"")</f>
        <v/>
      </c>
    </row>
    <row r="1811">
      <c r="A1811" s="1" t="n"/>
      <c r="B1811" s="17" t="n"/>
      <c r="C1811" s="18" t="n"/>
      <c r="D1811" s="19" t="n"/>
      <c r="E1811" s="20" t="n"/>
      <c r="F1811" s="20" t="n"/>
      <c r="G1811" s="21" t="n"/>
      <c r="H1811" s="12">
        <f>IF(AND(B1811="",D1811="",F1811=""),"",IF(NOT(ISNUMBER(B1811)),"Needs a date",IF(D1811="","Needs a client",IF(COUNTIF(Clients!$B$6:$B$105,D1811)=0,"Not on Clients",IF(AND(F1811="",INT(B1811)&lt;TODAY()),"Needs a status","")))))</f>
        <v/>
      </c>
      <c r="I1811" s="1">
        <f>IF(ISNUMBER(B1811),INT(B1811),0)</f>
        <v/>
      </c>
      <c r="J1811">
        <f>IF(ISNUMBER(B1811),YEAR(B1811)*100+MONTH(B1811),"")</f>
        <v/>
      </c>
      <c r="K1811">
        <f>IF(AND(H1811="",OR(F1811="Attended",F1811="No-show",AND(F1811="Late cancel",Settings!$C$9="Yes"))),1,0)</f>
        <v/>
      </c>
      <c r="L1811">
        <f>IF(AND(H1811="",F1811="Attended"),1,0)</f>
        <v/>
      </c>
      <c r="M1811">
        <f>IF(AND(H1811="",OR(F1811="No-show",F1811="Late cancel")),1,0)</f>
        <v/>
      </c>
      <c r="N1811">
        <f>IF(AND(H1811="",F1811="",D1811&lt;&gt;"",I1811&gt;=TODAY()),ROUND((I1811+IF(ISNUMBER(C1811),MOD(C1811,1),0))*1440,0)*10000+ROW(),"")</f>
        <v/>
      </c>
    </row>
    <row r="1812">
      <c r="A1812" s="1" t="n"/>
      <c r="B1812" s="17" t="n"/>
      <c r="C1812" s="18" t="n"/>
      <c r="D1812" s="19" t="n"/>
      <c r="E1812" s="20" t="n"/>
      <c r="F1812" s="20" t="n"/>
      <c r="G1812" s="21" t="n"/>
      <c r="H1812" s="12">
        <f>IF(AND(B1812="",D1812="",F1812=""),"",IF(NOT(ISNUMBER(B1812)),"Needs a date",IF(D1812="","Needs a client",IF(COUNTIF(Clients!$B$6:$B$105,D1812)=0,"Not on Clients",IF(AND(F1812="",INT(B1812)&lt;TODAY()),"Needs a status","")))))</f>
        <v/>
      </c>
      <c r="I1812" s="1">
        <f>IF(ISNUMBER(B1812),INT(B1812),0)</f>
        <v/>
      </c>
      <c r="J1812">
        <f>IF(ISNUMBER(B1812),YEAR(B1812)*100+MONTH(B1812),"")</f>
        <v/>
      </c>
      <c r="K1812">
        <f>IF(AND(H1812="",OR(F1812="Attended",F1812="No-show",AND(F1812="Late cancel",Settings!$C$9="Yes"))),1,0)</f>
        <v/>
      </c>
      <c r="L1812">
        <f>IF(AND(H1812="",F1812="Attended"),1,0)</f>
        <v/>
      </c>
      <c r="M1812">
        <f>IF(AND(H1812="",OR(F1812="No-show",F1812="Late cancel")),1,0)</f>
        <v/>
      </c>
      <c r="N1812">
        <f>IF(AND(H1812="",F1812="",D1812&lt;&gt;"",I1812&gt;=TODAY()),ROUND((I1812+IF(ISNUMBER(C1812),MOD(C1812,1),0))*1440,0)*10000+ROW(),"")</f>
        <v/>
      </c>
    </row>
    <row r="1813">
      <c r="A1813" s="1" t="n"/>
      <c r="B1813" s="17" t="n"/>
      <c r="C1813" s="18" t="n"/>
      <c r="D1813" s="19" t="n"/>
      <c r="E1813" s="20" t="n"/>
      <c r="F1813" s="20" t="n"/>
      <c r="G1813" s="21" t="n"/>
      <c r="H1813" s="12">
        <f>IF(AND(B1813="",D1813="",F1813=""),"",IF(NOT(ISNUMBER(B1813)),"Needs a date",IF(D1813="","Needs a client",IF(COUNTIF(Clients!$B$6:$B$105,D1813)=0,"Not on Clients",IF(AND(F1813="",INT(B1813)&lt;TODAY()),"Needs a status","")))))</f>
        <v/>
      </c>
      <c r="I1813" s="1">
        <f>IF(ISNUMBER(B1813),INT(B1813),0)</f>
        <v/>
      </c>
      <c r="J1813">
        <f>IF(ISNUMBER(B1813),YEAR(B1813)*100+MONTH(B1813),"")</f>
        <v/>
      </c>
      <c r="K1813">
        <f>IF(AND(H1813="",OR(F1813="Attended",F1813="No-show",AND(F1813="Late cancel",Settings!$C$9="Yes"))),1,0)</f>
        <v/>
      </c>
      <c r="L1813">
        <f>IF(AND(H1813="",F1813="Attended"),1,0)</f>
        <v/>
      </c>
      <c r="M1813">
        <f>IF(AND(H1813="",OR(F1813="No-show",F1813="Late cancel")),1,0)</f>
        <v/>
      </c>
      <c r="N1813">
        <f>IF(AND(H1813="",F1813="",D1813&lt;&gt;"",I1813&gt;=TODAY()),ROUND((I1813+IF(ISNUMBER(C1813),MOD(C1813,1),0))*1440,0)*10000+ROW(),"")</f>
        <v/>
      </c>
    </row>
    <row r="1814">
      <c r="A1814" s="1" t="n"/>
      <c r="B1814" s="17" t="n"/>
      <c r="C1814" s="18" t="n"/>
      <c r="D1814" s="19" t="n"/>
      <c r="E1814" s="20" t="n"/>
      <c r="F1814" s="20" t="n"/>
      <c r="G1814" s="21" t="n"/>
      <c r="H1814" s="12">
        <f>IF(AND(B1814="",D1814="",F1814=""),"",IF(NOT(ISNUMBER(B1814)),"Needs a date",IF(D1814="","Needs a client",IF(COUNTIF(Clients!$B$6:$B$105,D1814)=0,"Not on Clients",IF(AND(F1814="",INT(B1814)&lt;TODAY()),"Needs a status","")))))</f>
        <v/>
      </c>
      <c r="I1814" s="1">
        <f>IF(ISNUMBER(B1814),INT(B1814),0)</f>
        <v/>
      </c>
      <c r="J1814">
        <f>IF(ISNUMBER(B1814),YEAR(B1814)*100+MONTH(B1814),"")</f>
        <v/>
      </c>
      <c r="K1814">
        <f>IF(AND(H1814="",OR(F1814="Attended",F1814="No-show",AND(F1814="Late cancel",Settings!$C$9="Yes"))),1,0)</f>
        <v/>
      </c>
      <c r="L1814">
        <f>IF(AND(H1814="",F1814="Attended"),1,0)</f>
        <v/>
      </c>
      <c r="M1814">
        <f>IF(AND(H1814="",OR(F1814="No-show",F1814="Late cancel")),1,0)</f>
        <v/>
      </c>
      <c r="N1814">
        <f>IF(AND(H1814="",F1814="",D1814&lt;&gt;"",I1814&gt;=TODAY()),ROUND((I1814+IF(ISNUMBER(C1814),MOD(C1814,1),0))*1440,0)*10000+ROW(),"")</f>
        <v/>
      </c>
    </row>
    <row r="1815">
      <c r="A1815" s="1" t="n"/>
      <c r="B1815" s="17" t="n"/>
      <c r="C1815" s="18" t="n"/>
      <c r="D1815" s="19" t="n"/>
      <c r="E1815" s="20" t="n"/>
      <c r="F1815" s="20" t="n"/>
      <c r="G1815" s="21" t="n"/>
      <c r="H1815" s="12">
        <f>IF(AND(B1815="",D1815="",F1815=""),"",IF(NOT(ISNUMBER(B1815)),"Needs a date",IF(D1815="","Needs a client",IF(COUNTIF(Clients!$B$6:$B$105,D1815)=0,"Not on Clients",IF(AND(F1815="",INT(B1815)&lt;TODAY()),"Needs a status","")))))</f>
        <v/>
      </c>
      <c r="I1815" s="1">
        <f>IF(ISNUMBER(B1815),INT(B1815),0)</f>
        <v/>
      </c>
      <c r="J1815">
        <f>IF(ISNUMBER(B1815),YEAR(B1815)*100+MONTH(B1815),"")</f>
        <v/>
      </c>
      <c r="K1815">
        <f>IF(AND(H1815="",OR(F1815="Attended",F1815="No-show",AND(F1815="Late cancel",Settings!$C$9="Yes"))),1,0)</f>
        <v/>
      </c>
      <c r="L1815">
        <f>IF(AND(H1815="",F1815="Attended"),1,0)</f>
        <v/>
      </c>
      <c r="M1815">
        <f>IF(AND(H1815="",OR(F1815="No-show",F1815="Late cancel")),1,0)</f>
        <v/>
      </c>
      <c r="N1815">
        <f>IF(AND(H1815="",F1815="",D1815&lt;&gt;"",I1815&gt;=TODAY()),ROUND((I1815+IF(ISNUMBER(C1815),MOD(C1815,1),0))*1440,0)*10000+ROW(),"")</f>
        <v/>
      </c>
    </row>
    <row r="1816">
      <c r="A1816" s="1" t="n"/>
      <c r="B1816" s="17" t="n"/>
      <c r="C1816" s="18" t="n"/>
      <c r="D1816" s="19" t="n"/>
      <c r="E1816" s="20" t="n"/>
      <c r="F1816" s="20" t="n"/>
      <c r="G1816" s="21" t="n"/>
      <c r="H1816" s="12">
        <f>IF(AND(B1816="",D1816="",F1816=""),"",IF(NOT(ISNUMBER(B1816)),"Needs a date",IF(D1816="","Needs a client",IF(COUNTIF(Clients!$B$6:$B$105,D1816)=0,"Not on Clients",IF(AND(F1816="",INT(B1816)&lt;TODAY()),"Needs a status","")))))</f>
        <v/>
      </c>
      <c r="I1816" s="1">
        <f>IF(ISNUMBER(B1816),INT(B1816),0)</f>
        <v/>
      </c>
      <c r="J1816">
        <f>IF(ISNUMBER(B1816),YEAR(B1816)*100+MONTH(B1816),"")</f>
        <v/>
      </c>
      <c r="K1816">
        <f>IF(AND(H1816="",OR(F1816="Attended",F1816="No-show",AND(F1816="Late cancel",Settings!$C$9="Yes"))),1,0)</f>
        <v/>
      </c>
      <c r="L1816">
        <f>IF(AND(H1816="",F1816="Attended"),1,0)</f>
        <v/>
      </c>
      <c r="M1816">
        <f>IF(AND(H1816="",OR(F1816="No-show",F1816="Late cancel")),1,0)</f>
        <v/>
      </c>
      <c r="N1816">
        <f>IF(AND(H1816="",F1816="",D1816&lt;&gt;"",I1816&gt;=TODAY()),ROUND((I1816+IF(ISNUMBER(C1816),MOD(C1816,1),0))*1440,0)*10000+ROW(),"")</f>
        <v/>
      </c>
    </row>
    <row r="1817">
      <c r="A1817" s="1" t="n"/>
      <c r="B1817" s="17" t="n"/>
      <c r="C1817" s="18" t="n"/>
      <c r="D1817" s="19" t="n"/>
      <c r="E1817" s="20" t="n"/>
      <c r="F1817" s="20" t="n"/>
      <c r="G1817" s="21" t="n"/>
      <c r="H1817" s="12">
        <f>IF(AND(B1817="",D1817="",F1817=""),"",IF(NOT(ISNUMBER(B1817)),"Needs a date",IF(D1817="","Needs a client",IF(COUNTIF(Clients!$B$6:$B$105,D1817)=0,"Not on Clients",IF(AND(F1817="",INT(B1817)&lt;TODAY()),"Needs a status","")))))</f>
        <v/>
      </c>
      <c r="I1817" s="1">
        <f>IF(ISNUMBER(B1817),INT(B1817),0)</f>
        <v/>
      </c>
      <c r="J1817">
        <f>IF(ISNUMBER(B1817),YEAR(B1817)*100+MONTH(B1817),"")</f>
        <v/>
      </c>
      <c r="K1817">
        <f>IF(AND(H1817="",OR(F1817="Attended",F1817="No-show",AND(F1817="Late cancel",Settings!$C$9="Yes"))),1,0)</f>
        <v/>
      </c>
      <c r="L1817">
        <f>IF(AND(H1817="",F1817="Attended"),1,0)</f>
        <v/>
      </c>
      <c r="M1817">
        <f>IF(AND(H1817="",OR(F1817="No-show",F1817="Late cancel")),1,0)</f>
        <v/>
      </c>
      <c r="N1817">
        <f>IF(AND(H1817="",F1817="",D1817&lt;&gt;"",I1817&gt;=TODAY()),ROUND((I1817+IF(ISNUMBER(C1817),MOD(C1817,1),0))*1440,0)*10000+ROW(),"")</f>
        <v/>
      </c>
    </row>
    <row r="1818">
      <c r="A1818" s="1" t="n"/>
      <c r="B1818" s="17" t="n"/>
      <c r="C1818" s="18" t="n"/>
      <c r="D1818" s="19" t="n"/>
      <c r="E1818" s="20" t="n"/>
      <c r="F1818" s="20" t="n"/>
      <c r="G1818" s="21" t="n"/>
      <c r="H1818" s="12">
        <f>IF(AND(B1818="",D1818="",F1818=""),"",IF(NOT(ISNUMBER(B1818)),"Needs a date",IF(D1818="","Needs a client",IF(COUNTIF(Clients!$B$6:$B$105,D1818)=0,"Not on Clients",IF(AND(F1818="",INT(B1818)&lt;TODAY()),"Needs a status","")))))</f>
        <v/>
      </c>
      <c r="I1818" s="1">
        <f>IF(ISNUMBER(B1818),INT(B1818),0)</f>
        <v/>
      </c>
      <c r="J1818">
        <f>IF(ISNUMBER(B1818),YEAR(B1818)*100+MONTH(B1818),"")</f>
        <v/>
      </c>
      <c r="K1818">
        <f>IF(AND(H1818="",OR(F1818="Attended",F1818="No-show",AND(F1818="Late cancel",Settings!$C$9="Yes"))),1,0)</f>
        <v/>
      </c>
      <c r="L1818">
        <f>IF(AND(H1818="",F1818="Attended"),1,0)</f>
        <v/>
      </c>
      <c r="M1818">
        <f>IF(AND(H1818="",OR(F1818="No-show",F1818="Late cancel")),1,0)</f>
        <v/>
      </c>
      <c r="N1818">
        <f>IF(AND(H1818="",F1818="",D1818&lt;&gt;"",I1818&gt;=TODAY()),ROUND((I1818+IF(ISNUMBER(C1818),MOD(C1818,1),0))*1440,0)*10000+ROW(),"")</f>
        <v/>
      </c>
    </row>
    <row r="1819">
      <c r="A1819" s="1" t="n"/>
      <c r="B1819" s="17" t="n"/>
      <c r="C1819" s="18" t="n"/>
      <c r="D1819" s="19" t="n"/>
      <c r="E1819" s="20" t="n"/>
      <c r="F1819" s="20" t="n"/>
      <c r="G1819" s="21" t="n"/>
      <c r="H1819" s="12">
        <f>IF(AND(B1819="",D1819="",F1819=""),"",IF(NOT(ISNUMBER(B1819)),"Needs a date",IF(D1819="","Needs a client",IF(COUNTIF(Clients!$B$6:$B$105,D1819)=0,"Not on Clients",IF(AND(F1819="",INT(B1819)&lt;TODAY()),"Needs a status","")))))</f>
        <v/>
      </c>
      <c r="I1819" s="1">
        <f>IF(ISNUMBER(B1819),INT(B1819),0)</f>
        <v/>
      </c>
      <c r="J1819">
        <f>IF(ISNUMBER(B1819),YEAR(B1819)*100+MONTH(B1819),"")</f>
        <v/>
      </c>
      <c r="K1819">
        <f>IF(AND(H1819="",OR(F1819="Attended",F1819="No-show",AND(F1819="Late cancel",Settings!$C$9="Yes"))),1,0)</f>
        <v/>
      </c>
      <c r="L1819">
        <f>IF(AND(H1819="",F1819="Attended"),1,0)</f>
        <v/>
      </c>
      <c r="M1819">
        <f>IF(AND(H1819="",OR(F1819="No-show",F1819="Late cancel")),1,0)</f>
        <v/>
      </c>
      <c r="N1819">
        <f>IF(AND(H1819="",F1819="",D1819&lt;&gt;"",I1819&gt;=TODAY()),ROUND((I1819+IF(ISNUMBER(C1819),MOD(C1819,1),0))*1440,0)*10000+ROW(),"")</f>
        <v/>
      </c>
    </row>
    <row r="1820">
      <c r="A1820" s="1" t="n"/>
      <c r="B1820" s="17" t="n"/>
      <c r="C1820" s="18" t="n"/>
      <c r="D1820" s="19" t="n"/>
      <c r="E1820" s="20" t="n"/>
      <c r="F1820" s="20" t="n"/>
      <c r="G1820" s="21" t="n"/>
      <c r="H1820" s="12">
        <f>IF(AND(B1820="",D1820="",F1820=""),"",IF(NOT(ISNUMBER(B1820)),"Needs a date",IF(D1820="","Needs a client",IF(COUNTIF(Clients!$B$6:$B$105,D1820)=0,"Not on Clients",IF(AND(F1820="",INT(B1820)&lt;TODAY()),"Needs a status","")))))</f>
        <v/>
      </c>
      <c r="I1820" s="1">
        <f>IF(ISNUMBER(B1820),INT(B1820),0)</f>
        <v/>
      </c>
      <c r="J1820">
        <f>IF(ISNUMBER(B1820),YEAR(B1820)*100+MONTH(B1820),"")</f>
        <v/>
      </c>
      <c r="K1820">
        <f>IF(AND(H1820="",OR(F1820="Attended",F1820="No-show",AND(F1820="Late cancel",Settings!$C$9="Yes"))),1,0)</f>
        <v/>
      </c>
      <c r="L1820">
        <f>IF(AND(H1820="",F1820="Attended"),1,0)</f>
        <v/>
      </c>
      <c r="M1820">
        <f>IF(AND(H1820="",OR(F1820="No-show",F1820="Late cancel")),1,0)</f>
        <v/>
      </c>
      <c r="N1820">
        <f>IF(AND(H1820="",F1820="",D1820&lt;&gt;"",I1820&gt;=TODAY()),ROUND((I1820+IF(ISNUMBER(C1820),MOD(C1820,1),0))*1440,0)*10000+ROW(),"")</f>
        <v/>
      </c>
    </row>
    <row r="1821">
      <c r="A1821" s="1" t="n"/>
      <c r="B1821" s="17" t="n"/>
      <c r="C1821" s="18" t="n"/>
      <c r="D1821" s="19" t="n"/>
      <c r="E1821" s="20" t="n"/>
      <c r="F1821" s="20" t="n"/>
      <c r="G1821" s="21" t="n"/>
      <c r="H1821" s="12">
        <f>IF(AND(B1821="",D1821="",F1821=""),"",IF(NOT(ISNUMBER(B1821)),"Needs a date",IF(D1821="","Needs a client",IF(COUNTIF(Clients!$B$6:$B$105,D1821)=0,"Not on Clients",IF(AND(F1821="",INT(B1821)&lt;TODAY()),"Needs a status","")))))</f>
        <v/>
      </c>
      <c r="I1821" s="1">
        <f>IF(ISNUMBER(B1821),INT(B1821),0)</f>
        <v/>
      </c>
      <c r="J1821">
        <f>IF(ISNUMBER(B1821),YEAR(B1821)*100+MONTH(B1821),"")</f>
        <v/>
      </c>
      <c r="K1821">
        <f>IF(AND(H1821="",OR(F1821="Attended",F1821="No-show",AND(F1821="Late cancel",Settings!$C$9="Yes"))),1,0)</f>
        <v/>
      </c>
      <c r="L1821">
        <f>IF(AND(H1821="",F1821="Attended"),1,0)</f>
        <v/>
      </c>
      <c r="M1821">
        <f>IF(AND(H1821="",OR(F1821="No-show",F1821="Late cancel")),1,0)</f>
        <v/>
      </c>
      <c r="N1821">
        <f>IF(AND(H1821="",F1821="",D1821&lt;&gt;"",I1821&gt;=TODAY()),ROUND((I1821+IF(ISNUMBER(C1821),MOD(C1821,1),0))*1440,0)*10000+ROW(),"")</f>
        <v/>
      </c>
    </row>
    <row r="1822">
      <c r="A1822" s="1" t="n"/>
      <c r="B1822" s="17" t="n"/>
      <c r="C1822" s="18" t="n"/>
      <c r="D1822" s="19" t="n"/>
      <c r="E1822" s="20" t="n"/>
      <c r="F1822" s="20" t="n"/>
      <c r="G1822" s="21" t="n"/>
      <c r="H1822" s="12">
        <f>IF(AND(B1822="",D1822="",F1822=""),"",IF(NOT(ISNUMBER(B1822)),"Needs a date",IF(D1822="","Needs a client",IF(COUNTIF(Clients!$B$6:$B$105,D1822)=0,"Not on Clients",IF(AND(F1822="",INT(B1822)&lt;TODAY()),"Needs a status","")))))</f>
        <v/>
      </c>
      <c r="I1822" s="1">
        <f>IF(ISNUMBER(B1822),INT(B1822),0)</f>
        <v/>
      </c>
      <c r="J1822">
        <f>IF(ISNUMBER(B1822),YEAR(B1822)*100+MONTH(B1822),"")</f>
        <v/>
      </c>
      <c r="K1822">
        <f>IF(AND(H1822="",OR(F1822="Attended",F1822="No-show",AND(F1822="Late cancel",Settings!$C$9="Yes"))),1,0)</f>
        <v/>
      </c>
      <c r="L1822">
        <f>IF(AND(H1822="",F1822="Attended"),1,0)</f>
        <v/>
      </c>
      <c r="M1822">
        <f>IF(AND(H1822="",OR(F1822="No-show",F1822="Late cancel")),1,0)</f>
        <v/>
      </c>
      <c r="N1822">
        <f>IF(AND(H1822="",F1822="",D1822&lt;&gt;"",I1822&gt;=TODAY()),ROUND((I1822+IF(ISNUMBER(C1822),MOD(C1822,1),0))*1440,0)*10000+ROW(),"")</f>
        <v/>
      </c>
    </row>
    <row r="1823">
      <c r="A1823" s="1" t="n"/>
      <c r="B1823" s="17" t="n"/>
      <c r="C1823" s="18" t="n"/>
      <c r="D1823" s="19" t="n"/>
      <c r="E1823" s="20" t="n"/>
      <c r="F1823" s="20" t="n"/>
      <c r="G1823" s="21" t="n"/>
      <c r="H1823" s="12">
        <f>IF(AND(B1823="",D1823="",F1823=""),"",IF(NOT(ISNUMBER(B1823)),"Needs a date",IF(D1823="","Needs a client",IF(COUNTIF(Clients!$B$6:$B$105,D1823)=0,"Not on Clients",IF(AND(F1823="",INT(B1823)&lt;TODAY()),"Needs a status","")))))</f>
        <v/>
      </c>
      <c r="I1823" s="1">
        <f>IF(ISNUMBER(B1823),INT(B1823),0)</f>
        <v/>
      </c>
      <c r="J1823">
        <f>IF(ISNUMBER(B1823),YEAR(B1823)*100+MONTH(B1823),"")</f>
        <v/>
      </c>
      <c r="K1823">
        <f>IF(AND(H1823="",OR(F1823="Attended",F1823="No-show",AND(F1823="Late cancel",Settings!$C$9="Yes"))),1,0)</f>
        <v/>
      </c>
      <c r="L1823">
        <f>IF(AND(H1823="",F1823="Attended"),1,0)</f>
        <v/>
      </c>
      <c r="M1823">
        <f>IF(AND(H1823="",OR(F1823="No-show",F1823="Late cancel")),1,0)</f>
        <v/>
      </c>
      <c r="N1823">
        <f>IF(AND(H1823="",F1823="",D1823&lt;&gt;"",I1823&gt;=TODAY()),ROUND((I1823+IF(ISNUMBER(C1823),MOD(C1823,1),0))*1440,0)*10000+ROW(),"")</f>
        <v/>
      </c>
    </row>
    <row r="1824">
      <c r="A1824" s="1" t="n"/>
      <c r="B1824" s="17" t="n"/>
      <c r="C1824" s="18" t="n"/>
      <c r="D1824" s="19" t="n"/>
      <c r="E1824" s="20" t="n"/>
      <c r="F1824" s="20" t="n"/>
      <c r="G1824" s="21" t="n"/>
      <c r="H1824" s="12">
        <f>IF(AND(B1824="",D1824="",F1824=""),"",IF(NOT(ISNUMBER(B1824)),"Needs a date",IF(D1824="","Needs a client",IF(COUNTIF(Clients!$B$6:$B$105,D1824)=0,"Not on Clients",IF(AND(F1824="",INT(B1824)&lt;TODAY()),"Needs a status","")))))</f>
        <v/>
      </c>
      <c r="I1824" s="1">
        <f>IF(ISNUMBER(B1824),INT(B1824),0)</f>
        <v/>
      </c>
      <c r="J1824">
        <f>IF(ISNUMBER(B1824),YEAR(B1824)*100+MONTH(B1824),"")</f>
        <v/>
      </c>
      <c r="K1824">
        <f>IF(AND(H1824="",OR(F1824="Attended",F1824="No-show",AND(F1824="Late cancel",Settings!$C$9="Yes"))),1,0)</f>
        <v/>
      </c>
      <c r="L1824">
        <f>IF(AND(H1824="",F1824="Attended"),1,0)</f>
        <v/>
      </c>
      <c r="M1824">
        <f>IF(AND(H1824="",OR(F1824="No-show",F1824="Late cancel")),1,0)</f>
        <v/>
      </c>
      <c r="N1824">
        <f>IF(AND(H1824="",F1824="",D1824&lt;&gt;"",I1824&gt;=TODAY()),ROUND((I1824+IF(ISNUMBER(C1824),MOD(C1824,1),0))*1440,0)*10000+ROW(),"")</f>
        <v/>
      </c>
    </row>
    <row r="1825">
      <c r="A1825" s="1" t="n"/>
      <c r="B1825" s="17" t="n"/>
      <c r="C1825" s="18" t="n"/>
      <c r="D1825" s="19" t="n"/>
      <c r="E1825" s="20" t="n"/>
      <c r="F1825" s="20" t="n"/>
      <c r="G1825" s="21" t="n"/>
      <c r="H1825" s="12">
        <f>IF(AND(B1825="",D1825="",F1825=""),"",IF(NOT(ISNUMBER(B1825)),"Needs a date",IF(D1825="","Needs a client",IF(COUNTIF(Clients!$B$6:$B$105,D1825)=0,"Not on Clients",IF(AND(F1825="",INT(B1825)&lt;TODAY()),"Needs a status","")))))</f>
        <v/>
      </c>
      <c r="I1825" s="1">
        <f>IF(ISNUMBER(B1825),INT(B1825),0)</f>
        <v/>
      </c>
      <c r="J1825">
        <f>IF(ISNUMBER(B1825),YEAR(B1825)*100+MONTH(B1825),"")</f>
        <v/>
      </c>
      <c r="K1825">
        <f>IF(AND(H1825="",OR(F1825="Attended",F1825="No-show",AND(F1825="Late cancel",Settings!$C$9="Yes"))),1,0)</f>
        <v/>
      </c>
      <c r="L1825">
        <f>IF(AND(H1825="",F1825="Attended"),1,0)</f>
        <v/>
      </c>
      <c r="M1825">
        <f>IF(AND(H1825="",OR(F1825="No-show",F1825="Late cancel")),1,0)</f>
        <v/>
      </c>
      <c r="N1825">
        <f>IF(AND(H1825="",F1825="",D1825&lt;&gt;"",I1825&gt;=TODAY()),ROUND((I1825+IF(ISNUMBER(C1825),MOD(C1825,1),0))*1440,0)*10000+ROW(),"")</f>
        <v/>
      </c>
    </row>
    <row r="1826">
      <c r="A1826" s="1" t="n"/>
      <c r="B1826" s="17" t="n"/>
      <c r="C1826" s="18" t="n"/>
      <c r="D1826" s="19" t="n"/>
      <c r="E1826" s="20" t="n"/>
      <c r="F1826" s="20" t="n"/>
      <c r="G1826" s="21" t="n"/>
      <c r="H1826" s="12">
        <f>IF(AND(B1826="",D1826="",F1826=""),"",IF(NOT(ISNUMBER(B1826)),"Needs a date",IF(D1826="","Needs a client",IF(COUNTIF(Clients!$B$6:$B$105,D1826)=0,"Not on Clients",IF(AND(F1826="",INT(B1826)&lt;TODAY()),"Needs a status","")))))</f>
        <v/>
      </c>
      <c r="I1826" s="1">
        <f>IF(ISNUMBER(B1826),INT(B1826),0)</f>
        <v/>
      </c>
      <c r="J1826">
        <f>IF(ISNUMBER(B1826),YEAR(B1826)*100+MONTH(B1826),"")</f>
        <v/>
      </c>
      <c r="K1826">
        <f>IF(AND(H1826="",OR(F1826="Attended",F1826="No-show",AND(F1826="Late cancel",Settings!$C$9="Yes"))),1,0)</f>
        <v/>
      </c>
      <c r="L1826">
        <f>IF(AND(H1826="",F1826="Attended"),1,0)</f>
        <v/>
      </c>
      <c r="M1826">
        <f>IF(AND(H1826="",OR(F1826="No-show",F1826="Late cancel")),1,0)</f>
        <v/>
      </c>
      <c r="N1826">
        <f>IF(AND(H1826="",F1826="",D1826&lt;&gt;"",I1826&gt;=TODAY()),ROUND((I1826+IF(ISNUMBER(C1826),MOD(C1826,1),0))*1440,0)*10000+ROW(),"")</f>
        <v/>
      </c>
    </row>
    <row r="1827">
      <c r="A1827" s="1" t="n"/>
      <c r="B1827" s="17" t="n"/>
      <c r="C1827" s="18" t="n"/>
      <c r="D1827" s="19" t="n"/>
      <c r="E1827" s="20" t="n"/>
      <c r="F1827" s="20" t="n"/>
      <c r="G1827" s="21" t="n"/>
      <c r="H1827" s="12">
        <f>IF(AND(B1827="",D1827="",F1827=""),"",IF(NOT(ISNUMBER(B1827)),"Needs a date",IF(D1827="","Needs a client",IF(COUNTIF(Clients!$B$6:$B$105,D1827)=0,"Not on Clients",IF(AND(F1827="",INT(B1827)&lt;TODAY()),"Needs a status","")))))</f>
        <v/>
      </c>
      <c r="I1827" s="1">
        <f>IF(ISNUMBER(B1827),INT(B1827),0)</f>
        <v/>
      </c>
      <c r="J1827">
        <f>IF(ISNUMBER(B1827),YEAR(B1827)*100+MONTH(B1827),"")</f>
        <v/>
      </c>
      <c r="K1827">
        <f>IF(AND(H1827="",OR(F1827="Attended",F1827="No-show",AND(F1827="Late cancel",Settings!$C$9="Yes"))),1,0)</f>
        <v/>
      </c>
      <c r="L1827">
        <f>IF(AND(H1827="",F1827="Attended"),1,0)</f>
        <v/>
      </c>
      <c r="M1827">
        <f>IF(AND(H1827="",OR(F1827="No-show",F1827="Late cancel")),1,0)</f>
        <v/>
      </c>
      <c r="N1827">
        <f>IF(AND(H1827="",F1827="",D1827&lt;&gt;"",I1827&gt;=TODAY()),ROUND((I1827+IF(ISNUMBER(C1827),MOD(C1827,1),0))*1440,0)*10000+ROW(),"")</f>
        <v/>
      </c>
    </row>
    <row r="1828">
      <c r="A1828" s="1" t="n"/>
      <c r="B1828" s="17" t="n"/>
      <c r="C1828" s="18" t="n"/>
      <c r="D1828" s="19" t="n"/>
      <c r="E1828" s="20" t="n"/>
      <c r="F1828" s="20" t="n"/>
      <c r="G1828" s="21" t="n"/>
      <c r="H1828" s="12">
        <f>IF(AND(B1828="",D1828="",F1828=""),"",IF(NOT(ISNUMBER(B1828)),"Needs a date",IF(D1828="","Needs a client",IF(COUNTIF(Clients!$B$6:$B$105,D1828)=0,"Not on Clients",IF(AND(F1828="",INT(B1828)&lt;TODAY()),"Needs a status","")))))</f>
        <v/>
      </c>
      <c r="I1828" s="1">
        <f>IF(ISNUMBER(B1828),INT(B1828),0)</f>
        <v/>
      </c>
      <c r="J1828">
        <f>IF(ISNUMBER(B1828),YEAR(B1828)*100+MONTH(B1828),"")</f>
        <v/>
      </c>
      <c r="K1828">
        <f>IF(AND(H1828="",OR(F1828="Attended",F1828="No-show",AND(F1828="Late cancel",Settings!$C$9="Yes"))),1,0)</f>
        <v/>
      </c>
      <c r="L1828">
        <f>IF(AND(H1828="",F1828="Attended"),1,0)</f>
        <v/>
      </c>
      <c r="M1828">
        <f>IF(AND(H1828="",OR(F1828="No-show",F1828="Late cancel")),1,0)</f>
        <v/>
      </c>
      <c r="N1828">
        <f>IF(AND(H1828="",F1828="",D1828&lt;&gt;"",I1828&gt;=TODAY()),ROUND((I1828+IF(ISNUMBER(C1828),MOD(C1828,1),0))*1440,0)*10000+ROW(),"")</f>
        <v/>
      </c>
    </row>
    <row r="1829">
      <c r="A1829" s="1" t="n"/>
      <c r="B1829" s="17" t="n"/>
      <c r="C1829" s="18" t="n"/>
      <c r="D1829" s="19" t="n"/>
      <c r="E1829" s="20" t="n"/>
      <c r="F1829" s="20" t="n"/>
      <c r="G1829" s="21" t="n"/>
      <c r="H1829" s="12">
        <f>IF(AND(B1829="",D1829="",F1829=""),"",IF(NOT(ISNUMBER(B1829)),"Needs a date",IF(D1829="","Needs a client",IF(COUNTIF(Clients!$B$6:$B$105,D1829)=0,"Not on Clients",IF(AND(F1829="",INT(B1829)&lt;TODAY()),"Needs a status","")))))</f>
        <v/>
      </c>
      <c r="I1829" s="1">
        <f>IF(ISNUMBER(B1829),INT(B1829),0)</f>
        <v/>
      </c>
      <c r="J1829">
        <f>IF(ISNUMBER(B1829),YEAR(B1829)*100+MONTH(B1829),"")</f>
        <v/>
      </c>
      <c r="K1829">
        <f>IF(AND(H1829="",OR(F1829="Attended",F1829="No-show",AND(F1829="Late cancel",Settings!$C$9="Yes"))),1,0)</f>
        <v/>
      </c>
      <c r="L1829">
        <f>IF(AND(H1829="",F1829="Attended"),1,0)</f>
        <v/>
      </c>
      <c r="M1829">
        <f>IF(AND(H1829="",OR(F1829="No-show",F1829="Late cancel")),1,0)</f>
        <v/>
      </c>
      <c r="N1829">
        <f>IF(AND(H1829="",F1829="",D1829&lt;&gt;"",I1829&gt;=TODAY()),ROUND((I1829+IF(ISNUMBER(C1829),MOD(C1829,1),0))*1440,0)*10000+ROW(),"")</f>
        <v/>
      </c>
    </row>
    <row r="1830">
      <c r="A1830" s="1" t="n"/>
      <c r="B1830" s="17" t="n"/>
      <c r="C1830" s="18" t="n"/>
      <c r="D1830" s="19" t="n"/>
      <c r="E1830" s="20" t="n"/>
      <c r="F1830" s="20" t="n"/>
      <c r="G1830" s="21" t="n"/>
      <c r="H1830" s="12">
        <f>IF(AND(B1830="",D1830="",F1830=""),"",IF(NOT(ISNUMBER(B1830)),"Needs a date",IF(D1830="","Needs a client",IF(COUNTIF(Clients!$B$6:$B$105,D1830)=0,"Not on Clients",IF(AND(F1830="",INT(B1830)&lt;TODAY()),"Needs a status","")))))</f>
        <v/>
      </c>
      <c r="I1830" s="1">
        <f>IF(ISNUMBER(B1830),INT(B1830),0)</f>
        <v/>
      </c>
      <c r="J1830">
        <f>IF(ISNUMBER(B1830),YEAR(B1830)*100+MONTH(B1830),"")</f>
        <v/>
      </c>
      <c r="K1830">
        <f>IF(AND(H1830="",OR(F1830="Attended",F1830="No-show",AND(F1830="Late cancel",Settings!$C$9="Yes"))),1,0)</f>
        <v/>
      </c>
      <c r="L1830">
        <f>IF(AND(H1830="",F1830="Attended"),1,0)</f>
        <v/>
      </c>
      <c r="M1830">
        <f>IF(AND(H1830="",OR(F1830="No-show",F1830="Late cancel")),1,0)</f>
        <v/>
      </c>
      <c r="N1830">
        <f>IF(AND(H1830="",F1830="",D1830&lt;&gt;"",I1830&gt;=TODAY()),ROUND((I1830+IF(ISNUMBER(C1830),MOD(C1830,1),0))*1440,0)*10000+ROW(),"")</f>
        <v/>
      </c>
    </row>
    <row r="1831">
      <c r="A1831" s="1" t="n"/>
      <c r="B1831" s="17" t="n"/>
      <c r="C1831" s="18" t="n"/>
      <c r="D1831" s="19" t="n"/>
      <c r="E1831" s="20" t="n"/>
      <c r="F1831" s="20" t="n"/>
      <c r="G1831" s="21" t="n"/>
      <c r="H1831" s="12">
        <f>IF(AND(B1831="",D1831="",F1831=""),"",IF(NOT(ISNUMBER(B1831)),"Needs a date",IF(D1831="","Needs a client",IF(COUNTIF(Clients!$B$6:$B$105,D1831)=0,"Not on Clients",IF(AND(F1831="",INT(B1831)&lt;TODAY()),"Needs a status","")))))</f>
        <v/>
      </c>
      <c r="I1831" s="1">
        <f>IF(ISNUMBER(B1831),INT(B1831),0)</f>
        <v/>
      </c>
      <c r="J1831">
        <f>IF(ISNUMBER(B1831),YEAR(B1831)*100+MONTH(B1831),"")</f>
        <v/>
      </c>
      <c r="K1831">
        <f>IF(AND(H1831="",OR(F1831="Attended",F1831="No-show",AND(F1831="Late cancel",Settings!$C$9="Yes"))),1,0)</f>
        <v/>
      </c>
      <c r="L1831">
        <f>IF(AND(H1831="",F1831="Attended"),1,0)</f>
        <v/>
      </c>
      <c r="M1831">
        <f>IF(AND(H1831="",OR(F1831="No-show",F1831="Late cancel")),1,0)</f>
        <v/>
      </c>
      <c r="N1831">
        <f>IF(AND(H1831="",F1831="",D1831&lt;&gt;"",I1831&gt;=TODAY()),ROUND((I1831+IF(ISNUMBER(C1831),MOD(C1831,1),0))*1440,0)*10000+ROW(),"")</f>
        <v/>
      </c>
    </row>
    <row r="1832">
      <c r="A1832" s="1" t="n"/>
      <c r="B1832" s="17" t="n"/>
      <c r="C1832" s="18" t="n"/>
      <c r="D1832" s="19" t="n"/>
      <c r="E1832" s="20" t="n"/>
      <c r="F1832" s="20" t="n"/>
      <c r="G1832" s="21" t="n"/>
      <c r="H1832" s="12">
        <f>IF(AND(B1832="",D1832="",F1832=""),"",IF(NOT(ISNUMBER(B1832)),"Needs a date",IF(D1832="","Needs a client",IF(COUNTIF(Clients!$B$6:$B$105,D1832)=0,"Not on Clients",IF(AND(F1832="",INT(B1832)&lt;TODAY()),"Needs a status","")))))</f>
        <v/>
      </c>
      <c r="I1832" s="1">
        <f>IF(ISNUMBER(B1832),INT(B1832),0)</f>
        <v/>
      </c>
      <c r="J1832">
        <f>IF(ISNUMBER(B1832),YEAR(B1832)*100+MONTH(B1832),"")</f>
        <v/>
      </c>
      <c r="K1832">
        <f>IF(AND(H1832="",OR(F1832="Attended",F1832="No-show",AND(F1832="Late cancel",Settings!$C$9="Yes"))),1,0)</f>
        <v/>
      </c>
      <c r="L1832">
        <f>IF(AND(H1832="",F1832="Attended"),1,0)</f>
        <v/>
      </c>
      <c r="M1832">
        <f>IF(AND(H1832="",OR(F1832="No-show",F1832="Late cancel")),1,0)</f>
        <v/>
      </c>
      <c r="N1832">
        <f>IF(AND(H1832="",F1832="",D1832&lt;&gt;"",I1832&gt;=TODAY()),ROUND((I1832+IF(ISNUMBER(C1832),MOD(C1832,1),0))*1440,0)*10000+ROW(),"")</f>
        <v/>
      </c>
    </row>
    <row r="1833">
      <c r="A1833" s="1" t="n"/>
      <c r="B1833" s="17" t="n"/>
      <c r="C1833" s="18" t="n"/>
      <c r="D1833" s="19" t="n"/>
      <c r="E1833" s="20" t="n"/>
      <c r="F1833" s="20" t="n"/>
      <c r="G1833" s="21" t="n"/>
      <c r="H1833" s="12">
        <f>IF(AND(B1833="",D1833="",F1833=""),"",IF(NOT(ISNUMBER(B1833)),"Needs a date",IF(D1833="","Needs a client",IF(COUNTIF(Clients!$B$6:$B$105,D1833)=0,"Not on Clients",IF(AND(F1833="",INT(B1833)&lt;TODAY()),"Needs a status","")))))</f>
        <v/>
      </c>
      <c r="I1833" s="1">
        <f>IF(ISNUMBER(B1833),INT(B1833),0)</f>
        <v/>
      </c>
      <c r="J1833">
        <f>IF(ISNUMBER(B1833),YEAR(B1833)*100+MONTH(B1833),"")</f>
        <v/>
      </c>
      <c r="K1833">
        <f>IF(AND(H1833="",OR(F1833="Attended",F1833="No-show",AND(F1833="Late cancel",Settings!$C$9="Yes"))),1,0)</f>
        <v/>
      </c>
      <c r="L1833">
        <f>IF(AND(H1833="",F1833="Attended"),1,0)</f>
        <v/>
      </c>
      <c r="M1833">
        <f>IF(AND(H1833="",OR(F1833="No-show",F1833="Late cancel")),1,0)</f>
        <v/>
      </c>
      <c r="N1833">
        <f>IF(AND(H1833="",F1833="",D1833&lt;&gt;"",I1833&gt;=TODAY()),ROUND((I1833+IF(ISNUMBER(C1833),MOD(C1833,1),0))*1440,0)*10000+ROW(),"")</f>
        <v/>
      </c>
    </row>
    <row r="1834">
      <c r="A1834" s="1" t="n"/>
      <c r="B1834" s="17" t="n"/>
      <c r="C1834" s="18" t="n"/>
      <c r="D1834" s="19" t="n"/>
      <c r="E1834" s="20" t="n"/>
      <c r="F1834" s="20" t="n"/>
      <c r="G1834" s="21" t="n"/>
      <c r="H1834" s="12">
        <f>IF(AND(B1834="",D1834="",F1834=""),"",IF(NOT(ISNUMBER(B1834)),"Needs a date",IF(D1834="","Needs a client",IF(COUNTIF(Clients!$B$6:$B$105,D1834)=0,"Not on Clients",IF(AND(F1834="",INT(B1834)&lt;TODAY()),"Needs a status","")))))</f>
        <v/>
      </c>
      <c r="I1834" s="1">
        <f>IF(ISNUMBER(B1834),INT(B1834),0)</f>
        <v/>
      </c>
      <c r="J1834">
        <f>IF(ISNUMBER(B1834),YEAR(B1834)*100+MONTH(B1834),"")</f>
        <v/>
      </c>
      <c r="K1834">
        <f>IF(AND(H1834="",OR(F1834="Attended",F1834="No-show",AND(F1834="Late cancel",Settings!$C$9="Yes"))),1,0)</f>
        <v/>
      </c>
      <c r="L1834">
        <f>IF(AND(H1834="",F1834="Attended"),1,0)</f>
        <v/>
      </c>
      <c r="M1834">
        <f>IF(AND(H1834="",OR(F1834="No-show",F1834="Late cancel")),1,0)</f>
        <v/>
      </c>
      <c r="N1834">
        <f>IF(AND(H1834="",F1834="",D1834&lt;&gt;"",I1834&gt;=TODAY()),ROUND((I1834+IF(ISNUMBER(C1834),MOD(C1834,1),0))*1440,0)*10000+ROW(),"")</f>
        <v/>
      </c>
    </row>
    <row r="1835">
      <c r="A1835" s="1" t="n"/>
      <c r="B1835" s="17" t="n"/>
      <c r="C1835" s="18" t="n"/>
      <c r="D1835" s="19" t="n"/>
      <c r="E1835" s="20" t="n"/>
      <c r="F1835" s="20" t="n"/>
      <c r="G1835" s="21" t="n"/>
      <c r="H1835" s="12">
        <f>IF(AND(B1835="",D1835="",F1835=""),"",IF(NOT(ISNUMBER(B1835)),"Needs a date",IF(D1835="","Needs a client",IF(COUNTIF(Clients!$B$6:$B$105,D1835)=0,"Not on Clients",IF(AND(F1835="",INT(B1835)&lt;TODAY()),"Needs a status","")))))</f>
        <v/>
      </c>
      <c r="I1835" s="1">
        <f>IF(ISNUMBER(B1835),INT(B1835),0)</f>
        <v/>
      </c>
      <c r="J1835">
        <f>IF(ISNUMBER(B1835),YEAR(B1835)*100+MONTH(B1835),"")</f>
        <v/>
      </c>
      <c r="K1835">
        <f>IF(AND(H1835="",OR(F1835="Attended",F1835="No-show",AND(F1835="Late cancel",Settings!$C$9="Yes"))),1,0)</f>
        <v/>
      </c>
      <c r="L1835">
        <f>IF(AND(H1835="",F1835="Attended"),1,0)</f>
        <v/>
      </c>
      <c r="M1835">
        <f>IF(AND(H1835="",OR(F1835="No-show",F1835="Late cancel")),1,0)</f>
        <v/>
      </c>
      <c r="N1835">
        <f>IF(AND(H1835="",F1835="",D1835&lt;&gt;"",I1835&gt;=TODAY()),ROUND((I1835+IF(ISNUMBER(C1835),MOD(C1835,1),0))*1440,0)*10000+ROW(),"")</f>
        <v/>
      </c>
    </row>
    <row r="1836">
      <c r="A1836" s="1" t="n"/>
      <c r="B1836" s="17" t="n"/>
      <c r="C1836" s="18" t="n"/>
      <c r="D1836" s="19" t="n"/>
      <c r="E1836" s="20" t="n"/>
      <c r="F1836" s="20" t="n"/>
      <c r="G1836" s="21" t="n"/>
      <c r="H1836" s="12">
        <f>IF(AND(B1836="",D1836="",F1836=""),"",IF(NOT(ISNUMBER(B1836)),"Needs a date",IF(D1836="","Needs a client",IF(COUNTIF(Clients!$B$6:$B$105,D1836)=0,"Not on Clients",IF(AND(F1836="",INT(B1836)&lt;TODAY()),"Needs a status","")))))</f>
        <v/>
      </c>
      <c r="I1836" s="1">
        <f>IF(ISNUMBER(B1836),INT(B1836),0)</f>
        <v/>
      </c>
      <c r="J1836">
        <f>IF(ISNUMBER(B1836),YEAR(B1836)*100+MONTH(B1836),"")</f>
        <v/>
      </c>
      <c r="K1836">
        <f>IF(AND(H1836="",OR(F1836="Attended",F1836="No-show",AND(F1836="Late cancel",Settings!$C$9="Yes"))),1,0)</f>
        <v/>
      </c>
      <c r="L1836">
        <f>IF(AND(H1836="",F1836="Attended"),1,0)</f>
        <v/>
      </c>
      <c r="M1836">
        <f>IF(AND(H1836="",OR(F1836="No-show",F1836="Late cancel")),1,0)</f>
        <v/>
      </c>
      <c r="N1836">
        <f>IF(AND(H1836="",F1836="",D1836&lt;&gt;"",I1836&gt;=TODAY()),ROUND((I1836+IF(ISNUMBER(C1836),MOD(C1836,1),0))*1440,0)*10000+ROW(),"")</f>
        <v/>
      </c>
    </row>
    <row r="1837">
      <c r="A1837" s="1" t="n"/>
      <c r="B1837" s="17" t="n"/>
      <c r="C1837" s="18" t="n"/>
      <c r="D1837" s="19" t="n"/>
      <c r="E1837" s="20" t="n"/>
      <c r="F1837" s="20" t="n"/>
      <c r="G1837" s="21" t="n"/>
      <c r="H1837" s="12">
        <f>IF(AND(B1837="",D1837="",F1837=""),"",IF(NOT(ISNUMBER(B1837)),"Needs a date",IF(D1837="","Needs a client",IF(COUNTIF(Clients!$B$6:$B$105,D1837)=0,"Not on Clients",IF(AND(F1837="",INT(B1837)&lt;TODAY()),"Needs a status","")))))</f>
        <v/>
      </c>
      <c r="I1837" s="1">
        <f>IF(ISNUMBER(B1837),INT(B1837),0)</f>
        <v/>
      </c>
      <c r="J1837">
        <f>IF(ISNUMBER(B1837),YEAR(B1837)*100+MONTH(B1837),"")</f>
        <v/>
      </c>
      <c r="K1837">
        <f>IF(AND(H1837="",OR(F1837="Attended",F1837="No-show",AND(F1837="Late cancel",Settings!$C$9="Yes"))),1,0)</f>
        <v/>
      </c>
      <c r="L1837">
        <f>IF(AND(H1837="",F1837="Attended"),1,0)</f>
        <v/>
      </c>
      <c r="M1837">
        <f>IF(AND(H1837="",OR(F1837="No-show",F1837="Late cancel")),1,0)</f>
        <v/>
      </c>
      <c r="N1837">
        <f>IF(AND(H1837="",F1837="",D1837&lt;&gt;"",I1837&gt;=TODAY()),ROUND((I1837+IF(ISNUMBER(C1837),MOD(C1837,1),0))*1440,0)*10000+ROW(),"")</f>
        <v/>
      </c>
    </row>
    <row r="1838">
      <c r="A1838" s="1" t="n"/>
      <c r="B1838" s="17" t="n"/>
      <c r="C1838" s="18" t="n"/>
      <c r="D1838" s="19" t="n"/>
      <c r="E1838" s="20" t="n"/>
      <c r="F1838" s="20" t="n"/>
      <c r="G1838" s="21" t="n"/>
      <c r="H1838" s="12">
        <f>IF(AND(B1838="",D1838="",F1838=""),"",IF(NOT(ISNUMBER(B1838)),"Needs a date",IF(D1838="","Needs a client",IF(COUNTIF(Clients!$B$6:$B$105,D1838)=0,"Not on Clients",IF(AND(F1838="",INT(B1838)&lt;TODAY()),"Needs a status","")))))</f>
        <v/>
      </c>
      <c r="I1838" s="1">
        <f>IF(ISNUMBER(B1838),INT(B1838),0)</f>
        <v/>
      </c>
      <c r="J1838">
        <f>IF(ISNUMBER(B1838),YEAR(B1838)*100+MONTH(B1838),"")</f>
        <v/>
      </c>
      <c r="K1838">
        <f>IF(AND(H1838="",OR(F1838="Attended",F1838="No-show",AND(F1838="Late cancel",Settings!$C$9="Yes"))),1,0)</f>
        <v/>
      </c>
      <c r="L1838">
        <f>IF(AND(H1838="",F1838="Attended"),1,0)</f>
        <v/>
      </c>
      <c r="M1838">
        <f>IF(AND(H1838="",OR(F1838="No-show",F1838="Late cancel")),1,0)</f>
        <v/>
      </c>
      <c r="N1838">
        <f>IF(AND(H1838="",F1838="",D1838&lt;&gt;"",I1838&gt;=TODAY()),ROUND((I1838+IF(ISNUMBER(C1838),MOD(C1838,1),0))*1440,0)*10000+ROW(),"")</f>
        <v/>
      </c>
    </row>
    <row r="1839">
      <c r="A1839" s="1" t="n"/>
      <c r="B1839" s="17" t="n"/>
      <c r="C1839" s="18" t="n"/>
      <c r="D1839" s="19" t="n"/>
      <c r="E1839" s="20" t="n"/>
      <c r="F1839" s="20" t="n"/>
      <c r="G1839" s="21" t="n"/>
      <c r="H1839" s="12">
        <f>IF(AND(B1839="",D1839="",F1839=""),"",IF(NOT(ISNUMBER(B1839)),"Needs a date",IF(D1839="","Needs a client",IF(COUNTIF(Clients!$B$6:$B$105,D1839)=0,"Not on Clients",IF(AND(F1839="",INT(B1839)&lt;TODAY()),"Needs a status","")))))</f>
        <v/>
      </c>
      <c r="I1839" s="1">
        <f>IF(ISNUMBER(B1839),INT(B1839),0)</f>
        <v/>
      </c>
      <c r="J1839">
        <f>IF(ISNUMBER(B1839),YEAR(B1839)*100+MONTH(B1839),"")</f>
        <v/>
      </c>
      <c r="K1839">
        <f>IF(AND(H1839="",OR(F1839="Attended",F1839="No-show",AND(F1839="Late cancel",Settings!$C$9="Yes"))),1,0)</f>
        <v/>
      </c>
      <c r="L1839">
        <f>IF(AND(H1839="",F1839="Attended"),1,0)</f>
        <v/>
      </c>
      <c r="M1839">
        <f>IF(AND(H1839="",OR(F1839="No-show",F1839="Late cancel")),1,0)</f>
        <v/>
      </c>
      <c r="N1839">
        <f>IF(AND(H1839="",F1839="",D1839&lt;&gt;"",I1839&gt;=TODAY()),ROUND((I1839+IF(ISNUMBER(C1839),MOD(C1839,1),0))*1440,0)*10000+ROW(),"")</f>
        <v/>
      </c>
    </row>
    <row r="1840">
      <c r="A1840" s="1" t="n"/>
      <c r="B1840" s="17" t="n"/>
      <c r="C1840" s="18" t="n"/>
      <c r="D1840" s="19" t="n"/>
      <c r="E1840" s="20" t="n"/>
      <c r="F1840" s="20" t="n"/>
      <c r="G1840" s="21" t="n"/>
      <c r="H1840" s="12">
        <f>IF(AND(B1840="",D1840="",F1840=""),"",IF(NOT(ISNUMBER(B1840)),"Needs a date",IF(D1840="","Needs a client",IF(COUNTIF(Clients!$B$6:$B$105,D1840)=0,"Not on Clients",IF(AND(F1840="",INT(B1840)&lt;TODAY()),"Needs a status","")))))</f>
        <v/>
      </c>
      <c r="I1840" s="1">
        <f>IF(ISNUMBER(B1840),INT(B1840),0)</f>
        <v/>
      </c>
      <c r="J1840">
        <f>IF(ISNUMBER(B1840),YEAR(B1840)*100+MONTH(B1840),"")</f>
        <v/>
      </c>
      <c r="K1840">
        <f>IF(AND(H1840="",OR(F1840="Attended",F1840="No-show",AND(F1840="Late cancel",Settings!$C$9="Yes"))),1,0)</f>
        <v/>
      </c>
      <c r="L1840">
        <f>IF(AND(H1840="",F1840="Attended"),1,0)</f>
        <v/>
      </c>
      <c r="M1840">
        <f>IF(AND(H1840="",OR(F1840="No-show",F1840="Late cancel")),1,0)</f>
        <v/>
      </c>
      <c r="N1840">
        <f>IF(AND(H1840="",F1840="",D1840&lt;&gt;"",I1840&gt;=TODAY()),ROUND((I1840+IF(ISNUMBER(C1840),MOD(C1840,1),0))*1440,0)*10000+ROW(),"")</f>
        <v/>
      </c>
    </row>
    <row r="1841">
      <c r="A1841" s="1" t="n"/>
      <c r="B1841" s="17" t="n"/>
      <c r="C1841" s="18" t="n"/>
      <c r="D1841" s="19" t="n"/>
      <c r="E1841" s="20" t="n"/>
      <c r="F1841" s="20" t="n"/>
      <c r="G1841" s="21" t="n"/>
      <c r="H1841" s="12">
        <f>IF(AND(B1841="",D1841="",F1841=""),"",IF(NOT(ISNUMBER(B1841)),"Needs a date",IF(D1841="","Needs a client",IF(COUNTIF(Clients!$B$6:$B$105,D1841)=0,"Not on Clients",IF(AND(F1841="",INT(B1841)&lt;TODAY()),"Needs a status","")))))</f>
        <v/>
      </c>
      <c r="I1841" s="1">
        <f>IF(ISNUMBER(B1841),INT(B1841),0)</f>
        <v/>
      </c>
      <c r="J1841">
        <f>IF(ISNUMBER(B1841),YEAR(B1841)*100+MONTH(B1841),"")</f>
        <v/>
      </c>
      <c r="K1841">
        <f>IF(AND(H1841="",OR(F1841="Attended",F1841="No-show",AND(F1841="Late cancel",Settings!$C$9="Yes"))),1,0)</f>
        <v/>
      </c>
      <c r="L1841">
        <f>IF(AND(H1841="",F1841="Attended"),1,0)</f>
        <v/>
      </c>
      <c r="M1841">
        <f>IF(AND(H1841="",OR(F1841="No-show",F1841="Late cancel")),1,0)</f>
        <v/>
      </c>
      <c r="N1841">
        <f>IF(AND(H1841="",F1841="",D1841&lt;&gt;"",I1841&gt;=TODAY()),ROUND((I1841+IF(ISNUMBER(C1841),MOD(C1841,1),0))*1440,0)*10000+ROW(),"")</f>
        <v/>
      </c>
    </row>
    <row r="1842">
      <c r="A1842" s="1" t="n"/>
      <c r="B1842" s="17" t="n"/>
      <c r="C1842" s="18" t="n"/>
      <c r="D1842" s="19" t="n"/>
      <c r="E1842" s="20" t="n"/>
      <c r="F1842" s="20" t="n"/>
      <c r="G1842" s="21" t="n"/>
      <c r="H1842" s="12">
        <f>IF(AND(B1842="",D1842="",F1842=""),"",IF(NOT(ISNUMBER(B1842)),"Needs a date",IF(D1842="","Needs a client",IF(COUNTIF(Clients!$B$6:$B$105,D1842)=0,"Not on Clients",IF(AND(F1842="",INT(B1842)&lt;TODAY()),"Needs a status","")))))</f>
        <v/>
      </c>
      <c r="I1842" s="1">
        <f>IF(ISNUMBER(B1842),INT(B1842),0)</f>
        <v/>
      </c>
      <c r="J1842">
        <f>IF(ISNUMBER(B1842),YEAR(B1842)*100+MONTH(B1842),"")</f>
        <v/>
      </c>
      <c r="K1842">
        <f>IF(AND(H1842="",OR(F1842="Attended",F1842="No-show",AND(F1842="Late cancel",Settings!$C$9="Yes"))),1,0)</f>
        <v/>
      </c>
      <c r="L1842">
        <f>IF(AND(H1842="",F1842="Attended"),1,0)</f>
        <v/>
      </c>
      <c r="M1842">
        <f>IF(AND(H1842="",OR(F1842="No-show",F1842="Late cancel")),1,0)</f>
        <v/>
      </c>
      <c r="N1842">
        <f>IF(AND(H1842="",F1842="",D1842&lt;&gt;"",I1842&gt;=TODAY()),ROUND((I1842+IF(ISNUMBER(C1842),MOD(C1842,1),0))*1440,0)*10000+ROW(),"")</f>
        <v/>
      </c>
    </row>
    <row r="1843">
      <c r="A1843" s="1" t="n"/>
      <c r="B1843" s="17" t="n"/>
      <c r="C1843" s="18" t="n"/>
      <c r="D1843" s="19" t="n"/>
      <c r="E1843" s="20" t="n"/>
      <c r="F1843" s="20" t="n"/>
      <c r="G1843" s="21" t="n"/>
      <c r="H1843" s="12">
        <f>IF(AND(B1843="",D1843="",F1843=""),"",IF(NOT(ISNUMBER(B1843)),"Needs a date",IF(D1843="","Needs a client",IF(COUNTIF(Clients!$B$6:$B$105,D1843)=0,"Not on Clients",IF(AND(F1843="",INT(B1843)&lt;TODAY()),"Needs a status","")))))</f>
        <v/>
      </c>
      <c r="I1843" s="1">
        <f>IF(ISNUMBER(B1843),INT(B1843),0)</f>
        <v/>
      </c>
      <c r="J1843">
        <f>IF(ISNUMBER(B1843),YEAR(B1843)*100+MONTH(B1843),"")</f>
        <v/>
      </c>
      <c r="K1843">
        <f>IF(AND(H1843="",OR(F1843="Attended",F1843="No-show",AND(F1843="Late cancel",Settings!$C$9="Yes"))),1,0)</f>
        <v/>
      </c>
      <c r="L1843">
        <f>IF(AND(H1843="",F1843="Attended"),1,0)</f>
        <v/>
      </c>
      <c r="M1843">
        <f>IF(AND(H1843="",OR(F1843="No-show",F1843="Late cancel")),1,0)</f>
        <v/>
      </c>
      <c r="N1843">
        <f>IF(AND(H1843="",F1843="",D1843&lt;&gt;"",I1843&gt;=TODAY()),ROUND((I1843+IF(ISNUMBER(C1843),MOD(C1843,1),0))*1440,0)*10000+ROW(),"")</f>
        <v/>
      </c>
    </row>
    <row r="1844">
      <c r="A1844" s="1" t="n"/>
      <c r="B1844" s="17" t="n"/>
      <c r="C1844" s="18" t="n"/>
      <c r="D1844" s="19" t="n"/>
      <c r="E1844" s="20" t="n"/>
      <c r="F1844" s="20" t="n"/>
      <c r="G1844" s="21" t="n"/>
      <c r="H1844" s="12">
        <f>IF(AND(B1844="",D1844="",F1844=""),"",IF(NOT(ISNUMBER(B1844)),"Needs a date",IF(D1844="","Needs a client",IF(COUNTIF(Clients!$B$6:$B$105,D1844)=0,"Not on Clients",IF(AND(F1844="",INT(B1844)&lt;TODAY()),"Needs a status","")))))</f>
        <v/>
      </c>
      <c r="I1844" s="1">
        <f>IF(ISNUMBER(B1844),INT(B1844),0)</f>
        <v/>
      </c>
      <c r="J1844">
        <f>IF(ISNUMBER(B1844),YEAR(B1844)*100+MONTH(B1844),"")</f>
        <v/>
      </c>
      <c r="K1844">
        <f>IF(AND(H1844="",OR(F1844="Attended",F1844="No-show",AND(F1844="Late cancel",Settings!$C$9="Yes"))),1,0)</f>
        <v/>
      </c>
      <c r="L1844">
        <f>IF(AND(H1844="",F1844="Attended"),1,0)</f>
        <v/>
      </c>
      <c r="M1844">
        <f>IF(AND(H1844="",OR(F1844="No-show",F1844="Late cancel")),1,0)</f>
        <v/>
      </c>
      <c r="N1844">
        <f>IF(AND(H1844="",F1844="",D1844&lt;&gt;"",I1844&gt;=TODAY()),ROUND((I1844+IF(ISNUMBER(C1844),MOD(C1844,1),0))*1440,0)*10000+ROW(),"")</f>
        <v/>
      </c>
    </row>
    <row r="1845">
      <c r="A1845" s="1" t="n"/>
      <c r="B1845" s="17" t="n"/>
      <c r="C1845" s="18" t="n"/>
      <c r="D1845" s="19" t="n"/>
      <c r="E1845" s="20" t="n"/>
      <c r="F1845" s="20" t="n"/>
      <c r="G1845" s="21" t="n"/>
      <c r="H1845" s="12">
        <f>IF(AND(B1845="",D1845="",F1845=""),"",IF(NOT(ISNUMBER(B1845)),"Needs a date",IF(D1845="","Needs a client",IF(COUNTIF(Clients!$B$6:$B$105,D1845)=0,"Not on Clients",IF(AND(F1845="",INT(B1845)&lt;TODAY()),"Needs a status","")))))</f>
        <v/>
      </c>
      <c r="I1845" s="1">
        <f>IF(ISNUMBER(B1845),INT(B1845),0)</f>
        <v/>
      </c>
      <c r="J1845">
        <f>IF(ISNUMBER(B1845),YEAR(B1845)*100+MONTH(B1845),"")</f>
        <v/>
      </c>
      <c r="K1845">
        <f>IF(AND(H1845="",OR(F1845="Attended",F1845="No-show",AND(F1845="Late cancel",Settings!$C$9="Yes"))),1,0)</f>
        <v/>
      </c>
      <c r="L1845">
        <f>IF(AND(H1845="",F1845="Attended"),1,0)</f>
        <v/>
      </c>
      <c r="M1845">
        <f>IF(AND(H1845="",OR(F1845="No-show",F1845="Late cancel")),1,0)</f>
        <v/>
      </c>
      <c r="N1845">
        <f>IF(AND(H1845="",F1845="",D1845&lt;&gt;"",I1845&gt;=TODAY()),ROUND((I1845+IF(ISNUMBER(C1845),MOD(C1845,1),0))*1440,0)*10000+ROW(),"")</f>
        <v/>
      </c>
    </row>
    <row r="1846">
      <c r="A1846" s="1" t="n"/>
      <c r="B1846" s="17" t="n"/>
      <c r="C1846" s="18" t="n"/>
      <c r="D1846" s="19" t="n"/>
      <c r="E1846" s="20" t="n"/>
      <c r="F1846" s="20" t="n"/>
      <c r="G1846" s="21" t="n"/>
      <c r="H1846" s="12">
        <f>IF(AND(B1846="",D1846="",F1846=""),"",IF(NOT(ISNUMBER(B1846)),"Needs a date",IF(D1846="","Needs a client",IF(COUNTIF(Clients!$B$6:$B$105,D1846)=0,"Not on Clients",IF(AND(F1846="",INT(B1846)&lt;TODAY()),"Needs a status","")))))</f>
        <v/>
      </c>
      <c r="I1846" s="1">
        <f>IF(ISNUMBER(B1846),INT(B1846),0)</f>
        <v/>
      </c>
      <c r="J1846">
        <f>IF(ISNUMBER(B1846),YEAR(B1846)*100+MONTH(B1846),"")</f>
        <v/>
      </c>
      <c r="K1846">
        <f>IF(AND(H1846="",OR(F1846="Attended",F1846="No-show",AND(F1846="Late cancel",Settings!$C$9="Yes"))),1,0)</f>
        <v/>
      </c>
      <c r="L1846">
        <f>IF(AND(H1846="",F1846="Attended"),1,0)</f>
        <v/>
      </c>
      <c r="M1846">
        <f>IF(AND(H1846="",OR(F1846="No-show",F1846="Late cancel")),1,0)</f>
        <v/>
      </c>
      <c r="N1846">
        <f>IF(AND(H1846="",F1846="",D1846&lt;&gt;"",I1846&gt;=TODAY()),ROUND((I1846+IF(ISNUMBER(C1846),MOD(C1846,1),0))*1440,0)*10000+ROW(),"")</f>
        <v/>
      </c>
    </row>
    <row r="1847">
      <c r="A1847" s="1" t="n"/>
      <c r="B1847" s="17" t="n"/>
      <c r="C1847" s="18" t="n"/>
      <c r="D1847" s="19" t="n"/>
      <c r="E1847" s="20" t="n"/>
      <c r="F1847" s="20" t="n"/>
      <c r="G1847" s="21" t="n"/>
      <c r="H1847" s="12">
        <f>IF(AND(B1847="",D1847="",F1847=""),"",IF(NOT(ISNUMBER(B1847)),"Needs a date",IF(D1847="","Needs a client",IF(COUNTIF(Clients!$B$6:$B$105,D1847)=0,"Not on Clients",IF(AND(F1847="",INT(B1847)&lt;TODAY()),"Needs a status","")))))</f>
        <v/>
      </c>
      <c r="I1847" s="1">
        <f>IF(ISNUMBER(B1847),INT(B1847),0)</f>
        <v/>
      </c>
      <c r="J1847">
        <f>IF(ISNUMBER(B1847),YEAR(B1847)*100+MONTH(B1847),"")</f>
        <v/>
      </c>
      <c r="K1847">
        <f>IF(AND(H1847="",OR(F1847="Attended",F1847="No-show",AND(F1847="Late cancel",Settings!$C$9="Yes"))),1,0)</f>
        <v/>
      </c>
      <c r="L1847">
        <f>IF(AND(H1847="",F1847="Attended"),1,0)</f>
        <v/>
      </c>
      <c r="M1847">
        <f>IF(AND(H1847="",OR(F1847="No-show",F1847="Late cancel")),1,0)</f>
        <v/>
      </c>
      <c r="N1847">
        <f>IF(AND(H1847="",F1847="",D1847&lt;&gt;"",I1847&gt;=TODAY()),ROUND((I1847+IF(ISNUMBER(C1847),MOD(C1847,1),0))*1440,0)*10000+ROW(),"")</f>
        <v/>
      </c>
    </row>
    <row r="1848">
      <c r="A1848" s="1" t="n"/>
      <c r="B1848" s="17" t="n"/>
      <c r="C1848" s="18" t="n"/>
      <c r="D1848" s="19" t="n"/>
      <c r="E1848" s="20" t="n"/>
      <c r="F1848" s="20" t="n"/>
      <c r="G1848" s="21" t="n"/>
      <c r="H1848" s="12">
        <f>IF(AND(B1848="",D1848="",F1848=""),"",IF(NOT(ISNUMBER(B1848)),"Needs a date",IF(D1848="","Needs a client",IF(COUNTIF(Clients!$B$6:$B$105,D1848)=0,"Not on Clients",IF(AND(F1848="",INT(B1848)&lt;TODAY()),"Needs a status","")))))</f>
        <v/>
      </c>
      <c r="I1848" s="1">
        <f>IF(ISNUMBER(B1848),INT(B1848),0)</f>
        <v/>
      </c>
      <c r="J1848">
        <f>IF(ISNUMBER(B1848),YEAR(B1848)*100+MONTH(B1848),"")</f>
        <v/>
      </c>
      <c r="K1848">
        <f>IF(AND(H1848="",OR(F1848="Attended",F1848="No-show",AND(F1848="Late cancel",Settings!$C$9="Yes"))),1,0)</f>
        <v/>
      </c>
      <c r="L1848">
        <f>IF(AND(H1848="",F1848="Attended"),1,0)</f>
        <v/>
      </c>
      <c r="M1848">
        <f>IF(AND(H1848="",OR(F1848="No-show",F1848="Late cancel")),1,0)</f>
        <v/>
      </c>
      <c r="N1848">
        <f>IF(AND(H1848="",F1848="",D1848&lt;&gt;"",I1848&gt;=TODAY()),ROUND((I1848+IF(ISNUMBER(C1848),MOD(C1848,1),0))*1440,0)*10000+ROW(),"")</f>
        <v/>
      </c>
    </row>
    <row r="1849">
      <c r="A1849" s="1" t="n"/>
      <c r="B1849" s="17" t="n"/>
      <c r="C1849" s="18" t="n"/>
      <c r="D1849" s="19" t="n"/>
      <c r="E1849" s="20" t="n"/>
      <c r="F1849" s="20" t="n"/>
      <c r="G1849" s="21" t="n"/>
      <c r="H1849" s="12">
        <f>IF(AND(B1849="",D1849="",F1849=""),"",IF(NOT(ISNUMBER(B1849)),"Needs a date",IF(D1849="","Needs a client",IF(COUNTIF(Clients!$B$6:$B$105,D1849)=0,"Not on Clients",IF(AND(F1849="",INT(B1849)&lt;TODAY()),"Needs a status","")))))</f>
        <v/>
      </c>
      <c r="I1849" s="1">
        <f>IF(ISNUMBER(B1849),INT(B1849),0)</f>
        <v/>
      </c>
      <c r="J1849">
        <f>IF(ISNUMBER(B1849),YEAR(B1849)*100+MONTH(B1849),"")</f>
        <v/>
      </c>
      <c r="K1849">
        <f>IF(AND(H1849="",OR(F1849="Attended",F1849="No-show",AND(F1849="Late cancel",Settings!$C$9="Yes"))),1,0)</f>
        <v/>
      </c>
      <c r="L1849">
        <f>IF(AND(H1849="",F1849="Attended"),1,0)</f>
        <v/>
      </c>
      <c r="M1849">
        <f>IF(AND(H1849="",OR(F1849="No-show",F1849="Late cancel")),1,0)</f>
        <v/>
      </c>
      <c r="N1849">
        <f>IF(AND(H1849="",F1849="",D1849&lt;&gt;"",I1849&gt;=TODAY()),ROUND((I1849+IF(ISNUMBER(C1849),MOD(C1849,1),0))*1440,0)*10000+ROW(),"")</f>
        <v/>
      </c>
    </row>
    <row r="1850">
      <c r="A1850" s="1" t="n"/>
      <c r="B1850" s="17" t="n"/>
      <c r="C1850" s="18" t="n"/>
      <c r="D1850" s="19" t="n"/>
      <c r="E1850" s="20" t="n"/>
      <c r="F1850" s="20" t="n"/>
      <c r="G1850" s="21" t="n"/>
      <c r="H1850" s="12">
        <f>IF(AND(B1850="",D1850="",F1850=""),"",IF(NOT(ISNUMBER(B1850)),"Needs a date",IF(D1850="","Needs a client",IF(COUNTIF(Clients!$B$6:$B$105,D1850)=0,"Not on Clients",IF(AND(F1850="",INT(B1850)&lt;TODAY()),"Needs a status","")))))</f>
        <v/>
      </c>
      <c r="I1850" s="1">
        <f>IF(ISNUMBER(B1850),INT(B1850),0)</f>
        <v/>
      </c>
      <c r="J1850">
        <f>IF(ISNUMBER(B1850),YEAR(B1850)*100+MONTH(B1850),"")</f>
        <v/>
      </c>
      <c r="K1850">
        <f>IF(AND(H1850="",OR(F1850="Attended",F1850="No-show",AND(F1850="Late cancel",Settings!$C$9="Yes"))),1,0)</f>
        <v/>
      </c>
      <c r="L1850">
        <f>IF(AND(H1850="",F1850="Attended"),1,0)</f>
        <v/>
      </c>
      <c r="M1850">
        <f>IF(AND(H1850="",OR(F1850="No-show",F1850="Late cancel")),1,0)</f>
        <v/>
      </c>
      <c r="N1850">
        <f>IF(AND(H1850="",F1850="",D1850&lt;&gt;"",I1850&gt;=TODAY()),ROUND((I1850+IF(ISNUMBER(C1850),MOD(C1850,1),0))*1440,0)*10000+ROW(),"")</f>
        <v/>
      </c>
    </row>
    <row r="1851">
      <c r="A1851" s="1" t="n"/>
      <c r="B1851" s="17" t="n"/>
      <c r="C1851" s="18" t="n"/>
      <c r="D1851" s="19" t="n"/>
      <c r="E1851" s="20" t="n"/>
      <c r="F1851" s="20" t="n"/>
      <c r="G1851" s="21" t="n"/>
      <c r="H1851" s="12">
        <f>IF(AND(B1851="",D1851="",F1851=""),"",IF(NOT(ISNUMBER(B1851)),"Needs a date",IF(D1851="","Needs a client",IF(COUNTIF(Clients!$B$6:$B$105,D1851)=0,"Not on Clients",IF(AND(F1851="",INT(B1851)&lt;TODAY()),"Needs a status","")))))</f>
        <v/>
      </c>
      <c r="I1851" s="1">
        <f>IF(ISNUMBER(B1851),INT(B1851),0)</f>
        <v/>
      </c>
      <c r="J1851">
        <f>IF(ISNUMBER(B1851),YEAR(B1851)*100+MONTH(B1851),"")</f>
        <v/>
      </c>
      <c r="K1851">
        <f>IF(AND(H1851="",OR(F1851="Attended",F1851="No-show",AND(F1851="Late cancel",Settings!$C$9="Yes"))),1,0)</f>
        <v/>
      </c>
      <c r="L1851">
        <f>IF(AND(H1851="",F1851="Attended"),1,0)</f>
        <v/>
      </c>
      <c r="M1851">
        <f>IF(AND(H1851="",OR(F1851="No-show",F1851="Late cancel")),1,0)</f>
        <v/>
      </c>
      <c r="N1851">
        <f>IF(AND(H1851="",F1851="",D1851&lt;&gt;"",I1851&gt;=TODAY()),ROUND((I1851+IF(ISNUMBER(C1851),MOD(C1851,1),0))*1440,0)*10000+ROW(),"")</f>
        <v/>
      </c>
    </row>
    <row r="1852">
      <c r="A1852" s="1" t="n"/>
      <c r="B1852" s="17" t="n"/>
      <c r="C1852" s="18" t="n"/>
      <c r="D1852" s="19" t="n"/>
      <c r="E1852" s="20" t="n"/>
      <c r="F1852" s="20" t="n"/>
      <c r="G1852" s="21" t="n"/>
      <c r="H1852" s="12">
        <f>IF(AND(B1852="",D1852="",F1852=""),"",IF(NOT(ISNUMBER(B1852)),"Needs a date",IF(D1852="","Needs a client",IF(COUNTIF(Clients!$B$6:$B$105,D1852)=0,"Not on Clients",IF(AND(F1852="",INT(B1852)&lt;TODAY()),"Needs a status","")))))</f>
        <v/>
      </c>
      <c r="I1852" s="1">
        <f>IF(ISNUMBER(B1852),INT(B1852),0)</f>
        <v/>
      </c>
      <c r="J1852">
        <f>IF(ISNUMBER(B1852),YEAR(B1852)*100+MONTH(B1852),"")</f>
        <v/>
      </c>
      <c r="K1852">
        <f>IF(AND(H1852="",OR(F1852="Attended",F1852="No-show",AND(F1852="Late cancel",Settings!$C$9="Yes"))),1,0)</f>
        <v/>
      </c>
      <c r="L1852">
        <f>IF(AND(H1852="",F1852="Attended"),1,0)</f>
        <v/>
      </c>
      <c r="M1852">
        <f>IF(AND(H1852="",OR(F1852="No-show",F1852="Late cancel")),1,0)</f>
        <v/>
      </c>
      <c r="N1852">
        <f>IF(AND(H1852="",F1852="",D1852&lt;&gt;"",I1852&gt;=TODAY()),ROUND((I1852+IF(ISNUMBER(C1852),MOD(C1852,1),0))*1440,0)*10000+ROW(),"")</f>
        <v/>
      </c>
    </row>
    <row r="1853">
      <c r="A1853" s="1" t="n"/>
      <c r="B1853" s="17" t="n"/>
      <c r="C1853" s="18" t="n"/>
      <c r="D1853" s="19" t="n"/>
      <c r="E1853" s="20" t="n"/>
      <c r="F1853" s="20" t="n"/>
      <c r="G1853" s="21" t="n"/>
      <c r="H1853" s="12">
        <f>IF(AND(B1853="",D1853="",F1853=""),"",IF(NOT(ISNUMBER(B1853)),"Needs a date",IF(D1853="","Needs a client",IF(COUNTIF(Clients!$B$6:$B$105,D1853)=0,"Not on Clients",IF(AND(F1853="",INT(B1853)&lt;TODAY()),"Needs a status","")))))</f>
        <v/>
      </c>
      <c r="I1853" s="1">
        <f>IF(ISNUMBER(B1853),INT(B1853),0)</f>
        <v/>
      </c>
      <c r="J1853">
        <f>IF(ISNUMBER(B1853),YEAR(B1853)*100+MONTH(B1853),"")</f>
        <v/>
      </c>
      <c r="K1853">
        <f>IF(AND(H1853="",OR(F1853="Attended",F1853="No-show",AND(F1853="Late cancel",Settings!$C$9="Yes"))),1,0)</f>
        <v/>
      </c>
      <c r="L1853">
        <f>IF(AND(H1853="",F1853="Attended"),1,0)</f>
        <v/>
      </c>
      <c r="M1853">
        <f>IF(AND(H1853="",OR(F1853="No-show",F1853="Late cancel")),1,0)</f>
        <v/>
      </c>
      <c r="N1853">
        <f>IF(AND(H1853="",F1853="",D1853&lt;&gt;"",I1853&gt;=TODAY()),ROUND((I1853+IF(ISNUMBER(C1853),MOD(C1853,1),0))*1440,0)*10000+ROW(),"")</f>
        <v/>
      </c>
    </row>
    <row r="1854">
      <c r="A1854" s="1" t="n"/>
      <c r="B1854" s="17" t="n"/>
      <c r="C1854" s="18" t="n"/>
      <c r="D1854" s="19" t="n"/>
      <c r="E1854" s="20" t="n"/>
      <c r="F1854" s="20" t="n"/>
      <c r="G1854" s="21" t="n"/>
      <c r="H1854" s="12">
        <f>IF(AND(B1854="",D1854="",F1854=""),"",IF(NOT(ISNUMBER(B1854)),"Needs a date",IF(D1854="","Needs a client",IF(COUNTIF(Clients!$B$6:$B$105,D1854)=0,"Not on Clients",IF(AND(F1854="",INT(B1854)&lt;TODAY()),"Needs a status","")))))</f>
        <v/>
      </c>
      <c r="I1854" s="1">
        <f>IF(ISNUMBER(B1854),INT(B1854),0)</f>
        <v/>
      </c>
      <c r="J1854">
        <f>IF(ISNUMBER(B1854),YEAR(B1854)*100+MONTH(B1854),"")</f>
        <v/>
      </c>
      <c r="K1854">
        <f>IF(AND(H1854="",OR(F1854="Attended",F1854="No-show",AND(F1854="Late cancel",Settings!$C$9="Yes"))),1,0)</f>
        <v/>
      </c>
      <c r="L1854">
        <f>IF(AND(H1854="",F1854="Attended"),1,0)</f>
        <v/>
      </c>
      <c r="M1854">
        <f>IF(AND(H1854="",OR(F1854="No-show",F1854="Late cancel")),1,0)</f>
        <v/>
      </c>
      <c r="N1854">
        <f>IF(AND(H1854="",F1854="",D1854&lt;&gt;"",I1854&gt;=TODAY()),ROUND((I1854+IF(ISNUMBER(C1854),MOD(C1854,1),0))*1440,0)*10000+ROW(),"")</f>
        <v/>
      </c>
    </row>
    <row r="1855">
      <c r="A1855" s="1" t="n"/>
      <c r="B1855" s="17" t="n"/>
      <c r="C1855" s="18" t="n"/>
      <c r="D1855" s="19" t="n"/>
      <c r="E1855" s="20" t="n"/>
      <c r="F1855" s="20" t="n"/>
      <c r="G1855" s="21" t="n"/>
      <c r="H1855" s="12">
        <f>IF(AND(B1855="",D1855="",F1855=""),"",IF(NOT(ISNUMBER(B1855)),"Needs a date",IF(D1855="","Needs a client",IF(COUNTIF(Clients!$B$6:$B$105,D1855)=0,"Not on Clients",IF(AND(F1855="",INT(B1855)&lt;TODAY()),"Needs a status","")))))</f>
        <v/>
      </c>
      <c r="I1855" s="1">
        <f>IF(ISNUMBER(B1855),INT(B1855),0)</f>
        <v/>
      </c>
      <c r="J1855">
        <f>IF(ISNUMBER(B1855),YEAR(B1855)*100+MONTH(B1855),"")</f>
        <v/>
      </c>
      <c r="K1855">
        <f>IF(AND(H1855="",OR(F1855="Attended",F1855="No-show",AND(F1855="Late cancel",Settings!$C$9="Yes"))),1,0)</f>
        <v/>
      </c>
      <c r="L1855">
        <f>IF(AND(H1855="",F1855="Attended"),1,0)</f>
        <v/>
      </c>
      <c r="M1855">
        <f>IF(AND(H1855="",OR(F1855="No-show",F1855="Late cancel")),1,0)</f>
        <v/>
      </c>
      <c r="N1855">
        <f>IF(AND(H1855="",F1855="",D1855&lt;&gt;"",I1855&gt;=TODAY()),ROUND((I1855+IF(ISNUMBER(C1855),MOD(C1855,1),0))*1440,0)*10000+ROW(),"")</f>
        <v/>
      </c>
    </row>
    <row r="1856">
      <c r="A1856" s="1" t="n"/>
      <c r="B1856" s="17" t="n"/>
      <c r="C1856" s="18" t="n"/>
      <c r="D1856" s="19" t="n"/>
      <c r="E1856" s="20" t="n"/>
      <c r="F1856" s="20" t="n"/>
      <c r="G1856" s="21" t="n"/>
      <c r="H1856" s="12">
        <f>IF(AND(B1856="",D1856="",F1856=""),"",IF(NOT(ISNUMBER(B1856)),"Needs a date",IF(D1856="","Needs a client",IF(COUNTIF(Clients!$B$6:$B$105,D1856)=0,"Not on Clients",IF(AND(F1856="",INT(B1856)&lt;TODAY()),"Needs a status","")))))</f>
        <v/>
      </c>
      <c r="I1856" s="1">
        <f>IF(ISNUMBER(B1856),INT(B1856),0)</f>
        <v/>
      </c>
      <c r="J1856">
        <f>IF(ISNUMBER(B1856),YEAR(B1856)*100+MONTH(B1856),"")</f>
        <v/>
      </c>
      <c r="K1856">
        <f>IF(AND(H1856="",OR(F1856="Attended",F1856="No-show",AND(F1856="Late cancel",Settings!$C$9="Yes"))),1,0)</f>
        <v/>
      </c>
      <c r="L1856">
        <f>IF(AND(H1856="",F1856="Attended"),1,0)</f>
        <v/>
      </c>
      <c r="M1856">
        <f>IF(AND(H1856="",OR(F1856="No-show",F1856="Late cancel")),1,0)</f>
        <v/>
      </c>
      <c r="N1856">
        <f>IF(AND(H1856="",F1856="",D1856&lt;&gt;"",I1856&gt;=TODAY()),ROUND((I1856+IF(ISNUMBER(C1856),MOD(C1856,1),0))*1440,0)*10000+ROW(),"")</f>
        <v/>
      </c>
    </row>
    <row r="1857">
      <c r="A1857" s="1" t="n"/>
      <c r="B1857" s="17" t="n"/>
      <c r="C1857" s="18" t="n"/>
      <c r="D1857" s="19" t="n"/>
      <c r="E1857" s="20" t="n"/>
      <c r="F1857" s="20" t="n"/>
      <c r="G1857" s="21" t="n"/>
      <c r="H1857" s="12">
        <f>IF(AND(B1857="",D1857="",F1857=""),"",IF(NOT(ISNUMBER(B1857)),"Needs a date",IF(D1857="","Needs a client",IF(COUNTIF(Clients!$B$6:$B$105,D1857)=0,"Not on Clients",IF(AND(F1857="",INT(B1857)&lt;TODAY()),"Needs a status","")))))</f>
        <v/>
      </c>
      <c r="I1857" s="1">
        <f>IF(ISNUMBER(B1857),INT(B1857),0)</f>
        <v/>
      </c>
      <c r="J1857">
        <f>IF(ISNUMBER(B1857),YEAR(B1857)*100+MONTH(B1857),"")</f>
        <v/>
      </c>
      <c r="K1857">
        <f>IF(AND(H1857="",OR(F1857="Attended",F1857="No-show",AND(F1857="Late cancel",Settings!$C$9="Yes"))),1,0)</f>
        <v/>
      </c>
      <c r="L1857">
        <f>IF(AND(H1857="",F1857="Attended"),1,0)</f>
        <v/>
      </c>
      <c r="M1857">
        <f>IF(AND(H1857="",OR(F1857="No-show",F1857="Late cancel")),1,0)</f>
        <v/>
      </c>
      <c r="N1857">
        <f>IF(AND(H1857="",F1857="",D1857&lt;&gt;"",I1857&gt;=TODAY()),ROUND((I1857+IF(ISNUMBER(C1857),MOD(C1857,1),0))*1440,0)*10000+ROW(),"")</f>
        <v/>
      </c>
    </row>
    <row r="1858">
      <c r="A1858" s="1" t="n"/>
      <c r="B1858" s="17" t="n"/>
      <c r="C1858" s="18" t="n"/>
      <c r="D1858" s="19" t="n"/>
      <c r="E1858" s="20" t="n"/>
      <c r="F1858" s="20" t="n"/>
      <c r="G1858" s="21" t="n"/>
      <c r="H1858" s="12">
        <f>IF(AND(B1858="",D1858="",F1858=""),"",IF(NOT(ISNUMBER(B1858)),"Needs a date",IF(D1858="","Needs a client",IF(COUNTIF(Clients!$B$6:$B$105,D1858)=0,"Not on Clients",IF(AND(F1858="",INT(B1858)&lt;TODAY()),"Needs a status","")))))</f>
        <v/>
      </c>
      <c r="I1858" s="1">
        <f>IF(ISNUMBER(B1858),INT(B1858),0)</f>
        <v/>
      </c>
      <c r="J1858">
        <f>IF(ISNUMBER(B1858),YEAR(B1858)*100+MONTH(B1858),"")</f>
        <v/>
      </c>
      <c r="K1858">
        <f>IF(AND(H1858="",OR(F1858="Attended",F1858="No-show",AND(F1858="Late cancel",Settings!$C$9="Yes"))),1,0)</f>
        <v/>
      </c>
      <c r="L1858">
        <f>IF(AND(H1858="",F1858="Attended"),1,0)</f>
        <v/>
      </c>
      <c r="M1858">
        <f>IF(AND(H1858="",OR(F1858="No-show",F1858="Late cancel")),1,0)</f>
        <v/>
      </c>
      <c r="N1858">
        <f>IF(AND(H1858="",F1858="",D1858&lt;&gt;"",I1858&gt;=TODAY()),ROUND((I1858+IF(ISNUMBER(C1858),MOD(C1858,1),0))*1440,0)*10000+ROW(),"")</f>
        <v/>
      </c>
    </row>
    <row r="1859">
      <c r="A1859" s="1" t="n"/>
      <c r="B1859" s="17" t="n"/>
      <c r="C1859" s="18" t="n"/>
      <c r="D1859" s="19" t="n"/>
      <c r="E1859" s="20" t="n"/>
      <c r="F1859" s="20" t="n"/>
      <c r="G1859" s="21" t="n"/>
      <c r="H1859" s="12">
        <f>IF(AND(B1859="",D1859="",F1859=""),"",IF(NOT(ISNUMBER(B1859)),"Needs a date",IF(D1859="","Needs a client",IF(COUNTIF(Clients!$B$6:$B$105,D1859)=0,"Not on Clients",IF(AND(F1859="",INT(B1859)&lt;TODAY()),"Needs a status","")))))</f>
        <v/>
      </c>
      <c r="I1859" s="1">
        <f>IF(ISNUMBER(B1859),INT(B1859),0)</f>
        <v/>
      </c>
      <c r="J1859">
        <f>IF(ISNUMBER(B1859),YEAR(B1859)*100+MONTH(B1859),"")</f>
        <v/>
      </c>
      <c r="K1859">
        <f>IF(AND(H1859="",OR(F1859="Attended",F1859="No-show",AND(F1859="Late cancel",Settings!$C$9="Yes"))),1,0)</f>
        <v/>
      </c>
      <c r="L1859">
        <f>IF(AND(H1859="",F1859="Attended"),1,0)</f>
        <v/>
      </c>
      <c r="M1859">
        <f>IF(AND(H1859="",OR(F1859="No-show",F1859="Late cancel")),1,0)</f>
        <v/>
      </c>
      <c r="N1859">
        <f>IF(AND(H1859="",F1859="",D1859&lt;&gt;"",I1859&gt;=TODAY()),ROUND((I1859+IF(ISNUMBER(C1859),MOD(C1859,1),0))*1440,0)*10000+ROW(),"")</f>
        <v/>
      </c>
    </row>
    <row r="1860">
      <c r="A1860" s="1" t="n"/>
      <c r="B1860" s="17" t="n"/>
      <c r="C1860" s="18" t="n"/>
      <c r="D1860" s="19" t="n"/>
      <c r="E1860" s="20" t="n"/>
      <c r="F1860" s="20" t="n"/>
      <c r="G1860" s="21" t="n"/>
      <c r="H1860" s="12">
        <f>IF(AND(B1860="",D1860="",F1860=""),"",IF(NOT(ISNUMBER(B1860)),"Needs a date",IF(D1860="","Needs a client",IF(COUNTIF(Clients!$B$6:$B$105,D1860)=0,"Not on Clients",IF(AND(F1860="",INT(B1860)&lt;TODAY()),"Needs a status","")))))</f>
        <v/>
      </c>
      <c r="I1860" s="1">
        <f>IF(ISNUMBER(B1860),INT(B1860),0)</f>
        <v/>
      </c>
      <c r="J1860">
        <f>IF(ISNUMBER(B1860),YEAR(B1860)*100+MONTH(B1860),"")</f>
        <v/>
      </c>
      <c r="K1860">
        <f>IF(AND(H1860="",OR(F1860="Attended",F1860="No-show",AND(F1860="Late cancel",Settings!$C$9="Yes"))),1,0)</f>
        <v/>
      </c>
      <c r="L1860">
        <f>IF(AND(H1860="",F1860="Attended"),1,0)</f>
        <v/>
      </c>
      <c r="M1860">
        <f>IF(AND(H1860="",OR(F1860="No-show",F1860="Late cancel")),1,0)</f>
        <v/>
      </c>
      <c r="N1860">
        <f>IF(AND(H1860="",F1860="",D1860&lt;&gt;"",I1860&gt;=TODAY()),ROUND((I1860+IF(ISNUMBER(C1860),MOD(C1860,1),0))*1440,0)*10000+ROW(),"")</f>
        <v/>
      </c>
    </row>
    <row r="1861">
      <c r="A1861" s="1" t="n"/>
      <c r="B1861" s="17" t="n"/>
      <c r="C1861" s="18" t="n"/>
      <c r="D1861" s="19" t="n"/>
      <c r="E1861" s="20" t="n"/>
      <c r="F1861" s="20" t="n"/>
      <c r="G1861" s="21" t="n"/>
      <c r="H1861" s="12">
        <f>IF(AND(B1861="",D1861="",F1861=""),"",IF(NOT(ISNUMBER(B1861)),"Needs a date",IF(D1861="","Needs a client",IF(COUNTIF(Clients!$B$6:$B$105,D1861)=0,"Not on Clients",IF(AND(F1861="",INT(B1861)&lt;TODAY()),"Needs a status","")))))</f>
        <v/>
      </c>
      <c r="I1861" s="1">
        <f>IF(ISNUMBER(B1861),INT(B1861),0)</f>
        <v/>
      </c>
      <c r="J1861">
        <f>IF(ISNUMBER(B1861),YEAR(B1861)*100+MONTH(B1861),"")</f>
        <v/>
      </c>
      <c r="K1861">
        <f>IF(AND(H1861="",OR(F1861="Attended",F1861="No-show",AND(F1861="Late cancel",Settings!$C$9="Yes"))),1,0)</f>
        <v/>
      </c>
      <c r="L1861">
        <f>IF(AND(H1861="",F1861="Attended"),1,0)</f>
        <v/>
      </c>
      <c r="M1861">
        <f>IF(AND(H1861="",OR(F1861="No-show",F1861="Late cancel")),1,0)</f>
        <v/>
      </c>
      <c r="N1861">
        <f>IF(AND(H1861="",F1861="",D1861&lt;&gt;"",I1861&gt;=TODAY()),ROUND((I1861+IF(ISNUMBER(C1861),MOD(C1861,1),0))*1440,0)*10000+ROW(),"")</f>
        <v/>
      </c>
    </row>
    <row r="1862">
      <c r="A1862" s="1" t="n"/>
      <c r="B1862" s="17" t="n"/>
      <c r="C1862" s="18" t="n"/>
      <c r="D1862" s="19" t="n"/>
      <c r="E1862" s="20" t="n"/>
      <c r="F1862" s="20" t="n"/>
      <c r="G1862" s="21" t="n"/>
      <c r="H1862" s="12">
        <f>IF(AND(B1862="",D1862="",F1862=""),"",IF(NOT(ISNUMBER(B1862)),"Needs a date",IF(D1862="","Needs a client",IF(COUNTIF(Clients!$B$6:$B$105,D1862)=0,"Not on Clients",IF(AND(F1862="",INT(B1862)&lt;TODAY()),"Needs a status","")))))</f>
        <v/>
      </c>
      <c r="I1862" s="1">
        <f>IF(ISNUMBER(B1862),INT(B1862),0)</f>
        <v/>
      </c>
      <c r="J1862">
        <f>IF(ISNUMBER(B1862),YEAR(B1862)*100+MONTH(B1862),"")</f>
        <v/>
      </c>
      <c r="K1862">
        <f>IF(AND(H1862="",OR(F1862="Attended",F1862="No-show",AND(F1862="Late cancel",Settings!$C$9="Yes"))),1,0)</f>
        <v/>
      </c>
      <c r="L1862">
        <f>IF(AND(H1862="",F1862="Attended"),1,0)</f>
        <v/>
      </c>
      <c r="M1862">
        <f>IF(AND(H1862="",OR(F1862="No-show",F1862="Late cancel")),1,0)</f>
        <v/>
      </c>
      <c r="N1862">
        <f>IF(AND(H1862="",F1862="",D1862&lt;&gt;"",I1862&gt;=TODAY()),ROUND((I1862+IF(ISNUMBER(C1862),MOD(C1862,1),0))*1440,0)*10000+ROW(),"")</f>
        <v/>
      </c>
    </row>
    <row r="1863">
      <c r="A1863" s="1" t="n"/>
      <c r="B1863" s="17" t="n"/>
      <c r="C1863" s="18" t="n"/>
      <c r="D1863" s="19" t="n"/>
      <c r="E1863" s="20" t="n"/>
      <c r="F1863" s="20" t="n"/>
      <c r="G1863" s="21" t="n"/>
      <c r="H1863" s="12">
        <f>IF(AND(B1863="",D1863="",F1863=""),"",IF(NOT(ISNUMBER(B1863)),"Needs a date",IF(D1863="","Needs a client",IF(COUNTIF(Clients!$B$6:$B$105,D1863)=0,"Not on Clients",IF(AND(F1863="",INT(B1863)&lt;TODAY()),"Needs a status","")))))</f>
        <v/>
      </c>
      <c r="I1863" s="1">
        <f>IF(ISNUMBER(B1863),INT(B1863),0)</f>
        <v/>
      </c>
      <c r="J1863">
        <f>IF(ISNUMBER(B1863),YEAR(B1863)*100+MONTH(B1863),"")</f>
        <v/>
      </c>
      <c r="K1863">
        <f>IF(AND(H1863="",OR(F1863="Attended",F1863="No-show",AND(F1863="Late cancel",Settings!$C$9="Yes"))),1,0)</f>
        <v/>
      </c>
      <c r="L1863">
        <f>IF(AND(H1863="",F1863="Attended"),1,0)</f>
        <v/>
      </c>
      <c r="M1863">
        <f>IF(AND(H1863="",OR(F1863="No-show",F1863="Late cancel")),1,0)</f>
        <v/>
      </c>
      <c r="N1863">
        <f>IF(AND(H1863="",F1863="",D1863&lt;&gt;"",I1863&gt;=TODAY()),ROUND((I1863+IF(ISNUMBER(C1863),MOD(C1863,1),0))*1440,0)*10000+ROW(),"")</f>
        <v/>
      </c>
    </row>
    <row r="1864">
      <c r="A1864" s="1" t="n"/>
      <c r="B1864" s="17" t="n"/>
      <c r="C1864" s="18" t="n"/>
      <c r="D1864" s="19" t="n"/>
      <c r="E1864" s="20" t="n"/>
      <c r="F1864" s="20" t="n"/>
      <c r="G1864" s="21" t="n"/>
      <c r="H1864" s="12">
        <f>IF(AND(B1864="",D1864="",F1864=""),"",IF(NOT(ISNUMBER(B1864)),"Needs a date",IF(D1864="","Needs a client",IF(COUNTIF(Clients!$B$6:$B$105,D1864)=0,"Not on Clients",IF(AND(F1864="",INT(B1864)&lt;TODAY()),"Needs a status","")))))</f>
        <v/>
      </c>
      <c r="I1864" s="1">
        <f>IF(ISNUMBER(B1864),INT(B1864),0)</f>
        <v/>
      </c>
      <c r="J1864">
        <f>IF(ISNUMBER(B1864),YEAR(B1864)*100+MONTH(B1864),"")</f>
        <v/>
      </c>
      <c r="K1864">
        <f>IF(AND(H1864="",OR(F1864="Attended",F1864="No-show",AND(F1864="Late cancel",Settings!$C$9="Yes"))),1,0)</f>
        <v/>
      </c>
      <c r="L1864">
        <f>IF(AND(H1864="",F1864="Attended"),1,0)</f>
        <v/>
      </c>
      <c r="M1864">
        <f>IF(AND(H1864="",OR(F1864="No-show",F1864="Late cancel")),1,0)</f>
        <v/>
      </c>
      <c r="N1864">
        <f>IF(AND(H1864="",F1864="",D1864&lt;&gt;"",I1864&gt;=TODAY()),ROUND((I1864+IF(ISNUMBER(C1864),MOD(C1864,1),0))*1440,0)*10000+ROW(),"")</f>
        <v/>
      </c>
    </row>
    <row r="1865">
      <c r="A1865" s="1" t="n"/>
      <c r="B1865" s="17" t="n"/>
      <c r="C1865" s="18" t="n"/>
      <c r="D1865" s="19" t="n"/>
      <c r="E1865" s="20" t="n"/>
      <c r="F1865" s="20" t="n"/>
      <c r="G1865" s="21" t="n"/>
      <c r="H1865" s="12">
        <f>IF(AND(B1865="",D1865="",F1865=""),"",IF(NOT(ISNUMBER(B1865)),"Needs a date",IF(D1865="","Needs a client",IF(COUNTIF(Clients!$B$6:$B$105,D1865)=0,"Not on Clients",IF(AND(F1865="",INT(B1865)&lt;TODAY()),"Needs a status","")))))</f>
        <v/>
      </c>
      <c r="I1865" s="1">
        <f>IF(ISNUMBER(B1865),INT(B1865),0)</f>
        <v/>
      </c>
      <c r="J1865">
        <f>IF(ISNUMBER(B1865),YEAR(B1865)*100+MONTH(B1865),"")</f>
        <v/>
      </c>
      <c r="K1865">
        <f>IF(AND(H1865="",OR(F1865="Attended",F1865="No-show",AND(F1865="Late cancel",Settings!$C$9="Yes"))),1,0)</f>
        <v/>
      </c>
      <c r="L1865">
        <f>IF(AND(H1865="",F1865="Attended"),1,0)</f>
        <v/>
      </c>
      <c r="M1865">
        <f>IF(AND(H1865="",OR(F1865="No-show",F1865="Late cancel")),1,0)</f>
        <v/>
      </c>
      <c r="N1865">
        <f>IF(AND(H1865="",F1865="",D1865&lt;&gt;"",I1865&gt;=TODAY()),ROUND((I1865+IF(ISNUMBER(C1865),MOD(C1865,1),0))*1440,0)*10000+ROW(),"")</f>
        <v/>
      </c>
    </row>
    <row r="1866">
      <c r="A1866" s="1" t="n"/>
      <c r="B1866" s="17" t="n"/>
      <c r="C1866" s="18" t="n"/>
      <c r="D1866" s="19" t="n"/>
      <c r="E1866" s="20" t="n"/>
      <c r="F1866" s="20" t="n"/>
      <c r="G1866" s="21" t="n"/>
      <c r="H1866" s="12">
        <f>IF(AND(B1866="",D1866="",F1866=""),"",IF(NOT(ISNUMBER(B1866)),"Needs a date",IF(D1866="","Needs a client",IF(COUNTIF(Clients!$B$6:$B$105,D1866)=0,"Not on Clients",IF(AND(F1866="",INT(B1866)&lt;TODAY()),"Needs a status","")))))</f>
        <v/>
      </c>
      <c r="I1866" s="1">
        <f>IF(ISNUMBER(B1866),INT(B1866),0)</f>
        <v/>
      </c>
      <c r="J1866">
        <f>IF(ISNUMBER(B1866),YEAR(B1866)*100+MONTH(B1866),"")</f>
        <v/>
      </c>
      <c r="K1866">
        <f>IF(AND(H1866="",OR(F1866="Attended",F1866="No-show",AND(F1866="Late cancel",Settings!$C$9="Yes"))),1,0)</f>
        <v/>
      </c>
      <c r="L1866">
        <f>IF(AND(H1866="",F1866="Attended"),1,0)</f>
        <v/>
      </c>
      <c r="M1866">
        <f>IF(AND(H1866="",OR(F1866="No-show",F1866="Late cancel")),1,0)</f>
        <v/>
      </c>
      <c r="N1866">
        <f>IF(AND(H1866="",F1866="",D1866&lt;&gt;"",I1866&gt;=TODAY()),ROUND((I1866+IF(ISNUMBER(C1866),MOD(C1866,1),0))*1440,0)*10000+ROW(),"")</f>
        <v/>
      </c>
    </row>
    <row r="1867">
      <c r="A1867" s="1" t="n"/>
      <c r="B1867" s="17" t="n"/>
      <c r="C1867" s="18" t="n"/>
      <c r="D1867" s="19" t="n"/>
      <c r="E1867" s="20" t="n"/>
      <c r="F1867" s="20" t="n"/>
      <c r="G1867" s="21" t="n"/>
      <c r="H1867" s="12">
        <f>IF(AND(B1867="",D1867="",F1867=""),"",IF(NOT(ISNUMBER(B1867)),"Needs a date",IF(D1867="","Needs a client",IF(COUNTIF(Clients!$B$6:$B$105,D1867)=0,"Not on Clients",IF(AND(F1867="",INT(B1867)&lt;TODAY()),"Needs a status","")))))</f>
        <v/>
      </c>
      <c r="I1867" s="1">
        <f>IF(ISNUMBER(B1867),INT(B1867),0)</f>
        <v/>
      </c>
      <c r="J1867">
        <f>IF(ISNUMBER(B1867),YEAR(B1867)*100+MONTH(B1867),"")</f>
        <v/>
      </c>
      <c r="K1867">
        <f>IF(AND(H1867="",OR(F1867="Attended",F1867="No-show",AND(F1867="Late cancel",Settings!$C$9="Yes"))),1,0)</f>
        <v/>
      </c>
      <c r="L1867">
        <f>IF(AND(H1867="",F1867="Attended"),1,0)</f>
        <v/>
      </c>
      <c r="M1867">
        <f>IF(AND(H1867="",OR(F1867="No-show",F1867="Late cancel")),1,0)</f>
        <v/>
      </c>
      <c r="N1867">
        <f>IF(AND(H1867="",F1867="",D1867&lt;&gt;"",I1867&gt;=TODAY()),ROUND((I1867+IF(ISNUMBER(C1867),MOD(C1867,1),0))*1440,0)*10000+ROW(),"")</f>
        <v/>
      </c>
    </row>
    <row r="1868">
      <c r="A1868" s="1" t="n"/>
      <c r="B1868" s="17" t="n"/>
      <c r="C1868" s="18" t="n"/>
      <c r="D1868" s="19" t="n"/>
      <c r="E1868" s="20" t="n"/>
      <c r="F1868" s="20" t="n"/>
      <c r="G1868" s="21" t="n"/>
      <c r="H1868" s="12">
        <f>IF(AND(B1868="",D1868="",F1868=""),"",IF(NOT(ISNUMBER(B1868)),"Needs a date",IF(D1868="","Needs a client",IF(COUNTIF(Clients!$B$6:$B$105,D1868)=0,"Not on Clients",IF(AND(F1868="",INT(B1868)&lt;TODAY()),"Needs a status","")))))</f>
        <v/>
      </c>
      <c r="I1868" s="1">
        <f>IF(ISNUMBER(B1868),INT(B1868),0)</f>
        <v/>
      </c>
      <c r="J1868">
        <f>IF(ISNUMBER(B1868),YEAR(B1868)*100+MONTH(B1868),"")</f>
        <v/>
      </c>
      <c r="K1868">
        <f>IF(AND(H1868="",OR(F1868="Attended",F1868="No-show",AND(F1868="Late cancel",Settings!$C$9="Yes"))),1,0)</f>
        <v/>
      </c>
      <c r="L1868">
        <f>IF(AND(H1868="",F1868="Attended"),1,0)</f>
        <v/>
      </c>
      <c r="M1868">
        <f>IF(AND(H1868="",OR(F1868="No-show",F1868="Late cancel")),1,0)</f>
        <v/>
      </c>
      <c r="N1868">
        <f>IF(AND(H1868="",F1868="",D1868&lt;&gt;"",I1868&gt;=TODAY()),ROUND((I1868+IF(ISNUMBER(C1868),MOD(C1868,1),0))*1440,0)*10000+ROW(),"")</f>
        <v/>
      </c>
    </row>
    <row r="1869">
      <c r="A1869" s="1" t="n"/>
      <c r="B1869" s="17" t="n"/>
      <c r="C1869" s="18" t="n"/>
      <c r="D1869" s="19" t="n"/>
      <c r="E1869" s="20" t="n"/>
      <c r="F1869" s="20" t="n"/>
      <c r="G1869" s="21" t="n"/>
      <c r="H1869" s="12">
        <f>IF(AND(B1869="",D1869="",F1869=""),"",IF(NOT(ISNUMBER(B1869)),"Needs a date",IF(D1869="","Needs a client",IF(COUNTIF(Clients!$B$6:$B$105,D1869)=0,"Not on Clients",IF(AND(F1869="",INT(B1869)&lt;TODAY()),"Needs a status","")))))</f>
        <v/>
      </c>
      <c r="I1869" s="1">
        <f>IF(ISNUMBER(B1869),INT(B1869),0)</f>
        <v/>
      </c>
      <c r="J1869">
        <f>IF(ISNUMBER(B1869),YEAR(B1869)*100+MONTH(B1869),"")</f>
        <v/>
      </c>
      <c r="K1869">
        <f>IF(AND(H1869="",OR(F1869="Attended",F1869="No-show",AND(F1869="Late cancel",Settings!$C$9="Yes"))),1,0)</f>
        <v/>
      </c>
      <c r="L1869">
        <f>IF(AND(H1869="",F1869="Attended"),1,0)</f>
        <v/>
      </c>
      <c r="M1869">
        <f>IF(AND(H1869="",OR(F1869="No-show",F1869="Late cancel")),1,0)</f>
        <v/>
      </c>
      <c r="N1869">
        <f>IF(AND(H1869="",F1869="",D1869&lt;&gt;"",I1869&gt;=TODAY()),ROUND((I1869+IF(ISNUMBER(C1869),MOD(C1869,1),0))*1440,0)*10000+ROW(),"")</f>
        <v/>
      </c>
    </row>
    <row r="1870">
      <c r="A1870" s="1" t="n"/>
      <c r="B1870" s="17" t="n"/>
      <c r="C1870" s="18" t="n"/>
      <c r="D1870" s="19" t="n"/>
      <c r="E1870" s="20" t="n"/>
      <c r="F1870" s="20" t="n"/>
      <c r="G1870" s="21" t="n"/>
      <c r="H1870" s="12">
        <f>IF(AND(B1870="",D1870="",F1870=""),"",IF(NOT(ISNUMBER(B1870)),"Needs a date",IF(D1870="","Needs a client",IF(COUNTIF(Clients!$B$6:$B$105,D1870)=0,"Not on Clients",IF(AND(F1870="",INT(B1870)&lt;TODAY()),"Needs a status","")))))</f>
        <v/>
      </c>
      <c r="I1870" s="1">
        <f>IF(ISNUMBER(B1870),INT(B1870),0)</f>
        <v/>
      </c>
      <c r="J1870">
        <f>IF(ISNUMBER(B1870),YEAR(B1870)*100+MONTH(B1870),"")</f>
        <v/>
      </c>
      <c r="K1870">
        <f>IF(AND(H1870="",OR(F1870="Attended",F1870="No-show",AND(F1870="Late cancel",Settings!$C$9="Yes"))),1,0)</f>
        <v/>
      </c>
      <c r="L1870">
        <f>IF(AND(H1870="",F1870="Attended"),1,0)</f>
        <v/>
      </c>
      <c r="M1870">
        <f>IF(AND(H1870="",OR(F1870="No-show",F1870="Late cancel")),1,0)</f>
        <v/>
      </c>
      <c r="N1870">
        <f>IF(AND(H1870="",F1870="",D1870&lt;&gt;"",I1870&gt;=TODAY()),ROUND((I1870+IF(ISNUMBER(C1870),MOD(C1870,1),0))*1440,0)*10000+ROW(),"")</f>
        <v/>
      </c>
    </row>
    <row r="1871">
      <c r="A1871" s="1" t="n"/>
      <c r="B1871" s="17" t="n"/>
      <c r="C1871" s="18" t="n"/>
      <c r="D1871" s="19" t="n"/>
      <c r="E1871" s="20" t="n"/>
      <c r="F1871" s="20" t="n"/>
      <c r="G1871" s="21" t="n"/>
      <c r="H1871" s="12">
        <f>IF(AND(B1871="",D1871="",F1871=""),"",IF(NOT(ISNUMBER(B1871)),"Needs a date",IF(D1871="","Needs a client",IF(COUNTIF(Clients!$B$6:$B$105,D1871)=0,"Not on Clients",IF(AND(F1871="",INT(B1871)&lt;TODAY()),"Needs a status","")))))</f>
        <v/>
      </c>
      <c r="I1871" s="1">
        <f>IF(ISNUMBER(B1871),INT(B1871),0)</f>
        <v/>
      </c>
      <c r="J1871">
        <f>IF(ISNUMBER(B1871),YEAR(B1871)*100+MONTH(B1871),"")</f>
        <v/>
      </c>
      <c r="K1871">
        <f>IF(AND(H1871="",OR(F1871="Attended",F1871="No-show",AND(F1871="Late cancel",Settings!$C$9="Yes"))),1,0)</f>
        <v/>
      </c>
      <c r="L1871">
        <f>IF(AND(H1871="",F1871="Attended"),1,0)</f>
        <v/>
      </c>
      <c r="M1871">
        <f>IF(AND(H1871="",OR(F1871="No-show",F1871="Late cancel")),1,0)</f>
        <v/>
      </c>
      <c r="N1871">
        <f>IF(AND(H1871="",F1871="",D1871&lt;&gt;"",I1871&gt;=TODAY()),ROUND((I1871+IF(ISNUMBER(C1871),MOD(C1871,1),0))*1440,0)*10000+ROW(),"")</f>
        <v/>
      </c>
    </row>
    <row r="1872">
      <c r="A1872" s="1" t="n"/>
      <c r="B1872" s="17" t="n"/>
      <c r="C1872" s="18" t="n"/>
      <c r="D1872" s="19" t="n"/>
      <c r="E1872" s="20" t="n"/>
      <c r="F1872" s="20" t="n"/>
      <c r="G1872" s="21" t="n"/>
      <c r="H1872" s="12">
        <f>IF(AND(B1872="",D1872="",F1872=""),"",IF(NOT(ISNUMBER(B1872)),"Needs a date",IF(D1872="","Needs a client",IF(COUNTIF(Clients!$B$6:$B$105,D1872)=0,"Not on Clients",IF(AND(F1872="",INT(B1872)&lt;TODAY()),"Needs a status","")))))</f>
        <v/>
      </c>
      <c r="I1872" s="1">
        <f>IF(ISNUMBER(B1872),INT(B1872),0)</f>
        <v/>
      </c>
      <c r="J1872">
        <f>IF(ISNUMBER(B1872),YEAR(B1872)*100+MONTH(B1872),"")</f>
        <v/>
      </c>
      <c r="K1872">
        <f>IF(AND(H1872="",OR(F1872="Attended",F1872="No-show",AND(F1872="Late cancel",Settings!$C$9="Yes"))),1,0)</f>
        <v/>
      </c>
      <c r="L1872">
        <f>IF(AND(H1872="",F1872="Attended"),1,0)</f>
        <v/>
      </c>
      <c r="M1872">
        <f>IF(AND(H1872="",OR(F1872="No-show",F1872="Late cancel")),1,0)</f>
        <v/>
      </c>
      <c r="N1872">
        <f>IF(AND(H1872="",F1872="",D1872&lt;&gt;"",I1872&gt;=TODAY()),ROUND((I1872+IF(ISNUMBER(C1872),MOD(C1872,1),0))*1440,0)*10000+ROW(),"")</f>
        <v/>
      </c>
    </row>
    <row r="1873">
      <c r="A1873" s="1" t="n"/>
      <c r="B1873" s="17" t="n"/>
      <c r="C1873" s="18" t="n"/>
      <c r="D1873" s="19" t="n"/>
      <c r="E1873" s="20" t="n"/>
      <c r="F1873" s="20" t="n"/>
      <c r="G1873" s="21" t="n"/>
      <c r="H1873" s="12">
        <f>IF(AND(B1873="",D1873="",F1873=""),"",IF(NOT(ISNUMBER(B1873)),"Needs a date",IF(D1873="","Needs a client",IF(COUNTIF(Clients!$B$6:$B$105,D1873)=0,"Not on Clients",IF(AND(F1873="",INT(B1873)&lt;TODAY()),"Needs a status","")))))</f>
        <v/>
      </c>
      <c r="I1873" s="1">
        <f>IF(ISNUMBER(B1873),INT(B1873),0)</f>
        <v/>
      </c>
      <c r="J1873">
        <f>IF(ISNUMBER(B1873),YEAR(B1873)*100+MONTH(B1873),"")</f>
        <v/>
      </c>
      <c r="K1873">
        <f>IF(AND(H1873="",OR(F1873="Attended",F1873="No-show",AND(F1873="Late cancel",Settings!$C$9="Yes"))),1,0)</f>
        <v/>
      </c>
      <c r="L1873">
        <f>IF(AND(H1873="",F1873="Attended"),1,0)</f>
        <v/>
      </c>
      <c r="M1873">
        <f>IF(AND(H1873="",OR(F1873="No-show",F1873="Late cancel")),1,0)</f>
        <v/>
      </c>
      <c r="N1873">
        <f>IF(AND(H1873="",F1873="",D1873&lt;&gt;"",I1873&gt;=TODAY()),ROUND((I1873+IF(ISNUMBER(C1873),MOD(C1873,1),0))*1440,0)*10000+ROW(),"")</f>
        <v/>
      </c>
    </row>
    <row r="1874">
      <c r="A1874" s="1" t="n"/>
      <c r="B1874" s="17" t="n"/>
      <c r="C1874" s="18" t="n"/>
      <c r="D1874" s="19" t="n"/>
      <c r="E1874" s="20" t="n"/>
      <c r="F1874" s="20" t="n"/>
      <c r="G1874" s="21" t="n"/>
      <c r="H1874" s="12">
        <f>IF(AND(B1874="",D1874="",F1874=""),"",IF(NOT(ISNUMBER(B1874)),"Needs a date",IF(D1874="","Needs a client",IF(COUNTIF(Clients!$B$6:$B$105,D1874)=0,"Not on Clients",IF(AND(F1874="",INT(B1874)&lt;TODAY()),"Needs a status","")))))</f>
        <v/>
      </c>
      <c r="I1874" s="1">
        <f>IF(ISNUMBER(B1874),INT(B1874),0)</f>
        <v/>
      </c>
      <c r="J1874">
        <f>IF(ISNUMBER(B1874),YEAR(B1874)*100+MONTH(B1874),"")</f>
        <v/>
      </c>
      <c r="K1874">
        <f>IF(AND(H1874="",OR(F1874="Attended",F1874="No-show",AND(F1874="Late cancel",Settings!$C$9="Yes"))),1,0)</f>
        <v/>
      </c>
      <c r="L1874">
        <f>IF(AND(H1874="",F1874="Attended"),1,0)</f>
        <v/>
      </c>
      <c r="M1874">
        <f>IF(AND(H1874="",OR(F1874="No-show",F1874="Late cancel")),1,0)</f>
        <v/>
      </c>
      <c r="N1874">
        <f>IF(AND(H1874="",F1874="",D1874&lt;&gt;"",I1874&gt;=TODAY()),ROUND((I1874+IF(ISNUMBER(C1874),MOD(C1874,1),0))*1440,0)*10000+ROW(),"")</f>
        <v/>
      </c>
    </row>
    <row r="1875">
      <c r="A1875" s="1" t="n"/>
      <c r="B1875" s="17" t="n"/>
      <c r="C1875" s="18" t="n"/>
      <c r="D1875" s="19" t="n"/>
      <c r="E1875" s="20" t="n"/>
      <c r="F1875" s="20" t="n"/>
      <c r="G1875" s="21" t="n"/>
      <c r="H1875" s="12">
        <f>IF(AND(B1875="",D1875="",F1875=""),"",IF(NOT(ISNUMBER(B1875)),"Needs a date",IF(D1875="","Needs a client",IF(COUNTIF(Clients!$B$6:$B$105,D1875)=0,"Not on Clients",IF(AND(F1875="",INT(B1875)&lt;TODAY()),"Needs a status","")))))</f>
        <v/>
      </c>
      <c r="I1875" s="1">
        <f>IF(ISNUMBER(B1875),INT(B1875),0)</f>
        <v/>
      </c>
      <c r="J1875">
        <f>IF(ISNUMBER(B1875),YEAR(B1875)*100+MONTH(B1875),"")</f>
        <v/>
      </c>
      <c r="K1875">
        <f>IF(AND(H1875="",OR(F1875="Attended",F1875="No-show",AND(F1875="Late cancel",Settings!$C$9="Yes"))),1,0)</f>
        <v/>
      </c>
      <c r="L1875">
        <f>IF(AND(H1875="",F1875="Attended"),1,0)</f>
        <v/>
      </c>
      <c r="M1875">
        <f>IF(AND(H1875="",OR(F1875="No-show",F1875="Late cancel")),1,0)</f>
        <v/>
      </c>
      <c r="N1875">
        <f>IF(AND(H1875="",F1875="",D1875&lt;&gt;"",I1875&gt;=TODAY()),ROUND((I1875+IF(ISNUMBER(C1875),MOD(C1875,1),0))*1440,0)*10000+ROW(),"")</f>
        <v/>
      </c>
    </row>
    <row r="1876">
      <c r="A1876" s="1" t="n"/>
      <c r="B1876" s="17" t="n"/>
      <c r="C1876" s="18" t="n"/>
      <c r="D1876" s="19" t="n"/>
      <c r="E1876" s="20" t="n"/>
      <c r="F1876" s="20" t="n"/>
      <c r="G1876" s="21" t="n"/>
      <c r="H1876" s="12">
        <f>IF(AND(B1876="",D1876="",F1876=""),"",IF(NOT(ISNUMBER(B1876)),"Needs a date",IF(D1876="","Needs a client",IF(COUNTIF(Clients!$B$6:$B$105,D1876)=0,"Not on Clients",IF(AND(F1876="",INT(B1876)&lt;TODAY()),"Needs a status","")))))</f>
        <v/>
      </c>
      <c r="I1876" s="1">
        <f>IF(ISNUMBER(B1876),INT(B1876),0)</f>
        <v/>
      </c>
      <c r="J1876">
        <f>IF(ISNUMBER(B1876),YEAR(B1876)*100+MONTH(B1876),"")</f>
        <v/>
      </c>
      <c r="K1876">
        <f>IF(AND(H1876="",OR(F1876="Attended",F1876="No-show",AND(F1876="Late cancel",Settings!$C$9="Yes"))),1,0)</f>
        <v/>
      </c>
      <c r="L1876">
        <f>IF(AND(H1876="",F1876="Attended"),1,0)</f>
        <v/>
      </c>
      <c r="M1876">
        <f>IF(AND(H1876="",OR(F1876="No-show",F1876="Late cancel")),1,0)</f>
        <v/>
      </c>
      <c r="N1876">
        <f>IF(AND(H1876="",F1876="",D1876&lt;&gt;"",I1876&gt;=TODAY()),ROUND((I1876+IF(ISNUMBER(C1876),MOD(C1876,1),0))*1440,0)*10000+ROW(),"")</f>
        <v/>
      </c>
    </row>
    <row r="1877">
      <c r="A1877" s="1" t="n"/>
      <c r="B1877" s="17" t="n"/>
      <c r="C1877" s="18" t="n"/>
      <c r="D1877" s="19" t="n"/>
      <c r="E1877" s="20" t="n"/>
      <c r="F1877" s="20" t="n"/>
      <c r="G1877" s="21" t="n"/>
      <c r="H1877" s="12">
        <f>IF(AND(B1877="",D1877="",F1877=""),"",IF(NOT(ISNUMBER(B1877)),"Needs a date",IF(D1877="","Needs a client",IF(COUNTIF(Clients!$B$6:$B$105,D1877)=0,"Not on Clients",IF(AND(F1877="",INT(B1877)&lt;TODAY()),"Needs a status","")))))</f>
        <v/>
      </c>
      <c r="I1877" s="1">
        <f>IF(ISNUMBER(B1877),INT(B1877),0)</f>
        <v/>
      </c>
      <c r="J1877">
        <f>IF(ISNUMBER(B1877),YEAR(B1877)*100+MONTH(B1877),"")</f>
        <v/>
      </c>
      <c r="K1877">
        <f>IF(AND(H1877="",OR(F1877="Attended",F1877="No-show",AND(F1877="Late cancel",Settings!$C$9="Yes"))),1,0)</f>
        <v/>
      </c>
      <c r="L1877">
        <f>IF(AND(H1877="",F1877="Attended"),1,0)</f>
        <v/>
      </c>
      <c r="M1877">
        <f>IF(AND(H1877="",OR(F1877="No-show",F1877="Late cancel")),1,0)</f>
        <v/>
      </c>
      <c r="N1877">
        <f>IF(AND(H1877="",F1877="",D1877&lt;&gt;"",I1877&gt;=TODAY()),ROUND((I1877+IF(ISNUMBER(C1877),MOD(C1877,1),0))*1440,0)*10000+ROW(),"")</f>
        <v/>
      </c>
    </row>
    <row r="1878">
      <c r="A1878" s="1" t="n"/>
      <c r="B1878" s="17" t="n"/>
      <c r="C1878" s="18" t="n"/>
      <c r="D1878" s="19" t="n"/>
      <c r="E1878" s="20" t="n"/>
      <c r="F1878" s="20" t="n"/>
      <c r="G1878" s="21" t="n"/>
      <c r="H1878" s="12">
        <f>IF(AND(B1878="",D1878="",F1878=""),"",IF(NOT(ISNUMBER(B1878)),"Needs a date",IF(D1878="","Needs a client",IF(COUNTIF(Clients!$B$6:$B$105,D1878)=0,"Not on Clients",IF(AND(F1878="",INT(B1878)&lt;TODAY()),"Needs a status","")))))</f>
        <v/>
      </c>
      <c r="I1878" s="1">
        <f>IF(ISNUMBER(B1878),INT(B1878),0)</f>
        <v/>
      </c>
      <c r="J1878">
        <f>IF(ISNUMBER(B1878),YEAR(B1878)*100+MONTH(B1878),"")</f>
        <v/>
      </c>
      <c r="K1878">
        <f>IF(AND(H1878="",OR(F1878="Attended",F1878="No-show",AND(F1878="Late cancel",Settings!$C$9="Yes"))),1,0)</f>
        <v/>
      </c>
      <c r="L1878">
        <f>IF(AND(H1878="",F1878="Attended"),1,0)</f>
        <v/>
      </c>
      <c r="M1878">
        <f>IF(AND(H1878="",OR(F1878="No-show",F1878="Late cancel")),1,0)</f>
        <v/>
      </c>
      <c r="N1878">
        <f>IF(AND(H1878="",F1878="",D1878&lt;&gt;"",I1878&gt;=TODAY()),ROUND((I1878+IF(ISNUMBER(C1878),MOD(C1878,1),0))*1440,0)*10000+ROW(),"")</f>
        <v/>
      </c>
    </row>
    <row r="1879">
      <c r="A1879" s="1" t="n"/>
      <c r="B1879" s="17" t="n"/>
      <c r="C1879" s="18" t="n"/>
      <c r="D1879" s="19" t="n"/>
      <c r="E1879" s="20" t="n"/>
      <c r="F1879" s="20" t="n"/>
      <c r="G1879" s="21" t="n"/>
      <c r="H1879" s="12">
        <f>IF(AND(B1879="",D1879="",F1879=""),"",IF(NOT(ISNUMBER(B1879)),"Needs a date",IF(D1879="","Needs a client",IF(COUNTIF(Clients!$B$6:$B$105,D1879)=0,"Not on Clients",IF(AND(F1879="",INT(B1879)&lt;TODAY()),"Needs a status","")))))</f>
        <v/>
      </c>
      <c r="I1879" s="1">
        <f>IF(ISNUMBER(B1879),INT(B1879),0)</f>
        <v/>
      </c>
      <c r="J1879">
        <f>IF(ISNUMBER(B1879),YEAR(B1879)*100+MONTH(B1879),"")</f>
        <v/>
      </c>
      <c r="K1879">
        <f>IF(AND(H1879="",OR(F1879="Attended",F1879="No-show",AND(F1879="Late cancel",Settings!$C$9="Yes"))),1,0)</f>
        <v/>
      </c>
      <c r="L1879">
        <f>IF(AND(H1879="",F1879="Attended"),1,0)</f>
        <v/>
      </c>
      <c r="M1879">
        <f>IF(AND(H1879="",OR(F1879="No-show",F1879="Late cancel")),1,0)</f>
        <v/>
      </c>
      <c r="N1879">
        <f>IF(AND(H1879="",F1879="",D1879&lt;&gt;"",I1879&gt;=TODAY()),ROUND((I1879+IF(ISNUMBER(C1879),MOD(C1879,1),0))*1440,0)*10000+ROW(),"")</f>
        <v/>
      </c>
    </row>
    <row r="1880">
      <c r="A1880" s="1" t="n"/>
      <c r="B1880" s="17" t="n"/>
      <c r="C1880" s="18" t="n"/>
      <c r="D1880" s="19" t="n"/>
      <c r="E1880" s="20" t="n"/>
      <c r="F1880" s="20" t="n"/>
      <c r="G1880" s="21" t="n"/>
      <c r="H1880" s="12">
        <f>IF(AND(B1880="",D1880="",F1880=""),"",IF(NOT(ISNUMBER(B1880)),"Needs a date",IF(D1880="","Needs a client",IF(COUNTIF(Clients!$B$6:$B$105,D1880)=0,"Not on Clients",IF(AND(F1880="",INT(B1880)&lt;TODAY()),"Needs a status","")))))</f>
        <v/>
      </c>
      <c r="I1880" s="1">
        <f>IF(ISNUMBER(B1880),INT(B1880),0)</f>
        <v/>
      </c>
      <c r="J1880">
        <f>IF(ISNUMBER(B1880),YEAR(B1880)*100+MONTH(B1880),"")</f>
        <v/>
      </c>
      <c r="K1880">
        <f>IF(AND(H1880="",OR(F1880="Attended",F1880="No-show",AND(F1880="Late cancel",Settings!$C$9="Yes"))),1,0)</f>
        <v/>
      </c>
      <c r="L1880">
        <f>IF(AND(H1880="",F1880="Attended"),1,0)</f>
        <v/>
      </c>
      <c r="M1880">
        <f>IF(AND(H1880="",OR(F1880="No-show",F1880="Late cancel")),1,0)</f>
        <v/>
      </c>
      <c r="N1880">
        <f>IF(AND(H1880="",F1880="",D1880&lt;&gt;"",I1880&gt;=TODAY()),ROUND((I1880+IF(ISNUMBER(C1880),MOD(C1880,1),0))*1440,0)*10000+ROW(),"")</f>
        <v/>
      </c>
    </row>
    <row r="1881">
      <c r="A1881" s="1" t="n"/>
      <c r="B1881" s="17" t="n"/>
      <c r="C1881" s="18" t="n"/>
      <c r="D1881" s="19" t="n"/>
      <c r="E1881" s="20" t="n"/>
      <c r="F1881" s="20" t="n"/>
      <c r="G1881" s="21" t="n"/>
      <c r="H1881" s="12">
        <f>IF(AND(B1881="",D1881="",F1881=""),"",IF(NOT(ISNUMBER(B1881)),"Needs a date",IF(D1881="","Needs a client",IF(COUNTIF(Clients!$B$6:$B$105,D1881)=0,"Not on Clients",IF(AND(F1881="",INT(B1881)&lt;TODAY()),"Needs a status","")))))</f>
        <v/>
      </c>
      <c r="I1881" s="1">
        <f>IF(ISNUMBER(B1881),INT(B1881),0)</f>
        <v/>
      </c>
      <c r="J1881">
        <f>IF(ISNUMBER(B1881),YEAR(B1881)*100+MONTH(B1881),"")</f>
        <v/>
      </c>
      <c r="K1881">
        <f>IF(AND(H1881="",OR(F1881="Attended",F1881="No-show",AND(F1881="Late cancel",Settings!$C$9="Yes"))),1,0)</f>
        <v/>
      </c>
      <c r="L1881">
        <f>IF(AND(H1881="",F1881="Attended"),1,0)</f>
        <v/>
      </c>
      <c r="M1881">
        <f>IF(AND(H1881="",OR(F1881="No-show",F1881="Late cancel")),1,0)</f>
        <v/>
      </c>
      <c r="N1881">
        <f>IF(AND(H1881="",F1881="",D1881&lt;&gt;"",I1881&gt;=TODAY()),ROUND((I1881+IF(ISNUMBER(C1881),MOD(C1881,1),0))*1440,0)*10000+ROW(),"")</f>
        <v/>
      </c>
    </row>
    <row r="1882">
      <c r="A1882" s="1" t="n"/>
      <c r="B1882" s="17" t="n"/>
      <c r="C1882" s="18" t="n"/>
      <c r="D1882" s="19" t="n"/>
      <c r="E1882" s="20" t="n"/>
      <c r="F1882" s="20" t="n"/>
      <c r="G1882" s="21" t="n"/>
      <c r="H1882" s="12">
        <f>IF(AND(B1882="",D1882="",F1882=""),"",IF(NOT(ISNUMBER(B1882)),"Needs a date",IF(D1882="","Needs a client",IF(COUNTIF(Clients!$B$6:$B$105,D1882)=0,"Not on Clients",IF(AND(F1882="",INT(B1882)&lt;TODAY()),"Needs a status","")))))</f>
        <v/>
      </c>
      <c r="I1882" s="1">
        <f>IF(ISNUMBER(B1882),INT(B1882),0)</f>
        <v/>
      </c>
      <c r="J1882">
        <f>IF(ISNUMBER(B1882),YEAR(B1882)*100+MONTH(B1882),"")</f>
        <v/>
      </c>
      <c r="K1882">
        <f>IF(AND(H1882="",OR(F1882="Attended",F1882="No-show",AND(F1882="Late cancel",Settings!$C$9="Yes"))),1,0)</f>
        <v/>
      </c>
      <c r="L1882">
        <f>IF(AND(H1882="",F1882="Attended"),1,0)</f>
        <v/>
      </c>
      <c r="M1882">
        <f>IF(AND(H1882="",OR(F1882="No-show",F1882="Late cancel")),1,0)</f>
        <v/>
      </c>
      <c r="N1882">
        <f>IF(AND(H1882="",F1882="",D1882&lt;&gt;"",I1882&gt;=TODAY()),ROUND((I1882+IF(ISNUMBER(C1882),MOD(C1882,1),0))*1440,0)*10000+ROW(),"")</f>
        <v/>
      </c>
    </row>
    <row r="1883">
      <c r="A1883" s="1" t="n"/>
      <c r="B1883" s="17" t="n"/>
      <c r="C1883" s="18" t="n"/>
      <c r="D1883" s="19" t="n"/>
      <c r="E1883" s="20" t="n"/>
      <c r="F1883" s="20" t="n"/>
      <c r="G1883" s="21" t="n"/>
      <c r="H1883" s="12">
        <f>IF(AND(B1883="",D1883="",F1883=""),"",IF(NOT(ISNUMBER(B1883)),"Needs a date",IF(D1883="","Needs a client",IF(COUNTIF(Clients!$B$6:$B$105,D1883)=0,"Not on Clients",IF(AND(F1883="",INT(B1883)&lt;TODAY()),"Needs a status","")))))</f>
        <v/>
      </c>
      <c r="I1883" s="1">
        <f>IF(ISNUMBER(B1883),INT(B1883),0)</f>
        <v/>
      </c>
      <c r="J1883">
        <f>IF(ISNUMBER(B1883),YEAR(B1883)*100+MONTH(B1883),"")</f>
        <v/>
      </c>
      <c r="K1883">
        <f>IF(AND(H1883="",OR(F1883="Attended",F1883="No-show",AND(F1883="Late cancel",Settings!$C$9="Yes"))),1,0)</f>
        <v/>
      </c>
      <c r="L1883">
        <f>IF(AND(H1883="",F1883="Attended"),1,0)</f>
        <v/>
      </c>
      <c r="M1883">
        <f>IF(AND(H1883="",OR(F1883="No-show",F1883="Late cancel")),1,0)</f>
        <v/>
      </c>
      <c r="N1883">
        <f>IF(AND(H1883="",F1883="",D1883&lt;&gt;"",I1883&gt;=TODAY()),ROUND((I1883+IF(ISNUMBER(C1883),MOD(C1883,1),0))*1440,0)*10000+ROW(),"")</f>
        <v/>
      </c>
    </row>
    <row r="1884">
      <c r="A1884" s="1" t="n"/>
      <c r="B1884" s="17" t="n"/>
      <c r="C1884" s="18" t="n"/>
      <c r="D1884" s="19" t="n"/>
      <c r="E1884" s="20" t="n"/>
      <c r="F1884" s="20" t="n"/>
      <c r="G1884" s="21" t="n"/>
      <c r="H1884" s="12">
        <f>IF(AND(B1884="",D1884="",F1884=""),"",IF(NOT(ISNUMBER(B1884)),"Needs a date",IF(D1884="","Needs a client",IF(COUNTIF(Clients!$B$6:$B$105,D1884)=0,"Not on Clients",IF(AND(F1884="",INT(B1884)&lt;TODAY()),"Needs a status","")))))</f>
        <v/>
      </c>
      <c r="I1884" s="1">
        <f>IF(ISNUMBER(B1884),INT(B1884),0)</f>
        <v/>
      </c>
      <c r="J1884">
        <f>IF(ISNUMBER(B1884),YEAR(B1884)*100+MONTH(B1884),"")</f>
        <v/>
      </c>
      <c r="K1884">
        <f>IF(AND(H1884="",OR(F1884="Attended",F1884="No-show",AND(F1884="Late cancel",Settings!$C$9="Yes"))),1,0)</f>
        <v/>
      </c>
      <c r="L1884">
        <f>IF(AND(H1884="",F1884="Attended"),1,0)</f>
        <v/>
      </c>
      <c r="M1884">
        <f>IF(AND(H1884="",OR(F1884="No-show",F1884="Late cancel")),1,0)</f>
        <v/>
      </c>
      <c r="N1884">
        <f>IF(AND(H1884="",F1884="",D1884&lt;&gt;"",I1884&gt;=TODAY()),ROUND((I1884+IF(ISNUMBER(C1884),MOD(C1884,1),0))*1440,0)*10000+ROW(),"")</f>
        <v/>
      </c>
    </row>
    <row r="1885">
      <c r="A1885" s="1" t="n"/>
      <c r="B1885" s="17" t="n"/>
      <c r="C1885" s="18" t="n"/>
      <c r="D1885" s="19" t="n"/>
      <c r="E1885" s="20" t="n"/>
      <c r="F1885" s="20" t="n"/>
      <c r="G1885" s="21" t="n"/>
      <c r="H1885" s="12">
        <f>IF(AND(B1885="",D1885="",F1885=""),"",IF(NOT(ISNUMBER(B1885)),"Needs a date",IF(D1885="","Needs a client",IF(COUNTIF(Clients!$B$6:$B$105,D1885)=0,"Not on Clients",IF(AND(F1885="",INT(B1885)&lt;TODAY()),"Needs a status","")))))</f>
        <v/>
      </c>
      <c r="I1885" s="1">
        <f>IF(ISNUMBER(B1885),INT(B1885),0)</f>
        <v/>
      </c>
      <c r="J1885">
        <f>IF(ISNUMBER(B1885),YEAR(B1885)*100+MONTH(B1885),"")</f>
        <v/>
      </c>
      <c r="K1885">
        <f>IF(AND(H1885="",OR(F1885="Attended",F1885="No-show",AND(F1885="Late cancel",Settings!$C$9="Yes"))),1,0)</f>
        <v/>
      </c>
      <c r="L1885">
        <f>IF(AND(H1885="",F1885="Attended"),1,0)</f>
        <v/>
      </c>
      <c r="M1885">
        <f>IF(AND(H1885="",OR(F1885="No-show",F1885="Late cancel")),1,0)</f>
        <v/>
      </c>
      <c r="N1885">
        <f>IF(AND(H1885="",F1885="",D1885&lt;&gt;"",I1885&gt;=TODAY()),ROUND((I1885+IF(ISNUMBER(C1885),MOD(C1885,1),0))*1440,0)*10000+ROW(),"")</f>
        <v/>
      </c>
    </row>
    <row r="1886">
      <c r="A1886" s="1" t="n"/>
      <c r="B1886" s="17" t="n"/>
      <c r="C1886" s="18" t="n"/>
      <c r="D1886" s="19" t="n"/>
      <c r="E1886" s="20" t="n"/>
      <c r="F1886" s="20" t="n"/>
      <c r="G1886" s="21" t="n"/>
      <c r="H1886" s="12">
        <f>IF(AND(B1886="",D1886="",F1886=""),"",IF(NOT(ISNUMBER(B1886)),"Needs a date",IF(D1886="","Needs a client",IF(COUNTIF(Clients!$B$6:$B$105,D1886)=0,"Not on Clients",IF(AND(F1886="",INT(B1886)&lt;TODAY()),"Needs a status","")))))</f>
        <v/>
      </c>
      <c r="I1886" s="1">
        <f>IF(ISNUMBER(B1886),INT(B1886),0)</f>
        <v/>
      </c>
      <c r="J1886">
        <f>IF(ISNUMBER(B1886),YEAR(B1886)*100+MONTH(B1886),"")</f>
        <v/>
      </c>
      <c r="K1886">
        <f>IF(AND(H1886="",OR(F1886="Attended",F1886="No-show",AND(F1886="Late cancel",Settings!$C$9="Yes"))),1,0)</f>
        <v/>
      </c>
      <c r="L1886">
        <f>IF(AND(H1886="",F1886="Attended"),1,0)</f>
        <v/>
      </c>
      <c r="M1886">
        <f>IF(AND(H1886="",OR(F1886="No-show",F1886="Late cancel")),1,0)</f>
        <v/>
      </c>
      <c r="N1886">
        <f>IF(AND(H1886="",F1886="",D1886&lt;&gt;"",I1886&gt;=TODAY()),ROUND((I1886+IF(ISNUMBER(C1886),MOD(C1886,1),0))*1440,0)*10000+ROW(),"")</f>
        <v/>
      </c>
    </row>
    <row r="1887">
      <c r="A1887" s="1" t="n"/>
      <c r="B1887" s="17" t="n"/>
      <c r="C1887" s="18" t="n"/>
      <c r="D1887" s="19" t="n"/>
      <c r="E1887" s="20" t="n"/>
      <c r="F1887" s="20" t="n"/>
      <c r="G1887" s="21" t="n"/>
      <c r="H1887" s="12">
        <f>IF(AND(B1887="",D1887="",F1887=""),"",IF(NOT(ISNUMBER(B1887)),"Needs a date",IF(D1887="","Needs a client",IF(COUNTIF(Clients!$B$6:$B$105,D1887)=0,"Not on Clients",IF(AND(F1887="",INT(B1887)&lt;TODAY()),"Needs a status","")))))</f>
        <v/>
      </c>
      <c r="I1887" s="1">
        <f>IF(ISNUMBER(B1887),INT(B1887),0)</f>
        <v/>
      </c>
      <c r="J1887">
        <f>IF(ISNUMBER(B1887),YEAR(B1887)*100+MONTH(B1887),"")</f>
        <v/>
      </c>
      <c r="K1887">
        <f>IF(AND(H1887="",OR(F1887="Attended",F1887="No-show",AND(F1887="Late cancel",Settings!$C$9="Yes"))),1,0)</f>
        <v/>
      </c>
      <c r="L1887">
        <f>IF(AND(H1887="",F1887="Attended"),1,0)</f>
        <v/>
      </c>
      <c r="M1887">
        <f>IF(AND(H1887="",OR(F1887="No-show",F1887="Late cancel")),1,0)</f>
        <v/>
      </c>
      <c r="N1887">
        <f>IF(AND(H1887="",F1887="",D1887&lt;&gt;"",I1887&gt;=TODAY()),ROUND((I1887+IF(ISNUMBER(C1887),MOD(C1887,1),0))*1440,0)*10000+ROW(),"")</f>
        <v/>
      </c>
    </row>
    <row r="1888">
      <c r="A1888" s="1" t="n"/>
      <c r="B1888" s="17" t="n"/>
      <c r="C1888" s="18" t="n"/>
      <c r="D1888" s="19" t="n"/>
      <c r="E1888" s="20" t="n"/>
      <c r="F1888" s="20" t="n"/>
      <c r="G1888" s="21" t="n"/>
      <c r="H1888" s="12">
        <f>IF(AND(B1888="",D1888="",F1888=""),"",IF(NOT(ISNUMBER(B1888)),"Needs a date",IF(D1888="","Needs a client",IF(COUNTIF(Clients!$B$6:$B$105,D1888)=0,"Not on Clients",IF(AND(F1888="",INT(B1888)&lt;TODAY()),"Needs a status","")))))</f>
        <v/>
      </c>
      <c r="I1888" s="1">
        <f>IF(ISNUMBER(B1888),INT(B1888),0)</f>
        <v/>
      </c>
      <c r="J1888">
        <f>IF(ISNUMBER(B1888),YEAR(B1888)*100+MONTH(B1888),"")</f>
        <v/>
      </c>
      <c r="K1888">
        <f>IF(AND(H1888="",OR(F1888="Attended",F1888="No-show",AND(F1888="Late cancel",Settings!$C$9="Yes"))),1,0)</f>
        <v/>
      </c>
      <c r="L1888">
        <f>IF(AND(H1888="",F1888="Attended"),1,0)</f>
        <v/>
      </c>
      <c r="M1888">
        <f>IF(AND(H1888="",OR(F1888="No-show",F1888="Late cancel")),1,0)</f>
        <v/>
      </c>
      <c r="N1888">
        <f>IF(AND(H1888="",F1888="",D1888&lt;&gt;"",I1888&gt;=TODAY()),ROUND((I1888+IF(ISNUMBER(C1888),MOD(C1888,1),0))*1440,0)*10000+ROW(),"")</f>
        <v/>
      </c>
    </row>
    <row r="1889">
      <c r="A1889" s="1" t="n"/>
      <c r="B1889" s="17" t="n"/>
      <c r="C1889" s="18" t="n"/>
      <c r="D1889" s="19" t="n"/>
      <c r="E1889" s="20" t="n"/>
      <c r="F1889" s="20" t="n"/>
      <c r="G1889" s="21" t="n"/>
      <c r="H1889" s="12">
        <f>IF(AND(B1889="",D1889="",F1889=""),"",IF(NOT(ISNUMBER(B1889)),"Needs a date",IF(D1889="","Needs a client",IF(COUNTIF(Clients!$B$6:$B$105,D1889)=0,"Not on Clients",IF(AND(F1889="",INT(B1889)&lt;TODAY()),"Needs a status","")))))</f>
        <v/>
      </c>
      <c r="I1889" s="1">
        <f>IF(ISNUMBER(B1889),INT(B1889),0)</f>
        <v/>
      </c>
      <c r="J1889">
        <f>IF(ISNUMBER(B1889),YEAR(B1889)*100+MONTH(B1889),"")</f>
        <v/>
      </c>
      <c r="K1889">
        <f>IF(AND(H1889="",OR(F1889="Attended",F1889="No-show",AND(F1889="Late cancel",Settings!$C$9="Yes"))),1,0)</f>
        <v/>
      </c>
      <c r="L1889">
        <f>IF(AND(H1889="",F1889="Attended"),1,0)</f>
        <v/>
      </c>
      <c r="M1889">
        <f>IF(AND(H1889="",OR(F1889="No-show",F1889="Late cancel")),1,0)</f>
        <v/>
      </c>
      <c r="N1889">
        <f>IF(AND(H1889="",F1889="",D1889&lt;&gt;"",I1889&gt;=TODAY()),ROUND((I1889+IF(ISNUMBER(C1889),MOD(C1889,1),0))*1440,0)*10000+ROW(),"")</f>
        <v/>
      </c>
    </row>
    <row r="1890">
      <c r="A1890" s="1" t="n"/>
      <c r="B1890" s="17" t="n"/>
      <c r="C1890" s="18" t="n"/>
      <c r="D1890" s="19" t="n"/>
      <c r="E1890" s="20" t="n"/>
      <c r="F1890" s="20" t="n"/>
      <c r="G1890" s="21" t="n"/>
      <c r="H1890" s="12">
        <f>IF(AND(B1890="",D1890="",F1890=""),"",IF(NOT(ISNUMBER(B1890)),"Needs a date",IF(D1890="","Needs a client",IF(COUNTIF(Clients!$B$6:$B$105,D1890)=0,"Not on Clients",IF(AND(F1890="",INT(B1890)&lt;TODAY()),"Needs a status","")))))</f>
        <v/>
      </c>
      <c r="I1890" s="1">
        <f>IF(ISNUMBER(B1890),INT(B1890),0)</f>
        <v/>
      </c>
      <c r="J1890">
        <f>IF(ISNUMBER(B1890),YEAR(B1890)*100+MONTH(B1890),"")</f>
        <v/>
      </c>
      <c r="K1890">
        <f>IF(AND(H1890="",OR(F1890="Attended",F1890="No-show",AND(F1890="Late cancel",Settings!$C$9="Yes"))),1,0)</f>
        <v/>
      </c>
      <c r="L1890">
        <f>IF(AND(H1890="",F1890="Attended"),1,0)</f>
        <v/>
      </c>
      <c r="M1890">
        <f>IF(AND(H1890="",OR(F1890="No-show",F1890="Late cancel")),1,0)</f>
        <v/>
      </c>
      <c r="N1890">
        <f>IF(AND(H1890="",F1890="",D1890&lt;&gt;"",I1890&gt;=TODAY()),ROUND((I1890+IF(ISNUMBER(C1890),MOD(C1890,1),0))*1440,0)*10000+ROW(),"")</f>
        <v/>
      </c>
    </row>
    <row r="1891">
      <c r="A1891" s="1" t="n"/>
      <c r="B1891" s="17" t="n"/>
      <c r="C1891" s="18" t="n"/>
      <c r="D1891" s="19" t="n"/>
      <c r="E1891" s="20" t="n"/>
      <c r="F1891" s="20" t="n"/>
      <c r="G1891" s="21" t="n"/>
      <c r="H1891" s="12">
        <f>IF(AND(B1891="",D1891="",F1891=""),"",IF(NOT(ISNUMBER(B1891)),"Needs a date",IF(D1891="","Needs a client",IF(COUNTIF(Clients!$B$6:$B$105,D1891)=0,"Not on Clients",IF(AND(F1891="",INT(B1891)&lt;TODAY()),"Needs a status","")))))</f>
        <v/>
      </c>
      <c r="I1891" s="1">
        <f>IF(ISNUMBER(B1891),INT(B1891),0)</f>
        <v/>
      </c>
      <c r="J1891">
        <f>IF(ISNUMBER(B1891),YEAR(B1891)*100+MONTH(B1891),"")</f>
        <v/>
      </c>
      <c r="K1891">
        <f>IF(AND(H1891="",OR(F1891="Attended",F1891="No-show",AND(F1891="Late cancel",Settings!$C$9="Yes"))),1,0)</f>
        <v/>
      </c>
      <c r="L1891">
        <f>IF(AND(H1891="",F1891="Attended"),1,0)</f>
        <v/>
      </c>
      <c r="M1891">
        <f>IF(AND(H1891="",OR(F1891="No-show",F1891="Late cancel")),1,0)</f>
        <v/>
      </c>
      <c r="N1891">
        <f>IF(AND(H1891="",F1891="",D1891&lt;&gt;"",I1891&gt;=TODAY()),ROUND((I1891+IF(ISNUMBER(C1891),MOD(C1891,1),0))*1440,0)*10000+ROW(),"")</f>
        <v/>
      </c>
    </row>
    <row r="1892">
      <c r="A1892" s="1" t="n"/>
      <c r="B1892" s="17" t="n"/>
      <c r="C1892" s="18" t="n"/>
      <c r="D1892" s="19" t="n"/>
      <c r="E1892" s="20" t="n"/>
      <c r="F1892" s="20" t="n"/>
      <c r="G1892" s="21" t="n"/>
      <c r="H1892" s="12">
        <f>IF(AND(B1892="",D1892="",F1892=""),"",IF(NOT(ISNUMBER(B1892)),"Needs a date",IF(D1892="","Needs a client",IF(COUNTIF(Clients!$B$6:$B$105,D1892)=0,"Not on Clients",IF(AND(F1892="",INT(B1892)&lt;TODAY()),"Needs a status","")))))</f>
        <v/>
      </c>
      <c r="I1892" s="1">
        <f>IF(ISNUMBER(B1892),INT(B1892),0)</f>
        <v/>
      </c>
      <c r="J1892">
        <f>IF(ISNUMBER(B1892),YEAR(B1892)*100+MONTH(B1892),"")</f>
        <v/>
      </c>
      <c r="K1892">
        <f>IF(AND(H1892="",OR(F1892="Attended",F1892="No-show",AND(F1892="Late cancel",Settings!$C$9="Yes"))),1,0)</f>
        <v/>
      </c>
      <c r="L1892">
        <f>IF(AND(H1892="",F1892="Attended"),1,0)</f>
        <v/>
      </c>
      <c r="M1892">
        <f>IF(AND(H1892="",OR(F1892="No-show",F1892="Late cancel")),1,0)</f>
        <v/>
      </c>
      <c r="N1892">
        <f>IF(AND(H1892="",F1892="",D1892&lt;&gt;"",I1892&gt;=TODAY()),ROUND((I1892+IF(ISNUMBER(C1892),MOD(C1892,1),0))*1440,0)*10000+ROW(),"")</f>
        <v/>
      </c>
    </row>
    <row r="1893">
      <c r="A1893" s="1" t="n"/>
      <c r="B1893" s="17" t="n"/>
      <c r="C1893" s="18" t="n"/>
      <c r="D1893" s="19" t="n"/>
      <c r="E1893" s="20" t="n"/>
      <c r="F1893" s="20" t="n"/>
      <c r="G1893" s="21" t="n"/>
      <c r="H1893" s="12">
        <f>IF(AND(B1893="",D1893="",F1893=""),"",IF(NOT(ISNUMBER(B1893)),"Needs a date",IF(D1893="","Needs a client",IF(COUNTIF(Clients!$B$6:$B$105,D1893)=0,"Not on Clients",IF(AND(F1893="",INT(B1893)&lt;TODAY()),"Needs a status","")))))</f>
        <v/>
      </c>
      <c r="I1893" s="1">
        <f>IF(ISNUMBER(B1893),INT(B1893),0)</f>
        <v/>
      </c>
      <c r="J1893">
        <f>IF(ISNUMBER(B1893),YEAR(B1893)*100+MONTH(B1893),"")</f>
        <v/>
      </c>
      <c r="K1893">
        <f>IF(AND(H1893="",OR(F1893="Attended",F1893="No-show",AND(F1893="Late cancel",Settings!$C$9="Yes"))),1,0)</f>
        <v/>
      </c>
      <c r="L1893">
        <f>IF(AND(H1893="",F1893="Attended"),1,0)</f>
        <v/>
      </c>
      <c r="M1893">
        <f>IF(AND(H1893="",OR(F1893="No-show",F1893="Late cancel")),1,0)</f>
        <v/>
      </c>
      <c r="N1893">
        <f>IF(AND(H1893="",F1893="",D1893&lt;&gt;"",I1893&gt;=TODAY()),ROUND((I1893+IF(ISNUMBER(C1893),MOD(C1893,1),0))*1440,0)*10000+ROW(),"")</f>
        <v/>
      </c>
    </row>
    <row r="1894">
      <c r="A1894" s="1" t="n"/>
      <c r="B1894" s="17" t="n"/>
      <c r="C1894" s="18" t="n"/>
      <c r="D1894" s="19" t="n"/>
      <c r="E1894" s="20" t="n"/>
      <c r="F1894" s="20" t="n"/>
      <c r="G1894" s="21" t="n"/>
      <c r="H1894" s="12">
        <f>IF(AND(B1894="",D1894="",F1894=""),"",IF(NOT(ISNUMBER(B1894)),"Needs a date",IF(D1894="","Needs a client",IF(COUNTIF(Clients!$B$6:$B$105,D1894)=0,"Not on Clients",IF(AND(F1894="",INT(B1894)&lt;TODAY()),"Needs a status","")))))</f>
        <v/>
      </c>
      <c r="I1894" s="1">
        <f>IF(ISNUMBER(B1894),INT(B1894),0)</f>
        <v/>
      </c>
      <c r="J1894">
        <f>IF(ISNUMBER(B1894),YEAR(B1894)*100+MONTH(B1894),"")</f>
        <v/>
      </c>
      <c r="K1894">
        <f>IF(AND(H1894="",OR(F1894="Attended",F1894="No-show",AND(F1894="Late cancel",Settings!$C$9="Yes"))),1,0)</f>
        <v/>
      </c>
      <c r="L1894">
        <f>IF(AND(H1894="",F1894="Attended"),1,0)</f>
        <v/>
      </c>
      <c r="M1894">
        <f>IF(AND(H1894="",OR(F1894="No-show",F1894="Late cancel")),1,0)</f>
        <v/>
      </c>
      <c r="N1894">
        <f>IF(AND(H1894="",F1894="",D1894&lt;&gt;"",I1894&gt;=TODAY()),ROUND((I1894+IF(ISNUMBER(C1894),MOD(C1894,1),0))*1440,0)*10000+ROW(),"")</f>
        <v/>
      </c>
    </row>
    <row r="1895">
      <c r="A1895" s="1" t="n"/>
      <c r="B1895" s="17" t="n"/>
      <c r="C1895" s="18" t="n"/>
      <c r="D1895" s="19" t="n"/>
      <c r="E1895" s="20" t="n"/>
      <c r="F1895" s="20" t="n"/>
      <c r="G1895" s="21" t="n"/>
      <c r="H1895" s="12">
        <f>IF(AND(B1895="",D1895="",F1895=""),"",IF(NOT(ISNUMBER(B1895)),"Needs a date",IF(D1895="","Needs a client",IF(COUNTIF(Clients!$B$6:$B$105,D1895)=0,"Not on Clients",IF(AND(F1895="",INT(B1895)&lt;TODAY()),"Needs a status","")))))</f>
        <v/>
      </c>
      <c r="I1895" s="1">
        <f>IF(ISNUMBER(B1895),INT(B1895),0)</f>
        <v/>
      </c>
      <c r="J1895">
        <f>IF(ISNUMBER(B1895),YEAR(B1895)*100+MONTH(B1895),"")</f>
        <v/>
      </c>
      <c r="K1895">
        <f>IF(AND(H1895="",OR(F1895="Attended",F1895="No-show",AND(F1895="Late cancel",Settings!$C$9="Yes"))),1,0)</f>
        <v/>
      </c>
      <c r="L1895">
        <f>IF(AND(H1895="",F1895="Attended"),1,0)</f>
        <v/>
      </c>
      <c r="M1895">
        <f>IF(AND(H1895="",OR(F1895="No-show",F1895="Late cancel")),1,0)</f>
        <v/>
      </c>
      <c r="N1895">
        <f>IF(AND(H1895="",F1895="",D1895&lt;&gt;"",I1895&gt;=TODAY()),ROUND((I1895+IF(ISNUMBER(C1895),MOD(C1895,1),0))*1440,0)*10000+ROW(),"")</f>
        <v/>
      </c>
    </row>
    <row r="1896">
      <c r="A1896" s="1" t="n"/>
      <c r="B1896" s="17" t="n"/>
      <c r="C1896" s="18" t="n"/>
      <c r="D1896" s="19" t="n"/>
      <c r="E1896" s="20" t="n"/>
      <c r="F1896" s="20" t="n"/>
      <c r="G1896" s="21" t="n"/>
      <c r="H1896" s="12">
        <f>IF(AND(B1896="",D1896="",F1896=""),"",IF(NOT(ISNUMBER(B1896)),"Needs a date",IF(D1896="","Needs a client",IF(COUNTIF(Clients!$B$6:$B$105,D1896)=0,"Not on Clients",IF(AND(F1896="",INT(B1896)&lt;TODAY()),"Needs a status","")))))</f>
        <v/>
      </c>
      <c r="I1896" s="1">
        <f>IF(ISNUMBER(B1896),INT(B1896),0)</f>
        <v/>
      </c>
      <c r="J1896">
        <f>IF(ISNUMBER(B1896),YEAR(B1896)*100+MONTH(B1896),"")</f>
        <v/>
      </c>
      <c r="K1896">
        <f>IF(AND(H1896="",OR(F1896="Attended",F1896="No-show",AND(F1896="Late cancel",Settings!$C$9="Yes"))),1,0)</f>
        <v/>
      </c>
      <c r="L1896">
        <f>IF(AND(H1896="",F1896="Attended"),1,0)</f>
        <v/>
      </c>
      <c r="M1896">
        <f>IF(AND(H1896="",OR(F1896="No-show",F1896="Late cancel")),1,0)</f>
        <v/>
      </c>
      <c r="N1896">
        <f>IF(AND(H1896="",F1896="",D1896&lt;&gt;"",I1896&gt;=TODAY()),ROUND((I1896+IF(ISNUMBER(C1896),MOD(C1896,1),0))*1440,0)*10000+ROW(),"")</f>
        <v/>
      </c>
    </row>
    <row r="1897">
      <c r="A1897" s="1" t="n"/>
      <c r="B1897" s="17" t="n"/>
      <c r="C1897" s="18" t="n"/>
      <c r="D1897" s="19" t="n"/>
      <c r="E1897" s="20" t="n"/>
      <c r="F1897" s="20" t="n"/>
      <c r="G1897" s="21" t="n"/>
      <c r="H1897" s="12">
        <f>IF(AND(B1897="",D1897="",F1897=""),"",IF(NOT(ISNUMBER(B1897)),"Needs a date",IF(D1897="","Needs a client",IF(COUNTIF(Clients!$B$6:$B$105,D1897)=0,"Not on Clients",IF(AND(F1897="",INT(B1897)&lt;TODAY()),"Needs a status","")))))</f>
        <v/>
      </c>
      <c r="I1897" s="1">
        <f>IF(ISNUMBER(B1897),INT(B1897),0)</f>
        <v/>
      </c>
      <c r="J1897">
        <f>IF(ISNUMBER(B1897),YEAR(B1897)*100+MONTH(B1897),"")</f>
        <v/>
      </c>
      <c r="K1897">
        <f>IF(AND(H1897="",OR(F1897="Attended",F1897="No-show",AND(F1897="Late cancel",Settings!$C$9="Yes"))),1,0)</f>
        <v/>
      </c>
      <c r="L1897">
        <f>IF(AND(H1897="",F1897="Attended"),1,0)</f>
        <v/>
      </c>
      <c r="M1897">
        <f>IF(AND(H1897="",OR(F1897="No-show",F1897="Late cancel")),1,0)</f>
        <v/>
      </c>
      <c r="N1897">
        <f>IF(AND(H1897="",F1897="",D1897&lt;&gt;"",I1897&gt;=TODAY()),ROUND((I1897+IF(ISNUMBER(C1897),MOD(C1897,1),0))*1440,0)*10000+ROW(),"")</f>
        <v/>
      </c>
    </row>
    <row r="1898">
      <c r="A1898" s="1" t="n"/>
      <c r="B1898" s="17" t="n"/>
      <c r="C1898" s="18" t="n"/>
      <c r="D1898" s="19" t="n"/>
      <c r="E1898" s="20" t="n"/>
      <c r="F1898" s="20" t="n"/>
      <c r="G1898" s="21" t="n"/>
      <c r="H1898" s="12">
        <f>IF(AND(B1898="",D1898="",F1898=""),"",IF(NOT(ISNUMBER(B1898)),"Needs a date",IF(D1898="","Needs a client",IF(COUNTIF(Clients!$B$6:$B$105,D1898)=0,"Not on Clients",IF(AND(F1898="",INT(B1898)&lt;TODAY()),"Needs a status","")))))</f>
        <v/>
      </c>
      <c r="I1898" s="1">
        <f>IF(ISNUMBER(B1898),INT(B1898),0)</f>
        <v/>
      </c>
      <c r="J1898">
        <f>IF(ISNUMBER(B1898),YEAR(B1898)*100+MONTH(B1898),"")</f>
        <v/>
      </c>
      <c r="K1898">
        <f>IF(AND(H1898="",OR(F1898="Attended",F1898="No-show",AND(F1898="Late cancel",Settings!$C$9="Yes"))),1,0)</f>
        <v/>
      </c>
      <c r="L1898">
        <f>IF(AND(H1898="",F1898="Attended"),1,0)</f>
        <v/>
      </c>
      <c r="M1898">
        <f>IF(AND(H1898="",OR(F1898="No-show",F1898="Late cancel")),1,0)</f>
        <v/>
      </c>
      <c r="N1898">
        <f>IF(AND(H1898="",F1898="",D1898&lt;&gt;"",I1898&gt;=TODAY()),ROUND((I1898+IF(ISNUMBER(C1898),MOD(C1898,1),0))*1440,0)*10000+ROW(),"")</f>
        <v/>
      </c>
    </row>
    <row r="1899">
      <c r="A1899" s="1" t="n"/>
      <c r="B1899" s="17" t="n"/>
      <c r="C1899" s="18" t="n"/>
      <c r="D1899" s="19" t="n"/>
      <c r="E1899" s="20" t="n"/>
      <c r="F1899" s="20" t="n"/>
      <c r="G1899" s="21" t="n"/>
      <c r="H1899" s="12">
        <f>IF(AND(B1899="",D1899="",F1899=""),"",IF(NOT(ISNUMBER(B1899)),"Needs a date",IF(D1899="","Needs a client",IF(COUNTIF(Clients!$B$6:$B$105,D1899)=0,"Not on Clients",IF(AND(F1899="",INT(B1899)&lt;TODAY()),"Needs a status","")))))</f>
        <v/>
      </c>
      <c r="I1899" s="1">
        <f>IF(ISNUMBER(B1899),INT(B1899),0)</f>
        <v/>
      </c>
      <c r="J1899">
        <f>IF(ISNUMBER(B1899),YEAR(B1899)*100+MONTH(B1899),"")</f>
        <v/>
      </c>
      <c r="K1899">
        <f>IF(AND(H1899="",OR(F1899="Attended",F1899="No-show",AND(F1899="Late cancel",Settings!$C$9="Yes"))),1,0)</f>
        <v/>
      </c>
      <c r="L1899">
        <f>IF(AND(H1899="",F1899="Attended"),1,0)</f>
        <v/>
      </c>
      <c r="M1899">
        <f>IF(AND(H1899="",OR(F1899="No-show",F1899="Late cancel")),1,0)</f>
        <v/>
      </c>
      <c r="N1899">
        <f>IF(AND(H1899="",F1899="",D1899&lt;&gt;"",I1899&gt;=TODAY()),ROUND((I1899+IF(ISNUMBER(C1899),MOD(C1899,1),0))*1440,0)*10000+ROW(),"")</f>
        <v/>
      </c>
    </row>
    <row r="1900">
      <c r="A1900" s="1" t="n"/>
      <c r="B1900" s="17" t="n"/>
      <c r="C1900" s="18" t="n"/>
      <c r="D1900" s="19" t="n"/>
      <c r="E1900" s="20" t="n"/>
      <c r="F1900" s="20" t="n"/>
      <c r="G1900" s="21" t="n"/>
      <c r="H1900" s="12">
        <f>IF(AND(B1900="",D1900="",F1900=""),"",IF(NOT(ISNUMBER(B1900)),"Needs a date",IF(D1900="","Needs a client",IF(COUNTIF(Clients!$B$6:$B$105,D1900)=0,"Not on Clients",IF(AND(F1900="",INT(B1900)&lt;TODAY()),"Needs a status","")))))</f>
        <v/>
      </c>
      <c r="I1900" s="1">
        <f>IF(ISNUMBER(B1900),INT(B1900),0)</f>
        <v/>
      </c>
      <c r="J1900">
        <f>IF(ISNUMBER(B1900),YEAR(B1900)*100+MONTH(B1900),"")</f>
        <v/>
      </c>
      <c r="K1900">
        <f>IF(AND(H1900="",OR(F1900="Attended",F1900="No-show",AND(F1900="Late cancel",Settings!$C$9="Yes"))),1,0)</f>
        <v/>
      </c>
      <c r="L1900">
        <f>IF(AND(H1900="",F1900="Attended"),1,0)</f>
        <v/>
      </c>
      <c r="M1900">
        <f>IF(AND(H1900="",OR(F1900="No-show",F1900="Late cancel")),1,0)</f>
        <v/>
      </c>
      <c r="N1900">
        <f>IF(AND(H1900="",F1900="",D1900&lt;&gt;"",I1900&gt;=TODAY()),ROUND((I1900+IF(ISNUMBER(C1900),MOD(C1900,1),0))*1440,0)*10000+ROW(),"")</f>
        <v/>
      </c>
    </row>
    <row r="1901">
      <c r="A1901" s="1" t="n"/>
      <c r="B1901" s="17" t="n"/>
      <c r="C1901" s="18" t="n"/>
      <c r="D1901" s="19" t="n"/>
      <c r="E1901" s="20" t="n"/>
      <c r="F1901" s="20" t="n"/>
      <c r="G1901" s="21" t="n"/>
      <c r="H1901" s="12">
        <f>IF(AND(B1901="",D1901="",F1901=""),"",IF(NOT(ISNUMBER(B1901)),"Needs a date",IF(D1901="","Needs a client",IF(COUNTIF(Clients!$B$6:$B$105,D1901)=0,"Not on Clients",IF(AND(F1901="",INT(B1901)&lt;TODAY()),"Needs a status","")))))</f>
        <v/>
      </c>
      <c r="I1901" s="1">
        <f>IF(ISNUMBER(B1901),INT(B1901),0)</f>
        <v/>
      </c>
      <c r="J1901">
        <f>IF(ISNUMBER(B1901),YEAR(B1901)*100+MONTH(B1901),"")</f>
        <v/>
      </c>
      <c r="K1901">
        <f>IF(AND(H1901="",OR(F1901="Attended",F1901="No-show",AND(F1901="Late cancel",Settings!$C$9="Yes"))),1,0)</f>
        <v/>
      </c>
      <c r="L1901">
        <f>IF(AND(H1901="",F1901="Attended"),1,0)</f>
        <v/>
      </c>
      <c r="M1901">
        <f>IF(AND(H1901="",OR(F1901="No-show",F1901="Late cancel")),1,0)</f>
        <v/>
      </c>
      <c r="N1901">
        <f>IF(AND(H1901="",F1901="",D1901&lt;&gt;"",I1901&gt;=TODAY()),ROUND((I1901+IF(ISNUMBER(C1901),MOD(C1901,1),0))*1440,0)*10000+ROW(),"")</f>
        <v/>
      </c>
    </row>
    <row r="1902">
      <c r="A1902" s="1" t="n"/>
      <c r="B1902" s="17" t="n"/>
      <c r="C1902" s="18" t="n"/>
      <c r="D1902" s="19" t="n"/>
      <c r="E1902" s="20" t="n"/>
      <c r="F1902" s="20" t="n"/>
      <c r="G1902" s="21" t="n"/>
      <c r="H1902" s="12">
        <f>IF(AND(B1902="",D1902="",F1902=""),"",IF(NOT(ISNUMBER(B1902)),"Needs a date",IF(D1902="","Needs a client",IF(COUNTIF(Clients!$B$6:$B$105,D1902)=0,"Not on Clients",IF(AND(F1902="",INT(B1902)&lt;TODAY()),"Needs a status","")))))</f>
        <v/>
      </c>
      <c r="I1902" s="1">
        <f>IF(ISNUMBER(B1902),INT(B1902),0)</f>
        <v/>
      </c>
      <c r="J1902">
        <f>IF(ISNUMBER(B1902),YEAR(B1902)*100+MONTH(B1902),"")</f>
        <v/>
      </c>
      <c r="K1902">
        <f>IF(AND(H1902="",OR(F1902="Attended",F1902="No-show",AND(F1902="Late cancel",Settings!$C$9="Yes"))),1,0)</f>
        <v/>
      </c>
      <c r="L1902">
        <f>IF(AND(H1902="",F1902="Attended"),1,0)</f>
        <v/>
      </c>
      <c r="M1902">
        <f>IF(AND(H1902="",OR(F1902="No-show",F1902="Late cancel")),1,0)</f>
        <v/>
      </c>
      <c r="N1902">
        <f>IF(AND(H1902="",F1902="",D1902&lt;&gt;"",I1902&gt;=TODAY()),ROUND((I1902+IF(ISNUMBER(C1902),MOD(C1902,1),0))*1440,0)*10000+ROW(),"")</f>
        <v/>
      </c>
    </row>
    <row r="1903">
      <c r="A1903" s="1" t="n"/>
      <c r="B1903" s="17" t="n"/>
      <c r="C1903" s="18" t="n"/>
      <c r="D1903" s="19" t="n"/>
      <c r="E1903" s="20" t="n"/>
      <c r="F1903" s="20" t="n"/>
      <c r="G1903" s="21" t="n"/>
      <c r="H1903" s="12">
        <f>IF(AND(B1903="",D1903="",F1903=""),"",IF(NOT(ISNUMBER(B1903)),"Needs a date",IF(D1903="","Needs a client",IF(COUNTIF(Clients!$B$6:$B$105,D1903)=0,"Not on Clients",IF(AND(F1903="",INT(B1903)&lt;TODAY()),"Needs a status","")))))</f>
        <v/>
      </c>
      <c r="I1903" s="1">
        <f>IF(ISNUMBER(B1903),INT(B1903),0)</f>
        <v/>
      </c>
      <c r="J1903">
        <f>IF(ISNUMBER(B1903),YEAR(B1903)*100+MONTH(B1903),"")</f>
        <v/>
      </c>
      <c r="K1903">
        <f>IF(AND(H1903="",OR(F1903="Attended",F1903="No-show",AND(F1903="Late cancel",Settings!$C$9="Yes"))),1,0)</f>
        <v/>
      </c>
      <c r="L1903">
        <f>IF(AND(H1903="",F1903="Attended"),1,0)</f>
        <v/>
      </c>
      <c r="M1903">
        <f>IF(AND(H1903="",OR(F1903="No-show",F1903="Late cancel")),1,0)</f>
        <v/>
      </c>
      <c r="N1903">
        <f>IF(AND(H1903="",F1903="",D1903&lt;&gt;"",I1903&gt;=TODAY()),ROUND((I1903+IF(ISNUMBER(C1903),MOD(C1903,1),0))*1440,0)*10000+ROW(),"")</f>
        <v/>
      </c>
    </row>
    <row r="1904">
      <c r="A1904" s="1" t="n"/>
      <c r="B1904" s="17" t="n"/>
      <c r="C1904" s="18" t="n"/>
      <c r="D1904" s="19" t="n"/>
      <c r="E1904" s="20" t="n"/>
      <c r="F1904" s="20" t="n"/>
      <c r="G1904" s="21" t="n"/>
      <c r="H1904" s="12">
        <f>IF(AND(B1904="",D1904="",F1904=""),"",IF(NOT(ISNUMBER(B1904)),"Needs a date",IF(D1904="","Needs a client",IF(COUNTIF(Clients!$B$6:$B$105,D1904)=0,"Not on Clients",IF(AND(F1904="",INT(B1904)&lt;TODAY()),"Needs a status","")))))</f>
        <v/>
      </c>
      <c r="I1904" s="1">
        <f>IF(ISNUMBER(B1904),INT(B1904),0)</f>
        <v/>
      </c>
      <c r="J1904">
        <f>IF(ISNUMBER(B1904),YEAR(B1904)*100+MONTH(B1904),"")</f>
        <v/>
      </c>
      <c r="K1904">
        <f>IF(AND(H1904="",OR(F1904="Attended",F1904="No-show",AND(F1904="Late cancel",Settings!$C$9="Yes"))),1,0)</f>
        <v/>
      </c>
      <c r="L1904">
        <f>IF(AND(H1904="",F1904="Attended"),1,0)</f>
        <v/>
      </c>
      <c r="M1904">
        <f>IF(AND(H1904="",OR(F1904="No-show",F1904="Late cancel")),1,0)</f>
        <v/>
      </c>
      <c r="N1904">
        <f>IF(AND(H1904="",F1904="",D1904&lt;&gt;"",I1904&gt;=TODAY()),ROUND((I1904+IF(ISNUMBER(C1904),MOD(C1904,1),0))*1440,0)*10000+ROW(),"")</f>
        <v/>
      </c>
    </row>
    <row r="1905">
      <c r="A1905" s="1" t="n"/>
      <c r="B1905" s="17" t="n"/>
      <c r="C1905" s="18" t="n"/>
      <c r="D1905" s="19" t="n"/>
      <c r="E1905" s="20" t="n"/>
      <c r="F1905" s="20" t="n"/>
      <c r="G1905" s="21" t="n"/>
      <c r="H1905" s="12">
        <f>IF(AND(B1905="",D1905="",F1905=""),"",IF(NOT(ISNUMBER(B1905)),"Needs a date",IF(D1905="","Needs a client",IF(COUNTIF(Clients!$B$6:$B$105,D1905)=0,"Not on Clients",IF(AND(F1905="",INT(B1905)&lt;TODAY()),"Needs a status","")))))</f>
        <v/>
      </c>
      <c r="I1905" s="1">
        <f>IF(ISNUMBER(B1905),INT(B1905),0)</f>
        <v/>
      </c>
      <c r="J1905">
        <f>IF(ISNUMBER(B1905),YEAR(B1905)*100+MONTH(B1905),"")</f>
        <v/>
      </c>
      <c r="K1905">
        <f>IF(AND(H1905="",OR(F1905="Attended",F1905="No-show",AND(F1905="Late cancel",Settings!$C$9="Yes"))),1,0)</f>
        <v/>
      </c>
      <c r="L1905">
        <f>IF(AND(H1905="",F1905="Attended"),1,0)</f>
        <v/>
      </c>
      <c r="M1905">
        <f>IF(AND(H1905="",OR(F1905="No-show",F1905="Late cancel")),1,0)</f>
        <v/>
      </c>
      <c r="N1905">
        <f>IF(AND(H1905="",F1905="",D1905&lt;&gt;"",I1905&gt;=TODAY()),ROUND((I1905+IF(ISNUMBER(C1905),MOD(C1905,1),0))*1440,0)*10000+ROW(),"")</f>
        <v/>
      </c>
    </row>
    <row r="1906">
      <c r="A1906" s="1" t="n"/>
      <c r="B1906" s="17" t="n"/>
      <c r="C1906" s="18" t="n"/>
      <c r="D1906" s="19" t="n"/>
      <c r="E1906" s="20" t="n"/>
      <c r="F1906" s="20" t="n"/>
      <c r="G1906" s="21" t="n"/>
      <c r="H1906" s="12">
        <f>IF(AND(B1906="",D1906="",F1906=""),"",IF(NOT(ISNUMBER(B1906)),"Needs a date",IF(D1906="","Needs a client",IF(COUNTIF(Clients!$B$6:$B$105,D1906)=0,"Not on Clients",IF(AND(F1906="",INT(B1906)&lt;TODAY()),"Needs a status","")))))</f>
        <v/>
      </c>
      <c r="I1906" s="1">
        <f>IF(ISNUMBER(B1906),INT(B1906),0)</f>
        <v/>
      </c>
      <c r="J1906">
        <f>IF(ISNUMBER(B1906),YEAR(B1906)*100+MONTH(B1906),"")</f>
        <v/>
      </c>
      <c r="K1906">
        <f>IF(AND(H1906="",OR(F1906="Attended",F1906="No-show",AND(F1906="Late cancel",Settings!$C$9="Yes"))),1,0)</f>
        <v/>
      </c>
      <c r="L1906">
        <f>IF(AND(H1906="",F1906="Attended"),1,0)</f>
        <v/>
      </c>
      <c r="M1906">
        <f>IF(AND(H1906="",OR(F1906="No-show",F1906="Late cancel")),1,0)</f>
        <v/>
      </c>
      <c r="N1906">
        <f>IF(AND(H1906="",F1906="",D1906&lt;&gt;"",I1906&gt;=TODAY()),ROUND((I1906+IF(ISNUMBER(C1906),MOD(C1906,1),0))*1440,0)*10000+ROW(),"")</f>
        <v/>
      </c>
    </row>
    <row r="1907">
      <c r="A1907" s="1" t="n"/>
      <c r="B1907" s="17" t="n"/>
      <c r="C1907" s="18" t="n"/>
      <c r="D1907" s="19" t="n"/>
      <c r="E1907" s="20" t="n"/>
      <c r="F1907" s="20" t="n"/>
      <c r="G1907" s="21" t="n"/>
      <c r="H1907" s="12">
        <f>IF(AND(B1907="",D1907="",F1907=""),"",IF(NOT(ISNUMBER(B1907)),"Needs a date",IF(D1907="","Needs a client",IF(COUNTIF(Clients!$B$6:$B$105,D1907)=0,"Not on Clients",IF(AND(F1907="",INT(B1907)&lt;TODAY()),"Needs a status","")))))</f>
        <v/>
      </c>
      <c r="I1907" s="1">
        <f>IF(ISNUMBER(B1907),INT(B1907),0)</f>
        <v/>
      </c>
      <c r="J1907">
        <f>IF(ISNUMBER(B1907),YEAR(B1907)*100+MONTH(B1907),"")</f>
        <v/>
      </c>
      <c r="K1907">
        <f>IF(AND(H1907="",OR(F1907="Attended",F1907="No-show",AND(F1907="Late cancel",Settings!$C$9="Yes"))),1,0)</f>
        <v/>
      </c>
      <c r="L1907">
        <f>IF(AND(H1907="",F1907="Attended"),1,0)</f>
        <v/>
      </c>
      <c r="M1907">
        <f>IF(AND(H1907="",OR(F1907="No-show",F1907="Late cancel")),1,0)</f>
        <v/>
      </c>
      <c r="N1907">
        <f>IF(AND(H1907="",F1907="",D1907&lt;&gt;"",I1907&gt;=TODAY()),ROUND((I1907+IF(ISNUMBER(C1907),MOD(C1907,1),0))*1440,0)*10000+ROW(),"")</f>
        <v/>
      </c>
    </row>
    <row r="1908">
      <c r="A1908" s="1" t="n"/>
      <c r="B1908" s="17" t="n"/>
      <c r="C1908" s="18" t="n"/>
      <c r="D1908" s="19" t="n"/>
      <c r="E1908" s="20" t="n"/>
      <c r="F1908" s="20" t="n"/>
      <c r="G1908" s="21" t="n"/>
      <c r="H1908" s="12">
        <f>IF(AND(B1908="",D1908="",F1908=""),"",IF(NOT(ISNUMBER(B1908)),"Needs a date",IF(D1908="","Needs a client",IF(COUNTIF(Clients!$B$6:$B$105,D1908)=0,"Not on Clients",IF(AND(F1908="",INT(B1908)&lt;TODAY()),"Needs a status","")))))</f>
        <v/>
      </c>
      <c r="I1908" s="1">
        <f>IF(ISNUMBER(B1908),INT(B1908),0)</f>
        <v/>
      </c>
      <c r="J1908">
        <f>IF(ISNUMBER(B1908),YEAR(B1908)*100+MONTH(B1908),"")</f>
        <v/>
      </c>
      <c r="K1908">
        <f>IF(AND(H1908="",OR(F1908="Attended",F1908="No-show",AND(F1908="Late cancel",Settings!$C$9="Yes"))),1,0)</f>
        <v/>
      </c>
      <c r="L1908">
        <f>IF(AND(H1908="",F1908="Attended"),1,0)</f>
        <v/>
      </c>
      <c r="M1908">
        <f>IF(AND(H1908="",OR(F1908="No-show",F1908="Late cancel")),1,0)</f>
        <v/>
      </c>
      <c r="N1908">
        <f>IF(AND(H1908="",F1908="",D1908&lt;&gt;"",I1908&gt;=TODAY()),ROUND((I1908+IF(ISNUMBER(C1908),MOD(C1908,1),0))*1440,0)*10000+ROW(),"")</f>
        <v/>
      </c>
    </row>
    <row r="1909">
      <c r="A1909" s="1" t="n"/>
      <c r="B1909" s="17" t="n"/>
      <c r="C1909" s="18" t="n"/>
      <c r="D1909" s="19" t="n"/>
      <c r="E1909" s="20" t="n"/>
      <c r="F1909" s="20" t="n"/>
      <c r="G1909" s="21" t="n"/>
      <c r="H1909" s="12">
        <f>IF(AND(B1909="",D1909="",F1909=""),"",IF(NOT(ISNUMBER(B1909)),"Needs a date",IF(D1909="","Needs a client",IF(COUNTIF(Clients!$B$6:$B$105,D1909)=0,"Not on Clients",IF(AND(F1909="",INT(B1909)&lt;TODAY()),"Needs a status","")))))</f>
        <v/>
      </c>
      <c r="I1909" s="1">
        <f>IF(ISNUMBER(B1909),INT(B1909),0)</f>
        <v/>
      </c>
      <c r="J1909">
        <f>IF(ISNUMBER(B1909),YEAR(B1909)*100+MONTH(B1909),"")</f>
        <v/>
      </c>
      <c r="K1909">
        <f>IF(AND(H1909="",OR(F1909="Attended",F1909="No-show",AND(F1909="Late cancel",Settings!$C$9="Yes"))),1,0)</f>
        <v/>
      </c>
      <c r="L1909">
        <f>IF(AND(H1909="",F1909="Attended"),1,0)</f>
        <v/>
      </c>
      <c r="M1909">
        <f>IF(AND(H1909="",OR(F1909="No-show",F1909="Late cancel")),1,0)</f>
        <v/>
      </c>
      <c r="N1909">
        <f>IF(AND(H1909="",F1909="",D1909&lt;&gt;"",I1909&gt;=TODAY()),ROUND((I1909+IF(ISNUMBER(C1909),MOD(C1909,1),0))*1440,0)*10000+ROW(),"")</f>
        <v/>
      </c>
    </row>
    <row r="1910">
      <c r="A1910" s="1" t="n"/>
      <c r="B1910" s="17" t="n"/>
      <c r="C1910" s="18" t="n"/>
      <c r="D1910" s="19" t="n"/>
      <c r="E1910" s="20" t="n"/>
      <c r="F1910" s="20" t="n"/>
      <c r="G1910" s="21" t="n"/>
      <c r="H1910" s="12">
        <f>IF(AND(B1910="",D1910="",F1910=""),"",IF(NOT(ISNUMBER(B1910)),"Needs a date",IF(D1910="","Needs a client",IF(COUNTIF(Clients!$B$6:$B$105,D1910)=0,"Not on Clients",IF(AND(F1910="",INT(B1910)&lt;TODAY()),"Needs a status","")))))</f>
        <v/>
      </c>
      <c r="I1910" s="1">
        <f>IF(ISNUMBER(B1910),INT(B1910),0)</f>
        <v/>
      </c>
      <c r="J1910">
        <f>IF(ISNUMBER(B1910),YEAR(B1910)*100+MONTH(B1910),"")</f>
        <v/>
      </c>
      <c r="K1910">
        <f>IF(AND(H1910="",OR(F1910="Attended",F1910="No-show",AND(F1910="Late cancel",Settings!$C$9="Yes"))),1,0)</f>
        <v/>
      </c>
      <c r="L1910">
        <f>IF(AND(H1910="",F1910="Attended"),1,0)</f>
        <v/>
      </c>
      <c r="M1910">
        <f>IF(AND(H1910="",OR(F1910="No-show",F1910="Late cancel")),1,0)</f>
        <v/>
      </c>
      <c r="N1910">
        <f>IF(AND(H1910="",F1910="",D1910&lt;&gt;"",I1910&gt;=TODAY()),ROUND((I1910+IF(ISNUMBER(C1910),MOD(C1910,1),0))*1440,0)*10000+ROW(),"")</f>
        <v/>
      </c>
    </row>
    <row r="1911">
      <c r="A1911" s="1" t="n"/>
      <c r="B1911" s="17" t="n"/>
      <c r="C1911" s="18" t="n"/>
      <c r="D1911" s="19" t="n"/>
      <c r="E1911" s="20" t="n"/>
      <c r="F1911" s="20" t="n"/>
      <c r="G1911" s="21" t="n"/>
      <c r="H1911" s="12">
        <f>IF(AND(B1911="",D1911="",F1911=""),"",IF(NOT(ISNUMBER(B1911)),"Needs a date",IF(D1911="","Needs a client",IF(COUNTIF(Clients!$B$6:$B$105,D1911)=0,"Not on Clients",IF(AND(F1911="",INT(B1911)&lt;TODAY()),"Needs a status","")))))</f>
        <v/>
      </c>
      <c r="I1911" s="1">
        <f>IF(ISNUMBER(B1911),INT(B1911),0)</f>
        <v/>
      </c>
      <c r="J1911">
        <f>IF(ISNUMBER(B1911),YEAR(B1911)*100+MONTH(B1911),"")</f>
        <v/>
      </c>
      <c r="K1911">
        <f>IF(AND(H1911="",OR(F1911="Attended",F1911="No-show",AND(F1911="Late cancel",Settings!$C$9="Yes"))),1,0)</f>
        <v/>
      </c>
      <c r="L1911">
        <f>IF(AND(H1911="",F1911="Attended"),1,0)</f>
        <v/>
      </c>
      <c r="M1911">
        <f>IF(AND(H1911="",OR(F1911="No-show",F1911="Late cancel")),1,0)</f>
        <v/>
      </c>
      <c r="N1911">
        <f>IF(AND(H1911="",F1911="",D1911&lt;&gt;"",I1911&gt;=TODAY()),ROUND((I1911+IF(ISNUMBER(C1911),MOD(C1911,1),0))*1440,0)*10000+ROW(),"")</f>
        <v/>
      </c>
    </row>
    <row r="1912">
      <c r="A1912" s="1" t="n"/>
      <c r="B1912" s="17" t="n"/>
      <c r="C1912" s="18" t="n"/>
      <c r="D1912" s="19" t="n"/>
      <c r="E1912" s="20" t="n"/>
      <c r="F1912" s="20" t="n"/>
      <c r="G1912" s="21" t="n"/>
      <c r="H1912" s="12">
        <f>IF(AND(B1912="",D1912="",F1912=""),"",IF(NOT(ISNUMBER(B1912)),"Needs a date",IF(D1912="","Needs a client",IF(COUNTIF(Clients!$B$6:$B$105,D1912)=0,"Not on Clients",IF(AND(F1912="",INT(B1912)&lt;TODAY()),"Needs a status","")))))</f>
        <v/>
      </c>
      <c r="I1912" s="1">
        <f>IF(ISNUMBER(B1912),INT(B1912),0)</f>
        <v/>
      </c>
      <c r="J1912">
        <f>IF(ISNUMBER(B1912),YEAR(B1912)*100+MONTH(B1912),"")</f>
        <v/>
      </c>
      <c r="K1912">
        <f>IF(AND(H1912="",OR(F1912="Attended",F1912="No-show",AND(F1912="Late cancel",Settings!$C$9="Yes"))),1,0)</f>
        <v/>
      </c>
      <c r="L1912">
        <f>IF(AND(H1912="",F1912="Attended"),1,0)</f>
        <v/>
      </c>
      <c r="M1912">
        <f>IF(AND(H1912="",OR(F1912="No-show",F1912="Late cancel")),1,0)</f>
        <v/>
      </c>
      <c r="N1912">
        <f>IF(AND(H1912="",F1912="",D1912&lt;&gt;"",I1912&gt;=TODAY()),ROUND((I1912+IF(ISNUMBER(C1912),MOD(C1912,1),0))*1440,0)*10000+ROW(),"")</f>
        <v/>
      </c>
    </row>
    <row r="1913">
      <c r="A1913" s="1" t="n"/>
      <c r="B1913" s="17" t="n"/>
      <c r="C1913" s="18" t="n"/>
      <c r="D1913" s="19" t="n"/>
      <c r="E1913" s="20" t="n"/>
      <c r="F1913" s="20" t="n"/>
      <c r="G1913" s="21" t="n"/>
      <c r="H1913" s="12">
        <f>IF(AND(B1913="",D1913="",F1913=""),"",IF(NOT(ISNUMBER(B1913)),"Needs a date",IF(D1913="","Needs a client",IF(COUNTIF(Clients!$B$6:$B$105,D1913)=0,"Not on Clients",IF(AND(F1913="",INT(B1913)&lt;TODAY()),"Needs a status","")))))</f>
        <v/>
      </c>
      <c r="I1913" s="1">
        <f>IF(ISNUMBER(B1913),INT(B1913),0)</f>
        <v/>
      </c>
      <c r="J1913">
        <f>IF(ISNUMBER(B1913),YEAR(B1913)*100+MONTH(B1913),"")</f>
        <v/>
      </c>
      <c r="K1913">
        <f>IF(AND(H1913="",OR(F1913="Attended",F1913="No-show",AND(F1913="Late cancel",Settings!$C$9="Yes"))),1,0)</f>
        <v/>
      </c>
      <c r="L1913">
        <f>IF(AND(H1913="",F1913="Attended"),1,0)</f>
        <v/>
      </c>
      <c r="M1913">
        <f>IF(AND(H1913="",OR(F1913="No-show",F1913="Late cancel")),1,0)</f>
        <v/>
      </c>
      <c r="N1913">
        <f>IF(AND(H1913="",F1913="",D1913&lt;&gt;"",I1913&gt;=TODAY()),ROUND((I1913+IF(ISNUMBER(C1913),MOD(C1913,1),0))*1440,0)*10000+ROW(),"")</f>
        <v/>
      </c>
    </row>
    <row r="1914">
      <c r="A1914" s="1" t="n"/>
      <c r="B1914" s="17" t="n"/>
      <c r="C1914" s="18" t="n"/>
      <c r="D1914" s="19" t="n"/>
      <c r="E1914" s="20" t="n"/>
      <c r="F1914" s="20" t="n"/>
      <c r="G1914" s="21" t="n"/>
      <c r="H1914" s="12">
        <f>IF(AND(B1914="",D1914="",F1914=""),"",IF(NOT(ISNUMBER(B1914)),"Needs a date",IF(D1914="","Needs a client",IF(COUNTIF(Clients!$B$6:$B$105,D1914)=0,"Not on Clients",IF(AND(F1914="",INT(B1914)&lt;TODAY()),"Needs a status","")))))</f>
        <v/>
      </c>
      <c r="I1914" s="1">
        <f>IF(ISNUMBER(B1914),INT(B1914),0)</f>
        <v/>
      </c>
      <c r="J1914">
        <f>IF(ISNUMBER(B1914),YEAR(B1914)*100+MONTH(B1914),"")</f>
        <v/>
      </c>
      <c r="K1914">
        <f>IF(AND(H1914="",OR(F1914="Attended",F1914="No-show",AND(F1914="Late cancel",Settings!$C$9="Yes"))),1,0)</f>
        <v/>
      </c>
      <c r="L1914">
        <f>IF(AND(H1914="",F1914="Attended"),1,0)</f>
        <v/>
      </c>
      <c r="M1914">
        <f>IF(AND(H1914="",OR(F1914="No-show",F1914="Late cancel")),1,0)</f>
        <v/>
      </c>
      <c r="N1914">
        <f>IF(AND(H1914="",F1914="",D1914&lt;&gt;"",I1914&gt;=TODAY()),ROUND((I1914+IF(ISNUMBER(C1914),MOD(C1914,1),0))*1440,0)*10000+ROW(),"")</f>
        <v/>
      </c>
    </row>
    <row r="1915">
      <c r="A1915" s="1" t="n"/>
      <c r="B1915" s="17" t="n"/>
      <c r="C1915" s="18" t="n"/>
      <c r="D1915" s="19" t="n"/>
      <c r="E1915" s="20" t="n"/>
      <c r="F1915" s="20" t="n"/>
      <c r="G1915" s="21" t="n"/>
      <c r="H1915" s="12">
        <f>IF(AND(B1915="",D1915="",F1915=""),"",IF(NOT(ISNUMBER(B1915)),"Needs a date",IF(D1915="","Needs a client",IF(COUNTIF(Clients!$B$6:$B$105,D1915)=0,"Not on Clients",IF(AND(F1915="",INT(B1915)&lt;TODAY()),"Needs a status","")))))</f>
        <v/>
      </c>
      <c r="I1915" s="1">
        <f>IF(ISNUMBER(B1915),INT(B1915),0)</f>
        <v/>
      </c>
      <c r="J1915">
        <f>IF(ISNUMBER(B1915),YEAR(B1915)*100+MONTH(B1915),"")</f>
        <v/>
      </c>
      <c r="K1915">
        <f>IF(AND(H1915="",OR(F1915="Attended",F1915="No-show",AND(F1915="Late cancel",Settings!$C$9="Yes"))),1,0)</f>
        <v/>
      </c>
      <c r="L1915">
        <f>IF(AND(H1915="",F1915="Attended"),1,0)</f>
        <v/>
      </c>
      <c r="M1915">
        <f>IF(AND(H1915="",OR(F1915="No-show",F1915="Late cancel")),1,0)</f>
        <v/>
      </c>
      <c r="N1915">
        <f>IF(AND(H1915="",F1915="",D1915&lt;&gt;"",I1915&gt;=TODAY()),ROUND((I1915+IF(ISNUMBER(C1915),MOD(C1915,1),0))*1440,0)*10000+ROW(),"")</f>
        <v/>
      </c>
    </row>
    <row r="1916">
      <c r="A1916" s="1" t="n"/>
      <c r="B1916" s="17" t="n"/>
      <c r="C1916" s="18" t="n"/>
      <c r="D1916" s="19" t="n"/>
      <c r="E1916" s="20" t="n"/>
      <c r="F1916" s="20" t="n"/>
      <c r="G1916" s="21" t="n"/>
      <c r="H1916" s="12">
        <f>IF(AND(B1916="",D1916="",F1916=""),"",IF(NOT(ISNUMBER(B1916)),"Needs a date",IF(D1916="","Needs a client",IF(COUNTIF(Clients!$B$6:$B$105,D1916)=0,"Not on Clients",IF(AND(F1916="",INT(B1916)&lt;TODAY()),"Needs a status","")))))</f>
        <v/>
      </c>
      <c r="I1916" s="1">
        <f>IF(ISNUMBER(B1916),INT(B1916),0)</f>
        <v/>
      </c>
      <c r="J1916">
        <f>IF(ISNUMBER(B1916),YEAR(B1916)*100+MONTH(B1916),"")</f>
        <v/>
      </c>
      <c r="K1916">
        <f>IF(AND(H1916="",OR(F1916="Attended",F1916="No-show",AND(F1916="Late cancel",Settings!$C$9="Yes"))),1,0)</f>
        <v/>
      </c>
      <c r="L1916">
        <f>IF(AND(H1916="",F1916="Attended"),1,0)</f>
        <v/>
      </c>
      <c r="M1916">
        <f>IF(AND(H1916="",OR(F1916="No-show",F1916="Late cancel")),1,0)</f>
        <v/>
      </c>
      <c r="N1916">
        <f>IF(AND(H1916="",F1916="",D1916&lt;&gt;"",I1916&gt;=TODAY()),ROUND((I1916+IF(ISNUMBER(C1916),MOD(C1916,1),0))*1440,0)*10000+ROW(),"")</f>
        <v/>
      </c>
    </row>
    <row r="1917">
      <c r="A1917" s="1" t="n"/>
      <c r="B1917" s="17" t="n"/>
      <c r="C1917" s="18" t="n"/>
      <c r="D1917" s="19" t="n"/>
      <c r="E1917" s="20" t="n"/>
      <c r="F1917" s="20" t="n"/>
      <c r="G1917" s="21" t="n"/>
      <c r="H1917" s="12">
        <f>IF(AND(B1917="",D1917="",F1917=""),"",IF(NOT(ISNUMBER(B1917)),"Needs a date",IF(D1917="","Needs a client",IF(COUNTIF(Clients!$B$6:$B$105,D1917)=0,"Not on Clients",IF(AND(F1917="",INT(B1917)&lt;TODAY()),"Needs a status","")))))</f>
        <v/>
      </c>
      <c r="I1917" s="1">
        <f>IF(ISNUMBER(B1917),INT(B1917),0)</f>
        <v/>
      </c>
      <c r="J1917">
        <f>IF(ISNUMBER(B1917),YEAR(B1917)*100+MONTH(B1917),"")</f>
        <v/>
      </c>
      <c r="K1917">
        <f>IF(AND(H1917="",OR(F1917="Attended",F1917="No-show",AND(F1917="Late cancel",Settings!$C$9="Yes"))),1,0)</f>
        <v/>
      </c>
      <c r="L1917">
        <f>IF(AND(H1917="",F1917="Attended"),1,0)</f>
        <v/>
      </c>
      <c r="M1917">
        <f>IF(AND(H1917="",OR(F1917="No-show",F1917="Late cancel")),1,0)</f>
        <v/>
      </c>
      <c r="N1917">
        <f>IF(AND(H1917="",F1917="",D1917&lt;&gt;"",I1917&gt;=TODAY()),ROUND((I1917+IF(ISNUMBER(C1917),MOD(C1917,1),0))*1440,0)*10000+ROW(),"")</f>
        <v/>
      </c>
    </row>
    <row r="1918">
      <c r="A1918" s="1" t="n"/>
      <c r="B1918" s="17" t="n"/>
      <c r="C1918" s="18" t="n"/>
      <c r="D1918" s="19" t="n"/>
      <c r="E1918" s="20" t="n"/>
      <c r="F1918" s="20" t="n"/>
      <c r="G1918" s="21" t="n"/>
      <c r="H1918" s="12">
        <f>IF(AND(B1918="",D1918="",F1918=""),"",IF(NOT(ISNUMBER(B1918)),"Needs a date",IF(D1918="","Needs a client",IF(COUNTIF(Clients!$B$6:$B$105,D1918)=0,"Not on Clients",IF(AND(F1918="",INT(B1918)&lt;TODAY()),"Needs a status","")))))</f>
        <v/>
      </c>
      <c r="I1918" s="1">
        <f>IF(ISNUMBER(B1918),INT(B1918),0)</f>
        <v/>
      </c>
      <c r="J1918">
        <f>IF(ISNUMBER(B1918),YEAR(B1918)*100+MONTH(B1918),"")</f>
        <v/>
      </c>
      <c r="K1918">
        <f>IF(AND(H1918="",OR(F1918="Attended",F1918="No-show",AND(F1918="Late cancel",Settings!$C$9="Yes"))),1,0)</f>
        <v/>
      </c>
      <c r="L1918">
        <f>IF(AND(H1918="",F1918="Attended"),1,0)</f>
        <v/>
      </c>
      <c r="M1918">
        <f>IF(AND(H1918="",OR(F1918="No-show",F1918="Late cancel")),1,0)</f>
        <v/>
      </c>
      <c r="N1918">
        <f>IF(AND(H1918="",F1918="",D1918&lt;&gt;"",I1918&gt;=TODAY()),ROUND((I1918+IF(ISNUMBER(C1918),MOD(C1918,1),0))*1440,0)*10000+ROW(),"")</f>
        <v/>
      </c>
    </row>
    <row r="1919">
      <c r="A1919" s="1" t="n"/>
      <c r="B1919" s="17" t="n"/>
      <c r="C1919" s="18" t="n"/>
      <c r="D1919" s="19" t="n"/>
      <c r="E1919" s="20" t="n"/>
      <c r="F1919" s="20" t="n"/>
      <c r="G1919" s="21" t="n"/>
      <c r="H1919" s="12">
        <f>IF(AND(B1919="",D1919="",F1919=""),"",IF(NOT(ISNUMBER(B1919)),"Needs a date",IF(D1919="","Needs a client",IF(COUNTIF(Clients!$B$6:$B$105,D1919)=0,"Not on Clients",IF(AND(F1919="",INT(B1919)&lt;TODAY()),"Needs a status","")))))</f>
        <v/>
      </c>
      <c r="I1919" s="1">
        <f>IF(ISNUMBER(B1919),INT(B1919),0)</f>
        <v/>
      </c>
      <c r="J1919">
        <f>IF(ISNUMBER(B1919),YEAR(B1919)*100+MONTH(B1919),"")</f>
        <v/>
      </c>
      <c r="K1919">
        <f>IF(AND(H1919="",OR(F1919="Attended",F1919="No-show",AND(F1919="Late cancel",Settings!$C$9="Yes"))),1,0)</f>
        <v/>
      </c>
      <c r="L1919">
        <f>IF(AND(H1919="",F1919="Attended"),1,0)</f>
        <v/>
      </c>
      <c r="M1919">
        <f>IF(AND(H1919="",OR(F1919="No-show",F1919="Late cancel")),1,0)</f>
        <v/>
      </c>
      <c r="N1919">
        <f>IF(AND(H1919="",F1919="",D1919&lt;&gt;"",I1919&gt;=TODAY()),ROUND((I1919+IF(ISNUMBER(C1919),MOD(C1919,1),0))*1440,0)*10000+ROW(),"")</f>
        <v/>
      </c>
    </row>
    <row r="1920">
      <c r="A1920" s="1" t="n"/>
      <c r="B1920" s="17" t="n"/>
      <c r="C1920" s="18" t="n"/>
      <c r="D1920" s="19" t="n"/>
      <c r="E1920" s="20" t="n"/>
      <c r="F1920" s="20" t="n"/>
      <c r="G1920" s="21" t="n"/>
      <c r="H1920" s="12">
        <f>IF(AND(B1920="",D1920="",F1920=""),"",IF(NOT(ISNUMBER(B1920)),"Needs a date",IF(D1920="","Needs a client",IF(COUNTIF(Clients!$B$6:$B$105,D1920)=0,"Not on Clients",IF(AND(F1920="",INT(B1920)&lt;TODAY()),"Needs a status","")))))</f>
        <v/>
      </c>
      <c r="I1920" s="1">
        <f>IF(ISNUMBER(B1920),INT(B1920),0)</f>
        <v/>
      </c>
      <c r="J1920">
        <f>IF(ISNUMBER(B1920),YEAR(B1920)*100+MONTH(B1920),"")</f>
        <v/>
      </c>
      <c r="K1920">
        <f>IF(AND(H1920="",OR(F1920="Attended",F1920="No-show",AND(F1920="Late cancel",Settings!$C$9="Yes"))),1,0)</f>
        <v/>
      </c>
      <c r="L1920">
        <f>IF(AND(H1920="",F1920="Attended"),1,0)</f>
        <v/>
      </c>
      <c r="M1920">
        <f>IF(AND(H1920="",OR(F1920="No-show",F1920="Late cancel")),1,0)</f>
        <v/>
      </c>
      <c r="N1920">
        <f>IF(AND(H1920="",F1920="",D1920&lt;&gt;"",I1920&gt;=TODAY()),ROUND((I1920+IF(ISNUMBER(C1920),MOD(C1920,1),0))*1440,0)*10000+ROW(),"")</f>
        <v/>
      </c>
    </row>
    <row r="1921">
      <c r="A1921" s="1" t="n"/>
      <c r="B1921" s="17" t="n"/>
      <c r="C1921" s="18" t="n"/>
      <c r="D1921" s="19" t="n"/>
      <c r="E1921" s="20" t="n"/>
      <c r="F1921" s="20" t="n"/>
      <c r="G1921" s="21" t="n"/>
      <c r="H1921" s="12">
        <f>IF(AND(B1921="",D1921="",F1921=""),"",IF(NOT(ISNUMBER(B1921)),"Needs a date",IF(D1921="","Needs a client",IF(COUNTIF(Clients!$B$6:$B$105,D1921)=0,"Not on Clients",IF(AND(F1921="",INT(B1921)&lt;TODAY()),"Needs a status","")))))</f>
        <v/>
      </c>
      <c r="I1921" s="1">
        <f>IF(ISNUMBER(B1921),INT(B1921),0)</f>
        <v/>
      </c>
      <c r="J1921">
        <f>IF(ISNUMBER(B1921),YEAR(B1921)*100+MONTH(B1921),"")</f>
        <v/>
      </c>
      <c r="K1921">
        <f>IF(AND(H1921="",OR(F1921="Attended",F1921="No-show",AND(F1921="Late cancel",Settings!$C$9="Yes"))),1,0)</f>
        <v/>
      </c>
      <c r="L1921">
        <f>IF(AND(H1921="",F1921="Attended"),1,0)</f>
        <v/>
      </c>
      <c r="M1921">
        <f>IF(AND(H1921="",OR(F1921="No-show",F1921="Late cancel")),1,0)</f>
        <v/>
      </c>
      <c r="N1921">
        <f>IF(AND(H1921="",F1921="",D1921&lt;&gt;"",I1921&gt;=TODAY()),ROUND((I1921+IF(ISNUMBER(C1921),MOD(C1921,1),0))*1440,0)*10000+ROW(),"")</f>
        <v/>
      </c>
    </row>
    <row r="1922">
      <c r="A1922" s="1" t="n"/>
      <c r="B1922" s="17" t="n"/>
      <c r="C1922" s="18" t="n"/>
      <c r="D1922" s="19" t="n"/>
      <c r="E1922" s="20" t="n"/>
      <c r="F1922" s="20" t="n"/>
      <c r="G1922" s="21" t="n"/>
      <c r="H1922" s="12">
        <f>IF(AND(B1922="",D1922="",F1922=""),"",IF(NOT(ISNUMBER(B1922)),"Needs a date",IF(D1922="","Needs a client",IF(COUNTIF(Clients!$B$6:$B$105,D1922)=0,"Not on Clients",IF(AND(F1922="",INT(B1922)&lt;TODAY()),"Needs a status","")))))</f>
        <v/>
      </c>
      <c r="I1922" s="1">
        <f>IF(ISNUMBER(B1922),INT(B1922),0)</f>
        <v/>
      </c>
      <c r="J1922">
        <f>IF(ISNUMBER(B1922),YEAR(B1922)*100+MONTH(B1922),"")</f>
        <v/>
      </c>
      <c r="K1922">
        <f>IF(AND(H1922="",OR(F1922="Attended",F1922="No-show",AND(F1922="Late cancel",Settings!$C$9="Yes"))),1,0)</f>
        <v/>
      </c>
      <c r="L1922">
        <f>IF(AND(H1922="",F1922="Attended"),1,0)</f>
        <v/>
      </c>
      <c r="M1922">
        <f>IF(AND(H1922="",OR(F1922="No-show",F1922="Late cancel")),1,0)</f>
        <v/>
      </c>
      <c r="N1922">
        <f>IF(AND(H1922="",F1922="",D1922&lt;&gt;"",I1922&gt;=TODAY()),ROUND((I1922+IF(ISNUMBER(C1922),MOD(C1922,1),0))*1440,0)*10000+ROW(),"")</f>
        <v/>
      </c>
    </row>
    <row r="1923">
      <c r="A1923" s="1" t="n"/>
      <c r="B1923" s="17" t="n"/>
      <c r="C1923" s="18" t="n"/>
      <c r="D1923" s="19" t="n"/>
      <c r="E1923" s="20" t="n"/>
      <c r="F1923" s="20" t="n"/>
      <c r="G1923" s="21" t="n"/>
      <c r="H1923" s="12">
        <f>IF(AND(B1923="",D1923="",F1923=""),"",IF(NOT(ISNUMBER(B1923)),"Needs a date",IF(D1923="","Needs a client",IF(COUNTIF(Clients!$B$6:$B$105,D1923)=0,"Not on Clients",IF(AND(F1923="",INT(B1923)&lt;TODAY()),"Needs a status","")))))</f>
        <v/>
      </c>
      <c r="I1923" s="1">
        <f>IF(ISNUMBER(B1923),INT(B1923),0)</f>
        <v/>
      </c>
      <c r="J1923">
        <f>IF(ISNUMBER(B1923),YEAR(B1923)*100+MONTH(B1923),"")</f>
        <v/>
      </c>
      <c r="K1923">
        <f>IF(AND(H1923="",OR(F1923="Attended",F1923="No-show",AND(F1923="Late cancel",Settings!$C$9="Yes"))),1,0)</f>
        <v/>
      </c>
      <c r="L1923">
        <f>IF(AND(H1923="",F1923="Attended"),1,0)</f>
        <v/>
      </c>
      <c r="M1923">
        <f>IF(AND(H1923="",OR(F1923="No-show",F1923="Late cancel")),1,0)</f>
        <v/>
      </c>
      <c r="N1923">
        <f>IF(AND(H1923="",F1923="",D1923&lt;&gt;"",I1923&gt;=TODAY()),ROUND((I1923+IF(ISNUMBER(C1923),MOD(C1923,1),0))*1440,0)*10000+ROW(),"")</f>
        <v/>
      </c>
    </row>
    <row r="1924">
      <c r="A1924" s="1" t="n"/>
      <c r="B1924" s="17" t="n"/>
      <c r="C1924" s="18" t="n"/>
      <c r="D1924" s="19" t="n"/>
      <c r="E1924" s="20" t="n"/>
      <c r="F1924" s="20" t="n"/>
      <c r="G1924" s="21" t="n"/>
      <c r="H1924" s="12">
        <f>IF(AND(B1924="",D1924="",F1924=""),"",IF(NOT(ISNUMBER(B1924)),"Needs a date",IF(D1924="","Needs a client",IF(COUNTIF(Clients!$B$6:$B$105,D1924)=0,"Not on Clients",IF(AND(F1924="",INT(B1924)&lt;TODAY()),"Needs a status","")))))</f>
        <v/>
      </c>
      <c r="I1924" s="1">
        <f>IF(ISNUMBER(B1924),INT(B1924),0)</f>
        <v/>
      </c>
      <c r="J1924">
        <f>IF(ISNUMBER(B1924),YEAR(B1924)*100+MONTH(B1924),"")</f>
        <v/>
      </c>
      <c r="K1924">
        <f>IF(AND(H1924="",OR(F1924="Attended",F1924="No-show",AND(F1924="Late cancel",Settings!$C$9="Yes"))),1,0)</f>
        <v/>
      </c>
      <c r="L1924">
        <f>IF(AND(H1924="",F1924="Attended"),1,0)</f>
        <v/>
      </c>
      <c r="M1924">
        <f>IF(AND(H1924="",OR(F1924="No-show",F1924="Late cancel")),1,0)</f>
        <v/>
      </c>
      <c r="N1924">
        <f>IF(AND(H1924="",F1924="",D1924&lt;&gt;"",I1924&gt;=TODAY()),ROUND((I1924+IF(ISNUMBER(C1924),MOD(C1924,1),0))*1440,0)*10000+ROW(),"")</f>
        <v/>
      </c>
    </row>
    <row r="1925">
      <c r="A1925" s="1" t="n"/>
      <c r="B1925" s="17" t="n"/>
      <c r="C1925" s="18" t="n"/>
      <c r="D1925" s="19" t="n"/>
      <c r="E1925" s="20" t="n"/>
      <c r="F1925" s="20" t="n"/>
      <c r="G1925" s="21" t="n"/>
      <c r="H1925" s="12">
        <f>IF(AND(B1925="",D1925="",F1925=""),"",IF(NOT(ISNUMBER(B1925)),"Needs a date",IF(D1925="","Needs a client",IF(COUNTIF(Clients!$B$6:$B$105,D1925)=0,"Not on Clients",IF(AND(F1925="",INT(B1925)&lt;TODAY()),"Needs a status","")))))</f>
        <v/>
      </c>
      <c r="I1925" s="1">
        <f>IF(ISNUMBER(B1925),INT(B1925),0)</f>
        <v/>
      </c>
      <c r="J1925">
        <f>IF(ISNUMBER(B1925),YEAR(B1925)*100+MONTH(B1925),"")</f>
        <v/>
      </c>
      <c r="K1925">
        <f>IF(AND(H1925="",OR(F1925="Attended",F1925="No-show",AND(F1925="Late cancel",Settings!$C$9="Yes"))),1,0)</f>
        <v/>
      </c>
      <c r="L1925">
        <f>IF(AND(H1925="",F1925="Attended"),1,0)</f>
        <v/>
      </c>
      <c r="M1925">
        <f>IF(AND(H1925="",OR(F1925="No-show",F1925="Late cancel")),1,0)</f>
        <v/>
      </c>
      <c r="N1925">
        <f>IF(AND(H1925="",F1925="",D1925&lt;&gt;"",I1925&gt;=TODAY()),ROUND((I1925+IF(ISNUMBER(C1925),MOD(C1925,1),0))*1440,0)*10000+ROW(),"")</f>
        <v/>
      </c>
    </row>
    <row r="1926">
      <c r="A1926" s="1" t="n"/>
      <c r="B1926" s="17" t="n"/>
      <c r="C1926" s="18" t="n"/>
      <c r="D1926" s="19" t="n"/>
      <c r="E1926" s="20" t="n"/>
      <c r="F1926" s="20" t="n"/>
      <c r="G1926" s="21" t="n"/>
      <c r="H1926" s="12">
        <f>IF(AND(B1926="",D1926="",F1926=""),"",IF(NOT(ISNUMBER(B1926)),"Needs a date",IF(D1926="","Needs a client",IF(COUNTIF(Clients!$B$6:$B$105,D1926)=0,"Not on Clients",IF(AND(F1926="",INT(B1926)&lt;TODAY()),"Needs a status","")))))</f>
        <v/>
      </c>
      <c r="I1926" s="1">
        <f>IF(ISNUMBER(B1926),INT(B1926),0)</f>
        <v/>
      </c>
      <c r="J1926">
        <f>IF(ISNUMBER(B1926),YEAR(B1926)*100+MONTH(B1926),"")</f>
        <v/>
      </c>
      <c r="K1926">
        <f>IF(AND(H1926="",OR(F1926="Attended",F1926="No-show",AND(F1926="Late cancel",Settings!$C$9="Yes"))),1,0)</f>
        <v/>
      </c>
      <c r="L1926">
        <f>IF(AND(H1926="",F1926="Attended"),1,0)</f>
        <v/>
      </c>
      <c r="M1926">
        <f>IF(AND(H1926="",OR(F1926="No-show",F1926="Late cancel")),1,0)</f>
        <v/>
      </c>
      <c r="N1926">
        <f>IF(AND(H1926="",F1926="",D1926&lt;&gt;"",I1926&gt;=TODAY()),ROUND((I1926+IF(ISNUMBER(C1926),MOD(C1926,1),0))*1440,0)*10000+ROW(),"")</f>
        <v/>
      </c>
    </row>
    <row r="1927">
      <c r="A1927" s="1" t="n"/>
      <c r="B1927" s="17" t="n"/>
      <c r="C1927" s="18" t="n"/>
      <c r="D1927" s="19" t="n"/>
      <c r="E1927" s="20" t="n"/>
      <c r="F1927" s="20" t="n"/>
      <c r="G1927" s="21" t="n"/>
      <c r="H1927" s="12">
        <f>IF(AND(B1927="",D1927="",F1927=""),"",IF(NOT(ISNUMBER(B1927)),"Needs a date",IF(D1927="","Needs a client",IF(COUNTIF(Clients!$B$6:$B$105,D1927)=0,"Not on Clients",IF(AND(F1927="",INT(B1927)&lt;TODAY()),"Needs a status","")))))</f>
        <v/>
      </c>
      <c r="I1927" s="1">
        <f>IF(ISNUMBER(B1927),INT(B1927),0)</f>
        <v/>
      </c>
      <c r="J1927">
        <f>IF(ISNUMBER(B1927),YEAR(B1927)*100+MONTH(B1927),"")</f>
        <v/>
      </c>
      <c r="K1927">
        <f>IF(AND(H1927="",OR(F1927="Attended",F1927="No-show",AND(F1927="Late cancel",Settings!$C$9="Yes"))),1,0)</f>
        <v/>
      </c>
      <c r="L1927">
        <f>IF(AND(H1927="",F1927="Attended"),1,0)</f>
        <v/>
      </c>
      <c r="M1927">
        <f>IF(AND(H1927="",OR(F1927="No-show",F1927="Late cancel")),1,0)</f>
        <v/>
      </c>
      <c r="N1927">
        <f>IF(AND(H1927="",F1927="",D1927&lt;&gt;"",I1927&gt;=TODAY()),ROUND((I1927+IF(ISNUMBER(C1927),MOD(C1927,1),0))*1440,0)*10000+ROW(),"")</f>
        <v/>
      </c>
    </row>
    <row r="1928">
      <c r="A1928" s="1" t="n"/>
      <c r="B1928" s="17" t="n"/>
      <c r="C1928" s="18" t="n"/>
      <c r="D1928" s="19" t="n"/>
      <c r="E1928" s="20" t="n"/>
      <c r="F1928" s="20" t="n"/>
      <c r="G1928" s="21" t="n"/>
      <c r="H1928" s="12">
        <f>IF(AND(B1928="",D1928="",F1928=""),"",IF(NOT(ISNUMBER(B1928)),"Needs a date",IF(D1928="","Needs a client",IF(COUNTIF(Clients!$B$6:$B$105,D1928)=0,"Not on Clients",IF(AND(F1928="",INT(B1928)&lt;TODAY()),"Needs a status","")))))</f>
        <v/>
      </c>
      <c r="I1928" s="1">
        <f>IF(ISNUMBER(B1928),INT(B1928),0)</f>
        <v/>
      </c>
      <c r="J1928">
        <f>IF(ISNUMBER(B1928),YEAR(B1928)*100+MONTH(B1928),"")</f>
        <v/>
      </c>
      <c r="K1928">
        <f>IF(AND(H1928="",OR(F1928="Attended",F1928="No-show",AND(F1928="Late cancel",Settings!$C$9="Yes"))),1,0)</f>
        <v/>
      </c>
      <c r="L1928">
        <f>IF(AND(H1928="",F1928="Attended"),1,0)</f>
        <v/>
      </c>
      <c r="M1928">
        <f>IF(AND(H1928="",OR(F1928="No-show",F1928="Late cancel")),1,0)</f>
        <v/>
      </c>
      <c r="N1928">
        <f>IF(AND(H1928="",F1928="",D1928&lt;&gt;"",I1928&gt;=TODAY()),ROUND((I1928+IF(ISNUMBER(C1928),MOD(C1928,1),0))*1440,0)*10000+ROW(),"")</f>
        <v/>
      </c>
    </row>
    <row r="1929">
      <c r="A1929" s="1" t="n"/>
      <c r="B1929" s="17" t="n"/>
      <c r="C1929" s="18" t="n"/>
      <c r="D1929" s="19" t="n"/>
      <c r="E1929" s="20" t="n"/>
      <c r="F1929" s="20" t="n"/>
      <c r="G1929" s="21" t="n"/>
      <c r="H1929" s="12">
        <f>IF(AND(B1929="",D1929="",F1929=""),"",IF(NOT(ISNUMBER(B1929)),"Needs a date",IF(D1929="","Needs a client",IF(COUNTIF(Clients!$B$6:$B$105,D1929)=0,"Not on Clients",IF(AND(F1929="",INT(B1929)&lt;TODAY()),"Needs a status","")))))</f>
        <v/>
      </c>
      <c r="I1929" s="1">
        <f>IF(ISNUMBER(B1929),INT(B1929),0)</f>
        <v/>
      </c>
      <c r="J1929">
        <f>IF(ISNUMBER(B1929),YEAR(B1929)*100+MONTH(B1929),"")</f>
        <v/>
      </c>
      <c r="K1929">
        <f>IF(AND(H1929="",OR(F1929="Attended",F1929="No-show",AND(F1929="Late cancel",Settings!$C$9="Yes"))),1,0)</f>
        <v/>
      </c>
      <c r="L1929">
        <f>IF(AND(H1929="",F1929="Attended"),1,0)</f>
        <v/>
      </c>
      <c r="M1929">
        <f>IF(AND(H1929="",OR(F1929="No-show",F1929="Late cancel")),1,0)</f>
        <v/>
      </c>
      <c r="N1929">
        <f>IF(AND(H1929="",F1929="",D1929&lt;&gt;"",I1929&gt;=TODAY()),ROUND((I1929+IF(ISNUMBER(C1929),MOD(C1929,1),0))*1440,0)*10000+ROW(),"")</f>
        <v/>
      </c>
    </row>
    <row r="1930">
      <c r="A1930" s="1" t="n"/>
      <c r="B1930" s="17" t="n"/>
      <c r="C1930" s="18" t="n"/>
      <c r="D1930" s="19" t="n"/>
      <c r="E1930" s="20" t="n"/>
      <c r="F1930" s="20" t="n"/>
      <c r="G1930" s="21" t="n"/>
      <c r="H1930" s="12">
        <f>IF(AND(B1930="",D1930="",F1930=""),"",IF(NOT(ISNUMBER(B1930)),"Needs a date",IF(D1930="","Needs a client",IF(COUNTIF(Clients!$B$6:$B$105,D1930)=0,"Not on Clients",IF(AND(F1930="",INT(B1930)&lt;TODAY()),"Needs a status","")))))</f>
        <v/>
      </c>
      <c r="I1930" s="1">
        <f>IF(ISNUMBER(B1930),INT(B1930),0)</f>
        <v/>
      </c>
      <c r="J1930">
        <f>IF(ISNUMBER(B1930),YEAR(B1930)*100+MONTH(B1930),"")</f>
        <v/>
      </c>
      <c r="K1930">
        <f>IF(AND(H1930="",OR(F1930="Attended",F1930="No-show",AND(F1930="Late cancel",Settings!$C$9="Yes"))),1,0)</f>
        <v/>
      </c>
      <c r="L1930">
        <f>IF(AND(H1930="",F1930="Attended"),1,0)</f>
        <v/>
      </c>
      <c r="M1930">
        <f>IF(AND(H1930="",OR(F1930="No-show",F1930="Late cancel")),1,0)</f>
        <v/>
      </c>
      <c r="N1930">
        <f>IF(AND(H1930="",F1930="",D1930&lt;&gt;"",I1930&gt;=TODAY()),ROUND((I1930+IF(ISNUMBER(C1930),MOD(C1930,1),0))*1440,0)*10000+ROW(),"")</f>
        <v/>
      </c>
    </row>
    <row r="1931">
      <c r="A1931" s="1" t="n"/>
      <c r="B1931" s="17" t="n"/>
      <c r="C1931" s="18" t="n"/>
      <c r="D1931" s="19" t="n"/>
      <c r="E1931" s="20" t="n"/>
      <c r="F1931" s="20" t="n"/>
      <c r="G1931" s="21" t="n"/>
      <c r="H1931" s="12">
        <f>IF(AND(B1931="",D1931="",F1931=""),"",IF(NOT(ISNUMBER(B1931)),"Needs a date",IF(D1931="","Needs a client",IF(COUNTIF(Clients!$B$6:$B$105,D1931)=0,"Not on Clients",IF(AND(F1931="",INT(B1931)&lt;TODAY()),"Needs a status","")))))</f>
        <v/>
      </c>
      <c r="I1931" s="1">
        <f>IF(ISNUMBER(B1931),INT(B1931),0)</f>
        <v/>
      </c>
      <c r="J1931">
        <f>IF(ISNUMBER(B1931),YEAR(B1931)*100+MONTH(B1931),"")</f>
        <v/>
      </c>
      <c r="K1931">
        <f>IF(AND(H1931="",OR(F1931="Attended",F1931="No-show",AND(F1931="Late cancel",Settings!$C$9="Yes"))),1,0)</f>
        <v/>
      </c>
      <c r="L1931">
        <f>IF(AND(H1931="",F1931="Attended"),1,0)</f>
        <v/>
      </c>
      <c r="M1931">
        <f>IF(AND(H1931="",OR(F1931="No-show",F1931="Late cancel")),1,0)</f>
        <v/>
      </c>
      <c r="N1931">
        <f>IF(AND(H1931="",F1931="",D1931&lt;&gt;"",I1931&gt;=TODAY()),ROUND((I1931+IF(ISNUMBER(C1931),MOD(C1931,1),0))*1440,0)*10000+ROW(),"")</f>
        <v/>
      </c>
    </row>
    <row r="1932">
      <c r="A1932" s="1" t="n"/>
      <c r="B1932" s="17" t="n"/>
      <c r="C1932" s="18" t="n"/>
      <c r="D1932" s="19" t="n"/>
      <c r="E1932" s="20" t="n"/>
      <c r="F1932" s="20" t="n"/>
      <c r="G1932" s="21" t="n"/>
      <c r="H1932" s="12">
        <f>IF(AND(B1932="",D1932="",F1932=""),"",IF(NOT(ISNUMBER(B1932)),"Needs a date",IF(D1932="","Needs a client",IF(COUNTIF(Clients!$B$6:$B$105,D1932)=0,"Not on Clients",IF(AND(F1932="",INT(B1932)&lt;TODAY()),"Needs a status","")))))</f>
        <v/>
      </c>
      <c r="I1932" s="1">
        <f>IF(ISNUMBER(B1932),INT(B1932),0)</f>
        <v/>
      </c>
      <c r="J1932">
        <f>IF(ISNUMBER(B1932),YEAR(B1932)*100+MONTH(B1932),"")</f>
        <v/>
      </c>
      <c r="K1932">
        <f>IF(AND(H1932="",OR(F1932="Attended",F1932="No-show",AND(F1932="Late cancel",Settings!$C$9="Yes"))),1,0)</f>
        <v/>
      </c>
      <c r="L1932">
        <f>IF(AND(H1932="",F1932="Attended"),1,0)</f>
        <v/>
      </c>
      <c r="M1932">
        <f>IF(AND(H1932="",OR(F1932="No-show",F1932="Late cancel")),1,0)</f>
        <v/>
      </c>
      <c r="N1932">
        <f>IF(AND(H1932="",F1932="",D1932&lt;&gt;"",I1932&gt;=TODAY()),ROUND((I1932+IF(ISNUMBER(C1932),MOD(C1932,1),0))*1440,0)*10000+ROW(),"")</f>
        <v/>
      </c>
    </row>
    <row r="1933">
      <c r="A1933" s="1" t="n"/>
      <c r="B1933" s="17" t="n"/>
      <c r="C1933" s="18" t="n"/>
      <c r="D1933" s="19" t="n"/>
      <c r="E1933" s="20" t="n"/>
      <c r="F1933" s="20" t="n"/>
      <c r="G1933" s="21" t="n"/>
      <c r="H1933" s="12">
        <f>IF(AND(B1933="",D1933="",F1933=""),"",IF(NOT(ISNUMBER(B1933)),"Needs a date",IF(D1933="","Needs a client",IF(COUNTIF(Clients!$B$6:$B$105,D1933)=0,"Not on Clients",IF(AND(F1933="",INT(B1933)&lt;TODAY()),"Needs a status","")))))</f>
        <v/>
      </c>
      <c r="I1933" s="1">
        <f>IF(ISNUMBER(B1933),INT(B1933),0)</f>
        <v/>
      </c>
      <c r="J1933">
        <f>IF(ISNUMBER(B1933),YEAR(B1933)*100+MONTH(B1933),"")</f>
        <v/>
      </c>
      <c r="K1933">
        <f>IF(AND(H1933="",OR(F1933="Attended",F1933="No-show",AND(F1933="Late cancel",Settings!$C$9="Yes"))),1,0)</f>
        <v/>
      </c>
      <c r="L1933">
        <f>IF(AND(H1933="",F1933="Attended"),1,0)</f>
        <v/>
      </c>
      <c r="M1933">
        <f>IF(AND(H1933="",OR(F1933="No-show",F1933="Late cancel")),1,0)</f>
        <v/>
      </c>
      <c r="N1933">
        <f>IF(AND(H1933="",F1933="",D1933&lt;&gt;"",I1933&gt;=TODAY()),ROUND((I1933+IF(ISNUMBER(C1933),MOD(C1933,1),0))*1440,0)*10000+ROW(),"")</f>
        <v/>
      </c>
    </row>
    <row r="1934">
      <c r="A1934" s="1" t="n"/>
      <c r="B1934" s="17" t="n"/>
      <c r="C1934" s="18" t="n"/>
      <c r="D1934" s="19" t="n"/>
      <c r="E1934" s="20" t="n"/>
      <c r="F1934" s="20" t="n"/>
      <c r="G1934" s="21" t="n"/>
      <c r="H1934" s="12">
        <f>IF(AND(B1934="",D1934="",F1934=""),"",IF(NOT(ISNUMBER(B1934)),"Needs a date",IF(D1934="","Needs a client",IF(COUNTIF(Clients!$B$6:$B$105,D1934)=0,"Not on Clients",IF(AND(F1934="",INT(B1934)&lt;TODAY()),"Needs a status","")))))</f>
        <v/>
      </c>
      <c r="I1934" s="1">
        <f>IF(ISNUMBER(B1934),INT(B1934),0)</f>
        <v/>
      </c>
      <c r="J1934">
        <f>IF(ISNUMBER(B1934),YEAR(B1934)*100+MONTH(B1934),"")</f>
        <v/>
      </c>
      <c r="K1934">
        <f>IF(AND(H1934="",OR(F1934="Attended",F1934="No-show",AND(F1934="Late cancel",Settings!$C$9="Yes"))),1,0)</f>
        <v/>
      </c>
      <c r="L1934">
        <f>IF(AND(H1934="",F1934="Attended"),1,0)</f>
        <v/>
      </c>
      <c r="M1934">
        <f>IF(AND(H1934="",OR(F1934="No-show",F1934="Late cancel")),1,0)</f>
        <v/>
      </c>
      <c r="N1934">
        <f>IF(AND(H1934="",F1934="",D1934&lt;&gt;"",I1934&gt;=TODAY()),ROUND((I1934+IF(ISNUMBER(C1934),MOD(C1934,1),0))*1440,0)*10000+ROW(),"")</f>
        <v/>
      </c>
    </row>
    <row r="1935">
      <c r="A1935" s="1" t="n"/>
      <c r="B1935" s="17" t="n"/>
      <c r="C1935" s="18" t="n"/>
      <c r="D1935" s="19" t="n"/>
      <c r="E1935" s="20" t="n"/>
      <c r="F1935" s="20" t="n"/>
      <c r="G1935" s="21" t="n"/>
      <c r="H1935" s="12">
        <f>IF(AND(B1935="",D1935="",F1935=""),"",IF(NOT(ISNUMBER(B1935)),"Needs a date",IF(D1935="","Needs a client",IF(COUNTIF(Clients!$B$6:$B$105,D1935)=0,"Not on Clients",IF(AND(F1935="",INT(B1935)&lt;TODAY()),"Needs a status","")))))</f>
        <v/>
      </c>
      <c r="I1935" s="1">
        <f>IF(ISNUMBER(B1935),INT(B1935),0)</f>
        <v/>
      </c>
      <c r="J1935">
        <f>IF(ISNUMBER(B1935),YEAR(B1935)*100+MONTH(B1935),"")</f>
        <v/>
      </c>
      <c r="K1935">
        <f>IF(AND(H1935="",OR(F1935="Attended",F1935="No-show",AND(F1935="Late cancel",Settings!$C$9="Yes"))),1,0)</f>
        <v/>
      </c>
      <c r="L1935">
        <f>IF(AND(H1935="",F1935="Attended"),1,0)</f>
        <v/>
      </c>
      <c r="M1935">
        <f>IF(AND(H1935="",OR(F1935="No-show",F1935="Late cancel")),1,0)</f>
        <v/>
      </c>
      <c r="N1935">
        <f>IF(AND(H1935="",F1935="",D1935&lt;&gt;"",I1935&gt;=TODAY()),ROUND((I1935+IF(ISNUMBER(C1935),MOD(C1935,1),0))*1440,0)*10000+ROW(),"")</f>
        <v/>
      </c>
    </row>
    <row r="1936">
      <c r="A1936" s="1" t="n"/>
      <c r="B1936" s="17" t="n"/>
      <c r="C1936" s="18" t="n"/>
      <c r="D1936" s="19" t="n"/>
      <c r="E1936" s="20" t="n"/>
      <c r="F1936" s="20" t="n"/>
      <c r="G1936" s="21" t="n"/>
      <c r="H1936" s="12">
        <f>IF(AND(B1936="",D1936="",F1936=""),"",IF(NOT(ISNUMBER(B1936)),"Needs a date",IF(D1936="","Needs a client",IF(COUNTIF(Clients!$B$6:$B$105,D1936)=0,"Not on Clients",IF(AND(F1936="",INT(B1936)&lt;TODAY()),"Needs a status","")))))</f>
        <v/>
      </c>
      <c r="I1936" s="1">
        <f>IF(ISNUMBER(B1936),INT(B1936),0)</f>
        <v/>
      </c>
      <c r="J1936">
        <f>IF(ISNUMBER(B1936),YEAR(B1936)*100+MONTH(B1936),"")</f>
        <v/>
      </c>
      <c r="K1936">
        <f>IF(AND(H1936="",OR(F1936="Attended",F1936="No-show",AND(F1936="Late cancel",Settings!$C$9="Yes"))),1,0)</f>
        <v/>
      </c>
      <c r="L1936">
        <f>IF(AND(H1936="",F1936="Attended"),1,0)</f>
        <v/>
      </c>
      <c r="M1936">
        <f>IF(AND(H1936="",OR(F1936="No-show",F1936="Late cancel")),1,0)</f>
        <v/>
      </c>
      <c r="N1936">
        <f>IF(AND(H1936="",F1936="",D1936&lt;&gt;"",I1936&gt;=TODAY()),ROUND((I1936+IF(ISNUMBER(C1936),MOD(C1936,1),0))*1440,0)*10000+ROW(),"")</f>
        <v/>
      </c>
    </row>
    <row r="1937">
      <c r="A1937" s="1" t="n"/>
      <c r="B1937" s="17" t="n"/>
      <c r="C1937" s="18" t="n"/>
      <c r="D1937" s="19" t="n"/>
      <c r="E1937" s="20" t="n"/>
      <c r="F1937" s="20" t="n"/>
      <c r="G1937" s="21" t="n"/>
      <c r="H1937" s="12">
        <f>IF(AND(B1937="",D1937="",F1937=""),"",IF(NOT(ISNUMBER(B1937)),"Needs a date",IF(D1937="","Needs a client",IF(COUNTIF(Clients!$B$6:$B$105,D1937)=0,"Not on Clients",IF(AND(F1937="",INT(B1937)&lt;TODAY()),"Needs a status","")))))</f>
        <v/>
      </c>
      <c r="I1937" s="1">
        <f>IF(ISNUMBER(B1937),INT(B1937),0)</f>
        <v/>
      </c>
      <c r="J1937">
        <f>IF(ISNUMBER(B1937),YEAR(B1937)*100+MONTH(B1937),"")</f>
        <v/>
      </c>
      <c r="K1937">
        <f>IF(AND(H1937="",OR(F1937="Attended",F1937="No-show",AND(F1937="Late cancel",Settings!$C$9="Yes"))),1,0)</f>
        <v/>
      </c>
      <c r="L1937">
        <f>IF(AND(H1937="",F1937="Attended"),1,0)</f>
        <v/>
      </c>
      <c r="M1937">
        <f>IF(AND(H1937="",OR(F1937="No-show",F1937="Late cancel")),1,0)</f>
        <v/>
      </c>
      <c r="N1937">
        <f>IF(AND(H1937="",F1937="",D1937&lt;&gt;"",I1937&gt;=TODAY()),ROUND((I1937+IF(ISNUMBER(C1937),MOD(C1937,1),0))*1440,0)*10000+ROW(),"")</f>
        <v/>
      </c>
    </row>
    <row r="1938">
      <c r="A1938" s="1" t="n"/>
      <c r="B1938" s="17" t="n"/>
      <c r="C1938" s="18" t="n"/>
      <c r="D1938" s="19" t="n"/>
      <c r="E1938" s="20" t="n"/>
      <c r="F1938" s="20" t="n"/>
      <c r="G1938" s="21" t="n"/>
      <c r="H1938" s="12">
        <f>IF(AND(B1938="",D1938="",F1938=""),"",IF(NOT(ISNUMBER(B1938)),"Needs a date",IF(D1938="","Needs a client",IF(COUNTIF(Clients!$B$6:$B$105,D1938)=0,"Not on Clients",IF(AND(F1938="",INT(B1938)&lt;TODAY()),"Needs a status","")))))</f>
        <v/>
      </c>
      <c r="I1938" s="1">
        <f>IF(ISNUMBER(B1938),INT(B1938),0)</f>
        <v/>
      </c>
      <c r="J1938">
        <f>IF(ISNUMBER(B1938),YEAR(B1938)*100+MONTH(B1938),"")</f>
        <v/>
      </c>
      <c r="K1938">
        <f>IF(AND(H1938="",OR(F1938="Attended",F1938="No-show",AND(F1938="Late cancel",Settings!$C$9="Yes"))),1,0)</f>
        <v/>
      </c>
      <c r="L1938">
        <f>IF(AND(H1938="",F1938="Attended"),1,0)</f>
        <v/>
      </c>
      <c r="M1938">
        <f>IF(AND(H1938="",OR(F1938="No-show",F1938="Late cancel")),1,0)</f>
        <v/>
      </c>
      <c r="N1938">
        <f>IF(AND(H1938="",F1938="",D1938&lt;&gt;"",I1938&gt;=TODAY()),ROUND((I1938+IF(ISNUMBER(C1938),MOD(C1938,1),0))*1440,0)*10000+ROW(),"")</f>
        <v/>
      </c>
    </row>
    <row r="1939">
      <c r="A1939" s="1" t="n"/>
      <c r="B1939" s="17" t="n"/>
      <c r="C1939" s="18" t="n"/>
      <c r="D1939" s="19" t="n"/>
      <c r="E1939" s="20" t="n"/>
      <c r="F1939" s="20" t="n"/>
      <c r="G1939" s="21" t="n"/>
      <c r="H1939" s="12">
        <f>IF(AND(B1939="",D1939="",F1939=""),"",IF(NOT(ISNUMBER(B1939)),"Needs a date",IF(D1939="","Needs a client",IF(COUNTIF(Clients!$B$6:$B$105,D1939)=0,"Not on Clients",IF(AND(F1939="",INT(B1939)&lt;TODAY()),"Needs a status","")))))</f>
        <v/>
      </c>
      <c r="I1939" s="1">
        <f>IF(ISNUMBER(B1939),INT(B1939),0)</f>
        <v/>
      </c>
      <c r="J1939">
        <f>IF(ISNUMBER(B1939),YEAR(B1939)*100+MONTH(B1939),"")</f>
        <v/>
      </c>
      <c r="K1939">
        <f>IF(AND(H1939="",OR(F1939="Attended",F1939="No-show",AND(F1939="Late cancel",Settings!$C$9="Yes"))),1,0)</f>
        <v/>
      </c>
      <c r="L1939">
        <f>IF(AND(H1939="",F1939="Attended"),1,0)</f>
        <v/>
      </c>
      <c r="M1939">
        <f>IF(AND(H1939="",OR(F1939="No-show",F1939="Late cancel")),1,0)</f>
        <v/>
      </c>
      <c r="N1939">
        <f>IF(AND(H1939="",F1939="",D1939&lt;&gt;"",I1939&gt;=TODAY()),ROUND((I1939+IF(ISNUMBER(C1939),MOD(C1939,1),0))*1440,0)*10000+ROW(),"")</f>
        <v/>
      </c>
    </row>
    <row r="1940">
      <c r="A1940" s="1" t="n"/>
      <c r="B1940" s="17" t="n"/>
      <c r="C1940" s="18" t="n"/>
      <c r="D1940" s="19" t="n"/>
      <c r="E1940" s="20" t="n"/>
      <c r="F1940" s="20" t="n"/>
      <c r="G1940" s="21" t="n"/>
      <c r="H1940" s="12">
        <f>IF(AND(B1940="",D1940="",F1940=""),"",IF(NOT(ISNUMBER(B1940)),"Needs a date",IF(D1940="","Needs a client",IF(COUNTIF(Clients!$B$6:$B$105,D1940)=0,"Not on Clients",IF(AND(F1940="",INT(B1940)&lt;TODAY()),"Needs a status","")))))</f>
        <v/>
      </c>
      <c r="I1940" s="1">
        <f>IF(ISNUMBER(B1940),INT(B1940),0)</f>
        <v/>
      </c>
      <c r="J1940">
        <f>IF(ISNUMBER(B1940),YEAR(B1940)*100+MONTH(B1940),"")</f>
        <v/>
      </c>
      <c r="K1940">
        <f>IF(AND(H1940="",OR(F1940="Attended",F1940="No-show",AND(F1940="Late cancel",Settings!$C$9="Yes"))),1,0)</f>
        <v/>
      </c>
      <c r="L1940">
        <f>IF(AND(H1940="",F1940="Attended"),1,0)</f>
        <v/>
      </c>
      <c r="M1940">
        <f>IF(AND(H1940="",OR(F1940="No-show",F1940="Late cancel")),1,0)</f>
        <v/>
      </c>
      <c r="N1940">
        <f>IF(AND(H1940="",F1940="",D1940&lt;&gt;"",I1940&gt;=TODAY()),ROUND((I1940+IF(ISNUMBER(C1940),MOD(C1940,1),0))*1440,0)*10000+ROW(),"")</f>
        <v/>
      </c>
    </row>
    <row r="1941">
      <c r="A1941" s="1" t="n"/>
      <c r="B1941" s="17" t="n"/>
      <c r="C1941" s="18" t="n"/>
      <c r="D1941" s="19" t="n"/>
      <c r="E1941" s="20" t="n"/>
      <c r="F1941" s="20" t="n"/>
      <c r="G1941" s="21" t="n"/>
      <c r="H1941" s="12">
        <f>IF(AND(B1941="",D1941="",F1941=""),"",IF(NOT(ISNUMBER(B1941)),"Needs a date",IF(D1941="","Needs a client",IF(COUNTIF(Clients!$B$6:$B$105,D1941)=0,"Not on Clients",IF(AND(F1941="",INT(B1941)&lt;TODAY()),"Needs a status","")))))</f>
        <v/>
      </c>
      <c r="I1941" s="1">
        <f>IF(ISNUMBER(B1941),INT(B1941),0)</f>
        <v/>
      </c>
      <c r="J1941">
        <f>IF(ISNUMBER(B1941),YEAR(B1941)*100+MONTH(B1941),"")</f>
        <v/>
      </c>
      <c r="K1941">
        <f>IF(AND(H1941="",OR(F1941="Attended",F1941="No-show",AND(F1941="Late cancel",Settings!$C$9="Yes"))),1,0)</f>
        <v/>
      </c>
      <c r="L1941">
        <f>IF(AND(H1941="",F1941="Attended"),1,0)</f>
        <v/>
      </c>
      <c r="M1941">
        <f>IF(AND(H1941="",OR(F1941="No-show",F1941="Late cancel")),1,0)</f>
        <v/>
      </c>
      <c r="N1941">
        <f>IF(AND(H1941="",F1941="",D1941&lt;&gt;"",I1941&gt;=TODAY()),ROUND((I1941+IF(ISNUMBER(C1941),MOD(C1941,1),0))*1440,0)*10000+ROW(),"")</f>
        <v/>
      </c>
    </row>
    <row r="1942">
      <c r="A1942" s="1" t="n"/>
      <c r="B1942" s="17" t="n"/>
      <c r="C1942" s="18" t="n"/>
      <c r="D1942" s="19" t="n"/>
      <c r="E1942" s="20" t="n"/>
      <c r="F1942" s="20" t="n"/>
      <c r="G1942" s="21" t="n"/>
      <c r="H1942" s="12">
        <f>IF(AND(B1942="",D1942="",F1942=""),"",IF(NOT(ISNUMBER(B1942)),"Needs a date",IF(D1942="","Needs a client",IF(COUNTIF(Clients!$B$6:$B$105,D1942)=0,"Not on Clients",IF(AND(F1942="",INT(B1942)&lt;TODAY()),"Needs a status","")))))</f>
        <v/>
      </c>
      <c r="I1942" s="1">
        <f>IF(ISNUMBER(B1942),INT(B1942),0)</f>
        <v/>
      </c>
      <c r="J1942">
        <f>IF(ISNUMBER(B1942),YEAR(B1942)*100+MONTH(B1942),"")</f>
        <v/>
      </c>
      <c r="K1942">
        <f>IF(AND(H1942="",OR(F1942="Attended",F1942="No-show",AND(F1942="Late cancel",Settings!$C$9="Yes"))),1,0)</f>
        <v/>
      </c>
      <c r="L1942">
        <f>IF(AND(H1942="",F1942="Attended"),1,0)</f>
        <v/>
      </c>
      <c r="M1942">
        <f>IF(AND(H1942="",OR(F1942="No-show",F1942="Late cancel")),1,0)</f>
        <v/>
      </c>
      <c r="N1942">
        <f>IF(AND(H1942="",F1942="",D1942&lt;&gt;"",I1942&gt;=TODAY()),ROUND((I1942+IF(ISNUMBER(C1942),MOD(C1942,1),0))*1440,0)*10000+ROW(),"")</f>
        <v/>
      </c>
    </row>
    <row r="1943">
      <c r="A1943" s="1" t="n"/>
      <c r="B1943" s="17" t="n"/>
      <c r="C1943" s="18" t="n"/>
      <c r="D1943" s="19" t="n"/>
      <c r="E1943" s="20" t="n"/>
      <c r="F1943" s="20" t="n"/>
      <c r="G1943" s="21" t="n"/>
      <c r="H1943" s="12">
        <f>IF(AND(B1943="",D1943="",F1943=""),"",IF(NOT(ISNUMBER(B1943)),"Needs a date",IF(D1943="","Needs a client",IF(COUNTIF(Clients!$B$6:$B$105,D1943)=0,"Not on Clients",IF(AND(F1943="",INT(B1943)&lt;TODAY()),"Needs a status","")))))</f>
        <v/>
      </c>
      <c r="I1943" s="1">
        <f>IF(ISNUMBER(B1943),INT(B1943),0)</f>
        <v/>
      </c>
      <c r="J1943">
        <f>IF(ISNUMBER(B1943),YEAR(B1943)*100+MONTH(B1943),"")</f>
        <v/>
      </c>
      <c r="K1943">
        <f>IF(AND(H1943="",OR(F1943="Attended",F1943="No-show",AND(F1943="Late cancel",Settings!$C$9="Yes"))),1,0)</f>
        <v/>
      </c>
      <c r="L1943">
        <f>IF(AND(H1943="",F1943="Attended"),1,0)</f>
        <v/>
      </c>
      <c r="M1943">
        <f>IF(AND(H1943="",OR(F1943="No-show",F1943="Late cancel")),1,0)</f>
        <v/>
      </c>
      <c r="N1943">
        <f>IF(AND(H1943="",F1943="",D1943&lt;&gt;"",I1943&gt;=TODAY()),ROUND((I1943+IF(ISNUMBER(C1943),MOD(C1943,1),0))*1440,0)*10000+ROW(),"")</f>
        <v/>
      </c>
    </row>
    <row r="1944">
      <c r="A1944" s="1" t="n"/>
      <c r="B1944" s="17" t="n"/>
      <c r="C1944" s="18" t="n"/>
      <c r="D1944" s="19" t="n"/>
      <c r="E1944" s="20" t="n"/>
      <c r="F1944" s="20" t="n"/>
      <c r="G1944" s="21" t="n"/>
      <c r="H1944" s="12">
        <f>IF(AND(B1944="",D1944="",F1944=""),"",IF(NOT(ISNUMBER(B1944)),"Needs a date",IF(D1944="","Needs a client",IF(COUNTIF(Clients!$B$6:$B$105,D1944)=0,"Not on Clients",IF(AND(F1944="",INT(B1944)&lt;TODAY()),"Needs a status","")))))</f>
        <v/>
      </c>
      <c r="I1944" s="1">
        <f>IF(ISNUMBER(B1944),INT(B1944),0)</f>
        <v/>
      </c>
      <c r="J1944">
        <f>IF(ISNUMBER(B1944),YEAR(B1944)*100+MONTH(B1944),"")</f>
        <v/>
      </c>
      <c r="K1944">
        <f>IF(AND(H1944="",OR(F1944="Attended",F1944="No-show",AND(F1944="Late cancel",Settings!$C$9="Yes"))),1,0)</f>
        <v/>
      </c>
      <c r="L1944">
        <f>IF(AND(H1944="",F1944="Attended"),1,0)</f>
        <v/>
      </c>
      <c r="M1944">
        <f>IF(AND(H1944="",OR(F1944="No-show",F1944="Late cancel")),1,0)</f>
        <v/>
      </c>
      <c r="N1944">
        <f>IF(AND(H1944="",F1944="",D1944&lt;&gt;"",I1944&gt;=TODAY()),ROUND((I1944+IF(ISNUMBER(C1944),MOD(C1944,1),0))*1440,0)*10000+ROW(),"")</f>
        <v/>
      </c>
    </row>
    <row r="1945">
      <c r="A1945" s="1" t="n"/>
      <c r="B1945" s="17" t="n"/>
      <c r="C1945" s="18" t="n"/>
      <c r="D1945" s="19" t="n"/>
      <c r="E1945" s="20" t="n"/>
      <c r="F1945" s="20" t="n"/>
      <c r="G1945" s="21" t="n"/>
      <c r="H1945" s="12">
        <f>IF(AND(B1945="",D1945="",F1945=""),"",IF(NOT(ISNUMBER(B1945)),"Needs a date",IF(D1945="","Needs a client",IF(COUNTIF(Clients!$B$6:$B$105,D1945)=0,"Not on Clients",IF(AND(F1945="",INT(B1945)&lt;TODAY()),"Needs a status","")))))</f>
        <v/>
      </c>
      <c r="I1945" s="1">
        <f>IF(ISNUMBER(B1945),INT(B1945),0)</f>
        <v/>
      </c>
      <c r="J1945">
        <f>IF(ISNUMBER(B1945),YEAR(B1945)*100+MONTH(B1945),"")</f>
        <v/>
      </c>
      <c r="K1945">
        <f>IF(AND(H1945="",OR(F1945="Attended",F1945="No-show",AND(F1945="Late cancel",Settings!$C$9="Yes"))),1,0)</f>
        <v/>
      </c>
      <c r="L1945">
        <f>IF(AND(H1945="",F1945="Attended"),1,0)</f>
        <v/>
      </c>
      <c r="M1945">
        <f>IF(AND(H1945="",OR(F1945="No-show",F1945="Late cancel")),1,0)</f>
        <v/>
      </c>
      <c r="N1945">
        <f>IF(AND(H1945="",F1945="",D1945&lt;&gt;"",I1945&gt;=TODAY()),ROUND((I1945+IF(ISNUMBER(C1945),MOD(C1945,1),0))*1440,0)*10000+ROW(),"")</f>
        <v/>
      </c>
    </row>
    <row r="1946">
      <c r="A1946" s="1" t="n"/>
      <c r="B1946" s="17" t="n"/>
      <c r="C1946" s="18" t="n"/>
      <c r="D1946" s="19" t="n"/>
      <c r="E1946" s="20" t="n"/>
      <c r="F1946" s="20" t="n"/>
      <c r="G1946" s="21" t="n"/>
      <c r="H1946" s="12">
        <f>IF(AND(B1946="",D1946="",F1946=""),"",IF(NOT(ISNUMBER(B1946)),"Needs a date",IF(D1946="","Needs a client",IF(COUNTIF(Clients!$B$6:$B$105,D1946)=0,"Not on Clients",IF(AND(F1946="",INT(B1946)&lt;TODAY()),"Needs a status","")))))</f>
        <v/>
      </c>
      <c r="I1946" s="1">
        <f>IF(ISNUMBER(B1946),INT(B1946),0)</f>
        <v/>
      </c>
      <c r="J1946">
        <f>IF(ISNUMBER(B1946),YEAR(B1946)*100+MONTH(B1946),"")</f>
        <v/>
      </c>
      <c r="K1946">
        <f>IF(AND(H1946="",OR(F1946="Attended",F1946="No-show",AND(F1946="Late cancel",Settings!$C$9="Yes"))),1,0)</f>
        <v/>
      </c>
      <c r="L1946">
        <f>IF(AND(H1946="",F1946="Attended"),1,0)</f>
        <v/>
      </c>
      <c r="M1946">
        <f>IF(AND(H1946="",OR(F1946="No-show",F1946="Late cancel")),1,0)</f>
        <v/>
      </c>
      <c r="N1946">
        <f>IF(AND(H1946="",F1946="",D1946&lt;&gt;"",I1946&gt;=TODAY()),ROUND((I1946+IF(ISNUMBER(C1946),MOD(C1946,1),0))*1440,0)*10000+ROW(),"")</f>
        <v/>
      </c>
    </row>
    <row r="1947">
      <c r="A1947" s="1" t="n"/>
      <c r="B1947" s="17" t="n"/>
      <c r="C1947" s="18" t="n"/>
      <c r="D1947" s="19" t="n"/>
      <c r="E1947" s="20" t="n"/>
      <c r="F1947" s="20" t="n"/>
      <c r="G1947" s="21" t="n"/>
      <c r="H1947" s="12">
        <f>IF(AND(B1947="",D1947="",F1947=""),"",IF(NOT(ISNUMBER(B1947)),"Needs a date",IF(D1947="","Needs a client",IF(COUNTIF(Clients!$B$6:$B$105,D1947)=0,"Not on Clients",IF(AND(F1947="",INT(B1947)&lt;TODAY()),"Needs a status","")))))</f>
        <v/>
      </c>
      <c r="I1947" s="1">
        <f>IF(ISNUMBER(B1947),INT(B1947),0)</f>
        <v/>
      </c>
      <c r="J1947">
        <f>IF(ISNUMBER(B1947),YEAR(B1947)*100+MONTH(B1947),"")</f>
        <v/>
      </c>
      <c r="K1947">
        <f>IF(AND(H1947="",OR(F1947="Attended",F1947="No-show",AND(F1947="Late cancel",Settings!$C$9="Yes"))),1,0)</f>
        <v/>
      </c>
      <c r="L1947">
        <f>IF(AND(H1947="",F1947="Attended"),1,0)</f>
        <v/>
      </c>
      <c r="M1947">
        <f>IF(AND(H1947="",OR(F1947="No-show",F1947="Late cancel")),1,0)</f>
        <v/>
      </c>
      <c r="N1947">
        <f>IF(AND(H1947="",F1947="",D1947&lt;&gt;"",I1947&gt;=TODAY()),ROUND((I1947+IF(ISNUMBER(C1947),MOD(C1947,1),0))*1440,0)*10000+ROW(),"")</f>
        <v/>
      </c>
    </row>
    <row r="1948">
      <c r="A1948" s="1" t="n"/>
      <c r="B1948" s="17" t="n"/>
      <c r="C1948" s="18" t="n"/>
      <c r="D1948" s="19" t="n"/>
      <c r="E1948" s="20" t="n"/>
      <c r="F1948" s="20" t="n"/>
      <c r="G1948" s="21" t="n"/>
      <c r="H1948" s="12">
        <f>IF(AND(B1948="",D1948="",F1948=""),"",IF(NOT(ISNUMBER(B1948)),"Needs a date",IF(D1948="","Needs a client",IF(COUNTIF(Clients!$B$6:$B$105,D1948)=0,"Not on Clients",IF(AND(F1948="",INT(B1948)&lt;TODAY()),"Needs a status","")))))</f>
        <v/>
      </c>
      <c r="I1948" s="1">
        <f>IF(ISNUMBER(B1948),INT(B1948),0)</f>
        <v/>
      </c>
      <c r="J1948">
        <f>IF(ISNUMBER(B1948),YEAR(B1948)*100+MONTH(B1948),"")</f>
        <v/>
      </c>
      <c r="K1948">
        <f>IF(AND(H1948="",OR(F1948="Attended",F1948="No-show",AND(F1948="Late cancel",Settings!$C$9="Yes"))),1,0)</f>
        <v/>
      </c>
      <c r="L1948">
        <f>IF(AND(H1948="",F1948="Attended"),1,0)</f>
        <v/>
      </c>
      <c r="M1948">
        <f>IF(AND(H1948="",OR(F1948="No-show",F1948="Late cancel")),1,0)</f>
        <v/>
      </c>
      <c r="N1948">
        <f>IF(AND(H1948="",F1948="",D1948&lt;&gt;"",I1948&gt;=TODAY()),ROUND((I1948+IF(ISNUMBER(C1948),MOD(C1948,1),0))*1440,0)*10000+ROW(),"")</f>
        <v/>
      </c>
    </row>
    <row r="1949">
      <c r="A1949" s="1" t="n"/>
      <c r="B1949" s="17" t="n"/>
      <c r="C1949" s="18" t="n"/>
      <c r="D1949" s="19" t="n"/>
      <c r="E1949" s="20" t="n"/>
      <c r="F1949" s="20" t="n"/>
      <c r="G1949" s="21" t="n"/>
      <c r="H1949" s="12">
        <f>IF(AND(B1949="",D1949="",F1949=""),"",IF(NOT(ISNUMBER(B1949)),"Needs a date",IF(D1949="","Needs a client",IF(COUNTIF(Clients!$B$6:$B$105,D1949)=0,"Not on Clients",IF(AND(F1949="",INT(B1949)&lt;TODAY()),"Needs a status","")))))</f>
        <v/>
      </c>
      <c r="I1949" s="1">
        <f>IF(ISNUMBER(B1949),INT(B1949),0)</f>
        <v/>
      </c>
      <c r="J1949">
        <f>IF(ISNUMBER(B1949),YEAR(B1949)*100+MONTH(B1949),"")</f>
        <v/>
      </c>
      <c r="K1949">
        <f>IF(AND(H1949="",OR(F1949="Attended",F1949="No-show",AND(F1949="Late cancel",Settings!$C$9="Yes"))),1,0)</f>
        <v/>
      </c>
      <c r="L1949">
        <f>IF(AND(H1949="",F1949="Attended"),1,0)</f>
        <v/>
      </c>
      <c r="M1949">
        <f>IF(AND(H1949="",OR(F1949="No-show",F1949="Late cancel")),1,0)</f>
        <v/>
      </c>
      <c r="N1949">
        <f>IF(AND(H1949="",F1949="",D1949&lt;&gt;"",I1949&gt;=TODAY()),ROUND((I1949+IF(ISNUMBER(C1949),MOD(C1949,1),0))*1440,0)*10000+ROW(),"")</f>
        <v/>
      </c>
    </row>
    <row r="1950">
      <c r="A1950" s="1" t="n"/>
      <c r="B1950" s="17" t="n"/>
      <c r="C1950" s="18" t="n"/>
      <c r="D1950" s="19" t="n"/>
      <c r="E1950" s="20" t="n"/>
      <c r="F1950" s="20" t="n"/>
      <c r="G1950" s="21" t="n"/>
      <c r="H1950" s="12">
        <f>IF(AND(B1950="",D1950="",F1950=""),"",IF(NOT(ISNUMBER(B1950)),"Needs a date",IF(D1950="","Needs a client",IF(COUNTIF(Clients!$B$6:$B$105,D1950)=0,"Not on Clients",IF(AND(F1950="",INT(B1950)&lt;TODAY()),"Needs a status","")))))</f>
        <v/>
      </c>
      <c r="I1950" s="1">
        <f>IF(ISNUMBER(B1950),INT(B1950),0)</f>
        <v/>
      </c>
      <c r="J1950">
        <f>IF(ISNUMBER(B1950),YEAR(B1950)*100+MONTH(B1950),"")</f>
        <v/>
      </c>
      <c r="K1950">
        <f>IF(AND(H1950="",OR(F1950="Attended",F1950="No-show",AND(F1950="Late cancel",Settings!$C$9="Yes"))),1,0)</f>
        <v/>
      </c>
      <c r="L1950">
        <f>IF(AND(H1950="",F1950="Attended"),1,0)</f>
        <v/>
      </c>
      <c r="M1950">
        <f>IF(AND(H1950="",OR(F1950="No-show",F1950="Late cancel")),1,0)</f>
        <v/>
      </c>
      <c r="N1950">
        <f>IF(AND(H1950="",F1950="",D1950&lt;&gt;"",I1950&gt;=TODAY()),ROUND((I1950+IF(ISNUMBER(C1950),MOD(C1950,1),0))*1440,0)*10000+ROW(),"")</f>
        <v/>
      </c>
    </row>
    <row r="1951">
      <c r="A1951" s="1" t="n"/>
      <c r="B1951" s="17" t="n"/>
      <c r="C1951" s="18" t="n"/>
      <c r="D1951" s="19" t="n"/>
      <c r="E1951" s="20" t="n"/>
      <c r="F1951" s="20" t="n"/>
      <c r="G1951" s="21" t="n"/>
      <c r="H1951" s="12">
        <f>IF(AND(B1951="",D1951="",F1951=""),"",IF(NOT(ISNUMBER(B1951)),"Needs a date",IF(D1951="","Needs a client",IF(COUNTIF(Clients!$B$6:$B$105,D1951)=0,"Not on Clients",IF(AND(F1951="",INT(B1951)&lt;TODAY()),"Needs a status","")))))</f>
        <v/>
      </c>
      <c r="I1951" s="1">
        <f>IF(ISNUMBER(B1951),INT(B1951),0)</f>
        <v/>
      </c>
      <c r="J1951">
        <f>IF(ISNUMBER(B1951),YEAR(B1951)*100+MONTH(B1951),"")</f>
        <v/>
      </c>
      <c r="K1951">
        <f>IF(AND(H1951="",OR(F1951="Attended",F1951="No-show",AND(F1951="Late cancel",Settings!$C$9="Yes"))),1,0)</f>
        <v/>
      </c>
      <c r="L1951">
        <f>IF(AND(H1951="",F1951="Attended"),1,0)</f>
        <v/>
      </c>
      <c r="M1951">
        <f>IF(AND(H1951="",OR(F1951="No-show",F1951="Late cancel")),1,0)</f>
        <v/>
      </c>
      <c r="N1951">
        <f>IF(AND(H1951="",F1951="",D1951&lt;&gt;"",I1951&gt;=TODAY()),ROUND((I1951+IF(ISNUMBER(C1951),MOD(C1951,1),0))*1440,0)*10000+ROW(),"")</f>
        <v/>
      </c>
    </row>
    <row r="1952">
      <c r="A1952" s="1" t="n"/>
      <c r="B1952" s="17" t="n"/>
      <c r="C1952" s="18" t="n"/>
      <c r="D1952" s="19" t="n"/>
      <c r="E1952" s="20" t="n"/>
      <c r="F1952" s="20" t="n"/>
      <c r="G1952" s="21" t="n"/>
      <c r="H1952" s="12">
        <f>IF(AND(B1952="",D1952="",F1952=""),"",IF(NOT(ISNUMBER(B1952)),"Needs a date",IF(D1952="","Needs a client",IF(COUNTIF(Clients!$B$6:$B$105,D1952)=0,"Not on Clients",IF(AND(F1952="",INT(B1952)&lt;TODAY()),"Needs a status","")))))</f>
        <v/>
      </c>
      <c r="I1952" s="1">
        <f>IF(ISNUMBER(B1952),INT(B1952),0)</f>
        <v/>
      </c>
      <c r="J1952">
        <f>IF(ISNUMBER(B1952),YEAR(B1952)*100+MONTH(B1952),"")</f>
        <v/>
      </c>
      <c r="K1952">
        <f>IF(AND(H1952="",OR(F1952="Attended",F1952="No-show",AND(F1952="Late cancel",Settings!$C$9="Yes"))),1,0)</f>
        <v/>
      </c>
      <c r="L1952">
        <f>IF(AND(H1952="",F1952="Attended"),1,0)</f>
        <v/>
      </c>
      <c r="M1952">
        <f>IF(AND(H1952="",OR(F1952="No-show",F1952="Late cancel")),1,0)</f>
        <v/>
      </c>
      <c r="N1952">
        <f>IF(AND(H1952="",F1952="",D1952&lt;&gt;"",I1952&gt;=TODAY()),ROUND((I1952+IF(ISNUMBER(C1952),MOD(C1952,1),0))*1440,0)*10000+ROW(),"")</f>
        <v/>
      </c>
    </row>
    <row r="1953">
      <c r="A1953" s="1" t="n"/>
      <c r="B1953" s="17" t="n"/>
      <c r="C1953" s="18" t="n"/>
      <c r="D1953" s="19" t="n"/>
      <c r="E1953" s="20" t="n"/>
      <c r="F1953" s="20" t="n"/>
      <c r="G1953" s="21" t="n"/>
      <c r="H1953" s="12">
        <f>IF(AND(B1953="",D1953="",F1953=""),"",IF(NOT(ISNUMBER(B1953)),"Needs a date",IF(D1953="","Needs a client",IF(COUNTIF(Clients!$B$6:$B$105,D1953)=0,"Not on Clients",IF(AND(F1953="",INT(B1953)&lt;TODAY()),"Needs a status","")))))</f>
        <v/>
      </c>
      <c r="I1953" s="1">
        <f>IF(ISNUMBER(B1953),INT(B1953),0)</f>
        <v/>
      </c>
      <c r="J1953">
        <f>IF(ISNUMBER(B1953),YEAR(B1953)*100+MONTH(B1953),"")</f>
        <v/>
      </c>
      <c r="K1953">
        <f>IF(AND(H1953="",OR(F1953="Attended",F1953="No-show",AND(F1953="Late cancel",Settings!$C$9="Yes"))),1,0)</f>
        <v/>
      </c>
      <c r="L1953">
        <f>IF(AND(H1953="",F1953="Attended"),1,0)</f>
        <v/>
      </c>
      <c r="M1953">
        <f>IF(AND(H1953="",OR(F1953="No-show",F1953="Late cancel")),1,0)</f>
        <v/>
      </c>
      <c r="N1953">
        <f>IF(AND(H1953="",F1953="",D1953&lt;&gt;"",I1953&gt;=TODAY()),ROUND((I1953+IF(ISNUMBER(C1953),MOD(C1953,1),0))*1440,0)*10000+ROW(),"")</f>
        <v/>
      </c>
    </row>
    <row r="1954">
      <c r="A1954" s="1" t="n"/>
      <c r="B1954" s="17" t="n"/>
      <c r="C1954" s="18" t="n"/>
      <c r="D1954" s="19" t="n"/>
      <c r="E1954" s="20" t="n"/>
      <c r="F1954" s="20" t="n"/>
      <c r="G1954" s="21" t="n"/>
      <c r="H1954" s="12">
        <f>IF(AND(B1954="",D1954="",F1954=""),"",IF(NOT(ISNUMBER(B1954)),"Needs a date",IF(D1954="","Needs a client",IF(COUNTIF(Clients!$B$6:$B$105,D1954)=0,"Not on Clients",IF(AND(F1954="",INT(B1954)&lt;TODAY()),"Needs a status","")))))</f>
        <v/>
      </c>
      <c r="I1954" s="1">
        <f>IF(ISNUMBER(B1954),INT(B1954),0)</f>
        <v/>
      </c>
      <c r="J1954">
        <f>IF(ISNUMBER(B1954),YEAR(B1954)*100+MONTH(B1954),"")</f>
        <v/>
      </c>
      <c r="K1954">
        <f>IF(AND(H1954="",OR(F1954="Attended",F1954="No-show",AND(F1954="Late cancel",Settings!$C$9="Yes"))),1,0)</f>
        <v/>
      </c>
      <c r="L1954">
        <f>IF(AND(H1954="",F1954="Attended"),1,0)</f>
        <v/>
      </c>
      <c r="M1954">
        <f>IF(AND(H1954="",OR(F1954="No-show",F1954="Late cancel")),1,0)</f>
        <v/>
      </c>
      <c r="N1954">
        <f>IF(AND(H1954="",F1954="",D1954&lt;&gt;"",I1954&gt;=TODAY()),ROUND((I1954+IF(ISNUMBER(C1954),MOD(C1954,1),0))*1440,0)*10000+ROW(),"")</f>
        <v/>
      </c>
    </row>
    <row r="1955">
      <c r="A1955" s="1" t="n"/>
      <c r="B1955" s="17" t="n"/>
      <c r="C1955" s="18" t="n"/>
      <c r="D1955" s="19" t="n"/>
      <c r="E1955" s="20" t="n"/>
      <c r="F1955" s="20" t="n"/>
      <c r="G1955" s="21" t="n"/>
      <c r="H1955" s="12">
        <f>IF(AND(B1955="",D1955="",F1955=""),"",IF(NOT(ISNUMBER(B1955)),"Needs a date",IF(D1955="","Needs a client",IF(COUNTIF(Clients!$B$6:$B$105,D1955)=0,"Not on Clients",IF(AND(F1955="",INT(B1955)&lt;TODAY()),"Needs a status","")))))</f>
        <v/>
      </c>
      <c r="I1955" s="1">
        <f>IF(ISNUMBER(B1955),INT(B1955),0)</f>
        <v/>
      </c>
      <c r="J1955">
        <f>IF(ISNUMBER(B1955),YEAR(B1955)*100+MONTH(B1955),"")</f>
        <v/>
      </c>
      <c r="K1955">
        <f>IF(AND(H1955="",OR(F1955="Attended",F1955="No-show",AND(F1955="Late cancel",Settings!$C$9="Yes"))),1,0)</f>
        <v/>
      </c>
      <c r="L1955">
        <f>IF(AND(H1955="",F1955="Attended"),1,0)</f>
        <v/>
      </c>
      <c r="M1955">
        <f>IF(AND(H1955="",OR(F1955="No-show",F1955="Late cancel")),1,0)</f>
        <v/>
      </c>
      <c r="N1955">
        <f>IF(AND(H1955="",F1955="",D1955&lt;&gt;"",I1955&gt;=TODAY()),ROUND((I1955+IF(ISNUMBER(C1955),MOD(C1955,1),0))*1440,0)*10000+ROW(),"")</f>
        <v/>
      </c>
    </row>
    <row r="1956">
      <c r="A1956" s="1" t="n"/>
      <c r="B1956" s="17" t="n"/>
      <c r="C1956" s="18" t="n"/>
      <c r="D1956" s="19" t="n"/>
      <c r="E1956" s="20" t="n"/>
      <c r="F1956" s="20" t="n"/>
      <c r="G1956" s="21" t="n"/>
      <c r="H1956" s="12">
        <f>IF(AND(B1956="",D1956="",F1956=""),"",IF(NOT(ISNUMBER(B1956)),"Needs a date",IF(D1956="","Needs a client",IF(COUNTIF(Clients!$B$6:$B$105,D1956)=0,"Not on Clients",IF(AND(F1956="",INT(B1956)&lt;TODAY()),"Needs a status","")))))</f>
        <v/>
      </c>
      <c r="I1956" s="1">
        <f>IF(ISNUMBER(B1956),INT(B1956),0)</f>
        <v/>
      </c>
      <c r="J1956">
        <f>IF(ISNUMBER(B1956),YEAR(B1956)*100+MONTH(B1956),"")</f>
        <v/>
      </c>
      <c r="K1956">
        <f>IF(AND(H1956="",OR(F1956="Attended",F1956="No-show",AND(F1956="Late cancel",Settings!$C$9="Yes"))),1,0)</f>
        <v/>
      </c>
      <c r="L1956">
        <f>IF(AND(H1956="",F1956="Attended"),1,0)</f>
        <v/>
      </c>
      <c r="M1956">
        <f>IF(AND(H1956="",OR(F1956="No-show",F1956="Late cancel")),1,0)</f>
        <v/>
      </c>
      <c r="N1956">
        <f>IF(AND(H1956="",F1956="",D1956&lt;&gt;"",I1956&gt;=TODAY()),ROUND((I1956+IF(ISNUMBER(C1956),MOD(C1956,1),0))*1440,0)*10000+ROW(),"")</f>
        <v/>
      </c>
    </row>
    <row r="1957">
      <c r="A1957" s="1" t="n"/>
      <c r="B1957" s="17" t="n"/>
      <c r="C1957" s="18" t="n"/>
      <c r="D1957" s="19" t="n"/>
      <c r="E1957" s="20" t="n"/>
      <c r="F1957" s="20" t="n"/>
      <c r="G1957" s="21" t="n"/>
      <c r="H1957" s="12">
        <f>IF(AND(B1957="",D1957="",F1957=""),"",IF(NOT(ISNUMBER(B1957)),"Needs a date",IF(D1957="","Needs a client",IF(COUNTIF(Clients!$B$6:$B$105,D1957)=0,"Not on Clients",IF(AND(F1957="",INT(B1957)&lt;TODAY()),"Needs a status","")))))</f>
        <v/>
      </c>
      <c r="I1957" s="1">
        <f>IF(ISNUMBER(B1957),INT(B1957),0)</f>
        <v/>
      </c>
      <c r="J1957">
        <f>IF(ISNUMBER(B1957),YEAR(B1957)*100+MONTH(B1957),"")</f>
        <v/>
      </c>
      <c r="K1957">
        <f>IF(AND(H1957="",OR(F1957="Attended",F1957="No-show",AND(F1957="Late cancel",Settings!$C$9="Yes"))),1,0)</f>
        <v/>
      </c>
      <c r="L1957">
        <f>IF(AND(H1957="",F1957="Attended"),1,0)</f>
        <v/>
      </c>
      <c r="M1957">
        <f>IF(AND(H1957="",OR(F1957="No-show",F1957="Late cancel")),1,0)</f>
        <v/>
      </c>
      <c r="N1957">
        <f>IF(AND(H1957="",F1957="",D1957&lt;&gt;"",I1957&gt;=TODAY()),ROUND((I1957+IF(ISNUMBER(C1957),MOD(C1957,1),0))*1440,0)*10000+ROW(),"")</f>
        <v/>
      </c>
    </row>
    <row r="1958">
      <c r="A1958" s="1" t="n"/>
      <c r="B1958" s="17" t="n"/>
      <c r="C1958" s="18" t="n"/>
      <c r="D1958" s="19" t="n"/>
      <c r="E1958" s="20" t="n"/>
      <c r="F1958" s="20" t="n"/>
      <c r="G1958" s="21" t="n"/>
      <c r="H1958" s="12">
        <f>IF(AND(B1958="",D1958="",F1958=""),"",IF(NOT(ISNUMBER(B1958)),"Needs a date",IF(D1958="","Needs a client",IF(COUNTIF(Clients!$B$6:$B$105,D1958)=0,"Not on Clients",IF(AND(F1958="",INT(B1958)&lt;TODAY()),"Needs a status","")))))</f>
        <v/>
      </c>
      <c r="I1958" s="1">
        <f>IF(ISNUMBER(B1958),INT(B1958),0)</f>
        <v/>
      </c>
      <c r="J1958">
        <f>IF(ISNUMBER(B1958),YEAR(B1958)*100+MONTH(B1958),"")</f>
        <v/>
      </c>
      <c r="K1958">
        <f>IF(AND(H1958="",OR(F1958="Attended",F1958="No-show",AND(F1958="Late cancel",Settings!$C$9="Yes"))),1,0)</f>
        <v/>
      </c>
      <c r="L1958">
        <f>IF(AND(H1958="",F1958="Attended"),1,0)</f>
        <v/>
      </c>
      <c r="M1958">
        <f>IF(AND(H1958="",OR(F1958="No-show",F1958="Late cancel")),1,0)</f>
        <v/>
      </c>
      <c r="N1958">
        <f>IF(AND(H1958="",F1958="",D1958&lt;&gt;"",I1958&gt;=TODAY()),ROUND((I1958+IF(ISNUMBER(C1958),MOD(C1958,1),0))*1440,0)*10000+ROW(),"")</f>
        <v/>
      </c>
    </row>
    <row r="1959">
      <c r="A1959" s="1" t="n"/>
      <c r="B1959" s="17" t="n"/>
      <c r="C1959" s="18" t="n"/>
      <c r="D1959" s="19" t="n"/>
      <c r="E1959" s="20" t="n"/>
      <c r="F1959" s="20" t="n"/>
      <c r="G1959" s="21" t="n"/>
      <c r="H1959" s="12">
        <f>IF(AND(B1959="",D1959="",F1959=""),"",IF(NOT(ISNUMBER(B1959)),"Needs a date",IF(D1959="","Needs a client",IF(COUNTIF(Clients!$B$6:$B$105,D1959)=0,"Not on Clients",IF(AND(F1959="",INT(B1959)&lt;TODAY()),"Needs a status","")))))</f>
        <v/>
      </c>
      <c r="I1959" s="1">
        <f>IF(ISNUMBER(B1959),INT(B1959),0)</f>
        <v/>
      </c>
      <c r="J1959">
        <f>IF(ISNUMBER(B1959),YEAR(B1959)*100+MONTH(B1959),"")</f>
        <v/>
      </c>
      <c r="K1959">
        <f>IF(AND(H1959="",OR(F1959="Attended",F1959="No-show",AND(F1959="Late cancel",Settings!$C$9="Yes"))),1,0)</f>
        <v/>
      </c>
      <c r="L1959">
        <f>IF(AND(H1959="",F1959="Attended"),1,0)</f>
        <v/>
      </c>
      <c r="M1959">
        <f>IF(AND(H1959="",OR(F1959="No-show",F1959="Late cancel")),1,0)</f>
        <v/>
      </c>
      <c r="N1959">
        <f>IF(AND(H1959="",F1959="",D1959&lt;&gt;"",I1959&gt;=TODAY()),ROUND((I1959+IF(ISNUMBER(C1959),MOD(C1959,1),0))*1440,0)*10000+ROW(),"")</f>
        <v/>
      </c>
    </row>
    <row r="1960">
      <c r="A1960" s="1" t="n"/>
      <c r="B1960" s="17" t="n"/>
      <c r="C1960" s="18" t="n"/>
      <c r="D1960" s="19" t="n"/>
      <c r="E1960" s="20" t="n"/>
      <c r="F1960" s="20" t="n"/>
      <c r="G1960" s="21" t="n"/>
      <c r="H1960" s="12">
        <f>IF(AND(B1960="",D1960="",F1960=""),"",IF(NOT(ISNUMBER(B1960)),"Needs a date",IF(D1960="","Needs a client",IF(COUNTIF(Clients!$B$6:$B$105,D1960)=0,"Not on Clients",IF(AND(F1960="",INT(B1960)&lt;TODAY()),"Needs a status","")))))</f>
        <v/>
      </c>
      <c r="I1960" s="1">
        <f>IF(ISNUMBER(B1960),INT(B1960),0)</f>
        <v/>
      </c>
      <c r="J1960">
        <f>IF(ISNUMBER(B1960),YEAR(B1960)*100+MONTH(B1960),"")</f>
        <v/>
      </c>
      <c r="K1960">
        <f>IF(AND(H1960="",OR(F1960="Attended",F1960="No-show",AND(F1960="Late cancel",Settings!$C$9="Yes"))),1,0)</f>
        <v/>
      </c>
      <c r="L1960">
        <f>IF(AND(H1960="",F1960="Attended"),1,0)</f>
        <v/>
      </c>
      <c r="M1960">
        <f>IF(AND(H1960="",OR(F1960="No-show",F1960="Late cancel")),1,0)</f>
        <v/>
      </c>
      <c r="N1960">
        <f>IF(AND(H1960="",F1960="",D1960&lt;&gt;"",I1960&gt;=TODAY()),ROUND((I1960+IF(ISNUMBER(C1960),MOD(C1960,1),0))*1440,0)*10000+ROW(),"")</f>
        <v/>
      </c>
    </row>
    <row r="1961">
      <c r="A1961" s="1" t="n"/>
      <c r="B1961" s="17" t="n"/>
      <c r="C1961" s="18" t="n"/>
      <c r="D1961" s="19" t="n"/>
      <c r="E1961" s="20" t="n"/>
      <c r="F1961" s="20" t="n"/>
      <c r="G1961" s="21" t="n"/>
      <c r="H1961" s="12">
        <f>IF(AND(B1961="",D1961="",F1961=""),"",IF(NOT(ISNUMBER(B1961)),"Needs a date",IF(D1961="","Needs a client",IF(COUNTIF(Clients!$B$6:$B$105,D1961)=0,"Not on Clients",IF(AND(F1961="",INT(B1961)&lt;TODAY()),"Needs a status","")))))</f>
        <v/>
      </c>
      <c r="I1961" s="1">
        <f>IF(ISNUMBER(B1961),INT(B1961),0)</f>
        <v/>
      </c>
      <c r="J1961">
        <f>IF(ISNUMBER(B1961),YEAR(B1961)*100+MONTH(B1961),"")</f>
        <v/>
      </c>
      <c r="K1961">
        <f>IF(AND(H1961="",OR(F1961="Attended",F1961="No-show",AND(F1961="Late cancel",Settings!$C$9="Yes"))),1,0)</f>
        <v/>
      </c>
      <c r="L1961">
        <f>IF(AND(H1961="",F1961="Attended"),1,0)</f>
        <v/>
      </c>
      <c r="M1961">
        <f>IF(AND(H1961="",OR(F1961="No-show",F1961="Late cancel")),1,0)</f>
        <v/>
      </c>
      <c r="N1961">
        <f>IF(AND(H1961="",F1961="",D1961&lt;&gt;"",I1961&gt;=TODAY()),ROUND((I1961+IF(ISNUMBER(C1961),MOD(C1961,1),0))*1440,0)*10000+ROW(),"")</f>
        <v/>
      </c>
    </row>
    <row r="1962">
      <c r="A1962" s="1" t="n"/>
      <c r="B1962" s="17" t="n"/>
      <c r="C1962" s="18" t="n"/>
      <c r="D1962" s="19" t="n"/>
      <c r="E1962" s="20" t="n"/>
      <c r="F1962" s="20" t="n"/>
      <c r="G1962" s="21" t="n"/>
      <c r="H1962" s="12">
        <f>IF(AND(B1962="",D1962="",F1962=""),"",IF(NOT(ISNUMBER(B1962)),"Needs a date",IF(D1962="","Needs a client",IF(COUNTIF(Clients!$B$6:$B$105,D1962)=0,"Not on Clients",IF(AND(F1962="",INT(B1962)&lt;TODAY()),"Needs a status","")))))</f>
        <v/>
      </c>
      <c r="I1962" s="1">
        <f>IF(ISNUMBER(B1962),INT(B1962),0)</f>
        <v/>
      </c>
      <c r="J1962">
        <f>IF(ISNUMBER(B1962),YEAR(B1962)*100+MONTH(B1962),"")</f>
        <v/>
      </c>
      <c r="K1962">
        <f>IF(AND(H1962="",OR(F1962="Attended",F1962="No-show",AND(F1962="Late cancel",Settings!$C$9="Yes"))),1,0)</f>
        <v/>
      </c>
      <c r="L1962">
        <f>IF(AND(H1962="",F1962="Attended"),1,0)</f>
        <v/>
      </c>
      <c r="M1962">
        <f>IF(AND(H1962="",OR(F1962="No-show",F1962="Late cancel")),1,0)</f>
        <v/>
      </c>
      <c r="N1962">
        <f>IF(AND(H1962="",F1962="",D1962&lt;&gt;"",I1962&gt;=TODAY()),ROUND((I1962+IF(ISNUMBER(C1962),MOD(C1962,1),0))*1440,0)*10000+ROW(),"")</f>
        <v/>
      </c>
    </row>
    <row r="1963">
      <c r="A1963" s="1" t="n"/>
      <c r="B1963" s="17" t="n"/>
      <c r="C1963" s="18" t="n"/>
      <c r="D1963" s="19" t="n"/>
      <c r="E1963" s="20" t="n"/>
      <c r="F1963" s="20" t="n"/>
      <c r="G1963" s="21" t="n"/>
      <c r="H1963" s="12">
        <f>IF(AND(B1963="",D1963="",F1963=""),"",IF(NOT(ISNUMBER(B1963)),"Needs a date",IF(D1963="","Needs a client",IF(COUNTIF(Clients!$B$6:$B$105,D1963)=0,"Not on Clients",IF(AND(F1963="",INT(B1963)&lt;TODAY()),"Needs a status","")))))</f>
        <v/>
      </c>
      <c r="I1963" s="1">
        <f>IF(ISNUMBER(B1963),INT(B1963),0)</f>
        <v/>
      </c>
      <c r="J1963">
        <f>IF(ISNUMBER(B1963),YEAR(B1963)*100+MONTH(B1963),"")</f>
        <v/>
      </c>
      <c r="K1963">
        <f>IF(AND(H1963="",OR(F1963="Attended",F1963="No-show",AND(F1963="Late cancel",Settings!$C$9="Yes"))),1,0)</f>
        <v/>
      </c>
      <c r="L1963">
        <f>IF(AND(H1963="",F1963="Attended"),1,0)</f>
        <v/>
      </c>
      <c r="M1963">
        <f>IF(AND(H1963="",OR(F1963="No-show",F1963="Late cancel")),1,0)</f>
        <v/>
      </c>
      <c r="N1963">
        <f>IF(AND(H1963="",F1963="",D1963&lt;&gt;"",I1963&gt;=TODAY()),ROUND((I1963+IF(ISNUMBER(C1963),MOD(C1963,1),0))*1440,0)*10000+ROW(),"")</f>
        <v/>
      </c>
    </row>
    <row r="1964">
      <c r="A1964" s="1" t="n"/>
      <c r="B1964" s="17" t="n"/>
      <c r="C1964" s="18" t="n"/>
      <c r="D1964" s="19" t="n"/>
      <c r="E1964" s="20" t="n"/>
      <c r="F1964" s="20" t="n"/>
      <c r="G1964" s="21" t="n"/>
      <c r="H1964" s="12">
        <f>IF(AND(B1964="",D1964="",F1964=""),"",IF(NOT(ISNUMBER(B1964)),"Needs a date",IF(D1964="","Needs a client",IF(COUNTIF(Clients!$B$6:$B$105,D1964)=0,"Not on Clients",IF(AND(F1964="",INT(B1964)&lt;TODAY()),"Needs a status","")))))</f>
        <v/>
      </c>
      <c r="I1964" s="1">
        <f>IF(ISNUMBER(B1964),INT(B1964),0)</f>
        <v/>
      </c>
      <c r="J1964">
        <f>IF(ISNUMBER(B1964),YEAR(B1964)*100+MONTH(B1964),"")</f>
        <v/>
      </c>
      <c r="K1964">
        <f>IF(AND(H1964="",OR(F1964="Attended",F1964="No-show",AND(F1964="Late cancel",Settings!$C$9="Yes"))),1,0)</f>
        <v/>
      </c>
      <c r="L1964">
        <f>IF(AND(H1964="",F1964="Attended"),1,0)</f>
        <v/>
      </c>
      <c r="M1964">
        <f>IF(AND(H1964="",OR(F1964="No-show",F1964="Late cancel")),1,0)</f>
        <v/>
      </c>
      <c r="N1964">
        <f>IF(AND(H1964="",F1964="",D1964&lt;&gt;"",I1964&gt;=TODAY()),ROUND((I1964+IF(ISNUMBER(C1964),MOD(C1964,1),0))*1440,0)*10000+ROW(),"")</f>
        <v/>
      </c>
    </row>
    <row r="1965">
      <c r="A1965" s="1" t="n"/>
      <c r="B1965" s="17" t="n"/>
      <c r="C1965" s="18" t="n"/>
      <c r="D1965" s="19" t="n"/>
      <c r="E1965" s="20" t="n"/>
      <c r="F1965" s="20" t="n"/>
      <c r="G1965" s="21" t="n"/>
      <c r="H1965" s="12">
        <f>IF(AND(B1965="",D1965="",F1965=""),"",IF(NOT(ISNUMBER(B1965)),"Needs a date",IF(D1965="","Needs a client",IF(COUNTIF(Clients!$B$6:$B$105,D1965)=0,"Not on Clients",IF(AND(F1965="",INT(B1965)&lt;TODAY()),"Needs a status","")))))</f>
        <v/>
      </c>
      <c r="I1965" s="1">
        <f>IF(ISNUMBER(B1965),INT(B1965),0)</f>
        <v/>
      </c>
      <c r="J1965">
        <f>IF(ISNUMBER(B1965),YEAR(B1965)*100+MONTH(B1965),"")</f>
        <v/>
      </c>
      <c r="K1965">
        <f>IF(AND(H1965="",OR(F1965="Attended",F1965="No-show",AND(F1965="Late cancel",Settings!$C$9="Yes"))),1,0)</f>
        <v/>
      </c>
      <c r="L1965">
        <f>IF(AND(H1965="",F1965="Attended"),1,0)</f>
        <v/>
      </c>
      <c r="M1965">
        <f>IF(AND(H1965="",OR(F1965="No-show",F1965="Late cancel")),1,0)</f>
        <v/>
      </c>
      <c r="N1965">
        <f>IF(AND(H1965="",F1965="",D1965&lt;&gt;"",I1965&gt;=TODAY()),ROUND((I1965+IF(ISNUMBER(C1965),MOD(C1965,1),0))*1440,0)*10000+ROW(),"")</f>
        <v/>
      </c>
    </row>
    <row r="1966">
      <c r="A1966" s="1" t="n"/>
      <c r="B1966" s="17" t="n"/>
      <c r="C1966" s="18" t="n"/>
      <c r="D1966" s="19" t="n"/>
      <c r="E1966" s="20" t="n"/>
      <c r="F1966" s="20" t="n"/>
      <c r="G1966" s="21" t="n"/>
      <c r="H1966" s="12">
        <f>IF(AND(B1966="",D1966="",F1966=""),"",IF(NOT(ISNUMBER(B1966)),"Needs a date",IF(D1966="","Needs a client",IF(COUNTIF(Clients!$B$6:$B$105,D1966)=0,"Not on Clients",IF(AND(F1966="",INT(B1966)&lt;TODAY()),"Needs a status","")))))</f>
        <v/>
      </c>
      <c r="I1966" s="1">
        <f>IF(ISNUMBER(B1966),INT(B1966),0)</f>
        <v/>
      </c>
      <c r="J1966">
        <f>IF(ISNUMBER(B1966),YEAR(B1966)*100+MONTH(B1966),"")</f>
        <v/>
      </c>
      <c r="K1966">
        <f>IF(AND(H1966="",OR(F1966="Attended",F1966="No-show",AND(F1966="Late cancel",Settings!$C$9="Yes"))),1,0)</f>
        <v/>
      </c>
      <c r="L1966">
        <f>IF(AND(H1966="",F1966="Attended"),1,0)</f>
        <v/>
      </c>
      <c r="M1966">
        <f>IF(AND(H1966="",OR(F1966="No-show",F1966="Late cancel")),1,0)</f>
        <v/>
      </c>
      <c r="N1966">
        <f>IF(AND(H1966="",F1966="",D1966&lt;&gt;"",I1966&gt;=TODAY()),ROUND((I1966+IF(ISNUMBER(C1966),MOD(C1966,1),0))*1440,0)*10000+ROW(),"")</f>
        <v/>
      </c>
    </row>
    <row r="1967">
      <c r="A1967" s="1" t="n"/>
      <c r="B1967" s="17" t="n"/>
      <c r="C1967" s="18" t="n"/>
      <c r="D1967" s="19" t="n"/>
      <c r="E1967" s="20" t="n"/>
      <c r="F1967" s="20" t="n"/>
      <c r="G1967" s="21" t="n"/>
      <c r="H1967" s="12">
        <f>IF(AND(B1967="",D1967="",F1967=""),"",IF(NOT(ISNUMBER(B1967)),"Needs a date",IF(D1967="","Needs a client",IF(COUNTIF(Clients!$B$6:$B$105,D1967)=0,"Not on Clients",IF(AND(F1967="",INT(B1967)&lt;TODAY()),"Needs a status","")))))</f>
        <v/>
      </c>
      <c r="I1967" s="1">
        <f>IF(ISNUMBER(B1967),INT(B1967),0)</f>
        <v/>
      </c>
      <c r="J1967">
        <f>IF(ISNUMBER(B1967),YEAR(B1967)*100+MONTH(B1967),"")</f>
        <v/>
      </c>
      <c r="K1967">
        <f>IF(AND(H1967="",OR(F1967="Attended",F1967="No-show",AND(F1967="Late cancel",Settings!$C$9="Yes"))),1,0)</f>
        <v/>
      </c>
      <c r="L1967">
        <f>IF(AND(H1967="",F1967="Attended"),1,0)</f>
        <v/>
      </c>
      <c r="M1967">
        <f>IF(AND(H1967="",OR(F1967="No-show",F1967="Late cancel")),1,0)</f>
        <v/>
      </c>
      <c r="N1967">
        <f>IF(AND(H1967="",F1967="",D1967&lt;&gt;"",I1967&gt;=TODAY()),ROUND((I1967+IF(ISNUMBER(C1967),MOD(C1967,1),0))*1440,0)*10000+ROW(),"")</f>
        <v/>
      </c>
    </row>
    <row r="1968">
      <c r="A1968" s="1" t="n"/>
      <c r="B1968" s="17" t="n"/>
      <c r="C1968" s="18" t="n"/>
      <c r="D1968" s="19" t="n"/>
      <c r="E1968" s="20" t="n"/>
      <c r="F1968" s="20" t="n"/>
      <c r="G1968" s="21" t="n"/>
      <c r="H1968" s="12">
        <f>IF(AND(B1968="",D1968="",F1968=""),"",IF(NOT(ISNUMBER(B1968)),"Needs a date",IF(D1968="","Needs a client",IF(COUNTIF(Clients!$B$6:$B$105,D1968)=0,"Not on Clients",IF(AND(F1968="",INT(B1968)&lt;TODAY()),"Needs a status","")))))</f>
        <v/>
      </c>
      <c r="I1968" s="1">
        <f>IF(ISNUMBER(B1968),INT(B1968),0)</f>
        <v/>
      </c>
      <c r="J1968">
        <f>IF(ISNUMBER(B1968),YEAR(B1968)*100+MONTH(B1968),"")</f>
        <v/>
      </c>
      <c r="K1968">
        <f>IF(AND(H1968="",OR(F1968="Attended",F1968="No-show",AND(F1968="Late cancel",Settings!$C$9="Yes"))),1,0)</f>
        <v/>
      </c>
      <c r="L1968">
        <f>IF(AND(H1968="",F1968="Attended"),1,0)</f>
        <v/>
      </c>
      <c r="M1968">
        <f>IF(AND(H1968="",OR(F1968="No-show",F1968="Late cancel")),1,0)</f>
        <v/>
      </c>
      <c r="N1968">
        <f>IF(AND(H1968="",F1968="",D1968&lt;&gt;"",I1968&gt;=TODAY()),ROUND((I1968+IF(ISNUMBER(C1968),MOD(C1968,1),0))*1440,0)*10000+ROW(),"")</f>
        <v/>
      </c>
    </row>
    <row r="1969">
      <c r="A1969" s="1" t="n"/>
      <c r="B1969" s="17" t="n"/>
      <c r="C1969" s="18" t="n"/>
      <c r="D1969" s="19" t="n"/>
      <c r="E1969" s="20" t="n"/>
      <c r="F1969" s="20" t="n"/>
      <c r="G1969" s="21" t="n"/>
      <c r="H1969" s="12">
        <f>IF(AND(B1969="",D1969="",F1969=""),"",IF(NOT(ISNUMBER(B1969)),"Needs a date",IF(D1969="","Needs a client",IF(COUNTIF(Clients!$B$6:$B$105,D1969)=0,"Not on Clients",IF(AND(F1969="",INT(B1969)&lt;TODAY()),"Needs a status","")))))</f>
        <v/>
      </c>
      <c r="I1969" s="1">
        <f>IF(ISNUMBER(B1969),INT(B1969),0)</f>
        <v/>
      </c>
      <c r="J1969">
        <f>IF(ISNUMBER(B1969),YEAR(B1969)*100+MONTH(B1969),"")</f>
        <v/>
      </c>
      <c r="K1969">
        <f>IF(AND(H1969="",OR(F1969="Attended",F1969="No-show",AND(F1969="Late cancel",Settings!$C$9="Yes"))),1,0)</f>
        <v/>
      </c>
      <c r="L1969">
        <f>IF(AND(H1969="",F1969="Attended"),1,0)</f>
        <v/>
      </c>
      <c r="M1969">
        <f>IF(AND(H1969="",OR(F1969="No-show",F1969="Late cancel")),1,0)</f>
        <v/>
      </c>
      <c r="N1969">
        <f>IF(AND(H1969="",F1969="",D1969&lt;&gt;"",I1969&gt;=TODAY()),ROUND((I1969+IF(ISNUMBER(C1969),MOD(C1969,1),0))*1440,0)*10000+ROW(),"")</f>
        <v/>
      </c>
    </row>
    <row r="1970">
      <c r="A1970" s="1" t="n"/>
      <c r="B1970" s="17" t="n"/>
      <c r="C1970" s="18" t="n"/>
      <c r="D1970" s="19" t="n"/>
      <c r="E1970" s="20" t="n"/>
      <c r="F1970" s="20" t="n"/>
      <c r="G1970" s="21" t="n"/>
      <c r="H1970" s="12">
        <f>IF(AND(B1970="",D1970="",F1970=""),"",IF(NOT(ISNUMBER(B1970)),"Needs a date",IF(D1970="","Needs a client",IF(COUNTIF(Clients!$B$6:$B$105,D1970)=0,"Not on Clients",IF(AND(F1970="",INT(B1970)&lt;TODAY()),"Needs a status","")))))</f>
        <v/>
      </c>
      <c r="I1970" s="1">
        <f>IF(ISNUMBER(B1970),INT(B1970),0)</f>
        <v/>
      </c>
      <c r="J1970">
        <f>IF(ISNUMBER(B1970),YEAR(B1970)*100+MONTH(B1970),"")</f>
        <v/>
      </c>
      <c r="K1970">
        <f>IF(AND(H1970="",OR(F1970="Attended",F1970="No-show",AND(F1970="Late cancel",Settings!$C$9="Yes"))),1,0)</f>
        <v/>
      </c>
      <c r="L1970">
        <f>IF(AND(H1970="",F1970="Attended"),1,0)</f>
        <v/>
      </c>
      <c r="M1970">
        <f>IF(AND(H1970="",OR(F1970="No-show",F1970="Late cancel")),1,0)</f>
        <v/>
      </c>
      <c r="N1970">
        <f>IF(AND(H1970="",F1970="",D1970&lt;&gt;"",I1970&gt;=TODAY()),ROUND((I1970+IF(ISNUMBER(C1970),MOD(C1970,1),0))*1440,0)*10000+ROW(),"")</f>
        <v/>
      </c>
    </row>
    <row r="1971">
      <c r="A1971" s="1" t="n"/>
      <c r="B1971" s="17" t="n"/>
      <c r="C1971" s="18" t="n"/>
      <c r="D1971" s="19" t="n"/>
      <c r="E1971" s="20" t="n"/>
      <c r="F1971" s="20" t="n"/>
      <c r="G1971" s="21" t="n"/>
      <c r="H1971" s="12">
        <f>IF(AND(B1971="",D1971="",F1971=""),"",IF(NOT(ISNUMBER(B1971)),"Needs a date",IF(D1971="","Needs a client",IF(COUNTIF(Clients!$B$6:$B$105,D1971)=0,"Not on Clients",IF(AND(F1971="",INT(B1971)&lt;TODAY()),"Needs a status","")))))</f>
        <v/>
      </c>
      <c r="I1971" s="1">
        <f>IF(ISNUMBER(B1971),INT(B1971),0)</f>
        <v/>
      </c>
      <c r="J1971">
        <f>IF(ISNUMBER(B1971),YEAR(B1971)*100+MONTH(B1971),"")</f>
        <v/>
      </c>
      <c r="K1971">
        <f>IF(AND(H1971="",OR(F1971="Attended",F1971="No-show",AND(F1971="Late cancel",Settings!$C$9="Yes"))),1,0)</f>
        <v/>
      </c>
      <c r="L1971">
        <f>IF(AND(H1971="",F1971="Attended"),1,0)</f>
        <v/>
      </c>
      <c r="M1971">
        <f>IF(AND(H1971="",OR(F1971="No-show",F1971="Late cancel")),1,0)</f>
        <v/>
      </c>
      <c r="N1971">
        <f>IF(AND(H1971="",F1971="",D1971&lt;&gt;"",I1971&gt;=TODAY()),ROUND((I1971+IF(ISNUMBER(C1971),MOD(C1971,1),0))*1440,0)*10000+ROW(),"")</f>
        <v/>
      </c>
    </row>
    <row r="1972">
      <c r="A1972" s="1" t="n"/>
      <c r="B1972" s="17" t="n"/>
      <c r="C1972" s="18" t="n"/>
      <c r="D1972" s="19" t="n"/>
      <c r="E1972" s="20" t="n"/>
      <c r="F1972" s="20" t="n"/>
      <c r="G1972" s="21" t="n"/>
      <c r="H1972" s="12">
        <f>IF(AND(B1972="",D1972="",F1972=""),"",IF(NOT(ISNUMBER(B1972)),"Needs a date",IF(D1972="","Needs a client",IF(COUNTIF(Clients!$B$6:$B$105,D1972)=0,"Not on Clients",IF(AND(F1972="",INT(B1972)&lt;TODAY()),"Needs a status","")))))</f>
        <v/>
      </c>
      <c r="I1972" s="1">
        <f>IF(ISNUMBER(B1972),INT(B1972),0)</f>
        <v/>
      </c>
      <c r="J1972">
        <f>IF(ISNUMBER(B1972),YEAR(B1972)*100+MONTH(B1972),"")</f>
        <v/>
      </c>
      <c r="K1972">
        <f>IF(AND(H1972="",OR(F1972="Attended",F1972="No-show",AND(F1972="Late cancel",Settings!$C$9="Yes"))),1,0)</f>
        <v/>
      </c>
      <c r="L1972">
        <f>IF(AND(H1972="",F1972="Attended"),1,0)</f>
        <v/>
      </c>
      <c r="M1972">
        <f>IF(AND(H1972="",OR(F1972="No-show",F1972="Late cancel")),1,0)</f>
        <v/>
      </c>
      <c r="N1972">
        <f>IF(AND(H1972="",F1972="",D1972&lt;&gt;"",I1972&gt;=TODAY()),ROUND((I1972+IF(ISNUMBER(C1972),MOD(C1972,1),0))*1440,0)*10000+ROW(),"")</f>
        <v/>
      </c>
    </row>
    <row r="1973">
      <c r="A1973" s="1" t="n"/>
      <c r="B1973" s="17" t="n"/>
      <c r="C1973" s="18" t="n"/>
      <c r="D1973" s="19" t="n"/>
      <c r="E1973" s="20" t="n"/>
      <c r="F1973" s="20" t="n"/>
      <c r="G1973" s="21" t="n"/>
      <c r="H1973" s="12">
        <f>IF(AND(B1973="",D1973="",F1973=""),"",IF(NOT(ISNUMBER(B1973)),"Needs a date",IF(D1973="","Needs a client",IF(COUNTIF(Clients!$B$6:$B$105,D1973)=0,"Not on Clients",IF(AND(F1973="",INT(B1973)&lt;TODAY()),"Needs a status","")))))</f>
        <v/>
      </c>
      <c r="I1973" s="1">
        <f>IF(ISNUMBER(B1973),INT(B1973),0)</f>
        <v/>
      </c>
      <c r="J1973">
        <f>IF(ISNUMBER(B1973),YEAR(B1973)*100+MONTH(B1973),"")</f>
        <v/>
      </c>
      <c r="K1973">
        <f>IF(AND(H1973="",OR(F1973="Attended",F1973="No-show",AND(F1973="Late cancel",Settings!$C$9="Yes"))),1,0)</f>
        <v/>
      </c>
      <c r="L1973">
        <f>IF(AND(H1973="",F1973="Attended"),1,0)</f>
        <v/>
      </c>
      <c r="M1973">
        <f>IF(AND(H1973="",OR(F1973="No-show",F1973="Late cancel")),1,0)</f>
        <v/>
      </c>
      <c r="N1973">
        <f>IF(AND(H1973="",F1973="",D1973&lt;&gt;"",I1973&gt;=TODAY()),ROUND((I1973+IF(ISNUMBER(C1973),MOD(C1973,1),0))*1440,0)*10000+ROW(),"")</f>
        <v/>
      </c>
    </row>
    <row r="1974">
      <c r="A1974" s="1" t="n"/>
      <c r="B1974" s="17" t="n"/>
      <c r="C1974" s="18" t="n"/>
      <c r="D1974" s="19" t="n"/>
      <c r="E1974" s="20" t="n"/>
      <c r="F1974" s="20" t="n"/>
      <c r="G1974" s="21" t="n"/>
      <c r="H1974" s="12">
        <f>IF(AND(B1974="",D1974="",F1974=""),"",IF(NOT(ISNUMBER(B1974)),"Needs a date",IF(D1974="","Needs a client",IF(COUNTIF(Clients!$B$6:$B$105,D1974)=0,"Not on Clients",IF(AND(F1974="",INT(B1974)&lt;TODAY()),"Needs a status","")))))</f>
        <v/>
      </c>
      <c r="I1974" s="1">
        <f>IF(ISNUMBER(B1974),INT(B1974),0)</f>
        <v/>
      </c>
      <c r="J1974">
        <f>IF(ISNUMBER(B1974),YEAR(B1974)*100+MONTH(B1974),"")</f>
        <v/>
      </c>
      <c r="K1974">
        <f>IF(AND(H1974="",OR(F1974="Attended",F1974="No-show",AND(F1974="Late cancel",Settings!$C$9="Yes"))),1,0)</f>
        <v/>
      </c>
      <c r="L1974">
        <f>IF(AND(H1974="",F1974="Attended"),1,0)</f>
        <v/>
      </c>
      <c r="M1974">
        <f>IF(AND(H1974="",OR(F1974="No-show",F1974="Late cancel")),1,0)</f>
        <v/>
      </c>
      <c r="N1974">
        <f>IF(AND(H1974="",F1974="",D1974&lt;&gt;"",I1974&gt;=TODAY()),ROUND((I1974+IF(ISNUMBER(C1974),MOD(C1974,1),0))*1440,0)*10000+ROW(),"")</f>
        <v/>
      </c>
    </row>
    <row r="1975">
      <c r="A1975" s="1" t="n"/>
      <c r="B1975" s="17" t="n"/>
      <c r="C1975" s="18" t="n"/>
      <c r="D1975" s="19" t="n"/>
      <c r="E1975" s="20" t="n"/>
      <c r="F1975" s="20" t="n"/>
      <c r="G1975" s="21" t="n"/>
      <c r="H1975" s="12">
        <f>IF(AND(B1975="",D1975="",F1975=""),"",IF(NOT(ISNUMBER(B1975)),"Needs a date",IF(D1975="","Needs a client",IF(COUNTIF(Clients!$B$6:$B$105,D1975)=0,"Not on Clients",IF(AND(F1975="",INT(B1975)&lt;TODAY()),"Needs a status","")))))</f>
        <v/>
      </c>
      <c r="I1975" s="1">
        <f>IF(ISNUMBER(B1975),INT(B1975),0)</f>
        <v/>
      </c>
      <c r="J1975">
        <f>IF(ISNUMBER(B1975),YEAR(B1975)*100+MONTH(B1975),"")</f>
        <v/>
      </c>
      <c r="K1975">
        <f>IF(AND(H1975="",OR(F1975="Attended",F1975="No-show",AND(F1975="Late cancel",Settings!$C$9="Yes"))),1,0)</f>
        <v/>
      </c>
      <c r="L1975">
        <f>IF(AND(H1975="",F1975="Attended"),1,0)</f>
        <v/>
      </c>
      <c r="M1975">
        <f>IF(AND(H1975="",OR(F1975="No-show",F1975="Late cancel")),1,0)</f>
        <v/>
      </c>
      <c r="N1975">
        <f>IF(AND(H1975="",F1975="",D1975&lt;&gt;"",I1975&gt;=TODAY()),ROUND((I1975+IF(ISNUMBER(C1975),MOD(C1975,1),0))*1440,0)*10000+ROW(),"")</f>
        <v/>
      </c>
    </row>
    <row r="1976">
      <c r="A1976" s="1" t="n"/>
      <c r="B1976" s="17" t="n"/>
      <c r="C1976" s="18" t="n"/>
      <c r="D1976" s="19" t="n"/>
      <c r="E1976" s="20" t="n"/>
      <c r="F1976" s="20" t="n"/>
      <c r="G1976" s="21" t="n"/>
      <c r="H1976" s="12">
        <f>IF(AND(B1976="",D1976="",F1976=""),"",IF(NOT(ISNUMBER(B1976)),"Needs a date",IF(D1976="","Needs a client",IF(COUNTIF(Clients!$B$6:$B$105,D1976)=0,"Not on Clients",IF(AND(F1976="",INT(B1976)&lt;TODAY()),"Needs a status","")))))</f>
        <v/>
      </c>
      <c r="I1976" s="1">
        <f>IF(ISNUMBER(B1976),INT(B1976),0)</f>
        <v/>
      </c>
      <c r="J1976">
        <f>IF(ISNUMBER(B1976),YEAR(B1976)*100+MONTH(B1976),"")</f>
        <v/>
      </c>
      <c r="K1976">
        <f>IF(AND(H1976="",OR(F1976="Attended",F1976="No-show",AND(F1976="Late cancel",Settings!$C$9="Yes"))),1,0)</f>
        <v/>
      </c>
      <c r="L1976">
        <f>IF(AND(H1976="",F1976="Attended"),1,0)</f>
        <v/>
      </c>
      <c r="M1976">
        <f>IF(AND(H1976="",OR(F1976="No-show",F1976="Late cancel")),1,0)</f>
        <v/>
      </c>
      <c r="N1976">
        <f>IF(AND(H1976="",F1976="",D1976&lt;&gt;"",I1976&gt;=TODAY()),ROUND((I1976+IF(ISNUMBER(C1976),MOD(C1976,1),0))*1440,0)*10000+ROW(),"")</f>
        <v/>
      </c>
    </row>
    <row r="1977">
      <c r="A1977" s="1" t="n"/>
      <c r="B1977" s="17" t="n"/>
      <c r="C1977" s="18" t="n"/>
      <c r="D1977" s="19" t="n"/>
      <c r="E1977" s="20" t="n"/>
      <c r="F1977" s="20" t="n"/>
      <c r="G1977" s="21" t="n"/>
      <c r="H1977" s="12">
        <f>IF(AND(B1977="",D1977="",F1977=""),"",IF(NOT(ISNUMBER(B1977)),"Needs a date",IF(D1977="","Needs a client",IF(COUNTIF(Clients!$B$6:$B$105,D1977)=0,"Not on Clients",IF(AND(F1977="",INT(B1977)&lt;TODAY()),"Needs a status","")))))</f>
        <v/>
      </c>
      <c r="I1977" s="1">
        <f>IF(ISNUMBER(B1977),INT(B1977),0)</f>
        <v/>
      </c>
      <c r="J1977">
        <f>IF(ISNUMBER(B1977),YEAR(B1977)*100+MONTH(B1977),"")</f>
        <v/>
      </c>
      <c r="K1977">
        <f>IF(AND(H1977="",OR(F1977="Attended",F1977="No-show",AND(F1977="Late cancel",Settings!$C$9="Yes"))),1,0)</f>
        <v/>
      </c>
      <c r="L1977">
        <f>IF(AND(H1977="",F1977="Attended"),1,0)</f>
        <v/>
      </c>
      <c r="M1977">
        <f>IF(AND(H1977="",OR(F1977="No-show",F1977="Late cancel")),1,0)</f>
        <v/>
      </c>
      <c r="N1977">
        <f>IF(AND(H1977="",F1977="",D1977&lt;&gt;"",I1977&gt;=TODAY()),ROUND((I1977+IF(ISNUMBER(C1977),MOD(C1977,1),0))*1440,0)*10000+ROW(),"")</f>
        <v/>
      </c>
    </row>
    <row r="1978">
      <c r="A1978" s="1" t="n"/>
      <c r="B1978" s="17" t="n"/>
      <c r="C1978" s="18" t="n"/>
      <c r="D1978" s="19" t="n"/>
      <c r="E1978" s="20" t="n"/>
      <c r="F1978" s="20" t="n"/>
      <c r="G1978" s="21" t="n"/>
      <c r="H1978" s="12">
        <f>IF(AND(B1978="",D1978="",F1978=""),"",IF(NOT(ISNUMBER(B1978)),"Needs a date",IF(D1978="","Needs a client",IF(COUNTIF(Clients!$B$6:$B$105,D1978)=0,"Not on Clients",IF(AND(F1978="",INT(B1978)&lt;TODAY()),"Needs a status","")))))</f>
        <v/>
      </c>
      <c r="I1978" s="1">
        <f>IF(ISNUMBER(B1978),INT(B1978),0)</f>
        <v/>
      </c>
      <c r="J1978">
        <f>IF(ISNUMBER(B1978),YEAR(B1978)*100+MONTH(B1978),"")</f>
        <v/>
      </c>
      <c r="K1978">
        <f>IF(AND(H1978="",OR(F1978="Attended",F1978="No-show",AND(F1978="Late cancel",Settings!$C$9="Yes"))),1,0)</f>
        <v/>
      </c>
      <c r="L1978">
        <f>IF(AND(H1978="",F1978="Attended"),1,0)</f>
        <v/>
      </c>
      <c r="M1978">
        <f>IF(AND(H1978="",OR(F1978="No-show",F1978="Late cancel")),1,0)</f>
        <v/>
      </c>
      <c r="N1978">
        <f>IF(AND(H1978="",F1978="",D1978&lt;&gt;"",I1978&gt;=TODAY()),ROUND((I1978+IF(ISNUMBER(C1978),MOD(C1978,1),0))*1440,0)*10000+ROW(),"")</f>
        <v/>
      </c>
    </row>
    <row r="1979">
      <c r="A1979" s="1" t="n"/>
      <c r="B1979" s="17" t="n"/>
      <c r="C1979" s="18" t="n"/>
      <c r="D1979" s="19" t="n"/>
      <c r="E1979" s="20" t="n"/>
      <c r="F1979" s="20" t="n"/>
      <c r="G1979" s="21" t="n"/>
      <c r="H1979" s="12">
        <f>IF(AND(B1979="",D1979="",F1979=""),"",IF(NOT(ISNUMBER(B1979)),"Needs a date",IF(D1979="","Needs a client",IF(COUNTIF(Clients!$B$6:$B$105,D1979)=0,"Not on Clients",IF(AND(F1979="",INT(B1979)&lt;TODAY()),"Needs a status","")))))</f>
        <v/>
      </c>
      <c r="I1979" s="1">
        <f>IF(ISNUMBER(B1979),INT(B1979),0)</f>
        <v/>
      </c>
      <c r="J1979">
        <f>IF(ISNUMBER(B1979),YEAR(B1979)*100+MONTH(B1979),"")</f>
        <v/>
      </c>
      <c r="K1979">
        <f>IF(AND(H1979="",OR(F1979="Attended",F1979="No-show",AND(F1979="Late cancel",Settings!$C$9="Yes"))),1,0)</f>
        <v/>
      </c>
      <c r="L1979">
        <f>IF(AND(H1979="",F1979="Attended"),1,0)</f>
        <v/>
      </c>
      <c r="M1979">
        <f>IF(AND(H1979="",OR(F1979="No-show",F1979="Late cancel")),1,0)</f>
        <v/>
      </c>
      <c r="N1979">
        <f>IF(AND(H1979="",F1979="",D1979&lt;&gt;"",I1979&gt;=TODAY()),ROUND((I1979+IF(ISNUMBER(C1979),MOD(C1979,1),0))*1440,0)*10000+ROW(),"")</f>
        <v/>
      </c>
    </row>
    <row r="1980">
      <c r="A1980" s="1" t="n"/>
      <c r="B1980" s="17" t="n"/>
      <c r="C1980" s="18" t="n"/>
      <c r="D1980" s="19" t="n"/>
      <c r="E1980" s="20" t="n"/>
      <c r="F1980" s="20" t="n"/>
      <c r="G1980" s="21" t="n"/>
      <c r="H1980" s="12">
        <f>IF(AND(B1980="",D1980="",F1980=""),"",IF(NOT(ISNUMBER(B1980)),"Needs a date",IF(D1980="","Needs a client",IF(COUNTIF(Clients!$B$6:$B$105,D1980)=0,"Not on Clients",IF(AND(F1980="",INT(B1980)&lt;TODAY()),"Needs a status","")))))</f>
        <v/>
      </c>
      <c r="I1980" s="1">
        <f>IF(ISNUMBER(B1980),INT(B1980),0)</f>
        <v/>
      </c>
      <c r="J1980">
        <f>IF(ISNUMBER(B1980),YEAR(B1980)*100+MONTH(B1980),"")</f>
        <v/>
      </c>
      <c r="K1980">
        <f>IF(AND(H1980="",OR(F1980="Attended",F1980="No-show",AND(F1980="Late cancel",Settings!$C$9="Yes"))),1,0)</f>
        <v/>
      </c>
      <c r="L1980">
        <f>IF(AND(H1980="",F1980="Attended"),1,0)</f>
        <v/>
      </c>
      <c r="M1980">
        <f>IF(AND(H1980="",OR(F1980="No-show",F1980="Late cancel")),1,0)</f>
        <v/>
      </c>
      <c r="N1980">
        <f>IF(AND(H1980="",F1980="",D1980&lt;&gt;"",I1980&gt;=TODAY()),ROUND((I1980+IF(ISNUMBER(C1980),MOD(C1980,1),0))*1440,0)*10000+ROW(),"")</f>
        <v/>
      </c>
    </row>
    <row r="1981">
      <c r="A1981" s="1" t="n"/>
      <c r="B1981" s="17" t="n"/>
      <c r="C1981" s="18" t="n"/>
      <c r="D1981" s="19" t="n"/>
      <c r="E1981" s="20" t="n"/>
      <c r="F1981" s="20" t="n"/>
      <c r="G1981" s="21" t="n"/>
      <c r="H1981" s="12">
        <f>IF(AND(B1981="",D1981="",F1981=""),"",IF(NOT(ISNUMBER(B1981)),"Needs a date",IF(D1981="","Needs a client",IF(COUNTIF(Clients!$B$6:$B$105,D1981)=0,"Not on Clients",IF(AND(F1981="",INT(B1981)&lt;TODAY()),"Needs a status","")))))</f>
        <v/>
      </c>
      <c r="I1981" s="1">
        <f>IF(ISNUMBER(B1981),INT(B1981),0)</f>
        <v/>
      </c>
      <c r="J1981">
        <f>IF(ISNUMBER(B1981),YEAR(B1981)*100+MONTH(B1981),"")</f>
        <v/>
      </c>
      <c r="K1981">
        <f>IF(AND(H1981="",OR(F1981="Attended",F1981="No-show",AND(F1981="Late cancel",Settings!$C$9="Yes"))),1,0)</f>
        <v/>
      </c>
      <c r="L1981">
        <f>IF(AND(H1981="",F1981="Attended"),1,0)</f>
        <v/>
      </c>
      <c r="M1981">
        <f>IF(AND(H1981="",OR(F1981="No-show",F1981="Late cancel")),1,0)</f>
        <v/>
      </c>
      <c r="N1981">
        <f>IF(AND(H1981="",F1981="",D1981&lt;&gt;"",I1981&gt;=TODAY()),ROUND((I1981+IF(ISNUMBER(C1981),MOD(C1981,1),0))*1440,0)*10000+ROW(),"")</f>
        <v/>
      </c>
    </row>
    <row r="1982">
      <c r="A1982" s="1" t="n"/>
      <c r="B1982" s="17" t="n"/>
      <c r="C1982" s="18" t="n"/>
      <c r="D1982" s="19" t="n"/>
      <c r="E1982" s="20" t="n"/>
      <c r="F1982" s="20" t="n"/>
      <c r="G1982" s="21" t="n"/>
      <c r="H1982" s="12">
        <f>IF(AND(B1982="",D1982="",F1982=""),"",IF(NOT(ISNUMBER(B1982)),"Needs a date",IF(D1982="","Needs a client",IF(COUNTIF(Clients!$B$6:$B$105,D1982)=0,"Not on Clients",IF(AND(F1982="",INT(B1982)&lt;TODAY()),"Needs a status","")))))</f>
        <v/>
      </c>
      <c r="I1982" s="1">
        <f>IF(ISNUMBER(B1982),INT(B1982),0)</f>
        <v/>
      </c>
      <c r="J1982">
        <f>IF(ISNUMBER(B1982),YEAR(B1982)*100+MONTH(B1982),"")</f>
        <v/>
      </c>
      <c r="K1982">
        <f>IF(AND(H1982="",OR(F1982="Attended",F1982="No-show",AND(F1982="Late cancel",Settings!$C$9="Yes"))),1,0)</f>
        <v/>
      </c>
      <c r="L1982">
        <f>IF(AND(H1982="",F1982="Attended"),1,0)</f>
        <v/>
      </c>
      <c r="M1982">
        <f>IF(AND(H1982="",OR(F1982="No-show",F1982="Late cancel")),1,0)</f>
        <v/>
      </c>
      <c r="N1982">
        <f>IF(AND(H1982="",F1982="",D1982&lt;&gt;"",I1982&gt;=TODAY()),ROUND((I1982+IF(ISNUMBER(C1982),MOD(C1982,1),0))*1440,0)*10000+ROW(),"")</f>
        <v/>
      </c>
    </row>
    <row r="1983">
      <c r="A1983" s="1" t="n"/>
      <c r="B1983" s="17" t="n"/>
      <c r="C1983" s="18" t="n"/>
      <c r="D1983" s="19" t="n"/>
      <c r="E1983" s="20" t="n"/>
      <c r="F1983" s="20" t="n"/>
      <c r="G1983" s="21" t="n"/>
      <c r="H1983" s="12">
        <f>IF(AND(B1983="",D1983="",F1983=""),"",IF(NOT(ISNUMBER(B1983)),"Needs a date",IF(D1983="","Needs a client",IF(COUNTIF(Clients!$B$6:$B$105,D1983)=0,"Not on Clients",IF(AND(F1983="",INT(B1983)&lt;TODAY()),"Needs a status","")))))</f>
        <v/>
      </c>
      <c r="I1983" s="1">
        <f>IF(ISNUMBER(B1983),INT(B1983),0)</f>
        <v/>
      </c>
      <c r="J1983">
        <f>IF(ISNUMBER(B1983),YEAR(B1983)*100+MONTH(B1983),"")</f>
        <v/>
      </c>
      <c r="K1983">
        <f>IF(AND(H1983="",OR(F1983="Attended",F1983="No-show",AND(F1983="Late cancel",Settings!$C$9="Yes"))),1,0)</f>
        <v/>
      </c>
      <c r="L1983">
        <f>IF(AND(H1983="",F1983="Attended"),1,0)</f>
        <v/>
      </c>
      <c r="M1983">
        <f>IF(AND(H1983="",OR(F1983="No-show",F1983="Late cancel")),1,0)</f>
        <v/>
      </c>
      <c r="N1983">
        <f>IF(AND(H1983="",F1983="",D1983&lt;&gt;"",I1983&gt;=TODAY()),ROUND((I1983+IF(ISNUMBER(C1983),MOD(C1983,1),0))*1440,0)*10000+ROW(),"")</f>
        <v/>
      </c>
    </row>
    <row r="1984">
      <c r="A1984" s="1" t="n"/>
      <c r="B1984" s="17" t="n"/>
      <c r="C1984" s="18" t="n"/>
      <c r="D1984" s="19" t="n"/>
      <c r="E1984" s="20" t="n"/>
      <c r="F1984" s="20" t="n"/>
      <c r="G1984" s="21" t="n"/>
      <c r="H1984" s="12">
        <f>IF(AND(B1984="",D1984="",F1984=""),"",IF(NOT(ISNUMBER(B1984)),"Needs a date",IF(D1984="","Needs a client",IF(COUNTIF(Clients!$B$6:$B$105,D1984)=0,"Not on Clients",IF(AND(F1984="",INT(B1984)&lt;TODAY()),"Needs a status","")))))</f>
        <v/>
      </c>
      <c r="I1984" s="1">
        <f>IF(ISNUMBER(B1984),INT(B1984),0)</f>
        <v/>
      </c>
      <c r="J1984">
        <f>IF(ISNUMBER(B1984),YEAR(B1984)*100+MONTH(B1984),"")</f>
        <v/>
      </c>
      <c r="K1984">
        <f>IF(AND(H1984="",OR(F1984="Attended",F1984="No-show",AND(F1984="Late cancel",Settings!$C$9="Yes"))),1,0)</f>
        <v/>
      </c>
      <c r="L1984">
        <f>IF(AND(H1984="",F1984="Attended"),1,0)</f>
        <v/>
      </c>
      <c r="M1984">
        <f>IF(AND(H1984="",OR(F1984="No-show",F1984="Late cancel")),1,0)</f>
        <v/>
      </c>
      <c r="N1984">
        <f>IF(AND(H1984="",F1984="",D1984&lt;&gt;"",I1984&gt;=TODAY()),ROUND((I1984+IF(ISNUMBER(C1984),MOD(C1984,1),0))*1440,0)*10000+ROW(),"")</f>
        <v/>
      </c>
    </row>
    <row r="1985">
      <c r="A1985" s="1" t="n"/>
      <c r="B1985" s="17" t="n"/>
      <c r="C1985" s="18" t="n"/>
      <c r="D1985" s="19" t="n"/>
      <c r="E1985" s="20" t="n"/>
      <c r="F1985" s="20" t="n"/>
      <c r="G1985" s="21" t="n"/>
      <c r="H1985" s="12">
        <f>IF(AND(B1985="",D1985="",F1985=""),"",IF(NOT(ISNUMBER(B1985)),"Needs a date",IF(D1985="","Needs a client",IF(COUNTIF(Clients!$B$6:$B$105,D1985)=0,"Not on Clients",IF(AND(F1985="",INT(B1985)&lt;TODAY()),"Needs a status","")))))</f>
        <v/>
      </c>
      <c r="I1985" s="1">
        <f>IF(ISNUMBER(B1985),INT(B1985),0)</f>
        <v/>
      </c>
      <c r="J1985">
        <f>IF(ISNUMBER(B1985),YEAR(B1985)*100+MONTH(B1985),"")</f>
        <v/>
      </c>
      <c r="K1985">
        <f>IF(AND(H1985="",OR(F1985="Attended",F1985="No-show",AND(F1985="Late cancel",Settings!$C$9="Yes"))),1,0)</f>
        <v/>
      </c>
      <c r="L1985">
        <f>IF(AND(H1985="",F1985="Attended"),1,0)</f>
        <v/>
      </c>
      <c r="M1985">
        <f>IF(AND(H1985="",OR(F1985="No-show",F1985="Late cancel")),1,0)</f>
        <v/>
      </c>
      <c r="N1985">
        <f>IF(AND(H1985="",F1985="",D1985&lt;&gt;"",I1985&gt;=TODAY()),ROUND((I1985+IF(ISNUMBER(C1985),MOD(C1985,1),0))*1440,0)*10000+ROW(),"")</f>
        <v/>
      </c>
    </row>
    <row r="1986">
      <c r="A1986" s="1" t="n"/>
      <c r="B1986" s="17" t="n"/>
      <c r="C1986" s="18" t="n"/>
      <c r="D1986" s="19" t="n"/>
      <c r="E1986" s="20" t="n"/>
      <c r="F1986" s="20" t="n"/>
      <c r="G1986" s="21" t="n"/>
      <c r="H1986" s="12">
        <f>IF(AND(B1986="",D1986="",F1986=""),"",IF(NOT(ISNUMBER(B1986)),"Needs a date",IF(D1986="","Needs a client",IF(COUNTIF(Clients!$B$6:$B$105,D1986)=0,"Not on Clients",IF(AND(F1986="",INT(B1986)&lt;TODAY()),"Needs a status","")))))</f>
        <v/>
      </c>
      <c r="I1986" s="1">
        <f>IF(ISNUMBER(B1986),INT(B1986),0)</f>
        <v/>
      </c>
      <c r="J1986">
        <f>IF(ISNUMBER(B1986),YEAR(B1986)*100+MONTH(B1986),"")</f>
        <v/>
      </c>
      <c r="K1986">
        <f>IF(AND(H1986="",OR(F1986="Attended",F1986="No-show",AND(F1986="Late cancel",Settings!$C$9="Yes"))),1,0)</f>
        <v/>
      </c>
      <c r="L1986">
        <f>IF(AND(H1986="",F1986="Attended"),1,0)</f>
        <v/>
      </c>
      <c r="M1986">
        <f>IF(AND(H1986="",OR(F1986="No-show",F1986="Late cancel")),1,0)</f>
        <v/>
      </c>
      <c r="N1986">
        <f>IF(AND(H1986="",F1986="",D1986&lt;&gt;"",I1986&gt;=TODAY()),ROUND((I1986+IF(ISNUMBER(C1986),MOD(C1986,1),0))*1440,0)*10000+ROW(),"")</f>
        <v/>
      </c>
    </row>
    <row r="1987">
      <c r="A1987" s="1" t="n"/>
      <c r="B1987" s="17" t="n"/>
      <c r="C1987" s="18" t="n"/>
      <c r="D1987" s="19" t="n"/>
      <c r="E1987" s="20" t="n"/>
      <c r="F1987" s="20" t="n"/>
      <c r="G1987" s="21" t="n"/>
      <c r="H1987" s="12">
        <f>IF(AND(B1987="",D1987="",F1987=""),"",IF(NOT(ISNUMBER(B1987)),"Needs a date",IF(D1987="","Needs a client",IF(COUNTIF(Clients!$B$6:$B$105,D1987)=0,"Not on Clients",IF(AND(F1987="",INT(B1987)&lt;TODAY()),"Needs a status","")))))</f>
        <v/>
      </c>
      <c r="I1987" s="1">
        <f>IF(ISNUMBER(B1987),INT(B1987),0)</f>
        <v/>
      </c>
      <c r="J1987">
        <f>IF(ISNUMBER(B1987),YEAR(B1987)*100+MONTH(B1987),"")</f>
        <v/>
      </c>
      <c r="K1987">
        <f>IF(AND(H1987="",OR(F1987="Attended",F1987="No-show",AND(F1987="Late cancel",Settings!$C$9="Yes"))),1,0)</f>
        <v/>
      </c>
      <c r="L1987">
        <f>IF(AND(H1987="",F1987="Attended"),1,0)</f>
        <v/>
      </c>
      <c r="M1987">
        <f>IF(AND(H1987="",OR(F1987="No-show",F1987="Late cancel")),1,0)</f>
        <v/>
      </c>
      <c r="N1987">
        <f>IF(AND(H1987="",F1987="",D1987&lt;&gt;"",I1987&gt;=TODAY()),ROUND((I1987+IF(ISNUMBER(C1987),MOD(C1987,1),0))*1440,0)*10000+ROW(),"")</f>
        <v/>
      </c>
    </row>
    <row r="1988">
      <c r="A1988" s="1" t="n"/>
      <c r="B1988" s="17" t="n"/>
      <c r="C1988" s="18" t="n"/>
      <c r="D1988" s="19" t="n"/>
      <c r="E1988" s="20" t="n"/>
      <c r="F1988" s="20" t="n"/>
      <c r="G1988" s="21" t="n"/>
      <c r="H1988" s="12">
        <f>IF(AND(B1988="",D1988="",F1988=""),"",IF(NOT(ISNUMBER(B1988)),"Needs a date",IF(D1988="","Needs a client",IF(COUNTIF(Clients!$B$6:$B$105,D1988)=0,"Not on Clients",IF(AND(F1988="",INT(B1988)&lt;TODAY()),"Needs a status","")))))</f>
        <v/>
      </c>
      <c r="I1988" s="1">
        <f>IF(ISNUMBER(B1988),INT(B1988),0)</f>
        <v/>
      </c>
      <c r="J1988">
        <f>IF(ISNUMBER(B1988),YEAR(B1988)*100+MONTH(B1988),"")</f>
        <v/>
      </c>
      <c r="K1988">
        <f>IF(AND(H1988="",OR(F1988="Attended",F1988="No-show",AND(F1988="Late cancel",Settings!$C$9="Yes"))),1,0)</f>
        <v/>
      </c>
      <c r="L1988">
        <f>IF(AND(H1988="",F1988="Attended"),1,0)</f>
        <v/>
      </c>
      <c r="M1988">
        <f>IF(AND(H1988="",OR(F1988="No-show",F1988="Late cancel")),1,0)</f>
        <v/>
      </c>
      <c r="N1988">
        <f>IF(AND(H1988="",F1988="",D1988&lt;&gt;"",I1988&gt;=TODAY()),ROUND((I1988+IF(ISNUMBER(C1988),MOD(C1988,1),0))*1440,0)*10000+ROW(),"")</f>
        <v/>
      </c>
    </row>
    <row r="1989">
      <c r="A1989" s="1" t="n"/>
      <c r="B1989" s="17" t="n"/>
      <c r="C1989" s="18" t="n"/>
      <c r="D1989" s="19" t="n"/>
      <c r="E1989" s="20" t="n"/>
      <c r="F1989" s="20" t="n"/>
      <c r="G1989" s="21" t="n"/>
      <c r="H1989" s="12">
        <f>IF(AND(B1989="",D1989="",F1989=""),"",IF(NOT(ISNUMBER(B1989)),"Needs a date",IF(D1989="","Needs a client",IF(COUNTIF(Clients!$B$6:$B$105,D1989)=0,"Not on Clients",IF(AND(F1989="",INT(B1989)&lt;TODAY()),"Needs a status","")))))</f>
        <v/>
      </c>
      <c r="I1989" s="1">
        <f>IF(ISNUMBER(B1989),INT(B1989),0)</f>
        <v/>
      </c>
      <c r="J1989">
        <f>IF(ISNUMBER(B1989),YEAR(B1989)*100+MONTH(B1989),"")</f>
        <v/>
      </c>
      <c r="K1989">
        <f>IF(AND(H1989="",OR(F1989="Attended",F1989="No-show",AND(F1989="Late cancel",Settings!$C$9="Yes"))),1,0)</f>
        <v/>
      </c>
      <c r="L1989">
        <f>IF(AND(H1989="",F1989="Attended"),1,0)</f>
        <v/>
      </c>
      <c r="M1989">
        <f>IF(AND(H1989="",OR(F1989="No-show",F1989="Late cancel")),1,0)</f>
        <v/>
      </c>
      <c r="N1989">
        <f>IF(AND(H1989="",F1989="",D1989&lt;&gt;"",I1989&gt;=TODAY()),ROUND((I1989+IF(ISNUMBER(C1989),MOD(C1989,1),0))*1440,0)*10000+ROW(),"")</f>
        <v/>
      </c>
    </row>
    <row r="1990">
      <c r="A1990" s="1" t="n"/>
      <c r="B1990" s="17" t="n"/>
      <c r="C1990" s="18" t="n"/>
      <c r="D1990" s="19" t="n"/>
      <c r="E1990" s="20" t="n"/>
      <c r="F1990" s="20" t="n"/>
      <c r="G1990" s="21" t="n"/>
      <c r="H1990" s="12">
        <f>IF(AND(B1990="",D1990="",F1990=""),"",IF(NOT(ISNUMBER(B1990)),"Needs a date",IF(D1990="","Needs a client",IF(COUNTIF(Clients!$B$6:$B$105,D1990)=0,"Not on Clients",IF(AND(F1990="",INT(B1990)&lt;TODAY()),"Needs a status","")))))</f>
        <v/>
      </c>
      <c r="I1990" s="1">
        <f>IF(ISNUMBER(B1990),INT(B1990),0)</f>
        <v/>
      </c>
      <c r="J1990">
        <f>IF(ISNUMBER(B1990),YEAR(B1990)*100+MONTH(B1990),"")</f>
        <v/>
      </c>
      <c r="K1990">
        <f>IF(AND(H1990="",OR(F1990="Attended",F1990="No-show",AND(F1990="Late cancel",Settings!$C$9="Yes"))),1,0)</f>
        <v/>
      </c>
      <c r="L1990">
        <f>IF(AND(H1990="",F1990="Attended"),1,0)</f>
        <v/>
      </c>
      <c r="M1990">
        <f>IF(AND(H1990="",OR(F1990="No-show",F1990="Late cancel")),1,0)</f>
        <v/>
      </c>
      <c r="N1990">
        <f>IF(AND(H1990="",F1990="",D1990&lt;&gt;"",I1990&gt;=TODAY()),ROUND((I1990+IF(ISNUMBER(C1990),MOD(C1990,1),0))*1440,0)*10000+ROW(),"")</f>
        <v/>
      </c>
    </row>
    <row r="1991">
      <c r="A1991" s="1" t="n"/>
      <c r="B1991" s="17" t="n"/>
      <c r="C1991" s="18" t="n"/>
      <c r="D1991" s="19" t="n"/>
      <c r="E1991" s="20" t="n"/>
      <c r="F1991" s="20" t="n"/>
      <c r="G1991" s="21" t="n"/>
      <c r="H1991" s="12">
        <f>IF(AND(B1991="",D1991="",F1991=""),"",IF(NOT(ISNUMBER(B1991)),"Needs a date",IF(D1991="","Needs a client",IF(COUNTIF(Clients!$B$6:$B$105,D1991)=0,"Not on Clients",IF(AND(F1991="",INT(B1991)&lt;TODAY()),"Needs a status","")))))</f>
        <v/>
      </c>
      <c r="I1991" s="1">
        <f>IF(ISNUMBER(B1991),INT(B1991),0)</f>
        <v/>
      </c>
      <c r="J1991">
        <f>IF(ISNUMBER(B1991),YEAR(B1991)*100+MONTH(B1991),"")</f>
        <v/>
      </c>
      <c r="K1991">
        <f>IF(AND(H1991="",OR(F1991="Attended",F1991="No-show",AND(F1991="Late cancel",Settings!$C$9="Yes"))),1,0)</f>
        <v/>
      </c>
      <c r="L1991">
        <f>IF(AND(H1991="",F1991="Attended"),1,0)</f>
        <v/>
      </c>
      <c r="M1991">
        <f>IF(AND(H1991="",OR(F1991="No-show",F1991="Late cancel")),1,0)</f>
        <v/>
      </c>
      <c r="N1991">
        <f>IF(AND(H1991="",F1991="",D1991&lt;&gt;"",I1991&gt;=TODAY()),ROUND((I1991+IF(ISNUMBER(C1991),MOD(C1991,1),0))*1440,0)*10000+ROW(),"")</f>
        <v/>
      </c>
    </row>
    <row r="1992">
      <c r="A1992" s="1" t="n"/>
      <c r="B1992" s="17" t="n"/>
      <c r="C1992" s="18" t="n"/>
      <c r="D1992" s="19" t="n"/>
      <c r="E1992" s="20" t="n"/>
      <c r="F1992" s="20" t="n"/>
      <c r="G1992" s="21" t="n"/>
      <c r="H1992" s="12">
        <f>IF(AND(B1992="",D1992="",F1992=""),"",IF(NOT(ISNUMBER(B1992)),"Needs a date",IF(D1992="","Needs a client",IF(COUNTIF(Clients!$B$6:$B$105,D1992)=0,"Not on Clients",IF(AND(F1992="",INT(B1992)&lt;TODAY()),"Needs a status","")))))</f>
        <v/>
      </c>
      <c r="I1992" s="1">
        <f>IF(ISNUMBER(B1992),INT(B1992),0)</f>
        <v/>
      </c>
      <c r="J1992">
        <f>IF(ISNUMBER(B1992),YEAR(B1992)*100+MONTH(B1992),"")</f>
        <v/>
      </c>
      <c r="K1992">
        <f>IF(AND(H1992="",OR(F1992="Attended",F1992="No-show",AND(F1992="Late cancel",Settings!$C$9="Yes"))),1,0)</f>
        <v/>
      </c>
      <c r="L1992">
        <f>IF(AND(H1992="",F1992="Attended"),1,0)</f>
        <v/>
      </c>
      <c r="M1992">
        <f>IF(AND(H1992="",OR(F1992="No-show",F1992="Late cancel")),1,0)</f>
        <v/>
      </c>
      <c r="N1992">
        <f>IF(AND(H1992="",F1992="",D1992&lt;&gt;"",I1992&gt;=TODAY()),ROUND((I1992+IF(ISNUMBER(C1992),MOD(C1992,1),0))*1440,0)*10000+ROW(),"")</f>
        <v/>
      </c>
    </row>
    <row r="1993">
      <c r="A1993" s="1" t="n"/>
      <c r="B1993" s="17" t="n"/>
      <c r="C1993" s="18" t="n"/>
      <c r="D1993" s="19" t="n"/>
      <c r="E1993" s="20" t="n"/>
      <c r="F1993" s="20" t="n"/>
      <c r="G1993" s="21" t="n"/>
      <c r="H1993" s="12">
        <f>IF(AND(B1993="",D1993="",F1993=""),"",IF(NOT(ISNUMBER(B1993)),"Needs a date",IF(D1993="","Needs a client",IF(COUNTIF(Clients!$B$6:$B$105,D1993)=0,"Not on Clients",IF(AND(F1993="",INT(B1993)&lt;TODAY()),"Needs a status","")))))</f>
        <v/>
      </c>
      <c r="I1993" s="1">
        <f>IF(ISNUMBER(B1993),INT(B1993),0)</f>
        <v/>
      </c>
      <c r="J1993">
        <f>IF(ISNUMBER(B1993),YEAR(B1993)*100+MONTH(B1993),"")</f>
        <v/>
      </c>
      <c r="K1993">
        <f>IF(AND(H1993="",OR(F1993="Attended",F1993="No-show",AND(F1993="Late cancel",Settings!$C$9="Yes"))),1,0)</f>
        <v/>
      </c>
      <c r="L1993">
        <f>IF(AND(H1993="",F1993="Attended"),1,0)</f>
        <v/>
      </c>
      <c r="M1993">
        <f>IF(AND(H1993="",OR(F1993="No-show",F1993="Late cancel")),1,0)</f>
        <v/>
      </c>
      <c r="N1993">
        <f>IF(AND(H1993="",F1993="",D1993&lt;&gt;"",I1993&gt;=TODAY()),ROUND((I1993+IF(ISNUMBER(C1993),MOD(C1993,1),0))*1440,0)*10000+ROW(),"")</f>
        <v/>
      </c>
    </row>
    <row r="1994">
      <c r="A1994" s="1" t="n"/>
      <c r="B1994" s="17" t="n"/>
      <c r="C1994" s="18" t="n"/>
      <c r="D1994" s="19" t="n"/>
      <c r="E1994" s="20" t="n"/>
      <c r="F1994" s="20" t="n"/>
      <c r="G1994" s="21" t="n"/>
      <c r="H1994" s="12">
        <f>IF(AND(B1994="",D1994="",F1994=""),"",IF(NOT(ISNUMBER(B1994)),"Needs a date",IF(D1994="","Needs a client",IF(COUNTIF(Clients!$B$6:$B$105,D1994)=0,"Not on Clients",IF(AND(F1994="",INT(B1994)&lt;TODAY()),"Needs a status","")))))</f>
        <v/>
      </c>
      <c r="I1994" s="1">
        <f>IF(ISNUMBER(B1994),INT(B1994),0)</f>
        <v/>
      </c>
      <c r="J1994">
        <f>IF(ISNUMBER(B1994),YEAR(B1994)*100+MONTH(B1994),"")</f>
        <v/>
      </c>
      <c r="K1994">
        <f>IF(AND(H1994="",OR(F1994="Attended",F1994="No-show",AND(F1994="Late cancel",Settings!$C$9="Yes"))),1,0)</f>
        <v/>
      </c>
      <c r="L1994">
        <f>IF(AND(H1994="",F1994="Attended"),1,0)</f>
        <v/>
      </c>
      <c r="M1994">
        <f>IF(AND(H1994="",OR(F1994="No-show",F1994="Late cancel")),1,0)</f>
        <v/>
      </c>
      <c r="N1994">
        <f>IF(AND(H1994="",F1994="",D1994&lt;&gt;"",I1994&gt;=TODAY()),ROUND((I1994+IF(ISNUMBER(C1994),MOD(C1994,1),0))*1440,0)*10000+ROW(),"")</f>
        <v/>
      </c>
    </row>
    <row r="1995">
      <c r="A1995" s="1" t="n"/>
      <c r="B1995" s="17" t="n"/>
      <c r="C1995" s="18" t="n"/>
      <c r="D1995" s="19" t="n"/>
      <c r="E1995" s="20" t="n"/>
      <c r="F1995" s="20" t="n"/>
      <c r="G1995" s="21" t="n"/>
      <c r="H1995" s="12">
        <f>IF(AND(B1995="",D1995="",F1995=""),"",IF(NOT(ISNUMBER(B1995)),"Needs a date",IF(D1995="","Needs a client",IF(COUNTIF(Clients!$B$6:$B$105,D1995)=0,"Not on Clients",IF(AND(F1995="",INT(B1995)&lt;TODAY()),"Needs a status","")))))</f>
        <v/>
      </c>
      <c r="I1995" s="1">
        <f>IF(ISNUMBER(B1995),INT(B1995),0)</f>
        <v/>
      </c>
      <c r="J1995">
        <f>IF(ISNUMBER(B1995),YEAR(B1995)*100+MONTH(B1995),"")</f>
        <v/>
      </c>
      <c r="K1995">
        <f>IF(AND(H1995="",OR(F1995="Attended",F1995="No-show",AND(F1995="Late cancel",Settings!$C$9="Yes"))),1,0)</f>
        <v/>
      </c>
      <c r="L1995">
        <f>IF(AND(H1995="",F1995="Attended"),1,0)</f>
        <v/>
      </c>
      <c r="M1995">
        <f>IF(AND(H1995="",OR(F1995="No-show",F1995="Late cancel")),1,0)</f>
        <v/>
      </c>
      <c r="N1995">
        <f>IF(AND(H1995="",F1995="",D1995&lt;&gt;"",I1995&gt;=TODAY()),ROUND((I1995+IF(ISNUMBER(C1995),MOD(C1995,1),0))*1440,0)*10000+ROW(),"")</f>
        <v/>
      </c>
    </row>
    <row r="1996">
      <c r="A1996" s="1" t="n"/>
      <c r="B1996" s="17" t="n"/>
      <c r="C1996" s="18" t="n"/>
      <c r="D1996" s="19" t="n"/>
      <c r="E1996" s="20" t="n"/>
      <c r="F1996" s="20" t="n"/>
      <c r="G1996" s="21" t="n"/>
      <c r="H1996" s="12">
        <f>IF(AND(B1996="",D1996="",F1996=""),"",IF(NOT(ISNUMBER(B1996)),"Needs a date",IF(D1996="","Needs a client",IF(COUNTIF(Clients!$B$6:$B$105,D1996)=0,"Not on Clients",IF(AND(F1996="",INT(B1996)&lt;TODAY()),"Needs a status","")))))</f>
        <v/>
      </c>
      <c r="I1996" s="1">
        <f>IF(ISNUMBER(B1996),INT(B1996),0)</f>
        <v/>
      </c>
      <c r="J1996">
        <f>IF(ISNUMBER(B1996),YEAR(B1996)*100+MONTH(B1996),"")</f>
        <v/>
      </c>
      <c r="K1996">
        <f>IF(AND(H1996="",OR(F1996="Attended",F1996="No-show",AND(F1996="Late cancel",Settings!$C$9="Yes"))),1,0)</f>
        <v/>
      </c>
      <c r="L1996">
        <f>IF(AND(H1996="",F1996="Attended"),1,0)</f>
        <v/>
      </c>
      <c r="M1996">
        <f>IF(AND(H1996="",OR(F1996="No-show",F1996="Late cancel")),1,0)</f>
        <v/>
      </c>
      <c r="N1996">
        <f>IF(AND(H1996="",F1996="",D1996&lt;&gt;"",I1996&gt;=TODAY()),ROUND((I1996+IF(ISNUMBER(C1996),MOD(C1996,1),0))*1440,0)*10000+ROW(),"")</f>
        <v/>
      </c>
    </row>
    <row r="1997">
      <c r="A1997" s="1" t="n"/>
      <c r="B1997" s="17" t="n"/>
      <c r="C1997" s="18" t="n"/>
      <c r="D1997" s="19" t="n"/>
      <c r="E1997" s="20" t="n"/>
      <c r="F1997" s="20" t="n"/>
      <c r="G1997" s="21" t="n"/>
      <c r="H1997" s="12">
        <f>IF(AND(B1997="",D1997="",F1997=""),"",IF(NOT(ISNUMBER(B1997)),"Needs a date",IF(D1997="","Needs a client",IF(COUNTIF(Clients!$B$6:$B$105,D1997)=0,"Not on Clients",IF(AND(F1997="",INT(B1997)&lt;TODAY()),"Needs a status","")))))</f>
        <v/>
      </c>
      <c r="I1997" s="1">
        <f>IF(ISNUMBER(B1997),INT(B1997),0)</f>
        <v/>
      </c>
      <c r="J1997">
        <f>IF(ISNUMBER(B1997),YEAR(B1997)*100+MONTH(B1997),"")</f>
        <v/>
      </c>
      <c r="K1997">
        <f>IF(AND(H1997="",OR(F1997="Attended",F1997="No-show",AND(F1997="Late cancel",Settings!$C$9="Yes"))),1,0)</f>
        <v/>
      </c>
      <c r="L1997">
        <f>IF(AND(H1997="",F1997="Attended"),1,0)</f>
        <v/>
      </c>
      <c r="M1997">
        <f>IF(AND(H1997="",OR(F1997="No-show",F1997="Late cancel")),1,0)</f>
        <v/>
      </c>
      <c r="N1997">
        <f>IF(AND(H1997="",F1997="",D1997&lt;&gt;"",I1997&gt;=TODAY()),ROUND((I1997+IF(ISNUMBER(C1997),MOD(C1997,1),0))*1440,0)*10000+ROW(),"")</f>
        <v/>
      </c>
    </row>
    <row r="1998">
      <c r="A1998" s="1" t="n"/>
      <c r="B1998" s="17" t="n"/>
      <c r="C1998" s="18" t="n"/>
      <c r="D1998" s="19" t="n"/>
      <c r="E1998" s="20" t="n"/>
      <c r="F1998" s="20" t="n"/>
      <c r="G1998" s="21" t="n"/>
      <c r="H1998" s="12">
        <f>IF(AND(B1998="",D1998="",F1998=""),"",IF(NOT(ISNUMBER(B1998)),"Needs a date",IF(D1998="","Needs a client",IF(COUNTIF(Clients!$B$6:$B$105,D1998)=0,"Not on Clients",IF(AND(F1998="",INT(B1998)&lt;TODAY()),"Needs a status","")))))</f>
        <v/>
      </c>
      <c r="I1998" s="1">
        <f>IF(ISNUMBER(B1998),INT(B1998),0)</f>
        <v/>
      </c>
      <c r="J1998">
        <f>IF(ISNUMBER(B1998),YEAR(B1998)*100+MONTH(B1998),"")</f>
        <v/>
      </c>
      <c r="K1998">
        <f>IF(AND(H1998="",OR(F1998="Attended",F1998="No-show",AND(F1998="Late cancel",Settings!$C$9="Yes"))),1,0)</f>
        <v/>
      </c>
      <c r="L1998">
        <f>IF(AND(H1998="",F1998="Attended"),1,0)</f>
        <v/>
      </c>
      <c r="M1998">
        <f>IF(AND(H1998="",OR(F1998="No-show",F1998="Late cancel")),1,0)</f>
        <v/>
      </c>
      <c r="N1998">
        <f>IF(AND(H1998="",F1998="",D1998&lt;&gt;"",I1998&gt;=TODAY()),ROUND((I1998+IF(ISNUMBER(C1998),MOD(C1998,1),0))*1440,0)*10000+ROW(),"")</f>
        <v/>
      </c>
    </row>
    <row r="1999">
      <c r="A1999" s="1" t="n"/>
      <c r="B1999" s="17" t="n"/>
      <c r="C1999" s="18" t="n"/>
      <c r="D1999" s="19" t="n"/>
      <c r="E1999" s="20" t="n"/>
      <c r="F1999" s="20" t="n"/>
      <c r="G1999" s="21" t="n"/>
      <c r="H1999" s="12">
        <f>IF(AND(B1999="",D1999="",F1999=""),"",IF(NOT(ISNUMBER(B1999)),"Needs a date",IF(D1999="","Needs a client",IF(COUNTIF(Clients!$B$6:$B$105,D1999)=0,"Not on Clients",IF(AND(F1999="",INT(B1999)&lt;TODAY()),"Needs a status","")))))</f>
        <v/>
      </c>
      <c r="I1999" s="1">
        <f>IF(ISNUMBER(B1999),INT(B1999),0)</f>
        <v/>
      </c>
      <c r="J1999">
        <f>IF(ISNUMBER(B1999),YEAR(B1999)*100+MONTH(B1999),"")</f>
        <v/>
      </c>
      <c r="K1999">
        <f>IF(AND(H1999="",OR(F1999="Attended",F1999="No-show",AND(F1999="Late cancel",Settings!$C$9="Yes"))),1,0)</f>
        <v/>
      </c>
      <c r="L1999">
        <f>IF(AND(H1999="",F1999="Attended"),1,0)</f>
        <v/>
      </c>
      <c r="M1999">
        <f>IF(AND(H1999="",OR(F1999="No-show",F1999="Late cancel")),1,0)</f>
        <v/>
      </c>
      <c r="N1999">
        <f>IF(AND(H1999="",F1999="",D1999&lt;&gt;"",I1999&gt;=TODAY()),ROUND((I1999+IF(ISNUMBER(C1999),MOD(C1999,1),0))*1440,0)*10000+ROW(),"")</f>
        <v/>
      </c>
    </row>
    <row r="2000">
      <c r="A2000" s="1" t="n"/>
      <c r="B2000" s="17" t="n"/>
      <c r="C2000" s="18" t="n"/>
      <c r="D2000" s="19" t="n"/>
      <c r="E2000" s="20" t="n"/>
      <c r="F2000" s="20" t="n"/>
      <c r="G2000" s="21" t="n"/>
      <c r="H2000" s="12">
        <f>IF(AND(B2000="",D2000="",F2000=""),"",IF(NOT(ISNUMBER(B2000)),"Needs a date",IF(D2000="","Needs a client",IF(COUNTIF(Clients!$B$6:$B$105,D2000)=0,"Not on Clients",IF(AND(F2000="",INT(B2000)&lt;TODAY()),"Needs a status","")))))</f>
        <v/>
      </c>
      <c r="I2000" s="1">
        <f>IF(ISNUMBER(B2000),INT(B2000),0)</f>
        <v/>
      </c>
      <c r="J2000">
        <f>IF(ISNUMBER(B2000),YEAR(B2000)*100+MONTH(B2000),"")</f>
        <v/>
      </c>
      <c r="K2000">
        <f>IF(AND(H2000="",OR(F2000="Attended",F2000="No-show",AND(F2000="Late cancel",Settings!$C$9="Yes"))),1,0)</f>
        <v/>
      </c>
      <c r="L2000">
        <f>IF(AND(H2000="",F2000="Attended"),1,0)</f>
        <v/>
      </c>
      <c r="M2000">
        <f>IF(AND(H2000="",OR(F2000="No-show",F2000="Late cancel")),1,0)</f>
        <v/>
      </c>
      <c r="N2000">
        <f>IF(AND(H2000="",F2000="",D2000&lt;&gt;"",I2000&gt;=TODAY()),ROUND((I2000+IF(ISNUMBER(C2000),MOD(C2000,1),0))*1440,0)*10000+ROW(),"")</f>
        <v/>
      </c>
    </row>
    <row r="2001">
      <c r="A2001" s="1" t="n"/>
      <c r="B2001" s="17" t="n"/>
      <c r="C2001" s="18" t="n"/>
      <c r="D2001" s="19" t="n"/>
      <c r="E2001" s="20" t="n"/>
      <c r="F2001" s="20" t="n"/>
      <c r="G2001" s="21" t="n"/>
      <c r="H2001" s="12">
        <f>IF(AND(B2001="",D2001="",F2001=""),"",IF(NOT(ISNUMBER(B2001)),"Needs a date",IF(D2001="","Needs a client",IF(COUNTIF(Clients!$B$6:$B$105,D2001)=0,"Not on Clients",IF(AND(F2001="",INT(B2001)&lt;TODAY()),"Needs a status","")))))</f>
        <v/>
      </c>
      <c r="I2001" s="1">
        <f>IF(ISNUMBER(B2001),INT(B2001),0)</f>
        <v/>
      </c>
      <c r="J2001">
        <f>IF(ISNUMBER(B2001),YEAR(B2001)*100+MONTH(B2001),"")</f>
        <v/>
      </c>
      <c r="K2001">
        <f>IF(AND(H2001="",OR(F2001="Attended",F2001="No-show",AND(F2001="Late cancel",Settings!$C$9="Yes"))),1,0)</f>
        <v/>
      </c>
      <c r="L2001">
        <f>IF(AND(H2001="",F2001="Attended"),1,0)</f>
        <v/>
      </c>
      <c r="M2001">
        <f>IF(AND(H2001="",OR(F2001="No-show",F2001="Late cancel")),1,0)</f>
        <v/>
      </c>
      <c r="N2001">
        <f>IF(AND(H2001="",F2001="",D2001&lt;&gt;"",I2001&gt;=TODAY()),ROUND((I2001+IF(ISNUMBER(C2001),MOD(C2001,1),0))*1440,0)*10000+ROW(),"")</f>
        <v/>
      </c>
    </row>
    <row r="2002">
      <c r="A2002" s="1" t="n"/>
      <c r="B2002" s="17" t="n"/>
      <c r="C2002" s="18" t="n"/>
      <c r="D2002" s="19" t="n"/>
      <c r="E2002" s="20" t="n"/>
      <c r="F2002" s="20" t="n"/>
      <c r="G2002" s="21" t="n"/>
      <c r="H2002" s="12">
        <f>IF(AND(B2002="",D2002="",F2002=""),"",IF(NOT(ISNUMBER(B2002)),"Needs a date",IF(D2002="","Needs a client",IF(COUNTIF(Clients!$B$6:$B$105,D2002)=0,"Not on Clients",IF(AND(F2002="",INT(B2002)&lt;TODAY()),"Needs a status","")))))</f>
        <v/>
      </c>
      <c r="I2002" s="1">
        <f>IF(ISNUMBER(B2002),INT(B2002),0)</f>
        <v/>
      </c>
      <c r="J2002">
        <f>IF(ISNUMBER(B2002),YEAR(B2002)*100+MONTH(B2002),"")</f>
        <v/>
      </c>
      <c r="K2002">
        <f>IF(AND(H2002="",OR(F2002="Attended",F2002="No-show",AND(F2002="Late cancel",Settings!$C$9="Yes"))),1,0)</f>
        <v/>
      </c>
      <c r="L2002">
        <f>IF(AND(H2002="",F2002="Attended"),1,0)</f>
        <v/>
      </c>
      <c r="M2002">
        <f>IF(AND(H2002="",OR(F2002="No-show",F2002="Late cancel")),1,0)</f>
        <v/>
      </c>
      <c r="N2002">
        <f>IF(AND(H2002="",F2002="",D2002&lt;&gt;"",I2002&gt;=TODAY()),ROUND((I2002+IF(ISNUMBER(C2002),MOD(C2002,1),0))*1440,0)*10000+ROW(),"")</f>
        <v/>
      </c>
    </row>
    <row r="2003">
      <c r="A2003" s="1" t="n"/>
      <c r="B2003" s="17" t="n"/>
      <c r="C2003" s="18" t="n"/>
      <c r="D2003" s="19" t="n"/>
      <c r="E2003" s="20" t="n"/>
      <c r="F2003" s="20" t="n"/>
      <c r="G2003" s="21" t="n"/>
      <c r="H2003" s="12">
        <f>IF(AND(B2003="",D2003="",F2003=""),"",IF(NOT(ISNUMBER(B2003)),"Needs a date",IF(D2003="","Needs a client",IF(COUNTIF(Clients!$B$6:$B$105,D2003)=0,"Not on Clients",IF(AND(F2003="",INT(B2003)&lt;TODAY()),"Needs a status","")))))</f>
        <v/>
      </c>
      <c r="I2003" s="1">
        <f>IF(ISNUMBER(B2003),INT(B2003),0)</f>
        <v/>
      </c>
      <c r="J2003">
        <f>IF(ISNUMBER(B2003),YEAR(B2003)*100+MONTH(B2003),"")</f>
        <v/>
      </c>
      <c r="K2003">
        <f>IF(AND(H2003="",OR(F2003="Attended",F2003="No-show",AND(F2003="Late cancel",Settings!$C$9="Yes"))),1,0)</f>
        <v/>
      </c>
      <c r="L2003">
        <f>IF(AND(H2003="",F2003="Attended"),1,0)</f>
        <v/>
      </c>
      <c r="M2003">
        <f>IF(AND(H2003="",OR(F2003="No-show",F2003="Late cancel")),1,0)</f>
        <v/>
      </c>
      <c r="N2003">
        <f>IF(AND(H2003="",F2003="",D2003&lt;&gt;"",I2003&gt;=TODAY()),ROUND((I2003+IF(ISNUMBER(C2003),MOD(C2003,1),0))*1440,0)*10000+ROW(),"")</f>
        <v/>
      </c>
    </row>
    <row r="2004">
      <c r="A2004" s="1" t="n"/>
      <c r="B2004" s="17" t="n"/>
      <c r="C2004" s="18" t="n"/>
      <c r="D2004" s="19" t="n"/>
      <c r="E2004" s="20" t="n"/>
      <c r="F2004" s="20" t="n"/>
      <c r="G2004" s="21" t="n"/>
      <c r="H2004" s="12">
        <f>IF(AND(B2004="",D2004="",F2004=""),"",IF(NOT(ISNUMBER(B2004)),"Needs a date",IF(D2004="","Needs a client",IF(COUNTIF(Clients!$B$6:$B$105,D2004)=0,"Not on Clients",IF(AND(F2004="",INT(B2004)&lt;TODAY()),"Needs a status","")))))</f>
        <v/>
      </c>
      <c r="I2004" s="1">
        <f>IF(ISNUMBER(B2004),INT(B2004),0)</f>
        <v/>
      </c>
      <c r="J2004">
        <f>IF(ISNUMBER(B2004),YEAR(B2004)*100+MONTH(B2004),"")</f>
        <v/>
      </c>
      <c r="K2004">
        <f>IF(AND(H2004="",OR(F2004="Attended",F2004="No-show",AND(F2004="Late cancel",Settings!$C$9="Yes"))),1,0)</f>
        <v/>
      </c>
      <c r="L2004">
        <f>IF(AND(H2004="",F2004="Attended"),1,0)</f>
        <v/>
      </c>
      <c r="M2004">
        <f>IF(AND(H2004="",OR(F2004="No-show",F2004="Late cancel")),1,0)</f>
        <v/>
      </c>
      <c r="N2004">
        <f>IF(AND(H2004="",F2004="",D2004&lt;&gt;"",I2004&gt;=TODAY()),ROUND((I2004+IF(ISNUMBER(C2004),MOD(C2004,1),0))*1440,0)*10000+ROW(),"")</f>
        <v/>
      </c>
    </row>
    <row r="2005">
      <c r="A2005" s="1" t="n"/>
      <c r="B2005" s="17" t="n"/>
      <c r="C2005" s="18" t="n"/>
      <c r="D2005" s="19" t="n"/>
      <c r="E2005" s="20" t="n"/>
      <c r="F2005" s="20" t="n"/>
      <c r="G2005" s="21" t="n"/>
      <c r="H2005" s="12">
        <f>IF(AND(B2005="",D2005="",F2005=""),"",IF(NOT(ISNUMBER(B2005)),"Needs a date",IF(D2005="","Needs a client",IF(COUNTIF(Clients!$B$6:$B$105,D2005)=0,"Not on Clients",IF(AND(F2005="",INT(B2005)&lt;TODAY()),"Needs a status","")))))</f>
        <v/>
      </c>
      <c r="I2005" s="1">
        <f>IF(ISNUMBER(B2005),INT(B2005),0)</f>
        <v/>
      </c>
      <c r="J2005">
        <f>IF(ISNUMBER(B2005),YEAR(B2005)*100+MONTH(B2005),"")</f>
        <v/>
      </c>
      <c r="K2005">
        <f>IF(AND(H2005="",OR(F2005="Attended",F2005="No-show",AND(F2005="Late cancel",Settings!$C$9="Yes"))),1,0)</f>
        <v/>
      </c>
      <c r="L2005">
        <f>IF(AND(H2005="",F2005="Attended"),1,0)</f>
        <v/>
      </c>
      <c r="M2005">
        <f>IF(AND(H2005="",OR(F2005="No-show",F2005="Late cancel")),1,0)</f>
        <v/>
      </c>
      <c r="N2005">
        <f>IF(AND(H2005="",F2005="",D2005&lt;&gt;"",I2005&gt;=TODAY()),ROUND((I2005+IF(ISNUMBER(C2005),MOD(C2005,1),0))*1440,0)*10000+ROW(),"")</f>
        <v/>
      </c>
    </row>
    <row r="2006">
      <c r="A2006" s="1" t="n"/>
      <c r="B2006" s="17" t="n"/>
      <c r="C2006" s="18" t="n"/>
      <c r="D2006" s="19" t="n"/>
      <c r="E2006" s="20" t="n"/>
      <c r="F2006" s="20" t="n"/>
      <c r="G2006" s="21" t="n"/>
      <c r="H2006" s="12">
        <f>IF(AND(B2006="",D2006="",F2006=""),"",IF(NOT(ISNUMBER(B2006)),"Needs a date",IF(D2006="","Needs a client",IF(COUNTIF(Clients!$B$6:$B$105,D2006)=0,"Not on Clients",IF(AND(F2006="",INT(B2006)&lt;TODAY()),"Needs a status","")))))</f>
        <v/>
      </c>
      <c r="I2006" s="1">
        <f>IF(ISNUMBER(B2006),INT(B2006),0)</f>
        <v/>
      </c>
      <c r="J2006">
        <f>IF(ISNUMBER(B2006),YEAR(B2006)*100+MONTH(B2006),"")</f>
        <v/>
      </c>
      <c r="K2006">
        <f>IF(AND(H2006="",OR(F2006="Attended",F2006="No-show",AND(F2006="Late cancel",Settings!$C$9="Yes"))),1,0)</f>
        <v/>
      </c>
      <c r="L2006">
        <f>IF(AND(H2006="",F2006="Attended"),1,0)</f>
        <v/>
      </c>
      <c r="M2006">
        <f>IF(AND(H2006="",OR(F2006="No-show",F2006="Late cancel")),1,0)</f>
        <v/>
      </c>
      <c r="N2006">
        <f>IF(AND(H2006="",F2006="",D2006&lt;&gt;"",I2006&gt;=TODAY()),ROUND((I2006+IF(ISNUMBER(C2006),MOD(C2006,1),0))*1440,0)*10000+ROW(),"")</f>
        <v/>
      </c>
    </row>
    <row r="2007">
      <c r="A2007" s="1" t="n"/>
      <c r="B2007" s="17" t="n"/>
      <c r="C2007" s="18" t="n"/>
      <c r="D2007" s="19" t="n"/>
      <c r="E2007" s="20" t="n"/>
      <c r="F2007" s="20" t="n"/>
      <c r="G2007" s="21" t="n"/>
      <c r="H2007" s="12">
        <f>IF(AND(B2007="",D2007="",F2007=""),"",IF(NOT(ISNUMBER(B2007)),"Needs a date",IF(D2007="","Needs a client",IF(COUNTIF(Clients!$B$6:$B$105,D2007)=0,"Not on Clients",IF(AND(F2007="",INT(B2007)&lt;TODAY()),"Needs a status","")))))</f>
        <v/>
      </c>
      <c r="I2007" s="1">
        <f>IF(ISNUMBER(B2007),INT(B2007),0)</f>
        <v/>
      </c>
      <c r="J2007">
        <f>IF(ISNUMBER(B2007),YEAR(B2007)*100+MONTH(B2007),"")</f>
        <v/>
      </c>
      <c r="K2007">
        <f>IF(AND(H2007="",OR(F2007="Attended",F2007="No-show",AND(F2007="Late cancel",Settings!$C$9="Yes"))),1,0)</f>
        <v/>
      </c>
      <c r="L2007">
        <f>IF(AND(H2007="",F2007="Attended"),1,0)</f>
        <v/>
      </c>
      <c r="M2007">
        <f>IF(AND(H2007="",OR(F2007="No-show",F2007="Late cancel")),1,0)</f>
        <v/>
      </c>
      <c r="N2007">
        <f>IF(AND(H2007="",F2007="",D2007&lt;&gt;"",I2007&gt;=TODAY()),ROUND((I2007+IF(ISNUMBER(C2007),MOD(C2007,1),0))*1440,0)*10000+ROW(),"")</f>
        <v/>
      </c>
    </row>
    <row r="2008">
      <c r="A2008" s="1" t="n"/>
      <c r="B2008" s="17" t="n"/>
      <c r="C2008" s="18" t="n"/>
      <c r="D2008" s="19" t="n"/>
      <c r="E2008" s="20" t="n"/>
      <c r="F2008" s="20" t="n"/>
      <c r="G2008" s="21" t="n"/>
      <c r="H2008" s="12">
        <f>IF(AND(B2008="",D2008="",F2008=""),"",IF(NOT(ISNUMBER(B2008)),"Needs a date",IF(D2008="","Needs a client",IF(COUNTIF(Clients!$B$6:$B$105,D2008)=0,"Not on Clients",IF(AND(F2008="",INT(B2008)&lt;TODAY()),"Needs a status","")))))</f>
        <v/>
      </c>
      <c r="I2008" s="1">
        <f>IF(ISNUMBER(B2008),INT(B2008),0)</f>
        <v/>
      </c>
      <c r="J2008">
        <f>IF(ISNUMBER(B2008),YEAR(B2008)*100+MONTH(B2008),"")</f>
        <v/>
      </c>
      <c r="K2008">
        <f>IF(AND(H2008="",OR(F2008="Attended",F2008="No-show",AND(F2008="Late cancel",Settings!$C$9="Yes"))),1,0)</f>
        <v/>
      </c>
      <c r="L2008">
        <f>IF(AND(H2008="",F2008="Attended"),1,0)</f>
        <v/>
      </c>
      <c r="M2008">
        <f>IF(AND(H2008="",OR(F2008="No-show",F2008="Late cancel")),1,0)</f>
        <v/>
      </c>
      <c r="N2008">
        <f>IF(AND(H2008="",F2008="",D2008&lt;&gt;"",I2008&gt;=TODAY()),ROUND((I2008+IF(ISNUMBER(C2008),MOD(C2008,1),0))*1440,0)*10000+ROW(),"")</f>
        <v/>
      </c>
    </row>
    <row r="2009">
      <c r="A2009" s="1" t="n"/>
      <c r="B2009" s="17" t="n"/>
      <c r="C2009" s="18" t="n"/>
      <c r="D2009" s="19" t="n"/>
      <c r="E2009" s="20" t="n"/>
      <c r="F2009" s="20" t="n"/>
      <c r="G2009" s="21" t="n"/>
      <c r="H2009" s="12">
        <f>IF(AND(B2009="",D2009="",F2009=""),"",IF(NOT(ISNUMBER(B2009)),"Needs a date",IF(D2009="","Needs a client",IF(COUNTIF(Clients!$B$6:$B$105,D2009)=0,"Not on Clients",IF(AND(F2009="",INT(B2009)&lt;TODAY()),"Needs a status","")))))</f>
        <v/>
      </c>
      <c r="I2009" s="1">
        <f>IF(ISNUMBER(B2009),INT(B2009),0)</f>
        <v/>
      </c>
      <c r="J2009">
        <f>IF(ISNUMBER(B2009),YEAR(B2009)*100+MONTH(B2009),"")</f>
        <v/>
      </c>
      <c r="K2009">
        <f>IF(AND(H2009="",OR(F2009="Attended",F2009="No-show",AND(F2009="Late cancel",Settings!$C$9="Yes"))),1,0)</f>
        <v/>
      </c>
      <c r="L2009">
        <f>IF(AND(H2009="",F2009="Attended"),1,0)</f>
        <v/>
      </c>
      <c r="M2009">
        <f>IF(AND(H2009="",OR(F2009="No-show",F2009="Late cancel")),1,0)</f>
        <v/>
      </c>
      <c r="N2009">
        <f>IF(AND(H2009="",F2009="",D2009&lt;&gt;"",I2009&gt;=TODAY()),ROUND((I2009+IF(ISNUMBER(C2009),MOD(C2009,1),0))*1440,0)*10000+ROW(),"")</f>
        <v/>
      </c>
    </row>
    <row r="2010">
      <c r="A2010" s="1" t="n"/>
      <c r="B2010" s="17" t="n"/>
      <c r="C2010" s="18" t="n"/>
      <c r="D2010" s="19" t="n"/>
      <c r="E2010" s="20" t="n"/>
      <c r="F2010" s="20" t="n"/>
      <c r="G2010" s="21" t="n"/>
      <c r="H2010" s="12">
        <f>IF(AND(B2010="",D2010="",F2010=""),"",IF(NOT(ISNUMBER(B2010)),"Needs a date",IF(D2010="","Needs a client",IF(COUNTIF(Clients!$B$6:$B$105,D2010)=0,"Not on Clients",IF(AND(F2010="",INT(B2010)&lt;TODAY()),"Needs a status","")))))</f>
        <v/>
      </c>
      <c r="I2010" s="1">
        <f>IF(ISNUMBER(B2010),INT(B2010),0)</f>
        <v/>
      </c>
      <c r="J2010">
        <f>IF(ISNUMBER(B2010),YEAR(B2010)*100+MONTH(B2010),"")</f>
        <v/>
      </c>
      <c r="K2010">
        <f>IF(AND(H2010="",OR(F2010="Attended",F2010="No-show",AND(F2010="Late cancel",Settings!$C$9="Yes"))),1,0)</f>
        <v/>
      </c>
      <c r="L2010">
        <f>IF(AND(H2010="",F2010="Attended"),1,0)</f>
        <v/>
      </c>
      <c r="M2010">
        <f>IF(AND(H2010="",OR(F2010="No-show",F2010="Late cancel")),1,0)</f>
        <v/>
      </c>
      <c r="N2010">
        <f>IF(AND(H2010="",F2010="",D2010&lt;&gt;"",I2010&gt;=TODAY()),ROUND((I2010+IF(ISNUMBER(C2010),MOD(C2010,1),0))*1440,0)*10000+ROW(),"")</f>
        <v/>
      </c>
    </row>
    <row r="2011">
      <c r="A2011" s="1" t="n"/>
      <c r="B2011" s="17" t="n"/>
      <c r="C2011" s="18" t="n"/>
      <c r="D2011" s="19" t="n"/>
      <c r="E2011" s="20" t="n"/>
      <c r="F2011" s="20" t="n"/>
      <c r="G2011" s="21" t="n"/>
      <c r="H2011" s="12">
        <f>IF(AND(B2011="",D2011="",F2011=""),"",IF(NOT(ISNUMBER(B2011)),"Needs a date",IF(D2011="","Needs a client",IF(COUNTIF(Clients!$B$6:$B$105,D2011)=0,"Not on Clients",IF(AND(F2011="",INT(B2011)&lt;TODAY()),"Needs a status","")))))</f>
        <v/>
      </c>
      <c r="I2011" s="1">
        <f>IF(ISNUMBER(B2011),INT(B2011),0)</f>
        <v/>
      </c>
      <c r="J2011">
        <f>IF(ISNUMBER(B2011),YEAR(B2011)*100+MONTH(B2011),"")</f>
        <v/>
      </c>
      <c r="K2011">
        <f>IF(AND(H2011="",OR(F2011="Attended",F2011="No-show",AND(F2011="Late cancel",Settings!$C$9="Yes"))),1,0)</f>
        <v/>
      </c>
      <c r="L2011">
        <f>IF(AND(H2011="",F2011="Attended"),1,0)</f>
        <v/>
      </c>
      <c r="M2011">
        <f>IF(AND(H2011="",OR(F2011="No-show",F2011="Late cancel")),1,0)</f>
        <v/>
      </c>
      <c r="N2011">
        <f>IF(AND(H2011="",F2011="",D2011&lt;&gt;"",I2011&gt;=TODAY()),ROUND((I2011+IF(ISNUMBER(C2011),MOD(C2011,1),0))*1440,0)*10000+ROW(),"")</f>
        <v/>
      </c>
    </row>
    <row r="2012">
      <c r="A2012" s="1" t="n"/>
      <c r="B2012" s="17" t="n"/>
      <c r="C2012" s="18" t="n"/>
      <c r="D2012" s="19" t="n"/>
      <c r="E2012" s="20" t="n"/>
      <c r="F2012" s="20" t="n"/>
      <c r="G2012" s="21" t="n"/>
      <c r="H2012" s="12">
        <f>IF(AND(B2012="",D2012="",F2012=""),"",IF(NOT(ISNUMBER(B2012)),"Needs a date",IF(D2012="","Needs a client",IF(COUNTIF(Clients!$B$6:$B$105,D2012)=0,"Not on Clients",IF(AND(F2012="",INT(B2012)&lt;TODAY()),"Needs a status","")))))</f>
        <v/>
      </c>
      <c r="I2012" s="1">
        <f>IF(ISNUMBER(B2012),INT(B2012),0)</f>
        <v/>
      </c>
      <c r="J2012">
        <f>IF(ISNUMBER(B2012),YEAR(B2012)*100+MONTH(B2012),"")</f>
        <v/>
      </c>
      <c r="K2012">
        <f>IF(AND(H2012="",OR(F2012="Attended",F2012="No-show",AND(F2012="Late cancel",Settings!$C$9="Yes"))),1,0)</f>
        <v/>
      </c>
      <c r="L2012">
        <f>IF(AND(H2012="",F2012="Attended"),1,0)</f>
        <v/>
      </c>
      <c r="M2012">
        <f>IF(AND(H2012="",OR(F2012="No-show",F2012="Late cancel")),1,0)</f>
        <v/>
      </c>
      <c r="N2012">
        <f>IF(AND(H2012="",F2012="",D2012&lt;&gt;"",I2012&gt;=TODAY()),ROUND((I2012+IF(ISNUMBER(C2012),MOD(C2012,1),0))*1440,0)*10000+ROW(),"")</f>
        <v/>
      </c>
    </row>
    <row r="2013">
      <c r="A2013" s="1" t="n"/>
      <c r="B2013" s="17" t="n"/>
      <c r="C2013" s="18" t="n"/>
      <c r="D2013" s="19" t="n"/>
      <c r="E2013" s="20" t="n"/>
      <c r="F2013" s="20" t="n"/>
      <c r="G2013" s="21" t="n"/>
      <c r="H2013" s="12">
        <f>IF(AND(B2013="",D2013="",F2013=""),"",IF(NOT(ISNUMBER(B2013)),"Needs a date",IF(D2013="","Needs a client",IF(COUNTIF(Clients!$B$6:$B$105,D2013)=0,"Not on Clients",IF(AND(F2013="",INT(B2013)&lt;TODAY()),"Needs a status","")))))</f>
        <v/>
      </c>
      <c r="I2013" s="1">
        <f>IF(ISNUMBER(B2013),INT(B2013),0)</f>
        <v/>
      </c>
      <c r="J2013">
        <f>IF(ISNUMBER(B2013),YEAR(B2013)*100+MONTH(B2013),"")</f>
        <v/>
      </c>
      <c r="K2013">
        <f>IF(AND(H2013="",OR(F2013="Attended",F2013="No-show",AND(F2013="Late cancel",Settings!$C$9="Yes"))),1,0)</f>
        <v/>
      </c>
      <c r="L2013">
        <f>IF(AND(H2013="",F2013="Attended"),1,0)</f>
        <v/>
      </c>
      <c r="M2013">
        <f>IF(AND(H2013="",OR(F2013="No-show",F2013="Late cancel")),1,0)</f>
        <v/>
      </c>
      <c r="N2013">
        <f>IF(AND(H2013="",F2013="",D2013&lt;&gt;"",I2013&gt;=TODAY()),ROUND((I2013+IF(ISNUMBER(C2013),MOD(C2013,1),0))*1440,0)*10000+ROW(),"")</f>
        <v/>
      </c>
    </row>
    <row r="2014">
      <c r="A2014" s="1" t="n"/>
      <c r="B2014" s="17" t="n"/>
      <c r="C2014" s="18" t="n"/>
      <c r="D2014" s="19" t="n"/>
      <c r="E2014" s="20" t="n"/>
      <c r="F2014" s="20" t="n"/>
      <c r="G2014" s="21" t="n"/>
      <c r="H2014" s="12">
        <f>IF(AND(B2014="",D2014="",F2014=""),"",IF(NOT(ISNUMBER(B2014)),"Needs a date",IF(D2014="","Needs a client",IF(COUNTIF(Clients!$B$6:$B$105,D2014)=0,"Not on Clients",IF(AND(F2014="",INT(B2014)&lt;TODAY()),"Needs a status","")))))</f>
        <v/>
      </c>
      <c r="I2014" s="1">
        <f>IF(ISNUMBER(B2014),INT(B2014),0)</f>
        <v/>
      </c>
      <c r="J2014">
        <f>IF(ISNUMBER(B2014),YEAR(B2014)*100+MONTH(B2014),"")</f>
        <v/>
      </c>
      <c r="K2014">
        <f>IF(AND(H2014="",OR(F2014="Attended",F2014="No-show",AND(F2014="Late cancel",Settings!$C$9="Yes"))),1,0)</f>
        <v/>
      </c>
      <c r="L2014">
        <f>IF(AND(H2014="",F2014="Attended"),1,0)</f>
        <v/>
      </c>
      <c r="M2014">
        <f>IF(AND(H2014="",OR(F2014="No-show",F2014="Late cancel")),1,0)</f>
        <v/>
      </c>
      <c r="N2014">
        <f>IF(AND(H2014="",F2014="",D2014&lt;&gt;"",I2014&gt;=TODAY()),ROUND((I2014+IF(ISNUMBER(C2014),MOD(C2014,1),0))*1440,0)*10000+ROW(),"")</f>
        <v/>
      </c>
    </row>
    <row r="2015">
      <c r="A2015" s="1" t="n"/>
      <c r="B2015" s="17" t="n"/>
      <c r="C2015" s="18" t="n"/>
      <c r="D2015" s="19" t="n"/>
      <c r="E2015" s="20" t="n"/>
      <c r="F2015" s="20" t="n"/>
      <c r="G2015" s="21" t="n"/>
      <c r="H2015" s="12">
        <f>IF(AND(B2015="",D2015="",F2015=""),"",IF(NOT(ISNUMBER(B2015)),"Needs a date",IF(D2015="","Needs a client",IF(COUNTIF(Clients!$B$6:$B$105,D2015)=0,"Not on Clients",IF(AND(F2015="",INT(B2015)&lt;TODAY()),"Needs a status","")))))</f>
        <v/>
      </c>
      <c r="I2015" s="1">
        <f>IF(ISNUMBER(B2015),INT(B2015),0)</f>
        <v/>
      </c>
      <c r="J2015">
        <f>IF(ISNUMBER(B2015),YEAR(B2015)*100+MONTH(B2015),"")</f>
        <v/>
      </c>
      <c r="K2015">
        <f>IF(AND(H2015="",OR(F2015="Attended",F2015="No-show",AND(F2015="Late cancel",Settings!$C$9="Yes"))),1,0)</f>
        <v/>
      </c>
      <c r="L2015">
        <f>IF(AND(H2015="",F2015="Attended"),1,0)</f>
        <v/>
      </c>
      <c r="M2015">
        <f>IF(AND(H2015="",OR(F2015="No-show",F2015="Late cancel")),1,0)</f>
        <v/>
      </c>
      <c r="N2015">
        <f>IF(AND(H2015="",F2015="",D2015&lt;&gt;"",I2015&gt;=TODAY()),ROUND((I2015+IF(ISNUMBER(C2015),MOD(C2015,1),0))*1440,0)*10000+ROW(),"")</f>
        <v/>
      </c>
    </row>
    <row r="2016">
      <c r="A2016" s="1" t="n"/>
      <c r="B2016" s="17" t="n"/>
      <c r="C2016" s="18" t="n"/>
      <c r="D2016" s="19" t="n"/>
      <c r="E2016" s="20" t="n"/>
      <c r="F2016" s="20" t="n"/>
      <c r="G2016" s="21" t="n"/>
      <c r="H2016" s="12">
        <f>IF(AND(B2016="",D2016="",F2016=""),"",IF(NOT(ISNUMBER(B2016)),"Needs a date",IF(D2016="","Needs a client",IF(COUNTIF(Clients!$B$6:$B$105,D2016)=0,"Not on Clients",IF(AND(F2016="",INT(B2016)&lt;TODAY()),"Needs a status","")))))</f>
        <v/>
      </c>
      <c r="I2016" s="1">
        <f>IF(ISNUMBER(B2016),INT(B2016),0)</f>
        <v/>
      </c>
      <c r="J2016">
        <f>IF(ISNUMBER(B2016),YEAR(B2016)*100+MONTH(B2016),"")</f>
        <v/>
      </c>
      <c r="K2016">
        <f>IF(AND(H2016="",OR(F2016="Attended",F2016="No-show",AND(F2016="Late cancel",Settings!$C$9="Yes"))),1,0)</f>
        <v/>
      </c>
      <c r="L2016">
        <f>IF(AND(H2016="",F2016="Attended"),1,0)</f>
        <v/>
      </c>
      <c r="M2016">
        <f>IF(AND(H2016="",OR(F2016="No-show",F2016="Late cancel")),1,0)</f>
        <v/>
      </c>
      <c r="N2016">
        <f>IF(AND(H2016="",F2016="",D2016&lt;&gt;"",I2016&gt;=TODAY()),ROUND((I2016+IF(ISNUMBER(C2016),MOD(C2016,1),0))*1440,0)*10000+ROW(),"")</f>
        <v/>
      </c>
    </row>
    <row r="2017">
      <c r="A2017" s="1" t="n"/>
      <c r="B2017" s="17" t="n"/>
      <c r="C2017" s="18" t="n"/>
      <c r="D2017" s="19" t="n"/>
      <c r="E2017" s="20" t="n"/>
      <c r="F2017" s="20" t="n"/>
      <c r="G2017" s="21" t="n"/>
      <c r="H2017" s="12">
        <f>IF(AND(B2017="",D2017="",F2017=""),"",IF(NOT(ISNUMBER(B2017)),"Needs a date",IF(D2017="","Needs a client",IF(COUNTIF(Clients!$B$6:$B$105,D2017)=0,"Not on Clients",IF(AND(F2017="",INT(B2017)&lt;TODAY()),"Needs a status","")))))</f>
        <v/>
      </c>
      <c r="I2017" s="1">
        <f>IF(ISNUMBER(B2017),INT(B2017),0)</f>
        <v/>
      </c>
      <c r="J2017">
        <f>IF(ISNUMBER(B2017),YEAR(B2017)*100+MONTH(B2017),"")</f>
        <v/>
      </c>
      <c r="K2017">
        <f>IF(AND(H2017="",OR(F2017="Attended",F2017="No-show",AND(F2017="Late cancel",Settings!$C$9="Yes"))),1,0)</f>
        <v/>
      </c>
      <c r="L2017">
        <f>IF(AND(H2017="",F2017="Attended"),1,0)</f>
        <v/>
      </c>
      <c r="M2017">
        <f>IF(AND(H2017="",OR(F2017="No-show",F2017="Late cancel")),1,0)</f>
        <v/>
      </c>
      <c r="N2017">
        <f>IF(AND(H2017="",F2017="",D2017&lt;&gt;"",I2017&gt;=TODAY()),ROUND((I2017+IF(ISNUMBER(C2017),MOD(C2017,1),0))*1440,0)*10000+ROW(),"")</f>
        <v/>
      </c>
    </row>
    <row r="2018">
      <c r="A2018" s="1" t="n"/>
      <c r="B2018" s="17" t="n"/>
      <c r="C2018" s="18" t="n"/>
      <c r="D2018" s="19" t="n"/>
      <c r="E2018" s="20" t="n"/>
      <c r="F2018" s="20" t="n"/>
      <c r="G2018" s="21" t="n"/>
      <c r="H2018" s="12">
        <f>IF(AND(B2018="",D2018="",F2018=""),"",IF(NOT(ISNUMBER(B2018)),"Needs a date",IF(D2018="","Needs a client",IF(COUNTIF(Clients!$B$6:$B$105,D2018)=0,"Not on Clients",IF(AND(F2018="",INT(B2018)&lt;TODAY()),"Needs a status","")))))</f>
        <v/>
      </c>
      <c r="I2018" s="1">
        <f>IF(ISNUMBER(B2018),INT(B2018),0)</f>
        <v/>
      </c>
      <c r="J2018">
        <f>IF(ISNUMBER(B2018),YEAR(B2018)*100+MONTH(B2018),"")</f>
        <v/>
      </c>
      <c r="K2018">
        <f>IF(AND(H2018="",OR(F2018="Attended",F2018="No-show",AND(F2018="Late cancel",Settings!$C$9="Yes"))),1,0)</f>
        <v/>
      </c>
      <c r="L2018">
        <f>IF(AND(H2018="",F2018="Attended"),1,0)</f>
        <v/>
      </c>
      <c r="M2018">
        <f>IF(AND(H2018="",OR(F2018="No-show",F2018="Late cancel")),1,0)</f>
        <v/>
      </c>
      <c r="N2018">
        <f>IF(AND(H2018="",F2018="",D2018&lt;&gt;"",I2018&gt;=TODAY()),ROUND((I2018+IF(ISNUMBER(C2018),MOD(C2018,1),0))*1440,0)*10000+ROW(),"")</f>
        <v/>
      </c>
    </row>
    <row r="2019">
      <c r="A2019" s="1" t="n"/>
      <c r="B2019" s="17" t="n"/>
      <c r="C2019" s="18" t="n"/>
      <c r="D2019" s="19" t="n"/>
      <c r="E2019" s="20" t="n"/>
      <c r="F2019" s="20" t="n"/>
      <c r="G2019" s="21" t="n"/>
      <c r="H2019" s="12">
        <f>IF(AND(B2019="",D2019="",F2019=""),"",IF(NOT(ISNUMBER(B2019)),"Needs a date",IF(D2019="","Needs a client",IF(COUNTIF(Clients!$B$6:$B$105,D2019)=0,"Not on Clients",IF(AND(F2019="",INT(B2019)&lt;TODAY()),"Needs a status","")))))</f>
        <v/>
      </c>
      <c r="I2019" s="1">
        <f>IF(ISNUMBER(B2019),INT(B2019),0)</f>
        <v/>
      </c>
      <c r="J2019">
        <f>IF(ISNUMBER(B2019),YEAR(B2019)*100+MONTH(B2019),"")</f>
        <v/>
      </c>
      <c r="K2019">
        <f>IF(AND(H2019="",OR(F2019="Attended",F2019="No-show",AND(F2019="Late cancel",Settings!$C$9="Yes"))),1,0)</f>
        <v/>
      </c>
      <c r="L2019">
        <f>IF(AND(H2019="",F2019="Attended"),1,0)</f>
        <v/>
      </c>
      <c r="M2019">
        <f>IF(AND(H2019="",OR(F2019="No-show",F2019="Late cancel")),1,0)</f>
        <v/>
      </c>
      <c r="N2019">
        <f>IF(AND(H2019="",F2019="",D2019&lt;&gt;"",I2019&gt;=TODAY()),ROUND((I2019+IF(ISNUMBER(C2019),MOD(C2019,1),0))*1440,0)*10000+ROW(),"")</f>
        <v/>
      </c>
    </row>
    <row r="2020">
      <c r="A2020" s="1" t="n"/>
      <c r="B2020" s="17" t="n"/>
      <c r="C2020" s="18" t="n"/>
      <c r="D2020" s="19" t="n"/>
      <c r="E2020" s="20" t="n"/>
      <c r="F2020" s="20" t="n"/>
      <c r="G2020" s="21" t="n"/>
      <c r="H2020" s="12">
        <f>IF(AND(B2020="",D2020="",F2020=""),"",IF(NOT(ISNUMBER(B2020)),"Needs a date",IF(D2020="","Needs a client",IF(COUNTIF(Clients!$B$6:$B$105,D2020)=0,"Not on Clients",IF(AND(F2020="",INT(B2020)&lt;TODAY()),"Needs a status","")))))</f>
        <v/>
      </c>
      <c r="I2020" s="1">
        <f>IF(ISNUMBER(B2020),INT(B2020),0)</f>
        <v/>
      </c>
      <c r="J2020">
        <f>IF(ISNUMBER(B2020),YEAR(B2020)*100+MONTH(B2020),"")</f>
        <v/>
      </c>
      <c r="K2020">
        <f>IF(AND(H2020="",OR(F2020="Attended",F2020="No-show",AND(F2020="Late cancel",Settings!$C$9="Yes"))),1,0)</f>
        <v/>
      </c>
      <c r="L2020">
        <f>IF(AND(H2020="",F2020="Attended"),1,0)</f>
        <v/>
      </c>
      <c r="M2020">
        <f>IF(AND(H2020="",OR(F2020="No-show",F2020="Late cancel")),1,0)</f>
        <v/>
      </c>
      <c r="N2020">
        <f>IF(AND(H2020="",F2020="",D2020&lt;&gt;"",I2020&gt;=TODAY()),ROUND((I2020+IF(ISNUMBER(C2020),MOD(C2020,1),0))*1440,0)*10000+ROW(),"")</f>
        <v/>
      </c>
    </row>
    <row r="2021">
      <c r="A2021" s="1" t="n"/>
      <c r="B2021" s="17" t="n"/>
      <c r="C2021" s="18" t="n"/>
      <c r="D2021" s="19" t="n"/>
      <c r="E2021" s="20" t="n"/>
      <c r="F2021" s="20" t="n"/>
      <c r="G2021" s="21" t="n"/>
      <c r="H2021" s="12">
        <f>IF(AND(B2021="",D2021="",F2021=""),"",IF(NOT(ISNUMBER(B2021)),"Needs a date",IF(D2021="","Needs a client",IF(COUNTIF(Clients!$B$6:$B$105,D2021)=0,"Not on Clients",IF(AND(F2021="",INT(B2021)&lt;TODAY()),"Needs a status","")))))</f>
        <v/>
      </c>
      <c r="I2021" s="1">
        <f>IF(ISNUMBER(B2021),INT(B2021),0)</f>
        <v/>
      </c>
      <c r="J2021">
        <f>IF(ISNUMBER(B2021),YEAR(B2021)*100+MONTH(B2021),"")</f>
        <v/>
      </c>
      <c r="K2021">
        <f>IF(AND(H2021="",OR(F2021="Attended",F2021="No-show",AND(F2021="Late cancel",Settings!$C$9="Yes"))),1,0)</f>
        <v/>
      </c>
      <c r="L2021">
        <f>IF(AND(H2021="",F2021="Attended"),1,0)</f>
        <v/>
      </c>
      <c r="M2021">
        <f>IF(AND(H2021="",OR(F2021="No-show",F2021="Late cancel")),1,0)</f>
        <v/>
      </c>
      <c r="N2021">
        <f>IF(AND(H2021="",F2021="",D2021&lt;&gt;"",I2021&gt;=TODAY()),ROUND((I2021+IF(ISNUMBER(C2021),MOD(C2021,1),0))*1440,0)*10000+ROW(),"")</f>
        <v/>
      </c>
    </row>
    <row r="2022">
      <c r="A2022" s="1" t="n"/>
      <c r="B2022" s="17" t="n"/>
      <c r="C2022" s="18" t="n"/>
      <c r="D2022" s="19" t="n"/>
      <c r="E2022" s="20" t="n"/>
      <c r="F2022" s="20" t="n"/>
      <c r="G2022" s="21" t="n"/>
      <c r="H2022" s="12">
        <f>IF(AND(B2022="",D2022="",F2022=""),"",IF(NOT(ISNUMBER(B2022)),"Needs a date",IF(D2022="","Needs a client",IF(COUNTIF(Clients!$B$6:$B$105,D2022)=0,"Not on Clients",IF(AND(F2022="",INT(B2022)&lt;TODAY()),"Needs a status","")))))</f>
        <v/>
      </c>
      <c r="I2022" s="1">
        <f>IF(ISNUMBER(B2022),INT(B2022),0)</f>
        <v/>
      </c>
      <c r="J2022">
        <f>IF(ISNUMBER(B2022),YEAR(B2022)*100+MONTH(B2022),"")</f>
        <v/>
      </c>
      <c r="K2022">
        <f>IF(AND(H2022="",OR(F2022="Attended",F2022="No-show",AND(F2022="Late cancel",Settings!$C$9="Yes"))),1,0)</f>
        <v/>
      </c>
      <c r="L2022">
        <f>IF(AND(H2022="",F2022="Attended"),1,0)</f>
        <v/>
      </c>
      <c r="M2022">
        <f>IF(AND(H2022="",OR(F2022="No-show",F2022="Late cancel")),1,0)</f>
        <v/>
      </c>
      <c r="N2022">
        <f>IF(AND(H2022="",F2022="",D2022&lt;&gt;"",I2022&gt;=TODAY()),ROUND((I2022+IF(ISNUMBER(C2022),MOD(C2022,1),0))*1440,0)*10000+ROW(),"")</f>
        <v/>
      </c>
    </row>
    <row r="2023">
      <c r="A2023" s="1" t="n"/>
      <c r="B2023" s="17" t="n"/>
      <c r="C2023" s="18" t="n"/>
      <c r="D2023" s="19" t="n"/>
      <c r="E2023" s="20" t="n"/>
      <c r="F2023" s="20" t="n"/>
      <c r="G2023" s="21" t="n"/>
      <c r="H2023" s="12">
        <f>IF(AND(B2023="",D2023="",F2023=""),"",IF(NOT(ISNUMBER(B2023)),"Needs a date",IF(D2023="","Needs a client",IF(COUNTIF(Clients!$B$6:$B$105,D2023)=0,"Not on Clients",IF(AND(F2023="",INT(B2023)&lt;TODAY()),"Needs a status","")))))</f>
        <v/>
      </c>
      <c r="I2023" s="1">
        <f>IF(ISNUMBER(B2023),INT(B2023),0)</f>
        <v/>
      </c>
      <c r="J2023">
        <f>IF(ISNUMBER(B2023),YEAR(B2023)*100+MONTH(B2023),"")</f>
        <v/>
      </c>
      <c r="K2023">
        <f>IF(AND(H2023="",OR(F2023="Attended",F2023="No-show",AND(F2023="Late cancel",Settings!$C$9="Yes"))),1,0)</f>
        <v/>
      </c>
      <c r="L2023">
        <f>IF(AND(H2023="",F2023="Attended"),1,0)</f>
        <v/>
      </c>
      <c r="M2023">
        <f>IF(AND(H2023="",OR(F2023="No-show",F2023="Late cancel")),1,0)</f>
        <v/>
      </c>
      <c r="N2023">
        <f>IF(AND(H2023="",F2023="",D2023&lt;&gt;"",I2023&gt;=TODAY()),ROUND((I2023+IF(ISNUMBER(C2023),MOD(C2023,1),0))*1440,0)*10000+ROW(),"")</f>
        <v/>
      </c>
    </row>
    <row r="2024">
      <c r="A2024" s="1" t="n"/>
      <c r="B2024" s="17" t="n"/>
      <c r="C2024" s="18" t="n"/>
      <c r="D2024" s="19" t="n"/>
      <c r="E2024" s="20" t="n"/>
      <c r="F2024" s="20" t="n"/>
      <c r="G2024" s="21" t="n"/>
      <c r="H2024" s="12">
        <f>IF(AND(B2024="",D2024="",F2024=""),"",IF(NOT(ISNUMBER(B2024)),"Needs a date",IF(D2024="","Needs a client",IF(COUNTIF(Clients!$B$6:$B$105,D2024)=0,"Not on Clients",IF(AND(F2024="",INT(B2024)&lt;TODAY()),"Needs a status","")))))</f>
        <v/>
      </c>
      <c r="I2024" s="1">
        <f>IF(ISNUMBER(B2024),INT(B2024),0)</f>
        <v/>
      </c>
      <c r="J2024">
        <f>IF(ISNUMBER(B2024),YEAR(B2024)*100+MONTH(B2024),"")</f>
        <v/>
      </c>
      <c r="K2024">
        <f>IF(AND(H2024="",OR(F2024="Attended",F2024="No-show",AND(F2024="Late cancel",Settings!$C$9="Yes"))),1,0)</f>
        <v/>
      </c>
      <c r="L2024">
        <f>IF(AND(H2024="",F2024="Attended"),1,0)</f>
        <v/>
      </c>
      <c r="M2024">
        <f>IF(AND(H2024="",OR(F2024="No-show",F2024="Late cancel")),1,0)</f>
        <v/>
      </c>
      <c r="N2024">
        <f>IF(AND(H2024="",F2024="",D2024&lt;&gt;"",I2024&gt;=TODAY()),ROUND((I2024+IF(ISNUMBER(C2024),MOD(C2024,1),0))*1440,0)*10000+ROW(),"")</f>
        <v/>
      </c>
    </row>
    <row r="2025">
      <c r="A2025" s="1" t="n"/>
      <c r="B2025" s="17" t="n"/>
      <c r="C2025" s="18" t="n"/>
      <c r="D2025" s="19" t="n"/>
      <c r="E2025" s="20" t="n"/>
      <c r="F2025" s="20" t="n"/>
      <c r="G2025" s="21" t="n"/>
      <c r="H2025" s="12">
        <f>IF(AND(B2025="",D2025="",F2025=""),"",IF(NOT(ISNUMBER(B2025)),"Needs a date",IF(D2025="","Needs a client",IF(COUNTIF(Clients!$B$6:$B$105,D2025)=0,"Not on Clients",IF(AND(F2025="",INT(B2025)&lt;TODAY()),"Needs a status","")))))</f>
        <v/>
      </c>
      <c r="I2025" s="1">
        <f>IF(ISNUMBER(B2025),INT(B2025),0)</f>
        <v/>
      </c>
      <c r="J2025">
        <f>IF(ISNUMBER(B2025),YEAR(B2025)*100+MONTH(B2025),"")</f>
        <v/>
      </c>
      <c r="K2025">
        <f>IF(AND(H2025="",OR(F2025="Attended",F2025="No-show",AND(F2025="Late cancel",Settings!$C$9="Yes"))),1,0)</f>
        <v/>
      </c>
      <c r="L2025">
        <f>IF(AND(H2025="",F2025="Attended"),1,0)</f>
        <v/>
      </c>
      <c r="M2025">
        <f>IF(AND(H2025="",OR(F2025="No-show",F2025="Late cancel")),1,0)</f>
        <v/>
      </c>
      <c r="N2025">
        <f>IF(AND(H2025="",F2025="",D2025&lt;&gt;"",I2025&gt;=TODAY()),ROUND((I2025+IF(ISNUMBER(C2025),MOD(C2025,1),0))*1440,0)*10000+ROW(),"")</f>
        <v/>
      </c>
    </row>
    <row r="2026">
      <c r="A2026" s="1" t="n"/>
      <c r="B2026" s="17" t="n"/>
      <c r="C2026" s="18" t="n"/>
      <c r="D2026" s="19" t="n"/>
      <c r="E2026" s="20" t="n"/>
      <c r="F2026" s="20" t="n"/>
      <c r="G2026" s="21" t="n"/>
      <c r="H2026" s="12">
        <f>IF(AND(B2026="",D2026="",F2026=""),"",IF(NOT(ISNUMBER(B2026)),"Needs a date",IF(D2026="","Needs a client",IF(COUNTIF(Clients!$B$6:$B$105,D2026)=0,"Not on Clients",IF(AND(F2026="",INT(B2026)&lt;TODAY()),"Needs a status","")))))</f>
        <v/>
      </c>
      <c r="I2026" s="1">
        <f>IF(ISNUMBER(B2026),INT(B2026),0)</f>
        <v/>
      </c>
      <c r="J2026">
        <f>IF(ISNUMBER(B2026),YEAR(B2026)*100+MONTH(B2026),"")</f>
        <v/>
      </c>
      <c r="K2026">
        <f>IF(AND(H2026="",OR(F2026="Attended",F2026="No-show",AND(F2026="Late cancel",Settings!$C$9="Yes"))),1,0)</f>
        <v/>
      </c>
      <c r="L2026">
        <f>IF(AND(H2026="",F2026="Attended"),1,0)</f>
        <v/>
      </c>
      <c r="M2026">
        <f>IF(AND(H2026="",OR(F2026="No-show",F2026="Late cancel")),1,0)</f>
        <v/>
      </c>
      <c r="N2026">
        <f>IF(AND(H2026="",F2026="",D2026&lt;&gt;"",I2026&gt;=TODAY()),ROUND((I2026+IF(ISNUMBER(C2026),MOD(C2026,1),0))*1440,0)*10000+ROW(),"")</f>
        <v/>
      </c>
    </row>
    <row r="2027">
      <c r="A2027" s="1" t="n"/>
      <c r="B2027" s="17" t="n"/>
      <c r="C2027" s="18" t="n"/>
      <c r="D2027" s="19" t="n"/>
      <c r="E2027" s="20" t="n"/>
      <c r="F2027" s="20" t="n"/>
      <c r="G2027" s="21" t="n"/>
      <c r="H2027" s="12">
        <f>IF(AND(B2027="",D2027="",F2027=""),"",IF(NOT(ISNUMBER(B2027)),"Needs a date",IF(D2027="","Needs a client",IF(COUNTIF(Clients!$B$6:$B$105,D2027)=0,"Not on Clients",IF(AND(F2027="",INT(B2027)&lt;TODAY()),"Needs a status","")))))</f>
        <v/>
      </c>
      <c r="I2027" s="1">
        <f>IF(ISNUMBER(B2027),INT(B2027),0)</f>
        <v/>
      </c>
      <c r="J2027">
        <f>IF(ISNUMBER(B2027),YEAR(B2027)*100+MONTH(B2027),"")</f>
        <v/>
      </c>
      <c r="K2027">
        <f>IF(AND(H2027="",OR(F2027="Attended",F2027="No-show",AND(F2027="Late cancel",Settings!$C$9="Yes"))),1,0)</f>
        <v/>
      </c>
      <c r="L2027">
        <f>IF(AND(H2027="",F2027="Attended"),1,0)</f>
        <v/>
      </c>
      <c r="M2027">
        <f>IF(AND(H2027="",OR(F2027="No-show",F2027="Late cancel")),1,0)</f>
        <v/>
      </c>
      <c r="N2027">
        <f>IF(AND(H2027="",F2027="",D2027&lt;&gt;"",I2027&gt;=TODAY()),ROUND((I2027+IF(ISNUMBER(C2027),MOD(C2027,1),0))*1440,0)*10000+ROW(),"")</f>
        <v/>
      </c>
    </row>
    <row r="2028">
      <c r="A2028" s="1" t="n"/>
      <c r="B2028" s="17" t="n"/>
      <c r="C2028" s="18" t="n"/>
      <c r="D2028" s="19" t="n"/>
      <c r="E2028" s="20" t="n"/>
      <c r="F2028" s="20" t="n"/>
      <c r="G2028" s="21" t="n"/>
      <c r="H2028" s="12">
        <f>IF(AND(B2028="",D2028="",F2028=""),"",IF(NOT(ISNUMBER(B2028)),"Needs a date",IF(D2028="","Needs a client",IF(COUNTIF(Clients!$B$6:$B$105,D2028)=0,"Not on Clients",IF(AND(F2028="",INT(B2028)&lt;TODAY()),"Needs a status","")))))</f>
        <v/>
      </c>
      <c r="I2028" s="1">
        <f>IF(ISNUMBER(B2028),INT(B2028),0)</f>
        <v/>
      </c>
      <c r="J2028">
        <f>IF(ISNUMBER(B2028),YEAR(B2028)*100+MONTH(B2028),"")</f>
        <v/>
      </c>
      <c r="K2028">
        <f>IF(AND(H2028="",OR(F2028="Attended",F2028="No-show",AND(F2028="Late cancel",Settings!$C$9="Yes"))),1,0)</f>
        <v/>
      </c>
      <c r="L2028">
        <f>IF(AND(H2028="",F2028="Attended"),1,0)</f>
        <v/>
      </c>
      <c r="M2028">
        <f>IF(AND(H2028="",OR(F2028="No-show",F2028="Late cancel")),1,0)</f>
        <v/>
      </c>
      <c r="N2028">
        <f>IF(AND(H2028="",F2028="",D2028&lt;&gt;"",I2028&gt;=TODAY()),ROUND((I2028+IF(ISNUMBER(C2028),MOD(C2028,1),0))*1440,0)*10000+ROW(),"")</f>
        <v/>
      </c>
    </row>
    <row r="2029">
      <c r="A2029" s="1" t="n"/>
      <c r="B2029" s="17" t="n"/>
      <c r="C2029" s="18" t="n"/>
      <c r="D2029" s="19" t="n"/>
      <c r="E2029" s="20" t="n"/>
      <c r="F2029" s="20" t="n"/>
      <c r="G2029" s="21" t="n"/>
      <c r="H2029" s="12">
        <f>IF(AND(B2029="",D2029="",F2029=""),"",IF(NOT(ISNUMBER(B2029)),"Needs a date",IF(D2029="","Needs a client",IF(COUNTIF(Clients!$B$6:$B$105,D2029)=0,"Not on Clients",IF(AND(F2029="",INT(B2029)&lt;TODAY()),"Needs a status","")))))</f>
        <v/>
      </c>
      <c r="I2029" s="1">
        <f>IF(ISNUMBER(B2029),INT(B2029),0)</f>
        <v/>
      </c>
      <c r="J2029">
        <f>IF(ISNUMBER(B2029),YEAR(B2029)*100+MONTH(B2029),"")</f>
        <v/>
      </c>
      <c r="K2029">
        <f>IF(AND(H2029="",OR(F2029="Attended",F2029="No-show",AND(F2029="Late cancel",Settings!$C$9="Yes"))),1,0)</f>
        <v/>
      </c>
      <c r="L2029">
        <f>IF(AND(H2029="",F2029="Attended"),1,0)</f>
        <v/>
      </c>
      <c r="M2029">
        <f>IF(AND(H2029="",OR(F2029="No-show",F2029="Late cancel")),1,0)</f>
        <v/>
      </c>
      <c r="N2029">
        <f>IF(AND(H2029="",F2029="",D2029&lt;&gt;"",I2029&gt;=TODAY()),ROUND((I2029+IF(ISNUMBER(C2029),MOD(C2029,1),0))*1440,0)*10000+ROW(),"")</f>
        <v/>
      </c>
    </row>
    <row r="2030">
      <c r="A2030" s="1" t="n"/>
      <c r="B2030" s="17" t="n"/>
      <c r="C2030" s="18" t="n"/>
      <c r="D2030" s="19" t="n"/>
      <c r="E2030" s="20" t="n"/>
      <c r="F2030" s="20" t="n"/>
      <c r="G2030" s="21" t="n"/>
      <c r="H2030" s="12">
        <f>IF(AND(B2030="",D2030="",F2030=""),"",IF(NOT(ISNUMBER(B2030)),"Needs a date",IF(D2030="","Needs a client",IF(COUNTIF(Clients!$B$6:$B$105,D2030)=0,"Not on Clients",IF(AND(F2030="",INT(B2030)&lt;TODAY()),"Needs a status","")))))</f>
        <v/>
      </c>
      <c r="I2030" s="1">
        <f>IF(ISNUMBER(B2030),INT(B2030),0)</f>
        <v/>
      </c>
      <c r="J2030">
        <f>IF(ISNUMBER(B2030),YEAR(B2030)*100+MONTH(B2030),"")</f>
        <v/>
      </c>
      <c r="K2030">
        <f>IF(AND(H2030="",OR(F2030="Attended",F2030="No-show",AND(F2030="Late cancel",Settings!$C$9="Yes"))),1,0)</f>
        <v/>
      </c>
      <c r="L2030">
        <f>IF(AND(H2030="",F2030="Attended"),1,0)</f>
        <v/>
      </c>
      <c r="M2030">
        <f>IF(AND(H2030="",OR(F2030="No-show",F2030="Late cancel")),1,0)</f>
        <v/>
      </c>
      <c r="N2030">
        <f>IF(AND(H2030="",F2030="",D2030&lt;&gt;"",I2030&gt;=TODAY()),ROUND((I2030+IF(ISNUMBER(C2030),MOD(C2030,1),0))*1440,0)*10000+ROW(),"")</f>
        <v/>
      </c>
    </row>
    <row r="2031">
      <c r="A2031" s="1" t="n"/>
      <c r="B2031" s="17" t="n"/>
      <c r="C2031" s="18" t="n"/>
      <c r="D2031" s="19" t="n"/>
      <c r="E2031" s="20" t="n"/>
      <c r="F2031" s="20" t="n"/>
      <c r="G2031" s="21" t="n"/>
      <c r="H2031" s="12">
        <f>IF(AND(B2031="",D2031="",F2031=""),"",IF(NOT(ISNUMBER(B2031)),"Needs a date",IF(D2031="","Needs a client",IF(COUNTIF(Clients!$B$6:$B$105,D2031)=0,"Not on Clients",IF(AND(F2031="",INT(B2031)&lt;TODAY()),"Needs a status","")))))</f>
        <v/>
      </c>
      <c r="I2031" s="1">
        <f>IF(ISNUMBER(B2031),INT(B2031),0)</f>
        <v/>
      </c>
      <c r="J2031">
        <f>IF(ISNUMBER(B2031),YEAR(B2031)*100+MONTH(B2031),"")</f>
        <v/>
      </c>
      <c r="K2031">
        <f>IF(AND(H2031="",OR(F2031="Attended",F2031="No-show",AND(F2031="Late cancel",Settings!$C$9="Yes"))),1,0)</f>
        <v/>
      </c>
      <c r="L2031">
        <f>IF(AND(H2031="",F2031="Attended"),1,0)</f>
        <v/>
      </c>
      <c r="M2031">
        <f>IF(AND(H2031="",OR(F2031="No-show",F2031="Late cancel")),1,0)</f>
        <v/>
      </c>
      <c r="N2031">
        <f>IF(AND(H2031="",F2031="",D2031&lt;&gt;"",I2031&gt;=TODAY()),ROUND((I2031+IF(ISNUMBER(C2031),MOD(C2031,1),0))*1440,0)*10000+ROW(),"")</f>
        <v/>
      </c>
    </row>
    <row r="2032">
      <c r="A2032" s="1" t="n"/>
      <c r="B2032" s="17" t="n"/>
      <c r="C2032" s="18" t="n"/>
      <c r="D2032" s="19" t="n"/>
      <c r="E2032" s="20" t="n"/>
      <c r="F2032" s="20" t="n"/>
      <c r="G2032" s="21" t="n"/>
      <c r="H2032" s="12">
        <f>IF(AND(B2032="",D2032="",F2032=""),"",IF(NOT(ISNUMBER(B2032)),"Needs a date",IF(D2032="","Needs a client",IF(COUNTIF(Clients!$B$6:$B$105,D2032)=0,"Not on Clients",IF(AND(F2032="",INT(B2032)&lt;TODAY()),"Needs a status","")))))</f>
        <v/>
      </c>
      <c r="I2032" s="1">
        <f>IF(ISNUMBER(B2032),INT(B2032),0)</f>
        <v/>
      </c>
      <c r="J2032">
        <f>IF(ISNUMBER(B2032),YEAR(B2032)*100+MONTH(B2032),"")</f>
        <v/>
      </c>
      <c r="K2032">
        <f>IF(AND(H2032="",OR(F2032="Attended",F2032="No-show",AND(F2032="Late cancel",Settings!$C$9="Yes"))),1,0)</f>
        <v/>
      </c>
      <c r="L2032">
        <f>IF(AND(H2032="",F2032="Attended"),1,0)</f>
        <v/>
      </c>
      <c r="M2032">
        <f>IF(AND(H2032="",OR(F2032="No-show",F2032="Late cancel")),1,0)</f>
        <v/>
      </c>
      <c r="N2032">
        <f>IF(AND(H2032="",F2032="",D2032&lt;&gt;"",I2032&gt;=TODAY()),ROUND((I2032+IF(ISNUMBER(C2032),MOD(C2032,1),0))*1440,0)*10000+ROW(),"")</f>
        <v/>
      </c>
    </row>
    <row r="2033">
      <c r="A2033" s="1" t="n"/>
      <c r="B2033" s="17" t="n"/>
      <c r="C2033" s="18" t="n"/>
      <c r="D2033" s="19" t="n"/>
      <c r="E2033" s="20" t="n"/>
      <c r="F2033" s="20" t="n"/>
      <c r="G2033" s="21" t="n"/>
      <c r="H2033" s="12">
        <f>IF(AND(B2033="",D2033="",F2033=""),"",IF(NOT(ISNUMBER(B2033)),"Needs a date",IF(D2033="","Needs a client",IF(COUNTIF(Clients!$B$6:$B$105,D2033)=0,"Not on Clients",IF(AND(F2033="",INT(B2033)&lt;TODAY()),"Needs a status","")))))</f>
        <v/>
      </c>
      <c r="I2033" s="1">
        <f>IF(ISNUMBER(B2033),INT(B2033),0)</f>
        <v/>
      </c>
      <c r="J2033">
        <f>IF(ISNUMBER(B2033),YEAR(B2033)*100+MONTH(B2033),"")</f>
        <v/>
      </c>
      <c r="K2033">
        <f>IF(AND(H2033="",OR(F2033="Attended",F2033="No-show",AND(F2033="Late cancel",Settings!$C$9="Yes"))),1,0)</f>
        <v/>
      </c>
      <c r="L2033">
        <f>IF(AND(H2033="",F2033="Attended"),1,0)</f>
        <v/>
      </c>
      <c r="M2033">
        <f>IF(AND(H2033="",OR(F2033="No-show",F2033="Late cancel")),1,0)</f>
        <v/>
      </c>
      <c r="N2033">
        <f>IF(AND(H2033="",F2033="",D2033&lt;&gt;"",I2033&gt;=TODAY()),ROUND((I2033+IF(ISNUMBER(C2033),MOD(C2033,1),0))*1440,0)*10000+ROW(),"")</f>
        <v/>
      </c>
    </row>
    <row r="2034">
      <c r="A2034" s="1" t="n"/>
      <c r="B2034" s="17" t="n"/>
      <c r="C2034" s="18" t="n"/>
      <c r="D2034" s="19" t="n"/>
      <c r="E2034" s="20" t="n"/>
      <c r="F2034" s="20" t="n"/>
      <c r="G2034" s="21" t="n"/>
      <c r="H2034" s="12">
        <f>IF(AND(B2034="",D2034="",F2034=""),"",IF(NOT(ISNUMBER(B2034)),"Needs a date",IF(D2034="","Needs a client",IF(COUNTIF(Clients!$B$6:$B$105,D2034)=0,"Not on Clients",IF(AND(F2034="",INT(B2034)&lt;TODAY()),"Needs a status","")))))</f>
        <v/>
      </c>
      <c r="I2034" s="1">
        <f>IF(ISNUMBER(B2034),INT(B2034),0)</f>
        <v/>
      </c>
      <c r="J2034">
        <f>IF(ISNUMBER(B2034),YEAR(B2034)*100+MONTH(B2034),"")</f>
        <v/>
      </c>
      <c r="K2034">
        <f>IF(AND(H2034="",OR(F2034="Attended",F2034="No-show",AND(F2034="Late cancel",Settings!$C$9="Yes"))),1,0)</f>
        <v/>
      </c>
      <c r="L2034">
        <f>IF(AND(H2034="",F2034="Attended"),1,0)</f>
        <v/>
      </c>
      <c r="M2034">
        <f>IF(AND(H2034="",OR(F2034="No-show",F2034="Late cancel")),1,0)</f>
        <v/>
      </c>
      <c r="N2034">
        <f>IF(AND(H2034="",F2034="",D2034&lt;&gt;"",I2034&gt;=TODAY()),ROUND((I2034+IF(ISNUMBER(C2034),MOD(C2034,1),0))*1440,0)*10000+ROW(),"")</f>
        <v/>
      </c>
    </row>
    <row r="2035">
      <c r="A2035" s="1" t="n"/>
      <c r="B2035" s="17" t="n"/>
      <c r="C2035" s="18" t="n"/>
      <c r="D2035" s="19" t="n"/>
      <c r="E2035" s="20" t="n"/>
      <c r="F2035" s="20" t="n"/>
      <c r="G2035" s="21" t="n"/>
      <c r="H2035" s="12">
        <f>IF(AND(B2035="",D2035="",F2035=""),"",IF(NOT(ISNUMBER(B2035)),"Needs a date",IF(D2035="","Needs a client",IF(COUNTIF(Clients!$B$6:$B$105,D2035)=0,"Not on Clients",IF(AND(F2035="",INT(B2035)&lt;TODAY()),"Needs a status","")))))</f>
        <v/>
      </c>
      <c r="I2035" s="1">
        <f>IF(ISNUMBER(B2035),INT(B2035),0)</f>
        <v/>
      </c>
      <c r="J2035">
        <f>IF(ISNUMBER(B2035),YEAR(B2035)*100+MONTH(B2035),"")</f>
        <v/>
      </c>
      <c r="K2035">
        <f>IF(AND(H2035="",OR(F2035="Attended",F2035="No-show",AND(F2035="Late cancel",Settings!$C$9="Yes"))),1,0)</f>
        <v/>
      </c>
      <c r="L2035">
        <f>IF(AND(H2035="",F2035="Attended"),1,0)</f>
        <v/>
      </c>
      <c r="M2035">
        <f>IF(AND(H2035="",OR(F2035="No-show",F2035="Late cancel")),1,0)</f>
        <v/>
      </c>
      <c r="N2035">
        <f>IF(AND(H2035="",F2035="",D2035&lt;&gt;"",I2035&gt;=TODAY()),ROUND((I2035+IF(ISNUMBER(C2035),MOD(C2035,1),0))*1440,0)*10000+ROW(),"")</f>
        <v/>
      </c>
    </row>
    <row r="2036">
      <c r="A2036" s="1" t="n"/>
      <c r="B2036" s="17" t="n"/>
      <c r="C2036" s="18" t="n"/>
      <c r="D2036" s="19" t="n"/>
      <c r="E2036" s="20" t="n"/>
      <c r="F2036" s="20" t="n"/>
      <c r="G2036" s="21" t="n"/>
      <c r="H2036" s="12">
        <f>IF(AND(B2036="",D2036="",F2036=""),"",IF(NOT(ISNUMBER(B2036)),"Needs a date",IF(D2036="","Needs a client",IF(COUNTIF(Clients!$B$6:$B$105,D2036)=0,"Not on Clients",IF(AND(F2036="",INT(B2036)&lt;TODAY()),"Needs a status","")))))</f>
        <v/>
      </c>
      <c r="I2036" s="1">
        <f>IF(ISNUMBER(B2036),INT(B2036),0)</f>
        <v/>
      </c>
      <c r="J2036">
        <f>IF(ISNUMBER(B2036),YEAR(B2036)*100+MONTH(B2036),"")</f>
        <v/>
      </c>
      <c r="K2036">
        <f>IF(AND(H2036="",OR(F2036="Attended",F2036="No-show",AND(F2036="Late cancel",Settings!$C$9="Yes"))),1,0)</f>
        <v/>
      </c>
      <c r="L2036">
        <f>IF(AND(H2036="",F2036="Attended"),1,0)</f>
        <v/>
      </c>
      <c r="M2036">
        <f>IF(AND(H2036="",OR(F2036="No-show",F2036="Late cancel")),1,0)</f>
        <v/>
      </c>
      <c r="N2036">
        <f>IF(AND(H2036="",F2036="",D2036&lt;&gt;"",I2036&gt;=TODAY()),ROUND((I2036+IF(ISNUMBER(C2036),MOD(C2036,1),0))*1440,0)*10000+ROW(),"")</f>
        <v/>
      </c>
    </row>
    <row r="2037">
      <c r="A2037" s="1" t="n"/>
      <c r="B2037" s="17" t="n"/>
      <c r="C2037" s="18" t="n"/>
      <c r="D2037" s="19" t="n"/>
      <c r="E2037" s="20" t="n"/>
      <c r="F2037" s="20" t="n"/>
      <c r="G2037" s="21" t="n"/>
      <c r="H2037" s="12">
        <f>IF(AND(B2037="",D2037="",F2037=""),"",IF(NOT(ISNUMBER(B2037)),"Needs a date",IF(D2037="","Needs a client",IF(COUNTIF(Clients!$B$6:$B$105,D2037)=0,"Not on Clients",IF(AND(F2037="",INT(B2037)&lt;TODAY()),"Needs a status","")))))</f>
        <v/>
      </c>
      <c r="I2037" s="1">
        <f>IF(ISNUMBER(B2037),INT(B2037),0)</f>
        <v/>
      </c>
      <c r="J2037">
        <f>IF(ISNUMBER(B2037),YEAR(B2037)*100+MONTH(B2037),"")</f>
        <v/>
      </c>
      <c r="K2037">
        <f>IF(AND(H2037="",OR(F2037="Attended",F2037="No-show",AND(F2037="Late cancel",Settings!$C$9="Yes"))),1,0)</f>
        <v/>
      </c>
      <c r="L2037">
        <f>IF(AND(H2037="",F2037="Attended"),1,0)</f>
        <v/>
      </c>
      <c r="M2037">
        <f>IF(AND(H2037="",OR(F2037="No-show",F2037="Late cancel")),1,0)</f>
        <v/>
      </c>
      <c r="N2037">
        <f>IF(AND(H2037="",F2037="",D2037&lt;&gt;"",I2037&gt;=TODAY()),ROUND((I2037+IF(ISNUMBER(C2037),MOD(C2037,1),0))*1440,0)*10000+ROW(),"")</f>
        <v/>
      </c>
    </row>
    <row r="2038">
      <c r="A2038" s="1" t="n"/>
      <c r="B2038" s="17" t="n"/>
      <c r="C2038" s="18" t="n"/>
      <c r="D2038" s="19" t="n"/>
      <c r="E2038" s="20" t="n"/>
      <c r="F2038" s="20" t="n"/>
      <c r="G2038" s="21" t="n"/>
      <c r="H2038" s="12">
        <f>IF(AND(B2038="",D2038="",F2038=""),"",IF(NOT(ISNUMBER(B2038)),"Needs a date",IF(D2038="","Needs a client",IF(COUNTIF(Clients!$B$6:$B$105,D2038)=0,"Not on Clients",IF(AND(F2038="",INT(B2038)&lt;TODAY()),"Needs a status","")))))</f>
        <v/>
      </c>
      <c r="I2038" s="1">
        <f>IF(ISNUMBER(B2038),INT(B2038),0)</f>
        <v/>
      </c>
      <c r="J2038">
        <f>IF(ISNUMBER(B2038),YEAR(B2038)*100+MONTH(B2038),"")</f>
        <v/>
      </c>
      <c r="K2038">
        <f>IF(AND(H2038="",OR(F2038="Attended",F2038="No-show",AND(F2038="Late cancel",Settings!$C$9="Yes"))),1,0)</f>
        <v/>
      </c>
      <c r="L2038">
        <f>IF(AND(H2038="",F2038="Attended"),1,0)</f>
        <v/>
      </c>
      <c r="M2038">
        <f>IF(AND(H2038="",OR(F2038="No-show",F2038="Late cancel")),1,0)</f>
        <v/>
      </c>
      <c r="N2038">
        <f>IF(AND(H2038="",F2038="",D2038&lt;&gt;"",I2038&gt;=TODAY()),ROUND((I2038+IF(ISNUMBER(C2038),MOD(C2038,1),0))*1440,0)*10000+ROW(),"")</f>
        <v/>
      </c>
    </row>
    <row r="2039">
      <c r="A2039" s="1" t="n"/>
      <c r="B2039" s="17" t="n"/>
      <c r="C2039" s="18" t="n"/>
      <c r="D2039" s="19" t="n"/>
      <c r="E2039" s="20" t="n"/>
      <c r="F2039" s="20" t="n"/>
      <c r="G2039" s="21" t="n"/>
      <c r="H2039" s="12">
        <f>IF(AND(B2039="",D2039="",F2039=""),"",IF(NOT(ISNUMBER(B2039)),"Needs a date",IF(D2039="","Needs a client",IF(COUNTIF(Clients!$B$6:$B$105,D2039)=0,"Not on Clients",IF(AND(F2039="",INT(B2039)&lt;TODAY()),"Needs a status","")))))</f>
        <v/>
      </c>
      <c r="I2039" s="1">
        <f>IF(ISNUMBER(B2039),INT(B2039),0)</f>
        <v/>
      </c>
      <c r="J2039">
        <f>IF(ISNUMBER(B2039),YEAR(B2039)*100+MONTH(B2039),"")</f>
        <v/>
      </c>
      <c r="K2039">
        <f>IF(AND(H2039="",OR(F2039="Attended",F2039="No-show",AND(F2039="Late cancel",Settings!$C$9="Yes"))),1,0)</f>
        <v/>
      </c>
      <c r="L2039">
        <f>IF(AND(H2039="",F2039="Attended"),1,0)</f>
        <v/>
      </c>
      <c r="M2039">
        <f>IF(AND(H2039="",OR(F2039="No-show",F2039="Late cancel")),1,0)</f>
        <v/>
      </c>
      <c r="N2039">
        <f>IF(AND(H2039="",F2039="",D2039&lt;&gt;"",I2039&gt;=TODAY()),ROUND((I2039+IF(ISNUMBER(C2039),MOD(C2039,1),0))*1440,0)*10000+ROW(),"")</f>
        <v/>
      </c>
    </row>
    <row r="2040">
      <c r="A2040" s="1" t="n"/>
      <c r="B2040" s="17" t="n"/>
      <c r="C2040" s="18" t="n"/>
      <c r="D2040" s="19" t="n"/>
      <c r="E2040" s="20" t="n"/>
      <c r="F2040" s="20" t="n"/>
      <c r="G2040" s="21" t="n"/>
      <c r="H2040" s="12">
        <f>IF(AND(B2040="",D2040="",F2040=""),"",IF(NOT(ISNUMBER(B2040)),"Needs a date",IF(D2040="","Needs a client",IF(COUNTIF(Clients!$B$6:$B$105,D2040)=0,"Not on Clients",IF(AND(F2040="",INT(B2040)&lt;TODAY()),"Needs a status","")))))</f>
        <v/>
      </c>
      <c r="I2040" s="1">
        <f>IF(ISNUMBER(B2040),INT(B2040),0)</f>
        <v/>
      </c>
      <c r="J2040">
        <f>IF(ISNUMBER(B2040),YEAR(B2040)*100+MONTH(B2040),"")</f>
        <v/>
      </c>
      <c r="K2040">
        <f>IF(AND(H2040="",OR(F2040="Attended",F2040="No-show",AND(F2040="Late cancel",Settings!$C$9="Yes"))),1,0)</f>
        <v/>
      </c>
      <c r="L2040">
        <f>IF(AND(H2040="",F2040="Attended"),1,0)</f>
        <v/>
      </c>
      <c r="M2040">
        <f>IF(AND(H2040="",OR(F2040="No-show",F2040="Late cancel")),1,0)</f>
        <v/>
      </c>
      <c r="N2040">
        <f>IF(AND(H2040="",F2040="",D2040&lt;&gt;"",I2040&gt;=TODAY()),ROUND((I2040+IF(ISNUMBER(C2040),MOD(C2040,1),0))*1440,0)*10000+ROW(),"")</f>
        <v/>
      </c>
    </row>
    <row r="2041">
      <c r="A2041" s="1" t="n"/>
      <c r="B2041" s="17" t="n"/>
      <c r="C2041" s="18" t="n"/>
      <c r="D2041" s="19" t="n"/>
      <c r="E2041" s="20" t="n"/>
      <c r="F2041" s="20" t="n"/>
      <c r="G2041" s="21" t="n"/>
      <c r="H2041" s="12">
        <f>IF(AND(B2041="",D2041="",F2041=""),"",IF(NOT(ISNUMBER(B2041)),"Needs a date",IF(D2041="","Needs a client",IF(COUNTIF(Clients!$B$6:$B$105,D2041)=0,"Not on Clients",IF(AND(F2041="",INT(B2041)&lt;TODAY()),"Needs a status","")))))</f>
        <v/>
      </c>
      <c r="I2041" s="1">
        <f>IF(ISNUMBER(B2041),INT(B2041),0)</f>
        <v/>
      </c>
      <c r="J2041">
        <f>IF(ISNUMBER(B2041),YEAR(B2041)*100+MONTH(B2041),"")</f>
        <v/>
      </c>
      <c r="K2041">
        <f>IF(AND(H2041="",OR(F2041="Attended",F2041="No-show",AND(F2041="Late cancel",Settings!$C$9="Yes"))),1,0)</f>
        <v/>
      </c>
      <c r="L2041">
        <f>IF(AND(H2041="",F2041="Attended"),1,0)</f>
        <v/>
      </c>
      <c r="M2041">
        <f>IF(AND(H2041="",OR(F2041="No-show",F2041="Late cancel")),1,0)</f>
        <v/>
      </c>
      <c r="N2041">
        <f>IF(AND(H2041="",F2041="",D2041&lt;&gt;"",I2041&gt;=TODAY()),ROUND((I2041+IF(ISNUMBER(C2041),MOD(C2041,1),0))*1440,0)*10000+ROW(),"")</f>
        <v/>
      </c>
    </row>
    <row r="2042">
      <c r="A2042" s="1" t="n"/>
      <c r="B2042" s="17" t="n"/>
      <c r="C2042" s="18" t="n"/>
      <c r="D2042" s="19" t="n"/>
      <c r="E2042" s="20" t="n"/>
      <c r="F2042" s="20" t="n"/>
      <c r="G2042" s="21" t="n"/>
      <c r="H2042" s="12">
        <f>IF(AND(B2042="",D2042="",F2042=""),"",IF(NOT(ISNUMBER(B2042)),"Needs a date",IF(D2042="","Needs a client",IF(COUNTIF(Clients!$B$6:$B$105,D2042)=0,"Not on Clients",IF(AND(F2042="",INT(B2042)&lt;TODAY()),"Needs a status","")))))</f>
        <v/>
      </c>
      <c r="I2042" s="1">
        <f>IF(ISNUMBER(B2042),INT(B2042),0)</f>
        <v/>
      </c>
      <c r="J2042">
        <f>IF(ISNUMBER(B2042),YEAR(B2042)*100+MONTH(B2042),"")</f>
        <v/>
      </c>
      <c r="K2042">
        <f>IF(AND(H2042="",OR(F2042="Attended",F2042="No-show",AND(F2042="Late cancel",Settings!$C$9="Yes"))),1,0)</f>
        <v/>
      </c>
      <c r="L2042">
        <f>IF(AND(H2042="",F2042="Attended"),1,0)</f>
        <v/>
      </c>
      <c r="M2042">
        <f>IF(AND(H2042="",OR(F2042="No-show",F2042="Late cancel")),1,0)</f>
        <v/>
      </c>
      <c r="N2042">
        <f>IF(AND(H2042="",F2042="",D2042&lt;&gt;"",I2042&gt;=TODAY()),ROUND((I2042+IF(ISNUMBER(C2042),MOD(C2042,1),0))*1440,0)*10000+ROW(),"")</f>
        <v/>
      </c>
    </row>
    <row r="2043">
      <c r="A2043" s="1" t="n"/>
      <c r="B2043" s="17" t="n"/>
      <c r="C2043" s="18" t="n"/>
      <c r="D2043" s="19" t="n"/>
      <c r="E2043" s="20" t="n"/>
      <c r="F2043" s="20" t="n"/>
      <c r="G2043" s="21" t="n"/>
      <c r="H2043" s="12">
        <f>IF(AND(B2043="",D2043="",F2043=""),"",IF(NOT(ISNUMBER(B2043)),"Needs a date",IF(D2043="","Needs a client",IF(COUNTIF(Clients!$B$6:$B$105,D2043)=0,"Not on Clients",IF(AND(F2043="",INT(B2043)&lt;TODAY()),"Needs a status","")))))</f>
        <v/>
      </c>
      <c r="I2043" s="1">
        <f>IF(ISNUMBER(B2043),INT(B2043),0)</f>
        <v/>
      </c>
      <c r="J2043">
        <f>IF(ISNUMBER(B2043),YEAR(B2043)*100+MONTH(B2043),"")</f>
        <v/>
      </c>
      <c r="K2043">
        <f>IF(AND(H2043="",OR(F2043="Attended",F2043="No-show",AND(F2043="Late cancel",Settings!$C$9="Yes"))),1,0)</f>
        <v/>
      </c>
      <c r="L2043">
        <f>IF(AND(H2043="",F2043="Attended"),1,0)</f>
        <v/>
      </c>
      <c r="M2043">
        <f>IF(AND(H2043="",OR(F2043="No-show",F2043="Late cancel")),1,0)</f>
        <v/>
      </c>
      <c r="N2043">
        <f>IF(AND(H2043="",F2043="",D2043&lt;&gt;"",I2043&gt;=TODAY()),ROUND((I2043+IF(ISNUMBER(C2043),MOD(C2043,1),0))*1440,0)*10000+ROW(),"")</f>
        <v/>
      </c>
    </row>
    <row r="2044">
      <c r="A2044" s="1" t="n"/>
      <c r="B2044" s="17" t="n"/>
      <c r="C2044" s="18" t="n"/>
      <c r="D2044" s="19" t="n"/>
      <c r="E2044" s="20" t="n"/>
      <c r="F2044" s="20" t="n"/>
      <c r="G2044" s="21" t="n"/>
      <c r="H2044" s="12">
        <f>IF(AND(B2044="",D2044="",F2044=""),"",IF(NOT(ISNUMBER(B2044)),"Needs a date",IF(D2044="","Needs a client",IF(COUNTIF(Clients!$B$6:$B$105,D2044)=0,"Not on Clients",IF(AND(F2044="",INT(B2044)&lt;TODAY()),"Needs a status","")))))</f>
        <v/>
      </c>
      <c r="I2044" s="1">
        <f>IF(ISNUMBER(B2044),INT(B2044),0)</f>
        <v/>
      </c>
      <c r="J2044">
        <f>IF(ISNUMBER(B2044),YEAR(B2044)*100+MONTH(B2044),"")</f>
        <v/>
      </c>
      <c r="K2044">
        <f>IF(AND(H2044="",OR(F2044="Attended",F2044="No-show",AND(F2044="Late cancel",Settings!$C$9="Yes"))),1,0)</f>
        <v/>
      </c>
      <c r="L2044">
        <f>IF(AND(H2044="",F2044="Attended"),1,0)</f>
        <v/>
      </c>
      <c r="M2044">
        <f>IF(AND(H2044="",OR(F2044="No-show",F2044="Late cancel")),1,0)</f>
        <v/>
      </c>
      <c r="N2044">
        <f>IF(AND(H2044="",F2044="",D2044&lt;&gt;"",I2044&gt;=TODAY()),ROUND((I2044+IF(ISNUMBER(C2044),MOD(C2044,1),0))*1440,0)*10000+ROW(),"")</f>
        <v/>
      </c>
    </row>
    <row r="2045">
      <c r="A2045" s="1" t="n"/>
      <c r="B2045" s="17" t="n"/>
      <c r="C2045" s="18" t="n"/>
      <c r="D2045" s="19" t="n"/>
      <c r="E2045" s="20" t="n"/>
      <c r="F2045" s="20" t="n"/>
      <c r="G2045" s="21" t="n"/>
      <c r="H2045" s="12">
        <f>IF(AND(B2045="",D2045="",F2045=""),"",IF(NOT(ISNUMBER(B2045)),"Needs a date",IF(D2045="","Needs a client",IF(COUNTIF(Clients!$B$6:$B$105,D2045)=0,"Not on Clients",IF(AND(F2045="",INT(B2045)&lt;TODAY()),"Needs a status","")))))</f>
        <v/>
      </c>
      <c r="I2045" s="1">
        <f>IF(ISNUMBER(B2045),INT(B2045),0)</f>
        <v/>
      </c>
      <c r="J2045">
        <f>IF(ISNUMBER(B2045),YEAR(B2045)*100+MONTH(B2045),"")</f>
        <v/>
      </c>
      <c r="K2045">
        <f>IF(AND(H2045="",OR(F2045="Attended",F2045="No-show",AND(F2045="Late cancel",Settings!$C$9="Yes"))),1,0)</f>
        <v/>
      </c>
      <c r="L2045">
        <f>IF(AND(H2045="",F2045="Attended"),1,0)</f>
        <v/>
      </c>
      <c r="M2045">
        <f>IF(AND(H2045="",OR(F2045="No-show",F2045="Late cancel")),1,0)</f>
        <v/>
      </c>
      <c r="N2045">
        <f>IF(AND(H2045="",F2045="",D2045&lt;&gt;"",I2045&gt;=TODAY()),ROUND((I2045+IF(ISNUMBER(C2045),MOD(C2045,1),0))*1440,0)*10000+ROW(),"")</f>
        <v/>
      </c>
    </row>
    <row r="2046">
      <c r="A2046" s="1" t="n"/>
      <c r="B2046" s="17" t="n"/>
      <c r="C2046" s="18" t="n"/>
      <c r="D2046" s="19" t="n"/>
      <c r="E2046" s="20" t="n"/>
      <c r="F2046" s="20" t="n"/>
      <c r="G2046" s="21" t="n"/>
      <c r="H2046" s="12">
        <f>IF(AND(B2046="",D2046="",F2046=""),"",IF(NOT(ISNUMBER(B2046)),"Needs a date",IF(D2046="","Needs a client",IF(COUNTIF(Clients!$B$6:$B$105,D2046)=0,"Not on Clients",IF(AND(F2046="",INT(B2046)&lt;TODAY()),"Needs a status","")))))</f>
        <v/>
      </c>
      <c r="I2046" s="1">
        <f>IF(ISNUMBER(B2046),INT(B2046),0)</f>
        <v/>
      </c>
      <c r="J2046">
        <f>IF(ISNUMBER(B2046),YEAR(B2046)*100+MONTH(B2046),"")</f>
        <v/>
      </c>
      <c r="K2046">
        <f>IF(AND(H2046="",OR(F2046="Attended",F2046="No-show",AND(F2046="Late cancel",Settings!$C$9="Yes"))),1,0)</f>
        <v/>
      </c>
      <c r="L2046">
        <f>IF(AND(H2046="",F2046="Attended"),1,0)</f>
        <v/>
      </c>
      <c r="M2046">
        <f>IF(AND(H2046="",OR(F2046="No-show",F2046="Late cancel")),1,0)</f>
        <v/>
      </c>
      <c r="N2046">
        <f>IF(AND(H2046="",F2046="",D2046&lt;&gt;"",I2046&gt;=TODAY()),ROUND((I2046+IF(ISNUMBER(C2046),MOD(C2046,1),0))*1440,0)*10000+ROW(),"")</f>
        <v/>
      </c>
    </row>
    <row r="2047">
      <c r="A2047" s="1" t="n"/>
      <c r="B2047" s="17" t="n"/>
      <c r="C2047" s="18" t="n"/>
      <c r="D2047" s="19" t="n"/>
      <c r="E2047" s="20" t="n"/>
      <c r="F2047" s="20" t="n"/>
      <c r="G2047" s="21" t="n"/>
      <c r="H2047" s="12">
        <f>IF(AND(B2047="",D2047="",F2047=""),"",IF(NOT(ISNUMBER(B2047)),"Needs a date",IF(D2047="","Needs a client",IF(COUNTIF(Clients!$B$6:$B$105,D2047)=0,"Not on Clients",IF(AND(F2047="",INT(B2047)&lt;TODAY()),"Needs a status","")))))</f>
        <v/>
      </c>
      <c r="I2047" s="1">
        <f>IF(ISNUMBER(B2047),INT(B2047),0)</f>
        <v/>
      </c>
      <c r="J2047">
        <f>IF(ISNUMBER(B2047),YEAR(B2047)*100+MONTH(B2047),"")</f>
        <v/>
      </c>
      <c r="K2047">
        <f>IF(AND(H2047="",OR(F2047="Attended",F2047="No-show",AND(F2047="Late cancel",Settings!$C$9="Yes"))),1,0)</f>
        <v/>
      </c>
      <c r="L2047">
        <f>IF(AND(H2047="",F2047="Attended"),1,0)</f>
        <v/>
      </c>
      <c r="M2047">
        <f>IF(AND(H2047="",OR(F2047="No-show",F2047="Late cancel")),1,0)</f>
        <v/>
      </c>
      <c r="N2047">
        <f>IF(AND(H2047="",F2047="",D2047&lt;&gt;"",I2047&gt;=TODAY()),ROUND((I2047+IF(ISNUMBER(C2047),MOD(C2047,1),0))*1440,0)*10000+ROW(),"")</f>
        <v/>
      </c>
    </row>
    <row r="2048">
      <c r="A2048" s="1" t="n"/>
      <c r="B2048" s="17" t="n"/>
      <c r="C2048" s="18" t="n"/>
      <c r="D2048" s="19" t="n"/>
      <c r="E2048" s="20" t="n"/>
      <c r="F2048" s="20" t="n"/>
      <c r="G2048" s="21" t="n"/>
      <c r="H2048" s="12">
        <f>IF(AND(B2048="",D2048="",F2048=""),"",IF(NOT(ISNUMBER(B2048)),"Needs a date",IF(D2048="","Needs a client",IF(COUNTIF(Clients!$B$6:$B$105,D2048)=0,"Not on Clients",IF(AND(F2048="",INT(B2048)&lt;TODAY()),"Needs a status","")))))</f>
        <v/>
      </c>
      <c r="I2048" s="1">
        <f>IF(ISNUMBER(B2048),INT(B2048),0)</f>
        <v/>
      </c>
      <c r="J2048">
        <f>IF(ISNUMBER(B2048),YEAR(B2048)*100+MONTH(B2048),"")</f>
        <v/>
      </c>
      <c r="K2048">
        <f>IF(AND(H2048="",OR(F2048="Attended",F2048="No-show",AND(F2048="Late cancel",Settings!$C$9="Yes"))),1,0)</f>
        <v/>
      </c>
      <c r="L2048">
        <f>IF(AND(H2048="",F2048="Attended"),1,0)</f>
        <v/>
      </c>
      <c r="M2048">
        <f>IF(AND(H2048="",OR(F2048="No-show",F2048="Late cancel")),1,0)</f>
        <v/>
      </c>
      <c r="N2048">
        <f>IF(AND(H2048="",F2048="",D2048&lt;&gt;"",I2048&gt;=TODAY()),ROUND((I2048+IF(ISNUMBER(C2048),MOD(C2048,1),0))*1440,0)*10000+ROW(),"")</f>
        <v/>
      </c>
    </row>
    <row r="2049">
      <c r="A2049" s="1" t="n"/>
      <c r="B2049" s="17" t="n"/>
      <c r="C2049" s="18" t="n"/>
      <c r="D2049" s="19" t="n"/>
      <c r="E2049" s="20" t="n"/>
      <c r="F2049" s="20" t="n"/>
      <c r="G2049" s="21" t="n"/>
      <c r="H2049" s="12">
        <f>IF(AND(B2049="",D2049="",F2049=""),"",IF(NOT(ISNUMBER(B2049)),"Needs a date",IF(D2049="","Needs a client",IF(COUNTIF(Clients!$B$6:$B$105,D2049)=0,"Not on Clients",IF(AND(F2049="",INT(B2049)&lt;TODAY()),"Needs a status","")))))</f>
        <v/>
      </c>
      <c r="I2049" s="1">
        <f>IF(ISNUMBER(B2049),INT(B2049),0)</f>
        <v/>
      </c>
      <c r="J2049">
        <f>IF(ISNUMBER(B2049),YEAR(B2049)*100+MONTH(B2049),"")</f>
        <v/>
      </c>
      <c r="K2049">
        <f>IF(AND(H2049="",OR(F2049="Attended",F2049="No-show",AND(F2049="Late cancel",Settings!$C$9="Yes"))),1,0)</f>
        <v/>
      </c>
      <c r="L2049">
        <f>IF(AND(H2049="",F2049="Attended"),1,0)</f>
        <v/>
      </c>
      <c r="M2049">
        <f>IF(AND(H2049="",OR(F2049="No-show",F2049="Late cancel")),1,0)</f>
        <v/>
      </c>
      <c r="N2049">
        <f>IF(AND(H2049="",F2049="",D2049&lt;&gt;"",I2049&gt;=TODAY()),ROUND((I2049+IF(ISNUMBER(C2049),MOD(C2049,1),0))*1440,0)*10000+ROW(),"")</f>
        <v/>
      </c>
    </row>
    <row r="2050">
      <c r="A2050" s="1" t="n"/>
      <c r="B2050" s="17" t="n"/>
      <c r="C2050" s="18" t="n"/>
      <c r="D2050" s="19" t="n"/>
      <c r="E2050" s="20" t="n"/>
      <c r="F2050" s="20" t="n"/>
      <c r="G2050" s="21" t="n"/>
      <c r="H2050" s="12">
        <f>IF(AND(B2050="",D2050="",F2050=""),"",IF(NOT(ISNUMBER(B2050)),"Needs a date",IF(D2050="","Needs a client",IF(COUNTIF(Clients!$B$6:$B$105,D2050)=0,"Not on Clients",IF(AND(F2050="",INT(B2050)&lt;TODAY()),"Needs a status","")))))</f>
        <v/>
      </c>
      <c r="I2050" s="1">
        <f>IF(ISNUMBER(B2050),INT(B2050),0)</f>
        <v/>
      </c>
      <c r="J2050">
        <f>IF(ISNUMBER(B2050),YEAR(B2050)*100+MONTH(B2050),"")</f>
        <v/>
      </c>
      <c r="K2050">
        <f>IF(AND(H2050="",OR(F2050="Attended",F2050="No-show",AND(F2050="Late cancel",Settings!$C$9="Yes"))),1,0)</f>
        <v/>
      </c>
      <c r="L2050">
        <f>IF(AND(H2050="",F2050="Attended"),1,0)</f>
        <v/>
      </c>
      <c r="M2050">
        <f>IF(AND(H2050="",OR(F2050="No-show",F2050="Late cancel")),1,0)</f>
        <v/>
      </c>
      <c r="N2050">
        <f>IF(AND(H2050="",F2050="",D2050&lt;&gt;"",I2050&gt;=TODAY()),ROUND((I2050+IF(ISNUMBER(C2050),MOD(C2050,1),0))*1440,0)*10000+ROW(),"")</f>
        <v/>
      </c>
    </row>
    <row r="2051">
      <c r="A2051" s="1" t="n"/>
      <c r="B2051" s="17" t="n"/>
      <c r="C2051" s="18" t="n"/>
      <c r="D2051" s="19" t="n"/>
      <c r="E2051" s="20" t="n"/>
      <c r="F2051" s="20" t="n"/>
      <c r="G2051" s="21" t="n"/>
      <c r="H2051" s="12">
        <f>IF(AND(B2051="",D2051="",F2051=""),"",IF(NOT(ISNUMBER(B2051)),"Needs a date",IF(D2051="","Needs a client",IF(COUNTIF(Clients!$B$6:$B$105,D2051)=0,"Not on Clients",IF(AND(F2051="",INT(B2051)&lt;TODAY()),"Needs a status","")))))</f>
        <v/>
      </c>
      <c r="I2051" s="1">
        <f>IF(ISNUMBER(B2051),INT(B2051),0)</f>
        <v/>
      </c>
      <c r="J2051">
        <f>IF(ISNUMBER(B2051),YEAR(B2051)*100+MONTH(B2051),"")</f>
        <v/>
      </c>
      <c r="K2051">
        <f>IF(AND(H2051="",OR(F2051="Attended",F2051="No-show",AND(F2051="Late cancel",Settings!$C$9="Yes"))),1,0)</f>
        <v/>
      </c>
      <c r="L2051">
        <f>IF(AND(H2051="",F2051="Attended"),1,0)</f>
        <v/>
      </c>
      <c r="M2051">
        <f>IF(AND(H2051="",OR(F2051="No-show",F2051="Late cancel")),1,0)</f>
        <v/>
      </c>
      <c r="N2051">
        <f>IF(AND(H2051="",F2051="",D2051&lt;&gt;"",I2051&gt;=TODAY()),ROUND((I2051+IF(ISNUMBER(C2051),MOD(C2051,1),0))*1440,0)*10000+ROW(),"")</f>
        <v/>
      </c>
    </row>
    <row r="2052">
      <c r="A2052" s="1" t="n"/>
      <c r="B2052" s="17" t="n"/>
      <c r="C2052" s="18" t="n"/>
      <c r="D2052" s="19" t="n"/>
      <c r="E2052" s="20" t="n"/>
      <c r="F2052" s="20" t="n"/>
      <c r="G2052" s="21" t="n"/>
      <c r="H2052" s="12">
        <f>IF(AND(B2052="",D2052="",F2052=""),"",IF(NOT(ISNUMBER(B2052)),"Needs a date",IF(D2052="","Needs a client",IF(COUNTIF(Clients!$B$6:$B$105,D2052)=0,"Not on Clients",IF(AND(F2052="",INT(B2052)&lt;TODAY()),"Needs a status","")))))</f>
        <v/>
      </c>
      <c r="I2052" s="1">
        <f>IF(ISNUMBER(B2052),INT(B2052),0)</f>
        <v/>
      </c>
      <c r="J2052">
        <f>IF(ISNUMBER(B2052),YEAR(B2052)*100+MONTH(B2052),"")</f>
        <v/>
      </c>
      <c r="K2052">
        <f>IF(AND(H2052="",OR(F2052="Attended",F2052="No-show",AND(F2052="Late cancel",Settings!$C$9="Yes"))),1,0)</f>
        <v/>
      </c>
      <c r="L2052">
        <f>IF(AND(H2052="",F2052="Attended"),1,0)</f>
        <v/>
      </c>
      <c r="M2052">
        <f>IF(AND(H2052="",OR(F2052="No-show",F2052="Late cancel")),1,0)</f>
        <v/>
      </c>
      <c r="N2052">
        <f>IF(AND(H2052="",F2052="",D2052&lt;&gt;"",I2052&gt;=TODAY()),ROUND((I2052+IF(ISNUMBER(C2052),MOD(C2052,1),0))*1440,0)*10000+ROW(),"")</f>
        <v/>
      </c>
    </row>
    <row r="2053">
      <c r="A2053" s="1" t="n"/>
      <c r="B2053" s="17" t="n"/>
      <c r="C2053" s="18" t="n"/>
      <c r="D2053" s="19" t="n"/>
      <c r="E2053" s="20" t="n"/>
      <c r="F2053" s="20" t="n"/>
      <c r="G2053" s="21" t="n"/>
      <c r="H2053" s="12">
        <f>IF(AND(B2053="",D2053="",F2053=""),"",IF(NOT(ISNUMBER(B2053)),"Needs a date",IF(D2053="","Needs a client",IF(COUNTIF(Clients!$B$6:$B$105,D2053)=0,"Not on Clients",IF(AND(F2053="",INT(B2053)&lt;TODAY()),"Needs a status","")))))</f>
        <v/>
      </c>
      <c r="I2053" s="1">
        <f>IF(ISNUMBER(B2053),INT(B2053),0)</f>
        <v/>
      </c>
      <c r="J2053">
        <f>IF(ISNUMBER(B2053),YEAR(B2053)*100+MONTH(B2053),"")</f>
        <v/>
      </c>
      <c r="K2053">
        <f>IF(AND(H2053="",OR(F2053="Attended",F2053="No-show",AND(F2053="Late cancel",Settings!$C$9="Yes"))),1,0)</f>
        <v/>
      </c>
      <c r="L2053">
        <f>IF(AND(H2053="",F2053="Attended"),1,0)</f>
        <v/>
      </c>
      <c r="M2053">
        <f>IF(AND(H2053="",OR(F2053="No-show",F2053="Late cancel")),1,0)</f>
        <v/>
      </c>
      <c r="N2053">
        <f>IF(AND(H2053="",F2053="",D2053&lt;&gt;"",I2053&gt;=TODAY()),ROUND((I2053+IF(ISNUMBER(C2053),MOD(C2053,1),0))*1440,0)*10000+ROW(),"")</f>
        <v/>
      </c>
    </row>
    <row r="2054">
      <c r="A2054" s="1" t="n"/>
      <c r="B2054" s="17" t="n"/>
      <c r="C2054" s="18" t="n"/>
      <c r="D2054" s="19" t="n"/>
      <c r="E2054" s="20" t="n"/>
      <c r="F2054" s="20" t="n"/>
      <c r="G2054" s="21" t="n"/>
      <c r="H2054" s="12">
        <f>IF(AND(B2054="",D2054="",F2054=""),"",IF(NOT(ISNUMBER(B2054)),"Needs a date",IF(D2054="","Needs a client",IF(COUNTIF(Clients!$B$6:$B$105,D2054)=0,"Not on Clients",IF(AND(F2054="",INT(B2054)&lt;TODAY()),"Needs a status","")))))</f>
        <v/>
      </c>
      <c r="I2054" s="1">
        <f>IF(ISNUMBER(B2054),INT(B2054),0)</f>
        <v/>
      </c>
      <c r="J2054">
        <f>IF(ISNUMBER(B2054),YEAR(B2054)*100+MONTH(B2054),"")</f>
        <v/>
      </c>
      <c r="K2054">
        <f>IF(AND(H2054="",OR(F2054="Attended",F2054="No-show",AND(F2054="Late cancel",Settings!$C$9="Yes"))),1,0)</f>
        <v/>
      </c>
      <c r="L2054">
        <f>IF(AND(H2054="",F2054="Attended"),1,0)</f>
        <v/>
      </c>
      <c r="M2054">
        <f>IF(AND(H2054="",OR(F2054="No-show",F2054="Late cancel")),1,0)</f>
        <v/>
      </c>
      <c r="N2054">
        <f>IF(AND(H2054="",F2054="",D2054&lt;&gt;"",I2054&gt;=TODAY()),ROUND((I2054+IF(ISNUMBER(C2054),MOD(C2054,1),0))*1440,0)*10000+ROW(),"")</f>
        <v/>
      </c>
    </row>
    <row r="2055">
      <c r="A2055" s="1" t="n"/>
      <c r="B2055" s="17" t="n"/>
      <c r="C2055" s="18" t="n"/>
      <c r="D2055" s="19" t="n"/>
      <c r="E2055" s="20" t="n"/>
      <c r="F2055" s="20" t="n"/>
      <c r="G2055" s="21" t="n"/>
      <c r="H2055" s="12">
        <f>IF(AND(B2055="",D2055="",F2055=""),"",IF(NOT(ISNUMBER(B2055)),"Needs a date",IF(D2055="","Needs a client",IF(COUNTIF(Clients!$B$6:$B$105,D2055)=0,"Not on Clients",IF(AND(F2055="",INT(B2055)&lt;TODAY()),"Needs a status","")))))</f>
        <v/>
      </c>
      <c r="I2055" s="1">
        <f>IF(ISNUMBER(B2055),INT(B2055),0)</f>
        <v/>
      </c>
      <c r="J2055">
        <f>IF(ISNUMBER(B2055),YEAR(B2055)*100+MONTH(B2055),"")</f>
        <v/>
      </c>
      <c r="K2055">
        <f>IF(AND(H2055="",OR(F2055="Attended",F2055="No-show",AND(F2055="Late cancel",Settings!$C$9="Yes"))),1,0)</f>
        <v/>
      </c>
      <c r="L2055">
        <f>IF(AND(H2055="",F2055="Attended"),1,0)</f>
        <v/>
      </c>
      <c r="M2055">
        <f>IF(AND(H2055="",OR(F2055="No-show",F2055="Late cancel")),1,0)</f>
        <v/>
      </c>
      <c r="N2055">
        <f>IF(AND(H2055="",F2055="",D2055&lt;&gt;"",I2055&gt;=TODAY()),ROUND((I2055+IF(ISNUMBER(C2055),MOD(C2055,1),0))*1440,0)*10000+ROW(),"")</f>
        <v/>
      </c>
    </row>
    <row r="2056">
      <c r="A2056" s="1" t="n"/>
      <c r="B2056" s="17" t="n"/>
      <c r="C2056" s="18" t="n"/>
      <c r="D2056" s="19" t="n"/>
      <c r="E2056" s="20" t="n"/>
      <c r="F2056" s="20" t="n"/>
      <c r="G2056" s="21" t="n"/>
      <c r="H2056" s="12">
        <f>IF(AND(B2056="",D2056="",F2056=""),"",IF(NOT(ISNUMBER(B2056)),"Needs a date",IF(D2056="","Needs a client",IF(COUNTIF(Clients!$B$6:$B$105,D2056)=0,"Not on Clients",IF(AND(F2056="",INT(B2056)&lt;TODAY()),"Needs a status","")))))</f>
        <v/>
      </c>
      <c r="I2056" s="1">
        <f>IF(ISNUMBER(B2056),INT(B2056),0)</f>
        <v/>
      </c>
      <c r="J2056">
        <f>IF(ISNUMBER(B2056),YEAR(B2056)*100+MONTH(B2056),"")</f>
        <v/>
      </c>
      <c r="K2056">
        <f>IF(AND(H2056="",OR(F2056="Attended",F2056="No-show",AND(F2056="Late cancel",Settings!$C$9="Yes"))),1,0)</f>
        <v/>
      </c>
      <c r="L2056">
        <f>IF(AND(H2056="",F2056="Attended"),1,0)</f>
        <v/>
      </c>
      <c r="M2056">
        <f>IF(AND(H2056="",OR(F2056="No-show",F2056="Late cancel")),1,0)</f>
        <v/>
      </c>
      <c r="N2056">
        <f>IF(AND(H2056="",F2056="",D2056&lt;&gt;"",I2056&gt;=TODAY()),ROUND((I2056+IF(ISNUMBER(C2056),MOD(C2056,1),0))*1440,0)*10000+ROW(),"")</f>
        <v/>
      </c>
    </row>
    <row r="2057">
      <c r="A2057" s="1" t="n"/>
      <c r="B2057" s="17" t="n"/>
      <c r="C2057" s="18" t="n"/>
      <c r="D2057" s="19" t="n"/>
      <c r="E2057" s="20" t="n"/>
      <c r="F2057" s="20" t="n"/>
      <c r="G2057" s="21" t="n"/>
      <c r="H2057" s="12">
        <f>IF(AND(B2057="",D2057="",F2057=""),"",IF(NOT(ISNUMBER(B2057)),"Needs a date",IF(D2057="","Needs a client",IF(COUNTIF(Clients!$B$6:$B$105,D2057)=0,"Not on Clients",IF(AND(F2057="",INT(B2057)&lt;TODAY()),"Needs a status","")))))</f>
        <v/>
      </c>
      <c r="I2057" s="1">
        <f>IF(ISNUMBER(B2057),INT(B2057),0)</f>
        <v/>
      </c>
      <c r="J2057">
        <f>IF(ISNUMBER(B2057),YEAR(B2057)*100+MONTH(B2057),"")</f>
        <v/>
      </c>
      <c r="K2057">
        <f>IF(AND(H2057="",OR(F2057="Attended",F2057="No-show",AND(F2057="Late cancel",Settings!$C$9="Yes"))),1,0)</f>
        <v/>
      </c>
      <c r="L2057">
        <f>IF(AND(H2057="",F2057="Attended"),1,0)</f>
        <v/>
      </c>
      <c r="M2057">
        <f>IF(AND(H2057="",OR(F2057="No-show",F2057="Late cancel")),1,0)</f>
        <v/>
      </c>
      <c r="N2057">
        <f>IF(AND(H2057="",F2057="",D2057&lt;&gt;"",I2057&gt;=TODAY()),ROUND((I2057+IF(ISNUMBER(C2057),MOD(C2057,1),0))*1440,0)*10000+ROW(),"")</f>
        <v/>
      </c>
    </row>
    <row r="2058">
      <c r="A2058" s="1" t="n"/>
      <c r="B2058" s="17" t="n"/>
      <c r="C2058" s="18" t="n"/>
      <c r="D2058" s="19" t="n"/>
      <c r="E2058" s="20" t="n"/>
      <c r="F2058" s="20" t="n"/>
      <c r="G2058" s="21" t="n"/>
      <c r="H2058" s="12">
        <f>IF(AND(B2058="",D2058="",F2058=""),"",IF(NOT(ISNUMBER(B2058)),"Needs a date",IF(D2058="","Needs a client",IF(COUNTIF(Clients!$B$6:$B$105,D2058)=0,"Not on Clients",IF(AND(F2058="",INT(B2058)&lt;TODAY()),"Needs a status","")))))</f>
        <v/>
      </c>
      <c r="I2058" s="1">
        <f>IF(ISNUMBER(B2058),INT(B2058),0)</f>
        <v/>
      </c>
      <c r="J2058">
        <f>IF(ISNUMBER(B2058),YEAR(B2058)*100+MONTH(B2058),"")</f>
        <v/>
      </c>
      <c r="K2058">
        <f>IF(AND(H2058="",OR(F2058="Attended",F2058="No-show",AND(F2058="Late cancel",Settings!$C$9="Yes"))),1,0)</f>
        <v/>
      </c>
      <c r="L2058">
        <f>IF(AND(H2058="",F2058="Attended"),1,0)</f>
        <v/>
      </c>
      <c r="M2058">
        <f>IF(AND(H2058="",OR(F2058="No-show",F2058="Late cancel")),1,0)</f>
        <v/>
      </c>
      <c r="N2058">
        <f>IF(AND(H2058="",F2058="",D2058&lt;&gt;"",I2058&gt;=TODAY()),ROUND((I2058+IF(ISNUMBER(C2058),MOD(C2058,1),0))*1440,0)*10000+ROW(),"")</f>
        <v/>
      </c>
    </row>
    <row r="2059">
      <c r="A2059" s="1" t="n"/>
      <c r="B2059" s="17" t="n"/>
      <c r="C2059" s="18" t="n"/>
      <c r="D2059" s="19" t="n"/>
      <c r="E2059" s="20" t="n"/>
      <c r="F2059" s="20" t="n"/>
      <c r="G2059" s="21" t="n"/>
      <c r="H2059" s="12">
        <f>IF(AND(B2059="",D2059="",F2059=""),"",IF(NOT(ISNUMBER(B2059)),"Needs a date",IF(D2059="","Needs a client",IF(COUNTIF(Clients!$B$6:$B$105,D2059)=0,"Not on Clients",IF(AND(F2059="",INT(B2059)&lt;TODAY()),"Needs a status","")))))</f>
        <v/>
      </c>
      <c r="I2059" s="1">
        <f>IF(ISNUMBER(B2059),INT(B2059),0)</f>
        <v/>
      </c>
      <c r="J2059">
        <f>IF(ISNUMBER(B2059),YEAR(B2059)*100+MONTH(B2059),"")</f>
        <v/>
      </c>
      <c r="K2059">
        <f>IF(AND(H2059="",OR(F2059="Attended",F2059="No-show",AND(F2059="Late cancel",Settings!$C$9="Yes"))),1,0)</f>
        <v/>
      </c>
      <c r="L2059">
        <f>IF(AND(H2059="",F2059="Attended"),1,0)</f>
        <v/>
      </c>
      <c r="M2059">
        <f>IF(AND(H2059="",OR(F2059="No-show",F2059="Late cancel")),1,0)</f>
        <v/>
      </c>
      <c r="N2059">
        <f>IF(AND(H2059="",F2059="",D2059&lt;&gt;"",I2059&gt;=TODAY()),ROUND((I2059+IF(ISNUMBER(C2059),MOD(C2059,1),0))*1440,0)*10000+ROW(),"")</f>
        <v/>
      </c>
    </row>
    <row r="2060">
      <c r="A2060" s="1" t="n"/>
      <c r="B2060" s="17" t="n"/>
      <c r="C2060" s="18" t="n"/>
      <c r="D2060" s="19" t="n"/>
      <c r="E2060" s="20" t="n"/>
      <c r="F2060" s="20" t="n"/>
      <c r="G2060" s="21" t="n"/>
      <c r="H2060" s="12">
        <f>IF(AND(B2060="",D2060="",F2060=""),"",IF(NOT(ISNUMBER(B2060)),"Needs a date",IF(D2060="","Needs a client",IF(COUNTIF(Clients!$B$6:$B$105,D2060)=0,"Not on Clients",IF(AND(F2060="",INT(B2060)&lt;TODAY()),"Needs a status","")))))</f>
        <v/>
      </c>
      <c r="I2060" s="1">
        <f>IF(ISNUMBER(B2060),INT(B2060),0)</f>
        <v/>
      </c>
      <c r="J2060">
        <f>IF(ISNUMBER(B2060),YEAR(B2060)*100+MONTH(B2060),"")</f>
        <v/>
      </c>
      <c r="K2060">
        <f>IF(AND(H2060="",OR(F2060="Attended",F2060="No-show",AND(F2060="Late cancel",Settings!$C$9="Yes"))),1,0)</f>
        <v/>
      </c>
      <c r="L2060">
        <f>IF(AND(H2060="",F2060="Attended"),1,0)</f>
        <v/>
      </c>
      <c r="M2060">
        <f>IF(AND(H2060="",OR(F2060="No-show",F2060="Late cancel")),1,0)</f>
        <v/>
      </c>
      <c r="N2060">
        <f>IF(AND(H2060="",F2060="",D2060&lt;&gt;"",I2060&gt;=TODAY()),ROUND((I2060+IF(ISNUMBER(C2060),MOD(C2060,1),0))*1440,0)*10000+ROW(),"")</f>
        <v/>
      </c>
    </row>
    <row r="2061">
      <c r="A2061" s="1" t="n"/>
      <c r="B2061" s="17" t="n"/>
      <c r="C2061" s="18" t="n"/>
      <c r="D2061" s="19" t="n"/>
      <c r="E2061" s="20" t="n"/>
      <c r="F2061" s="20" t="n"/>
      <c r="G2061" s="21" t="n"/>
      <c r="H2061" s="12">
        <f>IF(AND(B2061="",D2061="",F2061=""),"",IF(NOT(ISNUMBER(B2061)),"Needs a date",IF(D2061="","Needs a client",IF(COUNTIF(Clients!$B$6:$B$105,D2061)=0,"Not on Clients",IF(AND(F2061="",INT(B2061)&lt;TODAY()),"Needs a status","")))))</f>
        <v/>
      </c>
      <c r="I2061" s="1">
        <f>IF(ISNUMBER(B2061),INT(B2061),0)</f>
        <v/>
      </c>
      <c r="J2061">
        <f>IF(ISNUMBER(B2061),YEAR(B2061)*100+MONTH(B2061),"")</f>
        <v/>
      </c>
      <c r="K2061">
        <f>IF(AND(H2061="",OR(F2061="Attended",F2061="No-show",AND(F2061="Late cancel",Settings!$C$9="Yes"))),1,0)</f>
        <v/>
      </c>
      <c r="L2061">
        <f>IF(AND(H2061="",F2061="Attended"),1,0)</f>
        <v/>
      </c>
      <c r="M2061">
        <f>IF(AND(H2061="",OR(F2061="No-show",F2061="Late cancel")),1,0)</f>
        <v/>
      </c>
      <c r="N2061">
        <f>IF(AND(H2061="",F2061="",D2061&lt;&gt;"",I2061&gt;=TODAY()),ROUND((I2061+IF(ISNUMBER(C2061),MOD(C2061,1),0))*1440,0)*10000+ROW(),"")</f>
        <v/>
      </c>
    </row>
    <row r="2062">
      <c r="A2062" s="1" t="n"/>
      <c r="B2062" s="17" t="n"/>
      <c r="C2062" s="18" t="n"/>
      <c r="D2062" s="19" t="n"/>
      <c r="E2062" s="20" t="n"/>
      <c r="F2062" s="20" t="n"/>
      <c r="G2062" s="21" t="n"/>
      <c r="H2062" s="12">
        <f>IF(AND(B2062="",D2062="",F2062=""),"",IF(NOT(ISNUMBER(B2062)),"Needs a date",IF(D2062="","Needs a client",IF(COUNTIF(Clients!$B$6:$B$105,D2062)=0,"Not on Clients",IF(AND(F2062="",INT(B2062)&lt;TODAY()),"Needs a status","")))))</f>
        <v/>
      </c>
      <c r="I2062" s="1">
        <f>IF(ISNUMBER(B2062),INT(B2062),0)</f>
        <v/>
      </c>
      <c r="J2062">
        <f>IF(ISNUMBER(B2062),YEAR(B2062)*100+MONTH(B2062),"")</f>
        <v/>
      </c>
      <c r="K2062">
        <f>IF(AND(H2062="",OR(F2062="Attended",F2062="No-show",AND(F2062="Late cancel",Settings!$C$9="Yes"))),1,0)</f>
        <v/>
      </c>
      <c r="L2062">
        <f>IF(AND(H2062="",F2062="Attended"),1,0)</f>
        <v/>
      </c>
      <c r="M2062">
        <f>IF(AND(H2062="",OR(F2062="No-show",F2062="Late cancel")),1,0)</f>
        <v/>
      </c>
      <c r="N2062">
        <f>IF(AND(H2062="",F2062="",D2062&lt;&gt;"",I2062&gt;=TODAY()),ROUND((I2062+IF(ISNUMBER(C2062),MOD(C2062,1),0))*1440,0)*10000+ROW(),"")</f>
        <v/>
      </c>
    </row>
    <row r="2063">
      <c r="A2063" s="1" t="n"/>
      <c r="B2063" s="17" t="n"/>
      <c r="C2063" s="18" t="n"/>
      <c r="D2063" s="19" t="n"/>
      <c r="E2063" s="20" t="n"/>
      <c r="F2063" s="20" t="n"/>
      <c r="G2063" s="21" t="n"/>
      <c r="H2063" s="12">
        <f>IF(AND(B2063="",D2063="",F2063=""),"",IF(NOT(ISNUMBER(B2063)),"Needs a date",IF(D2063="","Needs a client",IF(COUNTIF(Clients!$B$6:$B$105,D2063)=0,"Not on Clients",IF(AND(F2063="",INT(B2063)&lt;TODAY()),"Needs a status","")))))</f>
        <v/>
      </c>
      <c r="I2063" s="1">
        <f>IF(ISNUMBER(B2063),INT(B2063),0)</f>
        <v/>
      </c>
      <c r="J2063">
        <f>IF(ISNUMBER(B2063),YEAR(B2063)*100+MONTH(B2063),"")</f>
        <v/>
      </c>
      <c r="K2063">
        <f>IF(AND(H2063="",OR(F2063="Attended",F2063="No-show",AND(F2063="Late cancel",Settings!$C$9="Yes"))),1,0)</f>
        <v/>
      </c>
      <c r="L2063">
        <f>IF(AND(H2063="",F2063="Attended"),1,0)</f>
        <v/>
      </c>
      <c r="M2063">
        <f>IF(AND(H2063="",OR(F2063="No-show",F2063="Late cancel")),1,0)</f>
        <v/>
      </c>
      <c r="N2063">
        <f>IF(AND(H2063="",F2063="",D2063&lt;&gt;"",I2063&gt;=TODAY()),ROUND((I2063+IF(ISNUMBER(C2063),MOD(C2063,1),0))*1440,0)*10000+ROW(),"")</f>
        <v/>
      </c>
    </row>
    <row r="2064">
      <c r="A2064" s="1" t="n"/>
      <c r="B2064" s="17" t="n"/>
      <c r="C2064" s="18" t="n"/>
      <c r="D2064" s="19" t="n"/>
      <c r="E2064" s="20" t="n"/>
      <c r="F2064" s="20" t="n"/>
      <c r="G2064" s="21" t="n"/>
      <c r="H2064" s="12">
        <f>IF(AND(B2064="",D2064="",F2064=""),"",IF(NOT(ISNUMBER(B2064)),"Needs a date",IF(D2064="","Needs a client",IF(COUNTIF(Clients!$B$6:$B$105,D2064)=0,"Not on Clients",IF(AND(F2064="",INT(B2064)&lt;TODAY()),"Needs a status","")))))</f>
        <v/>
      </c>
      <c r="I2064" s="1">
        <f>IF(ISNUMBER(B2064),INT(B2064),0)</f>
        <v/>
      </c>
      <c r="J2064">
        <f>IF(ISNUMBER(B2064),YEAR(B2064)*100+MONTH(B2064),"")</f>
        <v/>
      </c>
      <c r="K2064">
        <f>IF(AND(H2064="",OR(F2064="Attended",F2064="No-show",AND(F2064="Late cancel",Settings!$C$9="Yes"))),1,0)</f>
        <v/>
      </c>
      <c r="L2064">
        <f>IF(AND(H2064="",F2064="Attended"),1,0)</f>
        <v/>
      </c>
      <c r="M2064">
        <f>IF(AND(H2064="",OR(F2064="No-show",F2064="Late cancel")),1,0)</f>
        <v/>
      </c>
      <c r="N2064">
        <f>IF(AND(H2064="",F2064="",D2064&lt;&gt;"",I2064&gt;=TODAY()),ROUND((I2064+IF(ISNUMBER(C2064),MOD(C2064,1),0))*1440,0)*10000+ROW(),"")</f>
        <v/>
      </c>
    </row>
    <row r="2065">
      <c r="A2065" s="1" t="n"/>
      <c r="B2065" s="17" t="n"/>
      <c r="C2065" s="18" t="n"/>
      <c r="D2065" s="19" t="n"/>
      <c r="E2065" s="20" t="n"/>
      <c r="F2065" s="20" t="n"/>
      <c r="G2065" s="21" t="n"/>
      <c r="H2065" s="12">
        <f>IF(AND(B2065="",D2065="",F2065=""),"",IF(NOT(ISNUMBER(B2065)),"Needs a date",IF(D2065="","Needs a client",IF(COUNTIF(Clients!$B$6:$B$105,D2065)=0,"Not on Clients",IF(AND(F2065="",INT(B2065)&lt;TODAY()),"Needs a status","")))))</f>
        <v/>
      </c>
      <c r="I2065" s="1">
        <f>IF(ISNUMBER(B2065),INT(B2065),0)</f>
        <v/>
      </c>
      <c r="J2065">
        <f>IF(ISNUMBER(B2065),YEAR(B2065)*100+MONTH(B2065),"")</f>
        <v/>
      </c>
      <c r="K2065">
        <f>IF(AND(H2065="",OR(F2065="Attended",F2065="No-show",AND(F2065="Late cancel",Settings!$C$9="Yes"))),1,0)</f>
        <v/>
      </c>
      <c r="L2065">
        <f>IF(AND(H2065="",F2065="Attended"),1,0)</f>
        <v/>
      </c>
      <c r="M2065">
        <f>IF(AND(H2065="",OR(F2065="No-show",F2065="Late cancel")),1,0)</f>
        <v/>
      </c>
      <c r="N2065">
        <f>IF(AND(H2065="",F2065="",D2065&lt;&gt;"",I2065&gt;=TODAY()),ROUND((I2065+IF(ISNUMBER(C2065),MOD(C2065,1),0))*1440,0)*10000+ROW(),"")</f>
        <v/>
      </c>
    </row>
    <row r="2066">
      <c r="A2066" s="1" t="n"/>
      <c r="B2066" s="17" t="n"/>
      <c r="C2066" s="18" t="n"/>
      <c r="D2066" s="19" t="n"/>
      <c r="E2066" s="20" t="n"/>
      <c r="F2066" s="20" t="n"/>
      <c r="G2066" s="21" t="n"/>
      <c r="H2066" s="12">
        <f>IF(AND(B2066="",D2066="",F2066=""),"",IF(NOT(ISNUMBER(B2066)),"Needs a date",IF(D2066="","Needs a client",IF(COUNTIF(Clients!$B$6:$B$105,D2066)=0,"Not on Clients",IF(AND(F2066="",INT(B2066)&lt;TODAY()),"Needs a status","")))))</f>
        <v/>
      </c>
      <c r="I2066" s="1">
        <f>IF(ISNUMBER(B2066),INT(B2066),0)</f>
        <v/>
      </c>
      <c r="J2066">
        <f>IF(ISNUMBER(B2066),YEAR(B2066)*100+MONTH(B2066),"")</f>
        <v/>
      </c>
      <c r="K2066">
        <f>IF(AND(H2066="",OR(F2066="Attended",F2066="No-show",AND(F2066="Late cancel",Settings!$C$9="Yes"))),1,0)</f>
        <v/>
      </c>
      <c r="L2066">
        <f>IF(AND(H2066="",F2066="Attended"),1,0)</f>
        <v/>
      </c>
      <c r="M2066">
        <f>IF(AND(H2066="",OR(F2066="No-show",F2066="Late cancel")),1,0)</f>
        <v/>
      </c>
      <c r="N2066">
        <f>IF(AND(H2066="",F2066="",D2066&lt;&gt;"",I2066&gt;=TODAY()),ROUND((I2066+IF(ISNUMBER(C2066),MOD(C2066,1),0))*1440,0)*10000+ROW(),"")</f>
        <v/>
      </c>
    </row>
    <row r="2067">
      <c r="A2067" s="1" t="n"/>
      <c r="B2067" s="17" t="n"/>
      <c r="C2067" s="18" t="n"/>
      <c r="D2067" s="19" t="n"/>
      <c r="E2067" s="20" t="n"/>
      <c r="F2067" s="20" t="n"/>
      <c r="G2067" s="21" t="n"/>
      <c r="H2067" s="12">
        <f>IF(AND(B2067="",D2067="",F2067=""),"",IF(NOT(ISNUMBER(B2067)),"Needs a date",IF(D2067="","Needs a client",IF(COUNTIF(Clients!$B$6:$B$105,D2067)=0,"Not on Clients",IF(AND(F2067="",INT(B2067)&lt;TODAY()),"Needs a status","")))))</f>
        <v/>
      </c>
      <c r="I2067" s="1">
        <f>IF(ISNUMBER(B2067),INT(B2067),0)</f>
        <v/>
      </c>
      <c r="J2067">
        <f>IF(ISNUMBER(B2067),YEAR(B2067)*100+MONTH(B2067),"")</f>
        <v/>
      </c>
      <c r="K2067">
        <f>IF(AND(H2067="",OR(F2067="Attended",F2067="No-show",AND(F2067="Late cancel",Settings!$C$9="Yes"))),1,0)</f>
        <v/>
      </c>
      <c r="L2067">
        <f>IF(AND(H2067="",F2067="Attended"),1,0)</f>
        <v/>
      </c>
      <c r="M2067">
        <f>IF(AND(H2067="",OR(F2067="No-show",F2067="Late cancel")),1,0)</f>
        <v/>
      </c>
      <c r="N2067">
        <f>IF(AND(H2067="",F2067="",D2067&lt;&gt;"",I2067&gt;=TODAY()),ROUND((I2067+IF(ISNUMBER(C2067),MOD(C2067,1),0))*1440,0)*10000+ROW(),"")</f>
        <v/>
      </c>
    </row>
    <row r="2068">
      <c r="A2068" s="1" t="n"/>
      <c r="B2068" s="17" t="n"/>
      <c r="C2068" s="18" t="n"/>
      <c r="D2068" s="19" t="n"/>
      <c r="E2068" s="20" t="n"/>
      <c r="F2068" s="20" t="n"/>
      <c r="G2068" s="21" t="n"/>
      <c r="H2068" s="12">
        <f>IF(AND(B2068="",D2068="",F2068=""),"",IF(NOT(ISNUMBER(B2068)),"Needs a date",IF(D2068="","Needs a client",IF(COUNTIF(Clients!$B$6:$B$105,D2068)=0,"Not on Clients",IF(AND(F2068="",INT(B2068)&lt;TODAY()),"Needs a status","")))))</f>
        <v/>
      </c>
      <c r="I2068" s="1">
        <f>IF(ISNUMBER(B2068),INT(B2068),0)</f>
        <v/>
      </c>
      <c r="J2068">
        <f>IF(ISNUMBER(B2068),YEAR(B2068)*100+MONTH(B2068),"")</f>
        <v/>
      </c>
      <c r="K2068">
        <f>IF(AND(H2068="",OR(F2068="Attended",F2068="No-show",AND(F2068="Late cancel",Settings!$C$9="Yes"))),1,0)</f>
        <v/>
      </c>
      <c r="L2068">
        <f>IF(AND(H2068="",F2068="Attended"),1,0)</f>
        <v/>
      </c>
      <c r="M2068">
        <f>IF(AND(H2068="",OR(F2068="No-show",F2068="Late cancel")),1,0)</f>
        <v/>
      </c>
      <c r="N2068">
        <f>IF(AND(H2068="",F2068="",D2068&lt;&gt;"",I2068&gt;=TODAY()),ROUND((I2068+IF(ISNUMBER(C2068),MOD(C2068,1),0))*1440,0)*10000+ROW(),"")</f>
        <v/>
      </c>
    </row>
    <row r="2069">
      <c r="A2069" s="1" t="n"/>
      <c r="B2069" s="17" t="n"/>
      <c r="C2069" s="18" t="n"/>
      <c r="D2069" s="19" t="n"/>
      <c r="E2069" s="20" t="n"/>
      <c r="F2069" s="20" t="n"/>
      <c r="G2069" s="21" t="n"/>
      <c r="H2069" s="12">
        <f>IF(AND(B2069="",D2069="",F2069=""),"",IF(NOT(ISNUMBER(B2069)),"Needs a date",IF(D2069="","Needs a client",IF(COUNTIF(Clients!$B$6:$B$105,D2069)=0,"Not on Clients",IF(AND(F2069="",INT(B2069)&lt;TODAY()),"Needs a status","")))))</f>
        <v/>
      </c>
      <c r="I2069" s="1">
        <f>IF(ISNUMBER(B2069),INT(B2069),0)</f>
        <v/>
      </c>
      <c r="J2069">
        <f>IF(ISNUMBER(B2069),YEAR(B2069)*100+MONTH(B2069),"")</f>
        <v/>
      </c>
      <c r="K2069">
        <f>IF(AND(H2069="",OR(F2069="Attended",F2069="No-show",AND(F2069="Late cancel",Settings!$C$9="Yes"))),1,0)</f>
        <v/>
      </c>
      <c r="L2069">
        <f>IF(AND(H2069="",F2069="Attended"),1,0)</f>
        <v/>
      </c>
      <c r="M2069">
        <f>IF(AND(H2069="",OR(F2069="No-show",F2069="Late cancel")),1,0)</f>
        <v/>
      </c>
      <c r="N2069">
        <f>IF(AND(H2069="",F2069="",D2069&lt;&gt;"",I2069&gt;=TODAY()),ROUND((I2069+IF(ISNUMBER(C2069),MOD(C2069,1),0))*1440,0)*10000+ROW(),"")</f>
        <v/>
      </c>
    </row>
    <row r="2070">
      <c r="A2070" s="1" t="n"/>
      <c r="B2070" s="17" t="n"/>
      <c r="C2070" s="18" t="n"/>
      <c r="D2070" s="19" t="n"/>
      <c r="E2070" s="20" t="n"/>
      <c r="F2070" s="20" t="n"/>
      <c r="G2070" s="21" t="n"/>
      <c r="H2070" s="12">
        <f>IF(AND(B2070="",D2070="",F2070=""),"",IF(NOT(ISNUMBER(B2070)),"Needs a date",IF(D2070="","Needs a client",IF(COUNTIF(Clients!$B$6:$B$105,D2070)=0,"Not on Clients",IF(AND(F2070="",INT(B2070)&lt;TODAY()),"Needs a status","")))))</f>
        <v/>
      </c>
      <c r="I2070" s="1">
        <f>IF(ISNUMBER(B2070),INT(B2070),0)</f>
        <v/>
      </c>
      <c r="J2070">
        <f>IF(ISNUMBER(B2070),YEAR(B2070)*100+MONTH(B2070),"")</f>
        <v/>
      </c>
      <c r="K2070">
        <f>IF(AND(H2070="",OR(F2070="Attended",F2070="No-show",AND(F2070="Late cancel",Settings!$C$9="Yes"))),1,0)</f>
        <v/>
      </c>
      <c r="L2070">
        <f>IF(AND(H2070="",F2070="Attended"),1,0)</f>
        <v/>
      </c>
      <c r="M2070">
        <f>IF(AND(H2070="",OR(F2070="No-show",F2070="Late cancel")),1,0)</f>
        <v/>
      </c>
      <c r="N2070">
        <f>IF(AND(H2070="",F2070="",D2070&lt;&gt;"",I2070&gt;=TODAY()),ROUND((I2070+IF(ISNUMBER(C2070),MOD(C2070,1),0))*1440,0)*10000+ROW(),"")</f>
        <v/>
      </c>
    </row>
    <row r="2071">
      <c r="A2071" s="1" t="n"/>
      <c r="B2071" s="17" t="n"/>
      <c r="C2071" s="18" t="n"/>
      <c r="D2071" s="19" t="n"/>
      <c r="E2071" s="20" t="n"/>
      <c r="F2071" s="20" t="n"/>
      <c r="G2071" s="21" t="n"/>
      <c r="H2071" s="12">
        <f>IF(AND(B2071="",D2071="",F2071=""),"",IF(NOT(ISNUMBER(B2071)),"Needs a date",IF(D2071="","Needs a client",IF(COUNTIF(Clients!$B$6:$B$105,D2071)=0,"Not on Clients",IF(AND(F2071="",INT(B2071)&lt;TODAY()),"Needs a status","")))))</f>
        <v/>
      </c>
      <c r="I2071" s="1">
        <f>IF(ISNUMBER(B2071),INT(B2071),0)</f>
        <v/>
      </c>
      <c r="J2071">
        <f>IF(ISNUMBER(B2071),YEAR(B2071)*100+MONTH(B2071),"")</f>
        <v/>
      </c>
      <c r="K2071">
        <f>IF(AND(H2071="",OR(F2071="Attended",F2071="No-show",AND(F2071="Late cancel",Settings!$C$9="Yes"))),1,0)</f>
        <v/>
      </c>
      <c r="L2071">
        <f>IF(AND(H2071="",F2071="Attended"),1,0)</f>
        <v/>
      </c>
      <c r="M2071">
        <f>IF(AND(H2071="",OR(F2071="No-show",F2071="Late cancel")),1,0)</f>
        <v/>
      </c>
      <c r="N2071">
        <f>IF(AND(H2071="",F2071="",D2071&lt;&gt;"",I2071&gt;=TODAY()),ROUND((I2071+IF(ISNUMBER(C2071),MOD(C2071,1),0))*1440,0)*10000+ROW(),"")</f>
        <v/>
      </c>
    </row>
    <row r="2072">
      <c r="A2072" s="1" t="n"/>
      <c r="B2072" s="17" t="n"/>
      <c r="C2072" s="18" t="n"/>
      <c r="D2072" s="19" t="n"/>
      <c r="E2072" s="20" t="n"/>
      <c r="F2072" s="20" t="n"/>
      <c r="G2072" s="21" t="n"/>
      <c r="H2072" s="12">
        <f>IF(AND(B2072="",D2072="",F2072=""),"",IF(NOT(ISNUMBER(B2072)),"Needs a date",IF(D2072="","Needs a client",IF(COUNTIF(Clients!$B$6:$B$105,D2072)=0,"Not on Clients",IF(AND(F2072="",INT(B2072)&lt;TODAY()),"Needs a status","")))))</f>
        <v/>
      </c>
      <c r="I2072" s="1">
        <f>IF(ISNUMBER(B2072),INT(B2072),0)</f>
        <v/>
      </c>
      <c r="J2072">
        <f>IF(ISNUMBER(B2072),YEAR(B2072)*100+MONTH(B2072),"")</f>
        <v/>
      </c>
      <c r="K2072">
        <f>IF(AND(H2072="",OR(F2072="Attended",F2072="No-show",AND(F2072="Late cancel",Settings!$C$9="Yes"))),1,0)</f>
        <v/>
      </c>
      <c r="L2072">
        <f>IF(AND(H2072="",F2072="Attended"),1,0)</f>
        <v/>
      </c>
      <c r="M2072">
        <f>IF(AND(H2072="",OR(F2072="No-show",F2072="Late cancel")),1,0)</f>
        <v/>
      </c>
      <c r="N2072">
        <f>IF(AND(H2072="",F2072="",D2072&lt;&gt;"",I2072&gt;=TODAY()),ROUND((I2072+IF(ISNUMBER(C2072),MOD(C2072,1),0))*1440,0)*10000+ROW(),"")</f>
        <v/>
      </c>
    </row>
    <row r="2073">
      <c r="A2073" s="1" t="n"/>
      <c r="B2073" s="17" t="n"/>
      <c r="C2073" s="18" t="n"/>
      <c r="D2073" s="19" t="n"/>
      <c r="E2073" s="20" t="n"/>
      <c r="F2073" s="20" t="n"/>
      <c r="G2073" s="21" t="n"/>
      <c r="H2073" s="12">
        <f>IF(AND(B2073="",D2073="",F2073=""),"",IF(NOT(ISNUMBER(B2073)),"Needs a date",IF(D2073="","Needs a client",IF(COUNTIF(Clients!$B$6:$B$105,D2073)=0,"Not on Clients",IF(AND(F2073="",INT(B2073)&lt;TODAY()),"Needs a status","")))))</f>
        <v/>
      </c>
      <c r="I2073" s="1">
        <f>IF(ISNUMBER(B2073),INT(B2073),0)</f>
        <v/>
      </c>
      <c r="J2073">
        <f>IF(ISNUMBER(B2073),YEAR(B2073)*100+MONTH(B2073),"")</f>
        <v/>
      </c>
      <c r="K2073">
        <f>IF(AND(H2073="",OR(F2073="Attended",F2073="No-show",AND(F2073="Late cancel",Settings!$C$9="Yes"))),1,0)</f>
        <v/>
      </c>
      <c r="L2073">
        <f>IF(AND(H2073="",F2073="Attended"),1,0)</f>
        <v/>
      </c>
      <c r="M2073">
        <f>IF(AND(H2073="",OR(F2073="No-show",F2073="Late cancel")),1,0)</f>
        <v/>
      </c>
      <c r="N2073">
        <f>IF(AND(H2073="",F2073="",D2073&lt;&gt;"",I2073&gt;=TODAY()),ROUND((I2073+IF(ISNUMBER(C2073),MOD(C2073,1),0))*1440,0)*10000+ROW(),"")</f>
        <v/>
      </c>
    </row>
    <row r="2074">
      <c r="A2074" s="1" t="n"/>
      <c r="B2074" s="17" t="n"/>
      <c r="C2074" s="18" t="n"/>
      <c r="D2074" s="19" t="n"/>
      <c r="E2074" s="20" t="n"/>
      <c r="F2074" s="20" t="n"/>
      <c r="G2074" s="21" t="n"/>
      <c r="H2074" s="12">
        <f>IF(AND(B2074="",D2074="",F2074=""),"",IF(NOT(ISNUMBER(B2074)),"Needs a date",IF(D2074="","Needs a client",IF(COUNTIF(Clients!$B$6:$B$105,D2074)=0,"Not on Clients",IF(AND(F2074="",INT(B2074)&lt;TODAY()),"Needs a status","")))))</f>
        <v/>
      </c>
      <c r="I2074" s="1">
        <f>IF(ISNUMBER(B2074),INT(B2074),0)</f>
        <v/>
      </c>
      <c r="J2074">
        <f>IF(ISNUMBER(B2074),YEAR(B2074)*100+MONTH(B2074),"")</f>
        <v/>
      </c>
      <c r="K2074">
        <f>IF(AND(H2074="",OR(F2074="Attended",F2074="No-show",AND(F2074="Late cancel",Settings!$C$9="Yes"))),1,0)</f>
        <v/>
      </c>
      <c r="L2074">
        <f>IF(AND(H2074="",F2074="Attended"),1,0)</f>
        <v/>
      </c>
      <c r="M2074">
        <f>IF(AND(H2074="",OR(F2074="No-show",F2074="Late cancel")),1,0)</f>
        <v/>
      </c>
      <c r="N2074">
        <f>IF(AND(H2074="",F2074="",D2074&lt;&gt;"",I2074&gt;=TODAY()),ROUND((I2074+IF(ISNUMBER(C2074),MOD(C2074,1),0))*1440,0)*10000+ROW(),"")</f>
        <v/>
      </c>
    </row>
    <row r="2075">
      <c r="A2075" s="1" t="n"/>
      <c r="B2075" s="17" t="n"/>
      <c r="C2075" s="18" t="n"/>
      <c r="D2075" s="19" t="n"/>
      <c r="E2075" s="20" t="n"/>
      <c r="F2075" s="20" t="n"/>
      <c r="G2075" s="21" t="n"/>
      <c r="H2075" s="12">
        <f>IF(AND(B2075="",D2075="",F2075=""),"",IF(NOT(ISNUMBER(B2075)),"Needs a date",IF(D2075="","Needs a client",IF(COUNTIF(Clients!$B$6:$B$105,D2075)=0,"Not on Clients",IF(AND(F2075="",INT(B2075)&lt;TODAY()),"Needs a status","")))))</f>
        <v/>
      </c>
      <c r="I2075" s="1">
        <f>IF(ISNUMBER(B2075),INT(B2075),0)</f>
        <v/>
      </c>
      <c r="J2075">
        <f>IF(ISNUMBER(B2075),YEAR(B2075)*100+MONTH(B2075),"")</f>
        <v/>
      </c>
      <c r="K2075">
        <f>IF(AND(H2075="",OR(F2075="Attended",F2075="No-show",AND(F2075="Late cancel",Settings!$C$9="Yes"))),1,0)</f>
        <v/>
      </c>
      <c r="L2075">
        <f>IF(AND(H2075="",F2075="Attended"),1,0)</f>
        <v/>
      </c>
      <c r="M2075">
        <f>IF(AND(H2075="",OR(F2075="No-show",F2075="Late cancel")),1,0)</f>
        <v/>
      </c>
      <c r="N2075">
        <f>IF(AND(H2075="",F2075="",D2075&lt;&gt;"",I2075&gt;=TODAY()),ROUND((I2075+IF(ISNUMBER(C2075),MOD(C2075,1),0))*1440,0)*10000+ROW(),"")</f>
        <v/>
      </c>
    </row>
    <row r="2076">
      <c r="A2076" s="1" t="n"/>
      <c r="B2076" s="17" t="n"/>
      <c r="C2076" s="18" t="n"/>
      <c r="D2076" s="19" t="n"/>
      <c r="E2076" s="20" t="n"/>
      <c r="F2076" s="20" t="n"/>
      <c r="G2076" s="21" t="n"/>
      <c r="H2076" s="12">
        <f>IF(AND(B2076="",D2076="",F2076=""),"",IF(NOT(ISNUMBER(B2076)),"Needs a date",IF(D2076="","Needs a client",IF(COUNTIF(Clients!$B$6:$B$105,D2076)=0,"Not on Clients",IF(AND(F2076="",INT(B2076)&lt;TODAY()),"Needs a status","")))))</f>
        <v/>
      </c>
      <c r="I2076" s="1">
        <f>IF(ISNUMBER(B2076),INT(B2076),0)</f>
        <v/>
      </c>
      <c r="J2076">
        <f>IF(ISNUMBER(B2076),YEAR(B2076)*100+MONTH(B2076),"")</f>
        <v/>
      </c>
      <c r="K2076">
        <f>IF(AND(H2076="",OR(F2076="Attended",F2076="No-show",AND(F2076="Late cancel",Settings!$C$9="Yes"))),1,0)</f>
        <v/>
      </c>
      <c r="L2076">
        <f>IF(AND(H2076="",F2076="Attended"),1,0)</f>
        <v/>
      </c>
      <c r="M2076">
        <f>IF(AND(H2076="",OR(F2076="No-show",F2076="Late cancel")),1,0)</f>
        <v/>
      </c>
      <c r="N2076">
        <f>IF(AND(H2076="",F2076="",D2076&lt;&gt;"",I2076&gt;=TODAY()),ROUND((I2076+IF(ISNUMBER(C2076),MOD(C2076,1),0))*1440,0)*10000+ROW(),"")</f>
        <v/>
      </c>
    </row>
    <row r="2077">
      <c r="A2077" s="1" t="n"/>
      <c r="B2077" s="17" t="n"/>
      <c r="C2077" s="18" t="n"/>
      <c r="D2077" s="19" t="n"/>
      <c r="E2077" s="20" t="n"/>
      <c r="F2077" s="20" t="n"/>
      <c r="G2077" s="21" t="n"/>
      <c r="H2077" s="12">
        <f>IF(AND(B2077="",D2077="",F2077=""),"",IF(NOT(ISNUMBER(B2077)),"Needs a date",IF(D2077="","Needs a client",IF(COUNTIF(Clients!$B$6:$B$105,D2077)=0,"Not on Clients",IF(AND(F2077="",INT(B2077)&lt;TODAY()),"Needs a status","")))))</f>
        <v/>
      </c>
      <c r="I2077" s="1">
        <f>IF(ISNUMBER(B2077),INT(B2077),0)</f>
        <v/>
      </c>
      <c r="J2077">
        <f>IF(ISNUMBER(B2077),YEAR(B2077)*100+MONTH(B2077),"")</f>
        <v/>
      </c>
      <c r="K2077">
        <f>IF(AND(H2077="",OR(F2077="Attended",F2077="No-show",AND(F2077="Late cancel",Settings!$C$9="Yes"))),1,0)</f>
        <v/>
      </c>
      <c r="L2077">
        <f>IF(AND(H2077="",F2077="Attended"),1,0)</f>
        <v/>
      </c>
      <c r="M2077">
        <f>IF(AND(H2077="",OR(F2077="No-show",F2077="Late cancel")),1,0)</f>
        <v/>
      </c>
      <c r="N2077">
        <f>IF(AND(H2077="",F2077="",D2077&lt;&gt;"",I2077&gt;=TODAY()),ROUND((I2077+IF(ISNUMBER(C2077),MOD(C2077,1),0))*1440,0)*10000+ROW(),"")</f>
        <v/>
      </c>
    </row>
    <row r="2078">
      <c r="A2078" s="1" t="n"/>
      <c r="B2078" s="17" t="n"/>
      <c r="C2078" s="18" t="n"/>
      <c r="D2078" s="19" t="n"/>
      <c r="E2078" s="20" t="n"/>
      <c r="F2078" s="20" t="n"/>
      <c r="G2078" s="21" t="n"/>
      <c r="H2078" s="12">
        <f>IF(AND(B2078="",D2078="",F2078=""),"",IF(NOT(ISNUMBER(B2078)),"Needs a date",IF(D2078="","Needs a client",IF(COUNTIF(Clients!$B$6:$B$105,D2078)=0,"Not on Clients",IF(AND(F2078="",INT(B2078)&lt;TODAY()),"Needs a status","")))))</f>
        <v/>
      </c>
      <c r="I2078" s="1">
        <f>IF(ISNUMBER(B2078),INT(B2078),0)</f>
        <v/>
      </c>
      <c r="J2078">
        <f>IF(ISNUMBER(B2078),YEAR(B2078)*100+MONTH(B2078),"")</f>
        <v/>
      </c>
      <c r="K2078">
        <f>IF(AND(H2078="",OR(F2078="Attended",F2078="No-show",AND(F2078="Late cancel",Settings!$C$9="Yes"))),1,0)</f>
        <v/>
      </c>
      <c r="L2078">
        <f>IF(AND(H2078="",F2078="Attended"),1,0)</f>
        <v/>
      </c>
      <c r="M2078">
        <f>IF(AND(H2078="",OR(F2078="No-show",F2078="Late cancel")),1,0)</f>
        <v/>
      </c>
      <c r="N2078">
        <f>IF(AND(H2078="",F2078="",D2078&lt;&gt;"",I2078&gt;=TODAY()),ROUND((I2078+IF(ISNUMBER(C2078),MOD(C2078,1),0))*1440,0)*10000+ROW(),"")</f>
        <v/>
      </c>
    </row>
    <row r="2079">
      <c r="A2079" s="1" t="n"/>
      <c r="B2079" s="17" t="n"/>
      <c r="C2079" s="18" t="n"/>
      <c r="D2079" s="19" t="n"/>
      <c r="E2079" s="20" t="n"/>
      <c r="F2079" s="20" t="n"/>
      <c r="G2079" s="21" t="n"/>
      <c r="H2079" s="12">
        <f>IF(AND(B2079="",D2079="",F2079=""),"",IF(NOT(ISNUMBER(B2079)),"Needs a date",IF(D2079="","Needs a client",IF(COUNTIF(Clients!$B$6:$B$105,D2079)=0,"Not on Clients",IF(AND(F2079="",INT(B2079)&lt;TODAY()),"Needs a status","")))))</f>
        <v/>
      </c>
      <c r="I2079" s="1">
        <f>IF(ISNUMBER(B2079),INT(B2079),0)</f>
        <v/>
      </c>
      <c r="J2079">
        <f>IF(ISNUMBER(B2079),YEAR(B2079)*100+MONTH(B2079),"")</f>
        <v/>
      </c>
      <c r="K2079">
        <f>IF(AND(H2079="",OR(F2079="Attended",F2079="No-show",AND(F2079="Late cancel",Settings!$C$9="Yes"))),1,0)</f>
        <v/>
      </c>
      <c r="L2079">
        <f>IF(AND(H2079="",F2079="Attended"),1,0)</f>
        <v/>
      </c>
      <c r="M2079">
        <f>IF(AND(H2079="",OR(F2079="No-show",F2079="Late cancel")),1,0)</f>
        <v/>
      </c>
      <c r="N2079">
        <f>IF(AND(H2079="",F2079="",D2079&lt;&gt;"",I2079&gt;=TODAY()),ROUND((I2079+IF(ISNUMBER(C2079),MOD(C2079,1),0))*1440,0)*10000+ROW(),"")</f>
        <v/>
      </c>
    </row>
    <row r="2080">
      <c r="A2080" s="1" t="n"/>
      <c r="B2080" s="17" t="n"/>
      <c r="C2080" s="18" t="n"/>
      <c r="D2080" s="19" t="n"/>
      <c r="E2080" s="20" t="n"/>
      <c r="F2080" s="20" t="n"/>
      <c r="G2080" s="21" t="n"/>
      <c r="H2080" s="12">
        <f>IF(AND(B2080="",D2080="",F2080=""),"",IF(NOT(ISNUMBER(B2080)),"Needs a date",IF(D2080="","Needs a client",IF(COUNTIF(Clients!$B$6:$B$105,D2080)=0,"Not on Clients",IF(AND(F2080="",INT(B2080)&lt;TODAY()),"Needs a status","")))))</f>
        <v/>
      </c>
      <c r="I2080" s="1">
        <f>IF(ISNUMBER(B2080),INT(B2080),0)</f>
        <v/>
      </c>
      <c r="J2080">
        <f>IF(ISNUMBER(B2080),YEAR(B2080)*100+MONTH(B2080),"")</f>
        <v/>
      </c>
      <c r="K2080">
        <f>IF(AND(H2080="",OR(F2080="Attended",F2080="No-show",AND(F2080="Late cancel",Settings!$C$9="Yes"))),1,0)</f>
        <v/>
      </c>
      <c r="L2080">
        <f>IF(AND(H2080="",F2080="Attended"),1,0)</f>
        <v/>
      </c>
      <c r="M2080">
        <f>IF(AND(H2080="",OR(F2080="No-show",F2080="Late cancel")),1,0)</f>
        <v/>
      </c>
      <c r="N2080">
        <f>IF(AND(H2080="",F2080="",D2080&lt;&gt;"",I2080&gt;=TODAY()),ROUND((I2080+IF(ISNUMBER(C2080),MOD(C2080,1),0))*1440,0)*10000+ROW(),"")</f>
        <v/>
      </c>
    </row>
    <row r="2081">
      <c r="A2081" s="1" t="n"/>
      <c r="B2081" s="17" t="n"/>
      <c r="C2081" s="18" t="n"/>
      <c r="D2081" s="19" t="n"/>
      <c r="E2081" s="20" t="n"/>
      <c r="F2081" s="20" t="n"/>
      <c r="G2081" s="21" t="n"/>
      <c r="H2081" s="12">
        <f>IF(AND(B2081="",D2081="",F2081=""),"",IF(NOT(ISNUMBER(B2081)),"Needs a date",IF(D2081="","Needs a client",IF(COUNTIF(Clients!$B$6:$B$105,D2081)=0,"Not on Clients",IF(AND(F2081="",INT(B2081)&lt;TODAY()),"Needs a status","")))))</f>
        <v/>
      </c>
      <c r="I2081" s="1">
        <f>IF(ISNUMBER(B2081),INT(B2081),0)</f>
        <v/>
      </c>
      <c r="J2081">
        <f>IF(ISNUMBER(B2081),YEAR(B2081)*100+MONTH(B2081),"")</f>
        <v/>
      </c>
      <c r="K2081">
        <f>IF(AND(H2081="",OR(F2081="Attended",F2081="No-show",AND(F2081="Late cancel",Settings!$C$9="Yes"))),1,0)</f>
        <v/>
      </c>
      <c r="L2081">
        <f>IF(AND(H2081="",F2081="Attended"),1,0)</f>
        <v/>
      </c>
      <c r="M2081">
        <f>IF(AND(H2081="",OR(F2081="No-show",F2081="Late cancel")),1,0)</f>
        <v/>
      </c>
      <c r="N2081">
        <f>IF(AND(H2081="",F2081="",D2081&lt;&gt;"",I2081&gt;=TODAY()),ROUND((I2081+IF(ISNUMBER(C2081),MOD(C2081,1),0))*1440,0)*10000+ROW(),"")</f>
        <v/>
      </c>
    </row>
    <row r="2082">
      <c r="A2082" s="1" t="n"/>
      <c r="B2082" s="17" t="n"/>
      <c r="C2082" s="18" t="n"/>
      <c r="D2082" s="19" t="n"/>
      <c r="E2082" s="20" t="n"/>
      <c r="F2082" s="20" t="n"/>
      <c r="G2082" s="21" t="n"/>
      <c r="H2082" s="12">
        <f>IF(AND(B2082="",D2082="",F2082=""),"",IF(NOT(ISNUMBER(B2082)),"Needs a date",IF(D2082="","Needs a client",IF(COUNTIF(Clients!$B$6:$B$105,D2082)=0,"Not on Clients",IF(AND(F2082="",INT(B2082)&lt;TODAY()),"Needs a status","")))))</f>
        <v/>
      </c>
      <c r="I2082" s="1">
        <f>IF(ISNUMBER(B2082),INT(B2082),0)</f>
        <v/>
      </c>
      <c r="J2082">
        <f>IF(ISNUMBER(B2082),YEAR(B2082)*100+MONTH(B2082),"")</f>
        <v/>
      </c>
      <c r="K2082">
        <f>IF(AND(H2082="",OR(F2082="Attended",F2082="No-show",AND(F2082="Late cancel",Settings!$C$9="Yes"))),1,0)</f>
        <v/>
      </c>
      <c r="L2082">
        <f>IF(AND(H2082="",F2082="Attended"),1,0)</f>
        <v/>
      </c>
      <c r="M2082">
        <f>IF(AND(H2082="",OR(F2082="No-show",F2082="Late cancel")),1,0)</f>
        <v/>
      </c>
      <c r="N2082">
        <f>IF(AND(H2082="",F2082="",D2082&lt;&gt;"",I2082&gt;=TODAY()),ROUND((I2082+IF(ISNUMBER(C2082),MOD(C2082,1),0))*1440,0)*10000+ROW(),"")</f>
        <v/>
      </c>
    </row>
    <row r="2083">
      <c r="A2083" s="1" t="n"/>
      <c r="B2083" s="17" t="n"/>
      <c r="C2083" s="18" t="n"/>
      <c r="D2083" s="19" t="n"/>
      <c r="E2083" s="20" t="n"/>
      <c r="F2083" s="20" t="n"/>
      <c r="G2083" s="21" t="n"/>
      <c r="H2083" s="12">
        <f>IF(AND(B2083="",D2083="",F2083=""),"",IF(NOT(ISNUMBER(B2083)),"Needs a date",IF(D2083="","Needs a client",IF(COUNTIF(Clients!$B$6:$B$105,D2083)=0,"Not on Clients",IF(AND(F2083="",INT(B2083)&lt;TODAY()),"Needs a status","")))))</f>
        <v/>
      </c>
      <c r="I2083" s="1">
        <f>IF(ISNUMBER(B2083),INT(B2083),0)</f>
        <v/>
      </c>
      <c r="J2083">
        <f>IF(ISNUMBER(B2083),YEAR(B2083)*100+MONTH(B2083),"")</f>
        <v/>
      </c>
      <c r="K2083">
        <f>IF(AND(H2083="",OR(F2083="Attended",F2083="No-show",AND(F2083="Late cancel",Settings!$C$9="Yes"))),1,0)</f>
        <v/>
      </c>
      <c r="L2083">
        <f>IF(AND(H2083="",F2083="Attended"),1,0)</f>
        <v/>
      </c>
      <c r="M2083">
        <f>IF(AND(H2083="",OR(F2083="No-show",F2083="Late cancel")),1,0)</f>
        <v/>
      </c>
      <c r="N2083">
        <f>IF(AND(H2083="",F2083="",D2083&lt;&gt;"",I2083&gt;=TODAY()),ROUND((I2083+IF(ISNUMBER(C2083),MOD(C2083,1),0))*1440,0)*10000+ROW(),"")</f>
        <v/>
      </c>
    </row>
    <row r="2084">
      <c r="A2084" s="1" t="n"/>
      <c r="B2084" s="17" t="n"/>
      <c r="C2084" s="18" t="n"/>
      <c r="D2084" s="19" t="n"/>
      <c r="E2084" s="20" t="n"/>
      <c r="F2084" s="20" t="n"/>
      <c r="G2084" s="21" t="n"/>
      <c r="H2084" s="12">
        <f>IF(AND(B2084="",D2084="",F2084=""),"",IF(NOT(ISNUMBER(B2084)),"Needs a date",IF(D2084="","Needs a client",IF(COUNTIF(Clients!$B$6:$B$105,D2084)=0,"Not on Clients",IF(AND(F2084="",INT(B2084)&lt;TODAY()),"Needs a status","")))))</f>
        <v/>
      </c>
      <c r="I2084" s="1">
        <f>IF(ISNUMBER(B2084),INT(B2084),0)</f>
        <v/>
      </c>
      <c r="J2084">
        <f>IF(ISNUMBER(B2084),YEAR(B2084)*100+MONTH(B2084),"")</f>
        <v/>
      </c>
      <c r="K2084">
        <f>IF(AND(H2084="",OR(F2084="Attended",F2084="No-show",AND(F2084="Late cancel",Settings!$C$9="Yes"))),1,0)</f>
        <v/>
      </c>
      <c r="L2084">
        <f>IF(AND(H2084="",F2084="Attended"),1,0)</f>
        <v/>
      </c>
      <c r="M2084">
        <f>IF(AND(H2084="",OR(F2084="No-show",F2084="Late cancel")),1,0)</f>
        <v/>
      </c>
      <c r="N2084">
        <f>IF(AND(H2084="",F2084="",D2084&lt;&gt;"",I2084&gt;=TODAY()),ROUND((I2084+IF(ISNUMBER(C2084),MOD(C2084,1),0))*1440,0)*10000+ROW(),"")</f>
        <v/>
      </c>
    </row>
    <row r="2085">
      <c r="A2085" s="1" t="n"/>
      <c r="B2085" s="17" t="n"/>
      <c r="C2085" s="18" t="n"/>
      <c r="D2085" s="19" t="n"/>
      <c r="E2085" s="20" t="n"/>
      <c r="F2085" s="20" t="n"/>
      <c r="G2085" s="21" t="n"/>
      <c r="H2085" s="12">
        <f>IF(AND(B2085="",D2085="",F2085=""),"",IF(NOT(ISNUMBER(B2085)),"Needs a date",IF(D2085="","Needs a client",IF(COUNTIF(Clients!$B$6:$B$105,D2085)=0,"Not on Clients",IF(AND(F2085="",INT(B2085)&lt;TODAY()),"Needs a status","")))))</f>
        <v/>
      </c>
      <c r="I2085" s="1">
        <f>IF(ISNUMBER(B2085),INT(B2085),0)</f>
        <v/>
      </c>
      <c r="J2085">
        <f>IF(ISNUMBER(B2085),YEAR(B2085)*100+MONTH(B2085),"")</f>
        <v/>
      </c>
      <c r="K2085">
        <f>IF(AND(H2085="",OR(F2085="Attended",F2085="No-show",AND(F2085="Late cancel",Settings!$C$9="Yes"))),1,0)</f>
        <v/>
      </c>
      <c r="L2085">
        <f>IF(AND(H2085="",F2085="Attended"),1,0)</f>
        <v/>
      </c>
      <c r="M2085">
        <f>IF(AND(H2085="",OR(F2085="No-show",F2085="Late cancel")),1,0)</f>
        <v/>
      </c>
      <c r="N2085">
        <f>IF(AND(H2085="",F2085="",D2085&lt;&gt;"",I2085&gt;=TODAY()),ROUND((I2085+IF(ISNUMBER(C2085),MOD(C2085,1),0))*1440,0)*10000+ROW(),"")</f>
        <v/>
      </c>
    </row>
    <row r="2086">
      <c r="A2086" s="1" t="n"/>
      <c r="B2086" s="17" t="n"/>
      <c r="C2086" s="18" t="n"/>
      <c r="D2086" s="19" t="n"/>
      <c r="E2086" s="20" t="n"/>
      <c r="F2086" s="20" t="n"/>
      <c r="G2086" s="21" t="n"/>
      <c r="H2086" s="12">
        <f>IF(AND(B2086="",D2086="",F2086=""),"",IF(NOT(ISNUMBER(B2086)),"Needs a date",IF(D2086="","Needs a client",IF(COUNTIF(Clients!$B$6:$B$105,D2086)=0,"Not on Clients",IF(AND(F2086="",INT(B2086)&lt;TODAY()),"Needs a status","")))))</f>
        <v/>
      </c>
      <c r="I2086" s="1">
        <f>IF(ISNUMBER(B2086),INT(B2086),0)</f>
        <v/>
      </c>
      <c r="J2086">
        <f>IF(ISNUMBER(B2086),YEAR(B2086)*100+MONTH(B2086),"")</f>
        <v/>
      </c>
      <c r="K2086">
        <f>IF(AND(H2086="",OR(F2086="Attended",F2086="No-show",AND(F2086="Late cancel",Settings!$C$9="Yes"))),1,0)</f>
        <v/>
      </c>
      <c r="L2086">
        <f>IF(AND(H2086="",F2086="Attended"),1,0)</f>
        <v/>
      </c>
      <c r="M2086">
        <f>IF(AND(H2086="",OR(F2086="No-show",F2086="Late cancel")),1,0)</f>
        <v/>
      </c>
      <c r="N2086">
        <f>IF(AND(H2086="",F2086="",D2086&lt;&gt;"",I2086&gt;=TODAY()),ROUND((I2086+IF(ISNUMBER(C2086),MOD(C2086,1),0))*1440,0)*10000+ROW(),"")</f>
        <v/>
      </c>
    </row>
    <row r="2087">
      <c r="A2087" s="1" t="n"/>
      <c r="B2087" s="17" t="n"/>
      <c r="C2087" s="18" t="n"/>
      <c r="D2087" s="19" t="n"/>
      <c r="E2087" s="20" t="n"/>
      <c r="F2087" s="20" t="n"/>
      <c r="G2087" s="21" t="n"/>
      <c r="H2087" s="12">
        <f>IF(AND(B2087="",D2087="",F2087=""),"",IF(NOT(ISNUMBER(B2087)),"Needs a date",IF(D2087="","Needs a client",IF(COUNTIF(Clients!$B$6:$B$105,D2087)=0,"Not on Clients",IF(AND(F2087="",INT(B2087)&lt;TODAY()),"Needs a status","")))))</f>
        <v/>
      </c>
      <c r="I2087" s="1">
        <f>IF(ISNUMBER(B2087),INT(B2087),0)</f>
        <v/>
      </c>
      <c r="J2087">
        <f>IF(ISNUMBER(B2087),YEAR(B2087)*100+MONTH(B2087),"")</f>
        <v/>
      </c>
      <c r="K2087">
        <f>IF(AND(H2087="",OR(F2087="Attended",F2087="No-show",AND(F2087="Late cancel",Settings!$C$9="Yes"))),1,0)</f>
        <v/>
      </c>
      <c r="L2087">
        <f>IF(AND(H2087="",F2087="Attended"),1,0)</f>
        <v/>
      </c>
      <c r="M2087">
        <f>IF(AND(H2087="",OR(F2087="No-show",F2087="Late cancel")),1,0)</f>
        <v/>
      </c>
      <c r="N2087">
        <f>IF(AND(H2087="",F2087="",D2087&lt;&gt;"",I2087&gt;=TODAY()),ROUND((I2087+IF(ISNUMBER(C2087),MOD(C2087,1),0))*1440,0)*10000+ROW(),"")</f>
        <v/>
      </c>
    </row>
    <row r="2088">
      <c r="A2088" s="1" t="n"/>
      <c r="B2088" s="17" t="n"/>
      <c r="C2088" s="18" t="n"/>
      <c r="D2088" s="19" t="n"/>
      <c r="E2088" s="20" t="n"/>
      <c r="F2088" s="20" t="n"/>
      <c r="G2088" s="21" t="n"/>
      <c r="H2088" s="12">
        <f>IF(AND(B2088="",D2088="",F2088=""),"",IF(NOT(ISNUMBER(B2088)),"Needs a date",IF(D2088="","Needs a client",IF(COUNTIF(Clients!$B$6:$B$105,D2088)=0,"Not on Clients",IF(AND(F2088="",INT(B2088)&lt;TODAY()),"Needs a status","")))))</f>
        <v/>
      </c>
      <c r="I2088" s="1">
        <f>IF(ISNUMBER(B2088),INT(B2088),0)</f>
        <v/>
      </c>
      <c r="J2088">
        <f>IF(ISNUMBER(B2088),YEAR(B2088)*100+MONTH(B2088),"")</f>
        <v/>
      </c>
      <c r="K2088">
        <f>IF(AND(H2088="",OR(F2088="Attended",F2088="No-show",AND(F2088="Late cancel",Settings!$C$9="Yes"))),1,0)</f>
        <v/>
      </c>
      <c r="L2088">
        <f>IF(AND(H2088="",F2088="Attended"),1,0)</f>
        <v/>
      </c>
      <c r="M2088">
        <f>IF(AND(H2088="",OR(F2088="No-show",F2088="Late cancel")),1,0)</f>
        <v/>
      </c>
      <c r="N2088">
        <f>IF(AND(H2088="",F2088="",D2088&lt;&gt;"",I2088&gt;=TODAY()),ROUND((I2088+IF(ISNUMBER(C2088),MOD(C2088,1),0))*1440,0)*10000+ROW(),"")</f>
        <v/>
      </c>
    </row>
    <row r="2089">
      <c r="A2089" s="1" t="n"/>
      <c r="B2089" s="17" t="n"/>
      <c r="C2089" s="18" t="n"/>
      <c r="D2089" s="19" t="n"/>
      <c r="E2089" s="20" t="n"/>
      <c r="F2089" s="20" t="n"/>
      <c r="G2089" s="21" t="n"/>
      <c r="H2089" s="12">
        <f>IF(AND(B2089="",D2089="",F2089=""),"",IF(NOT(ISNUMBER(B2089)),"Needs a date",IF(D2089="","Needs a client",IF(COUNTIF(Clients!$B$6:$B$105,D2089)=0,"Not on Clients",IF(AND(F2089="",INT(B2089)&lt;TODAY()),"Needs a status","")))))</f>
        <v/>
      </c>
      <c r="I2089" s="1">
        <f>IF(ISNUMBER(B2089),INT(B2089),0)</f>
        <v/>
      </c>
      <c r="J2089">
        <f>IF(ISNUMBER(B2089),YEAR(B2089)*100+MONTH(B2089),"")</f>
        <v/>
      </c>
      <c r="K2089">
        <f>IF(AND(H2089="",OR(F2089="Attended",F2089="No-show",AND(F2089="Late cancel",Settings!$C$9="Yes"))),1,0)</f>
        <v/>
      </c>
      <c r="L2089">
        <f>IF(AND(H2089="",F2089="Attended"),1,0)</f>
        <v/>
      </c>
      <c r="M2089">
        <f>IF(AND(H2089="",OR(F2089="No-show",F2089="Late cancel")),1,0)</f>
        <v/>
      </c>
      <c r="N2089">
        <f>IF(AND(H2089="",F2089="",D2089&lt;&gt;"",I2089&gt;=TODAY()),ROUND((I2089+IF(ISNUMBER(C2089),MOD(C2089,1),0))*1440,0)*10000+ROW(),"")</f>
        <v/>
      </c>
    </row>
    <row r="2090">
      <c r="A2090" s="1" t="n"/>
      <c r="B2090" s="17" t="n"/>
      <c r="C2090" s="18" t="n"/>
      <c r="D2090" s="19" t="n"/>
      <c r="E2090" s="20" t="n"/>
      <c r="F2090" s="20" t="n"/>
      <c r="G2090" s="21" t="n"/>
      <c r="H2090" s="12">
        <f>IF(AND(B2090="",D2090="",F2090=""),"",IF(NOT(ISNUMBER(B2090)),"Needs a date",IF(D2090="","Needs a client",IF(COUNTIF(Clients!$B$6:$B$105,D2090)=0,"Not on Clients",IF(AND(F2090="",INT(B2090)&lt;TODAY()),"Needs a status","")))))</f>
        <v/>
      </c>
      <c r="I2090" s="1">
        <f>IF(ISNUMBER(B2090),INT(B2090),0)</f>
        <v/>
      </c>
      <c r="J2090">
        <f>IF(ISNUMBER(B2090),YEAR(B2090)*100+MONTH(B2090),"")</f>
        <v/>
      </c>
      <c r="K2090">
        <f>IF(AND(H2090="",OR(F2090="Attended",F2090="No-show",AND(F2090="Late cancel",Settings!$C$9="Yes"))),1,0)</f>
        <v/>
      </c>
      <c r="L2090">
        <f>IF(AND(H2090="",F2090="Attended"),1,0)</f>
        <v/>
      </c>
      <c r="M2090">
        <f>IF(AND(H2090="",OR(F2090="No-show",F2090="Late cancel")),1,0)</f>
        <v/>
      </c>
      <c r="N2090">
        <f>IF(AND(H2090="",F2090="",D2090&lt;&gt;"",I2090&gt;=TODAY()),ROUND((I2090+IF(ISNUMBER(C2090),MOD(C2090,1),0))*1440,0)*10000+ROW(),"")</f>
        <v/>
      </c>
    </row>
    <row r="2091">
      <c r="A2091" s="1" t="n"/>
      <c r="B2091" s="17" t="n"/>
      <c r="C2091" s="18" t="n"/>
      <c r="D2091" s="19" t="n"/>
      <c r="E2091" s="20" t="n"/>
      <c r="F2091" s="20" t="n"/>
      <c r="G2091" s="21" t="n"/>
      <c r="H2091" s="12">
        <f>IF(AND(B2091="",D2091="",F2091=""),"",IF(NOT(ISNUMBER(B2091)),"Needs a date",IF(D2091="","Needs a client",IF(COUNTIF(Clients!$B$6:$B$105,D2091)=0,"Not on Clients",IF(AND(F2091="",INT(B2091)&lt;TODAY()),"Needs a status","")))))</f>
        <v/>
      </c>
      <c r="I2091" s="1">
        <f>IF(ISNUMBER(B2091),INT(B2091),0)</f>
        <v/>
      </c>
      <c r="J2091">
        <f>IF(ISNUMBER(B2091),YEAR(B2091)*100+MONTH(B2091),"")</f>
        <v/>
      </c>
      <c r="K2091">
        <f>IF(AND(H2091="",OR(F2091="Attended",F2091="No-show",AND(F2091="Late cancel",Settings!$C$9="Yes"))),1,0)</f>
        <v/>
      </c>
      <c r="L2091">
        <f>IF(AND(H2091="",F2091="Attended"),1,0)</f>
        <v/>
      </c>
      <c r="M2091">
        <f>IF(AND(H2091="",OR(F2091="No-show",F2091="Late cancel")),1,0)</f>
        <v/>
      </c>
      <c r="N2091">
        <f>IF(AND(H2091="",F2091="",D2091&lt;&gt;"",I2091&gt;=TODAY()),ROUND((I2091+IF(ISNUMBER(C2091),MOD(C2091,1),0))*1440,0)*10000+ROW(),"")</f>
        <v/>
      </c>
    </row>
    <row r="2092">
      <c r="A2092" s="1" t="n"/>
      <c r="B2092" s="17" t="n"/>
      <c r="C2092" s="18" t="n"/>
      <c r="D2092" s="19" t="n"/>
      <c r="E2092" s="20" t="n"/>
      <c r="F2092" s="20" t="n"/>
      <c r="G2092" s="21" t="n"/>
      <c r="H2092" s="12">
        <f>IF(AND(B2092="",D2092="",F2092=""),"",IF(NOT(ISNUMBER(B2092)),"Needs a date",IF(D2092="","Needs a client",IF(COUNTIF(Clients!$B$6:$B$105,D2092)=0,"Not on Clients",IF(AND(F2092="",INT(B2092)&lt;TODAY()),"Needs a status","")))))</f>
        <v/>
      </c>
      <c r="I2092" s="1">
        <f>IF(ISNUMBER(B2092),INT(B2092),0)</f>
        <v/>
      </c>
      <c r="J2092">
        <f>IF(ISNUMBER(B2092),YEAR(B2092)*100+MONTH(B2092),"")</f>
        <v/>
      </c>
      <c r="K2092">
        <f>IF(AND(H2092="",OR(F2092="Attended",F2092="No-show",AND(F2092="Late cancel",Settings!$C$9="Yes"))),1,0)</f>
        <v/>
      </c>
      <c r="L2092">
        <f>IF(AND(H2092="",F2092="Attended"),1,0)</f>
        <v/>
      </c>
      <c r="M2092">
        <f>IF(AND(H2092="",OR(F2092="No-show",F2092="Late cancel")),1,0)</f>
        <v/>
      </c>
      <c r="N2092">
        <f>IF(AND(H2092="",F2092="",D2092&lt;&gt;"",I2092&gt;=TODAY()),ROUND((I2092+IF(ISNUMBER(C2092),MOD(C2092,1),0))*1440,0)*10000+ROW(),"")</f>
        <v/>
      </c>
    </row>
    <row r="2093">
      <c r="A2093" s="1" t="n"/>
      <c r="B2093" s="17" t="n"/>
      <c r="C2093" s="18" t="n"/>
      <c r="D2093" s="19" t="n"/>
      <c r="E2093" s="20" t="n"/>
      <c r="F2093" s="20" t="n"/>
      <c r="G2093" s="21" t="n"/>
      <c r="H2093" s="12">
        <f>IF(AND(B2093="",D2093="",F2093=""),"",IF(NOT(ISNUMBER(B2093)),"Needs a date",IF(D2093="","Needs a client",IF(COUNTIF(Clients!$B$6:$B$105,D2093)=0,"Not on Clients",IF(AND(F2093="",INT(B2093)&lt;TODAY()),"Needs a status","")))))</f>
        <v/>
      </c>
      <c r="I2093" s="1">
        <f>IF(ISNUMBER(B2093),INT(B2093),0)</f>
        <v/>
      </c>
      <c r="J2093">
        <f>IF(ISNUMBER(B2093),YEAR(B2093)*100+MONTH(B2093),"")</f>
        <v/>
      </c>
      <c r="K2093">
        <f>IF(AND(H2093="",OR(F2093="Attended",F2093="No-show",AND(F2093="Late cancel",Settings!$C$9="Yes"))),1,0)</f>
        <v/>
      </c>
      <c r="L2093">
        <f>IF(AND(H2093="",F2093="Attended"),1,0)</f>
        <v/>
      </c>
      <c r="M2093">
        <f>IF(AND(H2093="",OR(F2093="No-show",F2093="Late cancel")),1,0)</f>
        <v/>
      </c>
      <c r="N2093">
        <f>IF(AND(H2093="",F2093="",D2093&lt;&gt;"",I2093&gt;=TODAY()),ROUND((I2093+IF(ISNUMBER(C2093),MOD(C2093,1),0))*1440,0)*10000+ROW(),"")</f>
        <v/>
      </c>
    </row>
    <row r="2094">
      <c r="A2094" s="1" t="n"/>
      <c r="B2094" s="17" t="n"/>
      <c r="C2094" s="18" t="n"/>
      <c r="D2094" s="19" t="n"/>
      <c r="E2094" s="20" t="n"/>
      <c r="F2094" s="20" t="n"/>
      <c r="G2094" s="21" t="n"/>
      <c r="H2094" s="12">
        <f>IF(AND(B2094="",D2094="",F2094=""),"",IF(NOT(ISNUMBER(B2094)),"Needs a date",IF(D2094="","Needs a client",IF(COUNTIF(Clients!$B$6:$B$105,D2094)=0,"Not on Clients",IF(AND(F2094="",INT(B2094)&lt;TODAY()),"Needs a status","")))))</f>
        <v/>
      </c>
      <c r="I2094" s="1">
        <f>IF(ISNUMBER(B2094),INT(B2094),0)</f>
        <v/>
      </c>
      <c r="J2094">
        <f>IF(ISNUMBER(B2094),YEAR(B2094)*100+MONTH(B2094),"")</f>
        <v/>
      </c>
      <c r="K2094">
        <f>IF(AND(H2094="",OR(F2094="Attended",F2094="No-show",AND(F2094="Late cancel",Settings!$C$9="Yes"))),1,0)</f>
        <v/>
      </c>
      <c r="L2094">
        <f>IF(AND(H2094="",F2094="Attended"),1,0)</f>
        <v/>
      </c>
      <c r="M2094">
        <f>IF(AND(H2094="",OR(F2094="No-show",F2094="Late cancel")),1,0)</f>
        <v/>
      </c>
      <c r="N2094">
        <f>IF(AND(H2094="",F2094="",D2094&lt;&gt;"",I2094&gt;=TODAY()),ROUND((I2094+IF(ISNUMBER(C2094),MOD(C2094,1),0))*1440,0)*10000+ROW(),"")</f>
        <v/>
      </c>
    </row>
    <row r="2095">
      <c r="A2095" s="1" t="n"/>
      <c r="B2095" s="17" t="n"/>
      <c r="C2095" s="18" t="n"/>
      <c r="D2095" s="19" t="n"/>
      <c r="E2095" s="20" t="n"/>
      <c r="F2095" s="20" t="n"/>
      <c r="G2095" s="21" t="n"/>
      <c r="H2095" s="12">
        <f>IF(AND(B2095="",D2095="",F2095=""),"",IF(NOT(ISNUMBER(B2095)),"Needs a date",IF(D2095="","Needs a client",IF(COUNTIF(Clients!$B$6:$B$105,D2095)=0,"Not on Clients",IF(AND(F2095="",INT(B2095)&lt;TODAY()),"Needs a status","")))))</f>
        <v/>
      </c>
      <c r="I2095" s="1">
        <f>IF(ISNUMBER(B2095),INT(B2095),0)</f>
        <v/>
      </c>
      <c r="J2095">
        <f>IF(ISNUMBER(B2095),YEAR(B2095)*100+MONTH(B2095),"")</f>
        <v/>
      </c>
      <c r="K2095">
        <f>IF(AND(H2095="",OR(F2095="Attended",F2095="No-show",AND(F2095="Late cancel",Settings!$C$9="Yes"))),1,0)</f>
        <v/>
      </c>
      <c r="L2095">
        <f>IF(AND(H2095="",F2095="Attended"),1,0)</f>
        <v/>
      </c>
      <c r="M2095">
        <f>IF(AND(H2095="",OR(F2095="No-show",F2095="Late cancel")),1,0)</f>
        <v/>
      </c>
      <c r="N2095">
        <f>IF(AND(H2095="",F2095="",D2095&lt;&gt;"",I2095&gt;=TODAY()),ROUND((I2095+IF(ISNUMBER(C2095),MOD(C2095,1),0))*1440,0)*10000+ROW(),"")</f>
        <v/>
      </c>
    </row>
    <row r="2096">
      <c r="A2096" s="1" t="n"/>
      <c r="B2096" s="17" t="n"/>
      <c r="C2096" s="18" t="n"/>
      <c r="D2096" s="19" t="n"/>
      <c r="E2096" s="20" t="n"/>
      <c r="F2096" s="20" t="n"/>
      <c r="G2096" s="21" t="n"/>
      <c r="H2096" s="12">
        <f>IF(AND(B2096="",D2096="",F2096=""),"",IF(NOT(ISNUMBER(B2096)),"Needs a date",IF(D2096="","Needs a client",IF(COUNTIF(Clients!$B$6:$B$105,D2096)=0,"Not on Clients",IF(AND(F2096="",INT(B2096)&lt;TODAY()),"Needs a status","")))))</f>
        <v/>
      </c>
      <c r="I2096" s="1">
        <f>IF(ISNUMBER(B2096),INT(B2096),0)</f>
        <v/>
      </c>
      <c r="J2096">
        <f>IF(ISNUMBER(B2096),YEAR(B2096)*100+MONTH(B2096),"")</f>
        <v/>
      </c>
      <c r="K2096">
        <f>IF(AND(H2096="",OR(F2096="Attended",F2096="No-show",AND(F2096="Late cancel",Settings!$C$9="Yes"))),1,0)</f>
        <v/>
      </c>
      <c r="L2096">
        <f>IF(AND(H2096="",F2096="Attended"),1,0)</f>
        <v/>
      </c>
      <c r="M2096">
        <f>IF(AND(H2096="",OR(F2096="No-show",F2096="Late cancel")),1,0)</f>
        <v/>
      </c>
      <c r="N2096">
        <f>IF(AND(H2096="",F2096="",D2096&lt;&gt;"",I2096&gt;=TODAY()),ROUND((I2096+IF(ISNUMBER(C2096),MOD(C2096,1),0))*1440,0)*10000+ROW(),"")</f>
        <v/>
      </c>
    </row>
    <row r="2097">
      <c r="A2097" s="1" t="n"/>
      <c r="B2097" s="17" t="n"/>
      <c r="C2097" s="18" t="n"/>
      <c r="D2097" s="19" t="n"/>
      <c r="E2097" s="20" t="n"/>
      <c r="F2097" s="20" t="n"/>
      <c r="G2097" s="21" t="n"/>
      <c r="H2097" s="12">
        <f>IF(AND(B2097="",D2097="",F2097=""),"",IF(NOT(ISNUMBER(B2097)),"Needs a date",IF(D2097="","Needs a client",IF(COUNTIF(Clients!$B$6:$B$105,D2097)=0,"Not on Clients",IF(AND(F2097="",INT(B2097)&lt;TODAY()),"Needs a status","")))))</f>
        <v/>
      </c>
      <c r="I2097" s="1">
        <f>IF(ISNUMBER(B2097),INT(B2097),0)</f>
        <v/>
      </c>
      <c r="J2097">
        <f>IF(ISNUMBER(B2097),YEAR(B2097)*100+MONTH(B2097),"")</f>
        <v/>
      </c>
      <c r="K2097">
        <f>IF(AND(H2097="",OR(F2097="Attended",F2097="No-show",AND(F2097="Late cancel",Settings!$C$9="Yes"))),1,0)</f>
        <v/>
      </c>
      <c r="L2097">
        <f>IF(AND(H2097="",F2097="Attended"),1,0)</f>
        <v/>
      </c>
      <c r="M2097">
        <f>IF(AND(H2097="",OR(F2097="No-show",F2097="Late cancel")),1,0)</f>
        <v/>
      </c>
      <c r="N2097">
        <f>IF(AND(H2097="",F2097="",D2097&lt;&gt;"",I2097&gt;=TODAY()),ROUND((I2097+IF(ISNUMBER(C2097),MOD(C2097,1),0))*1440,0)*10000+ROW(),"")</f>
        <v/>
      </c>
    </row>
    <row r="2098">
      <c r="A2098" s="1" t="n"/>
      <c r="B2098" s="17" t="n"/>
      <c r="C2098" s="18" t="n"/>
      <c r="D2098" s="19" t="n"/>
      <c r="E2098" s="20" t="n"/>
      <c r="F2098" s="20" t="n"/>
      <c r="G2098" s="21" t="n"/>
      <c r="H2098" s="12">
        <f>IF(AND(B2098="",D2098="",F2098=""),"",IF(NOT(ISNUMBER(B2098)),"Needs a date",IF(D2098="","Needs a client",IF(COUNTIF(Clients!$B$6:$B$105,D2098)=0,"Not on Clients",IF(AND(F2098="",INT(B2098)&lt;TODAY()),"Needs a status","")))))</f>
        <v/>
      </c>
      <c r="I2098" s="1">
        <f>IF(ISNUMBER(B2098),INT(B2098),0)</f>
        <v/>
      </c>
      <c r="J2098">
        <f>IF(ISNUMBER(B2098),YEAR(B2098)*100+MONTH(B2098),"")</f>
        <v/>
      </c>
      <c r="K2098">
        <f>IF(AND(H2098="",OR(F2098="Attended",F2098="No-show",AND(F2098="Late cancel",Settings!$C$9="Yes"))),1,0)</f>
        <v/>
      </c>
      <c r="L2098">
        <f>IF(AND(H2098="",F2098="Attended"),1,0)</f>
        <v/>
      </c>
      <c r="M2098">
        <f>IF(AND(H2098="",OR(F2098="No-show",F2098="Late cancel")),1,0)</f>
        <v/>
      </c>
      <c r="N2098">
        <f>IF(AND(H2098="",F2098="",D2098&lt;&gt;"",I2098&gt;=TODAY()),ROUND((I2098+IF(ISNUMBER(C2098),MOD(C2098,1),0))*1440,0)*10000+ROW(),"")</f>
        <v/>
      </c>
    </row>
    <row r="2099">
      <c r="A2099" s="1" t="n"/>
      <c r="B2099" s="17" t="n"/>
      <c r="C2099" s="18" t="n"/>
      <c r="D2099" s="19" t="n"/>
      <c r="E2099" s="20" t="n"/>
      <c r="F2099" s="20" t="n"/>
      <c r="G2099" s="21" t="n"/>
      <c r="H2099" s="12">
        <f>IF(AND(B2099="",D2099="",F2099=""),"",IF(NOT(ISNUMBER(B2099)),"Needs a date",IF(D2099="","Needs a client",IF(COUNTIF(Clients!$B$6:$B$105,D2099)=0,"Not on Clients",IF(AND(F2099="",INT(B2099)&lt;TODAY()),"Needs a status","")))))</f>
        <v/>
      </c>
      <c r="I2099" s="1">
        <f>IF(ISNUMBER(B2099),INT(B2099),0)</f>
        <v/>
      </c>
      <c r="J2099">
        <f>IF(ISNUMBER(B2099),YEAR(B2099)*100+MONTH(B2099),"")</f>
        <v/>
      </c>
      <c r="K2099">
        <f>IF(AND(H2099="",OR(F2099="Attended",F2099="No-show",AND(F2099="Late cancel",Settings!$C$9="Yes"))),1,0)</f>
        <v/>
      </c>
      <c r="L2099">
        <f>IF(AND(H2099="",F2099="Attended"),1,0)</f>
        <v/>
      </c>
      <c r="M2099">
        <f>IF(AND(H2099="",OR(F2099="No-show",F2099="Late cancel")),1,0)</f>
        <v/>
      </c>
      <c r="N2099">
        <f>IF(AND(H2099="",F2099="",D2099&lt;&gt;"",I2099&gt;=TODAY()),ROUND((I2099+IF(ISNUMBER(C2099),MOD(C2099,1),0))*1440,0)*10000+ROW(),"")</f>
        <v/>
      </c>
    </row>
    <row r="2100">
      <c r="A2100" s="1" t="n"/>
      <c r="B2100" s="17" t="n"/>
      <c r="C2100" s="18" t="n"/>
      <c r="D2100" s="19" t="n"/>
      <c r="E2100" s="20" t="n"/>
      <c r="F2100" s="20" t="n"/>
      <c r="G2100" s="21" t="n"/>
      <c r="H2100" s="12">
        <f>IF(AND(B2100="",D2100="",F2100=""),"",IF(NOT(ISNUMBER(B2100)),"Needs a date",IF(D2100="","Needs a client",IF(COUNTIF(Clients!$B$6:$B$105,D2100)=0,"Not on Clients",IF(AND(F2100="",INT(B2100)&lt;TODAY()),"Needs a status","")))))</f>
        <v/>
      </c>
      <c r="I2100" s="1">
        <f>IF(ISNUMBER(B2100),INT(B2100),0)</f>
        <v/>
      </c>
      <c r="J2100">
        <f>IF(ISNUMBER(B2100),YEAR(B2100)*100+MONTH(B2100),"")</f>
        <v/>
      </c>
      <c r="K2100">
        <f>IF(AND(H2100="",OR(F2100="Attended",F2100="No-show",AND(F2100="Late cancel",Settings!$C$9="Yes"))),1,0)</f>
        <v/>
      </c>
      <c r="L2100">
        <f>IF(AND(H2100="",F2100="Attended"),1,0)</f>
        <v/>
      </c>
      <c r="M2100">
        <f>IF(AND(H2100="",OR(F2100="No-show",F2100="Late cancel")),1,0)</f>
        <v/>
      </c>
      <c r="N2100">
        <f>IF(AND(H2100="",F2100="",D2100&lt;&gt;"",I2100&gt;=TODAY()),ROUND((I2100+IF(ISNUMBER(C2100),MOD(C2100,1),0))*1440,0)*10000+ROW(),"")</f>
        <v/>
      </c>
    </row>
    <row r="2101">
      <c r="A2101" s="1" t="n"/>
      <c r="B2101" s="17" t="n"/>
      <c r="C2101" s="18" t="n"/>
      <c r="D2101" s="19" t="n"/>
      <c r="E2101" s="20" t="n"/>
      <c r="F2101" s="20" t="n"/>
      <c r="G2101" s="21" t="n"/>
      <c r="H2101" s="12">
        <f>IF(AND(B2101="",D2101="",F2101=""),"",IF(NOT(ISNUMBER(B2101)),"Needs a date",IF(D2101="","Needs a client",IF(COUNTIF(Clients!$B$6:$B$105,D2101)=0,"Not on Clients",IF(AND(F2101="",INT(B2101)&lt;TODAY()),"Needs a status","")))))</f>
        <v/>
      </c>
      <c r="I2101" s="1">
        <f>IF(ISNUMBER(B2101),INT(B2101),0)</f>
        <v/>
      </c>
      <c r="J2101">
        <f>IF(ISNUMBER(B2101),YEAR(B2101)*100+MONTH(B2101),"")</f>
        <v/>
      </c>
      <c r="K2101">
        <f>IF(AND(H2101="",OR(F2101="Attended",F2101="No-show",AND(F2101="Late cancel",Settings!$C$9="Yes"))),1,0)</f>
        <v/>
      </c>
      <c r="L2101">
        <f>IF(AND(H2101="",F2101="Attended"),1,0)</f>
        <v/>
      </c>
      <c r="M2101">
        <f>IF(AND(H2101="",OR(F2101="No-show",F2101="Late cancel")),1,0)</f>
        <v/>
      </c>
      <c r="N2101">
        <f>IF(AND(H2101="",F2101="",D2101&lt;&gt;"",I2101&gt;=TODAY()),ROUND((I2101+IF(ISNUMBER(C2101),MOD(C2101,1),0))*1440,0)*10000+ROW(),"")</f>
        <v/>
      </c>
    </row>
    <row r="2102">
      <c r="A2102" s="1" t="n"/>
      <c r="B2102" s="17" t="n"/>
      <c r="C2102" s="18" t="n"/>
      <c r="D2102" s="19" t="n"/>
      <c r="E2102" s="20" t="n"/>
      <c r="F2102" s="20" t="n"/>
      <c r="G2102" s="21" t="n"/>
      <c r="H2102" s="12">
        <f>IF(AND(B2102="",D2102="",F2102=""),"",IF(NOT(ISNUMBER(B2102)),"Needs a date",IF(D2102="","Needs a client",IF(COUNTIF(Clients!$B$6:$B$105,D2102)=0,"Not on Clients",IF(AND(F2102="",INT(B2102)&lt;TODAY()),"Needs a status","")))))</f>
        <v/>
      </c>
      <c r="I2102" s="1">
        <f>IF(ISNUMBER(B2102),INT(B2102),0)</f>
        <v/>
      </c>
      <c r="J2102">
        <f>IF(ISNUMBER(B2102),YEAR(B2102)*100+MONTH(B2102),"")</f>
        <v/>
      </c>
      <c r="K2102">
        <f>IF(AND(H2102="",OR(F2102="Attended",F2102="No-show",AND(F2102="Late cancel",Settings!$C$9="Yes"))),1,0)</f>
        <v/>
      </c>
      <c r="L2102">
        <f>IF(AND(H2102="",F2102="Attended"),1,0)</f>
        <v/>
      </c>
      <c r="M2102">
        <f>IF(AND(H2102="",OR(F2102="No-show",F2102="Late cancel")),1,0)</f>
        <v/>
      </c>
      <c r="N2102">
        <f>IF(AND(H2102="",F2102="",D2102&lt;&gt;"",I2102&gt;=TODAY()),ROUND((I2102+IF(ISNUMBER(C2102),MOD(C2102,1),0))*1440,0)*10000+ROW(),"")</f>
        <v/>
      </c>
    </row>
    <row r="2103">
      <c r="A2103" s="1" t="n"/>
      <c r="B2103" s="17" t="n"/>
      <c r="C2103" s="18" t="n"/>
      <c r="D2103" s="19" t="n"/>
      <c r="E2103" s="20" t="n"/>
      <c r="F2103" s="20" t="n"/>
      <c r="G2103" s="21" t="n"/>
      <c r="H2103" s="12">
        <f>IF(AND(B2103="",D2103="",F2103=""),"",IF(NOT(ISNUMBER(B2103)),"Needs a date",IF(D2103="","Needs a client",IF(COUNTIF(Clients!$B$6:$B$105,D2103)=0,"Not on Clients",IF(AND(F2103="",INT(B2103)&lt;TODAY()),"Needs a status","")))))</f>
        <v/>
      </c>
      <c r="I2103" s="1">
        <f>IF(ISNUMBER(B2103),INT(B2103),0)</f>
        <v/>
      </c>
      <c r="J2103">
        <f>IF(ISNUMBER(B2103),YEAR(B2103)*100+MONTH(B2103),"")</f>
        <v/>
      </c>
      <c r="K2103">
        <f>IF(AND(H2103="",OR(F2103="Attended",F2103="No-show",AND(F2103="Late cancel",Settings!$C$9="Yes"))),1,0)</f>
        <v/>
      </c>
      <c r="L2103">
        <f>IF(AND(H2103="",F2103="Attended"),1,0)</f>
        <v/>
      </c>
      <c r="M2103">
        <f>IF(AND(H2103="",OR(F2103="No-show",F2103="Late cancel")),1,0)</f>
        <v/>
      </c>
      <c r="N2103">
        <f>IF(AND(H2103="",F2103="",D2103&lt;&gt;"",I2103&gt;=TODAY()),ROUND((I2103+IF(ISNUMBER(C2103),MOD(C2103,1),0))*1440,0)*10000+ROW(),"")</f>
        <v/>
      </c>
    </row>
    <row r="2104">
      <c r="A2104" s="1" t="n"/>
      <c r="B2104" s="17" t="n"/>
      <c r="C2104" s="18" t="n"/>
      <c r="D2104" s="19" t="n"/>
      <c r="E2104" s="20" t="n"/>
      <c r="F2104" s="20" t="n"/>
      <c r="G2104" s="21" t="n"/>
      <c r="H2104" s="12">
        <f>IF(AND(B2104="",D2104="",F2104=""),"",IF(NOT(ISNUMBER(B2104)),"Needs a date",IF(D2104="","Needs a client",IF(COUNTIF(Clients!$B$6:$B$105,D2104)=0,"Not on Clients",IF(AND(F2104="",INT(B2104)&lt;TODAY()),"Needs a status","")))))</f>
        <v/>
      </c>
      <c r="I2104" s="1">
        <f>IF(ISNUMBER(B2104),INT(B2104),0)</f>
        <v/>
      </c>
      <c r="J2104">
        <f>IF(ISNUMBER(B2104),YEAR(B2104)*100+MONTH(B2104),"")</f>
        <v/>
      </c>
      <c r="K2104">
        <f>IF(AND(H2104="",OR(F2104="Attended",F2104="No-show",AND(F2104="Late cancel",Settings!$C$9="Yes"))),1,0)</f>
        <v/>
      </c>
      <c r="L2104">
        <f>IF(AND(H2104="",F2104="Attended"),1,0)</f>
        <v/>
      </c>
      <c r="M2104">
        <f>IF(AND(H2104="",OR(F2104="No-show",F2104="Late cancel")),1,0)</f>
        <v/>
      </c>
      <c r="N2104">
        <f>IF(AND(H2104="",F2104="",D2104&lt;&gt;"",I2104&gt;=TODAY()),ROUND((I2104+IF(ISNUMBER(C2104),MOD(C2104,1),0))*1440,0)*10000+ROW(),"")</f>
        <v/>
      </c>
    </row>
    <row r="2105">
      <c r="A2105" s="1" t="n"/>
      <c r="B2105" s="17" t="n"/>
      <c r="C2105" s="18" t="n"/>
      <c r="D2105" s="19" t="n"/>
      <c r="E2105" s="20" t="n"/>
      <c r="F2105" s="20" t="n"/>
      <c r="G2105" s="21" t="n"/>
      <c r="H2105" s="12">
        <f>IF(AND(B2105="",D2105="",F2105=""),"",IF(NOT(ISNUMBER(B2105)),"Needs a date",IF(D2105="","Needs a client",IF(COUNTIF(Clients!$B$6:$B$105,D2105)=0,"Not on Clients",IF(AND(F2105="",INT(B2105)&lt;TODAY()),"Needs a status","")))))</f>
        <v/>
      </c>
      <c r="I2105" s="1">
        <f>IF(ISNUMBER(B2105),INT(B2105),0)</f>
        <v/>
      </c>
      <c r="J2105">
        <f>IF(ISNUMBER(B2105),YEAR(B2105)*100+MONTH(B2105),"")</f>
        <v/>
      </c>
      <c r="K2105">
        <f>IF(AND(H2105="",OR(F2105="Attended",F2105="No-show",AND(F2105="Late cancel",Settings!$C$9="Yes"))),1,0)</f>
        <v/>
      </c>
      <c r="L2105">
        <f>IF(AND(H2105="",F2105="Attended"),1,0)</f>
        <v/>
      </c>
      <c r="M2105">
        <f>IF(AND(H2105="",OR(F2105="No-show",F2105="Late cancel")),1,0)</f>
        <v/>
      </c>
      <c r="N2105">
        <f>IF(AND(H2105="",F2105="",D2105&lt;&gt;"",I2105&gt;=TODAY()),ROUND((I2105+IF(ISNUMBER(C2105),MOD(C2105,1),0))*1440,0)*10000+ROW(),"")</f>
        <v/>
      </c>
    </row>
    <row r="2106">
      <c r="A2106" s="1" t="n"/>
      <c r="B2106" s="17" t="n"/>
      <c r="C2106" s="18" t="n"/>
      <c r="D2106" s="19" t="n"/>
      <c r="E2106" s="20" t="n"/>
      <c r="F2106" s="20" t="n"/>
      <c r="G2106" s="21" t="n"/>
      <c r="H2106" s="12">
        <f>IF(AND(B2106="",D2106="",F2106=""),"",IF(NOT(ISNUMBER(B2106)),"Needs a date",IF(D2106="","Needs a client",IF(COUNTIF(Clients!$B$6:$B$105,D2106)=0,"Not on Clients",IF(AND(F2106="",INT(B2106)&lt;TODAY()),"Needs a status","")))))</f>
        <v/>
      </c>
      <c r="I2106" s="1">
        <f>IF(ISNUMBER(B2106),INT(B2106),0)</f>
        <v/>
      </c>
      <c r="J2106">
        <f>IF(ISNUMBER(B2106),YEAR(B2106)*100+MONTH(B2106),"")</f>
        <v/>
      </c>
      <c r="K2106">
        <f>IF(AND(H2106="",OR(F2106="Attended",F2106="No-show",AND(F2106="Late cancel",Settings!$C$9="Yes"))),1,0)</f>
        <v/>
      </c>
      <c r="L2106">
        <f>IF(AND(H2106="",F2106="Attended"),1,0)</f>
        <v/>
      </c>
      <c r="M2106">
        <f>IF(AND(H2106="",OR(F2106="No-show",F2106="Late cancel")),1,0)</f>
        <v/>
      </c>
      <c r="N2106">
        <f>IF(AND(H2106="",F2106="",D2106&lt;&gt;"",I2106&gt;=TODAY()),ROUND((I2106+IF(ISNUMBER(C2106),MOD(C2106,1),0))*1440,0)*10000+ROW(),"")</f>
        <v/>
      </c>
    </row>
    <row r="2107">
      <c r="A2107" s="1" t="n"/>
      <c r="B2107" s="17" t="n"/>
      <c r="C2107" s="18" t="n"/>
      <c r="D2107" s="19" t="n"/>
      <c r="E2107" s="20" t="n"/>
      <c r="F2107" s="20" t="n"/>
      <c r="G2107" s="21" t="n"/>
      <c r="H2107" s="12">
        <f>IF(AND(B2107="",D2107="",F2107=""),"",IF(NOT(ISNUMBER(B2107)),"Needs a date",IF(D2107="","Needs a client",IF(COUNTIF(Clients!$B$6:$B$105,D2107)=0,"Not on Clients",IF(AND(F2107="",INT(B2107)&lt;TODAY()),"Needs a status","")))))</f>
        <v/>
      </c>
      <c r="I2107" s="1">
        <f>IF(ISNUMBER(B2107),INT(B2107),0)</f>
        <v/>
      </c>
      <c r="J2107">
        <f>IF(ISNUMBER(B2107),YEAR(B2107)*100+MONTH(B2107),"")</f>
        <v/>
      </c>
      <c r="K2107">
        <f>IF(AND(H2107="",OR(F2107="Attended",F2107="No-show",AND(F2107="Late cancel",Settings!$C$9="Yes"))),1,0)</f>
        <v/>
      </c>
      <c r="L2107">
        <f>IF(AND(H2107="",F2107="Attended"),1,0)</f>
        <v/>
      </c>
      <c r="M2107">
        <f>IF(AND(H2107="",OR(F2107="No-show",F2107="Late cancel")),1,0)</f>
        <v/>
      </c>
      <c r="N2107">
        <f>IF(AND(H2107="",F2107="",D2107&lt;&gt;"",I2107&gt;=TODAY()),ROUND((I2107+IF(ISNUMBER(C2107),MOD(C2107,1),0))*1440,0)*10000+ROW(),"")</f>
        <v/>
      </c>
    </row>
    <row r="2108">
      <c r="A2108" s="1" t="n"/>
      <c r="B2108" s="17" t="n"/>
      <c r="C2108" s="18" t="n"/>
      <c r="D2108" s="19" t="n"/>
      <c r="E2108" s="20" t="n"/>
      <c r="F2108" s="20" t="n"/>
      <c r="G2108" s="21" t="n"/>
      <c r="H2108" s="12">
        <f>IF(AND(B2108="",D2108="",F2108=""),"",IF(NOT(ISNUMBER(B2108)),"Needs a date",IF(D2108="","Needs a client",IF(COUNTIF(Clients!$B$6:$B$105,D2108)=0,"Not on Clients",IF(AND(F2108="",INT(B2108)&lt;TODAY()),"Needs a status","")))))</f>
        <v/>
      </c>
      <c r="I2108" s="1">
        <f>IF(ISNUMBER(B2108),INT(B2108),0)</f>
        <v/>
      </c>
      <c r="J2108">
        <f>IF(ISNUMBER(B2108),YEAR(B2108)*100+MONTH(B2108),"")</f>
        <v/>
      </c>
      <c r="K2108">
        <f>IF(AND(H2108="",OR(F2108="Attended",F2108="No-show",AND(F2108="Late cancel",Settings!$C$9="Yes"))),1,0)</f>
        <v/>
      </c>
      <c r="L2108">
        <f>IF(AND(H2108="",F2108="Attended"),1,0)</f>
        <v/>
      </c>
      <c r="M2108">
        <f>IF(AND(H2108="",OR(F2108="No-show",F2108="Late cancel")),1,0)</f>
        <v/>
      </c>
      <c r="N2108">
        <f>IF(AND(H2108="",F2108="",D2108&lt;&gt;"",I2108&gt;=TODAY()),ROUND((I2108+IF(ISNUMBER(C2108),MOD(C2108,1),0))*1440,0)*10000+ROW(),"")</f>
        <v/>
      </c>
    </row>
    <row r="2109">
      <c r="A2109" s="1" t="n"/>
      <c r="B2109" s="17" t="n"/>
      <c r="C2109" s="18" t="n"/>
      <c r="D2109" s="19" t="n"/>
      <c r="E2109" s="20" t="n"/>
      <c r="F2109" s="20" t="n"/>
      <c r="G2109" s="21" t="n"/>
      <c r="H2109" s="12">
        <f>IF(AND(B2109="",D2109="",F2109=""),"",IF(NOT(ISNUMBER(B2109)),"Needs a date",IF(D2109="","Needs a client",IF(COUNTIF(Clients!$B$6:$B$105,D2109)=0,"Not on Clients",IF(AND(F2109="",INT(B2109)&lt;TODAY()),"Needs a status","")))))</f>
        <v/>
      </c>
      <c r="I2109" s="1">
        <f>IF(ISNUMBER(B2109),INT(B2109),0)</f>
        <v/>
      </c>
      <c r="J2109">
        <f>IF(ISNUMBER(B2109),YEAR(B2109)*100+MONTH(B2109),"")</f>
        <v/>
      </c>
      <c r="K2109">
        <f>IF(AND(H2109="",OR(F2109="Attended",F2109="No-show",AND(F2109="Late cancel",Settings!$C$9="Yes"))),1,0)</f>
        <v/>
      </c>
      <c r="L2109">
        <f>IF(AND(H2109="",F2109="Attended"),1,0)</f>
        <v/>
      </c>
      <c r="M2109">
        <f>IF(AND(H2109="",OR(F2109="No-show",F2109="Late cancel")),1,0)</f>
        <v/>
      </c>
      <c r="N2109">
        <f>IF(AND(H2109="",F2109="",D2109&lt;&gt;"",I2109&gt;=TODAY()),ROUND((I2109+IF(ISNUMBER(C2109),MOD(C2109,1),0))*1440,0)*10000+ROW(),"")</f>
        <v/>
      </c>
    </row>
    <row r="2110">
      <c r="A2110" s="1" t="n"/>
      <c r="B2110" s="17" t="n"/>
      <c r="C2110" s="18" t="n"/>
      <c r="D2110" s="19" t="n"/>
      <c r="E2110" s="20" t="n"/>
      <c r="F2110" s="20" t="n"/>
      <c r="G2110" s="21" t="n"/>
      <c r="H2110" s="12">
        <f>IF(AND(B2110="",D2110="",F2110=""),"",IF(NOT(ISNUMBER(B2110)),"Needs a date",IF(D2110="","Needs a client",IF(COUNTIF(Clients!$B$6:$B$105,D2110)=0,"Not on Clients",IF(AND(F2110="",INT(B2110)&lt;TODAY()),"Needs a status","")))))</f>
        <v/>
      </c>
      <c r="I2110" s="1">
        <f>IF(ISNUMBER(B2110),INT(B2110),0)</f>
        <v/>
      </c>
      <c r="J2110">
        <f>IF(ISNUMBER(B2110),YEAR(B2110)*100+MONTH(B2110),"")</f>
        <v/>
      </c>
      <c r="K2110">
        <f>IF(AND(H2110="",OR(F2110="Attended",F2110="No-show",AND(F2110="Late cancel",Settings!$C$9="Yes"))),1,0)</f>
        <v/>
      </c>
      <c r="L2110">
        <f>IF(AND(H2110="",F2110="Attended"),1,0)</f>
        <v/>
      </c>
      <c r="M2110">
        <f>IF(AND(H2110="",OR(F2110="No-show",F2110="Late cancel")),1,0)</f>
        <v/>
      </c>
      <c r="N2110">
        <f>IF(AND(H2110="",F2110="",D2110&lt;&gt;"",I2110&gt;=TODAY()),ROUND((I2110+IF(ISNUMBER(C2110),MOD(C2110,1),0))*1440,0)*10000+ROW(),"")</f>
        <v/>
      </c>
    </row>
    <row r="2111">
      <c r="A2111" s="1" t="n"/>
      <c r="B2111" s="17" t="n"/>
      <c r="C2111" s="18" t="n"/>
      <c r="D2111" s="19" t="n"/>
      <c r="E2111" s="20" t="n"/>
      <c r="F2111" s="20" t="n"/>
      <c r="G2111" s="21" t="n"/>
      <c r="H2111" s="12">
        <f>IF(AND(B2111="",D2111="",F2111=""),"",IF(NOT(ISNUMBER(B2111)),"Needs a date",IF(D2111="","Needs a client",IF(COUNTIF(Clients!$B$6:$B$105,D2111)=0,"Not on Clients",IF(AND(F2111="",INT(B2111)&lt;TODAY()),"Needs a status","")))))</f>
        <v/>
      </c>
      <c r="I2111" s="1">
        <f>IF(ISNUMBER(B2111),INT(B2111),0)</f>
        <v/>
      </c>
      <c r="J2111">
        <f>IF(ISNUMBER(B2111),YEAR(B2111)*100+MONTH(B2111),"")</f>
        <v/>
      </c>
      <c r="K2111">
        <f>IF(AND(H2111="",OR(F2111="Attended",F2111="No-show",AND(F2111="Late cancel",Settings!$C$9="Yes"))),1,0)</f>
        <v/>
      </c>
      <c r="L2111">
        <f>IF(AND(H2111="",F2111="Attended"),1,0)</f>
        <v/>
      </c>
      <c r="M2111">
        <f>IF(AND(H2111="",OR(F2111="No-show",F2111="Late cancel")),1,0)</f>
        <v/>
      </c>
      <c r="N2111">
        <f>IF(AND(H2111="",F2111="",D2111&lt;&gt;"",I2111&gt;=TODAY()),ROUND((I2111+IF(ISNUMBER(C2111),MOD(C2111,1),0))*1440,0)*10000+ROW(),"")</f>
        <v/>
      </c>
    </row>
    <row r="2112">
      <c r="A2112" s="1" t="n"/>
      <c r="B2112" s="17" t="n"/>
      <c r="C2112" s="18" t="n"/>
      <c r="D2112" s="19" t="n"/>
      <c r="E2112" s="20" t="n"/>
      <c r="F2112" s="20" t="n"/>
      <c r="G2112" s="21" t="n"/>
      <c r="H2112" s="12">
        <f>IF(AND(B2112="",D2112="",F2112=""),"",IF(NOT(ISNUMBER(B2112)),"Needs a date",IF(D2112="","Needs a client",IF(COUNTIF(Clients!$B$6:$B$105,D2112)=0,"Not on Clients",IF(AND(F2112="",INT(B2112)&lt;TODAY()),"Needs a status","")))))</f>
        <v/>
      </c>
      <c r="I2112" s="1">
        <f>IF(ISNUMBER(B2112),INT(B2112),0)</f>
        <v/>
      </c>
      <c r="J2112">
        <f>IF(ISNUMBER(B2112),YEAR(B2112)*100+MONTH(B2112),"")</f>
        <v/>
      </c>
      <c r="K2112">
        <f>IF(AND(H2112="",OR(F2112="Attended",F2112="No-show",AND(F2112="Late cancel",Settings!$C$9="Yes"))),1,0)</f>
        <v/>
      </c>
      <c r="L2112">
        <f>IF(AND(H2112="",F2112="Attended"),1,0)</f>
        <v/>
      </c>
      <c r="M2112">
        <f>IF(AND(H2112="",OR(F2112="No-show",F2112="Late cancel")),1,0)</f>
        <v/>
      </c>
      <c r="N2112">
        <f>IF(AND(H2112="",F2112="",D2112&lt;&gt;"",I2112&gt;=TODAY()),ROUND((I2112+IF(ISNUMBER(C2112),MOD(C2112,1),0))*1440,0)*10000+ROW(),"")</f>
        <v/>
      </c>
    </row>
    <row r="2113">
      <c r="A2113" s="1" t="n"/>
      <c r="B2113" s="17" t="n"/>
      <c r="C2113" s="18" t="n"/>
      <c r="D2113" s="19" t="n"/>
      <c r="E2113" s="20" t="n"/>
      <c r="F2113" s="20" t="n"/>
      <c r="G2113" s="21" t="n"/>
      <c r="H2113" s="12">
        <f>IF(AND(B2113="",D2113="",F2113=""),"",IF(NOT(ISNUMBER(B2113)),"Needs a date",IF(D2113="","Needs a client",IF(COUNTIF(Clients!$B$6:$B$105,D2113)=0,"Not on Clients",IF(AND(F2113="",INT(B2113)&lt;TODAY()),"Needs a status","")))))</f>
        <v/>
      </c>
      <c r="I2113" s="1">
        <f>IF(ISNUMBER(B2113),INT(B2113),0)</f>
        <v/>
      </c>
      <c r="J2113">
        <f>IF(ISNUMBER(B2113),YEAR(B2113)*100+MONTH(B2113),"")</f>
        <v/>
      </c>
      <c r="K2113">
        <f>IF(AND(H2113="",OR(F2113="Attended",F2113="No-show",AND(F2113="Late cancel",Settings!$C$9="Yes"))),1,0)</f>
        <v/>
      </c>
      <c r="L2113">
        <f>IF(AND(H2113="",F2113="Attended"),1,0)</f>
        <v/>
      </c>
      <c r="M2113">
        <f>IF(AND(H2113="",OR(F2113="No-show",F2113="Late cancel")),1,0)</f>
        <v/>
      </c>
      <c r="N2113">
        <f>IF(AND(H2113="",F2113="",D2113&lt;&gt;"",I2113&gt;=TODAY()),ROUND((I2113+IF(ISNUMBER(C2113),MOD(C2113,1),0))*1440,0)*10000+ROW(),"")</f>
        <v/>
      </c>
    </row>
    <row r="2114">
      <c r="A2114" s="1" t="n"/>
      <c r="B2114" s="17" t="n"/>
      <c r="C2114" s="18" t="n"/>
      <c r="D2114" s="19" t="n"/>
      <c r="E2114" s="20" t="n"/>
      <c r="F2114" s="20" t="n"/>
      <c r="G2114" s="21" t="n"/>
      <c r="H2114" s="12">
        <f>IF(AND(B2114="",D2114="",F2114=""),"",IF(NOT(ISNUMBER(B2114)),"Needs a date",IF(D2114="","Needs a client",IF(COUNTIF(Clients!$B$6:$B$105,D2114)=0,"Not on Clients",IF(AND(F2114="",INT(B2114)&lt;TODAY()),"Needs a status","")))))</f>
        <v/>
      </c>
      <c r="I2114" s="1">
        <f>IF(ISNUMBER(B2114),INT(B2114),0)</f>
        <v/>
      </c>
      <c r="J2114">
        <f>IF(ISNUMBER(B2114),YEAR(B2114)*100+MONTH(B2114),"")</f>
        <v/>
      </c>
      <c r="K2114">
        <f>IF(AND(H2114="",OR(F2114="Attended",F2114="No-show",AND(F2114="Late cancel",Settings!$C$9="Yes"))),1,0)</f>
        <v/>
      </c>
      <c r="L2114">
        <f>IF(AND(H2114="",F2114="Attended"),1,0)</f>
        <v/>
      </c>
      <c r="M2114">
        <f>IF(AND(H2114="",OR(F2114="No-show",F2114="Late cancel")),1,0)</f>
        <v/>
      </c>
      <c r="N2114">
        <f>IF(AND(H2114="",F2114="",D2114&lt;&gt;"",I2114&gt;=TODAY()),ROUND((I2114+IF(ISNUMBER(C2114),MOD(C2114,1),0))*1440,0)*10000+ROW(),"")</f>
        <v/>
      </c>
    </row>
    <row r="2115">
      <c r="A2115" s="1" t="n"/>
      <c r="B2115" s="17" t="n"/>
      <c r="C2115" s="18" t="n"/>
      <c r="D2115" s="19" t="n"/>
      <c r="E2115" s="20" t="n"/>
      <c r="F2115" s="20" t="n"/>
      <c r="G2115" s="21" t="n"/>
      <c r="H2115" s="12">
        <f>IF(AND(B2115="",D2115="",F2115=""),"",IF(NOT(ISNUMBER(B2115)),"Needs a date",IF(D2115="","Needs a client",IF(COUNTIF(Clients!$B$6:$B$105,D2115)=0,"Not on Clients",IF(AND(F2115="",INT(B2115)&lt;TODAY()),"Needs a status","")))))</f>
        <v/>
      </c>
      <c r="I2115" s="1">
        <f>IF(ISNUMBER(B2115),INT(B2115),0)</f>
        <v/>
      </c>
      <c r="J2115">
        <f>IF(ISNUMBER(B2115),YEAR(B2115)*100+MONTH(B2115),"")</f>
        <v/>
      </c>
      <c r="K2115">
        <f>IF(AND(H2115="",OR(F2115="Attended",F2115="No-show",AND(F2115="Late cancel",Settings!$C$9="Yes"))),1,0)</f>
        <v/>
      </c>
      <c r="L2115">
        <f>IF(AND(H2115="",F2115="Attended"),1,0)</f>
        <v/>
      </c>
      <c r="M2115">
        <f>IF(AND(H2115="",OR(F2115="No-show",F2115="Late cancel")),1,0)</f>
        <v/>
      </c>
      <c r="N2115">
        <f>IF(AND(H2115="",F2115="",D2115&lt;&gt;"",I2115&gt;=TODAY()),ROUND((I2115+IF(ISNUMBER(C2115),MOD(C2115,1),0))*1440,0)*10000+ROW(),"")</f>
        <v/>
      </c>
    </row>
    <row r="2116">
      <c r="A2116" s="1" t="n"/>
      <c r="B2116" s="17" t="n"/>
      <c r="C2116" s="18" t="n"/>
      <c r="D2116" s="19" t="n"/>
      <c r="E2116" s="20" t="n"/>
      <c r="F2116" s="20" t="n"/>
      <c r="G2116" s="21" t="n"/>
      <c r="H2116" s="12">
        <f>IF(AND(B2116="",D2116="",F2116=""),"",IF(NOT(ISNUMBER(B2116)),"Needs a date",IF(D2116="","Needs a client",IF(COUNTIF(Clients!$B$6:$B$105,D2116)=0,"Not on Clients",IF(AND(F2116="",INT(B2116)&lt;TODAY()),"Needs a status","")))))</f>
        <v/>
      </c>
      <c r="I2116" s="1">
        <f>IF(ISNUMBER(B2116),INT(B2116),0)</f>
        <v/>
      </c>
      <c r="J2116">
        <f>IF(ISNUMBER(B2116),YEAR(B2116)*100+MONTH(B2116),"")</f>
        <v/>
      </c>
      <c r="K2116">
        <f>IF(AND(H2116="",OR(F2116="Attended",F2116="No-show",AND(F2116="Late cancel",Settings!$C$9="Yes"))),1,0)</f>
        <v/>
      </c>
      <c r="L2116">
        <f>IF(AND(H2116="",F2116="Attended"),1,0)</f>
        <v/>
      </c>
      <c r="M2116">
        <f>IF(AND(H2116="",OR(F2116="No-show",F2116="Late cancel")),1,0)</f>
        <v/>
      </c>
      <c r="N2116">
        <f>IF(AND(H2116="",F2116="",D2116&lt;&gt;"",I2116&gt;=TODAY()),ROUND((I2116+IF(ISNUMBER(C2116),MOD(C2116,1),0))*1440,0)*10000+ROW(),"")</f>
        <v/>
      </c>
    </row>
    <row r="2117">
      <c r="A2117" s="1" t="n"/>
      <c r="B2117" s="17" t="n"/>
      <c r="C2117" s="18" t="n"/>
      <c r="D2117" s="19" t="n"/>
      <c r="E2117" s="20" t="n"/>
      <c r="F2117" s="20" t="n"/>
      <c r="G2117" s="21" t="n"/>
      <c r="H2117" s="12">
        <f>IF(AND(B2117="",D2117="",F2117=""),"",IF(NOT(ISNUMBER(B2117)),"Needs a date",IF(D2117="","Needs a client",IF(COUNTIF(Clients!$B$6:$B$105,D2117)=0,"Not on Clients",IF(AND(F2117="",INT(B2117)&lt;TODAY()),"Needs a status","")))))</f>
        <v/>
      </c>
      <c r="I2117" s="1">
        <f>IF(ISNUMBER(B2117),INT(B2117),0)</f>
        <v/>
      </c>
      <c r="J2117">
        <f>IF(ISNUMBER(B2117),YEAR(B2117)*100+MONTH(B2117),"")</f>
        <v/>
      </c>
      <c r="K2117">
        <f>IF(AND(H2117="",OR(F2117="Attended",F2117="No-show",AND(F2117="Late cancel",Settings!$C$9="Yes"))),1,0)</f>
        <v/>
      </c>
      <c r="L2117">
        <f>IF(AND(H2117="",F2117="Attended"),1,0)</f>
        <v/>
      </c>
      <c r="M2117">
        <f>IF(AND(H2117="",OR(F2117="No-show",F2117="Late cancel")),1,0)</f>
        <v/>
      </c>
      <c r="N2117">
        <f>IF(AND(H2117="",F2117="",D2117&lt;&gt;"",I2117&gt;=TODAY()),ROUND((I2117+IF(ISNUMBER(C2117),MOD(C2117,1),0))*1440,0)*10000+ROW(),"")</f>
        <v/>
      </c>
    </row>
    <row r="2118">
      <c r="A2118" s="1" t="n"/>
      <c r="B2118" s="17" t="n"/>
      <c r="C2118" s="18" t="n"/>
      <c r="D2118" s="19" t="n"/>
      <c r="E2118" s="20" t="n"/>
      <c r="F2118" s="20" t="n"/>
      <c r="G2118" s="21" t="n"/>
      <c r="H2118" s="12">
        <f>IF(AND(B2118="",D2118="",F2118=""),"",IF(NOT(ISNUMBER(B2118)),"Needs a date",IF(D2118="","Needs a client",IF(COUNTIF(Clients!$B$6:$B$105,D2118)=0,"Not on Clients",IF(AND(F2118="",INT(B2118)&lt;TODAY()),"Needs a status","")))))</f>
        <v/>
      </c>
      <c r="I2118" s="1">
        <f>IF(ISNUMBER(B2118),INT(B2118),0)</f>
        <v/>
      </c>
      <c r="J2118">
        <f>IF(ISNUMBER(B2118),YEAR(B2118)*100+MONTH(B2118),"")</f>
        <v/>
      </c>
      <c r="K2118">
        <f>IF(AND(H2118="",OR(F2118="Attended",F2118="No-show",AND(F2118="Late cancel",Settings!$C$9="Yes"))),1,0)</f>
        <v/>
      </c>
      <c r="L2118">
        <f>IF(AND(H2118="",F2118="Attended"),1,0)</f>
        <v/>
      </c>
      <c r="M2118">
        <f>IF(AND(H2118="",OR(F2118="No-show",F2118="Late cancel")),1,0)</f>
        <v/>
      </c>
      <c r="N2118">
        <f>IF(AND(H2118="",F2118="",D2118&lt;&gt;"",I2118&gt;=TODAY()),ROUND((I2118+IF(ISNUMBER(C2118),MOD(C2118,1),0))*1440,0)*10000+ROW(),"")</f>
        <v/>
      </c>
    </row>
    <row r="2119">
      <c r="A2119" s="1" t="n"/>
      <c r="B2119" s="17" t="n"/>
      <c r="C2119" s="18" t="n"/>
      <c r="D2119" s="19" t="n"/>
      <c r="E2119" s="20" t="n"/>
      <c r="F2119" s="20" t="n"/>
      <c r="G2119" s="21" t="n"/>
      <c r="H2119" s="12">
        <f>IF(AND(B2119="",D2119="",F2119=""),"",IF(NOT(ISNUMBER(B2119)),"Needs a date",IF(D2119="","Needs a client",IF(COUNTIF(Clients!$B$6:$B$105,D2119)=0,"Not on Clients",IF(AND(F2119="",INT(B2119)&lt;TODAY()),"Needs a status","")))))</f>
        <v/>
      </c>
      <c r="I2119" s="1">
        <f>IF(ISNUMBER(B2119),INT(B2119),0)</f>
        <v/>
      </c>
      <c r="J2119">
        <f>IF(ISNUMBER(B2119),YEAR(B2119)*100+MONTH(B2119),"")</f>
        <v/>
      </c>
      <c r="K2119">
        <f>IF(AND(H2119="",OR(F2119="Attended",F2119="No-show",AND(F2119="Late cancel",Settings!$C$9="Yes"))),1,0)</f>
        <v/>
      </c>
      <c r="L2119">
        <f>IF(AND(H2119="",F2119="Attended"),1,0)</f>
        <v/>
      </c>
      <c r="M2119">
        <f>IF(AND(H2119="",OR(F2119="No-show",F2119="Late cancel")),1,0)</f>
        <v/>
      </c>
      <c r="N2119">
        <f>IF(AND(H2119="",F2119="",D2119&lt;&gt;"",I2119&gt;=TODAY()),ROUND((I2119+IF(ISNUMBER(C2119),MOD(C2119,1),0))*1440,0)*10000+ROW(),"")</f>
        <v/>
      </c>
    </row>
    <row r="2120">
      <c r="A2120" s="1" t="n"/>
      <c r="B2120" s="17" t="n"/>
      <c r="C2120" s="18" t="n"/>
      <c r="D2120" s="19" t="n"/>
      <c r="E2120" s="20" t="n"/>
      <c r="F2120" s="20" t="n"/>
      <c r="G2120" s="21" t="n"/>
      <c r="H2120" s="12">
        <f>IF(AND(B2120="",D2120="",F2120=""),"",IF(NOT(ISNUMBER(B2120)),"Needs a date",IF(D2120="","Needs a client",IF(COUNTIF(Clients!$B$6:$B$105,D2120)=0,"Not on Clients",IF(AND(F2120="",INT(B2120)&lt;TODAY()),"Needs a status","")))))</f>
        <v/>
      </c>
      <c r="I2120" s="1">
        <f>IF(ISNUMBER(B2120),INT(B2120),0)</f>
        <v/>
      </c>
      <c r="J2120">
        <f>IF(ISNUMBER(B2120),YEAR(B2120)*100+MONTH(B2120),"")</f>
        <v/>
      </c>
      <c r="K2120">
        <f>IF(AND(H2120="",OR(F2120="Attended",F2120="No-show",AND(F2120="Late cancel",Settings!$C$9="Yes"))),1,0)</f>
        <v/>
      </c>
      <c r="L2120">
        <f>IF(AND(H2120="",F2120="Attended"),1,0)</f>
        <v/>
      </c>
      <c r="M2120">
        <f>IF(AND(H2120="",OR(F2120="No-show",F2120="Late cancel")),1,0)</f>
        <v/>
      </c>
      <c r="N2120">
        <f>IF(AND(H2120="",F2120="",D2120&lt;&gt;"",I2120&gt;=TODAY()),ROUND((I2120+IF(ISNUMBER(C2120),MOD(C2120,1),0))*1440,0)*10000+ROW(),"")</f>
        <v/>
      </c>
    </row>
    <row r="2121">
      <c r="A2121" s="1" t="n"/>
      <c r="B2121" s="17" t="n"/>
      <c r="C2121" s="18" t="n"/>
      <c r="D2121" s="19" t="n"/>
      <c r="E2121" s="20" t="n"/>
      <c r="F2121" s="20" t="n"/>
      <c r="G2121" s="21" t="n"/>
      <c r="H2121" s="12">
        <f>IF(AND(B2121="",D2121="",F2121=""),"",IF(NOT(ISNUMBER(B2121)),"Needs a date",IF(D2121="","Needs a client",IF(COUNTIF(Clients!$B$6:$B$105,D2121)=0,"Not on Clients",IF(AND(F2121="",INT(B2121)&lt;TODAY()),"Needs a status","")))))</f>
        <v/>
      </c>
      <c r="I2121" s="1">
        <f>IF(ISNUMBER(B2121),INT(B2121),0)</f>
        <v/>
      </c>
      <c r="J2121">
        <f>IF(ISNUMBER(B2121),YEAR(B2121)*100+MONTH(B2121),"")</f>
        <v/>
      </c>
      <c r="K2121">
        <f>IF(AND(H2121="",OR(F2121="Attended",F2121="No-show",AND(F2121="Late cancel",Settings!$C$9="Yes"))),1,0)</f>
        <v/>
      </c>
      <c r="L2121">
        <f>IF(AND(H2121="",F2121="Attended"),1,0)</f>
        <v/>
      </c>
      <c r="M2121">
        <f>IF(AND(H2121="",OR(F2121="No-show",F2121="Late cancel")),1,0)</f>
        <v/>
      </c>
      <c r="N2121">
        <f>IF(AND(H2121="",F2121="",D2121&lt;&gt;"",I2121&gt;=TODAY()),ROUND((I2121+IF(ISNUMBER(C2121),MOD(C2121,1),0))*1440,0)*10000+ROW(),"")</f>
        <v/>
      </c>
    </row>
    <row r="2122">
      <c r="A2122" s="1" t="n"/>
      <c r="B2122" s="17" t="n"/>
      <c r="C2122" s="18" t="n"/>
      <c r="D2122" s="19" t="n"/>
      <c r="E2122" s="20" t="n"/>
      <c r="F2122" s="20" t="n"/>
      <c r="G2122" s="21" t="n"/>
      <c r="H2122" s="12">
        <f>IF(AND(B2122="",D2122="",F2122=""),"",IF(NOT(ISNUMBER(B2122)),"Needs a date",IF(D2122="","Needs a client",IF(COUNTIF(Clients!$B$6:$B$105,D2122)=0,"Not on Clients",IF(AND(F2122="",INT(B2122)&lt;TODAY()),"Needs a status","")))))</f>
        <v/>
      </c>
      <c r="I2122" s="1">
        <f>IF(ISNUMBER(B2122),INT(B2122),0)</f>
        <v/>
      </c>
      <c r="J2122">
        <f>IF(ISNUMBER(B2122),YEAR(B2122)*100+MONTH(B2122),"")</f>
        <v/>
      </c>
      <c r="K2122">
        <f>IF(AND(H2122="",OR(F2122="Attended",F2122="No-show",AND(F2122="Late cancel",Settings!$C$9="Yes"))),1,0)</f>
        <v/>
      </c>
      <c r="L2122">
        <f>IF(AND(H2122="",F2122="Attended"),1,0)</f>
        <v/>
      </c>
      <c r="M2122">
        <f>IF(AND(H2122="",OR(F2122="No-show",F2122="Late cancel")),1,0)</f>
        <v/>
      </c>
      <c r="N2122">
        <f>IF(AND(H2122="",F2122="",D2122&lt;&gt;"",I2122&gt;=TODAY()),ROUND((I2122+IF(ISNUMBER(C2122),MOD(C2122,1),0))*1440,0)*10000+ROW(),"")</f>
        <v/>
      </c>
    </row>
    <row r="2123">
      <c r="A2123" s="1" t="n"/>
      <c r="B2123" s="17" t="n"/>
      <c r="C2123" s="18" t="n"/>
      <c r="D2123" s="19" t="n"/>
      <c r="E2123" s="20" t="n"/>
      <c r="F2123" s="20" t="n"/>
      <c r="G2123" s="21" t="n"/>
      <c r="H2123" s="12">
        <f>IF(AND(B2123="",D2123="",F2123=""),"",IF(NOT(ISNUMBER(B2123)),"Needs a date",IF(D2123="","Needs a client",IF(COUNTIF(Clients!$B$6:$B$105,D2123)=0,"Not on Clients",IF(AND(F2123="",INT(B2123)&lt;TODAY()),"Needs a status","")))))</f>
        <v/>
      </c>
      <c r="I2123" s="1">
        <f>IF(ISNUMBER(B2123),INT(B2123),0)</f>
        <v/>
      </c>
      <c r="J2123">
        <f>IF(ISNUMBER(B2123),YEAR(B2123)*100+MONTH(B2123),"")</f>
        <v/>
      </c>
      <c r="K2123">
        <f>IF(AND(H2123="",OR(F2123="Attended",F2123="No-show",AND(F2123="Late cancel",Settings!$C$9="Yes"))),1,0)</f>
        <v/>
      </c>
      <c r="L2123">
        <f>IF(AND(H2123="",F2123="Attended"),1,0)</f>
        <v/>
      </c>
      <c r="M2123">
        <f>IF(AND(H2123="",OR(F2123="No-show",F2123="Late cancel")),1,0)</f>
        <v/>
      </c>
      <c r="N2123">
        <f>IF(AND(H2123="",F2123="",D2123&lt;&gt;"",I2123&gt;=TODAY()),ROUND((I2123+IF(ISNUMBER(C2123),MOD(C2123,1),0))*1440,0)*10000+ROW(),"")</f>
        <v/>
      </c>
    </row>
    <row r="2124">
      <c r="A2124" s="1" t="n"/>
      <c r="B2124" s="17" t="n"/>
      <c r="C2124" s="18" t="n"/>
      <c r="D2124" s="19" t="n"/>
      <c r="E2124" s="20" t="n"/>
      <c r="F2124" s="20" t="n"/>
      <c r="G2124" s="21" t="n"/>
      <c r="H2124" s="12">
        <f>IF(AND(B2124="",D2124="",F2124=""),"",IF(NOT(ISNUMBER(B2124)),"Needs a date",IF(D2124="","Needs a client",IF(COUNTIF(Clients!$B$6:$B$105,D2124)=0,"Not on Clients",IF(AND(F2124="",INT(B2124)&lt;TODAY()),"Needs a status","")))))</f>
        <v/>
      </c>
      <c r="I2124" s="1">
        <f>IF(ISNUMBER(B2124),INT(B2124),0)</f>
        <v/>
      </c>
      <c r="J2124">
        <f>IF(ISNUMBER(B2124),YEAR(B2124)*100+MONTH(B2124),"")</f>
        <v/>
      </c>
      <c r="K2124">
        <f>IF(AND(H2124="",OR(F2124="Attended",F2124="No-show",AND(F2124="Late cancel",Settings!$C$9="Yes"))),1,0)</f>
        <v/>
      </c>
      <c r="L2124">
        <f>IF(AND(H2124="",F2124="Attended"),1,0)</f>
        <v/>
      </c>
      <c r="M2124">
        <f>IF(AND(H2124="",OR(F2124="No-show",F2124="Late cancel")),1,0)</f>
        <v/>
      </c>
      <c r="N2124">
        <f>IF(AND(H2124="",F2124="",D2124&lt;&gt;"",I2124&gt;=TODAY()),ROUND((I2124+IF(ISNUMBER(C2124),MOD(C2124,1),0))*1440,0)*10000+ROW(),"")</f>
        <v/>
      </c>
    </row>
    <row r="2125">
      <c r="A2125" s="1" t="n"/>
      <c r="B2125" s="17" t="n"/>
      <c r="C2125" s="18" t="n"/>
      <c r="D2125" s="19" t="n"/>
      <c r="E2125" s="20" t="n"/>
      <c r="F2125" s="20" t="n"/>
      <c r="G2125" s="21" t="n"/>
      <c r="H2125" s="12">
        <f>IF(AND(B2125="",D2125="",F2125=""),"",IF(NOT(ISNUMBER(B2125)),"Needs a date",IF(D2125="","Needs a client",IF(COUNTIF(Clients!$B$6:$B$105,D2125)=0,"Not on Clients",IF(AND(F2125="",INT(B2125)&lt;TODAY()),"Needs a status","")))))</f>
        <v/>
      </c>
      <c r="I2125" s="1">
        <f>IF(ISNUMBER(B2125),INT(B2125),0)</f>
        <v/>
      </c>
      <c r="J2125">
        <f>IF(ISNUMBER(B2125),YEAR(B2125)*100+MONTH(B2125),"")</f>
        <v/>
      </c>
      <c r="K2125">
        <f>IF(AND(H2125="",OR(F2125="Attended",F2125="No-show",AND(F2125="Late cancel",Settings!$C$9="Yes"))),1,0)</f>
        <v/>
      </c>
      <c r="L2125">
        <f>IF(AND(H2125="",F2125="Attended"),1,0)</f>
        <v/>
      </c>
      <c r="M2125">
        <f>IF(AND(H2125="",OR(F2125="No-show",F2125="Late cancel")),1,0)</f>
        <v/>
      </c>
      <c r="N2125">
        <f>IF(AND(H2125="",F2125="",D2125&lt;&gt;"",I2125&gt;=TODAY()),ROUND((I2125+IF(ISNUMBER(C2125),MOD(C2125,1),0))*1440,0)*10000+ROW(),"")</f>
        <v/>
      </c>
    </row>
    <row r="2126">
      <c r="A2126" s="1" t="n"/>
      <c r="B2126" s="17" t="n"/>
      <c r="C2126" s="18" t="n"/>
      <c r="D2126" s="19" t="n"/>
      <c r="E2126" s="20" t="n"/>
      <c r="F2126" s="20" t="n"/>
      <c r="G2126" s="21" t="n"/>
      <c r="H2126" s="12">
        <f>IF(AND(B2126="",D2126="",F2126=""),"",IF(NOT(ISNUMBER(B2126)),"Needs a date",IF(D2126="","Needs a client",IF(COUNTIF(Clients!$B$6:$B$105,D2126)=0,"Not on Clients",IF(AND(F2126="",INT(B2126)&lt;TODAY()),"Needs a status","")))))</f>
        <v/>
      </c>
      <c r="I2126" s="1">
        <f>IF(ISNUMBER(B2126),INT(B2126),0)</f>
        <v/>
      </c>
      <c r="J2126">
        <f>IF(ISNUMBER(B2126),YEAR(B2126)*100+MONTH(B2126),"")</f>
        <v/>
      </c>
      <c r="K2126">
        <f>IF(AND(H2126="",OR(F2126="Attended",F2126="No-show",AND(F2126="Late cancel",Settings!$C$9="Yes"))),1,0)</f>
        <v/>
      </c>
      <c r="L2126">
        <f>IF(AND(H2126="",F2126="Attended"),1,0)</f>
        <v/>
      </c>
      <c r="M2126">
        <f>IF(AND(H2126="",OR(F2126="No-show",F2126="Late cancel")),1,0)</f>
        <v/>
      </c>
      <c r="N2126">
        <f>IF(AND(H2126="",F2126="",D2126&lt;&gt;"",I2126&gt;=TODAY()),ROUND((I2126+IF(ISNUMBER(C2126),MOD(C2126,1),0))*1440,0)*10000+ROW(),"")</f>
        <v/>
      </c>
    </row>
    <row r="2127">
      <c r="A2127" s="1" t="n"/>
      <c r="B2127" s="17" t="n"/>
      <c r="C2127" s="18" t="n"/>
      <c r="D2127" s="19" t="n"/>
      <c r="E2127" s="20" t="n"/>
      <c r="F2127" s="20" t="n"/>
      <c r="G2127" s="21" t="n"/>
      <c r="H2127" s="12">
        <f>IF(AND(B2127="",D2127="",F2127=""),"",IF(NOT(ISNUMBER(B2127)),"Needs a date",IF(D2127="","Needs a client",IF(COUNTIF(Clients!$B$6:$B$105,D2127)=0,"Not on Clients",IF(AND(F2127="",INT(B2127)&lt;TODAY()),"Needs a status","")))))</f>
        <v/>
      </c>
      <c r="I2127" s="1">
        <f>IF(ISNUMBER(B2127),INT(B2127),0)</f>
        <v/>
      </c>
      <c r="J2127">
        <f>IF(ISNUMBER(B2127),YEAR(B2127)*100+MONTH(B2127),"")</f>
        <v/>
      </c>
      <c r="K2127">
        <f>IF(AND(H2127="",OR(F2127="Attended",F2127="No-show",AND(F2127="Late cancel",Settings!$C$9="Yes"))),1,0)</f>
        <v/>
      </c>
      <c r="L2127">
        <f>IF(AND(H2127="",F2127="Attended"),1,0)</f>
        <v/>
      </c>
      <c r="M2127">
        <f>IF(AND(H2127="",OR(F2127="No-show",F2127="Late cancel")),1,0)</f>
        <v/>
      </c>
      <c r="N2127">
        <f>IF(AND(H2127="",F2127="",D2127&lt;&gt;"",I2127&gt;=TODAY()),ROUND((I2127+IF(ISNUMBER(C2127),MOD(C2127,1),0))*1440,0)*10000+ROW(),"")</f>
        <v/>
      </c>
    </row>
    <row r="2128">
      <c r="A2128" s="1" t="n"/>
      <c r="B2128" s="17" t="n"/>
      <c r="C2128" s="18" t="n"/>
      <c r="D2128" s="19" t="n"/>
      <c r="E2128" s="20" t="n"/>
      <c r="F2128" s="20" t="n"/>
      <c r="G2128" s="21" t="n"/>
      <c r="H2128" s="12">
        <f>IF(AND(B2128="",D2128="",F2128=""),"",IF(NOT(ISNUMBER(B2128)),"Needs a date",IF(D2128="","Needs a client",IF(COUNTIF(Clients!$B$6:$B$105,D2128)=0,"Not on Clients",IF(AND(F2128="",INT(B2128)&lt;TODAY()),"Needs a status","")))))</f>
        <v/>
      </c>
      <c r="I2128" s="1">
        <f>IF(ISNUMBER(B2128),INT(B2128),0)</f>
        <v/>
      </c>
      <c r="J2128">
        <f>IF(ISNUMBER(B2128),YEAR(B2128)*100+MONTH(B2128),"")</f>
        <v/>
      </c>
      <c r="K2128">
        <f>IF(AND(H2128="",OR(F2128="Attended",F2128="No-show",AND(F2128="Late cancel",Settings!$C$9="Yes"))),1,0)</f>
        <v/>
      </c>
      <c r="L2128">
        <f>IF(AND(H2128="",F2128="Attended"),1,0)</f>
        <v/>
      </c>
      <c r="M2128">
        <f>IF(AND(H2128="",OR(F2128="No-show",F2128="Late cancel")),1,0)</f>
        <v/>
      </c>
      <c r="N2128">
        <f>IF(AND(H2128="",F2128="",D2128&lt;&gt;"",I2128&gt;=TODAY()),ROUND((I2128+IF(ISNUMBER(C2128),MOD(C2128,1),0))*1440,0)*10000+ROW(),"")</f>
        <v/>
      </c>
    </row>
    <row r="2129">
      <c r="A2129" s="1" t="n"/>
      <c r="B2129" s="17" t="n"/>
      <c r="C2129" s="18" t="n"/>
      <c r="D2129" s="19" t="n"/>
      <c r="E2129" s="20" t="n"/>
      <c r="F2129" s="20" t="n"/>
      <c r="G2129" s="21" t="n"/>
      <c r="H2129" s="12">
        <f>IF(AND(B2129="",D2129="",F2129=""),"",IF(NOT(ISNUMBER(B2129)),"Needs a date",IF(D2129="","Needs a client",IF(COUNTIF(Clients!$B$6:$B$105,D2129)=0,"Not on Clients",IF(AND(F2129="",INT(B2129)&lt;TODAY()),"Needs a status","")))))</f>
        <v/>
      </c>
      <c r="I2129" s="1">
        <f>IF(ISNUMBER(B2129),INT(B2129),0)</f>
        <v/>
      </c>
      <c r="J2129">
        <f>IF(ISNUMBER(B2129),YEAR(B2129)*100+MONTH(B2129),"")</f>
        <v/>
      </c>
      <c r="K2129">
        <f>IF(AND(H2129="",OR(F2129="Attended",F2129="No-show",AND(F2129="Late cancel",Settings!$C$9="Yes"))),1,0)</f>
        <v/>
      </c>
      <c r="L2129">
        <f>IF(AND(H2129="",F2129="Attended"),1,0)</f>
        <v/>
      </c>
      <c r="M2129">
        <f>IF(AND(H2129="",OR(F2129="No-show",F2129="Late cancel")),1,0)</f>
        <v/>
      </c>
      <c r="N2129">
        <f>IF(AND(H2129="",F2129="",D2129&lt;&gt;"",I2129&gt;=TODAY()),ROUND((I2129+IF(ISNUMBER(C2129),MOD(C2129,1),0))*1440,0)*10000+ROW(),"")</f>
        <v/>
      </c>
    </row>
    <row r="2130">
      <c r="A2130" s="1" t="n"/>
      <c r="B2130" s="17" t="n"/>
      <c r="C2130" s="18" t="n"/>
      <c r="D2130" s="19" t="n"/>
      <c r="E2130" s="20" t="n"/>
      <c r="F2130" s="20" t="n"/>
      <c r="G2130" s="21" t="n"/>
      <c r="H2130" s="12">
        <f>IF(AND(B2130="",D2130="",F2130=""),"",IF(NOT(ISNUMBER(B2130)),"Needs a date",IF(D2130="","Needs a client",IF(COUNTIF(Clients!$B$6:$B$105,D2130)=0,"Not on Clients",IF(AND(F2130="",INT(B2130)&lt;TODAY()),"Needs a status","")))))</f>
        <v/>
      </c>
      <c r="I2130" s="1">
        <f>IF(ISNUMBER(B2130),INT(B2130),0)</f>
        <v/>
      </c>
      <c r="J2130">
        <f>IF(ISNUMBER(B2130),YEAR(B2130)*100+MONTH(B2130),"")</f>
        <v/>
      </c>
      <c r="K2130">
        <f>IF(AND(H2130="",OR(F2130="Attended",F2130="No-show",AND(F2130="Late cancel",Settings!$C$9="Yes"))),1,0)</f>
        <v/>
      </c>
      <c r="L2130">
        <f>IF(AND(H2130="",F2130="Attended"),1,0)</f>
        <v/>
      </c>
      <c r="M2130">
        <f>IF(AND(H2130="",OR(F2130="No-show",F2130="Late cancel")),1,0)</f>
        <v/>
      </c>
      <c r="N2130">
        <f>IF(AND(H2130="",F2130="",D2130&lt;&gt;"",I2130&gt;=TODAY()),ROUND((I2130+IF(ISNUMBER(C2130),MOD(C2130,1),0))*1440,0)*10000+ROW(),"")</f>
        <v/>
      </c>
    </row>
    <row r="2131">
      <c r="A2131" s="1" t="n"/>
      <c r="B2131" s="17" t="n"/>
      <c r="C2131" s="18" t="n"/>
      <c r="D2131" s="19" t="n"/>
      <c r="E2131" s="20" t="n"/>
      <c r="F2131" s="20" t="n"/>
      <c r="G2131" s="21" t="n"/>
      <c r="H2131" s="12">
        <f>IF(AND(B2131="",D2131="",F2131=""),"",IF(NOT(ISNUMBER(B2131)),"Needs a date",IF(D2131="","Needs a client",IF(COUNTIF(Clients!$B$6:$B$105,D2131)=0,"Not on Clients",IF(AND(F2131="",INT(B2131)&lt;TODAY()),"Needs a status","")))))</f>
        <v/>
      </c>
      <c r="I2131" s="1">
        <f>IF(ISNUMBER(B2131),INT(B2131),0)</f>
        <v/>
      </c>
      <c r="J2131">
        <f>IF(ISNUMBER(B2131),YEAR(B2131)*100+MONTH(B2131),"")</f>
        <v/>
      </c>
      <c r="K2131">
        <f>IF(AND(H2131="",OR(F2131="Attended",F2131="No-show",AND(F2131="Late cancel",Settings!$C$9="Yes"))),1,0)</f>
        <v/>
      </c>
      <c r="L2131">
        <f>IF(AND(H2131="",F2131="Attended"),1,0)</f>
        <v/>
      </c>
      <c r="M2131">
        <f>IF(AND(H2131="",OR(F2131="No-show",F2131="Late cancel")),1,0)</f>
        <v/>
      </c>
      <c r="N2131">
        <f>IF(AND(H2131="",F2131="",D2131&lt;&gt;"",I2131&gt;=TODAY()),ROUND((I2131+IF(ISNUMBER(C2131),MOD(C2131,1),0))*1440,0)*10000+ROW(),"")</f>
        <v/>
      </c>
    </row>
    <row r="2132">
      <c r="A2132" s="1" t="n"/>
      <c r="B2132" s="17" t="n"/>
      <c r="C2132" s="18" t="n"/>
      <c r="D2132" s="19" t="n"/>
      <c r="E2132" s="20" t="n"/>
      <c r="F2132" s="20" t="n"/>
      <c r="G2132" s="21" t="n"/>
      <c r="H2132" s="12">
        <f>IF(AND(B2132="",D2132="",F2132=""),"",IF(NOT(ISNUMBER(B2132)),"Needs a date",IF(D2132="","Needs a client",IF(COUNTIF(Clients!$B$6:$B$105,D2132)=0,"Not on Clients",IF(AND(F2132="",INT(B2132)&lt;TODAY()),"Needs a status","")))))</f>
        <v/>
      </c>
      <c r="I2132" s="1">
        <f>IF(ISNUMBER(B2132),INT(B2132),0)</f>
        <v/>
      </c>
      <c r="J2132">
        <f>IF(ISNUMBER(B2132),YEAR(B2132)*100+MONTH(B2132),"")</f>
        <v/>
      </c>
      <c r="K2132">
        <f>IF(AND(H2132="",OR(F2132="Attended",F2132="No-show",AND(F2132="Late cancel",Settings!$C$9="Yes"))),1,0)</f>
        <v/>
      </c>
      <c r="L2132">
        <f>IF(AND(H2132="",F2132="Attended"),1,0)</f>
        <v/>
      </c>
      <c r="M2132">
        <f>IF(AND(H2132="",OR(F2132="No-show",F2132="Late cancel")),1,0)</f>
        <v/>
      </c>
      <c r="N2132">
        <f>IF(AND(H2132="",F2132="",D2132&lt;&gt;"",I2132&gt;=TODAY()),ROUND((I2132+IF(ISNUMBER(C2132),MOD(C2132,1),0))*1440,0)*10000+ROW(),"")</f>
        <v/>
      </c>
    </row>
    <row r="2133">
      <c r="A2133" s="1" t="n"/>
      <c r="B2133" s="17" t="n"/>
      <c r="C2133" s="18" t="n"/>
      <c r="D2133" s="19" t="n"/>
      <c r="E2133" s="20" t="n"/>
      <c r="F2133" s="20" t="n"/>
      <c r="G2133" s="21" t="n"/>
      <c r="H2133" s="12">
        <f>IF(AND(B2133="",D2133="",F2133=""),"",IF(NOT(ISNUMBER(B2133)),"Needs a date",IF(D2133="","Needs a client",IF(COUNTIF(Clients!$B$6:$B$105,D2133)=0,"Not on Clients",IF(AND(F2133="",INT(B2133)&lt;TODAY()),"Needs a status","")))))</f>
        <v/>
      </c>
      <c r="I2133" s="1">
        <f>IF(ISNUMBER(B2133),INT(B2133),0)</f>
        <v/>
      </c>
      <c r="J2133">
        <f>IF(ISNUMBER(B2133),YEAR(B2133)*100+MONTH(B2133),"")</f>
        <v/>
      </c>
      <c r="K2133">
        <f>IF(AND(H2133="",OR(F2133="Attended",F2133="No-show",AND(F2133="Late cancel",Settings!$C$9="Yes"))),1,0)</f>
        <v/>
      </c>
      <c r="L2133">
        <f>IF(AND(H2133="",F2133="Attended"),1,0)</f>
        <v/>
      </c>
      <c r="M2133">
        <f>IF(AND(H2133="",OR(F2133="No-show",F2133="Late cancel")),1,0)</f>
        <v/>
      </c>
      <c r="N2133">
        <f>IF(AND(H2133="",F2133="",D2133&lt;&gt;"",I2133&gt;=TODAY()),ROUND((I2133+IF(ISNUMBER(C2133),MOD(C2133,1),0))*1440,0)*10000+ROW(),"")</f>
        <v/>
      </c>
    </row>
    <row r="2134">
      <c r="A2134" s="1" t="n"/>
      <c r="B2134" s="17" t="n"/>
      <c r="C2134" s="18" t="n"/>
      <c r="D2134" s="19" t="n"/>
      <c r="E2134" s="20" t="n"/>
      <c r="F2134" s="20" t="n"/>
      <c r="G2134" s="21" t="n"/>
      <c r="H2134" s="12">
        <f>IF(AND(B2134="",D2134="",F2134=""),"",IF(NOT(ISNUMBER(B2134)),"Needs a date",IF(D2134="","Needs a client",IF(COUNTIF(Clients!$B$6:$B$105,D2134)=0,"Not on Clients",IF(AND(F2134="",INT(B2134)&lt;TODAY()),"Needs a status","")))))</f>
        <v/>
      </c>
      <c r="I2134" s="1">
        <f>IF(ISNUMBER(B2134),INT(B2134),0)</f>
        <v/>
      </c>
      <c r="J2134">
        <f>IF(ISNUMBER(B2134),YEAR(B2134)*100+MONTH(B2134),"")</f>
        <v/>
      </c>
      <c r="K2134">
        <f>IF(AND(H2134="",OR(F2134="Attended",F2134="No-show",AND(F2134="Late cancel",Settings!$C$9="Yes"))),1,0)</f>
        <v/>
      </c>
      <c r="L2134">
        <f>IF(AND(H2134="",F2134="Attended"),1,0)</f>
        <v/>
      </c>
      <c r="M2134">
        <f>IF(AND(H2134="",OR(F2134="No-show",F2134="Late cancel")),1,0)</f>
        <v/>
      </c>
      <c r="N2134">
        <f>IF(AND(H2134="",F2134="",D2134&lt;&gt;"",I2134&gt;=TODAY()),ROUND((I2134+IF(ISNUMBER(C2134),MOD(C2134,1),0))*1440,0)*10000+ROW(),"")</f>
        <v/>
      </c>
    </row>
    <row r="2135">
      <c r="A2135" s="1" t="n"/>
      <c r="B2135" s="17" t="n"/>
      <c r="C2135" s="18" t="n"/>
      <c r="D2135" s="19" t="n"/>
      <c r="E2135" s="20" t="n"/>
      <c r="F2135" s="20" t="n"/>
      <c r="G2135" s="21" t="n"/>
      <c r="H2135" s="12">
        <f>IF(AND(B2135="",D2135="",F2135=""),"",IF(NOT(ISNUMBER(B2135)),"Needs a date",IF(D2135="","Needs a client",IF(COUNTIF(Clients!$B$6:$B$105,D2135)=0,"Not on Clients",IF(AND(F2135="",INT(B2135)&lt;TODAY()),"Needs a status","")))))</f>
        <v/>
      </c>
      <c r="I2135" s="1">
        <f>IF(ISNUMBER(B2135),INT(B2135),0)</f>
        <v/>
      </c>
      <c r="J2135">
        <f>IF(ISNUMBER(B2135),YEAR(B2135)*100+MONTH(B2135),"")</f>
        <v/>
      </c>
      <c r="K2135">
        <f>IF(AND(H2135="",OR(F2135="Attended",F2135="No-show",AND(F2135="Late cancel",Settings!$C$9="Yes"))),1,0)</f>
        <v/>
      </c>
      <c r="L2135">
        <f>IF(AND(H2135="",F2135="Attended"),1,0)</f>
        <v/>
      </c>
      <c r="M2135">
        <f>IF(AND(H2135="",OR(F2135="No-show",F2135="Late cancel")),1,0)</f>
        <v/>
      </c>
      <c r="N2135">
        <f>IF(AND(H2135="",F2135="",D2135&lt;&gt;"",I2135&gt;=TODAY()),ROUND((I2135+IF(ISNUMBER(C2135),MOD(C2135,1),0))*1440,0)*10000+ROW(),"")</f>
        <v/>
      </c>
    </row>
    <row r="2136">
      <c r="A2136" s="1" t="n"/>
      <c r="B2136" s="17" t="n"/>
      <c r="C2136" s="18" t="n"/>
      <c r="D2136" s="19" t="n"/>
      <c r="E2136" s="20" t="n"/>
      <c r="F2136" s="20" t="n"/>
      <c r="G2136" s="21" t="n"/>
      <c r="H2136" s="12">
        <f>IF(AND(B2136="",D2136="",F2136=""),"",IF(NOT(ISNUMBER(B2136)),"Needs a date",IF(D2136="","Needs a client",IF(COUNTIF(Clients!$B$6:$B$105,D2136)=0,"Not on Clients",IF(AND(F2136="",INT(B2136)&lt;TODAY()),"Needs a status","")))))</f>
        <v/>
      </c>
      <c r="I2136" s="1">
        <f>IF(ISNUMBER(B2136),INT(B2136),0)</f>
        <v/>
      </c>
      <c r="J2136">
        <f>IF(ISNUMBER(B2136),YEAR(B2136)*100+MONTH(B2136),"")</f>
        <v/>
      </c>
      <c r="K2136">
        <f>IF(AND(H2136="",OR(F2136="Attended",F2136="No-show",AND(F2136="Late cancel",Settings!$C$9="Yes"))),1,0)</f>
        <v/>
      </c>
      <c r="L2136">
        <f>IF(AND(H2136="",F2136="Attended"),1,0)</f>
        <v/>
      </c>
      <c r="M2136">
        <f>IF(AND(H2136="",OR(F2136="No-show",F2136="Late cancel")),1,0)</f>
        <v/>
      </c>
      <c r="N2136">
        <f>IF(AND(H2136="",F2136="",D2136&lt;&gt;"",I2136&gt;=TODAY()),ROUND((I2136+IF(ISNUMBER(C2136),MOD(C2136,1),0))*1440,0)*10000+ROW(),"")</f>
        <v/>
      </c>
    </row>
    <row r="2137">
      <c r="A2137" s="1" t="n"/>
      <c r="B2137" s="17" t="n"/>
      <c r="C2137" s="18" t="n"/>
      <c r="D2137" s="19" t="n"/>
      <c r="E2137" s="20" t="n"/>
      <c r="F2137" s="20" t="n"/>
      <c r="G2137" s="21" t="n"/>
      <c r="H2137" s="12">
        <f>IF(AND(B2137="",D2137="",F2137=""),"",IF(NOT(ISNUMBER(B2137)),"Needs a date",IF(D2137="","Needs a client",IF(COUNTIF(Clients!$B$6:$B$105,D2137)=0,"Not on Clients",IF(AND(F2137="",INT(B2137)&lt;TODAY()),"Needs a status","")))))</f>
        <v/>
      </c>
      <c r="I2137" s="1">
        <f>IF(ISNUMBER(B2137),INT(B2137),0)</f>
        <v/>
      </c>
      <c r="J2137">
        <f>IF(ISNUMBER(B2137),YEAR(B2137)*100+MONTH(B2137),"")</f>
        <v/>
      </c>
      <c r="K2137">
        <f>IF(AND(H2137="",OR(F2137="Attended",F2137="No-show",AND(F2137="Late cancel",Settings!$C$9="Yes"))),1,0)</f>
        <v/>
      </c>
      <c r="L2137">
        <f>IF(AND(H2137="",F2137="Attended"),1,0)</f>
        <v/>
      </c>
      <c r="M2137">
        <f>IF(AND(H2137="",OR(F2137="No-show",F2137="Late cancel")),1,0)</f>
        <v/>
      </c>
      <c r="N2137">
        <f>IF(AND(H2137="",F2137="",D2137&lt;&gt;"",I2137&gt;=TODAY()),ROUND((I2137+IF(ISNUMBER(C2137),MOD(C2137,1),0))*1440,0)*10000+ROW(),"")</f>
        <v/>
      </c>
    </row>
    <row r="2138">
      <c r="A2138" s="1" t="n"/>
      <c r="B2138" s="17" t="n"/>
      <c r="C2138" s="18" t="n"/>
      <c r="D2138" s="19" t="n"/>
      <c r="E2138" s="20" t="n"/>
      <c r="F2138" s="20" t="n"/>
      <c r="G2138" s="21" t="n"/>
      <c r="H2138" s="12">
        <f>IF(AND(B2138="",D2138="",F2138=""),"",IF(NOT(ISNUMBER(B2138)),"Needs a date",IF(D2138="","Needs a client",IF(COUNTIF(Clients!$B$6:$B$105,D2138)=0,"Not on Clients",IF(AND(F2138="",INT(B2138)&lt;TODAY()),"Needs a status","")))))</f>
        <v/>
      </c>
      <c r="I2138" s="1">
        <f>IF(ISNUMBER(B2138),INT(B2138),0)</f>
        <v/>
      </c>
      <c r="J2138">
        <f>IF(ISNUMBER(B2138),YEAR(B2138)*100+MONTH(B2138),"")</f>
        <v/>
      </c>
      <c r="K2138">
        <f>IF(AND(H2138="",OR(F2138="Attended",F2138="No-show",AND(F2138="Late cancel",Settings!$C$9="Yes"))),1,0)</f>
        <v/>
      </c>
      <c r="L2138">
        <f>IF(AND(H2138="",F2138="Attended"),1,0)</f>
        <v/>
      </c>
      <c r="M2138">
        <f>IF(AND(H2138="",OR(F2138="No-show",F2138="Late cancel")),1,0)</f>
        <v/>
      </c>
      <c r="N2138">
        <f>IF(AND(H2138="",F2138="",D2138&lt;&gt;"",I2138&gt;=TODAY()),ROUND((I2138+IF(ISNUMBER(C2138),MOD(C2138,1),0))*1440,0)*10000+ROW(),"")</f>
        <v/>
      </c>
    </row>
    <row r="2139">
      <c r="A2139" s="1" t="n"/>
      <c r="B2139" s="17" t="n"/>
      <c r="C2139" s="18" t="n"/>
      <c r="D2139" s="19" t="n"/>
      <c r="E2139" s="20" t="n"/>
      <c r="F2139" s="20" t="n"/>
      <c r="G2139" s="21" t="n"/>
      <c r="H2139" s="12">
        <f>IF(AND(B2139="",D2139="",F2139=""),"",IF(NOT(ISNUMBER(B2139)),"Needs a date",IF(D2139="","Needs a client",IF(COUNTIF(Clients!$B$6:$B$105,D2139)=0,"Not on Clients",IF(AND(F2139="",INT(B2139)&lt;TODAY()),"Needs a status","")))))</f>
        <v/>
      </c>
      <c r="I2139" s="1">
        <f>IF(ISNUMBER(B2139),INT(B2139),0)</f>
        <v/>
      </c>
      <c r="J2139">
        <f>IF(ISNUMBER(B2139),YEAR(B2139)*100+MONTH(B2139),"")</f>
        <v/>
      </c>
      <c r="K2139">
        <f>IF(AND(H2139="",OR(F2139="Attended",F2139="No-show",AND(F2139="Late cancel",Settings!$C$9="Yes"))),1,0)</f>
        <v/>
      </c>
      <c r="L2139">
        <f>IF(AND(H2139="",F2139="Attended"),1,0)</f>
        <v/>
      </c>
      <c r="M2139">
        <f>IF(AND(H2139="",OR(F2139="No-show",F2139="Late cancel")),1,0)</f>
        <v/>
      </c>
      <c r="N2139">
        <f>IF(AND(H2139="",F2139="",D2139&lt;&gt;"",I2139&gt;=TODAY()),ROUND((I2139+IF(ISNUMBER(C2139),MOD(C2139,1),0))*1440,0)*10000+ROW(),"")</f>
        <v/>
      </c>
    </row>
    <row r="2140">
      <c r="A2140" s="1" t="n"/>
      <c r="B2140" s="17" t="n"/>
      <c r="C2140" s="18" t="n"/>
      <c r="D2140" s="19" t="n"/>
      <c r="E2140" s="20" t="n"/>
      <c r="F2140" s="20" t="n"/>
      <c r="G2140" s="21" t="n"/>
      <c r="H2140" s="12">
        <f>IF(AND(B2140="",D2140="",F2140=""),"",IF(NOT(ISNUMBER(B2140)),"Needs a date",IF(D2140="","Needs a client",IF(COUNTIF(Clients!$B$6:$B$105,D2140)=0,"Not on Clients",IF(AND(F2140="",INT(B2140)&lt;TODAY()),"Needs a status","")))))</f>
        <v/>
      </c>
      <c r="I2140" s="1">
        <f>IF(ISNUMBER(B2140),INT(B2140),0)</f>
        <v/>
      </c>
      <c r="J2140">
        <f>IF(ISNUMBER(B2140),YEAR(B2140)*100+MONTH(B2140),"")</f>
        <v/>
      </c>
      <c r="K2140">
        <f>IF(AND(H2140="",OR(F2140="Attended",F2140="No-show",AND(F2140="Late cancel",Settings!$C$9="Yes"))),1,0)</f>
        <v/>
      </c>
      <c r="L2140">
        <f>IF(AND(H2140="",F2140="Attended"),1,0)</f>
        <v/>
      </c>
      <c r="M2140">
        <f>IF(AND(H2140="",OR(F2140="No-show",F2140="Late cancel")),1,0)</f>
        <v/>
      </c>
      <c r="N2140">
        <f>IF(AND(H2140="",F2140="",D2140&lt;&gt;"",I2140&gt;=TODAY()),ROUND((I2140+IF(ISNUMBER(C2140),MOD(C2140,1),0))*1440,0)*10000+ROW(),"")</f>
        <v/>
      </c>
    </row>
    <row r="2141">
      <c r="A2141" s="1" t="n"/>
      <c r="B2141" s="17" t="n"/>
      <c r="C2141" s="18" t="n"/>
      <c r="D2141" s="19" t="n"/>
      <c r="E2141" s="20" t="n"/>
      <c r="F2141" s="20" t="n"/>
      <c r="G2141" s="21" t="n"/>
      <c r="H2141" s="12">
        <f>IF(AND(B2141="",D2141="",F2141=""),"",IF(NOT(ISNUMBER(B2141)),"Needs a date",IF(D2141="","Needs a client",IF(COUNTIF(Clients!$B$6:$B$105,D2141)=0,"Not on Clients",IF(AND(F2141="",INT(B2141)&lt;TODAY()),"Needs a status","")))))</f>
        <v/>
      </c>
      <c r="I2141" s="1">
        <f>IF(ISNUMBER(B2141),INT(B2141),0)</f>
        <v/>
      </c>
      <c r="J2141">
        <f>IF(ISNUMBER(B2141),YEAR(B2141)*100+MONTH(B2141),"")</f>
        <v/>
      </c>
      <c r="K2141">
        <f>IF(AND(H2141="",OR(F2141="Attended",F2141="No-show",AND(F2141="Late cancel",Settings!$C$9="Yes"))),1,0)</f>
        <v/>
      </c>
      <c r="L2141">
        <f>IF(AND(H2141="",F2141="Attended"),1,0)</f>
        <v/>
      </c>
      <c r="M2141">
        <f>IF(AND(H2141="",OR(F2141="No-show",F2141="Late cancel")),1,0)</f>
        <v/>
      </c>
      <c r="N2141">
        <f>IF(AND(H2141="",F2141="",D2141&lt;&gt;"",I2141&gt;=TODAY()),ROUND((I2141+IF(ISNUMBER(C2141),MOD(C2141,1),0))*1440,0)*10000+ROW(),"")</f>
        <v/>
      </c>
    </row>
    <row r="2142">
      <c r="A2142" s="1" t="n"/>
      <c r="B2142" s="17" t="n"/>
      <c r="C2142" s="18" t="n"/>
      <c r="D2142" s="19" t="n"/>
      <c r="E2142" s="20" t="n"/>
      <c r="F2142" s="20" t="n"/>
      <c r="G2142" s="21" t="n"/>
      <c r="H2142" s="12">
        <f>IF(AND(B2142="",D2142="",F2142=""),"",IF(NOT(ISNUMBER(B2142)),"Needs a date",IF(D2142="","Needs a client",IF(COUNTIF(Clients!$B$6:$B$105,D2142)=0,"Not on Clients",IF(AND(F2142="",INT(B2142)&lt;TODAY()),"Needs a status","")))))</f>
        <v/>
      </c>
      <c r="I2142" s="1">
        <f>IF(ISNUMBER(B2142),INT(B2142),0)</f>
        <v/>
      </c>
      <c r="J2142">
        <f>IF(ISNUMBER(B2142),YEAR(B2142)*100+MONTH(B2142),"")</f>
        <v/>
      </c>
      <c r="K2142">
        <f>IF(AND(H2142="",OR(F2142="Attended",F2142="No-show",AND(F2142="Late cancel",Settings!$C$9="Yes"))),1,0)</f>
        <v/>
      </c>
      <c r="L2142">
        <f>IF(AND(H2142="",F2142="Attended"),1,0)</f>
        <v/>
      </c>
      <c r="M2142">
        <f>IF(AND(H2142="",OR(F2142="No-show",F2142="Late cancel")),1,0)</f>
        <v/>
      </c>
      <c r="N2142">
        <f>IF(AND(H2142="",F2142="",D2142&lt;&gt;"",I2142&gt;=TODAY()),ROUND((I2142+IF(ISNUMBER(C2142),MOD(C2142,1),0))*1440,0)*10000+ROW(),"")</f>
        <v/>
      </c>
    </row>
    <row r="2143">
      <c r="A2143" s="1" t="n"/>
      <c r="B2143" s="17" t="n"/>
      <c r="C2143" s="18" t="n"/>
      <c r="D2143" s="19" t="n"/>
      <c r="E2143" s="20" t="n"/>
      <c r="F2143" s="20" t="n"/>
      <c r="G2143" s="21" t="n"/>
      <c r="H2143" s="12">
        <f>IF(AND(B2143="",D2143="",F2143=""),"",IF(NOT(ISNUMBER(B2143)),"Needs a date",IF(D2143="","Needs a client",IF(COUNTIF(Clients!$B$6:$B$105,D2143)=0,"Not on Clients",IF(AND(F2143="",INT(B2143)&lt;TODAY()),"Needs a status","")))))</f>
        <v/>
      </c>
      <c r="I2143" s="1">
        <f>IF(ISNUMBER(B2143),INT(B2143),0)</f>
        <v/>
      </c>
      <c r="J2143">
        <f>IF(ISNUMBER(B2143),YEAR(B2143)*100+MONTH(B2143),"")</f>
        <v/>
      </c>
      <c r="K2143">
        <f>IF(AND(H2143="",OR(F2143="Attended",F2143="No-show",AND(F2143="Late cancel",Settings!$C$9="Yes"))),1,0)</f>
        <v/>
      </c>
      <c r="L2143">
        <f>IF(AND(H2143="",F2143="Attended"),1,0)</f>
        <v/>
      </c>
      <c r="M2143">
        <f>IF(AND(H2143="",OR(F2143="No-show",F2143="Late cancel")),1,0)</f>
        <v/>
      </c>
      <c r="N2143">
        <f>IF(AND(H2143="",F2143="",D2143&lt;&gt;"",I2143&gt;=TODAY()),ROUND((I2143+IF(ISNUMBER(C2143),MOD(C2143,1),0))*1440,0)*10000+ROW(),"")</f>
        <v/>
      </c>
    </row>
    <row r="2144">
      <c r="A2144" s="1" t="n"/>
      <c r="B2144" s="17" t="n"/>
      <c r="C2144" s="18" t="n"/>
      <c r="D2144" s="19" t="n"/>
      <c r="E2144" s="20" t="n"/>
      <c r="F2144" s="20" t="n"/>
      <c r="G2144" s="21" t="n"/>
      <c r="H2144" s="12">
        <f>IF(AND(B2144="",D2144="",F2144=""),"",IF(NOT(ISNUMBER(B2144)),"Needs a date",IF(D2144="","Needs a client",IF(COUNTIF(Clients!$B$6:$B$105,D2144)=0,"Not on Clients",IF(AND(F2144="",INT(B2144)&lt;TODAY()),"Needs a status","")))))</f>
        <v/>
      </c>
      <c r="I2144" s="1">
        <f>IF(ISNUMBER(B2144),INT(B2144),0)</f>
        <v/>
      </c>
      <c r="J2144">
        <f>IF(ISNUMBER(B2144),YEAR(B2144)*100+MONTH(B2144),"")</f>
        <v/>
      </c>
      <c r="K2144">
        <f>IF(AND(H2144="",OR(F2144="Attended",F2144="No-show",AND(F2144="Late cancel",Settings!$C$9="Yes"))),1,0)</f>
        <v/>
      </c>
      <c r="L2144">
        <f>IF(AND(H2144="",F2144="Attended"),1,0)</f>
        <v/>
      </c>
      <c r="M2144">
        <f>IF(AND(H2144="",OR(F2144="No-show",F2144="Late cancel")),1,0)</f>
        <v/>
      </c>
      <c r="N2144">
        <f>IF(AND(H2144="",F2144="",D2144&lt;&gt;"",I2144&gt;=TODAY()),ROUND((I2144+IF(ISNUMBER(C2144),MOD(C2144,1),0))*1440,0)*10000+ROW(),"")</f>
        <v/>
      </c>
    </row>
    <row r="2145">
      <c r="A2145" s="1" t="n"/>
      <c r="B2145" s="17" t="n"/>
      <c r="C2145" s="18" t="n"/>
      <c r="D2145" s="19" t="n"/>
      <c r="E2145" s="20" t="n"/>
      <c r="F2145" s="20" t="n"/>
      <c r="G2145" s="21" t="n"/>
      <c r="H2145" s="12">
        <f>IF(AND(B2145="",D2145="",F2145=""),"",IF(NOT(ISNUMBER(B2145)),"Needs a date",IF(D2145="","Needs a client",IF(COUNTIF(Clients!$B$6:$B$105,D2145)=0,"Not on Clients",IF(AND(F2145="",INT(B2145)&lt;TODAY()),"Needs a status","")))))</f>
        <v/>
      </c>
      <c r="I2145" s="1">
        <f>IF(ISNUMBER(B2145),INT(B2145),0)</f>
        <v/>
      </c>
      <c r="J2145">
        <f>IF(ISNUMBER(B2145),YEAR(B2145)*100+MONTH(B2145),"")</f>
        <v/>
      </c>
      <c r="K2145">
        <f>IF(AND(H2145="",OR(F2145="Attended",F2145="No-show",AND(F2145="Late cancel",Settings!$C$9="Yes"))),1,0)</f>
        <v/>
      </c>
      <c r="L2145">
        <f>IF(AND(H2145="",F2145="Attended"),1,0)</f>
        <v/>
      </c>
      <c r="M2145">
        <f>IF(AND(H2145="",OR(F2145="No-show",F2145="Late cancel")),1,0)</f>
        <v/>
      </c>
      <c r="N2145">
        <f>IF(AND(H2145="",F2145="",D2145&lt;&gt;"",I2145&gt;=TODAY()),ROUND((I2145+IF(ISNUMBER(C2145),MOD(C2145,1),0))*1440,0)*10000+ROW(),"")</f>
        <v/>
      </c>
    </row>
    <row r="2146">
      <c r="A2146" s="1" t="n"/>
      <c r="B2146" s="17" t="n"/>
      <c r="C2146" s="18" t="n"/>
      <c r="D2146" s="19" t="n"/>
      <c r="E2146" s="20" t="n"/>
      <c r="F2146" s="20" t="n"/>
      <c r="G2146" s="21" t="n"/>
      <c r="H2146" s="12">
        <f>IF(AND(B2146="",D2146="",F2146=""),"",IF(NOT(ISNUMBER(B2146)),"Needs a date",IF(D2146="","Needs a client",IF(COUNTIF(Clients!$B$6:$B$105,D2146)=0,"Not on Clients",IF(AND(F2146="",INT(B2146)&lt;TODAY()),"Needs a status","")))))</f>
        <v/>
      </c>
      <c r="I2146" s="1">
        <f>IF(ISNUMBER(B2146),INT(B2146),0)</f>
        <v/>
      </c>
      <c r="J2146">
        <f>IF(ISNUMBER(B2146),YEAR(B2146)*100+MONTH(B2146),"")</f>
        <v/>
      </c>
      <c r="K2146">
        <f>IF(AND(H2146="",OR(F2146="Attended",F2146="No-show",AND(F2146="Late cancel",Settings!$C$9="Yes"))),1,0)</f>
        <v/>
      </c>
      <c r="L2146">
        <f>IF(AND(H2146="",F2146="Attended"),1,0)</f>
        <v/>
      </c>
      <c r="M2146">
        <f>IF(AND(H2146="",OR(F2146="No-show",F2146="Late cancel")),1,0)</f>
        <v/>
      </c>
      <c r="N2146">
        <f>IF(AND(H2146="",F2146="",D2146&lt;&gt;"",I2146&gt;=TODAY()),ROUND((I2146+IF(ISNUMBER(C2146),MOD(C2146,1),0))*1440,0)*10000+ROW(),"")</f>
        <v/>
      </c>
    </row>
    <row r="2147">
      <c r="A2147" s="1" t="n"/>
      <c r="B2147" s="17" t="n"/>
      <c r="C2147" s="18" t="n"/>
      <c r="D2147" s="19" t="n"/>
      <c r="E2147" s="20" t="n"/>
      <c r="F2147" s="20" t="n"/>
      <c r="G2147" s="21" t="n"/>
      <c r="H2147" s="12">
        <f>IF(AND(B2147="",D2147="",F2147=""),"",IF(NOT(ISNUMBER(B2147)),"Needs a date",IF(D2147="","Needs a client",IF(COUNTIF(Clients!$B$6:$B$105,D2147)=0,"Not on Clients",IF(AND(F2147="",INT(B2147)&lt;TODAY()),"Needs a status","")))))</f>
        <v/>
      </c>
      <c r="I2147" s="1">
        <f>IF(ISNUMBER(B2147),INT(B2147),0)</f>
        <v/>
      </c>
      <c r="J2147">
        <f>IF(ISNUMBER(B2147),YEAR(B2147)*100+MONTH(B2147),"")</f>
        <v/>
      </c>
      <c r="K2147">
        <f>IF(AND(H2147="",OR(F2147="Attended",F2147="No-show",AND(F2147="Late cancel",Settings!$C$9="Yes"))),1,0)</f>
        <v/>
      </c>
      <c r="L2147">
        <f>IF(AND(H2147="",F2147="Attended"),1,0)</f>
        <v/>
      </c>
      <c r="M2147">
        <f>IF(AND(H2147="",OR(F2147="No-show",F2147="Late cancel")),1,0)</f>
        <v/>
      </c>
      <c r="N2147">
        <f>IF(AND(H2147="",F2147="",D2147&lt;&gt;"",I2147&gt;=TODAY()),ROUND((I2147+IF(ISNUMBER(C2147),MOD(C2147,1),0))*1440,0)*10000+ROW(),"")</f>
        <v/>
      </c>
    </row>
    <row r="2148">
      <c r="A2148" s="1" t="n"/>
      <c r="B2148" s="17" t="n"/>
      <c r="C2148" s="18" t="n"/>
      <c r="D2148" s="19" t="n"/>
      <c r="E2148" s="20" t="n"/>
      <c r="F2148" s="20" t="n"/>
      <c r="G2148" s="21" t="n"/>
      <c r="H2148" s="12">
        <f>IF(AND(B2148="",D2148="",F2148=""),"",IF(NOT(ISNUMBER(B2148)),"Needs a date",IF(D2148="","Needs a client",IF(COUNTIF(Clients!$B$6:$B$105,D2148)=0,"Not on Clients",IF(AND(F2148="",INT(B2148)&lt;TODAY()),"Needs a status","")))))</f>
        <v/>
      </c>
      <c r="I2148" s="1">
        <f>IF(ISNUMBER(B2148),INT(B2148),0)</f>
        <v/>
      </c>
      <c r="J2148">
        <f>IF(ISNUMBER(B2148),YEAR(B2148)*100+MONTH(B2148),"")</f>
        <v/>
      </c>
      <c r="K2148">
        <f>IF(AND(H2148="",OR(F2148="Attended",F2148="No-show",AND(F2148="Late cancel",Settings!$C$9="Yes"))),1,0)</f>
        <v/>
      </c>
      <c r="L2148">
        <f>IF(AND(H2148="",F2148="Attended"),1,0)</f>
        <v/>
      </c>
      <c r="M2148">
        <f>IF(AND(H2148="",OR(F2148="No-show",F2148="Late cancel")),1,0)</f>
        <v/>
      </c>
      <c r="N2148">
        <f>IF(AND(H2148="",F2148="",D2148&lt;&gt;"",I2148&gt;=TODAY()),ROUND((I2148+IF(ISNUMBER(C2148),MOD(C2148,1),0))*1440,0)*10000+ROW(),"")</f>
        <v/>
      </c>
    </row>
    <row r="2149">
      <c r="A2149" s="1" t="n"/>
      <c r="B2149" s="17" t="n"/>
      <c r="C2149" s="18" t="n"/>
      <c r="D2149" s="19" t="n"/>
      <c r="E2149" s="20" t="n"/>
      <c r="F2149" s="20" t="n"/>
      <c r="G2149" s="21" t="n"/>
      <c r="H2149" s="12">
        <f>IF(AND(B2149="",D2149="",F2149=""),"",IF(NOT(ISNUMBER(B2149)),"Needs a date",IF(D2149="","Needs a client",IF(COUNTIF(Clients!$B$6:$B$105,D2149)=0,"Not on Clients",IF(AND(F2149="",INT(B2149)&lt;TODAY()),"Needs a status","")))))</f>
        <v/>
      </c>
      <c r="I2149" s="1">
        <f>IF(ISNUMBER(B2149),INT(B2149),0)</f>
        <v/>
      </c>
      <c r="J2149">
        <f>IF(ISNUMBER(B2149),YEAR(B2149)*100+MONTH(B2149),"")</f>
        <v/>
      </c>
      <c r="K2149">
        <f>IF(AND(H2149="",OR(F2149="Attended",F2149="No-show",AND(F2149="Late cancel",Settings!$C$9="Yes"))),1,0)</f>
        <v/>
      </c>
      <c r="L2149">
        <f>IF(AND(H2149="",F2149="Attended"),1,0)</f>
        <v/>
      </c>
      <c r="M2149">
        <f>IF(AND(H2149="",OR(F2149="No-show",F2149="Late cancel")),1,0)</f>
        <v/>
      </c>
      <c r="N2149">
        <f>IF(AND(H2149="",F2149="",D2149&lt;&gt;"",I2149&gt;=TODAY()),ROUND((I2149+IF(ISNUMBER(C2149),MOD(C2149,1),0))*1440,0)*10000+ROW(),"")</f>
        <v/>
      </c>
    </row>
    <row r="2150">
      <c r="A2150" s="1" t="n"/>
      <c r="B2150" s="17" t="n"/>
      <c r="C2150" s="18" t="n"/>
      <c r="D2150" s="19" t="n"/>
      <c r="E2150" s="20" t="n"/>
      <c r="F2150" s="20" t="n"/>
      <c r="G2150" s="21" t="n"/>
      <c r="H2150" s="12">
        <f>IF(AND(B2150="",D2150="",F2150=""),"",IF(NOT(ISNUMBER(B2150)),"Needs a date",IF(D2150="","Needs a client",IF(COUNTIF(Clients!$B$6:$B$105,D2150)=0,"Not on Clients",IF(AND(F2150="",INT(B2150)&lt;TODAY()),"Needs a status","")))))</f>
        <v/>
      </c>
      <c r="I2150" s="1">
        <f>IF(ISNUMBER(B2150),INT(B2150),0)</f>
        <v/>
      </c>
      <c r="J2150">
        <f>IF(ISNUMBER(B2150),YEAR(B2150)*100+MONTH(B2150),"")</f>
        <v/>
      </c>
      <c r="K2150">
        <f>IF(AND(H2150="",OR(F2150="Attended",F2150="No-show",AND(F2150="Late cancel",Settings!$C$9="Yes"))),1,0)</f>
        <v/>
      </c>
      <c r="L2150">
        <f>IF(AND(H2150="",F2150="Attended"),1,0)</f>
        <v/>
      </c>
      <c r="M2150">
        <f>IF(AND(H2150="",OR(F2150="No-show",F2150="Late cancel")),1,0)</f>
        <v/>
      </c>
      <c r="N2150">
        <f>IF(AND(H2150="",F2150="",D2150&lt;&gt;"",I2150&gt;=TODAY()),ROUND((I2150+IF(ISNUMBER(C2150),MOD(C2150,1),0))*1440,0)*10000+ROW(),"")</f>
        <v/>
      </c>
    </row>
    <row r="2151">
      <c r="A2151" s="1" t="n"/>
      <c r="B2151" s="17" t="n"/>
      <c r="C2151" s="18" t="n"/>
      <c r="D2151" s="19" t="n"/>
      <c r="E2151" s="20" t="n"/>
      <c r="F2151" s="20" t="n"/>
      <c r="G2151" s="21" t="n"/>
      <c r="H2151" s="12">
        <f>IF(AND(B2151="",D2151="",F2151=""),"",IF(NOT(ISNUMBER(B2151)),"Needs a date",IF(D2151="","Needs a client",IF(COUNTIF(Clients!$B$6:$B$105,D2151)=0,"Not on Clients",IF(AND(F2151="",INT(B2151)&lt;TODAY()),"Needs a status","")))))</f>
        <v/>
      </c>
      <c r="I2151" s="1">
        <f>IF(ISNUMBER(B2151),INT(B2151),0)</f>
        <v/>
      </c>
      <c r="J2151">
        <f>IF(ISNUMBER(B2151),YEAR(B2151)*100+MONTH(B2151),"")</f>
        <v/>
      </c>
      <c r="K2151">
        <f>IF(AND(H2151="",OR(F2151="Attended",F2151="No-show",AND(F2151="Late cancel",Settings!$C$9="Yes"))),1,0)</f>
        <v/>
      </c>
      <c r="L2151">
        <f>IF(AND(H2151="",F2151="Attended"),1,0)</f>
        <v/>
      </c>
      <c r="M2151">
        <f>IF(AND(H2151="",OR(F2151="No-show",F2151="Late cancel")),1,0)</f>
        <v/>
      </c>
      <c r="N2151">
        <f>IF(AND(H2151="",F2151="",D2151&lt;&gt;"",I2151&gt;=TODAY()),ROUND((I2151+IF(ISNUMBER(C2151),MOD(C2151,1),0))*1440,0)*10000+ROW(),"")</f>
        <v/>
      </c>
    </row>
    <row r="2152">
      <c r="A2152" s="1" t="n"/>
      <c r="B2152" s="17" t="n"/>
      <c r="C2152" s="18" t="n"/>
      <c r="D2152" s="19" t="n"/>
      <c r="E2152" s="20" t="n"/>
      <c r="F2152" s="20" t="n"/>
      <c r="G2152" s="21" t="n"/>
      <c r="H2152" s="12">
        <f>IF(AND(B2152="",D2152="",F2152=""),"",IF(NOT(ISNUMBER(B2152)),"Needs a date",IF(D2152="","Needs a client",IF(COUNTIF(Clients!$B$6:$B$105,D2152)=0,"Not on Clients",IF(AND(F2152="",INT(B2152)&lt;TODAY()),"Needs a status","")))))</f>
        <v/>
      </c>
      <c r="I2152" s="1">
        <f>IF(ISNUMBER(B2152),INT(B2152),0)</f>
        <v/>
      </c>
      <c r="J2152">
        <f>IF(ISNUMBER(B2152),YEAR(B2152)*100+MONTH(B2152),"")</f>
        <v/>
      </c>
      <c r="K2152">
        <f>IF(AND(H2152="",OR(F2152="Attended",F2152="No-show",AND(F2152="Late cancel",Settings!$C$9="Yes"))),1,0)</f>
        <v/>
      </c>
      <c r="L2152">
        <f>IF(AND(H2152="",F2152="Attended"),1,0)</f>
        <v/>
      </c>
      <c r="M2152">
        <f>IF(AND(H2152="",OR(F2152="No-show",F2152="Late cancel")),1,0)</f>
        <v/>
      </c>
      <c r="N2152">
        <f>IF(AND(H2152="",F2152="",D2152&lt;&gt;"",I2152&gt;=TODAY()),ROUND((I2152+IF(ISNUMBER(C2152),MOD(C2152,1),0))*1440,0)*10000+ROW(),"")</f>
        <v/>
      </c>
    </row>
    <row r="2153">
      <c r="A2153" s="1" t="n"/>
      <c r="B2153" s="17" t="n"/>
      <c r="C2153" s="18" t="n"/>
      <c r="D2153" s="19" t="n"/>
      <c r="E2153" s="20" t="n"/>
      <c r="F2153" s="20" t="n"/>
      <c r="G2153" s="21" t="n"/>
      <c r="H2153" s="12">
        <f>IF(AND(B2153="",D2153="",F2153=""),"",IF(NOT(ISNUMBER(B2153)),"Needs a date",IF(D2153="","Needs a client",IF(COUNTIF(Clients!$B$6:$B$105,D2153)=0,"Not on Clients",IF(AND(F2153="",INT(B2153)&lt;TODAY()),"Needs a status","")))))</f>
        <v/>
      </c>
      <c r="I2153" s="1">
        <f>IF(ISNUMBER(B2153),INT(B2153),0)</f>
        <v/>
      </c>
      <c r="J2153">
        <f>IF(ISNUMBER(B2153),YEAR(B2153)*100+MONTH(B2153),"")</f>
        <v/>
      </c>
      <c r="K2153">
        <f>IF(AND(H2153="",OR(F2153="Attended",F2153="No-show",AND(F2153="Late cancel",Settings!$C$9="Yes"))),1,0)</f>
        <v/>
      </c>
      <c r="L2153">
        <f>IF(AND(H2153="",F2153="Attended"),1,0)</f>
        <v/>
      </c>
      <c r="M2153">
        <f>IF(AND(H2153="",OR(F2153="No-show",F2153="Late cancel")),1,0)</f>
        <v/>
      </c>
      <c r="N2153">
        <f>IF(AND(H2153="",F2153="",D2153&lt;&gt;"",I2153&gt;=TODAY()),ROUND((I2153+IF(ISNUMBER(C2153),MOD(C2153,1),0))*1440,0)*10000+ROW(),"")</f>
        <v/>
      </c>
    </row>
    <row r="2154">
      <c r="A2154" s="1" t="n"/>
      <c r="B2154" s="17" t="n"/>
      <c r="C2154" s="18" t="n"/>
      <c r="D2154" s="19" t="n"/>
      <c r="E2154" s="20" t="n"/>
      <c r="F2154" s="20" t="n"/>
      <c r="G2154" s="21" t="n"/>
      <c r="H2154" s="12">
        <f>IF(AND(B2154="",D2154="",F2154=""),"",IF(NOT(ISNUMBER(B2154)),"Needs a date",IF(D2154="","Needs a client",IF(COUNTIF(Clients!$B$6:$B$105,D2154)=0,"Not on Clients",IF(AND(F2154="",INT(B2154)&lt;TODAY()),"Needs a status","")))))</f>
        <v/>
      </c>
      <c r="I2154" s="1">
        <f>IF(ISNUMBER(B2154),INT(B2154),0)</f>
        <v/>
      </c>
      <c r="J2154">
        <f>IF(ISNUMBER(B2154),YEAR(B2154)*100+MONTH(B2154),"")</f>
        <v/>
      </c>
      <c r="K2154">
        <f>IF(AND(H2154="",OR(F2154="Attended",F2154="No-show",AND(F2154="Late cancel",Settings!$C$9="Yes"))),1,0)</f>
        <v/>
      </c>
      <c r="L2154">
        <f>IF(AND(H2154="",F2154="Attended"),1,0)</f>
        <v/>
      </c>
      <c r="M2154">
        <f>IF(AND(H2154="",OR(F2154="No-show",F2154="Late cancel")),1,0)</f>
        <v/>
      </c>
      <c r="N2154">
        <f>IF(AND(H2154="",F2154="",D2154&lt;&gt;"",I2154&gt;=TODAY()),ROUND((I2154+IF(ISNUMBER(C2154),MOD(C2154,1),0))*1440,0)*10000+ROW(),"")</f>
        <v/>
      </c>
    </row>
    <row r="2155">
      <c r="A2155" s="1" t="n"/>
      <c r="B2155" s="17" t="n"/>
      <c r="C2155" s="18" t="n"/>
      <c r="D2155" s="19" t="n"/>
      <c r="E2155" s="20" t="n"/>
      <c r="F2155" s="20" t="n"/>
      <c r="G2155" s="21" t="n"/>
      <c r="H2155" s="12">
        <f>IF(AND(B2155="",D2155="",F2155=""),"",IF(NOT(ISNUMBER(B2155)),"Needs a date",IF(D2155="","Needs a client",IF(COUNTIF(Clients!$B$6:$B$105,D2155)=0,"Not on Clients",IF(AND(F2155="",INT(B2155)&lt;TODAY()),"Needs a status","")))))</f>
        <v/>
      </c>
      <c r="I2155" s="1">
        <f>IF(ISNUMBER(B2155),INT(B2155),0)</f>
        <v/>
      </c>
      <c r="J2155">
        <f>IF(ISNUMBER(B2155),YEAR(B2155)*100+MONTH(B2155),"")</f>
        <v/>
      </c>
      <c r="K2155">
        <f>IF(AND(H2155="",OR(F2155="Attended",F2155="No-show",AND(F2155="Late cancel",Settings!$C$9="Yes"))),1,0)</f>
        <v/>
      </c>
      <c r="L2155">
        <f>IF(AND(H2155="",F2155="Attended"),1,0)</f>
        <v/>
      </c>
      <c r="M2155">
        <f>IF(AND(H2155="",OR(F2155="No-show",F2155="Late cancel")),1,0)</f>
        <v/>
      </c>
      <c r="N2155">
        <f>IF(AND(H2155="",F2155="",D2155&lt;&gt;"",I2155&gt;=TODAY()),ROUND((I2155+IF(ISNUMBER(C2155),MOD(C2155,1),0))*1440,0)*10000+ROW(),"")</f>
        <v/>
      </c>
    </row>
    <row r="2156">
      <c r="A2156" s="1" t="n"/>
      <c r="B2156" s="17" t="n"/>
      <c r="C2156" s="18" t="n"/>
      <c r="D2156" s="19" t="n"/>
      <c r="E2156" s="20" t="n"/>
      <c r="F2156" s="20" t="n"/>
      <c r="G2156" s="21" t="n"/>
      <c r="H2156" s="12">
        <f>IF(AND(B2156="",D2156="",F2156=""),"",IF(NOT(ISNUMBER(B2156)),"Needs a date",IF(D2156="","Needs a client",IF(COUNTIF(Clients!$B$6:$B$105,D2156)=0,"Not on Clients",IF(AND(F2156="",INT(B2156)&lt;TODAY()),"Needs a status","")))))</f>
        <v/>
      </c>
      <c r="I2156" s="1">
        <f>IF(ISNUMBER(B2156),INT(B2156),0)</f>
        <v/>
      </c>
      <c r="J2156">
        <f>IF(ISNUMBER(B2156),YEAR(B2156)*100+MONTH(B2156),"")</f>
        <v/>
      </c>
      <c r="K2156">
        <f>IF(AND(H2156="",OR(F2156="Attended",F2156="No-show",AND(F2156="Late cancel",Settings!$C$9="Yes"))),1,0)</f>
        <v/>
      </c>
      <c r="L2156">
        <f>IF(AND(H2156="",F2156="Attended"),1,0)</f>
        <v/>
      </c>
      <c r="M2156">
        <f>IF(AND(H2156="",OR(F2156="No-show",F2156="Late cancel")),1,0)</f>
        <v/>
      </c>
      <c r="N2156">
        <f>IF(AND(H2156="",F2156="",D2156&lt;&gt;"",I2156&gt;=TODAY()),ROUND((I2156+IF(ISNUMBER(C2156),MOD(C2156,1),0))*1440,0)*10000+ROW(),"")</f>
        <v/>
      </c>
    </row>
    <row r="2157">
      <c r="A2157" s="1" t="n"/>
      <c r="B2157" s="17" t="n"/>
      <c r="C2157" s="18" t="n"/>
      <c r="D2157" s="19" t="n"/>
      <c r="E2157" s="20" t="n"/>
      <c r="F2157" s="20" t="n"/>
      <c r="G2157" s="21" t="n"/>
      <c r="H2157" s="12">
        <f>IF(AND(B2157="",D2157="",F2157=""),"",IF(NOT(ISNUMBER(B2157)),"Needs a date",IF(D2157="","Needs a client",IF(COUNTIF(Clients!$B$6:$B$105,D2157)=0,"Not on Clients",IF(AND(F2157="",INT(B2157)&lt;TODAY()),"Needs a status","")))))</f>
        <v/>
      </c>
      <c r="I2157" s="1">
        <f>IF(ISNUMBER(B2157),INT(B2157),0)</f>
        <v/>
      </c>
      <c r="J2157">
        <f>IF(ISNUMBER(B2157),YEAR(B2157)*100+MONTH(B2157),"")</f>
        <v/>
      </c>
      <c r="K2157">
        <f>IF(AND(H2157="",OR(F2157="Attended",F2157="No-show",AND(F2157="Late cancel",Settings!$C$9="Yes"))),1,0)</f>
        <v/>
      </c>
      <c r="L2157">
        <f>IF(AND(H2157="",F2157="Attended"),1,0)</f>
        <v/>
      </c>
      <c r="M2157">
        <f>IF(AND(H2157="",OR(F2157="No-show",F2157="Late cancel")),1,0)</f>
        <v/>
      </c>
      <c r="N2157">
        <f>IF(AND(H2157="",F2157="",D2157&lt;&gt;"",I2157&gt;=TODAY()),ROUND((I2157+IF(ISNUMBER(C2157),MOD(C2157,1),0))*1440,0)*10000+ROW(),"")</f>
        <v/>
      </c>
    </row>
    <row r="2158">
      <c r="A2158" s="1" t="n"/>
      <c r="B2158" s="17" t="n"/>
      <c r="C2158" s="18" t="n"/>
      <c r="D2158" s="19" t="n"/>
      <c r="E2158" s="20" t="n"/>
      <c r="F2158" s="20" t="n"/>
      <c r="G2158" s="21" t="n"/>
      <c r="H2158" s="12">
        <f>IF(AND(B2158="",D2158="",F2158=""),"",IF(NOT(ISNUMBER(B2158)),"Needs a date",IF(D2158="","Needs a client",IF(COUNTIF(Clients!$B$6:$B$105,D2158)=0,"Not on Clients",IF(AND(F2158="",INT(B2158)&lt;TODAY()),"Needs a status","")))))</f>
        <v/>
      </c>
      <c r="I2158" s="1">
        <f>IF(ISNUMBER(B2158),INT(B2158),0)</f>
        <v/>
      </c>
      <c r="J2158">
        <f>IF(ISNUMBER(B2158),YEAR(B2158)*100+MONTH(B2158),"")</f>
        <v/>
      </c>
      <c r="K2158">
        <f>IF(AND(H2158="",OR(F2158="Attended",F2158="No-show",AND(F2158="Late cancel",Settings!$C$9="Yes"))),1,0)</f>
        <v/>
      </c>
      <c r="L2158">
        <f>IF(AND(H2158="",F2158="Attended"),1,0)</f>
        <v/>
      </c>
      <c r="M2158">
        <f>IF(AND(H2158="",OR(F2158="No-show",F2158="Late cancel")),1,0)</f>
        <v/>
      </c>
      <c r="N2158">
        <f>IF(AND(H2158="",F2158="",D2158&lt;&gt;"",I2158&gt;=TODAY()),ROUND((I2158+IF(ISNUMBER(C2158),MOD(C2158,1),0))*1440,0)*10000+ROW(),"")</f>
        <v/>
      </c>
    </row>
    <row r="2159">
      <c r="A2159" s="1" t="n"/>
      <c r="B2159" s="17" t="n"/>
      <c r="C2159" s="18" t="n"/>
      <c r="D2159" s="19" t="n"/>
      <c r="E2159" s="20" t="n"/>
      <c r="F2159" s="20" t="n"/>
      <c r="G2159" s="21" t="n"/>
      <c r="H2159" s="12">
        <f>IF(AND(B2159="",D2159="",F2159=""),"",IF(NOT(ISNUMBER(B2159)),"Needs a date",IF(D2159="","Needs a client",IF(COUNTIF(Clients!$B$6:$B$105,D2159)=0,"Not on Clients",IF(AND(F2159="",INT(B2159)&lt;TODAY()),"Needs a status","")))))</f>
        <v/>
      </c>
      <c r="I2159" s="1">
        <f>IF(ISNUMBER(B2159),INT(B2159),0)</f>
        <v/>
      </c>
      <c r="J2159">
        <f>IF(ISNUMBER(B2159),YEAR(B2159)*100+MONTH(B2159),"")</f>
        <v/>
      </c>
      <c r="K2159">
        <f>IF(AND(H2159="",OR(F2159="Attended",F2159="No-show",AND(F2159="Late cancel",Settings!$C$9="Yes"))),1,0)</f>
        <v/>
      </c>
      <c r="L2159">
        <f>IF(AND(H2159="",F2159="Attended"),1,0)</f>
        <v/>
      </c>
      <c r="M2159">
        <f>IF(AND(H2159="",OR(F2159="No-show",F2159="Late cancel")),1,0)</f>
        <v/>
      </c>
      <c r="N2159">
        <f>IF(AND(H2159="",F2159="",D2159&lt;&gt;"",I2159&gt;=TODAY()),ROUND((I2159+IF(ISNUMBER(C2159),MOD(C2159,1),0))*1440,0)*10000+ROW(),"")</f>
        <v/>
      </c>
    </row>
    <row r="2160">
      <c r="A2160" s="1" t="n"/>
      <c r="B2160" s="17" t="n"/>
      <c r="C2160" s="18" t="n"/>
      <c r="D2160" s="19" t="n"/>
      <c r="E2160" s="20" t="n"/>
      <c r="F2160" s="20" t="n"/>
      <c r="G2160" s="21" t="n"/>
      <c r="H2160" s="12">
        <f>IF(AND(B2160="",D2160="",F2160=""),"",IF(NOT(ISNUMBER(B2160)),"Needs a date",IF(D2160="","Needs a client",IF(COUNTIF(Clients!$B$6:$B$105,D2160)=0,"Not on Clients",IF(AND(F2160="",INT(B2160)&lt;TODAY()),"Needs a status","")))))</f>
        <v/>
      </c>
      <c r="I2160" s="1">
        <f>IF(ISNUMBER(B2160),INT(B2160),0)</f>
        <v/>
      </c>
      <c r="J2160">
        <f>IF(ISNUMBER(B2160),YEAR(B2160)*100+MONTH(B2160),"")</f>
        <v/>
      </c>
      <c r="K2160">
        <f>IF(AND(H2160="",OR(F2160="Attended",F2160="No-show",AND(F2160="Late cancel",Settings!$C$9="Yes"))),1,0)</f>
        <v/>
      </c>
      <c r="L2160">
        <f>IF(AND(H2160="",F2160="Attended"),1,0)</f>
        <v/>
      </c>
      <c r="M2160">
        <f>IF(AND(H2160="",OR(F2160="No-show",F2160="Late cancel")),1,0)</f>
        <v/>
      </c>
      <c r="N2160">
        <f>IF(AND(H2160="",F2160="",D2160&lt;&gt;"",I2160&gt;=TODAY()),ROUND((I2160+IF(ISNUMBER(C2160),MOD(C2160,1),0))*1440,0)*10000+ROW(),"")</f>
        <v/>
      </c>
    </row>
    <row r="2161">
      <c r="A2161" s="1" t="n"/>
      <c r="B2161" s="17" t="n"/>
      <c r="C2161" s="18" t="n"/>
      <c r="D2161" s="19" t="n"/>
      <c r="E2161" s="20" t="n"/>
      <c r="F2161" s="20" t="n"/>
      <c r="G2161" s="21" t="n"/>
      <c r="H2161" s="12">
        <f>IF(AND(B2161="",D2161="",F2161=""),"",IF(NOT(ISNUMBER(B2161)),"Needs a date",IF(D2161="","Needs a client",IF(COUNTIF(Clients!$B$6:$B$105,D2161)=0,"Not on Clients",IF(AND(F2161="",INT(B2161)&lt;TODAY()),"Needs a status","")))))</f>
        <v/>
      </c>
      <c r="I2161" s="1">
        <f>IF(ISNUMBER(B2161),INT(B2161),0)</f>
        <v/>
      </c>
      <c r="J2161">
        <f>IF(ISNUMBER(B2161),YEAR(B2161)*100+MONTH(B2161),"")</f>
        <v/>
      </c>
      <c r="K2161">
        <f>IF(AND(H2161="",OR(F2161="Attended",F2161="No-show",AND(F2161="Late cancel",Settings!$C$9="Yes"))),1,0)</f>
        <v/>
      </c>
      <c r="L2161">
        <f>IF(AND(H2161="",F2161="Attended"),1,0)</f>
        <v/>
      </c>
      <c r="M2161">
        <f>IF(AND(H2161="",OR(F2161="No-show",F2161="Late cancel")),1,0)</f>
        <v/>
      </c>
      <c r="N2161">
        <f>IF(AND(H2161="",F2161="",D2161&lt;&gt;"",I2161&gt;=TODAY()),ROUND((I2161+IF(ISNUMBER(C2161),MOD(C2161,1),0))*1440,0)*10000+ROW(),"")</f>
        <v/>
      </c>
    </row>
    <row r="2162">
      <c r="A2162" s="1" t="n"/>
      <c r="B2162" s="17" t="n"/>
      <c r="C2162" s="18" t="n"/>
      <c r="D2162" s="19" t="n"/>
      <c r="E2162" s="20" t="n"/>
      <c r="F2162" s="20" t="n"/>
      <c r="G2162" s="21" t="n"/>
      <c r="H2162" s="12">
        <f>IF(AND(B2162="",D2162="",F2162=""),"",IF(NOT(ISNUMBER(B2162)),"Needs a date",IF(D2162="","Needs a client",IF(COUNTIF(Clients!$B$6:$B$105,D2162)=0,"Not on Clients",IF(AND(F2162="",INT(B2162)&lt;TODAY()),"Needs a status","")))))</f>
        <v/>
      </c>
      <c r="I2162" s="1">
        <f>IF(ISNUMBER(B2162),INT(B2162),0)</f>
        <v/>
      </c>
      <c r="J2162">
        <f>IF(ISNUMBER(B2162),YEAR(B2162)*100+MONTH(B2162),"")</f>
        <v/>
      </c>
      <c r="K2162">
        <f>IF(AND(H2162="",OR(F2162="Attended",F2162="No-show",AND(F2162="Late cancel",Settings!$C$9="Yes"))),1,0)</f>
        <v/>
      </c>
      <c r="L2162">
        <f>IF(AND(H2162="",F2162="Attended"),1,0)</f>
        <v/>
      </c>
      <c r="M2162">
        <f>IF(AND(H2162="",OR(F2162="No-show",F2162="Late cancel")),1,0)</f>
        <v/>
      </c>
      <c r="N2162">
        <f>IF(AND(H2162="",F2162="",D2162&lt;&gt;"",I2162&gt;=TODAY()),ROUND((I2162+IF(ISNUMBER(C2162),MOD(C2162,1),0))*1440,0)*10000+ROW(),"")</f>
        <v/>
      </c>
    </row>
    <row r="2163">
      <c r="A2163" s="1" t="n"/>
      <c r="B2163" s="17" t="n"/>
      <c r="C2163" s="18" t="n"/>
      <c r="D2163" s="19" t="n"/>
      <c r="E2163" s="20" t="n"/>
      <c r="F2163" s="20" t="n"/>
      <c r="G2163" s="21" t="n"/>
      <c r="H2163" s="12">
        <f>IF(AND(B2163="",D2163="",F2163=""),"",IF(NOT(ISNUMBER(B2163)),"Needs a date",IF(D2163="","Needs a client",IF(COUNTIF(Clients!$B$6:$B$105,D2163)=0,"Not on Clients",IF(AND(F2163="",INT(B2163)&lt;TODAY()),"Needs a status","")))))</f>
        <v/>
      </c>
      <c r="I2163" s="1">
        <f>IF(ISNUMBER(B2163),INT(B2163),0)</f>
        <v/>
      </c>
      <c r="J2163">
        <f>IF(ISNUMBER(B2163),YEAR(B2163)*100+MONTH(B2163),"")</f>
        <v/>
      </c>
      <c r="K2163">
        <f>IF(AND(H2163="",OR(F2163="Attended",F2163="No-show",AND(F2163="Late cancel",Settings!$C$9="Yes"))),1,0)</f>
        <v/>
      </c>
      <c r="L2163">
        <f>IF(AND(H2163="",F2163="Attended"),1,0)</f>
        <v/>
      </c>
      <c r="M2163">
        <f>IF(AND(H2163="",OR(F2163="No-show",F2163="Late cancel")),1,0)</f>
        <v/>
      </c>
      <c r="N2163">
        <f>IF(AND(H2163="",F2163="",D2163&lt;&gt;"",I2163&gt;=TODAY()),ROUND((I2163+IF(ISNUMBER(C2163),MOD(C2163,1),0))*1440,0)*10000+ROW(),"")</f>
        <v/>
      </c>
    </row>
    <row r="2164">
      <c r="A2164" s="1" t="n"/>
      <c r="B2164" s="17" t="n"/>
      <c r="C2164" s="18" t="n"/>
      <c r="D2164" s="19" t="n"/>
      <c r="E2164" s="20" t="n"/>
      <c r="F2164" s="20" t="n"/>
      <c r="G2164" s="21" t="n"/>
      <c r="H2164" s="12">
        <f>IF(AND(B2164="",D2164="",F2164=""),"",IF(NOT(ISNUMBER(B2164)),"Needs a date",IF(D2164="","Needs a client",IF(COUNTIF(Clients!$B$6:$B$105,D2164)=0,"Not on Clients",IF(AND(F2164="",INT(B2164)&lt;TODAY()),"Needs a status","")))))</f>
        <v/>
      </c>
      <c r="I2164" s="1">
        <f>IF(ISNUMBER(B2164),INT(B2164),0)</f>
        <v/>
      </c>
      <c r="J2164">
        <f>IF(ISNUMBER(B2164),YEAR(B2164)*100+MONTH(B2164),"")</f>
        <v/>
      </c>
      <c r="K2164">
        <f>IF(AND(H2164="",OR(F2164="Attended",F2164="No-show",AND(F2164="Late cancel",Settings!$C$9="Yes"))),1,0)</f>
        <v/>
      </c>
      <c r="L2164">
        <f>IF(AND(H2164="",F2164="Attended"),1,0)</f>
        <v/>
      </c>
      <c r="M2164">
        <f>IF(AND(H2164="",OR(F2164="No-show",F2164="Late cancel")),1,0)</f>
        <v/>
      </c>
      <c r="N2164">
        <f>IF(AND(H2164="",F2164="",D2164&lt;&gt;"",I2164&gt;=TODAY()),ROUND((I2164+IF(ISNUMBER(C2164),MOD(C2164,1),0))*1440,0)*10000+ROW(),"")</f>
        <v/>
      </c>
    </row>
    <row r="2165">
      <c r="A2165" s="1" t="n"/>
      <c r="B2165" s="17" t="n"/>
      <c r="C2165" s="18" t="n"/>
      <c r="D2165" s="19" t="n"/>
      <c r="E2165" s="20" t="n"/>
      <c r="F2165" s="20" t="n"/>
      <c r="G2165" s="21" t="n"/>
      <c r="H2165" s="12">
        <f>IF(AND(B2165="",D2165="",F2165=""),"",IF(NOT(ISNUMBER(B2165)),"Needs a date",IF(D2165="","Needs a client",IF(COUNTIF(Clients!$B$6:$B$105,D2165)=0,"Not on Clients",IF(AND(F2165="",INT(B2165)&lt;TODAY()),"Needs a status","")))))</f>
        <v/>
      </c>
      <c r="I2165" s="1">
        <f>IF(ISNUMBER(B2165),INT(B2165),0)</f>
        <v/>
      </c>
      <c r="J2165">
        <f>IF(ISNUMBER(B2165),YEAR(B2165)*100+MONTH(B2165),"")</f>
        <v/>
      </c>
      <c r="K2165">
        <f>IF(AND(H2165="",OR(F2165="Attended",F2165="No-show",AND(F2165="Late cancel",Settings!$C$9="Yes"))),1,0)</f>
        <v/>
      </c>
      <c r="L2165">
        <f>IF(AND(H2165="",F2165="Attended"),1,0)</f>
        <v/>
      </c>
      <c r="M2165">
        <f>IF(AND(H2165="",OR(F2165="No-show",F2165="Late cancel")),1,0)</f>
        <v/>
      </c>
      <c r="N2165">
        <f>IF(AND(H2165="",F2165="",D2165&lt;&gt;"",I2165&gt;=TODAY()),ROUND((I2165+IF(ISNUMBER(C2165),MOD(C2165,1),0))*1440,0)*10000+ROW(),"")</f>
        <v/>
      </c>
    </row>
    <row r="2166">
      <c r="A2166" s="1" t="n"/>
      <c r="B2166" s="17" t="n"/>
      <c r="C2166" s="18" t="n"/>
      <c r="D2166" s="19" t="n"/>
      <c r="E2166" s="20" t="n"/>
      <c r="F2166" s="20" t="n"/>
      <c r="G2166" s="21" t="n"/>
      <c r="H2166" s="12">
        <f>IF(AND(B2166="",D2166="",F2166=""),"",IF(NOT(ISNUMBER(B2166)),"Needs a date",IF(D2166="","Needs a client",IF(COUNTIF(Clients!$B$6:$B$105,D2166)=0,"Not on Clients",IF(AND(F2166="",INT(B2166)&lt;TODAY()),"Needs a status","")))))</f>
        <v/>
      </c>
      <c r="I2166" s="1">
        <f>IF(ISNUMBER(B2166),INT(B2166),0)</f>
        <v/>
      </c>
      <c r="J2166">
        <f>IF(ISNUMBER(B2166),YEAR(B2166)*100+MONTH(B2166),"")</f>
        <v/>
      </c>
      <c r="K2166">
        <f>IF(AND(H2166="",OR(F2166="Attended",F2166="No-show",AND(F2166="Late cancel",Settings!$C$9="Yes"))),1,0)</f>
        <v/>
      </c>
      <c r="L2166">
        <f>IF(AND(H2166="",F2166="Attended"),1,0)</f>
        <v/>
      </c>
      <c r="M2166">
        <f>IF(AND(H2166="",OR(F2166="No-show",F2166="Late cancel")),1,0)</f>
        <v/>
      </c>
      <c r="N2166">
        <f>IF(AND(H2166="",F2166="",D2166&lt;&gt;"",I2166&gt;=TODAY()),ROUND((I2166+IF(ISNUMBER(C2166),MOD(C2166,1),0))*1440,0)*10000+ROW(),"")</f>
        <v/>
      </c>
    </row>
    <row r="2167">
      <c r="A2167" s="1" t="n"/>
      <c r="B2167" s="17" t="n"/>
      <c r="C2167" s="18" t="n"/>
      <c r="D2167" s="19" t="n"/>
      <c r="E2167" s="20" t="n"/>
      <c r="F2167" s="20" t="n"/>
      <c r="G2167" s="21" t="n"/>
      <c r="H2167" s="12">
        <f>IF(AND(B2167="",D2167="",F2167=""),"",IF(NOT(ISNUMBER(B2167)),"Needs a date",IF(D2167="","Needs a client",IF(COUNTIF(Clients!$B$6:$B$105,D2167)=0,"Not on Clients",IF(AND(F2167="",INT(B2167)&lt;TODAY()),"Needs a status","")))))</f>
        <v/>
      </c>
      <c r="I2167" s="1">
        <f>IF(ISNUMBER(B2167),INT(B2167),0)</f>
        <v/>
      </c>
      <c r="J2167">
        <f>IF(ISNUMBER(B2167),YEAR(B2167)*100+MONTH(B2167),"")</f>
        <v/>
      </c>
      <c r="K2167">
        <f>IF(AND(H2167="",OR(F2167="Attended",F2167="No-show",AND(F2167="Late cancel",Settings!$C$9="Yes"))),1,0)</f>
        <v/>
      </c>
      <c r="L2167">
        <f>IF(AND(H2167="",F2167="Attended"),1,0)</f>
        <v/>
      </c>
      <c r="M2167">
        <f>IF(AND(H2167="",OR(F2167="No-show",F2167="Late cancel")),1,0)</f>
        <v/>
      </c>
      <c r="N2167">
        <f>IF(AND(H2167="",F2167="",D2167&lt;&gt;"",I2167&gt;=TODAY()),ROUND((I2167+IF(ISNUMBER(C2167),MOD(C2167,1),0))*1440,0)*10000+ROW(),"")</f>
        <v/>
      </c>
    </row>
    <row r="2168">
      <c r="A2168" s="1" t="n"/>
      <c r="B2168" s="17" t="n"/>
      <c r="C2168" s="18" t="n"/>
      <c r="D2168" s="19" t="n"/>
      <c r="E2168" s="20" t="n"/>
      <c r="F2168" s="20" t="n"/>
      <c r="G2168" s="21" t="n"/>
      <c r="H2168" s="12">
        <f>IF(AND(B2168="",D2168="",F2168=""),"",IF(NOT(ISNUMBER(B2168)),"Needs a date",IF(D2168="","Needs a client",IF(COUNTIF(Clients!$B$6:$B$105,D2168)=0,"Not on Clients",IF(AND(F2168="",INT(B2168)&lt;TODAY()),"Needs a status","")))))</f>
        <v/>
      </c>
      <c r="I2168" s="1">
        <f>IF(ISNUMBER(B2168),INT(B2168),0)</f>
        <v/>
      </c>
      <c r="J2168">
        <f>IF(ISNUMBER(B2168),YEAR(B2168)*100+MONTH(B2168),"")</f>
        <v/>
      </c>
      <c r="K2168">
        <f>IF(AND(H2168="",OR(F2168="Attended",F2168="No-show",AND(F2168="Late cancel",Settings!$C$9="Yes"))),1,0)</f>
        <v/>
      </c>
      <c r="L2168">
        <f>IF(AND(H2168="",F2168="Attended"),1,0)</f>
        <v/>
      </c>
      <c r="M2168">
        <f>IF(AND(H2168="",OR(F2168="No-show",F2168="Late cancel")),1,0)</f>
        <v/>
      </c>
      <c r="N2168">
        <f>IF(AND(H2168="",F2168="",D2168&lt;&gt;"",I2168&gt;=TODAY()),ROUND((I2168+IF(ISNUMBER(C2168),MOD(C2168,1),0))*1440,0)*10000+ROW(),"")</f>
        <v/>
      </c>
    </row>
    <row r="2169">
      <c r="A2169" s="1" t="n"/>
      <c r="B2169" s="17" t="n"/>
      <c r="C2169" s="18" t="n"/>
      <c r="D2169" s="19" t="n"/>
      <c r="E2169" s="20" t="n"/>
      <c r="F2169" s="20" t="n"/>
      <c r="G2169" s="21" t="n"/>
      <c r="H2169" s="12">
        <f>IF(AND(B2169="",D2169="",F2169=""),"",IF(NOT(ISNUMBER(B2169)),"Needs a date",IF(D2169="","Needs a client",IF(COUNTIF(Clients!$B$6:$B$105,D2169)=0,"Not on Clients",IF(AND(F2169="",INT(B2169)&lt;TODAY()),"Needs a status","")))))</f>
        <v/>
      </c>
      <c r="I2169" s="1">
        <f>IF(ISNUMBER(B2169),INT(B2169),0)</f>
        <v/>
      </c>
      <c r="J2169">
        <f>IF(ISNUMBER(B2169),YEAR(B2169)*100+MONTH(B2169),"")</f>
        <v/>
      </c>
      <c r="K2169">
        <f>IF(AND(H2169="",OR(F2169="Attended",F2169="No-show",AND(F2169="Late cancel",Settings!$C$9="Yes"))),1,0)</f>
        <v/>
      </c>
      <c r="L2169">
        <f>IF(AND(H2169="",F2169="Attended"),1,0)</f>
        <v/>
      </c>
      <c r="M2169">
        <f>IF(AND(H2169="",OR(F2169="No-show",F2169="Late cancel")),1,0)</f>
        <v/>
      </c>
      <c r="N2169">
        <f>IF(AND(H2169="",F2169="",D2169&lt;&gt;"",I2169&gt;=TODAY()),ROUND((I2169+IF(ISNUMBER(C2169),MOD(C2169,1),0))*1440,0)*10000+ROW(),"")</f>
        <v/>
      </c>
    </row>
    <row r="2170">
      <c r="A2170" s="1" t="n"/>
      <c r="B2170" s="17" t="n"/>
      <c r="C2170" s="18" t="n"/>
      <c r="D2170" s="19" t="n"/>
      <c r="E2170" s="20" t="n"/>
      <c r="F2170" s="20" t="n"/>
      <c r="G2170" s="21" t="n"/>
      <c r="H2170" s="12">
        <f>IF(AND(B2170="",D2170="",F2170=""),"",IF(NOT(ISNUMBER(B2170)),"Needs a date",IF(D2170="","Needs a client",IF(COUNTIF(Clients!$B$6:$B$105,D2170)=0,"Not on Clients",IF(AND(F2170="",INT(B2170)&lt;TODAY()),"Needs a status","")))))</f>
        <v/>
      </c>
      <c r="I2170" s="1">
        <f>IF(ISNUMBER(B2170),INT(B2170),0)</f>
        <v/>
      </c>
      <c r="J2170">
        <f>IF(ISNUMBER(B2170),YEAR(B2170)*100+MONTH(B2170),"")</f>
        <v/>
      </c>
      <c r="K2170">
        <f>IF(AND(H2170="",OR(F2170="Attended",F2170="No-show",AND(F2170="Late cancel",Settings!$C$9="Yes"))),1,0)</f>
        <v/>
      </c>
      <c r="L2170">
        <f>IF(AND(H2170="",F2170="Attended"),1,0)</f>
        <v/>
      </c>
      <c r="M2170">
        <f>IF(AND(H2170="",OR(F2170="No-show",F2170="Late cancel")),1,0)</f>
        <v/>
      </c>
      <c r="N2170">
        <f>IF(AND(H2170="",F2170="",D2170&lt;&gt;"",I2170&gt;=TODAY()),ROUND((I2170+IF(ISNUMBER(C2170),MOD(C2170,1),0))*1440,0)*10000+ROW(),"")</f>
        <v/>
      </c>
    </row>
    <row r="2171">
      <c r="A2171" s="1" t="n"/>
      <c r="B2171" s="17" t="n"/>
      <c r="C2171" s="18" t="n"/>
      <c r="D2171" s="19" t="n"/>
      <c r="E2171" s="20" t="n"/>
      <c r="F2171" s="20" t="n"/>
      <c r="G2171" s="21" t="n"/>
      <c r="H2171" s="12">
        <f>IF(AND(B2171="",D2171="",F2171=""),"",IF(NOT(ISNUMBER(B2171)),"Needs a date",IF(D2171="","Needs a client",IF(COUNTIF(Clients!$B$6:$B$105,D2171)=0,"Not on Clients",IF(AND(F2171="",INT(B2171)&lt;TODAY()),"Needs a status","")))))</f>
        <v/>
      </c>
      <c r="I2171" s="1">
        <f>IF(ISNUMBER(B2171),INT(B2171),0)</f>
        <v/>
      </c>
      <c r="J2171">
        <f>IF(ISNUMBER(B2171),YEAR(B2171)*100+MONTH(B2171),"")</f>
        <v/>
      </c>
      <c r="K2171">
        <f>IF(AND(H2171="",OR(F2171="Attended",F2171="No-show",AND(F2171="Late cancel",Settings!$C$9="Yes"))),1,0)</f>
        <v/>
      </c>
      <c r="L2171">
        <f>IF(AND(H2171="",F2171="Attended"),1,0)</f>
        <v/>
      </c>
      <c r="M2171">
        <f>IF(AND(H2171="",OR(F2171="No-show",F2171="Late cancel")),1,0)</f>
        <v/>
      </c>
      <c r="N2171">
        <f>IF(AND(H2171="",F2171="",D2171&lt;&gt;"",I2171&gt;=TODAY()),ROUND((I2171+IF(ISNUMBER(C2171),MOD(C2171,1),0))*1440,0)*10000+ROW(),"")</f>
        <v/>
      </c>
    </row>
    <row r="2172">
      <c r="A2172" s="1" t="n"/>
      <c r="B2172" s="17" t="n"/>
      <c r="C2172" s="18" t="n"/>
      <c r="D2172" s="19" t="n"/>
      <c r="E2172" s="20" t="n"/>
      <c r="F2172" s="20" t="n"/>
      <c r="G2172" s="21" t="n"/>
      <c r="H2172" s="12">
        <f>IF(AND(B2172="",D2172="",F2172=""),"",IF(NOT(ISNUMBER(B2172)),"Needs a date",IF(D2172="","Needs a client",IF(COUNTIF(Clients!$B$6:$B$105,D2172)=0,"Not on Clients",IF(AND(F2172="",INT(B2172)&lt;TODAY()),"Needs a status","")))))</f>
        <v/>
      </c>
      <c r="I2172" s="1">
        <f>IF(ISNUMBER(B2172),INT(B2172),0)</f>
        <v/>
      </c>
      <c r="J2172">
        <f>IF(ISNUMBER(B2172),YEAR(B2172)*100+MONTH(B2172),"")</f>
        <v/>
      </c>
      <c r="K2172">
        <f>IF(AND(H2172="",OR(F2172="Attended",F2172="No-show",AND(F2172="Late cancel",Settings!$C$9="Yes"))),1,0)</f>
        <v/>
      </c>
      <c r="L2172">
        <f>IF(AND(H2172="",F2172="Attended"),1,0)</f>
        <v/>
      </c>
      <c r="M2172">
        <f>IF(AND(H2172="",OR(F2172="No-show",F2172="Late cancel")),1,0)</f>
        <v/>
      </c>
      <c r="N2172">
        <f>IF(AND(H2172="",F2172="",D2172&lt;&gt;"",I2172&gt;=TODAY()),ROUND((I2172+IF(ISNUMBER(C2172),MOD(C2172,1),0))*1440,0)*10000+ROW(),"")</f>
        <v/>
      </c>
    </row>
    <row r="2173">
      <c r="A2173" s="1" t="n"/>
      <c r="B2173" s="17" t="n"/>
      <c r="C2173" s="18" t="n"/>
      <c r="D2173" s="19" t="n"/>
      <c r="E2173" s="20" t="n"/>
      <c r="F2173" s="20" t="n"/>
      <c r="G2173" s="21" t="n"/>
      <c r="H2173" s="12">
        <f>IF(AND(B2173="",D2173="",F2173=""),"",IF(NOT(ISNUMBER(B2173)),"Needs a date",IF(D2173="","Needs a client",IF(COUNTIF(Clients!$B$6:$B$105,D2173)=0,"Not on Clients",IF(AND(F2173="",INT(B2173)&lt;TODAY()),"Needs a status","")))))</f>
        <v/>
      </c>
      <c r="I2173" s="1">
        <f>IF(ISNUMBER(B2173),INT(B2173),0)</f>
        <v/>
      </c>
      <c r="J2173">
        <f>IF(ISNUMBER(B2173),YEAR(B2173)*100+MONTH(B2173),"")</f>
        <v/>
      </c>
      <c r="K2173">
        <f>IF(AND(H2173="",OR(F2173="Attended",F2173="No-show",AND(F2173="Late cancel",Settings!$C$9="Yes"))),1,0)</f>
        <v/>
      </c>
      <c r="L2173">
        <f>IF(AND(H2173="",F2173="Attended"),1,0)</f>
        <v/>
      </c>
      <c r="M2173">
        <f>IF(AND(H2173="",OR(F2173="No-show",F2173="Late cancel")),1,0)</f>
        <v/>
      </c>
      <c r="N2173">
        <f>IF(AND(H2173="",F2173="",D2173&lt;&gt;"",I2173&gt;=TODAY()),ROUND((I2173+IF(ISNUMBER(C2173),MOD(C2173,1),0))*1440,0)*10000+ROW(),"")</f>
        <v/>
      </c>
    </row>
    <row r="2174">
      <c r="A2174" s="1" t="n"/>
      <c r="B2174" s="17" t="n"/>
      <c r="C2174" s="18" t="n"/>
      <c r="D2174" s="19" t="n"/>
      <c r="E2174" s="20" t="n"/>
      <c r="F2174" s="20" t="n"/>
      <c r="G2174" s="21" t="n"/>
      <c r="H2174" s="12">
        <f>IF(AND(B2174="",D2174="",F2174=""),"",IF(NOT(ISNUMBER(B2174)),"Needs a date",IF(D2174="","Needs a client",IF(COUNTIF(Clients!$B$6:$B$105,D2174)=0,"Not on Clients",IF(AND(F2174="",INT(B2174)&lt;TODAY()),"Needs a status","")))))</f>
        <v/>
      </c>
      <c r="I2174" s="1">
        <f>IF(ISNUMBER(B2174),INT(B2174),0)</f>
        <v/>
      </c>
      <c r="J2174">
        <f>IF(ISNUMBER(B2174),YEAR(B2174)*100+MONTH(B2174),"")</f>
        <v/>
      </c>
      <c r="K2174">
        <f>IF(AND(H2174="",OR(F2174="Attended",F2174="No-show",AND(F2174="Late cancel",Settings!$C$9="Yes"))),1,0)</f>
        <v/>
      </c>
      <c r="L2174">
        <f>IF(AND(H2174="",F2174="Attended"),1,0)</f>
        <v/>
      </c>
      <c r="M2174">
        <f>IF(AND(H2174="",OR(F2174="No-show",F2174="Late cancel")),1,0)</f>
        <v/>
      </c>
      <c r="N2174">
        <f>IF(AND(H2174="",F2174="",D2174&lt;&gt;"",I2174&gt;=TODAY()),ROUND((I2174+IF(ISNUMBER(C2174),MOD(C2174,1),0))*1440,0)*10000+ROW(),"")</f>
        <v/>
      </c>
    </row>
    <row r="2175">
      <c r="A2175" s="1" t="n"/>
      <c r="B2175" s="17" t="n"/>
      <c r="C2175" s="18" t="n"/>
      <c r="D2175" s="19" t="n"/>
      <c r="E2175" s="20" t="n"/>
      <c r="F2175" s="20" t="n"/>
      <c r="G2175" s="21" t="n"/>
      <c r="H2175" s="12">
        <f>IF(AND(B2175="",D2175="",F2175=""),"",IF(NOT(ISNUMBER(B2175)),"Needs a date",IF(D2175="","Needs a client",IF(COUNTIF(Clients!$B$6:$B$105,D2175)=0,"Not on Clients",IF(AND(F2175="",INT(B2175)&lt;TODAY()),"Needs a status","")))))</f>
        <v/>
      </c>
      <c r="I2175" s="1">
        <f>IF(ISNUMBER(B2175),INT(B2175),0)</f>
        <v/>
      </c>
      <c r="J2175">
        <f>IF(ISNUMBER(B2175),YEAR(B2175)*100+MONTH(B2175),"")</f>
        <v/>
      </c>
      <c r="K2175">
        <f>IF(AND(H2175="",OR(F2175="Attended",F2175="No-show",AND(F2175="Late cancel",Settings!$C$9="Yes"))),1,0)</f>
        <v/>
      </c>
      <c r="L2175">
        <f>IF(AND(H2175="",F2175="Attended"),1,0)</f>
        <v/>
      </c>
      <c r="M2175">
        <f>IF(AND(H2175="",OR(F2175="No-show",F2175="Late cancel")),1,0)</f>
        <v/>
      </c>
      <c r="N2175">
        <f>IF(AND(H2175="",F2175="",D2175&lt;&gt;"",I2175&gt;=TODAY()),ROUND((I2175+IF(ISNUMBER(C2175),MOD(C2175,1),0))*1440,0)*10000+ROW(),"")</f>
        <v/>
      </c>
    </row>
    <row r="2176">
      <c r="A2176" s="1" t="n"/>
      <c r="B2176" s="17" t="n"/>
      <c r="C2176" s="18" t="n"/>
      <c r="D2176" s="19" t="n"/>
      <c r="E2176" s="20" t="n"/>
      <c r="F2176" s="20" t="n"/>
      <c r="G2176" s="21" t="n"/>
      <c r="H2176" s="12">
        <f>IF(AND(B2176="",D2176="",F2176=""),"",IF(NOT(ISNUMBER(B2176)),"Needs a date",IF(D2176="","Needs a client",IF(COUNTIF(Clients!$B$6:$B$105,D2176)=0,"Not on Clients",IF(AND(F2176="",INT(B2176)&lt;TODAY()),"Needs a status","")))))</f>
        <v/>
      </c>
      <c r="I2176" s="1">
        <f>IF(ISNUMBER(B2176),INT(B2176),0)</f>
        <v/>
      </c>
      <c r="J2176">
        <f>IF(ISNUMBER(B2176),YEAR(B2176)*100+MONTH(B2176),"")</f>
        <v/>
      </c>
      <c r="K2176">
        <f>IF(AND(H2176="",OR(F2176="Attended",F2176="No-show",AND(F2176="Late cancel",Settings!$C$9="Yes"))),1,0)</f>
        <v/>
      </c>
      <c r="L2176">
        <f>IF(AND(H2176="",F2176="Attended"),1,0)</f>
        <v/>
      </c>
      <c r="M2176">
        <f>IF(AND(H2176="",OR(F2176="No-show",F2176="Late cancel")),1,0)</f>
        <v/>
      </c>
      <c r="N2176">
        <f>IF(AND(H2176="",F2176="",D2176&lt;&gt;"",I2176&gt;=TODAY()),ROUND((I2176+IF(ISNUMBER(C2176),MOD(C2176,1),0))*1440,0)*10000+ROW(),"")</f>
        <v/>
      </c>
    </row>
    <row r="2177">
      <c r="A2177" s="1" t="n"/>
      <c r="B2177" s="17" t="n"/>
      <c r="C2177" s="18" t="n"/>
      <c r="D2177" s="19" t="n"/>
      <c r="E2177" s="20" t="n"/>
      <c r="F2177" s="20" t="n"/>
      <c r="G2177" s="21" t="n"/>
      <c r="H2177" s="12">
        <f>IF(AND(B2177="",D2177="",F2177=""),"",IF(NOT(ISNUMBER(B2177)),"Needs a date",IF(D2177="","Needs a client",IF(COUNTIF(Clients!$B$6:$B$105,D2177)=0,"Not on Clients",IF(AND(F2177="",INT(B2177)&lt;TODAY()),"Needs a status","")))))</f>
        <v/>
      </c>
      <c r="I2177" s="1">
        <f>IF(ISNUMBER(B2177),INT(B2177),0)</f>
        <v/>
      </c>
      <c r="J2177">
        <f>IF(ISNUMBER(B2177),YEAR(B2177)*100+MONTH(B2177),"")</f>
        <v/>
      </c>
      <c r="K2177">
        <f>IF(AND(H2177="",OR(F2177="Attended",F2177="No-show",AND(F2177="Late cancel",Settings!$C$9="Yes"))),1,0)</f>
        <v/>
      </c>
      <c r="L2177">
        <f>IF(AND(H2177="",F2177="Attended"),1,0)</f>
        <v/>
      </c>
      <c r="M2177">
        <f>IF(AND(H2177="",OR(F2177="No-show",F2177="Late cancel")),1,0)</f>
        <v/>
      </c>
      <c r="N2177">
        <f>IF(AND(H2177="",F2177="",D2177&lt;&gt;"",I2177&gt;=TODAY()),ROUND((I2177+IF(ISNUMBER(C2177),MOD(C2177,1),0))*1440,0)*10000+ROW(),"")</f>
        <v/>
      </c>
    </row>
    <row r="2178">
      <c r="A2178" s="1" t="n"/>
      <c r="B2178" s="17" t="n"/>
      <c r="C2178" s="18" t="n"/>
      <c r="D2178" s="19" t="n"/>
      <c r="E2178" s="20" t="n"/>
      <c r="F2178" s="20" t="n"/>
      <c r="G2178" s="21" t="n"/>
      <c r="H2178" s="12">
        <f>IF(AND(B2178="",D2178="",F2178=""),"",IF(NOT(ISNUMBER(B2178)),"Needs a date",IF(D2178="","Needs a client",IF(COUNTIF(Clients!$B$6:$B$105,D2178)=0,"Not on Clients",IF(AND(F2178="",INT(B2178)&lt;TODAY()),"Needs a status","")))))</f>
        <v/>
      </c>
      <c r="I2178" s="1">
        <f>IF(ISNUMBER(B2178),INT(B2178),0)</f>
        <v/>
      </c>
      <c r="J2178">
        <f>IF(ISNUMBER(B2178),YEAR(B2178)*100+MONTH(B2178),"")</f>
        <v/>
      </c>
      <c r="K2178">
        <f>IF(AND(H2178="",OR(F2178="Attended",F2178="No-show",AND(F2178="Late cancel",Settings!$C$9="Yes"))),1,0)</f>
        <v/>
      </c>
      <c r="L2178">
        <f>IF(AND(H2178="",F2178="Attended"),1,0)</f>
        <v/>
      </c>
      <c r="M2178">
        <f>IF(AND(H2178="",OR(F2178="No-show",F2178="Late cancel")),1,0)</f>
        <v/>
      </c>
      <c r="N2178">
        <f>IF(AND(H2178="",F2178="",D2178&lt;&gt;"",I2178&gt;=TODAY()),ROUND((I2178+IF(ISNUMBER(C2178),MOD(C2178,1),0))*1440,0)*10000+ROW(),"")</f>
        <v/>
      </c>
    </row>
    <row r="2179">
      <c r="A2179" s="1" t="n"/>
      <c r="B2179" s="17" t="n"/>
      <c r="C2179" s="18" t="n"/>
      <c r="D2179" s="19" t="n"/>
      <c r="E2179" s="20" t="n"/>
      <c r="F2179" s="20" t="n"/>
      <c r="G2179" s="21" t="n"/>
      <c r="H2179" s="12">
        <f>IF(AND(B2179="",D2179="",F2179=""),"",IF(NOT(ISNUMBER(B2179)),"Needs a date",IF(D2179="","Needs a client",IF(COUNTIF(Clients!$B$6:$B$105,D2179)=0,"Not on Clients",IF(AND(F2179="",INT(B2179)&lt;TODAY()),"Needs a status","")))))</f>
        <v/>
      </c>
      <c r="I2179" s="1">
        <f>IF(ISNUMBER(B2179),INT(B2179),0)</f>
        <v/>
      </c>
      <c r="J2179">
        <f>IF(ISNUMBER(B2179),YEAR(B2179)*100+MONTH(B2179),"")</f>
        <v/>
      </c>
      <c r="K2179">
        <f>IF(AND(H2179="",OR(F2179="Attended",F2179="No-show",AND(F2179="Late cancel",Settings!$C$9="Yes"))),1,0)</f>
        <v/>
      </c>
      <c r="L2179">
        <f>IF(AND(H2179="",F2179="Attended"),1,0)</f>
        <v/>
      </c>
      <c r="M2179">
        <f>IF(AND(H2179="",OR(F2179="No-show",F2179="Late cancel")),1,0)</f>
        <v/>
      </c>
      <c r="N2179">
        <f>IF(AND(H2179="",F2179="",D2179&lt;&gt;"",I2179&gt;=TODAY()),ROUND((I2179+IF(ISNUMBER(C2179),MOD(C2179,1),0))*1440,0)*10000+ROW(),"")</f>
        <v/>
      </c>
    </row>
    <row r="2180">
      <c r="A2180" s="1" t="n"/>
      <c r="B2180" s="17" t="n"/>
      <c r="C2180" s="18" t="n"/>
      <c r="D2180" s="19" t="n"/>
      <c r="E2180" s="20" t="n"/>
      <c r="F2180" s="20" t="n"/>
      <c r="G2180" s="21" t="n"/>
      <c r="H2180" s="12">
        <f>IF(AND(B2180="",D2180="",F2180=""),"",IF(NOT(ISNUMBER(B2180)),"Needs a date",IF(D2180="","Needs a client",IF(COUNTIF(Clients!$B$6:$B$105,D2180)=0,"Not on Clients",IF(AND(F2180="",INT(B2180)&lt;TODAY()),"Needs a status","")))))</f>
        <v/>
      </c>
      <c r="I2180" s="1">
        <f>IF(ISNUMBER(B2180),INT(B2180),0)</f>
        <v/>
      </c>
      <c r="J2180">
        <f>IF(ISNUMBER(B2180),YEAR(B2180)*100+MONTH(B2180),"")</f>
        <v/>
      </c>
      <c r="K2180">
        <f>IF(AND(H2180="",OR(F2180="Attended",F2180="No-show",AND(F2180="Late cancel",Settings!$C$9="Yes"))),1,0)</f>
        <v/>
      </c>
      <c r="L2180">
        <f>IF(AND(H2180="",F2180="Attended"),1,0)</f>
        <v/>
      </c>
      <c r="M2180">
        <f>IF(AND(H2180="",OR(F2180="No-show",F2180="Late cancel")),1,0)</f>
        <v/>
      </c>
      <c r="N2180">
        <f>IF(AND(H2180="",F2180="",D2180&lt;&gt;"",I2180&gt;=TODAY()),ROUND((I2180+IF(ISNUMBER(C2180),MOD(C2180,1),0))*1440,0)*10000+ROW(),"")</f>
        <v/>
      </c>
    </row>
    <row r="2181">
      <c r="A2181" s="1" t="n"/>
      <c r="B2181" s="17" t="n"/>
      <c r="C2181" s="18" t="n"/>
      <c r="D2181" s="19" t="n"/>
      <c r="E2181" s="20" t="n"/>
      <c r="F2181" s="20" t="n"/>
      <c r="G2181" s="21" t="n"/>
      <c r="H2181" s="12">
        <f>IF(AND(B2181="",D2181="",F2181=""),"",IF(NOT(ISNUMBER(B2181)),"Needs a date",IF(D2181="","Needs a client",IF(COUNTIF(Clients!$B$6:$B$105,D2181)=0,"Not on Clients",IF(AND(F2181="",INT(B2181)&lt;TODAY()),"Needs a status","")))))</f>
        <v/>
      </c>
      <c r="I2181" s="1">
        <f>IF(ISNUMBER(B2181),INT(B2181),0)</f>
        <v/>
      </c>
      <c r="J2181">
        <f>IF(ISNUMBER(B2181),YEAR(B2181)*100+MONTH(B2181),"")</f>
        <v/>
      </c>
      <c r="K2181">
        <f>IF(AND(H2181="",OR(F2181="Attended",F2181="No-show",AND(F2181="Late cancel",Settings!$C$9="Yes"))),1,0)</f>
        <v/>
      </c>
      <c r="L2181">
        <f>IF(AND(H2181="",F2181="Attended"),1,0)</f>
        <v/>
      </c>
      <c r="M2181">
        <f>IF(AND(H2181="",OR(F2181="No-show",F2181="Late cancel")),1,0)</f>
        <v/>
      </c>
      <c r="N2181">
        <f>IF(AND(H2181="",F2181="",D2181&lt;&gt;"",I2181&gt;=TODAY()),ROUND((I2181+IF(ISNUMBER(C2181),MOD(C2181,1),0))*1440,0)*10000+ROW(),"")</f>
        <v/>
      </c>
    </row>
    <row r="2182">
      <c r="A2182" s="1" t="n"/>
      <c r="B2182" s="17" t="n"/>
      <c r="C2182" s="18" t="n"/>
      <c r="D2182" s="19" t="n"/>
      <c r="E2182" s="20" t="n"/>
      <c r="F2182" s="20" t="n"/>
      <c r="G2182" s="21" t="n"/>
      <c r="H2182" s="12">
        <f>IF(AND(B2182="",D2182="",F2182=""),"",IF(NOT(ISNUMBER(B2182)),"Needs a date",IF(D2182="","Needs a client",IF(COUNTIF(Clients!$B$6:$B$105,D2182)=0,"Not on Clients",IF(AND(F2182="",INT(B2182)&lt;TODAY()),"Needs a status","")))))</f>
        <v/>
      </c>
      <c r="I2182" s="1">
        <f>IF(ISNUMBER(B2182),INT(B2182),0)</f>
        <v/>
      </c>
      <c r="J2182">
        <f>IF(ISNUMBER(B2182),YEAR(B2182)*100+MONTH(B2182),"")</f>
        <v/>
      </c>
      <c r="K2182">
        <f>IF(AND(H2182="",OR(F2182="Attended",F2182="No-show",AND(F2182="Late cancel",Settings!$C$9="Yes"))),1,0)</f>
        <v/>
      </c>
      <c r="L2182">
        <f>IF(AND(H2182="",F2182="Attended"),1,0)</f>
        <v/>
      </c>
      <c r="M2182">
        <f>IF(AND(H2182="",OR(F2182="No-show",F2182="Late cancel")),1,0)</f>
        <v/>
      </c>
      <c r="N2182">
        <f>IF(AND(H2182="",F2182="",D2182&lt;&gt;"",I2182&gt;=TODAY()),ROUND((I2182+IF(ISNUMBER(C2182),MOD(C2182,1),0))*1440,0)*10000+ROW(),"")</f>
        <v/>
      </c>
    </row>
    <row r="2183">
      <c r="A2183" s="1" t="n"/>
      <c r="B2183" s="17" t="n"/>
      <c r="C2183" s="18" t="n"/>
      <c r="D2183" s="19" t="n"/>
      <c r="E2183" s="20" t="n"/>
      <c r="F2183" s="20" t="n"/>
      <c r="G2183" s="21" t="n"/>
      <c r="H2183" s="12">
        <f>IF(AND(B2183="",D2183="",F2183=""),"",IF(NOT(ISNUMBER(B2183)),"Needs a date",IF(D2183="","Needs a client",IF(COUNTIF(Clients!$B$6:$B$105,D2183)=0,"Not on Clients",IF(AND(F2183="",INT(B2183)&lt;TODAY()),"Needs a status","")))))</f>
        <v/>
      </c>
      <c r="I2183" s="1">
        <f>IF(ISNUMBER(B2183),INT(B2183),0)</f>
        <v/>
      </c>
      <c r="J2183">
        <f>IF(ISNUMBER(B2183),YEAR(B2183)*100+MONTH(B2183),"")</f>
        <v/>
      </c>
      <c r="K2183">
        <f>IF(AND(H2183="",OR(F2183="Attended",F2183="No-show",AND(F2183="Late cancel",Settings!$C$9="Yes"))),1,0)</f>
        <v/>
      </c>
      <c r="L2183">
        <f>IF(AND(H2183="",F2183="Attended"),1,0)</f>
        <v/>
      </c>
      <c r="M2183">
        <f>IF(AND(H2183="",OR(F2183="No-show",F2183="Late cancel")),1,0)</f>
        <v/>
      </c>
      <c r="N2183">
        <f>IF(AND(H2183="",F2183="",D2183&lt;&gt;"",I2183&gt;=TODAY()),ROUND((I2183+IF(ISNUMBER(C2183),MOD(C2183,1),0))*1440,0)*10000+ROW(),"")</f>
        <v/>
      </c>
    </row>
    <row r="2184">
      <c r="A2184" s="1" t="n"/>
      <c r="B2184" s="17" t="n"/>
      <c r="C2184" s="18" t="n"/>
      <c r="D2184" s="19" t="n"/>
      <c r="E2184" s="20" t="n"/>
      <c r="F2184" s="20" t="n"/>
      <c r="G2184" s="21" t="n"/>
      <c r="H2184" s="12">
        <f>IF(AND(B2184="",D2184="",F2184=""),"",IF(NOT(ISNUMBER(B2184)),"Needs a date",IF(D2184="","Needs a client",IF(COUNTIF(Clients!$B$6:$B$105,D2184)=0,"Not on Clients",IF(AND(F2184="",INT(B2184)&lt;TODAY()),"Needs a status","")))))</f>
        <v/>
      </c>
      <c r="I2184" s="1">
        <f>IF(ISNUMBER(B2184),INT(B2184),0)</f>
        <v/>
      </c>
      <c r="J2184">
        <f>IF(ISNUMBER(B2184),YEAR(B2184)*100+MONTH(B2184),"")</f>
        <v/>
      </c>
      <c r="K2184">
        <f>IF(AND(H2184="",OR(F2184="Attended",F2184="No-show",AND(F2184="Late cancel",Settings!$C$9="Yes"))),1,0)</f>
        <v/>
      </c>
      <c r="L2184">
        <f>IF(AND(H2184="",F2184="Attended"),1,0)</f>
        <v/>
      </c>
      <c r="M2184">
        <f>IF(AND(H2184="",OR(F2184="No-show",F2184="Late cancel")),1,0)</f>
        <v/>
      </c>
      <c r="N2184">
        <f>IF(AND(H2184="",F2184="",D2184&lt;&gt;"",I2184&gt;=TODAY()),ROUND((I2184+IF(ISNUMBER(C2184),MOD(C2184,1),0))*1440,0)*10000+ROW(),"")</f>
        <v/>
      </c>
    </row>
    <row r="2185">
      <c r="A2185" s="1" t="n"/>
      <c r="B2185" s="17" t="n"/>
      <c r="C2185" s="18" t="n"/>
      <c r="D2185" s="19" t="n"/>
      <c r="E2185" s="20" t="n"/>
      <c r="F2185" s="20" t="n"/>
      <c r="G2185" s="21" t="n"/>
      <c r="H2185" s="12">
        <f>IF(AND(B2185="",D2185="",F2185=""),"",IF(NOT(ISNUMBER(B2185)),"Needs a date",IF(D2185="","Needs a client",IF(COUNTIF(Clients!$B$6:$B$105,D2185)=0,"Not on Clients",IF(AND(F2185="",INT(B2185)&lt;TODAY()),"Needs a status","")))))</f>
        <v/>
      </c>
      <c r="I2185" s="1">
        <f>IF(ISNUMBER(B2185),INT(B2185),0)</f>
        <v/>
      </c>
      <c r="J2185">
        <f>IF(ISNUMBER(B2185),YEAR(B2185)*100+MONTH(B2185),"")</f>
        <v/>
      </c>
      <c r="K2185">
        <f>IF(AND(H2185="",OR(F2185="Attended",F2185="No-show",AND(F2185="Late cancel",Settings!$C$9="Yes"))),1,0)</f>
        <v/>
      </c>
      <c r="L2185">
        <f>IF(AND(H2185="",F2185="Attended"),1,0)</f>
        <v/>
      </c>
      <c r="M2185">
        <f>IF(AND(H2185="",OR(F2185="No-show",F2185="Late cancel")),1,0)</f>
        <v/>
      </c>
      <c r="N2185">
        <f>IF(AND(H2185="",F2185="",D2185&lt;&gt;"",I2185&gt;=TODAY()),ROUND((I2185+IF(ISNUMBER(C2185),MOD(C2185,1),0))*1440,0)*10000+ROW(),"")</f>
        <v/>
      </c>
    </row>
    <row r="2186">
      <c r="A2186" s="1" t="n"/>
      <c r="B2186" s="17" t="n"/>
      <c r="C2186" s="18" t="n"/>
      <c r="D2186" s="19" t="n"/>
      <c r="E2186" s="20" t="n"/>
      <c r="F2186" s="20" t="n"/>
      <c r="G2186" s="21" t="n"/>
      <c r="H2186" s="12">
        <f>IF(AND(B2186="",D2186="",F2186=""),"",IF(NOT(ISNUMBER(B2186)),"Needs a date",IF(D2186="","Needs a client",IF(COUNTIF(Clients!$B$6:$B$105,D2186)=0,"Not on Clients",IF(AND(F2186="",INT(B2186)&lt;TODAY()),"Needs a status","")))))</f>
        <v/>
      </c>
      <c r="I2186" s="1">
        <f>IF(ISNUMBER(B2186),INT(B2186),0)</f>
        <v/>
      </c>
      <c r="J2186">
        <f>IF(ISNUMBER(B2186),YEAR(B2186)*100+MONTH(B2186),"")</f>
        <v/>
      </c>
      <c r="K2186">
        <f>IF(AND(H2186="",OR(F2186="Attended",F2186="No-show",AND(F2186="Late cancel",Settings!$C$9="Yes"))),1,0)</f>
        <v/>
      </c>
      <c r="L2186">
        <f>IF(AND(H2186="",F2186="Attended"),1,0)</f>
        <v/>
      </c>
      <c r="M2186">
        <f>IF(AND(H2186="",OR(F2186="No-show",F2186="Late cancel")),1,0)</f>
        <v/>
      </c>
      <c r="N2186">
        <f>IF(AND(H2186="",F2186="",D2186&lt;&gt;"",I2186&gt;=TODAY()),ROUND((I2186+IF(ISNUMBER(C2186),MOD(C2186,1),0))*1440,0)*10000+ROW(),"")</f>
        <v/>
      </c>
    </row>
    <row r="2187">
      <c r="A2187" s="1" t="n"/>
      <c r="B2187" s="17" t="n"/>
      <c r="C2187" s="18" t="n"/>
      <c r="D2187" s="19" t="n"/>
      <c r="E2187" s="20" t="n"/>
      <c r="F2187" s="20" t="n"/>
      <c r="G2187" s="21" t="n"/>
      <c r="H2187" s="12">
        <f>IF(AND(B2187="",D2187="",F2187=""),"",IF(NOT(ISNUMBER(B2187)),"Needs a date",IF(D2187="","Needs a client",IF(COUNTIF(Clients!$B$6:$B$105,D2187)=0,"Not on Clients",IF(AND(F2187="",INT(B2187)&lt;TODAY()),"Needs a status","")))))</f>
        <v/>
      </c>
      <c r="I2187" s="1">
        <f>IF(ISNUMBER(B2187),INT(B2187),0)</f>
        <v/>
      </c>
      <c r="J2187">
        <f>IF(ISNUMBER(B2187),YEAR(B2187)*100+MONTH(B2187),"")</f>
        <v/>
      </c>
      <c r="K2187">
        <f>IF(AND(H2187="",OR(F2187="Attended",F2187="No-show",AND(F2187="Late cancel",Settings!$C$9="Yes"))),1,0)</f>
        <v/>
      </c>
      <c r="L2187">
        <f>IF(AND(H2187="",F2187="Attended"),1,0)</f>
        <v/>
      </c>
      <c r="M2187">
        <f>IF(AND(H2187="",OR(F2187="No-show",F2187="Late cancel")),1,0)</f>
        <v/>
      </c>
      <c r="N2187">
        <f>IF(AND(H2187="",F2187="",D2187&lt;&gt;"",I2187&gt;=TODAY()),ROUND((I2187+IF(ISNUMBER(C2187),MOD(C2187,1),0))*1440,0)*10000+ROW(),"")</f>
        <v/>
      </c>
    </row>
    <row r="2188">
      <c r="A2188" s="1" t="n"/>
      <c r="B2188" s="17" t="n"/>
      <c r="C2188" s="18" t="n"/>
      <c r="D2188" s="19" t="n"/>
      <c r="E2188" s="20" t="n"/>
      <c r="F2188" s="20" t="n"/>
      <c r="G2188" s="21" t="n"/>
      <c r="H2188" s="12">
        <f>IF(AND(B2188="",D2188="",F2188=""),"",IF(NOT(ISNUMBER(B2188)),"Needs a date",IF(D2188="","Needs a client",IF(COUNTIF(Clients!$B$6:$B$105,D2188)=0,"Not on Clients",IF(AND(F2188="",INT(B2188)&lt;TODAY()),"Needs a status","")))))</f>
        <v/>
      </c>
      <c r="I2188" s="1">
        <f>IF(ISNUMBER(B2188),INT(B2188),0)</f>
        <v/>
      </c>
      <c r="J2188">
        <f>IF(ISNUMBER(B2188),YEAR(B2188)*100+MONTH(B2188),"")</f>
        <v/>
      </c>
      <c r="K2188">
        <f>IF(AND(H2188="",OR(F2188="Attended",F2188="No-show",AND(F2188="Late cancel",Settings!$C$9="Yes"))),1,0)</f>
        <v/>
      </c>
      <c r="L2188">
        <f>IF(AND(H2188="",F2188="Attended"),1,0)</f>
        <v/>
      </c>
      <c r="M2188">
        <f>IF(AND(H2188="",OR(F2188="No-show",F2188="Late cancel")),1,0)</f>
        <v/>
      </c>
      <c r="N2188">
        <f>IF(AND(H2188="",F2188="",D2188&lt;&gt;"",I2188&gt;=TODAY()),ROUND((I2188+IF(ISNUMBER(C2188),MOD(C2188,1),0))*1440,0)*10000+ROW(),"")</f>
        <v/>
      </c>
    </row>
    <row r="2189">
      <c r="A2189" s="1" t="n"/>
      <c r="B2189" s="17" t="n"/>
      <c r="C2189" s="18" t="n"/>
      <c r="D2189" s="19" t="n"/>
      <c r="E2189" s="20" t="n"/>
      <c r="F2189" s="20" t="n"/>
      <c r="G2189" s="21" t="n"/>
      <c r="H2189" s="12">
        <f>IF(AND(B2189="",D2189="",F2189=""),"",IF(NOT(ISNUMBER(B2189)),"Needs a date",IF(D2189="","Needs a client",IF(COUNTIF(Clients!$B$6:$B$105,D2189)=0,"Not on Clients",IF(AND(F2189="",INT(B2189)&lt;TODAY()),"Needs a status","")))))</f>
        <v/>
      </c>
      <c r="I2189" s="1">
        <f>IF(ISNUMBER(B2189),INT(B2189),0)</f>
        <v/>
      </c>
      <c r="J2189">
        <f>IF(ISNUMBER(B2189),YEAR(B2189)*100+MONTH(B2189),"")</f>
        <v/>
      </c>
      <c r="K2189">
        <f>IF(AND(H2189="",OR(F2189="Attended",F2189="No-show",AND(F2189="Late cancel",Settings!$C$9="Yes"))),1,0)</f>
        <v/>
      </c>
      <c r="L2189">
        <f>IF(AND(H2189="",F2189="Attended"),1,0)</f>
        <v/>
      </c>
      <c r="M2189">
        <f>IF(AND(H2189="",OR(F2189="No-show",F2189="Late cancel")),1,0)</f>
        <v/>
      </c>
      <c r="N2189">
        <f>IF(AND(H2189="",F2189="",D2189&lt;&gt;"",I2189&gt;=TODAY()),ROUND((I2189+IF(ISNUMBER(C2189),MOD(C2189,1),0))*1440,0)*10000+ROW(),"")</f>
        <v/>
      </c>
    </row>
    <row r="2190">
      <c r="A2190" s="1" t="n"/>
      <c r="B2190" s="17" t="n"/>
      <c r="C2190" s="18" t="n"/>
      <c r="D2190" s="19" t="n"/>
      <c r="E2190" s="20" t="n"/>
      <c r="F2190" s="20" t="n"/>
      <c r="G2190" s="21" t="n"/>
      <c r="H2190" s="12">
        <f>IF(AND(B2190="",D2190="",F2190=""),"",IF(NOT(ISNUMBER(B2190)),"Needs a date",IF(D2190="","Needs a client",IF(COUNTIF(Clients!$B$6:$B$105,D2190)=0,"Not on Clients",IF(AND(F2190="",INT(B2190)&lt;TODAY()),"Needs a status","")))))</f>
        <v/>
      </c>
      <c r="I2190" s="1">
        <f>IF(ISNUMBER(B2190),INT(B2190),0)</f>
        <v/>
      </c>
      <c r="J2190">
        <f>IF(ISNUMBER(B2190),YEAR(B2190)*100+MONTH(B2190),"")</f>
        <v/>
      </c>
      <c r="K2190">
        <f>IF(AND(H2190="",OR(F2190="Attended",F2190="No-show",AND(F2190="Late cancel",Settings!$C$9="Yes"))),1,0)</f>
        <v/>
      </c>
      <c r="L2190">
        <f>IF(AND(H2190="",F2190="Attended"),1,0)</f>
        <v/>
      </c>
      <c r="M2190">
        <f>IF(AND(H2190="",OR(F2190="No-show",F2190="Late cancel")),1,0)</f>
        <v/>
      </c>
      <c r="N2190">
        <f>IF(AND(H2190="",F2190="",D2190&lt;&gt;"",I2190&gt;=TODAY()),ROUND((I2190+IF(ISNUMBER(C2190),MOD(C2190,1),0))*1440,0)*10000+ROW(),"")</f>
        <v/>
      </c>
    </row>
    <row r="2191">
      <c r="A2191" s="1" t="n"/>
      <c r="B2191" s="17" t="n"/>
      <c r="C2191" s="18" t="n"/>
      <c r="D2191" s="19" t="n"/>
      <c r="E2191" s="20" t="n"/>
      <c r="F2191" s="20" t="n"/>
      <c r="G2191" s="21" t="n"/>
      <c r="H2191" s="12">
        <f>IF(AND(B2191="",D2191="",F2191=""),"",IF(NOT(ISNUMBER(B2191)),"Needs a date",IF(D2191="","Needs a client",IF(COUNTIF(Clients!$B$6:$B$105,D2191)=0,"Not on Clients",IF(AND(F2191="",INT(B2191)&lt;TODAY()),"Needs a status","")))))</f>
        <v/>
      </c>
      <c r="I2191" s="1">
        <f>IF(ISNUMBER(B2191),INT(B2191),0)</f>
        <v/>
      </c>
      <c r="J2191">
        <f>IF(ISNUMBER(B2191),YEAR(B2191)*100+MONTH(B2191),"")</f>
        <v/>
      </c>
      <c r="K2191">
        <f>IF(AND(H2191="",OR(F2191="Attended",F2191="No-show",AND(F2191="Late cancel",Settings!$C$9="Yes"))),1,0)</f>
        <v/>
      </c>
      <c r="L2191">
        <f>IF(AND(H2191="",F2191="Attended"),1,0)</f>
        <v/>
      </c>
      <c r="M2191">
        <f>IF(AND(H2191="",OR(F2191="No-show",F2191="Late cancel")),1,0)</f>
        <v/>
      </c>
      <c r="N2191">
        <f>IF(AND(H2191="",F2191="",D2191&lt;&gt;"",I2191&gt;=TODAY()),ROUND((I2191+IF(ISNUMBER(C2191),MOD(C2191,1),0))*1440,0)*10000+ROW(),"")</f>
        <v/>
      </c>
    </row>
    <row r="2192">
      <c r="A2192" s="1" t="n"/>
      <c r="B2192" s="17" t="n"/>
      <c r="C2192" s="18" t="n"/>
      <c r="D2192" s="19" t="n"/>
      <c r="E2192" s="20" t="n"/>
      <c r="F2192" s="20" t="n"/>
      <c r="G2192" s="21" t="n"/>
      <c r="H2192" s="12">
        <f>IF(AND(B2192="",D2192="",F2192=""),"",IF(NOT(ISNUMBER(B2192)),"Needs a date",IF(D2192="","Needs a client",IF(COUNTIF(Clients!$B$6:$B$105,D2192)=0,"Not on Clients",IF(AND(F2192="",INT(B2192)&lt;TODAY()),"Needs a status","")))))</f>
        <v/>
      </c>
      <c r="I2192" s="1">
        <f>IF(ISNUMBER(B2192),INT(B2192),0)</f>
        <v/>
      </c>
      <c r="J2192">
        <f>IF(ISNUMBER(B2192),YEAR(B2192)*100+MONTH(B2192),"")</f>
        <v/>
      </c>
      <c r="K2192">
        <f>IF(AND(H2192="",OR(F2192="Attended",F2192="No-show",AND(F2192="Late cancel",Settings!$C$9="Yes"))),1,0)</f>
        <v/>
      </c>
      <c r="L2192">
        <f>IF(AND(H2192="",F2192="Attended"),1,0)</f>
        <v/>
      </c>
      <c r="M2192">
        <f>IF(AND(H2192="",OR(F2192="No-show",F2192="Late cancel")),1,0)</f>
        <v/>
      </c>
      <c r="N2192">
        <f>IF(AND(H2192="",F2192="",D2192&lt;&gt;"",I2192&gt;=TODAY()),ROUND((I2192+IF(ISNUMBER(C2192),MOD(C2192,1),0))*1440,0)*10000+ROW(),"")</f>
        <v/>
      </c>
    </row>
    <row r="2193">
      <c r="A2193" s="1" t="n"/>
      <c r="B2193" s="17" t="n"/>
      <c r="C2193" s="18" t="n"/>
      <c r="D2193" s="19" t="n"/>
      <c r="E2193" s="20" t="n"/>
      <c r="F2193" s="20" t="n"/>
      <c r="G2193" s="21" t="n"/>
      <c r="H2193" s="12">
        <f>IF(AND(B2193="",D2193="",F2193=""),"",IF(NOT(ISNUMBER(B2193)),"Needs a date",IF(D2193="","Needs a client",IF(COUNTIF(Clients!$B$6:$B$105,D2193)=0,"Not on Clients",IF(AND(F2193="",INT(B2193)&lt;TODAY()),"Needs a status","")))))</f>
        <v/>
      </c>
      <c r="I2193" s="1">
        <f>IF(ISNUMBER(B2193),INT(B2193),0)</f>
        <v/>
      </c>
      <c r="J2193">
        <f>IF(ISNUMBER(B2193),YEAR(B2193)*100+MONTH(B2193),"")</f>
        <v/>
      </c>
      <c r="K2193">
        <f>IF(AND(H2193="",OR(F2193="Attended",F2193="No-show",AND(F2193="Late cancel",Settings!$C$9="Yes"))),1,0)</f>
        <v/>
      </c>
      <c r="L2193">
        <f>IF(AND(H2193="",F2193="Attended"),1,0)</f>
        <v/>
      </c>
      <c r="M2193">
        <f>IF(AND(H2193="",OR(F2193="No-show",F2193="Late cancel")),1,0)</f>
        <v/>
      </c>
      <c r="N2193">
        <f>IF(AND(H2193="",F2193="",D2193&lt;&gt;"",I2193&gt;=TODAY()),ROUND((I2193+IF(ISNUMBER(C2193),MOD(C2193,1),0))*1440,0)*10000+ROW(),"")</f>
        <v/>
      </c>
    </row>
    <row r="2194">
      <c r="A2194" s="1" t="n"/>
      <c r="B2194" s="17" t="n"/>
      <c r="C2194" s="18" t="n"/>
      <c r="D2194" s="19" t="n"/>
      <c r="E2194" s="20" t="n"/>
      <c r="F2194" s="20" t="n"/>
      <c r="G2194" s="21" t="n"/>
      <c r="H2194" s="12">
        <f>IF(AND(B2194="",D2194="",F2194=""),"",IF(NOT(ISNUMBER(B2194)),"Needs a date",IF(D2194="","Needs a client",IF(COUNTIF(Clients!$B$6:$B$105,D2194)=0,"Not on Clients",IF(AND(F2194="",INT(B2194)&lt;TODAY()),"Needs a status","")))))</f>
        <v/>
      </c>
      <c r="I2194" s="1">
        <f>IF(ISNUMBER(B2194),INT(B2194),0)</f>
        <v/>
      </c>
      <c r="J2194">
        <f>IF(ISNUMBER(B2194),YEAR(B2194)*100+MONTH(B2194),"")</f>
        <v/>
      </c>
      <c r="K2194">
        <f>IF(AND(H2194="",OR(F2194="Attended",F2194="No-show",AND(F2194="Late cancel",Settings!$C$9="Yes"))),1,0)</f>
        <v/>
      </c>
      <c r="L2194">
        <f>IF(AND(H2194="",F2194="Attended"),1,0)</f>
        <v/>
      </c>
      <c r="M2194">
        <f>IF(AND(H2194="",OR(F2194="No-show",F2194="Late cancel")),1,0)</f>
        <v/>
      </c>
      <c r="N2194">
        <f>IF(AND(H2194="",F2194="",D2194&lt;&gt;"",I2194&gt;=TODAY()),ROUND((I2194+IF(ISNUMBER(C2194),MOD(C2194,1),0))*1440,0)*10000+ROW(),"")</f>
        <v/>
      </c>
    </row>
    <row r="2195">
      <c r="A2195" s="1" t="n"/>
      <c r="B2195" s="17" t="n"/>
      <c r="C2195" s="18" t="n"/>
      <c r="D2195" s="19" t="n"/>
      <c r="E2195" s="20" t="n"/>
      <c r="F2195" s="20" t="n"/>
      <c r="G2195" s="21" t="n"/>
      <c r="H2195" s="12">
        <f>IF(AND(B2195="",D2195="",F2195=""),"",IF(NOT(ISNUMBER(B2195)),"Needs a date",IF(D2195="","Needs a client",IF(COUNTIF(Clients!$B$6:$B$105,D2195)=0,"Not on Clients",IF(AND(F2195="",INT(B2195)&lt;TODAY()),"Needs a status","")))))</f>
        <v/>
      </c>
      <c r="I2195" s="1">
        <f>IF(ISNUMBER(B2195),INT(B2195),0)</f>
        <v/>
      </c>
      <c r="J2195">
        <f>IF(ISNUMBER(B2195),YEAR(B2195)*100+MONTH(B2195),"")</f>
        <v/>
      </c>
      <c r="K2195">
        <f>IF(AND(H2195="",OR(F2195="Attended",F2195="No-show",AND(F2195="Late cancel",Settings!$C$9="Yes"))),1,0)</f>
        <v/>
      </c>
      <c r="L2195">
        <f>IF(AND(H2195="",F2195="Attended"),1,0)</f>
        <v/>
      </c>
      <c r="M2195">
        <f>IF(AND(H2195="",OR(F2195="No-show",F2195="Late cancel")),1,0)</f>
        <v/>
      </c>
      <c r="N2195">
        <f>IF(AND(H2195="",F2195="",D2195&lt;&gt;"",I2195&gt;=TODAY()),ROUND((I2195+IF(ISNUMBER(C2195),MOD(C2195,1),0))*1440,0)*10000+ROW(),"")</f>
        <v/>
      </c>
    </row>
    <row r="2196">
      <c r="A2196" s="1" t="n"/>
      <c r="B2196" s="17" t="n"/>
      <c r="C2196" s="18" t="n"/>
      <c r="D2196" s="19" t="n"/>
      <c r="E2196" s="20" t="n"/>
      <c r="F2196" s="20" t="n"/>
      <c r="G2196" s="21" t="n"/>
      <c r="H2196" s="12">
        <f>IF(AND(B2196="",D2196="",F2196=""),"",IF(NOT(ISNUMBER(B2196)),"Needs a date",IF(D2196="","Needs a client",IF(COUNTIF(Clients!$B$6:$B$105,D2196)=0,"Not on Clients",IF(AND(F2196="",INT(B2196)&lt;TODAY()),"Needs a status","")))))</f>
        <v/>
      </c>
      <c r="I2196" s="1">
        <f>IF(ISNUMBER(B2196),INT(B2196),0)</f>
        <v/>
      </c>
      <c r="J2196">
        <f>IF(ISNUMBER(B2196),YEAR(B2196)*100+MONTH(B2196),"")</f>
        <v/>
      </c>
      <c r="K2196">
        <f>IF(AND(H2196="",OR(F2196="Attended",F2196="No-show",AND(F2196="Late cancel",Settings!$C$9="Yes"))),1,0)</f>
        <v/>
      </c>
      <c r="L2196">
        <f>IF(AND(H2196="",F2196="Attended"),1,0)</f>
        <v/>
      </c>
      <c r="M2196">
        <f>IF(AND(H2196="",OR(F2196="No-show",F2196="Late cancel")),1,0)</f>
        <v/>
      </c>
      <c r="N2196">
        <f>IF(AND(H2196="",F2196="",D2196&lt;&gt;"",I2196&gt;=TODAY()),ROUND((I2196+IF(ISNUMBER(C2196),MOD(C2196,1),0))*1440,0)*10000+ROW(),"")</f>
        <v/>
      </c>
    </row>
    <row r="2197">
      <c r="A2197" s="1" t="n"/>
      <c r="B2197" s="17" t="n"/>
      <c r="C2197" s="18" t="n"/>
      <c r="D2197" s="19" t="n"/>
      <c r="E2197" s="20" t="n"/>
      <c r="F2197" s="20" t="n"/>
      <c r="G2197" s="21" t="n"/>
      <c r="H2197" s="12">
        <f>IF(AND(B2197="",D2197="",F2197=""),"",IF(NOT(ISNUMBER(B2197)),"Needs a date",IF(D2197="","Needs a client",IF(COUNTIF(Clients!$B$6:$B$105,D2197)=0,"Not on Clients",IF(AND(F2197="",INT(B2197)&lt;TODAY()),"Needs a status","")))))</f>
        <v/>
      </c>
      <c r="I2197" s="1">
        <f>IF(ISNUMBER(B2197),INT(B2197),0)</f>
        <v/>
      </c>
      <c r="J2197">
        <f>IF(ISNUMBER(B2197),YEAR(B2197)*100+MONTH(B2197),"")</f>
        <v/>
      </c>
      <c r="K2197">
        <f>IF(AND(H2197="",OR(F2197="Attended",F2197="No-show",AND(F2197="Late cancel",Settings!$C$9="Yes"))),1,0)</f>
        <v/>
      </c>
      <c r="L2197">
        <f>IF(AND(H2197="",F2197="Attended"),1,0)</f>
        <v/>
      </c>
      <c r="M2197">
        <f>IF(AND(H2197="",OR(F2197="No-show",F2197="Late cancel")),1,0)</f>
        <v/>
      </c>
      <c r="N2197">
        <f>IF(AND(H2197="",F2197="",D2197&lt;&gt;"",I2197&gt;=TODAY()),ROUND((I2197+IF(ISNUMBER(C2197),MOD(C2197,1),0))*1440,0)*10000+ROW(),"")</f>
        <v/>
      </c>
    </row>
    <row r="2198">
      <c r="A2198" s="1" t="n"/>
      <c r="B2198" s="17" t="n"/>
      <c r="C2198" s="18" t="n"/>
      <c r="D2198" s="19" t="n"/>
      <c r="E2198" s="20" t="n"/>
      <c r="F2198" s="20" t="n"/>
      <c r="G2198" s="21" t="n"/>
      <c r="H2198" s="12">
        <f>IF(AND(B2198="",D2198="",F2198=""),"",IF(NOT(ISNUMBER(B2198)),"Needs a date",IF(D2198="","Needs a client",IF(COUNTIF(Clients!$B$6:$B$105,D2198)=0,"Not on Clients",IF(AND(F2198="",INT(B2198)&lt;TODAY()),"Needs a status","")))))</f>
        <v/>
      </c>
      <c r="I2198" s="1">
        <f>IF(ISNUMBER(B2198),INT(B2198),0)</f>
        <v/>
      </c>
      <c r="J2198">
        <f>IF(ISNUMBER(B2198),YEAR(B2198)*100+MONTH(B2198),"")</f>
        <v/>
      </c>
      <c r="K2198">
        <f>IF(AND(H2198="",OR(F2198="Attended",F2198="No-show",AND(F2198="Late cancel",Settings!$C$9="Yes"))),1,0)</f>
        <v/>
      </c>
      <c r="L2198">
        <f>IF(AND(H2198="",F2198="Attended"),1,0)</f>
        <v/>
      </c>
      <c r="M2198">
        <f>IF(AND(H2198="",OR(F2198="No-show",F2198="Late cancel")),1,0)</f>
        <v/>
      </c>
      <c r="N2198">
        <f>IF(AND(H2198="",F2198="",D2198&lt;&gt;"",I2198&gt;=TODAY()),ROUND((I2198+IF(ISNUMBER(C2198),MOD(C2198,1),0))*1440,0)*10000+ROW(),"")</f>
        <v/>
      </c>
    </row>
    <row r="2199">
      <c r="A2199" s="1" t="n"/>
      <c r="B2199" s="17" t="n"/>
      <c r="C2199" s="18" t="n"/>
      <c r="D2199" s="19" t="n"/>
      <c r="E2199" s="20" t="n"/>
      <c r="F2199" s="20" t="n"/>
      <c r="G2199" s="21" t="n"/>
      <c r="H2199" s="12">
        <f>IF(AND(B2199="",D2199="",F2199=""),"",IF(NOT(ISNUMBER(B2199)),"Needs a date",IF(D2199="","Needs a client",IF(COUNTIF(Clients!$B$6:$B$105,D2199)=0,"Not on Clients",IF(AND(F2199="",INT(B2199)&lt;TODAY()),"Needs a status","")))))</f>
        <v/>
      </c>
      <c r="I2199" s="1">
        <f>IF(ISNUMBER(B2199),INT(B2199),0)</f>
        <v/>
      </c>
      <c r="J2199">
        <f>IF(ISNUMBER(B2199),YEAR(B2199)*100+MONTH(B2199),"")</f>
        <v/>
      </c>
      <c r="K2199">
        <f>IF(AND(H2199="",OR(F2199="Attended",F2199="No-show",AND(F2199="Late cancel",Settings!$C$9="Yes"))),1,0)</f>
        <v/>
      </c>
      <c r="L2199">
        <f>IF(AND(H2199="",F2199="Attended"),1,0)</f>
        <v/>
      </c>
      <c r="M2199">
        <f>IF(AND(H2199="",OR(F2199="No-show",F2199="Late cancel")),1,0)</f>
        <v/>
      </c>
      <c r="N2199">
        <f>IF(AND(H2199="",F2199="",D2199&lt;&gt;"",I2199&gt;=TODAY()),ROUND((I2199+IF(ISNUMBER(C2199),MOD(C2199,1),0))*1440,0)*10000+ROW(),"")</f>
        <v/>
      </c>
    </row>
    <row r="2200">
      <c r="A2200" s="1" t="n"/>
      <c r="B2200" s="17" t="n"/>
      <c r="C2200" s="18" t="n"/>
      <c r="D2200" s="19" t="n"/>
      <c r="E2200" s="20" t="n"/>
      <c r="F2200" s="20" t="n"/>
      <c r="G2200" s="21" t="n"/>
      <c r="H2200" s="12">
        <f>IF(AND(B2200="",D2200="",F2200=""),"",IF(NOT(ISNUMBER(B2200)),"Needs a date",IF(D2200="","Needs a client",IF(COUNTIF(Clients!$B$6:$B$105,D2200)=0,"Not on Clients",IF(AND(F2200="",INT(B2200)&lt;TODAY()),"Needs a status","")))))</f>
        <v/>
      </c>
      <c r="I2200" s="1">
        <f>IF(ISNUMBER(B2200),INT(B2200),0)</f>
        <v/>
      </c>
      <c r="J2200">
        <f>IF(ISNUMBER(B2200),YEAR(B2200)*100+MONTH(B2200),"")</f>
        <v/>
      </c>
      <c r="K2200">
        <f>IF(AND(H2200="",OR(F2200="Attended",F2200="No-show",AND(F2200="Late cancel",Settings!$C$9="Yes"))),1,0)</f>
        <v/>
      </c>
      <c r="L2200">
        <f>IF(AND(H2200="",F2200="Attended"),1,0)</f>
        <v/>
      </c>
      <c r="M2200">
        <f>IF(AND(H2200="",OR(F2200="No-show",F2200="Late cancel")),1,0)</f>
        <v/>
      </c>
      <c r="N2200">
        <f>IF(AND(H2200="",F2200="",D2200&lt;&gt;"",I2200&gt;=TODAY()),ROUND((I2200+IF(ISNUMBER(C2200),MOD(C2200,1),0))*1440,0)*10000+ROW(),"")</f>
        <v/>
      </c>
    </row>
    <row r="2201">
      <c r="A2201" s="1" t="n"/>
      <c r="B2201" s="17" t="n"/>
      <c r="C2201" s="18" t="n"/>
      <c r="D2201" s="19" t="n"/>
      <c r="E2201" s="20" t="n"/>
      <c r="F2201" s="20" t="n"/>
      <c r="G2201" s="21" t="n"/>
      <c r="H2201" s="12">
        <f>IF(AND(B2201="",D2201="",F2201=""),"",IF(NOT(ISNUMBER(B2201)),"Needs a date",IF(D2201="","Needs a client",IF(COUNTIF(Clients!$B$6:$B$105,D2201)=0,"Not on Clients",IF(AND(F2201="",INT(B2201)&lt;TODAY()),"Needs a status","")))))</f>
        <v/>
      </c>
      <c r="I2201" s="1">
        <f>IF(ISNUMBER(B2201),INT(B2201),0)</f>
        <v/>
      </c>
      <c r="J2201">
        <f>IF(ISNUMBER(B2201),YEAR(B2201)*100+MONTH(B2201),"")</f>
        <v/>
      </c>
      <c r="K2201">
        <f>IF(AND(H2201="",OR(F2201="Attended",F2201="No-show",AND(F2201="Late cancel",Settings!$C$9="Yes"))),1,0)</f>
        <v/>
      </c>
      <c r="L2201">
        <f>IF(AND(H2201="",F2201="Attended"),1,0)</f>
        <v/>
      </c>
      <c r="M2201">
        <f>IF(AND(H2201="",OR(F2201="No-show",F2201="Late cancel")),1,0)</f>
        <v/>
      </c>
      <c r="N2201">
        <f>IF(AND(H2201="",F2201="",D2201&lt;&gt;"",I2201&gt;=TODAY()),ROUND((I2201+IF(ISNUMBER(C2201),MOD(C2201,1),0))*1440,0)*10000+ROW(),"")</f>
        <v/>
      </c>
    </row>
    <row r="2202">
      <c r="A2202" s="1" t="n"/>
      <c r="B2202" s="17" t="n"/>
      <c r="C2202" s="18" t="n"/>
      <c r="D2202" s="19" t="n"/>
      <c r="E2202" s="20" t="n"/>
      <c r="F2202" s="20" t="n"/>
      <c r="G2202" s="21" t="n"/>
      <c r="H2202" s="12">
        <f>IF(AND(B2202="",D2202="",F2202=""),"",IF(NOT(ISNUMBER(B2202)),"Needs a date",IF(D2202="","Needs a client",IF(COUNTIF(Clients!$B$6:$B$105,D2202)=0,"Not on Clients",IF(AND(F2202="",INT(B2202)&lt;TODAY()),"Needs a status","")))))</f>
        <v/>
      </c>
      <c r="I2202" s="1">
        <f>IF(ISNUMBER(B2202),INT(B2202),0)</f>
        <v/>
      </c>
      <c r="J2202">
        <f>IF(ISNUMBER(B2202),YEAR(B2202)*100+MONTH(B2202),"")</f>
        <v/>
      </c>
      <c r="K2202">
        <f>IF(AND(H2202="",OR(F2202="Attended",F2202="No-show",AND(F2202="Late cancel",Settings!$C$9="Yes"))),1,0)</f>
        <v/>
      </c>
      <c r="L2202">
        <f>IF(AND(H2202="",F2202="Attended"),1,0)</f>
        <v/>
      </c>
      <c r="M2202">
        <f>IF(AND(H2202="",OR(F2202="No-show",F2202="Late cancel")),1,0)</f>
        <v/>
      </c>
      <c r="N2202">
        <f>IF(AND(H2202="",F2202="",D2202&lt;&gt;"",I2202&gt;=TODAY()),ROUND((I2202+IF(ISNUMBER(C2202),MOD(C2202,1),0))*1440,0)*10000+ROW(),"")</f>
        <v/>
      </c>
    </row>
    <row r="2203">
      <c r="A2203" s="1" t="n"/>
      <c r="B2203" s="17" t="n"/>
      <c r="C2203" s="18" t="n"/>
      <c r="D2203" s="19" t="n"/>
      <c r="E2203" s="20" t="n"/>
      <c r="F2203" s="20" t="n"/>
      <c r="G2203" s="21" t="n"/>
      <c r="H2203" s="12">
        <f>IF(AND(B2203="",D2203="",F2203=""),"",IF(NOT(ISNUMBER(B2203)),"Needs a date",IF(D2203="","Needs a client",IF(COUNTIF(Clients!$B$6:$B$105,D2203)=0,"Not on Clients",IF(AND(F2203="",INT(B2203)&lt;TODAY()),"Needs a status","")))))</f>
        <v/>
      </c>
      <c r="I2203" s="1">
        <f>IF(ISNUMBER(B2203),INT(B2203),0)</f>
        <v/>
      </c>
      <c r="J2203">
        <f>IF(ISNUMBER(B2203),YEAR(B2203)*100+MONTH(B2203),"")</f>
        <v/>
      </c>
      <c r="K2203">
        <f>IF(AND(H2203="",OR(F2203="Attended",F2203="No-show",AND(F2203="Late cancel",Settings!$C$9="Yes"))),1,0)</f>
        <v/>
      </c>
      <c r="L2203">
        <f>IF(AND(H2203="",F2203="Attended"),1,0)</f>
        <v/>
      </c>
      <c r="M2203">
        <f>IF(AND(H2203="",OR(F2203="No-show",F2203="Late cancel")),1,0)</f>
        <v/>
      </c>
      <c r="N2203">
        <f>IF(AND(H2203="",F2203="",D2203&lt;&gt;"",I2203&gt;=TODAY()),ROUND((I2203+IF(ISNUMBER(C2203),MOD(C2203,1),0))*1440,0)*10000+ROW(),"")</f>
        <v/>
      </c>
    </row>
    <row r="2204">
      <c r="A2204" s="1" t="n"/>
      <c r="B2204" s="17" t="n"/>
      <c r="C2204" s="18" t="n"/>
      <c r="D2204" s="19" t="n"/>
      <c r="E2204" s="20" t="n"/>
      <c r="F2204" s="20" t="n"/>
      <c r="G2204" s="21" t="n"/>
      <c r="H2204" s="12">
        <f>IF(AND(B2204="",D2204="",F2204=""),"",IF(NOT(ISNUMBER(B2204)),"Needs a date",IF(D2204="","Needs a client",IF(COUNTIF(Clients!$B$6:$B$105,D2204)=0,"Not on Clients",IF(AND(F2204="",INT(B2204)&lt;TODAY()),"Needs a status","")))))</f>
        <v/>
      </c>
      <c r="I2204" s="1">
        <f>IF(ISNUMBER(B2204),INT(B2204),0)</f>
        <v/>
      </c>
      <c r="J2204">
        <f>IF(ISNUMBER(B2204),YEAR(B2204)*100+MONTH(B2204),"")</f>
        <v/>
      </c>
      <c r="K2204">
        <f>IF(AND(H2204="",OR(F2204="Attended",F2204="No-show",AND(F2204="Late cancel",Settings!$C$9="Yes"))),1,0)</f>
        <v/>
      </c>
      <c r="L2204">
        <f>IF(AND(H2204="",F2204="Attended"),1,0)</f>
        <v/>
      </c>
      <c r="M2204">
        <f>IF(AND(H2204="",OR(F2204="No-show",F2204="Late cancel")),1,0)</f>
        <v/>
      </c>
      <c r="N2204">
        <f>IF(AND(H2204="",F2204="",D2204&lt;&gt;"",I2204&gt;=TODAY()),ROUND((I2204+IF(ISNUMBER(C2204),MOD(C2204,1),0))*1440,0)*10000+ROW(),"")</f>
        <v/>
      </c>
    </row>
    <row r="2205">
      <c r="A2205" s="1" t="n"/>
      <c r="B2205" s="17" t="n"/>
      <c r="C2205" s="18" t="n"/>
      <c r="D2205" s="19" t="n"/>
      <c r="E2205" s="20" t="n"/>
      <c r="F2205" s="20" t="n"/>
      <c r="G2205" s="21" t="n"/>
      <c r="H2205" s="12">
        <f>IF(AND(B2205="",D2205="",F2205=""),"",IF(NOT(ISNUMBER(B2205)),"Needs a date",IF(D2205="","Needs a client",IF(COUNTIF(Clients!$B$6:$B$105,D2205)=0,"Not on Clients",IF(AND(F2205="",INT(B2205)&lt;TODAY()),"Needs a status","")))))</f>
        <v/>
      </c>
      <c r="I2205" s="1">
        <f>IF(ISNUMBER(B2205),INT(B2205),0)</f>
        <v/>
      </c>
      <c r="J2205">
        <f>IF(ISNUMBER(B2205),YEAR(B2205)*100+MONTH(B2205),"")</f>
        <v/>
      </c>
      <c r="K2205">
        <f>IF(AND(H2205="",OR(F2205="Attended",F2205="No-show",AND(F2205="Late cancel",Settings!$C$9="Yes"))),1,0)</f>
        <v/>
      </c>
      <c r="L2205">
        <f>IF(AND(H2205="",F2205="Attended"),1,0)</f>
        <v/>
      </c>
      <c r="M2205">
        <f>IF(AND(H2205="",OR(F2205="No-show",F2205="Late cancel")),1,0)</f>
        <v/>
      </c>
      <c r="N2205">
        <f>IF(AND(H2205="",F2205="",D2205&lt;&gt;"",I2205&gt;=TODAY()),ROUND((I2205+IF(ISNUMBER(C2205),MOD(C2205,1),0))*1440,0)*10000+ROW(),"")</f>
        <v/>
      </c>
    </row>
    <row r="2206">
      <c r="A2206" s="1" t="n"/>
      <c r="B2206" s="17" t="n"/>
      <c r="C2206" s="18" t="n"/>
      <c r="D2206" s="19" t="n"/>
      <c r="E2206" s="20" t="n"/>
      <c r="F2206" s="20" t="n"/>
      <c r="G2206" s="21" t="n"/>
      <c r="H2206" s="12">
        <f>IF(AND(B2206="",D2206="",F2206=""),"",IF(NOT(ISNUMBER(B2206)),"Needs a date",IF(D2206="","Needs a client",IF(COUNTIF(Clients!$B$6:$B$105,D2206)=0,"Not on Clients",IF(AND(F2206="",INT(B2206)&lt;TODAY()),"Needs a status","")))))</f>
        <v/>
      </c>
      <c r="I2206" s="1">
        <f>IF(ISNUMBER(B2206),INT(B2206),0)</f>
        <v/>
      </c>
      <c r="J2206">
        <f>IF(ISNUMBER(B2206),YEAR(B2206)*100+MONTH(B2206),"")</f>
        <v/>
      </c>
      <c r="K2206">
        <f>IF(AND(H2206="",OR(F2206="Attended",F2206="No-show",AND(F2206="Late cancel",Settings!$C$9="Yes"))),1,0)</f>
        <v/>
      </c>
      <c r="L2206">
        <f>IF(AND(H2206="",F2206="Attended"),1,0)</f>
        <v/>
      </c>
      <c r="M2206">
        <f>IF(AND(H2206="",OR(F2206="No-show",F2206="Late cancel")),1,0)</f>
        <v/>
      </c>
      <c r="N2206">
        <f>IF(AND(H2206="",F2206="",D2206&lt;&gt;"",I2206&gt;=TODAY()),ROUND((I2206+IF(ISNUMBER(C2206),MOD(C2206,1),0))*1440,0)*10000+ROW(),"")</f>
        <v/>
      </c>
    </row>
    <row r="2207">
      <c r="A2207" s="1" t="n"/>
      <c r="B2207" s="17" t="n"/>
      <c r="C2207" s="18" t="n"/>
      <c r="D2207" s="19" t="n"/>
      <c r="E2207" s="20" t="n"/>
      <c r="F2207" s="20" t="n"/>
      <c r="G2207" s="21" t="n"/>
      <c r="H2207" s="12">
        <f>IF(AND(B2207="",D2207="",F2207=""),"",IF(NOT(ISNUMBER(B2207)),"Needs a date",IF(D2207="","Needs a client",IF(COUNTIF(Clients!$B$6:$B$105,D2207)=0,"Not on Clients",IF(AND(F2207="",INT(B2207)&lt;TODAY()),"Needs a status","")))))</f>
        <v/>
      </c>
      <c r="I2207" s="1">
        <f>IF(ISNUMBER(B2207),INT(B2207),0)</f>
        <v/>
      </c>
      <c r="J2207">
        <f>IF(ISNUMBER(B2207),YEAR(B2207)*100+MONTH(B2207),"")</f>
        <v/>
      </c>
      <c r="K2207">
        <f>IF(AND(H2207="",OR(F2207="Attended",F2207="No-show",AND(F2207="Late cancel",Settings!$C$9="Yes"))),1,0)</f>
        <v/>
      </c>
      <c r="L2207">
        <f>IF(AND(H2207="",F2207="Attended"),1,0)</f>
        <v/>
      </c>
      <c r="M2207">
        <f>IF(AND(H2207="",OR(F2207="No-show",F2207="Late cancel")),1,0)</f>
        <v/>
      </c>
      <c r="N2207">
        <f>IF(AND(H2207="",F2207="",D2207&lt;&gt;"",I2207&gt;=TODAY()),ROUND((I2207+IF(ISNUMBER(C2207),MOD(C2207,1),0))*1440,0)*10000+ROW(),"")</f>
        <v/>
      </c>
    </row>
    <row r="2208">
      <c r="A2208" s="1" t="n"/>
      <c r="B2208" s="17" t="n"/>
      <c r="C2208" s="18" t="n"/>
      <c r="D2208" s="19" t="n"/>
      <c r="E2208" s="20" t="n"/>
      <c r="F2208" s="20" t="n"/>
      <c r="G2208" s="21" t="n"/>
      <c r="H2208" s="12">
        <f>IF(AND(B2208="",D2208="",F2208=""),"",IF(NOT(ISNUMBER(B2208)),"Needs a date",IF(D2208="","Needs a client",IF(COUNTIF(Clients!$B$6:$B$105,D2208)=0,"Not on Clients",IF(AND(F2208="",INT(B2208)&lt;TODAY()),"Needs a status","")))))</f>
        <v/>
      </c>
      <c r="I2208" s="1">
        <f>IF(ISNUMBER(B2208),INT(B2208),0)</f>
        <v/>
      </c>
      <c r="J2208">
        <f>IF(ISNUMBER(B2208),YEAR(B2208)*100+MONTH(B2208),"")</f>
        <v/>
      </c>
      <c r="K2208">
        <f>IF(AND(H2208="",OR(F2208="Attended",F2208="No-show",AND(F2208="Late cancel",Settings!$C$9="Yes"))),1,0)</f>
        <v/>
      </c>
      <c r="L2208">
        <f>IF(AND(H2208="",F2208="Attended"),1,0)</f>
        <v/>
      </c>
      <c r="M2208">
        <f>IF(AND(H2208="",OR(F2208="No-show",F2208="Late cancel")),1,0)</f>
        <v/>
      </c>
      <c r="N2208">
        <f>IF(AND(H2208="",F2208="",D2208&lt;&gt;"",I2208&gt;=TODAY()),ROUND((I2208+IF(ISNUMBER(C2208),MOD(C2208,1),0))*1440,0)*10000+ROW(),"")</f>
        <v/>
      </c>
    </row>
    <row r="2209">
      <c r="A2209" s="1" t="n"/>
      <c r="B2209" s="17" t="n"/>
      <c r="C2209" s="18" t="n"/>
      <c r="D2209" s="19" t="n"/>
      <c r="E2209" s="20" t="n"/>
      <c r="F2209" s="20" t="n"/>
      <c r="G2209" s="21" t="n"/>
      <c r="H2209" s="12">
        <f>IF(AND(B2209="",D2209="",F2209=""),"",IF(NOT(ISNUMBER(B2209)),"Needs a date",IF(D2209="","Needs a client",IF(COUNTIF(Clients!$B$6:$B$105,D2209)=0,"Not on Clients",IF(AND(F2209="",INT(B2209)&lt;TODAY()),"Needs a status","")))))</f>
        <v/>
      </c>
      <c r="I2209" s="1">
        <f>IF(ISNUMBER(B2209),INT(B2209),0)</f>
        <v/>
      </c>
      <c r="J2209">
        <f>IF(ISNUMBER(B2209),YEAR(B2209)*100+MONTH(B2209),"")</f>
        <v/>
      </c>
      <c r="K2209">
        <f>IF(AND(H2209="",OR(F2209="Attended",F2209="No-show",AND(F2209="Late cancel",Settings!$C$9="Yes"))),1,0)</f>
        <v/>
      </c>
      <c r="L2209">
        <f>IF(AND(H2209="",F2209="Attended"),1,0)</f>
        <v/>
      </c>
      <c r="M2209">
        <f>IF(AND(H2209="",OR(F2209="No-show",F2209="Late cancel")),1,0)</f>
        <v/>
      </c>
      <c r="N2209">
        <f>IF(AND(H2209="",F2209="",D2209&lt;&gt;"",I2209&gt;=TODAY()),ROUND((I2209+IF(ISNUMBER(C2209),MOD(C2209,1),0))*1440,0)*10000+ROW(),"")</f>
        <v/>
      </c>
    </row>
    <row r="2210">
      <c r="A2210" s="1" t="n"/>
      <c r="B2210" s="17" t="n"/>
      <c r="C2210" s="18" t="n"/>
      <c r="D2210" s="19" t="n"/>
      <c r="E2210" s="20" t="n"/>
      <c r="F2210" s="20" t="n"/>
      <c r="G2210" s="21" t="n"/>
      <c r="H2210" s="12">
        <f>IF(AND(B2210="",D2210="",F2210=""),"",IF(NOT(ISNUMBER(B2210)),"Needs a date",IF(D2210="","Needs a client",IF(COUNTIF(Clients!$B$6:$B$105,D2210)=0,"Not on Clients",IF(AND(F2210="",INT(B2210)&lt;TODAY()),"Needs a status","")))))</f>
        <v/>
      </c>
      <c r="I2210" s="1">
        <f>IF(ISNUMBER(B2210),INT(B2210),0)</f>
        <v/>
      </c>
      <c r="J2210">
        <f>IF(ISNUMBER(B2210),YEAR(B2210)*100+MONTH(B2210),"")</f>
        <v/>
      </c>
      <c r="K2210">
        <f>IF(AND(H2210="",OR(F2210="Attended",F2210="No-show",AND(F2210="Late cancel",Settings!$C$9="Yes"))),1,0)</f>
        <v/>
      </c>
      <c r="L2210">
        <f>IF(AND(H2210="",F2210="Attended"),1,0)</f>
        <v/>
      </c>
      <c r="M2210">
        <f>IF(AND(H2210="",OR(F2210="No-show",F2210="Late cancel")),1,0)</f>
        <v/>
      </c>
      <c r="N2210">
        <f>IF(AND(H2210="",F2210="",D2210&lt;&gt;"",I2210&gt;=TODAY()),ROUND((I2210+IF(ISNUMBER(C2210),MOD(C2210,1),0))*1440,0)*10000+ROW(),"")</f>
        <v/>
      </c>
    </row>
    <row r="2211">
      <c r="A2211" s="1" t="n"/>
      <c r="B2211" s="17" t="n"/>
      <c r="C2211" s="18" t="n"/>
      <c r="D2211" s="19" t="n"/>
      <c r="E2211" s="20" t="n"/>
      <c r="F2211" s="20" t="n"/>
      <c r="G2211" s="21" t="n"/>
      <c r="H2211" s="12">
        <f>IF(AND(B2211="",D2211="",F2211=""),"",IF(NOT(ISNUMBER(B2211)),"Needs a date",IF(D2211="","Needs a client",IF(COUNTIF(Clients!$B$6:$B$105,D2211)=0,"Not on Clients",IF(AND(F2211="",INT(B2211)&lt;TODAY()),"Needs a status","")))))</f>
        <v/>
      </c>
      <c r="I2211" s="1">
        <f>IF(ISNUMBER(B2211),INT(B2211),0)</f>
        <v/>
      </c>
      <c r="J2211">
        <f>IF(ISNUMBER(B2211),YEAR(B2211)*100+MONTH(B2211),"")</f>
        <v/>
      </c>
      <c r="K2211">
        <f>IF(AND(H2211="",OR(F2211="Attended",F2211="No-show",AND(F2211="Late cancel",Settings!$C$9="Yes"))),1,0)</f>
        <v/>
      </c>
      <c r="L2211">
        <f>IF(AND(H2211="",F2211="Attended"),1,0)</f>
        <v/>
      </c>
      <c r="M2211">
        <f>IF(AND(H2211="",OR(F2211="No-show",F2211="Late cancel")),1,0)</f>
        <v/>
      </c>
      <c r="N2211">
        <f>IF(AND(H2211="",F2211="",D2211&lt;&gt;"",I2211&gt;=TODAY()),ROUND((I2211+IF(ISNUMBER(C2211),MOD(C2211,1),0))*1440,0)*10000+ROW(),"")</f>
        <v/>
      </c>
    </row>
    <row r="2212">
      <c r="A2212" s="1" t="n"/>
      <c r="B2212" s="17" t="n"/>
      <c r="C2212" s="18" t="n"/>
      <c r="D2212" s="19" t="n"/>
      <c r="E2212" s="20" t="n"/>
      <c r="F2212" s="20" t="n"/>
      <c r="G2212" s="21" t="n"/>
      <c r="H2212" s="12">
        <f>IF(AND(B2212="",D2212="",F2212=""),"",IF(NOT(ISNUMBER(B2212)),"Needs a date",IF(D2212="","Needs a client",IF(COUNTIF(Clients!$B$6:$B$105,D2212)=0,"Not on Clients",IF(AND(F2212="",INT(B2212)&lt;TODAY()),"Needs a status","")))))</f>
        <v/>
      </c>
      <c r="I2212" s="1">
        <f>IF(ISNUMBER(B2212),INT(B2212),0)</f>
        <v/>
      </c>
      <c r="J2212">
        <f>IF(ISNUMBER(B2212),YEAR(B2212)*100+MONTH(B2212),"")</f>
        <v/>
      </c>
      <c r="K2212">
        <f>IF(AND(H2212="",OR(F2212="Attended",F2212="No-show",AND(F2212="Late cancel",Settings!$C$9="Yes"))),1,0)</f>
        <v/>
      </c>
      <c r="L2212">
        <f>IF(AND(H2212="",F2212="Attended"),1,0)</f>
        <v/>
      </c>
      <c r="M2212">
        <f>IF(AND(H2212="",OR(F2212="No-show",F2212="Late cancel")),1,0)</f>
        <v/>
      </c>
      <c r="N2212">
        <f>IF(AND(H2212="",F2212="",D2212&lt;&gt;"",I2212&gt;=TODAY()),ROUND((I2212+IF(ISNUMBER(C2212),MOD(C2212,1),0))*1440,0)*10000+ROW(),"")</f>
        <v/>
      </c>
    </row>
    <row r="2213">
      <c r="A2213" s="1" t="n"/>
      <c r="B2213" s="17" t="n"/>
      <c r="C2213" s="18" t="n"/>
      <c r="D2213" s="19" t="n"/>
      <c r="E2213" s="20" t="n"/>
      <c r="F2213" s="20" t="n"/>
      <c r="G2213" s="21" t="n"/>
      <c r="H2213" s="12">
        <f>IF(AND(B2213="",D2213="",F2213=""),"",IF(NOT(ISNUMBER(B2213)),"Needs a date",IF(D2213="","Needs a client",IF(COUNTIF(Clients!$B$6:$B$105,D2213)=0,"Not on Clients",IF(AND(F2213="",INT(B2213)&lt;TODAY()),"Needs a status","")))))</f>
        <v/>
      </c>
      <c r="I2213" s="1">
        <f>IF(ISNUMBER(B2213),INT(B2213),0)</f>
        <v/>
      </c>
      <c r="J2213">
        <f>IF(ISNUMBER(B2213),YEAR(B2213)*100+MONTH(B2213),"")</f>
        <v/>
      </c>
      <c r="K2213">
        <f>IF(AND(H2213="",OR(F2213="Attended",F2213="No-show",AND(F2213="Late cancel",Settings!$C$9="Yes"))),1,0)</f>
        <v/>
      </c>
      <c r="L2213">
        <f>IF(AND(H2213="",F2213="Attended"),1,0)</f>
        <v/>
      </c>
      <c r="M2213">
        <f>IF(AND(H2213="",OR(F2213="No-show",F2213="Late cancel")),1,0)</f>
        <v/>
      </c>
      <c r="N2213">
        <f>IF(AND(H2213="",F2213="",D2213&lt;&gt;"",I2213&gt;=TODAY()),ROUND((I2213+IF(ISNUMBER(C2213),MOD(C2213,1),0))*1440,0)*10000+ROW(),"")</f>
        <v/>
      </c>
    </row>
    <row r="2214">
      <c r="A2214" s="1" t="n"/>
      <c r="B2214" s="17" t="n"/>
      <c r="C2214" s="18" t="n"/>
      <c r="D2214" s="19" t="n"/>
      <c r="E2214" s="20" t="n"/>
      <c r="F2214" s="20" t="n"/>
      <c r="G2214" s="21" t="n"/>
      <c r="H2214" s="12">
        <f>IF(AND(B2214="",D2214="",F2214=""),"",IF(NOT(ISNUMBER(B2214)),"Needs a date",IF(D2214="","Needs a client",IF(COUNTIF(Clients!$B$6:$B$105,D2214)=0,"Not on Clients",IF(AND(F2214="",INT(B2214)&lt;TODAY()),"Needs a status","")))))</f>
        <v/>
      </c>
      <c r="I2214" s="1">
        <f>IF(ISNUMBER(B2214),INT(B2214),0)</f>
        <v/>
      </c>
      <c r="J2214">
        <f>IF(ISNUMBER(B2214),YEAR(B2214)*100+MONTH(B2214),"")</f>
        <v/>
      </c>
      <c r="K2214">
        <f>IF(AND(H2214="",OR(F2214="Attended",F2214="No-show",AND(F2214="Late cancel",Settings!$C$9="Yes"))),1,0)</f>
        <v/>
      </c>
      <c r="L2214">
        <f>IF(AND(H2214="",F2214="Attended"),1,0)</f>
        <v/>
      </c>
      <c r="M2214">
        <f>IF(AND(H2214="",OR(F2214="No-show",F2214="Late cancel")),1,0)</f>
        <v/>
      </c>
      <c r="N2214">
        <f>IF(AND(H2214="",F2214="",D2214&lt;&gt;"",I2214&gt;=TODAY()),ROUND((I2214+IF(ISNUMBER(C2214),MOD(C2214,1),0))*1440,0)*10000+ROW(),"")</f>
        <v/>
      </c>
    </row>
    <row r="2215">
      <c r="A2215" s="1" t="n"/>
      <c r="B2215" s="17" t="n"/>
      <c r="C2215" s="18" t="n"/>
      <c r="D2215" s="19" t="n"/>
      <c r="E2215" s="20" t="n"/>
      <c r="F2215" s="20" t="n"/>
      <c r="G2215" s="21" t="n"/>
      <c r="H2215" s="12">
        <f>IF(AND(B2215="",D2215="",F2215=""),"",IF(NOT(ISNUMBER(B2215)),"Needs a date",IF(D2215="","Needs a client",IF(COUNTIF(Clients!$B$6:$B$105,D2215)=0,"Not on Clients",IF(AND(F2215="",INT(B2215)&lt;TODAY()),"Needs a status","")))))</f>
        <v/>
      </c>
      <c r="I2215" s="1">
        <f>IF(ISNUMBER(B2215),INT(B2215),0)</f>
        <v/>
      </c>
      <c r="J2215">
        <f>IF(ISNUMBER(B2215),YEAR(B2215)*100+MONTH(B2215),"")</f>
        <v/>
      </c>
      <c r="K2215">
        <f>IF(AND(H2215="",OR(F2215="Attended",F2215="No-show",AND(F2215="Late cancel",Settings!$C$9="Yes"))),1,0)</f>
        <v/>
      </c>
      <c r="L2215">
        <f>IF(AND(H2215="",F2215="Attended"),1,0)</f>
        <v/>
      </c>
      <c r="M2215">
        <f>IF(AND(H2215="",OR(F2215="No-show",F2215="Late cancel")),1,0)</f>
        <v/>
      </c>
      <c r="N2215">
        <f>IF(AND(H2215="",F2215="",D2215&lt;&gt;"",I2215&gt;=TODAY()),ROUND((I2215+IF(ISNUMBER(C2215),MOD(C2215,1),0))*1440,0)*10000+ROW(),"")</f>
        <v/>
      </c>
    </row>
    <row r="2216">
      <c r="A2216" s="1" t="n"/>
      <c r="B2216" s="17" t="n"/>
      <c r="C2216" s="18" t="n"/>
      <c r="D2216" s="19" t="n"/>
      <c r="E2216" s="20" t="n"/>
      <c r="F2216" s="20" t="n"/>
      <c r="G2216" s="21" t="n"/>
      <c r="H2216" s="12">
        <f>IF(AND(B2216="",D2216="",F2216=""),"",IF(NOT(ISNUMBER(B2216)),"Needs a date",IF(D2216="","Needs a client",IF(COUNTIF(Clients!$B$6:$B$105,D2216)=0,"Not on Clients",IF(AND(F2216="",INT(B2216)&lt;TODAY()),"Needs a status","")))))</f>
        <v/>
      </c>
      <c r="I2216" s="1">
        <f>IF(ISNUMBER(B2216),INT(B2216),0)</f>
        <v/>
      </c>
      <c r="J2216">
        <f>IF(ISNUMBER(B2216),YEAR(B2216)*100+MONTH(B2216),"")</f>
        <v/>
      </c>
      <c r="K2216">
        <f>IF(AND(H2216="",OR(F2216="Attended",F2216="No-show",AND(F2216="Late cancel",Settings!$C$9="Yes"))),1,0)</f>
        <v/>
      </c>
      <c r="L2216">
        <f>IF(AND(H2216="",F2216="Attended"),1,0)</f>
        <v/>
      </c>
      <c r="M2216">
        <f>IF(AND(H2216="",OR(F2216="No-show",F2216="Late cancel")),1,0)</f>
        <v/>
      </c>
      <c r="N2216">
        <f>IF(AND(H2216="",F2216="",D2216&lt;&gt;"",I2216&gt;=TODAY()),ROUND((I2216+IF(ISNUMBER(C2216),MOD(C2216,1),0))*1440,0)*10000+ROW(),"")</f>
        <v/>
      </c>
    </row>
    <row r="2217">
      <c r="A2217" s="1" t="n"/>
      <c r="B2217" s="17" t="n"/>
      <c r="C2217" s="18" t="n"/>
      <c r="D2217" s="19" t="n"/>
      <c r="E2217" s="20" t="n"/>
      <c r="F2217" s="20" t="n"/>
      <c r="G2217" s="21" t="n"/>
      <c r="H2217" s="12">
        <f>IF(AND(B2217="",D2217="",F2217=""),"",IF(NOT(ISNUMBER(B2217)),"Needs a date",IF(D2217="","Needs a client",IF(COUNTIF(Clients!$B$6:$B$105,D2217)=0,"Not on Clients",IF(AND(F2217="",INT(B2217)&lt;TODAY()),"Needs a status","")))))</f>
        <v/>
      </c>
      <c r="I2217" s="1">
        <f>IF(ISNUMBER(B2217),INT(B2217),0)</f>
        <v/>
      </c>
      <c r="J2217">
        <f>IF(ISNUMBER(B2217),YEAR(B2217)*100+MONTH(B2217),"")</f>
        <v/>
      </c>
      <c r="K2217">
        <f>IF(AND(H2217="",OR(F2217="Attended",F2217="No-show",AND(F2217="Late cancel",Settings!$C$9="Yes"))),1,0)</f>
        <v/>
      </c>
      <c r="L2217">
        <f>IF(AND(H2217="",F2217="Attended"),1,0)</f>
        <v/>
      </c>
      <c r="M2217">
        <f>IF(AND(H2217="",OR(F2217="No-show",F2217="Late cancel")),1,0)</f>
        <v/>
      </c>
      <c r="N2217">
        <f>IF(AND(H2217="",F2217="",D2217&lt;&gt;"",I2217&gt;=TODAY()),ROUND((I2217+IF(ISNUMBER(C2217),MOD(C2217,1),0))*1440,0)*10000+ROW(),"")</f>
        <v/>
      </c>
    </row>
    <row r="2218">
      <c r="A2218" s="1" t="n"/>
      <c r="B2218" s="17" t="n"/>
      <c r="C2218" s="18" t="n"/>
      <c r="D2218" s="19" t="n"/>
      <c r="E2218" s="20" t="n"/>
      <c r="F2218" s="20" t="n"/>
      <c r="G2218" s="21" t="n"/>
      <c r="H2218" s="12">
        <f>IF(AND(B2218="",D2218="",F2218=""),"",IF(NOT(ISNUMBER(B2218)),"Needs a date",IF(D2218="","Needs a client",IF(COUNTIF(Clients!$B$6:$B$105,D2218)=0,"Not on Clients",IF(AND(F2218="",INT(B2218)&lt;TODAY()),"Needs a status","")))))</f>
        <v/>
      </c>
      <c r="I2218" s="1">
        <f>IF(ISNUMBER(B2218),INT(B2218),0)</f>
        <v/>
      </c>
      <c r="J2218">
        <f>IF(ISNUMBER(B2218),YEAR(B2218)*100+MONTH(B2218),"")</f>
        <v/>
      </c>
      <c r="K2218">
        <f>IF(AND(H2218="",OR(F2218="Attended",F2218="No-show",AND(F2218="Late cancel",Settings!$C$9="Yes"))),1,0)</f>
        <v/>
      </c>
      <c r="L2218">
        <f>IF(AND(H2218="",F2218="Attended"),1,0)</f>
        <v/>
      </c>
      <c r="M2218">
        <f>IF(AND(H2218="",OR(F2218="No-show",F2218="Late cancel")),1,0)</f>
        <v/>
      </c>
      <c r="N2218">
        <f>IF(AND(H2218="",F2218="",D2218&lt;&gt;"",I2218&gt;=TODAY()),ROUND((I2218+IF(ISNUMBER(C2218),MOD(C2218,1),0))*1440,0)*10000+ROW(),"")</f>
        <v/>
      </c>
    </row>
    <row r="2219">
      <c r="A2219" s="1" t="n"/>
      <c r="B2219" s="17" t="n"/>
      <c r="C2219" s="18" t="n"/>
      <c r="D2219" s="19" t="n"/>
      <c r="E2219" s="20" t="n"/>
      <c r="F2219" s="20" t="n"/>
      <c r="G2219" s="21" t="n"/>
      <c r="H2219" s="12">
        <f>IF(AND(B2219="",D2219="",F2219=""),"",IF(NOT(ISNUMBER(B2219)),"Needs a date",IF(D2219="","Needs a client",IF(COUNTIF(Clients!$B$6:$B$105,D2219)=0,"Not on Clients",IF(AND(F2219="",INT(B2219)&lt;TODAY()),"Needs a status","")))))</f>
        <v/>
      </c>
      <c r="I2219" s="1">
        <f>IF(ISNUMBER(B2219),INT(B2219),0)</f>
        <v/>
      </c>
      <c r="J2219">
        <f>IF(ISNUMBER(B2219),YEAR(B2219)*100+MONTH(B2219),"")</f>
        <v/>
      </c>
      <c r="K2219">
        <f>IF(AND(H2219="",OR(F2219="Attended",F2219="No-show",AND(F2219="Late cancel",Settings!$C$9="Yes"))),1,0)</f>
        <v/>
      </c>
      <c r="L2219">
        <f>IF(AND(H2219="",F2219="Attended"),1,0)</f>
        <v/>
      </c>
      <c r="M2219">
        <f>IF(AND(H2219="",OR(F2219="No-show",F2219="Late cancel")),1,0)</f>
        <v/>
      </c>
      <c r="N2219">
        <f>IF(AND(H2219="",F2219="",D2219&lt;&gt;"",I2219&gt;=TODAY()),ROUND((I2219+IF(ISNUMBER(C2219),MOD(C2219,1),0))*1440,0)*10000+ROW(),"")</f>
        <v/>
      </c>
    </row>
    <row r="2220">
      <c r="A2220" s="1" t="n"/>
      <c r="B2220" s="17" t="n"/>
      <c r="C2220" s="18" t="n"/>
      <c r="D2220" s="19" t="n"/>
      <c r="E2220" s="20" t="n"/>
      <c r="F2220" s="20" t="n"/>
      <c r="G2220" s="21" t="n"/>
      <c r="H2220" s="12">
        <f>IF(AND(B2220="",D2220="",F2220=""),"",IF(NOT(ISNUMBER(B2220)),"Needs a date",IF(D2220="","Needs a client",IF(COUNTIF(Clients!$B$6:$B$105,D2220)=0,"Not on Clients",IF(AND(F2220="",INT(B2220)&lt;TODAY()),"Needs a status","")))))</f>
        <v/>
      </c>
      <c r="I2220" s="1">
        <f>IF(ISNUMBER(B2220),INT(B2220),0)</f>
        <v/>
      </c>
      <c r="J2220">
        <f>IF(ISNUMBER(B2220),YEAR(B2220)*100+MONTH(B2220),"")</f>
        <v/>
      </c>
      <c r="K2220">
        <f>IF(AND(H2220="",OR(F2220="Attended",F2220="No-show",AND(F2220="Late cancel",Settings!$C$9="Yes"))),1,0)</f>
        <v/>
      </c>
      <c r="L2220">
        <f>IF(AND(H2220="",F2220="Attended"),1,0)</f>
        <v/>
      </c>
      <c r="M2220">
        <f>IF(AND(H2220="",OR(F2220="No-show",F2220="Late cancel")),1,0)</f>
        <v/>
      </c>
      <c r="N2220">
        <f>IF(AND(H2220="",F2220="",D2220&lt;&gt;"",I2220&gt;=TODAY()),ROUND((I2220+IF(ISNUMBER(C2220),MOD(C2220,1),0))*1440,0)*10000+ROW(),"")</f>
        <v/>
      </c>
    </row>
    <row r="2221">
      <c r="A2221" s="1" t="n"/>
      <c r="B2221" s="17" t="n"/>
      <c r="C2221" s="18" t="n"/>
      <c r="D2221" s="19" t="n"/>
      <c r="E2221" s="20" t="n"/>
      <c r="F2221" s="20" t="n"/>
      <c r="G2221" s="21" t="n"/>
      <c r="H2221" s="12">
        <f>IF(AND(B2221="",D2221="",F2221=""),"",IF(NOT(ISNUMBER(B2221)),"Needs a date",IF(D2221="","Needs a client",IF(COUNTIF(Clients!$B$6:$B$105,D2221)=0,"Not on Clients",IF(AND(F2221="",INT(B2221)&lt;TODAY()),"Needs a status","")))))</f>
        <v/>
      </c>
      <c r="I2221" s="1">
        <f>IF(ISNUMBER(B2221),INT(B2221),0)</f>
        <v/>
      </c>
      <c r="J2221">
        <f>IF(ISNUMBER(B2221),YEAR(B2221)*100+MONTH(B2221),"")</f>
        <v/>
      </c>
      <c r="K2221">
        <f>IF(AND(H2221="",OR(F2221="Attended",F2221="No-show",AND(F2221="Late cancel",Settings!$C$9="Yes"))),1,0)</f>
        <v/>
      </c>
      <c r="L2221">
        <f>IF(AND(H2221="",F2221="Attended"),1,0)</f>
        <v/>
      </c>
      <c r="M2221">
        <f>IF(AND(H2221="",OR(F2221="No-show",F2221="Late cancel")),1,0)</f>
        <v/>
      </c>
      <c r="N2221">
        <f>IF(AND(H2221="",F2221="",D2221&lt;&gt;"",I2221&gt;=TODAY()),ROUND((I2221+IF(ISNUMBER(C2221),MOD(C2221,1),0))*1440,0)*10000+ROW(),"")</f>
        <v/>
      </c>
    </row>
    <row r="2222">
      <c r="A2222" s="1" t="n"/>
      <c r="B2222" s="17" t="n"/>
      <c r="C2222" s="18" t="n"/>
      <c r="D2222" s="19" t="n"/>
      <c r="E2222" s="20" t="n"/>
      <c r="F2222" s="20" t="n"/>
      <c r="G2222" s="21" t="n"/>
      <c r="H2222" s="12">
        <f>IF(AND(B2222="",D2222="",F2222=""),"",IF(NOT(ISNUMBER(B2222)),"Needs a date",IF(D2222="","Needs a client",IF(COUNTIF(Clients!$B$6:$B$105,D2222)=0,"Not on Clients",IF(AND(F2222="",INT(B2222)&lt;TODAY()),"Needs a status","")))))</f>
        <v/>
      </c>
      <c r="I2222" s="1">
        <f>IF(ISNUMBER(B2222),INT(B2222),0)</f>
        <v/>
      </c>
      <c r="J2222">
        <f>IF(ISNUMBER(B2222),YEAR(B2222)*100+MONTH(B2222),"")</f>
        <v/>
      </c>
      <c r="K2222">
        <f>IF(AND(H2222="",OR(F2222="Attended",F2222="No-show",AND(F2222="Late cancel",Settings!$C$9="Yes"))),1,0)</f>
        <v/>
      </c>
      <c r="L2222">
        <f>IF(AND(H2222="",F2222="Attended"),1,0)</f>
        <v/>
      </c>
      <c r="M2222">
        <f>IF(AND(H2222="",OR(F2222="No-show",F2222="Late cancel")),1,0)</f>
        <v/>
      </c>
      <c r="N2222">
        <f>IF(AND(H2222="",F2222="",D2222&lt;&gt;"",I2222&gt;=TODAY()),ROUND((I2222+IF(ISNUMBER(C2222),MOD(C2222,1),0))*1440,0)*10000+ROW(),"")</f>
        <v/>
      </c>
    </row>
    <row r="2223">
      <c r="A2223" s="1" t="n"/>
      <c r="B2223" s="17" t="n"/>
      <c r="C2223" s="18" t="n"/>
      <c r="D2223" s="19" t="n"/>
      <c r="E2223" s="20" t="n"/>
      <c r="F2223" s="20" t="n"/>
      <c r="G2223" s="21" t="n"/>
      <c r="H2223" s="12">
        <f>IF(AND(B2223="",D2223="",F2223=""),"",IF(NOT(ISNUMBER(B2223)),"Needs a date",IF(D2223="","Needs a client",IF(COUNTIF(Clients!$B$6:$B$105,D2223)=0,"Not on Clients",IF(AND(F2223="",INT(B2223)&lt;TODAY()),"Needs a status","")))))</f>
        <v/>
      </c>
      <c r="I2223" s="1">
        <f>IF(ISNUMBER(B2223),INT(B2223),0)</f>
        <v/>
      </c>
      <c r="J2223">
        <f>IF(ISNUMBER(B2223),YEAR(B2223)*100+MONTH(B2223),"")</f>
        <v/>
      </c>
      <c r="K2223">
        <f>IF(AND(H2223="",OR(F2223="Attended",F2223="No-show",AND(F2223="Late cancel",Settings!$C$9="Yes"))),1,0)</f>
        <v/>
      </c>
      <c r="L2223">
        <f>IF(AND(H2223="",F2223="Attended"),1,0)</f>
        <v/>
      </c>
      <c r="M2223">
        <f>IF(AND(H2223="",OR(F2223="No-show",F2223="Late cancel")),1,0)</f>
        <v/>
      </c>
      <c r="N2223">
        <f>IF(AND(H2223="",F2223="",D2223&lt;&gt;"",I2223&gt;=TODAY()),ROUND((I2223+IF(ISNUMBER(C2223),MOD(C2223,1),0))*1440,0)*10000+ROW(),"")</f>
        <v/>
      </c>
    </row>
    <row r="2224">
      <c r="A2224" s="1" t="n"/>
      <c r="B2224" s="17" t="n"/>
      <c r="C2224" s="18" t="n"/>
      <c r="D2224" s="19" t="n"/>
      <c r="E2224" s="20" t="n"/>
      <c r="F2224" s="20" t="n"/>
      <c r="G2224" s="21" t="n"/>
      <c r="H2224" s="12">
        <f>IF(AND(B2224="",D2224="",F2224=""),"",IF(NOT(ISNUMBER(B2224)),"Needs a date",IF(D2224="","Needs a client",IF(COUNTIF(Clients!$B$6:$B$105,D2224)=0,"Not on Clients",IF(AND(F2224="",INT(B2224)&lt;TODAY()),"Needs a status","")))))</f>
        <v/>
      </c>
      <c r="I2224" s="1">
        <f>IF(ISNUMBER(B2224),INT(B2224),0)</f>
        <v/>
      </c>
      <c r="J2224">
        <f>IF(ISNUMBER(B2224),YEAR(B2224)*100+MONTH(B2224),"")</f>
        <v/>
      </c>
      <c r="K2224">
        <f>IF(AND(H2224="",OR(F2224="Attended",F2224="No-show",AND(F2224="Late cancel",Settings!$C$9="Yes"))),1,0)</f>
        <v/>
      </c>
      <c r="L2224">
        <f>IF(AND(H2224="",F2224="Attended"),1,0)</f>
        <v/>
      </c>
      <c r="M2224">
        <f>IF(AND(H2224="",OR(F2224="No-show",F2224="Late cancel")),1,0)</f>
        <v/>
      </c>
      <c r="N2224">
        <f>IF(AND(H2224="",F2224="",D2224&lt;&gt;"",I2224&gt;=TODAY()),ROUND((I2224+IF(ISNUMBER(C2224),MOD(C2224,1),0))*1440,0)*10000+ROW(),"")</f>
        <v/>
      </c>
    </row>
    <row r="2225">
      <c r="A2225" s="1" t="n"/>
      <c r="B2225" s="17" t="n"/>
      <c r="C2225" s="18" t="n"/>
      <c r="D2225" s="19" t="n"/>
      <c r="E2225" s="20" t="n"/>
      <c r="F2225" s="20" t="n"/>
      <c r="G2225" s="21" t="n"/>
      <c r="H2225" s="12">
        <f>IF(AND(B2225="",D2225="",F2225=""),"",IF(NOT(ISNUMBER(B2225)),"Needs a date",IF(D2225="","Needs a client",IF(COUNTIF(Clients!$B$6:$B$105,D2225)=0,"Not on Clients",IF(AND(F2225="",INT(B2225)&lt;TODAY()),"Needs a status","")))))</f>
        <v/>
      </c>
      <c r="I2225" s="1">
        <f>IF(ISNUMBER(B2225),INT(B2225),0)</f>
        <v/>
      </c>
      <c r="J2225">
        <f>IF(ISNUMBER(B2225),YEAR(B2225)*100+MONTH(B2225),"")</f>
        <v/>
      </c>
      <c r="K2225">
        <f>IF(AND(H2225="",OR(F2225="Attended",F2225="No-show",AND(F2225="Late cancel",Settings!$C$9="Yes"))),1,0)</f>
        <v/>
      </c>
      <c r="L2225">
        <f>IF(AND(H2225="",F2225="Attended"),1,0)</f>
        <v/>
      </c>
      <c r="M2225">
        <f>IF(AND(H2225="",OR(F2225="No-show",F2225="Late cancel")),1,0)</f>
        <v/>
      </c>
      <c r="N2225">
        <f>IF(AND(H2225="",F2225="",D2225&lt;&gt;"",I2225&gt;=TODAY()),ROUND((I2225+IF(ISNUMBER(C2225),MOD(C2225,1),0))*1440,0)*10000+ROW(),"")</f>
        <v/>
      </c>
    </row>
    <row r="2226">
      <c r="A2226" s="1" t="n"/>
      <c r="B2226" s="17" t="n"/>
      <c r="C2226" s="18" t="n"/>
      <c r="D2226" s="19" t="n"/>
      <c r="E2226" s="20" t="n"/>
      <c r="F2226" s="20" t="n"/>
      <c r="G2226" s="21" t="n"/>
      <c r="H2226" s="12">
        <f>IF(AND(B2226="",D2226="",F2226=""),"",IF(NOT(ISNUMBER(B2226)),"Needs a date",IF(D2226="","Needs a client",IF(COUNTIF(Clients!$B$6:$B$105,D2226)=0,"Not on Clients",IF(AND(F2226="",INT(B2226)&lt;TODAY()),"Needs a status","")))))</f>
        <v/>
      </c>
      <c r="I2226" s="1">
        <f>IF(ISNUMBER(B2226),INT(B2226),0)</f>
        <v/>
      </c>
      <c r="J2226">
        <f>IF(ISNUMBER(B2226),YEAR(B2226)*100+MONTH(B2226),"")</f>
        <v/>
      </c>
      <c r="K2226">
        <f>IF(AND(H2226="",OR(F2226="Attended",F2226="No-show",AND(F2226="Late cancel",Settings!$C$9="Yes"))),1,0)</f>
        <v/>
      </c>
      <c r="L2226">
        <f>IF(AND(H2226="",F2226="Attended"),1,0)</f>
        <v/>
      </c>
      <c r="M2226">
        <f>IF(AND(H2226="",OR(F2226="No-show",F2226="Late cancel")),1,0)</f>
        <v/>
      </c>
      <c r="N2226">
        <f>IF(AND(H2226="",F2226="",D2226&lt;&gt;"",I2226&gt;=TODAY()),ROUND((I2226+IF(ISNUMBER(C2226),MOD(C2226,1),0))*1440,0)*10000+ROW(),"")</f>
        <v/>
      </c>
    </row>
    <row r="2227">
      <c r="A2227" s="1" t="n"/>
      <c r="B2227" s="17" t="n"/>
      <c r="C2227" s="18" t="n"/>
      <c r="D2227" s="19" t="n"/>
      <c r="E2227" s="20" t="n"/>
      <c r="F2227" s="20" t="n"/>
      <c r="G2227" s="21" t="n"/>
      <c r="H2227" s="12">
        <f>IF(AND(B2227="",D2227="",F2227=""),"",IF(NOT(ISNUMBER(B2227)),"Needs a date",IF(D2227="","Needs a client",IF(COUNTIF(Clients!$B$6:$B$105,D2227)=0,"Not on Clients",IF(AND(F2227="",INT(B2227)&lt;TODAY()),"Needs a status","")))))</f>
        <v/>
      </c>
      <c r="I2227" s="1">
        <f>IF(ISNUMBER(B2227),INT(B2227),0)</f>
        <v/>
      </c>
      <c r="J2227">
        <f>IF(ISNUMBER(B2227),YEAR(B2227)*100+MONTH(B2227),"")</f>
        <v/>
      </c>
      <c r="K2227">
        <f>IF(AND(H2227="",OR(F2227="Attended",F2227="No-show",AND(F2227="Late cancel",Settings!$C$9="Yes"))),1,0)</f>
        <v/>
      </c>
      <c r="L2227">
        <f>IF(AND(H2227="",F2227="Attended"),1,0)</f>
        <v/>
      </c>
      <c r="M2227">
        <f>IF(AND(H2227="",OR(F2227="No-show",F2227="Late cancel")),1,0)</f>
        <v/>
      </c>
      <c r="N2227">
        <f>IF(AND(H2227="",F2227="",D2227&lt;&gt;"",I2227&gt;=TODAY()),ROUND((I2227+IF(ISNUMBER(C2227),MOD(C2227,1),0))*1440,0)*10000+ROW(),"")</f>
        <v/>
      </c>
    </row>
    <row r="2228">
      <c r="A2228" s="1" t="n"/>
      <c r="B2228" s="17" t="n"/>
      <c r="C2228" s="18" t="n"/>
      <c r="D2228" s="19" t="n"/>
      <c r="E2228" s="20" t="n"/>
      <c r="F2228" s="20" t="n"/>
      <c r="G2228" s="21" t="n"/>
      <c r="H2228" s="12">
        <f>IF(AND(B2228="",D2228="",F2228=""),"",IF(NOT(ISNUMBER(B2228)),"Needs a date",IF(D2228="","Needs a client",IF(COUNTIF(Clients!$B$6:$B$105,D2228)=0,"Not on Clients",IF(AND(F2228="",INT(B2228)&lt;TODAY()),"Needs a status","")))))</f>
        <v/>
      </c>
      <c r="I2228" s="1">
        <f>IF(ISNUMBER(B2228),INT(B2228),0)</f>
        <v/>
      </c>
      <c r="J2228">
        <f>IF(ISNUMBER(B2228),YEAR(B2228)*100+MONTH(B2228),"")</f>
        <v/>
      </c>
      <c r="K2228">
        <f>IF(AND(H2228="",OR(F2228="Attended",F2228="No-show",AND(F2228="Late cancel",Settings!$C$9="Yes"))),1,0)</f>
        <v/>
      </c>
      <c r="L2228">
        <f>IF(AND(H2228="",F2228="Attended"),1,0)</f>
        <v/>
      </c>
      <c r="M2228">
        <f>IF(AND(H2228="",OR(F2228="No-show",F2228="Late cancel")),1,0)</f>
        <v/>
      </c>
      <c r="N2228">
        <f>IF(AND(H2228="",F2228="",D2228&lt;&gt;"",I2228&gt;=TODAY()),ROUND((I2228+IF(ISNUMBER(C2228),MOD(C2228,1),0))*1440,0)*10000+ROW(),"")</f>
        <v/>
      </c>
    </row>
    <row r="2229">
      <c r="A2229" s="1" t="n"/>
      <c r="B2229" s="17" t="n"/>
      <c r="C2229" s="18" t="n"/>
      <c r="D2229" s="19" t="n"/>
      <c r="E2229" s="20" t="n"/>
      <c r="F2229" s="20" t="n"/>
      <c r="G2229" s="21" t="n"/>
      <c r="H2229" s="12">
        <f>IF(AND(B2229="",D2229="",F2229=""),"",IF(NOT(ISNUMBER(B2229)),"Needs a date",IF(D2229="","Needs a client",IF(COUNTIF(Clients!$B$6:$B$105,D2229)=0,"Not on Clients",IF(AND(F2229="",INT(B2229)&lt;TODAY()),"Needs a status","")))))</f>
        <v/>
      </c>
      <c r="I2229" s="1">
        <f>IF(ISNUMBER(B2229),INT(B2229),0)</f>
        <v/>
      </c>
      <c r="J2229">
        <f>IF(ISNUMBER(B2229),YEAR(B2229)*100+MONTH(B2229),"")</f>
        <v/>
      </c>
      <c r="K2229">
        <f>IF(AND(H2229="",OR(F2229="Attended",F2229="No-show",AND(F2229="Late cancel",Settings!$C$9="Yes"))),1,0)</f>
        <v/>
      </c>
      <c r="L2229">
        <f>IF(AND(H2229="",F2229="Attended"),1,0)</f>
        <v/>
      </c>
      <c r="M2229">
        <f>IF(AND(H2229="",OR(F2229="No-show",F2229="Late cancel")),1,0)</f>
        <v/>
      </c>
      <c r="N2229">
        <f>IF(AND(H2229="",F2229="",D2229&lt;&gt;"",I2229&gt;=TODAY()),ROUND((I2229+IF(ISNUMBER(C2229),MOD(C2229,1),0))*1440,0)*10000+ROW(),"")</f>
        <v/>
      </c>
    </row>
    <row r="2230">
      <c r="A2230" s="1" t="n"/>
      <c r="B2230" s="17" t="n"/>
      <c r="C2230" s="18" t="n"/>
      <c r="D2230" s="19" t="n"/>
      <c r="E2230" s="20" t="n"/>
      <c r="F2230" s="20" t="n"/>
      <c r="G2230" s="21" t="n"/>
      <c r="H2230" s="12">
        <f>IF(AND(B2230="",D2230="",F2230=""),"",IF(NOT(ISNUMBER(B2230)),"Needs a date",IF(D2230="","Needs a client",IF(COUNTIF(Clients!$B$6:$B$105,D2230)=0,"Not on Clients",IF(AND(F2230="",INT(B2230)&lt;TODAY()),"Needs a status","")))))</f>
        <v/>
      </c>
      <c r="I2230" s="1">
        <f>IF(ISNUMBER(B2230),INT(B2230),0)</f>
        <v/>
      </c>
      <c r="J2230">
        <f>IF(ISNUMBER(B2230),YEAR(B2230)*100+MONTH(B2230),"")</f>
        <v/>
      </c>
      <c r="K2230">
        <f>IF(AND(H2230="",OR(F2230="Attended",F2230="No-show",AND(F2230="Late cancel",Settings!$C$9="Yes"))),1,0)</f>
        <v/>
      </c>
      <c r="L2230">
        <f>IF(AND(H2230="",F2230="Attended"),1,0)</f>
        <v/>
      </c>
      <c r="M2230">
        <f>IF(AND(H2230="",OR(F2230="No-show",F2230="Late cancel")),1,0)</f>
        <v/>
      </c>
      <c r="N2230">
        <f>IF(AND(H2230="",F2230="",D2230&lt;&gt;"",I2230&gt;=TODAY()),ROUND((I2230+IF(ISNUMBER(C2230),MOD(C2230,1),0))*1440,0)*10000+ROW(),"")</f>
        <v/>
      </c>
    </row>
    <row r="2231">
      <c r="A2231" s="1" t="n"/>
      <c r="B2231" s="17" t="n"/>
      <c r="C2231" s="18" t="n"/>
      <c r="D2231" s="19" t="n"/>
      <c r="E2231" s="20" t="n"/>
      <c r="F2231" s="20" t="n"/>
      <c r="G2231" s="21" t="n"/>
      <c r="H2231" s="12">
        <f>IF(AND(B2231="",D2231="",F2231=""),"",IF(NOT(ISNUMBER(B2231)),"Needs a date",IF(D2231="","Needs a client",IF(COUNTIF(Clients!$B$6:$B$105,D2231)=0,"Not on Clients",IF(AND(F2231="",INT(B2231)&lt;TODAY()),"Needs a status","")))))</f>
        <v/>
      </c>
      <c r="I2231" s="1">
        <f>IF(ISNUMBER(B2231),INT(B2231),0)</f>
        <v/>
      </c>
      <c r="J2231">
        <f>IF(ISNUMBER(B2231),YEAR(B2231)*100+MONTH(B2231),"")</f>
        <v/>
      </c>
      <c r="K2231">
        <f>IF(AND(H2231="",OR(F2231="Attended",F2231="No-show",AND(F2231="Late cancel",Settings!$C$9="Yes"))),1,0)</f>
        <v/>
      </c>
      <c r="L2231">
        <f>IF(AND(H2231="",F2231="Attended"),1,0)</f>
        <v/>
      </c>
      <c r="M2231">
        <f>IF(AND(H2231="",OR(F2231="No-show",F2231="Late cancel")),1,0)</f>
        <v/>
      </c>
      <c r="N2231">
        <f>IF(AND(H2231="",F2231="",D2231&lt;&gt;"",I2231&gt;=TODAY()),ROUND((I2231+IF(ISNUMBER(C2231),MOD(C2231,1),0))*1440,0)*10000+ROW(),"")</f>
        <v/>
      </c>
    </row>
    <row r="2232">
      <c r="A2232" s="1" t="n"/>
      <c r="B2232" s="17" t="n"/>
      <c r="C2232" s="18" t="n"/>
      <c r="D2232" s="19" t="n"/>
      <c r="E2232" s="20" t="n"/>
      <c r="F2232" s="20" t="n"/>
      <c r="G2232" s="21" t="n"/>
      <c r="H2232" s="12">
        <f>IF(AND(B2232="",D2232="",F2232=""),"",IF(NOT(ISNUMBER(B2232)),"Needs a date",IF(D2232="","Needs a client",IF(COUNTIF(Clients!$B$6:$B$105,D2232)=0,"Not on Clients",IF(AND(F2232="",INT(B2232)&lt;TODAY()),"Needs a status","")))))</f>
        <v/>
      </c>
      <c r="I2232" s="1">
        <f>IF(ISNUMBER(B2232),INT(B2232),0)</f>
        <v/>
      </c>
      <c r="J2232">
        <f>IF(ISNUMBER(B2232),YEAR(B2232)*100+MONTH(B2232),"")</f>
        <v/>
      </c>
      <c r="K2232">
        <f>IF(AND(H2232="",OR(F2232="Attended",F2232="No-show",AND(F2232="Late cancel",Settings!$C$9="Yes"))),1,0)</f>
        <v/>
      </c>
      <c r="L2232">
        <f>IF(AND(H2232="",F2232="Attended"),1,0)</f>
        <v/>
      </c>
      <c r="M2232">
        <f>IF(AND(H2232="",OR(F2232="No-show",F2232="Late cancel")),1,0)</f>
        <v/>
      </c>
      <c r="N2232">
        <f>IF(AND(H2232="",F2232="",D2232&lt;&gt;"",I2232&gt;=TODAY()),ROUND((I2232+IF(ISNUMBER(C2232),MOD(C2232,1),0))*1440,0)*10000+ROW(),"")</f>
        <v/>
      </c>
    </row>
    <row r="2233">
      <c r="A2233" s="1" t="n"/>
      <c r="B2233" s="17" t="n"/>
      <c r="C2233" s="18" t="n"/>
      <c r="D2233" s="19" t="n"/>
      <c r="E2233" s="20" t="n"/>
      <c r="F2233" s="20" t="n"/>
      <c r="G2233" s="21" t="n"/>
      <c r="H2233" s="12">
        <f>IF(AND(B2233="",D2233="",F2233=""),"",IF(NOT(ISNUMBER(B2233)),"Needs a date",IF(D2233="","Needs a client",IF(COUNTIF(Clients!$B$6:$B$105,D2233)=0,"Not on Clients",IF(AND(F2233="",INT(B2233)&lt;TODAY()),"Needs a status","")))))</f>
        <v/>
      </c>
      <c r="I2233" s="1">
        <f>IF(ISNUMBER(B2233),INT(B2233),0)</f>
        <v/>
      </c>
      <c r="J2233">
        <f>IF(ISNUMBER(B2233),YEAR(B2233)*100+MONTH(B2233),"")</f>
        <v/>
      </c>
      <c r="K2233">
        <f>IF(AND(H2233="",OR(F2233="Attended",F2233="No-show",AND(F2233="Late cancel",Settings!$C$9="Yes"))),1,0)</f>
        <v/>
      </c>
      <c r="L2233">
        <f>IF(AND(H2233="",F2233="Attended"),1,0)</f>
        <v/>
      </c>
      <c r="M2233">
        <f>IF(AND(H2233="",OR(F2233="No-show",F2233="Late cancel")),1,0)</f>
        <v/>
      </c>
      <c r="N2233">
        <f>IF(AND(H2233="",F2233="",D2233&lt;&gt;"",I2233&gt;=TODAY()),ROUND((I2233+IF(ISNUMBER(C2233),MOD(C2233,1),0))*1440,0)*10000+ROW(),"")</f>
        <v/>
      </c>
    </row>
    <row r="2234">
      <c r="A2234" s="1" t="n"/>
      <c r="B2234" s="17" t="n"/>
      <c r="C2234" s="18" t="n"/>
      <c r="D2234" s="19" t="n"/>
      <c r="E2234" s="20" t="n"/>
      <c r="F2234" s="20" t="n"/>
      <c r="G2234" s="21" t="n"/>
      <c r="H2234" s="12">
        <f>IF(AND(B2234="",D2234="",F2234=""),"",IF(NOT(ISNUMBER(B2234)),"Needs a date",IF(D2234="","Needs a client",IF(COUNTIF(Clients!$B$6:$B$105,D2234)=0,"Not on Clients",IF(AND(F2234="",INT(B2234)&lt;TODAY()),"Needs a status","")))))</f>
        <v/>
      </c>
      <c r="I2234" s="1">
        <f>IF(ISNUMBER(B2234),INT(B2234),0)</f>
        <v/>
      </c>
      <c r="J2234">
        <f>IF(ISNUMBER(B2234),YEAR(B2234)*100+MONTH(B2234),"")</f>
        <v/>
      </c>
      <c r="K2234">
        <f>IF(AND(H2234="",OR(F2234="Attended",F2234="No-show",AND(F2234="Late cancel",Settings!$C$9="Yes"))),1,0)</f>
        <v/>
      </c>
      <c r="L2234">
        <f>IF(AND(H2234="",F2234="Attended"),1,0)</f>
        <v/>
      </c>
      <c r="M2234">
        <f>IF(AND(H2234="",OR(F2234="No-show",F2234="Late cancel")),1,0)</f>
        <v/>
      </c>
      <c r="N2234">
        <f>IF(AND(H2234="",F2234="",D2234&lt;&gt;"",I2234&gt;=TODAY()),ROUND((I2234+IF(ISNUMBER(C2234),MOD(C2234,1),0))*1440,0)*10000+ROW(),"")</f>
        <v/>
      </c>
    </row>
    <row r="2235">
      <c r="A2235" s="1" t="n"/>
      <c r="B2235" s="17" t="n"/>
      <c r="C2235" s="18" t="n"/>
      <c r="D2235" s="19" t="n"/>
      <c r="E2235" s="20" t="n"/>
      <c r="F2235" s="20" t="n"/>
      <c r="G2235" s="21" t="n"/>
      <c r="H2235" s="12">
        <f>IF(AND(B2235="",D2235="",F2235=""),"",IF(NOT(ISNUMBER(B2235)),"Needs a date",IF(D2235="","Needs a client",IF(COUNTIF(Clients!$B$6:$B$105,D2235)=0,"Not on Clients",IF(AND(F2235="",INT(B2235)&lt;TODAY()),"Needs a status","")))))</f>
        <v/>
      </c>
      <c r="I2235" s="1">
        <f>IF(ISNUMBER(B2235),INT(B2235),0)</f>
        <v/>
      </c>
      <c r="J2235">
        <f>IF(ISNUMBER(B2235),YEAR(B2235)*100+MONTH(B2235),"")</f>
        <v/>
      </c>
      <c r="K2235">
        <f>IF(AND(H2235="",OR(F2235="Attended",F2235="No-show",AND(F2235="Late cancel",Settings!$C$9="Yes"))),1,0)</f>
        <v/>
      </c>
      <c r="L2235">
        <f>IF(AND(H2235="",F2235="Attended"),1,0)</f>
        <v/>
      </c>
      <c r="M2235">
        <f>IF(AND(H2235="",OR(F2235="No-show",F2235="Late cancel")),1,0)</f>
        <v/>
      </c>
      <c r="N2235">
        <f>IF(AND(H2235="",F2235="",D2235&lt;&gt;"",I2235&gt;=TODAY()),ROUND((I2235+IF(ISNUMBER(C2235),MOD(C2235,1),0))*1440,0)*10000+ROW(),"")</f>
        <v/>
      </c>
    </row>
    <row r="2236">
      <c r="A2236" s="1" t="n"/>
      <c r="B2236" s="17" t="n"/>
      <c r="C2236" s="18" t="n"/>
      <c r="D2236" s="19" t="n"/>
      <c r="E2236" s="20" t="n"/>
      <c r="F2236" s="20" t="n"/>
      <c r="G2236" s="21" t="n"/>
      <c r="H2236" s="12">
        <f>IF(AND(B2236="",D2236="",F2236=""),"",IF(NOT(ISNUMBER(B2236)),"Needs a date",IF(D2236="","Needs a client",IF(COUNTIF(Clients!$B$6:$B$105,D2236)=0,"Not on Clients",IF(AND(F2236="",INT(B2236)&lt;TODAY()),"Needs a status","")))))</f>
        <v/>
      </c>
      <c r="I2236" s="1">
        <f>IF(ISNUMBER(B2236),INT(B2236),0)</f>
        <v/>
      </c>
      <c r="J2236">
        <f>IF(ISNUMBER(B2236),YEAR(B2236)*100+MONTH(B2236),"")</f>
        <v/>
      </c>
      <c r="K2236">
        <f>IF(AND(H2236="",OR(F2236="Attended",F2236="No-show",AND(F2236="Late cancel",Settings!$C$9="Yes"))),1,0)</f>
        <v/>
      </c>
      <c r="L2236">
        <f>IF(AND(H2236="",F2236="Attended"),1,0)</f>
        <v/>
      </c>
      <c r="M2236">
        <f>IF(AND(H2236="",OR(F2236="No-show",F2236="Late cancel")),1,0)</f>
        <v/>
      </c>
      <c r="N2236">
        <f>IF(AND(H2236="",F2236="",D2236&lt;&gt;"",I2236&gt;=TODAY()),ROUND((I2236+IF(ISNUMBER(C2236),MOD(C2236,1),0))*1440,0)*10000+ROW(),"")</f>
        <v/>
      </c>
    </row>
    <row r="2237">
      <c r="A2237" s="1" t="n"/>
      <c r="B2237" s="17" t="n"/>
      <c r="C2237" s="18" t="n"/>
      <c r="D2237" s="19" t="n"/>
      <c r="E2237" s="20" t="n"/>
      <c r="F2237" s="20" t="n"/>
      <c r="G2237" s="21" t="n"/>
      <c r="H2237" s="12">
        <f>IF(AND(B2237="",D2237="",F2237=""),"",IF(NOT(ISNUMBER(B2237)),"Needs a date",IF(D2237="","Needs a client",IF(COUNTIF(Clients!$B$6:$B$105,D2237)=0,"Not on Clients",IF(AND(F2237="",INT(B2237)&lt;TODAY()),"Needs a status","")))))</f>
        <v/>
      </c>
      <c r="I2237" s="1">
        <f>IF(ISNUMBER(B2237),INT(B2237),0)</f>
        <v/>
      </c>
      <c r="J2237">
        <f>IF(ISNUMBER(B2237),YEAR(B2237)*100+MONTH(B2237),"")</f>
        <v/>
      </c>
      <c r="K2237">
        <f>IF(AND(H2237="",OR(F2237="Attended",F2237="No-show",AND(F2237="Late cancel",Settings!$C$9="Yes"))),1,0)</f>
        <v/>
      </c>
      <c r="L2237">
        <f>IF(AND(H2237="",F2237="Attended"),1,0)</f>
        <v/>
      </c>
      <c r="M2237">
        <f>IF(AND(H2237="",OR(F2237="No-show",F2237="Late cancel")),1,0)</f>
        <v/>
      </c>
      <c r="N2237">
        <f>IF(AND(H2237="",F2237="",D2237&lt;&gt;"",I2237&gt;=TODAY()),ROUND((I2237+IF(ISNUMBER(C2237),MOD(C2237,1),0))*1440,0)*10000+ROW(),"")</f>
        <v/>
      </c>
    </row>
    <row r="2238">
      <c r="A2238" s="1" t="n"/>
      <c r="B2238" s="17" t="n"/>
      <c r="C2238" s="18" t="n"/>
      <c r="D2238" s="19" t="n"/>
      <c r="E2238" s="20" t="n"/>
      <c r="F2238" s="20" t="n"/>
      <c r="G2238" s="21" t="n"/>
      <c r="H2238" s="12">
        <f>IF(AND(B2238="",D2238="",F2238=""),"",IF(NOT(ISNUMBER(B2238)),"Needs a date",IF(D2238="","Needs a client",IF(COUNTIF(Clients!$B$6:$B$105,D2238)=0,"Not on Clients",IF(AND(F2238="",INT(B2238)&lt;TODAY()),"Needs a status","")))))</f>
        <v/>
      </c>
      <c r="I2238" s="1">
        <f>IF(ISNUMBER(B2238),INT(B2238),0)</f>
        <v/>
      </c>
      <c r="J2238">
        <f>IF(ISNUMBER(B2238),YEAR(B2238)*100+MONTH(B2238),"")</f>
        <v/>
      </c>
      <c r="K2238">
        <f>IF(AND(H2238="",OR(F2238="Attended",F2238="No-show",AND(F2238="Late cancel",Settings!$C$9="Yes"))),1,0)</f>
        <v/>
      </c>
      <c r="L2238">
        <f>IF(AND(H2238="",F2238="Attended"),1,0)</f>
        <v/>
      </c>
      <c r="M2238">
        <f>IF(AND(H2238="",OR(F2238="No-show",F2238="Late cancel")),1,0)</f>
        <v/>
      </c>
      <c r="N2238">
        <f>IF(AND(H2238="",F2238="",D2238&lt;&gt;"",I2238&gt;=TODAY()),ROUND((I2238+IF(ISNUMBER(C2238),MOD(C2238,1),0))*1440,0)*10000+ROW(),"")</f>
        <v/>
      </c>
    </row>
    <row r="2239">
      <c r="A2239" s="1" t="n"/>
      <c r="B2239" s="17" t="n"/>
      <c r="C2239" s="18" t="n"/>
      <c r="D2239" s="19" t="n"/>
      <c r="E2239" s="20" t="n"/>
      <c r="F2239" s="20" t="n"/>
      <c r="G2239" s="21" t="n"/>
      <c r="H2239" s="12">
        <f>IF(AND(B2239="",D2239="",F2239=""),"",IF(NOT(ISNUMBER(B2239)),"Needs a date",IF(D2239="","Needs a client",IF(COUNTIF(Clients!$B$6:$B$105,D2239)=0,"Not on Clients",IF(AND(F2239="",INT(B2239)&lt;TODAY()),"Needs a status","")))))</f>
        <v/>
      </c>
      <c r="I2239" s="1">
        <f>IF(ISNUMBER(B2239),INT(B2239),0)</f>
        <v/>
      </c>
      <c r="J2239">
        <f>IF(ISNUMBER(B2239),YEAR(B2239)*100+MONTH(B2239),"")</f>
        <v/>
      </c>
      <c r="K2239">
        <f>IF(AND(H2239="",OR(F2239="Attended",F2239="No-show",AND(F2239="Late cancel",Settings!$C$9="Yes"))),1,0)</f>
        <v/>
      </c>
      <c r="L2239">
        <f>IF(AND(H2239="",F2239="Attended"),1,0)</f>
        <v/>
      </c>
      <c r="M2239">
        <f>IF(AND(H2239="",OR(F2239="No-show",F2239="Late cancel")),1,0)</f>
        <v/>
      </c>
      <c r="N2239">
        <f>IF(AND(H2239="",F2239="",D2239&lt;&gt;"",I2239&gt;=TODAY()),ROUND((I2239+IF(ISNUMBER(C2239),MOD(C2239,1),0))*1440,0)*10000+ROW(),"")</f>
        <v/>
      </c>
    </row>
    <row r="2240">
      <c r="A2240" s="1" t="n"/>
      <c r="B2240" s="17" t="n"/>
      <c r="C2240" s="18" t="n"/>
      <c r="D2240" s="19" t="n"/>
      <c r="E2240" s="20" t="n"/>
      <c r="F2240" s="20" t="n"/>
      <c r="G2240" s="21" t="n"/>
      <c r="H2240" s="12">
        <f>IF(AND(B2240="",D2240="",F2240=""),"",IF(NOT(ISNUMBER(B2240)),"Needs a date",IF(D2240="","Needs a client",IF(COUNTIF(Clients!$B$6:$B$105,D2240)=0,"Not on Clients",IF(AND(F2240="",INT(B2240)&lt;TODAY()),"Needs a status","")))))</f>
        <v/>
      </c>
      <c r="I2240" s="1">
        <f>IF(ISNUMBER(B2240),INT(B2240),0)</f>
        <v/>
      </c>
      <c r="J2240">
        <f>IF(ISNUMBER(B2240),YEAR(B2240)*100+MONTH(B2240),"")</f>
        <v/>
      </c>
      <c r="K2240">
        <f>IF(AND(H2240="",OR(F2240="Attended",F2240="No-show",AND(F2240="Late cancel",Settings!$C$9="Yes"))),1,0)</f>
        <v/>
      </c>
      <c r="L2240">
        <f>IF(AND(H2240="",F2240="Attended"),1,0)</f>
        <v/>
      </c>
      <c r="M2240">
        <f>IF(AND(H2240="",OR(F2240="No-show",F2240="Late cancel")),1,0)</f>
        <v/>
      </c>
      <c r="N2240">
        <f>IF(AND(H2240="",F2240="",D2240&lt;&gt;"",I2240&gt;=TODAY()),ROUND((I2240+IF(ISNUMBER(C2240),MOD(C2240,1),0))*1440,0)*10000+ROW(),"")</f>
        <v/>
      </c>
    </row>
    <row r="2241">
      <c r="A2241" s="1" t="n"/>
      <c r="B2241" s="17" t="n"/>
      <c r="C2241" s="18" t="n"/>
      <c r="D2241" s="19" t="n"/>
      <c r="E2241" s="20" t="n"/>
      <c r="F2241" s="20" t="n"/>
      <c r="G2241" s="21" t="n"/>
      <c r="H2241" s="12">
        <f>IF(AND(B2241="",D2241="",F2241=""),"",IF(NOT(ISNUMBER(B2241)),"Needs a date",IF(D2241="","Needs a client",IF(COUNTIF(Clients!$B$6:$B$105,D2241)=0,"Not on Clients",IF(AND(F2241="",INT(B2241)&lt;TODAY()),"Needs a status","")))))</f>
        <v/>
      </c>
      <c r="I2241" s="1">
        <f>IF(ISNUMBER(B2241),INT(B2241),0)</f>
        <v/>
      </c>
      <c r="J2241">
        <f>IF(ISNUMBER(B2241),YEAR(B2241)*100+MONTH(B2241),"")</f>
        <v/>
      </c>
      <c r="K2241">
        <f>IF(AND(H2241="",OR(F2241="Attended",F2241="No-show",AND(F2241="Late cancel",Settings!$C$9="Yes"))),1,0)</f>
        <v/>
      </c>
      <c r="L2241">
        <f>IF(AND(H2241="",F2241="Attended"),1,0)</f>
        <v/>
      </c>
      <c r="M2241">
        <f>IF(AND(H2241="",OR(F2241="No-show",F2241="Late cancel")),1,0)</f>
        <v/>
      </c>
      <c r="N2241">
        <f>IF(AND(H2241="",F2241="",D2241&lt;&gt;"",I2241&gt;=TODAY()),ROUND((I2241+IF(ISNUMBER(C2241),MOD(C2241,1),0))*1440,0)*10000+ROW(),"")</f>
        <v/>
      </c>
    </row>
    <row r="2242">
      <c r="A2242" s="1" t="n"/>
      <c r="B2242" s="17" t="n"/>
      <c r="C2242" s="18" t="n"/>
      <c r="D2242" s="19" t="n"/>
      <c r="E2242" s="20" t="n"/>
      <c r="F2242" s="20" t="n"/>
      <c r="G2242" s="21" t="n"/>
      <c r="H2242" s="12">
        <f>IF(AND(B2242="",D2242="",F2242=""),"",IF(NOT(ISNUMBER(B2242)),"Needs a date",IF(D2242="","Needs a client",IF(COUNTIF(Clients!$B$6:$B$105,D2242)=0,"Not on Clients",IF(AND(F2242="",INT(B2242)&lt;TODAY()),"Needs a status","")))))</f>
        <v/>
      </c>
      <c r="I2242" s="1">
        <f>IF(ISNUMBER(B2242),INT(B2242),0)</f>
        <v/>
      </c>
      <c r="J2242">
        <f>IF(ISNUMBER(B2242),YEAR(B2242)*100+MONTH(B2242),"")</f>
        <v/>
      </c>
      <c r="K2242">
        <f>IF(AND(H2242="",OR(F2242="Attended",F2242="No-show",AND(F2242="Late cancel",Settings!$C$9="Yes"))),1,0)</f>
        <v/>
      </c>
      <c r="L2242">
        <f>IF(AND(H2242="",F2242="Attended"),1,0)</f>
        <v/>
      </c>
      <c r="M2242">
        <f>IF(AND(H2242="",OR(F2242="No-show",F2242="Late cancel")),1,0)</f>
        <v/>
      </c>
      <c r="N2242">
        <f>IF(AND(H2242="",F2242="",D2242&lt;&gt;"",I2242&gt;=TODAY()),ROUND((I2242+IF(ISNUMBER(C2242),MOD(C2242,1),0))*1440,0)*10000+ROW(),"")</f>
        <v/>
      </c>
    </row>
    <row r="2243">
      <c r="A2243" s="1" t="n"/>
      <c r="B2243" s="17" t="n"/>
      <c r="C2243" s="18" t="n"/>
      <c r="D2243" s="19" t="n"/>
      <c r="E2243" s="20" t="n"/>
      <c r="F2243" s="20" t="n"/>
      <c r="G2243" s="21" t="n"/>
      <c r="H2243" s="12">
        <f>IF(AND(B2243="",D2243="",F2243=""),"",IF(NOT(ISNUMBER(B2243)),"Needs a date",IF(D2243="","Needs a client",IF(COUNTIF(Clients!$B$6:$B$105,D2243)=0,"Not on Clients",IF(AND(F2243="",INT(B2243)&lt;TODAY()),"Needs a status","")))))</f>
        <v/>
      </c>
      <c r="I2243" s="1">
        <f>IF(ISNUMBER(B2243),INT(B2243),0)</f>
        <v/>
      </c>
      <c r="J2243">
        <f>IF(ISNUMBER(B2243),YEAR(B2243)*100+MONTH(B2243),"")</f>
        <v/>
      </c>
      <c r="K2243">
        <f>IF(AND(H2243="",OR(F2243="Attended",F2243="No-show",AND(F2243="Late cancel",Settings!$C$9="Yes"))),1,0)</f>
        <v/>
      </c>
      <c r="L2243">
        <f>IF(AND(H2243="",F2243="Attended"),1,0)</f>
        <v/>
      </c>
      <c r="M2243">
        <f>IF(AND(H2243="",OR(F2243="No-show",F2243="Late cancel")),1,0)</f>
        <v/>
      </c>
      <c r="N2243">
        <f>IF(AND(H2243="",F2243="",D2243&lt;&gt;"",I2243&gt;=TODAY()),ROUND((I2243+IF(ISNUMBER(C2243),MOD(C2243,1),0))*1440,0)*10000+ROW(),"")</f>
        <v/>
      </c>
    </row>
    <row r="2244">
      <c r="A2244" s="1" t="n"/>
      <c r="B2244" s="17" t="n"/>
      <c r="C2244" s="18" t="n"/>
      <c r="D2244" s="19" t="n"/>
      <c r="E2244" s="20" t="n"/>
      <c r="F2244" s="20" t="n"/>
      <c r="G2244" s="21" t="n"/>
      <c r="H2244" s="12">
        <f>IF(AND(B2244="",D2244="",F2244=""),"",IF(NOT(ISNUMBER(B2244)),"Needs a date",IF(D2244="","Needs a client",IF(COUNTIF(Clients!$B$6:$B$105,D2244)=0,"Not on Clients",IF(AND(F2244="",INT(B2244)&lt;TODAY()),"Needs a status","")))))</f>
        <v/>
      </c>
      <c r="I2244" s="1">
        <f>IF(ISNUMBER(B2244),INT(B2244),0)</f>
        <v/>
      </c>
      <c r="J2244">
        <f>IF(ISNUMBER(B2244),YEAR(B2244)*100+MONTH(B2244),"")</f>
        <v/>
      </c>
      <c r="K2244">
        <f>IF(AND(H2244="",OR(F2244="Attended",F2244="No-show",AND(F2244="Late cancel",Settings!$C$9="Yes"))),1,0)</f>
        <v/>
      </c>
      <c r="L2244">
        <f>IF(AND(H2244="",F2244="Attended"),1,0)</f>
        <v/>
      </c>
      <c r="M2244">
        <f>IF(AND(H2244="",OR(F2244="No-show",F2244="Late cancel")),1,0)</f>
        <v/>
      </c>
      <c r="N2244">
        <f>IF(AND(H2244="",F2244="",D2244&lt;&gt;"",I2244&gt;=TODAY()),ROUND((I2244+IF(ISNUMBER(C2244),MOD(C2244,1),0))*1440,0)*10000+ROW(),"")</f>
        <v/>
      </c>
    </row>
    <row r="2245">
      <c r="A2245" s="1" t="n"/>
      <c r="B2245" s="17" t="n"/>
      <c r="C2245" s="18" t="n"/>
      <c r="D2245" s="19" t="n"/>
      <c r="E2245" s="20" t="n"/>
      <c r="F2245" s="20" t="n"/>
      <c r="G2245" s="21" t="n"/>
      <c r="H2245" s="12">
        <f>IF(AND(B2245="",D2245="",F2245=""),"",IF(NOT(ISNUMBER(B2245)),"Needs a date",IF(D2245="","Needs a client",IF(COUNTIF(Clients!$B$6:$B$105,D2245)=0,"Not on Clients",IF(AND(F2245="",INT(B2245)&lt;TODAY()),"Needs a status","")))))</f>
        <v/>
      </c>
      <c r="I2245" s="1">
        <f>IF(ISNUMBER(B2245),INT(B2245),0)</f>
        <v/>
      </c>
      <c r="J2245">
        <f>IF(ISNUMBER(B2245),YEAR(B2245)*100+MONTH(B2245),"")</f>
        <v/>
      </c>
      <c r="K2245">
        <f>IF(AND(H2245="",OR(F2245="Attended",F2245="No-show",AND(F2245="Late cancel",Settings!$C$9="Yes"))),1,0)</f>
        <v/>
      </c>
      <c r="L2245">
        <f>IF(AND(H2245="",F2245="Attended"),1,0)</f>
        <v/>
      </c>
      <c r="M2245">
        <f>IF(AND(H2245="",OR(F2245="No-show",F2245="Late cancel")),1,0)</f>
        <v/>
      </c>
      <c r="N2245">
        <f>IF(AND(H2245="",F2245="",D2245&lt;&gt;"",I2245&gt;=TODAY()),ROUND((I2245+IF(ISNUMBER(C2245),MOD(C2245,1),0))*1440,0)*10000+ROW(),"")</f>
        <v/>
      </c>
    </row>
    <row r="2246">
      <c r="A2246" s="1" t="n"/>
      <c r="B2246" s="17" t="n"/>
      <c r="C2246" s="18" t="n"/>
      <c r="D2246" s="19" t="n"/>
      <c r="E2246" s="20" t="n"/>
      <c r="F2246" s="20" t="n"/>
      <c r="G2246" s="21" t="n"/>
      <c r="H2246" s="12">
        <f>IF(AND(B2246="",D2246="",F2246=""),"",IF(NOT(ISNUMBER(B2246)),"Needs a date",IF(D2246="","Needs a client",IF(COUNTIF(Clients!$B$6:$B$105,D2246)=0,"Not on Clients",IF(AND(F2246="",INT(B2246)&lt;TODAY()),"Needs a status","")))))</f>
        <v/>
      </c>
      <c r="I2246" s="1">
        <f>IF(ISNUMBER(B2246),INT(B2246),0)</f>
        <v/>
      </c>
      <c r="J2246">
        <f>IF(ISNUMBER(B2246),YEAR(B2246)*100+MONTH(B2246),"")</f>
        <v/>
      </c>
      <c r="K2246">
        <f>IF(AND(H2246="",OR(F2246="Attended",F2246="No-show",AND(F2246="Late cancel",Settings!$C$9="Yes"))),1,0)</f>
        <v/>
      </c>
      <c r="L2246">
        <f>IF(AND(H2246="",F2246="Attended"),1,0)</f>
        <v/>
      </c>
      <c r="M2246">
        <f>IF(AND(H2246="",OR(F2246="No-show",F2246="Late cancel")),1,0)</f>
        <v/>
      </c>
      <c r="N2246">
        <f>IF(AND(H2246="",F2246="",D2246&lt;&gt;"",I2246&gt;=TODAY()),ROUND((I2246+IF(ISNUMBER(C2246),MOD(C2246,1),0))*1440,0)*10000+ROW(),"")</f>
        <v/>
      </c>
    </row>
    <row r="2247">
      <c r="A2247" s="1" t="n"/>
      <c r="B2247" s="17" t="n"/>
      <c r="C2247" s="18" t="n"/>
      <c r="D2247" s="19" t="n"/>
      <c r="E2247" s="20" t="n"/>
      <c r="F2247" s="20" t="n"/>
      <c r="G2247" s="21" t="n"/>
      <c r="H2247" s="12">
        <f>IF(AND(B2247="",D2247="",F2247=""),"",IF(NOT(ISNUMBER(B2247)),"Needs a date",IF(D2247="","Needs a client",IF(COUNTIF(Clients!$B$6:$B$105,D2247)=0,"Not on Clients",IF(AND(F2247="",INT(B2247)&lt;TODAY()),"Needs a status","")))))</f>
        <v/>
      </c>
      <c r="I2247" s="1">
        <f>IF(ISNUMBER(B2247),INT(B2247),0)</f>
        <v/>
      </c>
      <c r="J2247">
        <f>IF(ISNUMBER(B2247),YEAR(B2247)*100+MONTH(B2247),"")</f>
        <v/>
      </c>
      <c r="K2247">
        <f>IF(AND(H2247="",OR(F2247="Attended",F2247="No-show",AND(F2247="Late cancel",Settings!$C$9="Yes"))),1,0)</f>
        <v/>
      </c>
      <c r="L2247">
        <f>IF(AND(H2247="",F2247="Attended"),1,0)</f>
        <v/>
      </c>
      <c r="M2247">
        <f>IF(AND(H2247="",OR(F2247="No-show",F2247="Late cancel")),1,0)</f>
        <v/>
      </c>
      <c r="N2247">
        <f>IF(AND(H2247="",F2247="",D2247&lt;&gt;"",I2247&gt;=TODAY()),ROUND((I2247+IF(ISNUMBER(C2247),MOD(C2247,1),0))*1440,0)*10000+ROW(),"")</f>
        <v/>
      </c>
    </row>
    <row r="2248">
      <c r="A2248" s="1" t="n"/>
      <c r="B2248" s="17" t="n"/>
      <c r="C2248" s="18" t="n"/>
      <c r="D2248" s="19" t="n"/>
      <c r="E2248" s="20" t="n"/>
      <c r="F2248" s="20" t="n"/>
      <c r="G2248" s="21" t="n"/>
      <c r="H2248" s="12">
        <f>IF(AND(B2248="",D2248="",F2248=""),"",IF(NOT(ISNUMBER(B2248)),"Needs a date",IF(D2248="","Needs a client",IF(COUNTIF(Clients!$B$6:$B$105,D2248)=0,"Not on Clients",IF(AND(F2248="",INT(B2248)&lt;TODAY()),"Needs a status","")))))</f>
        <v/>
      </c>
      <c r="I2248" s="1">
        <f>IF(ISNUMBER(B2248),INT(B2248),0)</f>
        <v/>
      </c>
      <c r="J2248">
        <f>IF(ISNUMBER(B2248),YEAR(B2248)*100+MONTH(B2248),"")</f>
        <v/>
      </c>
      <c r="K2248">
        <f>IF(AND(H2248="",OR(F2248="Attended",F2248="No-show",AND(F2248="Late cancel",Settings!$C$9="Yes"))),1,0)</f>
        <v/>
      </c>
      <c r="L2248">
        <f>IF(AND(H2248="",F2248="Attended"),1,0)</f>
        <v/>
      </c>
      <c r="M2248">
        <f>IF(AND(H2248="",OR(F2248="No-show",F2248="Late cancel")),1,0)</f>
        <v/>
      </c>
      <c r="N2248">
        <f>IF(AND(H2248="",F2248="",D2248&lt;&gt;"",I2248&gt;=TODAY()),ROUND((I2248+IF(ISNUMBER(C2248),MOD(C2248,1),0))*1440,0)*10000+ROW(),"")</f>
        <v/>
      </c>
    </row>
    <row r="2249">
      <c r="A2249" s="1" t="n"/>
      <c r="B2249" s="17" t="n"/>
      <c r="C2249" s="18" t="n"/>
      <c r="D2249" s="19" t="n"/>
      <c r="E2249" s="20" t="n"/>
      <c r="F2249" s="20" t="n"/>
      <c r="G2249" s="21" t="n"/>
      <c r="H2249" s="12">
        <f>IF(AND(B2249="",D2249="",F2249=""),"",IF(NOT(ISNUMBER(B2249)),"Needs a date",IF(D2249="","Needs a client",IF(COUNTIF(Clients!$B$6:$B$105,D2249)=0,"Not on Clients",IF(AND(F2249="",INT(B2249)&lt;TODAY()),"Needs a status","")))))</f>
        <v/>
      </c>
      <c r="I2249" s="1">
        <f>IF(ISNUMBER(B2249),INT(B2249),0)</f>
        <v/>
      </c>
      <c r="J2249">
        <f>IF(ISNUMBER(B2249),YEAR(B2249)*100+MONTH(B2249),"")</f>
        <v/>
      </c>
      <c r="K2249">
        <f>IF(AND(H2249="",OR(F2249="Attended",F2249="No-show",AND(F2249="Late cancel",Settings!$C$9="Yes"))),1,0)</f>
        <v/>
      </c>
      <c r="L2249">
        <f>IF(AND(H2249="",F2249="Attended"),1,0)</f>
        <v/>
      </c>
      <c r="M2249">
        <f>IF(AND(H2249="",OR(F2249="No-show",F2249="Late cancel")),1,0)</f>
        <v/>
      </c>
      <c r="N2249">
        <f>IF(AND(H2249="",F2249="",D2249&lt;&gt;"",I2249&gt;=TODAY()),ROUND((I2249+IF(ISNUMBER(C2249),MOD(C2249,1),0))*1440,0)*10000+ROW(),"")</f>
        <v/>
      </c>
    </row>
    <row r="2250">
      <c r="A2250" s="1" t="n"/>
      <c r="B2250" s="17" t="n"/>
      <c r="C2250" s="18" t="n"/>
      <c r="D2250" s="19" t="n"/>
      <c r="E2250" s="20" t="n"/>
      <c r="F2250" s="20" t="n"/>
      <c r="G2250" s="21" t="n"/>
      <c r="H2250" s="12">
        <f>IF(AND(B2250="",D2250="",F2250=""),"",IF(NOT(ISNUMBER(B2250)),"Needs a date",IF(D2250="","Needs a client",IF(COUNTIF(Clients!$B$6:$B$105,D2250)=0,"Not on Clients",IF(AND(F2250="",INT(B2250)&lt;TODAY()),"Needs a status","")))))</f>
        <v/>
      </c>
      <c r="I2250" s="1">
        <f>IF(ISNUMBER(B2250),INT(B2250),0)</f>
        <v/>
      </c>
      <c r="J2250">
        <f>IF(ISNUMBER(B2250),YEAR(B2250)*100+MONTH(B2250),"")</f>
        <v/>
      </c>
      <c r="K2250">
        <f>IF(AND(H2250="",OR(F2250="Attended",F2250="No-show",AND(F2250="Late cancel",Settings!$C$9="Yes"))),1,0)</f>
        <v/>
      </c>
      <c r="L2250">
        <f>IF(AND(H2250="",F2250="Attended"),1,0)</f>
        <v/>
      </c>
      <c r="M2250">
        <f>IF(AND(H2250="",OR(F2250="No-show",F2250="Late cancel")),1,0)</f>
        <v/>
      </c>
      <c r="N2250">
        <f>IF(AND(H2250="",F2250="",D2250&lt;&gt;"",I2250&gt;=TODAY()),ROUND((I2250+IF(ISNUMBER(C2250),MOD(C2250,1),0))*1440,0)*10000+ROW(),"")</f>
        <v/>
      </c>
    </row>
    <row r="2251">
      <c r="A2251" s="1" t="n"/>
      <c r="B2251" s="17" t="n"/>
      <c r="C2251" s="18" t="n"/>
      <c r="D2251" s="19" t="n"/>
      <c r="E2251" s="20" t="n"/>
      <c r="F2251" s="20" t="n"/>
      <c r="G2251" s="21" t="n"/>
      <c r="H2251" s="12">
        <f>IF(AND(B2251="",D2251="",F2251=""),"",IF(NOT(ISNUMBER(B2251)),"Needs a date",IF(D2251="","Needs a client",IF(COUNTIF(Clients!$B$6:$B$105,D2251)=0,"Not on Clients",IF(AND(F2251="",INT(B2251)&lt;TODAY()),"Needs a status","")))))</f>
        <v/>
      </c>
      <c r="I2251" s="1">
        <f>IF(ISNUMBER(B2251),INT(B2251),0)</f>
        <v/>
      </c>
      <c r="J2251">
        <f>IF(ISNUMBER(B2251),YEAR(B2251)*100+MONTH(B2251),"")</f>
        <v/>
      </c>
      <c r="K2251">
        <f>IF(AND(H2251="",OR(F2251="Attended",F2251="No-show",AND(F2251="Late cancel",Settings!$C$9="Yes"))),1,0)</f>
        <v/>
      </c>
      <c r="L2251">
        <f>IF(AND(H2251="",F2251="Attended"),1,0)</f>
        <v/>
      </c>
      <c r="M2251">
        <f>IF(AND(H2251="",OR(F2251="No-show",F2251="Late cancel")),1,0)</f>
        <v/>
      </c>
      <c r="N2251">
        <f>IF(AND(H2251="",F2251="",D2251&lt;&gt;"",I2251&gt;=TODAY()),ROUND((I2251+IF(ISNUMBER(C2251),MOD(C2251,1),0))*1440,0)*10000+ROW(),"")</f>
        <v/>
      </c>
    </row>
    <row r="2252">
      <c r="A2252" s="1" t="n"/>
      <c r="B2252" s="17" t="n"/>
      <c r="C2252" s="18" t="n"/>
      <c r="D2252" s="19" t="n"/>
      <c r="E2252" s="20" t="n"/>
      <c r="F2252" s="20" t="n"/>
      <c r="G2252" s="21" t="n"/>
      <c r="H2252" s="12">
        <f>IF(AND(B2252="",D2252="",F2252=""),"",IF(NOT(ISNUMBER(B2252)),"Needs a date",IF(D2252="","Needs a client",IF(COUNTIF(Clients!$B$6:$B$105,D2252)=0,"Not on Clients",IF(AND(F2252="",INT(B2252)&lt;TODAY()),"Needs a status","")))))</f>
        <v/>
      </c>
      <c r="I2252" s="1">
        <f>IF(ISNUMBER(B2252),INT(B2252),0)</f>
        <v/>
      </c>
      <c r="J2252">
        <f>IF(ISNUMBER(B2252),YEAR(B2252)*100+MONTH(B2252),"")</f>
        <v/>
      </c>
      <c r="K2252">
        <f>IF(AND(H2252="",OR(F2252="Attended",F2252="No-show",AND(F2252="Late cancel",Settings!$C$9="Yes"))),1,0)</f>
        <v/>
      </c>
      <c r="L2252">
        <f>IF(AND(H2252="",F2252="Attended"),1,0)</f>
        <v/>
      </c>
      <c r="M2252">
        <f>IF(AND(H2252="",OR(F2252="No-show",F2252="Late cancel")),1,0)</f>
        <v/>
      </c>
      <c r="N2252">
        <f>IF(AND(H2252="",F2252="",D2252&lt;&gt;"",I2252&gt;=TODAY()),ROUND((I2252+IF(ISNUMBER(C2252),MOD(C2252,1),0))*1440,0)*10000+ROW(),"")</f>
        <v/>
      </c>
    </row>
    <row r="2253">
      <c r="A2253" s="1" t="n"/>
      <c r="B2253" s="17" t="n"/>
      <c r="C2253" s="18" t="n"/>
      <c r="D2253" s="19" t="n"/>
      <c r="E2253" s="20" t="n"/>
      <c r="F2253" s="20" t="n"/>
      <c r="G2253" s="21" t="n"/>
      <c r="H2253" s="12">
        <f>IF(AND(B2253="",D2253="",F2253=""),"",IF(NOT(ISNUMBER(B2253)),"Needs a date",IF(D2253="","Needs a client",IF(COUNTIF(Clients!$B$6:$B$105,D2253)=0,"Not on Clients",IF(AND(F2253="",INT(B2253)&lt;TODAY()),"Needs a status","")))))</f>
        <v/>
      </c>
      <c r="I2253" s="1">
        <f>IF(ISNUMBER(B2253),INT(B2253),0)</f>
        <v/>
      </c>
      <c r="J2253">
        <f>IF(ISNUMBER(B2253),YEAR(B2253)*100+MONTH(B2253),"")</f>
        <v/>
      </c>
      <c r="K2253">
        <f>IF(AND(H2253="",OR(F2253="Attended",F2253="No-show",AND(F2253="Late cancel",Settings!$C$9="Yes"))),1,0)</f>
        <v/>
      </c>
      <c r="L2253">
        <f>IF(AND(H2253="",F2253="Attended"),1,0)</f>
        <v/>
      </c>
      <c r="M2253">
        <f>IF(AND(H2253="",OR(F2253="No-show",F2253="Late cancel")),1,0)</f>
        <v/>
      </c>
      <c r="N2253">
        <f>IF(AND(H2253="",F2253="",D2253&lt;&gt;"",I2253&gt;=TODAY()),ROUND((I2253+IF(ISNUMBER(C2253),MOD(C2253,1),0))*1440,0)*10000+ROW(),"")</f>
        <v/>
      </c>
    </row>
    <row r="2254">
      <c r="A2254" s="1" t="n"/>
      <c r="B2254" s="17" t="n"/>
      <c r="C2254" s="18" t="n"/>
      <c r="D2254" s="19" t="n"/>
      <c r="E2254" s="20" t="n"/>
      <c r="F2254" s="20" t="n"/>
      <c r="G2254" s="21" t="n"/>
      <c r="H2254" s="12">
        <f>IF(AND(B2254="",D2254="",F2254=""),"",IF(NOT(ISNUMBER(B2254)),"Needs a date",IF(D2254="","Needs a client",IF(COUNTIF(Clients!$B$6:$B$105,D2254)=0,"Not on Clients",IF(AND(F2254="",INT(B2254)&lt;TODAY()),"Needs a status","")))))</f>
        <v/>
      </c>
      <c r="I2254" s="1">
        <f>IF(ISNUMBER(B2254),INT(B2254),0)</f>
        <v/>
      </c>
      <c r="J2254">
        <f>IF(ISNUMBER(B2254),YEAR(B2254)*100+MONTH(B2254),"")</f>
        <v/>
      </c>
      <c r="K2254">
        <f>IF(AND(H2254="",OR(F2254="Attended",F2254="No-show",AND(F2254="Late cancel",Settings!$C$9="Yes"))),1,0)</f>
        <v/>
      </c>
      <c r="L2254">
        <f>IF(AND(H2254="",F2254="Attended"),1,0)</f>
        <v/>
      </c>
      <c r="M2254">
        <f>IF(AND(H2254="",OR(F2254="No-show",F2254="Late cancel")),1,0)</f>
        <v/>
      </c>
      <c r="N2254">
        <f>IF(AND(H2254="",F2254="",D2254&lt;&gt;"",I2254&gt;=TODAY()),ROUND((I2254+IF(ISNUMBER(C2254),MOD(C2254,1),0))*1440,0)*10000+ROW(),"")</f>
        <v/>
      </c>
    </row>
    <row r="2255">
      <c r="A2255" s="1" t="n"/>
      <c r="B2255" s="17" t="n"/>
      <c r="C2255" s="18" t="n"/>
      <c r="D2255" s="19" t="n"/>
      <c r="E2255" s="20" t="n"/>
      <c r="F2255" s="20" t="n"/>
      <c r="G2255" s="21" t="n"/>
      <c r="H2255" s="12">
        <f>IF(AND(B2255="",D2255="",F2255=""),"",IF(NOT(ISNUMBER(B2255)),"Needs a date",IF(D2255="","Needs a client",IF(COUNTIF(Clients!$B$6:$B$105,D2255)=0,"Not on Clients",IF(AND(F2255="",INT(B2255)&lt;TODAY()),"Needs a status","")))))</f>
        <v/>
      </c>
      <c r="I2255" s="1">
        <f>IF(ISNUMBER(B2255),INT(B2255),0)</f>
        <v/>
      </c>
      <c r="J2255">
        <f>IF(ISNUMBER(B2255),YEAR(B2255)*100+MONTH(B2255),"")</f>
        <v/>
      </c>
      <c r="K2255">
        <f>IF(AND(H2255="",OR(F2255="Attended",F2255="No-show",AND(F2255="Late cancel",Settings!$C$9="Yes"))),1,0)</f>
        <v/>
      </c>
      <c r="L2255">
        <f>IF(AND(H2255="",F2255="Attended"),1,0)</f>
        <v/>
      </c>
      <c r="M2255">
        <f>IF(AND(H2255="",OR(F2255="No-show",F2255="Late cancel")),1,0)</f>
        <v/>
      </c>
      <c r="N2255">
        <f>IF(AND(H2255="",F2255="",D2255&lt;&gt;"",I2255&gt;=TODAY()),ROUND((I2255+IF(ISNUMBER(C2255),MOD(C2255,1),0))*1440,0)*10000+ROW(),"")</f>
        <v/>
      </c>
    </row>
    <row r="2256">
      <c r="A2256" s="1" t="n"/>
      <c r="B2256" s="17" t="n"/>
      <c r="C2256" s="18" t="n"/>
      <c r="D2256" s="19" t="n"/>
      <c r="E2256" s="20" t="n"/>
      <c r="F2256" s="20" t="n"/>
      <c r="G2256" s="21" t="n"/>
      <c r="H2256" s="12">
        <f>IF(AND(B2256="",D2256="",F2256=""),"",IF(NOT(ISNUMBER(B2256)),"Needs a date",IF(D2256="","Needs a client",IF(COUNTIF(Clients!$B$6:$B$105,D2256)=0,"Not on Clients",IF(AND(F2256="",INT(B2256)&lt;TODAY()),"Needs a status","")))))</f>
        <v/>
      </c>
      <c r="I2256" s="1">
        <f>IF(ISNUMBER(B2256),INT(B2256),0)</f>
        <v/>
      </c>
      <c r="J2256">
        <f>IF(ISNUMBER(B2256),YEAR(B2256)*100+MONTH(B2256),"")</f>
        <v/>
      </c>
      <c r="K2256">
        <f>IF(AND(H2256="",OR(F2256="Attended",F2256="No-show",AND(F2256="Late cancel",Settings!$C$9="Yes"))),1,0)</f>
        <v/>
      </c>
      <c r="L2256">
        <f>IF(AND(H2256="",F2256="Attended"),1,0)</f>
        <v/>
      </c>
      <c r="M2256">
        <f>IF(AND(H2256="",OR(F2256="No-show",F2256="Late cancel")),1,0)</f>
        <v/>
      </c>
      <c r="N2256">
        <f>IF(AND(H2256="",F2256="",D2256&lt;&gt;"",I2256&gt;=TODAY()),ROUND((I2256+IF(ISNUMBER(C2256),MOD(C2256,1),0))*1440,0)*10000+ROW(),"")</f>
        <v/>
      </c>
    </row>
    <row r="2257">
      <c r="A2257" s="1" t="n"/>
      <c r="B2257" s="17" t="n"/>
      <c r="C2257" s="18" t="n"/>
      <c r="D2257" s="19" t="n"/>
      <c r="E2257" s="20" t="n"/>
      <c r="F2257" s="20" t="n"/>
      <c r="G2257" s="21" t="n"/>
      <c r="H2257" s="12">
        <f>IF(AND(B2257="",D2257="",F2257=""),"",IF(NOT(ISNUMBER(B2257)),"Needs a date",IF(D2257="","Needs a client",IF(COUNTIF(Clients!$B$6:$B$105,D2257)=0,"Not on Clients",IF(AND(F2257="",INT(B2257)&lt;TODAY()),"Needs a status","")))))</f>
        <v/>
      </c>
      <c r="I2257" s="1">
        <f>IF(ISNUMBER(B2257),INT(B2257),0)</f>
        <v/>
      </c>
      <c r="J2257">
        <f>IF(ISNUMBER(B2257),YEAR(B2257)*100+MONTH(B2257),"")</f>
        <v/>
      </c>
      <c r="K2257">
        <f>IF(AND(H2257="",OR(F2257="Attended",F2257="No-show",AND(F2257="Late cancel",Settings!$C$9="Yes"))),1,0)</f>
        <v/>
      </c>
      <c r="L2257">
        <f>IF(AND(H2257="",F2257="Attended"),1,0)</f>
        <v/>
      </c>
      <c r="M2257">
        <f>IF(AND(H2257="",OR(F2257="No-show",F2257="Late cancel")),1,0)</f>
        <v/>
      </c>
      <c r="N2257">
        <f>IF(AND(H2257="",F2257="",D2257&lt;&gt;"",I2257&gt;=TODAY()),ROUND((I2257+IF(ISNUMBER(C2257),MOD(C2257,1),0))*1440,0)*10000+ROW(),"")</f>
        <v/>
      </c>
    </row>
    <row r="2258">
      <c r="A2258" s="1" t="n"/>
      <c r="B2258" s="17" t="n"/>
      <c r="C2258" s="18" t="n"/>
      <c r="D2258" s="19" t="n"/>
      <c r="E2258" s="20" t="n"/>
      <c r="F2258" s="20" t="n"/>
      <c r="G2258" s="21" t="n"/>
      <c r="H2258" s="12">
        <f>IF(AND(B2258="",D2258="",F2258=""),"",IF(NOT(ISNUMBER(B2258)),"Needs a date",IF(D2258="","Needs a client",IF(COUNTIF(Clients!$B$6:$B$105,D2258)=0,"Not on Clients",IF(AND(F2258="",INT(B2258)&lt;TODAY()),"Needs a status","")))))</f>
        <v/>
      </c>
      <c r="I2258" s="1">
        <f>IF(ISNUMBER(B2258),INT(B2258),0)</f>
        <v/>
      </c>
      <c r="J2258">
        <f>IF(ISNUMBER(B2258),YEAR(B2258)*100+MONTH(B2258),"")</f>
        <v/>
      </c>
      <c r="K2258">
        <f>IF(AND(H2258="",OR(F2258="Attended",F2258="No-show",AND(F2258="Late cancel",Settings!$C$9="Yes"))),1,0)</f>
        <v/>
      </c>
      <c r="L2258">
        <f>IF(AND(H2258="",F2258="Attended"),1,0)</f>
        <v/>
      </c>
      <c r="M2258">
        <f>IF(AND(H2258="",OR(F2258="No-show",F2258="Late cancel")),1,0)</f>
        <v/>
      </c>
      <c r="N2258">
        <f>IF(AND(H2258="",F2258="",D2258&lt;&gt;"",I2258&gt;=TODAY()),ROUND((I2258+IF(ISNUMBER(C2258),MOD(C2258,1),0))*1440,0)*10000+ROW(),"")</f>
        <v/>
      </c>
    </row>
    <row r="2259">
      <c r="A2259" s="1" t="n"/>
      <c r="B2259" s="17" t="n"/>
      <c r="C2259" s="18" t="n"/>
      <c r="D2259" s="19" t="n"/>
      <c r="E2259" s="20" t="n"/>
      <c r="F2259" s="20" t="n"/>
      <c r="G2259" s="21" t="n"/>
      <c r="H2259" s="12">
        <f>IF(AND(B2259="",D2259="",F2259=""),"",IF(NOT(ISNUMBER(B2259)),"Needs a date",IF(D2259="","Needs a client",IF(COUNTIF(Clients!$B$6:$B$105,D2259)=0,"Not on Clients",IF(AND(F2259="",INT(B2259)&lt;TODAY()),"Needs a status","")))))</f>
        <v/>
      </c>
      <c r="I2259" s="1">
        <f>IF(ISNUMBER(B2259),INT(B2259),0)</f>
        <v/>
      </c>
      <c r="J2259">
        <f>IF(ISNUMBER(B2259),YEAR(B2259)*100+MONTH(B2259),"")</f>
        <v/>
      </c>
      <c r="K2259">
        <f>IF(AND(H2259="",OR(F2259="Attended",F2259="No-show",AND(F2259="Late cancel",Settings!$C$9="Yes"))),1,0)</f>
        <v/>
      </c>
      <c r="L2259">
        <f>IF(AND(H2259="",F2259="Attended"),1,0)</f>
        <v/>
      </c>
      <c r="M2259">
        <f>IF(AND(H2259="",OR(F2259="No-show",F2259="Late cancel")),1,0)</f>
        <v/>
      </c>
      <c r="N2259">
        <f>IF(AND(H2259="",F2259="",D2259&lt;&gt;"",I2259&gt;=TODAY()),ROUND((I2259+IF(ISNUMBER(C2259),MOD(C2259,1),0))*1440,0)*10000+ROW(),"")</f>
        <v/>
      </c>
    </row>
    <row r="2260">
      <c r="A2260" s="1" t="n"/>
      <c r="B2260" s="17" t="n"/>
      <c r="C2260" s="18" t="n"/>
      <c r="D2260" s="19" t="n"/>
      <c r="E2260" s="20" t="n"/>
      <c r="F2260" s="20" t="n"/>
      <c r="G2260" s="21" t="n"/>
      <c r="H2260" s="12">
        <f>IF(AND(B2260="",D2260="",F2260=""),"",IF(NOT(ISNUMBER(B2260)),"Needs a date",IF(D2260="","Needs a client",IF(COUNTIF(Clients!$B$6:$B$105,D2260)=0,"Not on Clients",IF(AND(F2260="",INT(B2260)&lt;TODAY()),"Needs a status","")))))</f>
        <v/>
      </c>
      <c r="I2260" s="1">
        <f>IF(ISNUMBER(B2260),INT(B2260),0)</f>
        <v/>
      </c>
      <c r="J2260">
        <f>IF(ISNUMBER(B2260),YEAR(B2260)*100+MONTH(B2260),"")</f>
        <v/>
      </c>
      <c r="K2260">
        <f>IF(AND(H2260="",OR(F2260="Attended",F2260="No-show",AND(F2260="Late cancel",Settings!$C$9="Yes"))),1,0)</f>
        <v/>
      </c>
      <c r="L2260">
        <f>IF(AND(H2260="",F2260="Attended"),1,0)</f>
        <v/>
      </c>
      <c r="M2260">
        <f>IF(AND(H2260="",OR(F2260="No-show",F2260="Late cancel")),1,0)</f>
        <v/>
      </c>
      <c r="N2260">
        <f>IF(AND(H2260="",F2260="",D2260&lt;&gt;"",I2260&gt;=TODAY()),ROUND((I2260+IF(ISNUMBER(C2260),MOD(C2260,1),0))*1440,0)*10000+ROW(),"")</f>
        <v/>
      </c>
    </row>
    <row r="2261">
      <c r="A2261" s="1" t="n"/>
      <c r="B2261" s="17" t="n"/>
      <c r="C2261" s="18" t="n"/>
      <c r="D2261" s="19" t="n"/>
      <c r="E2261" s="20" t="n"/>
      <c r="F2261" s="20" t="n"/>
      <c r="G2261" s="21" t="n"/>
      <c r="H2261" s="12">
        <f>IF(AND(B2261="",D2261="",F2261=""),"",IF(NOT(ISNUMBER(B2261)),"Needs a date",IF(D2261="","Needs a client",IF(COUNTIF(Clients!$B$6:$B$105,D2261)=0,"Not on Clients",IF(AND(F2261="",INT(B2261)&lt;TODAY()),"Needs a status","")))))</f>
        <v/>
      </c>
      <c r="I2261" s="1">
        <f>IF(ISNUMBER(B2261),INT(B2261),0)</f>
        <v/>
      </c>
      <c r="J2261">
        <f>IF(ISNUMBER(B2261),YEAR(B2261)*100+MONTH(B2261),"")</f>
        <v/>
      </c>
      <c r="K2261">
        <f>IF(AND(H2261="",OR(F2261="Attended",F2261="No-show",AND(F2261="Late cancel",Settings!$C$9="Yes"))),1,0)</f>
        <v/>
      </c>
      <c r="L2261">
        <f>IF(AND(H2261="",F2261="Attended"),1,0)</f>
        <v/>
      </c>
      <c r="M2261">
        <f>IF(AND(H2261="",OR(F2261="No-show",F2261="Late cancel")),1,0)</f>
        <v/>
      </c>
      <c r="N2261">
        <f>IF(AND(H2261="",F2261="",D2261&lt;&gt;"",I2261&gt;=TODAY()),ROUND((I2261+IF(ISNUMBER(C2261),MOD(C2261,1),0))*1440,0)*10000+ROW(),"")</f>
        <v/>
      </c>
    </row>
    <row r="2262">
      <c r="A2262" s="1" t="n"/>
      <c r="B2262" s="17" t="n"/>
      <c r="C2262" s="18" t="n"/>
      <c r="D2262" s="19" t="n"/>
      <c r="E2262" s="20" t="n"/>
      <c r="F2262" s="20" t="n"/>
      <c r="G2262" s="21" t="n"/>
      <c r="H2262" s="12">
        <f>IF(AND(B2262="",D2262="",F2262=""),"",IF(NOT(ISNUMBER(B2262)),"Needs a date",IF(D2262="","Needs a client",IF(COUNTIF(Clients!$B$6:$B$105,D2262)=0,"Not on Clients",IF(AND(F2262="",INT(B2262)&lt;TODAY()),"Needs a status","")))))</f>
        <v/>
      </c>
      <c r="I2262" s="1">
        <f>IF(ISNUMBER(B2262),INT(B2262),0)</f>
        <v/>
      </c>
      <c r="J2262">
        <f>IF(ISNUMBER(B2262),YEAR(B2262)*100+MONTH(B2262),"")</f>
        <v/>
      </c>
      <c r="K2262">
        <f>IF(AND(H2262="",OR(F2262="Attended",F2262="No-show",AND(F2262="Late cancel",Settings!$C$9="Yes"))),1,0)</f>
        <v/>
      </c>
      <c r="L2262">
        <f>IF(AND(H2262="",F2262="Attended"),1,0)</f>
        <v/>
      </c>
      <c r="M2262">
        <f>IF(AND(H2262="",OR(F2262="No-show",F2262="Late cancel")),1,0)</f>
        <v/>
      </c>
      <c r="N2262">
        <f>IF(AND(H2262="",F2262="",D2262&lt;&gt;"",I2262&gt;=TODAY()),ROUND((I2262+IF(ISNUMBER(C2262),MOD(C2262,1),0))*1440,0)*10000+ROW(),"")</f>
        <v/>
      </c>
    </row>
    <row r="2263">
      <c r="A2263" s="1" t="n"/>
      <c r="B2263" s="17" t="n"/>
      <c r="C2263" s="18" t="n"/>
      <c r="D2263" s="19" t="n"/>
      <c r="E2263" s="20" t="n"/>
      <c r="F2263" s="20" t="n"/>
      <c r="G2263" s="21" t="n"/>
      <c r="H2263" s="12">
        <f>IF(AND(B2263="",D2263="",F2263=""),"",IF(NOT(ISNUMBER(B2263)),"Needs a date",IF(D2263="","Needs a client",IF(COUNTIF(Clients!$B$6:$B$105,D2263)=0,"Not on Clients",IF(AND(F2263="",INT(B2263)&lt;TODAY()),"Needs a status","")))))</f>
        <v/>
      </c>
      <c r="I2263" s="1">
        <f>IF(ISNUMBER(B2263),INT(B2263),0)</f>
        <v/>
      </c>
      <c r="J2263">
        <f>IF(ISNUMBER(B2263),YEAR(B2263)*100+MONTH(B2263),"")</f>
        <v/>
      </c>
      <c r="K2263">
        <f>IF(AND(H2263="",OR(F2263="Attended",F2263="No-show",AND(F2263="Late cancel",Settings!$C$9="Yes"))),1,0)</f>
        <v/>
      </c>
      <c r="L2263">
        <f>IF(AND(H2263="",F2263="Attended"),1,0)</f>
        <v/>
      </c>
      <c r="M2263">
        <f>IF(AND(H2263="",OR(F2263="No-show",F2263="Late cancel")),1,0)</f>
        <v/>
      </c>
      <c r="N2263">
        <f>IF(AND(H2263="",F2263="",D2263&lt;&gt;"",I2263&gt;=TODAY()),ROUND((I2263+IF(ISNUMBER(C2263),MOD(C2263,1),0))*1440,0)*10000+ROW(),"")</f>
        <v/>
      </c>
    </row>
    <row r="2264">
      <c r="A2264" s="1" t="n"/>
      <c r="B2264" s="17" t="n"/>
      <c r="C2264" s="18" t="n"/>
      <c r="D2264" s="19" t="n"/>
      <c r="E2264" s="20" t="n"/>
      <c r="F2264" s="20" t="n"/>
      <c r="G2264" s="21" t="n"/>
      <c r="H2264" s="12">
        <f>IF(AND(B2264="",D2264="",F2264=""),"",IF(NOT(ISNUMBER(B2264)),"Needs a date",IF(D2264="","Needs a client",IF(COUNTIF(Clients!$B$6:$B$105,D2264)=0,"Not on Clients",IF(AND(F2264="",INT(B2264)&lt;TODAY()),"Needs a status","")))))</f>
        <v/>
      </c>
      <c r="I2264" s="1">
        <f>IF(ISNUMBER(B2264),INT(B2264),0)</f>
        <v/>
      </c>
      <c r="J2264">
        <f>IF(ISNUMBER(B2264),YEAR(B2264)*100+MONTH(B2264),"")</f>
        <v/>
      </c>
      <c r="K2264">
        <f>IF(AND(H2264="",OR(F2264="Attended",F2264="No-show",AND(F2264="Late cancel",Settings!$C$9="Yes"))),1,0)</f>
        <v/>
      </c>
      <c r="L2264">
        <f>IF(AND(H2264="",F2264="Attended"),1,0)</f>
        <v/>
      </c>
      <c r="M2264">
        <f>IF(AND(H2264="",OR(F2264="No-show",F2264="Late cancel")),1,0)</f>
        <v/>
      </c>
      <c r="N2264">
        <f>IF(AND(H2264="",F2264="",D2264&lt;&gt;"",I2264&gt;=TODAY()),ROUND((I2264+IF(ISNUMBER(C2264),MOD(C2264,1),0))*1440,0)*10000+ROW(),"")</f>
        <v/>
      </c>
    </row>
    <row r="2265">
      <c r="A2265" s="1" t="n"/>
      <c r="B2265" s="17" t="n"/>
      <c r="C2265" s="18" t="n"/>
      <c r="D2265" s="19" t="n"/>
      <c r="E2265" s="20" t="n"/>
      <c r="F2265" s="20" t="n"/>
      <c r="G2265" s="21" t="n"/>
      <c r="H2265" s="12">
        <f>IF(AND(B2265="",D2265="",F2265=""),"",IF(NOT(ISNUMBER(B2265)),"Needs a date",IF(D2265="","Needs a client",IF(COUNTIF(Clients!$B$6:$B$105,D2265)=0,"Not on Clients",IF(AND(F2265="",INT(B2265)&lt;TODAY()),"Needs a status","")))))</f>
        <v/>
      </c>
      <c r="I2265" s="1">
        <f>IF(ISNUMBER(B2265),INT(B2265),0)</f>
        <v/>
      </c>
      <c r="J2265">
        <f>IF(ISNUMBER(B2265),YEAR(B2265)*100+MONTH(B2265),"")</f>
        <v/>
      </c>
      <c r="K2265">
        <f>IF(AND(H2265="",OR(F2265="Attended",F2265="No-show",AND(F2265="Late cancel",Settings!$C$9="Yes"))),1,0)</f>
        <v/>
      </c>
      <c r="L2265">
        <f>IF(AND(H2265="",F2265="Attended"),1,0)</f>
        <v/>
      </c>
      <c r="M2265">
        <f>IF(AND(H2265="",OR(F2265="No-show",F2265="Late cancel")),1,0)</f>
        <v/>
      </c>
      <c r="N2265">
        <f>IF(AND(H2265="",F2265="",D2265&lt;&gt;"",I2265&gt;=TODAY()),ROUND((I2265+IF(ISNUMBER(C2265),MOD(C2265,1),0))*1440,0)*10000+ROW(),"")</f>
        <v/>
      </c>
    </row>
    <row r="2266">
      <c r="A2266" s="1" t="n"/>
      <c r="B2266" s="17" t="n"/>
      <c r="C2266" s="18" t="n"/>
      <c r="D2266" s="19" t="n"/>
      <c r="E2266" s="20" t="n"/>
      <c r="F2266" s="20" t="n"/>
      <c r="G2266" s="21" t="n"/>
      <c r="H2266" s="12">
        <f>IF(AND(B2266="",D2266="",F2266=""),"",IF(NOT(ISNUMBER(B2266)),"Needs a date",IF(D2266="","Needs a client",IF(COUNTIF(Clients!$B$6:$B$105,D2266)=0,"Not on Clients",IF(AND(F2266="",INT(B2266)&lt;TODAY()),"Needs a status","")))))</f>
        <v/>
      </c>
      <c r="I2266" s="1">
        <f>IF(ISNUMBER(B2266),INT(B2266),0)</f>
        <v/>
      </c>
      <c r="J2266">
        <f>IF(ISNUMBER(B2266),YEAR(B2266)*100+MONTH(B2266),"")</f>
        <v/>
      </c>
      <c r="K2266">
        <f>IF(AND(H2266="",OR(F2266="Attended",F2266="No-show",AND(F2266="Late cancel",Settings!$C$9="Yes"))),1,0)</f>
        <v/>
      </c>
      <c r="L2266">
        <f>IF(AND(H2266="",F2266="Attended"),1,0)</f>
        <v/>
      </c>
      <c r="M2266">
        <f>IF(AND(H2266="",OR(F2266="No-show",F2266="Late cancel")),1,0)</f>
        <v/>
      </c>
      <c r="N2266">
        <f>IF(AND(H2266="",F2266="",D2266&lt;&gt;"",I2266&gt;=TODAY()),ROUND((I2266+IF(ISNUMBER(C2266),MOD(C2266,1),0))*1440,0)*10000+ROW(),"")</f>
        <v/>
      </c>
    </row>
    <row r="2267">
      <c r="A2267" s="1" t="n"/>
      <c r="B2267" s="17" t="n"/>
      <c r="C2267" s="18" t="n"/>
      <c r="D2267" s="19" t="n"/>
      <c r="E2267" s="20" t="n"/>
      <c r="F2267" s="20" t="n"/>
      <c r="G2267" s="21" t="n"/>
      <c r="H2267" s="12">
        <f>IF(AND(B2267="",D2267="",F2267=""),"",IF(NOT(ISNUMBER(B2267)),"Needs a date",IF(D2267="","Needs a client",IF(COUNTIF(Clients!$B$6:$B$105,D2267)=0,"Not on Clients",IF(AND(F2267="",INT(B2267)&lt;TODAY()),"Needs a status","")))))</f>
        <v/>
      </c>
      <c r="I2267" s="1">
        <f>IF(ISNUMBER(B2267),INT(B2267),0)</f>
        <v/>
      </c>
      <c r="J2267">
        <f>IF(ISNUMBER(B2267),YEAR(B2267)*100+MONTH(B2267),"")</f>
        <v/>
      </c>
      <c r="K2267">
        <f>IF(AND(H2267="",OR(F2267="Attended",F2267="No-show",AND(F2267="Late cancel",Settings!$C$9="Yes"))),1,0)</f>
        <v/>
      </c>
      <c r="L2267">
        <f>IF(AND(H2267="",F2267="Attended"),1,0)</f>
        <v/>
      </c>
      <c r="M2267">
        <f>IF(AND(H2267="",OR(F2267="No-show",F2267="Late cancel")),1,0)</f>
        <v/>
      </c>
      <c r="N2267">
        <f>IF(AND(H2267="",F2267="",D2267&lt;&gt;"",I2267&gt;=TODAY()),ROUND((I2267+IF(ISNUMBER(C2267),MOD(C2267,1),0))*1440,0)*10000+ROW(),"")</f>
        <v/>
      </c>
    </row>
    <row r="2268">
      <c r="A2268" s="1" t="n"/>
      <c r="B2268" s="17" t="n"/>
      <c r="C2268" s="18" t="n"/>
      <c r="D2268" s="19" t="n"/>
      <c r="E2268" s="20" t="n"/>
      <c r="F2268" s="20" t="n"/>
      <c r="G2268" s="21" t="n"/>
      <c r="H2268" s="12">
        <f>IF(AND(B2268="",D2268="",F2268=""),"",IF(NOT(ISNUMBER(B2268)),"Needs a date",IF(D2268="","Needs a client",IF(COUNTIF(Clients!$B$6:$B$105,D2268)=0,"Not on Clients",IF(AND(F2268="",INT(B2268)&lt;TODAY()),"Needs a status","")))))</f>
        <v/>
      </c>
      <c r="I2268" s="1">
        <f>IF(ISNUMBER(B2268),INT(B2268),0)</f>
        <v/>
      </c>
      <c r="J2268">
        <f>IF(ISNUMBER(B2268),YEAR(B2268)*100+MONTH(B2268),"")</f>
        <v/>
      </c>
      <c r="K2268">
        <f>IF(AND(H2268="",OR(F2268="Attended",F2268="No-show",AND(F2268="Late cancel",Settings!$C$9="Yes"))),1,0)</f>
        <v/>
      </c>
      <c r="L2268">
        <f>IF(AND(H2268="",F2268="Attended"),1,0)</f>
        <v/>
      </c>
      <c r="M2268">
        <f>IF(AND(H2268="",OR(F2268="No-show",F2268="Late cancel")),1,0)</f>
        <v/>
      </c>
      <c r="N2268">
        <f>IF(AND(H2268="",F2268="",D2268&lt;&gt;"",I2268&gt;=TODAY()),ROUND((I2268+IF(ISNUMBER(C2268),MOD(C2268,1),0))*1440,0)*10000+ROW(),"")</f>
        <v/>
      </c>
    </row>
    <row r="2269">
      <c r="A2269" s="1" t="n"/>
      <c r="B2269" s="17" t="n"/>
      <c r="C2269" s="18" t="n"/>
      <c r="D2269" s="19" t="n"/>
      <c r="E2269" s="20" t="n"/>
      <c r="F2269" s="20" t="n"/>
      <c r="G2269" s="21" t="n"/>
      <c r="H2269" s="12">
        <f>IF(AND(B2269="",D2269="",F2269=""),"",IF(NOT(ISNUMBER(B2269)),"Needs a date",IF(D2269="","Needs a client",IF(COUNTIF(Clients!$B$6:$B$105,D2269)=0,"Not on Clients",IF(AND(F2269="",INT(B2269)&lt;TODAY()),"Needs a status","")))))</f>
        <v/>
      </c>
      <c r="I2269" s="1">
        <f>IF(ISNUMBER(B2269),INT(B2269),0)</f>
        <v/>
      </c>
      <c r="J2269">
        <f>IF(ISNUMBER(B2269),YEAR(B2269)*100+MONTH(B2269),"")</f>
        <v/>
      </c>
      <c r="K2269">
        <f>IF(AND(H2269="",OR(F2269="Attended",F2269="No-show",AND(F2269="Late cancel",Settings!$C$9="Yes"))),1,0)</f>
        <v/>
      </c>
      <c r="L2269">
        <f>IF(AND(H2269="",F2269="Attended"),1,0)</f>
        <v/>
      </c>
      <c r="M2269">
        <f>IF(AND(H2269="",OR(F2269="No-show",F2269="Late cancel")),1,0)</f>
        <v/>
      </c>
      <c r="N2269">
        <f>IF(AND(H2269="",F2269="",D2269&lt;&gt;"",I2269&gt;=TODAY()),ROUND((I2269+IF(ISNUMBER(C2269),MOD(C2269,1),0))*1440,0)*10000+ROW(),"")</f>
        <v/>
      </c>
    </row>
    <row r="2270">
      <c r="A2270" s="1" t="n"/>
      <c r="B2270" s="17" t="n"/>
      <c r="C2270" s="18" t="n"/>
      <c r="D2270" s="19" t="n"/>
      <c r="E2270" s="20" t="n"/>
      <c r="F2270" s="20" t="n"/>
      <c r="G2270" s="21" t="n"/>
      <c r="H2270" s="12">
        <f>IF(AND(B2270="",D2270="",F2270=""),"",IF(NOT(ISNUMBER(B2270)),"Needs a date",IF(D2270="","Needs a client",IF(COUNTIF(Clients!$B$6:$B$105,D2270)=0,"Not on Clients",IF(AND(F2270="",INT(B2270)&lt;TODAY()),"Needs a status","")))))</f>
        <v/>
      </c>
      <c r="I2270" s="1">
        <f>IF(ISNUMBER(B2270),INT(B2270),0)</f>
        <v/>
      </c>
      <c r="J2270">
        <f>IF(ISNUMBER(B2270),YEAR(B2270)*100+MONTH(B2270),"")</f>
        <v/>
      </c>
      <c r="K2270">
        <f>IF(AND(H2270="",OR(F2270="Attended",F2270="No-show",AND(F2270="Late cancel",Settings!$C$9="Yes"))),1,0)</f>
        <v/>
      </c>
      <c r="L2270">
        <f>IF(AND(H2270="",F2270="Attended"),1,0)</f>
        <v/>
      </c>
      <c r="M2270">
        <f>IF(AND(H2270="",OR(F2270="No-show",F2270="Late cancel")),1,0)</f>
        <v/>
      </c>
      <c r="N2270">
        <f>IF(AND(H2270="",F2270="",D2270&lt;&gt;"",I2270&gt;=TODAY()),ROUND((I2270+IF(ISNUMBER(C2270),MOD(C2270,1),0))*1440,0)*10000+ROW(),"")</f>
        <v/>
      </c>
    </row>
    <row r="2271">
      <c r="A2271" s="1" t="n"/>
      <c r="B2271" s="17" t="n"/>
      <c r="C2271" s="18" t="n"/>
      <c r="D2271" s="19" t="n"/>
      <c r="E2271" s="20" t="n"/>
      <c r="F2271" s="20" t="n"/>
      <c r="G2271" s="21" t="n"/>
      <c r="H2271" s="12">
        <f>IF(AND(B2271="",D2271="",F2271=""),"",IF(NOT(ISNUMBER(B2271)),"Needs a date",IF(D2271="","Needs a client",IF(COUNTIF(Clients!$B$6:$B$105,D2271)=0,"Not on Clients",IF(AND(F2271="",INT(B2271)&lt;TODAY()),"Needs a status","")))))</f>
        <v/>
      </c>
      <c r="I2271" s="1">
        <f>IF(ISNUMBER(B2271),INT(B2271),0)</f>
        <v/>
      </c>
      <c r="J2271">
        <f>IF(ISNUMBER(B2271),YEAR(B2271)*100+MONTH(B2271),"")</f>
        <v/>
      </c>
      <c r="K2271">
        <f>IF(AND(H2271="",OR(F2271="Attended",F2271="No-show",AND(F2271="Late cancel",Settings!$C$9="Yes"))),1,0)</f>
        <v/>
      </c>
      <c r="L2271">
        <f>IF(AND(H2271="",F2271="Attended"),1,0)</f>
        <v/>
      </c>
      <c r="M2271">
        <f>IF(AND(H2271="",OR(F2271="No-show",F2271="Late cancel")),1,0)</f>
        <v/>
      </c>
      <c r="N2271">
        <f>IF(AND(H2271="",F2271="",D2271&lt;&gt;"",I2271&gt;=TODAY()),ROUND((I2271+IF(ISNUMBER(C2271),MOD(C2271,1),0))*1440,0)*10000+ROW(),"")</f>
        <v/>
      </c>
    </row>
    <row r="2272">
      <c r="A2272" s="1" t="n"/>
      <c r="B2272" s="17" t="n"/>
      <c r="C2272" s="18" t="n"/>
      <c r="D2272" s="19" t="n"/>
      <c r="E2272" s="20" t="n"/>
      <c r="F2272" s="20" t="n"/>
      <c r="G2272" s="21" t="n"/>
      <c r="H2272" s="12">
        <f>IF(AND(B2272="",D2272="",F2272=""),"",IF(NOT(ISNUMBER(B2272)),"Needs a date",IF(D2272="","Needs a client",IF(COUNTIF(Clients!$B$6:$B$105,D2272)=0,"Not on Clients",IF(AND(F2272="",INT(B2272)&lt;TODAY()),"Needs a status","")))))</f>
        <v/>
      </c>
      <c r="I2272" s="1">
        <f>IF(ISNUMBER(B2272),INT(B2272),0)</f>
        <v/>
      </c>
      <c r="J2272">
        <f>IF(ISNUMBER(B2272),YEAR(B2272)*100+MONTH(B2272),"")</f>
        <v/>
      </c>
      <c r="K2272">
        <f>IF(AND(H2272="",OR(F2272="Attended",F2272="No-show",AND(F2272="Late cancel",Settings!$C$9="Yes"))),1,0)</f>
        <v/>
      </c>
      <c r="L2272">
        <f>IF(AND(H2272="",F2272="Attended"),1,0)</f>
        <v/>
      </c>
      <c r="M2272">
        <f>IF(AND(H2272="",OR(F2272="No-show",F2272="Late cancel")),1,0)</f>
        <v/>
      </c>
      <c r="N2272">
        <f>IF(AND(H2272="",F2272="",D2272&lt;&gt;"",I2272&gt;=TODAY()),ROUND((I2272+IF(ISNUMBER(C2272),MOD(C2272,1),0))*1440,0)*10000+ROW(),"")</f>
        <v/>
      </c>
    </row>
    <row r="2273">
      <c r="A2273" s="1" t="n"/>
      <c r="B2273" s="17" t="n"/>
      <c r="C2273" s="18" t="n"/>
      <c r="D2273" s="19" t="n"/>
      <c r="E2273" s="20" t="n"/>
      <c r="F2273" s="20" t="n"/>
      <c r="G2273" s="21" t="n"/>
      <c r="H2273" s="12">
        <f>IF(AND(B2273="",D2273="",F2273=""),"",IF(NOT(ISNUMBER(B2273)),"Needs a date",IF(D2273="","Needs a client",IF(COUNTIF(Clients!$B$6:$B$105,D2273)=0,"Not on Clients",IF(AND(F2273="",INT(B2273)&lt;TODAY()),"Needs a status","")))))</f>
        <v/>
      </c>
      <c r="I2273" s="1">
        <f>IF(ISNUMBER(B2273),INT(B2273),0)</f>
        <v/>
      </c>
      <c r="J2273">
        <f>IF(ISNUMBER(B2273),YEAR(B2273)*100+MONTH(B2273),"")</f>
        <v/>
      </c>
      <c r="K2273">
        <f>IF(AND(H2273="",OR(F2273="Attended",F2273="No-show",AND(F2273="Late cancel",Settings!$C$9="Yes"))),1,0)</f>
        <v/>
      </c>
      <c r="L2273">
        <f>IF(AND(H2273="",F2273="Attended"),1,0)</f>
        <v/>
      </c>
      <c r="M2273">
        <f>IF(AND(H2273="",OR(F2273="No-show",F2273="Late cancel")),1,0)</f>
        <v/>
      </c>
      <c r="N2273">
        <f>IF(AND(H2273="",F2273="",D2273&lt;&gt;"",I2273&gt;=TODAY()),ROUND((I2273+IF(ISNUMBER(C2273),MOD(C2273,1),0))*1440,0)*10000+ROW(),"")</f>
        <v/>
      </c>
    </row>
    <row r="2274">
      <c r="A2274" s="1" t="n"/>
      <c r="B2274" s="17" t="n"/>
      <c r="C2274" s="18" t="n"/>
      <c r="D2274" s="19" t="n"/>
      <c r="E2274" s="20" t="n"/>
      <c r="F2274" s="20" t="n"/>
      <c r="G2274" s="21" t="n"/>
      <c r="H2274" s="12">
        <f>IF(AND(B2274="",D2274="",F2274=""),"",IF(NOT(ISNUMBER(B2274)),"Needs a date",IF(D2274="","Needs a client",IF(COUNTIF(Clients!$B$6:$B$105,D2274)=0,"Not on Clients",IF(AND(F2274="",INT(B2274)&lt;TODAY()),"Needs a status","")))))</f>
        <v/>
      </c>
      <c r="I2274" s="1">
        <f>IF(ISNUMBER(B2274),INT(B2274),0)</f>
        <v/>
      </c>
      <c r="J2274">
        <f>IF(ISNUMBER(B2274),YEAR(B2274)*100+MONTH(B2274),"")</f>
        <v/>
      </c>
      <c r="K2274">
        <f>IF(AND(H2274="",OR(F2274="Attended",F2274="No-show",AND(F2274="Late cancel",Settings!$C$9="Yes"))),1,0)</f>
        <v/>
      </c>
      <c r="L2274">
        <f>IF(AND(H2274="",F2274="Attended"),1,0)</f>
        <v/>
      </c>
      <c r="M2274">
        <f>IF(AND(H2274="",OR(F2274="No-show",F2274="Late cancel")),1,0)</f>
        <v/>
      </c>
      <c r="N2274">
        <f>IF(AND(H2274="",F2274="",D2274&lt;&gt;"",I2274&gt;=TODAY()),ROUND((I2274+IF(ISNUMBER(C2274),MOD(C2274,1),0))*1440,0)*10000+ROW(),"")</f>
        <v/>
      </c>
    </row>
    <row r="2275">
      <c r="A2275" s="1" t="n"/>
      <c r="B2275" s="17" t="n"/>
      <c r="C2275" s="18" t="n"/>
      <c r="D2275" s="19" t="n"/>
      <c r="E2275" s="20" t="n"/>
      <c r="F2275" s="20" t="n"/>
      <c r="G2275" s="21" t="n"/>
      <c r="H2275" s="12">
        <f>IF(AND(B2275="",D2275="",F2275=""),"",IF(NOT(ISNUMBER(B2275)),"Needs a date",IF(D2275="","Needs a client",IF(COUNTIF(Clients!$B$6:$B$105,D2275)=0,"Not on Clients",IF(AND(F2275="",INT(B2275)&lt;TODAY()),"Needs a status","")))))</f>
        <v/>
      </c>
      <c r="I2275" s="1">
        <f>IF(ISNUMBER(B2275),INT(B2275),0)</f>
        <v/>
      </c>
      <c r="J2275">
        <f>IF(ISNUMBER(B2275),YEAR(B2275)*100+MONTH(B2275),"")</f>
        <v/>
      </c>
      <c r="K2275">
        <f>IF(AND(H2275="",OR(F2275="Attended",F2275="No-show",AND(F2275="Late cancel",Settings!$C$9="Yes"))),1,0)</f>
        <v/>
      </c>
      <c r="L2275">
        <f>IF(AND(H2275="",F2275="Attended"),1,0)</f>
        <v/>
      </c>
      <c r="M2275">
        <f>IF(AND(H2275="",OR(F2275="No-show",F2275="Late cancel")),1,0)</f>
        <v/>
      </c>
      <c r="N2275">
        <f>IF(AND(H2275="",F2275="",D2275&lt;&gt;"",I2275&gt;=TODAY()),ROUND((I2275+IF(ISNUMBER(C2275),MOD(C2275,1),0))*1440,0)*10000+ROW(),"")</f>
        <v/>
      </c>
    </row>
    <row r="2276">
      <c r="A2276" s="1" t="n"/>
      <c r="B2276" s="17" t="n"/>
      <c r="C2276" s="18" t="n"/>
      <c r="D2276" s="19" t="n"/>
      <c r="E2276" s="20" t="n"/>
      <c r="F2276" s="20" t="n"/>
      <c r="G2276" s="21" t="n"/>
      <c r="H2276" s="12">
        <f>IF(AND(B2276="",D2276="",F2276=""),"",IF(NOT(ISNUMBER(B2276)),"Needs a date",IF(D2276="","Needs a client",IF(COUNTIF(Clients!$B$6:$B$105,D2276)=0,"Not on Clients",IF(AND(F2276="",INT(B2276)&lt;TODAY()),"Needs a status","")))))</f>
        <v/>
      </c>
      <c r="I2276" s="1">
        <f>IF(ISNUMBER(B2276),INT(B2276),0)</f>
        <v/>
      </c>
      <c r="J2276">
        <f>IF(ISNUMBER(B2276),YEAR(B2276)*100+MONTH(B2276),"")</f>
        <v/>
      </c>
      <c r="K2276">
        <f>IF(AND(H2276="",OR(F2276="Attended",F2276="No-show",AND(F2276="Late cancel",Settings!$C$9="Yes"))),1,0)</f>
        <v/>
      </c>
      <c r="L2276">
        <f>IF(AND(H2276="",F2276="Attended"),1,0)</f>
        <v/>
      </c>
      <c r="M2276">
        <f>IF(AND(H2276="",OR(F2276="No-show",F2276="Late cancel")),1,0)</f>
        <v/>
      </c>
      <c r="N2276">
        <f>IF(AND(H2276="",F2276="",D2276&lt;&gt;"",I2276&gt;=TODAY()),ROUND((I2276+IF(ISNUMBER(C2276),MOD(C2276,1),0))*1440,0)*10000+ROW(),"")</f>
        <v/>
      </c>
    </row>
    <row r="2277">
      <c r="A2277" s="1" t="n"/>
      <c r="B2277" s="17" t="n"/>
      <c r="C2277" s="18" t="n"/>
      <c r="D2277" s="19" t="n"/>
      <c r="E2277" s="20" t="n"/>
      <c r="F2277" s="20" t="n"/>
      <c r="G2277" s="21" t="n"/>
      <c r="H2277" s="12">
        <f>IF(AND(B2277="",D2277="",F2277=""),"",IF(NOT(ISNUMBER(B2277)),"Needs a date",IF(D2277="","Needs a client",IF(COUNTIF(Clients!$B$6:$B$105,D2277)=0,"Not on Clients",IF(AND(F2277="",INT(B2277)&lt;TODAY()),"Needs a status","")))))</f>
        <v/>
      </c>
      <c r="I2277" s="1">
        <f>IF(ISNUMBER(B2277),INT(B2277),0)</f>
        <v/>
      </c>
      <c r="J2277">
        <f>IF(ISNUMBER(B2277),YEAR(B2277)*100+MONTH(B2277),"")</f>
        <v/>
      </c>
      <c r="K2277">
        <f>IF(AND(H2277="",OR(F2277="Attended",F2277="No-show",AND(F2277="Late cancel",Settings!$C$9="Yes"))),1,0)</f>
        <v/>
      </c>
      <c r="L2277">
        <f>IF(AND(H2277="",F2277="Attended"),1,0)</f>
        <v/>
      </c>
      <c r="M2277">
        <f>IF(AND(H2277="",OR(F2277="No-show",F2277="Late cancel")),1,0)</f>
        <v/>
      </c>
      <c r="N2277">
        <f>IF(AND(H2277="",F2277="",D2277&lt;&gt;"",I2277&gt;=TODAY()),ROUND((I2277+IF(ISNUMBER(C2277),MOD(C2277,1),0))*1440,0)*10000+ROW(),"")</f>
        <v/>
      </c>
    </row>
    <row r="2278">
      <c r="A2278" s="1" t="n"/>
      <c r="B2278" s="17" t="n"/>
      <c r="C2278" s="18" t="n"/>
      <c r="D2278" s="19" t="n"/>
      <c r="E2278" s="20" t="n"/>
      <c r="F2278" s="20" t="n"/>
      <c r="G2278" s="21" t="n"/>
      <c r="H2278" s="12">
        <f>IF(AND(B2278="",D2278="",F2278=""),"",IF(NOT(ISNUMBER(B2278)),"Needs a date",IF(D2278="","Needs a client",IF(COUNTIF(Clients!$B$6:$B$105,D2278)=0,"Not on Clients",IF(AND(F2278="",INT(B2278)&lt;TODAY()),"Needs a status","")))))</f>
        <v/>
      </c>
      <c r="I2278" s="1">
        <f>IF(ISNUMBER(B2278),INT(B2278),0)</f>
        <v/>
      </c>
      <c r="J2278">
        <f>IF(ISNUMBER(B2278),YEAR(B2278)*100+MONTH(B2278),"")</f>
        <v/>
      </c>
      <c r="K2278">
        <f>IF(AND(H2278="",OR(F2278="Attended",F2278="No-show",AND(F2278="Late cancel",Settings!$C$9="Yes"))),1,0)</f>
        <v/>
      </c>
      <c r="L2278">
        <f>IF(AND(H2278="",F2278="Attended"),1,0)</f>
        <v/>
      </c>
      <c r="M2278">
        <f>IF(AND(H2278="",OR(F2278="No-show",F2278="Late cancel")),1,0)</f>
        <v/>
      </c>
      <c r="N2278">
        <f>IF(AND(H2278="",F2278="",D2278&lt;&gt;"",I2278&gt;=TODAY()),ROUND((I2278+IF(ISNUMBER(C2278),MOD(C2278,1),0))*1440,0)*10000+ROW(),"")</f>
        <v/>
      </c>
    </row>
    <row r="2279">
      <c r="A2279" s="1" t="n"/>
      <c r="B2279" s="17" t="n"/>
      <c r="C2279" s="18" t="n"/>
      <c r="D2279" s="19" t="n"/>
      <c r="E2279" s="20" t="n"/>
      <c r="F2279" s="20" t="n"/>
      <c r="G2279" s="21" t="n"/>
      <c r="H2279" s="12">
        <f>IF(AND(B2279="",D2279="",F2279=""),"",IF(NOT(ISNUMBER(B2279)),"Needs a date",IF(D2279="","Needs a client",IF(COUNTIF(Clients!$B$6:$B$105,D2279)=0,"Not on Clients",IF(AND(F2279="",INT(B2279)&lt;TODAY()),"Needs a status","")))))</f>
        <v/>
      </c>
      <c r="I2279" s="1">
        <f>IF(ISNUMBER(B2279),INT(B2279),0)</f>
        <v/>
      </c>
      <c r="J2279">
        <f>IF(ISNUMBER(B2279),YEAR(B2279)*100+MONTH(B2279),"")</f>
        <v/>
      </c>
      <c r="K2279">
        <f>IF(AND(H2279="",OR(F2279="Attended",F2279="No-show",AND(F2279="Late cancel",Settings!$C$9="Yes"))),1,0)</f>
        <v/>
      </c>
      <c r="L2279">
        <f>IF(AND(H2279="",F2279="Attended"),1,0)</f>
        <v/>
      </c>
      <c r="M2279">
        <f>IF(AND(H2279="",OR(F2279="No-show",F2279="Late cancel")),1,0)</f>
        <v/>
      </c>
      <c r="N2279">
        <f>IF(AND(H2279="",F2279="",D2279&lt;&gt;"",I2279&gt;=TODAY()),ROUND((I2279+IF(ISNUMBER(C2279),MOD(C2279,1),0))*1440,0)*10000+ROW(),"")</f>
        <v/>
      </c>
    </row>
    <row r="2280">
      <c r="A2280" s="1" t="n"/>
      <c r="B2280" s="17" t="n"/>
      <c r="C2280" s="18" t="n"/>
      <c r="D2280" s="19" t="n"/>
      <c r="E2280" s="20" t="n"/>
      <c r="F2280" s="20" t="n"/>
      <c r="G2280" s="21" t="n"/>
      <c r="H2280" s="12">
        <f>IF(AND(B2280="",D2280="",F2280=""),"",IF(NOT(ISNUMBER(B2280)),"Needs a date",IF(D2280="","Needs a client",IF(COUNTIF(Clients!$B$6:$B$105,D2280)=0,"Not on Clients",IF(AND(F2280="",INT(B2280)&lt;TODAY()),"Needs a status","")))))</f>
        <v/>
      </c>
      <c r="I2280" s="1">
        <f>IF(ISNUMBER(B2280),INT(B2280),0)</f>
        <v/>
      </c>
      <c r="J2280">
        <f>IF(ISNUMBER(B2280),YEAR(B2280)*100+MONTH(B2280),"")</f>
        <v/>
      </c>
      <c r="K2280">
        <f>IF(AND(H2280="",OR(F2280="Attended",F2280="No-show",AND(F2280="Late cancel",Settings!$C$9="Yes"))),1,0)</f>
        <v/>
      </c>
      <c r="L2280">
        <f>IF(AND(H2280="",F2280="Attended"),1,0)</f>
        <v/>
      </c>
      <c r="M2280">
        <f>IF(AND(H2280="",OR(F2280="No-show",F2280="Late cancel")),1,0)</f>
        <v/>
      </c>
      <c r="N2280">
        <f>IF(AND(H2280="",F2280="",D2280&lt;&gt;"",I2280&gt;=TODAY()),ROUND((I2280+IF(ISNUMBER(C2280),MOD(C2280,1),0))*1440,0)*10000+ROW(),"")</f>
        <v/>
      </c>
    </row>
    <row r="2281">
      <c r="A2281" s="1" t="n"/>
      <c r="B2281" s="17" t="n"/>
      <c r="C2281" s="18" t="n"/>
      <c r="D2281" s="19" t="n"/>
      <c r="E2281" s="20" t="n"/>
      <c r="F2281" s="20" t="n"/>
      <c r="G2281" s="21" t="n"/>
      <c r="H2281" s="12">
        <f>IF(AND(B2281="",D2281="",F2281=""),"",IF(NOT(ISNUMBER(B2281)),"Needs a date",IF(D2281="","Needs a client",IF(COUNTIF(Clients!$B$6:$B$105,D2281)=0,"Not on Clients",IF(AND(F2281="",INT(B2281)&lt;TODAY()),"Needs a status","")))))</f>
        <v/>
      </c>
      <c r="I2281" s="1">
        <f>IF(ISNUMBER(B2281),INT(B2281),0)</f>
        <v/>
      </c>
      <c r="J2281">
        <f>IF(ISNUMBER(B2281),YEAR(B2281)*100+MONTH(B2281),"")</f>
        <v/>
      </c>
      <c r="K2281">
        <f>IF(AND(H2281="",OR(F2281="Attended",F2281="No-show",AND(F2281="Late cancel",Settings!$C$9="Yes"))),1,0)</f>
        <v/>
      </c>
      <c r="L2281">
        <f>IF(AND(H2281="",F2281="Attended"),1,0)</f>
        <v/>
      </c>
      <c r="M2281">
        <f>IF(AND(H2281="",OR(F2281="No-show",F2281="Late cancel")),1,0)</f>
        <v/>
      </c>
      <c r="N2281">
        <f>IF(AND(H2281="",F2281="",D2281&lt;&gt;"",I2281&gt;=TODAY()),ROUND((I2281+IF(ISNUMBER(C2281),MOD(C2281,1),0))*1440,0)*10000+ROW(),"")</f>
        <v/>
      </c>
    </row>
    <row r="2282">
      <c r="A2282" s="1" t="n"/>
      <c r="B2282" s="17" t="n"/>
      <c r="C2282" s="18" t="n"/>
      <c r="D2282" s="19" t="n"/>
      <c r="E2282" s="20" t="n"/>
      <c r="F2282" s="20" t="n"/>
      <c r="G2282" s="21" t="n"/>
      <c r="H2282" s="12">
        <f>IF(AND(B2282="",D2282="",F2282=""),"",IF(NOT(ISNUMBER(B2282)),"Needs a date",IF(D2282="","Needs a client",IF(COUNTIF(Clients!$B$6:$B$105,D2282)=0,"Not on Clients",IF(AND(F2282="",INT(B2282)&lt;TODAY()),"Needs a status","")))))</f>
        <v/>
      </c>
      <c r="I2282" s="1">
        <f>IF(ISNUMBER(B2282),INT(B2282),0)</f>
        <v/>
      </c>
      <c r="J2282">
        <f>IF(ISNUMBER(B2282),YEAR(B2282)*100+MONTH(B2282),"")</f>
        <v/>
      </c>
      <c r="K2282">
        <f>IF(AND(H2282="",OR(F2282="Attended",F2282="No-show",AND(F2282="Late cancel",Settings!$C$9="Yes"))),1,0)</f>
        <v/>
      </c>
      <c r="L2282">
        <f>IF(AND(H2282="",F2282="Attended"),1,0)</f>
        <v/>
      </c>
      <c r="M2282">
        <f>IF(AND(H2282="",OR(F2282="No-show",F2282="Late cancel")),1,0)</f>
        <v/>
      </c>
      <c r="N2282">
        <f>IF(AND(H2282="",F2282="",D2282&lt;&gt;"",I2282&gt;=TODAY()),ROUND((I2282+IF(ISNUMBER(C2282),MOD(C2282,1),0))*1440,0)*10000+ROW(),"")</f>
        <v/>
      </c>
    </row>
    <row r="2283">
      <c r="A2283" s="1" t="n"/>
      <c r="B2283" s="17" t="n"/>
      <c r="C2283" s="18" t="n"/>
      <c r="D2283" s="19" t="n"/>
      <c r="E2283" s="20" t="n"/>
      <c r="F2283" s="20" t="n"/>
      <c r="G2283" s="21" t="n"/>
      <c r="H2283" s="12">
        <f>IF(AND(B2283="",D2283="",F2283=""),"",IF(NOT(ISNUMBER(B2283)),"Needs a date",IF(D2283="","Needs a client",IF(COUNTIF(Clients!$B$6:$B$105,D2283)=0,"Not on Clients",IF(AND(F2283="",INT(B2283)&lt;TODAY()),"Needs a status","")))))</f>
        <v/>
      </c>
      <c r="I2283" s="1">
        <f>IF(ISNUMBER(B2283),INT(B2283),0)</f>
        <v/>
      </c>
      <c r="J2283">
        <f>IF(ISNUMBER(B2283),YEAR(B2283)*100+MONTH(B2283),"")</f>
        <v/>
      </c>
      <c r="K2283">
        <f>IF(AND(H2283="",OR(F2283="Attended",F2283="No-show",AND(F2283="Late cancel",Settings!$C$9="Yes"))),1,0)</f>
        <v/>
      </c>
      <c r="L2283">
        <f>IF(AND(H2283="",F2283="Attended"),1,0)</f>
        <v/>
      </c>
      <c r="M2283">
        <f>IF(AND(H2283="",OR(F2283="No-show",F2283="Late cancel")),1,0)</f>
        <v/>
      </c>
      <c r="N2283">
        <f>IF(AND(H2283="",F2283="",D2283&lt;&gt;"",I2283&gt;=TODAY()),ROUND((I2283+IF(ISNUMBER(C2283),MOD(C2283,1),0))*1440,0)*10000+ROW(),"")</f>
        <v/>
      </c>
    </row>
    <row r="2284">
      <c r="A2284" s="1" t="n"/>
      <c r="B2284" s="17" t="n"/>
      <c r="C2284" s="18" t="n"/>
      <c r="D2284" s="19" t="n"/>
      <c r="E2284" s="20" t="n"/>
      <c r="F2284" s="20" t="n"/>
      <c r="G2284" s="21" t="n"/>
      <c r="H2284" s="12">
        <f>IF(AND(B2284="",D2284="",F2284=""),"",IF(NOT(ISNUMBER(B2284)),"Needs a date",IF(D2284="","Needs a client",IF(COUNTIF(Clients!$B$6:$B$105,D2284)=0,"Not on Clients",IF(AND(F2284="",INT(B2284)&lt;TODAY()),"Needs a status","")))))</f>
        <v/>
      </c>
      <c r="I2284" s="1">
        <f>IF(ISNUMBER(B2284),INT(B2284),0)</f>
        <v/>
      </c>
      <c r="J2284">
        <f>IF(ISNUMBER(B2284),YEAR(B2284)*100+MONTH(B2284),"")</f>
        <v/>
      </c>
      <c r="K2284">
        <f>IF(AND(H2284="",OR(F2284="Attended",F2284="No-show",AND(F2284="Late cancel",Settings!$C$9="Yes"))),1,0)</f>
        <v/>
      </c>
      <c r="L2284">
        <f>IF(AND(H2284="",F2284="Attended"),1,0)</f>
        <v/>
      </c>
      <c r="M2284">
        <f>IF(AND(H2284="",OR(F2284="No-show",F2284="Late cancel")),1,0)</f>
        <v/>
      </c>
      <c r="N2284">
        <f>IF(AND(H2284="",F2284="",D2284&lt;&gt;"",I2284&gt;=TODAY()),ROUND((I2284+IF(ISNUMBER(C2284),MOD(C2284,1),0))*1440,0)*10000+ROW(),"")</f>
        <v/>
      </c>
    </row>
    <row r="2285">
      <c r="A2285" s="1" t="n"/>
      <c r="B2285" s="17" t="n"/>
      <c r="C2285" s="18" t="n"/>
      <c r="D2285" s="19" t="n"/>
      <c r="E2285" s="20" t="n"/>
      <c r="F2285" s="20" t="n"/>
      <c r="G2285" s="21" t="n"/>
      <c r="H2285" s="12">
        <f>IF(AND(B2285="",D2285="",F2285=""),"",IF(NOT(ISNUMBER(B2285)),"Needs a date",IF(D2285="","Needs a client",IF(COUNTIF(Clients!$B$6:$B$105,D2285)=0,"Not on Clients",IF(AND(F2285="",INT(B2285)&lt;TODAY()),"Needs a status","")))))</f>
        <v/>
      </c>
      <c r="I2285" s="1">
        <f>IF(ISNUMBER(B2285),INT(B2285),0)</f>
        <v/>
      </c>
      <c r="J2285">
        <f>IF(ISNUMBER(B2285),YEAR(B2285)*100+MONTH(B2285),"")</f>
        <v/>
      </c>
      <c r="K2285">
        <f>IF(AND(H2285="",OR(F2285="Attended",F2285="No-show",AND(F2285="Late cancel",Settings!$C$9="Yes"))),1,0)</f>
        <v/>
      </c>
      <c r="L2285">
        <f>IF(AND(H2285="",F2285="Attended"),1,0)</f>
        <v/>
      </c>
      <c r="M2285">
        <f>IF(AND(H2285="",OR(F2285="No-show",F2285="Late cancel")),1,0)</f>
        <v/>
      </c>
      <c r="N2285">
        <f>IF(AND(H2285="",F2285="",D2285&lt;&gt;"",I2285&gt;=TODAY()),ROUND((I2285+IF(ISNUMBER(C2285),MOD(C2285,1),0))*1440,0)*10000+ROW(),"")</f>
        <v/>
      </c>
    </row>
    <row r="2286">
      <c r="A2286" s="1" t="n"/>
      <c r="B2286" s="17" t="n"/>
      <c r="C2286" s="18" t="n"/>
      <c r="D2286" s="19" t="n"/>
      <c r="E2286" s="20" t="n"/>
      <c r="F2286" s="20" t="n"/>
      <c r="G2286" s="21" t="n"/>
      <c r="H2286" s="12">
        <f>IF(AND(B2286="",D2286="",F2286=""),"",IF(NOT(ISNUMBER(B2286)),"Needs a date",IF(D2286="","Needs a client",IF(COUNTIF(Clients!$B$6:$B$105,D2286)=0,"Not on Clients",IF(AND(F2286="",INT(B2286)&lt;TODAY()),"Needs a status","")))))</f>
        <v/>
      </c>
      <c r="I2286" s="1">
        <f>IF(ISNUMBER(B2286),INT(B2286),0)</f>
        <v/>
      </c>
      <c r="J2286">
        <f>IF(ISNUMBER(B2286),YEAR(B2286)*100+MONTH(B2286),"")</f>
        <v/>
      </c>
      <c r="K2286">
        <f>IF(AND(H2286="",OR(F2286="Attended",F2286="No-show",AND(F2286="Late cancel",Settings!$C$9="Yes"))),1,0)</f>
        <v/>
      </c>
      <c r="L2286">
        <f>IF(AND(H2286="",F2286="Attended"),1,0)</f>
        <v/>
      </c>
      <c r="M2286">
        <f>IF(AND(H2286="",OR(F2286="No-show",F2286="Late cancel")),1,0)</f>
        <v/>
      </c>
      <c r="N2286">
        <f>IF(AND(H2286="",F2286="",D2286&lt;&gt;"",I2286&gt;=TODAY()),ROUND((I2286+IF(ISNUMBER(C2286),MOD(C2286,1),0))*1440,0)*10000+ROW(),"")</f>
        <v/>
      </c>
    </row>
    <row r="2287">
      <c r="A2287" s="1" t="n"/>
      <c r="B2287" s="17" t="n"/>
      <c r="C2287" s="18" t="n"/>
      <c r="D2287" s="19" t="n"/>
      <c r="E2287" s="20" t="n"/>
      <c r="F2287" s="20" t="n"/>
      <c r="G2287" s="21" t="n"/>
      <c r="H2287" s="12">
        <f>IF(AND(B2287="",D2287="",F2287=""),"",IF(NOT(ISNUMBER(B2287)),"Needs a date",IF(D2287="","Needs a client",IF(COUNTIF(Clients!$B$6:$B$105,D2287)=0,"Not on Clients",IF(AND(F2287="",INT(B2287)&lt;TODAY()),"Needs a status","")))))</f>
        <v/>
      </c>
      <c r="I2287" s="1">
        <f>IF(ISNUMBER(B2287),INT(B2287),0)</f>
        <v/>
      </c>
      <c r="J2287">
        <f>IF(ISNUMBER(B2287),YEAR(B2287)*100+MONTH(B2287),"")</f>
        <v/>
      </c>
      <c r="K2287">
        <f>IF(AND(H2287="",OR(F2287="Attended",F2287="No-show",AND(F2287="Late cancel",Settings!$C$9="Yes"))),1,0)</f>
        <v/>
      </c>
      <c r="L2287">
        <f>IF(AND(H2287="",F2287="Attended"),1,0)</f>
        <v/>
      </c>
      <c r="M2287">
        <f>IF(AND(H2287="",OR(F2287="No-show",F2287="Late cancel")),1,0)</f>
        <v/>
      </c>
      <c r="N2287">
        <f>IF(AND(H2287="",F2287="",D2287&lt;&gt;"",I2287&gt;=TODAY()),ROUND((I2287+IF(ISNUMBER(C2287),MOD(C2287,1),0))*1440,0)*10000+ROW(),"")</f>
        <v/>
      </c>
    </row>
    <row r="2288">
      <c r="A2288" s="1" t="n"/>
      <c r="B2288" s="17" t="n"/>
      <c r="C2288" s="18" t="n"/>
      <c r="D2288" s="19" t="n"/>
      <c r="E2288" s="20" t="n"/>
      <c r="F2288" s="20" t="n"/>
      <c r="G2288" s="21" t="n"/>
      <c r="H2288" s="12">
        <f>IF(AND(B2288="",D2288="",F2288=""),"",IF(NOT(ISNUMBER(B2288)),"Needs a date",IF(D2288="","Needs a client",IF(COUNTIF(Clients!$B$6:$B$105,D2288)=0,"Not on Clients",IF(AND(F2288="",INT(B2288)&lt;TODAY()),"Needs a status","")))))</f>
        <v/>
      </c>
      <c r="I2288" s="1">
        <f>IF(ISNUMBER(B2288),INT(B2288),0)</f>
        <v/>
      </c>
      <c r="J2288">
        <f>IF(ISNUMBER(B2288),YEAR(B2288)*100+MONTH(B2288),"")</f>
        <v/>
      </c>
      <c r="K2288">
        <f>IF(AND(H2288="",OR(F2288="Attended",F2288="No-show",AND(F2288="Late cancel",Settings!$C$9="Yes"))),1,0)</f>
        <v/>
      </c>
      <c r="L2288">
        <f>IF(AND(H2288="",F2288="Attended"),1,0)</f>
        <v/>
      </c>
      <c r="M2288">
        <f>IF(AND(H2288="",OR(F2288="No-show",F2288="Late cancel")),1,0)</f>
        <v/>
      </c>
      <c r="N2288">
        <f>IF(AND(H2288="",F2288="",D2288&lt;&gt;"",I2288&gt;=TODAY()),ROUND((I2288+IF(ISNUMBER(C2288),MOD(C2288,1),0))*1440,0)*10000+ROW(),"")</f>
        <v/>
      </c>
    </row>
    <row r="2289">
      <c r="A2289" s="1" t="n"/>
      <c r="B2289" s="17" t="n"/>
      <c r="C2289" s="18" t="n"/>
      <c r="D2289" s="19" t="n"/>
      <c r="E2289" s="20" t="n"/>
      <c r="F2289" s="20" t="n"/>
      <c r="G2289" s="21" t="n"/>
      <c r="H2289" s="12">
        <f>IF(AND(B2289="",D2289="",F2289=""),"",IF(NOT(ISNUMBER(B2289)),"Needs a date",IF(D2289="","Needs a client",IF(COUNTIF(Clients!$B$6:$B$105,D2289)=0,"Not on Clients",IF(AND(F2289="",INT(B2289)&lt;TODAY()),"Needs a status","")))))</f>
        <v/>
      </c>
      <c r="I2289" s="1">
        <f>IF(ISNUMBER(B2289),INT(B2289),0)</f>
        <v/>
      </c>
      <c r="J2289">
        <f>IF(ISNUMBER(B2289),YEAR(B2289)*100+MONTH(B2289),"")</f>
        <v/>
      </c>
      <c r="K2289">
        <f>IF(AND(H2289="",OR(F2289="Attended",F2289="No-show",AND(F2289="Late cancel",Settings!$C$9="Yes"))),1,0)</f>
        <v/>
      </c>
      <c r="L2289">
        <f>IF(AND(H2289="",F2289="Attended"),1,0)</f>
        <v/>
      </c>
      <c r="M2289">
        <f>IF(AND(H2289="",OR(F2289="No-show",F2289="Late cancel")),1,0)</f>
        <v/>
      </c>
      <c r="N2289">
        <f>IF(AND(H2289="",F2289="",D2289&lt;&gt;"",I2289&gt;=TODAY()),ROUND((I2289+IF(ISNUMBER(C2289),MOD(C2289,1),0))*1440,0)*10000+ROW(),"")</f>
        <v/>
      </c>
    </row>
    <row r="2290">
      <c r="A2290" s="1" t="n"/>
      <c r="B2290" s="17" t="n"/>
      <c r="C2290" s="18" t="n"/>
      <c r="D2290" s="19" t="n"/>
      <c r="E2290" s="20" t="n"/>
      <c r="F2290" s="20" t="n"/>
      <c r="G2290" s="21" t="n"/>
      <c r="H2290" s="12">
        <f>IF(AND(B2290="",D2290="",F2290=""),"",IF(NOT(ISNUMBER(B2290)),"Needs a date",IF(D2290="","Needs a client",IF(COUNTIF(Clients!$B$6:$B$105,D2290)=0,"Not on Clients",IF(AND(F2290="",INT(B2290)&lt;TODAY()),"Needs a status","")))))</f>
        <v/>
      </c>
      <c r="I2290" s="1">
        <f>IF(ISNUMBER(B2290),INT(B2290),0)</f>
        <v/>
      </c>
      <c r="J2290">
        <f>IF(ISNUMBER(B2290),YEAR(B2290)*100+MONTH(B2290),"")</f>
        <v/>
      </c>
      <c r="K2290">
        <f>IF(AND(H2290="",OR(F2290="Attended",F2290="No-show",AND(F2290="Late cancel",Settings!$C$9="Yes"))),1,0)</f>
        <v/>
      </c>
      <c r="L2290">
        <f>IF(AND(H2290="",F2290="Attended"),1,0)</f>
        <v/>
      </c>
      <c r="M2290">
        <f>IF(AND(H2290="",OR(F2290="No-show",F2290="Late cancel")),1,0)</f>
        <v/>
      </c>
      <c r="N2290">
        <f>IF(AND(H2290="",F2290="",D2290&lt;&gt;"",I2290&gt;=TODAY()),ROUND((I2290+IF(ISNUMBER(C2290),MOD(C2290,1),0))*1440,0)*10000+ROW(),"")</f>
        <v/>
      </c>
    </row>
    <row r="2291">
      <c r="A2291" s="1" t="n"/>
      <c r="B2291" s="17" t="n"/>
      <c r="C2291" s="18" t="n"/>
      <c r="D2291" s="19" t="n"/>
      <c r="E2291" s="20" t="n"/>
      <c r="F2291" s="20" t="n"/>
      <c r="G2291" s="21" t="n"/>
      <c r="H2291" s="12">
        <f>IF(AND(B2291="",D2291="",F2291=""),"",IF(NOT(ISNUMBER(B2291)),"Needs a date",IF(D2291="","Needs a client",IF(COUNTIF(Clients!$B$6:$B$105,D2291)=0,"Not on Clients",IF(AND(F2291="",INT(B2291)&lt;TODAY()),"Needs a status","")))))</f>
        <v/>
      </c>
      <c r="I2291" s="1">
        <f>IF(ISNUMBER(B2291),INT(B2291),0)</f>
        <v/>
      </c>
      <c r="J2291">
        <f>IF(ISNUMBER(B2291),YEAR(B2291)*100+MONTH(B2291),"")</f>
        <v/>
      </c>
      <c r="K2291">
        <f>IF(AND(H2291="",OR(F2291="Attended",F2291="No-show",AND(F2291="Late cancel",Settings!$C$9="Yes"))),1,0)</f>
        <v/>
      </c>
      <c r="L2291">
        <f>IF(AND(H2291="",F2291="Attended"),1,0)</f>
        <v/>
      </c>
      <c r="M2291">
        <f>IF(AND(H2291="",OR(F2291="No-show",F2291="Late cancel")),1,0)</f>
        <v/>
      </c>
      <c r="N2291">
        <f>IF(AND(H2291="",F2291="",D2291&lt;&gt;"",I2291&gt;=TODAY()),ROUND((I2291+IF(ISNUMBER(C2291),MOD(C2291,1),0))*1440,0)*10000+ROW(),"")</f>
        <v/>
      </c>
    </row>
    <row r="2292">
      <c r="A2292" s="1" t="n"/>
      <c r="B2292" s="17" t="n"/>
      <c r="C2292" s="18" t="n"/>
      <c r="D2292" s="19" t="n"/>
      <c r="E2292" s="20" t="n"/>
      <c r="F2292" s="20" t="n"/>
      <c r="G2292" s="21" t="n"/>
      <c r="H2292" s="12">
        <f>IF(AND(B2292="",D2292="",F2292=""),"",IF(NOT(ISNUMBER(B2292)),"Needs a date",IF(D2292="","Needs a client",IF(COUNTIF(Clients!$B$6:$B$105,D2292)=0,"Not on Clients",IF(AND(F2292="",INT(B2292)&lt;TODAY()),"Needs a status","")))))</f>
        <v/>
      </c>
      <c r="I2292" s="1">
        <f>IF(ISNUMBER(B2292),INT(B2292),0)</f>
        <v/>
      </c>
      <c r="J2292">
        <f>IF(ISNUMBER(B2292),YEAR(B2292)*100+MONTH(B2292),"")</f>
        <v/>
      </c>
      <c r="K2292">
        <f>IF(AND(H2292="",OR(F2292="Attended",F2292="No-show",AND(F2292="Late cancel",Settings!$C$9="Yes"))),1,0)</f>
        <v/>
      </c>
      <c r="L2292">
        <f>IF(AND(H2292="",F2292="Attended"),1,0)</f>
        <v/>
      </c>
      <c r="M2292">
        <f>IF(AND(H2292="",OR(F2292="No-show",F2292="Late cancel")),1,0)</f>
        <v/>
      </c>
      <c r="N2292">
        <f>IF(AND(H2292="",F2292="",D2292&lt;&gt;"",I2292&gt;=TODAY()),ROUND((I2292+IF(ISNUMBER(C2292),MOD(C2292,1),0))*1440,0)*10000+ROW(),"")</f>
        <v/>
      </c>
    </row>
    <row r="2293">
      <c r="A2293" s="1" t="n"/>
      <c r="B2293" s="17" t="n"/>
      <c r="C2293" s="18" t="n"/>
      <c r="D2293" s="19" t="n"/>
      <c r="E2293" s="20" t="n"/>
      <c r="F2293" s="20" t="n"/>
      <c r="G2293" s="21" t="n"/>
      <c r="H2293" s="12">
        <f>IF(AND(B2293="",D2293="",F2293=""),"",IF(NOT(ISNUMBER(B2293)),"Needs a date",IF(D2293="","Needs a client",IF(COUNTIF(Clients!$B$6:$B$105,D2293)=0,"Not on Clients",IF(AND(F2293="",INT(B2293)&lt;TODAY()),"Needs a status","")))))</f>
        <v/>
      </c>
      <c r="I2293" s="1">
        <f>IF(ISNUMBER(B2293),INT(B2293),0)</f>
        <v/>
      </c>
      <c r="J2293">
        <f>IF(ISNUMBER(B2293),YEAR(B2293)*100+MONTH(B2293),"")</f>
        <v/>
      </c>
      <c r="K2293">
        <f>IF(AND(H2293="",OR(F2293="Attended",F2293="No-show",AND(F2293="Late cancel",Settings!$C$9="Yes"))),1,0)</f>
        <v/>
      </c>
      <c r="L2293">
        <f>IF(AND(H2293="",F2293="Attended"),1,0)</f>
        <v/>
      </c>
      <c r="M2293">
        <f>IF(AND(H2293="",OR(F2293="No-show",F2293="Late cancel")),1,0)</f>
        <v/>
      </c>
      <c r="N2293">
        <f>IF(AND(H2293="",F2293="",D2293&lt;&gt;"",I2293&gt;=TODAY()),ROUND((I2293+IF(ISNUMBER(C2293),MOD(C2293,1),0))*1440,0)*10000+ROW(),"")</f>
        <v/>
      </c>
    </row>
    <row r="2294">
      <c r="A2294" s="1" t="n"/>
      <c r="B2294" s="17" t="n"/>
      <c r="C2294" s="18" t="n"/>
      <c r="D2294" s="19" t="n"/>
      <c r="E2294" s="20" t="n"/>
      <c r="F2294" s="20" t="n"/>
      <c r="G2294" s="21" t="n"/>
      <c r="H2294" s="12">
        <f>IF(AND(B2294="",D2294="",F2294=""),"",IF(NOT(ISNUMBER(B2294)),"Needs a date",IF(D2294="","Needs a client",IF(COUNTIF(Clients!$B$6:$B$105,D2294)=0,"Not on Clients",IF(AND(F2294="",INT(B2294)&lt;TODAY()),"Needs a status","")))))</f>
        <v/>
      </c>
      <c r="I2294" s="1">
        <f>IF(ISNUMBER(B2294),INT(B2294),0)</f>
        <v/>
      </c>
      <c r="J2294">
        <f>IF(ISNUMBER(B2294),YEAR(B2294)*100+MONTH(B2294),"")</f>
        <v/>
      </c>
      <c r="K2294">
        <f>IF(AND(H2294="",OR(F2294="Attended",F2294="No-show",AND(F2294="Late cancel",Settings!$C$9="Yes"))),1,0)</f>
        <v/>
      </c>
      <c r="L2294">
        <f>IF(AND(H2294="",F2294="Attended"),1,0)</f>
        <v/>
      </c>
      <c r="M2294">
        <f>IF(AND(H2294="",OR(F2294="No-show",F2294="Late cancel")),1,0)</f>
        <v/>
      </c>
      <c r="N2294">
        <f>IF(AND(H2294="",F2294="",D2294&lt;&gt;"",I2294&gt;=TODAY()),ROUND((I2294+IF(ISNUMBER(C2294),MOD(C2294,1),0))*1440,0)*10000+ROW(),"")</f>
        <v/>
      </c>
    </row>
    <row r="2295">
      <c r="A2295" s="1" t="n"/>
      <c r="B2295" s="17" t="n"/>
      <c r="C2295" s="18" t="n"/>
      <c r="D2295" s="19" t="n"/>
      <c r="E2295" s="20" t="n"/>
      <c r="F2295" s="20" t="n"/>
      <c r="G2295" s="21" t="n"/>
      <c r="H2295" s="12">
        <f>IF(AND(B2295="",D2295="",F2295=""),"",IF(NOT(ISNUMBER(B2295)),"Needs a date",IF(D2295="","Needs a client",IF(COUNTIF(Clients!$B$6:$B$105,D2295)=0,"Not on Clients",IF(AND(F2295="",INT(B2295)&lt;TODAY()),"Needs a status","")))))</f>
        <v/>
      </c>
      <c r="I2295" s="1">
        <f>IF(ISNUMBER(B2295),INT(B2295),0)</f>
        <v/>
      </c>
      <c r="J2295">
        <f>IF(ISNUMBER(B2295),YEAR(B2295)*100+MONTH(B2295),"")</f>
        <v/>
      </c>
      <c r="K2295">
        <f>IF(AND(H2295="",OR(F2295="Attended",F2295="No-show",AND(F2295="Late cancel",Settings!$C$9="Yes"))),1,0)</f>
        <v/>
      </c>
      <c r="L2295">
        <f>IF(AND(H2295="",F2295="Attended"),1,0)</f>
        <v/>
      </c>
      <c r="M2295">
        <f>IF(AND(H2295="",OR(F2295="No-show",F2295="Late cancel")),1,0)</f>
        <v/>
      </c>
      <c r="N2295">
        <f>IF(AND(H2295="",F2295="",D2295&lt;&gt;"",I2295&gt;=TODAY()),ROUND((I2295+IF(ISNUMBER(C2295),MOD(C2295,1),0))*1440,0)*10000+ROW(),"")</f>
        <v/>
      </c>
    </row>
    <row r="2296">
      <c r="A2296" s="1" t="n"/>
      <c r="B2296" s="17" t="n"/>
      <c r="C2296" s="18" t="n"/>
      <c r="D2296" s="19" t="n"/>
      <c r="E2296" s="20" t="n"/>
      <c r="F2296" s="20" t="n"/>
      <c r="G2296" s="21" t="n"/>
      <c r="H2296" s="12">
        <f>IF(AND(B2296="",D2296="",F2296=""),"",IF(NOT(ISNUMBER(B2296)),"Needs a date",IF(D2296="","Needs a client",IF(COUNTIF(Clients!$B$6:$B$105,D2296)=0,"Not on Clients",IF(AND(F2296="",INT(B2296)&lt;TODAY()),"Needs a status","")))))</f>
        <v/>
      </c>
      <c r="I2296" s="1">
        <f>IF(ISNUMBER(B2296),INT(B2296),0)</f>
        <v/>
      </c>
      <c r="J2296">
        <f>IF(ISNUMBER(B2296),YEAR(B2296)*100+MONTH(B2296),"")</f>
        <v/>
      </c>
      <c r="K2296">
        <f>IF(AND(H2296="",OR(F2296="Attended",F2296="No-show",AND(F2296="Late cancel",Settings!$C$9="Yes"))),1,0)</f>
        <v/>
      </c>
      <c r="L2296">
        <f>IF(AND(H2296="",F2296="Attended"),1,0)</f>
        <v/>
      </c>
      <c r="M2296">
        <f>IF(AND(H2296="",OR(F2296="No-show",F2296="Late cancel")),1,0)</f>
        <v/>
      </c>
      <c r="N2296">
        <f>IF(AND(H2296="",F2296="",D2296&lt;&gt;"",I2296&gt;=TODAY()),ROUND((I2296+IF(ISNUMBER(C2296),MOD(C2296,1),0))*1440,0)*10000+ROW(),"")</f>
        <v/>
      </c>
    </row>
    <row r="2297">
      <c r="A2297" s="1" t="n"/>
      <c r="B2297" s="17" t="n"/>
      <c r="C2297" s="18" t="n"/>
      <c r="D2297" s="19" t="n"/>
      <c r="E2297" s="20" t="n"/>
      <c r="F2297" s="20" t="n"/>
      <c r="G2297" s="21" t="n"/>
      <c r="H2297" s="12">
        <f>IF(AND(B2297="",D2297="",F2297=""),"",IF(NOT(ISNUMBER(B2297)),"Needs a date",IF(D2297="","Needs a client",IF(COUNTIF(Clients!$B$6:$B$105,D2297)=0,"Not on Clients",IF(AND(F2297="",INT(B2297)&lt;TODAY()),"Needs a status","")))))</f>
        <v/>
      </c>
      <c r="I2297" s="1">
        <f>IF(ISNUMBER(B2297),INT(B2297),0)</f>
        <v/>
      </c>
      <c r="J2297">
        <f>IF(ISNUMBER(B2297),YEAR(B2297)*100+MONTH(B2297),"")</f>
        <v/>
      </c>
      <c r="K2297">
        <f>IF(AND(H2297="",OR(F2297="Attended",F2297="No-show",AND(F2297="Late cancel",Settings!$C$9="Yes"))),1,0)</f>
        <v/>
      </c>
      <c r="L2297">
        <f>IF(AND(H2297="",F2297="Attended"),1,0)</f>
        <v/>
      </c>
      <c r="M2297">
        <f>IF(AND(H2297="",OR(F2297="No-show",F2297="Late cancel")),1,0)</f>
        <v/>
      </c>
      <c r="N2297">
        <f>IF(AND(H2297="",F2297="",D2297&lt;&gt;"",I2297&gt;=TODAY()),ROUND((I2297+IF(ISNUMBER(C2297),MOD(C2297,1),0))*1440,0)*10000+ROW(),"")</f>
        <v/>
      </c>
    </row>
    <row r="2298">
      <c r="A2298" s="1" t="n"/>
      <c r="B2298" s="17" t="n"/>
      <c r="C2298" s="18" t="n"/>
      <c r="D2298" s="19" t="n"/>
      <c r="E2298" s="20" t="n"/>
      <c r="F2298" s="20" t="n"/>
      <c r="G2298" s="21" t="n"/>
      <c r="H2298" s="12">
        <f>IF(AND(B2298="",D2298="",F2298=""),"",IF(NOT(ISNUMBER(B2298)),"Needs a date",IF(D2298="","Needs a client",IF(COUNTIF(Clients!$B$6:$B$105,D2298)=0,"Not on Clients",IF(AND(F2298="",INT(B2298)&lt;TODAY()),"Needs a status","")))))</f>
        <v/>
      </c>
      <c r="I2298" s="1">
        <f>IF(ISNUMBER(B2298),INT(B2298),0)</f>
        <v/>
      </c>
      <c r="J2298">
        <f>IF(ISNUMBER(B2298),YEAR(B2298)*100+MONTH(B2298),"")</f>
        <v/>
      </c>
      <c r="K2298">
        <f>IF(AND(H2298="",OR(F2298="Attended",F2298="No-show",AND(F2298="Late cancel",Settings!$C$9="Yes"))),1,0)</f>
        <v/>
      </c>
      <c r="L2298">
        <f>IF(AND(H2298="",F2298="Attended"),1,0)</f>
        <v/>
      </c>
      <c r="M2298">
        <f>IF(AND(H2298="",OR(F2298="No-show",F2298="Late cancel")),1,0)</f>
        <v/>
      </c>
      <c r="N2298">
        <f>IF(AND(H2298="",F2298="",D2298&lt;&gt;"",I2298&gt;=TODAY()),ROUND((I2298+IF(ISNUMBER(C2298),MOD(C2298,1),0))*1440,0)*10000+ROW(),"")</f>
        <v/>
      </c>
    </row>
    <row r="2299">
      <c r="A2299" s="1" t="n"/>
      <c r="B2299" s="17" t="n"/>
      <c r="C2299" s="18" t="n"/>
      <c r="D2299" s="19" t="n"/>
      <c r="E2299" s="20" t="n"/>
      <c r="F2299" s="20" t="n"/>
      <c r="G2299" s="21" t="n"/>
      <c r="H2299" s="12">
        <f>IF(AND(B2299="",D2299="",F2299=""),"",IF(NOT(ISNUMBER(B2299)),"Needs a date",IF(D2299="","Needs a client",IF(COUNTIF(Clients!$B$6:$B$105,D2299)=0,"Not on Clients",IF(AND(F2299="",INT(B2299)&lt;TODAY()),"Needs a status","")))))</f>
        <v/>
      </c>
      <c r="I2299" s="1">
        <f>IF(ISNUMBER(B2299),INT(B2299),0)</f>
        <v/>
      </c>
      <c r="J2299">
        <f>IF(ISNUMBER(B2299),YEAR(B2299)*100+MONTH(B2299),"")</f>
        <v/>
      </c>
      <c r="K2299">
        <f>IF(AND(H2299="",OR(F2299="Attended",F2299="No-show",AND(F2299="Late cancel",Settings!$C$9="Yes"))),1,0)</f>
        <v/>
      </c>
      <c r="L2299">
        <f>IF(AND(H2299="",F2299="Attended"),1,0)</f>
        <v/>
      </c>
      <c r="M2299">
        <f>IF(AND(H2299="",OR(F2299="No-show",F2299="Late cancel")),1,0)</f>
        <v/>
      </c>
      <c r="N2299">
        <f>IF(AND(H2299="",F2299="",D2299&lt;&gt;"",I2299&gt;=TODAY()),ROUND((I2299+IF(ISNUMBER(C2299),MOD(C2299,1),0))*1440,0)*10000+ROW(),"")</f>
        <v/>
      </c>
    </row>
    <row r="2300">
      <c r="A2300" s="1" t="n"/>
      <c r="B2300" s="17" t="n"/>
      <c r="C2300" s="18" t="n"/>
      <c r="D2300" s="19" t="n"/>
      <c r="E2300" s="20" t="n"/>
      <c r="F2300" s="20" t="n"/>
      <c r="G2300" s="21" t="n"/>
      <c r="H2300" s="12">
        <f>IF(AND(B2300="",D2300="",F2300=""),"",IF(NOT(ISNUMBER(B2300)),"Needs a date",IF(D2300="","Needs a client",IF(COUNTIF(Clients!$B$6:$B$105,D2300)=0,"Not on Clients",IF(AND(F2300="",INT(B2300)&lt;TODAY()),"Needs a status","")))))</f>
        <v/>
      </c>
      <c r="I2300" s="1">
        <f>IF(ISNUMBER(B2300),INT(B2300),0)</f>
        <v/>
      </c>
      <c r="J2300">
        <f>IF(ISNUMBER(B2300),YEAR(B2300)*100+MONTH(B2300),"")</f>
        <v/>
      </c>
      <c r="K2300">
        <f>IF(AND(H2300="",OR(F2300="Attended",F2300="No-show",AND(F2300="Late cancel",Settings!$C$9="Yes"))),1,0)</f>
        <v/>
      </c>
      <c r="L2300">
        <f>IF(AND(H2300="",F2300="Attended"),1,0)</f>
        <v/>
      </c>
      <c r="M2300">
        <f>IF(AND(H2300="",OR(F2300="No-show",F2300="Late cancel")),1,0)</f>
        <v/>
      </c>
      <c r="N2300">
        <f>IF(AND(H2300="",F2300="",D2300&lt;&gt;"",I2300&gt;=TODAY()),ROUND((I2300+IF(ISNUMBER(C2300),MOD(C2300,1),0))*1440,0)*10000+ROW(),"")</f>
        <v/>
      </c>
    </row>
    <row r="2301">
      <c r="A2301" s="1" t="n"/>
      <c r="B2301" s="17" t="n"/>
      <c r="C2301" s="18" t="n"/>
      <c r="D2301" s="19" t="n"/>
      <c r="E2301" s="20" t="n"/>
      <c r="F2301" s="20" t="n"/>
      <c r="G2301" s="21" t="n"/>
      <c r="H2301" s="12">
        <f>IF(AND(B2301="",D2301="",F2301=""),"",IF(NOT(ISNUMBER(B2301)),"Needs a date",IF(D2301="","Needs a client",IF(COUNTIF(Clients!$B$6:$B$105,D2301)=0,"Not on Clients",IF(AND(F2301="",INT(B2301)&lt;TODAY()),"Needs a status","")))))</f>
        <v/>
      </c>
      <c r="I2301" s="1">
        <f>IF(ISNUMBER(B2301),INT(B2301),0)</f>
        <v/>
      </c>
      <c r="J2301">
        <f>IF(ISNUMBER(B2301),YEAR(B2301)*100+MONTH(B2301),"")</f>
        <v/>
      </c>
      <c r="K2301">
        <f>IF(AND(H2301="",OR(F2301="Attended",F2301="No-show",AND(F2301="Late cancel",Settings!$C$9="Yes"))),1,0)</f>
        <v/>
      </c>
      <c r="L2301">
        <f>IF(AND(H2301="",F2301="Attended"),1,0)</f>
        <v/>
      </c>
      <c r="M2301">
        <f>IF(AND(H2301="",OR(F2301="No-show",F2301="Late cancel")),1,0)</f>
        <v/>
      </c>
      <c r="N2301">
        <f>IF(AND(H2301="",F2301="",D2301&lt;&gt;"",I2301&gt;=TODAY()),ROUND((I2301+IF(ISNUMBER(C2301),MOD(C2301,1),0))*1440,0)*10000+ROW(),"")</f>
        <v/>
      </c>
    </row>
    <row r="2302">
      <c r="A2302" s="1" t="n"/>
      <c r="B2302" s="17" t="n"/>
      <c r="C2302" s="18" t="n"/>
      <c r="D2302" s="19" t="n"/>
      <c r="E2302" s="20" t="n"/>
      <c r="F2302" s="20" t="n"/>
      <c r="G2302" s="21" t="n"/>
      <c r="H2302" s="12">
        <f>IF(AND(B2302="",D2302="",F2302=""),"",IF(NOT(ISNUMBER(B2302)),"Needs a date",IF(D2302="","Needs a client",IF(COUNTIF(Clients!$B$6:$B$105,D2302)=0,"Not on Clients",IF(AND(F2302="",INT(B2302)&lt;TODAY()),"Needs a status","")))))</f>
        <v/>
      </c>
      <c r="I2302" s="1">
        <f>IF(ISNUMBER(B2302),INT(B2302),0)</f>
        <v/>
      </c>
      <c r="J2302">
        <f>IF(ISNUMBER(B2302),YEAR(B2302)*100+MONTH(B2302),"")</f>
        <v/>
      </c>
      <c r="K2302">
        <f>IF(AND(H2302="",OR(F2302="Attended",F2302="No-show",AND(F2302="Late cancel",Settings!$C$9="Yes"))),1,0)</f>
        <v/>
      </c>
      <c r="L2302">
        <f>IF(AND(H2302="",F2302="Attended"),1,0)</f>
        <v/>
      </c>
      <c r="M2302">
        <f>IF(AND(H2302="",OR(F2302="No-show",F2302="Late cancel")),1,0)</f>
        <v/>
      </c>
      <c r="N2302">
        <f>IF(AND(H2302="",F2302="",D2302&lt;&gt;"",I2302&gt;=TODAY()),ROUND((I2302+IF(ISNUMBER(C2302),MOD(C2302,1),0))*1440,0)*10000+ROW(),"")</f>
        <v/>
      </c>
    </row>
    <row r="2303">
      <c r="A2303" s="1" t="n"/>
      <c r="B2303" s="17" t="n"/>
      <c r="C2303" s="18" t="n"/>
      <c r="D2303" s="19" t="n"/>
      <c r="E2303" s="20" t="n"/>
      <c r="F2303" s="20" t="n"/>
      <c r="G2303" s="21" t="n"/>
      <c r="H2303" s="12">
        <f>IF(AND(B2303="",D2303="",F2303=""),"",IF(NOT(ISNUMBER(B2303)),"Needs a date",IF(D2303="","Needs a client",IF(COUNTIF(Clients!$B$6:$B$105,D2303)=0,"Not on Clients",IF(AND(F2303="",INT(B2303)&lt;TODAY()),"Needs a status","")))))</f>
        <v/>
      </c>
      <c r="I2303" s="1">
        <f>IF(ISNUMBER(B2303),INT(B2303),0)</f>
        <v/>
      </c>
      <c r="J2303">
        <f>IF(ISNUMBER(B2303),YEAR(B2303)*100+MONTH(B2303),"")</f>
        <v/>
      </c>
      <c r="K2303">
        <f>IF(AND(H2303="",OR(F2303="Attended",F2303="No-show",AND(F2303="Late cancel",Settings!$C$9="Yes"))),1,0)</f>
        <v/>
      </c>
      <c r="L2303">
        <f>IF(AND(H2303="",F2303="Attended"),1,0)</f>
        <v/>
      </c>
      <c r="M2303">
        <f>IF(AND(H2303="",OR(F2303="No-show",F2303="Late cancel")),1,0)</f>
        <v/>
      </c>
      <c r="N2303">
        <f>IF(AND(H2303="",F2303="",D2303&lt;&gt;"",I2303&gt;=TODAY()),ROUND((I2303+IF(ISNUMBER(C2303),MOD(C2303,1),0))*1440,0)*10000+ROW(),"")</f>
        <v/>
      </c>
    </row>
    <row r="2304">
      <c r="A2304" s="1" t="n"/>
      <c r="B2304" s="17" t="n"/>
      <c r="C2304" s="18" t="n"/>
      <c r="D2304" s="19" t="n"/>
      <c r="E2304" s="20" t="n"/>
      <c r="F2304" s="20" t="n"/>
      <c r="G2304" s="21" t="n"/>
      <c r="H2304" s="12">
        <f>IF(AND(B2304="",D2304="",F2304=""),"",IF(NOT(ISNUMBER(B2304)),"Needs a date",IF(D2304="","Needs a client",IF(COUNTIF(Clients!$B$6:$B$105,D2304)=0,"Not on Clients",IF(AND(F2304="",INT(B2304)&lt;TODAY()),"Needs a status","")))))</f>
        <v/>
      </c>
      <c r="I2304" s="1">
        <f>IF(ISNUMBER(B2304),INT(B2304),0)</f>
        <v/>
      </c>
      <c r="J2304">
        <f>IF(ISNUMBER(B2304),YEAR(B2304)*100+MONTH(B2304),"")</f>
        <v/>
      </c>
      <c r="K2304">
        <f>IF(AND(H2304="",OR(F2304="Attended",F2304="No-show",AND(F2304="Late cancel",Settings!$C$9="Yes"))),1,0)</f>
        <v/>
      </c>
      <c r="L2304">
        <f>IF(AND(H2304="",F2304="Attended"),1,0)</f>
        <v/>
      </c>
      <c r="M2304">
        <f>IF(AND(H2304="",OR(F2304="No-show",F2304="Late cancel")),1,0)</f>
        <v/>
      </c>
      <c r="N2304">
        <f>IF(AND(H2304="",F2304="",D2304&lt;&gt;"",I2304&gt;=TODAY()),ROUND((I2304+IF(ISNUMBER(C2304),MOD(C2304,1),0))*1440,0)*10000+ROW(),"")</f>
        <v/>
      </c>
    </row>
    <row r="2305">
      <c r="A2305" s="1" t="n"/>
      <c r="B2305" s="17" t="n"/>
      <c r="C2305" s="18" t="n"/>
      <c r="D2305" s="19" t="n"/>
      <c r="E2305" s="20" t="n"/>
      <c r="F2305" s="20" t="n"/>
      <c r="G2305" s="21" t="n"/>
      <c r="H2305" s="12">
        <f>IF(AND(B2305="",D2305="",F2305=""),"",IF(NOT(ISNUMBER(B2305)),"Needs a date",IF(D2305="","Needs a client",IF(COUNTIF(Clients!$B$6:$B$105,D2305)=0,"Not on Clients",IF(AND(F2305="",INT(B2305)&lt;TODAY()),"Needs a status","")))))</f>
        <v/>
      </c>
      <c r="I2305" s="1">
        <f>IF(ISNUMBER(B2305),INT(B2305),0)</f>
        <v/>
      </c>
      <c r="J2305">
        <f>IF(ISNUMBER(B2305),YEAR(B2305)*100+MONTH(B2305),"")</f>
        <v/>
      </c>
      <c r="K2305">
        <f>IF(AND(H2305="",OR(F2305="Attended",F2305="No-show",AND(F2305="Late cancel",Settings!$C$9="Yes"))),1,0)</f>
        <v/>
      </c>
      <c r="L2305">
        <f>IF(AND(H2305="",F2305="Attended"),1,0)</f>
        <v/>
      </c>
      <c r="M2305">
        <f>IF(AND(H2305="",OR(F2305="No-show",F2305="Late cancel")),1,0)</f>
        <v/>
      </c>
      <c r="N2305">
        <f>IF(AND(H2305="",F2305="",D2305&lt;&gt;"",I2305&gt;=TODAY()),ROUND((I2305+IF(ISNUMBER(C2305),MOD(C2305,1),0))*1440,0)*10000+ROW(),"")</f>
        <v/>
      </c>
    </row>
    <row r="2306">
      <c r="A2306" s="1" t="n"/>
      <c r="B2306" s="17" t="n"/>
      <c r="C2306" s="18" t="n"/>
      <c r="D2306" s="19" t="n"/>
      <c r="E2306" s="20" t="n"/>
      <c r="F2306" s="20" t="n"/>
      <c r="G2306" s="21" t="n"/>
      <c r="H2306" s="12">
        <f>IF(AND(B2306="",D2306="",F2306=""),"",IF(NOT(ISNUMBER(B2306)),"Needs a date",IF(D2306="","Needs a client",IF(COUNTIF(Clients!$B$6:$B$105,D2306)=0,"Not on Clients",IF(AND(F2306="",INT(B2306)&lt;TODAY()),"Needs a status","")))))</f>
        <v/>
      </c>
      <c r="I2306" s="1">
        <f>IF(ISNUMBER(B2306),INT(B2306),0)</f>
        <v/>
      </c>
      <c r="J2306">
        <f>IF(ISNUMBER(B2306),YEAR(B2306)*100+MONTH(B2306),"")</f>
        <v/>
      </c>
      <c r="K2306">
        <f>IF(AND(H2306="",OR(F2306="Attended",F2306="No-show",AND(F2306="Late cancel",Settings!$C$9="Yes"))),1,0)</f>
        <v/>
      </c>
      <c r="L2306">
        <f>IF(AND(H2306="",F2306="Attended"),1,0)</f>
        <v/>
      </c>
      <c r="M2306">
        <f>IF(AND(H2306="",OR(F2306="No-show",F2306="Late cancel")),1,0)</f>
        <v/>
      </c>
      <c r="N2306">
        <f>IF(AND(H2306="",F2306="",D2306&lt;&gt;"",I2306&gt;=TODAY()),ROUND((I2306+IF(ISNUMBER(C2306),MOD(C2306,1),0))*1440,0)*10000+ROW(),"")</f>
        <v/>
      </c>
    </row>
    <row r="2307">
      <c r="A2307" s="1" t="n"/>
      <c r="B2307" s="17" t="n"/>
      <c r="C2307" s="18" t="n"/>
      <c r="D2307" s="19" t="n"/>
      <c r="E2307" s="20" t="n"/>
      <c r="F2307" s="20" t="n"/>
      <c r="G2307" s="21" t="n"/>
      <c r="H2307" s="12">
        <f>IF(AND(B2307="",D2307="",F2307=""),"",IF(NOT(ISNUMBER(B2307)),"Needs a date",IF(D2307="","Needs a client",IF(COUNTIF(Clients!$B$6:$B$105,D2307)=0,"Not on Clients",IF(AND(F2307="",INT(B2307)&lt;TODAY()),"Needs a status","")))))</f>
        <v/>
      </c>
      <c r="I2307" s="1">
        <f>IF(ISNUMBER(B2307),INT(B2307),0)</f>
        <v/>
      </c>
      <c r="J2307">
        <f>IF(ISNUMBER(B2307),YEAR(B2307)*100+MONTH(B2307),"")</f>
        <v/>
      </c>
      <c r="K2307">
        <f>IF(AND(H2307="",OR(F2307="Attended",F2307="No-show",AND(F2307="Late cancel",Settings!$C$9="Yes"))),1,0)</f>
        <v/>
      </c>
      <c r="L2307">
        <f>IF(AND(H2307="",F2307="Attended"),1,0)</f>
        <v/>
      </c>
      <c r="M2307">
        <f>IF(AND(H2307="",OR(F2307="No-show",F2307="Late cancel")),1,0)</f>
        <v/>
      </c>
      <c r="N2307">
        <f>IF(AND(H2307="",F2307="",D2307&lt;&gt;"",I2307&gt;=TODAY()),ROUND((I2307+IF(ISNUMBER(C2307),MOD(C2307,1),0))*1440,0)*10000+ROW(),"")</f>
        <v/>
      </c>
    </row>
    <row r="2308">
      <c r="A2308" s="1" t="n"/>
      <c r="B2308" s="17" t="n"/>
      <c r="C2308" s="18" t="n"/>
      <c r="D2308" s="19" t="n"/>
      <c r="E2308" s="20" t="n"/>
      <c r="F2308" s="20" t="n"/>
      <c r="G2308" s="21" t="n"/>
      <c r="H2308" s="12">
        <f>IF(AND(B2308="",D2308="",F2308=""),"",IF(NOT(ISNUMBER(B2308)),"Needs a date",IF(D2308="","Needs a client",IF(COUNTIF(Clients!$B$6:$B$105,D2308)=0,"Not on Clients",IF(AND(F2308="",INT(B2308)&lt;TODAY()),"Needs a status","")))))</f>
        <v/>
      </c>
      <c r="I2308" s="1">
        <f>IF(ISNUMBER(B2308),INT(B2308),0)</f>
        <v/>
      </c>
      <c r="J2308">
        <f>IF(ISNUMBER(B2308),YEAR(B2308)*100+MONTH(B2308),"")</f>
        <v/>
      </c>
      <c r="K2308">
        <f>IF(AND(H2308="",OR(F2308="Attended",F2308="No-show",AND(F2308="Late cancel",Settings!$C$9="Yes"))),1,0)</f>
        <v/>
      </c>
      <c r="L2308">
        <f>IF(AND(H2308="",F2308="Attended"),1,0)</f>
        <v/>
      </c>
      <c r="M2308">
        <f>IF(AND(H2308="",OR(F2308="No-show",F2308="Late cancel")),1,0)</f>
        <v/>
      </c>
      <c r="N2308">
        <f>IF(AND(H2308="",F2308="",D2308&lt;&gt;"",I2308&gt;=TODAY()),ROUND((I2308+IF(ISNUMBER(C2308),MOD(C2308,1),0))*1440,0)*10000+ROW(),"")</f>
        <v/>
      </c>
    </row>
    <row r="2309">
      <c r="A2309" s="1" t="n"/>
      <c r="B2309" s="17" t="n"/>
      <c r="C2309" s="18" t="n"/>
      <c r="D2309" s="19" t="n"/>
      <c r="E2309" s="20" t="n"/>
      <c r="F2309" s="20" t="n"/>
      <c r="G2309" s="21" t="n"/>
      <c r="H2309" s="12">
        <f>IF(AND(B2309="",D2309="",F2309=""),"",IF(NOT(ISNUMBER(B2309)),"Needs a date",IF(D2309="","Needs a client",IF(COUNTIF(Clients!$B$6:$B$105,D2309)=0,"Not on Clients",IF(AND(F2309="",INT(B2309)&lt;TODAY()),"Needs a status","")))))</f>
        <v/>
      </c>
      <c r="I2309" s="1">
        <f>IF(ISNUMBER(B2309),INT(B2309),0)</f>
        <v/>
      </c>
      <c r="J2309">
        <f>IF(ISNUMBER(B2309),YEAR(B2309)*100+MONTH(B2309),"")</f>
        <v/>
      </c>
      <c r="K2309">
        <f>IF(AND(H2309="",OR(F2309="Attended",F2309="No-show",AND(F2309="Late cancel",Settings!$C$9="Yes"))),1,0)</f>
        <v/>
      </c>
      <c r="L2309">
        <f>IF(AND(H2309="",F2309="Attended"),1,0)</f>
        <v/>
      </c>
      <c r="M2309">
        <f>IF(AND(H2309="",OR(F2309="No-show",F2309="Late cancel")),1,0)</f>
        <v/>
      </c>
      <c r="N2309">
        <f>IF(AND(H2309="",F2309="",D2309&lt;&gt;"",I2309&gt;=TODAY()),ROUND((I2309+IF(ISNUMBER(C2309),MOD(C2309,1),0))*1440,0)*10000+ROW(),"")</f>
        <v/>
      </c>
    </row>
    <row r="2310">
      <c r="A2310" s="1" t="n"/>
      <c r="B2310" s="17" t="n"/>
      <c r="C2310" s="18" t="n"/>
      <c r="D2310" s="19" t="n"/>
      <c r="E2310" s="20" t="n"/>
      <c r="F2310" s="20" t="n"/>
      <c r="G2310" s="21" t="n"/>
      <c r="H2310" s="12">
        <f>IF(AND(B2310="",D2310="",F2310=""),"",IF(NOT(ISNUMBER(B2310)),"Needs a date",IF(D2310="","Needs a client",IF(COUNTIF(Clients!$B$6:$B$105,D2310)=0,"Not on Clients",IF(AND(F2310="",INT(B2310)&lt;TODAY()),"Needs a status","")))))</f>
        <v/>
      </c>
      <c r="I2310" s="1">
        <f>IF(ISNUMBER(B2310),INT(B2310),0)</f>
        <v/>
      </c>
      <c r="J2310">
        <f>IF(ISNUMBER(B2310),YEAR(B2310)*100+MONTH(B2310),"")</f>
        <v/>
      </c>
      <c r="K2310">
        <f>IF(AND(H2310="",OR(F2310="Attended",F2310="No-show",AND(F2310="Late cancel",Settings!$C$9="Yes"))),1,0)</f>
        <v/>
      </c>
      <c r="L2310">
        <f>IF(AND(H2310="",F2310="Attended"),1,0)</f>
        <v/>
      </c>
      <c r="M2310">
        <f>IF(AND(H2310="",OR(F2310="No-show",F2310="Late cancel")),1,0)</f>
        <v/>
      </c>
      <c r="N2310">
        <f>IF(AND(H2310="",F2310="",D2310&lt;&gt;"",I2310&gt;=TODAY()),ROUND((I2310+IF(ISNUMBER(C2310),MOD(C2310,1),0))*1440,0)*10000+ROW(),"")</f>
        <v/>
      </c>
    </row>
    <row r="2311">
      <c r="A2311" s="1" t="n"/>
      <c r="B2311" s="17" t="n"/>
      <c r="C2311" s="18" t="n"/>
      <c r="D2311" s="19" t="n"/>
      <c r="E2311" s="20" t="n"/>
      <c r="F2311" s="20" t="n"/>
      <c r="G2311" s="21" t="n"/>
      <c r="H2311" s="12">
        <f>IF(AND(B2311="",D2311="",F2311=""),"",IF(NOT(ISNUMBER(B2311)),"Needs a date",IF(D2311="","Needs a client",IF(COUNTIF(Clients!$B$6:$B$105,D2311)=0,"Not on Clients",IF(AND(F2311="",INT(B2311)&lt;TODAY()),"Needs a status","")))))</f>
        <v/>
      </c>
      <c r="I2311" s="1">
        <f>IF(ISNUMBER(B2311),INT(B2311),0)</f>
        <v/>
      </c>
      <c r="J2311">
        <f>IF(ISNUMBER(B2311),YEAR(B2311)*100+MONTH(B2311),"")</f>
        <v/>
      </c>
      <c r="K2311">
        <f>IF(AND(H2311="",OR(F2311="Attended",F2311="No-show",AND(F2311="Late cancel",Settings!$C$9="Yes"))),1,0)</f>
        <v/>
      </c>
      <c r="L2311">
        <f>IF(AND(H2311="",F2311="Attended"),1,0)</f>
        <v/>
      </c>
      <c r="M2311">
        <f>IF(AND(H2311="",OR(F2311="No-show",F2311="Late cancel")),1,0)</f>
        <v/>
      </c>
      <c r="N2311">
        <f>IF(AND(H2311="",F2311="",D2311&lt;&gt;"",I2311&gt;=TODAY()),ROUND((I2311+IF(ISNUMBER(C2311),MOD(C2311,1),0))*1440,0)*10000+ROW(),"")</f>
        <v/>
      </c>
    </row>
    <row r="2312">
      <c r="A2312" s="1" t="n"/>
      <c r="B2312" s="17" t="n"/>
      <c r="C2312" s="18" t="n"/>
      <c r="D2312" s="19" t="n"/>
      <c r="E2312" s="20" t="n"/>
      <c r="F2312" s="20" t="n"/>
      <c r="G2312" s="21" t="n"/>
      <c r="H2312" s="12">
        <f>IF(AND(B2312="",D2312="",F2312=""),"",IF(NOT(ISNUMBER(B2312)),"Needs a date",IF(D2312="","Needs a client",IF(COUNTIF(Clients!$B$6:$B$105,D2312)=0,"Not on Clients",IF(AND(F2312="",INT(B2312)&lt;TODAY()),"Needs a status","")))))</f>
        <v/>
      </c>
      <c r="I2312" s="1">
        <f>IF(ISNUMBER(B2312),INT(B2312),0)</f>
        <v/>
      </c>
      <c r="J2312">
        <f>IF(ISNUMBER(B2312),YEAR(B2312)*100+MONTH(B2312),"")</f>
        <v/>
      </c>
      <c r="K2312">
        <f>IF(AND(H2312="",OR(F2312="Attended",F2312="No-show",AND(F2312="Late cancel",Settings!$C$9="Yes"))),1,0)</f>
        <v/>
      </c>
      <c r="L2312">
        <f>IF(AND(H2312="",F2312="Attended"),1,0)</f>
        <v/>
      </c>
      <c r="M2312">
        <f>IF(AND(H2312="",OR(F2312="No-show",F2312="Late cancel")),1,0)</f>
        <v/>
      </c>
      <c r="N2312">
        <f>IF(AND(H2312="",F2312="",D2312&lt;&gt;"",I2312&gt;=TODAY()),ROUND((I2312+IF(ISNUMBER(C2312),MOD(C2312,1),0))*1440,0)*10000+ROW(),"")</f>
        <v/>
      </c>
    </row>
    <row r="2313">
      <c r="A2313" s="1" t="n"/>
      <c r="B2313" s="17" t="n"/>
      <c r="C2313" s="18" t="n"/>
      <c r="D2313" s="19" t="n"/>
      <c r="E2313" s="20" t="n"/>
      <c r="F2313" s="20" t="n"/>
      <c r="G2313" s="21" t="n"/>
      <c r="H2313" s="12">
        <f>IF(AND(B2313="",D2313="",F2313=""),"",IF(NOT(ISNUMBER(B2313)),"Needs a date",IF(D2313="","Needs a client",IF(COUNTIF(Clients!$B$6:$B$105,D2313)=0,"Not on Clients",IF(AND(F2313="",INT(B2313)&lt;TODAY()),"Needs a status","")))))</f>
        <v/>
      </c>
      <c r="I2313" s="1">
        <f>IF(ISNUMBER(B2313),INT(B2313),0)</f>
        <v/>
      </c>
      <c r="J2313">
        <f>IF(ISNUMBER(B2313),YEAR(B2313)*100+MONTH(B2313),"")</f>
        <v/>
      </c>
      <c r="K2313">
        <f>IF(AND(H2313="",OR(F2313="Attended",F2313="No-show",AND(F2313="Late cancel",Settings!$C$9="Yes"))),1,0)</f>
        <v/>
      </c>
      <c r="L2313">
        <f>IF(AND(H2313="",F2313="Attended"),1,0)</f>
        <v/>
      </c>
      <c r="M2313">
        <f>IF(AND(H2313="",OR(F2313="No-show",F2313="Late cancel")),1,0)</f>
        <v/>
      </c>
      <c r="N2313">
        <f>IF(AND(H2313="",F2313="",D2313&lt;&gt;"",I2313&gt;=TODAY()),ROUND((I2313+IF(ISNUMBER(C2313),MOD(C2313,1),0))*1440,0)*10000+ROW(),"")</f>
        <v/>
      </c>
    </row>
    <row r="2314">
      <c r="A2314" s="1" t="n"/>
      <c r="B2314" s="17" t="n"/>
      <c r="C2314" s="18" t="n"/>
      <c r="D2314" s="19" t="n"/>
      <c r="E2314" s="20" t="n"/>
      <c r="F2314" s="20" t="n"/>
      <c r="G2314" s="21" t="n"/>
      <c r="H2314" s="12">
        <f>IF(AND(B2314="",D2314="",F2314=""),"",IF(NOT(ISNUMBER(B2314)),"Needs a date",IF(D2314="","Needs a client",IF(COUNTIF(Clients!$B$6:$B$105,D2314)=0,"Not on Clients",IF(AND(F2314="",INT(B2314)&lt;TODAY()),"Needs a status","")))))</f>
        <v/>
      </c>
      <c r="I2314" s="1">
        <f>IF(ISNUMBER(B2314),INT(B2314),0)</f>
        <v/>
      </c>
      <c r="J2314">
        <f>IF(ISNUMBER(B2314),YEAR(B2314)*100+MONTH(B2314),"")</f>
        <v/>
      </c>
      <c r="K2314">
        <f>IF(AND(H2314="",OR(F2314="Attended",F2314="No-show",AND(F2314="Late cancel",Settings!$C$9="Yes"))),1,0)</f>
        <v/>
      </c>
      <c r="L2314">
        <f>IF(AND(H2314="",F2314="Attended"),1,0)</f>
        <v/>
      </c>
      <c r="M2314">
        <f>IF(AND(H2314="",OR(F2314="No-show",F2314="Late cancel")),1,0)</f>
        <v/>
      </c>
      <c r="N2314">
        <f>IF(AND(H2314="",F2314="",D2314&lt;&gt;"",I2314&gt;=TODAY()),ROUND((I2314+IF(ISNUMBER(C2314),MOD(C2314,1),0))*1440,0)*10000+ROW(),"")</f>
        <v/>
      </c>
    </row>
    <row r="2315">
      <c r="A2315" s="1" t="n"/>
      <c r="B2315" s="17" t="n"/>
      <c r="C2315" s="18" t="n"/>
      <c r="D2315" s="19" t="n"/>
      <c r="E2315" s="20" t="n"/>
      <c r="F2315" s="20" t="n"/>
      <c r="G2315" s="21" t="n"/>
      <c r="H2315" s="12">
        <f>IF(AND(B2315="",D2315="",F2315=""),"",IF(NOT(ISNUMBER(B2315)),"Needs a date",IF(D2315="","Needs a client",IF(COUNTIF(Clients!$B$6:$B$105,D2315)=0,"Not on Clients",IF(AND(F2315="",INT(B2315)&lt;TODAY()),"Needs a status","")))))</f>
        <v/>
      </c>
      <c r="I2315" s="1">
        <f>IF(ISNUMBER(B2315),INT(B2315),0)</f>
        <v/>
      </c>
      <c r="J2315">
        <f>IF(ISNUMBER(B2315),YEAR(B2315)*100+MONTH(B2315),"")</f>
        <v/>
      </c>
      <c r="K2315">
        <f>IF(AND(H2315="",OR(F2315="Attended",F2315="No-show",AND(F2315="Late cancel",Settings!$C$9="Yes"))),1,0)</f>
        <v/>
      </c>
      <c r="L2315">
        <f>IF(AND(H2315="",F2315="Attended"),1,0)</f>
        <v/>
      </c>
      <c r="M2315">
        <f>IF(AND(H2315="",OR(F2315="No-show",F2315="Late cancel")),1,0)</f>
        <v/>
      </c>
      <c r="N2315">
        <f>IF(AND(H2315="",F2315="",D2315&lt;&gt;"",I2315&gt;=TODAY()),ROUND((I2315+IF(ISNUMBER(C2315),MOD(C2315,1),0))*1440,0)*10000+ROW(),"")</f>
        <v/>
      </c>
    </row>
    <row r="2316">
      <c r="A2316" s="1" t="n"/>
      <c r="B2316" s="17" t="n"/>
      <c r="C2316" s="18" t="n"/>
      <c r="D2316" s="19" t="n"/>
      <c r="E2316" s="20" t="n"/>
      <c r="F2316" s="20" t="n"/>
      <c r="G2316" s="21" t="n"/>
      <c r="H2316" s="12">
        <f>IF(AND(B2316="",D2316="",F2316=""),"",IF(NOT(ISNUMBER(B2316)),"Needs a date",IF(D2316="","Needs a client",IF(COUNTIF(Clients!$B$6:$B$105,D2316)=0,"Not on Clients",IF(AND(F2316="",INT(B2316)&lt;TODAY()),"Needs a status","")))))</f>
        <v/>
      </c>
      <c r="I2316" s="1">
        <f>IF(ISNUMBER(B2316),INT(B2316),0)</f>
        <v/>
      </c>
      <c r="J2316">
        <f>IF(ISNUMBER(B2316),YEAR(B2316)*100+MONTH(B2316),"")</f>
        <v/>
      </c>
      <c r="K2316">
        <f>IF(AND(H2316="",OR(F2316="Attended",F2316="No-show",AND(F2316="Late cancel",Settings!$C$9="Yes"))),1,0)</f>
        <v/>
      </c>
      <c r="L2316">
        <f>IF(AND(H2316="",F2316="Attended"),1,0)</f>
        <v/>
      </c>
      <c r="M2316">
        <f>IF(AND(H2316="",OR(F2316="No-show",F2316="Late cancel")),1,0)</f>
        <v/>
      </c>
      <c r="N2316">
        <f>IF(AND(H2316="",F2316="",D2316&lt;&gt;"",I2316&gt;=TODAY()),ROUND((I2316+IF(ISNUMBER(C2316),MOD(C2316,1),0))*1440,0)*10000+ROW(),"")</f>
        <v/>
      </c>
    </row>
    <row r="2317">
      <c r="A2317" s="1" t="n"/>
      <c r="B2317" s="17" t="n"/>
      <c r="C2317" s="18" t="n"/>
      <c r="D2317" s="19" t="n"/>
      <c r="E2317" s="20" t="n"/>
      <c r="F2317" s="20" t="n"/>
      <c r="G2317" s="21" t="n"/>
      <c r="H2317" s="12">
        <f>IF(AND(B2317="",D2317="",F2317=""),"",IF(NOT(ISNUMBER(B2317)),"Needs a date",IF(D2317="","Needs a client",IF(COUNTIF(Clients!$B$6:$B$105,D2317)=0,"Not on Clients",IF(AND(F2317="",INT(B2317)&lt;TODAY()),"Needs a status","")))))</f>
        <v/>
      </c>
      <c r="I2317" s="1">
        <f>IF(ISNUMBER(B2317),INT(B2317),0)</f>
        <v/>
      </c>
      <c r="J2317">
        <f>IF(ISNUMBER(B2317),YEAR(B2317)*100+MONTH(B2317),"")</f>
        <v/>
      </c>
      <c r="K2317">
        <f>IF(AND(H2317="",OR(F2317="Attended",F2317="No-show",AND(F2317="Late cancel",Settings!$C$9="Yes"))),1,0)</f>
        <v/>
      </c>
      <c r="L2317">
        <f>IF(AND(H2317="",F2317="Attended"),1,0)</f>
        <v/>
      </c>
      <c r="M2317">
        <f>IF(AND(H2317="",OR(F2317="No-show",F2317="Late cancel")),1,0)</f>
        <v/>
      </c>
      <c r="N2317">
        <f>IF(AND(H2317="",F2317="",D2317&lt;&gt;"",I2317&gt;=TODAY()),ROUND((I2317+IF(ISNUMBER(C2317),MOD(C2317,1),0))*1440,0)*10000+ROW(),"")</f>
        <v/>
      </c>
    </row>
    <row r="2318">
      <c r="A2318" s="1" t="n"/>
      <c r="B2318" s="17" t="n"/>
      <c r="C2318" s="18" t="n"/>
      <c r="D2318" s="19" t="n"/>
      <c r="E2318" s="20" t="n"/>
      <c r="F2318" s="20" t="n"/>
      <c r="G2318" s="21" t="n"/>
      <c r="H2318" s="12">
        <f>IF(AND(B2318="",D2318="",F2318=""),"",IF(NOT(ISNUMBER(B2318)),"Needs a date",IF(D2318="","Needs a client",IF(COUNTIF(Clients!$B$6:$B$105,D2318)=0,"Not on Clients",IF(AND(F2318="",INT(B2318)&lt;TODAY()),"Needs a status","")))))</f>
        <v/>
      </c>
      <c r="I2318" s="1">
        <f>IF(ISNUMBER(B2318),INT(B2318),0)</f>
        <v/>
      </c>
      <c r="J2318">
        <f>IF(ISNUMBER(B2318),YEAR(B2318)*100+MONTH(B2318),"")</f>
        <v/>
      </c>
      <c r="K2318">
        <f>IF(AND(H2318="",OR(F2318="Attended",F2318="No-show",AND(F2318="Late cancel",Settings!$C$9="Yes"))),1,0)</f>
        <v/>
      </c>
      <c r="L2318">
        <f>IF(AND(H2318="",F2318="Attended"),1,0)</f>
        <v/>
      </c>
      <c r="M2318">
        <f>IF(AND(H2318="",OR(F2318="No-show",F2318="Late cancel")),1,0)</f>
        <v/>
      </c>
      <c r="N2318">
        <f>IF(AND(H2318="",F2318="",D2318&lt;&gt;"",I2318&gt;=TODAY()),ROUND((I2318+IF(ISNUMBER(C2318),MOD(C2318,1),0))*1440,0)*10000+ROW(),"")</f>
        <v/>
      </c>
    </row>
    <row r="2319">
      <c r="A2319" s="1" t="n"/>
      <c r="B2319" s="17" t="n"/>
      <c r="C2319" s="18" t="n"/>
      <c r="D2319" s="19" t="n"/>
      <c r="E2319" s="20" t="n"/>
      <c r="F2319" s="20" t="n"/>
      <c r="G2319" s="21" t="n"/>
      <c r="H2319" s="12">
        <f>IF(AND(B2319="",D2319="",F2319=""),"",IF(NOT(ISNUMBER(B2319)),"Needs a date",IF(D2319="","Needs a client",IF(COUNTIF(Clients!$B$6:$B$105,D2319)=0,"Not on Clients",IF(AND(F2319="",INT(B2319)&lt;TODAY()),"Needs a status","")))))</f>
        <v/>
      </c>
      <c r="I2319" s="1">
        <f>IF(ISNUMBER(B2319),INT(B2319),0)</f>
        <v/>
      </c>
      <c r="J2319">
        <f>IF(ISNUMBER(B2319),YEAR(B2319)*100+MONTH(B2319),"")</f>
        <v/>
      </c>
      <c r="K2319">
        <f>IF(AND(H2319="",OR(F2319="Attended",F2319="No-show",AND(F2319="Late cancel",Settings!$C$9="Yes"))),1,0)</f>
        <v/>
      </c>
      <c r="L2319">
        <f>IF(AND(H2319="",F2319="Attended"),1,0)</f>
        <v/>
      </c>
      <c r="M2319">
        <f>IF(AND(H2319="",OR(F2319="No-show",F2319="Late cancel")),1,0)</f>
        <v/>
      </c>
      <c r="N2319">
        <f>IF(AND(H2319="",F2319="",D2319&lt;&gt;"",I2319&gt;=TODAY()),ROUND((I2319+IF(ISNUMBER(C2319),MOD(C2319,1),0))*1440,0)*10000+ROW(),"")</f>
        <v/>
      </c>
    </row>
    <row r="2320">
      <c r="A2320" s="1" t="n"/>
      <c r="B2320" s="17" t="n"/>
      <c r="C2320" s="18" t="n"/>
      <c r="D2320" s="19" t="n"/>
      <c r="E2320" s="20" t="n"/>
      <c r="F2320" s="20" t="n"/>
      <c r="G2320" s="21" t="n"/>
      <c r="H2320" s="12">
        <f>IF(AND(B2320="",D2320="",F2320=""),"",IF(NOT(ISNUMBER(B2320)),"Needs a date",IF(D2320="","Needs a client",IF(COUNTIF(Clients!$B$6:$B$105,D2320)=0,"Not on Clients",IF(AND(F2320="",INT(B2320)&lt;TODAY()),"Needs a status","")))))</f>
        <v/>
      </c>
      <c r="I2320" s="1">
        <f>IF(ISNUMBER(B2320),INT(B2320),0)</f>
        <v/>
      </c>
      <c r="J2320">
        <f>IF(ISNUMBER(B2320),YEAR(B2320)*100+MONTH(B2320),"")</f>
        <v/>
      </c>
      <c r="K2320">
        <f>IF(AND(H2320="",OR(F2320="Attended",F2320="No-show",AND(F2320="Late cancel",Settings!$C$9="Yes"))),1,0)</f>
        <v/>
      </c>
      <c r="L2320">
        <f>IF(AND(H2320="",F2320="Attended"),1,0)</f>
        <v/>
      </c>
      <c r="M2320">
        <f>IF(AND(H2320="",OR(F2320="No-show",F2320="Late cancel")),1,0)</f>
        <v/>
      </c>
      <c r="N2320">
        <f>IF(AND(H2320="",F2320="",D2320&lt;&gt;"",I2320&gt;=TODAY()),ROUND((I2320+IF(ISNUMBER(C2320),MOD(C2320,1),0))*1440,0)*10000+ROW(),"")</f>
        <v/>
      </c>
    </row>
    <row r="2321">
      <c r="A2321" s="1" t="n"/>
      <c r="B2321" s="17" t="n"/>
      <c r="C2321" s="18" t="n"/>
      <c r="D2321" s="19" t="n"/>
      <c r="E2321" s="20" t="n"/>
      <c r="F2321" s="20" t="n"/>
      <c r="G2321" s="21" t="n"/>
      <c r="H2321" s="12">
        <f>IF(AND(B2321="",D2321="",F2321=""),"",IF(NOT(ISNUMBER(B2321)),"Needs a date",IF(D2321="","Needs a client",IF(COUNTIF(Clients!$B$6:$B$105,D2321)=0,"Not on Clients",IF(AND(F2321="",INT(B2321)&lt;TODAY()),"Needs a status","")))))</f>
        <v/>
      </c>
      <c r="I2321" s="1">
        <f>IF(ISNUMBER(B2321),INT(B2321),0)</f>
        <v/>
      </c>
      <c r="J2321">
        <f>IF(ISNUMBER(B2321),YEAR(B2321)*100+MONTH(B2321),"")</f>
        <v/>
      </c>
      <c r="K2321">
        <f>IF(AND(H2321="",OR(F2321="Attended",F2321="No-show",AND(F2321="Late cancel",Settings!$C$9="Yes"))),1,0)</f>
        <v/>
      </c>
      <c r="L2321">
        <f>IF(AND(H2321="",F2321="Attended"),1,0)</f>
        <v/>
      </c>
      <c r="M2321">
        <f>IF(AND(H2321="",OR(F2321="No-show",F2321="Late cancel")),1,0)</f>
        <v/>
      </c>
      <c r="N2321">
        <f>IF(AND(H2321="",F2321="",D2321&lt;&gt;"",I2321&gt;=TODAY()),ROUND((I2321+IF(ISNUMBER(C2321),MOD(C2321,1),0))*1440,0)*10000+ROW(),"")</f>
        <v/>
      </c>
    </row>
    <row r="2322">
      <c r="A2322" s="1" t="n"/>
      <c r="B2322" s="17" t="n"/>
      <c r="C2322" s="18" t="n"/>
      <c r="D2322" s="19" t="n"/>
      <c r="E2322" s="20" t="n"/>
      <c r="F2322" s="20" t="n"/>
      <c r="G2322" s="21" t="n"/>
      <c r="H2322" s="12">
        <f>IF(AND(B2322="",D2322="",F2322=""),"",IF(NOT(ISNUMBER(B2322)),"Needs a date",IF(D2322="","Needs a client",IF(COUNTIF(Clients!$B$6:$B$105,D2322)=0,"Not on Clients",IF(AND(F2322="",INT(B2322)&lt;TODAY()),"Needs a status","")))))</f>
        <v/>
      </c>
      <c r="I2322" s="1">
        <f>IF(ISNUMBER(B2322),INT(B2322),0)</f>
        <v/>
      </c>
      <c r="J2322">
        <f>IF(ISNUMBER(B2322),YEAR(B2322)*100+MONTH(B2322),"")</f>
        <v/>
      </c>
      <c r="K2322">
        <f>IF(AND(H2322="",OR(F2322="Attended",F2322="No-show",AND(F2322="Late cancel",Settings!$C$9="Yes"))),1,0)</f>
        <v/>
      </c>
      <c r="L2322">
        <f>IF(AND(H2322="",F2322="Attended"),1,0)</f>
        <v/>
      </c>
      <c r="M2322">
        <f>IF(AND(H2322="",OR(F2322="No-show",F2322="Late cancel")),1,0)</f>
        <v/>
      </c>
      <c r="N2322">
        <f>IF(AND(H2322="",F2322="",D2322&lt;&gt;"",I2322&gt;=TODAY()),ROUND((I2322+IF(ISNUMBER(C2322),MOD(C2322,1),0))*1440,0)*10000+ROW(),"")</f>
        <v/>
      </c>
    </row>
    <row r="2323">
      <c r="A2323" s="1" t="n"/>
      <c r="B2323" s="17" t="n"/>
      <c r="C2323" s="18" t="n"/>
      <c r="D2323" s="19" t="n"/>
      <c r="E2323" s="20" t="n"/>
      <c r="F2323" s="20" t="n"/>
      <c r="G2323" s="21" t="n"/>
      <c r="H2323" s="12">
        <f>IF(AND(B2323="",D2323="",F2323=""),"",IF(NOT(ISNUMBER(B2323)),"Needs a date",IF(D2323="","Needs a client",IF(COUNTIF(Clients!$B$6:$B$105,D2323)=0,"Not on Clients",IF(AND(F2323="",INT(B2323)&lt;TODAY()),"Needs a status","")))))</f>
        <v/>
      </c>
      <c r="I2323" s="1">
        <f>IF(ISNUMBER(B2323),INT(B2323),0)</f>
        <v/>
      </c>
      <c r="J2323">
        <f>IF(ISNUMBER(B2323),YEAR(B2323)*100+MONTH(B2323),"")</f>
        <v/>
      </c>
      <c r="K2323">
        <f>IF(AND(H2323="",OR(F2323="Attended",F2323="No-show",AND(F2323="Late cancel",Settings!$C$9="Yes"))),1,0)</f>
        <v/>
      </c>
      <c r="L2323">
        <f>IF(AND(H2323="",F2323="Attended"),1,0)</f>
        <v/>
      </c>
      <c r="M2323">
        <f>IF(AND(H2323="",OR(F2323="No-show",F2323="Late cancel")),1,0)</f>
        <v/>
      </c>
      <c r="N2323">
        <f>IF(AND(H2323="",F2323="",D2323&lt;&gt;"",I2323&gt;=TODAY()),ROUND((I2323+IF(ISNUMBER(C2323),MOD(C2323,1),0))*1440,0)*10000+ROW(),"")</f>
        <v/>
      </c>
    </row>
    <row r="2324">
      <c r="A2324" s="1" t="n"/>
      <c r="B2324" s="17" t="n"/>
      <c r="C2324" s="18" t="n"/>
      <c r="D2324" s="19" t="n"/>
      <c r="E2324" s="20" t="n"/>
      <c r="F2324" s="20" t="n"/>
      <c r="G2324" s="21" t="n"/>
      <c r="H2324" s="12">
        <f>IF(AND(B2324="",D2324="",F2324=""),"",IF(NOT(ISNUMBER(B2324)),"Needs a date",IF(D2324="","Needs a client",IF(COUNTIF(Clients!$B$6:$B$105,D2324)=0,"Not on Clients",IF(AND(F2324="",INT(B2324)&lt;TODAY()),"Needs a status","")))))</f>
        <v/>
      </c>
      <c r="I2324" s="1">
        <f>IF(ISNUMBER(B2324),INT(B2324),0)</f>
        <v/>
      </c>
      <c r="J2324">
        <f>IF(ISNUMBER(B2324),YEAR(B2324)*100+MONTH(B2324),"")</f>
        <v/>
      </c>
      <c r="K2324">
        <f>IF(AND(H2324="",OR(F2324="Attended",F2324="No-show",AND(F2324="Late cancel",Settings!$C$9="Yes"))),1,0)</f>
        <v/>
      </c>
      <c r="L2324">
        <f>IF(AND(H2324="",F2324="Attended"),1,0)</f>
        <v/>
      </c>
      <c r="M2324">
        <f>IF(AND(H2324="",OR(F2324="No-show",F2324="Late cancel")),1,0)</f>
        <v/>
      </c>
      <c r="N2324">
        <f>IF(AND(H2324="",F2324="",D2324&lt;&gt;"",I2324&gt;=TODAY()),ROUND((I2324+IF(ISNUMBER(C2324),MOD(C2324,1),0))*1440,0)*10000+ROW(),"")</f>
        <v/>
      </c>
    </row>
    <row r="2325">
      <c r="A2325" s="1" t="n"/>
      <c r="B2325" s="17" t="n"/>
      <c r="C2325" s="18" t="n"/>
      <c r="D2325" s="19" t="n"/>
      <c r="E2325" s="20" t="n"/>
      <c r="F2325" s="20" t="n"/>
      <c r="G2325" s="21" t="n"/>
      <c r="H2325" s="12">
        <f>IF(AND(B2325="",D2325="",F2325=""),"",IF(NOT(ISNUMBER(B2325)),"Needs a date",IF(D2325="","Needs a client",IF(COUNTIF(Clients!$B$6:$B$105,D2325)=0,"Not on Clients",IF(AND(F2325="",INT(B2325)&lt;TODAY()),"Needs a status","")))))</f>
        <v/>
      </c>
      <c r="I2325" s="1">
        <f>IF(ISNUMBER(B2325),INT(B2325),0)</f>
        <v/>
      </c>
      <c r="J2325">
        <f>IF(ISNUMBER(B2325),YEAR(B2325)*100+MONTH(B2325),"")</f>
        <v/>
      </c>
      <c r="K2325">
        <f>IF(AND(H2325="",OR(F2325="Attended",F2325="No-show",AND(F2325="Late cancel",Settings!$C$9="Yes"))),1,0)</f>
        <v/>
      </c>
      <c r="L2325">
        <f>IF(AND(H2325="",F2325="Attended"),1,0)</f>
        <v/>
      </c>
      <c r="M2325">
        <f>IF(AND(H2325="",OR(F2325="No-show",F2325="Late cancel")),1,0)</f>
        <v/>
      </c>
      <c r="N2325">
        <f>IF(AND(H2325="",F2325="",D2325&lt;&gt;"",I2325&gt;=TODAY()),ROUND((I2325+IF(ISNUMBER(C2325),MOD(C2325,1),0))*1440,0)*10000+ROW(),"")</f>
        <v/>
      </c>
    </row>
    <row r="2326">
      <c r="A2326" s="1" t="n"/>
      <c r="B2326" s="17" t="n"/>
      <c r="C2326" s="18" t="n"/>
      <c r="D2326" s="19" t="n"/>
      <c r="E2326" s="20" t="n"/>
      <c r="F2326" s="20" t="n"/>
      <c r="G2326" s="21" t="n"/>
      <c r="H2326" s="12">
        <f>IF(AND(B2326="",D2326="",F2326=""),"",IF(NOT(ISNUMBER(B2326)),"Needs a date",IF(D2326="","Needs a client",IF(COUNTIF(Clients!$B$6:$B$105,D2326)=0,"Not on Clients",IF(AND(F2326="",INT(B2326)&lt;TODAY()),"Needs a status","")))))</f>
        <v/>
      </c>
      <c r="I2326" s="1">
        <f>IF(ISNUMBER(B2326),INT(B2326),0)</f>
        <v/>
      </c>
      <c r="J2326">
        <f>IF(ISNUMBER(B2326),YEAR(B2326)*100+MONTH(B2326),"")</f>
        <v/>
      </c>
      <c r="K2326">
        <f>IF(AND(H2326="",OR(F2326="Attended",F2326="No-show",AND(F2326="Late cancel",Settings!$C$9="Yes"))),1,0)</f>
        <v/>
      </c>
      <c r="L2326">
        <f>IF(AND(H2326="",F2326="Attended"),1,0)</f>
        <v/>
      </c>
      <c r="M2326">
        <f>IF(AND(H2326="",OR(F2326="No-show",F2326="Late cancel")),1,0)</f>
        <v/>
      </c>
      <c r="N2326">
        <f>IF(AND(H2326="",F2326="",D2326&lt;&gt;"",I2326&gt;=TODAY()),ROUND((I2326+IF(ISNUMBER(C2326),MOD(C2326,1),0))*1440,0)*10000+ROW(),"")</f>
        <v/>
      </c>
    </row>
    <row r="2327">
      <c r="A2327" s="1" t="n"/>
      <c r="B2327" s="17" t="n"/>
      <c r="C2327" s="18" t="n"/>
      <c r="D2327" s="19" t="n"/>
      <c r="E2327" s="20" t="n"/>
      <c r="F2327" s="20" t="n"/>
      <c r="G2327" s="21" t="n"/>
      <c r="H2327" s="12">
        <f>IF(AND(B2327="",D2327="",F2327=""),"",IF(NOT(ISNUMBER(B2327)),"Needs a date",IF(D2327="","Needs a client",IF(COUNTIF(Clients!$B$6:$B$105,D2327)=0,"Not on Clients",IF(AND(F2327="",INT(B2327)&lt;TODAY()),"Needs a status","")))))</f>
        <v/>
      </c>
      <c r="I2327" s="1">
        <f>IF(ISNUMBER(B2327),INT(B2327),0)</f>
        <v/>
      </c>
      <c r="J2327">
        <f>IF(ISNUMBER(B2327),YEAR(B2327)*100+MONTH(B2327),"")</f>
        <v/>
      </c>
      <c r="K2327">
        <f>IF(AND(H2327="",OR(F2327="Attended",F2327="No-show",AND(F2327="Late cancel",Settings!$C$9="Yes"))),1,0)</f>
        <v/>
      </c>
      <c r="L2327">
        <f>IF(AND(H2327="",F2327="Attended"),1,0)</f>
        <v/>
      </c>
      <c r="M2327">
        <f>IF(AND(H2327="",OR(F2327="No-show",F2327="Late cancel")),1,0)</f>
        <v/>
      </c>
      <c r="N2327">
        <f>IF(AND(H2327="",F2327="",D2327&lt;&gt;"",I2327&gt;=TODAY()),ROUND((I2327+IF(ISNUMBER(C2327),MOD(C2327,1),0))*1440,0)*10000+ROW(),"")</f>
        <v/>
      </c>
    </row>
    <row r="2328">
      <c r="A2328" s="1" t="n"/>
      <c r="B2328" s="17" t="n"/>
      <c r="C2328" s="18" t="n"/>
      <c r="D2328" s="19" t="n"/>
      <c r="E2328" s="20" t="n"/>
      <c r="F2328" s="20" t="n"/>
      <c r="G2328" s="21" t="n"/>
      <c r="H2328" s="12">
        <f>IF(AND(B2328="",D2328="",F2328=""),"",IF(NOT(ISNUMBER(B2328)),"Needs a date",IF(D2328="","Needs a client",IF(COUNTIF(Clients!$B$6:$B$105,D2328)=0,"Not on Clients",IF(AND(F2328="",INT(B2328)&lt;TODAY()),"Needs a status","")))))</f>
        <v/>
      </c>
      <c r="I2328" s="1">
        <f>IF(ISNUMBER(B2328),INT(B2328),0)</f>
        <v/>
      </c>
      <c r="J2328">
        <f>IF(ISNUMBER(B2328),YEAR(B2328)*100+MONTH(B2328),"")</f>
        <v/>
      </c>
      <c r="K2328">
        <f>IF(AND(H2328="",OR(F2328="Attended",F2328="No-show",AND(F2328="Late cancel",Settings!$C$9="Yes"))),1,0)</f>
        <v/>
      </c>
      <c r="L2328">
        <f>IF(AND(H2328="",F2328="Attended"),1,0)</f>
        <v/>
      </c>
      <c r="M2328">
        <f>IF(AND(H2328="",OR(F2328="No-show",F2328="Late cancel")),1,0)</f>
        <v/>
      </c>
      <c r="N2328">
        <f>IF(AND(H2328="",F2328="",D2328&lt;&gt;"",I2328&gt;=TODAY()),ROUND((I2328+IF(ISNUMBER(C2328),MOD(C2328,1),0))*1440,0)*10000+ROW(),"")</f>
        <v/>
      </c>
    </row>
    <row r="2329">
      <c r="A2329" s="1" t="n"/>
      <c r="B2329" s="17" t="n"/>
      <c r="C2329" s="18" t="n"/>
      <c r="D2329" s="19" t="n"/>
      <c r="E2329" s="20" t="n"/>
      <c r="F2329" s="20" t="n"/>
      <c r="G2329" s="21" t="n"/>
      <c r="H2329" s="12">
        <f>IF(AND(B2329="",D2329="",F2329=""),"",IF(NOT(ISNUMBER(B2329)),"Needs a date",IF(D2329="","Needs a client",IF(COUNTIF(Clients!$B$6:$B$105,D2329)=0,"Not on Clients",IF(AND(F2329="",INT(B2329)&lt;TODAY()),"Needs a status","")))))</f>
        <v/>
      </c>
      <c r="I2329" s="1">
        <f>IF(ISNUMBER(B2329),INT(B2329),0)</f>
        <v/>
      </c>
      <c r="J2329">
        <f>IF(ISNUMBER(B2329),YEAR(B2329)*100+MONTH(B2329),"")</f>
        <v/>
      </c>
      <c r="K2329">
        <f>IF(AND(H2329="",OR(F2329="Attended",F2329="No-show",AND(F2329="Late cancel",Settings!$C$9="Yes"))),1,0)</f>
        <v/>
      </c>
      <c r="L2329">
        <f>IF(AND(H2329="",F2329="Attended"),1,0)</f>
        <v/>
      </c>
      <c r="M2329">
        <f>IF(AND(H2329="",OR(F2329="No-show",F2329="Late cancel")),1,0)</f>
        <v/>
      </c>
      <c r="N2329">
        <f>IF(AND(H2329="",F2329="",D2329&lt;&gt;"",I2329&gt;=TODAY()),ROUND((I2329+IF(ISNUMBER(C2329),MOD(C2329,1),0))*1440,0)*10000+ROW(),"")</f>
        <v/>
      </c>
    </row>
    <row r="2330">
      <c r="A2330" s="1" t="n"/>
      <c r="B2330" s="17" t="n"/>
      <c r="C2330" s="18" t="n"/>
      <c r="D2330" s="19" t="n"/>
      <c r="E2330" s="20" t="n"/>
      <c r="F2330" s="20" t="n"/>
      <c r="G2330" s="21" t="n"/>
      <c r="H2330" s="12">
        <f>IF(AND(B2330="",D2330="",F2330=""),"",IF(NOT(ISNUMBER(B2330)),"Needs a date",IF(D2330="","Needs a client",IF(COUNTIF(Clients!$B$6:$B$105,D2330)=0,"Not on Clients",IF(AND(F2330="",INT(B2330)&lt;TODAY()),"Needs a status","")))))</f>
        <v/>
      </c>
      <c r="I2330" s="1">
        <f>IF(ISNUMBER(B2330),INT(B2330),0)</f>
        <v/>
      </c>
      <c r="J2330">
        <f>IF(ISNUMBER(B2330),YEAR(B2330)*100+MONTH(B2330),"")</f>
        <v/>
      </c>
      <c r="K2330">
        <f>IF(AND(H2330="",OR(F2330="Attended",F2330="No-show",AND(F2330="Late cancel",Settings!$C$9="Yes"))),1,0)</f>
        <v/>
      </c>
      <c r="L2330">
        <f>IF(AND(H2330="",F2330="Attended"),1,0)</f>
        <v/>
      </c>
      <c r="M2330">
        <f>IF(AND(H2330="",OR(F2330="No-show",F2330="Late cancel")),1,0)</f>
        <v/>
      </c>
      <c r="N2330">
        <f>IF(AND(H2330="",F2330="",D2330&lt;&gt;"",I2330&gt;=TODAY()),ROUND((I2330+IF(ISNUMBER(C2330),MOD(C2330,1),0))*1440,0)*10000+ROW(),"")</f>
        <v/>
      </c>
    </row>
    <row r="2331">
      <c r="A2331" s="1" t="n"/>
      <c r="B2331" s="17" t="n"/>
      <c r="C2331" s="18" t="n"/>
      <c r="D2331" s="19" t="n"/>
      <c r="E2331" s="20" t="n"/>
      <c r="F2331" s="20" t="n"/>
      <c r="G2331" s="21" t="n"/>
      <c r="H2331" s="12">
        <f>IF(AND(B2331="",D2331="",F2331=""),"",IF(NOT(ISNUMBER(B2331)),"Needs a date",IF(D2331="","Needs a client",IF(COUNTIF(Clients!$B$6:$B$105,D2331)=0,"Not on Clients",IF(AND(F2331="",INT(B2331)&lt;TODAY()),"Needs a status","")))))</f>
        <v/>
      </c>
      <c r="I2331" s="1">
        <f>IF(ISNUMBER(B2331),INT(B2331),0)</f>
        <v/>
      </c>
      <c r="J2331">
        <f>IF(ISNUMBER(B2331),YEAR(B2331)*100+MONTH(B2331),"")</f>
        <v/>
      </c>
      <c r="K2331">
        <f>IF(AND(H2331="",OR(F2331="Attended",F2331="No-show",AND(F2331="Late cancel",Settings!$C$9="Yes"))),1,0)</f>
        <v/>
      </c>
      <c r="L2331">
        <f>IF(AND(H2331="",F2331="Attended"),1,0)</f>
        <v/>
      </c>
      <c r="M2331">
        <f>IF(AND(H2331="",OR(F2331="No-show",F2331="Late cancel")),1,0)</f>
        <v/>
      </c>
      <c r="N2331">
        <f>IF(AND(H2331="",F2331="",D2331&lt;&gt;"",I2331&gt;=TODAY()),ROUND((I2331+IF(ISNUMBER(C2331),MOD(C2331,1),0))*1440,0)*10000+ROW(),"")</f>
        <v/>
      </c>
    </row>
    <row r="2332">
      <c r="A2332" s="1" t="n"/>
      <c r="B2332" s="17" t="n"/>
      <c r="C2332" s="18" t="n"/>
      <c r="D2332" s="19" t="n"/>
      <c r="E2332" s="20" t="n"/>
      <c r="F2332" s="20" t="n"/>
      <c r="G2332" s="21" t="n"/>
      <c r="H2332" s="12">
        <f>IF(AND(B2332="",D2332="",F2332=""),"",IF(NOT(ISNUMBER(B2332)),"Needs a date",IF(D2332="","Needs a client",IF(COUNTIF(Clients!$B$6:$B$105,D2332)=0,"Not on Clients",IF(AND(F2332="",INT(B2332)&lt;TODAY()),"Needs a status","")))))</f>
        <v/>
      </c>
      <c r="I2332" s="1">
        <f>IF(ISNUMBER(B2332),INT(B2332),0)</f>
        <v/>
      </c>
      <c r="J2332">
        <f>IF(ISNUMBER(B2332),YEAR(B2332)*100+MONTH(B2332),"")</f>
        <v/>
      </c>
      <c r="K2332">
        <f>IF(AND(H2332="",OR(F2332="Attended",F2332="No-show",AND(F2332="Late cancel",Settings!$C$9="Yes"))),1,0)</f>
        <v/>
      </c>
      <c r="L2332">
        <f>IF(AND(H2332="",F2332="Attended"),1,0)</f>
        <v/>
      </c>
      <c r="M2332">
        <f>IF(AND(H2332="",OR(F2332="No-show",F2332="Late cancel")),1,0)</f>
        <v/>
      </c>
      <c r="N2332">
        <f>IF(AND(H2332="",F2332="",D2332&lt;&gt;"",I2332&gt;=TODAY()),ROUND((I2332+IF(ISNUMBER(C2332),MOD(C2332,1),0))*1440,0)*10000+ROW(),"")</f>
        <v/>
      </c>
    </row>
    <row r="2333">
      <c r="A2333" s="1" t="n"/>
      <c r="B2333" s="17" t="n"/>
      <c r="C2333" s="18" t="n"/>
      <c r="D2333" s="19" t="n"/>
      <c r="E2333" s="20" t="n"/>
      <c r="F2333" s="20" t="n"/>
      <c r="G2333" s="21" t="n"/>
      <c r="H2333" s="12">
        <f>IF(AND(B2333="",D2333="",F2333=""),"",IF(NOT(ISNUMBER(B2333)),"Needs a date",IF(D2333="","Needs a client",IF(COUNTIF(Clients!$B$6:$B$105,D2333)=0,"Not on Clients",IF(AND(F2333="",INT(B2333)&lt;TODAY()),"Needs a status","")))))</f>
        <v/>
      </c>
      <c r="I2333" s="1">
        <f>IF(ISNUMBER(B2333),INT(B2333),0)</f>
        <v/>
      </c>
      <c r="J2333">
        <f>IF(ISNUMBER(B2333),YEAR(B2333)*100+MONTH(B2333),"")</f>
        <v/>
      </c>
      <c r="K2333">
        <f>IF(AND(H2333="",OR(F2333="Attended",F2333="No-show",AND(F2333="Late cancel",Settings!$C$9="Yes"))),1,0)</f>
        <v/>
      </c>
      <c r="L2333">
        <f>IF(AND(H2333="",F2333="Attended"),1,0)</f>
        <v/>
      </c>
      <c r="M2333">
        <f>IF(AND(H2333="",OR(F2333="No-show",F2333="Late cancel")),1,0)</f>
        <v/>
      </c>
      <c r="N2333">
        <f>IF(AND(H2333="",F2333="",D2333&lt;&gt;"",I2333&gt;=TODAY()),ROUND((I2333+IF(ISNUMBER(C2333),MOD(C2333,1),0))*1440,0)*10000+ROW(),"")</f>
        <v/>
      </c>
    </row>
    <row r="2334">
      <c r="A2334" s="1" t="n"/>
      <c r="B2334" s="17" t="n"/>
      <c r="C2334" s="18" t="n"/>
      <c r="D2334" s="19" t="n"/>
      <c r="E2334" s="20" t="n"/>
      <c r="F2334" s="20" t="n"/>
      <c r="G2334" s="21" t="n"/>
      <c r="H2334" s="12">
        <f>IF(AND(B2334="",D2334="",F2334=""),"",IF(NOT(ISNUMBER(B2334)),"Needs a date",IF(D2334="","Needs a client",IF(COUNTIF(Clients!$B$6:$B$105,D2334)=0,"Not on Clients",IF(AND(F2334="",INT(B2334)&lt;TODAY()),"Needs a status","")))))</f>
        <v/>
      </c>
      <c r="I2334" s="1">
        <f>IF(ISNUMBER(B2334),INT(B2334),0)</f>
        <v/>
      </c>
      <c r="J2334">
        <f>IF(ISNUMBER(B2334),YEAR(B2334)*100+MONTH(B2334),"")</f>
        <v/>
      </c>
      <c r="K2334">
        <f>IF(AND(H2334="",OR(F2334="Attended",F2334="No-show",AND(F2334="Late cancel",Settings!$C$9="Yes"))),1,0)</f>
        <v/>
      </c>
      <c r="L2334">
        <f>IF(AND(H2334="",F2334="Attended"),1,0)</f>
        <v/>
      </c>
      <c r="M2334">
        <f>IF(AND(H2334="",OR(F2334="No-show",F2334="Late cancel")),1,0)</f>
        <v/>
      </c>
      <c r="N2334">
        <f>IF(AND(H2334="",F2334="",D2334&lt;&gt;"",I2334&gt;=TODAY()),ROUND((I2334+IF(ISNUMBER(C2334),MOD(C2334,1),0))*1440,0)*10000+ROW(),"")</f>
        <v/>
      </c>
    </row>
    <row r="2335">
      <c r="A2335" s="1" t="n"/>
      <c r="B2335" s="17" t="n"/>
      <c r="C2335" s="18" t="n"/>
      <c r="D2335" s="19" t="n"/>
      <c r="E2335" s="20" t="n"/>
      <c r="F2335" s="20" t="n"/>
      <c r="G2335" s="21" t="n"/>
      <c r="H2335" s="12">
        <f>IF(AND(B2335="",D2335="",F2335=""),"",IF(NOT(ISNUMBER(B2335)),"Needs a date",IF(D2335="","Needs a client",IF(COUNTIF(Clients!$B$6:$B$105,D2335)=0,"Not on Clients",IF(AND(F2335="",INT(B2335)&lt;TODAY()),"Needs a status","")))))</f>
        <v/>
      </c>
      <c r="I2335" s="1">
        <f>IF(ISNUMBER(B2335),INT(B2335),0)</f>
        <v/>
      </c>
      <c r="J2335">
        <f>IF(ISNUMBER(B2335),YEAR(B2335)*100+MONTH(B2335),"")</f>
        <v/>
      </c>
      <c r="K2335">
        <f>IF(AND(H2335="",OR(F2335="Attended",F2335="No-show",AND(F2335="Late cancel",Settings!$C$9="Yes"))),1,0)</f>
        <v/>
      </c>
      <c r="L2335">
        <f>IF(AND(H2335="",F2335="Attended"),1,0)</f>
        <v/>
      </c>
      <c r="M2335">
        <f>IF(AND(H2335="",OR(F2335="No-show",F2335="Late cancel")),1,0)</f>
        <v/>
      </c>
      <c r="N2335">
        <f>IF(AND(H2335="",F2335="",D2335&lt;&gt;"",I2335&gt;=TODAY()),ROUND((I2335+IF(ISNUMBER(C2335),MOD(C2335,1),0))*1440,0)*10000+ROW(),"")</f>
        <v/>
      </c>
    </row>
    <row r="2336">
      <c r="A2336" s="1" t="n"/>
      <c r="B2336" s="17" t="n"/>
      <c r="C2336" s="18" t="n"/>
      <c r="D2336" s="19" t="n"/>
      <c r="E2336" s="20" t="n"/>
      <c r="F2336" s="20" t="n"/>
      <c r="G2336" s="21" t="n"/>
      <c r="H2336" s="12">
        <f>IF(AND(B2336="",D2336="",F2336=""),"",IF(NOT(ISNUMBER(B2336)),"Needs a date",IF(D2336="","Needs a client",IF(COUNTIF(Clients!$B$6:$B$105,D2336)=0,"Not on Clients",IF(AND(F2336="",INT(B2336)&lt;TODAY()),"Needs a status","")))))</f>
        <v/>
      </c>
      <c r="I2336" s="1">
        <f>IF(ISNUMBER(B2336),INT(B2336),0)</f>
        <v/>
      </c>
      <c r="J2336">
        <f>IF(ISNUMBER(B2336),YEAR(B2336)*100+MONTH(B2336),"")</f>
        <v/>
      </c>
      <c r="K2336">
        <f>IF(AND(H2336="",OR(F2336="Attended",F2336="No-show",AND(F2336="Late cancel",Settings!$C$9="Yes"))),1,0)</f>
        <v/>
      </c>
      <c r="L2336">
        <f>IF(AND(H2336="",F2336="Attended"),1,0)</f>
        <v/>
      </c>
      <c r="M2336">
        <f>IF(AND(H2336="",OR(F2336="No-show",F2336="Late cancel")),1,0)</f>
        <v/>
      </c>
      <c r="N2336">
        <f>IF(AND(H2336="",F2336="",D2336&lt;&gt;"",I2336&gt;=TODAY()),ROUND((I2336+IF(ISNUMBER(C2336),MOD(C2336,1),0))*1440,0)*10000+ROW(),"")</f>
        <v/>
      </c>
    </row>
    <row r="2337">
      <c r="A2337" s="1" t="n"/>
      <c r="B2337" s="17" t="n"/>
      <c r="C2337" s="18" t="n"/>
      <c r="D2337" s="19" t="n"/>
      <c r="E2337" s="20" t="n"/>
      <c r="F2337" s="20" t="n"/>
      <c r="G2337" s="21" t="n"/>
      <c r="H2337" s="12">
        <f>IF(AND(B2337="",D2337="",F2337=""),"",IF(NOT(ISNUMBER(B2337)),"Needs a date",IF(D2337="","Needs a client",IF(COUNTIF(Clients!$B$6:$B$105,D2337)=0,"Not on Clients",IF(AND(F2337="",INT(B2337)&lt;TODAY()),"Needs a status","")))))</f>
        <v/>
      </c>
      <c r="I2337" s="1">
        <f>IF(ISNUMBER(B2337),INT(B2337),0)</f>
        <v/>
      </c>
      <c r="J2337">
        <f>IF(ISNUMBER(B2337),YEAR(B2337)*100+MONTH(B2337),"")</f>
        <v/>
      </c>
      <c r="K2337">
        <f>IF(AND(H2337="",OR(F2337="Attended",F2337="No-show",AND(F2337="Late cancel",Settings!$C$9="Yes"))),1,0)</f>
        <v/>
      </c>
      <c r="L2337">
        <f>IF(AND(H2337="",F2337="Attended"),1,0)</f>
        <v/>
      </c>
      <c r="M2337">
        <f>IF(AND(H2337="",OR(F2337="No-show",F2337="Late cancel")),1,0)</f>
        <v/>
      </c>
      <c r="N2337">
        <f>IF(AND(H2337="",F2337="",D2337&lt;&gt;"",I2337&gt;=TODAY()),ROUND((I2337+IF(ISNUMBER(C2337),MOD(C2337,1),0))*1440,0)*10000+ROW(),"")</f>
        <v/>
      </c>
    </row>
    <row r="2338">
      <c r="A2338" s="1" t="n"/>
      <c r="B2338" s="17" t="n"/>
      <c r="C2338" s="18" t="n"/>
      <c r="D2338" s="19" t="n"/>
      <c r="E2338" s="20" t="n"/>
      <c r="F2338" s="20" t="n"/>
      <c r="G2338" s="21" t="n"/>
      <c r="H2338" s="12">
        <f>IF(AND(B2338="",D2338="",F2338=""),"",IF(NOT(ISNUMBER(B2338)),"Needs a date",IF(D2338="","Needs a client",IF(COUNTIF(Clients!$B$6:$B$105,D2338)=0,"Not on Clients",IF(AND(F2338="",INT(B2338)&lt;TODAY()),"Needs a status","")))))</f>
        <v/>
      </c>
      <c r="I2338" s="1">
        <f>IF(ISNUMBER(B2338),INT(B2338),0)</f>
        <v/>
      </c>
      <c r="J2338">
        <f>IF(ISNUMBER(B2338),YEAR(B2338)*100+MONTH(B2338),"")</f>
        <v/>
      </c>
      <c r="K2338">
        <f>IF(AND(H2338="",OR(F2338="Attended",F2338="No-show",AND(F2338="Late cancel",Settings!$C$9="Yes"))),1,0)</f>
        <v/>
      </c>
      <c r="L2338">
        <f>IF(AND(H2338="",F2338="Attended"),1,0)</f>
        <v/>
      </c>
      <c r="M2338">
        <f>IF(AND(H2338="",OR(F2338="No-show",F2338="Late cancel")),1,0)</f>
        <v/>
      </c>
      <c r="N2338">
        <f>IF(AND(H2338="",F2338="",D2338&lt;&gt;"",I2338&gt;=TODAY()),ROUND((I2338+IF(ISNUMBER(C2338),MOD(C2338,1),0))*1440,0)*10000+ROW(),"")</f>
        <v/>
      </c>
    </row>
    <row r="2339">
      <c r="A2339" s="1" t="n"/>
      <c r="B2339" s="17" t="n"/>
      <c r="C2339" s="18" t="n"/>
      <c r="D2339" s="19" t="n"/>
      <c r="E2339" s="20" t="n"/>
      <c r="F2339" s="20" t="n"/>
      <c r="G2339" s="21" t="n"/>
      <c r="H2339" s="12">
        <f>IF(AND(B2339="",D2339="",F2339=""),"",IF(NOT(ISNUMBER(B2339)),"Needs a date",IF(D2339="","Needs a client",IF(COUNTIF(Clients!$B$6:$B$105,D2339)=0,"Not on Clients",IF(AND(F2339="",INT(B2339)&lt;TODAY()),"Needs a status","")))))</f>
        <v/>
      </c>
      <c r="I2339" s="1">
        <f>IF(ISNUMBER(B2339),INT(B2339),0)</f>
        <v/>
      </c>
      <c r="J2339">
        <f>IF(ISNUMBER(B2339),YEAR(B2339)*100+MONTH(B2339),"")</f>
        <v/>
      </c>
      <c r="K2339">
        <f>IF(AND(H2339="",OR(F2339="Attended",F2339="No-show",AND(F2339="Late cancel",Settings!$C$9="Yes"))),1,0)</f>
        <v/>
      </c>
      <c r="L2339">
        <f>IF(AND(H2339="",F2339="Attended"),1,0)</f>
        <v/>
      </c>
      <c r="M2339">
        <f>IF(AND(H2339="",OR(F2339="No-show",F2339="Late cancel")),1,0)</f>
        <v/>
      </c>
      <c r="N2339">
        <f>IF(AND(H2339="",F2339="",D2339&lt;&gt;"",I2339&gt;=TODAY()),ROUND((I2339+IF(ISNUMBER(C2339),MOD(C2339,1),0))*1440,0)*10000+ROW(),"")</f>
        <v/>
      </c>
    </row>
    <row r="2340">
      <c r="A2340" s="1" t="n"/>
      <c r="B2340" s="17" t="n"/>
      <c r="C2340" s="18" t="n"/>
      <c r="D2340" s="19" t="n"/>
      <c r="E2340" s="20" t="n"/>
      <c r="F2340" s="20" t="n"/>
      <c r="G2340" s="21" t="n"/>
      <c r="H2340" s="12">
        <f>IF(AND(B2340="",D2340="",F2340=""),"",IF(NOT(ISNUMBER(B2340)),"Needs a date",IF(D2340="","Needs a client",IF(COUNTIF(Clients!$B$6:$B$105,D2340)=0,"Not on Clients",IF(AND(F2340="",INT(B2340)&lt;TODAY()),"Needs a status","")))))</f>
        <v/>
      </c>
      <c r="I2340" s="1">
        <f>IF(ISNUMBER(B2340),INT(B2340),0)</f>
        <v/>
      </c>
      <c r="J2340">
        <f>IF(ISNUMBER(B2340),YEAR(B2340)*100+MONTH(B2340),"")</f>
        <v/>
      </c>
      <c r="K2340">
        <f>IF(AND(H2340="",OR(F2340="Attended",F2340="No-show",AND(F2340="Late cancel",Settings!$C$9="Yes"))),1,0)</f>
        <v/>
      </c>
      <c r="L2340">
        <f>IF(AND(H2340="",F2340="Attended"),1,0)</f>
        <v/>
      </c>
      <c r="M2340">
        <f>IF(AND(H2340="",OR(F2340="No-show",F2340="Late cancel")),1,0)</f>
        <v/>
      </c>
      <c r="N2340">
        <f>IF(AND(H2340="",F2340="",D2340&lt;&gt;"",I2340&gt;=TODAY()),ROUND((I2340+IF(ISNUMBER(C2340),MOD(C2340,1),0))*1440,0)*10000+ROW(),"")</f>
        <v/>
      </c>
    </row>
    <row r="2341">
      <c r="A2341" s="1" t="n"/>
      <c r="B2341" s="17" t="n"/>
      <c r="C2341" s="18" t="n"/>
      <c r="D2341" s="19" t="n"/>
      <c r="E2341" s="20" t="n"/>
      <c r="F2341" s="20" t="n"/>
      <c r="G2341" s="21" t="n"/>
      <c r="H2341" s="12">
        <f>IF(AND(B2341="",D2341="",F2341=""),"",IF(NOT(ISNUMBER(B2341)),"Needs a date",IF(D2341="","Needs a client",IF(COUNTIF(Clients!$B$6:$B$105,D2341)=0,"Not on Clients",IF(AND(F2341="",INT(B2341)&lt;TODAY()),"Needs a status","")))))</f>
        <v/>
      </c>
      <c r="I2341" s="1">
        <f>IF(ISNUMBER(B2341),INT(B2341),0)</f>
        <v/>
      </c>
      <c r="J2341">
        <f>IF(ISNUMBER(B2341),YEAR(B2341)*100+MONTH(B2341),"")</f>
        <v/>
      </c>
      <c r="K2341">
        <f>IF(AND(H2341="",OR(F2341="Attended",F2341="No-show",AND(F2341="Late cancel",Settings!$C$9="Yes"))),1,0)</f>
        <v/>
      </c>
      <c r="L2341">
        <f>IF(AND(H2341="",F2341="Attended"),1,0)</f>
        <v/>
      </c>
      <c r="M2341">
        <f>IF(AND(H2341="",OR(F2341="No-show",F2341="Late cancel")),1,0)</f>
        <v/>
      </c>
      <c r="N2341">
        <f>IF(AND(H2341="",F2341="",D2341&lt;&gt;"",I2341&gt;=TODAY()),ROUND((I2341+IF(ISNUMBER(C2341),MOD(C2341,1),0))*1440,0)*10000+ROW(),"")</f>
        <v/>
      </c>
    </row>
    <row r="2342">
      <c r="A2342" s="1" t="n"/>
      <c r="B2342" s="17" t="n"/>
      <c r="C2342" s="18" t="n"/>
      <c r="D2342" s="19" t="n"/>
      <c r="E2342" s="20" t="n"/>
      <c r="F2342" s="20" t="n"/>
      <c r="G2342" s="21" t="n"/>
      <c r="H2342" s="12">
        <f>IF(AND(B2342="",D2342="",F2342=""),"",IF(NOT(ISNUMBER(B2342)),"Needs a date",IF(D2342="","Needs a client",IF(COUNTIF(Clients!$B$6:$B$105,D2342)=0,"Not on Clients",IF(AND(F2342="",INT(B2342)&lt;TODAY()),"Needs a status","")))))</f>
        <v/>
      </c>
      <c r="I2342" s="1">
        <f>IF(ISNUMBER(B2342),INT(B2342),0)</f>
        <v/>
      </c>
      <c r="J2342">
        <f>IF(ISNUMBER(B2342),YEAR(B2342)*100+MONTH(B2342),"")</f>
        <v/>
      </c>
      <c r="K2342">
        <f>IF(AND(H2342="",OR(F2342="Attended",F2342="No-show",AND(F2342="Late cancel",Settings!$C$9="Yes"))),1,0)</f>
        <v/>
      </c>
      <c r="L2342">
        <f>IF(AND(H2342="",F2342="Attended"),1,0)</f>
        <v/>
      </c>
      <c r="M2342">
        <f>IF(AND(H2342="",OR(F2342="No-show",F2342="Late cancel")),1,0)</f>
        <v/>
      </c>
      <c r="N2342">
        <f>IF(AND(H2342="",F2342="",D2342&lt;&gt;"",I2342&gt;=TODAY()),ROUND((I2342+IF(ISNUMBER(C2342),MOD(C2342,1),0))*1440,0)*10000+ROW(),"")</f>
        <v/>
      </c>
    </row>
    <row r="2343">
      <c r="A2343" s="1" t="n"/>
      <c r="B2343" s="17" t="n"/>
      <c r="C2343" s="18" t="n"/>
      <c r="D2343" s="19" t="n"/>
      <c r="E2343" s="20" t="n"/>
      <c r="F2343" s="20" t="n"/>
      <c r="G2343" s="21" t="n"/>
      <c r="H2343" s="12">
        <f>IF(AND(B2343="",D2343="",F2343=""),"",IF(NOT(ISNUMBER(B2343)),"Needs a date",IF(D2343="","Needs a client",IF(COUNTIF(Clients!$B$6:$B$105,D2343)=0,"Not on Clients",IF(AND(F2343="",INT(B2343)&lt;TODAY()),"Needs a status","")))))</f>
        <v/>
      </c>
      <c r="I2343" s="1">
        <f>IF(ISNUMBER(B2343),INT(B2343),0)</f>
        <v/>
      </c>
      <c r="J2343">
        <f>IF(ISNUMBER(B2343),YEAR(B2343)*100+MONTH(B2343),"")</f>
        <v/>
      </c>
      <c r="K2343">
        <f>IF(AND(H2343="",OR(F2343="Attended",F2343="No-show",AND(F2343="Late cancel",Settings!$C$9="Yes"))),1,0)</f>
        <v/>
      </c>
      <c r="L2343">
        <f>IF(AND(H2343="",F2343="Attended"),1,0)</f>
        <v/>
      </c>
      <c r="M2343">
        <f>IF(AND(H2343="",OR(F2343="No-show",F2343="Late cancel")),1,0)</f>
        <v/>
      </c>
      <c r="N2343">
        <f>IF(AND(H2343="",F2343="",D2343&lt;&gt;"",I2343&gt;=TODAY()),ROUND((I2343+IF(ISNUMBER(C2343),MOD(C2343,1),0))*1440,0)*10000+ROW(),"")</f>
        <v/>
      </c>
    </row>
    <row r="2344">
      <c r="A2344" s="1" t="n"/>
      <c r="B2344" s="17" t="n"/>
      <c r="C2344" s="18" t="n"/>
      <c r="D2344" s="19" t="n"/>
      <c r="E2344" s="20" t="n"/>
      <c r="F2344" s="20" t="n"/>
      <c r="G2344" s="21" t="n"/>
      <c r="H2344" s="12">
        <f>IF(AND(B2344="",D2344="",F2344=""),"",IF(NOT(ISNUMBER(B2344)),"Needs a date",IF(D2344="","Needs a client",IF(COUNTIF(Clients!$B$6:$B$105,D2344)=0,"Not on Clients",IF(AND(F2344="",INT(B2344)&lt;TODAY()),"Needs a status","")))))</f>
        <v/>
      </c>
      <c r="I2344" s="1">
        <f>IF(ISNUMBER(B2344),INT(B2344),0)</f>
        <v/>
      </c>
      <c r="J2344">
        <f>IF(ISNUMBER(B2344),YEAR(B2344)*100+MONTH(B2344),"")</f>
        <v/>
      </c>
      <c r="K2344">
        <f>IF(AND(H2344="",OR(F2344="Attended",F2344="No-show",AND(F2344="Late cancel",Settings!$C$9="Yes"))),1,0)</f>
        <v/>
      </c>
      <c r="L2344">
        <f>IF(AND(H2344="",F2344="Attended"),1,0)</f>
        <v/>
      </c>
      <c r="M2344">
        <f>IF(AND(H2344="",OR(F2344="No-show",F2344="Late cancel")),1,0)</f>
        <v/>
      </c>
      <c r="N2344">
        <f>IF(AND(H2344="",F2344="",D2344&lt;&gt;"",I2344&gt;=TODAY()),ROUND((I2344+IF(ISNUMBER(C2344),MOD(C2344,1),0))*1440,0)*10000+ROW(),"")</f>
        <v/>
      </c>
    </row>
    <row r="2345">
      <c r="A2345" s="1" t="n"/>
      <c r="B2345" s="17" t="n"/>
      <c r="C2345" s="18" t="n"/>
      <c r="D2345" s="19" t="n"/>
      <c r="E2345" s="20" t="n"/>
      <c r="F2345" s="20" t="n"/>
      <c r="G2345" s="21" t="n"/>
      <c r="H2345" s="12">
        <f>IF(AND(B2345="",D2345="",F2345=""),"",IF(NOT(ISNUMBER(B2345)),"Needs a date",IF(D2345="","Needs a client",IF(COUNTIF(Clients!$B$6:$B$105,D2345)=0,"Not on Clients",IF(AND(F2345="",INT(B2345)&lt;TODAY()),"Needs a status","")))))</f>
        <v/>
      </c>
      <c r="I2345" s="1">
        <f>IF(ISNUMBER(B2345),INT(B2345),0)</f>
        <v/>
      </c>
      <c r="J2345">
        <f>IF(ISNUMBER(B2345),YEAR(B2345)*100+MONTH(B2345),"")</f>
        <v/>
      </c>
      <c r="K2345">
        <f>IF(AND(H2345="",OR(F2345="Attended",F2345="No-show",AND(F2345="Late cancel",Settings!$C$9="Yes"))),1,0)</f>
        <v/>
      </c>
      <c r="L2345">
        <f>IF(AND(H2345="",F2345="Attended"),1,0)</f>
        <v/>
      </c>
      <c r="M2345">
        <f>IF(AND(H2345="",OR(F2345="No-show",F2345="Late cancel")),1,0)</f>
        <v/>
      </c>
      <c r="N2345">
        <f>IF(AND(H2345="",F2345="",D2345&lt;&gt;"",I2345&gt;=TODAY()),ROUND((I2345+IF(ISNUMBER(C2345),MOD(C2345,1),0))*1440,0)*10000+ROW(),"")</f>
        <v/>
      </c>
    </row>
    <row r="2346">
      <c r="A2346" s="1" t="n"/>
      <c r="B2346" s="17" t="n"/>
      <c r="C2346" s="18" t="n"/>
      <c r="D2346" s="19" t="n"/>
      <c r="E2346" s="20" t="n"/>
      <c r="F2346" s="20" t="n"/>
      <c r="G2346" s="21" t="n"/>
      <c r="H2346" s="12">
        <f>IF(AND(B2346="",D2346="",F2346=""),"",IF(NOT(ISNUMBER(B2346)),"Needs a date",IF(D2346="","Needs a client",IF(COUNTIF(Clients!$B$6:$B$105,D2346)=0,"Not on Clients",IF(AND(F2346="",INT(B2346)&lt;TODAY()),"Needs a status","")))))</f>
        <v/>
      </c>
      <c r="I2346" s="1">
        <f>IF(ISNUMBER(B2346),INT(B2346),0)</f>
        <v/>
      </c>
      <c r="J2346">
        <f>IF(ISNUMBER(B2346),YEAR(B2346)*100+MONTH(B2346),"")</f>
        <v/>
      </c>
      <c r="K2346">
        <f>IF(AND(H2346="",OR(F2346="Attended",F2346="No-show",AND(F2346="Late cancel",Settings!$C$9="Yes"))),1,0)</f>
        <v/>
      </c>
      <c r="L2346">
        <f>IF(AND(H2346="",F2346="Attended"),1,0)</f>
        <v/>
      </c>
      <c r="M2346">
        <f>IF(AND(H2346="",OR(F2346="No-show",F2346="Late cancel")),1,0)</f>
        <v/>
      </c>
      <c r="N2346">
        <f>IF(AND(H2346="",F2346="",D2346&lt;&gt;"",I2346&gt;=TODAY()),ROUND((I2346+IF(ISNUMBER(C2346),MOD(C2346,1),0))*1440,0)*10000+ROW(),"")</f>
        <v/>
      </c>
    </row>
    <row r="2347">
      <c r="A2347" s="1" t="n"/>
      <c r="B2347" s="17" t="n"/>
      <c r="C2347" s="18" t="n"/>
      <c r="D2347" s="19" t="n"/>
      <c r="E2347" s="20" t="n"/>
      <c r="F2347" s="20" t="n"/>
      <c r="G2347" s="21" t="n"/>
      <c r="H2347" s="12">
        <f>IF(AND(B2347="",D2347="",F2347=""),"",IF(NOT(ISNUMBER(B2347)),"Needs a date",IF(D2347="","Needs a client",IF(COUNTIF(Clients!$B$6:$B$105,D2347)=0,"Not on Clients",IF(AND(F2347="",INT(B2347)&lt;TODAY()),"Needs a status","")))))</f>
        <v/>
      </c>
      <c r="I2347" s="1">
        <f>IF(ISNUMBER(B2347),INT(B2347),0)</f>
        <v/>
      </c>
      <c r="J2347">
        <f>IF(ISNUMBER(B2347),YEAR(B2347)*100+MONTH(B2347),"")</f>
        <v/>
      </c>
      <c r="K2347">
        <f>IF(AND(H2347="",OR(F2347="Attended",F2347="No-show",AND(F2347="Late cancel",Settings!$C$9="Yes"))),1,0)</f>
        <v/>
      </c>
      <c r="L2347">
        <f>IF(AND(H2347="",F2347="Attended"),1,0)</f>
        <v/>
      </c>
      <c r="M2347">
        <f>IF(AND(H2347="",OR(F2347="No-show",F2347="Late cancel")),1,0)</f>
        <v/>
      </c>
      <c r="N2347">
        <f>IF(AND(H2347="",F2347="",D2347&lt;&gt;"",I2347&gt;=TODAY()),ROUND((I2347+IF(ISNUMBER(C2347),MOD(C2347,1),0))*1440,0)*10000+ROW(),"")</f>
        <v/>
      </c>
    </row>
    <row r="2348">
      <c r="A2348" s="1" t="n"/>
      <c r="B2348" s="17" t="n"/>
      <c r="C2348" s="18" t="n"/>
      <c r="D2348" s="19" t="n"/>
      <c r="E2348" s="20" t="n"/>
      <c r="F2348" s="20" t="n"/>
      <c r="G2348" s="21" t="n"/>
      <c r="H2348" s="12">
        <f>IF(AND(B2348="",D2348="",F2348=""),"",IF(NOT(ISNUMBER(B2348)),"Needs a date",IF(D2348="","Needs a client",IF(COUNTIF(Clients!$B$6:$B$105,D2348)=0,"Not on Clients",IF(AND(F2348="",INT(B2348)&lt;TODAY()),"Needs a status","")))))</f>
        <v/>
      </c>
      <c r="I2348" s="1">
        <f>IF(ISNUMBER(B2348),INT(B2348),0)</f>
        <v/>
      </c>
      <c r="J2348">
        <f>IF(ISNUMBER(B2348),YEAR(B2348)*100+MONTH(B2348),"")</f>
        <v/>
      </c>
      <c r="K2348">
        <f>IF(AND(H2348="",OR(F2348="Attended",F2348="No-show",AND(F2348="Late cancel",Settings!$C$9="Yes"))),1,0)</f>
        <v/>
      </c>
      <c r="L2348">
        <f>IF(AND(H2348="",F2348="Attended"),1,0)</f>
        <v/>
      </c>
      <c r="M2348">
        <f>IF(AND(H2348="",OR(F2348="No-show",F2348="Late cancel")),1,0)</f>
        <v/>
      </c>
      <c r="N2348">
        <f>IF(AND(H2348="",F2348="",D2348&lt;&gt;"",I2348&gt;=TODAY()),ROUND((I2348+IF(ISNUMBER(C2348),MOD(C2348,1),0))*1440,0)*10000+ROW(),"")</f>
        <v/>
      </c>
    </row>
    <row r="2349">
      <c r="A2349" s="1" t="n"/>
      <c r="B2349" s="17" t="n"/>
      <c r="C2349" s="18" t="n"/>
      <c r="D2349" s="19" t="n"/>
      <c r="E2349" s="20" t="n"/>
      <c r="F2349" s="20" t="n"/>
      <c r="G2349" s="21" t="n"/>
      <c r="H2349" s="12">
        <f>IF(AND(B2349="",D2349="",F2349=""),"",IF(NOT(ISNUMBER(B2349)),"Needs a date",IF(D2349="","Needs a client",IF(COUNTIF(Clients!$B$6:$B$105,D2349)=0,"Not on Clients",IF(AND(F2349="",INT(B2349)&lt;TODAY()),"Needs a status","")))))</f>
        <v/>
      </c>
      <c r="I2349" s="1">
        <f>IF(ISNUMBER(B2349),INT(B2349),0)</f>
        <v/>
      </c>
      <c r="J2349">
        <f>IF(ISNUMBER(B2349),YEAR(B2349)*100+MONTH(B2349),"")</f>
        <v/>
      </c>
      <c r="K2349">
        <f>IF(AND(H2349="",OR(F2349="Attended",F2349="No-show",AND(F2349="Late cancel",Settings!$C$9="Yes"))),1,0)</f>
        <v/>
      </c>
      <c r="L2349">
        <f>IF(AND(H2349="",F2349="Attended"),1,0)</f>
        <v/>
      </c>
      <c r="M2349">
        <f>IF(AND(H2349="",OR(F2349="No-show",F2349="Late cancel")),1,0)</f>
        <v/>
      </c>
      <c r="N2349">
        <f>IF(AND(H2349="",F2349="",D2349&lt;&gt;"",I2349&gt;=TODAY()),ROUND((I2349+IF(ISNUMBER(C2349),MOD(C2349,1),0))*1440,0)*10000+ROW(),"")</f>
        <v/>
      </c>
    </row>
    <row r="2350">
      <c r="A2350" s="1" t="n"/>
      <c r="B2350" s="17" t="n"/>
      <c r="C2350" s="18" t="n"/>
      <c r="D2350" s="19" t="n"/>
      <c r="E2350" s="20" t="n"/>
      <c r="F2350" s="20" t="n"/>
      <c r="G2350" s="21" t="n"/>
      <c r="H2350" s="12">
        <f>IF(AND(B2350="",D2350="",F2350=""),"",IF(NOT(ISNUMBER(B2350)),"Needs a date",IF(D2350="","Needs a client",IF(COUNTIF(Clients!$B$6:$B$105,D2350)=0,"Not on Clients",IF(AND(F2350="",INT(B2350)&lt;TODAY()),"Needs a status","")))))</f>
        <v/>
      </c>
      <c r="I2350" s="1">
        <f>IF(ISNUMBER(B2350),INT(B2350),0)</f>
        <v/>
      </c>
      <c r="J2350">
        <f>IF(ISNUMBER(B2350),YEAR(B2350)*100+MONTH(B2350),"")</f>
        <v/>
      </c>
      <c r="K2350">
        <f>IF(AND(H2350="",OR(F2350="Attended",F2350="No-show",AND(F2350="Late cancel",Settings!$C$9="Yes"))),1,0)</f>
        <v/>
      </c>
      <c r="L2350">
        <f>IF(AND(H2350="",F2350="Attended"),1,0)</f>
        <v/>
      </c>
      <c r="M2350">
        <f>IF(AND(H2350="",OR(F2350="No-show",F2350="Late cancel")),1,0)</f>
        <v/>
      </c>
      <c r="N2350">
        <f>IF(AND(H2350="",F2350="",D2350&lt;&gt;"",I2350&gt;=TODAY()),ROUND((I2350+IF(ISNUMBER(C2350),MOD(C2350,1),0))*1440,0)*10000+ROW(),"")</f>
        <v/>
      </c>
    </row>
    <row r="2351">
      <c r="A2351" s="1" t="n"/>
      <c r="B2351" s="17" t="n"/>
      <c r="C2351" s="18" t="n"/>
      <c r="D2351" s="19" t="n"/>
      <c r="E2351" s="20" t="n"/>
      <c r="F2351" s="20" t="n"/>
      <c r="G2351" s="21" t="n"/>
      <c r="H2351" s="12">
        <f>IF(AND(B2351="",D2351="",F2351=""),"",IF(NOT(ISNUMBER(B2351)),"Needs a date",IF(D2351="","Needs a client",IF(COUNTIF(Clients!$B$6:$B$105,D2351)=0,"Not on Clients",IF(AND(F2351="",INT(B2351)&lt;TODAY()),"Needs a status","")))))</f>
        <v/>
      </c>
      <c r="I2351" s="1">
        <f>IF(ISNUMBER(B2351),INT(B2351),0)</f>
        <v/>
      </c>
      <c r="J2351">
        <f>IF(ISNUMBER(B2351),YEAR(B2351)*100+MONTH(B2351),"")</f>
        <v/>
      </c>
      <c r="K2351">
        <f>IF(AND(H2351="",OR(F2351="Attended",F2351="No-show",AND(F2351="Late cancel",Settings!$C$9="Yes"))),1,0)</f>
        <v/>
      </c>
      <c r="L2351">
        <f>IF(AND(H2351="",F2351="Attended"),1,0)</f>
        <v/>
      </c>
      <c r="M2351">
        <f>IF(AND(H2351="",OR(F2351="No-show",F2351="Late cancel")),1,0)</f>
        <v/>
      </c>
      <c r="N2351">
        <f>IF(AND(H2351="",F2351="",D2351&lt;&gt;"",I2351&gt;=TODAY()),ROUND((I2351+IF(ISNUMBER(C2351),MOD(C2351,1),0))*1440,0)*10000+ROW(),"")</f>
        <v/>
      </c>
    </row>
    <row r="2352">
      <c r="A2352" s="1" t="n"/>
      <c r="B2352" s="17" t="n"/>
      <c r="C2352" s="18" t="n"/>
      <c r="D2352" s="19" t="n"/>
      <c r="E2352" s="20" t="n"/>
      <c r="F2352" s="20" t="n"/>
      <c r="G2352" s="21" t="n"/>
      <c r="H2352" s="12">
        <f>IF(AND(B2352="",D2352="",F2352=""),"",IF(NOT(ISNUMBER(B2352)),"Needs a date",IF(D2352="","Needs a client",IF(COUNTIF(Clients!$B$6:$B$105,D2352)=0,"Not on Clients",IF(AND(F2352="",INT(B2352)&lt;TODAY()),"Needs a status","")))))</f>
        <v/>
      </c>
      <c r="I2352" s="1">
        <f>IF(ISNUMBER(B2352),INT(B2352),0)</f>
        <v/>
      </c>
      <c r="J2352">
        <f>IF(ISNUMBER(B2352),YEAR(B2352)*100+MONTH(B2352),"")</f>
        <v/>
      </c>
      <c r="K2352">
        <f>IF(AND(H2352="",OR(F2352="Attended",F2352="No-show",AND(F2352="Late cancel",Settings!$C$9="Yes"))),1,0)</f>
        <v/>
      </c>
      <c r="L2352">
        <f>IF(AND(H2352="",F2352="Attended"),1,0)</f>
        <v/>
      </c>
      <c r="M2352">
        <f>IF(AND(H2352="",OR(F2352="No-show",F2352="Late cancel")),1,0)</f>
        <v/>
      </c>
      <c r="N2352">
        <f>IF(AND(H2352="",F2352="",D2352&lt;&gt;"",I2352&gt;=TODAY()),ROUND((I2352+IF(ISNUMBER(C2352),MOD(C2352,1),0))*1440,0)*10000+ROW(),"")</f>
        <v/>
      </c>
    </row>
    <row r="2353">
      <c r="A2353" s="1" t="n"/>
      <c r="B2353" s="17" t="n"/>
      <c r="C2353" s="18" t="n"/>
      <c r="D2353" s="19" t="n"/>
      <c r="E2353" s="20" t="n"/>
      <c r="F2353" s="20" t="n"/>
      <c r="G2353" s="21" t="n"/>
      <c r="H2353" s="12">
        <f>IF(AND(B2353="",D2353="",F2353=""),"",IF(NOT(ISNUMBER(B2353)),"Needs a date",IF(D2353="","Needs a client",IF(COUNTIF(Clients!$B$6:$B$105,D2353)=0,"Not on Clients",IF(AND(F2353="",INT(B2353)&lt;TODAY()),"Needs a status","")))))</f>
        <v/>
      </c>
      <c r="I2353" s="1">
        <f>IF(ISNUMBER(B2353),INT(B2353),0)</f>
        <v/>
      </c>
      <c r="J2353">
        <f>IF(ISNUMBER(B2353),YEAR(B2353)*100+MONTH(B2353),"")</f>
        <v/>
      </c>
      <c r="K2353">
        <f>IF(AND(H2353="",OR(F2353="Attended",F2353="No-show",AND(F2353="Late cancel",Settings!$C$9="Yes"))),1,0)</f>
        <v/>
      </c>
      <c r="L2353">
        <f>IF(AND(H2353="",F2353="Attended"),1,0)</f>
        <v/>
      </c>
      <c r="M2353">
        <f>IF(AND(H2353="",OR(F2353="No-show",F2353="Late cancel")),1,0)</f>
        <v/>
      </c>
      <c r="N2353">
        <f>IF(AND(H2353="",F2353="",D2353&lt;&gt;"",I2353&gt;=TODAY()),ROUND((I2353+IF(ISNUMBER(C2353),MOD(C2353,1),0))*1440,0)*10000+ROW(),"")</f>
        <v/>
      </c>
    </row>
    <row r="2354">
      <c r="A2354" s="1" t="n"/>
      <c r="B2354" s="17" t="n"/>
      <c r="C2354" s="18" t="n"/>
      <c r="D2354" s="19" t="n"/>
      <c r="E2354" s="20" t="n"/>
      <c r="F2354" s="20" t="n"/>
      <c r="G2354" s="21" t="n"/>
      <c r="H2354" s="12">
        <f>IF(AND(B2354="",D2354="",F2354=""),"",IF(NOT(ISNUMBER(B2354)),"Needs a date",IF(D2354="","Needs a client",IF(COUNTIF(Clients!$B$6:$B$105,D2354)=0,"Not on Clients",IF(AND(F2354="",INT(B2354)&lt;TODAY()),"Needs a status","")))))</f>
        <v/>
      </c>
      <c r="I2354" s="1">
        <f>IF(ISNUMBER(B2354),INT(B2354),0)</f>
        <v/>
      </c>
      <c r="J2354">
        <f>IF(ISNUMBER(B2354),YEAR(B2354)*100+MONTH(B2354),"")</f>
        <v/>
      </c>
      <c r="K2354">
        <f>IF(AND(H2354="",OR(F2354="Attended",F2354="No-show",AND(F2354="Late cancel",Settings!$C$9="Yes"))),1,0)</f>
        <v/>
      </c>
      <c r="L2354">
        <f>IF(AND(H2354="",F2354="Attended"),1,0)</f>
        <v/>
      </c>
      <c r="M2354">
        <f>IF(AND(H2354="",OR(F2354="No-show",F2354="Late cancel")),1,0)</f>
        <v/>
      </c>
      <c r="N2354">
        <f>IF(AND(H2354="",F2354="",D2354&lt;&gt;"",I2354&gt;=TODAY()),ROUND((I2354+IF(ISNUMBER(C2354),MOD(C2354,1),0))*1440,0)*10000+ROW(),"")</f>
        <v/>
      </c>
    </row>
    <row r="2355">
      <c r="A2355" s="1" t="n"/>
      <c r="B2355" s="17" t="n"/>
      <c r="C2355" s="18" t="n"/>
      <c r="D2355" s="19" t="n"/>
      <c r="E2355" s="20" t="n"/>
      <c r="F2355" s="20" t="n"/>
      <c r="G2355" s="21" t="n"/>
      <c r="H2355" s="12">
        <f>IF(AND(B2355="",D2355="",F2355=""),"",IF(NOT(ISNUMBER(B2355)),"Needs a date",IF(D2355="","Needs a client",IF(COUNTIF(Clients!$B$6:$B$105,D2355)=0,"Not on Clients",IF(AND(F2355="",INT(B2355)&lt;TODAY()),"Needs a status","")))))</f>
        <v/>
      </c>
      <c r="I2355" s="1">
        <f>IF(ISNUMBER(B2355),INT(B2355),0)</f>
        <v/>
      </c>
      <c r="J2355">
        <f>IF(ISNUMBER(B2355),YEAR(B2355)*100+MONTH(B2355),"")</f>
        <v/>
      </c>
      <c r="K2355">
        <f>IF(AND(H2355="",OR(F2355="Attended",F2355="No-show",AND(F2355="Late cancel",Settings!$C$9="Yes"))),1,0)</f>
        <v/>
      </c>
      <c r="L2355">
        <f>IF(AND(H2355="",F2355="Attended"),1,0)</f>
        <v/>
      </c>
      <c r="M2355">
        <f>IF(AND(H2355="",OR(F2355="No-show",F2355="Late cancel")),1,0)</f>
        <v/>
      </c>
      <c r="N2355">
        <f>IF(AND(H2355="",F2355="",D2355&lt;&gt;"",I2355&gt;=TODAY()),ROUND((I2355+IF(ISNUMBER(C2355),MOD(C2355,1),0))*1440,0)*10000+ROW(),"")</f>
        <v/>
      </c>
    </row>
    <row r="2356">
      <c r="A2356" s="1" t="n"/>
      <c r="B2356" s="17" t="n"/>
      <c r="C2356" s="18" t="n"/>
      <c r="D2356" s="19" t="n"/>
      <c r="E2356" s="20" t="n"/>
      <c r="F2356" s="20" t="n"/>
      <c r="G2356" s="21" t="n"/>
      <c r="H2356" s="12">
        <f>IF(AND(B2356="",D2356="",F2356=""),"",IF(NOT(ISNUMBER(B2356)),"Needs a date",IF(D2356="","Needs a client",IF(COUNTIF(Clients!$B$6:$B$105,D2356)=0,"Not on Clients",IF(AND(F2356="",INT(B2356)&lt;TODAY()),"Needs a status","")))))</f>
        <v/>
      </c>
      <c r="I2356" s="1">
        <f>IF(ISNUMBER(B2356),INT(B2356),0)</f>
        <v/>
      </c>
      <c r="J2356">
        <f>IF(ISNUMBER(B2356),YEAR(B2356)*100+MONTH(B2356),"")</f>
        <v/>
      </c>
      <c r="K2356">
        <f>IF(AND(H2356="",OR(F2356="Attended",F2356="No-show",AND(F2356="Late cancel",Settings!$C$9="Yes"))),1,0)</f>
        <v/>
      </c>
      <c r="L2356">
        <f>IF(AND(H2356="",F2356="Attended"),1,0)</f>
        <v/>
      </c>
      <c r="M2356">
        <f>IF(AND(H2356="",OR(F2356="No-show",F2356="Late cancel")),1,0)</f>
        <v/>
      </c>
      <c r="N2356">
        <f>IF(AND(H2356="",F2356="",D2356&lt;&gt;"",I2356&gt;=TODAY()),ROUND((I2356+IF(ISNUMBER(C2356),MOD(C2356,1),0))*1440,0)*10000+ROW(),"")</f>
        <v/>
      </c>
    </row>
    <row r="2357">
      <c r="A2357" s="1" t="n"/>
      <c r="B2357" s="17" t="n"/>
      <c r="C2357" s="18" t="n"/>
      <c r="D2357" s="19" t="n"/>
      <c r="E2357" s="20" t="n"/>
      <c r="F2357" s="20" t="n"/>
      <c r="G2357" s="21" t="n"/>
      <c r="H2357" s="12">
        <f>IF(AND(B2357="",D2357="",F2357=""),"",IF(NOT(ISNUMBER(B2357)),"Needs a date",IF(D2357="","Needs a client",IF(COUNTIF(Clients!$B$6:$B$105,D2357)=0,"Not on Clients",IF(AND(F2357="",INT(B2357)&lt;TODAY()),"Needs a status","")))))</f>
        <v/>
      </c>
      <c r="I2357" s="1">
        <f>IF(ISNUMBER(B2357),INT(B2357),0)</f>
        <v/>
      </c>
      <c r="J2357">
        <f>IF(ISNUMBER(B2357),YEAR(B2357)*100+MONTH(B2357),"")</f>
        <v/>
      </c>
      <c r="K2357">
        <f>IF(AND(H2357="",OR(F2357="Attended",F2357="No-show",AND(F2357="Late cancel",Settings!$C$9="Yes"))),1,0)</f>
        <v/>
      </c>
      <c r="L2357">
        <f>IF(AND(H2357="",F2357="Attended"),1,0)</f>
        <v/>
      </c>
      <c r="M2357">
        <f>IF(AND(H2357="",OR(F2357="No-show",F2357="Late cancel")),1,0)</f>
        <v/>
      </c>
      <c r="N2357">
        <f>IF(AND(H2357="",F2357="",D2357&lt;&gt;"",I2357&gt;=TODAY()),ROUND((I2357+IF(ISNUMBER(C2357),MOD(C2357,1),0))*1440,0)*10000+ROW(),"")</f>
        <v/>
      </c>
    </row>
    <row r="2358">
      <c r="A2358" s="1" t="n"/>
      <c r="B2358" s="17" t="n"/>
      <c r="C2358" s="18" t="n"/>
      <c r="D2358" s="19" t="n"/>
      <c r="E2358" s="20" t="n"/>
      <c r="F2358" s="20" t="n"/>
      <c r="G2358" s="21" t="n"/>
      <c r="H2358" s="12">
        <f>IF(AND(B2358="",D2358="",F2358=""),"",IF(NOT(ISNUMBER(B2358)),"Needs a date",IF(D2358="","Needs a client",IF(COUNTIF(Clients!$B$6:$B$105,D2358)=0,"Not on Clients",IF(AND(F2358="",INT(B2358)&lt;TODAY()),"Needs a status","")))))</f>
        <v/>
      </c>
      <c r="I2358" s="1">
        <f>IF(ISNUMBER(B2358),INT(B2358),0)</f>
        <v/>
      </c>
      <c r="J2358">
        <f>IF(ISNUMBER(B2358),YEAR(B2358)*100+MONTH(B2358),"")</f>
        <v/>
      </c>
      <c r="K2358">
        <f>IF(AND(H2358="",OR(F2358="Attended",F2358="No-show",AND(F2358="Late cancel",Settings!$C$9="Yes"))),1,0)</f>
        <v/>
      </c>
      <c r="L2358">
        <f>IF(AND(H2358="",F2358="Attended"),1,0)</f>
        <v/>
      </c>
      <c r="M2358">
        <f>IF(AND(H2358="",OR(F2358="No-show",F2358="Late cancel")),1,0)</f>
        <v/>
      </c>
      <c r="N2358">
        <f>IF(AND(H2358="",F2358="",D2358&lt;&gt;"",I2358&gt;=TODAY()),ROUND((I2358+IF(ISNUMBER(C2358),MOD(C2358,1),0))*1440,0)*10000+ROW(),"")</f>
        <v/>
      </c>
    </row>
    <row r="2359">
      <c r="A2359" s="1" t="n"/>
      <c r="B2359" s="17" t="n"/>
      <c r="C2359" s="18" t="n"/>
      <c r="D2359" s="19" t="n"/>
      <c r="E2359" s="20" t="n"/>
      <c r="F2359" s="20" t="n"/>
      <c r="G2359" s="21" t="n"/>
      <c r="H2359" s="12">
        <f>IF(AND(B2359="",D2359="",F2359=""),"",IF(NOT(ISNUMBER(B2359)),"Needs a date",IF(D2359="","Needs a client",IF(COUNTIF(Clients!$B$6:$B$105,D2359)=0,"Not on Clients",IF(AND(F2359="",INT(B2359)&lt;TODAY()),"Needs a status","")))))</f>
        <v/>
      </c>
      <c r="I2359" s="1">
        <f>IF(ISNUMBER(B2359),INT(B2359),0)</f>
        <v/>
      </c>
      <c r="J2359">
        <f>IF(ISNUMBER(B2359),YEAR(B2359)*100+MONTH(B2359),"")</f>
        <v/>
      </c>
      <c r="K2359">
        <f>IF(AND(H2359="",OR(F2359="Attended",F2359="No-show",AND(F2359="Late cancel",Settings!$C$9="Yes"))),1,0)</f>
        <v/>
      </c>
      <c r="L2359">
        <f>IF(AND(H2359="",F2359="Attended"),1,0)</f>
        <v/>
      </c>
      <c r="M2359">
        <f>IF(AND(H2359="",OR(F2359="No-show",F2359="Late cancel")),1,0)</f>
        <v/>
      </c>
      <c r="N2359">
        <f>IF(AND(H2359="",F2359="",D2359&lt;&gt;"",I2359&gt;=TODAY()),ROUND((I2359+IF(ISNUMBER(C2359),MOD(C2359,1),0))*1440,0)*10000+ROW(),"")</f>
        <v/>
      </c>
    </row>
    <row r="2360">
      <c r="A2360" s="1" t="n"/>
      <c r="B2360" s="17" t="n"/>
      <c r="C2360" s="18" t="n"/>
      <c r="D2360" s="19" t="n"/>
      <c r="E2360" s="20" t="n"/>
      <c r="F2360" s="20" t="n"/>
      <c r="G2360" s="21" t="n"/>
      <c r="H2360" s="12">
        <f>IF(AND(B2360="",D2360="",F2360=""),"",IF(NOT(ISNUMBER(B2360)),"Needs a date",IF(D2360="","Needs a client",IF(COUNTIF(Clients!$B$6:$B$105,D2360)=0,"Not on Clients",IF(AND(F2360="",INT(B2360)&lt;TODAY()),"Needs a status","")))))</f>
        <v/>
      </c>
      <c r="I2360" s="1">
        <f>IF(ISNUMBER(B2360),INT(B2360),0)</f>
        <v/>
      </c>
      <c r="J2360">
        <f>IF(ISNUMBER(B2360),YEAR(B2360)*100+MONTH(B2360),"")</f>
        <v/>
      </c>
      <c r="K2360">
        <f>IF(AND(H2360="",OR(F2360="Attended",F2360="No-show",AND(F2360="Late cancel",Settings!$C$9="Yes"))),1,0)</f>
        <v/>
      </c>
      <c r="L2360">
        <f>IF(AND(H2360="",F2360="Attended"),1,0)</f>
        <v/>
      </c>
      <c r="M2360">
        <f>IF(AND(H2360="",OR(F2360="No-show",F2360="Late cancel")),1,0)</f>
        <v/>
      </c>
      <c r="N2360">
        <f>IF(AND(H2360="",F2360="",D2360&lt;&gt;"",I2360&gt;=TODAY()),ROUND((I2360+IF(ISNUMBER(C2360),MOD(C2360,1),0))*1440,0)*10000+ROW(),"")</f>
        <v/>
      </c>
    </row>
    <row r="2361">
      <c r="A2361" s="1" t="n"/>
      <c r="B2361" s="17" t="n"/>
      <c r="C2361" s="18" t="n"/>
      <c r="D2361" s="19" t="n"/>
      <c r="E2361" s="20" t="n"/>
      <c r="F2361" s="20" t="n"/>
      <c r="G2361" s="21" t="n"/>
      <c r="H2361" s="12">
        <f>IF(AND(B2361="",D2361="",F2361=""),"",IF(NOT(ISNUMBER(B2361)),"Needs a date",IF(D2361="","Needs a client",IF(COUNTIF(Clients!$B$6:$B$105,D2361)=0,"Not on Clients",IF(AND(F2361="",INT(B2361)&lt;TODAY()),"Needs a status","")))))</f>
        <v/>
      </c>
      <c r="I2361" s="1">
        <f>IF(ISNUMBER(B2361),INT(B2361),0)</f>
        <v/>
      </c>
      <c r="J2361">
        <f>IF(ISNUMBER(B2361),YEAR(B2361)*100+MONTH(B2361),"")</f>
        <v/>
      </c>
      <c r="K2361">
        <f>IF(AND(H2361="",OR(F2361="Attended",F2361="No-show",AND(F2361="Late cancel",Settings!$C$9="Yes"))),1,0)</f>
        <v/>
      </c>
      <c r="L2361">
        <f>IF(AND(H2361="",F2361="Attended"),1,0)</f>
        <v/>
      </c>
      <c r="M2361">
        <f>IF(AND(H2361="",OR(F2361="No-show",F2361="Late cancel")),1,0)</f>
        <v/>
      </c>
      <c r="N2361">
        <f>IF(AND(H2361="",F2361="",D2361&lt;&gt;"",I2361&gt;=TODAY()),ROUND((I2361+IF(ISNUMBER(C2361),MOD(C2361,1),0))*1440,0)*10000+ROW(),"")</f>
        <v/>
      </c>
    </row>
    <row r="2362">
      <c r="A2362" s="1" t="n"/>
      <c r="B2362" s="17" t="n"/>
      <c r="C2362" s="18" t="n"/>
      <c r="D2362" s="19" t="n"/>
      <c r="E2362" s="20" t="n"/>
      <c r="F2362" s="20" t="n"/>
      <c r="G2362" s="21" t="n"/>
      <c r="H2362" s="12">
        <f>IF(AND(B2362="",D2362="",F2362=""),"",IF(NOT(ISNUMBER(B2362)),"Needs a date",IF(D2362="","Needs a client",IF(COUNTIF(Clients!$B$6:$B$105,D2362)=0,"Not on Clients",IF(AND(F2362="",INT(B2362)&lt;TODAY()),"Needs a status","")))))</f>
        <v/>
      </c>
      <c r="I2362" s="1">
        <f>IF(ISNUMBER(B2362),INT(B2362),0)</f>
        <v/>
      </c>
      <c r="J2362">
        <f>IF(ISNUMBER(B2362),YEAR(B2362)*100+MONTH(B2362),"")</f>
        <v/>
      </c>
      <c r="K2362">
        <f>IF(AND(H2362="",OR(F2362="Attended",F2362="No-show",AND(F2362="Late cancel",Settings!$C$9="Yes"))),1,0)</f>
        <v/>
      </c>
      <c r="L2362">
        <f>IF(AND(H2362="",F2362="Attended"),1,0)</f>
        <v/>
      </c>
      <c r="M2362">
        <f>IF(AND(H2362="",OR(F2362="No-show",F2362="Late cancel")),1,0)</f>
        <v/>
      </c>
      <c r="N2362">
        <f>IF(AND(H2362="",F2362="",D2362&lt;&gt;"",I2362&gt;=TODAY()),ROUND((I2362+IF(ISNUMBER(C2362),MOD(C2362,1),0))*1440,0)*10000+ROW(),"")</f>
        <v/>
      </c>
    </row>
    <row r="2363">
      <c r="A2363" s="1" t="n"/>
      <c r="B2363" s="17" t="n"/>
      <c r="C2363" s="18" t="n"/>
      <c r="D2363" s="19" t="n"/>
      <c r="E2363" s="20" t="n"/>
      <c r="F2363" s="20" t="n"/>
      <c r="G2363" s="21" t="n"/>
      <c r="H2363" s="12">
        <f>IF(AND(B2363="",D2363="",F2363=""),"",IF(NOT(ISNUMBER(B2363)),"Needs a date",IF(D2363="","Needs a client",IF(COUNTIF(Clients!$B$6:$B$105,D2363)=0,"Not on Clients",IF(AND(F2363="",INT(B2363)&lt;TODAY()),"Needs a status","")))))</f>
        <v/>
      </c>
      <c r="I2363" s="1">
        <f>IF(ISNUMBER(B2363),INT(B2363),0)</f>
        <v/>
      </c>
      <c r="J2363">
        <f>IF(ISNUMBER(B2363),YEAR(B2363)*100+MONTH(B2363),"")</f>
        <v/>
      </c>
      <c r="K2363">
        <f>IF(AND(H2363="",OR(F2363="Attended",F2363="No-show",AND(F2363="Late cancel",Settings!$C$9="Yes"))),1,0)</f>
        <v/>
      </c>
      <c r="L2363">
        <f>IF(AND(H2363="",F2363="Attended"),1,0)</f>
        <v/>
      </c>
      <c r="M2363">
        <f>IF(AND(H2363="",OR(F2363="No-show",F2363="Late cancel")),1,0)</f>
        <v/>
      </c>
      <c r="N2363">
        <f>IF(AND(H2363="",F2363="",D2363&lt;&gt;"",I2363&gt;=TODAY()),ROUND((I2363+IF(ISNUMBER(C2363),MOD(C2363,1),0))*1440,0)*10000+ROW(),"")</f>
        <v/>
      </c>
    </row>
    <row r="2364">
      <c r="A2364" s="1" t="n"/>
      <c r="B2364" s="17" t="n"/>
      <c r="C2364" s="18" t="n"/>
      <c r="D2364" s="19" t="n"/>
      <c r="E2364" s="20" t="n"/>
      <c r="F2364" s="20" t="n"/>
      <c r="G2364" s="21" t="n"/>
      <c r="H2364" s="12">
        <f>IF(AND(B2364="",D2364="",F2364=""),"",IF(NOT(ISNUMBER(B2364)),"Needs a date",IF(D2364="","Needs a client",IF(COUNTIF(Clients!$B$6:$B$105,D2364)=0,"Not on Clients",IF(AND(F2364="",INT(B2364)&lt;TODAY()),"Needs a status","")))))</f>
        <v/>
      </c>
      <c r="I2364" s="1">
        <f>IF(ISNUMBER(B2364),INT(B2364),0)</f>
        <v/>
      </c>
      <c r="J2364">
        <f>IF(ISNUMBER(B2364),YEAR(B2364)*100+MONTH(B2364),"")</f>
        <v/>
      </c>
      <c r="K2364">
        <f>IF(AND(H2364="",OR(F2364="Attended",F2364="No-show",AND(F2364="Late cancel",Settings!$C$9="Yes"))),1,0)</f>
        <v/>
      </c>
      <c r="L2364">
        <f>IF(AND(H2364="",F2364="Attended"),1,0)</f>
        <v/>
      </c>
      <c r="M2364">
        <f>IF(AND(H2364="",OR(F2364="No-show",F2364="Late cancel")),1,0)</f>
        <v/>
      </c>
      <c r="N2364">
        <f>IF(AND(H2364="",F2364="",D2364&lt;&gt;"",I2364&gt;=TODAY()),ROUND((I2364+IF(ISNUMBER(C2364),MOD(C2364,1),0))*1440,0)*10000+ROW(),"")</f>
        <v/>
      </c>
    </row>
    <row r="2365">
      <c r="A2365" s="1" t="n"/>
      <c r="B2365" s="17" t="n"/>
      <c r="C2365" s="18" t="n"/>
      <c r="D2365" s="19" t="n"/>
      <c r="E2365" s="20" t="n"/>
      <c r="F2365" s="20" t="n"/>
      <c r="G2365" s="21" t="n"/>
      <c r="H2365" s="12">
        <f>IF(AND(B2365="",D2365="",F2365=""),"",IF(NOT(ISNUMBER(B2365)),"Needs a date",IF(D2365="","Needs a client",IF(COUNTIF(Clients!$B$6:$B$105,D2365)=0,"Not on Clients",IF(AND(F2365="",INT(B2365)&lt;TODAY()),"Needs a status","")))))</f>
        <v/>
      </c>
      <c r="I2365" s="1">
        <f>IF(ISNUMBER(B2365),INT(B2365),0)</f>
        <v/>
      </c>
      <c r="J2365">
        <f>IF(ISNUMBER(B2365),YEAR(B2365)*100+MONTH(B2365),"")</f>
        <v/>
      </c>
      <c r="K2365">
        <f>IF(AND(H2365="",OR(F2365="Attended",F2365="No-show",AND(F2365="Late cancel",Settings!$C$9="Yes"))),1,0)</f>
        <v/>
      </c>
      <c r="L2365">
        <f>IF(AND(H2365="",F2365="Attended"),1,0)</f>
        <v/>
      </c>
      <c r="M2365">
        <f>IF(AND(H2365="",OR(F2365="No-show",F2365="Late cancel")),1,0)</f>
        <v/>
      </c>
      <c r="N2365">
        <f>IF(AND(H2365="",F2365="",D2365&lt;&gt;"",I2365&gt;=TODAY()),ROUND((I2365+IF(ISNUMBER(C2365),MOD(C2365,1),0))*1440,0)*10000+ROW(),"")</f>
        <v/>
      </c>
    </row>
    <row r="2366">
      <c r="A2366" s="1" t="n"/>
      <c r="B2366" s="17" t="n"/>
      <c r="C2366" s="18" t="n"/>
      <c r="D2366" s="19" t="n"/>
      <c r="E2366" s="20" t="n"/>
      <c r="F2366" s="20" t="n"/>
      <c r="G2366" s="21" t="n"/>
      <c r="H2366" s="12">
        <f>IF(AND(B2366="",D2366="",F2366=""),"",IF(NOT(ISNUMBER(B2366)),"Needs a date",IF(D2366="","Needs a client",IF(COUNTIF(Clients!$B$6:$B$105,D2366)=0,"Not on Clients",IF(AND(F2366="",INT(B2366)&lt;TODAY()),"Needs a status","")))))</f>
        <v/>
      </c>
      <c r="I2366" s="1">
        <f>IF(ISNUMBER(B2366),INT(B2366),0)</f>
        <v/>
      </c>
      <c r="J2366">
        <f>IF(ISNUMBER(B2366),YEAR(B2366)*100+MONTH(B2366),"")</f>
        <v/>
      </c>
      <c r="K2366">
        <f>IF(AND(H2366="",OR(F2366="Attended",F2366="No-show",AND(F2366="Late cancel",Settings!$C$9="Yes"))),1,0)</f>
        <v/>
      </c>
      <c r="L2366">
        <f>IF(AND(H2366="",F2366="Attended"),1,0)</f>
        <v/>
      </c>
      <c r="M2366">
        <f>IF(AND(H2366="",OR(F2366="No-show",F2366="Late cancel")),1,0)</f>
        <v/>
      </c>
      <c r="N2366">
        <f>IF(AND(H2366="",F2366="",D2366&lt;&gt;"",I2366&gt;=TODAY()),ROUND((I2366+IF(ISNUMBER(C2366),MOD(C2366,1),0))*1440,0)*10000+ROW(),"")</f>
        <v/>
      </c>
    </row>
    <row r="2367">
      <c r="A2367" s="1" t="n"/>
      <c r="B2367" s="17" t="n"/>
      <c r="C2367" s="18" t="n"/>
      <c r="D2367" s="19" t="n"/>
      <c r="E2367" s="20" t="n"/>
      <c r="F2367" s="20" t="n"/>
      <c r="G2367" s="21" t="n"/>
      <c r="H2367" s="12">
        <f>IF(AND(B2367="",D2367="",F2367=""),"",IF(NOT(ISNUMBER(B2367)),"Needs a date",IF(D2367="","Needs a client",IF(COUNTIF(Clients!$B$6:$B$105,D2367)=0,"Not on Clients",IF(AND(F2367="",INT(B2367)&lt;TODAY()),"Needs a status","")))))</f>
        <v/>
      </c>
      <c r="I2367" s="1">
        <f>IF(ISNUMBER(B2367),INT(B2367),0)</f>
        <v/>
      </c>
      <c r="J2367">
        <f>IF(ISNUMBER(B2367),YEAR(B2367)*100+MONTH(B2367),"")</f>
        <v/>
      </c>
      <c r="K2367">
        <f>IF(AND(H2367="",OR(F2367="Attended",F2367="No-show",AND(F2367="Late cancel",Settings!$C$9="Yes"))),1,0)</f>
        <v/>
      </c>
      <c r="L2367">
        <f>IF(AND(H2367="",F2367="Attended"),1,0)</f>
        <v/>
      </c>
      <c r="M2367">
        <f>IF(AND(H2367="",OR(F2367="No-show",F2367="Late cancel")),1,0)</f>
        <v/>
      </c>
      <c r="N2367">
        <f>IF(AND(H2367="",F2367="",D2367&lt;&gt;"",I2367&gt;=TODAY()),ROUND((I2367+IF(ISNUMBER(C2367),MOD(C2367,1),0))*1440,0)*10000+ROW(),"")</f>
        <v/>
      </c>
    </row>
    <row r="2368">
      <c r="A2368" s="1" t="n"/>
      <c r="B2368" s="17" t="n"/>
      <c r="C2368" s="18" t="n"/>
      <c r="D2368" s="19" t="n"/>
      <c r="E2368" s="20" t="n"/>
      <c r="F2368" s="20" t="n"/>
      <c r="G2368" s="21" t="n"/>
      <c r="H2368" s="12">
        <f>IF(AND(B2368="",D2368="",F2368=""),"",IF(NOT(ISNUMBER(B2368)),"Needs a date",IF(D2368="","Needs a client",IF(COUNTIF(Clients!$B$6:$B$105,D2368)=0,"Not on Clients",IF(AND(F2368="",INT(B2368)&lt;TODAY()),"Needs a status","")))))</f>
        <v/>
      </c>
      <c r="I2368" s="1">
        <f>IF(ISNUMBER(B2368),INT(B2368),0)</f>
        <v/>
      </c>
      <c r="J2368">
        <f>IF(ISNUMBER(B2368),YEAR(B2368)*100+MONTH(B2368),"")</f>
        <v/>
      </c>
      <c r="K2368">
        <f>IF(AND(H2368="",OR(F2368="Attended",F2368="No-show",AND(F2368="Late cancel",Settings!$C$9="Yes"))),1,0)</f>
        <v/>
      </c>
      <c r="L2368">
        <f>IF(AND(H2368="",F2368="Attended"),1,0)</f>
        <v/>
      </c>
      <c r="M2368">
        <f>IF(AND(H2368="",OR(F2368="No-show",F2368="Late cancel")),1,0)</f>
        <v/>
      </c>
      <c r="N2368">
        <f>IF(AND(H2368="",F2368="",D2368&lt;&gt;"",I2368&gt;=TODAY()),ROUND((I2368+IF(ISNUMBER(C2368),MOD(C2368,1),0))*1440,0)*10000+ROW(),"")</f>
        <v/>
      </c>
    </row>
    <row r="2369">
      <c r="A2369" s="1" t="n"/>
      <c r="B2369" s="17" t="n"/>
      <c r="C2369" s="18" t="n"/>
      <c r="D2369" s="19" t="n"/>
      <c r="E2369" s="20" t="n"/>
      <c r="F2369" s="20" t="n"/>
      <c r="G2369" s="21" t="n"/>
      <c r="H2369" s="12">
        <f>IF(AND(B2369="",D2369="",F2369=""),"",IF(NOT(ISNUMBER(B2369)),"Needs a date",IF(D2369="","Needs a client",IF(COUNTIF(Clients!$B$6:$B$105,D2369)=0,"Not on Clients",IF(AND(F2369="",INT(B2369)&lt;TODAY()),"Needs a status","")))))</f>
        <v/>
      </c>
      <c r="I2369" s="1">
        <f>IF(ISNUMBER(B2369),INT(B2369),0)</f>
        <v/>
      </c>
      <c r="J2369">
        <f>IF(ISNUMBER(B2369),YEAR(B2369)*100+MONTH(B2369),"")</f>
        <v/>
      </c>
      <c r="K2369">
        <f>IF(AND(H2369="",OR(F2369="Attended",F2369="No-show",AND(F2369="Late cancel",Settings!$C$9="Yes"))),1,0)</f>
        <v/>
      </c>
      <c r="L2369">
        <f>IF(AND(H2369="",F2369="Attended"),1,0)</f>
        <v/>
      </c>
      <c r="M2369">
        <f>IF(AND(H2369="",OR(F2369="No-show",F2369="Late cancel")),1,0)</f>
        <v/>
      </c>
      <c r="N2369">
        <f>IF(AND(H2369="",F2369="",D2369&lt;&gt;"",I2369&gt;=TODAY()),ROUND((I2369+IF(ISNUMBER(C2369),MOD(C2369,1),0))*1440,0)*10000+ROW(),"")</f>
        <v/>
      </c>
    </row>
    <row r="2370">
      <c r="A2370" s="1" t="n"/>
      <c r="B2370" s="17" t="n"/>
      <c r="C2370" s="18" t="n"/>
      <c r="D2370" s="19" t="n"/>
      <c r="E2370" s="20" t="n"/>
      <c r="F2370" s="20" t="n"/>
      <c r="G2370" s="21" t="n"/>
      <c r="H2370" s="12">
        <f>IF(AND(B2370="",D2370="",F2370=""),"",IF(NOT(ISNUMBER(B2370)),"Needs a date",IF(D2370="","Needs a client",IF(COUNTIF(Clients!$B$6:$B$105,D2370)=0,"Not on Clients",IF(AND(F2370="",INT(B2370)&lt;TODAY()),"Needs a status","")))))</f>
        <v/>
      </c>
      <c r="I2370" s="1">
        <f>IF(ISNUMBER(B2370),INT(B2370),0)</f>
        <v/>
      </c>
      <c r="J2370">
        <f>IF(ISNUMBER(B2370),YEAR(B2370)*100+MONTH(B2370),"")</f>
        <v/>
      </c>
      <c r="K2370">
        <f>IF(AND(H2370="",OR(F2370="Attended",F2370="No-show",AND(F2370="Late cancel",Settings!$C$9="Yes"))),1,0)</f>
        <v/>
      </c>
      <c r="L2370">
        <f>IF(AND(H2370="",F2370="Attended"),1,0)</f>
        <v/>
      </c>
      <c r="M2370">
        <f>IF(AND(H2370="",OR(F2370="No-show",F2370="Late cancel")),1,0)</f>
        <v/>
      </c>
      <c r="N2370">
        <f>IF(AND(H2370="",F2370="",D2370&lt;&gt;"",I2370&gt;=TODAY()),ROUND((I2370+IF(ISNUMBER(C2370),MOD(C2370,1),0))*1440,0)*10000+ROW(),"")</f>
        <v/>
      </c>
    </row>
    <row r="2371">
      <c r="A2371" s="1" t="n"/>
      <c r="B2371" s="17" t="n"/>
      <c r="C2371" s="18" t="n"/>
      <c r="D2371" s="19" t="n"/>
      <c r="E2371" s="20" t="n"/>
      <c r="F2371" s="20" t="n"/>
      <c r="G2371" s="21" t="n"/>
      <c r="H2371" s="12">
        <f>IF(AND(B2371="",D2371="",F2371=""),"",IF(NOT(ISNUMBER(B2371)),"Needs a date",IF(D2371="","Needs a client",IF(COUNTIF(Clients!$B$6:$B$105,D2371)=0,"Not on Clients",IF(AND(F2371="",INT(B2371)&lt;TODAY()),"Needs a status","")))))</f>
        <v/>
      </c>
      <c r="I2371" s="1">
        <f>IF(ISNUMBER(B2371),INT(B2371),0)</f>
        <v/>
      </c>
      <c r="J2371">
        <f>IF(ISNUMBER(B2371),YEAR(B2371)*100+MONTH(B2371),"")</f>
        <v/>
      </c>
      <c r="K2371">
        <f>IF(AND(H2371="",OR(F2371="Attended",F2371="No-show",AND(F2371="Late cancel",Settings!$C$9="Yes"))),1,0)</f>
        <v/>
      </c>
      <c r="L2371">
        <f>IF(AND(H2371="",F2371="Attended"),1,0)</f>
        <v/>
      </c>
      <c r="M2371">
        <f>IF(AND(H2371="",OR(F2371="No-show",F2371="Late cancel")),1,0)</f>
        <v/>
      </c>
      <c r="N2371">
        <f>IF(AND(H2371="",F2371="",D2371&lt;&gt;"",I2371&gt;=TODAY()),ROUND((I2371+IF(ISNUMBER(C2371),MOD(C2371,1),0))*1440,0)*10000+ROW(),"")</f>
        <v/>
      </c>
    </row>
    <row r="2372">
      <c r="A2372" s="1" t="n"/>
      <c r="B2372" s="17" t="n"/>
      <c r="C2372" s="18" t="n"/>
      <c r="D2372" s="19" t="n"/>
      <c r="E2372" s="20" t="n"/>
      <c r="F2372" s="20" t="n"/>
      <c r="G2372" s="21" t="n"/>
      <c r="H2372" s="12">
        <f>IF(AND(B2372="",D2372="",F2372=""),"",IF(NOT(ISNUMBER(B2372)),"Needs a date",IF(D2372="","Needs a client",IF(COUNTIF(Clients!$B$6:$B$105,D2372)=0,"Not on Clients",IF(AND(F2372="",INT(B2372)&lt;TODAY()),"Needs a status","")))))</f>
        <v/>
      </c>
      <c r="I2372" s="1">
        <f>IF(ISNUMBER(B2372),INT(B2372),0)</f>
        <v/>
      </c>
      <c r="J2372">
        <f>IF(ISNUMBER(B2372),YEAR(B2372)*100+MONTH(B2372),"")</f>
        <v/>
      </c>
      <c r="K2372">
        <f>IF(AND(H2372="",OR(F2372="Attended",F2372="No-show",AND(F2372="Late cancel",Settings!$C$9="Yes"))),1,0)</f>
        <v/>
      </c>
      <c r="L2372">
        <f>IF(AND(H2372="",F2372="Attended"),1,0)</f>
        <v/>
      </c>
      <c r="M2372">
        <f>IF(AND(H2372="",OR(F2372="No-show",F2372="Late cancel")),1,0)</f>
        <v/>
      </c>
      <c r="N2372">
        <f>IF(AND(H2372="",F2372="",D2372&lt;&gt;"",I2372&gt;=TODAY()),ROUND((I2372+IF(ISNUMBER(C2372),MOD(C2372,1),0))*1440,0)*10000+ROW(),"")</f>
        <v/>
      </c>
    </row>
    <row r="2373">
      <c r="A2373" s="1" t="n"/>
      <c r="B2373" s="17" t="n"/>
      <c r="C2373" s="18" t="n"/>
      <c r="D2373" s="19" t="n"/>
      <c r="E2373" s="20" t="n"/>
      <c r="F2373" s="20" t="n"/>
      <c r="G2373" s="21" t="n"/>
      <c r="H2373" s="12">
        <f>IF(AND(B2373="",D2373="",F2373=""),"",IF(NOT(ISNUMBER(B2373)),"Needs a date",IF(D2373="","Needs a client",IF(COUNTIF(Clients!$B$6:$B$105,D2373)=0,"Not on Clients",IF(AND(F2373="",INT(B2373)&lt;TODAY()),"Needs a status","")))))</f>
        <v/>
      </c>
      <c r="I2373" s="1">
        <f>IF(ISNUMBER(B2373),INT(B2373),0)</f>
        <v/>
      </c>
      <c r="J2373">
        <f>IF(ISNUMBER(B2373),YEAR(B2373)*100+MONTH(B2373),"")</f>
        <v/>
      </c>
      <c r="K2373">
        <f>IF(AND(H2373="",OR(F2373="Attended",F2373="No-show",AND(F2373="Late cancel",Settings!$C$9="Yes"))),1,0)</f>
        <v/>
      </c>
      <c r="L2373">
        <f>IF(AND(H2373="",F2373="Attended"),1,0)</f>
        <v/>
      </c>
      <c r="M2373">
        <f>IF(AND(H2373="",OR(F2373="No-show",F2373="Late cancel")),1,0)</f>
        <v/>
      </c>
      <c r="N2373">
        <f>IF(AND(H2373="",F2373="",D2373&lt;&gt;"",I2373&gt;=TODAY()),ROUND((I2373+IF(ISNUMBER(C2373),MOD(C2373,1),0))*1440,0)*10000+ROW(),"")</f>
        <v/>
      </c>
    </row>
    <row r="2374">
      <c r="A2374" s="1" t="n"/>
      <c r="B2374" s="17" t="n"/>
      <c r="C2374" s="18" t="n"/>
      <c r="D2374" s="19" t="n"/>
      <c r="E2374" s="20" t="n"/>
      <c r="F2374" s="20" t="n"/>
      <c r="G2374" s="21" t="n"/>
      <c r="H2374" s="12">
        <f>IF(AND(B2374="",D2374="",F2374=""),"",IF(NOT(ISNUMBER(B2374)),"Needs a date",IF(D2374="","Needs a client",IF(COUNTIF(Clients!$B$6:$B$105,D2374)=0,"Not on Clients",IF(AND(F2374="",INT(B2374)&lt;TODAY()),"Needs a status","")))))</f>
        <v/>
      </c>
      <c r="I2374" s="1">
        <f>IF(ISNUMBER(B2374),INT(B2374),0)</f>
        <v/>
      </c>
      <c r="J2374">
        <f>IF(ISNUMBER(B2374),YEAR(B2374)*100+MONTH(B2374),"")</f>
        <v/>
      </c>
      <c r="K2374">
        <f>IF(AND(H2374="",OR(F2374="Attended",F2374="No-show",AND(F2374="Late cancel",Settings!$C$9="Yes"))),1,0)</f>
        <v/>
      </c>
      <c r="L2374">
        <f>IF(AND(H2374="",F2374="Attended"),1,0)</f>
        <v/>
      </c>
      <c r="M2374">
        <f>IF(AND(H2374="",OR(F2374="No-show",F2374="Late cancel")),1,0)</f>
        <v/>
      </c>
      <c r="N2374">
        <f>IF(AND(H2374="",F2374="",D2374&lt;&gt;"",I2374&gt;=TODAY()),ROUND((I2374+IF(ISNUMBER(C2374),MOD(C2374,1),0))*1440,0)*10000+ROW(),"")</f>
        <v/>
      </c>
    </row>
    <row r="2375">
      <c r="A2375" s="1" t="n"/>
      <c r="B2375" s="17" t="n"/>
      <c r="C2375" s="18" t="n"/>
      <c r="D2375" s="19" t="n"/>
      <c r="E2375" s="20" t="n"/>
      <c r="F2375" s="20" t="n"/>
      <c r="G2375" s="21" t="n"/>
      <c r="H2375" s="12">
        <f>IF(AND(B2375="",D2375="",F2375=""),"",IF(NOT(ISNUMBER(B2375)),"Needs a date",IF(D2375="","Needs a client",IF(COUNTIF(Clients!$B$6:$B$105,D2375)=0,"Not on Clients",IF(AND(F2375="",INT(B2375)&lt;TODAY()),"Needs a status","")))))</f>
        <v/>
      </c>
      <c r="I2375" s="1">
        <f>IF(ISNUMBER(B2375),INT(B2375),0)</f>
        <v/>
      </c>
      <c r="J2375">
        <f>IF(ISNUMBER(B2375),YEAR(B2375)*100+MONTH(B2375),"")</f>
        <v/>
      </c>
      <c r="K2375">
        <f>IF(AND(H2375="",OR(F2375="Attended",F2375="No-show",AND(F2375="Late cancel",Settings!$C$9="Yes"))),1,0)</f>
        <v/>
      </c>
      <c r="L2375">
        <f>IF(AND(H2375="",F2375="Attended"),1,0)</f>
        <v/>
      </c>
      <c r="M2375">
        <f>IF(AND(H2375="",OR(F2375="No-show",F2375="Late cancel")),1,0)</f>
        <v/>
      </c>
      <c r="N2375">
        <f>IF(AND(H2375="",F2375="",D2375&lt;&gt;"",I2375&gt;=TODAY()),ROUND((I2375+IF(ISNUMBER(C2375),MOD(C2375,1),0))*1440,0)*10000+ROW(),"")</f>
        <v/>
      </c>
    </row>
    <row r="2376">
      <c r="A2376" s="1" t="n"/>
      <c r="B2376" s="17" t="n"/>
      <c r="C2376" s="18" t="n"/>
      <c r="D2376" s="19" t="n"/>
      <c r="E2376" s="20" t="n"/>
      <c r="F2376" s="20" t="n"/>
      <c r="G2376" s="21" t="n"/>
      <c r="H2376" s="12">
        <f>IF(AND(B2376="",D2376="",F2376=""),"",IF(NOT(ISNUMBER(B2376)),"Needs a date",IF(D2376="","Needs a client",IF(COUNTIF(Clients!$B$6:$B$105,D2376)=0,"Not on Clients",IF(AND(F2376="",INT(B2376)&lt;TODAY()),"Needs a status","")))))</f>
        <v/>
      </c>
      <c r="I2376" s="1">
        <f>IF(ISNUMBER(B2376),INT(B2376),0)</f>
        <v/>
      </c>
      <c r="J2376">
        <f>IF(ISNUMBER(B2376),YEAR(B2376)*100+MONTH(B2376),"")</f>
        <v/>
      </c>
      <c r="K2376">
        <f>IF(AND(H2376="",OR(F2376="Attended",F2376="No-show",AND(F2376="Late cancel",Settings!$C$9="Yes"))),1,0)</f>
        <v/>
      </c>
      <c r="L2376">
        <f>IF(AND(H2376="",F2376="Attended"),1,0)</f>
        <v/>
      </c>
      <c r="M2376">
        <f>IF(AND(H2376="",OR(F2376="No-show",F2376="Late cancel")),1,0)</f>
        <v/>
      </c>
      <c r="N2376">
        <f>IF(AND(H2376="",F2376="",D2376&lt;&gt;"",I2376&gt;=TODAY()),ROUND((I2376+IF(ISNUMBER(C2376),MOD(C2376,1),0))*1440,0)*10000+ROW(),"")</f>
        <v/>
      </c>
    </row>
    <row r="2377">
      <c r="A2377" s="1" t="n"/>
      <c r="B2377" s="17" t="n"/>
      <c r="C2377" s="18" t="n"/>
      <c r="D2377" s="19" t="n"/>
      <c r="E2377" s="20" t="n"/>
      <c r="F2377" s="20" t="n"/>
      <c r="G2377" s="21" t="n"/>
      <c r="H2377" s="12">
        <f>IF(AND(B2377="",D2377="",F2377=""),"",IF(NOT(ISNUMBER(B2377)),"Needs a date",IF(D2377="","Needs a client",IF(COUNTIF(Clients!$B$6:$B$105,D2377)=0,"Not on Clients",IF(AND(F2377="",INT(B2377)&lt;TODAY()),"Needs a status","")))))</f>
        <v/>
      </c>
      <c r="I2377" s="1">
        <f>IF(ISNUMBER(B2377),INT(B2377),0)</f>
        <v/>
      </c>
      <c r="J2377">
        <f>IF(ISNUMBER(B2377),YEAR(B2377)*100+MONTH(B2377),"")</f>
        <v/>
      </c>
      <c r="K2377">
        <f>IF(AND(H2377="",OR(F2377="Attended",F2377="No-show",AND(F2377="Late cancel",Settings!$C$9="Yes"))),1,0)</f>
        <v/>
      </c>
      <c r="L2377">
        <f>IF(AND(H2377="",F2377="Attended"),1,0)</f>
        <v/>
      </c>
      <c r="M2377">
        <f>IF(AND(H2377="",OR(F2377="No-show",F2377="Late cancel")),1,0)</f>
        <v/>
      </c>
      <c r="N2377">
        <f>IF(AND(H2377="",F2377="",D2377&lt;&gt;"",I2377&gt;=TODAY()),ROUND((I2377+IF(ISNUMBER(C2377),MOD(C2377,1),0))*1440,0)*10000+ROW(),"")</f>
        <v/>
      </c>
    </row>
    <row r="2378">
      <c r="A2378" s="1" t="n"/>
      <c r="B2378" s="17" t="n"/>
      <c r="C2378" s="18" t="n"/>
      <c r="D2378" s="19" t="n"/>
      <c r="E2378" s="20" t="n"/>
      <c r="F2378" s="20" t="n"/>
      <c r="G2378" s="21" t="n"/>
      <c r="H2378" s="12">
        <f>IF(AND(B2378="",D2378="",F2378=""),"",IF(NOT(ISNUMBER(B2378)),"Needs a date",IF(D2378="","Needs a client",IF(COUNTIF(Clients!$B$6:$B$105,D2378)=0,"Not on Clients",IF(AND(F2378="",INT(B2378)&lt;TODAY()),"Needs a status","")))))</f>
        <v/>
      </c>
      <c r="I2378" s="1">
        <f>IF(ISNUMBER(B2378),INT(B2378),0)</f>
        <v/>
      </c>
      <c r="J2378">
        <f>IF(ISNUMBER(B2378),YEAR(B2378)*100+MONTH(B2378),"")</f>
        <v/>
      </c>
      <c r="K2378">
        <f>IF(AND(H2378="",OR(F2378="Attended",F2378="No-show",AND(F2378="Late cancel",Settings!$C$9="Yes"))),1,0)</f>
        <v/>
      </c>
      <c r="L2378">
        <f>IF(AND(H2378="",F2378="Attended"),1,0)</f>
        <v/>
      </c>
      <c r="M2378">
        <f>IF(AND(H2378="",OR(F2378="No-show",F2378="Late cancel")),1,0)</f>
        <v/>
      </c>
      <c r="N2378">
        <f>IF(AND(H2378="",F2378="",D2378&lt;&gt;"",I2378&gt;=TODAY()),ROUND((I2378+IF(ISNUMBER(C2378),MOD(C2378,1),0))*1440,0)*10000+ROW(),"")</f>
        <v/>
      </c>
    </row>
    <row r="2379">
      <c r="A2379" s="1" t="n"/>
      <c r="B2379" s="17" t="n"/>
      <c r="C2379" s="18" t="n"/>
      <c r="D2379" s="19" t="n"/>
      <c r="E2379" s="20" t="n"/>
      <c r="F2379" s="20" t="n"/>
      <c r="G2379" s="21" t="n"/>
      <c r="H2379" s="12">
        <f>IF(AND(B2379="",D2379="",F2379=""),"",IF(NOT(ISNUMBER(B2379)),"Needs a date",IF(D2379="","Needs a client",IF(COUNTIF(Clients!$B$6:$B$105,D2379)=0,"Not on Clients",IF(AND(F2379="",INT(B2379)&lt;TODAY()),"Needs a status","")))))</f>
        <v/>
      </c>
      <c r="I2379" s="1">
        <f>IF(ISNUMBER(B2379),INT(B2379),0)</f>
        <v/>
      </c>
      <c r="J2379">
        <f>IF(ISNUMBER(B2379),YEAR(B2379)*100+MONTH(B2379),"")</f>
        <v/>
      </c>
      <c r="K2379">
        <f>IF(AND(H2379="",OR(F2379="Attended",F2379="No-show",AND(F2379="Late cancel",Settings!$C$9="Yes"))),1,0)</f>
        <v/>
      </c>
      <c r="L2379">
        <f>IF(AND(H2379="",F2379="Attended"),1,0)</f>
        <v/>
      </c>
      <c r="M2379">
        <f>IF(AND(H2379="",OR(F2379="No-show",F2379="Late cancel")),1,0)</f>
        <v/>
      </c>
      <c r="N2379">
        <f>IF(AND(H2379="",F2379="",D2379&lt;&gt;"",I2379&gt;=TODAY()),ROUND((I2379+IF(ISNUMBER(C2379),MOD(C2379,1),0))*1440,0)*10000+ROW(),"")</f>
        <v/>
      </c>
    </row>
    <row r="2380">
      <c r="A2380" s="1" t="n"/>
      <c r="B2380" s="17" t="n"/>
      <c r="C2380" s="18" t="n"/>
      <c r="D2380" s="19" t="n"/>
      <c r="E2380" s="20" t="n"/>
      <c r="F2380" s="20" t="n"/>
      <c r="G2380" s="21" t="n"/>
      <c r="H2380" s="12">
        <f>IF(AND(B2380="",D2380="",F2380=""),"",IF(NOT(ISNUMBER(B2380)),"Needs a date",IF(D2380="","Needs a client",IF(COUNTIF(Clients!$B$6:$B$105,D2380)=0,"Not on Clients",IF(AND(F2380="",INT(B2380)&lt;TODAY()),"Needs a status","")))))</f>
        <v/>
      </c>
      <c r="I2380" s="1">
        <f>IF(ISNUMBER(B2380),INT(B2380),0)</f>
        <v/>
      </c>
      <c r="J2380">
        <f>IF(ISNUMBER(B2380),YEAR(B2380)*100+MONTH(B2380),"")</f>
        <v/>
      </c>
      <c r="K2380">
        <f>IF(AND(H2380="",OR(F2380="Attended",F2380="No-show",AND(F2380="Late cancel",Settings!$C$9="Yes"))),1,0)</f>
        <v/>
      </c>
      <c r="L2380">
        <f>IF(AND(H2380="",F2380="Attended"),1,0)</f>
        <v/>
      </c>
      <c r="M2380">
        <f>IF(AND(H2380="",OR(F2380="No-show",F2380="Late cancel")),1,0)</f>
        <v/>
      </c>
      <c r="N2380">
        <f>IF(AND(H2380="",F2380="",D2380&lt;&gt;"",I2380&gt;=TODAY()),ROUND((I2380+IF(ISNUMBER(C2380),MOD(C2380,1),0))*1440,0)*10000+ROW(),"")</f>
        <v/>
      </c>
    </row>
    <row r="2381">
      <c r="A2381" s="1" t="n"/>
      <c r="B2381" s="17" t="n"/>
      <c r="C2381" s="18" t="n"/>
      <c r="D2381" s="19" t="n"/>
      <c r="E2381" s="20" t="n"/>
      <c r="F2381" s="20" t="n"/>
      <c r="G2381" s="21" t="n"/>
      <c r="H2381" s="12">
        <f>IF(AND(B2381="",D2381="",F2381=""),"",IF(NOT(ISNUMBER(B2381)),"Needs a date",IF(D2381="","Needs a client",IF(COUNTIF(Clients!$B$6:$B$105,D2381)=0,"Not on Clients",IF(AND(F2381="",INT(B2381)&lt;TODAY()),"Needs a status","")))))</f>
        <v/>
      </c>
      <c r="I2381" s="1">
        <f>IF(ISNUMBER(B2381),INT(B2381),0)</f>
        <v/>
      </c>
      <c r="J2381">
        <f>IF(ISNUMBER(B2381),YEAR(B2381)*100+MONTH(B2381),"")</f>
        <v/>
      </c>
      <c r="K2381">
        <f>IF(AND(H2381="",OR(F2381="Attended",F2381="No-show",AND(F2381="Late cancel",Settings!$C$9="Yes"))),1,0)</f>
        <v/>
      </c>
      <c r="L2381">
        <f>IF(AND(H2381="",F2381="Attended"),1,0)</f>
        <v/>
      </c>
      <c r="M2381">
        <f>IF(AND(H2381="",OR(F2381="No-show",F2381="Late cancel")),1,0)</f>
        <v/>
      </c>
      <c r="N2381">
        <f>IF(AND(H2381="",F2381="",D2381&lt;&gt;"",I2381&gt;=TODAY()),ROUND((I2381+IF(ISNUMBER(C2381),MOD(C2381,1),0))*1440,0)*10000+ROW(),"")</f>
        <v/>
      </c>
    </row>
    <row r="2382">
      <c r="A2382" s="1" t="n"/>
      <c r="B2382" s="17" t="n"/>
      <c r="C2382" s="18" t="n"/>
      <c r="D2382" s="19" t="n"/>
      <c r="E2382" s="20" t="n"/>
      <c r="F2382" s="20" t="n"/>
      <c r="G2382" s="21" t="n"/>
      <c r="H2382" s="12">
        <f>IF(AND(B2382="",D2382="",F2382=""),"",IF(NOT(ISNUMBER(B2382)),"Needs a date",IF(D2382="","Needs a client",IF(COUNTIF(Clients!$B$6:$B$105,D2382)=0,"Not on Clients",IF(AND(F2382="",INT(B2382)&lt;TODAY()),"Needs a status","")))))</f>
        <v/>
      </c>
      <c r="I2382" s="1">
        <f>IF(ISNUMBER(B2382),INT(B2382),0)</f>
        <v/>
      </c>
      <c r="J2382">
        <f>IF(ISNUMBER(B2382),YEAR(B2382)*100+MONTH(B2382),"")</f>
        <v/>
      </c>
      <c r="K2382">
        <f>IF(AND(H2382="",OR(F2382="Attended",F2382="No-show",AND(F2382="Late cancel",Settings!$C$9="Yes"))),1,0)</f>
        <v/>
      </c>
      <c r="L2382">
        <f>IF(AND(H2382="",F2382="Attended"),1,0)</f>
        <v/>
      </c>
      <c r="M2382">
        <f>IF(AND(H2382="",OR(F2382="No-show",F2382="Late cancel")),1,0)</f>
        <v/>
      </c>
      <c r="N2382">
        <f>IF(AND(H2382="",F2382="",D2382&lt;&gt;"",I2382&gt;=TODAY()),ROUND((I2382+IF(ISNUMBER(C2382),MOD(C2382,1),0))*1440,0)*10000+ROW(),"")</f>
        <v/>
      </c>
    </row>
    <row r="2383">
      <c r="A2383" s="1" t="n"/>
      <c r="B2383" s="17" t="n"/>
      <c r="C2383" s="18" t="n"/>
      <c r="D2383" s="19" t="n"/>
      <c r="E2383" s="20" t="n"/>
      <c r="F2383" s="20" t="n"/>
      <c r="G2383" s="21" t="n"/>
      <c r="H2383" s="12">
        <f>IF(AND(B2383="",D2383="",F2383=""),"",IF(NOT(ISNUMBER(B2383)),"Needs a date",IF(D2383="","Needs a client",IF(COUNTIF(Clients!$B$6:$B$105,D2383)=0,"Not on Clients",IF(AND(F2383="",INT(B2383)&lt;TODAY()),"Needs a status","")))))</f>
        <v/>
      </c>
      <c r="I2383" s="1">
        <f>IF(ISNUMBER(B2383),INT(B2383),0)</f>
        <v/>
      </c>
      <c r="J2383">
        <f>IF(ISNUMBER(B2383),YEAR(B2383)*100+MONTH(B2383),"")</f>
        <v/>
      </c>
      <c r="K2383">
        <f>IF(AND(H2383="",OR(F2383="Attended",F2383="No-show",AND(F2383="Late cancel",Settings!$C$9="Yes"))),1,0)</f>
        <v/>
      </c>
      <c r="L2383">
        <f>IF(AND(H2383="",F2383="Attended"),1,0)</f>
        <v/>
      </c>
      <c r="M2383">
        <f>IF(AND(H2383="",OR(F2383="No-show",F2383="Late cancel")),1,0)</f>
        <v/>
      </c>
      <c r="N2383">
        <f>IF(AND(H2383="",F2383="",D2383&lt;&gt;"",I2383&gt;=TODAY()),ROUND((I2383+IF(ISNUMBER(C2383),MOD(C2383,1),0))*1440,0)*10000+ROW(),"")</f>
        <v/>
      </c>
    </row>
    <row r="2384">
      <c r="A2384" s="1" t="n"/>
      <c r="B2384" s="17" t="n"/>
      <c r="C2384" s="18" t="n"/>
      <c r="D2384" s="19" t="n"/>
      <c r="E2384" s="20" t="n"/>
      <c r="F2384" s="20" t="n"/>
      <c r="G2384" s="21" t="n"/>
      <c r="H2384" s="12">
        <f>IF(AND(B2384="",D2384="",F2384=""),"",IF(NOT(ISNUMBER(B2384)),"Needs a date",IF(D2384="","Needs a client",IF(COUNTIF(Clients!$B$6:$B$105,D2384)=0,"Not on Clients",IF(AND(F2384="",INT(B2384)&lt;TODAY()),"Needs a status","")))))</f>
        <v/>
      </c>
      <c r="I2384" s="1">
        <f>IF(ISNUMBER(B2384),INT(B2384),0)</f>
        <v/>
      </c>
      <c r="J2384">
        <f>IF(ISNUMBER(B2384),YEAR(B2384)*100+MONTH(B2384),"")</f>
        <v/>
      </c>
      <c r="K2384">
        <f>IF(AND(H2384="",OR(F2384="Attended",F2384="No-show",AND(F2384="Late cancel",Settings!$C$9="Yes"))),1,0)</f>
        <v/>
      </c>
      <c r="L2384">
        <f>IF(AND(H2384="",F2384="Attended"),1,0)</f>
        <v/>
      </c>
      <c r="M2384">
        <f>IF(AND(H2384="",OR(F2384="No-show",F2384="Late cancel")),1,0)</f>
        <v/>
      </c>
      <c r="N2384">
        <f>IF(AND(H2384="",F2384="",D2384&lt;&gt;"",I2384&gt;=TODAY()),ROUND((I2384+IF(ISNUMBER(C2384),MOD(C2384,1),0))*1440,0)*10000+ROW(),"")</f>
        <v/>
      </c>
    </row>
    <row r="2385">
      <c r="A2385" s="1" t="n"/>
      <c r="B2385" s="17" t="n"/>
      <c r="C2385" s="18" t="n"/>
      <c r="D2385" s="19" t="n"/>
      <c r="E2385" s="20" t="n"/>
      <c r="F2385" s="20" t="n"/>
      <c r="G2385" s="21" t="n"/>
      <c r="H2385" s="12">
        <f>IF(AND(B2385="",D2385="",F2385=""),"",IF(NOT(ISNUMBER(B2385)),"Needs a date",IF(D2385="","Needs a client",IF(COUNTIF(Clients!$B$6:$B$105,D2385)=0,"Not on Clients",IF(AND(F2385="",INT(B2385)&lt;TODAY()),"Needs a status","")))))</f>
        <v/>
      </c>
      <c r="I2385" s="1">
        <f>IF(ISNUMBER(B2385),INT(B2385),0)</f>
        <v/>
      </c>
      <c r="J2385">
        <f>IF(ISNUMBER(B2385),YEAR(B2385)*100+MONTH(B2385),"")</f>
        <v/>
      </c>
      <c r="K2385">
        <f>IF(AND(H2385="",OR(F2385="Attended",F2385="No-show",AND(F2385="Late cancel",Settings!$C$9="Yes"))),1,0)</f>
        <v/>
      </c>
      <c r="L2385">
        <f>IF(AND(H2385="",F2385="Attended"),1,0)</f>
        <v/>
      </c>
      <c r="M2385">
        <f>IF(AND(H2385="",OR(F2385="No-show",F2385="Late cancel")),1,0)</f>
        <v/>
      </c>
      <c r="N2385">
        <f>IF(AND(H2385="",F2385="",D2385&lt;&gt;"",I2385&gt;=TODAY()),ROUND((I2385+IF(ISNUMBER(C2385),MOD(C2385,1),0))*1440,0)*10000+ROW(),"")</f>
        <v/>
      </c>
    </row>
    <row r="2386">
      <c r="A2386" s="1" t="n"/>
      <c r="B2386" s="17" t="n"/>
      <c r="C2386" s="18" t="n"/>
      <c r="D2386" s="19" t="n"/>
      <c r="E2386" s="20" t="n"/>
      <c r="F2386" s="20" t="n"/>
      <c r="G2386" s="21" t="n"/>
      <c r="H2386" s="12">
        <f>IF(AND(B2386="",D2386="",F2386=""),"",IF(NOT(ISNUMBER(B2386)),"Needs a date",IF(D2386="","Needs a client",IF(COUNTIF(Clients!$B$6:$B$105,D2386)=0,"Not on Clients",IF(AND(F2386="",INT(B2386)&lt;TODAY()),"Needs a status","")))))</f>
        <v/>
      </c>
      <c r="I2386" s="1">
        <f>IF(ISNUMBER(B2386),INT(B2386),0)</f>
        <v/>
      </c>
      <c r="J2386">
        <f>IF(ISNUMBER(B2386),YEAR(B2386)*100+MONTH(B2386),"")</f>
        <v/>
      </c>
      <c r="K2386">
        <f>IF(AND(H2386="",OR(F2386="Attended",F2386="No-show",AND(F2386="Late cancel",Settings!$C$9="Yes"))),1,0)</f>
        <v/>
      </c>
      <c r="L2386">
        <f>IF(AND(H2386="",F2386="Attended"),1,0)</f>
        <v/>
      </c>
      <c r="M2386">
        <f>IF(AND(H2386="",OR(F2386="No-show",F2386="Late cancel")),1,0)</f>
        <v/>
      </c>
      <c r="N2386">
        <f>IF(AND(H2386="",F2386="",D2386&lt;&gt;"",I2386&gt;=TODAY()),ROUND((I2386+IF(ISNUMBER(C2386),MOD(C2386,1),0))*1440,0)*10000+ROW(),"")</f>
        <v/>
      </c>
    </row>
    <row r="2387">
      <c r="A2387" s="1" t="n"/>
      <c r="B2387" s="17" t="n"/>
      <c r="C2387" s="18" t="n"/>
      <c r="D2387" s="19" t="n"/>
      <c r="E2387" s="20" t="n"/>
      <c r="F2387" s="20" t="n"/>
      <c r="G2387" s="21" t="n"/>
      <c r="H2387" s="12">
        <f>IF(AND(B2387="",D2387="",F2387=""),"",IF(NOT(ISNUMBER(B2387)),"Needs a date",IF(D2387="","Needs a client",IF(COUNTIF(Clients!$B$6:$B$105,D2387)=0,"Not on Clients",IF(AND(F2387="",INT(B2387)&lt;TODAY()),"Needs a status","")))))</f>
        <v/>
      </c>
      <c r="I2387" s="1">
        <f>IF(ISNUMBER(B2387),INT(B2387),0)</f>
        <v/>
      </c>
      <c r="J2387">
        <f>IF(ISNUMBER(B2387),YEAR(B2387)*100+MONTH(B2387),"")</f>
        <v/>
      </c>
      <c r="K2387">
        <f>IF(AND(H2387="",OR(F2387="Attended",F2387="No-show",AND(F2387="Late cancel",Settings!$C$9="Yes"))),1,0)</f>
        <v/>
      </c>
      <c r="L2387">
        <f>IF(AND(H2387="",F2387="Attended"),1,0)</f>
        <v/>
      </c>
      <c r="M2387">
        <f>IF(AND(H2387="",OR(F2387="No-show",F2387="Late cancel")),1,0)</f>
        <v/>
      </c>
      <c r="N2387">
        <f>IF(AND(H2387="",F2387="",D2387&lt;&gt;"",I2387&gt;=TODAY()),ROUND((I2387+IF(ISNUMBER(C2387),MOD(C2387,1),0))*1440,0)*10000+ROW(),"")</f>
        <v/>
      </c>
    </row>
    <row r="2388">
      <c r="A2388" s="1" t="n"/>
      <c r="B2388" s="17" t="n"/>
      <c r="C2388" s="18" t="n"/>
      <c r="D2388" s="19" t="n"/>
      <c r="E2388" s="20" t="n"/>
      <c r="F2388" s="20" t="n"/>
      <c r="G2388" s="21" t="n"/>
      <c r="H2388" s="12">
        <f>IF(AND(B2388="",D2388="",F2388=""),"",IF(NOT(ISNUMBER(B2388)),"Needs a date",IF(D2388="","Needs a client",IF(COUNTIF(Clients!$B$6:$B$105,D2388)=0,"Not on Clients",IF(AND(F2388="",INT(B2388)&lt;TODAY()),"Needs a status","")))))</f>
        <v/>
      </c>
      <c r="I2388" s="1">
        <f>IF(ISNUMBER(B2388),INT(B2388),0)</f>
        <v/>
      </c>
      <c r="J2388">
        <f>IF(ISNUMBER(B2388),YEAR(B2388)*100+MONTH(B2388),"")</f>
        <v/>
      </c>
      <c r="K2388">
        <f>IF(AND(H2388="",OR(F2388="Attended",F2388="No-show",AND(F2388="Late cancel",Settings!$C$9="Yes"))),1,0)</f>
        <v/>
      </c>
      <c r="L2388">
        <f>IF(AND(H2388="",F2388="Attended"),1,0)</f>
        <v/>
      </c>
      <c r="M2388">
        <f>IF(AND(H2388="",OR(F2388="No-show",F2388="Late cancel")),1,0)</f>
        <v/>
      </c>
      <c r="N2388">
        <f>IF(AND(H2388="",F2388="",D2388&lt;&gt;"",I2388&gt;=TODAY()),ROUND((I2388+IF(ISNUMBER(C2388),MOD(C2388,1),0))*1440,0)*10000+ROW(),"")</f>
        <v/>
      </c>
    </row>
    <row r="2389">
      <c r="A2389" s="1" t="n"/>
      <c r="B2389" s="17" t="n"/>
      <c r="C2389" s="18" t="n"/>
      <c r="D2389" s="19" t="n"/>
      <c r="E2389" s="20" t="n"/>
      <c r="F2389" s="20" t="n"/>
      <c r="G2389" s="21" t="n"/>
      <c r="H2389" s="12">
        <f>IF(AND(B2389="",D2389="",F2389=""),"",IF(NOT(ISNUMBER(B2389)),"Needs a date",IF(D2389="","Needs a client",IF(COUNTIF(Clients!$B$6:$B$105,D2389)=0,"Not on Clients",IF(AND(F2389="",INT(B2389)&lt;TODAY()),"Needs a status","")))))</f>
        <v/>
      </c>
      <c r="I2389" s="1">
        <f>IF(ISNUMBER(B2389),INT(B2389),0)</f>
        <v/>
      </c>
      <c r="J2389">
        <f>IF(ISNUMBER(B2389),YEAR(B2389)*100+MONTH(B2389),"")</f>
        <v/>
      </c>
      <c r="K2389">
        <f>IF(AND(H2389="",OR(F2389="Attended",F2389="No-show",AND(F2389="Late cancel",Settings!$C$9="Yes"))),1,0)</f>
        <v/>
      </c>
      <c r="L2389">
        <f>IF(AND(H2389="",F2389="Attended"),1,0)</f>
        <v/>
      </c>
      <c r="M2389">
        <f>IF(AND(H2389="",OR(F2389="No-show",F2389="Late cancel")),1,0)</f>
        <v/>
      </c>
      <c r="N2389">
        <f>IF(AND(H2389="",F2389="",D2389&lt;&gt;"",I2389&gt;=TODAY()),ROUND((I2389+IF(ISNUMBER(C2389),MOD(C2389,1),0))*1440,0)*10000+ROW(),"")</f>
        <v/>
      </c>
    </row>
    <row r="2390">
      <c r="A2390" s="1" t="n"/>
      <c r="B2390" s="17" t="n"/>
      <c r="C2390" s="18" t="n"/>
      <c r="D2390" s="19" t="n"/>
      <c r="E2390" s="20" t="n"/>
      <c r="F2390" s="20" t="n"/>
      <c r="G2390" s="21" t="n"/>
      <c r="H2390" s="12">
        <f>IF(AND(B2390="",D2390="",F2390=""),"",IF(NOT(ISNUMBER(B2390)),"Needs a date",IF(D2390="","Needs a client",IF(COUNTIF(Clients!$B$6:$B$105,D2390)=0,"Not on Clients",IF(AND(F2390="",INT(B2390)&lt;TODAY()),"Needs a status","")))))</f>
        <v/>
      </c>
      <c r="I2390" s="1">
        <f>IF(ISNUMBER(B2390),INT(B2390),0)</f>
        <v/>
      </c>
      <c r="J2390">
        <f>IF(ISNUMBER(B2390),YEAR(B2390)*100+MONTH(B2390),"")</f>
        <v/>
      </c>
      <c r="K2390">
        <f>IF(AND(H2390="",OR(F2390="Attended",F2390="No-show",AND(F2390="Late cancel",Settings!$C$9="Yes"))),1,0)</f>
        <v/>
      </c>
      <c r="L2390">
        <f>IF(AND(H2390="",F2390="Attended"),1,0)</f>
        <v/>
      </c>
      <c r="M2390">
        <f>IF(AND(H2390="",OR(F2390="No-show",F2390="Late cancel")),1,0)</f>
        <v/>
      </c>
      <c r="N2390">
        <f>IF(AND(H2390="",F2390="",D2390&lt;&gt;"",I2390&gt;=TODAY()),ROUND((I2390+IF(ISNUMBER(C2390),MOD(C2390,1),0))*1440,0)*10000+ROW(),"")</f>
        <v/>
      </c>
    </row>
    <row r="2391">
      <c r="A2391" s="1" t="n"/>
      <c r="B2391" s="17" t="n"/>
      <c r="C2391" s="18" t="n"/>
      <c r="D2391" s="19" t="n"/>
      <c r="E2391" s="20" t="n"/>
      <c r="F2391" s="20" t="n"/>
      <c r="G2391" s="21" t="n"/>
      <c r="H2391" s="12">
        <f>IF(AND(B2391="",D2391="",F2391=""),"",IF(NOT(ISNUMBER(B2391)),"Needs a date",IF(D2391="","Needs a client",IF(COUNTIF(Clients!$B$6:$B$105,D2391)=0,"Not on Clients",IF(AND(F2391="",INT(B2391)&lt;TODAY()),"Needs a status","")))))</f>
        <v/>
      </c>
      <c r="I2391" s="1">
        <f>IF(ISNUMBER(B2391),INT(B2391),0)</f>
        <v/>
      </c>
      <c r="J2391">
        <f>IF(ISNUMBER(B2391),YEAR(B2391)*100+MONTH(B2391),"")</f>
        <v/>
      </c>
      <c r="K2391">
        <f>IF(AND(H2391="",OR(F2391="Attended",F2391="No-show",AND(F2391="Late cancel",Settings!$C$9="Yes"))),1,0)</f>
        <v/>
      </c>
      <c r="L2391">
        <f>IF(AND(H2391="",F2391="Attended"),1,0)</f>
        <v/>
      </c>
      <c r="M2391">
        <f>IF(AND(H2391="",OR(F2391="No-show",F2391="Late cancel")),1,0)</f>
        <v/>
      </c>
      <c r="N2391">
        <f>IF(AND(H2391="",F2391="",D2391&lt;&gt;"",I2391&gt;=TODAY()),ROUND((I2391+IF(ISNUMBER(C2391),MOD(C2391,1),0))*1440,0)*10000+ROW(),"")</f>
        <v/>
      </c>
    </row>
    <row r="2392">
      <c r="A2392" s="1" t="n"/>
      <c r="B2392" s="17" t="n"/>
      <c r="C2392" s="18" t="n"/>
      <c r="D2392" s="19" t="n"/>
      <c r="E2392" s="20" t="n"/>
      <c r="F2392" s="20" t="n"/>
      <c r="G2392" s="21" t="n"/>
      <c r="H2392" s="12">
        <f>IF(AND(B2392="",D2392="",F2392=""),"",IF(NOT(ISNUMBER(B2392)),"Needs a date",IF(D2392="","Needs a client",IF(COUNTIF(Clients!$B$6:$B$105,D2392)=0,"Not on Clients",IF(AND(F2392="",INT(B2392)&lt;TODAY()),"Needs a status","")))))</f>
        <v/>
      </c>
      <c r="I2392" s="1">
        <f>IF(ISNUMBER(B2392),INT(B2392),0)</f>
        <v/>
      </c>
      <c r="J2392">
        <f>IF(ISNUMBER(B2392),YEAR(B2392)*100+MONTH(B2392),"")</f>
        <v/>
      </c>
      <c r="K2392">
        <f>IF(AND(H2392="",OR(F2392="Attended",F2392="No-show",AND(F2392="Late cancel",Settings!$C$9="Yes"))),1,0)</f>
        <v/>
      </c>
      <c r="L2392">
        <f>IF(AND(H2392="",F2392="Attended"),1,0)</f>
        <v/>
      </c>
      <c r="M2392">
        <f>IF(AND(H2392="",OR(F2392="No-show",F2392="Late cancel")),1,0)</f>
        <v/>
      </c>
      <c r="N2392">
        <f>IF(AND(H2392="",F2392="",D2392&lt;&gt;"",I2392&gt;=TODAY()),ROUND((I2392+IF(ISNUMBER(C2392),MOD(C2392,1),0))*1440,0)*10000+ROW(),"")</f>
        <v/>
      </c>
    </row>
    <row r="2393">
      <c r="A2393" s="1" t="n"/>
      <c r="B2393" s="17" t="n"/>
      <c r="C2393" s="18" t="n"/>
      <c r="D2393" s="19" t="n"/>
      <c r="E2393" s="20" t="n"/>
      <c r="F2393" s="20" t="n"/>
      <c r="G2393" s="21" t="n"/>
      <c r="H2393" s="12">
        <f>IF(AND(B2393="",D2393="",F2393=""),"",IF(NOT(ISNUMBER(B2393)),"Needs a date",IF(D2393="","Needs a client",IF(COUNTIF(Clients!$B$6:$B$105,D2393)=0,"Not on Clients",IF(AND(F2393="",INT(B2393)&lt;TODAY()),"Needs a status","")))))</f>
        <v/>
      </c>
      <c r="I2393" s="1">
        <f>IF(ISNUMBER(B2393),INT(B2393),0)</f>
        <v/>
      </c>
      <c r="J2393">
        <f>IF(ISNUMBER(B2393),YEAR(B2393)*100+MONTH(B2393),"")</f>
        <v/>
      </c>
      <c r="K2393">
        <f>IF(AND(H2393="",OR(F2393="Attended",F2393="No-show",AND(F2393="Late cancel",Settings!$C$9="Yes"))),1,0)</f>
        <v/>
      </c>
      <c r="L2393">
        <f>IF(AND(H2393="",F2393="Attended"),1,0)</f>
        <v/>
      </c>
      <c r="M2393">
        <f>IF(AND(H2393="",OR(F2393="No-show",F2393="Late cancel")),1,0)</f>
        <v/>
      </c>
      <c r="N2393">
        <f>IF(AND(H2393="",F2393="",D2393&lt;&gt;"",I2393&gt;=TODAY()),ROUND((I2393+IF(ISNUMBER(C2393),MOD(C2393,1),0))*1440,0)*10000+ROW(),"")</f>
        <v/>
      </c>
    </row>
    <row r="2394">
      <c r="A2394" s="1" t="n"/>
      <c r="B2394" s="17" t="n"/>
      <c r="C2394" s="18" t="n"/>
      <c r="D2394" s="19" t="n"/>
      <c r="E2394" s="20" t="n"/>
      <c r="F2394" s="20" t="n"/>
      <c r="G2394" s="21" t="n"/>
      <c r="H2394" s="12">
        <f>IF(AND(B2394="",D2394="",F2394=""),"",IF(NOT(ISNUMBER(B2394)),"Needs a date",IF(D2394="","Needs a client",IF(COUNTIF(Clients!$B$6:$B$105,D2394)=0,"Not on Clients",IF(AND(F2394="",INT(B2394)&lt;TODAY()),"Needs a status","")))))</f>
        <v/>
      </c>
      <c r="I2394" s="1">
        <f>IF(ISNUMBER(B2394),INT(B2394),0)</f>
        <v/>
      </c>
      <c r="J2394">
        <f>IF(ISNUMBER(B2394),YEAR(B2394)*100+MONTH(B2394),"")</f>
        <v/>
      </c>
      <c r="K2394">
        <f>IF(AND(H2394="",OR(F2394="Attended",F2394="No-show",AND(F2394="Late cancel",Settings!$C$9="Yes"))),1,0)</f>
        <v/>
      </c>
      <c r="L2394">
        <f>IF(AND(H2394="",F2394="Attended"),1,0)</f>
        <v/>
      </c>
      <c r="M2394">
        <f>IF(AND(H2394="",OR(F2394="No-show",F2394="Late cancel")),1,0)</f>
        <v/>
      </c>
      <c r="N2394">
        <f>IF(AND(H2394="",F2394="",D2394&lt;&gt;"",I2394&gt;=TODAY()),ROUND((I2394+IF(ISNUMBER(C2394),MOD(C2394,1),0))*1440,0)*10000+ROW(),"")</f>
        <v/>
      </c>
    </row>
    <row r="2395">
      <c r="A2395" s="1" t="n"/>
      <c r="B2395" s="17" t="n"/>
      <c r="C2395" s="18" t="n"/>
      <c r="D2395" s="19" t="n"/>
      <c r="E2395" s="20" t="n"/>
      <c r="F2395" s="20" t="n"/>
      <c r="G2395" s="21" t="n"/>
      <c r="H2395" s="12">
        <f>IF(AND(B2395="",D2395="",F2395=""),"",IF(NOT(ISNUMBER(B2395)),"Needs a date",IF(D2395="","Needs a client",IF(COUNTIF(Clients!$B$6:$B$105,D2395)=0,"Not on Clients",IF(AND(F2395="",INT(B2395)&lt;TODAY()),"Needs a status","")))))</f>
        <v/>
      </c>
      <c r="I2395" s="1">
        <f>IF(ISNUMBER(B2395),INT(B2395),0)</f>
        <v/>
      </c>
      <c r="J2395">
        <f>IF(ISNUMBER(B2395),YEAR(B2395)*100+MONTH(B2395),"")</f>
        <v/>
      </c>
      <c r="K2395">
        <f>IF(AND(H2395="",OR(F2395="Attended",F2395="No-show",AND(F2395="Late cancel",Settings!$C$9="Yes"))),1,0)</f>
        <v/>
      </c>
      <c r="L2395">
        <f>IF(AND(H2395="",F2395="Attended"),1,0)</f>
        <v/>
      </c>
      <c r="M2395">
        <f>IF(AND(H2395="",OR(F2395="No-show",F2395="Late cancel")),1,0)</f>
        <v/>
      </c>
      <c r="N2395">
        <f>IF(AND(H2395="",F2395="",D2395&lt;&gt;"",I2395&gt;=TODAY()),ROUND((I2395+IF(ISNUMBER(C2395),MOD(C2395,1),0))*1440,0)*10000+ROW(),"")</f>
        <v/>
      </c>
    </row>
    <row r="2396">
      <c r="A2396" s="1" t="n"/>
      <c r="B2396" s="17" t="n"/>
      <c r="C2396" s="18" t="n"/>
      <c r="D2396" s="19" t="n"/>
      <c r="E2396" s="20" t="n"/>
      <c r="F2396" s="20" t="n"/>
      <c r="G2396" s="21" t="n"/>
      <c r="H2396" s="12">
        <f>IF(AND(B2396="",D2396="",F2396=""),"",IF(NOT(ISNUMBER(B2396)),"Needs a date",IF(D2396="","Needs a client",IF(COUNTIF(Clients!$B$6:$B$105,D2396)=0,"Not on Clients",IF(AND(F2396="",INT(B2396)&lt;TODAY()),"Needs a status","")))))</f>
        <v/>
      </c>
      <c r="I2396" s="1">
        <f>IF(ISNUMBER(B2396),INT(B2396),0)</f>
        <v/>
      </c>
      <c r="J2396">
        <f>IF(ISNUMBER(B2396),YEAR(B2396)*100+MONTH(B2396),"")</f>
        <v/>
      </c>
      <c r="K2396">
        <f>IF(AND(H2396="",OR(F2396="Attended",F2396="No-show",AND(F2396="Late cancel",Settings!$C$9="Yes"))),1,0)</f>
        <v/>
      </c>
      <c r="L2396">
        <f>IF(AND(H2396="",F2396="Attended"),1,0)</f>
        <v/>
      </c>
      <c r="M2396">
        <f>IF(AND(H2396="",OR(F2396="No-show",F2396="Late cancel")),1,0)</f>
        <v/>
      </c>
      <c r="N2396">
        <f>IF(AND(H2396="",F2396="",D2396&lt;&gt;"",I2396&gt;=TODAY()),ROUND((I2396+IF(ISNUMBER(C2396),MOD(C2396,1),0))*1440,0)*10000+ROW(),"")</f>
        <v/>
      </c>
    </row>
    <row r="2397">
      <c r="A2397" s="1" t="n"/>
      <c r="B2397" s="17" t="n"/>
      <c r="C2397" s="18" t="n"/>
      <c r="D2397" s="19" t="n"/>
      <c r="E2397" s="20" t="n"/>
      <c r="F2397" s="20" t="n"/>
      <c r="G2397" s="21" t="n"/>
      <c r="H2397" s="12">
        <f>IF(AND(B2397="",D2397="",F2397=""),"",IF(NOT(ISNUMBER(B2397)),"Needs a date",IF(D2397="","Needs a client",IF(COUNTIF(Clients!$B$6:$B$105,D2397)=0,"Not on Clients",IF(AND(F2397="",INT(B2397)&lt;TODAY()),"Needs a status","")))))</f>
        <v/>
      </c>
      <c r="I2397" s="1">
        <f>IF(ISNUMBER(B2397),INT(B2397),0)</f>
        <v/>
      </c>
      <c r="J2397">
        <f>IF(ISNUMBER(B2397),YEAR(B2397)*100+MONTH(B2397),"")</f>
        <v/>
      </c>
      <c r="K2397">
        <f>IF(AND(H2397="",OR(F2397="Attended",F2397="No-show",AND(F2397="Late cancel",Settings!$C$9="Yes"))),1,0)</f>
        <v/>
      </c>
      <c r="L2397">
        <f>IF(AND(H2397="",F2397="Attended"),1,0)</f>
        <v/>
      </c>
      <c r="M2397">
        <f>IF(AND(H2397="",OR(F2397="No-show",F2397="Late cancel")),1,0)</f>
        <v/>
      </c>
      <c r="N2397">
        <f>IF(AND(H2397="",F2397="",D2397&lt;&gt;"",I2397&gt;=TODAY()),ROUND((I2397+IF(ISNUMBER(C2397),MOD(C2397,1),0))*1440,0)*10000+ROW(),"")</f>
        <v/>
      </c>
    </row>
    <row r="2398">
      <c r="A2398" s="1" t="n"/>
      <c r="B2398" s="17" t="n"/>
      <c r="C2398" s="18" t="n"/>
      <c r="D2398" s="19" t="n"/>
      <c r="E2398" s="20" t="n"/>
      <c r="F2398" s="20" t="n"/>
      <c r="G2398" s="21" t="n"/>
      <c r="H2398" s="12">
        <f>IF(AND(B2398="",D2398="",F2398=""),"",IF(NOT(ISNUMBER(B2398)),"Needs a date",IF(D2398="","Needs a client",IF(COUNTIF(Clients!$B$6:$B$105,D2398)=0,"Not on Clients",IF(AND(F2398="",INT(B2398)&lt;TODAY()),"Needs a status","")))))</f>
        <v/>
      </c>
      <c r="I2398" s="1">
        <f>IF(ISNUMBER(B2398),INT(B2398),0)</f>
        <v/>
      </c>
      <c r="J2398">
        <f>IF(ISNUMBER(B2398),YEAR(B2398)*100+MONTH(B2398),"")</f>
        <v/>
      </c>
      <c r="K2398">
        <f>IF(AND(H2398="",OR(F2398="Attended",F2398="No-show",AND(F2398="Late cancel",Settings!$C$9="Yes"))),1,0)</f>
        <v/>
      </c>
      <c r="L2398">
        <f>IF(AND(H2398="",F2398="Attended"),1,0)</f>
        <v/>
      </c>
      <c r="M2398">
        <f>IF(AND(H2398="",OR(F2398="No-show",F2398="Late cancel")),1,0)</f>
        <v/>
      </c>
      <c r="N2398">
        <f>IF(AND(H2398="",F2398="",D2398&lt;&gt;"",I2398&gt;=TODAY()),ROUND((I2398+IF(ISNUMBER(C2398),MOD(C2398,1),0))*1440,0)*10000+ROW(),"")</f>
        <v/>
      </c>
    </row>
    <row r="2399">
      <c r="A2399" s="1" t="n"/>
      <c r="B2399" s="17" t="n"/>
      <c r="C2399" s="18" t="n"/>
      <c r="D2399" s="19" t="n"/>
      <c r="E2399" s="20" t="n"/>
      <c r="F2399" s="20" t="n"/>
      <c r="G2399" s="21" t="n"/>
      <c r="H2399" s="12">
        <f>IF(AND(B2399="",D2399="",F2399=""),"",IF(NOT(ISNUMBER(B2399)),"Needs a date",IF(D2399="","Needs a client",IF(COUNTIF(Clients!$B$6:$B$105,D2399)=0,"Not on Clients",IF(AND(F2399="",INT(B2399)&lt;TODAY()),"Needs a status","")))))</f>
        <v/>
      </c>
      <c r="I2399" s="1">
        <f>IF(ISNUMBER(B2399),INT(B2399),0)</f>
        <v/>
      </c>
      <c r="J2399">
        <f>IF(ISNUMBER(B2399),YEAR(B2399)*100+MONTH(B2399),"")</f>
        <v/>
      </c>
      <c r="K2399">
        <f>IF(AND(H2399="",OR(F2399="Attended",F2399="No-show",AND(F2399="Late cancel",Settings!$C$9="Yes"))),1,0)</f>
        <v/>
      </c>
      <c r="L2399">
        <f>IF(AND(H2399="",F2399="Attended"),1,0)</f>
        <v/>
      </c>
      <c r="M2399">
        <f>IF(AND(H2399="",OR(F2399="No-show",F2399="Late cancel")),1,0)</f>
        <v/>
      </c>
      <c r="N2399">
        <f>IF(AND(H2399="",F2399="",D2399&lt;&gt;"",I2399&gt;=TODAY()),ROUND((I2399+IF(ISNUMBER(C2399),MOD(C2399,1),0))*1440,0)*10000+ROW(),"")</f>
        <v/>
      </c>
    </row>
    <row r="2400">
      <c r="A2400" s="1" t="n"/>
      <c r="B2400" s="17" t="n"/>
      <c r="C2400" s="18" t="n"/>
      <c r="D2400" s="19" t="n"/>
      <c r="E2400" s="20" t="n"/>
      <c r="F2400" s="20" t="n"/>
      <c r="G2400" s="21" t="n"/>
      <c r="H2400" s="12">
        <f>IF(AND(B2400="",D2400="",F2400=""),"",IF(NOT(ISNUMBER(B2400)),"Needs a date",IF(D2400="","Needs a client",IF(COUNTIF(Clients!$B$6:$B$105,D2400)=0,"Not on Clients",IF(AND(F2400="",INT(B2400)&lt;TODAY()),"Needs a status","")))))</f>
        <v/>
      </c>
      <c r="I2400" s="1">
        <f>IF(ISNUMBER(B2400),INT(B2400),0)</f>
        <v/>
      </c>
      <c r="J2400">
        <f>IF(ISNUMBER(B2400),YEAR(B2400)*100+MONTH(B2400),"")</f>
        <v/>
      </c>
      <c r="K2400">
        <f>IF(AND(H2400="",OR(F2400="Attended",F2400="No-show",AND(F2400="Late cancel",Settings!$C$9="Yes"))),1,0)</f>
        <v/>
      </c>
      <c r="L2400">
        <f>IF(AND(H2400="",F2400="Attended"),1,0)</f>
        <v/>
      </c>
      <c r="M2400">
        <f>IF(AND(H2400="",OR(F2400="No-show",F2400="Late cancel")),1,0)</f>
        <v/>
      </c>
      <c r="N2400">
        <f>IF(AND(H2400="",F2400="",D2400&lt;&gt;"",I2400&gt;=TODAY()),ROUND((I2400+IF(ISNUMBER(C2400),MOD(C2400,1),0))*1440,0)*10000+ROW(),"")</f>
        <v/>
      </c>
    </row>
    <row r="2401">
      <c r="A2401" s="1" t="n"/>
      <c r="B2401" s="17" t="n"/>
      <c r="C2401" s="18" t="n"/>
      <c r="D2401" s="19" t="n"/>
      <c r="E2401" s="20" t="n"/>
      <c r="F2401" s="20" t="n"/>
      <c r="G2401" s="21" t="n"/>
      <c r="H2401" s="12">
        <f>IF(AND(B2401="",D2401="",F2401=""),"",IF(NOT(ISNUMBER(B2401)),"Needs a date",IF(D2401="","Needs a client",IF(COUNTIF(Clients!$B$6:$B$105,D2401)=0,"Not on Clients",IF(AND(F2401="",INT(B2401)&lt;TODAY()),"Needs a status","")))))</f>
        <v/>
      </c>
      <c r="I2401" s="1">
        <f>IF(ISNUMBER(B2401),INT(B2401),0)</f>
        <v/>
      </c>
      <c r="J2401">
        <f>IF(ISNUMBER(B2401),YEAR(B2401)*100+MONTH(B2401),"")</f>
        <v/>
      </c>
      <c r="K2401">
        <f>IF(AND(H2401="",OR(F2401="Attended",F2401="No-show",AND(F2401="Late cancel",Settings!$C$9="Yes"))),1,0)</f>
        <v/>
      </c>
      <c r="L2401">
        <f>IF(AND(H2401="",F2401="Attended"),1,0)</f>
        <v/>
      </c>
      <c r="M2401">
        <f>IF(AND(H2401="",OR(F2401="No-show",F2401="Late cancel")),1,0)</f>
        <v/>
      </c>
      <c r="N2401">
        <f>IF(AND(H2401="",F2401="",D2401&lt;&gt;"",I2401&gt;=TODAY()),ROUND((I2401+IF(ISNUMBER(C2401),MOD(C2401,1),0))*1440,0)*10000+ROW(),"")</f>
        <v/>
      </c>
    </row>
    <row r="2402">
      <c r="A2402" s="1" t="n"/>
      <c r="B2402" s="17" t="n"/>
      <c r="C2402" s="18" t="n"/>
      <c r="D2402" s="19" t="n"/>
      <c r="E2402" s="20" t="n"/>
      <c r="F2402" s="20" t="n"/>
      <c r="G2402" s="21" t="n"/>
      <c r="H2402" s="12">
        <f>IF(AND(B2402="",D2402="",F2402=""),"",IF(NOT(ISNUMBER(B2402)),"Needs a date",IF(D2402="","Needs a client",IF(COUNTIF(Clients!$B$6:$B$105,D2402)=0,"Not on Clients",IF(AND(F2402="",INT(B2402)&lt;TODAY()),"Needs a status","")))))</f>
        <v/>
      </c>
      <c r="I2402" s="1">
        <f>IF(ISNUMBER(B2402),INT(B2402),0)</f>
        <v/>
      </c>
      <c r="J2402">
        <f>IF(ISNUMBER(B2402),YEAR(B2402)*100+MONTH(B2402),"")</f>
        <v/>
      </c>
      <c r="K2402">
        <f>IF(AND(H2402="",OR(F2402="Attended",F2402="No-show",AND(F2402="Late cancel",Settings!$C$9="Yes"))),1,0)</f>
        <v/>
      </c>
      <c r="L2402">
        <f>IF(AND(H2402="",F2402="Attended"),1,0)</f>
        <v/>
      </c>
      <c r="M2402">
        <f>IF(AND(H2402="",OR(F2402="No-show",F2402="Late cancel")),1,0)</f>
        <v/>
      </c>
      <c r="N2402">
        <f>IF(AND(H2402="",F2402="",D2402&lt;&gt;"",I2402&gt;=TODAY()),ROUND((I2402+IF(ISNUMBER(C2402),MOD(C2402,1),0))*1440,0)*10000+ROW(),"")</f>
        <v/>
      </c>
    </row>
    <row r="2403">
      <c r="A2403" s="1" t="n"/>
      <c r="B2403" s="17" t="n"/>
      <c r="C2403" s="18" t="n"/>
      <c r="D2403" s="19" t="n"/>
      <c r="E2403" s="20" t="n"/>
      <c r="F2403" s="20" t="n"/>
      <c r="G2403" s="21" t="n"/>
      <c r="H2403" s="12">
        <f>IF(AND(B2403="",D2403="",F2403=""),"",IF(NOT(ISNUMBER(B2403)),"Needs a date",IF(D2403="","Needs a client",IF(COUNTIF(Clients!$B$6:$B$105,D2403)=0,"Not on Clients",IF(AND(F2403="",INT(B2403)&lt;TODAY()),"Needs a status","")))))</f>
        <v/>
      </c>
      <c r="I2403" s="1">
        <f>IF(ISNUMBER(B2403),INT(B2403),0)</f>
        <v/>
      </c>
      <c r="J2403">
        <f>IF(ISNUMBER(B2403),YEAR(B2403)*100+MONTH(B2403),"")</f>
        <v/>
      </c>
      <c r="K2403">
        <f>IF(AND(H2403="",OR(F2403="Attended",F2403="No-show",AND(F2403="Late cancel",Settings!$C$9="Yes"))),1,0)</f>
        <v/>
      </c>
      <c r="L2403">
        <f>IF(AND(H2403="",F2403="Attended"),1,0)</f>
        <v/>
      </c>
      <c r="M2403">
        <f>IF(AND(H2403="",OR(F2403="No-show",F2403="Late cancel")),1,0)</f>
        <v/>
      </c>
      <c r="N2403">
        <f>IF(AND(H2403="",F2403="",D2403&lt;&gt;"",I2403&gt;=TODAY()),ROUND((I2403+IF(ISNUMBER(C2403),MOD(C2403,1),0))*1440,0)*10000+ROW(),"")</f>
        <v/>
      </c>
    </row>
    <row r="2404">
      <c r="A2404" s="1" t="n"/>
      <c r="B2404" s="17" t="n"/>
      <c r="C2404" s="18" t="n"/>
      <c r="D2404" s="19" t="n"/>
      <c r="E2404" s="20" t="n"/>
      <c r="F2404" s="20" t="n"/>
      <c r="G2404" s="21" t="n"/>
      <c r="H2404" s="12">
        <f>IF(AND(B2404="",D2404="",F2404=""),"",IF(NOT(ISNUMBER(B2404)),"Needs a date",IF(D2404="","Needs a client",IF(COUNTIF(Clients!$B$6:$B$105,D2404)=0,"Not on Clients",IF(AND(F2404="",INT(B2404)&lt;TODAY()),"Needs a status","")))))</f>
        <v/>
      </c>
      <c r="I2404" s="1">
        <f>IF(ISNUMBER(B2404),INT(B2404),0)</f>
        <v/>
      </c>
      <c r="J2404">
        <f>IF(ISNUMBER(B2404),YEAR(B2404)*100+MONTH(B2404),"")</f>
        <v/>
      </c>
      <c r="K2404">
        <f>IF(AND(H2404="",OR(F2404="Attended",F2404="No-show",AND(F2404="Late cancel",Settings!$C$9="Yes"))),1,0)</f>
        <v/>
      </c>
      <c r="L2404">
        <f>IF(AND(H2404="",F2404="Attended"),1,0)</f>
        <v/>
      </c>
      <c r="M2404">
        <f>IF(AND(H2404="",OR(F2404="No-show",F2404="Late cancel")),1,0)</f>
        <v/>
      </c>
      <c r="N2404">
        <f>IF(AND(H2404="",F2404="",D2404&lt;&gt;"",I2404&gt;=TODAY()),ROUND((I2404+IF(ISNUMBER(C2404),MOD(C2404,1),0))*1440,0)*10000+ROW(),"")</f>
        <v/>
      </c>
    </row>
    <row r="2405">
      <c r="A2405" s="1" t="n"/>
      <c r="B2405" s="17" t="n"/>
      <c r="C2405" s="18" t="n"/>
      <c r="D2405" s="19" t="n"/>
      <c r="E2405" s="20" t="n"/>
      <c r="F2405" s="20" t="n"/>
      <c r="G2405" s="21" t="n"/>
      <c r="H2405" s="12">
        <f>IF(AND(B2405="",D2405="",F2405=""),"",IF(NOT(ISNUMBER(B2405)),"Needs a date",IF(D2405="","Needs a client",IF(COUNTIF(Clients!$B$6:$B$105,D2405)=0,"Not on Clients",IF(AND(F2405="",INT(B2405)&lt;TODAY()),"Needs a status","")))))</f>
        <v/>
      </c>
      <c r="I2405" s="1">
        <f>IF(ISNUMBER(B2405),INT(B2405),0)</f>
        <v/>
      </c>
      <c r="J2405">
        <f>IF(ISNUMBER(B2405),YEAR(B2405)*100+MONTH(B2405),"")</f>
        <v/>
      </c>
      <c r="K2405">
        <f>IF(AND(H2405="",OR(F2405="Attended",F2405="No-show",AND(F2405="Late cancel",Settings!$C$9="Yes"))),1,0)</f>
        <v/>
      </c>
      <c r="L2405">
        <f>IF(AND(H2405="",F2405="Attended"),1,0)</f>
        <v/>
      </c>
      <c r="M2405">
        <f>IF(AND(H2405="",OR(F2405="No-show",F2405="Late cancel")),1,0)</f>
        <v/>
      </c>
      <c r="N2405">
        <f>IF(AND(H2405="",F2405="",D2405&lt;&gt;"",I2405&gt;=TODAY()),ROUND((I2405+IF(ISNUMBER(C2405),MOD(C2405,1),0))*1440,0)*10000+ROW(),"")</f>
        <v/>
      </c>
    </row>
    <row r="2406">
      <c r="A2406" s="1" t="n"/>
      <c r="B2406" s="17" t="n"/>
      <c r="C2406" s="18" t="n"/>
      <c r="D2406" s="19" t="n"/>
      <c r="E2406" s="20" t="n"/>
      <c r="F2406" s="20" t="n"/>
      <c r="G2406" s="21" t="n"/>
      <c r="H2406" s="12">
        <f>IF(AND(B2406="",D2406="",F2406=""),"",IF(NOT(ISNUMBER(B2406)),"Needs a date",IF(D2406="","Needs a client",IF(COUNTIF(Clients!$B$6:$B$105,D2406)=0,"Not on Clients",IF(AND(F2406="",INT(B2406)&lt;TODAY()),"Needs a status","")))))</f>
        <v/>
      </c>
      <c r="I2406" s="1">
        <f>IF(ISNUMBER(B2406),INT(B2406),0)</f>
        <v/>
      </c>
      <c r="J2406">
        <f>IF(ISNUMBER(B2406),YEAR(B2406)*100+MONTH(B2406),"")</f>
        <v/>
      </c>
      <c r="K2406">
        <f>IF(AND(H2406="",OR(F2406="Attended",F2406="No-show",AND(F2406="Late cancel",Settings!$C$9="Yes"))),1,0)</f>
        <v/>
      </c>
      <c r="L2406">
        <f>IF(AND(H2406="",F2406="Attended"),1,0)</f>
        <v/>
      </c>
      <c r="M2406">
        <f>IF(AND(H2406="",OR(F2406="No-show",F2406="Late cancel")),1,0)</f>
        <v/>
      </c>
      <c r="N2406">
        <f>IF(AND(H2406="",F2406="",D2406&lt;&gt;"",I2406&gt;=TODAY()),ROUND((I2406+IF(ISNUMBER(C2406),MOD(C2406,1),0))*1440,0)*10000+ROW(),"")</f>
        <v/>
      </c>
    </row>
    <row r="2407">
      <c r="A2407" s="1" t="n"/>
      <c r="B2407" s="17" t="n"/>
      <c r="C2407" s="18" t="n"/>
      <c r="D2407" s="19" t="n"/>
      <c r="E2407" s="20" t="n"/>
      <c r="F2407" s="20" t="n"/>
      <c r="G2407" s="21" t="n"/>
      <c r="H2407" s="12">
        <f>IF(AND(B2407="",D2407="",F2407=""),"",IF(NOT(ISNUMBER(B2407)),"Needs a date",IF(D2407="","Needs a client",IF(COUNTIF(Clients!$B$6:$B$105,D2407)=0,"Not on Clients",IF(AND(F2407="",INT(B2407)&lt;TODAY()),"Needs a status","")))))</f>
        <v/>
      </c>
      <c r="I2407" s="1">
        <f>IF(ISNUMBER(B2407),INT(B2407),0)</f>
        <v/>
      </c>
      <c r="J2407">
        <f>IF(ISNUMBER(B2407),YEAR(B2407)*100+MONTH(B2407),"")</f>
        <v/>
      </c>
      <c r="K2407">
        <f>IF(AND(H2407="",OR(F2407="Attended",F2407="No-show",AND(F2407="Late cancel",Settings!$C$9="Yes"))),1,0)</f>
        <v/>
      </c>
      <c r="L2407">
        <f>IF(AND(H2407="",F2407="Attended"),1,0)</f>
        <v/>
      </c>
      <c r="M2407">
        <f>IF(AND(H2407="",OR(F2407="No-show",F2407="Late cancel")),1,0)</f>
        <v/>
      </c>
      <c r="N2407">
        <f>IF(AND(H2407="",F2407="",D2407&lt;&gt;"",I2407&gt;=TODAY()),ROUND((I2407+IF(ISNUMBER(C2407),MOD(C2407,1),0))*1440,0)*10000+ROW(),"")</f>
        <v/>
      </c>
    </row>
    <row r="2408">
      <c r="A2408" s="1" t="n"/>
      <c r="B2408" s="17" t="n"/>
      <c r="C2408" s="18" t="n"/>
      <c r="D2408" s="19" t="n"/>
      <c r="E2408" s="20" t="n"/>
      <c r="F2408" s="20" t="n"/>
      <c r="G2408" s="21" t="n"/>
      <c r="H2408" s="12">
        <f>IF(AND(B2408="",D2408="",F2408=""),"",IF(NOT(ISNUMBER(B2408)),"Needs a date",IF(D2408="","Needs a client",IF(COUNTIF(Clients!$B$6:$B$105,D2408)=0,"Not on Clients",IF(AND(F2408="",INT(B2408)&lt;TODAY()),"Needs a status","")))))</f>
        <v/>
      </c>
      <c r="I2408" s="1">
        <f>IF(ISNUMBER(B2408),INT(B2408),0)</f>
        <v/>
      </c>
      <c r="J2408">
        <f>IF(ISNUMBER(B2408),YEAR(B2408)*100+MONTH(B2408),"")</f>
        <v/>
      </c>
      <c r="K2408">
        <f>IF(AND(H2408="",OR(F2408="Attended",F2408="No-show",AND(F2408="Late cancel",Settings!$C$9="Yes"))),1,0)</f>
        <v/>
      </c>
      <c r="L2408">
        <f>IF(AND(H2408="",F2408="Attended"),1,0)</f>
        <v/>
      </c>
      <c r="M2408">
        <f>IF(AND(H2408="",OR(F2408="No-show",F2408="Late cancel")),1,0)</f>
        <v/>
      </c>
      <c r="N2408">
        <f>IF(AND(H2408="",F2408="",D2408&lt;&gt;"",I2408&gt;=TODAY()),ROUND((I2408+IF(ISNUMBER(C2408),MOD(C2408,1),0))*1440,0)*10000+ROW(),"")</f>
        <v/>
      </c>
    </row>
    <row r="2409">
      <c r="A2409" s="1" t="n"/>
      <c r="B2409" s="17" t="n"/>
      <c r="C2409" s="18" t="n"/>
      <c r="D2409" s="19" t="n"/>
      <c r="E2409" s="20" t="n"/>
      <c r="F2409" s="20" t="n"/>
      <c r="G2409" s="21" t="n"/>
      <c r="H2409" s="12">
        <f>IF(AND(B2409="",D2409="",F2409=""),"",IF(NOT(ISNUMBER(B2409)),"Needs a date",IF(D2409="","Needs a client",IF(COUNTIF(Clients!$B$6:$B$105,D2409)=0,"Not on Clients",IF(AND(F2409="",INT(B2409)&lt;TODAY()),"Needs a status","")))))</f>
        <v/>
      </c>
      <c r="I2409" s="1">
        <f>IF(ISNUMBER(B2409),INT(B2409),0)</f>
        <v/>
      </c>
      <c r="J2409">
        <f>IF(ISNUMBER(B2409),YEAR(B2409)*100+MONTH(B2409),"")</f>
        <v/>
      </c>
      <c r="K2409">
        <f>IF(AND(H2409="",OR(F2409="Attended",F2409="No-show",AND(F2409="Late cancel",Settings!$C$9="Yes"))),1,0)</f>
        <v/>
      </c>
      <c r="L2409">
        <f>IF(AND(H2409="",F2409="Attended"),1,0)</f>
        <v/>
      </c>
      <c r="M2409">
        <f>IF(AND(H2409="",OR(F2409="No-show",F2409="Late cancel")),1,0)</f>
        <v/>
      </c>
      <c r="N2409">
        <f>IF(AND(H2409="",F2409="",D2409&lt;&gt;"",I2409&gt;=TODAY()),ROUND((I2409+IF(ISNUMBER(C2409),MOD(C2409,1),0))*1440,0)*10000+ROW(),"")</f>
        <v/>
      </c>
    </row>
    <row r="2410">
      <c r="A2410" s="1" t="n"/>
      <c r="B2410" s="17" t="n"/>
      <c r="C2410" s="18" t="n"/>
      <c r="D2410" s="19" t="n"/>
      <c r="E2410" s="20" t="n"/>
      <c r="F2410" s="20" t="n"/>
      <c r="G2410" s="21" t="n"/>
      <c r="H2410" s="12">
        <f>IF(AND(B2410="",D2410="",F2410=""),"",IF(NOT(ISNUMBER(B2410)),"Needs a date",IF(D2410="","Needs a client",IF(COUNTIF(Clients!$B$6:$B$105,D2410)=0,"Not on Clients",IF(AND(F2410="",INT(B2410)&lt;TODAY()),"Needs a status","")))))</f>
        <v/>
      </c>
      <c r="I2410" s="1">
        <f>IF(ISNUMBER(B2410),INT(B2410),0)</f>
        <v/>
      </c>
      <c r="J2410">
        <f>IF(ISNUMBER(B2410),YEAR(B2410)*100+MONTH(B2410),"")</f>
        <v/>
      </c>
      <c r="K2410">
        <f>IF(AND(H2410="",OR(F2410="Attended",F2410="No-show",AND(F2410="Late cancel",Settings!$C$9="Yes"))),1,0)</f>
        <v/>
      </c>
      <c r="L2410">
        <f>IF(AND(H2410="",F2410="Attended"),1,0)</f>
        <v/>
      </c>
      <c r="M2410">
        <f>IF(AND(H2410="",OR(F2410="No-show",F2410="Late cancel")),1,0)</f>
        <v/>
      </c>
      <c r="N2410">
        <f>IF(AND(H2410="",F2410="",D2410&lt;&gt;"",I2410&gt;=TODAY()),ROUND((I2410+IF(ISNUMBER(C2410),MOD(C2410,1),0))*1440,0)*10000+ROW(),"")</f>
        <v/>
      </c>
    </row>
    <row r="2411">
      <c r="A2411" s="1" t="n"/>
      <c r="B2411" s="17" t="n"/>
      <c r="C2411" s="18" t="n"/>
      <c r="D2411" s="19" t="n"/>
      <c r="E2411" s="20" t="n"/>
      <c r="F2411" s="20" t="n"/>
      <c r="G2411" s="21" t="n"/>
      <c r="H2411" s="12">
        <f>IF(AND(B2411="",D2411="",F2411=""),"",IF(NOT(ISNUMBER(B2411)),"Needs a date",IF(D2411="","Needs a client",IF(COUNTIF(Clients!$B$6:$B$105,D2411)=0,"Not on Clients",IF(AND(F2411="",INT(B2411)&lt;TODAY()),"Needs a status","")))))</f>
        <v/>
      </c>
      <c r="I2411" s="1">
        <f>IF(ISNUMBER(B2411),INT(B2411),0)</f>
        <v/>
      </c>
      <c r="J2411">
        <f>IF(ISNUMBER(B2411),YEAR(B2411)*100+MONTH(B2411),"")</f>
        <v/>
      </c>
      <c r="K2411">
        <f>IF(AND(H2411="",OR(F2411="Attended",F2411="No-show",AND(F2411="Late cancel",Settings!$C$9="Yes"))),1,0)</f>
        <v/>
      </c>
      <c r="L2411">
        <f>IF(AND(H2411="",F2411="Attended"),1,0)</f>
        <v/>
      </c>
      <c r="M2411">
        <f>IF(AND(H2411="",OR(F2411="No-show",F2411="Late cancel")),1,0)</f>
        <v/>
      </c>
      <c r="N2411">
        <f>IF(AND(H2411="",F2411="",D2411&lt;&gt;"",I2411&gt;=TODAY()),ROUND((I2411+IF(ISNUMBER(C2411),MOD(C2411,1),0))*1440,0)*10000+ROW(),"")</f>
        <v/>
      </c>
    </row>
    <row r="2412">
      <c r="A2412" s="1" t="n"/>
      <c r="B2412" s="17" t="n"/>
      <c r="C2412" s="18" t="n"/>
      <c r="D2412" s="19" t="n"/>
      <c r="E2412" s="20" t="n"/>
      <c r="F2412" s="20" t="n"/>
      <c r="G2412" s="21" t="n"/>
      <c r="H2412" s="12">
        <f>IF(AND(B2412="",D2412="",F2412=""),"",IF(NOT(ISNUMBER(B2412)),"Needs a date",IF(D2412="","Needs a client",IF(COUNTIF(Clients!$B$6:$B$105,D2412)=0,"Not on Clients",IF(AND(F2412="",INT(B2412)&lt;TODAY()),"Needs a status","")))))</f>
        <v/>
      </c>
      <c r="I2412" s="1">
        <f>IF(ISNUMBER(B2412),INT(B2412),0)</f>
        <v/>
      </c>
      <c r="J2412">
        <f>IF(ISNUMBER(B2412),YEAR(B2412)*100+MONTH(B2412),"")</f>
        <v/>
      </c>
      <c r="K2412">
        <f>IF(AND(H2412="",OR(F2412="Attended",F2412="No-show",AND(F2412="Late cancel",Settings!$C$9="Yes"))),1,0)</f>
        <v/>
      </c>
      <c r="L2412">
        <f>IF(AND(H2412="",F2412="Attended"),1,0)</f>
        <v/>
      </c>
      <c r="M2412">
        <f>IF(AND(H2412="",OR(F2412="No-show",F2412="Late cancel")),1,0)</f>
        <v/>
      </c>
      <c r="N2412">
        <f>IF(AND(H2412="",F2412="",D2412&lt;&gt;"",I2412&gt;=TODAY()),ROUND((I2412+IF(ISNUMBER(C2412),MOD(C2412,1),0))*1440,0)*10000+ROW(),"")</f>
        <v/>
      </c>
    </row>
    <row r="2413">
      <c r="A2413" s="1" t="n"/>
      <c r="B2413" s="17" t="n"/>
      <c r="C2413" s="18" t="n"/>
      <c r="D2413" s="19" t="n"/>
      <c r="E2413" s="20" t="n"/>
      <c r="F2413" s="20" t="n"/>
      <c r="G2413" s="21" t="n"/>
      <c r="H2413" s="12">
        <f>IF(AND(B2413="",D2413="",F2413=""),"",IF(NOT(ISNUMBER(B2413)),"Needs a date",IF(D2413="","Needs a client",IF(COUNTIF(Clients!$B$6:$B$105,D2413)=0,"Not on Clients",IF(AND(F2413="",INT(B2413)&lt;TODAY()),"Needs a status","")))))</f>
        <v/>
      </c>
      <c r="I2413" s="1">
        <f>IF(ISNUMBER(B2413),INT(B2413),0)</f>
        <v/>
      </c>
      <c r="J2413">
        <f>IF(ISNUMBER(B2413),YEAR(B2413)*100+MONTH(B2413),"")</f>
        <v/>
      </c>
      <c r="K2413">
        <f>IF(AND(H2413="",OR(F2413="Attended",F2413="No-show",AND(F2413="Late cancel",Settings!$C$9="Yes"))),1,0)</f>
        <v/>
      </c>
      <c r="L2413">
        <f>IF(AND(H2413="",F2413="Attended"),1,0)</f>
        <v/>
      </c>
      <c r="M2413">
        <f>IF(AND(H2413="",OR(F2413="No-show",F2413="Late cancel")),1,0)</f>
        <v/>
      </c>
      <c r="N2413">
        <f>IF(AND(H2413="",F2413="",D2413&lt;&gt;"",I2413&gt;=TODAY()),ROUND((I2413+IF(ISNUMBER(C2413),MOD(C2413,1),0))*1440,0)*10000+ROW(),"")</f>
        <v/>
      </c>
    </row>
    <row r="2414">
      <c r="A2414" s="1" t="n"/>
      <c r="B2414" s="17" t="n"/>
      <c r="C2414" s="18" t="n"/>
      <c r="D2414" s="19" t="n"/>
      <c r="E2414" s="20" t="n"/>
      <c r="F2414" s="20" t="n"/>
      <c r="G2414" s="21" t="n"/>
      <c r="H2414" s="12">
        <f>IF(AND(B2414="",D2414="",F2414=""),"",IF(NOT(ISNUMBER(B2414)),"Needs a date",IF(D2414="","Needs a client",IF(COUNTIF(Clients!$B$6:$B$105,D2414)=0,"Not on Clients",IF(AND(F2414="",INT(B2414)&lt;TODAY()),"Needs a status","")))))</f>
        <v/>
      </c>
      <c r="I2414" s="1">
        <f>IF(ISNUMBER(B2414),INT(B2414),0)</f>
        <v/>
      </c>
      <c r="J2414">
        <f>IF(ISNUMBER(B2414),YEAR(B2414)*100+MONTH(B2414),"")</f>
        <v/>
      </c>
      <c r="K2414">
        <f>IF(AND(H2414="",OR(F2414="Attended",F2414="No-show",AND(F2414="Late cancel",Settings!$C$9="Yes"))),1,0)</f>
        <v/>
      </c>
      <c r="L2414">
        <f>IF(AND(H2414="",F2414="Attended"),1,0)</f>
        <v/>
      </c>
      <c r="M2414">
        <f>IF(AND(H2414="",OR(F2414="No-show",F2414="Late cancel")),1,0)</f>
        <v/>
      </c>
      <c r="N2414">
        <f>IF(AND(H2414="",F2414="",D2414&lt;&gt;"",I2414&gt;=TODAY()),ROUND((I2414+IF(ISNUMBER(C2414),MOD(C2414,1),0))*1440,0)*10000+ROW(),"")</f>
        <v/>
      </c>
    </row>
    <row r="2415">
      <c r="A2415" s="1" t="n"/>
      <c r="B2415" s="17" t="n"/>
      <c r="C2415" s="18" t="n"/>
      <c r="D2415" s="19" t="n"/>
      <c r="E2415" s="20" t="n"/>
      <c r="F2415" s="20" t="n"/>
      <c r="G2415" s="21" t="n"/>
      <c r="H2415" s="12">
        <f>IF(AND(B2415="",D2415="",F2415=""),"",IF(NOT(ISNUMBER(B2415)),"Needs a date",IF(D2415="","Needs a client",IF(COUNTIF(Clients!$B$6:$B$105,D2415)=0,"Not on Clients",IF(AND(F2415="",INT(B2415)&lt;TODAY()),"Needs a status","")))))</f>
        <v/>
      </c>
      <c r="I2415" s="1">
        <f>IF(ISNUMBER(B2415),INT(B2415),0)</f>
        <v/>
      </c>
      <c r="J2415">
        <f>IF(ISNUMBER(B2415),YEAR(B2415)*100+MONTH(B2415),"")</f>
        <v/>
      </c>
      <c r="K2415">
        <f>IF(AND(H2415="",OR(F2415="Attended",F2415="No-show",AND(F2415="Late cancel",Settings!$C$9="Yes"))),1,0)</f>
        <v/>
      </c>
      <c r="L2415">
        <f>IF(AND(H2415="",F2415="Attended"),1,0)</f>
        <v/>
      </c>
      <c r="M2415">
        <f>IF(AND(H2415="",OR(F2415="No-show",F2415="Late cancel")),1,0)</f>
        <v/>
      </c>
      <c r="N2415">
        <f>IF(AND(H2415="",F2415="",D2415&lt;&gt;"",I2415&gt;=TODAY()),ROUND((I2415+IF(ISNUMBER(C2415),MOD(C2415,1),0))*1440,0)*10000+ROW(),"")</f>
        <v/>
      </c>
    </row>
    <row r="2416">
      <c r="A2416" s="1" t="n"/>
      <c r="B2416" s="17" t="n"/>
      <c r="C2416" s="18" t="n"/>
      <c r="D2416" s="19" t="n"/>
      <c r="E2416" s="20" t="n"/>
      <c r="F2416" s="20" t="n"/>
      <c r="G2416" s="21" t="n"/>
      <c r="H2416" s="12">
        <f>IF(AND(B2416="",D2416="",F2416=""),"",IF(NOT(ISNUMBER(B2416)),"Needs a date",IF(D2416="","Needs a client",IF(COUNTIF(Clients!$B$6:$B$105,D2416)=0,"Not on Clients",IF(AND(F2416="",INT(B2416)&lt;TODAY()),"Needs a status","")))))</f>
        <v/>
      </c>
      <c r="I2416" s="1">
        <f>IF(ISNUMBER(B2416),INT(B2416),0)</f>
        <v/>
      </c>
      <c r="J2416">
        <f>IF(ISNUMBER(B2416),YEAR(B2416)*100+MONTH(B2416),"")</f>
        <v/>
      </c>
      <c r="K2416">
        <f>IF(AND(H2416="",OR(F2416="Attended",F2416="No-show",AND(F2416="Late cancel",Settings!$C$9="Yes"))),1,0)</f>
        <v/>
      </c>
      <c r="L2416">
        <f>IF(AND(H2416="",F2416="Attended"),1,0)</f>
        <v/>
      </c>
      <c r="M2416">
        <f>IF(AND(H2416="",OR(F2416="No-show",F2416="Late cancel")),1,0)</f>
        <v/>
      </c>
      <c r="N2416">
        <f>IF(AND(H2416="",F2416="",D2416&lt;&gt;"",I2416&gt;=TODAY()),ROUND((I2416+IF(ISNUMBER(C2416),MOD(C2416,1),0))*1440,0)*10000+ROW(),"")</f>
        <v/>
      </c>
    </row>
    <row r="2417">
      <c r="A2417" s="1" t="n"/>
      <c r="B2417" s="17" t="n"/>
      <c r="C2417" s="18" t="n"/>
      <c r="D2417" s="19" t="n"/>
      <c r="E2417" s="20" t="n"/>
      <c r="F2417" s="20" t="n"/>
      <c r="G2417" s="21" t="n"/>
      <c r="H2417" s="12">
        <f>IF(AND(B2417="",D2417="",F2417=""),"",IF(NOT(ISNUMBER(B2417)),"Needs a date",IF(D2417="","Needs a client",IF(COUNTIF(Clients!$B$6:$B$105,D2417)=0,"Not on Clients",IF(AND(F2417="",INT(B2417)&lt;TODAY()),"Needs a status","")))))</f>
        <v/>
      </c>
      <c r="I2417" s="1">
        <f>IF(ISNUMBER(B2417),INT(B2417),0)</f>
        <v/>
      </c>
      <c r="J2417">
        <f>IF(ISNUMBER(B2417),YEAR(B2417)*100+MONTH(B2417),"")</f>
        <v/>
      </c>
      <c r="K2417">
        <f>IF(AND(H2417="",OR(F2417="Attended",F2417="No-show",AND(F2417="Late cancel",Settings!$C$9="Yes"))),1,0)</f>
        <v/>
      </c>
      <c r="L2417">
        <f>IF(AND(H2417="",F2417="Attended"),1,0)</f>
        <v/>
      </c>
      <c r="M2417">
        <f>IF(AND(H2417="",OR(F2417="No-show",F2417="Late cancel")),1,0)</f>
        <v/>
      </c>
      <c r="N2417">
        <f>IF(AND(H2417="",F2417="",D2417&lt;&gt;"",I2417&gt;=TODAY()),ROUND((I2417+IF(ISNUMBER(C2417),MOD(C2417,1),0))*1440,0)*10000+ROW(),"")</f>
        <v/>
      </c>
    </row>
    <row r="2418">
      <c r="A2418" s="1" t="n"/>
      <c r="B2418" s="17" t="n"/>
      <c r="C2418" s="18" t="n"/>
      <c r="D2418" s="19" t="n"/>
      <c r="E2418" s="20" t="n"/>
      <c r="F2418" s="20" t="n"/>
      <c r="G2418" s="21" t="n"/>
      <c r="H2418" s="12">
        <f>IF(AND(B2418="",D2418="",F2418=""),"",IF(NOT(ISNUMBER(B2418)),"Needs a date",IF(D2418="","Needs a client",IF(COUNTIF(Clients!$B$6:$B$105,D2418)=0,"Not on Clients",IF(AND(F2418="",INT(B2418)&lt;TODAY()),"Needs a status","")))))</f>
        <v/>
      </c>
      <c r="I2418" s="1">
        <f>IF(ISNUMBER(B2418),INT(B2418),0)</f>
        <v/>
      </c>
      <c r="J2418">
        <f>IF(ISNUMBER(B2418),YEAR(B2418)*100+MONTH(B2418),"")</f>
        <v/>
      </c>
      <c r="K2418">
        <f>IF(AND(H2418="",OR(F2418="Attended",F2418="No-show",AND(F2418="Late cancel",Settings!$C$9="Yes"))),1,0)</f>
        <v/>
      </c>
      <c r="L2418">
        <f>IF(AND(H2418="",F2418="Attended"),1,0)</f>
        <v/>
      </c>
      <c r="M2418">
        <f>IF(AND(H2418="",OR(F2418="No-show",F2418="Late cancel")),1,0)</f>
        <v/>
      </c>
      <c r="N2418">
        <f>IF(AND(H2418="",F2418="",D2418&lt;&gt;"",I2418&gt;=TODAY()),ROUND((I2418+IF(ISNUMBER(C2418),MOD(C2418,1),0))*1440,0)*10000+ROW(),"")</f>
        <v/>
      </c>
    </row>
    <row r="2419">
      <c r="A2419" s="1" t="n"/>
      <c r="B2419" s="17" t="n"/>
      <c r="C2419" s="18" t="n"/>
      <c r="D2419" s="19" t="n"/>
      <c r="E2419" s="20" t="n"/>
      <c r="F2419" s="20" t="n"/>
      <c r="G2419" s="21" t="n"/>
      <c r="H2419" s="12">
        <f>IF(AND(B2419="",D2419="",F2419=""),"",IF(NOT(ISNUMBER(B2419)),"Needs a date",IF(D2419="","Needs a client",IF(COUNTIF(Clients!$B$6:$B$105,D2419)=0,"Not on Clients",IF(AND(F2419="",INT(B2419)&lt;TODAY()),"Needs a status","")))))</f>
        <v/>
      </c>
      <c r="I2419" s="1">
        <f>IF(ISNUMBER(B2419),INT(B2419),0)</f>
        <v/>
      </c>
      <c r="J2419">
        <f>IF(ISNUMBER(B2419),YEAR(B2419)*100+MONTH(B2419),"")</f>
        <v/>
      </c>
      <c r="K2419">
        <f>IF(AND(H2419="",OR(F2419="Attended",F2419="No-show",AND(F2419="Late cancel",Settings!$C$9="Yes"))),1,0)</f>
        <v/>
      </c>
      <c r="L2419">
        <f>IF(AND(H2419="",F2419="Attended"),1,0)</f>
        <v/>
      </c>
      <c r="M2419">
        <f>IF(AND(H2419="",OR(F2419="No-show",F2419="Late cancel")),1,0)</f>
        <v/>
      </c>
      <c r="N2419">
        <f>IF(AND(H2419="",F2419="",D2419&lt;&gt;"",I2419&gt;=TODAY()),ROUND((I2419+IF(ISNUMBER(C2419),MOD(C2419,1),0))*1440,0)*10000+ROW(),"")</f>
        <v/>
      </c>
    </row>
    <row r="2420">
      <c r="A2420" s="1" t="n"/>
      <c r="B2420" s="17" t="n"/>
      <c r="C2420" s="18" t="n"/>
      <c r="D2420" s="19" t="n"/>
      <c r="E2420" s="20" t="n"/>
      <c r="F2420" s="20" t="n"/>
      <c r="G2420" s="21" t="n"/>
      <c r="H2420" s="12">
        <f>IF(AND(B2420="",D2420="",F2420=""),"",IF(NOT(ISNUMBER(B2420)),"Needs a date",IF(D2420="","Needs a client",IF(COUNTIF(Clients!$B$6:$B$105,D2420)=0,"Not on Clients",IF(AND(F2420="",INT(B2420)&lt;TODAY()),"Needs a status","")))))</f>
        <v/>
      </c>
      <c r="I2420" s="1">
        <f>IF(ISNUMBER(B2420),INT(B2420),0)</f>
        <v/>
      </c>
      <c r="J2420">
        <f>IF(ISNUMBER(B2420),YEAR(B2420)*100+MONTH(B2420),"")</f>
        <v/>
      </c>
      <c r="K2420">
        <f>IF(AND(H2420="",OR(F2420="Attended",F2420="No-show",AND(F2420="Late cancel",Settings!$C$9="Yes"))),1,0)</f>
        <v/>
      </c>
      <c r="L2420">
        <f>IF(AND(H2420="",F2420="Attended"),1,0)</f>
        <v/>
      </c>
      <c r="M2420">
        <f>IF(AND(H2420="",OR(F2420="No-show",F2420="Late cancel")),1,0)</f>
        <v/>
      </c>
      <c r="N2420">
        <f>IF(AND(H2420="",F2420="",D2420&lt;&gt;"",I2420&gt;=TODAY()),ROUND((I2420+IF(ISNUMBER(C2420),MOD(C2420,1),0))*1440,0)*10000+ROW(),"")</f>
        <v/>
      </c>
    </row>
    <row r="2421">
      <c r="A2421" s="1" t="n"/>
      <c r="B2421" s="17" t="n"/>
      <c r="C2421" s="18" t="n"/>
      <c r="D2421" s="19" t="n"/>
      <c r="E2421" s="20" t="n"/>
      <c r="F2421" s="20" t="n"/>
      <c r="G2421" s="21" t="n"/>
      <c r="H2421" s="12">
        <f>IF(AND(B2421="",D2421="",F2421=""),"",IF(NOT(ISNUMBER(B2421)),"Needs a date",IF(D2421="","Needs a client",IF(COUNTIF(Clients!$B$6:$B$105,D2421)=0,"Not on Clients",IF(AND(F2421="",INT(B2421)&lt;TODAY()),"Needs a status","")))))</f>
        <v/>
      </c>
      <c r="I2421" s="1">
        <f>IF(ISNUMBER(B2421),INT(B2421),0)</f>
        <v/>
      </c>
      <c r="J2421">
        <f>IF(ISNUMBER(B2421),YEAR(B2421)*100+MONTH(B2421),"")</f>
        <v/>
      </c>
      <c r="K2421">
        <f>IF(AND(H2421="",OR(F2421="Attended",F2421="No-show",AND(F2421="Late cancel",Settings!$C$9="Yes"))),1,0)</f>
        <v/>
      </c>
      <c r="L2421">
        <f>IF(AND(H2421="",F2421="Attended"),1,0)</f>
        <v/>
      </c>
      <c r="M2421">
        <f>IF(AND(H2421="",OR(F2421="No-show",F2421="Late cancel")),1,0)</f>
        <v/>
      </c>
      <c r="N2421">
        <f>IF(AND(H2421="",F2421="",D2421&lt;&gt;"",I2421&gt;=TODAY()),ROUND((I2421+IF(ISNUMBER(C2421),MOD(C2421,1),0))*1440,0)*10000+ROW(),"")</f>
        <v/>
      </c>
    </row>
    <row r="2422">
      <c r="A2422" s="1" t="n"/>
      <c r="B2422" s="17" t="n"/>
      <c r="C2422" s="18" t="n"/>
      <c r="D2422" s="19" t="n"/>
      <c r="E2422" s="20" t="n"/>
      <c r="F2422" s="20" t="n"/>
      <c r="G2422" s="21" t="n"/>
      <c r="H2422" s="12">
        <f>IF(AND(B2422="",D2422="",F2422=""),"",IF(NOT(ISNUMBER(B2422)),"Needs a date",IF(D2422="","Needs a client",IF(COUNTIF(Clients!$B$6:$B$105,D2422)=0,"Not on Clients",IF(AND(F2422="",INT(B2422)&lt;TODAY()),"Needs a status","")))))</f>
        <v/>
      </c>
      <c r="I2422" s="1">
        <f>IF(ISNUMBER(B2422),INT(B2422),0)</f>
        <v/>
      </c>
      <c r="J2422">
        <f>IF(ISNUMBER(B2422),YEAR(B2422)*100+MONTH(B2422),"")</f>
        <v/>
      </c>
      <c r="K2422">
        <f>IF(AND(H2422="",OR(F2422="Attended",F2422="No-show",AND(F2422="Late cancel",Settings!$C$9="Yes"))),1,0)</f>
        <v/>
      </c>
      <c r="L2422">
        <f>IF(AND(H2422="",F2422="Attended"),1,0)</f>
        <v/>
      </c>
      <c r="M2422">
        <f>IF(AND(H2422="",OR(F2422="No-show",F2422="Late cancel")),1,0)</f>
        <v/>
      </c>
      <c r="N2422">
        <f>IF(AND(H2422="",F2422="",D2422&lt;&gt;"",I2422&gt;=TODAY()),ROUND((I2422+IF(ISNUMBER(C2422),MOD(C2422,1),0))*1440,0)*10000+ROW(),"")</f>
        <v/>
      </c>
    </row>
    <row r="2423">
      <c r="A2423" s="1" t="n"/>
      <c r="B2423" s="17" t="n"/>
      <c r="C2423" s="18" t="n"/>
      <c r="D2423" s="19" t="n"/>
      <c r="E2423" s="20" t="n"/>
      <c r="F2423" s="20" t="n"/>
      <c r="G2423" s="21" t="n"/>
      <c r="H2423" s="12">
        <f>IF(AND(B2423="",D2423="",F2423=""),"",IF(NOT(ISNUMBER(B2423)),"Needs a date",IF(D2423="","Needs a client",IF(COUNTIF(Clients!$B$6:$B$105,D2423)=0,"Not on Clients",IF(AND(F2423="",INT(B2423)&lt;TODAY()),"Needs a status","")))))</f>
        <v/>
      </c>
      <c r="I2423" s="1">
        <f>IF(ISNUMBER(B2423),INT(B2423),0)</f>
        <v/>
      </c>
      <c r="J2423">
        <f>IF(ISNUMBER(B2423),YEAR(B2423)*100+MONTH(B2423),"")</f>
        <v/>
      </c>
      <c r="K2423">
        <f>IF(AND(H2423="",OR(F2423="Attended",F2423="No-show",AND(F2423="Late cancel",Settings!$C$9="Yes"))),1,0)</f>
        <v/>
      </c>
      <c r="L2423">
        <f>IF(AND(H2423="",F2423="Attended"),1,0)</f>
        <v/>
      </c>
      <c r="M2423">
        <f>IF(AND(H2423="",OR(F2423="No-show",F2423="Late cancel")),1,0)</f>
        <v/>
      </c>
      <c r="N2423">
        <f>IF(AND(H2423="",F2423="",D2423&lt;&gt;"",I2423&gt;=TODAY()),ROUND((I2423+IF(ISNUMBER(C2423),MOD(C2423,1),0))*1440,0)*10000+ROW(),"")</f>
        <v/>
      </c>
    </row>
    <row r="2424">
      <c r="A2424" s="1" t="n"/>
      <c r="B2424" s="17" t="n"/>
      <c r="C2424" s="18" t="n"/>
      <c r="D2424" s="19" t="n"/>
      <c r="E2424" s="20" t="n"/>
      <c r="F2424" s="20" t="n"/>
      <c r="G2424" s="21" t="n"/>
      <c r="H2424" s="12">
        <f>IF(AND(B2424="",D2424="",F2424=""),"",IF(NOT(ISNUMBER(B2424)),"Needs a date",IF(D2424="","Needs a client",IF(COUNTIF(Clients!$B$6:$B$105,D2424)=0,"Not on Clients",IF(AND(F2424="",INT(B2424)&lt;TODAY()),"Needs a status","")))))</f>
        <v/>
      </c>
      <c r="I2424" s="1">
        <f>IF(ISNUMBER(B2424),INT(B2424),0)</f>
        <v/>
      </c>
      <c r="J2424">
        <f>IF(ISNUMBER(B2424),YEAR(B2424)*100+MONTH(B2424),"")</f>
        <v/>
      </c>
      <c r="K2424">
        <f>IF(AND(H2424="",OR(F2424="Attended",F2424="No-show",AND(F2424="Late cancel",Settings!$C$9="Yes"))),1,0)</f>
        <v/>
      </c>
      <c r="L2424">
        <f>IF(AND(H2424="",F2424="Attended"),1,0)</f>
        <v/>
      </c>
      <c r="M2424">
        <f>IF(AND(H2424="",OR(F2424="No-show",F2424="Late cancel")),1,0)</f>
        <v/>
      </c>
      <c r="N2424">
        <f>IF(AND(H2424="",F2424="",D2424&lt;&gt;"",I2424&gt;=TODAY()),ROUND((I2424+IF(ISNUMBER(C2424),MOD(C2424,1),0))*1440,0)*10000+ROW(),"")</f>
        <v/>
      </c>
    </row>
    <row r="2425">
      <c r="A2425" s="1" t="n"/>
      <c r="B2425" s="17" t="n"/>
      <c r="C2425" s="18" t="n"/>
      <c r="D2425" s="19" t="n"/>
      <c r="E2425" s="20" t="n"/>
      <c r="F2425" s="20" t="n"/>
      <c r="G2425" s="21" t="n"/>
      <c r="H2425" s="12">
        <f>IF(AND(B2425="",D2425="",F2425=""),"",IF(NOT(ISNUMBER(B2425)),"Needs a date",IF(D2425="","Needs a client",IF(COUNTIF(Clients!$B$6:$B$105,D2425)=0,"Not on Clients",IF(AND(F2425="",INT(B2425)&lt;TODAY()),"Needs a status","")))))</f>
        <v/>
      </c>
      <c r="I2425" s="1">
        <f>IF(ISNUMBER(B2425),INT(B2425),0)</f>
        <v/>
      </c>
      <c r="J2425">
        <f>IF(ISNUMBER(B2425),YEAR(B2425)*100+MONTH(B2425),"")</f>
        <v/>
      </c>
      <c r="K2425">
        <f>IF(AND(H2425="",OR(F2425="Attended",F2425="No-show",AND(F2425="Late cancel",Settings!$C$9="Yes"))),1,0)</f>
        <v/>
      </c>
      <c r="L2425">
        <f>IF(AND(H2425="",F2425="Attended"),1,0)</f>
        <v/>
      </c>
      <c r="M2425">
        <f>IF(AND(H2425="",OR(F2425="No-show",F2425="Late cancel")),1,0)</f>
        <v/>
      </c>
      <c r="N2425">
        <f>IF(AND(H2425="",F2425="",D2425&lt;&gt;"",I2425&gt;=TODAY()),ROUND((I2425+IF(ISNUMBER(C2425),MOD(C2425,1),0))*1440,0)*10000+ROW(),"")</f>
        <v/>
      </c>
    </row>
    <row r="2426">
      <c r="A2426" s="1" t="n"/>
      <c r="B2426" s="17" t="n"/>
      <c r="C2426" s="18" t="n"/>
      <c r="D2426" s="19" t="n"/>
      <c r="E2426" s="20" t="n"/>
      <c r="F2426" s="20" t="n"/>
      <c r="G2426" s="21" t="n"/>
      <c r="H2426" s="12">
        <f>IF(AND(B2426="",D2426="",F2426=""),"",IF(NOT(ISNUMBER(B2426)),"Needs a date",IF(D2426="","Needs a client",IF(COUNTIF(Clients!$B$6:$B$105,D2426)=0,"Not on Clients",IF(AND(F2426="",INT(B2426)&lt;TODAY()),"Needs a status","")))))</f>
        <v/>
      </c>
      <c r="I2426" s="1">
        <f>IF(ISNUMBER(B2426),INT(B2426),0)</f>
        <v/>
      </c>
      <c r="J2426">
        <f>IF(ISNUMBER(B2426),YEAR(B2426)*100+MONTH(B2426),"")</f>
        <v/>
      </c>
      <c r="K2426">
        <f>IF(AND(H2426="",OR(F2426="Attended",F2426="No-show",AND(F2426="Late cancel",Settings!$C$9="Yes"))),1,0)</f>
        <v/>
      </c>
      <c r="L2426">
        <f>IF(AND(H2426="",F2426="Attended"),1,0)</f>
        <v/>
      </c>
      <c r="M2426">
        <f>IF(AND(H2426="",OR(F2426="No-show",F2426="Late cancel")),1,0)</f>
        <v/>
      </c>
      <c r="N2426">
        <f>IF(AND(H2426="",F2426="",D2426&lt;&gt;"",I2426&gt;=TODAY()),ROUND((I2426+IF(ISNUMBER(C2426),MOD(C2426,1),0))*1440,0)*10000+ROW(),"")</f>
        <v/>
      </c>
    </row>
    <row r="2427">
      <c r="A2427" s="1" t="n"/>
      <c r="B2427" s="17" t="n"/>
      <c r="C2427" s="18" t="n"/>
      <c r="D2427" s="19" t="n"/>
      <c r="E2427" s="20" t="n"/>
      <c r="F2427" s="20" t="n"/>
      <c r="G2427" s="21" t="n"/>
      <c r="H2427" s="12">
        <f>IF(AND(B2427="",D2427="",F2427=""),"",IF(NOT(ISNUMBER(B2427)),"Needs a date",IF(D2427="","Needs a client",IF(COUNTIF(Clients!$B$6:$B$105,D2427)=0,"Not on Clients",IF(AND(F2427="",INT(B2427)&lt;TODAY()),"Needs a status","")))))</f>
        <v/>
      </c>
      <c r="I2427" s="1">
        <f>IF(ISNUMBER(B2427),INT(B2427),0)</f>
        <v/>
      </c>
      <c r="J2427">
        <f>IF(ISNUMBER(B2427),YEAR(B2427)*100+MONTH(B2427),"")</f>
        <v/>
      </c>
      <c r="K2427">
        <f>IF(AND(H2427="",OR(F2427="Attended",F2427="No-show",AND(F2427="Late cancel",Settings!$C$9="Yes"))),1,0)</f>
        <v/>
      </c>
      <c r="L2427">
        <f>IF(AND(H2427="",F2427="Attended"),1,0)</f>
        <v/>
      </c>
      <c r="M2427">
        <f>IF(AND(H2427="",OR(F2427="No-show",F2427="Late cancel")),1,0)</f>
        <v/>
      </c>
      <c r="N2427">
        <f>IF(AND(H2427="",F2427="",D2427&lt;&gt;"",I2427&gt;=TODAY()),ROUND((I2427+IF(ISNUMBER(C2427),MOD(C2427,1),0))*1440,0)*10000+ROW(),"")</f>
        <v/>
      </c>
    </row>
    <row r="2428">
      <c r="A2428" s="1" t="n"/>
      <c r="B2428" s="17" t="n"/>
      <c r="C2428" s="18" t="n"/>
      <c r="D2428" s="19" t="n"/>
      <c r="E2428" s="20" t="n"/>
      <c r="F2428" s="20" t="n"/>
      <c r="G2428" s="21" t="n"/>
      <c r="H2428" s="12">
        <f>IF(AND(B2428="",D2428="",F2428=""),"",IF(NOT(ISNUMBER(B2428)),"Needs a date",IF(D2428="","Needs a client",IF(COUNTIF(Clients!$B$6:$B$105,D2428)=0,"Not on Clients",IF(AND(F2428="",INT(B2428)&lt;TODAY()),"Needs a status","")))))</f>
        <v/>
      </c>
      <c r="I2428" s="1">
        <f>IF(ISNUMBER(B2428),INT(B2428),0)</f>
        <v/>
      </c>
      <c r="J2428">
        <f>IF(ISNUMBER(B2428),YEAR(B2428)*100+MONTH(B2428),"")</f>
        <v/>
      </c>
      <c r="K2428">
        <f>IF(AND(H2428="",OR(F2428="Attended",F2428="No-show",AND(F2428="Late cancel",Settings!$C$9="Yes"))),1,0)</f>
        <v/>
      </c>
      <c r="L2428">
        <f>IF(AND(H2428="",F2428="Attended"),1,0)</f>
        <v/>
      </c>
      <c r="M2428">
        <f>IF(AND(H2428="",OR(F2428="No-show",F2428="Late cancel")),1,0)</f>
        <v/>
      </c>
      <c r="N2428">
        <f>IF(AND(H2428="",F2428="",D2428&lt;&gt;"",I2428&gt;=TODAY()),ROUND((I2428+IF(ISNUMBER(C2428),MOD(C2428,1),0))*1440,0)*10000+ROW(),"")</f>
        <v/>
      </c>
    </row>
    <row r="2429">
      <c r="A2429" s="1" t="n"/>
      <c r="B2429" s="17" t="n"/>
      <c r="C2429" s="18" t="n"/>
      <c r="D2429" s="19" t="n"/>
      <c r="E2429" s="20" t="n"/>
      <c r="F2429" s="20" t="n"/>
      <c r="G2429" s="21" t="n"/>
      <c r="H2429" s="12">
        <f>IF(AND(B2429="",D2429="",F2429=""),"",IF(NOT(ISNUMBER(B2429)),"Needs a date",IF(D2429="","Needs a client",IF(COUNTIF(Clients!$B$6:$B$105,D2429)=0,"Not on Clients",IF(AND(F2429="",INT(B2429)&lt;TODAY()),"Needs a status","")))))</f>
        <v/>
      </c>
      <c r="I2429" s="1">
        <f>IF(ISNUMBER(B2429),INT(B2429),0)</f>
        <v/>
      </c>
      <c r="J2429">
        <f>IF(ISNUMBER(B2429),YEAR(B2429)*100+MONTH(B2429),"")</f>
        <v/>
      </c>
      <c r="K2429">
        <f>IF(AND(H2429="",OR(F2429="Attended",F2429="No-show",AND(F2429="Late cancel",Settings!$C$9="Yes"))),1,0)</f>
        <v/>
      </c>
      <c r="L2429">
        <f>IF(AND(H2429="",F2429="Attended"),1,0)</f>
        <v/>
      </c>
      <c r="M2429">
        <f>IF(AND(H2429="",OR(F2429="No-show",F2429="Late cancel")),1,0)</f>
        <v/>
      </c>
      <c r="N2429">
        <f>IF(AND(H2429="",F2429="",D2429&lt;&gt;"",I2429&gt;=TODAY()),ROUND((I2429+IF(ISNUMBER(C2429),MOD(C2429,1),0))*1440,0)*10000+ROW(),"")</f>
        <v/>
      </c>
    </row>
    <row r="2430">
      <c r="A2430" s="1" t="n"/>
      <c r="B2430" s="17" t="n"/>
      <c r="C2430" s="18" t="n"/>
      <c r="D2430" s="19" t="n"/>
      <c r="E2430" s="20" t="n"/>
      <c r="F2430" s="20" t="n"/>
      <c r="G2430" s="21" t="n"/>
      <c r="H2430" s="12">
        <f>IF(AND(B2430="",D2430="",F2430=""),"",IF(NOT(ISNUMBER(B2430)),"Needs a date",IF(D2430="","Needs a client",IF(COUNTIF(Clients!$B$6:$B$105,D2430)=0,"Not on Clients",IF(AND(F2430="",INT(B2430)&lt;TODAY()),"Needs a status","")))))</f>
        <v/>
      </c>
      <c r="I2430" s="1">
        <f>IF(ISNUMBER(B2430),INT(B2430),0)</f>
        <v/>
      </c>
      <c r="J2430">
        <f>IF(ISNUMBER(B2430),YEAR(B2430)*100+MONTH(B2430),"")</f>
        <v/>
      </c>
      <c r="K2430">
        <f>IF(AND(H2430="",OR(F2430="Attended",F2430="No-show",AND(F2430="Late cancel",Settings!$C$9="Yes"))),1,0)</f>
        <v/>
      </c>
      <c r="L2430">
        <f>IF(AND(H2430="",F2430="Attended"),1,0)</f>
        <v/>
      </c>
      <c r="M2430">
        <f>IF(AND(H2430="",OR(F2430="No-show",F2430="Late cancel")),1,0)</f>
        <v/>
      </c>
      <c r="N2430">
        <f>IF(AND(H2430="",F2430="",D2430&lt;&gt;"",I2430&gt;=TODAY()),ROUND((I2430+IF(ISNUMBER(C2430),MOD(C2430,1),0))*1440,0)*10000+ROW(),"")</f>
        <v/>
      </c>
    </row>
    <row r="2431">
      <c r="A2431" s="1" t="n"/>
      <c r="B2431" s="17" t="n"/>
      <c r="C2431" s="18" t="n"/>
      <c r="D2431" s="19" t="n"/>
      <c r="E2431" s="20" t="n"/>
      <c r="F2431" s="20" t="n"/>
      <c r="G2431" s="21" t="n"/>
      <c r="H2431" s="12">
        <f>IF(AND(B2431="",D2431="",F2431=""),"",IF(NOT(ISNUMBER(B2431)),"Needs a date",IF(D2431="","Needs a client",IF(COUNTIF(Clients!$B$6:$B$105,D2431)=0,"Not on Clients",IF(AND(F2431="",INT(B2431)&lt;TODAY()),"Needs a status","")))))</f>
        <v/>
      </c>
      <c r="I2431" s="1">
        <f>IF(ISNUMBER(B2431),INT(B2431),0)</f>
        <v/>
      </c>
      <c r="J2431">
        <f>IF(ISNUMBER(B2431),YEAR(B2431)*100+MONTH(B2431),"")</f>
        <v/>
      </c>
      <c r="K2431">
        <f>IF(AND(H2431="",OR(F2431="Attended",F2431="No-show",AND(F2431="Late cancel",Settings!$C$9="Yes"))),1,0)</f>
        <v/>
      </c>
      <c r="L2431">
        <f>IF(AND(H2431="",F2431="Attended"),1,0)</f>
        <v/>
      </c>
      <c r="M2431">
        <f>IF(AND(H2431="",OR(F2431="No-show",F2431="Late cancel")),1,0)</f>
        <v/>
      </c>
      <c r="N2431">
        <f>IF(AND(H2431="",F2431="",D2431&lt;&gt;"",I2431&gt;=TODAY()),ROUND((I2431+IF(ISNUMBER(C2431),MOD(C2431,1),0))*1440,0)*10000+ROW(),"")</f>
        <v/>
      </c>
    </row>
    <row r="2432">
      <c r="A2432" s="1" t="n"/>
      <c r="B2432" s="17" t="n"/>
      <c r="C2432" s="18" t="n"/>
      <c r="D2432" s="19" t="n"/>
      <c r="E2432" s="20" t="n"/>
      <c r="F2432" s="20" t="n"/>
      <c r="G2432" s="21" t="n"/>
      <c r="H2432" s="12">
        <f>IF(AND(B2432="",D2432="",F2432=""),"",IF(NOT(ISNUMBER(B2432)),"Needs a date",IF(D2432="","Needs a client",IF(COUNTIF(Clients!$B$6:$B$105,D2432)=0,"Not on Clients",IF(AND(F2432="",INT(B2432)&lt;TODAY()),"Needs a status","")))))</f>
        <v/>
      </c>
      <c r="I2432" s="1">
        <f>IF(ISNUMBER(B2432),INT(B2432),0)</f>
        <v/>
      </c>
      <c r="J2432">
        <f>IF(ISNUMBER(B2432),YEAR(B2432)*100+MONTH(B2432),"")</f>
        <v/>
      </c>
      <c r="K2432">
        <f>IF(AND(H2432="",OR(F2432="Attended",F2432="No-show",AND(F2432="Late cancel",Settings!$C$9="Yes"))),1,0)</f>
        <v/>
      </c>
      <c r="L2432">
        <f>IF(AND(H2432="",F2432="Attended"),1,0)</f>
        <v/>
      </c>
      <c r="M2432">
        <f>IF(AND(H2432="",OR(F2432="No-show",F2432="Late cancel")),1,0)</f>
        <v/>
      </c>
      <c r="N2432">
        <f>IF(AND(H2432="",F2432="",D2432&lt;&gt;"",I2432&gt;=TODAY()),ROUND((I2432+IF(ISNUMBER(C2432),MOD(C2432,1),0))*1440,0)*10000+ROW(),"")</f>
        <v/>
      </c>
    </row>
    <row r="2433">
      <c r="A2433" s="1" t="n"/>
      <c r="B2433" s="17" t="n"/>
      <c r="C2433" s="18" t="n"/>
      <c r="D2433" s="19" t="n"/>
      <c r="E2433" s="20" t="n"/>
      <c r="F2433" s="20" t="n"/>
      <c r="G2433" s="21" t="n"/>
      <c r="H2433" s="12">
        <f>IF(AND(B2433="",D2433="",F2433=""),"",IF(NOT(ISNUMBER(B2433)),"Needs a date",IF(D2433="","Needs a client",IF(COUNTIF(Clients!$B$6:$B$105,D2433)=0,"Not on Clients",IF(AND(F2433="",INT(B2433)&lt;TODAY()),"Needs a status","")))))</f>
        <v/>
      </c>
      <c r="I2433" s="1">
        <f>IF(ISNUMBER(B2433),INT(B2433),0)</f>
        <v/>
      </c>
      <c r="J2433">
        <f>IF(ISNUMBER(B2433),YEAR(B2433)*100+MONTH(B2433),"")</f>
        <v/>
      </c>
      <c r="K2433">
        <f>IF(AND(H2433="",OR(F2433="Attended",F2433="No-show",AND(F2433="Late cancel",Settings!$C$9="Yes"))),1,0)</f>
        <v/>
      </c>
      <c r="L2433">
        <f>IF(AND(H2433="",F2433="Attended"),1,0)</f>
        <v/>
      </c>
      <c r="M2433">
        <f>IF(AND(H2433="",OR(F2433="No-show",F2433="Late cancel")),1,0)</f>
        <v/>
      </c>
      <c r="N2433">
        <f>IF(AND(H2433="",F2433="",D2433&lt;&gt;"",I2433&gt;=TODAY()),ROUND((I2433+IF(ISNUMBER(C2433),MOD(C2433,1),0))*1440,0)*10000+ROW(),"")</f>
        <v/>
      </c>
    </row>
    <row r="2434">
      <c r="A2434" s="1" t="n"/>
      <c r="B2434" s="17" t="n"/>
      <c r="C2434" s="18" t="n"/>
      <c r="D2434" s="19" t="n"/>
      <c r="E2434" s="20" t="n"/>
      <c r="F2434" s="20" t="n"/>
      <c r="G2434" s="21" t="n"/>
      <c r="H2434" s="12">
        <f>IF(AND(B2434="",D2434="",F2434=""),"",IF(NOT(ISNUMBER(B2434)),"Needs a date",IF(D2434="","Needs a client",IF(COUNTIF(Clients!$B$6:$B$105,D2434)=0,"Not on Clients",IF(AND(F2434="",INT(B2434)&lt;TODAY()),"Needs a status","")))))</f>
        <v/>
      </c>
      <c r="I2434" s="1">
        <f>IF(ISNUMBER(B2434),INT(B2434),0)</f>
        <v/>
      </c>
      <c r="J2434">
        <f>IF(ISNUMBER(B2434),YEAR(B2434)*100+MONTH(B2434),"")</f>
        <v/>
      </c>
      <c r="K2434">
        <f>IF(AND(H2434="",OR(F2434="Attended",F2434="No-show",AND(F2434="Late cancel",Settings!$C$9="Yes"))),1,0)</f>
        <v/>
      </c>
      <c r="L2434">
        <f>IF(AND(H2434="",F2434="Attended"),1,0)</f>
        <v/>
      </c>
      <c r="M2434">
        <f>IF(AND(H2434="",OR(F2434="No-show",F2434="Late cancel")),1,0)</f>
        <v/>
      </c>
      <c r="N2434">
        <f>IF(AND(H2434="",F2434="",D2434&lt;&gt;"",I2434&gt;=TODAY()),ROUND((I2434+IF(ISNUMBER(C2434),MOD(C2434,1),0))*1440,0)*10000+ROW(),"")</f>
        <v/>
      </c>
    </row>
    <row r="2435">
      <c r="A2435" s="1" t="n"/>
      <c r="B2435" s="17" t="n"/>
      <c r="C2435" s="18" t="n"/>
      <c r="D2435" s="19" t="n"/>
      <c r="E2435" s="20" t="n"/>
      <c r="F2435" s="20" t="n"/>
      <c r="G2435" s="21" t="n"/>
      <c r="H2435" s="12">
        <f>IF(AND(B2435="",D2435="",F2435=""),"",IF(NOT(ISNUMBER(B2435)),"Needs a date",IF(D2435="","Needs a client",IF(COUNTIF(Clients!$B$6:$B$105,D2435)=0,"Not on Clients",IF(AND(F2435="",INT(B2435)&lt;TODAY()),"Needs a status","")))))</f>
        <v/>
      </c>
      <c r="I2435" s="1">
        <f>IF(ISNUMBER(B2435),INT(B2435),0)</f>
        <v/>
      </c>
      <c r="J2435">
        <f>IF(ISNUMBER(B2435),YEAR(B2435)*100+MONTH(B2435),"")</f>
        <v/>
      </c>
      <c r="K2435">
        <f>IF(AND(H2435="",OR(F2435="Attended",F2435="No-show",AND(F2435="Late cancel",Settings!$C$9="Yes"))),1,0)</f>
        <v/>
      </c>
      <c r="L2435">
        <f>IF(AND(H2435="",F2435="Attended"),1,0)</f>
        <v/>
      </c>
      <c r="M2435">
        <f>IF(AND(H2435="",OR(F2435="No-show",F2435="Late cancel")),1,0)</f>
        <v/>
      </c>
      <c r="N2435">
        <f>IF(AND(H2435="",F2435="",D2435&lt;&gt;"",I2435&gt;=TODAY()),ROUND((I2435+IF(ISNUMBER(C2435),MOD(C2435,1),0))*1440,0)*10000+ROW(),"")</f>
        <v/>
      </c>
    </row>
    <row r="2436">
      <c r="A2436" s="1" t="n"/>
      <c r="B2436" s="17" t="n"/>
      <c r="C2436" s="18" t="n"/>
      <c r="D2436" s="19" t="n"/>
      <c r="E2436" s="20" t="n"/>
      <c r="F2436" s="20" t="n"/>
      <c r="G2436" s="21" t="n"/>
      <c r="H2436" s="12">
        <f>IF(AND(B2436="",D2436="",F2436=""),"",IF(NOT(ISNUMBER(B2436)),"Needs a date",IF(D2436="","Needs a client",IF(COUNTIF(Clients!$B$6:$B$105,D2436)=0,"Not on Clients",IF(AND(F2436="",INT(B2436)&lt;TODAY()),"Needs a status","")))))</f>
        <v/>
      </c>
      <c r="I2436" s="1">
        <f>IF(ISNUMBER(B2436),INT(B2436),0)</f>
        <v/>
      </c>
      <c r="J2436">
        <f>IF(ISNUMBER(B2436),YEAR(B2436)*100+MONTH(B2436),"")</f>
        <v/>
      </c>
      <c r="K2436">
        <f>IF(AND(H2436="",OR(F2436="Attended",F2436="No-show",AND(F2436="Late cancel",Settings!$C$9="Yes"))),1,0)</f>
        <v/>
      </c>
      <c r="L2436">
        <f>IF(AND(H2436="",F2436="Attended"),1,0)</f>
        <v/>
      </c>
      <c r="M2436">
        <f>IF(AND(H2436="",OR(F2436="No-show",F2436="Late cancel")),1,0)</f>
        <v/>
      </c>
      <c r="N2436">
        <f>IF(AND(H2436="",F2436="",D2436&lt;&gt;"",I2436&gt;=TODAY()),ROUND((I2436+IF(ISNUMBER(C2436),MOD(C2436,1),0))*1440,0)*10000+ROW(),"")</f>
        <v/>
      </c>
    </row>
    <row r="2437">
      <c r="A2437" s="1" t="n"/>
      <c r="B2437" s="17" t="n"/>
      <c r="C2437" s="18" t="n"/>
      <c r="D2437" s="19" t="n"/>
      <c r="E2437" s="20" t="n"/>
      <c r="F2437" s="20" t="n"/>
      <c r="G2437" s="21" t="n"/>
      <c r="H2437" s="12">
        <f>IF(AND(B2437="",D2437="",F2437=""),"",IF(NOT(ISNUMBER(B2437)),"Needs a date",IF(D2437="","Needs a client",IF(COUNTIF(Clients!$B$6:$B$105,D2437)=0,"Not on Clients",IF(AND(F2437="",INT(B2437)&lt;TODAY()),"Needs a status","")))))</f>
        <v/>
      </c>
      <c r="I2437" s="1">
        <f>IF(ISNUMBER(B2437),INT(B2437),0)</f>
        <v/>
      </c>
      <c r="J2437">
        <f>IF(ISNUMBER(B2437),YEAR(B2437)*100+MONTH(B2437),"")</f>
        <v/>
      </c>
      <c r="K2437">
        <f>IF(AND(H2437="",OR(F2437="Attended",F2437="No-show",AND(F2437="Late cancel",Settings!$C$9="Yes"))),1,0)</f>
        <v/>
      </c>
      <c r="L2437">
        <f>IF(AND(H2437="",F2437="Attended"),1,0)</f>
        <v/>
      </c>
      <c r="M2437">
        <f>IF(AND(H2437="",OR(F2437="No-show",F2437="Late cancel")),1,0)</f>
        <v/>
      </c>
      <c r="N2437">
        <f>IF(AND(H2437="",F2437="",D2437&lt;&gt;"",I2437&gt;=TODAY()),ROUND((I2437+IF(ISNUMBER(C2437),MOD(C2437,1),0))*1440,0)*10000+ROW(),"")</f>
        <v/>
      </c>
    </row>
    <row r="2438">
      <c r="A2438" s="1" t="n"/>
      <c r="B2438" s="17" t="n"/>
      <c r="C2438" s="18" t="n"/>
      <c r="D2438" s="19" t="n"/>
      <c r="E2438" s="20" t="n"/>
      <c r="F2438" s="20" t="n"/>
      <c r="G2438" s="21" t="n"/>
      <c r="H2438" s="12">
        <f>IF(AND(B2438="",D2438="",F2438=""),"",IF(NOT(ISNUMBER(B2438)),"Needs a date",IF(D2438="","Needs a client",IF(COUNTIF(Clients!$B$6:$B$105,D2438)=0,"Not on Clients",IF(AND(F2438="",INT(B2438)&lt;TODAY()),"Needs a status","")))))</f>
        <v/>
      </c>
      <c r="I2438" s="1">
        <f>IF(ISNUMBER(B2438),INT(B2438),0)</f>
        <v/>
      </c>
      <c r="J2438">
        <f>IF(ISNUMBER(B2438),YEAR(B2438)*100+MONTH(B2438),"")</f>
        <v/>
      </c>
      <c r="K2438">
        <f>IF(AND(H2438="",OR(F2438="Attended",F2438="No-show",AND(F2438="Late cancel",Settings!$C$9="Yes"))),1,0)</f>
        <v/>
      </c>
      <c r="L2438">
        <f>IF(AND(H2438="",F2438="Attended"),1,0)</f>
        <v/>
      </c>
      <c r="M2438">
        <f>IF(AND(H2438="",OR(F2438="No-show",F2438="Late cancel")),1,0)</f>
        <v/>
      </c>
      <c r="N2438">
        <f>IF(AND(H2438="",F2438="",D2438&lt;&gt;"",I2438&gt;=TODAY()),ROUND((I2438+IF(ISNUMBER(C2438),MOD(C2438,1),0))*1440,0)*10000+ROW(),"")</f>
        <v/>
      </c>
    </row>
    <row r="2439">
      <c r="A2439" s="1" t="n"/>
      <c r="B2439" s="17" t="n"/>
      <c r="C2439" s="18" t="n"/>
      <c r="D2439" s="19" t="n"/>
      <c r="E2439" s="20" t="n"/>
      <c r="F2439" s="20" t="n"/>
      <c r="G2439" s="21" t="n"/>
      <c r="H2439" s="12">
        <f>IF(AND(B2439="",D2439="",F2439=""),"",IF(NOT(ISNUMBER(B2439)),"Needs a date",IF(D2439="","Needs a client",IF(COUNTIF(Clients!$B$6:$B$105,D2439)=0,"Not on Clients",IF(AND(F2439="",INT(B2439)&lt;TODAY()),"Needs a status","")))))</f>
        <v/>
      </c>
      <c r="I2439" s="1">
        <f>IF(ISNUMBER(B2439),INT(B2439),0)</f>
        <v/>
      </c>
      <c r="J2439">
        <f>IF(ISNUMBER(B2439),YEAR(B2439)*100+MONTH(B2439),"")</f>
        <v/>
      </c>
      <c r="K2439">
        <f>IF(AND(H2439="",OR(F2439="Attended",F2439="No-show",AND(F2439="Late cancel",Settings!$C$9="Yes"))),1,0)</f>
        <v/>
      </c>
      <c r="L2439">
        <f>IF(AND(H2439="",F2439="Attended"),1,0)</f>
        <v/>
      </c>
      <c r="M2439">
        <f>IF(AND(H2439="",OR(F2439="No-show",F2439="Late cancel")),1,0)</f>
        <v/>
      </c>
      <c r="N2439">
        <f>IF(AND(H2439="",F2439="",D2439&lt;&gt;"",I2439&gt;=TODAY()),ROUND((I2439+IF(ISNUMBER(C2439),MOD(C2439,1),0))*1440,0)*10000+ROW(),"")</f>
        <v/>
      </c>
    </row>
    <row r="2440">
      <c r="A2440" s="1" t="n"/>
      <c r="B2440" s="17" t="n"/>
      <c r="C2440" s="18" t="n"/>
      <c r="D2440" s="19" t="n"/>
      <c r="E2440" s="20" t="n"/>
      <c r="F2440" s="20" t="n"/>
      <c r="G2440" s="21" t="n"/>
      <c r="H2440" s="12">
        <f>IF(AND(B2440="",D2440="",F2440=""),"",IF(NOT(ISNUMBER(B2440)),"Needs a date",IF(D2440="","Needs a client",IF(COUNTIF(Clients!$B$6:$B$105,D2440)=0,"Not on Clients",IF(AND(F2440="",INT(B2440)&lt;TODAY()),"Needs a status","")))))</f>
        <v/>
      </c>
      <c r="I2440" s="1">
        <f>IF(ISNUMBER(B2440),INT(B2440),0)</f>
        <v/>
      </c>
      <c r="J2440">
        <f>IF(ISNUMBER(B2440),YEAR(B2440)*100+MONTH(B2440),"")</f>
        <v/>
      </c>
      <c r="K2440">
        <f>IF(AND(H2440="",OR(F2440="Attended",F2440="No-show",AND(F2440="Late cancel",Settings!$C$9="Yes"))),1,0)</f>
        <v/>
      </c>
      <c r="L2440">
        <f>IF(AND(H2440="",F2440="Attended"),1,0)</f>
        <v/>
      </c>
      <c r="M2440">
        <f>IF(AND(H2440="",OR(F2440="No-show",F2440="Late cancel")),1,0)</f>
        <v/>
      </c>
      <c r="N2440">
        <f>IF(AND(H2440="",F2440="",D2440&lt;&gt;"",I2440&gt;=TODAY()),ROUND((I2440+IF(ISNUMBER(C2440),MOD(C2440,1),0))*1440,0)*10000+ROW(),"")</f>
        <v/>
      </c>
    </row>
    <row r="2441">
      <c r="A2441" s="1" t="n"/>
      <c r="B2441" s="17" t="n"/>
      <c r="C2441" s="18" t="n"/>
      <c r="D2441" s="19" t="n"/>
      <c r="E2441" s="20" t="n"/>
      <c r="F2441" s="20" t="n"/>
      <c r="G2441" s="21" t="n"/>
      <c r="H2441" s="12">
        <f>IF(AND(B2441="",D2441="",F2441=""),"",IF(NOT(ISNUMBER(B2441)),"Needs a date",IF(D2441="","Needs a client",IF(COUNTIF(Clients!$B$6:$B$105,D2441)=0,"Not on Clients",IF(AND(F2441="",INT(B2441)&lt;TODAY()),"Needs a status","")))))</f>
        <v/>
      </c>
      <c r="I2441" s="1">
        <f>IF(ISNUMBER(B2441),INT(B2441),0)</f>
        <v/>
      </c>
      <c r="J2441">
        <f>IF(ISNUMBER(B2441),YEAR(B2441)*100+MONTH(B2441),"")</f>
        <v/>
      </c>
      <c r="K2441">
        <f>IF(AND(H2441="",OR(F2441="Attended",F2441="No-show",AND(F2441="Late cancel",Settings!$C$9="Yes"))),1,0)</f>
        <v/>
      </c>
      <c r="L2441">
        <f>IF(AND(H2441="",F2441="Attended"),1,0)</f>
        <v/>
      </c>
      <c r="M2441">
        <f>IF(AND(H2441="",OR(F2441="No-show",F2441="Late cancel")),1,0)</f>
        <v/>
      </c>
      <c r="N2441">
        <f>IF(AND(H2441="",F2441="",D2441&lt;&gt;"",I2441&gt;=TODAY()),ROUND((I2441+IF(ISNUMBER(C2441),MOD(C2441,1),0))*1440,0)*10000+ROW(),"")</f>
        <v/>
      </c>
    </row>
    <row r="2442">
      <c r="A2442" s="1" t="n"/>
      <c r="B2442" s="17" t="n"/>
      <c r="C2442" s="18" t="n"/>
      <c r="D2442" s="19" t="n"/>
      <c r="E2442" s="20" t="n"/>
      <c r="F2442" s="20" t="n"/>
      <c r="G2442" s="21" t="n"/>
      <c r="H2442" s="12">
        <f>IF(AND(B2442="",D2442="",F2442=""),"",IF(NOT(ISNUMBER(B2442)),"Needs a date",IF(D2442="","Needs a client",IF(COUNTIF(Clients!$B$6:$B$105,D2442)=0,"Not on Clients",IF(AND(F2442="",INT(B2442)&lt;TODAY()),"Needs a status","")))))</f>
        <v/>
      </c>
      <c r="I2442" s="1">
        <f>IF(ISNUMBER(B2442),INT(B2442),0)</f>
        <v/>
      </c>
      <c r="J2442">
        <f>IF(ISNUMBER(B2442),YEAR(B2442)*100+MONTH(B2442),"")</f>
        <v/>
      </c>
      <c r="K2442">
        <f>IF(AND(H2442="",OR(F2442="Attended",F2442="No-show",AND(F2442="Late cancel",Settings!$C$9="Yes"))),1,0)</f>
        <v/>
      </c>
      <c r="L2442">
        <f>IF(AND(H2442="",F2442="Attended"),1,0)</f>
        <v/>
      </c>
      <c r="M2442">
        <f>IF(AND(H2442="",OR(F2442="No-show",F2442="Late cancel")),1,0)</f>
        <v/>
      </c>
      <c r="N2442">
        <f>IF(AND(H2442="",F2442="",D2442&lt;&gt;"",I2442&gt;=TODAY()),ROUND((I2442+IF(ISNUMBER(C2442),MOD(C2442,1),0))*1440,0)*10000+ROW(),"")</f>
        <v/>
      </c>
    </row>
    <row r="2443">
      <c r="A2443" s="1" t="n"/>
      <c r="B2443" s="17" t="n"/>
      <c r="C2443" s="18" t="n"/>
      <c r="D2443" s="19" t="n"/>
      <c r="E2443" s="20" t="n"/>
      <c r="F2443" s="20" t="n"/>
      <c r="G2443" s="21" t="n"/>
      <c r="H2443" s="12">
        <f>IF(AND(B2443="",D2443="",F2443=""),"",IF(NOT(ISNUMBER(B2443)),"Needs a date",IF(D2443="","Needs a client",IF(COUNTIF(Clients!$B$6:$B$105,D2443)=0,"Not on Clients",IF(AND(F2443="",INT(B2443)&lt;TODAY()),"Needs a status","")))))</f>
        <v/>
      </c>
      <c r="I2443" s="1">
        <f>IF(ISNUMBER(B2443),INT(B2443),0)</f>
        <v/>
      </c>
      <c r="J2443">
        <f>IF(ISNUMBER(B2443),YEAR(B2443)*100+MONTH(B2443),"")</f>
        <v/>
      </c>
      <c r="K2443">
        <f>IF(AND(H2443="",OR(F2443="Attended",F2443="No-show",AND(F2443="Late cancel",Settings!$C$9="Yes"))),1,0)</f>
        <v/>
      </c>
      <c r="L2443">
        <f>IF(AND(H2443="",F2443="Attended"),1,0)</f>
        <v/>
      </c>
      <c r="M2443">
        <f>IF(AND(H2443="",OR(F2443="No-show",F2443="Late cancel")),1,0)</f>
        <v/>
      </c>
      <c r="N2443">
        <f>IF(AND(H2443="",F2443="",D2443&lt;&gt;"",I2443&gt;=TODAY()),ROUND((I2443+IF(ISNUMBER(C2443),MOD(C2443,1),0))*1440,0)*10000+ROW(),"")</f>
        <v/>
      </c>
    </row>
    <row r="2444">
      <c r="A2444" s="1" t="n"/>
      <c r="B2444" s="17" t="n"/>
      <c r="C2444" s="18" t="n"/>
      <c r="D2444" s="19" t="n"/>
      <c r="E2444" s="20" t="n"/>
      <c r="F2444" s="20" t="n"/>
      <c r="G2444" s="21" t="n"/>
      <c r="H2444" s="12">
        <f>IF(AND(B2444="",D2444="",F2444=""),"",IF(NOT(ISNUMBER(B2444)),"Needs a date",IF(D2444="","Needs a client",IF(COUNTIF(Clients!$B$6:$B$105,D2444)=0,"Not on Clients",IF(AND(F2444="",INT(B2444)&lt;TODAY()),"Needs a status","")))))</f>
        <v/>
      </c>
      <c r="I2444" s="1">
        <f>IF(ISNUMBER(B2444),INT(B2444),0)</f>
        <v/>
      </c>
      <c r="J2444">
        <f>IF(ISNUMBER(B2444),YEAR(B2444)*100+MONTH(B2444),"")</f>
        <v/>
      </c>
      <c r="K2444">
        <f>IF(AND(H2444="",OR(F2444="Attended",F2444="No-show",AND(F2444="Late cancel",Settings!$C$9="Yes"))),1,0)</f>
        <v/>
      </c>
      <c r="L2444">
        <f>IF(AND(H2444="",F2444="Attended"),1,0)</f>
        <v/>
      </c>
      <c r="M2444">
        <f>IF(AND(H2444="",OR(F2444="No-show",F2444="Late cancel")),1,0)</f>
        <v/>
      </c>
      <c r="N2444">
        <f>IF(AND(H2444="",F2444="",D2444&lt;&gt;"",I2444&gt;=TODAY()),ROUND((I2444+IF(ISNUMBER(C2444),MOD(C2444,1),0))*1440,0)*10000+ROW(),"")</f>
        <v/>
      </c>
    </row>
    <row r="2445">
      <c r="A2445" s="1" t="n"/>
      <c r="B2445" s="17" t="n"/>
      <c r="C2445" s="18" t="n"/>
      <c r="D2445" s="19" t="n"/>
      <c r="E2445" s="20" t="n"/>
      <c r="F2445" s="20" t="n"/>
      <c r="G2445" s="21" t="n"/>
      <c r="H2445" s="12">
        <f>IF(AND(B2445="",D2445="",F2445=""),"",IF(NOT(ISNUMBER(B2445)),"Needs a date",IF(D2445="","Needs a client",IF(COUNTIF(Clients!$B$6:$B$105,D2445)=0,"Not on Clients",IF(AND(F2445="",INT(B2445)&lt;TODAY()),"Needs a status","")))))</f>
        <v/>
      </c>
      <c r="I2445" s="1">
        <f>IF(ISNUMBER(B2445),INT(B2445),0)</f>
        <v/>
      </c>
      <c r="J2445">
        <f>IF(ISNUMBER(B2445),YEAR(B2445)*100+MONTH(B2445),"")</f>
        <v/>
      </c>
      <c r="K2445">
        <f>IF(AND(H2445="",OR(F2445="Attended",F2445="No-show",AND(F2445="Late cancel",Settings!$C$9="Yes"))),1,0)</f>
        <v/>
      </c>
      <c r="L2445">
        <f>IF(AND(H2445="",F2445="Attended"),1,0)</f>
        <v/>
      </c>
      <c r="M2445">
        <f>IF(AND(H2445="",OR(F2445="No-show",F2445="Late cancel")),1,0)</f>
        <v/>
      </c>
      <c r="N2445">
        <f>IF(AND(H2445="",F2445="",D2445&lt;&gt;"",I2445&gt;=TODAY()),ROUND((I2445+IF(ISNUMBER(C2445),MOD(C2445,1),0))*1440,0)*10000+ROW(),"")</f>
        <v/>
      </c>
    </row>
    <row r="2446">
      <c r="A2446" s="1" t="n"/>
      <c r="B2446" s="17" t="n"/>
      <c r="C2446" s="18" t="n"/>
      <c r="D2446" s="19" t="n"/>
      <c r="E2446" s="20" t="n"/>
      <c r="F2446" s="20" t="n"/>
      <c r="G2446" s="21" t="n"/>
      <c r="H2446" s="12">
        <f>IF(AND(B2446="",D2446="",F2446=""),"",IF(NOT(ISNUMBER(B2446)),"Needs a date",IF(D2446="","Needs a client",IF(COUNTIF(Clients!$B$6:$B$105,D2446)=0,"Not on Clients",IF(AND(F2446="",INT(B2446)&lt;TODAY()),"Needs a status","")))))</f>
        <v/>
      </c>
      <c r="I2446" s="1">
        <f>IF(ISNUMBER(B2446),INT(B2446),0)</f>
        <v/>
      </c>
      <c r="J2446">
        <f>IF(ISNUMBER(B2446),YEAR(B2446)*100+MONTH(B2446),"")</f>
        <v/>
      </c>
      <c r="K2446">
        <f>IF(AND(H2446="",OR(F2446="Attended",F2446="No-show",AND(F2446="Late cancel",Settings!$C$9="Yes"))),1,0)</f>
        <v/>
      </c>
      <c r="L2446">
        <f>IF(AND(H2446="",F2446="Attended"),1,0)</f>
        <v/>
      </c>
      <c r="M2446">
        <f>IF(AND(H2446="",OR(F2446="No-show",F2446="Late cancel")),1,0)</f>
        <v/>
      </c>
      <c r="N2446">
        <f>IF(AND(H2446="",F2446="",D2446&lt;&gt;"",I2446&gt;=TODAY()),ROUND((I2446+IF(ISNUMBER(C2446),MOD(C2446,1),0))*1440,0)*10000+ROW(),"")</f>
        <v/>
      </c>
    </row>
    <row r="2447">
      <c r="A2447" s="1" t="n"/>
      <c r="B2447" s="17" t="n"/>
      <c r="C2447" s="18" t="n"/>
      <c r="D2447" s="19" t="n"/>
      <c r="E2447" s="20" t="n"/>
      <c r="F2447" s="20" t="n"/>
      <c r="G2447" s="21" t="n"/>
      <c r="H2447" s="12">
        <f>IF(AND(B2447="",D2447="",F2447=""),"",IF(NOT(ISNUMBER(B2447)),"Needs a date",IF(D2447="","Needs a client",IF(COUNTIF(Clients!$B$6:$B$105,D2447)=0,"Not on Clients",IF(AND(F2447="",INT(B2447)&lt;TODAY()),"Needs a status","")))))</f>
        <v/>
      </c>
      <c r="I2447" s="1">
        <f>IF(ISNUMBER(B2447),INT(B2447),0)</f>
        <v/>
      </c>
      <c r="J2447">
        <f>IF(ISNUMBER(B2447),YEAR(B2447)*100+MONTH(B2447),"")</f>
        <v/>
      </c>
      <c r="K2447">
        <f>IF(AND(H2447="",OR(F2447="Attended",F2447="No-show",AND(F2447="Late cancel",Settings!$C$9="Yes"))),1,0)</f>
        <v/>
      </c>
      <c r="L2447">
        <f>IF(AND(H2447="",F2447="Attended"),1,0)</f>
        <v/>
      </c>
      <c r="M2447">
        <f>IF(AND(H2447="",OR(F2447="No-show",F2447="Late cancel")),1,0)</f>
        <v/>
      </c>
      <c r="N2447">
        <f>IF(AND(H2447="",F2447="",D2447&lt;&gt;"",I2447&gt;=TODAY()),ROUND((I2447+IF(ISNUMBER(C2447),MOD(C2447,1),0))*1440,0)*10000+ROW(),"")</f>
        <v/>
      </c>
    </row>
    <row r="2448">
      <c r="A2448" s="1" t="n"/>
      <c r="B2448" s="17" t="n"/>
      <c r="C2448" s="18" t="n"/>
      <c r="D2448" s="19" t="n"/>
      <c r="E2448" s="20" t="n"/>
      <c r="F2448" s="20" t="n"/>
      <c r="G2448" s="21" t="n"/>
      <c r="H2448" s="12">
        <f>IF(AND(B2448="",D2448="",F2448=""),"",IF(NOT(ISNUMBER(B2448)),"Needs a date",IF(D2448="","Needs a client",IF(COUNTIF(Clients!$B$6:$B$105,D2448)=0,"Not on Clients",IF(AND(F2448="",INT(B2448)&lt;TODAY()),"Needs a status","")))))</f>
        <v/>
      </c>
      <c r="I2448" s="1">
        <f>IF(ISNUMBER(B2448),INT(B2448),0)</f>
        <v/>
      </c>
      <c r="J2448">
        <f>IF(ISNUMBER(B2448),YEAR(B2448)*100+MONTH(B2448),"")</f>
        <v/>
      </c>
      <c r="K2448">
        <f>IF(AND(H2448="",OR(F2448="Attended",F2448="No-show",AND(F2448="Late cancel",Settings!$C$9="Yes"))),1,0)</f>
        <v/>
      </c>
      <c r="L2448">
        <f>IF(AND(H2448="",F2448="Attended"),1,0)</f>
        <v/>
      </c>
      <c r="M2448">
        <f>IF(AND(H2448="",OR(F2448="No-show",F2448="Late cancel")),1,0)</f>
        <v/>
      </c>
      <c r="N2448">
        <f>IF(AND(H2448="",F2448="",D2448&lt;&gt;"",I2448&gt;=TODAY()),ROUND((I2448+IF(ISNUMBER(C2448),MOD(C2448,1),0))*1440,0)*10000+ROW(),"")</f>
        <v/>
      </c>
    </row>
    <row r="2449">
      <c r="A2449" s="1" t="n"/>
      <c r="B2449" s="17" t="n"/>
      <c r="C2449" s="18" t="n"/>
      <c r="D2449" s="19" t="n"/>
      <c r="E2449" s="20" t="n"/>
      <c r="F2449" s="20" t="n"/>
      <c r="G2449" s="21" t="n"/>
      <c r="H2449" s="12">
        <f>IF(AND(B2449="",D2449="",F2449=""),"",IF(NOT(ISNUMBER(B2449)),"Needs a date",IF(D2449="","Needs a client",IF(COUNTIF(Clients!$B$6:$B$105,D2449)=0,"Not on Clients",IF(AND(F2449="",INT(B2449)&lt;TODAY()),"Needs a status","")))))</f>
        <v/>
      </c>
      <c r="I2449" s="1">
        <f>IF(ISNUMBER(B2449),INT(B2449),0)</f>
        <v/>
      </c>
      <c r="J2449">
        <f>IF(ISNUMBER(B2449),YEAR(B2449)*100+MONTH(B2449),"")</f>
        <v/>
      </c>
      <c r="K2449">
        <f>IF(AND(H2449="",OR(F2449="Attended",F2449="No-show",AND(F2449="Late cancel",Settings!$C$9="Yes"))),1,0)</f>
        <v/>
      </c>
      <c r="L2449">
        <f>IF(AND(H2449="",F2449="Attended"),1,0)</f>
        <v/>
      </c>
      <c r="M2449">
        <f>IF(AND(H2449="",OR(F2449="No-show",F2449="Late cancel")),1,0)</f>
        <v/>
      </c>
      <c r="N2449">
        <f>IF(AND(H2449="",F2449="",D2449&lt;&gt;"",I2449&gt;=TODAY()),ROUND((I2449+IF(ISNUMBER(C2449),MOD(C2449,1),0))*1440,0)*10000+ROW(),"")</f>
        <v/>
      </c>
    </row>
    <row r="2450">
      <c r="A2450" s="1" t="n"/>
      <c r="B2450" s="17" t="n"/>
      <c r="C2450" s="18" t="n"/>
      <c r="D2450" s="19" t="n"/>
      <c r="E2450" s="20" t="n"/>
      <c r="F2450" s="20" t="n"/>
      <c r="G2450" s="21" t="n"/>
      <c r="H2450" s="12">
        <f>IF(AND(B2450="",D2450="",F2450=""),"",IF(NOT(ISNUMBER(B2450)),"Needs a date",IF(D2450="","Needs a client",IF(COUNTIF(Clients!$B$6:$B$105,D2450)=0,"Not on Clients",IF(AND(F2450="",INT(B2450)&lt;TODAY()),"Needs a status","")))))</f>
        <v/>
      </c>
      <c r="I2450" s="1">
        <f>IF(ISNUMBER(B2450),INT(B2450),0)</f>
        <v/>
      </c>
      <c r="J2450">
        <f>IF(ISNUMBER(B2450),YEAR(B2450)*100+MONTH(B2450),"")</f>
        <v/>
      </c>
      <c r="K2450">
        <f>IF(AND(H2450="",OR(F2450="Attended",F2450="No-show",AND(F2450="Late cancel",Settings!$C$9="Yes"))),1,0)</f>
        <v/>
      </c>
      <c r="L2450">
        <f>IF(AND(H2450="",F2450="Attended"),1,0)</f>
        <v/>
      </c>
      <c r="M2450">
        <f>IF(AND(H2450="",OR(F2450="No-show",F2450="Late cancel")),1,0)</f>
        <v/>
      </c>
      <c r="N2450">
        <f>IF(AND(H2450="",F2450="",D2450&lt;&gt;"",I2450&gt;=TODAY()),ROUND((I2450+IF(ISNUMBER(C2450),MOD(C2450,1),0))*1440,0)*10000+ROW(),"")</f>
        <v/>
      </c>
    </row>
    <row r="2451">
      <c r="A2451" s="1" t="n"/>
      <c r="B2451" s="17" t="n"/>
      <c r="C2451" s="18" t="n"/>
      <c r="D2451" s="19" t="n"/>
      <c r="E2451" s="20" t="n"/>
      <c r="F2451" s="20" t="n"/>
      <c r="G2451" s="21" t="n"/>
      <c r="H2451" s="12">
        <f>IF(AND(B2451="",D2451="",F2451=""),"",IF(NOT(ISNUMBER(B2451)),"Needs a date",IF(D2451="","Needs a client",IF(COUNTIF(Clients!$B$6:$B$105,D2451)=0,"Not on Clients",IF(AND(F2451="",INT(B2451)&lt;TODAY()),"Needs a status","")))))</f>
        <v/>
      </c>
      <c r="I2451" s="1">
        <f>IF(ISNUMBER(B2451),INT(B2451),0)</f>
        <v/>
      </c>
      <c r="J2451">
        <f>IF(ISNUMBER(B2451),YEAR(B2451)*100+MONTH(B2451),"")</f>
        <v/>
      </c>
      <c r="K2451">
        <f>IF(AND(H2451="",OR(F2451="Attended",F2451="No-show",AND(F2451="Late cancel",Settings!$C$9="Yes"))),1,0)</f>
        <v/>
      </c>
      <c r="L2451">
        <f>IF(AND(H2451="",F2451="Attended"),1,0)</f>
        <v/>
      </c>
      <c r="M2451">
        <f>IF(AND(H2451="",OR(F2451="No-show",F2451="Late cancel")),1,0)</f>
        <v/>
      </c>
      <c r="N2451">
        <f>IF(AND(H2451="",F2451="",D2451&lt;&gt;"",I2451&gt;=TODAY()),ROUND((I2451+IF(ISNUMBER(C2451),MOD(C2451,1),0))*1440,0)*10000+ROW(),"")</f>
        <v/>
      </c>
    </row>
    <row r="2452">
      <c r="A2452" s="1" t="n"/>
      <c r="B2452" s="17" t="n"/>
      <c r="C2452" s="18" t="n"/>
      <c r="D2452" s="19" t="n"/>
      <c r="E2452" s="20" t="n"/>
      <c r="F2452" s="20" t="n"/>
      <c r="G2452" s="21" t="n"/>
      <c r="H2452" s="12">
        <f>IF(AND(B2452="",D2452="",F2452=""),"",IF(NOT(ISNUMBER(B2452)),"Needs a date",IF(D2452="","Needs a client",IF(COUNTIF(Clients!$B$6:$B$105,D2452)=0,"Not on Clients",IF(AND(F2452="",INT(B2452)&lt;TODAY()),"Needs a status","")))))</f>
        <v/>
      </c>
      <c r="I2452" s="1">
        <f>IF(ISNUMBER(B2452),INT(B2452),0)</f>
        <v/>
      </c>
      <c r="J2452">
        <f>IF(ISNUMBER(B2452),YEAR(B2452)*100+MONTH(B2452),"")</f>
        <v/>
      </c>
      <c r="K2452">
        <f>IF(AND(H2452="",OR(F2452="Attended",F2452="No-show",AND(F2452="Late cancel",Settings!$C$9="Yes"))),1,0)</f>
        <v/>
      </c>
      <c r="L2452">
        <f>IF(AND(H2452="",F2452="Attended"),1,0)</f>
        <v/>
      </c>
      <c r="M2452">
        <f>IF(AND(H2452="",OR(F2452="No-show",F2452="Late cancel")),1,0)</f>
        <v/>
      </c>
      <c r="N2452">
        <f>IF(AND(H2452="",F2452="",D2452&lt;&gt;"",I2452&gt;=TODAY()),ROUND((I2452+IF(ISNUMBER(C2452),MOD(C2452,1),0))*1440,0)*10000+ROW(),"")</f>
        <v/>
      </c>
    </row>
    <row r="2453">
      <c r="A2453" s="1" t="n"/>
      <c r="B2453" s="17" t="n"/>
      <c r="C2453" s="18" t="n"/>
      <c r="D2453" s="19" t="n"/>
      <c r="E2453" s="20" t="n"/>
      <c r="F2453" s="20" t="n"/>
      <c r="G2453" s="21" t="n"/>
      <c r="H2453" s="12">
        <f>IF(AND(B2453="",D2453="",F2453=""),"",IF(NOT(ISNUMBER(B2453)),"Needs a date",IF(D2453="","Needs a client",IF(COUNTIF(Clients!$B$6:$B$105,D2453)=0,"Not on Clients",IF(AND(F2453="",INT(B2453)&lt;TODAY()),"Needs a status","")))))</f>
        <v/>
      </c>
      <c r="I2453" s="1">
        <f>IF(ISNUMBER(B2453),INT(B2453),0)</f>
        <v/>
      </c>
      <c r="J2453">
        <f>IF(ISNUMBER(B2453),YEAR(B2453)*100+MONTH(B2453),"")</f>
        <v/>
      </c>
      <c r="K2453">
        <f>IF(AND(H2453="",OR(F2453="Attended",F2453="No-show",AND(F2453="Late cancel",Settings!$C$9="Yes"))),1,0)</f>
        <v/>
      </c>
      <c r="L2453">
        <f>IF(AND(H2453="",F2453="Attended"),1,0)</f>
        <v/>
      </c>
      <c r="M2453">
        <f>IF(AND(H2453="",OR(F2453="No-show",F2453="Late cancel")),1,0)</f>
        <v/>
      </c>
      <c r="N2453">
        <f>IF(AND(H2453="",F2453="",D2453&lt;&gt;"",I2453&gt;=TODAY()),ROUND((I2453+IF(ISNUMBER(C2453),MOD(C2453,1),0))*1440,0)*10000+ROW(),"")</f>
        <v/>
      </c>
    </row>
    <row r="2454">
      <c r="A2454" s="1" t="n"/>
      <c r="B2454" s="17" t="n"/>
      <c r="C2454" s="18" t="n"/>
      <c r="D2454" s="19" t="n"/>
      <c r="E2454" s="20" t="n"/>
      <c r="F2454" s="20" t="n"/>
      <c r="G2454" s="21" t="n"/>
      <c r="H2454" s="12">
        <f>IF(AND(B2454="",D2454="",F2454=""),"",IF(NOT(ISNUMBER(B2454)),"Needs a date",IF(D2454="","Needs a client",IF(COUNTIF(Clients!$B$6:$B$105,D2454)=0,"Not on Clients",IF(AND(F2454="",INT(B2454)&lt;TODAY()),"Needs a status","")))))</f>
        <v/>
      </c>
      <c r="I2454" s="1">
        <f>IF(ISNUMBER(B2454),INT(B2454),0)</f>
        <v/>
      </c>
      <c r="J2454">
        <f>IF(ISNUMBER(B2454),YEAR(B2454)*100+MONTH(B2454),"")</f>
        <v/>
      </c>
      <c r="K2454">
        <f>IF(AND(H2454="",OR(F2454="Attended",F2454="No-show",AND(F2454="Late cancel",Settings!$C$9="Yes"))),1,0)</f>
        <v/>
      </c>
      <c r="L2454">
        <f>IF(AND(H2454="",F2454="Attended"),1,0)</f>
        <v/>
      </c>
      <c r="M2454">
        <f>IF(AND(H2454="",OR(F2454="No-show",F2454="Late cancel")),1,0)</f>
        <v/>
      </c>
      <c r="N2454">
        <f>IF(AND(H2454="",F2454="",D2454&lt;&gt;"",I2454&gt;=TODAY()),ROUND((I2454+IF(ISNUMBER(C2454),MOD(C2454,1),0))*1440,0)*10000+ROW(),"")</f>
        <v/>
      </c>
    </row>
    <row r="2455">
      <c r="A2455" s="1" t="n"/>
      <c r="B2455" s="17" t="n"/>
      <c r="C2455" s="18" t="n"/>
      <c r="D2455" s="19" t="n"/>
      <c r="E2455" s="20" t="n"/>
      <c r="F2455" s="20" t="n"/>
      <c r="G2455" s="21" t="n"/>
      <c r="H2455" s="12">
        <f>IF(AND(B2455="",D2455="",F2455=""),"",IF(NOT(ISNUMBER(B2455)),"Needs a date",IF(D2455="","Needs a client",IF(COUNTIF(Clients!$B$6:$B$105,D2455)=0,"Not on Clients",IF(AND(F2455="",INT(B2455)&lt;TODAY()),"Needs a status","")))))</f>
        <v/>
      </c>
      <c r="I2455" s="1">
        <f>IF(ISNUMBER(B2455),INT(B2455),0)</f>
        <v/>
      </c>
      <c r="J2455">
        <f>IF(ISNUMBER(B2455),YEAR(B2455)*100+MONTH(B2455),"")</f>
        <v/>
      </c>
      <c r="K2455">
        <f>IF(AND(H2455="",OR(F2455="Attended",F2455="No-show",AND(F2455="Late cancel",Settings!$C$9="Yes"))),1,0)</f>
        <v/>
      </c>
      <c r="L2455">
        <f>IF(AND(H2455="",F2455="Attended"),1,0)</f>
        <v/>
      </c>
      <c r="M2455">
        <f>IF(AND(H2455="",OR(F2455="No-show",F2455="Late cancel")),1,0)</f>
        <v/>
      </c>
      <c r="N2455">
        <f>IF(AND(H2455="",F2455="",D2455&lt;&gt;"",I2455&gt;=TODAY()),ROUND((I2455+IF(ISNUMBER(C2455),MOD(C2455,1),0))*1440,0)*10000+ROW(),"")</f>
        <v/>
      </c>
    </row>
    <row r="2456">
      <c r="A2456" s="1" t="n"/>
      <c r="B2456" s="17" t="n"/>
      <c r="C2456" s="18" t="n"/>
      <c r="D2456" s="19" t="n"/>
      <c r="E2456" s="20" t="n"/>
      <c r="F2456" s="20" t="n"/>
      <c r="G2456" s="21" t="n"/>
      <c r="H2456" s="12">
        <f>IF(AND(B2456="",D2456="",F2456=""),"",IF(NOT(ISNUMBER(B2456)),"Needs a date",IF(D2456="","Needs a client",IF(COUNTIF(Clients!$B$6:$B$105,D2456)=0,"Not on Clients",IF(AND(F2456="",INT(B2456)&lt;TODAY()),"Needs a status","")))))</f>
        <v/>
      </c>
      <c r="I2456" s="1">
        <f>IF(ISNUMBER(B2456),INT(B2456),0)</f>
        <v/>
      </c>
      <c r="J2456">
        <f>IF(ISNUMBER(B2456),YEAR(B2456)*100+MONTH(B2456),"")</f>
        <v/>
      </c>
      <c r="K2456">
        <f>IF(AND(H2456="",OR(F2456="Attended",F2456="No-show",AND(F2456="Late cancel",Settings!$C$9="Yes"))),1,0)</f>
        <v/>
      </c>
      <c r="L2456">
        <f>IF(AND(H2456="",F2456="Attended"),1,0)</f>
        <v/>
      </c>
      <c r="M2456">
        <f>IF(AND(H2456="",OR(F2456="No-show",F2456="Late cancel")),1,0)</f>
        <v/>
      </c>
      <c r="N2456">
        <f>IF(AND(H2456="",F2456="",D2456&lt;&gt;"",I2456&gt;=TODAY()),ROUND((I2456+IF(ISNUMBER(C2456),MOD(C2456,1),0))*1440,0)*10000+ROW(),"")</f>
        <v/>
      </c>
    </row>
    <row r="2457">
      <c r="A2457" s="1" t="n"/>
      <c r="B2457" s="17" t="n"/>
      <c r="C2457" s="18" t="n"/>
      <c r="D2457" s="19" t="n"/>
      <c r="E2457" s="20" t="n"/>
      <c r="F2457" s="20" t="n"/>
      <c r="G2457" s="21" t="n"/>
      <c r="H2457" s="12">
        <f>IF(AND(B2457="",D2457="",F2457=""),"",IF(NOT(ISNUMBER(B2457)),"Needs a date",IF(D2457="","Needs a client",IF(COUNTIF(Clients!$B$6:$B$105,D2457)=0,"Not on Clients",IF(AND(F2457="",INT(B2457)&lt;TODAY()),"Needs a status","")))))</f>
        <v/>
      </c>
      <c r="I2457" s="1">
        <f>IF(ISNUMBER(B2457),INT(B2457),0)</f>
        <v/>
      </c>
      <c r="J2457">
        <f>IF(ISNUMBER(B2457),YEAR(B2457)*100+MONTH(B2457),"")</f>
        <v/>
      </c>
      <c r="K2457">
        <f>IF(AND(H2457="",OR(F2457="Attended",F2457="No-show",AND(F2457="Late cancel",Settings!$C$9="Yes"))),1,0)</f>
        <v/>
      </c>
      <c r="L2457">
        <f>IF(AND(H2457="",F2457="Attended"),1,0)</f>
        <v/>
      </c>
      <c r="M2457">
        <f>IF(AND(H2457="",OR(F2457="No-show",F2457="Late cancel")),1,0)</f>
        <v/>
      </c>
      <c r="N2457">
        <f>IF(AND(H2457="",F2457="",D2457&lt;&gt;"",I2457&gt;=TODAY()),ROUND((I2457+IF(ISNUMBER(C2457),MOD(C2457,1),0))*1440,0)*10000+ROW(),"")</f>
        <v/>
      </c>
    </row>
    <row r="2458">
      <c r="A2458" s="1" t="n"/>
      <c r="B2458" s="17" t="n"/>
      <c r="C2458" s="18" t="n"/>
      <c r="D2458" s="19" t="n"/>
      <c r="E2458" s="20" t="n"/>
      <c r="F2458" s="20" t="n"/>
      <c r="G2458" s="21" t="n"/>
      <c r="H2458" s="12">
        <f>IF(AND(B2458="",D2458="",F2458=""),"",IF(NOT(ISNUMBER(B2458)),"Needs a date",IF(D2458="","Needs a client",IF(COUNTIF(Clients!$B$6:$B$105,D2458)=0,"Not on Clients",IF(AND(F2458="",INT(B2458)&lt;TODAY()),"Needs a status","")))))</f>
        <v/>
      </c>
      <c r="I2458" s="1">
        <f>IF(ISNUMBER(B2458),INT(B2458),0)</f>
        <v/>
      </c>
      <c r="J2458">
        <f>IF(ISNUMBER(B2458),YEAR(B2458)*100+MONTH(B2458),"")</f>
        <v/>
      </c>
      <c r="K2458">
        <f>IF(AND(H2458="",OR(F2458="Attended",F2458="No-show",AND(F2458="Late cancel",Settings!$C$9="Yes"))),1,0)</f>
        <v/>
      </c>
      <c r="L2458">
        <f>IF(AND(H2458="",F2458="Attended"),1,0)</f>
        <v/>
      </c>
      <c r="M2458">
        <f>IF(AND(H2458="",OR(F2458="No-show",F2458="Late cancel")),1,0)</f>
        <v/>
      </c>
      <c r="N2458">
        <f>IF(AND(H2458="",F2458="",D2458&lt;&gt;"",I2458&gt;=TODAY()),ROUND((I2458+IF(ISNUMBER(C2458),MOD(C2458,1),0))*1440,0)*10000+ROW(),"")</f>
        <v/>
      </c>
    </row>
    <row r="2459">
      <c r="A2459" s="1" t="n"/>
      <c r="B2459" s="17" t="n"/>
      <c r="C2459" s="18" t="n"/>
      <c r="D2459" s="19" t="n"/>
      <c r="E2459" s="20" t="n"/>
      <c r="F2459" s="20" t="n"/>
      <c r="G2459" s="21" t="n"/>
      <c r="H2459" s="12">
        <f>IF(AND(B2459="",D2459="",F2459=""),"",IF(NOT(ISNUMBER(B2459)),"Needs a date",IF(D2459="","Needs a client",IF(COUNTIF(Clients!$B$6:$B$105,D2459)=0,"Not on Clients",IF(AND(F2459="",INT(B2459)&lt;TODAY()),"Needs a status","")))))</f>
        <v/>
      </c>
      <c r="I2459" s="1">
        <f>IF(ISNUMBER(B2459),INT(B2459),0)</f>
        <v/>
      </c>
      <c r="J2459">
        <f>IF(ISNUMBER(B2459),YEAR(B2459)*100+MONTH(B2459),"")</f>
        <v/>
      </c>
      <c r="K2459">
        <f>IF(AND(H2459="",OR(F2459="Attended",F2459="No-show",AND(F2459="Late cancel",Settings!$C$9="Yes"))),1,0)</f>
        <v/>
      </c>
      <c r="L2459">
        <f>IF(AND(H2459="",F2459="Attended"),1,0)</f>
        <v/>
      </c>
      <c r="M2459">
        <f>IF(AND(H2459="",OR(F2459="No-show",F2459="Late cancel")),1,0)</f>
        <v/>
      </c>
      <c r="N2459">
        <f>IF(AND(H2459="",F2459="",D2459&lt;&gt;"",I2459&gt;=TODAY()),ROUND((I2459+IF(ISNUMBER(C2459),MOD(C2459,1),0))*1440,0)*10000+ROW(),"")</f>
        <v/>
      </c>
    </row>
    <row r="2460">
      <c r="A2460" s="1" t="n"/>
      <c r="B2460" s="17" t="n"/>
      <c r="C2460" s="18" t="n"/>
      <c r="D2460" s="19" t="n"/>
      <c r="E2460" s="20" t="n"/>
      <c r="F2460" s="20" t="n"/>
      <c r="G2460" s="21" t="n"/>
      <c r="H2460" s="12">
        <f>IF(AND(B2460="",D2460="",F2460=""),"",IF(NOT(ISNUMBER(B2460)),"Needs a date",IF(D2460="","Needs a client",IF(COUNTIF(Clients!$B$6:$B$105,D2460)=0,"Not on Clients",IF(AND(F2460="",INT(B2460)&lt;TODAY()),"Needs a status","")))))</f>
        <v/>
      </c>
      <c r="I2460" s="1">
        <f>IF(ISNUMBER(B2460),INT(B2460),0)</f>
        <v/>
      </c>
      <c r="J2460">
        <f>IF(ISNUMBER(B2460),YEAR(B2460)*100+MONTH(B2460),"")</f>
        <v/>
      </c>
      <c r="K2460">
        <f>IF(AND(H2460="",OR(F2460="Attended",F2460="No-show",AND(F2460="Late cancel",Settings!$C$9="Yes"))),1,0)</f>
        <v/>
      </c>
      <c r="L2460">
        <f>IF(AND(H2460="",F2460="Attended"),1,0)</f>
        <v/>
      </c>
      <c r="M2460">
        <f>IF(AND(H2460="",OR(F2460="No-show",F2460="Late cancel")),1,0)</f>
        <v/>
      </c>
      <c r="N2460">
        <f>IF(AND(H2460="",F2460="",D2460&lt;&gt;"",I2460&gt;=TODAY()),ROUND((I2460+IF(ISNUMBER(C2460),MOD(C2460,1),0))*1440,0)*10000+ROW(),"")</f>
        <v/>
      </c>
    </row>
    <row r="2461">
      <c r="A2461" s="1" t="n"/>
      <c r="B2461" s="17" t="n"/>
      <c r="C2461" s="18" t="n"/>
      <c r="D2461" s="19" t="n"/>
      <c r="E2461" s="20" t="n"/>
      <c r="F2461" s="20" t="n"/>
      <c r="G2461" s="21" t="n"/>
      <c r="H2461" s="12">
        <f>IF(AND(B2461="",D2461="",F2461=""),"",IF(NOT(ISNUMBER(B2461)),"Needs a date",IF(D2461="","Needs a client",IF(COUNTIF(Clients!$B$6:$B$105,D2461)=0,"Not on Clients",IF(AND(F2461="",INT(B2461)&lt;TODAY()),"Needs a status","")))))</f>
        <v/>
      </c>
      <c r="I2461" s="1">
        <f>IF(ISNUMBER(B2461),INT(B2461),0)</f>
        <v/>
      </c>
      <c r="J2461">
        <f>IF(ISNUMBER(B2461),YEAR(B2461)*100+MONTH(B2461),"")</f>
        <v/>
      </c>
      <c r="K2461">
        <f>IF(AND(H2461="",OR(F2461="Attended",F2461="No-show",AND(F2461="Late cancel",Settings!$C$9="Yes"))),1,0)</f>
        <v/>
      </c>
      <c r="L2461">
        <f>IF(AND(H2461="",F2461="Attended"),1,0)</f>
        <v/>
      </c>
      <c r="M2461">
        <f>IF(AND(H2461="",OR(F2461="No-show",F2461="Late cancel")),1,0)</f>
        <v/>
      </c>
      <c r="N2461">
        <f>IF(AND(H2461="",F2461="",D2461&lt;&gt;"",I2461&gt;=TODAY()),ROUND((I2461+IF(ISNUMBER(C2461),MOD(C2461,1),0))*1440,0)*10000+ROW(),"")</f>
        <v/>
      </c>
    </row>
    <row r="2462">
      <c r="A2462" s="1" t="n"/>
      <c r="B2462" s="17" t="n"/>
      <c r="C2462" s="18" t="n"/>
      <c r="D2462" s="19" t="n"/>
      <c r="E2462" s="20" t="n"/>
      <c r="F2462" s="20" t="n"/>
      <c r="G2462" s="21" t="n"/>
      <c r="H2462" s="12">
        <f>IF(AND(B2462="",D2462="",F2462=""),"",IF(NOT(ISNUMBER(B2462)),"Needs a date",IF(D2462="","Needs a client",IF(COUNTIF(Clients!$B$6:$B$105,D2462)=0,"Not on Clients",IF(AND(F2462="",INT(B2462)&lt;TODAY()),"Needs a status","")))))</f>
        <v/>
      </c>
      <c r="I2462" s="1">
        <f>IF(ISNUMBER(B2462),INT(B2462),0)</f>
        <v/>
      </c>
      <c r="J2462">
        <f>IF(ISNUMBER(B2462),YEAR(B2462)*100+MONTH(B2462),"")</f>
        <v/>
      </c>
      <c r="K2462">
        <f>IF(AND(H2462="",OR(F2462="Attended",F2462="No-show",AND(F2462="Late cancel",Settings!$C$9="Yes"))),1,0)</f>
        <v/>
      </c>
      <c r="L2462">
        <f>IF(AND(H2462="",F2462="Attended"),1,0)</f>
        <v/>
      </c>
      <c r="M2462">
        <f>IF(AND(H2462="",OR(F2462="No-show",F2462="Late cancel")),1,0)</f>
        <v/>
      </c>
      <c r="N2462">
        <f>IF(AND(H2462="",F2462="",D2462&lt;&gt;"",I2462&gt;=TODAY()),ROUND((I2462+IF(ISNUMBER(C2462),MOD(C2462,1),0))*1440,0)*10000+ROW(),"")</f>
        <v/>
      </c>
    </row>
    <row r="2463">
      <c r="A2463" s="1" t="n"/>
      <c r="B2463" s="17" t="n"/>
      <c r="C2463" s="18" t="n"/>
      <c r="D2463" s="19" t="n"/>
      <c r="E2463" s="20" t="n"/>
      <c r="F2463" s="20" t="n"/>
      <c r="G2463" s="21" t="n"/>
      <c r="H2463" s="12">
        <f>IF(AND(B2463="",D2463="",F2463=""),"",IF(NOT(ISNUMBER(B2463)),"Needs a date",IF(D2463="","Needs a client",IF(COUNTIF(Clients!$B$6:$B$105,D2463)=0,"Not on Clients",IF(AND(F2463="",INT(B2463)&lt;TODAY()),"Needs a status","")))))</f>
        <v/>
      </c>
      <c r="I2463" s="1">
        <f>IF(ISNUMBER(B2463),INT(B2463),0)</f>
        <v/>
      </c>
      <c r="J2463">
        <f>IF(ISNUMBER(B2463),YEAR(B2463)*100+MONTH(B2463),"")</f>
        <v/>
      </c>
      <c r="K2463">
        <f>IF(AND(H2463="",OR(F2463="Attended",F2463="No-show",AND(F2463="Late cancel",Settings!$C$9="Yes"))),1,0)</f>
        <v/>
      </c>
      <c r="L2463">
        <f>IF(AND(H2463="",F2463="Attended"),1,0)</f>
        <v/>
      </c>
      <c r="M2463">
        <f>IF(AND(H2463="",OR(F2463="No-show",F2463="Late cancel")),1,0)</f>
        <v/>
      </c>
      <c r="N2463">
        <f>IF(AND(H2463="",F2463="",D2463&lt;&gt;"",I2463&gt;=TODAY()),ROUND((I2463+IF(ISNUMBER(C2463),MOD(C2463,1),0))*1440,0)*10000+ROW(),"")</f>
        <v/>
      </c>
    </row>
    <row r="2464">
      <c r="A2464" s="1" t="n"/>
      <c r="B2464" s="17" t="n"/>
      <c r="C2464" s="18" t="n"/>
      <c r="D2464" s="19" t="n"/>
      <c r="E2464" s="20" t="n"/>
      <c r="F2464" s="20" t="n"/>
      <c r="G2464" s="21" t="n"/>
      <c r="H2464" s="12">
        <f>IF(AND(B2464="",D2464="",F2464=""),"",IF(NOT(ISNUMBER(B2464)),"Needs a date",IF(D2464="","Needs a client",IF(COUNTIF(Clients!$B$6:$B$105,D2464)=0,"Not on Clients",IF(AND(F2464="",INT(B2464)&lt;TODAY()),"Needs a status","")))))</f>
        <v/>
      </c>
      <c r="I2464" s="1">
        <f>IF(ISNUMBER(B2464),INT(B2464),0)</f>
        <v/>
      </c>
      <c r="J2464">
        <f>IF(ISNUMBER(B2464),YEAR(B2464)*100+MONTH(B2464),"")</f>
        <v/>
      </c>
      <c r="K2464">
        <f>IF(AND(H2464="",OR(F2464="Attended",F2464="No-show",AND(F2464="Late cancel",Settings!$C$9="Yes"))),1,0)</f>
        <v/>
      </c>
      <c r="L2464">
        <f>IF(AND(H2464="",F2464="Attended"),1,0)</f>
        <v/>
      </c>
      <c r="M2464">
        <f>IF(AND(H2464="",OR(F2464="No-show",F2464="Late cancel")),1,0)</f>
        <v/>
      </c>
      <c r="N2464">
        <f>IF(AND(H2464="",F2464="",D2464&lt;&gt;"",I2464&gt;=TODAY()),ROUND((I2464+IF(ISNUMBER(C2464),MOD(C2464,1),0))*1440,0)*10000+ROW(),"")</f>
        <v/>
      </c>
    </row>
    <row r="2465">
      <c r="A2465" s="1" t="n"/>
      <c r="B2465" s="17" t="n"/>
      <c r="C2465" s="18" t="n"/>
      <c r="D2465" s="19" t="n"/>
      <c r="E2465" s="20" t="n"/>
      <c r="F2465" s="20" t="n"/>
      <c r="G2465" s="21" t="n"/>
      <c r="H2465" s="12">
        <f>IF(AND(B2465="",D2465="",F2465=""),"",IF(NOT(ISNUMBER(B2465)),"Needs a date",IF(D2465="","Needs a client",IF(COUNTIF(Clients!$B$6:$B$105,D2465)=0,"Not on Clients",IF(AND(F2465="",INT(B2465)&lt;TODAY()),"Needs a status","")))))</f>
        <v/>
      </c>
      <c r="I2465" s="1">
        <f>IF(ISNUMBER(B2465),INT(B2465),0)</f>
        <v/>
      </c>
      <c r="J2465">
        <f>IF(ISNUMBER(B2465),YEAR(B2465)*100+MONTH(B2465),"")</f>
        <v/>
      </c>
      <c r="K2465">
        <f>IF(AND(H2465="",OR(F2465="Attended",F2465="No-show",AND(F2465="Late cancel",Settings!$C$9="Yes"))),1,0)</f>
        <v/>
      </c>
      <c r="L2465">
        <f>IF(AND(H2465="",F2465="Attended"),1,0)</f>
        <v/>
      </c>
      <c r="M2465">
        <f>IF(AND(H2465="",OR(F2465="No-show",F2465="Late cancel")),1,0)</f>
        <v/>
      </c>
      <c r="N2465">
        <f>IF(AND(H2465="",F2465="",D2465&lt;&gt;"",I2465&gt;=TODAY()),ROUND((I2465+IF(ISNUMBER(C2465),MOD(C2465,1),0))*1440,0)*10000+ROW(),"")</f>
        <v/>
      </c>
    </row>
    <row r="2466">
      <c r="A2466" s="1" t="n"/>
      <c r="B2466" s="17" t="n"/>
      <c r="C2466" s="18" t="n"/>
      <c r="D2466" s="19" t="n"/>
      <c r="E2466" s="20" t="n"/>
      <c r="F2466" s="20" t="n"/>
      <c r="G2466" s="21" t="n"/>
      <c r="H2466" s="12">
        <f>IF(AND(B2466="",D2466="",F2466=""),"",IF(NOT(ISNUMBER(B2466)),"Needs a date",IF(D2466="","Needs a client",IF(COUNTIF(Clients!$B$6:$B$105,D2466)=0,"Not on Clients",IF(AND(F2466="",INT(B2466)&lt;TODAY()),"Needs a status","")))))</f>
        <v/>
      </c>
      <c r="I2466" s="1">
        <f>IF(ISNUMBER(B2466),INT(B2466),0)</f>
        <v/>
      </c>
      <c r="J2466">
        <f>IF(ISNUMBER(B2466),YEAR(B2466)*100+MONTH(B2466),"")</f>
        <v/>
      </c>
      <c r="K2466">
        <f>IF(AND(H2466="",OR(F2466="Attended",F2466="No-show",AND(F2466="Late cancel",Settings!$C$9="Yes"))),1,0)</f>
        <v/>
      </c>
      <c r="L2466">
        <f>IF(AND(H2466="",F2466="Attended"),1,0)</f>
        <v/>
      </c>
      <c r="M2466">
        <f>IF(AND(H2466="",OR(F2466="No-show",F2466="Late cancel")),1,0)</f>
        <v/>
      </c>
      <c r="N2466">
        <f>IF(AND(H2466="",F2466="",D2466&lt;&gt;"",I2466&gt;=TODAY()),ROUND((I2466+IF(ISNUMBER(C2466),MOD(C2466,1),0))*1440,0)*10000+ROW(),"")</f>
        <v/>
      </c>
    </row>
    <row r="2467">
      <c r="A2467" s="1" t="n"/>
      <c r="B2467" s="17" t="n"/>
      <c r="C2467" s="18" t="n"/>
      <c r="D2467" s="19" t="n"/>
      <c r="E2467" s="20" t="n"/>
      <c r="F2467" s="20" t="n"/>
      <c r="G2467" s="21" t="n"/>
      <c r="H2467" s="12">
        <f>IF(AND(B2467="",D2467="",F2467=""),"",IF(NOT(ISNUMBER(B2467)),"Needs a date",IF(D2467="","Needs a client",IF(COUNTIF(Clients!$B$6:$B$105,D2467)=0,"Not on Clients",IF(AND(F2467="",INT(B2467)&lt;TODAY()),"Needs a status","")))))</f>
        <v/>
      </c>
      <c r="I2467" s="1">
        <f>IF(ISNUMBER(B2467),INT(B2467),0)</f>
        <v/>
      </c>
      <c r="J2467">
        <f>IF(ISNUMBER(B2467),YEAR(B2467)*100+MONTH(B2467),"")</f>
        <v/>
      </c>
      <c r="K2467">
        <f>IF(AND(H2467="",OR(F2467="Attended",F2467="No-show",AND(F2467="Late cancel",Settings!$C$9="Yes"))),1,0)</f>
        <v/>
      </c>
      <c r="L2467">
        <f>IF(AND(H2467="",F2467="Attended"),1,0)</f>
        <v/>
      </c>
      <c r="M2467">
        <f>IF(AND(H2467="",OR(F2467="No-show",F2467="Late cancel")),1,0)</f>
        <v/>
      </c>
      <c r="N2467">
        <f>IF(AND(H2467="",F2467="",D2467&lt;&gt;"",I2467&gt;=TODAY()),ROUND((I2467+IF(ISNUMBER(C2467),MOD(C2467,1),0))*1440,0)*10000+ROW(),"")</f>
        <v/>
      </c>
    </row>
    <row r="2468">
      <c r="A2468" s="1" t="n"/>
      <c r="B2468" s="17" t="n"/>
      <c r="C2468" s="18" t="n"/>
      <c r="D2468" s="19" t="n"/>
      <c r="E2468" s="20" t="n"/>
      <c r="F2468" s="20" t="n"/>
      <c r="G2468" s="21" t="n"/>
      <c r="H2468" s="12">
        <f>IF(AND(B2468="",D2468="",F2468=""),"",IF(NOT(ISNUMBER(B2468)),"Needs a date",IF(D2468="","Needs a client",IF(COUNTIF(Clients!$B$6:$B$105,D2468)=0,"Not on Clients",IF(AND(F2468="",INT(B2468)&lt;TODAY()),"Needs a status","")))))</f>
        <v/>
      </c>
      <c r="I2468" s="1">
        <f>IF(ISNUMBER(B2468),INT(B2468),0)</f>
        <v/>
      </c>
      <c r="J2468">
        <f>IF(ISNUMBER(B2468),YEAR(B2468)*100+MONTH(B2468),"")</f>
        <v/>
      </c>
      <c r="K2468">
        <f>IF(AND(H2468="",OR(F2468="Attended",F2468="No-show",AND(F2468="Late cancel",Settings!$C$9="Yes"))),1,0)</f>
        <v/>
      </c>
      <c r="L2468">
        <f>IF(AND(H2468="",F2468="Attended"),1,0)</f>
        <v/>
      </c>
      <c r="M2468">
        <f>IF(AND(H2468="",OR(F2468="No-show",F2468="Late cancel")),1,0)</f>
        <v/>
      </c>
      <c r="N2468">
        <f>IF(AND(H2468="",F2468="",D2468&lt;&gt;"",I2468&gt;=TODAY()),ROUND((I2468+IF(ISNUMBER(C2468),MOD(C2468,1),0))*1440,0)*10000+ROW(),"")</f>
        <v/>
      </c>
    </row>
    <row r="2469">
      <c r="A2469" s="1" t="n"/>
      <c r="B2469" s="17" t="n"/>
      <c r="C2469" s="18" t="n"/>
      <c r="D2469" s="19" t="n"/>
      <c r="E2469" s="20" t="n"/>
      <c r="F2469" s="20" t="n"/>
      <c r="G2469" s="21" t="n"/>
      <c r="H2469" s="12">
        <f>IF(AND(B2469="",D2469="",F2469=""),"",IF(NOT(ISNUMBER(B2469)),"Needs a date",IF(D2469="","Needs a client",IF(COUNTIF(Clients!$B$6:$B$105,D2469)=0,"Not on Clients",IF(AND(F2469="",INT(B2469)&lt;TODAY()),"Needs a status","")))))</f>
        <v/>
      </c>
      <c r="I2469" s="1">
        <f>IF(ISNUMBER(B2469),INT(B2469),0)</f>
        <v/>
      </c>
      <c r="J2469">
        <f>IF(ISNUMBER(B2469),YEAR(B2469)*100+MONTH(B2469),"")</f>
        <v/>
      </c>
      <c r="K2469">
        <f>IF(AND(H2469="",OR(F2469="Attended",F2469="No-show",AND(F2469="Late cancel",Settings!$C$9="Yes"))),1,0)</f>
        <v/>
      </c>
      <c r="L2469">
        <f>IF(AND(H2469="",F2469="Attended"),1,0)</f>
        <v/>
      </c>
      <c r="M2469">
        <f>IF(AND(H2469="",OR(F2469="No-show",F2469="Late cancel")),1,0)</f>
        <v/>
      </c>
      <c r="N2469">
        <f>IF(AND(H2469="",F2469="",D2469&lt;&gt;"",I2469&gt;=TODAY()),ROUND((I2469+IF(ISNUMBER(C2469),MOD(C2469,1),0))*1440,0)*10000+ROW(),"")</f>
        <v/>
      </c>
    </row>
    <row r="2470">
      <c r="A2470" s="1" t="n"/>
      <c r="B2470" s="17" t="n"/>
      <c r="C2470" s="18" t="n"/>
      <c r="D2470" s="19" t="n"/>
      <c r="E2470" s="20" t="n"/>
      <c r="F2470" s="20" t="n"/>
      <c r="G2470" s="21" t="n"/>
      <c r="H2470" s="12">
        <f>IF(AND(B2470="",D2470="",F2470=""),"",IF(NOT(ISNUMBER(B2470)),"Needs a date",IF(D2470="","Needs a client",IF(COUNTIF(Clients!$B$6:$B$105,D2470)=0,"Not on Clients",IF(AND(F2470="",INT(B2470)&lt;TODAY()),"Needs a status","")))))</f>
        <v/>
      </c>
      <c r="I2470" s="1">
        <f>IF(ISNUMBER(B2470),INT(B2470),0)</f>
        <v/>
      </c>
      <c r="J2470">
        <f>IF(ISNUMBER(B2470),YEAR(B2470)*100+MONTH(B2470),"")</f>
        <v/>
      </c>
      <c r="K2470">
        <f>IF(AND(H2470="",OR(F2470="Attended",F2470="No-show",AND(F2470="Late cancel",Settings!$C$9="Yes"))),1,0)</f>
        <v/>
      </c>
      <c r="L2470">
        <f>IF(AND(H2470="",F2470="Attended"),1,0)</f>
        <v/>
      </c>
      <c r="M2470">
        <f>IF(AND(H2470="",OR(F2470="No-show",F2470="Late cancel")),1,0)</f>
        <v/>
      </c>
      <c r="N2470">
        <f>IF(AND(H2470="",F2470="",D2470&lt;&gt;"",I2470&gt;=TODAY()),ROUND((I2470+IF(ISNUMBER(C2470),MOD(C2470,1),0))*1440,0)*10000+ROW(),"")</f>
        <v/>
      </c>
    </row>
    <row r="2471">
      <c r="A2471" s="1" t="n"/>
      <c r="B2471" s="17" t="n"/>
      <c r="C2471" s="18" t="n"/>
      <c r="D2471" s="19" t="n"/>
      <c r="E2471" s="20" t="n"/>
      <c r="F2471" s="20" t="n"/>
      <c r="G2471" s="21" t="n"/>
      <c r="H2471" s="12">
        <f>IF(AND(B2471="",D2471="",F2471=""),"",IF(NOT(ISNUMBER(B2471)),"Needs a date",IF(D2471="","Needs a client",IF(COUNTIF(Clients!$B$6:$B$105,D2471)=0,"Not on Clients",IF(AND(F2471="",INT(B2471)&lt;TODAY()),"Needs a status","")))))</f>
        <v/>
      </c>
      <c r="I2471" s="1">
        <f>IF(ISNUMBER(B2471),INT(B2471),0)</f>
        <v/>
      </c>
      <c r="J2471">
        <f>IF(ISNUMBER(B2471),YEAR(B2471)*100+MONTH(B2471),"")</f>
        <v/>
      </c>
      <c r="K2471">
        <f>IF(AND(H2471="",OR(F2471="Attended",F2471="No-show",AND(F2471="Late cancel",Settings!$C$9="Yes"))),1,0)</f>
        <v/>
      </c>
      <c r="L2471">
        <f>IF(AND(H2471="",F2471="Attended"),1,0)</f>
        <v/>
      </c>
      <c r="M2471">
        <f>IF(AND(H2471="",OR(F2471="No-show",F2471="Late cancel")),1,0)</f>
        <v/>
      </c>
      <c r="N2471">
        <f>IF(AND(H2471="",F2471="",D2471&lt;&gt;"",I2471&gt;=TODAY()),ROUND((I2471+IF(ISNUMBER(C2471),MOD(C2471,1),0))*1440,0)*10000+ROW(),"")</f>
        <v/>
      </c>
    </row>
    <row r="2472">
      <c r="A2472" s="1" t="n"/>
      <c r="B2472" s="17" t="n"/>
      <c r="C2472" s="18" t="n"/>
      <c r="D2472" s="19" t="n"/>
      <c r="E2472" s="20" t="n"/>
      <c r="F2472" s="20" t="n"/>
      <c r="G2472" s="21" t="n"/>
      <c r="H2472" s="12">
        <f>IF(AND(B2472="",D2472="",F2472=""),"",IF(NOT(ISNUMBER(B2472)),"Needs a date",IF(D2472="","Needs a client",IF(COUNTIF(Clients!$B$6:$B$105,D2472)=0,"Not on Clients",IF(AND(F2472="",INT(B2472)&lt;TODAY()),"Needs a status","")))))</f>
        <v/>
      </c>
      <c r="I2472" s="1">
        <f>IF(ISNUMBER(B2472),INT(B2472),0)</f>
        <v/>
      </c>
      <c r="J2472">
        <f>IF(ISNUMBER(B2472),YEAR(B2472)*100+MONTH(B2472),"")</f>
        <v/>
      </c>
      <c r="K2472">
        <f>IF(AND(H2472="",OR(F2472="Attended",F2472="No-show",AND(F2472="Late cancel",Settings!$C$9="Yes"))),1,0)</f>
        <v/>
      </c>
      <c r="L2472">
        <f>IF(AND(H2472="",F2472="Attended"),1,0)</f>
        <v/>
      </c>
      <c r="M2472">
        <f>IF(AND(H2472="",OR(F2472="No-show",F2472="Late cancel")),1,0)</f>
        <v/>
      </c>
      <c r="N2472">
        <f>IF(AND(H2472="",F2472="",D2472&lt;&gt;"",I2472&gt;=TODAY()),ROUND((I2472+IF(ISNUMBER(C2472),MOD(C2472,1),0))*1440,0)*10000+ROW(),"")</f>
        <v/>
      </c>
    </row>
    <row r="2473">
      <c r="A2473" s="1" t="n"/>
      <c r="B2473" s="17" t="n"/>
      <c r="C2473" s="18" t="n"/>
      <c r="D2473" s="19" t="n"/>
      <c r="E2473" s="20" t="n"/>
      <c r="F2473" s="20" t="n"/>
      <c r="G2473" s="21" t="n"/>
      <c r="H2473" s="12">
        <f>IF(AND(B2473="",D2473="",F2473=""),"",IF(NOT(ISNUMBER(B2473)),"Needs a date",IF(D2473="","Needs a client",IF(COUNTIF(Clients!$B$6:$B$105,D2473)=0,"Not on Clients",IF(AND(F2473="",INT(B2473)&lt;TODAY()),"Needs a status","")))))</f>
        <v/>
      </c>
      <c r="I2473" s="1">
        <f>IF(ISNUMBER(B2473),INT(B2473),0)</f>
        <v/>
      </c>
      <c r="J2473">
        <f>IF(ISNUMBER(B2473),YEAR(B2473)*100+MONTH(B2473),"")</f>
        <v/>
      </c>
      <c r="K2473">
        <f>IF(AND(H2473="",OR(F2473="Attended",F2473="No-show",AND(F2473="Late cancel",Settings!$C$9="Yes"))),1,0)</f>
        <v/>
      </c>
      <c r="L2473">
        <f>IF(AND(H2473="",F2473="Attended"),1,0)</f>
        <v/>
      </c>
      <c r="M2473">
        <f>IF(AND(H2473="",OR(F2473="No-show",F2473="Late cancel")),1,0)</f>
        <v/>
      </c>
      <c r="N2473">
        <f>IF(AND(H2473="",F2473="",D2473&lt;&gt;"",I2473&gt;=TODAY()),ROUND((I2473+IF(ISNUMBER(C2473),MOD(C2473,1),0))*1440,0)*10000+ROW(),"")</f>
        <v/>
      </c>
    </row>
    <row r="2474">
      <c r="A2474" s="1" t="n"/>
      <c r="B2474" s="17" t="n"/>
      <c r="C2474" s="18" t="n"/>
      <c r="D2474" s="19" t="n"/>
      <c r="E2474" s="20" t="n"/>
      <c r="F2474" s="20" t="n"/>
      <c r="G2474" s="21" t="n"/>
      <c r="H2474" s="12">
        <f>IF(AND(B2474="",D2474="",F2474=""),"",IF(NOT(ISNUMBER(B2474)),"Needs a date",IF(D2474="","Needs a client",IF(COUNTIF(Clients!$B$6:$B$105,D2474)=0,"Not on Clients",IF(AND(F2474="",INT(B2474)&lt;TODAY()),"Needs a status","")))))</f>
        <v/>
      </c>
      <c r="I2474" s="1">
        <f>IF(ISNUMBER(B2474),INT(B2474),0)</f>
        <v/>
      </c>
      <c r="J2474">
        <f>IF(ISNUMBER(B2474),YEAR(B2474)*100+MONTH(B2474),"")</f>
        <v/>
      </c>
      <c r="K2474">
        <f>IF(AND(H2474="",OR(F2474="Attended",F2474="No-show",AND(F2474="Late cancel",Settings!$C$9="Yes"))),1,0)</f>
        <v/>
      </c>
      <c r="L2474">
        <f>IF(AND(H2474="",F2474="Attended"),1,0)</f>
        <v/>
      </c>
      <c r="M2474">
        <f>IF(AND(H2474="",OR(F2474="No-show",F2474="Late cancel")),1,0)</f>
        <v/>
      </c>
      <c r="N2474">
        <f>IF(AND(H2474="",F2474="",D2474&lt;&gt;"",I2474&gt;=TODAY()),ROUND((I2474+IF(ISNUMBER(C2474),MOD(C2474,1),0))*1440,0)*10000+ROW(),"")</f>
        <v/>
      </c>
    </row>
    <row r="2475">
      <c r="A2475" s="1" t="n"/>
      <c r="B2475" s="17" t="n"/>
      <c r="C2475" s="18" t="n"/>
      <c r="D2475" s="19" t="n"/>
      <c r="E2475" s="20" t="n"/>
      <c r="F2475" s="20" t="n"/>
      <c r="G2475" s="21" t="n"/>
      <c r="H2475" s="12">
        <f>IF(AND(B2475="",D2475="",F2475=""),"",IF(NOT(ISNUMBER(B2475)),"Needs a date",IF(D2475="","Needs a client",IF(COUNTIF(Clients!$B$6:$B$105,D2475)=0,"Not on Clients",IF(AND(F2475="",INT(B2475)&lt;TODAY()),"Needs a status","")))))</f>
        <v/>
      </c>
      <c r="I2475" s="1">
        <f>IF(ISNUMBER(B2475),INT(B2475),0)</f>
        <v/>
      </c>
      <c r="J2475">
        <f>IF(ISNUMBER(B2475),YEAR(B2475)*100+MONTH(B2475),"")</f>
        <v/>
      </c>
      <c r="K2475">
        <f>IF(AND(H2475="",OR(F2475="Attended",F2475="No-show",AND(F2475="Late cancel",Settings!$C$9="Yes"))),1,0)</f>
        <v/>
      </c>
      <c r="L2475">
        <f>IF(AND(H2475="",F2475="Attended"),1,0)</f>
        <v/>
      </c>
      <c r="M2475">
        <f>IF(AND(H2475="",OR(F2475="No-show",F2475="Late cancel")),1,0)</f>
        <v/>
      </c>
      <c r="N2475">
        <f>IF(AND(H2475="",F2475="",D2475&lt;&gt;"",I2475&gt;=TODAY()),ROUND((I2475+IF(ISNUMBER(C2475),MOD(C2475,1),0))*1440,0)*10000+ROW(),"")</f>
        <v/>
      </c>
    </row>
    <row r="2476">
      <c r="A2476" s="1" t="n"/>
      <c r="B2476" s="17" t="n"/>
      <c r="C2476" s="18" t="n"/>
      <c r="D2476" s="19" t="n"/>
      <c r="E2476" s="20" t="n"/>
      <c r="F2476" s="20" t="n"/>
      <c r="G2476" s="21" t="n"/>
      <c r="H2476" s="12">
        <f>IF(AND(B2476="",D2476="",F2476=""),"",IF(NOT(ISNUMBER(B2476)),"Needs a date",IF(D2476="","Needs a client",IF(COUNTIF(Clients!$B$6:$B$105,D2476)=0,"Not on Clients",IF(AND(F2476="",INT(B2476)&lt;TODAY()),"Needs a status","")))))</f>
        <v/>
      </c>
      <c r="I2476" s="1">
        <f>IF(ISNUMBER(B2476),INT(B2476),0)</f>
        <v/>
      </c>
      <c r="J2476">
        <f>IF(ISNUMBER(B2476),YEAR(B2476)*100+MONTH(B2476),"")</f>
        <v/>
      </c>
      <c r="K2476">
        <f>IF(AND(H2476="",OR(F2476="Attended",F2476="No-show",AND(F2476="Late cancel",Settings!$C$9="Yes"))),1,0)</f>
        <v/>
      </c>
      <c r="L2476">
        <f>IF(AND(H2476="",F2476="Attended"),1,0)</f>
        <v/>
      </c>
      <c r="M2476">
        <f>IF(AND(H2476="",OR(F2476="No-show",F2476="Late cancel")),1,0)</f>
        <v/>
      </c>
      <c r="N2476">
        <f>IF(AND(H2476="",F2476="",D2476&lt;&gt;"",I2476&gt;=TODAY()),ROUND((I2476+IF(ISNUMBER(C2476),MOD(C2476,1),0))*1440,0)*10000+ROW(),"")</f>
        <v/>
      </c>
    </row>
    <row r="2477">
      <c r="A2477" s="1" t="n"/>
      <c r="B2477" s="17" t="n"/>
      <c r="C2477" s="18" t="n"/>
      <c r="D2477" s="19" t="n"/>
      <c r="E2477" s="20" t="n"/>
      <c r="F2477" s="20" t="n"/>
      <c r="G2477" s="21" t="n"/>
      <c r="H2477" s="12">
        <f>IF(AND(B2477="",D2477="",F2477=""),"",IF(NOT(ISNUMBER(B2477)),"Needs a date",IF(D2477="","Needs a client",IF(COUNTIF(Clients!$B$6:$B$105,D2477)=0,"Not on Clients",IF(AND(F2477="",INT(B2477)&lt;TODAY()),"Needs a status","")))))</f>
        <v/>
      </c>
      <c r="I2477" s="1">
        <f>IF(ISNUMBER(B2477),INT(B2477),0)</f>
        <v/>
      </c>
      <c r="J2477">
        <f>IF(ISNUMBER(B2477),YEAR(B2477)*100+MONTH(B2477),"")</f>
        <v/>
      </c>
      <c r="K2477">
        <f>IF(AND(H2477="",OR(F2477="Attended",F2477="No-show",AND(F2477="Late cancel",Settings!$C$9="Yes"))),1,0)</f>
        <v/>
      </c>
      <c r="L2477">
        <f>IF(AND(H2477="",F2477="Attended"),1,0)</f>
        <v/>
      </c>
      <c r="M2477">
        <f>IF(AND(H2477="",OR(F2477="No-show",F2477="Late cancel")),1,0)</f>
        <v/>
      </c>
      <c r="N2477">
        <f>IF(AND(H2477="",F2477="",D2477&lt;&gt;"",I2477&gt;=TODAY()),ROUND((I2477+IF(ISNUMBER(C2477),MOD(C2477,1),0))*1440,0)*10000+ROW(),"")</f>
        <v/>
      </c>
    </row>
    <row r="2478">
      <c r="A2478" s="1" t="n"/>
      <c r="B2478" s="17" t="n"/>
      <c r="C2478" s="18" t="n"/>
      <c r="D2478" s="19" t="n"/>
      <c r="E2478" s="20" t="n"/>
      <c r="F2478" s="20" t="n"/>
      <c r="G2478" s="21" t="n"/>
      <c r="H2478" s="12">
        <f>IF(AND(B2478="",D2478="",F2478=""),"",IF(NOT(ISNUMBER(B2478)),"Needs a date",IF(D2478="","Needs a client",IF(COUNTIF(Clients!$B$6:$B$105,D2478)=0,"Not on Clients",IF(AND(F2478="",INT(B2478)&lt;TODAY()),"Needs a status","")))))</f>
        <v/>
      </c>
      <c r="I2478" s="1">
        <f>IF(ISNUMBER(B2478),INT(B2478),0)</f>
        <v/>
      </c>
      <c r="J2478">
        <f>IF(ISNUMBER(B2478),YEAR(B2478)*100+MONTH(B2478),"")</f>
        <v/>
      </c>
      <c r="K2478">
        <f>IF(AND(H2478="",OR(F2478="Attended",F2478="No-show",AND(F2478="Late cancel",Settings!$C$9="Yes"))),1,0)</f>
        <v/>
      </c>
      <c r="L2478">
        <f>IF(AND(H2478="",F2478="Attended"),1,0)</f>
        <v/>
      </c>
      <c r="M2478">
        <f>IF(AND(H2478="",OR(F2478="No-show",F2478="Late cancel")),1,0)</f>
        <v/>
      </c>
      <c r="N2478">
        <f>IF(AND(H2478="",F2478="",D2478&lt;&gt;"",I2478&gt;=TODAY()),ROUND((I2478+IF(ISNUMBER(C2478),MOD(C2478,1),0))*1440,0)*10000+ROW(),"")</f>
        <v/>
      </c>
    </row>
    <row r="2479">
      <c r="A2479" s="1" t="n"/>
      <c r="B2479" s="17" t="n"/>
      <c r="C2479" s="18" t="n"/>
      <c r="D2479" s="19" t="n"/>
      <c r="E2479" s="20" t="n"/>
      <c r="F2479" s="20" t="n"/>
      <c r="G2479" s="21" t="n"/>
      <c r="H2479" s="12">
        <f>IF(AND(B2479="",D2479="",F2479=""),"",IF(NOT(ISNUMBER(B2479)),"Needs a date",IF(D2479="","Needs a client",IF(COUNTIF(Clients!$B$6:$B$105,D2479)=0,"Not on Clients",IF(AND(F2479="",INT(B2479)&lt;TODAY()),"Needs a status","")))))</f>
        <v/>
      </c>
      <c r="I2479" s="1">
        <f>IF(ISNUMBER(B2479),INT(B2479),0)</f>
        <v/>
      </c>
      <c r="J2479">
        <f>IF(ISNUMBER(B2479),YEAR(B2479)*100+MONTH(B2479),"")</f>
        <v/>
      </c>
      <c r="K2479">
        <f>IF(AND(H2479="",OR(F2479="Attended",F2479="No-show",AND(F2479="Late cancel",Settings!$C$9="Yes"))),1,0)</f>
        <v/>
      </c>
      <c r="L2479">
        <f>IF(AND(H2479="",F2479="Attended"),1,0)</f>
        <v/>
      </c>
      <c r="M2479">
        <f>IF(AND(H2479="",OR(F2479="No-show",F2479="Late cancel")),1,0)</f>
        <v/>
      </c>
      <c r="N2479">
        <f>IF(AND(H2479="",F2479="",D2479&lt;&gt;"",I2479&gt;=TODAY()),ROUND((I2479+IF(ISNUMBER(C2479),MOD(C2479,1),0))*1440,0)*10000+ROW(),"")</f>
        <v/>
      </c>
    </row>
    <row r="2480">
      <c r="A2480" s="1" t="n"/>
      <c r="B2480" s="17" t="n"/>
      <c r="C2480" s="18" t="n"/>
      <c r="D2480" s="19" t="n"/>
      <c r="E2480" s="20" t="n"/>
      <c r="F2480" s="20" t="n"/>
      <c r="G2480" s="21" t="n"/>
      <c r="H2480" s="12">
        <f>IF(AND(B2480="",D2480="",F2480=""),"",IF(NOT(ISNUMBER(B2480)),"Needs a date",IF(D2480="","Needs a client",IF(COUNTIF(Clients!$B$6:$B$105,D2480)=0,"Not on Clients",IF(AND(F2480="",INT(B2480)&lt;TODAY()),"Needs a status","")))))</f>
        <v/>
      </c>
      <c r="I2480" s="1">
        <f>IF(ISNUMBER(B2480),INT(B2480),0)</f>
        <v/>
      </c>
      <c r="J2480">
        <f>IF(ISNUMBER(B2480),YEAR(B2480)*100+MONTH(B2480),"")</f>
        <v/>
      </c>
      <c r="K2480">
        <f>IF(AND(H2480="",OR(F2480="Attended",F2480="No-show",AND(F2480="Late cancel",Settings!$C$9="Yes"))),1,0)</f>
        <v/>
      </c>
      <c r="L2480">
        <f>IF(AND(H2480="",F2480="Attended"),1,0)</f>
        <v/>
      </c>
      <c r="M2480">
        <f>IF(AND(H2480="",OR(F2480="No-show",F2480="Late cancel")),1,0)</f>
        <v/>
      </c>
      <c r="N2480">
        <f>IF(AND(H2480="",F2480="",D2480&lt;&gt;"",I2480&gt;=TODAY()),ROUND((I2480+IF(ISNUMBER(C2480),MOD(C2480,1),0))*1440,0)*10000+ROW(),"")</f>
        <v/>
      </c>
    </row>
    <row r="2481">
      <c r="A2481" s="1" t="n"/>
      <c r="B2481" s="17" t="n"/>
      <c r="C2481" s="18" t="n"/>
      <c r="D2481" s="19" t="n"/>
      <c r="E2481" s="20" t="n"/>
      <c r="F2481" s="20" t="n"/>
      <c r="G2481" s="21" t="n"/>
      <c r="H2481" s="12">
        <f>IF(AND(B2481="",D2481="",F2481=""),"",IF(NOT(ISNUMBER(B2481)),"Needs a date",IF(D2481="","Needs a client",IF(COUNTIF(Clients!$B$6:$B$105,D2481)=0,"Not on Clients",IF(AND(F2481="",INT(B2481)&lt;TODAY()),"Needs a status","")))))</f>
        <v/>
      </c>
      <c r="I2481" s="1">
        <f>IF(ISNUMBER(B2481),INT(B2481),0)</f>
        <v/>
      </c>
      <c r="J2481">
        <f>IF(ISNUMBER(B2481),YEAR(B2481)*100+MONTH(B2481),"")</f>
        <v/>
      </c>
      <c r="K2481">
        <f>IF(AND(H2481="",OR(F2481="Attended",F2481="No-show",AND(F2481="Late cancel",Settings!$C$9="Yes"))),1,0)</f>
        <v/>
      </c>
      <c r="L2481">
        <f>IF(AND(H2481="",F2481="Attended"),1,0)</f>
        <v/>
      </c>
      <c r="M2481">
        <f>IF(AND(H2481="",OR(F2481="No-show",F2481="Late cancel")),1,0)</f>
        <v/>
      </c>
      <c r="N2481">
        <f>IF(AND(H2481="",F2481="",D2481&lt;&gt;"",I2481&gt;=TODAY()),ROUND((I2481+IF(ISNUMBER(C2481),MOD(C2481,1),0))*1440,0)*10000+ROW(),"")</f>
        <v/>
      </c>
    </row>
    <row r="2482">
      <c r="A2482" s="1" t="n"/>
      <c r="B2482" s="17" t="n"/>
      <c r="C2482" s="18" t="n"/>
      <c r="D2482" s="19" t="n"/>
      <c r="E2482" s="20" t="n"/>
      <c r="F2482" s="20" t="n"/>
      <c r="G2482" s="21" t="n"/>
      <c r="H2482" s="12">
        <f>IF(AND(B2482="",D2482="",F2482=""),"",IF(NOT(ISNUMBER(B2482)),"Needs a date",IF(D2482="","Needs a client",IF(COUNTIF(Clients!$B$6:$B$105,D2482)=0,"Not on Clients",IF(AND(F2482="",INT(B2482)&lt;TODAY()),"Needs a status","")))))</f>
        <v/>
      </c>
      <c r="I2482" s="1">
        <f>IF(ISNUMBER(B2482),INT(B2482),0)</f>
        <v/>
      </c>
      <c r="J2482">
        <f>IF(ISNUMBER(B2482),YEAR(B2482)*100+MONTH(B2482),"")</f>
        <v/>
      </c>
      <c r="K2482">
        <f>IF(AND(H2482="",OR(F2482="Attended",F2482="No-show",AND(F2482="Late cancel",Settings!$C$9="Yes"))),1,0)</f>
        <v/>
      </c>
      <c r="L2482">
        <f>IF(AND(H2482="",F2482="Attended"),1,0)</f>
        <v/>
      </c>
      <c r="M2482">
        <f>IF(AND(H2482="",OR(F2482="No-show",F2482="Late cancel")),1,0)</f>
        <v/>
      </c>
      <c r="N2482">
        <f>IF(AND(H2482="",F2482="",D2482&lt;&gt;"",I2482&gt;=TODAY()),ROUND((I2482+IF(ISNUMBER(C2482),MOD(C2482,1),0))*1440,0)*10000+ROW(),"")</f>
        <v/>
      </c>
    </row>
    <row r="2483">
      <c r="A2483" s="1" t="n"/>
      <c r="B2483" s="17" t="n"/>
      <c r="C2483" s="18" t="n"/>
      <c r="D2483" s="19" t="n"/>
      <c r="E2483" s="20" t="n"/>
      <c r="F2483" s="20" t="n"/>
      <c r="G2483" s="21" t="n"/>
      <c r="H2483" s="12">
        <f>IF(AND(B2483="",D2483="",F2483=""),"",IF(NOT(ISNUMBER(B2483)),"Needs a date",IF(D2483="","Needs a client",IF(COUNTIF(Clients!$B$6:$B$105,D2483)=0,"Not on Clients",IF(AND(F2483="",INT(B2483)&lt;TODAY()),"Needs a status","")))))</f>
        <v/>
      </c>
      <c r="I2483" s="1">
        <f>IF(ISNUMBER(B2483),INT(B2483),0)</f>
        <v/>
      </c>
      <c r="J2483">
        <f>IF(ISNUMBER(B2483),YEAR(B2483)*100+MONTH(B2483),"")</f>
        <v/>
      </c>
      <c r="K2483">
        <f>IF(AND(H2483="",OR(F2483="Attended",F2483="No-show",AND(F2483="Late cancel",Settings!$C$9="Yes"))),1,0)</f>
        <v/>
      </c>
      <c r="L2483">
        <f>IF(AND(H2483="",F2483="Attended"),1,0)</f>
        <v/>
      </c>
      <c r="M2483">
        <f>IF(AND(H2483="",OR(F2483="No-show",F2483="Late cancel")),1,0)</f>
        <v/>
      </c>
      <c r="N2483">
        <f>IF(AND(H2483="",F2483="",D2483&lt;&gt;"",I2483&gt;=TODAY()),ROUND((I2483+IF(ISNUMBER(C2483),MOD(C2483,1),0))*1440,0)*10000+ROW(),"")</f>
        <v/>
      </c>
    </row>
    <row r="2484">
      <c r="A2484" s="1" t="n"/>
      <c r="B2484" s="17" t="n"/>
      <c r="C2484" s="18" t="n"/>
      <c r="D2484" s="19" t="n"/>
      <c r="E2484" s="20" t="n"/>
      <c r="F2484" s="20" t="n"/>
      <c r="G2484" s="21" t="n"/>
      <c r="H2484" s="12">
        <f>IF(AND(B2484="",D2484="",F2484=""),"",IF(NOT(ISNUMBER(B2484)),"Needs a date",IF(D2484="","Needs a client",IF(COUNTIF(Clients!$B$6:$B$105,D2484)=0,"Not on Clients",IF(AND(F2484="",INT(B2484)&lt;TODAY()),"Needs a status","")))))</f>
        <v/>
      </c>
      <c r="I2484" s="1">
        <f>IF(ISNUMBER(B2484),INT(B2484),0)</f>
        <v/>
      </c>
      <c r="J2484">
        <f>IF(ISNUMBER(B2484),YEAR(B2484)*100+MONTH(B2484),"")</f>
        <v/>
      </c>
      <c r="K2484">
        <f>IF(AND(H2484="",OR(F2484="Attended",F2484="No-show",AND(F2484="Late cancel",Settings!$C$9="Yes"))),1,0)</f>
        <v/>
      </c>
      <c r="L2484">
        <f>IF(AND(H2484="",F2484="Attended"),1,0)</f>
        <v/>
      </c>
      <c r="M2484">
        <f>IF(AND(H2484="",OR(F2484="No-show",F2484="Late cancel")),1,0)</f>
        <v/>
      </c>
      <c r="N2484">
        <f>IF(AND(H2484="",F2484="",D2484&lt;&gt;"",I2484&gt;=TODAY()),ROUND((I2484+IF(ISNUMBER(C2484),MOD(C2484,1),0))*1440,0)*10000+ROW(),"")</f>
        <v/>
      </c>
    </row>
    <row r="2485">
      <c r="A2485" s="1" t="n"/>
      <c r="B2485" s="17" t="n"/>
      <c r="C2485" s="18" t="n"/>
      <c r="D2485" s="19" t="n"/>
      <c r="E2485" s="20" t="n"/>
      <c r="F2485" s="20" t="n"/>
      <c r="G2485" s="21" t="n"/>
      <c r="H2485" s="12">
        <f>IF(AND(B2485="",D2485="",F2485=""),"",IF(NOT(ISNUMBER(B2485)),"Needs a date",IF(D2485="","Needs a client",IF(COUNTIF(Clients!$B$6:$B$105,D2485)=0,"Not on Clients",IF(AND(F2485="",INT(B2485)&lt;TODAY()),"Needs a status","")))))</f>
        <v/>
      </c>
      <c r="I2485" s="1">
        <f>IF(ISNUMBER(B2485),INT(B2485),0)</f>
        <v/>
      </c>
      <c r="J2485">
        <f>IF(ISNUMBER(B2485),YEAR(B2485)*100+MONTH(B2485),"")</f>
        <v/>
      </c>
      <c r="K2485">
        <f>IF(AND(H2485="",OR(F2485="Attended",F2485="No-show",AND(F2485="Late cancel",Settings!$C$9="Yes"))),1,0)</f>
        <v/>
      </c>
      <c r="L2485">
        <f>IF(AND(H2485="",F2485="Attended"),1,0)</f>
        <v/>
      </c>
      <c r="M2485">
        <f>IF(AND(H2485="",OR(F2485="No-show",F2485="Late cancel")),1,0)</f>
        <v/>
      </c>
      <c r="N2485">
        <f>IF(AND(H2485="",F2485="",D2485&lt;&gt;"",I2485&gt;=TODAY()),ROUND((I2485+IF(ISNUMBER(C2485),MOD(C2485,1),0))*1440,0)*10000+ROW(),"")</f>
        <v/>
      </c>
    </row>
    <row r="2486">
      <c r="A2486" s="1" t="n"/>
      <c r="B2486" s="17" t="n"/>
      <c r="C2486" s="18" t="n"/>
      <c r="D2486" s="19" t="n"/>
      <c r="E2486" s="20" t="n"/>
      <c r="F2486" s="20" t="n"/>
      <c r="G2486" s="21" t="n"/>
      <c r="H2486" s="12">
        <f>IF(AND(B2486="",D2486="",F2486=""),"",IF(NOT(ISNUMBER(B2486)),"Needs a date",IF(D2486="","Needs a client",IF(COUNTIF(Clients!$B$6:$B$105,D2486)=0,"Not on Clients",IF(AND(F2486="",INT(B2486)&lt;TODAY()),"Needs a status","")))))</f>
        <v/>
      </c>
      <c r="I2486" s="1">
        <f>IF(ISNUMBER(B2486),INT(B2486),0)</f>
        <v/>
      </c>
      <c r="J2486">
        <f>IF(ISNUMBER(B2486),YEAR(B2486)*100+MONTH(B2486),"")</f>
        <v/>
      </c>
      <c r="K2486">
        <f>IF(AND(H2486="",OR(F2486="Attended",F2486="No-show",AND(F2486="Late cancel",Settings!$C$9="Yes"))),1,0)</f>
        <v/>
      </c>
      <c r="L2486">
        <f>IF(AND(H2486="",F2486="Attended"),1,0)</f>
        <v/>
      </c>
      <c r="M2486">
        <f>IF(AND(H2486="",OR(F2486="No-show",F2486="Late cancel")),1,0)</f>
        <v/>
      </c>
      <c r="N2486">
        <f>IF(AND(H2486="",F2486="",D2486&lt;&gt;"",I2486&gt;=TODAY()),ROUND((I2486+IF(ISNUMBER(C2486),MOD(C2486,1),0))*1440,0)*10000+ROW(),"")</f>
        <v/>
      </c>
    </row>
    <row r="2487">
      <c r="A2487" s="1" t="n"/>
      <c r="B2487" s="17" t="n"/>
      <c r="C2487" s="18" t="n"/>
      <c r="D2487" s="19" t="n"/>
      <c r="E2487" s="20" t="n"/>
      <c r="F2487" s="20" t="n"/>
      <c r="G2487" s="21" t="n"/>
      <c r="H2487" s="12">
        <f>IF(AND(B2487="",D2487="",F2487=""),"",IF(NOT(ISNUMBER(B2487)),"Needs a date",IF(D2487="","Needs a client",IF(COUNTIF(Clients!$B$6:$B$105,D2487)=0,"Not on Clients",IF(AND(F2487="",INT(B2487)&lt;TODAY()),"Needs a status","")))))</f>
        <v/>
      </c>
      <c r="I2487" s="1">
        <f>IF(ISNUMBER(B2487),INT(B2487),0)</f>
        <v/>
      </c>
      <c r="J2487">
        <f>IF(ISNUMBER(B2487),YEAR(B2487)*100+MONTH(B2487),"")</f>
        <v/>
      </c>
      <c r="K2487">
        <f>IF(AND(H2487="",OR(F2487="Attended",F2487="No-show",AND(F2487="Late cancel",Settings!$C$9="Yes"))),1,0)</f>
        <v/>
      </c>
      <c r="L2487">
        <f>IF(AND(H2487="",F2487="Attended"),1,0)</f>
        <v/>
      </c>
      <c r="M2487">
        <f>IF(AND(H2487="",OR(F2487="No-show",F2487="Late cancel")),1,0)</f>
        <v/>
      </c>
      <c r="N2487">
        <f>IF(AND(H2487="",F2487="",D2487&lt;&gt;"",I2487&gt;=TODAY()),ROUND((I2487+IF(ISNUMBER(C2487),MOD(C2487,1),0))*1440,0)*10000+ROW(),"")</f>
        <v/>
      </c>
    </row>
    <row r="2488">
      <c r="A2488" s="1" t="n"/>
      <c r="B2488" s="17" t="n"/>
      <c r="C2488" s="18" t="n"/>
      <c r="D2488" s="19" t="n"/>
      <c r="E2488" s="20" t="n"/>
      <c r="F2488" s="20" t="n"/>
      <c r="G2488" s="21" t="n"/>
      <c r="H2488" s="12">
        <f>IF(AND(B2488="",D2488="",F2488=""),"",IF(NOT(ISNUMBER(B2488)),"Needs a date",IF(D2488="","Needs a client",IF(COUNTIF(Clients!$B$6:$B$105,D2488)=0,"Not on Clients",IF(AND(F2488="",INT(B2488)&lt;TODAY()),"Needs a status","")))))</f>
        <v/>
      </c>
      <c r="I2488" s="1">
        <f>IF(ISNUMBER(B2488),INT(B2488),0)</f>
        <v/>
      </c>
      <c r="J2488">
        <f>IF(ISNUMBER(B2488),YEAR(B2488)*100+MONTH(B2488),"")</f>
        <v/>
      </c>
      <c r="K2488">
        <f>IF(AND(H2488="",OR(F2488="Attended",F2488="No-show",AND(F2488="Late cancel",Settings!$C$9="Yes"))),1,0)</f>
        <v/>
      </c>
      <c r="L2488">
        <f>IF(AND(H2488="",F2488="Attended"),1,0)</f>
        <v/>
      </c>
      <c r="M2488">
        <f>IF(AND(H2488="",OR(F2488="No-show",F2488="Late cancel")),1,0)</f>
        <v/>
      </c>
      <c r="N2488">
        <f>IF(AND(H2488="",F2488="",D2488&lt;&gt;"",I2488&gt;=TODAY()),ROUND((I2488+IF(ISNUMBER(C2488),MOD(C2488,1),0))*1440,0)*10000+ROW(),"")</f>
        <v/>
      </c>
    </row>
    <row r="2489">
      <c r="A2489" s="1" t="n"/>
      <c r="B2489" s="17" t="n"/>
      <c r="C2489" s="18" t="n"/>
      <c r="D2489" s="19" t="n"/>
      <c r="E2489" s="20" t="n"/>
      <c r="F2489" s="20" t="n"/>
      <c r="G2489" s="21" t="n"/>
      <c r="H2489" s="12">
        <f>IF(AND(B2489="",D2489="",F2489=""),"",IF(NOT(ISNUMBER(B2489)),"Needs a date",IF(D2489="","Needs a client",IF(COUNTIF(Clients!$B$6:$B$105,D2489)=0,"Not on Clients",IF(AND(F2489="",INT(B2489)&lt;TODAY()),"Needs a status","")))))</f>
        <v/>
      </c>
      <c r="I2489" s="1">
        <f>IF(ISNUMBER(B2489),INT(B2489),0)</f>
        <v/>
      </c>
      <c r="J2489">
        <f>IF(ISNUMBER(B2489),YEAR(B2489)*100+MONTH(B2489),"")</f>
        <v/>
      </c>
      <c r="K2489">
        <f>IF(AND(H2489="",OR(F2489="Attended",F2489="No-show",AND(F2489="Late cancel",Settings!$C$9="Yes"))),1,0)</f>
        <v/>
      </c>
      <c r="L2489">
        <f>IF(AND(H2489="",F2489="Attended"),1,0)</f>
        <v/>
      </c>
      <c r="M2489">
        <f>IF(AND(H2489="",OR(F2489="No-show",F2489="Late cancel")),1,0)</f>
        <v/>
      </c>
      <c r="N2489">
        <f>IF(AND(H2489="",F2489="",D2489&lt;&gt;"",I2489&gt;=TODAY()),ROUND((I2489+IF(ISNUMBER(C2489),MOD(C2489,1),0))*1440,0)*10000+ROW(),"")</f>
        <v/>
      </c>
    </row>
    <row r="2490">
      <c r="A2490" s="1" t="n"/>
      <c r="B2490" s="17" t="n"/>
      <c r="C2490" s="18" t="n"/>
      <c r="D2490" s="19" t="n"/>
      <c r="E2490" s="20" t="n"/>
      <c r="F2490" s="20" t="n"/>
      <c r="G2490" s="21" t="n"/>
      <c r="H2490" s="12">
        <f>IF(AND(B2490="",D2490="",F2490=""),"",IF(NOT(ISNUMBER(B2490)),"Needs a date",IF(D2490="","Needs a client",IF(COUNTIF(Clients!$B$6:$B$105,D2490)=0,"Not on Clients",IF(AND(F2490="",INT(B2490)&lt;TODAY()),"Needs a status","")))))</f>
        <v/>
      </c>
      <c r="I2490" s="1">
        <f>IF(ISNUMBER(B2490),INT(B2490),0)</f>
        <v/>
      </c>
      <c r="J2490">
        <f>IF(ISNUMBER(B2490),YEAR(B2490)*100+MONTH(B2490),"")</f>
        <v/>
      </c>
      <c r="K2490">
        <f>IF(AND(H2490="",OR(F2490="Attended",F2490="No-show",AND(F2490="Late cancel",Settings!$C$9="Yes"))),1,0)</f>
        <v/>
      </c>
      <c r="L2490">
        <f>IF(AND(H2490="",F2490="Attended"),1,0)</f>
        <v/>
      </c>
      <c r="M2490">
        <f>IF(AND(H2490="",OR(F2490="No-show",F2490="Late cancel")),1,0)</f>
        <v/>
      </c>
      <c r="N2490">
        <f>IF(AND(H2490="",F2490="",D2490&lt;&gt;"",I2490&gt;=TODAY()),ROUND((I2490+IF(ISNUMBER(C2490),MOD(C2490,1),0))*1440,0)*10000+ROW(),"")</f>
        <v/>
      </c>
    </row>
    <row r="2491">
      <c r="A2491" s="1" t="n"/>
      <c r="B2491" s="17" t="n"/>
      <c r="C2491" s="18" t="n"/>
      <c r="D2491" s="19" t="n"/>
      <c r="E2491" s="20" t="n"/>
      <c r="F2491" s="20" t="n"/>
      <c r="G2491" s="21" t="n"/>
      <c r="H2491" s="12">
        <f>IF(AND(B2491="",D2491="",F2491=""),"",IF(NOT(ISNUMBER(B2491)),"Needs a date",IF(D2491="","Needs a client",IF(COUNTIF(Clients!$B$6:$B$105,D2491)=0,"Not on Clients",IF(AND(F2491="",INT(B2491)&lt;TODAY()),"Needs a status","")))))</f>
        <v/>
      </c>
      <c r="I2491" s="1">
        <f>IF(ISNUMBER(B2491),INT(B2491),0)</f>
        <v/>
      </c>
      <c r="J2491">
        <f>IF(ISNUMBER(B2491),YEAR(B2491)*100+MONTH(B2491),"")</f>
        <v/>
      </c>
      <c r="K2491">
        <f>IF(AND(H2491="",OR(F2491="Attended",F2491="No-show",AND(F2491="Late cancel",Settings!$C$9="Yes"))),1,0)</f>
        <v/>
      </c>
      <c r="L2491">
        <f>IF(AND(H2491="",F2491="Attended"),1,0)</f>
        <v/>
      </c>
      <c r="M2491">
        <f>IF(AND(H2491="",OR(F2491="No-show",F2491="Late cancel")),1,0)</f>
        <v/>
      </c>
      <c r="N2491">
        <f>IF(AND(H2491="",F2491="",D2491&lt;&gt;"",I2491&gt;=TODAY()),ROUND((I2491+IF(ISNUMBER(C2491),MOD(C2491,1),0))*1440,0)*10000+ROW(),"")</f>
        <v/>
      </c>
    </row>
    <row r="2492">
      <c r="A2492" s="1" t="n"/>
      <c r="B2492" s="17" t="n"/>
      <c r="C2492" s="18" t="n"/>
      <c r="D2492" s="19" t="n"/>
      <c r="E2492" s="20" t="n"/>
      <c r="F2492" s="20" t="n"/>
      <c r="G2492" s="21" t="n"/>
      <c r="H2492" s="12">
        <f>IF(AND(B2492="",D2492="",F2492=""),"",IF(NOT(ISNUMBER(B2492)),"Needs a date",IF(D2492="","Needs a client",IF(COUNTIF(Clients!$B$6:$B$105,D2492)=0,"Not on Clients",IF(AND(F2492="",INT(B2492)&lt;TODAY()),"Needs a status","")))))</f>
        <v/>
      </c>
      <c r="I2492" s="1">
        <f>IF(ISNUMBER(B2492),INT(B2492),0)</f>
        <v/>
      </c>
      <c r="J2492">
        <f>IF(ISNUMBER(B2492),YEAR(B2492)*100+MONTH(B2492),"")</f>
        <v/>
      </c>
      <c r="K2492">
        <f>IF(AND(H2492="",OR(F2492="Attended",F2492="No-show",AND(F2492="Late cancel",Settings!$C$9="Yes"))),1,0)</f>
        <v/>
      </c>
      <c r="L2492">
        <f>IF(AND(H2492="",F2492="Attended"),1,0)</f>
        <v/>
      </c>
      <c r="M2492">
        <f>IF(AND(H2492="",OR(F2492="No-show",F2492="Late cancel")),1,0)</f>
        <v/>
      </c>
      <c r="N2492">
        <f>IF(AND(H2492="",F2492="",D2492&lt;&gt;"",I2492&gt;=TODAY()),ROUND((I2492+IF(ISNUMBER(C2492),MOD(C2492,1),0))*1440,0)*10000+ROW(),"")</f>
        <v/>
      </c>
    </row>
    <row r="2493">
      <c r="A2493" s="1" t="n"/>
      <c r="B2493" s="17" t="n"/>
      <c r="C2493" s="18" t="n"/>
      <c r="D2493" s="19" t="n"/>
      <c r="E2493" s="20" t="n"/>
      <c r="F2493" s="20" t="n"/>
      <c r="G2493" s="21" t="n"/>
      <c r="H2493" s="12">
        <f>IF(AND(B2493="",D2493="",F2493=""),"",IF(NOT(ISNUMBER(B2493)),"Needs a date",IF(D2493="","Needs a client",IF(COUNTIF(Clients!$B$6:$B$105,D2493)=0,"Not on Clients",IF(AND(F2493="",INT(B2493)&lt;TODAY()),"Needs a status","")))))</f>
        <v/>
      </c>
      <c r="I2493" s="1">
        <f>IF(ISNUMBER(B2493),INT(B2493),0)</f>
        <v/>
      </c>
      <c r="J2493">
        <f>IF(ISNUMBER(B2493),YEAR(B2493)*100+MONTH(B2493),"")</f>
        <v/>
      </c>
      <c r="K2493">
        <f>IF(AND(H2493="",OR(F2493="Attended",F2493="No-show",AND(F2493="Late cancel",Settings!$C$9="Yes"))),1,0)</f>
        <v/>
      </c>
      <c r="L2493">
        <f>IF(AND(H2493="",F2493="Attended"),1,0)</f>
        <v/>
      </c>
      <c r="M2493">
        <f>IF(AND(H2493="",OR(F2493="No-show",F2493="Late cancel")),1,0)</f>
        <v/>
      </c>
      <c r="N2493">
        <f>IF(AND(H2493="",F2493="",D2493&lt;&gt;"",I2493&gt;=TODAY()),ROUND((I2493+IF(ISNUMBER(C2493),MOD(C2493,1),0))*1440,0)*10000+ROW(),"")</f>
        <v/>
      </c>
    </row>
    <row r="2494">
      <c r="A2494" s="1" t="n"/>
      <c r="B2494" s="17" t="n"/>
      <c r="C2494" s="18" t="n"/>
      <c r="D2494" s="19" t="n"/>
      <c r="E2494" s="20" t="n"/>
      <c r="F2494" s="20" t="n"/>
      <c r="G2494" s="21" t="n"/>
      <c r="H2494" s="12">
        <f>IF(AND(B2494="",D2494="",F2494=""),"",IF(NOT(ISNUMBER(B2494)),"Needs a date",IF(D2494="","Needs a client",IF(COUNTIF(Clients!$B$6:$B$105,D2494)=0,"Not on Clients",IF(AND(F2494="",INT(B2494)&lt;TODAY()),"Needs a status","")))))</f>
        <v/>
      </c>
      <c r="I2494" s="1">
        <f>IF(ISNUMBER(B2494),INT(B2494),0)</f>
        <v/>
      </c>
      <c r="J2494">
        <f>IF(ISNUMBER(B2494),YEAR(B2494)*100+MONTH(B2494),"")</f>
        <v/>
      </c>
      <c r="K2494">
        <f>IF(AND(H2494="",OR(F2494="Attended",F2494="No-show",AND(F2494="Late cancel",Settings!$C$9="Yes"))),1,0)</f>
        <v/>
      </c>
      <c r="L2494">
        <f>IF(AND(H2494="",F2494="Attended"),1,0)</f>
        <v/>
      </c>
      <c r="M2494">
        <f>IF(AND(H2494="",OR(F2494="No-show",F2494="Late cancel")),1,0)</f>
        <v/>
      </c>
      <c r="N2494">
        <f>IF(AND(H2494="",F2494="",D2494&lt;&gt;"",I2494&gt;=TODAY()),ROUND((I2494+IF(ISNUMBER(C2494),MOD(C2494,1),0))*1440,0)*10000+ROW(),"")</f>
        <v/>
      </c>
    </row>
    <row r="2495">
      <c r="A2495" s="1" t="n"/>
      <c r="B2495" s="17" t="n"/>
      <c r="C2495" s="18" t="n"/>
      <c r="D2495" s="19" t="n"/>
      <c r="E2495" s="20" t="n"/>
      <c r="F2495" s="20" t="n"/>
      <c r="G2495" s="21" t="n"/>
      <c r="H2495" s="12">
        <f>IF(AND(B2495="",D2495="",F2495=""),"",IF(NOT(ISNUMBER(B2495)),"Needs a date",IF(D2495="","Needs a client",IF(COUNTIF(Clients!$B$6:$B$105,D2495)=0,"Not on Clients",IF(AND(F2495="",INT(B2495)&lt;TODAY()),"Needs a status","")))))</f>
        <v/>
      </c>
      <c r="I2495" s="1">
        <f>IF(ISNUMBER(B2495),INT(B2495),0)</f>
        <v/>
      </c>
      <c r="J2495">
        <f>IF(ISNUMBER(B2495),YEAR(B2495)*100+MONTH(B2495),"")</f>
        <v/>
      </c>
      <c r="K2495">
        <f>IF(AND(H2495="",OR(F2495="Attended",F2495="No-show",AND(F2495="Late cancel",Settings!$C$9="Yes"))),1,0)</f>
        <v/>
      </c>
      <c r="L2495">
        <f>IF(AND(H2495="",F2495="Attended"),1,0)</f>
        <v/>
      </c>
      <c r="M2495">
        <f>IF(AND(H2495="",OR(F2495="No-show",F2495="Late cancel")),1,0)</f>
        <v/>
      </c>
      <c r="N2495">
        <f>IF(AND(H2495="",F2495="",D2495&lt;&gt;"",I2495&gt;=TODAY()),ROUND((I2495+IF(ISNUMBER(C2495),MOD(C2495,1),0))*1440,0)*10000+ROW(),"")</f>
        <v/>
      </c>
    </row>
    <row r="2496">
      <c r="A2496" s="1" t="n"/>
      <c r="B2496" s="17" t="n"/>
      <c r="C2496" s="18" t="n"/>
      <c r="D2496" s="19" t="n"/>
      <c r="E2496" s="20" t="n"/>
      <c r="F2496" s="20" t="n"/>
      <c r="G2496" s="21" t="n"/>
      <c r="H2496" s="12">
        <f>IF(AND(B2496="",D2496="",F2496=""),"",IF(NOT(ISNUMBER(B2496)),"Needs a date",IF(D2496="","Needs a client",IF(COUNTIF(Clients!$B$6:$B$105,D2496)=0,"Not on Clients",IF(AND(F2496="",INT(B2496)&lt;TODAY()),"Needs a status","")))))</f>
        <v/>
      </c>
      <c r="I2496" s="1">
        <f>IF(ISNUMBER(B2496),INT(B2496),0)</f>
        <v/>
      </c>
      <c r="J2496">
        <f>IF(ISNUMBER(B2496),YEAR(B2496)*100+MONTH(B2496),"")</f>
        <v/>
      </c>
      <c r="K2496">
        <f>IF(AND(H2496="",OR(F2496="Attended",F2496="No-show",AND(F2496="Late cancel",Settings!$C$9="Yes"))),1,0)</f>
        <v/>
      </c>
      <c r="L2496">
        <f>IF(AND(H2496="",F2496="Attended"),1,0)</f>
        <v/>
      </c>
      <c r="M2496">
        <f>IF(AND(H2496="",OR(F2496="No-show",F2496="Late cancel")),1,0)</f>
        <v/>
      </c>
      <c r="N2496">
        <f>IF(AND(H2496="",F2496="",D2496&lt;&gt;"",I2496&gt;=TODAY()),ROUND((I2496+IF(ISNUMBER(C2496),MOD(C2496,1),0))*1440,0)*10000+ROW(),"")</f>
        <v/>
      </c>
    </row>
    <row r="2497">
      <c r="A2497" s="1" t="n"/>
      <c r="B2497" s="17" t="n"/>
      <c r="C2497" s="18" t="n"/>
      <c r="D2497" s="19" t="n"/>
      <c r="E2497" s="20" t="n"/>
      <c r="F2497" s="20" t="n"/>
      <c r="G2497" s="21" t="n"/>
      <c r="H2497" s="12">
        <f>IF(AND(B2497="",D2497="",F2497=""),"",IF(NOT(ISNUMBER(B2497)),"Needs a date",IF(D2497="","Needs a client",IF(COUNTIF(Clients!$B$6:$B$105,D2497)=0,"Not on Clients",IF(AND(F2497="",INT(B2497)&lt;TODAY()),"Needs a status","")))))</f>
        <v/>
      </c>
      <c r="I2497" s="1">
        <f>IF(ISNUMBER(B2497),INT(B2497),0)</f>
        <v/>
      </c>
      <c r="J2497">
        <f>IF(ISNUMBER(B2497),YEAR(B2497)*100+MONTH(B2497),"")</f>
        <v/>
      </c>
      <c r="K2497">
        <f>IF(AND(H2497="",OR(F2497="Attended",F2497="No-show",AND(F2497="Late cancel",Settings!$C$9="Yes"))),1,0)</f>
        <v/>
      </c>
      <c r="L2497">
        <f>IF(AND(H2497="",F2497="Attended"),1,0)</f>
        <v/>
      </c>
      <c r="M2497">
        <f>IF(AND(H2497="",OR(F2497="No-show",F2497="Late cancel")),1,0)</f>
        <v/>
      </c>
      <c r="N2497">
        <f>IF(AND(H2497="",F2497="",D2497&lt;&gt;"",I2497&gt;=TODAY()),ROUND((I2497+IF(ISNUMBER(C2497),MOD(C2497,1),0))*1440,0)*10000+ROW(),"")</f>
        <v/>
      </c>
    </row>
    <row r="2498">
      <c r="A2498" s="1" t="n"/>
      <c r="B2498" s="17" t="n"/>
      <c r="C2498" s="18" t="n"/>
      <c r="D2498" s="19" t="n"/>
      <c r="E2498" s="20" t="n"/>
      <c r="F2498" s="20" t="n"/>
      <c r="G2498" s="21" t="n"/>
      <c r="H2498" s="12">
        <f>IF(AND(B2498="",D2498="",F2498=""),"",IF(NOT(ISNUMBER(B2498)),"Needs a date",IF(D2498="","Needs a client",IF(COUNTIF(Clients!$B$6:$B$105,D2498)=0,"Not on Clients",IF(AND(F2498="",INT(B2498)&lt;TODAY()),"Needs a status","")))))</f>
        <v/>
      </c>
      <c r="I2498" s="1">
        <f>IF(ISNUMBER(B2498),INT(B2498),0)</f>
        <v/>
      </c>
      <c r="J2498">
        <f>IF(ISNUMBER(B2498),YEAR(B2498)*100+MONTH(B2498),"")</f>
        <v/>
      </c>
      <c r="K2498">
        <f>IF(AND(H2498="",OR(F2498="Attended",F2498="No-show",AND(F2498="Late cancel",Settings!$C$9="Yes"))),1,0)</f>
        <v/>
      </c>
      <c r="L2498">
        <f>IF(AND(H2498="",F2498="Attended"),1,0)</f>
        <v/>
      </c>
      <c r="M2498">
        <f>IF(AND(H2498="",OR(F2498="No-show",F2498="Late cancel")),1,0)</f>
        <v/>
      </c>
      <c r="N2498">
        <f>IF(AND(H2498="",F2498="",D2498&lt;&gt;"",I2498&gt;=TODAY()),ROUND((I2498+IF(ISNUMBER(C2498),MOD(C2498,1),0))*1440,0)*10000+ROW(),"")</f>
        <v/>
      </c>
    </row>
    <row r="2499">
      <c r="A2499" s="1" t="n"/>
      <c r="B2499" s="17" t="n"/>
      <c r="C2499" s="18" t="n"/>
      <c r="D2499" s="19" t="n"/>
      <c r="E2499" s="20" t="n"/>
      <c r="F2499" s="20" t="n"/>
      <c r="G2499" s="21" t="n"/>
      <c r="H2499" s="12">
        <f>IF(AND(B2499="",D2499="",F2499=""),"",IF(NOT(ISNUMBER(B2499)),"Needs a date",IF(D2499="","Needs a client",IF(COUNTIF(Clients!$B$6:$B$105,D2499)=0,"Not on Clients",IF(AND(F2499="",INT(B2499)&lt;TODAY()),"Needs a status","")))))</f>
        <v/>
      </c>
      <c r="I2499" s="1">
        <f>IF(ISNUMBER(B2499),INT(B2499),0)</f>
        <v/>
      </c>
      <c r="J2499">
        <f>IF(ISNUMBER(B2499),YEAR(B2499)*100+MONTH(B2499),"")</f>
        <v/>
      </c>
      <c r="K2499">
        <f>IF(AND(H2499="",OR(F2499="Attended",F2499="No-show",AND(F2499="Late cancel",Settings!$C$9="Yes"))),1,0)</f>
        <v/>
      </c>
      <c r="L2499">
        <f>IF(AND(H2499="",F2499="Attended"),1,0)</f>
        <v/>
      </c>
      <c r="M2499">
        <f>IF(AND(H2499="",OR(F2499="No-show",F2499="Late cancel")),1,0)</f>
        <v/>
      </c>
      <c r="N2499">
        <f>IF(AND(H2499="",F2499="",D2499&lt;&gt;"",I2499&gt;=TODAY()),ROUND((I2499+IF(ISNUMBER(C2499),MOD(C2499,1),0))*1440,0)*10000+ROW(),"")</f>
        <v/>
      </c>
    </row>
    <row r="2500">
      <c r="A2500" s="1" t="n"/>
      <c r="B2500" s="17" t="n"/>
      <c r="C2500" s="18" t="n"/>
      <c r="D2500" s="19" t="n"/>
      <c r="E2500" s="20" t="n"/>
      <c r="F2500" s="20" t="n"/>
      <c r="G2500" s="21" t="n"/>
      <c r="H2500" s="12">
        <f>IF(AND(B2500="",D2500="",F2500=""),"",IF(NOT(ISNUMBER(B2500)),"Needs a date",IF(D2500="","Needs a client",IF(COUNTIF(Clients!$B$6:$B$105,D2500)=0,"Not on Clients",IF(AND(F2500="",INT(B2500)&lt;TODAY()),"Needs a status","")))))</f>
        <v/>
      </c>
      <c r="I2500" s="1">
        <f>IF(ISNUMBER(B2500),INT(B2500),0)</f>
        <v/>
      </c>
      <c r="J2500">
        <f>IF(ISNUMBER(B2500),YEAR(B2500)*100+MONTH(B2500),"")</f>
        <v/>
      </c>
      <c r="K2500">
        <f>IF(AND(H2500="",OR(F2500="Attended",F2500="No-show",AND(F2500="Late cancel",Settings!$C$9="Yes"))),1,0)</f>
        <v/>
      </c>
      <c r="L2500">
        <f>IF(AND(H2500="",F2500="Attended"),1,0)</f>
        <v/>
      </c>
      <c r="M2500">
        <f>IF(AND(H2500="",OR(F2500="No-show",F2500="Late cancel")),1,0)</f>
        <v/>
      </c>
      <c r="N2500">
        <f>IF(AND(H2500="",F2500="",D2500&lt;&gt;"",I2500&gt;=TODAY()),ROUND((I2500+IF(ISNUMBER(C2500),MOD(C2500,1),0))*1440,0)*10000+ROW(),"")</f>
        <v/>
      </c>
    </row>
    <row r="2501">
      <c r="A2501" s="1" t="n"/>
      <c r="B2501" s="17" t="n"/>
      <c r="C2501" s="18" t="n"/>
      <c r="D2501" s="19" t="n"/>
      <c r="E2501" s="20" t="n"/>
      <c r="F2501" s="20" t="n"/>
      <c r="G2501" s="21" t="n"/>
      <c r="H2501" s="12">
        <f>IF(AND(B2501="",D2501="",F2501=""),"",IF(NOT(ISNUMBER(B2501)),"Needs a date",IF(D2501="","Needs a client",IF(COUNTIF(Clients!$B$6:$B$105,D2501)=0,"Not on Clients",IF(AND(F2501="",INT(B2501)&lt;TODAY()),"Needs a status","")))))</f>
        <v/>
      </c>
      <c r="I2501" s="1">
        <f>IF(ISNUMBER(B2501),INT(B2501),0)</f>
        <v/>
      </c>
      <c r="J2501">
        <f>IF(ISNUMBER(B2501),YEAR(B2501)*100+MONTH(B2501),"")</f>
        <v/>
      </c>
      <c r="K2501">
        <f>IF(AND(H2501="",OR(F2501="Attended",F2501="No-show",AND(F2501="Late cancel",Settings!$C$9="Yes"))),1,0)</f>
        <v/>
      </c>
      <c r="L2501">
        <f>IF(AND(H2501="",F2501="Attended"),1,0)</f>
        <v/>
      </c>
      <c r="M2501">
        <f>IF(AND(H2501="",OR(F2501="No-show",F2501="Late cancel")),1,0)</f>
        <v/>
      </c>
      <c r="N2501">
        <f>IF(AND(H2501="",F2501="",D2501&lt;&gt;"",I2501&gt;=TODAY()),ROUND((I2501+IF(ISNUMBER(C2501),MOD(C2501,1),0))*1440,0)*10000+ROW(),"")</f>
        <v/>
      </c>
    </row>
    <row r="2502">
      <c r="A2502" s="1" t="n"/>
      <c r="B2502" s="17" t="n"/>
      <c r="C2502" s="18" t="n"/>
      <c r="D2502" s="19" t="n"/>
      <c r="E2502" s="20" t="n"/>
      <c r="F2502" s="20" t="n"/>
      <c r="G2502" s="21" t="n"/>
      <c r="H2502" s="12">
        <f>IF(AND(B2502="",D2502="",F2502=""),"",IF(NOT(ISNUMBER(B2502)),"Needs a date",IF(D2502="","Needs a client",IF(COUNTIF(Clients!$B$6:$B$105,D2502)=0,"Not on Clients",IF(AND(F2502="",INT(B2502)&lt;TODAY()),"Needs a status","")))))</f>
        <v/>
      </c>
      <c r="I2502" s="1">
        <f>IF(ISNUMBER(B2502),INT(B2502),0)</f>
        <v/>
      </c>
      <c r="J2502">
        <f>IF(ISNUMBER(B2502),YEAR(B2502)*100+MONTH(B2502),"")</f>
        <v/>
      </c>
      <c r="K2502">
        <f>IF(AND(H2502="",OR(F2502="Attended",F2502="No-show",AND(F2502="Late cancel",Settings!$C$9="Yes"))),1,0)</f>
        <v/>
      </c>
      <c r="L2502">
        <f>IF(AND(H2502="",F2502="Attended"),1,0)</f>
        <v/>
      </c>
      <c r="M2502">
        <f>IF(AND(H2502="",OR(F2502="No-show",F2502="Late cancel")),1,0)</f>
        <v/>
      </c>
      <c r="N2502">
        <f>IF(AND(H2502="",F2502="",D2502&lt;&gt;"",I2502&gt;=TODAY()),ROUND((I2502+IF(ISNUMBER(C2502),MOD(C2502,1),0))*1440,0)*10000+ROW(),"")</f>
        <v/>
      </c>
    </row>
    <row r="2503">
      <c r="A2503" s="1" t="n"/>
      <c r="B2503" s="17" t="n"/>
      <c r="C2503" s="18" t="n"/>
      <c r="D2503" s="19" t="n"/>
      <c r="E2503" s="20" t="n"/>
      <c r="F2503" s="20" t="n"/>
      <c r="G2503" s="21" t="n"/>
      <c r="H2503" s="12">
        <f>IF(AND(B2503="",D2503="",F2503=""),"",IF(NOT(ISNUMBER(B2503)),"Needs a date",IF(D2503="","Needs a client",IF(COUNTIF(Clients!$B$6:$B$105,D2503)=0,"Not on Clients",IF(AND(F2503="",INT(B2503)&lt;TODAY()),"Needs a status","")))))</f>
        <v/>
      </c>
      <c r="I2503" s="1">
        <f>IF(ISNUMBER(B2503),INT(B2503),0)</f>
        <v/>
      </c>
      <c r="J2503">
        <f>IF(ISNUMBER(B2503),YEAR(B2503)*100+MONTH(B2503),"")</f>
        <v/>
      </c>
      <c r="K2503">
        <f>IF(AND(H2503="",OR(F2503="Attended",F2503="No-show",AND(F2503="Late cancel",Settings!$C$9="Yes"))),1,0)</f>
        <v/>
      </c>
      <c r="L2503">
        <f>IF(AND(H2503="",F2503="Attended"),1,0)</f>
        <v/>
      </c>
      <c r="M2503">
        <f>IF(AND(H2503="",OR(F2503="No-show",F2503="Late cancel")),1,0)</f>
        <v/>
      </c>
      <c r="N2503">
        <f>IF(AND(H2503="",F2503="",D2503&lt;&gt;"",I2503&gt;=TODAY()),ROUND((I2503+IF(ISNUMBER(C2503),MOD(C2503,1),0))*1440,0)*10000+ROW(),"")</f>
        <v/>
      </c>
    </row>
    <row r="2504">
      <c r="A2504" s="1" t="n"/>
      <c r="B2504" s="17" t="n"/>
      <c r="C2504" s="18" t="n"/>
      <c r="D2504" s="19" t="n"/>
      <c r="E2504" s="20" t="n"/>
      <c r="F2504" s="20" t="n"/>
      <c r="G2504" s="21" t="n"/>
      <c r="H2504" s="12">
        <f>IF(AND(B2504="",D2504="",F2504=""),"",IF(NOT(ISNUMBER(B2504)),"Needs a date",IF(D2504="","Needs a client",IF(COUNTIF(Clients!$B$6:$B$105,D2504)=0,"Not on Clients",IF(AND(F2504="",INT(B2504)&lt;TODAY()),"Needs a status","")))))</f>
        <v/>
      </c>
      <c r="I2504" s="1">
        <f>IF(ISNUMBER(B2504),INT(B2504),0)</f>
        <v/>
      </c>
      <c r="J2504">
        <f>IF(ISNUMBER(B2504),YEAR(B2504)*100+MONTH(B2504),"")</f>
        <v/>
      </c>
      <c r="K2504">
        <f>IF(AND(H2504="",OR(F2504="Attended",F2504="No-show",AND(F2504="Late cancel",Settings!$C$9="Yes"))),1,0)</f>
        <v/>
      </c>
      <c r="L2504">
        <f>IF(AND(H2504="",F2504="Attended"),1,0)</f>
        <v/>
      </c>
      <c r="M2504">
        <f>IF(AND(H2504="",OR(F2504="No-show",F2504="Late cancel")),1,0)</f>
        <v/>
      </c>
      <c r="N2504">
        <f>IF(AND(H2504="",F2504="",D2504&lt;&gt;"",I2504&gt;=TODAY()),ROUND((I2504+IF(ISNUMBER(C2504),MOD(C2504,1),0))*1440,0)*10000+ROW(),"")</f>
        <v/>
      </c>
    </row>
    <row r="2505">
      <c r="A2505" s="1" t="n"/>
      <c r="B2505" s="17" t="n"/>
      <c r="C2505" s="18" t="n"/>
      <c r="D2505" s="19" t="n"/>
      <c r="E2505" s="20" t="n"/>
      <c r="F2505" s="20" t="n"/>
      <c r="G2505" s="21" t="n"/>
      <c r="H2505" s="12">
        <f>IF(AND(B2505="",D2505="",F2505=""),"",IF(NOT(ISNUMBER(B2505)),"Needs a date",IF(D2505="","Needs a client",IF(COUNTIF(Clients!$B$6:$B$105,D2505)=0,"Not on Clients",IF(AND(F2505="",INT(B2505)&lt;TODAY()),"Needs a status","")))))</f>
        <v/>
      </c>
      <c r="I2505" s="1">
        <f>IF(ISNUMBER(B2505),INT(B2505),0)</f>
        <v/>
      </c>
      <c r="J2505">
        <f>IF(ISNUMBER(B2505),YEAR(B2505)*100+MONTH(B2505),"")</f>
        <v/>
      </c>
      <c r="K2505">
        <f>IF(AND(H2505="",OR(F2505="Attended",F2505="No-show",AND(F2505="Late cancel",Settings!$C$9="Yes"))),1,0)</f>
        <v/>
      </c>
      <c r="L2505">
        <f>IF(AND(H2505="",F2505="Attended"),1,0)</f>
        <v/>
      </c>
      <c r="M2505">
        <f>IF(AND(H2505="",OR(F2505="No-show",F2505="Late cancel")),1,0)</f>
        <v/>
      </c>
      <c r="N2505">
        <f>IF(AND(H2505="",F2505="",D2505&lt;&gt;"",I2505&gt;=TODAY()),ROUND((I2505+IF(ISNUMBER(C2505),MOD(C2505,1),0))*1440,0)*10000+ROW(),"")</f>
        <v/>
      </c>
    </row>
    <row r="2506">
      <c r="A2506" s="1" t="n"/>
      <c r="B2506" s="17" t="n"/>
      <c r="C2506" s="18" t="n"/>
      <c r="D2506" s="19" t="n"/>
      <c r="E2506" s="20" t="n"/>
      <c r="F2506" s="20" t="n"/>
      <c r="G2506" s="21" t="n"/>
      <c r="H2506" s="12">
        <f>IF(AND(B2506="",D2506="",F2506=""),"",IF(NOT(ISNUMBER(B2506)),"Needs a date",IF(D2506="","Needs a client",IF(COUNTIF(Clients!$B$6:$B$105,D2506)=0,"Not on Clients",IF(AND(F2506="",INT(B2506)&lt;TODAY()),"Needs a status","")))))</f>
        <v/>
      </c>
      <c r="I2506" s="1">
        <f>IF(ISNUMBER(B2506),INT(B2506),0)</f>
        <v/>
      </c>
      <c r="J2506">
        <f>IF(ISNUMBER(B2506),YEAR(B2506)*100+MONTH(B2506),"")</f>
        <v/>
      </c>
      <c r="K2506">
        <f>IF(AND(H2506="",OR(F2506="Attended",F2506="No-show",AND(F2506="Late cancel",Settings!$C$9="Yes"))),1,0)</f>
        <v/>
      </c>
      <c r="L2506">
        <f>IF(AND(H2506="",F2506="Attended"),1,0)</f>
        <v/>
      </c>
      <c r="M2506">
        <f>IF(AND(H2506="",OR(F2506="No-show",F2506="Late cancel")),1,0)</f>
        <v/>
      </c>
      <c r="N2506">
        <f>IF(AND(H2506="",F2506="",D2506&lt;&gt;"",I2506&gt;=TODAY()),ROUND((I2506+IF(ISNUMBER(C2506),MOD(C2506,1),0))*1440,0)*10000+ROW(),"")</f>
        <v/>
      </c>
    </row>
    <row r="2507">
      <c r="A2507" s="1" t="n"/>
      <c r="B2507" s="17" t="n"/>
      <c r="C2507" s="18" t="n"/>
      <c r="D2507" s="19" t="n"/>
      <c r="E2507" s="20" t="n"/>
      <c r="F2507" s="20" t="n"/>
      <c r="G2507" s="21" t="n"/>
      <c r="H2507" s="12">
        <f>IF(AND(B2507="",D2507="",F2507=""),"",IF(NOT(ISNUMBER(B2507)),"Needs a date",IF(D2507="","Needs a client",IF(COUNTIF(Clients!$B$6:$B$105,D2507)=0,"Not on Clients",IF(AND(F2507="",INT(B2507)&lt;TODAY()),"Needs a status","")))))</f>
        <v/>
      </c>
      <c r="I2507" s="1">
        <f>IF(ISNUMBER(B2507),INT(B2507),0)</f>
        <v/>
      </c>
      <c r="J2507">
        <f>IF(ISNUMBER(B2507),YEAR(B2507)*100+MONTH(B2507),"")</f>
        <v/>
      </c>
      <c r="K2507">
        <f>IF(AND(H2507="",OR(F2507="Attended",F2507="No-show",AND(F2507="Late cancel",Settings!$C$9="Yes"))),1,0)</f>
        <v/>
      </c>
      <c r="L2507">
        <f>IF(AND(H2507="",F2507="Attended"),1,0)</f>
        <v/>
      </c>
      <c r="M2507">
        <f>IF(AND(H2507="",OR(F2507="No-show",F2507="Late cancel")),1,0)</f>
        <v/>
      </c>
      <c r="N2507">
        <f>IF(AND(H2507="",F2507="",D2507&lt;&gt;"",I2507&gt;=TODAY()),ROUND((I2507+IF(ISNUMBER(C2507),MOD(C2507,1),0))*1440,0)*10000+ROW(),"")</f>
        <v/>
      </c>
    </row>
    <row r="2508">
      <c r="A2508" s="1" t="n"/>
      <c r="B2508" s="17" t="n"/>
      <c r="C2508" s="18" t="n"/>
      <c r="D2508" s="19" t="n"/>
      <c r="E2508" s="20" t="n"/>
      <c r="F2508" s="20" t="n"/>
      <c r="G2508" s="21" t="n"/>
      <c r="H2508" s="12">
        <f>IF(AND(B2508="",D2508="",F2508=""),"",IF(NOT(ISNUMBER(B2508)),"Needs a date",IF(D2508="","Needs a client",IF(COUNTIF(Clients!$B$6:$B$105,D2508)=0,"Not on Clients",IF(AND(F2508="",INT(B2508)&lt;TODAY()),"Needs a status","")))))</f>
        <v/>
      </c>
      <c r="I2508" s="1">
        <f>IF(ISNUMBER(B2508),INT(B2508),0)</f>
        <v/>
      </c>
      <c r="J2508">
        <f>IF(ISNUMBER(B2508),YEAR(B2508)*100+MONTH(B2508),"")</f>
        <v/>
      </c>
      <c r="K2508">
        <f>IF(AND(H2508="",OR(F2508="Attended",F2508="No-show",AND(F2508="Late cancel",Settings!$C$9="Yes"))),1,0)</f>
        <v/>
      </c>
      <c r="L2508">
        <f>IF(AND(H2508="",F2508="Attended"),1,0)</f>
        <v/>
      </c>
      <c r="M2508">
        <f>IF(AND(H2508="",OR(F2508="No-show",F2508="Late cancel")),1,0)</f>
        <v/>
      </c>
      <c r="N2508">
        <f>IF(AND(H2508="",F2508="",D2508&lt;&gt;"",I2508&gt;=TODAY()),ROUND((I2508+IF(ISNUMBER(C2508),MOD(C2508,1),0))*1440,0)*10000+ROW(),"")</f>
        <v/>
      </c>
    </row>
    <row r="2509">
      <c r="A2509" s="1" t="n"/>
      <c r="B2509" s="17" t="n"/>
      <c r="C2509" s="18" t="n"/>
      <c r="D2509" s="19" t="n"/>
      <c r="E2509" s="20" t="n"/>
      <c r="F2509" s="20" t="n"/>
      <c r="G2509" s="21" t="n"/>
      <c r="H2509" s="12">
        <f>IF(AND(B2509="",D2509="",F2509=""),"",IF(NOT(ISNUMBER(B2509)),"Needs a date",IF(D2509="","Needs a client",IF(COUNTIF(Clients!$B$6:$B$105,D2509)=0,"Not on Clients",IF(AND(F2509="",INT(B2509)&lt;TODAY()),"Needs a status","")))))</f>
        <v/>
      </c>
      <c r="I2509" s="1">
        <f>IF(ISNUMBER(B2509),INT(B2509),0)</f>
        <v/>
      </c>
      <c r="J2509">
        <f>IF(ISNUMBER(B2509),YEAR(B2509)*100+MONTH(B2509),"")</f>
        <v/>
      </c>
      <c r="K2509">
        <f>IF(AND(H2509="",OR(F2509="Attended",F2509="No-show",AND(F2509="Late cancel",Settings!$C$9="Yes"))),1,0)</f>
        <v/>
      </c>
      <c r="L2509">
        <f>IF(AND(H2509="",F2509="Attended"),1,0)</f>
        <v/>
      </c>
      <c r="M2509">
        <f>IF(AND(H2509="",OR(F2509="No-show",F2509="Late cancel")),1,0)</f>
        <v/>
      </c>
      <c r="N2509">
        <f>IF(AND(H2509="",F2509="",D2509&lt;&gt;"",I2509&gt;=TODAY()),ROUND((I2509+IF(ISNUMBER(C2509),MOD(C2509,1),0))*1440,0)*10000+ROW(),"")</f>
        <v/>
      </c>
    </row>
    <row r="2510">
      <c r="A2510" s="1" t="n"/>
      <c r="B2510" s="17" t="n"/>
      <c r="C2510" s="18" t="n"/>
      <c r="D2510" s="19" t="n"/>
      <c r="E2510" s="20" t="n"/>
      <c r="F2510" s="20" t="n"/>
      <c r="G2510" s="21" t="n"/>
      <c r="H2510" s="12">
        <f>IF(AND(B2510="",D2510="",F2510=""),"",IF(NOT(ISNUMBER(B2510)),"Needs a date",IF(D2510="","Needs a client",IF(COUNTIF(Clients!$B$6:$B$105,D2510)=0,"Not on Clients",IF(AND(F2510="",INT(B2510)&lt;TODAY()),"Needs a status","")))))</f>
        <v/>
      </c>
      <c r="I2510" s="1">
        <f>IF(ISNUMBER(B2510),INT(B2510),0)</f>
        <v/>
      </c>
      <c r="J2510">
        <f>IF(ISNUMBER(B2510),YEAR(B2510)*100+MONTH(B2510),"")</f>
        <v/>
      </c>
      <c r="K2510">
        <f>IF(AND(H2510="",OR(F2510="Attended",F2510="No-show",AND(F2510="Late cancel",Settings!$C$9="Yes"))),1,0)</f>
        <v/>
      </c>
      <c r="L2510">
        <f>IF(AND(H2510="",F2510="Attended"),1,0)</f>
        <v/>
      </c>
      <c r="M2510">
        <f>IF(AND(H2510="",OR(F2510="No-show",F2510="Late cancel")),1,0)</f>
        <v/>
      </c>
      <c r="N2510">
        <f>IF(AND(H2510="",F2510="",D2510&lt;&gt;"",I2510&gt;=TODAY()),ROUND((I2510+IF(ISNUMBER(C2510),MOD(C2510,1),0))*1440,0)*10000+ROW(),"")</f>
        <v/>
      </c>
    </row>
    <row r="2511">
      <c r="A2511" s="1" t="n"/>
      <c r="B2511" s="17" t="n"/>
      <c r="C2511" s="18" t="n"/>
      <c r="D2511" s="19" t="n"/>
      <c r="E2511" s="20" t="n"/>
      <c r="F2511" s="20" t="n"/>
      <c r="G2511" s="21" t="n"/>
      <c r="H2511" s="12">
        <f>IF(AND(B2511="",D2511="",F2511=""),"",IF(NOT(ISNUMBER(B2511)),"Needs a date",IF(D2511="","Needs a client",IF(COUNTIF(Clients!$B$6:$B$105,D2511)=0,"Not on Clients",IF(AND(F2511="",INT(B2511)&lt;TODAY()),"Needs a status","")))))</f>
        <v/>
      </c>
      <c r="I2511" s="1">
        <f>IF(ISNUMBER(B2511),INT(B2511),0)</f>
        <v/>
      </c>
      <c r="J2511">
        <f>IF(ISNUMBER(B2511),YEAR(B2511)*100+MONTH(B2511),"")</f>
        <v/>
      </c>
      <c r="K2511">
        <f>IF(AND(H2511="",OR(F2511="Attended",F2511="No-show",AND(F2511="Late cancel",Settings!$C$9="Yes"))),1,0)</f>
        <v/>
      </c>
      <c r="L2511">
        <f>IF(AND(H2511="",F2511="Attended"),1,0)</f>
        <v/>
      </c>
      <c r="M2511">
        <f>IF(AND(H2511="",OR(F2511="No-show",F2511="Late cancel")),1,0)</f>
        <v/>
      </c>
      <c r="N2511">
        <f>IF(AND(H2511="",F2511="",D2511&lt;&gt;"",I2511&gt;=TODAY()),ROUND((I2511+IF(ISNUMBER(C2511),MOD(C2511,1),0))*1440,0)*10000+ROW(),"")</f>
        <v/>
      </c>
    </row>
    <row r="2512">
      <c r="A2512" s="1" t="n"/>
      <c r="B2512" s="17" t="n"/>
      <c r="C2512" s="18" t="n"/>
      <c r="D2512" s="19" t="n"/>
      <c r="E2512" s="20" t="n"/>
      <c r="F2512" s="20" t="n"/>
      <c r="G2512" s="21" t="n"/>
      <c r="H2512" s="12">
        <f>IF(AND(B2512="",D2512="",F2512=""),"",IF(NOT(ISNUMBER(B2512)),"Needs a date",IF(D2512="","Needs a client",IF(COUNTIF(Clients!$B$6:$B$105,D2512)=0,"Not on Clients",IF(AND(F2512="",INT(B2512)&lt;TODAY()),"Needs a status","")))))</f>
        <v/>
      </c>
      <c r="I2512" s="1">
        <f>IF(ISNUMBER(B2512),INT(B2512),0)</f>
        <v/>
      </c>
      <c r="J2512">
        <f>IF(ISNUMBER(B2512),YEAR(B2512)*100+MONTH(B2512),"")</f>
        <v/>
      </c>
      <c r="K2512">
        <f>IF(AND(H2512="",OR(F2512="Attended",F2512="No-show",AND(F2512="Late cancel",Settings!$C$9="Yes"))),1,0)</f>
        <v/>
      </c>
      <c r="L2512">
        <f>IF(AND(H2512="",F2512="Attended"),1,0)</f>
        <v/>
      </c>
      <c r="M2512">
        <f>IF(AND(H2512="",OR(F2512="No-show",F2512="Late cancel")),1,0)</f>
        <v/>
      </c>
      <c r="N2512">
        <f>IF(AND(H2512="",F2512="",D2512&lt;&gt;"",I2512&gt;=TODAY()),ROUND((I2512+IF(ISNUMBER(C2512),MOD(C2512,1),0))*1440,0)*10000+ROW(),"")</f>
        <v/>
      </c>
    </row>
    <row r="2513">
      <c r="A2513" s="1" t="n"/>
      <c r="B2513" s="17" t="n"/>
      <c r="C2513" s="18" t="n"/>
      <c r="D2513" s="19" t="n"/>
      <c r="E2513" s="20" t="n"/>
      <c r="F2513" s="20" t="n"/>
      <c r="G2513" s="21" t="n"/>
      <c r="H2513" s="12">
        <f>IF(AND(B2513="",D2513="",F2513=""),"",IF(NOT(ISNUMBER(B2513)),"Needs a date",IF(D2513="","Needs a client",IF(COUNTIF(Clients!$B$6:$B$105,D2513)=0,"Not on Clients",IF(AND(F2513="",INT(B2513)&lt;TODAY()),"Needs a status","")))))</f>
        <v/>
      </c>
      <c r="I2513" s="1">
        <f>IF(ISNUMBER(B2513),INT(B2513),0)</f>
        <v/>
      </c>
      <c r="J2513">
        <f>IF(ISNUMBER(B2513),YEAR(B2513)*100+MONTH(B2513),"")</f>
        <v/>
      </c>
      <c r="K2513">
        <f>IF(AND(H2513="",OR(F2513="Attended",F2513="No-show",AND(F2513="Late cancel",Settings!$C$9="Yes"))),1,0)</f>
        <v/>
      </c>
      <c r="L2513">
        <f>IF(AND(H2513="",F2513="Attended"),1,0)</f>
        <v/>
      </c>
      <c r="M2513">
        <f>IF(AND(H2513="",OR(F2513="No-show",F2513="Late cancel")),1,0)</f>
        <v/>
      </c>
      <c r="N2513">
        <f>IF(AND(H2513="",F2513="",D2513&lt;&gt;"",I2513&gt;=TODAY()),ROUND((I2513+IF(ISNUMBER(C2513),MOD(C2513,1),0))*1440,0)*10000+ROW(),"")</f>
        <v/>
      </c>
    </row>
    <row r="2514">
      <c r="A2514" s="1" t="n"/>
      <c r="B2514" s="17" t="n"/>
      <c r="C2514" s="18" t="n"/>
      <c r="D2514" s="19" t="n"/>
      <c r="E2514" s="20" t="n"/>
      <c r="F2514" s="20" t="n"/>
      <c r="G2514" s="21" t="n"/>
      <c r="H2514" s="12">
        <f>IF(AND(B2514="",D2514="",F2514=""),"",IF(NOT(ISNUMBER(B2514)),"Needs a date",IF(D2514="","Needs a client",IF(COUNTIF(Clients!$B$6:$B$105,D2514)=0,"Not on Clients",IF(AND(F2514="",INT(B2514)&lt;TODAY()),"Needs a status","")))))</f>
        <v/>
      </c>
      <c r="I2514" s="1">
        <f>IF(ISNUMBER(B2514),INT(B2514),0)</f>
        <v/>
      </c>
      <c r="J2514">
        <f>IF(ISNUMBER(B2514),YEAR(B2514)*100+MONTH(B2514),"")</f>
        <v/>
      </c>
      <c r="K2514">
        <f>IF(AND(H2514="",OR(F2514="Attended",F2514="No-show",AND(F2514="Late cancel",Settings!$C$9="Yes"))),1,0)</f>
        <v/>
      </c>
      <c r="L2514">
        <f>IF(AND(H2514="",F2514="Attended"),1,0)</f>
        <v/>
      </c>
      <c r="M2514">
        <f>IF(AND(H2514="",OR(F2514="No-show",F2514="Late cancel")),1,0)</f>
        <v/>
      </c>
      <c r="N2514">
        <f>IF(AND(H2514="",F2514="",D2514&lt;&gt;"",I2514&gt;=TODAY()),ROUND((I2514+IF(ISNUMBER(C2514),MOD(C2514,1),0))*1440,0)*10000+ROW(),"")</f>
        <v/>
      </c>
    </row>
    <row r="2515">
      <c r="A2515" s="1" t="n"/>
      <c r="B2515" s="17" t="n"/>
      <c r="C2515" s="18" t="n"/>
      <c r="D2515" s="19" t="n"/>
      <c r="E2515" s="20" t="n"/>
      <c r="F2515" s="20" t="n"/>
      <c r="G2515" s="21" t="n"/>
      <c r="H2515" s="12">
        <f>IF(AND(B2515="",D2515="",F2515=""),"",IF(NOT(ISNUMBER(B2515)),"Needs a date",IF(D2515="","Needs a client",IF(COUNTIF(Clients!$B$6:$B$105,D2515)=0,"Not on Clients",IF(AND(F2515="",INT(B2515)&lt;TODAY()),"Needs a status","")))))</f>
        <v/>
      </c>
      <c r="I2515" s="1">
        <f>IF(ISNUMBER(B2515),INT(B2515),0)</f>
        <v/>
      </c>
      <c r="J2515">
        <f>IF(ISNUMBER(B2515),YEAR(B2515)*100+MONTH(B2515),"")</f>
        <v/>
      </c>
      <c r="K2515">
        <f>IF(AND(H2515="",OR(F2515="Attended",F2515="No-show",AND(F2515="Late cancel",Settings!$C$9="Yes"))),1,0)</f>
        <v/>
      </c>
      <c r="L2515">
        <f>IF(AND(H2515="",F2515="Attended"),1,0)</f>
        <v/>
      </c>
      <c r="M2515">
        <f>IF(AND(H2515="",OR(F2515="No-show",F2515="Late cancel")),1,0)</f>
        <v/>
      </c>
      <c r="N2515">
        <f>IF(AND(H2515="",F2515="",D2515&lt;&gt;"",I2515&gt;=TODAY()),ROUND((I2515+IF(ISNUMBER(C2515),MOD(C2515,1),0))*1440,0)*10000+ROW(),"")</f>
        <v/>
      </c>
    </row>
    <row r="2516">
      <c r="A2516" s="1" t="n"/>
      <c r="B2516" s="17" t="n"/>
      <c r="C2516" s="18" t="n"/>
      <c r="D2516" s="19" t="n"/>
      <c r="E2516" s="20" t="n"/>
      <c r="F2516" s="20" t="n"/>
      <c r="G2516" s="21" t="n"/>
      <c r="H2516" s="12">
        <f>IF(AND(B2516="",D2516="",F2516=""),"",IF(NOT(ISNUMBER(B2516)),"Needs a date",IF(D2516="","Needs a client",IF(COUNTIF(Clients!$B$6:$B$105,D2516)=0,"Not on Clients",IF(AND(F2516="",INT(B2516)&lt;TODAY()),"Needs a status","")))))</f>
        <v/>
      </c>
      <c r="I2516" s="1">
        <f>IF(ISNUMBER(B2516),INT(B2516),0)</f>
        <v/>
      </c>
      <c r="J2516">
        <f>IF(ISNUMBER(B2516),YEAR(B2516)*100+MONTH(B2516),"")</f>
        <v/>
      </c>
      <c r="K2516">
        <f>IF(AND(H2516="",OR(F2516="Attended",F2516="No-show",AND(F2516="Late cancel",Settings!$C$9="Yes"))),1,0)</f>
        <v/>
      </c>
      <c r="L2516">
        <f>IF(AND(H2516="",F2516="Attended"),1,0)</f>
        <v/>
      </c>
      <c r="M2516">
        <f>IF(AND(H2516="",OR(F2516="No-show",F2516="Late cancel")),1,0)</f>
        <v/>
      </c>
      <c r="N2516">
        <f>IF(AND(H2516="",F2516="",D2516&lt;&gt;"",I2516&gt;=TODAY()),ROUND((I2516+IF(ISNUMBER(C2516),MOD(C2516,1),0))*1440,0)*10000+ROW(),"")</f>
        <v/>
      </c>
    </row>
    <row r="2517">
      <c r="A2517" s="1" t="n"/>
      <c r="B2517" s="17" t="n"/>
      <c r="C2517" s="18" t="n"/>
      <c r="D2517" s="19" t="n"/>
      <c r="E2517" s="20" t="n"/>
      <c r="F2517" s="20" t="n"/>
      <c r="G2517" s="21" t="n"/>
      <c r="H2517" s="12">
        <f>IF(AND(B2517="",D2517="",F2517=""),"",IF(NOT(ISNUMBER(B2517)),"Needs a date",IF(D2517="","Needs a client",IF(COUNTIF(Clients!$B$6:$B$105,D2517)=0,"Not on Clients",IF(AND(F2517="",INT(B2517)&lt;TODAY()),"Needs a status","")))))</f>
        <v/>
      </c>
      <c r="I2517" s="1">
        <f>IF(ISNUMBER(B2517),INT(B2517),0)</f>
        <v/>
      </c>
      <c r="J2517">
        <f>IF(ISNUMBER(B2517),YEAR(B2517)*100+MONTH(B2517),"")</f>
        <v/>
      </c>
      <c r="K2517">
        <f>IF(AND(H2517="",OR(F2517="Attended",F2517="No-show",AND(F2517="Late cancel",Settings!$C$9="Yes"))),1,0)</f>
        <v/>
      </c>
      <c r="L2517">
        <f>IF(AND(H2517="",F2517="Attended"),1,0)</f>
        <v/>
      </c>
      <c r="M2517">
        <f>IF(AND(H2517="",OR(F2517="No-show",F2517="Late cancel")),1,0)</f>
        <v/>
      </c>
      <c r="N2517">
        <f>IF(AND(H2517="",F2517="",D2517&lt;&gt;"",I2517&gt;=TODAY()),ROUND((I2517+IF(ISNUMBER(C2517),MOD(C2517,1),0))*1440,0)*10000+ROW(),"")</f>
        <v/>
      </c>
    </row>
    <row r="2518">
      <c r="A2518" s="1" t="n"/>
      <c r="B2518" s="17" t="n"/>
      <c r="C2518" s="18" t="n"/>
      <c r="D2518" s="19" t="n"/>
      <c r="E2518" s="20" t="n"/>
      <c r="F2518" s="20" t="n"/>
      <c r="G2518" s="21" t="n"/>
      <c r="H2518" s="12">
        <f>IF(AND(B2518="",D2518="",F2518=""),"",IF(NOT(ISNUMBER(B2518)),"Needs a date",IF(D2518="","Needs a client",IF(COUNTIF(Clients!$B$6:$B$105,D2518)=0,"Not on Clients",IF(AND(F2518="",INT(B2518)&lt;TODAY()),"Needs a status","")))))</f>
        <v/>
      </c>
      <c r="I2518" s="1">
        <f>IF(ISNUMBER(B2518),INT(B2518),0)</f>
        <v/>
      </c>
      <c r="J2518">
        <f>IF(ISNUMBER(B2518),YEAR(B2518)*100+MONTH(B2518),"")</f>
        <v/>
      </c>
      <c r="K2518">
        <f>IF(AND(H2518="",OR(F2518="Attended",F2518="No-show",AND(F2518="Late cancel",Settings!$C$9="Yes"))),1,0)</f>
        <v/>
      </c>
      <c r="L2518">
        <f>IF(AND(H2518="",F2518="Attended"),1,0)</f>
        <v/>
      </c>
      <c r="M2518">
        <f>IF(AND(H2518="",OR(F2518="No-show",F2518="Late cancel")),1,0)</f>
        <v/>
      </c>
      <c r="N2518">
        <f>IF(AND(H2518="",F2518="",D2518&lt;&gt;"",I2518&gt;=TODAY()),ROUND((I2518+IF(ISNUMBER(C2518),MOD(C2518,1),0))*1440,0)*10000+ROW(),"")</f>
        <v/>
      </c>
    </row>
    <row r="2519">
      <c r="A2519" s="1" t="n"/>
      <c r="B2519" s="17" t="n"/>
      <c r="C2519" s="18" t="n"/>
      <c r="D2519" s="19" t="n"/>
      <c r="E2519" s="20" t="n"/>
      <c r="F2519" s="20" t="n"/>
      <c r="G2519" s="21" t="n"/>
      <c r="H2519" s="12">
        <f>IF(AND(B2519="",D2519="",F2519=""),"",IF(NOT(ISNUMBER(B2519)),"Needs a date",IF(D2519="","Needs a client",IF(COUNTIF(Clients!$B$6:$B$105,D2519)=0,"Not on Clients",IF(AND(F2519="",INT(B2519)&lt;TODAY()),"Needs a status","")))))</f>
        <v/>
      </c>
      <c r="I2519" s="1">
        <f>IF(ISNUMBER(B2519),INT(B2519),0)</f>
        <v/>
      </c>
      <c r="J2519">
        <f>IF(ISNUMBER(B2519),YEAR(B2519)*100+MONTH(B2519),"")</f>
        <v/>
      </c>
      <c r="K2519">
        <f>IF(AND(H2519="",OR(F2519="Attended",F2519="No-show",AND(F2519="Late cancel",Settings!$C$9="Yes"))),1,0)</f>
        <v/>
      </c>
      <c r="L2519">
        <f>IF(AND(H2519="",F2519="Attended"),1,0)</f>
        <v/>
      </c>
      <c r="M2519">
        <f>IF(AND(H2519="",OR(F2519="No-show",F2519="Late cancel")),1,0)</f>
        <v/>
      </c>
      <c r="N2519">
        <f>IF(AND(H2519="",F2519="",D2519&lt;&gt;"",I2519&gt;=TODAY()),ROUND((I2519+IF(ISNUMBER(C2519),MOD(C2519,1),0))*1440,0)*10000+ROW(),"")</f>
        <v/>
      </c>
    </row>
    <row r="2520">
      <c r="A2520" s="1" t="n"/>
      <c r="B2520" s="17" t="n"/>
      <c r="C2520" s="18" t="n"/>
      <c r="D2520" s="19" t="n"/>
      <c r="E2520" s="20" t="n"/>
      <c r="F2520" s="20" t="n"/>
      <c r="G2520" s="21" t="n"/>
      <c r="H2520" s="12">
        <f>IF(AND(B2520="",D2520="",F2520=""),"",IF(NOT(ISNUMBER(B2520)),"Needs a date",IF(D2520="","Needs a client",IF(COUNTIF(Clients!$B$6:$B$105,D2520)=0,"Not on Clients",IF(AND(F2520="",INT(B2520)&lt;TODAY()),"Needs a status","")))))</f>
        <v/>
      </c>
      <c r="I2520" s="1">
        <f>IF(ISNUMBER(B2520),INT(B2520),0)</f>
        <v/>
      </c>
      <c r="J2520">
        <f>IF(ISNUMBER(B2520),YEAR(B2520)*100+MONTH(B2520),"")</f>
        <v/>
      </c>
      <c r="K2520">
        <f>IF(AND(H2520="",OR(F2520="Attended",F2520="No-show",AND(F2520="Late cancel",Settings!$C$9="Yes"))),1,0)</f>
        <v/>
      </c>
      <c r="L2520">
        <f>IF(AND(H2520="",F2520="Attended"),1,0)</f>
        <v/>
      </c>
      <c r="M2520">
        <f>IF(AND(H2520="",OR(F2520="No-show",F2520="Late cancel")),1,0)</f>
        <v/>
      </c>
      <c r="N2520">
        <f>IF(AND(H2520="",F2520="",D2520&lt;&gt;"",I2520&gt;=TODAY()),ROUND((I2520+IF(ISNUMBER(C2520),MOD(C2520,1),0))*1440,0)*10000+ROW(),"")</f>
        <v/>
      </c>
    </row>
    <row r="2521">
      <c r="A2521" s="1" t="n"/>
      <c r="B2521" s="17" t="n"/>
      <c r="C2521" s="18" t="n"/>
      <c r="D2521" s="19" t="n"/>
      <c r="E2521" s="20" t="n"/>
      <c r="F2521" s="20" t="n"/>
      <c r="G2521" s="21" t="n"/>
      <c r="H2521" s="12">
        <f>IF(AND(B2521="",D2521="",F2521=""),"",IF(NOT(ISNUMBER(B2521)),"Needs a date",IF(D2521="","Needs a client",IF(COUNTIF(Clients!$B$6:$B$105,D2521)=0,"Not on Clients",IF(AND(F2521="",INT(B2521)&lt;TODAY()),"Needs a status","")))))</f>
        <v/>
      </c>
      <c r="I2521" s="1">
        <f>IF(ISNUMBER(B2521),INT(B2521),0)</f>
        <v/>
      </c>
      <c r="J2521">
        <f>IF(ISNUMBER(B2521),YEAR(B2521)*100+MONTH(B2521),"")</f>
        <v/>
      </c>
      <c r="K2521">
        <f>IF(AND(H2521="",OR(F2521="Attended",F2521="No-show",AND(F2521="Late cancel",Settings!$C$9="Yes"))),1,0)</f>
        <v/>
      </c>
      <c r="L2521">
        <f>IF(AND(H2521="",F2521="Attended"),1,0)</f>
        <v/>
      </c>
      <c r="M2521">
        <f>IF(AND(H2521="",OR(F2521="No-show",F2521="Late cancel")),1,0)</f>
        <v/>
      </c>
      <c r="N2521">
        <f>IF(AND(H2521="",F2521="",D2521&lt;&gt;"",I2521&gt;=TODAY()),ROUND((I2521+IF(ISNUMBER(C2521),MOD(C2521,1),0))*1440,0)*10000+ROW(),"")</f>
        <v/>
      </c>
    </row>
    <row r="2522">
      <c r="A2522" s="1" t="n"/>
      <c r="B2522" s="17" t="n"/>
      <c r="C2522" s="18" t="n"/>
      <c r="D2522" s="19" t="n"/>
      <c r="E2522" s="20" t="n"/>
      <c r="F2522" s="20" t="n"/>
      <c r="G2522" s="21" t="n"/>
      <c r="H2522" s="12">
        <f>IF(AND(B2522="",D2522="",F2522=""),"",IF(NOT(ISNUMBER(B2522)),"Needs a date",IF(D2522="","Needs a client",IF(COUNTIF(Clients!$B$6:$B$105,D2522)=0,"Not on Clients",IF(AND(F2522="",INT(B2522)&lt;TODAY()),"Needs a status","")))))</f>
        <v/>
      </c>
      <c r="I2522" s="1">
        <f>IF(ISNUMBER(B2522),INT(B2522),0)</f>
        <v/>
      </c>
      <c r="J2522">
        <f>IF(ISNUMBER(B2522),YEAR(B2522)*100+MONTH(B2522),"")</f>
        <v/>
      </c>
      <c r="K2522">
        <f>IF(AND(H2522="",OR(F2522="Attended",F2522="No-show",AND(F2522="Late cancel",Settings!$C$9="Yes"))),1,0)</f>
        <v/>
      </c>
      <c r="L2522">
        <f>IF(AND(H2522="",F2522="Attended"),1,0)</f>
        <v/>
      </c>
      <c r="M2522">
        <f>IF(AND(H2522="",OR(F2522="No-show",F2522="Late cancel")),1,0)</f>
        <v/>
      </c>
      <c r="N2522">
        <f>IF(AND(H2522="",F2522="",D2522&lt;&gt;"",I2522&gt;=TODAY()),ROUND((I2522+IF(ISNUMBER(C2522),MOD(C2522,1),0))*1440,0)*10000+ROW(),"")</f>
        <v/>
      </c>
    </row>
    <row r="2523">
      <c r="A2523" s="1" t="n"/>
      <c r="B2523" s="17" t="n"/>
      <c r="C2523" s="18" t="n"/>
      <c r="D2523" s="19" t="n"/>
      <c r="E2523" s="20" t="n"/>
      <c r="F2523" s="20" t="n"/>
      <c r="G2523" s="21" t="n"/>
      <c r="H2523" s="12">
        <f>IF(AND(B2523="",D2523="",F2523=""),"",IF(NOT(ISNUMBER(B2523)),"Needs a date",IF(D2523="","Needs a client",IF(COUNTIF(Clients!$B$6:$B$105,D2523)=0,"Not on Clients",IF(AND(F2523="",INT(B2523)&lt;TODAY()),"Needs a status","")))))</f>
        <v/>
      </c>
      <c r="I2523" s="1">
        <f>IF(ISNUMBER(B2523),INT(B2523),0)</f>
        <v/>
      </c>
      <c r="J2523">
        <f>IF(ISNUMBER(B2523),YEAR(B2523)*100+MONTH(B2523),"")</f>
        <v/>
      </c>
      <c r="K2523">
        <f>IF(AND(H2523="",OR(F2523="Attended",F2523="No-show",AND(F2523="Late cancel",Settings!$C$9="Yes"))),1,0)</f>
        <v/>
      </c>
      <c r="L2523">
        <f>IF(AND(H2523="",F2523="Attended"),1,0)</f>
        <v/>
      </c>
      <c r="M2523">
        <f>IF(AND(H2523="",OR(F2523="No-show",F2523="Late cancel")),1,0)</f>
        <v/>
      </c>
      <c r="N2523">
        <f>IF(AND(H2523="",F2523="",D2523&lt;&gt;"",I2523&gt;=TODAY()),ROUND((I2523+IF(ISNUMBER(C2523),MOD(C2523,1),0))*1440,0)*10000+ROW(),"")</f>
        <v/>
      </c>
    </row>
    <row r="2524">
      <c r="A2524" s="1" t="n"/>
      <c r="B2524" s="17" t="n"/>
      <c r="C2524" s="18" t="n"/>
      <c r="D2524" s="19" t="n"/>
      <c r="E2524" s="20" t="n"/>
      <c r="F2524" s="20" t="n"/>
      <c r="G2524" s="21" t="n"/>
      <c r="H2524" s="12">
        <f>IF(AND(B2524="",D2524="",F2524=""),"",IF(NOT(ISNUMBER(B2524)),"Needs a date",IF(D2524="","Needs a client",IF(COUNTIF(Clients!$B$6:$B$105,D2524)=0,"Not on Clients",IF(AND(F2524="",INT(B2524)&lt;TODAY()),"Needs a status","")))))</f>
        <v/>
      </c>
      <c r="I2524" s="1">
        <f>IF(ISNUMBER(B2524),INT(B2524),0)</f>
        <v/>
      </c>
      <c r="J2524">
        <f>IF(ISNUMBER(B2524),YEAR(B2524)*100+MONTH(B2524),"")</f>
        <v/>
      </c>
      <c r="K2524">
        <f>IF(AND(H2524="",OR(F2524="Attended",F2524="No-show",AND(F2524="Late cancel",Settings!$C$9="Yes"))),1,0)</f>
        <v/>
      </c>
      <c r="L2524">
        <f>IF(AND(H2524="",F2524="Attended"),1,0)</f>
        <v/>
      </c>
      <c r="M2524">
        <f>IF(AND(H2524="",OR(F2524="No-show",F2524="Late cancel")),1,0)</f>
        <v/>
      </c>
      <c r="N2524">
        <f>IF(AND(H2524="",F2524="",D2524&lt;&gt;"",I2524&gt;=TODAY()),ROUND((I2524+IF(ISNUMBER(C2524),MOD(C2524,1),0))*1440,0)*10000+ROW(),"")</f>
        <v/>
      </c>
    </row>
    <row r="2525">
      <c r="A2525" s="1" t="n"/>
      <c r="B2525" s="17" t="n"/>
      <c r="C2525" s="18" t="n"/>
      <c r="D2525" s="19" t="n"/>
      <c r="E2525" s="20" t="n"/>
      <c r="F2525" s="20" t="n"/>
      <c r="G2525" s="21" t="n"/>
      <c r="H2525" s="12">
        <f>IF(AND(B2525="",D2525="",F2525=""),"",IF(NOT(ISNUMBER(B2525)),"Needs a date",IF(D2525="","Needs a client",IF(COUNTIF(Clients!$B$6:$B$105,D2525)=0,"Not on Clients",IF(AND(F2525="",INT(B2525)&lt;TODAY()),"Needs a status","")))))</f>
        <v/>
      </c>
      <c r="I2525" s="1">
        <f>IF(ISNUMBER(B2525),INT(B2525),0)</f>
        <v/>
      </c>
      <c r="J2525">
        <f>IF(ISNUMBER(B2525),YEAR(B2525)*100+MONTH(B2525),"")</f>
        <v/>
      </c>
      <c r="K2525">
        <f>IF(AND(H2525="",OR(F2525="Attended",F2525="No-show",AND(F2525="Late cancel",Settings!$C$9="Yes"))),1,0)</f>
        <v/>
      </c>
      <c r="L2525">
        <f>IF(AND(H2525="",F2525="Attended"),1,0)</f>
        <v/>
      </c>
      <c r="M2525">
        <f>IF(AND(H2525="",OR(F2525="No-show",F2525="Late cancel")),1,0)</f>
        <v/>
      </c>
      <c r="N2525">
        <f>IF(AND(H2525="",F2525="",D2525&lt;&gt;"",I2525&gt;=TODAY()),ROUND((I2525+IF(ISNUMBER(C2525),MOD(C2525,1),0))*1440,0)*10000+ROW(),"")</f>
        <v/>
      </c>
    </row>
    <row r="2526">
      <c r="A2526" s="1" t="n"/>
      <c r="B2526" s="17" t="n"/>
      <c r="C2526" s="18" t="n"/>
      <c r="D2526" s="19" t="n"/>
      <c r="E2526" s="20" t="n"/>
      <c r="F2526" s="20" t="n"/>
      <c r="G2526" s="21" t="n"/>
      <c r="H2526" s="12">
        <f>IF(AND(B2526="",D2526="",F2526=""),"",IF(NOT(ISNUMBER(B2526)),"Needs a date",IF(D2526="","Needs a client",IF(COUNTIF(Clients!$B$6:$B$105,D2526)=0,"Not on Clients",IF(AND(F2526="",INT(B2526)&lt;TODAY()),"Needs a status","")))))</f>
        <v/>
      </c>
      <c r="I2526" s="1">
        <f>IF(ISNUMBER(B2526),INT(B2526),0)</f>
        <v/>
      </c>
      <c r="J2526">
        <f>IF(ISNUMBER(B2526),YEAR(B2526)*100+MONTH(B2526),"")</f>
        <v/>
      </c>
      <c r="K2526">
        <f>IF(AND(H2526="",OR(F2526="Attended",F2526="No-show",AND(F2526="Late cancel",Settings!$C$9="Yes"))),1,0)</f>
        <v/>
      </c>
      <c r="L2526">
        <f>IF(AND(H2526="",F2526="Attended"),1,0)</f>
        <v/>
      </c>
      <c r="M2526">
        <f>IF(AND(H2526="",OR(F2526="No-show",F2526="Late cancel")),1,0)</f>
        <v/>
      </c>
      <c r="N2526">
        <f>IF(AND(H2526="",F2526="",D2526&lt;&gt;"",I2526&gt;=TODAY()),ROUND((I2526+IF(ISNUMBER(C2526),MOD(C2526,1),0))*1440,0)*10000+ROW(),"")</f>
        <v/>
      </c>
    </row>
    <row r="2527">
      <c r="A2527" s="1" t="n"/>
      <c r="B2527" s="17" t="n"/>
      <c r="C2527" s="18" t="n"/>
      <c r="D2527" s="19" t="n"/>
      <c r="E2527" s="20" t="n"/>
      <c r="F2527" s="20" t="n"/>
      <c r="G2527" s="21" t="n"/>
      <c r="H2527" s="12">
        <f>IF(AND(B2527="",D2527="",F2527=""),"",IF(NOT(ISNUMBER(B2527)),"Needs a date",IF(D2527="","Needs a client",IF(COUNTIF(Clients!$B$6:$B$105,D2527)=0,"Not on Clients",IF(AND(F2527="",INT(B2527)&lt;TODAY()),"Needs a status","")))))</f>
        <v/>
      </c>
      <c r="I2527" s="1">
        <f>IF(ISNUMBER(B2527),INT(B2527),0)</f>
        <v/>
      </c>
      <c r="J2527">
        <f>IF(ISNUMBER(B2527),YEAR(B2527)*100+MONTH(B2527),"")</f>
        <v/>
      </c>
      <c r="K2527">
        <f>IF(AND(H2527="",OR(F2527="Attended",F2527="No-show",AND(F2527="Late cancel",Settings!$C$9="Yes"))),1,0)</f>
        <v/>
      </c>
      <c r="L2527">
        <f>IF(AND(H2527="",F2527="Attended"),1,0)</f>
        <v/>
      </c>
      <c r="M2527">
        <f>IF(AND(H2527="",OR(F2527="No-show",F2527="Late cancel")),1,0)</f>
        <v/>
      </c>
      <c r="N2527">
        <f>IF(AND(H2527="",F2527="",D2527&lt;&gt;"",I2527&gt;=TODAY()),ROUND((I2527+IF(ISNUMBER(C2527),MOD(C2527,1),0))*1440,0)*10000+ROW(),"")</f>
        <v/>
      </c>
    </row>
    <row r="2528">
      <c r="A2528" s="1" t="n"/>
      <c r="B2528" s="17" t="n"/>
      <c r="C2528" s="18" t="n"/>
      <c r="D2528" s="19" t="n"/>
      <c r="E2528" s="20" t="n"/>
      <c r="F2528" s="20" t="n"/>
      <c r="G2528" s="21" t="n"/>
      <c r="H2528" s="12">
        <f>IF(AND(B2528="",D2528="",F2528=""),"",IF(NOT(ISNUMBER(B2528)),"Needs a date",IF(D2528="","Needs a client",IF(COUNTIF(Clients!$B$6:$B$105,D2528)=0,"Not on Clients",IF(AND(F2528="",INT(B2528)&lt;TODAY()),"Needs a status","")))))</f>
        <v/>
      </c>
      <c r="I2528" s="1">
        <f>IF(ISNUMBER(B2528),INT(B2528),0)</f>
        <v/>
      </c>
      <c r="J2528">
        <f>IF(ISNUMBER(B2528),YEAR(B2528)*100+MONTH(B2528),"")</f>
        <v/>
      </c>
      <c r="K2528">
        <f>IF(AND(H2528="",OR(F2528="Attended",F2528="No-show",AND(F2528="Late cancel",Settings!$C$9="Yes"))),1,0)</f>
        <v/>
      </c>
      <c r="L2528">
        <f>IF(AND(H2528="",F2528="Attended"),1,0)</f>
        <v/>
      </c>
      <c r="M2528">
        <f>IF(AND(H2528="",OR(F2528="No-show",F2528="Late cancel")),1,0)</f>
        <v/>
      </c>
      <c r="N2528">
        <f>IF(AND(H2528="",F2528="",D2528&lt;&gt;"",I2528&gt;=TODAY()),ROUND((I2528+IF(ISNUMBER(C2528),MOD(C2528,1),0))*1440,0)*10000+ROW(),"")</f>
        <v/>
      </c>
    </row>
    <row r="2529">
      <c r="A2529" s="1" t="n"/>
      <c r="B2529" s="17" t="n"/>
      <c r="C2529" s="18" t="n"/>
      <c r="D2529" s="19" t="n"/>
      <c r="E2529" s="20" t="n"/>
      <c r="F2529" s="20" t="n"/>
      <c r="G2529" s="21" t="n"/>
      <c r="H2529" s="12">
        <f>IF(AND(B2529="",D2529="",F2529=""),"",IF(NOT(ISNUMBER(B2529)),"Needs a date",IF(D2529="","Needs a client",IF(COUNTIF(Clients!$B$6:$B$105,D2529)=0,"Not on Clients",IF(AND(F2529="",INT(B2529)&lt;TODAY()),"Needs a status","")))))</f>
        <v/>
      </c>
      <c r="I2529" s="1">
        <f>IF(ISNUMBER(B2529),INT(B2529),0)</f>
        <v/>
      </c>
      <c r="J2529">
        <f>IF(ISNUMBER(B2529),YEAR(B2529)*100+MONTH(B2529),"")</f>
        <v/>
      </c>
      <c r="K2529">
        <f>IF(AND(H2529="",OR(F2529="Attended",F2529="No-show",AND(F2529="Late cancel",Settings!$C$9="Yes"))),1,0)</f>
        <v/>
      </c>
      <c r="L2529">
        <f>IF(AND(H2529="",F2529="Attended"),1,0)</f>
        <v/>
      </c>
      <c r="M2529">
        <f>IF(AND(H2529="",OR(F2529="No-show",F2529="Late cancel")),1,0)</f>
        <v/>
      </c>
      <c r="N2529">
        <f>IF(AND(H2529="",F2529="",D2529&lt;&gt;"",I2529&gt;=TODAY()),ROUND((I2529+IF(ISNUMBER(C2529),MOD(C2529,1),0))*1440,0)*10000+ROW(),"")</f>
        <v/>
      </c>
    </row>
    <row r="2530">
      <c r="A2530" s="1" t="n"/>
      <c r="B2530" s="17" t="n"/>
      <c r="C2530" s="18" t="n"/>
      <c r="D2530" s="19" t="n"/>
      <c r="E2530" s="20" t="n"/>
      <c r="F2530" s="20" t="n"/>
      <c r="G2530" s="21" t="n"/>
      <c r="H2530" s="12">
        <f>IF(AND(B2530="",D2530="",F2530=""),"",IF(NOT(ISNUMBER(B2530)),"Needs a date",IF(D2530="","Needs a client",IF(COUNTIF(Clients!$B$6:$B$105,D2530)=0,"Not on Clients",IF(AND(F2530="",INT(B2530)&lt;TODAY()),"Needs a status","")))))</f>
        <v/>
      </c>
      <c r="I2530" s="1">
        <f>IF(ISNUMBER(B2530),INT(B2530),0)</f>
        <v/>
      </c>
      <c r="J2530">
        <f>IF(ISNUMBER(B2530),YEAR(B2530)*100+MONTH(B2530),"")</f>
        <v/>
      </c>
      <c r="K2530">
        <f>IF(AND(H2530="",OR(F2530="Attended",F2530="No-show",AND(F2530="Late cancel",Settings!$C$9="Yes"))),1,0)</f>
        <v/>
      </c>
      <c r="L2530">
        <f>IF(AND(H2530="",F2530="Attended"),1,0)</f>
        <v/>
      </c>
      <c r="M2530">
        <f>IF(AND(H2530="",OR(F2530="No-show",F2530="Late cancel")),1,0)</f>
        <v/>
      </c>
      <c r="N2530">
        <f>IF(AND(H2530="",F2530="",D2530&lt;&gt;"",I2530&gt;=TODAY()),ROUND((I2530+IF(ISNUMBER(C2530),MOD(C2530,1),0))*1440,0)*10000+ROW(),"")</f>
        <v/>
      </c>
    </row>
    <row r="2531">
      <c r="A2531" s="1" t="n"/>
      <c r="B2531" s="17" t="n"/>
      <c r="C2531" s="18" t="n"/>
      <c r="D2531" s="19" t="n"/>
      <c r="E2531" s="20" t="n"/>
      <c r="F2531" s="20" t="n"/>
      <c r="G2531" s="21" t="n"/>
      <c r="H2531" s="12">
        <f>IF(AND(B2531="",D2531="",F2531=""),"",IF(NOT(ISNUMBER(B2531)),"Needs a date",IF(D2531="","Needs a client",IF(COUNTIF(Clients!$B$6:$B$105,D2531)=0,"Not on Clients",IF(AND(F2531="",INT(B2531)&lt;TODAY()),"Needs a status","")))))</f>
        <v/>
      </c>
      <c r="I2531" s="1">
        <f>IF(ISNUMBER(B2531),INT(B2531),0)</f>
        <v/>
      </c>
      <c r="J2531">
        <f>IF(ISNUMBER(B2531),YEAR(B2531)*100+MONTH(B2531),"")</f>
        <v/>
      </c>
      <c r="K2531">
        <f>IF(AND(H2531="",OR(F2531="Attended",F2531="No-show",AND(F2531="Late cancel",Settings!$C$9="Yes"))),1,0)</f>
        <v/>
      </c>
      <c r="L2531">
        <f>IF(AND(H2531="",F2531="Attended"),1,0)</f>
        <v/>
      </c>
      <c r="M2531">
        <f>IF(AND(H2531="",OR(F2531="No-show",F2531="Late cancel")),1,0)</f>
        <v/>
      </c>
      <c r="N2531">
        <f>IF(AND(H2531="",F2531="",D2531&lt;&gt;"",I2531&gt;=TODAY()),ROUND((I2531+IF(ISNUMBER(C2531),MOD(C2531,1),0))*1440,0)*10000+ROW(),"")</f>
        <v/>
      </c>
    </row>
    <row r="2532">
      <c r="A2532" s="1" t="n"/>
      <c r="B2532" s="17" t="n"/>
      <c r="C2532" s="18" t="n"/>
      <c r="D2532" s="19" t="n"/>
      <c r="E2532" s="20" t="n"/>
      <c r="F2532" s="20" t="n"/>
      <c r="G2532" s="21" t="n"/>
      <c r="H2532" s="12">
        <f>IF(AND(B2532="",D2532="",F2532=""),"",IF(NOT(ISNUMBER(B2532)),"Needs a date",IF(D2532="","Needs a client",IF(COUNTIF(Clients!$B$6:$B$105,D2532)=0,"Not on Clients",IF(AND(F2532="",INT(B2532)&lt;TODAY()),"Needs a status","")))))</f>
        <v/>
      </c>
      <c r="I2532" s="1">
        <f>IF(ISNUMBER(B2532),INT(B2532),0)</f>
        <v/>
      </c>
      <c r="J2532">
        <f>IF(ISNUMBER(B2532),YEAR(B2532)*100+MONTH(B2532),"")</f>
        <v/>
      </c>
      <c r="K2532">
        <f>IF(AND(H2532="",OR(F2532="Attended",F2532="No-show",AND(F2532="Late cancel",Settings!$C$9="Yes"))),1,0)</f>
        <v/>
      </c>
      <c r="L2532">
        <f>IF(AND(H2532="",F2532="Attended"),1,0)</f>
        <v/>
      </c>
      <c r="M2532">
        <f>IF(AND(H2532="",OR(F2532="No-show",F2532="Late cancel")),1,0)</f>
        <v/>
      </c>
      <c r="N2532">
        <f>IF(AND(H2532="",F2532="",D2532&lt;&gt;"",I2532&gt;=TODAY()),ROUND((I2532+IF(ISNUMBER(C2532),MOD(C2532,1),0))*1440,0)*10000+ROW(),"")</f>
        <v/>
      </c>
    </row>
    <row r="2533">
      <c r="A2533" s="1" t="n"/>
      <c r="B2533" s="17" t="n"/>
      <c r="C2533" s="18" t="n"/>
      <c r="D2533" s="19" t="n"/>
      <c r="E2533" s="20" t="n"/>
      <c r="F2533" s="20" t="n"/>
      <c r="G2533" s="21" t="n"/>
      <c r="H2533" s="12">
        <f>IF(AND(B2533="",D2533="",F2533=""),"",IF(NOT(ISNUMBER(B2533)),"Needs a date",IF(D2533="","Needs a client",IF(COUNTIF(Clients!$B$6:$B$105,D2533)=0,"Not on Clients",IF(AND(F2533="",INT(B2533)&lt;TODAY()),"Needs a status","")))))</f>
        <v/>
      </c>
      <c r="I2533" s="1">
        <f>IF(ISNUMBER(B2533),INT(B2533),0)</f>
        <v/>
      </c>
      <c r="J2533">
        <f>IF(ISNUMBER(B2533),YEAR(B2533)*100+MONTH(B2533),"")</f>
        <v/>
      </c>
      <c r="K2533">
        <f>IF(AND(H2533="",OR(F2533="Attended",F2533="No-show",AND(F2533="Late cancel",Settings!$C$9="Yes"))),1,0)</f>
        <v/>
      </c>
      <c r="L2533">
        <f>IF(AND(H2533="",F2533="Attended"),1,0)</f>
        <v/>
      </c>
      <c r="M2533">
        <f>IF(AND(H2533="",OR(F2533="No-show",F2533="Late cancel")),1,0)</f>
        <v/>
      </c>
      <c r="N2533">
        <f>IF(AND(H2533="",F2533="",D2533&lt;&gt;"",I2533&gt;=TODAY()),ROUND((I2533+IF(ISNUMBER(C2533),MOD(C2533,1),0))*1440,0)*10000+ROW(),"")</f>
        <v/>
      </c>
    </row>
    <row r="2534">
      <c r="A2534" s="1" t="n"/>
      <c r="B2534" s="17" t="n"/>
      <c r="C2534" s="18" t="n"/>
      <c r="D2534" s="19" t="n"/>
      <c r="E2534" s="20" t="n"/>
      <c r="F2534" s="20" t="n"/>
      <c r="G2534" s="21" t="n"/>
      <c r="H2534" s="12">
        <f>IF(AND(B2534="",D2534="",F2534=""),"",IF(NOT(ISNUMBER(B2534)),"Needs a date",IF(D2534="","Needs a client",IF(COUNTIF(Clients!$B$6:$B$105,D2534)=0,"Not on Clients",IF(AND(F2534="",INT(B2534)&lt;TODAY()),"Needs a status","")))))</f>
        <v/>
      </c>
      <c r="I2534" s="1">
        <f>IF(ISNUMBER(B2534),INT(B2534),0)</f>
        <v/>
      </c>
      <c r="J2534">
        <f>IF(ISNUMBER(B2534),YEAR(B2534)*100+MONTH(B2534),"")</f>
        <v/>
      </c>
      <c r="K2534">
        <f>IF(AND(H2534="",OR(F2534="Attended",F2534="No-show",AND(F2534="Late cancel",Settings!$C$9="Yes"))),1,0)</f>
        <v/>
      </c>
      <c r="L2534">
        <f>IF(AND(H2534="",F2534="Attended"),1,0)</f>
        <v/>
      </c>
      <c r="M2534">
        <f>IF(AND(H2534="",OR(F2534="No-show",F2534="Late cancel")),1,0)</f>
        <v/>
      </c>
      <c r="N2534">
        <f>IF(AND(H2534="",F2534="",D2534&lt;&gt;"",I2534&gt;=TODAY()),ROUND((I2534+IF(ISNUMBER(C2534),MOD(C2534,1),0))*1440,0)*10000+ROW(),"")</f>
        <v/>
      </c>
    </row>
    <row r="2535">
      <c r="A2535" s="1" t="n"/>
      <c r="B2535" s="17" t="n"/>
      <c r="C2535" s="18" t="n"/>
      <c r="D2535" s="19" t="n"/>
      <c r="E2535" s="20" t="n"/>
      <c r="F2535" s="20" t="n"/>
      <c r="G2535" s="21" t="n"/>
      <c r="H2535" s="12">
        <f>IF(AND(B2535="",D2535="",F2535=""),"",IF(NOT(ISNUMBER(B2535)),"Needs a date",IF(D2535="","Needs a client",IF(COUNTIF(Clients!$B$6:$B$105,D2535)=0,"Not on Clients",IF(AND(F2535="",INT(B2535)&lt;TODAY()),"Needs a status","")))))</f>
        <v/>
      </c>
      <c r="I2535" s="1">
        <f>IF(ISNUMBER(B2535),INT(B2535),0)</f>
        <v/>
      </c>
      <c r="J2535">
        <f>IF(ISNUMBER(B2535),YEAR(B2535)*100+MONTH(B2535),"")</f>
        <v/>
      </c>
      <c r="K2535">
        <f>IF(AND(H2535="",OR(F2535="Attended",F2535="No-show",AND(F2535="Late cancel",Settings!$C$9="Yes"))),1,0)</f>
        <v/>
      </c>
      <c r="L2535">
        <f>IF(AND(H2535="",F2535="Attended"),1,0)</f>
        <v/>
      </c>
      <c r="M2535">
        <f>IF(AND(H2535="",OR(F2535="No-show",F2535="Late cancel")),1,0)</f>
        <v/>
      </c>
      <c r="N2535">
        <f>IF(AND(H2535="",F2535="",D2535&lt;&gt;"",I2535&gt;=TODAY()),ROUND((I2535+IF(ISNUMBER(C2535),MOD(C2535,1),0))*1440,0)*10000+ROW(),"")</f>
        <v/>
      </c>
    </row>
    <row r="2536">
      <c r="A2536" s="1" t="n"/>
      <c r="B2536" s="17" t="n"/>
      <c r="C2536" s="18" t="n"/>
      <c r="D2536" s="19" t="n"/>
      <c r="E2536" s="20" t="n"/>
      <c r="F2536" s="20" t="n"/>
      <c r="G2536" s="21" t="n"/>
      <c r="H2536" s="12">
        <f>IF(AND(B2536="",D2536="",F2536=""),"",IF(NOT(ISNUMBER(B2536)),"Needs a date",IF(D2536="","Needs a client",IF(COUNTIF(Clients!$B$6:$B$105,D2536)=0,"Not on Clients",IF(AND(F2536="",INT(B2536)&lt;TODAY()),"Needs a status","")))))</f>
        <v/>
      </c>
      <c r="I2536" s="1">
        <f>IF(ISNUMBER(B2536),INT(B2536),0)</f>
        <v/>
      </c>
      <c r="J2536">
        <f>IF(ISNUMBER(B2536),YEAR(B2536)*100+MONTH(B2536),"")</f>
        <v/>
      </c>
      <c r="K2536">
        <f>IF(AND(H2536="",OR(F2536="Attended",F2536="No-show",AND(F2536="Late cancel",Settings!$C$9="Yes"))),1,0)</f>
        <v/>
      </c>
      <c r="L2536">
        <f>IF(AND(H2536="",F2536="Attended"),1,0)</f>
        <v/>
      </c>
      <c r="M2536">
        <f>IF(AND(H2536="",OR(F2536="No-show",F2536="Late cancel")),1,0)</f>
        <v/>
      </c>
      <c r="N2536">
        <f>IF(AND(H2536="",F2536="",D2536&lt;&gt;"",I2536&gt;=TODAY()),ROUND((I2536+IF(ISNUMBER(C2536),MOD(C2536,1),0))*1440,0)*10000+ROW(),"")</f>
        <v/>
      </c>
    </row>
    <row r="2537">
      <c r="A2537" s="1" t="n"/>
      <c r="B2537" s="17" t="n"/>
      <c r="C2537" s="18" t="n"/>
      <c r="D2537" s="19" t="n"/>
      <c r="E2537" s="20" t="n"/>
      <c r="F2537" s="20" t="n"/>
      <c r="G2537" s="21" t="n"/>
      <c r="H2537" s="12">
        <f>IF(AND(B2537="",D2537="",F2537=""),"",IF(NOT(ISNUMBER(B2537)),"Needs a date",IF(D2537="","Needs a client",IF(COUNTIF(Clients!$B$6:$B$105,D2537)=0,"Not on Clients",IF(AND(F2537="",INT(B2537)&lt;TODAY()),"Needs a status","")))))</f>
        <v/>
      </c>
      <c r="I2537" s="1">
        <f>IF(ISNUMBER(B2537),INT(B2537),0)</f>
        <v/>
      </c>
      <c r="J2537">
        <f>IF(ISNUMBER(B2537),YEAR(B2537)*100+MONTH(B2537),"")</f>
        <v/>
      </c>
      <c r="K2537">
        <f>IF(AND(H2537="",OR(F2537="Attended",F2537="No-show",AND(F2537="Late cancel",Settings!$C$9="Yes"))),1,0)</f>
        <v/>
      </c>
      <c r="L2537">
        <f>IF(AND(H2537="",F2537="Attended"),1,0)</f>
        <v/>
      </c>
      <c r="M2537">
        <f>IF(AND(H2537="",OR(F2537="No-show",F2537="Late cancel")),1,0)</f>
        <v/>
      </c>
      <c r="N2537">
        <f>IF(AND(H2537="",F2537="",D2537&lt;&gt;"",I2537&gt;=TODAY()),ROUND((I2537+IF(ISNUMBER(C2537),MOD(C2537,1),0))*1440,0)*10000+ROW(),"")</f>
        <v/>
      </c>
    </row>
    <row r="2538">
      <c r="A2538" s="1" t="n"/>
      <c r="B2538" s="17" t="n"/>
      <c r="C2538" s="18" t="n"/>
      <c r="D2538" s="19" t="n"/>
      <c r="E2538" s="20" t="n"/>
      <c r="F2538" s="20" t="n"/>
      <c r="G2538" s="21" t="n"/>
      <c r="H2538" s="12">
        <f>IF(AND(B2538="",D2538="",F2538=""),"",IF(NOT(ISNUMBER(B2538)),"Needs a date",IF(D2538="","Needs a client",IF(COUNTIF(Clients!$B$6:$B$105,D2538)=0,"Not on Clients",IF(AND(F2538="",INT(B2538)&lt;TODAY()),"Needs a status","")))))</f>
        <v/>
      </c>
      <c r="I2538" s="1">
        <f>IF(ISNUMBER(B2538),INT(B2538),0)</f>
        <v/>
      </c>
      <c r="J2538">
        <f>IF(ISNUMBER(B2538),YEAR(B2538)*100+MONTH(B2538),"")</f>
        <v/>
      </c>
      <c r="K2538">
        <f>IF(AND(H2538="",OR(F2538="Attended",F2538="No-show",AND(F2538="Late cancel",Settings!$C$9="Yes"))),1,0)</f>
        <v/>
      </c>
      <c r="L2538">
        <f>IF(AND(H2538="",F2538="Attended"),1,0)</f>
        <v/>
      </c>
      <c r="M2538">
        <f>IF(AND(H2538="",OR(F2538="No-show",F2538="Late cancel")),1,0)</f>
        <v/>
      </c>
      <c r="N2538">
        <f>IF(AND(H2538="",F2538="",D2538&lt;&gt;"",I2538&gt;=TODAY()),ROUND((I2538+IF(ISNUMBER(C2538),MOD(C2538,1),0))*1440,0)*10000+ROW(),"")</f>
        <v/>
      </c>
    </row>
    <row r="2539">
      <c r="A2539" s="1" t="n"/>
      <c r="B2539" s="17" t="n"/>
      <c r="C2539" s="18" t="n"/>
      <c r="D2539" s="19" t="n"/>
      <c r="E2539" s="20" t="n"/>
      <c r="F2539" s="20" t="n"/>
      <c r="G2539" s="21" t="n"/>
      <c r="H2539" s="12">
        <f>IF(AND(B2539="",D2539="",F2539=""),"",IF(NOT(ISNUMBER(B2539)),"Needs a date",IF(D2539="","Needs a client",IF(COUNTIF(Clients!$B$6:$B$105,D2539)=0,"Not on Clients",IF(AND(F2539="",INT(B2539)&lt;TODAY()),"Needs a status","")))))</f>
        <v/>
      </c>
      <c r="I2539" s="1">
        <f>IF(ISNUMBER(B2539),INT(B2539),0)</f>
        <v/>
      </c>
      <c r="J2539">
        <f>IF(ISNUMBER(B2539),YEAR(B2539)*100+MONTH(B2539),"")</f>
        <v/>
      </c>
      <c r="K2539">
        <f>IF(AND(H2539="",OR(F2539="Attended",F2539="No-show",AND(F2539="Late cancel",Settings!$C$9="Yes"))),1,0)</f>
        <v/>
      </c>
      <c r="L2539">
        <f>IF(AND(H2539="",F2539="Attended"),1,0)</f>
        <v/>
      </c>
      <c r="M2539">
        <f>IF(AND(H2539="",OR(F2539="No-show",F2539="Late cancel")),1,0)</f>
        <v/>
      </c>
      <c r="N2539">
        <f>IF(AND(H2539="",F2539="",D2539&lt;&gt;"",I2539&gt;=TODAY()),ROUND((I2539+IF(ISNUMBER(C2539),MOD(C2539,1),0))*1440,0)*10000+ROW(),"")</f>
        <v/>
      </c>
    </row>
    <row r="2540">
      <c r="A2540" s="1" t="n"/>
      <c r="B2540" s="17" t="n"/>
      <c r="C2540" s="18" t="n"/>
      <c r="D2540" s="19" t="n"/>
      <c r="E2540" s="20" t="n"/>
      <c r="F2540" s="20" t="n"/>
      <c r="G2540" s="21" t="n"/>
      <c r="H2540" s="12">
        <f>IF(AND(B2540="",D2540="",F2540=""),"",IF(NOT(ISNUMBER(B2540)),"Needs a date",IF(D2540="","Needs a client",IF(COUNTIF(Clients!$B$6:$B$105,D2540)=0,"Not on Clients",IF(AND(F2540="",INT(B2540)&lt;TODAY()),"Needs a status","")))))</f>
        <v/>
      </c>
      <c r="I2540" s="1">
        <f>IF(ISNUMBER(B2540),INT(B2540),0)</f>
        <v/>
      </c>
      <c r="J2540">
        <f>IF(ISNUMBER(B2540),YEAR(B2540)*100+MONTH(B2540),"")</f>
        <v/>
      </c>
      <c r="K2540">
        <f>IF(AND(H2540="",OR(F2540="Attended",F2540="No-show",AND(F2540="Late cancel",Settings!$C$9="Yes"))),1,0)</f>
        <v/>
      </c>
      <c r="L2540">
        <f>IF(AND(H2540="",F2540="Attended"),1,0)</f>
        <v/>
      </c>
      <c r="M2540">
        <f>IF(AND(H2540="",OR(F2540="No-show",F2540="Late cancel")),1,0)</f>
        <v/>
      </c>
      <c r="N2540">
        <f>IF(AND(H2540="",F2540="",D2540&lt;&gt;"",I2540&gt;=TODAY()),ROUND((I2540+IF(ISNUMBER(C2540),MOD(C2540,1),0))*1440,0)*10000+ROW(),"")</f>
        <v/>
      </c>
    </row>
    <row r="2541">
      <c r="A2541" s="1" t="n"/>
      <c r="B2541" s="17" t="n"/>
      <c r="C2541" s="18" t="n"/>
      <c r="D2541" s="19" t="n"/>
      <c r="E2541" s="20" t="n"/>
      <c r="F2541" s="20" t="n"/>
      <c r="G2541" s="21" t="n"/>
      <c r="H2541" s="12">
        <f>IF(AND(B2541="",D2541="",F2541=""),"",IF(NOT(ISNUMBER(B2541)),"Needs a date",IF(D2541="","Needs a client",IF(COUNTIF(Clients!$B$6:$B$105,D2541)=0,"Not on Clients",IF(AND(F2541="",INT(B2541)&lt;TODAY()),"Needs a status","")))))</f>
        <v/>
      </c>
      <c r="I2541" s="1">
        <f>IF(ISNUMBER(B2541),INT(B2541),0)</f>
        <v/>
      </c>
      <c r="J2541">
        <f>IF(ISNUMBER(B2541),YEAR(B2541)*100+MONTH(B2541),"")</f>
        <v/>
      </c>
      <c r="K2541">
        <f>IF(AND(H2541="",OR(F2541="Attended",F2541="No-show",AND(F2541="Late cancel",Settings!$C$9="Yes"))),1,0)</f>
        <v/>
      </c>
      <c r="L2541">
        <f>IF(AND(H2541="",F2541="Attended"),1,0)</f>
        <v/>
      </c>
      <c r="M2541">
        <f>IF(AND(H2541="",OR(F2541="No-show",F2541="Late cancel")),1,0)</f>
        <v/>
      </c>
      <c r="N2541">
        <f>IF(AND(H2541="",F2541="",D2541&lt;&gt;"",I2541&gt;=TODAY()),ROUND((I2541+IF(ISNUMBER(C2541),MOD(C2541,1),0))*1440,0)*10000+ROW(),"")</f>
        <v/>
      </c>
    </row>
    <row r="2542">
      <c r="A2542" s="1" t="n"/>
      <c r="B2542" s="17" t="n"/>
      <c r="C2542" s="18" t="n"/>
      <c r="D2542" s="19" t="n"/>
      <c r="E2542" s="20" t="n"/>
      <c r="F2542" s="20" t="n"/>
      <c r="G2542" s="21" t="n"/>
      <c r="H2542" s="12">
        <f>IF(AND(B2542="",D2542="",F2542=""),"",IF(NOT(ISNUMBER(B2542)),"Needs a date",IF(D2542="","Needs a client",IF(COUNTIF(Clients!$B$6:$B$105,D2542)=0,"Not on Clients",IF(AND(F2542="",INT(B2542)&lt;TODAY()),"Needs a status","")))))</f>
        <v/>
      </c>
      <c r="I2542" s="1">
        <f>IF(ISNUMBER(B2542),INT(B2542),0)</f>
        <v/>
      </c>
      <c r="J2542">
        <f>IF(ISNUMBER(B2542),YEAR(B2542)*100+MONTH(B2542),"")</f>
        <v/>
      </c>
      <c r="K2542">
        <f>IF(AND(H2542="",OR(F2542="Attended",F2542="No-show",AND(F2542="Late cancel",Settings!$C$9="Yes"))),1,0)</f>
        <v/>
      </c>
      <c r="L2542">
        <f>IF(AND(H2542="",F2542="Attended"),1,0)</f>
        <v/>
      </c>
      <c r="M2542">
        <f>IF(AND(H2542="",OR(F2542="No-show",F2542="Late cancel")),1,0)</f>
        <v/>
      </c>
      <c r="N2542">
        <f>IF(AND(H2542="",F2542="",D2542&lt;&gt;"",I2542&gt;=TODAY()),ROUND((I2542+IF(ISNUMBER(C2542),MOD(C2542,1),0))*1440,0)*10000+ROW(),"")</f>
        <v/>
      </c>
    </row>
    <row r="2543">
      <c r="A2543" s="1" t="n"/>
      <c r="B2543" s="17" t="n"/>
      <c r="C2543" s="18" t="n"/>
      <c r="D2543" s="19" t="n"/>
      <c r="E2543" s="20" t="n"/>
      <c r="F2543" s="20" t="n"/>
      <c r="G2543" s="21" t="n"/>
      <c r="H2543" s="12">
        <f>IF(AND(B2543="",D2543="",F2543=""),"",IF(NOT(ISNUMBER(B2543)),"Needs a date",IF(D2543="","Needs a client",IF(COUNTIF(Clients!$B$6:$B$105,D2543)=0,"Not on Clients",IF(AND(F2543="",INT(B2543)&lt;TODAY()),"Needs a status","")))))</f>
        <v/>
      </c>
      <c r="I2543" s="1">
        <f>IF(ISNUMBER(B2543),INT(B2543),0)</f>
        <v/>
      </c>
      <c r="J2543">
        <f>IF(ISNUMBER(B2543),YEAR(B2543)*100+MONTH(B2543),"")</f>
        <v/>
      </c>
      <c r="K2543">
        <f>IF(AND(H2543="",OR(F2543="Attended",F2543="No-show",AND(F2543="Late cancel",Settings!$C$9="Yes"))),1,0)</f>
        <v/>
      </c>
      <c r="L2543">
        <f>IF(AND(H2543="",F2543="Attended"),1,0)</f>
        <v/>
      </c>
      <c r="M2543">
        <f>IF(AND(H2543="",OR(F2543="No-show",F2543="Late cancel")),1,0)</f>
        <v/>
      </c>
      <c r="N2543">
        <f>IF(AND(H2543="",F2543="",D2543&lt;&gt;"",I2543&gt;=TODAY()),ROUND((I2543+IF(ISNUMBER(C2543),MOD(C2543,1),0))*1440,0)*10000+ROW(),"")</f>
        <v/>
      </c>
    </row>
    <row r="2544">
      <c r="A2544" s="1" t="n"/>
      <c r="B2544" s="17" t="n"/>
      <c r="C2544" s="18" t="n"/>
      <c r="D2544" s="19" t="n"/>
      <c r="E2544" s="20" t="n"/>
      <c r="F2544" s="20" t="n"/>
      <c r="G2544" s="21" t="n"/>
      <c r="H2544" s="12">
        <f>IF(AND(B2544="",D2544="",F2544=""),"",IF(NOT(ISNUMBER(B2544)),"Needs a date",IF(D2544="","Needs a client",IF(COUNTIF(Clients!$B$6:$B$105,D2544)=0,"Not on Clients",IF(AND(F2544="",INT(B2544)&lt;TODAY()),"Needs a status","")))))</f>
        <v/>
      </c>
      <c r="I2544" s="1">
        <f>IF(ISNUMBER(B2544),INT(B2544),0)</f>
        <v/>
      </c>
      <c r="J2544">
        <f>IF(ISNUMBER(B2544),YEAR(B2544)*100+MONTH(B2544),"")</f>
        <v/>
      </c>
      <c r="K2544">
        <f>IF(AND(H2544="",OR(F2544="Attended",F2544="No-show",AND(F2544="Late cancel",Settings!$C$9="Yes"))),1,0)</f>
        <v/>
      </c>
      <c r="L2544">
        <f>IF(AND(H2544="",F2544="Attended"),1,0)</f>
        <v/>
      </c>
      <c r="M2544">
        <f>IF(AND(H2544="",OR(F2544="No-show",F2544="Late cancel")),1,0)</f>
        <v/>
      </c>
      <c r="N2544">
        <f>IF(AND(H2544="",F2544="",D2544&lt;&gt;"",I2544&gt;=TODAY()),ROUND((I2544+IF(ISNUMBER(C2544),MOD(C2544,1),0))*1440,0)*10000+ROW(),"")</f>
        <v/>
      </c>
    </row>
    <row r="2545">
      <c r="A2545" s="1" t="n"/>
      <c r="B2545" s="17" t="n"/>
      <c r="C2545" s="18" t="n"/>
      <c r="D2545" s="19" t="n"/>
      <c r="E2545" s="20" t="n"/>
      <c r="F2545" s="20" t="n"/>
      <c r="G2545" s="21" t="n"/>
      <c r="H2545" s="12">
        <f>IF(AND(B2545="",D2545="",F2545=""),"",IF(NOT(ISNUMBER(B2545)),"Needs a date",IF(D2545="","Needs a client",IF(COUNTIF(Clients!$B$6:$B$105,D2545)=0,"Not on Clients",IF(AND(F2545="",INT(B2545)&lt;TODAY()),"Needs a status","")))))</f>
        <v/>
      </c>
      <c r="I2545" s="1">
        <f>IF(ISNUMBER(B2545),INT(B2545),0)</f>
        <v/>
      </c>
      <c r="J2545">
        <f>IF(ISNUMBER(B2545),YEAR(B2545)*100+MONTH(B2545),"")</f>
        <v/>
      </c>
      <c r="K2545">
        <f>IF(AND(H2545="",OR(F2545="Attended",F2545="No-show",AND(F2545="Late cancel",Settings!$C$9="Yes"))),1,0)</f>
        <v/>
      </c>
      <c r="L2545">
        <f>IF(AND(H2545="",F2545="Attended"),1,0)</f>
        <v/>
      </c>
      <c r="M2545">
        <f>IF(AND(H2545="",OR(F2545="No-show",F2545="Late cancel")),1,0)</f>
        <v/>
      </c>
      <c r="N2545">
        <f>IF(AND(H2545="",F2545="",D2545&lt;&gt;"",I2545&gt;=TODAY()),ROUND((I2545+IF(ISNUMBER(C2545),MOD(C2545,1),0))*1440,0)*10000+ROW(),"")</f>
        <v/>
      </c>
    </row>
    <row r="2546">
      <c r="A2546" s="1" t="n"/>
      <c r="B2546" s="17" t="n"/>
      <c r="C2546" s="18" t="n"/>
      <c r="D2546" s="19" t="n"/>
      <c r="E2546" s="20" t="n"/>
      <c r="F2546" s="20" t="n"/>
      <c r="G2546" s="21" t="n"/>
      <c r="H2546" s="12">
        <f>IF(AND(B2546="",D2546="",F2546=""),"",IF(NOT(ISNUMBER(B2546)),"Needs a date",IF(D2546="","Needs a client",IF(COUNTIF(Clients!$B$6:$B$105,D2546)=0,"Not on Clients",IF(AND(F2546="",INT(B2546)&lt;TODAY()),"Needs a status","")))))</f>
        <v/>
      </c>
      <c r="I2546" s="1">
        <f>IF(ISNUMBER(B2546),INT(B2546),0)</f>
        <v/>
      </c>
      <c r="J2546">
        <f>IF(ISNUMBER(B2546),YEAR(B2546)*100+MONTH(B2546),"")</f>
        <v/>
      </c>
      <c r="K2546">
        <f>IF(AND(H2546="",OR(F2546="Attended",F2546="No-show",AND(F2546="Late cancel",Settings!$C$9="Yes"))),1,0)</f>
        <v/>
      </c>
      <c r="L2546">
        <f>IF(AND(H2546="",F2546="Attended"),1,0)</f>
        <v/>
      </c>
      <c r="M2546">
        <f>IF(AND(H2546="",OR(F2546="No-show",F2546="Late cancel")),1,0)</f>
        <v/>
      </c>
      <c r="N2546">
        <f>IF(AND(H2546="",F2546="",D2546&lt;&gt;"",I2546&gt;=TODAY()),ROUND((I2546+IF(ISNUMBER(C2546),MOD(C2546,1),0))*1440,0)*10000+ROW(),"")</f>
        <v/>
      </c>
    </row>
    <row r="2547">
      <c r="A2547" s="1" t="n"/>
      <c r="B2547" s="17" t="n"/>
      <c r="C2547" s="18" t="n"/>
      <c r="D2547" s="19" t="n"/>
      <c r="E2547" s="20" t="n"/>
      <c r="F2547" s="20" t="n"/>
      <c r="G2547" s="21" t="n"/>
      <c r="H2547" s="12">
        <f>IF(AND(B2547="",D2547="",F2547=""),"",IF(NOT(ISNUMBER(B2547)),"Needs a date",IF(D2547="","Needs a client",IF(COUNTIF(Clients!$B$6:$B$105,D2547)=0,"Not on Clients",IF(AND(F2547="",INT(B2547)&lt;TODAY()),"Needs a status","")))))</f>
        <v/>
      </c>
      <c r="I2547" s="1">
        <f>IF(ISNUMBER(B2547),INT(B2547),0)</f>
        <v/>
      </c>
      <c r="J2547">
        <f>IF(ISNUMBER(B2547),YEAR(B2547)*100+MONTH(B2547),"")</f>
        <v/>
      </c>
      <c r="K2547">
        <f>IF(AND(H2547="",OR(F2547="Attended",F2547="No-show",AND(F2547="Late cancel",Settings!$C$9="Yes"))),1,0)</f>
        <v/>
      </c>
      <c r="L2547">
        <f>IF(AND(H2547="",F2547="Attended"),1,0)</f>
        <v/>
      </c>
      <c r="M2547">
        <f>IF(AND(H2547="",OR(F2547="No-show",F2547="Late cancel")),1,0)</f>
        <v/>
      </c>
      <c r="N2547">
        <f>IF(AND(H2547="",F2547="",D2547&lt;&gt;"",I2547&gt;=TODAY()),ROUND((I2547+IF(ISNUMBER(C2547),MOD(C2547,1),0))*1440,0)*10000+ROW(),"")</f>
        <v/>
      </c>
    </row>
    <row r="2548">
      <c r="A2548" s="1" t="n"/>
      <c r="B2548" s="17" t="n"/>
      <c r="C2548" s="18" t="n"/>
      <c r="D2548" s="19" t="n"/>
      <c r="E2548" s="20" t="n"/>
      <c r="F2548" s="20" t="n"/>
      <c r="G2548" s="21" t="n"/>
      <c r="H2548" s="12">
        <f>IF(AND(B2548="",D2548="",F2548=""),"",IF(NOT(ISNUMBER(B2548)),"Needs a date",IF(D2548="","Needs a client",IF(COUNTIF(Clients!$B$6:$B$105,D2548)=0,"Not on Clients",IF(AND(F2548="",INT(B2548)&lt;TODAY()),"Needs a status","")))))</f>
        <v/>
      </c>
      <c r="I2548" s="1">
        <f>IF(ISNUMBER(B2548),INT(B2548),0)</f>
        <v/>
      </c>
      <c r="J2548">
        <f>IF(ISNUMBER(B2548),YEAR(B2548)*100+MONTH(B2548),"")</f>
        <v/>
      </c>
      <c r="K2548">
        <f>IF(AND(H2548="",OR(F2548="Attended",F2548="No-show",AND(F2548="Late cancel",Settings!$C$9="Yes"))),1,0)</f>
        <v/>
      </c>
      <c r="L2548">
        <f>IF(AND(H2548="",F2548="Attended"),1,0)</f>
        <v/>
      </c>
      <c r="M2548">
        <f>IF(AND(H2548="",OR(F2548="No-show",F2548="Late cancel")),1,0)</f>
        <v/>
      </c>
      <c r="N2548">
        <f>IF(AND(H2548="",F2548="",D2548&lt;&gt;"",I2548&gt;=TODAY()),ROUND((I2548+IF(ISNUMBER(C2548),MOD(C2548,1),0))*1440,0)*10000+ROW(),"")</f>
        <v/>
      </c>
    </row>
    <row r="2549">
      <c r="A2549" s="1" t="n"/>
      <c r="B2549" s="17" t="n"/>
      <c r="C2549" s="18" t="n"/>
      <c r="D2549" s="19" t="n"/>
      <c r="E2549" s="20" t="n"/>
      <c r="F2549" s="20" t="n"/>
      <c r="G2549" s="21" t="n"/>
      <c r="H2549" s="12">
        <f>IF(AND(B2549="",D2549="",F2549=""),"",IF(NOT(ISNUMBER(B2549)),"Needs a date",IF(D2549="","Needs a client",IF(COUNTIF(Clients!$B$6:$B$105,D2549)=0,"Not on Clients",IF(AND(F2549="",INT(B2549)&lt;TODAY()),"Needs a status","")))))</f>
        <v/>
      </c>
      <c r="I2549" s="1">
        <f>IF(ISNUMBER(B2549),INT(B2549),0)</f>
        <v/>
      </c>
      <c r="J2549">
        <f>IF(ISNUMBER(B2549),YEAR(B2549)*100+MONTH(B2549),"")</f>
        <v/>
      </c>
      <c r="K2549">
        <f>IF(AND(H2549="",OR(F2549="Attended",F2549="No-show",AND(F2549="Late cancel",Settings!$C$9="Yes"))),1,0)</f>
        <v/>
      </c>
      <c r="L2549">
        <f>IF(AND(H2549="",F2549="Attended"),1,0)</f>
        <v/>
      </c>
      <c r="M2549">
        <f>IF(AND(H2549="",OR(F2549="No-show",F2549="Late cancel")),1,0)</f>
        <v/>
      </c>
      <c r="N2549">
        <f>IF(AND(H2549="",F2549="",D2549&lt;&gt;"",I2549&gt;=TODAY()),ROUND((I2549+IF(ISNUMBER(C2549),MOD(C2549,1),0))*1440,0)*10000+ROW(),"")</f>
        <v/>
      </c>
    </row>
    <row r="2550">
      <c r="A2550" s="1" t="n"/>
      <c r="B2550" s="17" t="n"/>
      <c r="C2550" s="18" t="n"/>
      <c r="D2550" s="19" t="n"/>
      <c r="E2550" s="20" t="n"/>
      <c r="F2550" s="20" t="n"/>
      <c r="G2550" s="21" t="n"/>
      <c r="H2550" s="12">
        <f>IF(AND(B2550="",D2550="",F2550=""),"",IF(NOT(ISNUMBER(B2550)),"Needs a date",IF(D2550="","Needs a client",IF(COUNTIF(Clients!$B$6:$B$105,D2550)=0,"Not on Clients",IF(AND(F2550="",INT(B2550)&lt;TODAY()),"Needs a status","")))))</f>
        <v/>
      </c>
      <c r="I2550" s="1">
        <f>IF(ISNUMBER(B2550),INT(B2550),0)</f>
        <v/>
      </c>
      <c r="J2550">
        <f>IF(ISNUMBER(B2550),YEAR(B2550)*100+MONTH(B2550),"")</f>
        <v/>
      </c>
      <c r="K2550">
        <f>IF(AND(H2550="",OR(F2550="Attended",F2550="No-show",AND(F2550="Late cancel",Settings!$C$9="Yes"))),1,0)</f>
        <v/>
      </c>
      <c r="L2550">
        <f>IF(AND(H2550="",F2550="Attended"),1,0)</f>
        <v/>
      </c>
      <c r="M2550">
        <f>IF(AND(H2550="",OR(F2550="No-show",F2550="Late cancel")),1,0)</f>
        <v/>
      </c>
      <c r="N2550">
        <f>IF(AND(H2550="",F2550="",D2550&lt;&gt;"",I2550&gt;=TODAY()),ROUND((I2550+IF(ISNUMBER(C2550),MOD(C2550,1),0))*1440,0)*10000+ROW(),"")</f>
        <v/>
      </c>
    </row>
    <row r="2551">
      <c r="A2551" s="1" t="n"/>
      <c r="B2551" s="17" t="n"/>
      <c r="C2551" s="18" t="n"/>
      <c r="D2551" s="19" t="n"/>
      <c r="E2551" s="20" t="n"/>
      <c r="F2551" s="20" t="n"/>
      <c r="G2551" s="21" t="n"/>
      <c r="H2551" s="12">
        <f>IF(AND(B2551="",D2551="",F2551=""),"",IF(NOT(ISNUMBER(B2551)),"Needs a date",IF(D2551="","Needs a client",IF(COUNTIF(Clients!$B$6:$B$105,D2551)=0,"Not on Clients",IF(AND(F2551="",INT(B2551)&lt;TODAY()),"Needs a status","")))))</f>
        <v/>
      </c>
      <c r="I2551" s="1">
        <f>IF(ISNUMBER(B2551),INT(B2551),0)</f>
        <v/>
      </c>
      <c r="J2551">
        <f>IF(ISNUMBER(B2551),YEAR(B2551)*100+MONTH(B2551),"")</f>
        <v/>
      </c>
      <c r="K2551">
        <f>IF(AND(H2551="",OR(F2551="Attended",F2551="No-show",AND(F2551="Late cancel",Settings!$C$9="Yes"))),1,0)</f>
        <v/>
      </c>
      <c r="L2551">
        <f>IF(AND(H2551="",F2551="Attended"),1,0)</f>
        <v/>
      </c>
      <c r="M2551">
        <f>IF(AND(H2551="",OR(F2551="No-show",F2551="Late cancel")),1,0)</f>
        <v/>
      </c>
      <c r="N2551">
        <f>IF(AND(H2551="",F2551="",D2551&lt;&gt;"",I2551&gt;=TODAY()),ROUND((I2551+IF(ISNUMBER(C2551),MOD(C2551,1),0))*1440,0)*10000+ROW(),"")</f>
        <v/>
      </c>
    </row>
    <row r="2552">
      <c r="A2552" s="1" t="n"/>
      <c r="B2552" s="17" t="n"/>
      <c r="C2552" s="18" t="n"/>
      <c r="D2552" s="19" t="n"/>
      <c r="E2552" s="20" t="n"/>
      <c r="F2552" s="20" t="n"/>
      <c r="G2552" s="21" t="n"/>
      <c r="H2552" s="12">
        <f>IF(AND(B2552="",D2552="",F2552=""),"",IF(NOT(ISNUMBER(B2552)),"Needs a date",IF(D2552="","Needs a client",IF(COUNTIF(Clients!$B$6:$B$105,D2552)=0,"Not on Clients",IF(AND(F2552="",INT(B2552)&lt;TODAY()),"Needs a status","")))))</f>
        <v/>
      </c>
      <c r="I2552" s="1">
        <f>IF(ISNUMBER(B2552),INT(B2552),0)</f>
        <v/>
      </c>
      <c r="J2552">
        <f>IF(ISNUMBER(B2552),YEAR(B2552)*100+MONTH(B2552),"")</f>
        <v/>
      </c>
      <c r="K2552">
        <f>IF(AND(H2552="",OR(F2552="Attended",F2552="No-show",AND(F2552="Late cancel",Settings!$C$9="Yes"))),1,0)</f>
        <v/>
      </c>
      <c r="L2552">
        <f>IF(AND(H2552="",F2552="Attended"),1,0)</f>
        <v/>
      </c>
      <c r="M2552">
        <f>IF(AND(H2552="",OR(F2552="No-show",F2552="Late cancel")),1,0)</f>
        <v/>
      </c>
      <c r="N2552">
        <f>IF(AND(H2552="",F2552="",D2552&lt;&gt;"",I2552&gt;=TODAY()),ROUND((I2552+IF(ISNUMBER(C2552),MOD(C2552,1),0))*1440,0)*10000+ROW(),"")</f>
        <v/>
      </c>
    </row>
    <row r="2553">
      <c r="A2553" s="1" t="n"/>
      <c r="B2553" s="17" t="n"/>
      <c r="C2553" s="18" t="n"/>
      <c r="D2553" s="19" t="n"/>
      <c r="E2553" s="20" t="n"/>
      <c r="F2553" s="20" t="n"/>
      <c r="G2553" s="21" t="n"/>
      <c r="H2553" s="12">
        <f>IF(AND(B2553="",D2553="",F2553=""),"",IF(NOT(ISNUMBER(B2553)),"Needs a date",IF(D2553="","Needs a client",IF(COUNTIF(Clients!$B$6:$B$105,D2553)=0,"Not on Clients",IF(AND(F2553="",INT(B2553)&lt;TODAY()),"Needs a status","")))))</f>
        <v/>
      </c>
      <c r="I2553" s="1">
        <f>IF(ISNUMBER(B2553),INT(B2553),0)</f>
        <v/>
      </c>
      <c r="J2553">
        <f>IF(ISNUMBER(B2553),YEAR(B2553)*100+MONTH(B2553),"")</f>
        <v/>
      </c>
      <c r="K2553">
        <f>IF(AND(H2553="",OR(F2553="Attended",F2553="No-show",AND(F2553="Late cancel",Settings!$C$9="Yes"))),1,0)</f>
        <v/>
      </c>
      <c r="L2553">
        <f>IF(AND(H2553="",F2553="Attended"),1,0)</f>
        <v/>
      </c>
      <c r="M2553">
        <f>IF(AND(H2553="",OR(F2553="No-show",F2553="Late cancel")),1,0)</f>
        <v/>
      </c>
      <c r="N2553">
        <f>IF(AND(H2553="",F2553="",D2553&lt;&gt;"",I2553&gt;=TODAY()),ROUND((I2553+IF(ISNUMBER(C2553),MOD(C2553,1),0))*1440,0)*10000+ROW(),"")</f>
        <v/>
      </c>
    </row>
    <row r="2554">
      <c r="A2554" s="1" t="n"/>
      <c r="B2554" s="17" t="n"/>
      <c r="C2554" s="18" t="n"/>
      <c r="D2554" s="19" t="n"/>
      <c r="E2554" s="20" t="n"/>
      <c r="F2554" s="20" t="n"/>
      <c r="G2554" s="21" t="n"/>
      <c r="H2554" s="12">
        <f>IF(AND(B2554="",D2554="",F2554=""),"",IF(NOT(ISNUMBER(B2554)),"Needs a date",IF(D2554="","Needs a client",IF(COUNTIF(Clients!$B$6:$B$105,D2554)=0,"Not on Clients",IF(AND(F2554="",INT(B2554)&lt;TODAY()),"Needs a status","")))))</f>
        <v/>
      </c>
      <c r="I2554" s="1">
        <f>IF(ISNUMBER(B2554),INT(B2554),0)</f>
        <v/>
      </c>
      <c r="J2554">
        <f>IF(ISNUMBER(B2554),YEAR(B2554)*100+MONTH(B2554),"")</f>
        <v/>
      </c>
      <c r="K2554">
        <f>IF(AND(H2554="",OR(F2554="Attended",F2554="No-show",AND(F2554="Late cancel",Settings!$C$9="Yes"))),1,0)</f>
        <v/>
      </c>
      <c r="L2554">
        <f>IF(AND(H2554="",F2554="Attended"),1,0)</f>
        <v/>
      </c>
      <c r="M2554">
        <f>IF(AND(H2554="",OR(F2554="No-show",F2554="Late cancel")),1,0)</f>
        <v/>
      </c>
      <c r="N2554">
        <f>IF(AND(H2554="",F2554="",D2554&lt;&gt;"",I2554&gt;=TODAY()),ROUND((I2554+IF(ISNUMBER(C2554),MOD(C2554,1),0))*1440,0)*10000+ROW(),"")</f>
        <v/>
      </c>
    </row>
    <row r="2555">
      <c r="A2555" s="1" t="n"/>
      <c r="B2555" s="17" t="n"/>
      <c r="C2555" s="18" t="n"/>
      <c r="D2555" s="19" t="n"/>
      <c r="E2555" s="20" t="n"/>
      <c r="F2555" s="20" t="n"/>
      <c r="G2555" s="21" t="n"/>
      <c r="H2555" s="12">
        <f>IF(AND(B2555="",D2555="",F2555=""),"",IF(NOT(ISNUMBER(B2555)),"Needs a date",IF(D2555="","Needs a client",IF(COUNTIF(Clients!$B$6:$B$105,D2555)=0,"Not on Clients",IF(AND(F2555="",INT(B2555)&lt;TODAY()),"Needs a status","")))))</f>
        <v/>
      </c>
      <c r="I2555" s="1">
        <f>IF(ISNUMBER(B2555),INT(B2555),0)</f>
        <v/>
      </c>
      <c r="J2555">
        <f>IF(ISNUMBER(B2555),YEAR(B2555)*100+MONTH(B2555),"")</f>
        <v/>
      </c>
      <c r="K2555">
        <f>IF(AND(H2555="",OR(F2555="Attended",F2555="No-show",AND(F2555="Late cancel",Settings!$C$9="Yes"))),1,0)</f>
        <v/>
      </c>
      <c r="L2555">
        <f>IF(AND(H2555="",F2555="Attended"),1,0)</f>
        <v/>
      </c>
      <c r="M2555">
        <f>IF(AND(H2555="",OR(F2555="No-show",F2555="Late cancel")),1,0)</f>
        <v/>
      </c>
      <c r="N2555">
        <f>IF(AND(H2555="",F2555="",D2555&lt;&gt;"",I2555&gt;=TODAY()),ROUND((I2555+IF(ISNUMBER(C2555),MOD(C2555,1),0))*1440,0)*10000+ROW(),"")</f>
        <v/>
      </c>
    </row>
    <row r="2556">
      <c r="A2556" s="1" t="n"/>
      <c r="B2556" s="17" t="n"/>
      <c r="C2556" s="18" t="n"/>
      <c r="D2556" s="19" t="n"/>
      <c r="E2556" s="20" t="n"/>
      <c r="F2556" s="20" t="n"/>
      <c r="G2556" s="21" t="n"/>
      <c r="H2556" s="12">
        <f>IF(AND(B2556="",D2556="",F2556=""),"",IF(NOT(ISNUMBER(B2556)),"Needs a date",IF(D2556="","Needs a client",IF(COUNTIF(Clients!$B$6:$B$105,D2556)=0,"Not on Clients",IF(AND(F2556="",INT(B2556)&lt;TODAY()),"Needs a status","")))))</f>
        <v/>
      </c>
      <c r="I2556" s="1">
        <f>IF(ISNUMBER(B2556),INT(B2556),0)</f>
        <v/>
      </c>
      <c r="J2556">
        <f>IF(ISNUMBER(B2556),YEAR(B2556)*100+MONTH(B2556),"")</f>
        <v/>
      </c>
      <c r="K2556">
        <f>IF(AND(H2556="",OR(F2556="Attended",F2556="No-show",AND(F2556="Late cancel",Settings!$C$9="Yes"))),1,0)</f>
        <v/>
      </c>
      <c r="L2556">
        <f>IF(AND(H2556="",F2556="Attended"),1,0)</f>
        <v/>
      </c>
      <c r="M2556">
        <f>IF(AND(H2556="",OR(F2556="No-show",F2556="Late cancel")),1,0)</f>
        <v/>
      </c>
      <c r="N2556">
        <f>IF(AND(H2556="",F2556="",D2556&lt;&gt;"",I2556&gt;=TODAY()),ROUND((I2556+IF(ISNUMBER(C2556),MOD(C2556,1),0))*1440,0)*10000+ROW(),"")</f>
        <v/>
      </c>
    </row>
    <row r="2557">
      <c r="A2557" s="1" t="n"/>
      <c r="B2557" s="17" t="n"/>
      <c r="C2557" s="18" t="n"/>
      <c r="D2557" s="19" t="n"/>
      <c r="E2557" s="20" t="n"/>
      <c r="F2557" s="20" t="n"/>
      <c r="G2557" s="21" t="n"/>
      <c r="H2557" s="12">
        <f>IF(AND(B2557="",D2557="",F2557=""),"",IF(NOT(ISNUMBER(B2557)),"Needs a date",IF(D2557="","Needs a client",IF(COUNTIF(Clients!$B$6:$B$105,D2557)=0,"Not on Clients",IF(AND(F2557="",INT(B2557)&lt;TODAY()),"Needs a status","")))))</f>
        <v/>
      </c>
      <c r="I2557" s="1">
        <f>IF(ISNUMBER(B2557),INT(B2557),0)</f>
        <v/>
      </c>
      <c r="J2557">
        <f>IF(ISNUMBER(B2557),YEAR(B2557)*100+MONTH(B2557),"")</f>
        <v/>
      </c>
      <c r="K2557">
        <f>IF(AND(H2557="",OR(F2557="Attended",F2557="No-show",AND(F2557="Late cancel",Settings!$C$9="Yes"))),1,0)</f>
        <v/>
      </c>
      <c r="L2557">
        <f>IF(AND(H2557="",F2557="Attended"),1,0)</f>
        <v/>
      </c>
      <c r="M2557">
        <f>IF(AND(H2557="",OR(F2557="No-show",F2557="Late cancel")),1,0)</f>
        <v/>
      </c>
      <c r="N2557">
        <f>IF(AND(H2557="",F2557="",D2557&lt;&gt;"",I2557&gt;=TODAY()),ROUND((I2557+IF(ISNUMBER(C2557),MOD(C2557,1),0))*1440,0)*10000+ROW(),"")</f>
        <v/>
      </c>
    </row>
    <row r="2558">
      <c r="A2558" s="1" t="n"/>
      <c r="B2558" s="17" t="n"/>
      <c r="C2558" s="18" t="n"/>
      <c r="D2558" s="19" t="n"/>
      <c r="E2558" s="20" t="n"/>
      <c r="F2558" s="20" t="n"/>
      <c r="G2558" s="21" t="n"/>
      <c r="H2558" s="12">
        <f>IF(AND(B2558="",D2558="",F2558=""),"",IF(NOT(ISNUMBER(B2558)),"Needs a date",IF(D2558="","Needs a client",IF(COUNTIF(Clients!$B$6:$B$105,D2558)=0,"Not on Clients",IF(AND(F2558="",INT(B2558)&lt;TODAY()),"Needs a status","")))))</f>
        <v/>
      </c>
      <c r="I2558" s="1">
        <f>IF(ISNUMBER(B2558),INT(B2558),0)</f>
        <v/>
      </c>
      <c r="J2558">
        <f>IF(ISNUMBER(B2558),YEAR(B2558)*100+MONTH(B2558),"")</f>
        <v/>
      </c>
      <c r="K2558">
        <f>IF(AND(H2558="",OR(F2558="Attended",F2558="No-show",AND(F2558="Late cancel",Settings!$C$9="Yes"))),1,0)</f>
        <v/>
      </c>
      <c r="L2558">
        <f>IF(AND(H2558="",F2558="Attended"),1,0)</f>
        <v/>
      </c>
      <c r="M2558">
        <f>IF(AND(H2558="",OR(F2558="No-show",F2558="Late cancel")),1,0)</f>
        <v/>
      </c>
      <c r="N2558">
        <f>IF(AND(H2558="",F2558="",D2558&lt;&gt;"",I2558&gt;=TODAY()),ROUND((I2558+IF(ISNUMBER(C2558),MOD(C2558,1),0))*1440,0)*10000+ROW(),"")</f>
        <v/>
      </c>
    </row>
    <row r="2559">
      <c r="A2559" s="1" t="n"/>
      <c r="B2559" s="17" t="n"/>
      <c r="C2559" s="18" t="n"/>
      <c r="D2559" s="19" t="n"/>
      <c r="E2559" s="20" t="n"/>
      <c r="F2559" s="20" t="n"/>
      <c r="G2559" s="21" t="n"/>
      <c r="H2559" s="12">
        <f>IF(AND(B2559="",D2559="",F2559=""),"",IF(NOT(ISNUMBER(B2559)),"Needs a date",IF(D2559="","Needs a client",IF(COUNTIF(Clients!$B$6:$B$105,D2559)=0,"Not on Clients",IF(AND(F2559="",INT(B2559)&lt;TODAY()),"Needs a status","")))))</f>
        <v/>
      </c>
      <c r="I2559" s="1">
        <f>IF(ISNUMBER(B2559),INT(B2559),0)</f>
        <v/>
      </c>
      <c r="J2559">
        <f>IF(ISNUMBER(B2559),YEAR(B2559)*100+MONTH(B2559),"")</f>
        <v/>
      </c>
      <c r="K2559">
        <f>IF(AND(H2559="",OR(F2559="Attended",F2559="No-show",AND(F2559="Late cancel",Settings!$C$9="Yes"))),1,0)</f>
        <v/>
      </c>
      <c r="L2559">
        <f>IF(AND(H2559="",F2559="Attended"),1,0)</f>
        <v/>
      </c>
      <c r="M2559">
        <f>IF(AND(H2559="",OR(F2559="No-show",F2559="Late cancel")),1,0)</f>
        <v/>
      </c>
      <c r="N2559">
        <f>IF(AND(H2559="",F2559="",D2559&lt;&gt;"",I2559&gt;=TODAY()),ROUND((I2559+IF(ISNUMBER(C2559),MOD(C2559,1),0))*1440,0)*10000+ROW(),"")</f>
        <v/>
      </c>
    </row>
    <row r="2560">
      <c r="A2560" s="1" t="n"/>
      <c r="B2560" s="17" t="n"/>
      <c r="C2560" s="18" t="n"/>
      <c r="D2560" s="19" t="n"/>
      <c r="E2560" s="20" t="n"/>
      <c r="F2560" s="20" t="n"/>
      <c r="G2560" s="21" t="n"/>
      <c r="H2560" s="12">
        <f>IF(AND(B2560="",D2560="",F2560=""),"",IF(NOT(ISNUMBER(B2560)),"Needs a date",IF(D2560="","Needs a client",IF(COUNTIF(Clients!$B$6:$B$105,D2560)=0,"Not on Clients",IF(AND(F2560="",INT(B2560)&lt;TODAY()),"Needs a status","")))))</f>
        <v/>
      </c>
      <c r="I2560" s="1">
        <f>IF(ISNUMBER(B2560),INT(B2560),0)</f>
        <v/>
      </c>
      <c r="J2560">
        <f>IF(ISNUMBER(B2560),YEAR(B2560)*100+MONTH(B2560),"")</f>
        <v/>
      </c>
      <c r="K2560">
        <f>IF(AND(H2560="",OR(F2560="Attended",F2560="No-show",AND(F2560="Late cancel",Settings!$C$9="Yes"))),1,0)</f>
        <v/>
      </c>
      <c r="L2560">
        <f>IF(AND(H2560="",F2560="Attended"),1,0)</f>
        <v/>
      </c>
      <c r="M2560">
        <f>IF(AND(H2560="",OR(F2560="No-show",F2560="Late cancel")),1,0)</f>
        <v/>
      </c>
      <c r="N2560">
        <f>IF(AND(H2560="",F2560="",D2560&lt;&gt;"",I2560&gt;=TODAY()),ROUND((I2560+IF(ISNUMBER(C2560),MOD(C2560,1),0))*1440,0)*10000+ROW(),"")</f>
        <v/>
      </c>
    </row>
    <row r="2561">
      <c r="A2561" s="1" t="n"/>
      <c r="B2561" s="17" t="n"/>
      <c r="C2561" s="18" t="n"/>
      <c r="D2561" s="19" t="n"/>
      <c r="E2561" s="20" t="n"/>
      <c r="F2561" s="20" t="n"/>
      <c r="G2561" s="21" t="n"/>
      <c r="H2561" s="12">
        <f>IF(AND(B2561="",D2561="",F2561=""),"",IF(NOT(ISNUMBER(B2561)),"Needs a date",IF(D2561="","Needs a client",IF(COUNTIF(Clients!$B$6:$B$105,D2561)=0,"Not on Clients",IF(AND(F2561="",INT(B2561)&lt;TODAY()),"Needs a status","")))))</f>
        <v/>
      </c>
      <c r="I2561" s="1">
        <f>IF(ISNUMBER(B2561),INT(B2561),0)</f>
        <v/>
      </c>
      <c r="J2561">
        <f>IF(ISNUMBER(B2561),YEAR(B2561)*100+MONTH(B2561),"")</f>
        <v/>
      </c>
      <c r="K2561">
        <f>IF(AND(H2561="",OR(F2561="Attended",F2561="No-show",AND(F2561="Late cancel",Settings!$C$9="Yes"))),1,0)</f>
        <v/>
      </c>
      <c r="L2561">
        <f>IF(AND(H2561="",F2561="Attended"),1,0)</f>
        <v/>
      </c>
      <c r="M2561">
        <f>IF(AND(H2561="",OR(F2561="No-show",F2561="Late cancel")),1,0)</f>
        <v/>
      </c>
      <c r="N2561">
        <f>IF(AND(H2561="",F2561="",D2561&lt;&gt;"",I2561&gt;=TODAY()),ROUND((I2561+IF(ISNUMBER(C2561),MOD(C2561,1),0))*1440,0)*10000+ROW(),"")</f>
        <v/>
      </c>
    </row>
    <row r="2562">
      <c r="A2562" s="1" t="n"/>
      <c r="B2562" s="17" t="n"/>
      <c r="C2562" s="18" t="n"/>
      <c r="D2562" s="19" t="n"/>
      <c r="E2562" s="20" t="n"/>
      <c r="F2562" s="20" t="n"/>
      <c r="G2562" s="21" t="n"/>
      <c r="H2562" s="12">
        <f>IF(AND(B2562="",D2562="",F2562=""),"",IF(NOT(ISNUMBER(B2562)),"Needs a date",IF(D2562="","Needs a client",IF(COUNTIF(Clients!$B$6:$B$105,D2562)=0,"Not on Clients",IF(AND(F2562="",INT(B2562)&lt;TODAY()),"Needs a status","")))))</f>
        <v/>
      </c>
      <c r="I2562" s="1">
        <f>IF(ISNUMBER(B2562),INT(B2562),0)</f>
        <v/>
      </c>
      <c r="J2562">
        <f>IF(ISNUMBER(B2562),YEAR(B2562)*100+MONTH(B2562),"")</f>
        <v/>
      </c>
      <c r="K2562">
        <f>IF(AND(H2562="",OR(F2562="Attended",F2562="No-show",AND(F2562="Late cancel",Settings!$C$9="Yes"))),1,0)</f>
        <v/>
      </c>
      <c r="L2562">
        <f>IF(AND(H2562="",F2562="Attended"),1,0)</f>
        <v/>
      </c>
      <c r="M2562">
        <f>IF(AND(H2562="",OR(F2562="No-show",F2562="Late cancel")),1,0)</f>
        <v/>
      </c>
      <c r="N2562">
        <f>IF(AND(H2562="",F2562="",D2562&lt;&gt;"",I2562&gt;=TODAY()),ROUND((I2562+IF(ISNUMBER(C2562),MOD(C2562,1),0))*1440,0)*10000+ROW(),"")</f>
        <v/>
      </c>
    </row>
    <row r="2563">
      <c r="A2563" s="1" t="n"/>
      <c r="B2563" s="17" t="n"/>
      <c r="C2563" s="18" t="n"/>
      <c r="D2563" s="19" t="n"/>
      <c r="E2563" s="20" t="n"/>
      <c r="F2563" s="20" t="n"/>
      <c r="G2563" s="21" t="n"/>
      <c r="H2563" s="12">
        <f>IF(AND(B2563="",D2563="",F2563=""),"",IF(NOT(ISNUMBER(B2563)),"Needs a date",IF(D2563="","Needs a client",IF(COUNTIF(Clients!$B$6:$B$105,D2563)=0,"Not on Clients",IF(AND(F2563="",INT(B2563)&lt;TODAY()),"Needs a status","")))))</f>
        <v/>
      </c>
      <c r="I2563" s="1">
        <f>IF(ISNUMBER(B2563),INT(B2563),0)</f>
        <v/>
      </c>
      <c r="J2563">
        <f>IF(ISNUMBER(B2563),YEAR(B2563)*100+MONTH(B2563),"")</f>
        <v/>
      </c>
      <c r="K2563">
        <f>IF(AND(H2563="",OR(F2563="Attended",F2563="No-show",AND(F2563="Late cancel",Settings!$C$9="Yes"))),1,0)</f>
        <v/>
      </c>
      <c r="L2563">
        <f>IF(AND(H2563="",F2563="Attended"),1,0)</f>
        <v/>
      </c>
      <c r="M2563">
        <f>IF(AND(H2563="",OR(F2563="No-show",F2563="Late cancel")),1,0)</f>
        <v/>
      </c>
      <c r="N2563">
        <f>IF(AND(H2563="",F2563="",D2563&lt;&gt;"",I2563&gt;=TODAY()),ROUND((I2563+IF(ISNUMBER(C2563),MOD(C2563,1),0))*1440,0)*10000+ROW(),"")</f>
        <v/>
      </c>
    </row>
    <row r="2564">
      <c r="A2564" s="1" t="n"/>
      <c r="B2564" s="17" t="n"/>
      <c r="C2564" s="18" t="n"/>
      <c r="D2564" s="19" t="n"/>
      <c r="E2564" s="20" t="n"/>
      <c r="F2564" s="20" t="n"/>
      <c r="G2564" s="21" t="n"/>
      <c r="H2564" s="12">
        <f>IF(AND(B2564="",D2564="",F2564=""),"",IF(NOT(ISNUMBER(B2564)),"Needs a date",IF(D2564="","Needs a client",IF(COUNTIF(Clients!$B$6:$B$105,D2564)=0,"Not on Clients",IF(AND(F2564="",INT(B2564)&lt;TODAY()),"Needs a status","")))))</f>
        <v/>
      </c>
      <c r="I2564" s="1">
        <f>IF(ISNUMBER(B2564),INT(B2564),0)</f>
        <v/>
      </c>
      <c r="J2564">
        <f>IF(ISNUMBER(B2564),YEAR(B2564)*100+MONTH(B2564),"")</f>
        <v/>
      </c>
      <c r="K2564">
        <f>IF(AND(H2564="",OR(F2564="Attended",F2564="No-show",AND(F2564="Late cancel",Settings!$C$9="Yes"))),1,0)</f>
        <v/>
      </c>
      <c r="L2564">
        <f>IF(AND(H2564="",F2564="Attended"),1,0)</f>
        <v/>
      </c>
      <c r="M2564">
        <f>IF(AND(H2564="",OR(F2564="No-show",F2564="Late cancel")),1,0)</f>
        <v/>
      </c>
      <c r="N2564">
        <f>IF(AND(H2564="",F2564="",D2564&lt;&gt;"",I2564&gt;=TODAY()),ROUND((I2564+IF(ISNUMBER(C2564),MOD(C2564,1),0))*1440,0)*10000+ROW(),"")</f>
        <v/>
      </c>
    </row>
    <row r="2565">
      <c r="A2565" s="1" t="n"/>
      <c r="B2565" s="17" t="n"/>
      <c r="C2565" s="18" t="n"/>
      <c r="D2565" s="19" t="n"/>
      <c r="E2565" s="20" t="n"/>
      <c r="F2565" s="20" t="n"/>
      <c r="G2565" s="21" t="n"/>
      <c r="H2565" s="12">
        <f>IF(AND(B2565="",D2565="",F2565=""),"",IF(NOT(ISNUMBER(B2565)),"Needs a date",IF(D2565="","Needs a client",IF(COUNTIF(Clients!$B$6:$B$105,D2565)=0,"Not on Clients",IF(AND(F2565="",INT(B2565)&lt;TODAY()),"Needs a status","")))))</f>
        <v/>
      </c>
      <c r="I2565" s="1">
        <f>IF(ISNUMBER(B2565),INT(B2565),0)</f>
        <v/>
      </c>
      <c r="J2565">
        <f>IF(ISNUMBER(B2565),YEAR(B2565)*100+MONTH(B2565),"")</f>
        <v/>
      </c>
      <c r="K2565">
        <f>IF(AND(H2565="",OR(F2565="Attended",F2565="No-show",AND(F2565="Late cancel",Settings!$C$9="Yes"))),1,0)</f>
        <v/>
      </c>
      <c r="L2565">
        <f>IF(AND(H2565="",F2565="Attended"),1,0)</f>
        <v/>
      </c>
      <c r="M2565">
        <f>IF(AND(H2565="",OR(F2565="No-show",F2565="Late cancel")),1,0)</f>
        <v/>
      </c>
      <c r="N2565">
        <f>IF(AND(H2565="",F2565="",D2565&lt;&gt;"",I2565&gt;=TODAY()),ROUND((I2565+IF(ISNUMBER(C2565),MOD(C2565,1),0))*1440,0)*10000+ROW(),"")</f>
        <v/>
      </c>
    </row>
    <row r="2566">
      <c r="A2566" s="1" t="n"/>
      <c r="B2566" s="17" t="n"/>
      <c r="C2566" s="18" t="n"/>
      <c r="D2566" s="19" t="n"/>
      <c r="E2566" s="20" t="n"/>
      <c r="F2566" s="20" t="n"/>
      <c r="G2566" s="21" t="n"/>
      <c r="H2566" s="12">
        <f>IF(AND(B2566="",D2566="",F2566=""),"",IF(NOT(ISNUMBER(B2566)),"Needs a date",IF(D2566="","Needs a client",IF(COUNTIF(Clients!$B$6:$B$105,D2566)=0,"Not on Clients",IF(AND(F2566="",INT(B2566)&lt;TODAY()),"Needs a status","")))))</f>
        <v/>
      </c>
      <c r="I2566" s="1">
        <f>IF(ISNUMBER(B2566),INT(B2566),0)</f>
        <v/>
      </c>
      <c r="J2566">
        <f>IF(ISNUMBER(B2566),YEAR(B2566)*100+MONTH(B2566),"")</f>
        <v/>
      </c>
      <c r="K2566">
        <f>IF(AND(H2566="",OR(F2566="Attended",F2566="No-show",AND(F2566="Late cancel",Settings!$C$9="Yes"))),1,0)</f>
        <v/>
      </c>
      <c r="L2566">
        <f>IF(AND(H2566="",F2566="Attended"),1,0)</f>
        <v/>
      </c>
      <c r="M2566">
        <f>IF(AND(H2566="",OR(F2566="No-show",F2566="Late cancel")),1,0)</f>
        <v/>
      </c>
      <c r="N2566">
        <f>IF(AND(H2566="",F2566="",D2566&lt;&gt;"",I2566&gt;=TODAY()),ROUND((I2566+IF(ISNUMBER(C2566),MOD(C2566,1),0))*1440,0)*10000+ROW(),"")</f>
        <v/>
      </c>
    </row>
    <row r="2567">
      <c r="A2567" s="1" t="n"/>
      <c r="B2567" s="17" t="n"/>
      <c r="C2567" s="18" t="n"/>
      <c r="D2567" s="19" t="n"/>
      <c r="E2567" s="20" t="n"/>
      <c r="F2567" s="20" t="n"/>
      <c r="G2567" s="21" t="n"/>
      <c r="H2567" s="12">
        <f>IF(AND(B2567="",D2567="",F2567=""),"",IF(NOT(ISNUMBER(B2567)),"Needs a date",IF(D2567="","Needs a client",IF(COUNTIF(Clients!$B$6:$B$105,D2567)=0,"Not on Clients",IF(AND(F2567="",INT(B2567)&lt;TODAY()),"Needs a status","")))))</f>
        <v/>
      </c>
      <c r="I2567" s="1">
        <f>IF(ISNUMBER(B2567),INT(B2567),0)</f>
        <v/>
      </c>
      <c r="J2567">
        <f>IF(ISNUMBER(B2567),YEAR(B2567)*100+MONTH(B2567),"")</f>
        <v/>
      </c>
      <c r="K2567">
        <f>IF(AND(H2567="",OR(F2567="Attended",F2567="No-show",AND(F2567="Late cancel",Settings!$C$9="Yes"))),1,0)</f>
        <v/>
      </c>
      <c r="L2567">
        <f>IF(AND(H2567="",F2567="Attended"),1,0)</f>
        <v/>
      </c>
      <c r="M2567">
        <f>IF(AND(H2567="",OR(F2567="No-show",F2567="Late cancel")),1,0)</f>
        <v/>
      </c>
      <c r="N2567">
        <f>IF(AND(H2567="",F2567="",D2567&lt;&gt;"",I2567&gt;=TODAY()),ROUND((I2567+IF(ISNUMBER(C2567),MOD(C2567,1),0))*1440,0)*10000+ROW(),"")</f>
        <v/>
      </c>
    </row>
    <row r="2568">
      <c r="A2568" s="1" t="n"/>
      <c r="B2568" s="17" t="n"/>
      <c r="C2568" s="18" t="n"/>
      <c r="D2568" s="19" t="n"/>
      <c r="E2568" s="20" t="n"/>
      <c r="F2568" s="20" t="n"/>
      <c r="G2568" s="21" t="n"/>
      <c r="H2568" s="12">
        <f>IF(AND(B2568="",D2568="",F2568=""),"",IF(NOT(ISNUMBER(B2568)),"Needs a date",IF(D2568="","Needs a client",IF(COUNTIF(Clients!$B$6:$B$105,D2568)=0,"Not on Clients",IF(AND(F2568="",INT(B2568)&lt;TODAY()),"Needs a status","")))))</f>
        <v/>
      </c>
      <c r="I2568" s="1">
        <f>IF(ISNUMBER(B2568),INT(B2568),0)</f>
        <v/>
      </c>
      <c r="J2568">
        <f>IF(ISNUMBER(B2568),YEAR(B2568)*100+MONTH(B2568),"")</f>
        <v/>
      </c>
      <c r="K2568">
        <f>IF(AND(H2568="",OR(F2568="Attended",F2568="No-show",AND(F2568="Late cancel",Settings!$C$9="Yes"))),1,0)</f>
        <v/>
      </c>
      <c r="L2568">
        <f>IF(AND(H2568="",F2568="Attended"),1,0)</f>
        <v/>
      </c>
      <c r="M2568">
        <f>IF(AND(H2568="",OR(F2568="No-show",F2568="Late cancel")),1,0)</f>
        <v/>
      </c>
      <c r="N2568">
        <f>IF(AND(H2568="",F2568="",D2568&lt;&gt;"",I2568&gt;=TODAY()),ROUND((I2568+IF(ISNUMBER(C2568),MOD(C2568,1),0))*1440,0)*10000+ROW(),"")</f>
        <v/>
      </c>
    </row>
    <row r="2569">
      <c r="A2569" s="1" t="n"/>
      <c r="B2569" s="17" t="n"/>
      <c r="C2569" s="18" t="n"/>
      <c r="D2569" s="19" t="n"/>
      <c r="E2569" s="20" t="n"/>
      <c r="F2569" s="20" t="n"/>
      <c r="G2569" s="21" t="n"/>
      <c r="H2569" s="12">
        <f>IF(AND(B2569="",D2569="",F2569=""),"",IF(NOT(ISNUMBER(B2569)),"Needs a date",IF(D2569="","Needs a client",IF(COUNTIF(Clients!$B$6:$B$105,D2569)=0,"Not on Clients",IF(AND(F2569="",INT(B2569)&lt;TODAY()),"Needs a status","")))))</f>
        <v/>
      </c>
      <c r="I2569" s="1">
        <f>IF(ISNUMBER(B2569),INT(B2569),0)</f>
        <v/>
      </c>
      <c r="J2569">
        <f>IF(ISNUMBER(B2569),YEAR(B2569)*100+MONTH(B2569),"")</f>
        <v/>
      </c>
      <c r="K2569">
        <f>IF(AND(H2569="",OR(F2569="Attended",F2569="No-show",AND(F2569="Late cancel",Settings!$C$9="Yes"))),1,0)</f>
        <v/>
      </c>
      <c r="L2569">
        <f>IF(AND(H2569="",F2569="Attended"),1,0)</f>
        <v/>
      </c>
      <c r="M2569">
        <f>IF(AND(H2569="",OR(F2569="No-show",F2569="Late cancel")),1,0)</f>
        <v/>
      </c>
      <c r="N2569">
        <f>IF(AND(H2569="",F2569="",D2569&lt;&gt;"",I2569&gt;=TODAY()),ROUND((I2569+IF(ISNUMBER(C2569),MOD(C2569,1),0))*1440,0)*10000+ROW(),"")</f>
        <v/>
      </c>
    </row>
    <row r="2570">
      <c r="A2570" s="1" t="n"/>
      <c r="B2570" s="17" t="n"/>
      <c r="C2570" s="18" t="n"/>
      <c r="D2570" s="19" t="n"/>
      <c r="E2570" s="20" t="n"/>
      <c r="F2570" s="20" t="n"/>
      <c r="G2570" s="21" t="n"/>
      <c r="H2570" s="12">
        <f>IF(AND(B2570="",D2570="",F2570=""),"",IF(NOT(ISNUMBER(B2570)),"Needs a date",IF(D2570="","Needs a client",IF(COUNTIF(Clients!$B$6:$B$105,D2570)=0,"Not on Clients",IF(AND(F2570="",INT(B2570)&lt;TODAY()),"Needs a status","")))))</f>
        <v/>
      </c>
      <c r="I2570" s="1">
        <f>IF(ISNUMBER(B2570),INT(B2570),0)</f>
        <v/>
      </c>
      <c r="J2570">
        <f>IF(ISNUMBER(B2570),YEAR(B2570)*100+MONTH(B2570),"")</f>
        <v/>
      </c>
      <c r="K2570">
        <f>IF(AND(H2570="",OR(F2570="Attended",F2570="No-show",AND(F2570="Late cancel",Settings!$C$9="Yes"))),1,0)</f>
        <v/>
      </c>
      <c r="L2570">
        <f>IF(AND(H2570="",F2570="Attended"),1,0)</f>
        <v/>
      </c>
      <c r="M2570">
        <f>IF(AND(H2570="",OR(F2570="No-show",F2570="Late cancel")),1,0)</f>
        <v/>
      </c>
      <c r="N2570">
        <f>IF(AND(H2570="",F2570="",D2570&lt;&gt;"",I2570&gt;=TODAY()),ROUND((I2570+IF(ISNUMBER(C2570),MOD(C2570,1),0))*1440,0)*10000+ROW(),"")</f>
        <v/>
      </c>
    </row>
    <row r="2571">
      <c r="A2571" s="1" t="n"/>
      <c r="B2571" s="17" t="n"/>
      <c r="C2571" s="18" t="n"/>
      <c r="D2571" s="19" t="n"/>
      <c r="E2571" s="20" t="n"/>
      <c r="F2571" s="20" t="n"/>
      <c r="G2571" s="21" t="n"/>
      <c r="H2571" s="12">
        <f>IF(AND(B2571="",D2571="",F2571=""),"",IF(NOT(ISNUMBER(B2571)),"Needs a date",IF(D2571="","Needs a client",IF(COUNTIF(Clients!$B$6:$B$105,D2571)=0,"Not on Clients",IF(AND(F2571="",INT(B2571)&lt;TODAY()),"Needs a status","")))))</f>
        <v/>
      </c>
      <c r="I2571" s="1">
        <f>IF(ISNUMBER(B2571),INT(B2571),0)</f>
        <v/>
      </c>
      <c r="J2571">
        <f>IF(ISNUMBER(B2571),YEAR(B2571)*100+MONTH(B2571),"")</f>
        <v/>
      </c>
      <c r="K2571">
        <f>IF(AND(H2571="",OR(F2571="Attended",F2571="No-show",AND(F2571="Late cancel",Settings!$C$9="Yes"))),1,0)</f>
        <v/>
      </c>
      <c r="L2571">
        <f>IF(AND(H2571="",F2571="Attended"),1,0)</f>
        <v/>
      </c>
      <c r="M2571">
        <f>IF(AND(H2571="",OR(F2571="No-show",F2571="Late cancel")),1,0)</f>
        <v/>
      </c>
      <c r="N2571">
        <f>IF(AND(H2571="",F2571="",D2571&lt;&gt;"",I2571&gt;=TODAY()),ROUND((I2571+IF(ISNUMBER(C2571),MOD(C2571,1),0))*1440,0)*10000+ROW(),"")</f>
        <v/>
      </c>
    </row>
    <row r="2572">
      <c r="A2572" s="1" t="n"/>
      <c r="B2572" s="17" t="n"/>
      <c r="C2572" s="18" t="n"/>
      <c r="D2572" s="19" t="n"/>
      <c r="E2572" s="20" t="n"/>
      <c r="F2572" s="20" t="n"/>
      <c r="G2572" s="21" t="n"/>
      <c r="H2572" s="12">
        <f>IF(AND(B2572="",D2572="",F2572=""),"",IF(NOT(ISNUMBER(B2572)),"Needs a date",IF(D2572="","Needs a client",IF(COUNTIF(Clients!$B$6:$B$105,D2572)=0,"Not on Clients",IF(AND(F2572="",INT(B2572)&lt;TODAY()),"Needs a status","")))))</f>
        <v/>
      </c>
      <c r="I2572" s="1">
        <f>IF(ISNUMBER(B2572),INT(B2572),0)</f>
        <v/>
      </c>
      <c r="J2572">
        <f>IF(ISNUMBER(B2572),YEAR(B2572)*100+MONTH(B2572),"")</f>
        <v/>
      </c>
      <c r="K2572">
        <f>IF(AND(H2572="",OR(F2572="Attended",F2572="No-show",AND(F2572="Late cancel",Settings!$C$9="Yes"))),1,0)</f>
        <v/>
      </c>
      <c r="L2572">
        <f>IF(AND(H2572="",F2572="Attended"),1,0)</f>
        <v/>
      </c>
      <c r="M2572">
        <f>IF(AND(H2572="",OR(F2572="No-show",F2572="Late cancel")),1,0)</f>
        <v/>
      </c>
      <c r="N2572">
        <f>IF(AND(H2572="",F2572="",D2572&lt;&gt;"",I2572&gt;=TODAY()),ROUND((I2572+IF(ISNUMBER(C2572),MOD(C2572,1),0))*1440,0)*10000+ROW(),"")</f>
        <v/>
      </c>
    </row>
    <row r="2573">
      <c r="A2573" s="1" t="n"/>
      <c r="B2573" s="17" t="n"/>
      <c r="C2573" s="18" t="n"/>
      <c r="D2573" s="19" t="n"/>
      <c r="E2573" s="20" t="n"/>
      <c r="F2573" s="20" t="n"/>
      <c r="G2573" s="21" t="n"/>
      <c r="H2573" s="12">
        <f>IF(AND(B2573="",D2573="",F2573=""),"",IF(NOT(ISNUMBER(B2573)),"Needs a date",IF(D2573="","Needs a client",IF(COUNTIF(Clients!$B$6:$B$105,D2573)=0,"Not on Clients",IF(AND(F2573="",INT(B2573)&lt;TODAY()),"Needs a status","")))))</f>
        <v/>
      </c>
      <c r="I2573" s="1">
        <f>IF(ISNUMBER(B2573),INT(B2573),0)</f>
        <v/>
      </c>
      <c r="J2573">
        <f>IF(ISNUMBER(B2573),YEAR(B2573)*100+MONTH(B2573),"")</f>
        <v/>
      </c>
      <c r="K2573">
        <f>IF(AND(H2573="",OR(F2573="Attended",F2573="No-show",AND(F2573="Late cancel",Settings!$C$9="Yes"))),1,0)</f>
        <v/>
      </c>
      <c r="L2573">
        <f>IF(AND(H2573="",F2573="Attended"),1,0)</f>
        <v/>
      </c>
      <c r="M2573">
        <f>IF(AND(H2573="",OR(F2573="No-show",F2573="Late cancel")),1,0)</f>
        <v/>
      </c>
      <c r="N2573">
        <f>IF(AND(H2573="",F2573="",D2573&lt;&gt;"",I2573&gt;=TODAY()),ROUND((I2573+IF(ISNUMBER(C2573),MOD(C2573,1),0))*1440,0)*10000+ROW(),"")</f>
        <v/>
      </c>
    </row>
    <row r="2574">
      <c r="A2574" s="1" t="n"/>
      <c r="B2574" s="17" t="n"/>
      <c r="C2574" s="18" t="n"/>
      <c r="D2574" s="19" t="n"/>
      <c r="E2574" s="20" t="n"/>
      <c r="F2574" s="20" t="n"/>
      <c r="G2574" s="21" t="n"/>
      <c r="H2574" s="12">
        <f>IF(AND(B2574="",D2574="",F2574=""),"",IF(NOT(ISNUMBER(B2574)),"Needs a date",IF(D2574="","Needs a client",IF(COUNTIF(Clients!$B$6:$B$105,D2574)=0,"Not on Clients",IF(AND(F2574="",INT(B2574)&lt;TODAY()),"Needs a status","")))))</f>
        <v/>
      </c>
      <c r="I2574" s="1">
        <f>IF(ISNUMBER(B2574),INT(B2574),0)</f>
        <v/>
      </c>
      <c r="J2574">
        <f>IF(ISNUMBER(B2574),YEAR(B2574)*100+MONTH(B2574),"")</f>
        <v/>
      </c>
      <c r="K2574">
        <f>IF(AND(H2574="",OR(F2574="Attended",F2574="No-show",AND(F2574="Late cancel",Settings!$C$9="Yes"))),1,0)</f>
        <v/>
      </c>
      <c r="L2574">
        <f>IF(AND(H2574="",F2574="Attended"),1,0)</f>
        <v/>
      </c>
      <c r="M2574">
        <f>IF(AND(H2574="",OR(F2574="No-show",F2574="Late cancel")),1,0)</f>
        <v/>
      </c>
      <c r="N2574">
        <f>IF(AND(H2574="",F2574="",D2574&lt;&gt;"",I2574&gt;=TODAY()),ROUND((I2574+IF(ISNUMBER(C2574),MOD(C2574,1),0))*1440,0)*10000+ROW(),"")</f>
        <v/>
      </c>
    </row>
    <row r="2575">
      <c r="A2575" s="1" t="n"/>
      <c r="B2575" s="17" t="n"/>
      <c r="C2575" s="18" t="n"/>
      <c r="D2575" s="19" t="n"/>
      <c r="E2575" s="20" t="n"/>
      <c r="F2575" s="20" t="n"/>
      <c r="G2575" s="21" t="n"/>
      <c r="H2575" s="12">
        <f>IF(AND(B2575="",D2575="",F2575=""),"",IF(NOT(ISNUMBER(B2575)),"Needs a date",IF(D2575="","Needs a client",IF(COUNTIF(Clients!$B$6:$B$105,D2575)=0,"Not on Clients",IF(AND(F2575="",INT(B2575)&lt;TODAY()),"Needs a status","")))))</f>
        <v/>
      </c>
      <c r="I2575" s="1">
        <f>IF(ISNUMBER(B2575),INT(B2575),0)</f>
        <v/>
      </c>
      <c r="J2575">
        <f>IF(ISNUMBER(B2575),YEAR(B2575)*100+MONTH(B2575),"")</f>
        <v/>
      </c>
      <c r="K2575">
        <f>IF(AND(H2575="",OR(F2575="Attended",F2575="No-show",AND(F2575="Late cancel",Settings!$C$9="Yes"))),1,0)</f>
        <v/>
      </c>
      <c r="L2575">
        <f>IF(AND(H2575="",F2575="Attended"),1,0)</f>
        <v/>
      </c>
      <c r="M2575">
        <f>IF(AND(H2575="",OR(F2575="No-show",F2575="Late cancel")),1,0)</f>
        <v/>
      </c>
      <c r="N2575">
        <f>IF(AND(H2575="",F2575="",D2575&lt;&gt;"",I2575&gt;=TODAY()),ROUND((I2575+IF(ISNUMBER(C2575),MOD(C2575,1),0))*1440,0)*10000+ROW(),"")</f>
        <v/>
      </c>
    </row>
    <row r="2576">
      <c r="A2576" s="1" t="n"/>
      <c r="B2576" s="17" t="n"/>
      <c r="C2576" s="18" t="n"/>
      <c r="D2576" s="19" t="n"/>
      <c r="E2576" s="20" t="n"/>
      <c r="F2576" s="20" t="n"/>
      <c r="G2576" s="21" t="n"/>
      <c r="H2576" s="12">
        <f>IF(AND(B2576="",D2576="",F2576=""),"",IF(NOT(ISNUMBER(B2576)),"Needs a date",IF(D2576="","Needs a client",IF(COUNTIF(Clients!$B$6:$B$105,D2576)=0,"Not on Clients",IF(AND(F2576="",INT(B2576)&lt;TODAY()),"Needs a status","")))))</f>
        <v/>
      </c>
      <c r="I2576" s="1">
        <f>IF(ISNUMBER(B2576),INT(B2576),0)</f>
        <v/>
      </c>
      <c r="J2576">
        <f>IF(ISNUMBER(B2576),YEAR(B2576)*100+MONTH(B2576),"")</f>
        <v/>
      </c>
      <c r="K2576">
        <f>IF(AND(H2576="",OR(F2576="Attended",F2576="No-show",AND(F2576="Late cancel",Settings!$C$9="Yes"))),1,0)</f>
        <v/>
      </c>
      <c r="L2576">
        <f>IF(AND(H2576="",F2576="Attended"),1,0)</f>
        <v/>
      </c>
      <c r="M2576">
        <f>IF(AND(H2576="",OR(F2576="No-show",F2576="Late cancel")),1,0)</f>
        <v/>
      </c>
      <c r="N2576">
        <f>IF(AND(H2576="",F2576="",D2576&lt;&gt;"",I2576&gt;=TODAY()),ROUND((I2576+IF(ISNUMBER(C2576),MOD(C2576,1),0))*1440,0)*10000+ROW(),"")</f>
        <v/>
      </c>
    </row>
    <row r="2577">
      <c r="A2577" s="1" t="n"/>
      <c r="B2577" s="17" t="n"/>
      <c r="C2577" s="18" t="n"/>
      <c r="D2577" s="19" t="n"/>
      <c r="E2577" s="20" t="n"/>
      <c r="F2577" s="20" t="n"/>
      <c r="G2577" s="21" t="n"/>
      <c r="H2577" s="12">
        <f>IF(AND(B2577="",D2577="",F2577=""),"",IF(NOT(ISNUMBER(B2577)),"Needs a date",IF(D2577="","Needs a client",IF(COUNTIF(Clients!$B$6:$B$105,D2577)=0,"Not on Clients",IF(AND(F2577="",INT(B2577)&lt;TODAY()),"Needs a status","")))))</f>
        <v/>
      </c>
      <c r="I2577" s="1">
        <f>IF(ISNUMBER(B2577),INT(B2577),0)</f>
        <v/>
      </c>
      <c r="J2577">
        <f>IF(ISNUMBER(B2577),YEAR(B2577)*100+MONTH(B2577),"")</f>
        <v/>
      </c>
      <c r="K2577">
        <f>IF(AND(H2577="",OR(F2577="Attended",F2577="No-show",AND(F2577="Late cancel",Settings!$C$9="Yes"))),1,0)</f>
        <v/>
      </c>
      <c r="L2577">
        <f>IF(AND(H2577="",F2577="Attended"),1,0)</f>
        <v/>
      </c>
      <c r="M2577">
        <f>IF(AND(H2577="",OR(F2577="No-show",F2577="Late cancel")),1,0)</f>
        <v/>
      </c>
      <c r="N2577">
        <f>IF(AND(H2577="",F2577="",D2577&lt;&gt;"",I2577&gt;=TODAY()),ROUND((I2577+IF(ISNUMBER(C2577),MOD(C2577,1),0))*1440,0)*10000+ROW(),"")</f>
        <v/>
      </c>
    </row>
    <row r="2578">
      <c r="A2578" s="1" t="n"/>
      <c r="B2578" s="17" t="n"/>
      <c r="C2578" s="18" t="n"/>
      <c r="D2578" s="19" t="n"/>
      <c r="E2578" s="20" t="n"/>
      <c r="F2578" s="20" t="n"/>
      <c r="G2578" s="21" t="n"/>
      <c r="H2578" s="12">
        <f>IF(AND(B2578="",D2578="",F2578=""),"",IF(NOT(ISNUMBER(B2578)),"Needs a date",IF(D2578="","Needs a client",IF(COUNTIF(Clients!$B$6:$B$105,D2578)=0,"Not on Clients",IF(AND(F2578="",INT(B2578)&lt;TODAY()),"Needs a status","")))))</f>
        <v/>
      </c>
      <c r="I2578" s="1">
        <f>IF(ISNUMBER(B2578),INT(B2578),0)</f>
        <v/>
      </c>
      <c r="J2578">
        <f>IF(ISNUMBER(B2578),YEAR(B2578)*100+MONTH(B2578),"")</f>
        <v/>
      </c>
      <c r="K2578">
        <f>IF(AND(H2578="",OR(F2578="Attended",F2578="No-show",AND(F2578="Late cancel",Settings!$C$9="Yes"))),1,0)</f>
        <v/>
      </c>
      <c r="L2578">
        <f>IF(AND(H2578="",F2578="Attended"),1,0)</f>
        <v/>
      </c>
      <c r="M2578">
        <f>IF(AND(H2578="",OR(F2578="No-show",F2578="Late cancel")),1,0)</f>
        <v/>
      </c>
      <c r="N2578">
        <f>IF(AND(H2578="",F2578="",D2578&lt;&gt;"",I2578&gt;=TODAY()),ROUND((I2578+IF(ISNUMBER(C2578),MOD(C2578,1),0))*1440,0)*10000+ROW(),"")</f>
        <v/>
      </c>
    </row>
    <row r="2579">
      <c r="A2579" s="1" t="n"/>
      <c r="B2579" s="17" t="n"/>
      <c r="C2579" s="18" t="n"/>
      <c r="D2579" s="19" t="n"/>
      <c r="E2579" s="20" t="n"/>
      <c r="F2579" s="20" t="n"/>
      <c r="G2579" s="21" t="n"/>
      <c r="H2579" s="12">
        <f>IF(AND(B2579="",D2579="",F2579=""),"",IF(NOT(ISNUMBER(B2579)),"Needs a date",IF(D2579="","Needs a client",IF(COUNTIF(Clients!$B$6:$B$105,D2579)=0,"Not on Clients",IF(AND(F2579="",INT(B2579)&lt;TODAY()),"Needs a status","")))))</f>
        <v/>
      </c>
      <c r="I2579" s="1">
        <f>IF(ISNUMBER(B2579),INT(B2579),0)</f>
        <v/>
      </c>
      <c r="J2579">
        <f>IF(ISNUMBER(B2579),YEAR(B2579)*100+MONTH(B2579),"")</f>
        <v/>
      </c>
      <c r="K2579">
        <f>IF(AND(H2579="",OR(F2579="Attended",F2579="No-show",AND(F2579="Late cancel",Settings!$C$9="Yes"))),1,0)</f>
        <v/>
      </c>
      <c r="L2579">
        <f>IF(AND(H2579="",F2579="Attended"),1,0)</f>
        <v/>
      </c>
      <c r="M2579">
        <f>IF(AND(H2579="",OR(F2579="No-show",F2579="Late cancel")),1,0)</f>
        <v/>
      </c>
      <c r="N2579">
        <f>IF(AND(H2579="",F2579="",D2579&lt;&gt;"",I2579&gt;=TODAY()),ROUND((I2579+IF(ISNUMBER(C2579),MOD(C2579,1),0))*1440,0)*10000+ROW(),"")</f>
        <v/>
      </c>
    </row>
    <row r="2580">
      <c r="A2580" s="1" t="n"/>
      <c r="B2580" s="17" t="n"/>
      <c r="C2580" s="18" t="n"/>
      <c r="D2580" s="19" t="n"/>
      <c r="E2580" s="20" t="n"/>
      <c r="F2580" s="20" t="n"/>
      <c r="G2580" s="21" t="n"/>
      <c r="H2580" s="12">
        <f>IF(AND(B2580="",D2580="",F2580=""),"",IF(NOT(ISNUMBER(B2580)),"Needs a date",IF(D2580="","Needs a client",IF(COUNTIF(Clients!$B$6:$B$105,D2580)=0,"Not on Clients",IF(AND(F2580="",INT(B2580)&lt;TODAY()),"Needs a status","")))))</f>
        <v/>
      </c>
      <c r="I2580" s="1">
        <f>IF(ISNUMBER(B2580),INT(B2580),0)</f>
        <v/>
      </c>
      <c r="J2580">
        <f>IF(ISNUMBER(B2580),YEAR(B2580)*100+MONTH(B2580),"")</f>
        <v/>
      </c>
      <c r="K2580">
        <f>IF(AND(H2580="",OR(F2580="Attended",F2580="No-show",AND(F2580="Late cancel",Settings!$C$9="Yes"))),1,0)</f>
        <v/>
      </c>
      <c r="L2580">
        <f>IF(AND(H2580="",F2580="Attended"),1,0)</f>
        <v/>
      </c>
      <c r="M2580">
        <f>IF(AND(H2580="",OR(F2580="No-show",F2580="Late cancel")),1,0)</f>
        <v/>
      </c>
      <c r="N2580">
        <f>IF(AND(H2580="",F2580="",D2580&lt;&gt;"",I2580&gt;=TODAY()),ROUND((I2580+IF(ISNUMBER(C2580),MOD(C2580,1),0))*1440,0)*10000+ROW(),"")</f>
        <v/>
      </c>
    </row>
    <row r="2581">
      <c r="A2581" s="1" t="n"/>
      <c r="B2581" s="17" t="n"/>
      <c r="C2581" s="18" t="n"/>
      <c r="D2581" s="19" t="n"/>
      <c r="E2581" s="20" t="n"/>
      <c r="F2581" s="20" t="n"/>
      <c r="G2581" s="21" t="n"/>
      <c r="H2581" s="12">
        <f>IF(AND(B2581="",D2581="",F2581=""),"",IF(NOT(ISNUMBER(B2581)),"Needs a date",IF(D2581="","Needs a client",IF(COUNTIF(Clients!$B$6:$B$105,D2581)=0,"Not on Clients",IF(AND(F2581="",INT(B2581)&lt;TODAY()),"Needs a status","")))))</f>
        <v/>
      </c>
      <c r="I2581" s="1">
        <f>IF(ISNUMBER(B2581),INT(B2581),0)</f>
        <v/>
      </c>
      <c r="J2581">
        <f>IF(ISNUMBER(B2581),YEAR(B2581)*100+MONTH(B2581),"")</f>
        <v/>
      </c>
      <c r="K2581">
        <f>IF(AND(H2581="",OR(F2581="Attended",F2581="No-show",AND(F2581="Late cancel",Settings!$C$9="Yes"))),1,0)</f>
        <v/>
      </c>
      <c r="L2581">
        <f>IF(AND(H2581="",F2581="Attended"),1,0)</f>
        <v/>
      </c>
      <c r="M2581">
        <f>IF(AND(H2581="",OR(F2581="No-show",F2581="Late cancel")),1,0)</f>
        <v/>
      </c>
      <c r="N2581">
        <f>IF(AND(H2581="",F2581="",D2581&lt;&gt;"",I2581&gt;=TODAY()),ROUND((I2581+IF(ISNUMBER(C2581),MOD(C2581,1),0))*1440,0)*10000+ROW(),"")</f>
        <v/>
      </c>
    </row>
    <row r="2582">
      <c r="A2582" s="1" t="n"/>
      <c r="B2582" s="17" t="n"/>
      <c r="C2582" s="18" t="n"/>
      <c r="D2582" s="19" t="n"/>
      <c r="E2582" s="20" t="n"/>
      <c r="F2582" s="20" t="n"/>
      <c r="G2582" s="21" t="n"/>
      <c r="H2582" s="12">
        <f>IF(AND(B2582="",D2582="",F2582=""),"",IF(NOT(ISNUMBER(B2582)),"Needs a date",IF(D2582="","Needs a client",IF(COUNTIF(Clients!$B$6:$B$105,D2582)=0,"Not on Clients",IF(AND(F2582="",INT(B2582)&lt;TODAY()),"Needs a status","")))))</f>
        <v/>
      </c>
      <c r="I2582" s="1">
        <f>IF(ISNUMBER(B2582),INT(B2582),0)</f>
        <v/>
      </c>
      <c r="J2582">
        <f>IF(ISNUMBER(B2582),YEAR(B2582)*100+MONTH(B2582),"")</f>
        <v/>
      </c>
      <c r="K2582">
        <f>IF(AND(H2582="",OR(F2582="Attended",F2582="No-show",AND(F2582="Late cancel",Settings!$C$9="Yes"))),1,0)</f>
        <v/>
      </c>
      <c r="L2582">
        <f>IF(AND(H2582="",F2582="Attended"),1,0)</f>
        <v/>
      </c>
      <c r="M2582">
        <f>IF(AND(H2582="",OR(F2582="No-show",F2582="Late cancel")),1,0)</f>
        <v/>
      </c>
      <c r="N2582">
        <f>IF(AND(H2582="",F2582="",D2582&lt;&gt;"",I2582&gt;=TODAY()),ROUND((I2582+IF(ISNUMBER(C2582),MOD(C2582,1),0))*1440,0)*10000+ROW(),"")</f>
        <v/>
      </c>
    </row>
    <row r="2583">
      <c r="A2583" s="1" t="n"/>
      <c r="B2583" s="17" t="n"/>
      <c r="C2583" s="18" t="n"/>
      <c r="D2583" s="19" t="n"/>
      <c r="E2583" s="20" t="n"/>
      <c r="F2583" s="20" t="n"/>
      <c r="G2583" s="21" t="n"/>
      <c r="H2583" s="12">
        <f>IF(AND(B2583="",D2583="",F2583=""),"",IF(NOT(ISNUMBER(B2583)),"Needs a date",IF(D2583="","Needs a client",IF(COUNTIF(Clients!$B$6:$B$105,D2583)=0,"Not on Clients",IF(AND(F2583="",INT(B2583)&lt;TODAY()),"Needs a status","")))))</f>
        <v/>
      </c>
      <c r="I2583" s="1">
        <f>IF(ISNUMBER(B2583),INT(B2583),0)</f>
        <v/>
      </c>
      <c r="J2583">
        <f>IF(ISNUMBER(B2583),YEAR(B2583)*100+MONTH(B2583),"")</f>
        <v/>
      </c>
      <c r="K2583">
        <f>IF(AND(H2583="",OR(F2583="Attended",F2583="No-show",AND(F2583="Late cancel",Settings!$C$9="Yes"))),1,0)</f>
        <v/>
      </c>
      <c r="L2583">
        <f>IF(AND(H2583="",F2583="Attended"),1,0)</f>
        <v/>
      </c>
      <c r="M2583">
        <f>IF(AND(H2583="",OR(F2583="No-show",F2583="Late cancel")),1,0)</f>
        <v/>
      </c>
      <c r="N2583">
        <f>IF(AND(H2583="",F2583="",D2583&lt;&gt;"",I2583&gt;=TODAY()),ROUND((I2583+IF(ISNUMBER(C2583),MOD(C2583,1),0))*1440,0)*10000+ROW(),"")</f>
        <v/>
      </c>
    </row>
    <row r="2584">
      <c r="A2584" s="1" t="n"/>
      <c r="B2584" s="17" t="n"/>
      <c r="C2584" s="18" t="n"/>
      <c r="D2584" s="19" t="n"/>
      <c r="E2584" s="20" t="n"/>
      <c r="F2584" s="20" t="n"/>
      <c r="G2584" s="21" t="n"/>
      <c r="H2584" s="12">
        <f>IF(AND(B2584="",D2584="",F2584=""),"",IF(NOT(ISNUMBER(B2584)),"Needs a date",IF(D2584="","Needs a client",IF(COUNTIF(Clients!$B$6:$B$105,D2584)=0,"Not on Clients",IF(AND(F2584="",INT(B2584)&lt;TODAY()),"Needs a status","")))))</f>
        <v/>
      </c>
      <c r="I2584" s="1">
        <f>IF(ISNUMBER(B2584),INT(B2584),0)</f>
        <v/>
      </c>
      <c r="J2584">
        <f>IF(ISNUMBER(B2584),YEAR(B2584)*100+MONTH(B2584),"")</f>
        <v/>
      </c>
      <c r="K2584">
        <f>IF(AND(H2584="",OR(F2584="Attended",F2584="No-show",AND(F2584="Late cancel",Settings!$C$9="Yes"))),1,0)</f>
        <v/>
      </c>
      <c r="L2584">
        <f>IF(AND(H2584="",F2584="Attended"),1,0)</f>
        <v/>
      </c>
      <c r="M2584">
        <f>IF(AND(H2584="",OR(F2584="No-show",F2584="Late cancel")),1,0)</f>
        <v/>
      </c>
      <c r="N2584">
        <f>IF(AND(H2584="",F2584="",D2584&lt;&gt;"",I2584&gt;=TODAY()),ROUND((I2584+IF(ISNUMBER(C2584),MOD(C2584,1),0))*1440,0)*10000+ROW(),"")</f>
        <v/>
      </c>
    </row>
    <row r="2585">
      <c r="A2585" s="1" t="n"/>
      <c r="B2585" s="17" t="n"/>
      <c r="C2585" s="18" t="n"/>
      <c r="D2585" s="19" t="n"/>
      <c r="E2585" s="20" t="n"/>
      <c r="F2585" s="20" t="n"/>
      <c r="G2585" s="21" t="n"/>
      <c r="H2585" s="12">
        <f>IF(AND(B2585="",D2585="",F2585=""),"",IF(NOT(ISNUMBER(B2585)),"Needs a date",IF(D2585="","Needs a client",IF(COUNTIF(Clients!$B$6:$B$105,D2585)=0,"Not on Clients",IF(AND(F2585="",INT(B2585)&lt;TODAY()),"Needs a status","")))))</f>
        <v/>
      </c>
      <c r="I2585" s="1">
        <f>IF(ISNUMBER(B2585),INT(B2585),0)</f>
        <v/>
      </c>
      <c r="J2585">
        <f>IF(ISNUMBER(B2585),YEAR(B2585)*100+MONTH(B2585),"")</f>
        <v/>
      </c>
      <c r="K2585">
        <f>IF(AND(H2585="",OR(F2585="Attended",F2585="No-show",AND(F2585="Late cancel",Settings!$C$9="Yes"))),1,0)</f>
        <v/>
      </c>
      <c r="L2585">
        <f>IF(AND(H2585="",F2585="Attended"),1,0)</f>
        <v/>
      </c>
      <c r="M2585">
        <f>IF(AND(H2585="",OR(F2585="No-show",F2585="Late cancel")),1,0)</f>
        <v/>
      </c>
      <c r="N2585">
        <f>IF(AND(H2585="",F2585="",D2585&lt;&gt;"",I2585&gt;=TODAY()),ROUND((I2585+IF(ISNUMBER(C2585),MOD(C2585,1),0))*1440,0)*10000+ROW(),"")</f>
        <v/>
      </c>
    </row>
    <row r="2586">
      <c r="A2586" s="1" t="n"/>
      <c r="B2586" s="17" t="n"/>
      <c r="C2586" s="18" t="n"/>
      <c r="D2586" s="19" t="n"/>
      <c r="E2586" s="20" t="n"/>
      <c r="F2586" s="20" t="n"/>
      <c r="G2586" s="21" t="n"/>
      <c r="H2586" s="12">
        <f>IF(AND(B2586="",D2586="",F2586=""),"",IF(NOT(ISNUMBER(B2586)),"Needs a date",IF(D2586="","Needs a client",IF(COUNTIF(Clients!$B$6:$B$105,D2586)=0,"Not on Clients",IF(AND(F2586="",INT(B2586)&lt;TODAY()),"Needs a status","")))))</f>
        <v/>
      </c>
      <c r="I2586" s="1">
        <f>IF(ISNUMBER(B2586),INT(B2586),0)</f>
        <v/>
      </c>
      <c r="J2586">
        <f>IF(ISNUMBER(B2586),YEAR(B2586)*100+MONTH(B2586),"")</f>
        <v/>
      </c>
      <c r="K2586">
        <f>IF(AND(H2586="",OR(F2586="Attended",F2586="No-show",AND(F2586="Late cancel",Settings!$C$9="Yes"))),1,0)</f>
        <v/>
      </c>
      <c r="L2586">
        <f>IF(AND(H2586="",F2586="Attended"),1,0)</f>
        <v/>
      </c>
      <c r="M2586">
        <f>IF(AND(H2586="",OR(F2586="No-show",F2586="Late cancel")),1,0)</f>
        <v/>
      </c>
      <c r="N2586">
        <f>IF(AND(H2586="",F2586="",D2586&lt;&gt;"",I2586&gt;=TODAY()),ROUND((I2586+IF(ISNUMBER(C2586),MOD(C2586,1),0))*1440,0)*10000+ROW(),"")</f>
        <v/>
      </c>
    </row>
    <row r="2587">
      <c r="A2587" s="1" t="n"/>
      <c r="B2587" s="17" t="n"/>
      <c r="C2587" s="18" t="n"/>
      <c r="D2587" s="19" t="n"/>
      <c r="E2587" s="20" t="n"/>
      <c r="F2587" s="20" t="n"/>
      <c r="G2587" s="21" t="n"/>
      <c r="H2587" s="12">
        <f>IF(AND(B2587="",D2587="",F2587=""),"",IF(NOT(ISNUMBER(B2587)),"Needs a date",IF(D2587="","Needs a client",IF(COUNTIF(Clients!$B$6:$B$105,D2587)=0,"Not on Clients",IF(AND(F2587="",INT(B2587)&lt;TODAY()),"Needs a status","")))))</f>
        <v/>
      </c>
      <c r="I2587" s="1">
        <f>IF(ISNUMBER(B2587),INT(B2587),0)</f>
        <v/>
      </c>
      <c r="J2587">
        <f>IF(ISNUMBER(B2587),YEAR(B2587)*100+MONTH(B2587),"")</f>
        <v/>
      </c>
      <c r="K2587">
        <f>IF(AND(H2587="",OR(F2587="Attended",F2587="No-show",AND(F2587="Late cancel",Settings!$C$9="Yes"))),1,0)</f>
        <v/>
      </c>
      <c r="L2587">
        <f>IF(AND(H2587="",F2587="Attended"),1,0)</f>
        <v/>
      </c>
      <c r="M2587">
        <f>IF(AND(H2587="",OR(F2587="No-show",F2587="Late cancel")),1,0)</f>
        <v/>
      </c>
      <c r="N2587">
        <f>IF(AND(H2587="",F2587="",D2587&lt;&gt;"",I2587&gt;=TODAY()),ROUND((I2587+IF(ISNUMBER(C2587),MOD(C2587,1),0))*1440,0)*10000+ROW(),"")</f>
        <v/>
      </c>
    </row>
    <row r="2588">
      <c r="A2588" s="1" t="n"/>
      <c r="B2588" s="17" t="n"/>
      <c r="C2588" s="18" t="n"/>
      <c r="D2588" s="19" t="n"/>
      <c r="E2588" s="20" t="n"/>
      <c r="F2588" s="20" t="n"/>
      <c r="G2588" s="21" t="n"/>
      <c r="H2588" s="12">
        <f>IF(AND(B2588="",D2588="",F2588=""),"",IF(NOT(ISNUMBER(B2588)),"Needs a date",IF(D2588="","Needs a client",IF(COUNTIF(Clients!$B$6:$B$105,D2588)=0,"Not on Clients",IF(AND(F2588="",INT(B2588)&lt;TODAY()),"Needs a status","")))))</f>
        <v/>
      </c>
      <c r="I2588" s="1">
        <f>IF(ISNUMBER(B2588),INT(B2588),0)</f>
        <v/>
      </c>
      <c r="J2588">
        <f>IF(ISNUMBER(B2588),YEAR(B2588)*100+MONTH(B2588),"")</f>
        <v/>
      </c>
      <c r="K2588">
        <f>IF(AND(H2588="",OR(F2588="Attended",F2588="No-show",AND(F2588="Late cancel",Settings!$C$9="Yes"))),1,0)</f>
        <v/>
      </c>
      <c r="L2588">
        <f>IF(AND(H2588="",F2588="Attended"),1,0)</f>
        <v/>
      </c>
      <c r="M2588">
        <f>IF(AND(H2588="",OR(F2588="No-show",F2588="Late cancel")),1,0)</f>
        <v/>
      </c>
      <c r="N2588">
        <f>IF(AND(H2588="",F2588="",D2588&lt;&gt;"",I2588&gt;=TODAY()),ROUND((I2588+IF(ISNUMBER(C2588),MOD(C2588,1),0))*1440,0)*10000+ROW(),"")</f>
        <v/>
      </c>
    </row>
    <row r="2589">
      <c r="A2589" s="1" t="n"/>
      <c r="B2589" s="17" t="n"/>
      <c r="C2589" s="18" t="n"/>
      <c r="D2589" s="19" t="n"/>
      <c r="E2589" s="20" t="n"/>
      <c r="F2589" s="20" t="n"/>
      <c r="G2589" s="21" t="n"/>
      <c r="H2589" s="12">
        <f>IF(AND(B2589="",D2589="",F2589=""),"",IF(NOT(ISNUMBER(B2589)),"Needs a date",IF(D2589="","Needs a client",IF(COUNTIF(Clients!$B$6:$B$105,D2589)=0,"Not on Clients",IF(AND(F2589="",INT(B2589)&lt;TODAY()),"Needs a status","")))))</f>
        <v/>
      </c>
      <c r="I2589" s="1">
        <f>IF(ISNUMBER(B2589),INT(B2589),0)</f>
        <v/>
      </c>
      <c r="J2589">
        <f>IF(ISNUMBER(B2589),YEAR(B2589)*100+MONTH(B2589),"")</f>
        <v/>
      </c>
      <c r="K2589">
        <f>IF(AND(H2589="",OR(F2589="Attended",F2589="No-show",AND(F2589="Late cancel",Settings!$C$9="Yes"))),1,0)</f>
        <v/>
      </c>
      <c r="L2589">
        <f>IF(AND(H2589="",F2589="Attended"),1,0)</f>
        <v/>
      </c>
      <c r="M2589">
        <f>IF(AND(H2589="",OR(F2589="No-show",F2589="Late cancel")),1,0)</f>
        <v/>
      </c>
      <c r="N2589">
        <f>IF(AND(H2589="",F2589="",D2589&lt;&gt;"",I2589&gt;=TODAY()),ROUND((I2589+IF(ISNUMBER(C2589),MOD(C2589,1),0))*1440,0)*10000+ROW(),"")</f>
        <v/>
      </c>
    </row>
    <row r="2590">
      <c r="A2590" s="1" t="n"/>
      <c r="B2590" s="17" t="n"/>
      <c r="C2590" s="18" t="n"/>
      <c r="D2590" s="19" t="n"/>
      <c r="E2590" s="20" t="n"/>
      <c r="F2590" s="20" t="n"/>
      <c r="G2590" s="21" t="n"/>
      <c r="H2590" s="12">
        <f>IF(AND(B2590="",D2590="",F2590=""),"",IF(NOT(ISNUMBER(B2590)),"Needs a date",IF(D2590="","Needs a client",IF(COUNTIF(Clients!$B$6:$B$105,D2590)=0,"Not on Clients",IF(AND(F2590="",INT(B2590)&lt;TODAY()),"Needs a status","")))))</f>
        <v/>
      </c>
      <c r="I2590" s="1">
        <f>IF(ISNUMBER(B2590),INT(B2590),0)</f>
        <v/>
      </c>
      <c r="J2590">
        <f>IF(ISNUMBER(B2590),YEAR(B2590)*100+MONTH(B2590),"")</f>
        <v/>
      </c>
      <c r="K2590">
        <f>IF(AND(H2590="",OR(F2590="Attended",F2590="No-show",AND(F2590="Late cancel",Settings!$C$9="Yes"))),1,0)</f>
        <v/>
      </c>
      <c r="L2590">
        <f>IF(AND(H2590="",F2590="Attended"),1,0)</f>
        <v/>
      </c>
      <c r="M2590">
        <f>IF(AND(H2590="",OR(F2590="No-show",F2590="Late cancel")),1,0)</f>
        <v/>
      </c>
      <c r="N2590">
        <f>IF(AND(H2590="",F2590="",D2590&lt;&gt;"",I2590&gt;=TODAY()),ROUND((I2590+IF(ISNUMBER(C2590),MOD(C2590,1),0))*1440,0)*10000+ROW(),"")</f>
        <v/>
      </c>
    </row>
    <row r="2591">
      <c r="A2591" s="1" t="n"/>
      <c r="B2591" s="17" t="n"/>
      <c r="C2591" s="18" t="n"/>
      <c r="D2591" s="19" t="n"/>
      <c r="E2591" s="20" t="n"/>
      <c r="F2591" s="20" t="n"/>
      <c r="G2591" s="21" t="n"/>
      <c r="H2591" s="12">
        <f>IF(AND(B2591="",D2591="",F2591=""),"",IF(NOT(ISNUMBER(B2591)),"Needs a date",IF(D2591="","Needs a client",IF(COUNTIF(Clients!$B$6:$B$105,D2591)=0,"Not on Clients",IF(AND(F2591="",INT(B2591)&lt;TODAY()),"Needs a status","")))))</f>
        <v/>
      </c>
      <c r="I2591" s="1">
        <f>IF(ISNUMBER(B2591),INT(B2591),0)</f>
        <v/>
      </c>
      <c r="J2591">
        <f>IF(ISNUMBER(B2591),YEAR(B2591)*100+MONTH(B2591),"")</f>
        <v/>
      </c>
      <c r="K2591">
        <f>IF(AND(H2591="",OR(F2591="Attended",F2591="No-show",AND(F2591="Late cancel",Settings!$C$9="Yes"))),1,0)</f>
        <v/>
      </c>
      <c r="L2591">
        <f>IF(AND(H2591="",F2591="Attended"),1,0)</f>
        <v/>
      </c>
      <c r="M2591">
        <f>IF(AND(H2591="",OR(F2591="No-show",F2591="Late cancel")),1,0)</f>
        <v/>
      </c>
      <c r="N2591">
        <f>IF(AND(H2591="",F2591="",D2591&lt;&gt;"",I2591&gt;=TODAY()),ROUND((I2591+IF(ISNUMBER(C2591),MOD(C2591,1),0))*1440,0)*10000+ROW(),"")</f>
        <v/>
      </c>
    </row>
    <row r="2592">
      <c r="A2592" s="1" t="n"/>
      <c r="B2592" s="17" t="n"/>
      <c r="C2592" s="18" t="n"/>
      <c r="D2592" s="19" t="n"/>
      <c r="E2592" s="20" t="n"/>
      <c r="F2592" s="20" t="n"/>
      <c r="G2592" s="21" t="n"/>
      <c r="H2592" s="12">
        <f>IF(AND(B2592="",D2592="",F2592=""),"",IF(NOT(ISNUMBER(B2592)),"Needs a date",IF(D2592="","Needs a client",IF(COUNTIF(Clients!$B$6:$B$105,D2592)=0,"Not on Clients",IF(AND(F2592="",INT(B2592)&lt;TODAY()),"Needs a status","")))))</f>
        <v/>
      </c>
      <c r="I2592" s="1">
        <f>IF(ISNUMBER(B2592),INT(B2592),0)</f>
        <v/>
      </c>
      <c r="J2592">
        <f>IF(ISNUMBER(B2592),YEAR(B2592)*100+MONTH(B2592),"")</f>
        <v/>
      </c>
      <c r="K2592">
        <f>IF(AND(H2592="",OR(F2592="Attended",F2592="No-show",AND(F2592="Late cancel",Settings!$C$9="Yes"))),1,0)</f>
        <v/>
      </c>
      <c r="L2592">
        <f>IF(AND(H2592="",F2592="Attended"),1,0)</f>
        <v/>
      </c>
      <c r="M2592">
        <f>IF(AND(H2592="",OR(F2592="No-show",F2592="Late cancel")),1,0)</f>
        <v/>
      </c>
      <c r="N2592">
        <f>IF(AND(H2592="",F2592="",D2592&lt;&gt;"",I2592&gt;=TODAY()),ROUND((I2592+IF(ISNUMBER(C2592),MOD(C2592,1),0))*1440,0)*10000+ROW(),"")</f>
        <v/>
      </c>
    </row>
    <row r="2593">
      <c r="A2593" s="1" t="n"/>
      <c r="B2593" s="17" t="n"/>
      <c r="C2593" s="18" t="n"/>
      <c r="D2593" s="19" t="n"/>
      <c r="E2593" s="20" t="n"/>
      <c r="F2593" s="20" t="n"/>
      <c r="G2593" s="21" t="n"/>
      <c r="H2593" s="12">
        <f>IF(AND(B2593="",D2593="",F2593=""),"",IF(NOT(ISNUMBER(B2593)),"Needs a date",IF(D2593="","Needs a client",IF(COUNTIF(Clients!$B$6:$B$105,D2593)=0,"Not on Clients",IF(AND(F2593="",INT(B2593)&lt;TODAY()),"Needs a status","")))))</f>
        <v/>
      </c>
      <c r="I2593" s="1">
        <f>IF(ISNUMBER(B2593),INT(B2593),0)</f>
        <v/>
      </c>
      <c r="J2593">
        <f>IF(ISNUMBER(B2593),YEAR(B2593)*100+MONTH(B2593),"")</f>
        <v/>
      </c>
      <c r="K2593">
        <f>IF(AND(H2593="",OR(F2593="Attended",F2593="No-show",AND(F2593="Late cancel",Settings!$C$9="Yes"))),1,0)</f>
        <v/>
      </c>
      <c r="L2593">
        <f>IF(AND(H2593="",F2593="Attended"),1,0)</f>
        <v/>
      </c>
      <c r="M2593">
        <f>IF(AND(H2593="",OR(F2593="No-show",F2593="Late cancel")),1,0)</f>
        <v/>
      </c>
      <c r="N2593">
        <f>IF(AND(H2593="",F2593="",D2593&lt;&gt;"",I2593&gt;=TODAY()),ROUND((I2593+IF(ISNUMBER(C2593),MOD(C2593,1),0))*1440,0)*10000+ROW(),"")</f>
        <v/>
      </c>
    </row>
    <row r="2594">
      <c r="A2594" s="1" t="n"/>
      <c r="B2594" s="17" t="n"/>
      <c r="C2594" s="18" t="n"/>
      <c r="D2594" s="19" t="n"/>
      <c r="E2594" s="20" t="n"/>
      <c r="F2594" s="20" t="n"/>
      <c r="G2594" s="21" t="n"/>
      <c r="H2594" s="12">
        <f>IF(AND(B2594="",D2594="",F2594=""),"",IF(NOT(ISNUMBER(B2594)),"Needs a date",IF(D2594="","Needs a client",IF(COUNTIF(Clients!$B$6:$B$105,D2594)=0,"Not on Clients",IF(AND(F2594="",INT(B2594)&lt;TODAY()),"Needs a status","")))))</f>
        <v/>
      </c>
      <c r="I2594" s="1">
        <f>IF(ISNUMBER(B2594),INT(B2594),0)</f>
        <v/>
      </c>
      <c r="J2594">
        <f>IF(ISNUMBER(B2594),YEAR(B2594)*100+MONTH(B2594),"")</f>
        <v/>
      </c>
      <c r="K2594">
        <f>IF(AND(H2594="",OR(F2594="Attended",F2594="No-show",AND(F2594="Late cancel",Settings!$C$9="Yes"))),1,0)</f>
        <v/>
      </c>
      <c r="L2594">
        <f>IF(AND(H2594="",F2594="Attended"),1,0)</f>
        <v/>
      </c>
      <c r="M2594">
        <f>IF(AND(H2594="",OR(F2594="No-show",F2594="Late cancel")),1,0)</f>
        <v/>
      </c>
      <c r="N2594">
        <f>IF(AND(H2594="",F2594="",D2594&lt;&gt;"",I2594&gt;=TODAY()),ROUND((I2594+IF(ISNUMBER(C2594),MOD(C2594,1),0))*1440,0)*10000+ROW(),"")</f>
        <v/>
      </c>
    </row>
    <row r="2595">
      <c r="A2595" s="1" t="n"/>
      <c r="B2595" s="17" t="n"/>
      <c r="C2595" s="18" t="n"/>
      <c r="D2595" s="19" t="n"/>
      <c r="E2595" s="20" t="n"/>
      <c r="F2595" s="20" t="n"/>
      <c r="G2595" s="21" t="n"/>
      <c r="H2595" s="12">
        <f>IF(AND(B2595="",D2595="",F2595=""),"",IF(NOT(ISNUMBER(B2595)),"Needs a date",IF(D2595="","Needs a client",IF(COUNTIF(Clients!$B$6:$B$105,D2595)=0,"Not on Clients",IF(AND(F2595="",INT(B2595)&lt;TODAY()),"Needs a status","")))))</f>
        <v/>
      </c>
      <c r="I2595" s="1">
        <f>IF(ISNUMBER(B2595),INT(B2595),0)</f>
        <v/>
      </c>
      <c r="J2595">
        <f>IF(ISNUMBER(B2595),YEAR(B2595)*100+MONTH(B2595),"")</f>
        <v/>
      </c>
      <c r="K2595">
        <f>IF(AND(H2595="",OR(F2595="Attended",F2595="No-show",AND(F2595="Late cancel",Settings!$C$9="Yes"))),1,0)</f>
        <v/>
      </c>
      <c r="L2595">
        <f>IF(AND(H2595="",F2595="Attended"),1,0)</f>
        <v/>
      </c>
      <c r="M2595">
        <f>IF(AND(H2595="",OR(F2595="No-show",F2595="Late cancel")),1,0)</f>
        <v/>
      </c>
      <c r="N2595">
        <f>IF(AND(H2595="",F2595="",D2595&lt;&gt;"",I2595&gt;=TODAY()),ROUND((I2595+IF(ISNUMBER(C2595),MOD(C2595,1),0))*1440,0)*10000+ROW(),"")</f>
        <v/>
      </c>
    </row>
    <row r="2596">
      <c r="A2596" s="1" t="n"/>
      <c r="B2596" s="17" t="n"/>
      <c r="C2596" s="18" t="n"/>
      <c r="D2596" s="19" t="n"/>
      <c r="E2596" s="20" t="n"/>
      <c r="F2596" s="20" t="n"/>
      <c r="G2596" s="21" t="n"/>
      <c r="H2596" s="12">
        <f>IF(AND(B2596="",D2596="",F2596=""),"",IF(NOT(ISNUMBER(B2596)),"Needs a date",IF(D2596="","Needs a client",IF(COUNTIF(Clients!$B$6:$B$105,D2596)=0,"Not on Clients",IF(AND(F2596="",INT(B2596)&lt;TODAY()),"Needs a status","")))))</f>
        <v/>
      </c>
      <c r="I2596" s="1">
        <f>IF(ISNUMBER(B2596),INT(B2596),0)</f>
        <v/>
      </c>
      <c r="J2596">
        <f>IF(ISNUMBER(B2596),YEAR(B2596)*100+MONTH(B2596),"")</f>
        <v/>
      </c>
      <c r="K2596">
        <f>IF(AND(H2596="",OR(F2596="Attended",F2596="No-show",AND(F2596="Late cancel",Settings!$C$9="Yes"))),1,0)</f>
        <v/>
      </c>
      <c r="L2596">
        <f>IF(AND(H2596="",F2596="Attended"),1,0)</f>
        <v/>
      </c>
      <c r="M2596">
        <f>IF(AND(H2596="",OR(F2596="No-show",F2596="Late cancel")),1,0)</f>
        <v/>
      </c>
      <c r="N2596">
        <f>IF(AND(H2596="",F2596="",D2596&lt;&gt;"",I2596&gt;=TODAY()),ROUND((I2596+IF(ISNUMBER(C2596),MOD(C2596,1),0))*1440,0)*10000+ROW(),"")</f>
        <v/>
      </c>
    </row>
    <row r="2597">
      <c r="A2597" s="1" t="n"/>
      <c r="B2597" s="17" t="n"/>
      <c r="C2597" s="18" t="n"/>
      <c r="D2597" s="19" t="n"/>
      <c r="E2597" s="20" t="n"/>
      <c r="F2597" s="20" t="n"/>
      <c r="G2597" s="21" t="n"/>
      <c r="H2597" s="12">
        <f>IF(AND(B2597="",D2597="",F2597=""),"",IF(NOT(ISNUMBER(B2597)),"Needs a date",IF(D2597="","Needs a client",IF(COUNTIF(Clients!$B$6:$B$105,D2597)=0,"Not on Clients",IF(AND(F2597="",INT(B2597)&lt;TODAY()),"Needs a status","")))))</f>
        <v/>
      </c>
      <c r="I2597" s="1">
        <f>IF(ISNUMBER(B2597),INT(B2597),0)</f>
        <v/>
      </c>
      <c r="J2597">
        <f>IF(ISNUMBER(B2597),YEAR(B2597)*100+MONTH(B2597),"")</f>
        <v/>
      </c>
      <c r="K2597">
        <f>IF(AND(H2597="",OR(F2597="Attended",F2597="No-show",AND(F2597="Late cancel",Settings!$C$9="Yes"))),1,0)</f>
        <v/>
      </c>
      <c r="L2597">
        <f>IF(AND(H2597="",F2597="Attended"),1,0)</f>
        <v/>
      </c>
      <c r="M2597">
        <f>IF(AND(H2597="",OR(F2597="No-show",F2597="Late cancel")),1,0)</f>
        <v/>
      </c>
      <c r="N2597">
        <f>IF(AND(H2597="",F2597="",D2597&lt;&gt;"",I2597&gt;=TODAY()),ROUND((I2597+IF(ISNUMBER(C2597),MOD(C2597,1),0))*1440,0)*10000+ROW(),"")</f>
        <v/>
      </c>
    </row>
    <row r="2598">
      <c r="A2598" s="1" t="n"/>
      <c r="B2598" s="17" t="n"/>
      <c r="C2598" s="18" t="n"/>
      <c r="D2598" s="19" t="n"/>
      <c r="E2598" s="20" t="n"/>
      <c r="F2598" s="20" t="n"/>
      <c r="G2598" s="21" t="n"/>
      <c r="H2598" s="12">
        <f>IF(AND(B2598="",D2598="",F2598=""),"",IF(NOT(ISNUMBER(B2598)),"Needs a date",IF(D2598="","Needs a client",IF(COUNTIF(Clients!$B$6:$B$105,D2598)=0,"Not on Clients",IF(AND(F2598="",INT(B2598)&lt;TODAY()),"Needs a status","")))))</f>
        <v/>
      </c>
      <c r="I2598" s="1">
        <f>IF(ISNUMBER(B2598),INT(B2598),0)</f>
        <v/>
      </c>
      <c r="J2598">
        <f>IF(ISNUMBER(B2598),YEAR(B2598)*100+MONTH(B2598),"")</f>
        <v/>
      </c>
      <c r="K2598">
        <f>IF(AND(H2598="",OR(F2598="Attended",F2598="No-show",AND(F2598="Late cancel",Settings!$C$9="Yes"))),1,0)</f>
        <v/>
      </c>
      <c r="L2598">
        <f>IF(AND(H2598="",F2598="Attended"),1,0)</f>
        <v/>
      </c>
      <c r="M2598">
        <f>IF(AND(H2598="",OR(F2598="No-show",F2598="Late cancel")),1,0)</f>
        <v/>
      </c>
      <c r="N2598">
        <f>IF(AND(H2598="",F2598="",D2598&lt;&gt;"",I2598&gt;=TODAY()),ROUND((I2598+IF(ISNUMBER(C2598),MOD(C2598,1),0))*1440,0)*10000+ROW(),"")</f>
        <v/>
      </c>
    </row>
    <row r="2599">
      <c r="A2599" s="1" t="n"/>
      <c r="B2599" s="17" t="n"/>
      <c r="C2599" s="18" t="n"/>
      <c r="D2599" s="19" t="n"/>
      <c r="E2599" s="20" t="n"/>
      <c r="F2599" s="20" t="n"/>
      <c r="G2599" s="21" t="n"/>
      <c r="H2599" s="12">
        <f>IF(AND(B2599="",D2599="",F2599=""),"",IF(NOT(ISNUMBER(B2599)),"Needs a date",IF(D2599="","Needs a client",IF(COUNTIF(Clients!$B$6:$B$105,D2599)=0,"Not on Clients",IF(AND(F2599="",INT(B2599)&lt;TODAY()),"Needs a status","")))))</f>
        <v/>
      </c>
      <c r="I2599" s="1">
        <f>IF(ISNUMBER(B2599),INT(B2599),0)</f>
        <v/>
      </c>
      <c r="J2599">
        <f>IF(ISNUMBER(B2599),YEAR(B2599)*100+MONTH(B2599),"")</f>
        <v/>
      </c>
      <c r="K2599">
        <f>IF(AND(H2599="",OR(F2599="Attended",F2599="No-show",AND(F2599="Late cancel",Settings!$C$9="Yes"))),1,0)</f>
        <v/>
      </c>
      <c r="L2599">
        <f>IF(AND(H2599="",F2599="Attended"),1,0)</f>
        <v/>
      </c>
      <c r="M2599">
        <f>IF(AND(H2599="",OR(F2599="No-show",F2599="Late cancel")),1,0)</f>
        <v/>
      </c>
      <c r="N2599">
        <f>IF(AND(H2599="",F2599="",D2599&lt;&gt;"",I2599&gt;=TODAY()),ROUND((I2599+IF(ISNUMBER(C2599),MOD(C2599,1),0))*1440,0)*10000+ROW(),"")</f>
        <v/>
      </c>
    </row>
    <row r="2600">
      <c r="A2600" s="1" t="n"/>
      <c r="B2600" s="17" t="n"/>
      <c r="C2600" s="18" t="n"/>
      <c r="D2600" s="19" t="n"/>
      <c r="E2600" s="20" t="n"/>
      <c r="F2600" s="20" t="n"/>
      <c r="G2600" s="21" t="n"/>
      <c r="H2600" s="12">
        <f>IF(AND(B2600="",D2600="",F2600=""),"",IF(NOT(ISNUMBER(B2600)),"Needs a date",IF(D2600="","Needs a client",IF(COUNTIF(Clients!$B$6:$B$105,D2600)=0,"Not on Clients",IF(AND(F2600="",INT(B2600)&lt;TODAY()),"Needs a status","")))))</f>
        <v/>
      </c>
      <c r="I2600" s="1">
        <f>IF(ISNUMBER(B2600),INT(B2600),0)</f>
        <v/>
      </c>
      <c r="J2600">
        <f>IF(ISNUMBER(B2600),YEAR(B2600)*100+MONTH(B2600),"")</f>
        <v/>
      </c>
      <c r="K2600">
        <f>IF(AND(H2600="",OR(F2600="Attended",F2600="No-show",AND(F2600="Late cancel",Settings!$C$9="Yes"))),1,0)</f>
        <v/>
      </c>
      <c r="L2600">
        <f>IF(AND(H2600="",F2600="Attended"),1,0)</f>
        <v/>
      </c>
      <c r="M2600">
        <f>IF(AND(H2600="",OR(F2600="No-show",F2600="Late cancel")),1,0)</f>
        <v/>
      </c>
      <c r="N2600">
        <f>IF(AND(H2600="",F2600="",D2600&lt;&gt;"",I2600&gt;=TODAY()),ROUND((I2600+IF(ISNUMBER(C2600),MOD(C2600,1),0))*1440,0)*10000+ROW(),"")</f>
        <v/>
      </c>
    </row>
    <row r="2601">
      <c r="A2601" s="1" t="n"/>
      <c r="B2601" s="17" t="n"/>
      <c r="C2601" s="18" t="n"/>
      <c r="D2601" s="19" t="n"/>
      <c r="E2601" s="20" t="n"/>
      <c r="F2601" s="20" t="n"/>
      <c r="G2601" s="21" t="n"/>
      <c r="H2601" s="12">
        <f>IF(AND(B2601="",D2601="",F2601=""),"",IF(NOT(ISNUMBER(B2601)),"Needs a date",IF(D2601="","Needs a client",IF(COUNTIF(Clients!$B$6:$B$105,D2601)=0,"Not on Clients",IF(AND(F2601="",INT(B2601)&lt;TODAY()),"Needs a status","")))))</f>
        <v/>
      </c>
      <c r="I2601" s="1">
        <f>IF(ISNUMBER(B2601),INT(B2601),0)</f>
        <v/>
      </c>
      <c r="J2601">
        <f>IF(ISNUMBER(B2601),YEAR(B2601)*100+MONTH(B2601),"")</f>
        <v/>
      </c>
      <c r="K2601">
        <f>IF(AND(H2601="",OR(F2601="Attended",F2601="No-show",AND(F2601="Late cancel",Settings!$C$9="Yes"))),1,0)</f>
        <v/>
      </c>
      <c r="L2601">
        <f>IF(AND(H2601="",F2601="Attended"),1,0)</f>
        <v/>
      </c>
      <c r="M2601">
        <f>IF(AND(H2601="",OR(F2601="No-show",F2601="Late cancel")),1,0)</f>
        <v/>
      </c>
      <c r="N2601">
        <f>IF(AND(H2601="",F2601="",D2601&lt;&gt;"",I2601&gt;=TODAY()),ROUND((I2601+IF(ISNUMBER(C2601),MOD(C2601,1),0))*1440,0)*10000+ROW(),"")</f>
        <v/>
      </c>
    </row>
    <row r="2602">
      <c r="A2602" s="1" t="n"/>
      <c r="B2602" s="17" t="n"/>
      <c r="C2602" s="18" t="n"/>
      <c r="D2602" s="19" t="n"/>
      <c r="E2602" s="20" t="n"/>
      <c r="F2602" s="20" t="n"/>
      <c r="G2602" s="21" t="n"/>
      <c r="H2602" s="12">
        <f>IF(AND(B2602="",D2602="",F2602=""),"",IF(NOT(ISNUMBER(B2602)),"Needs a date",IF(D2602="","Needs a client",IF(COUNTIF(Clients!$B$6:$B$105,D2602)=0,"Not on Clients",IF(AND(F2602="",INT(B2602)&lt;TODAY()),"Needs a status","")))))</f>
        <v/>
      </c>
      <c r="I2602" s="1">
        <f>IF(ISNUMBER(B2602),INT(B2602),0)</f>
        <v/>
      </c>
      <c r="J2602">
        <f>IF(ISNUMBER(B2602),YEAR(B2602)*100+MONTH(B2602),"")</f>
        <v/>
      </c>
      <c r="K2602">
        <f>IF(AND(H2602="",OR(F2602="Attended",F2602="No-show",AND(F2602="Late cancel",Settings!$C$9="Yes"))),1,0)</f>
        <v/>
      </c>
      <c r="L2602">
        <f>IF(AND(H2602="",F2602="Attended"),1,0)</f>
        <v/>
      </c>
      <c r="M2602">
        <f>IF(AND(H2602="",OR(F2602="No-show",F2602="Late cancel")),1,0)</f>
        <v/>
      </c>
      <c r="N2602">
        <f>IF(AND(H2602="",F2602="",D2602&lt;&gt;"",I2602&gt;=TODAY()),ROUND((I2602+IF(ISNUMBER(C2602),MOD(C2602,1),0))*1440,0)*10000+ROW(),"")</f>
        <v/>
      </c>
    </row>
    <row r="2603">
      <c r="A2603" s="1" t="n"/>
      <c r="B2603" s="17" t="n"/>
      <c r="C2603" s="18" t="n"/>
      <c r="D2603" s="19" t="n"/>
      <c r="E2603" s="20" t="n"/>
      <c r="F2603" s="20" t="n"/>
      <c r="G2603" s="21" t="n"/>
      <c r="H2603" s="12">
        <f>IF(AND(B2603="",D2603="",F2603=""),"",IF(NOT(ISNUMBER(B2603)),"Needs a date",IF(D2603="","Needs a client",IF(COUNTIF(Clients!$B$6:$B$105,D2603)=0,"Not on Clients",IF(AND(F2603="",INT(B2603)&lt;TODAY()),"Needs a status","")))))</f>
        <v/>
      </c>
      <c r="I2603" s="1">
        <f>IF(ISNUMBER(B2603),INT(B2603),0)</f>
        <v/>
      </c>
      <c r="J2603">
        <f>IF(ISNUMBER(B2603),YEAR(B2603)*100+MONTH(B2603),"")</f>
        <v/>
      </c>
      <c r="K2603">
        <f>IF(AND(H2603="",OR(F2603="Attended",F2603="No-show",AND(F2603="Late cancel",Settings!$C$9="Yes"))),1,0)</f>
        <v/>
      </c>
      <c r="L2603">
        <f>IF(AND(H2603="",F2603="Attended"),1,0)</f>
        <v/>
      </c>
      <c r="M2603">
        <f>IF(AND(H2603="",OR(F2603="No-show",F2603="Late cancel")),1,0)</f>
        <v/>
      </c>
      <c r="N2603">
        <f>IF(AND(H2603="",F2603="",D2603&lt;&gt;"",I2603&gt;=TODAY()),ROUND((I2603+IF(ISNUMBER(C2603),MOD(C2603,1),0))*1440,0)*10000+ROW(),"")</f>
        <v/>
      </c>
    </row>
    <row r="2604">
      <c r="A2604" s="1" t="n"/>
      <c r="B2604" s="17" t="n"/>
      <c r="C2604" s="18" t="n"/>
      <c r="D2604" s="19" t="n"/>
      <c r="E2604" s="20" t="n"/>
      <c r="F2604" s="20" t="n"/>
      <c r="G2604" s="21" t="n"/>
      <c r="H2604" s="12">
        <f>IF(AND(B2604="",D2604="",F2604=""),"",IF(NOT(ISNUMBER(B2604)),"Needs a date",IF(D2604="","Needs a client",IF(COUNTIF(Clients!$B$6:$B$105,D2604)=0,"Not on Clients",IF(AND(F2604="",INT(B2604)&lt;TODAY()),"Needs a status","")))))</f>
        <v/>
      </c>
      <c r="I2604" s="1">
        <f>IF(ISNUMBER(B2604),INT(B2604),0)</f>
        <v/>
      </c>
      <c r="J2604">
        <f>IF(ISNUMBER(B2604),YEAR(B2604)*100+MONTH(B2604),"")</f>
        <v/>
      </c>
      <c r="K2604">
        <f>IF(AND(H2604="",OR(F2604="Attended",F2604="No-show",AND(F2604="Late cancel",Settings!$C$9="Yes"))),1,0)</f>
        <v/>
      </c>
      <c r="L2604">
        <f>IF(AND(H2604="",F2604="Attended"),1,0)</f>
        <v/>
      </c>
      <c r="M2604">
        <f>IF(AND(H2604="",OR(F2604="No-show",F2604="Late cancel")),1,0)</f>
        <v/>
      </c>
      <c r="N2604">
        <f>IF(AND(H2604="",F2604="",D2604&lt;&gt;"",I2604&gt;=TODAY()),ROUND((I2604+IF(ISNUMBER(C2604),MOD(C2604,1),0))*1440,0)*10000+ROW(),"")</f>
        <v/>
      </c>
    </row>
    <row r="2605">
      <c r="A2605" s="1" t="n"/>
      <c r="B2605" s="17" t="n"/>
      <c r="C2605" s="18" t="n"/>
      <c r="D2605" s="19" t="n"/>
      <c r="E2605" s="20" t="n"/>
      <c r="F2605" s="20" t="n"/>
      <c r="G2605" s="21" t="n"/>
      <c r="H2605" s="12">
        <f>IF(AND(B2605="",D2605="",F2605=""),"",IF(NOT(ISNUMBER(B2605)),"Needs a date",IF(D2605="","Needs a client",IF(COUNTIF(Clients!$B$6:$B$105,D2605)=0,"Not on Clients",IF(AND(F2605="",INT(B2605)&lt;TODAY()),"Needs a status","")))))</f>
        <v/>
      </c>
      <c r="I2605" s="1">
        <f>IF(ISNUMBER(B2605),INT(B2605),0)</f>
        <v/>
      </c>
      <c r="J2605">
        <f>IF(ISNUMBER(B2605),YEAR(B2605)*100+MONTH(B2605),"")</f>
        <v/>
      </c>
      <c r="K2605">
        <f>IF(AND(H2605="",OR(F2605="Attended",F2605="No-show",AND(F2605="Late cancel",Settings!$C$9="Yes"))),1,0)</f>
        <v/>
      </c>
      <c r="L2605">
        <f>IF(AND(H2605="",F2605="Attended"),1,0)</f>
        <v/>
      </c>
      <c r="M2605">
        <f>IF(AND(H2605="",OR(F2605="No-show",F2605="Late cancel")),1,0)</f>
        <v/>
      </c>
      <c r="N2605">
        <f>IF(AND(H2605="",F2605="",D2605&lt;&gt;"",I2605&gt;=TODAY()),ROUND((I2605+IF(ISNUMBER(C2605),MOD(C2605,1),0))*1440,0)*10000+ROW(),"")</f>
        <v/>
      </c>
    </row>
    <row r="2606">
      <c r="A2606" s="1" t="n"/>
      <c r="B2606" s="17" t="n"/>
      <c r="C2606" s="18" t="n"/>
      <c r="D2606" s="19" t="n"/>
      <c r="E2606" s="20" t="n"/>
      <c r="F2606" s="20" t="n"/>
      <c r="G2606" s="21" t="n"/>
      <c r="H2606" s="12">
        <f>IF(AND(B2606="",D2606="",F2606=""),"",IF(NOT(ISNUMBER(B2606)),"Needs a date",IF(D2606="","Needs a client",IF(COUNTIF(Clients!$B$6:$B$105,D2606)=0,"Not on Clients",IF(AND(F2606="",INT(B2606)&lt;TODAY()),"Needs a status","")))))</f>
        <v/>
      </c>
      <c r="I2606" s="1">
        <f>IF(ISNUMBER(B2606),INT(B2606),0)</f>
        <v/>
      </c>
      <c r="J2606">
        <f>IF(ISNUMBER(B2606),YEAR(B2606)*100+MONTH(B2606),"")</f>
        <v/>
      </c>
      <c r="K2606">
        <f>IF(AND(H2606="",OR(F2606="Attended",F2606="No-show",AND(F2606="Late cancel",Settings!$C$9="Yes"))),1,0)</f>
        <v/>
      </c>
      <c r="L2606">
        <f>IF(AND(H2606="",F2606="Attended"),1,0)</f>
        <v/>
      </c>
      <c r="M2606">
        <f>IF(AND(H2606="",OR(F2606="No-show",F2606="Late cancel")),1,0)</f>
        <v/>
      </c>
      <c r="N2606">
        <f>IF(AND(H2606="",F2606="",D2606&lt;&gt;"",I2606&gt;=TODAY()),ROUND((I2606+IF(ISNUMBER(C2606),MOD(C2606,1),0))*1440,0)*10000+ROW(),"")</f>
        <v/>
      </c>
    </row>
    <row r="2607">
      <c r="A2607" s="1" t="n"/>
      <c r="B2607" s="17" t="n"/>
      <c r="C2607" s="18" t="n"/>
      <c r="D2607" s="19" t="n"/>
      <c r="E2607" s="20" t="n"/>
      <c r="F2607" s="20" t="n"/>
      <c r="G2607" s="21" t="n"/>
      <c r="H2607" s="12">
        <f>IF(AND(B2607="",D2607="",F2607=""),"",IF(NOT(ISNUMBER(B2607)),"Needs a date",IF(D2607="","Needs a client",IF(COUNTIF(Clients!$B$6:$B$105,D2607)=0,"Not on Clients",IF(AND(F2607="",INT(B2607)&lt;TODAY()),"Needs a status","")))))</f>
        <v/>
      </c>
      <c r="I2607" s="1">
        <f>IF(ISNUMBER(B2607),INT(B2607),0)</f>
        <v/>
      </c>
      <c r="J2607">
        <f>IF(ISNUMBER(B2607),YEAR(B2607)*100+MONTH(B2607),"")</f>
        <v/>
      </c>
      <c r="K2607">
        <f>IF(AND(H2607="",OR(F2607="Attended",F2607="No-show",AND(F2607="Late cancel",Settings!$C$9="Yes"))),1,0)</f>
        <v/>
      </c>
      <c r="L2607">
        <f>IF(AND(H2607="",F2607="Attended"),1,0)</f>
        <v/>
      </c>
      <c r="M2607">
        <f>IF(AND(H2607="",OR(F2607="No-show",F2607="Late cancel")),1,0)</f>
        <v/>
      </c>
      <c r="N2607">
        <f>IF(AND(H2607="",F2607="",D2607&lt;&gt;"",I2607&gt;=TODAY()),ROUND((I2607+IF(ISNUMBER(C2607),MOD(C2607,1),0))*1440,0)*10000+ROW(),"")</f>
        <v/>
      </c>
    </row>
    <row r="2608">
      <c r="A2608" s="1" t="n"/>
      <c r="B2608" s="17" t="n"/>
      <c r="C2608" s="18" t="n"/>
      <c r="D2608" s="19" t="n"/>
      <c r="E2608" s="20" t="n"/>
      <c r="F2608" s="20" t="n"/>
      <c r="G2608" s="21" t="n"/>
      <c r="H2608" s="12">
        <f>IF(AND(B2608="",D2608="",F2608=""),"",IF(NOT(ISNUMBER(B2608)),"Needs a date",IF(D2608="","Needs a client",IF(COUNTIF(Clients!$B$6:$B$105,D2608)=0,"Not on Clients",IF(AND(F2608="",INT(B2608)&lt;TODAY()),"Needs a status","")))))</f>
        <v/>
      </c>
      <c r="I2608" s="1">
        <f>IF(ISNUMBER(B2608),INT(B2608),0)</f>
        <v/>
      </c>
      <c r="J2608">
        <f>IF(ISNUMBER(B2608),YEAR(B2608)*100+MONTH(B2608),"")</f>
        <v/>
      </c>
      <c r="K2608">
        <f>IF(AND(H2608="",OR(F2608="Attended",F2608="No-show",AND(F2608="Late cancel",Settings!$C$9="Yes"))),1,0)</f>
        <v/>
      </c>
      <c r="L2608">
        <f>IF(AND(H2608="",F2608="Attended"),1,0)</f>
        <v/>
      </c>
      <c r="M2608">
        <f>IF(AND(H2608="",OR(F2608="No-show",F2608="Late cancel")),1,0)</f>
        <v/>
      </c>
      <c r="N2608">
        <f>IF(AND(H2608="",F2608="",D2608&lt;&gt;"",I2608&gt;=TODAY()),ROUND((I2608+IF(ISNUMBER(C2608),MOD(C2608,1),0))*1440,0)*10000+ROW(),"")</f>
        <v/>
      </c>
    </row>
    <row r="2609">
      <c r="A2609" s="1" t="n"/>
      <c r="B2609" s="17" t="n"/>
      <c r="C2609" s="18" t="n"/>
      <c r="D2609" s="19" t="n"/>
      <c r="E2609" s="20" t="n"/>
      <c r="F2609" s="20" t="n"/>
      <c r="G2609" s="21" t="n"/>
      <c r="H2609" s="12">
        <f>IF(AND(B2609="",D2609="",F2609=""),"",IF(NOT(ISNUMBER(B2609)),"Needs a date",IF(D2609="","Needs a client",IF(COUNTIF(Clients!$B$6:$B$105,D2609)=0,"Not on Clients",IF(AND(F2609="",INT(B2609)&lt;TODAY()),"Needs a status","")))))</f>
        <v/>
      </c>
      <c r="I2609" s="1">
        <f>IF(ISNUMBER(B2609),INT(B2609),0)</f>
        <v/>
      </c>
      <c r="J2609">
        <f>IF(ISNUMBER(B2609),YEAR(B2609)*100+MONTH(B2609),"")</f>
        <v/>
      </c>
      <c r="K2609">
        <f>IF(AND(H2609="",OR(F2609="Attended",F2609="No-show",AND(F2609="Late cancel",Settings!$C$9="Yes"))),1,0)</f>
        <v/>
      </c>
      <c r="L2609">
        <f>IF(AND(H2609="",F2609="Attended"),1,0)</f>
        <v/>
      </c>
      <c r="M2609">
        <f>IF(AND(H2609="",OR(F2609="No-show",F2609="Late cancel")),1,0)</f>
        <v/>
      </c>
      <c r="N2609">
        <f>IF(AND(H2609="",F2609="",D2609&lt;&gt;"",I2609&gt;=TODAY()),ROUND((I2609+IF(ISNUMBER(C2609),MOD(C2609,1),0))*1440,0)*10000+ROW(),"")</f>
        <v/>
      </c>
    </row>
    <row r="2610">
      <c r="A2610" s="1" t="n"/>
      <c r="B2610" s="17" t="n"/>
      <c r="C2610" s="18" t="n"/>
      <c r="D2610" s="19" t="n"/>
      <c r="E2610" s="20" t="n"/>
      <c r="F2610" s="20" t="n"/>
      <c r="G2610" s="21" t="n"/>
      <c r="H2610" s="12">
        <f>IF(AND(B2610="",D2610="",F2610=""),"",IF(NOT(ISNUMBER(B2610)),"Needs a date",IF(D2610="","Needs a client",IF(COUNTIF(Clients!$B$6:$B$105,D2610)=0,"Not on Clients",IF(AND(F2610="",INT(B2610)&lt;TODAY()),"Needs a status","")))))</f>
        <v/>
      </c>
      <c r="I2610" s="1">
        <f>IF(ISNUMBER(B2610),INT(B2610),0)</f>
        <v/>
      </c>
      <c r="J2610">
        <f>IF(ISNUMBER(B2610),YEAR(B2610)*100+MONTH(B2610),"")</f>
        <v/>
      </c>
      <c r="K2610">
        <f>IF(AND(H2610="",OR(F2610="Attended",F2610="No-show",AND(F2610="Late cancel",Settings!$C$9="Yes"))),1,0)</f>
        <v/>
      </c>
      <c r="L2610">
        <f>IF(AND(H2610="",F2610="Attended"),1,0)</f>
        <v/>
      </c>
      <c r="M2610">
        <f>IF(AND(H2610="",OR(F2610="No-show",F2610="Late cancel")),1,0)</f>
        <v/>
      </c>
      <c r="N2610">
        <f>IF(AND(H2610="",F2610="",D2610&lt;&gt;"",I2610&gt;=TODAY()),ROUND((I2610+IF(ISNUMBER(C2610),MOD(C2610,1),0))*1440,0)*10000+ROW(),"")</f>
        <v/>
      </c>
    </row>
    <row r="2611">
      <c r="A2611" s="1" t="n"/>
      <c r="B2611" s="17" t="n"/>
      <c r="C2611" s="18" t="n"/>
      <c r="D2611" s="19" t="n"/>
      <c r="E2611" s="20" t="n"/>
      <c r="F2611" s="20" t="n"/>
      <c r="G2611" s="21" t="n"/>
      <c r="H2611" s="12">
        <f>IF(AND(B2611="",D2611="",F2611=""),"",IF(NOT(ISNUMBER(B2611)),"Needs a date",IF(D2611="","Needs a client",IF(COUNTIF(Clients!$B$6:$B$105,D2611)=0,"Not on Clients",IF(AND(F2611="",INT(B2611)&lt;TODAY()),"Needs a status","")))))</f>
        <v/>
      </c>
      <c r="I2611" s="1">
        <f>IF(ISNUMBER(B2611),INT(B2611),0)</f>
        <v/>
      </c>
      <c r="J2611">
        <f>IF(ISNUMBER(B2611),YEAR(B2611)*100+MONTH(B2611),"")</f>
        <v/>
      </c>
      <c r="K2611">
        <f>IF(AND(H2611="",OR(F2611="Attended",F2611="No-show",AND(F2611="Late cancel",Settings!$C$9="Yes"))),1,0)</f>
        <v/>
      </c>
      <c r="L2611">
        <f>IF(AND(H2611="",F2611="Attended"),1,0)</f>
        <v/>
      </c>
      <c r="M2611">
        <f>IF(AND(H2611="",OR(F2611="No-show",F2611="Late cancel")),1,0)</f>
        <v/>
      </c>
      <c r="N2611">
        <f>IF(AND(H2611="",F2611="",D2611&lt;&gt;"",I2611&gt;=TODAY()),ROUND((I2611+IF(ISNUMBER(C2611),MOD(C2611,1),0))*1440,0)*10000+ROW(),"")</f>
        <v/>
      </c>
    </row>
    <row r="2612">
      <c r="A2612" s="1" t="n"/>
      <c r="B2612" s="17" t="n"/>
      <c r="C2612" s="18" t="n"/>
      <c r="D2612" s="19" t="n"/>
      <c r="E2612" s="20" t="n"/>
      <c r="F2612" s="20" t="n"/>
      <c r="G2612" s="21" t="n"/>
      <c r="H2612" s="12">
        <f>IF(AND(B2612="",D2612="",F2612=""),"",IF(NOT(ISNUMBER(B2612)),"Needs a date",IF(D2612="","Needs a client",IF(COUNTIF(Clients!$B$6:$B$105,D2612)=0,"Not on Clients",IF(AND(F2612="",INT(B2612)&lt;TODAY()),"Needs a status","")))))</f>
        <v/>
      </c>
      <c r="I2612" s="1">
        <f>IF(ISNUMBER(B2612),INT(B2612),0)</f>
        <v/>
      </c>
      <c r="J2612">
        <f>IF(ISNUMBER(B2612),YEAR(B2612)*100+MONTH(B2612),"")</f>
        <v/>
      </c>
      <c r="K2612">
        <f>IF(AND(H2612="",OR(F2612="Attended",F2612="No-show",AND(F2612="Late cancel",Settings!$C$9="Yes"))),1,0)</f>
        <v/>
      </c>
      <c r="L2612">
        <f>IF(AND(H2612="",F2612="Attended"),1,0)</f>
        <v/>
      </c>
      <c r="M2612">
        <f>IF(AND(H2612="",OR(F2612="No-show",F2612="Late cancel")),1,0)</f>
        <v/>
      </c>
      <c r="N2612">
        <f>IF(AND(H2612="",F2612="",D2612&lt;&gt;"",I2612&gt;=TODAY()),ROUND((I2612+IF(ISNUMBER(C2612),MOD(C2612,1),0))*1440,0)*10000+ROW(),"")</f>
        <v/>
      </c>
    </row>
    <row r="2613">
      <c r="A2613" s="1" t="n"/>
      <c r="B2613" s="17" t="n"/>
      <c r="C2613" s="18" t="n"/>
      <c r="D2613" s="19" t="n"/>
      <c r="E2613" s="20" t="n"/>
      <c r="F2613" s="20" t="n"/>
      <c r="G2613" s="21" t="n"/>
      <c r="H2613" s="12">
        <f>IF(AND(B2613="",D2613="",F2613=""),"",IF(NOT(ISNUMBER(B2613)),"Needs a date",IF(D2613="","Needs a client",IF(COUNTIF(Clients!$B$6:$B$105,D2613)=0,"Not on Clients",IF(AND(F2613="",INT(B2613)&lt;TODAY()),"Needs a status","")))))</f>
        <v/>
      </c>
      <c r="I2613" s="1">
        <f>IF(ISNUMBER(B2613),INT(B2613),0)</f>
        <v/>
      </c>
      <c r="J2613">
        <f>IF(ISNUMBER(B2613),YEAR(B2613)*100+MONTH(B2613),"")</f>
        <v/>
      </c>
      <c r="K2613">
        <f>IF(AND(H2613="",OR(F2613="Attended",F2613="No-show",AND(F2613="Late cancel",Settings!$C$9="Yes"))),1,0)</f>
        <v/>
      </c>
      <c r="L2613">
        <f>IF(AND(H2613="",F2613="Attended"),1,0)</f>
        <v/>
      </c>
      <c r="M2613">
        <f>IF(AND(H2613="",OR(F2613="No-show",F2613="Late cancel")),1,0)</f>
        <v/>
      </c>
      <c r="N2613">
        <f>IF(AND(H2613="",F2613="",D2613&lt;&gt;"",I2613&gt;=TODAY()),ROUND((I2613+IF(ISNUMBER(C2613),MOD(C2613,1),0))*1440,0)*10000+ROW(),"")</f>
        <v/>
      </c>
    </row>
    <row r="2614">
      <c r="A2614" s="1" t="n"/>
      <c r="B2614" s="17" t="n"/>
      <c r="C2614" s="18" t="n"/>
      <c r="D2614" s="19" t="n"/>
      <c r="E2614" s="20" t="n"/>
      <c r="F2614" s="20" t="n"/>
      <c r="G2614" s="21" t="n"/>
      <c r="H2614" s="12">
        <f>IF(AND(B2614="",D2614="",F2614=""),"",IF(NOT(ISNUMBER(B2614)),"Needs a date",IF(D2614="","Needs a client",IF(COUNTIF(Clients!$B$6:$B$105,D2614)=0,"Not on Clients",IF(AND(F2614="",INT(B2614)&lt;TODAY()),"Needs a status","")))))</f>
        <v/>
      </c>
      <c r="I2614" s="1">
        <f>IF(ISNUMBER(B2614),INT(B2614),0)</f>
        <v/>
      </c>
      <c r="J2614">
        <f>IF(ISNUMBER(B2614),YEAR(B2614)*100+MONTH(B2614),"")</f>
        <v/>
      </c>
      <c r="K2614">
        <f>IF(AND(H2614="",OR(F2614="Attended",F2614="No-show",AND(F2614="Late cancel",Settings!$C$9="Yes"))),1,0)</f>
        <v/>
      </c>
      <c r="L2614">
        <f>IF(AND(H2614="",F2614="Attended"),1,0)</f>
        <v/>
      </c>
      <c r="M2614">
        <f>IF(AND(H2614="",OR(F2614="No-show",F2614="Late cancel")),1,0)</f>
        <v/>
      </c>
      <c r="N2614">
        <f>IF(AND(H2614="",F2614="",D2614&lt;&gt;"",I2614&gt;=TODAY()),ROUND((I2614+IF(ISNUMBER(C2614),MOD(C2614,1),0))*1440,0)*10000+ROW(),"")</f>
        <v/>
      </c>
    </row>
    <row r="2615">
      <c r="A2615" s="1" t="n"/>
      <c r="B2615" s="17" t="n"/>
      <c r="C2615" s="18" t="n"/>
      <c r="D2615" s="19" t="n"/>
      <c r="E2615" s="20" t="n"/>
      <c r="F2615" s="20" t="n"/>
      <c r="G2615" s="21" t="n"/>
      <c r="H2615" s="12">
        <f>IF(AND(B2615="",D2615="",F2615=""),"",IF(NOT(ISNUMBER(B2615)),"Needs a date",IF(D2615="","Needs a client",IF(COUNTIF(Clients!$B$6:$B$105,D2615)=0,"Not on Clients",IF(AND(F2615="",INT(B2615)&lt;TODAY()),"Needs a status","")))))</f>
        <v/>
      </c>
      <c r="I2615" s="1">
        <f>IF(ISNUMBER(B2615),INT(B2615),0)</f>
        <v/>
      </c>
      <c r="J2615">
        <f>IF(ISNUMBER(B2615),YEAR(B2615)*100+MONTH(B2615),"")</f>
        <v/>
      </c>
      <c r="K2615">
        <f>IF(AND(H2615="",OR(F2615="Attended",F2615="No-show",AND(F2615="Late cancel",Settings!$C$9="Yes"))),1,0)</f>
        <v/>
      </c>
      <c r="L2615">
        <f>IF(AND(H2615="",F2615="Attended"),1,0)</f>
        <v/>
      </c>
      <c r="M2615">
        <f>IF(AND(H2615="",OR(F2615="No-show",F2615="Late cancel")),1,0)</f>
        <v/>
      </c>
      <c r="N2615">
        <f>IF(AND(H2615="",F2615="",D2615&lt;&gt;"",I2615&gt;=TODAY()),ROUND((I2615+IF(ISNUMBER(C2615),MOD(C2615,1),0))*1440,0)*10000+ROW(),"")</f>
        <v/>
      </c>
    </row>
    <row r="2616">
      <c r="A2616" s="1" t="n"/>
      <c r="B2616" s="17" t="n"/>
      <c r="C2616" s="18" t="n"/>
      <c r="D2616" s="19" t="n"/>
      <c r="E2616" s="20" t="n"/>
      <c r="F2616" s="20" t="n"/>
      <c r="G2616" s="21" t="n"/>
      <c r="H2616" s="12">
        <f>IF(AND(B2616="",D2616="",F2616=""),"",IF(NOT(ISNUMBER(B2616)),"Needs a date",IF(D2616="","Needs a client",IF(COUNTIF(Clients!$B$6:$B$105,D2616)=0,"Not on Clients",IF(AND(F2616="",INT(B2616)&lt;TODAY()),"Needs a status","")))))</f>
        <v/>
      </c>
      <c r="I2616" s="1">
        <f>IF(ISNUMBER(B2616),INT(B2616),0)</f>
        <v/>
      </c>
      <c r="J2616">
        <f>IF(ISNUMBER(B2616),YEAR(B2616)*100+MONTH(B2616),"")</f>
        <v/>
      </c>
      <c r="K2616">
        <f>IF(AND(H2616="",OR(F2616="Attended",F2616="No-show",AND(F2616="Late cancel",Settings!$C$9="Yes"))),1,0)</f>
        <v/>
      </c>
      <c r="L2616">
        <f>IF(AND(H2616="",F2616="Attended"),1,0)</f>
        <v/>
      </c>
      <c r="M2616">
        <f>IF(AND(H2616="",OR(F2616="No-show",F2616="Late cancel")),1,0)</f>
        <v/>
      </c>
      <c r="N2616">
        <f>IF(AND(H2616="",F2616="",D2616&lt;&gt;"",I2616&gt;=TODAY()),ROUND((I2616+IF(ISNUMBER(C2616),MOD(C2616,1),0))*1440,0)*10000+ROW(),"")</f>
        <v/>
      </c>
    </row>
    <row r="2617">
      <c r="A2617" s="1" t="n"/>
      <c r="B2617" s="17" t="n"/>
      <c r="C2617" s="18" t="n"/>
      <c r="D2617" s="19" t="n"/>
      <c r="E2617" s="20" t="n"/>
      <c r="F2617" s="20" t="n"/>
      <c r="G2617" s="21" t="n"/>
      <c r="H2617" s="12">
        <f>IF(AND(B2617="",D2617="",F2617=""),"",IF(NOT(ISNUMBER(B2617)),"Needs a date",IF(D2617="","Needs a client",IF(COUNTIF(Clients!$B$6:$B$105,D2617)=0,"Not on Clients",IF(AND(F2617="",INT(B2617)&lt;TODAY()),"Needs a status","")))))</f>
        <v/>
      </c>
      <c r="I2617" s="1">
        <f>IF(ISNUMBER(B2617),INT(B2617),0)</f>
        <v/>
      </c>
      <c r="J2617">
        <f>IF(ISNUMBER(B2617),YEAR(B2617)*100+MONTH(B2617),"")</f>
        <v/>
      </c>
      <c r="K2617">
        <f>IF(AND(H2617="",OR(F2617="Attended",F2617="No-show",AND(F2617="Late cancel",Settings!$C$9="Yes"))),1,0)</f>
        <v/>
      </c>
      <c r="L2617">
        <f>IF(AND(H2617="",F2617="Attended"),1,0)</f>
        <v/>
      </c>
      <c r="M2617">
        <f>IF(AND(H2617="",OR(F2617="No-show",F2617="Late cancel")),1,0)</f>
        <v/>
      </c>
      <c r="N2617">
        <f>IF(AND(H2617="",F2617="",D2617&lt;&gt;"",I2617&gt;=TODAY()),ROUND((I2617+IF(ISNUMBER(C2617),MOD(C2617,1),0))*1440,0)*10000+ROW(),"")</f>
        <v/>
      </c>
    </row>
    <row r="2618">
      <c r="A2618" s="1" t="n"/>
      <c r="B2618" s="17" t="n"/>
      <c r="C2618" s="18" t="n"/>
      <c r="D2618" s="19" t="n"/>
      <c r="E2618" s="20" t="n"/>
      <c r="F2618" s="20" t="n"/>
      <c r="G2618" s="21" t="n"/>
      <c r="H2618" s="12">
        <f>IF(AND(B2618="",D2618="",F2618=""),"",IF(NOT(ISNUMBER(B2618)),"Needs a date",IF(D2618="","Needs a client",IF(COUNTIF(Clients!$B$6:$B$105,D2618)=0,"Not on Clients",IF(AND(F2618="",INT(B2618)&lt;TODAY()),"Needs a status","")))))</f>
        <v/>
      </c>
      <c r="I2618" s="1">
        <f>IF(ISNUMBER(B2618),INT(B2618),0)</f>
        <v/>
      </c>
      <c r="J2618">
        <f>IF(ISNUMBER(B2618),YEAR(B2618)*100+MONTH(B2618),"")</f>
        <v/>
      </c>
      <c r="K2618">
        <f>IF(AND(H2618="",OR(F2618="Attended",F2618="No-show",AND(F2618="Late cancel",Settings!$C$9="Yes"))),1,0)</f>
        <v/>
      </c>
      <c r="L2618">
        <f>IF(AND(H2618="",F2618="Attended"),1,0)</f>
        <v/>
      </c>
      <c r="M2618">
        <f>IF(AND(H2618="",OR(F2618="No-show",F2618="Late cancel")),1,0)</f>
        <v/>
      </c>
      <c r="N2618">
        <f>IF(AND(H2618="",F2618="",D2618&lt;&gt;"",I2618&gt;=TODAY()),ROUND((I2618+IF(ISNUMBER(C2618),MOD(C2618,1),0))*1440,0)*10000+ROW(),"")</f>
        <v/>
      </c>
    </row>
    <row r="2619">
      <c r="A2619" s="1" t="n"/>
      <c r="B2619" s="17" t="n"/>
      <c r="C2619" s="18" t="n"/>
      <c r="D2619" s="19" t="n"/>
      <c r="E2619" s="20" t="n"/>
      <c r="F2619" s="20" t="n"/>
      <c r="G2619" s="21" t="n"/>
      <c r="H2619" s="12">
        <f>IF(AND(B2619="",D2619="",F2619=""),"",IF(NOT(ISNUMBER(B2619)),"Needs a date",IF(D2619="","Needs a client",IF(COUNTIF(Clients!$B$6:$B$105,D2619)=0,"Not on Clients",IF(AND(F2619="",INT(B2619)&lt;TODAY()),"Needs a status","")))))</f>
        <v/>
      </c>
      <c r="I2619" s="1">
        <f>IF(ISNUMBER(B2619),INT(B2619),0)</f>
        <v/>
      </c>
      <c r="J2619">
        <f>IF(ISNUMBER(B2619),YEAR(B2619)*100+MONTH(B2619),"")</f>
        <v/>
      </c>
      <c r="K2619">
        <f>IF(AND(H2619="",OR(F2619="Attended",F2619="No-show",AND(F2619="Late cancel",Settings!$C$9="Yes"))),1,0)</f>
        <v/>
      </c>
      <c r="L2619">
        <f>IF(AND(H2619="",F2619="Attended"),1,0)</f>
        <v/>
      </c>
      <c r="M2619">
        <f>IF(AND(H2619="",OR(F2619="No-show",F2619="Late cancel")),1,0)</f>
        <v/>
      </c>
      <c r="N2619">
        <f>IF(AND(H2619="",F2619="",D2619&lt;&gt;"",I2619&gt;=TODAY()),ROUND((I2619+IF(ISNUMBER(C2619),MOD(C2619,1),0))*1440,0)*10000+ROW(),"")</f>
        <v/>
      </c>
    </row>
    <row r="2620">
      <c r="A2620" s="1" t="n"/>
      <c r="B2620" s="17" t="n"/>
      <c r="C2620" s="18" t="n"/>
      <c r="D2620" s="19" t="n"/>
      <c r="E2620" s="20" t="n"/>
      <c r="F2620" s="20" t="n"/>
      <c r="G2620" s="21" t="n"/>
      <c r="H2620" s="12">
        <f>IF(AND(B2620="",D2620="",F2620=""),"",IF(NOT(ISNUMBER(B2620)),"Needs a date",IF(D2620="","Needs a client",IF(COUNTIF(Clients!$B$6:$B$105,D2620)=0,"Not on Clients",IF(AND(F2620="",INT(B2620)&lt;TODAY()),"Needs a status","")))))</f>
        <v/>
      </c>
      <c r="I2620" s="1">
        <f>IF(ISNUMBER(B2620),INT(B2620),0)</f>
        <v/>
      </c>
      <c r="J2620">
        <f>IF(ISNUMBER(B2620),YEAR(B2620)*100+MONTH(B2620),"")</f>
        <v/>
      </c>
      <c r="K2620">
        <f>IF(AND(H2620="",OR(F2620="Attended",F2620="No-show",AND(F2620="Late cancel",Settings!$C$9="Yes"))),1,0)</f>
        <v/>
      </c>
      <c r="L2620">
        <f>IF(AND(H2620="",F2620="Attended"),1,0)</f>
        <v/>
      </c>
      <c r="M2620">
        <f>IF(AND(H2620="",OR(F2620="No-show",F2620="Late cancel")),1,0)</f>
        <v/>
      </c>
      <c r="N2620">
        <f>IF(AND(H2620="",F2620="",D2620&lt;&gt;"",I2620&gt;=TODAY()),ROUND((I2620+IF(ISNUMBER(C2620),MOD(C2620,1),0))*1440,0)*10000+ROW(),"")</f>
        <v/>
      </c>
    </row>
    <row r="2621">
      <c r="A2621" s="1" t="n"/>
      <c r="B2621" s="17" t="n"/>
      <c r="C2621" s="18" t="n"/>
      <c r="D2621" s="19" t="n"/>
      <c r="E2621" s="20" t="n"/>
      <c r="F2621" s="20" t="n"/>
      <c r="G2621" s="21" t="n"/>
      <c r="H2621" s="12">
        <f>IF(AND(B2621="",D2621="",F2621=""),"",IF(NOT(ISNUMBER(B2621)),"Needs a date",IF(D2621="","Needs a client",IF(COUNTIF(Clients!$B$6:$B$105,D2621)=0,"Not on Clients",IF(AND(F2621="",INT(B2621)&lt;TODAY()),"Needs a status","")))))</f>
        <v/>
      </c>
      <c r="I2621" s="1">
        <f>IF(ISNUMBER(B2621),INT(B2621),0)</f>
        <v/>
      </c>
      <c r="J2621">
        <f>IF(ISNUMBER(B2621),YEAR(B2621)*100+MONTH(B2621),"")</f>
        <v/>
      </c>
      <c r="K2621">
        <f>IF(AND(H2621="",OR(F2621="Attended",F2621="No-show",AND(F2621="Late cancel",Settings!$C$9="Yes"))),1,0)</f>
        <v/>
      </c>
      <c r="L2621">
        <f>IF(AND(H2621="",F2621="Attended"),1,0)</f>
        <v/>
      </c>
      <c r="M2621">
        <f>IF(AND(H2621="",OR(F2621="No-show",F2621="Late cancel")),1,0)</f>
        <v/>
      </c>
      <c r="N2621">
        <f>IF(AND(H2621="",F2621="",D2621&lt;&gt;"",I2621&gt;=TODAY()),ROUND((I2621+IF(ISNUMBER(C2621),MOD(C2621,1),0))*1440,0)*10000+ROW(),"")</f>
        <v/>
      </c>
    </row>
    <row r="2622">
      <c r="A2622" s="1" t="n"/>
      <c r="B2622" s="17" t="n"/>
      <c r="C2622" s="18" t="n"/>
      <c r="D2622" s="19" t="n"/>
      <c r="E2622" s="20" t="n"/>
      <c r="F2622" s="20" t="n"/>
      <c r="G2622" s="21" t="n"/>
      <c r="H2622" s="12">
        <f>IF(AND(B2622="",D2622="",F2622=""),"",IF(NOT(ISNUMBER(B2622)),"Needs a date",IF(D2622="","Needs a client",IF(COUNTIF(Clients!$B$6:$B$105,D2622)=0,"Not on Clients",IF(AND(F2622="",INT(B2622)&lt;TODAY()),"Needs a status","")))))</f>
        <v/>
      </c>
      <c r="I2622" s="1">
        <f>IF(ISNUMBER(B2622),INT(B2622),0)</f>
        <v/>
      </c>
      <c r="J2622">
        <f>IF(ISNUMBER(B2622),YEAR(B2622)*100+MONTH(B2622),"")</f>
        <v/>
      </c>
      <c r="K2622">
        <f>IF(AND(H2622="",OR(F2622="Attended",F2622="No-show",AND(F2622="Late cancel",Settings!$C$9="Yes"))),1,0)</f>
        <v/>
      </c>
      <c r="L2622">
        <f>IF(AND(H2622="",F2622="Attended"),1,0)</f>
        <v/>
      </c>
      <c r="M2622">
        <f>IF(AND(H2622="",OR(F2622="No-show",F2622="Late cancel")),1,0)</f>
        <v/>
      </c>
      <c r="N2622">
        <f>IF(AND(H2622="",F2622="",D2622&lt;&gt;"",I2622&gt;=TODAY()),ROUND((I2622+IF(ISNUMBER(C2622),MOD(C2622,1),0))*1440,0)*10000+ROW(),"")</f>
        <v/>
      </c>
    </row>
    <row r="2623">
      <c r="A2623" s="1" t="n"/>
      <c r="B2623" s="17" t="n"/>
      <c r="C2623" s="18" t="n"/>
      <c r="D2623" s="19" t="n"/>
      <c r="E2623" s="20" t="n"/>
      <c r="F2623" s="20" t="n"/>
      <c r="G2623" s="21" t="n"/>
      <c r="H2623" s="12">
        <f>IF(AND(B2623="",D2623="",F2623=""),"",IF(NOT(ISNUMBER(B2623)),"Needs a date",IF(D2623="","Needs a client",IF(COUNTIF(Clients!$B$6:$B$105,D2623)=0,"Not on Clients",IF(AND(F2623="",INT(B2623)&lt;TODAY()),"Needs a status","")))))</f>
        <v/>
      </c>
      <c r="I2623" s="1">
        <f>IF(ISNUMBER(B2623),INT(B2623),0)</f>
        <v/>
      </c>
      <c r="J2623">
        <f>IF(ISNUMBER(B2623),YEAR(B2623)*100+MONTH(B2623),"")</f>
        <v/>
      </c>
      <c r="K2623">
        <f>IF(AND(H2623="",OR(F2623="Attended",F2623="No-show",AND(F2623="Late cancel",Settings!$C$9="Yes"))),1,0)</f>
        <v/>
      </c>
      <c r="L2623">
        <f>IF(AND(H2623="",F2623="Attended"),1,0)</f>
        <v/>
      </c>
      <c r="M2623">
        <f>IF(AND(H2623="",OR(F2623="No-show",F2623="Late cancel")),1,0)</f>
        <v/>
      </c>
      <c r="N2623">
        <f>IF(AND(H2623="",F2623="",D2623&lt;&gt;"",I2623&gt;=TODAY()),ROUND((I2623+IF(ISNUMBER(C2623),MOD(C2623,1),0))*1440,0)*10000+ROW(),"")</f>
        <v/>
      </c>
    </row>
    <row r="2624">
      <c r="A2624" s="1" t="n"/>
      <c r="B2624" s="17" t="n"/>
      <c r="C2624" s="18" t="n"/>
      <c r="D2624" s="19" t="n"/>
      <c r="E2624" s="20" t="n"/>
      <c r="F2624" s="20" t="n"/>
      <c r="G2624" s="21" t="n"/>
      <c r="H2624" s="12">
        <f>IF(AND(B2624="",D2624="",F2624=""),"",IF(NOT(ISNUMBER(B2624)),"Needs a date",IF(D2624="","Needs a client",IF(COUNTIF(Clients!$B$6:$B$105,D2624)=0,"Not on Clients",IF(AND(F2624="",INT(B2624)&lt;TODAY()),"Needs a status","")))))</f>
        <v/>
      </c>
      <c r="I2624" s="1">
        <f>IF(ISNUMBER(B2624),INT(B2624),0)</f>
        <v/>
      </c>
      <c r="J2624">
        <f>IF(ISNUMBER(B2624),YEAR(B2624)*100+MONTH(B2624),"")</f>
        <v/>
      </c>
      <c r="K2624">
        <f>IF(AND(H2624="",OR(F2624="Attended",F2624="No-show",AND(F2624="Late cancel",Settings!$C$9="Yes"))),1,0)</f>
        <v/>
      </c>
      <c r="L2624">
        <f>IF(AND(H2624="",F2624="Attended"),1,0)</f>
        <v/>
      </c>
      <c r="M2624">
        <f>IF(AND(H2624="",OR(F2624="No-show",F2624="Late cancel")),1,0)</f>
        <v/>
      </c>
      <c r="N2624">
        <f>IF(AND(H2624="",F2624="",D2624&lt;&gt;"",I2624&gt;=TODAY()),ROUND((I2624+IF(ISNUMBER(C2624),MOD(C2624,1),0))*1440,0)*10000+ROW(),"")</f>
        <v/>
      </c>
    </row>
    <row r="2625">
      <c r="A2625" s="1" t="n"/>
      <c r="B2625" s="17" t="n"/>
      <c r="C2625" s="18" t="n"/>
      <c r="D2625" s="19" t="n"/>
      <c r="E2625" s="20" t="n"/>
      <c r="F2625" s="20" t="n"/>
      <c r="G2625" s="21" t="n"/>
      <c r="H2625" s="12">
        <f>IF(AND(B2625="",D2625="",F2625=""),"",IF(NOT(ISNUMBER(B2625)),"Needs a date",IF(D2625="","Needs a client",IF(COUNTIF(Clients!$B$6:$B$105,D2625)=0,"Not on Clients",IF(AND(F2625="",INT(B2625)&lt;TODAY()),"Needs a status","")))))</f>
        <v/>
      </c>
      <c r="I2625" s="1">
        <f>IF(ISNUMBER(B2625),INT(B2625),0)</f>
        <v/>
      </c>
      <c r="J2625">
        <f>IF(ISNUMBER(B2625),YEAR(B2625)*100+MONTH(B2625),"")</f>
        <v/>
      </c>
      <c r="K2625">
        <f>IF(AND(H2625="",OR(F2625="Attended",F2625="No-show",AND(F2625="Late cancel",Settings!$C$9="Yes"))),1,0)</f>
        <v/>
      </c>
      <c r="L2625">
        <f>IF(AND(H2625="",F2625="Attended"),1,0)</f>
        <v/>
      </c>
      <c r="M2625">
        <f>IF(AND(H2625="",OR(F2625="No-show",F2625="Late cancel")),1,0)</f>
        <v/>
      </c>
      <c r="N2625">
        <f>IF(AND(H2625="",F2625="",D2625&lt;&gt;"",I2625&gt;=TODAY()),ROUND((I2625+IF(ISNUMBER(C2625),MOD(C2625,1),0))*1440,0)*10000+ROW(),"")</f>
        <v/>
      </c>
    </row>
    <row r="2626">
      <c r="A2626" s="1" t="n"/>
      <c r="B2626" s="17" t="n"/>
      <c r="C2626" s="18" t="n"/>
      <c r="D2626" s="19" t="n"/>
      <c r="E2626" s="20" t="n"/>
      <c r="F2626" s="20" t="n"/>
      <c r="G2626" s="21" t="n"/>
      <c r="H2626" s="12">
        <f>IF(AND(B2626="",D2626="",F2626=""),"",IF(NOT(ISNUMBER(B2626)),"Needs a date",IF(D2626="","Needs a client",IF(COUNTIF(Clients!$B$6:$B$105,D2626)=0,"Not on Clients",IF(AND(F2626="",INT(B2626)&lt;TODAY()),"Needs a status","")))))</f>
        <v/>
      </c>
      <c r="I2626" s="1">
        <f>IF(ISNUMBER(B2626),INT(B2626),0)</f>
        <v/>
      </c>
      <c r="J2626">
        <f>IF(ISNUMBER(B2626),YEAR(B2626)*100+MONTH(B2626),"")</f>
        <v/>
      </c>
      <c r="K2626">
        <f>IF(AND(H2626="",OR(F2626="Attended",F2626="No-show",AND(F2626="Late cancel",Settings!$C$9="Yes"))),1,0)</f>
        <v/>
      </c>
      <c r="L2626">
        <f>IF(AND(H2626="",F2626="Attended"),1,0)</f>
        <v/>
      </c>
      <c r="M2626">
        <f>IF(AND(H2626="",OR(F2626="No-show",F2626="Late cancel")),1,0)</f>
        <v/>
      </c>
      <c r="N2626">
        <f>IF(AND(H2626="",F2626="",D2626&lt;&gt;"",I2626&gt;=TODAY()),ROUND((I2626+IF(ISNUMBER(C2626),MOD(C2626,1),0))*1440,0)*10000+ROW(),"")</f>
        <v/>
      </c>
    </row>
    <row r="2627">
      <c r="A2627" s="1" t="n"/>
      <c r="B2627" s="17" t="n"/>
      <c r="C2627" s="18" t="n"/>
      <c r="D2627" s="19" t="n"/>
      <c r="E2627" s="20" t="n"/>
      <c r="F2627" s="20" t="n"/>
      <c r="G2627" s="21" t="n"/>
      <c r="H2627" s="12">
        <f>IF(AND(B2627="",D2627="",F2627=""),"",IF(NOT(ISNUMBER(B2627)),"Needs a date",IF(D2627="","Needs a client",IF(COUNTIF(Clients!$B$6:$B$105,D2627)=0,"Not on Clients",IF(AND(F2627="",INT(B2627)&lt;TODAY()),"Needs a status","")))))</f>
        <v/>
      </c>
      <c r="I2627" s="1">
        <f>IF(ISNUMBER(B2627),INT(B2627),0)</f>
        <v/>
      </c>
      <c r="J2627">
        <f>IF(ISNUMBER(B2627),YEAR(B2627)*100+MONTH(B2627),"")</f>
        <v/>
      </c>
      <c r="K2627">
        <f>IF(AND(H2627="",OR(F2627="Attended",F2627="No-show",AND(F2627="Late cancel",Settings!$C$9="Yes"))),1,0)</f>
        <v/>
      </c>
      <c r="L2627">
        <f>IF(AND(H2627="",F2627="Attended"),1,0)</f>
        <v/>
      </c>
      <c r="M2627">
        <f>IF(AND(H2627="",OR(F2627="No-show",F2627="Late cancel")),1,0)</f>
        <v/>
      </c>
      <c r="N2627">
        <f>IF(AND(H2627="",F2627="",D2627&lt;&gt;"",I2627&gt;=TODAY()),ROUND((I2627+IF(ISNUMBER(C2627),MOD(C2627,1),0))*1440,0)*10000+ROW(),"")</f>
        <v/>
      </c>
    </row>
    <row r="2628">
      <c r="A2628" s="1" t="n"/>
      <c r="B2628" s="17" t="n"/>
      <c r="C2628" s="18" t="n"/>
      <c r="D2628" s="19" t="n"/>
      <c r="E2628" s="20" t="n"/>
      <c r="F2628" s="20" t="n"/>
      <c r="G2628" s="21" t="n"/>
      <c r="H2628" s="12">
        <f>IF(AND(B2628="",D2628="",F2628=""),"",IF(NOT(ISNUMBER(B2628)),"Needs a date",IF(D2628="","Needs a client",IF(COUNTIF(Clients!$B$6:$B$105,D2628)=0,"Not on Clients",IF(AND(F2628="",INT(B2628)&lt;TODAY()),"Needs a status","")))))</f>
        <v/>
      </c>
      <c r="I2628" s="1">
        <f>IF(ISNUMBER(B2628),INT(B2628),0)</f>
        <v/>
      </c>
      <c r="J2628">
        <f>IF(ISNUMBER(B2628),YEAR(B2628)*100+MONTH(B2628),"")</f>
        <v/>
      </c>
      <c r="K2628">
        <f>IF(AND(H2628="",OR(F2628="Attended",F2628="No-show",AND(F2628="Late cancel",Settings!$C$9="Yes"))),1,0)</f>
        <v/>
      </c>
      <c r="L2628">
        <f>IF(AND(H2628="",F2628="Attended"),1,0)</f>
        <v/>
      </c>
      <c r="M2628">
        <f>IF(AND(H2628="",OR(F2628="No-show",F2628="Late cancel")),1,0)</f>
        <v/>
      </c>
      <c r="N2628">
        <f>IF(AND(H2628="",F2628="",D2628&lt;&gt;"",I2628&gt;=TODAY()),ROUND((I2628+IF(ISNUMBER(C2628),MOD(C2628,1),0))*1440,0)*10000+ROW(),"")</f>
        <v/>
      </c>
    </row>
    <row r="2629">
      <c r="A2629" s="1" t="n"/>
      <c r="B2629" s="17" t="n"/>
      <c r="C2629" s="18" t="n"/>
      <c r="D2629" s="19" t="n"/>
      <c r="E2629" s="20" t="n"/>
      <c r="F2629" s="20" t="n"/>
      <c r="G2629" s="21" t="n"/>
      <c r="H2629" s="12">
        <f>IF(AND(B2629="",D2629="",F2629=""),"",IF(NOT(ISNUMBER(B2629)),"Needs a date",IF(D2629="","Needs a client",IF(COUNTIF(Clients!$B$6:$B$105,D2629)=0,"Not on Clients",IF(AND(F2629="",INT(B2629)&lt;TODAY()),"Needs a status","")))))</f>
        <v/>
      </c>
      <c r="I2629" s="1">
        <f>IF(ISNUMBER(B2629),INT(B2629),0)</f>
        <v/>
      </c>
      <c r="J2629">
        <f>IF(ISNUMBER(B2629),YEAR(B2629)*100+MONTH(B2629),"")</f>
        <v/>
      </c>
      <c r="K2629">
        <f>IF(AND(H2629="",OR(F2629="Attended",F2629="No-show",AND(F2629="Late cancel",Settings!$C$9="Yes"))),1,0)</f>
        <v/>
      </c>
      <c r="L2629">
        <f>IF(AND(H2629="",F2629="Attended"),1,0)</f>
        <v/>
      </c>
      <c r="M2629">
        <f>IF(AND(H2629="",OR(F2629="No-show",F2629="Late cancel")),1,0)</f>
        <v/>
      </c>
      <c r="N2629">
        <f>IF(AND(H2629="",F2629="",D2629&lt;&gt;"",I2629&gt;=TODAY()),ROUND((I2629+IF(ISNUMBER(C2629),MOD(C2629,1),0))*1440,0)*10000+ROW(),"")</f>
        <v/>
      </c>
    </row>
    <row r="2630">
      <c r="A2630" s="1" t="n"/>
      <c r="B2630" s="17" t="n"/>
      <c r="C2630" s="18" t="n"/>
      <c r="D2630" s="19" t="n"/>
      <c r="E2630" s="20" t="n"/>
      <c r="F2630" s="20" t="n"/>
      <c r="G2630" s="21" t="n"/>
      <c r="H2630" s="12">
        <f>IF(AND(B2630="",D2630="",F2630=""),"",IF(NOT(ISNUMBER(B2630)),"Needs a date",IF(D2630="","Needs a client",IF(COUNTIF(Clients!$B$6:$B$105,D2630)=0,"Not on Clients",IF(AND(F2630="",INT(B2630)&lt;TODAY()),"Needs a status","")))))</f>
        <v/>
      </c>
      <c r="I2630" s="1">
        <f>IF(ISNUMBER(B2630),INT(B2630),0)</f>
        <v/>
      </c>
      <c r="J2630">
        <f>IF(ISNUMBER(B2630),YEAR(B2630)*100+MONTH(B2630),"")</f>
        <v/>
      </c>
      <c r="K2630">
        <f>IF(AND(H2630="",OR(F2630="Attended",F2630="No-show",AND(F2630="Late cancel",Settings!$C$9="Yes"))),1,0)</f>
        <v/>
      </c>
      <c r="L2630">
        <f>IF(AND(H2630="",F2630="Attended"),1,0)</f>
        <v/>
      </c>
      <c r="M2630">
        <f>IF(AND(H2630="",OR(F2630="No-show",F2630="Late cancel")),1,0)</f>
        <v/>
      </c>
      <c r="N2630">
        <f>IF(AND(H2630="",F2630="",D2630&lt;&gt;"",I2630&gt;=TODAY()),ROUND((I2630+IF(ISNUMBER(C2630),MOD(C2630,1),0))*1440,0)*10000+ROW(),"")</f>
        <v/>
      </c>
    </row>
    <row r="2631">
      <c r="A2631" s="1" t="n"/>
      <c r="B2631" s="17" t="n"/>
      <c r="C2631" s="18" t="n"/>
      <c r="D2631" s="19" t="n"/>
      <c r="E2631" s="20" t="n"/>
      <c r="F2631" s="20" t="n"/>
      <c r="G2631" s="21" t="n"/>
      <c r="H2631" s="12">
        <f>IF(AND(B2631="",D2631="",F2631=""),"",IF(NOT(ISNUMBER(B2631)),"Needs a date",IF(D2631="","Needs a client",IF(COUNTIF(Clients!$B$6:$B$105,D2631)=0,"Not on Clients",IF(AND(F2631="",INT(B2631)&lt;TODAY()),"Needs a status","")))))</f>
        <v/>
      </c>
      <c r="I2631" s="1">
        <f>IF(ISNUMBER(B2631),INT(B2631),0)</f>
        <v/>
      </c>
      <c r="J2631">
        <f>IF(ISNUMBER(B2631),YEAR(B2631)*100+MONTH(B2631),"")</f>
        <v/>
      </c>
      <c r="K2631">
        <f>IF(AND(H2631="",OR(F2631="Attended",F2631="No-show",AND(F2631="Late cancel",Settings!$C$9="Yes"))),1,0)</f>
        <v/>
      </c>
      <c r="L2631">
        <f>IF(AND(H2631="",F2631="Attended"),1,0)</f>
        <v/>
      </c>
      <c r="M2631">
        <f>IF(AND(H2631="",OR(F2631="No-show",F2631="Late cancel")),1,0)</f>
        <v/>
      </c>
      <c r="N2631">
        <f>IF(AND(H2631="",F2631="",D2631&lt;&gt;"",I2631&gt;=TODAY()),ROUND((I2631+IF(ISNUMBER(C2631),MOD(C2631,1),0))*1440,0)*10000+ROW(),"")</f>
        <v/>
      </c>
    </row>
    <row r="2632">
      <c r="A2632" s="1" t="n"/>
      <c r="B2632" s="17" t="n"/>
      <c r="C2632" s="18" t="n"/>
      <c r="D2632" s="19" t="n"/>
      <c r="E2632" s="20" t="n"/>
      <c r="F2632" s="20" t="n"/>
      <c r="G2632" s="21" t="n"/>
      <c r="H2632" s="12">
        <f>IF(AND(B2632="",D2632="",F2632=""),"",IF(NOT(ISNUMBER(B2632)),"Needs a date",IF(D2632="","Needs a client",IF(COUNTIF(Clients!$B$6:$B$105,D2632)=0,"Not on Clients",IF(AND(F2632="",INT(B2632)&lt;TODAY()),"Needs a status","")))))</f>
        <v/>
      </c>
      <c r="I2632" s="1">
        <f>IF(ISNUMBER(B2632),INT(B2632),0)</f>
        <v/>
      </c>
      <c r="J2632">
        <f>IF(ISNUMBER(B2632),YEAR(B2632)*100+MONTH(B2632),"")</f>
        <v/>
      </c>
      <c r="K2632">
        <f>IF(AND(H2632="",OR(F2632="Attended",F2632="No-show",AND(F2632="Late cancel",Settings!$C$9="Yes"))),1,0)</f>
        <v/>
      </c>
      <c r="L2632">
        <f>IF(AND(H2632="",F2632="Attended"),1,0)</f>
        <v/>
      </c>
      <c r="M2632">
        <f>IF(AND(H2632="",OR(F2632="No-show",F2632="Late cancel")),1,0)</f>
        <v/>
      </c>
      <c r="N2632">
        <f>IF(AND(H2632="",F2632="",D2632&lt;&gt;"",I2632&gt;=TODAY()),ROUND((I2632+IF(ISNUMBER(C2632),MOD(C2632,1),0))*1440,0)*10000+ROW(),"")</f>
        <v/>
      </c>
    </row>
    <row r="2633">
      <c r="A2633" s="1" t="n"/>
      <c r="B2633" s="17" t="n"/>
      <c r="C2633" s="18" t="n"/>
      <c r="D2633" s="19" t="n"/>
      <c r="E2633" s="20" t="n"/>
      <c r="F2633" s="20" t="n"/>
      <c r="G2633" s="21" t="n"/>
      <c r="H2633" s="12">
        <f>IF(AND(B2633="",D2633="",F2633=""),"",IF(NOT(ISNUMBER(B2633)),"Needs a date",IF(D2633="","Needs a client",IF(COUNTIF(Clients!$B$6:$B$105,D2633)=0,"Not on Clients",IF(AND(F2633="",INT(B2633)&lt;TODAY()),"Needs a status","")))))</f>
        <v/>
      </c>
      <c r="I2633" s="1">
        <f>IF(ISNUMBER(B2633),INT(B2633),0)</f>
        <v/>
      </c>
      <c r="J2633">
        <f>IF(ISNUMBER(B2633),YEAR(B2633)*100+MONTH(B2633),"")</f>
        <v/>
      </c>
      <c r="K2633">
        <f>IF(AND(H2633="",OR(F2633="Attended",F2633="No-show",AND(F2633="Late cancel",Settings!$C$9="Yes"))),1,0)</f>
        <v/>
      </c>
      <c r="L2633">
        <f>IF(AND(H2633="",F2633="Attended"),1,0)</f>
        <v/>
      </c>
      <c r="M2633">
        <f>IF(AND(H2633="",OR(F2633="No-show",F2633="Late cancel")),1,0)</f>
        <v/>
      </c>
      <c r="N2633">
        <f>IF(AND(H2633="",F2633="",D2633&lt;&gt;"",I2633&gt;=TODAY()),ROUND((I2633+IF(ISNUMBER(C2633),MOD(C2633,1),0))*1440,0)*10000+ROW(),"")</f>
        <v/>
      </c>
    </row>
    <row r="2634">
      <c r="A2634" s="1" t="n"/>
      <c r="B2634" s="17" t="n"/>
      <c r="C2634" s="18" t="n"/>
      <c r="D2634" s="19" t="n"/>
      <c r="E2634" s="20" t="n"/>
      <c r="F2634" s="20" t="n"/>
      <c r="G2634" s="21" t="n"/>
      <c r="H2634" s="12">
        <f>IF(AND(B2634="",D2634="",F2634=""),"",IF(NOT(ISNUMBER(B2634)),"Needs a date",IF(D2634="","Needs a client",IF(COUNTIF(Clients!$B$6:$B$105,D2634)=0,"Not on Clients",IF(AND(F2634="",INT(B2634)&lt;TODAY()),"Needs a status","")))))</f>
        <v/>
      </c>
      <c r="I2634" s="1">
        <f>IF(ISNUMBER(B2634),INT(B2634),0)</f>
        <v/>
      </c>
      <c r="J2634">
        <f>IF(ISNUMBER(B2634),YEAR(B2634)*100+MONTH(B2634),"")</f>
        <v/>
      </c>
      <c r="K2634">
        <f>IF(AND(H2634="",OR(F2634="Attended",F2634="No-show",AND(F2634="Late cancel",Settings!$C$9="Yes"))),1,0)</f>
        <v/>
      </c>
      <c r="L2634">
        <f>IF(AND(H2634="",F2634="Attended"),1,0)</f>
        <v/>
      </c>
      <c r="M2634">
        <f>IF(AND(H2634="",OR(F2634="No-show",F2634="Late cancel")),1,0)</f>
        <v/>
      </c>
      <c r="N2634">
        <f>IF(AND(H2634="",F2634="",D2634&lt;&gt;"",I2634&gt;=TODAY()),ROUND((I2634+IF(ISNUMBER(C2634),MOD(C2634,1),0))*1440,0)*10000+ROW(),"")</f>
        <v/>
      </c>
    </row>
    <row r="2635">
      <c r="A2635" s="1" t="n"/>
      <c r="B2635" s="17" t="n"/>
      <c r="C2635" s="18" t="n"/>
      <c r="D2635" s="19" t="n"/>
      <c r="E2635" s="20" t="n"/>
      <c r="F2635" s="20" t="n"/>
      <c r="G2635" s="21" t="n"/>
      <c r="H2635" s="12">
        <f>IF(AND(B2635="",D2635="",F2635=""),"",IF(NOT(ISNUMBER(B2635)),"Needs a date",IF(D2635="","Needs a client",IF(COUNTIF(Clients!$B$6:$B$105,D2635)=0,"Not on Clients",IF(AND(F2635="",INT(B2635)&lt;TODAY()),"Needs a status","")))))</f>
        <v/>
      </c>
      <c r="I2635" s="1">
        <f>IF(ISNUMBER(B2635),INT(B2635),0)</f>
        <v/>
      </c>
      <c r="J2635">
        <f>IF(ISNUMBER(B2635),YEAR(B2635)*100+MONTH(B2635),"")</f>
        <v/>
      </c>
      <c r="K2635">
        <f>IF(AND(H2635="",OR(F2635="Attended",F2635="No-show",AND(F2635="Late cancel",Settings!$C$9="Yes"))),1,0)</f>
        <v/>
      </c>
      <c r="L2635">
        <f>IF(AND(H2635="",F2635="Attended"),1,0)</f>
        <v/>
      </c>
      <c r="M2635">
        <f>IF(AND(H2635="",OR(F2635="No-show",F2635="Late cancel")),1,0)</f>
        <v/>
      </c>
      <c r="N2635">
        <f>IF(AND(H2635="",F2635="",D2635&lt;&gt;"",I2635&gt;=TODAY()),ROUND((I2635+IF(ISNUMBER(C2635),MOD(C2635,1),0))*1440,0)*10000+ROW(),"")</f>
        <v/>
      </c>
    </row>
    <row r="2636">
      <c r="A2636" s="1" t="n"/>
      <c r="B2636" s="17" t="n"/>
      <c r="C2636" s="18" t="n"/>
      <c r="D2636" s="19" t="n"/>
      <c r="E2636" s="20" t="n"/>
      <c r="F2636" s="20" t="n"/>
      <c r="G2636" s="21" t="n"/>
      <c r="H2636" s="12">
        <f>IF(AND(B2636="",D2636="",F2636=""),"",IF(NOT(ISNUMBER(B2636)),"Needs a date",IF(D2636="","Needs a client",IF(COUNTIF(Clients!$B$6:$B$105,D2636)=0,"Not on Clients",IF(AND(F2636="",INT(B2636)&lt;TODAY()),"Needs a status","")))))</f>
        <v/>
      </c>
      <c r="I2636" s="1">
        <f>IF(ISNUMBER(B2636),INT(B2636),0)</f>
        <v/>
      </c>
      <c r="J2636">
        <f>IF(ISNUMBER(B2636),YEAR(B2636)*100+MONTH(B2636),"")</f>
        <v/>
      </c>
      <c r="K2636">
        <f>IF(AND(H2636="",OR(F2636="Attended",F2636="No-show",AND(F2636="Late cancel",Settings!$C$9="Yes"))),1,0)</f>
        <v/>
      </c>
      <c r="L2636">
        <f>IF(AND(H2636="",F2636="Attended"),1,0)</f>
        <v/>
      </c>
      <c r="M2636">
        <f>IF(AND(H2636="",OR(F2636="No-show",F2636="Late cancel")),1,0)</f>
        <v/>
      </c>
      <c r="N2636">
        <f>IF(AND(H2636="",F2636="",D2636&lt;&gt;"",I2636&gt;=TODAY()),ROUND((I2636+IF(ISNUMBER(C2636),MOD(C2636,1),0))*1440,0)*10000+ROW(),"")</f>
        <v/>
      </c>
    </row>
    <row r="2637">
      <c r="A2637" s="1" t="n"/>
      <c r="B2637" s="17" t="n"/>
      <c r="C2637" s="18" t="n"/>
      <c r="D2637" s="19" t="n"/>
      <c r="E2637" s="20" t="n"/>
      <c r="F2637" s="20" t="n"/>
      <c r="G2637" s="21" t="n"/>
      <c r="H2637" s="12">
        <f>IF(AND(B2637="",D2637="",F2637=""),"",IF(NOT(ISNUMBER(B2637)),"Needs a date",IF(D2637="","Needs a client",IF(COUNTIF(Clients!$B$6:$B$105,D2637)=0,"Not on Clients",IF(AND(F2637="",INT(B2637)&lt;TODAY()),"Needs a status","")))))</f>
        <v/>
      </c>
      <c r="I2637" s="1">
        <f>IF(ISNUMBER(B2637),INT(B2637),0)</f>
        <v/>
      </c>
      <c r="J2637">
        <f>IF(ISNUMBER(B2637),YEAR(B2637)*100+MONTH(B2637),"")</f>
        <v/>
      </c>
      <c r="K2637">
        <f>IF(AND(H2637="",OR(F2637="Attended",F2637="No-show",AND(F2637="Late cancel",Settings!$C$9="Yes"))),1,0)</f>
        <v/>
      </c>
      <c r="L2637">
        <f>IF(AND(H2637="",F2637="Attended"),1,0)</f>
        <v/>
      </c>
      <c r="M2637">
        <f>IF(AND(H2637="",OR(F2637="No-show",F2637="Late cancel")),1,0)</f>
        <v/>
      </c>
      <c r="N2637">
        <f>IF(AND(H2637="",F2637="",D2637&lt;&gt;"",I2637&gt;=TODAY()),ROUND((I2637+IF(ISNUMBER(C2637),MOD(C2637,1),0))*1440,0)*10000+ROW(),"")</f>
        <v/>
      </c>
    </row>
    <row r="2638">
      <c r="A2638" s="1" t="n"/>
      <c r="B2638" s="17" t="n"/>
      <c r="C2638" s="18" t="n"/>
      <c r="D2638" s="19" t="n"/>
      <c r="E2638" s="20" t="n"/>
      <c r="F2638" s="20" t="n"/>
      <c r="G2638" s="21" t="n"/>
      <c r="H2638" s="12">
        <f>IF(AND(B2638="",D2638="",F2638=""),"",IF(NOT(ISNUMBER(B2638)),"Needs a date",IF(D2638="","Needs a client",IF(COUNTIF(Clients!$B$6:$B$105,D2638)=0,"Not on Clients",IF(AND(F2638="",INT(B2638)&lt;TODAY()),"Needs a status","")))))</f>
        <v/>
      </c>
      <c r="I2638" s="1">
        <f>IF(ISNUMBER(B2638),INT(B2638),0)</f>
        <v/>
      </c>
      <c r="J2638">
        <f>IF(ISNUMBER(B2638),YEAR(B2638)*100+MONTH(B2638),"")</f>
        <v/>
      </c>
      <c r="K2638">
        <f>IF(AND(H2638="",OR(F2638="Attended",F2638="No-show",AND(F2638="Late cancel",Settings!$C$9="Yes"))),1,0)</f>
        <v/>
      </c>
      <c r="L2638">
        <f>IF(AND(H2638="",F2638="Attended"),1,0)</f>
        <v/>
      </c>
      <c r="M2638">
        <f>IF(AND(H2638="",OR(F2638="No-show",F2638="Late cancel")),1,0)</f>
        <v/>
      </c>
      <c r="N2638">
        <f>IF(AND(H2638="",F2638="",D2638&lt;&gt;"",I2638&gt;=TODAY()),ROUND((I2638+IF(ISNUMBER(C2638),MOD(C2638,1),0))*1440,0)*10000+ROW(),"")</f>
        <v/>
      </c>
    </row>
    <row r="2639">
      <c r="A2639" s="1" t="n"/>
      <c r="B2639" s="17" t="n"/>
      <c r="C2639" s="18" t="n"/>
      <c r="D2639" s="19" t="n"/>
      <c r="E2639" s="20" t="n"/>
      <c r="F2639" s="20" t="n"/>
      <c r="G2639" s="21" t="n"/>
      <c r="H2639" s="12">
        <f>IF(AND(B2639="",D2639="",F2639=""),"",IF(NOT(ISNUMBER(B2639)),"Needs a date",IF(D2639="","Needs a client",IF(COUNTIF(Clients!$B$6:$B$105,D2639)=0,"Not on Clients",IF(AND(F2639="",INT(B2639)&lt;TODAY()),"Needs a status","")))))</f>
        <v/>
      </c>
      <c r="I2639" s="1">
        <f>IF(ISNUMBER(B2639),INT(B2639),0)</f>
        <v/>
      </c>
      <c r="J2639">
        <f>IF(ISNUMBER(B2639),YEAR(B2639)*100+MONTH(B2639),"")</f>
        <v/>
      </c>
      <c r="K2639">
        <f>IF(AND(H2639="",OR(F2639="Attended",F2639="No-show",AND(F2639="Late cancel",Settings!$C$9="Yes"))),1,0)</f>
        <v/>
      </c>
      <c r="L2639">
        <f>IF(AND(H2639="",F2639="Attended"),1,0)</f>
        <v/>
      </c>
      <c r="M2639">
        <f>IF(AND(H2639="",OR(F2639="No-show",F2639="Late cancel")),1,0)</f>
        <v/>
      </c>
      <c r="N2639">
        <f>IF(AND(H2639="",F2639="",D2639&lt;&gt;"",I2639&gt;=TODAY()),ROUND((I2639+IF(ISNUMBER(C2639),MOD(C2639,1),0))*1440,0)*10000+ROW(),"")</f>
        <v/>
      </c>
    </row>
    <row r="2640">
      <c r="A2640" s="1" t="n"/>
      <c r="B2640" s="17" t="n"/>
      <c r="C2640" s="18" t="n"/>
      <c r="D2640" s="19" t="n"/>
      <c r="E2640" s="20" t="n"/>
      <c r="F2640" s="20" t="n"/>
      <c r="G2640" s="21" t="n"/>
      <c r="H2640" s="12">
        <f>IF(AND(B2640="",D2640="",F2640=""),"",IF(NOT(ISNUMBER(B2640)),"Needs a date",IF(D2640="","Needs a client",IF(COUNTIF(Clients!$B$6:$B$105,D2640)=0,"Not on Clients",IF(AND(F2640="",INT(B2640)&lt;TODAY()),"Needs a status","")))))</f>
        <v/>
      </c>
      <c r="I2640" s="1">
        <f>IF(ISNUMBER(B2640),INT(B2640),0)</f>
        <v/>
      </c>
      <c r="J2640">
        <f>IF(ISNUMBER(B2640),YEAR(B2640)*100+MONTH(B2640),"")</f>
        <v/>
      </c>
      <c r="K2640">
        <f>IF(AND(H2640="",OR(F2640="Attended",F2640="No-show",AND(F2640="Late cancel",Settings!$C$9="Yes"))),1,0)</f>
        <v/>
      </c>
      <c r="L2640">
        <f>IF(AND(H2640="",F2640="Attended"),1,0)</f>
        <v/>
      </c>
      <c r="M2640">
        <f>IF(AND(H2640="",OR(F2640="No-show",F2640="Late cancel")),1,0)</f>
        <v/>
      </c>
      <c r="N2640">
        <f>IF(AND(H2640="",F2640="",D2640&lt;&gt;"",I2640&gt;=TODAY()),ROUND((I2640+IF(ISNUMBER(C2640),MOD(C2640,1),0))*1440,0)*10000+ROW(),"")</f>
        <v/>
      </c>
    </row>
    <row r="2641">
      <c r="A2641" s="1" t="n"/>
      <c r="B2641" s="17" t="n"/>
      <c r="C2641" s="18" t="n"/>
      <c r="D2641" s="19" t="n"/>
      <c r="E2641" s="20" t="n"/>
      <c r="F2641" s="20" t="n"/>
      <c r="G2641" s="21" t="n"/>
      <c r="H2641" s="12">
        <f>IF(AND(B2641="",D2641="",F2641=""),"",IF(NOT(ISNUMBER(B2641)),"Needs a date",IF(D2641="","Needs a client",IF(COUNTIF(Clients!$B$6:$B$105,D2641)=0,"Not on Clients",IF(AND(F2641="",INT(B2641)&lt;TODAY()),"Needs a status","")))))</f>
        <v/>
      </c>
      <c r="I2641" s="1">
        <f>IF(ISNUMBER(B2641),INT(B2641),0)</f>
        <v/>
      </c>
      <c r="J2641">
        <f>IF(ISNUMBER(B2641),YEAR(B2641)*100+MONTH(B2641),"")</f>
        <v/>
      </c>
      <c r="K2641">
        <f>IF(AND(H2641="",OR(F2641="Attended",F2641="No-show",AND(F2641="Late cancel",Settings!$C$9="Yes"))),1,0)</f>
        <v/>
      </c>
      <c r="L2641">
        <f>IF(AND(H2641="",F2641="Attended"),1,0)</f>
        <v/>
      </c>
      <c r="M2641">
        <f>IF(AND(H2641="",OR(F2641="No-show",F2641="Late cancel")),1,0)</f>
        <v/>
      </c>
      <c r="N2641">
        <f>IF(AND(H2641="",F2641="",D2641&lt;&gt;"",I2641&gt;=TODAY()),ROUND((I2641+IF(ISNUMBER(C2641),MOD(C2641,1),0))*1440,0)*10000+ROW(),"")</f>
        <v/>
      </c>
    </row>
    <row r="2642">
      <c r="A2642" s="1" t="n"/>
      <c r="B2642" s="17" t="n"/>
      <c r="C2642" s="18" t="n"/>
      <c r="D2642" s="19" t="n"/>
      <c r="E2642" s="20" t="n"/>
      <c r="F2642" s="20" t="n"/>
      <c r="G2642" s="21" t="n"/>
      <c r="H2642" s="12">
        <f>IF(AND(B2642="",D2642="",F2642=""),"",IF(NOT(ISNUMBER(B2642)),"Needs a date",IF(D2642="","Needs a client",IF(COUNTIF(Clients!$B$6:$B$105,D2642)=0,"Not on Clients",IF(AND(F2642="",INT(B2642)&lt;TODAY()),"Needs a status","")))))</f>
        <v/>
      </c>
      <c r="I2642" s="1">
        <f>IF(ISNUMBER(B2642),INT(B2642),0)</f>
        <v/>
      </c>
      <c r="J2642">
        <f>IF(ISNUMBER(B2642),YEAR(B2642)*100+MONTH(B2642),"")</f>
        <v/>
      </c>
      <c r="K2642">
        <f>IF(AND(H2642="",OR(F2642="Attended",F2642="No-show",AND(F2642="Late cancel",Settings!$C$9="Yes"))),1,0)</f>
        <v/>
      </c>
      <c r="L2642">
        <f>IF(AND(H2642="",F2642="Attended"),1,0)</f>
        <v/>
      </c>
      <c r="M2642">
        <f>IF(AND(H2642="",OR(F2642="No-show",F2642="Late cancel")),1,0)</f>
        <v/>
      </c>
      <c r="N2642">
        <f>IF(AND(H2642="",F2642="",D2642&lt;&gt;"",I2642&gt;=TODAY()),ROUND((I2642+IF(ISNUMBER(C2642),MOD(C2642,1),0))*1440,0)*10000+ROW(),"")</f>
        <v/>
      </c>
    </row>
    <row r="2643">
      <c r="A2643" s="1" t="n"/>
      <c r="B2643" s="17" t="n"/>
      <c r="C2643" s="18" t="n"/>
      <c r="D2643" s="19" t="n"/>
      <c r="E2643" s="20" t="n"/>
      <c r="F2643" s="20" t="n"/>
      <c r="G2643" s="21" t="n"/>
      <c r="H2643" s="12">
        <f>IF(AND(B2643="",D2643="",F2643=""),"",IF(NOT(ISNUMBER(B2643)),"Needs a date",IF(D2643="","Needs a client",IF(COUNTIF(Clients!$B$6:$B$105,D2643)=0,"Not on Clients",IF(AND(F2643="",INT(B2643)&lt;TODAY()),"Needs a status","")))))</f>
        <v/>
      </c>
      <c r="I2643" s="1">
        <f>IF(ISNUMBER(B2643),INT(B2643),0)</f>
        <v/>
      </c>
      <c r="J2643">
        <f>IF(ISNUMBER(B2643),YEAR(B2643)*100+MONTH(B2643),"")</f>
        <v/>
      </c>
      <c r="K2643">
        <f>IF(AND(H2643="",OR(F2643="Attended",F2643="No-show",AND(F2643="Late cancel",Settings!$C$9="Yes"))),1,0)</f>
        <v/>
      </c>
      <c r="L2643">
        <f>IF(AND(H2643="",F2643="Attended"),1,0)</f>
        <v/>
      </c>
      <c r="M2643">
        <f>IF(AND(H2643="",OR(F2643="No-show",F2643="Late cancel")),1,0)</f>
        <v/>
      </c>
      <c r="N2643">
        <f>IF(AND(H2643="",F2643="",D2643&lt;&gt;"",I2643&gt;=TODAY()),ROUND((I2643+IF(ISNUMBER(C2643),MOD(C2643,1),0))*1440,0)*10000+ROW(),"")</f>
        <v/>
      </c>
    </row>
    <row r="2644">
      <c r="A2644" s="1" t="n"/>
      <c r="B2644" s="17" t="n"/>
      <c r="C2644" s="18" t="n"/>
      <c r="D2644" s="19" t="n"/>
      <c r="E2644" s="20" t="n"/>
      <c r="F2644" s="20" t="n"/>
      <c r="G2644" s="21" t="n"/>
      <c r="H2644" s="12">
        <f>IF(AND(B2644="",D2644="",F2644=""),"",IF(NOT(ISNUMBER(B2644)),"Needs a date",IF(D2644="","Needs a client",IF(COUNTIF(Clients!$B$6:$B$105,D2644)=0,"Not on Clients",IF(AND(F2644="",INT(B2644)&lt;TODAY()),"Needs a status","")))))</f>
        <v/>
      </c>
      <c r="I2644" s="1">
        <f>IF(ISNUMBER(B2644),INT(B2644),0)</f>
        <v/>
      </c>
      <c r="J2644">
        <f>IF(ISNUMBER(B2644),YEAR(B2644)*100+MONTH(B2644),"")</f>
        <v/>
      </c>
      <c r="K2644">
        <f>IF(AND(H2644="",OR(F2644="Attended",F2644="No-show",AND(F2644="Late cancel",Settings!$C$9="Yes"))),1,0)</f>
        <v/>
      </c>
      <c r="L2644">
        <f>IF(AND(H2644="",F2644="Attended"),1,0)</f>
        <v/>
      </c>
      <c r="M2644">
        <f>IF(AND(H2644="",OR(F2644="No-show",F2644="Late cancel")),1,0)</f>
        <v/>
      </c>
      <c r="N2644">
        <f>IF(AND(H2644="",F2644="",D2644&lt;&gt;"",I2644&gt;=TODAY()),ROUND((I2644+IF(ISNUMBER(C2644),MOD(C2644,1),0))*1440,0)*10000+ROW(),"")</f>
        <v/>
      </c>
    </row>
    <row r="2645">
      <c r="A2645" s="1" t="n"/>
      <c r="B2645" s="17" t="n"/>
      <c r="C2645" s="18" t="n"/>
      <c r="D2645" s="19" t="n"/>
      <c r="E2645" s="20" t="n"/>
      <c r="F2645" s="20" t="n"/>
      <c r="G2645" s="21" t="n"/>
      <c r="H2645" s="12">
        <f>IF(AND(B2645="",D2645="",F2645=""),"",IF(NOT(ISNUMBER(B2645)),"Needs a date",IF(D2645="","Needs a client",IF(COUNTIF(Clients!$B$6:$B$105,D2645)=0,"Not on Clients",IF(AND(F2645="",INT(B2645)&lt;TODAY()),"Needs a status","")))))</f>
        <v/>
      </c>
      <c r="I2645" s="1">
        <f>IF(ISNUMBER(B2645),INT(B2645),0)</f>
        <v/>
      </c>
      <c r="J2645">
        <f>IF(ISNUMBER(B2645),YEAR(B2645)*100+MONTH(B2645),"")</f>
        <v/>
      </c>
      <c r="K2645">
        <f>IF(AND(H2645="",OR(F2645="Attended",F2645="No-show",AND(F2645="Late cancel",Settings!$C$9="Yes"))),1,0)</f>
        <v/>
      </c>
      <c r="L2645">
        <f>IF(AND(H2645="",F2645="Attended"),1,0)</f>
        <v/>
      </c>
      <c r="M2645">
        <f>IF(AND(H2645="",OR(F2645="No-show",F2645="Late cancel")),1,0)</f>
        <v/>
      </c>
      <c r="N2645">
        <f>IF(AND(H2645="",F2645="",D2645&lt;&gt;"",I2645&gt;=TODAY()),ROUND((I2645+IF(ISNUMBER(C2645),MOD(C2645,1),0))*1440,0)*10000+ROW(),"")</f>
        <v/>
      </c>
    </row>
    <row r="2646">
      <c r="A2646" s="1" t="n"/>
      <c r="B2646" s="17" t="n"/>
      <c r="C2646" s="18" t="n"/>
      <c r="D2646" s="19" t="n"/>
      <c r="E2646" s="20" t="n"/>
      <c r="F2646" s="20" t="n"/>
      <c r="G2646" s="21" t="n"/>
      <c r="H2646" s="12">
        <f>IF(AND(B2646="",D2646="",F2646=""),"",IF(NOT(ISNUMBER(B2646)),"Needs a date",IF(D2646="","Needs a client",IF(COUNTIF(Clients!$B$6:$B$105,D2646)=0,"Not on Clients",IF(AND(F2646="",INT(B2646)&lt;TODAY()),"Needs a status","")))))</f>
        <v/>
      </c>
      <c r="I2646" s="1">
        <f>IF(ISNUMBER(B2646),INT(B2646),0)</f>
        <v/>
      </c>
      <c r="J2646">
        <f>IF(ISNUMBER(B2646),YEAR(B2646)*100+MONTH(B2646),"")</f>
        <v/>
      </c>
      <c r="K2646">
        <f>IF(AND(H2646="",OR(F2646="Attended",F2646="No-show",AND(F2646="Late cancel",Settings!$C$9="Yes"))),1,0)</f>
        <v/>
      </c>
      <c r="L2646">
        <f>IF(AND(H2646="",F2646="Attended"),1,0)</f>
        <v/>
      </c>
      <c r="M2646">
        <f>IF(AND(H2646="",OR(F2646="No-show",F2646="Late cancel")),1,0)</f>
        <v/>
      </c>
      <c r="N2646">
        <f>IF(AND(H2646="",F2646="",D2646&lt;&gt;"",I2646&gt;=TODAY()),ROUND((I2646+IF(ISNUMBER(C2646),MOD(C2646,1),0))*1440,0)*10000+ROW(),"")</f>
        <v/>
      </c>
    </row>
    <row r="2647">
      <c r="A2647" s="1" t="n"/>
      <c r="B2647" s="17" t="n"/>
      <c r="C2647" s="18" t="n"/>
      <c r="D2647" s="19" t="n"/>
      <c r="E2647" s="20" t="n"/>
      <c r="F2647" s="20" t="n"/>
      <c r="G2647" s="21" t="n"/>
      <c r="H2647" s="12">
        <f>IF(AND(B2647="",D2647="",F2647=""),"",IF(NOT(ISNUMBER(B2647)),"Needs a date",IF(D2647="","Needs a client",IF(COUNTIF(Clients!$B$6:$B$105,D2647)=0,"Not on Clients",IF(AND(F2647="",INT(B2647)&lt;TODAY()),"Needs a status","")))))</f>
        <v/>
      </c>
      <c r="I2647" s="1">
        <f>IF(ISNUMBER(B2647),INT(B2647),0)</f>
        <v/>
      </c>
      <c r="J2647">
        <f>IF(ISNUMBER(B2647),YEAR(B2647)*100+MONTH(B2647),"")</f>
        <v/>
      </c>
      <c r="K2647">
        <f>IF(AND(H2647="",OR(F2647="Attended",F2647="No-show",AND(F2647="Late cancel",Settings!$C$9="Yes"))),1,0)</f>
        <v/>
      </c>
      <c r="L2647">
        <f>IF(AND(H2647="",F2647="Attended"),1,0)</f>
        <v/>
      </c>
      <c r="M2647">
        <f>IF(AND(H2647="",OR(F2647="No-show",F2647="Late cancel")),1,0)</f>
        <v/>
      </c>
      <c r="N2647">
        <f>IF(AND(H2647="",F2647="",D2647&lt;&gt;"",I2647&gt;=TODAY()),ROUND((I2647+IF(ISNUMBER(C2647),MOD(C2647,1),0))*1440,0)*10000+ROW(),"")</f>
        <v/>
      </c>
    </row>
    <row r="2648">
      <c r="A2648" s="1" t="n"/>
      <c r="B2648" s="17" t="n"/>
      <c r="C2648" s="18" t="n"/>
      <c r="D2648" s="19" t="n"/>
      <c r="E2648" s="20" t="n"/>
      <c r="F2648" s="20" t="n"/>
      <c r="G2648" s="21" t="n"/>
      <c r="H2648" s="12">
        <f>IF(AND(B2648="",D2648="",F2648=""),"",IF(NOT(ISNUMBER(B2648)),"Needs a date",IF(D2648="","Needs a client",IF(COUNTIF(Clients!$B$6:$B$105,D2648)=0,"Not on Clients",IF(AND(F2648="",INT(B2648)&lt;TODAY()),"Needs a status","")))))</f>
        <v/>
      </c>
      <c r="I2648" s="1">
        <f>IF(ISNUMBER(B2648),INT(B2648),0)</f>
        <v/>
      </c>
      <c r="J2648">
        <f>IF(ISNUMBER(B2648),YEAR(B2648)*100+MONTH(B2648),"")</f>
        <v/>
      </c>
      <c r="K2648">
        <f>IF(AND(H2648="",OR(F2648="Attended",F2648="No-show",AND(F2648="Late cancel",Settings!$C$9="Yes"))),1,0)</f>
        <v/>
      </c>
      <c r="L2648">
        <f>IF(AND(H2648="",F2648="Attended"),1,0)</f>
        <v/>
      </c>
      <c r="M2648">
        <f>IF(AND(H2648="",OR(F2648="No-show",F2648="Late cancel")),1,0)</f>
        <v/>
      </c>
      <c r="N2648">
        <f>IF(AND(H2648="",F2648="",D2648&lt;&gt;"",I2648&gt;=TODAY()),ROUND((I2648+IF(ISNUMBER(C2648),MOD(C2648,1),0))*1440,0)*10000+ROW(),"")</f>
        <v/>
      </c>
    </row>
    <row r="2649">
      <c r="A2649" s="1" t="n"/>
      <c r="B2649" s="17" t="n"/>
      <c r="C2649" s="18" t="n"/>
      <c r="D2649" s="19" t="n"/>
      <c r="E2649" s="20" t="n"/>
      <c r="F2649" s="20" t="n"/>
      <c r="G2649" s="21" t="n"/>
      <c r="H2649" s="12">
        <f>IF(AND(B2649="",D2649="",F2649=""),"",IF(NOT(ISNUMBER(B2649)),"Needs a date",IF(D2649="","Needs a client",IF(COUNTIF(Clients!$B$6:$B$105,D2649)=0,"Not on Clients",IF(AND(F2649="",INT(B2649)&lt;TODAY()),"Needs a status","")))))</f>
        <v/>
      </c>
      <c r="I2649" s="1">
        <f>IF(ISNUMBER(B2649),INT(B2649),0)</f>
        <v/>
      </c>
      <c r="J2649">
        <f>IF(ISNUMBER(B2649),YEAR(B2649)*100+MONTH(B2649),"")</f>
        <v/>
      </c>
      <c r="K2649">
        <f>IF(AND(H2649="",OR(F2649="Attended",F2649="No-show",AND(F2649="Late cancel",Settings!$C$9="Yes"))),1,0)</f>
        <v/>
      </c>
      <c r="L2649">
        <f>IF(AND(H2649="",F2649="Attended"),1,0)</f>
        <v/>
      </c>
      <c r="M2649">
        <f>IF(AND(H2649="",OR(F2649="No-show",F2649="Late cancel")),1,0)</f>
        <v/>
      </c>
      <c r="N2649">
        <f>IF(AND(H2649="",F2649="",D2649&lt;&gt;"",I2649&gt;=TODAY()),ROUND((I2649+IF(ISNUMBER(C2649),MOD(C2649,1),0))*1440,0)*10000+ROW(),"")</f>
        <v/>
      </c>
    </row>
    <row r="2650">
      <c r="A2650" s="1" t="n"/>
      <c r="B2650" s="17" t="n"/>
      <c r="C2650" s="18" t="n"/>
      <c r="D2650" s="19" t="n"/>
      <c r="E2650" s="20" t="n"/>
      <c r="F2650" s="20" t="n"/>
      <c r="G2650" s="21" t="n"/>
      <c r="H2650" s="12">
        <f>IF(AND(B2650="",D2650="",F2650=""),"",IF(NOT(ISNUMBER(B2650)),"Needs a date",IF(D2650="","Needs a client",IF(COUNTIF(Clients!$B$6:$B$105,D2650)=0,"Not on Clients",IF(AND(F2650="",INT(B2650)&lt;TODAY()),"Needs a status","")))))</f>
        <v/>
      </c>
      <c r="I2650" s="1">
        <f>IF(ISNUMBER(B2650),INT(B2650),0)</f>
        <v/>
      </c>
      <c r="J2650">
        <f>IF(ISNUMBER(B2650),YEAR(B2650)*100+MONTH(B2650),"")</f>
        <v/>
      </c>
      <c r="K2650">
        <f>IF(AND(H2650="",OR(F2650="Attended",F2650="No-show",AND(F2650="Late cancel",Settings!$C$9="Yes"))),1,0)</f>
        <v/>
      </c>
      <c r="L2650">
        <f>IF(AND(H2650="",F2650="Attended"),1,0)</f>
        <v/>
      </c>
      <c r="M2650">
        <f>IF(AND(H2650="",OR(F2650="No-show",F2650="Late cancel")),1,0)</f>
        <v/>
      </c>
      <c r="N2650">
        <f>IF(AND(H2650="",F2650="",D2650&lt;&gt;"",I2650&gt;=TODAY()),ROUND((I2650+IF(ISNUMBER(C2650),MOD(C2650,1),0))*1440,0)*10000+ROW(),"")</f>
        <v/>
      </c>
    </row>
    <row r="2651">
      <c r="A2651" s="1" t="n"/>
      <c r="B2651" s="17" t="n"/>
      <c r="C2651" s="18" t="n"/>
      <c r="D2651" s="19" t="n"/>
      <c r="E2651" s="20" t="n"/>
      <c r="F2651" s="20" t="n"/>
      <c r="G2651" s="21" t="n"/>
      <c r="H2651" s="12">
        <f>IF(AND(B2651="",D2651="",F2651=""),"",IF(NOT(ISNUMBER(B2651)),"Needs a date",IF(D2651="","Needs a client",IF(COUNTIF(Clients!$B$6:$B$105,D2651)=0,"Not on Clients",IF(AND(F2651="",INT(B2651)&lt;TODAY()),"Needs a status","")))))</f>
        <v/>
      </c>
      <c r="I2651" s="1">
        <f>IF(ISNUMBER(B2651),INT(B2651),0)</f>
        <v/>
      </c>
      <c r="J2651">
        <f>IF(ISNUMBER(B2651),YEAR(B2651)*100+MONTH(B2651),"")</f>
        <v/>
      </c>
      <c r="K2651">
        <f>IF(AND(H2651="",OR(F2651="Attended",F2651="No-show",AND(F2651="Late cancel",Settings!$C$9="Yes"))),1,0)</f>
        <v/>
      </c>
      <c r="L2651">
        <f>IF(AND(H2651="",F2651="Attended"),1,0)</f>
        <v/>
      </c>
      <c r="M2651">
        <f>IF(AND(H2651="",OR(F2651="No-show",F2651="Late cancel")),1,0)</f>
        <v/>
      </c>
      <c r="N2651">
        <f>IF(AND(H2651="",F2651="",D2651&lt;&gt;"",I2651&gt;=TODAY()),ROUND((I2651+IF(ISNUMBER(C2651),MOD(C2651,1),0))*1440,0)*10000+ROW(),"")</f>
        <v/>
      </c>
    </row>
    <row r="2652">
      <c r="A2652" s="1" t="n"/>
      <c r="B2652" s="17" t="n"/>
      <c r="C2652" s="18" t="n"/>
      <c r="D2652" s="19" t="n"/>
      <c r="E2652" s="20" t="n"/>
      <c r="F2652" s="20" t="n"/>
      <c r="G2652" s="21" t="n"/>
      <c r="H2652" s="12">
        <f>IF(AND(B2652="",D2652="",F2652=""),"",IF(NOT(ISNUMBER(B2652)),"Needs a date",IF(D2652="","Needs a client",IF(COUNTIF(Clients!$B$6:$B$105,D2652)=0,"Not on Clients",IF(AND(F2652="",INT(B2652)&lt;TODAY()),"Needs a status","")))))</f>
        <v/>
      </c>
      <c r="I2652" s="1">
        <f>IF(ISNUMBER(B2652),INT(B2652),0)</f>
        <v/>
      </c>
      <c r="J2652">
        <f>IF(ISNUMBER(B2652),YEAR(B2652)*100+MONTH(B2652),"")</f>
        <v/>
      </c>
      <c r="K2652">
        <f>IF(AND(H2652="",OR(F2652="Attended",F2652="No-show",AND(F2652="Late cancel",Settings!$C$9="Yes"))),1,0)</f>
        <v/>
      </c>
      <c r="L2652">
        <f>IF(AND(H2652="",F2652="Attended"),1,0)</f>
        <v/>
      </c>
      <c r="M2652">
        <f>IF(AND(H2652="",OR(F2652="No-show",F2652="Late cancel")),1,0)</f>
        <v/>
      </c>
      <c r="N2652">
        <f>IF(AND(H2652="",F2652="",D2652&lt;&gt;"",I2652&gt;=TODAY()),ROUND((I2652+IF(ISNUMBER(C2652),MOD(C2652,1),0))*1440,0)*10000+ROW(),"")</f>
        <v/>
      </c>
    </row>
    <row r="2653">
      <c r="A2653" s="1" t="n"/>
      <c r="B2653" s="17" t="n"/>
      <c r="C2653" s="18" t="n"/>
      <c r="D2653" s="19" t="n"/>
      <c r="E2653" s="20" t="n"/>
      <c r="F2653" s="20" t="n"/>
      <c r="G2653" s="21" t="n"/>
      <c r="H2653" s="12">
        <f>IF(AND(B2653="",D2653="",F2653=""),"",IF(NOT(ISNUMBER(B2653)),"Needs a date",IF(D2653="","Needs a client",IF(COUNTIF(Clients!$B$6:$B$105,D2653)=0,"Not on Clients",IF(AND(F2653="",INT(B2653)&lt;TODAY()),"Needs a status","")))))</f>
        <v/>
      </c>
      <c r="I2653" s="1">
        <f>IF(ISNUMBER(B2653),INT(B2653),0)</f>
        <v/>
      </c>
      <c r="J2653">
        <f>IF(ISNUMBER(B2653),YEAR(B2653)*100+MONTH(B2653),"")</f>
        <v/>
      </c>
      <c r="K2653">
        <f>IF(AND(H2653="",OR(F2653="Attended",F2653="No-show",AND(F2653="Late cancel",Settings!$C$9="Yes"))),1,0)</f>
        <v/>
      </c>
      <c r="L2653">
        <f>IF(AND(H2653="",F2653="Attended"),1,0)</f>
        <v/>
      </c>
      <c r="M2653">
        <f>IF(AND(H2653="",OR(F2653="No-show",F2653="Late cancel")),1,0)</f>
        <v/>
      </c>
      <c r="N2653">
        <f>IF(AND(H2653="",F2653="",D2653&lt;&gt;"",I2653&gt;=TODAY()),ROUND((I2653+IF(ISNUMBER(C2653),MOD(C2653,1),0))*1440,0)*10000+ROW(),"")</f>
        <v/>
      </c>
    </row>
    <row r="2654">
      <c r="A2654" s="1" t="n"/>
      <c r="B2654" s="17" t="n"/>
      <c r="C2654" s="18" t="n"/>
      <c r="D2654" s="19" t="n"/>
      <c r="E2654" s="20" t="n"/>
      <c r="F2654" s="20" t="n"/>
      <c r="G2654" s="21" t="n"/>
      <c r="H2654" s="12">
        <f>IF(AND(B2654="",D2654="",F2654=""),"",IF(NOT(ISNUMBER(B2654)),"Needs a date",IF(D2654="","Needs a client",IF(COUNTIF(Clients!$B$6:$B$105,D2654)=0,"Not on Clients",IF(AND(F2654="",INT(B2654)&lt;TODAY()),"Needs a status","")))))</f>
        <v/>
      </c>
      <c r="I2654" s="1">
        <f>IF(ISNUMBER(B2654),INT(B2654),0)</f>
        <v/>
      </c>
      <c r="J2654">
        <f>IF(ISNUMBER(B2654),YEAR(B2654)*100+MONTH(B2654),"")</f>
        <v/>
      </c>
      <c r="K2654">
        <f>IF(AND(H2654="",OR(F2654="Attended",F2654="No-show",AND(F2654="Late cancel",Settings!$C$9="Yes"))),1,0)</f>
        <v/>
      </c>
      <c r="L2654">
        <f>IF(AND(H2654="",F2654="Attended"),1,0)</f>
        <v/>
      </c>
      <c r="M2654">
        <f>IF(AND(H2654="",OR(F2654="No-show",F2654="Late cancel")),1,0)</f>
        <v/>
      </c>
      <c r="N2654">
        <f>IF(AND(H2654="",F2654="",D2654&lt;&gt;"",I2654&gt;=TODAY()),ROUND((I2654+IF(ISNUMBER(C2654),MOD(C2654,1),0))*1440,0)*10000+ROW(),"")</f>
        <v/>
      </c>
    </row>
    <row r="2655">
      <c r="A2655" s="1" t="n"/>
      <c r="B2655" s="17" t="n"/>
      <c r="C2655" s="18" t="n"/>
      <c r="D2655" s="19" t="n"/>
      <c r="E2655" s="20" t="n"/>
      <c r="F2655" s="20" t="n"/>
      <c r="G2655" s="21" t="n"/>
      <c r="H2655" s="12">
        <f>IF(AND(B2655="",D2655="",F2655=""),"",IF(NOT(ISNUMBER(B2655)),"Needs a date",IF(D2655="","Needs a client",IF(COUNTIF(Clients!$B$6:$B$105,D2655)=0,"Not on Clients",IF(AND(F2655="",INT(B2655)&lt;TODAY()),"Needs a status","")))))</f>
        <v/>
      </c>
      <c r="I2655" s="1">
        <f>IF(ISNUMBER(B2655),INT(B2655),0)</f>
        <v/>
      </c>
      <c r="J2655">
        <f>IF(ISNUMBER(B2655),YEAR(B2655)*100+MONTH(B2655),"")</f>
        <v/>
      </c>
      <c r="K2655">
        <f>IF(AND(H2655="",OR(F2655="Attended",F2655="No-show",AND(F2655="Late cancel",Settings!$C$9="Yes"))),1,0)</f>
        <v/>
      </c>
      <c r="L2655">
        <f>IF(AND(H2655="",F2655="Attended"),1,0)</f>
        <v/>
      </c>
      <c r="M2655">
        <f>IF(AND(H2655="",OR(F2655="No-show",F2655="Late cancel")),1,0)</f>
        <v/>
      </c>
      <c r="N2655">
        <f>IF(AND(H2655="",F2655="",D2655&lt;&gt;"",I2655&gt;=TODAY()),ROUND((I2655+IF(ISNUMBER(C2655),MOD(C2655,1),0))*1440,0)*10000+ROW(),"")</f>
        <v/>
      </c>
    </row>
    <row r="2656">
      <c r="A2656" s="1" t="n"/>
      <c r="B2656" s="17" t="n"/>
      <c r="C2656" s="18" t="n"/>
      <c r="D2656" s="19" t="n"/>
      <c r="E2656" s="20" t="n"/>
      <c r="F2656" s="20" t="n"/>
      <c r="G2656" s="21" t="n"/>
      <c r="H2656" s="12">
        <f>IF(AND(B2656="",D2656="",F2656=""),"",IF(NOT(ISNUMBER(B2656)),"Needs a date",IF(D2656="","Needs a client",IF(COUNTIF(Clients!$B$6:$B$105,D2656)=0,"Not on Clients",IF(AND(F2656="",INT(B2656)&lt;TODAY()),"Needs a status","")))))</f>
        <v/>
      </c>
      <c r="I2656" s="1">
        <f>IF(ISNUMBER(B2656),INT(B2656),0)</f>
        <v/>
      </c>
      <c r="J2656">
        <f>IF(ISNUMBER(B2656),YEAR(B2656)*100+MONTH(B2656),"")</f>
        <v/>
      </c>
      <c r="K2656">
        <f>IF(AND(H2656="",OR(F2656="Attended",F2656="No-show",AND(F2656="Late cancel",Settings!$C$9="Yes"))),1,0)</f>
        <v/>
      </c>
      <c r="L2656">
        <f>IF(AND(H2656="",F2656="Attended"),1,0)</f>
        <v/>
      </c>
      <c r="M2656">
        <f>IF(AND(H2656="",OR(F2656="No-show",F2656="Late cancel")),1,0)</f>
        <v/>
      </c>
      <c r="N2656">
        <f>IF(AND(H2656="",F2656="",D2656&lt;&gt;"",I2656&gt;=TODAY()),ROUND((I2656+IF(ISNUMBER(C2656),MOD(C2656,1),0))*1440,0)*10000+ROW(),"")</f>
        <v/>
      </c>
    </row>
    <row r="2657">
      <c r="A2657" s="1" t="n"/>
      <c r="B2657" s="17" t="n"/>
      <c r="C2657" s="18" t="n"/>
      <c r="D2657" s="19" t="n"/>
      <c r="E2657" s="20" t="n"/>
      <c r="F2657" s="20" t="n"/>
      <c r="G2657" s="21" t="n"/>
      <c r="H2657" s="12">
        <f>IF(AND(B2657="",D2657="",F2657=""),"",IF(NOT(ISNUMBER(B2657)),"Needs a date",IF(D2657="","Needs a client",IF(COUNTIF(Clients!$B$6:$B$105,D2657)=0,"Not on Clients",IF(AND(F2657="",INT(B2657)&lt;TODAY()),"Needs a status","")))))</f>
        <v/>
      </c>
      <c r="I2657" s="1">
        <f>IF(ISNUMBER(B2657),INT(B2657),0)</f>
        <v/>
      </c>
      <c r="J2657">
        <f>IF(ISNUMBER(B2657),YEAR(B2657)*100+MONTH(B2657),"")</f>
        <v/>
      </c>
      <c r="K2657">
        <f>IF(AND(H2657="",OR(F2657="Attended",F2657="No-show",AND(F2657="Late cancel",Settings!$C$9="Yes"))),1,0)</f>
        <v/>
      </c>
      <c r="L2657">
        <f>IF(AND(H2657="",F2657="Attended"),1,0)</f>
        <v/>
      </c>
      <c r="M2657">
        <f>IF(AND(H2657="",OR(F2657="No-show",F2657="Late cancel")),1,0)</f>
        <v/>
      </c>
      <c r="N2657">
        <f>IF(AND(H2657="",F2657="",D2657&lt;&gt;"",I2657&gt;=TODAY()),ROUND((I2657+IF(ISNUMBER(C2657),MOD(C2657,1),0))*1440,0)*10000+ROW(),"")</f>
        <v/>
      </c>
    </row>
    <row r="2658">
      <c r="A2658" s="1" t="n"/>
      <c r="B2658" s="17" t="n"/>
      <c r="C2658" s="18" t="n"/>
      <c r="D2658" s="19" t="n"/>
      <c r="E2658" s="20" t="n"/>
      <c r="F2658" s="20" t="n"/>
      <c r="G2658" s="21" t="n"/>
      <c r="H2658" s="12">
        <f>IF(AND(B2658="",D2658="",F2658=""),"",IF(NOT(ISNUMBER(B2658)),"Needs a date",IF(D2658="","Needs a client",IF(COUNTIF(Clients!$B$6:$B$105,D2658)=0,"Not on Clients",IF(AND(F2658="",INT(B2658)&lt;TODAY()),"Needs a status","")))))</f>
        <v/>
      </c>
      <c r="I2658" s="1">
        <f>IF(ISNUMBER(B2658),INT(B2658),0)</f>
        <v/>
      </c>
      <c r="J2658">
        <f>IF(ISNUMBER(B2658),YEAR(B2658)*100+MONTH(B2658),"")</f>
        <v/>
      </c>
      <c r="K2658">
        <f>IF(AND(H2658="",OR(F2658="Attended",F2658="No-show",AND(F2658="Late cancel",Settings!$C$9="Yes"))),1,0)</f>
        <v/>
      </c>
      <c r="L2658">
        <f>IF(AND(H2658="",F2658="Attended"),1,0)</f>
        <v/>
      </c>
      <c r="M2658">
        <f>IF(AND(H2658="",OR(F2658="No-show",F2658="Late cancel")),1,0)</f>
        <v/>
      </c>
      <c r="N2658">
        <f>IF(AND(H2658="",F2658="",D2658&lt;&gt;"",I2658&gt;=TODAY()),ROUND((I2658+IF(ISNUMBER(C2658),MOD(C2658,1),0))*1440,0)*10000+ROW(),"")</f>
        <v/>
      </c>
    </row>
    <row r="2659">
      <c r="A2659" s="1" t="n"/>
      <c r="B2659" s="17" t="n"/>
      <c r="C2659" s="18" t="n"/>
      <c r="D2659" s="19" t="n"/>
      <c r="E2659" s="20" t="n"/>
      <c r="F2659" s="20" t="n"/>
      <c r="G2659" s="21" t="n"/>
      <c r="H2659" s="12">
        <f>IF(AND(B2659="",D2659="",F2659=""),"",IF(NOT(ISNUMBER(B2659)),"Needs a date",IF(D2659="","Needs a client",IF(COUNTIF(Clients!$B$6:$B$105,D2659)=0,"Not on Clients",IF(AND(F2659="",INT(B2659)&lt;TODAY()),"Needs a status","")))))</f>
        <v/>
      </c>
      <c r="I2659" s="1">
        <f>IF(ISNUMBER(B2659),INT(B2659),0)</f>
        <v/>
      </c>
      <c r="J2659">
        <f>IF(ISNUMBER(B2659),YEAR(B2659)*100+MONTH(B2659),"")</f>
        <v/>
      </c>
      <c r="K2659">
        <f>IF(AND(H2659="",OR(F2659="Attended",F2659="No-show",AND(F2659="Late cancel",Settings!$C$9="Yes"))),1,0)</f>
        <v/>
      </c>
      <c r="L2659">
        <f>IF(AND(H2659="",F2659="Attended"),1,0)</f>
        <v/>
      </c>
      <c r="M2659">
        <f>IF(AND(H2659="",OR(F2659="No-show",F2659="Late cancel")),1,0)</f>
        <v/>
      </c>
      <c r="N2659">
        <f>IF(AND(H2659="",F2659="",D2659&lt;&gt;"",I2659&gt;=TODAY()),ROUND((I2659+IF(ISNUMBER(C2659),MOD(C2659,1),0))*1440,0)*10000+ROW(),"")</f>
        <v/>
      </c>
    </row>
    <row r="2660">
      <c r="A2660" s="1" t="n"/>
      <c r="B2660" s="17" t="n"/>
      <c r="C2660" s="18" t="n"/>
      <c r="D2660" s="19" t="n"/>
      <c r="E2660" s="20" t="n"/>
      <c r="F2660" s="20" t="n"/>
      <c r="G2660" s="21" t="n"/>
      <c r="H2660" s="12">
        <f>IF(AND(B2660="",D2660="",F2660=""),"",IF(NOT(ISNUMBER(B2660)),"Needs a date",IF(D2660="","Needs a client",IF(COUNTIF(Clients!$B$6:$B$105,D2660)=0,"Not on Clients",IF(AND(F2660="",INT(B2660)&lt;TODAY()),"Needs a status","")))))</f>
        <v/>
      </c>
      <c r="I2660" s="1">
        <f>IF(ISNUMBER(B2660),INT(B2660),0)</f>
        <v/>
      </c>
      <c r="J2660">
        <f>IF(ISNUMBER(B2660),YEAR(B2660)*100+MONTH(B2660),"")</f>
        <v/>
      </c>
      <c r="K2660">
        <f>IF(AND(H2660="",OR(F2660="Attended",F2660="No-show",AND(F2660="Late cancel",Settings!$C$9="Yes"))),1,0)</f>
        <v/>
      </c>
      <c r="L2660">
        <f>IF(AND(H2660="",F2660="Attended"),1,0)</f>
        <v/>
      </c>
      <c r="M2660">
        <f>IF(AND(H2660="",OR(F2660="No-show",F2660="Late cancel")),1,0)</f>
        <v/>
      </c>
      <c r="N2660">
        <f>IF(AND(H2660="",F2660="",D2660&lt;&gt;"",I2660&gt;=TODAY()),ROUND((I2660+IF(ISNUMBER(C2660),MOD(C2660,1),0))*1440,0)*10000+ROW(),"")</f>
        <v/>
      </c>
    </row>
    <row r="2661">
      <c r="A2661" s="1" t="n"/>
      <c r="B2661" s="17" t="n"/>
      <c r="C2661" s="18" t="n"/>
      <c r="D2661" s="19" t="n"/>
      <c r="E2661" s="20" t="n"/>
      <c r="F2661" s="20" t="n"/>
      <c r="G2661" s="21" t="n"/>
      <c r="H2661" s="12">
        <f>IF(AND(B2661="",D2661="",F2661=""),"",IF(NOT(ISNUMBER(B2661)),"Needs a date",IF(D2661="","Needs a client",IF(COUNTIF(Clients!$B$6:$B$105,D2661)=0,"Not on Clients",IF(AND(F2661="",INT(B2661)&lt;TODAY()),"Needs a status","")))))</f>
        <v/>
      </c>
      <c r="I2661" s="1">
        <f>IF(ISNUMBER(B2661),INT(B2661),0)</f>
        <v/>
      </c>
      <c r="J2661">
        <f>IF(ISNUMBER(B2661),YEAR(B2661)*100+MONTH(B2661),"")</f>
        <v/>
      </c>
      <c r="K2661">
        <f>IF(AND(H2661="",OR(F2661="Attended",F2661="No-show",AND(F2661="Late cancel",Settings!$C$9="Yes"))),1,0)</f>
        <v/>
      </c>
      <c r="L2661">
        <f>IF(AND(H2661="",F2661="Attended"),1,0)</f>
        <v/>
      </c>
      <c r="M2661">
        <f>IF(AND(H2661="",OR(F2661="No-show",F2661="Late cancel")),1,0)</f>
        <v/>
      </c>
      <c r="N2661">
        <f>IF(AND(H2661="",F2661="",D2661&lt;&gt;"",I2661&gt;=TODAY()),ROUND((I2661+IF(ISNUMBER(C2661),MOD(C2661,1),0))*1440,0)*10000+ROW(),"")</f>
        <v/>
      </c>
    </row>
    <row r="2662">
      <c r="A2662" s="1" t="n"/>
      <c r="B2662" s="17" t="n"/>
      <c r="C2662" s="18" t="n"/>
      <c r="D2662" s="19" t="n"/>
      <c r="E2662" s="20" t="n"/>
      <c r="F2662" s="20" t="n"/>
      <c r="G2662" s="21" t="n"/>
      <c r="H2662" s="12">
        <f>IF(AND(B2662="",D2662="",F2662=""),"",IF(NOT(ISNUMBER(B2662)),"Needs a date",IF(D2662="","Needs a client",IF(COUNTIF(Clients!$B$6:$B$105,D2662)=0,"Not on Clients",IF(AND(F2662="",INT(B2662)&lt;TODAY()),"Needs a status","")))))</f>
        <v/>
      </c>
      <c r="I2662" s="1">
        <f>IF(ISNUMBER(B2662),INT(B2662),0)</f>
        <v/>
      </c>
      <c r="J2662">
        <f>IF(ISNUMBER(B2662),YEAR(B2662)*100+MONTH(B2662),"")</f>
        <v/>
      </c>
      <c r="K2662">
        <f>IF(AND(H2662="",OR(F2662="Attended",F2662="No-show",AND(F2662="Late cancel",Settings!$C$9="Yes"))),1,0)</f>
        <v/>
      </c>
      <c r="L2662">
        <f>IF(AND(H2662="",F2662="Attended"),1,0)</f>
        <v/>
      </c>
      <c r="M2662">
        <f>IF(AND(H2662="",OR(F2662="No-show",F2662="Late cancel")),1,0)</f>
        <v/>
      </c>
      <c r="N2662">
        <f>IF(AND(H2662="",F2662="",D2662&lt;&gt;"",I2662&gt;=TODAY()),ROUND((I2662+IF(ISNUMBER(C2662),MOD(C2662,1),0))*1440,0)*10000+ROW(),"")</f>
        <v/>
      </c>
    </row>
    <row r="2663">
      <c r="A2663" s="1" t="n"/>
      <c r="B2663" s="17" t="n"/>
      <c r="C2663" s="18" t="n"/>
      <c r="D2663" s="19" t="n"/>
      <c r="E2663" s="20" t="n"/>
      <c r="F2663" s="20" t="n"/>
      <c r="G2663" s="21" t="n"/>
      <c r="H2663" s="12">
        <f>IF(AND(B2663="",D2663="",F2663=""),"",IF(NOT(ISNUMBER(B2663)),"Needs a date",IF(D2663="","Needs a client",IF(COUNTIF(Clients!$B$6:$B$105,D2663)=0,"Not on Clients",IF(AND(F2663="",INT(B2663)&lt;TODAY()),"Needs a status","")))))</f>
        <v/>
      </c>
      <c r="I2663" s="1">
        <f>IF(ISNUMBER(B2663),INT(B2663),0)</f>
        <v/>
      </c>
      <c r="J2663">
        <f>IF(ISNUMBER(B2663),YEAR(B2663)*100+MONTH(B2663),"")</f>
        <v/>
      </c>
      <c r="K2663">
        <f>IF(AND(H2663="",OR(F2663="Attended",F2663="No-show",AND(F2663="Late cancel",Settings!$C$9="Yes"))),1,0)</f>
        <v/>
      </c>
      <c r="L2663">
        <f>IF(AND(H2663="",F2663="Attended"),1,0)</f>
        <v/>
      </c>
      <c r="M2663">
        <f>IF(AND(H2663="",OR(F2663="No-show",F2663="Late cancel")),1,0)</f>
        <v/>
      </c>
      <c r="N2663">
        <f>IF(AND(H2663="",F2663="",D2663&lt;&gt;"",I2663&gt;=TODAY()),ROUND((I2663+IF(ISNUMBER(C2663),MOD(C2663,1),0))*1440,0)*10000+ROW(),"")</f>
        <v/>
      </c>
    </row>
    <row r="2664">
      <c r="A2664" s="1" t="n"/>
      <c r="B2664" s="17" t="n"/>
      <c r="C2664" s="18" t="n"/>
      <c r="D2664" s="19" t="n"/>
      <c r="E2664" s="20" t="n"/>
      <c r="F2664" s="20" t="n"/>
      <c r="G2664" s="21" t="n"/>
      <c r="H2664" s="12">
        <f>IF(AND(B2664="",D2664="",F2664=""),"",IF(NOT(ISNUMBER(B2664)),"Needs a date",IF(D2664="","Needs a client",IF(COUNTIF(Clients!$B$6:$B$105,D2664)=0,"Not on Clients",IF(AND(F2664="",INT(B2664)&lt;TODAY()),"Needs a status","")))))</f>
        <v/>
      </c>
      <c r="I2664" s="1">
        <f>IF(ISNUMBER(B2664),INT(B2664),0)</f>
        <v/>
      </c>
      <c r="J2664">
        <f>IF(ISNUMBER(B2664),YEAR(B2664)*100+MONTH(B2664),"")</f>
        <v/>
      </c>
      <c r="K2664">
        <f>IF(AND(H2664="",OR(F2664="Attended",F2664="No-show",AND(F2664="Late cancel",Settings!$C$9="Yes"))),1,0)</f>
        <v/>
      </c>
      <c r="L2664">
        <f>IF(AND(H2664="",F2664="Attended"),1,0)</f>
        <v/>
      </c>
      <c r="M2664">
        <f>IF(AND(H2664="",OR(F2664="No-show",F2664="Late cancel")),1,0)</f>
        <v/>
      </c>
      <c r="N2664">
        <f>IF(AND(H2664="",F2664="",D2664&lt;&gt;"",I2664&gt;=TODAY()),ROUND((I2664+IF(ISNUMBER(C2664),MOD(C2664,1),0))*1440,0)*10000+ROW(),"")</f>
        <v/>
      </c>
    </row>
    <row r="2665">
      <c r="A2665" s="1" t="n"/>
      <c r="B2665" s="17" t="n"/>
      <c r="C2665" s="18" t="n"/>
      <c r="D2665" s="19" t="n"/>
      <c r="E2665" s="20" t="n"/>
      <c r="F2665" s="20" t="n"/>
      <c r="G2665" s="21" t="n"/>
      <c r="H2665" s="12">
        <f>IF(AND(B2665="",D2665="",F2665=""),"",IF(NOT(ISNUMBER(B2665)),"Needs a date",IF(D2665="","Needs a client",IF(COUNTIF(Clients!$B$6:$B$105,D2665)=0,"Not on Clients",IF(AND(F2665="",INT(B2665)&lt;TODAY()),"Needs a status","")))))</f>
        <v/>
      </c>
      <c r="I2665" s="1">
        <f>IF(ISNUMBER(B2665),INT(B2665),0)</f>
        <v/>
      </c>
      <c r="J2665">
        <f>IF(ISNUMBER(B2665),YEAR(B2665)*100+MONTH(B2665),"")</f>
        <v/>
      </c>
      <c r="K2665">
        <f>IF(AND(H2665="",OR(F2665="Attended",F2665="No-show",AND(F2665="Late cancel",Settings!$C$9="Yes"))),1,0)</f>
        <v/>
      </c>
      <c r="L2665">
        <f>IF(AND(H2665="",F2665="Attended"),1,0)</f>
        <v/>
      </c>
      <c r="M2665">
        <f>IF(AND(H2665="",OR(F2665="No-show",F2665="Late cancel")),1,0)</f>
        <v/>
      </c>
      <c r="N2665">
        <f>IF(AND(H2665="",F2665="",D2665&lt;&gt;"",I2665&gt;=TODAY()),ROUND((I2665+IF(ISNUMBER(C2665),MOD(C2665,1),0))*1440,0)*10000+ROW(),"")</f>
        <v/>
      </c>
    </row>
    <row r="2666">
      <c r="A2666" s="1" t="n"/>
      <c r="B2666" s="17" t="n"/>
      <c r="C2666" s="18" t="n"/>
      <c r="D2666" s="19" t="n"/>
      <c r="E2666" s="20" t="n"/>
      <c r="F2666" s="20" t="n"/>
      <c r="G2666" s="21" t="n"/>
      <c r="H2666" s="12">
        <f>IF(AND(B2666="",D2666="",F2666=""),"",IF(NOT(ISNUMBER(B2666)),"Needs a date",IF(D2666="","Needs a client",IF(COUNTIF(Clients!$B$6:$B$105,D2666)=0,"Not on Clients",IF(AND(F2666="",INT(B2666)&lt;TODAY()),"Needs a status","")))))</f>
        <v/>
      </c>
      <c r="I2666" s="1">
        <f>IF(ISNUMBER(B2666),INT(B2666),0)</f>
        <v/>
      </c>
      <c r="J2666">
        <f>IF(ISNUMBER(B2666),YEAR(B2666)*100+MONTH(B2666),"")</f>
        <v/>
      </c>
      <c r="K2666">
        <f>IF(AND(H2666="",OR(F2666="Attended",F2666="No-show",AND(F2666="Late cancel",Settings!$C$9="Yes"))),1,0)</f>
        <v/>
      </c>
      <c r="L2666">
        <f>IF(AND(H2666="",F2666="Attended"),1,0)</f>
        <v/>
      </c>
      <c r="M2666">
        <f>IF(AND(H2666="",OR(F2666="No-show",F2666="Late cancel")),1,0)</f>
        <v/>
      </c>
      <c r="N2666">
        <f>IF(AND(H2666="",F2666="",D2666&lt;&gt;"",I2666&gt;=TODAY()),ROUND((I2666+IF(ISNUMBER(C2666),MOD(C2666,1),0))*1440,0)*10000+ROW(),"")</f>
        <v/>
      </c>
    </row>
    <row r="2667">
      <c r="A2667" s="1" t="n"/>
      <c r="B2667" s="17" t="n"/>
      <c r="C2667" s="18" t="n"/>
      <c r="D2667" s="19" t="n"/>
      <c r="E2667" s="20" t="n"/>
      <c r="F2667" s="20" t="n"/>
      <c r="G2667" s="21" t="n"/>
      <c r="H2667" s="12">
        <f>IF(AND(B2667="",D2667="",F2667=""),"",IF(NOT(ISNUMBER(B2667)),"Needs a date",IF(D2667="","Needs a client",IF(COUNTIF(Clients!$B$6:$B$105,D2667)=0,"Not on Clients",IF(AND(F2667="",INT(B2667)&lt;TODAY()),"Needs a status","")))))</f>
        <v/>
      </c>
      <c r="I2667" s="1">
        <f>IF(ISNUMBER(B2667),INT(B2667),0)</f>
        <v/>
      </c>
      <c r="J2667">
        <f>IF(ISNUMBER(B2667),YEAR(B2667)*100+MONTH(B2667),"")</f>
        <v/>
      </c>
      <c r="K2667">
        <f>IF(AND(H2667="",OR(F2667="Attended",F2667="No-show",AND(F2667="Late cancel",Settings!$C$9="Yes"))),1,0)</f>
        <v/>
      </c>
      <c r="L2667">
        <f>IF(AND(H2667="",F2667="Attended"),1,0)</f>
        <v/>
      </c>
      <c r="M2667">
        <f>IF(AND(H2667="",OR(F2667="No-show",F2667="Late cancel")),1,0)</f>
        <v/>
      </c>
      <c r="N2667">
        <f>IF(AND(H2667="",F2667="",D2667&lt;&gt;"",I2667&gt;=TODAY()),ROUND((I2667+IF(ISNUMBER(C2667),MOD(C2667,1),0))*1440,0)*10000+ROW(),"")</f>
        <v/>
      </c>
    </row>
    <row r="2668">
      <c r="A2668" s="1" t="n"/>
      <c r="B2668" s="17" t="n"/>
      <c r="C2668" s="18" t="n"/>
      <c r="D2668" s="19" t="n"/>
      <c r="E2668" s="20" t="n"/>
      <c r="F2668" s="20" t="n"/>
      <c r="G2668" s="21" t="n"/>
      <c r="H2668" s="12">
        <f>IF(AND(B2668="",D2668="",F2668=""),"",IF(NOT(ISNUMBER(B2668)),"Needs a date",IF(D2668="","Needs a client",IF(COUNTIF(Clients!$B$6:$B$105,D2668)=0,"Not on Clients",IF(AND(F2668="",INT(B2668)&lt;TODAY()),"Needs a status","")))))</f>
        <v/>
      </c>
      <c r="I2668" s="1">
        <f>IF(ISNUMBER(B2668),INT(B2668),0)</f>
        <v/>
      </c>
      <c r="J2668">
        <f>IF(ISNUMBER(B2668),YEAR(B2668)*100+MONTH(B2668),"")</f>
        <v/>
      </c>
      <c r="K2668">
        <f>IF(AND(H2668="",OR(F2668="Attended",F2668="No-show",AND(F2668="Late cancel",Settings!$C$9="Yes"))),1,0)</f>
        <v/>
      </c>
      <c r="L2668">
        <f>IF(AND(H2668="",F2668="Attended"),1,0)</f>
        <v/>
      </c>
      <c r="M2668">
        <f>IF(AND(H2668="",OR(F2668="No-show",F2668="Late cancel")),1,0)</f>
        <v/>
      </c>
      <c r="N2668">
        <f>IF(AND(H2668="",F2668="",D2668&lt;&gt;"",I2668&gt;=TODAY()),ROUND((I2668+IF(ISNUMBER(C2668),MOD(C2668,1),0))*1440,0)*10000+ROW(),"")</f>
        <v/>
      </c>
    </row>
    <row r="2669">
      <c r="A2669" s="1" t="n"/>
      <c r="B2669" s="17" t="n"/>
      <c r="C2669" s="18" t="n"/>
      <c r="D2669" s="19" t="n"/>
      <c r="E2669" s="20" t="n"/>
      <c r="F2669" s="20" t="n"/>
      <c r="G2669" s="21" t="n"/>
      <c r="H2669" s="12">
        <f>IF(AND(B2669="",D2669="",F2669=""),"",IF(NOT(ISNUMBER(B2669)),"Needs a date",IF(D2669="","Needs a client",IF(COUNTIF(Clients!$B$6:$B$105,D2669)=0,"Not on Clients",IF(AND(F2669="",INT(B2669)&lt;TODAY()),"Needs a status","")))))</f>
        <v/>
      </c>
      <c r="I2669" s="1">
        <f>IF(ISNUMBER(B2669),INT(B2669),0)</f>
        <v/>
      </c>
      <c r="J2669">
        <f>IF(ISNUMBER(B2669),YEAR(B2669)*100+MONTH(B2669),"")</f>
        <v/>
      </c>
      <c r="K2669">
        <f>IF(AND(H2669="",OR(F2669="Attended",F2669="No-show",AND(F2669="Late cancel",Settings!$C$9="Yes"))),1,0)</f>
        <v/>
      </c>
      <c r="L2669">
        <f>IF(AND(H2669="",F2669="Attended"),1,0)</f>
        <v/>
      </c>
      <c r="M2669">
        <f>IF(AND(H2669="",OR(F2669="No-show",F2669="Late cancel")),1,0)</f>
        <v/>
      </c>
      <c r="N2669">
        <f>IF(AND(H2669="",F2669="",D2669&lt;&gt;"",I2669&gt;=TODAY()),ROUND((I2669+IF(ISNUMBER(C2669),MOD(C2669,1),0))*1440,0)*10000+ROW(),"")</f>
        <v/>
      </c>
    </row>
    <row r="2670">
      <c r="A2670" s="1" t="n"/>
      <c r="B2670" s="17" t="n"/>
      <c r="C2670" s="18" t="n"/>
      <c r="D2670" s="19" t="n"/>
      <c r="E2670" s="20" t="n"/>
      <c r="F2670" s="20" t="n"/>
      <c r="G2670" s="21" t="n"/>
      <c r="H2670" s="12">
        <f>IF(AND(B2670="",D2670="",F2670=""),"",IF(NOT(ISNUMBER(B2670)),"Needs a date",IF(D2670="","Needs a client",IF(COUNTIF(Clients!$B$6:$B$105,D2670)=0,"Not on Clients",IF(AND(F2670="",INT(B2670)&lt;TODAY()),"Needs a status","")))))</f>
        <v/>
      </c>
      <c r="I2670" s="1">
        <f>IF(ISNUMBER(B2670),INT(B2670),0)</f>
        <v/>
      </c>
      <c r="J2670">
        <f>IF(ISNUMBER(B2670),YEAR(B2670)*100+MONTH(B2670),"")</f>
        <v/>
      </c>
      <c r="K2670">
        <f>IF(AND(H2670="",OR(F2670="Attended",F2670="No-show",AND(F2670="Late cancel",Settings!$C$9="Yes"))),1,0)</f>
        <v/>
      </c>
      <c r="L2670">
        <f>IF(AND(H2670="",F2670="Attended"),1,0)</f>
        <v/>
      </c>
      <c r="M2670">
        <f>IF(AND(H2670="",OR(F2670="No-show",F2670="Late cancel")),1,0)</f>
        <v/>
      </c>
      <c r="N2670">
        <f>IF(AND(H2670="",F2670="",D2670&lt;&gt;"",I2670&gt;=TODAY()),ROUND((I2670+IF(ISNUMBER(C2670),MOD(C2670,1),0))*1440,0)*10000+ROW(),"")</f>
        <v/>
      </c>
    </row>
    <row r="2671">
      <c r="A2671" s="1" t="n"/>
      <c r="B2671" s="17" t="n"/>
      <c r="C2671" s="18" t="n"/>
      <c r="D2671" s="19" t="n"/>
      <c r="E2671" s="20" t="n"/>
      <c r="F2671" s="20" t="n"/>
      <c r="G2671" s="21" t="n"/>
      <c r="H2671" s="12">
        <f>IF(AND(B2671="",D2671="",F2671=""),"",IF(NOT(ISNUMBER(B2671)),"Needs a date",IF(D2671="","Needs a client",IF(COUNTIF(Clients!$B$6:$B$105,D2671)=0,"Not on Clients",IF(AND(F2671="",INT(B2671)&lt;TODAY()),"Needs a status","")))))</f>
        <v/>
      </c>
      <c r="I2671" s="1">
        <f>IF(ISNUMBER(B2671),INT(B2671),0)</f>
        <v/>
      </c>
      <c r="J2671">
        <f>IF(ISNUMBER(B2671),YEAR(B2671)*100+MONTH(B2671),"")</f>
        <v/>
      </c>
      <c r="K2671">
        <f>IF(AND(H2671="",OR(F2671="Attended",F2671="No-show",AND(F2671="Late cancel",Settings!$C$9="Yes"))),1,0)</f>
        <v/>
      </c>
      <c r="L2671">
        <f>IF(AND(H2671="",F2671="Attended"),1,0)</f>
        <v/>
      </c>
      <c r="M2671">
        <f>IF(AND(H2671="",OR(F2671="No-show",F2671="Late cancel")),1,0)</f>
        <v/>
      </c>
      <c r="N2671">
        <f>IF(AND(H2671="",F2671="",D2671&lt;&gt;"",I2671&gt;=TODAY()),ROUND((I2671+IF(ISNUMBER(C2671),MOD(C2671,1),0))*1440,0)*10000+ROW(),"")</f>
        <v/>
      </c>
    </row>
    <row r="2672">
      <c r="A2672" s="1" t="n"/>
      <c r="B2672" s="17" t="n"/>
      <c r="C2672" s="18" t="n"/>
      <c r="D2672" s="19" t="n"/>
      <c r="E2672" s="20" t="n"/>
      <c r="F2672" s="20" t="n"/>
      <c r="G2672" s="21" t="n"/>
      <c r="H2672" s="12">
        <f>IF(AND(B2672="",D2672="",F2672=""),"",IF(NOT(ISNUMBER(B2672)),"Needs a date",IF(D2672="","Needs a client",IF(COUNTIF(Clients!$B$6:$B$105,D2672)=0,"Not on Clients",IF(AND(F2672="",INT(B2672)&lt;TODAY()),"Needs a status","")))))</f>
        <v/>
      </c>
      <c r="I2672" s="1">
        <f>IF(ISNUMBER(B2672),INT(B2672),0)</f>
        <v/>
      </c>
      <c r="J2672">
        <f>IF(ISNUMBER(B2672),YEAR(B2672)*100+MONTH(B2672),"")</f>
        <v/>
      </c>
      <c r="K2672">
        <f>IF(AND(H2672="",OR(F2672="Attended",F2672="No-show",AND(F2672="Late cancel",Settings!$C$9="Yes"))),1,0)</f>
        <v/>
      </c>
      <c r="L2672">
        <f>IF(AND(H2672="",F2672="Attended"),1,0)</f>
        <v/>
      </c>
      <c r="M2672">
        <f>IF(AND(H2672="",OR(F2672="No-show",F2672="Late cancel")),1,0)</f>
        <v/>
      </c>
      <c r="N2672">
        <f>IF(AND(H2672="",F2672="",D2672&lt;&gt;"",I2672&gt;=TODAY()),ROUND((I2672+IF(ISNUMBER(C2672),MOD(C2672,1),0))*1440,0)*10000+ROW(),"")</f>
        <v/>
      </c>
    </row>
    <row r="2673">
      <c r="A2673" s="1" t="n"/>
      <c r="B2673" s="17" t="n"/>
      <c r="C2673" s="18" t="n"/>
      <c r="D2673" s="19" t="n"/>
      <c r="E2673" s="20" t="n"/>
      <c r="F2673" s="20" t="n"/>
      <c r="G2673" s="21" t="n"/>
      <c r="H2673" s="12">
        <f>IF(AND(B2673="",D2673="",F2673=""),"",IF(NOT(ISNUMBER(B2673)),"Needs a date",IF(D2673="","Needs a client",IF(COUNTIF(Clients!$B$6:$B$105,D2673)=0,"Not on Clients",IF(AND(F2673="",INT(B2673)&lt;TODAY()),"Needs a status","")))))</f>
        <v/>
      </c>
      <c r="I2673" s="1">
        <f>IF(ISNUMBER(B2673),INT(B2673),0)</f>
        <v/>
      </c>
      <c r="J2673">
        <f>IF(ISNUMBER(B2673),YEAR(B2673)*100+MONTH(B2673),"")</f>
        <v/>
      </c>
      <c r="K2673">
        <f>IF(AND(H2673="",OR(F2673="Attended",F2673="No-show",AND(F2673="Late cancel",Settings!$C$9="Yes"))),1,0)</f>
        <v/>
      </c>
      <c r="L2673">
        <f>IF(AND(H2673="",F2673="Attended"),1,0)</f>
        <v/>
      </c>
      <c r="M2673">
        <f>IF(AND(H2673="",OR(F2673="No-show",F2673="Late cancel")),1,0)</f>
        <v/>
      </c>
      <c r="N2673">
        <f>IF(AND(H2673="",F2673="",D2673&lt;&gt;"",I2673&gt;=TODAY()),ROUND((I2673+IF(ISNUMBER(C2673),MOD(C2673,1),0))*1440,0)*10000+ROW(),"")</f>
        <v/>
      </c>
    </row>
    <row r="2674">
      <c r="A2674" s="1" t="n"/>
      <c r="B2674" s="17" t="n"/>
      <c r="C2674" s="18" t="n"/>
      <c r="D2674" s="19" t="n"/>
      <c r="E2674" s="20" t="n"/>
      <c r="F2674" s="20" t="n"/>
      <c r="G2674" s="21" t="n"/>
      <c r="H2674" s="12">
        <f>IF(AND(B2674="",D2674="",F2674=""),"",IF(NOT(ISNUMBER(B2674)),"Needs a date",IF(D2674="","Needs a client",IF(COUNTIF(Clients!$B$6:$B$105,D2674)=0,"Not on Clients",IF(AND(F2674="",INT(B2674)&lt;TODAY()),"Needs a status","")))))</f>
        <v/>
      </c>
      <c r="I2674" s="1">
        <f>IF(ISNUMBER(B2674),INT(B2674),0)</f>
        <v/>
      </c>
      <c r="J2674">
        <f>IF(ISNUMBER(B2674),YEAR(B2674)*100+MONTH(B2674),"")</f>
        <v/>
      </c>
      <c r="K2674">
        <f>IF(AND(H2674="",OR(F2674="Attended",F2674="No-show",AND(F2674="Late cancel",Settings!$C$9="Yes"))),1,0)</f>
        <v/>
      </c>
      <c r="L2674">
        <f>IF(AND(H2674="",F2674="Attended"),1,0)</f>
        <v/>
      </c>
      <c r="M2674">
        <f>IF(AND(H2674="",OR(F2674="No-show",F2674="Late cancel")),1,0)</f>
        <v/>
      </c>
      <c r="N2674">
        <f>IF(AND(H2674="",F2674="",D2674&lt;&gt;"",I2674&gt;=TODAY()),ROUND((I2674+IF(ISNUMBER(C2674),MOD(C2674,1),0))*1440,0)*10000+ROW(),"")</f>
        <v/>
      </c>
    </row>
    <row r="2675">
      <c r="A2675" s="1" t="n"/>
      <c r="B2675" s="17" t="n"/>
      <c r="C2675" s="18" t="n"/>
      <c r="D2675" s="19" t="n"/>
      <c r="E2675" s="20" t="n"/>
      <c r="F2675" s="20" t="n"/>
      <c r="G2675" s="21" t="n"/>
      <c r="H2675" s="12">
        <f>IF(AND(B2675="",D2675="",F2675=""),"",IF(NOT(ISNUMBER(B2675)),"Needs a date",IF(D2675="","Needs a client",IF(COUNTIF(Clients!$B$6:$B$105,D2675)=0,"Not on Clients",IF(AND(F2675="",INT(B2675)&lt;TODAY()),"Needs a status","")))))</f>
        <v/>
      </c>
      <c r="I2675" s="1">
        <f>IF(ISNUMBER(B2675),INT(B2675),0)</f>
        <v/>
      </c>
      <c r="J2675">
        <f>IF(ISNUMBER(B2675),YEAR(B2675)*100+MONTH(B2675),"")</f>
        <v/>
      </c>
      <c r="K2675">
        <f>IF(AND(H2675="",OR(F2675="Attended",F2675="No-show",AND(F2675="Late cancel",Settings!$C$9="Yes"))),1,0)</f>
        <v/>
      </c>
      <c r="L2675">
        <f>IF(AND(H2675="",F2675="Attended"),1,0)</f>
        <v/>
      </c>
      <c r="M2675">
        <f>IF(AND(H2675="",OR(F2675="No-show",F2675="Late cancel")),1,0)</f>
        <v/>
      </c>
      <c r="N2675">
        <f>IF(AND(H2675="",F2675="",D2675&lt;&gt;"",I2675&gt;=TODAY()),ROUND((I2675+IF(ISNUMBER(C2675),MOD(C2675,1),0))*1440,0)*10000+ROW(),"")</f>
        <v/>
      </c>
    </row>
    <row r="2676">
      <c r="A2676" s="1" t="n"/>
      <c r="B2676" s="17" t="n"/>
      <c r="C2676" s="18" t="n"/>
      <c r="D2676" s="19" t="n"/>
      <c r="E2676" s="20" t="n"/>
      <c r="F2676" s="20" t="n"/>
      <c r="G2676" s="21" t="n"/>
      <c r="H2676" s="12">
        <f>IF(AND(B2676="",D2676="",F2676=""),"",IF(NOT(ISNUMBER(B2676)),"Needs a date",IF(D2676="","Needs a client",IF(COUNTIF(Clients!$B$6:$B$105,D2676)=0,"Not on Clients",IF(AND(F2676="",INT(B2676)&lt;TODAY()),"Needs a status","")))))</f>
        <v/>
      </c>
      <c r="I2676" s="1">
        <f>IF(ISNUMBER(B2676),INT(B2676),0)</f>
        <v/>
      </c>
      <c r="J2676">
        <f>IF(ISNUMBER(B2676),YEAR(B2676)*100+MONTH(B2676),"")</f>
        <v/>
      </c>
      <c r="K2676">
        <f>IF(AND(H2676="",OR(F2676="Attended",F2676="No-show",AND(F2676="Late cancel",Settings!$C$9="Yes"))),1,0)</f>
        <v/>
      </c>
      <c r="L2676">
        <f>IF(AND(H2676="",F2676="Attended"),1,0)</f>
        <v/>
      </c>
      <c r="M2676">
        <f>IF(AND(H2676="",OR(F2676="No-show",F2676="Late cancel")),1,0)</f>
        <v/>
      </c>
      <c r="N2676">
        <f>IF(AND(H2676="",F2676="",D2676&lt;&gt;"",I2676&gt;=TODAY()),ROUND((I2676+IF(ISNUMBER(C2676),MOD(C2676,1),0))*1440,0)*10000+ROW(),"")</f>
        <v/>
      </c>
    </row>
    <row r="2677">
      <c r="A2677" s="1" t="n"/>
      <c r="B2677" s="17" t="n"/>
      <c r="C2677" s="18" t="n"/>
      <c r="D2677" s="19" t="n"/>
      <c r="E2677" s="20" t="n"/>
      <c r="F2677" s="20" t="n"/>
      <c r="G2677" s="21" t="n"/>
      <c r="H2677" s="12">
        <f>IF(AND(B2677="",D2677="",F2677=""),"",IF(NOT(ISNUMBER(B2677)),"Needs a date",IF(D2677="","Needs a client",IF(COUNTIF(Clients!$B$6:$B$105,D2677)=0,"Not on Clients",IF(AND(F2677="",INT(B2677)&lt;TODAY()),"Needs a status","")))))</f>
        <v/>
      </c>
      <c r="I2677" s="1">
        <f>IF(ISNUMBER(B2677),INT(B2677),0)</f>
        <v/>
      </c>
      <c r="J2677">
        <f>IF(ISNUMBER(B2677),YEAR(B2677)*100+MONTH(B2677),"")</f>
        <v/>
      </c>
      <c r="K2677">
        <f>IF(AND(H2677="",OR(F2677="Attended",F2677="No-show",AND(F2677="Late cancel",Settings!$C$9="Yes"))),1,0)</f>
        <v/>
      </c>
      <c r="L2677">
        <f>IF(AND(H2677="",F2677="Attended"),1,0)</f>
        <v/>
      </c>
      <c r="M2677">
        <f>IF(AND(H2677="",OR(F2677="No-show",F2677="Late cancel")),1,0)</f>
        <v/>
      </c>
      <c r="N2677">
        <f>IF(AND(H2677="",F2677="",D2677&lt;&gt;"",I2677&gt;=TODAY()),ROUND((I2677+IF(ISNUMBER(C2677),MOD(C2677,1),0))*1440,0)*10000+ROW(),"")</f>
        <v/>
      </c>
    </row>
    <row r="2678">
      <c r="A2678" s="1" t="n"/>
      <c r="B2678" s="17" t="n"/>
      <c r="C2678" s="18" t="n"/>
      <c r="D2678" s="19" t="n"/>
      <c r="E2678" s="20" t="n"/>
      <c r="F2678" s="20" t="n"/>
      <c r="G2678" s="21" t="n"/>
      <c r="H2678" s="12">
        <f>IF(AND(B2678="",D2678="",F2678=""),"",IF(NOT(ISNUMBER(B2678)),"Needs a date",IF(D2678="","Needs a client",IF(COUNTIF(Clients!$B$6:$B$105,D2678)=0,"Not on Clients",IF(AND(F2678="",INT(B2678)&lt;TODAY()),"Needs a status","")))))</f>
        <v/>
      </c>
      <c r="I2678" s="1">
        <f>IF(ISNUMBER(B2678),INT(B2678),0)</f>
        <v/>
      </c>
      <c r="J2678">
        <f>IF(ISNUMBER(B2678),YEAR(B2678)*100+MONTH(B2678),"")</f>
        <v/>
      </c>
      <c r="K2678">
        <f>IF(AND(H2678="",OR(F2678="Attended",F2678="No-show",AND(F2678="Late cancel",Settings!$C$9="Yes"))),1,0)</f>
        <v/>
      </c>
      <c r="L2678">
        <f>IF(AND(H2678="",F2678="Attended"),1,0)</f>
        <v/>
      </c>
      <c r="M2678">
        <f>IF(AND(H2678="",OR(F2678="No-show",F2678="Late cancel")),1,0)</f>
        <v/>
      </c>
      <c r="N2678">
        <f>IF(AND(H2678="",F2678="",D2678&lt;&gt;"",I2678&gt;=TODAY()),ROUND((I2678+IF(ISNUMBER(C2678),MOD(C2678,1),0))*1440,0)*10000+ROW(),"")</f>
        <v/>
      </c>
    </row>
    <row r="2679">
      <c r="A2679" s="1" t="n"/>
      <c r="B2679" s="17" t="n"/>
      <c r="C2679" s="18" t="n"/>
      <c r="D2679" s="19" t="n"/>
      <c r="E2679" s="20" t="n"/>
      <c r="F2679" s="20" t="n"/>
      <c r="G2679" s="21" t="n"/>
      <c r="H2679" s="12">
        <f>IF(AND(B2679="",D2679="",F2679=""),"",IF(NOT(ISNUMBER(B2679)),"Needs a date",IF(D2679="","Needs a client",IF(COUNTIF(Clients!$B$6:$B$105,D2679)=0,"Not on Clients",IF(AND(F2679="",INT(B2679)&lt;TODAY()),"Needs a status","")))))</f>
        <v/>
      </c>
      <c r="I2679" s="1">
        <f>IF(ISNUMBER(B2679),INT(B2679),0)</f>
        <v/>
      </c>
      <c r="J2679">
        <f>IF(ISNUMBER(B2679),YEAR(B2679)*100+MONTH(B2679),"")</f>
        <v/>
      </c>
      <c r="K2679">
        <f>IF(AND(H2679="",OR(F2679="Attended",F2679="No-show",AND(F2679="Late cancel",Settings!$C$9="Yes"))),1,0)</f>
        <v/>
      </c>
      <c r="L2679">
        <f>IF(AND(H2679="",F2679="Attended"),1,0)</f>
        <v/>
      </c>
      <c r="M2679">
        <f>IF(AND(H2679="",OR(F2679="No-show",F2679="Late cancel")),1,0)</f>
        <v/>
      </c>
      <c r="N2679">
        <f>IF(AND(H2679="",F2679="",D2679&lt;&gt;"",I2679&gt;=TODAY()),ROUND((I2679+IF(ISNUMBER(C2679),MOD(C2679,1),0))*1440,0)*10000+ROW(),"")</f>
        <v/>
      </c>
    </row>
    <row r="2680">
      <c r="A2680" s="1" t="n"/>
      <c r="B2680" s="17" t="n"/>
      <c r="C2680" s="18" t="n"/>
      <c r="D2680" s="19" t="n"/>
      <c r="E2680" s="20" t="n"/>
      <c r="F2680" s="20" t="n"/>
      <c r="G2680" s="21" t="n"/>
      <c r="H2680" s="12">
        <f>IF(AND(B2680="",D2680="",F2680=""),"",IF(NOT(ISNUMBER(B2680)),"Needs a date",IF(D2680="","Needs a client",IF(COUNTIF(Clients!$B$6:$B$105,D2680)=0,"Not on Clients",IF(AND(F2680="",INT(B2680)&lt;TODAY()),"Needs a status","")))))</f>
        <v/>
      </c>
      <c r="I2680" s="1">
        <f>IF(ISNUMBER(B2680),INT(B2680),0)</f>
        <v/>
      </c>
      <c r="J2680">
        <f>IF(ISNUMBER(B2680),YEAR(B2680)*100+MONTH(B2680),"")</f>
        <v/>
      </c>
      <c r="K2680">
        <f>IF(AND(H2680="",OR(F2680="Attended",F2680="No-show",AND(F2680="Late cancel",Settings!$C$9="Yes"))),1,0)</f>
        <v/>
      </c>
      <c r="L2680">
        <f>IF(AND(H2680="",F2680="Attended"),1,0)</f>
        <v/>
      </c>
      <c r="M2680">
        <f>IF(AND(H2680="",OR(F2680="No-show",F2680="Late cancel")),1,0)</f>
        <v/>
      </c>
      <c r="N2680">
        <f>IF(AND(H2680="",F2680="",D2680&lt;&gt;"",I2680&gt;=TODAY()),ROUND((I2680+IF(ISNUMBER(C2680),MOD(C2680,1),0))*1440,0)*10000+ROW(),"")</f>
        <v/>
      </c>
    </row>
    <row r="2681">
      <c r="A2681" s="1" t="n"/>
      <c r="B2681" s="17" t="n"/>
      <c r="C2681" s="18" t="n"/>
      <c r="D2681" s="19" t="n"/>
      <c r="E2681" s="20" t="n"/>
      <c r="F2681" s="20" t="n"/>
      <c r="G2681" s="21" t="n"/>
      <c r="H2681" s="12">
        <f>IF(AND(B2681="",D2681="",F2681=""),"",IF(NOT(ISNUMBER(B2681)),"Needs a date",IF(D2681="","Needs a client",IF(COUNTIF(Clients!$B$6:$B$105,D2681)=0,"Not on Clients",IF(AND(F2681="",INT(B2681)&lt;TODAY()),"Needs a status","")))))</f>
        <v/>
      </c>
      <c r="I2681" s="1">
        <f>IF(ISNUMBER(B2681),INT(B2681),0)</f>
        <v/>
      </c>
      <c r="J2681">
        <f>IF(ISNUMBER(B2681),YEAR(B2681)*100+MONTH(B2681),"")</f>
        <v/>
      </c>
      <c r="K2681">
        <f>IF(AND(H2681="",OR(F2681="Attended",F2681="No-show",AND(F2681="Late cancel",Settings!$C$9="Yes"))),1,0)</f>
        <v/>
      </c>
      <c r="L2681">
        <f>IF(AND(H2681="",F2681="Attended"),1,0)</f>
        <v/>
      </c>
      <c r="M2681">
        <f>IF(AND(H2681="",OR(F2681="No-show",F2681="Late cancel")),1,0)</f>
        <v/>
      </c>
      <c r="N2681">
        <f>IF(AND(H2681="",F2681="",D2681&lt;&gt;"",I2681&gt;=TODAY()),ROUND((I2681+IF(ISNUMBER(C2681),MOD(C2681,1),0))*1440,0)*10000+ROW(),"")</f>
        <v/>
      </c>
    </row>
    <row r="2682">
      <c r="A2682" s="1" t="n"/>
      <c r="B2682" s="17" t="n"/>
      <c r="C2682" s="18" t="n"/>
      <c r="D2682" s="19" t="n"/>
      <c r="E2682" s="20" t="n"/>
      <c r="F2682" s="20" t="n"/>
      <c r="G2682" s="21" t="n"/>
      <c r="H2682" s="12">
        <f>IF(AND(B2682="",D2682="",F2682=""),"",IF(NOT(ISNUMBER(B2682)),"Needs a date",IF(D2682="","Needs a client",IF(COUNTIF(Clients!$B$6:$B$105,D2682)=0,"Not on Clients",IF(AND(F2682="",INT(B2682)&lt;TODAY()),"Needs a status","")))))</f>
        <v/>
      </c>
      <c r="I2682" s="1">
        <f>IF(ISNUMBER(B2682),INT(B2682),0)</f>
        <v/>
      </c>
      <c r="J2682">
        <f>IF(ISNUMBER(B2682),YEAR(B2682)*100+MONTH(B2682),"")</f>
        <v/>
      </c>
      <c r="K2682">
        <f>IF(AND(H2682="",OR(F2682="Attended",F2682="No-show",AND(F2682="Late cancel",Settings!$C$9="Yes"))),1,0)</f>
        <v/>
      </c>
      <c r="L2682">
        <f>IF(AND(H2682="",F2682="Attended"),1,0)</f>
        <v/>
      </c>
      <c r="M2682">
        <f>IF(AND(H2682="",OR(F2682="No-show",F2682="Late cancel")),1,0)</f>
        <v/>
      </c>
      <c r="N2682">
        <f>IF(AND(H2682="",F2682="",D2682&lt;&gt;"",I2682&gt;=TODAY()),ROUND((I2682+IF(ISNUMBER(C2682),MOD(C2682,1),0))*1440,0)*10000+ROW(),"")</f>
        <v/>
      </c>
    </row>
    <row r="2683">
      <c r="A2683" s="1" t="n"/>
      <c r="B2683" s="17" t="n"/>
      <c r="C2683" s="18" t="n"/>
      <c r="D2683" s="19" t="n"/>
      <c r="E2683" s="20" t="n"/>
      <c r="F2683" s="20" t="n"/>
      <c r="G2683" s="21" t="n"/>
      <c r="H2683" s="12">
        <f>IF(AND(B2683="",D2683="",F2683=""),"",IF(NOT(ISNUMBER(B2683)),"Needs a date",IF(D2683="","Needs a client",IF(COUNTIF(Clients!$B$6:$B$105,D2683)=0,"Not on Clients",IF(AND(F2683="",INT(B2683)&lt;TODAY()),"Needs a status","")))))</f>
        <v/>
      </c>
      <c r="I2683" s="1">
        <f>IF(ISNUMBER(B2683),INT(B2683),0)</f>
        <v/>
      </c>
      <c r="J2683">
        <f>IF(ISNUMBER(B2683),YEAR(B2683)*100+MONTH(B2683),"")</f>
        <v/>
      </c>
      <c r="K2683">
        <f>IF(AND(H2683="",OR(F2683="Attended",F2683="No-show",AND(F2683="Late cancel",Settings!$C$9="Yes"))),1,0)</f>
        <v/>
      </c>
      <c r="L2683">
        <f>IF(AND(H2683="",F2683="Attended"),1,0)</f>
        <v/>
      </c>
      <c r="M2683">
        <f>IF(AND(H2683="",OR(F2683="No-show",F2683="Late cancel")),1,0)</f>
        <v/>
      </c>
      <c r="N2683">
        <f>IF(AND(H2683="",F2683="",D2683&lt;&gt;"",I2683&gt;=TODAY()),ROUND((I2683+IF(ISNUMBER(C2683),MOD(C2683,1),0))*1440,0)*10000+ROW(),"")</f>
        <v/>
      </c>
    </row>
    <row r="2684">
      <c r="A2684" s="1" t="n"/>
      <c r="B2684" s="17" t="n"/>
      <c r="C2684" s="18" t="n"/>
      <c r="D2684" s="19" t="n"/>
      <c r="E2684" s="20" t="n"/>
      <c r="F2684" s="20" t="n"/>
      <c r="G2684" s="21" t="n"/>
      <c r="H2684" s="12">
        <f>IF(AND(B2684="",D2684="",F2684=""),"",IF(NOT(ISNUMBER(B2684)),"Needs a date",IF(D2684="","Needs a client",IF(COUNTIF(Clients!$B$6:$B$105,D2684)=0,"Not on Clients",IF(AND(F2684="",INT(B2684)&lt;TODAY()),"Needs a status","")))))</f>
        <v/>
      </c>
      <c r="I2684" s="1">
        <f>IF(ISNUMBER(B2684),INT(B2684),0)</f>
        <v/>
      </c>
      <c r="J2684">
        <f>IF(ISNUMBER(B2684),YEAR(B2684)*100+MONTH(B2684),"")</f>
        <v/>
      </c>
      <c r="K2684">
        <f>IF(AND(H2684="",OR(F2684="Attended",F2684="No-show",AND(F2684="Late cancel",Settings!$C$9="Yes"))),1,0)</f>
        <v/>
      </c>
      <c r="L2684">
        <f>IF(AND(H2684="",F2684="Attended"),1,0)</f>
        <v/>
      </c>
      <c r="M2684">
        <f>IF(AND(H2684="",OR(F2684="No-show",F2684="Late cancel")),1,0)</f>
        <v/>
      </c>
      <c r="N2684">
        <f>IF(AND(H2684="",F2684="",D2684&lt;&gt;"",I2684&gt;=TODAY()),ROUND((I2684+IF(ISNUMBER(C2684),MOD(C2684,1),0))*1440,0)*10000+ROW(),"")</f>
        <v/>
      </c>
    </row>
    <row r="2685">
      <c r="A2685" s="1" t="n"/>
      <c r="B2685" s="17" t="n"/>
      <c r="C2685" s="18" t="n"/>
      <c r="D2685" s="19" t="n"/>
      <c r="E2685" s="20" t="n"/>
      <c r="F2685" s="20" t="n"/>
      <c r="G2685" s="21" t="n"/>
      <c r="H2685" s="12">
        <f>IF(AND(B2685="",D2685="",F2685=""),"",IF(NOT(ISNUMBER(B2685)),"Needs a date",IF(D2685="","Needs a client",IF(COUNTIF(Clients!$B$6:$B$105,D2685)=0,"Not on Clients",IF(AND(F2685="",INT(B2685)&lt;TODAY()),"Needs a status","")))))</f>
        <v/>
      </c>
      <c r="I2685" s="1">
        <f>IF(ISNUMBER(B2685),INT(B2685),0)</f>
        <v/>
      </c>
      <c r="J2685">
        <f>IF(ISNUMBER(B2685),YEAR(B2685)*100+MONTH(B2685),"")</f>
        <v/>
      </c>
      <c r="K2685">
        <f>IF(AND(H2685="",OR(F2685="Attended",F2685="No-show",AND(F2685="Late cancel",Settings!$C$9="Yes"))),1,0)</f>
        <v/>
      </c>
      <c r="L2685">
        <f>IF(AND(H2685="",F2685="Attended"),1,0)</f>
        <v/>
      </c>
      <c r="M2685">
        <f>IF(AND(H2685="",OR(F2685="No-show",F2685="Late cancel")),1,0)</f>
        <v/>
      </c>
      <c r="N2685">
        <f>IF(AND(H2685="",F2685="",D2685&lt;&gt;"",I2685&gt;=TODAY()),ROUND((I2685+IF(ISNUMBER(C2685),MOD(C2685,1),0))*1440,0)*10000+ROW(),"")</f>
        <v/>
      </c>
    </row>
    <row r="2686">
      <c r="A2686" s="1" t="n"/>
      <c r="B2686" s="17" t="n"/>
      <c r="C2686" s="18" t="n"/>
      <c r="D2686" s="19" t="n"/>
      <c r="E2686" s="20" t="n"/>
      <c r="F2686" s="20" t="n"/>
      <c r="G2686" s="21" t="n"/>
      <c r="H2686" s="12">
        <f>IF(AND(B2686="",D2686="",F2686=""),"",IF(NOT(ISNUMBER(B2686)),"Needs a date",IF(D2686="","Needs a client",IF(COUNTIF(Clients!$B$6:$B$105,D2686)=0,"Not on Clients",IF(AND(F2686="",INT(B2686)&lt;TODAY()),"Needs a status","")))))</f>
        <v/>
      </c>
      <c r="I2686" s="1">
        <f>IF(ISNUMBER(B2686),INT(B2686),0)</f>
        <v/>
      </c>
      <c r="J2686">
        <f>IF(ISNUMBER(B2686),YEAR(B2686)*100+MONTH(B2686),"")</f>
        <v/>
      </c>
      <c r="K2686">
        <f>IF(AND(H2686="",OR(F2686="Attended",F2686="No-show",AND(F2686="Late cancel",Settings!$C$9="Yes"))),1,0)</f>
        <v/>
      </c>
      <c r="L2686">
        <f>IF(AND(H2686="",F2686="Attended"),1,0)</f>
        <v/>
      </c>
      <c r="M2686">
        <f>IF(AND(H2686="",OR(F2686="No-show",F2686="Late cancel")),1,0)</f>
        <v/>
      </c>
      <c r="N2686">
        <f>IF(AND(H2686="",F2686="",D2686&lt;&gt;"",I2686&gt;=TODAY()),ROUND((I2686+IF(ISNUMBER(C2686),MOD(C2686,1),0))*1440,0)*10000+ROW(),"")</f>
        <v/>
      </c>
    </row>
    <row r="2687">
      <c r="A2687" s="1" t="n"/>
      <c r="B2687" s="17" t="n"/>
      <c r="C2687" s="18" t="n"/>
      <c r="D2687" s="19" t="n"/>
      <c r="E2687" s="20" t="n"/>
      <c r="F2687" s="20" t="n"/>
      <c r="G2687" s="21" t="n"/>
      <c r="H2687" s="12">
        <f>IF(AND(B2687="",D2687="",F2687=""),"",IF(NOT(ISNUMBER(B2687)),"Needs a date",IF(D2687="","Needs a client",IF(COUNTIF(Clients!$B$6:$B$105,D2687)=0,"Not on Clients",IF(AND(F2687="",INT(B2687)&lt;TODAY()),"Needs a status","")))))</f>
        <v/>
      </c>
      <c r="I2687" s="1">
        <f>IF(ISNUMBER(B2687),INT(B2687),0)</f>
        <v/>
      </c>
      <c r="J2687">
        <f>IF(ISNUMBER(B2687),YEAR(B2687)*100+MONTH(B2687),"")</f>
        <v/>
      </c>
      <c r="K2687">
        <f>IF(AND(H2687="",OR(F2687="Attended",F2687="No-show",AND(F2687="Late cancel",Settings!$C$9="Yes"))),1,0)</f>
        <v/>
      </c>
      <c r="L2687">
        <f>IF(AND(H2687="",F2687="Attended"),1,0)</f>
        <v/>
      </c>
      <c r="M2687">
        <f>IF(AND(H2687="",OR(F2687="No-show",F2687="Late cancel")),1,0)</f>
        <v/>
      </c>
      <c r="N2687">
        <f>IF(AND(H2687="",F2687="",D2687&lt;&gt;"",I2687&gt;=TODAY()),ROUND((I2687+IF(ISNUMBER(C2687),MOD(C2687,1),0))*1440,0)*10000+ROW(),"")</f>
        <v/>
      </c>
    </row>
    <row r="2688">
      <c r="A2688" s="1" t="n"/>
      <c r="B2688" s="17" t="n"/>
      <c r="C2688" s="18" t="n"/>
      <c r="D2688" s="19" t="n"/>
      <c r="E2688" s="20" t="n"/>
      <c r="F2688" s="20" t="n"/>
      <c r="G2688" s="21" t="n"/>
      <c r="H2688" s="12">
        <f>IF(AND(B2688="",D2688="",F2688=""),"",IF(NOT(ISNUMBER(B2688)),"Needs a date",IF(D2688="","Needs a client",IF(COUNTIF(Clients!$B$6:$B$105,D2688)=0,"Not on Clients",IF(AND(F2688="",INT(B2688)&lt;TODAY()),"Needs a status","")))))</f>
        <v/>
      </c>
      <c r="I2688" s="1">
        <f>IF(ISNUMBER(B2688),INT(B2688),0)</f>
        <v/>
      </c>
      <c r="J2688">
        <f>IF(ISNUMBER(B2688),YEAR(B2688)*100+MONTH(B2688),"")</f>
        <v/>
      </c>
      <c r="K2688">
        <f>IF(AND(H2688="",OR(F2688="Attended",F2688="No-show",AND(F2688="Late cancel",Settings!$C$9="Yes"))),1,0)</f>
        <v/>
      </c>
      <c r="L2688">
        <f>IF(AND(H2688="",F2688="Attended"),1,0)</f>
        <v/>
      </c>
      <c r="M2688">
        <f>IF(AND(H2688="",OR(F2688="No-show",F2688="Late cancel")),1,0)</f>
        <v/>
      </c>
      <c r="N2688">
        <f>IF(AND(H2688="",F2688="",D2688&lt;&gt;"",I2688&gt;=TODAY()),ROUND((I2688+IF(ISNUMBER(C2688),MOD(C2688,1),0))*1440,0)*10000+ROW(),"")</f>
        <v/>
      </c>
    </row>
    <row r="2689">
      <c r="A2689" s="1" t="n"/>
      <c r="B2689" s="17" t="n"/>
      <c r="C2689" s="18" t="n"/>
      <c r="D2689" s="19" t="n"/>
      <c r="E2689" s="20" t="n"/>
      <c r="F2689" s="20" t="n"/>
      <c r="G2689" s="21" t="n"/>
      <c r="H2689" s="12">
        <f>IF(AND(B2689="",D2689="",F2689=""),"",IF(NOT(ISNUMBER(B2689)),"Needs a date",IF(D2689="","Needs a client",IF(COUNTIF(Clients!$B$6:$B$105,D2689)=0,"Not on Clients",IF(AND(F2689="",INT(B2689)&lt;TODAY()),"Needs a status","")))))</f>
        <v/>
      </c>
      <c r="I2689" s="1">
        <f>IF(ISNUMBER(B2689),INT(B2689),0)</f>
        <v/>
      </c>
      <c r="J2689">
        <f>IF(ISNUMBER(B2689),YEAR(B2689)*100+MONTH(B2689),"")</f>
        <v/>
      </c>
      <c r="K2689">
        <f>IF(AND(H2689="",OR(F2689="Attended",F2689="No-show",AND(F2689="Late cancel",Settings!$C$9="Yes"))),1,0)</f>
        <v/>
      </c>
      <c r="L2689">
        <f>IF(AND(H2689="",F2689="Attended"),1,0)</f>
        <v/>
      </c>
      <c r="M2689">
        <f>IF(AND(H2689="",OR(F2689="No-show",F2689="Late cancel")),1,0)</f>
        <v/>
      </c>
      <c r="N2689">
        <f>IF(AND(H2689="",F2689="",D2689&lt;&gt;"",I2689&gt;=TODAY()),ROUND((I2689+IF(ISNUMBER(C2689),MOD(C2689,1),0))*1440,0)*10000+ROW(),"")</f>
        <v/>
      </c>
    </row>
    <row r="2690">
      <c r="A2690" s="1" t="n"/>
      <c r="B2690" s="17" t="n"/>
      <c r="C2690" s="18" t="n"/>
      <c r="D2690" s="19" t="n"/>
      <c r="E2690" s="20" t="n"/>
      <c r="F2690" s="20" t="n"/>
      <c r="G2690" s="21" t="n"/>
      <c r="H2690" s="12">
        <f>IF(AND(B2690="",D2690="",F2690=""),"",IF(NOT(ISNUMBER(B2690)),"Needs a date",IF(D2690="","Needs a client",IF(COUNTIF(Clients!$B$6:$B$105,D2690)=0,"Not on Clients",IF(AND(F2690="",INT(B2690)&lt;TODAY()),"Needs a status","")))))</f>
        <v/>
      </c>
      <c r="I2690" s="1">
        <f>IF(ISNUMBER(B2690),INT(B2690),0)</f>
        <v/>
      </c>
      <c r="J2690">
        <f>IF(ISNUMBER(B2690),YEAR(B2690)*100+MONTH(B2690),"")</f>
        <v/>
      </c>
      <c r="K2690">
        <f>IF(AND(H2690="",OR(F2690="Attended",F2690="No-show",AND(F2690="Late cancel",Settings!$C$9="Yes"))),1,0)</f>
        <v/>
      </c>
      <c r="L2690">
        <f>IF(AND(H2690="",F2690="Attended"),1,0)</f>
        <v/>
      </c>
      <c r="M2690">
        <f>IF(AND(H2690="",OR(F2690="No-show",F2690="Late cancel")),1,0)</f>
        <v/>
      </c>
      <c r="N2690">
        <f>IF(AND(H2690="",F2690="",D2690&lt;&gt;"",I2690&gt;=TODAY()),ROUND((I2690+IF(ISNUMBER(C2690),MOD(C2690,1),0))*1440,0)*10000+ROW(),"")</f>
        <v/>
      </c>
    </row>
    <row r="2691">
      <c r="A2691" s="1" t="n"/>
      <c r="B2691" s="17" t="n"/>
      <c r="C2691" s="18" t="n"/>
      <c r="D2691" s="19" t="n"/>
      <c r="E2691" s="20" t="n"/>
      <c r="F2691" s="20" t="n"/>
      <c r="G2691" s="21" t="n"/>
      <c r="H2691" s="12">
        <f>IF(AND(B2691="",D2691="",F2691=""),"",IF(NOT(ISNUMBER(B2691)),"Needs a date",IF(D2691="","Needs a client",IF(COUNTIF(Clients!$B$6:$B$105,D2691)=0,"Not on Clients",IF(AND(F2691="",INT(B2691)&lt;TODAY()),"Needs a status","")))))</f>
        <v/>
      </c>
      <c r="I2691" s="1">
        <f>IF(ISNUMBER(B2691),INT(B2691),0)</f>
        <v/>
      </c>
      <c r="J2691">
        <f>IF(ISNUMBER(B2691),YEAR(B2691)*100+MONTH(B2691),"")</f>
        <v/>
      </c>
      <c r="K2691">
        <f>IF(AND(H2691="",OR(F2691="Attended",F2691="No-show",AND(F2691="Late cancel",Settings!$C$9="Yes"))),1,0)</f>
        <v/>
      </c>
      <c r="L2691">
        <f>IF(AND(H2691="",F2691="Attended"),1,0)</f>
        <v/>
      </c>
      <c r="M2691">
        <f>IF(AND(H2691="",OR(F2691="No-show",F2691="Late cancel")),1,0)</f>
        <v/>
      </c>
      <c r="N2691">
        <f>IF(AND(H2691="",F2691="",D2691&lt;&gt;"",I2691&gt;=TODAY()),ROUND((I2691+IF(ISNUMBER(C2691),MOD(C2691,1),0))*1440,0)*10000+ROW(),"")</f>
        <v/>
      </c>
    </row>
    <row r="2692">
      <c r="A2692" s="1" t="n"/>
      <c r="B2692" s="17" t="n"/>
      <c r="C2692" s="18" t="n"/>
      <c r="D2692" s="19" t="n"/>
      <c r="E2692" s="20" t="n"/>
      <c r="F2692" s="20" t="n"/>
      <c r="G2692" s="21" t="n"/>
      <c r="H2692" s="12">
        <f>IF(AND(B2692="",D2692="",F2692=""),"",IF(NOT(ISNUMBER(B2692)),"Needs a date",IF(D2692="","Needs a client",IF(COUNTIF(Clients!$B$6:$B$105,D2692)=0,"Not on Clients",IF(AND(F2692="",INT(B2692)&lt;TODAY()),"Needs a status","")))))</f>
        <v/>
      </c>
      <c r="I2692" s="1">
        <f>IF(ISNUMBER(B2692),INT(B2692),0)</f>
        <v/>
      </c>
      <c r="J2692">
        <f>IF(ISNUMBER(B2692),YEAR(B2692)*100+MONTH(B2692),"")</f>
        <v/>
      </c>
      <c r="K2692">
        <f>IF(AND(H2692="",OR(F2692="Attended",F2692="No-show",AND(F2692="Late cancel",Settings!$C$9="Yes"))),1,0)</f>
        <v/>
      </c>
      <c r="L2692">
        <f>IF(AND(H2692="",F2692="Attended"),1,0)</f>
        <v/>
      </c>
      <c r="M2692">
        <f>IF(AND(H2692="",OR(F2692="No-show",F2692="Late cancel")),1,0)</f>
        <v/>
      </c>
      <c r="N2692">
        <f>IF(AND(H2692="",F2692="",D2692&lt;&gt;"",I2692&gt;=TODAY()),ROUND((I2692+IF(ISNUMBER(C2692),MOD(C2692,1),0))*1440,0)*10000+ROW(),"")</f>
        <v/>
      </c>
    </row>
    <row r="2693">
      <c r="A2693" s="1" t="n"/>
      <c r="B2693" s="17" t="n"/>
      <c r="C2693" s="18" t="n"/>
      <c r="D2693" s="19" t="n"/>
      <c r="E2693" s="20" t="n"/>
      <c r="F2693" s="20" t="n"/>
      <c r="G2693" s="21" t="n"/>
      <c r="H2693" s="12">
        <f>IF(AND(B2693="",D2693="",F2693=""),"",IF(NOT(ISNUMBER(B2693)),"Needs a date",IF(D2693="","Needs a client",IF(COUNTIF(Clients!$B$6:$B$105,D2693)=0,"Not on Clients",IF(AND(F2693="",INT(B2693)&lt;TODAY()),"Needs a status","")))))</f>
        <v/>
      </c>
      <c r="I2693" s="1">
        <f>IF(ISNUMBER(B2693),INT(B2693),0)</f>
        <v/>
      </c>
      <c r="J2693">
        <f>IF(ISNUMBER(B2693),YEAR(B2693)*100+MONTH(B2693),"")</f>
        <v/>
      </c>
      <c r="K2693">
        <f>IF(AND(H2693="",OR(F2693="Attended",F2693="No-show",AND(F2693="Late cancel",Settings!$C$9="Yes"))),1,0)</f>
        <v/>
      </c>
      <c r="L2693">
        <f>IF(AND(H2693="",F2693="Attended"),1,0)</f>
        <v/>
      </c>
      <c r="M2693">
        <f>IF(AND(H2693="",OR(F2693="No-show",F2693="Late cancel")),1,0)</f>
        <v/>
      </c>
      <c r="N2693">
        <f>IF(AND(H2693="",F2693="",D2693&lt;&gt;"",I2693&gt;=TODAY()),ROUND((I2693+IF(ISNUMBER(C2693),MOD(C2693,1),0))*1440,0)*10000+ROW(),"")</f>
        <v/>
      </c>
    </row>
    <row r="2694">
      <c r="A2694" s="1" t="n"/>
      <c r="B2694" s="17" t="n"/>
      <c r="C2694" s="18" t="n"/>
      <c r="D2694" s="19" t="n"/>
      <c r="E2694" s="20" t="n"/>
      <c r="F2694" s="20" t="n"/>
      <c r="G2694" s="21" t="n"/>
      <c r="H2694" s="12">
        <f>IF(AND(B2694="",D2694="",F2694=""),"",IF(NOT(ISNUMBER(B2694)),"Needs a date",IF(D2694="","Needs a client",IF(COUNTIF(Clients!$B$6:$B$105,D2694)=0,"Not on Clients",IF(AND(F2694="",INT(B2694)&lt;TODAY()),"Needs a status","")))))</f>
        <v/>
      </c>
      <c r="I2694" s="1">
        <f>IF(ISNUMBER(B2694),INT(B2694),0)</f>
        <v/>
      </c>
      <c r="J2694">
        <f>IF(ISNUMBER(B2694),YEAR(B2694)*100+MONTH(B2694),"")</f>
        <v/>
      </c>
      <c r="K2694">
        <f>IF(AND(H2694="",OR(F2694="Attended",F2694="No-show",AND(F2694="Late cancel",Settings!$C$9="Yes"))),1,0)</f>
        <v/>
      </c>
      <c r="L2694">
        <f>IF(AND(H2694="",F2694="Attended"),1,0)</f>
        <v/>
      </c>
      <c r="M2694">
        <f>IF(AND(H2694="",OR(F2694="No-show",F2694="Late cancel")),1,0)</f>
        <v/>
      </c>
      <c r="N2694">
        <f>IF(AND(H2694="",F2694="",D2694&lt;&gt;"",I2694&gt;=TODAY()),ROUND((I2694+IF(ISNUMBER(C2694),MOD(C2694,1),0))*1440,0)*10000+ROW(),"")</f>
        <v/>
      </c>
    </row>
    <row r="2695">
      <c r="A2695" s="1" t="n"/>
      <c r="B2695" s="17" t="n"/>
      <c r="C2695" s="18" t="n"/>
      <c r="D2695" s="19" t="n"/>
      <c r="E2695" s="20" t="n"/>
      <c r="F2695" s="20" t="n"/>
      <c r="G2695" s="21" t="n"/>
      <c r="H2695" s="12">
        <f>IF(AND(B2695="",D2695="",F2695=""),"",IF(NOT(ISNUMBER(B2695)),"Needs a date",IF(D2695="","Needs a client",IF(COUNTIF(Clients!$B$6:$B$105,D2695)=0,"Not on Clients",IF(AND(F2695="",INT(B2695)&lt;TODAY()),"Needs a status","")))))</f>
        <v/>
      </c>
      <c r="I2695" s="1">
        <f>IF(ISNUMBER(B2695),INT(B2695),0)</f>
        <v/>
      </c>
      <c r="J2695">
        <f>IF(ISNUMBER(B2695),YEAR(B2695)*100+MONTH(B2695),"")</f>
        <v/>
      </c>
      <c r="K2695">
        <f>IF(AND(H2695="",OR(F2695="Attended",F2695="No-show",AND(F2695="Late cancel",Settings!$C$9="Yes"))),1,0)</f>
        <v/>
      </c>
      <c r="L2695">
        <f>IF(AND(H2695="",F2695="Attended"),1,0)</f>
        <v/>
      </c>
      <c r="M2695">
        <f>IF(AND(H2695="",OR(F2695="No-show",F2695="Late cancel")),1,0)</f>
        <v/>
      </c>
      <c r="N2695">
        <f>IF(AND(H2695="",F2695="",D2695&lt;&gt;"",I2695&gt;=TODAY()),ROUND((I2695+IF(ISNUMBER(C2695),MOD(C2695,1),0))*1440,0)*10000+ROW(),"")</f>
        <v/>
      </c>
    </row>
    <row r="2696">
      <c r="A2696" s="1" t="n"/>
      <c r="B2696" s="17" t="n"/>
      <c r="C2696" s="18" t="n"/>
      <c r="D2696" s="19" t="n"/>
      <c r="E2696" s="20" t="n"/>
      <c r="F2696" s="20" t="n"/>
      <c r="G2696" s="21" t="n"/>
      <c r="H2696" s="12">
        <f>IF(AND(B2696="",D2696="",F2696=""),"",IF(NOT(ISNUMBER(B2696)),"Needs a date",IF(D2696="","Needs a client",IF(COUNTIF(Clients!$B$6:$B$105,D2696)=0,"Not on Clients",IF(AND(F2696="",INT(B2696)&lt;TODAY()),"Needs a status","")))))</f>
        <v/>
      </c>
      <c r="I2696" s="1">
        <f>IF(ISNUMBER(B2696),INT(B2696),0)</f>
        <v/>
      </c>
      <c r="J2696">
        <f>IF(ISNUMBER(B2696),YEAR(B2696)*100+MONTH(B2696),"")</f>
        <v/>
      </c>
      <c r="K2696">
        <f>IF(AND(H2696="",OR(F2696="Attended",F2696="No-show",AND(F2696="Late cancel",Settings!$C$9="Yes"))),1,0)</f>
        <v/>
      </c>
      <c r="L2696">
        <f>IF(AND(H2696="",F2696="Attended"),1,0)</f>
        <v/>
      </c>
      <c r="M2696">
        <f>IF(AND(H2696="",OR(F2696="No-show",F2696="Late cancel")),1,0)</f>
        <v/>
      </c>
      <c r="N2696">
        <f>IF(AND(H2696="",F2696="",D2696&lt;&gt;"",I2696&gt;=TODAY()),ROUND((I2696+IF(ISNUMBER(C2696),MOD(C2696,1),0))*1440,0)*10000+ROW(),"")</f>
        <v/>
      </c>
    </row>
    <row r="2697">
      <c r="A2697" s="1" t="n"/>
      <c r="B2697" s="17" t="n"/>
      <c r="C2697" s="18" t="n"/>
      <c r="D2697" s="19" t="n"/>
      <c r="E2697" s="20" t="n"/>
      <c r="F2697" s="20" t="n"/>
      <c r="G2697" s="21" t="n"/>
      <c r="H2697" s="12">
        <f>IF(AND(B2697="",D2697="",F2697=""),"",IF(NOT(ISNUMBER(B2697)),"Needs a date",IF(D2697="","Needs a client",IF(COUNTIF(Clients!$B$6:$B$105,D2697)=0,"Not on Clients",IF(AND(F2697="",INT(B2697)&lt;TODAY()),"Needs a status","")))))</f>
        <v/>
      </c>
      <c r="I2697" s="1">
        <f>IF(ISNUMBER(B2697),INT(B2697),0)</f>
        <v/>
      </c>
      <c r="J2697">
        <f>IF(ISNUMBER(B2697),YEAR(B2697)*100+MONTH(B2697),"")</f>
        <v/>
      </c>
      <c r="K2697">
        <f>IF(AND(H2697="",OR(F2697="Attended",F2697="No-show",AND(F2697="Late cancel",Settings!$C$9="Yes"))),1,0)</f>
        <v/>
      </c>
      <c r="L2697">
        <f>IF(AND(H2697="",F2697="Attended"),1,0)</f>
        <v/>
      </c>
      <c r="M2697">
        <f>IF(AND(H2697="",OR(F2697="No-show",F2697="Late cancel")),1,0)</f>
        <v/>
      </c>
      <c r="N2697">
        <f>IF(AND(H2697="",F2697="",D2697&lt;&gt;"",I2697&gt;=TODAY()),ROUND((I2697+IF(ISNUMBER(C2697),MOD(C2697,1),0))*1440,0)*10000+ROW(),"")</f>
        <v/>
      </c>
    </row>
    <row r="2698">
      <c r="A2698" s="1" t="n"/>
      <c r="B2698" s="17" t="n"/>
      <c r="C2698" s="18" t="n"/>
      <c r="D2698" s="19" t="n"/>
      <c r="E2698" s="20" t="n"/>
      <c r="F2698" s="20" t="n"/>
      <c r="G2698" s="21" t="n"/>
      <c r="H2698" s="12">
        <f>IF(AND(B2698="",D2698="",F2698=""),"",IF(NOT(ISNUMBER(B2698)),"Needs a date",IF(D2698="","Needs a client",IF(COUNTIF(Clients!$B$6:$B$105,D2698)=0,"Not on Clients",IF(AND(F2698="",INT(B2698)&lt;TODAY()),"Needs a status","")))))</f>
        <v/>
      </c>
      <c r="I2698" s="1">
        <f>IF(ISNUMBER(B2698),INT(B2698),0)</f>
        <v/>
      </c>
      <c r="J2698">
        <f>IF(ISNUMBER(B2698),YEAR(B2698)*100+MONTH(B2698),"")</f>
        <v/>
      </c>
      <c r="K2698">
        <f>IF(AND(H2698="",OR(F2698="Attended",F2698="No-show",AND(F2698="Late cancel",Settings!$C$9="Yes"))),1,0)</f>
        <v/>
      </c>
      <c r="L2698">
        <f>IF(AND(H2698="",F2698="Attended"),1,0)</f>
        <v/>
      </c>
      <c r="M2698">
        <f>IF(AND(H2698="",OR(F2698="No-show",F2698="Late cancel")),1,0)</f>
        <v/>
      </c>
      <c r="N2698">
        <f>IF(AND(H2698="",F2698="",D2698&lt;&gt;"",I2698&gt;=TODAY()),ROUND((I2698+IF(ISNUMBER(C2698),MOD(C2698,1),0))*1440,0)*10000+ROW(),"")</f>
        <v/>
      </c>
    </row>
    <row r="2699">
      <c r="A2699" s="1" t="n"/>
      <c r="B2699" s="17" t="n"/>
      <c r="C2699" s="18" t="n"/>
      <c r="D2699" s="19" t="n"/>
      <c r="E2699" s="20" t="n"/>
      <c r="F2699" s="20" t="n"/>
      <c r="G2699" s="21" t="n"/>
      <c r="H2699" s="12">
        <f>IF(AND(B2699="",D2699="",F2699=""),"",IF(NOT(ISNUMBER(B2699)),"Needs a date",IF(D2699="","Needs a client",IF(COUNTIF(Clients!$B$6:$B$105,D2699)=0,"Not on Clients",IF(AND(F2699="",INT(B2699)&lt;TODAY()),"Needs a status","")))))</f>
        <v/>
      </c>
      <c r="I2699" s="1">
        <f>IF(ISNUMBER(B2699),INT(B2699),0)</f>
        <v/>
      </c>
      <c r="J2699">
        <f>IF(ISNUMBER(B2699),YEAR(B2699)*100+MONTH(B2699),"")</f>
        <v/>
      </c>
      <c r="K2699">
        <f>IF(AND(H2699="",OR(F2699="Attended",F2699="No-show",AND(F2699="Late cancel",Settings!$C$9="Yes"))),1,0)</f>
        <v/>
      </c>
      <c r="L2699">
        <f>IF(AND(H2699="",F2699="Attended"),1,0)</f>
        <v/>
      </c>
      <c r="M2699">
        <f>IF(AND(H2699="",OR(F2699="No-show",F2699="Late cancel")),1,0)</f>
        <v/>
      </c>
      <c r="N2699">
        <f>IF(AND(H2699="",F2699="",D2699&lt;&gt;"",I2699&gt;=TODAY()),ROUND((I2699+IF(ISNUMBER(C2699),MOD(C2699,1),0))*1440,0)*10000+ROW(),"")</f>
        <v/>
      </c>
    </row>
    <row r="2700">
      <c r="A2700" s="1" t="n"/>
      <c r="B2700" s="17" t="n"/>
      <c r="C2700" s="18" t="n"/>
      <c r="D2700" s="19" t="n"/>
      <c r="E2700" s="20" t="n"/>
      <c r="F2700" s="20" t="n"/>
      <c r="G2700" s="21" t="n"/>
      <c r="H2700" s="12">
        <f>IF(AND(B2700="",D2700="",F2700=""),"",IF(NOT(ISNUMBER(B2700)),"Needs a date",IF(D2700="","Needs a client",IF(COUNTIF(Clients!$B$6:$B$105,D2700)=0,"Not on Clients",IF(AND(F2700="",INT(B2700)&lt;TODAY()),"Needs a status","")))))</f>
        <v/>
      </c>
      <c r="I2700" s="1">
        <f>IF(ISNUMBER(B2700),INT(B2700),0)</f>
        <v/>
      </c>
      <c r="J2700">
        <f>IF(ISNUMBER(B2700),YEAR(B2700)*100+MONTH(B2700),"")</f>
        <v/>
      </c>
      <c r="K2700">
        <f>IF(AND(H2700="",OR(F2700="Attended",F2700="No-show",AND(F2700="Late cancel",Settings!$C$9="Yes"))),1,0)</f>
        <v/>
      </c>
      <c r="L2700">
        <f>IF(AND(H2700="",F2700="Attended"),1,0)</f>
        <v/>
      </c>
      <c r="M2700">
        <f>IF(AND(H2700="",OR(F2700="No-show",F2700="Late cancel")),1,0)</f>
        <v/>
      </c>
      <c r="N2700">
        <f>IF(AND(H2700="",F2700="",D2700&lt;&gt;"",I2700&gt;=TODAY()),ROUND((I2700+IF(ISNUMBER(C2700),MOD(C2700,1),0))*1440,0)*10000+ROW(),"")</f>
        <v/>
      </c>
    </row>
    <row r="2701">
      <c r="A2701" s="1" t="n"/>
      <c r="B2701" s="17" t="n"/>
      <c r="C2701" s="18" t="n"/>
      <c r="D2701" s="19" t="n"/>
      <c r="E2701" s="20" t="n"/>
      <c r="F2701" s="20" t="n"/>
      <c r="G2701" s="21" t="n"/>
      <c r="H2701" s="12">
        <f>IF(AND(B2701="",D2701="",F2701=""),"",IF(NOT(ISNUMBER(B2701)),"Needs a date",IF(D2701="","Needs a client",IF(COUNTIF(Clients!$B$6:$B$105,D2701)=0,"Not on Clients",IF(AND(F2701="",INT(B2701)&lt;TODAY()),"Needs a status","")))))</f>
        <v/>
      </c>
      <c r="I2701" s="1">
        <f>IF(ISNUMBER(B2701),INT(B2701),0)</f>
        <v/>
      </c>
      <c r="J2701">
        <f>IF(ISNUMBER(B2701),YEAR(B2701)*100+MONTH(B2701),"")</f>
        <v/>
      </c>
      <c r="K2701">
        <f>IF(AND(H2701="",OR(F2701="Attended",F2701="No-show",AND(F2701="Late cancel",Settings!$C$9="Yes"))),1,0)</f>
        <v/>
      </c>
      <c r="L2701">
        <f>IF(AND(H2701="",F2701="Attended"),1,0)</f>
        <v/>
      </c>
      <c r="M2701">
        <f>IF(AND(H2701="",OR(F2701="No-show",F2701="Late cancel")),1,0)</f>
        <v/>
      </c>
      <c r="N2701">
        <f>IF(AND(H2701="",F2701="",D2701&lt;&gt;"",I2701&gt;=TODAY()),ROUND((I2701+IF(ISNUMBER(C2701),MOD(C2701,1),0))*1440,0)*10000+ROW(),"")</f>
        <v/>
      </c>
    </row>
    <row r="2702">
      <c r="A2702" s="1" t="n"/>
      <c r="B2702" s="17" t="n"/>
      <c r="C2702" s="18" t="n"/>
      <c r="D2702" s="19" t="n"/>
      <c r="E2702" s="20" t="n"/>
      <c r="F2702" s="20" t="n"/>
      <c r="G2702" s="21" t="n"/>
      <c r="H2702" s="12">
        <f>IF(AND(B2702="",D2702="",F2702=""),"",IF(NOT(ISNUMBER(B2702)),"Needs a date",IF(D2702="","Needs a client",IF(COUNTIF(Clients!$B$6:$B$105,D2702)=0,"Not on Clients",IF(AND(F2702="",INT(B2702)&lt;TODAY()),"Needs a status","")))))</f>
        <v/>
      </c>
      <c r="I2702" s="1">
        <f>IF(ISNUMBER(B2702),INT(B2702),0)</f>
        <v/>
      </c>
      <c r="J2702">
        <f>IF(ISNUMBER(B2702),YEAR(B2702)*100+MONTH(B2702),"")</f>
        <v/>
      </c>
      <c r="K2702">
        <f>IF(AND(H2702="",OR(F2702="Attended",F2702="No-show",AND(F2702="Late cancel",Settings!$C$9="Yes"))),1,0)</f>
        <v/>
      </c>
      <c r="L2702">
        <f>IF(AND(H2702="",F2702="Attended"),1,0)</f>
        <v/>
      </c>
      <c r="M2702">
        <f>IF(AND(H2702="",OR(F2702="No-show",F2702="Late cancel")),1,0)</f>
        <v/>
      </c>
      <c r="N2702">
        <f>IF(AND(H2702="",F2702="",D2702&lt;&gt;"",I2702&gt;=TODAY()),ROUND((I2702+IF(ISNUMBER(C2702),MOD(C2702,1),0))*1440,0)*10000+ROW(),"")</f>
        <v/>
      </c>
    </row>
    <row r="2703">
      <c r="A2703" s="1" t="n"/>
      <c r="B2703" s="17" t="n"/>
      <c r="C2703" s="18" t="n"/>
      <c r="D2703" s="19" t="n"/>
      <c r="E2703" s="20" t="n"/>
      <c r="F2703" s="20" t="n"/>
      <c r="G2703" s="21" t="n"/>
      <c r="H2703" s="12">
        <f>IF(AND(B2703="",D2703="",F2703=""),"",IF(NOT(ISNUMBER(B2703)),"Needs a date",IF(D2703="","Needs a client",IF(COUNTIF(Clients!$B$6:$B$105,D2703)=0,"Not on Clients",IF(AND(F2703="",INT(B2703)&lt;TODAY()),"Needs a status","")))))</f>
        <v/>
      </c>
      <c r="I2703" s="1">
        <f>IF(ISNUMBER(B2703),INT(B2703),0)</f>
        <v/>
      </c>
      <c r="J2703">
        <f>IF(ISNUMBER(B2703),YEAR(B2703)*100+MONTH(B2703),"")</f>
        <v/>
      </c>
      <c r="K2703">
        <f>IF(AND(H2703="",OR(F2703="Attended",F2703="No-show",AND(F2703="Late cancel",Settings!$C$9="Yes"))),1,0)</f>
        <v/>
      </c>
      <c r="L2703">
        <f>IF(AND(H2703="",F2703="Attended"),1,0)</f>
        <v/>
      </c>
      <c r="M2703">
        <f>IF(AND(H2703="",OR(F2703="No-show",F2703="Late cancel")),1,0)</f>
        <v/>
      </c>
      <c r="N2703">
        <f>IF(AND(H2703="",F2703="",D2703&lt;&gt;"",I2703&gt;=TODAY()),ROUND((I2703+IF(ISNUMBER(C2703),MOD(C2703,1),0))*1440,0)*10000+ROW(),"")</f>
        <v/>
      </c>
    </row>
    <row r="2704">
      <c r="A2704" s="1" t="n"/>
      <c r="B2704" s="17" t="n"/>
      <c r="C2704" s="18" t="n"/>
      <c r="D2704" s="19" t="n"/>
      <c r="E2704" s="20" t="n"/>
      <c r="F2704" s="20" t="n"/>
      <c r="G2704" s="21" t="n"/>
      <c r="H2704" s="12">
        <f>IF(AND(B2704="",D2704="",F2704=""),"",IF(NOT(ISNUMBER(B2704)),"Needs a date",IF(D2704="","Needs a client",IF(COUNTIF(Clients!$B$6:$B$105,D2704)=0,"Not on Clients",IF(AND(F2704="",INT(B2704)&lt;TODAY()),"Needs a status","")))))</f>
        <v/>
      </c>
      <c r="I2704" s="1">
        <f>IF(ISNUMBER(B2704),INT(B2704),0)</f>
        <v/>
      </c>
      <c r="J2704">
        <f>IF(ISNUMBER(B2704),YEAR(B2704)*100+MONTH(B2704),"")</f>
        <v/>
      </c>
      <c r="K2704">
        <f>IF(AND(H2704="",OR(F2704="Attended",F2704="No-show",AND(F2704="Late cancel",Settings!$C$9="Yes"))),1,0)</f>
        <v/>
      </c>
      <c r="L2704">
        <f>IF(AND(H2704="",F2704="Attended"),1,0)</f>
        <v/>
      </c>
      <c r="M2704">
        <f>IF(AND(H2704="",OR(F2704="No-show",F2704="Late cancel")),1,0)</f>
        <v/>
      </c>
      <c r="N2704">
        <f>IF(AND(H2704="",F2704="",D2704&lt;&gt;"",I2704&gt;=TODAY()),ROUND((I2704+IF(ISNUMBER(C2704),MOD(C2704,1),0))*1440,0)*10000+ROW(),"")</f>
        <v/>
      </c>
    </row>
    <row r="2705">
      <c r="A2705" s="1" t="n"/>
      <c r="B2705" s="17" t="n"/>
      <c r="C2705" s="18" t="n"/>
      <c r="D2705" s="19" t="n"/>
      <c r="E2705" s="20" t="n"/>
      <c r="F2705" s="20" t="n"/>
      <c r="G2705" s="21" t="n"/>
      <c r="H2705" s="12">
        <f>IF(AND(B2705="",D2705="",F2705=""),"",IF(NOT(ISNUMBER(B2705)),"Needs a date",IF(D2705="","Needs a client",IF(COUNTIF(Clients!$B$6:$B$105,D2705)=0,"Not on Clients",IF(AND(F2705="",INT(B2705)&lt;TODAY()),"Needs a status","")))))</f>
        <v/>
      </c>
      <c r="I2705" s="1">
        <f>IF(ISNUMBER(B2705),INT(B2705),0)</f>
        <v/>
      </c>
      <c r="J2705">
        <f>IF(ISNUMBER(B2705),YEAR(B2705)*100+MONTH(B2705),"")</f>
        <v/>
      </c>
      <c r="K2705">
        <f>IF(AND(H2705="",OR(F2705="Attended",F2705="No-show",AND(F2705="Late cancel",Settings!$C$9="Yes"))),1,0)</f>
        <v/>
      </c>
      <c r="L2705">
        <f>IF(AND(H2705="",F2705="Attended"),1,0)</f>
        <v/>
      </c>
      <c r="M2705">
        <f>IF(AND(H2705="",OR(F2705="No-show",F2705="Late cancel")),1,0)</f>
        <v/>
      </c>
      <c r="N2705">
        <f>IF(AND(H2705="",F2705="",D2705&lt;&gt;"",I2705&gt;=TODAY()),ROUND((I2705+IF(ISNUMBER(C2705),MOD(C2705,1),0))*1440,0)*10000+ROW(),"")</f>
        <v/>
      </c>
    </row>
    <row r="2706">
      <c r="A2706" s="1" t="n"/>
      <c r="B2706" s="17" t="n"/>
      <c r="C2706" s="18" t="n"/>
      <c r="D2706" s="19" t="n"/>
      <c r="E2706" s="20" t="n"/>
      <c r="F2706" s="20" t="n"/>
      <c r="G2706" s="21" t="n"/>
      <c r="H2706" s="12">
        <f>IF(AND(B2706="",D2706="",F2706=""),"",IF(NOT(ISNUMBER(B2706)),"Needs a date",IF(D2706="","Needs a client",IF(COUNTIF(Clients!$B$6:$B$105,D2706)=0,"Not on Clients",IF(AND(F2706="",INT(B2706)&lt;TODAY()),"Needs a status","")))))</f>
        <v/>
      </c>
      <c r="I2706" s="1">
        <f>IF(ISNUMBER(B2706),INT(B2706),0)</f>
        <v/>
      </c>
      <c r="J2706">
        <f>IF(ISNUMBER(B2706),YEAR(B2706)*100+MONTH(B2706),"")</f>
        <v/>
      </c>
      <c r="K2706">
        <f>IF(AND(H2706="",OR(F2706="Attended",F2706="No-show",AND(F2706="Late cancel",Settings!$C$9="Yes"))),1,0)</f>
        <v/>
      </c>
      <c r="L2706">
        <f>IF(AND(H2706="",F2706="Attended"),1,0)</f>
        <v/>
      </c>
      <c r="M2706">
        <f>IF(AND(H2706="",OR(F2706="No-show",F2706="Late cancel")),1,0)</f>
        <v/>
      </c>
      <c r="N2706">
        <f>IF(AND(H2706="",F2706="",D2706&lt;&gt;"",I2706&gt;=TODAY()),ROUND((I2706+IF(ISNUMBER(C2706),MOD(C2706,1),0))*1440,0)*10000+ROW(),"")</f>
        <v/>
      </c>
    </row>
    <row r="2707">
      <c r="A2707" s="1" t="n"/>
      <c r="B2707" s="17" t="n"/>
      <c r="C2707" s="18" t="n"/>
      <c r="D2707" s="19" t="n"/>
      <c r="E2707" s="20" t="n"/>
      <c r="F2707" s="20" t="n"/>
      <c r="G2707" s="21" t="n"/>
      <c r="H2707" s="12">
        <f>IF(AND(B2707="",D2707="",F2707=""),"",IF(NOT(ISNUMBER(B2707)),"Needs a date",IF(D2707="","Needs a client",IF(COUNTIF(Clients!$B$6:$B$105,D2707)=0,"Not on Clients",IF(AND(F2707="",INT(B2707)&lt;TODAY()),"Needs a status","")))))</f>
        <v/>
      </c>
      <c r="I2707" s="1">
        <f>IF(ISNUMBER(B2707),INT(B2707),0)</f>
        <v/>
      </c>
      <c r="J2707">
        <f>IF(ISNUMBER(B2707),YEAR(B2707)*100+MONTH(B2707),"")</f>
        <v/>
      </c>
      <c r="K2707">
        <f>IF(AND(H2707="",OR(F2707="Attended",F2707="No-show",AND(F2707="Late cancel",Settings!$C$9="Yes"))),1,0)</f>
        <v/>
      </c>
      <c r="L2707">
        <f>IF(AND(H2707="",F2707="Attended"),1,0)</f>
        <v/>
      </c>
      <c r="M2707">
        <f>IF(AND(H2707="",OR(F2707="No-show",F2707="Late cancel")),1,0)</f>
        <v/>
      </c>
      <c r="N2707">
        <f>IF(AND(H2707="",F2707="",D2707&lt;&gt;"",I2707&gt;=TODAY()),ROUND((I2707+IF(ISNUMBER(C2707),MOD(C2707,1),0))*1440,0)*10000+ROW(),"")</f>
        <v/>
      </c>
    </row>
    <row r="2708">
      <c r="A2708" s="1" t="n"/>
      <c r="B2708" s="17" t="n"/>
      <c r="C2708" s="18" t="n"/>
      <c r="D2708" s="19" t="n"/>
      <c r="E2708" s="20" t="n"/>
      <c r="F2708" s="20" t="n"/>
      <c r="G2708" s="21" t="n"/>
      <c r="H2708" s="12">
        <f>IF(AND(B2708="",D2708="",F2708=""),"",IF(NOT(ISNUMBER(B2708)),"Needs a date",IF(D2708="","Needs a client",IF(COUNTIF(Clients!$B$6:$B$105,D2708)=0,"Not on Clients",IF(AND(F2708="",INT(B2708)&lt;TODAY()),"Needs a status","")))))</f>
        <v/>
      </c>
      <c r="I2708" s="1">
        <f>IF(ISNUMBER(B2708),INT(B2708),0)</f>
        <v/>
      </c>
      <c r="J2708">
        <f>IF(ISNUMBER(B2708),YEAR(B2708)*100+MONTH(B2708),"")</f>
        <v/>
      </c>
      <c r="K2708">
        <f>IF(AND(H2708="",OR(F2708="Attended",F2708="No-show",AND(F2708="Late cancel",Settings!$C$9="Yes"))),1,0)</f>
        <v/>
      </c>
      <c r="L2708">
        <f>IF(AND(H2708="",F2708="Attended"),1,0)</f>
        <v/>
      </c>
      <c r="M2708">
        <f>IF(AND(H2708="",OR(F2708="No-show",F2708="Late cancel")),1,0)</f>
        <v/>
      </c>
      <c r="N2708">
        <f>IF(AND(H2708="",F2708="",D2708&lt;&gt;"",I2708&gt;=TODAY()),ROUND((I2708+IF(ISNUMBER(C2708),MOD(C2708,1),0))*1440,0)*10000+ROW(),"")</f>
        <v/>
      </c>
    </row>
    <row r="2709">
      <c r="A2709" s="1" t="n"/>
      <c r="B2709" s="17" t="n"/>
      <c r="C2709" s="18" t="n"/>
      <c r="D2709" s="19" t="n"/>
      <c r="E2709" s="20" t="n"/>
      <c r="F2709" s="20" t="n"/>
      <c r="G2709" s="21" t="n"/>
      <c r="H2709" s="12">
        <f>IF(AND(B2709="",D2709="",F2709=""),"",IF(NOT(ISNUMBER(B2709)),"Needs a date",IF(D2709="","Needs a client",IF(COUNTIF(Clients!$B$6:$B$105,D2709)=0,"Not on Clients",IF(AND(F2709="",INT(B2709)&lt;TODAY()),"Needs a status","")))))</f>
        <v/>
      </c>
      <c r="I2709" s="1">
        <f>IF(ISNUMBER(B2709),INT(B2709),0)</f>
        <v/>
      </c>
      <c r="J2709">
        <f>IF(ISNUMBER(B2709),YEAR(B2709)*100+MONTH(B2709),"")</f>
        <v/>
      </c>
      <c r="K2709">
        <f>IF(AND(H2709="",OR(F2709="Attended",F2709="No-show",AND(F2709="Late cancel",Settings!$C$9="Yes"))),1,0)</f>
        <v/>
      </c>
      <c r="L2709">
        <f>IF(AND(H2709="",F2709="Attended"),1,0)</f>
        <v/>
      </c>
      <c r="M2709">
        <f>IF(AND(H2709="",OR(F2709="No-show",F2709="Late cancel")),1,0)</f>
        <v/>
      </c>
      <c r="N2709">
        <f>IF(AND(H2709="",F2709="",D2709&lt;&gt;"",I2709&gt;=TODAY()),ROUND((I2709+IF(ISNUMBER(C2709),MOD(C2709,1),0))*1440,0)*10000+ROW(),"")</f>
        <v/>
      </c>
    </row>
    <row r="2710">
      <c r="A2710" s="1" t="n"/>
      <c r="B2710" s="17" t="n"/>
      <c r="C2710" s="18" t="n"/>
      <c r="D2710" s="19" t="n"/>
      <c r="E2710" s="20" t="n"/>
      <c r="F2710" s="20" t="n"/>
      <c r="G2710" s="21" t="n"/>
      <c r="H2710" s="12">
        <f>IF(AND(B2710="",D2710="",F2710=""),"",IF(NOT(ISNUMBER(B2710)),"Needs a date",IF(D2710="","Needs a client",IF(COUNTIF(Clients!$B$6:$B$105,D2710)=0,"Not on Clients",IF(AND(F2710="",INT(B2710)&lt;TODAY()),"Needs a status","")))))</f>
        <v/>
      </c>
      <c r="I2710" s="1">
        <f>IF(ISNUMBER(B2710),INT(B2710),0)</f>
        <v/>
      </c>
      <c r="J2710">
        <f>IF(ISNUMBER(B2710),YEAR(B2710)*100+MONTH(B2710),"")</f>
        <v/>
      </c>
      <c r="K2710">
        <f>IF(AND(H2710="",OR(F2710="Attended",F2710="No-show",AND(F2710="Late cancel",Settings!$C$9="Yes"))),1,0)</f>
        <v/>
      </c>
      <c r="L2710">
        <f>IF(AND(H2710="",F2710="Attended"),1,0)</f>
        <v/>
      </c>
      <c r="M2710">
        <f>IF(AND(H2710="",OR(F2710="No-show",F2710="Late cancel")),1,0)</f>
        <v/>
      </c>
      <c r="N2710">
        <f>IF(AND(H2710="",F2710="",D2710&lt;&gt;"",I2710&gt;=TODAY()),ROUND((I2710+IF(ISNUMBER(C2710),MOD(C2710,1),0))*1440,0)*10000+ROW(),"")</f>
        <v/>
      </c>
    </row>
    <row r="2711">
      <c r="A2711" s="1" t="n"/>
      <c r="B2711" s="17" t="n"/>
      <c r="C2711" s="18" t="n"/>
      <c r="D2711" s="19" t="n"/>
      <c r="E2711" s="20" t="n"/>
      <c r="F2711" s="20" t="n"/>
      <c r="G2711" s="21" t="n"/>
      <c r="H2711" s="12">
        <f>IF(AND(B2711="",D2711="",F2711=""),"",IF(NOT(ISNUMBER(B2711)),"Needs a date",IF(D2711="","Needs a client",IF(COUNTIF(Clients!$B$6:$B$105,D2711)=0,"Not on Clients",IF(AND(F2711="",INT(B2711)&lt;TODAY()),"Needs a status","")))))</f>
        <v/>
      </c>
      <c r="I2711" s="1">
        <f>IF(ISNUMBER(B2711),INT(B2711),0)</f>
        <v/>
      </c>
      <c r="J2711">
        <f>IF(ISNUMBER(B2711),YEAR(B2711)*100+MONTH(B2711),"")</f>
        <v/>
      </c>
      <c r="K2711">
        <f>IF(AND(H2711="",OR(F2711="Attended",F2711="No-show",AND(F2711="Late cancel",Settings!$C$9="Yes"))),1,0)</f>
        <v/>
      </c>
      <c r="L2711">
        <f>IF(AND(H2711="",F2711="Attended"),1,0)</f>
        <v/>
      </c>
      <c r="M2711">
        <f>IF(AND(H2711="",OR(F2711="No-show",F2711="Late cancel")),1,0)</f>
        <v/>
      </c>
      <c r="N2711">
        <f>IF(AND(H2711="",F2711="",D2711&lt;&gt;"",I2711&gt;=TODAY()),ROUND((I2711+IF(ISNUMBER(C2711),MOD(C2711,1),0))*1440,0)*10000+ROW(),"")</f>
        <v/>
      </c>
    </row>
    <row r="2712">
      <c r="A2712" s="1" t="n"/>
      <c r="B2712" s="17" t="n"/>
      <c r="C2712" s="18" t="n"/>
      <c r="D2712" s="19" t="n"/>
      <c r="E2712" s="20" t="n"/>
      <c r="F2712" s="20" t="n"/>
      <c r="G2712" s="21" t="n"/>
      <c r="H2712" s="12">
        <f>IF(AND(B2712="",D2712="",F2712=""),"",IF(NOT(ISNUMBER(B2712)),"Needs a date",IF(D2712="","Needs a client",IF(COUNTIF(Clients!$B$6:$B$105,D2712)=0,"Not on Clients",IF(AND(F2712="",INT(B2712)&lt;TODAY()),"Needs a status","")))))</f>
        <v/>
      </c>
      <c r="I2712" s="1">
        <f>IF(ISNUMBER(B2712),INT(B2712),0)</f>
        <v/>
      </c>
      <c r="J2712">
        <f>IF(ISNUMBER(B2712),YEAR(B2712)*100+MONTH(B2712),"")</f>
        <v/>
      </c>
      <c r="K2712">
        <f>IF(AND(H2712="",OR(F2712="Attended",F2712="No-show",AND(F2712="Late cancel",Settings!$C$9="Yes"))),1,0)</f>
        <v/>
      </c>
      <c r="L2712">
        <f>IF(AND(H2712="",F2712="Attended"),1,0)</f>
        <v/>
      </c>
      <c r="M2712">
        <f>IF(AND(H2712="",OR(F2712="No-show",F2712="Late cancel")),1,0)</f>
        <v/>
      </c>
      <c r="N2712">
        <f>IF(AND(H2712="",F2712="",D2712&lt;&gt;"",I2712&gt;=TODAY()),ROUND((I2712+IF(ISNUMBER(C2712),MOD(C2712,1),0))*1440,0)*10000+ROW(),"")</f>
        <v/>
      </c>
    </row>
    <row r="2713">
      <c r="A2713" s="1" t="n"/>
      <c r="B2713" s="17" t="n"/>
      <c r="C2713" s="18" t="n"/>
      <c r="D2713" s="19" t="n"/>
      <c r="E2713" s="20" t="n"/>
      <c r="F2713" s="20" t="n"/>
      <c r="G2713" s="21" t="n"/>
      <c r="H2713" s="12">
        <f>IF(AND(B2713="",D2713="",F2713=""),"",IF(NOT(ISNUMBER(B2713)),"Needs a date",IF(D2713="","Needs a client",IF(COUNTIF(Clients!$B$6:$B$105,D2713)=0,"Not on Clients",IF(AND(F2713="",INT(B2713)&lt;TODAY()),"Needs a status","")))))</f>
        <v/>
      </c>
      <c r="I2713" s="1">
        <f>IF(ISNUMBER(B2713),INT(B2713),0)</f>
        <v/>
      </c>
      <c r="J2713">
        <f>IF(ISNUMBER(B2713),YEAR(B2713)*100+MONTH(B2713),"")</f>
        <v/>
      </c>
      <c r="K2713">
        <f>IF(AND(H2713="",OR(F2713="Attended",F2713="No-show",AND(F2713="Late cancel",Settings!$C$9="Yes"))),1,0)</f>
        <v/>
      </c>
      <c r="L2713">
        <f>IF(AND(H2713="",F2713="Attended"),1,0)</f>
        <v/>
      </c>
      <c r="M2713">
        <f>IF(AND(H2713="",OR(F2713="No-show",F2713="Late cancel")),1,0)</f>
        <v/>
      </c>
      <c r="N2713">
        <f>IF(AND(H2713="",F2713="",D2713&lt;&gt;"",I2713&gt;=TODAY()),ROUND((I2713+IF(ISNUMBER(C2713),MOD(C2713,1),0))*1440,0)*10000+ROW(),"")</f>
        <v/>
      </c>
    </row>
    <row r="2714">
      <c r="A2714" s="1" t="n"/>
      <c r="B2714" s="17" t="n"/>
      <c r="C2714" s="18" t="n"/>
      <c r="D2714" s="19" t="n"/>
      <c r="E2714" s="20" t="n"/>
      <c r="F2714" s="20" t="n"/>
      <c r="G2714" s="21" t="n"/>
      <c r="H2714" s="12">
        <f>IF(AND(B2714="",D2714="",F2714=""),"",IF(NOT(ISNUMBER(B2714)),"Needs a date",IF(D2714="","Needs a client",IF(COUNTIF(Clients!$B$6:$B$105,D2714)=0,"Not on Clients",IF(AND(F2714="",INT(B2714)&lt;TODAY()),"Needs a status","")))))</f>
        <v/>
      </c>
      <c r="I2714" s="1">
        <f>IF(ISNUMBER(B2714),INT(B2714),0)</f>
        <v/>
      </c>
      <c r="J2714">
        <f>IF(ISNUMBER(B2714),YEAR(B2714)*100+MONTH(B2714),"")</f>
        <v/>
      </c>
      <c r="K2714">
        <f>IF(AND(H2714="",OR(F2714="Attended",F2714="No-show",AND(F2714="Late cancel",Settings!$C$9="Yes"))),1,0)</f>
        <v/>
      </c>
      <c r="L2714">
        <f>IF(AND(H2714="",F2714="Attended"),1,0)</f>
        <v/>
      </c>
      <c r="M2714">
        <f>IF(AND(H2714="",OR(F2714="No-show",F2714="Late cancel")),1,0)</f>
        <v/>
      </c>
      <c r="N2714">
        <f>IF(AND(H2714="",F2714="",D2714&lt;&gt;"",I2714&gt;=TODAY()),ROUND((I2714+IF(ISNUMBER(C2714),MOD(C2714,1),0))*1440,0)*10000+ROW(),"")</f>
        <v/>
      </c>
    </row>
    <row r="2715">
      <c r="A2715" s="1" t="n"/>
      <c r="B2715" s="17" t="n"/>
      <c r="C2715" s="18" t="n"/>
      <c r="D2715" s="19" t="n"/>
      <c r="E2715" s="20" t="n"/>
      <c r="F2715" s="20" t="n"/>
      <c r="G2715" s="21" t="n"/>
      <c r="H2715" s="12">
        <f>IF(AND(B2715="",D2715="",F2715=""),"",IF(NOT(ISNUMBER(B2715)),"Needs a date",IF(D2715="","Needs a client",IF(COUNTIF(Clients!$B$6:$B$105,D2715)=0,"Not on Clients",IF(AND(F2715="",INT(B2715)&lt;TODAY()),"Needs a status","")))))</f>
        <v/>
      </c>
      <c r="I2715" s="1">
        <f>IF(ISNUMBER(B2715),INT(B2715),0)</f>
        <v/>
      </c>
      <c r="J2715">
        <f>IF(ISNUMBER(B2715),YEAR(B2715)*100+MONTH(B2715),"")</f>
        <v/>
      </c>
      <c r="K2715">
        <f>IF(AND(H2715="",OR(F2715="Attended",F2715="No-show",AND(F2715="Late cancel",Settings!$C$9="Yes"))),1,0)</f>
        <v/>
      </c>
      <c r="L2715">
        <f>IF(AND(H2715="",F2715="Attended"),1,0)</f>
        <v/>
      </c>
      <c r="M2715">
        <f>IF(AND(H2715="",OR(F2715="No-show",F2715="Late cancel")),1,0)</f>
        <v/>
      </c>
      <c r="N2715">
        <f>IF(AND(H2715="",F2715="",D2715&lt;&gt;"",I2715&gt;=TODAY()),ROUND((I2715+IF(ISNUMBER(C2715),MOD(C2715,1),0))*1440,0)*10000+ROW(),"")</f>
        <v/>
      </c>
    </row>
    <row r="2716">
      <c r="A2716" s="1" t="n"/>
      <c r="B2716" s="17" t="n"/>
      <c r="C2716" s="18" t="n"/>
      <c r="D2716" s="19" t="n"/>
      <c r="E2716" s="20" t="n"/>
      <c r="F2716" s="20" t="n"/>
      <c r="G2716" s="21" t="n"/>
      <c r="H2716" s="12">
        <f>IF(AND(B2716="",D2716="",F2716=""),"",IF(NOT(ISNUMBER(B2716)),"Needs a date",IF(D2716="","Needs a client",IF(COUNTIF(Clients!$B$6:$B$105,D2716)=0,"Not on Clients",IF(AND(F2716="",INT(B2716)&lt;TODAY()),"Needs a status","")))))</f>
        <v/>
      </c>
      <c r="I2716" s="1">
        <f>IF(ISNUMBER(B2716),INT(B2716),0)</f>
        <v/>
      </c>
      <c r="J2716">
        <f>IF(ISNUMBER(B2716),YEAR(B2716)*100+MONTH(B2716),"")</f>
        <v/>
      </c>
      <c r="K2716">
        <f>IF(AND(H2716="",OR(F2716="Attended",F2716="No-show",AND(F2716="Late cancel",Settings!$C$9="Yes"))),1,0)</f>
        <v/>
      </c>
      <c r="L2716">
        <f>IF(AND(H2716="",F2716="Attended"),1,0)</f>
        <v/>
      </c>
      <c r="M2716">
        <f>IF(AND(H2716="",OR(F2716="No-show",F2716="Late cancel")),1,0)</f>
        <v/>
      </c>
      <c r="N2716">
        <f>IF(AND(H2716="",F2716="",D2716&lt;&gt;"",I2716&gt;=TODAY()),ROUND((I2716+IF(ISNUMBER(C2716),MOD(C2716,1),0))*1440,0)*10000+ROW(),"")</f>
        <v/>
      </c>
    </row>
    <row r="2717">
      <c r="A2717" s="1" t="n"/>
      <c r="B2717" s="17" t="n"/>
      <c r="C2717" s="18" t="n"/>
      <c r="D2717" s="19" t="n"/>
      <c r="E2717" s="20" t="n"/>
      <c r="F2717" s="20" t="n"/>
      <c r="G2717" s="21" t="n"/>
      <c r="H2717" s="12">
        <f>IF(AND(B2717="",D2717="",F2717=""),"",IF(NOT(ISNUMBER(B2717)),"Needs a date",IF(D2717="","Needs a client",IF(COUNTIF(Clients!$B$6:$B$105,D2717)=0,"Not on Clients",IF(AND(F2717="",INT(B2717)&lt;TODAY()),"Needs a status","")))))</f>
        <v/>
      </c>
      <c r="I2717" s="1">
        <f>IF(ISNUMBER(B2717),INT(B2717),0)</f>
        <v/>
      </c>
      <c r="J2717">
        <f>IF(ISNUMBER(B2717),YEAR(B2717)*100+MONTH(B2717),"")</f>
        <v/>
      </c>
      <c r="K2717">
        <f>IF(AND(H2717="",OR(F2717="Attended",F2717="No-show",AND(F2717="Late cancel",Settings!$C$9="Yes"))),1,0)</f>
        <v/>
      </c>
      <c r="L2717">
        <f>IF(AND(H2717="",F2717="Attended"),1,0)</f>
        <v/>
      </c>
      <c r="M2717">
        <f>IF(AND(H2717="",OR(F2717="No-show",F2717="Late cancel")),1,0)</f>
        <v/>
      </c>
      <c r="N2717">
        <f>IF(AND(H2717="",F2717="",D2717&lt;&gt;"",I2717&gt;=TODAY()),ROUND((I2717+IF(ISNUMBER(C2717),MOD(C2717,1),0))*1440,0)*10000+ROW(),"")</f>
        <v/>
      </c>
    </row>
    <row r="2718">
      <c r="A2718" s="1" t="n"/>
      <c r="B2718" s="17" t="n"/>
      <c r="C2718" s="18" t="n"/>
      <c r="D2718" s="19" t="n"/>
      <c r="E2718" s="20" t="n"/>
      <c r="F2718" s="20" t="n"/>
      <c r="G2718" s="21" t="n"/>
      <c r="H2718" s="12">
        <f>IF(AND(B2718="",D2718="",F2718=""),"",IF(NOT(ISNUMBER(B2718)),"Needs a date",IF(D2718="","Needs a client",IF(COUNTIF(Clients!$B$6:$B$105,D2718)=0,"Not on Clients",IF(AND(F2718="",INT(B2718)&lt;TODAY()),"Needs a status","")))))</f>
        <v/>
      </c>
      <c r="I2718" s="1">
        <f>IF(ISNUMBER(B2718),INT(B2718),0)</f>
        <v/>
      </c>
      <c r="J2718">
        <f>IF(ISNUMBER(B2718),YEAR(B2718)*100+MONTH(B2718),"")</f>
        <v/>
      </c>
      <c r="K2718">
        <f>IF(AND(H2718="",OR(F2718="Attended",F2718="No-show",AND(F2718="Late cancel",Settings!$C$9="Yes"))),1,0)</f>
        <v/>
      </c>
      <c r="L2718">
        <f>IF(AND(H2718="",F2718="Attended"),1,0)</f>
        <v/>
      </c>
      <c r="M2718">
        <f>IF(AND(H2718="",OR(F2718="No-show",F2718="Late cancel")),1,0)</f>
        <v/>
      </c>
      <c r="N2718">
        <f>IF(AND(H2718="",F2718="",D2718&lt;&gt;"",I2718&gt;=TODAY()),ROUND((I2718+IF(ISNUMBER(C2718),MOD(C2718,1),0))*1440,0)*10000+ROW(),"")</f>
        <v/>
      </c>
    </row>
    <row r="2719">
      <c r="A2719" s="1" t="n"/>
      <c r="B2719" s="17" t="n"/>
      <c r="C2719" s="18" t="n"/>
      <c r="D2719" s="19" t="n"/>
      <c r="E2719" s="20" t="n"/>
      <c r="F2719" s="20" t="n"/>
      <c r="G2719" s="21" t="n"/>
      <c r="H2719" s="12">
        <f>IF(AND(B2719="",D2719="",F2719=""),"",IF(NOT(ISNUMBER(B2719)),"Needs a date",IF(D2719="","Needs a client",IF(COUNTIF(Clients!$B$6:$B$105,D2719)=0,"Not on Clients",IF(AND(F2719="",INT(B2719)&lt;TODAY()),"Needs a status","")))))</f>
        <v/>
      </c>
      <c r="I2719" s="1">
        <f>IF(ISNUMBER(B2719),INT(B2719),0)</f>
        <v/>
      </c>
      <c r="J2719">
        <f>IF(ISNUMBER(B2719),YEAR(B2719)*100+MONTH(B2719),"")</f>
        <v/>
      </c>
      <c r="K2719">
        <f>IF(AND(H2719="",OR(F2719="Attended",F2719="No-show",AND(F2719="Late cancel",Settings!$C$9="Yes"))),1,0)</f>
        <v/>
      </c>
      <c r="L2719">
        <f>IF(AND(H2719="",F2719="Attended"),1,0)</f>
        <v/>
      </c>
      <c r="M2719">
        <f>IF(AND(H2719="",OR(F2719="No-show",F2719="Late cancel")),1,0)</f>
        <v/>
      </c>
      <c r="N2719">
        <f>IF(AND(H2719="",F2719="",D2719&lt;&gt;"",I2719&gt;=TODAY()),ROUND((I2719+IF(ISNUMBER(C2719),MOD(C2719,1),0))*1440,0)*10000+ROW(),"")</f>
        <v/>
      </c>
    </row>
    <row r="2720">
      <c r="A2720" s="1" t="n"/>
      <c r="B2720" s="17" t="n"/>
      <c r="C2720" s="18" t="n"/>
      <c r="D2720" s="19" t="n"/>
      <c r="E2720" s="20" t="n"/>
      <c r="F2720" s="20" t="n"/>
      <c r="G2720" s="21" t="n"/>
      <c r="H2720" s="12">
        <f>IF(AND(B2720="",D2720="",F2720=""),"",IF(NOT(ISNUMBER(B2720)),"Needs a date",IF(D2720="","Needs a client",IF(COUNTIF(Clients!$B$6:$B$105,D2720)=0,"Not on Clients",IF(AND(F2720="",INT(B2720)&lt;TODAY()),"Needs a status","")))))</f>
        <v/>
      </c>
      <c r="I2720" s="1">
        <f>IF(ISNUMBER(B2720),INT(B2720),0)</f>
        <v/>
      </c>
      <c r="J2720">
        <f>IF(ISNUMBER(B2720),YEAR(B2720)*100+MONTH(B2720),"")</f>
        <v/>
      </c>
      <c r="K2720">
        <f>IF(AND(H2720="",OR(F2720="Attended",F2720="No-show",AND(F2720="Late cancel",Settings!$C$9="Yes"))),1,0)</f>
        <v/>
      </c>
      <c r="L2720">
        <f>IF(AND(H2720="",F2720="Attended"),1,0)</f>
        <v/>
      </c>
      <c r="M2720">
        <f>IF(AND(H2720="",OR(F2720="No-show",F2720="Late cancel")),1,0)</f>
        <v/>
      </c>
      <c r="N2720">
        <f>IF(AND(H2720="",F2720="",D2720&lt;&gt;"",I2720&gt;=TODAY()),ROUND((I2720+IF(ISNUMBER(C2720),MOD(C2720,1),0))*1440,0)*10000+ROW(),"")</f>
        <v/>
      </c>
    </row>
    <row r="2721">
      <c r="A2721" s="1" t="n"/>
      <c r="B2721" s="17" t="n"/>
      <c r="C2721" s="18" t="n"/>
      <c r="D2721" s="19" t="n"/>
      <c r="E2721" s="20" t="n"/>
      <c r="F2721" s="20" t="n"/>
      <c r="G2721" s="21" t="n"/>
      <c r="H2721" s="12">
        <f>IF(AND(B2721="",D2721="",F2721=""),"",IF(NOT(ISNUMBER(B2721)),"Needs a date",IF(D2721="","Needs a client",IF(COUNTIF(Clients!$B$6:$B$105,D2721)=0,"Not on Clients",IF(AND(F2721="",INT(B2721)&lt;TODAY()),"Needs a status","")))))</f>
        <v/>
      </c>
      <c r="I2721" s="1">
        <f>IF(ISNUMBER(B2721),INT(B2721),0)</f>
        <v/>
      </c>
      <c r="J2721">
        <f>IF(ISNUMBER(B2721),YEAR(B2721)*100+MONTH(B2721),"")</f>
        <v/>
      </c>
      <c r="K2721">
        <f>IF(AND(H2721="",OR(F2721="Attended",F2721="No-show",AND(F2721="Late cancel",Settings!$C$9="Yes"))),1,0)</f>
        <v/>
      </c>
      <c r="L2721">
        <f>IF(AND(H2721="",F2721="Attended"),1,0)</f>
        <v/>
      </c>
      <c r="M2721">
        <f>IF(AND(H2721="",OR(F2721="No-show",F2721="Late cancel")),1,0)</f>
        <v/>
      </c>
      <c r="N2721">
        <f>IF(AND(H2721="",F2721="",D2721&lt;&gt;"",I2721&gt;=TODAY()),ROUND((I2721+IF(ISNUMBER(C2721),MOD(C2721,1),0))*1440,0)*10000+ROW(),"")</f>
        <v/>
      </c>
    </row>
    <row r="2722">
      <c r="A2722" s="1" t="n"/>
      <c r="B2722" s="17" t="n"/>
      <c r="C2722" s="18" t="n"/>
      <c r="D2722" s="19" t="n"/>
      <c r="E2722" s="20" t="n"/>
      <c r="F2722" s="20" t="n"/>
      <c r="G2722" s="21" t="n"/>
      <c r="H2722" s="12">
        <f>IF(AND(B2722="",D2722="",F2722=""),"",IF(NOT(ISNUMBER(B2722)),"Needs a date",IF(D2722="","Needs a client",IF(COUNTIF(Clients!$B$6:$B$105,D2722)=0,"Not on Clients",IF(AND(F2722="",INT(B2722)&lt;TODAY()),"Needs a status","")))))</f>
        <v/>
      </c>
      <c r="I2722" s="1">
        <f>IF(ISNUMBER(B2722),INT(B2722),0)</f>
        <v/>
      </c>
      <c r="J2722">
        <f>IF(ISNUMBER(B2722),YEAR(B2722)*100+MONTH(B2722),"")</f>
        <v/>
      </c>
      <c r="K2722">
        <f>IF(AND(H2722="",OR(F2722="Attended",F2722="No-show",AND(F2722="Late cancel",Settings!$C$9="Yes"))),1,0)</f>
        <v/>
      </c>
      <c r="L2722">
        <f>IF(AND(H2722="",F2722="Attended"),1,0)</f>
        <v/>
      </c>
      <c r="M2722">
        <f>IF(AND(H2722="",OR(F2722="No-show",F2722="Late cancel")),1,0)</f>
        <v/>
      </c>
      <c r="N2722">
        <f>IF(AND(H2722="",F2722="",D2722&lt;&gt;"",I2722&gt;=TODAY()),ROUND((I2722+IF(ISNUMBER(C2722),MOD(C2722,1),0))*1440,0)*10000+ROW(),"")</f>
        <v/>
      </c>
    </row>
    <row r="2723">
      <c r="A2723" s="1" t="n"/>
      <c r="B2723" s="17" t="n"/>
      <c r="C2723" s="18" t="n"/>
      <c r="D2723" s="19" t="n"/>
      <c r="E2723" s="20" t="n"/>
      <c r="F2723" s="20" t="n"/>
      <c r="G2723" s="21" t="n"/>
      <c r="H2723" s="12">
        <f>IF(AND(B2723="",D2723="",F2723=""),"",IF(NOT(ISNUMBER(B2723)),"Needs a date",IF(D2723="","Needs a client",IF(COUNTIF(Clients!$B$6:$B$105,D2723)=0,"Not on Clients",IF(AND(F2723="",INT(B2723)&lt;TODAY()),"Needs a status","")))))</f>
        <v/>
      </c>
      <c r="I2723" s="1">
        <f>IF(ISNUMBER(B2723),INT(B2723),0)</f>
        <v/>
      </c>
      <c r="J2723">
        <f>IF(ISNUMBER(B2723),YEAR(B2723)*100+MONTH(B2723),"")</f>
        <v/>
      </c>
      <c r="K2723">
        <f>IF(AND(H2723="",OR(F2723="Attended",F2723="No-show",AND(F2723="Late cancel",Settings!$C$9="Yes"))),1,0)</f>
        <v/>
      </c>
      <c r="L2723">
        <f>IF(AND(H2723="",F2723="Attended"),1,0)</f>
        <v/>
      </c>
      <c r="M2723">
        <f>IF(AND(H2723="",OR(F2723="No-show",F2723="Late cancel")),1,0)</f>
        <v/>
      </c>
      <c r="N2723">
        <f>IF(AND(H2723="",F2723="",D2723&lt;&gt;"",I2723&gt;=TODAY()),ROUND((I2723+IF(ISNUMBER(C2723),MOD(C2723,1),0))*1440,0)*10000+ROW(),"")</f>
        <v/>
      </c>
    </row>
    <row r="2724">
      <c r="A2724" s="1" t="n"/>
      <c r="B2724" s="17" t="n"/>
      <c r="C2724" s="18" t="n"/>
      <c r="D2724" s="19" t="n"/>
      <c r="E2724" s="20" t="n"/>
      <c r="F2724" s="20" t="n"/>
      <c r="G2724" s="21" t="n"/>
      <c r="H2724" s="12">
        <f>IF(AND(B2724="",D2724="",F2724=""),"",IF(NOT(ISNUMBER(B2724)),"Needs a date",IF(D2724="","Needs a client",IF(COUNTIF(Clients!$B$6:$B$105,D2724)=0,"Not on Clients",IF(AND(F2724="",INT(B2724)&lt;TODAY()),"Needs a status","")))))</f>
        <v/>
      </c>
      <c r="I2724" s="1">
        <f>IF(ISNUMBER(B2724),INT(B2724),0)</f>
        <v/>
      </c>
      <c r="J2724">
        <f>IF(ISNUMBER(B2724),YEAR(B2724)*100+MONTH(B2724),"")</f>
        <v/>
      </c>
      <c r="K2724">
        <f>IF(AND(H2724="",OR(F2724="Attended",F2724="No-show",AND(F2724="Late cancel",Settings!$C$9="Yes"))),1,0)</f>
        <v/>
      </c>
      <c r="L2724">
        <f>IF(AND(H2724="",F2724="Attended"),1,0)</f>
        <v/>
      </c>
      <c r="M2724">
        <f>IF(AND(H2724="",OR(F2724="No-show",F2724="Late cancel")),1,0)</f>
        <v/>
      </c>
      <c r="N2724">
        <f>IF(AND(H2724="",F2724="",D2724&lt;&gt;"",I2724&gt;=TODAY()),ROUND((I2724+IF(ISNUMBER(C2724),MOD(C2724,1),0))*1440,0)*10000+ROW(),"")</f>
        <v/>
      </c>
    </row>
    <row r="2725">
      <c r="A2725" s="1" t="n"/>
      <c r="B2725" s="17" t="n"/>
      <c r="C2725" s="18" t="n"/>
      <c r="D2725" s="19" t="n"/>
      <c r="E2725" s="20" t="n"/>
      <c r="F2725" s="20" t="n"/>
      <c r="G2725" s="21" t="n"/>
      <c r="H2725" s="12">
        <f>IF(AND(B2725="",D2725="",F2725=""),"",IF(NOT(ISNUMBER(B2725)),"Needs a date",IF(D2725="","Needs a client",IF(COUNTIF(Clients!$B$6:$B$105,D2725)=0,"Not on Clients",IF(AND(F2725="",INT(B2725)&lt;TODAY()),"Needs a status","")))))</f>
        <v/>
      </c>
      <c r="I2725" s="1">
        <f>IF(ISNUMBER(B2725),INT(B2725),0)</f>
        <v/>
      </c>
      <c r="J2725">
        <f>IF(ISNUMBER(B2725),YEAR(B2725)*100+MONTH(B2725),"")</f>
        <v/>
      </c>
      <c r="K2725">
        <f>IF(AND(H2725="",OR(F2725="Attended",F2725="No-show",AND(F2725="Late cancel",Settings!$C$9="Yes"))),1,0)</f>
        <v/>
      </c>
      <c r="L2725">
        <f>IF(AND(H2725="",F2725="Attended"),1,0)</f>
        <v/>
      </c>
      <c r="M2725">
        <f>IF(AND(H2725="",OR(F2725="No-show",F2725="Late cancel")),1,0)</f>
        <v/>
      </c>
      <c r="N2725">
        <f>IF(AND(H2725="",F2725="",D2725&lt;&gt;"",I2725&gt;=TODAY()),ROUND((I2725+IF(ISNUMBER(C2725),MOD(C2725,1),0))*1440,0)*10000+ROW(),"")</f>
        <v/>
      </c>
    </row>
    <row r="2726">
      <c r="A2726" s="1" t="n"/>
      <c r="B2726" s="17" t="n"/>
      <c r="C2726" s="18" t="n"/>
      <c r="D2726" s="19" t="n"/>
      <c r="E2726" s="20" t="n"/>
      <c r="F2726" s="20" t="n"/>
      <c r="G2726" s="21" t="n"/>
      <c r="H2726" s="12">
        <f>IF(AND(B2726="",D2726="",F2726=""),"",IF(NOT(ISNUMBER(B2726)),"Needs a date",IF(D2726="","Needs a client",IF(COUNTIF(Clients!$B$6:$B$105,D2726)=0,"Not on Clients",IF(AND(F2726="",INT(B2726)&lt;TODAY()),"Needs a status","")))))</f>
        <v/>
      </c>
      <c r="I2726" s="1">
        <f>IF(ISNUMBER(B2726),INT(B2726),0)</f>
        <v/>
      </c>
      <c r="J2726">
        <f>IF(ISNUMBER(B2726),YEAR(B2726)*100+MONTH(B2726),"")</f>
        <v/>
      </c>
      <c r="K2726">
        <f>IF(AND(H2726="",OR(F2726="Attended",F2726="No-show",AND(F2726="Late cancel",Settings!$C$9="Yes"))),1,0)</f>
        <v/>
      </c>
      <c r="L2726">
        <f>IF(AND(H2726="",F2726="Attended"),1,0)</f>
        <v/>
      </c>
      <c r="M2726">
        <f>IF(AND(H2726="",OR(F2726="No-show",F2726="Late cancel")),1,0)</f>
        <v/>
      </c>
      <c r="N2726">
        <f>IF(AND(H2726="",F2726="",D2726&lt;&gt;"",I2726&gt;=TODAY()),ROUND((I2726+IF(ISNUMBER(C2726),MOD(C2726,1),0))*1440,0)*10000+ROW(),"")</f>
        <v/>
      </c>
    </row>
    <row r="2727">
      <c r="A2727" s="1" t="n"/>
      <c r="B2727" s="17" t="n"/>
      <c r="C2727" s="18" t="n"/>
      <c r="D2727" s="19" t="n"/>
      <c r="E2727" s="20" t="n"/>
      <c r="F2727" s="20" t="n"/>
      <c r="G2727" s="21" t="n"/>
      <c r="H2727" s="12">
        <f>IF(AND(B2727="",D2727="",F2727=""),"",IF(NOT(ISNUMBER(B2727)),"Needs a date",IF(D2727="","Needs a client",IF(COUNTIF(Clients!$B$6:$B$105,D2727)=0,"Not on Clients",IF(AND(F2727="",INT(B2727)&lt;TODAY()),"Needs a status","")))))</f>
        <v/>
      </c>
      <c r="I2727" s="1">
        <f>IF(ISNUMBER(B2727),INT(B2727),0)</f>
        <v/>
      </c>
      <c r="J2727">
        <f>IF(ISNUMBER(B2727),YEAR(B2727)*100+MONTH(B2727),"")</f>
        <v/>
      </c>
      <c r="K2727">
        <f>IF(AND(H2727="",OR(F2727="Attended",F2727="No-show",AND(F2727="Late cancel",Settings!$C$9="Yes"))),1,0)</f>
        <v/>
      </c>
      <c r="L2727">
        <f>IF(AND(H2727="",F2727="Attended"),1,0)</f>
        <v/>
      </c>
      <c r="M2727">
        <f>IF(AND(H2727="",OR(F2727="No-show",F2727="Late cancel")),1,0)</f>
        <v/>
      </c>
      <c r="N2727">
        <f>IF(AND(H2727="",F2727="",D2727&lt;&gt;"",I2727&gt;=TODAY()),ROUND((I2727+IF(ISNUMBER(C2727),MOD(C2727,1),0))*1440,0)*10000+ROW(),"")</f>
        <v/>
      </c>
    </row>
    <row r="2728">
      <c r="A2728" s="1" t="n"/>
      <c r="B2728" s="17" t="n"/>
      <c r="C2728" s="18" t="n"/>
      <c r="D2728" s="19" t="n"/>
      <c r="E2728" s="20" t="n"/>
      <c r="F2728" s="20" t="n"/>
      <c r="G2728" s="21" t="n"/>
      <c r="H2728" s="12">
        <f>IF(AND(B2728="",D2728="",F2728=""),"",IF(NOT(ISNUMBER(B2728)),"Needs a date",IF(D2728="","Needs a client",IF(COUNTIF(Clients!$B$6:$B$105,D2728)=0,"Not on Clients",IF(AND(F2728="",INT(B2728)&lt;TODAY()),"Needs a status","")))))</f>
        <v/>
      </c>
      <c r="I2728" s="1">
        <f>IF(ISNUMBER(B2728),INT(B2728),0)</f>
        <v/>
      </c>
      <c r="J2728">
        <f>IF(ISNUMBER(B2728),YEAR(B2728)*100+MONTH(B2728),"")</f>
        <v/>
      </c>
      <c r="K2728">
        <f>IF(AND(H2728="",OR(F2728="Attended",F2728="No-show",AND(F2728="Late cancel",Settings!$C$9="Yes"))),1,0)</f>
        <v/>
      </c>
      <c r="L2728">
        <f>IF(AND(H2728="",F2728="Attended"),1,0)</f>
        <v/>
      </c>
      <c r="M2728">
        <f>IF(AND(H2728="",OR(F2728="No-show",F2728="Late cancel")),1,0)</f>
        <v/>
      </c>
      <c r="N2728">
        <f>IF(AND(H2728="",F2728="",D2728&lt;&gt;"",I2728&gt;=TODAY()),ROUND((I2728+IF(ISNUMBER(C2728),MOD(C2728,1),0))*1440,0)*10000+ROW(),"")</f>
        <v/>
      </c>
    </row>
    <row r="2729">
      <c r="A2729" s="1" t="n"/>
      <c r="B2729" s="17" t="n"/>
      <c r="C2729" s="18" t="n"/>
      <c r="D2729" s="19" t="n"/>
      <c r="E2729" s="20" t="n"/>
      <c r="F2729" s="20" t="n"/>
      <c r="G2729" s="21" t="n"/>
      <c r="H2729" s="12">
        <f>IF(AND(B2729="",D2729="",F2729=""),"",IF(NOT(ISNUMBER(B2729)),"Needs a date",IF(D2729="","Needs a client",IF(COUNTIF(Clients!$B$6:$B$105,D2729)=0,"Not on Clients",IF(AND(F2729="",INT(B2729)&lt;TODAY()),"Needs a status","")))))</f>
        <v/>
      </c>
      <c r="I2729" s="1">
        <f>IF(ISNUMBER(B2729),INT(B2729),0)</f>
        <v/>
      </c>
      <c r="J2729">
        <f>IF(ISNUMBER(B2729),YEAR(B2729)*100+MONTH(B2729),"")</f>
        <v/>
      </c>
      <c r="K2729">
        <f>IF(AND(H2729="",OR(F2729="Attended",F2729="No-show",AND(F2729="Late cancel",Settings!$C$9="Yes"))),1,0)</f>
        <v/>
      </c>
      <c r="L2729">
        <f>IF(AND(H2729="",F2729="Attended"),1,0)</f>
        <v/>
      </c>
      <c r="M2729">
        <f>IF(AND(H2729="",OR(F2729="No-show",F2729="Late cancel")),1,0)</f>
        <v/>
      </c>
      <c r="N2729">
        <f>IF(AND(H2729="",F2729="",D2729&lt;&gt;"",I2729&gt;=TODAY()),ROUND((I2729+IF(ISNUMBER(C2729),MOD(C2729,1),0))*1440,0)*10000+ROW(),"")</f>
        <v/>
      </c>
    </row>
    <row r="2730">
      <c r="A2730" s="1" t="n"/>
      <c r="B2730" s="17" t="n"/>
      <c r="C2730" s="18" t="n"/>
      <c r="D2730" s="19" t="n"/>
      <c r="E2730" s="20" t="n"/>
      <c r="F2730" s="20" t="n"/>
      <c r="G2730" s="21" t="n"/>
      <c r="H2730" s="12">
        <f>IF(AND(B2730="",D2730="",F2730=""),"",IF(NOT(ISNUMBER(B2730)),"Needs a date",IF(D2730="","Needs a client",IF(COUNTIF(Clients!$B$6:$B$105,D2730)=0,"Not on Clients",IF(AND(F2730="",INT(B2730)&lt;TODAY()),"Needs a status","")))))</f>
        <v/>
      </c>
      <c r="I2730" s="1">
        <f>IF(ISNUMBER(B2730),INT(B2730),0)</f>
        <v/>
      </c>
      <c r="J2730">
        <f>IF(ISNUMBER(B2730),YEAR(B2730)*100+MONTH(B2730),"")</f>
        <v/>
      </c>
      <c r="K2730">
        <f>IF(AND(H2730="",OR(F2730="Attended",F2730="No-show",AND(F2730="Late cancel",Settings!$C$9="Yes"))),1,0)</f>
        <v/>
      </c>
      <c r="L2730">
        <f>IF(AND(H2730="",F2730="Attended"),1,0)</f>
        <v/>
      </c>
      <c r="M2730">
        <f>IF(AND(H2730="",OR(F2730="No-show",F2730="Late cancel")),1,0)</f>
        <v/>
      </c>
      <c r="N2730">
        <f>IF(AND(H2730="",F2730="",D2730&lt;&gt;"",I2730&gt;=TODAY()),ROUND((I2730+IF(ISNUMBER(C2730),MOD(C2730,1),0))*1440,0)*10000+ROW(),"")</f>
        <v/>
      </c>
    </row>
    <row r="2731">
      <c r="A2731" s="1" t="n"/>
      <c r="B2731" s="17" t="n"/>
      <c r="C2731" s="18" t="n"/>
      <c r="D2731" s="19" t="n"/>
      <c r="E2731" s="20" t="n"/>
      <c r="F2731" s="20" t="n"/>
      <c r="G2731" s="21" t="n"/>
      <c r="H2731" s="12">
        <f>IF(AND(B2731="",D2731="",F2731=""),"",IF(NOT(ISNUMBER(B2731)),"Needs a date",IF(D2731="","Needs a client",IF(COUNTIF(Clients!$B$6:$B$105,D2731)=0,"Not on Clients",IF(AND(F2731="",INT(B2731)&lt;TODAY()),"Needs a status","")))))</f>
        <v/>
      </c>
      <c r="I2731" s="1">
        <f>IF(ISNUMBER(B2731),INT(B2731),0)</f>
        <v/>
      </c>
      <c r="J2731">
        <f>IF(ISNUMBER(B2731),YEAR(B2731)*100+MONTH(B2731),"")</f>
        <v/>
      </c>
      <c r="K2731">
        <f>IF(AND(H2731="",OR(F2731="Attended",F2731="No-show",AND(F2731="Late cancel",Settings!$C$9="Yes"))),1,0)</f>
        <v/>
      </c>
      <c r="L2731">
        <f>IF(AND(H2731="",F2731="Attended"),1,0)</f>
        <v/>
      </c>
      <c r="M2731">
        <f>IF(AND(H2731="",OR(F2731="No-show",F2731="Late cancel")),1,0)</f>
        <v/>
      </c>
      <c r="N2731">
        <f>IF(AND(H2731="",F2731="",D2731&lt;&gt;"",I2731&gt;=TODAY()),ROUND((I2731+IF(ISNUMBER(C2731),MOD(C2731,1),0))*1440,0)*10000+ROW(),"")</f>
        <v/>
      </c>
    </row>
    <row r="2732">
      <c r="A2732" s="1" t="n"/>
      <c r="B2732" s="17" t="n"/>
      <c r="C2732" s="18" t="n"/>
      <c r="D2732" s="19" t="n"/>
      <c r="E2732" s="20" t="n"/>
      <c r="F2732" s="20" t="n"/>
      <c r="G2732" s="21" t="n"/>
      <c r="H2732" s="12">
        <f>IF(AND(B2732="",D2732="",F2732=""),"",IF(NOT(ISNUMBER(B2732)),"Needs a date",IF(D2732="","Needs a client",IF(COUNTIF(Clients!$B$6:$B$105,D2732)=0,"Not on Clients",IF(AND(F2732="",INT(B2732)&lt;TODAY()),"Needs a status","")))))</f>
        <v/>
      </c>
      <c r="I2732" s="1">
        <f>IF(ISNUMBER(B2732),INT(B2732),0)</f>
        <v/>
      </c>
      <c r="J2732">
        <f>IF(ISNUMBER(B2732),YEAR(B2732)*100+MONTH(B2732),"")</f>
        <v/>
      </c>
      <c r="K2732">
        <f>IF(AND(H2732="",OR(F2732="Attended",F2732="No-show",AND(F2732="Late cancel",Settings!$C$9="Yes"))),1,0)</f>
        <v/>
      </c>
      <c r="L2732">
        <f>IF(AND(H2732="",F2732="Attended"),1,0)</f>
        <v/>
      </c>
      <c r="M2732">
        <f>IF(AND(H2732="",OR(F2732="No-show",F2732="Late cancel")),1,0)</f>
        <v/>
      </c>
      <c r="N2732">
        <f>IF(AND(H2732="",F2732="",D2732&lt;&gt;"",I2732&gt;=TODAY()),ROUND((I2732+IF(ISNUMBER(C2732),MOD(C2732,1),0))*1440,0)*10000+ROW(),"")</f>
        <v/>
      </c>
    </row>
    <row r="2733">
      <c r="A2733" s="1" t="n"/>
      <c r="B2733" s="17" t="n"/>
      <c r="C2733" s="18" t="n"/>
      <c r="D2733" s="19" t="n"/>
      <c r="E2733" s="20" t="n"/>
      <c r="F2733" s="20" t="n"/>
      <c r="G2733" s="21" t="n"/>
      <c r="H2733" s="12">
        <f>IF(AND(B2733="",D2733="",F2733=""),"",IF(NOT(ISNUMBER(B2733)),"Needs a date",IF(D2733="","Needs a client",IF(COUNTIF(Clients!$B$6:$B$105,D2733)=0,"Not on Clients",IF(AND(F2733="",INT(B2733)&lt;TODAY()),"Needs a status","")))))</f>
        <v/>
      </c>
      <c r="I2733" s="1">
        <f>IF(ISNUMBER(B2733),INT(B2733),0)</f>
        <v/>
      </c>
      <c r="J2733">
        <f>IF(ISNUMBER(B2733),YEAR(B2733)*100+MONTH(B2733),"")</f>
        <v/>
      </c>
      <c r="K2733">
        <f>IF(AND(H2733="",OR(F2733="Attended",F2733="No-show",AND(F2733="Late cancel",Settings!$C$9="Yes"))),1,0)</f>
        <v/>
      </c>
      <c r="L2733">
        <f>IF(AND(H2733="",F2733="Attended"),1,0)</f>
        <v/>
      </c>
      <c r="M2733">
        <f>IF(AND(H2733="",OR(F2733="No-show",F2733="Late cancel")),1,0)</f>
        <v/>
      </c>
      <c r="N2733">
        <f>IF(AND(H2733="",F2733="",D2733&lt;&gt;"",I2733&gt;=TODAY()),ROUND((I2733+IF(ISNUMBER(C2733),MOD(C2733,1),0))*1440,0)*10000+ROW(),"")</f>
        <v/>
      </c>
    </row>
    <row r="2734">
      <c r="A2734" s="1" t="n"/>
      <c r="B2734" s="17" t="n"/>
      <c r="C2734" s="18" t="n"/>
      <c r="D2734" s="19" t="n"/>
      <c r="E2734" s="20" t="n"/>
      <c r="F2734" s="20" t="n"/>
      <c r="G2734" s="21" t="n"/>
      <c r="H2734" s="12">
        <f>IF(AND(B2734="",D2734="",F2734=""),"",IF(NOT(ISNUMBER(B2734)),"Needs a date",IF(D2734="","Needs a client",IF(COUNTIF(Clients!$B$6:$B$105,D2734)=0,"Not on Clients",IF(AND(F2734="",INT(B2734)&lt;TODAY()),"Needs a status","")))))</f>
        <v/>
      </c>
      <c r="I2734" s="1">
        <f>IF(ISNUMBER(B2734),INT(B2734),0)</f>
        <v/>
      </c>
      <c r="J2734">
        <f>IF(ISNUMBER(B2734),YEAR(B2734)*100+MONTH(B2734),"")</f>
        <v/>
      </c>
      <c r="K2734">
        <f>IF(AND(H2734="",OR(F2734="Attended",F2734="No-show",AND(F2734="Late cancel",Settings!$C$9="Yes"))),1,0)</f>
        <v/>
      </c>
      <c r="L2734">
        <f>IF(AND(H2734="",F2734="Attended"),1,0)</f>
        <v/>
      </c>
      <c r="M2734">
        <f>IF(AND(H2734="",OR(F2734="No-show",F2734="Late cancel")),1,0)</f>
        <v/>
      </c>
      <c r="N2734">
        <f>IF(AND(H2734="",F2734="",D2734&lt;&gt;"",I2734&gt;=TODAY()),ROUND((I2734+IF(ISNUMBER(C2734),MOD(C2734,1),0))*1440,0)*10000+ROW(),"")</f>
        <v/>
      </c>
    </row>
    <row r="2735">
      <c r="A2735" s="1" t="n"/>
      <c r="B2735" s="17" t="n"/>
      <c r="C2735" s="18" t="n"/>
      <c r="D2735" s="19" t="n"/>
      <c r="E2735" s="20" t="n"/>
      <c r="F2735" s="20" t="n"/>
      <c r="G2735" s="21" t="n"/>
      <c r="H2735" s="12">
        <f>IF(AND(B2735="",D2735="",F2735=""),"",IF(NOT(ISNUMBER(B2735)),"Needs a date",IF(D2735="","Needs a client",IF(COUNTIF(Clients!$B$6:$B$105,D2735)=0,"Not on Clients",IF(AND(F2735="",INT(B2735)&lt;TODAY()),"Needs a status","")))))</f>
        <v/>
      </c>
      <c r="I2735" s="1">
        <f>IF(ISNUMBER(B2735),INT(B2735),0)</f>
        <v/>
      </c>
      <c r="J2735">
        <f>IF(ISNUMBER(B2735),YEAR(B2735)*100+MONTH(B2735),"")</f>
        <v/>
      </c>
      <c r="K2735">
        <f>IF(AND(H2735="",OR(F2735="Attended",F2735="No-show",AND(F2735="Late cancel",Settings!$C$9="Yes"))),1,0)</f>
        <v/>
      </c>
      <c r="L2735">
        <f>IF(AND(H2735="",F2735="Attended"),1,0)</f>
        <v/>
      </c>
      <c r="M2735">
        <f>IF(AND(H2735="",OR(F2735="No-show",F2735="Late cancel")),1,0)</f>
        <v/>
      </c>
      <c r="N2735">
        <f>IF(AND(H2735="",F2735="",D2735&lt;&gt;"",I2735&gt;=TODAY()),ROUND((I2735+IF(ISNUMBER(C2735),MOD(C2735,1),0))*1440,0)*10000+ROW(),"")</f>
        <v/>
      </c>
    </row>
    <row r="2736">
      <c r="A2736" s="1" t="n"/>
      <c r="B2736" s="17" t="n"/>
      <c r="C2736" s="18" t="n"/>
      <c r="D2736" s="19" t="n"/>
      <c r="E2736" s="20" t="n"/>
      <c r="F2736" s="20" t="n"/>
      <c r="G2736" s="21" t="n"/>
      <c r="H2736" s="12">
        <f>IF(AND(B2736="",D2736="",F2736=""),"",IF(NOT(ISNUMBER(B2736)),"Needs a date",IF(D2736="","Needs a client",IF(COUNTIF(Clients!$B$6:$B$105,D2736)=0,"Not on Clients",IF(AND(F2736="",INT(B2736)&lt;TODAY()),"Needs a status","")))))</f>
        <v/>
      </c>
      <c r="I2736" s="1">
        <f>IF(ISNUMBER(B2736),INT(B2736),0)</f>
        <v/>
      </c>
      <c r="J2736">
        <f>IF(ISNUMBER(B2736),YEAR(B2736)*100+MONTH(B2736),"")</f>
        <v/>
      </c>
      <c r="K2736">
        <f>IF(AND(H2736="",OR(F2736="Attended",F2736="No-show",AND(F2736="Late cancel",Settings!$C$9="Yes"))),1,0)</f>
        <v/>
      </c>
      <c r="L2736">
        <f>IF(AND(H2736="",F2736="Attended"),1,0)</f>
        <v/>
      </c>
      <c r="M2736">
        <f>IF(AND(H2736="",OR(F2736="No-show",F2736="Late cancel")),1,0)</f>
        <v/>
      </c>
      <c r="N2736">
        <f>IF(AND(H2736="",F2736="",D2736&lt;&gt;"",I2736&gt;=TODAY()),ROUND((I2736+IF(ISNUMBER(C2736),MOD(C2736,1),0))*1440,0)*10000+ROW(),"")</f>
        <v/>
      </c>
    </row>
    <row r="2737">
      <c r="A2737" s="1" t="n"/>
      <c r="B2737" s="17" t="n"/>
      <c r="C2737" s="18" t="n"/>
      <c r="D2737" s="19" t="n"/>
      <c r="E2737" s="20" t="n"/>
      <c r="F2737" s="20" t="n"/>
      <c r="G2737" s="21" t="n"/>
      <c r="H2737" s="12">
        <f>IF(AND(B2737="",D2737="",F2737=""),"",IF(NOT(ISNUMBER(B2737)),"Needs a date",IF(D2737="","Needs a client",IF(COUNTIF(Clients!$B$6:$B$105,D2737)=0,"Not on Clients",IF(AND(F2737="",INT(B2737)&lt;TODAY()),"Needs a status","")))))</f>
        <v/>
      </c>
      <c r="I2737" s="1">
        <f>IF(ISNUMBER(B2737),INT(B2737),0)</f>
        <v/>
      </c>
      <c r="J2737">
        <f>IF(ISNUMBER(B2737),YEAR(B2737)*100+MONTH(B2737),"")</f>
        <v/>
      </c>
      <c r="K2737">
        <f>IF(AND(H2737="",OR(F2737="Attended",F2737="No-show",AND(F2737="Late cancel",Settings!$C$9="Yes"))),1,0)</f>
        <v/>
      </c>
      <c r="L2737">
        <f>IF(AND(H2737="",F2737="Attended"),1,0)</f>
        <v/>
      </c>
      <c r="M2737">
        <f>IF(AND(H2737="",OR(F2737="No-show",F2737="Late cancel")),1,0)</f>
        <v/>
      </c>
      <c r="N2737">
        <f>IF(AND(H2737="",F2737="",D2737&lt;&gt;"",I2737&gt;=TODAY()),ROUND((I2737+IF(ISNUMBER(C2737),MOD(C2737,1),0))*1440,0)*10000+ROW(),"")</f>
        <v/>
      </c>
    </row>
    <row r="2738">
      <c r="A2738" s="1" t="n"/>
      <c r="B2738" s="17" t="n"/>
      <c r="C2738" s="18" t="n"/>
      <c r="D2738" s="19" t="n"/>
      <c r="E2738" s="20" t="n"/>
      <c r="F2738" s="20" t="n"/>
      <c r="G2738" s="21" t="n"/>
      <c r="H2738" s="12">
        <f>IF(AND(B2738="",D2738="",F2738=""),"",IF(NOT(ISNUMBER(B2738)),"Needs a date",IF(D2738="","Needs a client",IF(COUNTIF(Clients!$B$6:$B$105,D2738)=0,"Not on Clients",IF(AND(F2738="",INT(B2738)&lt;TODAY()),"Needs a status","")))))</f>
        <v/>
      </c>
      <c r="I2738" s="1">
        <f>IF(ISNUMBER(B2738),INT(B2738),0)</f>
        <v/>
      </c>
      <c r="J2738">
        <f>IF(ISNUMBER(B2738),YEAR(B2738)*100+MONTH(B2738),"")</f>
        <v/>
      </c>
      <c r="K2738">
        <f>IF(AND(H2738="",OR(F2738="Attended",F2738="No-show",AND(F2738="Late cancel",Settings!$C$9="Yes"))),1,0)</f>
        <v/>
      </c>
      <c r="L2738">
        <f>IF(AND(H2738="",F2738="Attended"),1,0)</f>
        <v/>
      </c>
      <c r="M2738">
        <f>IF(AND(H2738="",OR(F2738="No-show",F2738="Late cancel")),1,0)</f>
        <v/>
      </c>
      <c r="N2738">
        <f>IF(AND(H2738="",F2738="",D2738&lt;&gt;"",I2738&gt;=TODAY()),ROUND((I2738+IF(ISNUMBER(C2738),MOD(C2738,1),0))*1440,0)*10000+ROW(),"")</f>
        <v/>
      </c>
    </row>
    <row r="2739">
      <c r="A2739" s="1" t="n"/>
      <c r="B2739" s="17" t="n"/>
      <c r="C2739" s="18" t="n"/>
      <c r="D2739" s="19" t="n"/>
      <c r="E2739" s="20" t="n"/>
      <c r="F2739" s="20" t="n"/>
      <c r="G2739" s="21" t="n"/>
      <c r="H2739" s="12">
        <f>IF(AND(B2739="",D2739="",F2739=""),"",IF(NOT(ISNUMBER(B2739)),"Needs a date",IF(D2739="","Needs a client",IF(COUNTIF(Clients!$B$6:$B$105,D2739)=0,"Not on Clients",IF(AND(F2739="",INT(B2739)&lt;TODAY()),"Needs a status","")))))</f>
        <v/>
      </c>
      <c r="I2739" s="1">
        <f>IF(ISNUMBER(B2739),INT(B2739),0)</f>
        <v/>
      </c>
      <c r="J2739">
        <f>IF(ISNUMBER(B2739),YEAR(B2739)*100+MONTH(B2739),"")</f>
        <v/>
      </c>
      <c r="K2739">
        <f>IF(AND(H2739="",OR(F2739="Attended",F2739="No-show",AND(F2739="Late cancel",Settings!$C$9="Yes"))),1,0)</f>
        <v/>
      </c>
      <c r="L2739">
        <f>IF(AND(H2739="",F2739="Attended"),1,0)</f>
        <v/>
      </c>
      <c r="M2739">
        <f>IF(AND(H2739="",OR(F2739="No-show",F2739="Late cancel")),1,0)</f>
        <v/>
      </c>
      <c r="N2739">
        <f>IF(AND(H2739="",F2739="",D2739&lt;&gt;"",I2739&gt;=TODAY()),ROUND((I2739+IF(ISNUMBER(C2739),MOD(C2739,1),0))*1440,0)*10000+ROW(),"")</f>
        <v/>
      </c>
    </row>
    <row r="2740">
      <c r="A2740" s="1" t="n"/>
      <c r="B2740" s="17" t="n"/>
      <c r="C2740" s="18" t="n"/>
      <c r="D2740" s="19" t="n"/>
      <c r="E2740" s="20" t="n"/>
      <c r="F2740" s="20" t="n"/>
      <c r="G2740" s="21" t="n"/>
      <c r="H2740" s="12">
        <f>IF(AND(B2740="",D2740="",F2740=""),"",IF(NOT(ISNUMBER(B2740)),"Needs a date",IF(D2740="","Needs a client",IF(COUNTIF(Clients!$B$6:$B$105,D2740)=0,"Not on Clients",IF(AND(F2740="",INT(B2740)&lt;TODAY()),"Needs a status","")))))</f>
        <v/>
      </c>
      <c r="I2740" s="1">
        <f>IF(ISNUMBER(B2740),INT(B2740),0)</f>
        <v/>
      </c>
      <c r="J2740">
        <f>IF(ISNUMBER(B2740),YEAR(B2740)*100+MONTH(B2740),"")</f>
        <v/>
      </c>
      <c r="K2740">
        <f>IF(AND(H2740="",OR(F2740="Attended",F2740="No-show",AND(F2740="Late cancel",Settings!$C$9="Yes"))),1,0)</f>
        <v/>
      </c>
      <c r="L2740">
        <f>IF(AND(H2740="",F2740="Attended"),1,0)</f>
        <v/>
      </c>
      <c r="M2740">
        <f>IF(AND(H2740="",OR(F2740="No-show",F2740="Late cancel")),1,0)</f>
        <v/>
      </c>
      <c r="N2740">
        <f>IF(AND(H2740="",F2740="",D2740&lt;&gt;"",I2740&gt;=TODAY()),ROUND((I2740+IF(ISNUMBER(C2740),MOD(C2740,1),0))*1440,0)*10000+ROW(),"")</f>
        <v/>
      </c>
    </row>
    <row r="2741">
      <c r="A2741" s="1" t="n"/>
      <c r="B2741" s="17" t="n"/>
      <c r="C2741" s="18" t="n"/>
      <c r="D2741" s="19" t="n"/>
      <c r="E2741" s="20" t="n"/>
      <c r="F2741" s="20" t="n"/>
      <c r="G2741" s="21" t="n"/>
      <c r="H2741" s="12">
        <f>IF(AND(B2741="",D2741="",F2741=""),"",IF(NOT(ISNUMBER(B2741)),"Needs a date",IF(D2741="","Needs a client",IF(COUNTIF(Clients!$B$6:$B$105,D2741)=0,"Not on Clients",IF(AND(F2741="",INT(B2741)&lt;TODAY()),"Needs a status","")))))</f>
        <v/>
      </c>
      <c r="I2741" s="1">
        <f>IF(ISNUMBER(B2741),INT(B2741),0)</f>
        <v/>
      </c>
      <c r="J2741">
        <f>IF(ISNUMBER(B2741),YEAR(B2741)*100+MONTH(B2741),"")</f>
        <v/>
      </c>
      <c r="K2741">
        <f>IF(AND(H2741="",OR(F2741="Attended",F2741="No-show",AND(F2741="Late cancel",Settings!$C$9="Yes"))),1,0)</f>
        <v/>
      </c>
      <c r="L2741">
        <f>IF(AND(H2741="",F2741="Attended"),1,0)</f>
        <v/>
      </c>
      <c r="M2741">
        <f>IF(AND(H2741="",OR(F2741="No-show",F2741="Late cancel")),1,0)</f>
        <v/>
      </c>
      <c r="N2741">
        <f>IF(AND(H2741="",F2741="",D2741&lt;&gt;"",I2741&gt;=TODAY()),ROUND((I2741+IF(ISNUMBER(C2741),MOD(C2741,1),0))*1440,0)*10000+ROW(),"")</f>
        <v/>
      </c>
    </row>
    <row r="2742">
      <c r="A2742" s="1" t="n"/>
      <c r="B2742" s="17" t="n"/>
      <c r="C2742" s="18" t="n"/>
      <c r="D2742" s="19" t="n"/>
      <c r="E2742" s="20" t="n"/>
      <c r="F2742" s="20" t="n"/>
      <c r="G2742" s="21" t="n"/>
      <c r="H2742" s="12">
        <f>IF(AND(B2742="",D2742="",F2742=""),"",IF(NOT(ISNUMBER(B2742)),"Needs a date",IF(D2742="","Needs a client",IF(COUNTIF(Clients!$B$6:$B$105,D2742)=0,"Not on Clients",IF(AND(F2742="",INT(B2742)&lt;TODAY()),"Needs a status","")))))</f>
        <v/>
      </c>
      <c r="I2742" s="1">
        <f>IF(ISNUMBER(B2742),INT(B2742),0)</f>
        <v/>
      </c>
      <c r="J2742">
        <f>IF(ISNUMBER(B2742),YEAR(B2742)*100+MONTH(B2742),"")</f>
        <v/>
      </c>
      <c r="K2742">
        <f>IF(AND(H2742="",OR(F2742="Attended",F2742="No-show",AND(F2742="Late cancel",Settings!$C$9="Yes"))),1,0)</f>
        <v/>
      </c>
      <c r="L2742">
        <f>IF(AND(H2742="",F2742="Attended"),1,0)</f>
        <v/>
      </c>
      <c r="M2742">
        <f>IF(AND(H2742="",OR(F2742="No-show",F2742="Late cancel")),1,0)</f>
        <v/>
      </c>
      <c r="N2742">
        <f>IF(AND(H2742="",F2742="",D2742&lt;&gt;"",I2742&gt;=TODAY()),ROUND((I2742+IF(ISNUMBER(C2742),MOD(C2742,1),0))*1440,0)*10000+ROW(),"")</f>
        <v/>
      </c>
    </row>
    <row r="2743">
      <c r="A2743" s="1" t="n"/>
      <c r="B2743" s="17" t="n"/>
      <c r="C2743" s="18" t="n"/>
      <c r="D2743" s="19" t="n"/>
      <c r="E2743" s="20" t="n"/>
      <c r="F2743" s="20" t="n"/>
      <c r="G2743" s="21" t="n"/>
      <c r="H2743" s="12">
        <f>IF(AND(B2743="",D2743="",F2743=""),"",IF(NOT(ISNUMBER(B2743)),"Needs a date",IF(D2743="","Needs a client",IF(COUNTIF(Clients!$B$6:$B$105,D2743)=0,"Not on Clients",IF(AND(F2743="",INT(B2743)&lt;TODAY()),"Needs a status","")))))</f>
        <v/>
      </c>
      <c r="I2743" s="1">
        <f>IF(ISNUMBER(B2743),INT(B2743),0)</f>
        <v/>
      </c>
      <c r="J2743">
        <f>IF(ISNUMBER(B2743),YEAR(B2743)*100+MONTH(B2743),"")</f>
        <v/>
      </c>
      <c r="K2743">
        <f>IF(AND(H2743="",OR(F2743="Attended",F2743="No-show",AND(F2743="Late cancel",Settings!$C$9="Yes"))),1,0)</f>
        <v/>
      </c>
      <c r="L2743">
        <f>IF(AND(H2743="",F2743="Attended"),1,0)</f>
        <v/>
      </c>
      <c r="M2743">
        <f>IF(AND(H2743="",OR(F2743="No-show",F2743="Late cancel")),1,0)</f>
        <v/>
      </c>
      <c r="N2743">
        <f>IF(AND(H2743="",F2743="",D2743&lt;&gt;"",I2743&gt;=TODAY()),ROUND((I2743+IF(ISNUMBER(C2743),MOD(C2743,1),0))*1440,0)*10000+ROW(),"")</f>
        <v/>
      </c>
    </row>
    <row r="2744">
      <c r="A2744" s="1" t="n"/>
      <c r="B2744" s="17" t="n"/>
      <c r="C2744" s="18" t="n"/>
      <c r="D2744" s="19" t="n"/>
      <c r="E2744" s="20" t="n"/>
      <c r="F2744" s="20" t="n"/>
      <c r="G2744" s="21" t="n"/>
      <c r="H2744" s="12">
        <f>IF(AND(B2744="",D2744="",F2744=""),"",IF(NOT(ISNUMBER(B2744)),"Needs a date",IF(D2744="","Needs a client",IF(COUNTIF(Clients!$B$6:$B$105,D2744)=0,"Not on Clients",IF(AND(F2744="",INT(B2744)&lt;TODAY()),"Needs a status","")))))</f>
        <v/>
      </c>
      <c r="I2744" s="1">
        <f>IF(ISNUMBER(B2744),INT(B2744),0)</f>
        <v/>
      </c>
      <c r="J2744">
        <f>IF(ISNUMBER(B2744),YEAR(B2744)*100+MONTH(B2744),"")</f>
        <v/>
      </c>
      <c r="K2744">
        <f>IF(AND(H2744="",OR(F2744="Attended",F2744="No-show",AND(F2744="Late cancel",Settings!$C$9="Yes"))),1,0)</f>
        <v/>
      </c>
      <c r="L2744">
        <f>IF(AND(H2744="",F2744="Attended"),1,0)</f>
        <v/>
      </c>
      <c r="M2744">
        <f>IF(AND(H2744="",OR(F2744="No-show",F2744="Late cancel")),1,0)</f>
        <v/>
      </c>
      <c r="N2744">
        <f>IF(AND(H2744="",F2744="",D2744&lt;&gt;"",I2744&gt;=TODAY()),ROUND((I2744+IF(ISNUMBER(C2744),MOD(C2744,1),0))*1440,0)*10000+ROW(),"")</f>
        <v/>
      </c>
    </row>
    <row r="2745">
      <c r="A2745" s="1" t="n"/>
      <c r="B2745" s="17" t="n"/>
      <c r="C2745" s="18" t="n"/>
      <c r="D2745" s="19" t="n"/>
      <c r="E2745" s="20" t="n"/>
      <c r="F2745" s="20" t="n"/>
      <c r="G2745" s="21" t="n"/>
      <c r="H2745" s="12">
        <f>IF(AND(B2745="",D2745="",F2745=""),"",IF(NOT(ISNUMBER(B2745)),"Needs a date",IF(D2745="","Needs a client",IF(COUNTIF(Clients!$B$6:$B$105,D2745)=0,"Not on Clients",IF(AND(F2745="",INT(B2745)&lt;TODAY()),"Needs a status","")))))</f>
        <v/>
      </c>
      <c r="I2745" s="1">
        <f>IF(ISNUMBER(B2745),INT(B2745),0)</f>
        <v/>
      </c>
      <c r="J2745">
        <f>IF(ISNUMBER(B2745),YEAR(B2745)*100+MONTH(B2745),"")</f>
        <v/>
      </c>
      <c r="K2745">
        <f>IF(AND(H2745="",OR(F2745="Attended",F2745="No-show",AND(F2745="Late cancel",Settings!$C$9="Yes"))),1,0)</f>
        <v/>
      </c>
      <c r="L2745">
        <f>IF(AND(H2745="",F2745="Attended"),1,0)</f>
        <v/>
      </c>
      <c r="M2745">
        <f>IF(AND(H2745="",OR(F2745="No-show",F2745="Late cancel")),1,0)</f>
        <v/>
      </c>
      <c r="N2745">
        <f>IF(AND(H2745="",F2745="",D2745&lt;&gt;"",I2745&gt;=TODAY()),ROUND((I2745+IF(ISNUMBER(C2745),MOD(C2745,1),0))*1440,0)*10000+ROW(),"")</f>
        <v/>
      </c>
    </row>
    <row r="2746">
      <c r="A2746" s="1" t="n"/>
      <c r="B2746" s="17" t="n"/>
      <c r="C2746" s="18" t="n"/>
      <c r="D2746" s="19" t="n"/>
      <c r="E2746" s="20" t="n"/>
      <c r="F2746" s="20" t="n"/>
      <c r="G2746" s="21" t="n"/>
      <c r="H2746" s="12">
        <f>IF(AND(B2746="",D2746="",F2746=""),"",IF(NOT(ISNUMBER(B2746)),"Needs a date",IF(D2746="","Needs a client",IF(COUNTIF(Clients!$B$6:$B$105,D2746)=0,"Not on Clients",IF(AND(F2746="",INT(B2746)&lt;TODAY()),"Needs a status","")))))</f>
        <v/>
      </c>
      <c r="I2746" s="1">
        <f>IF(ISNUMBER(B2746),INT(B2746),0)</f>
        <v/>
      </c>
      <c r="J2746">
        <f>IF(ISNUMBER(B2746),YEAR(B2746)*100+MONTH(B2746),"")</f>
        <v/>
      </c>
      <c r="K2746">
        <f>IF(AND(H2746="",OR(F2746="Attended",F2746="No-show",AND(F2746="Late cancel",Settings!$C$9="Yes"))),1,0)</f>
        <v/>
      </c>
      <c r="L2746">
        <f>IF(AND(H2746="",F2746="Attended"),1,0)</f>
        <v/>
      </c>
      <c r="M2746">
        <f>IF(AND(H2746="",OR(F2746="No-show",F2746="Late cancel")),1,0)</f>
        <v/>
      </c>
      <c r="N2746">
        <f>IF(AND(H2746="",F2746="",D2746&lt;&gt;"",I2746&gt;=TODAY()),ROUND((I2746+IF(ISNUMBER(C2746),MOD(C2746,1),0))*1440,0)*10000+ROW(),"")</f>
        <v/>
      </c>
    </row>
    <row r="2747">
      <c r="A2747" s="1" t="n"/>
      <c r="B2747" s="17" t="n"/>
      <c r="C2747" s="18" t="n"/>
      <c r="D2747" s="19" t="n"/>
      <c r="E2747" s="20" t="n"/>
      <c r="F2747" s="20" t="n"/>
      <c r="G2747" s="21" t="n"/>
      <c r="H2747" s="12">
        <f>IF(AND(B2747="",D2747="",F2747=""),"",IF(NOT(ISNUMBER(B2747)),"Needs a date",IF(D2747="","Needs a client",IF(COUNTIF(Clients!$B$6:$B$105,D2747)=0,"Not on Clients",IF(AND(F2747="",INT(B2747)&lt;TODAY()),"Needs a status","")))))</f>
        <v/>
      </c>
      <c r="I2747" s="1">
        <f>IF(ISNUMBER(B2747),INT(B2747),0)</f>
        <v/>
      </c>
      <c r="J2747">
        <f>IF(ISNUMBER(B2747),YEAR(B2747)*100+MONTH(B2747),"")</f>
        <v/>
      </c>
      <c r="K2747">
        <f>IF(AND(H2747="",OR(F2747="Attended",F2747="No-show",AND(F2747="Late cancel",Settings!$C$9="Yes"))),1,0)</f>
        <v/>
      </c>
      <c r="L2747">
        <f>IF(AND(H2747="",F2747="Attended"),1,0)</f>
        <v/>
      </c>
      <c r="M2747">
        <f>IF(AND(H2747="",OR(F2747="No-show",F2747="Late cancel")),1,0)</f>
        <v/>
      </c>
      <c r="N2747">
        <f>IF(AND(H2747="",F2747="",D2747&lt;&gt;"",I2747&gt;=TODAY()),ROUND((I2747+IF(ISNUMBER(C2747),MOD(C2747,1),0))*1440,0)*10000+ROW(),"")</f>
        <v/>
      </c>
    </row>
    <row r="2748">
      <c r="A2748" s="1" t="n"/>
      <c r="B2748" s="17" t="n"/>
      <c r="C2748" s="18" t="n"/>
      <c r="D2748" s="19" t="n"/>
      <c r="E2748" s="20" t="n"/>
      <c r="F2748" s="20" t="n"/>
      <c r="G2748" s="21" t="n"/>
      <c r="H2748" s="12">
        <f>IF(AND(B2748="",D2748="",F2748=""),"",IF(NOT(ISNUMBER(B2748)),"Needs a date",IF(D2748="","Needs a client",IF(COUNTIF(Clients!$B$6:$B$105,D2748)=0,"Not on Clients",IF(AND(F2748="",INT(B2748)&lt;TODAY()),"Needs a status","")))))</f>
        <v/>
      </c>
      <c r="I2748" s="1">
        <f>IF(ISNUMBER(B2748),INT(B2748),0)</f>
        <v/>
      </c>
      <c r="J2748">
        <f>IF(ISNUMBER(B2748),YEAR(B2748)*100+MONTH(B2748),"")</f>
        <v/>
      </c>
      <c r="K2748">
        <f>IF(AND(H2748="",OR(F2748="Attended",F2748="No-show",AND(F2748="Late cancel",Settings!$C$9="Yes"))),1,0)</f>
        <v/>
      </c>
      <c r="L2748">
        <f>IF(AND(H2748="",F2748="Attended"),1,0)</f>
        <v/>
      </c>
      <c r="M2748">
        <f>IF(AND(H2748="",OR(F2748="No-show",F2748="Late cancel")),1,0)</f>
        <v/>
      </c>
      <c r="N2748">
        <f>IF(AND(H2748="",F2748="",D2748&lt;&gt;"",I2748&gt;=TODAY()),ROUND((I2748+IF(ISNUMBER(C2748),MOD(C2748,1),0))*1440,0)*10000+ROW(),"")</f>
        <v/>
      </c>
    </row>
    <row r="2749">
      <c r="A2749" s="1" t="n"/>
      <c r="B2749" s="17" t="n"/>
      <c r="C2749" s="18" t="n"/>
      <c r="D2749" s="19" t="n"/>
      <c r="E2749" s="20" t="n"/>
      <c r="F2749" s="20" t="n"/>
      <c r="G2749" s="21" t="n"/>
      <c r="H2749" s="12">
        <f>IF(AND(B2749="",D2749="",F2749=""),"",IF(NOT(ISNUMBER(B2749)),"Needs a date",IF(D2749="","Needs a client",IF(COUNTIF(Clients!$B$6:$B$105,D2749)=0,"Not on Clients",IF(AND(F2749="",INT(B2749)&lt;TODAY()),"Needs a status","")))))</f>
        <v/>
      </c>
      <c r="I2749" s="1">
        <f>IF(ISNUMBER(B2749),INT(B2749),0)</f>
        <v/>
      </c>
      <c r="J2749">
        <f>IF(ISNUMBER(B2749),YEAR(B2749)*100+MONTH(B2749),"")</f>
        <v/>
      </c>
      <c r="K2749">
        <f>IF(AND(H2749="",OR(F2749="Attended",F2749="No-show",AND(F2749="Late cancel",Settings!$C$9="Yes"))),1,0)</f>
        <v/>
      </c>
      <c r="L2749">
        <f>IF(AND(H2749="",F2749="Attended"),1,0)</f>
        <v/>
      </c>
      <c r="M2749">
        <f>IF(AND(H2749="",OR(F2749="No-show",F2749="Late cancel")),1,0)</f>
        <v/>
      </c>
      <c r="N2749">
        <f>IF(AND(H2749="",F2749="",D2749&lt;&gt;"",I2749&gt;=TODAY()),ROUND((I2749+IF(ISNUMBER(C2749),MOD(C2749,1),0))*1440,0)*10000+ROW(),"")</f>
        <v/>
      </c>
    </row>
    <row r="2750">
      <c r="A2750" s="1" t="n"/>
      <c r="B2750" s="17" t="n"/>
      <c r="C2750" s="18" t="n"/>
      <c r="D2750" s="19" t="n"/>
      <c r="E2750" s="20" t="n"/>
      <c r="F2750" s="20" t="n"/>
      <c r="G2750" s="21" t="n"/>
      <c r="H2750" s="12">
        <f>IF(AND(B2750="",D2750="",F2750=""),"",IF(NOT(ISNUMBER(B2750)),"Needs a date",IF(D2750="","Needs a client",IF(COUNTIF(Clients!$B$6:$B$105,D2750)=0,"Not on Clients",IF(AND(F2750="",INT(B2750)&lt;TODAY()),"Needs a status","")))))</f>
        <v/>
      </c>
      <c r="I2750" s="1">
        <f>IF(ISNUMBER(B2750),INT(B2750),0)</f>
        <v/>
      </c>
      <c r="J2750">
        <f>IF(ISNUMBER(B2750),YEAR(B2750)*100+MONTH(B2750),"")</f>
        <v/>
      </c>
      <c r="K2750">
        <f>IF(AND(H2750="",OR(F2750="Attended",F2750="No-show",AND(F2750="Late cancel",Settings!$C$9="Yes"))),1,0)</f>
        <v/>
      </c>
      <c r="L2750">
        <f>IF(AND(H2750="",F2750="Attended"),1,0)</f>
        <v/>
      </c>
      <c r="M2750">
        <f>IF(AND(H2750="",OR(F2750="No-show",F2750="Late cancel")),1,0)</f>
        <v/>
      </c>
      <c r="N2750">
        <f>IF(AND(H2750="",F2750="",D2750&lt;&gt;"",I2750&gt;=TODAY()),ROUND((I2750+IF(ISNUMBER(C2750),MOD(C2750,1),0))*1440,0)*10000+ROW(),"")</f>
        <v/>
      </c>
    </row>
    <row r="2751">
      <c r="A2751" s="1" t="n"/>
      <c r="B2751" s="17" t="n"/>
      <c r="C2751" s="18" t="n"/>
      <c r="D2751" s="19" t="n"/>
      <c r="E2751" s="20" t="n"/>
      <c r="F2751" s="20" t="n"/>
      <c r="G2751" s="21" t="n"/>
      <c r="H2751" s="12">
        <f>IF(AND(B2751="",D2751="",F2751=""),"",IF(NOT(ISNUMBER(B2751)),"Needs a date",IF(D2751="","Needs a client",IF(COUNTIF(Clients!$B$6:$B$105,D2751)=0,"Not on Clients",IF(AND(F2751="",INT(B2751)&lt;TODAY()),"Needs a status","")))))</f>
        <v/>
      </c>
      <c r="I2751" s="1">
        <f>IF(ISNUMBER(B2751),INT(B2751),0)</f>
        <v/>
      </c>
      <c r="J2751">
        <f>IF(ISNUMBER(B2751),YEAR(B2751)*100+MONTH(B2751),"")</f>
        <v/>
      </c>
      <c r="K2751">
        <f>IF(AND(H2751="",OR(F2751="Attended",F2751="No-show",AND(F2751="Late cancel",Settings!$C$9="Yes"))),1,0)</f>
        <v/>
      </c>
      <c r="L2751">
        <f>IF(AND(H2751="",F2751="Attended"),1,0)</f>
        <v/>
      </c>
      <c r="M2751">
        <f>IF(AND(H2751="",OR(F2751="No-show",F2751="Late cancel")),1,0)</f>
        <v/>
      </c>
      <c r="N2751">
        <f>IF(AND(H2751="",F2751="",D2751&lt;&gt;"",I2751&gt;=TODAY()),ROUND((I2751+IF(ISNUMBER(C2751),MOD(C2751,1),0))*1440,0)*10000+ROW(),"")</f>
        <v/>
      </c>
    </row>
    <row r="2752">
      <c r="A2752" s="1" t="n"/>
      <c r="B2752" s="17" t="n"/>
      <c r="C2752" s="18" t="n"/>
      <c r="D2752" s="19" t="n"/>
      <c r="E2752" s="20" t="n"/>
      <c r="F2752" s="20" t="n"/>
      <c r="G2752" s="21" t="n"/>
      <c r="H2752" s="12">
        <f>IF(AND(B2752="",D2752="",F2752=""),"",IF(NOT(ISNUMBER(B2752)),"Needs a date",IF(D2752="","Needs a client",IF(COUNTIF(Clients!$B$6:$B$105,D2752)=0,"Not on Clients",IF(AND(F2752="",INT(B2752)&lt;TODAY()),"Needs a status","")))))</f>
        <v/>
      </c>
      <c r="I2752" s="1">
        <f>IF(ISNUMBER(B2752),INT(B2752),0)</f>
        <v/>
      </c>
      <c r="J2752">
        <f>IF(ISNUMBER(B2752),YEAR(B2752)*100+MONTH(B2752),"")</f>
        <v/>
      </c>
      <c r="K2752">
        <f>IF(AND(H2752="",OR(F2752="Attended",F2752="No-show",AND(F2752="Late cancel",Settings!$C$9="Yes"))),1,0)</f>
        <v/>
      </c>
      <c r="L2752">
        <f>IF(AND(H2752="",F2752="Attended"),1,0)</f>
        <v/>
      </c>
      <c r="M2752">
        <f>IF(AND(H2752="",OR(F2752="No-show",F2752="Late cancel")),1,0)</f>
        <v/>
      </c>
      <c r="N2752">
        <f>IF(AND(H2752="",F2752="",D2752&lt;&gt;"",I2752&gt;=TODAY()),ROUND((I2752+IF(ISNUMBER(C2752),MOD(C2752,1),0))*1440,0)*10000+ROW(),"")</f>
        <v/>
      </c>
    </row>
    <row r="2753">
      <c r="A2753" s="1" t="n"/>
      <c r="B2753" s="17" t="n"/>
      <c r="C2753" s="18" t="n"/>
      <c r="D2753" s="19" t="n"/>
      <c r="E2753" s="20" t="n"/>
      <c r="F2753" s="20" t="n"/>
      <c r="G2753" s="21" t="n"/>
      <c r="H2753" s="12">
        <f>IF(AND(B2753="",D2753="",F2753=""),"",IF(NOT(ISNUMBER(B2753)),"Needs a date",IF(D2753="","Needs a client",IF(COUNTIF(Clients!$B$6:$B$105,D2753)=0,"Not on Clients",IF(AND(F2753="",INT(B2753)&lt;TODAY()),"Needs a status","")))))</f>
        <v/>
      </c>
      <c r="I2753" s="1">
        <f>IF(ISNUMBER(B2753),INT(B2753),0)</f>
        <v/>
      </c>
      <c r="J2753">
        <f>IF(ISNUMBER(B2753),YEAR(B2753)*100+MONTH(B2753),"")</f>
        <v/>
      </c>
      <c r="K2753">
        <f>IF(AND(H2753="",OR(F2753="Attended",F2753="No-show",AND(F2753="Late cancel",Settings!$C$9="Yes"))),1,0)</f>
        <v/>
      </c>
      <c r="L2753">
        <f>IF(AND(H2753="",F2753="Attended"),1,0)</f>
        <v/>
      </c>
      <c r="M2753">
        <f>IF(AND(H2753="",OR(F2753="No-show",F2753="Late cancel")),1,0)</f>
        <v/>
      </c>
      <c r="N2753">
        <f>IF(AND(H2753="",F2753="",D2753&lt;&gt;"",I2753&gt;=TODAY()),ROUND((I2753+IF(ISNUMBER(C2753),MOD(C2753,1),0))*1440,0)*10000+ROW(),"")</f>
        <v/>
      </c>
    </row>
    <row r="2754">
      <c r="A2754" s="1" t="n"/>
      <c r="B2754" s="17" t="n"/>
      <c r="C2754" s="18" t="n"/>
      <c r="D2754" s="19" t="n"/>
      <c r="E2754" s="20" t="n"/>
      <c r="F2754" s="20" t="n"/>
      <c r="G2754" s="21" t="n"/>
      <c r="H2754" s="12">
        <f>IF(AND(B2754="",D2754="",F2754=""),"",IF(NOT(ISNUMBER(B2754)),"Needs a date",IF(D2754="","Needs a client",IF(COUNTIF(Clients!$B$6:$B$105,D2754)=0,"Not on Clients",IF(AND(F2754="",INT(B2754)&lt;TODAY()),"Needs a status","")))))</f>
        <v/>
      </c>
      <c r="I2754" s="1">
        <f>IF(ISNUMBER(B2754),INT(B2754),0)</f>
        <v/>
      </c>
      <c r="J2754">
        <f>IF(ISNUMBER(B2754),YEAR(B2754)*100+MONTH(B2754),"")</f>
        <v/>
      </c>
      <c r="K2754">
        <f>IF(AND(H2754="",OR(F2754="Attended",F2754="No-show",AND(F2754="Late cancel",Settings!$C$9="Yes"))),1,0)</f>
        <v/>
      </c>
      <c r="L2754">
        <f>IF(AND(H2754="",F2754="Attended"),1,0)</f>
        <v/>
      </c>
      <c r="M2754">
        <f>IF(AND(H2754="",OR(F2754="No-show",F2754="Late cancel")),1,0)</f>
        <v/>
      </c>
      <c r="N2754">
        <f>IF(AND(H2754="",F2754="",D2754&lt;&gt;"",I2754&gt;=TODAY()),ROUND((I2754+IF(ISNUMBER(C2754),MOD(C2754,1),0))*1440,0)*10000+ROW(),"")</f>
        <v/>
      </c>
    </row>
    <row r="2755">
      <c r="A2755" s="1" t="n"/>
      <c r="B2755" s="17" t="n"/>
      <c r="C2755" s="18" t="n"/>
      <c r="D2755" s="19" t="n"/>
      <c r="E2755" s="20" t="n"/>
      <c r="F2755" s="20" t="n"/>
      <c r="G2755" s="21" t="n"/>
      <c r="H2755" s="12">
        <f>IF(AND(B2755="",D2755="",F2755=""),"",IF(NOT(ISNUMBER(B2755)),"Needs a date",IF(D2755="","Needs a client",IF(COUNTIF(Clients!$B$6:$B$105,D2755)=0,"Not on Clients",IF(AND(F2755="",INT(B2755)&lt;TODAY()),"Needs a status","")))))</f>
        <v/>
      </c>
      <c r="I2755" s="1">
        <f>IF(ISNUMBER(B2755),INT(B2755),0)</f>
        <v/>
      </c>
      <c r="J2755">
        <f>IF(ISNUMBER(B2755),YEAR(B2755)*100+MONTH(B2755),"")</f>
        <v/>
      </c>
      <c r="K2755">
        <f>IF(AND(H2755="",OR(F2755="Attended",F2755="No-show",AND(F2755="Late cancel",Settings!$C$9="Yes"))),1,0)</f>
        <v/>
      </c>
      <c r="L2755">
        <f>IF(AND(H2755="",F2755="Attended"),1,0)</f>
        <v/>
      </c>
      <c r="M2755">
        <f>IF(AND(H2755="",OR(F2755="No-show",F2755="Late cancel")),1,0)</f>
        <v/>
      </c>
      <c r="N2755">
        <f>IF(AND(H2755="",F2755="",D2755&lt;&gt;"",I2755&gt;=TODAY()),ROUND((I2755+IF(ISNUMBER(C2755),MOD(C2755,1),0))*1440,0)*10000+ROW(),"")</f>
        <v/>
      </c>
    </row>
    <row r="2756">
      <c r="A2756" s="1" t="n"/>
      <c r="B2756" s="17" t="n"/>
      <c r="C2756" s="18" t="n"/>
      <c r="D2756" s="19" t="n"/>
      <c r="E2756" s="20" t="n"/>
      <c r="F2756" s="20" t="n"/>
      <c r="G2756" s="21" t="n"/>
      <c r="H2756" s="12">
        <f>IF(AND(B2756="",D2756="",F2756=""),"",IF(NOT(ISNUMBER(B2756)),"Needs a date",IF(D2756="","Needs a client",IF(COUNTIF(Clients!$B$6:$B$105,D2756)=0,"Not on Clients",IF(AND(F2756="",INT(B2756)&lt;TODAY()),"Needs a status","")))))</f>
        <v/>
      </c>
      <c r="I2756" s="1">
        <f>IF(ISNUMBER(B2756),INT(B2756),0)</f>
        <v/>
      </c>
      <c r="J2756">
        <f>IF(ISNUMBER(B2756),YEAR(B2756)*100+MONTH(B2756),"")</f>
        <v/>
      </c>
      <c r="K2756">
        <f>IF(AND(H2756="",OR(F2756="Attended",F2756="No-show",AND(F2756="Late cancel",Settings!$C$9="Yes"))),1,0)</f>
        <v/>
      </c>
      <c r="L2756">
        <f>IF(AND(H2756="",F2756="Attended"),1,0)</f>
        <v/>
      </c>
      <c r="M2756">
        <f>IF(AND(H2756="",OR(F2756="No-show",F2756="Late cancel")),1,0)</f>
        <v/>
      </c>
      <c r="N2756">
        <f>IF(AND(H2756="",F2756="",D2756&lt;&gt;"",I2756&gt;=TODAY()),ROUND((I2756+IF(ISNUMBER(C2756),MOD(C2756,1),0))*1440,0)*10000+ROW(),"")</f>
        <v/>
      </c>
    </row>
    <row r="2757">
      <c r="A2757" s="1" t="n"/>
      <c r="B2757" s="17" t="n"/>
      <c r="C2757" s="18" t="n"/>
      <c r="D2757" s="19" t="n"/>
      <c r="E2757" s="20" t="n"/>
      <c r="F2757" s="20" t="n"/>
      <c r="G2757" s="21" t="n"/>
      <c r="H2757" s="12">
        <f>IF(AND(B2757="",D2757="",F2757=""),"",IF(NOT(ISNUMBER(B2757)),"Needs a date",IF(D2757="","Needs a client",IF(COUNTIF(Clients!$B$6:$B$105,D2757)=0,"Not on Clients",IF(AND(F2757="",INT(B2757)&lt;TODAY()),"Needs a status","")))))</f>
        <v/>
      </c>
      <c r="I2757" s="1">
        <f>IF(ISNUMBER(B2757),INT(B2757),0)</f>
        <v/>
      </c>
      <c r="J2757">
        <f>IF(ISNUMBER(B2757),YEAR(B2757)*100+MONTH(B2757),"")</f>
        <v/>
      </c>
      <c r="K2757">
        <f>IF(AND(H2757="",OR(F2757="Attended",F2757="No-show",AND(F2757="Late cancel",Settings!$C$9="Yes"))),1,0)</f>
        <v/>
      </c>
      <c r="L2757">
        <f>IF(AND(H2757="",F2757="Attended"),1,0)</f>
        <v/>
      </c>
      <c r="M2757">
        <f>IF(AND(H2757="",OR(F2757="No-show",F2757="Late cancel")),1,0)</f>
        <v/>
      </c>
      <c r="N2757">
        <f>IF(AND(H2757="",F2757="",D2757&lt;&gt;"",I2757&gt;=TODAY()),ROUND((I2757+IF(ISNUMBER(C2757),MOD(C2757,1),0))*1440,0)*10000+ROW(),"")</f>
        <v/>
      </c>
    </row>
    <row r="2758">
      <c r="A2758" s="1" t="n"/>
      <c r="B2758" s="17" t="n"/>
      <c r="C2758" s="18" t="n"/>
      <c r="D2758" s="19" t="n"/>
      <c r="E2758" s="20" t="n"/>
      <c r="F2758" s="20" t="n"/>
      <c r="G2758" s="21" t="n"/>
      <c r="H2758" s="12">
        <f>IF(AND(B2758="",D2758="",F2758=""),"",IF(NOT(ISNUMBER(B2758)),"Needs a date",IF(D2758="","Needs a client",IF(COUNTIF(Clients!$B$6:$B$105,D2758)=0,"Not on Clients",IF(AND(F2758="",INT(B2758)&lt;TODAY()),"Needs a status","")))))</f>
        <v/>
      </c>
      <c r="I2758" s="1">
        <f>IF(ISNUMBER(B2758),INT(B2758),0)</f>
        <v/>
      </c>
      <c r="J2758">
        <f>IF(ISNUMBER(B2758),YEAR(B2758)*100+MONTH(B2758),"")</f>
        <v/>
      </c>
      <c r="K2758">
        <f>IF(AND(H2758="",OR(F2758="Attended",F2758="No-show",AND(F2758="Late cancel",Settings!$C$9="Yes"))),1,0)</f>
        <v/>
      </c>
      <c r="L2758">
        <f>IF(AND(H2758="",F2758="Attended"),1,0)</f>
        <v/>
      </c>
      <c r="M2758">
        <f>IF(AND(H2758="",OR(F2758="No-show",F2758="Late cancel")),1,0)</f>
        <v/>
      </c>
      <c r="N2758">
        <f>IF(AND(H2758="",F2758="",D2758&lt;&gt;"",I2758&gt;=TODAY()),ROUND((I2758+IF(ISNUMBER(C2758),MOD(C2758,1),0))*1440,0)*10000+ROW(),"")</f>
        <v/>
      </c>
    </row>
    <row r="2759">
      <c r="A2759" s="1" t="n"/>
      <c r="B2759" s="17" t="n"/>
      <c r="C2759" s="18" t="n"/>
      <c r="D2759" s="19" t="n"/>
      <c r="E2759" s="20" t="n"/>
      <c r="F2759" s="20" t="n"/>
      <c r="G2759" s="21" t="n"/>
      <c r="H2759" s="12">
        <f>IF(AND(B2759="",D2759="",F2759=""),"",IF(NOT(ISNUMBER(B2759)),"Needs a date",IF(D2759="","Needs a client",IF(COUNTIF(Clients!$B$6:$B$105,D2759)=0,"Not on Clients",IF(AND(F2759="",INT(B2759)&lt;TODAY()),"Needs a status","")))))</f>
        <v/>
      </c>
      <c r="I2759" s="1">
        <f>IF(ISNUMBER(B2759),INT(B2759),0)</f>
        <v/>
      </c>
      <c r="J2759">
        <f>IF(ISNUMBER(B2759),YEAR(B2759)*100+MONTH(B2759),"")</f>
        <v/>
      </c>
      <c r="K2759">
        <f>IF(AND(H2759="",OR(F2759="Attended",F2759="No-show",AND(F2759="Late cancel",Settings!$C$9="Yes"))),1,0)</f>
        <v/>
      </c>
      <c r="L2759">
        <f>IF(AND(H2759="",F2759="Attended"),1,0)</f>
        <v/>
      </c>
      <c r="M2759">
        <f>IF(AND(H2759="",OR(F2759="No-show",F2759="Late cancel")),1,0)</f>
        <v/>
      </c>
      <c r="N2759">
        <f>IF(AND(H2759="",F2759="",D2759&lt;&gt;"",I2759&gt;=TODAY()),ROUND((I2759+IF(ISNUMBER(C2759),MOD(C2759,1),0))*1440,0)*10000+ROW(),"")</f>
        <v/>
      </c>
    </row>
    <row r="2760">
      <c r="A2760" s="1" t="n"/>
      <c r="B2760" s="17" t="n"/>
      <c r="C2760" s="18" t="n"/>
      <c r="D2760" s="19" t="n"/>
      <c r="E2760" s="20" t="n"/>
      <c r="F2760" s="20" t="n"/>
      <c r="G2760" s="21" t="n"/>
      <c r="H2760" s="12">
        <f>IF(AND(B2760="",D2760="",F2760=""),"",IF(NOT(ISNUMBER(B2760)),"Needs a date",IF(D2760="","Needs a client",IF(COUNTIF(Clients!$B$6:$B$105,D2760)=0,"Not on Clients",IF(AND(F2760="",INT(B2760)&lt;TODAY()),"Needs a status","")))))</f>
        <v/>
      </c>
      <c r="I2760" s="1">
        <f>IF(ISNUMBER(B2760),INT(B2760),0)</f>
        <v/>
      </c>
      <c r="J2760">
        <f>IF(ISNUMBER(B2760),YEAR(B2760)*100+MONTH(B2760),"")</f>
        <v/>
      </c>
      <c r="K2760">
        <f>IF(AND(H2760="",OR(F2760="Attended",F2760="No-show",AND(F2760="Late cancel",Settings!$C$9="Yes"))),1,0)</f>
        <v/>
      </c>
      <c r="L2760">
        <f>IF(AND(H2760="",F2760="Attended"),1,0)</f>
        <v/>
      </c>
      <c r="M2760">
        <f>IF(AND(H2760="",OR(F2760="No-show",F2760="Late cancel")),1,0)</f>
        <v/>
      </c>
      <c r="N2760">
        <f>IF(AND(H2760="",F2760="",D2760&lt;&gt;"",I2760&gt;=TODAY()),ROUND((I2760+IF(ISNUMBER(C2760),MOD(C2760,1),0))*1440,0)*10000+ROW(),"")</f>
        <v/>
      </c>
    </row>
    <row r="2761">
      <c r="A2761" s="1" t="n"/>
      <c r="B2761" s="17" t="n"/>
      <c r="C2761" s="18" t="n"/>
      <c r="D2761" s="19" t="n"/>
      <c r="E2761" s="20" t="n"/>
      <c r="F2761" s="20" t="n"/>
      <c r="G2761" s="21" t="n"/>
      <c r="H2761" s="12">
        <f>IF(AND(B2761="",D2761="",F2761=""),"",IF(NOT(ISNUMBER(B2761)),"Needs a date",IF(D2761="","Needs a client",IF(COUNTIF(Clients!$B$6:$B$105,D2761)=0,"Not on Clients",IF(AND(F2761="",INT(B2761)&lt;TODAY()),"Needs a status","")))))</f>
        <v/>
      </c>
      <c r="I2761" s="1">
        <f>IF(ISNUMBER(B2761),INT(B2761),0)</f>
        <v/>
      </c>
      <c r="J2761">
        <f>IF(ISNUMBER(B2761),YEAR(B2761)*100+MONTH(B2761),"")</f>
        <v/>
      </c>
      <c r="K2761">
        <f>IF(AND(H2761="",OR(F2761="Attended",F2761="No-show",AND(F2761="Late cancel",Settings!$C$9="Yes"))),1,0)</f>
        <v/>
      </c>
      <c r="L2761">
        <f>IF(AND(H2761="",F2761="Attended"),1,0)</f>
        <v/>
      </c>
      <c r="M2761">
        <f>IF(AND(H2761="",OR(F2761="No-show",F2761="Late cancel")),1,0)</f>
        <v/>
      </c>
      <c r="N2761">
        <f>IF(AND(H2761="",F2761="",D2761&lt;&gt;"",I2761&gt;=TODAY()),ROUND((I2761+IF(ISNUMBER(C2761),MOD(C2761,1),0))*1440,0)*10000+ROW(),"")</f>
        <v/>
      </c>
    </row>
    <row r="2762">
      <c r="A2762" s="1" t="n"/>
      <c r="B2762" s="17" t="n"/>
      <c r="C2762" s="18" t="n"/>
      <c r="D2762" s="19" t="n"/>
      <c r="E2762" s="20" t="n"/>
      <c r="F2762" s="20" t="n"/>
      <c r="G2762" s="21" t="n"/>
      <c r="H2762" s="12">
        <f>IF(AND(B2762="",D2762="",F2762=""),"",IF(NOT(ISNUMBER(B2762)),"Needs a date",IF(D2762="","Needs a client",IF(COUNTIF(Clients!$B$6:$B$105,D2762)=0,"Not on Clients",IF(AND(F2762="",INT(B2762)&lt;TODAY()),"Needs a status","")))))</f>
        <v/>
      </c>
      <c r="I2762" s="1">
        <f>IF(ISNUMBER(B2762),INT(B2762),0)</f>
        <v/>
      </c>
      <c r="J2762">
        <f>IF(ISNUMBER(B2762),YEAR(B2762)*100+MONTH(B2762),"")</f>
        <v/>
      </c>
      <c r="K2762">
        <f>IF(AND(H2762="",OR(F2762="Attended",F2762="No-show",AND(F2762="Late cancel",Settings!$C$9="Yes"))),1,0)</f>
        <v/>
      </c>
      <c r="L2762">
        <f>IF(AND(H2762="",F2762="Attended"),1,0)</f>
        <v/>
      </c>
      <c r="M2762">
        <f>IF(AND(H2762="",OR(F2762="No-show",F2762="Late cancel")),1,0)</f>
        <v/>
      </c>
      <c r="N2762">
        <f>IF(AND(H2762="",F2762="",D2762&lt;&gt;"",I2762&gt;=TODAY()),ROUND((I2762+IF(ISNUMBER(C2762),MOD(C2762,1),0))*1440,0)*10000+ROW(),"")</f>
        <v/>
      </c>
    </row>
    <row r="2763">
      <c r="A2763" s="1" t="n"/>
      <c r="B2763" s="17" t="n"/>
      <c r="C2763" s="18" t="n"/>
      <c r="D2763" s="19" t="n"/>
      <c r="E2763" s="20" t="n"/>
      <c r="F2763" s="20" t="n"/>
      <c r="G2763" s="21" t="n"/>
      <c r="H2763" s="12">
        <f>IF(AND(B2763="",D2763="",F2763=""),"",IF(NOT(ISNUMBER(B2763)),"Needs a date",IF(D2763="","Needs a client",IF(COUNTIF(Clients!$B$6:$B$105,D2763)=0,"Not on Clients",IF(AND(F2763="",INT(B2763)&lt;TODAY()),"Needs a status","")))))</f>
        <v/>
      </c>
      <c r="I2763" s="1">
        <f>IF(ISNUMBER(B2763),INT(B2763),0)</f>
        <v/>
      </c>
      <c r="J2763">
        <f>IF(ISNUMBER(B2763),YEAR(B2763)*100+MONTH(B2763),"")</f>
        <v/>
      </c>
      <c r="K2763">
        <f>IF(AND(H2763="",OR(F2763="Attended",F2763="No-show",AND(F2763="Late cancel",Settings!$C$9="Yes"))),1,0)</f>
        <v/>
      </c>
      <c r="L2763">
        <f>IF(AND(H2763="",F2763="Attended"),1,0)</f>
        <v/>
      </c>
      <c r="M2763">
        <f>IF(AND(H2763="",OR(F2763="No-show",F2763="Late cancel")),1,0)</f>
        <v/>
      </c>
      <c r="N2763">
        <f>IF(AND(H2763="",F2763="",D2763&lt;&gt;"",I2763&gt;=TODAY()),ROUND((I2763+IF(ISNUMBER(C2763),MOD(C2763,1),0))*1440,0)*10000+ROW(),"")</f>
        <v/>
      </c>
    </row>
    <row r="2764">
      <c r="A2764" s="1" t="n"/>
      <c r="B2764" s="17" t="n"/>
      <c r="C2764" s="18" t="n"/>
      <c r="D2764" s="19" t="n"/>
      <c r="E2764" s="20" t="n"/>
      <c r="F2764" s="20" t="n"/>
      <c r="G2764" s="21" t="n"/>
      <c r="H2764" s="12">
        <f>IF(AND(B2764="",D2764="",F2764=""),"",IF(NOT(ISNUMBER(B2764)),"Needs a date",IF(D2764="","Needs a client",IF(COUNTIF(Clients!$B$6:$B$105,D2764)=0,"Not on Clients",IF(AND(F2764="",INT(B2764)&lt;TODAY()),"Needs a status","")))))</f>
        <v/>
      </c>
      <c r="I2764" s="1">
        <f>IF(ISNUMBER(B2764),INT(B2764),0)</f>
        <v/>
      </c>
      <c r="J2764">
        <f>IF(ISNUMBER(B2764),YEAR(B2764)*100+MONTH(B2764),"")</f>
        <v/>
      </c>
      <c r="K2764">
        <f>IF(AND(H2764="",OR(F2764="Attended",F2764="No-show",AND(F2764="Late cancel",Settings!$C$9="Yes"))),1,0)</f>
        <v/>
      </c>
      <c r="L2764">
        <f>IF(AND(H2764="",F2764="Attended"),1,0)</f>
        <v/>
      </c>
      <c r="M2764">
        <f>IF(AND(H2764="",OR(F2764="No-show",F2764="Late cancel")),1,0)</f>
        <v/>
      </c>
      <c r="N2764">
        <f>IF(AND(H2764="",F2764="",D2764&lt;&gt;"",I2764&gt;=TODAY()),ROUND((I2764+IF(ISNUMBER(C2764),MOD(C2764,1),0))*1440,0)*10000+ROW(),"")</f>
        <v/>
      </c>
    </row>
    <row r="2765">
      <c r="A2765" s="1" t="n"/>
      <c r="B2765" s="17" t="n"/>
      <c r="C2765" s="18" t="n"/>
      <c r="D2765" s="19" t="n"/>
      <c r="E2765" s="20" t="n"/>
      <c r="F2765" s="20" t="n"/>
      <c r="G2765" s="21" t="n"/>
      <c r="H2765" s="12">
        <f>IF(AND(B2765="",D2765="",F2765=""),"",IF(NOT(ISNUMBER(B2765)),"Needs a date",IF(D2765="","Needs a client",IF(COUNTIF(Clients!$B$6:$B$105,D2765)=0,"Not on Clients",IF(AND(F2765="",INT(B2765)&lt;TODAY()),"Needs a status","")))))</f>
        <v/>
      </c>
      <c r="I2765" s="1">
        <f>IF(ISNUMBER(B2765),INT(B2765),0)</f>
        <v/>
      </c>
      <c r="J2765">
        <f>IF(ISNUMBER(B2765),YEAR(B2765)*100+MONTH(B2765),"")</f>
        <v/>
      </c>
      <c r="K2765">
        <f>IF(AND(H2765="",OR(F2765="Attended",F2765="No-show",AND(F2765="Late cancel",Settings!$C$9="Yes"))),1,0)</f>
        <v/>
      </c>
      <c r="L2765">
        <f>IF(AND(H2765="",F2765="Attended"),1,0)</f>
        <v/>
      </c>
      <c r="M2765">
        <f>IF(AND(H2765="",OR(F2765="No-show",F2765="Late cancel")),1,0)</f>
        <v/>
      </c>
      <c r="N2765">
        <f>IF(AND(H2765="",F2765="",D2765&lt;&gt;"",I2765&gt;=TODAY()),ROUND((I2765+IF(ISNUMBER(C2765),MOD(C2765,1),0))*1440,0)*10000+ROW(),"")</f>
        <v/>
      </c>
    </row>
    <row r="2766">
      <c r="A2766" s="1" t="n"/>
      <c r="B2766" s="17" t="n"/>
      <c r="C2766" s="18" t="n"/>
      <c r="D2766" s="19" t="n"/>
      <c r="E2766" s="20" t="n"/>
      <c r="F2766" s="20" t="n"/>
      <c r="G2766" s="21" t="n"/>
      <c r="H2766" s="12">
        <f>IF(AND(B2766="",D2766="",F2766=""),"",IF(NOT(ISNUMBER(B2766)),"Needs a date",IF(D2766="","Needs a client",IF(COUNTIF(Clients!$B$6:$B$105,D2766)=0,"Not on Clients",IF(AND(F2766="",INT(B2766)&lt;TODAY()),"Needs a status","")))))</f>
        <v/>
      </c>
      <c r="I2766" s="1">
        <f>IF(ISNUMBER(B2766),INT(B2766),0)</f>
        <v/>
      </c>
      <c r="J2766">
        <f>IF(ISNUMBER(B2766),YEAR(B2766)*100+MONTH(B2766),"")</f>
        <v/>
      </c>
      <c r="K2766">
        <f>IF(AND(H2766="",OR(F2766="Attended",F2766="No-show",AND(F2766="Late cancel",Settings!$C$9="Yes"))),1,0)</f>
        <v/>
      </c>
      <c r="L2766">
        <f>IF(AND(H2766="",F2766="Attended"),1,0)</f>
        <v/>
      </c>
      <c r="M2766">
        <f>IF(AND(H2766="",OR(F2766="No-show",F2766="Late cancel")),1,0)</f>
        <v/>
      </c>
      <c r="N2766">
        <f>IF(AND(H2766="",F2766="",D2766&lt;&gt;"",I2766&gt;=TODAY()),ROUND((I2766+IF(ISNUMBER(C2766),MOD(C2766,1),0))*1440,0)*10000+ROW(),"")</f>
        <v/>
      </c>
    </row>
    <row r="2767">
      <c r="A2767" s="1" t="n"/>
      <c r="B2767" s="17" t="n"/>
      <c r="C2767" s="18" t="n"/>
      <c r="D2767" s="19" t="n"/>
      <c r="E2767" s="20" t="n"/>
      <c r="F2767" s="20" t="n"/>
      <c r="G2767" s="21" t="n"/>
      <c r="H2767" s="12">
        <f>IF(AND(B2767="",D2767="",F2767=""),"",IF(NOT(ISNUMBER(B2767)),"Needs a date",IF(D2767="","Needs a client",IF(COUNTIF(Clients!$B$6:$B$105,D2767)=0,"Not on Clients",IF(AND(F2767="",INT(B2767)&lt;TODAY()),"Needs a status","")))))</f>
        <v/>
      </c>
      <c r="I2767" s="1">
        <f>IF(ISNUMBER(B2767),INT(B2767),0)</f>
        <v/>
      </c>
      <c r="J2767">
        <f>IF(ISNUMBER(B2767),YEAR(B2767)*100+MONTH(B2767),"")</f>
        <v/>
      </c>
      <c r="K2767">
        <f>IF(AND(H2767="",OR(F2767="Attended",F2767="No-show",AND(F2767="Late cancel",Settings!$C$9="Yes"))),1,0)</f>
        <v/>
      </c>
      <c r="L2767">
        <f>IF(AND(H2767="",F2767="Attended"),1,0)</f>
        <v/>
      </c>
      <c r="M2767">
        <f>IF(AND(H2767="",OR(F2767="No-show",F2767="Late cancel")),1,0)</f>
        <v/>
      </c>
      <c r="N2767">
        <f>IF(AND(H2767="",F2767="",D2767&lt;&gt;"",I2767&gt;=TODAY()),ROUND((I2767+IF(ISNUMBER(C2767),MOD(C2767,1),0))*1440,0)*10000+ROW(),"")</f>
        <v/>
      </c>
    </row>
    <row r="2768">
      <c r="A2768" s="1" t="n"/>
      <c r="B2768" s="17" t="n"/>
      <c r="C2768" s="18" t="n"/>
      <c r="D2768" s="19" t="n"/>
      <c r="E2768" s="20" t="n"/>
      <c r="F2768" s="20" t="n"/>
      <c r="G2768" s="21" t="n"/>
      <c r="H2768" s="12">
        <f>IF(AND(B2768="",D2768="",F2768=""),"",IF(NOT(ISNUMBER(B2768)),"Needs a date",IF(D2768="","Needs a client",IF(COUNTIF(Clients!$B$6:$B$105,D2768)=0,"Not on Clients",IF(AND(F2768="",INT(B2768)&lt;TODAY()),"Needs a status","")))))</f>
        <v/>
      </c>
      <c r="I2768" s="1">
        <f>IF(ISNUMBER(B2768),INT(B2768),0)</f>
        <v/>
      </c>
      <c r="J2768">
        <f>IF(ISNUMBER(B2768),YEAR(B2768)*100+MONTH(B2768),"")</f>
        <v/>
      </c>
      <c r="K2768">
        <f>IF(AND(H2768="",OR(F2768="Attended",F2768="No-show",AND(F2768="Late cancel",Settings!$C$9="Yes"))),1,0)</f>
        <v/>
      </c>
      <c r="L2768">
        <f>IF(AND(H2768="",F2768="Attended"),1,0)</f>
        <v/>
      </c>
      <c r="M2768">
        <f>IF(AND(H2768="",OR(F2768="No-show",F2768="Late cancel")),1,0)</f>
        <v/>
      </c>
      <c r="N2768">
        <f>IF(AND(H2768="",F2768="",D2768&lt;&gt;"",I2768&gt;=TODAY()),ROUND((I2768+IF(ISNUMBER(C2768),MOD(C2768,1),0))*1440,0)*10000+ROW(),"")</f>
        <v/>
      </c>
    </row>
    <row r="2769">
      <c r="A2769" s="1" t="n"/>
      <c r="B2769" s="17" t="n"/>
      <c r="C2769" s="18" t="n"/>
      <c r="D2769" s="19" t="n"/>
      <c r="E2769" s="20" t="n"/>
      <c r="F2769" s="20" t="n"/>
      <c r="G2769" s="21" t="n"/>
      <c r="H2769" s="12">
        <f>IF(AND(B2769="",D2769="",F2769=""),"",IF(NOT(ISNUMBER(B2769)),"Needs a date",IF(D2769="","Needs a client",IF(COUNTIF(Clients!$B$6:$B$105,D2769)=0,"Not on Clients",IF(AND(F2769="",INT(B2769)&lt;TODAY()),"Needs a status","")))))</f>
        <v/>
      </c>
      <c r="I2769" s="1">
        <f>IF(ISNUMBER(B2769),INT(B2769),0)</f>
        <v/>
      </c>
      <c r="J2769">
        <f>IF(ISNUMBER(B2769),YEAR(B2769)*100+MONTH(B2769),"")</f>
        <v/>
      </c>
      <c r="K2769">
        <f>IF(AND(H2769="",OR(F2769="Attended",F2769="No-show",AND(F2769="Late cancel",Settings!$C$9="Yes"))),1,0)</f>
        <v/>
      </c>
      <c r="L2769">
        <f>IF(AND(H2769="",F2769="Attended"),1,0)</f>
        <v/>
      </c>
      <c r="M2769">
        <f>IF(AND(H2769="",OR(F2769="No-show",F2769="Late cancel")),1,0)</f>
        <v/>
      </c>
      <c r="N2769">
        <f>IF(AND(H2769="",F2769="",D2769&lt;&gt;"",I2769&gt;=TODAY()),ROUND((I2769+IF(ISNUMBER(C2769),MOD(C2769,1),0))*1440,0)*10000+ROW(),"")</f>
        <v/>
      </c>
    </row>
    <row r="2770">
      <c r="A2770" s="1" t="n"/>
      <c r="B2770" s="17" t="n"/>
      <c r="C2770" s="18" t="n"/>
      <c r="D2770" s="19" t="n"/>
      <c r="E2770" s="20" t="n"/>
      <c r="F2770" s="20" t="n"/>
      <c r="G2770" s="21" t="n"/>
      <c r="H2770" s="12">
        <f>IF(AND(B2770="",D2770="",F2770=""),"",IF(NOT(ISNUMBER(B2770)),"Needs a date",IF(D2770="","Needs a client",IF(COUNTIF(Clients!$B$6:$B$105,D2770)=0,"Not on Clients",IF(AND(F2770="",INT(B2770)&lt;TODAY()),"Needs a status","")))))</f>
        <v/>
      </c>
      <c r="I2770" s="1">
        <f>IF(ISNUMBER(B2770),INT(B2770),0)</f>
        <v/>
      </c>
      <c r="J2770">
        <f>IF(ISNUMBER(B2770),YEAR(B2770)*100+MONTH(B2770),"")</f>
        <v/>
      </c>
      <c r="K2770">
        <f>IF(AND(H2770="",OR(F2770="Attended",F2770="No-show",AND(F2770="Late cancel",Settings!$C$9="Yes"))),1,0)</f>
        <v/>
      </c>
      <c r="L2770">
        <f>IF(AND(H2770="",F2770="Attended"),1,0)</f>
        <v/>
      </c>
      <c r="M2770">
        <f>IF(AND(H2770="",OR(F2770="No-show",F2770="Late cancel")),1,0)</f>
        <v/>
      </c>
      <c r="N2770">
        <f>IF(AND(H2770="",F2770="",D2770&lt;&gt;"",I2770&gt;=TODAY()),ROUND((I2770+IF(ISNUMBER(C2770),MOD(C2770,1),0))*1440,0)*10000+ROW(),"")</f>
        <v/>
      </c>
    </row>
    <row r="2771">
      <c r="A2771" s="1" t="n"/>
      <c r="B2771" s="17" t="n"/>
      <c r="C2771" s="18" t="n"/>
      <c r="D2771" s="19" t="n"/>
      <c r="E2771" s="20" t="n"/>
      <c r="F2771" s="20" t="n"/>
      <c r="G2771" s="21" t="n"/>
      <c r="H2771" s="12">
        <f>IF(AND(B2771="",D2771="",F2771=""),"",IF(NOT(ISNUMBER(B2771)),"Needs a date",IF(D2771="","Needs a client",IF(COUNTIF(Clients!$B$6:$B$105,D2771)=0,"Not on Clients",IF(AND(F2771="",INT(B2771)&lt;TODAY()),"Needs a status","")))))</f>
        <v/>
      </c>
      <c r="I2771" s="1">
        <f>IF(ISNUMBER(B2771),INT(B2771),0)</f>
        <v/>
      </c>
      <c r="J2771">
        <f>IF(ISNUMBER(B2771),YEAR(B2771)*100+MONTH(B2771),"")</f>
        <v/>
      </c>
      <c r="K2771">
        <f>IF(AND(H2771="",OR(F2771="Attended",F2771="No-show",AND(F2771="Late cancel",Settings!$C$9="Yes"))),1,0)</f>
        <v/>
      </c>
      <c r="L2771">
        <f>IF(AND(H2771="",F2771="Attended"),1,0)</f>
        <v/>
      </c>
      <c r="M2771">
        <f>IF(AND(H2771="",OR(F2771="No-show",F2771="Late cancel")),1,0)</f>
        <v/>
      </c>
      <c r="N2771">
        <f>IF(AND(H2771="",F2771="",D2771&lt;&gt;"",I2771&gt;=TODAY()),ROUND((I2771+IF(ISNUMBER(C2771),MOD(C2771,1),0))*1440,0)*10000+ROW(),"")</f>
        <v/>
      </c>
    </row>
    <row r="2772">
      <c r="A2772" s="1" t="n"/>
      <c r="B2772" s="17" t="n"/>
      <c r="C2772" s="18" t="n"/>
      <c r="D2772" s="19" t="n"/>
      <c r="E2772" s="20" t="n"/>
      <c r="F2772" s="20" t="n"/>
      <c r="G2772" s="21" t="n"/>
      <c r="H2772" s="12">
        <f>IF(AND(B2772="",D2772="",F2772=""),"",IF(NOT(ISNUMBER(B2772)),"Needs a date",IF(D2772="","Needs a client",IF(COUNTIF(Clients!$B$6:$B$105,D2772)=0,"Not on Clients",IF(AND(F2772="",INT(B2772)&lt;TODAY()),"Needs a status","")))))</f>
        <v/>
      </c>
      <c r="I2772" s="1">
        <f>IF(ISNUMBER(B2772),INT(B2772),0)</f>
        <v/>
      </c>
      <c r="J2772">
        <f>IF(ISNUMBER(B2772),YEAR(B2772)*100+MONTH(B2772),"")</f>
        <v/>
      </c>
      <c r="K2772">
        <f>IF(AND(H2772="",OR(F2772="Attended",F2772="No-show",AND(F2772="Late cancel",Settings!$C$9="Yes"))),1,0)</f>
        <v/>
      </c>
      <c r="L2772">
        <f>IF(AND(H2772="",F2772="Attended"),1,0)</f>
        <v/>
      </c>
      <c r="M2772">
        <f>IF(AND(H2772="",OR(F2772="No-show",F2772="Late cancel")),1,0)</f>
        <v/>
      </c>
      <c r="N2772">
        <f>IF(AND(H2772="",F2772="",D2772&lt;&gt;"",I2772&gt;=TODAY()),ROUND((I2772+IF(ISNUMBER(C2772),MOD(C2772,1),0))*1440,0)*10000+ROW(),"")</f>
        <v/>
      </c>
    </row>
    <row r="2773">
      <c r="A2773" s="1" t="n"/>
      <c r="B2773" s="17" t="n"/>
      <c r="C2773" s="18" t="n"/>
      <c r="D2773" s="19" t="n"/>
      <c r="E2773" s="20" t="n"/>
      <c r="F2773" s="20" t="n"/>
      <c r="G2773" s="21" t="n"/>
      <c r="H2773" s="12">
        <f>IF(AND(B2773="",D2773="",F2773=""),"",IF(NOT(ISNUMBER(B2773)),"Needs a date",IF(D2773="","Needs a client",IF(COUNTIF(Clients!$B$6:$B$105,D2773)=0,"Not on Clients",IF(AND(F2773="",INT(B2773)&lt;TODAY()),"Needs a status","")))))</f>
        <v/>
      </c>
      <c r="I2773" s="1">
        <f>IF(ISNUMBER(B2773),INT(B2773),0)</f>
        <v/>
      </c>
      <c r="J2773">
        <f>IF(ISNUMBER(B2773),YEAR(B2773)*100+MONTH(B2773),"")</f>
        <v/>
      </c>
      <c r="K2773">
        <f>IF(AND(H2773="",OR(F2773="Attended",F2773="No-show",AND(F2773="Late cancel",Settings!$C$9="Yes"))),1,0)</f>
        <v/>
      </c>
      <c r="L2773">
        <f>IF(AND(H2773="",F2773="Attended"),1,0)</f>
        <v/>
      </c>
      <c r="M2773">
        <f>IF(AND(H2773="",OR(F2773="No-show",F2773="Late cancel")),1,0)</f>
        <v/>
      </c>
      <c r="N2773">
        <f>IF(AND(H2773="",F2773="",D2773&lt;&gt;"",I2773&gt;=TODAY()),ROUND((I2773+IF(ISNUMBER(C2773),MOD(C2773,1),0))*1440,0)*10000+ROW(),"")</f>
        <v/>
      </c>
    </row>
    <row r="2774">
      <c r="A2774" s="1" t="n"/>
      <c r="B2774" s="17" t="n"/>
      <c r="C2774" s="18" t="n"/>
      <c r="D2774" s="19" t="n"/>
      <c r="E2774" s="20" t="n"/>
      <c r="F2774" s="20" t="n"/>
      <c r="G2774" s="21" t="n"/>
      <c r="H2774" s="12">
        <f>IF(AND(B2774="",D2774="",F2774=""),"",IF(NOT(ISNUMBER(B2774)),"Needs a date",IF(D2774="","Needs a client",IF(COUNTIF(Clients!$B$6:$B$105,D2774)=0,"Not on Clients",IF(AND(F2774="",INT(B2774)&lt;TODAY()),"Needs a status","")))))</f>
        <v/>
      </c>
      <c r="I2774" s="1">
        <f>IF(ISNUMBER(B2774),INT(B2774),0)</f>
        <v/>
      </c>
      <c r="J2774">
        <f>IF(ISNUMBER(B2774),YEAR(B2774)*100+MONTH(B2774),"")</f>
        <v/>
      </c>
      <c r="K2774">
        <f>IF(AND(H2774="",OR(F2774="Attended",F2774="No-show",AND(F2774="Late cancel",Settings!$C$9="Yes"))),1,0)</f>
        <v/>
      </c>
      <c r="L2774">
        <f>IF(AND(H2774="",F2774="Attended"),1,0)</f>
        <v/>
      </c>
      <c r="M2774">
        <f>IF(AND(H2774="",OR(F2774="No-show",F2774="Late cancel")),1,0)</f>
        <v/>
      </c>
      <c r="N2774">
        <f>IF(AND(H2774="",F2774="",D2774&lt;&gt;"",I2774&gt;=TODAY()),ROUND((I2774+IF(ISNUMBER(C2774),MOD(C2774,1),0))*1440,0)*10000+ROW(),"")</f>
        <v/>
      </c>
    </row>
    <row r="2775">
      <c r="A2775" s="1" t="n"/>
      <c r="B2775" s="17" t="n"/>
      <c r="C2775" s="18" t="n"/>
      <c r="D2775" s="19" t="n"/>
      <c r="E2775" s="20" t="n"/>
      <c r="F2775" s="20" t="n"/>
      <c r="G2775" s="21" t="n"/>
      <c r="H2775" s="12">
        <f>IF(AND(B2775="",D2775="",F2775=""),"",IF(NOT(ISNUMBER(B2775)),"Needs a date",IF(D2775="","Needs a client",IF(COUNTIF(Clients!$B$6:$B$105,D2775)=0,"Not on Clients",IF(AND(F2775="",INT(B2775)&lt;TODAY()),"Needs a status","")))))</f>
        <v/>
      </c>
      <c r="I2775" s="1">
        <f>IF(ISNUMBER(B2775),INT(B2775),0)</f>
        <v/>
      </c>
      <c r="J2775">
        <f>IF(ISNUMBER(B2775),YEAR(B2775)*100+MONTH(B2775),"")</f>
        <v/>
      </c>
      <c r="K2775">
        <f>IF(AND(H2775="",OR(F2775="Attended",F2775="No-show",AND(F2775="Late cancel",Settings!$C$9="Yes"))),1,0)</f>
        <v/>
      </c>
      <c r="L2775">
        <f>IF(AND(H2775="",F2775="Attended"),1,0)</f>
        <v/>
      </c>
      <c r="M2775">
        <f>IF(AND(H2775="",OR(F2775="No-show",F2775="Late cancel")),1,0)</f>
        <v/>
      </c>
      <c r="N2775">
        <f>IF(AND(H2775="",F2775="",D2775&lt;&gt;"",I2775&gt;=TODAY()),ROUND((I2775+IF(ISNUMBER(C2775),MOD(C2775,1),0))*1440,0)*10000+ROW(),"")</f>
        <v/>
      </c>
    </row>
    <row r="2776">
      <c r="A2776" s="1" t="n"/>
      <c r="B2776" s="17" t="n"/>
      <c r="C2776" s="18" t="n"/>
      <c r="D2776" s="19" t="n"/>
      <c r="E2776" s="20" t="n"/>
      <c r="F2776" s="20" t="n"/>
      <c r="G2776" s="21" t="n"/>
      <c r="H2776" s="12">
        <f>IF(AND(B2776="",D2776="",F2776=""),"",IF(NOT(ISNUMBER(B2776)),"Needs a date",IF(D2776="","Needs a client",IF(COUNTIF(Clients!$B$6:$B$105,D2776)=0,"Not on Clients",IF(AND(F2776="",INT(B2776)&lt;TODAY()),"Needs a status","")))))</f>
        <v/>
      </c>
      <c r="I2776" s="1">
        <f>IF(ISNUMBER(B2776),INT(B2776),0)</f>
        <v/>
      </c>
      <c r="J2776">
        <f>IF(ISNUMBER(B2776),YEAR(B2776)*100+MONTH(B2776),"")</f>
        <v/>
      </c>
      <c r="K2776">
        <f>IF(AND(H2776="",OR(F2776="Attended",F2776="No-show",AND(F2776="Late cancel",Settings!$C$9="Yes"))),1,0)</f>
        <v/>
      </c>
      <c r="L2776">
        <f>IF(AND(H2776="",F2776="Attended"),1,0)</f>
        <v/>
      </c>
      <c r="M2776">
        <f>IF(AND(H2776="",OR(F2776="No-show",F2776="Late cancel")),1,0)</f>
        <v/>
      </c>
      <c r="N2776">
        <f>IF(AND(H2776="",F2776="",D2776&lt;&gt;"",I2776&gt;=TODAY()),ROUND((I2776+IF(ISNUMBER(C2776),MOD(C2776,1),0))*1440,0)*10000+ROW(),"")</f>
        <v/>
      </c>
    </row>
    <row r="2777">
      <c r="A2777" s="1" t="n"/>
      <c r="B2777" s="17" t="n"/>
      <c r="C2777" s="18" t="n"/>
      <c r="D2777" s="19" t="n"/>
      <c r="E2777" s="20" t="n"/>
      <c r="F2777" s="20" t="n"/>
      <c r="G2777" s="21" t="n"/>
      <c r="H2777" s="12">
        <f>IF(AND(B2777="",D2777="",F2777=""),"",IF(NOT(ISNUMBER(B2777)),"Needs a date",IF(D2777="","Needs a client",IF(COUNTIF(Clients!$B$6:$B$105,D2777)=0,"Not on Clients",IF(AND(F2777="",INT(B2777)&lt;TODAY()),"Needs a status","")))))</f>
        <v/>
      </c>
      <c r="I2777" s="1">
        <f>IF(ISNUMBER(B2777),INT(B2777),0)</f>
        <v/>
      </c>
      <c r="J2777">
        <f>IF(ISNUMBER(B2777),YEAR(B2777)*100+MONTH(B2777),"")</f>
        <v/>
      </c>
      <c r="K2777">
        <f>IF(AND(H2777="",OR(F2777="Attended",F2777="No-show",AND(F2777="Late cancel",Settings!$C$9="Yes"))),1,0)</f>
        <v/>
      </c>
      <c r="L2777">
        <f>IF(AND(H2777="",F2777="Attended"),1,0)</f>
        <v/>
      </c>
      <c r="M2777">
        <f>IF(AND(H2777="",OR(F2777="No-show",F2777="Late cancel")),1,0)</f>
        <v/>
      </c>
      <c r="N2777">
        <f>IF(AND(H2777="",F2777="",D2777&lt;&gt;"",I2777&gt;=TODAY()),ROUND((I2777+IF(ISNUMBER(C2777),MOD(C2777,1),0))*1440,0)*10000+ROW(),"")</f>
        <v/>
      </c>
    </row>
    <row r="2778">
      <c r="A2778" s="1" t="n"/>
      <c r="B2778" s="17" t="n"/>
      <c r="C2778" s="18" t="n"/>
      <c r="D2778" s="19" t="n"/>
      <c r="E2778" s="20" t="n"/>
      <c r="F2778" s="20" t="n"/>
      <c r="G2778" s="21" t="n"/>
      <c r="H2778" s="12">
        <f>IF(AND(B2778="",D2778="",F2778=""),"",IF(NOT(ISNUMBER(B2778)),"Needs a date",IF(D2778="","Needs a client",IF(COUNTIF(Clients!$B$6:$B$105,D2778)=0,"Not on Clients",IF(AND(F2778="",INT(B2778)&lt;TODAY()),"Needs a status","")))))</f>
        <v/>
      </c>
      <c r="I2778" s="1">
        <f>IF(ISNUMBER(B2778),INT(B2778),0)</f>
        <v/>
      </c>
      <c r="J2778">
        <f>IF(ISNUMBER(B2778),YEAR(B2778)*100+MONTH(B2778),"")</f>
        <v/>
      </c>
      <c r="K2778">
        <f>IF(AND(H2778="",OR(F2778="Attended",F2778="No-show",AND(F2778="Late cancel",Settings!$C$9="Yes"))),1,0)</f>
        <v/>
      </c>
      <c r="L2778">
        <f>IF(AND(H2778="",F2778="Attended"),1,0)</f>
        <v/>
      </c>
      <c r="M2778">
        <f>IF(AND(H2778="",OR(F2778="No-show",F2778="Late cancel")),1,0)</f>
        <v/>
      </c>
      <c r="N2778">
        <f>IF(AND(H2778="",F2778="",D2778&lt;&gt;"",I2778&gt;=TODAY()),ROUND((I2778+IF(ISNUMBER(C2778),MOD(C2778,1),0))*1440,0)*10000+ROW(),"")</f>
        <v/>
      </c>
    </row>
    <row r="2779">
      <c r="A2779" s="1" t="n"/>
      <c r="B2779" s="17" t="n"/>
      <c r="C2779" s="18" t="n"/>
      <c r="D2779" s="19" t="n"/>
      <c r="E2779" s="20" t="n"/>
      <c r="F2779" s="20" t="n"/>
      <c r="G2779" s="21" t="n"/>
      <c r="H2779" s="12">
        <f>IF(AND(B2779="",D2779="",F2779=""),"",IF(NOT(ISNUMBER(B2779)),"Needs a date",IF(D2779="","Needs a client",IF(COUNTIF(Clients!$B$6:$B$105,D2779)=0,"Not on Clients",IF(AND(F2779="",INT(B2779)&lt;TODAY()),"Needs a status","")))))</f>
        <v/>
      </c>
      <c r="I2779" s="1">
        <f>IF(ISNUMBER(B2779),INT(B2779),0)</f>
        <v/>
      </c>
      <c r="J2779">
        <f>IF(ISNUMBER(B2779),YEAR(B2779)*100+MONTH(B2779),"")</f>
        <v/>
      </c>
      <c r="K2779">
        <f>IF(AND(H2779="",OR(F2779="Attended",F2779="No-show",AND(F2779="Late cancel",Settings!$C$9="Yes"))),1,0)</f>
        <v/>
      </c>
      <c r="L2779">
        <f>IF(AND(H2779="",F2779="Attended"),1,0)</f>
        <v/>
      </c>
      <c r="M2779">
        <f>IF(AND(H2779="",OR(F2779="No-show",F2779="Late cancel")),1,0)</f>
        <v/>
      </c>
      <c r="N2779">
        <f>IF(AND(H2779="",F2779="",D2779&lt;&gt;"",I2779&gt;=TODAY()),ROUND((I2779+IF(ISNUMBER(C2779),MOD(C2779,1),0))*1440,0)*10000+ROW(),"")</f>
        <v/>
      </c>
    </row>
    <row r="2780">
      <c r="A2780" s="1" t="n"/>
      <c r="B2780" s="17" t="n"/>
      <c r="C2780" s="18" t="n"/>
      <c r="D2780" s="19" t="n"/>
      <c r="E2780" s="20" t="n"/>
      <c r="F2780" s="20" t="n"/>
      <c r="G2780" s="21" t="n"/>
      <c r="H2780" s="12">
        <f>IF(AND(B2780="",D2780="",F2780=""),"",IF(NOT(ISNUMBER(B2780)),"Needs a date",IF(D2780="","Needs a client",IF(COUNTIF(Clients!$B$6:$B$105,D2780)=0,"Not on Clients",IF(AND(F2780="",INT(B2780)&lt;TODAY()),"Needs a status","")))))</f>
        <v/>
      </c>
      <c r="I2780" s="1">
        <f>IF(ISNUMBER(B2780),INT(B2780),0)</f>
        <v/>
      </c>
      <c r="J2780">
        <f>IF(ISNUMBER(B2780),YEAR(B2780)*100+MONTH(B2780),"")</f>
        <v/>
      </c>
      <c r="K2780">
        <f>IF(AND(H2780="",OR(F2780="Attended",F2780="No-show",AND(F2780="Late cancel",Settings!$C$9="Yes"))),1,0)</f>
        <v/>
      </c>
      <c r="L2780">
        <f>IF(AND(H2780="",F2780="Attended"),1,0)</f>
        <v/>
      </c>
      <c r="M2780">
        <f>IF(AND(H2780="",OR(F2780="No-show",F2780="Late cancel")),1,0)</f>
        <v/>
      </c>
      <c r="N2780">
        <f>IF(AND(H2780="",F2780="",D2780&lt;&gt;"",I2780&gt;=TODAY()),ROUND((I2780+IF(ISNUMBER(C2780),MOD(C2780,1),0))*1440,0)*10000+ROW(),"")</f>
        <v/>
      </c>
    </row>
    <row r="2781">
      <c r="A2781" s="1" t="n"/>
      <c r="B2781" s="17" t="n"/>
      <c r="C2781" s="18" t="n"/>
      <c r="D2781" s="19" t="n"/>
      <c r="E2781" s="20" t="n"/>
      <c r="F2781" s="20" t="n"/>
      <c r="G2781" s="21" t="n"/>
      <c r="H2781" s="12">
        <f>IF(AND(B2781="",D2781="",F2781=""),"",IF(NOT(ISNUMBER(B2781)),"Needs a date",IF(D2781="","Needs a client",IF(COUNTIF(Clients!$B$6:$B$105,D2781)=0,"Not on Clients",IF(AND(F2781="",INT(B2781)&lt;TODAY()),"Needs a status","")))))</f>
        <v/>
      </c>
      <c r="I2781" s="1">
        <f>IF(ISNUMBER(B2781),INT(B2781),0)</f>
        <v/>
      </c>
      <c r="J2781">
        <f>IF(ISNUMBER(B2781),YEAR(B2781)*100+MONTH(B2781),"")</f>
        <v/>
      </c>
      <c r="K2781">
        <f>IF(AND(H2781="",OR(F2781="Attended",F2781="No-show",AND(F2781="Late cancel",Settings!$C$9="Yes"))),1,0)</f>
        <v/>
      </c>
      <c r="L2781">
        <f>IF(AND(H2781="",F2781="Attended"),1,0)</f>
        <v/>
      </c>
      <c r="M2781">
        <f>IF(AND(H2781="",OR(F2781="No-show",F2781="Late cancel")),1,0)</f>
        <v/>
      </c>
      <c r="N2781">
        <f>IF(AND(H2781="",F2781="",D2781&lt;&gt;"",I2781&gt;=TODAY()),ROUND((I2781+IF(ISNUMBER(C2781),MOD(C2781,1),0))*1440,0)*10000+ROW(),"")</f>
        <v/>
      </c>
    </row>
    <row r="2782">
      <c r="A2782" s="1" t="n"/>
      <c r="B2782" s="17" t="n"/>
      <c r="C2782" s="18" t="n"/>
      <c r="D2782" s="19" t="n"/>
      <c r="E2782" s="20" t="n"/>
      <c r="F2782" s="20" t="n"/>
      <c r="G2782" s="21" t="n"/>
      <c r="H2782" s="12">
        <f>IF(AND(B2782="",D2782="",F2782=""),"",IF(NOT(ISNUMBER(B2782)),"Needs a date",IF(D2782="","Needs a client",IF(COUNTIF(Clients!$B$6:$B$105,D2782)=0,"Not on Clients",IF(AND(F2782="",INT(B2782)&lt;TODAY()),"Needs a status","")))))</f>
        <v/>
      </c>
      <c r="I2782" s="1">
        <f>IF(ISNUMBER(B2782),INT(B2782),0)</f>
        <v/>
      </c>
      <c r="J2782">
        <f>IF(ISNUMBER(B2782),YEAR(B2782)*100+MONTH(B2782),"")</f>
        <v/>
      </c>
      <c r="K2782">
        <f>IF(AND(H2782="",OR(F2782="Attended",F2782="No-show",AND(F2782="Late cancel",Settings!$C$9="Yes"))),1,0)</f>
        <v/>
      </c>
      <c r="L2782">
        <f>IF(AND(H2782="",F2782="Attended"),1,0)</f>
        <v/>
      </c>
      <c r="M2782">
        <f>IF(AND(H2782="",OR(F2782="No-show",F2782="Late cancel")),1,0)</f>
        <v/>
      </c>
      <c r="N2782">
        <f>IF(AND(H2782="",F2782="",D2782&lt;&gt;"",I2782&gt;=TODAY()),ROUND((I2782+IF(ISNUMBER(C2782),MOD(C2782,1),0))*1440,0)*10000+ROW(),"")</f>
        <v/>
      </c>
    </row>
    <row r="2783">
      <c r="A2783" s="1" t="n"/>
      <c r="B2783" s="17" t="n"/>
      <c r="C2783" s="18" t="n"/>
      <c r="D2783" s="19" t="n"/>
      <c r="E2783" s="20" t="n"/>
      <c r="F2783" s="20" t="n"/>
      <c r="G2783" s="21" t="n"/>
      <c r="H2783" s="12">
        <f>IF(AND(B2783="",D2783="",F2783=""),"",IF(NOT(ISNUMBER(B2783)),"Needs a date",IF(D2783="","Needs a client",IF(COUNTIF(Clients!$B$6:$B$105,D2783)=0,"Not on Clients",IF(AND(F2783="",INT(B2783)&lt;TODAY()),"Needs a status","")))))</f>
        <v/>
      </c>
      <c r="I2783" s="1">
        <f>IF(ISNUMBER(B2783),INT(B2783),0)</f>
        <v/>
      </c>
      <c r="J2783">
        <f>IF(ISNUMBER(B2783),YEAR(B2783)*100+MONTH(B2783),"")</f>
        <v/>
      </c>
      <c r="K2783">
        <f>IF(AND(H2783="",OR(F2783="Attended",F2783="No-show",AND(F2783="Late cancel",Settings!$C$9="Yes"))),1,0)</f>
        <v/>
      </c>
      <c r="L2783">
        <f>IF(AND(H2783="",F2783="Attended"),1,0)</f>
        <v/>
      </c>
      <c r="M2783">
        <f>IF(AND(H2783="",OR(F2783="No-show",F2783="Late cancel")),1,0)</f>
        <v/>
      </c>
      <c r="N2783">
        <f>IF(AND(H2783="",F2783="",D2783&lt;&gt;"",I2783&gt;=TODAY()),ROUND((I2783+IF(ISNUMBER(C2783),MOD(C2783,1),0))*1440,0)*10000+ROW(),"")</f>
        <v/>
      </c>
    </row>
    <row r="2784">
      <c r="A2784" s="1" t="n"/>
      <c r="B2784" s="17" t="n"/>
      <c r="C2784" s="18" t="n"/>
      <c r="D2784" s="19" t="n"/>
      <c r="E2784" s="20" t="n"/>
      <c r="F2784" s="20" t="n"/>
      <c r="G2784" s="21" t="n"/>
      <c r="H2784" s="12">
        <f>IF(AND(B2784="",D2784="",F2784=""),"",IF(NOT(ISNUMBER(B2784)),"Needs a date",IF(D2784="","Needs a client",IF(COUNTIF(Clients!$B$6:$B$105,D2784)=0,"Not on Clients",IF(AND(F2784="",INT(B2784)&lt;TODAY()),"Needs a status","")))))</f>
        <v/>
      </c>
      <c r="I2784" s="1">
        <f>IF(ISNUMBER(B2784),INT(B2784),0)</f>
        <v/>
      </c>
      <c r="J2784">
        <f>IF(ISNUMBER(B2784),YEAR(B2784)*100+MONTH(B2784),"")</f>
        <v/>
      </c>
      <c r="K2784">
        <f>IF(AND(H2784="",OR(F2784="Attended",F2784="No-show",AND(F2784="Late cancel",Settings!$C$9="Yes"))),1,0)</f>
        <v/>
      </c>
      <c r="L2784">
        <f>IF(AND(H2784="",F2784="Attended"),1,0)</f>
        <v/>
      </c>
      <c r="M2784">
        <f>IF(AND(H2784="",OR(F2784="No-show",F2784="Late cancel")),1,0)</f>
        <v/>
      </c>
      <c r="N2784">
        <f>IF(AND(H2784="",F2784="",D2784&lt;&gt;"",I2784&gt;=TODAY()),ROUND((I2784+IF(ISNUMBER(C2784),MOD(C2784,1),0))*1440,0)*10000+ROW(),"")</f>
        <v/>
      </c>
    </row>
    <row r="2785">
      <c r="A2785" s="1" t="n"/>
      <c r="B2785" s="17" t="n"/>
      <c r="C2785" s="18" t="n"/>
      <c r="D2785" s="19" t="n"/>
      <c r="E2785" s="20" t="n"/>
      <c r="F2785" s="20" t="n"/>
      <c r="G2785" s="21" t="n"/>
      <c r="H2785" s="12">
        <f>IF(AND(B2785="",D2785="",F2785=""),"",IF(NOT(ISNUMBER(B2785)),"Needs a date",IF(D2785="","Needs a client",IF(COUNTIF(Clients!$B$6:$B$105,D2785)=0,"Not on Clients",IF(AND(F2785="",INT(B2785)&lt;TODAY()),"Needs a status","")))))</f>
        <v/>
      </c>
      <c r="I2785" s="1">
        <f>IF(ISNUMBER(B2785),INT(B2785),0)</f>
        <v/>
      </c>
      <c r="J2785">
        <f>IF(ISNUMBER(B2785),YEAR(B2785)*100+MONTH(B2785),"")</f>
        <v/>
      </c>
      <c r="K2785">
        <f>IF(AND(H2785="",OR(F2785="Attended",F2785="No-show",AND(F2785="Late cancel",Settings!$C$9="Yes"))),1,0)</f>
        <v/>
      </c>
      <c r="L2785">
        <f>IF(AND(H2785="",F2785="Attended"),1,0)</f>
        <v/>
      </c>
      <c r="M2785">
        <f>IF(AND(H2785="",OR(F2785="No-show",F2785="Late cancel")),1,0)</f>
        <v/>
      </c>
      <c r="N2785">
        <f>IF(AND(H2785="",F2785="",D2785&lt;&gt;"",I2785&gt;=TODAY()),ROUND((I2785+IF(ISNUMBER(C2785),MOD(C2785,1),0))*1440,0)*10000+ROW(),"")</f>
        <v/>
      </c>
    </row>
    <row r="2786">
      <c r="A2786" s="1" t="n"/>
      <c r="B2786" s="17" t="n"/>
      <c r="C2786" s="18" t="n"/>
      <c r="D2786" s="19" t="n"/>
      <c r="E2786" s="20" t="n"/>
      <c r="F2786" s="20" t="n"/>
      <c r="G2786" s="21" t="n"/>
      <c r="H2786" s="12">
        <f>IF(AND(B2786="",D2786="",F2786=""),"",IF(NOT(ISNUMBER(B2786)),"Needs a date",IF(D2786="","Needs a client",IF(COUNTIF(Clients!$B$6:$B$105,D2786)=0,"Not on Clients",IF(AND(F2786="",INT(B2786)&lt;TODAY()),"Needs a status","")))))</f>
        <v/>
      </c>
      <c r="I2786" s="1">
        <f>IF(ISNUMBER(B2786),INT(B2786),0)</f>
        <v/>
      </c>
      <c r="J2786">
        <f>IF(ISNUMBER(B2786),YEAR(B2786)*100+MONTH(B2786),"")</f>
        <v/>
      </c>
      <c r="K2786">
        <f>IF(AND(H2786="",OR(F2786="Attended",F2786="No-show",AND(F2786="Late cancel",Settings!$C$9="Yes"))),1,0)</f>
        <v/>
      </c>
      <c r="L2786">
        <f>IF(AND(H2786="",F2786="Attended"),1,0)</f>
        <v/>
      </c>
      <c r="M2786">
        <f>IF(AND(H2786="",OR(F2786="No-show",F2786="Late cancel")),1,0)</f>
        <v/>
      </c>
      <c r="N2786">
        <f>IF(AND(H2786="",F2786="",D2786&lt;&gt;"",I2786&gt;=TODAY()),ROUND((I2786+IF(ISNUMBER(C2786),MOD(C2786,1),0))*1440,0)*10000+ROW(),"")</f>
        <v/>
      </c>
    </row>
    <row r="2787">
      <c r="A2787" s="1" t="n"/>
      <c r="B2787" s="17" t="n"/>
      <c r="C2787" s="18" t="n"/>
      <c r="D2787" s="19" t="n"/>
      <c r="E2787" s="20" t="n"/>
      <c r="F2787" s="20" t="n"/>
      <c r="G2787" s="21" t="n"/>
      <c r="H2787" s="12">
        <f>IF(AND(B2787="",D2787="",F2787=""),"",IF(NOT(ISNUMBER(B2787)),"Needs a date",IF(D2787="","Needs a client",IF(COUNTIF(Clients!$B$6:$B$105,D2787)=0,"Not on Clients",IF(AND(F2787="",INT(B2787)&lt;TODAY()),"Needs a status","")))))</f>
        <v/>
      </c>
      <c r="I2787" s="1">
        <f>IF(ISNUMBER(B2787),INT(B2787),0)</f>
        <v/>
      </c>
      <c r="J2787">
        <f>IF(ISNUMBER(B2787),YEAR(B2787)*100+MONTH(B2787),"")</f>
        <v/>
      </c>
      <c r="K2787">
        <f>IF(AND(H2787="",OR(F2787="Attended",F2787="No-show",AND(F2787="Late cancel",Settings!$C$9="Yes"))),1,0)</f>
        <v/>
      </c>
      <c r="L2787">
        <f>IF(AND(H2787="",F2787="Attended"),1,0)</f>
        <v/>
      </c>
      <c r="M2787">
        <f>IF(AND(H2787="",OR(F2787="No-show",F2787="Late cancel")),1,0)</f>
        <v/>
      </c>
      <c r="N2787">
        <f>IF(AND(H2787="",F2787="",D2787&lt;&gt;"",I2787&gt;=TODAY()),ROUND((I2787+IF(ISNUMBER(C2787),MOD(C2787,1),0))*1440,0)*10000+ROW(),"")</f>
        <v/>
      </c>
    </row>
    <row r="2788">
      <c r="A2788" s="1" t="n"/>
      <c r="B2788" s="17" t="n"/>
      <c r="C2788" s="18" t="n"/>
      <c r="D2788" s="19" t="n"/>
      <c r="E2788" s="20" t="n"/>
      <c r="F2788" s="20" t="n"/>
      <c r="G2788" s="21" t="n"/>
      <c r="H2788" s="12">
        <f>IF(AND(B2788="",D2788="",F2788=""),"",IF(NOT(ISNUMBER(B2788)),"Needs a date",IF(D2788="","Needs a client",IF(COUNTIF(Clients!$B$6:$B$105,D2788)=0,"Not on Clients",IF(AND(F2788="",INT(B2788)&lt;TODAY()),"Needs a status","")))))</f>
        <v/>
      </c>
      <c r="I2788" s="1">
        <f>IF(ISNUMBER(B2788),INT(B2788),0)</f>
        <v/>
      </c>
      <c r="J2788">
        <f>IF(ISNUMBER(B2788),YEAR(B2788)*100+MONTH(B2788),"")</f>
        <v/>
      </c>
      <c r="K2788">
        <f>IF(AND(H2788="",OR(F2788="Attended",F2788="No-show",AND(F2788="Late cancel",Settings!$C$9="Yes"))),1,0)</f>
        <v/>
      </c>
      <c r="L2788">
        <f>IF(AND(H2788="",F2788="Attended"),1,0)</f>
        <v/>
      </c>
      <c r="M2788">
        <f>IF(AND(H2788="",OR(F2788="No-show",F2788="Late cancel")),1,0)</f>
        <v/>
      </c>
      <c r="N2788">
        <f>IF(AND(H2788="",F2788="",D2788&lt;&gt;"",I2788&gt;=TODAY()),ROUND((I2788+IF(ISNUMBER(C2788),MOD(C2788,1),0))*1440,0)*10000+ROW(),"")</f>
        <v/>
      </c>
    </row>
    <row r="2789">
      <c r="A2789" s="1" t="n"/>
      <c r="B2789" s="17" t="n"/>
      <c r="C2789" s="18" t="n"/>
      <c r="D2789" s="19" t="n"/>
      <c r="E2789" s="20" t="n"/>
      <c r="F2789" s="20" t="n"/>
      <c r="G2789" s="21" t="n"/>
      <c r="H2789" s="12">
        <f>IF(AND(B2789="",D2789="",F2789=""),"",IF(NOT(ISNUMBER(B2789)),"Needs a date",IF(D2789="","Needs a client",IF(COUNTIF(Clients!$B$6:$B$105,D2789)=0,"Not on Clients",IF(AND(F2789="",INT(B2789)&lt;TODAY()),"Needs a status","")))))</f>
        <v/>
      </c>
      <c r="I2789" s="1">
        <f>IF(ISNUMBER(B2789),INT(B2789),0)</f>
        <v/>
      </c>
      <c r="J2789">
        <f>IF(ISNUMBER(B2789),YEAR(B2789)*100+MONTH(B2789),"")</f>
        <v/>
      </c>
      <c r="K2789">
        <f>IF(AND(H2789="",OR(F2789="Attended",F2789="No-show",AND(F2789="Late cancel",Settings!$C$9="Yes"))),1,0)</f>
        <v/>
      </c>
      <c r="L2789">
        <f>IF(AND(H2789="",F2789="Attended"),1,0)</f>
        <v/>
      </c>
      <c r="M2789">
        <f>IF(AND(H2789="",OR(F2789="No-show",F2789="Late cancel")),1,0)</f>
        <v/>
      </c>
      <c r="N2789">
        <f>IF(AND(H2789="",F2789="",D2789&lt;&gt;"",I2789&gt;=TODAY()),ROUND((I2789+IF(ISNUMBER(C2789),MOD(C2789,1),0))*1440,0)*10000+ROW(),"")</f>
        <v/>
      </c>
    </row>
    <row r="2790">
      <c r="A2790" s="1" t="n"/>
      <c r="B2790" s="17" t="n"/>
      <c r="C2790" s="18" t="n"/>
      <c r="D2790" s="19" t="n"/>
      <c r="E2790" s="20" t="n"/>
      <c r="F2790" s="20" t="n"/>
      <c r="G2790" s="21" t="n"/>
      <c r="H2790" s="12">
        <f>IF(AND(B2790="",D2790="",F2790=""),"",IF(NOT(ISNUMBER(B2790)),"Needs a date",IF(D2790="","Needs a client",IF(COUNTIF(Clients!$B$6:$B$105,D2790)=0,"Not on Clients",IF(AND(F2790="",INT(B2790)&lt;TODAY()),"Needs a status","")))))</f>
        <v/>
      </c>
      <c r="I2790" s="1">
        <f>IF(ISNUMBER(B2790),INT(B2790),0)</f>
        <v/>
      </c>
      <c r="J2790">
        <f>IF(ISNUMBER(B2790),YEAR(B2790)*100+MONTH(B2790),"")</f>
        <v/>
      </c>
      <c r="K2790">
        <f>IF(AND(H2790="",OR(F2790="Attended",F2790="No-show",AND(F2790="Late cancel",Settings!$C$9="Yes"))),1,0)</f>
        <v/>
      </c>
      <c r="L2790">
        <f>IF(AND(H2790="",F2790="Attended"),1,0)</f>
        <v/>
      </c>
      <c r="M2790">
        <f>IF(AND(H2790="",OR(F2790="No-show",F2790="Late cancel")),1,0)</f>
        <v/>
      </c>
      <c r="N2790">
        <f>IF(AND(H2790="",F2790="",D2790&lt;&gt;"",I2790&gt;=TODAY()),ROUND((I2790+IF(ISNUMBER(C2790),MOD(C2790,1),0))*1440,0)*10000+ROW(),"")</f>
        <v/>
      </c>
    </row>
    <row r="2791">
      <c r="A2791" s="1" t="n"/>
      <c r="B2791" s="17" t="n"/>
      <c r="C2791" s="18" t="n"/>
      <c r="D2791" s="19" t="n"/>
      <c r="E2791" s="20" t="n"/>
      <c r="F2791" s="20" t="n"/>
      <c r="G2791" s="21" t="n"/>
      <c r="H2791" s="12">
        <f>IF(AND(B2791="",D2791="",F2791=""),"",IF(NOT(ISNUMBER(B2791)),"Needs a date",IF(D2791="","Needs a client",IF(COUNTIF(Clients!$B$6:$B$105,D2791)=0,"Not on Clients",IF(AND(F2791="",INT(B2791)&lt;TODAY()),"Needs a status","")))))</f>
        <v/>
      </c>
      <c r="I2791" s="1">
        <f>IF(ISNUMBER(B2791),INT(B2791),0)</f>
        <v/>
      </c>
      <c r="J2791">
        <f>IF(ISNUMBER(B2791),YEAR(B2791)*100+MONTH(B2791),"")</f>
        <v/>
      </c>
      <c r="K2791">
        <f>IF(AND(H2791="",OR(F2791="Attended",F2791="No-show",AND(F2791="Late cancel",Settings!$C$9="Yes"))),1,0)</f>
        <v/>
      </c>
      <c r="L2791">
        <f>IF(AND(H2791="",F2791="Attended"),1,0)</f>
        <v/>
      </c>
      <c r="M2791">
        <f>IF(AND(H2791="",OR(F2791="No-show",F2791="Late cancel")),1,0)</f>
        <v/>
      </c>
      <c r="N2791">
        <f>IF(AND(H2791="",F2791="",D2791&lt;&gt;"",I2791&gt;=TODAY()),ROUND((I2791+IF(ISNUMBER(C2791),MOD(C2791,1),0))*1440,0)*10000+ROW(),"")</f>
        <v/>
      </c>
    </row>
    <row r="2792">
      <c r="A2792" s="1" t="n"/>
      <c r="B2792" s="17" t="n"/>
      <c r="C2792" s="18" t="n"/>
      <c r="D2792" s="19" t="n"/>
      <c r="E2792" s="20" t="n"/>
      <c r="F2792" s="20" t="n"/>
      <c r="G2792" s="21" t="n"/>
      <c r="H2792" s="12">
        <f>IF(AND(B2792="",D2792="",F2792=""),"",IF(NOT(ISNUMBER(B2792)),"Needs a date",IF(D2792="","Needs a client",IF(COUNTIF(Clients!$B$6:$B$105,D2792)=0,"Not on Clients",IF(AND(F2792="",INT(B2792)&lt;TODAY()),"Needs a status","")))))</f>
        <v/>
      </c>
      <c r="I2792" s="1">
        <f>IF(ISNUMBER(B2792),INT(B2792),0)</f>
        <v/>
      </c>
      <c r="J2792">
        <f>IF(ISNUMBER(B2792),YEAR(B2792)*100+MONTH(B2792),"")</f>
        <v/>
      </c>
      <c r="K2792">
        <f>IF(AND(H2792="",OR(F2792="Attended",F2792="No-show",AND(F2792="Late cancel",Settings!$C$9="Yes"))),1,0)</f>
        <v/>
      </c>
      <c r="L2792">
        <f>IF(AND(H2792="",F2792="Attended"),1,0)</f>
        <v/>
      </c>
      <c r="M2792">
        <f>IF(AND(H2792="",OR(F2792="No-show",F2792="Late cancel")),1,0)</f>
        <v/>
      </c>
      <c r="N2792">
        <f>IF(AND(H2792="",F2792="",D2792&lt;&gt;"",I2792&gt;=TODAY()),ROUND((I2792+IF(ISNUMBER(C2792),MOD(C2792,1),0))*1440,0)*10000+ROW(),"")</f>
        <v/>
      </c>
    </row>
    <row r="2793">
      <c r="A2793" s="1" t="n"/>
      <c r="B2793" s="17" t="n"/>
      <c r="C2793" s="18" t="n"/>
      <c r="D2793" s="19" t="n"/>
      <c r="E2793" s="20" t="n"/>
      <c r="F2793" s="20" t="n"/>
      <c r="G2793" s="21" t="n"/>
      <c r="H2793" s="12">
        <f>IF(AND(B2793="",D2793="",F2793=""),"",IF(NOT(ISNUMBER(B2793)),"Needs a date",IF(D2793="","Needs a client",IF(COUNTIF(Clients!$B$6:$B$105,D2793)=0,"Not on Clients",IF(AND(F2793="",INT(B2793)&lt;TODAY()),"Needs a status","")))))</f>
        <v/>
      </c>
      <c r="I2793" s="1">
        <f>IF(ISNUMBER(B2793),INT(B2793),0)</f>
        <v/>
      </c>
      <c r="J2793">
        <f>IF(ISNUMBER(B2793),YEAR(B2793)*100+MONTH(B2793),"")</f>
        <v/>
      </c>
      <c r="K2793">
        <f>IF(AND(H2793="",OR(F2793="Attended",F2793="No-show",AND(F2793="Late cancel",Settings!$C$9="Yes"))),1,0)</f>
        <v/>
      </c>
      <c r="L2793">
        <f>IF(AND(H2793="",F2793="Attended"),1,0)</f>
        <v/>
      </c>
      <c r="M2793">
        <f>IF(AND(H2793="",OR(F2793="No-show",F2793="Late cancel")),1,0)</f>
        <v/>
      </c>
      <c r="N2793">
        <f>IF(AND(H2793="",F2793="",D2793&lt;&gt;"",I2793&gt;=TODAY()),ROUND((I2793+IF(ISNUMBER(C2793),MOD(C2793,1),0))*1440,0)*10000+ROW(),"")</f>
        <v/>
      </c>
    </row>
    <row r="2794">
      <c r="A2794" s="1" t="n"/>
      <c r="B2794" s="17" t="n"/>
      <c r="C2794" s="18" t="n"/>
      <c r="D2794" s="19" t="n"/>
      <c r="E2794" s="20" t="n"/>
      <c r="F2794" s="20" t="n"/>
      <c r="G2794" s="21" t="n"/>
      <c r="H2794" s="12">
        <f>IF(AND(B2794="",D2794="",F2794=""),"",IF(NOT(ISNUMBER(B2794)),"Needs a date",IF(D2794="","Needs a client",IF(COUNTIF(Clients!$B$6:$B$105,D2794)=0,"Not on Clients",IF(AND(F2794="",INT(B2794)&lt;TODAY()),"Needs a status","")))))</f>
        <v/>
      </c>
      <c r="I2794" s="1">
        <f>IF(ISNUMBER(B2794),INT(B2794),0)</f>
        <v/>
      </c>
      <c r="J2794">
        <f>IF(ISNUMBER(B2794),YEAR(B2794)*100+MONTH(B2794),"")</f>
        <v/>
      </c>
      <c r="K2794">
        <f>IF(AND(H2794="",OR(F2794="Attended",F2794="No-show",AND(F2794="Late cancel",Settings!$C$9="Yes"))),1,0)</f>
        <v/>
      </c>
      <c r="L2794">
        <f>IF(AND(H2794="",F2794="Attended"),1,0)</f>
        <v/>
      </c>
      <c r="M2794">
        <f>IF(AND(H2794="",OR(F2794="No-show",F2794="Late cancel")),1,0)</f>
        <v/>
      </c>
      <c r="N2794">
        <f>IF(AND(H2794="",F2794="",D2794&lt;&gt;"",I2794&gt;=TODAY()),ROUND((I2794+IF(ISNUMBER(C2794),MOD(C2794,1),0))*1440,0)*10000+ROW(),"")</f>
        <v/>
      </c>
    </row>
    <row r="2795">
      <c r="A2795" s="1" t="n"/>
      <c r="B2795" s="17" t="n"/>
      <c r="C2795" s="18" t="n"/>
      <c r="D2795" s="19" t="n"/>
      <c r="E2795" s="20" t="n"/>
      <c r="F2795" s="20" t="n"/>
      <c r="G2795" s="21" t="n"/>
      <c r="H2795" s="12">
        <f>IF(AND(B2795="",D2795="",F2795=""),"",IF(NOT(ISNUMBER(B2795)),"Needs a date",IF(D2795="","Needs a client",IF(COUNTIF(Clients!$B$6:$B$105,D2795)=0,"Not on Clients",IF(AND(F2795="",INT(B2795)&lt;TODAY()),"Needs a status","")))))</f>
        <v/>
      </c>
      <c r="I2795" s="1">
        <f>IF(ISNUMBER(B2795),INT(B2795),0)</f>
        <v/>
      </c>
      <c r="J2795">
        <f>IF(ISNUMBER(B2795),YEAR(B2795)*100+MONTH(B2795),"")</f>
        <v/>
      </c>
      <c r="K2795">
        <f>IF(AND(H2795="",OR(F2795="Attended",F2795="No-show",AND(F2795="Late cancel",Settings!$C$9="Yes"))),1,0)</f>
        <v/>
      </c>
      <c r="L2795">
        <f>IF(AND(H2795="",F2795="Attended"),1,0)</f>
        <v/>
      </c>
      <c r="M2795">
        <f>IF(AND(H2795="",OR(F2795="No-show",F2795="Late cancel")),1,0)</f>
        <v/>
      </c>
      <c r="N2795">
        <f>IF(AND(H2795="",F2795="",D2795&lt;&gt;"",I2795&gt;=TODAY()),ROUND((I2795+IF(ISNUMBER(C2795),MOD(C2795,1),0))*1440,0)*10000+ROW(),"")</f>
        <v/>
      </c>
    </row>
    <row r="2796">
      <c r="A2796" s="1" t="n"/>
      <c r="B2796" s="17" t="n"/>
      <c r="C2796" s="18" t="n"/>
      <c r="D2796" s="19" t="n"/>
      <c r="E2796" s="20" t="n"/>
      <c r="F2796" s="20" t="n"/>
      <c r="G2796" s="21" t="n"/>
      <c r="H2796" s="12">
        <f>IF(AND(B2796="",D2796="",F2796=""),"",IF(NOT(ISNUMBER(B2796)),"Needs a date",IF(D2796="","Needs a client",IF(COUNTIF(Clients!$B$6:$B$105,D2796)=0,"Not on Clients",IF(AND(F2796="",INT(B2796)&lt;TODAY()),"Needs a status","")))))</f>
        <v/>
      </c>
      <c r="I2796" s="1">
        <f>IF(ISNUMBER(B2796),INT(B2796),0)</f>
        <v/>
      </c>
      <c r="J2796">
        <f>IF(ISNUMBER(B2796),YEAR(B2796)*100+MONTH(B2796),"")</f>
        <v/>
      </c>
      <c r="K2796">
        <f>IF(AND(H2796="",OR(F2796="Attended",F2796="No-show",AND(F2796="Late cancel",Settings!$C$9="Yes"))),1,0)</f>
        <v/>
      </c>
      <c r="L2796">
        <f>IF(AND(H2796="",F2796="Attended"),1,0)</f>
        <v/>
      </c>
      <c r="M2796">
        <f>IF(AND(H2796="",OR(F2796="No-show",F2796="Late cancel")),1,0)</f>
        <v/>
      </c>
      <c r="N2796">
        <f>IF(AND(H2796="",F2796="",D2796&lt;&gt;"",I2796&gt;=TODAY()),ROUND((I2796+IF(ISNUMBER(C2796),MOD(C2796,1),0))*1440,0)*10000+ROW(),"")</f>
        <v/>
      </c>
    </row>
    <row r="2797">
      <c r="A2797" s="1" t="n"/>
      <c r="B2797" s="17" t="n"/>
      <c r="C2797" s="18" t="n"/>
      <c r="D2797" s="19" t="n"/>
      <c r="E2797" s="20" t="n"/>
      <c r="F2797" s="20" t="n"/>
      <c r="G2797" s="21" t="n"/>
      <c r="H2797" s="12">
        <f>IF(AND(B2797="",D2797="",F2797=""),"",IF(NOT(ISNUMBER(B2797)),"Needs a date",IF(D2797="","Needs a client",IF(COUNTIF(Clients!$B$6:$B$105,D2797)=0,"Not on Clients",IF(AND(F2797="",INT(B2797)&lt;TODAY()),"Needs a status","")))))</f>
        <v/>
      </c>
      <c r="I2797" s="1">
        <f>IF(ISNUMBER(B2797),INT(B2797),0)</f>
        <v/>
      </c>
      <c r="J2797">
        <f>IF(ISNUMBER(B2797),YEAR(B2797)*100+MONTH(B2797),"")</f>
        <v/>
      </c>
      <c r="K2797">
        <f>IF(AND(H2797="",OR(F2797="Attended",F2797="No-show",AND(F2797="Late cancel",Settings!$C$9="Yes"))),1,0)</f>
        <v/>
      </c>
      <c r="L2797">
        <f>IF(AND(H2797="",F2797="Attended"),1,0)</f>
        <v/>
      </c>
      <c r="M2797">
        <f>IF(AND(H2797="",OR(F2797="No-show",F2797="Late cancel")),1,0)</f>
        <v/>
      </c>
      <c r="N2797">
        <f>IF(AND(H2797="",F2797="",D2797&lt;&gt;"",I2797&gt;=TODAY()),ROUND((I2797+IF(ISNUMBER(C2797),MOD(C2797,1),0))*1440,0)*10000+ROW(),"")</f>
        <v/>
      </c>
    </row>
    <row r="2798">
      <c r="A2798" s="1" t="n"/>
      <c r="B2798" s="17" t="n"/>
      <c r="C2798" s="18" t="n"/>
      <c r="D2798" s="19" t="n"/>
      <c r="E2798" s="20" t="n"/>
      <c r="F2798" s="20" t="n"/>
      <c r="G2798" s="21" t="n"/>
      <c r="H2798" s="12">
        <f>IF(AND(B2798="",D2798="",F2798=""),"",IF(NOT(ISNUMBER(B2798)),"Needs a date",IF(D2798="","Needs a client",IF(COUNTIF(Clients!$B$6:$B$105,D2798)=0,"Not on Clients",IF(AND(F2798="",INT(B2798)&lt;TODAY()),"Needs a status","")))))</f>
        <v/>
      </c>
      <c r="I2798" s="1">
        <f>IF(ISNUMBER(B2798),INT(B2798),0)</f>
        <v/>
      </c>
      <c r="J2798">
        <f>IF(ISNUMBER(B2798),YEAR(B2798)*100+MONTH(B2798),"")</f>
        <v/>
      </c>
      <c r="K2798">
        <f>IF(AND(H2798="",OR(F2798="Attended",F2798="No-show",AND(F2798="Late cancel",Settings!$C$9="Yes"))),1,0)</f>
        <v/>
      </c>
      <c r="L2798">
        <f>IF(AND(H2798="",F2798="Attended"),1,0)</f>
        <v/>
      </c>
      <c r="M2798">
        <f>IF(AND(H2798="",OR(F2798="No-show",F2798="Late cancel")),1,0)</f>
        <v/>
      </c>
      <c r="N2798">
        <f>IF(AND(H2798="",F2798="",D2798&lt;&gt;"",I2798&gt;=TODAY()),ROUND((I2798+IF(ISNUMBER(C2798),MOD(C2798,1),0))*1440,0)*10000+ROW(),"")</f>
        <v/>
      </c>
    </row>
    <row r="2799">
      <c r="A2799" s="1" t="n"/>
      <c r="B2799" s="17" t="n"/>
      <c r="C2799" s="18" t="n"/>
      <c r="D2799" s="19" t="n"/>
      <c r="E2799" s="20" t="n"/>
      <c r="F2799" s="20" t="n"/>
      <c r="G2799" s="21" t="n"/>
      <c r="H2799" s="12">
        <f>IF(AND(B2799="",D2799="",F2799=""),"",IF(NOT(ISNUMBER(B2799)),"Needs a date",IF(D2799="","Needs a client",IF(COUNTIF(Clients!$B$6:$B$105,D2799)=0,"Not on Clients",IF(AND(F2799="",INT(B2799)&lt;TODAY()),"Needs a status","")))))</f>
        <v/>
      </c>
      <c r="I2799" s="1">
        <f>IF(ISNUMBER(B2799),INT(B2799),0)</f>
        <v/>
      </c>
      <c r="J2799">
        <f>IF(ISNUMBER(B2799),YEAR(B2799)*100+MONTH(B2799),"")</f>
        <v/>
      </c>
      <c r="K2799">
        <f>IF(AND(H2799="",OR(F2799="Attended",F2799="No-show",AND(F2799="Late cancel",Settings!$C$9="Yes"))),1,0)</f>
        <v/>
      </c>
      <c r="L2799">
        <f>IF(AND(H2799="",F2799="Attended"),1,0)</f>
        <v/>
      </c>
      <c r="M2799">
        <f>IF(AND(H2799="",OR(F2799="No-show",F2799="Late cancel")),1,0)</f>
        <v/>
      </c>
      <c r="N2799">
        <f>IF(AND(H2799="",F2799="",D2799&lt;&gt;"",I2799&gt;=TODAY()),ROUND((I2799+IF(ISNUMBER(C2799),MOD(C2799,1),0))*1440,0)*10000+ROW(),"")</f>
        <v/>
      </c>
    </row>
    <row r="2800">
      <c r="A2800" s="1" t="n"/>
      <c r="B2800" s="17" t="n"/>
      <c r="C2800" s="18" t="n"/>
      <c r="D2800" s="19" t="n"/>
      <c r="E2800" s="20" t="n"/>
      <c r="F2800" s="20" t="n"/>
      <c r="G2800" s="21" t="n"/>
      <c r="H2800" s="12">
        <f>IF(AND(B2800="",D2800="",F2800=""),"",IF(NOT(ISNUMBER(B2800)),"Needs a date",IF(D2800="","Needs a client",IF(COUNTIF(Clients!$B$6:$B$105,D2800)=0,"Not on Clients",IF(AND(F2800="",INT(B2800)&lt;TODAY()),"Needs a status","")))))</f>
        <v/>
      </c>
      <c r="I2800" s="1">
        <f>IF(ISNUMBER(B2800),INT(B2800),0)</f>
        <v/>
      </c>
      <c r="J2800">
        <f>IF(ISNUMBER(B2800),YEAR(B2800)*100+MONTH(B2800),"")</f>
        <v/>
      </c>
      <c r="K2800">
        <f>IF(AND(H2800="",OR(F2800="Attended",F2800="No-show",AND(F2800="Late cancel",Settings!$C$9="Yes"))),1,0)</f>
        <v/>
      </c>
      <c r="L2800">
        <f>IF(AND(H2800="",F2800="Attended"),1,0)</f>
        <v/>
      </c>
      <c r="M2800">
        <f>IF(AND(H2800="",OR(F2800="No-show",F2800="Late cancel")),1,0)</f>
        <v/>
      </c>
      <c r="N2800">
        <f>IF(AND(H2800="",F2800="",D2800&lt;&gt;"",I2800&gt;=TODAY()),ROUND((I2800+IF(ISNUMBER(C2800),MOD(C2800,1),0))*1440,0)*10000+ROW(),"")</f>
        <v/>
      </c>
    </row>
    <row r="2801">
      <c r="A2801" s="1" t="n"/>
      <c r="B2801" s="17" t="n"/>
      <c r="C2801" s="18" t="n"/>
      <c r="D2801" s="19" t="n"/>
      <c r="E2801" s="20" t="n"/>
      <c r="F2801" s="20" t="n"/>
      <c r="G2801" s="21" t="n"/>
      <c r="H2801" s="12">
        <f>IF(AND(B2801="",D2801="",F2801=""),"",IF(NOT(ISNUMBER(B2801)),"Needs a date",IF(D2801="","Needs a client",IF(COUNTIF(Clients!$B$6:$B$105,D2801)=0,"Not on Clients",IF(AND(F2801="",INT(B2801)&lt;TODAY()),"Needs a status","")))))</f>
        <v/>
      </c>
      <c r="I2801" s="1">
        <f>IF(ISNUMBER(B2801),INT(B2801),0)</f>
        <v/>
      </c>
      <c r="J2801">
        <f>IF(ISNUMBER(B2801),YEAR(B2801)*100+MONTH(B2801),"")</f>
        <v/>
      </c>
      <c r="K2801">
        <f>IF(AND(H2801="",OR(F2801="Attended",F2801="No-show",AND(F2801="Late cancel",Settings!$C$9="Yes"))),1,0)</f>
        <v/>
      </c>
      <c r="L2801">
        <f>IF(AND(H2801="",F2801="Attended"),1,0)</f>
        <v/>
      </c>
      <c r="M2801">
        <f>IF(AND(H2801="",OR(F2801="No-show",F2801="Late cancel")),1,0)</f>
        <v/>
      </c>
      <c r="N2801">
        <f>IF(AND(H2801="",F2801="",D2801&lt;&gt;"",I2801&gt;=TODAY()),ROUND((I2801+IF(ISNUMBER(C2801),MOD(C2801,1),0))*1440,0)*10000+ROW(),"")</f>
        <v/>
      </c>
    </row>
    <row r="2802">
      <c r="A2802" s="1" t="n"/>
      <c r="B2802" s="17" t="n"/>
      <c r="C2802" s="18" t="n"/>
      <c r="D2802" s="19" t="n"/>
      <c r="E2802" s="20" t="n"/>
      <c r="F2802" s="20" t="n"/>
      <c r="G2802" s="21" t="n"/>
      <c r="H2802" s="12">
        <f>IF(AND(B2802="",D2802="",F2802=""),"",IF(NOT(ISNUMBER(B2802)),"Needs a date",IF(D2802="","Needs a client",IF(COUNTIF(Clients!$B$6:$B$105,D2802)=0,"Not on Clients",IF(AND(F2802="",INT(B2802)&lt;TODAY()),"Needs a status","")))))</f>
        <v/>
      </c>
      <c r="I2802" s="1">
        <f>IF(ISNUMBER(B2802),INT(B2802),0)</f>
        <v/>
      </c>
      <c r="J2802">
        <f>IF(ISNUMBER(B2802),YEAR(B2802)*100+MONTH(B2802),"")</f>
        <v/>
      </c>
      <c r="K2802">
        <f>IF(AND(H2802="",OR(F2802="Attended",F2802="No-show",AND(F2802="Late cancel",Settings!$C$9="Yes"))),1,0)</f>
        <v/>
      </c>
      <c r="L2802">
        <f>IF(AND(H2802="",F2802="Attended"),1,0)</f>
        <v/>
      </c>
      <c r="M2802">
        <f>IF(AND(H2802="",OR(F2802="No-show",F2802="Late cancel")),1,0)</f>
        <v/>
      </c>
      <c r="N2802">
        <f>IF(AND(H2802="",F2802="",D2802&lt;&gt;"",I2802&gt;=TODAY()),ROUND((I2802+IF(ISNUMBER(C2802),MOD(C2802,1),0))*1440,0)*10000+ROW(),"")</f>
        <v/>
      </c>
    </row>
    <row r="2803">
      <c r="A2803" s="1" t="n"/>
      <c r="B2803" s="17" t="n"/>
      <c r="C2803" s="18" t="n"/>
      <c r="D2803" s="19" t="n"/>
      <c r="E2803" s="20" t="n"/>
      <c r="F2803" s="20" t="n"/>
      <c r="G2803" s="21" t="n"/>
      <c r="H2803" s="12">
        <f>IF(AND(B2803="",D2803="",F2803=""),"",IF(NOT(ISNUMBER(B2803)),"Needs a date",IF(D2803="","Needs a client",IF(COUNTIF(Clients!$B$6:$B$105,D2803)=0,"Not on Clients",IF(AND(F2803="",INT(B2803)&lt;TODAY()),"Needs a status","")))))</f>
        <v/>
      </c>
      <c r="I2803" s="1">
        <f>IF(ISNUMBER(B2803),INT(B2803),0)</f>
        <v/>
      </c>
      <c r="J2803">
        <f>IF(ISNUMBER(B2803),YEAR(B2803)*100+MONTH(B2803),"")</f>
        <v/>
      </c>
      <c r="K2803">
        <f>IF(AND(H2803="",OR(F2803="Attended",F2803="No-show",AND(F2803="Late cancel",Settings!$C$9="Yes"))),1,0)</f>
        <v/>
      </c>
      <c r="L2803">
        <f>IF(AND(H2803="",F2803="Attended"),1,0)</f>
        <v/>
      </c>
      <c r="M2803">
        <f>IF(AND(H2803="",OR(F2803="No-show",F2803="Late cancel")),1,0)</f>
        <v/>
      </c>
      <c r="N2803">
        <f>IF(AND(H2803="",F2803="",D2803&lt;&gt;"",I2803&gt;=TODAY()),ROUND((I2803+IF(ISNUMBER(C2803),MOD(C2803,1),0))*1440,0)*10000+ROW(),"")</f>
        <v/>
      </c>
    </row>
    <row r="2804">
      <c r="A2804" s="1" t="n"/>
      <c r="B2804" s="17" t="n"/>
      <c r="C2804" s="18" t="n"/>
      <c r="D2804" s="19" t="n"/>
      <c r="E2804" s="20" t="n"/>
      <c r="F2804" s="20" t="n"/>
      <c r="G2804" s="21" t="n"/>
      <c r="H2804" s="12">
        <f>IF(AND(B2804="",D2804="",F2804=""),"",IF(NOT(ISNUMBER(B2804)),"Needs a date",IF(D2804="","Needs a client",IF(COUNTIF(Clients!$B$6:$B$105,D2804)=0,"Not on Clients",IF(AND(F2804="",INT(B2804)&lt;TODAY()),"Needs a status","")))))</f>
        <v/>
      </c>
      <c r="I2804" s="1">
        <f>IF(ISNUMBER(B2804),INT(B2804),0)</f>
        <v/>
      </c>
      <c r="J2804">
        <f>IF(ISNUMBER(B2804),YEAR(B2804)*100+MONTH(B2804),"")</f>
        <v/>
      </c>
      <c r="K2804">
        <f>IF(AND(H2804="",OR(F2804="Attended",F2804="No-show",AND(F2804="Late cancel",Settings!$C$9="Yes"))),1,0)</f>
        <v/>
      </c>
      <c r="L2804">
        <f>IF(AND(H2804="",F2804="Attended"),1,0)</f>
        <v/>
      </c>
      <c r="M2804">
        <f>IF(AND(H2804="",OR(F2804="No-show",F2804="Late cancel")),1,0)</f>
        <v/>
      </c>
      <c r="N2804">
        <f>IF(AND(H2804="",F2804="",D2804&lt;&gt;"",I2804&gt;=TODAY()),ROUND((I2804+IF(ISNUMBER(C2804),MOD(C2804,1),0))*1440,0)*10000+ROW(),"")</f>
        <v/>
      </c>
    </row>
    <row r="2805">
      <c r="A2805" s="1" t="n"/>
      <c r="B2805" s="17" t="n"/>
      <c r="C2805" s="18" t="n"/>
      <c r="D2805" s="19" t="n"/>
      <c r="E2805" s="20" t="n"/>
      <c r="F2805" s="20" t="n"/>
      <c r="G2805" s="21" t="n"/>
      <c r="H2805" s="12">
        <f>IF(AND(B2805="",D2805="",F2805=""),"",IF(NOT(ISNUMBER(B2805)),"Needs a date",IF(D2805="","Needs a client",IF(COUNTIF(Clients!$B$6:$B$105,D2805)=0,"Not on Clients",IF(AND(F2805="",INT(B2805)&lt;TODAY()),"Needs a status","")))))</f>
        <v/>
      </c>
      <c r="I2805" s="1">
        <f>IF(ISNUMBER(B2805),INT(B2805),0)</f>
        <v/>
      </c>
      <c r="J2805">
        <f>IF(ISNUMBER(B2805),YEAR(B2805)*100+MONTH(B2805),"")</f>
        <v/>
      </c>
      <c r="K2805">
        <f>IF(AND(H2805="",OR(F2805="Attended",F2805="No-show",AND(F2805="Late cancel",Settings!$C$9="Yes"))),1,0)</f>
        <v/>
      </c>
      <c r="L2805">
        <f>IF(AND(H2805="",F2805="Attended"),1,0)</f>
        <v/>
      </c>
      <c r="M2805">
        <f>IF(AND(H2805="",OR(F2805="No-show",F2805="Late cancel")),1,0)</f>
        <v/>
      </c>
      <c r="N2805">
        <f>IF(AND(H2805="",F2805="",D2805&lt;&gt;"",I2805&gt;=TODAY()),ROUND((I2805+IF(ISNUMBER(C2805),MOD(C2805,1),0))*1440,0)*10000+ROW(),"")</f>
        <v/>
      </c>
    </row>
    <row r="2806">
      <c r="A2806" s="1" t="n"/>
      <c r="B2806" s="17" t="n"/>
      <c r="C2806" s="18" t="n"/>
      <c r="D2806" s="19" t="n"/>
      <c r="E2806" s="20" t="n"/>
      <c r="F2806" s="20" t="n"/>
      <c r="G2806" s="21" t="n"/>
      <c r="H2806" s="12">
        <f>IF(AND(B2806="",D2806="",F2806=""),"",IF(NOT(ISNUMBER(B2806)),"Needs a date",IF(D2806="","Needs a client",IF(COUNTIF(Clients!$B$6:$B$105,D2806)=0,"Not on Clients",IF(AND(F2806="",INT(B2806)&lt;TODAY()),"Needs a status","")))))</f>
        <v/>
      </c>
      <c r="I2806" s="1">
        <f>IF(ISNUMBER(B2806),INT(B2806),0)</f>
        <v/>
      </c>
      <c r="J2806">
        <f>IF(ISNUMBER(B2806),YEAR(B2806)*100+MONTH(B2806),"")</f>
        <v/>
      </c>
      <c r="K2806">
        <f>IF(AND(H2806="",OR(F2806="Attended",F2806="No-show",AND(F2806="Late cancel",Settings!$C$9="Yes"))),1,0)</f>
        <v/>
      </c>
      <c r="L2806">
        <f>IF(AND(H2806="",F2806="Attended"),1,0)</f>
        <v/>
      </c>
      <c r="M2806">
        <f>IF(AND(H2806="",OR(F2806="No-show",F2806="Late cancel")),1,0)</f>
        <v/>
      </c>
      <c r="N2806">
        <f>IF(AND(H2806="",F2806="",D2806&lt;&gt;"",I2806&gt;=TODAY()),ROUND((I2806+IF(ISNUMBER(C2806),MOD(C2806,1),0))*1440,0)*10000+ROW(),"")</f>
        <v/>
      </c>
    </row>
    <row r="2807">
      <c r="A2807" s="1" t="n"/>
      <c r="B2807" s="17" t="n"/>
      <c r="C2807" s="18" t="n"/>
      <c r="D2807" s="19" t="n"/>
      <c r="E2807" s="20" t="n"/>
      <c r="F2807" s="20" t="n"/>
      <c r="G2807" s="21" t="n"/>
      <c r="H2807" s="12">
        <f>IF(AND(B2807="",D2807="",F2807=""),"",IF(NOT(ISNUMBER(B2807)),"Needs a date",IF(D2807="","Needs a client",IF(COUNTIF(Clients!$B$6:$B$105,D2807)=0,"Not on Clients",IF(AND(F2807="",INT(B2807)&lt;TODAY()),"Needs a status","")))))</f>
        <v/>
      </c>
      <c r="I2807" s="1">
        <f>IF(ISNUMBER(B2807),INT(B2807),0)</f>
        <v/>
      </c>
      <c r="J2807">
        <f>IF(ISNUMBER(B2807),YEAR(B2807)*100+MONTH(B2807),"")</f>
        <v/>
      </c>
      <c r="K2807">
        <f>IF(AND(H2807="",OR(F2807="Attended",F2807="No-show",AND(F2807="Late cancel",Settings!$C$9="Yes"))),1,0)</f>
        <v/>
      </c>
      <c r="L2807">
        <f>IF(AND(H2807="",F2807="Attended"),1,0)</f>
        <v/>
      </c>
      <c r="M2807">
        <f>IF(AND(H2807="",OR(F2807="No-show",F2807="Late cancel")),1,0)</f>
        <v/>
      </c>
      <c r="N2807">
        <f>IF(AND(H2807="",F2807="",D2807&lt;&gt;"",I2807&gt;=TODAY()),ROUND((I2807+IF(ISNUMBER(C2807),MOD(C2807,1),0))*1440,0)*10000+ROW(),"")</f>
        <v/>
      </c>
    </row>
    <row r="2808">
      <c r="A2808" s="1" t="n"/>
      <c r="B2808" s="17" t="n"/>
      <c r="C2808" s="18" t="n"/>
      <c r="D2808" s="19" t="n"/>
      <c r="E2808" s="20" t="n"/>
      <c r="F2808" s="20" t="n"/>
      <c r="G2808" s="21" t="n"/>
      <c r="H2808" s="12">
        <f>IF(AND(B2808="",D2808="",F2808=""),"",IF(NOT(ISNUMBER(B2808)),"Needs a date",IF(D2808="","Needs a client",IF(COUNTIF(Clients!$B$6:$B$105,D2808)=0,"Not on Clients",IF(AND(F2808="",INT(B2808)&lt;TODAY()),"Needs a status","")))))</f>
        <v/>
      </c>
      <c r="I2808" s="1">
        <f>IF(ISNUMBER(B2808),INT(B2808),0)</f>
        <v/>
      </c>
      <c r="J2808">
        <f>IF(ISNUMBER(B2808),YEAR(B2808)*100+MONTH(B2808),"")</f>
        <v/>
      </c>
      <c r="K2808">
        <f>IF(AND(H2808="",OR(F2808="Attended",F2808="No-show",AND(F2808="Late cancel",Settings!$C$9="Yes"))),1,0)</f>
        <v/>
      </c>
      <c r="L2808">
        <f>IF(AND(H2808="",F2808="Attended"),1,0)</f>
        <v/>
      </c>
      <c r="M2808">
        <f>IF(AND(H2808="",OR(F2808="No-show",F2808="Late cancel")),1,0)</f>
        <v/>
      </c>
      <c r="N2808">
        <f>IF(AND(H2808="",F2808="",D2808&lt;&gt;"",I2808&gt;=TODAY()),ROUND((I2808+IF(ISNUMBER(C2808),MOD(C2808,1),0))*1440,0)*10000+ROW(),"")</f>
        <v/>
      </c>
    </row>
    <row r="2809">
      <c r="A2809" s="1" t="n"/>
      <c r="B2809" s="17" t="n"/>
      <c r="C2809" s="18" t="n"/>
      <c r="D2809" s="19" t="n"/>
      <c r="E2809" s="20" t="n"/>
      <c r="F2809" s="20" t="n"/>
      <c r="G2809" s="21" t="n"/>
      <c r="H2809" s="12">
        <f>IF(AND(B2809="",D2809="",F2809=""),"",IF(NOT(ISNUMBER(B2809)),"Needs a date",IF(D2809="","Needs a client",IF(COUNTIF(Clients!$B$6:$B$105,D2809)=0,"Not on Clients",IF(AND(F2809="",INT(B2809)&lt;TODAY()),"Needs a status","")))))</f>
        <v/>
      </c>
      <c r="I2809" s="1">
        <f>IF(ISNUMBER(B2809),INT(B2809),0)</f>
        <v/>
      </c>
      <c r="J2809">
        <f>IF(ISNUMBER(B2809),YEAR(B2809)*100+MONTH(B2809),"")</f>
        <v/>
      </c>
      <c r="K2809">
        <f>IF(AND(H2809="",OR(F2809="Attended",F2809="No-show",AND(F2809="Late cancel",Settings!$C$9="Yes"))),1,0)</f>
        <v/>
      </c>
      <c r="L2809">
        <f>IF(AND(H2809="",F2809="Attended"),1,0)</f>
        <v/>
      </c>
      <c r="M2809">
        <f>IF(AND(H2809="",OR(F2809="No-show",F2809="Late cancel")),1,0)</f>
        <v/>
      </c>
      <c r="N2809">
        <f>IF(AND(H2809="",F2809="",D2809&lt;&gt;"",I2809&gt;=TODAY()),ROUND((I2809+IF(ISNUMBER(C2809),MOD(C2809,1),0))*1440,0)*10000+ROW(),"")</f>
        <v/>
      </c>
    </row>
    <row r="2810">
      <c r="A2810" s="1" t="n"/>
      <c r="B2810" s="17" t="n"/>
      <c r="C2810" s="18" t="n"/>
      <c r="D2810" s="19" t="n"/>
      <c r="E2810" s="20" t="n"/>
      <c r="F2810" s="20" t="n"/>
      <c r="G2810" s="21" t="n"/>
      <c r="H2810" s="12">
        <f>IF(AND(B2810="",D2810="",F2810=""),"",IF(NOT(ISNUMBER(B2810)),"Needs a date",IF(D2810="","Needs a client",IF(COUNTIF(Clients!$B$6:$B$105,D2810)=0,"Not on Clients",IF(AND(F2810="",INT(B2810)&lt;TODAY()),"Needs a status","")))))</f>
        <v/>
      </c>
      <c r="I2810" s="1">
        <f>IF(ISNUMBER(B2810),INT(B2810),0)</f>
        <v/>
      </c>
      <c r="J2810">
        <f>IF(ISNUMBER(B2810),YEAR(B2810)*100+MONTH(B2810),"")</f>
        <v/>
      </c>
      <c r="K2810">
        <f>IF(AND(H2810="",OR(F2810="Attended",F2810="No-show",AND(F2810="Late cancel",Settings!$C$9="Yes"))),1,0)</f>
        <v/>
      </c>
      <c r="L2810">
        <f>IF(AND(H2810="",F2810="Attended"),1,0)</f>
        <v/>
      </c>
      <c r="M2810">
        <f>IF(AND(H2810="",OR(F2810="No-show",F2810="Late cancel")),1,0)</f>
        <v/>
      </c>
      <c r="N2810">
        <f>IF(AND(H2810="",F2810="",D2810&lt;&gt;"",I2810&gt;=TODAY()),ROUND((I2810+IF(ISNUMBER(C2810),MOD(C2810,1),0))*1440,0)*10000+ROW(),"")</f>
        <v/>
      </c>
    </row>
    <row r="2811">
      <c r="A2811" s="1" t="n"/>
      <c r="B2811" s="17" t="n"/>
      <c r="C2811" s="18" t="n"/>
      <c r="D2811" s="19" t="n"/>
      <c r="E2811" s="20" t="n"/>
      <c r="F2811" s="20" t="n"/>
      <c r="G2811" s="21" t="n"/>
      <c r="H2811" s="12">
        <f>IF(AND(B2811="",D2811="",F2811=""),"",IF(NOT(ISNUMBER(B2811)),"Needs a date",IF(D2811="","Needs a client",IF(COUNTIF(Clients!$B$6:$B$105,D2811)=0,"Not on Clients",IF(AND(F2811="",INT(B2811)&lt;TODAY()),"Needs a status","")))))</f>
        <v/>
      </c>
      <c r="I2811" s="1">
        <f>IF(ISNUMBER(B2811),INT(B2811),0)</f>
        <v/>
      </c>
      <c r="J2811">
        <f>IF(ISNUMBER(B2811),YEAR(B2811)*100+MONTH(B2811),"")</f>
        <v/>
      </c>
      <c r="K2811">
        <f>IF(AND(H2811="",OR(F2811="Attended",F2811="No-show",AND(F2811="Late cancel",Settings!$C$9="Yes"))),1,0)</f>
        <v/>
      </c>
      <c r="L2811">
        <f>IF(AND(H2811="",F2811="Attended"),1,0)</f>
        <v/>
      </c>
      <c r="M2811">
        <f>IF(AND(H2811="",OR(F2811="No-show",F2811="Late cancel")),1,0)</f>
        <v/>
      </c>
      <c r="N2811">
        <f>IF(AND(H2811="",F2811="",D2811&lt;&gt;"",I2811&gt;=TODAY()),ROUND((I2811+IF(ISNUMBER(C2811),MOD(C2811,1),0))*1440,0)*10000+ROW(),"")</f>
        <v/>
      </c>
    </row>
    <row r="2812">
      <c r="A2812" s="1" t="n"/>
      <c r="B2812" s="17" t="n"/>
      <c r="C2812" s="18" t="n"/>
      <c r="D2812" s="19" t="n"/>
      <c r="E2812" s="20" t="n"/>
      <c r="F2812" s="20" t="n"/>
      <c r="G2812" s="21" t="n"/>
      <c r="H2812" s="12">
        <f>IF(AND(B2812="",D2812="",F2812=""),"",IF(NOT(ISNUMBER(B2812)),"Needs a date",IF(D2812="","Needs a client",IF(COUNTIF(Clients!$B$6:$B$105,D2812)=0,"Not on Clients",IF(AND(F2812="",INT(B2812)&lt;TODAY()),"Needs a status","")))))</f>
        <v/>
      </c>
      <c r="I2812" s="1">
        <f>IF(ISNUMBER(B2812),INT(B2812),0)</f>
        <v/>
      </c>
      <c r="J2812">
        <f>IF(ISNUMBER(B2812),YEAR(B2812)*100+MONTH(B2812),"")</f>
        <v/>
      </c>
      <c r="K2812">
        <f>IF(AND(H2812="",OR(F2812="Attended",F2812="No-show",AND(F2812="Late cancel",Settings!$C$9="Yes"))),1,0)</f>
        <v/>
      </c>
      <c r="L2812">
        <f>IF(AND(H2812="",F2812="Attended"),1,0)</f>
        <v/>
      </c>
      <c r="M2812">
        <f>IF(AND(H2812="",OR(F2812="No-show",F2812="Late cancel")),1,0)</f>
        <v/>
      </c>
      <c r="N2812">
        <f>IF(AND(H2812="",F2812="",D2812&lt;&gt;"",I2812&gt;=TODAY()),ROUND((I2812+IF(ISNUMBER(C2812),MOD(C2812,1),0))*1440,0)*10000+ROW(),"")</f>
        <v/>
      </c>
    </row>
    <row r="2813">
      <c r="A2813" s="1" t="n"/>
      <c r="B2813" s="17" t="n"/>
      <c r="C2813" s="18" t="n"/>
      <c r="D2813" s="19" t="n"/>
      <c r="E2813" s="20" t="n"/>
      <c r="F2813" s="20" t="n"/>
      <c r="G2813" s="21" t="n"/>
      <c r="H2813" s="12">
        <f>IF(AND(B2813="",D2813="",F2813=""),"",IF(NOT(ISNUMBER(B2813)),"Needs a date",IF(D2813="","Needs a client",IF(COUNTIF(Clients!$B$6:$B$105,D2813)=0,"Not on Clients",IF(AND(F2813="",INT(B2813)&lt;TODAY()),"Needs a status","")))))</f>
        <v/>
      </c>
      <c r="I2813" s="1">
        <f>IF(ISNUMBER(B2813),INT(B2813),0)</f>
        <v/>
      </c>
      <c r="J2813">
        <f>IF(ISNUMBER(B2813),YEAR(B2813)*100+MONTH(B2813),"")</f>
        <v/>
      </c>
      <c r="K2813">
        <f>IF(AND(H2813="",OR(F2813="Attended",F2813="No-show",AND(F2813="Late cancel",Settings!$C$9="Yes"))),1,0)</f>
        <v/>
      </c>
      <c r="L2813">
        <f>IF(AND(H2813="",F2813="Attended"),1,0)</f>
        <v/>
      </c>
      <c r="M2813">
        <f>IF(AND(H2813="",OR(F2813="No-show",F2813="Late cancel")),1,0)</f>
        <v/>
      </c>
      <c r="N2813">
        <f>IF(AND(H2813="",F2813="",D2813&lt;&gt;"",I2813&gt;=TODAY()),ROUND((I2813+IF(ISNUMBER(C2813),MOD(C2813,1),0))*1440,0)*10000+ROW(),"")</f>
        <v/>
      </c>
    </row>
    <row r="2814">
      <c r="A2814" s="1" t="n"/>
      <c r="B2814" s="17" t="n"/>
      <c r="C2814" s="18" t="n"/>
      <c r="D2814" s="19" t="n"/>
      <c r="E2814" s="20" t="n"/>
      <c r="F2814" s="20" t="n"/>
      <c r="G2814" s="21" t="n"/>
      <c r="H2814" s="12">
        <f>IF(AND(B2814="",D2814="",F2814=""),"",IF(NOT(ISNUMBER(B2814)),"Needs a date",IF(D2814="","Needs a client",IF(COUNTIF(Clients!$B$6:$B$105,D2814)=0,"Not on Clients",IF(AND(F2814="",INT(B2814)&lt;TODAY()),"Needs a status","")))))</f>
        <v/>
      </c>
      <c r="I2814" s="1">
        <f>IF(ISNUMBER(B2814),INT(B2814),0)</f>
        <v/>
      </c>
      <c r="J2814">
        <f>IF(ISNUMBER(B2814),YEAR(B2814)*100+MONTH(B2814),"")</f>
        <v/>
      </c>
      <c r="K2814">
        <f>IF(AND(H2814="",OR(F2814="Attended",F2814="No-show",AND(F2814="Late cancel",Settings!$C$9="Yes"))),1,0)</f>
        <v/>
      </c>
      <c r="L2814">
        <f>IF(AND(H2814="",F2814="Attended"),1,0)</f>
        <v/>
      </c>
      <c r="M2814">
        <f>IF(AND(H2814="",OR(F2814="No-show",F2814="Late cancel")),1,0)</f>
        <v/>
      </c>
      <c r="N2814">
        <f>IF(AND(H2814="",F2814="",D2814&lt;&gt;"",I2814&gt;=TODAY()),ROUND((I2814+IF(ISNUMBER(C2814),MOD(C2814,1),0))*1440,0)*10000+ROW(),"")</f>
        <v/>
      </c>
    </row>
    <row r="2815">
      <c r="A2815" s="1" t="n"/>
      <c r="B2815" s="17" t="n"/>
      <c r="C2815" s="18" t="n"/>
      <c r="D2815" s="19" t="n"/>
      <c r="E2815" s="20" t="n"/>
      <c r="F2815" s="20" t="n"/>
      <c r="G2815" s="21" t="n"/>
      <c r="H2815" s="12">
        <f>IF(AND(B2815="",D2815="",F2815=""),"",IF(NOT(ISNUMBER(B2815)),"Needs a date",IF(D2815="","Needs a client",IF(COUNTIF(Clients!$B$6:$B$105,D2815)=0,"Not on Clients",IF(AND(F2815="",INT(B2815)&lt;TODAY()),"Needs a status","")))))</f>
        <v/>
      </c>
      <c r="I2815" s="1">
        <f>IF(ISNUMBER(B2815),INT(B2815),0)</f>
        <v/>
      </c>
      <c r="J2815">
        <f>IF(ISNUMBER(B2815),YEAR(B2815)*100+MONTH(B2815),"")</f>
        <v/>
      </c>
      <c r="K2815">
        <f>IF(AND(H2815="",OR(F2815="Attended",F2815="No-show",AND(F2815="Late cancel",Settings!$C$9="Yes"))),1,0)</f>
        <v/>
      </c>
      <c r="L2815">
        <f>IF(AND(H2815="",F2815="Attended"),1,0)</f>
        <v/>
      </c>
      <c r="M2815">
        <f>IF(AND(H2815="",OR(F2815="No-show",F2815="Late cancel")),1,0)</f>
        <v/>
      </c>
      <c r="N2815">
        <f>IF(AND(H2815="",F2815="",D2815&lt;&gt;"",I2815&gt;=TODAY()),ROUND((I2815+IF(ISNUMBER(C2815),MOD(C2815,1),0))*1440,0)*10000+ROW(),"")</f>
        <v/>
      </c>
    </row>
    <row r="2816">
      <c r="A2816" s="1" t="n"/>
      <c r="B2816" s="17" t="n"/>
      <c r="C2816" s="18" t="n"/>
      <c r="D2816" s="19" t="n"/>
      <c r="E2816" s="20" t="n"/>
      <c r="F2816" s="20" t="n"/>
      <c r="G2816" s="21" t="n"/>
      <c r="H2816" s="12">
        <f>IF(AND(B2816="",D2816="",F2816=""),"",IF(NOT(ISNUMBER(B2816)),"Needs a date",IF(D2816="","Needs a client",IF(COUNTIF(Clients!$B$6:$B$105,D2816)=0,"Not on Clients",IF(AND(F2816="",INT(B2816)&lt;TODAY()),"Needs a status","")))))</f>
        <v/>
      </c>
      <c r="I2816" s="1">
        <f>IF(ISNUMBER(B2816),INT(B2816),0)</f>
        <v/>
      </c>
      <c r="J2816">
        <f>IF(ISNUMBER(B2816),YEAR(B2816)*100+MONTH(B2816),"")</f>
        <v/>
      </c>
      <c r="K2816">
        <f>IF(AND(H2816="",OR(F2816="Attended",F2816="No-show",AND(F2816="Late cancel",Settings!$C$9="Yes"))),1,0)</f>
        <v/>
      </c>
      <c r="L2816">
        <f>IF(AND(H2816="",F2816="Attended"),1,0)</f>
        <v/>
      </c>
      <c r="M2816">
        <f>IF(AND(H2816="",OR(F2816="No-show",F2816="Late cancel")),1,0)</f>
        <v/>
      </c>
      <c r="N2816">
        <f>IF(AND(H2816="",F2816="",D2816&lt;&gt;"",I2816&gt;=TODAY()),ROUND((I2816+IF(ISNUMBER(C2816),MOD(C2816,1),0))*1440,0)*10000+ROW(),"")</f>
        <v/>
      </c>
    </row>
    <row r="2817">
      <c r="A2817" s="1" t="n"/>
      <c r="B2817" s="17" t="n"/>
      <c r="C2817" s="18" t="n"/>
      <c r="D2817" s="19" t="n"/>
      <c r="E2817" s="20" t="n"/>
      <c r="F2817" s="20" t="n"/>
      <c r="G2817" s="21" t="n"/>
      <c r="H2817" s="12">
        <f>IF(AND(B2817="",D2817="",F2817=""),"",IF(NOT(ISNUMBER(B2817)),"Needs a date",IF(D2817="","Needs a client",IF(COUNTIF(Clients!$B$6:$B$105,D2817)=0,"Not on Clients",IF(AND(F2817="",INT(B2817)&lt;TODAY()),"Needs a status","")))))</f>
        <v/>
      </c>
      <c r="I2817" s="1">
        <f>IF(ISNUMBER(B2817),INT(B2817),0)</f>
        <v/>
      </c>
      <c r="J2817">
        <f>IF(ISNUMBER(B2817),YEAR(B2817)*100+MONTH(B2817),"")</f>
        <v/>
      </c>
      <c r="K2817">
        <f>IF(AND(H2817="",OR(F2817="Attended",F2817="No-show",AND(F2817="Late cancel",Settings!$C$9="Yes"))),1,0)</f>
        <v/>
      </c>
      <c r="L2817">
        <f>IF(AND(H2817="",F2817="Attended"),1,0)</f>
        <v/>
      </c>
      <c r="M2817">
        <f>IF(AND(H2817="",OR(F2817="No-show",F2817="Late cancel")),1,0)</f>
        <v/>
      </c>
      <c r="N2817">
        <f>IF(AND(H2817="",F2817="",D2817&lt;&gt;"",I2817&gt;=TODAY()),ROUND((I2817+IF(ISNUMBER(C2817),MOD(C2817,1),0))*1440,0)*10000+ROW(),"")</f>
        <v/>
      </c>
    </row>
    <row r="2818">
      <c r="A2818" s="1" t="n"/>
      <c r="B2818" s="17" t="n"/>
      <c r="C2818" s="18" t="n"/>
      <c r="D2818" s="19" t="n"/>
      <c r="E2818" s="20" t="n"/>
      <c r="F2818" s="20" t="n"/>
      <c r="G2818" s="21" t="n"/>
      <c r="H2818" s="12">
        <f>IF(AND(B2818="",D2818="",F2818=""),"",IF(NOT(ISNUMBER(B2818)),"Needs a date",IF(D2818="","Needs a client",IF(COUNTIF(Clients!$B$6:$B$105,D2818)=0,"Not on Clients",IF(AND(F2818="",INT(B2818)&lt;TODAY()),"Needs a status","")))))</f>
        <v/>
      </c>
      <c r="I2818" s="1">
        <f>IF(ISNUMBER(B2818),INT(B2818),0)</f>
        <v/>
      </c>
      <c r="J2818">
        <f>IF(ISNUMBER(B2818),YEAR(B2818)*100+MONTH(B2818),"")</f>
        <v/>
      </c>
      <c r="K2818">
        <f>IF(AND(H2818="",OR(F2818="Attended",F2818="No-show",AND(F2818="Late cancel",Settings!$C$9="Yes"))),1,0)</f>
        <v/>
      </c>
      <c r="L2818">
        <f>IF(AND(H2818="",F2818="Attended"),1,0)</f>
        <v/>
      </c>
      <c r="M2818">
        <f>IF(AND(H2818="",OR(F2818="No-show",F2818="Late cancel")),1,0)</f>
        <v/>
      </c>
      <c r="N2818">
        <f>IF(AND(H2818="",F2818="",D2818&lt;&gt;"",I2818&gt;=TODAY()),ROUND((I2818+IF(ISNUMBER(C2818),MOD(C2818,1),0))*1440,0)*10000+ROW(),"")</f>
        <v/>
      </c>
    </row>
    <row r="2819">
      <c r="A2819" s="1" t="n"/>
      <c r="B2819" s="17" t="n"/>
      <c r="C2819" s="18" t="n"/>
      <c r="D2819" s="19" t="n"/>
      <c r="E2819" s="20" t="n"/>
      <c r="F2819" s="20" t="n"/>
      <c r="G2819" s="21" t="n"/>
      <c r="H2819" s="12">
        <f>IF(AND(B2819="",D2819="",F2819=""),"",IF(NOT(ISNUMBER(B2819)),"Needs a date",IF(D2819="","Needs a client",IF(COUNTIF(Clients!$B$6:$B$105,D2819)=0,"Not on Clients",IF(AND(F2819="",INT(B2819)&lt;TODAY()),"Needs a status","")))))</f>
        <v/>
      </c>
      <c r="I2819" s="1">
        <f>IF(ISNUMBER(B2819),INT(B2819),0)</f>
        <v/>
      </c>
      <c r="J2819">
        <f>IF(ISNUMBER(B2819),YEAR(B2819)*100+MONTH(B2819),"")</f>
        <v/>
      </c>
      <c r="K2819">
        <f>IF(AND(H2819="",OR(F2819="Attended",F2819="No-show",AND(F2819="Late cancel",Settings!$C$9="Yes"))),1,0)</f>
        <v/>
      </c>
      <c r="L2819">
        <f>IF(AND(H2819="",F2819="Attended"),1,0)</f>
        <v/>
      </c>
      <c r="M2819">
        <f>IF(AND(H2819="",OR(F2819="No-show",F2819="Late cancel")),1,0)</f>
        <v/>
      </c>
      <c r="N2819">
        <f>IF(AND(H2819="",F2819="",D2819&lt;&gt;"",I2819&gt;=TODAY()),ROUND((I2819+IF(ISNUMBER(C2819),MOD(C2819,1),0))*1440,0)*10000+ROW(),"")</f>
        <v/>
      </c>
    </row>
    <row r="2820">
      <c r="A2820" s="1" t="n"/>
      <c r="B2820" s="17" t="n"/>
      <c r="C2820" s="18" t="n"/>
      <c r="D2820" s="19" t="n"/>
      <c r="E2820" s="20" t="n"/>
      <c r="F2820" s="20" t="n"/>
      <c r="G2820" s="21" t="n"/>
      <c r="H2820" s="12">
        <f>IF(AND(B2820="",D2820="",F2820=""),"",IF(NOT(ISNUMBER(B2820)),"Needs a date",IF(D2820="","Needs a client",IF(COUNTIF(Clients!$B$6:$B$105,D2820)=0,"Not on Clients",IF(AND(F2820="",INT(B2820)&lt;TODAY()),"Needs a status","")))))</f>
        <v/>
      </c>
      <c r="I2820" s="1">
        <f>IF(ISNUMBER(B2820),INT(B2820),0)</f>
        <v/>
      </c>
      <c r="J2820">
        <f>IF(ISNUMBER(B2820),YEAR(B2820)*100+MONTH(B2820),"")</f>
        <v/>
      </c>
      <c r="K2820">
        <f>IF(AND(H2820="",OR(F2820="Attended",F2820="No-show",AND(F2820="Late cancel",Settings!$C$9="Yes"))),1,0)</f>
        <v/>
      </c>
      <c r="L2820">
        <f>IF(AND(H2820="",F2820="Attended"),1,0)</f>
        <v/>
      </c>
      <c r="M2820">
        <f>IF(AND(H2820="",OR(F2820="No-show",F2820="Late cancel")),1,0)</f>
        <v/>
      </c>
      <c r="N2820">
        <f>IF(AND(H2820="",F2820="",D2820&lt;&gt;"",I2820&gt;=TODAY()),ROUND((I2820+IF(ISNUMBER(C2820),MOD(C2820,1),0))*1440,0)*10000+ROW(),"")</f>
        <v/>
      </c>
    </row>
    <row r="2821">
      <c r="A2821" s="1" t="n"/>
      <c r="B2821" s="17" t="n"/>
      <c r="C2821" s="18" t="n"/>
      <c r="D2821" s="19" t="n"/>
      <c r="E2821" s="20" t="n"/>
      <c r="F2821" s="20" t="n"/>
      <c r="G2821" s="21" t="n"/>
      <c r="H2821" s="12">
        <f>IF(AND(B2821="",D2821="",F2821=""),"",IF(NOT(ISNUMBER(B2821)),"Needs a date",IF(D2821="","Needs a client",IF(COUNTIF(Clients!$B$6:$B$105,D2821)=0,"Not on Clients",IF(AND(F2821="",INT(B2821)&lt;TODAY()),"Needs a status","")))))</f>
        <v/>
      </c>
      <c r="I2821" s="1">
        <f>IF(ISNUMBER(B2821),INT(B2821),0)</f>
        <v/>
      </c>
      <c r="J2821">
        <f>IF(ISNUMBER(B2821),YEAR(B2821)*100+MONTH(B2821),"")</f>
        <v/>
      </c>
      <c r="K2821">
        <f>IF(AND(H2821="",OR(F2821="Attended",F2821="No-show",AND(F2821="Late cancel",Settings!$C$9="Yes"))),1,0)</f>
        <v/>
      </c>
      <c r="L2821">
        <f>IF(AND(H2821="",F2821="Attended"),1,0)</f>
        <v/>
      </c>
      <c r="M2821">
        <f>IF(AND(H2821="",OR(F2821="No-show",F2821="Late cancel")),1,0)</f>
        <v/>
      </c>
      <c r="N2821">
        <f>IF(AND(H2821="",F2821="",D2821&lt;&gt;"",I2821&gt;=TODAY()),ROUND((I2821+IF(ISNUMBER(C2821),MOD(C2821,1),0))*1440,0)*10000+ROW(),"")</f>
        <v/>
      </c>
    </row>
    <row r="2822">
      <c r="A2822" s="1" t="n"/>
      <c r="B2822" s="17" t="n"/>
      <c r="C2822" s="18" t="n"/>
      <c r="D2822" s="19" t="n"/>
      <c r="E2822" s="20" t="n"/>
      <c r="F2822" s="20" t="n"/>
      <c r="G2822" s="21" t="n"/>
      <c r="H2822" s="12">
        <f>IF(AND(B2822="",D2822="",F2822=""),"",IF(NOT(ISNUMBER(B2822)),"Needs a date",IF(D2822="","Needs a client",IF(COUNTIF(Clients!$B$6:$B$105,D2822)=0,"Not on Clients",IF(AND(F2822="",INT(B2822)&lt;TODAY()),"Needs a status","")))))</f>
        <v/>
      </c>
      <c r="I2822" s="1">
        <f>IF(ISNUMBER(B2822),INT(B2822),0)</f>
        <v/>
      </c>
      <c r="J2822">
        <f>IF(ISNUMBER(B2822),YEAR(B2822)*100+MONTH(B2822),"")</f>
        <v/>
      </c>
      <c r="K2822">
        <f>IF(AND(H2822="",OR(F2822="Attended",F2822="No-show",AND(F2822="Late cancel",Settings!$C$9="Yes"))),1,0)</f>
        <v/>
      </c>
      <c r="L2822">
        <f>IF(AND(H2822="",F2822="Attended"),1,0)</f>
        <v/>
      </c>
      <c r="M2822">
        <f>IF(AND(H2822="",OR(F2822="No-show",F2822="Late cancel")),1,0)</f>
        <v/>
      </c>
      <c r="N2822">
        <f>IF(AND(H2822="",F2822="",D2822&lt;&gt;"",I2822&gt;=TODAY()),ROUND((I2822+IF(ISNUMBER(C2822),MOD(C2822,1),0))*1440,0)*10000+ROW(),"")</f>
        <v/>
      </c>
    </row>
    <row r="2823">
      <c r="A2823" s="1" t="n"/>
      <c r="B2823" s="17" t="n"/>
      <c r="C2823" s="18" t="n"/>
      <c r="D2823" s="19" t="n"/>
      <c r="E2823" s="20" t="n"/>
      <c r="F2823" s="20" t="n"/>
      <c r="G2823" s="21" t="n"/>
      <c r="H2823" s="12">
        <f>IF(AND(B2823="",D2823="",F2823=""),"",IF(NOT(ISNUMBER(B2823)),"Needs a date",IF(D2823="","Needs a client",IF(COUNTIF(Clients!$B$6:$B$105,D2823)=0,"Not on Clients",IF(AND(F2823="",INT(B2823)&lt;TODAY()),"Needs a status","")))))</f>
        <v/>
      </c>
      <c r="I2823" s="1">
        <f>IF(ISNUMBER(B2823),INT(B2823),0)</f>
        <v/>
      </c>
      <c r="J2823">
        <f>IF(ISNUMBER(B2823),YEAR(B2823)*100+MONTH(B2823),"")</f>
        <v/>
      </c>
      <c r="K2823">
        <f>IF(AND(H2823="",OR(F2823="Attended",F2823="No-show",AND(F2823="Late cancel",Settings!$C$9="Yes"))),1,0)</f>
        <v/>
      </c>
      <c r="L2823">
        <f>IF(AND(H2823="",F2823="Attended"),1,0)</f>
        <v/>
      </c>
      <c r="M2823">
        <f>IF(AND(H2823="",OR(F2823="No-show",F2823="Late cancel")),1,0)</f>
        <v/>
      </c>
      <c r="N2823">
        <f>IF(AND(H2823="",F2823="",D2823&lt;&gt;"",I2823&gt;=TODAY()),ROUND((I2823+IF(ISNUMBER(C2823),MOD(C2823,1),0))*1440,0)*10000+ROW(),"")</f>
        <v/>
      </c>
    </row>
    <row r="2824">
      <c r="A2824" s="1" t="n"/>
      <c r="B2824" s="17" t="n"/>
      <c r="C2824" s="18" t="n"/>
      <c r="D2824" s="19" t="n"/>
      <c r="E2824" s="20" t="n"/>
      <c r="F2824" s="20" t="n"/>
      <c r="G2824" s="21" t="n"/>
      <c r="H2824" s="12">
        <f>IF(AND(B2824="",D2824="",F2824=""),"",IF(NOT(ISNUMBER(B2824)),"Needs a date",IF(D2824="","Needs a client",IF(COUNTIF(Clients!$B$6:$B$105,D2824)=0,"Not on Clients",IF(AND(F2824="",INT(B2824)&lt;TODAY()),"Needs a status","")))))</f>
        <v/>
      </c>
      <c r="I2824" s="1">
        <f>IF(ISNUMBER(B2824),INT(B2824),0)</f>
        <v/>
      </c>
      <c r="J2824">
        <f>IF(ISNUMBER(B2824),YEAR(B2824)*100+MONTH(B2824),"")</f>
        <v/>
      </c>
      <c r="K2824">
        <f>IF(AND(H2824="",OR(F2824="Attended",F2824="No-show",AND(F2824="Late cancel",Settings!$C$9="Yes"))),1,0)</f>
        <v/>
      </c>
      <c r="L2824">
        <f>IF(AND(H2824="",F2824="Attended"),1,0)</f>
        <v/>
      </c>
      <c r="M2824">
        <f>IF(AND(H2824="",OR(F2824="No-show",F2824="Late cancel")),1,0)</f>
        <v/>
      </c>
      <c r="N2824">
        <f>IF(AND(H2824="",F2824="",D2824&lt;&gt;"",I2824&gt;=TODAY()),ROUND((I2824+IF(ISNUMBER(C2824),MOD(C2824,1),0))*1440,0)*10000+ROW(),"")</f>
        <v/>
      </c>
    </row>
    <row r="2825">
      <c r="A2825" s="1" t="n"/>
      <c r="B2825" s="17" t="n"/>
      <c r="C2825" s="18" t="n"/>
      <c r="D2825" s="19" t="n"/>
      <c r="E2825" s="20" t="n"/>
      <c r="F2825" s="20" t="n"/>
      <c r="G2825" s="21" t="n"/>
      <c r="H2825" s="12">
        <f>IF(AND(B2825="",D2825="",F2825=""),"",IF(NOT(ISNUMBER(B2825)),"Needs a date",IF(D2825="","Needs a client",IF(COUNTIF(Clients!$B$6:$B$105,D2825)=0,"Not on Clients",IF(AND(F2825="",INT(B2825)&lt;TODAY()),"Needs a status","")))))</f>
        <v/>
      </c>
      <c r="I2825" s="1">
        <f>IF(ISNUMBER(B2825),INT(B2825),0)</f>
        <v/>
      </c>
      <c r="J2825">
        <f>IF(ISNUMBER(B2825),YEAR(B2825)*100+MONTH(B2825),"")</f>
        <v/>
      </c>
      <c r="K2825">
        <f>IF(AND(H2825="",OR(F2825="Attended",F2825="No-show",AND(F2825="Late cancel",Settings!$C$9="Yes"))),1,0)</f>
        <v/>
      </c>
      <c r="L2825">
        <f>IF(AND(H2825="",F2825="Attended"),1,0)</f>
        <v/>
      </c>
      <c r="M2825">
        <f>IF(AND(H2825="",OR(F2825="No-show",F2825="Late cancel")),1,0)</f>
        <v/>
      </c>
      <c r="N2825">
        <f>IF(AND(H2825="",F2825="",D2825&lt;&gt;"",I2825&gt;=TODAY()),ROUND((I2825+IF(ISNUMBER(C2825),MOD(C2825,1),0))*1440,0)*10000+ROW(),"")</f>
        <v/>
      </c>
    </row>
    <row r="2826">
      <c r="A2826" s="1" t="n"/>
      <c r="B2826" s="17" t="n"/>
      <c r="C2826" s="18" t="n"/>
      <c r="D2826" s="19" t="n"/>
      <c r="E2826" s="20" t="n"/>
      <c r="F2826" s="20" t="n"/>
      <c r="G2826" s="21" t="n"/>
      <c r="H2826" s="12">
        <f>IF(AND(B2826="",D2826="",F2826=""),"",IF(NOT(ISNUMBER(B2826)),"Needs a date",IF(D2826="","Needs a client",IF(COUNTIF(Clients!$B$6:$B$105,D2826)=0,"Not on Clients",IF(AND(F2826="",INT(B2826)&lt;TODAY()),"Needs a status","")))))</f>
        <v/>
      </c>
      <c r="I2826" s="1">
        <f>IF(ISNUMBER(B2826),INT(B2826),0)</f>
        <v/>
      </c>
      <c r="J2826">
        <f>IF(ISNUMBER(B2826),YEAR(B2826)*100+MONTH(B2826),"")</f>
        <v/>
      </c>
      <c r="K2826">
        <f>IF(AND(H2826="",OR(F2826="Attended",F2826="No-show",AND(F2826="Late cancel",Settings!$C$9="Yes"))),1,0)</f>
        <v/>
      </c>
      <c r="L2826">
        <f>IF(AND(H2826="",F2826="Attended"),1,0)</f>
        <v/>
      </c>
      <c r="M2826">
        <f>IF(AND(H2826="",OR(F2826="No-show",F2826="Late cancel")),1,0)</f>
        <v/>
      </c>
      <c r="N2826">
        <f>IF(AND(H2826="",F2826="",D2826&lt;&gt;"",I2826&gt;=TODAY()),ROUND((I2826+IF(ISNUMBER(C2826),MOD(C2826,1),0))*1440,0)*10000+ROW(),"")</f>
        <v/>
      </c>
    </row>
    <row r="2827">
      <c r="A2827" s="1" t="n"/>
      <c r="B2827" s="17" t="n"/>
      <c r="C2827" s="18" t="n"/>
      <c r="D2827" s="19" t="n"/>
      <c r="E2827" s="20" t="n"/>
      <c r="F2827" s="20" t="n"/>
      <c r="G2827" s="21" t="n"/>
      <c r="H2827" s="12">
        <f>IF(AND(B2827="",D2827="",F2827=""),"",IF(NOT(ISNUMBER(B2827)),"Needs a date",IF(D2827="","Needs a client",IF(COUNTIF(Clients!$B$6:$B$105,D2827)=0,"Not on Clients",IF(AND(F2827="",INT(B2827)&lt;TODAY()),"Needs a status","")))))</f>
        <v/>
      </c>
      <c r="I2827" s="1">
        <f>IF(ISNUMBER(B2827),INT(B2827),0)</f>
        <v/>
      </c>
      <c r="J2827">
        <f>IF(ISNUMBER(B2827),YEAR(B2827)*100+MONTH(B2827),"")</f>
        <v/>
      </c>
      <c r="K2827">
        <f>IF(AND(H2827="",OR(F2827="Attended",F2827="No-show",AND(F2827="Late cancel",Settings!$C$9="Yes"))),1,0)</f>
        <v/>
      </c>
      <c r="L2827">
        <f>IF(AND(H2827="",F2827="Attended"),1,0)</f>
        <v/>
      </c>
      <c r="M2827">
        <f>IF(AND(H2827="",OR(F2827="No-show",F2827="Late cancel")),1,0)</f>
        <v/>
      </c>
      <c r="N2827">
        <f>IF(AND(H2827="",F2827="",D2827&lt;&gt;"",I2827&gt;=TODAY()),ROUND((I2827+IF(ISNUMBER(C2827),MOD(C2827,1),0))*1440,0)*10000+ROW(),"")</f>
        <v/>
      </c>
    </row>
    <row r="2828">
      <c r="A2828" s="1" t="n"/>
      <c r="B2828" s="17" t="n"/>
      <c r="C2828" s="18" t="n"/>
      <c r="D2828" s="19" t="n"/>
      <c r="E2828" s="20" t="n"/>
      <c r="F2828" s="20" t="n"/>
      <c r="G2828" s="21" t="n"/>
      <c r="H2828" s="12">
        <f>IF(AND(B2828="",D2828="",F2828=""),"",IF(NOT(ISNUMBER(B2828)),"Needs a date",IF(D2828="","Needs a client",IF(COUNTIF(Clients!$B$6:$B$105,D2828)=0,"Not on Clients",IF(AND(F2828="",INT(B2828)&lt;TODAY()),"Needs a status","")))))</f>
        <v/>
      </c>
      <c r="I2828" s="1">
        <f>IF(ISNUMBER(B2828),INT(B2828),0)</f>
        <v/>
      </c>
      <c r="J2828">
        <f>IF(ISNUMBER(B2828),YEAR(B2828)*100+MONTH(B2828),"")</f>
        <v/>
      </c>
      <c r="K2828">
        <f>IF(AND(H2828="",OR(F2828="Attended",F2828="No-show",AND(F2828="Late cancel",Settings!$C$9="Yes"))),1,0)</f>
        <v/>
      </c>
      <c r="L2828">
        <f>IF(AND(H2828="",F2828="Attended"),1,0)</f>
        <v/>
      </c>
      <c r="M2828">
        <f>IF(AND(H2828="",OR(F2828="No-show",F2828="Late cancel")),1,0)</f>
        <v/>
      </c>
      <c r="N2828">
        <f>IF(AND(H2828="",F2828="",D2828&lt;&gt;"",I2828&gt;=TODAY()),ROUND((I2828+IF(ISNUMBER(C2828),MOD(C2828,1),0))*1440,0)*10000+ROW(),"")</f>
        <v/>
      </c>
    </row>
    <row r="2829">
      <c r="A2829" s="1" t="n"/>
      <c r="B2829" s="17" t="n"/>
      <c r="C2829" s="18" t="n"/>
      <c r="D2829" s="19" t="n"/>
      <c r="E2829" s="20" t="n"/>
      <c r="F2829" s="20" t="n"/>
      <c r="G2829" s="21" t="n"/>
      <c r="H2829" s="12">
        <f>IF(AND(B2829="",D2829="",F2829=""),"",IF(NOT(ISNUMBER(B2829)),"Needs a date",IF(D2829="","Needs a client",IF(COUNTIF(Clients!$B$6:$B$105,D2829)=0,"Not on Clients",IF(AND(F2829="",INT(B2829)&lt;TODAY()),"Needs a status","")))))</f>
        <v/>
      </c>
      <c r="I2829" s="1">
        <f>IF(ISNUMBER(B2829),INT(B2829),0)</f>
        <v/>
      </c>
      <c r="J2829">
        <f>IF(ISNUMBER(B2829),YEAR(B2829)*100+MONTH(B2829),"")</f>
        <v/>
      </c>
      <c r="K2829">
        <f>IF(AND(H2829="",OR(F2829="Attended",F2829="No-show",AND(F2829="Late cancel",Settings!$C$9="Yes"))),1,0)</f>
        <v/>
      </c>
      <c r="L2829">
        <f>IF(AND(H2829="",F2829="Attended"),1,0)</f>
        <v/>
      </c>
      <c r="M2829">
        <f>IF(AND(H2829="",OR(F2829="No-show",F2829="Late cancel")),1,0)</f>
        <v/>
      </c>
      <c r="N2829">
        <f>IF(AND(H2829="",F2829="",D2829&lt;&gt;"",I2829&gt;=TODAY()),ROUND((I2829+IF(ISNUMBER(C2829),MOD(C2829,1),0))*1440,0)*10000+ROW(),"")</f>
        <v/>
      </c>
    </row>
    <row r="2830">
      <c r="A2830" s="1" t="n"/>
      <c r="B2830" s="17" t="n"/>
      <c r="C2830" s="18" t="n"/>
      <c r="D2830" s="19" t="n"/>
      <c r="E2830" s="20" t="n"/>
      <c r="F2830" s="20" t="n"/>
      <c r="G2830" s="21" t="n"/>
      <c r="H2830" s="12">
        <f>IF(AND(B2830="",D2830="",F2830=""),"",IF(NOT(ISNUMBER(B2830)),"Needs a date",IF(D2830="","Needs a client",IF(COUNTIF(Clients!$B$6:$B$105,D2830)=0,"Not on Clients",IF(AND(F2830="",INT(B2830)&lt;TODAY()),"Needs a status","")))))</f>
        <v/>
      </c>
      <c r="I2830" s="1">
        <f>IF(ISNUMBER(B2830),INT(B2830),0)</f>
        <v/>
      </c>
      <c r="J2830">
        <f>IF(ISNUMBER(B2830),YEAR(B2830)*100+MONTH(B2830),"")</f>
        <v/>
      </c>
      <c r="K2830">
        <f>IF(AND(H2830="",OR(F2830="Attended",F2830="No-show",AND(F2830="Late cancel",Settings!$C$9="Yes"))),1,0)</f>
        <v/>
      </c>
      <c r="L2830">
        <f>IF(AND(H2830="",F2830="Attended"),1,0)</f>
        <v/>
      </c>
      <c r="M2830">
        <f>IF(AND(H2830="",OR(F2830="No-show",F2830="Late cancel")),1,0)</f>
        <v/>
      </c>
      <c r="N2830">
        <f>IF(AND(H2830="",F2830="",D2830&lt;&gt;"",I2830&gt;=TODAY()),ROUND((I2830+IF(ISNUMBER(C2830),MOD(C2830,1),0))*1440,0)*10000+ROW(),"")</f>
        <v/>
      </c>
    </row>
    <row r="2831">
      <c r="A2831" s="1" t="n"/>
      <c r="B2831" s="17" t="n"/>
      <c r="C2831" s="18" t="n"/>
      <c r="D2831" s="19" t="n"/>
      <c r="E2831" s="20" t="n"/>
      <c r="F2831" s="20" t="n"/>
      <c r="G2831" s="21" t="n"/>
      <c r="H2831" s="12">
        <f>IF(AND(B2831="",D2831="",F2831=""),"",IF(NOT(ISNUMBER(B2831)),"Needs a date",IF(D2831="","Needs a client",IF(COUNTIF(Clients!$B$6:$B$105,D2831)=0,"Not on Clients",IF(AND(F2831="",INT(B2831)&lt;TODAY()),"Needs a status","")))))</f>
        <v/>
      </c>
      <c r="I2831" s="1">
        <f>IF(ISNUMBER(B2831),INT(B2831),0)</f>
        <v/>
      </c>
      <c r="J2831">
        <f>IF(ISNUMBER(B2831),YEAR(B2831)*100+MONTH(B2831),"")</f>
        <v/>
      </c>
      <c r="K2831">
        <f>IF(AND(H2831="",OR(F2831="Attended",F2831="No-show",AND(F2831="Late cancel",Settings!$C$9="Yes"))),1,0)</f>
        <v/>
      </c>
      <c r="L2831">
        <f>IF(AND(H2831="",F2831="Attended"),1,0)</f>
        <v/>
      </c>
      <c r="M2831">
        <f>IF(AND(H2831="",OR(F2831="No-show",F2831="Late cancel")),1,0)</f>
        <v/>
      </c>
      <c r="N2831">
        <f>IF(AND(H2831="",F2831="",D2831&lt;&gt;"",I2831&gt;=TODAY()),ROUND((I2831+IF(ISNUMBER(C2831),MOD(C2831,1),0))*1440,0)*10000+ROW(),"")</f>
        <v/>
      </c>
    </row>
    <row r="2832">
      <c r="A2832" s="1" t="n"/>
      <c r="B2832" s="17" t="n"/>
      <c r="C2832" s="18" t="n"/>
      <c r="D2832" s="19" t="n"/>
      <c r="E2832" s="20" t="n"/>
      <c r="F2832" s="20" t="n"/>
      <c r="G2832" s="21" t="n"/>
      <c r="H2832" s="12">
        <f>IF(AND(B2832="",D2832="",F2832=""),"",IF(NOT(ISNUMBER(B2832)),"Needs a date",IF(D2832="","Needs a client",IF(COUNTIF(Clients!$B$6:$B$105,D2832)=0,"Not on Clients",IF(AND(F2832="",INT(B2832)&lt;TODAY()),"Needs a status","")))))</f>
        <v/>
      </c>
      <c r="I2832" s="1">
        <f>IF(ISNUMBER(B2832),INT(B2832),0)</f>
        <v/>
      </c>
      <c r="J2832">
        <f>IF(ISNUMBER(B2832),YEAR(B2832)*100+MONTH(B2832),"")</f>
        <v/>
      </c>
      <c r="K2832">
        <f>IF(AND(H2832="",OR(F2832="Attended",F2832="No-show",AND(F2832="Late cancel",Settings!$C$9="Yes"))),1,0)</f>
        <v/>
      </c>
      <c r="L2832">
        <f>IF(AND(H2832="",F2832="Attended"),1,0)</f>
        <v/>
      </c>
      <c r="M2832">
        <f>IF(AND(H2832="",OR(F2832="No-show",F2832="Late cancel")),1,0)</f>
        <v/>
      </c>
      <c r="N2832">
        <f>IF(AND(H2832="",F2832="",D2832&lt;&gt;"",I2832&gt;=TODAY()),ROUND((I2832+IF(ISNUMBER(C2832),MOD(C2832,1),0))*1440,0)*10000+ROW(),"")</f>
        <v/>
      </c>
    </row>
    <row r="2833">
      <c r="A2833" s="1" t="n"/>
      <c r="B2833" s="17" t="n"/>
      <c r="C2833" s="18" t="n"/>
      <c r="D2833" s="19" t="n"/>
      <c r="E2833" s="20" t="n"/>
      <c r="F2833" s="20" t="n"/>
      <c r="G2833" s="21" t="n"/>
      <c r="H2833" s="12">
        <f>IF(AND(B2833="",D2833="",F2833=""),"",IF(NOT(ISNUMBER(B2833)),"Needs a date",IF(D2833="","Needs a client",IF(COUNTIF(Clients!$B$6:$B$105,D2833)=0,"Not on Clients",IF(AND(F2833="",INT(B2833)&lt;TODAY()),"Needs a status","")))))</f>
        <v/>
      </c>
      <c r="I2833" s="1">
        <f>IF(ISNUMBER(B2833),INT(B2833),0)</f>
        <v/>
      </c>
      <c r="J2833">
        <f>IF(ISNUMBER(B2833),YEAR(B2833)*100+MONTH(B2833),"")</f>
        <v/>
      </c>
      <c r="K2833">
        <f>IF(AND(H2833="",OR(F2833="Attended",F2833="No-show",AND(F2833="Late cancel",Settings!$C$9="Yes"))),1,0)</f>
        <v/>
      </c>
      <c r="L2833">
        <f>IF(AND(H2833="",F2833="Attended"),1,0)</f>
        <v/>
      </c>
      <c r="M2833">
        <f>IF(AND(H2833="",OR(F2833="No-show",F2833="Late cancel")),1,0)</f>
        <v/>
      </c>
      <c r="N2833">
        <f>IF(AND(H2833="",F2833="",D2833&lt;&gt;"",I2833&gt;=TODAY()),ROUND((I2833+IF(ISNUMBER(C2833),MOD(C2833,1),0))*1440,0)*10000+ROW(),"")</f>
        <v/>
      </c>
    </row>
    <row r="2834">
      <c r="A2834" s="1" t="n"/>
      <c r="B2834" s="17" t="n"/>
      <c r="C2834" s="18" t="n"/>
      <c r="D2834" s="19" t="n"/>
      <c r="E2834" s="20" t="n"/>
      <c r="F2834" s="20" t="n"/>
      <c r="G2834" s="21" t="n"/>
      <c r="H2834" s="12">
        <f>IF(AND(B2834="",D2834="",F2834=""),"",IF(NOT(ISNUMBER(B2834)),"Needs a date",IF(D2834="","Needs a client",IF(COUNTIF(Clients!$B$6:$B$105,D2834)=0,"Not on Clients",IF(AND(F2834="",INT(B2834)&lt;TODAY()),"Needs a status","")))))</f>
        <v/>
      </c>
      <c r="I2834" s="1">
        <f>IF(ISNUMBER(B2834),INT(B2834),0)</f>
        <v/>
      </c>
      <c r="J2834">
        <f>IF(ISNUMBER(B2834),YEAR(B2834)*100+MONTH(B2834),"")</f>
        <v/>
      </c>
      <c r="K2834">
        <f>IF(AND(H2834="",OR(F2834="Attended",F2834="No-show",AND(F2834="Late cancel",Settings!$C$9="Yes"))),1,0)</f>
        <v/>
      </c>
      <c r="L2834">
        <f>IF(AND(H2834="",F2834="Attended"),1,0)</f>
        <v/>
      </c>
      <c r="M2834">
        <f>IF(AND(H2834="",OR(F2834="No-show",F2834="Late cancel")),1,0)</f>
        <v/>
      </c>
      <c r="N2834">
        <f>IF(AND(H2834="",F2834="",D2834&lt;&gt;"",I2834&gt;=TODAY()),ROUND((I2834+IF(ISNUMBER(C2834),MOD(C2834,1),0))*1440,0)*10000+ROW(),"")</f>
        <v/>
      </c>
    </row>
    <row r="2835">
      <c r="A2835" s="1" t="n"/>
      <c r="B2835" s="17" t="n"/>
      <c r="C2835" s="18" t="n"/>
      <c r="D2835" s="19" t="n"/>
      <c r="E2835" s="20" t="n"/>
      <c r="F2835" s="20" t="n"/>
      <c r="G2835" s="21" t="n"/>
      <c r="H2835" s="12">
        <f>IF(AND(B2835="",D2835="",F2835=""),"",IF(NOT(ISNUMBER(B2835)),"Needs a date",IF(D2835="","Needs a client",IF(COUNTIF(Clients!$B$6:$B$105,D2835)=0,"Not on Clients",IF(AND(F2835="",INT(B2835)&lt;TODAY()),"Needs a status","")))))</f>
        <v/>
      </c>
      <c r="I2835" s="1">
        <f>IF(ISNUMBER(B2835),INT(B2835),0)</f>
        <v/>
      </c>
      <c r="J2835">
        <f>IF(ISNUMBER(B2835),YEAR(B2835)*100+MONTH(B2835),"")</f>
        <v/>
      </c>
      <c r="K2835">
        <f>IF(AND(H2835="",OR(F2835="Attended",F2835="No-show",AND(F2835="Late cancel",Settings!$C$9="Yes"))),1,0)</f>
        <v/>
      </c>
      <c r="L2835">
        <f>IF(AND(H2835="",F2835="Attended"),1,0)</f>
        <v/>
      </c>
      <c r="M2835">
        <f>IF(AND(H2835="",OR(F2835="No-show",F2835="Late cancel")),1,0)</f>
        <v/>
      </c>
      <c r="N2835">
        <f>IF(AND(H2835="",F2835="",D2835&lt;&gt;"",I2835&gt;=TODAY()),ROUND((I2835+IF(ISNUMBER(C2835),MOD(C2835,1),0))*1440,0)*10000+ROW(),"")</f>
        <v/>
      </c>
    </row>
    <row r="2836">
      <c r="A2836" s="1" t="n"/>
      <c r="B2836" s="17" t="n"/>
      <c r="C2836" s="18" t="n"/>
      <c r="D2836" s="19" t="n"/>
      <c r="E2836" s="20" t="n"/>
      <c r="F2836" s="20" t="n"/>
      <c r="G2836" s="21" t="n"/>
      <c r="H2836" s="12">
        <f>IF(AND(B2836="",D2836="",F2836=""),"",IF(NOT(ISNUMBER(B2836)),"Needs a date",IF(D2836="","Needs a client",IF(COUNTIF(Clients!$B$6:$B$105,D2836)=0,"Not on Clients",IF(AND(F2836="",INT(B2836)&lt;TODAY()),"Needs a status","")))))</f>
        <v/>
      </c>
      <c r="I2836" s="1">
        <f>IF(ISNUMBER(B2836),INT(B2836),0)</f>
        <v/>
      </c>
      <c r="J2836">
        <f>IF(ISNUMBER(B2836),YEAR(B2836)*100+MONTH(B2836),"")</f>
        <v/>
      </c>
      <c r="K2836">
        <f>IF(AND(H2836="",OR(F2836="Attended",F2836="No-show",AND(F2836="Late cancel",Settings!$C$9="Yes"))),1,0)</f>
        <v/>
      </c>
      <c r="L2836">
        <f>IF(AND(H2836="",F2836="Attended"),1,0)</f>
        <v/>
      </c>
      <c r="M2836">
        <f>IF(AND(H2836="",OR(F2836="No-show",F2836="Late cancel")),1,0)</f>
        <v/>
      </c>
      <c r="N2836">
        <f>IF(AND(H2836="",F2836="",D2836&lt;&gt;"",I2836&gt;=TODAY()),ROUND((I2836+IF(ISNUMBER(C2836),MOD(C2836,1),0))*1440,0)*10000+ROW(),"")</f>
        <v/>
      </c>
    </row>
    <row r="2837">
      <c r="A2837" s="1" t="n"/>
      <c r="B2837" s="17" t="n"/>
      <c r="C2837" s="18" t="n"/>
      <c r="D2837" s="19" t="n"/>
      <c r="E2837" s="20" t="n"/>
      <c r="F2837" s="20" t="n"/>
      <c r="G2837" s="21" t="n"/>
      <c r="H2837" s="12">
        <f>IF(AND(B2837="",D2837="",F2837=""),"",IF(NOT(ISNUMBER(B2837)),"Needs a date",IF(D2837="","Needs a client",IF(COUNTIF(Clients!$B$6:$B$105,D2837)=0,"Not on Clients",IF(AND(F2837="",INT(B2837)&lt;TODAY()),"Needs a status","")))))</f>
        <v/>
      </c>
      <c r="I2837" s="1">
        <f>IF(ISNUMBER(B2837),INT(B2837),0)</f>
        <v/>
      </c>
      <c r="J2837">
        <f>IF(ISNUMBER(B2837),YEAR(B2837)*100+MONTH(B2837),"")</f>
        <v/>
      </c>
      <c r="K2837">
        <f>IF(AND(H2837="",OR(F2837="Attended",F2837="No-show",AND(F2837="Late cancel",Settings!$C$9="Yes"))),1,0)</f>
        <v/>
      </c>
      <c r="L2837">
        <f>IF(AND(H2837="",F2837="Attended"),1,0)</f>
        <v/>
      </c>
      <c r="M2837">
        <f>IF(AND(H2837="",OR(F2837="No-show",F2837="Late cancel")),1,0)</f>
        <v/>
      </c>
      <c r="N2837">
        <f>IF(AND(H2837="",F2837="",D2837&lt;&gt;"",I2837&gt;=TODAY()),ROUND((I2837+IF(ISNUMBER(C2837),MOD(C2837,1),0))*1440,0)*10000+ROW(),"")</f>
        <v/>
      </c>
    </row>
    <row r="2838">
      <c r="A2838" s="1" t="n"/>
      <c r="B2838" s="17" t="n"/>
      <c r="C2838" s="18" t="n"/>
      <c r="D2838" s="19" t="n"/>
      <c r="E2838" s="20" t="n"/>
      <c r="F2838" s="20" t="n"/>
      <c r="G2838" s="21" t="n"/>
      <c r="H2838" s="12">
        <f>IF(AND(B2838="",D2838="",F2838=""),"",IF(NOT(ISNUMBER(B2838)),"Needs a date",IF(D2838="","Needs a client",IF(COUNTIF(Clients!$B$6:$B$105,D2838)=0,"Not on Clients",IF(AND(F2838="",INT(B2838)&lt;TODAY()),"Needs a status","")))))</f>
        <v/>
      </c>
      <c r="I2838" s="1">
        <f>IF(ISNUMBER(B2838),INT(B2838),0)</f>
        <v/>
      </c>
      <c r="J2838">
        <f>IF(ISNUMBER(B2838),YEAR(B2838)*100+MONTH(B2838),"")</f>
        <v/>
      </c>
      <c r="K2838">
        <f>IF(AND(H2838="",OR(F2838="Attended",F2838="No-show",AND(F2838="Late cancel",Settings!$C$9="Yes"))),1,0)</f>
        <v/>
      </c>
      <c r="L2838">
        <f>IF(AND(H2838="",F2838="Attended"),1,0)</f>
        <v/>
      </c>
      <c r="M2838">
        <f>IF(AND(H2838="",OR(F2838="No-show",F2838="Late cancel")),1,0)</f>
        <v/>
      </c>
      <c r="N2838">
        <f>IF(AND(H2838="",F2838="",D2838&lt;&gt;"",I2838&gt;=TODAY()),ROUND((I2838+IF(ISNUMBER(C2838),MOD(C2838,1),0))*1440,0)*10000+ROW(),"")</f>
        <v/>
      </c>
    </row>
    <row r="2839">
      <c r="A2839" s="1" t="n"/>
      <c r="B2839" s="17" t="n"/>
      <c r="C2839" s="18" t="n"/>
      <c r="D2839" s="19" t="n"/>
      <c r="E2839" s="20" t="n"/>
      <c r="F2839" s="20" t="n"/>
      <c r="G2839" s="21" t="n"/>
      <c r="H2839" s="12">
        <f>IF(AND(B2839="",D2839="",F2839=""),"",IF(NOT(ISNUMBER(B2839)),"Needs a date",IF(D2839="","Needs a client",IF(COUNTIF(Clients!$B$6:$B$105,D2839)=0,"Not on Clients",IF(AND(F2839="",INT(B2839)&lt;TODAY()),"Needs a status","")))))</f>
        <v/>
      </c>
      <c r="I2839" s="1">
        <f>IF(ISNUMBER(B2839),INT(B2839),0)</f>
        <v/>
      </c>
      <c r="J2839">
        <f>IF(ISNUMBER(B2839),YEAR(B2839)*100+MONTH(B2839),"")</f>
        <v/>
      </c>
      <c r="K2839">
        <f>IF(AND(H2839="",OR(F2839="Attended",F2839="No-show",AND(F2839="Late cancel",Settings!$C$9="Yes"))),1,0)</f>
        <v/>
      </c>
      <c r="L2839">
        <f>IF(AND(H2839="",F2839="Attended"),1,0)</f>
        <v/>
      </c>
      <c r="M2839">
        <f>IF(AND(H2839="",OR(F2839="No-show",F2839="Late cancel")),1,0)</f>
        <v/>
      </c>
      <c r="N2839">
        <f>IF(AND(H2839="",F2839="",D2839&lt;&gt;"",I2839&gt;=TODAY()),ROUND((I2839+IF(ISNUMBER(C2839),MOD(C2839,1),0))*1440,0)*10000+ROW(),"")</f>
        <v/>
      </c>
    </row>
    <row r="2840">
      <c r="A2840" s="1" t="n"/>
      <c r="B2840" s="17" t="n"/>
      <c r="C2840" s="18" t="n"/>
      <c r="D2840" s="19" t="n"/>
      <c r="E2840" s="20" t="n"/>
      <c r="F2840" s="20" t="n"/>
      <c r="G2840" s="21" t="n"/>
      <c r="H2840" s="12">
        <f>IF(AND(B2840="",D2840="",F2840=""),"",IF(NOT(ISNUMBER(B2840)),"Needs a date",IF(D2840="","Needs a client",IF(COUNTIF(Clients!$B$6:$B$105,D2840)=0,"Not on Clients",IF(AND(F2840="",INT(B2840)&lt;TODAY()),"Needs a status","")))))</f>
        <v/>
      </c>
      <c r="I2840" s="1">
        <f>IF(ISNUMBER(B2840),INT(B2840),0)</f>
        <v/>
      </c>
      <c r="J2840">
        <f>IF(ISNUMBER(B2840),YEAR(B2840)*100+MONTH(B2840),"")</f>
        <v/>
      </c>
      <c r="K2840">
        <f>IF(AND(H2840="",OR(F2840="Attended",F2840="No-show",AND(F2840="Late cancel",Settings!$C$9="Yes"))),1,0)</f>
        <v/>
      </c>
      <c r="L2840">
        <f>IF(AND(H2840="",F2840="Attended"),1,0)</f>
        <v/>
      </c>
      <c r="M2840">
        <f>IF(AND(H2840="",OR(F2840="No-show",F2840="Late cancel")),1,0)</f>
        <v/>
      </c>
      <c r="N2840">
        <f>IF(AND(H2840="",F2840="",D2840&lt;&gt;"",I2840&gt;=TODAY()),ROUND((I2840+IF(ISNUMBER(C2840),MOD(C2840,1),0))*1440,0)*10000+ROW(),"")</f>
        <v/>
      </c>
    </row>
    <row r="2841">
      <c r="A2841" s="1" t="n"/>
      <c r="B2841" s="17" t="n"/>
      <c r="C2841" s="18" t="n"/>
      <c r="D2841" s="19" t="n"/>
      <c r="E2841" s="20" t="n"/>
      <c r="F2841" s="20" t="n"/>
      <c r="G2841" s="21" t="n"/>
      <c r="H2841" s="12">
        <f>IF(AND(B2841="",D2841="",F2841=""),"",IF(NOT(ISNUMBER(B2841)),"Needs a date",IF(D2841="","Needs a client",IF(COUNTIF(Clients!$B$6:$B$105,D2841)=0,"Not on Clients",IF(AND(F2841="",INT(B2841)&lt;TODAY()),"Needs a status","")))))</f>
        <v/>
      </c>
      <c r="I2841" s="1">
        <f>IF(ISNUMBER(B2841),INT(B2841),0)</f>
        <v/>
      </c>
      <c r="J2841">
        <f>IF(ISNUMBER(B2841),YEAR(B2841)*100+MONTH(B2841),"")</f>
        <v/>
      </c>
      <c r="K2841">
        <f>IF(AND(H2841="",OR(F2841="Attended",F2841="No-show",AND(F2841="Late cancel",Settings!$C$9="Yes"))),1,0)</f>
        <v/>
      </c>
      <c r="L2841">
        <f>IF(AND(H2841="",F2841="Attended"),1,0)</f>
        <v/>
      </c>
      <c r="M2841">
        <f>IF(AND(H2841="",OR(F2841="No-show",F2841="Late cancel")),1,0)</f>
        <v/>
      </c>
      <c r="N2841">
        <f>IF(AND(H2841="",F2841="",D2841&lt;&gt;"",I2841&gt;=TODAY()),ROUND((I2841+IF(ISNUMBER(C2841),MOD(C2841,1),0))*1440,0)*10000+ROW(),"")</f>
        <v/>
      </c>
    </row>
    <row r="2842">
      <c r="A2842" s="1" t="n"/>
      <c r="B2842" s="17" t="n"/>
      <c r="C2842" s="18" t="n"/>
      <c r="D2842" s="19" t="n"/>
      <c r="E2842" s="20" t="n"/>
      <c r="F2842" s="20" t="n"/>
      <c r="G2842" s="21" t="n"/>
      <c r="H2842" s="12">
        <f>IF(AND(B2842="",D2842="",F2842=""),"",IF(NOT(ISNUMBER(B2842)),"Needs a date",IF(D2842="","Needs a client",IF(COUNTIF(Clients!$B$6:$B$105,D2842)=0,"Not on Clients",IF(AND(F2842="",INT(B2842)&lt;TODAY()),"Needs a status","")))))</f>
        <v/>
      </c>
      <c r="I2842" s="1">
        <f>IF(ISNUMBER(B2842),INT(B2842),0)</f>
        <v/>
      </c>
      <c r="J2842">
        <f>IF(ISNUMBER(B2842),YEAR(B2842)*100+MONTH(B2842),"")</f>
        <v/>
      </c>
      <c r="K2842">
        <f>IF(AND(H2842="",OR(F2842="Attended",F2842="No-show",AND(F2842="Late cancel",Settings!$C$9="Yes"))),1,0)</f>
        <v/>
      </c>
      <c r="L2842">
        <f>IF(AND(H2842="",F2842="Attended"),1,0)</f>
        <v/>
      </c>
      <c r="M2842">
        <f>IF(AND(H2842="",OR(F2842="No-show",F2842="Late cancel")),1,0)</f>
        <v/>
      </c>
      <c r="N2842">
        <f>IF(AND(H2842="",F2842="",D2842&lt;&gt;"",I2842&gt;=TODAY()),ROUND((I2842+IF(ISNUMBER(C2842),MOD(C2842,1),0))*1440,0)*10000+ROW(),"")</f>
        <v/>
      </c>
    </row>
    <row r="2843">
      <c r="A2843" s="1" t="n"/>
      <c r="B2843" s="17" t="n"/>
      <c r="C2843" s="18" t="n"/>
      <c r="D2843" s="19" t="n"/>
      <c r="E2843" s="20" t="n"/>
      <c r="F2843" s="20" t="n"/>
      <c r="G2843" s="21" t="n"/>
      <c r="H2843" s="12">
        <f>IF(AND(B2843="",D2843="",F2843=""),"",IF(NOT(ISNUMBER(B2843)),"Needs a date",IF(D2843="","Needs a client",IF(COUNTIF(Clients!$B$6:$B$105,D2843)=0,"Not on Clients",IF(AND(F2843="",INT(B2843)&lt;TODAY()),"Needs a status","")))))</f>
        <v/>
      </c>
      <c r="I2843" s="1">
        <f>IF(ISNUMBER(B2843),INT(B2843),0)</f>
        <v/>
      </c>
      <c r="J2843">
        <f>IF(ISNUMBER(B2843),YEAR(B2843)*100+MONTH(B2843),"")</f>
        <v/>
      </c>
      <c r="K2843">
        <f>IF(AND(H2843="",OR(F2843="Attended",F2843="No-show",AND(F2843="Late cancel",Settings!$C$9="Yes"))),1,0)</f>
        <v/>
      </c>
      <c r="L2843">
        <f>IF(AND(H2843="",F2843="Attended"),1,0)</f>
        <v/>
      </c>
      <c r="M2843">
        <f>IF(AND(H2843="",OR(F2843="No-show",F2843="Late cancel")),1,0)</f>
        <v/>
      </c>
      <c r="N2843">
        <f>IF(AND(H2843="",F2843="",D2843&lt;&gt;"",I2843&gt;=TODAY()),ROUND((I2843+IF(ISNUMBER(C2843),MOD(C2843,1),0))*1440,0)*10000+ROW(),"")</f>
        <v/>
      </c>
    </row>
    <row r="2844">
      <c r="A2844" s="1" t="n"/>
      <c r="B2844" s="17" t="n"/>
      <c r="C2844" s="18" t="n"/>
      <c r="D2844" s="19" t="n"/>
      <c r="E2844" s="20" t="n"/>
      <c r="F2844" s="20" t="n"/>
      <c r="G2844" s="21" t="n"/>
      <c r="H2844" s="12">
        <f>IF(AND(B2844="",D2844="",F2844=""),"",IF(NOT(ISNUMBER(B2844)),"Needs a date",IF(D2844="","Needs a client",IF(COUNTIF(Clients!$B$6:$B$105,D2844)=0,"Not on Clients",IF(AND(F2844="",INT(B2844)&lt;TODAY()),"Needs a status","")))))</f>
        <v/>
      </c>
      <c r="I2844" s="1">
        <f>IF(ISNUMBER(B2844),INT(B2844),0)</f>
        <v/>
      </c>
      <c r="J2844">
        <f>IF(ISNUMBER(B2844),YEAR(B2844)*100+MONTH(B2844),"")</f>
        <v/>
      </c>
      <c r="K2844">
        <f>IF(AND(H2844="",OR(F2844="Attended",F2844="No-show",AND(F2844="Late cancel",Settings!$C$9="Yes"))),1,0)</f>
        <v/>
      </c>
      <c r="L2844">
        <f>IF(AND(H2844="",F2844="Attended"),1,0)</f>
        <v/>
      </c>
      <c r="M2844">
        <f>IF(AND(H2844="",OR(F2844="No-show",F2844="Late cancel")),1,0)</f>
        <v/>
      </c>
      <c r="N2844">
        <f>IF(AND(H2844="",F2844="",D2844&lt;&gt;"",I2844&gt;=TODAY()),ROUND((I2844+IF(ISNUMBER(C2844),MOD(C2844,1),0))*1440,0)*10000+ROW(),"")</f>
        <v/>
      </c>
    </row>
    <row r="2845">
      <c r="A2845" s="1" t="n"/>
      <c r="B2845" s="17" t="n"/>
      <c r="C2845" s="18" t="n"/>
      <c r="D2845" s="19" t="n"/>
      <c r="E2845" s="20" t="n"/>
      <c r="F2845" s="20" t="n"/>
      <c r="G2845" s="21" t="n"/>
      <c r="H2845" s="12">
        <f>IF(AND(B2845="",D2845="",F2845=""),"",IF(NOT(ISNUMBER(B2845)),"Needs a date",IF(D2845="","Needs a client",IF(COUNTIF(Clients!$B$6:$B$105,D2845)=0,"Not on Clients",IF(AND(F2845="",INT(B2845)&lt;TODAY()),"Needs a status","")))))</f>
        <v/>
      </c>
      <c r="I2845" s="1">
        <f>IF(ISNUMBER(B2845),INT(B2845),0)</f>
        <v/>
      </c>
      <c r="J2845">
        <f>IF(ISNUMBER(B2845),YEAR(B2845)*100+MONTH(B2845),"")</f>
        <v/>
      </c>
      <c r="K2845">
        <f>IF(AND(H2845="",OR(F2845="Attended",F2845="No-show",AND(F2845="Late cancel",Settings!$C$9="Yes"))),1,0)</f>
        <v/>
      </c>
      <c r="L2845">
        <f>IF(AND(H2845="",F2845="Attended"),1,0)</f>
        <v/>
      </c>
      <c r="M2845">
        <f>IF(AND(H2845="",OR(F2845="No-show",F2845="Late cancel")),1,0)</f>
        <v/>
      </c>
      <c r="N2845">
        <f>IF(AND(H2845="",F2845="",D2845&lt;&gt;"",I2845&gt;=TODAY()),ROUND((I2845+IF(ISNUMBER(C2845),MOD(C2845,1),0))*1440,0)*10000+ROW(),"")</f>
        <v/>
      </c>
    </row>
    <row r="2846">
      <c r="A2846" s="1" t="n"/>
      <c r="B2846" s="17" t="n"/>
      <c r="C2846" s="18" t="n"/>
      <c r="D2846" s="19" t="n"/>
      <c r="E2846" s="20" t="n"/>
      <c r="F2846" s="20" t="n"/>
      <c r="G2846" s="21" t="n"/>
      <c r="H2846" s="12">
        <f>IF(AND(B2846="",D2846="",F2846=""),"",IF(NOT(ISNUMBER(B2846)),"Needs a date",IF(D2846="","Needs a client",IF(COUNTIF(Clients!$B$6:$B$105,D2846)=0,"Not on Clients",IF(AND(F2846="",INT(B2846)&lt;TODAY()),"Needs a status","")))))</f>
        <v/>
      </c>
      <c r="I2846" s="1">
        <f>IF(ISNUMBER(B2846),INT(B2846),0)</f>
        <v/>
      </c>
      <c r="J2846">
        <f>IF(ISNUMBER(B2846),YEAR(B2846)*100+MONTH(B2846),"")</f>
        <v/>
      </c>
      <c r="K2846">
        <f>IF(AND(H2846="",OR(F2846="Attended",F2846="No-show",AND(F2846="Late cancel",Settings!$C$9="Yes"))),1,0)</f>
        <v/>
      </c>
      <c r="L2846">
        <f>IF(AND(H2846="",F2846="Attended"),1,0)</f>
        <v/>
      </c>
      <c r="M2846">
        <f>IF(AND(H2846="",OR(F2846="No-show",F2846="Late cancel")),1,0)</f>
        <v/>
      </c>
      <c r="N2846">
        <f>IF(AND(H2846="",F2846="",D2846&lt;&gt;"",I2846&gt;=TODAY()),ROUND((I2846+IF(ISNUMBER(C2846),MOD(C2846,1),0))*1440,0)*10000+ROW(),"")</f>
        <v/>
      </c>
    </row>
    <row r="2847">
      <c r="A2847" s="1" t="n"/>
      <c r="B2847" s="17" t="n"/>
      <c r="C2847" s="18" t="n"/>
      <c r="D2847" s="19" t="n"/>
      <c r="E2847" s="20" t="n"/>
      <c r="F2847" s="20" t="n"/>
      <c r="G2847" s="21" t="n"/>
      <c r="H2847" s="12">
        <f>IF(AND(B2847="",D2847="",F2847=""),"",IF(NOT(ISNUMBER(B2847)),"Needs a date",IF(D2847="","Needs a client",IF(COUNTIF(Clients!$B$6:$B$105,D2847)=0,"Not on Clients",IF(AND(F2847="",INT(B2847)&lt;TODAY()),"Needs a status","")))))</f>
        <v/>
      </c>
      <c r="I2847" s="1">
        <f>IF(ISNUMBER(B2847),INT(B2847),0)</f>
        <v/>
      </c>
      <c r="J2847">
        <f>IF(ISNUMBER(B2847),YEAR(B2847)*100+MONTH(B2847),"")</f>
        <v/>
      </c>
      <c r="K2847">
        <f>IF(AND(H2847="",OR(F2847="Attended",F2847="No-show",AND(F2847="Late cancel",Settings!$C$9="Yes"))),1,0)</f>
        <v/>
      </c>
      <c r="L2847">
        <f>IF(AND(H2847="",F2847="Attended"),1,0)</f>
        <v/>
      </c>
      <c r="M2847">
        <f>IF(AND(H2847="",OR(F2847="No-show",F2847="Late cancel")),1,0)</f>
        <v/>
      </c>
      <c r="N2847">
        <f>IF(AND(H2847="",F2847="",D2847&lt;&gt;"",I2847&gt;=TODAY()),ROUND((I2847+IF(ISNUMBER(C2847),MOD(C2847,1),0))*1440,0)*10000+ROW(),"")</f>
        <v/>
      </c>
    </row>
    <row r="2848">
      <c r="A2848" s="1" t="n"/>
      <c r="B2848" s="17" t="n"/>
      <c r="C2848" s="18" t="n"/>
      <c r="D2848" s="19" t="n"/>
      <c r="E2848" s="20" t="n"/>
      <c r="F2848" s="20" t="n"/>
      <c r="G2848" s="21" t="n"/>
      <c r="H2848" s="12">
        <f>IF(AND(B2848="",D2848="",F2848=""),"",IF(NOT(ISNUMBER(B2848)),"Needs a date",IF(D2848="","Needs a client",IF(COUNTIF(Clients!$B$6:$B$105,D2848)=0,"Not on Clients",IF(AND(F2848="",INT(B2848)&lt;TODAY()),"Needs a status","")))))</f>
        <v/>
      </c>
      <c r="I2848" s="1">
        <f>IF(ISNUMBER(B2848),INT(B2848),0)</f>
        <v/>
      </c>
      <c r="J2848">
        <f>IF(ISNUMBER(B2848),YEAR(B2848)*100+MONTH(B2848),"")</f>
        <v/>
      </c>
      <c r="K2848">
        <f>IF(AND(H2848="",OR(F2848="Attended",F2848="No-show",AND(F2848="Late cancel",Settings!$C$9="Yes"))),1,0)</f>
        <v/>
      </c>
      <c r="L2848">
        <f>IF(AND(H2848="",F2848="Attended"),1,0)</f>
        <v/>
      </c>
      <c r="M2848">
        <f>IF(AND(H2848="",OR(F2848="No-show",F2848="Late cancel")),1,0)</f>
        <v/>
      </c>
      <c r="N2848">
        <f>IF(AND(H2848="",F2848="",D2848&lt;&gt;"",I2848&gt;=TODAY()),ROUND((I2848+IF(ISNUMBER(C2848),MOD(C2848,1),0))*1440,0)*10000+ROW(),"")</f>
        <v/>
      </c>
    </row>
    <row r="2849">
      <c r="A2849" s="1" t="n"/>
      <c r="B2849" s="17" t="n"/>
      <c r="C2849" s="18" t="n"/>
      <c r="D2849" s="19" t="n"/>
      <c r="E2849" s="20" t="n"/>
      <c r="F2849" s="20" t="n"/>
      <c r="G2849" s="21" t="n"/>
      <c r="H2849" s="12">
        <f>IF(AND(B2849="",D2849="",F2849=""),"",IF(NOT(ISNUMBER(B2849)),"Needs a date",IF(D2849="","Needs a client",IF(COUNTIF(Clients!$B$6:$B$105,D2849)=0,"Not on Clients",IF(AND(F2849="",INT(B2849)&lt;TODAY()),"Needs a status","")))))</f>
        <v/>
      </c>
      <c r="I2849" s="1">
        <f>IF(ISNUMBER(B2849),INT(B2849),0)</f>
        <v/>
      </c>
      <c r="J2849">
        <f>IF(ISNUMBER(B2849),YEAR(B2849)*100+MONTH(B2849),"")</f>
        <v/>
      </c>
      <c r="K2849">
        <f>IF(AND(H2849="",OR(F2849="Attended",F2849="No-show",AND(F2849="Late cancel",Settings!$C$9="Yes"))),1,0)</f>
        <v/>
      </c>
      <c r="L2849">
        <f>IF(AND(H2849="",F2849="Attended"),1,0)</f>
        <v/>
      </c>
      <c r="M2849">
        <f>IF(AND(H2849="",OR(F2849="No-show",F2849="Late cancel")),1,0)</f>
        <v/>
      </c>
      <c r="N2849">
        <f>IF(AND(H2849="",F2849="",D2849&lt;&gt;"",I2849&gt;=TODAY()),ROUND((I2849+IF(ISNUMBER(C2849),MOD(C2849,1),0))*1440,0)*10000+ROW(),"")</f>
        <v/>
      </c>
    </row>
    <row r="2850">
      <c r="A2850" s="1" t="n"/>
      <c r="B2850" s="17" t="n"/>
      <c r="C2850" s="18" t="n"/>
      <c r="D2850" s="19" t="n"/>
      <c r="E2850" s="20" t="n"/>
      <c r="F2850" s="20" t="n"/>
      <c r="G2850" s="21" t="n"/>
      <c r="H2850" s="12">
        <f>IF(AND(B2850="",D2850="",F2850=""),"",IF(NOT(ISNUMBER(B2850)),"Needs a date",IF(D2850="","Needs a client",IF(COUNTIF(Clients!$B$6:$B$105,D2850)=0,"Not on Clients",IF(AND(F2850="",INT(B2850)&lt;TODAY()),"Needs a status","")))))</f>
        <v/>
      </c>
      <c r="I2850" s="1">
        <f>IF(ISNUMBER(B2850),INT(B2850),0)</f>
        <v/>
      </c>
      <c r="J2850">
        <f>IF(ISNUMBER(B2850),YEAR(B2850)*100+MONTH(B2850),"")</f>
        <v/>
      </c>
      <c r="K2850">
        <f>IF(AND(H2850="",OR(F2850="Attended",F2850="No-show",AND(F2850="Late cancel",Settings!$C$9="Yes"))),1,0)</f>
        <v/>
      </c>
      <c r="L2850">
        <f>IF(AND(H2850="",F2850="Attended"),1,0)</f>
        <v/>
      </c>
      <c r="M2850">
        <f>IF(AND(H2850="",OR(F2850="No-show",F2850="Late cancel")),1,0)</f>
        <v/>
      </c>
      <c r="N2850">
        <f>IF(AND(H2850="",F2850="",D2850&lt;&gt;"",I2850&gt;=TODAY()),ROUND((I2850+IF(ISNUMBER(C2850),MOD(C2850,1),0))*1440,0)*10000+ROW(),"")</f>
        <v/>
      </c>
    </row>
    <row r="2851">
      <c r="A2851" s="1" t="n"/>
      <c r="B2851" s="17" t="n"/>
      <c r="C2851" s="18" t="n"/>
      <c r="D2851" s="19" t="n"/>
      <c r="E2851" s="20" t="n"/>
      <c r="F2851" s="20" t="n"/>
      <c r="G2851" s="21" t="n"/>
      <c r="H2851" s="12">
        <f>IF(AND(B2851="",D2851="",F2851=""),"",IF(NOT(ISNUMBER(B2851)),"Needs a date",IF(D2851="","Needs a client",IF(COUNTIF(Clients!$B$6:$B$105,D2851)=0,"Not on Clients",IF(AND(F2851="",INT(B2851)&lt;TODAY()),"Needs a status","")))))</f>
        <v/>
      </c>
      <c r="I2851" s="1">
        <f>IF(ISNUMBER(B2851),INT(B2851),0)</f>
        <v/>
      </c>
      <c r="J2851">
        <f>IF(ISNUMBER(B2851),YEAR(B2851)*100+MONTH(B2851),"")</f>
        <v/>
      </c>
      <c r="K2851">
        <f>IF(AND(H2851="",OR(F2851="Attended",F2851="No-show",AND(F2851="Late cancel",Settings!$C$9="Yes"))),1,0)</f>
        <v/>
      </c>
      <c r="L2851">
        <f>IF(AND(H2851="",F2851="Attended"),1,0)</f>
        <v/>
      </c>
      <c r="M2851">
        <f>IF(AND(H2851="",OR(F2851="No-show",F2851="Late cancel")),1,0)</f>
        <v/>
      </c>
      <c r="N2851">
        <f>IF(AND(H2851="",F2851="",D2851&lt;&gt;"",I2851&gt;=TODAY()),ROUND((I2851+IF(ISNUMBER(C2851),MOD(C2851,1),0))*1440,0)*10000+ROW(),"")</f>
        <v/>
      </c>
    </row>
    <row r="2852">
      <c r="A2852" s="1" t="n"/>
      <c r="B2852" s="17" t="n"/>
      <c r="C2852" s="18" t="n"/>
      <c r="D2852" s="19" t="n"/>
      <c r="E2852" s="20" t="n"/>
      <c r="F2852" s="20" t="n"/>
      <c r="G2852" s="21" t="n"/>
      <c r="H2852" s="12">
        <f>IF(AND(B2852="",D2852="",F2852=""),"",IF(NOT(ISNUMBER(B2852)),"Needs a date",IF(D2852="","Needs a client",IF(COUNTIF(Clients!$B$6:$B$105,D2852)=0,"Not on Clients",IF(AND(F2852="",INT(B2852)&lt;TODAY()),"Needs a status","")))))</f>
        <v/>
      </c>
      <c r="I2852" s="1">
        <f>IF(ISNUMBER(B2852),INT(B2852),0)</f>
        <v/>
      </c>
      <c r="J2852">
        <f>IF(ISNUMBER(B2852),YEAR(B2852)*100+MONTH(B2852),"")</f>
        <v/>
      </c>
      <c r="K2852">
        <f>IF(AND(H2852="",OR(F2852="Attended",F2852="No-show",AND(F2852="Late cancel",Settings!$C$9="Yes"))),1,0)</f>
        <v/>
      </c>
      <c r="L2852">
        <f>IF(AND(H2852="",F2852="Attended"),1,0)</f>
        <v/>
      </c>
      <c r="M2852">
        <f>IF(AND(H2852="",OR(F2852="No-show",F2852="Late cancel")),1,0)</f>
        <v/>
      </c>
      <c r="N2852">
        <f>IF(AND(H2852="",F2852="",D2852&lt;&gt;"",I2852&gt;=TODAY()),ROUND((I2852+IF(ISNUMBER(C2852),MOD(C2852,1),0))*1440,0)*10000+ROW(),"")</f>
        <v/>
      </c>
    </row>
    <row r="2853">
      <c r="A2853" s="1" t="n"/>
      <c r="B2853" s="17" t="n"/>
      <c r="C2853" s="18" t="n"/>
      <c r="D2853" s="19" t="n"/>
      <c r="E2853" s="20" t="n"/>
      <c r="F2853" s="20" t="n"/>
      <c r="G2853" s="21" t="n"/>
      <c r="H2853" s="12">
        <f>IF(AND(B2853="",D2853="",F2853=""),"",IF(NOT(ISNUMBER(B2853)),"Needs a date",IF(D2853="","Needs a client",IF(COUNTIF(Clients!$B$6:$B$105,D2853)=0,"Not on Clients",IF(AND(F2853="",INT(B2853)&lt;TODAY()),"Needs a status","")))))</f>
        <v/>
      </c>
      <c r="I2853" s="1">
        <f>IF(ISNUMBER(B2853),INT(B2853),0)</f>
        <v/>
      </c>
      <c r="J2853">
        <f>IF(ISNUMBER(B2853),YEAR(B2853)*100+MONTH(B2853),"")</f>
        <v/>
      </c>
      <c r="K2853">
        <f>IF(AND(H2853="",OR(F2853="Attended",F2853="No-show",AND(F2853="Late cancel",Settings!$C$9="Yes"))),1,0)</f>
        <v/>
      </c>
      <c r="L2853">
        <f>IF(AND(H2853="",F2853="Attended"),1,0)</f>
        <v/>
      </c>
      <c r="M2853">
        <f>IF(AND(H2853="",OR(F2853="No-show",F2853="Late cancel")),1,0)</f>
        <v/>
      </c>
      <c r="N2853">
        <f>IF(AND(H2853="",F2853="",D2853&lt;&gt;"",I2853&gt;=TODAY()),ROUND((I2853+IF(ISNUMBER(C2853),MOD(C2853,1),0))*1440,0)*10000+ROW(),"")</f>
        <v/>
      </c>
    </row>
    <row r="2854">
      <c r="A2854" s="1" t="n"/>
      <c r="B2854" s="17" t="n"/>
      <c r="C2854" s="18" t="n"/>
      <c r="D2854" s="19" t="n"/>
      <c r="E2854" s="20" t="n"/>
      <c r="F2854" s="20" t="n"/>
      <c r="G2854" s="21" t="n"/>
      <c r="H2854" s="12">
        <f>IF(AND(B2854="",D2854="",F2854=""),"",IF(NOT(ISNUMBER(B2854)),"Needs a date",IF(D2854="","Needs a client",IF(COUNTIF(Clients!$B$6:$B$105,D2854)=0,"Not on Clients",IF(AND(F2854="",INT(B2854)&lt;TODAY()),"Needs a status","")))))</f>
        <v/>
      </c>
      <c r="I2854" s="1">
        <f>IF(ISNUMBER(B2854),INT(B2854),0)</f>
        <v/>
      </c>
      <c r="J2854">
        <f>IF(ISNUMBER(B2854),YEAR(B2854)*100+MONTH(B2854),"")</f>
        <v/>
      </c>
      <c r="K2854">
        <f>IF(AND(H2854="",OR(F2854="Attended",F2854="No-show",AND(F2854="Late cancel",Settings!$C$9="Yes"))),1,0)</f>
        <v/>
      </c>
      <c r="L2854">
        <f>IF(AND(H2854="",F2854="Attended"),1,0)</f>
        <v/>
      </c>
      <c r="M2854">
        <f>IF(AND(H2854="",OR(F2854="No-show",F2854="Late cancel")),1,0)</f>
        <v/>
      </c>
      <c r="N2854">
        <f>IF(AND(H2854="",F2854="",D2854&lt;&gt;"",I2854&gt;=TODAY()),ROUND((I2854+IF(ISNUMBER(C2854),MOD(C2854,1),0))*1440,0)*10000+ROW(),"")</f>
        <v/>
      </c>
    </row>
    <row r="2855">
      <c r="A2855" s="1" t="n"/>
      <c r="B2855" s="17" t="n"/>
      <c r="C2855" s="18" t="n"/>
      <c r="D2855" s="19" t="n"/>
      <c r="E2855" s="20" t="n"/>
      <c r="F2855" s="20" t="n"/>
      <c r="G2855" s="21" t="n"/>
      <c r="H2855" s="12">
        <f>IF(AND(B2855="",D2855="",F2855=""),"",IF(NOT(ISNUMBER(B2855)),"Needs a date",IF(D2855="","Needs a client",IF(COUNTIF(Clients!$B$6:$B$105,D2855)=0,"Not on Clients",IF(AND(F2855="",INT(B2855)&lt;TODAY()),"Needs a status","")))))</f>
        <v/>
      </c>
      <c r="I2855" s="1">
        <f>IF(ISNUMBER(B2855),INT(B2855),0)</f>
        <v/>
      </c>
      <c r="J2855">
        <f>IF(ISNUMBER(B2855),YEAR(B2855)*100+MONTH(B2855),"")</f>
        <v/>
      </c>
      <c r="K2855">
        <f>IF(AND(H2855="",OR(F2855="Attended",F2855="No-show",AND(F2855="Late cancel",Settings!$C$9="Yes"))),1,0)</f>
        <v/>
      </c>
      <c r="L2855">
        <f>IF(AND(H2855="",F2855="Attended"),1,0)</f>
        <v/>
      </c>
      <c r="M2855">
        <f>IF(AND(H2855="",OR(F2855="No-show",F2855="Late cancel")),1,0)</f>
        <v/>
      </c>
      <c r="N2855">
        <f>IF(AND(H2855="",F2855="",D2855&lt;&gt;"",I2855&gt;=TODAY()),ROUND((I2855+IF(ISNUMBER(C2855),MOD(C2855,1),0))*1440,0)*10000+ROW(),"")</f>
        <v/>
      </c>
    </row>
    <row r="2856">
      <c r="A2856" s="1" t="n"/>
      <c r="B2856" s="17" t="n"/>
      <c r="C2856" s="18" t="n"/>
      <c r="D2856" s="19" t="n"/>
      <c r="E2856" s="20" t="n"/>
      <c r="F2856" s="20" t="n"/>
      <c r="G2856" s="21" t="n"/>
      <c r="H2856" s="12">
        <f>IF(AND(B2856="",D2856="",F2856=""),"",IF(NOT(ISNUMBER(B2856)),"Needs a date",IF(D2856="","Needs a client",IF(COUNTIF(Clients!$B$6:$B$105,D2856)=0,"Not on Clients",IF(AND(F2856="",INT(B2856)&lt;TODAY()),"Needs a status","")))))</f>
        <v/>
      </c>
      <c r="I2856" s="1">
        <f>IF(ISNUMBER(B2856),INT(B2856),0)</f>
        <v/>
      </c>
      <c r="J2856">
        <f>IF(ISNUMBER(B2856),YEAR(B2856)*100+MONTH(B2856),"")</f>
        <v/>
      </c>
      <c r="K2856">
        <f>IF(AND(H2856="",OR(F2856="Attended",F2856="No-show",AND(F2856="Late cancel",Settings!$C$9="Yes"))),1,0)</f>
        <v/>
      </c>
      <c r="L2856">
        <f>IF(AND(H2856="",F2856="Attended"),1,0)</f>
        <v/>
      </c>
      <c r="M2856">
        <f>IF(AND(H2856="",OR(F2856="No-show",F2856="Late cancel")),1,0)</f>
        <v/>
      </c>
      <c r="N2856">
        <f>IF(AND(H2856="",F2856="",D2856&lt;&gt;"",I2856&gt;=TODAY()),ROUND((I2856+IF(ISNUMBER(C2856),MOD(C2856,1),0))*1440,0)*10000+ROW(),"")</f>
        <v/>
      </c>
    </row>
    <row r="2857">
      <c r="A2857" s="1" t="n"/>
      <c r="B2857" s="17" t="n"/>
      <c r="C2857" s="18" t="n"/>
      <c r="D2857" s="19" t="n"/>
      <c r="E2857" s="20" t="n"/>
      <c r="F2857" s="20" t="n"/>
      <c r="G2857" s="21" t="n"/>
      <c r="H2857" s="12">
        <f>IF(AND(B2857="",D2857="",F2857=""),"",IF(NOT(ISNUMBER(B2857)),"Needs a date",IF(D2857="","Needs a client",IF(COUNTIF(Clients!$B$6:$B$105,D2857)=0,"Not on Clients",IF(AND(F2857="",INT(B2857)&lt;TODAY()),"Needs a status","")))))</f>
        <v/>
      </c>
      <c r="I2857" s="1">
        <f>IF(ISNUMBER(B2857),INT(B2857),0)</f>
        <v/>
      </c>
      <c r="J2857">
        <f>IF(ISNUMBER(B2857),YEAR(B2857)*100+MONTH(B2857),"")</f>
        <v/>
      </c>
      <c r="K2857">
        <f>IF(AND(H2857="",OR(F2857="Attended",F2857="No-show",AND(F2857="Late cancel",Settings!$C$9="Yes"))),1,0)</f>
        <v/>
      </c>
      <c r="L2857">
        <f>IF(AND(H2857="",F2857="Attended"),1,0)</f>
        <v/>
      </c>
      <c r="M2857">
        <f>IF(AND(H2857="",OR(F2857="No-show",F2857="Late cancel")),1,0)</f>
        <v/>
      </c>
      <c r="N2857">
        <f>IF(AND(H2857="",F2857="",D2857&lt;&gt;"",I2857&gt;=TODAY()),ROUND((I2857+IF(ISNUMBER(C2857),MOD(C2857,1),0))*1440,0)*10000+ROW(),"")</f>
        <v/>
      </c>
    </row>
    <row r="2858">
      <c r="A2858" s="1" t="n"/>
      <c r="B2858" s="17" t="n"/>
      <c r="C2858" s="18" t="n"/>
      <c r="D2858" s="19" t="n"/>
      <c r="E2858" s="20" t="n"/>
      <c r="F2858" s="20" t="n"/>
      <c r="G2858" s="21" t="n"/>
      <c r="H2858" s="12">
        <f>IF(AND(B2858="",D2858="",F2858=""),"",IF(NOT(ISNUMBER(B2858)),"Needs a date",IF(D2858="","Needs a client",IF(COUNTIF(Clients!$B$6:$B$105,D2858)=0,"Not on Clients",IF(AND(F2858="",INT(B2858)&lt;TODAY()),"Needs a status","")))))</f>
        <v/>
      </c>
      <c r="I2858" s="1">
        <f>IF(ISNUMBER(B2858),INT(B2858),0)</f>
        <v/>
      </c>
      <c r="J2858">
        <f>IF(ISNUMBER(B2858),YEAR(B2858)*100+MONTH(B2858),"")</f>
        <v/>
      </c>
      <c r="K2858">
        <f>IF(AND(H2858="",OR(F2858="Attended",F2858="No-show",AND(F2858="Late cancel",Settings!$C$9="Yes"))),1,0)</f>
        <v/>
      </c>
      <c r="L2858">
        <f>IF(AND(H2858="",F2858="Attended"),1,0)</f>
        <v/>
      </c>
      <c r="M2858">
        <f>IF(AND(H2858="",OR(F2858="No-show",F2858="Late cancel")),1,0)</f>
        <v/>
      </c>
      <c r="N2858">
        <f>IF(AND(H2858="",F2858="",D2858&lt;&gt;"",I2858&gt;=TODAY()),ROUND((I2858+IF(ISNUMBER(C2858),MOD(C2858,1),0))*1440,0)*10000+ROW(),"")</f>
        <v/>
      </c>
    </row>
    <row r="2859">
      <c r="A2859" s="1" t="n"/>
      <c r="B2859" s="17" t="n"/>
      <c r="C2859" s="18" t="n"/>
      <c r="D2859" s="19" t="n"/>
      <c r="E2859" s="20" t="n"/>
      <c r="F2859" s="20" t="n"/>
      <c r="G2859" s="21" t="n"/>
      <c r="H2859" s="12">
        <f>IF(AND(B2859="",D2859="",F2859=""),"",IF(NOT(ISNUMBER(B2859)),"Needs a date",IF(D2859="","Needs a client",IF(COUNTIF(Clients!$B$6:$B$105,D2859)=0,"Not on Clients",IF(AND(F2859="",INT(B2859)&lt;TODAY()),"Needs a status","")))))</f>
        <v/>
      </c>
      <c r="I2859" s="1">
        <f>IF(ISNUMBER(B2859),INT(B2859),0)</f>
        <v/>
      </c>
      <c r="J2859">
        <f>IF(ISNUMBER(B2859),YEAR(B2859)*100+MONTH(B2859),"")</f>
        <v/>
      </c>
      <c r="K2859">
        <f>IF(AND(H2859="",OR(F2859="Attended",F2859="No-show",AND(F2859="Late cancel",Settings!$C$9="Yes"))),1,0)</f>
        <v/>
      </c>
      <c r="L2859">
        <f>IF(AND(H2859="",F2859="Attended"),1,0)</f>
        <v/>
      </c>
      <c r="M2859">
        <f>IF(AND(H2859="",OR(F2859="No-show",F2859="Late cancel")),1,0)</f>
        <v/>
      </c>
      <c r="N2859">
        <f>IF(AND(H2859="",F2859="",D2859&lt;&gt;"",I2859&gt;=TODAY()),ROUND((I2859+IF(ISNUMBER(C2859),MOD(C2859,1),0))*1440,0)*10000+ROW(),"")</f>
        <v/>
      </c>
    </row>
    <row r="2860">
      <c r="A2860" s="1" t="n"/>
      <c r="B2860" s="17" t="n"/>
      <c r="C2860" s="18" t="n"/>
      <c r="D2860" s="19" t="n"/>
      <c r="E2860" s="20" t="n"/>
      <c r="F2860" s="20" t="n"/>
      <c r="G2860" s="21" t="n"/>
      <c r="H2860" s="12">
        <f>IF(AND(B2860="",D2860="",F2860=""),"",IF(NOT(ISNUMBER(B2860)),"Needs a date",IF(D2860="","Needs a client",IF(COUNTIF(Clients!$B$6:$B$105,D2860)=0,"Not on Clients",IF(AND(F2860="",INT(B2860)&lt;TODAY()),"Needs a status","")))))</f>
        <v/>
      </c>
      <c r="I2860" s="1">
        <f>IF(ISNUMBER(B2860),INT(B2860),0)</f>
        <v/>
      </c>
      <c r="J2860">
        <f>IF(ISNUMBER(B2860),YEAR(B2860)*100+MONTH(B2860),"")</f>
        <v/>
      </c>
      <c r="K2860">
        <f>IF(AND(H2860="",OR(F2860="Attended",F2860="No-show",AND(F2860="Late cancel",Settings!$C$9="Yes"))),1,0)</f>
        <v/>
      </c>
      <c r="L2860">
        <f>IF(AND(H2860="",F2860="Attended"),1,0)</f>
        <v/>
      </c>
      <c r="M2860">
        <f>IF(AND(H2860="",OR(F2860="No-show",F2860="Late cancel")),1,0)</f>
        <v/>
      </c>
      <c r="N2860">
        <f>IF(AND(H2860="",F2860="",D2860&lt;&gt;"",I2860&gt;=TODAY()),ROUND((I2860+IF(ISNUMBER(C2860),MOD(C2860,1),0))*1440,0)*10000+ROW(),"")</f>
        <v/>
      </c>
    </row>
    <row r="2861">
      <c r="A2861" s="1" t="n"/>
      <c r="B2861" s="17" t="n"/>
      <c r="C2861" s="18" t="n"/>
      <c r="D2861" s="19" t="n"/>
      <c r="E2861" s="20" t="n"/>
      <c r="F2861" s="20" t="n"/>
      <c r="G2861" s="21" t="n"/>
      <c r="H2861" s="12">
        <f>IF(AND(B2861="",D2861="",F2861=""),"",IF(NOT(ISNUMBER(B2861)),"Needs a date",IF(D2861="","Needs a client",IF(COUNTIF(Clients!$B$6:$B$105,D2861)=0,"Not on Clients",IF(AND(F2861="",INT(B2861)&lt;TODAY()),"Needs a status","")))))</f>
        <v/>
      </c>
      <c r="I2861" s="1">
        <f>IF(ISNUMBER(B2861),INT(B2861),0)</f>
        <v/>
      </c>
      <c r="J2861">
        <f>IF(ISNUMBER(B2861),YEAR(B2861)*100+MONTH(B2861),"")</f>
        <v/>
      </c>
      <c r="K2861">
        <f>IF(AND(H2861="",OR(F2861="Attended",F2861="No-show",AND(F2861="Late cancel",Settings!$C$9="Yes"))),1,0)</f>
        <v/>
      </c>
      <c r="L2861">
        <f>IF(AND(H2861="",F2861="Attended"),1,0)</f>
        <v/>
      </c>
      <c r="M2861">
        <f>IF(AND(H2861="",OR(F2861="No-show",F2861="Late cancel")),1,0)</f>
        <v/>
      </c>
      <c r="N2861">
        <f>IF(AND(H2861="",F2861="",D2861&lt;&gt;"",I2861&gt;=TODAY()),ROUND((I2861+IF(ISNUMBER(C2861),MOD(C2861,1),0))*1440,0)*10000+ROW(),"")</f>
        <v/>
      </c>
    </row>
    <row r="2862">
      <c r="A2862" s="1" t="n"/>
      <c r="B2862" s="17" t="n"/>
      <c r="C2862" s="18" t="n"/>
      <c r="D2862" s="19" t="n"/>
      <c r="E2862" s="20" t="n"/>
      <c r="F2862" s="20" t="n"/>
      <c r="G2862" s="21" t="n"/>
      <c r="H2862" s="12">
        <f>IF(AND(B2862="",D2862="",F2862=""),"",IF(NOT(ISNUMBER(B2862)),"Needs a date",IF(D2862="","Needs a client",IF(COUNTIF(Clients!$B$6:$B$105,D2862)=0,"Not on Clients",IF(AND(F2862="",INT(B2862)&lt;TODAY()),"Needs a status","")))))</f>
        <v/>
      </c>
      <c r="I2862" s="1">
        <f>IF(ISNUMBER(B2862),INT(B2862),0)</f>
        <v/>
      </c>
      <c r="J2862">
        <f>IF(ISNUMBER(B2862),YEAR(B2862)*100+MONTH(B2862),"")</f>
        <v/>
      </c>
      <c r="K2862">
        <f>IF(AND(H2862="",OR(F2862="Attended",F2862="No-show",AND(F2862="Late cancel",Settings!$C$9="Yes"))),1,0)</f>
        <v/>
      </c>
      <c r="L2862">
        <f>IF(AND(H2862="",F2862="Attended"),1,0)</f>
        <v/>
      </c>
      <c r="M2862">
        <f>IF(AND(H2862="",OR(F2862="No-show",F2862="Late cancel")),1,0)</f>
        <v/>
      </c>
      <c r="N2862">
        <f>IF(AND(H2862="",F2862="",D2862&lt;&gt;"",I2862&gt;=TODAY()),ROUND((I2862+IF(ISNUMBER(C2862),MOD(C2862,1),0))*1440,0)*10000+ROW(),"")</f>
        <v/>
      </c>
    </row>
    <row r="2863">
      <c r="A2863" s="1" t="n"/>
      <c r="B2863" s="17" t="n"/>
      <c r="C2863" s="18" t="n"/>
      <c r="D2863" s="19" t="n"/>
      <c r="E2863" s="20" t="n"/>
      <c r="F2863" s="20" t="n"/>
      <c r="G2863" s="21" t="n"/>
      <c r="H2863" s="12">
        <f>IF(AND(B2863="",D2863="",F2863=""),"",IF(NOT(ISNUMBER(B2863)),"Needs a date",IF(D2863="","Needs a client",IF(COUNTIF(Clients!$B$6:$B$105,D2863)=0,"Not on Clients",IF(AND(F2863="",INT(B2863)&lt;TODAY()),"Needs a status","")))))</f>
        <v/>
      </c>
      <c r="I2863" s="1">
        <f>IF(ISNUMBER(B2863),INT(B2863),0)</f>
        <v/>
      </c>
      <c r="J2863">
        <f>IF(ISNUMBER(B2863),YEAR(B2863)*100+MONTH(B2863),"")</f>
        <v/>
      </c>
      <c r="K2863">
        <f>IF(AND(H2863="",OR(F2863="Attended",F2863="No-show",AND(F2863="Late cancel",Settings!$C$9="Yes"))),1,0)</f>
        <v/>
      </c>
      <c r="L2863">
        <f>IF(AND(H2863="",F2863="Attended"),1,0)</f>
        <v/>
      </c>
      <c r="M2863">
        <f>IF(AND(H2863="",OR(F2863="No-show",F2863="Late cancel")),1,0)</f>
        <v/>
      </c>
      <c r="N2863">
        <f>IF(AND(H2863="",F2863="",D2863&lt;&gt;"",I2863&gt;=TODAY()),ROUND((I2863+IF(ISNUMBER(C2863),MOD(C2863,1),0))*1440,0)*10000+ROW(),"")</f>
        <v/>
      </c>
    </row>
    <row r="2864">
      <c r="A2864" s="1" t="n"/>
      <c r="B2864" s="17" t="n"/>
      <c r="C2864" s="18" t="n"/>
      <c r="D2864" s="19" t="n"/>
      <c r="E2864" s="20" t="n"/>
      <c r="F2864" s="20" t="n"/>
      <c r="G2864" s="21" t="n"/>
      <c r="H2864" s="12">
        <f>IF(AND(B2864="",D2864="",F2864=""),"",IF(NOT(ISNUMBER(B2864)),"Needs a date",IF(D2864="","Needs a client",IF(COUNTIF(Clients!$B$6:$B$105,D2864)=0,"Not on Clients",IF(AND(F2864="",INT(B2864)&lt;TODAY()),"Needs a status","")))))</f>
        <v/>
      </c>
      <c r="I2864" s="1">
        <f>IF(ISNUMBER(B2864),INT(B2864),0)</f>
        <v/>
      </c>
      <c r="J2864">
        <f>IF(ISNUMBER(B2864),YEAR(B2864)*100+MONTH(B2864),"")</f>
        <v/>
      </c>
      <c r="K2864">
        <f>IF(AND(H2864="",OR(F2864="Attended",F2864="No-show",AND(F2864="Late cancel",Settings!$C$9="Yes"))),1,0)</f>
        <v/>
      </c>
      <c r="L2864">
        <f>IF(AND(H2864="",F2864="Attended"),1,0)</f>
        <v/>
      </c>
      <c r="M2864">
        <f>IF(AND(H2864="",OR(F2864="No-show",F2864="Late cancel")),1,0)</f>
        <v/>
      </c>
      <c r="N2864">
        <f>IF(AND(H2864="",F2864="",D2864&lt;&gt;"",I2864&gt;=TODAY()),ROUND((I2864+IF(ISNUMBER(C2864),MOD(C2864,1),0))*1440,0)*10000+ROW(),"")</f>
        <v/>
      </c>
    </row>
    <row r="2865">
      <c r="A2865" s="1" t="n"/>
      <c r="B2865" s="17" t="n"/>
      <c r="C2865" s="18" t="n"/>
      <c r="D2865" s="19" t="n"/>
      <c r="E2865" s="20" t="n"/>
      <c r="F2865" s="20" t="n"/>
      <c r="G2865" s="21" t="n"/>
      <c r="H2865" s="12">
        <f>IF(AND(B2865="",D2865="",F2865=""),"",IF(NOT(ISNUMBER(B2865)),"Needs a date",IF(D2865="","Needs a client",IF(COUNTIF(Clients!$B$6:$B$105,D2865)=0,"Not on Clients",IF(AND(F2865="",INT(B2865)&lt;TODAY()),"Needs a status","")))))</f>
        <v/>
      </c>
      <c r="I2865" s="1">
        <f>IF(ISNUMBER(B2865),INT(B2865),0)</f>
        <v/>
      </c>
      <c r="J2865">
        <f>IF(ISNUMBER(B2865),YEAR(B2865)*100+MONTH(B2865),"")</f>
        <v/>
      </c>
      <c r="K2865">
        <f>IF(AND(H2865="",OR(F2865="Attended",F2865="No-show",AND(F2865="Late cancel",Settings!$C$9="Yes"))),1,0)</f>
        <v/>
      </c>
      <c r="L2865">
        <f>IF(AND(H2865="",F2865="Attended"),1,0)</f>
        <v/>
      </c>
      <c r="M2865">
        <f>IF(AND(H2865="",OR(F2865="No-show",F2865="Late cancel")),1,0)</f>
        <v/>
      </c>
      <c r="N2865">
        <f>IF(AND(H2865="",F2865="",D2865&lt;&gt;"",I2865&gt;=TODAY()),ROUND((I2865+IF(ISNUMBER(C2865),MOD(C2865,1),0))*1440,0)*10000+ROW(),"")</f>
        <v/>
      </c>
    </row>
    <row r="2866">
      <c r="A2866" s="1" t="n"/>
      <c r="B2866" s="17" t="n"/>
      <c r="C2866" s="18" t="n"/>
      <c r="D2866" s="19" t="n"/>
      <c r="E2866" s="20" t="n"/>
      <c r="F2866" s="20" t="n"/>
      <c r="G2866" s="21" t="n"/>
      <c r="H2866" s="12">
        <f>IF(AND(B2866="",D2866="",F2866=""),"",IF(NOT(ISNUMBER(B2866)),"Needs a date",IF(D2866="","Needs a client",IF(COUNTIF(Clients!$B$6:$B$105,D2866)=0,"Not on Clients",IF(AND(F2866="",INT(B2866)&lt;TODAY()),"Needs a status","")))))</f>
        <v/>
      </c>
      <c r="I2866" s="1">
        <f>IF(ISNUMBER(B2866),INT(B2866),0)</f>
        <v/>
      </c>
      <c r="J2866">
        <f>IF(ISNUMBER(B2866),YEAR(B2866)*100+MONTH(B2866),"")</f>
        <v/>
      </c>
      <c r="K2866">
        <f>IF(AND(H2866="",OR(F2866="Attended",F2866="No-show",AND(F2866="Late cancel",Settings!$C$9="Yes"))),1,0)</f>
        <v/>
      </c>
      <c r="L2866">
        <f>IF(AND(H2866="",F2866="Attended"),1,0)</f>
        <v/>
      </c>
      <c r="M2866">
        <f>IF(AND(H2866="",OR(F2866="No-show",F2866="Late cancel")),1,0)</f>
        <v/>
      </c>
      <c r="N2866">
        <f>IF(AND(H2866="",F2866="",D2866&lt;&gt;"",I2866&gt;=TODAY()),ROUND((I2866+IF(ISNUMBER(C2866),MOD(C2866,1),0))*1440,0)*10000+ROW(),"")</f>
        <v/>
      </c>
    </row>
    <row r="2867">
      <c r="A2867" s="1" t="n"/>
      <c r="B2867" s="17" t="n"/>
      <c r="C2867" s="18" t="n"/>
      <c r="D2867" s="19" t="n"/>
      <c r="E2867" s="20" t="n"/>
      <c r="F2867" s="20" t="n"/>
      <c r="G2867" s="21" t="n"/>
      <c r="H2867" s="12">
        <f>IF(AND(B2867="",D2867="",F2867=""),"",IF(NOT(ISNUMBER(B2867)),"Needs a date",IF(D2867="","Needs a client",IF(COUNTIF(Clients!$B$6:$B$105,D2867)=0,"Not on Clients",IF(AND(F2867="",INT(B2867)&lt;TODAY()),"Needs a status","")))))</f>
        <v/>
      </c>
      <c r="I2867" s="1">
        <f>IF(ISNUMBER(B2867),INT(B2867),0)</f>
        <v/>
      </c>
      <c r="J2867">
        <f>IF(ISNUMBER(B2867),YEAR(B2867)*100+MONTH(B2867),"")</f>
        <v/>
      </c>
      <c r="K2867">
        <f>IF(AND(H2867="",OR(F2867="Attended",F2867="No-show",AND(F2867="Late cancel",Settings!$C$9="Yes"))),1,0)</f>
        <v/>
      </c>
      <c r="L2867">
        <f>IF(AND(H2867="",F2867="Attended"),1,0)</f>
        <v/>
      </c>
      <c r="M2867">
        <f>IF(AND(H2867="",OR(F2867="No-show",F2867="Late cancel")),1,0)</f>
        <v/>
      </c>
      <c r="N2867">
        <f>IF(AND(H2867="",F2867="",D2867&lt;&gt;"",I2867&gt;=TODAY()),ROUND((I2867+IF(ISNUMBER(C2867),MOD(C2867,1),0))*1440,0)*10000+ROW(),"")</f>
        <v/>
      </c>
    </row>
    <row r="2868">
      <c r="A2868" s="1" t="n"/>
      <c r="B2868" s="17" t="n"/>
      <c r="C2868" s="18" t="n"/>
      <c r="D2868" s="19" t="n"/>
      <c r="E2868" s="20" t="n"/>
      <c r="F2868" s="20" t="n"/>
      <c r="G2868" s="21" t="n"/>
      <c r="H2868" s="12">
        <f>IF(AND(B2868="",D2868="",F2868=""),"",IF(NOT(ISNUMBER(B2868)),"Needs a date",IF(D2868="","Needs a client",IF(COUNTIF(Clients!$B$6:$B$105,D2868)=0,"Not on Clients",IF(AND(F2868="",INT(B2868)&lt;TODAY()),"Needs a status","")))))</f>
        <v/>
      </c>
      <c r="I2868" s="1">
        <f>IF(ISNUMBER(B2868),INT(B2868),0)</f>
        <v/>
      </c>
      <c r="J2868">
        <f>IF(ISNUMBER(B2868),YEAR(B2868)*100+MONTH(B2868),"")</f>
        <v/>
      </c>
      <c r="K2868">
        <f>IF(AND(H2868="",OR(F2868="Attended",F2868="No-show",AND(F2868="Late cancel",Settings!$C$9="Yes"))),1,0)</f>
        <v/>
      </c>
      <c r="L2868">
        <f>IF(AND(H2868="",F2868="Attended"),1,0)</f>
        <v/>
      </c>
      <c r="M2868">
        <f>IF(AND(H2868="",OR(F2868="No-show",F2868="Late cancel")),1,0)</f>
        <v/>
      </c>
      <c r="N2868">
        <f>IF(AND(H2868="",F2868="",D2868&lt;&gt;"",I2868&gt;=TODAY()),ROUND((I2868+IF(ISNUMBER(C2868),MOD(C2868,1),0))*1440,0)*10000+ROW(),"")</f>
        <v/>
      </c>
    </row>
    <row r="2869">
      <c r="A2869" s="1" t="n"/>
      <c r="B2869" s="17" t="n"/>
      <c r="C2869" s="18" t="n"/>
      <c r="D2869" s="19" t="n"/>
      <c r="E2869" s="20" t="n"/>
      <c r="F2869" s="20" t="n"/>
      <c r="G2869" s="21" t="n"/>
      <c r="H2869" s="12">
        <f>IF(AND(B2869="",D2869="",F2869=""),"",IF(NOT(ISNUMBER(B2869)),"Needs a date",IF(D2869="","Needs a client",IF(COUNTIF(Clients!$B$6:$B$105,D2869)=0,"Not on Clients",IF(AND(F2869="",INT(B2869)&lt;TODAY()),"Needs a status","")))))</f>
        <v/>
      </c>
      <c r="I2869" s="1">
        <f>IF(ISNUMBER(B2869),INT(B2869),0)</f>
        <v/>
      </c>
      <c r="J2869">
        <f>IF(ISNUMBER(B2869),YEAR(B2869)*100+MONTH(B2869),"")</f>
        <v/>
      </c>
      <c r="K2869">
        <f>IF(AND(H2869="",OR(F2869="Attended",F2869="No-show",AND(F2869="Late cancel",Settings!$C$9="Yes"))),1,0)</f>
        <v/>
      </c>
      <c r="L2869">
        <f>IF(AND(H2869="",F2869="Attended"),1,0)</f>
        <v/>
      </c>
      <c r="M2869">
        <f>IF(AND(H2869="",OR(F2869="No-show",F2869="Late cancel")),1,0)</f>
        <v/>
      </c>
      <c r="N2869">
        <f>IF(AND(H2869="",F2869="",D2869&lt;&gt;"",I2869&gt;=TODAY()),ROUND((I2869+IF(ISNUMBER(C2869),MOD(C2869,1),0))*1440,0)*10000+ROW(),"")</f>
        <v/>
      </c>
    </row>
    <row r="2870">
      <c r="A2870" s="1" t="n"/>
      <c r="B2870" s="17" t="n"/>
      <c r="C2870" s="18" t="n"/>
      <c r="D2870" s="19" t="n"/>
      <c r="E2870" s="20" t="n"/>
      <c r="F2870" s="20" t="n"/>
      <c r="G2870" s="21" t="n"/>
      <c r="H2870" s="12">
        <f>IF(AND(B2870="",D2870="",F2870=""),"",IF(NOT(ISNUMBER(B2870)),"Needs a date",IF(D2870="","Needs a client",IF(COUNTIF(Clients!$B$6:$B$105,D2870)=0,"Not on Clients",IF(AND(F2870="",INT(B2870)&lt;TODAY()),"Needs a status","")))))</f>
        <v/>
      </c>
      <c r="I2870" s="1">
        <f>IF(ISNUMBER(B2870),INT(B2870),0)</f>
        <v/>
      </c>
      <c r="J2870">
        <f>IF(ISNUMBER(B2870),YEAR(B2870)*100+MONTH(B2870),"")</f>
        <v/>
      </c>
      <c r="K2870">
        <f>IF(AND(H2870="",OR(F2870="Attended",F2870="No-show",AND(F2870="Late cancel",Settings!$C$9="Yes"))),1,0)</f>
        <v/>
      </c>
      <c r="L2870">
        <f>IF(AND(H2870="",F2870="Attended"),1,0)</f>
        <v/>
      </c>
      <c r="M2870">
        <f>IF(AND(H2870="",OR(F2870="No-show",F2870="Late cancel")),1,0)</f>
        <v/>
      </c>
      <c r="N2870">
        <f>IF(AND(H2870="",F2870="",D2870&lt;&gt;"",I2870&gt;=TODAY()),ROUND((I2870+IF(ISNUMBER(C2870),MOD(C2870,1),0))*1440,0)*10000+ROW(),"")</f>
        <v/>
      </c>
    </row>
    <row r="2871">
      <c r="A2871" s="1" t="n"/>
      <c r="B2871" s="17" t="n"/>
      <c r="C2871" s="18" t="n"/>
      <c r="D2871" s="19" t="n"/>
      <c r="E2871" s="20" t="n"/>
      <c r="F2871" s="20" t="n"/>
      <c r="G2871" s="21" t="n"/>
      <c r="H2871" s="12">
        <f>IF(AND(B2871="",D2871="",F2871=""),"",IF(NOT(ISNUMBER(B2871)),"Needs a date",IF(D2871="","Needs a client",IF(COUNTIF(Clients!$B$6:$B$105,D2871)=0,"Not on Clients",IF(AND(F2871="",INT(B2871)&lt;TODAY()),"Needs a status","")))))</f>
        <v/>
      </c>
      <c r="I2871" s="1">
        <f>IF(ISNUMBER(B2871),INT(B2871),0)</f>
        <v/>
      </c>
      <c r="J2871">
        <f>IF(ISNUMBER(B2871),YEAR(B2871)*100+MONTH(B2871),"")</f>
        <v/>
      </c>
      <c r="K2871">
        <f>IF(AND(H2871="",OR(F2871="Attended",F2871="No-show",AND(F2871="Late cancel",Settings!$C$9="Yes"))),1,0)</f>
        <v/>
      </c>
      <c r="L2871">
        <f>IF(AND(H2871="",F2871="Attended"),1,0)</f>
        <v/>
      </c>
      <c r="M2871">
        <f>IF(AND(H2871="",OR(F2871="No-show",F2871="Late cancel")),1,0)</f>
        <v/>
      </c>
      <c r="N2871">
        <f>IF(AND(H2871="",F2871="",D2871&lt;&gt;"",I2871&gt;=TODAY()),ROUND((I2871+IF(ISNUMBER(C2871),MOD(C2871,1),0))*1440,0)*10000+ROW(),"")</f>
        <v/>
      </c>
    </row>
    <row r="2872">
      <c r="A2872" s="1" t="n"/>
      <c r="B2872" s="17" t="n"/>
      <c r="C2872" s="18" t="n"/>
      <c r="D2872" s="19" t="n"/>
      <c r="E2872" s="20" t="n"/>
      <c r="F2872" s="20" t="n"/>
      <c r="G2872" s="21" t="n"/>
      <c r="H2872" s="12">
        <f>IF(AND(B2872="",D2872="",F2872=""),"",IF(NOT(ISNUMBER(B2872)),"Needs a date",IF(D2872="","Needs a client",IF(COUNTIF(Clients!$B$6:$B$105,D2872)=0,"Not on Clients",IF(AND(F2872="",INT(B2872)&lt;TODAY()),"Needs a status","")))))</f>
        <v/>
      </c>
      <c r="I2872" s="1">
        <f>IF(ISNUMBER(B2872),INT(B2872),0)</f>
        <v/>
      </c>
      <c r="J2872">
        <f>IF(ISNUMBER(B2872),YEAR(B2872)*100+MONTH(B2872),"")</f>
        <v/>
      </c>
      <c r="K2872">
        <f>IF(AND(H2872="",OR(F2872="Attended",F2872="No-show",AND(F2872="Late cancel",Settings!$C$9="Yes"))),1,0)</f>
        <v/>
      </c>
      <c r="L2872">
        <f>IF(AND(H2872="",F2872="Attended"),1,0)</f>
        <v/>
      </c>
      <c r="M2872">
        <f>IF(AND(H2872="",OR(F2872="No-show",F2872="Late cancel")),1,0)</f>
        <v/>
      </c>
      <c r="N2872">
        <f>IF(AND(H2872="",F2872="",D2872&lt;&gt;"",I2872&gt;=TODAY()),ROUND((I2872+IF(ISNUMBER(C2872),MOD(C2872,1),0))*1440,0)*10000+ROW(),"")</f>
        <v/>
      </c>
    </row>
    <row r="2873">
      <c r="A2873" s="1" t="n"/>
      <c r="B2873" s="17" t="n"/>
      <c r="C2873" s="18" t="n"/>
      <c r="D2873" s="19" t="n"/>
      <c r="E2873" s="20" t="n"/>
      <c r="F2873" s="20" t="n"/>
      <c r="G2873" s="21" t="n"/>
      <c r="H2873" s="12">
        <f>IF(AND(B2873="",D2873="",F2873=""),"",IF(NOT(ISNUMBER(B2873)),"Needs a date",IF(D2873="","Needs a client",IF(COUNTIF(Clients!$B$6:$B$105,D2873)=0,"Not on Clients",IF(AND(F2873="",INT(B2873)&lt;TODAY()),"Needs a status","")))))</f>
        <v/>
      </c>
      <c r="I2873" s="1">
        <f>IF(ISNUMBER(B2873),INT(B2873),0)</f>
        <v/>
      </c>
      <c r="J2873">
        <f>IF(ISNUMBER(B2873),YEAR(B2873)*100+MONTH(B2873),"")</f>
        <v/>
      </c>
      <c r="K2873">
        <f>IF(AND(H2873="",OR(F2873="Attended",F2873="No-show",AND(F2873="Late cancel",Settings!$C$9="Yes"))),1,0)</f>
        <v/>
      </c>
      <c r="L2873">
        <f>IF(AND(H2873="",F2873="Attended"),1,0)</f>
        <v/>
      </c>
      <c r="M2873">
        <f>IF(AND(H2873="",OR(F2873="No-show",F2873="Late cancel")),1,0)</f>
        <v/>
      </c>
      <c r="N2873">
        <f>IF(AND(H2873="",F2873="",D2873&lt;&gt;"",I2873&gt;=TODAY()),ROUND((I2873+IF(ISNUMBER(C2873),MOD(C2873,1),0))*1440,0)*10000+ROW(),"")</f>
        <v/>
      </c>
    </row>
    <row r="2874">
      <c r="A2874" s="1" t="n"/>
      <c r="B2874" s="17" t="n"/>
      <c r="C2874" s="18" t="n"/>
      <c r="D2874" s="19" t="n"/>
      <c r="E2874" s="20" t="n"/>
      <c r="F2874" s="20" t="n"/>
      <c r="G2874" s="21" t="n"/>
      <c r="H2874" s="12">
        <f>IF(AND(B2874="",D2874="",F2874=""),"",IF(NOT(ISNUMBER(B2874)),"Needs a date",IF(D2874="","Needs a client",IF(COUNTIF(Clients!$B$6:$B$105,D2874)=0,"Not on Clients",IF(AND(F2874="",INT(B2874)&lt;TODAY()),"Needs a status","")))))</f>
        <v/>
      </c>
      <c r="I2874" s="1">
        <f>IF(ISNUMBER(B2874),INT(B2874),0)</f>
        <v/>
      </c>
      <c r="J2874">
        <f>IF(ISNUMBER(B2874),YEAR(B2874)*100+MONTH(B2874),"")</f>
        <v/>
      </c>
      <c r="K2874">
        <f>IF(AND(H2874="",OR(F2874="Attended",F2874="No-show",AND(F2874="Late cancel",Settings!$C$9="Yes"))),1,0)</f>
        <v/>
      </c>
      <c r="L2874">
        <f>IF(AND(H2874="",F2874="Attended"),1,0)</f>
        <v/>
      </c>
      <c r="M2874">
        <f>IF(AND(H2874="",OR(F2874="No-show",F2874="Late cancel")),1,0)</f>
        <v/>
      </c>
      <c r="N2874">
        <f>IF(AND(H2874="",F2874="",D2874&lt;&gt;"",I2874&gt;=TODAY()),ROUND((I2874+IF(ISNUMBER(C2874),MOD(C2874,1),0))*1440,0)*10000+ROW(),"")</f>
        <v/>
      </c>
    </row>
    <row r="2875">
      <c r="A2875" s="1" t="n"/>
      <c r="B2875" s="17" t="n"/>
      <c r="C2875" s="18" t="n"/>
      <c r="D2875" s="19" t="n"/>
      <c r="E2875" s="20" t="n"/>
      <c r="F2875" s="20" t="n"/>
      <c r="G2875" s="21" t="n"/>
      <c r="H2875" s="12">
        <f>IF(AND(B2875="",D2875="",F2875=""),"",IF(NOT(ISNUMBER(B2875)),"Needs a date",IF(D2875="","Needs a client",IF(COUNTIF(Clients!$B$6:$B$105,D2875)=0,"Not on Clients",IF(AND(F2875="",INT(B2875)&lt;TODAY()),"Needs a status","")))))</f>
        <v/>
      </c>
      <c r="I2875" s="1">
        <f>IF(ISNUMBER(B2875),INT(B2875),0)</f>
        <v/>
      </c>
      <c r="J2875">
        <f>IF(ISNUMBER(B2875),YEAR(B2875)*100+MONTH(B2875),"")</f>
        <v/>
      </c>
      <c r="K2875">
        <f>IF(AND(H2875="",OR(F2875="Attended",F2875="No-show",AND(F2875="Late cancel",Settings!$C$9="Yes"))),1,0)</f>
        <v/>
      </c>
      <c r="L2875">
        <f>IF(AND(H2875="",F2875="Attended"),1,0)</f>
        <v/>
      </c>
      <c r="M2875">
        <f>IF(AND(H2875="",OR(F2875="No-show",F2875="Late cancel")),1,0)</f>
        <v/>
      </c>
      <c r="N2875">
        <f>IF(AND(H2875="",F2875="",D2875&lt;&gt;"",I2875&gt;=TODAY()),ROUND((I2875+IF(ISNUMBER(C2875),MOD(C2875,1),0))*1440,0)*10000+ROW(),"")</f>
        <v/>
      </c>
    </row>
    <row r="2876">
      <c r="A2876" s="1" t="n"/>
      <c r="B2876" s="17" t="n"/>
      <c r="C2876" s="18" t="n"/>
      <c r="D2876" s="19" t="n"/>
      <c r="E2876" s="20" t="n"/>
      <c r="F2876" s="20" t="n"/>
      <c r="G2876" s="21" t="n"/>
      <c r="H2876" s="12">
        <f>IF(AND(B2876="",D2876="",F2876=""),"",IF(NOT(ISNUMBER(B2876)),"Needs a date",IF(D2876="","Needs a client",IF(COUNTIF(Clients!$B$6:$B$105,D2876)=0,"Not on Clients",IF(AND(F2876="",INT(B2876)&lt;TODAY()),"Needs a status","")))))</f>
        <v/>
      </c>
      <c r="I2876" s="1">
        <f>IF(ISNUMBER(B2876),INT(B2876),0)</f>
        <v/>
      </c>
      <c r="J2876">
        <f>IF(ISNUMBER(B2876),YEAR(B2876)*100+MONTH(B2876),"")</f>
        <v/>
      </c>
      <c r="K2876">
        <f>IF(AND(H2876="",OR(F2876="Attended",F2876="No-show",AND(F2876="Late cancel",Settings!$C$9="Yes"))),1,0)</f>
        <v/>
      </c>
      <c r="L2876">
        <f>IF(AND(H2876="",F2876="Attended"),1,0)</f>
        <v/>
      </c>
      <c r="M2876">
        <f>IF(AND(H2876="",OR(F2876="No-show",F2876="Late cancel")),1,0)</f>
        <v/>
      </c>
      <c r="N2876">
        <f>IF(AND(H2876="",F2876="",D2876&lt;&gt;"",I2876&gt;=TODAY()),ROUND((I2876+IF(ISNUMBER(C2876),MOD(C2876,1),0))*1440,0)*10000+ROW(),"")</f>
        <v/>
      </c>
    </row>
    <row r="2877">
      <c r="A2877" s="1" t="n"/>
      <c r="B2877" s="17" t="n"/>
      <c r="C2877" s="18" t="n"/>
      <c r="D2877" s="19" t="n"/>
      <c r="E2877" s="20" t="n"/>
      <c r="F2877" s="20" t="n"/>
      <c r="G2877" s="21" t="n"/>
      <c r="H2877" s="12">
        <f>IF(AND(B2877="",D2877="",F2877=""),"",IF(NOT(ISNUMBER(B2877)),"Needs a date",IF(D2877="","Needs a client",IF(COUNTIF(Clients!$B$6:$B$105,D2877)=0,"Not on Clients",IF(AND(F2877="",INT(B2877)&lt;TODAY()),"Needs a status","")))))</f>
        <v/>
      </c>
      <c r="I2877" s="1">
        <f>IF(ISNUMBER(B2877),INT(B2877),0)</f>
        <v/>
      </c>
      <c r="J2877">
        <f>IF(ISNUMBER(B2877),YEAR(B2877)*100+MONTH(B2877),"")</f>
        <v/>
      </c>
      <c r="K2877">
        <f>IF(AND(H2877="",OR(F2877="Attended",F2877="No-show",AND(F2877="Late cancel",Settings!$C$9="Yes"))),1,0)</f>
        <v/>
      </c>
      <c r="L2877">
        <f>IF(AND(H2877="",F2877="Attended"),1,0)</f>
        <v/>
      </c>
      <c r="M2877">
        <f>IF(AND(H2877="",OR(F2877="No-show",F2877="Late cancel")),1,0)</f>
        <v/>
      </c>
      <c r="N2877">
        <f>IF(AND(H2877="",F2877="",D2877&lt;&gt;"",I2877&gt;=TODAY()),ROUND((I2877+IF(ISNUMBER(C2877),MOD(C2877,1),0))*1440,0)*10000+ROW(),"")</f>
        <v/>
      </c>
    </row>
    <row r="2878">
      <c r="A2878" s="1" t="n"/>
      <c r="B2878" s="17" t="n"/>
      <c r="C2878" s="18" t="n"/>
      <c r="D2878" s="19" t="n"/>
      <c r="E2878" s="20" t="n"/>
      <c r="F2878" s="20" t="n"/>
      <c r="G2878" s="21" t="n"/>
      <c r="H2878" s="12">
        <f>IF(AND(B2878="",D2878="",F2878=""),"",IF(NOT(ISNUMBER(B2878)),"Needs a date",IF(D2878="","Needs a client",IF(COUNTIF(Clients!$B$6:$B$105,D2878)=0,"Not on Clients",IF(AND(F2878="",INT(B2878)&lt;TODAY()),"Needs a status","")))))</f>
        <v/>
      </c>
      <c r="I2878" s="1">
        <f>IF(ISNUMBER(B2878),INT(B2878),0)</f>
        <v/>
      </c>
      <c r="J2878">
        <f>IF(ISNUMBER(B2878),YEAR(B2878)*100+MONTH(B2878),"")</f>
        <v/>
      </c>
      <c r="K2878">
        <f>IF(AND(H2878="",OR(F2878="Attended",F2878="No-show",AND(F2878="Late cancel",Settings!$C$9="Yes"))),1,0)</f>
        <v/>
      </c>
      <c r="L2878">
        <f>IF(AND(H2878="",F2878="Attended"),1,0)</f>
        <v/>
      </c>
      <c r="M2878">
        <f>IF(AND(H2878="",OR(F2878="No-show",F2878="Late cancel")),1,0)</f>
        <v/>
      </c>
      <c r="N2878">
        <f>IF(AND(H2878="",F2878="",D2878&lt;&gt;"",I2878&gt;=TODAY()),ROUND((I2878+IF(ISNUMBER(C2878),MOD(C2878,1),0))*1440,0)*10000+ROW(),"")</f>
        <v/>
      </c>
    </row>
    <row r="2879">
      <c r="A2879" s="1" t="n"/>
      <c r="B2879" s="17" t="n"/>
      <c r="C2879" s="18" t="n"/>
      <c r="D2879" s="19" t="n"/>
      <c r="E2879" s="20" t="n"/>
      <c r="F2879" s="20" t="n"/>
      <c r="G2879" s="21" t="n"/>
      <c r="H2879" s="12">
        <f>IF(AND(B2879="",D2879="",F2879=""),"",IF(NOT(ISNUMBER(B2879)),"Needs a date",IF(D2879="","Needs a client",IF(COUNTIF(Clients!$B$6:$B$105,D2879)=0,"Not on Clients",IF(AND(F2879="",INT(B2879)&lt;TODAY()),"Needs a status","")))))</f>
        <v/>
      </c>
      <c r="I2879" s="1">
        <f>IF(ISNUMBER(B2879),INT(B2879),0)</f>
        <v/>
      </c>
      <c r="J2879">
        <f>IF(ISNUMBER(B2879),YEAR(B2879)*100+MONTH(B2879),"")</f>
        <v/>
      </c>
      <c r="K2879">
        <f>IF(AND(H2879="",OR(F2879="Attended",F2879="No-show",AND(F2879="Late cancel",Settings!$C$9="Yes"))),1,0)</f>
        <v/>
      </c>
      <c r="L2879">
        <f>IF(AND(H2879="",F2879="Attended"),1,0)</f>
        <v/>
      </c>
      <c r="M2879">
        <f>IF(AND(H2879="",OR(F2879="No-show",F2879="Late cancel")),1,0)</f>
        <v/>
      </c>
      <c r="N2879">
        <f>IF(AND(H2879="",F2879="",D2879&lt;&gt;"",I2879&gt;=TODAY()),ROUND((I2879+IF(ISNUMBER(C2879),MOD(C2879,1),0))*1440,0)*10000+ROW(),"")</f>
        <v/>
      </c>
    </row>
    <row r="2880">
      <c r="A2880" s="1" t="n"/>
      <c r="B2880" s="17" t="n"/>
      <c r="C2880" s="18" t="n"/>
      <c r="D2880" s="19" t="n"/>
      <c r="E2880" s="20" t="n"/>
      <c r="F2880" s="20" t="n"/>
      <c r="G2880" s="21" t="n"/>
      <c r="H2880" s="12">
        <f>IF(AND(B2880="",D2880="",F2880=""),"",IF(NOT(ISNUMBER(B2880)),"Needs a date",IF(D2880="","Needs a client",IF(COUNTIF(Clients!$B$6:$B$105,D2880)=0,"Not on Clients",IF(AND(F2880="",INT(B2880)&lt;TODAY()),"Needs a status","")))))</f>
        <v/>
      </c>
      <c r="I2880" s="1">
        <f>IF(ISNUMBER(B2880),INT(B2880),0)</f>
        <v/>
      </c>
      <c r="J2880">
        <f>IF(ISNUMBER(B2880),YEAR(B2880)*100+MONTH(B2880),"")</f>
        <v/>
      </c>
      <c r="K2880">
        <f>IF(AND(H2880="",OR(F2880="Attended",F2880="No-show",AND(F2880="Late cancel",Settings!$C$9="Yes"))),1,0)</f>
        <v/>
      </c>
      <c r="L2880">
        <f>IF(AND(H2880="",F2880="Attended"),1,0)</f>
        <v/>
      </c>
      <c r="M2880">
        <f>IF(AND(H2880="",OR(F2880="No-show",F2880="Late cancel")),1,0)</f>
        <v/>
      </c>
      <c r="N2880">
        <f>IF(AND(H2880="",F2880="",D2880&lt;&gt;"",I2880&gt;=TODAY()),ROUND((I2880+IF(ISNUMBER(C2880),MOD(C2880,1),0))*1440,0)*10000+ROW(),"")</f>
        <v/>
      </c>
    </row>
    <row r="2881">
      <c r="A2881" s="1" t="n"/>
      <c r="B2881" s="17" t="n"/>
      <c r="C2881" s="18" t="n"/>
      <c r="D2881" s="19" t="n"/>
      <c r="E2881" s="20" t="n"/>
      <c r="F2881" s="20" t="n"/>
      <c r="G2881" s="21" t="n"/>
      <c r="H2881" s="12">
        <f>IF(AND(B2881="",D2881="",F2881=""),"",IF(NOT(ISNUMBER(B2881)),"Needs a date",IF(D2881="","Needs a client",IF(COUNTIF(Clients!$B$6:$B$105,D2881)=0,"Not on Clients",IF(AND(F2881="",INT(B2881)&lt;TODAY()),"Needs a status","")))))</f>
        <v/>
      </c>
      <c r="I2881" s="1">
        <f>IF(ISNUMBER(B2881),INT(B2881),0)</f>
        <v/>
      </c>
      <c r="J2881">
        <f>IF(ISNUMBER(B2881),YEAR(B2881)*100+MONTH(B2881),"")</f>
        <v/>
      </c>
      <c r="K2881">
        <f>IF(AND(H2881="",OR(F2881="Attended",F2881="No-show",AND(F2881="Late cancel",Settings!$C$9="Yes"))),1,0)</f>
        <v/>
      </c>
      <c r="L2881">
        <f>IF(AND(H2881="",F2881="Attended"),1,0)</f>
        <v/>
      </c>
      <c r="M2881">
        <f>IF(AND(H2881="",OR(F2881="No-show",F2881="Late cancel")),1,0)</f>
        <v/>
      </c>
      <c r="N2881">
        <f>IF(AND(H2881="",F2881="",D2881&lt;&gt;"",I2881&gt;=TODAY()),ROUND((I2881+IF(ISNUMBER(C2881),MOD(C2881,1),0))*1440,0)*10000+ROW(),"")</f>
        <v/>
      </c>
    </row>
    <row r="2882">
      <c r="A2882" s="1" t="n"/>
      <c r="B2882" s="17" t="n"/>
      <c r="C2882" s="18" t="n"/>
      <c r="D2882" s="19" t="n"/>
      <c r="E2882" s="20" t="n"/>
      <c r="F2882" s="20" t="n"/>
      <c r="G2882" s="21" t="n"/>
      <c r="H2882" s="12">
        <f>IF(AND(B2882="",D2882="",F2882=""),"",IF(NOT(ISNUMBER(B2882)),"Needs a date",IF(D2882="","Needs a client",IF(COUNTIF(Clients!$B$6:$B$105,D2882)=0,"Not on Clients",IF(AND(F2882="",INT(B2882)&lt;TODAY()),"Needs a status","")))))</f>
        <v/>
      </c>
      <c r="I2882" s="1">
        <f>IF(ISNUMBER(B2882),INT(B2882),0)</f>
        <v/>
      </c>
      <c r="J2882">
        <f>IF(ISNUMBER(B2882),YEAR(B2882)*100+MONTH(B2882),"")</f>
        <v/>
      </c>
      <c r="K2882">
        <f>IF(AND(H2882="",OR(F2882="Attended",F2882="No-show",AND(F2882="Late cancel",Settings!$C$9="Yes"))),1,0)</f>
        <v/>
      </c>
      <c r="L2882">
        <f>IF(AND(H2882="",F2882="Attended"),1,0)</f>
        <v/>
      </c>
      <c r="M2882">
        <f>IF(AND(H2882="",OR(F2882="No-show",F2882="Late cancel")),1,0)</f>
        <v/>
      </c>
      <c r="N2882">
        <f>IF(AND(H2882="",F2882="",D2882&lt;&gt;"",I2882&gt;=TODAY()),ROUND((I2882+IF(ISNUMBER(C2882),MOD(C2882,1),0))*1440,0)*10000+ROW(),"")</f>
        <v/>
      </c>
    </row>
    <row r="2883">
      <c r="A2883" s="1" t="n"/>
      <c r="B2883" s="17" t="n"/>
      <c r="C2883" s="18" t="n"/>
      <c r="D2883" s="19" t="n"/>
      <c r="E2883" s="20" t="n"/>
      <c r="F2883" s="20" t="n"/>
      <c r="G2883" s="21" t="n"/>
      <c r="H2883" s="12">
        <f>IF(AND(B2883="",D2883="",F2883=""),"",IF(NOT(ISNUMBER(B2883)),"Needs a date",IF(D2883="","Needs a client",IF(COUNTIF(Clients!$B$6:$B$105,D2883)=0,"Not on Clients",IF(AND(F2883="",INT(B2883)&lt;TODAY()),"Needs a status","")))))</f>
        <v/>
      </c>
      <c r="I2883" s="1">
        <f>IF(ISNUMBER(B2883),INT(B2883),0)</f>
        <v/>
      </c>
      <c r="J2883">
        <f>IF(ISNUMBER(B2883),YEAR(B2883)*100+MONTH(B2883),"")</f>
        <v/>
      </c>
      <c r="K2883">
        <f>IF(AND(H2883="",OR(F2883="Attended",F2883="No-show",AND(F2883="Late cancel",Settings!$C$9="Yes"))),1,0)</f>
        <v/>
      </c>
      <c r="L2883">
        <f>IF(AND(H2883="",F2883="Attended"),1,0)</f>
        <v/>
      </c>
      <c r="M2883">
        <f>IF(AND(H2883="",OR(F2883="No-show",F2883="Late cancel")),1,0)</f>
        <v/>
      </c>
      <c r="N2883">
        <f>IF(AND(H2883="",F2883="",D2883&lt;&gt;"",I2883&gt;=TODAY()),ROUND((I2883+IF(ISNUMBER(C2883),MOD(C2883,1),0))*1440,0)*10000+ROW(),"")</f>
        <v/>
      </c>
    </row>
    <row r="2884">
      <c r="A2884" s="1" t="n"/>
      <c r="B2884" s="17" t="n"/>
      <c r="C2884" s="18" t="n"/>
      <c r="D2884" s="19" t="n"/>
      <c r="E2884" s="20" t="n"/>
      <c r="F2884" s="20" t="n"/>
      <c r="G2884" s="21" t="n"/>
      <c r="H2884" s="12">
        <f>IF(AND(B2884="",D2884="",F2884=""),"",IF(NOT(ISNUMBER(B2884)),"Needs a date",IF(D2884="","Needs a client",IF(COUNTIF(Clients!$B$6:$B$105,D2884)=0,"Not on Clients",IF(AND(F2884="",INT(B2884)&lt;TODAY()),"Needs a status","")))))</f>
        <v/>
      </c>
      <c r="I2884" s="1">
        <f>IF(ISNUMBER(B2884),INT(B2884),0)</f>
        <v/>
      </c>
      <c r="J2884">
        <f>IF(ISNUMBER(B2884),YEAR(B2884)*100+MONTH(B2884),"")</f>
        <v/>
      </c>
      <c r="K2884">
        <f>IF(AND(H2884="",OR(F2884="Attended",F2884="No-show",AND(F2884="Late cancel",Settings!$C$9="Yes"))),1,0)</f>
        <v/>
      </c>
      <c r="L2884">
        <f>IF(AND(H2884="",F2884="Attended"),1,0)</f>
        <v/>
      </c>
      <c r="M2884">
        <f>IF(AND(H2884="",OR(F2884="No-show",F2884="Late cancel")),1,0)</f>
        <v/>
      </c>
      <c r="N2884">
        <f>IF(AND(H2884="",F2884="",D2884&lt;&gt;"",I2884&gt;=TODAY()),ROUND((I2884+IF(ISNUMBER(C2884),MOD(C2884,1),0))*1440,0)*10000+ROW(),"")</f>
        <v/>
      </c>
    </row>
    <row r="2885">
      <c r="A2885" s="1" t="n"/>
      <c r="B2885" s="17" t="n"/>
      <c r="C2885" s="18" t="n"/>
      <c r="D2885" s="19" t="n"/>
      <c r="E2885" s="20" t="n"/>
      <c r="F2885" s="20" t="n"/>
      <c r="G2885" s="21" t="n"/>
      <c r="H2885" s="12">
        <f>IF(AND(B2885="",D2885="",F2885=""),"",IF(NOT(ISNUMBER(B2885)),"Needs a date",IF(D2885="","Needs a client",IF(COUNTIF(Clients!$B$6:$B$105,D2885)=0,"Not on Clients",IF(AND(F2885="",INT(B2885)&lt;TODAY()),"Needs a status","")))))</f>
        <v/>
      </c>
      <c r="I2885" s="1">
        <f>IF(ISNUMBER(B2885),INT(B2885),0)</f>
        <v/>
      </c>
      <c r="J2885">
        <f>IF(ISNUMBER(B2885),YEAR(B2885)*100+MONTH(B2885),"")</f>
        <v/>
      </c>
      <c r="K2885">
        <f>IF(AND(H2885="",OR(F2885="Attended",F2885="No-show",AND(F2885="Late cancel",Settings!$C$9="Yes"))),1,0)</f>
        <v/>
      </c>
      <c r="L2885">
        <f>IF(AND(H2885="",F2885="Attended"),1,0)</f>
        <v/>
      </c>
      <c r="M2885">
        <f>IF(AND(H2885="",OR(F2885="No-show",F2885="Late cancel")),1,0)</f>
        <v/>
      </c>
      <c r="N2885">
        <f>IF(AND(H2885="",F2885="",D2885&lt;&gt;"",I2885&gt;=TODAY()),ROUND((I2885+IF(ISNUMBER(C2885),MOD(C2885,1),0))*1440,0)*10000+ROW(),"")</f>
        <v/>
      </c>
    </row>
    <row r="2886">
      <c r="A2886" s="1" t="n"/>
      <c r="B2886" s="17" t="n"/>
      <c r="C2886" s="18" t="n"/>
      <c r="D2886" s="19" t="n"/>
      <c r="E2886" s="20" t="n"/>
      <c r="F2886" s="20" t="n"/>
      <c r="G2886" s="21" t="n"/>
      <c r="H2886" s="12">
        <f>IF(AND(B2886="",D2886="",F2886=""),"",IF(NOT(ISNUMBER(B2886)),"Needs a date",IF(D2886="","Needs a client",IF(COUNTIF(Clients!$B$6:$B$105,D2886)=0,"Not on Clients",IF(AND(F2886="",INT(B2886)&lt;TODAY()),"Needs a status","")))))</f>
        <v/>
      </c>
      <c r="I2886" s="1">
        <f>IF(ISNUMBER(B2886),INT(B2886),0)</f>
        <v/>
      </c>
      <c r="J2886">
        <f>IF(ISNUMBER(B2886),YEAR(B2886)*100+MONTH(B2886),"")</f>
        <v/>
      </c>
      <c r="K2886">
        <f>IF(AND(H2886="",OR(F2886="Attended",F2886="No-show",AND(F2886="Late cancel",Settings!$C$9="Yes"))),1,0)</f>
        <v/>
      </c>
      <c r="L2886">
        <f>IF(AND(H2886="",F2886="Attended"),1,0)</f>
        <v/>
      </c>
      <c r="M2886">
        <f>IF(AND(H2886="",OR(F2886="No-show",F2886="Late cancel")),1,0)</f>
        <v/>
      </c>
      <c r="N2886">
        <f>IF(AND(H2886="",F2886="",D2886&lt;&gt;"",I2886&gt;=TODAY()),ROUND((I2886+IF(ISNUMBER(C2886),MOD(C2886,1),0))*1440,0)*10000+ROW(),"")</f>
        <v/>
      </c>
    </row>
    <row r="2887">
      <c r="A2887" s="1" t="n"/>
      <c r="B2887" s="17" t="n"/>
      <c r="C2887" s="18" t="n"/>
      <c r="D2887" s="19" t="n"/>
      <c r="E2887" s="20" t="n"/>
      <c r="F2887" s="20" t="n"/>
      <c r="G2887" s="21" t="n"/>
      <c r="H2887" s="12">
        <f>IF(AND(B2887="",D2887="",F2887=""),"",IF(NOT(ISNUMBER(B2887)),"Needs a date",IF(D2887="","Needs a client",IF(COUNTIF(Clients!$B$6:$B$105,D2887)=0,"Not on Clients",IF(AND(F2887="",INT(B2887)&lt;TODAY()),"Needs a status","")))))</f>
        <v/>
      </c>
      <c r="I2887" s="1">
        <f>IF(ISNUMBER(B2887),INT(B2887),0)</f>
        <v/>
      </c>
      <c r="J2887">
        <f>IF(ISNUMBER(B2887),YEAR(B2887)*100+MONTH(B2887),"")</f>
        <v/>
      </c>
      <c r="K2887">
        <f>IF(AND(H2887="",OR(F2887="Attended",F2887="No-show",AND(F2887="Late cancel",Settings!$C$9="Yes"))),1,0)</f>
        <v/>
      </c>
      <c r="L2887">
        <f>IF(AND(H2887="",F2887="Attended"),1,0)</f>
        <v/>
      </c>
      <c r="M2887">
        <f>IF(AND(H2887="",OR(F2887="No-show",F2887="Late cancel")),1,0)</f>
        <v/>
      </c>
      <c r="N2887">
        <f>IF(AND(H2887="",F2887="",D2887&lt;&gt;"",I2887&gt;=TODAY()),ROUND((I2887+IF(ISNUMBER(C2887),MOD(C2887,1),0))*1440,0)*10000+ROW(),"")</f>
        <v/>
      </c>
    </row>
    <row r="2888">
      <c r="A2888" s="1" t="n"/>
      <c r="B2888" s="17" t="n"/>
      <c r="C2888" s="18" t="n"/>
      <c r="D2888" s="19" t="n"/>
      <c r="E2888" s="20" t="n"/>
      <c r="F2888" s="20" t="n"/>
      <c r="G2888" s="21" t="n"/>
      <c r="H2888" s="12">
        <f>IF(AND(B2888="",D2888="",F2888=""),"",IF(NOT(ISNUMBER(B2888)),"Needs a date",IF(D2888="","Needs a client",IF(COUNTIF(Clients!$B$6:$B$105,D2888)=0,"Not on Clients",IF(AND(F2888="",INT(B2888)&lt;TODAY()),"Needs a status","")))))</f>
        <v/>
      </c>
      <c r="I2888" s="1">
        <f>IF(ISNUMBER(B2888),INT(B2888),0)</f>
        <v/>
      </c>
      <c r="J2888">
        <f>IF(ISNUMBER(B2888),YEAR(B2888)*100+MONTH(B2888),"")</f>
        <v/>
      </c>
      <c r="K2888">
        <f>IF(AND(H2888="",OR(F2888="Attended",F2888="No-show",AND(F2888="Late cancel",Settings!$C$9="Yes"))),1,0)</f>
        <v/>
      </c>
      <c r="L2888">
        <f>IF(AND(H2888="",F2888="Attended"),1,0)</f>
        <v/>
      </c>
      <c r="M2888">
        <f>IF(AND(H2888="",OR(F2888="No-show",F2888="Late cancel")),1,0)</f>
        <v/>
      </c>
      <c r="N2888">
        <f>IF(AND(H2888="",F2888="",D2888&lt;&gt;"",I2888&gt;=TODAY()),ROUND((I2888+IF(ISNUMBER(C2888),MOD(C2888,1),0))*1440,0)*10000+ROW(),"")</f>
        <v/>
      </c>
    </row>
    <row r="2889">
      <c r="A2889" s="1" t="n"/>
      <c r="B2889" s="17" t="n"/>
      <c r="C2889" s="18" t="n"/>
      <c r="D2889" s="19" t="n"/>
      <c r="E2889" s="20" t="n"/>
      <c r="F2889" s="20" t="n"/>
      <c r="G2889" s="21" t="n"/>
      <c r="H2889" s="12">
        <f>IF(AND(B2889="",D2889="",F2889=""),"",IF(NOT(ISNUMBER(B2889)),"Needs a date",IF(D2889="","Needs a client",IF(COUNTIF(Clients!$B$6:$B$105,D2889)=0,"Not on Clients",IF(AND(F2889="",INT(B2889)&lt;TODAY()),"Needs a status","")))))</f>
        <v/>
      </c>
      <c r="I2889" s="1">
        <f>IF(ISNUMBER(B2889),INT(B2889),0)</f>
        <v/>
      </c>
      <c r="J2889">
        <f>IF(ISNUMBER(B2889),YEAR(B2889)*100+MONTH(B2889),"")</f>
        <v/>
      </c>
      <c r="K2889">
        <f>IF(AND(H2889="",OR(F2889="Attended",F2889="No-show",AND(F2889="Late cancel",Settings!$C$9="Yes"))),1,0)</f>
        <v/>
      </c>
      <c r="L2889">
        <f>IF(AND(H2889="",F2889="Attended"),1,0)</f>
        <v/>
      </c>
      <c r="M2889">
        <f>IF(AND(H2889="",OR(F2889="No-show",F2889="Late cancel")),1,0)</f>
        <v/>
      </c>
      <c r="N2889">
        <f>IF(AND(H2889="",F2889="",D2889&lt;&gt;"",I2889&gt;=TODAY()),ROUND((I2889+IF(ISNUMBER(C2889),MOD(C2889,1),0))*1440,0)*10000+ROW(),"")</f>
        <v/>
      </c>
    </row>
    <row r="2890">
      <c r="A2890" s="1" t="n"/>
      <c r="B2890" s="17" t="n"/>
      <c r="C2890" s="18" t="n"/>
      <c r="D2890" s="19" t="n"/>
      <c r="E2890" s="20" t="n"/>
      <c r="F2890" s="20" t="n"/>
      <c r="G2890" s="21" t="n"/>
      <c r="H2890" s="12">
        <f>IF(AND(B2890="",D2890="",F2890=""),"",IF(NOT(ISNUMBER(B2890)),"Needs a date",IF(D2890="","Needs a client",IF(COUNTIF(Clients!$B$6:$B$105,D2890)=0,"Not on Clients",IF(AND(F2890="",INT(B2890)&lt;TODAY()),"Needs a status","")))))</f>
        <v/>
      </c>
      <c r="I2890" s="1">
        <f>IF(ISNUMBER(B2890),INT(B2890),0)</f>
        <v/>
      </c>
      <c r="J2890">
        <f>IF(ISNUMBER(B2890),YEAR(B2890)*100+MONTH(B2890),"")</f>
        <v/>
      </c>
      <c r="K2890">
        <f>IF(AND(H2890="",OR(F2890="Attended",F2890="No-show",AND(F2890="Late cancel",Settings!$C$9="Yes"))),1,0)</f>
        <v/>
      </c>
      <c r="L2890">
        <f>IF(AND(H2890="",F2890="Attended"),1,0)</f>
        <v/>
      </c>
      <c r="M2890">
        <f>IF(AND(H2890="",OR(F2890="No-show",F2890="Late cancel")),1,0)</f>
        <v/>
      </c>
      <c r="N2890">
        <f>IF(AND(H2890="",F2890="",D2890&lt;&gt;"",I2890&gt;=TODAY()),ROUND((I2890+IF(ISNUMBER(C2890),MOD(C2890,1),0))*1440,0)*10000+ROW(),"")</f>
        <v/>
      </c>
    </row>
    <row r="2891">
      <c r="A2891" s="1" t="n"/>
      <c r="B2891" s="17" t="n"/>
      <c r="C2891" s="18" t="n"/>
      <c r="D2891" s="19" t="n"/>
      <c r="E2891" s="20" t="n"/>
      <c r="F2891" s="20" t="n"/>
      <c r="G2891" s="21" t="n"/>
      <c r="H2891" s="12">
        <f>IF(AND(B2891="",D2891="",F2891=""),"",IF(NOT(ISNUMBER(B2891)),"Needs a date",IF(D2891="","Needs a client",IF(COUNTIF(Clients!$B$6:$B$105,D2891)=0,"Not on Clients",IF(AND(F2891="",INT(B2891)&lt;TODAY()),"Needs a status","")))))</f>
        <v/>
      </c>
      <c r="I2891" s="1">
        <f>IF(ISNUMBER(B2891),INT(B2891),0)</f>
        <v/>
      </c>
      <c r="J2891">
        <f>IF(ISNUMBER(B2891),YEAR(B2891)*100+MONTH(B2891),"")</f>
        <v/>
      </c>
      <c r="K2891">
        <f>IF(AND(H2891="",OR(F2891="Attended",F2891="No-show",AND(F2891="Late cancel",Settings!$C$9="Yes"))),1,0)</f>
        <v/>
      </c>
      <c r="L2891">
        <f>IF(AND(H2891="",F2891="Attended"),1,0)</f>
        <v/>
      </c>
      <c r="M2891">
        <f>IF(AND(H2891="",OR(F2891="No-show",F2891="Late cancel")),1,0)</f>
        <v/>
      </c>
      <c r="N2891">
        <f>IF(AND(H2891="",F2891="",D2891&lt;&gt;"",I2891&gt;=TODAY()),ROUND((I2891+IF(ISNUMBER(C2891),MOD(C2891,1),0))*1440,0)*10000+ROW(),"")</f>
        <v/>
      </c>
    </row>
    <row r="2892">
      <c r="A2892" s="1" t="n"/>
      <c r="B2892" s="17" t="n"/>
      <c r="C2892" s="18" t="n"/>
      <c r="D2892" s="19" t="n"/>
      <c r="E2892" s="20" t="n"/>
      <c r="F2892" s="20" t="n"/>
      <c r="G2892" s="21" t="n"/>
      <c r="H2892" s="12">
        <f>IF(AND(B2892="",D2892="",F2892=""),"",IF(NOT(ISNUMBER(B2892)),"Needs a date",IF(D2892="","Needs a client",IF(COUNTIF(Clients!$B$6:$B$105,D2892)=0,"Not on Clients",IF(AND(F2892="",INT(B2892)&lt;TODAY()),"Needs a status","")))))</f>
        <v/>
      </c>
      <c r="I2892" s="1">
        <f>IF(ISNUMBER(B2892),INT(B2892),0)</f>
        <v/>
      </c>
      <c r="J2892">
        <f>IF(ISNUMBER(B2892),YEAR(B2892)*100+MONTH(B2892),"")</f>
        <v/>
      </c>
      <c r="K2892">
        <f>IF(AND(H2892="",OR(F2892="Attended",F2892="No-show",AND(F2892="Late cancel",Settings!$C$9="Yes"))),1,0)</f>
        <v/>
      </c>
      <c r="L2892">
        <f>IF(AND(H2892="",F2892="Attended"),1,0)</f>
        <v/>
      </c>
      <c r="M2892">
        <f>IF(AND(H2892="",OR(F2892="No-show",F2892="Late cancel")),1,0)</f>
        <v/>
      </c>
      <c r="N2892">
        <f>IF(AND(H2892="",F2892="",D2892&lt;&gt;"",I2892&gt;=TODAY()),ROUND((I2892+IF(ISNUMBER(C2892),MOD(C2892,1),0))*1440,0)*10000+ROW(),"")</f>
        <v/>
      </c>
    </row>
    <row r="2893">
      <c r="A2893" s="1" t="n"/>
      <c r="B2893" s="17" t="n"/>
      <c r="C2893" s="18" t="n"/>
      <c r="D2893" s="19" t="n"/>
      <c r="E2893" s="20" t="n"/>
      <c r="F2893" s="20" t="n"/>
      <c r="G2893" s="21" t="n"/>
      <c r="H2893" s="12">
        <f>IF(AND(B2893="",D2893="",F2893=""),"",IF(NOT(ISNUMBER(B2893)),"Needs a date",IF(D2893="","Needs a client",IF(COUNTIF(Clients!$B$6:$B$105,D2893)=0,"Not on Clients",IF(AND(F2893="",INT(B2893)&lt;TODAY()),"Needs a status","")))))</f>
        <v/>
      </c>
      <c r="I2893" s="1">
        <f>IF(ISNUMBER(B2893),INT(B2893),0)</f>
        <v/>
      </c>
      <c r="J2893">
        <f>IF(ISNUMBER(B2893),YEAR(B2893)*100+MONTH(B2893),"")</f>
        <v/>
      </c>
      <c r="K2893">
        <f>IF(AND(H2893="",OR(F2893="Attended",F2893="No-show",AND(F2893="Late cancel",Settings!$C$9="Yes"))),1,0)</f>
        <v/>
      </c>
      <c r="L2893">
        <f>IF(AND(H2893="",F2893="Attended"),1,0)</f>
        <v/>
      </c>
      <c r="M2893">
        <f>IF(AND(H2893="",OR(F2893="No-show",F2893="Late cancel")),1,0)</f>
        <v/>
      </c>
      <c r="N2893">
        <f>IF(AND(H2893="",F2893="",D2893&lt;&gt;"",I2893&gt;=TODAY()),ROUND((I2893+IF(ISNUMBER(C2893),MOD(C2893,1),0))*1440,0)*10000+ROW(),"")</f>
        <v/>
      </c>
    </row>
    <row r="2894">
      <c r="A2894" s="1" t="n"/>
      <c r="B2894" s="17" t="n"/>
      <c r="C2894" s="18" t="n"/>
      <c r="D2894" s="19" t="n"/>
      <c r="E2894" s="20" t="n"/>
      <c r="F2894" s="20" t="n"/>
      <c r="G2894" s="21" t="n"/>
      <c r="H2894" s="12">
        <f>IF(AND(B2894="",D2894="",F2894=""),"",IF(NOT(ISNUMBER(B2894)),"Needs a date",IF(D2894="","Needs a client",IF(COUNTIF(Clients!$B$6:$B$105,D2894)=0,"Not on Clients",IF(AND(F2894="",INT(B2894)&lt;TODAY()),"Needs a status","")))))</f>
        <v/>
      </c>
      <c r="I2894" s="1">
        <f>IF(ISNUMBER(B2894),INT(B2894),0)</f>
        <v/>
      </c>
      <c r="J2894">
        <f>IF(ISNUMBER(B2894),YEAR(B2894)*100+MONTH(B2894),"")</f>
        <v/>
      </c>
      <c r="K2894">
        <f>IF(AND(H2894="",OR(F2894="Attended",F2894="No-show",AND(F2894="Late cancel",Settings!$C$9="Yes"))),1,0)</f>
        <v/>
      </c>
      <c r="L2894">
        <f>IF(AND(H2894="",F2894="Attended"),1,0)</f>
        <v/>
      </c>
      <c r="M2894">
        <f>IF(AND(H2894="",OR(F2894="No-show",F2894="Late cancel")),1,0)</f>
        <v/>
      </c>
      <c r="N2894">
        <f>IF(AND(H2894="",F2894="",D2894&lt;&gt;"",I2894&gt;=TODAY()),ROUND((I2894+IF(ISNUMBER(C2894),MOD(C2894,1),0))*1440,0)*10000+ROW(),"")</f>
        <v/>
      </c>
    </row>
    <row r="2895">
      <c r="A2895" s="1" t="n"/>
      <c r="B2895" s="17" t="n"/>
      <c r="C2895" s="18" t="n"/>
      <c r="D2895" s="19" t="n"/>
      <c r="E2895" s="20" t="n"/>
      <c r="F2895" s="20" t="n"/>
      <c r="G2895" s="21" t="n"/>
      <c r="H2895" s="12">
        <f>IF(AND(B2895="",D2895="",F2895=""),"",IF(NOT(ISNUMBER(B2895)),"Needs a date",IF(D2895="","Needs a client",IF(COUNTIF(Clients!$B$6:$B$105,D2895)=0,"Not on Clients",IF(AND(F2895="",INT(B2895)&lt;TODAY()),"Needs a status","")))))</f>
        <v/>
      </c>
      <c r="I2895" s="1">
        <f>IF(ISNUMBER(B2895),INT(B2895),0)</f>
        <v/>
      </c>
      <c r="J2895">
        <f>IF(ISNUMBER(B2895),YEAR(B2895)*100+MONTH(B2895),"")</f>
        <v/>
      </c>
      <c r="K2895">
        <f>IF(AND(H2895="",OR(F2895="Attended",F2895="No-show",AND(F2895="Late cancel",Settings!$C$9="Yes"))),1,0)</f>
        <v/>
      </c>
      <c r="L2895">
        <f>IF(AND(H2895="",F2895="Attended"),1,0)</f>
        <v/>
      </c>
      <c r="M2895">
        <f>IF(AND(H2895="",OR(F2895="No-show",F2895="Late cancel")),1,0)</f>
        <v/>
      </c>
      <c r="N2895">
        <f>IF(AND(H2895="",F2895="",D2895&lt;&gt;"",I2895&gt;=TODAY()),ROUND((I2895+IF(ISNUMBER(C2895),MOD(C2895,1),0))*1440,0)*10000+ROW(),"")</f>
        <v/>
      </c>
    </row>
    <row r="2896">
      <c r="A2896" s="1" t="n"/>
      <c r="B2896" s="17" t="n"/>
      <c r="C2896" s="18" t="n"/>
      <c r="D2896" s="19" t="n"/>
      <c r="E2896" s="20" t="n"/>
      <c r="F2896" s="20" t="n"/>
      <c r="G2896" s="21" t="n"/>
      <c r="H2896" s="12">
        <f>IF(AND(B2896="",D2896="",F2896=""),"",IF(NOT(ISNUMBER(B2896)),"Needs a date",IF(D2896="","Needs a client",IF(COUNTIF(Clients!$B$6:$B$105,D2896)=0,"Not on Clients",IF(AND(F2896="",INT(B2896)&lt;TODAY()),"Needs a status","")))))</f>
        <v/>
      </c>
      <c r="I2896" s="1">
        <f>IF(ISNUMBER(B2896),INT(B2896),0)</f>
        <v/>
      </c>
      <c r="J2896">
        <f>IF(ISNUMBER(B2896),YEAR(B2896)*100+MONTH(B2896),"")</f>
        <v/>
      </c>
      <c r="K2896">
        <f>IF(AND(H2896="",OR(F2896="Attended",F2896="No-show",AND(F2896="Late cancel",Settings!$C$9="Yes"))),1,0)</f>
        <v/>
      </c>
      <c r="L2896">
        <f>IF(AND(H2896="",F2896="Attended"),1,0)</f>
        <v/>
      </c>
      <c r="M2896">
        <f>IF(AND(H2896="",OR(F2896="No-show",F2896="Late cancel")),1,0)</f>
        <v/>
      </c>
      <c r="N2896">
        <f>IF(AND(H2896="",F2896="",D2896&lt;&gt;"",I2896&gt;=TODAY()),ROUND((I2896+IF(ISNUMBER(C2896),MOD(C2896,1),0))*1440,0)*10000+ROW(),"")</f>
        <v/>
      </c>
    </row>
    <row r="2897">
      <c r="A2897" s="1" t="n"/>
      <c r="B2897" s="17" t="n"/>
      <c r="C2897" s="18" t="n"/>
      <c r="D2897" s="19" t="n"/>
      <c r="E2897" s="20" t="n"/>
      <c r="F2897" s="20" t="n"/>
      <c r="G2897" s="21" t="n"/>
      <c r="H2897" s="12">
        <f>IF(AND(B2897="",D2897="",F2897=""),"",IF(NOT(ISNUMBER(B2897)),"Needs a date",IF(D2897="","Needs a client",IF(COUNTIF(Clients!$B$6:$B$105,D2897)=0,"Not on Clients",IF(AND(F2897="",INT(B2897)&lt;TODAY()),"Needs a status","")))))</f>
        <v/>
      </c>
      <c r="I2897" s="1">
        <f>IF(ISNUMBER(B2897),INT(B2897),0)</f>
        <v/>
      </c>
      <c r="J2897">
        <f>IF(ISNUMBER(B2897),YEAR(B2897)*100+MONTH(B2897),"")</f>
        <v/>
      </c>
      <c r="K2897">
        <f>IF(AND(H2897="",OR(F2897="Attended",F2897="No-show",AND(F2897="Late cancel",Settings!$C$9="Yes"))),1,0)</f>
        <v/>
      </c>
      <c r="L2897">
        <f>IF(AND(H2897="",F2897="Attended"),1,0)</f>
        <v/>
      </c>
      <c r="M2897">
        <f>IF(AND(H2897="",OR(F2897="No-show",F2897="Late cancel")),1,0)</f>
        <v/>
      </c>
      <c r="N2897">
        <f>IF(AND(H2897="",F2897="",D2897&lt;&gt;"",I2897&gt;=TODAY()),ROUND((I2897+IF(ISNUMBER(C2897),MOD(C2897,1),0))*1440,0)*10000+ROW(),"")</f>
        <v/>
      </c>
    </row>
    <row r="2898">
      <c r="A2898" s="1" t="n"/>
      <c r="B2898" s="17" t="n"/>
      <c r="C2898" s="18" t="n"/>
      <c r="D2898" s="19" t="n"/>
      <c r="E2898" s="20" t="n"/>
      <c r="F2898" s="20" t="n"/>
      <c r="G2898" s="21" t="n"/>
      <c r="H2898" s="12">
        <f>IF(AND(B2898="",D2898="",F2898=""),"",IF(NOT(ISNUMBER(B2898)),"Needs a date",IF(D2898="","Needs a client",IF(COUNTIF(Clients!$B$6:$B$105,D2898)=0,"Not on Clients",IF(AND(F2898="",INT(B2898)&lt;TODAY()),"Needs a status","")))))</f>
        <v/>
      </c>
      <c r="I2898" s="1">
        <f>IF(ISNUMBER(B2898),INT(B2898),0)</f>
        <v/>
      </c>
      <c r="J2898">
        <f>IF(ISNUMBER(B2898),YEAR(B2898)*100+MONTH(B2898),"")</f>
        <v/>
      </c>
      <c r="K2898">
        <f>IF(AND(H2898="",OR(F2898="Attended",F2898="No-show",AND(F2898="Late cancel",Settings!$C$9="Yes"))),1,0)</f>
        <v/>
      </c>
      <c r="L2898">
        <f>IF(AND(H2898="",F2898="Attended"),1,0)</f>
        <v/>
      </c>
      <c r="M2898">
        <f>IF(AND(H2898="",OR(F2898="No-show",F2898="Late cancel")),1,0)</f>
        <v/>
      </c>
      <c r="N2898">
        <f>IF(AND(H2898="",F2898="",D2898&lt;&gt;"",I2898&gt;=TODAY()),ROUND((I2898+IF(ISNUMBER(C2898),MOD(C2898,1),0))*1440,0)*10000+ROW(),"")</f>
        <v/>
      </c>
    </row>
    <row r="2899">
      <c r="A2899" s="1" t="n"/>
      <c r="B2899" s="17" t="n"/>
      <c r="C2899" s="18" t="n"/>
      <c r="D2899" s="19" t="n"/>
      <c r="E2899" s="20" t="n"/>
      <c r="F2899" s="20" t="n"/>
      <c r="G2899" s="21" t="n"/>
      <c r="H2899" s="12">
        <f>IF(AND(B2899="",D2899="",F2899=""),"",IF(NOT(ISNUMBER(B2899)),"Needs a date",IF(D2899="","Needs a client",IF(COUNTIF(Clients!$B$6:$B$105,D2899)=0,"Not on Clients",IF(AND(F2899="",INT(B2899)&lt;TODAY()),"Needs a status","")))))</f>
        <v/>
      </c>
      <c r="I2899" s="1">
        <f>IF(ISNUMBER(B2899),INT(B2899),0)</f>
        <v/>
      </c>
      <c r="J2899">
        <f>IF(ISNUMBER(B2899),YEAR(B2899)*100+MONTH(B2899),"")</f>
        <v/>
      </c>
      <c r="K2899">
        <f>IF(AND(H2899="",OR(F2899="Attended",F2899="No-show",AND(F2899="Late cancel",Settings!$C$9="Yes"))),1,0)</f>
        <v/>
      </c>
      <c r="L2899">
        <f>IF(AND(H2899="",F2899="Attended"),1,0)</f>
        <v/>
      </c>
      <c r="M2899">
        <f>IF(AND(H2899="",OR(F2899="No-show",F2899="Late cancel")),1,0)</f>
        <v/>
      </c>
      <c r="N2899">
        <f>IF(AND(H2899="",F2899="",D2899&lt;&gt;"",I2899&gt;=TODAY()),ROUND((I2899+IF(ISNUMBER(C2899),MOD(C2899,1),0))*1440,0)*10000+ROW(),"")</f>
        <v/>
      </c>
    </row>
    <row r="2900">
      <c r="A2900" s="1" t="n"/>
      <c r="B2900" s="17" t="n"/>
      <c r="C2900" s="18" t="n"/>
      <c r="D2900" s="19" t="n"/>
      <c r="E2900" s="20" t="n"/>
      <c r="F2900" s="20" t="n"/>
      <c r="G2900" s="21" t="n"/>
      <c r="H2900" s="12">
        <f>IF(AND(B2900="",D2900="",F2900=""),"",IF(NOT(ISNUMBER(B2900)),"Needs a date",IF(D2900="","Needs a client",IF(COUNTIF(Clients!$B$6:$B$105,D2900)=0,"Not on Clients",IF(AND(F2900="",INT(B2900)&lt;TODAY()),"Needs a status","")))))</f>
        <v/>
      </c>
      <c r="I2900" s="1">
        <f>IF(ISNUMBER(B2900),INT(B2900),0)</f>
        <v/>
      </c>
      <c r="J2900">
        <f>IF(ISNUMBER(B2900),YEAR(B2900)*100+MONTH(B2900),"")</f>
        <v/>
      </c>
      <c r="K2900">
        <f>IF(AND(H2900="",OR(F2900="Attended",F2900="No-show",AND(F2900="Late cancel",Settings!$C$9="Yes"))),1,0)</f>
        <v/>
      </c>
      <c r="L2900">
        <f>IF(AND(H2900="",F2900="Attended"),1,0)</f>
        <v/>
      </c>
      <c r="M2900">
        <f>IF(AND(H2900="",OR(F2900="No-show",F2900="Late cancel")),1,0)</f>
        <v/>
      </c>
      <c r="N2900">
        <f>IF(AND(H2900="",F2900="",D2900&lt;&gt;"",I2900&gt;=TODAY()),ROUND((I2900+IF(ISNUMBER(C2900),MOD(C2900,1),0))*1440,0)*10000+ROW(),"")</f>
        <v/>
      </c>
    </row>
    <row r="2901">
      <c r="A2901" s="1" t="n"/>
      <c r="B2901" s="17" t="n"/>
      <c r="C2901" s="18" t="n"/>
      <c r="D2901" s="19" t="n"/>
      <c r="E2901" s="20" t="n"/>
      <c r="F2901" s="20" t="n"/>
      <c r="G2901" s="21" t="n"/>
      <c r="H2901" s="12">
        <f>IF(AND(B2901="",D2901="",F2901=""),"",IF(NOT(ISNUMBER(B2901)),"Needs a date",IF(D2901="","Needs a client",IF(COUNTIF(Clients!$B$6:$B$105,D2901)=0,"Not on Clients",IF(AND(F2901="",INT(B2901)&lt;TODAY()),"Needs a status","")))))</f>
        <v/>
      </c>
      <c r="I2901" s="1">
        <f>IF(ISNUMBER(B2901),INT(B2901),0)</f>
        <v/>
      </c>
      <c r="J2901">
        <f>IF(ISNUMBER(B2901),YEAR(B2901)*100+MONTH(B2901),"")</f>
        <v/>
      </c>
      <c r="K2901">
        <f>IF(AND(H2901="",OR(F2901="Attended",F2901="No-show",AND(F2901="Late cancel",Settings!$C$9="Yes"))),1,0)</f>
        <v/>
      </c>
      <c r="L2901">
        <f>IF(AND(H2901="",F2901="Attended"),1,0)</f>
        <v/>
      </c>
      <c r="M2901">
        <f>IF(AND(H2901="",OR(F2901="No-show",F2901="Late cancel")),1,0)</f>
        <v/>
      </c>
      <c r="N2901">
        <f>IF(AND(H2901="",F2901="",D2901&lt;&gt;"",I2901&gt;=TODAY()),ROUND((I2901+IF(ISNUMBER(C2901),MOD(C2901,1),0))*1440,0)*10000+ROW(),"")</f>
        <v/>
      </c>
    </row>
    <row r="2902">
      <c r="A2902" s="1" t="n"/>
      <c r="B2902" s="17" t="n"/>
      <c r="C2902" s="18" t="n"/>
      <c r="D2902" s="19" t="n"/>
      <c r="E2902" s="20" t="n"/>
      <c r="F2902" s="20" t="n"/>
      <c r="G2902" s="21" t="n"/>
      <c r="H2902" s="12">
        <f>IF(AND(B2902="",D2902="",F2902=""),"",IF(NOT(ISNUMBER(B2902)),"Needs a date",IF(D2902="","Needs a client",IF(COUNTIF(Clients!$B$6:$B$105,D2902)=0,"Not on Clients",IF(AND(F2902="",INT(B2902)&lt;TODAY()),"Needs a status","")))))</f>
        <v/>
      </c>
      <c r="I2902" s="1">
        <f>IF(ISNUMBER(B2902),INT(B2902),0)</f>
        <v/>
      </c>
      <c r="J2902">
        <f>IF(ISNUMBER(B2902),YEAR(B2902)*100+MONTH(B2902),"")</f>
        <v/>
      </c>
      <c r="K2902">
        <f>IF(AND(H2902="",OR(F2902="Attended",F2902="No-show",AND(F2902="Late cancel",Settings!$C$9="Yes"))),1,0)</f>
        <v/>
      </c>
      <c r="L2902">
        <f>IF(AND(H2902="",F2902="Attended"),1,0)</f>
        <v/>
      </c>
      <c r="M2902">
        <f>IF(AND(H2902="",OR(F2902="No-show",F2902="Late cancel")),1,0)</f>
        <v/>
      </c>
      <c r="N2902">
        <f>IF(AND(H2902="",F2902="",D2902&lt;&gt;"",I2902&gt;=TODAY()),ROUND((I2902+IF(ISNUMBER(C2902),MOD(C2902,1),0))*1440,0)*10000+ROW(),"")</f>
        <v/>
      </c>
    </row>
    <row r="2903">
      <c r="A2903" s="1" t="n"/>
      <c r="B2903" s="17" t="n"/>
      <c r="C2903" s="18" t="n"/>
      <c r="D2903" s="19" t="n"/>
      <c r="E2903" s="20" t="n"/>
      <c r="F2903" s="20" t="n"/>
      <c r="G2903" s="21" t="n"/>
      <c r="H2903" s="12">
        <f>IF(AND(B2903="",D2903="",F2903=""),"",IF(NOT(ISNUMBER(B2903)),"Needs a date",IF(D2903="","Needs a client",IF(COUNTIF(Clients!$B$6:$B$105,D2903)=0,"Not on Clients",IF(AND(F2903="",INT(B2903)&lt;TODAY()),"Needs a status","")))))</f>
        <v/>
      </c>
      <c r="I2903" s="1">
        <f>IF(ISNUMBER(B2903),INT(B2903),0)</f>
        <v/>
      </c>
      <c r="J2903">
        <f>IF(ISNUMBER(B2903),YEAR(B2903)*100+MONTH(B2903),"")</f>
        <v/>
      </c>
      <c r="K2903">
        <f>IF(AND(H2903="",OR(F2903="Attended",F2903="No-show",AND(F2903="Late cancel",Settings!$C$9="Yes"))),1,0)</f>
        <v/>
      </c>
      <c r="L2903">
        <f>IF(AND(H2903="",F2903="Attended"),1,0)</f>
        <v/>
      </c>
      <c r="M2903">
        <f>IF(AND(H2903="",OR(F2903="No-show",F2903="Late cancel")),1,0)</f>
        <v/>
      </c>
      <c r="N2903">
        <f>IF(AND(H2903="",F2903="",D2903&lt;&gt;"",I2903&gt;=TODAY()),ROUND((I2903+IF(ISNUMBER(C2903),MOD(C2903,1),0))*1440,0)*10000+ROW(),"")</f>
        <v/>
      </c>
    </row>
    <row r="2904">
      <c r="A2904" s="1" t="n"/>
      <c r="B2904" s="17" t="n"/>
      <c r="C2904" s="18" t="n"/>
      <c r="D2904" s="19" t="n"/>
      <c r="E2904" s="20" t="n"/>
      <c r="F2904" s="20" t="n"/>
      <c r="G2904" s="21" t="n"/>
      <c r="H2904" s="12">
        <f>IF(AND(B2904="",D2904="",F2904=""),"",IF(NOT(ISNUMBER(B2904)),"Needs a date",IF(D2904="","Needs a client",IF(COUNTIF(Clients!$B$6:$B$105,D2904)=0,"Not on Clients",IF(AND(F2904="",INT(B2904)&lt;TODAY()),"Needs a status","")))))</f>
        <v/>
      </c>
      <c r="I2904" s="1">
        <f>IF(ISNUMBER(B2904),INT(B2904),0)</f>
        <v/>
      </c>
      <c r="J2904">
        <f>IF(ISNUMBER(B2904),YEAR(B2904)*100+MONTH(B2904),"")</f>
        <v/>
      </c>
      <c r="K2904">
        <f>IF(AND(H2904="",OR(F2904="Attended",F2904="No-show",AND(F2904="Late cancel",Settings!$C$9="Yes"))),1,0)</f>
        <v/>
      </c>
      <c r="L2904">
        <f>IF(AND(H2904="",F2904="Attended"),1,0)</f>
        <v/>
      </c>
      <c r="M2904">
        <f>IF(AND(H2904="",OR(F2904="No-show",F2904="Late cancel")),1,0)</f>
        <v/>
      </c>
      <c r="N2904">
        <f>IF(AND(H2904="",F2904="",D2904&lt;&gt;"",I2904&gt;=TODAY()),ROUND((I2904+IF(ISNUMBER(C2904),MOD(C2904,1),0))*1440,0)*10000+ROW(),"")</f>
        <v/>
      </c>
    </row>
    <row r="2905">
      <c r="A2905" s="1" t="n"/>
      <c r="B2905" s="17" t="n"/>
      <c r="C2905" s="18" t="n"/>
      <c r="D2905" s="19" t="n"/>
      <c r="E2905" s="20" t="n"/>
      <c r="F2905" s="20" t="n"/>
      <c r="G2905" s="21" t="n"/>
      <c r="H2905" s="12">
        <f>IF(AND(B2905="",D2905="",F2905=""),"",IF(NOT(ISNUMBER(B2905)),"Needs a date",IF(D2905="","Needs a client",IF(COUNTIF(Clients!$B$6:$B$105,D2905)=0,"Not on Clients",IF(AND(F2905="",INT(B2905)&lt;TODAY()),"Needs a status","")))))</f>
        <v/>
      </c>
      <c r="I2905" s="1">
        <f>IF(ISNUMBER(B2905),INT(B2905),0)</f>
        <v/>
      </c>
      <c r="J2905">
        <f>IF(ISNUMBER(B2905),YEAR(B2905)*100+MONTH(B2905),"")</f>
        <v/>
      </c>
      <c r="K2905">
        <f>IF(AND(H2905="",OR(F2905="Attended",F2905="No-show",AND(F2905="Late cancel",Settings!$C$9="Yes"))),1,0)</f>
        <v/>
      </c>
      <c r="L2905">
        <f>IF(AND(H2905="",F2905="Attended"),1,0)</f>
        <v/>
      </c>
      <c r="M2905">
        <f>IF(AND(H2905="",OR(F2905="No-show",F2905="Late cancel")),1,0)</f>
        <v/>
      </c>
      <c r="N2905">
        <f>IF(AND(H2905="",F2905="",D2905&lt;&gt;"",I2905&gt;=TODAY()),ROUND((I2905+IF(ISNUMBER(C2905),MOD(C2905,1),0))*1440,0)*10000+ROW(),"")</f>
        <v/>
      </c>
    </row>
    <row r="2906">
      <c r="A2906" s="1" t="n"/>
      <c r="B2906" s="17" t="n"/>
      <c r="C2906" s="18" t="n"/>
      <c r="D2906" s="19" t="n"/>
      <c r="E2906" s="20" t="n"/>
      <c r="F2906" s="20" t="n"/>
      <c r="G2906" s="21" t="n"/>
      <c r="H2906" s="12">
        <f>IF(AND(B2906="",D2906="",F2906=""),"",IF(NOT(ISNUMBER(B2906)),"Needs a date",IF(D2906="","Needs a client",IF(COUNTIF(Clients!$B$6:$B$105,D2906)=0,"Not on Clients",IF(AND(F2906="",INT(B2906)&lt;TODAY()),"Needs a status","")))))</f>
        <v/>
      </c>
      <c r="I2906" s="1">
        <f>IF(ISNUMBER(B2906),INT(B2906),0)</f>
        <v/>
      </c>
      <c r="J2906">
        <f>IF(ISNUMBER(B2906),YEAR(B2906)*100+MONTH(B2906),"")</f>
        <v/>
      </c>
      <c r="K2906">
        <f>IF(AND(H2906="",OR(F2906="Attended",F2906="No-show",AND(F2906="Late cancel",Settings!$C$9="Yes"))),1,0)</f>
        <v/>
      </c>
      <c r="L2906">
        <f>IF(AND(H2906="",F2906="Attended"),1,0)</f>
        <v/>
      </c>
      <c r="M2906">
        <f>IF(AND(H2906="",OR(F2906="No-show",F2906="Late cancel")),1,0)</f>
        <v/>
      </c>
      <c r="N2906">
        <f>IF(AND(H2906="",F2906="",D2906&lt;&gt;"",I2906&gt;=TODAY()),ROUND((I2906+IF(ISNUMBER(C2906),MOD(C2906,1),0))*1440,0)*10000+ROW(),"")</f>
        <v/>
      </c>
    </row>
    <row r="2907">
      <c r="A2907" s="1" t="n"/>
      <c r="B2907" s="17" t="n"/>
      <c r="C2907" s="18" t="n"/>
      <c r="D2907" s="19" t="n"/>
      <c r="E2907" s="20" t="n"/>
      <c r="F2907" s="20" t="n"/>
      <c r="G2907" s="21" t="n"/>
      <c r="H2907" s="12">
        <f>IF(AND(B2907="",D2907="",F2907=""),"",IF(NOT(ISNUMBER(B2907)),"Needs a date",IF(D2907="","Needs a client",IF(COUNTIF(Clients!$B$6:$B$105,D2907)=0,"Not on Clients",IF(AND(F2907="",INT(B2907)&lt;TODAY()),"Needs a status","")))))</f>
        <v/>
      </c>
      <c r="I2907" s="1">
        <f>IF(ISNUMBER(B2907),INT(B2907),0)</f>
        <v/>
      </c>
      <c r="J2907">
        <f>IF(ISNUMBER(B2907),YEAR(B2907)*100+MONTH(B2907),"")</f>
        <v/>
      </c>
      <c r="K2907">
        <f>IF(AND(H2907="",OR(F2907="Attended",F2907="No-show",AND(F2907="Late cancel",Settings!$C$9="Yes"))),1,0)</f>
        <v/>
      </c>
      <c r="L2907">
        <f>IF(AND(H2907="",F2907="Attended"),1,0)</f>
        <v/>
      </c>
      <c r="M2907">
        <f>IF(AND(H2907="",OR(F2907="No-show",F2907="Late cancel")),1,0)</f>
        <v/>
      </c>
      <c r="N2907">
        <f>IF(AND(H2907="",F2907="",D2907&lt;&gt;"",I2907&gt;=TODAY()),ROUND((I2907+IF(ISNUMBER(C2907),MOD(C2907,1),0))*1440,0)*10000+ROW(),"")</f>
        <v/>
      </c>
    </row>
    <row r="2908">
      <c r="A2908" s="1" t="n"/>
      <c r="B2908" s="17" t="n"/>
      <c r="C2908" s="18" t="n"/>
      <c r="D2908" s="19" t="n"/>
      <c r="E2908" s="20" t="n"/>
      <c r="F2908" s="20" t="n"/>
      <c r="G2908" s="21" t="n"/>
      <c r="H2908" s="12">
        <f>IF(AND(B2908="",D2908="",F2908=""),"",IF(NOT(ISNUMBER(B2908)),"Needs a date",IF(D2908="","Needs a client",IF(COUNTIF(Clients!$B$6:$B$105,D2908)=0,"Not on Clients",IF(AND(F2908="",INT(B2908)&lt;TODAY()),"Needs a status","")))))</f>
        <v/>
      </c>
      <c r="I2908" s="1">
        <f>IF(ISNUMBER(B2908),INT(B2908),0)</f>
        <v/>
      </c>
      <c r="J2908">
        <f>IF(ISNUMBER(B2908),YEAR(B2908)*100+MONTH(B2908),"")</f>
        <v/>
      </c>
      <c r="K2908">
        <f>IF(AND(H2908="",OR(F2908="Attended",F2908="No-show",AND(F2908="Late cancel",Settings!$C$9="Yes"))),1,0)</f>
        <v/>
      </c>
      <c r="L2908">
        <f>IF(AND(H2908="",F2908="Attended"),1,0)</f>
        <v/>
      </c>
      <c r="M2908">
        <f>IF(AND(H2908="",OR(F2908="No-show",F2908="Late cancel")),1,0)</f>
        <v/>
      </c>
      <c r="N2908">
        <f>IF(AND(H2908="",F2908="",D2908&lt;&gt;"",I2908&gt;=TODAY()),ROUND((I2908+IF(ISNUMBER(C2908),MOD(C2908,1),0))*1440,0)*10000+ROW(),"")</f>
        <v/>
      </c>
    </row>
    <row r="2909">
      <c r="A2909" s="1" t="n"/>
      <c r="B2909" s="17" t="n"/>
      <c r="C2909" s="18" t="n"/>
      <c r="D2909" s="19" t="n"/>
      <c r="E2909" s="20" t="n"/>
      <c r="F2909" s="20" t="n"/>
      <c r="G2909" s="21" t="n"/>
      <c r="H2909" s="12">
        <f>IF(AND(B2909="",D2909="",F2909=""),"",IF(NOT(ISNUMBER(B2909)),"Needs a date",IF(D2909="","Needs a client",IF(COUNTIF(Clients!$B$6:$B$105,D2909)=0,"Not on Clients",IF(AND(F2909="",INT(B2909)&lt;TODAY()),"Needs a status","")))))</f>
        <v/>
      </c>
      <c r="I2909" s="1">
        <f>IF(ISNUMBER(B2909),INT(B2909),0)</f>
        <v/>
      </c>
      <c r="J2909">
        <f>IF(ISNUMBER(B2909),YEAR(B2909)*100+MONTH(B2909),"")</f>
        <v/>
      </c>
      <c r="K2909">
        <f>IF(AND(H2909="",OR(F2909="Attended",F2909="No-show",AND(F2909="Late cancel",Settings!$C$9="Yes"))),1,0)</f>
        <v/>
      </c>
      <c r="L2909">
        <f>IF(AND(H2909="",F2909="Attended"),1,0)</f>
        <v/>
      </c>
      <c r="M2909">
        <f>IF(AND(H2909="",OR(F2909="No-show",F2909="Late cancel")),1,0)</f>
        <v/>
      </c>
      <c r="N2909">
        <f>IF(AND(H2909="",F2909="",D2909&lt;&gt;"",I2909&gt;=TODAY()),ROUND((I2909+IF(ISNUMBER(C2909),MOD(C2909,1),0))*1440,0)*10000+ROW(),"")</f>
        <v/>
      </c>
    </row>
    <row r="2910">
      <c r="A2910" s="1" t="n"/>
      <c r="B2910" s="17" t="n"/>
      <c r="C2910" s="18" t="n"/>
      <c r="D2910" s="19" t="n"/>
      <c r="E2910" s="20" t="n"/>
      <c r="F2910" s="20" t="n"/>
      <c r="G2910" s="21" t="n"/>
      <c r="H2910" s="12">
        <f>IF(AND(B2910="",D2910="",F2910=""),"",IF(NOT(ISNUMBER(B2910)),"Needs a date",IF(D2910="","Needs a client",IF(COUNTIF(Clients!$B$6:$B$105,D2910)=0,"Not on Clients",IF(AND(F2910="",INT(B2910)&lt;TODAY()),"Needs a status","")))))</f>
        <v/>
      </c>
      <c r="I2910" s="1">
        <f>IF(ISNUMBER(B2910),INT(B2910),0)</f>
        <v/>
      </c>
      <c r="J2910">
        <f>IF(ISNUMBER(B2910),YEAR(B2910)*100+MONTH(B2910),"")</f>
        <v/>
      </c>
      <c r="K2910">
        <f>IF(AND(H2910="",OR(F2910="Attended",F2910="No-show",AND(F2910="Late cancel",Settings!$C$9="Yes"))),1,0)</f>
        <v/>
      </c>
      <c r="L2910">
        <f>IF(AND(H2910="",F2910="Attended"),1,0)</f>
        <v/>
      </c>
      <c r="M2910">
        <f>IF(AND(H2910="",OR(F2910="No-show",F2910="Late cancel")),1,0)</f>
        <v/>
      </c>
      <c r="N2910">
        <f>IF(AND(H2910="",F2910="",D2910&lt;&gt;"",I2910&gt;=TODAY()),ROUND((I2910+IF(ISNUMBER(C2910),MOD(C2910,1),0))*1440,0)*10000+ROW(),"")</f>
        <v/>
      </c>
    </row>
    <row r="2911">
      <c r="A2911" s="1" t="n"/>
      <c r="B2911" s="17" t="n"/>
      <c r="C2911" s="18" t="n"/>
      <c r="D2911" s="19" t="n"/>
      <c r="E2911" s="20" t="n"/>
      <c r="F2911" s="20" t="n"/>
      <c r="G2911" s="21" t="n"/>
      <c r="H2911" s="12">
        <f>IF(AND(B2911="",D2911="",F2911=""),"",IF(NOT(ISNUMBER(B2911)),"Needs a date",IF(D2911="","Needs a client",IF(COUNTIF(Clients!$B$6:$B$105,D2911)=0,"Not on Clients",IF(AND(F2911="",INT(B2911)&lt;TODAY()),"Needs a status","")))))</f>
        <v/>
      </c>
      <c r="I2911" s="1">
        <f>IF(ISNUMBER(B2911),INT(B2911),0)</f>
        <v/>
      </c>
      <c r="J2911">
        <f>IF(ISNUMBER(B2911),YEAR(B2911)*100+MONTH(B2911),"")</f>
        <v/>
      </c>
      <c r="K2911">
        <f>IF(AND(H2911="",OR(F2911="Attended",F2911="No-show",AND(F2911="Late cancel",Settings!$C$9="Yes"))),1,0)</f>
        <v/>
      </c>
      <c r="L2911">
        <f>IF(AND(H2911="",F2911="Attended"),1,0)</f>
        <v/>
      </c>
      <c r="M2911">
        <f>IF(AND(H2911="",OR(F2911="No-show",F2911="Late cancel")),1,0)</f>
        <v/>
      </c>
      <c r="N2911">
        <f>IF(AND(H2911="",F2911="",D2911&lt;&gt;"",I2911&gt;=TODAY()),ROUND((I2911+IF(ISNUMBER(C2911),MOD(C2911,1),0))*1440,0)*10000+ROW(),"")</f>
        <v/>
      </c>
    </row>
    <row r="2912">
      <c r="A2912" s="1" t="n"/>
      <c r="B2912" s="17" t="n"/>
      <c r="C2912" s="18" t="n"/>
      <c r="D2912" s="19" t="n"/>
      <c r="E2912" s="20" t="n"/>
      <c r="F2912" s="20" t="n"/>
      <c r="G2912" s="21" t="n"/>
      <c r="H2912" s="12">
        <f>IF(AND(B2912="",D2912="",F2912=""),"",IF(NOT(ISNUMBER(B2912)),"Needs a date",IF(D2912="","Needs a client",IF(COUNTIF(Clients!$B$6:$B$105,D2912)=0,"Not on Clients",IF(AND(F2912="",INT(B2912)&lt;TODAY()),"Needs a status","")))))</f>
        <v/>
      </c>
      <c r="I2912" s="1">
        <f>IF(ISNUMBER(B2912),INT(B2912),0)</f>
        <v/>
      </c>
      <c r="J2912">
        <f>IF(ISNUMBER(B2912),YEAR(B2912)*100+MONTH(B2912),"")</f>
        <v/>
      </c>
      <c r="K2912">
        <f>IF(AND(H2912="",OR(F2912="Attended",F2912="No-show",AND(F2912="Late cancel",Settings!$C$9="Yes"))),1,0)</f>
        <v/>
      </c>
      <c r="L2912">
        <f>IF(AND(H2912="",F2912="Attended"),1,0)</f>
        <v/>
      </c>
      <c r="M2912">
        <f>IF(AND(H2912="",OR(F2912="No-show",F2912="Late cancel")),1,0)</f>
        <v/>
      </c>
      <c r="N2912">
        <f>IF(AND(H2912="",F2912="",D2912&lt;&gt;"",I2912&gt;=TODAY()),ROUND((I2912+IF(ISNUMBER(C2912),MOD(C2912,1),0))*1440,0)*10000+ROW(),"")</f>
        <v/>
      </c>
    </row>
    <row r="2913">
      <c r="A2913" s="1" t="n"/>
      <c r="B2913" s="17" t="n"/>
      <c r="C2913" s="18" t="n"/>
      <c r="D2913" s="19" t="n"/>
      <c r="E2913" s="20" t="n"/>
      <c r="F2913" s="20" t="n"/>
      <c r="G2913" s="21" t="n"/>
      <c r="H2913" s="12">
        <f>IF(AND(B2913="",D2913="",F2913=""),"",IF(NOT(ISNUMBER(B2913)),"Needs a date",IF(D2913="","Needs a client",IF(COUNTIF(Clients!$B$6:$B$105,D2913)=0,"Not on Clients",IF(AND(F2913="",INT(B2913)&lt;TODAY()),"Needs a status","")))))</f>
        <v/>
      </c>
      <c r="I2913" s="1">
        <f>IF(ISNUMBER(B2913),INT(B2913),0)</f>
        <v/>
      </c>
      <c r="J2913">
        <f>IF(ISNUMBER(B2913),YEAR(B2913)*100+MONTH(B2913),"")</f>
        <v/>
      </c>
      <c r="K2913">
        <f>IF(AND(H2913="",OR(F2913="Attended",F2913="No-show",AND(F2913="Late cancel",Settings!$C$9="Yes"))),1,0)</f>
        <v/>
      </c>
      <c r="L2913">
        <f>IF(AND(H2913="",F2913="Attended"),1,0)</f>
        <v/>
      </c>
      <c r="M2913">
        <f>IF(AND(H2913="",OR(F2913="No-show",F2913="Late cancel")),1,0)</f>
        <v/>
      </c>
      <c r="N2913">
        <f>IF(AND(H2913="",F2913="",D2913&lt;&gt;"",I2913&gt;=TODAY()),ROUND((I2913+IF(ISNUMBER(C2913),MOD(C2913,1),0))*1440,0)*10000+ROW(),"")</f>
        <v/>
      </c>
    </row>
    <row r="2914">
      <c r="A2914" s="1" t="n"/>
      <c r="B2914" s="17" t="n"/>
      <c r="C2914" s="18" t="n"/>
      <c r="D2914" s="19" t="n"/>
      <c r="E2914" s="20" t="n"/>
      <c r="F2914" s="20" t="n"/>
      <c r="G2914" s="21" t="n"/>
      <c r="H2914" s="12">
        <f>IF(AND(B2914="",D2914="",F2914=""),"",IF(NOT(ISNUMBER(B2914)),"Needs a date",IF(D2914="","Needs a client",IF(COUNTIF(Clients!$B$6:$B$105,D2914)=0,"Not on Clients",IF(AND(F2914="",INT(B2914)&lt;TODAY()),"Needs a status","")))))</f>
        <v/>
      </c>
      <c r="I2914" s="1">
        <f>IF(ISNUMBER(B2914),INT(B2914),0)</f>
        <v/>
      </c>
      <c r="J2914">
        <f>IF(ISNUMBER(B2914),YEAR(B2914)*100+MONTH(B2914),"")</f>
        <v/>
      </c>
      <c r="K2914">
        <f>IF(AND(H2914="",OR(F2914="Attended",F2914="No-show",AND(F2914="Late cancel",Settings!$C$9="Yes"))),1,0)</f>
        <v/>
      </c>
      <c r="L2914">
        <f>IF(AND(H2914="",F2914="Attended"),1,0)</f>
        <v/>
      </c>
      <c r="M2914">
        <f>IF(AND(H2914="",OR(F2914="No-show",F2914="Late cancel")),1,0)</f>
        <v/>
      </c>
      <c r="N2914">
        <f>IF(AND(H2914="",F2914="",D2914&lt;&gt;"",I2914&gt;=TODAY()),ROUND((I2914+IF(ISNUMBER(C2914),MOD(C2914,1),0))*1440,0)*10000+ROW(),"")</f>
        <v/>
      </c>
    </row>
    <row r="2915">
      <c r="A2915" s="1" t="n"/>
      <c r="B2915" s="17" t="n"/>
      <c r="C2915" s="18" t="n"/>
      <c r="D2915" s="19" t="n"/>
      <c r="E2915" s="20" t="n"/>
      <c r="F2915" s="20" t="n"/>
      <c r="G2915" s="21" t="n"/>
      <c r="H2915" s="12">
        <f>IF(AND(B2915="",D2915="",F2915=""),"",IF(NOT(ISNUMBER(B2915)),"Needs a date",IF(D2915="","Needs a client",IF(COUNTIF(Clients!$B$6:$B$105,D2915)=0,"Not on Clients",IF(AND(F2915="",INT(B2915)&lt;TODAY()),"Needs a status","")))))</f>
        <v/>
      </c>
      <c r="I2915" s="1">
        <f>IF(ISNUMBER(B2915),INT(B2915),0)</f>
        <v/>
      </c>
      <c r="J2915">
        <f>IF(ISNUMBER(B2915),YEAR(B2915)*100+MONTH(B2915),"")</f>
        <v/>
      </c>
      <c r="K2915">
        <f>IF(AND(H2915="",OR(F2915="Attended",F2915="No-show",AND(F2915="Late cancel",Settings!$C$9="Yes"))),1,0)</f>
        <v/>
      </c>
      <c r="L2915">
        <f>IF(AND(H2915="",F2915="Attended"),1,0)</f>
        <v/>
      </c>
      <c r="M2915">
        <f>IF(AND(H2915="",OR(F2915="No-show",F2915="Late cancel")),1,0)</f>
        <v/>
      </c>
      <c r="N2915">
        <f>IF(AND(H2915="",F2915="",D2915&lt;&gt;"",I2915&gt;=TODAY()),ROUND((I2915+IF(ISNUMBER(C2915),MOD(C2915,1),0))*1440,0)*10000+ROW(),"")</f>
        <v/>
      </c>
    </row>
    <row r="2916">
      <c r="A2916" s="1" t="n"/>
      <c r="B2916" s="17" t="n"/>
      <c r="C2916" s="18" t="n"/>
      <c r="D2916" s="19" t="n"/>
      <c r="E2916" s="20" t="n"/>
      <c r="F2916" s="20" t="n"/>
      <c r="G2916" s="21" t="n"/>
      <c r="H2916" s="12">
        <f>IF(AND(B2916="",D2916="",F2916=""),"",IF(NOT(ISNUMBER(B2916)),"Needs a date",IF(D2916="","Needs a client",IF(COUNTIF(Clients!$B$6:$B$105,D2916)=0,"Not on Clients",IF(AND(F2916="",INT(B2916)&lt;TODAY()),"Needs a status","")))))</f>
        <v/>
      </c>
      <c r="I2916" s="1">
        <f>IF(ISNUMBER(B2916),INT(B2916),0)</f>
        <v/>
      </c>
      <c r="J2916">
        <f>IF(ISNUMBER(B2916),YEAR(B2916)*100+MONTH(B2916),"")</f>
        <v/>
      </c>
      <c r="K2916">
        <f>IF(AND(H2916="",OR(F2916="Attended",F2916="No-show",AND(F2916="Late cancel",Settings!$C$9="Yes"))),1,0)</f>
        <v/>
      </c>
      <c r="L2916">
        <f>IF(AND(H2916="",F2916="Attended"),1,0)</f>
        <v/>
      </c>
      <c r="M2916">
        <f>IF(AND(H2916="",OR(F2916="No-show",F2916="Late cancel")),1,0)</f>
        <v/>
      </c>
      <c r="N2916">
        <f>IF(AND(H2916="",F2916="",D2916&lt;&gt;"",I2916&gt;=TODAY()),ROUND((I2916+IF(ISNUMBER(C2916),MOD(C2916,1),0))*1440,0)*10000+ROW(),"")</f>
        <v/>
      </c>
    </row>
    <row r="2917">
      <c r="A2917" s="1" t="n"/>
      <c r="B2917" s="17" t="n"/>
      <c r="C2917" s="18" t="n"/>
      <c r="D2917" s="19" t="n"/>
      <c r="E2917" s="20" t="n"/>
      <c r="F2917" s="20" t="n"/>
      <c r="G2917" s="21" t="n"/>
      <c r="H2917" s="12">
        <f>IF(AND(B2917="",D2917="",F2917=""),"",IF(NOT(ISNUMBER(B2917)),"Needs a date",IF(D2917="","Needs a client",IF(COUNTIF(Clients!$B$6:$B$105,D2917)=0,"Not on Clients",IF(AND(F2917="",INT(B2917)&lt;TODAY()),"Needs a status","")))))</f>
        <v/>
      </c>
      <c r="I2917" s="1">
        <f>IF(ISNUMBER(B2917),INT(B2917),0)</f>
        <v/>
      </c>
      <c r="J2917">
        <f>IF(ISNUMBER(B2917),YEAR(B2917)*100+MONTH(B2917),"")</f>
        <v/>
      </c>
      <c r="K2917">
        <f>IF(AND(H2917="",OR(F2917="Attended",F2917="No-show",AND(F2917="Late cancel",Settings!$C$9="Yes"))),1,0)</f>
        <v/>
      </c>
      <c r="L2917">
        <f>IF(AND(H2917="",F2917="Attended"),1,0)</f>
        <v/>
      </c>
      <c r="M2917">
        <f>IF(AND(H2917="",OR(F2917="No-show",F2917="Late cancel")),1,0)</f>
        <v/>
      </c>
      <c r="N2917">
        <f>IF(AND(H2917="",F2917="",D2917&lt;&gt;"",I2917&gt;=TODAY()),ROUND((I2917+IF(ISNUMBER(C2917),MOD(C2917,1),0))*1440,0)*10000+ROW(),"")</f>
        <v/>
      </c>
    </row>
    <row r="2918">
      <c r="A2918" s="1" t="n"/>
      <c r="B2918" s="17" t="n"/>
      <c r="C2918" s="18" t="n"/>
      <c r="D2918" s="19" t="n"/>
      <c r="E2918" s="20" t="n"/>
      <c r="F2918" s="20" t="n"/>
      <c r="G2918" s="21" t="n"/>
      <c r="H2918" s="12">
        <f>IF(AND(B2918="",D2918="",F2918=""),"",IF(NOT(ISNUMBER(B2918)),"Needs a date",IF(D2918="","Needs a client",IF(COUNTIF(Clients!$B$6:$B$105,D2918)=0,"Not on Clients",IF(AND(F2918="",INT(B2918)&lt;TODAY()),"Needs a status","")))))</f>
        <v/>
      </c>
      <c r="I2918" s="1">
        <f>IF(ISNUMBER(B2918),INT(B2918),0)</f>
        <v/>
      </c>
      <c r="J2918">
        <f>IF(ISNUMBER(B2918),YEAR(B2918)*100+MONTH(B2918),"")</f>
        <v/>
      </c>
      <c r="K2918">
        <f>IF(AND(H2918="",OR(F2918="Attended",F2918="No-show",AND(F2918="Late cancel",Settings!$C$9="Yes"))),1,0)</f>
        <v/>
      </c>
      <c r="L2918">
        <f>IF(AND(H2918="",F2918="Attended"),1,0)</f>
        <v/>
      </c>
      <c r="M2918">
        <f>IF(AND(H2918="",OR(F2918="No-show",F2918="Late cancel")),1,0)</f>
        <v/>
      </c>
      <c r="N2918">
        <f>IF(AND(H2918="",F2918="",D2918&lt;&gt;"",I2918&gt;=TODAY()),ROUND((I2918+IF(ISNUMBER(C2918),MOD(C2918,1),0))*1440,0)*10000+ROW(),"")</f>
        <v/>
      </c>
    </row>
    <row r="2919">
      <c r="A2919" s="1" t="n"/>
      <c r="B2919" s="17" t="n"/>
      <c r="C2919" s="18" t="n"/>
      <c r="D2919" s="19" t="n"/>
      <c r="E2919" s="20" t="n"/>
      <c r="F2919" s="20" t="n"/>
      <c r="G2919" s="21" t="n"/>
      <c r="H2919" s="12">
        <f>IF(AND(B2919="",D2919="",F2919=""),"",IF(NOT(ISNUMBER(B2919)),"Needs a date",IF(D2919="","Needs a client",IF(COUNTIF(Clients!$B$6:$B$105,D2919)=0,"Not on Clients",IF(AND(F2919="",INT(B2919)&lt;TODAY()),"Needs a status","")))))</f>
        <v/>
      </c>
      <c r="I2919" s="1">
        <f>IF(ISNUMBER(B2919),INT(B2919),0)</f>
        <v/>
      </c>
      <c r="J2919">
        <f>IF(ISNUMBER(B2919),YEAR(B2919)*100+MONTH(B2919),"")</f>
        <v/>
      </c>
      <c r="K2919">
        <f>IF(AND(H2919="",OR(F2919="Attended",F2919="No-show",AND(F2919="Late cancel",Settings!$C$9="Yes"))),1,0)</f>
        <v/>
      </c>
      <c r="L2919">
        <f>IF(AND(H2919="",F2919="Attended"),1,0)</f>
        <v/>
      </c>
      <c r="M2919">
        <f>IF(AND(H2919="",OR(F2919="No-show",F2919="Late cancel")),1,0)</f>
        <v/>
      </c>
      <c r="N2919">
        <f>IF(AND(H2919="",F2919="",D2919&lt;&gt;"",I2919&gt;=TODAY()),ROUND((I2919+IF(ISNUMBER(C2919),MOD(C2919,1),0))*1440,0)*10000+ROW(),"")</f>
        <v/>
      </c>
    </row>
    <row r="2920">
      <c r="A2920" s="1" t="n"/>
      <c r="B2920" s="17" t="n"/>
      <c r="C2920" s="18" t="n"/>
      <c r="D2920" s="19" t="n"/>
      <c r="E2920" s="20" t="n"/>
      <c r="F2920" s="20" t="n"/>
      <c r="G2920" s="21" t="n"/>
      <c r="H2920" s="12">
        <f>IF(AND(B2920="",D2920="",F2920=""),"",IF(NOT(ISNUMBER(B2920)),"Needs a date",IF(D2920="","Needs a client",IF(COUNTIF(Clients!$B$6:$B$105,D2920)=0,"Not on Clients",IF(AND(F2920="",INT(B2920)&lt;TODAY()),"Needs a status","")))))</f>
        <v/>
      </c>
      <c r="I2920" s="1">
        <f>IF(ISNUMBER(B2920),INT(B2920),0)</f>
        <v/>
      </c>
      <c r="J2920">
        <f>IF(ISNUMBER(B2920),YEAR(B2920)*100+MONTH(B2920),"")</f>
        <v/>
      </c>
      <c r="K2920">
        <f>IF(AND(H2920="",OR(F2920="Attended",F2920="No-show",AND(F2920="Late cancel",Settings!$C$9="Yes"))),1,0)</f>
        <v/>
      </c>
      <c r="L2920">
        <f>IF(AND(H2920="",F2920="Attended"),1,0)</f>
        <v/>
      </c>
      <c r="M2920">
        <f>IF(AND(H2920="",OR(F2920="No-show",F2920="Late cancel")),1,0)</f>
        <v/>
      </c>
      <c r="N2920">
        <f>IF(AND(H2920="",F2920="",D2920&lt;&gt;"",I2920&gt;=TODAY()),ROUND((I2920+IF(ISNUMBER(C2920),MOD(C2920,1),0))*1440,0)*10000+ROW(),"")</f>
        <v/>
      </c>
    </row>
    <row r="2921">
      <c r="A2921" s="1" t="n"/>
      <c r="B2921" s="17" t="n"/>
      <c r="C2921" s="18" t="n"/>
      <c r="D2921" s="19" t="n"/>
      <c r="E2921" s="20" t="n"/>
      <c r="F2921" s="20" t="n"/>
      <c r="G2921" s="21" t="n"/>
      <c r="H2921" s="12">
        <f>IF(AND(B2921="",D2921="",F2921=""),"",IF(NOT(ISNUMBER(B2921)),"Needs a date",IF(D2921="","Needs a client",IF(COUNTIF(Clients!$B$6:$B$105,D2921)=0,"Not on Clients",IF(AND(F2921="",INT(B2921)&lt;TODAY()),"Needs a status","")))))</f>
        <v/>
      </c>
      <c r="I2921" s="1">
        <f>IF(ISNUMBER(B2921),INT(B2921),0)</f>
        <v/>
      </c>
      <c r="J2921">
        <f>IF(ISNUMBER(B2921),YEAR(B2921)*100+MONTH(B2921),"")</f>
        <v/>
      </c>
      <c r="K2921">
        <f>IF(AND(H2921="",OR(F2921="Attended",F2921="No-show",AND(F2921="Late cancel",Settings!$C$9="Yes"))),1,0)</f>
        <v/>
      </c>
      <c r="L2921">
        <f>IF(AND(H2921="",F2921="Attended"),1,0)</f>
        <v/>
      </c>
      <c r="M2921">
        <f>IF(AND(H2921="",OR(F2921="No-show",F2921="Late cancel")),1,0)</f>
        <v/>
      </c>
      <c r="N2921">
        <f>IF(AND(H2921="",F2921="",D2921&lt;&gt;"",I2921&gt;=TODAY()),ROUND((I2921+IF(ISNUMBER(C2921),MOD(C2921,1),0))*1440,0)*10000+ROW(),"")</f>
        <v/>
      </c>
    </row>
    <row r="2922">
      <c r="A2922" s="1" t="n"/>
      <c r="B2922" s="17" t="n"/>
      <c r="C2922" s="18" t="n"/>
      <c r="D2922" s="19" t="n"/>
      <c r="E2922" s="20" t="n"/>
      <c r="F2922" s="20" t="n"/>
      <c r="G2922" s="21" t="n"/>
      <c r="H2922" s="12">
        <f>IF(AND(B2922="",D2922="",F2922=""),"",IF(NOT(ISNUMBER(B2922)),"Needs a date",IF(D2922="","Needs a client",IF(COUNTIF(Clients!$B$6:$B$105,D2922)=0,"Not on Clients",IF(AND(F2922="",INT(B2922)&lt;TODAY()),"Needs a status","")))))</f>
        <v/>
      </c>
      <c r="I2922" s="1">
        <f>IF(ISNUMBER(B2922),INT(B2922),0)</f>
        <v/>
      </c>
      <c r="J2922">
        <f>IF(ISNUMBER(B2922),YEAR(B2922)*100+MONTH(B2922),"")</f>
        <v/>
      </c>
      <c r="K2922">
        <f>IF(AND(H2922="",OR(F2922="Attended",F2922="No-show",AND(F2922="Late cancel",Settings!$C$9="Yes"))),1,0)</f>
        <v/>
      </c>
      <c r="L2922">
        <f>IF(AND(H2922="",F2922="Attended"),1,0)</f>
        <v/>
      </c>
      <c r="M2922">
        <f>IF(AND(H2922="",OR(F2922="No-show",F2922="Late cancel")),1,0)</f>
        <v/>
      </c>
      <c r="N2922">
        <f>IF(AND(H2922="",F2922="",D2922&lt;&gt;"",I2922&gt;=TODAY()),ROUND((I2922+IF(ISNUMBER(C2922),MOD(C2922,1),0))*1440,0)*10000+ROW(),"")</f>
        <v/>
      </c>
    </row>
    <row r="2923">
      <c r="A2923" s="1" t="n"/>
      <c r="B2923" s="17" t="n"/>
      <c r="C2923" s="18" t="n"/>
      <c r="D2923" s="19" t="n"/>
      <c r="E2923" s="20" t="n"/>
      <c r="F2923" s="20" t="n"/>
      <c r="G2923" s="21" t="n"/>
      <c r="H2923" s="12">
        <f>IF(AND(B2923="",D2923="",F2923=""),"",IF(NOT(ISNUMBER(B2923)),"Needs a date",IF(D2923="","Needs a client",IF(COUNTIF(Clients!$B$6:$B$105,D2923)=0,"Not on Clients",IF(AND(F2923="",INT(B2923)&lt;TODAY()),"Needs a status","")))))</f>
        <v/>
      </c>
      <c r="I2923" s="1">
        <f>IF(ISNUMBER(B2923),INT(B2923),0)</f>
        <v/>
      </c>
      <c r="J2923">
        <f>IF(ISNUMBER(B2923),YEAR(B2923)*100+MONTH(B2923),"")</f>
        <v/>
      </c>
      <c r="K2923">
        <f>IF(AND(H2923="",OR(F2923="Attended",F2923="No-show",AND(F2923="Late cancel",Settings!$C$9="Yes"))),1,0)</f>
        <v/>
      </c>
      <c r="L2923">
        <f>IF(AND(H2923="",F2923="Attended"),1,0)</f>
        <v/>
      </c>
      <c r="M2923">
        <f>IF(AND(H2923="",OR(F2923="No-show",F2923="Late cancel")),1,0)</f>
        <v/>
      </c>
      <c r="N2923">
        <f>IF(AND(H2923="",F2923="",D2923&lt;&gt;"",I2923&gt;=TODAY()),ROUND((I2923+IF(ISNUMBER(C2923),MOD(C2923,1),0))*1440,0)*10000+ROW(),"")</f>
        <v/>
      </c>
    </row>
    <row r="2924">
      <c r="A2924" s="1" t="n"/>
      <c r="B2924" s="17" t="n"/>
      <c r="C2924" s="18" t="n"/>
      <c r="D2924" s="19" t="n"/>
      <c r="E2924" s="20" t="n"/>
      <c r="F2924" s="20" t="n"/>
      <c r="G2924" s="21" t="n"/>
      <c r="H2924" s="12">
        <f>IF(AND(B2924="",D2924="",F2924=""),"",IF(NOT(ISNUMBER(B2924)),"Needs a date",IF(D2924="","Needs a client",IF(COUNTIF(Clients!$B$6:$B$105,D2924)=0,"Not on Clients",IF(AND(F2924="",INT(B2924)&lt;TODAY()),"Needs a status","")))))</f>
        <v/>
      </c>
      <c r="I2924" s="1">
        <f>IF(ISNUMBER(B2924),INT(B2924),0)</f>
        <v/>
      </c>
      <c r="J2924">
        <f>IF(ISNUMBER(B2924),YEAR(B2924)*100+MONTH(B2924),"")</f>
        <v/>
      </c>
      <c r="K2924">
        <f>IF(AND(H2924="",OR(F2924="Attended",F2924="No-show",AND(F2924="Late cancel",Settings!$C$9="Yes"))),1,0)</f>
        <v/>
      </c>
      <c r="L2924">
        <f>IF(AND(H2924="",F2924="Attended"),1,0)</f>
        <v/>
      </c>
      <c r="M2924">
        <f>IF(AND(H2924="",OR(F2924="No-show",F2924="Late cancel")),1,0)</f>
        <v/>
      </c>
      <c r="N2924">
        <f>IF(AND(H2924="",F2924="",D2924&lt;&gt;"",I2924&gt;=TODAY()),ROUND((I2924+IF(ISNUMBER(C2924),MOD(C2924,1),0))*1440,0)*10000+ROW(),"")</f>
        <v/>
      </c>
    </row>
    <row r="2925">
      <c r="A2925" s="1" t="n"/>
      <c r="B2925" s="17" t="n"/>
      <c r="C2925" s="18" t="n"/>
      <c r="D2925" s="19" t="n"/>
      <c r="E2925" s="20" t="n"/>
      <c r="F2925" s="20" t="n"/>
      <c r="G2925" s="21" t="n"/>
      <c r="H2925" s="12">
        <f>IF(AND(B2925="",D2925="",F2925=""),"",IF(NOT(ISNUMBER(B2925)),"Needs a date",IF(D2925="","Needs a client",IF(COUNTIF(Clients!$B$6:$B$105,D2925)=0,"Not on Clients",IF(AND(F2925="",INT(B2925)&lt;TODAY()),"Needs a status","")))))</f>
        <v/>
      </c>
      <c r="I2925" s="1">
        <f>IF(ISNUMBER(B2925),INT(B2925),0)</f>
        <v/>
      </c>
      <c r="J2925">
        <f>IF(ISNUMBER(B2925),YEAR(B2925)*100+MONTH(B2925),"")</f>
        <v/>
      </c>
      <c r="K2925">
        <f>IF(AND(H2925="",OR(F2925="Attended",F2925="No-show",AND(F2925="Late cancel",Settings!$C$9="Yes"))),1,0)</f>
        <v/>
      </c>
      <c r="L2925">
        <f>IF(AND(H2925="",F2925="Attended"),1,0)</f>
        <v/>
      </c>
      <c r="M2925">
        <f>IF(AND(H2925="",OR(F2925="No-show",F2925="Late cancel")),1,0)</f>
        <v/>
      </c>
      <c r="N2925">
        <f>IF(AND(H2925="",F2925="",D2925&lt;&gt;"",I2925&gt;=TODAY()),ROUND((I2925+IF(ISNUMBER(C2925),MOD(C2925,1),0))*1440,0)*10000+ROW(),"")</f>
        <v/>
      </c>
    </row>
    <row r="2926">
      <c r="A2926" s="1" t="n"/>
      <c r="B2926" s="17" t="n"/>
      <c r="C2926" s="18" t="n"/>
      <c r="D2926" s="19" t="n"/>
      <c r="E2926" s="20" t="n"/>
      <c r="F2926" s="20" t="n"/>
      <c r="G2926" s="21" t="n"/>
      <c r="H2926" s="12">
        <f>IF(AND(B2926="",D2926="",F2926=""),"",IF(NOT(ISNUMBER(B2926)),"Needs a date",IF(D2926="","Needs a client",IF(COUNTIF(Clients!$B$6:$B$105,D2926)=0,"Not on Clients",IF(AND(F2926="",INT(B2926)&lt;TODAY()),"Needs a status","")))))</f>
        <v/>
      </c>
      <c r="I2926" s="1">
        <f>IF(ISNUMBER(B2926),INT(B2926),0)</f>
        <v/>
      </c>
      <c r="J2926">
        <f>IF(ISNUMBER(B2926),YEAR(B2926)*100+MONTH(B2926),"")</f>
        <v/>
      </c>
      <c r="K2926">
        <f>IF(AND(H2926="",OR(F2926="Attended",F2926="No-show",AND(F2926="Late cancel",Settings!$C$9="Yes"))),1,0)</f>
        <v/>
      </c>
      <c r="L2926">
        <f>IF(AND(H2926="",F2926="Attended"),1,0)</f>
        <v/>
      </c>
      <c r="M2926">
        <f>IF(AND(H2926="",OR(F2926="No-show",F2926="Late cancel")),1,0)</f>
        <v/>
      </c>
      <c r="N2926">
        <f>IF(AND(H2926="",F2926="",D2926&lt;&gt;"",I2926&gt;=TODAY()),ROUND((I2926+IF(ISNUMBER(C2926),MOD(C2926,1),0))*1440,0)*10000+ROW(),"")</f>
        <v/>
      </c>
    </row>
    <row r="2927">
      <c r="A2927" s="1" t="n"/>
      <c r="B2927" s="17" t="n"/>
      <c r="C2927" s="18" t="n"/>
      <c r="D2927" s="19" t="n"/>
      <c r="E2927" s="20" t="n"/>
      <c r="F2927" s="20" t="n"/>
      <c r="G2927" s="21" t="n"/>
      <c r="H2927" s="12">
        <f>IF(AND(B2927="",D2927="",F2927=""),"",IF(NOT(ISNUMBER(B2927)),"Needs a date",IF(D2927="","Needs a client",IF(COUNTIF(Clients!$B$6:$B$105,D2927)=0,"Not on Clients",IF(AND(F2927="",INT(B2927)&lt;TODAY()),"Needs a status","")))))</f>
        <v/>
      </c>
      <c r="I2927" s="1">
        <f>IF(ISNUMBER(B2927),INT(B2927),0)</f>
        <v/>
      </c>
      <c r="J2927">
        <f>IF(ISNUMBER(B2927),YEAR(B2927)*100+MONTH(B2927),"")</f>
        <v/>
      </c>
      <c r="K2927">
        <f>IF(AND(H2927="",OR(F2927="Attended",F2927="No-show",AND(F2927="Late cancel",Settings!$C$9="Yes"))),1,0)</f>
        <v/>
      </c>
      <c r="L2927">
        <f>IF(AND(H2927="",F2927="Attended"),1,0)</f>
        <v/>
      </c>
      <c r="M2927">
        <f>IF(AND(H2927="",OR(F2927="No-show",F2927="Late cancel")),1,0)</f>
        <v/>
      </c>
      <c r="N2927">
        <f>IF(AND(H2927="",F2927="",D2927&lt;&gt;"",I2927&gt;=TODAY()),ROUND((I2927+IF(ISNUMBER(C2927),MOD(C2927,1),0))*1440,0)*10000+ROW(),"")</f>
        <v/>
      </c>
    </row>
    <row r="2928">
      <c r="A2928" s="1" t="n"/>
      <c r="B2928" s="17" t="n"/>
      <c r="C2928" s="18" t="n"/>
      <c r="D2928" s="19" t="n"/>
      <c r="E2928" s="20" t="n"/>
      <c r="F2928" s="20" t="n"/>
      <c r="G2928" s="21" t="n"/>
      <c r="H2928" s="12">
        <f>IF(AND(B2928="",D2928="",F2928=""),"",IF(NOT(ISNUMBER(B2928)),"Needs a date",IF(D2928="","Needs a client",IF(COUNTIF(Clients!$B$6:$B$105,D2928)=0,"Not on Clients",IF(AND(F2928="",INT(B2928)&lt;TODAY()),"Needs a status","")))))</f>
        <v/>
      </c>
      <c r="I2928" s="1">
        <f>IF(ISNUMBER(B2928),INT(B2928),0)</f>
        <v/>
      </c>
      <c r="J2928">
        <f>IF(ISNUMBER(B2928),YEAR(B2928)*100+MONTH(B2928),"")</f>
        <v/>
      </c>
      <c r="K2928">
        <f>IF(AND(H2928="",OR(F2928="Attended",F2928="No-show",AND(F2928="Late cancel",Settings!$C$9="Yes"))),1,0)</f>
        <v/>
      </c>
      <c r="L2928">
        <f>IF(AND(H2928="",F2928="Attended"),1,0)</f>
        <v/>
      </c>
      <c r="M2928">
        <f>IF(AND(H2928="",OR(F2928="No-show",F2928="Late cancel")),1,0)</f>
        <v/>
      </c>
      <c r="N2928">
        <f>IF(AND(H2928="",F2928="",D2928&lt;&gt;"",I2928&gt;=TODAY()),ROUND((I2928+IF(ISNUMBER(C2928),MOD(C2928,1),0))*1440,0)*10000+ROW(),"")</f>
        <v/>
      </c>
    </row>
    <row r="2929">
      <c r="A2929" s="1" t="n"/>
      <c r="B2929" s="17" t="n"/>
      <c r="C2929" s="18" t="n"/>
      <c r="D2929" s="19" t="n"/>
      <c r="E2929" s="20" t="n"/>
      <c r="F2929" s="20" t="n"/>
      <c r="G2929" s="21" t="n"/>
      <c r="H2929" s="12">
        <f>IF(AND(B2929="",D2929="",F2929=""),"",IF(NOT(ISNUMBER(B2929)),"Needs a date",IF(D2929="","Needs a client",IF(COUNTIF(Clients!$B$6:$B$105,D2929)=0,"Not on Clients",IF(AND(F2929="",INT(B2929)&lt;TODAY()),"Needs a status","")))))</f>
        <v/>
      </c>
      <c r="I2929" s="1">
        <f>IF(ISNUMBER(B2929),INT(B2929),0)</f>
        <v/>
      </c>
      <c r="J2929">
        <f>IF(ISNUMBER(B2929),YEAR(B2929)*100+MONTH(B2929),"")</f>
        <v/>
      </c>
      <c r="K2929">
        <f>IF(AND(H2929="",OR(F2929="Attended",F2929="No-show",AND(F2929="Late cancel",Settings!$C$9="Yes"))),1,0)</f>
        <v/>
      </c>
      <c r="L2929">
        <f>IF(AND(H2929="",F2929="Attended"),1,0)</f>
        <v/>
      </c>
      <c r="M2929">
        <f>IF(AND(H2929="",OR(F2929="No-show",F2929="Late cancel")),1,0)</f>
        <v/>
      </c>
      <c r="N2929">
        <f>IF(AND(H2929="",F2929="",D2929&lt;&gt;"",I2929&gt;=TODAY()),ROUND((I2929+IF(ISNUMBER(C2929),MOD(C2929,1),0))*1440,0)*10000+ROW(),"")</f>
        <v/>
      </c>
    </row>
    <row r="2930">
      <c r="A2930" s="1" t="n"/>
      <c r="B2930" s="17" t="n"/>
      <c r="C2930" s="18" t="n"/>
      <c r="D2930" s="19" t="n"/>
      <c r="E2930" s="20" t="n"/>
      <c r="F2930" s="20" t="n"/>
      <c r="G2930" s="21" t="n"/>
      <c r="H2930" s="12">
        <f>IF(AND(B2930="",D2930="",F2930=""),"",IF(NOT(ISNUMBER(B2930)),"Needs a date",IF(D2930="","Needs a client",IF(COUNTIF(Clients!$B$6:$B$105,D2930)=0,"Not on Clients",IF(AND(F2930="",INT(B2930)&lt;TODAY()),"Needs a status","")))))</f>
        <v/>
      </c>
      <c r="I2930" s="1">
        <f>IF(ISNUMBER(B2930),INT(B2930),0)</f>
        <v/>
      </c>
      <c r="J2930">
        <f>IF(ISNUMBER(B2930),YEAR(B2930)*100+MONTH(B2930),"")</f>
        <v/>
      </c>
      <c r="K2930">
        <f>IF(AND(H2930="",OR(F2930="Attended",F2930="No-show",AND(F2930="Late cancel",Settings!$C$9="Yes"))),1,0)</f>
        <v/>
      </c>
      <c r="L2930">
        <f>IF(AND(H2930="",F2930="Attended"),1,0)</f>
        <v/>
      </c>
      <c r="M2930">
        <f>IF(AND(H2930="",OR(F2930="No-show",F2930="Late cancel")),1,0)</f>
        <v/>
      </c>
      <c r="N2930">
        <f>IF(AND(H2930="",F2930="",D2930&lt;&gt;"",I2930&gt;=TODAY()),ROUND((I2930+IF(ISNUMBER(C2930),MOD(C2930,1),0))*1440,0)*10000+ROW(),"")</f>
        <v/>
      </c>
    </row>
    <row r="2931">
      <c r="A2931" s="1" t="n"/>
      <c r="B2931" s="17" t="n"/>
      <c r="C2931" s="18" t="n"/>
      <c r="D2931" s="19" t="n"/>
      <c r="E2931" s="20" t="n"/>
      <c r="F2931" s="20" t="n"/>
      <c r="G2931" s="21" t="n"/>
      <c r="H2931" s="12">
        <f>IF(AND(B2931="",D2931="",F2931=""),"",IF(NOT(ISNUMBER(B2931)),"Needs a date",IF(D2931="","Needs a client",IF(COUNTIF(Clients!$B$6:$B$105,D2931)=0,"Not on Clients",IF(AND(F2931="",INT(B2931)&lt;TODAY()),"Needs a status","")))))</f>
        <v/>
      </c>
      <c r="I2931" s="1">
        <f>IF(ISNUMBER(B2931),INT(B2931),0)</f>
        <v/>
      </c>
      <c r="J2931">
        <f>IF(ISNUMBER(B2931),YEAR(B2931)*100+MONTH(B2931),"")</f>
        <v/>
      </c>
      <c r="K2931">
        <f>IF(AND(H2931="",OR(F2931="Attended",F2931="No-show",AND(F2931="Late cancel",Settings!$C$9="Yes"))),1,0)</f>
        <v/>
      </c>
      <c r="L2931">
        <f>IF(AND(H2931="",F2931="Attended"),1,0)</f>
        <v/>
      </c>
      <c r="M2931">
        <f>IF(AND(H2931="",OR(F2931="No-show",F2931="Late cancel")),1,0)</f>
        <v/>
      </c>
      <c r="N2931">
        <f>IF(AND(H2931="",F2931="",D2931&lt;&gt;"",I2931&gt;=TODAY()),ROUND((I2931+IF(ISNUMBER(C2931),MOD(C2931,1),0))*1440,0)*10000+ROW(),"")</f>
        <v/>
      </c>
    </row>
    <row r="2932">
      <c r="A2932" s="1" t="n"/>
      <c r="B2932" s="17" t="n"/>
      <c r="C2932" s="18" t="n"/>
      <c r="D2932" s="19" t="n"/>
      <c r="E2932" s="20" t="n"/>
      <c r="F2932" s="20" t="n"/>
      <c r="G2932" s="21" t="n"/>
      <c r="H2932" s="12">
        <f>IF(AND(B2932="",D2932="",F2932=""),"",IF(NOT(ISNUMBER(B2932)),"Needs a date",IF(D2932="","Needs a client",IF(COUNTIF(Clients!$B$6:$B$105,D2932)=0,"Not on Clients",IF(AND(F2932="",INT(B2932)&lt;TODAY()),"Needs a status","")))))</f>
        <v/>
      </c>
      <c r="I2932" s="1">
        <f>IF(ISNUMBER(B2932),INT(B2932),0)</f>
        <v/>
      </c>
      <c r="J2932">
        <f>IF(ISNUMBER(B2932),YEAR(B2932)*100+MONTH(B2932),"")</f>
        <v/>
      </c>
      <c r="K2932">
        <f>IF(AND(H2932="",OR(F2932="Attended",F2932="No-show",AND(F2932="Late cancel",Settings!$C$9="Yes"))),1,0)</f>
        <v/>
      </c>
      <c r="L2932">
        <f>IF(AND(H2932="",F2932="Attended"),1,0)</f>
        <v/>
      </c>
      <c r="M2932">
        <f>IF(AND(H2932="",OR(F2932="No-show",F2932="Late cancel")),1,0)</f>
        <v/>
      </c>
      <c r="N2932">
        <f>IF(AND(H2932="",F2932="",D2932&lt;&gt;"",I2932&gt;=TODAY()),ROUND((I2932+IF(ISNUMBER(C2932),MOD(C2932,1),0))*1440,0)*10000+ROW(),"")</f>
        <v/>
      </c>
    </row>
    <row r="2933">
      <c r="A2933" s="1" t="n"/>
      <c r="B2933" s="17" t="n"/>
      <c r="C2933" s="18" t="n"/>
      <c r="D2933" s="19" t="n"/>
      <c r="E2933" s="20" t="n"/>
      <c r="F2933" s="20" t="n"/>
      <c r="G2933" s="21" t="n"/>
      <c r="H2933" s="12">
        <f>IF(AND(B2933="",D2933="",F2933=""),"",IF(NOT(ISNUMBER(B2933)),"Needs a date",IF(D2933="","Needs a client",IF(COUNTIF(Clients!$B$6:$B$105,D2933)=0,"Not on Clients",IF(AND(F2933="",INT(B2933)&lt;TODAY()),"Needs a status","")))))</f>
        <v/>
      </c>
      <c r="I2933" s="1">
        <f>IF(ISNUMBER(B2933),INT(B2933),0)</f>
        <v/>
      </c>
      <c r="J2933">
        <f>IF(ISNUMBER(B2933),YEAR(B2933)*100+MONTH(B2933),"")</f>
        <v/>
      </c>
      <c r="K2933">
        <f>IF(AND(H2933="",OR(F2933="Attended",F2933="No-show",AND(F2933="Late cancel",Settings!$C$9="Yes"))),1,0)</f>
        <v/>
      </c>
      <c r="L2933">
        <f>IF(AND(H2933="",F2933="Attended"),1,0)</f>
        <v/>
      </c>
      <c r="M2933">
        <f>IF(AND(H2933="",OR(F2933="No-show",F2933="Late cancel")),1,0)</f>
        <v/>
      </c>
      <c r="N2933">
        <f>IF(AND(H2933="",F2933="",D2933&lt;&gt;"",I2933&gt;=TODAY()),ROUND((I2933+IF(ISNUMBER(C2933),MOD(C2933,1),0))*1440,0)*10000+ROW(),"")</f>
        <v/>
      </c>
    </row>
    <row r="2934">
      <c r="A2934" s="1" t="n"/>
      <c r="B2934" s="17" t="n"/>
      <c r="C2934" s="18" t="n"/>
      <c r="D2934" s="19" t="n"/>
      <c r="E2934" s="20" t="n"/>
      <c r="F2934" s="20" t="n"/>
      <c r="G2934" s="21" t="n"/>
      <c r="H2934" s="12">
        <f>IF(AND(B2934="",D2934="",F2934=""),"",IF(NOT(ISNUMBER(B2934)),"Needs a date",IF(D2934="","Needs a client",IF(COUNTIF(Clients!$B$6:$B$105,D2934)=0,"Not on Clients",IF(AND(F2934="",INT(B2934)&lt;TODAY()),"Needs a status","")))))</f>
        <v/>
      </c>
      <c r="I2934" s="1">
        <f>IF(ISNUMBER(B2934),INT(B2934),0)</f>
        <v/>
      </c>
      <c r="J2934">
        <f>IF(ISNUMBER(B2934),YEAR(B2934)*100+MONTH(B2934),"")</f>
        <v/>
      </c>
      <c r="K2934">
        <f>IF(AND(H2934="",OR(F2934="Attended",F2934="No-show",AND(F2934="Late cancel",Settings!$C$9="Yes"))),1,0)</f>
        <v/>
      </c>
      <c r="L2934">
        <f>IF(AND(H2934="",F2934="Attended"),1,0)</f>
        <v/>
      </c>
      <c r="M2934">
        <f>IF(AND(H2934="",OR(F2934="No-show",F2934="Late cancel")),1,0)</f>
        <v/>
      </c>
      <c r="N2934">
        <f>IF(AND(H2934="",F2934="",D2934&lt;&gt;"",I2934&gt;=TODAY()),ROUND((I2934+IF(ISNUMBER(C2934),MOD(C2934,1),0))*1440,0)*10000+ROW(),"")</f>
        <v/>
      </c>
    </row>
    <row r="2935">
      <c r="A2935" s="1" t="n"/>
      <c r="B2935" s="17" t="n"/>
      <c r="C2935" s="18" t="n"/>
      <c r="D2935" s="19" t="n"/>
      <c r="E2935" s="20" t="n"/>
      <c r="F2935" s="20" t="n"/>
      <c r="G2935" s="21" t="n"/>
      <c r="H2935" s="12">
        <f>IF(AND(B2935="",D2935="",F2935=""),"",IF(NOT(ISNUMBER(B2935)),"Needs a date",IF(D2935="","Needs a client",IF(COUNTIF(Clients!$B$6:$B$105,D2935)=0,"Not on Clients",IF(AND(F2935="",INT(B2935)&lt;TODAY()),"Needs a status","")))))</f>
        <v/>
      </c>
      <c r="I2935" s="1">
        <f>IF(ISNUMBER(B2935),INT(B2935),0)</f>
        <v/>
      </c>
      <c r="J2935">
        <f>IF(ISNUMBER(B2935),YEAR(B2935)*100+MONTH(B2935),"")</f>
        <v/>
      </c>
      <c r="K2935">
        <f>IF(AND(H2935="",OR(F2935="Attended",F2935="No-show",AND(F2935="Late cancel",Settings!$C$9="Yes"))),1,0)</f>
        <v/>
      </c>
      <c r="L2935">
        <f>IF(AND(H2935="",F2935="Attended"),1,0)</f>
        <v/>
      </c>
      <c r="M2935">
        <f>IF(AND(H2935="",OR(F2935="No-show",F2935="Late cancel")),1,0)</f>
        <v/>
      </c>
      <c r="N2935">
        <f>IF(AND(H2935="",F2935="",D2935&lt;&gt;"",I2935&gt;=TODAY()),ROUND((I2935+IF(ISNUMBER(C2935),MOD(C2935,1),0))*1440,0)*10000+ROW(),"")</f>
        <v/>
      </c>
    </row>
    <row r="2936">
      <c r="A2936" s="1" t="n"/>
      <c r="B2936" s="17" t="n"/>
      <c r="C2936" s="18" t="n"/>
      <c r="D2936" s="19" t="n"/>
      <c r="E2936" s="20" t="n"/>
      <c r="F2936" s="20" t="n"/>
      <c r="G2936" s="21" t="n"/>
      <c r="H2936" s="12">
        <f>IF(AND(B2936="",D2936="",F2936=""),"",IF(NOT(ISNUMBER(B2936)),"Needs a date",IF(D2936="","Needs a client",IF(COUNTIF(Clients!$B$6:$B$105,D2936)=0,"Not on Clients",IF(AND(F2936="",INT(B2936)&lt;TODAY()),"Needs a status","")))))</f>
        <v/>
      </c>
      <c r="I2936" s="1">
        <f>IF(ISNUMBER(B2936),INT(B2936),0)</f>
        <v/>
      </c>
      <c r="J2936">
        <f>IF(ISNUMBER(B2936),YEAR(B2936)*100+MONTH(B2936),"")</f>
        <v/>
      </c>
      <c r="K2936">
        <f>IF(AND(H2936="",OR(F2936="Attended",F2936="No-show",AND(F2936="Late cancel",Settings!$C$9="Yes"))),1,0)</f>
        <v/>
      </c>
      <c r="L2936">
        <f>IF(AND(H2936="",F2936="Attended"),1,0)</f>
        <v/>
      </c>
      <c r="M2936">
        <f>IF(AND(H2936="",OR(F2936="No-show",F2936="Late cancel")),1,0)</f>
        <v/>
      </c>
      <c r="N2936">
        <f>IF(AND(H2936="",F2936="",D2936&lt;&gt;"",I2936&gt;=TODAY()),ROUND((I2936+IF(ISNUMBER(C2936),MOD(C2936,1),0))*1440,0)*10000+ROW(),"")</f>
        <v/>
      </c>
    </row>
    <row r="2937">
      <c r="A2937" s="1" t="n"/>
      <c r="B2937" s="17" t="n"/>
      <c r="C2937" s="18" t="n"/>
      <c r="D2937" s="19" t="n"/>
      <c r="E2937" s="20" t="n"/>
      <c r="F2937" s="20" t="n"/>
      <c r="G2937" s="21" t="n"/>
      <c r="H2937" s="12">
        <f>IF(AND(B2937="",D2937="",F2937=""),"",IF(NOT(ISNUMBER(B2937)),"Needs a date",IF(D2937="","Needs a client",IF(COUNTIF(Clients!$B$6:$B$105,D2937)=0,"Not on Clients",IF(AND(F2937="",INT(B2937)&lt;TODAY()),"Needs a status","")))))</f>
        <v/>
      </c>
      <c r="I2937" s="1">
        <f>IF(ISNUMBER(B2937),INT(B2937),0)</f>
        <v/>
      </c>
      <c r="J2937">
        <f>IF(ISNUMBER(B2937),YEAR(B2937)*100+MONTH(B2937),"")</f>
        <v/>
      </c>
      <c r="K2937">
        <f>IF(AND(H2937="",OR(F2937="Attended",F2937="No-show",AND(F2937="Late cancel",Settings!$C$9="Yes"))),1,0)</f>
        <v/>
      </c>
      <c r="L2937">
        <f>IF(AND(H2937="",F2937="Attended"),1,0)</f>
        <v/>
      </c>
      <c r="M2937">
        <f>IF(AND(H2937="",OR(F2937="No-show",F2937="Late cancel")),1,0)</f>
        <v/>
      </c>
      <c r="N2937">
        <f>IF(AND(H2937="",F2937="",D2937&lt;&gt;"",I2937&gt;=TODAY()),ROUND((I2937+IF(ISNUMBER(C2937),MOD(C2937,1),0))*1440,0)*10000+ROW(),"")</f>
        <v/>
      </c>
    </row>
    <row r="2938">
      <c r="A2938" s="1" t="n"/>
      <c r="B2938" s="17" t="n"/>
      <c r="C2938" s="18" t="n"/>
      <c r="D2938" s="19" t="n"/>
      <c r="E2938" s="20" t="n"/>
      <c r="F2938" s="20" t="n"/>
      <c r="G2938" s="21" t="n"/>
      <c r="H2938" s="12">
        <f>IF(AND(B2938="",D2938="",F2938=""),"",IF(NOT(ISNUMBER(B2938)),"Needs a date",IF(D2938="","Needs a client",IF(COUNTIF(Clients!$B$6:$B$105,D2938)=0,"Not on Clients",IF(AND(F2938="",INT(B2938)&lt;TODAY()),"Needs a status","")))))</f>
        <v/>
      </c>
      <c r="I2938" s="1">
        <f>IF(ISNUMBER(B2938),INT(B2938),0)</f>
        <v/>
      </c>
      <c r="J2938">
        <f>IF(ISNUMBER(B2938),YEAR(B2938)*100+MONTH(B2938),"")</f>
        <v/>
      </c>
      <c r="K2938">
        <f>IF(AND(H2938="",OR(F2938="Attended",F2938="No-show",AND(F2938="Late cancel",Settings!$C$9="Yes"))),1,0)</f>
        <v/>
      </c>
      <c r="L2938">
        <f>IF(AND(H2938="",F2938="Attended"),1,0)</f>
        <v/>
      </c>
      <c r="M2938">
        <f>IF(AND(H2938="",OR(F2938="No-show",F2938="Late cancel")),1,0)</f>
        <v/>
      </c>
      <c r="N2938">
        <f>IF(AND(H2938="",F2938="",D2938&lt;&gt;"",I2938&gt;=TODAY()),ROUND((I2938+IF(ISNUMBER(C2938),MOD(C2938,1),0))*1440,0)*10000+ROW(),"")</f>
        <v/>
      </c>
    </row>
    <row r="2939">
      <c r="A2939" s="1" t="n"/>
      <c r="B2939" s="17" t="n"/>
      <c r="C2939" s="18" t="n"/>
      <c r="D2939" s="19" t="n"/>
      <c r="E2939" s="20" t="n"/>
      <c r="F2939" s="20" t="n"/>
      <c r="G2939" s="21" t="n"/>
      <c r="H2939" s="12">
        <f>IF(AND(B2939="",D2939="",F2939=""),"",IF(NOT(ISNUMBER(B2939)),"Needs a date",IF(D2939="","Needs a client",IF(COUNTIF(Clients!$B$6:$B$105,D2939)=0,"Not on Clients",IF(AND(F2939="",INT(B2939)&lt;TODAY()),"Needs a status","")))))</f>
        <v/>
      </c>
      <c r="I2939" s="1">
        <f>IF(ISNUMBER(B2939),INT(B2939),0)</f>
        <v/>
      </c>
      <c r="J2939">
        <f>IF(ISNUMBER(B2939),YEAR(B2939)*100+MONTH(B2939),"")</f>
        <v/>
      </c>
      <c r="K2939">
        <f>IF(AND(H2939="",OR(F2939="Attended",F2939="No-show",AND(F2939="Late cancel",Settings!$C$9="Yes"))),1,0)</f>
        <v/>
      </c>
      <c r="L2939">
        <f>IF(AND(H2939="",F2939="Attended"),1,0)</f>
        <v/>
      </c>
      <c r="M2939">
        <f>IF(AND(H2939="",OR(F2939="No-show",F2939="Late cancel")),1,0)</f>
        <v/>
      </c>
      <c r="N2939">
        <f>IF(AND(H2939="",F2939="",D2939&lt;&gt;"",I2939&gt;=TODAY()),ROUND((I2939+IF(ISNUMBER(C2939),MOD(C2939,1),0))*1440,0)*10000+ROW(),"")</f>
        <v/>
      </c>
    </row>
    <row r="2940">
      <c r="A2940" s="1" t="n"/>
      <c r="B2940" s="17" t="n"/>
      <c r="C2940" s="18" t="n"/>
      <c r="D2940" s="19" t="n"/>
      <c r="E2940" s="20" t="n"/>
      <c r="F2940" s="20" t="n"/>
      <c r="G2940" s="21" t="n"/>
      <c r="H2940" s="12">
        <f>IF(AND(B2940="",D2940="",F2940=""),"",IF(NOT(ISNUMBER(B2940)),"Needs a date",IF(D2940="","Needs a client",IF(COUNTIF(Clients!$B$6:$B$105,D2940)=0,"Not on Clients",IF(AND(F2940="",INT(B2940)&lt;TODAY()),"Needs a status","")))))</f>
        <v/>
      </c>
      <c r="I2940" s="1">
        <f>IF(ISNUMBER(B2940),INT(B2940),0)</f>
        <v/>
      </c>
      <c r="J2940">
        <f>IF(ISNUMBER(B2940),YEAR(B2940)*100+MONTH(B2940),"")</f>
        <v/>
      </c>
      <c r="K2940">
        <f>IF(AND(H2940="",OR(F2940="Attended",F2940="No-show",AND(F2940="Late cancel",Settings!$C$9="Yes"))),1,0)</f>
        <v/>
      </c>
      <c r="L2940">
        <f>IF(AND(H2940="",F2940="Attended"),1,0)</f>
        <v/>
      </c>
      <c r="M2940">
        <f>IF(AND(H2940="",OR(F2940="No-show",F2940="Late cancel")),1,0)</f>
        <v/>
      </c>
      <c r="N2940">
        <f>IF(AND(H2940="",F2940="",D2940&lt;&gt;"",I2940&gt;=TODAY()),ROUND((I2940+IF(ISNUMBER(C2940),MOD(C2940,1),0))*1440,0)*10000+ROW(),"")</f>
        <v/>
      </c>
    </row>
    <row r="2941">
      <c r="A2941" s="1" t="n"/>
      <c r="B2941" s="17" t="n"/>
      <c r="C2941" s="18" t="n"/>
      <c r="D2941" s="19" t="n"/>
      <c r="E2941" s="20" t="n"/>
      <c r="F2941" s="20" t="n"/>
      <c r="G2941" s="21" t="n"/>
      <c r="H2941" s="12">
        <f>IF(AND(B2941="",D2941="",F2941=""),"",IF(NOT(ISNUMBER(B2941)),"Needs a date",IF(D2941="","Needs a client",IF(COUNTIF(Clients!$B$6:$B$105,D2941)=0,"Not on Clients",IF(AND(F2941="",INT(B2941)&lt;TODAY()),"Needs a status","")))))</f>
        <v/>
      </c>
      <c r="I2941" s="1">
        <f>IF(ISNUMBER(B2941),INT(B2941),0)</f>
        <v/>
      </c>
      <c r="J2941">
        <f>IF(ISNUMBER(B2941),YEAR(B2941)*100+MONTH(B2941),"")</f>
        <v/>
      </c>
      <c r="K2941">
        <f>IF(AND(H2941="",OR(F2941="Attended",F2941="No-show",AND(F2941="Late cancel",Settings!$C$9="Yes"))),1,0)</f>
        <v/>
      </c>
      <c r="L2941">
        <f>IF(AND(H2941="",F2941="Attended"),1,0)</f>
        <v/>
      </c>
      <c r="M2941">
        <f>IF(AND(H2941="",OR(F2941="No-show",F2941="Late cancel")),1,0)</f>
        <v/>
      </c>
      <c r="N2941">
        <f>IF(AND(H2941="",F2941="",D2941&lt;&gt;"",I2941&gt;=TODAY()),ROUND((I2941+IF(ISNUMBER(C2941),MOD(C2941,1),0))*1440,0)*10000+ROW(),"")</f>
        <v/>
      </c>
    </row>
    <row r="2942">
      <c r="A2942" s="1" t="n"/>
      <c r="B2942" s="17" t="n"/>
      <c r="C2942" s="18" t="n"/>
      <c r="D2942" s="19" t="n"/>
      <c r="E2942" s="20" t="n"/>
      <c r="F2942" s="20" t="n"/>
      <c r="G2942" s="21" t="n"/>
      <c r="H2942" s="12">
        <f>IF(AND(B2942="",D2942="",F2942=""),"",IF(NOT(ISNUMBER(B2942)),"Needs a date",IF(D2942="","Needs a client",IF(COUNTIF(Clients!$B$6:$B$105,D2942)=0,"Not on Clients",IF(AND(F2942="",INT(B2942)&lt;TODAY()),"Needs a status","")))))</f>
        <v/>
      </c>
      <c r="I2942" s="1">
        <f>IF(ISNUMBER(B2942),INT(B2942),0)</f>
        <v/>
      </c>
      <c r="J2942">
        <f>IF(ISNUMBER(B2942),YEAR(B2942)*100+MONTH(B2942),"")</f>
        <v/>
      </c>
      <c r="K2942">
        <f>IF(AND(H2942="",OR(F2942="Attended",F2942="No-show",AND(F2942="Late cancel",Settings!$C$9="Yes"))),1,0)</f>
        <v/>
      </c>
      <c r="L2942">
        <f>IF(AND(H2942="",F2942="Attended"),1,0)</f>
        <v/>
      </c>
      <c r="M2942">
        <f>IF(AND(H2942="",OR(F2942="No-show",F2942="Late cancel")),1,0)</f>
        <v/>
      </c>
      <c r="N2942">
        <f>IF(AND(H2942="",F2942="",D2942&lt;&gt;"",I2942&gt;=TODAY()),ROUND((I2942+IF(ISNUMBER(C2942),MOD(C2942,1),0))*1440,0)*10000+ROW(),"")</f>
        <v/>
      </c>
    </row>
    <row r="2943">
      <c r="A2943" s="1" t="n"/>
      <c r="B2943" s="17" t="n"/>
      <c r="C2943" s="18" t="n"/>
      <c r="D2943" s="19" t="n"/>
      <c r="E2943" s="20" t="n"/>
      <c r="F2943" s="20" t="n"/>
      <c r="G2943" s="21" t="n"/>
      <c r="H2943" s="12">
        <f>IF(AND(B2943="",D2943="",F2943=""),"",IF(NOT(ISNUMBER(B2943)),"Needs a date",IF(D2943="","Needs a client",IF(COUNTIF(Clients!$B$6:$B$105,D2943)=0,"Not on Clients",IF(AND(F2943="",INT(B2943)&lt;TODAY()),"Needs a status","")))))</f>
        <v/>
      </c>
      <c r="I2943" s="1">
        <f>IF(ISNUMBER(B2943),INT(B2943),0)</f>
        <v/>
      </c>
      <c r="J2943">
        <f>IF(ISNUMBER(B2943),YEAR(B2943)*100+MONTH(B2943),"")</f>
        <v/>
      </c>
      <c r="K2943">
        <f>IF(AND(H2943="",OR(F2943="Attended",F2943="No-show",AND(F2943="Late cancel",Settings!$C$9="Yes"))),1,0)</f>
        <v/>
      </c>
      <c r="L2943">
        <f>IF(AND(H2943="",F2943="Attended"),1,0)</f>
        <v/>
      </c>
      <c r="M2943">
        <f>IF(AND(H2943="",OR(F2943="No-show",F2943="Late cancel")),1,0)</f>
        <v/>
      </c>
      <c r="N2943">
        <f>IF(AND(H2943="",F2943="",D2943&lt;&gt;"",I2943&gt;=TODAY()),ROUND((I2943+IF(ISNUMBER(C2943),MOD(C2943,1),0))*1440,0)*10000+ROW(),"")</f>
        <v/>
      </c>
    </row>
    <row r="2944">
      <c r="A2944" s="1" t="n"/>
      <c r="B2944" s="17" t="n"/>
      <c r="C2944" s="18" t="n"/>
      <c r="D2944" s="19" t="n"/>
      <c r="E2944" s="20" t="n"/>
      <c r="F2944" s="20" t="n"/>
      <c r="G2944" s="21" t="n"/>
      <c r="H2944" s="12">
        <f>IF(AND(B2944="",D2944="",F2944=""),"",IF(NOT(ISNUMBER(B2944)),"Needs a date",IF(D2944="","Needs a client",IF(COUNTIF(Clients!$B$6:$B$105,D2944)=0,"Not on Clients",IF(AND(F2944="",INT(B2944)&lt;TODAY()),"Needs a status","")))))</f>
        <v/>
      </c>
      <c r="I2944" s="1">
        <f>IF(ISNUMBER(B2944),INT(B2944),0)</f>
        <v/>
      </c>
      <c r="J2944">
        <f>IF(ISNUMBER(B2944),YEAR(B2944)*100+MONTH(B2944),"")</f>
        <v/>
      </c>
      <c r="K2944">
        <f>IF(AND(H2944="",OR(F2944="Attended",F2944="No-show",AND(F2944="Late cancel",Settings!$C$9="Yes"))),1,0)</f>
        <v/>
      </c>
      <c r="L2944">
        <f>IF(AND(H2944="",F2944="Attended"),1,0)</f>
        <v/>
      </c>
      <c r="M2944">
        <f>IF(AND(H2944="",OR(F2944="No-show",F2944="Late cancel")),1,0)</f>
        <v/>
      </c>
      <c r="N2944">
        <f>IF(AND(H2944="",F2944="",D2944&lt;&gt;"",I2944&gt;=TODAY()),ROUND((I2944+IF(ISNUMBER(C2944),MOD(C2944,1),0))*1440,0)*10000+ROW(),"")</f>
        <v/>
      </c>
    </row>
    <row r="2945">
      <c r="A2945" s="1" t="n"/>
      <c r="B2945" s="17" t="n"/>
      <c r="C2945" s="18" t="n"/>
      <c r="D2945" s="19" t="n"/>
      <c r="E2945" s="20" t="n"/>
      <c r="F2945" s="20" t="n"/>
      <c r="G2945" s="21" t="n"/>
      <c r="H2945" s="12">
        <f>IF(AND(B2945="",D2945="",F2945=""),"",IF(NOT(ISNUMBER(B2945)),"Needs a date",IF(D2945="","Needs a client",IF(COUNTIF(Clients!$B$6:$B$105,D2945)=0,"Not on Clients",IF(AND(F2945="",INT(B2945)&lt;TODAY()),"Needs a status","")))))</f>
        <v/>
      </c>
      <c r="I2945" s="1">
        <f>IF(ISNUMBER(B2945),INT(B2945),0)</f>
        <v/>
      </c>
      <c r="J2945">
        <f>IF(ISNUMBER(B2945),YEAR(B2945)*100+MONTH(B2945),"")</f>
        <v/>
      </c>
      <c r="K2945">
        <f>IF(AND(H2945="",OR(F2945="Attended",F2945="No-show",AND(F2945="Late cancel",Settings!$C$9="Yes"))),1,0)</f>
        <v/>
      </c>
      <c r="L2945">
        <f>IF(AND(H2945="",F2945="Attended"),1,0)</f>
        <v/>
      </c>
      <c r="M2945">
        <f>IF(AND(H2945="",OR(F2945="No-show",F2945="Late cancel")),1,0)</f>
        <v/>
      </c>
      <c r="N2945">
        <f>IF(AND(H2945="",F2945="",D2945&lt;&gt;"",I2945&gt;=TODAY()),ROUND((I2945+IF(ISNUMBER(C2945),MOD(C2945,1),0))*1440,0)*10000+ROW(),"")</f>
        <v/>
      </c>
    </row>
    <row r="2946">
      <c r="A2946" s="1" t="n"/>
      <c r="B2946" s="17" t="n"/>
      <c r="C2946" s="18" t="n"/>
      <c r="D2946" s="19" t="n"/>
      <c r="E2946" s="20" t="n"/>
      <c r="F2946" s="20" t="n"/>
      <c r="G2946" s="21" t="n"/>
      <c r="H2946" s="12">
        <f>IF(AND(B2946="",D2946="",F2946=""),"",IF(NOT(ISNUMBER(B2946)),"Needs a date",IF(D2946="","Needs a client",IF(COUNTIF(Clients!$B$6:$B$105,D2946)=0,"Not on Clients",IF(AND(F2946="",INT(B2946)&lt;TODAY()),"Needs a status","")))))</f>
        <v/>
      </c>
      <c r="I2946" s="1">
        <f>IF(ISNUMBER(B2946),INT(B2946),0)</f>
        <v/>
      </c>
      <c r="J2946">
        <f>IF(ISNUMBER(B2946),YEAR(B2946)*100+MONTH(B2946),"")</f>
        <v/>
      </c>
      <c r="K2946">
        <f>IF(AND(H2946="",OR(F2946="Attended",F2946="No-show",AND(F2946="Late cancel",Settings!$C$9="Yes"))),1,0)</f>
        <v/>
      </c>
      <c r="L2946">
        <f>IF(AND(H2946="",F2946="Attended"),1,0)</f>
        <v/>
      </c>
      <c r="M2946">
        <f>IF(AND(H2946="",OR(F2946="No-show",F2946="Late cancel")),1,0)</f>
        <v/>
      </c>
      <c r="N2946">
        <f>IF(AND(H2946="",F2946="",D2946&lt;&gt;"",I2946&gt;=TODAY()),ROUND((I2946+IF(ISNUMBER(C2946),MOD(C2946,1),0))*1440,0)*10000+ROW(),"")</f>
        <v/>
      </c>
    </row>
    <row r="2947">
      <c r="A2947" s="1" t="n"/>
      <c r="B2947" s="17" t="n"/>
      <c r="C2947" s="18" t="n"/>
      <c r="D2947" s="19" t="n"/>
      <c r="E2947" s="20" t="n"/>
      <c r="F2947" s="20" t="n"/>
      <c r="G2947" s="21" t="n"/>
      <c r="H2947" s="12">
        <f>IF(AND(B2947="",D2947="",F2947=""),"",IF(NOT(ISNUMBER(B2947)),"Needs a date",IF(D2947="","Needs a client",IF(COUNTIF(Clients!$B$6:$B$105,D2947)=0,"Not on Clients",IF(AND(F2947="",INT(B2947)&lt;TODAY()),"Needs a status","")))))</f>
        <v/>
      </c>
      <c r="I2947" s="1">
        <f>IF(ISNUMBER(B2947),INT(B2947),0)</f>
        <v/>
      </c>
      <c r="J2947">
        <f>IF(ISNUMBER(B2947),YEAR(B2947)*100+MONTH(B2947),"")</f>
        <v/>
      </c>
      <c r="K2947">
        <f>IF(AND(H2947="",OR(F2947="Attended",F2947="No-show",AND(F2947="Late cancel",Settings!$C$9="Yes"))),1,0)</f>
        <v/>
      </c>
      <c r="L2947">
        <f>IF(AND(H2947="",F2947="Attended"),1,0)</f>
        <v/>
      </c>
      <c r="M2947">
        <f>IF(AND(H2947="",OR(F2947="No-show",F2947="Late cancel")),1,0)</f>
        <v/>
      </c>
      <c r="N2947">
        <f>IF(AND(H2947="",F2947="",D2947&lt;&gt;"",I2947&gt;=TODAY()),ROUND((I2947+IF(ISNUMBER(C2947),MOD(C2947,1),0))*1440,0)*10000+ROW(),"")</f>
        <v/>
      </c>
    </row>
    <row r="2948">
      <c r="A2948" s="1" t="n"/>
      <c r="B2948" s="17" t="n"/>
      <c r="C2948" s="18" t="n"/>
      <c r="D2948" s="19" t="n"/>
      <c r="E2948" s="20" t="n"/>
      <c r="F2948" s="20" t="n"/>
      <c r="G2948" s="21" t="n"/>
      <c r="H2948" s="12">
        <f>IF(AND(B2948="",D2948="",F2948=""),"",IF(NOT(ISNUMBER(B2948)),"Needs a date",IF(D2948="","Needs a client",IF(COUNTIF(Clients!$B$6:$B$105,D2948)=0,"Not on Clients",IF(AND(F2948="",INT(B2948)&lt;TODAY()),"Needs a status","")))))</f>
        <v/>
      </c>
      <c r="I2948" s="1">
        <f>IF(ISNUMBER(B2948),INT(B2948),0)</f>
        <v/>
      </c>
      <c r="J2948">
        <f>IF(ISNUMBER(B2948),YEAR(B2948)*100+MONTH(B2948),"")</f>
        <v/>
      </c>
      <c r="K2948">
        <f>IF(AND(H2948="",OR(F2948="Attended",F2948="No-show",AND(F2948="Late cancel",Settings!$C$9="Yes"))),1,0)</f>
        <v/>
      </c>
      <c r="L2948">
        <f>IF(AND(H2948="",F2948="Attended"),1,0)</f>
        <v/>
      </c>
      <c r="M2948">
        <f>IF(AND(H2948="",OR(F2948="No-show",F2948="Late cancel")),1,0)</f>
        <v/>
      </c>
      <c r="N2948">
        <f>IF(AND(H2948="",F2948="",D2948&lt;&gt;"",I2948&gt;=TODAY()),ROUND((I2948+IF(ISNUMBER(C2948),MOD(C2948,1),0))*1440,0)*10000+ROW(),"")</f>
        <v/>
      </c>
    </row>
    <row r="2949">
      <c r="A2949" s="1" t="n"/>
      <c r="B2949" s="17" t="n"/>
      <c r="C2949" s="18" t="n"/>
      <c r="D2949" s="19" t="n"/>
      <c r="E2949" s="20" t="n"/>
      <c r="F2949" s="20" t="n"/>
      <c r="G2949" s="21" t="n"/>
      <c r="H2949" s="12">
        <f>IF(AND(B2949="",D2949="",F2949=""),"",IF(NOT(ISNUMBER(B2949)),"Needs a date",IF(D2949="","Needs a client",IF(COUNTIF(Clients!$B$6:$B$105,D2949)=0,"Not on Clients",IF(AND(F2949="",INT(B2949)&lt;TODAY()),"Needs a status","")))))</f>
        <v/>
      </c>
      <c r="I2949" s="1">
        <f>IF(ISNUMBER(B2949),INT(B2949),0)</f>
        <v/>
      </c>
      <c r="J2949">
        <f>IF(ISNUMBER(B2949),YEAR(B2949)*100+MONTH(B2949),"")</f>
        <v/>
      </c>
      <c r="K2949">
        <f>IF(AND(H2949="",OR(F2949="Attended",F2949="No-show",AND(F2949="Late cancel",Settings!$C$9="Yes"))),1,0)</f>
        <v/>
      </c>
      <c r="L2949">
        <f>IF(AND(H2949="",F2949="Attended"),1,0)</f>
        <v/>
      </c>
      <c r="M2949">
        <f>IF(AND(H2949="",OR(F2949="No-show",F2949="Late cancel")),1,0)</f>
        <v/>
      </c>
      <c r="N2949">
        <f>IF(AND(H2949="",F2949="",D2949&lt;&gt;"",I2949&gt;=TODAY()),ROUND((I2949+IF(ISNUMBER(C2949),MOD(C2949,1),0))*1440,0)*10000+ROW(),"")</f>
        <v/>
      </c>
    </row>
    <row r="2950">
      <c r="A2950" s="1" t="n"/>
      <c r="B2950" s="17" t="n"/>
      <c r="C2950" s="18" t="n"/>
      <c r="D2950" s="19" t="n"/>
      <c r="E2950" s="20" t="n"/>
      <c r="F2950" s="20" t="n"/>
      <c r="G2950" s="21" t="n"/>
      <c r="H2950" s="12">
        <f>IF(AND(B2950="",D2950="",F2950=""),"",IF(NOT(ISNUMBER(B2950)),"Needs a date",IF(D2950="","Needs a client",IF(COUNTIF(Clients!$B$6:$B$105,D2950)=0,"Not on Clients",IF(AND(F2950="",INT(B2950)&lt;TODAY()),"Needs a status","")))))</f>
        <v/>
      </c>
      <c r="I2950" s="1">
        <f>IF(ISNUMBER(B2950),INT(B2950),0)</f>
        <v/>
      </c>
      <c r="J2950">
        <f>IF(ISNUMBER(B2950),YEAR(B2950)*100+MONTH(B2950),"")</f>
        <v/>
      </c>
      <c r="K2950">
        <f>IF(AND(H2950="",OR(F2950="Attended",F2950="No-show",AND(F2950="Late cancel",Settings!$C$9="Yes"))),1,0)</f>
        <v/>
      </c>
      <c r="L2950">
        <f>IF(AND(H2950="",F2950="Attended"),1,0)</f>
        <v/>
      </c>
      <c r="M2950">
        <f>IF(AND(H2950="",OR(F2950="No-show",F2950="Late cancel")),1,0)</f>
        <v/>
      </c>
      <c r="N2950">
        <f>IF(AND(H2950="",F2950="",D2950&lt;&gt;"",I2950&gt;=TODAY()),ROUND((I2950+IF(ISNUMBER(C2950),MOD(C2950,1),0))*1440,0)*10000+ROW(),"")</f>
        <v/>
      </c>
    </row>
    <row r="2951">
      <c r="A2951" s="1" t="n"/>
      <c r="B2951" s="17" t="n"/>
      <c r="C2951" s="18" t="n"/>
      <c r="D2951" s="19" t="n"/>
      <c r="E2951" s="20" t="n"/>
      <c r="F2951" s="20" t="n"/>
      <c r="G2951" s="21" t="n"/>
      <c r="H2951" s="12">
        <f>IF(AND(B2951="",D2951="",F2951=""),"",IF(NOT(ISNUMBER(B2951)),"Needs a date",IF(D2951="","Needs a client",IF(COUNTIF(Clients!$B$6:$B$105,D2951)=0,"Not on Clients",IF(AND(F2951="",INT(B2951)&lt;TODAY()),"Needs a status","")))))</f>
        <v/>
      </c>
      <c r="I2951" s="1">
        <f>IF(ISNUMBER(B2951),INT(B2951),0)</f>
        <v/>
      </c>
      <c r="J2951">
        <f>IF(ISNUMBER(B2951),YEAR(B2951)*100+MONTH(B2951),"")</f>
        <v/>
      </c>
      <c r="K2951">
        <f>IF(AND(H2951="",OR(F2951="Attended",F2951="No-show",AND(F2951="Late cancel",Settings!$C$9="Yes"))),1,0)</f>
        <v/>
      </c>
      <c r="L2951">
        <f>IF(AND(H2951="",F2951="Attended"),1,0)</f>
        <v/>
      </c>
      <c r="M2951">
        <f>IF(AND(H2951="",OR(F2951="No-show",F2951="Late cancel")),1,0)</f>
        <v/>
      </c>
      <c r="N2951">
        <f>IF(AND(H2951="",F2951="",D2951&lt;&gt;"",I2951&gt;=TODAY()),ROUND((I2951+IF(ISNUMBER(C2951),MOD(C2951,1),0))*1440,0)*10000+ROW(),"")</f>
        <v/>
      </c>
    </row>
    <row r="2952">
      <c r="A2952" s="1" t="n"/>
      <c r="B2952" s="17" t="n"/>
      <c r="C2952" s="18" t="n"/>
      <c r="D2952" s="19" t="n"/>
      <c r="E2952" s="20" t="n"/>
      <c r="F2952" s="20" t="n"/>
      <c r="G2952" s="21" t="n"/>
      <c r="H2952" s="12">
        <f>IF(AND(B2952="",D2952="",F2952=""),"",IF(NOT(ISNUMBER(B2952)),"Needs a date",IF(D2952="","Needs a client",IF(COUNTIF(Clients!$B$6:$B$105,D2952)=0,"Not on Clients",IF(AND(F2952="",INT(B2952)&lt;TODAY()),"Needs a status","")))))</f>
        <v/>
      </c>
      <c r="I2952" s="1">
        <f>IF(ISNUMBER(B2952),INT(B2952),0)</f>
        <v/>
      </c>
      <c r="J2952">
        <f>IF(ISNUMBER(B2952),YEAR(B2952)*100+MONTH(B2952),"")</f>
        <v/>
      </c>
      <c r="K2952">
        <f>IF(AND(H2952="",OR(F2952="Attended",F2952="No-show",AND(F2952="Late cancel",Settings!$C$9="Yes"))),1,0)</f>
        <v/>
      </c>
      <c r="L2952">
        <f>IF(AND(H2952="",F2952="Attended"),1,0)</f>
        <v/>
      </c>
      <c r="M2952">
        <f>IF(AND(H2952="",OR(F2952="No-show",F2952="Late cancel")),1,0)</f>
        <v/>
      </c>
      <c r="N2952">
        <f>IF(AND(H2952="",F2952="",D2952&lt;&gt;"",I2952&gt;=TODAY()),ROUND((I2952+IF(ISNUMBER(C2952),MOD(C2952,1),0))*1440,0)*10000+ROW(),"")</f>
        <v/>
      </c>
    </row>
    <row r="2953">
      <c r="A2953" s="1" t="n"/>
      <c r="B2953" s="17" t="n"/>
      <c r="C2953" s="18" t="n"/>
      <c r="D2953" s="19" t="n"/>
      <c r="E2953" s="20" t="n"/>
      <c r="F2953" s="20" t="n"/>
      <c r="G2953" s="21" t="n"/>
      <c r="H2953" s="12">
        <f>IF(AND(B2953="",D2953="",F2953=""),"",IF(NOT(ISNUMBER(B2953)),"Needs a date",IF(D2953="","Needs a client",IF(COUNTIF(Clients!$B$6:$B$105,D2953)=0,"Not on Clients",IF(AND(F2953="",INT(B2953)&lt;TODAY()),"Needs a status","")))))</f>
        <v/>
      </c>
      <c r="I2953" s="1">
        <f>IF(ISNUMBER(B2953),INT(B2953),0)</f>
        <v/>
      </c>
      <c r="J2953">
        <f>IF(ISNUMBER(B2953),YEAR(B2953)*100+MONTH(B2953),"")</f>
        <v/>
      </c>
      <c r="K2953">
        <f>IF(AND(H2953="",OR(F2953="Attended",F2953="No-show",AND(F2953="Late cancel",Settings!$C$9="Yes"))),1,0)</f>
        <v/>
      </c>
      <c r="L2953">
        <f>IF(AND(H2953="",F2953="Attended"),1,0)</f>
        <v/>
      </c>
      <c r="M2953">
        <f>IF(AND(H2953="",OR(F2953="No-show",F2953="Late cancel")),1,0)</f>
        <v/>
      </c>
      <c r="N2953">
        <f>IF(AND(H2953="",F2953="",D2953&lt;&gt;"",I2953&gt;=TODAY()),ROUND((I2953+IF(ISNUMBER(C2953),MOD(C2953,1),0))*1440,0)*10000+ROW(),"")</f>
        <v/>
      </c>
    </row>
    <row r="2954">
      <c r="A2954" s="1" t="n"/>
      <c r="B2954" s="17" t="n"/>
      <c r="C2954" s="18" t="n"/>
      <c r="D2954" s="19" t="n"/>
      <c r="E2954" s="20" t="n"/>
      <c r="F2954" s="20" t="n"/>
      <c r="G2954" s="21" t="n"/>
      <c r="H2954" s="12">
        <f>IF(AND(B2954="",D2954="",F2954=""),"",IF(NOT(ISNUMBER(B2954)),"Needs a date",IF(D2954="","Needs a client",IF(COUNTIF(Clients!$B$6:$B$105,D2954)=0,"Not on Clients",IF(AND(F2954="",INT(B2954)&lt;TODAY()),"Needs a status","")))))</f>
        <v/>
      </c>
      <c r="I2954" s="1">
        <f>IF(ISNUMBER(B2954),INT(B2954),0)</f>
        <v/>
      </c>
      <c r="J2954">
        <f>IF(ISNUMBER(B2954),YEAR(B2954)*100+MONTH(B2954),"")</f>
        <v/>
      </c>
      <c r="K2954">
        <f>IF(AND(H2954="",OR(F2954="Attended",F2954="No-show",AND(F2954="Late cancel",Settings!$C$9="Yes"))),1,0)</f>
        <v/>
      </c>
      <c r="L2954">
        <f>IF(AND(H2954="",F2954="Attended"),1,0)</f>
        <v/>
      </c>
      <c r="M2954">
        <f>IF(AND(H2954="",OR(F2954="No-show",F2954="Late cancel")),1,0)</f>
        <v/>
      </c>
      <c r="N2954">
        <f>IF(AND(H2954="",F2954="",D2954&lt;&gt;"",I2954&gt;=TODAY()),ROUND((I2954+IF(ISNUMBER(C2954),MOD(C2954,1),0))*1440,0)*10000+ROW(),"")</f>
        <v/>
      </c>
    </row>
    <row r="2955">
      <c r="A2955" s="1" t="n"/>
      <c r="B2955" s="17" t="n"/>
      <c r="C2955" s="18" t="n"/>
      <c r="D2955" s="19" t="n"/>
      <c r="E2955" s="20" t="n"/>
      <c r="F2955" s="20" t="n"/>
      <c r="G2955" s="21" t="n"/>
      <c r="H2955" s="12">
        <f>IF(AND(B2955="",D2955="",F2955=""),"",IF(NOT(ISNUMBER(B2955)),"Needs a date",IF(D2955="","Needs a client",IF(COUNTIF(Clients!$B$6:$B$105,D2955)=0,"Not on Clients",IF(AND(F2955="",INT(B2955)&lt;TODAY()),"Needs a status","")))))</f>
        <v/>
      </c>
      <c r="I2955" s="1">
        <f>IF(ISNUMBER(B2955),INT(B2955),0)</f>
        <v/>
      </c>
      <c r="J2955">
        <f>IF(ISNUMBER(B2955),YEAR(B2955)*100+MONTH(B2955),"")</f>
        <v/>
      </c>
      <c r="K2955">
        <f>IF(AND(H2955="",OR(F2955="Attended",F2955="No-show",AND(F2955="Late cancel",Settings!$C$9="Yes"))),1,0)</f>
        <v/>
      </c>
      <c r="L2955">
        <f>IF(AND(H2955="",F2955="Attended"),1,0)</f>
        <v/>
      </c>
      <c r="M2955">
        <f>IF(AND(H2955="",OR(F2955="No-show",F2955="Late cancel")),1,0)</f>
        <v/>
      </c>
      <c r="N2955">
        <f>IF(AND(H2955="",F2955="",D2955&lt;&gt;"",I2955&gt;=TODAY()),ROUND((I2955+IF(ISNUMBER(C2955),MOD(C2955,1),0))*1440,0)*10000+ROW(),"")</f>
        <v/>
      </c>
    </row>
    <row r="2956">
      <c r="A2956" s="1" t="n"/>
      <c r="B2956" s="17" t="n"/>
      <c r="C2956" s="18" t="n"/>
      <c r="D2956" s="19" t="n"/>
      <c r="E2956" s="20" t="n"/>
      <c r="F2956" s="20" t="n"/>
      <c r="G2956" s="21" t="n"/>
      <c r="H2956" s="12">
        <f>IF(AND(B2956="",D2956="",F2956=""),"",IF(NOT(ISNUMBER(B2956)),"Needs a date",IF(D2956="","Needs a client",IF(COUNTIF(Clients!$B$6:$B$105,D2956)=0,"Not on Clients",IF(AND(F2956="",INT(B2956)&lt;TODAY()),"Needs a status","")))))</f>
        <v/>
      </c>
      <c r="I2956" s="1">
        <f>IF(ISNUMBER(B2956),INT(B2956),0)</f>
        <v/>
      </c>
      <c r="J2956">
        <f>IF(ISNUMBER(B2956),YEAR(B2956)*100+MONTH(B2956),"")</f>
        <v/>
      </c>
      <c r="K2956">
        <f>IF(AND(H2956="",OR(F2956="Attended",F2956="No-show",AND(F2956="Late cancel",Settings!$C$9="Yes"))),1,0)</f>
        <v/>
      </c>
      <c r="L2956">
        <f>IF(AND(H2956="",F2956="Attended"),1,0)</f>
        <v/>
      </c>
      <c r="M2956">
        <f>IF(AND(H2956="",OR(F2956="No-show",F2956="Late cancel")),1,0)</f>
        <v/>
      </c>
      <c r="N2956">
        <f>IF(AND(H2956="",F2956="",D2956&lt;&gt;"",I2956&gt;=TODAY()),ROUND((I2956+IF(ISNUMBER(C2956),MOD(C2956,1),0))*1440,0)*10000+ROW(),"")</f>
        <v/>
      </c>
    </row>
    <row r="2957">
      <c r="A2957" s="1" t="n"/>
      <c r="B2957" s="17" t="n"/>
      <c r="C2957" s="18" t="n"/>
      <c r="D2957" s="19" t="n"/>
      <c r="E2957" s="20" t="n"/>
      <c r="F2957" s="20" t="n"/>
      <c r="G2957" s="21" t="n"/>
      <c r="H2957" s="12">
        <f>IF(AND(B2957="",D2957="",F2957=""),"",IF(NOT(ISNUMBER(B2957)),"Needs a date",IF(D2957="","Needs a client",IF(COUNTIF(Clients!$B$6:$B$105,D2957)=0,"Not on Clients",IF(AND(F2957="",INT(B2957)&lt;TODAY()),"Needs a status","")))))</f>
        <v/>
      </c>
      <c r="I2957" s="1">
        <f>IF(ISNUMBER(B2957),INT(B2957),0)</f>
        <v/>
      </c>
      <c r="J2957">
        <f>IF(ISNUMBER(B2957),YEAR(B2957)*100+MONTH(B2957),"")</f>
        <v/>
      </c>
      <c r="K2957">
        <f>IF(AND(H2957="",OR(F2957="Attended",F2957="No-show",AND(F2957="Late cancel",Settings!$C$9="Yes"))),1,0)</f>
        <v/>
      </c>
      <c r="L2957">
        <f>IF(AND(H2957="",F2957="Attended"),1,0)</f>
        <v/>
      </c>
      <c r="M2957">
        <f>IF(AND(H2957="",OR(F2957="No-show",F2957="Late cancel")),1,0)</f>
        <v/>
      </c>
      <c r="N2957">
        <f>IF(AND(H2957="",F2957="",D2957&lt;&gt;"",I2957&gt;=TODAY()),ROUND((I2957+IF(ISNUMBER(C2957),MOD(C2957,1),0))*1440,0)*10000+ROW(),"")</f>
        <v/>
      </c>
    </row>
    <row r="2958">
      <c r="A2958" s="1" t="n"/>
      <c r="B2958" s="17" t="n"/>
      <c r="C2958" s="18" t="n"/>
      <c r="D2958" s="19" t="n"/>
      <c r="E2958" s="20" t="n"/>
      <c r="F2958" s="20" t="n"/>
      <c r="G2958" s="21" t="n"/>
      <c r="H2958" s="12">
        <f>IF(AND(B2958="",D2958="",F2958=""),"",IF(NOT(ISNUMBER(B2958)),"Needs a date",IF(D2958="","Needs a client",IF(COUNTIF(Clients!$B$6:$B$105,D2958)=0,"Not on Clients",IF(AND(F2958="",INT(B2958)&lt;TODAY()),"Needs a status","")))))</f>
        <v/>
      </c>
      <c r="I2958" s="1">
        <f>IF(ISNUMBER(B2958),INT(B2958),0)</f>
        <v/>
      </c>
      <c r="J2958">
        <f>IF(ISNUMBER(B2958),YEAR(B2958)*100+MONTH(B2958),"")</f>
        <v/>
      </c>
      <c r="K2958">
        <f>IF(AND(H2958="",OR(F2958="Attended",F2958="No-show",AND(F2958="Late cancel",Settings!$C$9="Yes"))),1,0)</f>
        <v/>
      </c>
      <c r="L2958">
        <f>IF(AND(H2958="",F2958="Attended"),1,0)</f>
        <v/>
      </c>
      <c r="M2958">
        <f>IF(AND(H2958="",OR(F2958="No-show",F2958="Late cancel")),1,0)</f>
        <v/>
      </c>
      <c r="N2958">
        <f>IF(AND(H2958="",F2958="",D2958&lt;&gt;"",I2958&gt;=TODAY()),ROUND((I2958+IF(ISNUMBER(C2958),MOD(C2958,1),0))*1440,0)*10000+ROW(),"")</f>
        <v/>
      </c>
    </row>
    <row r="2959">
      <c r="A2959" s="1" t="n"/>
      <c r="B2959" s="17" t="n"/>
      <c r="C2959" s="18" t="n"/>
      <c r="D2959" s="19" t="n"/>
      <c r="E2959" s="20" t="n"/>
      <c r="F2959" s="20" t="n"/>
      <c r="G2959" s="21" t="n"/>
      <c r="H2959" s="12">
        <f>IF(AND(B2959="",D2959="",F2959=""),"",IF(NOT(ISNUMBER(B2959)),"Needs a date",IF(D2959="","Needs a client",IF(COUNTIF(Clients!$B$6:$B$105,D2959)=0,"Not on Clients",IF(AND(F2959="",INT(B2959)&lt;TODAY()),"Needs a status","")))))</f>
        <v/>
      </c>
      <c r="I2959" s="1">
        <f>IF(ISNUMBER(B2959),INT(B2959),0)</f>
        <v/>
      </c>
      <c r="J2959">
        <f>IF(ISNUMBER(B2959),YEAR(B2959)*100+MONTH(B2959),"")</f>
        <v/>
      </c>
      <c r="K2959">
        <f>IF(AND(H2959="",OR(F2959="Attended",F2959="No-show",AND(F2959="Late cancel",Settings!$C$9="Yes"))),1,0)</f>
        <v/>
      </c>
      <c r="L2959">
        <f>IF(AND(H2959="",F2959="Attended"),1,0)</f>
        <v/>
      </c>
      <c r="M2959">
        <f>IF(AND(H2959="",OR(F2959="No-show",F2959="Late cancel")),1,0)</f>
        <v/>
      </c>
      <c r="N2959">
        <f>IF(AND(H2959="",F2959="",D2959&lt;&gt;"",I2959&gt;=TODAY()),ROUND((I2959+IF(ISNUMBER(C2959),MOD(C2959,1),0))*1440,0)*10000+ROW(),"")</f>
        <v/>
      </c>
    </row>
    <row r="2960">
      <c r="A2960" s="1" t="n"/>
      <c r="B2960" s="17" t="n"/>
      <c r="C2960" s="18" t="n"/>
      <c r="D2960" s="19" t="n"/>
      <c r="E2960" s="20" t="n"/>
      <c r="F2960" s="20" t="n"/>
      <c r="G2960" s="21" t="n"/>
      <c r="H2960" s="12">
        <f>IF(AND(B2960="",D2960="",F2960=""),"",IF(NOT(ISNUMBER(B2960)),"Needs a date",IF(D2960="","Needs a client",IF(COUNTIF(Clients!$B$6:$B$105,D2960)=0,"Not on Clients",IF(AND(F2960="",INT(B2960)&lt;TODAY()),"Needs a status","")))))</f>
        <v/>
      </c>
      <c r="I2960" s="1">
        <f>IF(ISNUMBER(B2960),INT(B2960),0)</f>
        <v/>
      </c>
      <c r="J2960">
        <f>IF(ISNUMBER(B2960),YEAR(B2960)*100+MONTH(B2960),"")</f>
        <v/>
      </c>
      <c r="K2960">
        <f>IF(AND(H2960="",OR(F2960="Attended",F2960="No-show",AND(F2960="Late cancel",Settings!$C$9="Yes"))),1,0)</f>
        <v/>
      </c>
      <c r="L2960">
        <f>IF(AND(H2960="",F2960="Attended"),1,0)</f>
        <v/>
      </c>
      <c r="M2960">
        <f>IF(AND(H2960="",OR(F2960="No-show",F2960="Late cancel")),1,0)</f>
        <v/>
      </c>
      <c r="N2960">
        <f>IF(AND(H2960="",F2960="",D2960&lt;&gt;"",I2960&gt;=TODAY()),ROUND((I2960+IF(ISNUMBER(C2960),MOD(C2960,1),0))*1440,0)*10000+ROW(),"")</f>
        <v/>
      </c>
    </row>
    <row r="2961">
      <c r="A2961" s="1" t="n"/>
      <c r="B2961" s="17" t="n"/>
      <c r="C2961" s="18" t="n"/>
      <c r="D2961" s="19" t="n"/>
      <c r="E2961" s="20" t="n"/>
      <c r="F2961" s="20" t="n"/>
      <c r="G2961" s="21" t="n"/>
      <c r="H2961" s="12">
        <f>IF(AND(B2961="",D2961="",F2961=""),"",IF(NOT(ISNUMBER(B2961)),"Needs a date",IF(D2961="","Needs a client",IF(COUNTIF(Clients!$B$6:$B$105,D2961)=0,"Not on Clients",IF(AND(F2961="",INT(B2961)&lt;TODAY()),"Needs a status","")))))</f>
        <v/>
      </c>
      <c r="I2961" s="1">
        <f>IF(ISNUMBER(B2961),INT(B2961),0)</f>
        <v/>
      </c>
      <c r="J2961">
        <f>IF(ISNUMBER(B2961),YEAR(B2961)*100+MONTH(B2961),"")</f>
        <v/>
      </c>
      <c r="K2961">
        <f>IF(AND(H2961="",OR(F2961="Attended",F2961="No-show",AND(F2961="Late cancel",Settings!$C$9="Yes"))),1,0)</f>
        <v/>
      </c>
      <c r="L2961">
        <f>IF(AND(H2961="",F2961="Attended"),1,0)</f>
        <v/>
      </c>
      <c r="M2961">
        <f>IF(AND(H2961="",OR(F2961="No-show",F2961="Late cancel")),1,0)</f>
        <v/>
      </c>
      <c r="N2961">
        <f>IF(AND(H2961="",F2961="",D2961&lt;&gt;"",I2961&gt;=TODAY()),ROUND((I2961+IF(ISNUMBER(C2961),MOD(C2961,1),0))*1440,0)*10000+ROW(),"")</f>
        <v/>
      </c>
    </row>
    <row r="2962">
      <c r="A2962" s="1" t="n"/>
      <c r="B2962" s="17" t="n"/>
      <c r="C2962" s="18" t="n"/>
      <c r="D2962" s="19" t="n"/>
      <c r="E2962" s="20" t="n"/>
      <c r="F2962" s="20" t="n"/>
      <c r="G2962" s="21" t="n"/>
      <c r="H2962" s="12">
        <f>IF(AND(B2962="",D2962="",F2962=""),"",IF(NOT(ISNUMBER(B2962)),"Needs a date",IF(D2962="","Needs a client",IF(COUNTIF(Clients!$B$6:$B$105,D2962)=0,"Not on Clients",IF(AND(F2962="",INT(B2962)&lt;TODAY()),"Needs a status","")))))</f>
        <v/>
      </c>
      <c r="I2962" s="1">
        <f>IF(ISNUMBER(B2962),INT(B2962),0)</f>
        <v/>
      </c>
      <c r="J2962">
        <f>IF(ISNUMBER(B2962),YEAR(B2962)*100+MONTH(B2962),"")</f>
        <v/>
      </c>
      <c r="K2962">
        <f>IF(AND(H2962="",OR(F2962="Attended",F2962="No-show",AND(F2962="Late cancel",Settings!$C$9="Yes"))),1,0)</f>
        <v/>
      </c>
      <c r="L2962">
        <f>IF(AND(H2962="",F2962="Attended"),1,0)</f>
        <v/>
      </c>
      <c r="M2962">
        <f>IF(AND(H2962="",OR(F2962="No-show",F2962="Late cancel")),1,0)</f>
        <v/>
      </c>
      <c r="N2962">
        <f>IF(AND(H2962="",F2962="",D2962&lt;&gt;"",I2962&gt;=TODAY()),ROUND((I2962+IF(ISNUMBER(C2962),MOD(C2962,1),0))*1440,0)*10000+ROW(),"")</f>
        <v/>
      </c>
    </row>
    <row r="2963">
      <c r="A2963" s="1" t="n"/>
      <c r="B2963" s="17" t="n"/>
      <c r="C2963" s="18" t="n"/>
      <c r="D2963" s="19" t="n"/>
      <c r="E2963" s="20" t="n"/>
      <c r="F2963" s="20" t="n"/>
      <c r="G2963" s="21" t="n"/>
      <c r="H2963" s="12">
        <f>IF(AND(B2963="",D2963="",F2963=""),"",IF(NOT(ISNUMBER(B2963)),"Needs a date",IF(D2963="","Needs a client",IF(COUNTIF(Clients!$B$6:$B$105,D2963)=0,"Not on Clients",IF(AND(F2963="",INT(B2963)&lt;TODAY()),"Needs a status","")))))</f>
        <v/>
      </c>
      <c r="I2963" s="1">
        <f>IF(ISNUMBER(B2963),INT(B2963),0)</f>
        <v/>
      </c>
      <c r="J2963">
        <f>IF(ISNUMBER(B2963),YEAR(B2963)*100+MONTH(B2963),"")</f>
        <v/>
      </c>
      <c r="K2963">
        <f>IF(AND(H2963="",OR(F2963="Attended",F2963="No-show",AND(F2963="Late cancel",Settings!$C$9="Yes"))),1,0)</f>
        <v/>
      </c>
      <c r="L2963">
        <f>IF(AND(H2963="",F2963="Attended"),1,0)</f>
        <v/>
      </c>
      <c r="M2963">
        <f>IF(AND(H2963="",OR(F2963="No-show",F2963="Late cancel")),1,0)</f>
        <v/>
      </c>
      <c r="N2963">
        <f>IF(AND(H2963="",F2963="",D2963&lt;&gt;"",I2963&gt;=TODAY()),ROUND((I2963+IF(ISNUMBER(C2963),MOD(C2963,1),0))*1440,0)*10000+ROW(),"")</f>
        <v/>
      </c>
    </row>
    <row r="2964">
      <c r="A2964" s="1" t="n"/>
      <c r="B2964" s="17" t="n"/>
      <c r="C2964" s="18" t="n"/>
      <c r="D2964" s="19" t="n"/>
      <c r="E2964" s="20" t="n"/>
      <c r="F2964" s="20" t="n"/>
      <c r="G2964" s="21" t="n"/>
      <c r="H2964" s="12">
        <f>IF(AND(B2964="",D2964="",F2964=""),"",IF(NOT(ISNUMBER(B2964)),"Needs a date",IF(D2964="","Needs a client",IF(COUNTIF(Clients!$B$6:$B$105,D2964)=0,"Not on Clients",IF(AND(F2964="",INT(B2964)&lt;TODAY()),"Needs a status","")))))</f>
        <v/>
      </c>
      <c r="I2964" s="1">
        <f>IF(ISNUMBER(B2964),INT(B2964),0)</f>
        <v/>
      </c>
      <c r="J2964">
        <f>IF(ISNUMBER(B2964),YEAR(B2964)*100+MONTH(B2964),"")</f>
        <v/>
      </c>
      <c r="K2964">
        <f>IF(AND(H2964="",OR(F2964="Attended",F2964="No-show",AND(F2964="Late cancel",Settings!$C$9="Yes"))),1,0)</f>
        <v/>
      </c>
      <c r="L2964">
        <f>IF(AND(H2964="",F2964="Attended"),1,0)</f>
        <v/>
      </c>
      <c r="M2964">
        <f>IF(AND(H2964="",OR(F2964="No-show",F2964="Late cancel")),1,0)</f>
        <v/>
      </c>
      <c r="N2964">
        <f>IF(AND(H2964="",F2964="",D2964&lt;&gt;"",I2964&gt;=TODAY()),ROUND((I2964+IF(ISNUMBER(C2964),MOD(C2964,1),0))*1440,0)*10000+ROW(),"")</f>
        <v/>
      </c>
    </row>
    <row r="2965">
      <c r="A2965" s="1" t="n"/>
      <c r="B2965" s="17" t="n"/>
      <c r="C2965" s="18" t="n"/>
      <c r="D2965" s="19" t="n"/>
      <c r="E2965" s="20" t="n"/>
      <c r="F2965" s="20" t="n"/>
      <c r="G2965" s="21" t="n"/>
      <c r="H2965" s="12">
        <f>IF(AND(B2965="",D2965="",F2965=""),"",IF(NOT(ISNUMBER(B2965)),"Needs a date",IF(D2965="","Needs a client",IF(COUNTIF(Clients!$B$6:$B$105,D2965)=0,"Not on Clients",IF(AND(F2965="",INT(B2965)&lt;TODAY()),"Needs a status","")))))</f>
        <v/>
      </c>
      <c r="I2965" s="1">
        <f>IF(ISNUMBER(B2965),INT(B2965),0)</f>
        <v/>
      </c>
      <c r="J2965">
        <f>IF(ISNUMBER(B2965),YEAR(B2965)*100+MONTH(B2965),"")</f>
        <v/>
      </c>
      <c r="K2965">
        <f>IF(AND(H2965="",OR(F2965="Attended",F2965="No-show",AND(F2965="Late cancel",Settings!$C$9="Yes"))),1,0)</f>
        <v/>
      </c>
      <c r="L2965">
        <f>IF(AND(H2965="",F2965="Attended"),1,0)</f>
        <v/>
      </c>
      <c r="M2965">
        <f>IF(AND(H2965="",OR(F2965="No-show",F2965="Late cancel")),1,0)</f>
        <v/>
      </c>
      <c r="N2965">
        <f>IF(AND(H2965="",F2965="",D2965&lt;&gt;"",I2965&gt;=TODAY()),ROUND((I2965+IF(ISNUMBER(C2965),MOD(C2965,1),0))*1440,0)*10000+ROW(),"")</f>
        <v/>
      </c>
    </row>
    <row r="2966">
      <c r="A2966" s="1" t="n"/>
      <c r="B2966" s="17" t="n"/>
      <c r="C2966" s="18" t="n"/>
      <c r="D2966" s="19" t="n"/>
      <c r="E2966" s="20" t="n"/>
      <c r="F2966" s="20" t="n"/>
      <c r="G2966" s="21" t="n"/>
      <c r="H2966" s="12">
        <f>IF(AND(B2966="",D2966="",F2966=""),"",IF(NOT(ISNUMBER(B2966)),"Needs a date",IF(D2966="","Needs a client",IF(COUNTIF(Clients!$B$6:$B$105,D2966)=0,"Not on Clients",IF(AND(F2966="",INT(B2966)&lt;TODAY()),"Needs a status","")))))</f>
        <v/>
      </c>
      <c r="I2966" s="1">
        <f>IF(ISNUMBER(B2966),INT(B2966),0)</f>
        <v/>
      </c>
      <c r="J2966">
        <f>IF(ISNUMBER(B2966),YEAR(B2966)*100+MONTH(B2966),"")</f>
        <v/>
      </c>
      <c r="K2966">
        <f>IF(AND(H2966="",OR(F2966="Attended",F2966="No-show",AND(F2966="Late cancel",Settings!$C$9="Yes"))),1,0)</f>
        <v/>
      </c>
      <c r="L2966">
        <f>IF(AND(H2966="",F2966="Attended"),1,0)</f>
        <v/>
      </c>
      <c r="M2966">
        <f>IF(AND(H2966="",OR(F2966="No-show",F2966="Late cancel")),1,0)</f>
        <v/>
      </c>
      <c r="N2966">
        <f>IF(AND(H2966="",F2966="",D2966&lt;&gt;"",I2966&gt;=TODAY()),ROUND((I2966+IF(ISNUMBER(C2966),MOD(C2966,1),0))*1440,0)*10000+ROW(),"")</f>
        <v/>
      </c>
    </row>
    <row r="2967">
      <c r="A2967" s="1" t="n"/>
      <c r="B2967" s="17" t="n"/>
      <c r="C2967" s="18" t="n"/>
      <c r="D2967" s="19" t="n"/>
      <c r="E2967" s="20" t="n"/>
      <c r="F2967" s="20" t="n"/>
      <c r="G2967" s="21" t="n"/>
      <c r="H2967" s="12">
        <f>IF(AND(B2967="",D2967="",F2967=""),"",IF(NOT(ISNUMBER(B2967)),"Needs a date",IF(D2967="","Needs a client",IF(COUNTIF(Clients!$B$6:$B$105,D2967)=0,"Not on Clients",IF(AND(F2967="",INT(B2967)&lt;TODAY()),"Needs a status","")))))</f>
        <v/>
      </c>
      <c r="I2967" s="1">
        <f>IF(ISNUMBER(B2967),INT(B2967),0)</f>
        <v/>
      </c>
      <c r="J2967">
        <f>IF(ISNUMBER(B2967),YEAR(B2967)*100+MONTH(B2967),"")</f>
        <v/>
      </c>
      <c r="K2967">
        <f>IF(AND(H2967="",OR(F2967="Attended",F2967="No-show",AND(F2967="Late cancel",Settings!$C$9="Yes"))),1,0)</f>
        <v/>
      </c>
      <c r="L2967">
        <f>IF(AND(H2967="",F2967="Attended"),1,0)</f>
        <v/>
      </c>
      <c r="M2967">
        <f>IF(AND(H2967="",OR(F2967="No-show",F2967="Late cancel")),1,0)</f>
        <v/>
      </c>
      <c r="N2967">
        <f>IF(AND(H2967="",F2967="",D2967&lt;&gt;"",I2967&gt;=TODAY()),ROUND((I2967+IF(ISNUMBER(C2967),MOD(C2967,1),0))*1440,0)*10000+ROW(),"")</f>
        <v/>
      </c>
    </row>
    <row r="2968">
      <c r="A2968" s="1" t="n"/>
      <c r="B2968" s="17" t="n"/>
      <c r="C2968" s="18" t="n"/>
      <c r="D2968" s="19" t="n"/>
      <c r="E2968" s="20" t="n"/>
      <c r="F2968" s="20" t="n"/>
      <c r="G2968" s="21" t="n"/>
      <c r="H2968" s="12">
        <f>IF(AND(B2968="",D2968="",F2968=""),"",IF(NOT(ISNUMBER(B2968)),"Needs a date",IF(D2968="","Needs a client",IF(COUNTIF(Clients!$B$6:$B$105,D2968)=0,"Not on Clients",IF(AND(F2968="",INT(B2968)&lt;TODAY()),"Needs a status","")))))</f>
        <v/>
      </c>
      <c r="I2968" s="1">
        <f>IF(ISNUMBER(B2968),INT(B2968),0)</f>
        <v/>
      </c>
      <c r="J2968">
        <f>IF(ISNUMBER(B2968),YEAR(B2968)*100+MONTH(B2968),"")</f>
        <v/>
      </c>
      <c r="K2968">
        <f>IF(AND(H2968="",OR(F2968="Attended",F2968="No-show",AND(F2968="Late cancel",Settings!$C$9="Yes"))),1,0)</f>
        <v/>
      </c>
      <c r="L2968">
        <f>IF(AND(H2968="",F2968="Attended"),1,0)</f>
        <v/>
      </c>
      <c r="M2968">
        <f>IF(AND(H2968="",OR(F2968="No-show",F2968="Late cancel")),1,0)</f>
        <v/>
      </c>
      <c r="N2968">
        <f>IF(AND(H2968="",F2968="",D2968&lt;&gt;"",I2968&gt;=TODAY()),ROUND((I2968+IF(ISNUMBER(C2968),MOD(C2968,1),0))*1440,0)*10000+ROW(),"")</f>
        <v/>
      </c>
    </row>
    <row r="2969">
      <c r="A2969" s="1" t="n"/>
      <c r="B2969" s="17" t="n"/>
      <c r="C2969" s="18" t="n"/>
      <c r="D2969" s="19" t="n"/>
      <c r="E2969" s="20" t="n"/>
      <c r="F2969" s="20" t="n"/>
      <c r="G2969" s="21" t="n"/>
      <c r="H2969" s="12">
        <f>IF(AND(B2969="",D2969="",F2969=""),"",IF(NOT(ISNUMBER(B2969)),"Needs a date",IF(D2969="","Needs a client",IF(COUNTIF(Clients!$B$6:$B$105,D2969)=0,"Not on Clients",IF(AND(F2969="",INT(B2969)&lt;TODAY()),"Needs a status","")))))</f>
        <v/>
      </c>
      <c r="I2969" s="1">
        <f>IF(ISNUMBER(B2969),INT(B2969),0)</f>
        <v/>
      </c>
      <c r="J2969">
        <f>IF(ISNUMBER(B2969),YEAR(B2969)*100+MONTH(B2969),"")</f>
        <v/>
      </c>
      <c r="K2969">
        <f>IF(AND(H2969="",OR(F2969="Attended",F2969="No-show",AND(F2969="Late cancel",Settings!$C$9="Yes"))),1,0)</f>
        <v/>
      </c>
      <c r="L2969">
        <f>IF(AND(H2969="",F2969="Attended"),1,0)</f>
        <v/>
      </c>
      <c r="M2969">
        <f>IF(AND(H2969="",OR(F2969="No-show",F2969="Late cancel")),1,0)</f>
        <v/>
      </c>
      <c r="N2969">
        <f>IF(AND(H2969="",F2969="",D2969&lt;&gt;"",I2969&gt;=TODAY()),ROUND((I2969+IF(ISNUMBER(C2969),MOD(C2969,1),0))*1440,0)*10000+ROW(),"")</f>
        <v/>
      </c>
    </row>
    <row r="2970">
      <c r="A2970" s="1" t="n"/>
      <c r="B2970" s="17" t="n"/>
      <c r="C2970" s="18" t="n"/>
      <c r="D2970" s="19" t="n"/>
      <c r="E2970" s="20" t="n"/>
      <c r="F2970" s="20" t="n"/>
      <c r="G2970" s="21" t="n"/>
      <c r="H2970" s="12">
        <f>IF(AND(B2970="",D2970="",F2970=""),"",IF(NOT(ISNUMBER(B2970)),"Needs a date",IF(D2970="","Needs a client",IF(COUNTIF(Clients!$B$6:$B$105,D2970)=0,"Not on Clients",IF(AND(F2970="",INT(B2970)&lt;TODAY()),"Needs a status","")))))</f>
        <v/>
      </c>
      <c r="I2970" s="1">
        <f>IF(ISNUMBER(B2970),INT(B2970),0)</f>
        <v/>
      </c>
      <c r="J2970">
        <f>IF(ISNUMBER(B2970),YEAR(B2970)*100+MONTH(B2970),"")</f>
        <v/>
      </c>
      <c r="K2970">
        <f>IF(AND(H2970="",OR(F2970="Attended",F2970="No-show",AND(F2970="Late cancel",Settings!$C$9="Yes"))),1,0)</f>
        <v/>
      </c>
      <c r="L2970">
        <f>IF(AND(H2970="",F2970="Attended"),1,0)</f>
        <v/>
      </c>
      <c r="M2970">
        <f>IF(AND(H2970="",OR(F2970="No-show",F2970="Late cancel")),1,0)</f>
        <v/>
      </c>
      <c r="N2970">
        <f>IF(AND(H2970="",F2970="",D2970&lt;&gt;"",I2970&gt;=TODAY()),ROUND((I2970+IF(ISNUMBER(C2970),MOD(C2970,1),0))*1440,0)*10000+ROW(),"")</f>
        <v/>
      </c>
    </row>
    <row r="2971">
      <c r="A2971" s="1" t="n"/>
      <c r="B2971" s="17" t="n"/>
      <c r="C2971" s="18" t="n"/>
      <c r="D2971" s="19" t="n"/>
      <c r="E2971" s="20" t="n"/>
      <c r="F2971" s="20" t="n"/>
      <c r="G2971" s="21" t="n"/>
      <c r="H2971" s="12">
        <f>IF(AND(B2971="",D2971="",F2971=""),"",IF(NOT(ISNUMBER(B2971)),"Needs a date",IF(D2971="","Needs a client",IF(COUNTIF(Clients!$B$6:$B$105,D2971)=0,"Not on Clients",IF(AND(F2971="",INT(B2971)&lt;TODAY()),"Needs a status","")))))</f>
        <v/>
      </c>
      <c r="I2971" s="1">
        <f>IF(ISNUMBER(B2971),INT(B2971),0)</f>
        <v/>
      </c>
      <c r="J2971">
        <f>IF(ISNUMBER(B2971),YEAR(B2971)*100+MONTH(B2971),"")</f>
        <v/>
      </c>
      <c r="K2971">
        <f>IF(AND(H2971="",OR(F2971="Attended",F2971="No-show",AND(F2971="Late cancel",Settings!$C$9="Yes"))),1,0)</f>
        <v/>
      </c>
      <c r="L2971">
        <f>IF(AND(H2971="",F2971="Attended"),1,0)</f>
        <v/>
      </c>
      <c r="M2971">
        <f>IF(AND(H2971="",OR(F2971="No-show",F2971="Late cancel")),1,0)</f>
        <v/>
      </c>
      <c r="N2971">
        <f>IF(AND(H2971="",F2971="",D2971&lt;&gt;"",I2971&gt;=TODAY()),ROUND((I2971+IF(ISNUMBER(C2971),MOD(C2971,1),0))*1440,0)*10000+ROW(),"")</f>
        <v/>
      </c>
    </row>
    <row r="2972">
      <c r="A2972" s="1" t="n"/>
      <c r="B2972" s="17" t="n"/>
      <c r="C2972" s="18" t="n"/>
      <c r="D2972" s="19" t="n"/>
      <c r="E2972" s="20" t="n"/>
      <c r="F2972" s="20" t="n"/>
      <c r="G2972" s="21" t="n"/>
      <c r="H2972" s="12">
        <f>IF(AND(B2972="",D2972="",F2972=""),"",IF(NOT(ISNUMBER(B2972)),"Needs a date",IF(D2972="","Needs a client",IF(COUNTIF(Clients!$B$6:$B$105,D2972)=0,"Not on Clients",IF(AND(F2972="",INT(B2972)&lt;TODAY()),"Needs a status","")))))</f>
        <v/>
      </c>
      <c r="I2972" s="1">
        <f>IF(ISNUMBER(B2972),INT(B2972),0)</f>
        <v/>
      </c>
      <c r="J2972">
        <f>IF(ISNUMBER(B2972),YEAR(B2972)*100+MONTH(B2972),"")</f>
        <v/>
      </c>
      <c r="K2972">
        <f>IF(AND(H2972="",OR(F2972="Attended",F2972="No-show",AND(F2972="Late cancel",Settings!$C$9="Yes"))),1,0)</f>
        <v/>
      </c>
      <c r="L2972">
        <f>IF(AND(H2972="",F2972="Attended"),1,0)</f>
        <v/>
      </c>
      <c r="M2972">
        <f>IF(AND(H2972="",OR(F2972="No-show",F2972="Late cancel")),1,0)</f>
        <v/>
      </c>
      <c r="N2972">
        <f>IF(AND(H2972="",F2972="",D2972&lt;&gt;"",I2972&gt;=TODAY()),ROUND((I2972+IF(ISNUMBER(C2972),MOD(C2972,1),0))*1440,0)*10000+ROW(),"")</f>
        <v/>
      </c>
    </row>
    <row r="2973">
      <c r="A2973" s="1" t="n"/>
      <c r="B2973" s="17" t="n"/>
      <c r="C2973" s="18" t="n"/>
      <c r="D2973" s="19" t="n"/>
      <c r="E2973" s="20" t="n"/>
      <c r="F2973" s="20" t="n"/>
      <c r="G2973" s="21" t="n"/>
      <c r="H2973" s="12">
        <f>IF(AND(B2973="",D2973="",F2973=""),"",IF(NOT(ISNUMBER(B2973)),"Needs a date",IF(D2973="","Needs a client",IF(COUNTIF(Clients!$B$6:$B$105,D2973)=0,"Not on Clients",IF(AND(F2973="",INT(B2973)&lt;TODAY()),"Needs a status","")))))</f>
        <v/>
      </c>
      <c r="I2973" s="1">
        <f>IF(ISNUMBER(B2973),INT(B2973),0)</f>
        <v/>
      </c>
      <c r="J2973">
        <f>IF(ISNUMBER(B2973),YEAR(B2973)*100+MONTH(B2973),"")</f>
        <v/>
      </c>
      <c r="K2973">
        <f>IF(AND(H2973="",OR(F2973="Attended",F2973="No-show",AND(F2973="Late cancel",Settings!$C$9="Yes"))),1,0)</f>
        <v/>
      </c>
      <c r="L2973">
        <f>IF(AND(H2973="",F2973="Attended"),1,0)</f>
        <v/>
      </c>
      <c r="M2973">
        <f>IF(AND(H2973="",OR(F2973="No-show",F2973="Late cancel")),1,0)</f>
        <v/>
      </c>
      <c r="N2973">
        <f>IF(AND(H2973="",F2973="",D2973&lt;&gt;"",I2973&gt;=TODAY()),ROUND((I2973+IF(ISNUMBER(C2973),MOD(C2973,1),0))*1440,0)*10000+ROW(),"")</f>
        <v/>
      </c>
    </row>
    <row r="2974">
      <c r="A2974" s="1" t="n"/>
      <c r="B2974" s="17" t="n"/>
      <c r="C2974" s="18" t="n"/>
      <c r="D2974" s="19" t="n"/>
      <c r="E2974" s="20" t="n"/>
      <c r="F2974" s="20" t="n"/>
      <c r="G2974" s="21" t="n"/>
      <c r="H2974" s="12">
        <f>IF(AND(B2974="",D2974="",F2974=""),"",IF(NOT(ISNUMBER(B2974)),"Needs a date",IF(D2974="","Needs a client",IF(COUNTIF(Clients!$B$6:$B$105,D2974)=0,"Not on Clients",IF(AND(F2974="",INT(B2974)&lt;TODAY()),"Needs a status","")))))</f>
        <v/>
      </c>
      <c r="I2974" s="1">
        <f>IF(ISNUMBER(B2974),INT(B2974),0)</f>
        <v/>
      </c>
      <c r="J2974">
        <f>IF(ISNUMBER(B2974),YEAR(B2974)*100+MONTH(B2974),"")</f>
        <v/>
      </c>
      <c r="K2974">
        <f>IF(AND(H2974="",OR(F2974="Attended",F2974="No-show",AND(F2974="Late cancel",Settings!$C$9="Yes"))),1,0)</f>
        <v/>
      </c>
      <c r="L2974">
        <f>IF(AND(H2974="",F2974="Attended"),1,0)</f>
        <v/>
      </c>
      <c r="M2974">
        <f>IF(AND(H2974="",OR(F2974="No-show",F2974="Late cancel")),1,0)</f>
        <v/>
      </c>
      <c r="N2974">
        <f>IF(AND(H2974="",F2974="",D2974&lt;&gt;"",I2974&gt;=TODAY()),ROUND((I2974+IF(ISNUMBER(C2974),MOD(C2974,1),0))*1440,0)*10000+ROW(),"")</f>
        <v/>
      </c>
    </row>
    <row r="2975">
      <c r="A2975" s="1" t="n"/>
      <c r="B2975" s="17" t="n"/>
      <c r="C2975" s="18" t="n"/>
      <c r="D2975" s="19" t="n"/>
      <c r="E2975" s="20" t="n"/>
      <c r="F2975" s="20" t="n"/>
      <c r="G2975" s="21" t="n"/>
      <c r="H2975" s="12">
        <f>IF(AND(B2975="",D2975="",F2975=""),"",IF(NOT(ISNUMBER(B2975)),"Needs a date",IF(D2975="","Needs a client",IF(COUNTIF(Clients!$B$6:$B$105,D2975)=0,"Not on Clients",IF(AND(F2975="",INT(B2975)&lt;TODAY()),"Needs a status","")))))</f>
        <v/>
      </c>
      <c r="I2975" s="1">
        <f>IF(ISNUMBER(B2975),INT(B2975),0)</f>
        <v/>
      </c>
      <c r="J2975">
        <f>IF(ISNUMBER(B2975),YEAR(B2975)*100+MONTH(B2975),"")</f>
        <v/>
      </c>
      <c r="K2975">
        <f>IF(AND(H2975="",OR(F2975="Attended",F2975="No-show",AND(F2975="Late cancel",Settings!$C$9="Yes"))),1,0)</f>
        <v/>
      </c>
      <c r="L2975">
        <f>IF(AND(H2975="",F2975="Attended"),1,0)</f>
        <v/>
      </c>
      <c r="M2975">
        <f>IF(AND(H2975="",OR(F2975="No-show",F2975="Late cancel")),1,0)</f>
        <v/>
      </c>
      <c r="N2975">
        <f>IF(AND(H2975="",F2975="",D2975&lt;&gt;"",I2975&gt;=TODAY()),ROUND((I2975+IF(ISNUMBER(C2975),MOD(C2975,1),0))*1440,0)*10000+ROW(),"")</f>
        <v/>
      </c>
    </row>
    <row r="2976">
      <c r="A2976" s="1" t="n"/>
      <c r="B2976" s="17" t="n"/>
      <c r="C2976" s="18" t="n"/>
      <c r="D2976" s="19" t="n"/>
      <c r="E2976" s="20" t="n"/>
      <c r="F2976" s="20" t="n"/>
      <c r="G2976" s="21" t="n"/>
      <c r="H2976" s="12">
        <f>IF(AND(B2976="",D2976="",F2976=""),"",IF(NOT(ISNUMBER(B2976)),"Needs a date",IF(D2976="","Needs a client",IF(COUNTIF(Clients!$B$6:$B$105,D2976)=0,"Not on Clients",IF(AND(F2976="",INT(B2976)&lt;TODAY()),"Needs a status","")))))</f>
        <v/>
      </c>
      <c r="I2976" s="1">
        <f>IF(ISNUMBER(B2976),INT(B2976),0)</f>
        <v/>
      </c>
      <c r="J2976">
        <f>IF(ISNUMBER(B2976),YEAR(B2976)*100+MONTH(B2976),"")</f>
        <v/>
      </c>
      <c r="K2976">
        <f>IF(AND(H2976="",OR(F2976="Attended",F2976="No-show",AND(F2976="Late cancel",Settings!$C$9="Yes"))),1,0)</f>
        <v/>
      </c>
      <c r="L2976">
        <f>IF(AND(H2976="",F2976="Attended"),1,0)</f>
        <v/>
      </c>
      <c r="M2976">
        <f>IF(AND(H2976="",OR(F2976="No-show",F2976="Late cancel")),1,0)</f>
        <v/>
      </c>
      <c r="N2976">
        <f>IF(AND(H2976="",F2976="",D2976&lt;&gt;"",I2976&gt;=TODAY()),ROUND((I2976+IF(ISNUMBER(C2976),MOD(C2976,1),0))*1440,0)*10000+ROW(),"")</f>
        <v/>
      </c>
    </row>
    <row r="2977">
      <c r="A2977" s="1" t="n"/>
      <c r="B2977" s="17" t="n"/>
      <c r="C2977" s="18" t="n"/>
      <c r="D2977" s="19" t="n"/>
      <c r="E2977" s="20" t="n"/>
      <c r="F2977" s="20" t="n"/>
      <c r="G2977" s="21" t="n"/>
      <c r="H2977" s="12">
        <f>IF(AND(B2977="",D2977="",F2977=""),"",IF(NOT(ISNUMBER(B2977)),"Needs a date",IF(D2977="","Needs a client",IF(COUNTIF(Clients!$B$6:$B$105,D2977)=0,"Not on Clients",IF(AND(F2977="",INT(B2977)&lt;TODAY()),"Needs a status","")))))</f>
        <v/>
      </c>
      <c r="I2977" s="1">
        <f>IF(ISNUMBER(B2977),INT(B2977),0)</f>
        <v/>
      </c>
      <c r="J2977">
        <f>IF(ISNUMBER(B2977),YEAR(B2977)*100+MONTH(B2977),"")</f>
        <v/>
      </c>
      <c r="K2977">
        <f>IF(AND(H2977="",OR(F2977="Attended",F2977="No-show",AND(F2977="Late cancel",Settings!$C$9="Yes"))),1,0)</f>
        <v/>
      </c>
      <c r="L2977">
        <f>IF(AND(H2977="",F2977="Attended"),1,0)</f>
        <v/>
      </c>
      <c r="M2977">
        <f>IF(AND(H2977="",OR(F2977="No-show",F2977="Late cancel")),1,0)</f>
        <v/>
      </c>
      <c r="N2977">
        <f>IF(AND(H2977="",F2977="",D2977&lt;&gt;"",I2977&gt;=TODAY()),ROUND((I2977+IF(ISNUMBER(C2977),MOD(C2977,1),0))*1440,0)*10000+ROW(),"")</f>
        <v/>
      </c>
    </row>
    <row r="2978">
      <c r="A2978" s="1" t="n"/>
      <c r="B2978" s="17" t="n"/>
      <c r="C2978" s="18" t="n"/>
      <c r="D2978" s="19" t="n"/>
      <c r="E2978" s="20" t="n"/>
      <c r="F2978" s="20" t="n"/>
      <c r="G2978" s="21" t="n"/>
      <c r="H2978" s="12">
        <f>IF(AND(B2978="",D2978="",F2978=""),"",IF(NOT(ISNUMBER(B2978)),"Needs a date",IF(D2978="","Needs a client",IF(COUNTIF(Clients!$B$6:$B$105,D2978)=0,"Not on Clients",IF(AND(F2978="",INT(B2978)&lt;TODAY()),"Needs a status","")))))</f>
        <v/>
      </c>
      <c r="I2978" s="1">
        <f>IF(ISNUMBER(B2978),INT(B2978),0)</f>
        <v/>
      </c>
      <c r="J2978">
        <f>IF(ISNUMBER(B2978),YEAR(B2978)*100+MONTH(B2978),"")</f>
        <v/>
      </c>
      <c r="K2978">
        <f>IF(AND(H2978="",OR(F2978="Attended",F2978="No-show",AND(F2978="Late cancel",Settings!$C$9="Yes"))),1,0)</f>
        <v/>
      </c>
      <c r="L2978">
        <f>IF(AND(H2978="",F2978="Attended"),1,0)</f>
        <v/>
      </c>
      <c r="M2978">
        <f>IF(AND(H2978="",OR(F2978="No-show",F2978="Late cancel")),1,0)</f>
        <v/>
      </c>
      <c r="N2978">
        <f>IF(AND(H2978="",F2978="",D2978&lt;&gt;"",I2978&gt;=TODAY()),ROUND((I2978+IF(ISNUMBER(C2978),MOD(C2978,1),0))*1440,0)*10000+ROW(),"")</f>
        <v/>
      </c>
    </row>
    <row r="2979">
      <c r="A2979" s="1" t="n"/>
      <c r="B2979" s="17" t="n"/>
      <c r="C2979" s="18" t="n"/>
      <c r="D2979" s="19" t="n"/>
      <c r="E2979" s="20" t="n"/>
      <c r="F2979" s="20" t="n"/>
      <c r="G2979" s="21" t="n"/>
      <c r="H2979" s="12">
        <f>IF(AND(B2979="",D2979="",F2979=""),"",IF(NOT(ISNUMBER(B2979)),"Needs a date",IF(D2979="","Needs a client",IF(COUNTIF(Clients!$B$6:$B$105,D2979)=0,"Not on Clients",IF(AND(F2979="",INT(B2979)&lt;TODAY()),"Needs a status","")))))</f>
        <v/>
      </c>
      <c r="I2979" s="1">
        <f>IF(ISNUMBER(B2979),INT(B2979),0)</f>
        <v/>
      </c>
      <c r="J2979">
        <f>IF(ISNUMBER(B2979),YEAR(B2979)*100+MONTH(B2979),"")</f>
        <v/>
      </c>
      <c r="K2979">
        <f>IF(AND(H2979="",OR(F2979="Attended",F2979="No-show",AND(F2979="Late cancel",Settings!$C$9="Yes"))),1,0)</f>
        <v/>
      </c>
      <c r="L2979">
        <f>IF(AND(H2979="",F2979="Attended"),1,0)</f>
        <v/>
      </c>
      <c r="M2979">
        <f>IF(AND(H2979="",OR(F2979="No-show",F2979="Late cancel")),1,0)</f>
        <v/>
      </c>
      <c r="N2979">
        <f>IF(AND(H2979="",F2979="",D2979&lt;&gt;"",I2979&gt;=TODAY()),ROUND((I2979+IF(ISNUMBER(C2979),MOD(C2979,1),0))*1440,0)*10000+ROW(),"")</f>
        <v/>
      </c>
    </row>
    <row r="2980">
      <c r="A2980" s="1" t="n"/>
      <c r="B2980" s="17" t="n"/>
      <c r="C2980" s="18" t="n"/>
      <c r="D2980" s="19" t="n"/>
      <c r="E2980" s="20" t="n"/>
      <c r="F2980" s="20" t="n"/>
      <c r="G2980" s="21" t="n"/>
      <c r="H2980" s="12">
        <f>IF(AND(B2980="",D2980="",F2980=""),"",IF(NOT(ISNUMBER(B2980)),"Needs a date",IF(D2980="","Needs a client",IF(COUNTIF(Clients!$B$6:$B$105,D2980)=0,"Not on Clients",IF(AND(F2980="",INT(B2980)&lt;TODAY()),"Needs a status","")))))</f>
        <v/>
      </c>
      <c r="I2980" s="1">
        <f>IF(ISNUMBER(B2980),INT(B2980),0)</f>
        <v/>
      </c>
      <c r="J2980">
        <f>IF(ISNUMBER(B2980),YEAR(B2980)*100+MONTH(B2980),"")</f>
        <v/>
      </c>
      <c r="K2980">
        <f>IF(AND(H2980="",OR(F2980="Attended",F2980="No-show",AND(F2980="Late cancel",Settings!$C$9="Yes"))),1,0)</f>
        <v/>
      </c>
      <c r="L2980">
        <f>IF(AND(H2980="",F2980="Attended"),1,0)</f>
        <v/>
      </c>
      <c r="M2980">
        <f>IF(AND(H2980="",OR(F2980="No-show",F2980="Late cancel")),1,0)</f>
        <v/>
      </c>
      <c r="N2980">
        <f>IF(AND(H2980="",F2980="",D2980&lt;&gt;"",I2980&gt;=TODAY()),ROUND((I2980+IF(ISNUMBER(C2980),MOD(C2980,1),0))*1440,0)*10000+ROW(),"")</f>
        <v/>
      </c>
    </row>
    <row r="2981">
      <c r="A2981" s="1" t="n"/>
      <c r="B2981" s="17" t="n"/>
      <c r="C2981" s="18" t="n"/>
      <c r="D2981" s="19" t="n"/>
      <c r="E2981" s="20" t="n"/>
      <c r="F2981" s="20" t="n"/>
      <c r="G2981" s="21" t="n"/>
      <c r="H2981" s="12">
        <f>IF(AND(B2981="",D2981="",F2981=""),"",IF(NOT(ISNUMBER(B2981)),"Needs a date",IF(D2981="","Needs a client",IF(COUNTIF(Clients!$B$6:$B$105,D2981)=0,"Not on Clients",IF(AND(F2981="",INT(B2981)&lt;TODAY()),"Needs a status","")))))</f>
        <v/>
      </c>
      <c r="I2981" s="1">
        <f>IF(ISNUMBER(B2981),INT(B2981),0)</f>
        <v/>
      </c>
      <c r="J2981">
        <f>IF(ISNUMBER(B2981),YEAR(B2981)*100+MONTH(B2981),"")</f>
        <v/>
      </c>
      <c r="K2981">
        <f>IF(AND(H2981="",OR(F2981="Attended",F2981="No-show",AND(F2981="Late cancel",Settings!$C$9="Yes"))),1,0)</f>
        <v/>
      </c>
      <c r="L2981">
        <f>IF(AND(H2981="",F2981="Attended"),1,0)</f>
        <v/>
      </c>
      <c r="M2981">
        <f>IF(AND(H2981="",OR(F2981="No-show",F2981="Late cancel")),1,0)</f>
        <v/>
      </c>
      <c r="N2981">
        <f>IF(AND(H2981="",F2981="",D2981&lt;&gt;"",I2981&gt;=TODAY()),ROUND((I2981+IF(ISNUMBER(C2981),MOD(C2981,1),0))*1440,0)*10000+ROW(),"")</f>
        <v/>
      </c>
    </row>
    <row r="2982">
      <c r="A2982" s="1" t="n"/>
      <c r="B2982" s="17" t="n"/>
      <c r="C2982" s="18" t="n"/>
      <c r="D2982" s="19" t="n"/>
      <c r="E2982" s="20" t="n"/>
      <c r="F2982" s="20" t="n"/>
      <c r="G2982" s="21" t="n"/>
      <c r="H2982" s="12">
        <f>IF(AND(B2982="",D2982="",F2982=""),"",IF(NOT(ISNUMBER(B2982)),"Needs a date",IF(D2982="","Needs a client",IF(COUNTIF(Clients!$B$6:$B$105,D2982)=0,"Not on Clients",IF(AND(F2982="",INT(B2982)&lt;TODAY()),"Needs a status","")))))</f>
        <v/>
      </c>
      <c r="I2982" s="1">
        <f>IF(ISNUMBER(B2982),INT(B2982),0)</f>
        <v/>
      </c>
      <c r="J2982">
        <f>IF(ISNUMBER(B2982),YEAR(B2982)*100+MONTH(B2982),"")</f>
        <v/>
      </c>
      <c r="K2982">
        <f>IF(AND(H2982="",OR(F2982="Attended",F2982="No-show",AND(F2982="Late cancel",Settings!$C$9="Yes"))),1,0)</f>
        <v/>
      </c>
      <c r="L2982">
        <f>IF(AND(H2982="",F2982="Attended"),1,0)</f>
        <v/>
      </c>
      <c r="M2982">
        <f>IF(AND(H2982="",OR(F2982="No-show",F2982="Late cancel")),1,0)</f>
        <v/>
      </c>
      <c r="N2982">
        <f>IF(AND(H2982="",F2982="",D2982&lt;&gt;"",I2982&gt;=TODAY()),ROUND((I2982+IF(ISNUMBER(C2982),MOD(C2982,1),0))*1440,0)*10000+ROW(),"")</f>
        <v/>
      </c>
    </row>
    <row r="2983">
      <c r="A2983" s="1" t="n"/>
      <c r="B2983" s="17" t="n"/>
      <c r="C2983" s="18" t="n"/>
      <c r="D2983" s="19" t="n"/>
      <c r="E2983" s="20" t="n"/>
      <c r="F2983" s="20" t="n"/>
      <c r="G2983" s="21" t="n"/>
      <c r="H2983" s="12">
        <f>IF(AND(B2983="",D2983="",F2983=""),"",IF(NOT(ISNUMBER(B2983)),"Needs a date",IF(D2983="","Needs a client",IF(COUNTIF(Clients!$B$6:$B$105,D2983)=0,"Not on Clients",IF(AND(F2983="",INT(B2983)&lt;TODAY()),"Needs a status","")))))</f>
        <v/>
      </c>
      <c r="I2983" s="1">
        <f>IF(ISNUMBER(B2983),INT(B2983),0)</f>
        <v/>
      </c>
      <c r="J2983">
        <f>IF(ISNUMBER(B2983),YEAR(B2983)*100+MONTH(B2983),"")</f>
        <v/>
      </c>
      <c r="K2983">
        <f>IF(AND(H2983="",OR(F2983="Attended",F2983="No-show",AND(F2983="Late cancel",Settings!$C$9="Yes"))),1,0)</f>
        <v/>
      </c>
      <c r="L2983">
        <f>IF(AND(H2983="",F2983="Attended"),1,0)</f>
        <v/>
      </c>
      <c r="M2983">
        <f>IF(AND(H2983="",OR(F2983="No-show",F2983="Late cancel")),1,0)</f>
        <v/>
      </c>
      <c r="N2983">
        <f>IF(AND(H2983="",F2983="",D2983&lt;&gt;"",I2983&gt;=TODAY()),ROUND((I2983+IF(ISNUMBER(C2983),MOD(C2983,1),0))*1440,0)*10000+ROW(),"")</f>
        <v/>
      </c>
    </row>
    <row r="2984">
      <c r="A2984" s="1" t="n"/>
      <c r="B2984" s="17" t="n"/>
      <c r="C2984" s="18" t="n"/>
      <c r="D2984" s="19" t="n"/>
      <c r="E2984" s="20" t="n"/>
      <c r="F2984" s="20" t="n"/>
      <c r="G2984" s="21" t="n"/>
      <c r="H2984" s="12">
        <f>IF(AND(B2984="",D2984="",F2984=""),"",IF(NOT(ISNUMBER(B2984)),"Needs a date",IF(D2984="","Needs a client",IF(COUNTIF(Clients!$B$6:$B$105,D2984)=0,"Not on Clients",IF(AND(F2984="",INT(B2984)&lt;TODAY()),"Needs a status","")))))</f>
        <v/>
      </c>
      <c r="I2984" s="1">
        <f>IF(ISNUMBER(B2984),INT(B2984),0)</f>
        <v/>
      </c>
      <c r="J2984">
        <f>IF(ISNUMBER(B2984),YEAR(B2984)*100+MONTH(B2984),"")</f>
        <v/>
      </c>
      <c r="K2984">
        <f>IF(AND(H2984="",OR(F2984="Attended",F2984="No-show",AND(F2984="Late cancel",Settings!$C$9="Yes"))),1,0)</f>
        <v/>
      </c>
      <c r="L2984">
        <f>IF(AND(H2984="",F2984="Attended"),1,0)</f>
        <v/>
      </c>
      <c r="M2984">
        <f>IF(AND(H2984="",OR(F2984="No-show",F2984="Late cancel")),1,0)</f>
        <v/>
      </c>
      <c r="N2984">
        <f>IF(AND(H2984="",F2984="",D2984&lt;&gt;"",I2984&gt;=TODAY()),ROUND((I2984+IF(ISNUMBER(C2984),MOD(C2984,1),0))*1440,0)*10000+ROW(),"")</f>
        <v/>
      </c>
    </row>
    <row r="2985">
      <c r="A2985" s="1" t="n"/>
      <c r="B2985" s="17" t="n"/>
      <c r="C2985" s="18" t="n"/>
      <c r="D2985" s="19" t="n"/>
      <c r="E2985" s="20" t="n"/>
      <c r="F2985" s="20" t="n"/>
      <c r="G2985" s="21" t="n"/>
      <c r="H2985" s="12">
        <f>IF(AND(B2985="",D2985="",F2985=""),"",IF(NOT(ISNUMBER(B2985)),"Needs a date",IF(D2985="","Needs a client",IF(COUNTIF(Clients!$B$6:$B$105,D2985)=0,"Not on Clients",IF(AND(F2985="",INT(B2985)&lt;TODAY()),"Needs a status","")))))</f>
        <v/>
      </c>
      <c r="I2985" s="1">
        <f>IF(ISNUMBER(B2985),INT(B2985),0)</f>
        <v/>
      </c>
      <c r="J2985">
        <f>IF(ISNUMBER(B2985),YEAR(B2985)*100+MONTH(B2985),"")</f>
        <v/>
      </c>
      <c r="K2985">
        <f>IF(AND(H2985="",OR(F2985="Attended",F2985="No-show",AND(F2985="Late cancel",Settings!$C$9="Yes"))),1,0)</f>
        <v/>
      </c>
      <c r="L2985">
        <f>IF(AND(H2985="",F2985="Attended"),1,0)</f>
        <v/>
      </c>
      <c r="M2985">
        <f>IF(AND(H2985="",OR(F2985="No-show",F2985="Late cancel")),1,0)</f>
        <v/>
      </c>
      <c r="N2985">
        <f>IF(AND(H2985="",F2985="",D2985&lt;&gt;"",I2985&gt;=TODAY()),ROUND((I2985+IF(ISNUMBER(C2985),MOD(C2985,1),0))*1440,0)*10000+ROW(),"")</f>
        <v/>
      </c>
    </row>
    <row r="2986">
      <c r="A2986" s="1" t="n"/>
      <c r="B2986" s="17" t="n"/>
      <c r="C2986" s="18" t="n"/>
      <c r="D2986" s="19" t="n"/>
      <c r="E2986" s="20" t="n"/>
      <c r="F2986" s="20" t="n"/>
      <c r="G2986" s="21" t="n"/>
      <c r="H2986" s="12">
        <f>IF(AND(B2986="",D2986="",F2986=""),"",IF(NOT(ISNUMBER(B2986)),"Needs a date",IF(D2986="","Needs a client",IF(COUNTIF(Clients!$B$6:$B$105,D2986)=0,"Not on Clients",IF(AND(F2986="",INT(B2986)&lt;TODAY()),"Needs a status","")))))</f>
        <v/>
      </c>
      <c r="I2986" s="1">
        <f>IF(ISNUMBER(B2986),INT(B2986),0)</f>
        <v/>
      </c>
      <c r="J2986">
        <f>IF(ISNUMBER(B2986),YEAR(B2986)*100+MONTH(B2986),"")</f>
        <v/>
      </c>
      <c r="K2986">
        <f>IF(AND(H2986="",OR(F2986="Attended",F2986="No-show",AND(F2986="Late cancel",Settings!$C$9="Yes"))),1,0)</f>
        <v/>
      </c>
      <c r="L2986">
        <f>IF(AND(H2986="",F2986="Attended"),1,0)</f>
        <v/>
      </c>
      <c r="M2986">
        <f>IF(AND(H2986="",OR(F2986="No-show",F2986="Late cancel")),1,0)</f>
        <v/>
      </c>
      <c r="N2986">
        <f>IF(AND(H2986="",F2986="",D2986&lt;&gt;"",I2986&gt;=TODAY()),ROUND((I2986+IF(ISNUMBER(C2986),MOD(C2986,1),0))*1440,0)*10000+ROW(),"")</f>
        <v/>
      </c>
    </row>
    <row r="2987">
      <c r="A2987" s="1" t="n"/>
      <c r="B2987" s="17" t="n"/>
      <c r="C2987" s="18" t="n"/>
      <c r="D2987" s="19" t="n"/>
      <c r="E2987" s="20" t="n"/>
      <c r="F2987" s="20" t="n"/>
      <c r="G2987" s="21" t="n"/>
      <c r="H2987" s="12">
        <f>IF(AND(B2987="",D2987="",F2987=""),"",IF(NOT(ISNUMBER(B2987)),"Needs a date",IF(D2987="","Needs a client",IF(COUNTIF(Clients!$B$6:$B$105,D2987)=0,"Not on Clients",IF(AND(F2987="",INT(B2987)&lt;TODAY()),"Needs a status","")))))</f>
        <v/>
      </c>
      <c r="I2987" s="1">
        <f>IF(ISNUMBER(B2987),INT(B2987),0)</f>
        <v/>
      </c>
      <c r="J2987">
        <f>IF(ISNUMBER(B2987),YEAR(B2987)*100+MONTH(B2987),"")</f>
        <v/>
      </c>
      <c r="K2987">
        <f>IF(AND(H2987="",OR(F2987="Attended",F2987="No-show",AND(F2987="Late cancel",Settings!$C$9="Yes"))),1,0)</f>
        <v/>
      </c>
      <c r="L2987">
        <f>IF(AND(H2987="",F2987="Attended"),1,0)</f>
        <v/>
      </c>
      <c r="M2987">
        <f>IF(AND(H2987="",OR(F2987="No-show",F2987="Late cancel")),1,0)</f>
        <v/>
      </c>
      <c r="N2987">
        <f>IF(AND(H2987="",F2987="",D2987&lt;&gt;"",I2987&gt;=TODAY()),ROUND((I2987+IF(ISNUMBER(C2987),MOD(C2987,1),0))*1440,0)*10000+ROW(),"")</f>
        <v/>
      </c>
    </row>
    <row r="2988">
      <c r="A2988" s="1" t="n"/>
      <c r="B2988" s="17" t="n"/>
      <c r="C2988" s="18" t="n"/>
      <c r="D2988" s="19" t="n"/>
      <c r="E2988" s="20" t="n"/>
      <c r="F2988" s="20" t="n"/>
      <c r="G2988" s="21" t="n"/>
      <c r="H2988" s="12">
        <f>IF(AND(B2988="",D2988="",F2988=""),"",IF(NOT(ISNUMBER(B2988)),"Needs a date",IF(D2988="","Needs a client",IF(COUNTIF(Clients!$B$6:$B$105,D2988)=0,"Not on Clients",IF(AND(F2988="",INT(B2988)&lt;TODAY()),"Needs a status","")))))</f>
        <v/>
      </c>
      <c r="I2988" s="1">
        <f>IF(ISNUMBER(B2988),INT(B2988),0)</f>
        <v/>
      </c>
      <c r="J2988">
        <f>IF(ISNUMBER(B2988),YEAR(B2988)*100+MONTH(B2988),"")</f>
        <v/>
      </c>
      <c r="K2988">
        <f>IF(AND(H2988="",OR(F2988="Attended",F2988="No-show",AND(F2988="Late cancel",Settings!$C$9="Yes"))),1,0)</f>
        <v/>
      </c>
      <c r="L2988">
        <f>IF(AND(H2988="",F2988="Attended"),1,0)</f>
        <v/>
      </c>
      <c r="M2988">
        <f>IF(AND(H2988="",OR(F2988="No-show",F2988="Late cancel")),1,0)</f>
        <v/>
      </c>
      <c r="N2988">
        <f>IF(AND(H2988="",F2988="",D2988&lt;&gt;"",I2988&gt;=TODAY()),ROUND((I2988+IF(ISNUMBER(C2988),MOD(C2988,1),0))*1440,0)*10000+ROW(),"")</f>
        <v/>
      </c>
    </row>
    <row r="2989">
      <c r="A2989" s="1" t="n"/>
      <c r="B2989" s="17" t="n"/>
      <c r="C2989" s="18" t="n"/>
      <c r="D2989" s="19" t="n"/>
      <c r="E2989" s="20" t="n"/>
      <c r="F2989" s="20" t="n"/>
      <c r="G2989" s="21" t="n"/>
      <c r="H2989" s="12">
        <f>IF(AND(B2989="",D2989="",F2989=""),"",IF(NOT(ISNUMBER(B2989)),"Needs a date",IF(D2989="","Needs a client",IF(COUNTIF(Clients!$B$6:$B$105,D2989)=0,"Not on Clients",IF(AND(F2989="",INT(B2989)&lt;TODAY()),"Needs a status","")))))</f>
        <v/>
      </c>
      <c r="I2989" s="1">
        <f>IF(ISNUMBER(B2989),INT(B2989),0)</f>
        <v/>
      </c>
      <c r="J2989">
        <f>IF(ISNUMBER(B2989),YEAR(B2989)*100+MONTH(B2989),"")</f>
        <v/>
      </c>
      <c r="K2989">
        <f>IF(AND(H2989="",OR(F2989="Attended",F2989="No-show",AND(F2989="Late cancel",Settings!$C$9="Yes"))),1,0)</f>
        <v/>
      </c>
      <c r="L2989">
        <f>IF(AND(H2989="",F2989="Attended"),1,0)</f>
        <v/>
      </c>
      <c r="M2989">
        <f>IF(AND(H2989="",OR(F2989="No-show",F2989="Late cancel")),1,0)</f>
        <v/>
      </c>
      <c r="N2989">
        <f>IF(AND(H2989="",F2989="",D2989&lt;&gt;"",I2989&gt;=TODAY()),ROUND((I2989+IF(ISNUMBER(C2989),MOD(C2989,1),0))*1440,0)*10000+ROW(),"")</f>
        <v/>
      </c>
    </row>
    <row r="2990">
      <c r="A2990" s="1" t="n"/>
      <c r="B2990" s="17" t="n"/>
      <c r="C2990" s="18" t="n"/>
      <c r="D2990" s="19" t="n"/>
      <c r="E2990" s="20" t="n"/>
      <c r="F2990" s="20" t="n"/>
      <c r="G2990" s="21" t="n"/>
      <c r="H2990" s="12">
        <f>IF(AND(B2990="",D2990="",F2990=""),"",IF(NOT(ISNUMBER(B2990)),"Needs a date",IF(D2990="","Needs a client",IF(COUNTIF(Clients!$B$6:$B$105,D2990)=0,"Not on Clients",IF(AND(F2990="",INT(B2990)&lt;TODAY()),"Needs a status","")))))</f>
        <v/>
      </c>
      <c r="I2990" s="1">
        <f>IF(ISNUMBER(B2990),INT(B2990),0)</f>
        <v/>
      </c>
      <c r="J2990">
        <f>IF(ISNUMBER(B2990),YEAR(B2990)*100+MONTH(B2990),"")</f>
        <v/>
      </c>
      <c r="K2990">
        <f>IF(AND(H2990="",OR(F2990="Attended",F2990="No-show",AND(F2990="Late cancel",Settings!$C$9="Yes"))),1,0)</f>
        <v/>
      </c>
      <c r="L2990">
        <f>IF(AND(H2990="",F2990="Attended"),1,0)</f>
        <v/>
      </c>
      <c r="M2990">
        <f>IF(AND(H2990="",OR(F2990="No-show",F2990="Late cancel")),1,0)</f>
        <v/>
      </c>
      <c r="N2990">
        <f>IF(AND(H2990="",F2990="",D2990&lt;&gt;"",I2990&gt;=TODAY()),ROUND((I2990+IF(ISNUMBER(C2990),MOD(C2990,1),0))*1440,0)*10000+ROW(),"")</f>
        <v/>
      </c>
    </row>
    <row r="2991">
      <c r="A2991" s="1" t="n"/>
      <c r="B2991" s="17" t="n"/>
      <c r="C2991" s="18" t="n"/>
      <c r="D2991" s="19" t="n"/>
      <c r="E2991" s="20" t="n"/>
      <c r="F2991" s="20" t="n"/>
      <c r="G2991" s="21" t="n"/>
      <c r="H2991" s="12">
        <f>IF(AND(B2991="",D2991="",F2991=""),"",IF(NOT(ISNUMBER(B2991)),"Needs a date",IF(D2991="","Needs a client",IF(COUNTIF(Clients!$B$6:$B$105,D2991)=0,"Not on Clients",IF(AND(F2991="",INT(B2991)&lt;TODAY()),"Needs a status","")))))</f>
        <v/>
      </c>
      <c r="I2991" s="1">
        <f>IF(ISNUMBER(B2991),INT(B2991),0)</f>
        <v/>
      </c>
      <c r="J2991">
        <f>IF(ISNUMBER(B2991),YEAR(B2991)*100+MONTH(B2991),"")</f>
        <v/>
      </c>
      <c r="K2991">
        <f>IF(AND(H2991="",OR(F2991="Attended",F2991="No-show",AND(F2991="Late cancel",Settings!$C$9="Yes"))),1,0)</f>
        <v/>
      </c>
      <c r="L2991">
        <f>IF(AND(H2991="",F2991="Attended"),1,0)</f>
        <v/>
      </c>
      <c r="M2991">
        <f>IF(AND(H2991="",OR(F2991="No-show",F2991="Late cancel")),1,0)</f>
        <v/>
      </c>
      <c r="N2991">
        <f>IF(AND(H2991="",F2991="",D2991&lt;&gt;"",I2991&gt;=TODAY()),ROUND((I2991+IF(ISNUMBER(C2991),MOD(C2991,1),0))*1440,0)*10000+ROW(),"")</f>
        <v/>
      </c>
    </row>
    <row r="2992">
      <c r="A2992" s="1" t="n"/>
      <c r="B2992" s="17" t="n"/>
      <c r="C2992" s="18" t="n"/>
      <c r="D2992" s="19" t="n"/>
      <c r="E2992" s="20" t="n"/>
      <c r="F2992" s="20" t="n"/>
      <c r="G2992" s="21" t="n"/>
      <c r="H2992" s="12">
        <f>IF(AND(B2992="",D2992="",F2992=""),"",IF(NOT(ISNUMBER(B2992)),"Needs a date",IF(D2992="","Needs a client",IF(COUNTIF(Clients!$B$6:$B$105,D2992)=0,"Not on Clients",IF(AND(F2992="",INT(B2992)&lt;TODAY()),"Needs a status","")))))</f>
        <v/>
      </c>
      <c r="I2992" s="1">
        <f>IF(ISNUMBER(B2992),INT(B2992),0)</f>
        <v/>
      </c>
      <c r="J2992">
        <f>IF(ISNUMBER(B2992),YEAR(B2992)*100+MONTH(B2992),"")</f>
        <v/>
      </c>
      <c r="K2992">
        <f>IF(AND(H2992="",OR(F2992="Attended",F2992="No-show",AND(F2992="Late cancel",Settings!$C$9="Yes"))),1,0)</f>
        <v/>
      </c>
      <c r="L2992">
        <f>IF(AND(H2992="",F2992="Attended"),1,0)</f>
        <v/>
      </c>
      <c r="M2992">
        <f>IF(AND(H2992="",OR(F2992="No-show",F2992="Late cancel")),1,0)</f>
        <v/>
      </c>
      <c r="N2992">
        <f>IF(AND(H2992="",F2992="",D2992&lt;&gt;"",I2992&gt;=TODAY()),ROUND((I2992+IF(ISNUMBER(C2992),MOD(C2992,1),0))*1440,0)*10000+ROW(),"")</f>
        <v/>
      </c>
    </row>
    <row r="2993">
      <c r="A2993" s="1" t="n"/>
      <c r="B2993" s="17" t="n"/>
      <c r="C2993" s="18" t="n"/>
      <c r="D2993" s="19" t="n"/>
      <c r="E2993" s="20" t="n"/>
      <c r="F2993" s="20" t="n"/>
      <c r="G2993" s="21" t="n"/>
      <c r="H2993" s="12">
        <f>IF(AND(B2993="",D2993="",F2993=""),"",IF(NOT(ISNUMBER(B2993)),"Needs a date",IF(D2993="","Needs a client",IF(COUNTIF(Clients!$B$6:$B$105,D2993)=0,"Not on Clients",IF(AND(F2993="",INT(B2993)&lt;TODAY()),"Needs a status","")))))</f>
        <v/>
      </c>
      <c r="I2993" s="1">
        <f>IF(ISNUMBER(B2993),INT(B2993),0)</f>
        <v/>
      </c>
      <c r="J2993">
        <f>IF(ISNUMBER(B2993),YEAR(B2993)*100+MONTH(B2993),"")</f>
        <v/>
      </c>
      <c r="K2993">
        <f>IF(AND(H2993="",OR(F2993="Attended",F2993="No-show",AND(F2993="Late cancel",Settings!$C$9="Yes"))),1,0)</f>
        <v/>
      </c>
      <c r="L2993">
        <f>IF(AND(H2993="",F2993="Attended"),1,0)</f>
        <v/>
      </c>
      <c r="M2993">
        <f>IF(AND(H2993="",OR(F2993="No-show",F2993="Late cancel")),1,0)</f>
        <v/>
      </c>
      <c r="N2993">
        <f>IF(AND(H2993="",F2993="",D2993&lt;&gt;"",I2993&gt;=TODAY()),ROUND((I2993+IF(ISNUMBER(C2993),MOD(C2993,1),0))*1440,0)*10000+ROW(),"")</f>
        <v/>
      </c>
    </row>
    <row r="2994">
      <c r="A2994" s="1" t="n"/>
      <c r="B2994" s="17" t="n"/>
      <c r="C2994" s="18" t="n"/>
      <c r="D2994" s="19" t="n"/>
      <c r="E2994" s="20" t="n"/>
      <c r="F2994" s="20" t="n"/>
      <c r="G2994" s="21" t="n"/>
      <c r="H2994" s="12">
        <f>IF(AND(B2994="",D2994="",F2994=""),"",IF(NOT(ISNUMBER(B2994)),"Needs a date",IF(D2994="","Needs a client",IF(COUNTIF(Clients!$B$6:$B$105,D2994)=0,"Not on Clients",IF(AND(F2994="",INT(B2994)&lt;TODAY()),"Needs a status","")))))</f>
        <v/>
      </c>
      <c r="I2994" s="1">
        <f>IF(ISNUMBER(B2994),INT(B2994),0)</f>
        <v/>
      </c>
      <c r="J2994">
        <f>IF(ISNUMBER(B2994),YEAR(B2994)*100+MONTH(B2994),"")</f>
        <v/>
      </c>
      <c r="K2994">
        <f>IF(AND(H2994="",OR(F2994="Attended",F2994="No-show",AND(F2994="Late cancel",Settings!$C$9="Yes"))),1,0)</f>
        <v/>
      </c>
      <c r="L2994">
        <f>IF(AND(H2994="",F2994="Attended"),1,0)</f>
        <v/>
      </c>
      <c r="M2994">
        <f>IF(AND(H2994="",OR(F2994="No-show",F2994="Late cancel")),1,0)</f>
        <v/>
      </c>
      <c r="N2994">
        <f>IF(AND(H2994="",F2994="",D2994&lt;&gt;"",I2994&gt;=TODAY()),ROUND((I2994+IF(ISNUMBER(C2994),MOD(C2994,1),0))*1440,0)*10000+ROW(),"")</f>
        <v/>
      </c>
    </row>
    <row r="2995">
      <c r="A2995" s="1" t="n"/>
      <c r="B2995" s="17" t="n"/>
      <c r="C2995" s="18" t="n"/>
      <c r="D2995" s="19" t="n"/>
      <c r="E2995" s="20" t="n"/>
      <c r="F2995" s="20" t="n"/>
      <c r="G2995" s="21" t="n"/>
      <c r="H2995" s="12">
        <f>IF(AND(B2995="",D2995="",F2995=""),"",IF(NOT(ISNUMBER(B2995)),"Needs a date",IF(D2995="","Needs a client",IF(COUNTIF(Clients!$B$6:$B$105,D2995)=0,"Not on Clients",IF(AND(F2995="",INT(B2995)&lt;TODAY()),"Needs a status","")))))</f>
        <v/>
      </c>
      <c r="I2995" s="1">
        <f>IF(ISNUMBER(B2995),INT(B2995),0)</f>
        <v/>
      </c>
      <c r="J2995">
        <f>IF(ISNUMBER(B2995),YEAR(B2995)*100+MONTH(B2995),"")</f>
        <v/>
      </c>
      <c r="K2995">
        <f>IF(AND(H2995="",OR(F2995="Attended",F2995="No-show",AND(F2995="Late cancel",Settings!$C$9="Yes"))),1,0)</f>
        <v/>
      </c>
      <c r="L2995">
        <f>IF(AND(H2995="",F2995="Attended"),1,0)</f>
        <v/>
      </c>
      <c r="M2995">
        <f>IF(AND(H2995="",OR(F2995="No-show",F2995="Late cancel")),1,0)</f>
        <v/>
      </c>
      <c r="N2995">
        <f>IF(AND(H2995="",F2995="",D2995&lt;&gt;"",I2995&gt;=TODAY()),ROUND((I2995+IF(ISNUMBER(C2995),MOD(C2995,1),0))*1440,0)*10000+ROW(),"")</f>
        <v/>
      </c>
    </row>
    <row r="2996">
      <c r="A2996" s="1" t="n"/>
      <c r="B2996" s="17" t="n"/>
      <c r="C2996" s="18" t="n"/>
      <c r="D2996" s="19" t="n"/>
      <c r="E2996" s="20" t="n"/>
      <c r="F2996" s="20" t="n"/>
      <c r="G2996" s="21" t="n"/>
      <c r="H2996" s="12">
        <f>IF(AND(B2996="",D2996="",F2996=""),"",IF(NOT(ISNUMBER(B2996)),"Needs a date",IF(D2996="","Needs a client",IF(COUNTIF(Clients!$B$6:$B$105,D2996)=0,"Not on Clients",IF(AND(F2996="",INT(B2996)&lt;TODAY()),"Needs a status","")))))</f>
        <v/>
      </c>
      <c r="I2996" s="1">
        <f>IF(ISNUMBER(B2996),INT(B2996),0)</f>
        <v/>
      </c>
      <c r="J2996">
        <f>IF(ISNUMBER(B2996),YEAR(B2996)*100+MONTH(B2996),"")</f>
        <v/>
      </c>
      <c r="K2996">
        <f>IF(AND(H2996="",OR(F2996="Attended",F2996="No-show",AND(F2996="Late cancel",Settings!$C$9="Yes"))),1,0)</f>
        <v/>
      </c>
      <c r="L2996">
        <f>IF(AND(H2996="",F2996="Attended"),1,0)</f>
        <v/>
      </c>
      <c r="M2996">
        <f>IF(AND(H2996="",OR(F2996="No-show",F2996="Late cancel")),1,0)</f>
        <v/>
      </c>
      <c r="N2996">
        <f>IF(AND(H2996="",F2996="",D2996&lt;&gt;"",I2996&gt;=TODAY()),ROUND((I2996+IF(ISNUMBER(C2996),MOD(C2996,1),0))*1440,0)*10000+ROW(),"")</f>
        <v/>
      </c>
    </row>
    <row r="2997">
      <c r="A2997" s="1" t="n"/>
      <c r="B2997" s="17" t="n"/>
      <c r="C2997" s="18" t="n"/>
      <c r="D2997" s="19" t="n"/>
      <c r="E2997" s="20" t="n"/>
      <c r="F2997" s="20" t="n"/>
      <c r="G2997" s="21" t="n"/>
      <c r="H2997" s="12">
        <f>IF(AND(B2997="",D2997="",F2997=""),"",IF(NOT(ISNUMBER(B2997)),"Needs a date",IF(D2997="","Needs a client",IF(COUNTIF(Clients!$B$6:$B$105,D2997)=0,"Not on Clients",IF(AND(F2997="",INT(B2997)&lt;TODAY()),"Needs a status","")))))</f>
        <v/>
      </c>
      <c r="I2997" s="1">
        <f>IF(ISNUMBER(B2997),INT(B2997),0)</f>
        <v/>
      </c>
      <c r="J2997">
        <f>IF(ISNUMBER(B2997),YEAR(B2997)*100+MONTH(B2997),"")</f>
        <v/>
      </c>
      <c r="K2997">
        <f>IF(AND(H2997="",OR(F2997="Attended",F2997="No-show",AND(F2997="Late cancel",Settings!$C$9="Yes"))),1,0)</f>
        <v/>
      </c>
      <c r="L2997">
        <f>IF(AND(H2997="",F2997="Attended"),1,0)</f>
        <v/>
      </c>
      <c r="M2997">
        <f>IF(AND(H2997="",OR(F2997="No-show",F2997="Late cancel")),1,0)</f>
        <v/>
      </c>
      <c r="N2997">
        <f>IF(AND(H2997="",F2997="",D2997&lt;&gt;"",I2997&gt;=TODAY()),ROUND((I2997+IF(ISNUMBER(C2997),MOD(C2997,1),0))*1440,0)*10000+ROW(),"")</f>
        <v/>
      </c>
    </row>
    <row r="2998">
      <c r="A2998" s="1" t="n"/>
      <c r="B2998" s="17" t="n"/>
      <c r="C2998" s="18" t="n"/>
      <c r="D2998" s="19" t="n"/>
      <c r="E2998" s="20" t="n"/>
      <c r="F2998" s="20" t="n"/>
      <c r="G2998" s="21" t="n"/>
      <c r="H2998" s="12">
        <f>IF(AND(B2998="",D2998="",F2998=""),"",IF(NOT(ISNUMBER(B2998)),"Needs a date",IF(D2998="","Needs a client",IF(COUNTIF(Clients!$B$6:$B$105,D2998)=0,"Not on Clients",IF(AND(F2998="",INT(B2998)&lt;TODAY()),"Needs a status","")))))</f>
        <v/>
      </c>
      <c r="I2998" s="1">
        <f>IF(ISNUMBER(B2998),INT(B2998),0)</f>
        <v/>
      </c>
      <c r="J2998">
        <f>IF(ISNUMBER(B2998),YEAR(B2998)*100+MONTH(B2998),"")</f>
        <v/>
      </c>
      <c r="K2998">
        <f>IF(AND(H2998="",OR(F2998="Attended",F2998="No-show",AND(F2998="Late cancel",Settings!$C$9="Yes"))),1,0)</f>
        <v/>
      </c>
      <c r="L2998">
        <f>IF(AND(H2998="",F2998="Attended"),1,0)</f>
        <v/>
      </c>
      <c r="M2998">
        <f>IF(AND(H2998="",OR(F2998="No-show",F2998="Late cancel")),1,0)</f>
        <v/>
      </c>
      <c r="N2998">
        <f>IF(AND(H2998="",F2998="",D2998&lt;&gt;"",I2998&gt;=TODAY()),ROUND((I2998+IF(ISNUMBER(C2998),MOD(C2998,1),0))*1440,0)*10000+ROW(),"")</f>
        <v/>
      </c>
    </row>
    <row r="2999">
      <c r="A2999" s="1" t="n"/>
      <c r="B2999" s="17" t="n"/>
      <c r="C2999" s="18" t="n"/>
      <c r="D2999" s="19" t="n"/>
      <c r="E2999" s="20" t="n"/>
      <c r="F2999" s="20" t="n"/>
      <c r="G2999" s="21" t="n"/>
      <c r="H2999" s="12">
        <f>IF(AND(B2999="",D2999="",F2999=""),"",IF(NOT(ISNUMBER(B2999)),"Needs a date",IF(D2999="","Needs a client",IF(COUNTIF(Clients!$B$6:$B$105,D2999)=0,"Not on Clients",IF(AND(F2999="",INT(B2999)&lt;TODAY()),"Needs a status","")))))</f>
        <v/>
      </c>
      <c r="I2999" s="1">
        <f>IF(ISNUMBER(B2999),INT(B2999),0)</f>
        <v/>
      </c>
      <c r="J2999">
        <f>IF(ISNUMBER(B2999),YEAR(B2999)*100+MONTH(B2999),"")</f>
        <v/>
      </c>
      <c r="K2999">
        <f>IF(AND(H2999="",OR(F2999="Attended",F2999="No-show",AND(F2999="Late cancel",Settings!$C$9="Yes"))),1,0)</f>
        <v/>
      </c>
      <c r="L2999">
        <f>IF(AND(H2999="",F2999="Attended"),1,0)</f>
        <v/>
      </c>
      <c r="M2999">
        <f>IF(AND(H2999="",OR(F2999="No-show",F2999="Late cancel")),1,0)</f>
        <v/>
      </c>
      <c r="N2999">
        <f>IF(AND(H2999="",F2999="",D2999&lt;&gt;"",I2999&gt;=TODAY()),ROUND((I2999+IF(ISNUMBER(C2999),MOD(C2999,1),0))*1440,0)*10000+ROW(),"")</f>
        <v/>
      </c>
    </row>
    <row r="3000">
      <c r="A3000" s="1" t="n"/>
      <c r="B3000" s="17" t="n"/>
      <c r="C3000" s="18" t="n"/>
      <c r="D3000" s="19" t="n"/>
      <c r="E3000" s="20" t="n"/>
      <c r="F3000" s="20" t="n"/>
      <c r="G3000" s="21" t="n"/>
      <c r="H3000" s="12">
        <f>IF(AND(B3000="",D3000="",F3000=""),"",IF(NOT(ISNUMBER(B3000)),"Needs a date",IF(D3000="","Needs a client",IF(COUNTIF(Clients!$B$6:$B$105,D3000)=0,"Not on Clients",IF(AND(F3000="",INT(B3000)&lt;TODAY()),"Needs a status","")))))</f>
        <v/>
      </c>
      <c r="I3000" s="1">
        <f>IF(ISNUMBER(B3000),INT(B3000),0)</f>
        <v/>
      </c>
      <c r="J3000">
        <f>IF(ISNUMBER(B3000),YEAR(B3000)*100+MONTH(B3000),"")</f>
        <v/>
      </c>
      <c r="K3000">
        <f>IF(AND(H3000="",OR(F3000="Attended",F3000="No-show",AND(F3000="Late cancel",Settings!$C$9="Yes"))),1,0)</f>
        <v/>
      </c>
      <c r="L3000">
        <f>IF(AND(H3000="",F3000="Attended"),1,0)</f>
        <v/>
      </c>
      <c r="M3000">
        <f>IF(AND(H3000="",OR(F3000="No-show",F3000="Late cancel")),1,0)</f>
        <v/>
      </c>
      <c r="N3000">
        <f>IF(AND(H3000="",F3000="",D3000&lt;&gt;"",I3000&gt;=TODAY()),ROUND((I3000+IF(ISNUMBER(C3000),MOD(C3000,1),0))*1440,0)*10000+ROW(),"")</f>
        <v/>
      </c>
    </row>
    <row r="3001">
      <c r="A3001" s="1" t="n"/>
      <c r="B3001" s="17" t="n"/>
      <c r="C3001" s="18" t="n"/>
      <c r="D3001" s="19" t="n"/>
      <c r="E3001" s="20" t="n"/>
      <c r="F3001" s="20" t="n"/>
      <c r="G3001" s="21" t="n"/>
      <c r="H3001" s="12">
        <f>IF(AND(B3001="",D3001="",F3001=""),"",IF(NOT(ISNUMBER(B3001)),"Needs a date",IF(D3001="","Needs a client",IF(COUNTIF(Clients!$B$6:$B$105,D3001)=0,"Not on Clients",IF(AND(F3001="",INT(B3001)&lt;TODAY()),"Needs a status","")))))</f>
        <v/>
      </c>
      <c r="I3001" s="1">
        <f>IF(ISNUMBER(B3001),INT(B3001),0)</f>
        <v/>
      </c>
      <c r="J3001">
        <f>IF(ISNUMBER(B3001),YEAR(B3001)*100+MONTH(B3001),"")</f>
        <v/>
      </c>
      <c r="K3001">
        <f>IF(AND(H3001="",OR(F3001="Attended",F3001="No-show",AND(F3001="Late cancel",Settings!$C$9="Yes"))),1,0)</f>
        <v/>
      </c>
      <c r="L3001">
        <f>IF(AND(H3001="",F3001="Attended"),1,0)</f>
        <v/>
      </c>
      <c r="M3001">
        <f>IF(AND(H3001="",OR(F3001="No-show",F3001="Late cancel")),1,0)</f>
        <v/>
      </c>
      <c r="N3001">
        <f>IF(AND(H3001="",F3001="",D3001&lt;&gt;"",I3001&gt;=TODAY()),ROUND((I3001+IF(ISNUMBER(C3001),MOD(C3001,1),0))*1440,0)*10000+ROW(),"")</f>
        <v/>
      </c>
    </row>
    <row r="3002">
      <c r="A3002" s="1" t="n"/>
      <c r="B3002" s="17" t="n"/>
      <c r="C3002" s="18" t="n"/>
      <c r="D3002" s="19" t="n"/>
      <c r="E3002" s="20" t="n"/>
      <c r="F3002" s="20" t="n"/>
      <c r="G3002" s="21" t="n"/>
      <c r="H3002" s="12">
        <f>IF(AND(B3002="",D3002="",F3002=""),"",IF(NOT(ISNUMBER(B3002)),"Needs a date",IF(D3002="","Needs a client",IF(COUNTIF(Clients!$B$6:$B$105,D3002)=0,"Not on Clients",IF(AND(F3002="",INT(B3002)&lt;TODAY()),"Needs a status","")))))</f>
        <v/>
      </c>
      <c r="I3002" s="1">
        <f>IF(ISNUMBER(B3002),INT(B3002),0)</f>
        <v/>
      </c>
      <c r="J3002">
        <f>IF(ISNUMBER(B3002),YEAR(B3002)*100+MONTH(B3002),"")</f>
        <v/>
      </c>
      <c r="K3002">
        <f>IF(AND(H3002="",OR(F3002="Attended",F3002="No-show",AND(F3002="Late cancel",Settings!$C$9="Yes"))),1,0)</f>
        <v/>
      </c>
      <c r="L3002">
        <f>IF(AND(H3002="",F3002="Attended"),1,0)</f>
        <v/>
      </c>
      <c r="M3002">
        <f>IF(AND(H3002="",OR(F3002="No-show",F3002="Late cancel")),1,0)</f>
        <v/>
      </c>
      <c r="N3002">
        <f>IF(AND(H3002="",F3002="",D3002&lt;&gt;"",I3002&gt;=TODAY()),ROUND((I3002+IF(ISNUMBER(C3002),MOD(C3002,1),0))*1440,0)*10000+ROW(),"")</f>
        <v/>
      </c>
    </row>
    <row r="3003">
      <c r="A3003" s="1" t="n"/>
      <c r="B3003" s="17" t="n"/>
      <c r="C3003" s="18" t="n"/>
      <c r="D3003" s="19" t="n"/>
      <c r="E3003" s="20" t="n"/>
      <c r="F3003" s="20" t="n"/>
      <c r="G3003" s="21" t="n"/>
      <c r="H3003" s="12">
        <f>IF(AND(B3003="",D3003="",F3003=""),"",IF(NOT(ISNUMBER(B3003)),"Needs a date",IF(D3003="","Needs a client",IF(COUNTIF(Clients!$B$6:$B$105,D3003)=0,"Not on Clients",IF(AND(F3003="",INT(B3003)&lt;TODAY()),"Needs a status","")))))</f>
        <v/>
      </c>
      <c r="I3003" s="1">
        <f>IF(ISNUMBER(B3003),INT(B3003),0)</f>
        <v/>
      </c>
      <c r="J3003">
        <f>IF(ISNUMBER(B3003),YEAR(B3003)*100+MONTH(B3003),"")</f>
        <v/>
      </c>
      <c r="K3003">
        <f>IF(AND(H3003="",OR(F3003="Attended",F3003="No-show",AND(F3003="Late cancel",Settings!$C$9="Yes"))),1,0)</f>
        <v/>
      </c>
      <c r="L3003">
        <f>IF(AND(H3003="",F3003="Attended"),1,0)</f>
        <v/>
      </c>
      <c r="M3003">
        <f>IF(AND(H3003="",OR(F3003="No-show",F3003="Late cancel")),1,0)</f>
        <v/>
      </c>
      <c r="N3003">
        <f>IF(AND(H3003="",F3003="",D3003&lt;&gt;"",I3003&gt;=TODAY()),ROUND((I3003+IF(ISNUMBER(C3003),MOD(C3003,1),0))*1440,0)*10000+ROW(),"")</f>
        <v/>
      </c>
    </row>
    <row r="3004">
      <c r="A3004" s="1" t="n"/>
      <c r="B3004" s="17" t="n"/>
      <c r="C3004" s="18" t="n"/>
      <c r="D3004" s="19" t="n"/>
      <c r="E3004" s="20" t="n"/>
      <c r="F3004" s="20" t="n"/>
      <c r="G3004" s="21" t="n"/>
      <c r="H3004" s="12">
        <f>IF(AND(B3004="",D3004="",F3004=""),"",IF(NOT(ISNUMBER(B3004)),"Needs a date",IF(D3004="","Needs a client",IF(COUNTIF(Clients!$B$6:$B$105,D3004)=0,"Not on Clients",IF(AND(F3004="",INT(B3004)&lt;TODAY()),"Needs a status","")))))</f>
        <v/>
      </c>
      <c r="I3004" s="1">
        <f>IF(ISNUMBER(B3004),INT(B3004),0)</f>
        <v/>
      </c>
      <c r="J3004">
        <f>IF(ISNUMBER(B3004),YEAR(B3004)*100+MONTH(B3004),"")</f>
        <v/>
      </c>
      <c r="K3004">
        <f>IF(AND(H3004="",OR(F3004="Attended",F3004="No-show",AND(F3004="Late cancel",Settings!$C$9="Yes"))),1,0)</f>
        <v/>
      </c>
      <c r="L3004">
        <f>IF(AND(H3004="",F3004="Attended"),1,0)</f>
        <v/>
      </c>
      <c r="M3004">
        <f>IF(AND(H3004="",OR(F3004="No-show",F3004="Late cancel")),1,0)</f>
        <v/>
      </c>
      <c r="N3004">
        <f>IF(AND(H3004="",F3004="",D3004&lt;&gt;"",I3004&gt;=TODAY()),ROUND((I3004+IF(ISNUMBER(C3004),MOD(C3004,1),0))*1440,0)*10000+ROW(),"")</f>
        <v/>
      </c>
    </row>
    <row r="3005">
      <c r="A3005" s="1" t="n"/>
      <c r="B3005" s="17" t="n"/>
      <c r="C3005" s="18" t="n"/>
      <c r="D3005" s="19" t="n"/>
      <c r="E3005" s="20" t="n"/>
      <c r="F3005" s="20" t="n"/>
      <c r="G3005" s="21" t="n"/>
      <c r="H3005" s="12">
        <f>IF(AND(B3005="",D3005="",F3005=""),"",IF(NOT(ISNUMBER(B3005)),"Needs a date",IF(D3005="","Needs a client",IF(COUNTIF(Clients!$B$6:$B$105,D3005)=0,"Not on Clients",IF(AND(F3005="",INT(B3005)&lt;TODAY()),"Needs a status","")))))</f>
        <v/>
      </c>
      <c r="I3005" s="1">
        <f>IF(ISNUMBER(B3005),INT(B3005),0)</f>
        <v/>
      </c>
      <c r="J3005">
        <f>IF(ISNUMBER(B3005),YEAR(B3005)*100+MONTH(B3005),"")</f>
        <v/>
      </c>
      <c r="K3005">
        <f>IF(AND(H3005="",OR(F3005="Attended",F3005="No-show",AND(F3005="Late cancel",Settings!$C$9="Yes"))),1,0)</f>
        <v/>
      </c>
      <c r="L3005">
        <f>IF(AND(H3005="",F3005="Attended"),1,0)</f>
        <v/>
      </c>
      <c r="M3005">
        <f>IF(AND(H3005="",OR(F3005="No-show",F3005="Late cancel")),1,0)</f>
        <v/>
      </c>
      <c r="N3005">
        <f>IF(AND(H3005="",F3005="",D3005&lt;&gt;"",I3005&gt;=TODAY()),ROUND((I3005+IF(ISNUMBER(C3005),MOD(C3005,1),0))*1440,0)*10000+ROW(),"")</f>
        <v/>
      </c>
    </row>
    <row r="3006">
      <c r="A3006" s="1" t="n"/>
      <c r="B3006" s="1" t="n"/>
      <c r="C3006" s="1" t="n"/>
      <c r="D3006" s="1" t="n"/>
      <c r="E3006" s="1" t="n"/>
      <c r="F3006" s="1" t="n"/>
      <c r="G3006" s="1" t="n"/>
      <c r="H3006" s="1" t="n"/>
      <c r="I3006" s="1" t="n"/>
    </row>
  </sheetData>
  <conditionalFormatting sqref="H6:H3005">
    <cfRule type="expression" priority="1" dxfId="0">
      <formula>H6&lt;&gt;""</formula>
    </cfRule>
  </conditionalFormatting>
  <conditionalFormatting sqref="F6:F3005">
    <cfRule type="expression" priority="2" dxfId="2">
      <formula>F6="Attended"</formula>
    </cfRule>
    <cfRule type="expression" priority="3" dxfId="0">
      <formula>F6="No-show"</formula>
    </cfRule>
    <cfRule type="expression" priority="4" dxfId="1">
      <formula>F6="Late cancel"</formula>
    </cfRule>
  </conditionalFormatting>
  <dataValidations count="3">
    <dataValidation sqref="D6:D3005" showDropDown="0" showInputMessage="0" showErrorMessage="0" allowBlank="1" type="list">
      <formula1>=Clients!$B$6:$B$105</formula1>
    </dataValidation>
    <dataValidation sqref="E6:E3005" showDropDown="0" showInputMessage="0" showErrorMessage="0" allowBlank="1" type="list">
      <formula1>"1 to 1,Duo,Small group,Online"</formula1>
    </dataValidation>
    <dataValidation sqref="F6:F3005" showDropDown="0" showInputMessage="0" showErrorMessage="1" allowBlank="1" type="list">
      <formula1>"Attended,No-show,Late cancel,Cancelled"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12" customWidth="1" min="4" max="4"/>
    <col width="3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2" customWidth="1" min="13" max="13"/>
    <col width="13" customWidth="1" min="14" max="14"/>
    <col width="11" customWidth="1" min="15" max="15"/>
    <col width="20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2" t="inlineStr">
        <is>
          <t>Clients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3" t="inlineStr">
        <is>
          <t>Each client once. Sessions, packages and check-ins add up from the other tabs.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0" customHeight="1">
      <c r="A5" s="1" t="n"/>
      <c r="B5" s="9" t="inlineStr">
        <is>
          <t>Client</t>
        </is>
      </c>
      <c r="C5" s="9" t="inlineStr">
        <is>
          <t>Phone or email</t>
        </is>
      </c>
      <c r="D5" s="9" t="inlineStr">
        <is>
          <t>Started</t>
        </is>
      </c>
      <c r="E5" s="9" t="inlineStr">
        <is>
          <t>Goal</t>
        </is>
      </c>
      <c r="F5" s="9" t="inlineStr">
        <is>
          <t>Status</t>
        </is>
      </c>
      <c r="G5" s="9" t="inlineStr">
        <is>
          <t>Attended</t>
        </is>
      </c>
      <c r="H5" s="9" t="inlineStr">
        <is>
          <t>This month</t>
        </is>
      </c>
      <c r="I5" s="9" t="inlineStr">
        <is>
          <t>Missed</t>
        </is>
      </c>
      <c r="J5" s="9" t="inlineStr">
        <is>
          <t>Bought</t>
        </is>
      </c>
      <c r="K5" s="9" t="inlineStr">
        <is>
          <t>Used</t>
        </is>
      </c>
      <c r="L5" s="9" t="inlineStr">
        <is>
          <t>Left</t>
        </is>
      </c>
      <c r="M5" s="9" t="inlineStr">
        <is>
          <t>Last session</t>
        </is>
      </c>
      <c r="N5" s="9" t="inlineStr">
        <is>
          <t>Next check-in</t>
        </is>
      </c>
      <c r="O5" s="9" t="inlineStr">
        <is>
          <t>Owed</t>
        </is>
      </c>
      <c r="P5" s="9" t="inlineStr">
        <is>
          <t>Needs</t>
        </is>
      </c>
      <c r="Q5" s="1" t="n"/>
    </row>
    <row r="6">
      <c r="A6" s="1" t="n"/>
      <c r="B6" s="19" t="inlineStr">
        <is>
          <t>Maya Ortiz</t>
        </is>
      </c>
      <c r="C6" s="21" t="inlineStr">
        <is>
          <t>maya.o@mail.example</t>
        </is>
      </c>
      <c r="D6" s="17" t="n">
        <v>46053</v>
      </c>
      <c r="E6" s="21" t="inlineStr">
        <is>
          <t>Stronger legs and back, run a 10 km in spring</t>
        </is>
      </c>
      <c r="F6" s="20" t="inlineStr">
        <is>
          <t>Active</t>
        </is>
      </c>
      <c r="G6" s="13">
        <f>IF(B6="","",SUMIFS(Sessions!$L$6:$L$3005,Sessions!$D$6:$D$3005,B6))</f>
        <v/>
      </c>
      <c r="H6" s="13">
        <f>IF(B6="","",SUMIFS(Sessions!$L$6:$L$3005,Sessions!$D$6:$D$3005,B6,Sessions!$J$6:$J$3005,(YEAR(TODAY())*100+MONTH(TODAY()))))</f>
        <v/>
      </c>
      <c r="I6" s="13">
        <f>IF(B6="","",SUMIFS(Sessions!$M$6:$M$3005,Sessions!$D$6:$D$3005,B6))</f>
        <v/>
      </c>
      <c r="J6" s="13">
        <f>IF(B6="","",SUMIFS(Packages!$D$6:$D$505,Packages!$C$6:$C$505,B6,Packages!$M$6:$M$505,1))</f>
        <v/>
      </c>
      <c r="K6" s="13">
        <f>IF(B6="","",SUMIFS(Sessions!$K$6:$K$3005,Sessions!$D$6:$D$3005,B6))</f>
        <v/>
      </c>
      <c r="L6" s="22">
        <f>IF(OR(B6="",J6=0),"",J6-K6)</f>
        <v/>
      </c>
      <c r="M6" s="23">
        <f>IF(B6="","",IF(SUMPRODUCT(MAX((Sessions!$D$6:$D$3005=B6)*Sessions!$L$6:$L$3005*Sessions!$I$6:$I$3005))=0,"",SUMPRODUCT(MAX((Sessions!$D$6:$D$3005=B6)*Sessions!$L$6:$L$3005*Sessions!$I$6:$I$3005))))</f>
        <v/>
      </c>
      <c r="N6" s="23">
        <f>IF(OR(B6="",F6="Finished"),"",IF(S6&gt;0,S6+7*N(Settings!$C$8),IF(ISNUMBER(D6),INT(D6)+7*N(Settings!$C$8),"")))</f>
        <v/>
      </c>
      <c r="O6" s="16">
        <f>IF(B6="","",SUMIFS(Packages!$J$6:$J$505,Packages!$C$6:$C$505,B6,Packages!$M$6:$M$505,1))</f>
        <v/>
      </c>
      <c r="P6" s="24">
        <f>IF(B6="","",IF(COUNTIF(Clients!$B$6:$B$105,B6)&gt;1,"Listed twice",IF(O6&gt;0,"Owes money",IF(F6="Finished","",IF(F6="Paused","",IF(AND(J6&gt;0,L6&lt;=0),"No sessions left",IF(AND(J6&gt;0,L6&lt;=N(Settings!$C$7)),"Few sessions left",IF(AND(Q6&gt;0,L6&gt;0,Q6&lt;TODAY()),"Package expired",IF(AND(Q6&gt;0,L6&gt;0,Q6-TODAY()&lt;=14),"Package ends soon",IF(AND(N6&lt;&gt;"",N6&lt;=TODAY()),"Check-in due","")))))))))</f>
        <v/>
      </c>
      <c r="Q6" s="1">
        <f>IF(B6="",0,SUMPRODUCT(MAX((Packages!$C$6:$C$505=B6)*Packages!$N$6:$N$505)))</f>
        <v/>
      </c>
      <c r="R6">
        <f>IF(P6&lt;&gt;"",ROW(),"")</f>
        <v/>
      </c>
      <c r="S6">
        <f>IF(B6="",0,SUMPRODUCT(MAX(('Check-ins'!$C$6:$C$1505=B6)*'Check-ins'!$P$6:$P$1505)))</f>
        <v/>
      </c>
      <c r="T6">
        <f>IF(AND(B6&lt;&gt;"",F6&lt;&gt;"Paused",F6&lt;&gt;"Finished",J6&gt;0,L6&lt;=N(Settings!$C$7)),1,0)</f>
        <v/>
      </c>
      <c r="U6">
        <f>IF(AND(B6&lt;&gt;"",F6&lt;&gt;"Paused",F6&lt;&gt;"Finished",N6&lt;&gt;"",N6&lt;=TODAY()),1,0)</f>
        <v/>
      </c>
      <c r="V6">
        <f>IF(AND(B6&lt;&gt;"",F6&lt;&gt;"Paused",F6&lt;&gt;"Finished"),1,0)</f>
        <v/>
      </c>
    </row>
    <row r="7">
      <c r="A7" s="1" t="n"/>
      <c r="B7" s="19" t="inlineStr">
        <is>
          <t>Ben Carter</t>
        </is>
      </c>
      <c r="C7" s="21" t="inlineStr">
        <is>
          <t>ben.c@mail.example</t>
        </is>
      </c>
      <c r="D7" s="17" t="n">
        <v>46093</v>
      </c>
      <c r="E7" s="21" t="inlineStr">
        <is>
          <t>Lose 8 kg before the summer</t>
        </is>
      </c>
      <c r="F7" s="20" t="inlineStr">
        <is>
          <t>Active</t>
        </is>
      </c>
      <c r="G7" s="13">
        <f>IF(B7="","",SUMIFS(Sessions!$L$6:$L$3005,Sessions!$D$6:$D$3005,B7))</f>
        <v/>
      </c>
      <c r="H7" s="13">
        <f>IF(B7="","",SUMIFS(Sessions!$L$6:$L$3005,Sessions!$D$6:$D$3005,B7,Sessions!$J$6:$J$3005,(YEAR(TODAY())*100+MONTH(TODAY()))))</f>
        <v/>
      </c>
      <c r="I7" s="13">
        <f>IF(B7="","",SUMIFS(Sessions!$M$6:$M$3005,Sessions!$D$6:$D$3005,B7))</f>
        <v/>
      </c>
      <c r="J7" s="13">
        <f>IF(B7="","",SUMIFS(Packages!$D$6:$D$505,Packages!$C$6:$C$505,B7,Packages!$M$6:$M$505,1))</f>
        <v/>
      </c>
      <c r="K7" s="13">
        <f>IF(B7="","",SUMIFS(Sessions!$K$6:$K$3005,Sessions!$D$6:$D$3005,B7))</f>
        <v/>
      </c>
      <c r="L7" s="22">
        <f>IF(OR(B7="",J7=0),"",J7-K7)</f>
        <v/>
      </c>
      <c r="M7" s="23">
        <f>IF(B7="","",IF(SUMPRODUCT(MAX((Sessions!$D$6:$D$3005=B7)*Sessions!$L$6:$L$3005*Sessions!$I$6:$I$3005))=0,"",SUMPRODUCT(MAX((Sessions!$D$6:$D$3005=B7)*Sessions!$L$6:$L$3005*Sessions!$I$6:$I$3005))))</f>
        <v/>
      </c>
      <c r="N7" s="23">
        <f>IF(OR(B7="",F7="Finished"),"",IF(S7&gt;0,S7+7*N(Settings!$C$8),IF(ISNUMBER(D7),INT(D7)+7*N(Settings!$C$8),"")))</f>
        <v/>
      </c>
      <c r="O7" s="16">
        <f>IF(B7="","",SUMIFS(Packages!$J$6:$J$505,Packages!$C$6:$C$505,B7,Packages!$M$6:$M$505,1))</f>
        <v/>
      </c>
      <c r="P7" s="24">
        <f>IF(B7="","",IF(COUNTIF(Clients!$B$6:$B$105,B7)&gt;1,"Listed twice",IF(O7&gt;0,"Owes money",IF(F7="Finished","",IF(F7="Paused","",IF(AND(J7&gt;0,L7&lt;=0),"No sessions left",IF(AND(J7&gt;0,L7&lt;=N(Settings!$C$7)),"Few sessions left",IF(AND(Q7&gt;0,L7&gt;0,Q7&lt;TODAY()),"Package expired",IF(AND(Q7&gt;0,L7&gt;0,Q7-TODAY()&lt;=14),"Package ends soon",IF(AND(N7&lt;&gt;"",N7&lt;=TODAY()),"Check-in due","")))))))))</f>
        <v/>
      </c>
      <c r="Q7" s="1">
        <f>IF(B7="",0,SUMPRODUCT(MAX((Packages!$C$6:$C$505=B7)*Packages!$N$6:$N$505)))</f>
        <v/>
      </c>
      <c r="R7">
        <f>IF(P7&lt;&gt;"",ROW(),"")</f>
        <v/>
      </c>
      <c r="S7">
        <f>IF(B7="",0,SUMPRODUCT(MAX(('Check-ins'!$C$6:$C$1505=B7)*'Check-ins'!$P$6:$P$1505)))</f>
        <v/>
      </c>
      <c r="T7">
        <f>IF(AND(B7&lt;&gt;"",F7&lt;&gt;"Paused",F7&lt;&gt;"Finished",J7&gt;0,L7&lt;=N(Settings!$C$7)),1,0)</f>
        <v/>
      </c>
      <c r="U7">
        <f>IF(AND(B7&lt;&gt;"",F7&lt;&gt;"Paused",F7&lt;&gt;"Finished",N7&lt;&gt;"",N7&lt;=TODAY()),1,0)</f>
        <v/>
      </c>
      <c r="V7">
        <f>IF(AND(B7&lt;&gt;"",F7&lt;&gt;"Paused",F7&lt;&gt;"Finished"),1,0)</f>
        <v/>
      </c>
    </row>
    <row r="8">
      <c r="A8" s="1" t="n"/>
      <c r="B8" s="19" t="inlineStr">
        <is>
          <t>Priya Nair</t>
        </is>
      </c>
      <c r="C8" s="21" t="inlineStr">
        <is>
          <t>priya.n@mail.example</t>
        </is>
      </c>
      <c r="D8" s="17" t="n">
        <v>46113</v>
      </c>
      <c r="E8" s="21" t="inlineStr">
        <is>
          <t>Back to training after a shoulder injury</t>
        </is>
      </c>
      <c r="F8" s="20" t="inlineStr">
        <is>
          <t>Active</t>
        </is>
      </c>
      <c r="G8" s="13">
        <f>IF(B8="","",SUMIFS(Sessions!$L$6:$L$3005,Sessions!$D$6:$D$3005,B8))</f>
        <v/>
      </c>
      <c r="H8" s="13">
        <f>IF(B8="","",SUMIFS(Sessions!$L$6:$L$3005,Sessions!$D$6:$D$3005,B8,Sessions!$J$6:$J$3005,(YEAR(TODAY())*100+MONTH(TODAY()))))</f>
        <v/>
      </c>
      <c r="I8" s="13">
        <f>IF(B8="","",SUMIFS(Sessions!$M$6:$M$3005,Sessions!$D$6:$D$3005,B8))</f>
        <v/>
      </c>
      <c r="J8" s="13">
        <f>IF(B8="","",SUMIFS(Packages!$D$6:$D$505,Packages!$C$6:$C$505,B8,Packages!$M$6:$M$505,1))</f>
        <v/>
      </c>
      <c r="K8" s="13">
        <f>IF(B8="","",SUMIFS(Sessions!$K$6:$K$3005,Sessions!$D$6:$D$3005,B8))</f>
        <v/>
      </c>
      <c r="L8" s="22">
        <f>IF(OR(B8="",J8=0),"",J8-K8)</f>
        <v/>
      </c>
      <c r="M8" s="23">
        <f>IF(B8="","",IF(SUMPRODUCT(MAX((Sessions!$D$6:$D$3005=B8)*Sessions!$L$6:$L$3005*Sessions!$I$6:$I$3005))=0,"",SUMPRODUCT(MAX((Sessions!$D$6:$D$3005=B8)*Sessions!$L$6:$L$3005*Sessions!$I$6:$I$3005))))</f>
        <v/>
      </c>
      <c r="N8" s="23">
        <f>IF(OR(B8="",F8="Finished"),"",IF(S8&gt;0,S8+7*N(Settings!$C$8),IF(ISNUMBER(D8),INT(D8)+7*N(Settings!$C$8),"")))</f>
        <v/>
      </c>
      <c r="O8" s="16">
        <f>IF(B8="","",SUMIFS(Packages!$J$6:$J$505,Packages!$C$6:$C$505,B8,Packages!$M$6:$M$505,1))</f>
        <v/>
      </c>
      <c r="P8" s="24">
        <f>IF(B8="","",IF(COUNTIF(Clients!$B$6:$B$105,B8)&gt;1,"Listed twice",IF(O8&gt;0,"Owes money",IF(F8="Finished","",IF(F8="Paused","",IF(AND(J8&gt;0,L8&lt;=0),"No sessions left",IF(AND(J8&gt;0,L8&lt;=N(Settings!$C$7)),"Few sessions left",IF(AND(Q8&gt;0,L8&gt;0,Q8&lt;TODAY()),"Package expired",IF(AND(Q8&gt;0,L8&gt;0,Q8-TODAY()&lt;=14),"Package ends soon",IF(AND(N8&lt;&gt;"",N8&lt;=TODAY()),"Check-in due","")))))))))</f>
        <v/>
      </c>
      <c r="Q8" s="1">
        <f>IF(B8="",0,SUMPRODUCT(MAX((Packages!$C$6:$C$505=B8)*Packages!$N$6:$N$505)))</f>
        <v/>
      </c>
      <c r="R8">
        <f>IF(P8&lt;&gt;"",ROW(),"")</f>
        <v/>
      </c>
      <c r="S8">
        <f>IF(B8="",0,SUMPRODUCT(MAX(('Check-ins'!$C$6:$C$1505=B8)*'Check-ins'!$P$6:$P$1505)))</f>
        <v/>
      </c>
      <c r="T8">
        <f>IF(AND(B8&lt;&gt;"",F8&lt;&gt;"Paused",F8&lt;&gt;"Finished",J8&gt;0,L8&lt;=N(Settings!$C$7)),1,0)</f>
        <v/>
      </c>
      <c r="U8">
        <f>IF(AND(B8&lt;&gt;"",F8&lt;&gt;"Paused",F8&lt;&gt;"Finished",N8&lt;&gt;"",N8&lt;=TODAY()),1,0)</f>
        <v/>
      </c>
      <c r="V8">
        <f>IF(AND(B8&lt;&gt;"",F8&lt;&gt;"Paused",F8&lt;&gt;"Finished"),1,0)</f>
        <v/>
      </c>
    </row>
    <row r="9">
      <c r="A9" s="1" t="n"/>
      <c r="B9" s="19" t="inlineStr">
        <is>
          <t>Tom Walsh</t>
        </is>
      </c>
      <c r="C9" s="21" t="inlineStr">
        <is>
          <t>tom.w@mail.example</t>
        </is>
      </c>
      <c r="D9" s="17" t="n">
        <v>46143</v>
      </c>
      <c r="E9" s="21" t="inlineStr">
        <is>
          <t>First pull-up</t>
        </is>
      </c>
      <c r="F9" s="20" t="inlineStr">
        <is>
          <t>Active</t>
        </is>
      </c>
      <c r="G9" s="13">
        <f>IF(B9="","",SUMIFS(Sessions!$L$6:$L$3005,Sessions!$D$6:$D$3005,B9))</f>
        <v/>
      </c>
      <c r="H9" s="13">
        <f>IF(B9="","",SUMIFS(Sessions!$L$6:$L$3005,Sessions!$D$6:$D$3005,B9,Sessions!$J$6:$J$3005,(YEAR(TODAY())*100+MONTH(TODAY()))))</f>
        <v/>
      </c>
      <c r="I9" s="13">
        <f>IF(B9="","",SUMIFS(Sessions!$M$6:$M$3005,Sessions!$D$6:$D$3005,B9))</f>
        <v/>
      </c>
      <c r="J9" s="13">
        <f>IF(B9="","",SUMIFS(Packages!$D$6:$D$505,Packages!$C$6:$C$505,B9,Packages!$M$6:$M$505,1))</f>
        <v/>
      </c>
      <c r="K9" s="13">
        <f>IF(B9="","",SUMIFS(Sessions!$K$6:$K$3005,Sessions!$D$6:$D$3005,B9))</f>
        <v/>
      </c>
      <c r="L9" s="22">
        <f>IF(OR(B9="",J9=0),"",J9-K9)</f>
        <v/>
      </c>
      <c r="M9" s="23">
        <f>IF(B9="","",IF(SUMPRODUCT(MAX((Sessions!$D$6:$D$3005=B9)*Sessions!$L$6:$L$3005*Sessions!$I$6:$I$3005))=0,"",SUMPRODUCT(MAX((Sessions!$D$6:$D$3005=B9)*Sessions!$L$6:$L$3005*Sessions!$I$6:$I$3005))))</f>
        <v/>
      </c>
      <c r="N9" s="23">
        <f>IF(OR(B9="",F9="Finished"),"",IF(S9&gt;0,S9+7*N(Settings!$C$8),IF(ISNUMBER(D9),INT(D9)+7*N(Settings!$C$8),"")))</f>
        <v/>
      </c>
      <c r="O9" s="16">
        <f>IF(B9="","",SUMIFS(Packages!$J$6:$J$505,Packages!$C$6:$C$505,B9,Packages!$M$6:$M$505,1))</f>
        <v/>
      </c>
      <c r="P9" s="24">
        <f>IF(B9="","",IF(COUNTIF(Clients!$B$6:$B$105,B9)&gt;1,"Listed twice",IF(O9&gt;0,"Owes money",IF(F9="Finished","",IF(F9="Paused","",IF(AND(J9&gt;0,L9&lt;=0),"No sessions left",IF(AND(J9&gt;0,L9&lt;=N(Settings!$C$7)),"Few sessions left",IF(AND(Q9&gt;0,L9&gt;0,Q9&lt;TODAY()),"Package expired",IF(AND(Q9&gt;0,L9&gt;0,Q9-TODAY()&lt;=14),"Package ends soon",IF(AND(N9&lt;&gt;"",N9&lt;=TODAY()),"Check-in due","")))))))))</f>
        <v/>
      </c>
      <c r="Q9" s="1">
        <f>IF(B9="",0,SUMPRODUCT(MAX((Packages!$C$6:$C$505=B9)*Packages!$N$6:$N$505)))</f>
        <v/>
      </c>
      <c r="R9">
        <f>IF(P9&lt;&gt;"",ROW(),"")</f>
        <v/>
      </c>
      <c r="S9">
        <f>IF(B9="",0,SUMPRODUCT(MAX(('Check-ins'!$C$6:$C$1505=B9)*'Check-ins'!$P$6:$P$1505)))</f>
        <v/>
      </c>
      <c r="T9">
        <f>IF(AND(B9&lt;&gt;"",F9&lt;&gt;"Paused",F9&lt;&gt;"Finished",J9&gt;0,L9&lt;=N(Settings!$C$7)),1,0)</f>
        <v/>
      </c>
      <c r="U9">
        <f>IF(AND(B9&lt;&gt;"",F9&lt;&gt;"Paused",F9&lt;&gt;"Finished",N9&lt;&gt;"",N9&lt;=TODAY()),1,0)</f>
        <v/>
      </c>
      <c r="V9">
        <f>IF(AND(B9&lt;&gt;"",F9&lt;&gt;"Paused",F9&lt;&gt;"Finished"),1,0)</f>
        <v/>
      </c>
    </row>
    <row r="10">
      <c r="A10" s="1" t="n"/>
      <c r="B10" s="19" t="inlineStr">
        <is>
          <t>Leah Fischer</t>
        </is>
      </c>
      <c r="C10" s="21" t="inlineStr">
        <is>
          <t>leah.f@mail.example</t>
        </is>
      </c>
      <c r="D10" s="17" t="n">
        <v>46173</v>
      </c>
      <c r="E10" s="21" t="inlineStr">
        <is>
          <t>Strength and energy for work</t>
        </is>
      </c>
      <c r="F10" s="20" t="inlineStr">
        <is>
          <t>Active</t>
        </is>
      </c>
      <c r="G10" s="13">
        <f>IF(B10="","",SUMIFS(Sessions!$L$6:$L$3005,Sessions!$D$6:$D$3005,B10))</f>
        <v/>
      </c>
      <c r="H10" s="13">
        <f>IF(B10="","",SUMIFS(Sessions!$L$6:$L$3005,Sessions!$D$6:$D$3005,B10,Sessions!$J$6:$J$3005,(YEAR(TODAY())*100+MONTH(TODAY()))))</f>
        <v/>
      </c>
      <c r="I10" s="13">
        <f>IF(B10="","",SUMIFS(Sessions!$M$6:$M$3005,Sessions!$D$6:$D$3005,B10))</f>
        <v/>
      </c>
      <c r="J10" s="13">
        <f>IF(B10="","",SUMIFS(Packages!$D$6:$D$505,Packages!$C$6:$C$505,B10,Packages!$M$6:$M$505,1))</f>
        <v/>
      </c>
      <c r="K10" s="13">
        <f>IF(B10="","",SUMIFS(Sessions!$K$6:$K$3005,Sessions!$D$6:$D$3005,B10))</f>
        <v/>
      </c>
      <c r="L10" s="22">
        <f>IF(OR(B10="",J10=0),"",J10-K10)</f>
        <v/>
      </c>
      <c r="M10" s="23">
        <f>IF(B10="","",IF(SUMPRODUCT(MAX((Sessions!$D$6:$D$3005=B10)*Sessions!$L$6:$L$3005*Sessions!$I$6:$I$3005))=0,"",SUMPRODUCT(MAX((Sessions!$D$6:$D$3005=B10)*Sessions!$L$6:$L$3005*Sessions!$I$6:$I$3005))))</f>
        <v/>
      </c>
      <c r="N10" s="23">
        <f>IF(OR(B10="",F10="Finished"),"",IF(S10&gt;0,S10+7*N(Settings!$C$8),IF(ISNUMBER(D10),INT(D10)+7*N(Settings!$C$8),"")))</f>
        <v/>
      </c>
      <c r="O10" s="16">
        <f>IF(B10="","",SUMIFS(Packages!$J$6:$J$505,Packages!$C$6:$C$505,B10,Packages!$M$6:$M$505,1))</f>
        <v/>
      </c>
      <c r="P10" s="24">
        <f>IF(B10="","",IF(COUNTIF(Clients!$B$6:$B$105,B10)&gt;1,"Listed twice",IF(O10&gt;0,"Owes money",IF(F10="Finished","",IF(F10="Paused","",IF(AND(J10&gt;0,L10&lt;=0),"No sessions left",IF(AND(J10&gt;0,L10&lt;=N(Settings!$C$7)),"Few sessions left",IF(AND(Q10&gt;0,L10&gt;0,Q10&lt;TODAY()),"Package expired",IF(AND(Q10&gt;0,L10&gt;0,Q10-TODAY()&lt;=14),"Package ends soon",IF(AND(N10&lt;&gt;"",N10&lt;=TODAY()),"Check-in due","")))))))))</f>
        <v/>
      </c>
      <c r="Q10" s="1">
        <f>IF(B10="",0,SUMPRODUCT(MAX((Packages!$C$6:$C$505=B10)*Packages!$N$6:$N$505)))</f>
        <v/>
      </c>
      <c r="R10">
        <f>IF(P10&lt;&gt;"",ROW(),"")</f>
        <v/>
      </c>
      <c r="S10">
        <f>IF(B10="",0,SUMPRODUCT(MAX(('Check-ins'!$C$6:$C$1505=B10)*'Check-ins'!$P$6:$P$1505)))</f>
        <v/>
      </c>
      <c r="T10">
        <f>IF(AND(B10&lt;&gt;"",F10&lt;&gt;"Paused",F10&lt;&gt;"Finished",J10&gt;0,L10&lt;=N(Settings!$C$7)),1,0)</f>
        <v/>
      </c>
      <c r="U10">
        <f>IF(AND(B10&lt;&gt;"",F10&lt;&gt;"Paused",F10&lt;&gt;"Finished",N10&lt;&gt;"",N10&lt;=TODAY()),1,0)</f>
        <v/>
      </c>
      <c r="V10">
        <f>IF(AND(B10&lt;&gt;"",F10&lt;&gt;"Paused",F10&lt;&gt;"Finished"),1,0)</f>
        <v/>
      </c>
    </row>
    <row r="11">
      <c r="A11" s="1" t="n"/>
      <c r="B11" s="19" t="inlineStr">
        <is>
          <t>Omar Haddad</t>
        </is>
      </c>
      <c r="C11" s="21" t="inlineStr">
        <is>
          <t>omar.h@mail.example</t>
        </is>
      </c>
      <c r="D11" s="17" t="n">
        <v>46193</v>
      </c>
      <c r="E11" s="21" t="inlineStr">
        <is>
          <t>Row 1 km under 4 minutes</t>
        </is>
      </c>
      <c r="F11" s="20" t="inlineStr">
        <is>
          <t>Active</t>
        </is>
      </c>
      <c r="G11" s="13">
        <f>IF(B11="","",SUMIFS(Sessions!$L$6:$L$3005,Sessions!$D$6:$D$3005,B11))</f>
        <v/>
      </c>
      <c r="H11" s="13">
        <f>IF(B11="","",SUMIFS(Sessions!$L$6:$L$3005,Sessions!$D$6:$D$3005,B11,Sessions!$J$6:$J$3005,(YEAR(TODAY())*100+MONTH(TODAY()))))</f>
        <v/>
      </c>
      <c r="I11" s="13">
        <f>IF(B11="","",SUMIFS(Sessions!$M$6:$M$3005,Sessions!$D$6:$D$3005,B11))</f>
        <v/>
      </c>
      <c r="J11" s="13">
        <f>IF(B11="","",SUMIFS(Packages!$D$6:$D$505,Packages!$C$6:$C$505,B11,Packages!$M$6:$M$505,1))</f>
        <v/>
      </c>
      <c r="K11" s="13">
        <f>IF(B11="","",SUMIFS(Sessions!$K$6:$K$3005,Sessions!$D$6:$D$3005,B11))</f>
        <v/>
      </c>
      <c r="L11" s="22">
        <f>IF(OR(B11="",J11=0),"",J11-K11)</f>
        <v/>
      </c>
      <c r="M11" s="23">
        <f>IF(B11="","",IF(SUMPRODUCT(MAX((Sessions!$D$6:$D$3005=B11)*Sessions!$L$6:$L$3005*Sessions!$I$6:$I$3005))=0,"",SUMPRODUCT(MAX((Sessions!$D$6:$D$3005=B11)*Sessions!$L$6:$L$3005*Sessions!$I$6:$I$3005))))</f>
        <v/>
      </c>
      <c r="N11" s="23">
        <f>IF(OR(B11="",F11="Finished"),"",IF(S11&gt;0,S11+7*N(Settings!$C$8),IF(ISNUMBER(D11),INT(D11)+7*N(Settings!$C$8),"")))</f>
        <v/>
      </c>
      <c r="O11" s="16">
        <f>IF(B11="","",SUMIFS(Packages!$J$6:$J$505,Packages!$C$6:$C$505,B11,Packages!$M$6:$M$505,1))</f>
        <v/>
      </c>
      <c r="P11" s="24">
        <f>IF(B11="","",IF(COUNTIF(Clients!$B$6:$B$105,B11)&gt;1,"Listed twice",IF(O11&gt;0,"Owes money",IF(F11="Finished","",IF(F11="Paused","",IF(AND(J11&gt;0,L11&lt;=0),"No sessions left",IF(AND(J11&gt;0,L11&lt;=N(Settings!$C$7)),"Few sessions left",IF(AND(Q11&gt;0,L11&gt;0,Q11&lt;TODAY()),"Package expired",IF(AND(Q11&gt;0,L11&gt;0,Q11-TODAY()&lt;=14),"Package ends soon",IF(AND(N11&lt;&gt;"",N11&lt;=TODAY()),"Check-in due","")))))))))</f>
        <v/>
      </c>
      <c r="Q11" s="1">
        <f>IF(B11="",0,SUMPRODUCT(MAX((Packages!$C$6:$C$505=B11)*Packages!$N$6:$N$505)))</f>
        <v/>
      </c>
      <c r="R11">
        <f>IF(P11&lt;&gt;"",ROW(),"")</f>
        <v/>
      </c>
      <c r="S11">
        <f>IF(B11="",0,SUMPRODUCT(MAX(('Check-ins'!$C$6:$C$1505=B11)*'Check-ins'!$P$6:$P$1505)))</f>
        <v/>
      </c>
      <c r="T11">
        <f>IF(AND(B11&lt;&gt;"",F11&lt;&gt;"Paused",F11&lt;&gt;"Finished",J11&gt;0,L11&lt;=N(Settings!$C$7)),1,0)</f>
        <v/>
      </c>
      <c r="U11">
        <f>IF(AND(B11&lt;&gt;"",F11&lt;&gt;"Paused",F11&lt;&gt;"Finished",N11&lt;&gt;"",N11&lt;=TODAY()),1,0)</f>
        <v/>
      </c>
      <c r="V11">
        <f>IF(AND(B11&lt;&gt;"",F11&lt;&gt;"Paused",F11&lt;&gt;"Finished"),1,0)</f>
        <v/>
      </c>
    </row>
    <row r="12">
      <c r="A12" s="1" t="n"/>
      <c r="B12" s="19" t="inlineStr">
        <is>
          <t>Grace Kim</t>
        </is>
      </c>
      <c r="C12" s="21" t="inlineStr">
        <is>
          <t>grace.k@mail.example</t>
        </is>
      </c>
      <c r="D12" s="17" t="n">
        <v>46143</v>
      </c>
      <c r="E12" s="21" t="inlineStr">
        <is>
          <t>Tone up for a wedding</t>
        </is>
      </c>
      <c r="F12" s="20" t="inlineStr">
        <is>
          <t>Paused</t>
        </is>
      </c>
      <c r="G12" s="13">
        <f>IF(B12="","",SUMIFS(Sessions!$L$6:$L$3005,Sessions!$D$6:$D$3005,B12))</f>
        <v/>
      </c>
      <c r="H12" s="13">
        <f>IF(B12="","",SUMIFS(Sessions!$L$6:$L$3005,Sessions!$D$6:$D$3005,B12,Sessions!$J$6:$J$3005,(YEAR(TODAY())*100+MONTH(TODAY()))))</f>
        <v/>
      </c>
      <c r="I12" s="13">
        <f>IF(B12="","",SUMIFS(Sessions!$M$6:$M$3005,Sessions!$D$6:$D$3005,B12))</f>
        <v/>
      </c>
      <c r="J12" s="13">
        <f>IF(B12="","",SUMIFS(Packages!$D$6:$D$505,Packages!$C$6:$C$505,B12,Packages!$M$6:$M$505,1))</f>
        <v/>
      </c>
      <c r="K12" s="13">
        <f>IF(B12="","",SUMIFS(Sessions!$K$6:$K$3005,Sessions!$D$6:$D$3005,B12))</f>
        <v/>
      </c>
      <c r="L12" s="22">
        <f>IF(OR(B12="",J12=0),"",J12-K12)</f>
        <v/>
      </c>
      <c r="M12" s="23">
        <f>IF(B12="","",IF(SUMPRODUCT(MAX((Sessions!$D$6:$D$3005=B12)*Sessions!$L$6:$L$3005*Sessions!$I$6:$I$3005))=0,"",SUMPRODUCT(MAX((Sessions!$D$6:$D$3005=B12)*Sessions!$L$6:$L$3005*Sessions!$I$6:$I$3005))))</f>
        <v/>
      </c>
      <c r="N12" s="23">
        <f>IF(OR(B12="",F12="Finished"),"",IF(S12&gt;0,S12+7*N(Settings!$C$8),IF(ISNUMBER(D12),INT(D12)+7*N(Settings!$C$8),"")))</f>
        <v/>
      </c>
      <c r="O12" s="16">
        <f>IF(B12="","",SUMIFS(Packages!$J$6:$J$505,Packages!$C$6:$C$505,B12,Packages!$M$6:$M$505,1))</f>
        <v/>
      </c>
      <c r="P12" s="24">
        <f>IF(B12="","",IF(COUNTIF(Clients!$B$6:$B$105,B12)&gt;1,"Listed twice",IF(O12&gt;0,"Owes money",IF(F12="Finished","",IF(F12="Paused","",IF(AND(J12&gt;0,L12&lt;=0),"No sessions left",IF(AND(J12&gt;0,L12&lt;=N(Settings!$C$7)),"Few sessions left",IF(AND(Q12&gt;0,L12&gt;0,Q12&lt;TODAY()),"Package expired",IF(AND(Q12&gt;0,L12&gt;0,Q12-TODAY()&lt;=14),"Package ends soon",IF(AND(N12&lt;&gt;"",N12&lt;=TODAY()),"Check-in due","")))))))))</f>
        <v/>
      </c>
      <c r="Q12" s="1">
        <f>IF(B12="",0,SUMPRODUCT(MAX((Packages!$C$6:$C$505=B12)*Packages!$N$6:$N$505)))</f>
        <v/>
      </c>
      <c r="R12">
        <f>IF(P12&lt;&gt;"",ROW(),"")</f>
        <v/>
      </c>
      <c r="S12">
        <f>IF(B12="",0,SUMPRODUCT(MAX(('Check-ins'!$C$6:$C$1505=B12)*'Check-ins'!$P$6:$P$1505)))</f>
        <v/>
      </c>
      <c r="T12">
        <f>IF(AND(B12&lt;&gt;"",F12&lt;&gt;"Paused",F12&lt;&gt;"Finished",J12&gt;0,L12&lt;=N(Settings!$C$7)),1,0)</f>
        <v/>
      </c>
      <c r="U12">
        <f>IF(AND(B12&lt;&gt;"",F12&lt;&gt;"Paused",F12&lt;&gt;"Finished",N12&lt;&gt;"",N12&lt;=TODAY()),1,0)</f>
        <v/>
      </c>
      <c r="V12">
        <f>IF(AND(B12&lt;&gt;"",F12&lt;&gt;"Paused",F12&lt;&gt;"Finished"),1,0)</f>
        <v/>
      </c>
    </row>
    <row r="13">
      <c r="A13" s="1" t="n"/>
      <c r="B13" s="19" t="inlineStr">
        <is>
          <t>Luis Moreno</t>
        </is>
      </c>
      <c r="C13" s="21" t="inlineStr">
        <is>
          <t>luis.m@mail.example</t>
        </is>
      </c>
      <c r="D13" s="17" t="n">
        <v>46233</v>
      </c>
      <c r="E13" s="21" t="inlineStr">
        <is>
          <t>Build muscle</t>
        </is>
      </c>
      <c r="F13" s="20" t="inlineStr">
        <is>
          <t>Active</t>
        </is>
      </c>
      <c r="G13" s="13">
        <f>IF(B13="","",SUMIFS(Sessions!$L$6:$L$3005,Sessions!$D$6:$D$3005,B13))</f>
        <v/>
      </c>
      <c r="H13" s="13">
        <f>IF(B13="","",SUMIFS(Sessions!$L$6:$L$3005,Sessions!$D$6:$D$3005,B13,Sessions!$J$6:$J$3005,(YEAR(TODAY())*100+MONTH(TODAY()))))</f>
        <v/>
      </c>
      <c r="I13" s="13">
        <f>IF(B13="","",SUMIFS(Sessions!$M$6:$M$3005,Sessions!$D$6:$D$3005,B13))</f>
        <v/>
      </c>
      <c r="J13" s="13">
        <f>IF(B13="","",SUMIFS(Packages!$D$6:$D$505,Packages!$C$6:$C$505,B13,Packages!$M$6:$M$505,1))</f>
        <v/>
      </c>
      <c r="K13" s="13">
        <f>IF(B13="","",SUMIFS(Sessions!$K$6:$K$3005,Sessions!$D$6:$D$3005,B13))</f>
        <v/>
      </c>
      <c r="L13" s="22">
        <f>IF(OR(B13="",J13=0),"",J13-K13)</f>
        <v/>
      </c>
      <c r="M13" s="23">
        <f>IF(B13="","",IF(SUMPRODUCT(MAX((Sessions!$D$6:$D$3005=B13)*Sessions!$L$6:$L$3005*Sessions!$I$6:$I$3005))=0,"",SUMPRODUCT(MAX((Sessions!$D$6:$D$3005=B13)*Sessions!$L$6:$L$3005*Sessions!$I$6:$I$3005))))</f>
        <v/>
      </c>
      <c r="N13" s="23">
        <f>IF(OR(B13="",F13="Finished"),"",IF(S13&gt;0,S13+7*N(Settings!$C$8),IF(ISNUMBER(D13),INT(D13)+7*N(Settings!$C$8),"")))</f>
        <v/>
      </c>
      <c r="O13" s="16">
        <f>IF(B13="","",SUMIFS(Packages!$J$6:$J$505,Packages!$C$6:$C$505,B13,Packages!$M$6:$M$505,1))</f>
        <v/>
      </c>
      <c r="P13" s="24">
        <f>IF(B13="","",IF(COUNTIF(Clients!$B$6:$B$105,B13)&gt;1,"Listed twice",IF(O13&gt;0,"Owes money",IF(F13="Finished","",IF(F13="Paused","",IF(AND(J13&gt;0,L13&lt;=0),"No sessions left",IF(AND(J13&gt;0,L13&lt;=N(Settings!$C$7)),"Few sessions left",IF(AND(Q13&gt;0,L13&gt;0,Q13&lt;TODAY()),"Package expired",IF(AND(Q13&gt;0,L13&gt;0,Q13-TODAY()&lt;=14),"Package ends soon",IF(AND(N13&lt;&gt;"",N13&lt;=TODAY()),"Check-in due","")))))))))</f>
        <v/>
      </c>
      <c r="Q13" s="1">
        <f>IF(B13="",0,SUMPRODUCT(MAX((Packages!$C$6:$C$505=B13)*Packages!$N$6:$N$505)))</f>
        <v/>
      </c>
      <c r="R13">
        <f>IF(P13&lt;&gt;"",ROW(),"")</f>
        <v/>
      </c>
      <c r="S13">
        <f>IF(B13="",0,SUMPRODUCT(MAX(('Check-ins'!$C$6:$C$1505=B13)*'Check-ins'!$P$6:$P$1505)))</f>
        <v/>
      </c>
      <c r="T13">
        <f>IF(AND(B13&lt;&gt;"",F13&lt;&gt;"Paused",F13&lt;&gt;"Finished",J13&gt;0,L13&lt;=N(Settings!$C$7)),1,0)</f>
        <v/>
      </c>
      <c r="U13">
        <f>IF(AND(B13&lt;&gt;"",F13&lt;&gt;"Paused",F13&lt;&gt;"Finished",N13&lt;&gt;"",N13&lt;=TODAY()),1,0)</f>
        <v/>
      </c>
      <c r="V13">
        <f>IF(AND(B13&lt;&gt;"",F13&lt;&gt;"Paused",F13&lt;&gt;"Finished"),1,0)</f>
        <v/>
      </c>
    </row>
    <row r="14">
      <c r="A14" s="1" t="n"/>
      <c r="B14" s="19" t="inlineStr">
        <is>
          <t>Hannah Brooks</t>
        </is>
      </c>
      <c r="C14" s="21" t="inlineStr">
        <is>
          <t>hannah.b@mail.example</t>
        </is>
      </c>
      <c r="D14" s="17" t="n">
        <v>45993</v>
      </c>
      <c r="E14" s="21" t="inlineStr">
        <is>
          <t>Stay fit and flexible</t>
        </is>
      </c>
      <c r="F14" s="20" t="inlineStr">
        <is>
          <t>Finished</t>
        </is>
      </c>
      <c r="G14" s="13">
        <f>IF(B14="","",SUMIFS(Sessions!$L$6:$L$3005,Sessions!$D$6:$D$3005,B14))</f>
        <v/>
      </c>
      <c r="H14" s="13">
        <f>IF(B14="","",SUMIFS(Sessions!$L$6:$L$3005,Sessions!$D$6:$D$3005,B14,Sessions!$J$6:$J$3005,(YEAR(TODAY())*100+MONTH(TODAY()))))</f>
        <v/>
      </c>
      <c r="I14" s="13">
        <f>IF(B14="","",SUMIFS(Sessions!$M$6:$M$3005,Sessions!$D$6:$D$3005,B14))</f>
        <v/>
      </c>
      <c r="J14" s="13">
        <f>IF(B14="","",SUMIFS(Packages!$D$6:$D$505,Packages!$C$6:$C$505,B14,Packages!$M$6:$M$505,1))</f>
        <v/>
      </c>
      <c r="K14" s="13">
        <f>IF(B14="","",SUMIFS(Sessions!$K$6:$K$3005,Sessions!$D$6:$D$3005,B14))</f>
        <v/>
      </c>
      <c r="L14" s="22">
        <f>IF(OR(B14="",J14=0),"",J14-K14)</f>
        <v/>
      </c>
      <c r="M14" s="23">
        <f>IF(B14="","",IF(SUMPRODUCT(MAX((Sessions!$D$6:$D$3005=B14)*Sessions!$L$6:$L$3005*Sessions!$I$6:$I$3005))=0,"",SUMPRODUCT(MAX((Sessions!$D$6:$D$3005=B14)*Sessions!$L$6:$L$3005*Sessions!$I$6:$I$3005))))</f>
        <v/>
      </c>
      <c r="N14" s="23">
        <f>IF(OR(B14="",F14="Finished"),"",IF(S14&gt;0,S14+7*N(Settings!$C$8),IF(ISNUMBER(D14),INT(D14)+7*N(Settings!$C$8),"")))</f>
        <v/>
      </c>
      <c r="O14" s="16">
        <f>IF(B14="","",SUMIFS(Packages!$J$6:$J$505,Packages!$C$6:$C$505,B14,Packages!$M$6:$M$505,1))</f>
        <v/>
      </c>
      <c r="P14" s="24">
        <f>IF(B14="","",IF(COUNTIF(Clients!$B$6:$B$105,B14)&gt;1,"Listed twice",IF(O14&gt;0,"Owes money",IF(F14="Finished","",IF(F14="Paused","",IF(AND(J14&gt;0,L14&lt;=0),"No sessions left",IF(AND(J14&gt;0,L14&lt;=N(Settings!$C$7)),"Few sessions left",IF(AND(Q14&gt;0,L14&gt;0,Q14&lt;TODAY()),"Package expired",IF(AND(Q14&gt;0,L14&gt;0,Q14-TODAY()&lt;=14),"Package ends soon",IF(AND(N14&lt;&gt;"",N14&lt;=TODAY()),"Check-in due","")))))))))</f>
        <v/>
      </c>
      <c r="Q14" s="1">
        <f>IF(B14="",0,SUMPRODUCT(MAX((Packages!$C$6:$C$505=B14)*Packages!$N$6:$N$505)))</f>
        <v/>
      </c>
      <c r="R14">
        <f>IF(P14&lt;&gt;"",ROW(),"")</f>
        <v/>
      </c>
      <c r="S14">
        <f>IF(B14="",0,SUMPRODUCT(MAX(('Check-ins'!$C$6:$C$1505=B14)*'Check-ins'!$P$6:$P$1505)))</f>
        <v/>
      </c>
      <c r="T14">
        <f>IF(AND(B14&lt;&gt;"",F14&lt;&gt;"Paused",F14&lt;&gt;"Finished",J14&gt;0,L14&lt;=N(Settings!$C$7)),1,0)</f>
        <v/>
      </c>
      <c r="U14">
        <f>IF(AND(B14&lt;&gt;"",F14&lt;&gt;"Paused",F14&lt;&gt;"Finished",N14&lt;&gt;"",N14&lt;=TODAY()),1,0)</f>
        <v/>
      </c>
      <c r="V14">
        <f>IF(AND(B14&lt;&gt;"",F14&lt;&gt;"Paused",F14&lt;&gt;"Finished"),1,0)</f>
        <v/>
      </c>
    </row>
    <row r="15">
      <c r="A15" s="1" t="n"/>
      <c r="B15" s="19" t="inlineStr">
        <is>
          <t>Sam Taylor</t>
        </is>
      </c>
      <c r="C15" s="21" t="inlineStr">
        <is>
          <t>sam.t@mail.example</t>
        </is>
      </c>
      <c r="D15" s="17" t="n">
        <v>46263</v>
      </c>
      <c r="E15" s="21" t="inlineStr">
        <is>
          <t>Get into a routine</t>
        </is>
      </c>
      <c r="F15" s="20" t="inlineStr">
        <is>
          <t>Active</t>
        </is>
      </c>
      <c r="G15" s="13">
        <f>IF(B15="","",SUMIFS(Sessions!$L$6:$L$3005,Sessions!$D$6:$D$3005,B15))</f>
        <v/>
      </c>
      <c r="H15" s="13">
        <f>IF(B15="","",SUMIFS(Sessions!$L$6:$L$3005,Sessions!$D$6:$D$3005,B15,Sessions!$J$6:$J$3005,(YEAR(TODAY())*100+MONTH(TODAY()))))</f>
        <v/>
      </c>
      <c r="I15" s="13">
        <f>IF(B15="","",SUMIFS(Sessions!$M$6:$M$3005,Sessions!$D$6:$D$3005,B15))</f>
        <v/>
      </c>
      <c r="J15" s="13">
        <f>IF(B15="","",SUMIFS(Packages!$D$6:$D$505,Packages!$C$6:$C$505,B15,Packages!$M$6:$M$505,1))</f>
        <v/>
      </c>
      <c r="K15" s="13">
        <f>IF(B15="","",SUMIFS(Sessions!$K$6:$K$3005,Sessions!$D$6:$D$3005,B15))</f>
        <v/>
      </c>
      <c r="L15" s="22">
        <f>IF(OR(B15="",J15=0),"",J15-K15)</f>
        <v/>
      </c>
      <c r="M15" s="23">
        <f>IF(B15="","",IF(SUMPRODUCT(MAX((Sessions!$D$6:$D$3005=B15)*Sessions!$L$6:$L$3005*Sessions!$I$6:$I$3005))=0,"",SUMPRODUCT(MAX((Sessions!$D$6:$D$3005=B15)*Sessions!$L$6:$L$3005*Sessions!$I$6:$I$3005))))</f>
        <v/>
      </c>
      <c r="N15" s="23">
        <f>IF(OR(B15="",F15="Finished"),"",IF(S15&gt;0,S15+7*N(Settings!$C$8),IF(ISNUMBER(D15),INT(D15)+7*N(Settings!$C$8),"")))</f>
        <v/>
      </c>
      <c r="O15" s="16">
        <f>IF(B15="","",SUMIFS(Packages!$J$6:$J$505,Packages!$C$6:$C$505,B15,Packages!$M$6:$M$505,1))</f>
        <v/>
      </c>
      <c r="P15" s="24">
        <f>IF(B15="","",IF(COUNTIF(Clients!$B$6:$B$105,B15)&gt;1,"Listed twice",IF(O15&gt;0,"Owes money",IF(F15="Finished","",IF(F15="Paused","",IF(AND(J15&gt;0,L15&lt;=0),"No sessions left",IF(AND(J15&gt;0,L15&lt;=N(Settings!$C$7)),"Few sessions left",IF(AND(Q15&gt;0,L15&gt;0,Q15&lt;TODAY()),"Package expired",IF(AND(Q15&gt;0,L15&gt;0,Q15-TODAY()&lt;=14),"Package ends soon",IF(AND(N15&lt;&gt;"",N15&lt;=TODAY()),"Check-in due","")))))))))</f>
        <v/>
      </c>
      <c r="Q15" s="1">
        <f>IF(B15="",0,SUMPRODUCT(MAX((Packages!$C$6:$C$505=B15)*Packages!$N$6:$N$505)))</f>
        <v/>
      </c>
      <c r="R15">
        <f>IF(P15&lt;&gt;"",ROW(),"")</f>
        <v/>
      </c>
      <c r="S15">
        <f>IF(B15="",0,SUMPRODUCT(MAX(('Check-ins'!$C$6:$C$1505=B15)*'Check-ins'!$P$6:$P$1505)))</f>
        <v/>
      </c>
      <c r="T15">
        <f>IF(AND(B15&lt;&gt;"",F15&lt;&gt;"Paused",F15&lt;&gt;"Finished",J15&gt;0,L15&lt;=N(Settings!$C$7)),1,0)</f>
        <v/>
      </c>
      <c r="U15">
        <f>IF(AND(B15&lt;&gt;"",F15&lt;&gt;"Paused",F15&lt;&gt;"Finished",N15&lt;&gt;"",N15&lt;=TODAY()),1,0)</f>
        <v/>
      </c>
      <c r="V15">
        <f>IF(AND(B15&lt;&gt;"",F15&lt;&gt;"Paused",F15&lt;&gt;"Finished"),1,0)</f>
        <v/>
      </c>
    </row>
    <row r="16">
      <c r="A16" s="1" t="n"/>
      <c r="B16" s="19" t="n"/>
      <c r="C16" s="21" t="n"/>
      <c r="D16" s="17" t="n"/>
      <c r="E16" s="21" t="n"/>
      <c r="F16" s="20" t="n"/>
      <c r="G16" s="13">
        <f>IF(B16="","",SUMIFS(Sessions!$L$6:$L$3005,Sessions!$D$6:$D$3005,B16))</f>
        <v/>
      </c>
      <c r="H16" s="13">
        <f>IF(B16="","",SUMIFS(Sessions!$L$6:$L$3005,Sessions!$D$6:$D$3005,B16,Sessions!$J$6:$J$3005,(YEAR(TODAY())*100+MONTH(TODAY()))))</f>
        <v/>
      </c>
      <c r="I16" s="13">
        <f>IF(B16="","",SUMIFS(Sessions!$M$6:$M$3005,Sessions!$D$6:$D$3005,B16))</f>
        <v/>
      </c>
      <c r="J16" s="13">
        <f>IF(B16="","",SUMIFS(Packages!$D$6:$D$505,Packages!$C$6:$C$505,B16,Packages!$M$6:$M$505,1))</f>
        <v/>
      </c>
      <c r="K16" s="13">
        <f>IF(B16="","",SUMIFS(Sessions!$K$6:$K$3005,Sessions!$D$6:$D$3005,B16))</f>
        <v/>
      </c>
      <c r="L16" s="22">
        <f>IF(OR(B16="",J16=0),"",J16-K16)</f>
        <v/>
      </c>
      <c r="M16" s="23">
        <f>IF(B16="","",IF(SUMPRODUCT(MAX((Sessions!$D$6:$D$3005=B16)*Sessions!$L$6:$L$3005*Sessions!$I$6:$I$3005))=0,"",SUMPRODUCT(MAX((Sessions!$D$6:$D$3005=B16)*Sessions!$L$6:$L$3005*Sessions!$I$6:$I$3005))))</f>
        <v/>
      </c>
      <c r="N16" s="23">
        <f>IF(OR(B16="",F16="Finished"),"",IF(S16&gt;0,S16+7*N(Settings!$C$8),IF(ISNUMBER(D16),INT(D16)+7*N(Settings!$C$8),"")))</f>
        <v/>
      </c>
      <c r="O16" s="16">
        <f>IF(B16="","",SUMIFS(Packages!$J$6:$J$505,Packages!$C$6:$C$505,B16,Packages!$M$6:$M$505,1))</f>
        <v/>
      </c>
      <c r="P16" s="24">
        <f>IF(B16="","",IF(COUNTIF(Clients!$B$6:$B$105,B16)&gt;1,"Listed twice",IF(O16&gt;0,"Owes money",IF(F16="Finished","",IF(F16="Paused","",IF(AND(J16&gt;0,L16&lt;=0),"No sessions left",IF(AND(J16&gt;0,L16&lt;=N(Settings!$C$7)),"Few sessions left",IF(AND(Q16&gt;0,L16&gt;0,Q16&lt;TODAY()),"Package expired",IF(AND(Q16&gt;0,L16&gt;0,Q16-TODAY()&lt;=14),"Package ends soon",IF(AND(N16&lt;&gt;"",N16&lt;=TODAY()),"Check-in due","")))))))))</f>
        <v/>
      </c>
      <c r="Q16" s="1">
        <f>IF(B16="",0,SUMPRODUCT(MAX((Packages!$C$6:$C$505=B16)*Packages!$N$6:$N$505)))</f>
        <v/>
      </c>
      <c r="R16">
        <f>IF(P16&lt;&gt;"",ROW(),"")</f>
        <v/>
      </c>
      <c r="S16">
        <f>IF(B16="",0,SUMPRODUCT(MAX(('Check-ins'!$C$6:$C$1505=B16)*'Check-ins'!$P$6:$P$1505)))</f>
        <v/>
      </c>
      <c r="T16">
        <f>IF(AND(B16&lt;&gt;"",F16&lt;&gt;"Paused",F16&lt;&gt;"Finished",J16&gt;0,L16&lt;=N(Settings!$C$7)),1,0)</f>
        <v/>
      </c>
      <c r="U16">
        <f>IF(AND(B16&lt;&gt;"",F16&lt;&gt;"Paused",F16&lt;&gt;"Finished",N16&lt;&gt;"",N16&lt;=TODAY()),1,0)</f>
        <v/>
      </c>
      <c r="V16">
        <f>IF(AND(B16&lt;&gt;"",F16&lt;&gt;"Paused",F16&lt;&gt;"Finished"),1,0)</f>
        <v/>
      </c>
    </row>
    <row r="17">
      <c r="A17" s="1" t="n"/>
      <c r="B17" s="19" t="n"/>
      <c r="C17" s="21" t="n"/>
      <c r="D17" s="17" t="n"/>
      <c r="E17" s="21" t="n"/>
      <c r="F17" s="20" t="n"/>
      <c r="G17" s="13">
        <f>IF(B17="","",SUMIFS(Sessions!$L$6:$L$3005,Sessions!$D$6:$D$3005,B17))</f>
        <v/>
      </c>
      <c r="H17" s="13">
        <f>IF(B17="","",SUMIFS(Sessions!$L$6:$L$3005,Sessions!$D$6:$D$3005,B17,Sessions!$J$6:$J$3005,(YEAR(TODAY())*100+MONTH(TODAY()))))</f>
        <v/>
      </c>
      <c r="I17" s="13">
        <f>IF(B17="","",SUMIFS(Sessions!$M$6:$M$3005,Sessions!$D$6:$D$3005,B17))</f>
        <v/>
      </c>
      <c r="J17" s="13">
        <f>IF(B17="","",SUMIFS(Packages!$D$6:$D$505,Packages!$C$6:$C$505,B17,Packages!$M$6:$M$505,1))</f>
        <v/>
      </c>
      <c r="K17" s="13">
        <f>IF(B17="","",SUMIFS(Sessions!$K$6:$K$3005,Sessions!$D$6:$D$3005,B17))</f>
        <v/>
      </c>
      <c r="L17" s="22">
        <f>IF(OR(B17="",J17=0),"",J17-K17)</f>
        <v/>
      </c>
      <c r="M17" s="23">
        <f>IF(B17="","",IF(SUMPRODUCT(MAX((Sessions!$D$6:$D$3005=B17)*Sessions!$L$6:$L$3005*Sessions!$I$6:$I$3005))=0,"",SUMPRODUCT(MAX((Sessions!$D$6:$D$3005=B17)*Sessions!$L$6:$L$3005*Sessions!$I$6:$I$3005))))</f>
        <v/>
      </c>
      <c r="N17" s="23">
        <f>IF(OR(B17="",F17="Finished"),"",IF(S17&gt;0,S17+7*N(Settings!$C$8),IF(ISNUMBER(D17),INT(D17)+7*N(Settings!$C$8),"")))</f>
        <v/>
      </c>
      <c r="O17" s="16">
        <f>IF(B17="","",SUMIFS(Packages!$J$6:$J$505,Packages!$C$6:$C$505,B17,Packages!$M$6:$M$505,1))</f>
        <v/>
      </c>
      <c r="P17" s="24">
        <f>IF(B17="","",IF(COUNTIF(Clients!$B$6:$B$105,B17)&gt;1,"Listed twice",IF(O17&gt;0,"Owes money",IF(F17="Finished","",IF(F17="Paused","",IF(AND(J17&gt;0,L17&lt;=0),"No sessions left",IF(AND(J17&gt;0,L17&lt;=N(Settings!$C$7)),"Few sessions left",IF(AND(Q17&gt;0,L17&gt;0,Q17&lt;TODAY()),"Package expired",IF(AND(Q17&gt;0,L17&gt;0,Q17-TODAY()&lt;=14),"Package ends soon",IF(AND(N17&lt;&gt;"",N17&lt;=TODAY()),"Check-in due","")))))))))</f>
        <v/>
      </c>
      <c r="Q17" s="1">
        <f>IF(B17="",0,SUMPRODUCT(MAX((Packages!$C$6:$C$505=B17)*Packages!$N$6:$N$505)))</f>
        <v/>
      </c>
      <c r="R17">
        <f>IF(P17&lt;&gt;"",ROW(),"")</f>
        <v/>
      </c>
      <c r="S17">
        <f>IF(B17="",0,SUMPRODUCT(MAX(('Check-ins'!$C$6:$C$1505=B17)*'Check-ins'!$P$6:$P$1505)))</f>
        <v/>
      </c>
      <c r="T17">
        <f>IF(AND(B17&lt;&gt;"",F17&lt;&gt;"Paused",F17&lt;&gt;"Finished",J17&gt;0,L17&lt;=N(Settings!$C$7)),1,0)</f>
        <v/>
      </c>
      <c r="U17">
        <f>IF(AND(B17&lt;&gt;"",F17&lt;&gt;"Paused",F17&lt;&gt;"Finished",N17&lt;&gt;"",N17&lt;=TODAY()),1,0)</f>
        <v/>
      </c>
      <c r="V17">
        <f>IF(AND(B17&lt;&gt;"",F17&lt;&gt;"Paused",F17&lt;&gt;"Finished"),1,0)</f>
        <v/>
      </c>
    </row>
    <row r="18">
      <c r="A18" s="1" t="n"/>
      <c r="B18" s="19" t="n"/>
      <c r="C18" s="21" t="n"/>
      <c r="D18" s="17" t="n"/>
      <c r="E18" s="21" t="n"/>
      <c r="F18" s="20" t="n"/>
      <c r="G18" s="13">
        <f>IF(B18="","",SUMIFS(Sessions!$L$6:$L$3005,Sessions!$D$6:$D$3005,B18))</f>
        <v/>
      </c>
      <c r="H18" s="13">
        <f>IF(B18="","",SUMIFS(Sessions!$L$6:$L$3005,Sessions!$D$6:$D$3005,B18,Sessions!$J$6:$J$3005,(YEAR(TODAY())*100+MONTH(TODAY()))))</f>
        <v/>
      </c>
      <c r="I18" s="13">
        <f>IF(B18="","",SUMIFS(Sessions!$M$6:$M$3005,Sessions!$D$6:$D$3005,B18))</f>
        <v/>
      </c>
      <c r="J18" s="13">
        <f>IF(B18="","",SUMIFS(Packages!$D$6:$D$505,Packages!$C$6:$C$505,B18,Packages!$M$6:$M$505,1))</f>
        <v/>
      </c>
      <c r="K18" s="13">
        <f>IF(B18="","",SUMIFS(Sessions!$K$6:$K$3005,Sessions!$D$6:$D$3005,B18))</f>
        <v/>
      </c>
      <c r="L18" s="22">
        <f>IF(OR(B18="",J18=0),"",J18-K18)</f>
        <v/>
      </c>
      <c r="M18" s="23">
        <f>IF(B18="","",IF(SUMPRODUCT(MAX((Sessions!$D$6:$D$3005=B18)*Sessions!$L$6:$L$3005*Sessions!$I$6:$I$3005))=0,"",SUMPRODUCT(MAX((Sessions!$D$6:$D$3005=B18)*Sessions!$L$6:$L$3005*Sessions!$I$6:$I$3005))))</f>
        <v/>
      </c>
      <c r="N18" s="23">
        <f>IF(OR(B18="",F18="Finished"),"",IF(S18&gt;0,S18+7*N(Settings!$C$8),IF(ISNUMBER(D18),INT(D18)+7*N(Settings!$C$8),"")))</f>
        <v/>
      </c>
      <c r="O18" s="16">
        <f>IF(B18="","",SUMIFS(Packages!$J$6:$J$505,Packages!$C$6:$C$505,B18,Packages!$M$6:$M$505,1))</f>
        <v/>
      </c>
      <c r="P18" s="24">
        <f>IF(B18="","",IF(COUNTIF(Clients!$B$6:$B$105,B18)&gt;1,"Listed twice",IF(O18&gt;0,"Owes money",IF(F18="Finished","",IF(F18="Paused","",IF(AND(J18&gt;0,L18&lt;=0),"No sessions left",IF(AND(J18&gt;0,L18&lt;=N(Settings!$C$7)),"Few sessions left",IF(AND(Q18&gt;0,L18&gt;0,Q18&lt;TODAY()),"Package expired",IF(AND(Q18&gt;0,L18&gt;0,Q18-TODAY()&lt;=14),"Package ends soon",IF(AND(N18&lt;&gt;"",N18&lt;=TODAY()),"Check-in due","")))))))))</f>
        <v/>
      </c>
      <c r="Q18" s="1">
        <f>IF(B18="",0,SUMPRODUCT(MAX((Packages!$C$6:$C$505=B18)*Packages!$N$6:$N$505)))</f>
        <v/>
      </c>
      <c r="R18">
        <f>IF(P18&lt;&gt;"",ROW(),"")</f>
        <v/>
      </c>
      <c r="S18">
        <f>IF(B18="",0,SUMPRODUCT(MAX(('Check-ins'!$C$6:$C$1505=B18)*'Check-ins'!$P$6:$P$1505)))</f>
        <v/>
      </c>
      <c r="T18">
        <f>IF(AND(B18&lt;&gt;"",F18&lt;&gt;"Paused",F18&lt;&gt;"Finished",J18&gt;0,L18&lt;=N(Settings!$C$7)),1,0)</f>
        <v/>
      </c>
      <c r="U18">
        <f>IF(AND(B18&lt;&gt;"",F18&lt;&gt;"Paused",F18&lt;&gt;"Finished",N18&lt;&gt;"",N18&lt;=TODAY()),1,0)</f>
        <v/>
      </c>
      <c r="V18">
        <f>IF(AND(B18&lt;&gt;"",F18&lt;&gt;"Paused",F18&lt;&gt;"Finished"),1,0)</f>
        <v/>
      </c>
    </row>
    <row r="19">
      <c r="A19" s="1" t="n"/>
      <c r="B19" s="19" t="n"/>
      <c r="C19" s="21" t="n"/>
      <c r="D19" s="17" t="n"/>
      <c r="E19" s="21" t="n"/>
      <c r="F19" s="20" t="n"/>
      <c r="G19" s="13">
        <f>IF(B19="","",SUMIFS(Sessions!$L$6:$L$3005,Sessions!$D$6:$D$3005,B19))</f>
        <v/>
      </c>
      <c r="H19" s="13">
        <f>IF(B19="","",SUMIFS(Sessions!$L$6:$L$3005,Sessions!$D$6:$D$3005,B19,Sessions!$J$6:$J$3005,(YEAR(TODAY())*100+MONTH(TODAY()))))</f>
        <v/>
      </c>
      <c r="I19" s="13">
        <f>IF(B19="","",SUMIFS(Sessions!$M$6:$M$3005,Sessions!$D$6:$D$3005,B19))</f>
        <v/>
      </c>
      <c r="J19" s="13">
        <f>IF(B19="","",SUMIFS(Packages!$D$6:$D$505,Packages!$C$6:$C$505,B19,Packages!$M$6:$M$505,1))</f>
        <v/>
      </c>
      <c r="K19" s="13">
        <f>IF(B19="","",SUMIFS(Sessions!$K$6:$K$3005,Sessions!$D$6:$D$3005,B19))</f>
        <v/>
      </c>
      <c r="L19" s="22">
        <f>IF(OR(B19="",J19=0),"",J19-K19)</f>
        <v/>
      </c>
      <c r="M19" s="23">
        <f>IF(B19="","",IF(SUMPRODUCT(MAX((Sessions!$D$6:$D$3005=B19)*Sessions!$L$6:$L$3005*Sessions!$I$6:$I$3005))=0,"",SUMPRODUCT(MAX((Sessions!$D$6:$D$3005=B19)*Sessions!$L$6:$L$3005*Sessions!$I$6:$I$3005))))</f>
        <v/>
      </c>
      <c r="N19" s="23">
        <f>IF(OR(B19="",F19="Finished"),"",IF(S19&gt;0,S19+7*N(Settings!$C$8),IF(ISNUMBER(D19),INT(D19)+7*N(Settings!$C$8),"")))</f>
        <v/>
      </c>
      <c r="O19" s="16">
        <f>IF(B19="","",SUMIFS(Packages!$J$6:$J$505,Packages!$C$6:$C$505,B19,Packages!$M$6:$M$505,1))</f>
        <v/>
      </c>
      <c r="P19" s="24">
        <f>IF(B19="","",IF(COUNTIF(Clients!$B$6:$B$105,B19)&gt;1,"Listed twice",IF(O19&gt;0,"Owes money",IF(F19="Finished","",IF(F19="Paused","",IF(AND(J19&gt;0,L19&lt;=0),"No sessions left",IF(AND(J19&gt;0,L19&lt;=N(Settings!$C$7)),"Few sessions left",IF(AND(Q19&gt;0,L19&gt;0,Q19&lt;TODAY()),"Package expired",IF(AND(Q19&gt;0,L19&gt;0,Q19-TODAY()&lt;=14),"Package ends soon",IF(AND(N19&lt;&gt;"",N19&lt;=TODAY()),"Check-in due","")))))))))</f>
        <v/>
      </c>
      <c r="Q19" s="1">
        <f>IF(B19="",0,SUMPRODUCT(MAX((Packages!$C$6:$C$505=B19)*Packages!$N$6:$N$505)))</f>
        <v/>
      </c>
      <c r="R19">
        <f>IF(P19&lt;&gt;"",ROW(),"")</f>
        <v/>
      </c>
      <c r="S19">
        <f>IF(B19="",0,SUMPRODUCT(MAX(('Check-ins'!$C$6:$C$1505=B19)*'Check-ins'!$P$6:$P$1505)))</f>
        <v/>
      </c>
      <c r="T19">
        <f>IF(AND(B19&lt;&gt;"",F19&lt;&gt;"Paused",F19&lt;&gt;"Finished",J19&gt;0,L19&lt;=N(Settings!$C$7)),1,0)</f>
        <v/>
      </c>
      <c r="U19">
        <f>IF(AND(B19&lt;&gt;"",F19&lt;&gt;"Paused",F19&lt;&gt;"Finished",N19&lt;&gt;"",N19&lt;=TODAY()),1,0)</f>
        <v/>
      </c>
      <c r="V19">
        <f>IF(AND(B19&lt;&gt;"",F19&lt;&gt;"Paused",F19&lt;&gt;"Finished"),1,0)</f>
        <v/>
      </c>
    </row>
    <row r="20">
      <c r="A20" s="1" t="n"/>
      <c r="B20" s="19" t="n"/>
      <c r="C20" s="21" t="n"/>
      <c r="D20" s="17" t="n"/>
      <c r="E20" s="21" t="n"/>
      <c r="F20" s="20" t="n"/>
      <c r="G20" s="13">
        <f>IF(B20="","",SUMIFS(Sessions!$L$6:$L$3005,Sessions!$D$6:$D$3005,B20))</f>
        <v/>
      </c>
      <c r="H20" s="13">
        <f>IF(B20="","",SUMIFS(Sessions!$L$6:$L$3005,Sessions!$D$6:$D$3005,B20,Sessions!$J$6:$J$3005,(YEAR(TODAY())*100+MONTH(TODAY()))))</f>
        <v/>
      </c>
      <c r="I20" s="13">
        <f>IF(B20="","",SUMIFS(Sessions!$M$6:$M$3005,Sessions!$D$6:$D$3005,B20))</f>
        <v/>
      </c>
      <c r="J20" s="13">
        <f>IF(B20="","",SUMIFS(Packages!$D$6:$D$505,Packages!$C$6:$C$505,B20,Packages!$M$6:$M$505,1))</f>
        <v/>
      </c>
      <c r="K20" s="13">
        <f>IF(B20="","",SUMIFS(Sessions!$K$6:$K$3005,Sessions!$D$6:$D$3005,B20))</f>
        <v/>
      </c>
      <c r="L20" s="22">
        <f>IF(OR(B20="",J20=0),"",J20-K20)</f>
        <v/>
      </c>
      <c r="M20" s="23">
        <f>IF(B20="","",IF(SUMPRODUCT(MAX((Sessions!$D$6:$D$3005=B20)*Sessions!$L$6:$L$3005*Sessions!$I$6:$I$3005))=0,"",SUMPRODUCT(MAX((Sessions!$D$6:$D$3005=B20)*Sessions!$L$6:$L$3005*Sessions!$I$6:$I$3005))))</f>
        <v/>
      </c>
      <c r="N20" s="23">
        <f>IF(OR(B20="",F20="Finished"),"",IF(S20&gt;0,S20+7*N(Settings!$C$8),IF(ISNUMBER(D20),INT(D20)+7*N(Settings!$C$8),"")))</f>
        <v/>
      </c>
      <c r="O20" s="16">
        <f>IF(B20="","",SUMIFS(Packages!$J$6:$J$505,Packages!$C$6:$C$505,B20,Packages!$M$6:$M$505,1))</f>
        <v/>
      </c>
      <c r="P20" s="24">
        <f>IF(B20="","",IF(COUNTIF(Clients!$B$6:$B$105,B20)&gt;1,"Listed twice",IF(O20&gt;0,"Owes money",IF(F20="Finished","",IF(F20="Paused","",IF(AND(J20&gt;0,L20&lt;=0),"No sessions left",IF(AND(J20&gt;0,L20&lt;=N(Settings!$C$7)),"Few sessions left",IF(AND(Q20&gt;0,L20&gt;0,Q20&lt;TODAY()),"Package expired",IF(AND(Q20&gt;0,L20&gt;0,Q20-TODAY()&lt;=14),"Package ends soon",IF(AND(N20&lt;&gt;"",N20&lt;=TODAY()),"Check-in due","")))))))))</f>
        <v/>
      </c>
      <c r="Q20" s="1">
        <f>IF(B20="",0,SUMPRODUCT(MAX((Packages!$C$6:$C$505=B20)*Packages!$N$6:$N$505)))</f>
        <v/>
      </c>
      <c r="R20">
        <f>IF(P20&lt;&gt;"",ROW(),"")</f>
        <v/>
      </c>
      <c r="S20">
        <f>IF(B20="",0,SUMPRODUCT(MAX(('Check-ins'!$C$6:$C$1505=B20)*'Check-ins'!$P$6:$P$1505)))</f>
        <v/>
      </c>
      <c r="T20">
        <f>IF(AND(B20&lt;&gt;"",F20&lt;&gt;"Paused",F20&lt;&gt;"Finished",J20&gt;0,L20&lt;=N(Settings!$C$7)),1,0)</f>
        <v/>
      </c>
      <c r="U20">
        <f>IF(AND(B20&lt;&gt;"",F20&lt;&gt;"Paused",F20&lt;&gt;"Finished",N20&lt;&gt;"",N20&lt;=TODAY()),1,0)</f>
        <v/>
      </c>
      <c r="V20">
        <f>IF(AND(B20&lt;&gt;"",F20&lt;&gt;"Paused",F20&lt;&gt;"Finished"),1,0)</f>
        <v/>
      </c>
    </row>
    <row r="21">
      <c r="A21" s="1" t="n"/>
      <c r="B21" s="19" t="n"/>
      <c r="C21" s="21" t="n"/>
      <c r="D21" s="17" t="n"/>
      <c r="E21" s="21" t="n"/>
      <c r="F21" s="20" t="n"/>
      <c r="G21" s="13">
        <f>IF(B21="","",SUMIFS(Sessions!$L$6:$L$3005,Sessions!$D$6:$D$3005,B21))</f>
        <v/>
      </c>
      <c r="H21" s="13">
        <f>IF(B21="","",SUMIFS(Sessions!$L$6:$L$3005,Sessions!$D$6:$D$3005,B21,Sessions!$J$6:$J$3005,(YEAR(TODAY())*100+MONTH(TODAY()))))</f>
        <v/>
      </c>
      <c r="I21" s="13">
        <f>IF(B21="","",SUMIFS(Sessions!$M$6:$M$3005,Sessions!$D$6:$D$3005,B21))</f>
        <v/>
      </c>
      <c r="J21" s="13">
        <f>IF(B21="","",SUMIFS(Packages!$D$6:$D$505,Packages!$C$6:$C$505,B21,Packages!$M$6:$M$505,1))</f>
        <v/>
      </c>
      <c r="K21" s="13">
        <f>IF(B21="","",SUMIFS(Sessions!$K$6:$K$3005,Sessions!$D$6:$D$3005,B21))</f>
        <v/>
      </c>
      <c r="L21" s="22">
        <f>IF(OR(B21="",J21=0),"",J21-K21)</f>
        <v/>
      </c>
      <c r="M21" s="23">
        <f>IF(B21="","",IF(SUMPRODUCT(MAX((Sessions!$D$6:$D$3005=B21)*Sessions!$L$6:$L$3005*Sessions!$I$6:$I$3005))=0,"",SUMPRODUCT(MAX((Sessions!$D$6:$D$3005=B21)*Sessions!$L$6:$L$3005*Sessions!$I$6:$I$3005))))</f>
        <v/>
      </c>
      <c r="N21" s="23">
        <f>IF(OR(B21="",F21="Finished"),"",IF(S21&gt;0,S21+7*N(Settings!$C$8),IF(ISNUMBER(D21),INT(D21)+7*N(Settings!$C$8),"")))</f>
        <v/>
      </c>
      <c r="O21" s="16">
        <f>IF(B21="","",SUMIFS(Packages!$J$6:$J$505,Packages!$C$6:$C$505,B21,Packages!$M$6:$M$505,1))</f>
        <v/>
      </c>
      <c r="P21" s="24">
        <f>IF(B21="","",IF(COUNTIF(Clients!$B$6:$B$105,B21)&gt;1,"Listed twice",IF(O21&gt;0,"Owes money",IF(F21="Finished","",IF(F21="Paused","",IF(AND(J21&gt;0,L21&lt;=0),"No sessions left",IF(AND(J21&gt;0,L21&lt;=N(Settings!$C$7)),"Few sessions left",IF(AND(Q21&gt;0,L21&gt;0,Q21&lt;TODAY()),"Package expired",IF(AND(Q21&gt;0,L21&gt;0,Q21-TODAY()&lt;=14),"Package ends soon",IF(AND(N21&lt;&gt;"",N21&lt;=TODAY()),"Check-in due","")))))))))</f>
        <v/>
      </c>
      <c r="Q21" s="1">
        <f>IF(B21="",0,SUMPRODUCT(MAX((Packages!$C$6:$C$505=B21)*Packages!$N$6:$N$505)))</f>
        <v/>
      </c>
      <c r="R21">
        <f>IF(P21&lt;&gt;"",ROW(),"")</f>
        <v/>
      </c>
      <c r="S21">
        <f>IF(B21="",0,SUMPRODUCT(MAX(('Check-ins'!$C$6:$C$1505=B21)*'Check-ins'!$P$6:$P$1505)))</f>
        <v/>
      </c>
      <c r="T21">
        <f>IF(AND(B21&lt;&gt;"",F21&lt;&gt;"Paused",F21&lt;&gt;"Finished",J21&gt;0,L21&lt;=N(Settings!$C$7)),1,0)</f>
        <v/>
      </c>
      <c r="U21">
        <f>IF(AND(B21&lt;&gt;"",F21&lt;&gt;"Paused",F21&lt;&gt;"Finished",N21&lt;&gt;"",N21&lt;=TODAY()),1,0)</f>
        <v/>
      </c>
      <c r="V21">
        <f>IF(AND(B21&lt;&gt;"",F21&lt;&gt;"Paused",F21&lt;&gt;"Finished"),1,0)</f>
        <v/>
      </c>
    </row>
    <row r="22">
      <c r="A22" s="1" t="n"/>
      <c r="B22" s="19" t="n"/>
      <c r="C22" s="21" t="n"/>
      <c r="D22" s="17" t="n"/>
      <c r="E22" s="21" t="n"/>
      <c r="F22" s="20" t="n"/>
      <c r="G22" s="13">
        <f>IF(B22="","",SUMIFS(Sessions!$L$6:$L$3005,Sessions!$D$6:$D$3005,B22))</f>
        <v/>
      </c>
      <c r="H22" s="13">
        <f>IF(B22="","",SUMIFS(Sessions!$L$6:$L$3005,Sessions!$D$6:$D$3005,B22,Sessions!$J$6:$J$3005,(YEAR(TODAY())*100+MONTH(TODAY()))))</f>
        <v/>
      </c>
      <c r="I22" s="13">
        <f>IF(B22="","",SUMIFS(Sessions!$M$6:$M$3005,Sessions!$D$6:$D$3005,B22))</f>
        <v/>
      </c>
      <c r="J22" s="13">
        <f>IF(B22="","",SUMIFS(Packages!$D$6:$D$505,Packages!$C$6:$C$505,B22,Packages!$M$6:$M$505,1))</f>
        <v/>
      </c>
      <c r="K22" s="13">
        <f>IF(B22="","",SUMIFS(Sessions!$K$6:$K$3005,Sessions!$D$6:$D$3005,B22))</f>
        <v/>
      </c>
      <c r="L22" s="22">
        <f>IF(OR(B22="",J22=0),"",J22-K22)</f>
        <v/>
      </c>
      <c r="M22" s="23">
        <f>IF(B22="","",IF(SUMPRODUCT(MAX((Sessions!$D$6:$D$3005=B22)*Sessions!$L$6:$L$3005*Sessions!$I$6:$I$3005))=0,"",SUMPRODUCT(MAX((Sessions!$D$6:$D$3005=B22)*Sessions!$L$6:$L$3005*Sessions!$I$6:$I$3005))))</f>
        <v/>
      </c>
      <c r="N22" s="23">
        <f>IF(OR(B22="",F22="Finished"),"",IF(S22&gt;0,S22+7*N(Settings!$C$8),IF(ISNUMBER(D22),INT(D22)+7*N(Settings!$C$8),"")))</f>
        <v/>
      </c>
      <c r="O22" s="16">
        <f>IF(B22="","",SUMIFS(Packages!$J$6:$J$505,Packages!$C$6:$C$505,B22,Packages!$M$6:$M$505,1))</f>
        <v/>
      </c>
      <c r="P22" s="24">
        <f>IF(B22="","",IF(COUNTIF(Clients!$B$6:$B$105,B22)&gt;1,"Listed twice",IF(O22&gt;0,"Owes money",IF(F22="Finished","",IF(F22="Paused","",IF(AND(J22&gt;0,L22&lt;=0),"No sessions left",IF(AND(J22&gt;0,L22&lt;=N(Settings!$C$7)),"Few sessions left",IF(AND(Q22&gt;0,L22&gt;0,Q22&lt;TODAY()),"Package expired",IF(AND(Q22&gt;0,L22&gt;0,Q22-TODAY()&lt;=14),"Package ends soon",IF(AND(N22&lt;&gt;"",N22&lt;=TODAY()),"Check-in due","")))))))))</f>
        <v/>
      </c>
      <c r="Q22" s="1">
        <f>IF(B22="",0,SUMPRODUCT(MAX((Packages!$C$6:$C$505=B22)*Packages!$N$6:$N$505)))</f>
        <v/>
      </c>
      <c r="R22">
        <f>IF(P22&lt;&gt;"",ROW(),"")</f>
        <v/>
      </c>
      <c r="S22">
        <f>IF(B22="",0,SUMPRODUCT(MAX(('Check-ins'!$C$6:$C$1505=B22)*'Check-ins'!$P$6:$P$1505)))</f>
        <v/>
      </c>
      <c r="T22">
        <f>IF(AND(B22&lt;&gt;"",F22&lt;&gt;"Paused",F22&lt;&gt;"Finished",J22&gt;0,L22&lt;=N(Settings!$C$7)),1,0)</f>
        <v/>
      </c>
      <c r="U22">
        <f>IF(AND(B22&lt;&gt;"",F22&lt;&gt;"Paused",F22&lt;&gt;"Finished",N22&lt;&gt;"",N22&lt;=TODAY()),1,0)</f>
        <v/>
      </c>
      <c r="V22">
        <f>IF(AND(B22&lt;&gt;"",F22&lt;&gt;"Paused",F22&lt;&gt;"Finished"),1,0)</f>
        <v/>
      </c>
    </row>
    <row r="23">
      <c r="A23" s="1" t="n"/>
      <c r="B23" s="19" t="n"/>
      <c r="C23" s="21" t="n"/>
      <c r="D23" s="17" t="n"/>
      <c r="E23" s="21" t="n"/>
      <c r="F23" s="20" t="n"/>
      <c r="G23" s="13">
        <f>IF(B23="","",SUMIFS(Sessions!$L$6:$L$3005,Sessions!$D$6:$D$3005,B23))</f>
        <v/>
      </c>
      <c r="H23" s="13">
        <f>IF(B23="","",SUMIFS(Sessions!$L$6:$L$3005,Sessions!$D$6:$D$3005,B23,Sessions!$J$6:$J$3005,(YEAR(TODAY())*100+MONTH(TODAY()))))</f>
        <v/>
      </c>
      <c r="I23" s="13">
        <f>IF(B23="","",SUMIFS(Sessions!$M$6:$M$3005,Sessions!$D$6:$D$3005,B23))</f>
        <v/>
      </c>
      <c r="J23" s="13">
        <f>IF(B23="","",SUMIFS(Packages!$D$6:$D$505,Packages!$C$6:$C$505,B23,Packages!$M$6:$M$505,1))</f>
        <v/>
      </c>
      <c r="K23" s="13">
        <f>IF(B23="","",SUMIFS(Sessions!$K$6:$K$3005,Sessions!$D$6:$D$3005,B23))</f>
        <v/>
      </c>
      <c r="L23" s="22">
        <f>IF(OR(B23="",J23=0),"",J23-K23)</f>
        <v/>
      </c>
      <c r="M23" s="23">
        <f>IF(B23="","",IF(SUMPRODUCT(MAX((Sessions!$D$6:$D$3005=B23)*Sessions!$L$6:$L$3005*Sessions!$I$6:$I$3005))=0,"",SUMPRODUCT(MAX((Sessions!$D$6:$D$3005=B23)*Sessions!$L$6:$L$3005*Sessions!$I$6:$I$3005))))</f>
        <v/>
      </c>
      <c r="N23" s="23">
        <f>IF(OR(B23="",F23="Finished"),"",IF(S23&gt;0,S23+7*N(Settings!$C$8),IF(ISNUMBER(D23),INT(D23)+7*N(Settings!$C$8),"")))</f>
        <v/>
      </c>
      <c r="O23" s="16">
        <f>IF(B23="","",SUMIFS(Packages!$J$6:$J$505,Packages!$C$6:$C$505,B23,Packages!$M$6:$M$505,1))</f>
        <v/>
      </c>
      <c r="P23" s="24">
        <f>IF(B23="","",IF(COUNTIF(Clients!$B$6:$B$105,B23)&gt;1,"Listed twice",IF(O23&gt;0,"Owes money",IF(F23="Finished","",IF(F23="Paused","",IF(AND(J23&gt;0,L23&lt;=0),"No sessions left",IF(AND(J23&gt;0,L23&lt;=N(Settings!$C$7)),"Few sessions left",IF(AND(Q23&gt;0,L23&gt;0,Q23&lt;TODAY()),"Package expired",IF(AND(Q23&gt;0,L23&gt;0,Q23-TODAY()&lt;=14),"Package ends soon",IF(AND(N23&lt;&gt;"",N23&lt;=TODAY()),"Check-in due","")))))))))</f>
        <v/>
      </c>
      <c r="Q23" s="1">
        <f>IF(B23="",0,SUMPRODUCT(MAX((Packages!$C$6:$C$505=B23)*Packages!$N$6:$N$505)))</f>
        <v/>
      </c>
      <c r="R23">
        <f>IF(P23&lt;&gt;"",ROW(),"")</f>
        <v/>
      </c>
      <c r="S23">
        <f>IF(B23="",0,SUMPRODUCT(MAX(('Check-ins'!$C$6:$C$1505=B23)*'Check-ins'!$P$6:$P$1505)))</f>
        <v/>
      </c>
      <c r="T23">
        <f>IF(AND(B23&lt;&gt;"",F23&lt;&gt;"Paused",F23&lt;&gt;"Finished",J23&gt;0,L23&lt;=N(Settings!$C$7)),1,0)</f>
        <v/>
      </c>
      <c r="U23">
        <f>IF(AND(B23&lt;&gt;"",F23&lt;&gt;"Paused",F23&lt;&gt;"Finished",N23&lt;&gt;"",N23&lt;=TODAY()),1,0)</f>
        <v/>
      </c>
      <c r="V23">
        <f>IF(AND(B23&lt;&gt;"",F23&lt;&gt;"Paused",F23&lt;&gt;"Finished"),1,0)</f>
        <v/>
      </c>
    </row>
    <row r="24">
      <c r="A24" s="1" t="n"/>
      <c r="B24" s="19" t="n"/>
      <c r="C24" s="21" t="n"/>
      <c r="D24" s="17" t="n"/>
      <c r="E24" s="21" t="n"/>
      <c r="F24" s="20" t="n"/>
      <c r="G24" s="13">
        <f>IF(B24="","",SUMIFS(Sessions!$L$6:$L$3005,Sessions!$D$6:$D$3005,B24))</f>
        <v/>
      </c>
      <c r="H24" s="13">
        <f>IF(B24="","",SUMIFS(Sessions!$L$6:$L$3005,Sessions!$D$6:$D$3005,B24,Sessions!$J$6:$J$3005,(YEAR(TODAY())*100+MONTH(TODAY()))))</f>
        <v/>
      </c>
      <c r="I24" s="13">
        <f>IF(B24="","",SUMIFS(Sessions!$M$6:$M$3005,Sessions!$D$6:$D$3005,B24))</f>
        <v/>
      </c>
      <c r="J24" s="13">
        <f>IF(B24="","",SUMIFS(Packages!$D$6:$D$505,Packages!$C$6:$C$505,B24,Packages!$M$6:$M$505,1))</f>
        <v/>
      </c>
      <c r="K24" s="13">
        <f>IF(B24="","",SUMIFS(Sessions!$K$6:$K$3005,Sessions!$D$6:$D$3005,B24))</f>
        <v/>
      </c>
      <c r="L24" s="22">
        <f>IF(OR(B24="",J24=0),"",J24-K24)</f>
        <v/>
      </c>
      <c r="M24" s="23">
        <f>IF(B24="","",IF(SUMPRODUCT(MAX((Sessions!$D$6:$D$3005=B24)*Sessions!$L$6:$L$3005*Sessions!$I$6:$I$3005))=0,"",SUMPRODUCT(MAX((Sessions!$D$6:$D$3005=B24)*Sessions!$L$6:$L$3005*Sessions!$I$6:$I$3005))))</f>
        <v/>
      </c>
      <c r="N24" s="23">
        <f>IF(OR(B24="",F24="Finished"),"",IF(S24&gt;0,S24+7*N(Settings!$C$8),IF(ISNUMBER(D24),INT(D24)+7*N(Settings!$C$8),"")))</f>
        <v/>
      </c>
      <c r="O24" s="16">
        <f>IF(B24="","",SUMIFS(Packages!$J$6:$J$505,Packages!$C$6:$C$505,B24,Packages!$M$6:$M$505,1))</f>
        <v/>
      </c>
      <c r="P24" s="24">
        <f>IF(B24="","",IF(COUNTIF(Clients!$B$6:$B$105,B24)&gt;1,"Listed twice",IF(O24&gt;0,"Owes money",IF(F24="Finished","",IF(F24="Paused","",IF(AND(J24&gt;0,L24&lt;=0),"No sessions left",IF(AND(J24&gt;0,L24&lt;=N(Settings!$C$7)),"Few sessions left",IF(AND(Q24&gt;0,L24&gt;0,Q24&lt;TODAY()),"Package expired",IF(AND(Q24&gt;0,L24&gt;0,Q24-TODAY()&lt;=14),"Package ends soon",IF(AND(N24&lt;&gt;"",N24&lt;=TODAY()),"Check-in due","")))))))))</f>
        <v/>
      </c>
      <c r="Q24" s="1">
        <f>IF(B24="",0,SUMPRODUCT(MAX((Packages!$C$6:$C$505=B24)*Packages!$N$6:$N$505)))</f>
        <v/>
      </c>
      <c r="R24">
        <f>IF(P24&lt;&gt;"",ROW(),"")</f>
        <v/>
      </c>
      <c r="S24">
        <f>IF(B24="",0,SUMPRODUCT(MAX(('Check-ins'!$C$6:$C$1505=B24)*'Check-ins'!$P$6:$P$1505)))</f>
        <v/>
      </c>
      <c r="T24">
        <f>IF(AND(B24&lt;&gt;"",F24&lt;&gt;"Paused",F24&lt;&gt;"Finished",J24&gt;0,L24&lt;=N(Settings!$C$7)),1,0)</f>
        <v/>
      </c>
      <c r="U24">
        <f>IF(AND(B24&lt;&gt;"",F24&lt;&gt;"Paused",F24&lt;&gt;"Finished",N24&lt;&gt;"",N24&lt;=TODAY()),1,0)</f>
        <v/>
      </c>
      <c r="V24">
        <f>IF(AND(B24&lt;&gt;"",F24&lt;&gt;"Paused",F24&lt;&gt;"Finished"),1,0)</f>
        <v/>
      </c>
    </row>
    <row r="25">
      <c r="A25" s="1" t="n"/>
      <c r="B25" s="19" t="n"/>
      <c r="C25" s="21" t="n"/>
      <c r="D25" s="17" t="n"/>
      <c r="E25" s="21" t="n"/>
      <c r="F25" s="20" t="n"/>
      <c r="G25" s="13">
        <f>IF(B25="","",SUMIFS(Sessions!$L$6:$L$3005,Sessions!$D$6:$D$3005,B25))</f>
        <v/>
      </c>
      <c r="H25" s="13">
        <f>IF(B25="","",SUMIFS(Sessions!$L$6:$L$3005,Sessions!$D$6:$D$3005,B25,Sessions!$J$6:$J$3005,(YEAR(TODAY())*100+MONTH(TODAY()))))</f>
        <v/>
      </c>
      <c r="I25" s="13">
        <f>IF(B25="","",SUMIFS(Sessions!$M$6:$M$3005,Sessions!$D$6:$D$3005,B25))</f>
        <v/>
      </c>
      <c r="J25" s="13">
        <f>IF(B25="","",SUMIFS(Packages!$D$6:$D$505,Packages!$C$6:$C$505,B25,Packages!$M$6:$M$505,1))</f>
        <v/>
      </c>
      <c r="K25" s="13">
        <f>IF(B25="","",SUMIFS(Sessions!$K$6:$K$3005,Sessions!$D$6:$D$3005,B25))</f>
        <v/>
      </c>
      <c r="L25" s="22">
        <f>IF(OR(B25="",J25=0),"",J25-K25)</f>
        <v/>
      </c>
      <c r="M25" s="23">
        <f>IF(B25="","",IF(SUMPRODUCT(MAX((Sessions!$D$6:$D$3005=B25)*Sessions!$L$6:$L$3005*Sessions!$I$6:$I$3005))=0,"",SUMPRODUCT(MAX((Sessions!$D$6:$D$3005=B25)*Sessions!$L$6:$L$3005*Sessions!$I$6:$I$3005))))</f>
        <v/>
      </c>
      <c r="N25" s="23">
        <f>IF(OR(B25="",F25="Finished"),"",IF(S25&gt;0,S25+7*N(Settings!$C$8),IF(ISNUMBER(D25),INT(D25)+7*N(Settings!$C$8),"")))</f>
        <v/>
      </c>
      <c r="O25" s="16">
        <f>IF(B25="","",SUMIFS(Packages!$J$6:$J$505,Packages!$C$6:$C$505,B25,Packages!$M$6:$M$505,1))</f>
        <v/>
      </c>
      <c r="P25" s="24">
        <f>IF(B25="","",IF(COUNTIF(Clients!$B$6:$B$105,B25)&gt;1,"Listed twice",IF(O25&gt;0,"Owes money",IF(F25="Finished","",IF(F25="Paused","",IF(AND(J25&gt;0,L25&lt;=0),"No sessions left",IF(AND(J25&gt;0,L25&lt;=N(Settings!$C$7)),"Few sessions left",IF(AND(Q25&gt;0,L25&gt;0,Q25&lt;TODAY()),"Package expired",IF(AND(Q25&gt;0,L25&gt;0,Q25-TODAY()&lt;=14),"Package ends soon",IF(AND(N25&lt;&gt;"",N25&lt;=TODAY()),"Check-in due","")))))))))</f>
        <v/>
      </c>
      <c r="Q25" s="1">
        <f>IF(B25="",0,SUMPRODUCT(MAX((Packages!$C$6:$C$505=B25)*Packages!$N$6:$N$505)))</f>
        <v/>
      </c>
      <c r="R25">
        <f>IF(P25&lt;&gt;"",ROW(),"")</f>
        <v/>
      </c>
      <c r="S25">
        <f>IF(B25="",0,SUMPRODUCT(MAX(('Check-ins'!$C$6:$C$1505=B25)*'Check-ins'!$P$6:$P$1505)))</f>
        <v/>
      </c>
      <c r="T25">
        <f>IF(AND(B25&lt;&gt;"",F25&lt;&gt;"Paused",F25&lt;&gt;"Finished",J25&gt;0,L25&lt;=N(Settings!$C$7)),1,0)</f>
        <v/>
      </c>
      <c r="U25">
        <f>IF(AND(B25&lt;&gt;"",F25&lt;&gt;"Paused",F25&lt;&gt;"Finished",N25&lt;&gt;"",N25&lt;=TODAY()),1,0)</f>
        <v/>
      </c>
      <c r="V25">
        <f>IF(AND(B25&lt;&gt;"",F25&lt;&gt;"Paused",F25&lt;&gt;"Finished"),1,0)</f>
        <v/>
      </c>
    </row>
    <row r="26">
      <c r="A26" s="1" t="n"/>
      <c r="B26" s="19" t="n"/>
      <c r="C26" s="21" t="n"/>
      <c r="D26" s="17" t="n"/>
      <c r="E26" s="21" t="n"/>
      <c r="F26" s="20" t="n"/>
      <c r="G26" s="13">
        <f>IF(B26="","",SUMIFS(Sessions!$L$6:$L$3005,Sessions!$D$6:$D$3005,B26))</f>
        <v/>
      </c>
      <c r="H26" s="13">
        <f>IF(B26="","",SUMIFS(Sessions!$L$6:$L$3005,Sessions!$D$6:$D$3005,B26,Sessions!$J$6:$J$3005,(YEAR(TODAY())*100+MONTH(TODAY()))))</f>
        <v/>
      </c>
      <c r="I26" s="13">
        <f>IF(B26="","",SUMIFS(Sessions!$M$6:$M$3005,Sessions!$D$6:$D$3005,B26))</f>
        <v/>
      </c>
      <c r="J26" s="13">
        <f>IF(B26="","",SUMIFS(Packages!$D$6:$D$505,Packages!$C$6:$C$505,B26,Packages!$M$6:$M$505,1))</f>
        <v/>
      </c>
      <c r="K26" s="13">
        <f>IF(B26="","",SUMIFS(Sessions!$K$6:$K$3005,Sessions!$D$6:$D$3005,B26))</f>
        <v/>
      </c>
      <c r="L26" s="22">
        <f>IF(OR(B26="",J26=0),"",J26-K26)</f>
        <v/>
      </c>
      <c r="M26" s="23">
        <f>IF(B26="","",IF(SUMPRODUCT(MAX((Sessions!$D$6:$D$3005=B26)*Sessions!$L$6:$L$3005*Sessions!$I$6:$I$3005))=0,"",SUMPRODUCT(MAX((Sessions!$D$6:$D$3005=B26)*Sessions!$L$6:$L$3005*Sessions!$I$6:$I$3005))))</f>
        <v/>
      </c>
      <c r="N26" s="23">
        <f>IF(OR(B26="",F26="Finished"),"",IF(S26&gt;0,S26+7*N(Settings!$C$8),IF(ISNUMBER(D26),INT(D26)+7*N(Settings!$C$8),"")))</f>
        <v/>
      </c>
      <c r="O26" s="16">
        <f>IF(B26="","",SUMIFS(Packages!$J$6:$J$505,Packages!$C$6:$C$505,B26,Packages!$M$6:$M$505,1))</f>
        <v/>
      </c>
      <c r="P26" s="24">
        <f>IF(B26="","",IF(COUNTIF(Clients!$B$6:$B$105,B26)&gt;1,"Listed twice",IF(O26&gt;0,"Owes money",IF(F26="Finished","",IF(F26="Paused","",IF(AND(J26&gt;0,L26&lt;=0),"No sessions left",IF(AND(J26&gt;0,L26&lt;=N(Settings!$C$7)),"Few sessions left",IF(AND(Q26&gt;0,L26&gt;0,Q26&lt;TODAY()),"Package expired",IF(AND(Q26&gt;0,L26&gt;0,Q26-TODAY()&lt;=14),"Package ends soon",IF(AND(N26&lt;&gt;"",N26&lt;=TODAY()),"Check-in due","")))))))))</f>
        <v/>
      </c>
      <c r="Q26" s="1">
        <f>IF(B26="",0,SUMPRODUCT(MAX((Packages!$C$6:$C$505=B26)*Packages!$N$6:$N$505)))</f>
        <v/>
      </c>
      <c r="R26">
        <f>IF(P26&lt;&gt;"",ROW(),"")</f>
        <v/>
      </c>
      <c r="S26">
        <f>IF(B26="",0,SUMPRODUCT(MAX(('Check-ins'!$C$6:$C$1505=B26)*'Check-ins'!$P$6:$P$1505)))</f>
        <v/>
      </c>
      <c r="T26">
        <f>IF(AND(B26&lt;&gt;"",F26&lt;&gt;"Paused",F26&lt;&gt;"Finished",J26&gt;0,L26&lt;=N(Settings!$C$7)),1,0)</f>
        <v/>
      </c>
      <c r="U26">
        <f>IF(AND(B26&lt;&gt;"",F26&lt;&gt;"Paused",F26&lt;&gt;"Finished",N26&lt;&gt;"",N26&lt;=TODAY()),1,0)</f>
        <v/>
      </c>
      <c r="V26">
        <f>IF(AND(B26&lt;&gt;"",F26&lt;&gt;"Paused",F26&lt;&gt;"Finished"),1,0)</f>
        <v/>
      </c>
    </row>
    <row r="27">
      <c r="A27" s="1" t="n"/>
      <c r="B27" s="19" t="n"/>
      <c r="C27" s="21" t="n"/>
      <c r="D27" s="17" t="n"/>
      <c r="E27" s="21" t="n"/>
      <c r="F27" s="20" t="n"/>
      <c r="G27" s="13">
        <f>IF(B27="","",SUMIFS(Sessions!$L$6:$L$3005,Sessions!$D$6:$D$3005,B27))</f>
        <v/>
      </c>
      <c r="H27" s="13">
        <f>IF(B27="","",SUMIFS(Sessions!$L$6:$L$3005,Sessions!$D$6:$D$3005,B27,Sessions!$J$6:$J$3005,(YEAR(TODAY())*100+MONTH(TODAY()))))</f>
        <v/>
      </c>
      <c r="I27" s="13">
        <f>IF(B27="","",SUMIFS(Sessions!$M$6:$M$3005,Sessions!$D$6:$D$3005,B27))</f>
        <v/>
      </c>
      <c r="J27" s="13">
        <f>IF(B27="","",SUMIFS(Packages!$D$6:$D$505,Packages!$C$6:$C$505,B27,Packages!$M$6:$M$505,1))</f>
        <v/>
      </c>
      <c r="K27" s="13">
        <f>IF(B27="","",SUMIFS(Sessions!$K$6:$K$3005,Sessions!$D$6:$D$3005,B27))</f>
        <v/>
      </c>
      <c r="L27" s="22">
        <f>IF(OR(B27="",J27=0),"",J27-K27)</f>
        <v/>
      </c>
      <c r="M27" s="23">
        <f>IF(B27="","",IF(SUMPRODUCT(MAX((Sessions!$D$6:$D$3005=B27)*Sessions!$L$6:$L$3005*Sessions!$I$6:$I$3005))=0,"",SUMPRODUCT(MAX((Sessions!$D$6:$D$3005=B27)*Sessions!$L$6:$L$3005*Sessions!$I$6:$I$3005))))</f>
        <v/>
      </c>
      <c r="N27" s="23">
        <f>IF(OR(B27="",F27="Finished"),"",IF(S27&gt;0,S27+7*N(Settings!$C$8),IF(ISNUMBER(D27),INT(D27)+7*N(Settings!$C$8),"")))</f>
        <v/>
      </c>
      <c r="O27" s="16">
        <f>IF(B27="","",SUMIFS(Packages!$J$6:$J$505,Packages!$C$6:$C$505,B27,Packages!$M$6:$M$505,1))</f>
        <v/>
      </c>
      <c r="P27" s="24">
        <f>IF(B27="","",IF(COUNTIF(Clients!$B$6:$B$105,B27)&gt;1,"Listed twice",IF(O27&gt;0,"Owes money",IF(F27="Finished","",IF(F27="Paused","",IF(AND(J27&gt;0,L27&lt;=0),"No sessions left",IF(AND(J27&gt;0,L27&lt;=N(Settings!$C$7)),"Few sessions left",IF(AND(Q27&gt;0,L27&gt;0,Q27&lt;TODAY()),"Package expired",IF(AND(Q27&gt;0,L27&gt;0,Q27-TODAY()&lt;=14),"Package ends soon",IF(AND(N27&lt;&gt;"",N27&lt;=TODAY()),"Check-in due","")))))))))</f>
        <v/>
      </c>
      <c r="Q27" s="1">
        <f>IF(B27="",0,SUMPRODUCT(MAX((Packages!$C$6:$C$505=B27)*Packages!$N$6:$N$505)))</f>
        <v/>
      </c>
      <c r="R27">
        <f>IF(P27&lt;&gt;"",ROW(),"")</f>
        <v/>
      </c>
      <c r="S27">
        <f>IF(B27="",0,SUMPRODUCT(MAX(('Check-ins'!$C$6:$C$1505=B27)*'Check-ins'!$P$6:$P$1505)))</f>
        <v/>
      </c>
      <c r="T27">
        <f>IF(AND(B27&lt;&gt;"",F27&lt;&gt;"Paused",F27&lt;&gt;"Finished",J27&gt;0,L27&lt;=N(Settings!$C$7)),1,0)</f>
        <v/>
      </c>
      <c r="U27">
        <f>IF(AND(B27&lt;&gt;"",F27&lt;&gt;"Paused",F27&lt;&gt;"Finished",N27&lt;&gt;"",N27&lt;=TODAY()),1,0)</f>
        <v/>
      </c>
      <c r="V27">
        <f>IF(AND(B27&lt;&gt;"",F27&lt;&gt;"Paused",F27&lt;&gt;"Finished"),1,0)</f>
        <v/>
      </c>
    </row>
    <row r="28">
      <c r="A28" s="1" t="n"/>
      <c r="B28" s="19" t="n"/>
      <c r="C28" s="21" t="n"/>
      <c r="D28" s="17" t="n"/>
      <c r="E28" s="21" t="n"/>
      <c r="F28" s="20" t="n"/>
      <c r="G28" s="13">
        <f>IF(B28="","",SUMIFS(Sessions!$L$6:$L$3005,Sessions!$D$6:$D$3005,B28))</f>
        <v/>
      </c>
      <c r="H28" s="13">
        <f>IF(B28="","",SUMIFS(Sessions!$L$6:$L$3005,Sessions!$D$6:$D$3005,B28,Sessions!$J$6:$J$3005,(YEAR(TODAY())*100+MONTH(TODAY()))))</f>
        <v/>
      </c>
      <c r="I28" s="13">
        <f>IF(B28="","",SUMIFS(Sessions!$M$6:$M$3005,Sessions!$D$6:$D$3005,B28))</f>
        <v/>
      </c>
      <c r="J28" s="13">
        <f>IF(B28="","",SUMIFS(Packages!$D$6:$D$505,Packages!$C$6:$C$505,B28,Packages!$M$6:$M$505,1))</f>
        <v/>
      </c>
      <c r="K28" s="13">
        <f>IF(B28="","",SUMIFS(Sessions!$K$6:$K$3005,Sessions!$D$6:$D$3005,B28))</f>
        <v/>
      </c>
      <c r="L28" s="22">
        <f>IF(OR(B28="",J28=0),"",J28-K28)</f>
        <v/>
      </c>
      <c r="M28" s="23">
        <f>IF(B28="","",IF(SUMPRODUCT(MAX((Sessions!$D$6:$D$3005=B28)*Sessions!$L$6:$L$3005*Sessions!$I$6:$I$3005))=0,"",SUMPRODUCT(MAX((Sessions!$D$6:$D$3005=B28)*Sessions!$L$6:$L$3005*Sessions!$I$6:$I$3005))))</f>
        <v/>
      </c>
      <c r="N28" s="23">
        <f>IF(OR(B28="",F28="Finished"),"",IF(S28&gt;0,S28+7*N(Settings!$C$8),IF(ISNUMBER(D28),INT(D28)+7*N(Settings!$C$8),"")))</f>
        <v/>
      </c>
      <c r="O28" s="16">
        <f>IF(B28="","",SUMIFS(Packages!$J$6:$J$505,Packages!$C$6:$C$505,B28,Packages!$M$6:$M$505,1))</f>
        <v/>
      </c>
      <c r="P28" s="24">
        <f>IF(B28="","",IF(COUNTIF(Clients!$B$6:$B$105,B28)&gt;1,"Listed twice",IF(O28&gt;0,"Owes money",IF(F28="Finished","",IF(F28="Paused","",IF(AND(J28&gt;0,L28&lt;=0),"No sessions left",IF(AND(J28&gt;0,L28&lt;=N(Settings!$C$7)),"Few sessions left",IF(AND(Q28&gt;0,L28&gt;0,Q28&lt;TODAY()),"Package expired",IF(AND(Q28&gt;0,L28&gt;0,Q28-TODAY()&lt;=14),"Package ends soon",IF(AND(N28&lt;&gt;"",N28&lt;=TODAY()),"Check-in due","")))))))))</f>
        <v/>
      </c>
      <c r="Q28" s="1">
        <f>IF(B28="",0,SUMPRODUCT(MAX((Packages!$C$6:$C$505=B28)*Packages!$N$6:$N$505)))</f>
        <v/>
      </c>
      <c r="R28">
        <f>IF(P28&lt;&gt;"",ROW(),"")</f>
        <v/>
      </c>
      <c r="S28">
        <f>IF(B28="",0,SUMPRODUCT(MAX(('Check-ins'!$C$6:$C$1505=B28)*'Check-ins'!$P$6:$P$1505)))</f>
        <v/>
      </c>
      <c r="T28">
        <f>IF(AND(B28&lt;&gt;"",F28&lt;&gt;"Paused",F28&lt;&gt;"Finished",J28&gt;0,L28&lt;=N(Settings!$C$7)),1,0)</f>
        <v/>
      </c>
      <c r="U28">
        <f>IF(AND(B28&lt;&gt;"",F28&lt;&gt;"Paused",F28&lt;&gt;"Finished",N28&lt;&gt;"",N28&lt;=TODAY()),1,0)</f>
        <v/>
      </c>
      <c r="V28">
        <f>IF(AND(B28&lt;&gt;"",F28&lt;&gt;"Paused",F28&lt;&gt;"Finished"),1,0)</f>
        <v/>
      </c>
    </row>
    <row r="29">
      <c r="A29" s="1" t="n"/>
      <c r="B29" s="19" t="n"/>
      <c r="C29" s="21" t="n"/>
      <c r="D29" s="17" t="n"/>
      <c r="E29" s="21" t="n"/>
      <c r="F29" s="20" t="n"/>
      <c r="G29" s="13">
        <f>IF(B29="","",SUMIFS(Sessions!$L$6:$L$3005,Sessions!$D$6:$D$3005,B29))</f>
        <v/>
      </c>
      <c r="H29" s="13">
        <f>IF(B29="","",SUMIFS(Sessions!$L$6:$L$3005,Sessions!$D$6:$D$3005,B29,Sessions!$J$6:$J$3005,(YEAR(TODAY())*100+MONTH(TODAY()))))</f>
        <v/>
      </c>
      <c r="I29" s="13">
        <f>IF(B29="","",SUMIFS(Sessions!$M$6:$M$3005,Sessions!$D$6:$D$3005,B29))</f>
        <v/>
      </c>
      <c r="J29" s="13">
        <f>IF(B29="","",SUMIFS(Packages!$D$6:$D$505,Packages!$C$6:$C$505,B29,Packages!$M$6:$M$505,1))</f>
        <v/>
      </c>
      <c r="K29" s="13">
        <f>IF(B29="","",SUMIFS(Sessions!$K$6:$K$3005,Sessions!$D$6:$D$3005,B29))</f>
        <v/>
      </c>
      <c r="L29" s="22">
        <f>IF(OR(B29="",J29=0),"",J29-K29)</f>
        <v/>
      </c>
      <c r="M29" s="23">
        <f>IF(B29="","",IF(SUMPRODUCT(MAX((Sessions!$D$6:$D$3005=B29)*Sessions!$L$6:$L$3005*Sessions!$I$6:$I$3005))=0,"",SUMPRODUCT(MAX((Sessions!$D$6:$D$3005=B29)*Sessions!$L$6:$L$3005*Sessions!$I$6:$I$3005))))</f>
        <v/>
      </c>
      <c r="N29" s="23">
        <f>IF(OR(B29="",F29="Finished"),"",IF(S29&gt;0,S29+7*N(Settings!$C$8),IF(ISNUMBER(D29),INT(D29)+7*N(Settings!$C$8),"")))</f>
        <v/>
      </c>
      <c r="O29" s="16">
        <f>IF(B29="","",SUMIFS(Packages!$J$6:$J$505,Packages!$C$6:$C$505,B29,Packages!$M$6:$M$505,1))</f>
        <v/>
      </c>
      <c r="P29" s="24">
        <f>IF(B29="","",IF(COUNTIF(Clients!$B$6:$B$105,B29)&gt;1,"Listed twice",IF(O29&gt;0,"Owes money",IF(F29="Finished","",IF(F29="Paused","",IF(AND(J29&gt;0,L29&lt;=0),"No sessions left",IF(AND(J29&gt;0,L29&lt;=N(Settings!$C$7)),"Few sessions left",IF(AND(Q29&gt;0,L29&gt;0,Q29&lt;TODAY()),"Package expired",IF(AND(Q29&gt;0,L29&gt;0,Q29-TODAY()&lt;=14),"Package ends soon",IF(AND(N29&lt;&gt;"",N29&lt;=TODAY()),"Check-in due","")))))))))</f>
        <v/>
      </c>
      <c r="Q29" s="1">
        <f>IF(B29="",0,SUMPRODUCT(MAX((Packages!$C$6:$C$505=B29)*Packages!$N$6:$N$505)))</f>
        <v/>
      </c>
      <c r="R29">
        <f>IF(P29&lt;&gt;"",ROW(),"")</f>
        <v/>
      </c>
      <c r="S29">
        <f>IF(B29="",0,SUMPRODUCT(MAX(('Check-ins'!$C$6:$C$1505=B29)*'Check-ins'!$P$6:$P$1505)))</f>
        <v/>
      </c>
      <c r="T29">
        <f>IF(AND(B29&lt;&gt;"",F29&lt;&gt;"Paused",F29&lt;&gt;"Finished",J29&gt;0,L29&lt;=N(Settings!$C$7)),1,0)</f>
        <v/>
      </c>
      <c r="U29">
        <f>IF(AND(B29&lt;&gt;"",F29&lt;&gt;"Paused",F29&lt;&gt;"Finished",N29&lt;&gt;"",N29&lt;=TODAY()),1,0)</f>
        <v/>
      </c>
      <c r="V29">
        <f>IF(AND(B29&lt;&gt;"",F29&lt;&gt;"Paused",F29&lt;&gt;"Finished"),1,0)</f>
        <v/>
      </c>
    </row>
    <row r="30">
      <c r="A30" s="1" t="n"/>
      <c r="B30" s="19" t="n"/>
      <c r="C30" s="21" t="n"/>
      <c r="D30" s="17" t="n"/>
      <c r="E30" s="21" t="n"/>
      <c r="F30" s="20" t="n"/>
      <c r="G30" s="13">
        <f>IF(B30="","",SUMIFS(Sessions!$L$6:$L$3005,Sessions!$D$6:$D$3005,B30))</f>
        <v/>
      </c>
      <c r="H30" s="13">
        <f>IF(B30="","",SUMIFS(Sessions!$L$6:$L$3005,Sessions!$D$6:$D$3005,B30,Sessions!$J$6:$J$3005,(YEAR(TODAY())*100+MONTH(TODAY()))))</f>
        <v/>
      </c>
      <c r="I30" s="13">
        <f>IF(B30="","",SUMIFS(Sessions!$M$6:$M$3005,Sessions!$D$6:$D$3005,B30))</f>
        <v/>
      </c>
      <c r="J30" s="13">
        <f>IF(B30="","",SUMIFS(Packages!$D$6:$D$505,Packages!$C$6:$C$505,B30,Packages!$M$6:$M$505,1))</f>
        <v/>
      </c>
      <c r="K30" s="13">
        <f>IF(B30="","",SUMIFS(Sessions!$K$6:$K$3005,Sessions!$D$6:$D$3005,B30))</f>
        <v/>
      </c>
      <c r="L30" s="22">
        <f>IF(OR(B30="",J30=0),"",J30-K30)</f>
        <v/>
      </c>
      <c r="M30" s="23">
        <f>IF(B30="","",IF(SUMPRODUCT(MAX((Sessions!$D$6:$D$3005=B30)*Sessions!$L$6:$L$3005*Sessions!$I$6:$I$3005))=0,"",SUMPRODUCT(MAX((Sessions!$D$6:$D$3005=B30)*Sessions!$L$6:$L$3005*Sessions!$I$6:$I$3005))))</f>
        <v/>
      </c>
      <c r="N30" s="23">
        <f>IF(OR(B30="",F30="Finished"),"",IF(S30&gt;0,S30+7*N(Settings!$C$8),IF(ISNUMBER(D30),INT(D30)+7*N(Settings!$C$8),"")))</f>
        <v/>
      </c>
      <c r="O30" s="16">
        <f>IF(B30="","",SUMIFS(Packages!$J$6:$J$505,Packages!$C$6:$C$505,B30,Packages!$M$6:$M$505,1))</f>
        <v/>
      </c>
      <c r="P30" s="24">
        <f>IF(B30="","",IF(COUNTIF(Clients!$B$6:$B$105,B30)&gt;1,"Listed twice",IF(O30&gt;0,"Owes money",IF(F30="Finished","",IF(F30="Paused","",IF(AND(J30&gt;0,L30&lt;=0),"No sessions left",IF(AND(J30&gt;0,L30&lt;=N(Settings!$C$7)),"Few sessions left",IF(AND(Q30&gt;0,L30&gt;0,Q30&lt;TODAY()),"Package expired",IF(AND(Q30&gt;0,L30&gt;0,Q30-TODAY()&lt;=14),"Package ends soon",IF(AND(N30&lt;&gt;"",N30&lt;=TODAY()),"Check-in due","")))))))))</f>
        <v/>
      </c>
      <c r="Q30" s="1">
        <f>IF(B30="",0,SUMPRODUCT(MAX((Packages!$C$6:$C$505=B30)*Packages!$N$6:$N$505)))</f>
        <v/>
      </c>
      <c r="R30">
        <f>IF(P30&lt;&gt;"",ROW(),"")</f>
        <v/>
      </c>
      <c r="S30">
        <f>IF(B30="",0,SUMPRODUCT(MAX(('Check-ins'!$C$6:$C$1505=B30)*'Check-ins'!$P$6:$P$1505)))</f>
        <v/>
      </c>
      <c r="T30">
        <f>IF(AND(B30&lt;&gt;"",F30&lt;&gt;"Paused",F30&lt;&gt;"Finished",J30&gt;0,L30&lt;=N(Settings!$C$7)),1,0)</f>
        <v/>
      </c>
      <c r="U30">
        <f>IF(AND(B30&lt;&gt;"",F30&lt;&gt;"Paused",F30&lt;&gt;"Finished",N30&lt;&gt;"",N30&lt;=TODAY()),1,0)</f>
        <v/>
      </c>
      <c r="V30">
        <f>IF(AND(B30&lt;&gt;"",F30&lt;&gt;"Paused",F30&lt;&gt;"Finished"),1,0)</f>
        <v/>
      </c>
    </row>
    <row r="31">
      <c r="A31" s="1" t="n"/>
      <c r="B31" s="19" t="n"/>
      <c r="C31" s="21" t="n"/>
      <c r="D31" s="17" t="n"/>
      <c r="E31" s="21" t="n"/>
      <c r="F31" s="20" t="n"/>
      <c r="G31" s="13">
        <f>IF(B31="","",SUMIFS(Sessions!$L$6:$L$3005,Sessions!$D$6:$D$3005,B31))</f>
        <v/>
      </c>
      <c r="H31" s="13">
        <f>IF(B31="","",SUMIFS(Sessions!$L$6:$L$3005,Sessions!$D$6:$D$3005,B31,Sessions!$J$6:$J$3005,(YEAR(TODAY())*100+MONTH(TODAY()))))</f>
        <v/>
      </c>
      <c r="I31" s="13">
        <f>IF(B31="","",SUMIFS(Sessions!$M$6:$M$3005,Sessions!$D$6:$D$3005,B31))</f>
        <v/>
      </c>
      <c r="J31" s="13">
        <f>IF(B31="","",SUMIFS(Packages!$D$6:$D$505,Packages!$C$6:$C$505,B31,Packages!$M$6:$M$505,1))</f>
        <v/>
      </c>
      <c r="K31" s="13">
        <f>IF(B31="","",SUMIFS(Sessions!$K$6:$K$3005,Sessions!$D$6:$D$3005,B31))</f>
        <v/>
      </c>
      <c r="L31" s="22">
        <f>IF(OR(B31="",J31=0),"",J31-K31)</f>
        <v/>
      </c>
      <c r="M31" s="23">
        <f>IF(B31="","",IF(SUMPRODUCT(MAX((Sessions!$D$6:$D$3005=B31)*Sessions!$L$6:$L$3005*Sessions!$I$6:$I$3005))=0,"",SUMPRODUCT(MAX((Sessions!$D$6:$D$3005=B31)*Sessions!$L$6:$L$3005*Sessions!$I$6:$I$3005))))</f>
        <v/>
      </c>
      <c r="N31" s="23">
        <f>IF(OR(B31="",F31="Finished"),"",IF(S31&gt;0,S31+7*N(Settings!$C$8),IF(ISNUMBER(D31),INT(D31)+7*N(Settings!$C$8),"")))</f>
        <v/>
      </c>
      <c r="O31" s="16">
        <f>IF(B31="","",SUMIFS(Packages!$J$6:$J$505,Packages!$C$6:$C$505,B31,Packages!$M$6:$M$505,1))</f>
        <v/>
      </c>
      <c r="P31" s="24">
        <f>IF(B31="","",IF(COUNTIF(Clients!$B$6:$B$105,B31)&gt;1,"Listed twice",IF(O31&gt;0,"Owes money",IF(F31="Finished","",IF(F31="Paused","",IF(AND(J31&gt;0,L31&lt;=0),"No sessions left",IF(AND(J31&gt;0,L31&lt;=N(Settings!$C$7)),"Few sessions left",IF(AND(Q31&gt;0,L31&gt;0,Q31&lt;TODAY()),"Package expired",IF(AND(Q31&gt;0,L31&gt;0,Q31-TODAY()&lt;=14),"Package ends soon",IF(AND(N31&lt;&gt;"",N31&lt;=TODAY()),"Check-in due","")))))))))</f>
        <v/>
      </c>
      <c r="Q31" s="1">
        <f>IF(B31="",0,SUMPRODUCT(MAX((Packages!$C$6:$C$505=B31)*Packages!$N$6:$N$505)))</f>
        <v/>
      </c>
      <c r="R31">
        <f>IF(P31&lt;&gt;"",ROW(),"")</f>
        <v/>
      </c>
      <c r="S31">
        <f>IF(B31="",0,SUMPRODUCT(MAX(('Check-ins'!$C$6:$C$1505=B31)*'Check-ins'!$P$6:$P$1505)))</f>
        <v/>
      </c>
      <c r="T31">
        <f>IF(AND(B31&lt;&gt;"",F31&lt;&gt;"Paused",F31&lt;&gt;"Finished",J31&gt;0,L31&lt;=N(Settings!$C$7)),1,0)</f>
        <v/>
      </c>
      <c r="U31">
        <f>IF(AND(B31&lt;&gt;"",F31&lt;&gt;"Paused",F31&lt;&gt;"Finished",N31&lt;&gt;"",N31&lt;=TODAY()),1,0)</f>
        <v/>
      </c>
      <c r="V31">
        <f>IF(AND(B31&lt;&gt;"",F31&lt;&gt;"Paused",F31&lt;&gt;"Finished"),1,0)</f>
        <v/>
      </c>
    </row>
    <row r="32">
      <c r="A32" s="1" t="n"/>
      <c r="B32" s="19" t="n"/>
      <c r="C32" s="21" t="n"/>
      <c r="D32" s="17" t="n"/>
      <c r="E32" s="21" t="n"/>
      <c r="F32" s="20" t="n"/>
      <c r="G32" s="13">
        <f>IF(B32="","",SUMIFS(Sessions!$L$6:$L$3005,Sessions!$D$6:$D$3005,B32))</f>
        <v/>
      </c>
      <c r="H32" s="13">
        <f>IF(B32="","",SUMIFS(Sessions!$L$6:$L$3005,Sessions!$D$6:$D$3005,B32,Sessions!$J$6:$J$3005,(YEAR(TODAY())*100+MONTH(TODAY()))))</f>
        <v/>
      </c>
      <c r="I32" s="13">
        <f>IF(B32="","",SUMIFS(Sessions!$M$6:$M$3005,Sessions!$D$6:$D$3005,B32))</f>
        <v/>
      </c>
      <c r="J32" s="13">
        <f>IF(B32="","",SUMIFS(Packages!$D$6:$D$505,Packages!$C$6:$C$505,B32,Packages!$M$6:$M$505,1))</f>
        <v/>
      </c>
      <c r="K32" s="13">
        <f>IF(B32="","",SUMIFS(Sessions!$K$6:$K$3005,Sessions!$D$6:$D$3005,B32))</f>
        <v/>
      </c>
      <c r="L32" s="22">
        <f>IF(OR(B32="",J32=0),"",J32-K32)</f>
        <v/>
      </c>
      <c r="M32" s="23">
        <f>IF(B32="","",IF(SUMPRODUCT(MAX((Sessions!$D$6:$D$3005=B32)*Sessions!$L$6:$L$3005*Sessions!$I$6:$I$3005))=0,"",SUMPRODUCT(MAX((Sessions!$D$6:$D$3005=B32)*Sessions!$L$6:$L$3005*Sessions!$I$6:$I$3005))))</f>
        <v/>
      </c>
      <c r="N32" s="23">
        <f>IF(OR(B32="",F32="Finished"),"",IF(S32&gt;0,S32+7*N(Settings!$C$8),IF(ISNUMBER(D32),INT(D32)+7*N(Settings!$C$8),"")))</f>
        <v/>
      </c>
      <c r="O32" s="16">
        <f>IF(B32="","",SUMIFS(Packages!$J$6:$J$505,Packages!$C$6:$C$505,B32,Packages!$M$6:$M$505,1))</f>
        <v/>
      </c>
      <c r="P32" s="24">
        <f>IF(B32="","",IF(COUNTIF(Clients!$B$6:$B$105,B32)&gt;1,"Listed twice",IF(O32&gt;0,"Owes money",IF(F32="Finished","",IF(F32="Paused","",IF(AND(J32&gt;0,L32&lt;=0),"No sessions left",IF(AND(J32&gt;0,L32&lt;=N(Settings!$C$7)),"Few sessions left",IF(AND(Q32&gt;0,L32&gt;0,Q32&lt;TODAY()),"Package expired",IF(AND(Q32&gt;0,L32&gt;0,Q32-TODAY()&lt;=14),"Package ends soon",IF(AND(N32&lt;&gt;"",N32&lt;=TODAY()),"Check-in due","")))))))))</f>
        <v/>
      </c>
      <c r="Q32" s="1">
        <f>IF(B32="",0,SUMPRODUCT(MAX((Packages!$C$6:$C$505=B32)*Packages!$N$6:$N$505)))</f>
        <v/>
      </c>
      <c r="R32">
        <f>IF(P32&lt;&gt;"",ROW(),"")</f>
        <v/>
      </c>
      <c r="S32">
        <f>IF(B32="",0,SUMPRODUCT(MAX(('Check-ins'!$C$6:$C$1505=B32)*'Check-ins'!$P$6:$P$1505)))</f>
        <v/>
      </c>
      <c r="T32">
        <f>IF(AND(B32&lt;&gt;"",F32&lt;&gt;"Paused",F32&lt;&gt;"Finished",J32&gt;0,L32&lt;=N(Settings!$C$7)),1,0)</f>
        <v/>
      </c>
      <c r="U32">
        <f>IF(AND(B32&lt;&gt;"",F32&lt;&gt;"Paused",F32&lt;&gt;"Finished",N32&lt;&gt;"",N32&lt;=TODAY()),1,0)</f>
        <v/>
      </c>
      <c r="V32">
        <f>IF(AND(B32&lt;&gt;"",F32&lt;&gt;"Paused",F32&lt;&gt;"Finished"),1,0)</f>
        <v/>
      </c>
    </row>
    <row r="33">
      <c r="A33" s="1" t="n"/>
      <c r="B33" s="19" t="n"/>
      <c r="C33" s="21" t="n"/>
      <c r="D33" s="17" t="n"/>
      <c r="E33" s="21" t="n"/>
      <c r="F33" s="20" t="n"/>
      <c r="G33" s="13">
        <f>IF(B33="","",SUMIFS(Sessions!$L$6:$L$3005,Sessions!$D$6:$D$3005,B33))</f>
        <v/>
      </c>
      <c r="H33" s="13">
        <f>IF(B33="","",SUMIFS(Sessions!$L$6:$L$3005,Sessions!$D$6:$D$3005,B33,Sessions!$J$6:$J$3005,(YEAR(TODAY())*100+MONTH(TODAY()))))</f>
        <v/>
      </c>
      <c r="I33" s="13">
        <f>IF(B33="","",SUMIFS(Sessions!$M$6:$M$3005,Sessions!$D$6:$D$3005,B33))</f>
        <v/>
      </c>
      <c r="J33" s="13">
        <f>IF(B33="","",SUMIFS(Packages!$D$6:$D$505,Packages!$C$6:$C$505,B33,Packages!$M$6:$M$505,1))</f>
        <v/>
      </c>
      <c r="K33" s="13">
        <f>IF(B33="","",SUMIFS(Sessions!$K$6:$K$3005,Sessions!$D$6:$D$3005,B33))</f>
        <v/>
      </c>
      <c r="L33" s="22">
        <f>IF(OR(B33="",J33=0),"",J33-K33)</f>
        <v/>
      </c>
      <c r="M33" s="23">
        <f>IF(B33="","",IF(SUMPRODUCT(MAX((Sessions!$D$6:$D$3005=B33)*Sessions!$L$6:$L$3005*Sessions!$I$6:$I$3005))=0,"",SUMPRODUCT(MAX((Sessions!$D$6:$D$3005=B33)*Sessions!$L$6:$L$3005*Sessions!$I$6:$I$3005))))</f>
        <v/>
      </c>
      <c r="N33" s="23">
        <f>IF(OR(B33="",F33="Finished"),"",IF(S33&gt;0,S33+7*N(Settings!$C$8),IF(ISNUMBER(D33),INT(D33)+7*N(Settings!$C$8),"")))</f>
        <v/>
      </c>
      <c r="O33" s="16">
        <f>IF(B33="","",SUMIFS(Packages!$J$6:$J$505,Packages!$C$6:$C$505,B33,Packages!$M$6:$M$505,1))</f>
        <v/>
      </c>
      <c r="P33" s="24">
        <f>IF(B33="","",IF(COUNTIF(Clients!$B$6:$B$105,B33)&gt;1,"Listed twice",IF(O33&gt;0,"Owes money",IF(F33="Finished","",IF(F33="Paused","",IF(AND(J33&gt;0,L33&lt;=0),"No sessions left",IF(AND(J33&gt;0,L33&lt;=N(Settings!$C$7)),"Few sessions left",IF(AND(Q33&gt;0,L33&gt;0,Q33&lt;TODAY()),"Package expired",IF(AND(Q33&gt;0,L33&gt;0,Q33-TODAY()&lt;=14),"Package ends soon",IF(AND(N33&lt;&gt;"",N33&lt;=TODAY()),"Check-in due","")))))))))</f>
        <v/>
      </c>
      <c r="Q33" s="1">
        <f>IF(B33="",0,SUMPRODUCT(MAX((Packages!$C$6:$C$505=B33)*Packages!$N$6:$N$505)))</f>
        <v/>
      </c>
      <c r="R33">
        <f>IF(P33&lt;&gt;"",ROW(),"")</f>
        <v/>
      </c>
      <c r="S33">
        <f>IF(B33="",0,SUMPRODUCT(MAX(('Check-ins'!$C$6:$C$1505=B33)*'Check-ins'!$P$6:$P$1505)))</f>
        <v/>
      </c>
      <c r="T33">
        <f>IF(AND(B33&lt;&gt;"",F33&lt;&gt;"Paused",F33&lt;&gt;"Finished",J33&gt;0,L33&lt;=N(Settings!$C$7)),1,0)</f>
        <v/>
      </c>
      <c r="U33">
        <f>IF(AND(B33&lt;&gt;"",F33&lt;&gt;"Paused",F33&lt;&gt;"Finished",N33&lt;&gt;"",N33&lt;=TODAY()),1,0)</f>
        <v/>
      </c>
      <c r="V33">
        <f>IF(AND(B33&lt;&gt;"",F33&lt;&gt;"Paused",F33&lt;&gt;"Finished"),1,0)</f>
        <v/>
      </c>
    </row>
    <row r="34">
      <c r="A34" s="1" t="n"/>
      <c r="B34" s="19" t="n"/>
      <c r="C34" s="21" t="n"/>
      <c r="D34" s="17" t="n"/>
      <c r="E34" s="21" t="n"/>
      <c r="F34" s="20" t="n"/>
      <c r="G34" s="13">
        <f>IF(B34="","",SUMIFS(Sessions!$L$6:$L$3005,Sessions!$D$6:$D$3005,B34))</f>
        <v/>
      </c>
      <c r="H34" s="13">
        <f>IF(B34="","",SUMIFS(Sessions!$L$6:$L$3005,Sessions!$D$6:$D$3005,B34,Sessions!$J$6:$J$3005,(YEAR(TODAY())*100+MONTH(TODAY()))))</f>
        <v/>
      </c>
      <c r="I34" s="13">
        <f>IF(B34="","",SUMIFS(Sessions!$M$6:$M$3005,Sessions!$D$6:$D$3005,B34))</f>
        <v/>
      </c>
      <c r="J34" s="13">
        <f>IF(B34="","",SUMIFS(Packages!$D$6:$D$505,Packages!$C$6:$C$505,B34,Packages!$M$6:$M$505,1))</f>
        <v/>
      </c>
      <c r="K34" s="13">
        <f>IF(B34="","",SUMIFS(Sessions!$K$6:$K$3005,Sessions!$D$6:$D$3005,B34))</f>
        <v/>
      </c>
      <c r="L34" s="22">
        <f>IF(OR(B34="",J34=0),"",J34-K34)</f>
        <v/>
      </c>
      <c r="M34" s="23">
        <f>IF(B34="","",IF(SUMPRODUCT(MAX((Sessions!$D$6:$D$3005=B34)*Sessions!$L$6:$L$3005*Sessions!$I$6:$I$3005))=0,"",SUMPRODUCT(MAX((Sessions!$D$6:$D$3005=B34)*Sessions!$L$6:$L$3005*Sessions!$I$6:$I$3005))))</f>
        <v/>
      </c>
      <c r="N34" s="23">
        <f>IF(OR(B34="",F34="Finished"),"",IF(S34&gt;0,S34+7*N(Settings!$C$8),IF(ISNUMBER(D34),INT(D34)+7*N(Settings!$C$8),"")))</f>
        <v/>
      </c>
      <c r="O34" s="16">
        <f>IF(B34="","",SUMIFS(Packages!$J$6:$J$505,Packages!$C$6:$C$505,B34,Packages!$M$6:$M$505,1))</f>
        <v/>
      </c>
      <c r="P34" s="24">
        <f>IF(B34="","",IF(COUNTIF(Clients!$B$6:$B$105,B34)&gt;1,"Listed twice",IF(O34&gt;0,"Owes money",IF(F34="Finished","",IF(F34="Paused","",IF(AND(J34&gt;0,L34&lt;=0),"No sessions left",IF(AND(J34&gt;0,L34&lt;=N(Settings!$C$7)),"Few sessions left",IF(AND(Q34&gt;0,L34&gt;0,Q34&lt;TODAY()),"Package expired",IF(AND(Q34&gt;0,L34&gt;0,Q34-TODAY()&lt;=14),"Package ends soon",IF(AND(N34&lt;&gt;"",N34&lt;=TODAY()),"Check-in due","")))))))))</f>
        <v/>
      </c>
      <c r="Q34" s="1">
        <f>IF(B34="",0,SUMPRODUCT(MAX((Packages!$C$6:$C$505=B34)*Packages!$N$6:$N$505)))</f>
        <v/>
      </c>
      <c r="R34">
        <f>IF(P34&lt;&gt;"",ROW(),"")</f>
        <v/>
      </c>
      <c r="S34">
        <f>IF(B34="",0,SUMPRODUCT(MAX(('Check-ins'!$C$6:$C$1505=B34)*'Check-ins'!$P$6:$P$1505)))</f>
        <v/>
      </c>
      <c r="T34">
        <f>IF(AND(B34&lt;&gt;"",F34&lt;&gt;"Paused",F34&lt;&gt;"Finished",J34&gt;0,L34&lt;=N(Settings!$C$7)),1,0)</f>
        <v/>
      </c>
      <c r="U34">
        <f>IF(AND(B34&lt;&gt;"",F34&lt;&gt;"Paused",F34&lt;&gt;"Finished",N34&lt;&gt;"",N34&lt;=TODAY()),1,0)</f>
        <v/>
      </c>
      <c r="V34">
        <f>IF(AND(B34&lt;&gt;"",F34&lt;&gt;"Paused",F34&lt;&gt;"Finished"),1,0)</f>
        <v/>
      </c>
    </row>
    <row r="35">
      <c r="A35" s="1" t="n"/>
      <c r="B35" s="19" t="n"/>
      <c r="C35" s="21" t="n"/>
      <c r="D35" s="17" t="n"/>
      <c r="E35" s="21" t="n"/>
      <c r="F35" s="20" t="n"/>
      <c r="G35" s="13">
        <f>IF(B35="","",SUMIFS(Sessions!$L$6:$L$3005,Sessions!$D$6:$D$3005,B35))</f>
        <v/>
      </c>
      <c r="H35" s="13">
        <f>IF(B35="","",SUMIFS(Sessions!$L$6:$L$3005,Sessions!$D$6:$D$3005,B35,Sessions!$J$6:$J$3005,(YEAR(TODAY())*100+MONTH(TODAY()))))</f>
        <v/>
      </c>
      <c r="I35" s="13">
        <f>IF(B35="","",SUMIFS(Sessions!$M$6:$M$3005,Sessions!$D$6:$D$3005,B35))</f>
        <v/>
      </c>
      <c r="J35" s="13">
        <f>IF(B35="","",SUMIFS(Packages!$D$6:$D$505,Packages!$C$6:$C$505,B35,Packages!$M$6:$M$505,1))</f>
        <v/>
      </c>
      <c r="K35" s="13">
        <f>IF(B35="","",SUMIFS(Sessions!$K$6:$K$3005,Sessions!$D$6:$D$3005,B35))</f>
        <v/>
      </c>
      <c r="L35" s="22">
        <f>IF(OR(B35="",J35=0),"",J35-K35)</f>
        <v/>
      </c>
      <c r="M35" s="23">
        <f>IF(B35="","",IF(SUMPRODUCT(MAX((Sessions!$D$6:$D$3005=B35)*Sessions!$L$6:$L$3005*Sessions!$I$6:$I$3005))=0,"",SUMPRODUCT(MAX((Sessions!$D$6:$D$3005=B35)*Sessions!$L$6:$L$3005*Sessions!$I$6:$I$3005))))</f>
        <v/>
      </c>
      <c r="N35" s="23">
        <f>IF(OR(B35="",F35="Finished"),"",IF(S35&gt;0,S35+7*N(Settings!$C$8),IF(ISNUMBER(D35),INT(D35)+7*N(Settings!$C$8),"")))</f>
        <v/>
      </c>
      <c r="O35" s="16">
        <f>IF(B35="","",SUMIFS(Packages!$J$6:$J$505,Packages!$C$6:$C$505,B35,Packages!$M$6:$M$505,1))</f>
        <v/>
      </c>
      <c r="P35" s="24">
        <f>IF(B35="","",IF(COUNTIF(Clients!$B$6:$B$105,B35)&gt;1,"Listed twice",IF(O35&gt;0,"Owes money",IF(F35="Finished","",IF(F35="Paused","",IF(AND(J35&gt;0,L35&lt;=0),"No sessions left",IF(AND(J35&gt;0,L35&lt;=N(Settings!$C$7)),"Few sessions left",IF(AND(Q35&gt;0,L35&gt;0,Q35&lt;TODAY()),"Package expired",IF(AND(Q35&gt;0,L35&gt;0,Q35-TODAY()&lt;=14),"Package ends soon",IF(AND(N35&lt;&gt;"",N35&lt;=TODAY()),"Check-in due","")))))))))</f>
        <v/>
      </c>
      <c r="Q35" s="1">
        <f>IF(B35="",0,SUMPRODUCT(MAX((Packages!$C$6:$C$505=B35)*Packages!$N$6:$N$505)))</f>
        <v/>
      </c>
      <c r="R35">
        <f>IF(P35&lt;&gt;"",ROW(),"")</f>
        <v/>
      </c>
      <c r="S35">
        <f>IF(B35="",0,SUMPRODUCT(MAX(('Check-ins'!$C$6:$C$1505=B35)*'Check-ins'!$P$6:$P$1505)))</f>
        <v/>
      </c>
      <c r="T35">
        <f>IF(AND(B35&lt;&gt;"",F35&lt;&gt;"Paused",F35&lt;&gt;"Finished",J35&gt;0,L35&lt;=N(Settings!$C$7)),1,0)</f>
        <v/>
      </c>
      <c r="U35">
        <f>IF(AND(B35&lt;&gt;"",F35&lt;&gt;"Paused",F35&lt;&gt;"Finished",N35&lt;&gt;"",N35&lt;=TODAY()),1,0)</f>
        <v/>
      </c>
      <c r="V35">
        <f>IF(AND(B35&lt;&gt;"",F35&lt;&gt;"Paused",F35&lt;&gt;"Finished"),1,0)</f>
        <v/>
      </c>
    </row>
    <row r="36">
      <c r="A36" s="1" t="n"/>
      <c r="B36" s="19" t="n"/>
      <c r="C36" s="21" t="n"/>
      <c r="D36" s="17" t="n"/>
      <c r="E36" s="21" t="n"/>
      <c r="F36" s="20" t="n"/>
      <c r="G36" s="13">
        <f>IF(B36="","",SUMIFS(Sessions!$L$6:$L$3005,Sessions!$D$6:$D$3005,B36))</f>
        <v/>
      </c>
      <c r="H36" s="13">
        <f>IF(B36="","",SUMIFS(Sessions!$L$6:$L$3005,Sessions!$D$6:$D$3005,B36,Sessions!$J$6:$J$3005,(YEAR(TODAY())*100+MONTH(TODAY()))))</f>
        <v/>
      </c>
      <c r="I36" s="13">
        <f>IF(B36="","",SUMIFS(Sessions!$M$6:$M$3005,Sessions!$D$6:$D$3005,B36))</f>
        <v/>
      </c>
      <c r="J36" s="13">
        <f>IF(B36="","",SUMIFS(Packages!$D$6:$D$505,Packages!$C$6:$C$505,B36,Packages!$M$6:$M$505,1))</f>
        <v/>
      </c>
      <c r="K36" s="13">
        <f>IF(B36="","",SUMIFS(Sessions!$K$6:$K$3005,Sessions!$D$6:$D$3005,B36))</f>
        <v/>
      </c>
      <c r="L36" s="22">
        <f>IF(OR(B36="",J36=0),"",J36-K36)</f>
        <v/>
      </c>
      <c r="M36" s="23">
        <f>IF(B36="","",IF(SUMPRODUCT(MAX((Sessions!$D$6:$D$3005=B36)*Sessions!$L$6:$L$3005*Sessions!$I$6:$I$3005))=0,"",SUMPRODUCT(MAX((Sessions!$D$6:$D$3005=B36)*Sessions!$L$6:$L$3005*Sessions!$I$6:$I$3005))))</f>
        <v/>
      </c>
      <c r="N36" s="23">
        <f>IF(OR(B36="",F36="Finished"),"",IF(S36&gt;0,S36+7*N(Settings!$C$8),IF(ISNUMBER(D36),INT(D36)+7*N(Settings!$C$8),"")))</f>
        <v/>
      </c>
      <c r="O36" s="16">
        <f>IF(B36="","",SUMIFS(Packages!$J$6:$J$505,Packages!$C$6:$C$505,B36,Packages!$M$6:$M$505,1))</f>
        <v/>
      </c>
      <c r="P36" s="24">
        <f>IF(B36="","",IF(COUNTIF(Clients!$B$6:$B$105,B36)&gt;1,"Listed twice",IF(O36&gt;0,"Owes money",IF(F36="Finished","",IF(F36="Paused","",IF(AND(J36&gt;0,L36&lt;=0),"No sessions left",IF(AND(J36&gt;0,L36&lt;=N(Settings!$C$7)),"Few sessions left",IF(AND(Q36&gt;0,L36&gt;0,Q36&lt;TODAY()),"Package expired",IF(AND(Q36&gt;0,L36&gt;0,Q36-TODAY()&lt;=14),"Package ends soon",IF(AND(N36&lt;&gt;"",N36&lt;=TODAY()),"Check-in due","")))))))))</f>
        <v/>
      </c>
      <c r="Q36" s="1">
        <f>IF(B36="",0,SUMPRODUCT(MAX((Packages!$C$6:$C$505=B36)*Packages!$N$6:$N$505)))</f>
        <v/>
      </c>
      <c r="R36">
        <f>IF(P36&lt;&gt;"",ROW(),"")</f>
        <v/>
      </c>
      <c r="S36">
        <f>IF(B36="",0,SUMPRODUCT(MAX(('Check-ins'!$C$6:$C$1505=B36)*'Check-ins'!$P$6:$P$1505)))</f>
        <v/>
      </c>
      <c r="T36">
        <f>IF(AND(B36&lt;&gt;"",F36&lt;&gt;"Paused",F36&lt;&gt;"Finished",J36&gt;0,L36&lt;=N(Settings!$C$7)),1,0)</f>
        <v/>
      </c>
      <c r="U36">
        <f>IF(AND(B36&lt;&gt;"",F36&lt;&gt;"Paused",F36&lt;&gt;"Finished",N36&lt;&gt;"",N36&lt;=TODAY()),1,0)</f>
        <v/>
      </c>
      <c r="V36">
        <f>IF(AND(B36&lt;&gt;"",F36&lt;&gt;"Paused",F36&lt;&gt;"Finished"),1,0)</f>
        <v/>
      </c>
    </row>
    <row r="37">
      <c r="A37" s="1" t="n"/>
      <c r="B37" s="19" t="n"/>
      <c r="C37" s="21" t="n"/>
      <c r="D37" s="17" t="n"/>
      <c r="E37" s="21" t="n"/>
      <c r="F37" s="20" t="n"/>
      <c r="G37" s="13">
        <f>IF(B37="","",SUMIFS(Sessions!$L$6:$L$3005,Sessions!$D$6:$D$3005,B37))</f>
        <v/>
      </c>
      <c r="H37" s="13">
        <f>IF(B37="","",SUMIFS(Sessions!$L$6:$L$3005,Sessions!$D$6:$D$3005,B37,Sessions!$J$6:$J$3005,(YEAR(TODAY())*100+MONTH(TODAY()))))</f>
        <v/>
      </c>
      <c r="I37" s="13">
        <f>IF(B37="","",SUMIFS(Sessions!$M$6:$M$3005,Sessions!$D$6:$D$3005,B37))</f>
        <v/>
      </c>
      <c r="J37" s="13">
        <f>IF(B37="","",SUMIFS(Packages!$D$6:$D$505,Packages!$C$6:$C$505,B37,Packages!$M$6:$M$505,1))</f>
        <v/>
      </c>
      <c r="K37" s="13">
        <f>IF(B37="","",SUMIFS(Sessions!$K$6:$K$3005,Sessions!$D$6:$D$3005,B37))</f>
        <v/>
      </c>
      <c r="L37" s="22">
        <f>IF(OR(B37="",J37=0),"",J37-K37)</f>
        <v/>
      </c>
      <c r="M37" s="23">
        <f>IF(B37="","",IF(SUMPRODUCT(MAX((Sessions!$D$6:$D$3005=B37)*Sessions!$L$6:$L$3005*Sessions!$I$6:$I$3005))=0,"",SUMPRODUCT(MAX((Sessions!$D$6:$D$3005=B37)*Sessions!$L$6:$L$3005*Sessions!$I$6:$I$3005))))</f>
        <v/>
      </c>
      <c r="N37" s="23">
        <f>IF(OR(B37="",F37="Finished"),"",IF(S37&gt;0,S37+7*N(Settings!$C$8),IF(ISNUMBER(D37),INT(D37)+7*N(Settings!$C$8),"")))</f>
        <v/>
      </c>
      <c r="O37" s="16">
        <f>IF(B37="","",SUMIFS(Packages!$J$6:$J$505,Packages!$C$6:$C$505,B37,Packages!$M$6:$M$505,1))</f>
        <v/>
      </c>
      <c r="P37" s="24">
        <f>IF(B37="","",IF(COUNTIF(Clients!$B$6:$B$105,B37)&gt;1,"Listed twice",IF(O37&gt;0,"Owes money",IF(F37="Finished","",IF(F37="Paused","",IF(AND(J37&gt;0,L37&lt;=0),"No sessions left",IF(AND(J37&gt;0,L37&lt;=N(Settings!$C$7)),"Few sessions left",IF(AND(Q37&gt;0,L37&gt;0,Q37&lt;TODAY()),"Package expired",IF(AND(Q37&gt;0,L37&gt;0,Q37-TODAY()&lt;=14),"Package ends soon",IF(AND(N37&lt;&gt;"",N37&lt;=TODAY()),"Check-in due","")))))))))</f>
        <v/>
      </c>
      <c r="Q37" s="1">
        <f>IF(B37="",0,SUMPRODUCT(MAX((Packages!$C$6:$C$505=B37)*Packages!$N$6:$N$505)))</f>
        <v/>
      </c>
      <c r="R37">
        <f>IF(P37&lt;&gt;"",ROW(),"")</f>
        <v/>
      </c>
      <c r="S37">
        <f>IF(B37="",0,SUMPRODUCT(MAX(('Check-ins'!$C$6:$C$1505=B37)*'Check-ins'!$P$6:$P$1505)))</f>
        <v/>
      </c>
      <c r="T37">
        <f>IF(AND(B37&lt;&gt;"",F37&lt;&gt;"Paused",F37&lt;&gt;"Finished",J37&gt;0,L37&lt;=N(Settings!$C$7)),1,0)</f>
        <v/>
      </c>
      <c r="U37">
        <f>IF(AND(B37&lt;&gt;"",F37&lt;&gt;"Paused",F37&lt;&gt;"Finished",N37&lt;&gt;"",N37&lt;=TODAY()),1,0)</f>
        <v/>
      </c>
      <c r="V37">
        <f>IF(AND(B37&lt;&gt;"",F37&lt;&gt;"Paused",F37&lt;&gt;"Finished"),1,0)</f>
        <v/>
      </c>
    </row>
    <row r="38">
      <c r="A38" s="1" t="n"/>
      <c r="B38" s="19" t="n"/>
      <c r="C38" s="21" t="n"/>
      <c r="D38" s="17" t="n"/>
      <c r="E38" s="21" t="n"/>
      <c r="F38" s="20" t="n"/>
      <c r="G38" s="13">
        <f>IF(B38="","",SUMIFS(Sessions!$L$6:$L$3005,Sessions!$D$6:$D$3005,B38))</f>
        <v/>
      </c>
      <c r="H38" s="13">
        <f>IF(B38="","",SUMIFS(Sessions!$L$6:$L$3005,Sessions!$D$6:$D$3005,B38,Sessions!$J$6:$J$3005,(YEAR(TODAY())*100+MONTH(TODAY()))))</f>
        <v/>
      </c>
      <c r="I38" s="13">
        <f>IF(B38="","",SUMIFS(Sessions!$M$6:$M$3005,Sessions!$D$6:$D$3005,B38))</f>
        <v/>
      </c>
      <c r="J38" s="13">
        <f>IF(B38="","",SUMIFS(Packages!$D$6:$D$505,Packages!$C$6:$C$505,B38,Packages!$M$6:$M$505,1))</f>
        <v/>
      </c>
      <c r="K38" s="13">
        <f>IF(B38="","",SUMIFS(Sessions!$K$6:$K$3005,Sessions!$D$6:$D$3005,B38))</f>
        <v/>
      </c>
      <c r="L38" s="22">
        <f>IF(OR(B38="",J38=0),"",J38-K38)</f>
        <v/>
      </c>
      <c r="M38" s="23">
        <f>IF(B38="","",IF(SUMPRODUCT(MAX((Sessions!$D$6:$D$3005=B38)*Sessions!$L$6:$L$3005*Sessions!$I$6:$I$3005))=0,"",SUMPRODUCT(MAX((Sessions!$D$6:$D$3005=B38)*Sessions!$L$6:$L$3005*Sessions!$I$6:$I$3005))))</f>
        <v/>
      </c>
      <c r="N38" s="23">
        <f>IF(OR(B38="",F38="Finished"),"",IF(S38&gt;0,S38+7*N(Settings!$C$8),IF(ISNUMBER(D38),INT(D38)+7*N(Settings!$C$8),"")))</f>
        <v/>
      </c>
      <c r="O38" s="16">
        <f>IF(B38="","",SUMIFS(Packages!$J$6:$J$505,Packages!$C$6:$C$505,B38,Packages!$M$6:$M$505,1))</f>
        <v/>
      </c>
      <c r="P38" s="24">
        <f>IF(B38="","",IF(COUNTIF(Clients!$B$6:$B$105,B38)&gt;1,"Listed twice",IF(O38&gt;0,"Owes money",IF(F38="Finished","",IF(F38="Paused","",IF(AND(J38&gt;0,L38&lt;=0),"No sessions left",IF(AND(J38&gt;0,L38&lt;=N(Settings!$C$7)),"Few sessions left",IF(AND(Q38&gt;0,L38&gt;0,Q38&lt;TODAY()),"Package expired",IF(AND(Q38&gt;0,L38&gt;0,Q38-TODAY()&lt;=14),"Package ends soon",IF(AND(N38&lt;&gt;"",N38&lt;=TODAY()),"Check-in due","")))))))))</f>
        <v/>
      </c>
      <c r="Q38" s="1">
        <f>IF(B38="",0,SUMPRODUCT(MAX((Packages!$C$6:$C$505=B38)*Packages!$N$6:$N$505)))</f>
        <v/>
      </c>
      <c r="R38">
        <f>IF(P38&lt;&gt;"",ROW(),"")</f>
        <v/>
      </c>
      <c r="S38">
        <f>IF(B38="",0,SUMPRODUCT(MAX(('Check-ins'!$C$6:$C$1505=B38)*'Check-ins'!$P$6:$P$1505)))</f>
        <v/>
      </c>
      <c r="T38">
        <f>IF(AND(B38&lt;&gt;"",F38&lt;&gt;"Paused",F38&lt;&gt;"Finished",J38&gt;0,L38&lt;=N(Settings!$C$7)),1,0)</f>
        <v/>
      </c>
      <c r="U38">
        <f>IF(AND(B38&lt;&gt;"",F38&lt;&gt;"Paused",F38&lt;&gt;"Finished",N38&lt;&gt;"",N38&lt;=TODAY()),1,0)</f>
        <v/>
      </c>
      <c r="V38">
        <f>IF(AND(B38&lt;&gt;"",F38&lt;&gt;"Paused",F38&lt;&gt;"Finished"),1,0)</f>
        <v/>
      </c>
    </row>
    <row r="39">
      <c r="A39" s="1" t="n"/>
      <c r="B39" s="19" t="n"/>
      <c r="C39" s="21" t="n"/>
      <c r="D39" s="17" t="n"/>
      <c r="E39" s="21" t="n"/>
      <c r="F39" s="20" t="n"/>
      <c r="G39" s="13">
        <f>IF(B39="","",SUMIFS(Sessions!$L$6:$L$3005,Sessions!$D$6:$D$3005,B39))</f>
        <v/>
      </c>
      <c r="H39" s="13">
        <f>IF(B39="","",SUMIFS(Sessions!$L$6:$L$3005,Sessions!$D$6:$D$3005,B39,Sessions!$J$6:$J$3005,(YEAR(TODAY())*100+MONTH(TODAY()))))</f>
        <v/>
      </c>
      <c r="I39" s="13">
        <f>IF(B39="","",SUMIFS(Sessions!$M$6:$M$3005,Sessions!$D$6:$D$3005,B39))</f>
        <v/>
      </c>
      <c r="J39" s="13">
        <f>IF(B39="","",SUMIFS(Packages!$D$6:$D$505,Packages!$C$6:$C$505,B39,Packages!$M$6:$M$505,1))</f>
        <v/>
      </c>
      <c r="K39" s="13">
        <f>IF(B39="","",SUMIFS(Sessions!$K$6:$K$3005,Sessions!$D$6:$D$3005,B39))</f>
        <v/>
      </c>
      <c r="L39" s="22">
        <f>IF(OR(B39="",J39=0),"",J39-K39)</f>
        <v/>
      </c>
      <c r="M39" s="23">
        <f>IF(B39="","",IF(SUMPRODUCT(MAX((Sessions!$D$6:$D$3005=B39)*Sessions!$L$6:$L$3005*Sessions!$I$6:$I$3005))=0,"",SUMPRODUCT(MAX((Sessions!$D$6:$D$3005=B39)*Sessions!$L$6:$L$3005*Sessions!$I$6:$I$3005))))</f>
        <v/>
      </c>
      <c r="N39" s="23">
        <f>IF(OR(B39="",F39="Finished"),"",IF(S39&gt;0,S39+7*N(Settings!$C$8),IF(ISNUMBER(D39),INT(D39)+7*N(Settings!$C$8),"")))</f>
        <v/>
      </c>
      <c r="O39" s="16">
        <f>IF(B39="","",SUMIFS(Packages!$J$6:$J$505,Packages!$C$6:$C$505,B39,Packages!$M$6:$M$505,1))</f>
        <v/>
      </c>
      <c r="P39" s="24">
        <f>IF(B39="","",IF(COUNTIF(Clients!$B$6:$B$105,B39)&gt;1,"Listed twice",IF(O39&gt;0,"Owes money",IF(F39="Finished","",IF(F39="Paused","",IF(AND(J39&gt;0,L39&lt;=0),"No sessions left",IF(AND(J39&gt;0,L39&lt;=N(Settings!$C$7)),"Few sessions left",IF(AND(Q39&gt;0,L39&gt;0,Q39&lt;TODAY()),"Package expired",IF(AND(Q39&gt;0,L39&gt;0,Q39-TODAY()&lt;=14),"Package ends soon",IF(AND(N39&lt;&gt;"",N39&lt;=TODAY()),"Check-in due","")))))))))</f>
        <v/>
      </c>
      <c r="Q39" s="1">
        <f>IF(B39="",0,SUMPRODUCT(MAX((Packages!$C$6:$C$505=B39)*Packages!$N$6:$N$505)))</f>
        <v/>
      </c>
      <c r="R39">
        <f>IF(P39&lt;&gt;"",ROW(),"")</f>
        <v/>
      </c>
      <c r="S39">
        <f>IF(B39="",0,SUMPRODUCT(MAX(('Check-ins'!$C$6:$C$1505=B39)*'Check-ins'!$P$6:$P$1505)))</f>
        <v/>
      </c>
      <c r="T39">
        <f>IF(AND(B39&lt;&gt;"",F39&lt;&gt;"Paused",F39&lt;&gt;"Finished",J39&gt;0,L39&lt;=N(Settings!$C$7)),1,0)</f>
        <v/>
      </c>
      <c r="U39">
        <f>IF(AND(B39&lt;&gt;"",F39&lt;&gt;"Paused",F39&lt;&gt;"Finished",N39&lt;&gt;"",N39&lt;=TODAY()),1,0)</f>
        <v/>
      </c>
      <c r="V39">
        <f>IF(AND(B39&lt;&gt;"",F39&lt;&gt;"Paused",F39&lt;&gt;"Finished"),1,0)</f>
        <v/>
      </c>
    </row>
    <row r="40">
      <c r="A40" s="1" t="n"/>
      <c r="B40" s="19" t="n"/>
      <c r="C40" s="21" t="n"/>
      <c r="D40" s="17" t="n"/>
      <c r="E40" s="21" t="n"/>
      <c r="F40" s="20" t="n"/>
      <c r="G40" s="13">
        <f>IF(B40="","",SUMIFS(Sessions!$L$6:$L$3005,Sessions!$D$6:$D$3005,B40))</f>
        <v/>
      </c>
      <c r="H40" s="13">
        <f>IF(B40="","",SUMIFS(Sessions!$L$6:$L$3005,Sessions!$D$6:$D$3005,B40,Sessions!$J$6:$J$3005,(YEAR(TODAY())*100+MONTH(TODAY()))))</f>
        <v/>
      </c>
      <c r="I40" s="13">
        <f>IF(B40="","",SUMIFS(Sessions!$M$6:$M$3005,Sessions!$D$6:$D$3005,B40))</f>
        <v/>
      </c>
      <c r="J40" s="13">
        <f>IF(B40="","",SUMIFS(Packages!$D$6:$D$505,Packages!$C$6:$C$505,B40,Packages!$M$6:$M$505,1))</f>
        <v/>
      </c>
      <c r="K40" s="13">
        <f>IF(B40="","",SUMIFS(Sessions!$K$6:$K$3005,Sessions!$D$6:$D$3005,B40))</f>
        <v/>
      </c>
      <c r="L40" s="22">
        <f>IF(OR(B40="",J40=0),"",J40-K40)</f>
        <v/>
      </c>
      <c r="M40" s="23">
        <f>IF(B40="","",IF(SUMPRODUCT(MAX((Sessions!$D$6:$D$3005=B40)*Sessions!$L$6:$L$3005*Sessions!$I$6:$I$3005))=0,"",SUMPRODUCT(MAX((Sessions!$D$6:$D$3005=B40)*Sessions!$L$6:$L$3005*Sessions!$I$6:$I$3005))))</f>
        <v/>
      </c>
      <c r="N40" s="23">
        <f>IF(OR(B40="",F40="Finished"),"",IF(S40&gt;0,S40+7*N(Settings!$C$8),IF(ISNUMBER(D40),INT(D40)+7*N(Settings!$C$8),"")))</f>
        <v/>
      </c>
      <c r="O40" s="16">
        <f>IF(B40="","",SUMIFS(Packages!$J$6:$J$505,Packages!$C$6:$C$505,B40,Packages!$M$6:$M$505,1))</f>
        <v/>
      </c>
      <c r="P40" s="24">
        <f>IF(B40="","",IF(COUNTIF(Clients!$B$6:$B$105,B40)&gt;1,"Listed twice",IF(O40&gt;0,"Owes money",IF(F40="Finished","",IF(F40="Paused","",IF(AND(J40&gt;0,L40&lt;=0),"No sessions left",IF(AND(J40&gt;0,L40&lt;=N(Settings!$C$7)),"Few sessions left",IF(AND(Q40&gt;0,L40&gt;0,Q40&lt;TODAY()),"Package expired",IF(AND(Q40&gt;0,L40&gt;0,Q40-TODAY()&lt;=14),"Package ends soon",IF(AND(N40&lt;&gt;"",N40&lt;=TODAY()),"Check-in due","")))))))))</f>
        <v/>
      </c>
      <c r="Q40" s="1">
        <f>IF(B40="",0,SUMPRODUCT(MAX((Packages!$C$6:$C$505=B40)*Packages!$N$6:$N$505)))</f>
        <v/>
      </c>
      <c r="R40">
        <f>IF(P40&lt;&gt;"",ROW(),"")</f>
        <v/>
      </c>
      <c r="S40">
        <f>IF(B40="",0,SUMPRODUCT(MAX(('Check-ins'!$C$6:$C$1505=B40)*'Check-ins'!$P$6:$P$1505)))</f>
        <v/>
      </c>
      <c r="T40">
        <f>IF(AND(B40&lt;&gt;"",F40&lt;&gt;"Paused",F40&lt;&gt;"Finished",J40&gt;0,L40&lt;=N(Settings!$C$7)),1,0)</f>
        <v/>
      </c>
      <c r="U40">
        <f>IF(AND(B40&lt;&gt;"",F40&lt;&gt;"Paused",F40&lt;&gt;"Finished",N40&lt;&gt;"",N40&lt;=TODAY()),1,0)</f>
        <v/>
      </c>
      <c r="V40">
        <f>IF(AND(B40&lt;&gt;"",F40&lt;&gt;"Paused",F40&lt;&gt;"Finished"),1,0)</f>
        <v/>
      </c>
    </row>
    <row r="41">
      <c r="A41" s="1" t="n"/>
      <c r="B41" s="19" t="n"/>
      <c r="C41" s="21" t="n"/>
      <c r="D41" s="17" t="n"/>
      <c r="E41" s="21" t="n"/>
      <c r="F41" s="20" t="n"/>
      <c r="G41" s="13">
        <f>IF(B41="","",SUMIFS(Sessions!$L$6:$L$3005,Sessions!$D$6:$D$3005,B41))</f>
        <v/>
      </c>
      <c r="H41" s="13">
        <f>IF(B41="","",SUMIFS(Sessions!$L$6:$L$3005,Sessions!$D$6:$D$3005,B41,Sessions!$J$6:$J$3005,(YEAR(TODAY())*100+MONTH(TODAY()))))</f>
        <v/>
      </c>
      <c r="I41" s="13">
        <f>IF(B41="","",SUMIFS(Sessions!$M$6:$M$3005,Sessions!$D$6:$D$3005,B41))</f>
        <v/>
      </c>
      <c r="J41" s="13">
        <f>IF(B41="","",SUMIFS(Packages!$D$6:$D$505,Packages!$C$6:$C$505,B41,Packages!$M$6:$M$505,1))</f>
        <v/>
      </c>
      <c r="K41" s="13">
        <f>IF(B41="","",SUMIFS(Sessions!$K$6:$K$3005,Sessions!$D$6:$D$3005,B41))</f>
        <v/>
      </c>
      <c r="L41" s="22">
        <f>IF(OR(B41="",J41=0),"",J41-K41)</f>
        <v/>
      </c>
      <c r="M41" s="23">
        <f>IF(B41="","",IF(SUMPRODUCT(MAX((Sessions!$D$6:$D$3005=B41)*Sessions!$L$6:$L$3005*Sessions!$I$6:$I$3005))=0,"",SUMPRODUCT(MAX((Sessions!$D$6:$D$3005=B41)*Sessions!$L$6:$L$3005*Sessions!$I$6:$I$3005))))</f>
        <v/>
      </c>
      <c r="N41" s="23">
        <f>IF(OR(B41="",F41="Finished"),"",IF(S41&gt;0,S41+7*N(Settings!$C$8),IF(ISNUMBER(D41),INT(D41)+7*N(Settings!$C$8),"")))</f>
        <v/>
      </c>
      <c r="O41" s="16">
        <f>IF(B41="","",SUMIFS(Packages!$J$6:$J$505,Packages!$C$6:$C$505,B41,Packages!$M$6:$M$505,1))</f>
        <v/>
      </c>
      <c r="P41" s="24">
        <f>IF(B41="","",IF(COUNTIF(Clients!$B$6:$B$105,B41)&gt;1,"Listed twice",IF(O41&gt;0,"Owes money",IF(F41="Finished","",IF(F41="Paused","",IF(AND(J41&gt;0,L41&lt;=0),"No sessions left",IF(AND(J41&gt;0,L41&lt;=N(Settings!$C$7)),"Few sessions left",IF(AND(Q41&gt;0,L41&gt;0,Q41&lt;TODAY()),"Package expired",IF(AND(Q41&gt;0,L41&gt;0,Q41-TODAY()&lt;=14),"Package ends soon",IF(AND(N41&lt;&gt;"",N41&lt;=TODAY()),"Check-in due","")))))))))</f>
        <v/>
      </c>
      <c r="Q41" s="1">
        <f>IF(B41="",0,SUMPRODUCT(MAX((Packages!$C$6:$C$505=B41)*Packages!$N$6:$N$505)))</f>
        <v/>
      </c>
      <c r="R41">
        <f>IF(P41&lt;&gt;"",ROW(),"")</f>
        <v/>
      </c>
      <c r="S41">
        <f>IF(B41="",0,SUMPRODUCT(MAX(('Check-ins'!$C$6:$C$1505=B41)*'Check-ins'!$P$6:$P$1505)))</f>
        <v/>
      </c>
      <c r="T41">
        <f>IF(AND(B41&lt;&gt;"",F41&lt;&gt;"Paused",F41&lt;&gt;"Finished",J41&gt;0,L41&lt;=N(Settings!$C$7)),1,0)</f>
        <v/>
      </c>
      <c r="U41">
        <f>IF(AND(B41&lt;&gt;"",F41&lt;&gt;"Paused",F41&lt;&gt;"Finished",N41&lt;&gt;"",N41&lt;=TODAY()),1,0)</f>
        <v/>
      </c>
      <c r="V41">
        <f>IF(AND(B41&lt;&gt;"",F41&lt;&gt;"Paused",F41&lt;&gt;"Finished"),1,0)</f>
        <v/>
      </c>
    </row>
    <row r="42">
      <c r="A42" s="1" t="n"/>
      <c r="B42" s="19" t="n"/>
      <c r="C42" s="21" t="n"/>
      <c r="D42" s="17" t="n"/>
      <c r="E42" s="21" t="n"/>
      <c r="F42" s="20" t="n"/>
      <c r="G42" s="13">
        <f>IF(B42="","",SUMIFS(Sessions!$L$6:$L$3005,Sessions!$D$6:$D$3005,B42))</f>
        <v/>
      </c>
      <c r="H42" s="13">
        <f>IF(B42="","",SUMIFS(Sessions!$L$6:$L$3005,Sessions!$D$6:$D$3005,B42,Sessions!$J$6:$J$3005,(YEAR(TODAY())*100+MONTH(TODAY()))))</f>
        <v/>
      </c>
      <c r="I42" s="13">
        <f>IF(B42="","",SUMIFS(Sessions!$M$6:$M$3005,Sessions!$D$6:$D$3005,B42))</f>
        <v/>
      </c>
      <c r="J42" s="13">
        <f>IF(B42="","",SUMIFS(Packages!$D$6:$D$505,Packages!$C$6:$C$505,B42,Packages!$M$6:$M$505,1))</f>
        <v/>
      </c>
      <c r="K42" s="13">
        <f>IF(B42="","",SUMIFS(Sessions!$K$6:$K$3005,Sessions!$D$6:$D$3005,B42))</f>
        <v/>
      </c>
      <c r="L42" s="22">
        <f>IF(OR(B42="",J42=0),"",J42-K42)</f>
        <v/>
      </c>
      <c r="M42" s="23">
        <f>IF(B42="","",IF(SUMPRODUCT(MAX((Sessions!$D$6:$D$3005=B42)*Sessions!$L$6:$L$3005*Sessions!$I$6:$I$3005))=0,"",SUMPRODUCT(MAX((Sessions!$D$6:$D$3005=B42)*Sessions!$L$6:$L$3005*Sessions!$I$6:$I$3005))))</f>
        <v/>
      </c>
      <c r="N42" s="23">
        <f>IF(OR(B42="",F42="Finished"),"",IF(S42&gt;0,S42+7*N(Settings!$C$8),IF(ISNUMBER(D42),INT(D42)+7*N(Settings!$C$8),"")))</f>
        <v/>
      </c>
      <c r="O42" s="16">
        <f>IF(B42="","",SUMIFS(Packages!$J$6:$J$505,Packages!$C$6:$C$505,B42,Packages!$M$6:$M$505,1))</f>
        <v/>
      </c>
      <c r="P42" s="24">
        <f>IF(B42="","",IF(COUNTIF(Clients!$B$6:$B$105,B42)&gt;1,"Listed twice",IF(O42&gt;0,"Owes money",IF(F42="Finished","",IF(F42="Paused","",IF(AND(J42&gt;0,L42&lt;=0),"No sessions left",IF(AND(J42&gt;0,L42&lt;=N(Settings!$C$7)),"Few sessions left",IF(AND(Q42&gt;0,L42&gt;0,Q42&lt;TODAY()),"Package expired",IF(AND(Q42&gt;0,L42&gt;0,Q42-TODAY()&lt;=14),"Package ends soon",IF(AND(N42&lt;&gt;"",N42&lt;=TODAY()),"Check-in due","")))))))))</f>
        <v/>
      </c>
      <c r="Q42" s="1">
        <f>IF(B42="",0,SUMPRODUCT(MAX((Packages!$C$6:$C$505=B42)*Packages!$N$6:$N$505)))</f>
        <v/>
      </c>
      <c r="R42">
        <f>IF(P42&lt;&gt;"",ROW(),"")</f>
        <v/>
      </c>
      <c r="S42">
        <f>IF(B42="",0,SUMPRODUCT(MAX(('Check-ins'!$C$6:$C$1505=B42)*'Check-ins'!$P$6:$P$1505)))</f>
        <v/>
      </c>
      <c r="T42">
        <f>IF(AND(B42&lt;&gt;"",F42&lt;&gt;"Paused",F42&lt;&gt;"Finished",J42&gt;0,L42&lt;=N(Settings!$C$7)),1,0)</f>
        <v/>
      </c>
      <c r="U42">
        <f>IF(AND(B42&lt;&gt;"",F42&lt;&gt;"Paused",F42&lt;&gt;"Finished",N42&lt;&gt;"",N42&lt;=TODAY()),1,0)</f>
        <v/>
      </c>
      <c r="V42">
        <f>IF(AND(B42&lt;&gt;"",F42&lt;&gt;"Paused",F42&lt;&gt;"Finished"),1,0)</f>
        <v/>
      </c>
    </row>
    <row r="43">
      <c r="A43" s="1" t="n"/>
      <c r="B43" s="19" t="n"/>
      <c r="C43" s="21" t="n"/>
      <c r="D43" s="17" t="n"/>
      <c r="E43" s="21" t="n"/>
      <c r="F43" s="20" t="n"/>
      <c r="G43" s="13">
        <f>IF(B43="","",SUMIFS(Sessions!$L$6:$L$3005,Sessions!$D$6:$D$3005,B43))</f>
        <v/>
      </c>
      <c r="H43" s="13">
        <f>IF(B43="","",SUMIFS(Sessions!$L$6:$L$3005,Sessions!$D$6:$D$3005,B43,Sessions!$J$6:$J$3005,(YEAR(TODAY())*100+MONTH(TODAY()))))</f>
        <v/>
      </c>
      <c r="I43" s="13">
        <f>IF(B43="","",SUMIFS(Sessions!$M$6:$M$3005,Sessions!$D$6:$D$3005,B43))</f>
        <v/>
      </c>
      <c r="J43" s="13">
        <f>IF(B43="","",SUMIFS(Packages!$D$6:$D$505,Packages!$C$6:$C$505,B43,Packages!$M$6:$M$505,1))</f>
        <v/>
      </c>
      <c r="K43" s="13">
        <f>IF(B43="","",SUMIFS(Sessions!$K$6:$K$3005,Sessions!$D$6:$D$3005,B43))</f>
        <v/>
      </c>
      <c r="L43" s="22">
        <f>IF(OR(B43="",J43=0),"",J43-K43)</f>
        <v/>
      </c>
      <c r="M43" s="23">
        <f>IF(B43="","",IF(SUMPRODUCT(MAX((Sessions!$D$6:$D$3005=B43)*Sessions!$L$6:$L$3005*Sessions!$I$6:$I$3005))=0,"",SUMPRODUCT(MAX((Sessions!$D$6:$D$3005=B43)*Sessions!$L$6:$L$3005*Sessions!$I$6:$I$3005))))</f>
        <v/>
      </c>
      <c r="N43" s="23">
        <f>IF(OR(B43="",F43="Finished"),"",IF(S43&gt;0,S43+7*N(Settings!$C$8),IF(ISNUMBER(D43),INT(D43)+7*N(Settings!$C$8),"")))</f>
        <v/>
      </c>
      <c r="O43" s="16">
        <f>IF(B43="","",SUMIFS(Packages!$J$6:$J$505,Packages!$C$6:$C$505,B43,Packages!$M$6:$M$505,1))</f>
        <v/>
      </c>
      <c r="P43" s="24">
        <f>IF(B43="","",IF(COUNTIF(Clients!$B$6:$B$105,B43)&gt;1,"Listed twice",IF(O43&gt;0,"Owes money",IF(F43="Finished","",IF(F43="Paused","",IF(AND(J43&gt;0,L43&lt;=0),"No sessions left",IF(AND(J43&gt;0,L43&lt;=N(Settings!$C$7)),"Few sessions left",IF(AND(Q43&gt;0,L43&gt;0,Q43&lt;TODAY()),"Package expired",IF(AND(Q43&gt;0,L43&gt;0,Q43-TODAY()&lt;=14),"Package ends soon",IF(AND(N43&lt;&gt;"",N43&lt;=TODAY()),"Check-in due","")))))))))</f>
        <v/>
      </c>
      <c r="Q43" s="1">
        <f>IF(B43="",0,SUMPRODUCT(MAX((Packages!$C$6:$C$505=B43)*Packages!$N$6:$N$505)))</f>
        <v/>
      </c>
      <c r="R43">
        <f>IF(P43&lt;&gt;"",ROW(),"")</f>
        <v/>
      </c>
      <c r="S43">
        <f>IF(B43="",0,SUMPRODUCT(MAX(('Check-ins'!$C$6:$C$1505=B43)*'Check-ins'!$P$6:$P$1505)))</f>
        <v/>
      </c>
      <c r="T43">
        <f>IF(AND(B43&lt;&gt;"",F43&lt;&gt;"Paused",F43&lt;&gt;"Finished",J43&gt;0,L43&lt;=N(Settings!$C$7)),1,0)</f>
        <v/>
      </c>
      <c r="U43">
        <f>IF(AND(B43&lt;&gt;"",F43&lt;&gt;"Paused",F43&lt;&gt;"Finished",N43&lt;&gt;"",N43&lt;=TODAY()),1,0)</f>
        <v/>
      </c>
      <c r="V43">
        <f>IF(AND(B43&lt;&gt;"",F43&lt;&gt;"Paused",F43&lt;&gt;"Finished"),1,0)</f>
        <v/>
      </c>
    </row>
    <row r="44">
      <c r="A44" s="1" t="n"/>
      <c r="B44" s="19" t="n"/>
      <c r="C44" s="21" t="n"/>
      <c r="D44" s="17" t="n"/>
      <c r="E44" s="21" t="n"/>
      <c r="F44" s="20" t="n"/>
      <c r="G44" s="13">
        <f>IF(B44="","",SUMIFS(Sessions!$L$6:$L$3005,Sessions!$D$6:$D$3005,B44))</f>
        <v/>
      </c>
      <c r="H44" s="13">
        <f>IF(B44="","",SUMIFS(Sessions!$L$6:$L$3005,Sessions!$D$6:$D$3005,B44,Sessions!$J$6:$J$3005,(YEAR(TODAY())*100+MONTH(TODAY()))))</f>
        <v/>
      </c>
      <c r="I44" s="13">
        <f>IF(B44="","",SUMIFS(Sessions!$M$6:$M$3005,Sessions!$D$6:$D$3005,B44))</f>
        <v/>
      </c>
      <c r="J44" s="13">
        <f>IF(B44="","",SUMIFS(Packages!$D$6:$D$505,Packages!$C$6:$C$505,B44,Packages!$M$6:$M$505,1))</f>
        <v/>
      </c>
      <c r="K44" s="13">
        <f>IF(B44="","",SUMIFS(Sessions!$K$6:$K$3005,Sessions!$D$6:$D$3005,B44))</f>
        <v/>
      </c>
      <c r="L44" s="22">
        <f>IF(OR(B44="",J44=0),"",J44-K44)</f>
        <v/>
      </c>
      <c r="M44" s="23">
        <f>IF(B44="","",IF(SUMPRODUCT(MAX((Sessions!$D$6:$D$3005=B44)*Sessions!$L$6:$L$3005*Sessions!$I$6:$I$3005))=0,"",SUMPRODUCT(MAX((Sessions!$D$6:$D$3005=B44)*Sessions!$L$6:$L$3005*Sessions!$I$6:$I$3005))))</f>
        <v/>
      </c>
      <c r="N44" s="23">
        <f>IF(OR(B44="",F44="Finished"),"",IF(S44&gt;0,S44+7*N(Settings!$C$8),IF(ISNUMBER(D44),INT(D44)+7*N(Settings!$C$8),"")))</f>
        <v/>
      </c>
      <c r="O44" s="16">
        <f>IF(B44="","",SUMIFS(Packages!$J$6:$J$505,Packages!$C$6:$C$505,B44,Packages!$M$6:$M$505,1))</f>
        <v/>
      </c>
      <c r="P44" s="24">
        <f>IF(B44="","",IF(COUNTIF(Clients!$B$6:$B$105,B44)&gt;1,"Listed twice",IF(O44&gt;0,"Owes money",IF(F44="Finished","",IF(F44="Paused","",IF(AND(J44&gt;0,L44&lt;=0),"No sessions left",IF(AND(J44&gt;0,L44&lt;=N(Settings!$C$7)),"Few sessions left",IF(AND(Q44&gt;0,L44&gt;0,Q44&lt;TODAY()),"Package expired",IF(AND(Q44&gt;0,L44&gt;0,Q44-TODAY()&lt;=14),"Package ends soon",IF(AND(N44&lt;&gt;"",N44&lt;=TODAY()),"Check-in due","")))))))))</f>
        <v/>
      </c>
      <c r="Q44" s="1">
        <f>IF(B44="",0,SUMPRODUCT(MAX((Packages!$C$6:$C$505=B44)*Packages!$N$6:$N$505)))</f>
        <v/>
      </c>
      <c r="R44">
        <f>IF(P44&lt;&gt;"",ROW(),"")</f>
        <v/>
      </c>
      <c r="S44">
        <f>IF(B44="",0,SUMPRODUCT(MAX(('Check-ins'!$C$6:$C$1505=B44)*'Check-ins'!$P$6:$P$1505)))</f>
        <v/>
      </c>
      <c r="T44">
        <f>IF(AND(B44&lt;&gt;"",F44&lt;&gt;"Paused",F44&lt;&gt;"Finished",J44&gt;0,L44&lt;=N(Settings!$C$7)),1,0)</f>
        <v/>
      </c>
      <c r="U44">
        <f>IF(AND(B44&lt;&gt;"",F44&lt;&gt;"Paused",F44&lt;&gt;"Finished",N44&lt;&gt;"",N44&lt;=TODAY()),1,0)</f>
        <v/>
      </c>
      <c r="V44">
        <f>IF(AND(B44&lt;&gt;"",F44&lt;&gt;"Paused",F44&lt;&gt;"Finished"),1,0)</f>
        <v/>
      </c>
    </row>
    <row r="45">
      <c r="A45" s="1" t="n"/>
      <c r="B45" s="19" t="n"/>
      <c r="C45" s="21" t="n"/>
      <c r="D45" s="17" t="n"/>
      <c r="E45" s="21" t="n"/>
      <c r="F45" s="20" t="n"/>
      <c r="G45" s="13">
        <f>IF(B45="","",SUMIFS(Sessions!$L$6:$L$3005,Sessions!$D$6:$D$3005,B45))</f>
        <v/>
      </c>
      <c r="H45" s="13">
        <f>IF(B45="","",SUMIFS(Sessions!$L$6:$L$3005,Sessions!$D$6:$D$3005,B45,Sessions!$J$6:$J$3005,(YEAR(TODAY())*100+MONTH(TODAY()))))</f>
        <v/>
      </c>
      <c r="I45" s="13">
        <f>IF(B45="","",SUMIFS(Sessions!$M$6:$M$3005,Sessions!$D$6:$D$3005,B45))</f>
        <v/>
      </c>
      <c r="J45" s="13">
        <f>IF(B45="","",SUMIFS(Packages!$D$6:$D$505,Packages!$C$6:$C$505,B45,Packages!$M$6:$M$505,1))</f>
        <v/>
      </c>
      <c r="K45" s="13">
        <f>IF(B45="","",SUMIFS(Sessions!$K$6:$K$3005,Sessions!$D$6:$D$3005,B45))</f>
        <v/>
      </c>
      <c r="L45" s="22">
        <f>IF(OR(B45="",J45=0),"",J45-K45)</f>
        <v/>
      </c>
      <c r="M45" s="23">
        <f>IF(B45="","",IF(SUMPRODUCT(MAX((Sessions!$D$6:$D$3005=B45)*Sessions!$L$6:$L$3005*Sessions!$I$6:$I$3005))=0,"",SUMPRODUCT(MAX((Sessions!$D$6:$D$3005=B45)*Sessions!$L$6:$L$3005*Sessions!$I$6:$I$3005))))</f>
        <v/>
      </c>
      <c r="N45" s="23">
        <f>IF(OR(B45="",F45="Finished"),"",IF(S45&gt;0,S45+7*N(Settings!$C$8),IF(ISNUMBER(D45),INT(D45)+7*N(Settings!$C$8),"")))</f>
        <v/>
      </c>
      <c r="O45" s="16">
        <f>IF(B45="","",SUMIFS(Packages!$J$6:$J$505,Packages!$C$6:$C$505,B45,Packages!$M$6:$M$505,1))</f>
        <v/>
      </c>
      <c r="P45" s="24">
        <f>IF(B45="","",IF(COUNTIF(Clients!$B$6:$B$105,B45)&gt;1,"Listed twice",IF(O45&gt;0,"Owes money",IF(F45="Finished","",IF(F45="Paused","",IF(AND(J45&gt;0,L45&lt;=0),"No sessions left",IF(AND(J45&gt;0,L45&lt;=N(Settings!$C$7)),"Few sessions left",IF(AND(Q45&gt;0,L45&gt;0,Q45&lt;TODAY()),"Package expired",IF(AND(Q45&gt;0,L45&gt;0,Q45-TODAY()&lt;=14),"Package ends soon",IF(AND(N45&lt;&gt;"",N45&lt;=TODAY()),"Check-in due","")))))))))</f>
        <v/>
      </c>
      <c r="Q45" s="1">
        <f>IF(B45="",0,SUMPRODUCT(MAX((Packages!$C$6:$C$505=B45)*Packages!$N$6:$N$505)))</f>
        <v/>
      </c>
      <c r="R45">
        <f>IF(P45&lt;&gt;"",ROW(),"")</f>
        <v/>
      </c>
      <c r="S45">
        <f>IF(B45="",0,SUMPRODUCT(MAX(('Check-ins'!$C$6:$C$1505=B45)*'Check-ins'!$P$6:$P$1505)))</f>
        <v/>
      </c>
      <c r="T45">
        <f>IF(AND(B45&lt;&gt;"",F45&lt;&gt;"Paused",F45&lt;&gt;"Finished",J45&gt;0,L45&lt;=N(Settings!$C$7)),1,0)</f>
        <v/>
      </c>
      <c r="U45">
        <f>IF(AND(B45&lt;&gt;"",F45&lt;&gt;"Paused",F45&lt;&gt;"Finished",N45&lt;&gt;"",N45&lt;=TODAY()),1,0)</f>
        <v/>
      </c>
      <c r="V45">
        <f>IF(AND(B45&lt;&gt;"",F45&lt;&gt;"Paused",F45&lt;&gt;"Finished"),1,0)</f>
        <v/>
      </c>
    </row>
    <row r="46">
      <c r="A46" s="1" t="n"/>
      <c r="B46" s="19" t="n"/>
      <c r="C46" s="21" t="n"/>
      <c r="D46" s="17" t="n"/>
      <c r="E46" s="21" t="n"/>
      <c r="F46" s="20" t="n"/>
      <c r="G46" s="13">
        <f>IF(B46="","",SUMIFS(Sessions!$L$6:$L$3005,Sessions!$D$6:$D$3005,B46))</f>
        <v/>
      </c>
      <c r="H46" s="13">
        <f>IF(B46="","",SUMIFS(Sessions!$L$6:$L$3005,Sessions!$D$6:$D$3005,B46,Sessions!$J$6:$J$3005,(YEAR(TODAY())*100+MONTH(TODAY()))))</f>
        <v/>
      </c>
      <c r="I46" s="13">
        <f>IF(B46="","",SUMIFS(Sessions!$M$6:$M$3005,Sessions!$D$6:$D$3005,B46))</f>
        <v/>
      </c>
      <c r="J46" s="13">
        <f>IF(B46="","",SUMIFS(Packages!$D$6:$D$505,Packages!$C$6:$C$505,B46,Packages!$M$6:$M$505,1))</f>
        <v/>
      </c>
      <c r="K46" s="13">
        <f>IF(B46="","",SUMIFS(Sessions!$K$6:$K$3005,Sessions!$D$6:$D$3005,B46))</f>
        <v/>
      </c>
      <c r="L46" s="22">
        <f>IF(OR(B46="",J46=0),"",J46-K46)</f>
        <v/>
      </c>
      <c r="M46" s="23">
        <f>IF(B46="","",IF(SUMPRODUCT(MAX((Sessions!$D$6:$D$3005=B46)*Sessions!$L$6:$L$3005*Sessions!$I$6:$I$3005))=0,"",SUMPRODUCT(MAX((Sessions!$D$6:$D$3005=B46)*Sessions!$L$6:$L$3005*Sessions!$I$6:$I$3005))))</f>
        <v/>
      </c>
      <c r="N46" s="23">
        <f>IF(OR(B46="",F46="Finished"),"",IF(S46&gt;0,S46+7*N(Settings!$C$8),IF(ISNUMBER(D46),INT(D46)+7*N(Settings!$C$8),"")))</f>
        <v/>
      </c>
      <c r="O46" s="16">
        <f>IF(B46="","",SUMIFS(Packages!$J$6:$J$505,Packages!$C$6:$C$505,B46,Packages!$M$6:$M$505,1))</f>
        <v/>
      </c>
      <c r="P46" s="24">
        <f>IF(B46="","",IF(COUNTIF(Clients!$B$6:$B$105,B46)&gt;1,"Listed twice",IF(O46&gt;0,"Owes money",IF(F46="Finished","",IF(F46="Paused","",IF(AND(J46&gt;0,L46&lt;=0),"No sessions left",IF(AND(J46&gt;0,L46&lt;=N(Settings!$C$7)),"Few sessions left",IF(AND(Q46&gt;0,L46&gt;0,Q46&lt;TODAY()),"Package expired",IF(AND(Q46&gt;0,L46&gt;0,Q46-TODAY()&lt;=14),"Package ends soon",IF(AND(N46&lt;&gt;"",N46&lt;=TODAY()),"Check-in due","")))))))))</f>
        <v/>
      </c>
      <c r="Q46" s="1">
        <f>IF(B46="",0,SUMPRODUCT(MAX((Packages!$C$6:$C$505=B46)*Packages!$N$6:$N$505)))</f>
        <v/>
      </c>
      <c r="R46">
        <f>IF(P46&lt;&gt;"",ROW(),"")</f>
        <v/>
      </c>
      <c r="S46">
        <f>IF(B46="",0,SUMPRODUCT(MAX(('Check-ins'!$C$6:$C$1505=B46)*'Check-ins'!$P$6:$P$1505)))</f>
        <v/>
      </c>
      <c r="T46">
        <f>IF(AND(B46&lt;&gt;"",F46&lt;&gt;"Paused",F46&lt;&gt;"Finished",J46&gt;0,L46&lt;=N(Settings!$C$7)),1,0)</f>
        <v/>
      </c>
      <c r="U46">
        <f>IF(AND(B46&lt;&gt;"",F46&lt;&gt;"Paused",F46&lt;&gt;"Finished",N46&lt;&gt;"",N46&lt;=TODAY()),1,0)</f>
        <v/>
      </c>
      <c r="V46">
        <f>IF(AND(B46&lt;&gt;"",F46&lt;&gt;"Paused",F46&lt;&gt;"Finished"),1,0)</f>
        <v/>
      </c>
    </row>
    <row r="47">
      <c r="A47" s="1" t="n"/>
      <c r="B47" s="19" t="n"/>
      <c r="C47" s="21" t="n"/>
      <c r="D47" s="17" t="n"/>
      <c r="E47" s="21" t="n"/>
      <c r="F47" s="20" t="n"/>
      <c r="G47" s="13">
        <f>IF(B47="","",SUMIFS(Sessions!$L$6:$L$3005,Sessions!$D$6:$D$3005,B47))</f>
        <v/>
      </c>
      <c r="H47" s="13">
        <f>IF(B47="","",SUMIFS(Sessions!$L$6:$L$3005,Sessions!$D$6:$D$3005,B47,Sessions!$J$6:$J$3005,(YEAR(TODAY())*100+MONTH(TODAY()))))</f>
        <v/>
      </c>
      <c r="I47" s="13">
        <f>IF(B47="","",SUMIFS(Sessions!$M$6:$M$3005,Sessions!$D$6:$D$3005,B47))</f>
        <v/>
      </c>
      <c r="J47" s="13">
        <f>IF(B47="","",SUMIFS(Packages!$D$6:$D$505,Packages!$C$6:$C$505,B47,Packages!$M$6:$M$505,1))</f>
        <v/>
      </c>
      <c r="K47" s="13">
        <f>IF(B47="","",SUMIFS(Sessions!$K$6:$K$3005,Sessions!$D$6:$D$3005,B47))</f>
        <v/>
      </c>
      <c r="L47" s="22">
        <f>IF(OR(B47="",J47=0),"",J47-K47)</f>
        <v/>
      </c>
      <c r="M47" s="23">
        <f>IF(B47="","",IF(SUMPRODUCT(MAX((Sessions!$D$6:$D$3005=B47)*Sessions!$L$6:$L$3005*Sessions!$I$6:$I$3005))=0,"",SUMPRODUCT(MAX((Sessions!$D$6:$D$3005=B47)*Sessions!$L$6:$L$3005*Sessions!$I$6:$I$3005))))</f>
        <v/>
      </c>
      <c r="N47" s="23">
        <f>IF(OR(B47="",F47="Finished"),"",IF(S47&gt;0,S47+7*N(Settings!$C$8),IF(ISNUMBER(D47),INT(D47)+7*N(Settings!$C$8),"")))</f>
        <v/>
      </c>
      <c r="O47" s="16">
        <f>IF(B47="","",SUMIFS(Packages!$J$6:$J$505,Packages!$C$6:$C$505,B47,Packages!$M$6:$M$505,1))</f>
        <v/>
      </c>
      <c r="P47" s="24">
        <f>IF(B47="","",IF(COUNTIF(Clients!$B$6:$B$105,B47)&gt;1,"Listed twice",IF(O47&gt;0,"Owes money",IF(F47="Finished","",IF(F47="Paused","",IF(AND(J47&gt;0,L47&lt;=0),"No sessions left",IF(AND(J47&gt;0,L47&lt;=N(Settings!$C$7)),"Few sessions left",IF(AND(Q47&gt;0,L47&gt;0,Q47&lt;TODAY()),"Package expired",IF(AND(Q47&gt;0,L47&gt;0,Q47-TODAY()&lt;=14),"Package ends soon",IF(AND(N47&lt;&gt;"",N47&lt;=TODAY()),"Check-in due","")))))))))</f>
        <v/>
      </c>
      <c r="Q47" s="1">
        <f>IF(B47="",0,SUMPRODUCT(MAX((Packages!$C$6:$C$505=B47)*Packages!$N$6:$N$505)))</f>
        <v/>
      </c>
      <c r="R47">
        <f>IF(P47&lt;&gt;"",ROW(),"")</f>
        <v/>
      </c>
      <c r="S47">
        <f>IF(B47="",0,SUMPRODUCT(MAX(('Check-ins'!$C$6:$C$1505=B47)*'Check-ins'!$P$6:$P$1505)))</f>
        <v/>
      </c>
      <c r="T47">
        <f>IF(AND(B47&lt;&gt;"",F47&lt;&gt;"Paused",F47&lt;&gt;"Finished",J47&gt;0,L47&lt;=N(Settings!$C$7)),1,0)</f>
        <v/>
      </c>
      <c r="U47">
        <f>IF(AND(B47&lt;&gt;"",F47&lt;&gt;"Paused",F47&lt;&gt;"Finished",N47&lt;&gt;"",N47&lt;=TODAY()),1,0)</f>
        <v/>
      </c>
      <c r="V47">
        <f>IF(AND(B47&lt;&gt;"",F47&lt;&gt;"Paused",F47&lt;&gt;"Finished"),1,0)</f>
        <v/>
      </c>
    </row>
    <row r="48">
      <c r="A48" s="1" t="n"/>
      <c r="B48" s="19" t="n"/>
      <c r="C48" s="21" t="n"/>
      <c r="D48" s="17" t="n"/>
      <c r="E48" s="21" t="n"/>
      <c r="F48" s="20" t="n"/>
      <c r="G48" s="13">
        <f>IF(B48="","",SUMIFS(Sessions!$L$6:$L$3005,Sessions!$D$6:$D$3005,B48))</f>
        <v/>
      </c>
      <c r="H48" s="13">
        <f>IF(B48="","",SUMIFS(Sessions!$L$6:$L$3005,Sessions!$D$6:$D$3005,B48,Sessions!$J$6:$J$3005,(YEAR(TODAY())*100+MONTH(TODAY()))))</f>
        <v/>
      </c>
      <c r="I48" s="13">
        <f>IF(B48="","",SUMIFS(Sessions!$M$6:$M$3005,Sessions!$D$6:$D$3005,B48))</f>
        <v/>
      </c>
      <c r="J48" s="13">
        <f>IF(B48="","",SUMIFS(Packages!$D$6:$D$505,Packages!$C$6:$C$505,B48,Packages!$M$6:$M$505,1))</f>
        <v/>
      </c>
      <c r="K48" s="13">
        <f>IF(B48="","",SUMIFS(Sessions!$K$6:$K$3005,Sessions!$D$6:$D$3005,B48))</f>
        <v/>
      </c>
      <c r="L48" s="22">
        <f>IF(OR(B48="",J48=0),"",J48-K48)</f>
        <v/>
      </c>
      <c r="M48" s="23">
        <f>IF(B48="","",IF(SUMPRODUCT(MAX((Sessions!$D$6:$D$3005=B48)*Sessions!$L$6:$L$3005*Sessions!$I$6:$I$3005))=0,"",SUMPRODUCT(MAX((Sessions!$D$6:$D$3005=B48)*Sessions!$L$6:$L$3005*Sessions!$I$6:$I$3005))))</f>
        <v/>
      </c>
      <c r="N48" s="23">
        <f>IF(OR(B48="",F48="Finished"),"",IF(S48&gt;0,S48+7*N(Settings!$C$8),IF(ISNUMBER(D48),INT(D48)+7*N(Settings!$C$8),"")))</f>
        <v/>
      </c>
      <c r="O48" s="16">
        <f>IF(B48="","",SUMIFS(Packages!$J$6:$J$505,Packages!$C$6:$C$505,B48,Packages!$M$6:$M$505,1))</f>
        <v/>
      </c>
      <c r="P48" s="24">
        <f>IF(B48="","",IF(COUNTIF(Clients!$B$6:$B$105,B48)&gt;1,"Listed twice",IF(O48&gt;0,"Owes money",IF(F48="Finished","",IF(F48="Paused","",IF(AND(J48&gt;0,L48&lt;=0),"No sessions left",IF(AND(J48&gt;0,L48&lt;=N(Settings!$C$7)),"Few sessions left",IF(AND(Q48&gt;0,L48&gt;0,Q48&lt;TODAY()),"Package expired",IF(AND(Q48&gt;0,L48&gt;0,Q48-TODAY()&lt;=14),"Package ends soon",IF(AND(N48&lt;&gt;"",N48&lt;=TODAY()),"Check-in due","")))))))))</f>
        <v/>
      </c>
      <c r="Q48" s="1">
        <f>IF(B48="",0,SUMPRODUCT(MAX((Packages!$C$6:$C$505=B48)*Packages!$N$6:$N$505)))</f>
        <v/>
      </c>
      <c r="R48">
        <f>IF(P48&lt;&gt;"",ROW(),"")</f>
        <v/>
      </c>
      <c r="S48">
        <f>IF(B48="",0,SUMPRODUCT(MAX(('Check-ins'!$C$6:$C$1505=B48)*'Check-ins'!$P$6:$P$1505)))</f>
        <v/>
      </c>
      <c r="T48">
        <f>IF(AND(B48&lt;&gt;"",F48&lt;&gt;"Paused",F48&lt;&gt;"Finished",J48&gt;0,L48&lt;=N(Settings!$C$7)),1,0)</f>
        <v/>
      </c>
      <c r="U48">
        <f>IF(AND(B48&lt;&gt;"",F48&lt;&gt;"Paused",F48&lt;&gt;"Finished",N48&lt;&gt;"",N48&lt;=TODAY()),1,0)</f>
        <v/>
      </c>
      <c r="V48">
        <f>IF(AND(B48&lt;&gt;"",F48&lt;&gt;"Paused",F48&lt;&gt;"Finished"),1,0)</f>
        <v/>
      </c>
    </row>
    <row r="49">
      <c r="A49" s="1" t="n"/>
      <c r="B49" s="19" t="n"/>
      <c r="C49" s="21" t="n"/>
      <c r="D49" s="17" t="n"/>
      <c r="E49" s="21" t="n"/>
      <c r="F49" s="20" t="n"/>
      <c r="G49" s="13">
        <f>IF(B49="","",SUMIFS(Sessions!$L$6:$L$3005,Sessions!$D$6:$D$3005,B49))</f>
        <v/>
      </c>
      <c r="H49" s="13">
        <f>IF(B49="","",SUMIFS(Sessions!$L$6:$L$3005,Sessions!$D$6:$D$3005,B49,Sessions!$J$6:$J$3005,(YEAR(TODAY())*100+MONTH(TODAY()))))</f>
        <v/>
      </c>
      <c r="I49" s="13">
        <f>IF(B49="","",SUMIFS(Sessions!$M$6:$M$3005,Sessions!$D$6:$D$3005,B49))</f>
        <v/>
      </c>
      <c r="J49" s="13">
        <f>IF(B49="","",SUMIFS(Packages!$D$6:$D$505,Packages!$C$6:$C$505,B49,Packages!$M$6:$M$505,1))</f>
        <v/>
      </c>
      <c r="K49" s="13">
        <f>IF(B49="","",SUMIFS(Sessions!$K$6:$K$3005,Sessions!$D$6:$D$3005,B49))</f>
        <v/>
      </c>
      <c r="L49" s="22">
        <f>IF(OR(B49="",J49=0),"",J49-K49)</f>
        <v/>
      </c>
      <c r="M49" s="23">
        <f>IF(B49="","",IF(SUMPRODUCT(MAX((Sessions!$D$6:$D$3005=B49)*Sessions!$L$6:$L$3005*Sessions!$I$6:$I$3005))=0,"",SUMPRODUCT(MAX((Sessions!$D$6:$D$3005=B49)*Sessions!$L$6:$L$3005*Sessions!$I$6:$I$3005))))</f>
        <v/>
      </c>
      <c r="N49" s="23">
        <f>IF(OR(B49="",F49="Finished"),"",IF(S49&gt;0,S49+7*N(Settings!$C$8),IF(ISNUMBER(D49),INT(D49)+7*N(Settings!$C$8),"")))</f>
        <v/>
      </c>
      <c r="O49" s="16">
        <f>IF(B49="","",SUMIFS(Packages!$J$6:$J$505,Packages!$C$6:$C$505,B49,Packages!$M$6:$M$505,1))</f>
        <v/>
      </c>
      <c r="P49" s="24">
        <f>IF(B49="","",IF(COUNTIF(Clients!$B$6:$B$105,B49)&gt;1,"Listed twice",IF(O49&gt;0,"Owes money",IF(F49="Finished","",IF(F49="Paused","",IF(AND(J49&gt;0,L49&lt;=0),"No sessions left",IF(AND(J49&gt;0,L49&lt;=N(Settings!$C$7)),"Few sessions left",IF(AND(Q49&gt;0,L49&gt;0,Q49&lt;TODAY()),"Package expired",IF(AND(Q49&gt;0,L49&gt;0,Q49-TODAY()&lt;=14),"Package ends soon",IF(AND(N49&lt;&gt;"",N49&lt;=TODAY()),"Check-in due","")))))))))</f>
        <v/>
      </c>
      <c r="Q49" s="1">
        <f>IF(B49="",0,SUMPRODUCT(MAX((Packages!$C$6:$C$505=B49)*Packages!$N$6:$N$505)))</f>
        <v/>
      </c>
      <c r="R49">
        <f>IF(P49&lt;&gt;"",ROW(),"")</f>
        <v/>
      </c>
      <c r="S49">
        <f>IF(B49="",0,SUMPRODUCT(MAX(('Check-ins'!$C$6:$C$1505=B49)*'Check-ins'!$P$6:$P$1505)))</f>
        <v/>
      </c>
      <c r="T49">
        <f>IF(AND(B49&lt;&gt;"",F49&lt;&gt;"Paused",F49&lt;&gt;"Finished",J49&gt;0,L49&lt;=N(Settings!$C$7)),1,0)</f>
        <v/>
      </c>
      <c r="U49">
        <f>IF(AND(B49&lt;&gt;"",F49&lt;&gt;"Paused",F49&lt;&gt;"Finished",N49&lt;&gt;"",N49&lt;=TODAY()),1,0)</f>
        <v/>
      </c>
      <c r="V49">
        <f>IF(AND(B49&lt;&gt;"",F49&lt;&gt;"Paused",F49&lt;&gt;"Finished"),1,0)</f>
        <v/>
      </c>
    </row>
    <row r="50">
      <c r="A50" s="1" t="n"/>
      <c r="B50" s="19" t="n"/>
      <c r="C50" s="21" t="n"/>
      <c r="D50" s="17" t="n"/>
      <c r="E50" s="21" t="n"/>
      <c r="F50" s="20" t="n"/>
      <c r="G50" s="13">
        <f>IF(B50="","",SUMIFS(Sessions!$L$6:$L$3005,Sessions!$D$6:$D$3005,B50))</f>
        <v/>
      </c>
      <c r="H50" s="13">
        <f>IF(B50="","",SUMIFS(Sessions!$L$6:$L$3005,Sessions!$D$6:$D$3005,B50,Sessions!$J$6:$J$3005,(YEAR(TODAY())*100+MONTH(TODAY()))))</f>
        <v/>
      </c>
      <c r="I50" s="13">
        <f>IF(B50="","",SUMIFS(Sessions!$M$6:$M$3005,Sessions!$D$6:$D$3005,B50))</f>
        <v/>
      </c>
      <c r="J50" s="13">
        <f>IF(B50="","",SUMIFS(Packages!$D$6:$D$505,Packages!$C$6:$C$505,B50,Packages!$M$6:$M$505,1))</f>
        <v/>
      </c>
      <c r="K50" s="13">
        <f>IF(B50="","",SUMIFS(Sessions!$K$6:$K$3005,Sessions!$D$6:$D$3005,B50))</f>
        <v/>
      </c>
      <c r="L50" s="22">
        <f>IF(OR(B50="",J50=0),"",J50-K50)</f>
        <v/>
      </c>
      <c r="M50" s="23">
        <f>IF(B50="","",IF(SUMPRODUCT(MAX((Sessions!$D$6:$D$3005=B50)*Sessions!$L$6:$L$3005*Sessions!$I$6:$I$3005))=0,"",SUMPRODUCT(MAX((Sessions!$D$6:$D$3005=B50)*Sessions!$L$6:$L$3005*Sessions!$I$6:$I$3005))))</f>
        <v/>
      </c>
      <c r="N50" s="23">
        <f>IF(OR(B50="",F50="Finished"),"",IF(S50&gt;0,S50+7*N(Settings!$C$8),IF(ISNUMBER(D50),INT(D50)+7*N(Settings!$C$8),"")))</f>
        <v/>
      </c>
      <c r="O50" s="16">
        <f>IF(B50="","",SUMIFS(Packages!$J$6:$J$505,Packages!$C$6:$C$505,B50,Packages!$M$6:$M$505,1))</f>
        <v/>
      </c>
      <c r="P50" s="24">
        <f>IF(B50="","",IF(COUNTIF(Clients!$B$6:$B$105,B50)&gt;1,"Listed twice",IF(O50&gt;0,"Owes money",IF(F50="Finished","",IF(F50="Paused","",IF(AND(J50&gt;0,L50&lt;=0),"No sessions left",IF(AND(J50&gt;0,L50&lt;=N(Settings!$C$7)),"Few sessions left",IF(AND(Q50&gt;0,L50&gt;0,Q50&lt;TODAY()),"Package expired",IF(AND(Q50&gt;0,L50&gt;0,Q50-TODAY()&lt;=14),"Package ends soon",IF(AND(N50&lt;&gt;"",N50&lt;=TODAY()),"Check-in due","")))))))))</f>
        <v/>
      </c>
      <c r="Q50" s="1">
        <f>IF(B50="",0,SUMPRODUCT(MAX((Packages!$C$6:$C$505=B50)*Packages!$N$6:$N$505)))</f>
        <v/>
      </c>
      <c r="R50">
        <f>IF(P50&lt;&gt;"",ROW(),"")</f>
        <v/>
      </c>
      <c r="S50">
        <f>IF(B50="",0,SUMPRODUCT(MAX(('Check-ins'!$C$6:$C$1505=B50)*'Check-ins'!$P$6:$P$1505)))</f>
        <v/>
      </c>
      <c r="T50">
        <f>IF(AND(B50&lt;&gt;"",F50&lt;&gt;"Paused",F50&lt;&gt;"Finished",J50&gt;0,L50&lt;=N(Settings!$C$7)),1,0)</f>
        <v/>
      </c>
      <c r="U50">
        <f>IF(AND(B50&lt;&gt;"",F50&lt;&gt;"Paused",F50&lt;&gt;"Finished",N50&lt;&gt;"",N50&lt;=TODAY()),1,0)</f>
        <v/>
      </c>
      <c r="V50">
        <f>IF(AND(B50&lt;&gt;"",F50&lt;&gt;"Paused",F50&lt;&gt;"Finished"),1,0)</f>
        <v/>
      </c>
    </row>
    <row r="51">
      <c r="A51" s="1" t="n"/>
      <c r="B51" s="19" t="n"/>
      <c r="C51" s="21" t="n"/>
      <c r="D51" s="17" t="n"/>
      <c r="E51" s="21" t="n"/>
      <c r="F51" s="20" t="n"/>
      <c r="G51" s="13">
        <f>IF(B51="","",SUMIFS(Sessions!$L$6:$L$3005,Sessions!$D$6:$D$3005,B51))</f>
        <v/>
      </c>
      <c r="H51" s="13">
        <f>IF(B51="","",SUMIFS(Sessions!$L$6:$L$3005,Sessions!$D$6:$D$3005,B51,Sessions!$J$6:$J$3005,(YEAR(TODAY())*100+MONTH(TODAY()))))</f>
        <v/>
      </c>
      <c r="I51" s="13">
        <f>IF(B51="","",SUMIFS(Sessions!$M$6:$M$3005,Sessions!$D$6:$D$3005,B51))</f>
        <v/>
      </c>
      <c r="J51" s="13">
        <f>IF(B51="","",SUMIFS(Packages!$D$6:$D$505,Packages!$C$6:$C$505,B51,Packages!$M$6:$M$505,1))</f>
        <v/>
      </c>
      <c r="K51" s="13">
        <f>IF(B51="","",SUMIFS(Sessions!$K$6:$K$3005,Sessions!$D$6:$D$3005,B51))</f>
        <v/>
      </c>
      <c r="L51" s="22">
        <f>IF(OR(B51="",J51=0),"",J51-K51)</f>
        <v/>
      </c>
      <c r="M51" s="23">
        <f>IF(B51="","",IF(SUMPRODUCT(MAX((Sessions!$D$6:$D$3005=B51)*Sessions!$L$6:$L$3005*Sessions!$I$6:$I$3005))=0,"",SUMPRODUCT(MAX((Sessions!$D$6:$D$3005=B51)*Sessions!$L$6:$L$3005*Sessions!$I$6:$I$3005))))</f>
        <v/>
      </c>
      <c r="N51" s="23">
        <f>IF(OR(B51="",F51="Finished"),"",IF(S51&gt;0,S51+7*N(Settings!$C$8),IF(ISNUMBER(D51),INT(D51)+7*N(Settings!$C$8),"")))</f>
        <v/>
      </c>
      <c r="O51" s="16">
        <f>IF(B51="","",SUMIFS(Packages!$J$6:$J$505,Packages!$C$6:$C$505,B51,Packages!$M$6:$M$505,1))</f>
        <v/>
      </c>
      <c r="P51" s="24">
        <f>IF(B51="","",IF(COUNTIF(Clients!$B$6:$B$105,B51)&gt;1,"Listed twice",IF(O51&gt;0,"Owes money",IF(F51="Finished","",IF(F51="Paused","",IF(AND(J51&gt;0,L51&lt;=0),"No sessions left",IF(AND(J51&gt;0,L51&lt;=N(Settings!$C$7)),"Few sessions left",IF(AND(Q51&gt;0,L51&gt;0,Q51&lt;TODAY()),"Package expired",IF(AND(Q51&gt;0,L51&gt;0,Q51-TODAY()&lt;=14),"Package ends soon",IF(AND(N51&lt;&gt;"",N51&lt;=TODAY()),"Check-in due","")))))))))</f>
        <v/>
      </c>
      <c r="Q51" s="1">
        <f>IF(B51="",0,SUMPRODUCT(MAX((Packages!$C$6:$C$505=B51)*Packages!$N$6:$N$505)))</f>
        <v/>
      </c>
      <c r="R51">
        <f>IF(P51&lt;&gt;"",ROW(),"")</f>
        <v/>
      </c>
      <c r="S51">
        <f>IF(B51="",0,SUMPRODUCT(MAX(('Check-ins'!$C$6:$C$1505=B51)*'Check-ins'!$P$6:$P$1505)))</f>
        <v/>
      </c>
      <c r="T51">
        <f>IF(AND(B51&lt;&gt;"",F51&lt;&gt;"Paused",F51&lt;&gt;"Finished",J51&gt;0,L51&lt;=N(Settings!$C$7)),1,0)</f>
        <v/>
      </c>
      <c r="U51">
        <f>IF(AND(B51&lt;&gt;"",F51&lt;&gt;"Paused",F51&lt;&gt;"Finished",N51&lt;&gt;"",N51&lt;=TODAY()),1,0)</f>
        <v/>
      </c>
      <c r="V51">
        <f>IF(AND(B51&lt;&gt;"",F51&lt;&gt;"Paused",F51&lt;&gt;"Finished"),1,0)</f>
        <v/>
      </c>
    </row>
    <row r="52">
      <c r="A52" s="1" t="n"/>
      <c r="B52" s="19" t="n"/>
      <c r="C52" s="21" t="n"/>
      <c r="D52" s="17" t="n"/>
      <c r="E52" s="21" t="n"/>
      <c r="F52" s="20" t="n"/>
      <c r="G52" s="13">
        <f>IF(B52="","",SUMIFS(Sessions!$L$6:$L$3005,Sessions!$D$6:$D$3005,B52))</f>
        <v/>
      </c>
      <c r="H52" s="13">
        <f>IF(B52="","",SUMIFS(Sessions!$L$6:$L$3005,Sessions!$D$6:$D$3005,B52,Sessions!$J$6:$J$3005,(YEAR(TODAY())*100+MONTH(TODAY()))))</f>
        <v/>
      </c>
      <c r="I52" s="13">
        <f>IF(B52="","",SUMIFS(Sessions!$M$6:$M$3005,Sessions!$D$6:$D$3005,B52))</f>
        <v/>
      </c>
      <c r="J52" s="13">
        <f>IF(B52="","",SUMIFS(Packages!$D$6:$D$505,Packages!$C$6:$C$505,B52,Packages!$M$6:$M$505,1))</f>
        <v/>
      </c>
      <c r="K52" s="13">
        <f>IF(B52="","",SUMIFS(Sessions!$K$6:$K$3005,Sessions!$D$6:$D$3005,B52))</f>
        <v/>
      </c>
      <c r="L52" s="22">
        <f>IF(OR(B52="",J52=0),"",J52-K52)</f>
        <v/>
      </c>
      <c r="M52" s="23">
        <f>IF(B52="","",IF(SUMPRODUCT(MAX((Sessions!$D$6:$D$3005=B52)*Sessions!$L$6:$L$3005*Sessions!$I$6:$I$3005))=0,"",SUMPRODUCT(MAX((Sessions!$D$6:$D$3005=B52)*Sessions!$L$6:$L$3005*Sessions!$I$6:$I$3005))))</f>
        <v/>
      </c>
      <c r="N52" s="23">
        <f>IF(OR(B52="",F52="Finished"),"",IF(S52&gt;0,S52+7*N(Settings!$C$8),IF(ISNUMBER(D52),INT(D52)+7*N(Settings!$C$8),"")))</f>
        <v/>
      </c>
      <c r="O52" s="16">
        <f>IF(B52="","",SUMIFS(Packages!$J$6:$J$505,Packages!$C$6:$C$505,B52,Packages!$M$6:$M$505,1))</f>
        <v/>
      </c>
      <c r="P52" s="24">
        <f>IF(B52="","",IF(COUNTIF(Clients!$B$6:$B$105,B52)&gt;1,"Listed twice",IF(O52&gt;0,"Owes money",IF(F52="Finished","",IF(F52="Paused","",IF(AND(J52&gt;0,L52&lt;=0),"No sessions left",IF(AND(J52&gt;0,L52&lt;=N(Settings!$C$7)),"Few sessions left",IF(AND(Q52&gt;0,L52&gt;0,Q52&lt;TODAY()),"Package expired",IF(AND(Q52&gt;0,L52&gt;0,Q52-TODAY()&lt;=14),"Package ends soon",IF(AND(N52&lt;&gt;"",N52&lt;=TODAY()),"Check-in due","")))))))))</f>
        <v/>
      </c>
      <c r="Q52" s="1">
        <f>IF(B52="",0,SUMPRODUCT(MAX((Packages!$C$6:$C$505=B52)*Packages!$N$6:$N$505)))</f>
        <v/>
      </c>
      <c r="R52">
        <f>IF(P52&lt;&gt;"",ROW(),"")</f>
        <v/>
      </c>
      <c r="S52">
        <f>IF(B52="",0,SUMPRODUCT(MAX(('Check-ins'!$C$6:$C$1505=B52)*'Check-ins'!$P$6:$P$1505)))</f>
        <v/>
      </c>
      <c r="T52">
        <f>IF(AND(B52&lt;&gt;"",F52&lt;&gt;"Paused",F52&lt;&gt;"Finished",J52&gt;0,L52&lt;=N(Settings!$C$7)),1,0)</f>
        <v/>
      </c>
      <c r="U52">
        <f>IF(AND(B52&lt;&gt;"",F52&lt;&gt;"Paused",F52&lt;&gt;"Finished",N52&lt;&gt;"",N52&lt;=TODAY()),1,0)</f>
        <v/>
      </c>
      <c r="V52">
        <f>IF(AND(B52&lt;&gt;"",F52&lt;&gt;"Paused",F52&lt;&gt;"Finished"),1,0)</f>
        <v/>
      </c>
    </row>
    <row r="53">
      <c r="A53" s="1" t="n"/>
      <c r="B53" s="19" t="n"/>
      <c r="C53" s="21" t="n"/>
      <c r="D53" s="17" t="n"/>
      <c r="E53" s="21" t="n"/>
      <c r="F53" s="20" t="n"/>
      <c r="G53" s="13">
        <f>IF(B53="","",SUMIFS(Sessions!$L$6:$L$3005,Sessions!$D$6:$D$3005,B53))</f>
        <v/>
      </c>
      <c r="H53" s="13">
        <f>IF(B53="","",SUMIFS(Sessions!$L$6:$L$3005,Sessions!$D$6:$D$3005,B53,Sessions!$J$6:$J$3005,(YEAR(TODAY())*100+MONTH(TODAY()))))</f>
        <v/>
      </c>
      <c r="I53" s="13">
        <f>IF(B53="","",SUMIFS(Sessions!$M$6:$M$3005,Sessions!$D$6:$D$3005,B53))</f>
        <v/>
      </c>
      <c r="J53" s="13">
        <f>IF(B53="","",SUMIFS(Packages!$D$6:$D$505,Packages!$C$6:$C$505,B53,Packages!$M$6:$M$505,1))</f>
        <v/>
      </c>
      <c r="K53" s="13">
        <f>IF(B53="","",SUMIFS(Sessions!$K$6:$K$3005,Sessions!$D$6:$D$3005,B53))</f>
        <v/>
      </c>
      <c r="L53" s="22">
        <f>IF(OR(B53="",J53=0),"",J53-K53)</f>
        <v/>
      </c>
      <c r="M53" s="23">
        <f>IF(B53="","",IF(SUMPRODUCT(MAX((Sessions!$D$6:$D$3005=B53)*Sessions!$L$6:$L$3005*Sessions!$I$6:$I$3005))=0,"",SUMPRODUCT(MAX((Sessions!$D$6:$D$3005=B53)*Sessions!$L$6:$L$3005*Sessions!$I$6:$I$3005))))</f>
        <v/>
      </c>
      <c r="N53" s="23">
        <f>IF(OR(B53="",F53="Finished"),"",IF(S53&gt;0,S53+7*N(Settings!$C$8),IF(ISNUMBER(D53),INT(D53)+7*N(Settings!$C$8),"")))</f>
        <v/>
      </c>
      <c r="O53" s="16">
        <f>IF(B53="","",SUMIFS(Packages!$J$6:$J$505,Packages!$C$6:$C$505,B53,Packages!$M$6:$M$505,1))</f>
        <v/>
      </c>
      <c r="P53" s="24">
        <f>IF(B53="","",IF(COUNTIF(Clients!$B$6:$B$105,B53)&gt;1,"Listed twice",IF(O53&gt;0,"Owes money",IF(F53="Finished","",IF(F53="Paused","",IF(AND(J53&gt;0,L53&lt;=0),"No sessions left",IF(AND(J53&gt;0,L53&lt;=N(Settings!$C$7)),"Few sessions left",IF(AND(Q53&gt;0,L53&gt;0,Q53&lt;TODAY()),"Package expired",IF(AND(Q53&gt;0,L53&gt;0,Q53-TODAY()&lt;=14),"Package ends soon",IF(AND(N53&lt;&gt;"",N53&lt;=TODAY()),"Check-in due","")))))))))</f>
        <v/>
      </c>
      <c r="Q53" s="1">
        <f>IF(B53="",0,SUMPRODUCT(MAX((Packages!$C$6:$C$505=B53)*Packages!$N$6:$N$505)))</f>
        <v/>
      </c>
      <c r="R53">
        <f>IF(P53&lt;&gt;"",ROW(),"")</f>
        <v/>
      </c>
      <c r="S53">
        <f>IF(B53="",0,SUMPRODUCT(MAX(('Check-ins'!$C$6:$C$1505=B53)*'Check-ins'!$P$6:$P$1505)))</f>
        <v/>
      </c>
      <c r="T53">
        <f>IF(AND(B53&lt;&gt;"",F53&lt;&gt;"Paused",F53&lt;&gt;"Finished",J53&gt;0,L53&lt;=N(Settings!$C$7)),1,0)</f>
        <v/>
      </c>
      <c r="U53">
        <f>IF(AND(B53&lt;&gt;"",F53&lt;&gt;"Paused",F53&lt;&gt;"Finished",N53&lt;&gt;"",N53&lt;=TODAY()),1,0)</f>
        <v/>
      </c>
      <c r="V53">
        <f>IF(AND(B53&lt;&gt;"",F53&lt;&gt;"Paused",F53&lt;&gt;"Finished"),1,0)</f>
        <v/>
      </c>
    </row>
    <row r="54">
      <c r="A54" s="1" t="n"/>
      <c r="B54" s="19" t="n"/>
      <c r="C54" s="21" t="n"/>
      <c r="D54" s="17" t="n"/>
      <c r="E54" s="21" t="n"/>
      <c r="F54" s="20" t="n"/>
      <c r="G54" s="13">
        <f>IF(B54="","",SUMIFS(Sessions!$L$6:$L$3005,Sessions!$D$6:$D$3005,B54))</f>
        <v/>
      </c>
      <c r="H54" s="13">
        <f>IF(B54="","",SUMIFS(Sessions!$L$6:$L$3005,Sessions!$D$6:$D$3005,B54,Sessions!$J$6:$J$3005,(YEAR(TODAY())*100+MONTH(TODAY()))))</f>
        <v/>
      </c>
      <c r="I54" s="13">
        <f>IF(B54="","",SUMIFS(Sessions!$M$6:$M$3005,Sessions!$D$6:$D$3005,B54))</f>
        <v/>
      </c>
      <c r="J54" s="13">
        <f>IF(B54="","",SUMIFS(Packages!$D$6:$D$505,Packages!$C$6:$C$505,B54,Packages!$M$6:$M$505,1))</f>
        <v/>
      </c>
      <c r="K54" s="13">
        <f>IF(B54="","",SUMIFS(Sessions!$K$6:$K$3005,Sessions!$D$6:$D$3005,B54))</f>
        <v/>
      </c>
      <c r="L54" s="22">
        <f>IF(OR(B54="",J54=0),"",J54-K54)</f>
        <v/>
      </c>
      <c r="M54" s="23">
        <f>IF(B54="","",IF(SUMPRODUCT(MAX((Sessions!$D$6:$D$3005=B54)*Sessions!$L$6:$L$3005*Sessions!$I$6:$I$3005))=0,"",SUMPRODUCT(MAX((Sessions!$D$6:$D$3005=B54)*Sessions!$L$6:$L$3005*Sessions!$I$6:$I$3005))))</f>
        <v/>
      </c>
      <c r="N54" s="23">
        <f>IF(OR(B54="",F54="Finished"),"",IF(S54&gt;0,S54+7*N(Settings!$C$8),IF(ISNUMBER(D54),INT(D54)+7*N(Settings!$C$8),"")))</f>
        <v/>
      </c>
      <c r="O54" s="16">
        <f>IF(B54="","",SUMIFS(Packages!$J$6:$J$505,Packages!$C$6:$C$505,B54,Packages!$M$6:$M$505,1))</f>
        <v/>
      </c>
      <c r="P54" s="24">
        <f>IF(B54="","",IF(COUNTIF(Clients!$B$6:$B$105,B54)&gt;1,"Listed twice",IF(O54&gt;0,"Owes money",IF(F54="Finished","",IF(F54="Paused","",IF(AND(J54&gt;0,L54&lt;=0),"No sessions left",IF(AND(J54&gt;0,L54&lt;=N(Settings!$C$7)),"Few sessions left",IF(AND(Q54&gt;0,L54&gt;0,Q54&lt;TODAY()),"Package expired",IF(AND(Q54&gt;0,L54&gt;0,Q54-TODAY()&lt;=14),"Package ends soon",IF(AND(N54&lt;&gt;"",N54&lt;=TODAY()),"Check-in due","")))))))))</f>
        <v/>
      </c>
      <c r="Q54" s="1">
        <f>IF(B54="",0,SUMPRODUCT(MAX((Packages!$C$6:$C$505=B54)*Packages!$N$6:$N$505)))</f>
        <v/>
      </c>
      <c r="R54">
        <f>IF(P54&lt;&gt;"",ROW(),"")</f>
        <v/>
      </c>
      <c r="S54">
        <f>IF(B54="",0,SUMPRODUCT(MAX(('Check-ins'!$C$6:$C$1505=B54)*'Check-ins'!$P$6:$P$1505)))</f>
        <v/>
      </c>
      <c r="T54">
        <f>IF(AND(B54&lt;&gt;"",F54&lt;&gt;"Paused",F54&lt;&gt;"Finished",J54&gt;0,L54&lt;=N(Settings!$C$7)),1,0)</f>
        <v/>
      </c>
      <c r="U54">
        <f>IF(AND(B54&lt;&gt;"",F54&lt;&gt;"Paused",F54&lt;&gt;"Finished",N54&lt;&gt;"",N54&lt;=TODAY()),1,0)</f>
        <v/>
      </c>
      <c r="V54">
        <f>IF(AND(B54&lt;&gt;"",F54&lt;&gt;"Paused",F54&lt;&gt;"Finished"),1,0)</f>
        <v/>
      </c>
    </row>
    <row r="55">
      <c r="A55" s="1" t="n"/>
      <c r="B55" s="19" t="n"/>
      <c r="C55" s="21" t="n"/>
      <c r="D55" s="17" t="n"/>
      <c r="E55" s="21" t="n"/>
      <c r="F55" s="20" t="n"/>
      <c r="G55" s="13">
        <f>IF(B55="","",SUMIFS(Sessions!$L$6:$L$3005,Sessions!$D$6:$D$3005,B55))</f>
        <v/>
      </c>
      <c r="H55" s="13">
        <f>IF(B55="","",SUMIFS(Sessions!$L$6:$L$3005,Sessions!$D$6:$D$3005,B55,Sessions!$J$6:$J$3005,(YEAR(TODAY())*100+MONTH(TODAY()))))</f>
        <v/>
      </c>
      <c r="I55" s="13">
        <f>IF(B55="","",SUMIFS(Sessions!$M$6:$M$3005,Sessions!$D$6:$D$3005,B55))</f>
        <v/>
      </c>
      <c r="J55" s="13">
        <f>IF(B55="","",SUMIFS(Packages!$D$6:$D$505,Packages!$C$6:$C$505,B55,Packages!$M$6:$M$505,1))</f>
        <v/>
      </c>
      <c r="K55" s="13">
        <f>IF(B55="","",SUMIFS(Sessions!$K$6:$K$3005,Sessions!$D$6:$D$3005,B55))</f>
        <v/>
      </c>
      <c r="L55" s="22">
        <f>IF(OR(B55="",J55=0),"",J55-K55)</f>
        <v/>
      </c>
      <c r="M55" s="23">
        <f>IF(B55="","",IF(SUMPRODUCT(MAX((Sessions!$D$6:$D$3005=B55)*Sessions!$L$6:$L$3005*Sessions!$I$6:$I$3005))=0,"",SUMPRODUCT(MAX((Sessions!$D$6:$D$3005=B55)*Sessions!$L$6:$L$3005*Sessions!$I$6:$I$3005))))</f>
        <v/>
      </c>
      <c r="N55" s="23">
        <f>IF(OR(B55="",F55="Finished"),"",IF(S55&gt;0,S55+7*N(Settings!$C$8),IF(ISNUMBER(D55),INT(D55)+7*N(Settings!$C$8),"")))</f>
        <v/>
      </c>
      <c r="O55" s="16">
        <f>IF(B55="","",SUMIFS(Packages!$J$6:$J$505,Packages!$C$6:$C$505,B55,Packages!$M$6:$M$505,1))</f>
        <v/>
      </c>
      <c r="P55" s="24">
        <f>IF(B55="","",IF(COUNTIF(Clients!$B$6:$B$105,B55)&gt;1,"Listed twice",IF(O55&gt;0,"Owes money",IF(F55="Finished","",IF(F55="Paused","",IF(AND(J55&gt;0,L55&lt;=0),"No sessions left",IF(AND(J55&gt;0,L55&lt;=N(Settings!$C$7)),"Few sessions left",IF(AND(Q55&gt;0,L55&gt;0,Q55&lt;TODAY()),"Package expired",IF(AND(Q55&gt;0,L55&gt;0,Q55-TODAY()&lt;=14),"Package ends soon",IF(AND(N55&lt;&gt;"",N55&lt;=TODAY()),"Check-in due","")))))))))</f>
        <v/>
      </c>
      <c r="Q55" s="1">
        <f>IF(B55="",0,SUMPRODUCT(MAX((Packages!$C$6:$C$505=B55)*Packages!$N$6:$N$505)))</f>
        <v/>
      </c>
      <c r="R55">
        <f>IF(P55&lt;&gt;"",ROW(),"")</f>
        <v/>
      </c>
      <c r="S55">
        <f>IF(B55="",0,SUMPRODUCT(MAX(('Check-ins'!$C$6:$C$1505=B55)*'Check-ins'!$P$6:$P$1505)))</f>
        <v/>
      </c>
      <c r="T55">
        <f>IF(AND(B55&lt;&gt;"",F55&lt;&gt;"Paused",F55&lt;&gt;"Finished",J55&gt;0,L55&lt;=N(Settings!$C$7)),1,0)</f>
        <v/>
      </c>
      <c r="U55">
        <f>IF(AND(B55&lt;&gt;"",F55&lt;&gt;"Paused",F55&lt;&gt;"Finished",N55&lt;&gt;"",N55&lt;=TODAY()),1,0)</f>
        <v/>
      </c>
      <c r="V55">
        <f>IF(AND(B55&lt;&gt;"",F55&lt;&gt;"Paused",F55&lt;&gt;"Finished"),1,0)</f>
        <v/>
      </c>
    </row>
    <row r="56">
      <c r="A56" s="1" t="n"/>
      <c r="B56" s="19" t="n"/>
      <c r="C56" s="21" t="n"/>
      <c r="D56" s="17" t="n"/>
      <c r="E56" s="21" t="n"/>
      <c r="F56" s="20" t="n"/>
      <c r="G56" s="13">
        <f>IF(B56="","",SUMIFS(Sessions!$L$6:$L$3005,Sessions!$D$6:$D$3005,B56))</f>
        <v/>
      </c>
      <c r="H56" s="13">
        <f>IF(B56="","",SUMIFS(Sessions!$L$6:$L$3005,Sessions!$D$6:$D$3005,B56,Sessions!$J$6:$J$3005,(YEAR(TODAY())*100+MONTH(TODAY()))))</f>
        <v/>
      </c>
      <c r="I56" s="13">
        <f>IF(B56="","",SUMIFS(Sessions!$M$6:$M$3005,Sessions!$D$6:$D$3005,B56))</f>
        <v/>
      </c>
      <c r="J56" s="13">
        <f>IF(B56="","",SUMIFS(Packages!$D$6:$D$505,Packages!$C$6:$C$505,B56,Packages!$M$6:$M$505,1))</f>
        <v/>
      </c>
      <c r="K56" s="13">
        <f>IF(B56="","",SUMIFS(Sessions!$K$6:$K$3005,Sessions!$D$6:$D$3005,B56))</f>
        <v/>
      </c>
      <c r="L56" s="22">
        <f>IF(OR(B56="",J56=0),"",J56-K56)</f>
        <v/>
      </c>
      <c r="M56" s="23">
        <f>IF(B56="","",IF(SUMPRODUCT(MAX((Sessions!$D$6:$D$3005=B56)*Sessions!$L$6:$L$3005*Sessions!$I$6:$I$3005))=0,"",SUMPRODUCT(MAX((Sessions!$D$6:$D$3005=B56)*Sessions!$L$6:$L$3005*Sessions!$I$6:$I$3005))))</f>
        <v/>
      </c>
      <c r="N56" s="23">
        <f>IF(OR(B56="",F56="Finished"),"",IF(S56&gt;0,S56+7*N(Settings!$C$8),IF(ISNUMBER(D56),INT(D56)+7*N(Settings!$C$8),"")))</f>
        <v/>
      </c>
      <c r="O56" s="16">
        <f>IF(B56="","",SUMIFS(Packages!$J$6:$J$505,Packages!$C$6:$C$505,B56,Packages!$M$6:$M$505,1))</f>
        <v/>
      </c>
      <c r="P56" s="24">
        <f>IF(B56="","",IF(COUNTIF(Clients!$B$6:$B$105,B56)&gt;1,"Listed twice",IF(O56&gt;0,"Owes money",IF(F56="Finished","",IF(F56="Paused","",IF(AND(J56&gt;0,L56&lt;=0),"No sessions left",IF(AND(J56&gt;0,L56&lt;=N(Settings!$C$7)),"Few sessions left",IF(AND(Q56&gt;0,L56&gt;0,Q56&lt;TODAY()),"Package expired",IF(AND(Q56&gt;0,L56&gt;0,Q56-TODAY()&lt;=14),"Package ends soon",IF(AND(N56&lt;&gt;"",N56&lt;=TODAY()),"Check-in due","")))))))))</f>
        <v/>
      </c>
      <c r="Q56" s="1">
        <f>IF(B56="",0,SUMPRODUCT(MAX((Packages!$C$6:$C$505=B56)*Packages!$N$6:$N$505)))</f>
        <v/>
      </c>
      <c r="R56">
        <f>IF(P56&lt;&gt;"",ROW(),"")</f>
        <v/>
      </c>
      <c r="S56">
        <f>IF(B56="",0,SUMPRODUCT(MAX(('Check-ins'!$C$6:$C$1505=B56)*'Check-ins'!$P$6:$P$1505)))</f>
        <v/>
      </c>
      <c r="T56">
        <f>IF(AND(B56&lt;&gt;"",F56&lt;&gt;"Paused",F56&lt;&gt;"Finished",J56&gt;0,L56&lt;=N(Settings!$C$7)),1,0)</f>
        <v/>
      </c>
      <c r="U56">
        <f>IF(AND(B56&lt;&gt;"",F56&lt;&gt;"Paused",F56&lt;&gt;"Finished",N56&lt;&gt;"",N56&lt;=TODAY()),1,0)</f>
        <v/>
      </c>
      <c r="V56">
        <f>IF(AND(B56&lt;&gt;"",F56&lt;&gt;"Paused",F56&lt;&gt;"Finished"),1,0)</f>
        <v/>
      </c>
    </row>
    <row r="57">
      <c r="A57" s="1" t="n"/>
      <c r="B57" s="19" t="n"/>
      <c r="C57" s="21" t="n"/>
      <c r="D57" s="17" t="n"/>
      <c r="E57" s="21" t="n"/>
      <c r="F57" s="20" t="n"/>
      <c r="G57" s="13">
        <f>IF(B57="","",SUMIFS(Sessions!$L$6:$L$3005,Sessions!$D$6:$D$3005,B57))</f>
        <v/>
      </c>
      <c r="H57" s="13">
        <f>IF(B57="","",SUMIFS(Sessions!$L$6:$L$3005,Sessions!$D$6:$D$3005,B57,Sessions!$J$6:$J$3005,(YEAR(TODAY())*100+MONTH(TODAY()))))</f>
        <v/>
      </c>
      <c r="I57" s="13">
        <f>IF(B57="","",SUMIFS(Sessions!$M$6:$M$3005,Sessions!$D$6:$D$3005,B57))</f>
        <v/>
      </c>
      <c r="J57" s="13">
        <f>IF(B57="","",SUMIFS(Packages!$D$6:$D$505,Packages!$C$6:$C$505,B57,Packages!$M$6:$M$505,1))</f>
        <v/>
      </c>
      <c r="K57" s="13">
        <f>IF(B57="","",SUMIFS(Sessions!$K$6:$K$3005,Sessions!$D$6:$D$3005,B57))</f>
        <v/>
      </c>
      <c r="L57" s="22">
        <f>IF(OR(B57="",J57=0),"",J57-K57)</f>
        <v/>
      </c>
      <c r="M57" s="23">
        <f>IF(B57="","",IF(SUMPRODUCT(MAX((Sessions!$D$6:$D$3005=B57)*Sessions!$L$6:$L$3005*Sessions!$I$6:$I$3005))=0,"",SUMPRODUCT(MAX((Sessions!$D$6:$D$3005=B57)*Sessions!$L$6:$L$3005*Sessions!$I$6:$I$3005))))</f>
        <v/>
      </c>
      <c r="N57" s="23">
        <f>IF(OR(B57="",F57="Finished"),"",IF(S57&gt;0,S57+7*N(Settings!$C$8),IF(ISNUMBER(D57),INT(D57)+7*N(Settings!$C$8),"")))</f>
        <v/>
      </c>
      <c r="O57" s="16">
        <f>IF(B57="","",SUMIFS(Packages!$J$6:$J$505,Packages!$C$6:$C$505,B57,Packages!$M$6:$M$505,1))</f>
        <v/>
      </c>
      <c r="P57" s="24">
        <f>IF(B57="","",IF(COUNTIF(Clients!$B$6:$B$105,B57)&gt;1,"Listed twice",IF(O57&gt;0,"Owes money",IF(F57="Finished","",IF(F57="Paused","",IF(AND(J57&gt;0,L57&lt;=0),"No sessions left",IF(AND(J57&gt;0,L57&lt;=N(Settings!$C$7)),"Few sessions left",IF(AND(Q57&gt;0,L57&gt;0,Q57&lt;TODAY()),"Package expired",IF(AND(Q57&gt;0,L57&gt;0,Q57-TODAY()&lt;=14),"Package ends soon",IF(AND(N57&lt;&gt;"",N57&lt;=TODAY()),"Check-in due","")))))))))</f>
        <v/>
      </c>
      <c r="Q57" s="1">
        <f>IF(B57="",0,SUMPRODUCT(MAX((Packages!$C$6:$C$505=B57)*Packages!$N$6:$N$505)))</f>
        <v/>
      </c>
      <c r="R57">
        <f>IF(P57&lt;&gt;"",ROW(),"")</f>
        <v/>
      </c>
      <c r="S57">
        <f>IF(B57="",0,SUMPRODUCT(MAX(('Check-ins'!$C$6:$C$1505=B57)*'Check-ins'!$P$6:$P$1505)))</f>
        <v/>
      </c>
      <c r="T57">
        <f>IF(AND(B57&lt;&gt;"",F57&lt;&gt;"Paused",F57&lt;&gt;"Finished",J57&gt;0,L57&lt;=N(Settings!$C$7)),1,0)</f>
        <v/>
      </c>
      <c r="U57">
        <f>IF(AND(B57&lt;&gt;"",F57&lt;&gt;"Paused",F57&lt;&gt;"Finished",N57&lt;&gt;"",N57&lt;=TODAY()),1,0)</f>
        <v/>
      </c>
      <c r="V57">
        <f>IF(AND(B57&lt;&gt;"",F57&lt;&gt;"Paused",F57&lt;&gt;"Finished"),1,0)</f>
        <v/>
      </c>
    </row>
    <row r="58">
      <c r="A58" s="1" t="n"/>
      <c r="B58" s="19" t="n"/>
      <c r="C58" s="21" t="n"/>
      <c r="D58" s="17" t="n"/>
      <c r="E58" s="21" t="n"/>
      <c r="F58" s="20" t="n"/>
      <c r="G58" s="13">
        <f>IF(B58="","",SUMIFS(Sessions!$L$6:$L$3005,Sessions!$D$6:$D$3005,B58))</f>
        <v/>
      </c>
      <c r="H58" s="13">
        <f>IF(B58="","",SUMIFS(Sessions!$L$6:$L$3005,Sessions!$D$6:$D$3005,B58,Sessions!$J$6:$J$3005,(YEAR(TODAY())*100+MONTH(TODAY()))))</f>
        <v/>
      </c>
      <c r="I58" s="13">
        <f>IF(B58="","",SUMIFS(Sessions!$M$6:$M$3005,Sessions!$D$6:$D$3005,B58))</f>
        <v/>
      </c>
      <c r="J58" s="13">
        <f>IF(B58="","",SUMIFS(Packages!$D$6:$D$505,Packages!$C$6:$C$505,B58,Packages!$M$6:$M$505,1))</f>
        <v/>
      </c>
      <c r="K58" s="13">
        <f>IF(B58="","",SUMIFS(Sessions!$K$6:$K$3005,Sessions!$D$6:$D$3005,B58))</f>
        <v/>
      </c>
      <c r="L58" s="22">
        <f>IF(OR(B58="",J58=0),"",J58-K58)</f>
        <v/>
      </c>
      <c r="M58" s="23">
        <f>IF(B58="","",IF(SUMPRODUCT(MAX((Sessions!$D$6:$D$3005=B58)*Sessions!$L$6:$L$3005*Sessions!$I$6:$I$3005))=0,"",SUMPRODUCT(MAX((Sessions!$D$6:$D$3005=B58)*Sessions!$L$6:$L$3005*Sessions!$I$6:$I$3005))))</f>
        <v/>
      </c>
      <c r="N58" s="23">
        <f>IF(OR(B58="",F58="Finished"),"",IF(S58&gt;0,S58+7*N(Settings!$C$8),IF(ISNUMBER(D58),INT(D58)+7*N(Settings!$C$8),"")))</f>
        <v/>
      </c>
      <c r="O58" s="16">
        <f>IF(B58="","",SUMIFS(Packages!$J$6:$J$505,Packages!$C$6:$C$505,B58,Packages!$M$6:$M$505,1))</f>
        <v/>
      </c>
      <c r="P58" s="24">
        <f>IF(B58="","",IF(COUNTIF(Clients!$B$6:$B$105,B58)&gt;1,"Listed twice",IF(O58&gt;0,"Owes money",IF(F58="Finished","",IF(F58="Paused","",IF(AND(J58&gt;0,L58&lt;=0),"No sessions left",IF(AND(J58&gt;0,L58&lt;=N(Settings!$C$7)),"Few sessions left",IF(AND(Q58&gt;0,L58&gt;0,Q58&lt;TODAY()),"Package expired",IF(AND(Q58&gt;0,L58&gt;0,Q58-TODAY()&lt;=14),"Package ends soon",IF(AND(N58&lt;&gt;"",N58&lt;=TODAY()),"Check-in due","")))))))))</f>
        <v/>
      </c>
      <c r="Q58" s="1">
        <f>IF(B58="",0,SUMPRODUCT(MAX((Packages!$C$6:$C$505=B58)*Packages!$N$6:$N$505)))</f>
        <v/>
      </c>
      <c r="R58">
        <f>IF(P58&lt;&gt;"",ROW(),"")</f>
        <v/>
      </c>
      <c r="S58">
        <f>IF(B58="",0,SUMPRODUCT(MAX(('Check-ins'!$C$6:$C$1505=B58)*'Check-ins'!$P$6:$P$1505)))</f>
        <v/>
      </c>
      <c r="T58">
        <f>IF(AND(B58&lt;&gt;"",F58&lt;&gt;"Paused",F58&lt;&gt;"Finished",J58&gt;0,L58&lt;=N(Settings!$C$7)),1,0)</f>
        <v/>
      </c>
      <c r="U58">
        <f>IF(AND(B58&lt;&gt;"",F58&lt;&gt;"Paused",F58&lt;&gt;"Finished",N58&lt;&gt;"",N58&lt;=TODAY()),1,0)</f>
        <v/>
      </c>
      <c r="V58">
        <f>IF(AND(B58&lt;&gt;"",F58&lt;&gt;"Paused",F58&lt;&gt;"Finished"),1,0)</f>
        <v/>
      </c>
    </row>
    <row r="59">
      <c r="A59" s="1" t="n"/>
      <c r="B59" s="19" t="n"/>
      <c r="C59" s="21" t="n"/>
      <c r="D59" s="17" t="n"/>
      <c r="E59" s="21" t="n"/>
      <c r="F59" s="20" t="n"/>
      <c r="G59" s="13">
        <f>IF(B59="","",SUMIFS(Sessions!$L$6:$L$3005,Sessions!$D$6:$D$3005,B59))</f>
        <v/>
      </c>
      <c r="H59" s="13">
        <f>IF(B59="","",SUMIFS(Sessions!$L$6:$L$3005,Sessions!$D$6:$D$3005,B59,Sessions!$J$6:$J$3005,(YEAR(TODAY())*100+MONTH(TODAY()))))</f>
        <v/>
      </c>
      <c r="I59" s="13">
        <f>IF(B59="","",SUMIFS(Sessions!$M$6:$M$3005,Sessions!$D$6:$D$3005,B59))</f>
        <v/>
      </c>
      <c r="J59" s="13">
        <f>IF(B59="","",SUMIFS(Packages!$D$6:$D$505,Packages!$C$6:$C$505,B59,Packages!$M$6:$M$505,1))</f>
        <v/>
      </c>
      <c r="K59" s="13">
        <f>IF(B59="","",SUMIFS(Sessions!$K$6:$K$3005,Sessions!$D$6:$D$3005,B59))</f>
        <v/>
      </c>
      <c r="L59" s="22">
        <f>IF(OR(B59="",J59=0),"",J59-K59)</f>
        <v/>
      </c>
      <c r="M59" s="23">
        <f>IF(B59="","",IF(SUMPRODUCT(MAX((Sessions!$D$6:$D$3005=B59)*Sessions!$L$6:$L$3005*Sessions!$I$6:$I$3005))=0,"",SUMPRODUCT(MAX((Sessions!$D$6:$D$3005=B59)*Sessions!$L$6:$L$3005*Sessions!$I$6:$I$3005))))</f>
        <v/>
      </c>
      <c r="N59" s="23">
        <f>IF(OR(B59="",F59="Finished"),"",IF(S59&gt;0,S59+7*N(Settings!$C$8),IF(ISNUMBER(D59),INT(D59)+7*N(Settings!$C$8),"")))</f>
        <v/>
      </c>
      <c r="O59" s="16">
        <f>IF(B59="","",SUMIFS(Packages!$J$6:$J$505,Packages!$C$6:$C$505,B59,Packages!$M$6:$M$505,1))</f>
        <v/>
      </c>
      <c r="P59" s="24">
        <f>IF(B59="","",IF(COUNTIF(Clients!$B$6:$B$105,B59)&gt;1,"Listed twice",IF(O59&gt;0,"Owes money",IF(F59="Finished","",IF(F59="Paused","",IF(AND(J59&gt;0,L59&lt;=0),"No sessions left",IF(AND(J59&gt;0,L59&lt;=N(Settings!$C$7)),"Few sessions left",IF(AND(Q59&gt;0,L59&gt;0,Q59&lt;TODAY()),"Package expired",IF(AND(Q59&gt;0,L59&gt;0,Q59-TODAY()&lt;=14),"Package ends soon",IF(AND(N59&lt;&gt;"",N59&lt;=TODAY()),"Check-in due","")))))))))</f>
        <v/>
      </c>
      <c r="Q59" s="1">
        <f>IF(B59="",0,SUMPRODUCT(MAX((Packages!$C$6:$C$505=B59)*Packages!$N$6:$N$505)))</f>
        <v/>
      </c>
      <c r="R59">
        <f>IF(P59&lt;&gt;"",ROW(),"")</f>
        <v/>
      </c>
      <c r="S59">
        <f>IF(B59="",0,SUMPRODUCT(MAX(('Check-ins'!$C$6:$C$1505=B59)*'Check-ins'!$P$6:$P$1505)))</f>
        <v/>
      </c>
      <c r="T59">
        <f>IF(AND(B59&lt;&gt;"",F59&lt;&gt;"Paused",F59&lt;&gt;"Finished",J59&gt;0,L59&lt;=N(Settings!$C$7)),1,0)</f>
        <v/>
      </c>
      <c r="U59">
        <f>IF(AND(B59&lt;&gt;"",F59&lt;&gt;"Paused",F59&lt;&gt;"Finished",N59&lt;&gt;"",N59&lt;=TODAY()),1,0)</f>
        <v/>
      </c>
      <c r="V59">
        <f>IF(AND(B59&lt;&gt;"",F59&lt;&gt;"Paused",F59&lt;&gt;"Finished"),1,0)</f>
        <v/>
      </c>
    </row>
    <row r="60">
      <c r="A60" s="1" t="n"/>
      <c r="B60" s="19" t="n"/>
      <c r="C60" s="21" t="n"/>
      <c r="D60" s="17" t="n"/>
      <c r="E60" s="21" t="n"/>
      <c r="F60" s="20" t="n"/>
      <c r="G60" s="13">
        <f>IF(B60="","",SUMIFS(Sessions!$L$6:$L$3005,Sessions!$D$6:$D$3005,B60))</f>
        <v/>
      </c>
      <c r="H60" s="13">
        <f>IF(B60="","",SUMIFS(Sessions!$L$6:$L$3005,Sessions!$D$6:$D$3005,B60,Sessions!$J$6:$J$3005,(YEAR(TODAY())*100+MONTH(TODAY()))))</f>
        <v/>
      </c>
      <c r="I60" s="13">
        <f>IF(B60="","",SUMIFS(Sessions!$M$6:$M$3005,Sessions!$D$6:$D$3005,B60))</f>
        <v/>
      </c>
      <c r="J60" s="13">
        <f>IF(B60="","",SUMIFS(Packages!$D$6:$D$505,Packages!$C$6:$C$505,B60,Packages!$M$6:$M$505,1))</f>
        <v/>
      </c>
      <c r="K60" s="13">
        <f>IF(B60="","",SUMIFS(Sessions!$K$6:$K$3005,Sessions!$D$6:$D$3005,B60))</f>
        <v/>
      </c>
      <c r="L60" s="22">
        <f>IF(OR(B60="",J60=0),"",J60-K60)</f>
        <v/>
      </c>
      <c r="M60" s="23">
        <f>IF(B60="","",IF(SUMPRODUCT(MAX((Sessions!$D$6:$D$3005=B60)*Sessions!$L$6:$L$3005*Sessions!$I$6:$I$3005))=0,"",SUMPRODUCT(MAX((Sessions!$D$6:$D$3005=B60)*Sessions!$L$6:$L$3005*Sessions!$I$6:$I$3005))))</f>
        <v/>
      </c>
      <c r="N60" s="23">
        <f>IF(OR(B60="",F60="Finished"),"",IF(S60&gt;0,S60+7*N(Settings!$C$8),IF(ISNUMBER(D60),INT(D60)+7*N(Settings!$C$8),"")))</f>
        <v/>
      </c>
      <c r="O60" s="16">
        <f>IF(B60="","",SUMIFS(Packages!$J$6:$J$505,Packages!$C$6:$C$505,B60,Packages!$M$6:$M$505,1))</f>
        <v/>
      </c>
      <c r="P60" s="24">
        <f>IF(B60="","",IF(COUNTIF(Clients!$B$6:$B$105,B60)&gt;1,"Listed twice",IF(O60&gt;0,"Owes money",IF(F60="Finished","",IF(F60="Paused","",IF(AND(J60&gt;0,L60&lt;=0),"No sessions left",IF(AND(J60&gt;0,L60&lt;=N(Settings!$C$7)),"Few sessions left",IF(AND(Q60&gt;0,L60&gt;0,Q60&lt;TODAY()),"Package expired",IF(AND(Q60&gt;0,L60&gt;0,Q60-TODAY()&lt;=14),"Package ends soon",IF(AND(N60&lt;&gt;"",N60&lt;=TODAY()),"Check-in due","")))))))))</f>
        <v/>
      </c>
      <c r="Q60" s="1">
        <f>IF(B60="",0,SUMPRODUCT(MAX((Packages!$C$6:$C$505=B60)*Packages!$N$6:$N$505)))</f>
        <v/>
      </c>
      <c r="R60">
        <f>IF(P60&lt;&gt;"",ROW(),"")</f>
        <v/>
      </c>
      <c r="S60">
        <f>IF(B60="",0,SUMPRODUCT(MAX(('Check-ins'!$C$6:$C$1505=B60)*'Check-ins'!$P$6:$P$1505)))</f>
        <v/>
      </c>
      <c r="T60">
        <f>IF(AND(B60&lt;&gt;"",F60&lt;&gt;"Paused",F60&lt;&gt;"Finished",J60&gt;0,L60&lt;=N(Settings!$C$7)),1,0)</f>
        <v/>
      </c>
      <c r="U60">
        <f>IF(AND(B60&lt;&gt;"",F60&lt;&gt;"Paused",F60&lt;&gt;"Finished",N60&lt;&gt;"",N60&lt;=TODAY()),1,0)</f>
        <v/>
      </c>
      <c r="V60">
        <f>IF(AND(B60&lt;&gt;"",F60&lt;&gt;"Paused",F60&lt;&gt;"Finished"),1,0)</f>
        <v/>
      </c>
    </row>
    <row r="61">
      <c r="A61" s="1" t="n"/>
      <c r="B61" s="19" t="n"/>
      <c r="C61" s="21" t="n"/>
      <c r="D61" s="17" t="n"/>
      <c r="E61" s="21" t="n"/>
      <c r="F61" s="20" t="n"/>
      <c r="G61" s="13">
        <f>IF(B61="","",SUMIFS(Sessions!$L$6:$L$3005,Sessions!$D$6:$D$3005,B61))</f>
        <v/>
      </c>
      <c r="H61" s="13">
        <f>IF(B61="","",SUMIFS(Sessions!$L$6:$L$3005,Sessions!$D$6:$D$3005,B61,Sessions!$J$6:$J$3005,(YEAR(TODAY())*100+MONTH(TODAY()))))</f>
        <v/>
      </c>
      <c r="I61" s="13">
        <f>IF(B61="","",SUMIFS(Sessions!$M$6:$M$3005,Sessions!$D$6:$D$3005,B61))</f>
        <v/>
      </c>
      <c r="J61" s="13">
        <f>IF(B61="","",SUMIFS(Packages!$D$6:$D$505,Packages!$C$6:$C$505,B61,Packages!$M$6:$M$505,1))</f>
        <v/>
      </c>
      <c r="K61" s="13">
        <f>IF(B61="","",SUMIFS(Sessions!$K$6:$K$3005,Sessions!$D$6:$D$3005,B61))</f>
        <v/>
      </c>
      <c r="L61" s="22">
        <f>IF(OR(B61="",J61=0),"",J61-K61)</f>
        <v/>
      </c>
      <c r="M61" s="23">
        <f>IF(B61="","",IF(SUMPRODUCT(MAX((Sessions!$D$6:$D$3005=B61)*Sessions!$L$6:$L$3005*Sessions!$I$6:$I$3005))=0,"",SUMPRODUCT(MAX((Sessions!$D$6:$D$3005=B61)*Sessions!$L$6:$L$3005*Sessions!$I$6:$I$3005))))</f>
        <v/>
      </c>
      <c r="N61" s="23">
        <f>IF(OR(B61="",F61="Finished"),"",IF(S61&gt;0,S61+7*N(Settings!$C$8),IF(ISNUMBER(D61),INT(D61)+7*N(Settings!$C$8),"")))</f>
        <v/>
      </c>
      <c r="O61" s="16">
        <f>IF(B61="","",SUMIFS(Packages!$J$6:$J$505,Packages!$C$6:$C$505,B61,Packages!$M$6:$M$505,1))</f>
        <v/>
      </c>
      <c r="P61" s="24">
        <f>IF(B61="","",IF(COUNTIF(Clients!$B$6:$B$105,B61)&gt;1,"Listed twice",IF(O61&gt;0,"Owes money",IF(F61="Finished","",IF(F61="Paused","",IF(AND(J61&gt;0,L61&lt;=0),"No sessions left",IF(AND(J61&gt;0,L61&lt;=N(Settings!$C$7)),"Few sessions left",IF(AND(Q61&gt;0,L61&gt;0,Q61&lt;TODAY()),"Package expired",IF(AND(Q61&gt;0,L61&gt;0,Q61-TODAY()&lt;=14),"Package ends soon",IF(AND(N61&lt;&gt;"",N61&lt;=TODAY()),"Check-in due","")))))))))</f>
        <v/>
      </c>
      <c r="Q61" s="1">
        <f>IF(B61="",0,SUMPRODUCT(MAX((Packages!$C$6:$C$505=B61)*Packages!$N$6:$N$505)))</f>
        <v/>
      </c>
      <c r="R61">
        <f>IF(P61&lt;&gt;"",ROW(),"")</f>
        <v/>
      </c>
      <c r="S61">
        <f>IF(B61="",0,SUMPRODUCT(MAX(('Check-ins'!$C$6:$C$1505=B61)*'Check-ins'!$P$6:$P$1505)))</f>
        <v/>
      </c>
      <c r="T61">
        <f>IF(AND(B61&lt;&gt;"",F61&lt;&gt;"Paused",F61&lt;&gt;"Finished",J61&gt;0,L61&lt;=N(Settings!$C$7)),1,0)</f>
        <v/>
      </c>
      <c r="U61">
        <f>IF(AND(B61&lt;&gt;"",F61&lt;&gt;"Paused",F61&lt;&gt;"Finished",N61&lt;&gt;"",N61&lt;=TODAY()),1,0)</f>
        <v/>
      </c>
      <c r="V61">
        <f>IF(AND(B61&lt;&gt;"",F61&lt;&gt;"Paused",F61&lt;&gt;"Finished"),1,0)</f>
        <v/>
      </c>
    </row>
    <row r="62">
      <c r="A62" s="1" t="n"/>
      <c r="B62" s="19" t="n"/>
      <c r="C62" s="21" t="n"/>
      <c r="D62" s="17" t="n"/>
      <c r="E62" s="21" t="n"/>
      <c r="F62" s="20" t="n"/>
      <c r="G62" s="13">
        <f>IF(B62="","",SUMIFS(Sessions!$L$6:$L$3005,Sessions!$D$6:$D$3005,B62))</f>
        <v/>
      </c>
      <c r="H62" s="13">
        <f>IF(B62="","",SUMIFS(Sessions!$L$6:$L$3005,Sessions!$D$6:$D$3005,B62,Sessions!$J$6:$J$3005,(YEAR(TODAY())*100+MONTH(TODAY()))))</f>
        <v/>
      </c>
      <c r="I62" s="13">
        <f>IF(B62="","",SUMIFS(Sessions!$M$6:$M$3005,Sessions!$D$6:$D$3005,B62))</f>
        <v/>
      </c>
      <c r="J62" s="13">
        <f>IF(B62="","",SUMIFS(Packages!$D$6:$D$505,Packages!$C$6:$C$505,B62,Packages!$M$6:$M$505,1))</f>
        <v/>
      </c>
      <c r="K62" s="13">
        <f>IF(B62="","",SUMIFS(Sessions!$K$6:$K$3005,Sessions!$D$6:$D$3005,B62))</f>
        <v/>
      </c>
      <c r="L62" s="22">
        <f>IF(OR(B62="",J62=0),"",J62-K62)</f>
        <v/>
      </c>
      <c r="M62" s="23">
        <f>IF(B62="","",IF(SUMPRODUCT(MAX((Sessions!$D$6:$D$3005=B62)*Sessions!$L$6:$L$3005*Sessions!$I$6:$I$3005))=0,"",SUMPRODUCT(MAX((Sessions!$D$6:$D$3005=B62)*Sessions!$L$6:$L$3005*Sessions!$I$6:$I$3005))))</f>
        <v/>
      </c>
      <c r="N62" s="23">
        <f>IF(OR(B62="",F62="Finished"),"",IF(S62&gt;0,S62+7*N(Settings!$C$8),IF(ISNUMBER(D62),INT(D62)+7*N(Settings!$C$8),"")))</f>
        <v/>
      </c>
      <c r="O62" s="16">
        <f>IF(B62="","",SUMIFS(Packages!$J$6:$J$505,Packages!$C$6:$C$505,B62,Packages!$M$6:$M$505,1))</f>
        <v/>
      </c>
      <c r="P62" s="24">
        <f>IF(B62="","",IF(COUNTIF(Clients!$B$6:$B$105,B62)&gt;1,"Listed twice",IF(O62&gt;0,"Owes money",IF(F62="Finished","",IF(F62="Paused","",IF(AND(J62&gt;0,L62&lt;=0),"No sessions left",IF(AND(J62&gt;0,L62&lt;=N(Settings!$C$7)),"Few sessions left",IF(AND(Q62&gt;0,L62&gt;0,Q62&lt;TODAY()),"Package expired",IF(AND(Q62&gt;0,L62&gt;0,Q62-TODAY()&lt;=14),"Package ends soon",IF(AND(N62&lt;&gt;"",N62&lt;=TODAY()),"Check-in due","")))))))))</f>
        <v/>
      </c>
      <c r="Q62" s="1">
        <f>IF(B62="",0,SUMPRODUCT(MAX((Packages!$C$6:$C$505=B62)*Packages!$N$6:$N$505)))</f>
        <v/>
      </c>
      <c r="R62">
        <f>IF(P62&lt;&gt;"",ROW(),"")</f>
        <v/>
      </c>
      <c r="S62">
        <f>IF(B62="",0,SUMPRODUCT(MAX(('Check-ins'!$C$6:$C$1505=B62)*'Check-ins'!$P$6:$P$1505)))</f>
        <v/>
      </c>
      <c r="T62">
        <f>IF(AND(B62&lt;&gt;"",F62&lt;&gt;"Paused",F62&lt;&gt;"Finished",J62&gt;0,L62&lt;=N(Settings!$C$7)),1,0)</f>
        <v/>
      </c>
      <c r="U62">
        <f>IF(AND(B62&lt;&gt;"",F62&lt;&gt;"Paused",F62&lt;&gt;"Finished",N62&lt;&gt;"",N62&lt;=TODAY()),1,0)</f>
        <v/>
      </c>
      <c r="V62">
        <f>IF(AND(B62&lt;&gt;"",F62&lt;&gt;"Paused",F62&lt;&gt;"Finished"),1,0)</f>
        <v/>
      </c>
    </row>
    <row r="63">
      <c r="A63" s="1" t="n"/>
      <c r="B63" s="19" t="n"/>
      <c r="C63" s="21" t="n"/>
      <c r="D63" s="17" t="n"/>
      <c r="E63" s="21" t="n"/>
      <c r="F63" s="20" t="n"/>
      <c r="G63" s="13">
        <f>IF(B63="","",SUMIFS(Sessions!$L$6:$L$3005,Sessions!$D$6:$D$3005,B63))</f>
        <v/>
      </c>
      <c r="H63" s="13">
        <f>IF(B63="","",SUMIFS(Sessions!$L$6:$L$3005,Sessions!$D$6:$D$3005,B63,Sessions!$J$6:$J$3005,(YEAR(TODAY())*100+MONTH(TODAY()))))</f>
        <v/>
      </c>
      <c r="I63" s="13">
        <f>IF(B63="","",SUMIFS(Sessions!$M$6:$M$3005,Sessions!$D$6:$D$3005,B63))</f>
        <v/>
      </c>
      <c r="J63" s="13">
        <f>IF(B63="","",SUMIFS(Packages!$D$6:$D$505,Packages!$C$6:$C$505,B63,Packages!$M$6:$M$505,1))</f>
        <v/>
      </c>
      <c r="K63" s="13">
        <f>IF(B63="","",SUMIFS(Sessions!$K$6:$K$3005,Sessions!$D$6:$D$3005,B63))</f>
        <v/>
      </c>
      <c r="L63" s="22">
        <f>IF(OR(B63="",J63=0),"",J63-K63)</f>
        <v/>
      </c>
      <c r="M63" s="23">
        <f>IF(B63="","",IF(SUMPRODUCT(MAX((Sessions!$D$6:$D$3005=B63)*Sessions!$L$6:$L$3005*Sessions!$I$6:$I$3005))=0,"",SUMPRODUCT(MAX((Sessions!$D$6:$D$3005=B63)*Sessions!$L$6:$L$3005*Sessions!$I$6:$I$3005))))</f>
        <v/>
      </c>
      <c r="N63" s="23">
        <f>IF(OR(B63="",F63="Finished"),"",IF(S63&gt;0,S63+7*N(Settings!$C$8),IF(ISNUMBER(D63),INT(D63)+7*N(Settings!$C$8),"")))</f>
        <v/>
      </c>
      <c r="O63" s="16">
        <f>IF(B63="","",SUMIFS(Packages!$J$6:$J$505,Packages!$C$6:$C$505,B63,Packages!$M$6:$M$505,1))</f>
        <v/>
      </c>
      <c r="P63" s="24">
        <f>IF(B63="","",IF(COUNTIF(Clients!$B$6:$B$105,B63)&gt;1,"Listed twice",IF(O63&gt;0,"Owes money",IF(F63="Finished","",IF(F63="Paused","",IF(AND(J63&gt;0,L63&lt;=0),"No sessions left",IF(AND(J63&gt;0,L63&lt;=N(Settings!$C$7)),"Few sessions left",IF(AND(Q63&gt;0,L63&gt;0,Q63&lt;TODAY()),"Package expired",IF(AND(Q63&gt;0,L63&gt;0,Q63-TODAY()&lt;=14),"Package ends soon",IF(AND(N63&lt;&gt;"",N63&lt;=TODAY()),"Check-in due","")))))))))</f>
        <v/>
      </c>
      <c r="Q63" s="1">
        <f>IF(B63="",0,SUMPRODUCT(MAX((Packages!$C$6:$C$505=B63)*Packages!$N$6:$N$505)))</f>
        <v/>
      </c>
      <c r="R63">
        <f>IF(P63&lt;&gt;"",ROW(),"")</f>
        <v/>
      </c>
      <c r="S63">
        <f>IF(B63="",0,SUMPRODUCT(MAX(('Check-ins'!$C$6:$C$1505=B63)*'Check-ins'!$P$6:$P$1505)))</f>
        <v/>
      </c>
      <c r="T63">
        <f>IF(AND(B63&lt;&gt;"",F63&lt;&gt;"Paused",F63&lt;&gt;"Finished",J63&gt;0,L63&lt;=N(Settings!$C$7)),1,0)</f>
        <v/>
      </c>
      <c r="U63">
        <f>IF(AND(B63&lt;&gt;"",F63&lt;&gt;"Paused",F63&lt;&gt;"Finished",N63&lt;&gt;"",N63&lt;=TODAY()),1,0)</f>
        <v/>
      </c>
      <c r="V63">
        <f>IF(AND(B63&lt;&gt;"",F63&lt;&gt;"Paused",F63&lt;&gt;"Finished"),1,0)</f>
        <v/>
      </c>
    </row>
    <row r="64">
      <c r="A64" s="1" t="n"/>
      <c r="B64" s="19" t="n"/>
      <c r="C64" s="21" t="n"/>
      <c r="D64" s="17" t="n"/>
      <c r="E64" s="21" t="n"/>
      <c r="F64" s="20" t="n"/>
      <c r="G64" s="13">
        <f>IF(B64="","",SUMIFS(Sessions!$L$6:$L$3005,Sessions!$D$6:$D$3005,B64))</f>
        <v/>
      </c>
      <c r="H64" s="13">
        <f>IF(B64="","",SUMIFS(Sessions!$L$6:$L$3005,Sessions!$D$6:$D$3005,B64,Sessions!$J$6:$J$3005,(YEAR(TODAY())*100+MONTH(TODAY()))))</f>
        <v/>
      </c>
      <c r="I64" s="13">
        <f>IF(B64="","",SUMIFS(Sessions!$M$6:$M$3005,Sessions!$D$6:$D$3005,B64))</f>
        <v/>
      </c>
      <c r="J64" s="13">
        <f>IF(B64="","",SUMIFS(Packages!$D$6:$D$505,Packages!$C$6:$C$505,B64,Packages!$M$6:$M$505,1))</f>
        <v/>
      </c>
      <c r="K64" s="13">
        <f>IF(B64="","",SUMIFS(Sessions!$K$6:$K$3005,Sessions!$D$6:$D$3005,B64))</f>
        <v/>
      </c>
      <c r="L64" s="22">
        <f>IF(OR(B64="",J64=0),"",J64-K64)</f>
        <v/>
      </c>
      <c r="M64" s="23">
        <f>IF(B64="","",IF(SUMPRODUCT(MAX((Sessions!$D$6:$D$3005=B64)*Sessions!$L$6:$L$3005*Sessions!$I$6:$I$3005))=0,"",SUMPRODUCT(MAX((Sessions!$D$6:$D$3005=B64)*Sessions!$L$6:$L$3005*Sessions!$I$6:$I$3005))))</f>
        <v/>
      </c>
      <c r="N64" s="23">
        <f>IF(OR(B64="",F64="Finished"),"",IF(S64&gt;0,S64+7*N(Settings!$C$8),IF(ISNUMBER(D64),INT(D64)+7*N(Settings!$C$8),"")))</f>
        <v/>
      </c>
      <c r="O64" s="16">
        <f>IF(B64="","",SUMIFS(Packages!$J$6:$J$505,Packages!$C$6:$C$505,B64,Packages!$M$6:$M$505,1))</f>
        <v/>
      </c>
      <c r="P64" s="24">
        <f>IF(B64="","",IF(COUNTIF(Clients!$B$6:$B$105,B64)&gt;1,"Listed twice",IF(O64&gt;0,"Owes money",IF(F64="Finished","",IF(F64="Paused","",IF(AND(J64&gt;0,L64&lt;=0),"No sessions left",IF(AND(J64&gt;0,L64&lt;=N(Settings!$C$7)),"Few sessions left",IF(AND(Q64&gt;0,L64&gt;0,Q64&lt;TODAY()),"Package expired",IF(AND(Q64&gt;0,L64&gt;0,Q64-TODAY()&lt;=14),"Package ends soon",IF(AND(N64&lt;&gt;"",N64&lt;=TODAY()),"Check-in due","")))))))))</f>
        <v/>
      </c>
      <c r="Q64" s="1">
        <f>IF(B64="",0,SUMPRODUCT(MAX((Packages!$C$6:$C$505=B64)*Packages!$N$6:$N$505)))</f>
        <v/>
      </c>
      <c r="R64">
        <f>IF(P64&lt;&gt;"",ROW(),"")</f>
        <v/>
      </c>
      <c r="S64">
        <f>IF(B64="",0,SUMPRODUCT(MAX(('Check-ins'!$C$6:$C$1505=B64)*'Check-ins'!$P$6:$P$1505)))</f>
        <v/>
      </c>
      <c r="T64">
        <f>IF(AND(B64&lt;&gt;"",F64&lt;&gt;"Paused",F64&lt;&gt;"Finished",J64&gt;0,L64&lt;=N(Settings!$C$7)),1,0)</f>
        <v/>
      </c>
      <c r="U64">
        <f>IF(AND(B64&lt;&gt;"",F64&lt;&gt;"Paused",F64&lt;&gt;"Finished",N64&lt;&gt;"",N64&lt;=TODAY()),1,0)</f>
        <v/>
      </c>
      <c r="V64">
        <f>IF(AND(B64&lt;&gt;"",F64&lt;&gt;"Paused",F64&lt;&gt;"Finished"),1,0)</f>
        <v/>
      </c>
    </row>
    <row r="65">
      <c r="A65" s="1" t="n"/>
      <c r="B65" s="19" t="n"/>
      <c r="C65" s="21" t="n"/>
      <c r="D65" s="17" t="n"/>
      <c r="E65" s="21" t="n"/>
      <c r="F65" s="20" t="n"/>
      <c r="G65" s="13">
        <f>IF(B65="","",SUMIFS(Sessions!$L$6:$L$3005,Sessions!$D$6:$D$3005,B65))</f>
        <v/>
      </c>
      <c r="H65" s="13">
        <f>IF(B65="","",SUMIFS(Sessions!$L$6:$L$3005,Sessions!$D$6:$D$3005,B65,Sessions!$J$6:$J$3005,(YEAR(TODAY())*100+MONTH(TODAY()))))</f>
        <v/>
      </c>
      <c r="I65" s="13">
        <f>IF(B65="","",SUMIFS(Sessions!$M$6:$M$3005,Sessions!$D$6:$D$3005,B65))</f>
        <v/>
      </c>
      <c r="J65" s="13">
        <f>IF(B65="","",SUMIFS(Packages!$D$6:$D$505,Packages!$C$6:$C$505,B65,Packages!$M$6:$M$505,1))</f>
        <v/>
      </c>
      <c r="K65" s="13">
        <f>IF(B65="","",SUMIFS(Sessions!$K$6:$K$3005,Sessions!$D$6:$D$3005,B65))</f>
        <v/>
      </c>
      <c r="L65" s="22">
        <f>IF(OR(B65="",J65=0),"",J65-K65)</f>
        <v/>
      </c>
      <c r="M65" s="23">
        <f>IF(B65="","",IF(SUMPRODUCT(MAX((Sessions!$D$6:$D$3005=B65)*Sessions!$L$6:$L$3005*Sessions!$I$6:$I$3005))=0,"",SUMPRODUCT(MAX((Sessions!$D$6:$D$3005=B65)*Sessions!$L$6:$L$3005*Sessions!$I$6:$I$3005))))</f>
        <v/>
      </c>
      <c r="N65" s="23">
        <f>IF(OR(B65="",F65="Finished"),"",IF(S65&gt;0,S65+7*N(Settings!$C$8),IF(ISNUMBER(D65),INT(D65)+7*N(Settings!$C$8),"")))</f>
        <v/>
      </c>
      <c r="O65" s="16">
        <f>IF(B65="","",SUMIFS(Packages!$J$6:$J$505,Packages!$C$6:$C$505,B65,Packages!$M$6:$M$505,1))</f>
        <v/>
      </c>
      <c r="P65" s="24">
        <f>IF(B65="","",IF(COUNTIF(Clients!$B$6:$B$105,B65)&gt;1,"Listed twice",IF(O65&gt;0,"Owes money",IF(F65="Finished","",IF(F65="Paused","",IF(AND(J65&gt;0,L65&lt;=0),"No sessions left",IF(AND(J65&gt;0,L65&lt;=N(Settings!$C$7)),"Few sessions left",IF(AND(Q65&gt;0,L65&gt;0,Q65&lt;TODAY()),"Package expired",IF(AND(Q65&gt;0,L65&gt;0,Q65-TODAY()&lt;=14),"Package ends soon",IF(AND(N65&lt;&gt;"",N65&lt;=TODAY()),"Check-in due","")))))))))</f>
        <v/>
      </c>
      <c r="Q65" s="1">
        <f>IF(B65="",0,SUMPRODUCT(MAX((Packages!$C$6:$C$505=B65)*Packages!$N$6:$N$505)))</f>
        <v/>
      </c>
      <c r="R65">
        <f>IF(P65&lt;&gt;"",ROW(),"")</f>
        <v/>
      </c>
      <c r="S65">
        <f>IF(B65="",0,SUMPRODUCT(MAX(('Check-ins'!$C$6:$C$1505=B65)*'Check-ins'!$P$6:$P$1505)))</f>
        <v/>
      </c>
      <c r="T65">
        <f>IF(AND(B65&lt;&gt;"",F65&lt;&gt;"Paused",F65&lt;&gt;"Finished",J65&gt;0,L65&lt;=N(Settings!$C$7)),1,0)</f>
        <v/>
      </c>
      <c r="U65">
        <f>IF(AND(B65&lt;&gt;"",F65&lt;&gt;"Paused",F65&lt;&gt;"Finished",N65&lt;&gt;"",N65&lt;=TODAY()),1,0)</f>
        <v/>
      </c>
      <c r="V65">
        <f>IF(AND(B65&lt;&gt;"",F65&lt;&gt;"Paused",F65&lt;&gt;"Finished"),1,0)</f>
        <v/>
      </c>
    </row>
    <row r="66">
      <c r="A66" s="1" t="n"/>
      <c r="B66" s="19" t="n"/>
      <c r="C66" s="21" t="n"/>
      <c r="D66" s="17" t="n"/>
      <c r="E66" s="21" t="n"/>
      <c r="F66" s="20" t="n"/>
      <c r="G66" s="13">
        <f>IF(B66="","",SUMIFS(Sessions!$L$6:$L$3005,Sessions!$D$6:$D$3005,B66))</f>
        <v/>
      </c>
      <c r="H66" s="13">
        <f>IF(B66="","",SUMIFS(Sessions!$L$6:$L$3005,Sessions!$D$6:$D$3005,B66,Sessions!$J$6:$J$3005,(YEAR(TODAY())*100+MONTH(TODAY()))))</f>
        <v/>
      </c>
      <c r="I66" s="13">
        <f>IF(B66="","",SUMIFS(Sessions!$M$6:$M$3005,Sessions!$D$6:$D$3005,B66))</f>
        <v/>
      </c>
      <c r="J66" s="13">
        <f>IF(B66="","",SUMIFS(Packages!$D$6:$D$505,Packages!$C$6:$C$505,B66,Packages!$M$6:$M$505,1))</f>
        <v/>
      </c>
      <c r="K66" s="13">
        <f>IF(B66="","",SUMIFS(Sessions!$K$6:$K$3005,Sessions!$D$6:$D$3005,B66))</f>
        <v/>
      </c>
      <c r="L66" s="22">
        <f>IF(OR(B66="",J66=0),"",J66-K66)</f>
        <v/>
      </c>
      <c r="M66" s="23">
        <f>IF(B66="","",IF(SUMPRODUCT(MAX((Sessions!$D$6:$D$3005=B66)*Sessions!$L$6:$L$3005*Sessions!$I$6:$I$3005))=0,"",SUMPRODUCT(MAX((Sessions!$D$6:$D$3005=B66)*Sessions!$L$6:$L$3005*Sessions!$I$6:$I$3005))))</f>
        <v/>
      </c>
      <c r="N66" s="23">
        <f>IF(OR(B66="",F66="Finished"),"",IF(S66&gt;0,S66+7*N(Settings!$C$8),IF(ISNUMBER(D66),INT(D66)+7*N(Settings!$C$8),"")))</f>
        <v/>
      </c>
      <c r="O66" s="16">
        <f>IF(B66="","",SUMIFS(Packages!$J$6:$J$505,Packages!$C$6:$C$505,B66,Packages!$M$6:$M$505,1))</f>
        <v/>
      </c>
      <c r="P66" s="24">
        <f>IF(B66="","",IF(COUNTIF(Clients!$B$6:$B$105,B66)&gt;1,"Listed twice",IF(O66&gt;0,"Owes money",IF(F66="Finished","",IF(F66="Paused","",IF(AND(J66&gt;0,L66&lt;=0),"No sessions left",IF(AND(J66&gt;0,L66&lt;=N(Settings!$C$7)),"Few sessions left",IF(AND(Q66&gt;0,L66&gt;0,Q66&lt;TODAY()),"Package expired",IF(AND(Q66&gt;0,L66&gt;0,Q66-TODAY()&lt;=14),"Package ends soon",IF(AND(N66&lt;&gt;"",N66&lt;=TODAY()),"Check-in due","")))))))))</f>
        <v/>
      </c>
      <c r="Q66" s="1">
        <f>IF(B66="",0,SUMPRODUCT(MAX((Packages!$C$6:$C$505=B66)*Packages!$N$6:$N$505)))</f>
        <v/>
      </c>
      <c r="R66">
        <f>IF(P66&lt;&gt;"",ROW(),"")</f>
        <v/>
      </c>
      <c r="S66">
        <f>IF(B66="",0,SUMPRODUCT(MAX(('Check-ins'!$C$6:$C$1505=B66)*'Check-ins'!$P$6:$P$1505)))</f>
        <v/>
      </c>
      <c r="T66">
        <f>IF(AND(B66&lt;&gt;"",F66&lt;&gt;"Paused",F66&lt;&gt;"Finished",J66&gt;0,L66&lt;=N(Settings!$C$7)),1,0)</f>
        <v/>
      </c>
      <c r="U66">
        <f>IF(AND(B66&lt;&gt;"",F66&lt;&gt;"Paused",F66&lt;&gt;"Finished",N66&lt;&gt;"",N66&lt;=TODAY()),1,0)</f>
        <v/>
      </c>
      <c r="V66">
        <f>IF(AND(B66&lt;&gt;"",F66&lt;&gt;"Paused",F66&lt;&gt;"Finished"),1,0)</f>
        <v/>
      </c>
    </row>
    <row r="67">
      <c r="A67" s="1" t="n"/>
      <c r="B67" s="19" t="n"/>
      <c r="C67" s="21" t="n"/>
      <c r="D67" s="17" t="n"/>
      <c r="E67" s="21" t="n"/>
      <c r="F67" s="20" t="n"/>
      <c r="G67" s="13">
        <f>IF(B67="","",SUMIFS(Sessions!$L$6:$L$3005,Sessions!$D$6:$D$3005,B67))</f>
        <v/>
      </c>
      <c r="H67" s="13">
        <f>IF(B67="","",SUMIFS(Sessions!$L$6:$L$3005,Sessions!$D$6:$D$3005,B67,Sessions!$J$6:$J$3005,(YEAR(TODAY())*100+MONTH(TODAY()))))</f>
        <v/>
      </c>
      <c r="I67" s="13">
        <f>IF(B67="","",SUMIFS(Sessions!$M$6:$M$3005,Sessions!$D$6:$D$3005,B67))</f>
        <v/>
      </c>
      <c r="J67" s="13">
        <f>IF(B67="","",SUMIFS(Packages!$D$6:$D$505,Packages!$C$6:$C$505,B67,Packages!$M$6:$M$505,1))</f>
        <v/>
      </c>
      <c r="K67" s="13">
        <f>IF(B67="","",SUMIFS(Sessions!$K$6:$K$3005,Sessions!$D$6:$D$3005,B67))</f>
        <v/>
      </c>
      <c r="L67" s="22">
        <f>IF(OR(B67="",J67=0),"",J67-K67)</f>
        <v/>
      </c>
      <c r="M67" s="23">
        <f>IF(B67="","",IF(SUMPRODUCT(MAX((Sessions!$D$6:$D$3005=B67)*Sessions!$L$6:$L$3005*Sessions!$I$6:$I$3005))=0,"",SUMPRODUCT(MAX((Sessions!$D$6:$D$3005=B67)*Sessions!$L$6:$L$3005*Sessions!$I$6:$I$3005))))</f>
        <v/>
      </c>
      <c r="N67" s="23">
        <f>IF(OR(B67="",F67="Finished"),"",IF(S67&gt;0,S67+7*N(Settings!$C$8),IF(ISNUMBER(D67),INT(D67)+7*N(Settings!$C$8),"")))</f>
        <v/>
      </c>
      <c r="O67" s="16">
        <f>IF(B67="","",SUMIFS(Packages!$J$6:$J$505,Packages!$C$6:$C$505,B67,Packages!$M$6:$M$505,1))</f>
        <v/>
      </c>
      <c r="P67" s="24">
        <f>IF(B67="","",IF(COUNTIF(Clients!$B$6:$B$105,B67)&gt;1,"Listed twice",IF(O67&gt;0,"Owes money",IF(F67="Finished","",IF(F67="Paused","",IF(AND(J67&gt;0,L67&lt;=0),"No sessions left",IF(AND(J67&gt;0,L67&lt;=N(Settings!$C$7)),"Few sessions left",IF(AND(Q67&gt;0,L67&gt;0,Q67&lt;TODAY()),"Package expired",IF(AND(Q67&gt;0,L67&gt;0,Q67-TODAY()&lt;=14),"Package ends soon",IF(AND(N67&lt;&gt;"",N67&lt;=TODAY()),"Check-in due","")))))))))</f>
        <v/>
      </c>
      <c r="Q67" s="1">
        <f>IF(B67="",0,SUMPRODUCT(MAX((Packages!$C$6:$C$505=B67)*Packages!$N$6:$N$505)))</f>
        <v/>
      </c>
      <c r="R67">
        <f>IF(P67&lt;&gt;"",ROW(),"")</f>
        <v/>
      </c>
      <c r="S67">
        <f>IF(B67="",0,SUMPRODUCT(MAX(('Check-ins'!$C$6:$C$1505=B67)*'Check-ins'!$P$6:$P$1505)))</f>
        <v/>
      </c>
      <c r="T67">
        <f>IF(AND(B67&lt;&gt;"",F67&lt;&gt;"Paused",F67&lt;&gt;"Finished",J67&gt;0,L67&lt;=N(Settings!$C$7)),1,0)</f>
        <v/>
      </c>
      <c r="U67">
        <f>IF(AND(B67&lt;&gt;"",F67&lt;&gt;"Paused",F67&lt;&gt;"Finished",N67&lt;&gt;"",N67&lt;=TODAY()),1,0)</f>
        <v/>
      </c>
      <c r="V67">
        <f>IF(AND(B67&lt;&gt;"",F67&lt;&gt;"Paused",F67&lt;&gt;"Finished"),1,0)</f>
        <v/>
      </c>
    </row>
    <row r="68">
      <c r="A68" s="1" t="n"/>
      <c r="B68" s="19" t="n"/>
      <c r="C68" s="21" t="n"/>
      <c r="D68" s="17" t="n"/>
      <c r="E68" s="21" t="n"/>
      <c r="F68" s="20" t="n"/>
      <c r="G68" s="13">
        <f>IF(B68="","",SUMIFS(Sessions!$L$6:$L$3005,Sessions!$D$6:$D$3005,B68))</f>
        <v/>
      </c>
      <c r="H68" s="13">
        <f>IF(B68="","",SUMIFS(Sessions!$L$6:$L$3005,Sessions!$D$6:$D$3005,B68,Sessions!$J$6:$J$3005,(YEAR(TODAY())*100+MONTH(TODAY()))))</f>
        <v/>
      </c>
      <c r="I68" s="13">
        <f>IF(B68="","",SUMIFS(Sessions!$M$6:$M$3005,Sessions!$D$6:$D$3005,B68))</f>
        <v/>
      </c>
      <c r="J68" s="13">
        <f>IF(B68="","",SUMIFS(Packages!$D$6:$D$505,Packages!$C$6:$C$505,B68,Packages!$M$6:$M$505,1))</f>
        <v/>
      </c>
      <c r="K68" s="13">
        <f>IF(B68="","",SUMIFS(Sessions!$K$6:$K$3005,Sessions!$D$6:$D$3005,B68))</f>
        <v/>
      </c>
      <c r="L68" s="22">
        <f>IF(OR(B68="",J68=0),"",J68-K68)</f>
        <v/>
      </c>
      <c r="M68" s="23">
        <f>IF(B68="","",IF(SUMPRODUCT(MAX((Sessions!$D$6:$D$3005=B68)*Sessions!$L$6:$L$3005*Sessions!$I$6:$I$3005))=0,"",SUMPRODUCT(MAX((Sessions!$D$6:$D$3005=B68)*Sessions!$L$6:$L$3005*Sessions!$I$6:$I$3005))))</f>
        <v/>
      </c>
      <c r="N68" s="23">
        <f>IF(OR(B68="",F68="Finished"),"",IF(S68&gt;0,S68+7*N(Settings!$C$8),IF(ISNUMBER(D68),INT(D68)+7*N(Settings!$C$8),"")))</f>
        <v/>
      </c>
      <c r="O68" s="16">
        <f>IF(B68="","",SUMIFS(Packages!$J$6:$J$505,Packages!$C$6:$C$505,B68,Packages!$M$6:$M$505,1))</f>
        <v/>
      </c>
      <c r="P68" s="24">
        <f>IF(B68="","",IF(COUNTIF(Clients!$B$6:$B$105,B68)&gt;1,"Listed twice",IF(O68&gt;0,"Owes money",IF(F68="Finished","",IF(F68="Paused","",IF(AND(J68&gt;0,L68&lt;=0),"No sessions left",IF(AND(J68&gt;0,L68&lt;=N(Settings!$C$7)),"Few sessions left",IF(AND(Q68&gt;0,L68&gt;0,Q68&lt;TODAY()),"Package expired",IF(AND(Q68&gt;0,L68&gt;0,Q68-TODAY()&lt;=14),"Package ends soon",IF(AND(N68&lt;&gt;"",N68&lt;=TODAY()),"Check-in due","")))))))))</f>
        <v/>
      </c>
      <c r="Q68" s="1">
        <f>IF(B68="",0,SUMPRODUCT(MAX((Packages!$C$6:$C$505=B68)*Packages!$N$6:$N$505)))</f>
        <v/>
      </c>
      <c r="R68">
        <f>IF(P68&lt;&gt;"",ROW(),"")</f>
        <v/>
      </c>
      <c r="S68">
        <f>IF(B68="",0,SUMPRODUCT(MAX(('Check-ins'!$C$6:$C$1505=B68)*'Check-ins'!$P$6:$P$1505)))</f>
        <v/>
      </c>
      <c r="T68">
        <f>IF(AND(B68&lt;&gt;"",F68&lt;&gt;"Paused",F68&lt;&gt;"Finished",J68&gt;0,L68&lt;=N(Settings!$C$7)),1,0)</f>
        <v/>
      </c>
      <c r="U68">
        <f>IF(AND(B68&lt;&gt;"",F68&lt;&gt;"Paused",F68&lt;&gt;"Finished",N68&lt;&gt;"",N68&lt;=TODAY()),1,0)</f>
        <v/>
      </c>
      <c r="V68">
        <f>IF(AND(B68&lt;&gt;"",F68&lt;&gt;"Paused",F68&lt;&gt;"Finished"),1,0)</f>
        <v/>
      </c>
    </row>
    <row r="69">
      <c r="A69" s="1" t="n"/>
      <c r="B69" s="19" t="n"/>
      <c r="C69" s="21" t="n"/>
      <c r="D69" s="17" t="n"/>
      <c r="E69" s="21" t="n"/>
      <c r="F69" s="20" t="n"/>
      <c r="G69" s="13">
        <f>IF(B69="","",SUMIFS(Sessions!$L$6:$L$3005,Sessions!$D$6:$D$3005,B69))</f>
        <v/>
      </c>
      <c r="H69" s="13">
        <f>IF(B69="","",SUMIFS(Sessions!$L$6:$L$3005,Sessions!$D$6:$D$3005,B69,Sessions!$J$6:$J$3005,(YEAR(TODAY())*100+MONTH(TODAY()))))</f>
        <v/>
      </c>
      <c r="I69" s="13">
        <f>IF(B69="","",SUMIFS(Sessions!$M$6:$M$3005,Sessions!$D$6:$D$3005,B69))</f>
        <v/>
      </c>
      <c r="J69" s="13">
        <f>IF(B69="","",SUMIFS(Packages!$D$6:$D$505,Packages!$C$6:$C$505,B69,Packages!$M$6:$M$505,1))</f>
        <v/>
      </c>
      <c r="K69" s="13">
        <f>IF(B69="","",SUMIFS(Sessions!$K$6:$K$3005,Sessions!$D$6:$D$3005,B69))</f>
        <v/>
      </c>
      <c r="L69" s="22">
        <f>IF(OR(B69="",J69=0),"",J69-K69)</f>
        <v/>
      </c>
      <c r="M69" s="23">
        <f>IF(B69="","",IF(SUMPRODUCT(MAX((Sessions!$D$6:$D$3005=B69)*Sessions!$L$6:$L$3005*Sessions!$I$6:$I$3005))=0,"",SUMPRODUCT(MAX((Sessions!$D$6:$D$3005=B69)*Sessions!$L$6:$L$3005*Sessions!$I$6:$I$3005))))</f>
        <v/>
      </c>
      <c r="N69" s="23">
        <f>IF(OR(B69="",F69="Finished"),"",IF(S69&gt;0,S69+7*N(Settings!$C$8),IF(ISNUMBER(D69),INT(D69)+7*N(Settings!$C$8),"")))</f>
        <v/>
      </c>
      <c r="O69" s="16">
        <f>IF(B69="","",SUMIFS(Packages!$J$6:$J$505,Packages!$C$6:$C$505,B69,Packages!$M$6:$M$505,1))</f>
        <v/>
      </c>
      <c r="P69" s="24">
        <f>IF(B69="","",IF(COUNTIF(Clients!$B$6:$B$105,B69)&gt;1,"Listed twice",IF(O69&gt;0,"Owes money",IF(F69="Finished","",IF(F69="Paused","",IF(AND(J69&gt;0,L69&lt;=0),"No sessions left",IF(AND(J69&gt;0,L69&lt;=N(Settings!$C$7)),"Few sessions left",IF(AND(Q69&gt;0,L69&gt;0,Q69&lt;TODAY()),"Package expired",IF(AND(Q69&gt;0,L69&gt;0,Q69-TODAY()&lt;=14),"Package ends soon",IF(AND(N69&lt;&gt;"",N69&lt;=TODAY()),"Check-in due","")))))))))</f>
        <v/>
      </c>
      <c r="Q69" s="1">
        <f>IF(B69="",0,SUMPRODUCT(MAX((Packages!$C$6:$C$505=B69)*Packages!$N$6:$N$505)))</f>
        <v/>
      </c>
      <c r="R69">
        <f>IF(P69&lt;&gt;"",ROW(),"")</f>
        <v/>
      </c>
      <c r="S69">
        <f>IF(B69="",0,SUMPRODUCT(MAX(('Check-ins'!$C$6:$C$1505=B69)*'Check-ins'!$P$6:$P$1505)))</f>
        <v/>
      </c>
      <c r="T69">
        <f>IF(AND(B69&lt;&gt;"",F69&lt;&gt;"Paused",F69&lt;&gt;"Finished",J69&gt;0,L69&lt;=N(Settings!$C$7)),1,0)</f>
        <v/>
      </c>
      <c r="U69">
        <f>IF(AND(B69&lt;&gt;"",F69&lt;&gt;"Paused",F69&lt;&gt;"Finished",N69&lt;&gt;"",N69&lt;=TODAY()),1,0)</f>
        <v/>
      </c>
      <c r="V69">
        <f>IF(AND(B69&lt;&gt;"",F69&lt;&gt;"Paused",F69&lt;&gt;"Finished"),1,0)</f>
        <v/>
      </c>
    </row>
    <row r="70">
      <c r="A70" s="1" t="n"/>
      <c r="B70" s="19" t="n"/>
      <c r="C70" s="21" t="n"/>
      <c r="D70" s="17" t="n"/>
      <c r="E70" s="21" t="n"/>
      <c r="F70" s="20" t="n"/>
      <c r="G70" s="13">
        <f>IF(B70="","",SUMIFS(Sessions!$L$6:$L$3005,Sessions!$D$6:$D$3005,B70))</f>
        <v/>
      </c>
      <c r="H70" s="13">
        <f>IF(B70="","",SUMIFS(Sessions!$L$6:$L$3005,Sessions!$D$6:$D$3005,B70,Sessions!$J$6:$J$3005,(YEAR(TODAY())*100+MONTH(TODAY()))))</f>
        <v/>
      </c>
      <c r="I70" s="13">
        <f>IF(B70="","",SUMIFS(Sessions!$M$6:$M$3005,Sessions!$D$6:$D$3005,B70))</f>
        <v/>
      </c>
      <c r="J70" s="13">
        <f>IF(B70="","",SUMIFS(Packages!$D$6:$D$505,Packages!$C$6:$C$505,B70,Packages!$M$6:$M$505,1))</f>
        <v/>
      </c>
      <c r="K70" s="13">
        <f>IF(B70="","",SUMIFS(Sessions!$K$6:$K$3005,Sessions!$D$6:$D$3005,B70))</f>
        <v/>
      </c>
      <c r="L70" s="22">
        <f>IF(OR(B70="",J70=0),"",J70-K70)</f>
        <v/>
      </c>
      <c r="M70" s="23">
        <f>IF(B70="","",IF(SUMPRODUCT(MAX((Sessions!$D$6:$D$3005=B70)*Sessions!$L$6:$L$3005*Sessions!$I$6:$I$3005))=0,"",SUMPRODUCT(MAX((Sessions!$D$6:$D$3005=B70)*Sessions!$L$6:$L$3005*Sessions!$I$6:$I$3005))))</f>
        <v/>
      </c>
      <c r="N70" s="23">
        <f>IF(OR(B70="",F70="Finished"),"",IF(S70&gt;0,S70+7*N(Settings!$C$8),IF(ISNUMBER(D70),INT(D70)+7*N(Settings!$C$8),"")))</f>
        <v/>
      </c>
      <c r="O70" s="16">
        <f>IF(B70="","",SUMIFS(Packages!$J$6:$J$505,Packages!$C$6:$C$505,B70,Packages!$M$6:$M$505,1))</f>
        <v/>
      </c>
      <c r="P70" s="24">
        <f>IF(B70="","",IF(COUNTIF(Clients!$B$6:$B$105,B70)&gt;1,"Listed twice",IF(O70&gt;0,"Owes money",IF(F70="Finished","",IF(F70="Paused","",IF(AND(J70&gt;0,L70&lt;=0),"No sessions left",IF(AND(J70&gt;0,L70&lt;=N(Settings!$C$7)),"Few sessions left",IF(AND(Q70&gt;0,L70&gt;0,Q70&lt;TODAY()),"Package expired",IF(AND(Q70&gt;0,L70&gt;0,Q70-TODAY()&lt;=14),"Package ends soon",IF(AND(N70&lt;&gt;"",N70&lt;=TODAY()),"Check-in due","")))))))))</f>
        <v/>
      </c>
      <c r="Q70" s="1">
        <f>IF(B70="",0,SUMPRODUCT(MAX((Packages!$C$6:$C$505=B70)*Packages!$N$6:$N$505)))</f>
        <v/>
      </c>
      <c r="R70">
        <f>IF(P70&lt;&gt;"",ROW(),"")</f>
        <v/>
      </c>
      <c r="S70">
        <f>IF(B70="",0,SUMPRODUCT(MAX(('Check-ins'!$C$6:$C$1505=B70)*'Check-ins'!$P$6:$P$1505)))</f>
        <v/>
      </c>
      <c r="T70">
        <f>IF(AND(B70&lt;&gt;"",F70&lt;&gt;"Paused",F70&lt;&gt;"Finished",J70&gt;0,L70&lt;=N(Settings!$C$7)),1,0)</f>
        <v/>
      </c>
      <c r="U70">
        <f>IF(AND(B70&lt;&gt;"",F70&lt;&gt;"Paused",F70&lt;&gt;"Finished",N70&lt;&gt;"",N70&lt;=TODAY()),1,0)</f>
        <v/>
      </c>
      <c r="V70">
        <f>IF(AND(B70&lt;&gt;"",F70&lt;&gt;"Paused",F70&lt;&gt;"Finished"),1,0)</f>
        <v/>
      </c>
    </row>
    <row r="71">
      <c r="A71" s="1" t="n"/>
      <c r="B71" s="19" t="n"/>
      <c r="C71" s="21" t="n"/>
      <c r="D71" s="17" t="n"/>
      <c r="E71" s="21" t="n"/>
      <c r="F71" s="20" t="n"/>
      <c r="G71" s="13">
        <f>IF(B71="","",SUMIFS(Sessions!$L$6:$L$3005,Sessions!$D$6:$D$3005,B71))</f>
        <v/>
      </c>
      <c r="H71" s="13">
        <f>IF(B71="","",SUMIFS(Sessions!$L$6:$L$3005,Sessions!$D$6:$D$3005,B71,Sessions!$J$6:$J$3005,(YEAR(TODAY())*100+MONTH(TODAY()))))</f>
        <v/>
      </c>
      <c r="I71" s="13">
        <f>IF(B71="","",SUMIFS(Sessions!$M$6:$M$3005,Sessions!$D$6:$D$3005,B71))</f>
        <v/>
      </c>
      <c r="J71" s="13">
        <f>IF(B71="","",SUMIFS(Packages!$D$6:$D$505,Packages!$C$6:$C$505,B71,Packages!$M$6:$M$505,1))</f>
        <v/>
      </c>
      <c r="K71" s="13">
        <f>IF(B71="","",SUMIFS(Sessions!$K$6:$K$3005,Sessions!$D$6:$D$3005,B71))</f>
        <v/>
      </c>
      <c r="L71" s="22">
        <f>IF(OR(B71="",J71=0),"",J71-K71)</f>
        <v/>
      </c>
      <c r="M71" s="23">
        <f>IF(B71="","",IF(SUMPRODUCT(MAX((Sessions!$D$6:$D$3005=B71)*Sessions!$L$6:$L$3005*Sessions!$I$6:$I$3005))=0,"",SUMPRODUCT(MAX((Sessions!$D$6:$D$3005=B71)*Sessions!$L$6:$L$3005*Sessions!$I$6:$I$3005))))</f>
        <v/>
      </c>
      <c r="N71" s="23">
        <f>IF(OR(B71="",F71="Finished"),"",IF(S71&gt;0,S71+7*N(Settings!$C$8),IF(ISNUMBER(D71),INT(D71)+7*N(Settings!$C$8),"")))</f>
        <v/>
      </c>
      <c r="O71" s="16">
        <f>IF(B71="","",SUMIFS(Packages!$J$6:$J$505,Packages!$C$6:$C$505,B71,Packages!$M$6:$M$505,1))</f>
        <v/>
      </c>
      <c r="P71" s="24">
        <f>IF(B71="","",IF(COUNTIF(Clients!$B$6:$B$105,B71)&gt;1,"Listed twice",IF(O71&gt;0,"Owes money",IF(F71="Finished","",IF(F71="Paused","",IF(AND(J71&gt;0,L71&lt;=0),"No sessions left",IF(AND(J71&gt;0,L71&lt;=N(Settings!$C$7)),"Few sessions left",IF(AND(Q71&gt;0,L71&gt;0,Q71&lt;TODAY()),"Package expired",IF(AND(Q71&gt;0,L71&gt;0,Q71-TODAY()&lt;=14),"Package ends soon",IF(AND(N71&lt;&gt;"",N71&lt;=TODAY()),"Check-in due","")))))))))</f>
        <v/>
      </c>
      <c r="Q71" s="1">
        <f>IF(B71="",0,SUMPRODUCT(MAX((Packages!$C$6:$C$505=B71)*Packages!$N$6:$N$505)))</f>
        <v/>
      </c>
      <c r="R71">
        <f>IF(P71&lt;&gt;"",ROW(),"")</f>
        <v/>
      </c>
      <c r="S71">
        <f>IF(B71="",0,SUMPRODUCT(MAX(('Check-ins'!$C$6:$C$1505=B71)*'Check-ins'!$P$6:$P$1505)))</f>
        <v/>
      </c>
      <c r="T71">
        <f>IF(AND(B71&lt;&gt;"",F71&lt;&gt;"Paused",F71&lt;&gt;"Finished",J71&gt;0,L71&lt;=N(Settings!$C$7)),1,0)</f>
        <v/>
      </c>
      <c r="U71">
        <f>IF(AND(B71&lt;&gt;"",F71&lt;&gt;"Paused",F71&lt;&gt;"Finished",N71&lt;&gt;"",N71&lt;=TODAY()),1,0)</f>
        <v/>
      </c>
      <c r="V71">
        <f>IF(AND(B71&lt;&gt;"",F71&lt;&gt;"Paused",F71&lt;&gt;"Finished"),1,0)</f>
        <v/>
      </c>
    </row>
    <row r="72">
      <c r="A72" s="1" t="n"/>
      <c r="B72" s="19" t="n"/>
      <c r="C72" s="21" t="n"/>
      <c r="D72" s="17" t="n"/>
      <c r="E72" s="21" t="n"/>
      <c r="F72" s="20" t="n"/>
      <c r="G72" s="13">
        <f>IF(B72="","",SUMIFS(Sessions!$L$6:$L$3005,Sessions!$D$6:$D$3005,B72))</f>
        <v/>
      </c>
      <c r="H72" s="13">
        <f>IF(B72="","",SUMIFS(Sessions!$L$6:$L$3005,Sessions!$D$6:$D$3005,B72,Sessions!$J$6:$J$3005,(YEAR(TODAY())*100+MONTH(TODAY()))))</f>
        <v/>
      </c>
      <c r="I72" s="13">
        <f>IF(B72="","",SUMIFS(Sessions!$M$6:$M$3005,Sessions!$D$6:$D$3005,B72))</f>
        <v/>
      </c>
      <c r="J72" s="13">
        <f>IF(B72="","",SUMIFS(Packages!$D$6:$D$505,Packages!$C$6:$C$505,B72,Packages!$M$6:$M$505,1))</f>
        <v/>
      </c>
      <c r="K72" s="13">
        <f>IF(B72="","",SUMIFS(Sessions!$K$6:$K$3005,Sessions!$D$6:$D$3005,B72))</f>
        <v/>
      </c>
      <c r="L72" s="22">
        <f>IF(OR(B72="",J72=0),"",J72-K72)</f>
        <v/>
      </c>
      <c r="M72" s="23">
        <f>IF(B72="","",IF(SUMPRODUCT(MAX((Sessions!$D$6:$D$3005=B72)*Sessions!$L$6:$L$3005*Sessions!$I$6:$I$3005))=0,"",SUMPRODUCT(MAX((Sessions!$D$6:$D$3005=B72)*Sessions!$L$6:$L$3005*Sessions!$I$6:$I$3005))))</f>
        <v/>
      </c>
      <c r="N72" s="23">
        <f>IF(OR(B72="",F72="Finished"),"",IF(S72&gt;0,S72+7*N(Settings!$C$8),IF(ISNUMBER(D72),INT(D72)+7*N(Settings!$C$8),"")))</f>
        <v/>
      </c>
      <c r="O72" s="16">
        <f>IF(B72="","",SUMIFS(Packages!$J$6:$J$505,Packages!$C$6:$C$505,B72,Packages!$M$6:$M$505,1))</f>
        <v/>
      </c>
      <c r="P72" s="24">
        <f>IF(B72="","",IF(COUNTIF(Clients!$B$6:$B$105,B72)&gt;1,"Listed twice",IF(O72&gt;0,"Owes money",IF(F72="Finished","",IF(F72="Paused","",IF(AND(J72&gt;0,L72&lt;=0),"No sessions left",IF(AND(J72&gt;0,L72&lt;=N(Settings!$C$7)),"Few sessions left",IF(AND(Q72&gt;0,L72&gt;0,Q72&lt;TODAY()),"Package expired",IF(AND(Q72&gt;0,L72&gt;0,Q72-TODAY()&lt;=14),"Package ends soon",IF(AND(N72&lt;&gt;"",N72&lt;=TODAY()),"Check-in due","")))))))))</f>
        <v/>
      </c>
      <c r="Q72" s="1">
        <f>IF(B72="",0,SUMPRODUCT(MAX((Packages!$C$6:$C$505=B72)*Packages!$N$6:$N$505)))</f>
        <v/>
      </c>
      <c r="R72">
        <f>IF(P72&lt;&gt;"",ROW(),"")</f>
        <v/>
      </c>
      <c r="S72">
        <f>IF(B72="",0,SUMPRODUCT(MAX(('Check-ins'!$C$6:$C$1505=B72)*'Check-ins'!$P$6:$P$1505)))</f>
        <v/>
      </c>
      <c r="T72">
        <f>IF(AND(B72&lt;&gt;"",F72&lt;&gt;"Paused",F72&lt;&gt;"Finished",J72&gt;0,L72&lt;=N(Settings!$C$7)),1,0)</f>
        <v/>
      </c>
      <c r="U72">
        <f>IF(AND(B72&lt;&gt;"",F72&lt;&gt;"Paused",F72&lt;&gt;"Finished",N72&lt;&gt;"",N72&lt;=TODAY()),1,0)</f>
        <v/>
      </c>
      <c r="V72">
        <f>IF(AND(B72&lt;&gt;"",F72&lt;&gt;"Paused",F72&lt;&gt;"Finished"),1,0)</f>
        <v/>
      </c>
    </row>
    <row r="73">
      <c r="A73" s="1" t="n"/>
      <c r="B73" s="19" t="n"/>
      <c r="C73" s="21" t="n"/>
      <c r="D73" s="17" t="n"/>
      <c r="E73" s="21" t="n"/>
      <c r="F73" s="20" t="n"/>
      <c r="G73" s="13">
        <f>IF(B73="","",SUMIFS(Sessions!$L$6:$L$3005,Sessions!$D$6:$D$3005,B73))</f>
        <v/>
      </c>
      <c r="H73" s="13">
        <f>IF(B73="","",SUMIFS(Sessions!$L$6:$L$3005,Sessions!$D$6:$D$3005,B73,Sessions!$J$6:$J$3005,(YEAR(TODAY())*100+MONTH(TODAY()))))</f>
        <v/>
      </c>
      <c r="I73" s="13">
        <f>IF(B73="","",SUMIFS(Sessions!$M$6:$M$3005,Sessions!$D$6:$D$3005,B73))</f>
        <v/>
      </c>
      <c r="J73" s="13">
        <f>IF(B73="","",SUMIFS(Packages!$D$6:$D$505,Packages!$C$6:$C$505,B73,Packages!$M$6:$M$505,1))</f>
        <v/>
      </c>
      <c r="K73" s="13">
        <f>IF(B73="","",SUMIFS(Sessions!$K$6:$K$3005,Sessions!$D$6:$D$3005,B73))</f>
        <v/>
      </c>
      <c r="L73" s="22">
        <f>IF(OR(B73="",J73=0),"",J73-K73)</f>
        <v/>
      </c>
      <c r="M73" s="23">
        <f>IF(B73="","",IF(SUMPRODUCT(MAX((Sessions!$D$6:$D$3005=B73)*Sessions!$L$6:$L$3005*Sessions!$I$6:$I$3005))=0,"",SUMPRODUCT(MAX((Sessions!$D$6:$D$3005=B73)*Sessions!$L$6:$L$3005*Sessions!$I$6:$I$3005))))</f>
        <v/>
      </c>
      <c r="N73" s="23">
        <f>IF(OR(B73="",F73="Finished"),"",IF(S73&gt;0,S73+7*N(Settings!$C$8),IF(ISNUMBER(D73),INT(D73)+7*N(Settings!$C$8),"")))</f>
        <v/>
      </c>
      <c r="O73" s="16">
        <f>IF(B73="","",SUMIFS(Packages!$J$6:$J$505,Packages!$C$6:$C$505,B73,Packages!$M$6:$M$505,1))</f>
        <v/>
      </c>
      <c r="P73" s="24">
        <f>IF(B73="","",IF(COUNTIF(Clients!$B$6:$B$105,B73)&gt;1,"Listed twice",IF(O73&gt;0,"Owes money",IF(F73="Finished","",IF(F73="Paused","",IF(AND(J73&gt;0,L73&lt;=0),"No sessions left",IF(AND(J73&gt;0,L73&lt;=N(Settings!$C$7)),"Few sessions left",IF(AND(Q73&gt;0,L73&gt;0,Q73&lt;TODAY()),"Package expired",IF(AND(Q73&gt;0,L73&gt;0,Q73-TODAY()&lt;=14),"Package ends soon",IF(AND(N73&lt;&gt;"",N73&lt;=TODAY()),"Check-in due","")))))))))</f>
        <v/>
      </c>
      <c r="Q73" s="1">
        <f>IF(B73="",0,SUMPRODUCT(MAX((Packages!$C$6:$C$505=B73)*Packages!$N$6:$N$505)))</f>
        <v/>
      </c>
      <c r="R73">
        <f>IF(P73&lt;&gt;"",ROW(),"")</f>
        <v/>
      </c>
      <c r="S73">
        <f>IF(B73="",0,SUMPRODUCT(MAX(('Check-ins'!$C$6:$C$1505=B73)*'Check-ins'!$P$6:$P$1505)))</f>
        <v/>
      </c>
      <c r="T73">
        <f>IF(AND(B73&lt;&gt;"",F73&lt;&gt;"Paused",F73&lt;&gt;"Finished",J73&gt;0,L73&lt;=N(Settings!$C$7)),1,0)</f>
        <v/>
      </c>
      <c r="U73">
        <f>IF(AND(B73&lt;&gt;"",F73&lt;&gt;"Paused",F73&lt;&gt;"Finished",N73&lt;&gt;"",N73&lt;=TODAY()),1,0)</f>
        <v/>
      </c>
      <c r="V73">
        <f>IF(AND(B73&lt;&gt;"",F73&lt;&gt;"Paused",F73&lt;&gt;"Finished"),1,0)</f>
        <v/>
      </c>
    </row>
    <row r="74">
      <c r="A74" s="1" t="n"/>
      <c r="B74" s="19" t="n"/>
      <c r="C74" s="21" t="n"/>
      <c r="D74" s="17" t="n"/>
      <c r="E74" s="21" t="n"/>
      <c r="F74" s="20" t="n"/>
      <c r="G74" s="13">
        <f>IF(B74="","",SUMIFS(Sessions!$L$6:$L$3005,Sessions!$D$6:$D$3005,B74))</f>
        <v/>
      </c>
      <c r="H74" s="13">
        <f>IF(B74="","",SUMIFS(Sessions!$L$6:$L$3005,Sessions!$D$6:$D$3005,B74,Sessions!$J$6:$J$3005,(YEAR(TODAY())*100+MONTH(TODAY()))))</f>
        <v/>
      </c>
      <c r="I74" s="13">
        <f>IF(B74="","",SUMIFS(Sessions!$M$6:$M$3005,Sessions!$D$6:$D$3005,B74))</f>
        <v/>
      </c>
      <c r="J74" s="13">
        <f>IF(B74="","",SUMIFS(Packages!$D$6:$D$505,Packages!$C$6:$C$505,B74,Packages!$M$6:$M$505,1))</f>
        <v/>
      </c>
      <c r="K74" s="13">
        <f>IF(B74="","",SUMIFS(Sessions!$K$6:$K$3005,Sessions!$D$6:$D$3005,B74))</f>
        <v/>
      </c>
      <c r="L74" s="22">
        <f>IF(OR(B74="",J74=0),"",J74-K74)</f>
        <v/>
      </c>
      <c r="M74" s="23">
        <f>IF(B74="","",IF(SUMPRODUCT(MAX((Sessions!$D$6:$D$3005=B74)*Sessions!$L$6:$L$3005*Sessions!$I$6:$I$3005))=0,"",SUMPRODUCT(MAX((Sessions!$D$6:$D$3005=B74)*Sessions!$L$6:$L$3005*Sessions!$I$6:$I$3005))))</f>
        <v/>
      </c>
      <c r="N74" s="23">
        <f>IF(OR(B74="",F74="Finished"),"",IF(S74&gt;0,S74+7*N(Settings!$C$8),IF(ISNUMBER(D74),INT(D74)+7*N(Settings!$C$8),"")))</f>
        <v/>
      </c>
      <c r="O74" s="16">
        <f>IF(B74="","",SUMIFS(Packages!$J$6:$J$505,Packages!$C$6:$C$505,B74,Packages!$M$6:$M$505,1))</f>
        <v/>
      </c>
      <c r="P74" s="24">
        <f>IF(B74="","",IF(COUNTIF(Clients!$B$6:$B$105,B74)&gt;1,"Listed twice",IF(O74&gt;0,"Owes money",IF(F74="Finished","",IF(F74="Paused","",IF(AND(J74&gt;0,L74&lt;=0),"No sessions left",IF(AND(J74&gt;0,L74&lt;=N(Settings!$C$7)),"Few sessions left",IF(AND(Q74&gt;0,L74&gt;0,Q74&lt;TODAY()),"Package expired",IF(AND(Q74&gt;0,L74&gt;0,Q74-TODAY()&lt;=14),"Package ends soon",IF(AND(N74&lt;&gt;"",N74&lt;=TODAY()),"Check-in due","")))))))))</f>
        <v/>
      </c>
      <c r="Q74" s="1">
        <f>IF(B74="",0,SUMPRODUCT(MAX((Packages!$C$6:$C$505=B74)*Packages!$N$6:$N$505)))</f>
        <v/>
      </c>
      <c r="R74">
        <f>IF(P74&lt;&gt;"",ROW(),"")</f>
        <v/>
      </c>
      <c r="S74">
        <f>IF(B74="",0,SUMPRODUCT(MAX(('Check-ins'!$C$6:$C$1505=B74)*'Check-ins'!$P$6:$P$1505)))</f>
        <v/>
      </c>
      <c r="T74">
        <f>IF(AND(B74&lt;&gt;"",F74&lt;&gt;"Paused",F74&lt;&gt;"Finished",J74&gt;0,L74&lt;=N(Settings!$C$7)),1,0)</f>
        <v/>
      </c>
      <c r="U74">
        <f>IF(AND(B74&lt;&gt;"",F74&lt;&gt;"Paused",F74&lt;&gt;"Finished",N74&lt;&gt;"",N74&lt;=TODAY()),1,0)</f>
        <v/>
      </c>
      <c r="V74">
        <f>IF(AND(B74&lt;&gt;"",F74&lt;&gt;"Paused",F74&lt;&gt;"Finished"),1,0)</f>
        <v/>
      </c>
    </row>
    <row r="75">
      <c r="A75" s="1" t="n"/>
      <c r="B75" s="19" t="n"/>
      <c r="C75" s="21" t="n"/>
      <c r="D75" s="17" t="n"/>
      <c r="E75" s="21" t="n"/>
      <c r="F75" s="20" t="n"/>
      <c r="G75" s="13">
        <f>IF(B75="","",SUMIFS(Sessions!$L$6:$L$3005,Sessions!$D$6:$D$3005,B75))</f>
        <v/>
      </c>
      <c r="H75" s="13">
        <f>IF(B75="","",SUMIFS(Sessions!$L$6:$L$3005,Sessions!$D$6:$D$3005,B75,Sessions!$J$6:$J$3005,(YEAR(TODAY())*100+MONTH(TODAY()))))</f>
        <v/>
      </c>
      <c r="I75" s="13">
        <f>IF(B75="","",SUMIFS(Sessions!$M$6:$M$3005,Sessions!$D$6:$D$3005,B75))</f>
        <v/>
      </c>
      <c r="J75" s="13">
        <f>IF(B75="","",SUMIFS(Packages!$D$6:$D$505,Packages!$C$6:$C$505,B75,Packages!$M$6:$M$505,1))</f>
        <v/>
      </c>
      <c r="K75" s="13">
        <f>IF(B75="","",SUMIFS(Sessions!$K$6:$K$3005,Sessions!$D$6:$D$3005,B75))</f>
        <v/>
      </c>
      <c r="L75" s="22">
        <f>IF(OR(B75="",J75=0),"",J75-K75)</f>
        <v/>
      </c>
      <c r="M75" s="23">
        <f>IF(B75="","",IF(SUMPRODUCT(MAX((Sessions!$D$6:$D$3005=B75)*Sessions!$L$6:$L$3005*Sessions!$I$6:$I$3005))=0,"",SUMPRODUCT(MAX((Sessions!$D$6:$D$3005=B75)*Sessions!$L$6:$L$3005*Sessions!$I$6:$I$3005))))</f>
        <v/>
      </c>
      <c r="N75" s="23">
        <f>IF(OR(B75="",F75="Finished"),"",IF(S75&gt;0,S75+7*N(Settings!$C$8),IF(ISNUMBER(D75),INT(D75)+7*N(Settings!$C$8),"")))</f>
        <v/>
      </c>
      <c r="O75" s="16">
        <f>IF(B75="","",SUMIFS(Packages!$J$6:$J$505,Packages!$C$6:$C$505,B75,Packages!$M$6:$M$505,1))</f>
        <v/>
      </c>
      <c r="P75" s="24">
        <f>IF(B75="","",IF(COUNTIF(Clients!$B$6:$B$105,B75)&gt;1,"Listed twice",IF(O75&gt;0,"Owes money",IF(F75="Finished","",IF(F75="Paused","",IF(AND(J75&gt;0,L75&lt;=0),"No sessions left",IF(AND(J75&gt;0,L75&lt;=N(Settings!$C$7)),"Few sessions left",IF(AND(Q75&gt;0,L75&gt;0,Q75&lt;TODAY()),"Package expired",IF(AND(Q75&gt;0,L75&gt;0,Q75-TODAY()&lt;=14),"Package ends soon",IF(AND(N75&lt;&gt;"",N75&lt;=TODAY()),"Check-in due","")))))))))</f>
        <v/>
      </c>
      <c r="Q75" s="1">
        <f>IF(B75="",0,SUMPRODUCT(MAX((Packages!$C$6:$C$505=B75)*Packages!$N$6:$N$505)))</f>
        <v/>
      </c>
      <c r="R75">
        <f>IF(P75&lt;&gt;"",ROW(),"")</f>
        <v/>
      </c>
      <c r="S75">
        <f>IF(B75="",0,SUMPRODUCT(MAX(('Check-ins'!$C$6:$C$1505=B75)*'Check-ins'!$P$6:$P$1505)))</f>
        <v/>
      </c>
      <c r="T75">
        <f>IF(AND(B75&lt;&gt;"",F75&lt;&gt;"Paused",F75&lt;&gt;"Finished",J75&gt;0,L75&lt;=N(Settings!$C$7)),1,0)</f>
        <v/>
      </c>
      <c r="U75">
        <f>IF(AND(B75&lt;&gt;"",F75&lt;&gt;"Paused",F75&lt;&gt;"Finished",N75&lt;&gt;"",N75&lt;=TODAY()),1,0)</f>
        <v/>
      </c>
      <c r="V75">
        <f>IF(AND(B75&lt;&gt;"",F75&lt;&gt;"Paused",F75&lt;&gt;"Finished"),1,0)</f>
        <v/>
      </c>
    </row>
    <row r="76">
      <c r="A76" s="1" t="n"/>
      <c r="B76" s="19" t="n"/>
      <c r="C76" s="21" t="n"/>
      <c r="D76" s="17" t="n"/>
      <c r="E76" s="21" t="n"/>
      <c r="F76" s="20" t="n"/>
      <c r="G76" s="13">
        <f>IF(B76="","",SUMIFS(Sessions!$L$6:$L$3005,Sessions!$D$6:$D$3005,B76))</f>
        <v/>
      </c>
      <c r="H76" s="13">
        <f>IF(B76="","",SUMIFS(Sessions!$L$6:$L$3005,Sessions!$D$6:$D$3005,B76,Sessions!$J$6:$J$3005,(YEAR(TODAY())*100+MONTH(TODAY()))))</f>
        <v/>
      </c>
      <c r="I76" s="13">
        <f>IF(B76="","",SUMIFS(Sessions!$M$6:$M$3005,Sessions!$D$6:$D$3005,B76))</f>
        <v/>
      </c>
      <c r="J76" s="13">
        <f>IF(B76="","",SUMIFS(Packages!$D$6:$D$505,Packages!$C$6:$C$505,B76,Packages!$M$6:$M$505,1))</f>
        <v/>
      </c>
      <c r="K76" s="13">
        <f>IF(B76="","",SUMIFS(Sessions!$K$6:$K$3005,Sessions!$D$6:$D$3005,B76))</f>
        <v/>
      </c>
      <c r="L76" s="22">
        <f>IF(OR(B76="",J76=0),"",J76-K76)</f>
        <v/>
      </c>
      <c r="M76" s="23">
        <f>IF(B76="","",IF(SUMPRODUCT(MAX((Sessions!$D$6:$D$3005=B76)*Sessions!$L$6:$L$3005*Sessions!$I$6:$I$3005))=0,"",SUMPRODUCT(MAX((Sessions!$D$6:$D$3005=B76)*Sessions!$L$6:$L$3005*Sessions!$I$6:$I$3005))))</f>
        <v/>
      </c>
      <c r="N76" s="23">
        <f>IF(OR(B76="",F76="Finished"),"",IF(S76&gt;0,S76+7*N(Settings!$C$8),IF(ISNUMBER(D76),INT(D76)+7*N(Settings!$C$8),"")))</f>
        <v/>
      </c>
      <c r="O76" s="16">
        <f>IF(B76="","",SUMIFS(Packages!$J$6:$J$505,Packages!$C$6:$C$505,B76,Packages!$M$6:$M$505,1))</f>
        <v/>
      </c>
      <c r="P76" s="24">
        <f>IF(B76="","",IF(COUNTIF(Clients!$B$6:$B$105,B76)&gt;1,"Listed twice",IF(O76&gt;0,"Owes money",IF(F76="Finished","",IF(F76="Paused","",IF(AND(J76&gt;0,L76&lt;=0),"No sessions left",IF(AND(J76&gt;0,L76&lt;=N(Settings!$C$7)),"Few sessions left",IF(AND(Q76&gt;0,L76&gt;0,Q76&lt;TODAY()),"Package expired",IF(AND(Q76&gt;0,L76&gt;0,Q76-TODAY()&lt;=14),"Package ends soon",IF(AND(N76&lt;&gt;"",N76&lt;=TODAY()),"Check-in due","")))))))))</f>
        <v/>
      </c>
      <c r="Q76" s="1">
        <f>IF(B76="",0,SUMPRODUCT(MAX((Packages!$C$6:$C$505=B76)*Packages!$N$6:$N$505)))</f>
        <v/>
      </c>
      <c r="R76">
        <f>IF(P76&lt;&gt;"",ROW(),"")</f>
        <v/>
      </c>
      <c r="S76">
        <f>IF(B76="",0,SUMPRODUCT(MAX(('Check-ins'!$C$6:$C$1505=B76)*'Check-ins'!$P$6:$P$1505)))</f>
        <v/>
      </c>
      <c r="T76">
        <f>IF(AND(B76&lt;&gt;"",F76&lt;&gt;"Paused",F76&lt;&gt;"Finished",J76&gt;0,L76&lt;=N(Settings!$C$7)),1,0)</f>
        <v/>
      </c>
      <c r="U76">
        <f>IF(AND(B76&lt;&gt;"",F76&lt;&gt;"Paused",F76&lt;&gt;"Finished",N76&lt;&gt;"",N76&lt;=TODAY()),1,0)</f>
        <v/>
      </c>
      <c r="V76">
        <f>IF(AND(B76&lt;&gt;"",F76&lt;&gt;"Paused",F76&lt;&gt;"Finished"),1,0)</f>
        <v/>
      </c>
    </row>
    <row r="77">
      <c r="A77" s="1" t="n"/>
      <c r="B77" s="19" t="n"/>
      <c r="C77" s="21" t="n"/>
      <c r="D77" s="17" t="n"/>
      <c r="E77" s="21" t="n"/>
      <c r="F77" s="20" t="n"/>
      <c r="G77" s="13">
        <f>IF(B77="","",SUMIFS(Sessions!$L$6:$L$3005,Sessions!$D$6:$D$3005,B77))</f>
        <v/>
      </c>
      <c r="H77" s="13">
        <f>IF(B77="","",SUMIFS(Sessions!$L$6:$L$3005,Sessions!$D$6:$D$3005,B77,Sessions!$J$6:$J$3005,(YEAR(TODAY())*100+MONTH(TODAY()))))</f>
        <v/>
      </c>
      <c r="I77" s="13">
        <f>IF(B77="","",SUMIFS(Sessions!$M$6:$M$3005,Sessions!$D$6:$D$3005,B77))</f>
        <v/>
      </c>
      <c r="J77" s="13">
        <f>IF(B77="","",SUMIFS(Packages!$D$6:$D$505,Packages!$C$6:$C$505,B77,Packages!$M$6:$M$505,1))</f>
        <v/>
      </c>
      <c r="K77" s="13">
        <f>IF(B77="","",SUMIFS(Sessions!$K$6:$K$3005,Sessions!$D$6:$D$3005,B77))</f>
        <v/>
      </c>
      <c r="L77" s="22">
        <f>IF(OR(B77="",J77=0),"",J77-K77)</f>
        <v/>
      </c>
      <c r="M77" s="23">
        <f>IF(B77="","",IF(SUMPRODUCT(MAX((Sessions!$D$6:$D$3005=B77)*Sessions!$L$6:$L$3005*Sessions!$I$6:$I$3005))=0,"",SUMPRODUCT(MAX((Sessions!$D$6:$D$3005=B77)*Sessions!$L$6:$L$3005*Sessions!$I$6:$I$3005))))</f>
        <v/>
      </c>
      <c r="N77" s="23">
        <f>IF(OR(B77="",F77="Finished"),"",IF(S77&gt;0,S77+7*N(Settings!$C$8),IF(ISNUMBER(D77),INT(D77)+7*N(Settings!$C$8),"")))</f>
        <v/>
      </c>
      <c r="O77" s="16">
        <f>IF(B77="","",SUMIFS(Packages!$J$6:$J$505,Packages!$C$6:$C$505,B77,Packages!$M$6:$M$505,1))</f>
        <v/>
      </c>
      <c r="P77" s="24">
        <f>IF(B77="","",IF(COUNTIF(Clients!$B$6:$B$105,B77)&gt;1,"Listed twice",IF(O77&gt;0,"Owes money",IF(F77="Finished","",IF(F77="Paused","",IF(AND(J77&gt;0,L77&lt;=0),"No sessions left",IF(AND(J77&gt;0,L77&lt;=N(Settings!$C$7)),"Few sessions left",IF(AND(Q77&gt;0,L77&gt;0,Q77&lt;TODAY()),"Package expired",IF(AND(Q77&gt;0,L77&gt;0,Q77-TODAY()&lt;=14),"Package ends soon",IF(AND(N77&lt;&gt;"",N77&lt;=TODAY()),"Check-in due","")))))))))</f>
        <v/>
      </c>
      <c r="Q77" s="1">
        <f>IF(B77="",0,SUMPRODUCT(MAX((Packages!$C$6:$C$505=B77)*Packages!$N$6:$N$505)))</f>
        <v/>
      </c>
      <c r="R77">
        <f>IF(P77&lt;&gt;"",ROW(),"")</f>
        <v/>
      </c>
      <c r="S77">
        <f>IF(B77="",0,SUMPRODUCT(MAX(('Check-ins'!$C$6:$C$1505=B77)*'Check-ins'!$P$6:$P$1505)))</f>
        <v/>
      </c>
      <c r="T77">
        <f>IF(AND(B77&lt;&gt;"",F77&lt;&gt;"Paused",F77&lt;&gt;"Finished",J77&gt;0,L77&lt;=N(Settings!$C$7)),1,0)</f>
        <v/>
      </c>
      <c r="U77">
        <f>IF(AND(B77&lt;&gt;"",F77&lt;&gt;"Paused",F77&lt;&gt;"Finished",N77&lt;&gt;"",N77&lt;=TODAY()),1,0)</f>
        <v/>
      </c>
      <c r="V77">
        <f>IF(AND(B77&lt;&gt;"",F77&lt;&gt;"Paused",F77&lt;&gt;"Finished"),1,0)</f>
        <v/>
      </c>
    </row>
    <row r="78">
      <c r="A78" s="1" t="n"/>
      <c r="B78" s="19" t="n"/>
      <c r="C78" s="21" t="n"/>
      <c r="D78" s="17" t="n"/>
      <c r="E78" s="21" t="n"/>
      <c r="F78" s="20" t="n"/>
      <c r="G78" s="13">
        <f>IF(B78="","",SUMIFS(Sessions!$L$6:$L$3005,Sessions!$D$6:$D$3005,B78))</f>
        <v/>
      </c>
      <c r="H78" s="13">
        <f>IF(B78="","",SUMIFS(Sessions!$L$6:$L$3005,Sessions!$D$6:$D$3005,B78,Sessions!$J$6:$J$3005,(YEAR(TODAY())*100+MONTH(TODAY()))))</f>
        <v/>
      </c>
      <c r="I78" s="13">
        <f>IF(B78="","",SUMIFS(Sessions!$M$6:$M$3005,Sessions!$D$6:$D$3005,B78))</f>
        <v/>
      </c>
      <c r="J78" s="13">
        <f>IF(B78="","",SUMIFS(Packages!$D$6:$D$505,Packages!$C$6:$C$505,B78,Packages!$M$6:$M$505,1))</f>
        <v/>
      </c>
      <c r="K78" s="13">
        <f>IF(B78="","",SUMIFS(Sessions!$K$6:$K$3005,Sessions!$D$6:$D$3005,B78))</f>
        <v/>
      </c>
      <c r="L78" s="22">
        <f>IF(OR(B78="",J78=0),"",J78-K78)</f>
        <v/>
      </c>
      <c r="M78" s="23">
        <f>IF(B78="","",IF(SUMPRODUCT(MAX((Sessions!$D$6:$D$3005=B78)*Sessions!$L$6:$L$3005*Sessions!$I$6:$I$3005))=0,"",SUMPRODUCT(MAX((Sessions!$D$6:$D$3005=B78)*Sessions!$L$6:$L$3005*Sessions!$I$6:$I$3005))))</f>
        <v/>
      </c>
      <c r="N78" s="23">
        <f>IF(OR(B78="",F78="Finished"),"",IF(S78&gt;0,S78+7*N(Settings!$C$8),IF(ISNUMBER(D78),INT(D78)+7*N(Settings!$C$8),"")))</f>
        <v/>
      </c>
      <c r="O78" s="16">
        <f>IF(B78="","",SUMIFS(Packages!$J$6:$J$505,Packages!$C$6:$C$505,B78,Packages!$M$6:$M$505,1))</f>
        <v/>
      </c>
      <c r="P78" s="24">
        <f>IF(B78="","",IF(COUNTIF(Clients!$B$6:$B$105,B78)&gt;1,"Listed twice",IF(O78&gt;0,"Owes money",IF(F78="Finished","",IF(F78="Paused","",IF(AND(J78&gt;0,L78&lt;=0),"No sessions left",IF(AND(J78&gt;0,L78&lt;=N(Settings!$C$7)),"Few sessions left",IF(AND(Q78&gt;0,L78&gt;0,Q78&lt;TODAY()),"Package expired",IF(AND(Q78&gt;0,L78&gt;0,Q78-TODAY()&lt;=14),"Package ends soon",IF(AND(N78&lt;&gt;"",N78&lt;=TODAY()),"Check-in due","")))))))))</f>
        <v/>
      </c>
      <c r="Q78" s="1">
        <f>IF(B78="",0,SUMPRODUCT(MAX((Packages!$C$6:$C$505=B78)*Packages!$N$6:$N$505)))</f>
        <v/>
      </c>
      <c r="R78">
        <f>IF(P78&lt;&gt;"",ROW(),"")</f>
        <v/>
      </c>
      <c r="S78">
        <f>IF(B78="",0,SUMPRODUCT(MAX(('Check-ins'!$C$6:$C$1505=B78)*'Check-ins'!$P$6:$P$1505)))</f>
        <v/>
      </c>
      <c r="T78">
        <f>IF(AND(B78&lt;&gt;"",F78&lt;&gt;"Paused",F78&lt;&gt;"Finished",J78&gt;0,L78&lt;=N(Settings!$C$7)),1,0)</f>
        <v/>
      </c>
      <c r="U78">
        <f>IF(AND(B78&lt;&gt;"",F78&lt;&gt;"Paused",F78&lt;&gt;"Finished",N78&lt;&gt;"",N78&lt;=TODAY()),1,0)</f>
        <v/>
      </c>
      <c r="V78">
        <f>IF(AND(B78&lt;&gt;"",F78&lt;&gt;"Paused",F78&lt;&gt;"Finished"),1,0)</f>
        <v/>
      </c>
    </row>
    <row r="79">
      <c r="A79" s="1" t="n"/>
      <c r="B79" s="19" t="n"/>
      <c r="C79" s="21" t="n"/>
      <c r="D79" s="17" t="n"/>
      <c r="E79" s="21" t="n"/>
      <c r="F79" s="20" t="n"/>
      <c r="G79" s="13">
        <f>IF(B79="","",SUMIFS(Sessions!$L$6:$L$3005,Sessions!$D$6:$D$3005,B79))</f>
        <v/>
      </c>
      <c r="H79" s="13">
        <f>IF(B79="","",SUMIFS(Sessions!$L$6:$L$3005,Sessions!$D$6:$D$3005,B79,Sessions!$J$6:$J$3005,(YEAR(TODAY())*100+MONTH(TODAY()))))</f>
        <v/>
      </c>
      <c r="I79" s="13">
        <f>IF(B79="","",SUMIFS(Sessions!$M$6:$M$3005,Sessions!$D$6:$D$3005,B79))</f>
        <v/>
      </c>
      <c r="J79" s="13">
        <f>IF(B79="","",SUMIFS(Packages!$D$6:$D$505,Packages!$C$6:$C$505,B79,Packages!$M$6:$M$505,1))</f>
        <v/>
      </c>
      <c r="K79" s="13">
        <f>IF(B79="","",SUMIFS(Sessions!$K$6:$K$3005,Sessions!$D$6:$D$3005,B79))</f>
        <v/>
      </c>
      <c r="L79" s="22">
        <f>IF(OR(B79="",J79=0),"",J79-K79)</f>
        <v/>
      </c>
      <c r="M79" s="23">
        <f>IF(B79="","",IF(SUMPRODUCT(MAX((Sessions!$D$6:$D$3005=B79)*Sessions!$L$6:$L$3005*Sessions!$I$6:$I$3005))=0,"",SUMPRODUCT(MAX((Sessions!$D$6:$D$3005=B79)*Sessions!$L$6:$L$3005*Sessions!$I$6:$I$3005))))</f>
        <v/>
      </c>
      <c r="N79" s="23">
        <f>IF(OR(B79="",F79="Finished"),"",IF(S79&gt;0,S79+7*N(Settings!$C$8),IF(ISNUMBER(D79),INT(D79)+7*N(Settings!$C$8),"")))</f>
        <v/>
      </c>
      <c r="O79" s="16">
        <f>IF(B79="","",SUMIFS(Packages!$J$6:$J$505,Packages!$C$6:$C$505,B79,Packages!$M$6:$M$505,1))</f>
        <v/>
      </c>
      <c r="P79" s="24">
        <f>IF(B79="","",IF(COUNTIF(Clients!$B$6:$B$105,B79)&gt;1,"Listed twice",IF(O79&gt;0,"Owes money",IF(F79="Finished","",IF(F79="Paused","",IF(AND(J79&gt;0,L79&lt;=0),"No sessions left",IF(AND(J79&gt;0,L79&lt;=N(Settings!$C$7)),"Few sessions left",IF(AND(Q79&gt;0,L79&gt;0,Q79&lt;TODAY()),"Package expired",IF(AND(Q79&gt;0,L79&gt;0,Q79-TODAY()&lt;=14),"Package ends soon",IF(AND(N79&lt;&gt;"",N79&lt;=TODAY()),"Check-in due","")))))))))</f>
        <v/>
      </c>
      <c r="Q79" s="1">
        <f>IF(B79="",0,SUMPRODUCT(MAX((Packages!$C$6:$C$505=B79)*Packages!$N$6:$N$505)))</f>
        <v/>
      </c>
      <c r="R79">
        <f>IF(P79&lt;&gt;"",ROW(),"")</f>
        <v/>
      </c>
      <c r="S79">
        <f>IF(B79="",0,SUMPRODUCT(MAX(('Check-ins'!$C$6:$C$1505=B79)*'Check-ins'!$P$6:$P$1505)))</f>
        <v/>
      </c>
      <c r="T79">
        <f>IF(AND(B79&lt;&gt;"",F79&lt;&gt;"Paused",F79&lt;&gt;"Finished",J79&gt;0,L79&lt;=N(Settings!$C$7)),1,0)</f>
        <v/>
      </c>
      <c r="U79">
        <f>IF(AND(B79&lt;&gt;"",F79&lt;&gt;"Paused",F79&lt;&gt;"Finished",N79&lt;&gt;"",N79&lt;=TODAY()),1,0)</f>
        <v/>
      </c>
      <c r="V79">
        <f>IF(AND(B79&lt;&gt;"",F79&lt;&gt;"Paused",F79&lt;&gt;"Finished"),1,0)</f>
        <v/>
      </c>
    </row>
    <row r="80">
      <c r="A80" s="1" t="n"/>
      <c r="B80" s="19" t="n"/>
      <c r="C80" s="21" t="n"/>
      <c r="D80" s="17" t="n"/>
      <c r="E80" s="21" t="n"/>
      <c r="F80" s="20" t="n"/>
      <c r="G80" s="13">
        <f>IF(B80="","",SUMIFS(Sessions!$L$6:$L$3005,Sessions!$D$6:$D$3005,B80))</f>
        <v/>
      </c>
      <c r="H80" s="13">
        <f>IF(B80="","",SUMIFS(Sessions!$L$6:$L$3005,Sessions!$D$6:$D$3005,B80,Sessions!$J$6:$J$3005,(YEAR(TODAY())*100+MONTH(TODAY()))))</f>
        <v/>
      </c>
      <c r="I80" s="13">
        <f>IF(B80="","",SUMIFS(Sessions!$M$6:$M$3005,Sessions!$D$6:$D$3005,B80))</f>
        <v/>
      </c>
      <c r="J80" s="13">
        <f>IF(B80="","",SUMIFS(Packages!$D$6:$D$505,Packages!$C$6:$C$505,B80,Packages!$M$6:$M$505,1))</f>
        <v/>
      </c>
      <c r="K80" s="13">
        <f>IF(B80="","",SUMIFS(Sessions!$K$6:$K$3005,Sessions!$D$6:$D$3005,B80))</f>
        <v/>
      </c>
      <c r="L80" s="22">
        <f>IF(OR(B80="",J80=0),"",J80-K80)</f>
        <v/>
      </c>
      <c r="M80" s="23">
        <f>IF(B80="","",IF(SUMPRODUCT(MAX((Sessions!$D$6:$D$3005=B80)*Sessions!$L$6:$L$3005*Sessions!$I$6:$I$3005))=0,"",SUMPRODUCT(MAX((Sessions!$D$6:$D$3005=B80)*Sessions!$L$6:$L$3005*Sessions!$I$6:$I$3005))))</f>
        <v/>
      </c>
      <c r="N80" s="23">
        <f>IF(OR(B80="",F80="Finished"),"",IF(S80&gt;0,S80+7*N(Settings!$C$8),IF(ISNUMBER(D80),INT(D80)+7*N(Settings!$C$8),"")))</f>
        <v/>
      </c>
      <c r="O80" s="16">
        <f>IF(B80="","",SUMIFS(Packages!$J$6:$J$505,Packages!$C$6:$C$505,B80,Packages!$M$6:$M$505,1))</f>
        <v/>
      </c>
      <c r="P80" s="24">
        <f>IF(B80="","",IF(COUNTIF(Clients!$B$6:$B$105,B80)&gt;1,"Listed twice",IF(O80&gt;0,"Owes money",IF(F80="Finished","",IF(F80="Paused","",IF(AND(J80&gt;0,L80&lt;=0),"No sessions left",IF(AND(J80&gt;0,L80&lt;=N(Settings!$C$7)),"Few sessions left",IF(AND(Q80&gt;0,L80&gt;0,Q80&lt;TODAY()),"Package expired",IF(AND(Q80&gt;0,L80&gt;0,Q80-TODAY()&lt;=14),"Package ends soon",IF(AND(N80&lt;&gt;"",N80&lt;=TODAY()),"Check-in due","")))))))))</f>
        <v/>
      </c>
      <c r="Q80" s="1">
        <f>IF(B80="",0,SUMPRODUCT(MAX((Packages!$C$6:$C$505=B80)*Packages!$N$6:$N$505)))</f>
        <v/>
      </c>
      <c r="R80">
        <f>IF(P80&lt;&gt;"",ROW(),"")</f>
        <v/>
      </c>
      <c r="S80">
        <f>IF(B80="",0,SUMPRODUCT(MAX(('Check-ins'!$C$6:$C$1505=B80)*'Check-ins'!$P$6:$P$1505)))</f>
        <v/>
      </c>
      <c r="T80">
        <f>IF(AND(B80&lt;&gt;"",F80&lt;&gt;"Paused",F80&lt;&gt;"Finished",J80&gt;0,L80&lt;=N(Settings!$C$7)),1,0)</f>
        <v/>
      </c>
      <c r="U80">
        <f>IF(AND(B80&lt;&gt;"",F80&lt;&gt;"Paused",F80&lt;&gt;"Finished",N80&lt;&gt;"",N80&lt;=TODAY()),1,0)</f>
        <v/>
      </c>
      <c r="V80">
        <f>IF(AND(B80&lt;&gt;"",F80&lt;&gt;"Paused",F80&lt;&gt;"Finished"),1,0)</f>
        <v/>
      </c>
    </row>
    <row r="81">
      <c r="A81" s="1" t="n"/>
      <c r="B81" s="19" t="n"/>
      <c r="C81" s="21" t="n"/>
      <c r="D81" s="17" t="n"/>
      <c r="E81" s="21" t="n"/>
      <c r="F81" s="20" t="n"/>
      <c r="G81" s="13">
        <f>IF(B81="","",SUMIFS(Sessions!$L$6:$L$3005,Sessions!$D$6:$D$3005,B81))</f>
        <v/>
      </c>
      <c r="H81" s="13">
        <f>IF(B81="","",SUMIFS(Sessions!$L$6:$L$3005,Sessions!$D$6:$D$3005,B81,Sessions!$J$6:$J$3005,(YEAR(TODAY())*100+MONTH(TODAY()))))</f>
        <v/>
      </c>
      <c r="I81" s="13">
        <f>IF(B81="","",SUMIFS(Sessions!$M$6:$M$3005,Sessions!$D$6:$D$3005,B81))</f>
        <v/>
      </c>
      <c r="J81" s="13">
        <f>IF(B81="","",SUMIFS(Packages!$D$6:$D$505,Packages!$C$6:$C$505,B81,Packages!$M$6:$M$505,1))</f>
        <v/>
      </c>
      <c r="K81" s="13">
        <f>IF(B81="","",SUMIFS(Sessions!$K$6:$K$3005,Sessions!$D$6:$D$3005,B81))</f>
        <v/>
      </c>
      <c r="L81" s="22">
        <f>IF(OR(B81="",J81=0),"",J81-K81)</f>
        <v/>
      </c>
      <c r="M81" s="23">
        <f>IF(B81="","",IF(SUMPRODUCT(MAX((Sessions!$D$6:$D$3005=B81)*Sessions!$L$6:$L$3005*Sessions!$I$6:$I$3005))=0,"",SUMPRODUCT(MAX((Sessions!$D$6:$D$3005=B81)*Sessions!$L$6:$L$3005*Sessions!$I$6:$I$3005))))</f>
        <v/>
      </c>
      <c r="N81" s="23">
        <f>IF(OR(B81="",F81="Finished"),"",IF(S81&gt;0,S81+7*N(Settings!$C$8),IF(ISNUMBER(D81),INT(D81)+7*N(Settings!$C$8),"")))</f>
        <v/>
      </c>
      <c r="O81" s="16">
        <f>IF(B81="","",SUMIFS(Packages!$J$6:$J$505,Packages!$C$6:$C$505,B81,Packages!$M$6:$M$505,1))</f>
        <v/>
      </c>
      <c r="P81" s="24">
        <f>IF(B81="","",IF(COUNTIF(Clients!$B$6:$B$105,B81)&gt;1,"Listed twice",IF(O81&gt;0,"Owes money",IF(F81="Finished","",IF(F81="Paused","",IF(AND(J81&gt;0,L81&lt;=0),"No sessions left",IF(AND(J81&gt;0,L81&lt;=N(Settings!$C$7)),"Few sessions left",IF(AND(Q81&gt;0,L81&gt;0,Q81&lt;TODAY()),"Package expired",IF(AND(Q81&gt;0,L81&gt;0,Q81-TODAY()&lt;=14),"Package ends soon",IF(AND(N81&lt;&gt;"",N81&lt;=TODAY()),"Check-in due","")))))))))</f>
        <v/>
      </c>
      <c r="Q81" s="1">
        <f>IF(B81="",0,SUMPRODUCT(MAX((Packages!$C$6:$C$505=B81)*Packages!$N$6:$N$505)))</f>
        <v/>
      </c>
      <c r="R81">
        <f>IF(P81&lt;&gt;"",ROW(),"")</f>
        <v/>
      </c>
      <c r="S81">
        <f>IF(B81="",0,SUMPRODUCT(MAX(('Check-ins'!$C$6:$C$1505=B81)*'Check-ins'!$P$6:$P$1505)))</f>
        <v/>
      </c>
      <c r="T81">
        <f>IF(AND(B81&lt;&gt;"",F81&lt;&gt;"Paused",F81&lt;&gt;"Finished",J81&gt;0,L81&lt;=N(Settings!$C$7)),1,0)</f>
        <v/>
      </c>
      <c r="U81">
        <f>IF(AND(B81&lt;&gt;"",F81&lt;&gt;"Paused",F81&lt;&gt;"Finished",N81&lt;&gt;"",N81&lt;=TODAY()),1,0)</f>
        <v/>
      </c>
      <c r="V81">
        <f>IF(AND(B81&lt;&gt;"",F81&lt;&gt;"Paused",F81&lt;&gt;"Finished"),1,0)</f>
        <v/>
      </c>
    </row>
    <row r="82">
      <c r="A82" s="1" t="n"/>
      <c r="B82" s="19" t="n"/>
      <c r="C82" s="21" t="n"/>
      <c r="D82" s="17" t="n"/>
      <c r="E82" s="21" t="n"/>
      <c r="F82" s="20" t="n"/>
      <c r="G82" s="13">
        <f>IF(B82="","",SUMIFS(Sessions!$L$6:$L$3005,Sessions!$D$6:$D$3005,B82))</f>
        <v/>
      </c>
      <c r="H82" s="13">
        <f>IF(B82="","",SUMIFS(Sessions!$L$6:$L$3005,Sessions!$D$6:$D$3005,B82,Sessions!$J$6:$J$3005,(YEAR(TODAY())*100+MONTH(TODAY()))))</f>
        <v/>
      </c>
      <c r="I82" s="13">
        <f>IF(B82="","",SUMIFS(Sessions!$M$6:$M$3005,Sessions!$D$6:$D$3005,B82))</f>
        <v/>
      </c>
      <c r="J82" s="13">
        <f>IF(B82="","",SUMIFS(Packages!$D$6:$D$505,Packages!$C$6:$C$505,B82,Packages!$M$6:$M$505,1))</f>
        <v/>
      </c>
      <c r="K82" s="13">
        <f>IF(B82="","",SUMIFS(Sessions!$K$6:$K$3005,Sessions!$D$6:$D$3005,B82))</f>
        <v/>
      </c>
      <c r="L82" s="22">
        <f>IF(OR(B82="",J82=0),"",J82-K82)</f>
        <v/>
      </c>
      <c r="M82" s="23">
        <f>IF(B82="","",IF(SUMPRODUCT(MAX((Sessions!$D$6:$D$3005=B82)*Sessions!$L$6:$L$3005*Sessions!$I$6:$I$3005))=0,"",SUMPRODUCT(MAX((Sessions!$D$6:$D$3005=B82)*Sessions!$L$6:$L$3005*Sessions!$I$6:$I$3005))))</f>
        <v/>
      </c>
      <c r="N82" s="23">
        <f>IF(OR(B82="",F82="Finished"),"",IF(S82&gt;0,S82+7*N(Settings!$C$8),IF(ISNUMBER(D82),INT(D82)+7*N(Settings!$C$8),"")))</f>
        <v/>
      </c>
      <c r="O82" s="16">
        <f>IF(B82="","",SUMIFS(Packages!$J$6:$J$505,Packages!$C$6:$C$505,B82,Packages!$M$6:$M$505,1))</f>
        <v/>
      </c>
      <c r="P82" s="24">
        <f>IF(B82="","",IF(COUNTIF(Clients!$B$6:$B$105,B82)&gt;1,"Listed twice",IF(O82&gt;0,"Owes money",IF(F82="Finished","",IF(F82="Paused","",IF(AND(J82&gt;0,L82&lt;=0),"No sessions left",IF(AND(J82&gt;0,L82&lt;=N(Settings!$C$7)),"Few sessions left",IF(AND(Q82&gt;0,L82&gt;0,Q82&lt;TODAY()),"Package expired",IF(AND(Q82&gt;0,L82&gt;0,Q82-TODAY()&lt;=14),"Package ends soon",IF(AND(N82&lt;&gt;"",N82&lt;=TODAY()),"Check-in due","")))))))))</f>
        <v/>
      </c>
      <c r="Q82" s="1">
        <f>IF(B82="",0,SUMPRODUCT(MAX((Packages!$C$6:$C$505=B82)*Packages!$N$6:$N$505)))</f>
        <v/>
      </c>
      <c r="R82">
        <f>IF(P82&lt;&gt;"",ROW(),"")</f>
        <v/>
      </c>
      <c r="S82">
        <f>IF(B82="",0,SUMPRODUCT(MAX(('Check-ins'!$C$6:$C$1505=B82)*'Check-ins'!$P$6:$P$1505)))</f>
        <v/>
      </c>
      <c r="T82">
        <f>IF(AND(B82&lt;&gt;"",F82&lt;&gt;"Paused",F82&lt;&gt;"Finished",J82&gt;0,L82&lt;=N(Settings!$C$7)),1,0)</f>
        <v/>
      </c>
      <c r="U82">
        <f>IF(AND(B82&lt;&gt;"",F82&lt;&gt;"Paused",F82&lt;&gt;"Finished",N82&lt;&gt;"",N82&lt;=TODAY()),1,0)</f>
        <v/>
      </c>
      <c r="V82">
        <f>IF(AND(B82&lt;&gt;"",F82&lt;&gt;"Paused",F82&lt;&gt;"Finished"),1,0)</f>
        <v/>
      </c>
    </row>
    <row r="83">
      <c r="A83" s="1" t="n"/>
      <c r="B83" s="19" t="n"/>
      <c r="C83" s="21" t="n"/>
      <c r="D83" s="17" t="n"/>
      <c r="E83" s="21" t="n"/>
      <c r="F83" s="20" t="n"/>
      <c r="G83" s="13">
        <f>IF(B83="","",SUMIFS(Sessions!$L$6:$L$3005,Sessions!$D$6:$D$3005,B83))</f>
        <v/>
      </c>
      <c r="H83" s="13">
        <f>IF(B83="","",SUMIFS(Sessions!$L$6:$L$3005,Sessions!$D$6:$D$3005,B83,Sessions!$J$6:$J$3005,(YEAR(TODAY())*100+MONTH(TODAY()))))</f>
        <v/>
      </c>
      <c r="I83" s="13">
        <f>IF(B83="","",SUMIFS(Sessions!$M$6:$M$3005,Sessions!$D$6:$D$3005,B83))</f>
        <v/>
      </c>
      <c r="J83" s="13">
        <f>IF(B83="","",SUMIFS(Packages!$D$6:$D$505,Packages!$C$6:$C$505,B83,Packages!$M$6:$M$505,1))</f>
        <v/>
      </c>
      <c r="K83" s="13">
        <f>IF(B83="","",SUMIFS(Sessions!$K$6:$K$3005,Sessions!$D$6:$D$3005,B83))</f>
        <v/>
      </c>
      <c r="L83" s="22">
        <f>IF(OR(B83="",J83=0),"",J83-K83)</f>
        <v/>
      </c>
      <c r="M83" s="23">
        <f>IF(B83="","",IF(SUMPRODUCT(MAX((Sessions!$D$6:$D$3005=B83)*Sessions!$L$6:$L$3005*Sessions!$I$6:$I$3005))=0,"",SUMPRODUCT(MAX((Sessions!$D$6:$D$3005=B83)*Sessions!$L$6:$L$3005*Sessions!$I$6:$I$3005))))</f>
        <v/>
      </c>
      <c r="N83" s="23">
        <f>IF(OR(B83="",F83="Finished"),"",IF(S83&gt;0,S83+7*N(Settings!$C$8),IF(ISNUMBER(D83),INT(D83)+7*N(Settings!$C$8),"")))</f>
        <v/>
      </c>
      <c r="O83" s="16">
        <f>IF(B83="","",SUMIFS(Packages!$J$6:$J$505,Packages!$C$6:$C$505,B83,Packages!$M$6:$M$505,1))</f>
        <v/>
      </c>
      <c r="P83" s="24">
        <f>IF(B83="","",IF(COUNTIF(Clients!$B$6:$B$105,B83)&gt;1,"Listed twice",IF(O83&gt;0,"Owes money",IF(F83="Finished","",IF(F83="Paused","",IF(AND(J83&gt;0,L83&lt;=0),"No sessions left",IF(AND(J83&gt;0,L83&lt;=N(Settings!$C$7)),"Few sessions left",IF(AND(Q83&gt;0,L83&gt;0,Q83&lt;TODAY()),"Package expired",IF(AND(Q83&gt;0,L83&gt;0,Q83-TODAY()&lt;=14),"Package ends soon",IF(AND(N83&lt;&gt;"",N83&lt;=TODAY()),"Check-in due","")))))))))</f>
        <v/>
      </c>
      <c r="Q83" s="1">
        <f>IF(B83="",0,SUMPRODUCT(MAX((Packages!$C$6:$C$505=B83)*Packages!$N$6:$N$505)))</f>
        <v/>
      </c>
      <c r="R83">
        <f>IF(P83&lt;&gt;"",ROW(),"")</f>
        <v/>
      </c>
      <c r="S83">
        <f>IF(B83="",0,SUMPRODUCT(MAX(('Check-ins'!$C$6:$C$1505=B83)*'Check-ins'!$P$6:$P$1505)))</f>
        <v/>
      </c>
      <c r="T83">
        <f>IF(AND(B83&lt;&gt;"",F83&lt;&gt;"Paused",F83&lt;&gt;"Finished",J83&gt;0,L83&lt;=N(Settings!$C$7)),1,0)</f>
        <v/>
      </c>
      <c r="U83">
        <f>IF(AND(B83&lt;&gt;"",F83&lt;&gt;"Paused",F83&lt;&gt;"Finished",N83&lt;&gt;"",N83&lt;=TODAY()),1,0)</f>
        <v/>
      </c>
      <c r="V83">
        <f>IF(AND(B83&lt;&gt;"",F83&lt;&gt;"Paused",F83&lt;&gt;"Finished"),1,0)</f>
        <v/>
      </c>
    </row>
    <row r="84">
      <c r="A84" s="1" t="n"/>
      <c r="B84" s="19" t="n"/>
      <c r="C84" s="21" t="n"/>
      <c r="D84" s="17" t="n"/>
      <c r="E84" s="21" t="n"/>
      <c r="F84" s="20" t="n"/>
      <c r="G84" s="13">
        <f>IF(B84="","",SUMIFS(Sessions!$L$6:$L$3005,Sessions!$D$6:$D$3005,B84))</f>
        <v/>
      </c>
      <c r="H84" s="13">
        <f>IF(B84="","",SUMIFS(Sessions!$L$6:$L$3005,Sessions!$D$6:$D$3005,B84,Sessions!$J$6:$J$3005,(YEAR(TODAY())*100+MONTH(TODAY()))))</f>
        <v/>
      </c>
      <c r="I84" s="13">
        <f>IF(B84="","",SUMIFS(Sessions!$M$6:$M$3005,Sessions!$D$6:$D$3005,B84))</f>
        <v/>
      </c>
      <c r="J84" s="13">
        <f>IF(B84="","",SUMIFS(Packages!$D$6:$D$505,Packages!$C$6:$C$505,B84,Packages!$M$6:$M$505,1))</f>
        <v/>
      </c>
      <c r="K84" s="13">
        <f>IF(B84="","",SUMIFS(Sessions!$K$6:$K$3005,Sessions!$D$6:$D$3005,B84))</f>
        <v/>
      </c>
      <c r="L84" s="22">
        <f>IF(OR(B84="",J84=0),"",J84-K84)</f>
        <v/>
      </c>
      <c r="M84" s="23">
        <f>IF(B84="","",IF(SUMPRODUCT(MAX((Sessions!$D$6:$D$3005=B84)*Sessions!$L$6:$L$3005*Sessions!$I$6:$I$3005))=0,"",SUMPRODUCT(MAX((Sessions!$D$6:$D$3005=B84)*Sessions!$L$6:$L$3005*Sessions!$I$6:$I$3005))))</f>
        <v/>
      </c>
      <c r="N84" s="23">
        <f>IF(OR(B84="",F84="Finished"),"",IF(S84&gt;0,S84+7*N(Settings!$C$8),IF(ISNUMBER(D84),INT(D84)+7*N(Settings!$C$8),"")))</f>
        <v/>
      </c>
      <c r="O84" s="16">
        <f>IF(B84="","",SUMIFS(Packages!$J$6:$J$505,Packages!$C$6:$C$505,B84,Packages!$M$6:$M$505,1))</f>
        <v/>
      </c>
      <c r="P84" s="24">
        <f>IF(B84="","",IF(COUNTIF(Clients!$B$6:$B$105,B84)&gt;1,"Listed twice",IF(O84&gt;0,"Owes money",IF(F84="Finished","",IF(F84="Paused","",IF(AND(J84&gt;0,L84&lt;=0),"No sessions left",IF(AND(J84&gt;0,L84&lt;=N(Settings!$C$7)),"Few sessions left",IF(AND(Q84&gt;0,L84&gt;0,Q84&lt;TODAY()),"Package expired",IF(AND(Q84&gt;0,L84&gt;0,Q84-TODAY()&lt;=14),"Package ends soon",IF(AND(N84&lt;&gt;"",N84&lt;=TODAY()),"Check-in due","")))))))))</f>
        <v/>
      </c>
      <c r="Q84" s="1">
        <f>IF(B84="",0,SUMPRODUCT(MAX((Packages!$C$6:$C$505=B84)*Packages!$N$6:$N$505)))</f>
        <v/>
      </c>
      <c r="R84">
        <f>IF(P84&lt;&gt;"",ROW(),"")</f>
        <v/>
      </c>
      <c r="S84">
        <f>IF(B84="",0,SUMPRODUCT(MAX(('Check-ins'!$C$6:$C$1505=B84)*'Check-ins'!$P$6:$P$1505)))</f>
        <v/>
      </c>
      <c r="T84">
        <f>IF(AND(B84&lt;&gt;"",F84&lt;&gt;"Paused",F84&lt;&gt;"Finished",J84&gt;0,L84&lt;=N(Settings!$C$7)),1,0)</f>
        <v/>
      </c>
      <c r="U84">
        <f>IF(AND(B84&lt;&gt;"",F84&lt;&gt;"Paused",F84&lt;&gt;"Finished",N84&lt;&gt;"",N84&lt;=TODAY()),1,0)</f>
        <v/>
      </c>
      <c r="V84">
        <f>IF(AND(B84&lt;&gt;"",F84&lt;&gt;"Paused",F84&lt;&gt;"Finished"),1,0)</f>
        <v/>
      </c>
    </row>
    <row r="85">
      <c r="A85" s="1" t="n"/>
      <c r="B85" s="19" t="n"/>
      <c r="C85" s="21" t="n"/>
      <c r="D85" s="17" t="n"/>
      <c r="E85" s="21" t="n"/>
      <c r="F85" s="20" t="n"/>
      <c r="G85" s="13">
        <f>IF(B85="","",SUMIFS(Sessions!$L$6:$L$3005,Sessions!$D$6:$D$3005,B85))</f>
        <v/>
      </c>
      <c r="H85" s="13">
        <f>IF(B85="","",SUMIFS(Sessions!$L$6:$L$3005,Sessions!$D$6:$D$3005,B85,Sessions!$J$6:$J$3005,(YEAR(TODAY())*100+MONTH(TODAY()))))</f>
        <v/>
      </c>
      <c r="I85" s="13">
        <f>IF(B85="","",SUMIFS(Sessions!$M$6:$M$3005,Sessions!$D$6:$D$3005,B85))</f>
        <v/>
      </c>
      <c r="J85" s="13">
        <f>IF(B85="","",SUMIFS(Packages!$D$6:$D$505,Packages!$C$6:$C$505,B85,Packages!$M$6:$M$505,1))</f>
        <v/>
      </c>
      <c r="K85" s="13">
        <f>IF(B85="","",SUMIFS(Sessions!$K$6:$K$3005,Sessions!$D$6:$D$3005,B85))</f>
        <v/>
      </c>
      <c r="L85" s="22">
        <f>IF(OR(B85="",J85=0),"",J85-K85)</f>
        <v/>
      </c>
      <c r="M85" s="23">
        <f>IF(B85="","",IF(SUMPRODUCT(MAX((Sessions!$D$6:$D$3005=B85)*Sessions!$L$6:$L$3005*Sessions!$I$6:$I$3005))=0,"",SUMPRODUCT(MAX((Sessions!$D$6:$D$3005=B85)*Sessions!$L$6:$L$3005*Sessions!$I$6:$I$3005))))</f>
        <v/>
      </c>
      <c r="N85" s="23">
        <f>IF(OR(B85="",F85="Finished"),"",IF(S85&gt;0,S85+7*N(Settings!$C$8),IF(ISNUMBER(D85),INT(D85)+7*N(Settings!$C$8),"")))</f>
        <v/>
      </c>
      <c r="O85" s="16">
        <f>IF(B85="","",SUMIFS(Packages!$J$6:$J$505,Packages!$C$6:$C$505,B85,Packages!$M$6:$M$505,1))</f>
        <v/>
      </c>
      <c r="P85" s="24">
        <f>IF(B85="","",IF(COUNTIF(Clients!$B$6:$B$105,B85)&gt;1,"Listed twice",IF(O85&gt;0,"Owes money",IF(F85="Finished","",IF(F85="Paused","",IF(AND(J85&gt;0,L85&lt;=0),"No sessions left",IF(AND(J85&gt;0,L85&lt;=N(Settings!$C$7)),"Few sessions left",IF(AND(Q85&gt;0,L85&gt;0,Q85&lt;TODAY()),"Package expired",IF(AND(Q85&gt;0,L85&gt;0,Q85-TODAY()&lt;=14),"Package ends soon",IF(AND(N85&lt;&gt;"",N85&lt;=TODAY()),"Check-in due","")))))))))</f>
        <v/>
      </c>
      <c r="Q85" s="1">
        <f>IF(B85="",0,SUMPRODUCT(MAX((Packages!$C$6:$C$505=B85)*Packages!$N$6:$N$505)))</f>
        <v/>
      </c>
      <c r="R85">
        <f>IF(P85&lt;&gt;"",ROW(),"")</f>
        <v/>
      </c>
      <c r="S85">
        <f>IF(B85="",0,SUMPRODUCT(MAX(('Check-ins'!$C$6:$C$1505=B85)*'Check-ins'!$P$6:$P$1505)))</f>
        <v/>
      </c>
      <c r="T85">
        <f>IF(AND(B85&lt;&gt;"",F85&lt;&gt;"Paused",F85&lt;&gt;"Finished",J85&gt;0,L85&lt;=N(Settings!$C$7)),1,0)</f>
        <v/>
      </c>
      <c r="U85">
        <f>IF(AND(B85&lt;&gt;"",F85&lt;&gt;"Paused",F85&lt;&gt;"Finished",N85&lt;&gt;"",N85&lt;=TODAY()),1,0)</f>
        <v/>
      </c>
      <c r="V85">
        <f>IF(AND(B85&lt;&gt;"",F85&lt;&gt;"Paused",F85&lt;&gt;"Finished"),1,0)</f>
        <v/>
      </c>
    </row>
    <row r="86">
      <c r="A86" s="1" t="n"/>
      <c r="B86" s="19" t="n"/>
      <c r="C86" s="21" t="n"/>
      <c r="D86" s="17" t="n"/>
      <c r="E86" s="21" t="n"/>
      <c r="F86" s="20" t="n"/>
      <c r="G86" s="13">
        <f>IF(B86="","",SUMIFS(Sessions!$L$6:$L$3005,Sessions!$D$6:$D$3005,B86))</f>
        <v/>
      </c>
      <c r="H86" s="13">
        <f>IF(B86="","",SUMIFS(Sessions!$L$6:$L$3005,Sessions!$D$6:$D$3005,B86,Sessions!$J$6:$J$3005,(YEAR(TODAY())*100+MONTH(TODAY()))))</f>
        <v/>
      </c>
      <c r="I86" s="13">
        <f>IF(B86="","",SUMIFS(Sessions!$M$6:$M$3005,Sessions!$D$6:$D$3005,B86))</f>
        <v/>
      </c>
      <c r="J86" s="13">
        <f>IF(B86="","",SUMIFS(Packages!$D$6:$D$505,Packages!$C$6:$C$505,B86,Packages!$M$6:$M$505,1))</f>
        <v/>
      </c>
      <c r="K86" s="13">
        <f>IF(B86="","",SUMIFS(Sessions!$K$6:$K$3005,Sessions!$D$6:$D$3005,B86))</f>
        <v/>
      </c>
      <c r="L86" s="22">
        <f>IF(OR(B86="",J86=0),"",J86-K86)</f>
        <v/>
      </c>
      <c r="M86" s="23">
        <f>IF(B86="","",IF(SUMPRODUCT(MAX((Sessions!$D$6:$D$3005=B86)*Sessions!$L$6:$L$3005*Sessions!$I$6:$I$3005))=0,"",SUMPRODUCT(MAX((Sessions!$D$6:$D$3005=B86)*Sessions!$L$6:$L$3005*Sessions!$I$6:$I$3005))))</f>
        <v/>
      </c>
      <c r="N86" s="23">
        <f>IF(OR(B86="",F86="Finished"),"",IF(S86&gt;0,S86+7*N(Settings!$C$8),IF(ISNUMBER(D86),INT(D86)+7*N(Settings!$C$8),"")))</f>
        <v/>
      </c>
      <c r="O86" s="16">
        <f>IF(B86="","",SUMIFS(Packages!$J$6:$J$505,Packages!$C$6:$C$505,B86,Packages!$M$6:$M$505,1))</f>
        <v/>
      </c>
      <c r="P86" s="24">
        <f>IF(B86="","",IF(COUNTIF(Clients!$B$6:$B$105,B86)&gt;1,"Listed twice",IF(O86&gt;0,"Owes money",IF(F86="Finished","",IF(F86="Paused","",IF(AND(J86&gt;0,L86&lt;=0),"No sessions left",IF(AND(J86&gt;0,L86&lt;=N(Settings!$C$7)),"Few sessions left",IF(AND(Q86&gt;0,L86&gt;0,Q86&lt;TODAY()),"Package expired",IF(AND(Q86&gt;0,L86&gt;0,Q86-TODAY()&lt;=14),"Package ends soon",IF(AND(N86&lt;&gt;"",N86&lt;=TODAY()),"Check-in due","")))))))))</f>
        <v/>
      </c>
      <c r="Q86" s="1">
        <f>IF(B86="",0,SUMPRODUCT(MAX((Packages!$C$6:$C$505=B86)*Packages!$N$6:$N$505)))</f>
        <v/>
      </c>
      <c r="R86">
        <f>IF(P86&lt;&gt;"",ROW(),"")</f>
        <v/>
      </c>
      <c r="S86">
        <f>IF(B86="",0,SUMPRODUCT(MAX(('Check-ins'!$C$6:$C$1505=B86)*'Check-ins'!$P$6:$P$1505)))</f>
        <v/>
      </c>
      <c r="T86">
        <f>IF(AND(B86&lt;&gt;"",F86&lt;&gt;"Paused",F86&lt;&gt;"Finished",J86&gt;0,L86&lt;=N(Settings!$C$7)),1,0)</f>
        <v/>
      </c>
      <c r="U86">
        <f>IF(AND(B86&lt;&gt;"",F86&lt;&gt;"Paused",F86&lt;&gt;"Finished",N86&lt;&gt;"",N86&lt;=TODAY()),1,0)</f>
        <v/>
      </c>
      <c r="V86">
        <f>IF(AND(B86&lt;&gt;"",F86&lt;&gt;"Paused",F86&lt;&gt;"Finished"),1,0)</f>
        <v/>
      </c>
    </row>
    <row r="87">
      <c r="A87" s="1" t="n"/>
      <c r="B87" s="19" t="n"/>
      <c r="C87" s="21" t="n"/>
      <c r="D87" s="17" t="n"/>
      <c r="E87" s="21" t="n"/>
      <c r="F87" s="20" t="n"/>
      <c r="G87" s="13">
        <f>IF(B87="","",SUMIFS(Sessions!$L$6:$L$3005,Sessions!$D$6:$D$3005,B87))</f>
        <v/>
      </c>
      <c r="H87" s="13">
        <f>IF(B87="","",SUMIFS(Sessions!$L$6:$L$3005,Sessions!$D$6:$D$3005,B87,Sessions!$J$6:$J$3005,(YEAR(TODAY())*100+MONTH(TODAY()))))</f>
        <v/>
      </c>
      <c r="I87" s="13">
        <f>IF(B87="","",SUMIFS(Sessions!$M$6:$M$3005,Sessions!$D$6:$D$3005,B87))</f>
        <v/>
      </c>
      <c r="J87" s="13">
        <f>IF(B87="","",SUMIFS(Packages!$D$6:$D$505,Packages!$C$6:$C$505,B87,Packages!$M$6:$M$505,1))</f>
        <v/>
      </c>
      <c r="K87" s="13">
        <f>IF(B87="","",SUMIFS(Sessions!$K$6:$K$3005,Sessions!$D$6:$D$3005,B87))</f>
        <v/>
      </c>
      <c r="L87" s="22">
        <f>IF(OR(B87="",J87=0),"",J87-K87)</f>
        <v/>
      </c>
      <c r="M87" s="23">
        <f>IF(B87="","",IF(SUMPRODUCT(MAX((Sessions!$D$6:$D$3005=B87)*Sessions!$L$6:$L$3005*Sessions!$I$6:$I$3005))=0,"",SUMPRODUCT(MAX((Sessions!$D$6:$D$3005=B87)*Sessions!$L$6:$L$3005*Sessions!$I$6:$I$3005))))</f>
        <v/>
      </c>
      <c r="N87" s="23">
        <f>IF(OR(B87="",F87="Finished"),"",IF(S87&gt;0,S87+7*N(Settings!$C$8),IF(ISNUMBER(D87),INT(D87)+7*N(Settings!$C$8),"")))</f>
        <v/>
      </c>
      <c r="O87" s="16">
        <f>IF(B87="","",SUMIFS(Packages!$J$6:$J$505,Packages!$C$6:$C$505,B87,Packages!$M$6:$M$505,1))</f>
        <v/>
      </c>
      <c r="P87" s="24">
        <f>IF(B87="","",IF(COUNTIF(Clients!$B$6:$B$105,B87)&gt;1,"Listed twice",IF(O87&gt;0,"Owes money",IF(F87="Finished","",IF(F87="Paused","",IF(AND(J87&gt;0,L87&lt;=0),"No sessions left",IF(AND(J87&gt;0,L87&lt;=N(Settings!$C$7)),"Few sessions left",IF(AND(Q87&gt;0,L87&gt;0,Q87&lt;TODAY()),"Package expired",IF(AND(Q87&gt;0,L87&gt;0,Q87-TODAY()&lt;=14),"Package ends soon",IF(AND(N87&lt;&gt;"",N87&lt;=TODAY()),"Check-in due","")))))))))</f>
        <v/>
      </c>
      <c r="Q87" s="1">
        <f>IF(B87="",0,SUMPRODUCT(MAX((Packages!$C$6:$C$505=B87)*Packages!$N$6:$N$505)))</f>
        <v/>
      </c>
      <c r="R87">
        <f>IF(P87&lt;&gt;"",ROW(),"")</f>
        <v/>
      </c>
      <c r="S87">
        <f>IF(B87="",0,SUMPRODUCT(MAX(('Check-ins'!$C$6:$C$1505=B87)*'Check-ins'!$P$6:$P$1505)))</f>
        <v/>
      </c>
      <c r="T87">
        <f>IF(AND(B87&lt;&gt;"",F87&lt;&gt;"Paused",F87&lt;&gt;"Finished",J87&gt;0,L87&lt;=N(Settings!$C$7)),1,0)</f>
        <v/>
      </c>
      <c r="U87">
        <f>IF(AND(B87&lt;&gt;"",F87&lt;&gt;"Paused",F87&lt;&gt;"Finished",N87&lt;&gt;"",N87&lt;=TODAY()),1,0)</f>
        <v/>
      </c>
      <c r="V87">
        <f>IF(AND(B87&lt;&gt;"",F87&lt;&gt;"Paused",F87&lt;&gt;"Finished"),1,0)</f>
        <v/>
      </c>
    </row>
    <row r="88">
      <c r="A88" s="1" t="n"/>
      <c r="B88" s="19" t="n"/>
      <c r="C88" s="21" t="n"/>
      <c r="D88" s="17" t="n"/>
      <c r="E88" s="21" t="n"/>
      <c r="F88" s="20" t="n"/>
      <c r="G88" s="13">
        <f>IF(B88="","",SUMIFS(Sessions!$L$6:$L$3005,Sessions!$D$6:$D$3005,B88))</f>
        <v/>
      </c>
      <c r="H88" s="13">
        <f>IF(B88="","",SUMIFS(Sessions!$L$6:$L$3005,Sessions!$D$6:$D$3005,B88,Sessions!$J$6:$J$3005,(YEAR(TODAY())*100+MONTH(TODAY()))))</f>
        <v/>
      </c>
      <c r="I88" s="13">
        <f>IF(B88="","",SUMIFS(Sessions!$M$6:$M$3005,Sessions!$D$6:$D$3005,B88))</f>
        <v/>
      </c>
      <c r="J88" s="13">
        <f>IF(B88="","",SUMIFS(Packages!$D$6:$D$505,Packages!$C$6:$C$505,B88,Packages!$M$6:$M$505,1))</f>
        <v/>
      </c>
      <c r="K88" s="13">
        <f>IF(B88="","",SUMIFS(Sessions!$K$6:$K$3005,Sessions!$D$6:$D$3005,B88))</f>
        <v/>
      </c>
      <c r="L88" s="22">
        <f>IF(OR(B88="",J88=0),"",J88-K88)</f>
        <v/>
      </c>
      <c r="M88" s="23">
        <f>IF(B88="","",IF(SUMPRODUCT(MAX((Sessions!$D$6:$D$3005=B88)*Sessions!$L$6:$L$3005*Sessions!$I$6:$I$3005))=0,"",SUMPRODUCT(MAX((Sessions!$D$6:$D$3005=B88)*Sessions!$L$6:$L$3005*Sessions!$I$6:$I$3005))))</f>
        <v/>
      </c>
      <c r="N88" s="23">
        <f>IF(OR(B88="",F88="Finished"),"",IF(S88&gt;0,S88+7*N(Settings!$C$8),IF(ISNUMBER(D88),INT(D88)+7*N(Settings!$C$8),"")))</f>
        <v/>
      </c>
      <c r="O88" s="16">
        <f>IF(B88="","",SUMIFS(Packages!$J$6:$J$505,Packages!$C$6:$C$505,B88,Packages!$M$6:$M$505,1))</f>
        <v/>
      </c>
      <c r="P88" s="24">
        <f>IF(B88="","",IF(COUNTIF(Clients!$B$6:$B$105,B88)&gt;1,"Listed twice",IF(O88&gt;0,"Owes money",IF(F88="Finished","",IF(F88="Paused","",IF(AND(J88&gt;0,L88&lt;=0),"No sessions left",IF(AND(J88&gt;0,L88&lt;=N(Settings!$C$7)),"Few sessions left",IF(AND(Q88&gt;0,L88&gt;0,Q88&lt;TODAY()),"Package expired",IF(AND(Q88&gt;0,L88&gt;0,Q88-TODAY()&lt;=14),"Package ends soon",IF(AND(N88&lt;&gt;"",N88&lt;=TODAY()),"Check-in due","")))))))))</f>
        <v/>
      </c>
      <c r="Q88" s="1">
        <f>IF(B88="",0,SUMPRODUCT(MAX((Packages!$C$6:$C$505=B88)*Packages!$N$6:$N$505)))</f>
        <v/>
      </c>
      <c r="R88">
        <f>IF(P88&lt;&gt;"",ROW(),"")</f>
        <v/>
      </c>
      <c r="S88">
        <f>IF(B88="",0,SUMPRODUCT(MAX(('Check-ins'!$C$6:$C$1505=B88)*'Check-ins'!$P$6:$P$1505)))</f>
        <v/>
      </c>
      <c r="T88">
        <f>IF(AND(B88&lt;&gt;"",F88&lt;&gt;"Paused",F88&lt;&gt;"Finished",J88&gt;0,L88&lt;=N(Settings!$C$7)),1,0)</f>
        <v/>
      </c>
      <c r="U88">
        <f>IF(AND(B88&lt;&gt;"",F88&lt;&gt;"Paused",F88&lt;&gt;"Finished",N88&lt;&gt;"",N88&lt;=TODAY()),1,0)</f>
        <v/>
      </c>
      <c r="V88">
        <f>IF(AND(B88&lt;&gt;"",F88&lt;&gt;"Paused",F88&lt;&gt;"Finished"),1,0)</f>
        <v/>
      </c>
    </row>
    <row r="89">
      <c r="A89" s="1" t="n"/>
      <c r="B89" s="19" t="n"/>
      <c r="C89" s="21" t="n"/>
      <c r="D89" s="17" t="n"/>
      <c r="E89" s="21" t="n"/>
      <c r="F89" s="20" t="n"/>
      <c r="G89" s="13">
        <f>IF(B89="","",SUMIFS(Sessions!$L$6:$L$3005,Sessions!$D$6:$D$3005,B89))</f>
        <v/>
      </c>
      <c r="H89" s="13">
        <f>IF(B89="","",SUMIFS(Sessions!$L$6:$L$3005,Sessions!$D$6:$D$3005,B89,Sessions!$J$6:$J$3005,(YEAR(TODAY())*100+MONTH(TODAY()))))</f>
        <v/>
      </c>
      <c r="I89" s="13">
        <f>IF(B89="","",SUMIFS(Sessions!$M$6:$M$3005,Sessions!$D$6:$D$3005,B89))</f>
        <v/>
      </c>
      <c r="J89" s="13">
        <f>IF(B89="","",SUMIFS(Packages!$D$6:$D$505,Packages!$C$6:$C$505,B89,Packages!$M$6:$M$505,1))</f>
        <v/>
      </c>
      <c r="K89" s="13">
        <f>IF(B89="","",SUMIFS(Sessions!$K$6:$K$3005,Sessions!$D$6:$D$3005,B89))</f>
        <v/>
      </c>
      <c r="L89" s="22">
        <f>IF(OR(B89="",J89=0),"",J89-K89)</f>
        <v/>
      </c>
      <c r="M89" s="23">
        <f>IF(B89="","",IF(SUMPRODUCT(MAX((Sessions!$D$6:$D$3005=B89)*Sessions!$L$6:$L$3005*Sessions!$I$6:$I$3005))=0,"",SUMPRODUCT(MAX((Sessions!$D$6:$D$3005=B89)*Sessions!$L$6:$L$3005*Sessions!$I$6:$I$3005))))</f>
        <v/>
      </c>
      <c r="N89" s="23">
        <f>IF(OR(B89="",F89="Finished"),"",IF(S89&gt;0,S89+7*N(Settings!$C$8),IF(ISNUMBER(D89),INT(D89)+7*N(Settings!$C$8),"")))</f>
        <v/>
      </c>
      <c r="O89" s="16">
        <f>IF(B89="","",SUMIFS(Packages!$J$6:$J$505,Packages!$C$6:$C$505,B89,Packages!$M$6:$M$505,1))</f>
        <v/>
      </c>
      <c r="P89" s="24">
        <f>IF(B89="","",IF(COUNTIF(Clients!$B$6:$B$105,B89)&gt;1,"Listed twice",IF(O89&gt;0,"Owes money",IF(F89="Finished","",IF(F89="Paused","",IF(AND(J89&gt;0,L89&lt;=0),"No sessions left",IF(AND(J89&gt;0,L89&lt;=N(Settings!$C$7)),"Few sessions left",IF(AND(Q89&gt;0,L89&gt;0,Q89&lt;TODAY()),"Package expired",IF(AND(Q89&gt;0,L89&gt;0,Q89-TODAY()&lt;=14),"Package ends soon",IF(AND(N89&lt;&gt;"",N89&lt;=TODAY()),"Check-in due","")))))))))</f>
        <v/>
      </c>
      <c r="Q89" s="1">
        <f>IF(B89="",0,SUMPRODUCT(MAX((Packages!$C$6:$C$505=B89)*Packages!$N$6:$N$505)))</f>
        <v/>
      </c>
      <c r="R89">
        <f>IF(P89&lt;&gt;"",ROW(),"")</f>
        <v/>
      </c>
      <c r="S89">
        <f>IF(B89="",0,SUMPRODUCT(MAX(('Check-ins'!$C$6:$C$1505=B89)*'Check-ins'!$P$6:$P$1505)))</f>
        <v/>
      </c>
      <c r="T89">
        <f>IF(AND(B89&lt;&gt;"",F89&lt;&gt;"Paused",F89&lt;&gt;"Finished",J89&gt;0,L89&lt;=N(Settings!$C$7)),1,0)</f>
        <v/>
      </c>
      <c r="U89">
        <f>IF(AND(B89&lt;&gt;"",F89&lt;&gt;"Paused",F89&lt;&gt;"Finished",N89&lt;&gt;"",N89&lt;=TODAY()),1,0)</f>
        <v/>
      </c>
      <c r="V89">
        <f>IF(AND(B89&lt;&gt;"",F89&lt;&gt;"Paused",F89&lt;&gt;"Finished"),1,0)</f>
        <v/>
      </c>
    </row>
    <row r="90">
      <c r="A90" s="1" t="n"/>
      <c r="B90" s="19" t="n"/>
      <c r="C90" s="21" t="n"/>
      <c r="D90" s="17" t="n"/>
      <c r="E90" s="21" t="n"/>
      <c r="F90" s="20" t="n"/>
      <c r="G90" s="13">
        <f>IF(B90="","",SUMIFS(Sessions!$L$6:$L$3005,Sessions!$D$6:$D$3005,B90))</f>
        <v/>
      </c>
      <c r="H90" s="13">
        <f>IF(B90="","",SUMIFS(Sessions!$L$6:$L$3005,Sessions!$D$6:$D$3005,B90,Sessions!$J$6:$J$3005,(YEAR(TODAY())*100+MONTH(TODAY()))))</f>
        <v/>
      </c>
      <c r="I90" s="13">
        <f>IF(B90="","",SUMIFS(Sessions!$M$6:$M$3005,Sessions!$D$6:$D$3005,B90))</f>
        <v/>
      </c>
      <c r="J90" s="13">
        <f>IF(B90="","",SUMIFS(Packages!$D$6:$D$505,Packages!$C$6:$C$505,B90,Packages!$M$6:$M$505,1))</f>
        <v/>
      </c>
      <c r="K90" s="13">
        <f>IF(B90="","",SUMIFS(Sessions!$K$6:$K$3005,Sessions!$D$6:$D$3005,B90))</f>
        <v/>
      </c>
      <c r="L90" s="22">
        <f>IF(OR(B90="",J90=0),"",J90-K90)</f>
        <v/>
      </c>
      <c r="M90" s="23">
        <f>IF(B90="","",IF(SUMPRODUCT(MAX((Sessions!$D$6:$D$3005=B90)*Sessions!$L$6:$L$3005*Sessions!$I$6:$I$3005))=0,"",SUMPRODUCT(MAX((Sessions!$D$6:$D$3005=B90)*Sessions!$L$6:$L$3005*Sessions!$I$6:$I$3005))))</f>
        <v/>
      </c>
      <c r="N90" s="23">
        <f>IF(OR(B90="",F90="Finished"),"",IF(S90&gt;0,S90+7*N(Settings!$C$8),IF(ISNUMBER(D90),INT(D90)+7*N(Settings!$C$8),"")))</f>
        <v/>
      </c>
      <c r="O90" s="16">
        <f>IF(B90="","",SUMIFS(Packages!$J$6:$J$505,Packages!$C$6:$C$505,B90,Packages!$M$6:$M$505,1))</f>
        <v/>
      </c>
      <c r="P90" s="24">
        <f>IF(B90="","",IF(COUNTIF(Clients!$B$6:$B$105,B90)&gt;1,"Listed twice",IF(O90&gt;0,"Owes money",IF(F90="Finished","",IF(F90="Paused","",IF(AND(J90&gt;0,L90&lt;=0),"No sessions left",IF(AND(J90&gt;0,L90&lt;=N(Settings!$C$7)),"Few sessions left",IF(AND(Q90&gt;0,L90&gt;0,Q90&lt;TODAY()),"Package expired",IF(AND(Q90&gt;0,L90&gt;0,Q90-TODAY()&lt;=14),"Package ends soon",IF(AND(N90&lt;&gt;"",N90&lt;=TODAY()),"Check-in due","")))))))))</f>
        <v/>
      </c>
      <c r="Q90" s="1">
        <f>IF(B90="",0,SUMPRODUCT(MAX((Packages!$C$6:$C$505=B90)*Packages!$N$6:$N$505)))</f>
        <v/>
      </c>
      <c r="R90">
        <f>IF(P90&lt;&gt;"",ROW(),"")</f>
        <v/>
      </c>
      <c r="S90">
        <f>IF(B90="",0,SUMPRODUCT(MAX(('Check-ins'!$C$6:$C$1505=B90)*'Check-ins'!$P$6:$P$1505)))</f>
        <v/>
      </c>
      <c r="T90">
        <f>IF(AND(B90&lt;&gt;"",F90&lt;&gt;"Paused",F90&lt;&gt;"Finished",J90&gt;0,L90&lt;=N(Settings!$C$7)),1,0)</f>
        <v/>
      </c>
      <c r="U90">
        <f>IF(AND(B90&lt;&gt;"",F90&lt;&gt;"Paused",F90&lt;&gt;"Finished",N90&lt;&gt;"",N90&lt;=TODAY()),1,0)</f>
        <v/>
      </c>
      <c r="V90">
        <f>IF(AND(B90&lt;&gt;"",F90&lt;&gt;"Paused",F90&lt;&gt;"Finished"),1,0)</f>
        <v/>
      </c>
    </row>
    <row r="91">
      <c r="A91" s="1" t="n"/>
      <c r="B91" s="19" t="n"/>
      <c r="C91" s="21" t="n"/>
      <c r="D91" s="17" t="n"/>
      <c r="E91" s="21" t="n"/>
      <c r="F91" s="20" t="n"/>
      <c r="G91" s="13">
        <f>IF(B91="","",SUMIFS(Sessions!$L$6:$L$3005,Sessions!$D$6:$D$3005,B91))</f>
        <v/>
      </c>
      <c r="H91" s="13">
        <f>IF(B91="","",SUMIFS(Sessions!$L$6:$L$3005,Sessions!$D$6:$D$3005,B91,Sessions!$J$6:$J$3005,(YEAR(TODAY())*100+MONTH(TODAY()))))</f>
        <v/>
      </c>
      <c r="I91" s="13">
        <f>IF(B91="","",SUMIFS(Sessions!$M$6:$M$3005,Sessions!$D$6:$D$3005,B91))</f>
        <v/>
      </c>
      <c r="J91" s="13">
        <f>IF(B91="","",SUMIFS(Packages!$D$6:$D$505,Packages!$C$6:$C$505,B91,Packages!$M$6:$M$505,1))</f>
        <v/>
      </c>
      <c r="K91" s="13">
        <f>IF(B91="","",SUMIFS(Sessions!$K$6:$K$3005,Sessions!$D$6:$D$3005,B91))</f>
        <v/>
      </c>
      <c r="L91" s="22">
        <f>IF(OR(B91="",J91=0),"",J91-K91)</f>
        <v/>
      </c>
      <c r="M91" s="23">
        <f>IF(B91="","",IF(SUMPRODUCT(MAX((Sessions!$D$6:$D$3005=B91)*Sessions!$L$6:$L$3005*Sessions!$I$6:$I$3005))=0,"",SUMPRODUCT(MAX((Sessions!$D$6:$D$3005=B91)*Sessions!$L$6:$L$3005*Sessions!$I$6:$I$3005))))</f>
        <v/>
      </c>
      <c r="N91" s="23">
        <f>IF(OR(B91="",F91="Finished"),"",IF(S91&gt;0,S91+7*N(Settings!$C$8),IF(ISNUMBER(D91),INT(D91)+7*N(Settings!$C$8),"")))</f>
        <v/>
      </c>
      <c r="O91" s="16">
        <f>IF(B91="","",SUMIFS(Packages!$J$6:$J$505,Packages!$C$6:$C$505,B91,Packages!$M$6:$M$505,1))</f>
        <v/>
      </c>
      <c r="P91" s="24">
        <f>IF(B91="","",IF(COUNTIF(Clients!$B$6:$B$105,B91)&gt;1,"Listed twice",IF(O91&gt;0,"Owes money",IF(F91="Finished","",IF(F91="Paused","",IF(AND(J91&gt;0,L91&lt;=0),"No sessions left",IF(AND(J91&gt;0,L91&lt;=N(Settings!$C$7)),"Few sessions left",IF(AND(Q91&gt;0,L91&gt;0,Q91&lt;TODAY()),"Package expired",IF(AND(Q91&gt;0,L91&gt;0,Q91-TODAY()&lt;=14),"Package ends soon",IF(AND(N91&lt;&gt;"",N91&lt;=TODAY()),"Check-in due","")))))))))</f>
        <v/>
      </c>
      <c r="Q91" s="1">
        <f>IF(B91="",0,SUMPRODUCT(MAX((Packages!$C$6:$C$505=B91)*Packages!$N$6:$N$505)))</f>
        <v/>
      </c>
      <c r="R91">
        <f>IF(P91&lt;&gt;"",ROW(),"")</f>
        <v/>
      </c>
      <c r="S91">
        <f>IF(B91="",0,SUMPRODUCT(MAX(('Check-ins'!$C$6:$C$1505=B91)*'Check-ins'!$P$6:$P$1505)))</f>
        <v/>
      </c>
      <c r="T91">
        <f>IF(AND(B91&lt;&gt;"",F91&lt;&gt;"Paused",F91&lt;&gt;"Finished",J91&gt;0,L91&lt;=N(Settings!$C$7)),1,0)</f>
        <v/>
      </c>
      <c r="U91">
        <f>IF(AND(B91&lt;&gt;"",F91&lt;&gt;"Paused",F91&lt;&gt;"Finished",N91&lt;&gt;"",N91&lt;=TODAY()),1,0)</f>
        <v/>
      </c>
      <c r="V91">
        <f>IF(AND(B91&lt;&gt;"",F91&lt;&gt;"Paused",F91&lt;&gt;"Finished"),1,0)</f>
        <v/>
      </c>
    </row>
    <row r="92">
      <c r="A92" s="1" t="n"/>
      <c r="B92" s="19" t="n"/>
      <c r="C92" s="21" t="n"/>
      <c r="D92" s="17" t="n"/>
      <c r="E92" s="21" t="n"/>
      <c r="F92" s="20" t="n"/>
      <c r="G92" s="13">
        <f>IF(B92="","",SUMIFS(Sessions!$L$6:$L$3005,Sessions!$D$6:$D$3005,B92))</f>
        <v/>
      </c>
      <c r="H92" s="13">
        <f>IF(B92="","",SUMIFS(Sessions!$L$6:$L$3005,Sessions!$D$6:$D$3005,B92,Sessions!$J$6:$J$3005,(YEAR(TODAY())*100+MONTH(TODAY()))))</f>
        <v/>
      </c>
      <c r="I92" s="13">
        <f>IF(B92="","",SUMIFS(Sessions!$M$6:$M$3005,Sessions!$D$6:$D$3005,B92))</f>
        <v/>
      </c>
      <c r="J92" s="13">
        <f>IF(B92="","",SUMIFS(Packages!$D$6:$D$505,Packages!$C$6:$C$505,B92,Packages!$M$6:$M$505,1))</f>
        <v/>
      </c>
      <c r="K92" s="13">
        <f>IF(B92="","",SUMIFS(Sessions!$K$6:$K$3005,Sessions!$D$6:$D$3005,B92))</f>
        <v/>
      </c>
      <c r="L92" s="22">
        <f>IF(OR(B92="",J92=0),"",J92-K92)</f>
        <v/>
      </c>
      <c r="M92" s="23">
        <f>IF(B92="","",IF(SUMPRODUCT(MAX((Sessions!$D$6:$D$3005=B92)*Sessions!$L$6:$L$3005*Sessions!$I$6:$I$3005))=0,"",SUMPRODUCT(MAX((Sessions!$D$6:$D$3005=B92)*Sessions!$L$6:$L$3005*Sessions!$I$6:$I$3005))))</f>
        <v/>
      </c>
      <c r="N92" s="23">
        <f>IF(OR(B92="",F92="Finished"),"",IF(S92&gt;0,S92+7*N(Settings!$C$8),IF(ISNUMBER(D92),INT(D92)+7*N(Settings!$C$8),"")))</f>
        <v/>
      </c>
      <c r="O92" s="16">
        <f>IF(B92="","",SUMIFS(Packages!$J$6:$J$505,Packages!$C$6:$C$505,B92,Packages!$M$6:$M$505,1))</f>
        <v/>
      </c>
      <c r="P92" s="24">
        <f>IF(B92="","",IF(COUNTIF(Clients!$B$6:$B$105,B92)&gt;1,"Listed twice",IF(O92&gt;0,"Owes money",IF(F92="Finished","",IF(F92="Paused","",IF(AND(J92&gt;0,L92&lt;=0),"No sessions left",IF(AND(J92&gt;0,L92&lt;=N(Settings!$C$7)),"Few sessions left",IF(AND(Q92&gt;0,L92&gt;0,Q92&lt;TODAY()),"Package expired",IF(AND(Q92&gt;0,L92&gt;0,Q92-TODAY()&lt;=14),"Package ends soon",IF(AND(N92&lt;&gt;"",N92&lt;=TODAY()),"Check-in due","")))))))))</f>
        <v/>
      </c>
      <c r="Q92" s="1">
        <f>IF(B92="",0,SUMPRODUCT(MAX((Packages!$C$6:$C$505=B92)*Packages!$N$6:$N$505)))</f>
        <v/>
      </c>
      <c r="R92">
        <f>IF(P92&lt;&gt;"",ROW(),"")</f>
        <v/>
      </c>
      <c r="S92">
        <f>IF(B92="",0,SUMPRODUCT(MAX(('Check-ins'!$C$6:$C$1505=B92)*'Check-ins'!$P$6:$P$1505)))</f>
        <v/>
      </c>
      <c r="T92">
        <f>IF(AND(B92&lt;&gt;"",F92&lt;&gt;"Paused",F92&lt;&gt;"Finished",J92&gt;0,L92&lt;=N(Settings!$C$7)),1,0)</f>
        <v/>
      </c>
      <c r="U92">
        <f>IF(AND(B92&lt;&gt;"",F92&lt;&gt;"Paused",F92&lt;&gt;"Finished",N92&lt;&gt;"",N92&lt;=TODAY()),1,0)</f>
        <v/>
      </c>
      <c r="V92">
        <f>IF(AND(B92&lt;&gt;"",F92&lt;&gt;"Paused",F92&lt;&gt;"Finished"),1,0)</f>
        <v/>
      </c>
    </row>
    <row r="93">
      <c r="A93" s="1" t="n"/>
      <c r="B93" s="19" t="n"/>
      <c r="C93" s="21" t="n"/>
      <c r="D93" s="17" t="n"/>
      <c r="E93" s="21" t="n"/>
      <c r="F93" s="20" t="n"/>
      <c r="G93" s="13">
        <f>IF(B93="","",SUMIFS(Sessions!$L$6:$L$3005,Sessions!$D$6:$D$3005,B93))</f>
        <v/>
      </c>
      <c r="H93" s="13">
        <f>IF(B93="","",SUMIFS(Sessions!$L$6:$L$3005,Sessions!$D$6:$D$3005,B93,Sessions!$J$6:$J$3005,(YEAR(TODAY())*100+MONTH(TODAY()))))</f>
        <v/>
      </c>
      <c r="I93" s="13">
        <f>IF(B93="","",SUMIFS(Sessions!$M$6:$M$3005,Sessions!$D$6:$D$3005,B93))</f>
        <v/>
      </c>
      <c r="J93" s="13">
        <f>IF(B93="","",SUMIFS(Packages!$D$6:$D$505,Packages!$C$6:$C$505,B93,Packages!$M$6:$M$505,1))</f>
        <v/>
      </c>
      <c r="K93" s="13">
        <f>IF(B93="","",SUMIFS(Sessions!$K$6:$K$3005,Sessions!$D$6:$D$3005,B93))</f>
        <v/>
      </c>
      <c r="L93" s="22">
        <f>IF(OR(B93="",J93=0),"",J93-K93)</f>
        <v/>
      </c>
      <c r="M93" s="23">
        <f>IF(B93="","",IF(SUMPRODUCT(MAX((Sessions!$D$6:$D$3005=B93)*Sessions!$L$6:$L$3005*Sessions!$I$6:$I$3005))=0,"",SUMPRODUCT(MAX((Sessions!$D$6:$D$3005=B93)*Sessions!$L$6:$L$3005*Sessions!$I$6:$I$3005))))</f>
        <v/>
      </c>
      <c r="N93" s="23">
        <f>IF(OR(B93="",F93="Finished"),"",IF(S93&gt;0,S93+7*N(Settings!$C$8),IF(ISNUMBER(D93),INT(D93)+7*N(Settings!$C$8),"")))</f>
        <v/>
      </c>
      <c r="O93" s="16">
        <f>IF(B93="","",SUMIFS(Packages!$J$6:$J$505,Packages!$C$6:$C$505,B93,Packages!$M$6:$M$505,1))</f>
        <v/>
      </c>
      <c r="P93" s="24">
        <f>IF(B93="","",IF(COUNTIF(Clients!$B$6:$B$105,B93)&gt;1,"Listed twice",IF(O93&gt;0,"Owes money",IF(F93="Finished","",IF(F93="Paused","",IF(AND(J93&gt;0,L93&lt;=0),"No sessions left",IF(AND(J93&gt;0,L93&lt;=N(Settings!$C$7)),"Few sessions left",IF(AND(Q93&gt;0,L93&gt;0,Q93&lt;TODAY()),"Package expired",IF(AND(Q93&gt;0,L93&gt;0,Q93-TODAY()&lt;=14),"Package ends soon",IF(AND(N93&lt;&gt;"",N93&lt;=TODAY()),"Check-in due","")))))))))</f>
        <v/>
      </c>
      <c r="Q93" s="1">
        <f>IF(B93="",0,SUMPRODUCT(MAX((Packages!$C$6:$C$505=B93)*Packages!$N$6:$N$505)))</f>
        <v/>
      </c>
      <c r="R93">
        <f>IF(P93&lt;&gt;"",ROW(),"")</f>
        <v/>
      </c>
      <c r="S93">
        <f>IF(B93="",0,SUMPRODUCT(MAX(('Check-ins'!$C$6:$C$1505=B93)*'Check-ins'!$P$6:$P$1505)))</f>
        <v/>
      </c>
      <c r="T93">
        <f>IF(AND(B93&lt;&gt;"",F93&lt;&gt;"Paused",F93&lt;&gt;"Finished",J93&gt;0,L93&lt;=N(Settings!$C$7)),1,0)</f>
        <v/>
      </c>
      <c r="U93">
        <f>IF(AND(B93&lt;&gt;"",F93&lt;&gt;"Paused",F93&lt;&gt;"Finished",N93&lt;&gt;"",N93&lt;=TODAY()),1,0)</f>
        <v/>
      </c>
      <c r="V93">
        <f>IF(AND(B93&lt;&gt;"",F93&lt;&gt;"Paused",F93&lt;&gt;"Finished"),1,0)</f>
        <v/>
      </c>
    </row>
    <row r="94">
      <c r="A94" s="1" t="n"/>
      <c r="B94" s="19" t="n"/>
      <c r="C94" s="21" t="n"/>
      <c r="D94" s="17" t="n"/>
      <c r="E94" s="21" t="n"/>
      <c r="F94" s="20" t="n"/>
      <c r="G94" s="13">
        <f>IF(B94="","",SUMIFS(Sessions!$L$6:$L$3005,Sessions!$D$6:$D$3005,B94))</f>
        <v/>
      </c>
      <c r="H94" s="13">
        <f>IF(B94="","",SUMIFS(Sessions!$L$6:$L$3005,Sessions!$D$6:$D$3005,B94,Sessions!$J$6:$J$3005,(YEAR(TODAY())*100+MONTH(TODAY()))))</f>
        <v/>
      </c>
      <c r="I94" s="13">
        <f>IF(B94="","",SUMIFS(Sessions!$M$6:$M$3005,Sessions!$D$6:$D$3005,B94))</f>
        <v/>
      </c>
      <c r="J94" s="13">
        <f>IF(B94="","",SUMIFS(Packages!$D$6:$D$505,Packages!$C$6:$C$505,B94,Packages!$M$6:$M$505,1))</f>
        <v/>
      </c>
      <c r="K94" s="13">
        <f>IF(B94="","",SUMIFS(Sessions!$K$6:$K$3005,Sessions!$D$6:$D$3005,B94))</f>
        <v/>
      </c>
      <c r="L94" s="22">
        <f>IF(OR(B94="",J94=0),"",J94-K94)</f>
        <v/>
      </c>
      <c r="M94" s="23">
        <f>IF(B94="","",IF(SUMPRODUCT(MAX((Sessions!$D$6:$D$3005=B94)*Sessions!$L$6:$L$3005*Sessions!$I$6:$I$3005))=0,"",SUMPRODUCT(MAX((Sessions!$D$6:$D$3005=B94)*Sessions!$L$6:$L$3005*Sessions!$I$6:$I$3005))))</f>
        <v/>
      </c>
      <c r="N94" s="23">
        <f>IF(OR(B94="",F94="Finished"),"",IF(S94&gt;0,S94+7*N(Settings!$C$8),IF(ISNUMBER(D94),INT(D94)+7*N(Settings!$C$8),"")))</f>
        <v/>
      </c>
      <c r="O94" s="16">
        <f>IF(B94="","",SUMIFS(Packages!$J$6:$J$505,Packages!$C$6:$C$505,B94,Packages!$M$6:$M$505,1))</f>
        <v/>
      </c>
      <c r="P94" s="24">
        <f>IF(B94="","",IF(COUNTIF(Clients!$B$6:$B$105,B94)&gt;1,"Listed twice",IF(O94&gt;0,"Owes money",IF(F94="Finished","",IF(F94="Paused","",IF(AND(J94&gt;0,L94&lt;=0),"No sessions left",IF(AND(J94&gt;0,L94&lt;=N(Settings!$C$7)),"Few sessions left",IF(AND(Q94&gt;0,L94&gt;0,Q94&lt;TODAY()),"Package expired",IF(AND(Q94&gt;0,L94&gt;0,Q94-TODAY()&lt;=14),"Package ends soon",IF(AND(N94&lt;&gt;"",N94&lt;=TODAY()),"Check-in due","")))))))))</f>
        <v/>
      </c>
      <c r="Q94" s="1">
        <f>IF(B94="",0,SUMPRODUCT(MAX((Packages!$C$6:$C$505=B94)*Packages!$N$6:$N$505)))</f>
        <v/>
      </c>
      <c r="R94">
        <f>IF(P94&lt;&gt;"",ROW(),"")</f>
        <v/>
      </c>
      <c r="S94">
        <f>IF(B94="",0,SUMPRODUCT(MAX(('Check-ins'!$C$6:$C$1505=B94)*'Check-ins'!$P$6:$P$1505)))</f>
        <v/>
      </c>
      <c r="T94">
        <f>IF(AND(B94&lt;&gt;"",F94&lt;&gt;"Paused",F94&lt;&gt;"Finished",J94&gt;0,L94&lt;=N(Settings!$C$7)),1,0)</f>
        <v/>
      </c>
      <c r="U94">
        <f>IF(AND(B94&lt;&gt;"",F94&lt;&gt;"Paused",F94&lt;&gt;"Finished",N94&lt;&gt;"",N94&lt;=TODAY()),1,0)</f>
        <v/>
      </c>
      <c r="V94">
        <f>IF(AND(B94&lt;&gt;"",F94&lt;&gt;"Paused",F94&lt;&gt;"Finished"),1,0)</f>
        <v/>
      </c>
    </row>
    <row r="95">
      <c r="A95" s="1" t="n"/>
      <c r="B95" s="19" t="n"/>
      <c r="C95" s="21" t="n"/>
      <c r="D95" s="17" t="n"/>
      <c r="E95" s="21" t="n"/>
      <c r="F95" s="20" t="n"/>
      <c r="G95" s="13">
        <f>IF(B95="","",SUMIFS(Sessions!$L$6:$L$3005,Sessions!$D$6:$D$3005,B95))</f>
        <v/>
      </c>
      <c r="H95" s="13">
        <f>IF(B95="","",SUMIFS(Sessions!$L$6:$L$3005,Sessions!$D$6:$D$3005,B95,Sessions!$J$6:$J$3005,(YEAR(TODAY())*100+MONTH(TODAY()))))</f>
        <v/>
      </c>
      <c r="I95" s="13">
        <f>IF(B95="","",SUMIFS(Sessions!$M$6:$M$3005,Sessions!$D$6:$D$3005,B95))</f>
        <v/>
      </c>
      <c r="J95" s="13">
        <f>IF(B95="","",SUMIFS(Packages!$D$6:$D$505,Packages!$C$6:$C$505,B95,Packages!$M$6:$M$505,1))</f>
        <v/>
      </c>
      <c r="K95" s="13">
        <f>IF(B95="","",SUMIFS(Sessions!$K$6:$K$3005,Sessions!$D$6:$D$3005,B95))</f>
        <v/>
      </c>
      <c r="L95" s="22">
        <f>IF(OR(B95="",J95=0),"",J95-K95)</f>
        <v/>
      </c>
      <c r="M95" s="23">
        <f>IF(B95="","",IF(SUMPRODUCT(MAX((Sessions!$D$6:$D$3005=B95)*Sessions!$L$6:$L$3005*Sessions!$I$6:$I$3005))=0,"",SUMPRODUCT(MAX((Sessions!$D$6:$D$3005=B95)*Sessions!$L$6:$L$3005*Sessions!$I$6:$I$3005))))</f>
        <v/>
      </c>
      <c r="N95" s="23">
        <f>IF(OR(B95="",F95="Finished"),"",IF(S95&gt;0,S95+7*N(Settings!$C$8),IF(ISNUMBER(D95),INT(D95)+7*N(Settings!$C$8),"")))</f>
        <v/>
      </c>
      <c r="O95" s="16">
        <f>IF(B95="","",SUMIFS(Packages!$J$6:$J$505,Packages!$C$6:$C$505,B95,Packages!$M$6:$M$505,1))</f>
        <v/>
      </c>
      <c r="P95" s="24">
        <f>IF(B95="","",IF(COUNTIF(Clients!$B$6:$B$105,B95)&gt;1,"Listed twice",IF(O95&gt;0,"Owes money",IF(F95="Finished","",IF(F95="Paused","",IF(AND(J95&gt;0,L95&lt;=0),"No sessions left",IF(AND(J95&gt;0,L95&lt;=N(Settings!$C$7)),"Few sessions left",IF(AND(Q95&gt;0,L95&gt;0,Q95&lt;TODAY()),"Package expired",IF(AND(Q95&gt;0,L95&gt;0,Q95-TODAY()&lt;=14),"Package ends soon",IF(AND(N95&lt;&gt;"",N95&lt;=TODAY()),"Check-in due","")))))))))</f>
        <v/>
      </c>
      <c r="Q95" s="1">
        <f>IF(B95="",0,SUMPRODUCT(MAX((Packages!$C$6:$C$505=B95)*Packages!$N$6:$N$505)))</f>
        <v/>
      </c>
      <c r="R95">
        <f>IF(P95&lt;&gt;"",ROW(),"")</f>
        <v/>
      </c>
      <c r="S95">
        <f>IF(B95="",0,SUMPRODUCT(MAX(('Check-ins'!$C$6:$C$1505=B95)*'Check-ins'!$P$6:$P$1505)))</f>
        <v/>
      </c>
      <c r="T95">
        <f>IF(AND(B95&lt;&gt;"",F95&lt;&gt;"Paused",F95&lt;&gt;"Finished",J95&gt;0,L95&lt;=N(Settings!$C$7)),1,0)</f>
        <v/>
      </c>
      <c r="U95">
        <f>IF(AND(B95&lt;&gt;"",F95&lt;&gt;"Paused",F95&lt;&gt;"Finished",N95&lt;&gt;"",N95&lt;=TODAY()),1,0)</f>
        <v/>
      </c>
      <c r="V95">
        <f>IF(AND(B95&lt;&gt;"",F95&lt;&gt;"Paused",F95&lt;&gt;"Finished"),1,0)</f>
        <v/>
      </c>
    </row>
    <row r="96">
      <c r="A96" s="1" t="n"/>
      <c r="B96" s="19" t="n"/>
      <c r="C96" s="21" t="n"/>
      <c r="D96" s="17" t="n"/>
      <c r="E96" s="21" t="n"/>
      <c r="F96" s="20" t="n"/>
      <c r="G96" s="13">
        <f>IF(B96="","",SUMIFS(Sessions!$L$6:$L$3005,Sessions!$D$6:$D$3005,B96))</f>
        <v/>
      </c>
      <c r="H96" s="13">
        <f>IF(B96="","",SUMIFS(Sessions!$L$6:$L$3005,Sessions!$D$6:$D$3005,B96,Sessions!$J$6:$J$3005,(YEAR(TODAY())*100+MONTH(TODAY()))))</f>
        <v/>
      </c>
      <c r="I96" s="13">
        <f>IF(B96="","",SUMIFS(Sessions!$M$6:$M$3005,Sessions!$D$6:$D$3005,B96))</f>
        <v/>
      </c>
      <c r="J96" s="13">
        <f>IF(B96="","",SUMIFS(Packages!$D$6:$D$505,Packages!$C$6:$C$505,B96,Packages!$M$6:$M$505,1))</f>
        <v/>
      </c>
      <c r="K96" s="13">
        <f>IF(B96="","",SUMIFS(Sessions!$K$6:$K$3005,Sessions!$D$6:$D$3005,B96))</f>
        <v/>
      </c>
      <c r="L96" s="22">
        <f>IF(OR(B96="",J96=0),"",J96-K96)</f>
        <v/>
      </c>
      <c r="M96" s="23">
        <f>IF(B96="","",IF(SUMPRODUCT(MAX((Sessions!$D$6:$D$3005=B96)*Sessions!$L$6:$L$3005*Sessions!$I$6:$I$3005))=0,"",SUMPRODUCT(MAX((Sessions!$D$6:$D$3005=B96)*Sessions!$L$6:$L$3005*Sessions!$I$6:$I$3005))))</f>
        <v/>
      </c>
      <c r="N96" s="23">
        <f>IF(OR(B96="",F96="Finished"),"",IF(S96&gt;0,S96+7*N(Settings!$C$8),IF(ISNUMBER(D96),INT(D96)+7*N(Settings!$C$8),"")))</f>
        <v/>
      </c>
      <c r="O96" s="16">
        <f>IF(B96="","",SUMIFS(Packages!$J$6:$J$505,Packages!$C$6:$C$505,B96,Packages!$M$6:$M$505,1))</f>
        <v/>
      </c>
      <c r="P96" s="24">
        <f>IF(B96="","",IF(COUNTIF(Clients!$B$6:$B$105,B96)&gt;1,"Listed twice",IF(O96&gt;0,"Owes money",IF(F96="Finished","",IF(F96="Paused","",IF(AND(J96&gt;0,L96&lt;=0),"No sessions left",IF(AND(J96&gt;0,L96&lt;=N(Settings!$C$7)),"Few sessions left",IF(AND(Q96&gt;0,L96&gt;0,Q96&lt;TODAY()),"Package expired",IF(AND(Q96&gt;0,L96&gt;0,Q96-TODAY()&lt;=14),"Package ends soon",IF(AND(N96&lt;&gt;"",N96&lt;=TODAY()),"Check-in due","")))))))))</f>
        <v/>
      </c>
      <c r="Q96" s="1">
        <f>IF(B96="",0,SUMPRODUCT(MAX((Packages!$C$6:$C$505=B96)*Packages!$N$6:$N$505)))</f>
        <v/>
      </c>
      <c r="R96">
        <f>IF(P96&lt;&gt;"",ROW(),"")</f>
        <v/>
      </c>
      <c r="S96">
        <f>IF(B96="",0,SUMPRODUCT(MAX(('Check-ins'!$C$6:$C$1505=B96)*'Check-ins'!$P$6:$P$1505)))</f>
        <v/>
      </c>
      <c r="T96">
        <f>IF(AND(B96&lt;&gt;"",F96&lt;&gt;"Paused",F96&lt;&gt;"Finished",J96&gt;0,L96&lt;=N(Settings!$C$7)),1,0)</f>
        <v/>
      </c>
      <c r="U96">
        <f>IF(AND(B96&lt;&gt;"",F96&lt;&gt;"Paused",F96&lt;&gt;"Finished",N96&lt;&gt;"",N96&lt;=TODAY()),1,0)</f>
        <v/>
      </c>
      <c r="V96">
        <f>IF(AND(B96&lt;&gt;"",F96&lt;&gt;"Paused",F96&lt;&gt;"Finished"),1,0)</f>
        <v/>
      </c>
    </row>
    <row r="97">
      <c r="A97" s="1" t="n"/>
      <c r="B97" s="19" t="n"/>
      <c r="C97" s="21" t="n"/>
      <c r="D97" s="17" t="n"/>
      <c r="E97" s="21" t="n"/>
      <c r="F97" s="20" t="n"/>
      <c r="G97" s="13">
        <f>IF(B97="","",SUMIFS(Sessions!$L$6:$L$3005,Sessions!$D$6:$D$3005,B97))</f>
        <v/>
      </c>
      <c r="H97" s="13">
        <f>IF(B97="","",SUMIFS(Sessions!$L$6:$L$3005,Sessions!$D$6:$D$3005,B97,Sessions!$J$6:$J$3005,(YEAR(TODAY())*100+MONTH(TODAY()))))</f>
        <v/>
      </c>
      <c r="I97" s="13">
        <f>IF(B97="","",SUMIFS(Sessions!$M$6:$M$3005,Sessions!$D$6:$D$3005,B97))</f>
        <v/>
      </c>
      <c r="J97" s="13">
        <f>IF(B97="","",SUMIFS(Packages!$D$6:$D$505,Packages!$C$6:$C$505,B97,Packages!$M$6:$M$505,1))</f>
        <v/>
      </c>
      <c r="K97" s="13">
        <f>IF(B97="","",SUMIFS(Sessions!$K$6:$K$3005,Sessions!$D$6:$D$3005,B97))</f>
        <v/>
      </c>
      <c r="L97" s="22">
        <f>IF(OR(B97="",J97=0),"",J97-K97)</f>
        <v/>
      </c>
      <c r="M97" s="23">
        <f>IF(B97="","",IF(SUMPRODUCT(MAX((Sessions!$D$6:$D$3005=B97)*Sessions!$L$6:$L$3005*Sessions!$I$6:$I$3005))=0,"",SUMPRODUCT(MAX((Sessions!$D$6:$D$3005=B97)*Sessions!$L$6:$L$3005*Sessions!$I$6:$I$3005))))</f>
        <v/>
      </c>
      <c r="N97" s="23">
        <f>IF(OR(B97="",F97="Finished"),"",IF(S97&gt;0,S97+7*N(Settings!$C$8),IF(ISNUMBER(D97),INT(D97)+7*N(Settings!$C$8),"")))</f>
        <v/>
      </c>
      <c r="O97" s="16">
        <f>IF(B97="","",SUMIFS(Packages!$J$6:$J$505,Packages!$C$6:$C$505,B97,Packages!$M$6:$M$505,1))</f>
        <v/>
      </c>
      <c r="P97" s="24">
        <f>IF(B97="","",IF(COUNTIF(Clients!$B$6:$B$105,B97)&gt;1,"Listed twice",IF(O97&gt;0,"Owes money",IF(F97="Finished","",IF(F97="Paused","",IF(AND(J97&gt;0,L97&lt;=0),"No sessions left",IF(AND(J97&gt;0,L97&lt;=N(Settings!$C$7)),"Few sessions left",IF(AND(Q97&gt;0,L97&gt;0,Q97&lt;TODAY()),"Package expired",IF(AND(Q97&gt;0,L97&gt;0,Q97-TODAY()&lt;=14),"Package ends soon",IF(AND(N97&lt;&gt;"",N97&lt;=TODAY()),"Check-in due","")))))))))</f>
        <v/>
      </c>
      <c r="Q97" s="1">
        <f>IF(B97="",0,SUMPRODUCT(MAX((Packages!$C$6:$C$505=B97)*Packages!$N$6:$N$505)))</f>
        <v/>
      </c>
      <c r="R97">
        <f>IF(P97&lt;&gt;"",ROW(),"")</f>
        <v/>
      </c>
      <c r="S97">
        <f>IF(B97="",0,SUMPRODUCT(MAX(('Check-ins'!$C$6:$C$1505=B97)*'Check-ins'!$P$6:$P$1505)))</f>
        <v/>
      </c>
      <c r="T97">
        <f>IF(AND(B97&lt;&gt;"",F97&lt;&gt;"Paused",F97&lt;&gt;"Finished",J97&gt;0,L97&lt;=N(Settings!$C$7)),1,0)</f>
        <v/>
      </c>
      <c r="U97">
        <f>IF(AND(B97&lt;&gt;"",F97&lt;&gt;"Paused",F97&lt;&gt;"Finished",N97&lt;&gt;"",N97&lt;=TODAY()),1,0)</f>
        <v/>
      </c>
      <c r="V97">
        <f>IF(AND(B97&lt;&gt;"",F97&lt;&gt;"Paused",F97&lt;&gt;"Finished"),1,0)</f>
        <v/>
      </c>
    </row>
    <row r="98">
      <c r="A98" s="1" t="n"/>
      <c r="B98" s="19" t="n"/>
      <c r="C98" s="21" t="n"/>
      <c r="D98" s="17" t="n"/>
      <c r="E98" s="21" t="n"/>
      <c r="F98" s="20" t="n"/>
      <c r="G98" s="13">
        <f>IF(B98="","",SUMIFS(Sessions!$L$6:$L$3005,Sessions!$D$6:$D$3005,B98))</f>
        <v/>
      </c>
      <c r="H98" s="13">
        <f>IF(B98="","",SUMIFS(Sessions!$L$6:$L$3005,Sessions!$D$6:$D$3005,B98,Sessions!$J$6:$J$3005,(YEAR(TODAY())*100+MONTH(TODAY()))))</f>
        <v/>
      </c>
      <c r="I98" s="13">
        <f>IF(B98="","",SUMIFS(Sessions!$M$6:$M$3005,Sessions!$D$6:$D$3005,B98))</f>
        <v/>
      </c>
      <c r="J98" s="13">
        <f>IF(B98="","",SUMIFS(Packages!$D$6:$D$505,Packages!$C$6:$C$505,B98,Packages!$M$6:$M$505,1))</f>
        <v/>
      </c>
      <c r="K98" s="13">
        <f>IF(B98="","",SUMIFS(Sessions!$K$6:$K$3005,Sessions!$D$6:$D$3005,B98))</f>
        <v/>
      </c>
      <c r="L98" s="22">
        <f>IF(OR(B98="",J98=0),"",J98-K98)</f>
        <v/>
      </c>
      <c r="M98" s="23">
        <f>IF(B98="","",IF(SUMPRODUCT(MAX((Sessions!$D$6:$D$3005=B98)*Sessions!$L$6:$L$3005*Sessions!$I$6:$I$3005))=0,"",SUMPRODUCT(MAX((Sessions!$D$6:$D$3005=B98)*Sessions!$L$6:$L$3005*Sessions!$I$6:$I$3005))))</f>
        <v/>
      </c>
      <c r="N98" s="23">
        <f>IF(OR(B98="",F98="Finished"),"",IF(S98&gt;0,S98+7*N(Settings!$C$8),IF(ISNUMBER(D98),INT(D98)+7*N(Settings!$C$8),"")))</f>
        <v/>
      </c>
      <c r="O98" s="16">
        <f>IF(B98="","",SUMIFS(Packages!$J$6:$J$505,Packages!$C$6:$C$505,B98,Packages!$M$6:$M$505,1))</f>
        <v/>
      </c>
      <c r="P98" s="24">
        <f>IF(B98="","",IF(COUNTIF(Clients!$B$6:$B$105,B98)&gt;1,"Listed twice",IF(O98&gt;0,"Owes money",IF(F98="Finished","",IF(F98="Paused","",IF(AND(J98&gt;0,L98&lt;=0),"No sessions left",IF(AND(J98&gt;0,L98&lt;=N(Settings!$C$7)),"Few sessions left",IF(AND(Q98&gt;0,L98&gt;0,Q98&lt;TODAY()),"Package expired",IF(AND(Q98&gt;0,L98&gt;0,Q98-TODAY()&lt;=14),"Package ends soon",IF(AND(N98&lt;&gt;"",N98&lt;=TODAY()),"Check-in due","")))))))))</f>
        <v/>
      </c>
      <c r="Q98" s="1">
        <f>IF(B98="",0,SUMPRODUCT(MAX((Packages!$C$6:$C$505=B98)*Packages!$N$6:$N$505)))</f>
        <v/>
      </c>
      <c r="R98">
        <f>IF(P98&lt;&gt;"",ROW(),"")</f>
        <v/>
      </c>
      <c r="S98">
        <f>IF(B98="",0,SUMPRODUCT(MAX(('Check-ins'!$C$6:$C$1505=B98)*'Check-ins'!$P$6:$P$1505)))</f>
        <v/>
      </c>
      <c r="T98">
        <f>IF(AND(B98&lt;&gt;"",F98&lt;&gt;"Paused",F98&lt;&gt;"Finished",J98&gt;0,L98&lt;=N(Settings!$C$7)),1,0)</f>
        <v/>
      </c>
      <c r="U98">
        <f>IF(AND(B98&lt;&gt;"",F98&lt;&gt;"Paused",F98&lt;&gt;"Finished",N98&lt;&gt;"",N98&lt;=TODAY()),1,0)</f>
        <v/>
      </c>
      <c r="V98">
        <f>IF(AND(B98&lt;&gt;"",F98&lt;&gt;"Paused",F98&lt;&gt;"Finished"),1,0)</f>
        <v/>
      </c>
    </row>
    <row r="99">
      <c r="A99" s="1" t="n"/>
      <c r="B99" s="19" t="n"/>
      <c r="C99" s="21" t="n"/>
      <c r="D99" s="17" t="n"/>
      <c r="E99" s="21" t="n"/>
      <c r="F99" s="20" t="n"/>
      <c r="G99" s="13">
        <f>IF(B99="","",SUMIFS(Sessions!$L$6:$L$3005,Sessions!$D$6:$D$3005,B99))</f>
        <v/>
      </c>
      <c r="H99" s="13">
        <f>IF(B99="","",SUMIFS(Sessions!$L$6:$L$3005,Sessions!$D$6:$D$3005,B99,Sessions!$J$6:$J$3005,(YEAR(TODAY())*100+MONTH(TODAY()))))</f>
        <v/>
      </c>
      <c r="I99" s="13">
        <f>IF(B99="","",SUMIFS(Sessions!$M$6:$M$3005,Sessions!$D$6:$D$3005,B99))</f>
        <v/>
      </c>
      <c r="J99" s="13">
        <f>IF(B99="","",SUMIFS(Packages!$D$6:$D$505,Packages!$C$6:$C$505,B99,Packages!$M$6:$M$505,1))</f>
        <v/>
      </c>
      <c r="K99" s="13">
        <f>IF(B99="","",SUMIFS(Sessions!$K$6:$K$3005,Sessions!$D$6:$D$3005,B99))</f>
        <v/>
      </c>
      <c r="L99" s="22">
        <f>IF(OR(B99="",J99=0),"",J99-K99)</f>
        <v/>
      </c>
      <c r="M99" s="23">
        <f>IF(B99="","",IF(SUMPRODUCT(MAX((Sessions!$D$6:$D$3005=B99)*Sessions!$L$6:$L$3005*Sessions!$I$6:$I$3005))=0,"",SUMPRODUCT(MAX((Sessions!$D$6:$D$3005=B99)*Sessions!$L$6:$L$3005*Sessions!$I$6:$I$3005))))</f>
        <v/>
      </c>
      <c r="N99" s="23">
        <f>IF(OR(B99="",F99="Finished"),"",IF(S99&gt;0,S99+7*N(Settings!$C$8),IF(ISNUMBER(D99),INT(D99)+7*N(Settings!$C$8),"")))</f>
        <v/>
      </c>
      <c r="O99" s="16">
        <f>IF(B99="","",SUMIFS(Packages!$J$6:$J$505,Packages!$C$6:$C$505,B99,Packages!$M$6:$M$505,1))</f>
        <v/>
      </c>
      <c r="P99" s="24">
        <f>IF(B99="","",IF(COUNTIF(Clients!$B$6:$B$105,B99)&gt;1,"Listed twice",IF(O99&gt;0,"Owes money",IF(F99="Finished","",IF(F99="Paused","",IF(AND(J99&gt;0,L99&lt;=0),"No sessions left",IF(AND(J99&gt;0,L99&lt;=N(Settings!$C$7)),"Few sessions left",IF(AND(Q99&gt;0,L99&gt;0,Q99&lt;TODAY()),"Package expired",IF(AND(Q99&gt;0,L99&gt;0,Q99-TODAY()&lt;=14),"Package ends soon",IF(AND(N99&lt;&gt;"",N99&lt;=TODAY()),"Check-in due","")))))))))</f>
        <v/>
      </c>
      <c r="Q99" s="1">
        <f>IF(B99="",0,SUMPRODUCT(MAX((Packages!$C$6:$C$505=B99)*Packages!$N$6:$N$505)))</f>
        <v/>
      </c>
      <c r="R99">
        <f>IF(P99&lt;&gt;"",ROW(),"")</f>
        <v/>
      </c>
      <c r="S99">
        <f>IF(B99="",0,SUMPRODUCT(MAX(('Check-ins'!$C$6:$C$1505=B99)*'Check-ins'!$P$6:$P$1505)))</f>
        <v/>
      </c>
      <c r="T99">
        <f>IF(AND(B99&lt;&gt;"",F99&lt;&gt;"Paused",F99&lt;&gt;"Finished",J99&gt;0,L99&lt;=N(Settings!$C$7)),1,0)</f>
        <v/>
      </c>
      <c r="U99">
        <f>IF(AND(B99&lt;&gt;"",F99&lt;&gt;"Paused",F99&lt;&gt;"Finished",N99&lt;&gt;"",N99&lt;=TODAY()),1,0)</f>
        <v/>
      </c>
      <c r="V99">
        <f>IF(AND(B99&lt;&gt;"",F99&lt;&gt;"Paused",F99&lt;&gt;"Finished"),1,0)</f>
        <v/>
      </c>
    </row>
    <row r="100">
      <c r="A100" s="1" t="n"/>
      <c r="B100" s="19" t="n"/>
      <c r="C100" s="21" t="n"/>
      <c r="D100" s="17" t="n"/>
      <c r="E100" s="21" t="n"/>
      <c r="F100" s="20" t="n"/>
      <c r="G100" s="13">
        <f>IF(B100="","",SUMIFS(Sessions!$L$6:$L$3005,Sessions!$D$6:$D$3005,B100))</f>
        <v/>
      </c>
      <c r="H100" s="13">
        <f>IF(B100="","",SUMIFS(Sessions!$L$6:$L$3005,Sessions!$D$6:$D$3005,B100,Sessions!$J$6:$J$3005,(YEAR(TODAY())*100+MONTH(TODAY()))))</f>
        <v/>
      </c>
      <c r="I100" s="13">
        <f>IF(B100="","",SUMIFS(Sessions!$M$6:$M$3005,Sessions!$D$6:$D$3005,B100))</f>
        <v/>
      </c>
      <c r="J100" s="13">
        <f>IF(B100="","",SUMIFS(Packages!$D$6:$D$505,Packages!$C$6:$C$505,B100,Packages!$M$6:$M$505,1))</f>
        <v/>
      </c>
      <c r="K100" s="13">
        <f>IF(B100="","",SUMIFS(Sessions!$K$6:$K$3005,Sessions!$D$6:$D$3005,B100))</f>
        <v/>
      </c>
      <c r="L100" s="22">
        <f>IF(OR(B100="",J100=0),"",J100-K100)</f>
        <v/>
      </c>
      <c r="M100" s="23">
        <f>IF(B100="","",IF(SUMPRODUCT(MAX((Sessions!$D$6:$D$3005=B100)*Sessions!$L$6:$L$3005*Sessions!$I$6:$I$3005))=0,"",SUMPRODUCT(MAX((Sessions!$D$6:$D$3005=B100)*Sessions!$L$6:$L$3005*Sessions!$I$6:$I$3005))))</f>
        <v/>
      </c>
      <c r="N100" s="23">
        <f>IF(OR(B100="",F100="Finished"),"",IF(S100&gt;0,S100+7*N(Settings!$C$8),IF(ISNUMBER(D100),INT(D100)+7*N(Settings!$C$8),"")))</f>
        <v/>
      </c>
      <c r="O100" s="16">
        <f>IF(B100="","",SUMIFS(Packages!$J$6:$J$505,Packages!$C$6:$C$505,B100,Packages!$M$6:$M$505,1))</f>
        <v/>
      </c>
      <c r="P100" s="24">
        <f>IF(B100="","",IF(COUNTIF(Clients!$B$6:$B$105,B100)&gt;1,"Listed twice",IF(O100&gt;0,"Owes money",IF(F100="Finished","",IF(F100="Paused","",IF(AND(J100&gt;0,L100&lt;=0),"No sessions left",IF(AND(J100&gt;0,L100&lt;=N(Settings!$C$7)),"Few sessions left",IF(AND(Q100&gt;0,L100&gt;0,Q100&lt;TODAY()),"Package expired",IF(AND(Q100&gt;0,L100&gt;0,Q100-TODAY()&lt;=14),"Package ends soon",IF(AND(N100&lt;&gt;"",N100&lt;=TODAY()),"Check-in due","")))))))))</f>
        <v/>
      </c>
      <c r="Q100" s="1">
        <f>IF(B100="",0,SUMPRODUCT(MAX((Packages!$C$6:$C$505=B100)*Packages!$N$6:$N$505)))</f>
        <v/>
      </c>
      <c r="R100">
        <f>IF(P100&lt;&gt;"",ROW(),"")</f>
        <v/>
      </c>
      <c r="S100">
        <f>IF(B100="",0,SUMPRODUCT(MAX(('Check-ins'!$C$6:$C$1505=B100)*'Check-ins'!$P$6:$P$1505)))</f>
        <v/>
      </c>
      <c r="T100">
        <f>IF(AND(B100&lt;&gt;"",F100&lt;&gt;"Paused",F100&lt;&gt;"Finished",J100&gt;0,L100&lt;=N(Settings!$C$7)),1,0)</f>
        <v/>
      </c>
      <c r="U100">
        <f>IF(AND(B100&lt;&gt;"",F100&lt;&gt;"Paused",F100&lt;&gt;"Finished",N100&lt;&gt;"",N100&lt;=TODAY()),1,0)</f>
        <v/>
      </c>
      <c r="V100">
        <f>IF(AND(B100&lt;&gt;"",F100&lt;&gt;"Paused",F100&lt;&gt;"Finished"),1,0)</f>
        <v/>
      </c>
    </row>
    <row r="101">
      <c r="A101" s="1" t="n"/>
      <c r="B101" s="19" t="n"/>
      <c r="C101" s="21" t="n"/>
      <c r="D101" s="17" t="n"/>
      <c r="E101" s="21" t="n"/>
      <c r="F101" s="20" t="n"/>
      <c r="G101" s="13">
        <f>IF(B101="","",SUMIFS(Sessions!$L$6:$L$3005,Sessions!$D$6:$D$3005,B101))</f>
        <v/>
      </c>
      <c r="H101" s="13">
        <f>IF(B101="","",SUMIFS(Sessions!$L$6:$L$3005,Sessions!$D$6:$D$3005,B101,Sessions!$J$6:$J$3005,(YEAR(TODAY())*100+MONTH(TODAY()))))</f>
        <v/>
      </c>
      <c r="I101" s="13">
        <f>IF(B101="","",SUMIFS(Sessions!$M$6:$M$3005,Sessions!$D$6:$D$3005,B101))</f>
        <v/>
      </c>
      <c r="J101" s="13">
        <f>IF(B101="","",SUMIFS(Packages!$D$6:$D$505,Packages!$C$6:$C$505,B101,Packages!$M$6:$M$505,1))</f>
        <v/>
      </c>
      <c r="K101" s="13">
        <f>IF(B101="","",SUMIFS(Sessions!$K$6:$K$3005,Sessions!$D$6:$D$3005,B101))</f>
        <v/>
      </c>
      <c r="L101" s="22">
        <f>IF(OR(B101="",J101=0),"",J101-K101)</f>
        <v/>
      </c>
      <c r="M101" s="23">
        <f>IF(B101="","",IF(SUMPRODUCT(MAX((Sessions!$D$6:$D$3005=B101)*Sessions!$L$6:$L$3005*Sessions!$I$6:$I$3005))=0,"",SUMPRODUCT(MAX((Sessions!$D$6:$D$3005=B101)*Sessions!$L$6:$L$3005*Sessions!$I$6:$I$3005))))</f>
        <v/>
      </c>
      <c r="N101" s="23">
        <f>IF(OR(B101="",F101="Finished"),"",IF(S101&gt;0,S101+7*N(Settings!$C$8),IF(ISNUMBER(D101),INT(D101)+7*N(Settings!$C$8),"")))</f>
        <v/>
      </c>
      <c r="O101" s="16">
        <f>IF(B101="","",SUMIFS(Packages!$J$6:$J$505,Packages!$C$6:$C$505,B101,Packages!$M$6:$M$505,1))</f>
        <v/>
      </c>
      <c r="P101" s="24">
        <f>IF(B101="","",IF(COUNTIF(Clients!$B$6:$B$105,B101)&gt;1,"Listed twice",IF(O101&gt;0,"Owes money",IF(F101="Finished","",IF(F101="Paused","",IF(AND(J101&gt;0,L101&lt;=0),"No sessions left",IF(AND(J101&gt;0,L101&lt;=N(Settings!$C$7)),"Few sessions left",IF(AND(Q101&gt;0,L101&gt;0,Q101&lt;TODAY()),"Package expired",IF(AND(Q101&gt;0,L101&gt;0,Q101-TODAY()&lt;=14),"Package ends soon",IF(AND(N101&lt;&gt;"",N101&lt;=TODAY()),"Check-in due","")))))))))</f>
        <v/>
      </c>
      <c r="Q101" s="1">
        <f>IF(B101="",0,SUMPRODUCT(MAX((Packages!$C$6:$C$505=B101)*Packages!$N$6:$N$505)))</f>
        <v/>
      </c>
      <c r="R101">
        <f>IF(P101&lt;&gt;"",ROW(),"")</f>
        <v/>
      </c>
      <c r="S101">
        <f>IF(B101="",0,SUMPRODUCT(MAX(('Check-ins'!$C$6:$C$1505=B101)*'Check-ins'!$P$6:$P$1505)))</f>
        <v/>
      </c>
      <c r="T101">
        <f>IF(AND(B101&lt;&gt;"",F101&lt;&gt;"Paused",F101&lt;&gt;"Finished",J101&gt;0,L101&lt;=N(Settings!$C$7)),1,0)</f>
        <v/>
      </c>
      <c r="U101">
        <f>IF(AND(B101&lt;&gt;"",F101&lt;&gt;"Paused",F101&lt;&gt;"Finished",N101&lt;&gt;"",N101&lt;=TODAY()),1,0)</f>
        <v/>
      </c>
      <c r="V101">
        <f>IF(AND(B101&lt;&gt;"",F101&lt;&gt;"Paused",F101&lt;&gt;"Finished"),1,0)</f>
        <v/>
      </c>
    </row>
    <row r="102">
      <c r="A102" s="1" t="n"/>
      <c r="B102" s="19" t="n"/>
      <c r="C102" s="21" t="n"/>
      <c r="D102" s="17" t="n"/>
      <c r="E102" s="21" t="n"/>
      <c r="F102" s="20" t="n"/>
      <c r="G102" s="13">
        <f>IF(B102="","",SUMIFS(Sessions!$L$6:$L$3005,Sessions!$D$6:$D$3005,B102))</f>
        <v/>
      </c>
      <c r="H102" s="13">
        <f>IF(B102="","",SUMIFS(Sessions!$L$6:$L$3005,Sessions!$D$6:$D$3005,B102,Sessions!$J$6:$J$3005,(YEAR(TODAY())*100+MONTH(TODAY()))))</f>
        <v/>
      </c>
      <c r="I102" s="13">
        <f>IF(B102="","",SUMIFS(Sessions!$M$6:$M$3005,Sessions!$D$6:$D$3005,B102))</f>
        <v/>
      </c>
      <c r="J102" s="13">
        <f>IF(B102="","",SUMIFS(Packages!$D$6:$D$505,Packages!$C$6:$C$505,B102,Packages!$M$6:$M$505,1))</f>
        <v/>
      </c>
      <c r="K102" s="13">
        <f>IF(B102="","",SUMIFS(Sessions!$K$6:$K$3005,Sessions!$D$6:$D$3005,B102))</f>
        <v/>
      </c>
      <c r="L102" s="22">
        <f>IF(OR(B102="",J102=0),"",J102-K102)</f>
        <v/>
      </c>
      <c r="M102" s="23">
        <f>IF(B102="","",IF(SUMPRODUCT(MAX((Sessions!$D$6:$D$3005=B102)*Sessions!$L$6:$L$3005*Sessions!$I$6:$I$3005))=0,"",SUMPRODUCT(MAX((Sessions!$D$6:$D$3005=B102)*Sessions!$L$6:$L$3005*Sessions!$I$6:$I$3005))))</f>
        <v/>
      </c>
      <c r="N102" s="23">
        <f>IF(OR(B102="",F102="Finished"),"",IF(S102&gt;0,S102+7*N(Settings!$C$8),IF(ISNUMBER(D102),INT(D102)+7*N(Settings!$C$8),"")))</f>
        <v/>
      </c>
      <c r="O102" s="16">
        <f>IF(B102="","",SUMIFS(Packages!$J$6:$J$505,Packages!$C$6:$C$505,B102,Packages!$M$6:$M$505,1))</f>
        <v/>
      </c>
      <c r="P102" s="24">
        <f>IF(B102="","",IF(COUNTIF(Clients!$B$6:$B$105,B102)&gt;1,"Listed twice",IF(O102&gt;0,"Owes money",IF(F102="Finished","",IF(F102="Paused","",IF(AND(J102&gt;0,L102&lt;=0),"No sessions left",IF(AND(J102&gt;0,L102&lt;=N(Settings!$C$7)),"Few sessions left",IF(AND(Q102&gt;0,L102&gt;0,Q102&lt;TODAY()),"Package expired",IF(AND(Q102&gt;0,L102&gt;0,Q102-TODAY()&lt;=14),"Package ends soon",IF(AND(N102&lt;&gt;"",N102&lt;=TODAY()),"Check-in due","")))))))))</f>
        <v/>
      </c>
      <c r="Q102" s="1">
        <f>IF(B102="",0,SUMPRODUCT(MAX((Packages!$C$6:$C$505=B102)*Packages!$N$6:$N$505)))</f>
        <v/>
      </c>
      <c r="R102">
        <f>IF(P102&lt;&gt;"",ROW(),"")</f>
        <v/>
      </c>
      <c r="S102">
        <f>IF(B102="",0,SUMPRODUCT(MAX(('Check-ins'!$C$6:$C$1505=B102)*'Check-ins'!$P$6:$P$1505)))</f>
        <v/>
      </c>
      <c r="T102">
        <f>IF(AND(B102&lt;&gt;"",F102&lt;&gt;"Paused",F102&lt;&gt;"Finished",J102&gt;0,L102&lt;=N(Settings!$C$7)),1,0)</f>
        <v/>
      </c>
      <c r="U102">
        <f>IF(AND(B102&lt;&gt;"",F102&lt;&gt;"Paused",F102&lt;&gt;"Finished",N102&lt;&gt;"",N102&lt;=TODAY()),1,0)</f>
        <v/>
      </c>
      <c r="V102">
        <f>IF(AND(B102&lt;&gt;"",F102&lt;&gt;"Paused",F102&lt;&gt;"Finished"),1,0)</f>
        <v/>
      </c>
    </row>
    <row r="103">
      <c r="A103" s="1" t="n"/>
      <c r="B103" s="19" t="n"/>
      <c r="C103" s="21" t="n"/>
      <c r="D103" s="17" t="n"/>
      <c r="E103" s="21" t="n"/>
      <c r="F103" s="20" t="n"/>
      <c r="G103" s="13">
        <f>IF(B103="","",SUMIFS(Sessions!$L$6:$L$3005,Sessions!$D$6:$D$3005,B103))</f>
        <v/>
      </c>
      <c r="H103" s="13">
        <f>IF(B103="","",SUMIFS(Sessions!$L$6:$L$3005,Sessions!$D$6:$D$3005,B103,Sessions!$J$6:$J$3005,(YEAR(TODAY())*100+MONTH(TODAY()))))</f>
        <v/>
      </c>
      <c r="I103" s="13">
        <f>IF(B103="","",SUMIFS(Sessions!$M$6:$M$3005,Sessions!$D$6:$D$3005,B103))</f>
        <v/>
      </c>
      <c r="J103" s="13">
        <f>IF(B103="","",SUMIFS(Packages!$D$6:$D$505,Packages!$C$6:$C$505,B103,Packages!$M$6:$M$505,1))</f>
        <v/>
      </c>
      <c r="K103" s="13">
        <f>IF(B103="","",SUMIFS(Sessions!$K$6:$K$3005,Sessions!$D$6:$D$3005,B103))</f>
        <v/>
      </c>
      <c r="L103" s="22">
        <f>IF(OR(B103="",J103=0),"",J103-K103)</f>
        <v/>
      </c>
      <c r="M103" s="23">
        <f>IF(B103="","",IF(SUMPRODUCT(MAX((Sessions!$D$6:$D$3005=B103)*Sessions!$L$6:$L$3005*Sessions!$I$6:$I$3005))=0,"",SUMPRODUCT(MAX((Sessions!$D$6:$D$3005=B103)*Sessions!$L$6:$L$3005*Sessions!$I$6:$I$3005))))</f>
        <v/>
      </c>
      <c r="N103" s="23">
        <f>IF(OR(B103="",F103="Finished"),"",IF(S103&gt;0,S103+7*N(Settings!$C$8),IF(ISNUMBER(D103),INT(D103)+7*N(Settings!$C$8),"")))</f>
        <v/>
      </c>
      <c r="O103" s="16">
        <f>IF(B103="","",SUMIFS(Packages!$J$6:$J$505,Packages!$C$6:$C$505,B103,Packages!$M$6:$M$505,1))</f>
        <v/>
      </c>
      <c r="P103" s="24">
        <f>IF(B103="","",IF(COUNTIF(Clients!$B$6:$B$105,B103)&gt;1,"Listed twice",IF(O103&gt;0,"Owes money",IF(F103="Finished","",IF(F103="Paused","",IF(AND(J103&gt;0,L103&lt;=0),"No sessions left",IF(AND(J103&gt;0,L103&lt;=N(Settings!$C$7)),"Few sessions left",IF(AND(Q103&gt;0,L103&gt;0,Q103&lt;TODAY()),"Package expired",IF(AND(Q103&gt;0,L103&gt;0,Q103-TODAY()&lt;=14),"Package ends soon",IF(AND(N103&lt;&gt;"",N103&lt;=TODAY()),"Check-in due","")))))))))</f>
        <v/>
      </c>
      <c r="Q103" s="1">
        <f>IF(B103="",0,SUMPRODUCT(MAX((Packages!$C$6:$C$505=B103)*Packages!$N$6:$N$505)))</f>
        <v/>
      </c>
      <c r="R103">
        <f>IF(P103&lt;&gt;"",ROW(),"")</f>
        <v/>
      </c>
      <c r="S103">
        <f>IF(B103="",0,SUMPRODUCT(MAX(('Check-ins'!$C$6:$C$1505=B103)*'Check-ins'!$P$6:$P$1505)))</f>
        <v/>
      </c>
      <c r="T103">
        <f>IF(AND(B103&lt;&gt;"",F103&lt;&gt;"Paused",F103&lt;&gt;"Finished",J103&gt;0,L103&lt;=N(Settings!$C$7)),1,0)</f>
        <v/>
      </c>
      <c r="U103">
        <f>IF(AND(B103&lt;&gt;"",F103&lt;&gt;"Paused",F103&lt;&gt;"Finished",N103&lt;&gt;"",N103&lt;=TODAY()),1,0)</f>
        <v/>
      </c>
      <c r="V103">
        <f>IF(AND(B103&lt;&gt;"",F103&lt;&gt;"Paused",F103&lt;&gt;"Finished"),1,0)</f>
        <v/>
      </c>
    </row>
    <row r="104">
      <c r="A104" s="1" t="n"/>
      <c r="B104" s="19" t="n"/>
      <c r="C104" s="21" t="n"/>
      <c r="D104" s="17" t="n"/>
      <c r="E104" s="21" t="n"/>
      <c r="F104" s="20" t="n"/>
      <c r="G104" s="13">
        <f>IF(B104="","",SUMIFS(Sessions!$L$6:$L$3005,Sessions!$D$6:$D$3005,B104))</f>
        <v/>
      </c>
      <c r="H104" s="13">
        <f>IF(B104="","",SUMIFS(Sessions!$L$6:$L$3005,Sessions!$D$6:$D$3005,B104,Sessions!$J$6:$J$3005,(YEAR(TODAY())*100+MONTH(TODAY()))))</f>
        <v/>
      </c>
      <c r="I104" s="13">
        <f>IF(B104="","",SUMIFS(Sessions!$M$6:$M$3005,Sessions!$D$6:$D$3005,B104))</f>
        <v/>
      </c>
      <c r="J104" s="13">
        <f>IF(B104="","",SUMIFS(Packages!$D$6:$D$505,Packages!$C$6:$C$505,B104,Packages!$M$6:$M$505,1))</f>
        <v/>
      </c>
      <c r="K104" s="13">
        <f>IF(B104="","",SUMIFS(Sessions!$K$6:$K$3005,Sessions!$D$6:$D$3005,B104))</f>
        <v/>
      </c>
      <c r="L104" s="22">
        <f>IF(OR(B104="",J104=0),"",J104-K104)</f>
        <v/>
      </c>
      <c r="M104" s="23">
        <f>IF(B104="","",IF(SUMPRODUCT(MAX((Sessions!$D$6:$D$3005=B104)*Sessions!$L$6:$L$3005*Sessions!$I$6:$I$3005))=0,"",SUMPRODUCT(MAX((Sessions!$D$6:$D$3005=B104)*Sessions!$L$6:$L$3005*Sessions!$I$6:$I$3005))))</f>
        <v/>
      </c>
      <c r="N104" s="23">
        <f>IF(OR(B104="",F104="Finished"),"",IF(S104&gt;0,S104+7*N(Settings!$C$8),IF(ISNUMBER(D104),INT(D104)+7*N(Settings!$C$8),"")))</f>
        <v/>
      </c>
      <c r="O104" s="16">
        <f>IF(B104="","",SUMIFS(Packages!$J$6:$J$505,Packages!$C$6:$C$505,B104,Packages!$M$6:$M$505,1))</f>
        <v/>
      </c>
      <c r="P104" s="24">
        <f>IF(B104="","",IF(COUNTIF(Clients!$B$6:$B$105,B104)&gt;1,"Listed twice",IF(O104&gt;0,"Owes money",IF(F104="Finished","",IF(F104="Paused","",IF(AND(J104&gt;0,L104&lt;=0),"No sessions left",IF(AND(J104&gt;0,L104&lt;=N(Settings!$C$7)),"Few sessions left",IF(AND(Q104&gt;0,L104&gt;0,Q104&lt;TODAY()),"Package expired",IF(AND(Q104&gt;0,L104&gt;0,Q104-TODAY()&lt;=14),"Package ends soon",IF(AND(N104&lt;&gt;"",N104&lt;=TODAY()),"Check-in due","")))))))))</f>
        <v/>
      </c>
      <c r="Q104" s="1">
        <f>IF(B104="",0,SUMPRODUCT(MAX((Packages!$C$6:$C$505=B104)*Packages!$N$6:$N$505)))</f>
        <v/>
      </c>
      <c r="R104">
        <f>IF(P104&lt;&gt;"",ROW(),"")</f>
        <v/>
      </c>
      <c r="S104">
        <f>IF(B104="",0,SUMPRODUCT(MAX(('Check-ins'!$C$6:$C$1505=B104)*'Check-ins'!$P$6:$P$1505)))</f>
        <v/>
      </c>
      <c r="T104">
        <f>IF(AND(B104&lt;&gt;"",F104&lt;&gt;"Paused",F104&lt;&gt;"Finished",J104&gt;0,L104&lt;=N(Settings!$C$7)),1,0)</f>
        <v/>
      </c>
      <c r="U104">
        <f>IF(AND(B104&lt;&gt;"",F104&lt;&gt;"Paused",F104&lt;&gt;"Finished",N104&lt;&gt;"",N104&lt;=TODAY()),1,0)</f>
        <v/>
      </c>
      <c r="V104">
        <f>IF(AND(B104&lt;&gt;"",F104&lt;&gt;"Paused",F104&lt;&gt;"Finished"),1,0)</f>
        <v/>
      </c>
    </row>
    <row r="105">
      <c r="A105" s="1" t="n"/>
      <c r="B105" s="19" t="n"/>
      <c r="C105" s="21" t="n"/>
      <c r="D105" s="17" t="n"/>
      <c r="E105" s="21" t="n"/>
      <c r="F105" s="20" t="n"/>
      <c r="G105" s="13">
        <f>IF(B105="","",SUMIFS(Sessions!$L$6:$L$3005,Sessions!$D$6:$D$3005,B105))</f>
        <v/>
      </c>
      <c r="H105" s="13">
        <f>IF(B105="","",SUMIFS(Sessions!$L$6:$L$3005,Sessions!$D$6:$D$3005,B105,Sessions!$J$6:$J$3005,(YEAR(TODAY())*100+MONTH(TODAY()))))</f>
        <v/>
      </c>
      <c r="I105" s="13">
        <f>IF(B105="","",SUMIFS(Sessions!$M$6:$M$3005,Sessions!$D$6:$D$3005,B105))</f>
        <v/>
      </c>
      <c r="J105" s="13">
        <f>IF(B105="","",SUMIFS(Packages!$D$6:$D$505,Packages!$C$6:$C$505,B105,Packages!$M$6:$M$505,1))</f>
        <v/>
      </c>
      <c r="K105" s="13">
        <f>IF(B105="","",SUMIFS(Sessions!$K$6:$K$3005,Sessions!$D$6:$D$3005,B105))</f>
        <v/>
      </c>
      <c r="L105" s="22">
        <f>IF(OR(B105="",J105=0),"",J105-K105)</f>
        <v/>
      </c>
      <c r="M105" s="23">
        <f>IF(B105="","",IF(SUMPRODUCT(MAX((Sessions!$D$6:$D$3005=B105)*Sessions!$L$6:$L$3005*Sessions!$I$6:$I$3005))=0,"",SUMPRODUCT(MAX((Sessions!$D$6:$D$3005=B105)*Sessions!$L$6:$L$3005*Sessions!$I$6:$I$3005))))</f>
        <v/>
      </c>
      <c r="N105" s="23">
        <f>IF(OR(B105="",F105="Finished"),"",IF(S105&gt;0,S105+7*N(Settings!$C$8),IF(ISNUMBER(D105),INT(D105)+7*N(Settings!$C$8),"")))</f>
        <v/>
      </c>
      <c r="O105" s="16">
        <f>IF(B105="","",SUMIFS(Packages!$J$6:$J$505,Packages!$C$6:$C$505,B105,Packages!$M$6:$M$505,1))</f>
        <v/>
      </c>
      <c r="P105" s="24">
        <f>IF(B105="","",IF(COUNTIF(Clients!$B$6:$B$105,B105)&gt;1,"Listed twice",IF(O105&gt;0,"Owes money",IF(F105="Finished","",IF(F105="Paused","",IF(AND(J105&gt;0,L105&lt;=0),"No sessions left",IF(AND(J105&gt;0,L105&lt;=N(Settings!$C$7)),"Few sessions left",IF(AND(Q105&gt;0,L105&gt;0,Q105&lt;TODAY()),"Package expired",IF(AND(Q105&gt;0,L105&gt;0,Q105-TODAY()&lt;=14),"Package ends soon",IF(AND(N105&lt;&gt;"",N105&lt;=TODAY()),"Check-in due","")))))))))</f>
        <v/>
      </c>
      <c r="Q105" s="1">
        <f>IF(B105="",0,SUMPRODUCT(MAX((Packages!$C$6:$C$505=B105)*Packages!$N$6:$N$505)))</f>
        <v/>
      </c>
      <c r="R105">
        <f>IF(P105&lt;&gt;"",ROW(),"")</f>
        <v/>
      </c>
      <c r="S105">
        <f>IF(B105="",0,SUMPRODUCT(MAX(('Check-ins'!$C$6:$C$1505=B105)*'Check-ins'!$P$6:$P$1505)))</f>
        <v/>
      </c>
      <c r="T105">
        <f>IF(AND(B105&lt;&gt;"",F105&lt;&gt;"Paused",F105&lt;&gt;"Finished",J105&gt;0,L105&lt;=N(Settings!$C$7)),1,0)</f>
        <v/>
      </c>
      <c r="U105">
        <f>IF(AND(B105&lt;&gt;"",F105&lt;&gt;"Paused",F105&lt;&gt;"Finished",N105&lt;&gt;"",N105&lt;=TODAY()),1,0)</f>
        <v/>
      </c>
      <c r="V105">
        <f>IF(AND(B105&lt;&gt;"",F105&lt;&gt;"Paused",F105&lt;&gt;"Finished"),1,0)</f>
        <v/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</row>
  </sheetData>
  <conditionalFormatting sqref="P6:P105">
    <cfRule type="expression" priority="1" dxfId="0">
      <formula>OR(P6="Owes money",P6="No sessions left",P6="Listed twice")</formula>
    </cfRule>
    <cfRule type="expression" priority="2" dxfId="1">
      <formula>P6&lt;&gt;""</formula>
    </cfRule>
  </conditionalFormatting>
  <conditionalFormatting sqref="O6:O105">
    <cfRule type="expression" priority="3" dxfId="0">
      <formula>AND(ISNUMBER(O6),O6&gt;0)</formula>
    </cfRule>
  </conditionalFormatting>
  <dataValidations count="1">
    <dataValidation sqref="F6:F105" showDropDown="0" showInputMessage="0" showErrorMessage="1" allowBlank="1" type="list">
      <formula1>"Active,Paused,Finished"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5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10" customWidth="1" min="4" max="4"/>
    <col width="11" customWidth="1" min="5" max="5"/>
    <col width="11" customWidth="1" min="6" max="6"/>
    <col width="13" customWidth="1" min="7" max="7"/>
    <col width="20" customWidth="1" min="8" max="8"/>
    <col width="12" customWidth="1" min="9" max="9"/>
    <col width="11" customWidth="1" min="10" max="10"/>
    <col width="22" customWidth="1" min="11" max="11"/>
    <col hidden="1" width="13" customWidth="1" min="12" max="12"/>
    <col hidden="1" width="13" customWidth="1" min="13" max="13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Packages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Each block of sessions a client buys, with what they paid so far.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9" t="inlineStr">
        <is>
          <t>Bought on</t>
        </is>
      </c>
      <c r="C5" s="9" t="inlineStr">
        <is>
          <t>Client</t>
        </is>
      </c>
      <c r="D5" s="9" t="inlineStr">
        <is>
          <t>Sessions</t>
        </is>
      </c>
      <c r="E5" s="9" t="inlineStr">
        <is>
          <t>Price</t>
        </is>
      </c>
      <c r="F5" s="9" t="inlineStr">
        <is>
          <t>Paid</t>
        </is>
      </c>
      <c r="G5" s="9" t="inlineStr">
        <is>
          <t>Use by</t>
        </is>
      </c>
      <c r="H5" s="9" t="inlineStr">
        <is>
          <t>Note</t>
        </is>
      </c>
      <c r="I5" s="9" t="inlineStr">
        <is>
          <t>Per session</t>
        </is>
      </c>
      <c r="J5" s="9" t="inlineStr">
        <is>
          <t>Owed</t>
        </is>
      </c>
      <c r="K5" s="9" t="inlineStr">
        <is>
          <t>Check</t>
        </is>
      </c>
      <c r="L5" s="1" t="n"/>
    </row>
    <row r="6">
      <c r="A6" s="1" t="n"/>
      <c r="B6" s="17" t="n">
        <v>45993</v>
      </c>
      <c r="C6" s="19" t="inlineStr">
        <is>
          <t>Hannah Brooks</t>
        </is>
      </c>
      <c r="D6" s="25" t="n">
        <v>5</v>
      </c>
      <c r="E6" s="26" t="n">
        <v>325</v>
      </c>
      <c r="F6" s="26" t="n">
        <v>325</v>
      </c>
      <c r="G6" s="17" t="n">
        <v>46113</v>
      </c>
      <c r="H6" s="21" t="n"/>
      <c r="I6" s="16">
        <f>IF(OR(N(D6)&lt;=0,NOT(ISNUMBER(E6))),"",E6/D6)</f>
        <v/>
      </c>
      <c r="J6" s="16">
        <f>IF(OR(C6="",NOT(ISNUMBER(E6))),"",MAX(0,E6-N(F6)))</f>
        <v/>
      </c>
      <c r="K6" s="12">
        <f>IF(AND(C6="",D6="",E6=""),"",IF(NOT(ISNUMBER(B6)),"Needs a date",IF(C6="","Needs a client",IF(COUNTIF(Clients!$B$6:$B$105,C6)=0,"Not on Clients",IF(NOT(ISNUMBER(D6)),"Needs the sessions",IF(AND(E6&lt;&gt;"",NOT(ISNUMBER(E6))),"Price not a number",IF(AND(ISNUMBER(E6),N(F6)&gt;E6),"Paid more than the price","")))))))</f>
        <v/>
      </c>
      <c r="L6" s="1">
        <f>IF(ISNUMBER(B6),YEAR(B6)*100+MONTH(B6),"")</f>
        <v/>
      </c>
      <c r="M6">
        <f>IF(AND(K6="",C6&lt;&gt;""),1,0)</f>
        <v/>
      </c>
      <c r="N6">
        <f>IF(AND(M6=1,ISNUMBER(G6)),INT(G6),0)</f>
        <v/>
      </c>
    </row>
    <row r="7">
      <c r="A7" s="1" t="n"/>
      <c r="B7" s="17" t="n">
        <v>46007</v>
      </c>
      <c r="C7" s="19" t="inlineStr">
        <is>
          <t>Hannah Brooks</t>
        </is>
      </c>
      <c r="D7" s="25" t="n">
        <v>5</v>
      </c>
      <c r="E7" s="26" t="n">
        <v>325</v>
      </c>
      <c r="F7" s="26" t="n">
        <v>325</v>
      </c>
      <c r="G7" s="17" t="n">
        <v>46127</v>
      </c>
      <c r="H7" s="21" t="n"/>
      <c r="I7" s="16">
        <f>IF(OR(N(D7)&lt;=0,NOT(ISNUMBER(E7))),"",E7/D7)</f>
        <v/>
      </c>
      <c r="J7" s="16">
        <f>IF(OR(C7="",NOT(ISNUMBER(E7))),"",MAX(0,E7-N(F7)))</f>
        <v/>
      </c>
      <c r="K7" s="12">
        <f>IF(AND(C7="",D7="",E7=""),"",IF(NOT(ISNUMBER(B7)),"Needs a date",IF(C7="","Needs a client",IF(COUNTIF(Clients!$B$6:$B$105,C7)=0,"Not on Clients",IF(NOT(ISNUMBER(D7)),"Needs the sessions",IF(AND(E7&lt;&gt;"",NOT(ISNUMBER(E7))),"Price not a number",IF(AND(ISNUMBER(E7),N(F7)&gt;E7),"Paid more than the price","")))))))</f>
        <v/>
      </c>
      <c r="L7" s="1">
        <f>IF(ISNUMBER(B7),YEAR(B7)*100+MONTH(B7),"")</f>
        <v/>
      </c>
      <c r="M7">
        <f>IF(AND(K7="",C7&lt;&gt;""),1,0)</f>
        <v/>
      </c>
      <c r="N7">
        <f>IF(AND(M7=1,ISNUMBER(G7)),INT(G7),0)</f>
        <v/>
      </c>
    </row>
    <row r="8">
      <c r="A8" s="1" t="n"/>
      <c r="B8" s="17" t="n">
        <v>46021</v>
      </c>
      <c r="C8" s="19" t="inlineStr">
        <is>
          <t>Hannah Brooks</t>
        </is>
      </c>
      <c r="D8" s="25" t="n">
        <v>5</v>
      </c>
      <c r="E8" s="26" t="n">
        <v>325</v>
      </c>
      <c r="F8" s="26" t="n">
        <v>325</v>
      </c>
      <c r="G8" s="17" t="n">
        <v>46141</v>
      </c>
      <c r="H8" s="21" t="n"/>
      <c r="I8" s="16">
        <f>IF(OR(N(D8)&lt;=0,NOT(ISNUMBER(E8))),"",E8/D8)</f>
        <v/>
      </c>
      <c r="J8" s="16">
        <f>IF(OR(C8="",NOT(ISNUMBER(E8))),"",MAX(0,E8-N(F8)))</f>
        <v/>
      </c>
      <c r="K8" s="12">
        <f>IF(AND(C8="",D8="",E8=""),"",IF(NOT(ISNUMBER(B8)),"Needs a date",IF(C8="","Needs a client",IF(COUNTIF(Clients!$B$6:$B$105,C8)=0,"Not on Clients",IF(NOT(ISNUMBER(D8)),"Needs the sessions",IF(AND(E8&lt;&gt;"",NOT(ISNUMBER(E8))),"Price not a number",IF(AND(ISNUMBER(E8),N(F8)&gt;E8),"Paid more than the price","")))))))</f>
        <v/>
      </c>
      <c r="L8" s="1">
        <f>IF(ISNUMBER(B8),YEAR(B8)*100+MONTH(B8),"")</f>
        <v/>
      </c>
      <c r="M8">
        <f>IF(AND(K8="",C8&lt;&gt;""),1,0)</f>
        <v/>
      </c>
      <c r="N8">
        <f>IF(AND(M8=1,ISNUMBER(G8)),INT(G8),0)</f>
        <v/>
      </c>
    </row>
    <row r="9">
      <c r="A9" s="1" t="n"/>
      <c r="B9" s="17" t="n">
        <v>46035</v>
      </c>
      <c r="C9" s="19" t="inlineStr">
        <is>
          <t>Hannah Brooks</t>
        </is>
      </c>
      <c r="D9" s="25" t="n">
        <v>5</v>
      </c>
      <c r="E9" s="26" t="n">
        <v>325</v>
      </c>
      <c r="F9" s="26" t="n">
        <v>325</v>
      </c>
      <c r="G9" s="17" t="n">
        <v>46155</v>
      </c>
      <c r="H9" s="21" t="n"/>
      <c r="I9" s="16">
        <f>IF(OR(N(D9)&lt;=0,NOT(ISNUMBER(E9))),"",E9/D9)</f>
        <v/>
      </c>
      <c r="J9" s="16">
        <f>IF(OR(C9="",NOT(ISNUMBER(E9))),"",MAX(0,E9-N(F9)))</f>
        <v/>
      </c>
      <c r="K9" s="12">
        <f>IF(AND(C9="",D9="",E9=""),"",IF(NOT(ISNUMBER(B9)),"Needs a date",IF(C9="","Needs a client",IF(COUNTIF(Clients!$B$6:$B$105,C9)=0,"Not on Clients",IF(NOT(ISNUMBER(D9)),"Needs the sessions",IF(AND(E9&lt;&gt;"",NOT(ISNUMBER(E9))),"Price not a number",IF(AND(ISNUMBER(E9),N(F9)&gt;E9),"Paid more than the price","")))))))</f>
        <v/>
      </c>
      <c r="L9" s="1">
        <f>IF(ISNUMBER(B9),YEAR(B9)*100+MONTH(B9),"")</f>
        <v/>
      </c>
      <c r="M9">
        <f>IF(AND(K9="",C9&lt;&gt;""),1,0)</f>
        <v/>
      </c>
      <c r="N9">
        <f>IF(AND(M9=1,ISNUMBER(G9)),INT(G9),0)</f>
        <v/>
      </c>
    </row>
    <row r="10">
      <c r="A10" s="1" t="n"/>
      <c r="B10" s="17" t="n">
        <v>46049</v>
      </c>
      <c r="C10" s="19" t="inlineStr">
        <is>
          <t>Hannah Brooks</t>
        </is>
      </c>
      <c r="D10" s="25" t="n">
        <v>5</v>
      </c>
      <c r="E10" s="26" t="n">
        <v>325</v>
      </c>
      <c r="F10" s="26" t="n">
        <v>325</v>
      </c>
      <c r="G10" s="17" t="n">
        <v>46169</v>
      </c>
      <c r="H10" s="21" t="n"/>
      <c r="I10" s="16">
        <f>IF(OR(N(D10)&lt;=0,NOT(ISNUMBER(E10))),"",E10/D10)</f>
        <v/>
      </c>
      <c r="J10" s="16">
        <f>IF(OR(C10="",NOT(ISNUMBER(E10))),"",MAX(0,E10-N(F10)))</f>
        <v/>
      </c>
      <c r="K10" s="12">
        <f>IF(AND(C10="",D10="",E10=""),"",IF(NOT(ISNUMBER(B10)),"Needs a date",IF(C10="","Needs a client",IF(COUNTIF(Clients!$B$6:$B$105,C10)=0,"Not on Clients",IF(NOT(ISNUMBER(D10)),"Needs the sessions",IF(AND(E10&lt;&gt;"",NOT(ISNUMBER(E10))),"Price not a number",IF(AND(ISNUMBER(E10),N(F10)&gt;E10),"Paid more than the price","")))))))</f>
        <v/>
      </c>
      <c r="L10" s="1">
        <f>IF(ISNUMBER(B10),YEAR(B10)*100+MONTH(B10),"")</f>
        <v/>
      </c>
      <c r="M10">
        <f>IF(AND(K10="",C10&lt;&gt;""),1,0)</f>
        <v/>
      </c>
      <c r="N10">
        <f>IF(AND(M10=1,ISNUMBER(G10)),INT(G10),0)</f>
        <v/>
      </c>
    </row>
    <row r="11">
      <c r="A11" s="1" t="n"/>
      <c r="B11" s="17" t="n">
        <v>46053</v>
      </c>
      <c r="C11" s="19" t="inlineStr">
        <is>
          <t>Maya Ortiz</t>
        </is>
      </c>
      <c r="D11" s="25" t="n">
        <v>10</v>
      </c>
      <c r="E11" s="26" t="n">
        <v>600</v>
      </c>
      <c r="F11" s="26" t="n">
        <v>600</v>
      </c>
      <c r="G11" s="17" t="n">
        <v>46173</v>
      </c>
      <c r="H11" s="21" t="n"/>
      <c r="I11" s="16">
        <f>IF(OR(N(D11)&lt;=0,NOT(ISNUMBER(E11))),"",E11/D11)</f>
        <v/>
      </c>
      <c r="J11" s="16">
        <f>IF(OR(C11="",NOT(ISNUMBER(E11))),"",MAX(0,E11-N(F11)))</f>
        <v/>
      </c>
      <c r="K11" s="12">
        <f>IF(AND(C11="",D11="",E11=""),"",IF(NOT(ISNUMBER(B11)),"Needs a date",IF(C11="","Needs a client",IF(COUNTIF(Clients!$B$6:$B$105,C11)=0,"Not on Clients",IF(NOT(ISNUMBER(D11)),"Needs the sessions",IF(AND(E11&lt;&gt;"",NOT(ISNUMBER(E11))),"Price not a number",IF(AND(ISNUMBER(E11),N(F11)&gt;E11),"Paid more than the price","")))))))</f>
        <v/>
      </c>
      <c r="L11" s="1">
        <f>IF(ISNUMBER(B11),YEAR(B11)*100+MONTH(B11),"")</f>
        <v/>
      </c>
      <c r="M11">
        <f>IF(AND(K11="",C11&lt;&gt;""),1,0)</f>
        <v/>
      </c>
      <c r="N11">
        <f>IF(AND(M11=1,ISNUMBER(G11)),INT(G11),0)</f>
        <v/>
      </c>
    </row>
    <row r="12">
      <c r="A12" s="1" t="n"/>
      <c r="B12" s="17" t="n">
        <v>46063</v>
      </c>
      <c r="C12" s="19" t="inlineStr">
        <is>
          <t>Hannah Brooks</t>
        </is>
      </c>
      <c r="D12" s="25" t="n">
        <v>5</v>
      </c>
      <c r="E12" s="26" t="n">
        <v>325</v>
      </c>
      <c r="F12" s="26" t="n">
        <v>325</v>
      </c>
      <c r="G12" s="17" t="n">
        <v>46183</v>
      </c>
      <c r="H12" s="21" t="n"/>
      <c r="I12" s="16">
        <f>IF(OR(N(D12)&lt;=0,NOT(ISNUMBER(E12))),"",E12/D12)</f>
        <v/>
      </c>
      <c r="J12" s="16">
        <f>IF(OR(C12="",NOT(ISNUMBER(E12))),"",MAX(0,E12-N(F12)))</f>
        <v/>
      </c>
      <c r="K12" s="12">
        <f>IF(AND(C12="",D12="",E12=""),"",IF(NOT(ISNUMBER(B12)),"Needs a date",IF(C12="","Needs a client",IF(COUNTIF(Clients!$B$6:$B$105,C12)=0,"Not on Clients",IF(NOT(ISNUMBER(D12)),"Needs the sessions",IF(AND(E12&lt;&gt;"",NOT(ISNUMBER(E12))),"Price not a number",IF(AND(ISNUMBER(E12),N(F12)&gt;E12),"Paid more than the price","")))))))</f>
        <v/>
      </c>
      <c r="L12" s="1">
        <f>IF(ISNUMBER(B12),YEAR(B12)*100+MONTH(B12),"")</f>
        <v/>
      </c>
      <c r="M12">
        <f>IF(AND(K12="",C12&lt;&gt;""),1,0)</f>
        <v/>
      </c>
      <c r="N12">
        <f>IF(AND(M12=1,ISNUMBER(G12)),INT(G12),0)</f>
        <v/>
      </c>
    </row>
    <row r="13">
      <c r="A13" s="1" t="n"/>
      <c r="B13" s="17" t="n">
        <v>46077</v>
      </c>
      <c r="C13" s="19" t="inlineStr">
        <is>
          <t>Hannah Brooks</t>
        </is>
      </c>
      <c r="D13" s="25" t="n">
        <v>5</v>
      </c>
      <c r="E13" s="26" t="n">
        <v>325</v>
      </c>
      <c r="F13" s="26" t="n">
        <v>325</v>
      </c>
      <c r="G13" s="17" t="n">
        <v>46197</v>
      </c>
      <c r="H13" s="21" t="n"/>
      <c r="I13" s="16">
        <f>IF(OR(N(D13)&lt;=0,NOT(ISNUMBER(E13))),"",E13/D13)</f>
        <v/>
      </c>
      <c r="J13" s="16">
        <f>IF(OR(C13="",NOT(ISNUMBER(E13))),"",MAX(0,E13-N(F13)))</f>
        <v/>
      </c>
      <c r="K13" s="12">
        <f>IF(AND(C13="",D13="",E13=""),"",IF(NOT(ISNUMBER(B13)),"Needs a date",IF(C13="","Needs a client",IF(COUNTIF(Clients!$B$6:$B$105,C13)=0,"Not on Clients",IF(NOT(ISNUMBER(D13)),"Needs the sessions",IF(AND(E13&lt;&gt;"",NOT(ISNUMBER(E13))),"Price not a number",IF(AND(ISNUMBER(E13),N(F13)&gt;E13),"Paid more than the price","")))))))</f>
        <v/>
      </c>
      <c r="L13" s="1">
        <f>IF(ISNUMBER(B13),YEAR(B13)*100+MONTH(B13),"")</f>
        <v/>
      </c>
      <c r="M13">
        <f>IF(AND(K13="",C13&lt;&gt;""),1,0)</f>
        <v/>
      </c>
      <c r="N13">
        <f>IF(AND(M13=1,ISNUMBER(G13)),INT(G13),0)</f>
        <v/>
      </c>
    </row>
    <row r="14">
      <c r="A14" s="1" t="n"/>
      <c r="B14" s="17" t="n">
        <v>46091</v>
      </c>
      <c r="C14" s="19" t="inlineStr">
        <is>
          <t>Hannah Brooks</t>
        </is>
      </c>
      <c r="D14" s="25" t="n">
        <v>5</v>
      </c>
      <c r="E14" s="26" t="n">
        <v>325</v>
      </c>
      <c r="F14" s="26" t="n">
        <v>325</v>
      </c>
      <c r="G14" s="17" t="n">
        <v>46211</v>
      </c>
      <c r="H14" s="21" t="n"/>
      <c r="I14" s="16">
        <f>IF(OR(N(D14)&lt;=0,NOT(ISNUMBER(E14))),"",E14/D14)</f>
        <v/>
      </c>
      <c r="J14" s="16">
        <f>IF(OR(C14="",NOT(ISNUMBER(E14))),"",MAX(0,E14-N(F14)))</f>
        <v/>
      </c>
      <c r="K14" s="12">
        <f>IF(AND(C14="",D14="",E14=""),"",IF(NOT(ISNUMBER(B14)),"Needs a date",IF(C14="","Needs a client",IF(COUNTIF(Clients!$B$6:$B$105,C14)=0,"Not on Clients",IF(NOT(ISNUMBER(D14)),"Needs the sessions",IF(AND(E14&lt;&gt;"",NOT(ISNUMBER(E14))),"Price not a number",IF(AND(ISNUMBER(E14),N(F14)&gt;E14),"Paid more than the price","")))))))</f>
        <v/>
      </c>
      <c r="L14" s="1">
        <f>IF(ISNUMBER(B14),YEAR(B14)*100+MONTH(B14),"")</f>
        <v/>
      </c>
      <c r="M14">
        <f>IF(AND(K14="",C14&lt;&gt;""),1,0)</f>
        <v/>
      </c>
      <c r="N14">
        <f>IF(AND(M14=1,ISNUMBER(G14)),INT(G14),0)</f>
        <v/>
      </c>
    </row>
    <row r="15">
      <c r="A15" s="1" t="n"/>
      <c r="B15" s="17" t="n">
        <v>46093</v>
      </c>
      <c r="C15" s="19" t="inlineStr">
        <is>
          <t>Ben Carter</t>
        </is>
      </c>
      <c r="D15" s="25" t="n">
        <v>10</v>
      </c>
      <c r="E15" s="26" t="n">
        <v>600</v>
      </c>
      <c r="F15" s="26" t="n">
        <v>600</v>
      </c>
      <c r="G15" s="17" t="n">
        <v>46213</v>
      </c>
      <c r="H15" s="21" t="n"/>
      <c r="I15" s="16">
        <f>IF(OR(N(D15)&lt;=0,NOT(ISNUMBER(E15))),"",E15/D15)</f>
        <v/>
      </c>
      <c r="J15" s="16">
        <f>IF(OR(C15="",NOT(ISNUMBER(E15))),"",MAX(0,E15-N(F15)))</f>
        <v/>
      </c>
      <c r="K15" s="12">
        <f>IF(AND(C15="",D15="",E15=""),"",IF(NOT(ISNUMBER(B15)),"Needs a date",IF(C15="","Needs a client",IF(COUNTIF(Clients!$B$6:$B$105,C15)=0,"Not on Clients",IF(NOT(ISNUMBER(D15)),"Needs the sessions",IF(AND(E15&lt;&gt;"",NOT(ISNUMBER(E15))),"Price not a number",IF(AND(ISNUMBER(E15),N(F15)&gt;E15),"Paid more than the price","")))))))</f>
        <v/>
      </c>
      <c r="L15" s="1">
        <f>IF(ISNUMBER(B15),YEAR(B15)*100+MONTH(B15),"")</f>
        <v/>
      </c>
      <c r="M15">
        <f>IF(AND(K15="",C15&lt;&gt;""),1,0)</f>
        <v/>
      </c>
      <c r="N15">
        <f>IF(AND(M15=1,ISNUMBER(G15)),INT(G15),0)</f>
        <v/>
      </c>
    </row>
    <row r="16">
      <c r="A16" s="1" t="n"/>
      <c r="B16" s="17" t="n">
        <v>46105</v>
      </c>
      <c r="C16" s="19" t="inlineStr">
        <is>
          <t>Hannah Brooks</t>
        </is>
      </c>
      <c r="D16" s="25" t="n">
        <v>5</v>
      </c>
      <c r="E16" s="26" t="n">
        <v>325</v>
      </c>
      <c r="F16" s="26" t="n">
        <v>325</v>
      </c>
      <c r="G16" s="17" t="n">
        <v>46225</v>
      </c>
      <c r="H16" s="21" t="n"/>
      <c r="I16" s="16">
        <f>IF(OR(N(D16)&lt;=0,NOT(ISNUMBER(E16))),"",E16/D16)</f>
        <v/>
      </c>
      <c r="J16" s="16">
        <f>IF(OR(C16="",NOT(ISNUMBER(E16))),"",MAX(0,E16-N(F16)))</f>
        <v/>
      </c>
      <c r="K16" s="12">
        <f>IF(AND(C16="",D16="",E16=""),"",IF(NOT(ISNUMBER(B16)),"Needs a date",IF(C16="","Needs a client",IF(COUNTIF(Clients!$B$6:$B$105,C16)=0,"Not on Clients",IF(NOT(ISNUMBER(D16)),"Needs the sessions",IF(AND(E16&lt;&gt;"",NOT(ISNUMBER(E16))),"Price not a number",IF(AND(ISNUMBER(E16),N(F16)&gt;E16),"Paid more than the price","")))))))</f>
        <v/>
      </c>
      <c r="L16" s="1">
        <f>IF(ISNUMBER(B16),YEAR(B16)*100+MONTH(B16),"")</f>
        <v/>
      </c>
      <c r="M16">
        <f>IF(AND(K16="",C16&lt;&gt;""),1,0)</f>
        <v/>
      </c>
      <c r="N16">
        <f>IF(AND(M16=1,ISNUMBER(G16)),INT(G16),0)</f>
        <v/>
      </c>
    </row>
    <row r="17">
      <c r="A17" s="1" t="n"/>
      <c r="B17" s="17" t="n">
        <v>46113</v>
      </c>
      <c r="C17" s="19" t="inlineStr">
        <is>
          <t>Maya Ortiz</t>
        </is>
      </c>
      <c r="D17" s="25" t="n">
        <v>10</v>
      </c>
      <c r="E17" s="26" t="n">
        <v>600</v>
      </c>
      <c r="F17" s="26" t="n">
        <v>600</v>
      </c>
      <c r="G17" s="17" t="n">
        <v>46233</v>
      </c>
      <c r="H17" s="21" t="n"/>
      <c r="I17" s="16">
        <f>IF(OR(N(D17)&lt;=0,NOT(ISNUMBER(E17))),"",E17/D17)</f>
        <v/>
      </c>
      <c r="J17" s="16">
        <f>IF(OR(C17="",NOT(ISNUMBER(E17))),"",MAX(0,E17-N(F17)))</f>
        <v/>
      </c>
      <c r="K17" s="12">
        <f>IF(AND(C17="",D17="",E17=""),"",IF(NOT(ISNUMBER(B17)),"Needs a date",IF(C17="","Needs a client",IF(COUNTIF(Clients!$B$6:$B$105,C17)=0,"Not on Clients",IF(NOT(ISNUMBER(D17)),"Needs the sessions",IF(AND(E17&lt;&gt;"",NOT(ISNUMBER(E17))),"Price not a number",IF(AND(ISNUMBER(E17),N(F17)&gt;E17),"Paid more than the price","")))))))</f>
        <v/>
      </c>
      <c r="L17" s="1">
        <f>IF(ISNUMBER(B17),YEAR(B17)*100+MONTH(B17),"")</f>
        <v/>
      </c>
      <c r="M17">
        <f>IF(AND(K17="",C17&lt;&gt;""),1,0)</f>
        <v/>
      </c>
      <c r="N17">
        <f>IF(AND(M17=1,ISNUMBER(G17)),INT(G17),0)</f>
        <v/>
      </c>
    </row>
    <row r="18">
      <c r="A18" s="1" t="n"/>
      <c r="B18" s="17" t="n">
        <v>46113</v>
      </c>
      <c r="C18" s="19" t="inlineStr">
        <is>
          <t>Priya Nair</t>
        </is>
      </c>
      <c r="D18" s="25" t="n">
        <v>5</v>
      </c>
      <c r="E18" s="26" t="n">
        <v>325</v>
      </c>
      <c r="F18" s="26" t="n">
        <v>325</v>
      </c>
      <c r="G18" s="17" t="n">
        <v>46233</v>
      </c>
      <c r="H18" s="21" t="n"/>
      <c r="I18" s="16">
        <f>IF(OR(N(D18)&lt;=0,NOT(ISNUMBER(E18))),"",E18/D18)</f>
        <v/>
      </c>
      <c r="J18" s="16">
        <f>IF(OR(C18="",NOT(ISNUMBER(E18))),"",MAX(0,E18-N(F18)))</f>
        <v/>
      </c>
      <c r="K18" s="12">
        <f>IF(AND(C18="",D18="",E18=""),"",IF(NOT(ISNUMBER(B18)),"Needs a date",IF(C18="","Needs a client",IF(COUNTIF(Clients!$B$6:$B$105,C18)=0,"Not on Clients",IF(NOT(ISNUMBER(D18)),"Needs the sessions",IF(AND(E18&lt;&gt;"",NOT(ISNUMBER(E18))),"Price not a number",IF(AND(ISNUMBER(E18),N(F18)&gt;E18),"Paid more than the price","")))))))</f>
        <v/>
      </c>
      <c r="L18" s="1">
        <f>IF(ISNUMBER(B18),YEAR(B18)*100+MONTH(B18),"")</f>
        <v/>
      </c>
      <c r="M18">
        <f>IF(AND(K18="",C18&lt;&gt;""),1,0)</f>
        <v/>
      </c>
      <c r="N18">
        <f>IF(AND(M18=1,ISNUMBER(G18)),INT(G18),0)</f>
        <v/>
      </c>
    </row>
    <row r="19">
      <c r="A19" s="1" t="n"/>
      <c r="B19" s="17" t="n">
        <v>46118</v>
      </c>
      <c r="C19" s="19" t="inlineStr">
        <is>
          <t>Ben Carter</t>
        </is>
      </c>
      <c r="D19" s="25" t="n">
        <v>10</v>
      </c>
      <c r="E19" s="26" t="n">
        <v>600</v>
      </c>
      <c r="F19" s="26" t="n">
        <v>600</v>
      </c>
      <c r="G19" s="17" t="n">
        <v>46238</v>
      </c>
      <c r="H19" s="21" t="n"/>
      <c r="I19" s="16">
        <f>IF(OR(N(D19)&lt;=0,NOT(ISNUMBER(E19))),"",E19/D19)</f>
        <v/>
      </c>
      <c r="J19" s="16">
        <f>IF(OR(C19="",NOT(ISNUMBER(E19))),"",MAX(0,E19-N(F19)))</f>
        <v/>
      </c>
      <c r="K19" s="12">
        <f>IF(AND(C19="",D19="",E19=""),"",IF(NOT(ISNUMBER(B19)),"Needs a date",IF(C19="","Needs a client",IF(COUNTIF(Clients!$B$6:$B$105,C19)=0,"Not on Clients",IF(NOT(ISNUMBER(D19)),"Needs the sessions",IF(AND(E19&lt;&gt;"",NOT(ISNUMBER(E19))),"Price not a number",IF(AND(ISNUMBER(E19),N(F19)&gt;E19),"Paid more than the price","")))))))</f>
        <v/>
      </c>
      <c r="L19" s="1">
        <f>IF(ISNUMBER(B19),YEAR(B19)*100+MONTH(B19),"")</f>
        <v/>
      </c>
      <c r="M19">
        <f>IF(AND(K19="",C19&lt;&gt;""),1,0)</f>
        <v/>
      </c>
      <c r="N19">
        <f>IF(AND(M19=1,ISNUMBER(G19)),INT(G19),0)</f>
        <v/>
      </c>
    </row>
    <row r="20">
      <c r="A20" s="1" t="n"/>
      <c r="B20" s="17" t="n">
        <v>46119</v>
      </c>
      <c r="C20" s="19" t="inlineStr">
        <is>
          <t>Hannah Brooks</t>
        </is>
      </c>
      <c r="D20" s="25" t="n">
        <v>5</v>
      </c>
      <c r="E20" s="26" t="n">
        <v>325</v>
      </c>
      <c r="F20" s="26" t="n">
        <v>325</v>
      </c>
      <c r="G20" s="17" t="n">
        <v>46239</v>
      </c>
      <c r="H20" s="21" t="n"/>
      <c r="I20" s="16">
        <f>IF(OR(N(D20)&lt;=0,NOT(ISNUMBER(E20))),"",E20/D20)</f>
        <v/>
      </c>
      <c r="J20" s="16">
        <f>IF(OR(C20="",NOT(ISNUMBER(E20))),"",MAX(0,E20-N(F20)))</f>
        <v/>
      </c>
      <c r="K20" s="12">
        <f>IF(AND(C20="",D20="",E20=""),"",IF(NOT(ISNUMBER(B20)),"Needs a date",IF(C20="","Needs a client",IF(COUNTIF(Clients!$B$6:$B$105,C20)=0,"Not on Clients",IF(NOT(ISNUMBER(D20)),"Needs the sessions",IF(AND(E20&lt;&gt;"",NOT(ISNUMBER(E20))),"Price not a number",IF(AND(ISNUMBER(E20),N(F20)&gt;E20),"Paid more than the price","")))))))</f>
        <v/>
      </c>
      <c r="L20" s="1">
        <f>IF(ISNUMBER(B20),YEAR(B20)*100+MONTH(B20),"")</f>
        <v/>
      </c>
      <c r="M20">
        <f>IF(AND(K20="",C20&lt;&gt;""),1,0)</f>
        <v/>
      </c>
      <c r="N20">
        <f>IF(AND(M20=1,ISNUMBER(G20)),INT(G20),0)</f>
        <v/>
      </c>
    </row>
    <row r="21">
      <c r="A21" s="1" t="n"/>
      <c r="B21" s="17" t="n">
        <v>46127</v>
      </c>
      <c r="C21" s="19" t="inlineStr">
        <is>
          <t>Priya Nair</t>
        </is>
      </c>
      <c r="D21" s="25" t="n">
        <v>5</v>
      </c>
      <c r="E21" s="26" t="n">
        <v>325</v>
      </c>
      <c r="F21" s="26" t="n">
        <v>325</v>
      </c>
      <c r="G21" s="17" t="n">
        <v>46247</v>
      </c>
      <c r="H21" s="21" t="n"/>
      <c r="I21" s="16">
        <f>IF(OR(N(D21)&lt;=0,NOT(ISNUMBER(E21))),"",E21/D21)</f>
        <v/>
      </c>
      <c r="J21" s="16">
        <f>IF(OR(C21="",NOT(ISNUMBER(E21))),"",MAX(0,E21-N(F21)))</f>
        <v/>
      </c>
      <c r="K21" s="12">
        <f>IF(AND(C21="",D21="",E21=""),"",IF(NOT(ISNUMBER(B21)),"Needs a date",IF(C21="","Needs a client",IF(COUNTIF(Clients!$B$6:$B$105,C21)=0,"Not on Clients",IF(NOT(ISNUMBER(D21)),"Needs the sessions",IF(AND(E21&lt;&gt;"",NOT(ISNUMBER(E21))),"Price not a number",IF(AND(ISNUMBER(E21),N(F21)&gt;E21),"Paid more than the price","")))))))</f>
        <v/>
      </c>
      <c r="L21" s="1">
        <f>IF(ISNUMBER(B21),YEAR(B21)*100+MONTH(B21),"")</f>
        <v/>
      </c>
      <c r="M21">
        <f>IF(AND(K21="",C21&lt;&gt;""),1,0)</f>
        <v/>
      </c>
      <c r="N21">
        <f>IF(AND(M21=1,ISNUMBER(G21)),INT(G21),0)</f>
        <v/>
      </c>
    </row>
    <row r="22">
      <c r="A22" s="1" t="n"/>
      <c r="B22" s="17" t="n">
        <v>46133</v>
      </c>
      <c r="C22" s="19" t="inlineStr">
        <is>
          <t>Hannah Brooks</t>
        </is>
      </c>
      <c r="D22" s="25" t="n">
        <v>5</v>
      </c>
      <c r="E22" s="26" t="n">
        <v>325</v>
      </c>
      <c r="F22" s="26" t="n">
        <v>325</v>
      </c>
      <c r="G22" s="17" t="n">
        <v>46253</v>
      </c>
      <c r="H22" s="21" t="n"/>
      <c r="I22" s="16">
        <f>IF(OR(N(D22)&lt;=0,NOT(ISNUMBER(E22))),"",E22/D22)</f>
        <v/>
      </c>
      <c r="J22" s="16">
        <f>IF(OR(C22="",NOT(ISNUMBER(E22))),"",MAX(0,E22-N(F22)))</f>
        <v/>
      </c>
      <c r="K22" s="12">
        <f>IF(AND(C22="",D22="",E22=""),"",IF(NOT(ISNUMBER(B22)),"Needs a date",IF(C22="","Needs a client",IF(COUNTIF(Clients!$B$6:$B$105,C22)=0,"Not on Clients",IF(NOT(ISNUMBER(D22)),"Needs the sessions",IF(AND(E22&lt;&gt;"",NOT(ISNUMBER(E22))),"Price not a number",IF(AND(ISNUMBER(E22),N(F22)&gt;E22),"Paid more than the price","")))))))</f>
        <v/>
      </c>
      <c r="L22" s="1">
        <f>IF(ISNUMBER(B22),YEAR(B22)*100+MONTH(B22),"")</f>
        <v/>
      </c>
      <c r="M22">
        <f>IF(AND(K22="",C22&lt;&gt;""),1,0)</f>
        <v/>
      </c>
      <c r="N22">
        <f>IF(AND(M22=1,ISNUMBER(G22)),INT(G22),0)</f>
        <v/>
      </c>
    </row>
    <row r="23">
      <c r="A23" s="1" t="n"/>
      <c r="B23" s="17" t="n">
        <v>46141</v>
      </c>
      <c r="C23" s="19" t="inlineStr">
        <is>
          <t>Priya Nair</t>
        </is>
      </c>
      <c r="D23" s="25" t="n">
        <v>5</v>
      </c>
      <c r="E23" s="26" t="n">
        <v>325</v>
      </c>
      <c r="F23" s="26" t="n">
        <v>325</v>
      </c>
      <c r="G23" s="17" t="n">
        <v>46261</v>
      </c>
      <c r="H23" s="21" t="n"/>
      <c r="I23" s="16">
        <f>IF(OR(N(D23)&lt;=0,NOT(ISNUMBER(E23))),"",E23/D23)</f>
        <v/>
      </c>
      <c r="J23" s="16">
        <f>IF(OR(C23="",NOT(ISNUMBER(E23))),"",MAX(0,E23-N(F23)))</f>
        <v/>
      </c>
      <c r="K23" s="12">
        <f>IF(AND(C23="",D23="",E23=""),"",IF(NOT(ISNUMBER(B23)),"Needs a date",IF(C23="","Needs a client",IF(COUNTIF(Clients!$B$6:$B$105,C23)=0,"Not on Clients",IF(NOT(ISNUMBER(D23)),"Needs the sessions",IF(AND(E23&lt;&gt;"",NOT(ISNUMBER(E23))),"Price not a number",IF(AND(ISNUMBER(E23),N(F23)&gt;E23),"Paid more than the price","")))))))</f>
        <v/>
      </c>
      <c r="L23" s="1">
        <f>IF(ISNUMBER(B23),YEAR(B23)*100+MONTH(B23),"")</f>
        <v/>
      </c>
      <c r="M23">
        <f>IF(AND(K23="",C23&lt;&gt;""),1,0)</f>
        <v/>
      </c>
      <c r="N23">
        <f>IF(AND(M23=1,ISNUMBER(G23)),INT(G23),0)</f>
        <v/>
      </c>
    </row>
    <row r="24">
      <c r="A24" s="1" t="n"/>
      <c r="B24" s="17" t="n">
        <v>46143</v>
      </c>
      <c r="C24" s="19" t="inlineStr">
        <is>
          <t>Ben Carter</t>
        </is>
      </c>
      <c r="D24" s="25" t="n">
        <v>10</v>
      </c>
      <c r="E24" s="26" t="n">
        <v>600</v>
      </c>
      <c r="F24" s="26" t="n">
        <v>600</v>
      </c>
      <c r="G24" s="17" t="n">
        <v>46263</v>
      </c>
      <c r="H24" s="21" t="n"/>
      <c r="I24" s="16">
        <f>IF(OR(N(D24)&lt;=0,NOT(ISNUMBER(E24))),"",E24/D24)</f>
        <v/>
      </c>
      <c r="J24" s="16">
        <f>IF(OR(C24="",NOT(ISNUMBER(E24))),"",MAX(0,E24-N(F24)))</f>
        <v/>
      </c>
      <c r="K24" s="12">
        <f>IF(AND(C24="",D24="",E24=""),"",IF(NOT(ISNUMBER(B24)),"Needs a date",IF(C24="","Needs a client",IF(COUNTIF(Clients!$B$6:$B$105,C24)=0,"Not on Clients",IF(NOT(ISNUMBER(D24)),"Needs the sessions",IF(AND(E24&lt;&gt;"",NOT(ISNUMBER(E24))),"Price not a number",IF(AND(ISNUMBER(E24),N(F24)&gt;E24),"Paid more than the price","")))))))</f>
        <v/>
      </c>
      <c r="L24" s="1">
        <f>IF(ISNUMBER(B24),YEAR(B24)*100+MONTH(B24),"")</f>
        <v/>
      </c>
      <c r="M24">
        <f>IF(AND(K24="",C24&lt;&gt;""),1,0)</f>
        <v/>
      </c>
      <c r="N24">
        <f>IF(AND(M24=1,ISNUMBER(G24)),INT(G24),0)</f>
        <v/>
      </c>
    </row>
    <row r="25">
      <c r="A25" s="1" t="n"/>
      <c r="B25" s="17" t="n">
        <v>46143</v>
      </c>
      <c r="C25" s="19" t="inlineStr">
        <is>
          <t>Tom Walsh</t>
        </is>
      </c>
      <c r="D25" s="25" t="n">
        <v>10</v>
      </c>
      <c r="E25" s="26" t="n">
        <v>600</v>
      </c>
      <c r="F25" s="26" t="n">
        <v>600</v>
      </c>
      <c r="G25" s="17" t="n">
        <v>46263</v>
      </c>
      <c r="H25" s="21" t="n"/>
      <c r="I25" s="16">
        <f>IF(OR(N(D25)&lt;=0,NOT(ISNUMBER(E25))),"",E25/D25)</f>
        <v/>
      </c>
      <c r="J25" s="16">
        <f>IF(OR(C25="",NOT(ISNUMBER(E25))),"",MAX(0,E25-N(F25)))</f>
        <v/>
      </c>
      <c r="K25" s="12">
        <f>IF(AND(C25="",D25="",E25=""),"",IF(NOT(ISNUMBER(B25)),"Needs a date",IF(C25="","Needs a client",IF(COUNTIF(Clients!$B$6:$B$105,C25)=0,"Not on Clients",IF(NOT(ISNUMBER(D25)),"Needs the sessions",IF(AND(E25&lt;&gt;"",NOT(ISNUMBER(E25))),"Price not a number",IF(AND(ISNUMBER(E25),N(F25)&gt;E25),"Paid more than the price","")))))))</f>
        <v/>
      </c>
      <c r="L25" s="1">
        <f>IF(ISNUMBER(B25),YEAR(B25)*100+MONTH(B25),"")</f>
        <v/>
      </c>
      <c r="M25">
        <f>IF(AND(K25="",C25&lt;&gt;""),1,0)</f>
        <v/>
      </c>
      <c r="N25">
        <f>IF(AND(M25=1,ISNUMBER(G25)),INT(G25),0)</f>
        <v/>
      </c>
    </row>
    <row r="26">
      <c r="A26" s="1" t="n"/>
      <c r="B26" s="17" t="n">
        <v>46143</v>
      </c>
      <c r="C26" s="19" t="inlineStr">
        <is>
          <t>Grace Kim</t>
        </is>
      </c>
      <c r="D26" s="25" t="n">
        <v>10</v>
      </c>
      <c r="E26" s="26" t="n">
        <v>600</v>
      </c>
      <c r="F26" s="26" t="n">
        <v>600</v>
      </c>
      <c r="G26" s="17" t="n">
        <v>46263</v>
      </c>
      <c r="H26" s="21" t="n"/>
      <c r="I26" s="16">
        <f>IF(OR(N(D26)&lt;=0,NOT(ISNUMBER(E26))),"",E26/D26)</f>
        <v/>
      </c>
      <c r="J26" s="16">
        <f>IF(OR(C26="",NOT(ISNUMBER(E26))),"",MAX(0,E26-N(F26)))</f>
        <v/>
      </c>
      <c r="K26" s="12">
        <f>IF(AND(C26="",D26="",E26=""),"",IF(NOT(ISNUMBER(B26)),"Needs a date",IF(C26="","Needs a client",IF(COUNTIF(Clients!$B$6:$B$105,C26)=0,"Not on Clients",IF(NOT(ISNUMBER(D26)),"Needs the sessions",IF(AND(E26&lt;&gt;"",NOT(ISNUMBER(E26))),"Price not a number",IF(AND(ISNUMBER(E26),N(F26)&gt;E26),"Paid more than the price","")))))))</f>
        <v/>
      </c>
      <c r="L26" s="1">
        <f>IF(ISNUMBER(B26),YEAR(B26)*100+MONTH(B26),"")</f>
        <v/>
      </c>
      <c r="M26">
        <f>IF(AND(K26="",C26&lt;&gt;""),1,0)</f>
        <v/>
      </c>
      <c r="N26">
        <f>IF(AND(M26=1,ISNUMBER(G26)),INT(G26),0)</f>
        <v/>
      </c>
    </row>
    <row r="27">
      <c r="A27" s="1" t="n"/>
      <c r="B27" s="17" t="n">
        <v>46155</v>
      </c>
      <c r="C27" s="19" t="inlineStr">
        <is>
          <t>Priya Nair</t>
        </is>
      </c>
      <c r="D27" s="25" t="n">
        <v>5</v>
      </c>
      <c r="E27" s="26" t="n">
        <v>325</v>
      </c>
      <c r="F27" s="26" t="n">
        <v>325</v>
      </c>
      <c r="G27" s="17" t="n">
        <v>46275</v>
      </c>
      <c r="H27" s="21" t="n"/>
      <c r="I27" s="16">
        <f>IF(OR(N(D27)&lt;=0,NOT(ISNUMBER(E27))),"",E27/D27)</f>
        <v/>
      </c>
      <c r="J27" s="16">
        <f>IF(OR(C27="",NOT(ISNUMBER(E27))),"",MAX(0,E27-N(F27)))</f>
        <v/>
      </c>
      <c r="K27" s="12">
        <f>IF(AND(C27="",D27="",E27=""),"",IF(NOT(ISNUMBER(B27)),"Needs a date",IF(C27="","Needs a client",IF(COUNTIF(Clients!$B$6:$B$105,C27)=0,"Not on Clients",IF(NOT(ISNUMBER(D27)),"Needs the sessions",IF(AND(E27&lt;&gt;"",NOT(ISNUMBER(E27))),"Price not a number",IF(AND(ISNUMBER(E27),N(F27)&gt;E27),"Paid more than the price","")))))))</f>
        <v/>
      </c>
      <c r="L27" s="1">
        <f>IF(ISNUMBER(B27),YEAR(B27)*100+MONTH(B27),"")</f>
        <v/>
      </c>
      <c r="M27">
        <f>IF(AND(K27="",C27&lt;&gt;""),1,0)</f>
        <v/>
      </c>
      <c r="N27">
        <f>IF(AND(M27=1,ISNUMBER(G27)),INT(G27),0)</f>
        <v/>
      </c>
    </row>
    <row r="28">
      <c r="A28" s="1" t="n"/>
      <c r="B28" s="17" t="n">
        <v>46168</v>
      </c>
      <c r="C28" s="19" t="inlineStr">
        <is>
          <t>Ben Carter</t>
        </is>
      </c>
      <c r="D28" s="25" t="n">
        <v>10</v>
      </c>
      <c r="E28" s="26" t="n">
        <v>600</v>
      </c>
      <c r="F28" s="26" t="n">
        <v>600</v>
      </c>
      <c r="G28" s="17" t="n">
        <v>46288</v>
      </c>
      <c r="H28" s="21" t="n"/>
      <c r="I28" s="16">
        <f>IF(OR(N(D28)&lt;=0,NOT(ISNUMBER(E28))),"",E28/D28)</f>
        <v/>
      </c>
      <c r="J28" s="16">
        <f>IF(OR(C28="",NOT(ISNUMBER(E28))),"",MAX(0,E28-N(F28)))</f>
        <v/>
      </c>
      <c r="K28" s="12">
        <f>IF(AND(C28="",D28="",E28=""),"",IF(NOT(ISNUMBER(B28)),"Needs a date",IF(C28="","Needs a client",IF(COUNTIF(Clients!$B$6:$B$105,C28)=0,"Not on Clients",IF(NOT(ISNUMBER(D28)),"Needs the sessions",IF(AND(E28&lt;&gt;"",NOT(ISNUMBER(E28))),"Price not a number",IF(AND(ISNUMBER(E28),N(F28)&gt;E28),"Paid more than the price","")))))))</f>
        <v/>
      </c>
      <c r="L28" s="1">
        <f>IF(ISNUMBER(B28),YEAR(B28)*100+MONTH(B28),"")</f>
        <v/>
      </c>
      <c r="M28">
        <f>IF(AND(K28="",C28&lt;&gt;""),1,0)</f>
        <v/>
      </c>
      <c r="N28">
        <f>IF(AND(M28=1,ISNUMBER(G28)),INT(G28),0)</f>
        <v/>
      </c>
    </row>
    <row r="29">
      <c r="A29" s="1" t="n"/>
      <c r="B29" s="17" t="n">
        <v>46169</v>
      </c>
      <c r="C29" s="19" t="inlineStr">
        <is>
          <t>Priya Nair</t>
        </is>
      </c>
      <c r="D29" s="25" t="n">
        <v>5</v>
      </c>
      <c r="E29" s="26" t="n">
        <v>325</v>
      </c>
      <c r="F29" s="26" t="n">
        <v>325</v>
      </c>
      <c r="G29" s="17" t="n">
        <v>46289</v>
      </c>
      <c r="H29" s="21" t="n"/>
      <c r="I29" s="16">
        <f>IF(OR(N(D29)&lt;=0,NOT(ISNUMBER(E29))),"",E29/D29)</f>
        <v/>
      </c>
      <c r="J29" s="16">
        <f>IF(OR(C29="",NOT(ISNUMBER(E29))),"",MAX(0,E29-N(F29)))</f>
        <v/>
      </c>
      <c r="K29" s="12">
        <f>IF(AND(C29="",D29="",E29=""),"",IF(NOT(ISNUMBER(B29)),"Needs a date",IF(C29="","Needs a client",IF(COUNTIF(Clients!$B$6:$B$105,C29)=0,"Not on Clients",IF(NOT(ISNUMBER(D29)),"Needs the sessions",IF(AND(E29&lt;&gt;"",NOT(ISNUMBER(E29))),"Price not a number",IF(AND(ISNUMBER(E29),N(F29)&gt;E29),"Paid more than the price","")))))))</f>
        <v/>
      </c>
      <c r="L29" s="1">
        <f>IF(ISNUMBER(B29),YEAR(B29)*100+MONTH(B29),"")</f>
        <v/>
      </c>
      <c r="M29">
        <f>IF(AND(K29="",C29&lt;&gt;""),1,0)</f>
        <v/>
      </c>
      <c r="N29">
        <f>IF(AND(M29=1,ISNUMBER(G29)),INT(G29),0)</f>
        <v/>
      </c>
    </row>
    <row r="30">
      <c r="A30" s="1" t="n"/>
      <c r="B30" s="17" t="n">
        <v>46173</v>
      </c>
      <c r="C30" s="19" t="inlineStr">
        <is>
          <t>Maya Ortiz</t>
        </is>
      </c>
      <c r="D30" s="25" t="n">
        <v>10</v>
      </c>
      <c r="E30" s="26" t="n">
        <v>600</v>
      </c>
      <c r="F30" s="26" t="n">
        <v>600</v>
      </c>
      <c r="G30" s="17" t="n">
        <v>46293</v>
      </c>
      <c r="H30" s="21" t="n"/>
      <c r="I30" s="16">
        <f>IF(OR(N(D30)&lt;=0,NOT(ISNUMBER(E30))),"",E30/D30)</f>
        <v/>
      </c>
      <c r="J30" s="16">
        <f>IF(OR(C30="",NOT(ISNUMBER(E30))),"",MAX(0,E30-N(F30)))</f>
        <v/>
      </c>
      <c r="K30" s="12">
        <f>IF(AND(C30="",D30="",E30=""),"",IF(NOT(ISNUMBER(B30)),"Needs a date",IF(C30="","Needs a client",IF(COUNTIF(Clients!$B$6:$B$105,C30)=0,"Not on Clients",IF(NOT(ISNUMBER(D30)),"Needs the sessions",IF(AND(E30&lt;&gt;"",NOT(ISNUMBER(E30))),"Price not a number",IF(AND(ISNUMBER(E30),N(F30)&gt;E30),"Paid more than the price","")))))))</f>
        <v/>
      </c>
      <c r="L30" s="1">
        <f>IF(ISNUMBER(B30),YEAR(B30)*100+MONTH(B30),"")</f>
        <v/>
      </c>
      <c r="M30">
        <f>IF(AND(K30="",C30&lt;&gt;""),1,0)</f>
        <v/>
      </c>
      <c r="N30">
        <f>IF(AND(M30=1,ISNUMBER(G30)),INT(G30),0)</f>
        <v/>
      </c>
    </row>
    <row r="31">
      <c r="A31" s="1" t="n"/>
      <c r="B31" s="17" t="n">
        <v>46173</v>
      </c>
      <c r="C31" s="19" t="inlineStr">
        <is>
          <t>Leah Fischer</t>
        </is>
      </c>
      <c r="D31" s="25" t="n">
        <v>10</v>
      </c>
      <c r="E31" s="26" t="n">
        <v>600</v>
      </c>
      <c r="F31" s="26" t="n">
        <v>600</v>
      </c>
      <c r="G31" s="17" t="n">
        <v>46293</v>
      </c>
      <c r="H31" s="21" t="n"/>
      <c r="I31" s="16">
        <f>IF(OR(N(D31)&lt;=0,NOT(ISNUMBER(E31))),"",E31/D31)</f>
        <v/>
      </c>
      <c r="J31" s="16">
        <f>IF(OR(C31="",NOT(ISNUMBER(E31))),"",MAX(0,E31-N(F31)))</f>
        <v/>
      </c>
      <c r="K31" s="12">
        <f>IF(AND(C31="",D31="",E31=""),"",IF(NOT(ISNUMBER(B31)),"Needs a date",IF(C31="","Needs a client",IF(COUNTIF(Clients!$B$6:$B$105,C31)=0,"Not on Clients",IF(NOT(ISNUMBER(D31)),"Needs the sessions",IF(AND(E31&lt;&gt;"",NOT(ISNUMBER(E31))),"Price not a number",IF(AND(ISNUMBER(E31),N(F31)&gt;E31),"Paid more than the price","")))))))</f>
        <v/>
      </c>
      <c r="L31" s="1">
        <f>IF(ISNUMBER(B31),YEAR(B31)*100+MONTH(B31),"")</f>
        <v/>
      </c>
      <c r="M31">
        <f>IF(AND(K31="",C31&lt;&gt;""),1,0)</f>
        <v/>
      </c>
      <c r="N31">
        <f>IF(AND(M31=1,ISNUMBER(G31)),INT(G31),0)</f>
        <v/>
      </c>
    </row>
    <row r="32">
      <c r="A32" s="1" t="n"/>
      <c r="B32" s="17" t="n">
        <v>46183</v>
      </c>
      <c r="C32" s="19" t="inlineStr">
        <is>
          <t>Priya Nair</t>
        </is>
      </c>
      <c r="D32" s="25" t="n">
        <v>5</v>
      </c>
      <c r="E32" s="26" t="n">
        <v>325</v>
      </c>
      <c r="F32" s="26" t="n">
        <v>325</v>
      </c>
      <c r="G32" s="17" t="n">
        <v>46303</v>
      </c>
      <c r="H32" s="21" t="n"/>
      <c r="I32" s="16">
        <f>IF(OR(N(D32)&lt;=0,NOT(ISNUMBER(E32))),"",E32/D32)</f>
        <v/>
      </c>
      <c r="J32" s="16">
        <f>IF(OR(C32="",NOT(ISNUMBER(E32))),"",MAX(0,E32-N(F32)))</f>
        <v/>
      </c>
      <c r="K32" s="12">
        <f>IF(AND(C32="",D32="",E32=""),"",IF(NOT(ISNUMBER(B32)),"Needs a date",IF(C32="","Needs a client",IF(COUNTIF(Clients!$B$6:$B$105,C32)=0,"Not on Clients",IF(NOT(ISNUMBER(D32)),"Needs the sessions",IF(AND(E32&lt;&gt;"",NOT(ISNUMBER(E32))),"Price not a number",IF(AND(ISNUMBER(E32),N(F32)&gt;E32),"Paid more than the price","")))))))</f>
        <v/>
      </c>
      <c r="L32" s="1">
        <f>IF(ISNUMBER(B32),YEAR(B32)*100+MONTH(B32),"")</f>
        <v/>
      </c>
      <c r="M32">
        <f>IF(AND(K32="",C32&lt;&gt;""),1,0)</f>
        <v/>
      </c>
      <c r="N32">
        <f>IF(AND(M32=1,ISNUMBER(G32)),INT(G32),0)</f>
        <v/>
      </c>
    </row>
    <row r="33">
      <c r="A33" s="1" t="n"/>
      <c r="B33" s="17" t="n">
        <v>46193</v>
      </c>
      <c r="C33" s="19" t="inlineStr">
        <is>
          <t>Ben Carter</t>
        </is>
      </c>
      <c r="D33" s="25" t="n">
        <v>10</v>
      </c>
      <c r="E33" s="26" t="n">
        <v>600</v>
      </c>
      <c r="F33" s="26" t="n">
        <v>600</v>
      </c>
      <c r="G33" s="17" t="n">
        <v>46313</v>
      </c>
      <c r="H33" s="21" t="n"/>
      <c r="I33" s="16">
        <f>IF(OR(N(D33)&lt;=0,NOT(ISNUMBER(E33))),"",E33/D33)</f>
        <v/>
      </c>
      <c r="J33" s="16">
        <f>IF(OR(C33="",NOT(ISNUMBER(E33))),"",MAX(0,E33-N(F33)))</f>
        <v/>
      </c>
      <c r="K33" s="12">
        <f>IF(AND(C33="",D33="",E33=""),"",IF(NOT(ISNUMBER(B33)),"Needs a date",IF(C33="","Needs a client",IF(COUNTIF(Clients!$B$6:$B$105,C33)=0,"Not on Clients",IF(NOT(ISNUMBER(D33)),"Needs the sessions",IF(AND(E33&lt;&gt;"",NOT(ISNUMBER(E33))),"Price not a number",IF(AND(ISNUMBER(E33),N(F33)&gt;E33),"Paid more than the price","")))))))</f>
        <v/>
      </c>
      <c r="L33" s="1">
        <f>IF(ISNUMBER(B33),YEAR(B33)*100+MONTH(B33),"")</f>
        <v/>
      </c>
      <c r="M33">
        <f>IF(AND(K33="",C33&lt;&gt;""),1,0)</f>
        <v/>
      </c>
      <c r="N33">
        <f>IF(AND(M33=1,ISNUMBER(G33)),INT(G33),0)</f>
        <v/>
      </c>
    </row>
    <row r="34">
      <c r="A34" s="1" t="n"/>
      <c r="B34" s="17" t="n">
        <v>46193</v>
      </c>
      <c r="C34" s="19" t="inlineStr">
        <is>
          <t>Omar Haddad</t>
        </is>
      </c>
      <c r="D34" s="25" t="n">
        <v>5</v>
      </c>
      <c r="E34" s="26" t="n">
        <v>325</v>
      </c>
      <c r="F34" s="26" t="n">
        <v>325</v>
      </c>
      <c r="G34" s="17" t="n">
        <v>46313</v>
      </c>
      <c r="H34" s="21" t="n"/>
      <c r="I34" s="16">
        <f>IF(OR(N(D34)&lt;=0,NOT(ISNUMBER(E34))),"",E34/D34)</f>
        <v/>
      </c>
      <c r="J34" s="16">
        <f>IF(OR(C34="",NOT(ISNUMBER(E34))),"",MAX(0,E34-N(F34)))</f>
        <v/>
      </c>
      <c r="K34" s="12">
        <f>IF(AND(C34="",D34="",E34=""),"",IF(NOT(ISNUMBER(B34)),"Needs a date",IF(C34="","Needs a client",IF(COUNTIF(Clients!$B$6:$B$105,C34)=0,"Not on Clients",IF(NOT(ISNUMBER(D34)),"Needs the sessions",IF(AND(E34&lt;&gt;"",NOT(ISNUMBER(E34))),"Price not a number",IF(AND(ISNUMBER(E34),N(F34)&gt;E34),"Paid more than the price","")))))))</f>
        <v/>
      </c>
      <c r="L34" s="1">
        <f>IF(ISNUMBER(B34),YEAR(B34)*100+MONTH(B34),"")</f>
        <v/>
      </c>
      <c r="M34">
        <f>IF(AND(K34="",C34&lt;&gt;""),1,0)</f>
        <v/>
      </c>
      <c r="N34">
        <f>IF(AND(M34=1,ISNUMBER(G34)),INT(G34),0)</f>
        <v/>
      </c>
    </row>
    <row r="35">
      <c r="A35" s="1" t="n"/>
      <c r="B35" s="17" t="n">
        <v>46197</v>
      </c>
      <c r="C35" s="19" t="inlineStr">
        <is>
          <t>Priya Nair</t>
        </is>
      </c>
      <c r="D35" s="25" t="n">
        <v>5</v>
      </c>
      <c r="E35" s="26" t="n">
        <v>325</v>
      </c>
      <c r="F35" s="26" t="n">
        <v>325</v>
      </c>
      <c r="G35" s="17" t="n">
        <v>46317</v>
      </c>
      <c r="H35" s="21" t="n"/>
      <c r="I35" s="16">
        <f>IF(OR(N(D35)&lt;=0,NOT(ISNUMBER(E35))),"",E35/D35)</f>
        <v/>
      </c>
      <c r="J35" s="16">
        <f>IF(OR(C35="",NOT(ISNUMBER(E35))),"",MAX(0,E35-N(F35)))</f>
        <v/>
      </c>
      <c r="K35" s="12">
        <f>IF(AND(C35="",D35="",E35=""),"",IF(NOT(ISNUMBER(B35)),"Needs a date",IF(C35="","Needs a client",IF(COUNTIF(Clients!$B$6:$B$105,C35)=0,"Not on Clients",IF(NOT(ISNUMBER(D35)),"Needs the sessions",IF(AND(E35&lt;&gt;"",NOT(ISNUMBER(E35))),"Price not a number",IF(AND(ISNUMBER(E35),N(F35)&gt;E35),"Paid more than the price","")))))))</f>
        <v/>
      </c>
      <c r="L35" s="1">
        <f>IF(ISNUMBER(B35),YEAR(B35)*100+MONTH(B35),"")</f>
        <v/>
      </c>
      <c r="M35">
        <f>IF(AND(K35="",C35&lt;&gt;""),1,0)</f>
        <v/>
      </c>
      <c r="N35">
        <f>IF(AND(M35=1,ISNUMBER(G35)),INT(G35),0)</f>
        <v/>
      </c>
    </row>
    <row r="36">
      <c r="A36" s="1" t="n"/>
      <c r="B36" s="17" t="n">
        <v>46198</v>
      </c>
      <c r="C36" s="19" t="inlineStr">
        <is>
          <t>Leah Fischer</t>
        </is>
      </c>
      <c r="D36" s="25" t="n">
        <v>10</v>
      </c>
      <c r="E36" s="26" t="n">
        <v>600</v>
      </c>
      <c r="F36" s="26" t="n">
        <v>600</v>
      </c>
      <c r="G36" s="17" t="n">
        <v>46318</v>
      </c>
      <c r="H36" s="21" t="n"/>
      <c r="I36" s="16">
        <f>IF(OR(N(D36)&lt;=0,NOT(ISNUMBER(E36))),"",E36/D36)</f>
        <v/>
      </c>
      <c r="J36" s="16">
        <f>IF(OR(C36="",NOT(ISNUMBER(E36))),"",MAX(0,E36-N(F36)))</f>
        <v/>
      </c>
      <c r="K36" s="12">
        <f>IF(AND(C36="",D36="",E36=""),"",IF(NOT(ISNUMBER(B36)),"Needs a date",IF(C36="","Needs a client",IF(COUNTIF(Clients!$B$6:$B$105,C36)=0,"Not on Clients",IF(NOT(ISNUMBER(D36)),"Needs the sessions",IF(AND(E36&lt;&gt;"",NOT(ISNUMBER(E36))),"Price not a number",IF(AND(ISNUMBER(E36),N(F36)&gt;E36),"Paid more than the price","")))))))</f>
        <v/>
      </c>
      <c r="L36" s="1">
        <f>IF(ISNUMBER(B36),YEAR(B36)*100+MONTH(B36),"")</f>
        <v/>
      </c>
      <c r="M36">
        <f>IF(AND(K36="",C36&lt;&gt;""),1,0)</f>
        <v/>
      </c>
      <c r="N36">
        <f>IF(AND(M36=1,ISNUMBER(G36)),INT(G36),0)</f>
        <v/>
      </c>
    </row>
    <row r="37">
      <c r="A37" s="1" t="n"/>
      <c r="B37" s="17" t="n">
        <v>46203</v>
      </c>
      <c r="C37" s="19" t="inlineStr">
        <is>
          <t>Tom Walsh</t>
        </is>
      </c>
      <c r="D37" s="25" t="n">
        <v>10</v>
      </c>
      <c r="E37" s="26" t="n">
        <v>600</v>
      </c>
      <c r="F37" s="26" t="n">
        <v>600</v>
      </c>
      <c r="G37" s="17" t="n">
        <v>46323</v>
      </c>
      <c r="H37" s="21" t="n"/>
      <c r="I37" s="16">
        <f>IF(OR(N(D37)&lt;=0,NOT(ISNUMBER(E37))),"",E37/D37)</f>
        <v/>
      </c>
      <c r="J37" s="16">
        <f>IF(OR(C37="",NOT(ISNUMBER(E37))),"",MAX(0,E37-N(F37)))</f>
        <v/>
      </c>
      <c r="K37" s="12">
        <f>IF(AND(C37="",D37="",E37=""),"",IF(NOT(ISNUMBER(B37)),"Needs a date",IF(C37="","Needs a client",IF(COUNTIF(Clients!$B$6:$B$105,C37)=0,"Not on Clients",IF(NOT(ISNUMBER(D37)),"Needs the sessions",IF(AND(E37&lt;&gt;"",NOT(ISNUMBER(E37))),"Price not a number",IF(AND(ISNUMBER(E37),N(F37)&gt;E37),"Paid more than the price","")))))))</f>
        <v/>
      </c>
      <c r="L37" s="1">
        <f>IF(ISNUMBER(B37),YEAR(B37)*100+MONTH(B37),"")</f>
        <v/>
      </c>
      <c r="M37">
        <f>IF(AND(K37="",C37&lt;&gt;""),1,0)</f>
        <v/>
      </c>
      <c r="N37">
        <f>IF(AND(M37=1,ISNUMBER(G37)),INT(G37),0)</f>
        <v/>
      </c>
    </row>
    <row r="38">
      <c r="A38" s="1" t="n"/>
      <c r="B38" s="17" t="n">
        <v>46203</v>
      </c>
      <c r="C38" s="19" t="inlineStr">
        <is>
          <t>Grace Kim</t>
        </is>
      </c>
      <c r="D38" s="25" t="n">
        <v>3</v>
      </c>
      <c r="E38" s="26" t="n">
        <v>180</v>
      </c>
      <c r="F38" s="26" t="n">
        <v>180</v>
      </c>
      <c r="G38" s="17" t="n">
        <v>46293</v>
      </c>
      <c r="H38" s="21" t="inlineStr">
        <is>
          <t>Top-up</t>
        </is>
      </c>
      <c r="I38" s="16">
        <f>IF(OR(N(D38)&lt;=0,NOT(ISNUMBER(E38))),"",E38/D38)</f>
        <v/>
      </c>
      <c r="J38" s="16">
        <f>IF(OR(C38="",NOT(ISNUMBER(E38))),"",MAX(0,E38-N(F38)))</f>
        <v/>
      </c>
      <c r="K38" s="12">
        <f>IF(AND(C38="",D38="",E38=""),"",IF(NOT(ISNUMBER(B38)),"Needs a date",IF(C38="","Needs a client",IF(COUNTIF(Clients!$B$6:$B$105,C38)=0,"Not on Clients",IF(NOT(ISNUMBER(D38)),"Needs the sessions",IF(AND(E38&lt;&gt;"",NOT(ISNUMBER(E38))),"Price not a number",IF(AND(ISNUMBER(E38),N(F38)&gt;E38),"Paid more than the price","")))))))</f>
        <v/>
      </c>
      <c r="L38" s="1">
        <f>IF(ISNUMBER(B38),YEAR(B38)*100+MONTH(B38),"")</f>
        <v/>
      </c>
      <c r="M38">
        <f>IF(AND(K38="",C38&lt;&gt;""),1,0)</f>
        <v/>
      </c>
      <c r="N38">
        <f>IF(AND(M38=1,ISNUMBER(G38)),INT(G38),0)</f>
        <v/>
      </c>
    </row>
    <row r="39">
      <c r="A39" s="1" t="n"/>
      <c r="B39" s="17" t="n">
        <v>46207</v>
      </c>
      <c r="C39" s="19" t="inlineStr">
        <is>
          <t>Omar Haddad</t>
        </is>
      </c>
      <c r="D39" s="25" t="n">
        <v>5</v>
      </c>
      <c r="E39" s="26" t="n">
        <v>325</v>
      </c>
      <c r="F39" s="26" t="n">
        <v>325</v>
      </c>
      <c r="G39" s="17" t="n">
        <v>46327</v>
      </c>
      <c r="H39" s="21" t="n"/>
      <c r="I39" s="16">
        <f>IF(OR(N(D39)&lt;=0,NOT(ISNUMBER(E39))),"",E39/D39)</f>
        <v/>
      </c>
      <c r="J39" s="16">
        <f>IF(OR(C39="",NOT(ISNUMBER(E39))),"",MAX(0,E39-N(F39)))</f>
        <v/>
      </c>
      <c r="K39" s="12">
        <f>IF(AND(C39="",D39="",E39=""),"",IF(NOT(ISNUMBER(B39)),"Needs a date",IF(C39="","Needs a client",IF(COUNTIF(Clients!$B$6:$B$105,C39)=0,"Not on Clients",IF(NOT(ISNUMBER(D39)),"Needs the sessions",IF(AND(E39&lt;&gt;"",NOT(ISNUMBER(E39))),"Price not a number",IF(AND(ISNUMBER(E39),N(F39)&gt;E39),"Paid more than the price","")))))))</f>
        <v/>
      </c>
      <c r="L39" s="1">
        <f>IF(ISNUMBER(B39),YEAR(B39)*100+MONTH(B39),"")</f>
        <v/>
      </c>
      <c r="M39">
        <f>IF(AND(K39="",C39&lt;&gt;""),1,0)</f>
        <v/>
      </c>
      <c r="N39">
        <f>IF(AND(M39=1,ISNUMBER(G39)),INT(G39),0)</f>
        <v/>
      </c>
    </row>
    <row r="40">
      <c r="A40" s="1" t="n"/>
      <c r="B40" s="17" t="n">
        <v>46211</v>
      </c>
      <c r="C40" s="19" t="inlineStr">
        <is>
          <t>Priya Nair</t>
        </is>
      </c>
      <c r="D40" s="25" t="n">
        <v>5</v>
      </c>
      <c r="E40" s="26" t="n">
        <v>325</v>
      </c>
      <c r="F40" s="26" t="n">
        <v>325</v>
      </c>
      <c r="G40" s="17" t="n">
        <v>46331</v>
      </c>
      <c r="H40" s="21" t="n"/>
      <c r="I40" s="16">
        <f>IF(OR(N(D40)&lt;=0,NOT(ISNUMBER(E40))),"",E40/D40)</f>
        <v/>
      </c>
      <c r="J40" s="16">
        <f>IF(OR(C40="",NOT(ISNUMBER(E40))),"",MAX(0,E40-N(F40)))</f>
        <v/>
      </c>
      <c r="K40" s="12">
        <f>IF(AND(C40="",D40="",E40=""),"",IF(NOT(ISNUMBER(B40)),"Needs a date",IF(C40="","Needs a client",IF(COUNTIF(Clients!$B$6:$B$105,C40)=0,"Not on Clients",IF(NOT(ISNUMBER(D40)),"Needs the sessions",IF(AND(E40&lt;&gt;"",NOT(ISNUMBER(E40))),"Price not a number",IF(AND(ISNUMBER(E40),N(F40)&gt;E40),"Paid more than the price","")))))))</f>
        <v/>
      </c>
      <c r="L40" s="1">
        <f>IF(ISNUMBER(B40),YEAR(B40)*100+MONTH(B40),"")</f>
        <v/>
      </c>
      <c r="M40">
        <f>IF(AND(K40="",C40&lt;&gt;""),1,0)</f>
        <v/>
      </c>
      <c r="N40">
        <f>IF(AND(M40=1,ISNUMBER(G40)),INT(G40),0)</f>
        <v/>
      </c>
    </row>
    <row r="41">
      <c r="A41" s="1" t="n"/>
      <c r="B41" s="17" t="n">
        <v>46218</v>
      </c>
      <c r="C41" s="19" t="inlineStr">
        <is>
          <t>Ben Carter</t>
        </is>
      </c>
      <c r="D41" s="25" t="n">
        <v>9</v>
      </c>
      <c r="E41" s="26" t="n">
        <v>540</v>
      </c>
      <c r="F41" s="26" t="n">
        <v>540</v>
      </c>
      <c r="G41" s="17" t="n">
        <v>46308</v>
      </c>
      <c r="H41" s="21" t="inlineStr">
        <is>
          <t>Top-up</t>
        </is>
      </c>
      <c r="I41" s="16">
        <f>IF(OR(N(D41)&lt;=0,NOT(ISNUMBER(E41))),"",E41/D41)</f>
        <v/>
      </c>
      <c r="J41" s="16">
        <f>IF(OR(C41="",NOT(ISNUMBER(E41))),"",MAX(0,E41-N(F41)))</f>
        <v/>
      </c>
      <c r="K41" s="12">
        <f>IF(AND(C41="",D41="",E41=""),"",IF(NOT(ISNUMBER(B41)),"Needs a date",IF(C41="","Needs a client",IF(COUNTIF(Clients!$B$6:$B$105,C41)=0,"Not on Clients",IF(NOT(ISNUMBER(D41)),"Needs the sessions",IF(AND(E41&lt;&gt;"",NOT(ISNUMBER(E41))),"Price not a number",IF(AND(ISNUMBER(E41),N(F41)&gt;E41),"Paid more than the price","")))))))</f>
        <v/>
      </c>
      <c r="L41" s="1">
        <f>IF(ISNUMBER(B41),YEAR(B41)*100+MONTH(B41),"")</f>
        <v/>
      </c>
      <c r="M41">
        <f>IF(AND(K41="",C41&lt;&gt;""),1,0)</f>
        <v/>
      </c>
      <c r="N41">
        <f>IF(AND(M41=1,ISNUMBER(G41)),INT(G41),0)</f>
        <v/>
      </c>
    </row>
    <row r="42">
      <c r="A42" s="1" t="n"/>
      <c r="B42" s="17" t="n">
        <v>46221</v>
      </c>
      <c r="C42" s="19" t="inlineStr">
        <is>
          <t>Omar Haddad</t>
        </is>
      </c>
      <c r="D42" s="25" t="n">
        <v>5</v>
      </c>
      <c r="E42" s="26" t="n">
        <v>325</v>
      </c>
      <c r="F42" s="26" t="n">
        <v>325</v>
      </c>
      <c r="G42" s="17" t="n">
        <v>46341</v>
      </c>
      <c r="H42" s="21" t="n"/>
      <c r="I42" s="16">
        <f>IF(OR(N(D42)&lt;=0,NOT(ISNUMBER(E42))),"",E42/D42)</f>
        <v/>
      </c>
      <c r="J42" s="16">
        <f>IF(OR(C42="",NOT(ISNUMBER(E42))),"",MAX(0,E42-N(F42)))</f>
        <v/>
      </c>
      <c r="K42" s="12">
        <f>IF(AND(C42="",D42="",E42=""),"",IF(NOT(ISNUMBER(B42)),"Needs a date",IF(C42="","Needs a client",IF(COUNTIF(Clients!$B$6:$B$105,C42)=0,"Not on Clients",IF(NOT(ISNUMBER(D42)),"Needs the sessions",IF(AND(E42&lt;&gt;"",NOT(ISNUMBER(E42))),"Price not a number",IF(AND(ISNUMBER(E42),N(F42)&gt;E42),"Paid more than the price","")))))))</f>
        <v/>
      </c>
      <c r="L42" s="1">
        <f>IF(ISNUMBER(B42),YEAR(B42)*100+MONTH(B42),"")</f>
        <v/>
      </c>
      <c r="M42">
        <f>IF(AND(K42="",C42&lt;&gt;""),1,0)</f>
        <v/>
      </c>
      <c r="N42">
        <f>IF(AND(M42=1,ISNUMBER(G42)),INT(G42),0)</f>
        <v/>
      </c>
    </row>
    <row r="43">
      <c r="A43" s="1" t="n"/>
      <c r="B43" s="17" t="n">
        <v>46223</v>
      </c>
      <c r="C43" s="19" t="inlineStr">
        <is>
          <t>Leah Fischer</t>
        </is>
      </c>
      <c r="D43" s="25" t="n">
        <v>10</v>
      </c>
      <c r="E43" s="26" t="n">
        <v>600</v>
      </c>
      <c r="F43" s="26" t="n">
        <v>600</v>
      </c>
      <c r="G43" s="17" t="n">
        <v>46343</v>
      </c>
      <c r="H43" s="21" t="n"/>
      <c r="I43" s="16">
        <f>IF(OR(N(D43)&lt;=0,NOT(ISNUMBER(E43))),"",E43/D43)</f>
        <v/>
      </c>
      <c r="J43" s="16">
        <f>IF(OR(C43="",NOT(ISNUMBER(E43))),"",MAX(0,E43-N(F43)))</f>
        <v/>
      </c>
      <c r="K43" s="12">
        <f>IF(AND(C43="",D43="",E43=""),"",IF(NOT(ISNUMBER(B43)),"Needs a date",IF(C43="","Needs a client",IF(COUNTIF(Clients!$B$6:$B$105,C43)=0,"Not on Clients",IF(NOT(ISNUMBER(D43)),"Needs the sessions",IF(AND(E43&lt;&gt;"",NOT(ISNUMBER(E43))),"Price not a number",IF(AND(ISNUMBER(E43),N(F43)&gt;E43),"Paid more than the price","")))))))</f>
        <v/>
      </c>
      <c r="L43" s="1">
        <f>IF(ISNUMBER(B43),YEAR(B43)*100+MONTH(B43),"")</f>
        <v/>
      </c>
      <c r="M43">
        <f>IF(AND(K43="",C43&lt;&gt;""),1,0)</f>
        <v/>
      </c>
      <c r="N43">
        <f>IF(AND(M43=1,ISNUMBER(G43)),INT(G43),0)</f>
        <v/>
      </c>
    </row>
    <row r="44">
      <c r="A44" s="1" t="n"/>
      <c r="B44" s="17" t="n">
        <v>46225</v>
      </c>
      <c r="C44" s="19" t="inlineStr">
        <is>
          <t>Priya Nair</t>
        </is>
      </c>
      <c r="D44" s="25" t="n">
        <v>5</v>
      </c>
      <c r="E44" s="26" t="n">
        <v>325</v>
      </c>
      <c r="F44" s="26" t="n">
        <v>325</v>
      </c>
      <c r="G44" s="17" t="n">
        <v>46345</v>
      </c>
      <c r="H44" s="21" t="n"/>
      <c r="I44" s="16">
        <f>IF(OR(N(D44)&lt;=0,NOT(ISNUMBER(E44))),"",E44/D44)</f>
        <v/>
      </c>
      <c r="J44" s="16">
        <f>IF(OR(C44="",NOT(ISNUMBER(E44))),"",MAX(0,E44-N(F44)))</f>
        <v/>
      </c>
      <c r="K44" s="12">
        <f>IF(AND(C44="",D44="",E44=""),"",IF(NOT(ISNUMBER(B44)),"Needs a date",IF(C44="","Needs a client",IF(COUNTIF(Clients!$B$6:$B$105,C44)=0,"Not on Clients",IF(NOT(ISNUMBER(D44)),"Needs the sessions",IF(AND(E44&lt;&gt;"",NOT(ISNUMBER(E44))),"Price not a number",IF(AND(ISNUMBER(E44),N(F44)&gt;E44),"Paid more than the price","")))))))</f>
        <v/>
      </c>
      <c r="L44" s="1">
        <f>IF(ISNUMBER(B44),YEAR(B44)*100+MONTH(B44),"")</f>
        <v/>
      </c>
      <c r="M44">
        <f>IF(AND(K44="",C44&lt;&gt;""),1,0)</f>
        <v/>
      </c>
      <c r="N44">
        <f>IF(AND(M44=1,ISNUMBER(G44)),INT(G44),0)</f>
        <v/>
      </c>
    </row>
    <row r="45">
      <c r="A45" s="1" t="n"/>
      <c r="B45" s="17" t="n">
        <v>46233</v>
      </c>
      <c r="C45" s="19" t="inlineStr">
        <is>
          <t>Maya Ortiz</t>
        </is>
      </c>
      <c r="D45" s="25" t="n">
        <v>10</v>
      </c>
      <c r="E45" s="26" t="n">
        <v>600</v>
      </c>
      <c r="F45" s="26" t="n">
        <v>600</v>
      </c>
      <c r="G45" s="17" t="n">
        <v>46353</v>
      </c>
      <c r="H45" s="21" t="n"/>
      <c r="I45" s="16">
        <f>IF(OR(N(D45)&lt;=0,NOT(ISNUMBER(E45))),"",E45/D45)</f>
        <v/>
      </c>
      <c r="J45" s="16">
        <f>IF(OR(C45="",NOT(ISNUMBER(E45))),"",MAX(0,E45-N(F45)))</f>
        <v/>
      </c>
      <c r="K45" s="12">
        <f>IF(AND(C45="",D45="",E45=""),"",IF(NOT(ISNUMBER(B45)),"Needs a date",IF(C45="","Needs a client",IF(COUNTIF(Clients!$B$6:$B$105,C45)=0,"Not on Clients",IF(NOT(ISNUMBER(D45)),"Needs the sessions",IF(AND(E45&lt;&gt;"",NOT(ISNUMBER(E45))),"Price not a number",IF(AND(ISNUMBER(E45),N(F45)&gt;E45),"Paid more than the price","")))))))</f>
        <v/>
      </c>
      <c r="L45" s="1">
        <f>IF(ISNUMBER(B45),YEAR(B45)*100+MONTH(B45),"")</f>
        <v/>
      </c>
      <c r="M45">
        <f>IF(AND(K45="",C45&lt;&gt;""),1,0)</f>
        <v/>
      </c>
      <c r="N45">
        <f>IF(AND(M45=1,ISNUMBER(G45)),INT(G45),0)</f>
        <v/>
      </c>
    </row>
    <row r="46">
      <c r="A46" s="1" t="n"/>
      <c r="B46" s="17" t="n">
        <v>46233</v>
      </c>
      <c r="C46" s="19" t="inlineStr">
        <is>
          <t>Luis Moreno</t>
        </is>
      </c>
      <c r="D46" s="25" t="n">
        <v>10</v>
      </c>
      <c r="E46" s="26" t="n">
        <v>600</v>
      </c>
      <c r="F46" s="26" t="n">
        <v>600</v>
      </c>
      <c r="G46" s="17" t="n">
        <v>46353</v>
      </c>
      <c r="H46" s="21" t="n"/>
      <c r="I46" s="16">
        <f>IF(OR(N(D46)&lt;=0,NOT(ISNUMBER(E46))),"",E46/D46)</f>
        <v/>
      </c>
      <c r="J46" s="16">
        <f>IF(OR(C46="",NOT(ISNUMBER(E46))),"",MAX(0,E46-N(F46)))</f>
        <v/>
      </c>
      <c r="K46" s="12">
        <f>IF(AND(C46="",D46="",E46=""),"",IF(NOT(ISNUMBER(B46)),"Needs a date",IF(C46="","Needs a client",IF(COUNTIF(Clients!$B$6:$B$105,C46)=0,"Not on Clients",IF(NOT(ISNUMBER(D46)),"Needs the sessions",IF(AND(E46&lt;&gt;"",NOT(ISNUMBER(E46))),"Price not a number",IF(AND(ISNUMBER(E46),N(F46)&gt;E46),"Paid more than the price","")))))))</f>
        <v/>
      </c>
      <c r="L46" s="1">
        <f>IF(ISNUMBER(B46),YEAR(B46)*100+MONTH(B46),"")</f>
        <v/>
      </c>
      <c r="M46">
        <f>IF(AND(K46="",C46&lt;&gt;""),1,0)</f>
        <v/>
      </c>
      <c r="N46">
        <f>IF(AND(M46=1,ISNUMBER(G46)),INT(G46),0)</f>
        <v/>
      </c>
    </row>
    <row r="47">
      <c r="A47" s="1" t="n"/>
      <c r="B47" s="17" t="n">
        <v>46235</v>
      </c>
      <c r="C47" s="19" t="inlineStr">
        <is>
          <t>Omar Haddad</t>
        </is>
      </c>
      <c r="D47" s="25" t="n">
        <v>5</v>
      </c>
      <c r="E47" s="26" t="n">
        <v>325</v>
      </c>
      <c r="F47" s="26" t="n">
        <v>325</v>
      </c>
      <c r="G47" s="17" t="n">
        <v>46355</v>
      </c>
      <c r="H47" s="21" t="n"/>
      <c r="I47" s="16">
        <f>IF(OR(N(D47)&lt;=0,NOT(ISNUMBER(E47))),"",E47/D47)</f>
        <v/>
      </c>
      <c r="J47" s="16">
        <f>IF(OR(C47="",NOT(ISNUMBER(E47))),"",MAX(0,E47-N(F47)))</f>
        <v/>
      </c>
      <c r="K47" s="12">
        <f>IF(AND(C47="",D47="",E47=""),"",IF(NOT(ISNUMBER(B47)),"Needs a date",IF(C47="","Needs a client",IF(COUNTIF(Clients!$B$6:$B$105,C47)=0,"Not on Clients",IF(NOT(ISNUMBER(D47)),"Needs the sessions",IF(AND(E47&lt;&gt;"",NOT(ISNUMBER(E47))),"Price not a number",IF(AND(ISNUMBER(E47),N(F47)&gt;E47),"Paid more than the price","")))))))</f>
        <v/>
      </c>
      <c r="L47" s="1">
        <f>IF(ISNUMBER(B47),YEAR(B47)*100+MONTH(B47),"")</f>
        <v/>
      </c>
      <c r="M47">
        <f>IF(AND(K47="",C47&lt;&gt;""),1,0)</f>
        <v/>
      </c>
      <c r="N47">
        <f>IF(AND(M47=1,ISNUMBER(G47)),INT(G47),0)</f>
        <v/>
      </c>
    </row>
    <row r="48">
      <c r="A48" s="1" t="n"/>
      <c r="B48" s="17" t="n">
        <v>46239</v>
      </c>
      <c r="C48" s="19" t="inlineStr">
        <is>
          <t>Priya Nair</t>
        </is>
      </c>
      <c r="D48" s="25" t="n">
        <v>5</v>
      </c>
      <c r="E48" s="26" t="n">
        <v>325</v>
      </c>
      <c r="F48" s="26" t="n">
        <v>325</v>
      </c>
      <c r="G48" s="17" t="n">
        <v>46359</v>
      </c>
      <c r="H48" s="21" t="n"/>
      <c r="I48" s="16">
        <f>IF(OR(N(D48)&lt;=0,NOT(ISNUMBER(E48))),"",E48/D48)</f>
        <v/>
      </c>
      <c r="J48" s="16">
        <f>IF(OR(C48="",NOT(ISNUMBER(E48))),"",MAX(0,E48-N(F48)))</f>
        <v/>
      </c>
      <c r="K48" s="12">
        <f>IF(AND(C48="",D48="",E48=""),"",IF(NOT(ISNUMBER(B48)),"Needs a date",IF(C48="","Needs a client",IF(COUNTIF(Clients!$B$6:$B$105,C48)=0,"Not on Clients",IF(NOT(ISNUMBER(D48)),"Needs the sessions",IF(AND(E48&lt;&gt;"",NOT(ISNUMBER(E48))),"Price not a number",IF(AND(ISNUMBER(E48),N(F48)&gt;E48),"Paid more than the price","")))))))</f>
        <v/>
      </c>
      <c r="L48" s="1">
        <f>IF(ISNUMBER(B48),YEAR(B48)*100+MONTH(B48),"")</f>
        <v/>
      </c>
      <c r="M48">
        <f>IF(AND(K48="",C48&lt;&gt;""),1,0)</f>
        <v/>
      </c>
      <c r="N48">
        <f>IF(AND(M48=1,ISNUMBER(G48)),INT(G48),0)</f>
        <v/>
      </c>
    </row>
    <row r="49">
      <c r="A49" s="1" t="n"/>
      <c r="B49" s="17" t="n">
        <v>46248</v>
      </c>
      <c r="C49" s="19" t="inlineStr">
        <is>
          <t>Leah Fischer</t>
        </is>
      </c>
      <c r="D49" s="25" t="n">
        <v>7</v>
      </c>
      <c r="E49" s="26" t="n">
        <v>420</v>
      </c>
      <c r="F49" s="26" t="n">
        <v>420</v>
      </c>
      <c r="G49" s="17" t="n">
        <v>46338</v>
      </c>
      <c r="H49" s="21" t="inlineStr">
        <is>
          <t>Top-up</t>
        </is>
      </c>
      <c r="I49" s="16">
        <f>IF(OR(N(D49)&lt;=0,NOT(ISNUMBER(E49))),"",E49/D49)</f>
        <v/>
      </c>
      <c r="J49" s="16">
        <f>IF(OR(C49="",NOT(ISNUMBER(E49))),"",MAX(0,E49-N(F49)))</f>
        <v/>
      </c>
      <c r="K49" s="12">
        <f>IF(AND(C49="",D49="",E49=""),"",IF(NOT(ISNUMBER(B49)),"Needs a date",IF(C49="","Needs a client",IF(COUNTIF(Clients!$B$6:$B$105,C49)=0,"Not on Clients",IF(NOT(ISNUMBER(D49)),"Needs the sessions",IF(AND(E49&lt;&gt;"",NOT(ISNUMBER(E49))),"Price not a number",IF(AND(ISNUMBER(E49),N(F49)&gt;E49),"Paid more than the price","")))))))</f>
        <v/>
      </c>
      <c r="L49" s="1">
        <f>IF(ISNUMBER(B49),YEAR(B49)*100+MONTH(B49),"")</f>
        <v/>
      </c>
      <c r="M49">
        <f>IF(AND(K49="",C49&lt;&gt;""),1,0)</f>
        <v/>
      </c>
      <c r="N49">
        <f>IF(AND(M49=1,ISNUMBER(G49)),INT(G49),0)</f>
        <v/>
      </c>
    </row>
    <row r="50">
      <c r="A50" s="1" t="n"/>
      <c r="B50" s="17" t="n">
        <v>46249</v>
      </c>
      <c r="C50" s="19" t="inlineStr">
        <is>
          <t>Omar Haddad</t>
        </is>
      </c>
      <c r="D50" s="25" t="n">
        <v>5</v>
      </c>
      <c r="E50" s="26" t="n">
        <v>325</v>
      </c>
      <c r="F50" s="26" t="n">
        <v>325</v>
      </c>
      <c r="G50" s="17" t="n">
        <v>46369</v>
      </c>
      <c r="H50" s="21" t="n"/>
      <c r="I50" s="16">
        <f>IF(OR(N(D50)&lt;=0,NOT(ISNUMBER(E50))),"",E50/D50)</f>
        <v/>
      </c>
      <c r="J50" s="16">
        <f>IF(OR(C50="",NOT(ISNUMBER(E50))),"",MAX(0,E50-N(F50)))</f>
        <v/>
      </c>
      <c r="K50" s="12">
        <f>IF(AND(C50="",D50="",E50=""),"",IF(NOT(ISNUMBER(B50)),"Needs a date",IF(C50="","Needs a client",IF(COUNTIF(Clients!$B$6:$B$105,C50)=0,"Not on Clients",IF(NOT(ISNUMBER(D50)),"Needs the sessions",IF(AND(E50&lt;&gt;"",NOT(ISNUMBER(E50))),"Price not a number",IF(AND(ISNUMBER(E50),N(F50)&gt;E50),"Paid more than the price","")))))))</f>
        <v/>
      </c>
      <c r="L50" s="1">
        <f>IF(ISNUMBER(B50),YEAR(B50)*100+MONTH(B50),"")</f>
        <v/>
      </c>
      <c r="M50">
        <f>IF(AND(K50="",C50&lt;&gt;""),1,0)</f>
        <v/>
      </c>
      <c r="N50">
        <f>IF(AND(M50=1,ISNUMBER(G50)),INT(G50),0)</f>
        <v/>
      </c>
    </row>
    <row r="51">
      <c r="A51" s="1" t="n"/>
      <c r="B51" s="17" t="n">
        <v>46253</v>
      </c>
      <c r="C51" s="19" t="inlineStr">
        <is>
          <t>Priya Nair</t>
        </is>
      </c>
      <c r="D51" s="25" t="n">
        <v>2</v>
      </c>
      <c r="E51" s="26" t="n">
        <v>130</v>
      </c>
      <c r="F51" s="26" t="n">
        <v>130</v>
      </c>
      <c r="G51" s="17" t="n">
        <v>46343</v>
      </c>
      <c r="H51" s="21" t="inlineStr">
        <is>
          <t>Top-up</t>
        </is>
      </c>
      <c r="I51" s="16">
        <f>IF(OR(N(D51)&lt;=0,NOT(ISNUMBER(E51))),"",E51/D51)</f>
        <v/>
      </c>
      <c r="J51" s="16">
        <f>IF(OR(C51="",NOT(ISNUMBER(E51))),"",MAX(0,E51-N(F51)))</f>
        <v/>
      </c>
      <c r="K51" s="12">
        <f>IF(AND(C51="",D51="",E51=""),"",IF(NOT(ISNUMBER(B51)),"Needs a date",IF(C51="","Needs a client",IF(COUNTIF(Clients!$B$6:$B$105,C51)=0,"Not on Clients",IF(NOT(ISNUMBER(D51)),"Needs the sessions",IF(AND(E51&lt;&gt;"",NOT(ISNUMBER(E51))),"Price not a number",IF(AND(ISNUMBER(E51),N(F51)&gt;E51),"Paid more than the price","")))))))</f>
        <v/>
      </c>
      <c r="L51" s="1">
        <f>IF(ISNUMBER(B51),YEAR(B51)*100+MONTH(B51),"")</f>
        <v/>
      </c>
      <c r="M51">
        <f>IF(AND(K51="",C51&lt;&gt;""),1,0)</f>
        <v/>
      </c>
      <c r="N51">
        <f>IF(AND(M51=1,ISNUMBER(G51)),INT(G51),0)</f>
        <v/>
      </c>
    </row>
    <row r="52">
      <c r="A52" s="1" t="n"/>
      <c r="B52" s="17" t="n">
        <v>46258</v>
      </c>
      <c r="C52" s="19" t="inlineStr">
        <is>
          <t>Luis Moreno</t>
        </is>
      </c>
      <c r="D52" s="25" t="n">
        <v>10</v>
      </c>
      <c r="E52" s="26" t="n">
        <v>600</v>
      </c>
      <c r="F52" s="26" t="n">
        <v>300</v>
      </c>
      <c r="G52" s="17" t="n">
        <v>46378</v>
      </c>
      <c r="H52" s="21" t="n"/>
      <c r="I52" s="16">
        <f>IF(OR(N(D52)&lt;=0,NOT(ISNUMBER(E52))),"",E52/D52)</f>
        <v/>
      </c>
      <c r="J52" s="16">
        <f>IF(OR(C52="",NOT(ISNUMBER(E52))),"",MAX(0,E52-N(F52)))</f>
        <v/>
      </c>
      <c r="K52" s="12">
        <f>IF(AND(C52="",D52="",E52=""),"",IF(NOT(ISNUMBER(B52)),"Needs a date",IF(C52="","Needs a client",IF(COUNTIF(Clients!$B$6:$B$105,C52)=0,"Not on Clients",IF(NOT(ISNUMBER(D52)),"Needs the sessions",IF(AND(E52&lt;&gt;"",NOT(ISNUMBER(E52))),"Price not a number",IF(AND(ISNUMBER(E52),N(F52)&gt;E52),"Paid more than the price","")))))))</f>
        <v/>
      </c>
      <c r="L52" s="1">
        <f>IF(ISNUMBER(B52),YEAR(B52)*100+MONTH(B52),"")</f>
        <v/>
      </c>
      <c r="M52">
        <f>IF(AND(K52="",C52&lt;&gt;""),1,0)</f>
        <v/>
      </c>
      <c r="N52">
        <f>IF(AND(M52=1,ISNUMBER(G52)),INT(G52),0)</f>
        <v/>
      </c>
    </row>
    <row r="53">
      <c r="A53" s="1" t="n"/>
      <c r="B53" s="17" t="n">
        <v>46263</v>
      </c>
      <c r="C53" s="19" t="inlineStr">
        <is>
          <t>Tom Walsh</t>
        </is>
      </c>
      <c r="D53" s="25" t="n">
        <v>5</v>
      </c>
      <c r="E53" s="26" t="n">
        <v>300</v>
      </c>
      <c r="F53" s="26" t="n">
        <v>300</v>
      </c>
      <c r="G53" s="17" t="n">
        <v>46353</v>
      </c>
      <c r="H53" s="21" t="inlineStr">
        <is>
          <t>Top-up</t>
        </is>
      </c>
      <c r="I53" s="16">
        <f>IF(OR(N(D53)&lt;=0,NOT(ISNUMBER(E53))),"",E53/D53)</f>
        <v/>
      </c>
      <c r="J53" s="16">
        <f>IF(OR(C53="",NOT(ISNUMBER(E53))),"",MAX(0,E53-N(F53)))</f>
        <v/>
      </c>
      <c r="K53" s="12">
        <f>IF(AND(C53="",D53="",E53=""),"",IF(NOT(ISNUMBER(B53)),"Needs a date",IF(C53="","Needs a client",IF(COUNTIF(Clients!$B$6:$B$105,C53)=0,"Not on Clients",IF(NOT(ISNUMBER(D53)),"Needs the sessions",IF(AND(E53&lt;&gt;"",NOT(ISNUMBER(E53))),"Price not a number",IF(AND(ISNUMBER(E53),N(F53)&gt;E53),"Paid more than the price","")))))))</f>
        <v/>
      </c>
      <c r="L53" s="1">
        <f>IF(ISNUMBER(B53),YEAR(B53)*100+MONTH(B53),"")</f>
        <v/>
      </c>
      <c r="M53">
        <f>IF(AND(K53="",C53&lt;&gt;""),1,0)</f>
        <v/>
      </c>
      <c r="N53">
        <f>IF(AND(M53=1,ISNUMBER(G53)),INT(G53),0)</f>
        <v/>
      </c>
    </row>
    <row r="54">
      <c r="A54" s="1" t="n"/>
      <c r="B54" s="17" t="n">
        <v>46263</v>
      </c>
      <c r="C54" s="19" t="inlineStr">
        <is>
          <t>Omar Haddad</t>
        </is>
      </c>
      <c r="D54" s="25" t="n">
        <v>5</v>
      </c>
      <c r="E54" s="26" t="n">
        <v>325</v>
      </c>
      <c r="F54" s="26" t="n">
        <v>325</v>
      </c>
      <c r="G54" s="17" t="n">
        <v>46383</v>
      </c>
      <c r="H54" s="21" t="n"/>
      <c r="I54" s="16">
        <f>IF(OR(N(D54)&lt;=0,NOT(ISNUMBER(E54))),"",E54/D54)</f>
        <v/>
      </c>
      <c r="J54" s="16">
        <f>IF(OR(C54="",NOT(ISNUMBER(E54))),"",MAX(0,E54-N(F54)))</f>
        <v/>
      </c>
      <c r="K54" s="12">
        <f>IF(AND(C54="",D54="",E54=""),"",IF(NOT(ISNUMBER(B54)),"Needs a date",IF(C54="","Needs a client",IF(COUNTIF(Clients!$B$6:$B$105,C54)=0,"Not on Clients",IF(NOT(ISNUMBER(D54)),"Needs the sessions",IF(AND(E54&lt;&gt;"",NOT(ISNUMBER(E54))),"Price not a number",IF(AND(ISNUMBER(E54),N(F54)&gt;E54),"Paid more than the price","")))))))</f>
        <v/>
      </c>
      <c r="L54" s="1">
        <f>IF(ISNUMBER(B54),YEAR(B54)*100+MONTH(B54),"")</f>
        <v/>
      </c>
      <c r="M54">
        <f>IF(AND(K54="",C54&lt;&gt;""),1,0)</f>
        <v/>
      </c>
      <c r="N54">
        <f>IF(AND(M54=1,ISNUMBER(G54)),INT(G54),0)</f>
        <v/>
      </c>
    </row>
    <row r="55">
      <c r="A55" s="1" t="n"/>
      <c r="B55" s="17" t="n">
        <v>46263</v>
      </c>
      <c r="C55" s="19" t="inlineStr">
        <is>
          <t>Sam Taylor</t>
        </is>
      </c>
      <c r="D55" s="25" t="n">
        <v>5</v>
      </c>
      <c r="E55" s="26" t="n">
        <v>325</v>
      </c>
      <c r="F55" s="26" t="n">
        <v>325</v>
      </c>
      <c r="G55" s="17" t="n">
        <v>46383</v>
      </c>
      <c r="H55" s="21" t="n"/>
      <c r="I55" s="16">
        <f>IF(OR(N(D55)&lt;=0,NOT(ISNUMBER(E55))),"",E55/D55)</f>
        <v/>
      </c>
      <c r="J55" s="16">
        <f>IF(OR(C55="",NOT(ISNUMBER(E55))),"",MAX(0,E55-N(F55)))</f>
        <v/>
      </c>
      <c r="K55" s="12">
        <f>IF(AND(C55="",D55="",E55=""),"",IF(NOT(ISNUMBER(B55)),"Needs a date",IF(C55="","Needs a client",IF(COUNTIF(Clients!$B$6:$B$105,C55)=0,"Not on Clients",IF(NOT(ISNUMBER(D55)),"Needs the sessions",IF(AND(E55&lt;&gt;"",NOT(ISNUMBER(E55))),"Price not a number",IF(AND(ISNUMBER(E55),N(F55)&gt;E55),"Paid more than the price","")))))))</f>
        <v/>
      </c>
      <c r="L55" s="1">
        <f>IF(ISNUMBER(B55),YEAR(B55)*100+MONTH(B55),"")</f>
        <v/>
      </c>
      <c r="M55">
        <f>IF(AND(K55="",C55&lt;&gt;""),1,0)</f>
        <v/>
      </c>
      <c r="N55">
        <f>IF(AND(M55=1,ISNUMBER(G55)),INT(G55),0)</f>
        <v/>
      </c>
    </row>
    <row r="56">
      <c r="A56" s="1" t="n"/>
      <c r="B56" s="17" t="n">
        <v>46283</v>
      </c>
      <c r="C56" s="19" t="inlineStr">
        <is>
          <t>Luis Moreno</t>
        </is>
      </c>
      <c r="D56" s="25" t="n">
        <v>1</v>
      </c>
      <c r="E56" s="26" t="n">
        <v>60</v>
      </c>
      <c r="F56" s="26" t="n">
        <v>60</v>
      </c>
      <c r="G56" s="17" t="n">
        <v>46373</v>
      </c>
      <c r="H56" s="21" t="inlineStr">
        <is>
          <t>Top-up</t>
        </is>
      </c>
      <c r="I56" s="16">
        <f>IF(OR(N(D56)&lt;=0,NOT(ISNUMBER(E56))),"",E56/D56)</f>
        <v/>
      </c>
      <c r="J56" s="16">
        <f>IF(OR(C56="",NOT(ISNUMBER(E56))),"",MAX(0,E56-N(F56)))</f>
        <v/>
      </c>
      <c r="K56" s="12">
        <f>IF(AND(C56="",D56="",E56=""),"",IF(NOT(ISNUMBER(B56)),"Needs a date",IF(C56="","Needs a client",IF(COUNTIF(Clients!$B$6:$B$105,C56)=0,"Not on Clients",IF(NOT(ISNUMBER(D56)),"Needs the sessions",IF(AND(E56&lt;&gt;"",NOT(ISNUMBER(E56))),"Price not a number",IF(AND(ISNUMBER(E56),N(F56)&gt;E56),"Paid more than the price","")))))))</f>
        <v/>
      </c>
      <c r="L56" s="1">
        <f>IF(ISNUMBER(B56),YEAR(B56)*100+MONTH(B56),"")</f>
        <v/>
      </c>
      <c r="M56">
        <f>IF(AND(K56="",C56&lt;&gt;""),1,0)</f>
        <v/>
      </c>
      <c r="N56">
        <f>IF(AND(M56=1,ISNUMBER(G56)),INT(G56),0)</f>
        <v/>
      </c>
    </row>
    <row r="57">
      <c r="A57" s="1" t="n"/>
      <c r="B57" s="17" t="n">
        <v>46288</v>
      </c>
      <c r="C57" s="19" t="inlineStr">
        <is>
          <t>Sam Taylor</t>
        </is>
      </c>
      <c r="D57" s="25" t="n">
        <v>3</v>
      </c>
      <c r="E57" s="26" t="n">
        <v>195</v>
      </c>
      <c r="F57" s="26" t="n">
        <v>195</v>
      </c>
      <c r="G57" s="17" t="n">
        <v>46378</v>
      </c>
      <c r="H57" s="21" t="inlineStr">
        <is>
          <t>Top-up</t>
        </is>
      </c>
      <c r="I57" s="16">
        <f>IF(OR(N(D57)&lt;=0,NOT(ISNUMBER(E57))),"",E57/D57)</f>
        <v/>
      </c>
      <c r="J57" s="16">
        <f>IF(OR(C57="",NOT(ISNUMBER(E57))),"",MAX(0,E57-N(F57)))</f>
        <v/>
      </c>
      <c r="K57" s="12">
        <f>IF(AND(C57="",D57="",E57=""),"",IF(NOT(ISNUMBER(B57)),"Needs a date",IF(C57="","Needs a client",IF(COUNTIF(Clients!$B$6:$B$105,C57)=0,"Not on Clients",IF(NOT(ISNUMBER(D57)),"Needs the sessions",IF(AND(E57&lt;&gt;"",NOT(ISNUMBER(E57))),"Price not a number",IF(AND(ISNUMBER(E57),N(F57)&gt;E57),"Paid more than the price","")))))))</f>
        <v/>
      </c>
      <c r="L57" s="1">
        <f>IF(ISNUMBER(B57),YEAR(B57)*100+MONTH(B57),"")</f>
        <v/>
      </c>
      <c r="M57">
        <f>IF(AND(K57="",C57&lt;&gt;""),1,0)</f>
        <v/>
      </c>
      <c r="N57">
        <f>IF(AND(M57=1,ISNUMBER(G57)),INT(G57),0)</f>
        <v/>
      </c>
    </row>
    <row r="58">
      <c r="A58" s="1" t="n"/>
      <c r="B58" s="17" t="n"/>
      <c r="C58" s="19" t="n"/>
      <c r="D58" s="25" t="n"/>
      <c r="E58" s="26" t="n"/>
      <c r="F58" s="26" t="n"/>
      <c r="G58" s="17" t="n"/>
      <c r="H58" s="21" t="n"/>
      <c r="I58" s="16">
        <f>IF(OR(N(D58)&lt;=0,NOT(ISNUMBER(E58))),"",E58/D58)</f>
        <v/>
      </c>
      <c r="J58" s="16">
        <f>IF(OR(C58="",NOT(ISNUMBER(E58))),"",MAX(0,E58-N(F58)))</f>
        <v/>
      </c>
      <c r="K58" s="12">
        <f>IF(AND(C58="",D58="",E58=""),"",IF(NOT(ISNUMBER(B58)),"Needs a date",IF(C58="","Needs a client",IF(COUNTIF(Clients!$B$6:$B$105,C58)=0,"Not on Clients",IF(NOT(ISNUMBER(D58)),"Needs the sessions",IF(AND(E58&lt;&gt;"",NOT(ISNUMBER(E58))),"Price not a number",IF(AND(ISNUMBER(E58),N(F58)&gt;E58),"Paid more than the price","")))))))</f>
        <v/>
      </c>
      <c r="L58" s="1">
        <f>IF(ISNUMBER(B58),YEAR(B58)*100+MONTH(B58),"")</f>
        <v/>
      </c>
      <c r="M58">
        <f>IF(AND(K58="",C58&lt;&gt;""),1,0)</f>
        <v/>
      </c>
      <c r="N58">
        <f>IF(AND(M58=1,ISNUMBER(G58)),INT(G58),0)</f>
        <v/>
      </c>
    </row>
    <row r="59">
      <c r="A59" s="1" t="n"/>
      <c r="B59" s="17" t="n"/>
      <c r="C59" s="19" t="n"/>
      <c r="D59" s="25" t="n"/>
      <c r="E59" s="26" t="n"/>
      <c r="F59" s="26" t="n"/>
      <c r="G59" s="17" t="n"/>
      <c r="H59" s="21" t="n"/>
      <c r="I59" s="16">
        <f>IF(OR(N(D59)&lt;=0,NOT(ISNUMBER(E59))),"",E59/D59)</f>
        <v/>
      </c>
      <c r="J59" s="16">
        <f>IF(OR(C59="",NOT(ISNUMBER(E59))),"",MAX(0,E59-N(F59)))</f>
        <v/>
      </c>
      <c r="K59" s="12">
        <f>IF(AND(C59="",D59="",E59=""),"",IF(NOT(ISNUMBER(B59)),"Needs a date",IF(C59="","Needs a client",IF(COUNTIF(Clients!$B$6:$B$105,C59)=0,"Not on Clients",IF(NOT(ISNUMBER(D59)),"Needs the sessions",IF(AND(E59&lt;&gt;"",NOT(ISNUMBER(E59))),"Price not a number",IF(AND(ISNUMBER(E59),N(F59)&gt;E59),"Paid more than the price","")))))))</f>
        <v/>
      </c>
      <c r="L59" s="1">
        <f>IF(ISNUMBER(B59),YEAR(B59)*100+MONTH(B59),"")</f>
        <v/>
      </c>
      <c r="M59">
        <f>IF(AND(K59="",C59&lt;&gt;""),1,0)</f>
        <v/>
      </c>
      <c r="N59">
        <f>IF(AND(M59=1,ISNUMBER(G59)),INT(G59),0)</f>
        <v/>
      </c>
    </row>
    <row r="60">
      <c r="A60" s="1" t="n"/>
      <c r="B60" s="17" t="n"/>
      <c r="C60" s="19" t="n"/>
      <c r="D60" s="25" t="n"/>
      <c r="E60" s="26" t="n"/>
      <c r="F60" s="26" t="n"/>
      <c r="G60" s="17" t="n"/>
      <c r="H60" s="21" t="n"/>
      <c r="I60" s="16">
        <f>IF(OR(N(D60)&lt;=0,NOT(ISNUMBER(E60))),"",E60/D60)</f>
        <v/>
      </c>
      <c r="J60" s="16">
        <f>IF(OR(C60="",NOT(ISNUMBER(E60))),"",MAX(0,E60-N(F60)))</f>
        <v/>
      </c>
      <c r="K60" s="12">
        <f>IF(AND(C60="",D60="",E60=""),"",IF(NOT(ISNUMBER(B60)),"Needs a date",IF(C60="","Needs a client",IF(COUNTIF(Clients!$B$6:$B$105,C60)=0,"Not on Clients",IF(NOT(ISNUMBER(D60)),"Needs the sessions",IF(AND(E60&lt;&gt;"",NOT(ISNUMBER(E60))),"Price not a number",IF(AND(ISNUMBER(E60),N(F60)&gt;E60),"Paid more than the price","")))))))</f>
        <v/>
      </c>
      <c r="L60" s="1">
        <f>IF(ISNUMBER(B60),YEAR(B60)*100+MONTH(B60),"")</f>
        <v/>
      </c>
      <c r="M60">
        <f>IF(AND(K60="",C60&lt;&gt;""),1,0)</f>
        <v/>
      </c>
      <c r="N60">
        <f>IF(AND(M60=1,ISNUMBER(G60)),INT(G60),0)</f>
        <v/>
      </c>
    </row>
    <row r="61">
      <c r="A61" s="1" t="n"/>
      <c r="B61" s="17" t="n"/>
      <c r="C61" s="19" t="n"/>
      <c r="D61" s="25" t="n"/>
      <c r="E61" s="26" t="n"/>
      <c r="F61" s="26" t="n"/>
      <c r="G61" s="17" t="n"/>
      <c r="H61" s="21" t="n"/>
      <c r="I61" s="16">
        <f>IF(OR(N(D61)&lt;=0,NOT(ISNUMBER(E61))),"",E61/D61)</f>
        <v/>
      </c>
      <c r="J61" s="16">
        <f>IF(OR(C61="",NOT(ISNUMBER(E61))),"",MAX(0,E61-N(F61)))</f>
        <v/>
      </c>
      <c r="K61" s="12">
        <f>IF(AND(C61="",D61="",E61=""),"",IF(NOT(ISNUMBER(B61)),"Needs a date",IF(C61="","Needs a client",IF(COUNTIF(Clients!$B$6:$B$105,C61)=0,"Not on Clients",IF(NOT(ISNUMBER(D61)),"Needs the sessions",IF(AND(E61&lt;&gt;"",NOT(ISNUMBER(E61))),"Price not a number",IF(AND(ISNUMBER(E61),N(F61)&gt;E61),"Paid more than the price","")))))))</f>
        <v/>
      </c>
      <c r="L61" s="1">
        <f>IF(ISNUMBER(B61),YEAR(B61)*100+MONTH(B61),"")</f>
        <v/>
      </c>
      <c r="M61">
        <f>IF(AND(K61="",C61&lt;&gt;""),1,0)</f>
        <v/>
      </c>
      <c r="N61">
        <f>IF(AND(M61=1,ISNUMBER(G61)),INT(G61),0)</f>
        <v/>
      </c>
    </row>
    <row r="62">
      <c r="A62" s="1" t="n"/>
      <c r="B62" s="17" t="n"/>
      <c r="C62" s="19" t="n"/>
      <c r="D62" s="25" t="n"/>
      <c r="E62" s="26" t="n"/>
      <c r="F62" s="26" t="n"/>
      <c r="G62" s="17" t="n"/>
      <c r="H62" s="21" t="n"/>
      <c r="I62" s="16">
        <f>IF(OR(N(D62)&lt;=0,NOT(ISNUMBER(E62))),"",E62/D62)</f>
        <v/>
      </c>
      <c r="J62" s="16">
        <f>IF(OR(C62="",NOT(ISNUMBER(E62))),"",MAX(0,E62-N(F62)))</f>
        <v/>
      </c>
      <c r="K62" s="12">
        <f>IF(AND(C62="",D62="",E62=""),"",IF(NOT(ISNUMBER(B62)),"Needs a date",IF(C62="","Needs a client",IF(COUNTIF(Clients!$B$6:$B$105,C62)=0,"Not on Clients",IF(NOT(ISNUMBER(D62)),"Needs the sessions",IF(AND(E62&lt;&gt;"",NOT(ISNUMBER(E62))),"Price not a number",IF(AND(ISNUMBER(E62),N(F62)&gt;E62),"Paid more than the price","")))))))</f>
        <v/>
      </c>
      <c r="L62" s="1">
        <f>IF(ISNUMBER(B62),YEAR(B62)*100+MONTH(B62),"")</f>
        <v/>
      </c>
      <c r="M62">
        <f>IF(AND(K62="",C62&lt;&gt;""),1,0)</f>
        <v/>
      </c>
      <c r="N62">
        <f>IF(AND(M62=1,ISNUMBER(G62)),INT(G62),0)</f>
        <v/>
      </c>
    </row>
    <row r="63">
      <c r="A63" s="1" t="n"/>
      <c r="B63" s="17" t="n"/>
      <c r="C63" s="19" t="n"/>
      <c r="D63" s="25" t="n"/>
      <c r="E63" s="26" t="n"/>
      <c r="F63" s="26" t="n"/>
      <c r="G63" s="17" t="n"/>
      <c r="H63" s="21" t="n"/>
      <c r="I63" s="16">
        <f>IF(OR(N(D63)&lt;=0,NOT(ISNUMBER(E63))),"",E63/D63)</f>
        <v/>
      </c>
      <c r="J63" s="16">
        <f>IF(OR(C63="",NOT(ISNUMBER(E63))),"",MAX(0,E63-N(F63)))</f>
        <v/>
      </c>
      <c r="K63" s="12">
        <f>IF(AND(C63="",D63="",E63=""),"",IF(NOT(ISNUMBER(B63)),"Needs a date",IF(C63="","Needs a client",IF(COUNTIF(Clients!$B$6:$B$105,C63)=0,"Not on Clients",IF(NOT(ISNUMBER(D63)),"Needs the sessions",IF(AND(E63&lt;&gt;"",NOT(ISNUMBER(E63))),"Price not a number",IF(AND(ISNUMBER(E63),N(F63)&gt;E63),"Paid more than the price","")))))))</f>
        <v/>
      </c>
      <c r="L63" s="1">
        <f>IF(ISNUMBER(B63),YEAR(B63)*100+MONTH(B63),"")</f>
        <v/>
      </c>
      <c r="M63">
        <f>IF(AND(K63="",C63&lt;&gt;""),1,0)</f>
        <v/>
      </c>
      <c r="N63">
        <f>IF(AND(M63=1,ISNUMBER(G63)),INT(G63),0)</f>
        <v/>
      </c>
    </row>
    <row r="64">
      <c r="A64" s="1" t="n"/>
      <c r="B64" s="17" t="n"/>
      <c r="C64" s="19" t="n"/>
      <c r="D64" s="25" t="n"/>
      <c r="E64" s="26" t="n"/>
      <c r="F64" s="26" t="n"/>
      <c r="G64" s="17" t="n"/>
      <c r="H64" s="21" t="n"/>
      <c r="I64" s="16">
        <f>IF(OR(N(D64)&lt;=0,NOT(ISNUMBER(E64))),"",E64/D64)</f>
        <v/>
      </c>
      <c r="J64" s="16">
        <f>IF(OR(C64="",NOT(ISNUMBER(E64))),"",MAX(0,E64-N(F64)))</f>
        <v/>
      </c>
      <c r="K64" s="12">
        <f>IF(AND(C64="",D64="",E64=""),"",IF(NOT(ISNUMBER(B64)),"Needs a date",IF(C64="","Needs a client",IF(COUNTIF(Clients!$B$6:$B$105,C64)=0,"Not on Clients",IF(NOT(ISNUMBER(D64)),"Needs the sessions",IF(AND(E64&lt;&gt;"",NOT(ISNUMBER(E64))),"Price not a number",IF(AND(ISNUMBER(E64),N(F64)&gt;E64),"Paid more than the price","")))))))</f>
        <v/>
      </c>
      <c r="L64" s="1">
        <f>IF(ISNUMBER(B64),YEAR(B64)*100+MONTH(B64),"")</f>
        <v/>
      </c>
      <c r="M64">
        <f>IF(AND(K64="",C64&lt;&gt;""),1,0)</f>
        <v/>
      </c>
      <c r="N64">
        <f>IF(AND(M64=1,ISNUMBER(G64)),INT(G64),0)</f>
        <v/>
      </c>
    </row>
    <row r="65">
      <c r="A65" s="1" t="n"/>
      <c r="B65" s="17" t="n"/>
      <c r="C65" s="19" t="n"/>
      <c r="D65" s="25" t="n"/>
      <c r="E65" s="26" t="n"/>
      <c r="F65" s="26" t="n"/>
      <c r="G65" s="17" t="n"/>
      <c r="H65" s="21" t="n"/>
      <c r="I65" s="16">
        <f>IF(OR(N(D65)&lt;=0,NOT(ISNUMBER(E65))),"",E65/D65)</f>
        <v/>
      </c>
      <c r="J65" s="16">
        <f>IF(OR(C65="",NOT(ISNUMBER(E65))),"",MAX(0,E65-N(F65)))</f>
        <v/>
      </c>
      <c r="K65" s="12">
        <f>IF(AND(C65="",D65="",E65=""),"",IF(NOT(ISNUMBER(B65)),"Needs a date",IF(C65="","Needs a client",IF(COUNTIF(Clients!$B$6:$B$105,C65)=0,"Not on Clients",IF(NOT(ISNUMBER(D65)),"Needs the sessions",IF(AND(E65&lt;&gt;"",NOT(ISNUMBER(E65))),"Price not a number",IF(AND(ISNUMBER(E65),N(F65)&gt;E65),"Paid more than the price","")))))))</f>
        <v/>
      </c>
      <c r="L65" s="1">
        <f>IF(ISNUMBER(B65),YEAR(B65)*100+MONTH(B65),"")</f>
        <v/>
      </c>
      <c r="M65">
        <f>IF(AND(K65="",C65&lt;&gt;""),1,0)</f>
        <v/>
      </c>
      <c r="N65">
        <f>IF(AND(M65=1,ISNUMBER(G65)),INT(G65),0)</f>
        <v/>
      </c>
    </row>
    <row r="66">
      <c r="A66" s="1" t="n"/>
      <c r="B66" s="17" t="n"/>
      <c r="C66" s="19" t="n"/>
      <c r="D66" s="25" t="n"/>
      <c r="E66" s="26" t="n"/>
      <c r="F66" s="26" t="n"/>
      <c r="G66" s="17" t="n"/>
      <c r="H66" s="21" t="n"/>
      <c r="I66" s="16">
        <f>IF(OR(N(D66)&lt;=0,NOT(ISNUMBER(E66))),"",E66/D66)</f>
        <v/>
      </c>
      <c r="J66" s="16">
        <f>IF(OR(C66="",NOT(ISNUMBER(E66))),"",MAX(0,E66-N(F66)))</f>
        <v/>
      </c>
      <c r="K66" s="12">
        <f>IF(AND(C66="",D66="",E66=""),"",IF(NOT(ISNUMBER(B66)),"Needs a date",IF(C66="","Needs a client",IF(COUNTIF(Clients!$B$6:$B$105,C66)=0,"Not on Clients",IF(NOT(ISNUMBER(D66)),"Needs the sessions",IF(AND(E66&lt;&gt;"",NOT(ISNUMBER(E66))),"Price not a number",IF(AND(ISNUMBER(E66),N(F66)&gt;E66),"Paid more than the price","")))))))</f>
        <v/>
      </c>
      <c r="L66" s="1">
        <f>IF(ISNUMBER(B66),YEAR(B66)*100+MONTH(B66),"")</f>
        <v/>
      </c>
      <c r="M66">
        <f>IF(AND(K66="",C66&lt;&gt;""),1,0)</f>
        <v/>
      </c>
      <c r="N66">
        <f>IF(AND(M66=1,ISNUMBER(G66)),INT(G66),0)</f>
        <v/>
      </c>
    </row>
    <row r="67">
      <c r="A67" s="1" t="n"/>
      <c r="B67" s="17" t="n"/>
      <c r="C67" s="19" t="n"/>
      <c r="D67" s="25" t="n"/>
      <c r="E67" s="26" t="n"/>
      <c r="F67" s="26" t="n"/>
      <c r="G67" s="17" t="n"/>
      <c r="H67" s="21" t="n"/>
      <c r="I67" s="16">
        <f>IF(OR(N(D67)&lt;=0,NOT(ISNUMBER(E67))),"",E67/D67)</f>
        <v/>
      </c>
      <c r="J67" s="16">
        <f>IF(OR(C67="",NOT(ISNUMBER(E67))),"",MAX(0,E67-N(F67)))</f>
        <v/>
      </c>
      <c r="K67" s="12">
        <f>IF(AND(C67="",D67="",E67=""),"",IF(NOT(ISNUMBER(B67)),"Needs a date",IF(C67="","Needs a client",IF(COUNTIF(Clients!$B$6:$B$105,C67)=0,"Not on Clients",IF(NOT(ISNUMBER(D67)),"Needs the sessions",IF(AND(E67&lt;&gt;"",NOT(ISNUMBER(E67))),"Price not a number",IF(AND(ISNUMBER(E67),N(F67)&gt;E67),"Paid more than the price","")))))))</f>
        <v/>
      </c>
      <c r="L67" s="1">
        <f>IF(ISNUMBER(B67),YEAR(B67)*100+MONTH(B67),"")</f>
        <v/>
      </c>
      <c r="M67">
        <f>IF(AND(K67="",C67&lt;&gt;""),1,0)</f>
        <v/>
      </c>
      <c r="N67">
        <f>IF(AND(M67=1,ISNUMBER(G67)),INT(G67),0)</f>
        <v/>
      </c>
    </row>
    <row r="68">
      <c r="A68" s="1" t="n"/>
      <c r="B68" s="17" t="n"/>
      <c r="C68" s="19" t="n"/>
      <c r="D68" s="25" t="n"/>
      <c r="E68" s="26" t="n"/>
      <c r="F68" s="26" t="n"/>
      <c r="G68" s="17" t="n"/>
      <c r="H68" s="21" t="n"/>
      <c r="I68" s="16">
        <f>IF(OR(N(D68)&lt;=0,NOT(ISNUMBER(E68))),"",E68/D68)</f>
        <v/>
      </c>
      <c r="J68" s="16">
        <f>IF(OR(C68="",NOT(ISNUMBER(E68))),"",MAX(0,E68-N(F68)))</f>
        <v/>
      </c>
      <c r="K68" s="12">
        <f>IF(AND(C68="",D68="",E68=""),"",IF(NOT(ISNUMBER(B68)),"Needs a date",IF(C68="","Needs a client",IF(COUNTIF(Clients!$B$6:$B$105,C68)=0,"Not on Clients",IF(NOT(ISNUMBER(D68)),"Needs the sessions",IF(AND(E68&lt;&gt;"",NOT(ISNUMBER(E68))),"Price not a number",IF(AND(ISNUMBER(E68),N(F68)&gt;E68),"Paid more than the price","")))))))</f>
        <v/>
      </c>
      <c r="L68" s="1">
        <f>IF(ISNUMBER(B68),YEAR(B68)*100+MONTH(B68),"")</f>
        <v/>
      </c>
      <c r="M68">
        <f>IF(AND(K68="",C68&lt;&gt;""),1,0)</f>
        <v/>
      </c>
      <c r="N68">
        <f>IF(AND(M68=1,ISNUMBER(G68)),INT(G68),0)</f>
        <v/>
      </c>
    </row>
    <row r="69">
      <c r="A69" s="1" t="n"/>
      <c r="B69" s="17" t="n"/>
      <c r="C69" s="19" t="n"/>
      <c r="D69" s="25" t="n"/>
      <c r="E69" s="26" t="n"/>
      <c r="F69" s="26" t="n"/>
      <c r="G69" s="17" t="n"/>
      <c r="H69" s="21" t="n"/>
      <c r="I69" s="16">
        <f>IF(OR(N(D69)&lt;=0,NOT(ISNUMBER(E69))),"",E69/D69)</f>
        <v/>
      </c>
      <c r="J69" s="16">
        <f>IF(OR(C69="",NOT(ISNUMBER(E69))),"",MAX(0,E69-N(F69)))</f>
        <v/>
      </c>
      <c r="K69" s="12">
        <f>IF(AND(C69="",D69="",E69=""),"",IF(NOT(ISNUMBER(B69)),"Needs a date",IF(C69="","Needs a client",IF(COUNTIF(Clients!$B$6:$B$105,C69)=0,"Not on Clients",IF(NOT(ISNUMBER(D69)),"Needs the sessions",IF(AND(E69&lt;&gt;"",NOT(ISNUMBER(E69))),"Price not a number",IF(AND(ISNUMBER(E69),N(F69)&gt;E69),"Paid more than the price","")))))))</f>
        <v/>
      </c>
      <c r="L69" s="1">
        <f>IF(ISNUMBER(B69),YEAR(B69)*100+MONTH(B69),"")</f>
        <v/>
      </c>
      <c r="M69">
        <f>IF(AND(K69="",C69&lt;&gt;""),1,0)</f>
        <v/>
      </c>
      <c r="N69">
        <f>IF(AND(M69=1,ISNUMBER(G69)),INT(G69),0)</f>
        <v/>
      </c>
    </row>
    <row r="70">
      <c r="A70" s="1" t="n"/>
      <c r="B70" s="17" t="n"/>
      <c r="C70" s="19" t="n"/>
      <c r="D70" s="25" t="n"/>
      <c r="E70" s="26" t="n"/>
      <c r="F70" s="26" t="n"/>
      <c r="G70" s="17" t="n"/>
      <c r="H70" s="21" t="n"/>
      <c r="I70" s="16">
        <f>IF(OR(N(D70)&lt;=0,NOT(ISNUMBER(E70))),"",E70/D70)</f>
        <v/>
      </c>
      <c r="J70" s="16">
        <f>IF(OR(C70="",NOT(ISNUMBER(E70))),"",MAX(0,E70-N(F70)))</f>
        <v/>
      </c>
      <c r="K70" s="12">
        <f>IF(AND(C70="",D70="",E70=""),"",IF(NOT(ISNUMBER(B70)),"Needs a date",IF(C70="","Needs a client",IF(COUNTIF(Clients!$B$6:$B$105,C70)=0,"Not on Clients",IF(NOT(ISNUMBER(D70)),"Needs the sessions",IF(AND(E70&lt;&gt;"",NOT(ISNUMBER(E70))),"Price not a number",IF(AND(ISNUMBER(E70),N(F70)&gt;E70),"Paid more than the price","")))))))</f>
        <v/>
      </c>
      <c r="L70" s="1">
        <f>IF(ISNUMBER(B70),YEAR(B70)*100+MONTH(B70),"")</f>
        <v/>
      </c>
      <c r="M70">
        <f>IF(AND(K70="",C70&lt;&gt;""),1,0)</f>
        <v/>
      </c>
      <c r="N70">
        <f>IF(AND(M70=1,ISNUMBER(G70)),INT(G70),0)</f>
        <v/>
      </c>
    </row>
    <row r="71">
      <c r="A71" s="1" t="n"/>
      <c r="B71" s="17" t="n"/>
      <c r="C71" s="19" t="n"/>
      <c r="D71" s="25" t="n"/>
      <c r="E71" s="26" t="n"/>
      <c r="F71" s="26" t="n"/>
      <c r="G71" s="17" t="n"/>
      <c r="H71" s="21" t="n"/>
      <c r="I71" s="16">
        <f>IF(OR(N(D71)&lt;=0,NOT(ISNUMBER(E71))),"",E71/D71)</f>
        <v/>
      </c>
      <c r="J71" s="16">
        <f>IF(OR(C71="",NOT(ISNUMBER(E71))),"",MAX(0,E71-N(F71)))</f>
        <v/>
      </c>
      <c r="K71" s="12">
        <f>IF(AND(C71="",D71="",E71=""),"",IF(NOT(ISNUMBER(B71)),"Needs a date",IF(C71="","Needs a client",IF(COUNTIF(Clients!$B$6:$B$105,C71)=0,"Not on Clients",IF(NOT(ISNUMBER(D71)),"Needs the sessions",IF(AND(E71&lt;&gt;"",NOT(ISNUMBER(E71))),"Price not a number",IF(AND(ISNUMBER(E71),N(F71)&gt;E71),"Paid more than the price","")))))))</f>
        <v/>
      </c>
      <c r="L71" s="1">
        <f>IF(ISNUMBER(B71),YEAR(B71)*100+MONTH(B71),"")</f>
        <v/>
      </c>
      <c r="M71">
        <f>IF(AND(K71="",C71&lt;&gt;""),1,0)</f>
        <v/>
      </c>
      <c r="N71">
        <f>IF(AND(M71=1,ISNUMBER(G71)),INT(G71),0)</f>
        <v/>
      </c>
    </row>
    <row r="72">
      <c r="A72" s="1" t="n"/>
      <c r="B72" s="17" t="n"/>
      <c r="C72" s="19" t="n"/>
      <c r="D72" s="25" t="n"/>
      <c r="E72" s="26" t="n"/>
      <c r="F72" s="26" t="n"/>
      <c r="G72" s="17" t="n"/>
      <c r="H72" s="21" t="n"/>
      <c r="I72" s="16">
        <f>IF(OR(N(D72)&lt;=0,NOT(ISNUMBER(E72))),"",E72/D72)</f>
        <v/>
      </c>
      <c r="J72" s="16">
        <f>IF(OR(C72="",NOT(ISNUMBER(E72))),"",MAX(0,E72-N(F72)))</f>
        <v/>
      </c>
      <c r="K72" s="12">
        <f>IF(AND(C72="",D72="",E72=""),"",IF(NOT(ISNUMBER(B72)),"Needs a date",IF(C72="","Needs a client",IF(COUNTIF(Clients!$B$6:$B$105,C72)=0,"Not on Clients",IF(NOT(ISNUMBER(D72)),"Needs the sessions",IF(AND(E72&lt;&gt;"",NOT(ISNUMBER(E72))),"Price not a number",IF(AND(ISNUMBER(E72),N(F72)&gt;E72),"Paid more than the price","")))))))</f>
        <v/>
      </c>
      <c r="L72" s="1">
        <f>IF(ISNUMBER(B72),YEAR(B72)*100+MONTH(B72),"")</f>
        <v/>
      </c>
      <c r="M72">
        <f>IF(AND(K72="",C72&lt;&gt;""),1,0)</f>
        <v/>
      </c>
      <c r="N72">
        <f>IF(AND(M72=1,ISNUMBER(G72)),INT(G72),0)</f>
        <v/>
      </c>
    </row>
    <row r="73">
      <c r="A73" s="1" t="n"/>
      <c r="B73" s="17" t="n"/>
      <c r="C73" s="19" t="n"/>
      <c r="D73" s="25" t="n"/>
      <c r="E73" s="26" t="n"/>
      <c r="F73" s="26" t="n"/>
      <c r="G73" s="17" t="n"/>
      <c r="H73" s="21" t="n"/>
      <c r="I73" s="16">
        <f>IF(OR(N(D73)&lt;=0,NOT(ISNUMBER(E73))),"",E73/D73)</f>
        <v/>
      </c>
      <c r="J73" s="16">
        <f>IF(OR(C73="",NOT(ISNUMBER(E73))),"",MAX(0,E73-N(F73)))</f>
        <v/>
      </c>
      <c r="K73" s="12">
        <f>IF(AND(C73="",D73="",E73=""),"",IF(NOT(ISNUMBER(B73)),"Needs a date",IF(C73="","Needs a client",IF(COUNTIF(Clients!$B$6:$B$105,C73)=0,"Not on Clients",IF(NOT(ISNUMBER(D73)),"Needs the sessions",IF(AND(E73&lt;&gt;"",NOT(ISNUMBER(E73))),"Price not a number",IF(AND(ISNUMBER(E73),N(F73)&gt;E73),"Paid more than the price","")))))))</f>
        <v/>
      </c>
      <c r="L73" s="1">
        <f>IF(ISNUMBER(B73),YEAR(B73)*100+MONTH(B73),"")</f>
        <v/>
      </c>
      <c r="M73">
        <f>IF(AND(K73="",C73&lt;&gt;""),1,0)</f>
        <v/>
      </c>
      <c r="N73">
        <f>IF(AND(M73=1,ISNUMBER(G73)),INT(G73),0)</f>
        <v/>
      </c>
    </row>
    <row r="74">
      <c r="A74" s="1" t="n"/>
      <c r="B74" s="17" t="n"/>
      <c r="C74" s="19" t="n"/>
      <c r="D74" s="25" t="n"/>
      <c r="E74" s="26" t="n"/>
      <c r="F74" s="26" t="n"/>
      <c r="G74" s="17" t="n"/>
      <c r="H74" s="21" t="n"/>
      <c r="I74" s="16">
        <f>IF(OR(N(D74)&lt;=0,NOT(ISNUMBER(E74))),"",E74/D74)</f>
        <v/>
      </c>
      <c r="J74" s="16">
        <f>IF(OR(C74="",NOT(ISNUMBER(E74))),"",MAX(0,E74-N(F74)))</f>
        <v/>
      </c>
      <c r="K74" s="12">
        <f>IF(AND(C74="",D74="",E74=""),"",IF(NOT(ISNUMBER(B74)),"Needs a date",IF(C74="","Needs a client",IF(COUNTIF(Clients!$B$6:$B$105,C74)=0,"Not on Clients",IF(NOT(ISNUMBER(D74)),"Needs the sessions",IF(AND(E74&lt;&gt;"",NOT(ISNUMBER(E74))),"Price not a number",IF(AND(ISNUMBER(E74),N(F74)&gt;E74),"Paid more than the price","")))))))</f>
        <v/>
      </c>
      <c r="L74" s="1">
        <f>IF(ISNUMBER(B74),YEAR(B74)*100+MONTH(B74),"")</f>
        <v/>
      </c>
      <c r="M74">
        <f>IF(AND(K74="",C74&lt;&gt;""),1,0)</f>
        <v/>
      </c>
      <c r="N74">
        <f>IF(AND(M74=1,ISNUMBER(G74)),INT(G74),0)</f>
        <v/>
      </c>
    </row>
    <row r="75">
      <c r="A75" s="1" t="n"/>
      <c r="B75" s="17" t="n"/>
      <c r="C75" s="19" t="n"/>
      <c r="D75" s="25" t="n"/>
      <c r="E75" s="26" t="n"/>
      <c r="F75" s="26" t="n"/>
      <c r="G75" s="17" t="n"/>
      <c r="H75" s="21" t="n"/>
      <c r="I75" s="16">
        <f>IF(OR(N(D75)&lt;=0,NOT(ISNUMBER(E75))),"",E75/D75)</f>
        <v/>
      </c>
      <c r="J75" s="16">
        <f>IF(OR(C75="",NOT(ISNUMBER(E75))),"",MAX(0,E75-N(F75)))</f>
        <v/>
      </c>
      <c r="K75" s="12">
        <f>IF(AND(C75="",D75="",E75=""),"",IF(NOT(ISNUMBER(B75)),"Needs a date",IF(C75="","Needs a client",IF(COUNTIF(Clients!$B$6:$B$105,C75)=0,"Not on Clients",IF(NOT(ISNUMBER(D75)),"Needs the sessions",IF(AND(E75&lt;&gt;"",NOT(ISNUMBER(E75))),"Price not a number",IF(AND(ISNUMBER(E75),N(F75)&gt;E75),"Paid more than the price","")))))))</f>
        <v/>
      </c>
      <c r="L75" s="1">
        <f>IF(ISNUMBER(B75),YEAR(B75)*100+MONTH(B75),"")</f>
        <v/>
      </c>
      <c r="M75">
        <f>IF(AND(K75="",C75&lt;&gt;""),1,0)</f>
        <v/>
      </c>
      <c r="N75">
        <f>IF(AND(M75=1,ISNUMBER(G75)),INT(G75),0)</f>
        <v/>
      </c>
    </row>
    <row r="76">
      <c r="A76" s="1" t="n"/>
      <c r="B76" s="17" t="n"/>
      <c r="C76" s="19" t="n"/>
      <c r="D76" s="25" t="n"/>
      <c r="E76" s="26" t="n"/>
      <c r="F76" s="26" t="n"/>
      <c r="G76" s="17" t="n"/>
      <c r="H76" s="21" t="n"/>
      <c r="I76" s="16">
        <f>IF(OR(N(D76)&lt;=0,NOT(ISNUMBER(E76))),"",E76/D76)</f>
        <v/>
      </c>
      <c r="J76" s="16">
        <f>IF(OR(C76="",NOT(ISNUMBER(E76))),"",MAX(0,E76-N(F76)))</f>
        <v/>
      </c>
      <c r="K76" s="12">
        <f>IF(AND(C76="",D76="",E76=""),"",IF(NOT(ISNUMBER(B76)),"Needs a date",IF(C76="","Needs a client",IF(COUNTIF(Clients!$B$6:$B$105,C76)=0,"Not on Clients",IF(NOT(ISNUMBER(D76)),"Needs the sessions",IF(AND(E76&lt;&gt;"",NOT(ISNUMBER(E76))),"Price not a number",IF(AND(ISNUMBER(E76),N(F76)&gt;E76),"Paid more than the price","")))))))</f>
        <v/>
      </c>
      <c r="L76" s="1">
        <f>IF(ISNUMBER(B76),YEAR(B76)*100+MONTH(B76),"")</f>
        <v/>
      </c>
      <c r="M76">
        <f>IF(AND(K76="",C76&lt;&gt;""),1,0)</f>
        <v/>
      </c>
      <c r="N76">
        <f>IF(AND(M76=1,ISNUMBER(G76)),INT(G76),0)</f>
        <v/>
      </c>
    </row>
    <row r="77">
      <c r="A77" s="1" t="n"/>
      <c r="B77" s="17" t="n"/>
      <c r="C77" s="19" t="n"/>
      <c r="D77" s="25" t="n"/>
      <c r="E77" s="26" t="n"/>
      <c r="F77" s="26" t="n"/>
      <c r="G77" s="17" t="n"/>
      <c r="H77" s="21" t="n"/>
      <c r="I77" s="16">
        <f>IF(OR(N(D77)&lt;=0,NOT(ISNUMBER(E77))),"",E77/D77)</f>
        <v/>
      </c>
      <c r="J77" s="16">
        <f>IF(OR(C77="",NOT(ISNUMBER(E77))),"",MAX(0,E77-N(F77)))</f>
        <v/>
      </c>
      <c r="K77" s="12">
        <f>IF(AND(C77="",D77="",E77=""),"",IF(NOT(ISNUMBER(B77)),"Needs a date",IF(C77="","Needs a client",IF(COUNTIF(Clients!$B$6:$B$105,C77)=0,"Not on Clients",IF(NOT(ISNUMBER(D77)),"Needs the sessions",IF(AND(E77&lt;&gt;"",NOT(ISNUMBER(E77))),"Price not a number",IF(AND(ISNUMBER(E77),N(F77)&gt;E77),"Paid more than the price","")))))))</f>
        <v/>
      </c>
      <c r="L77" s="1">
        <f>IF(ISNUMBER(B77),YEAR(B77)*100+MONTH(B77),"")</f>
        <v/>
      </c>
      <c r="M77">
        <f>IF(AND(K77="",C77&lt;&gt;""),1,0)</f>
        <v/>
      </c>
      <c r="N77">
        <f>IF(AND(M77=1,ISNUMBER(G77)),INT(G77),0)</f>
        <v/>
      </c>
    </row>
    <row r="78">
      <c r="A78" s="1" t="n"/>
      <c r="B78" s="17" t="n"/>
      <c r="C78" s="19" t="n"/>
      <c r="D78" s="25" t="n"/>
      <c r="E78" s="26" t="n"/>
      <c r="F78" s="26" t="n"/>
      <c r="G78" s="17" t="n"/>
      <c r="H78" s="21" t="n"/>
      <c r="I78" s="16">
        <f>IF(OR(N(D78)&lt;=0,NOT(ISNUMBER(E78))),"",E78/D78)</f>
        <v/>
      </c>
      <c r="J78" s="16">
        <f>IF(OR(C78="",NOT(ISNUMBER(E78))),"",MAX(0,E78-N(F78)))</f>
        <v/>
      </c>
      <c r="K78" s="12">
        <f>IF(AND(C78="",D78="",E78=""),"",IF(NOT(ISNUMBER(B78)),"Needs a date",IF(C78="","Needs a client",IF(COUNTIF(Clients!$B$6:$B$105,C78)=0,"Not on Clients",IF(NOT(ISNUMBER(D78)),"Needs the sessions",IF(AND(E78&lt;&gt;"",NOT(ISNUMBER(E78))),"Price not a number",IF(AND(ISNUMBER(E78),N(F78)&gt;E78),"Paid more than the price","")))))))</f>
        <v/>
      </c>
      <c r="L78" s="1">
        <f>IF(ISNUMBER(B78),YEAR(B78)*100+MONTH(B78),"")</f>
        <v/>
      </c>
      <c r="M78">
        <f>IF(AND(K78="",C78&lt;&gt;""),1,0)</f>
        <v/>
      </c>
      <c r="N78">
        <f>IF(AND(M78=1,ISNUMBER(G78)),INT(G78),0)</f>
        <v/>
      </c>
    </row>
    <row r="79">
      <c r="A79" s="1" t="n"/>
      <c r="B79" s="17" t="n"/>
      <c r="C79" s="19" t="n"/>
      <c r="D79" s="25" t="n"/>
      <c r="E79" s="26" t="n"/>
      <c r="F79" s="26" t="n"/>
      <c r="G79" s="17" t="n"/>
      <c r="H79" s="21" t="n"/>
      <c r="I79" s="16">
        <f>IF(OR(N(D79)&lt;=0,NOT(ISNUMBER(E79))),"",E79/D79)</f>
        <v/>
      </c>
      <c r="J79" s="16">
        <f>IF(OR(C79="",NOT(ISNUMBER(E79))),"",MAX(0,E79-N(F79)))</f>
        <v/>
      </c>
      <c r="K79" s="12">
        <f>IF(AND(C79="",D79="",E79=""),"",IF(NOT(ISNUMBER(B79)),"Needs a date",IF(C79="","Needs a client",IF(COUNTIF(Clients!$B$6:$B$105,C79)=0,"Not on Clients",IF(NOT(ISNUMBER(D79)),"Needs the sessions",IF(AND(E79&lt;&gt;"",NOT(ISNUMBER(E79))),"Price not a number",IF(AND(ISNUMBER(E79),N(F79)&gt;E79),"Paid more than the price","")))))))</f>
        <v/>
      </c>
      <c r="L79" s="1">
        <f>IF(ISNUMBER(B79),YEAR(B79)*100+MONTH(B79),"")</f>
        <v/>
      </c>
      <c r="M79">
        <f>IF(AND(K79="",C79&lt;&gt;""),1,0)</f>
        <v/>
      </c>
      <c r="N79">
        <f>IF(AND(M79=1,ISNUMBER(G79)),INT(G79),0)</f>
        <v/>
      </c>
    </row>
    <row r="80">
      <c r="A80" s="1" t="n"/>
      <c r="B80" s="17" t="n"/>
      <c r="C80" s="19" t="n"/>
      <c r="D80" s="25" t="n"/>
      <c r="E80" s="26" t="n"/>
      <c r="F80" s="26" t="n"/>
      <c r="G80" s="17" t="n"/>
      <c r="H80" s="21" t="n"/>
      <c r="I80" s="16">
        <f>IF(OR(N(D80)&lt;=0,NOT(ISNUMBER(E80))),"",E80/D80)</f>
        <v/>
      </c>
      <c r="J80" s="16">
        <f>IF(OR(C80="",NOT(ISNUMBER(E80))),"",MAX(0,E80-N(F80)))</f>
        <v/>
      </c>
      <c r="K80" s="12">
        <f>IF(AND(C80="",D80="",E80=""),"",IF(NOT(ISNUMBER(B80)),"Needs a date",IF(C80="","Needs a client",IF(COUNTIF(Clients!$B$6:$B$105,C80)=0,"Not on Clients",IF(NOT(ISNUMBER(D80)),"Needs the sessions",IF(AND(E80&lt;&gt;"",NOT(ISNUMBER(E80))),"Price not a number",IF(AND(ISNUMBER(E80),N(F80)&gt;E80),"Paid more than the price","")))))))</f>
        <v/>
      </c>
      <c r="L80" s="1">
        <f>IF(ISNUMBER(B80),YEAR(B80)*100+MONTH(B80),"")</f>
        <v/>
      </c>
      <c r="M80">
        <f>IF(AND(K80="",C80&lt;&gt;""),1,0)</f>
        <v/>
      </c>
      <c r="N80">
        <f>IF(AND(M80=1,ISNUMBER(G80)),INT(G80),0)</f>
        <v/>
      </c>
    </row>
    <row r="81">
      <c r="A81" s="1" t="n"/>
      <c r="B81" s="17" t="n"/>
      <c r="C81" s="19" t="n"/>
      <c r="D81" s="25" t="n"/>
      <c r="E81" s="26" t="n"/>
      <c r="F81" s="26" t="n"/>
      <c r="G81" s="17" t="n"/>
      <c r="H81" s="21" t="n"/>
      <c r="I81" s="16">
        <f>IF(OR(N(D81)&lt;=0,NOT(ISNUMBER(E81))),"",E81/D81)</f>
        <v/>
      </c>
      <c r="J81" s="16">
        <f>IF(OR(C81="",NOT(ISNUMBER(E81))),"",MAX(0,E81-N(F81)))</f>
        <v/>
      </c>
      <c r="K81" s="12">
        <f>IF(AND(C81="",D81="",E81=""),"",IF(NOT(ISNUMBER(B81)),"Needs a date",IF(C81="","Needs a client",IF(COUNTIF(Clients!$B$6:$B$105,C81)=0,"Not on Clients",IF(NOT(ISNUMBER(D81)),"Needs the sessions",IF(AND(E81&lt;&gt;"",NOT(ISNUMBER(E81))),"Price not a number",IF(AND(ISNUMBER(E81),N(F81)&gt;E81),"Paid more than the price","")))))))</f>
        <v/>
      </c>
      <c r="L81" s="1">
        <f>IF(ISNUMBER(B81),YEAR(B81)*100+MONTH(B81),"")</f>
        <v/>
      </c>
      <c r="M81">
        <f>IF(AND(K81="",C81&lt;&gt;""),1,0)</f>
        <v/>
      </c>
      <c r="N81">
        <f>IF(AND(M81=1,ISNUMBER(G81)),INT(G81),0)</f>
        <v/>
      </c>
    </row>
    <row r="82">
      <c r="A82" s="1" t="n"/>
      <c r="B82" s="17" t="n"/>
      <c r="C82" s="19" t="n"/>
      <c r="D82" s="25" t="n"/>
      <c r="E82" s="26" t="n"/>
      <c r="F82" s="26" t="n"/>
      <c r="G82" s="17" t="n"/>
      <c r="H82" s="21" t="n"/>
      <c r="I82" s="16">
        <f>IF(OR(N(D82)&lt;=0,NOT(ISNUMBER(E82))),"",E82/D82)</f>
        <v/>
      </c>
      <c r="J82" s="16">
        <f>IF(OR(C82="",NOT(ISNUMBER(E82))),"",MAX(0,E82-N(F82)))</f>
        <v/>
      </c>
      <c r="K82" s="12">
        <f>IF(AND(C82="",D82="",E82=""),"",IF(NOT(ISNUMBER(B82)),"Needs a date",IF(C82="","Needs a client",IF(COUNTIF(Clients!$B$6:$B$105,C82)=0,"Not on Clients",IF(NOT(ISNUMBER(D82)),"Needs the sessions",IF(AND(E82&lt;&gt;"",NOT(ISNUMBER(E82))),"Price not a number",IF(AND(ISNUMBER(E82),N(F82)&gt;E82),"Paid more than the price","")))))))</f>
        <v/>
      </c>
      <c r="L82" s="1">
        <f>IF(ISNUMBER(B82),YEAR(B82)*100+MONTH(B82),"")</f>
        <v/>
      </c>
      <c r="M82">
        <f>IF(AND(K82="",C82&lt;&gt;""),1,0)</f>
        <v/>
      </c>
      <c r="N82">
        <f>IF(AND(M82=1,ISNUMBER(G82)),INT(G82),0)</f>
        <v/>
      </c>
    </row>
    <row r="83">
      <c r="A83" s="1" t="n"/>
      <c r="B83" s="17" t="n"/>
      <c r="C83" s="19" t="n"/>
      <c r="D83" s="25" t="n"/>
      <c r="E83" s="26" t="n"/>
      <c r="F83" s="26" t="n"/>
      <c r="G83" s="17" t="n"/>
      <c r="H83" s="21" t="n"/>
      <c r="I83" s="16">
        <f>IF(OR(N(D83)&lt;=0,NOT(ISNUMBER(E83))),"",E83/D83)</f>
        <v/>
      </c>
      <c r="J83" s="16">
        <f>IF(OR(C83="",NOT(ISNUMBER(E83))),"",MAX(0,E83-N(F83)))</f>
        <v/>
      </c>
      <c r="K83" s="12">
        <f>IF(AND(C83="",D83="",E83=""),"",IF(NOT(ISNUMBER(B83)),"Needs a date",IF(C83="","Needs a client",IF(COUNTIF(Clients!$B$6:$B$105,C83)=0,"Not on Clients",IF(NOT(ISNUMBER(D83)),"Needs the sessions",IF(AND(E83&lt;&gt;"",NOT(ISNUMBER(E83))),"Price not a number",IF(AND(ISNUMBER(E83),N(F83)&gt;E83),"Paid more than the price","")))))))</f>
        <v/>
      </c>
      <c r="L83" s="1">
        <f>IF(ISNUMBER(B83),YEAR(B83)*100+MONTH(B83),"")</f>
        <v/>
      </c>
      <c r="M83">
        <f>IF(AND(K83="",C83&lt;&gt;""),1,0)</f>
        <v/>
      </c>
      <c r="N83">
        <f>IF(AND(M83=1,ISNUMBER(G83)),INT(G83),0)</f>
        <v/>
      </c>
    </row>
    <row r="84">
      <c r="A84" s="1" t="n"/>
      <c r="B84" s="17" t="n"/>
      <c r="C84" s="19" t="n"/>
      <c r="D84" s="25" t="n"/>
      <c r="E84" s="26" t="n"/>
      <c r="F84" s="26" t="n"/>
      <c r="G84" s="17" t="n"/>
      <c r="H84" s="21" t="n"/>
      <c r="I84" s="16">
        <f>IF(OR(N(D84)&lt;=0,NOT(ISNUMBER(E84))),"",E84/D84)</f>
        <v/>
      </c>
      <c r="J84" s="16">
        <f>IF(OR(C84="",NOT(ISNUMBER(E84))),"",MAX(0,E84-N(F84)))</f>
        <v/>
      </c>
      <c r="K84" s="12">
        <f>IF(AND(C84="",D84="",E84=""),"",IF(NOT(ISNUMBER(B84)),"Needs a date",IF(C84="","Needs a client",IF(COUNTIF(Clients!$B$6:$B$105,C84)=0,"Not on Clients",IF(NOT(ISNUMBER(D84)),"Needs the sessions",IF(AND(E84&lt;&gt;"",NOT(ISNUMBER(E84))),"Price not a number",IF(AND(ISNUMBER(E84),N(F84)&gt;E84),"Paid more than the price","")))))))</f>
        <v/>
      </c>
      <c r="L84" s="1">
        <f>IF(ISNUMBER(B84),YEAR(B84)*100+MONTH(B84),"")</f>
        <v/>
      </c>
      <c r="M84">
        <f>IF(AND(K84="",C84&lt;&gt;""),1,0)</f>
        <v/>
      </c>
      <c r="N84">
        <f>IF(AND(M84=1,ISNUMBER(G84)),INT(G84),0)</f>
        <v/>
      </c>
    </row>
    <row r="85">
      <c r="A85" s="1" t="n"/>
      <c r="B85" s="17" t="n"/>
      <c r="C85" s="19" t="n"/>
      <c r="D85" s="25" t="n"/>
      <c r="E85" s="26" t="n"/>
      <c r="F85" s="26" t="n"/>
      <c r="G85" s="17" t="n"/>
      <c r="H85" s="21" t="n"/>
      <c r="I85" s="16">
        <f>IF(OR(N(D85)&lt;=0,NOT(ISNUMBER(E85))),"",E85/D85)</f>
        <v/>
      </c>
      <c r="J85" s="16">
        <f>IF(OR(C85="",NOT(ISNUMBER(E85))),"",MAX(0,E85-N(F85)))</f>
        <v/>
      </c>
      <c r="K85" s="12">
        <f>IF(AND(C85="",D85="",E85=""),"",IF(NOT(ISNUMBER(B85)),"Needs a date",IF(C85="","Needs a client",IF(COUNTIF(Clients!$B$6:$B$105,C85)=0,"Not on Clients",IF(NOT(ISNUMBER(D85)),"Needs the sessions",IF(AND(E85&lt;&gt;"",NOT(ISNUMBER(E85))),"Price not a number",IF(AND(ISNUMBER(E85),N(F85)&gt;E85),"Paid more than the price","")))))))</f>
        <v/>
      </c>
      <c r="L85" s="1">
        <f>IF(ISNUMBER(B85),YEAR(B85)*100+MONTH(B85),"")</f>
        <v/>
      </c>
      <c r="M85">
        <f>IF(AND(K85="",C85&lt;&gt;""),1,0)</f>
        <v/>
      </c>
      <c r="N85">
        <f>IF(AND(M85=1,ISNUMBER(G85)),INT(G85),0)</f>
        <v/>
      </c>
    </row>
    <row r="86">
      <c r="A86" s="1" t="n"/>
      <c r="B86" s="17" t="n"/>
      <c r="C86" s="19" t="n"/>
      <c r="D86" s="25" t="n"/>
      <c r="E86" s="26" t="n"/>
      <c r="F86" s="26" t="n"/>
      <c r="G86" s="17" t="n"/>
      <c r="H86" s="21" t="n"/>
      <c r="I86" s="16">
        <f>IF(OR(N(D86)&lt;=0,NOT(ISNUMBER(E86))),"",E86/D86)</f>
        <v/>
      </c>
      <c r="J86" s="16">
        <f>IF(OR(C86="",NOT(ISNUMBER(E86))),"",MAX(0,E86-N(F86)))</f>
        <v/>
      </c>
      <c r="K86" s="12">
        <f>IF(AND(C86="",D86="",E86=""),"",IF(NOT(ISNUMBER(B86)),"Needs a date",IF(C86="","Needs a client",IF(COUNTIF(Clients!$B$6:$B$105,C86)=0,"Not on Clients",IF(NOT(ISNUMBER(D86)),"Needs the sessions",IF(AND(E86&lt;&gt;"",NOT(ISNUMBER(E86))),"Price not a number",IF(AND(ISNUMBER(E86),N(F86)&gt;E86),"Paid more than the price","")))))))</f>
        <v/>
      </c>
      <c r="L86" s="1">
        <f>IF(ISNUMBER(B86),YEAR(B86)*100+MONTH(B86),"")</f>
        <v/>
      </c>
      <c r="M86">
        <f>IF(AND(K86="",C86&lt;&gt;""),1,0)</f>
        <v/>
      </c>
      <c r="N86">
        <f>IF(AND(M86=1,ISNUMBER(G86)),INT(G86),0)</f>
        <v/>
      </c>
    </row>
    <row r="87">
      <c r="A87" s="1" t="n"/>
      <c r="B87" s="17" t="n"/>
      <c r="C87" s="19" t="n"/>
      <c r="D87" s="25" t="n"/>
      <c r="E87" s="26" t="n"/>
      <c r="F87" s="26" t="n"/>
      <c r="G87" s="17" t="n"/>
      <c r="H87" s="21" t="n"/>
      <c r="I87" s="16">
        <f>IF(OR(N(D87)&lt;=0,NOT(ISNUMBER(E87))),"",E87/D87)</f>
        <v/>
      </c>
      <c r="J87" s="16">
        <f>IF(OR(C87="",NOT(ISNUMBER(E87))),"",MAX(0,E87-N(F87)))</f>
        <v/>
      </c>
      <c r="K87" s="12">
        <f>IF(AND(C87="",D87="",E87=""),"",IF(NOT(ISNUMBER(B87)),"Needs a date",IF(C87="","Needs a client",IF(COUNTIF(Clients!$B$6:$B$105,C87)=0,"Not on Clients",IF(NOT(ISNUMBER(D87)),"Needs the sessions",IF(AND(E87&lt;&gt;"",NOT(ISNUMBER(E87))),"Price not a number",IF(AND(ISNUMBER(E87),N(F87)&gt;E87),"Paid more than the price","")))))))</f>
        <v/>
      </c>
      <c r="L87" s="1">
        <f>IF(ISNUMBER(B87),YEAR(B87)*100+MONTH(B87),"")</f>
        <v/>
      </c>
      <c r="M87">
        <f>IF(AND(K87="",C87&lt;&gt;""),1,0)</f>
        <v/>
      </c>
      <c r="N87">
        <f>IF(AND(M87=1,ISNUMBER(G87)),INT(G87),0)</f>
        <v/>
      </c>
    </row>
    <row r="88">
      <c r="A88" s="1" t="n"/>
      <c r="B88" s="17" t="n"/>
      <c r="C88" s="19" t="n"/>
      <c r="D88" s="25" t="n"/>
      <c r="E88" s="26" t="n"/>
      <c r="F88" s="26" t="n"/>
      <c r="G88" s="17" t="n"/>
      <c r="H88" s="21" t="n"/>
      <c r="I88" s="16">
        <f>IF(OR(N(D88)&lt;=0,NOT(ISNUMBER(E88))),"",E88/D88)</f>
        <v/>
      </c>
      <c r="J88" s="16">
        <f>IF(OR(C88="",NOT(ISNUMBER(E88))),"",MAX(0,E88-N(F88)))</f>
        <v/>
      </c>
      <c r="K88" s="12">
        <f>IF(AND(C88="",D88="",E88=""),"",IF(NOT(ISNUMBER(B88)),"Needs a date",IF(C88="","Needs a client",IF(COUNTIF(Clients!$B$6:$B$105,C88)=0,"Not on Clients",IF(NOT(ISNUMBER(D88)),"Needs the sessions",IF(AND(E88&lt;&gt;"",NOT(ISNUMBER(E88))),"Price not a number",IF(AND(ISNUMBER(E88),N(F88)&gt;E88),"Paid more than the price","")))))))</f>
        <v/>
      </c>
      <c r="L88" s="1">
        <f>IF(ISNUMBER(B88),YEAR(B88)*100+MONTH(B88),"")</f>
        <v/>
      </c>
      <c r="M88">
        <f>IF(AND(K88="",C88&lt;&gt;""),1,0)</f>
        <v/>
      </c>
      <c r="N88">
        <f>IF(AND(M88=1,ISNUMBER(G88)),INT(G88),0)</f>
        <v/>
      </c>
    </row>
    <row r="89">
      <c r="A89" s="1" t="n"/>
      <c r="B89" s="17" t="n"/>
      <c r="C89" s="19" t="n"/>
      <c r="D89" s="25" t="n"/>
      <c r="E89" s="26" t="n"/>
      <c r="F89" s="26" t="n"/>
      <c r="G89" s="17" t="n"/>
      <c r="H89" s="21" t="n"/>
      <c r="I89" s="16">
        <f>IF(OR(N(D89)&lt;=0,NOT(ISNUMBER(E89))),"",E89/D89)</f>
        <v/>
      </c>
      <c r="J89" s="16">
        <f>IF(OR(C89="",NOT(ISNUMBER(E89))),"",MAX(0,E89-N(F89)))</f>
        <v/>
      </c>
      <c r="K89" s="12">
        <f>IF(AND(C89="",D89="",E89=""),"",IF(NOT(ISNUMBER(B89)),"Needs a date",IF(C89="","Needs a client",IF(COUNTIF(Clients!$B$6:$B$105,C89)=0,"Not on Clients",IF(NOT(ISNUMBER(D89)),"Needs the sessions",IF(AND(E89&lt;&gt;"",NOT(ISNUMBER(E89))),"Price not a number",IF(AND(ISNUMBER(E89),N(F89)&gt;E89),"Paid more than the price","")))))))</f>
        <v/>
      </c>
      <c r="L89" s="1">
        <f>IF(ISNUMBER(B89),YEAR(B89)*100+MONTH(B89),"")</f>
        <v/>
      </c>
      <c r="M89">
        <f>IF(AND(K89="",C89&lt;&gt;""),1,0)</f>
        <v/>
      </c>
      <c r="N89">
        <f>IF(AND(M89=1,ISNUMBER(G89)),INT(G89),0)</f>
        <v/>
      </c>
    </row>
    <row r="90">
      <c r="A90" s="1" t="n"/>
      <c r="B90" s="17" t="n"/>
      <c r="C90" s="19" t="n"/>
      <c r="D90" s="25" t="n"/>
      <c r="E90" s="26" t="n"/>
      <c r="F90" s="26" t="n"/>
      <c r="G90" s="17" t="n"/>
      <c r="H90" s="21" t="n"/>
      <c r="I90" s="16">
        <f>IF(OR(N(D90)&lt;=0,NOT(ISNUMBER(E90))),"",E90/D90)</f>
        <v/>
      </c>
      <c r="J90" s="16">
        <f>IF(OR(C90="",NOT(ISNUMBER(E90))),"",MAX(0,E90-N(F90)))</f>
        <v/>
      </c>
      <c r="K90" s="12">
        <f>IF(AND(C90="",D90="",E90=""),"",IF(NOT(ISNUMBER(B90)),"Needs a date",IF(C90="","Needs a client",IF(COUNTIF(Clients!$B$6:$B$105,C90)=0,"Not on Clients",IF(NOT(ISNUMBER(D90)),"Needs the sessions",IF(AND(E90&lt;&gt;"",NOT(ISNUMBER(E90))),"Price not a number",IF(AND(ISNUMBER(E90),N(F90)&gt;E90),"Paid more than the price","")))))))</f>
        <v/>
      </c>
      <c r="L90" s="1">
        <f>IF(ISNUMBER(B90),YEAR(B90)*100+MONTH(B90),"")</f>
        <v/>
      </c>
      <c r="M90">
        <f>IF(AND(K90="",C90&lt;&gt;""),1,0)</f>
        <v/>
      </c>
      <c r="N90">
        <f>IF(AND(M90=1,ISNUMBER(G90)),INT(G90),0)</f>
        <v/>
      </c>
    </row>
    <row r="91">
      <c r="A91" s="1" t="n"/>
      <c r="B91" s="17" t="n"/>
      <c r="C91" s="19" t="n"/>
      <c r="D91" s="25" t="n"/>
      <c r="E91" s="26" t="n"/>
      <c r="F91" s="26" t="n"/>
      <c r="G91" s="17" t="n"/>
      <c r="H91" s="21" t="n"/>
      <c r="I91" s="16">
        <f>IF(OR(N(D91)&lt;=0,NOT(ISNUMBER(E91))),"",E91/D91)</f>
        <v/>
      </c>
      <c r="J91" s="16">
        <f>IF(OR(C91="",NOT(ISNUMBER(E91))),"",MAX(0,E91-N(F91)))</f>
        <v/>
      </c>
      <c r="K91" s="12">
        <f>IF(AND(C91="",D91="",E91=""),"",IF(NOT(ISNUMBER(B91)),"Needs a date",IF(C91="","Needs a client",IF(COUNTIF(Clients!$B$6:$B$105,C91)=0,"Not on Clients",IF(NOT(ISNUMBER(D91)),"Needs the sessions",IF(AND(E91&lt;&gt;"",NOT(ISNUMBER(E91))),"Price not a number",IF(AND(ISNUMBER(E91),N(F91)&gt;E91),"Paid more than the price","")))))))</f>
        <v/>
      </c>
      <c r="L91" s="1">
        <f>IF(ISNUMBER(B91),YEAR(B91)*100+MONTH(B91),"")</f>
        <v/>
      </c>
      <c r="M91">
        <f>IF(AND(K91="",C91&lt;&gt;""),1,0)</f>
        <v/>
      </c>
      <c r="N91">
        <f>IF(AND(M91=1,ISNUMBER(G91)),INT(G91),0)</f>
        <v/>
      </c>
    </row>
    <row r="92">
      <c r="A92" s="1" t="n"/>
      <c r="B92" s="17" t="n"/>
      <c r="C92" s="19" t="n"/>
      <c r="D92" s="25" t="n"/>
      <c r="E92" s="26" t="n"/>
      <c r="F92" s="26" t="n"/>
      <c r="G92" s="17" t="n"/>
      <c r="H92" s="21" t="n"/>
      <c r="I92" s="16">
        <f>IF(OR(N(D92)&lt;=0,NOT(ISNUMBER(E92))),"",E92/D92)</f>
        <v/>
      </c>
      <c r="J92" s="16">
        <f>IF(OR(C92="",NOT(ISNUMBER(E92))),"",MAX(0,E92-N(F92)))</f>
        <v/>
      </c>
      <c r="K92" s="12">
        <f>IF(AND(C92="",D92="",E92=""),"",IF(NOT(ISNUMBER(B92)),"Needs a date",IF(C92="","Needs a client",IF(COUNTIF(Clients!$B$6:$B$105,C92)=0,"Not on Clients",IF(NOT(ISNUMBER(D92)),"Needs the sessions",IF(AND(E92&lt;&gt;"",NOT(ISNUMBER(E92))),"Price not a number",IF(AND(ISNUMBER(E92),N(F92)&gt;E92),"Paid more than the price","")))))))</f>
        <v/>
      </c>
      <c r="L92" s="1">
        <f>IF(ISNUMBER(B92),YEAR(B92)*100+MONTH(B92),"")</f>
        <v/>
      </c>
      <c r="M92">
        <f>IF(AND(K92="",C92&lt;&gt;""),1,0)</f>
        <v/>
      </c>
      <c r="N92">
        <f>IF(AND(M92=1,ISNUMBER(G92)),INT(G92),0)</f>
        <v/>
      </c>
    </row>
    <row r="93">
      <c r="A93" s="1" t="n"/>
      <c r="B93" s="17" t="n"/>
      <c r="C93" s="19" t="n"/>
      <c r="D93" s="25" t="n"/>
      <c r="E93" s="26" t="n"/>
      <c r="F93" s="26" t="n"/>
      <c r="G93" s="17" t="n"/>
      <c r="H93" s="21" t="n"/>
      <c r="I93" s="16">
        <f>IF(OR(N(D93)&lt;=0,NOT(ISNUMBER(E93))),"",E93/D93)</f>
        <v/>
      </c>
      <c r="J93" s="16">
        <f>IF(OR(C93="",NOT(ISNUMBER(E93))),"",MAX(0,E93-N(F93)))</f>
        <v/>
      </c>
      <c r="K93" s="12">
        <f>IF(AND(C93="",D93="",E93=""),"",IF(NOT(ISNUMBER(B93)),"Needs a date",IF(C93="","Needs a client",IF(COUNTIF(Clients!$B$6:$B$105,C93)=0,"Not on Clients",IF(NOT(ISNUMBER(D93)),"Needs the sessions",IF(AND(E93&lt;&gt;"",NOT(ISNUMBER(E93))),"Price not a number",IF(AND(ISNUMBER(E93),N(F93)&gt;E93),"Paid more than the price","")))))))</f>
        <v/>
      </c>
      <c r="L93" s="1">
        <f>IF(ISNUMBER(B93),YEAR(B93)*100+MONTH(B93),"")</f>
        <v/>
      </c>
      <c r="M93">
        <f>IF(AND(K93="",C93&lt;&gt;""),1,0)</f>
        <v/>
      </c>
      <c r="N93">
        <f>IF(AND(M93=1,ISNUMBER(G93)),INT(G93),0)</f>
        <v/>
      </c>
    </row>
    <row r="94">
      <c r="A94" s="1" t="n"/>
      <c r="B94" s="17" t="n"/>
      <c r="C94" s="19" t="n"/>
      <c r="D94" s="25" t="n"/>
      <c r="E94" s="26" t="n"/>
      <c r="F94" s="26" t="n"/>
      <c r="G94" s="17" t="n"/>
      <c r="H94" s="21" t="n"/>
      <c r="I94" s="16">
        <f>IF(OR(N(D94)&lt;=0,NOT(ISNUMBER(E94))),"",E94/D94)</f>
        <v/>
      </c>
      <c r="J94" s="16">
        <f>IF(OR(C94="",NOT(ISNUMBER(E94))),"",MAX(0,E94-N(F94)))</f>
        <v/>
      </c>
      <c r="K94" s="12">
        <f>IF(AND(C94="",D94="",E94=""),"",IF(NOT(ISNUMBER(B94)),"Needs a date",IF(C94="","Needs a client",IF(COUNTIF(Clients!$B$6:$B$105,C94)=0,"Not on Clients",IF(NOT(ISNUMBER(D94)),"Needs the sessions",IF(AND(E94&lt;&gt;"",NOT(ISNUMBER(E94))),"Price not a number",IF(AND(ISNUMBER(E94),N(F94)&gt;E94),"Paid more than the price","")))))))</f>
        <v/>
      </c>
      <c r="L94" s="1">
        <f>IF(ISNUMBER(B94),YEAR(B94)*100+MONTH(B94),"")</f>
        <v/>
      </c>
      <c r="M94">
        <f>IF(AND(K94="",C94&lt;&gt;""),1,0)</f>
        <v/>
      </c>
      <c r="N94">
        <f>IF(AND(M94=1,ISNUMBER(G94)),INT(G94),0)</f>
        <v/>
      </c>
    </row>
    <row r="95">
      <c r="A95" s="1" t="n"/>
      <c r="B95" s="17" t="n"/>
      <c r="C95" s="19" t="n"/>
      <c r="D95" s="25" t="n"/>
      <c r="E95" s="26" t="n"/>
      <c r="F95" s="26" t="n"/>
      <c r="G95" s="17" t="n"/>
      <c r="H95" s="21" t="n"/>
      <c r="I95" s="16">
        <f>IF(OR(N(D95)&lt;=0,NOT(ISNUMBER(E95))),"",E95/D95)</f>
        <v/>
      </c>
      <c r="J95" s="16">
        <f>IF(OR(C95="",NOT(ISNUMBER(E95))),"",MAX(0,E95-N(F95)))</f>
        <v/>
      </c>
      <c r="K95" s="12">
        <f>IF(AND(C95="",D95="",E95=""),"",IF(NOT(ISNUMBER(B95)),"Needs a date",IF(C95="","Needs a client",IF(COUNTIF(Clients!$B$6:$B$105,C95)=0,"Not on Clients",IF(NOT(ISNUMBER(D95)),"Needs the sessions",IF(AND(E95&lt;&gt;"",NOT(ISNUMBER(E95))),"Price not a number",IF(AND(ISNUMBER(E95),N(F95)&gt;E95),"Paid more than the price","")))))))</f>
        <v/>
      </c>
      <c r="L95" s="1">
        <f>IF(ISNUMBER(B95),YEAR(B95)*100+MONTH(B95),"")</f>
        <v/>
      </c>
      <c r="M95">
        <f>IF(AND(K95="",C95&lt;&gt;""),1,0)</f>
        <v/>
      </c>
      <c r="N95">
        <f>IF(AND(M95=1,ISNUMBER(G95)),INT(G95),0)</f>
        <v/>
      </c>
    </row>
    <row r="96">
      <c r="A96" s="1" t="n"/>
      <c r="B96" s="17" t="n"/>
      <c r="C96" s="19" t="n"/>
      <c r="D96" s="25" t="n"/>
      <c r="E96" s="26" t="n"/>
      <c r="F96" s="26" t="n"/>
      <c r="G96" s="17" t="n"/>
      <c r="H96" s="21" t="n"/>
      <c r="I96" s="16">
        <f>IF(OR(N(D96)&lt;=0,NOT(ISNUMBER(E96))),"",E96/D96)</f>
        <v/>
      </c>
      <c r="J96" s="16">
        <f>IF(OR(C96="",NOT(ISNUMBER(E96))),"",MAX(0,E96-N(F96)))</f>
        <v/>
      </c>
      <c r="K96" s="12">
        <f>IF(AND(C96="",D96="",E96=""),"",IF(NOT(ISNUMBER(B96)),"Needs a date",IF(C96="","Needs a client",IF(COUNTIF(Clients!$B$6:$B$105,C96)=0,"Not on Clients",IF(NOT(ISNUMBER(D96)),"Needs the sessions",IF(AND(E96&lt;&gt;"",NOT(ISNUMBER(E96))),"Price not a number",IF(AND(ISNUMBER(E96),N(F96)&gt;E96),"Paid more than the price","")))))))</f>
        <v/>
      </c>
      <c r="L96" s="1">
        <f>IF(ISNUMBER(B96),YEAR(B96)*100+MONTH(B96),"")</f>
        <v/>
      </c>
      <c r="M96">
        <f>IF(AND(K96="",C96&lt;&gt;""),1,0)</f>
        <v/>
      </c>
      <c r="N96">
        <f>IF(AND(M96=1,ISNUMBER(G96)),INT(G96),0)</f>
        <v/>
      </c>
    </row>
    <row r="97">
      <c r="A97" s="1" t="n"/>
      <c r="B97" s="17" t="n"/>
      <c r="C97" s="19" t="n"/>
      <c r="D97" s="25" t="n"/>
      <c r="E97" s="26" t="n"/>
      <c r="F97" s="26" t="n"/>
      <c r="G97" s="17" t="n"/>
      <c r="H97" s="21" t="n"/>
      <c r="I97" s="16">
        <f>IF(OR(N(D97)&lt;=0,NOT(ISNUMBER(E97))),"",E97/D97)</f>
        <v/>
      </c>
      <c r="J97" s="16">
        <f>IF(OR(C97="",NOT(ISNUMBER(E97))),"",MAX(0,E97-N(F97)))</f>
        <v/>
      </c>
      <c r="K97" s="12">
        <f>IF(AND(C97="",D97="",E97=""),"",IF(NOT(ISNUMBER(B97)),"Needs a date",IF(C97="","Needs a client",IF(COUNTIF(Clients!$B$6:$B$105,C97)=0,"Not on Clients",IF(NOT(ISNUMBER(D97)),"Needs the sessions",IF(AND(E97&lt;&gt;"",NOT(ISNUMBER(E97))),"Price not a number",IF(AND(ISNUMBER(E97),N(F97)&gt;E97),"Paid more than the price","")))))))</f>
        <v/>
      </c>
      <c r="L97" s="1">
        <f>IF(ISNUMBER(B97),YEAR(B97)*100+MONTH(B97),"")</f>
        <v/>
      </c>
      <c r="M97">
        <f>IF(AND(K97="",C97&lt;&gt;""),1,0)</f>
        <v/>
      </c>
      <c r="N97">
        <f>IF(AND(M97=1,ISNUMBER(G97)),INT(G97),0)</f>
        <v/>
      </c>
    </row>
    <row r="98">
      <c r="A98" s="1" t="n"/>
      <c r="B98" s="17" t="n"/>
      <c r="C98" s="19" t="n"/>
      <c r="D98" s="25" t="n"/>
      <c r="E98" s="26" t="n"/>
      <c r="F98" s="26" t="n"/>
      <c r="G98" s="17" t="n"/>
      <c r="H98" s="21" t="n"/>
      <c r="I98" s="16">
        <f>IF(OR(N(D98)&lt;=0,NOT(ISNUMBER(E98))),"",E98/D98)</f>
        <v/>
      </c>
      <c r="J98" s="16">
        <f>IF(OR(C98="",NOT(ISNUMBER(E98))),"",MAX(0,E98-N(F98)))</f>
        <v/>
      </c>
      <c r="K98" s="12">
        <f>IF(AND(C98="",D98="",E98=""),"",IF(NOT(ISNUMBER(B98)),"Needs a date",IF(C98="","Needs a client",IF(COUNTIF(Clients!$B$6:$B$105,C98)=0,"Not on Clients",IF(NOT(ISNUMBER(D98)),"Needs the sessions",IF(AND(E98&lt;&gt;"",NOT(ISNUMBER(E98))),"Price not a number",IF(AND(ISNUMBER(E98),N(F98)&gt;E98),"Paid more than the price","")))))))</f>
        <v/>
      </c>
      <c r="L98" s="1">
        <f>IF(ISNUMBER(B98),YEAR(B98)*100+MONTH(B98),"")</f>
        <v/>
      </c>
      <c r="M98">
        <f>IF(AND(K98="",C98&lt;&gt;""),1,0)</f>
        <v/>
      </c>
      <c r="N98">
        <f>IF(AND(M98=1,ISNUMBER(G98)),INT(G98),0)</f>
        <v/>
      </c>
    </row>
    <row r="99">
      <c r="A99" s="1" t="n"/>
      <c r="B99" s="17" t="n"/>
      <c r="C99" s="19" t="n"/>
      <c r="D99" s="25" t="n"/>
      <c r="E99" s="26" t="n"/>
      <c r="F99" s="26" t="n"/>
      <c r="G99" s="17" t="n"/>
      <c r="H99" s="21" t="n"/>
      <c r="I99" s="16">
        <f>IF(OR(N(D99)&lt;=0,NOT(ISNUMBER(E99))),"",E99/D99)</f>
        <v/>
      </c>
      <c r="J99" s="16">
        <f>IF(OR(C99="",NOT(ISNUMBER(E99))),"",MAX(0,E99-N(F99)))</f>
        <v/>
      </c>
      <c r="K99" s="12">
        <f>IF(AND(C99="",D99="",E99=""),"",IF(NOT(ISNUMBER(B99)),"Needs a date",IF(C99="","Needs a client",IF(COUNTIF(Clients!$B$6:$B$105,C99)=0,"Not on Clients",IF(NOT(ISNUMBER(D99)),"Needs the sessions",IF(AND(E99&lt;&gt;"",NOT(ISNUMBER(E99))),"Price not a number",IF(AND(ISNUMBER(E99),N(F99)&gt;E99),"Paid more than the price","")))))))</f>
        <v/>
      </c>
      <c r="L99" s="1">
        <f>IF(ISNUMBER(B99),YEAR(B99)*100+MONTH(B99),"")</f>
        <v/>
      </c>
      <c r="M99">
        <f>IF(AND(K99="",C99&lt;&gt;""),1,0)</f>
        <v/>
      </c>
      <c r="N99">
        <f>IF(AND(M99=1,ISNUMBER(G99)),INT(G99),0)</f>
        <v/>
      </c>
    </row>
    <row r="100">
      <c r="A100" s="1" t="n"/>
      <c r="B100" s="17" t="n"/>
      <c r="C100" s="19" t="n"/>
      <c r="D100" s="25" t="n"/>
      <c r="E100" s="26" t="n"/>
      <c r="F100" s="26" t="n"/>
      <c r="G100" s="17" t="n"/>
      <c r="H100" s="21" t="n"/>
      <c r="I100" s="16">
        <f>IF(OR(N(D100)&lt;=0,NOT(ISNUMBER(E100))),"",E100/D100)</f>
        <v/>
      </c>
      <c r="J100" s="16">
        <f>IF(OR(C100="",NOT(ISNUMBER(E100))),"",MAX(0,E100-N(F100)))</f>
        <v/>
      </c>
      <c r="K100" s="12">
        <f>IF(AND(C100="",D100="",E100=""),"",IF(NOT(ISNUMBER(B100)),"Needs a date",IF(C100="","Needs a client",IF(COUNTIF(Clients!$B$6:$B$105,C100)=0,"Not on Clients",IF(NOT(ISNUMBER(D100)),"Needs the sessions",IF(AND(E100&lt;&gt;"",NOT(ISNUMBER(E100))),"Price not a number",IF(AND(ISNUMBER(E100),N(F100)&gt;E100),"Paid more than the price","")))))))</f>
        <v/>
      </c>
      <c r="L100" s="1">
        <f>IF(ISNUMBER(B100),YEAR(B100)*100+MONTH(B100),"")</f>
        <v/>
      </c>
      <c r="M100">
        <f>IF(AND(K100="",C100&lt;&gt;""),1,0)</f>
        <v/>
      </c>
      <c r="N100">
        <f>IF(AND(M100=1,ISNUMBER(G100)),INT(G100),0)</f>
        <v/>
      </c>
    </row>
    <row r="101">
      <c r="A101" s="1" t="n"/>
      <c r="B101" s="17" t="n"/>
      <c r="C101" s="19" t="n"/>
      <c r="D101" s="25" t="n"/>
      <c r="E101" s="26" t="n"/>
      <c r="F101" s="26" t="n"/>
      <c r="G101" s="17" t="n"/>
      <c r="H101" s="21" t="n"/>
      <c r="I101" s="16">
        <f>IF(OR(N(D101)&lt;=0,NOT(ISNUMBER(E101))),"",E101/D101)</f>
        <v/>
      </c>
      <c r="J101" s="16">
        <f>IF(OR(C101="",NOT(ISNUMBER(E101))),"",MAX(0,E101-N(F101)))</f>
        <v/>
      </c>
      <c r="K101" s="12">
        <f>IF(AND(C101="",D101="",E101=""),"",IF(NOT(ISNUMBER(B101)),"Needs a date",IF(C101="","Needs a client",IF(COUNTIF(Clients!$B$6:$B$105,C101)=0,"Not on Clients",IF(NOT(ISNUMBER(D101)),"Needs the sessions",IF(AND(E101&lt;&gt;"",NOT(ISNUMBER(E101))),"Price not a number",IF(AND(ISNUMBER(E101),N(F101)&gt;E101),"Paid more than the price","")))))))</f>
        <v/>
      </c>
      <c r="L101" s="1">
        <f>IF(ISNUMBER(B101),YEAR(B101)*100+MONTH(B101),"")</f>
        <v/>
      </c>
      <c r="M101">
        <f>IF(AND(K101="",C101&lt;&gt;""),1,0)</f>
        <v/>
      </c>
      <c r="N101">
        <f>IF(AND(M101=1,ISNUMBER(G101)),INT(G101),0)</f>
        <v/>
      </c>
    </row>
    <row r="102">
      <c r="A102" s="1" t="n"/>
      <c r="B102" s="17" t="n"/>
      <c r="C102" s="19" t="n"/>
      <c r="D102" s="25" t="n"/>
      <c r="E102" s="26" t="n"/>
      <c r="F102" s="26" t="n"/>
      <c r="G102" s="17" t="n"/>
      <c r="H102" s="21" t="n"/>
      <c r="I102" s="16">
        <f>IF(OR(N(D102)&lt;=0,NOT(ISNUMBER(E102))),"",E102/D102)</f>
        <v/>
      </c>
      <c r="J102" s="16">
        <f>IF(OR(C102="",NOT(ISNUMBER(E102))),"",MAX(0,E102-N(F102)))</f>
        <v/>
      </c>
      <c r="K102" s="12">
        <f>IF(AND(C102="",D102="",E102=""),"",IF(NOT(ISNUMBER(B102)),"Needs a date",IF(C102="","Needs a client",IF(COUNTIF(Clients!$B$6:$B$105,C102)=0,"Not on Clients",IF(NOT(ISNUMBER(D102)),"Needs the sessions",IF(AND(E102&lt;&gt;"",NOT(ISNUMBER(E102))),"Price not a number",IF(AND(ISNUMBER(E102),N(F102)&gt;E102),"Paid more than the price","")))))))</f>
        <v/>
      </c>
      <c r="L102" s="1">
        <f>IF(ISNUMBER(B102),YEAR(B102)*100+MONTH(B102),"")</f>
        <v/>
      </c>
      <c r="M102">
        <f>IF(AND(K102="",C102&lt;&gt;""),1,0)</f>
        <v/>
      </c>
      <c r="N102">
        <f>IF(AND(M102=1,ISNUMBER(G102)),INT(G102),0)</f>
        <v/>
      </c>
    </row>
    <row r="103">
      <c r="A103" s="1" t="n"/>
      <c r="B103" s="17" t="n"/>
      <c r="C103" s="19" t="n"/>
      <c r="D103" s="25" t="n"/>
      <c r="E103" s="26" t="n"/>
      <c r="F103" s="26" t="n"/>
      <c r="G103" s="17" t="n"/>
      <c r="H103" s="21" t="n"/>
      <c r="I103" s="16">
        <f>IF(OR(N(D103)&lt;=0,NOT(ISNUMBER(E103))),"",E103/D103)</f>
        <v/>
      </c>
      <c r="J103" s="16">
        <f>IF(OR(C103="",NOT(ISNUMBER(E103))),"",MAX(0,E103-N(F103)))</f>
        <v/>
      </c>
      <c r="K103" s="12">
        <f>IF(AND(C103="",D103="",E103=""),"",IF(NOT(ISNUMBER(B103)),"Needs a date",IF(C103="","Needs a client",IF(COUNTIF(Clients!$B$6:$B$105,C103)=0,"Not on Clients",IF(NOT(ISNUMBER(D103)),"Needs the sessions",IF(AND(E103&lt;&gt;"",NOT(ISNUMBER(E103))),"Price not a number",IF(AND(ISNUMBER(E103),N(F103)&gt;E103),"Paid more than the price","")))))))</f>
        <v/>
      </c>
      <c r="L103" s="1">
        <f>IF(ISNUMBER(B103),YEAR(B103)*100+MONTH(B103),"")</f>
        <v/>
      </c>
      <c r="M103">
        <f>IF(AND(K103="",C103&lt;&gt;""),1,0)</f>
        <v/>
      </c>
      <c r="N103">
        <f>IF(AND(M103=1,ISNUMBER(G103)),INT(G103),0)</f>
        <v/>
      </c>
    </row>
    <row r="104">
      <c r="A104" s="1" t="n"/>
      <c r="B104" s="17" t="n"/>
      <c r="C104" s="19" t="n"/>
      <c r="D104" s="25" t="n"/>
      <c r="E104" s="26" t="n"/>
      <c r="F104" s="26" t="n"/>
      <c r="G104" s="17" t="n"/>
      <c r="H104" s="21" t="n"/>
      <c r="I104" s="16">
        <f>IF(OR(N(D104)&lt;=0,NOT(ISNUMBER(E104))),"",E104/D104)</f>
        <v/>
      </c>
      <c r="J104" s="16">
        <f>IF(OR(C104="",NOT(ISNUMBER(E104))),"",MAX(0,E104-N(F104)))</f>
        <v/>
      </c>
      <c r="K104" s="12">
        <f>IF(AND(C104="",D104="",E104=""),"",IF(NOT(ISNUMBER(B104)),"Needs a date",IF(C104="","Needs a client",IF(COUNTIF(Clients!$B$6:$B$105,C104)=0,"Not on Clients",IF(NOT(ISNUMBER(D104)),"Needs the sessions",IF(AND(E104&lt;&gt;"",NOT(ISNUMBER(E104))),"Price not a number",IF(AND(ISNUMBER(E104),N(F104)&gt;E104),"Paid more than the price","")))))))</f>
        <v/>
      </c>
      <c r="L104" s="1">
        <f>IF(ISNUMBER(B104),YEAR(B104)*100+MONTH(B104),"")</f>
        <v/>
      </c>
      <c r="M104">
        <f>IF(AND(K104="",C104&lt;&gt;""),1,0)</f>
        <v/>
      </c>
      <c r="N104">
        <f>IF(AND(M104=1,ISNUMBER(G104)),INT(G104),0)</f>
        <v/>
      </c>
    </row>
    <row r="105">
      <c r="A105" s="1" t="n"/>
      <c r="B105" s="17" t="n"/>
      <c r="C105" s="19" t="n"/>
      <c r="D105" s="25" t="n"/>
      <c r="E105" s="26" t="n"/>
      <c r="F105" s="26" t="n"/>
      <c r="G105" s="17" t="n"/>
      <c r="H105" s="21" t="n"/>
      <c r="I105" s="16">
        <f>IF(OR(N(D105)&lt;=0,NOT(ISNUMBER(E105))),"",E105/D105)</f>
        <v/>
      </c>
      <c r="J105" s="16">
        <f>IF(OR(C105="",NOT(ISNUMBER(E105))),"",MAX(0,E105-N(F105)))</f>
        <v/>
      </c>
      <c r="K105" s="12">
        <f>IF(AND(C105="",D105="",E105=""),"",IF(NOT(ISNUMBER(B105)),"Needs a date",IF(C105="","Needs a client",IF(COUNTIF(Clients!$B$6:$B$105,C105)=0,"Not on Clients",IF(NOT(ISNUMBER(D105)),"Needs the sessions",IF(AND(E105&lt;&gt;"",NOT(ISNUMBER(E105))),"Price not a number",IF(AND(ISNUMBER(E105),N(F105)&gt;E105),"Paid more than the price","")))))))</f>
        <v/>
      </c>
      <c r="L105" s="1">
        <f>IF(ISNUMBER(B105),YEAR(B105)*100+MONTH(B105),"")</f>
        <v/>
      </c>
      <c r="M105">
        <f>IF(AND(K105="",C105&lt;&gt;""),1,0)</f>
        <v/>
      </c>
      <c r="N105">
        <f>IF(AND(M105=1,ISNUMBER(G105)),INT(G105),0)</f>
        <v/>
      </c>
    </row>
    <row r="106">
      <c r="A106" s="1" t="n"/>
      <c r="B106" s="17" t="n"/>
      <c r="C106" s="19" t="n"/>
      <c r="D106" s="25" t="n"/>
      <c r="E106" s="26" t="n"/>
      <c r="F106" s="26" t="n"/>
      <c r="G106" s="17" t="n"/>
      <c r="H106" s="21" t="n"/>
      <c r="I106" s="16">
        <f>IF(OR(N(D106)&lt;=0,NOT(ISNUMBER(E106))),"",E106/D106)</f>
        <v/>
      </c>
      <c r="J106" s="16">
        <f>IF(OR(C106="",NOT(ISNUMBER(E106))),"",MAX(0,E106-N(F106)))</f>
        <v/>
      </c>
      <c r="K106" s="12">
        <f>IF(AND(C106="",D106="",E106=""),"",IF(NOT(ISNUMBER(B106)),"Needs a date",IF(C106="","Needs a client",IF(COUNTIF(Clients!$B$6:$B$105,C106)=0,"Not on Clients",IF(NOT(ISNUMBER(D106)),"Needs the sessions",IF(AND(E106&lt;&gt;"",NOT(ISNUMBER(E106))),"Price not a number",IF(AND(ISNUMBER(E106),N(F106)&gt;E106),"Paid more than the price","")))))))</f>
        <v/>
      </c>
      <c r="L106" s="1">
        <f>IF(ISNUMBER(B106),YEAR(B106)*100+MONTH(B106),"")</f>
        <v/>
      </c>
      <c r="M106">
        <f>IF(AND(K106="",C106&lt;&gt;""),1,0)</f>
        <v/>
      </c>
      <c r="N106">
        <f>IF(AND(M106=1,ISNUMBER(G106)),INT(G106),0)</f>
        <v/>
      </c>
    </row>
    <row r="107">
      <c r="A107" s="1" t="n"/>
      <c r="B107" s="17" t="n"/>
      <c r="C107" s="19" t="n"/>
      <c r="D107" s="25" t="n"/>
      <c r="E107" s="26" t="n"/>
      <c r="F107" s="26" t="n"/>
      <c r="G107" s="17" t="n"/>
      <c r="H107" s="21" t="n"/>
      <c r="I107" s="16">
        <f>IF(OR(N(D107)&lt;=0,NOT(ISNUMBER(E107))),"",E107/D107)</f>
        <v/>
      </c>
      <c r="J107" s="16">
        <f>IF(OR(C107="",NOT(ISNUMBER(E107))),"",MAX(0,E107-N(F107)))</f>
        <v/>
      </c>
      <c r="K107" s="12">
        <f>IF(AND(C107="",D107="",E107=""),"",IF(NOT(ISNUMBER(B107)),"Needs a date",IF(C107="","Needs a client",IF(COUNTIF(Clients!$B$6:$B$105,C107)=0,"Not on Clients",IF(NOT(ISNUMBER(D107)),"Needs the sessions",IF(AND(E107&lt;&gt;"",NOT(ISNUMBER(E107))),"Price not a number",IF(AND(ISNUMBER(E107),N(F107)&gt;E107),"Paid more than the price","")))))))</f>
        <v/>
      </c>
      <c r="L107" s="1">
        <f>IF(ISNUMBER(B107),YEAR(B107)*100+MONTH(B107),"")</f>
        <v/>
      </c>
      <c r="M107">
        <f>IF(AND(K107="",C107&lt;&gt;""),1,0)</f>
        <v/>
      </c>
      <c r="N107">
        <f>IF(AND(M107=1,ISNUMBER(G107)),INT(G107),0)</f>
        <v/>
      </c>
    </row>
    <row r="108">
      <c r="A108" s="1" t="n"/>
      <c r="B108" s="17" t="n"/>
      <c r="C108" s="19" t="n"/>
      <c r="D108" s="25" t="n"/>
      <c r="E108" s="26" t="n"/>
      <c r="F108" s="26" t="n"/>
      <c r="G108" s="17" t="n"/>
      <c r="H108" s="21" t="n"/>
      <c r="I108" s="16">
        <f>IF(OR(N(D108)&lt;=0,NOT(ISNUMBER(E108))),"",E108/D108)</f>
        <v/>
      </c>
      <c r="J108" s="16">
        <f>IF(OR(C108="",NOT(ISNUMBER(E108))),"",MAX(0,E108-N(F108)))</f>
        <v/>
      </c>
      <c r="K108" s="12">
        <f>IF(AND(C108="",D108="",E108=""),"",IF(NOT(ISNUMBER(B108)),"Needs a date",IF(C108="","Needs a client",IF(COUNTIF(Clients!$B$6:$B$105,C108)=0,"Not on Clients",IF(NOT(ISNUMBER(D108)),"Needs the sessions",IF(AND(E108&lt;&gt;"",NOT(ISNUMBER(E108))),"Price not a number",IF(AND(ISNUMBER(E108),N(F108)&gt;E108),"Paid more than the price","")))))))</f>
        <v/>
      </c>
      <c r="L108" s="1">
        <f>IF(ISNUMBER(B108),YEAR(B108)*100+MONTH(B108),"")</f>
        <v/>
      </c>
      <c r="M108">
        <f>IF(AND(K108="",C108&lt;&gt;""),1,0)</f>
        <v/>
      </c>
      <c r="N108">
        <f>IF(AND(M108=1,ISNUMBER(G108)),INT(G108),0)</f>
        <v/>
      </c>
    </row>
    <row r="109">
      <c r="A109" s="1" t="n"/>
      <c r="B109" s="17" t="n"/>
      <c r="C109" s="19" t="n"/>
      <c r="D109" s="25" t="n"/>
      <c r="E109" s="26" t="n"/>
      <c r="F109" s="26" t="n"/>
      <c r="G109" s="17" t="n"/>
      <c r="H109" s="21" t="n"/>
      <c r="I109" s="16">
        <f>IF(OR(N(D109)&lt;=0,NOT(ISNUMBER(E109))),"",E109/D109)</f>
        <v/>
      </c>
      <c r="J109" s="16">
        <f>IF(OR(C109="",NOT(ISNUMBER(E109))),"",MAX(0,E109-N(F109)))</f>
        <v/>
      </c>
      <c r="K109" s="12">
        <f>IF(AND(C109="",D109="",E109=""),"",IF(NOT(ISNUMBER(B109)),"Needs a date",IF(C109="","Needs a client",IF(COUNTIF(Clients!$B$6:$B$105,C109)=0,"Not on Clients",IF(NOT(ISNUMBER(D109)),"Needs the sessions",IF(AND(E109&lt;&gt;"",NOT(ISNUMBER(E109))),"Price not a number",IF(AND(ISNUMBER(E109),N(F109)&gt;E109),"Paid more than the price","")))))))</f>
        <v/>
      </c>
      <c r="L109" s="1">
        <f>IF(ISNUMBER(B109),YEAR(B109)*100+MONTH(B109),"")</f>
        <v/>
      </c>
      <c r="M109">
        <f>IF(AND(K109="",C109&lt;&gt;""),1,0)</f>
        <v/>
      </c>
      <c r="N109">
        <f>IF(AND(M109=1,ISNUMBER(G109)),INT(G109),0)</f>
        <v/>
      </c>
    </row>
    <row r="110">
      <c r="A110" s="1" t="n"/>
      <c r="B110" s="17" t="n"/>
      <c r="C110" s="19" t="n"/>
      <c r="D110" s="25" t="n"/>
      <c r="E110" s="26" t="n"/>
      <c r="F110" s="26" t="n"/>
      <c r="G110" s="17" t="n"/>
      <c r="H110" s="21" t="n"/>
      <c r="I110" s="16">
        <f>IF(OR(N(D110)&lt;=0,NOT(ISNUMBER(E110))),"",E110/D110)</f>
        <v/>
      </c>
      <c r="J110" s="16">
        <f>IF(OR(C110="",NOT(ISNUMBER(E110))),"",MAX(0,E110-N(F110)))</f>
        <v/>
      </c>
      <c r="K110" s="12">
        <f>IF(AND(C110="",D110="",E110=""),"",IF(NOT(ISNUMBER(B110)),"Needs a date",IF(C110="","Needs a client",IF(COUNTIF(Clients!$B$6:$B$105,C110)=0,"Not on Clients",IF(NOT(ISNUMBER(D110)),"Needs the sessions",IF(AND(E110&lt;&gt;"",NOT(ISNUMBER(E110))),"Price not a number",IF(AND(ISNUMBER(E110),N(F110)&gt;E110),"Paid more than the price","")))))))</f>
        <v/>
      </c>
      <c r="L110" s="1">
        <f>IF(ISNUMBER(B110),YEAR(B110)*100+MONTH(B110),"")</f>
        <v/>
      </c>
      <c r="M110">
        <f>IF(AND(K110="",C110&lt;&gt;""),1,0)</f>
        <v/>
      </c>
      <c r="N110">
        <f>IF(AND(M110=1,ISNUMBER(G110)),INT(G110),0)</f>
        <v/>
      </c>
    </row>
    <row r="111">
      <c r="A111" s="1" t="n"/>
      <c r="B111" s="17" t="n"/>
      <c r="C111" s="19" t="n"/>
      <c r="D111" s="25" t="n"/>
      <c r="E111" s="26" t="n"/>
      <c r="F111" s="26" t="n"/>
      <c r="G111" s="17" t="n"/>
      <c r="H111" s="21" t="n"/>
      <c r="I111" s="16">
        <f>IF(OR(N(D111)&lt;=0,NOT(ISNUMBER(E111))),"",E111/D111)</f>
        <v/>
      </c>
      <c r="J111" s="16">
        <f>IF(OR(C111="",NOT(ISNUMBER(E111))),"",MAX(0,E111-N(F111)))</f>
        <v/>
      </c>
      <c r="K111" s="12">
        <f>IF(AND(C111="",D111="",E111=""),"",IF(NOT(ISNUMBER(B111)),"Needs a date",IF(C111="","Needs a client",IF(COUNTIF(Clients!$B$6:$B$105,C111)=0,"Not on Clients",IF(NOT(ISNUMBER(D111)),"Needs the sessions",IF(AND(E111&lt;&gt;"",NOT(ISNUMBER(E111))),"Price not a number",IF(AND(ISNUMBER(E111),N(F111)&gt;E111),"Paid more than the price","")))))))</f>
        <v/>
      </c>
      <c r="L111" s="1">
        <f>IF(ISNUMBER(B111),YEAR(B111)*100+MONTH(B111),"")</f>
        <v/>
      </c>
      <c r="M111">
        <f>IF(AND(K111="",C111&lt;&gt;""),1,0)</f>
        <v/>
      </c>
      <c r="N111">
        <f>IF(AND(M111=1,ISNUMBER(G111)),INT(G111),0)</f>
        <v/>
      </c>
    </row>
    <row r="112">
      <c r="A112" s="1" t="n"/>
      <c r="B112" s="17" t="n"/>
      <c r="C112" s="19" t="n"/>
      <c r="D112" s="25" t="n"/>
      <c r="E112" s="26" t="n"/>
      <c r="F112" s="26" t="n"/>
      <c r="G112" s="17" t="n"/>
      <c r="H112" s="21" t="n"/>
      <c r="I112" s="16">
        <f>IF(OR(N(D112)&lt;=0,NOT(ISNUMBER(E112))),"",E112/D112)</f>
        <v/>
      </c>
      <c r="J112" s="16">
        <f>IF(OR(C112="",NOT(ISNUMBER(E112))),"",MAX(0,E112-N(F112)))</f>
        <v/>
      </c>
      <c r="K112" s="12">
        <f>IF(AND(C112="",D112="",E112=""),"",IF(NOT(ISNUMBER(B112)),"Needs a date",IF(C112="","Needs a client",IF(COUNTIF(Clients!$B$6:$B$105,C112)=0,"Not on Clients",IF(NOT(ISNUMBER(D112)),"Needs the sessions",IF(AND(E112&lt;&gt;"",NOT(ISNUMBER(E112))),"Price not a number",IF(AND(ISNUMBER(E112),N(F112)&gt;E112),"Paid more than the price","")))))))</f>
        <v/>
      </c>
      <c r="L112" s="1">
        <f>IF(ISNUMBER(B112),YEAR(B112)*100+MONTH(B112),"")</f>
        <v/>
      </c>
      <c r="M112">
        <f>IF(AND(K112="",C112&lt;&gt;""),1,0)</f>
        <v/>
      </c>
      <c r="N112">
        <f>IF(AND(M112=1,ISNUMBER(G112)),INT(G112),0)</f>
        <v/>
      </c>
    </row>
    <row r="113">
      <c r="A113" s="1" t="n"/>
      <c r="B113" s="17" t="n"/>
      <c r="C113" s="19" t="n"/>
      <c r="D113" s="25" t="n"/>
      <c r="E113" s="26" t="n"/>
      <c r="F113" s="26" t="n"/>
      <c r="G113" s="17" t="n"/>
      <c r="H113" s="21" t="n"/>
      <c r="I113" s="16">
        <f>IF(OR(N(D113)&lt;=0,NOT(ISNUMBER(E113))),"",E113/D113)</f>
        <v/>
      </c>
      <c r="J113" s="16">
        <f>IF(OR(C113="",NOT(ISNUMBER(E113))),"",MAX(0,E113-N(F113)))</f>
        <v/>
      </c>
      <c r="K113" s="12">
        <f>IF(AND(C113="",D113="",E113=""),"",IF(NOT(ISNUMBER(B113)),"Needs a date",IF(C113="","Needs a client",IF(COUNTIF(Clients!$B$6:$B$105,C113)=0,"Not on Clients",IF(NOT(ISNUMBER(D113)),"Needs the sessions",IF(AND(E113&lt;&gt;"",NOT(ISNUMBER(E113))),"Price not a number",IF(AND(ISNUMBER(E113),N(F113)&gt;E113),"Paid more than the price","")))))))</f>
        <v/>
      </c>
      <c r="L113" s="1">
        <f>IF(ISNUMBER(B113),YEAR(B113)*100+MONTH(B113),"")</f>
        <v/>
      </c>
      <c r="M113">
        <f>IF(AND(K113="",C113&lt;&gt;""),1,0)</f>
        <v/>
      </c>
      <c r="N113">
        <f>IF(AND(M113=1,ISNUMBER(G113)),INT(G113),0)</f>
        <v/>
      </c>
    </row>
    <row r="114">
      <c r="A114" s="1" t="n"/>
      <c r="B114" s="17" t="n"/>
      <c r="C114" s="19" t="n"/>
      <c r="D114" s="25" t="n"/>
      <c r="E114" s="26" t="n"/>
      <c r="F114" s="26" t="n"/>
      <c r="G114" s="17" t="n"/>
      <c r="H114" s="21" t="n"/>
      <c r="I114" s="16">
        <f>IF(OR(N(D114)&lt;=0,NOT(ISNUMBER(E114))),"",E114/D114)</f>
        <v/>
      </c>
      <c r="J114" s="16">
        <f>IF(OR(C114="",NOT(ISNUMBER(E114))),"",MAX(0,E114-N(F114)))</f>
        <v/>
      </c>
      <c r="K114" s="12">
        <f>IF(AND(C114="",D114="",E114=""),"",IF(NOT(ISNUMBER(B114)),"Needs a date",IF(C114="","Needs a client",IF(COUNTIF(Clients!$B$6:$B$105,C114)=0,"Not on Clients",IF(NOT(ISNUMBER(D114)),"Needs the sessions",IF(AND(E114&lt;&gt;"",NOT(ISNUMBER(E114))),"Price not a number",IF(AND(ISNUMBER(E114),N(F114)&gt;E114),"Paid more than the price","")))))))</f>
        <v/>
      </c>
      <c r="L114" s="1">
        <f>IF(ISNUMBER(B114),YEAR(B114)*100+MONTH(B114),"")</f>
        <v/>
      </c>
      <c r="M114">
        <f>IF(AND(K114="",C114&lt;&gt;""),1,0)</f>
        <v/>
      </c>
      <c r="N114">
        <f>IF(AND(M114=1,ISNUMBER(G114)),INT(G114),0)</f>
        <v/>
      </c>
    </row>
    <row r="115">
      <c r="A115" s="1" t="n"/>
      <c r="B115" s="17" t="n"/>
      <c r="C115" s="19" t="n"/>
      <c r="D115" s="25" t="n"/>
      <c r="E115" s="26" t="n"/>
      <c r="F115" s="26" t="n"/>
      <c r="G115" s="17" t="n"/>
      <c r="H115" s="21" t="n"/>
      <c r="I115" s="16">
        <f>IF(OR(N(D115)&lt;=0,NOT(ISNUMBER(E115))),"",E115/D115)</f>
        <v/>
      </c>
      <c r="J115" s="16">
        <f>IF(OR(C115="",NOT(ISNUMBER(E115))),"",MAX(0,E115-N(F115)))</f>
        <v/>
      </c>
      <c r="K115" s="12">
        <f>IF(AND(C115="",D115="",E115=""),"",IF(NOT(ISNUMBER(B115)),"Needs a date",IF(C115="","Needs a client",IF(COUNTIF(Clients!$B$6:$B$105,C115)=0,"Not on Clients",IF(NOT(ISNUMBER(D115)),"Needs the sessions",IF(AND(E115&lt;&gt;"",NOT(ISNUMBER(E115))),"Price not a number",IF(AND(ISNUMBER(E115),N(F115)&gt;E115),"Paid more than the price","")))))))</f>
        <v/>
      </c>
      <c r="L115" s="1">
        <f>IF(ISNUMBER(B115),YEAR(B115)*100+MONTH(B115),"")</f>
        <v/>
      </c>
      <c r="M115">
        <f>IF(AND(K115="",C115&lt;&gt;""),1,0)</f>
        <v/>
      </c>
      <c r="N115">
        <f>IF(AND(M115=1,ISNUMBER(G115)),INT(G115),0)</f>
        <v/>
      </c>
    </row>
    <row r="116">
      <c r="A116" s="1" t="n"/>
      <c r="B116" s="17" t="n"/>
      <c r="C116" s="19" t="n"/>
      <c r="D116" s="25" t="n"/>
      <c r="E116" s="26" t="n"/>
      <c r="F116" s="26" t="n"/>
      <c r="G116" s="17" t="n"/>
      <c r="H116" s="21" t="n"/>
      <c r="I116" s="16">
        <f>IF(OR(N(D116)&lt;=0,NOT(ISNUMBER(E116))),"",E116/D116)</f>
        <v/>
      </c>
      <c r="J116" s="16">
        <f>IF(OR(C116="",NOT(ISNUMBER(E116))),"",MAX(0,E116-N(F116)))</f>
        <v/>
      </c>
      <c r="K116" s="12">
        <f>IF(AND(C116="",D116="",E116=""),"",IF(NOT(ISNUMBER(B116)),"Needs a date",IF(C116="","Needs a client",IF(COUNTIF(Clients!$B$6:$B$105,C116)=0,"Not on Clients",IF(NOT(ISNUMBER(D116)),"Needs the sessions",IF(AND(E116&lt;&gt;"",NOT(ISNUMBER(E116))),"Price not a number",IF(AND(ISNUMBER(E116),N(F116)&gt;E116),"Paid more than the price","")))))))</f>
        <v/>
      </c>
      <c r="L116" s="1">
        <f>IF(ISNUMBER(B116),YEAR(B116)*100+MONTH(B116),"")</f>
        <v/>
      </c>
      <c r="M116">
        <f>IF(AND(K116="",C116&lt;&gt;""),1,0)</f>
        <v/>
      </c>
      <c r="N116">
        <f>IF(AND(M116=1,ISNUMBER(G116)),INT(G116),0)</f>
        <v/>
      </c>
    </row>
    <row r="117">
      <c r="A117" s="1" t="n"/>
      <c r="B117" s="17" t="n"/>
      <c r="C117" s="19" t="n"/>
      <c r="D117" s="25" t="n"/>
      <c r="E117" s="26" t="n"/>
      <c r="F117" s="26" t="n"/>
      <c r="G117" s="17" t="n"/>
      <c r="H117" s="21" t="n"/>
      <c r="I117" s="16">
        <f>IF(OR(N(D117)&lt;=0,NOT(ISNUMBER(E117))),"",E117/D117)</f>
        <v/>
      </c>
      <c r="J117" s="16">
        <f>IF(OR(C117="",NOT(ISNUMBER(E117))),"",MAX(0,E117-N(F117)))</f>
        <v/>
      </c>
      <c r="K117" s="12">
        <f>IF(AND(C117="",D117="",E117=""),"",IF(NOT(ISNUMBER(B117)),"Needs a date",IF(C117="","Needs a client",IF(COUNTIF(Clients!$B$6:$B$105,C117)=0,"Not on Clients",IF(NOT(ISNUMBER(D117)),"Needs the sessions",IF(AND(E117&lt;&gt;"",NOT(ISNUMBER(E117))),"Price not a number",IF(AND(ISNUMBER(E117),N(F117)&gt;E117),"Paid more than the price","")))))))</f>
        <v/>
      </c>
      <c r="L117" s="1">
        <f>IF(ISNUMBER(B117),YEAR(B117)*100+MONTH(B117),"")</f>
        <v/>
      </c>
      <c r="M117">
        <f>IF(AND(K117="",C117&lt;&gt;""),1,0)</f>
        <v/>
      </c>
      <c r="N117">
        <f>IF(AND(M117=1,ISNUMBER(G117)),INT(G117),0)</f>
        <v/>
      </c>
    </row>
    <row r="118">
      <c r="A118" s="1" t="n"/>
      <c r="B118" s="17" t="n"/>
      <c r="C118" s="19" t="n"/>
      <c r="D118" s="25" t="n"/>
      <c r="E118" s="26" t="n"/>
      <c r="F118" s="26" t="n"/>
      <c r="G118" s="17" t="n"/>
      <c r="H118" s="21" t="n"/>
      <c r="I118" s="16">
        <f>IF(OR(N(D118)&lt;=0,NOT(ISNUMBER(E118))),"",E118/D118)</f>
        <v/>
      </c>
      <c r="J118" s="16">
        <f>IF(OR(C118="",NOT(ISNUMBER(E118))),"",MAX(0,E118-N(F118)))</f>
        <v/>
      </c>
      <c r="K118" s="12">
        <f>IF(AND(C118="",D118="",E118=""),"",IF(NOT(ISNUMBER(B118)),"Needs a date",IF(C118="","Needs a client",IF(COUNTIF(Clients!$B$6:$B$105,C118)=0,"Not on Clients",IF(NOT(ISNUMBER(D118)),"Needs the sessions",IF(AND(E118&lt;&gt;"",NOT(ISNUMBER(E118))),"Price not a number",IF(AND(ISNUMBER(E118),N(F118)&gt;E118),"Paid more than the price","")))))))</f>
        <v/>
      </c>
      <c r="L118" s="1">
        <f>IF(ISNUMBER(B118),YEAR(B118)*100+MONTH(B118),"")</f>
        <v/>
      </c>
      <c r="M118">
        <f>IF(AND(K118="",C118&lt;&gt;""),1,0)</f>
        <v/>
      </c>
      <c r="N118">
        <f>IF(AND(M118=1,ISNUMBER(G118)),INT(G118),0)</f>
        <v/>
      </c>
    </row>
    <row r="119">
      <c r="A119" s="1" t="n"/>
      <c r="B119" s="17" t="n"/>
      <c r="C119" s="19" t="n"/>
      <c r="D119" s="25" t="n"/>
      <c r="E119" s="26" t="n"/>
      <c r="F119" s="26" t="n"/>
      <c r="G119" s="17" t="n"/>
      <c r="H119" s="21" t="n"/>
      <c r="I119" s="16">
        <f>IF(OR(N(D119)&lt;=0,NOT(ISNUMBER(E119))),"",E119/D119)</f>
        <v/>
      </c>
      <c r="J119" s="16">
        <f>IF(OR(C119="",NOT(ISNUMBER(E119))),"",MAX(0,E119-N(F119)))</f>
        <v/>
      </c>
      <c r="K119" s="12">
        <f>IF(AND(C119="",D119="",E119=""),"",IF(NOT(ISNUMBER(B119)),"Needs a date",IF(C119="","Needs a client",IF(COUNTIF(Clients!$B$6:$B$105,C119)=0,"Not on Clients",IF(NOT(ISNUMBER(D119)),"Needs the sessions",IF(AND(E119&lt;&gt;"",NOT(ISNUMBER(E119))),"Price not a number",IF(AND(ISNUMBER(E119),N(F119)&gt;E119),"Paid more than the price","")))))))</f>
        <v/>
      </c>
      <c r="L119" s="1">
        <f>IF(ISNUMBER(B119),YEAR(B119)*100+MONTH(B119),"")</f>
        <v/>
      </c>
      <c r="M119">
        <f>IF(AND(K119="",C119&lt;&gt;""),1,0)</f>
        <v/>
      </c>
      <c r="N119">
        <f>IF(AND(M119=1,ISNUMBER(G119)),INT(G119),0)</f>
        <v/>
      </c>
    </row>
    <row r="120">
      <c r="A120" s="1" t="n"/>
      <c r="B120" s="17" t="n"/>
      <c r="C120" s="19" t="n"/>
      <c r="D120" s="25" t="n"/>
      <c r="E120" s="26" t="n"/>
      <c r="F120" s="26" t="n"/>
      <c r="G120" s="17" t="n"/>
      <c r="H120" s="21" t="n"/>
      <c r="I120" s="16">
        <f>IF(OR(N(D120)&lt;=0,NOT(ISNUMBER(E120))),"",E120/D120)</f>
        <v/>
      </c>
      <c r="J120" s="16">
        <f>IF(OR(C120="",NOT(ISNUMBER(E120))),"",MAX(0,E120-N(F120)))</f>
        <v/>
      </c>
      <c r="K120" s="12">
        <f>IF(AND(C120="",D120="",E120=""),"",IF(NOT(ISNUMBER(B120)),"Needs a date",IF(C120="","Needs a client",IF(COUNTIF(Clients!$B$6:$B$105,C120)=0,"Not on Clients",IF(NOT(ISNUMBER(D120)),"Needs the sessions",IF(AND(E120&lt;&gt;"",NOT(ISNUMBER(E120))),"Price not a number",IF(AND(ISNUMBER(E120),N(F120)&gt;E120),"Paid more than the price","")))))))</f>
        <v/>
      </c>
      <c r="L120" s="1">
        <f>IF(ISNUMBER(B120),YEAR(B120)*100+MONTH(B120),"")</f>
        <v/>
      </c>
      <c r="M120">
        <f>IF(AND(K120="",C120&lt;&gt;""),1,0)</f>
        <v/>
      </c>
      <c r="N120">
        <f>IF(AND(M120=1,ISNUMBER(G120)),INT(G120),0)</f>
        <v/>
      </c>
    </row>
    <row r="121">
      <c r="A121" s="1" t="n"/>
      <c r="B121" s="17" t="n"/>
      <c r="C121" s="19" t="n"/>
      <c r="D121" s="25" t="n"/>
      <c r="E121" s="26" t="n"/>
      <c r="F121" s="26" t="n"/>
      <c r="G121" s="17" t="n"/>
      <c r="H121" s="21" t="n"/>
      <c r="I121" s="16">
        <f>IF(OR(N(D121)&lt;=0,NOT(ISNUMBER(E121))),"",E121/D121)</f>
        <v/>
      </c>
      <c r="J121" s="16">
        <f>IF(OR(C121="",NOT(ISNUMBER(E121))),"",MAX(0,E121-N(F121)))</f>
        <v/>
      </c>
      <c r="K121" s="12">
        <f>IF(AND(C121="",D121="",E121=""),"",IF(NOT(ISNUMBER(B121)),"Needs a date",IF(C121="","Needs a client",IF(COUNTIF(Clients!$B$6:$B$105,C121)=0,"Not on Clients",IF(NOT(ISNUMBER(D121)),"Needs the sessions",IF(AND(E121&lt;&gt;"",NOT(ISNUMBER(E121))),"Price not a number",IF(AND(ISNUMBER(E121),N(F121)&gt;E121),"Paid more than the price","")))))))</f>
        <v/>
      </c>
      <c r="L121" s="1">
        <f>IF(ISNUMBER(B121),YEAR(B121)*100+MONTH(B121),"")</f>
        <v/>
      </c>
      <c r="M121">
        <f>IF(AND(K121="",C121&lt;&gt;""),1,0)</f>
        <v/>
      </c>
      <c r="N121">
        <f>IF(AND(M121=1,ISNUMBER(G121)),INT(G121),0)</f>
        <v/>
      </c>
    </row>
    <row r="122">
      <c r="A122" s="1" t="n"/>
      <c r="B122" s="17" t="n"/>
      <c r="C122" s="19" t="n"/>
      <c r="D122" s="25" t="n"/>
      <c r="E122" s="26" t="n"/>
      <c r="F122" s="26" t="n"/>
      <c r="G122" s="17" t="n"/>
      <c r="H122" s="21" t="n"/>
      <c r="I122" s="16">
        <f>IF(OR(N(D122)&lt;=0,NOT(ISNUMBER(E122))),"",E122/D122)</f>
        <v/>
      </c>
      <c r="J122" s="16">
        <f>IF(OR(C122="",NOT(ISNUMBER(E122))),"",MAX(0,E122-N(F122)))</f>
        <v/>
      </c>
      <c r="K122" s="12">
        <f>IF(AND(C122="",D122="",E122=""),"",IF(NOT(ISNUMBER(B122)),"Needs a date",IF(C122="","Needs a client",IF(COUNTIF(Clients!$B$6:$B$105,C122)=0,"Not on Clients",IF(NOT(ISNUMBER(D122)),"Needs the sessions",IF(AND(E122&lt;&gt;"",NOT(ISNUMBER(E122))),"Price not a number",IF(AND(ISNUMBER(E122),N(F122)&gt;E122),"Paid more than the price","")))))))</f>
        <v/>
      </c>
      <c r="L122" s="1">
        <f>IF(ISNUMBER(B122),YEAR(B122)*100+MONTH(B122),"")</f>
        <v/>
      </c>
      <c r="M122">
        <f>IF(AND(K122="",C122&lt;&gt;""),1,0)</f>
        <v/>
      </c>
      <c r="N122">
        <f>IF(AND(M122=1,ISNUMBER(G122)),INT(G122),0)</f>
        <v/>
      </c>
    </row>
    <row r="123">
      <c r="A123" s="1" t="n"/>
      <c r="B123" s="17" t="n"/>
      <c r="C123" s="19" t="n"/>
      <c r="D123" s="25" t="n"/>
      <c r="E123" s="26" t="n"/>
      <c r="F123" s="26" t="n"/>
      <c r="G123" s="17" t="n"/>
      <c r="H123" s="21" t="n"/>
      <c r="I123" s="16">
        <f>IF(OR(N(D123)&lt;=0,NOT(ISNUMBER(E123))),"",E123/D123)</f>
        <v/>
      </c>
      <c r="J123" s="16">
        <f>IF(OR(C123="",NOT(ISNUMBER(E123))),"",MAX(0,E123-N(F123)))</f>
        <v/>
      </c>
      <c r="K123" s="12">
        <f>IF(AND(C123="",D123="",E123=""),"",IF(NOT(ISNUMBER(B123)),"Needs a date",IF(C123="","Needs a client",IF(COUNTIF(Clients!$B$6:$B$105,C123)=0,"Not on Clients",IF(NOT(ISNUMBER(D123)),"Needs the sessions",IF(AND(E123&lt;&gt;"",NOT(ISNUMBER(E123))),"Price not a number",IF(AND(ISNUMBER(E123),N(F123)&gt;E123),"Paid more than the price","")))))))</f>
        <v/>
      </c>
      <c r="L123" s="1">
        <f>IF(ISNUMBER(B123),YEAR(B123)*100+MONTH(B123),"")</f>
        <v/>
      </c>
      <c r="M123">
        <f>IF(AND(K123="",C123&lt;&gt;""),1,0)</f>
        <v/>
      </c>
      <c r="N123">
        <f>IF(AND(M123=1,ISNUMBER(G123)),INT(G123),0)</f>
        <v/>
      </c>
    </row>
    <row r="124">
      <c r="A124" s="1" t="n"/>
      <c r="B124" s="17" t="n"/>
      <c r="C124" s="19" t="n"/>
      <c r="D124" s="25" t="n"/>
      <c r="E124" s="26" t="n"/>
      <c r="F124" s="26" t="n"/>
      <c r="G124" s="17" t="n"/>
      <c r="H124" s="21" t="n"/>
      <c r="I124" s="16">
        <f>IF(OR(N(D124)&lt;=0,NOT(ISNUMBER(E124))),"",E124/D124)</f>
        <v/>
      </c>
      <c r="J124" s="16">
        <f>IF(OR(C124="",NOT(ISNUMBER(E124))),"",MAX(0,E124-N(F124)))</f>
        <v/>
      </c>
      <c r="K124" s="12">
        <f>IF(AND(C124="",D124="",E124=""),"",IF(NOT(ISNUMBER(B124)),"Needs a date",IF(C124="","Needs a client",IF(COUNTIF(Clients!$B$6:$B$105,C124)=0,"Not on Clients",IF(NOT(ISNUMBER(D124)),"Needs the sessions",IF(AND(E124&lt;&gt;"",NOT(ISNUMBER(E124))),"Price not a number",IF(AND(ISNUMBER(E124),N(F124)&gt;E124),"Paid more than the price","")))))))</f>
        <v/>
      </c>
      <c r="L124" s="1">
        <f>IF(ISNUMBER(B124),YEAR(B124)*100+MONTH(B124),"")</f>
        <v/>
      </c>
      <c r="M124">
        <f>IF(AND(K124="",C124&lt;&gt;""),1,0)</f>
        <v/>
      </c>
      <c r="N124">
        <f>IF(AND(M124=1,ISNUMBER(G124)),INT(G124),0)</f>
        <v/>
      </c>
    </row>
    <row r="125">
      <c r="A125" s="1" t="n"/>
      <c r="B125" s="17" t="n"/>
      <c r="C125" s="19" t="n"/>
      <c r="D125" s="25" t="n"/>
      <c r="E125" s="26" t="n"/>
      <c r="F125" s="26" t="n"/>
      <c r="G125" s="17" t="n"/>
      <c r="H125" s="21" t="n"/>
      <c r="I125" s="16">
        <f>IF(OR(N(D125)&lt;=0,NOT(ISNUMBER(E125))),"",E125/D125)</f>
        <v/>
      </c>
      <c r="J125" s="16">
        <f>IF(OR(C125="",NOT(ISNUMBER(E125))),"",MAX(0,E125-N(F125)))</f>
        <v/>
      </c>
      <c r="K125" s="12">
        <f>IF(AND(C125="",D125="",E125=""),"",IF(NOT(ISNUMBER(B125)),"Needs a date",IF(C125="","Needs a client",IF(COUNTIF(Clients!$B$6:$B$105,C125)=0,"Not on Clients",IF(NOT(ISNUMBER(D125)),"Needs the sessions",IF(AND(E125&lt;&gt;"",NOT(ISNUMBER(E125))),"Price not a number",IF(AND(ISNUMBER(E125),N(F125)&gt;E125),"Paid more than the price","")))))))</f>
        <v/>
      </c>
      <c r="L125" s="1">
        <f>IF(ISNUMBER(B125),YEAR(B125)*100+MONTH(B125),"")</f>
        <v/>
      </c>
      <c r="M125">
        <f>IF(AND(K125="",C125&lt;&gt;""),1,0)</f>
        <v/>
      </c>
      <c r="N125">
        <f>IF(AND(M125=1,ISNUMBER(G125)),INT(G125),0)</f>
        <v/>
      </c>
    </row>
    <row r="126">
      <c r="A126" s="1" t="n"/>
      <c r="B126" s="17" t="n"/>
      <c r="C126" s="19" t="n"/>
      <c r="D126" s="25" t="n"/>
      <c r="E126" s="26" t="n"/>
      <c r="F126" s="26" t="n"/>
      <c r="G126" s="17" t="n"/>
      <c r="H126" s="21" t="n"/>
      <c r="I126" s="16">
        <f>IF(OR(N(D126)&lt;=0,NOT(ISNUMBER(E126))),"",E126/D126)</f>
        <v/>
      </c>
      <c r="J126" s="16">
        <f>IF(OR(C126="",NOT(ISNUMBER(E126))),"",MAX(0,E126-N(F126)))</f>
        <v/>
      </c>
      <c r="K126" s="12">
        <f>IF(AND(C126="",D126="",E126=""),"",IF(NOT(ISNUMBER(B126)),"Needs a date",IF(C126="","Needs a client",IF(COUNTIF(Clients!$B$6:$B$105,C126)=0,"Not on Clients",IF(NOT(ISNUMBER(D126)),"Needs the sessions",IF(AND(E126&lt;&gt;"",NOT(ISNUMBER(E126))),"Price not a number",IF(AND(ISNUMBER(E126),N(F126)&gt;E126),"Paid more than the price","")))))))</f>
        <v/>
      </c>
      <c r="L126" s="1">
        <f>IF(ISNUMBER(B126),YEAR(B126)*100+MONTH(B126),"")</f>
        <v/>
      </c>
      <c r="M126">
        <f>IF(AND(K126="",C126&lt;&gt;""),1,0)</f>
        <v/>
      </c>
      <c r="N126">
        <f>IF(AND(M126=1,ISNUMBER(G126)),INT(G126),0)</f>
        <v/>
      </c>
    </row>
    <row r="127">
      <c r="A127" s="1" t="n"/>
      <c r="B127" s="17" t="n"/>
      <c r="C127" s="19" t="n"/>
      <c r="D127" s="25" t="n"/>
      <c r="E127" s="26" t="n"/>
      <c r="F127" s="26" t="n"/>
      <c r="G127" s="17" t="n"/>
      <c r="H127" s="21" t="n"/>
      <c r="I127" s="16">
        <f>IF(OR(N(D127)&lt;=0,NOT(ISNUMBER(E127))),"",E127/D127)</f>
        <v/>
      </c>
      <c r="J127" s="16">
        <f>IF(OR(C127="",NOT(ISNUMBER(E127))),"",MAX(0,E127-N(F127)))</f>
        <v/>
      </c>
      <c r="K127" s="12">
        <f>IF(AND(C127="",D127="",E127=""),"",IF(NOT(ISNUMBER(B127)),"Needs a date",IF(C127="","Needs a client",IF(COUNTIF(Clients!$B$6:$B$105,C127)=0,"Not on Clients",IF(NOT(ISNUMBER(D127)),"Needs the sessions",IF(AND(E127&lt;&gt;"",NOT(ISNUMBER(E127))),"Price not a number",IF(AND(ISNUMBER(E127),N(F127)&gt;E127),"Paid more than the price","")))))))</f>
        <v/>
      </c>
      <c r="L127" s="1">
        <f>IF(ISNUMBER(B127),YEAR(B127)*100+MONTH(B127),"")</f>
        <v/>
      </c>
      <c r="M127">
        <f>IF(AND(K127="",C127&lt;&gt;""),1,0)</f>
        <v/>
      </c>
      <c r="N127">
        <f>IF(AND(M127=1,ISNUMBER(G127)),INT(G127),0)</f>
        <v/>
      </c>
    </row>
    <row r="128">
      <c r="A128" s="1" t="n"/>
      <c r="B128" s="17" t="n"/>
      <c r="C128" s="19" t="n"/>
      <c r="D128" s="25" t="n"/>
      <c r="E128" s="26" t="n"/>
      <c r="F128" s="26" t="n"/>
      <c r="G128" s="17" t="n"/>
      <c r="H128" s="21" t="n"/>
      <c r="I128" s="16">
        <f>IF(OR(N(D128)&lt;=0,NOT(ISNUMBER(E128))),"",E128/D128)</f>
        <v/>
      </c>
      <c r="J128" s="16">
        <f>IF(OR(C128="",NOT(ISNUMBER(E128))),"",MAX(0,E128-N(F128)))</f>
        <v/>
      </c>
      <c r="K128" s="12">
        <f>IF(AND(C128="",D128="",E128=""),"",IF(NOT(ISNUMBER(B128)),"Needs a date",IF(C128="","Needs a client",IF(COUNTIF(Clients!$B$6:$B$105,C128)=0,"Not on Clients",IF(NOT(ISNUMBER(D128)),"Needs the sessions",IF(AND(E128&lt;&gt;"",NOT(ISNUMBER(E128))),"Price not a number",IF(AND(ISNUMBER(E128),N(F128)&gt;E128),"Paid more than the price","")))))))</f>
        <v/>
      </c>
      <c r="L128" s="1">
        <f>IF(ISNUMBER(B128),YEAR(B128)*100+MONTH(B128),"")</f>
        <v/>
      </c>
      <c r="M128">
        <f>IF(AND(K128="",C128&lt;&gt;""),1,0)</f>
        <v/>
      </c>
      <c r="N128">
        <f>IF(AND(M128=1,ISNUMBER(G128)),INT(G128),0)</f>
        <v/>
      </c>
    </row>
    <row r="129">
      <c r="A129" s="1" t="n"/>
      <c r="B129" s="17" t="n"/>
      <c r="C129" s="19" t="n"/>
      <c r="D129" s="25" t="n"/>
      <c r="E129" s="26" t="n"/>
      <c r="F129" s="26" t="n"/>
      <c r="G129" s="17" t="n"/>
      <c r="H129" s="21" t="n"/>
      <c r="I129" s="16">
        <f>IF(OR(N(D129)&lt;=0,NOT(ISNUMBER(E129))),"",E129/D129)</f>
        <v/>
      </c>
      <c r="J129" s="16">
        <f>IF(OR(C129="",NOT(ISNUMBER(E129))),"",MAX(0,E129-N(F129)))</f>
        <v/>
      </c>
      <c r="K129" s="12">
        <f>IF(AND(C129="",D129="",E129=""),"",IF(NOT(ISNUMBER(B129)),"Needs a date",IF(C129="","Needs a client",IF(COUNTIF(Clients!$B$6:$B$105,C129)=0,"Not on Clients",IF(NOT(ISNUMBER(D129)),"Needs the sessions",IF(AND(E129&lt;&gt;"",NOT(ISNUMBER(E129))),"Price not a number",IF(AND(ISNUMBER(E129),N(F129)&gt;E129),"Paid more than the price","")))))))</f>
        <v/>
      </c>
      <c r="L129" s="1">
        <f>IF(ISNUMBER(B129),YEAR(B129)*100+MONTH(B129),"")</f>
        <v/>
      </c>
      <c r="M129">
        <f>IF(AND(K129="",C129&lt;&gt;""),1,0)</f>
        <v/>
      </c>
      <c r="N129">
        <f>IF(AND(M129=1,ISNUMBER(G129)),INT(G129),0)</f>
        <v/>
      </c>
    </row>
    <row r="130">
      <c r="A130" s="1" t="n"/>
      <c r="B130" s="17" t="n"/>
      <c r="C130" s="19" t="n"/>
      <c r="D130" s="25" t="n"/>
      <c r="E130" s="26" t="n"/>
      <c r="F130" s="26" t="n"/>
      <c r="G130" s="17" t="n"/>
      <c r="H130" s="21" t="n"/>
      <c r="I130" s="16">
        <f>IF(OR(N(D130)&lt;=0,NOT(ISNUMBER(E130))),"",E130/D130)</f>
        <v/>
      </c>
      <c r="J130" s="16">
        <f>IF(OR(C130="",NOT(ISNUMBER(E130))),"",MAX(0,E130-N(F130)))</f>
        <v/>
      </c>
      <c r="K130" s="12">
        <f>IF(AND(C130="",D130="",E130=""),"",IF(NOT(ISNUMBER(B130)),"Needs a date",IF(C130="","Needs a client",IF(COUNTIF(Clients!$B$6:$B$105,C130)=0,"Not on Clients",IF(NOT(ISNUMBER(D130)),"Needs the sessions",IF(AND(E130&lt;&gt;"",NOT(ISNUMBER(E130))),"Price not a number",IF(AND(ISNUMBER(E130),N(F130)&gt;E130),"Paid more than the price","")))))))</f>
        <v/>
      </c>
      <c r="L130" s="1">
        <f>IF(ISNUMBER(B130),YEAR(B130)*100+MONTH(B130),"")</f>
        <v/>
      </c>
      <c r="M130">
        <f>IF(AND(K130="",C130&lt;&gt;""),1,0)</f>
        <v/>
      </c>
      <c r="N130">
        <f>IF(AND(M130=1,ISNUMBER(G130)),INT(G130),0)</f>
        <v/>
      </c>
    </row>
    <row r="131">
      <c r="A131" s="1" t="n"/>
      <c r="B131" s="17" t="n"/>
      <c r="C131" s="19" t="n"/>
      <c r="D131" s="25" t="n"/>
      <c r="E131" s="26" t="n"/>
      <c r="F131" s="26" t="n"/>
      <c r="G131" s="17" t="n"/>
      <c r="H131" s="21" t="n"/>
      <c r="I131" s="16">
        <f>IF(OR(N(D131)&lt;=0,NOT(ISNUMBER(E131))),"",E131/D131)</f>
        <v/>
      </c>
      <c r="J131" s="16">
        <f>IF(OR(C131="",NOT(ISNUMBER(E131))),"",MAX(0,E131-N(F131)))</f>
        <v/>
      </c>
      <c r="K131" s="12">
        <f>IF(AND(C131="",D131="",E131=""),"",IF(NOT(ISNUMBER(B131)),"Needs a date",IF(C131="","Needs a client",IF(COUNTIF(Clients!$B$6:$B$105,C131)=0,"Not on Clients",IF(NOT(ISNUMBER(D131)),"Needs the sessions",IF(AND(E131&lt;&gt;"",NOT(ISNUMBER(E131))),"Price not a number",IF(AND(ISNUMBER(E131),N(F131)&gt;E131),"Paid more than the price","")))))))</f>
        <v/>
      </c>
      <c r="L131" s="1">
        <f>IF(ISNUMBER(B131),YEAR(B131)*100+MONTH(B131),"")</f>
        <v/>
      </c>
      <c r="M131">
        <f>IF(AND(K131="",C131&lt;&gt;""),1,0)</f>
        <v/>
      </c>
      <c r="N131">
        <f>IF(AND(M131=1,ISNUMBER(G131)),INT(G131),0)</f>
        <v/>
      </c>
    </row>
    <row r="132">
      <c r="A132" s="1" t="n"/>
      <c r="B132" s="17" t="n"/>
      <c r="C132" s="19" t="n"/>
      <c r="D132" s="25" t="n"/>
      <c r="E132" s="26" t="n"/>
      <c r="F132" s="26" t="n"/>
      <c r="G132" s="17" t="n"/>
      <c r="H132" s="21" t="n"/>
      <c r="I132" s="16">
        <f>IF(OR(N(D132)&lt;=0,NOT(ISNUMBER(E132))),"",E132/D132)</f>
        <v/>
      </c>
      <c r="J132" s="16">
        <f>IF(OR(C132="",NOT(ISNUMBER(E132))),"",MAX(0,E132-N(F132)))</f>
        <v/>
      </c>
      <c r="K132" s="12">
        <f>IF(AND(C132="",D132="",E132=""),"",IF(NOT(ISNUMBER(B132)),"Needs a date",IF(C132="","Needs a client",IF(COUNTIF(Clients!$B$6:$B$105,C132)=0,"Not on Clients",IF(NOT(ISNUMBER(D132)),"Needs the sessions",IF(AND(E132&lt;&gt;"",NOT(ISNUMBER(E132))),"Price not a number",IF(AND(ISNUMBER(E132),N(F132)&gt;E132),"Paid more than the price","")))))))</f>
        <v/>
      </c>
      <c r="L132" s="1">
        <f>IF(ISNUMBER(B132),YEAR(B132)*100+MONTH(B132),"")</f>
        <v/>
      </c>
      <c r="M132">
        <f>IF(AND(K132="",C132&lt;&gt;""),1,0)</f>
        <v/>
      </c>
      <c r="N132">
        <f>IF(AND(M132=1,ISNUMBER(G132)),INT(G132),0)</f>
        <v/>
      </c>
    </row>
    <row r="133">
      <c r="A133" s="1" t="n"/>
      <c r="B133" s="17" t="n"/>
      <c r="C133" s="19" t="n"/>
      <c r="D133" s="25" t="n"/>
      <c r="E133" s="26" t="n"/>
      <c r="F133" s="26" t="n"/>
      <c r="G133" s="17" t="n"/>
      <c r="H133" s="21" t="n"/>
      <c r="I133" s="16">
        <f>IF(OR(N(D133)&lt;=0,NOT(ISNUMBER(E133))),"",E133/D133)</f>
        <v/>
      </c>
      <c r="J133" s="16">
        <f>IF(OR(C133="",NOT(ISNUMBER(E133))),"",MAX(0,E133-N(F133)))</f>
        <v/>
      </c>
      <c r="K133" s="12">
        <f>IF(AND(C133="",D133="",E133=""),"",IF(NOT(ISNUMBER(B133)),"Needs a date",IF(C133="","Needs a client",IF(COUNTIF(Clients!$B$6:$B$105,C133)=0,"Not on Clients",IF(NOT(ISNUMBER(D133)),"Needs the sessions",IF(AND(E133&lt;&gt;"",NOT(ISNUMBER(E133))),"Price not a number",IF(AND(ISNUMBER(E133),N(F133)&gt;E133),"Paid more than the price","")))))))</f>
        <v/>
      </c>
      <c r="L133" s="1">
        <f>IF(ISNUMBER(B133),YEAR(B133)*100+MONTH(B133),"")</f>
        <v/>
      </c>
      <c r="M133">
        <f>IF(AND(K133="",C133&lt;&gt;""),1,0)</f>
        <v/>
      </c>
      <c r="N133">
        <f>IF(AND(M133=1,ISNUMBER(G133)),INT(G133),0)</f>
        <v/>
      </c>
    </row>
    <row r="134">
      <c r="A134" s="1" t="n"/>
      <c r="B134" s="17" t="n"/>
      <c r="C134" s="19" t="n"/>
      <c r="D134" s="25" t="n"/>
      <c r="E134" s="26" t="n"/>
      <c r="F134" s="26" t="n"/>
      <c r="G134" s="17" t="n"/>
      <c r="H134" s="21" t="n"/>
      <c r="I134" s="16">
        <f>IF(OR(N(D134)&lt;=0,NOT(ISNUMBER(E134))),"",E134/D134)</f>
        <v/>
      </c>
      <c r="J134" s="16">
        <f>IF(OR(C134="",NOT(ISNUMBER(E134))),"",MAX(0,E134-N(F134)))</f>
        <v/>
      </c>
      <c r="K134" s="12">
        <f>IF(AND(C134="",D134="",E134=""),"",IF(NOT(ISNUMBER(B134)),"Needs a date",IF(C134="","Needs a client",IF(COUNTIF(Clients!$B$6:$B$105,C134)=0,"Not on Clients",IF(NOT(ISNUMBER(D134)),"Needs the sessions",IF(AND(E134&lt;&gt;"",NOT(ISNUMBER(E134))),"Price not a number",IF(AND(ISNUMBER(E134),N(F134)&gt;E134),"Paid more than the price","")))))))</f>
        <v/>
      </c>
      <c r="L134" s="1">
        <f>IF(ISNUMBER(B134),YEAR(B134)*100+MONTH(B134),"")</f>
        <v/>
      </c>
      <c r="M134">
        <f>IF(AND(K134="",C134&lt;&gt;""),1,0)</f>
        <v/>
      </c>
      <c r="N134">
        <f>IF(AND(M134=1,ISNUMBER(G134)),INT(G134),0)</f>
        <v/>
      </c>
    </row>
    <row r="135">
      <c r="A135" s="1" t="n"/>
      <c r="B135" s="17" t="n"/>
      <c r="C135" s="19" t="n"/>
      <c r="D135" s="25" t="n"/>
      <c r="E135" s="26" t="n"/>
      <c r="F135" s="26" t="n"/>
      <c r="G135" s="17" t="n"/>
      <c r="H135" s="21" t="n"/>
      <c r="I135" s="16">
        <f>IF(OR(N(D135)&lt;=0,NOT(ISNUMBER(E135))),"",E135/D135)</f>
        <v/>
      </c>
      <c r="J135" s="16">
        <f>IF(OR(C135="",NOT(ISNUMBER(E135))),"",MAX(0,E135-N(F135)))</f>
        <v/>
      </c>
      <c r="K135" s="12">
        <f>IF(AND(C135="",D135="",E135=""),"",IF(NOT(ISNUMBER(B135)),"Needs a date",IF(C135="","Needs a client",IF(COUNTIF(Clients!$B$6:$B$105,C135)=0,"Not on Clients",IF(NOT(ISNUMBER(D135)),"Needs the sessions",IF(AND(E135&lt;&gt;"",NOT(ISNUMBER(E135))),"Price not a number",IF(AND(ISNUMBER(E135),N(F135)&gt;E135),"Paid more than the price","")))))))</f>
        <v/>
      </c>
      <c r="L135" s="1">
        <f>IF(ISNUMBER(B135),YEAR(B135)*100+MONTH(B135),"")</f>
        <v/>
      </c>
      <c r="M135">
        <f>IF(AND(K135="",C135&lt;&gt;""),1,0)</f>
        <v/>
      </c>
      <c r="N135">
        <f>IF(AND(M135=1,ISNUMBER(G135)),INT(G135),0)</f>
        <v/>
      </c>
    </row>
    <row r="136">
      <c r="A136" s="1" t="n"/>
      <c r="B136" s="17" t="n"/>
      <c r="C136" s="19" t="n"/>
      <c r="D136" s="25" t="n"/>
      <c r="E136" s="26" t="n"/>
      <c r="F136" s="26" t="n"/>
      <c r="G136" s="17" t="n"/>
      <c r="H136" s="21" t="n"/>
      <c r="I136" s="16">
        <f>IF(OR(N(D136)&lt;=0,NOT(ISNUMBER(E136))),"",E136/D136)</f>
        <v/>
      </c>
      <c r="J136" s="16">
        <f>IF(OR(C136="",NOT(ISNUMBER(E136))),"",MAX(0,E136-N(F136)))</f>
        <v/>
      </c>
      <c r="K136" s="12">
        <f>IF(AND(C136="",D136="",E136=""),"",IF(NOT(ISNUMBER(B136)),"Needs a date",IF(C136="","Needs a client",IF(COUNTIF(Clients!$B$6:$B$105,C136)=0,"Not on Clients",IF(NOT(ISNUMBER(D136)),"Needs the sessions",IF(AND(E136&lt;&gt;"",NOT(ISNUMBER(E136))),"Price not a number",IF(AND(ISNUMBER(E136),N(F136)&gt;E136),"Paid more than the price","")))))))</f>
        <v/>
      </c>
      <c r="L136" s="1">
        <f>IF(ISNUMBER(B136),YEAR(B136)*100+MONTH(B136),"")</f>
        <v/>
      </c>
      <c r="M136">
        <f>IF(AND(K136="",C136&lt;&gt;""),1,0)</f>
        <v/>
      </c>
      <c r="N136">
        <f>IF(AND(M136=1,ISNUMBER(G136)),INT(G136),0)</f>
        <v/>
      </c>
    </row>
    <row r="137">
      <c r="A137" s="1" t="n"/>
      <c r="B137" s="17" t="n"/>
      <c r="C137" s="19" t="n"/>
      <c r="D137" s="25" t="n"/>
      <c r="E137" s="26" t="n"/>
      <c r="F137" s="26" t="n"/>
      <c r="G137" s="17" t="n"/>
      <c r="H137" s="21" t="n"/>
      <c r="I137" s="16">
        <f>IF(OR(N(D137)&lt;=0,NOT(ISNUMBER(E137))),"",E137/D137)</f>
        <v/>
      </c>
      <c r="J137" s="16">
        <f>IF(OR(C137="",NOT(ISNUMBER(E137))),"",MAX(0,E137-N(F137)))</f>
        <v/>
      </c>
      <c r="K137" s="12">
        <f>IF(AND(C137="",D137="",E137=""),"",IF(NOT(ISNUMBER(B137)),"Needs a date",IF(C137="","Needs a client",IF(COUNTIF(Clients!$B$6:$B$105,C137)=0,"Not on Clients",IF(NOT(ISNUMBER(D137)),"Needs the sessions",IF(AND(E137&lt;&gt;"",NOT(ISNUMBER(E137))),"Price not a number",IF(AND(ISNUMBER(E137),N(F137)&gt;E137),"Paid more than the price","")))))))</f>
        <v/>
      </c>
      <c r="L137" s="1">
        <f>IF(ISNUMBER(B137),YEAR(B137)*100+MONTH(B137),"")</f>
        <v/>
      </c>
      <c r="M137">
        <f>IF(AND(K137="",C137&lt;&gt;""),1,0)</f>
        <v/>
      </c>
      <c r="N137">
        <f>IF(AND(M137=1,ISNUMBER(G137)),INT(G137),0)</f>
        <v/>
      </c>
    </row>
    <row r="138">
      <c r="A138" s="1" t="n"/>
      <c r="B138" s="17" t="n"/>
      <c r="C138" s="19" t="n"/>
      <c r="D138" s="25" t="n"/>
      <c r="E138" s="26" t="n"/>
      <c r="F138" s="26" t="n"/>
      <c r="G138" s="17" t="n"/>
      <c r="H138" s="21" t="n"/>
      <c r="I138" s="16">
        <f>IF(OR(N(D138)&lt;=0,NOT(ISNUMBER(E138))),"",E138/D138)</f>
        <v/>
      </c>
      <c r="J138" s="16">
        <f>IF(OR(C138="",NOT(ISNUMBER(E138))),"",MAX(0,E138-N(F138)))</f>
        <v/>
      </c>
      <c r="K138" s="12">
        <f>IF(AND(C138="",D138="",E138=""),"",IF(NOT(ISNUMBER(B138)),"Needs a date",IF(C138="","Needs a client",IF(COUNTIF(Clients!$B$6:$B$105,C138)=0,"Not on Clients",IF(NOT(ISNUMBER(D138)),"Needs the sessions",IF(AND(E138&lt;&gt;"",NOT(ISNUMBER(E138))),"Price not a number",IF(AND(ISNUMBER(E138),N(F138)&gt;E138),"Paid more than the price","")))))))</f>
        <v/>
      </c>
      <c r="L138" s="1">
        <f>IF(ISNUMBER(B138),YEAR(B138)*100+MONTH(B138),"")</f>
        <v/>
      </c>
      <c r="M138">
        <f>IF(AND(K138="",C138&lt;&gt;""),1,0)</f>
        <v/>
      </c>
      <c r="N138">
        <f>IF(AND(M138=1,ISNUMBER(G138)),INT(G138),0)</f>
        <v/>
      </c>
    </row>
    <row r="139">
      <c r="A139" s="1" t="n"/>
      <c r="B139" s="17" t="n"/>
      <c r="C139" s="19" t="n"/>
      <c r="D139" s="25" t="n"/>
      <c r="E139" s="26" t="n"/>
      <c r="F139" s="26" t="n"/>
      <c r="G139" s="17" t="n"/>
      <c r="H139" s="21" t="n"/>
      <c r="I139" s="16">
        <f>IF(OR(N(D139)&lt;=0,NOT(ISNUMBER(E139))),"",E139/D139)</f>
        <v/>
      </c>
      <c r="J139" s="16">
        <f>IF(OR(C139="",NOT(ISNUMBER(E139))),"",MAX(0,E139-N(F139)))</f>
        <v/>
      </c>
      <c r="K139" s="12">
        <f>IF(AND(C139="",D139="",E139=""),"",IF(NOT(ISNUMBER(B139)),"Needs a date",IF(C139="","Needs a client",IF(COUNTIF(Clients!$B$6:$B$105,C139)=0,"Not on Clients",IF(NOT(ISNUMBER(D139)),"Needs the sessions",IF(AND(E139&lt;&gt;"",NOT(ISNUMBER(E139))),"Price not a number",IF(AND(ISNUMBER(E139),N(F139)&gt;E139),"Paid more than the price","")))))))</f>
        <v/>
      </c>
      <c r="L139" s="1">
        <f>IF(ISNUMBER(B139),YEAR(B139)*100+MONTH(B139),"")</f>
        <v/>
      </c>
      <c r="M139">
        <f>IF(AND(K139="",C139&lt;&gt;""),1,0)</f>
        <v/>
      </c>
      <c r="N139">
        <f>IF(AND(M139=1,ISNUMBER(G139)),INT(G139),0)</f>
        <v/>
      </c>
    </row>
    <row r="140">
      <c r="A140" s="1" t="n"/>
      <c r="B140" s="17" t="n"/>
      <c r="C140" s="19" t="n"/>
      <c r="D140" s="25" t="n"/>
      <c r="E140" s="26" t="n"/>
      <c r="F140" s="26" t="n"/>
      <c r="G140" s="17" t="n"/>
      <c r="H140" s="21" t="n"/>
      <c r="I140" s="16">
        <f>IF(OR(N(D140)&lt;=0,NOT(ISNUMBER(E140))),"",E140/D140)</f>
        <v/>
      </c>
      <c r="J140" s="16">
        <f>IF(OR(C140="",NOT(ISNUMBER(E140))),"",MAX(0,E140-N(F140)))</f>
        <v/>
      </c>
      <c r="K140" s="12">
        <f>IF(AND(C140="",D140="",E140=""),"",IF(NOT(ISNUMBER(B140)),"Needs a date",IF(C140="","Needs a client",IF(COUNTIF(Clients!$B$6:$B$105,C140)=0,"Not on Clients",IF(NOT(ISNUMBER(D140)),"Needs the sessions",IF(AND(E140&lt;&gt;"",NOT(ISNUMBER(E140))),"Price not a number",IF(AND(ISNUMBER(E140),N(F140)&gt;E140),"Paid more than the price","")))))))</f>
        <v/>
      </c>
      <c r="L140" s="1">
        <f>IF(ISNUMBER(B140),YEAR(B140)*100+MONTH(B140),"")</f>
        <v/>
      </c>
      <c r="M140">
        <f>IF(AND(K140="",C140&lt;&gt;""),1,0)</f>
        <v/>
      </c>
      <c r="N140">
        <f>IF(AND(M140=1,ISNUMBER(G140)),INT(G140),0)</f>
        <v/>
      </c>
    </row>
    <row r="141">
      <c r="A141" s="1" t="n"/>
      <c r="B141" s="17" t="n"/>
      <c r="C141" s="19" t="n"/>
      <c r="D141" s="25" t="n"/>
      <c r="E141" s="26" t="n"/>
      <c r="F141" s="26" t="n"/>
      <c r="G141" s="17" t="n"/>
      <c r="H141" s="21" t="n"/>
      <c r="I141" s="16">
        <f>IF(OR(N(D141)&lt;=0,NOT(ISNUMBER(E141))),"",E141/D141)</f>
        <v/>
      </c>
      <c r="J141" s="16">
        <f>IF(OR(C141="",NOT(ISNUMBER(E141))),"",MAX(0,E141-N(F141)))</f>
        <v/>
      </c>
      <c r="K141" s="12">
        <f>IF(AND(C141="",D141="",E141=""),"",IF(NOT(ISNUMBER(B141)),"Needs a date",IF(C141="","Needs a client",IF(COUNTIF(Clients!$B$6:$B$105,C141)=0,"Not on Clients",IF(NOT(ISNUMBER(D141)),"Needs the sessions",IF(AND(E141&lt;&gt;"",NOT(ISNUMBER(E141))),"Price not a number",IF(AND(ISNUMBER(E141),N(F141)&gt;E141),"Paid more than the price","")))))))</f>
        <v/>
      </c>
      <c r="L141" s="1">
        <f>IF(ISNUMBER(B141),YEAR(B141)*100+MONTH(B141),"")</f>
        <v/>
      </c>
      <c r="M141">
        <f>IF(AND(K141="",C141&lt;&gt;""),1,0)</f>
        <v/>
      </c>
      <c r="N141">
        <f>IF(AND(M141=1,ISNUMBER(G141)),INT(G141),0)</f>
        <v/>
      </c>
    </row>
    <row r="142">
      <c r="A142" s="1" t="n"/>
      <c r="B142" s="17" t="n"/>
      <c r="C142" s="19" t="n"/>
      <c r="D142" s="25" t="n"/>
      <c r="E142" s="26" t="n"/>
      <c r="F142" s="26" t="n"/>
      <c r="G142" s="17" t="n"/>
      <c r="H142" s="21" t="n"/>
      <c r="I142" s="16">
        <f>IF(OR(N(D142)&lt;=0,NOT(ISNUMBER(E142))),"",E142/D142)</f>
        <v/>
      </c>
      <c r="J142" s="16">
        <f>IF(OR(C142="",NOT(ISNUMBER(E142))),"",MAX(0,E142-N(F142)))</f>
        <v/>
      </c>
      <c r="K142" s="12">
        <f>IF(AND(C142="",D142="",E142=""),"",IF(NOT(ISNUMBER(B142)),"Needs a date",IF(C142="","Needs a client",IF(COUNTIF(Clients!$B$6:$B$105,C142)=0,"Not on Clients",IF(NOT(ISNUMBER(D142)),"Needs the sessions",IF(AND(E142&lt;&gt;"",NOT(ISNUMBER(E142))),"Price not a number",IF(AND(ISNUMBER(E142),N(F142)&gt;E142),"Paid more than the price","")))))))</f>
        <v/>
      </c>
      <c r="L142" s="1">
        <f>IF(ISNUMBER(B142),YEAR(B142)*100+MONTH(B142),"")</f>
        <v/>
      </c>
      <c r="M142">
        <f>IF(AND(K142="",C142&lt;&gt;""),1,0)</f>
        <v/>
      </c>
      <c r="N142">
        <f>IF(AND(M142=1,ISNUMBER(G142)),INT(G142),0)</f>
        <v/>
      </c>
    </row>
    <row r="143">
      <c r="A143" s="1" t="n"/>
      <c r="B143" s="17" t="n"/>
      <c r="C143" s="19" t="n"/>
      <c r="D143" s="25" t="n"/>
      <c r="E143" s="26" t="n"/>
      <c r="F143" s="26" t="n"/>
      <c r="G143" s="17" t="n"/>
      <c r="H143" s="21" t="n"/>
      <c r="I143" s="16">
        <f>IF(OR(N(D143)&lt;=0,NOT(ISNUMBER(E143))),"",E143/D143)</f>
        <v/>
      </c>
      <c r="J143" s="16">
        <f>IF(OR(C143="",NOT(ISNUMBER(E143))),"",MAX(0,E143-N(F143)))</f>
        <v/>
      </c>
      <c r="K143" s="12">
        <f>IF(AND(C143="",D143="",E143=""),"",IF(NOT(ISNUMBER(B143)),"Needs a date",IF(C143="","Needs a client",IF(COUNTIF(Clients!$B$6:$B$105,C143)=0,"Not on Clients",IF(NOT(ISNUMBER(D143)),"Needs the sessions",IF(AND(E143&lt;&gt;"",NOT(ISNUMBER(E143))),"Price not a number",IF(AND(ISNUMBER(E143),N(F143)&gt;E143),"Paid more than the price","")))))))</f>
        <v/>
      </c>
      <c r="L143" s="1">
        <f>IF(ISNUMBER(B143),YEAR(B143)*100+MONTH(B143),"")</f>
        <v/>
      </c>
      <c r="M143">
        <f>IF(AND(K143="",C143&lt;&gt;""),1,0)</f>
        <v/>
      </c>
      <c r="N143">
        <f>IF(AND(M143=1,ISNUMBER(G143)),INT(G143),0)</f>
        <v/>
      </c>
    </row>
    <row r="144">
      <c r="A144" s="1" t="n"/>
      <c r="B144" s="17" t="n"/>
      <c r="C144" s="19" t="n"/>
      <c r="D144" s="25" t="n"/>
      <c r="E144" s="26" t="n"/>
      <c r="F144" s="26" t="n"/>
      <c r="G144" s="17" t="n"/>
      <c r="H144" s="21" t="n"/>
      <c r="I144" s="16">
        <f>IF(OR(N(D144)&lt;=0,NOT(ISNUMBER(E144))),"",E144/D144)</f>
        <v/>
      </c>
      <c r="J144" s="16">
        <f>IF(OR(C144="",NOT(ISNUMBER(E144))),"",MAX(0,E144-N(F144)))</f>
        <v/>
      </c>
      <c r="K144" s="12">
        <f>IF(AND(C144="",D144="",E144=""),"",IF(NOT(ISNUMBER(B144)),"Needs a date",IF(C144="","Needs a client",IF(COUNTIF(Clients!$B$6:$B$105,C144)=0,"Not on Clients",IF(NOT(ISNUMBER(D144)),"Needs the sessions",IF(AND(E144&lt;&gt;"",NOT(ISNUMBER(E144))),"Price not a number",IF(AND(ISNUMBER(E144),N(F144)&gt;E144),"Paid more than the price","")))))))</f>
        <v/>
      </c>
      <c r="L144" s="1">
        <f>IF(ISNUMBER(B144),YEAR(B144)*100+MONTH(B144),"")</f>
        <v/>
      </c>
      <c r="M144">
        <f>IF(AND(K144="",C144&lt;&gt;""),1,0)</f>
        <v/>
      </c>
      <c r="N144">
        <f>IF(AND(M144=1,ISNUMBER(G144)),INT(G144),0)</f>
        <v/>
      </c>
    </row>
    <row r="145">
      <c r="A145" s="1" t="n"/>
      <c r="B145" s="17" t="n"/>
      <c r="C145" s="19" t="n"/>
      <c r="D145" s="25" t="n"/>
      <c r="E145" s="26" t="n"/>
      <c r="F145" s="26" t="n"/>
      <c r="G145" s="17" t="n"/>
      <c r="H145" s="21" t="n"/>
      <c r="I145" s="16">
        <f>IF(OR(N(D145)&lt;=0,NOT(ISNUMBER(E145))),"",E145/D145)</f>
        <v/>
      </c>
      <c r="J145" s="16">
        <f>IF(OR(C145="",NOT(ISNUMBER(E145))),"",MAX(0,E145-N(F145)))</f>
        <v/>
      </c>
      <c r="K145" s="12">
        <f>IF(AND(C145="",D145="",E145=""),"",IF(NOT(ISNUMBER(B145)),"Needs a date",IF(C145="","Needs a client",IF(COUNTIF(Clients!$B$6:$B$105,C145)=0,"Not on Clients",IF(NOT(ISNUMBER(D145)),"Needs the sessions",IF(AND(E145&lt;&gt;"",NOT(ISNUMBER(E145))),"Price not a number",IF(AND(ISNUMBER(E145),N(F145)&gt;E145),"Paid more than the price","")))))))</f>
        <v/>
      </c>
      <c r="L145" s="1">
        <f>IF(ISNUMBER(B145),YEAR(B145)*100+MONTH(B145),"")</f>
        <v/>
      </c>
      <c r="M145">
        <f>IF(AND(K145="",C145&lt;&gt;""),1,0)</f>
        <v/>
      </c>
      <c r="N145">
        <f>IF(AND(M145=1,ISNUMBER(G145)),INT(G145),0)</f>
        <v/>
      </c>
    </row>
    <row r="146">
      <c r="A146" s="1" t="n"/>
      <c r="B146" s="17" t="n"/>
      <c r="C146" s="19" t="n"/>
      <c r="D146" s="25" t="n"/>
      <c r="E146" s="26" t="n"/>
      <c r="F146" s="26" t="n"/>
      <c r="G146" s="17" t="n"/>
      <c r="H146" s="21" t="n"/>
      <c r="I146" s="16">
        <f>IF(OR(N(D146)&lt;=0,NOT(ISNUMBER(E146))),"",E146/D146)</f>
        <v/>
      </c>
      <c r="J146" s="16">
        <f>IF(OR(C146="",NOT(ISNUMBER(E146))),"",MAX(0,E146-N(F146)))</f>
        <v/>
      </c>
      <c r="K146" s="12">
        <f>IF(AND(C146="",D146="",E146=""),"",IF(NOT(ISNUMBER(B146)),"Needs a date",IF(C146="","Needs a client",IF(COUNTIF(Clients!$B$6:$B$105,C146)=0,"Not on Clients",IF(NOT(ISNUMBER(D146)),"Needs the sessions",IF(AND(E146&lt;&gt;"",NOT(ISNUMBER(E146))),"Price not a number",IF(AND(ISNUMBER(E146),N(F146)&gt;E146),"Paid more than the price","")))))))</f>
        <v/>
      </c>
      <c r="L146" s="1">
        <f>IF(ISNUMBER(B146),YEAR(B146)*100+MONTH(B146),"")</f>
        <v/>
      </c>
      <c r="M146">
        <f>IF(AND(K146="",C146&lt;&gt;""),1,0)</f>
        <v/>
      </c>
      <c r="N146">
        <f>IF(AND(M146=1,ISNUMBER(G146)),INT(G146),0)</f>
        <v/>
      </c>
    </row>
    <row r="147">
      <c r="A147" s="1" t="n"/>
      <c r="B147" s="17" t="n"/>
      <c r="C147" s="19" t="n"/>
      <c r="D147" s="25" t="n"/>
      <c r="E147" s="26" t="n"/>
      <c r="F147" s="26" t="n"/>
      <c r="G147" s="17" t="n"/>
      <c r="H147" s="21" t="n"/>
      <c r="I147" s="16">
        <f>IF(OR(N(D147)&lt;=0,NOT(ISNUMBER(E147))),"",E147/D147)</f>
        <v/>
      </c>
      <c r="J147" s="16">
        <f>IF(OR(C147="",NOT(ISNUMBER(E147))),"",MAX(0,E147-N(F147)))</f>
        <v/>
      </c>
      <c r="K147" s="12">
        <f>IF(AND(C147="",D147="",E147=""),"",IF(NOT(ISNUMBER(B147)),"Needs a date",IF(C147="","Needs a client",IF(COUNTIF(Clients!$B$6:$B$105,C147)=0,"Not on Clients",IF(NOT(ISNUMBER(D147)),"Needs the sessions",IF(AND(E147&lt;&gt;"",NOT(ISNUMBER(E147))),"Price not a number",IF(AND(ISNUMBER(E147),N(F147)&gt;E147),"Paid more than the price","")))))))</f>
        <v/>
      </c>
      <c r="L147" s="1">
        <f>IF(ISNUMBER(B147),YEAR(B147)*100+MONTH(B147),"")</f>
        <v/>
      </c>
      <c r="M147">
        <f>IF(AND(K147="",C147&lt;&gt;""),1,0)</f>
        <v/>
      </c>
      <c r="N147">
        <f>IF(AND(M147=1,ISNUMBER(G147)),INT(G147),0)</f>
        <v/>
      </c>
    </row>
    <row r="148">
      <c r="A148" s="1" t="n"/>
      <c r="B148" s="17" t="n"/>
      <c r="C148" s="19" t="n"/>
      <c r="D148" s="25" t="n"/>
      <c r="E148" s="26" t="n"/>
      <c r="F148" s="26" t="n"/>
      <c r="G148" s="17" t="n"/>
      <c r="H148" s="21" t="n"/>
      <c r="I148" s="16">
        <f>IF(OR(N(D148)&lt;=0,NOT(ISNUMBER(E148))),"",E148/D148)</f>
        <v/>
      </c>
      <c r="J148" s="16">
        <f>IF(OR(C148="",NOT(ISNUMBER(E148))),"",MAX(0,E148-N(F148)))</f>
        <v/>
      </c>
      <c r="K148" s="12">
        <f>IF(AND(C148="",D148="",E148=""),"",IF(NOT(ISNUMBER(B148)),"Needs a date",IF(C148="","Needs a client",IF(COUNTIF(Clients!$B$6:$B$105,C148)=0,"Not on Clients",IF(NOT(ISNUMBER(D148)),"Needs the sessions",IF(AND(E148&lt;&gt;"",NOT(ISNUMBER(E148))),"Price not a number",IF(AND(ISNUMBER(E148),N(F148)&gt;E148),"Paid more than the price","")))))))</f>
        <v/>
      </c>
      <c r="L148" s="1">
        <f>IF(ISNUMBER(B148),YEAR(B148)*100+MONTH(B148),"")</f>
        <v/>
      </c>
      <c r="M148">
        <f>IF(AND(K148="",C148&lt;&gt;""),1,0)</f>
        <v/>
      </c>
      <c r="N148">
        <f>IF(AND(M148=1,ISNUMBER(G148)),INT(G148),0)</f>
        <v/>
      </c>
    </row>
    <row r="149">
      <c r="A149" s="1" t="n"/>
      <c r="B149" s="17" t="n"/>
      <c r="C149" s="19" t="n"/>
      <c r="D149" s="25" t="n"/>
      <c r="E149" s="26" t="n"/>
      <c r="F149" s="26" t="n"/>
      <c r="G149" s="17" t="n"/>
      <c r="H149" s="21" t="n"/>
      <c r="I149" s="16">
        <f>IF(OR(N(D149)&lt;=0,NOT(ISNUMBER(E149))),"",E149/D149)</f>
        <v/>
      </c>
      <c r="J149" s="16">
        <f>IF(OR(C149="",NOT(ISNUMBER(E149))),"",MAX(0,E149-N(F149)))</f>
        <v/>
      </c>
      <c r="K149" s="12">
        <f>IF(AND(C149="",D149="",E149=""),"",IF(NOT(ISNUMBER(B149)),"Needs a date",IF(C149="","Needs a client",IF(COUNTIF(Clients!$B$6:$B$105,C149)=0,"Not on Clients",IF(NOT(ISNUMBER(D149)),"Needs the sessions",IF(AND(E149&lt;&gt;"",NOT(ISNUMBER(E149))),"Price not a number",IF(AND(ISNUMBER(E149),N(F149)&gt;E149),"Paid more than the price","")))))))</f>
        <v/>
      </c>
      <c r="L149" s="1">
        <f>IF(ISNUMBER(B149),YEAR(B149)*100+MONTH(B149),"")</f>
        <v/>
      </c>
      <c r="M149">
        <f>IF(AND(K149="",C149&lt;&gt;""),1,0)</f>
        <v/>
      </c>
      <c r="N149">
        <f>IF(AND(M149=1,ISNUMBER(G149)),INT(G149),0)</f>
        <v/>
      </c>
    </row>
    <row r="150">
      <c r="A150" s="1" t="n"/>
      <c r="B150" s="17" t="n"/>
      <c r="C150" s="19" t="n"/>
      <c r="D150" s="25" t="n"/>
      <c r="E150" s="26" t="n"/>
      <c r="F150" s="26" t="n"/>
      <c r="G150" s="17" t="n"/>
      <c r="H150" s="21" t="n"/>
      <c r="I150" s="16">
        <f>IF(OR(N(D150)&lt;=0,NOT(ISNUMBER(E150))),"",E150/D150)</f>
        <v/>
      </c>
      <c r="J150" s="16">
        <f>IF(OR(C150="",NOT(ISNUMBER(E150))),"",MAX(0,E150-N(F150)))</f>
        <v/>
      </c>
      <c r="K150" s="12">
        <f>IF(AND(C150="",D150="",E150=""),"",IF(NOT(ISNUMBER(B150)),"Needs a date",IF(C150="","Needs a client",IF(COUNTIF(Clients!$B$6:$B$105,C150)=0,"Not on Clients",IF(NOT(ISNUMBER(D150)),"Needs the sessions",IF(AND(E150&lt;&gt;"",NOT(ISNUMBER(E150))),"Price not a number",IF(AND(ISNUMBER(E150),N(F150)&gt;E150),"Paid more than the price","")))))))</f>
        <v/>
      </c>
      <c r="L150" s="1">
        <f>IF(ISNUMBER(B150),YEAR(B150)*100+MONTH(B150),"")</f>
        <v/>
      </c>
      <c r="M150">
        <f>IF(AND(K150="",C150&lt;&gt;""),1,0)</f>
        <v/>
      </c>
      <c r="N150">
        <f>IF(AND(M150=1,ISNUMBER(G150)),INT(G150),0)</f>
        <v/>
      </c>
    </row>
    <row r="151">
      <c r="A151" s="1" t="n"/>
      <c r="B151" s="17" t="n"/>
      <c r="C151" s="19" t="n"/>
      <c r="D151" s="25" t="n"/>
      <c r="E151" s="26" t="n"/>
      <c r="F151" s="26" t="n"/>
      <c r="G151" s="17" t="n"/>
      <c r="H151" s="21" t="n"/>
      <c r="I151" s="16">
        <f>IF(OR(N(D151)&lt;=0,NOT(ISNUMBER(E151))),"",E151/D151)</f>
        <v/>
      </c>
      <c r="J151" s="16">
        <f>IF(OR(C151="",NOT(ISNUMBER(E151))),"",MAX(0,E151-N(F151)))</f>
        <v/>
      </c>
      <c r="K151" s="12">
        <f>IF(AND(C151="",D151="",E151=""),"",IF(NOT(ISNUMBER(B151)),"Needs a date",IF(C151="","Needs a client",IF(COUNTIF(Clients!$B$6:$B$105,C151)=0,"Not on Clients",IF(NOT(ISNUMBER(D151)),"Needs the sessions",IF(AND(E151&lt;&gt;"",NOT(ISNUMBER(E151))),"Price not a number",IF(AND(ISNUMBER(E151),N(F151)&gt;E151),"Paid more than the price","")))))))</f>
        <v/>
      </c>
      <c r="L151" s="1">
        <f>IF(ISNUMBER(B151),YEAR(B151)*100+MONTH(B151),"")</f>
        <v/>
      </c>
      <c r="M151">
        <f>IF(AND(K151="",C151&lt;&gt;""),1,0)</f>
        <v/>
      </c>
      <c r="N151">
        <f>IF(AND(M151=1,ISNUMBER(G151)),INT(G151),0)</f>
        <v/>
      </c>
    </row>
    <row r="152">
      <c r="A152" s="1" t="n"/>
      <c r="B152" s="17" t="n"/>
      <c r="C152" s="19" t="n"/>
      <c r="D152" s="25" t="n"/>
      <c r="E152" s="26" t="n"/>
      <c r="F152" s="26" t="n"/>
      <c r="G152" s="17" t="n"/>
      <c r="H152" s="21" t="n"/>
      <c r="I152" s="16">
        <f>IF(OR(N(D152)&lt;=0,NOT(ISNUMBER(E152))),"",E152/D152)</f>
        <v/>
      </c>
      <c r="J152" s="16">
        <f>IF(OR(C152="",NOT(ISNUMBER(E152))),"",MAX(0,E152-N(F152)))</f>
        <v/>
      </c>
      <c r="K152" s="12">
        <f>IF(AND(C152="",D152="",E152=""),"",IF(NOT(ISNUMBER(B152)),"Needs a date",IF(C152="","Needs a client",IF(COUNTIF(Clients!$B$6:$B$105,C152)=0,"Not on Clients",IF(NOT(ISNUMBER(D152)),"Needs the sessions",IF(AND(E152&lt;&gt;"",NOT(ISNUMBER(E152))),"Price not a number",IF(AND(ISNUMBER(E152),N(F152)&gt;E152),"Paid more than the price","")))))))</f>
        <v/>
      </c>
      <c r="L152" s="1">
        <f>IF(ISNUMBER(B152),YEAR(B152)*100+MONTH(B152),"")</f>
        <v/>
      </c>
      <c r="M152">
        <f>IF(AND(K152="",C152&lt;&gt;""),1,0)</f>
        <v/>
      </c>
      <c r="N152">
        <f>IF(AND(M152=1,ISNUMBER(G152)),INT(G152),0)</f>
        <v/>
      </c>
    </row>
    <row r="153">
      <c r="A153" s="1" t="n"/>
      <c r="B153" s="17" t="n"/>
      <c r="C153" s="19" t="n"/>
      <c r="D153" s="25" t="n"/>
      <c r="E153" s="26" t="n"/>
      <c r="F153" s="26" t="n"/>
      <c r="G153" s="17" t="n"/>
      <c r="H153" s="21" t="n"/>
      <c r="I153" s="16">
        <f>IF(OR(N(D153)&lt;=0,NOT(ISNUMBER(E153))),"",E153/D153)</f>
        <v/>
      </c>
      <c r="J153" s="16">
        <f>IF(OR(C153="",NOT(ISNUMBER(E153))),"",MAX(0,E153-N(F153)))</f>
        <v/>
      </c>
      <c r="K153" s="12">
        <f>IF(AND(C153="",D153="",E153=""),"",IF(NOT(ISNUMBER(B153)),"Needs a date",IF(C153="","Needs a client",IF(COUNTIF(Clients!$B$6:$B$105,C153)=0,"Not on Clients",IF(NOT(ISNUMBER(D153)),"Needs the sessions",IF(AND(E153&lt;&gt;"",NOT(ISNUMBER(E153))),"Price not a number",IF(AND(ISNUMBER(E153),N(F153)&gt;E153),"Paid more than the price","")))))))</f>
        <v/>
      </c>
      <c r="L153" s="1">
        <f>IF(ISNUMBER(B153),YEAR(B153)*100+MONTH(B153),"")</f>
        <v/>
      </c>
      <c r="M153">
        <f>IF(AND(K153="",C153&lt;&gt;""),1,0)</f>
        <v/>
      </c>
      <c r="N153">
        <f>IF(AND(M153=1,ISNUMBER(G153)),INT(G153),0)</f>
        <v/>
      </c>
    </row>
    <row r="154">
      <c r="A154" s="1" t="n"/>
      <c r="B154" s="17" t="n"/>
      <c r="C154" s="19" t="n"/>
      <c r="D154" s="25" t="n"/>
      <c r="E154" s="26" t="n"/>
      <c r="F154" s="26" t="n"/>
      <c r="G154" s="17" t="n"/>
      <c r="H154" s="21" t="n"/>
      <c r="I154" s="16">
        <f>IF(OR(N(D154)&lt;=0,NOT(ISNUMBER(E154))),"",E154/D154)</f>
        <v/>
      </c>
      <c r="J154" s="16">
        <f>IF(OR(C154="",NOT(ISNUMBER(E154))),"",MAX(0,E154-N(F154)))</f>
        <v/>
      </c>
      <c r="K154" s="12">
        <f>IF(AND(C154="",D154="",E154=""),"",IF(NOT(ISNUMBER(B154)),"Needs a date",IF(C154="","Needs a client",IF(COUNTIF(Clients!$B$6:$B$105,C154)=0,"Not on Clients",IF(NOT(ISNUMBER(D154)),"Needs the sessions",IF(AND(E154&lt;&gt;"",NOT(ISNUMBER(E154))),"Price not a number",IF(AND(ISNUMBER(E154),N(F154)&gt;E154),"Paid more than the price","")))))))</f>
        <v/>
      </c>
      <c r="L154" s="1">
        <f>IF(ISNUMBER(B154),YEAR(B154)*100+MONTH(B154),"")</f>
        <v/>
      </c>
      <c r="M154">
        <f>IF(AND(K154="",C154&lt;&gt;""),1,0)</f>
        <v/>
      </c>
      <c r="N154">
        <f>IF(AND(M154=1,ISNUMBER(G154)),INT(G154),0)</f>
        <v/>
      </c>
    </row>
    <row r="155">
      <c r="A155" s="1" t="n"/>
      <c r="B155" s="17" t="n"/>
      <c r="C155" s="19" t="n"/>
      <c r="D155" s="25" t="n"/>
      <c r="E155" s="26" t="n"/>
      <c r="F155" s="26" t="n"/>
      <c r="G155" s="17" t="n"/>
      <c r="H155" s="21" t="n"/>
      <c r="I155" s="16">
        <f>IF(OR(N(D155)&lt;=0,NOT(ISNUMBER(E155))),"",E155/D155)</f>
        <v/>
      </c>
      <c r="J155" s="16">
        <f>IF(OR(C155="",NOT(ISNUMBER(E155))),"",MAX(0,E155-N(F155)))</f>
        <v/>
      </c>
      <c r="K155" s="12">
        <f>IF(AND(C155="",D155="",E155=""),"",IF(NOT(ISNUMBER(B155)),"Needs a date",IF(C155="","Needs a client",IF(COUNTIF(Clients!$B$6:$B$105,C155)=0,"Not on Clients",IF(NOT(ISNUMBER(D155)),"Needs the sessions",IF(AND(E155&lt;&gt;"",NOT(ISNUMBER(E155))),"Price not a number",IF(AND(ISNUMBER(E155),N(F155)&gt;E155),"Paid more than the price","")))))))</f>
        <v/>
      </c>
      <c r="L155" s="1">
        <f>IF(ISNUMBER(B155),YEAR(B155)*100+MONTH(B155),"")</f>
        <v/>
      </c>
      <c r="M155">
        <f>IF(AND(K155="",C155&lt;&gt;""),1,0)</f>
        <v/>
      </c>
      <c r="N155">
        <f>IF(AND(M155=1,ISNUMBER(G155)),INT(G155),0)</f>
        <v/>
      </c>
    </row>
    <row r="156">
      <c r="A156" s="1" t="n"/>
      <c r="B156" s="17" t="n"/>
      <c r="C156" s="19" t="n"/>
      <c r="D156" s="25" t="n"/>
      <c r="E156" s="26" t="n"/>
      <c r="F156" s="26" t="n"/>
      <c r="G156" s="17" t="n"/>
      <c r="H156" s="21" t="n"/>
      <c r="I156" s="16">
        <f>IF(OR(N(D156)&lt;=0,NOT(ISNUMBER(E156))),"",E156/D156)</f>
        <v/>
      </c>
      <c r="J156" s="16">
        <f>IF(OR(C156="",NOT(ISNUMBER(E156))),"",MAX(0,E156-N(F156)))</f>
        <v/>
      </c>
      <c r="K156" s="12">
        <f>IF(AND(C156="",D156="",E156=""),"",IF(NOT(ISNUMBER(B156)),"Needs a date",IF(C156="","Needs a client",IF(COUNTIF(Clients!$B$6:$B$105,C156)=0,"Not on Clients",IF(NOT(ISNUMBER(D156)),"Needs the sessions",IF(AND(E156&lt;&gt;"",NOT(ISNUMBER(E156))),"Price not a number",IF(AND(ISNUMBER(E156),N(F156)&gt;E156),"Paid more than the price","")))))))</f>
        <v/>
      </c>
      <c r="L156" s="1">
        <f>IF(ISNUMBER(B156),YEAR(B156)*100+MONTH(B156),"")</f>
        <v/>
      </c>
      <c r="M156">
        <f>IF(AND(K156="",C156&lt;&gt;""),1,0)</f>
        <v/>
      </c>
      <c r="N156">
        <f>IF(AND(M156=1,ISNUMBER(G156)),INT(G156),0)</f>
        <v/>
      </c>
    </row>
    <row r="157">
      <c r="A157" s="1" t="n"/>
      <c r="B157" s="17" t="n"/>
      <c r="C157" s="19" t="n"/>
      <c r="D157" s="25" t="n"/>
      <c r="E157" s="26" t="n"/>
      <c r="F157" s="26" t="n"/>
      <c r="G157" s="17" t="n"/>
      <c r="H157" s="21" t="n"/>
      <c r="I157" s="16">
        <f>IF(OR(N(D157)&lt;=0,NOT(ISNUMBER(E157))),"",E157/D157)</f>
        <v/>
      </c>
      <c r="J157" s="16">
        <f>IF(OR(C157="",NOT(ISNUMBER(E157))),"",MAX(0,E157-N(F157)))</f>
        <v/>
      </c>
      <c r="K157" s="12">
        <f>IF(AND(C157="",D157="",E157=""),"",IF(NOT(ISNUMBER(B157)),"Needs a date",IF(C157="","Needs a client",IF(COUNTIF(Clients!$B$6:$B$105,C157)=0,"Not on Clients",IF(NOT(ISNUMBER(D157)),"Needs the sessions",IF(AND(E157&lt;&gt;"",NOT(ISNUMBER(E157))),"Price not a number",IF(AND(ISNUMBER(E157),N(F157)&gt;E157),"Paid more than the price","")))))))</f>
        <v/>
      </c>
      <c r="L157" s="1">
        <f>IF(ISNUMBER(B157),YEAR(B157)*100+MONTH(B157),"")</f>
        <v/>
      </c>
      <c r="M157">
        <f>IF(AND(K157="",C157&lt;&gt;""),1,0)</f>
        <v/>
      </c>
      <c r="N157">
        <f>IF(AND(M157=1,ISNUMBER(G157)),INT(G157),0)</f>
        <v/>
      </c>
    </row>
    <row r="158">
      <c r="A158" s="1" t="n"/>
      <c r="B158" s="17" t="n"/>
      <c r="C158" s="19" t="n"/>
      <c r="D158" s="25" t="n"/>
      <c r="E158" s="26" t="n"/>
      <c r="F158" s="26" t="n"/>
      <c r="G158" s="17" t="n"/>
      <c r="H158" s="21" t="n"/>
      <c r="I158" s="16">
        <f>IF(OR(N(D158)&lt;=0,NOT(ISNUMBER(E158))),"",E158/D158)</f>
        <v/>
      </c>
      <c r="J158" s="16">
        <f>IF(OR(C158="",NOT(ISNUMBER(E158))),"",MAX(0,E158-N(F158)))</f>
        <v/>
      </c>
      <c r="K158" s="12">
        <f>IF(AND(C158="",D158="",E158=""),"",IF(NOT(ISNUMBER(B158)),"Needs a date",IF(C158="","Needs a client",IF(COUNTIF(Clients!$B$6:$B$105,C158)=0,"Not on Clients",IF(NOT(ISNUMBER(D158)),"Needs the sessions",IF(AND(E158&lt;&gt;"",NOT(ISNUMBER(E158))),"Price not a number",IF(AND(ISNUMBER(E158),N(F158)&gt;E158),"Paid more than the price","")))))))</f>
        <v/>
      </c>
      <c r="L158" s="1">
        <f>IF(ISNUMBER(B158),YEAR(B158)*100+MONTH(B158),"")</f>
        <v/>
      </c>
      <c r="M158">
        <f>IF(AND(K158="",C158&lt;&gt;""),1,0)</f>
        <v/>
      </c>
      <c r="N158">
        <f>IF(AND(M158=1,ISNUMBER(G158)),INT(G158),0)</f>
        <v/>
      </c>
    </row>
    <row r="159">
      <c r="A159" s="1" t="n"/>
      <c r="B159" s="17" t="n"/>
      <c r="C159" s="19" t="n"/>
      <c r="D159" s="25" t="n"/>
      <c r="E159" s="26" t="n"/>
      <c r="F159" s="26" t="n"/>
      <c r="G159" s="17" t="n"/>
      <c r="H159" s="21" t="n"/>
      <c r="I159" s="16">
        <f>IF(OR(N(D159)&lt;=0,NOT(ISNUMBER(E159))),"",E159/D159)</f>
        <v/>
      </c>
      <c r="J159" s="16">
        <f>IF(OR(C159="",NOT(ISNUMBER(E159))),"",MAX(0,E159-N(F159)))</f>
        <v/>
      </c>
      <c r="K159" s="12">
        <f>IF(AND(C159="",D159="",E159=""),"",IF(NOT(ISNUMBER(B159)),"Needs a date",IF(C159="","Needs a client",IF(COUNTIF(Clients!$B$6:$B$105,C159)=0,"Not on Clients",IF(NOT(ISNUMBER(D159)),"Needs the sessions",IF(AND(E159&lt;&gt;"",NOT(ISNUMBER(E159))),"Price not a number",IF(AND(ISNUMBER(E159),N(F159)&gt;E159),"Paid more than the price","")))))))</f>
        <v/>
      </c>
      <c r="L159" s="1">
        <f>IF(ISNUMBER(B159),YEAR(B159)*100+MONTH(B159),"")</f>
        <v/>
      </c>
      <c r="M159">
        <f>IF(AND(K159="",C159&lt;&gt;""),1,0)</f>
        <v/>
      </c>
      <c r="N159">
        <f>IF(AND(M159=1,ISNUMBER(G159)),INT(G159),0)</f>
        <v/>
      </c>
    </row>
    <row r="160">
      <c r="A160" s="1" t="n"/>
      <c r="B160" s="17" t="n"/>
      <c r="C160" s="19" t="n"/>
      <c r="D160" s="25" t="n"/>
      <c r="E160" s="26" t="n"/>
      <c r="F160" s="26" t="n"/>
      <c r="G160" s="17" t="n"/>
      <c r="H160" s="21" t="n"/>
      <c r="I160" s="16">
        <f>IF(OR(N(D160)&lt;=0,NOT(ISNUMBER(E160))),"",E160/D160)</f>
        <v/>
      </c>
      <c r="J160" s="16">
        <f>IF(OR(C160="",NOT(ISNUMBER(E160))),"",MAX(0,E160-N(F160)))</f>
        <v/>
      </c>
      <c r="K160" s="12">
        <f>IF(AND(C160="",D160="",E160=""),"",IF(NOT(ISNUMBER(B160)),"Needs a date",IF(C160="","Needs a client",IF(COUNTIF(Clients!$B$6:$B$105,C160)=0,"Not on Clients",IF(NOT(ISNUMBER(D160)),"Needs the sessions",IF(AND(E160&lt;&gt;"",NOT(ISNUMBER(E160))),"Price not a number",IF(AND(ISNUMBER(E160),N(F160)&gt;E160),"Paid more than the price","")))))))</f>
        <v/>
      </c>
      <c r="L160" s="1">
        <f>IF(ISNUMBER(B160),YEAR(B160)*100+MONTH(B160),"")</f>
        <v/>
      </c>
      <c r="M160">
        <f>IF(AND(K160="",C160&lt;&gt;""),1,0)</f>
        <v/>
      </c>
      <c r="N160">
        <f>IF(AND(M160=1,ISNUMBER(G160)),INT(G160),0)</f>
        <v/>
      </c>
    </row>
    <row r="161">
      <c r="A161" s="1" t="n"/>
      <c r="B161" s="17" t="n"/>
      <c r="C161" s="19" t="n"/>
      <c r="D161" s="25" t="n"/>
      <c r="E161" s="26" t="n"/>
      <c r="F161" s="26" t="n"/>
      <c r="G161" s="17" t="n"/>
      <c r="H161" s="21" t="n"/>
      <c r="I161" s="16">
        <f>IF(OR(N(D161)&lt;=0,NOT(ISNUMBER(E161))),"",E161/D161)</f>
        <v/>
      </c>
      <c r="J161" s="16">
        <f>IF(OR(C161="",NOT(ISNUMBER(E161))),"",MAX(0,E161-N(F161)))</f>
        <v/>
      </c>
      <c r="K161" s="12">
        <f>IF(AND(C161="",D161="",E161=""),"",IF(NOT(ISNUMBER(B161)),"Needs a date",IF(C161="","Needs a client",IF(COUNTIF(Clients!$B$6:$B$105,C161)=0,"Not on Clients",IF(NOT(ISNUMBER(D161)),"Needs the sessions",IF(AND(E161&lt;&gt;"",NOT(ISNUMBER(E161))),"Price not a number",IF(AND(ISNUMBER(E161),N(F161)&gt;E161),"Paid more than the price","")))))))</f>
        <v/>
      </c>
      <c r="L161" s="1">
        <f>IF(ISNUMBER(B161),YEAR(B161)*100+MONTH(B161),"")</f>
        <v/>
      </c>
      <c r="M161">
        <f>IF(AND(K161="",C161&lt;&gt;""),1,0)</f>
        <v/>
      </c>
      <c r="N161">
        <f>IF(AND(M161=1,ISNUMBER(G161)),INT(G161),0)</f>
        <v/>
      </c>
    </row>
    <row r="162">
      <c r="A162" s="1" t="n"/>
      <c r="B162" s="17" t="n"/>
      <c r="C162" s="19" t="n"/>
      <c r="D162" s="25" t="n"/>
      <c r="E162" s="26" t="n"/>
      <c r="F162" s="26" t="n"/>
      <c r="G162" s="17" t="n"/>
      <c r="H162" s="21" t="n"/>
      <c r="I162" s="16">
        <f>IF(OR(N(D162)&lt;=0,NOT(ISNUMBER(E162))),"",E162/D162)</f>
        <v/>
      </c>
      <c r="J162" s="16">
        <f>IF(OR(C162="",NOT(ISNUMBER(E162))),"",MAX(0,E162-N(F162)))</f>
        <v/>
      </c>
      <c r="K162" s="12">
        <f>IF(AND(C162="",D162="",E162=""),"",IF(NOT(ISNUMBER(B162)),"Needs a date",IF(C162="","Needs a client",IF(COUNTIF(Clients!$B$6:$B$105,C162)=0,"Not on Clients",IF(NOT(ISNUMBER(D162)),"Needs the sessions",IF(AND(E162&lt;&gt;"",NOT(ISNUMBER(E162))),"Price not a number",IF(AND(ISNUMBER(E162),N(F162)&gt;E162),"Paid more than the price","")))))))</f>
        <v/>
      </c>
      <c r="L162" s="1">
        <f>IF(ISNUMBER(B162),YEAR(B162)*100+MONTH(B162),"")</f>
        <v/>
      </c>
      <c r="M162">
        <f>IF(AND(K162="",C162&lt;&gt;""),1,0)</f>
        <v/>
      </c>
      <c r="N162">
        <f>IF(AND(M162=1,ISNUMBER(G162)),INT(G162),0)</f>
        <v/>
      </c>
    </row>
    <row r="163">
      <c r="A163" s="1" t="n"/>
      <c r="B163" s="17" t="n"/>
      <c r="C163" s="19" t="n"/>
      <c r="D163" s="25" t="n"/>
      <c r="E163" s="26" t="n"/>
      <c r="F163" s="26" t="n"/>
      <c r="G163" s="17" t="n"/>
      <c r="H163" s="21" t="n"/>
      <c r="I163" s="16">
        <f>IF(OR(N(D163)&lt;=0,NOT(ISNUMBER(E163))),"",E163/D163)</f>
        <v/>
      </c>
      <c r="J163" s="16">
        <f>IF(OR(C163="",NOT(ISNUMBER(E163))),"",MAX(0,E163-N(F163)))</f>
        <v/>
      </c>
      <c r="K163" s="12">
        <f>IF(AND(C163="",D163="",E163=""),"",IF(NOT(ISNUMBER(B163)),"Needs a date",IF(C163="","Needs a client",IF(COUNTIF(Clients!$B$6:$B$105,C163)=0,"Not on Clients",IF(NOT(ISNUMBER(D163)),"Needs the sessions",IF(AND(E163&lt;&gt;"",NOT(ISNUMBER(E163))),"Price not a number",IF(AND(ISNUMBER(E163),N(F163)&gt;E163),"Paid more than the price","")))))))</f>
        <v/>
      </c>
      <c r="L163" s="1">
        <f>IF(ISNUMBER(B163),YEAR(B163)*100+MONTH(B163),"")</f>
        <v/>
      </c>
      <c r="M163">
        <f>IF(AND(K163="",C163&lt;&gt;""),1,0)</f>
        <v/>
      </c>
      <c r="N163">
        <f>IF(AND(M163=1,ISNUMBER(G163)),INT(G163),0)</f>
        <v/>
      </c>
    </row>
    <row r="164">
      <c r="A164" s="1" t="n"/>
      <c r="B164" s="17" t="n"/>
      <c r="C164" s="19" t="n"/>
      <c r="D164" s="25" t="n"/>
      <c r="E164" s="26" t="n"/>
      <c r="F164" s="26" t="n"/>
      <c r="G164" s="17" t="n"/>
      <c r="H164" s="21" t="n"/>
      <c r="I164" s="16">
        <f>IF(OR(N(D164)&lt;=0,NOT(ISNUMBER(E164))),"",E164/D164)</f>
        <v/>
      </c>
      <c r="J164" s="16">
        <f>IF(OR(C164="",NOT(ISNUMBER(E164))),"",MAX(0,E164-N(F164)))</f>
        <v/>
      </c>
      <c r="K164" s="12">
        <f>IF(AND(C164="",D164="",E164=""),"",IF(NOT(ISNUMBER(B164)),"Needs a date",IF(C164="","Needs a client",IF(COUNTIF(Clients!$B$6:$B$105,C164)=0,"Not on Clients",IF(NOT(ISNUMBER(D164)),"Needs the sessions",IF(AND(E164&lt;&gt;"",NOT(ISNUMBER(E164))),"Price not a number",IF(AND(ISNUMBER(E164),N(F164)&gt;E164),"Paid more than the price","")))))))</f>
        <v/>
      </c>
      <c r="L164" s="1">
        <f>IF(ISNUMBER(B164),YEAR(B164)*100+MONTH(B164),"")</f>
        <v/>
      </c>
      <c r="M164">
        <f>IF(AND(K164="",C164&lt;&gt;""),1,0)</f>
        <v/>
      </c>
      <c r="N164">
        <f>IF(AND(M164=1,ISNUMBER(G164)),INT(G164),0)</f>
        <v/>
      </c>
    </row>
    <row r="165">
      <c r="A165" s="1" t="n"/>
      <c r="B165" s="17" t="n"/>
      <c r="C165" s="19" t="n"/>
      <c r="D165" s="25" t="n"/>
      <c r="E165" s="26" t="n"/>
      <c r="F165" s="26" t="n"/>
      <c r="G165" s="17" t="n"/>
      <c r="H165" s="21" t="n"/>
      <c r="I165" s="16">
        <f>IF(OR(N(D165)&lt;=0,NOT(ISNUMBER(E165))),"",E165/D165)</f>
        <v/>
      </c>
      <c r="J165" s="16">
        <f>IF(OR(C165="",NOT(ISNUMBER(E165))),"",MAX(0,E165-N(F165)))</f>
        <v/>
      </c>
      <c r="K165" s="12">
        <f>IF(AND(C165="",D165="",E165=""),"",IF(NOT(ISNUMBER(B165)),"Needs a date",IF(C165="","Needs a client",IF(COUNTIF(Clients!$B$6:$B$105,C165)=0,"Not on Clients",IF(NOT(ISNUMBER(D165)),"Needs the sessions",IF(AND(E165&lt;&gt;"",NOT(ISNUMBER(E165))),"Price not a number",IF(AND(ISNUMBER(E165),N(F165)&gt;E165),"Paid more than the price","")))))))</f>
        <v/>
      </c>
      <c r="L165" s="1">
        <f>IF(ISNUMBER(B165),YEAR(B165)*100+MONTH(B165),"")</f>
        <v/>
      </c>
      <c r="M165">
        <f>IF(AND(K165="",C165&lt;&gt;""),1,0)</f>
        <v/>
      </c>
      <c r="N165">
        <f>IF(AND(M165=1,ISNUMBER(G165)),INT(G165),0)</f>
        <v/>
      </c>
    </row>
    <row r="166">
      <c r="A166" s="1" t="n"/>
      <c r="B166" s="17" t="n"/>
      <c r="C166" s="19" t="n"/>
      <c r="D166" s="25" t="n"/>
      <c r="E166" s="26" t="n"/>
      <c r="F166" s="26" t="n"/>
      <c r="G166" s="17" t="n"/>
      <c r="H166" s="21" t="n"/>
      <c r="I166" s="16">
        <f>IF(OR(N(D166)&lt;=0,NOT(ISNUMBER(E166))),"",E166/D166)</f>
        <v/>
      </c>
      <c r="J166" s="16">
        <f>IF(OR(C166="",NOT(ISNUMBER(E166))),"",MAX(0,E166-N(F166)))</f>
        <v/>
      </c>
      <c r="K166" s="12">
        <f>IF(AND(C166="",D166="",E166=""),"",IF(NOT(ISNUMBER(B166)),"Needs a date",IF(C166="","Needs a client",IF(COUNTIF(Clients!$B$6:$B$105,C166)=0,"Not on Clients",IF(NOT(ISNUMBER(D166)),"Needs the sessions",IF(AND(E166&lt;&gt;"",NOT(ISNUMBER(E166))),"Price not a number",IF(AND(ISNUMBER(E166),N(F166)&gt;E166),"Paid more than the price","")))))))</f>
        <v/>
      </c>
      <c r="L166" s="1">
        <f>IF(ISNUMBER(B166),YEAR(B166)*100+MONTH(B166),"")</f>
        <v/>
      </c>
      <c r="M166">
        <f>IF(AND(K166="",C166&lt;&gt;""),1,0)</f>
        <v/>
      </c>
      <c r="N166">
        <f>IF(AND(M166=1,ISNUMBER(G166)),INT(G166),0)</f>
        <v/>
      </c>
    </row>
    <row r="167">
      <c r="A167" s="1" t="n"/>
      <c r="B167" s="17" t="n"/>
      <c r="C167" s="19" t="n"/>
      <c r="D167" s="25" t="n"/>
      <c r="E167" s="26" t="n"/>
      <c r="F167" s="26" t="n"/>
      <c r="G167" s="17" t="n"/>
      <c r="H167" s="21" t="n"/>
      <c r="I167" s="16">
        <f>IF(OR(N(D167)&lt;=0,NOT(ISNUMBER(E167))),"",E167/D167)</f>
        <v/>
      </c>
      <c r="J167" s="16">
        <f>IF(OR(C167="",NOT(ISNUMBER(E167))),"",MAX(0,E167-N(F167)))</f>
        <v/>
      </c>
      <c r="K167" s="12">
        <f>IF(AND(C167="",D167="",E167=""),"",IF(NOT(ISNUMBER(B167)),"Needs a date",IF(C167="","Needs a client",IF(COUNTIF(Clients!$B$6:$B$105,C167)=0,"Not on Clients",IF(NOT(ISNUMBER(D167)),"Needs the sessions",IF(AND(E167&lt;&gt;"",NOT(ISNUMBER(E167))),"Price not a number",IF(AND(ISNUMBER(E167),N(F167)&gt;E167),"Paid more than the price","")))))))</f>
        <v/>
      </c>
      <c r="L167" s="1">
        <f>IF(ISNUMBER(B167),YEAR(B167)*100+MONTH(B167),"")</f>
        <v/>
      </c>
      <c r="M167">
        <f>IF(AND(K167="",C167&lt;&gt;""),1,0)</f>
        <v/>
      </c>
      <c r="N167">
        <f>IF(AND(M167=1,ISNUMBER(G167)),INT(G167),0)</f>
        <v/>
      </c>
    </row>
    <row r="168">
      <c r="A168" s="1" t="n"/>
      <c r="B168" s="17" t="n"/>
      <c r="C168" s="19" t="n"/>
      <c r="D168" s="25" t="n"/>
      <c r="E168" s="26" t="n"/>
      <c r="F168" s="26" t="n"/>
      <c r="G168" s="17" t="n"/>
      <c r="H168" s="21" t="n"/>
      <c r="I168" s="16">
        <f>IF(OR(N(D168)&lt;=0,NOT(ISNUMBER(E168))),"",E168/D168)</f>
        <v/>
      </c>
      <c r="J168" s="16">
        <f>IF(OR(C168="",NOT(ISNUMBER(E168))),"",MAX(0,E168-N(F168)))</f>
        <v/>
      </c>
      <c r="K168" s="12">
        <f>IF(AND(C168="",D168="",E168=""),"",IF(NOT(ISNUMBER(B168)),"Needs a date",IF(C168="","Needs a client",IF(COUNTIF(Clients!$B$6:$B$105,C168)=0,"Not on Clients",IF(NOT(ISNUMBER(D168)),"Needs the sessions",IF(AND(E168&lt;&gt;"",NOT(ISNUMBER(E168))),"Price not a number",IF(AND(ISNUMBER(E168),N(F168)&gt;E168),"Paid more than the price","")))))))</f>
        <v/>
      </c>
      <c r="L168" s="1">
        <f>IF(ISNUMBER(B168),YEAR(B168)*100+MONTH(B168),"")</f>
        <v/>
      </c>
      <c r="M168">
        <f>IF(AND(K168="",C168&lt;&gt;""),1,0)</f>
        <v/>
      </c>
      <c r="N168">
        <f>IF(AND(M168=1,ISNUMBER(G168)),INT(G168),0)</f>
        <v/>
      </c>
    </row>
    <row r="169">
      <c r="A169" s="1" t="n"/>
      <c r="B169" s="17" t="n"/>
      <c r="C169" s="19" t="n"/>
      <c r="D169" s="25" t="n"/>
      <c r="E169" s="26" t="n"/>
      <c r="F169" s="26" t="n"/>
      <c r="G169" s="17" t="n"/>
      <c r="H169" s="21" t="n"/>
      <c r="I169" s="16">
        <f>IF(OR(N(D169)&lt;=0,NOT(ISNUMBER(E169))),"",E169/D169)</f>
        <v/>
      </c>
      <c r="J169" s="16">
        <f>IF(OR(C169="",NOT(ISNUMBER(E169))),"",MAX(0,E169-N(F169)))</f>
        <v/>
      </c>
      <c r="K169" s="12">
        <f>IF(AND(C169="",D169="",E169=""),"",IF(NOT(ISNUMBER(B169)),"Needs a date",IF(C169="","Needs a client",IF(COUNTIF(Clients!$B$6:$B$105,C169)=0,"Not on Clients",IF(NOT(ISNUMBER(D169)),"Needs the sessions",IF(AND(E169&lt;&gt;"",NOT(ISNUMBER(E169))),"Price not a number",IF(AND(ISNUMBER(E169),N(F169)&gt;E169),"Paid more than the price","")))))))</f>
        <v/>
      </c>
      <c r="L169" s="1">
        <f>IF(ISNUMBER(B169),YEAR(B169)*100+MONTH(B169),"")</f>
        <v/>
      </c>
      <c r="M169">
        <f>IF(AND(K169="",C169&lt;&gt;""),1,0)</f>
        <v/>
      </c>
      <c r="N169">
        <f>IF(AND(M169=1,ISNUMBER(G169)),INT(G169),0)</f>
        <v/>
      </c>
    </row>
    <row r="170">
      <c r="A170" s="1" t="n"/>
      <c r="B170" s="17" t="n"/>
      <c r="C170" s="19" t="n"/>
      <c r="D170" s="25" t="n"/>
      <c r="E170" s="26" t="n"/>
      <c r="F170" s="26" t="n"/>
      <c r="G170" s="17" t="n"/>
      <c r="H170" s="21" t="n"/>
      <c r="I170" s="16">
        <f>IF(OR(N(D170)&lt;=0,NOT(ISNUMBER(E170))),"",E170/D170)</f>
        <v/>
      </c>
      <c r="J170" s="16">
        <f>IF(OR(C170="",NOT(ISNUMBER(E170))),"",MAX(0,E170-N(F170)))</f>
        <v/>
      </c>
      <c r="K170" s="12">
        <f>IF(AND(C170="",D170="",E170=""),"",IF(NOT(ISNUMBER(B170)),"Needs a date",IF(C170="","Needs a client",IF(COUNTIF(Clients!$B$6:$B$105,C170)=0,"Not on Clients",IF(NOT(ISNUMBER(D170)),"Needs the sessions",IF(AND(E170&lt;&gt;"",NOT(ISNUMBER(E170))),"Price not a number",IF(AND(ISNUMBER(E170),N(F170)&gt;E170),"Paid more than the price","")))))))</f>
        <v/>
      </c>
      <c r="L170" s="1">
        <f>IF(ISNUMBER(B170),YEAR(B170)*100+MONTH(B170),"")</f>
        <v/>
      </c>
      <c r="M170">
        <f>IF(AND(K170="",C170&lt;&gt;""),1,0)</f>
        <v/>
      </c>
      <c r="N170">
        <f>IF(AND(M170=1,ISNUMBER(G170)),INT(G170),0)</f>
        <v/>
      </c>
    </row>
    <row r="171">
      <c r="A171" s="1" t="n"/>
      <c r="B171" s="17" t="n"/>
      <c r="C171" s="19" t="n"/>
      <c r="D171" s="25" t="n"/>
      <c r="E171" s="26" t="n"/>
      <c r="F171" s="26" t="n"/>
      <c r="G171" s="17" t="n"/>
      <c r="H171" s="21" t="n"/>
      <c r="I171" s="16">
        <f>IF(OR(N(D171)&lt;=0,NOT(ISNUMBER(E171))),"",E171/D171)</f>
        <v/>
      </c>
      <c r="J171" s="16">
        <f>IF(OR(C171="",NOT(ISNUMBER(E171))),"",MAX(0,E171-N(F171)))</f>
        <v/>
      </c>
      <c r="K171" s="12">
        <f>IF(AND(C171="",D171="",E171=""),"",IF(NOT(ISNUMBER(B171)),"Needs a date",IF(C171="","Needs a client",IF(COUNTIF(Clients!$B$6:$B$105,C171)=0,"Not on Clients",IF(NOT(ISNUMBER(D171)),"Needs the sessions",IF(AND(E171&lt;&gt;"",NOT(ISNUMBER(E171))),"Price not a number",IF(AND(ISNUMBER(E171),N(F171)&gt;E171),"Paid more than the price","")))))))</f>
        <v/>
      </c>
      <c r="L171" s="1">
        <f>IF(ISNUMBER(B171),YEAR(B171)*100+MONTH(B171),"")</f>
        <v/>
      </c>
      <c r="M171">
        <f>IF(AND(K171="",C171&lt;&gt;""),1,0)</f>
        <v/>
      </c>
      <c r="N171">
        <f>IF(AND(M171=1,ISNUMBER(G171)),INT(G171),0)</f>
        <v/>
      </c>
    </row>
    <row r="172">
      <c r="A172" s="1" t="n"/>
      <c r="B172" s="17" t="n"/>
      <c r="C172" s="19" t="n"/>
      <c r="D172" s="25" t="n"/>
      <c r="E172" s="26" t="n"/>
      <c r="F172" s="26" t="n"/>
      <c r="G172" s="17" t="n"/>
      <c r="H172" s="21" t="n"/>
      <c r="I172" s="16">
        <f>IF(OR(N(D172)&lt;=0,NOT(ISNUMBER(E172))),"",E172/D172)</f>
        <v/>
      </c>
      <c r="J172" s="16">
        <f>IF(OR(C172="",NOT(ISNUMBER(E172))),"",MAX(0,E172-N(F172)))</f>
        <v/>
      </c>
      <c r="K172" s="12">
        <f>IF(AND(C172="",D172="",E172=""),"",IF(NOT(ISNUMBER(B172)),"Needs a date",IF(C172="","Needs a client",IF(COUNTIF(Clients!$B$6:$B$105,C172)=0,"Not on Clients",IF(NOT(ISNUMBER(D172)),"Needs the sessions",IF(AND(E172&lt;&gt;"",NOT(ISNUMBER(E172))),"Price not a number",IF(AND(ISNUMBER(E172),N(F172)&gt;E172),"Paid more than the price","")))))))</f>
        <v/>
      </c>
      <c r="L172" s="1">
        <f>IF(ISNUMBER(B172),YEAR(B172)*100+MONTH(B172),"")</f>
        <v/>
      </c>
      <c r="M172">
        <f>IF(AND(K172="",C172&lt;&gt;""),1,0)</f>
        <v/>
      </c>
      <c r="N172">
        <f>IF(AND(M172=1,ISNUMBER(G172)),INT(G172),0)</f>
        <v/>
      </c>
    </row>
    <row r="173">
      <c r="A173" s="1" t="n"/>
      <c r="B173" s="17" t="n"/>
      <c r="C173" s="19" t="n"/>
      <c r="D173" s="25" t="n"/>
      <c r="E173" s="26" t="n"/>
      <c r="F173" s="26" t="n"/>
      <c r="G173" s="17" t="n"/>
      <c r="H173" s="21" t="n"/>
      <c r="I173" s="16">
        <f>IF(OR(N(D173)&lt;=0,NOT(ISNUMBER(E173))),"",E173/D173)</f>
        <v/>
      </c>
      <c r="J173" s="16">
        <f>IF(OR(C173="",NOT(ISNUMBER(E173))),"",MAX(0,E173-N(F173)))</f>
        <v/>
      </c>
      <c r="K173" s="12">
        <f>IF(AND(C173="",D173="",E173=""),"",IF(NOT(ISNUMBER(B173)),"Needs a date",IF(C173="","Needs a client",IF(COUNTIF(Clients!$B$6:$B$105,C173)=0,"Not on Clients",IF(NOT(ISNUMBER(D173)),"Needs the sessions",IF(AND(E173&lt;&gt;"",NOT(ISNUMBER(E173))),"Price not a number",IF(AND(ISNUMBER(E173),N(F173)&gt;E173),"Paid more than the price","")))))))</f>
        <v/>
      </c>
      <c r="L173" s="1">
        <f>IF(ISNUMBER(B173),YEAR(B173)*100+MONTH(B173),"")</f>
        <v/>
      </c>
      <c r="M173">
        <f>IF(AND(K173="",C173&lt;&gt;""),1,0)</f>
        <v/>
      </c>
      <c r="N173">
        <f>IF(AND(M173=1,ISNUMBER(G173)),INT(G173),0)</f>
        <v/>
      </c>
    </row>
    <row r="174">
      <c r="A174" s="1" t="n"/>
      <c r="B174" s="17" t="n"/>
      <c r="C174" s="19" t="n"/>
      <c r="D174" s="25" t="n"/>
      <c r="E174" s="26" t="n"/>
      <c r="F174" s="26" t="n"/>
      <c r="G174" s="17" t="n"/>
      <c r="H174" s="21" t="n"/>
      <c r="I174" s="16">
        <f>IF(OR(N(D174)&lt;=0,NOT(ISNUMBER(E174))),"",E174/D174)</f>
        <v/>
      </c>
      <c r="J174" s="16">
        <f>IF(OR(C174="",NOT(ISNUMBER(E174))),"",MAX(0,E174-N(F174)))</f>
        <v/>
      </c>
      <c r="K174" s="12">
        <f>IF(AND(C174="",D174="",E174=""),"",IF(NOT(ISNUMBER(B174)),"Needs a date",IF(C174="","Needs a client",IF(COUNTIF(Clients!$B$6:$B$105,C174)=0,"Not on Clients",IF(NOT(ISNUMBER(D174)),"Needs the sessions",IF(AND(E174&lt;&gt;"",NOT(ISNUMBER(E174))),"Price not a number",IF(AND(ISNUMBER(E174),N(F174)&gt;E174),"Paid more than the price","")))))))</f>
        <v/>
      </c>
      <c r="L174" s="1">
        <f>IF(ISNUMBER(B174),YEAR(B174)*100+MONTH(B174),"")</f>
        <v/>
      </c>
      <c r="M174">
        <f>IF(AND(K174="",C174&lt;&gt;""),1,0)</f>
        <v/>
      </c>
      <c r="N174">
        <f>IF(AND(M174=1,ISNUMBER(G174)),INT(G174),0)</f>
        <v/>
      </c>
    </row>
    <row r="175">
      <c r="A175" s="1" t="n"/>
      <c r="B175" s="17" t="n"/>
      <c r="C175" s="19" t="n"/>
      <c r="D175" s="25" t="n"/>
      <c r="E175" s="26" t="n"/>
      <c r="F175" s="26" t="n"/>
      <c r="G175" s="17" t="n"/>
      <c r="H175" s="21" t="n"/>
      <c r="I175" s="16">
        <f>IF(OR(N(D175)&lt;=0,NOT(ISNUMBER(E175))),"",E175/D175)</f>
        <v/>
      </c>
      <c r="J175" s="16">
        <f>IF(OR(C175="",NOT(ISNUMBER(E175))),"",MAX(0,E175-N(F175)))</f>
        <v/>
      </c>
      <c r="K175" s="12">
        <f>IF(AND(C175="",D175="",E175=""),"",IF(NOT(ISNUMBER(B175)),"Needs a date",IF(C175="","Needs a client",IF(COUNTIF(Clients!$B$6:$B$105,C175)=0,"Not on Clients",IF(NOT(ISNUMBER(D175)),"Needs the sessions",IF(AND(E175&lt;&gt;"",NOT(ISNUMBER(E175))),"Price not a number",IF(AND(ISNUMBER(E175),N(F175)&gt;E175),"Paid more than the price","")))))))</f>
        <v/>
      </c>
      <c r="L175" s="1">
        <f>IF(ISNUMBER(B175),YEAR(B175)*100+MONTH(B175),"")</f>
        <v/>
      </c>
      <c r="M175">
        <f>IF(AND(K175="",C175&lt;&gt;""),1,0)</f>
        <v/>
      </c>
      <c r="N175">
        <f>IF(AND(M175=1,ISNUMBER(G175)),INT(G175),0)</f>
        <v/>
      </c>
    </row>
    <row r="176">
      <c r="A176" s="1" t="n"/>
      <c r="B176" s="17" t="n"/>
      <c r="C176" s="19" t="n"/>
      <c r="D176" s="25" t="n"/>
      <c r="E176" s="26" t="n"/>
      <c r="F176" s="26" t="n"/>
      <c r="G176" s="17" t="n"/>
      <c r="H176" s="21" t="n"/>
      <c r="I176" s="16">
        <f>IF(OR(N(D176)&lt;=0,NOT(ISNUMBER(E176))),"",E176/D176)</f>
        <v/>
      </c>
      <c r="J176" s="16">
        <f>IF(OR(C176="",NOT(ISNUMBER(E176))),"",MAX(0,E176-N(F176)))</f>
        <v/>
      </c>
      <c r="K176" s="12">
        <f>IF(AND(C176="",D176="",E176=""),"",IF(NOT(ISNUMBER(B176)),"Needs a date",IF(C176="","Needs a client",IF(COUNTIF(Clients!$B$6:$B$105,C176)=0,"Not on Clients",IF(NOT(ISNUMBER(D176)),"Needs the sessions",IF(AND(E176&lt;&gt;"",NOT(ISNUMBER(E176))),"Price not a number",IF(AND(ISNUMBER(E176),N(F176)&gt;E176),"Paid more than the price","")))))))</f>
        <v/>
      </c>
      <c r="L176" s="1">
        <f>IF(ISNUMBER(B176),YEAR(B176)*100+MONTH(B176),"")</f>
        <v/>
      </c>
      <c r="M176">
        <f>IF(AND(K176="",C176&lt;&gt;""),1,0)</f>
        <v/>
      </c>
      <c r="N176">
        <f>IF(AND(M176=1,ISNUMBER(G176)),INT(G176),0)</f>
        <v/>
      </c>
    </row>
    <row r="177">
      <c r="A177" s="1" t="n"/>
      <c r="B177" s="17" t="n"/>
      <c r="C177" s="19" t="n"/>
      <c r="D177" s="25" t="n"/>
      <c r="E177" s="26" t="n"/>
      <c r="F177" s="26" t="n"/>
      <c r="G177" s="17" t="n"/>
      <c r="H177" s="21" t="n"/>
      <c r="I177" s="16">
        <f>IF(OR(N(D177)&lt;=0,NOT(ISNUMBER(E177))),"",E177/D177)</f>
        <v/>
      </c>
      <c r="J177" s="16">
        <f>IF(OR(C177="",NOT(ISNUMBER(E177))),"",MAX(0,E177-N(F177)))</f>
        <v/>
      </c>
      <c r="K177" s="12">
        <f>IF(AND(C177="",D177="",E177=""),"",IF(NOT(ISNUMBER(B177)),"Needs a date",IF(C177="","Needs a client",IF(COUNTIF(Clients!$B$6:$B$105,C177)=0,"Not on Clients",IF(NOT(ISNUMBER(D177)),"Needs the sessions",IF(AND(E177&lt;&gt;"",NOT(ISNUMBER(E177))),"Price not a number",IF(AND(ISNUMBER(E177),N(F177)&gt;E177),"Paid more than the price","")))))))</f>
        <v/>
      </c>
      <c r="L177" s="1">
        <f>IF(ISNUMBER(B177),YEAR(B177)*100+MONTH(B177),"")</f>
        <v/>
      </c>
      <c r="M177">
        <f>IF(AND(K177="",C177&lt;&gt;""),1,0)</f>
        <v/>
      </c>
      <c r="N177">
        <f>IF(AND(M177=1,ISNUMBER(G177)),INT(G177),0)</f>
        <v/>
      </c>
    </row>
    <row r="178">
      <c r="A178" s="1" t="n"/>
      <c r="B178" s="17" t="n"/>
      <c r="C178" s="19" t="n"/>
      <c r="D178" s="25" t="n"/>
      <c r="E178" s="26" t="n"/>
      <c r="F178" s="26" t="n"/>
      <c r="G178" s="17" t="n"/>
      <c r="H178" s="21" t="n"/>
      <c r="I178" s="16">
        <f>IF(OR(N(D178)&lt;=0,NOT(ISNUMBER(E178))),"",E178/D178)</f>
        <v/>
      </c>
      <c r="J178" s="16">
        <f>IF(OR(C178="",NOT(ISNUMBER(E178))),"",MAX(0,E178-N(F178)))</f>
        <v/>
      </c>
      <c r="K178" s="12">
        <f>IF(AND(C178="",D178="",E178=""),"",IF(NOT(ISNUMBER(B178)),"Needs a date",IF(C178="","Needs a client",IF(COUNTIF(Clients!$B$6:$B$105,C178)=0,"Not on Clients",IF(NOT(ISNUMBER(D178)),"Needs the sessions",IF(AND(E178&lt;&gt;"",NOT(ISNUMBER(E178))),"Price not a number",IF(AND(ISNUMBER(E178),N(F178)&gt;E178),"Paid more than the price","")))))))</f>
        <v/>
      </c>
      <c r="L178" s="1">
        <f>IF(ISNUMBER(B178),YEAR(B178)*100+MONTH(B178),"")</f>
        <v/>
      </c>
      <c r="M178">
        <f>IF(AND(K178="",C178&lt;&gt;""),1,0)</f>
        <v/>
      </c>
      <c r="N178">
        <f>IF(AND(M178=1,ISNUMBER(G178)),INT(G178),0)</f>
        <v/>
      </c>
    </row>
    <row r="179">
      <c r="A179" s="1" t="n"/>
      <c r="B179" s="17" t="n"/>
      <c r="C179" s="19" t="n"/>
      <c r="D179" s="25" t="n"/>
      <c r="E179" s="26" t="n"/>
      <c r="F179" s="26" t="n"/>
      <c r="G179" s="17" t="n"/>
      <c r="H179" s="21" t="n"/>
      <c r="I179" s="16">
        <f>IF(OR(N(D179)&lt;=0,NOT(ISNUMBER(E179))),"",E179/D179)</f>
        <v/>
      </c>
      <c r="J179" s="16">
        <f>IF(OR(C179="",NOT(ISNUMBER(E179))),"",MAX(0,E179-N(F179)))</f>
        <v/>
      </c>
      <c r="K179" s="12">
        <f>IF(AND(C179="",D179="",E179=""),"",IF(NOT(ISNUMBER(B179)),"Needs a date",IF(C179="","Needs a client",IF(COUNTIF(Clients!$B$6:$B$105,C179)=0,"Not on Clients",IF(NOT(ISNUMBER(D179)),"Needs the sessions",IF(AND(E179&lt;&gt;"",NOT(ISNUMBER(E179))),"Price not a number",IF(AND(ISNUMBER(E179),N(F179)&gt;E179),"Paid more than the price","")))))))</f>
        <v/>
      </c>
      <c r="L179" s="1">
        <f>IF(ISNUMBER(B179),YEAR(B179)*100+MONTH(B179),"")</f>
        <v/>
      </c>
      <c r="M179">
        <f>IF(AND(K179="",C179&lt;&gt;""),1,0)</f>
        <v/>
      </c>
      <c r="N179">
        <f>IF(AND(M179=1,ISNUMBER(G179)),INT(G179),0)</f>
        <v/>
      </c>
    </row>
    <row r="180">
      <c r="A180" s="1" t="n"/>
      <c r="B180" s="17" t="n"/>
      <c r="C180" s="19" t="n"/>
      <c r="D180" s="25" t="n"/>
      <c r="E180" s="26" t="n"/>
      <c r="F180" s="26" t="n"/>
      <c r="G180" s="17" t="n"/>
      <c r="H180" s="21" t="n"/>
      <c r="I180" s="16">
        <f>IF(OR(N(D180)&lt;=0,NOT(ISNUMBER(E180))),"",E180/D180)</f>
        <v/>
      </c>
      <c r="J180" s="16">
        <f>IF(OR(C180="",NOT(ISNUMBER(E180))),"",MAX(0,E180-N(F180)))</f>
        <v/>
      </c>
      <c r="K180" s="12">
        <f>IF(AND(C180="",D180="",E180=""),"",IF(NOT(ISNUMBER(B180)),"Needs a date",IF(C180="","Needs a client",IF(COUNTIF(Clients!$B$6:$B$105,C180)=0,"Not on Clients",IF(NOT(ISNUMBER(D180)),"Needs the sessions",IF(AND(E180&lt;&gt;"",NOT(ISNUMBER(E180))),"Price not a number",IF(AND(ISNUMBER(E180),N(F180)&gt;E180),"Paid more than the price","")))))))</f>
        <v/>
      </c>
      <c r="L180" s="1">
        <f>IF(ISNUMBER(B180),YEAR(B180)*100+MONTH(B180),"")</f>
        <v/>
      </c>
      <c r="M180">
        <f>IF(AND(K180="",C180&lt;&gt;""),1,0)</f>
        <v/>
      </c>
      <c r="N180">
        <f>IF(AND(M180=1,ISNUMBER(G180)),INT(G180),0)</f>
        <v/>
      </c>
    </row>
    <row r="181">
      <c r="A181" s="1" t="n"/>
      <c r="B181" s="17" t="n"/>
      <c r="C181" s="19" t="n"/>
      <c r="D181" s="25" t="n"/>
      <c r="E181" s="26" t="n"/>
      <c r="F181" s="26" t="n"/>
      <c r="G181" s="17" t="n"/>
      <c r="H181" s="21" t="n"/>
      <c r="I181" s="16">
        <f>IF(OR(N(D181)&lt;=0,NOT(ISNUMBER(E181))),"",E181/D181)</f>
        <v/>
      </c>
      <c r="J181" s="16">
        <f>IF(OR(C181="",NOT(ISNUMBER(E181))),"",MAX(0,E181-N(F181)))</f>
        <v/>
      </c>
      <c r="K181" s="12">
        <f>IF(AND(C181="",D181="",E181=""),"",IF(NOT(ISNUMBER(B181)),"Needs a date",IF(C181="","Needs a client",IF(COUNTIF(Clients!$B$6:$B$105,C181)=0,"Not on Clients",IF(NOT(ISNUMBER(D181)),"Needs the sessions",IF(AND(E181&lt;&gt;"",NOT(ISNUMBER(E181))),"Price not a number",IF(AND(ISNUMBER(E181),N(F181)&gt;E181),"Paid more than the price","")))))))</f>
        <v/>
      </c>
      <c r="L181" s="1">
        <f>IF(ISNUMBER(B181),YEAR(B181)*100+MONTH(B181),"")</f>
        <v/>
      </c>
      <c r="M181">
        <f>IF(AND(K181="",C181&lt;&gt;""),1,0)</f>
        <v/>
      </c>
      <c r="N181">
        <f>IF(AND(M181=1,ISNUMBER(G181)),INT(G181),0)</f>
        <v/>
      </c>
    </row>
    <row r="182">
      <c r="A182" s="1" t="n"/>
      <c r="B182" s="17" t="n"/>
      <c r="C182" s="19" t="n"/>
      <c r="D182" s="25" t="n"/>
      <c r="E182" s="26" t="n"/>
      <c r="F182" s="26" t="n"/>
      <c r="G182" s="17" t="n"/>
      <c r="H182" s="21" t="n"/>
      <c r="I182" s="16">
        <f>IF(OR(N(D182)&lt;=0,NOT(ISNUMBER(E182))),"",E182/D182)</f>
        <v/>
      </c>
      <c r="J182" s="16">
        <f>IF(OR(C182="",NOT(ISNUMBER(E182))),"",MAX(0,E182-N(F182)))</f>
        <v/>
      </c>
      <c r="K182" s="12">
        <f>IF(AND(C182="",D182="",E182=""),"",IF(NOT(ISNUMBER(B182)),"Needs a date",IF(C182="","Needs a client",IF(COUNTIF(Clients!$B$6:$B$105,C182)=0,"Not on Clients",IF(NOT(ISNUMBER(D182)),"Needs the sessions",IF(AND(E182&lt;&gt;"",NOT(ISNUMBER(E182))),"Price not a number",IF(AND(ISNUMBER(E182),N(F182)&gt;E182),"Paid more than the price","")))))))</f>
        <v/>
      </c>
      <c r="L182" s="1">
        <f>IF(ISNUMBER(B182),YEAR(B182)*100+MONTH(B182),"")</f>
        <v/>
      </c>
      <c r="M182">
        <f>IF(AND(K182="",C182&lt;&gt;""),1,0)</f>
        <v/>
      </c>
      <c r="N182">
        <f>IF(AND(M182=1,ISNUMBER(G182)),INT(G182),0)</f>
        <v/>
      </c>
    </row>
    <row r="183">
      <c r="A183" s="1" t="n"/>
      <c r="B183" s="17" t="n"/>
      <c r="C183" s="19" t="n"/>
      <c r="D183" s="25" t="n"/>
      <c r="E183" s="26" t="n"/>
      <c r="F183" s="26" t="n"/>
      <c r="G183" s="17" t="n"/>
      <c r="H183" s="21" t="n"/>
      <c r="I183" s="16">
        <f>IF(OR(N(D183)&lt;=0,NOT(ISNUMBER(E183))),"",E183/D183)</f>
        <v/>
      </c>
      <c r="J183" s="16">
        <f>IF(OR(C183="",NOT(ISNUMBER(E183))),"",MAX(0,E183-N(F183)))</f>
        <v/>
      </c>
      <c r="K183" s="12">
        <f>IF(AND(C183="",D183="",E183=""),"",IF(NOT(ISNUMBER(B183)),"Needs a date",IF(C183="","Needs a client",IF(COUNTIF(Clients!$B$6:$B$105,C183)=0,"Not on Clients",IF(NOT(ISNUMBER(D183)),"Needs the sessions",IF(AND(E183&lt;&gt;"",NOT(ISNUMBER(E183))),"Price not a number",IF(AND(ISNUMBER(E183),N(F183)&gt;E183),"Paid more than the price","")))))))</f>
        <v/>
      </c>
      <c r="L183" s="1">
        <f>IF(ISNUMBER(B183),YEAR(B183)*100+MONTH(B183),"")</f>
        <v/>
      </c>
      <c r="M183">
        <f>IF(AND(K183="",C183&lt;&gt;""),1,0)</f>
        <v/>
      </c>
      <c r="N183">
        <f>IF(AND(M183=1,ISNUMBER(G183)),INT(G183),0)</f>
        <v/>
      </c>
    </row>
    <row r="184">
      <c r="A184" s="1" t="n"/>
      <c r="B184" s="17" t="n"/>
      <c r="C184" s="19" t="n"/>
      <c r="D184" s="25" t="n"/>
      <c r="E184" s="26" t="n"/>
      <c r="F184" s="26" t="n"/>
      <c r="G184" s="17" t="n"/>
      <c r="H184" s="21" t="n"/>
      <c r="I184" s="16">
        <f>IF(OR(N(D184)&lt;=0,NOT(ISNUMBER(E184))),"",E184/D184)</f>
        <v/>
      </c>
      <c r="J184" s="16">
        <f>IF(OR(C184="",NOT(ISNUMBER(E184))),"",MAX(0,E184-N(F184)))</f>
        <v/>
      </c>
      <c r="K184" s="12">
        <f>IF(AND(C184="",D184="",E184=""),"",IF(NOT(ISNUMBER(B184)),"Needs a date",IF(C184="","Needs a client",IF(COUNTIF(Clients!$B$6:$B$105,C184)=0,"Not on Clients",IF(NOT(ISNUMBER(D184)),"Needs the sessions",IF(AND(E184&lt;&gt;"",NOT(ISNUMBER(E184))),"Price not a number",IF(AND(ISNUMBER(E184),N(F184)&gt;E184),"Paid more than the price","")))))))</f>
        <v/>
      </c>
      <c r="L184" s="1">
        <f>IF(ISNUMBER(B184),YEAR(B184)*100+MONTH(B184),"")</f>
        <v/>
      </c>
      <c r="M184">
        <f>IF(AND(K184="",C184&lt;&gt;""),1,0)</f>
        <v/>
      </c>
      <c r="N184">
        <f>IF(AND(M184=1,ISNUMBER(G184)),INT(G184),0)</f>
        <v/>
      </c>
    </row>
    <row r="185">
      <c r="A185" s="1" t="n"/>
      <c r="B185" s="17" t="n"/>
      <c r="C185" s="19" t="n"/>
      <c r="D185" s="25" t="n"/>
      <c r="E185" s="26" t="n"/>
      <c r="F185" s="26" t="n"/>
      <c r="G185" s="17" t="n"/>
      <c r="H185" s="21" t="n"/>
      <c r="I185" s="16">
        <f>IF(OR(N(D185)&lt;=0,NOT(ISNUMBER(E185))),"",E185/D185)</f>
        <v/>
      </c>
      <c r="J185" s="16">
        <f>IF(OR(C185="",NOT(ISNUMBER(E185))),"",MAX(0,E185-N(F185)))</f>
        <v/>
      </c>
      <c r="K185" s="12">
        <f>IF(AND(C185="",D185="",E185=""),"",IF(NOT(ISNUMBER(B185)),"Needs a date",IF(C185="","Needs a client",IF(COUNTIF(Clients!$B$6:$B$105,C185)=0,"Not on Clients",IF(NOT(ISNUMBER(D185)),"Needs the sessions",IF(AND(E185&lt;&gt;"",NOT(ISNUMBER(E185))),"Price not a number",IF(AND(ISNUMBER(E185),N(F185)&gt;E185),"Paid more than the price","")))))))</f>
        <v/>
      </c>
      <c r="L185" s="1">
        <f>IF(ISNUMBER(B185),YEAR(B185)*100+MONTH(B185),"")</f>
        <v/>
      </c>
      <c r="M185">
        <f>IF(AND(K185="",C185&lt;&gt;""),1,0)</f>
        <v/>
      </c>
      <c r="N185">
        <f>IF(AND(M185=1,ISNUMBER(G185)),INT(G185),0)</f>
        <v/>
      </c>
    </row>
    <row r="186">
      <c r="A186" s="1" t="n"/>
      <c r="B186" s="17" t="n"/>
      <c r="C186" s="19" t="n"/>
      <c r="D186" s="25" t="n"/>
      <c r="E186" s="26" t="n"/>
      <c r="F186" s="26" t="n"/>
      <c r="G186" s="17" t="n"/>
      <c r="H186" s="21" t="n"/>
      <c r="I186" s="16">
        <f>IF(OR(N(D186)&lt;=0,NOT(ISNUMBER(E186))),"",E186/D186)</f>
        <v/>
      </c>
      <c r="J186" s="16">
        <f>IF(OR(C186="",NOT(ISNUMBER(E186))),"",MAX(0,E186-N(F186)))</f>
        <v/>
      </c>
      <c r="K186" s="12">
        <f>IF(AND(C186="",D186="",E186=""),"",IF(NOT(ISNUMBER(B186)),"Needs a date",IF(C186="","Needs a client",IF(COUNTIF(Clients!$B$6:$B$105,C186)=0,"Not on Clients",IF(NOT(ISNUMBER(D186)),"Needs the sessions",IF(AND(E186&lt;&gt;"",NOT(ISNUMBER(E186))),"Price not a number",IF(AND(ISNUMBER(E186),N(F186)&gt;E186),"Paid more than the price","")))))))</f>
        <v/>
      </c>
      <c r="L186" s="1">
        <f>IF(ISNUMBER(B186),YEAR(B186)*100+MONTH(B186),"")</f>
        <v/>
      </c>
      <c r="M186">
        <f>IF(AND(K186="",C186&lt;&gt;""),1,0)</f>
        <v/>
      </c>
      <c r="N186">
        <f>IF(AND(M186=1,ISNUMBER(G186)),INT(G186),0)</f>
        <v/>
      </c>
    </row>
    <row r="187">
      <c r="A187" s="1" t="n"/>
      <c r="B187" s="17" t="n"/>
      <c r="C187" s="19" t="n"/>
      <c r="D187" s="25" t="n"/>
      <c r="E187" s="26" t="n"/>
      <c r="F187" s="26" t="n"/>
      <c r="G187" s="17" t="n"/>
      <c r="H187" s="21" t="n"/>
      <c r="I187" s="16">
        <f>IF(OR(N(D187)&lt;=0,NOT(ISNUMBER(E187))),"",E187/D187)</f>
        <v/>
      </c>
      <c r="J187" s="16">
        <f>IF(OR(C187="",NOT(ISNUMBER(E187))),"",MAX(0,E187-N(F187)))</f>
        <v/>
      </c>
      <c r="K187" s="12">
        <f>IF(AND(C187="",D187="",E187=""),"",IF(NOT(ISNUMBER(B187)),"Needs a date",IF(C187="","Needs a client",IF(COUNTIF(Clients!$B$6:$B$105,C187)=0,"Not on Clients",IF(NOT(ISNUMBER(D187)),"Needs the sessions",IF(AND(E187&lt;&gt;"",NOT(ISNUMBER(E187))),"Price not a number",IF(AND(ISNUMBER(E187),N(F187)&gt;E187),"Paid more than the price","")))))))</f>
        <v/>
      </c>
      <c r="L187" s="1">
        <f>IF(ISNUMBER(B187),YEAR(B187)*100+MONTH(B187),"")</f>
        <v/>
      </c>
      <c r="M187">
        <f>IF(AND(K187="",C187&lt;&gt;""),1,0)</f>
        <v/>
      </c>
      <c r="N187">
        <f>IF(AND(M187=1,ISNUMBER(G187)),INT(G187),0)</f>
        <v/>
      </c>
    </row>
    <row r="188">
      <c r="A188" s="1" t="n"/>
      <c r="B188" s="17" t="n"/>
      <c r="C188" s="19" t="n"/>
      <c r="D188" s="25" t="n"/>
      <c r="E188" s="26" t="n"/>
      <c r="F188" s="26" t="n"/>
      <c r="G188" s="17" t="n"/>
      <c r="H188" s="21" t="n"/>
      <c r="I188" s="16">
        <f>IF(OR(N(D188)&lt;=0,NOT(ISNUMBER(E188))),"",E188/D188)</f>
        <v/>
      </c>
      <c r="J188" s="16">
        <f>IF(OR(C188="",NOT(ISNUMBER(E188))),"",MAX(0,E188-N(F188)))</f>
        <v/>
      </c>
      <c r="K188" s="12">
        <f>IF(AND(C188="",D188="",E188=""),"",IF(NOT(ISNUMBER(B188)),"Needs a date",IF(C188="","Needs a client",IF(COUNTIF(Clients!$B$6:$B$105,C188)=0,"Not on Clients",IF(NOT(ISNUMBER(D188)),"Needs the sessions",IF(AND(E188&lt;&gt;"",NOT(ISNUMBER(E188))),"Price not a number",IF(AND(ISNUMBER(E188),N(F188)&gt;E188),"Paid more than the price","")))))))</f>
        <v/>
      </c>
      <c r="L188" s="1">
        <f>IF(ISNUMBER(B188),YEAR(B188)*100+MONTH(B188),"")</f>
        <v/>
      </c>
      <c r="M188">
        <f>IF(AND(K188="",C188&lt;&gt;""),1,0)</f>
        <v/>
      </c>
      <c r="N188">
        <f>IF(AND(M188=1,ISNUMBER(G188)),INT(G188),0)</f>
        <v/>
      </c>
    </row>
    <row r="189">
      <c r="A189" s="1" t="n"/>
      <c r="B189" s="17" t="n"/>
      <c r="C189" s="19" t="n"/>
      <c r="D189" s="25" t="n"/>
      <c r="E189" s="26" t="n"/>
      <c r="F189" s="26" t="n"/>
      <c r="G189" s="17" t="n"/>
      <c r="H189" s="21" t="n"/>
      <c r="I189" s="16">
        <f>IF(OR(N(D189)&lt;=0,NOT(ISNUMBER(E189))),"",E189/D189)</f>
        <v/>
      </c>
      <c r="J189" s="16">
        <f>IF(OR(C189="",NOT(ISNUMBER(E189))),"",MAX(0,E189-N(F189)))</f>
        <v/>
      </c>
      <c r="K189" s="12">
        <f>IF(AND(C189="",D189="",E189=""),"",IF(NOT(ISNUMBER(B189)),"Needs a date",IF(C189="","Needs a client",IF(COUNTIF(Clients!$B$6:$B$105,C189)=0,"Not on Clients",IF(NOT(ISNUMBER(D189)),"Needs the sessions",IF(AND(E189&lt;&gt;"",NOT(ISNUMBER(E189))),"Price not a number",IF(AND(ISNUMBER(E189),N(F189)&gt;E189),"Paid more than the price","")))))))</f>
        <v/>
      </c>
      <c r="L189" s="1">
        <f>IF(ISNUMBER(B189),YEAR(B189)*100+MONTH(B189),"")</f>
        <v/>
      </c>
      <c r="M189">
        <f>IF(AND(K189="",C189&lt;&gt;""),1,0)</f>
        <v/>
      </c>
      <c r="N189">
        <f>IF(AND(M189=1,ISNUMBER(G189)),INT(G189),0)</f>
        <v/>
      </c>
    </row>
    <row r="190">
      <c r="A190" s="1" t="n"/>
      <c r="B190" s="17" t="n"/>
      <c r="C190" s="19" t="n"/>
      <c r="D190" s="25" t="n"/>
      <c r="E190" s="26" t="n"/>
      <c r="F190" s="26" t="n"/>
      <c r="G190" s="17" t="n"/>
      <c r="H190" s="21" t="n"/>
      <c r="I190" s="16">
        <f>IF(OR(N(D190)&lt;=0,NOT(ISNUMBER(E190))),"",E190/D190)</f>
        <v/>
      </c>
      <c r="J190" s="16">
        <f>IF(OR(C190="",NOT(ISNUMBER(E190))),"",MAX(0,E190-N(F190)))</f>
        <v/>
      </c>
      <c r="K190" s="12">
        <f>IF(AND(C190="",D190="",E190=""),"",IF(NOT(ISNUMBER(B190)),"Needs a date",IF(C190="","Needs a client",IF(COUNTIF(Clients!$B$6:$B$105,C190)=0,"Not on Clients",IF(NOT(ISNUMBER(D190)),"Needs the sessions",IF(AND(E190&lt;&gt;"",NOT(ISNUMBER(E190))),"Price not a number",IF(AND(ISNUMBER(E190),N(F190)&gt;E190),"Paid more than the price","")))))))</f>
        <v/>
      </c>
      <c r="L190" s="1">
        <f>IF(ISNUMBER(B190),YEAR(B190)*100+MONTH(B190),"")</f>
        <v/>
      </c>
      <c r="M190">
        <f>IF(AND(K190="",C190&lt;&gt;""),1,0)</f>
        <v/>
      </c>
      <c r="N190">
        <f>IF(AND(M190=1,ISNUMBER(G190)),INT(G190),0)</f>
        <v/>
      </c>
    </row>
    <row r="191">
      <c r="A191" s="1" t="n"/>
      <c r="B191" s="17" t="n"/>
      <c r="C191" s="19" t="n"/>
      <c r="D191" s="25" t="n"/>
      <c r="E191" s="26" t="n"/>
      <c r="F191" s="26" t="n"/>
      <c r="G191" s="17" t="n"/>
      <c r="H191" s="21" t="n"/>
      <c r="I191" s="16">
        <f>IF(OR(N(D191)&lt;=0,NOT(ISNUMBER(E191))),"",E191/D191)</f>
        <v/>
      </c>
      <c r="J191" s="16">
        <f>IF(OR(C191="",NOT(ISNUMBER(E191))),"",MAX(0,E191-N(F191)))</f>
        <v/>
      </c>
      <c r="K191" s="12">
        <f>IF(AND(C191="",D191="",E191=""),"",IF(NOT(ISNUMBER(B191)),"Needs a date",IF(C191="","Needs a client",IF(COUNTIF(Clients!$B$6:$B$105,C191)=0,"Not on Clients",IF(NOT(ISNUMBER(D191)),"Needs the sessions",IF(AND(E191&lt;&gt;"",NOT(ISNUMBER(E191))),"Price not a number",IF(AND(ISNUMBER(E191),N(F191)&gt;E191),"Paid more than the price","")))))))</f>
        <v/>
      </c>
      <c r="L191" s="1">
        <f>IF(ISNUMBER(B191),YEAR(B191)*100+MONTH(B191),"")</f>
        <v/>
      </c>
      <c r="M191">
        <f>IF(AND(K191="",C191&lt;&gt;""),1,0)</f>
        <v/>
      </c>
      <c r="N191">
        <f>IF(AND(M191=1,ISNUMBER(G191)),INT(G191),0)</f>
        <v/>
      </c>
    </row>
    <row r="192">
      <c r="A192" s="1" t="n"/>
      <c r="B192" s="17" t="n"/>
      <c r="C192" s="19" t="n"/>
      <c r="D192" s="25" t="n"/>
      <c r="E192" s="26" t="n"/>
      <c r="F192" s="26" t="n"/>
      <c r="G192" s="17" t="n"/>
      <c r="H192" s="21" t="n"/>
      <c r="I192" s="16">
        <f>IF(OR(N(D192)&lt;=0,NOT(ISNUMBER(E192))),"",E192/D192)</f>
        <v/>
      </c>
      <c r="J192" s="16">
        <f>IF(OR(C192="",NOT(ISNUMBER(E192))),"",MAX(0,E192-N(F192)))</f>
        <v/>
      </c>
      <c r="K192" s="12">
        <f>IF(AND(C192="",D192="",E192=""),"",IF(NOT(ISNUMBER(B192)),"Needs a date",IF(C192="","Needs a client",IF(COUNTIF(Clients!$B$6:$B$105,C192)=0,"Not on Clients",IF(NOT(ISNUMBER(D192)),"Needs the sessions",IF(AND(E192&lt;&gt;"",NOT(ISNUMBER(E192))),"Price not a number",IF(AND(ISNUMBER(E192),N(F192)&gt;E192),"Paid more than the price","")))))))</f>
        <v/>
      </c>
      <c r="L192" s="1">
        <f>IF(ISNUMBER(B192),YEAR(B192)*100+MONTH(B192),"")</f>
        <v/>
      </c>
      <c r="M192">
        <f>IF(AND(K192="",C192&lt;&gt;""),1,0)</f>
        <v/>
      </c>
      <c r="N192">
        <f>IF(AND(M192=1,ISNUMBER(G192)),INT(G192),0)</f>
        <v/>
      </c>
    </row>
    <row r="193">
      <c r="A193" s="1" t="n"/>
      <c r="B193" s="17" t="n"/>
      <c r="C193" s="19" t="n"/>
      <c r="D193" s="25" t="n"/>
      <c r="E193" s="26" t="n"/>
      <c r="F193" s="26" t="n"/>
      <c r="G193" s="17" t="n"/>
      <c r="H193" s="21" t="n"/>
      <c r="I193" s="16">
        <f>IF(OR(N(D193)&lt;=0,NOT(ISNUMBER(E193))),"",E193/D193)</f>
        <v/>
      </c>
      <c r="J193" s="16">
        <f>IF(OR(C193="",NOT(ISNUMBER(E193))),"",MAX(0,E193-N(F193)))</f>
        <v/>
      </c>
      <c r="K193" s="12">
        <f>IF(AND(C193="",D193="",E193=""),"",IF(NOT(ISNUMBER(B193)),"Needs a date",IF(C193="","Needs a client",IF(COUNTIF(Clients!$B$6:$B$105,C193)=0,"Not on Clients",IF(NOT(ISNUMBER(D193)),"Needs the sessions",IF(AND(E193&lt;&gt;"",NOT(ISNUMBER(E193))),"Price not a number",IF(AND(ISNUMBER(E193),N(F193)&gt;E193),"Paid more than the price","")))))))</f>
        <v/>
      </c>
      <c r="L193" s="1">
        <f>IF(ISNUMBER(B193),YEAR(B193)*100+MONTH(B193),"")</f>
        <v/>
      </c>
      <c r="M193">
        <f>IF(AND(K193="",C193&lt;&gt;""),1,0)</f>
        <v/>
      </c>
      <c r="N193">
        <f>IF(AND(M193=1,ISNUMBER(G193)),INT(G193),0)</f>
        <v/>
      </c>
    </row>
    <row r="194">
      <c r="A194" s="1" t="n"/>
      <c r="B194" s="17" t="n"/>
      <c r="C194" s="19" t="n"/>
      <c r="D194" s="25" t="n"/>
      <c r="E194" s="26" t="n"/>
      <c r="F194" s="26" t="n"/>
      <c r="G194" s="17" t="n"/>
      <c r="H194" s="21" t="n"/>
      <c r="I194" s="16">
        <f>IF(OR(N(D194)&lt;=0,NOT(ISNUMBER(E194))),"",E194/D194)</f>
        <v/>
      </c>
      <c r="J194" s="16">
        <f>IF(OR(C194="",NOT(ISNUMBER(E194))),"",MAX(0,E194-N(F194)))</f>
        <v/>
      </c>
      <c r="K194" s="12">
        <f>IF(AND(C194="",D194="",E194=""),"",IF(NOT(ISNUMBER(B194)),"Needs a date",IF(C194="","Needs a client",IF(COUNTIF(Clients!$B$6:$B$105,C194)=0,"Not on Clients",IF(NOT(ISNUMBER(D194)),"Needs the sessions",IF(AND(E194&lt;&gt;"",NOT(ISNUMBER(E194))),"Price not a number",IF(AND(ISNUMBER(E194),N(F194)&gt;E194),"Paid more than the price","")))))))</f>
        <v/>
      </c>
      <c r="L194" s="1">
        <f>IF(ISNUMBER(B194),YEAR(B194)*100+MONTH(B194),"")</f>
        <v/>
      </c>
      <c r="M194">
        <f>IF(AND(K194="",C194&lt;&gt;""),1,0)</f>
        <v/>
      </c>
      <c r="N194">
        <f>IF(AND(M194=1,ISNUMBER(G194)),INT(G194),0)</f>
        <v/>
      </c>
    </row>
    <row r="195">
      <c r="A195" s="1" t="n"/>
      <c r="B195" s="17" t="n"/>
      <c r="C195" s="19" t="n"/>
      <c r="D195" s="25" t="n"/>
      <c r="E195" s="26" t="n"/>
      <c r="F195" s="26" t="n"/>
      <c r="G195" s="17" t="n"/>
      <c r="H195" s="21" t="n"/>
      <c r="I195" s="16">
        <f>IF(OR(N(D195)&lt;=0,NOT(ISNUMBER(E195))),"",E195/D195)</f>
        <v/>
      </c>
      <c r="J195" s="16">
        <f>IF(OR(C195="",NOT(ISNUMBER(E195))),"",MAX(0,E195-N(F195)))</f>
        <v/>
      </c>
      <c r="K195" s="12">
        <f>IF(AND(C195="",D195="",E195=""),"",IF(NOT(ISNUMBER(B195)),"Needs a date",IF(C195="","Needs a client",IF(COUNTIF(Clients!$B$6:$B$105,C195)=0,"Not on Clients",IF(NOT(ISNUMBER(D195)),"Needs the sessions",IF(AND(E195&lt;&gt;"",NOT(ISNUMBER(E195))),"Price not a number",IF(AND(ISNUMBER(E195),N(F195)&gt;E195),"Paid more than the price","")))))))</f>
        <v/>
      </c>
      <c r="L195" s="1">
        <f>IF(ISNUMBER(B195),YEAR(B195)*100+MONTH(B195),"")</f>
        <v/>
      </c>
      <c r="M195">
        <f>IF(AND(K195="",C195&lt;&gt;""),1,0)</f>
        <v/>
      </c>
      <c r="N195">
        <f>IF(AND(M195=1,ISNUMBER(G195)),INT(G195),0)</f>
        <v/>
      </c>
    </row>
    <row r="196">
      <c r="A196" s="1" t="n"/>
      <c r="B196" s="17" t="n"/>
      <c r="C196" s="19" t="n"/>
      <c r="D196" s="25" t="n"/>
      <c r="E196" s="26" t="n"/>
      <c r="F196" s="26" t="n"/>
      <c r="G196" s="17" t="n"/>
      <c r="H196" s="21" t="n"/>
      <c r="I196" s="16">
        <f>IF(OR(N(D196)&lt;=0,NOT(ISNUMBER(E196))),"",E196/D196)</f>
        <v/>
      </c>
      <c r="J196" s="16">
        <f>IF(OR(C196="",NOT(ISNUMBER(E196))),"",MAX(0,E196-N(F196)))</f>
        <v/>
      </c>
      <c r="K196" s="12">
        <f>IF(AND(C196="",D196="",E196=""),"",IF(NOT(ISNUMBER(B196)),"Needs a date",IF(C196="","Needs a client",IF(COUNTIF(Clients!$B$6:$B$105,C196)=0,"Not on Clients",IF(NOT(ISNUMBER(D196)),"Needs the sessions",IF(AND(E196&lt;&gt;"",NOT(ISNUMBER(E196))),"Price not a number",IF(AND(ISNUMBER(E196),N(F196)&gt;E196),"Paid more than the price","")))))))</f>
        <v/>
      </c>
      <c r="L196" s="1">
        <f>IF(ISNUMBER(B196),YEAR(B196)*100+MONTH(B196),"")</f>
        <v/>
      </c>
      <c r="M196">
        <f>IF(AND(K196="",C196&lt;&gt;""),1,0)</f>
        <v/>
      </c>
      <c r="N196">
        <f>IF(AND(M196=1,ISNUMBER(G196)),INT(G196),0)</f>
        <v/>
      </c>
    </row>
    <row r="197">
      <c r="A197" s="1" t="n"/>
      <c r="B197" s="17" t="n"/>
      <c r="C197" s="19" t="n"/>
      <c r="D197" s="25" t="n"/>
      <c r="E197" s="26" t="n"/>
      <c r="F197" s="26" t="n"/>
      <c r="G197" s="17" t="n"/>
      <c r="H197" s="21" t="n"/>
      <c r="I197" s="16">
        <f>IF(OR(N(D197)&lt;=0,NOT(ISNUMBER(E197))),"",E197/D197)</f>
        <v/>
      </c>
      <c r="J197" s="16">
        <f>IF(OR(C197="",NOT(ISNUMBER(E197))),"",MAX(0,E197-N(F197)))</f>
        <v/>
      </c>
      <c r="K197" s="12">
        <f>IF(AND(C197="",D197="",E197=""),"",IF(NOT(ISNUMBER(B197)),"Needs a date",IF(C197="","Needs a client",IF(COUNTIF(Clients!$B$6:$B$105,C197)=0,"Not on Clients",IF(NOT(ISNUMBER(D197)),"Needs the sessions",IF(AND(E197&lt;&gt;"",NOT(ISNUMBER(E197))),"Price not a number",IF(AND(ISNUMBER(E197),N(F197)&gt;E197),"Paid more than the price","")))))))</f>
        <v/>
      </c>
      <c r="L197" s="1">
        <f>IF(ISNUMBER(B197),YEAR(B197)*100+MONTH(B197),"")</f>
        <v/>
      </c>
      <c r="M197">
        <f>IF(AND(K197="",C197&lt;&gt;""),1,0)</f>
        <v/>
      </c>
      <c r="N197">
        <f>IF(AND(M197=1,ISNUMBER(G197)),INT(G197),0)</f>
        <v/>
      </c>
    </row>
    <row r="198">
      <c r="A198" s="1" t="n"/>
      <c r="B198" s="17" t="n"/>
      <c r="C198" s="19" t="n"/>
      <c r="D198" s="25" t="n"/>
      <c r="E198" s="26" t="n"/>
      <c r="F198" s="26" t="n"/>
      <c r="G198" s="17" t="n"/>
      <c r="H198" s="21" t="n"/>
      <c r="I198" s="16">
        <f>IF(OR(N(D198)&lt;=0,NOT(ISNUMBER(E198))),"",E198/D198)</f>
        <v/>
      </c>
      <c r="J198" s="16">
        <f>IF(OR(C198="",NOT(ISNUMBER(E198))),"",MAX(0,E198-N(F198)))</f>
        <v/>
      </c>
      <c r="K198" s="12">
        <f>IF(AND(C198="",D198="",E198=""),"",IF(NOT(ISNUMBER(B198)),"Needs a date",IF(C198="","Needs a client",IF(COUNTIF(Clients!$B$6:$B$105,C198)=0,"Not on Clients",IF(NOT(ISNUMBER(D198)),"Needs the sessions",IF(AND(E198&lt;&gt;"",NOT(ISNUMBER(E198))),"Price not a number",IF(AND(ISNUMBER(E198),N(F198)&gt;E198),"Paid more than the price","")))))))</f>
        <v/>
      </c>
      <c r="L198" s="1">
        <f>IF(ISNUMBER(B198),YEAR(B198)*100+MONTH(B198),"")</f>
        <v/>
      </c>
      <c r="M198">
        <f>IF(AND(K198="",C198&lt;&gt;""),1,0)</f>
        <v/>
      </c>
      <c r="N198">
        <f>IF(AND(M198=1,ISNUMBER(G198)),INT(G198),0)</f>
        <v/>
      </c>
    </row>
    <row r="199">
      <c r="A199" s="1" t="n"/>
      <c r="B199" s="17" t="n"/>
      <c r="C199" s="19" t="n"/>
      <c r="D199" s="25" t="n"/>
      <c r="E199" s="26" t="n"/>
      <c r="F199" s="26" t="n"/>
      <c r="G199" s="17" t="n"/>
      <c r="H199" s="21" t="n"/>
      <c r="I199" s="16">
        <f>IF(OR(N(D199)&lt;=0,NOT(ISNUMBER(E199))),"",E199/D199)</f>
        <v/>
      </c>
      <c r="J199" s="16">
        <f>IF(OR(C199="",NOT(ISNUMBER(E199))),"",MAX(0,E199-N(F199)))</f>
        <v/>
      </c>
      <c r="K199" s="12">
        <f>IF(AND(C199="",D199="",E199=""),"",IF(NOT(ISNUMBER(B199)),"Needs a date",IF(C199="","Needs a client",IF(COUNTIF(Clients!$B$6:$B$105,C199)=0,"Not on Clients",IF(NOT(ISNUMBER(D199)),"Needs the sessions",IF(AND(E199&lt;&gt;"",NOT(ISNUMBER(E199))),"Price not a number",IF(AND(ISNUMBER(E199),N(F199)&gt;E199),"Paid more than the price","")))))))</f>
        <v/>
      </c>
      <c r="L199" s="1">
        <f>IF(ISNUMBER(B199),YEAR(B199)*100+MONTH(B199),"")</f>
        <v/>
      </c>
      <c r="M199">
        <f>IF(AND(K199="",C199&lt;&gt;""),1,0)</f>
        <v/>
      </c>
      <c r="N199">
        <f>IF(AND(M199=1,ISNUMBER(G199)),INT(G199),0)</f>
        <v/>
      </c>
    </row>
    <row r="200">
      <c r="A200" s="1" t="n"/>
      <c r="B200" s="17" t="n"/>
      <c r="C200" s="19" t="n"/>
      <c r="D200" s="25" t="n"/>
      <c r="E200" s="26" t="n"/>
      <c r="F200" s="26" t="n"/>
      <c r="G200" s="17" t="n"/>
      <c r="H200" s="21" t="n"/>
      <c r="I200" s="16">
        <f>IF(OR(N(D200)&lt;=0,NOT(ISNUMBER(E200))),"",E200/D200)</f>
        <v/>
      </c>
      <c r="J200" s="16">
        <f>IF(OR(C200="",NOT(ISNUMBER(E200))),"",MAX(0,E200-N(F200)))</f>
        <v/>
      </c>
      <c r="K200" s="12">
        <f>IF(AND(C200="",D200="",E200=""),"",IF(NOT(ISNUMBER(B200)),"Needs a date",IF(C200="","Needs a client",IF(COUNTIF(Clients!$B$6:$B$105,C200)=0,"Not on Clients",IF(NOT(ISNUMBER(D200)),"Needs the sessions",IF(AND(E200&lt;&gt;"",NOT(ISNUMBER(E200))),"Price not a number",IF(AND(ISNUMBER(E200),N(F200)&gt;E200),"Paid more than the price","")))))))</f>
        <v/>
      </c>
      <c r="L200" s="1">
        <f>IF(ISNUMBER(B200),YEAR(B200)*100+MONTH(B200),"")</f>
        <v/>
      </c>
      <c r="M200">
        <f>IF(AND(K200="",C200&lt;&gt;""),1,0)</f>
        <v/>
      </c>
      <c r="N200">
        <f>IF(AND(M200=1,ISNUMBER(G200)),INT(G200),0)</f>
        <v/>
      </c>
    </row>
    <row r="201">
      <c r="A201" s="1" t="n"/>
      <c r="B201" s="17" t="n"/>
      <c r="C201" s="19" t="n"/>
      <c r="D201" s="25" t="n"/>
      <c r="E201" s="26" t="n"/>
      <c r="F201" s="26" t="n"/>
      <c r="G201" s="17" t="n"/>
      <c r="H201" s="21" t="n"/>
      <c r="I201" s="16">
        <f>IF(OR(N(D201)&lt;=0,NOT(ISNUMBER(E201))),"",E201/D201)</f>
        <v/>
      </c>
      <c r="J201" s="16">
        <f>IF(OR(C201="",NOT(ISNUMBER(E201))),"",MAX(0,E201-N(F201)))</f>
        <v/>
      </c>
      <c r="K201" s="12">
        <f>IF(AND(C201="",D201="",E201=""),"",IF(NOT(ISNUMBER(B201)),"Needs a date",IF(C201="","Needs a client",IF(COUNTIF(Clients!$B$6:$B$105,C201)=0,"Not on Clients",IF(NOT(ISNUMBER(D201)),"Needs the sessions",IF(AND(E201&lt;&gt;"",NOT(ISNUMBER(E201))),"Price not a number",IF(AND(ISNUMBER(E201),N(F201)&gt;E201),"Paid more than the price","")))))))</f>
        <v/>
      </c>
      <c r="L201" s="1">
        <f>IF(ISNUMBER(B201),YEAR(B201)*100+MONTH(B201),"")</f>
        <v/>
      </c>
      <c r="M201">
        <f>IF(AND(K201="",C201&lt;&gt;""),1,0)</f>
        <v/>
      </c>
      <c r="N201">
        <f>IF(AND(M201=1,ISNUMBER(G201)),INT(G201),0)</f>
        <v/>
      </c>
    </row>
    <row r="202">
      <c r="A202" s="1" t="n"/>
      <c r="B202" s="17" t="n"/>
      <c r="C202" s="19" t="n"/>
      <c r="D202" s="25" t="n"/>
      <c r="E202" s="26" t="n"/>
      <c r="F202" s="26" t="n"/>
      <c r="G202" s="17" t="n"/>
      <c r="H202" s="21" t="n"/>
      <c r="I202" s="16">
        <f>IF(OR(N(D202)&lt;=0,NOT(ISNUMBER(E202))),"",E202/D202)</f>
        <v/>
      </c>
      <c r="J202" s="16">
        <f>IF(OR(C202="",NOT(ISNUMBER(E202))),"",MAX(0,E202-N(F202)))</f>
        <v/>
      </c>
      <c r="K202" s="12">
        <f>IF(AND(C202="",D202="",E202=""),"",IF(NOT(ISNUMBER(B202)),"Needs a date",IF(C202="","Needs a client",IF(COUNTIF(Clients!$B$6:$B$105,C202)=0,"Not on Clients",IF(NOT(ISNUMBER(D202)),"Needs the sessions",IF(AND(E202&lt;&gt;"",NOT(ISNUMBER(E202))),"Price not a number",IF(AND(ISNUMBER(E202),N(F202)&gt;E202),"Paid more than the price","")))))))</f>
        <v/>
      </c>
      <c r="L202" s="1">
        <f>IF(ISNUMBER(B202),YEAR(B202)*100+MONTH(B202),"")</f>
        <v/>
      </c>
      <c r="M202">
        <f>IF(AND(K202="",C202&lt;&gt;""),1,0)</f>
        <v/>
      </c>
      <c r="N202">
        <f>IF(AND(M202=1,ISNUMBER(G202)),INT(G202),0)</f>
        <v/>
      </c>
    </row>
    <row r="203">
      <c r="A203" s="1" t="n"/>
      <c r="B203" s="17" t="n"/>
      <c r="C203" s="19" t="n"/>
      <c r="D203" s="25" t="n"/>
      <c r="E203" s="26" t="n"/>
      <c r="F203" s="26" t="n"/>
      <c r="G203" s="17" t="n"/>
      <c r="H203" s="21" t="n"/>
      <c r="I203" s="16">
        <f>IF(OR(N(D203)&lt;=0,NOT(ISNUMBER(E203))),"",E203/D203)</f>
        <v/>
      </c>
      <c r="J203" s="16">
        <f>IF(OR(C203="",NOT(ISNUMBER(E203))),"",MAX(0,E203-N(F203)))</f>
        <v/>
      </c>
      <c r="K203" s="12">
        <f>IF(AND(C203="",D203="",E203=""),"",IF(NOT(ISNUMBER(B203)),"Needs a date",IF(C203="","Needs a client",IF(COUNTIF(Clients!$B$6:$B$105,C203)=0,"Not on Clients",IF(NOT(ISNUMBER(D203)),"Needs the sessions",IF(AND(E203&lt;&gt;"",NOT(ISNUMBER(E203))),"Price not a number",IF(AND(ISNUMBER(E203),N(F203)&gt;E203),"Paid more than the price","")))))))</f>
        <v/>
      </c>
      <c r="L203" s="1">
        <f>IF(ISNUMBER(B203),YEAR(B203)*100+MONTH(B203),"")</f>
        <v/>
      </c>
      <c r="M203">
        <f>IF(AND(K203="",C203&lt;&gt;""),1,0)</f>
        <v/>
      </c>
      <c r="N203">
        <f>IF(AND(M203=1,ISNUMBER(G203)),INT(G203),0)</f>
        <v/>
      </c>
    </row>
    <row r="204">
      <c r="A204" s="1" t="n"/>
      <c r="B204" s="17" t="n"/>
      <c r="C204" s="19" t="n"/>
      <c r="D204" s="25" t="n"/>
      <c r="E204" s="26" t="n"/>
      <c r="F204" s="26" t="n"/>
      <c r="G204" s="17" t="n"/>
      <c r="H204" s="21" t="n"/>
      <c r="I204" s="16">
        <f>IF(OR(N(D204)&lt;=0,NOT(ISNUMBER(E204))),"",E204/D204)</f>
        <v/>
      </c>
      <c r="J204" s="16">
        <f>IF(OR(C204="",NOT(ISNUMBER(E204))),"",MAX(0,E204-N(F204)))</f>
        <v/>
      </c>
      <c r="K204" s="12">
        <f>IF(AND(C204="",D204="",E204=""),"",IF(NOT(ISNUMBER(B204)),"Needs a date",IF(C204="","Needs a client",IF(COUNTIF(Clients!$B$6:$B$105,C204)=0,"Not on Clients",IF(NOT(ISNUMBER(D204)),"Needs the sessions",IF(AND(E204&lt;&gt;"",NOT(ISNUMBER(E204))),"Price not a number",IF(AND(ISNUMBER(E204),N(F204)&gt;E204),"Paid more than the price","")))))))</f>
        <v/>
      </c>
      <c r="L204" s="1">
        <f>IF(ISNUMBER(B204),YEAR(B204)*100+MONTH(B204),"")</f>
        <v/>
      </c>
      <c r="M204">
        <f>IF(AND(K204="",C204&lt;&gt;""),1,0)</f>
        <v/>
      </c>
      <c r="N204">
        <f>IF(AND(M204=1,ISNUMBER(G204)),INT(G204),0)</f>
        <v/>
      </c>
    </row>
    <row r="205">
      <c r="A205" s="1" t="n"/>
      <c r="B205" s="17" t="n"/>
      <c r="C205" s="19" t="n"/>
      <c r="D205" s="25" t="n"/>
      <c r="E205" s="26" t="n"/>
      <c r="F205" s="26" t="n"/>
      <c r="G205" s="17" t="n"/>
      <c r="H205" s="21" t="n"/>
      <c r="I205" s="16">
        <f>IF(OR(N(D205)&lt;=0,NOT(ISNUMBER(E205))),"",E205/D205)</f>
        <v/>
      </c>
      <c r="J205" s="16">
        <f>IF(OR(C205="",NOT(ISNUMBER(E205))),"",MAX(0,E205-N(F205)))</f>
        <v/>
      </c>
      <c r="K205" s="12">
        <f>IF(AND(C205="",D205="",E205=""),"",IF(NOT(ISNUMBER(B205)),"Needs a date",IF(C205="","Needs a client",IF(COUNTIF(Clients!$B$6:$B$105,C205)=0,"Not on Clients",IF(NOT(ISNUMBER(D205)),"Needs the sessions",IF(AND(E205&lt;&gt;"",NOT(ISNUMBER(E205))),"Price not a number",IF(AND(ISNUMBER(E205),N(F205)&gt;E205),"Paid more than the price","")))))))</f>
        <v/>
      </c>
      <c r="L205" s="1">
        <f>IF(ISNUMBER(B205),YEAR(B205)*100+MONTH(B205),"")</f>
        <v/>
      </c>
      <c r="M205">
        <f>IF(AND(K205="",C205&lt;&gt;""),1,0)</f>
        <v/>
      </c>
      <c r="N205">
        <f>IF(AND(M205=1,ISNUMBER(G205)),INT(G205),0)</f>
        <v/>
      </c>
    </row>
    <row r="206">
      <c r="A206" s="1" t="n"/>
      <c r="B206" s="17" t="n"/>
      <c r="C206" s="19" t="n"/>
      <c r="D206" s="25" t="n"/>
      <c r="E206" s="26" t="n"/>
      <c r="F206" s="26" t="n"/>
      <c r="G206" s="17" t="n"/>
      <c r="H206" s="21" t="n"/>
      <c r="I206" s="16">
        <f>IF(OR(N(D206)&lt;=0,NOT(ISNUMBER(E206))),"",E206/D206)</f>
        <v/>
      </c>
      <c r="J206" s="16">
        <f>IF(OR(C206="",NOT(ISNUMBER(E206))),"",MAX(0,E206-N(F206)))</f>
        <v/>
      </c>
      <c r="K206" s="12">
        <f>IF(AND(C206="",D206="",E206=""),"",IF(NOT(ISNUMBER(B206)),"Needs a date",IF(C206="","Needs a client",IF(COUNTIF(Clients!$B$6:$B$105,C206)=0,"Not on Clients",IF(NOT(ISNUMBER(D206)),"Needs the sessions",IF(AND(E206&lt;&gt;"",NOT(ISNUMBER(E206))),"Price not a number",IF(AND(ISNUMBER(E206),N(F206)&gt;E206),"Paid more than the price","")))))))</f>
        <v/>
      </c>
      <c r="L206" s="1">
        <f>IF(ISNUMBER(B206),YEAR(B206)*100+MONTH(B206),"")</f>
        <v/>
      </c>
      <c r="M206">
        <f>IF(AND(K206="",C206&lt;&gt;""),1,0)</f>
        <v/>
      </c>
      <c r="N206">
        <f>IF(AND(M206=1,ISNUMBER(G206)),INT(G206),0)</f>
        <v/>
      </c>
    </row>
    <row r="207">
      <c r="A207" s="1" t="n"/>
      <c r="B207" s="17" t="n"/>
      <c r="C207" s="19" t="n"/>
      <c r="D207" s="25" t="n"/>
      <c r="E207" s="26" t="n"/>
      <c r="F207" s="26" t="n"/>
      <c r="G207" s="17" t="n"/>
      <c r="H207" s="21" t="n"/>
      <c r="I207" s="16">
        <f>IF(OR(N(D207)&lt;=0,NOT(ISNUMBER(E207))),"",E207/D207)</f>
        <v/>
      </c>
      <c r="J207" s="16">
        <f>IF(OR(C207="",NOT(ISNUMBER(E207))),"",MAX(0,E207-N(F207)))</f>
        <v/>
      </c>
      <c r="K207" s="12">
        <f>IF(AND(C207="",D207="",E207=""),"",IF(NOT(ISNUMBER(B207)),"Needs a date",IF(C207="","Needs a client",IF(COUNTIF(Clients!$B$6:$B$105,C207)=0,"Not on Clients",IF(NOT(ISNUMBER(D207)),"Needs the sessions",IF(AND(E207&lt;&gt;"",NOT(ISNUMBER(E207))),"Price not a number",IF(AND(ISNUMBER(E207),N(F207)&gt;E207),"Paid more than the price","")))))))</f>
        <v/>
      </c>
      <c r="L207" s="1">
        <f>IF(ISNUMBER(B207),YEAR(B207)*100+MONTH(B207),"")</f>
        <v/>
      </c>
      <c r="M207">
        <f>IF(AND(K207="",C207&lt;&gt;""),1,0)</f>
        <v/>
      </c>
      <c r="N207">
        <f>IF(AND(M207=1,ISNUMBER(G207)),INT(G207),0)</f>
        <v/>
      </c>
    </row>
    <row r="208">
      <c r="A208" s="1" t="n"/>
      <c r="B208" s="17" t="n"/>
      <c r="C208" s="19" t="n"/>
      <c r="D208" s="25" t="n"/>
      <c r="E208" s="26" t="n"/>
      <c r="F208" s="26" t="n"/>
      <c r="G208" s="17" t="n"/>
      <c r="H208" s="21" t="n"/>
      <c r="I208" s="16">
        <f>IF(OR(N(D208)&lt;=0,NOT(ISNUMBER(E208))),"",E208/D208)</f>
        <v/>
      </c>
      <c r="J208" s="16">
        <f>IF(OR(C208="",NOT(ISNUMBER(E208))),"",MAX(0,E208-N(F208)))</f>
        <v/>
      </c>
      <c r="K208" s="12">
        <f>IF(AND(C208="",D208="",E208=""),"",IF(NOT(ISNUMBER(B208)),"Needs a date",IF(C208="","Needs a client",IF(COUNTIF(Clients!$B$6:$B$105,C208)=0,"Not on Clients",IF(NOT(ISNUMBER(D208)),"Needs the sessions",IF(AND(E208&lt;&gt;"",NOT(ISNUMBER(E208))),"Price not a number",IF(AND(ISNUMBER(E208),N(F208)&gt;E208),"Paid more than the price","")))))))</f>
        <v/>
      </c>
      <c r="L208" s="1">
        <f>IF(ISNUMBER(B208),YEAR(B208)*100+MONTH(B208),"")</f>
        <v/>
      </c>
      <c r="M208">
        <f>IF(AND(K208="",C208&lt;&gt;""),1,0)</f>
        <v/>
      </c>
      <c r="N208">
        <f>IF(AND(M208=1,ISNUMBER(G208)),INT(G208),0)</f>
        <v/>
      </c>
    </row>
    <row r="209">
      <c r="A209" s="1" t="n"/>
      <c r="B209" s="17" t="n"/>
      <c r="C209" s="19" t="n"/>
      <c r="D209" s="25" t="n"/>
      <c r="E209" s="26" t="n"/>
      <c r="F209" s="26" t="n"/>
      <c r="G209" s="17" t="n"/>
      <c r="H209" s="21" t="n"/>
      <c r="I209" s="16">
        <f>IF(OR(N(D209)&lt;=0,NOT(ISNUMBER(E209))),"",E209/D209)</f>
        <v/>
      </c>
      <c r="J209" s="16">
        <f>IF(OR(C209="",NOT(ISNUMBER(E209))),"",MAX(0,E209-N(F209)))</f>
        <v/>
      </c>
      <c r="K209" s="12">
        <f>IF(AND(C209="",D209="",E209=""),"",IF(NOT(ISNUMBER(B209)),"Needs a date",IF(C209="","Needs a client",IF(COUNTIF(Clients!$B$6:$B$105,C209)=0,"Not on Clients",IF(NOT(ISNUMBER(D209)),"Needs the sessions",IF(AND(E209&lt;&gt;"",NOT(ISNUMBER(E209))),"Price not a number",IF(AND(ISNUMBER(E209),N(F209)&gt;E209),"Paid more than the price","")))))))</f>
        <v/>
      </c>
      <c r="L209" s="1">
        <f>IF(ISNUMBER(B209),YEAR(B209)*100+MONTH(B209),"")</f>
        <v/>
      </c>
      <c r="M209">
        <f>IF(AND(K209="",C209&lt;&gt;""),1,0)</f>
        <v/>
      </c>
      <c r="N209">
        <f>IF(AND(M209=1,ISNUMBER(G209)),INT(G209),0)</f>
        <v/>
      </c>
    </row>
    <row r="210">
      <c r="A210" s="1" t="n"/>
      <c r="B210" s="17" t="n"/>
      <c r="C210" s="19" t="n"/>
      <c r="D210" s="25" t="n"/>
      <c r="E210" s="26" t="n"/>
      <c r="F210" s="26" t="n"/>
      <c r="G210" s="17" t="n"/>
      <c r="H210" s="21" t="n"/>
      <c r="I210" s="16">
        <f>IF(OR(N(D210)&lt;=0,NOT(ISNUMBER(E210))),"",E210/D210)</f>
        <v/>
      </c>
      <c r="J210" s="16">
        <f>IF(OR(C210="",NOT(ISNUMBER(E210))),"",MAX(0,E210-N(F210)))</f>
        <v/>
      </c>
      <c r="K210" s="12">
        <f>IF(AND(C210="",D210="",E210=""),"",IF(NOT(ISNUMBER(B210)),"Needs a date",IF(C210="","Needs a client",IF(COUNTIF(Clients!$B$6:$B$105,C210)=0,"Not on Clients",IF(NOT(ISNUMBER(D210)),"Needs the sessions",IF(AND(E210&lt;&gt;"",NOT(ISNUMBER(E210))),"Price not a number",IF(AND(ISNUMBER(E210),N(F210)&gt;E210),"Paid more than the price","")))))))</f>
        <v/>
      </c>
      <c r="L210" s="1">
        <f>IF(ISNUMBER(B210),YEAR(B210)*100+MONTH(B210),"")</f>
        <v/>
      </c>
      <c r="M210">
        <f>IF(AND(K210="",C210&lt;&gt;""),1,0)</f>
        <v/>
      </c>
      <c r="N210">
        <f>IF(AND(M210=1,ISNUMBER(G210)),INT(G210),0)</f>
        <v/>
      </c>
    </row>
    <row r="211">
      <c r="A211" s="1" t="n"/>
      <c r="B211" s="17" t="n"/>
      <c r="C211" s="19" t="n"/>
      <c r="D211" s="25" t="n"/>
      <c r="E211" s="26" t="n"/>
      <c r="F211" s="26" t="n"/>
      <c r="G211" s="17" t="n"/>
      <c r="H211" s="21" t="n"/>
      <c r="I211" s="16">
        <f>IF(OR(N(D211)&lt;=0,NOT(ISNUMBER(E211))),"",E211/D211)</f>
        <v/>
      </c>
      <c r="J211" s="16">
        <f>IF(OR(C211="",NOT(ISNUMBER(E211))),"",MAX(0,E211-N(F211)))</f>
        <v/>
      </c>
      <c r="K211" s="12">
        <f>IF(AND(C211="",D211="",E211=""),"",IF(NOT(ISNUMBER(B211)),"Needs a date",IF(C211="","Needs a client",IF(COUNTIF(Clients!$B$6:$B$105,C211)=0,"Not on Clients",IF(NOT(ISNUMBER(D211)),"Needs the sessions",IF(AND(E211&lt;&gt;"",NOT(ISNUMBER(E211))),"Price not a number",IF(AND(ISNUMBER(E211),N(F211)&gt;E211),"Paid more than the price","")))))))</f>
        <v/>
      </c>
      <c r="L211" s="1">
        <f>IF(ISNUMBER(B211),YEAR(B211)*100+MONTH(B211),"")</f>
        <v/>
      </c>
      <c r="M211">
        <f>IF(AND(K211="",C211&lt;&gt;""),1,0)</f>
        <v/>
      </c>
      <c r="N211">
        <f>IF(AND(M211=1,ISNUMBER(G211)),INT(G211),0)</f>
        <v/>
      </c>
    </row>
    <row r="212">
      <c r="A212" s="1" t="n"/>
      <c r="B212" s="17" t="n"/>
      <c r="C212" s="19" t="n"/>
      <c r="D212" s="25" t="n"/>
      <c r="E212" s="26" t="n"/>
      <c r="F212" s="26" t="n"/>
      <c r="G212" s="17" t="n"/>
      <c r="H212" s="21" t="n"/>
      <c r="I212" s="16">
        <f>IF(OR(N(D212)&lt;=0,NOT(ISNUMBER(E212))),"",E212/D212)</f>
        <v/>
      </c>
      <c r="J212" s="16">
        <f>IF(OR(C212="",NOT(ISNUMBER(E212))),"",MAX(0,E212-N(F212)))</f>
        <v/>
      </c>
      <c r="K212" s="12">
        <f>IF(AND(C212="",D212="",E212=""),"",IF(NOT(ISNUMBER(B212)),"Needs a date",IF(C212="","Needs a client",IF(COUNTIF(Clients!$B$6:$B$105,C212)=0,"Not on Clients",IF(NOT(ISNUMBER(D212)),"Needs the sessions",IF(AND(E212&lt;&gt;"",NOT(ISNUMBER(E212))),"Price not a number",IF(AND(ISNUMBER(E212),N(F212)&gt;E212),"Paid more than the price","")))))))</f>
        <v/>
      </c>
      <c r="L212" s="1">
        <f>IF(ISNUMBER(B212),YEAR(B212)*100+MONTH(B212),"")</f>
        <v/>
      </c>
      <c r="M212">
        <f>IF(AND(K212="",C212&lt;&gt;""),1,0)</f>
        <v/>
      </c>
      <c r="N212">
        <f>IF(AND(M212=1,ISNUMBER(G212)),INT(G212),0)</f>
        <v/>
      </c>
    </row>
    <row r="213">
      <c r="A213" s="1" t="n"/>
      <c r="B213" s="17" t="n"/>
      <c r="C213" s="19" t="n"/>
      <c r="D213" s="25" t="n"/>
      <c r="E213" s="26" t="n"/>
      <c r="F213" s="26" t="n"/>
      <c r="G213" s="17" t="n"/>
      <c r="H213" s="21" t="n"/>
      <c r="I213" s="16">
        <f>IF(OR(N(D213)&lt;=0,NOT(ISNUMBER(E213))),"",E213/D213)</f>
        <v/>
      </c>
      <c r="J213" s="16">
        <f>IF(OR(C213="",NOT(ISNUMBER(E213))),"",MAX(0,E213-N(F213)))</f>
        <v/>
      </c>
      <c r="K213" s="12">
        <f>IF(AND(C213="",D213="",E213=""),"",IF(NOT(ISNUMBER(B213)),"Needs a date",IF(C213="","Needs a client",IF(COUNTIF(Clients!$B$6:$B$105,C213)=0,"Not on Clients",IF(NOT(ISNUMBER(D213)),"Needs the sessions",IF(AND(E213&lt;&gt;"",NOT(ISNUMBER(E213))),"Price not a number",IF(AND(ISNUMBER(E213),N(F213)&gt;E213),"Paid more than the price","")))))))</f>
        <v/>
      </c>
      <c r="L213" s="1">
        <f>IF(ISNUMBER(B213),YEAR(B213)*100+MONTH(B213),"")</f>
        <v/>
      </c>
      <c r="M213">
        <f>IF(AND(K213="",C213&lt;&gt;""),1,0)</f>
        <v/>
      </c>
      <c r="N213">
        <f>IF(AND(M213=1,ISNUMBER(G213)),INT(G213),0)</f>
        <v/>
      </c>
    </row>
    <row r="214">
      <c r="A214" s="1" t="n"/>
      <c r="B214" s="17" t="n"/>
      <c r="C214" s="19" t="n"/>
      <c r="D214" s="25" t="n"/>
      <c r="E214" s="26" t="n"/>
      <c r="F214" s="26" t="n"/>
      <c r="G214" s="17" t="n"/>
      <c r="H214" s="21" t="n"/>
      <c r="I214" s="16">
        <f>IF(OR(N(D214)&lt;=0,NOT(ISNUMBER(E214))),"",E214/D214)</f>
        <v/>
      </c>
      <c r="J214" s="16">
        <f>IF(OR(C214="",NOT(ISNUMBER(E214))),"",MAX(0,E214-N(F214)))</f>
        <v/>
      </c>
      <c r="K214" s="12">
        <f>IF(AND(C214="",D214="",E214=""),"",IF(NOT(ISNUMBER(B214)),"Needs a date",IF(C214="","Needs a client",IF(COUNTIF(Clients!$B$6:$B$105,C214)=0,"Not on Clients",IF(NOT(ISNUMBER(D214)),"Needs the sessions",IF(AND(E214&lt;&gt;"",NOT(ISNUMBER(E214))),"Price not a number",IF(AND(ISNUMBER(E214),N(F214)&gt;E214),"Paid more than the price","")))))))</f>
        <v/>
      </c>
      <c r="L214" s="1">
        <f>IF(ISNUMBER(B214),YEAR(B214)*100+MONTH(B214),"")</f>
        <v/>
      </c>
      <c r="M214">
        <f>IF(AND(K214="",C214&lt;&gt;""),1,0)</f>
        <v/>
      </c>
      <c r="N214">
        <f>IF(AND(M214=1,ISNUMBER(G214)),INT(G214),0)</f>
        <v/>
      </c>
    </row>
    <row r="215">
      <c r="A215" s="1" t="n"/>
      <c r="B215" s="17" t="n"/>
      <c r="C215" s="19" t="n"/>
      <c r="D215" s="25" t="n"/>
      <c r="E215" s="26" t="n"/>
      <c r="F215" s="26" t="n"/>
      <c r="G215" s="17" t="n"/>
      <c r="H215" s="21" t="n"/>
      <c r="I215" s="16">
        <f>IF(OR(N(D215)&lt;=0,NOT(ISNUMBER(E215))),"",E215/D215)</f>
        <v/>
      </c>
      <c r="J215" s="16">
        <f>IF(OR(C215="",NOT(ISNUMBER(E215))),"",MAX(0,E215-N(F215)))</f>
        <v/>
      </c>
      <c r="K215" s="12">
        <f>IF(AND(C215="",D215="",E215=""),"",IF(NOT(ISNUMBER(B215)),"Needs a date",IF(C215="","Needs a client",IF(COUNTIF(Clients!$B$6:$B$105,C215)=0,"Not on Clients",IF(NOT(ISNUMBER(D215)),"Needs the sessions",IF(AND(E215&lt;&gt;"",NOT(ISNUMBER(E215))),"Price not a number",IF(AND(ISNUMBER(E215),N(F215)&gt;E215),"Paid more than the price","")))))))</f>
        <v/>
      </c>
      <c r="L215" s="1">
        <f>IF(ISNUMBER(B215),YEAR(B215)*100+MONTH(B215),"")</f>
        <v/>
      </c>
      <c r="M215">
        <f>IF(AND(K215="",C215&lt;&gt;""),1,0)</f>
        <v/>
      </c>
      <c r="N215">
        <f>IF(AND(M215=1,ISNUMBER(G215)),INT(G215),0)</f>
        <v/>
      </c>
    </row>
    <row r="216">
      <c r="A216" s="1" t="n"/>
      <c r="B216" s="17" t="n"/>
      <c r="C216" s="19" t="n"/>
      <c r="D216" s="25" t="n"/>
      <c r="E216" s="26" t="n"/>
      <c r="F216" s="26" t="n"/>
      <c r="G216" s="17" t="n"/>
      <c r="H216" s="21" t="n"/>
      <c r="I216" s="16">
        <f>IF(OR(N(D216)&lt;=0,NOT(ISNUMBER(E216))),"",E216/D216)</f>
        <v/>
      </c>
      <c r="J216" s="16">
        <f>IF(OR(C216="",NOT(ISNUMBER(E216))),"",MAX(0,E216-N(F216)))</f>
        <v/>
      </c>
      <c r="K216" s="12">
        <f>IF(AND(C216="",D216="",E216=""),"",IF(NOT(ISNUMBER(B216)),"Needs a date",IF(C216="","Needs a client",IF(COUNTIF(Clients!$B$6:$B$105,C216)=0,"Not on Clients",IF(NOT(ISNUMBER(D216)),"Needs the sessions",IF(AND(E216&lt;&gt;"",NOT(ISNUMBER(E216))),"Price not a number",IF(AND(ISNUMBER(E216),N(F216)&gt;E216),"Paid more than the price","")))))))</f>
        <v/>
      </c>
      <c r="L216" s="1">
        <f>IF(ISNUMBER(B216),YEAR(B216)*100+MONTH(B216),"")</f>
        <v/>
      </c>
      <c r="M216">
        <f>IF(AND(K216="",C216&lt;&gt;""),1,0)</f>
        <v/>
      </c>
      <c r="N216">
        <f>IF(AND(M216=1,ISNUMBER(G216)),INT(G216),0)</f>
        <v/>
      </c>
    </row>
    <row r="217">
      <c r="A217" s="1" t="n"/>
      <c r="B217" s="17" t="n"/>
      <c r="C217" s="19" t="n"/>
      <c r="D217" s="25" t="n"/>
      <c r="E217" s="26" t="n"/>
      <c r="F217" s="26" t="n"/>
      <c r="G217" s="17" t="n"/>
      <c r="H217" s="21" t="n"/>
      <c r="I217" s="16">
        <f>IF(OR(N(D217)&lt;=0,NOT(ISNUMBER(E217))),"",E217/D217)</f>
        <v/>
      </c>
      <c r="J217" s="16">
        <f>IF(OR(C217="",NOT(ISNUMBER(E217))),"",MAX(0,E217-N(F217)))</f>
        <v/>
      </c>
      <c r="K217" s="12">
        <f>IF(AND(C217="",D217="",E217=""),"",IF(NOT(ISNUMBER(B217)),"Needs a date",IF(C217="","Needs a client",IF(COUNTIF(Clients!$B$6:$B$105,C217)=0,"Not on Clients",IF(NOT(ISNUMBER(D217)),"Needs the sessions",IF(AND(E217&lt;&gt;"",NOT(ISNUMBER(E217))),"Price not a number",IF(AND(ISNUMBER(E217),N(F217)&gt;E217),"Paid more than the price","")))))))</f>
        <v/>
      </c>
      <c r="L217" s="1">
        <f>IF(ISNUMBER(B217),YEAR(B217)*100+MONTH(B217),"")</f>
        <v/>
      </c>
      <c r="M217">
        <f>IF(AND(K217="",C217&lt;&gt;""),1,0)</f>
        <v/>
      </c>
      <c r="N217">
        <f>IF(AND(M217=1,ISNUMBER(G217)),INT(G217),0)</f>
        <v/>
      </c>
    </row>
    <row r="218">
      <c r="A218" s="1" t="n"/>
      <c r="B218" s="17" t="n"/>
      <c r="C218" s="19" t="n"/>
      <c r="D218" s="25" t="n"/>
      <c r="E218" s="26" t="n"/>
      <c r="F218" s="26" t="n"/>
      <c r="G218" s="17" t="n"/>
      <c r="H218" s="21" t="n"/>
      <c r="I218" s="16">
        <f>IF(OR(N(D218)&lt;=0,NOT(ISNUMBER(E218))),"",E218/D218)</f>
        <v/>
      </c>
      <c r="J218" s="16">
        <f>IF(OR(C218="",NOT(ISNUMBER(E218))),"",MAX(0,E218-N(F218)))</f>
        <v/>
      </c>
      <c r="K218" s="12">
        <f>IF(AND(C218="",D218="",E218=""),"",IF(NOT(ISNUMBER(B218)),"Needs a date",IF(C218="","Needs a client",IF(COUNTIF(Clients!$B$6:$B$105,C218)=0,"Not on Clients",IF(NOT(ISNUMBER(D218)),"Needs the sessions",IF(AND(E218&lt;&gt;"",NOT(ISNUMBER(E218))),"Price not a number",IF(AND(ISNUMBER(E218),N(F218)&gt;E218),"Paid more than the price","")))))))</f>
        <v/>
      </c>
      <c r="L218" s="1">
        <f>IF(ISNUMBER(B218),YEAR(B218)*100+MONTH(B218),"")</f>
        <v/>
      </c>
      <c r="M218">
        <f>IF(AND(K218="",C218&lt;&gt;""),1,0)</f>
        <v/>
      </c>
      <c r="N218">
        <f>IF(AND(M218=1,ISNUMBER(G218)),INT(G218),0)</f>
        <v/>
      </c>
    </row>
    <row r="219">
      <c r="A219" s="1" t="n"/>
      <c r="B219" s="17" t="n"/>
      <c r="C219" s="19" t="n"/>
      <c r="D219" s="25" t="n"/>
      <c r="E219" s="26" t="n"/>
      <c r="F219" s="26" t="n"/>
      <c r="G219" s="17" t="n"/>
      <c r="H219" s="21" t="n"/>
      <c r="I219" s="16">
        <f>IF(OR(N(D219)&lt;=0,NOT(ISNUMBER(E219))),"",E219/D219)</f>
        <v/>
      </c>
      <c r="J219" s="16">
        <f>IF(OR(C219="",NOT(ISNUMBER(E219))),"",MAX(0,E219-N(F219)))</f>
        <v/>
      </c>
      <c r="K219" s="12">
        <f>IF(AND(C219="",D219="",E219=""),"",IF(NOT(ISNUMBER(B219)),"Needs a date",IF(C219="","Needs a client",IF(COUNTIF(Clients!$B$6:$B$105,C219)=0,"Not on Clients",IF(NOT(ISNUMBER(D219)),"Needs the sessions",IF(AND(E219&lt;&gt;"",NOT(ISNUMBER(E219))),"Price not a number",IF(AND(ISNUMBER(E219),N(F219)&gt;E219),"Paid more than the price","")))))))</f>
        <v/>
      </c>
      <c r="L219" s="1">
        <f>IF(ISNUMBER(B219),YEAR(B219)*100+MONTH(B219),"")</f>
        <v/>
      </c>
      <c r="M219">
        <f>IF(AND(K219="",C219&lt;&gt;""),1,0)</f>
        <v/>
      </c>
      <c r="N219">
        <f>IF(AND(M219=1,ISNUMBER(G219)),INT(G219),0)</f>
        <v/>
      </c>
    </row>
    <row r="220">
      <c r="A220" s="1" t="n"/>
      <c r="B220" s="17" t="n"/>
      <c r="C220" s="19" t="n"/>
      <c r="D220" s="25" t="n"/>
      <c r="E220" s="26" t="n"/>
      <c r="F220" s="26" t="n"/>
      <c r="G220" s="17" t="n"/>
      <c r="H220" s="21" t="n"/>
      <c r="I220" s="16">
        <f>IF(OR(N(D220)&lt;=0,NOT(ISNUMBER(E220))),"",E220/D220)</f>
        <v/>
      </c>
      <c r="J220" s="16">
        <f>IF(OR(C220="",NOT(ISNUMBER(E220))),"",MAX(0,E220-N(F220)))</f>
        <v/>
      </c>
      <c r="K220" s="12">
        <f>IF(AND(C220="",D220="",E220=""),"",IF(NOT(ISNUMBER(B220)),"Needs a date",IF(C220="","Needs a client",IF(COUNTIF(Clients!$B$6:$B$105,C220)=0,"Not on Clients",IF(NOT(ISNUMBER(D220)),"Needs the sessions",IF(AND(E220&lt;&gt;"",NOT(ISNUMBER(E220))),"Price not a number",IF(AND(ISNUMBER(E220),N(F220)&gt;E220),"Paid more than the price","")))))))</f>
        <v/>
      </c>
      <c r="L220" s="1">
        <f>IF(ISNUMBER(B220),YEAR(B220)*100+MONTH(B220),"")</f>
        <v/>
      </c>
      <c r="M220">
        <f>IF(AND(K220="",C220&lt;&gt;""),1,0)</f>
        <v/>
      </c>
      <c r="N220">
        <f>IF(AND(M220=1,ISNUMBER(G220)),INT(G220),0)</f>
        <v/>
      </c>
    </row>
    <row r="221">
      <c r="A221" s="1" t="n"/>
      <c r="B221" s="17" t="n"/>
      <c r="C221" s="19" t="n"/>
      <c r="D221" s="25" t="n"/>
      <c r="E221" s="26" t="n"/>
      <c r="F221" s="26" t="n"/>
      <c r="G221" s="17" t="n"/>
      <c r="H221" s="21" t="n"/>
      <c r="I221" s="16">
        <f>IF(OR(N(D221)&lt;=0,NOT(ISNUMBER(E221))),"",E221/D221)</f>
        <v/>
      </c>
      <c r="J221" s="16">
        <f>IF(OR(C221="",NOT(ISNUMBER(E221))),"",MAX(0,E221-N(F221)))</f>
        <v/>
      </c>
      <c r="K221" s="12">
        <f>IF(AND(C221="",D221="",E221=""),"",IF(NOT(ISNUMBER(B221)),"Needs a date",IF(C221="","Needs a client",IF(COUNTIF(Clients!$B$6:$B$105,C221)=0,"Not on Clients",IF(NOT(ISNUMBER(D221)),"Needs the sessions",IF(AND(E221&lt;&gt;"",NOT(ISNUMBER(E221))),"Price not a number",IF(AND(ISNUMBER(E221),N(F221)&gt;E221),"Paid more than the price","")))))))</f>
        <v/>
      </c>
      <c r="L221" s="1">
        <f>IF(ISNUMBER(B221),YEAR(B221)*100+MONTH(B221),"")</f>
        <v/>
      </c>
      <c r="M221">
        <f>IF(AND(K221="",C221&lt;&gt;""),1,0)</f>
        <v/>
      </c>
      <c r="N221">
        <f>IF(AND(M221=1,ISNUMBER(G221)),INT(G221),0)</f>
        <v/>
      </c>
    </row>
    <row r="222">
      <c r="A222" s="1" t="n"/>
      <c r="B222" s="17" t="n"/>
      <c r="C222" s="19" t="n"/>
      <c r="D222" s="25" t="n"/>
      <c r="E222" s="26" t="n"/>
      <c r="F222" s="26" t="n"/>
      <c r="G222" s="17" t="n"/>
      <c r="H222" s="21" t="n"/>
      <c r="I222" s="16">
        <f>IF(OR(N(D222)&lt;=0,NOT(ISNUMBER(E222))),"",E222/D222)</f>
        <v/>
      </c>
      <c r="J222" s="16">
        <f>IF(OR(C222="",NOT(ISNUMBER(E222))),"",MAX(0,E222-N(F222)))</f>
        <v/>
      </c>
      <c r="K222" s="12">
        <f>IF(AND(C222="",D222="",E222=""),"",IF(NOT(ISNUMBER(B222)),"Needs a date",IF(C222="","Needs a client",IF(COUNTIF(Clients!$B$6:$B$105,C222)=0,"Not on Clients",IF(NOT(ISNUMBER(D222)),"Needs the sessions",IF(AND(E222&lt;&gt;"",NOT(ISNUMBER(E222))),"Price not a number",IF(AND(ISNUMBER(E222),N(F222)&gt;E222),"Paid more than the price","")))))))</f>
        <v/>
      </c>
      <c r="L222" s="1">
        <f>IF(ISNUMBER(B222),YEAR(B222)*100+MONTH(B222),"")</f>
        <v/>
      </c>
      <c r="M222">
        <f>IF(AND(K222="",C222&lt;&gt;""),1,0)</f>
        <v/>
      </c>
      <c r="N222">
        <f>IF(AND(M222=1,ISNUMBER(G222)),INT(G222),0)</f>
        <v/>
      </c>
    </row>
    <row r="223">
      <c r="A223" s="1" t="n"/>
      <c r="B223" s="17" t="n"/>
      <c r="C223" s="19" t="n"/>
      <c r="D223" s="25" t="n"/>
      <c r="E223" s="26" t="n"/>
      <c r="F223" s="26" t="n"/>
      <c r="G223" s="17" t="n"/>
      <c r="H223" s="21" t="n"/>
      <c r="I223" s="16">
        <f>IF(OR(N(D223)&lt;=0,NOT(ISNUMBER(E223))),"",E223/D223)</f>
        <v/>
      </c>
      <c r="J223" s="16">
        <f>IF(OR(C223="",NOT(ISNUMBER(E223))),"",MAX(0,E223-N(F223)))</f>
        <v/>
      </c>
      <c r="K223" s="12">
        <f>IF(AND(C223="",D223="",E223=""),"",IF(NOT(ISNUMBER(B223)),"Needs a date",IF(C223="","Needs a client",IF(COUNTIF(Clients!$B$6:$B$105,C223)=0,"Not on Clients",IF(NOT(ISNUMBER(D223)),"Needs the sessions",IF(AND(E223&lt;&gt;"",NOT(ISNUMBER(E223))),"Price not a number",IF(AND(ISNUMBER(E223),N(F223)&gt;E223),"Paid more than the price","")))))))</f>
        <v/>
      </c>
      <c r="L223" s="1">
        <f>IF(ISNUMBER(B223),YEAR(B223)*100+MONTH(B223),"")</f>
        <v/>
      </c>
      <c r="M223">
        <f>IF(AND(K223="",C223&lt;&gt;""),1,0)</f>
        <v/>
      </c>
      <c r="N223">
        <f>IF(AND(M223=1,ISNUMBER(G223)),INT(G223),0)</f>
        <v/>
      </c>
    </row>
    <row r="224">
      <c r="A224" s="1" t="n"/>
      <c r="B224" s="17" t="n"/>
      <c r="C224" s="19" t="n"/>
      <c r="D224" s="25" t="n"/>
      <c r="E224" s="26" t="n"/>
      <c r="F224" s="26" t="n"/>
      <c r="G224" s="17" t="n"/>
      <c r="H224" s="21" t="n"/>
      <c r="I224" s="16">
        <f>IF(OR(N(D224)&lt;=0,NOT(ISNUMBER(E224))),"",E224/D224)</f>
        <v/>
      </c>
      <c r="J224" s="16">
        <f>IF(OR(C224="",NOT(ISNUMBER(E224))),"",MAX(0,E224-N(F224)))</f>
        <v/>
      </c>
      <c r="K224" s="12">
        <f>IF(AND(C224="",D224="",E224=""),"",IF(NOT(ISNUMBER(B224)),"Needs a date",IF(C224="","Needs a client",IF(COUNTIF(Clients!$B$6:$B$105,C224)=0,"Not on Clients",IF(NOT(ISNUMBER(D224)),"Needs the sessions",IF(AND(E224&lt;&gt;"",NOT(ISNUMBER(E224))),"Price not a number",IF(AND(ISNUMBER(E224),N(F224)&gt;E224),"Paid more than the price","")))))))</f>
        <v/>
      </c>
      <c r="L224" s="1">
        <f>IF(ISNUMBER(B224),YEAR(B224)*100+MONTH(B224),"")</f>
        <v/>
      </c>
      <c r="M224">
        <f>IF(AND(K224="",C224&lt;&gt;""),1,0)</f>
        <v/>
      </c>
      <c r="N224">
        <f>IF(AND(M224=1,ISNUMBER(G224)),INT(G224),0)</f>
        <v/>
      </c>
    </row>
    <row r="225">
      <c r="A225" s="1" t="n"/>
      <c r="B225" s="17" t="n"/>
      <c r="C225" s="19" t="n"/>
      <c r="D225" s="25" t="n"/>
      <c r="E225" s="26" t="n"/>
      <c r="F225" s="26" t="n"/>
      <c r="G225" s="17" t="n"/>
      <c r="H225" s="21" t="n"/>
      <c r="I225" s="16">
        <f>IF(OR(N(D225)&lt;=0,NOT(ISNUMBER(E225))),"",E225/D225)</f>
        <v/>
      </c>
      <c r="J225" s="16">
        <f>IF(OR(C225="",NOT(ISNUMBER(E225))),"",MAX(0,E225-N(F225)))</f>
        <v/>
      </c>
      <c r="K225" s="12">
        <f>IF(AND(C225="",D225="",E225=""),"",IF(NOT(ISNUMBER(B225)),"Needs a date",IF(C225="","Needs a client",IF(COUNTIF(Clients!$B$6:$B$105,C225)=0,"Not on Clients",IF(NOT(ISNUMBER(D225)),"Needs the sessions",IF(AND(E225&lt;&gt;"",NOT(ISNUMBER(E225))),"Price not a number",IF(AND(ISNUMBER(E225),N(F225)&gt;E225),"Paid more than the price","")))))))</f>
        <v/>
      </c>
      <c r="L225" s="1">
        <f>IF(ISNUMBER(B225),YEAR(B225)*100+MONTH(B225),"")</f>
        <v/>
      </c>
      <c r="M225">
        <f>IF(AND(K225="",C225&lt;&gt;""),1,0)</f>
        <v/>
      </c>
      <c r="N225">
        <f>IF(AND(M225=1,ISNUMBER(G225)),INT(G225),0)</f>
        <v/>
      </c>
    </row>
    <row r="226">
      <c r="A226" s="1" t="n"/>
      <c r="B226" s="17" t="n"/>
      <c r="C226" s="19" t="n"/>
      <c r="D226" s="25" t="n"/>
      <c r="E226" s="26" t="n"/>
      <c r="F226" s="26" t="n"/>
      <c r="G226" s="17" t="n"/>
      <c r="H226" s="21" t="n"/>
      <c r="I226" s="16">
        <f>IF(OR(N(D226)&lt;=0,NOT(ISNUMBER(E226))),"",E226/D226)</f>
        <v/>
      </c>
      <c r="J226" s="16">
        <f>IF(OR(C226="",NOT(ISNUMBER(E226))),"",MAX(0,E226-N(F226)))</f>
        <v/>
      </c>
      <c r="K226" s="12">
        <f>IF(AND(C226="",D226="",E226=""),"",IF(NOT(ISNUMBER(B226)),"Needs a date",IF(C226="","Needs a client",IF(COUNTIF(Clients!$B$6:$B$105,C226)=0,"Not on Clients",IF(NOT(ISNUMBER(D226)),"Needs the sessions",IF(AND(E226&lt;&gt;"",NOT(ISNUMBER(E226))),"Price not a number",IF(AND(ISNUMBER(E226),N(F226)&gt;E226),"Paid more than the price","")))))))</f>
        <v/>
      </c>
      <c r="L226" s="1">
        <f>IF(ISNUMBER(B226),YEAR(B226)*100+MONTH(B226),"")</f>
        <v/>
      </c>
      <c r="M226">
        <f>IF(AND(K226="",C226&lt;&gt;""),1,0)</f>
        <v/>
      </c>
      <c r="N226">
        <f>IF(AND(M226=1,ISNUMBER(G226)),INT(G226),0)</f>
        <v/>
      </c>
    </row>
    <row r="227">
      <c r="A227" s="1" t="n"/>
      <c r="B227" s="17" t="n"/>
      <c r="C227" s="19" t="n"/>
      <c r="D227" s="25" t="n"/>
      <c r="E227" s="26" t="n"/>
      <c r="F227" s="26" t="n"/>
      <c r="G227" s="17" t="n"/>
      <c r="H227" s="21" t="n"/>
      <c r="I227" s="16">
        <f>IF(OR(N(D227)&lt;=0,NOT(ISNUMBER(E227))),"",E227/D227)</f>
        <v/>
      </c>
      <c r="J227" s="16">
        <f>IF(OR(C227="",NOT(ISNUMBER(E227))),"",MAX(0,E227-N(F227)))</f>
        <v/>
      </c>
      <c r="K227" s="12">
        <f>IF(AND(C227="",D227="",E227=""),"",IF(NOT(ISNUMBER(B227)),"Needs a date",IF(C227="","Needs a client",IF(COUNTIF(Clients!$B$6:$B$105,C227)=0,"Not on Clients",IF(NOT(ISNUMBER(D227)),"Needs the sessions",IF(AND(E227&lt;&gt;"",NOT(ISNUMBER(E227))),"Price not a number",IF(AND(ISNUMBER(E227),N(F227)&gt;E227),"Paid more than the price","")))))))</f>
        <v/>
      </c>
      <c r="L227" s="1">
        <f>IF(ISNUMBER(B227),YEAR(B227)*100+MONTH(B227),"")</f>
        <v/>
      </c>
      <c r="M227">
        <f>IF(AND(K227="",C227&lt;&gt;""),1,0)</f>
        <v/>
      </c>
      <c r="N227">
        <f>IF(AND(M227=1,ISNUMBER(G227)),INT(G227),0)</f>
        <v/>
      </c>
    </row>
    <row r="228">
      <c r="A228" s="1" t="n"/>
      <c r="B228" s="17" t="n"/>
      <c r="C228" s="19" t="n"/>
      <c r="D228" s="25" t="n"/>
      <c r="E228" s="26" t="n"/>
      <c r="F228" s="26" t="n"/>
      <c r="G228" s="17" t="n"/>
      <c r="H228" s="21" t="n"/>
      <c r="I228" s="16">
        <f>IF(OR(N(D228)&lt;=0,NOT(ISNUMBER(E228))),"",E228/D228)</f>
        <v/>
      </c>
      <c r="J228" s="16">
        <f>IF(OR(C228="",NOT(ISNUMBER(E228))),"",MAX(0,E228-N(F228)))</f>
        <v/>
      </c>
      <c r="K228" s="12">
        <f>IF(AND(C228="",D228="",E228=""),"",IF(NOT(ISNUMBER(B228)),"Needs a date",IF(C228="","Needs a client",IF(COUNTIF(Clients!$B$6:$B$105,C228)=0,"Not on Clients",IF(NOT(ISNUMBER(D228)),"Needs the sessions",IF(AND(E228&lt;&gt;"",NOT(ISNUMBER(E228))),"Price not a number",IF(AND(ISNUMBER(E228),N(F228)&gt;E228),"Paid more than the price","")))))))</f>
        <v/>
      </c>
      <c r="L228" s="1">
        <f>IF(ISNUMBER(B228),YEAR(B228)*100+MONTH(B228),"")</f>
        <v/>
      </c>
      <c r="M228">
        <f>IF(AND(K228="",C228&lt;&gt;""),1,0)</f>
        <v/>
      </c>
      <c r="N228">
        <f>IF(AND(M228=1,ISNUMBER(G228)),INT(G228),0)</f>
        <v/>
      </c>
    </row>
    <row r="229">
      <c r="A229" s="1" t="n"/>
      <c r="B229" s="17" t="n"/>
      <c r="C229" s="19" t="n"/>
      <c r="D229" s="25" t="n"/>
      <c r="E229" s="26" t="n"/>
      <c r="F229" s="26" t="n"/>
      <c r="G229" s="17" t="n"/>
      <c r="H229" s="21" t="n"/>
      <c r="I229" s="16">
        <f>IF(OR(N(D229)&lt;=0,NOT(ISNUMBER(E229))),"",E229/D229)</f>
        <v/>
      </c>
      <c r="J229" s="16">
        <f>IF(OR(C229="",NOT(ISNUMBER(E229))),"",MAX(0,E229-N(F229)))</f>
        <v/>
      </c>
      <c r="K229" s="12">
        <f>IF(AND(C229="",D229="",E229=""),"",IF(NOT(ISNUMBER(B229)),"Needs a date",IF(C229="","Needs a client",IF(COUNTIF(Clients!$B$6:$B$105,C229)=0,"Not on Clients",IF(NOT(ISNUMBER(D229)),"Needs the sessions",IF(AND(E229&lt;&gt;"",NOT(ISNUMBER(E229))),"Price not a number",IF(AND(ISNUMBER(E229),N(F229)&gt;E229),"Paid more than the price","")))))))</f>
        <v/>
      </c>
      <c r="L229" s="1">
        <f>IF(ISNUMBER(B229),YEAR(B229)*100+MONTH(B229),"")</f>
        <v/>
      </c>
      <c r="M229">
        <f>IF(AND(K229="",C229&lt;&gt;""),1,0)</f>
        <v/>
      </c>
      <c r="N229">
        <f>IF(AND(M229=1,ISNUMBER(G229)),INT(G229),0)</f>
        <v/>
      </c>
    </row>
    <row r="230">
      <c r="A230" s="1" t="n"/>
      <c r="B230" s="17" t="n"/>
      <c r="C230" s="19" t="n"/>
      <c r="D230" s="25" t="n"/>
      <c r="E230" s="26" t="n"/>
      <c r="F230" s="26" t="n"/>
      <c r="G230" s="17" t="n"/>
      <c r="H230" s="21" t="n"/>
      <c r="I230" s="16">
        <f>IF(OR(N(D230)&lt;=0,NOT(ISNUMBER(E230))),"",E230/D230)</f>
        <v/>
      </c>
      <c r="J230" s="16">
        <f>IF(OR(C230="",NOT(ISNUMBER(E230))),"",MAX(0,E230-N(F230)))</f>
        <v/>
      </c>
      <c r="K230" s="12">
        <f>IF(AND(C230="",D230="",E230=""),"",IF(NOT(ISNUMBER(B230)),"Needs a date",IF(C230="","Needs a client",IF(COUNTIF(Clients!$B$6:$B$105,C230)=0,"Not on Clients",IF(NOT(ISNUMBER(D230)),"Needs the sessions",IF(AND(E230&lt;&gt;"",NOT(ISNUMBER(E230))),"Price not a number",IF(AND(ISNUMBER(E230),N(F230)&gt;E230),"Paid more than the price","")))))))</f>
        <v/>
      </c>
      <c r="L230" s="1">
        <f>IF(ISNUMBER(B230),YEAR(B230)*100+MONTH(B230),"")</f>
        <v/>
      </c>
      <c r="M230">
        <f>IF(AND(K230="",C230&lt;&gt;""),1,0)</f>
        <v/>
      </c>
      <c r="N230">
        <f>IF(AND(M230=1,ISNUMBER(G230)),INT(G230),0)</f>
        <v/>
      </c>
    </row>
    <row r="231">
      <c r="A231" s="1" t="n"/>
      <c r="B231" s="17" t="n"/>
      <c r="C231" s="19" t="n"/>
      <c r="D231" s="25" t="n"/>
      <c r="E231" s="26" t="n"/>
      <c r="F231" s="26" t="n"/>
      <c r="G231" s="17" t="n"/>
      <c r="H231" s="21" t="n"/>
      <c r="I231" s="16">
        <f>IF(OR(N(D231)&lt;=0,NOT(ISNUMBER(E231))),"",E231/D231)</f>
        <v/>
      </c>
      <c r="J231" s="16">
        <f>IF(OR(C231="",NOT(ISNUMBER(E231))),"",MAX(0,E231-N(F231)))</f>
        <v/>
      </c>
      <c r="K231" s="12">
        <f>IF(AND(C231="",D231="",E231=""),"",IF(NOT(ISNUMBER(B231)),"Needs a date",IF(C231="","Needs a client",IF(COUNTIF(Clients!$B$6:$B$105,C231)=0,"Not on Clients",IF(NOT(ISNUMBER(D231)),"Needs the sessions",IF(AND(E231&lt;&gt;"",NOT(ISNUMBER(E231))),"Price not a number",IF(AND(ISNUMBER(E231),N(F231)&gt;E231),"Paid more than the price","")))))))</f>
        <v/>
      </c>
      <c r="L231" s="1">
        <f>IF(ISNUMBER(B231),YEAR(B231)*100+MONTH(B231),"")</f>
        <v/>
      </c>
      <c r="M231">
        <f>IF(AND(K231="",C231&lt;&gt;""),1,0)</f>
        <v/>
      </c>
      <c r="N231">
        <f>IF(AND(M231=1,ISNUMBER(G231)),INT(G231),0)</f>
        <v/>
      </c>
    </row>
    <row r="232">
      <c r="A232" s="1" t="n"/>
      <c r="B232" s="17" t="n"/>
      <c r="C232" s="19" t="n"/>
      <c r="D232" s="25" t="n"/>
      <c r="E232" s="26" t="n"/>
      <c r="F232" s="26" t="n"/>
      <c r="G232" s="17" t="n"/>
      <c r="H232" s="21" t="n"/>
      <c r="I232" s="16">
        <f>IF(OR(N(D232)&lt;=0,NOT(ISNUMBER(E232))),"",E232/D232)</f>
        <v/>
      </c>
      <c r="J232" s="16">
        <f>IF(OR(C232="",NOT(ISNUMBER(E232))),"",MAX(0,E232-N(F232)))</f>
        <v/>
      </c>
      <c r="K232" s="12">
        <f>IF(AND(C232="",D232="",E232=""),"",IF(NOT(ISNUMBER(B232)),"Needs a date",IF(C232="","Needs a client",IF(COUNTIF(Clients!$B$6:$B$105,C232)=0,"Not on Clients",IF(NOT(ISNUMBER(D232)),"Needs the sessions",IF(AND(E232&lt;&gt;"",NOT(ISNUMBER(E232))),"Price not a number",IF(AND(ISNUMBER(E232),N(F232)&gt;E232),"Paid more than the price","")))))))</f>
        <v/>
      </c>
      <c r="L232" s="1">
        <f>IF(ISNUMBER(B232),YEAR(B232)*100+MONTH(B232),"")</f>
        <v/>
      </c>
      <c r="M232">
        <f>IF(AND(K232="",C232&lt;&gt;""),1,0)</f>
        <v/>
      </c>
      <c r="N232">
        <f>IF(AND(M232=1,ISNUMBER(G232)),INT(G232),0)</f>
        <v/>
      </c>
    </row>
    <row r="233">
      <c r="A233" s="1" t="n"/>
      <c r="B233" s="17" t="n"/>
      <c r="C233" s="19" t="n"/>
      <c r="D233" s="25" t="n"/>
      <c r="E233" s="26" t="n"/>
      <c r="F233" s="26" t="n"/>
      <c r="G233" s="17" t="n"/>
      <c r="H233" s="21" t="n"/>
      <c r="I233" s="16">
        <f>IF(OR(N(D233)&lt;=0,NOT(ISNUMBER(E233))),"",E233/D233)</f>
        <v/>
      </c>
      <c r="J233" s="16">
        <f>IF(OR(C233="",NOT(ISNUMBER(E233))),"",MAX(0,E233-N(F233)))</f>
        <v/>
      </c>
      <c r="K233" s="12">
        <f>IF(AND(C233="",D233="",E233=""),"",IF(NOT(ISNUMBER(B233)),"Needs a date",IF(C233="","Needs a client",IF(COUNTIF(Clients!$B$6:$B$105,C233)=0,"Not on Clients",IF(NOT(ISNUMBER(D233)),"Needs the sessions",IF(AND(E233&lt;&gt;"",NOT(ISNUMBER(E233))),"Price not a number",IF(AND(ISNUMBER(E233),N(F233)&gt;E233),"Paid more than the price","")))))))</f>
        <v/>
      </c>
      <c r="L233" s="1">
        <f>IF(ISNUMBER(B233),YEAR(B233)*100+MONTH(B233),"")</f>
        <v/>
      </c>
      <c r="M233">
        <f>IF(AND(K233="",C233&lt;&gt;""),1,0)</f>
        <v/>
      </c>
      <c r="N233">
        <f>IF(AND(M233=1,ISNUMBER(G233)),INT(G233),0)</f>
        <v/>
      </c>
    </row>
    <row r="234">
      <c r="A234" s="1" t="n"/>
      <c r="B234" s="17" t="n"/>
      <c r="C234" s="19" t="n"/>
      <c r="D234" s="25" t="n"/>
      <c r="E234" s="26" t="n"/>
      <c r="F234" s="26" t="n"/>
      <c r="G234" s="17" t="n"/>
      <c r="H234" s="21" t="n"/>
      <c r="I234" s="16">
        <f>IF(OR(N(D234)&lt;=0,NOT(ISNUMBER(E234))),"",E234/D234)</f>
        <v/>
      </c>
      <c r="J234" s="16">
        <f>IF(OR(C234="",NOT(ISNUMBER(E234))),"",MAX(0,E234-N(F234)))</f>
        <v/>
      </c>
      <c r="K234" s="12">
        <f>IF(AND(C234="",D234="",E234=""),"",IF(NOT(ISNUMBER(B234)),"Needs a date",IF(C234="","Needs a client",IF(COUNTIF(Clients!$B$6:$B$105,C234)=0,"Not on Clients",IF(NOT(ISNUMBER(D234)),"Needs the sessions",IF(AND(E234&lt;&gt;"",NOT(ISNUMBER(E234))),"Price not a number",IF(AND(ISNUMBER(E234),N(F234)&gt;E234),"Paid more than the price","")))))))</f>
        <v/>
      </c>
      <c r="L234" s="1">
        <f>IF(ISNUMBER(B234),YEAR(B234)*100+MONTH(B234),"")</f>
        <v/>
      </c>
      <c r="M234">
        <f>IF(AND(K234="",C234&lt;&gt;""),1,0)</f>
        <v/>
      </c>
      <c r="N234">
        <f>IF(AND(M234=1,ISNUMBER(G234)),INT(G234),0)</f>
        <v/>
      </c>
    </row>
    <row r="235">
      <c r="A235" s="1" t="n"/>
      <c r="B235" s="17" t="n"/>
      <c r="C235" s="19" t="n"/>
      <c r="D235" s="25" t="n"/>
      <c r="E235" s="26" t="n"/>
      <c r="F235" s="26" t="n"/>
      <c r="G235" s="17" t="n"/>
      <c r="H235" s="21" t="n"/>
      <c r="I235" s="16">
        <f>IF(OR(N(D235)&lt;=0,NOT(ISNUMBER(E235))),"",E235/D235)</f>
        <v/>
      </c>
      <c r="J235" s="16">
        <f>IF(OR(C235="",NOT(ISNUMBER(E235))),"",MAX(0,E235-N(F235)))</f>
        <v/>
      </c>
      <c r="K235" s="12">
        <f>IF(AND(C235="",D235="",E235=""),"",IF(NOT(ISNUMBER(B235)),"Needs a date",IF(C235="","Needs a client",IF(COUNTIF(Clients!$B$6:$B$105,C235)=0,"Not on Clients",IF(NOT(ISNUMBER(D235)),"Needs the sessions",IF(AND(E235&lt;&gt;"",NOT(ISNUMBER(E235))),"Price not a number",IF(AND(ISNUMBER(E235),N(F235)&gt;E235),"Paid more than the price","")))))))</f>
        <v/>
      </c>
      <c r="L235" s="1">
        <f>IF(ISNUMBER(B235),YEAR(B235)*100+MONTH(B235),"")</f>
        <v/>
      </c>
      <c r="M235">
        <f>IF(AND(K235="",C235&lt;&gt;""),1,0)</f>
        <v/>
      </c>
      <c r="N235">
        <f>IF(AND(M235=1,ISNUMBER(G235)),INT(G235),0)</f>
        <v/>
      </c>
    </row>
    <row r="236">
      <c r="A236" s="1" t="n"/>
      <c r="B236" s="17" t="n"/>
      <c r="C236" s="19" t="n"/>
      <c r="D236" s="25" t="n"/>
      <c r="E236" s="26" t="n"/>
      <c r="F236" s="26" t="n"/>
      <c r="G236" s="17" t="n"/>
      <c r="H236" s="21" t="n"/>
      <c r="I236" s="16">
        <f>IF(OR(N(D236)&lt;=0,NOT(ISNUMBER(E236))),"",E236/D236)</f>
        <v/>
      </c>
      <c r="J236" s="16">
        <f>IF(OR(C236="",NOT(ISNUMBER(E236))),"",MAX(0,E236-N(F236)))</f>
        <v/>
      </c>
      <c r="K236" s="12">
        <f>IF(AND(C236="",D236="",E236=""),"",IF(NOT(ISNUMBER(B236)),"Needs a date",IF(C236="","Needs a client",IF(COUNTIF(Clients!$B$6:$B$105,C236)=0,"Not on Clients",IF(NOT(ISNUMBER(D236)),"Needs the sessions",IF(AND(E236&lt;&gt;"",NOT(ISNUMBER(E236))),"Price not a number",IF(AND(ISNUMBER(E236),N(F236)&gt;E236),"Paid more than the price","")))))))</f>
        <v/>
      </c>
      <c r="L236" s="1">
        <f>IF(ISNUMBER(B236),YEAR(B236)*100+MONTH(B236),"")</f>
        <v/>
      </c>
      <c r="M236">
        <f>IF(AND(K236="",C236&lt;&gt;""),1,0)</f>
        <v/>
      </c>
      <c r="N236">
        <f>IF(AND(M236=1,ISNUMBER(G236)),INT(G236),0)</f>
        <v/>
      </c>
    </row>
    <row r="237">
      <c r="A237" s="1" t="n"/>
      <c r="B237" s="17" t="n"/>
      <c r="C237" s="19" t="n"/>
      <c r="D237" s="25" t="n"/>
      <c r="E237" s="26" t="n"/>
      <c r="F237" s="26" t="n"/>
      <c r="G237" s="17" t="n"/>
      <c r="H237" s="21" t="n"/>
      <c r="I237" s="16">
        <f>IF(OR(N(D237)&lt;=0,NOT(ISNUMBER(E237))),"",E237/D237)</f>
        <v/>
      </c>
      <c r="J237" s="16">
        <f>IF(OR(C237="",NOT(ISNUMBER(E237))),"",MAX(0,E237-N(F237)))</f>
        <v/>
      </c>
      <c r="K237" s="12">
        <f>IF(AND(C237="",D237="",E237=""),"",IF(NOT(ISNUMBER(B237)),"Needs a date",IF(C237="","Needs a client",IF(COUNTIF(Clients!$B$6:$B$105,C237)=0,"Not on Clients",IF(NOT(ISNUMBER(D237)),"Needs the sessions",IF(AND(E237&lt;&gt;"",NOT(ISNUMBER(E237))),"Price not a number",IF(AND(ISNUMBER(E237),N(F237)&gt;E237),"Paid more than the price","")))))))</f>
        <v/>
      </c>
      <c r="L237" s="1">
        <f>IF(ISNUMBER(B237),YEAR(B237)*100+MONTH(B237),"")</f>
        <v/>
      </c>
      <c r="M237">
        <f>IF(AND(K237="",C237&lt;&gt;""),1,0)</f>
        <v/>
      </c>
      <c r="N237">
        <f>IF(AND(M237=1,ISNUMBER(G237)),INT(G237),0)</f>
        <v/>
      </c>
    </row>
    <row r="238">
      <c r="A238" s="1" t="n"/>
      <c r="B238" s="17" t="n"/>
      <c r="C238" s="19" t="n"/>
      <c r="D238" s="25" t="n"/>
      <c r="E238" s="26" t="n"/>
      <c r="F238" s="26" t="n"/>
      <c r="G238" s="17" t="n"/>
      <c r="H238" s="21" t="n"/>
      <c r="I238" s="16">
        <f>IF(OR(N(D238)&lt;=0,NOT(ISNUMBER(E238))),"",E238/D238)</f>
        <v/>
      </c>
      <c r="J238" s="16">
        <f>IF(OR(C238="",NOT(ISNUMBER(E238))),"",MAX(0,E238-N(F238)))</f>
        <v/>
      </c>
      <c r="K238" s="12">
        <f>IF(AND(C238="",D238="",E238=""),"",IF(NOT(ISNUMBER(B238)),"Needs a date",IF(C238="","Needs a client",IF(COUNTIF(Clients!$B$6:$B$105,C238)=0,"Not on Clients",IF(NOT(ISNUMBER(D238)),"Needs the sessions",IF(AND(E238&lt;&gt;"",NOT(ISNUMBER(E238))),"Price not a number",IF(AND(ISNUMBER(E238),N(F238)&gt;E238),"Paid more than the price","")))))))</f>
        <v/>
      </c>
      <c r="L238" s="1">
        <f>IF(ISNUMBER(B238),YEAR(B238)*100+MONTH(B238),"")</f>
        <v/>
      </c>
      <c r="M238">
        <f>IF(AND(K238="",C238&lt;&gt;""),1,0)</f>
        <v/>
      </c>
      <c r="N238">
        <f>IF(AND(M238=1,ISNUMBER(G238)),INT(G238),0)</f>
        <v/>
      </c>
    </row>
    <row r="239">
      <c r="A239" s="1" t="n"/>
      <c r="B239" s="17" t="n"/>
      <c r="C239" s="19" t="n"/>
      <c r="D239" s="25" t="n"/>
      <c r="E239" s="26" t="n"/>
      <c r="F239" s="26" t="n"/>
      <c r="G239" s="17" t="n"/>
      <c r="H239" s="21" t="n"/>
      <c r="I239" s="16">
        <f>IF(OR(N(D239)&lt;=0,NOT(ISNUMBER(E239))),"",E239/D239)</f>
        <v/>
      </c>
      <c r="J239" s="16">
        <f>IF(OR(C239="",NOT(ISNUMBER(E239))),"",MAX(0,E239-N(F239)))</f>
        <v/>
      </c>
      <c r="K239" s="12">
        <f>IF(AND(C239="",D239="",E239=""),"",IF(NOT(ISNUMBER(B239)),"Needs a date",IF(C239="","Needs a client",IF(COUNTIF(Clients!$B$6:$B$105,C239)=0,"Not on Clients",IF(NOT(ISNUMBER(D239)),"Needs the sessions",IF(AND(E239&lt;&gt;"",NOT(ISNUMBER(E239))),"Price not a number",IF(AND(ISNUMBER(E239),N(F239)&gt;E239),"Paid more than the price","")))))))</f>
        <v/>
      </c>
      <c r="L239" s="1">
        <f>IF(ISNUMBER(B239),YEAR(B239)*100+MONTH(B239),"")</f>
        <v/>
      </c>
      <c r="M239">
        <f>IF(AND(K239="",C239&lt;&gt;""),1,0)</f>
        <v/>
      </c>
      <c r="N239">
        <f>IF(AND(M239=1,ISNUMBER(G239)),INT(G239),0)</f>
        <v/>
      </c>
    </row>
    <row r="240">
      <c r="A240" s="1" t="n"/>
      <c r="B240" s="17" t="n"/>
      <c r="C240" s="19" t="n"/>
      <c r="D240" s="25" t="n"/>
      <c r="E240" s="26" t="n"/>
      <c r="F240" s="26" t="n"/>
      <c r="G240" s="17" t="n"/>
      <c r="H240" s="21" t="n"/>
      <c r="I240" s="16">
        <f>IF(OR(N(D240)&lt;=0,NOT(ISNUMBER(E240))),"",E240/D240)</f>
        <v/>
      </c>
      <c r="J240" s="16">
        <f>IF(OR(C240="",NOT(ISNUMBER(E240))),"",MAX(0,E240-N(F240)))</f>
        <v/>
      </c>
      <c r="K240" s="12">
        <f>IF(AND(C240="",D240="",E240=""),"",IF(NOT(ISNUMBER(B240)),"Needs a date",IF(C240="","Needs a client",IF(COUNTIF(Clients!$B$6:$B$105,C240)=0,"Not on Clients",IF(NOT(ISNUMBER(D240)),"Needs the sessions",IF(AND(E240&lt;&gt;"",NOT(ISNUMBER(E240))),"Price not a number",IF(AND(ISNUMBER(E240),N(F240)&gt;E240),"Paid more than the price","")))))))</f>
        <v/>
      </c>
      <c r="L240" s="1">
        <f>IF(ISNUMBER(B240),YEAR(B240)*100+MONTH(B240),"")</f>
        <v/>
      </c>
      <c r="M240">
        <f>IF(AND(K240="",C240&lt;&gt;""),1,0)</f>
        <v/>
      </c>
      <c r="N240">
        <f>IF(AND(M240=1,ISNUMBER(G240)),INT(G240),0)</f>
        <v/>
      </c>
    </row>
    <row r="241">
      <c r="A241" s="1" t="n"/>
      <c r="B241" s="17" t="n"/>
      <c r="C241" s="19" t="n"/>
      <c r="D241" s="25" t="n"/>
      <c r="E241" s="26" t="n"/>
      <c r="F241" s="26" t="n"/>
      <c r="G241" s="17" t="n"/>
      <c r="H241" s="21" t="n"/>
      <c r="I241" s="16">
        <f>IF(OR(N(D241)&lt;=0,NOT(ISNUMBER(E241))),"",E241/D241)</f>
        <v/>
      </c>
      <c r="J241" s="16">
        <f>IF(OR(C241="",NOT(ISNUMBER(E241))),"",MAX(0,E241-N(F241)))</f>
        <v/>
      </c>
      <c r="K241" s="12">
        <f>IF(AND(C241="",D241="",E241=""),"",IF(NOT(ISNUMBER(B241)),"Needs a date",IF(C241="","Needs a client",IF(COUNTIF(Clients!$B$6:$B$105,C241)=0,"Not on Clients",IF(NOT(ISNUMBER(D241)),"Needs the sessions",IF(AND(E241&lt;&gt;"",NOT(ISNUMBER(E241))),"Price not a number",IF(AND(ISNUMBER(E241),N(F241)&gt;E241),"Paid more than the price","")))))))</f>
        <v/>
      </c>
      <c r="L241" s="1">
        <f>IF(ISNUMBER(B241),YEAR(B241)*100+MONTH(B241),"")</f>
        <v/>
      </c>
      <c r="M241">
        <f>IF(AND(K241="",C241&lt;&gt;""),1,0)</f>
        <v/>
      </c>
      <c r="N241">
        <f>IF(AND(M241=1,ISNUMBER(G241)),INT(G241),0)</f>
        <v/>
      </c>
    </row>
    <row r="242">
      <c r="A242" s="1" t="n"/>
      <c r="B242" s="17" t="n"/>
      <c r="C242" s="19" t="n"/>
      <c r="D242" s="25" t="n"/>
      <c r="E242" s="26" t="n"/>
      <c r="F242" s="26" t="n"/>
      <c r="G242" s="17" t="n"/>
      <c r="H242" s="21" t="n"/>
      <c r="I242" s="16">
        <f>IF(OR(N(D242)&lt;=0,NOT(ISNUMBER(E242))),"",E242/D242)</f>
        <v/>
      </c>
      <c r="J242" s="16">
        <f>IF(OR(C242="",NOT(ISNUMBER(E242))),"",MAX(0,E242-N(F242)))</f>
        <v/>
      </c>
      <c r="K242" s="12">
        <f>IF(AND(C242="",D242="",E242=""),"",IF(NOT(ISNUMBER(B242)),"Needs a date",IF(C242="","Needs a client",IF(COUNTIF(Clients!$B$6:$B$105,C242)=0,"Not on Clients",IF(NOT(ISNUMBER(D242)),"Needs the sessions",IF(AND(E242&lt;&gt;"",NOT(ISNUMBER(E242))),"Price not a number",IF(AND(ISNUMBER(E242),N(F242)&gt;E242),"Paid more than the price","")))))))</f>
        <v/>
      </c>
      <c r="L242" s="1">
        <f>IF(ISNUMBER(B242),YEAR(B242)*100+MONTH(B242),"")</f>
        <v/>
      </c>
      <c r="M242">
        <f>IF(AND(K242="",C242&lt;&gt;""),1,0)</f>
        <v/>
      </c>
      <c r="N242">
        <f>IF(AND(M242=1,ISNUMBER(G242)),INT(G242),0)</f>
        <v/>
      </c>
    </row>
    <row r="243">
      <c r="A243" s="1" t="n"/>
      <c r="B243" s="17" t="n"/>
      <c r="C243" s="19" t="n"/>
      <c r="D243" s="25" t="n"/>
      <c r="E243" s="26" t="n"/>
      <c r="F243" s="26" t="n"/>
      <c r="G243" s="17" t="n"/>
      <c r="H243" s="21" t="n"/>
      <c r="I243" s="16">
        <f>IF(OR(N(D243)&lt;=0,NOT(ISNUMBER(E243))),"",E243/D243)</f>
        <v/>
      </c>
      <c r="J243" s="16">
        <f>IF(OR(C243="",NOT(ISNUMBER(E243))),"",MAX(0,E243-N(F243)))</f>
        <v/>
      </c>
      <c r="K243" s="12">
        <f>IF(AND(C243="",D243="",E243=""),"",IF(NOT(ISNUMBER(B243)),"Needs a date",IF(C243="","Needs a client",IF(COUNTIF(Clients!$B$6:$B$105,C243)=0,"Not on Clients",IF(NOT(ISNUMBER(D243)),"Needs the sessions",IF(AND(E243&lt;&gt;"",NOT(ISNUMBER(E243))),"Price not a number",IF(AND(ISNUMBER(E243),N(F243)&gt;E243),"Paid more than the price","")))))))</f>
        <v/>
      </c>
      <c r="L243" s="1">
        <f>IF(ISNUMBER(B243),YEAR(B243)*100+MONTH(B243),"")</f>
        <v/>
      </c>
      <c r="M243">
        <f>IF(AND(K243="",C243&lt;&gt;""),1,0)</f>
        <v/>
      </c>
      <c r="N243">
        <f>IF(AND(M243=1,ISNUMBER(G243)),INT(G243),0)</f>
        <v/>
      </c>
    </row>
    <row r="244">
      <c r="A244" s="1" t="n"/>
      <c r="B244" s="17" t="n"/>
      <c r="C244" s="19" t="n"/>
      <c r="D244" s="25" t="n"/>
      <c r="E244" s="26" t="n"/>
      <c r="F244" s="26" t="n"/>
      <c r="G244" s="17" t="n"/>
      <c r="H244" s="21" t="n"/>
      <c r="I244" s="16">
        <f>IF(OR(N(D244)&lt;=0,NOT(ISNUMBER(E244))),"",E244/D244)</f>
        <v/>
      </c>
      <c r="J244" s="16">
        <f>IF(OR(C244="",NOT(ISNUMBER(E244))),"",MAX(0,E244-N(F244)))</f>
        <v/>
      </c>
      <c r="K244" s="12">
        <f>IF(AND(C244="",D244="",E244=""),"",IF(NOT(ISNUMBER(B244)),"Needs a date",IF(C244="","Needs a client",IF(COUNTIF(Clients!$B$6:$B$105,C244)=0,"Not on Clients",IF(NOT(ISNUMBER(D244)),"Needs the sessions",IF(AND(E244&lt;&gt;"",NOT(ISNUMBER(E244))),"Price not a number",IF(AND(ISNUMBER(E244),N(F244)&gt;E244),"Paid more than the price","")))))))</f>
        <v/>
      </c>
      <c r="L244" s="1">
        <f>IF(ISNUMBER(B244),YEAR(B244)*100+MONTH(B244),"")</f>
        <v/>
      </c>
      <c r="M244">
        <f>IF(AND(K244="",C244&lt;&gt;""),1,0)</f>
        <v/>
      </c>
      <c r="N244">
        <f>IF(AND(M244=1,ISNUMBER(G244)),INT(G244),0)</f>
        <v/>
      </c>
    </row>
    <row r="245">
      <c r="A245" s="1" t="n"/>
      <c r="B245" s="17" t="n"/>
      <c r="C245" s="19" t="n"/>
      <c r="D245" s="25" t="n"/>
      <c r="E245" s="26" t="n"/>
      <c r="F245" s="26" t="n"/>
      <c r="G245" s="17" t="n"/>
      <c r="H245" s="21" t="n"/>
      <c r="I245" s="16">
        <f>IF(OR(N(D245)&lt;=0,NOT(ISNUMBER(E245))),"",E245/D245)</f>
        <v/>
      </c>
      <c r="J245" s="16">
        <f>IF(OR(C245="",NOT(ISNUMBER(E245))),"",MAX(0,E245-N(F245)))</f>
        <v/>
      </c>
      <c r="K245" s="12">
        <f>IF(AND(C245="",D245="",E245=""),"",IF(NOT(ISNUMBER(B245)),"Needs a date",IF(C245="","Needs a client",IF(COUNTIF(Clients!$B$6:$B$105,C245)=0,"Not on Clients",IF(NOT(ISNUMBER(D245)),"Needs the sessions",IF(AND(E245&lt;&gt;"",NOT(ISNUMBER(E245))),"Price not a number",IF(AND(ISNUMBER(E245),N(F245)&gt;E245),"Paid more than the price","")))))))</f>
        <v/>
      </c>
      <c r="L245" s="1">
        <f>IF(ISNUMBER(B245),YEAR(B245)*100+MONTH(B245),"")</f>
        <v/>
      </c>
      <c r="M245">
        <f>IF(AND(K245="",C245&lt;&gt;""),1,0)</f>
        <v/>
      </c>
      <c r="N245">
        <f>IF(AND(M245=1,ISNUMBER(G245)),INT(G245),0)</f>
        <v/>
      </c>
    </row>
    <row r="246">
      <c r="A246" s="1" t="n"/>
      <c r="B246" s="17" t="n"/>
      <c r="C246" s="19" t="n"/>
      <c r="D246" s="25" t="n"/>
      <c r="E246" s="26" t="n"/>
      <c r="F246" s="26" t="n"/>
      <c r="G246" s="17" t="n"/>
      <c r="H246" s="21" t="n"/>
      <c r="I246" s="16">
        <f>IF(OR(N(D246)&lt;=0,NOT(ISNUMBER(E246))),"",E246/D246)</f>
        <v/>
      </c>
      <c r="J246" s="16">
        <f>IF(OR(C246="",NOT(ISNUMBER(E246))),"",MAX(0,E246-N(F246)))</f>
        <v/>
      </c>
      <c r="K246" s="12">
        <f>IF(AND(C246="",D246="",E246=""),"",IF(NOT(ISNUMBER(B246)),"Needs a date",IF(C246="","Needs a client",IF(COUNTIF(Clients!$B$6:$B$105,C246)=0,"Not on Clients",IF(NOT(ISNUMBER(D246)),"Needs the sessions",IF(AND(E246&lt;&gt;"",NOT(ISNUMBER(E246))),"Price not a number",IF(AND(ISNUMBER(E246),N(F246)&gt;E246),"Paid more than the price","")))))))</f>
        <v/>
      </c>
      <c r="L246" s="1">
        <f>IF(ISNUMBER(B246),YEAR(B246)*100+MONTH(B246),"")</f>
        <v/>
      </c>
      <c r="M246">
        <f>IF(AND(K246="",C246&lt;&gt;""),1,0)</f>
        <v/>
      </c>
      <c r="N246">
        <f>IF(AND(M246=1,ISNUMBER(G246)),INT(G246),0)</f>
        <v/>
      </c>
    </row>
    <row r="247">
      <c r="A247" s="1" t="n"/>
      <c r="B247" s="17" t="n"/>
      <c r="C247" s="19" t="n"/>
      <c r="D247" s="25" t="n"/>
      <c r="E247" s="26" t="n"/>
      <c r="F247" s="26" t="n"/>
      <c r="G247" s="17" t="n"/>
      <c r="H247" s="21" t="n"/>
      <c r="I247" s="16">
        <f>IF(OR(N(D247)&lt;=0,NOT(ISNUMBER(E247))),"",E247/D247)</f>
        <v/>
      </c>
      <c r="J247" s="16">
        <f>IF(OR(C247="",NOT(ISNUMBER(E247))),"",MAX(0,E247-N(F247)))</f>
        <v/>
      </c>
      <c r="K247" s="12">
        <f>IF(AND(C247="",D247="",E247=""),"",IF(NOT(ISNUMBER(B247)),"Needs a date",IF(C247="","Needs a client",IF(COUNTIF(Clients!$B$6:$B$105,C247)=0,"Not on Clients",IF(NOT(ISNUMBER(D247)),"Needs the sessions",IF(AND(E247&lt;&gt;"",NOT(ISNUMBER(E247))),"Price not a number",IF(AND(ISNUMBER(E247),N(F247)&gt;E247),"Paid more than the price","")))))))</f>
        <v/>
      </c>
      <c r="L247" s="1">
        <f>IF(ISNUMBER(B247),YEAR(B247)*100+MONTH(B247),"")</f>
        <v/>
      </c>
      <c r="M247">
        <f>IF(AND(K247="",C247&lt;&gt;""),1,0)</f>
        <v/>
      </c>
      <c r="N247">
        <f>IF(AND(M247=1,ISNUMBER(G247)),INT(G247),0)</f>
        <v/>
      </c>
    </row>
    <row r="248">
      <c r="A248" s="1" t="n"/>
      <c r="B248" s="17" t="n"/>
      <c r="C248" s="19" t="n"/>
      <c r="D248" s="25" t="n"/>
      <c r="E248" s="26" t="n"/>
      <c r="F248" s="26" t="n"/>
      <c r="G248" s="17" t="n"/>
      <c r="H248" s="21" t="n"/>
      <c r="I248" s="16">
        <f>IF(OR(N(D248)&lt;=0,NOT(ISNUMBER(E248))),"",E248/D248)</f>
        <v/>
      </c>
      <c r="J248" s="16">
        <f>IF(OR(C248="",NOT(ISNUMBER(E248))),"",MAX(0,E248-N(F248)))</f>
        <v/>
      </c>
      <c r="K248" s="12">
        <f>IF(AND(C248="",D248="",E248=""),"",IF(NOT(ISNUMBER(B248)),"Needs a date",IF(C248="","Needs a client",IF(COUNTIF(Clients!$B$6:$B$105,C248)=0,"Not on Clients",IF(NOT(ISNUMBER(D248)),"Needs the sessions",IF(AND(E248&lt;&gt;"",NOT(ISNUMBER(E248))),"Price not a number",IF(AND(ISNUMBER(E248),N(F248)&gt;E248),"Paid more than the price","")))))))</f>
        <v/>
      </c>
      <c r="L248" s="1">
        <f>IF(ISNUMBER(B248),YEAR(B248)*100+MONTH(B248),"")</f>
        <v/>
      </c>
      <c r="M248">
        <f>IF(AND(K248="",C248&lt;&gt;""),1,0)</f>
        <v/>
      </c>
      <c r="N248">
        <f>IF(AND(M248=1,ISNUMBER(G248)),INT(G248),0)</f>
        <v/>
      </c>
    </row>
    <row r="249">
      <c r="A249" s="1" t="n"/>
      <c r="B249" s="17" t="n"/>
      <c r="C249" s="19" t="n"/>
      <c r="D249" s="25" t="n"/>
      <c r="E249" s="26" t="n"/>
      <c r="F249" s="26" t="n"/>
      <c r="G249" s="17" t="n"/>
      <c r="H249" s="21" t="n"/>
      <c r="I249" s="16">
        <f>IF(OR(N(D249)&lt;=0,NOT(ISNUMBER(E249))),"",E249/D249)</f>
        <v/>
      </c>
      <c r="J249" s="16">
        <f>IF(OR(C249="",NOT(ISNUMBER(E249))),"",MAX(0,E249-N(F249)))</f>
        <v/>
      </c>
      <c r="K249" s="12">
        <f>IF(AND(C249="",D249="",E249=""),"",IF(NOT(ISNUMBER(B249)),"Needs a date",IF(C249="","Needs a client",IF(COUNTIF(Clients!$B$6:$B$105,C249)=0,"Not on Clients",IF(NOT(ISNUMBER(D249)),"Needs the sessions",IF(AND(E249&lt;&gt;"",NOT(ISNUMBER(E249))),"Price not a number",IF(AND(ISNUMBER(E249),N(F249)&gt;E249),"Paid more than the price","")))))))</f>
        <v/>
      </c>
      <c r="L249" s="1">
        <f>IF(ISNUMBER(B249),YEAR(B249)*100+MONTH(B249),"")</f>
        <v/>
      </c>
      <c r="M249">
        <f>IF(AND(K249="",C249&lt;&gt;""),1,0)</f>
        <v/>
      </c>
      <c r="N249">
        <f>IF(AND(M249=1,ISNUMBER(G249)),INT(G249),0)</f>
        <v/>
      </c>
    </row>
    <row r="250">
      <c r="A250" s="1" t="n"/>
      <c r="B250" s="17" t="n"/>
      <c r="C250" s="19" t="n"/>
      <c r="D250" s="25" t="n"/>
      <c r="E250" s="26" t="n"/>
      <c r="F250" s="26" t="n"/>
      <c r="G250" s="17" t="n"/>
      <c r="H250" s="21" t="n"/>
      <c r="I250" s="16">
        <f>IF(OR(N(D250)&lt;=0,NOT(ISNUMBER(E250))),"",E250/D250)</f>
        <v/>
      </c>
      <c r="J250" s="16">
        <f>IF(OR(C250="",NOT(ISNUMBER(E250))),"",MAX(0,E250-N(F250)))</f>
        <v/>
      </c>
      <c r="K250" s="12">
        <f>IF(AND(C250="",D250="",E250=""),"",IF(NOT(ISNUMBER(B250)),"Needs a date",IF(C250="","Needs a client",IF(COUNTIF(Clients!$B$6:$B$105,C250)=0,"Not on Clients",IF(NOT(ISNUMBER(D250)),"Needs the sessions",IF(AND(E250&lt;&gt;"",NOT(ISNUMBER(E250))),"Price not a number",IF(AND(ISNUMBER(E250),N(F250)&gt;E250),"Paid more than the price","")))))))</f>
        <v/>
      </c>
      <c r="L250" s="1">
        <f>IF(ISNUMBER(B250),YEAR(B250)*100+MONTH(B250),"")</f>
        <v/>
      </c>
      <c r="M250">
        <f>IF(AND(K250="",C250&lt;&gt;""),1,0)</f>
        <v/>
      </c>
      <c r="N250">
        <f>IF(AND(M250=1,ISNUMBER(G250)),INT(G250),0)</f>
        <v/>
      </c>
    </row>
    <row r="251">
      <c r="A251" s="1" t="n"/>
      <c r="B251" s="17" t="n"/>
      <c r="C251" s="19" t="n"/>
      <c r="D251" s="25" t="n"/>
      <c r="E251" s="26" t="n"/>
      <c r="F251" s="26" t="n"/>
      <c r="G251" s="17" t="n"/>
      <c r="H251" s="21" t="n"/>
      <c r="I251" s="16">
        <f>IF(OR(N(D251)&lt;=0,NOT(ISNUMBER(E251))),"",E251/D251)</f>
        <v/>
      </c>
      <c r="J251" s="16">
        <f>IF(OR(C251="",NOT(ISNUMBER(E251))),"",MAX(0,E251-N(F251)))</f>
        <v/>
      </c>
      <c r="K251" s="12">
        <f>IF(AND(C251="",D251="",E251=""),"",IF(NOT(ISNUMBER(B251)),"Needs a date",IF(C251="","Needs a client",IF(COUNTIF(Clients!$B$6:$B$105,C251)=0,"Not on Clients",IF(NOT(ISNUMBER(D251)),"Needs the sessions",IF(AND(E251&lt;&gt;"",NOT(ISNUMBER(E251))),"Price not a number",IF(AND(ISNUMBER(E251),N(F251)&gt;E251),"Paid more than the price","")))))))</f>
        <v/>
      </c>
      <c r="L251" s="1">
        <f>IF(ISNUMBER(B251),YEAR(B251)*100+MONTH(B251),"")</f>
        <v/>
      </c>
      <c r="M251">
        <f>IF(AND(K251="",C251&lt;&gt;""),1,0)</f>
        <v/>
      </c>
      <c r="N251">
        <f>IF(AND(M251=1,ISNUMBER(G251)),INT(G251),0)</f>
        <v/>
      </c>
    </row>
    <row r="252">
      <c r="A252" s="1" t="n"/>
      <c r="B252" s="17" t="n"/>
      <c r="C252" s="19" t="n"/>
      <c r="D252" s="25" t="n"/>
      <c r="E252" s="26" t="n"/>
      <c r="F252" s="26" t="n"/>
      <c r="G252" s="17" t="n"/>
      <c r="H252" s="21" t="n"/>
      <c r="I252" s="16">
        <f>IF(OR(N(D252)&lt;=0,NOT(ISNUMBER(E252))),"",E252/D252)</f>
        <v/>
      </c>
      <c r="J252" s="16">
        <f>IF(OR(C252="",NOT(ISNUMBER(E252))),"",MAX(0,E252-N(F252)))</f>
        <v/>
      </c>
      <c r="K252" s="12">
        <f>IF(AND(C252="",D252="",E252=""),"",IF(NOT(ISNUMBER(B252)),"Needs a date",IF(C252="","Needs a client",IF(COUNTIF(Clients!$B$6:$B$105,C252)=0,"Not on Clients",IF(NOT(ISNUMBER(D252)),"Needs the sessions",IF(AND(E252&lt;&gt;"",NOT(ISNUMBER(E252))),"Price not a number",IF(AND(ISNUMBER(E252),N(F252)&gt;E252),"Paid more than the price","")))))))</f>
        <v/>
      </c>
      <c r="L252" s="1">
        <f>IF(ISNUMBER(B252),YEAR(B252)*100+MONTH(B252),"")</f>
        <v/>
      </c>
      <c r="M252">
        <f>IF(AND(K252="",C252&lt;&gt;""),1,0)</f>
        <v/>
      </c>
      <c r="N252">
        <f>IF(AND(M252=1,ISNUMBER(G252)),INT(G252),0)</f>
        <v/>
      </c>
    </row>
    <row r="253">
      <c r="A253" s="1" t="n"/>
      <c r="B253" s="17" t="n"/>
      <c r="C253" s="19" t="n"/>
      <c r="D253" s="25" t="n"/>
      <c r="E253" s="26" t="n"/>
      <c r="F253" s="26" t="n"/>
      <c r="G253" s="17" t="n"/>
      <c r="H253" s="21" t="n"/>
      <c r="I253" s="16">
        <f>IF(OR(N(D253)&lt;=0,NOT(ISNUMBER(E253))),"",E253/D253)</f>
        <v/>
      </c>
      <c r="J253" s="16">
        <f>IF(OR(C253="",NOT(ISNUMBER(E253))),"",MAX(0,E253-N(F253)))</f>
        <v/>
      </c>
      <c r="K253" s="12">
        <f>IF(AND(C253="",D253="",E253=""),"",IF(NOT(ISNUMBER(B253)),"Needs a date",IF(C253="","Needs a client",IF(COUNTIF(Clients!$B$6:$B$105,C253)=0,"Not on Clients",IF(NOT(ISNUMBER(D253)),"Needs the sessions",IF(AND(E253&lt;&gt;"",NOT(ISNUMBER(E253))),"Price not a number",IF(AND(ISNUMBER(E253),N(F253)&gt;E253),"Paid more than the price","")))))))</f>
        <v/>
      </c>
      <c r="L253" s="1">
        <f>IF(ISNUMBER(B253),YEAR(B253)*100+MONTH(B253),"")</f>
        <v/>
      </c>
      <c r="M253">
        <f>IF(AND(K253="",C253&lt;&gt;""),1,0)</f>
        <v/>
      </c>
      <c r="N253">
        <f>IF(AND(M253=1,ISNUMBER(G253)),INT(G253),0)</f>
        <v/>
      </c>
    </row>
    <row r="254">
      <c r="A254" s="1" t="n"/>
      <c r="B254" s="17" t="n"/>
      <c r="C254" s="19" t="n"/>
      <c r="D254" s="25" t="n"/>
      <c r="E254" s="26" t="n"/>
      <c r="F254" s="26" t="n"/>
      <c r="G254" s="17" t="n"/>
      <c r="H254" s="21" t="n"/>
      <c r="I254" s="16">
        <f>IF(OR(N(D254)&lt;=0,NOT(ISNUMBER(E254))),"",E254/D254)</f>
        <v/>
      </c>
      <c r="J254" s="16">
        <f>IF(OR(C254="",NOT(ISNUMBER(E254))),"",MAX(0,E254-N(F254)))</f>
        <v/>
      </c>
      <c r="K254" s="12">
        <f>IF(AND(C254="",D254="",E254=""),"",IF(NOT(ISNUMBER(B254)),"Needs a date",IF(C254="","Needs a client",IF(COUNTIF(Clients!$B$6:$B$105,C254)=0,"Not on Clients",IF(NOT(ISNUMBER(D254)),"Needs the sessions",IF(AND(E254&lt;&gt;"",NOT(ISNUMBER(E254))),"Price not a number",IF(AND(ISNUMBER(E254),N(F254)&gt;E254),"Paid more than the price","")))))))</f>
        <v/>
      </c>
      <c r="L254" s="1">
        <f>IF(ISNUMBER(B254),YEAR(B254)*100+MONTH(B254),"")</f>
        <v/>
      </c>
      <c r="M254">
        <f>IF(AND(K254="",C254&lt;&gt;""),1,0)</f>
        <v/>
      </c>
      <c r="N254">
        <f>IF(AND(M254=1,ISNUMBER(G254)),INT(G254),0)</f>
        <v/>
      </c>
    </row>
    <row r="255">
      <c r="A255" s="1" t="n"/>
      <c r="B255" s="17" t="n"/>
      <c r="C255" s="19" t="n"/>
      <c r="D255" s="25" t="n"/>
      <c r="E255" s="26" t="n"/>
      <c r="F255" s="26" t="n"/>
      <c r="G255" s="17" t="n"/>
      <c r="H255" s="21" t="n"/>
      <c r="I255" s="16">
        <f>IF(OR(N(D255)&lt;=0,NOT(ISNUMBER(E255))),"",E255/D255)</f>
        <v/>
      </c>
      <c r="J255" s="16">
        <f>IF(OR(C255="",NOT(ISNUMBER(E255))),"",MAX(0,E255-N(F255)))</f>
        <v/>
      </c>
      <c r="K255" s="12">
        <f>IF(AND(C255="",D255="",E255=""),"",IF(NOT(ISNUMBER(B255)),"Needs a date",IF(C255="","Needs a client",IF(COUNTIF(Clients!$B$6:$B$105,C255)=0,"Not on Clients",IF(NOT(ISNUMBER(D255)),"Needs the sessions",IF(AND(E255&lt;&gt;"",NOT(ISNUMBER(E255))),"Price not a number",IF(AND(ISNUMBER(E255),N(F255)&gt;E255),"Paid more than the price","")))))))</f>
        <v/>
      </c>
      <c r="L255" s="1">
        <f>IF(ISNUMBER(B255),YEAR(B255)*100+MONTH(B255),"")</f>
        <v/>
      </c>
      <c r="M255">
        <f>IF(AND(K255="",C255&lt;&gt;""),1,0)</f>
        <v/>
      </c>
      <c r="N255">
        <f>IF(AND(M255=1,ISNUMBER(G255)),INT(G255),0)</f>
        <v/>
      </c>
    </row>
    <row r="256">
      <c r="A256" s="1" t="n"/>
      <c r="B256" s="17" t="n"/>
      <c r="C256" s="19" t="n"/>
      <c r="D256" s="25" t="n"/>
      <c r="E256" s="26" t="n"/>
      <c r="F256" s="26" t="n"/>
      <c r="G256" s="17" t="n"/>
      <c r="H256" s="21" t="n"/>
      <c r="I256" s="16">
        <f>IF(OR(N(D256)&lt;=0,NOT(ISNUMBER(E256))),"",E256/D256)</f>
        <v/>
      </c>
      <c r="J256" s="16">
        <f>IF(OR(C256="",NOT(ISNUMBER(E256))),"",MAX(0,E256-N(F256)))</f>
        <v/>
      </c>
      <c r="K256" s="12">
        <f>IF(AND(C256="",D256="",E256=""),"",IF(NOT(ISNUMBER(B256)),"Needs a date",IF(C256="","Needs a client",IF(COUNTIF(Clients!$B$6:$B$105,C256)=0,"Not on Clients",IF(NOT(ISNUMBER(D256)),"Needs the sessions",IF(AND(E256&lt;&gt;"",NOT(ISNUMBER(E256))),"Price not a number",IF(AND(ISNUMBER(E256),N(F256)&gt;E256),"Paid more than the price","")))))))</f>
        <v/>
      </c>
      <c r="L256" s="1">
        <f>IF(ISNUMBER(B256),YEAR(B256)*100+MONTH(B256),"")</f>
        <v/>
      </c>
      <c r="M256">
        <f>IF(AND(K256="",C256&lt;&gt;""),1,0)</f>
        <v/>
      </c>
      <c r="N256">
        <f>IF(AND(M256=1,ISNUMBER(G256)),INT(G256),0)</f>
        <v/>
      </c>
    </row>
    <row r="257">
      <c r="A257" s="1" t="n"/>
      <c r="B257" s="17" t="n"/>
      <c r="C257" s="19" t="n"/>
      <c r="D257" s="25" t="n"/>
      <c r="E257" s="26" t="n"/>
      <c r="F257" s="26" t="n"/>
      <c r="G257" s="17" t="n"/>
      <c r="H257" s="21" t="n"/>
      <c r="I257" s="16">
        <f>IF(OR(N(D257)&lt;=0,NOT(ISNUMBER(E257))),"",E257/D257)</f>
        <v/>
      </c>
      <c r="J257" s="16">
        <f>IF(OR(C257="",NOT(ISNUMBER(E257))),"",MAX(0,E257-N(F257)))</f>
        <v/>
      </c>
      <c r="K257" s="12">
        <f>IF(AND(C257="",D257="",E257=""),"",IF(NOT(ISNUMBER(B257)),"Needs a date",IF(C257="","Needs a client",IF(COUNTIF(Clients!$B$6:$B$105,C257)=0,"Not on Clients",IF(NOT(ISNUMBER(D257)),"Needs the sessions",IF(AND(E257&lt;&gt;"",NOT(ISNUMBER(E257))),"Price not a number",IF(AND(ISNUMBER(E257),N(F257)&gt;E257),"Paid more than the price","")))))))</f>
        <v/>
      </c>
      <c r="L257" s="1">
        <f>IF(ISNUMBER(B257),YEAR(B257)*100+MONTH(B257),"")</f>
        <v/>
      </c>
      <c r="M257">
        <f>IF(AND(K257="",C257&lt;&gt;""),1,0)</f>
        <v/>
      </c>
      <c r="N257">
        <f>IF(AND(M257=1,ISNUMBER(G257)),INT(G257),0)</f>
        <v/>
      </c>
    </row>
    <row r="258">
      <c r="A258" s="1" t="n"/>
      <c r="B258" s="17" t="n"/>
      <c r="C258" s="19" t="n"/>
      <c r="D258" s="25" t="n"/>
      <c r="E258" s="26" t="n"/>
      <c r="F258" s="26" t="n"/>
      <c r="G258" s="17" t="n"/>
      <c r="H258" s="21" t="n"/>
      <c r="I258" s="16">
        <f>IF(OR(N(D258)&lt;=0,NOT(ISNUMBER(E258))),"",E258/D258)</f>
        <v/>
      </c>
      <c r="J258" s="16">
        <f>IF(OR(C258="",NOT(ISNUMBER(E258))),"",MAX(0,E258-N(F258)))</f>
        <v/>
      </c>
      <c r="K258" s="12">
        <f>IF(AND(C258="",D258="",E258=""),"",IF(NOT(ISNUMBER(B258)),"Needs a date",IF(C258="","Needs a client",IF(COUNTIF(Clients!$B$6:$B$105,C258)=0,"Not on Clients",IF(NOT(ISNUMBER(D258)),"Needs the sessions",IF(AND(E258&lt;&gt;"",NOT(ISNUMBER(E258))),"Price not a number",IF(AND(ISNUMBER(E258),N(F258)&gt;E258),"Paid more than the price","")))))))</f>
        <v/>
      </c>
      <c r="L258" s="1">
        <f>IF(ISNUMBER(B258),YEAR(B258)*100+MONTH(B258),"")</f>
        <v/>
      </c>
      <c r="M258">
        <f>IF(AND(K258="",C258&lt;&gt;""),1,0)</f>
        <v/>
      </c>
      <c r="N258">
        <f>IF(AND(M258=1,ISNUMBER(G258)),INT(G258),0)</f>
        <v/>
      </c>
    </row>
    <row r="259">
      <c r="A259" s="1" t="n"/>
      <c r="B259" s="17" t="n"/>
      <c r="C259" s="19" t="n"/>
      <c r="D259" s="25" t="n"/>
      <c r="E259" s="26" t="n"/>
      <c r="F259" s="26" t="n"/>
      <c r="G259" s="17" t="n"/>
      <c r="H259" s="21" t="n"/>
      <c r="I259" s="16">
        <f>IF(OR(N(D259)&lt;=0,NOT(ISNUMBER(E259))),"",E259/D259)</f>
        <v/>
      </c>
      <c r="J259" s="16">
        <f>IF(OR(C259="",NOT(ISNUMBER(E259))),"",MAX(0,E259-N(F259)))</f>
        <v/>
      </c>
      <c r="K259" s="12">
        <f>IF(AND(C259="",D259="",E259=""),"",IF(NOT(ISNUMBER(B259)),"Needs a date",IF(C259="","Needs a client",IF(COUNTIF(Clients!$B$6:$B$105,C259)=0,"Not on Clients",IF(NOT(ISNUMBER(D259)),"Needs the sessions",IF(AND(E259&lt;&gt;"",NOT(ISNUMBER(E259))),"Price not a number",IF(AND(ISNUMBER(E259),N(F259)&gt;E259),"Paid more than the price","")))))))</f>
        <v/>
      </c>
      <c r="L259" s="1">
        <f>IF(ISNUMBER(B259),YEAR(B259)*100+MONTH(B259),"")</f>
        <v/>
      </c>
      <c r="M259">
        <f>IF(AND(K259="",C259&lt;&gt;""),1,0)</f>
        <v/>
      </c>
      <c r="N259">
        <f>IF(AND(M259=1,ISNUMBER(G259)),INT(G259),0)</f>
        <v/>
      </c>
    </row>
    <row r="260">
      <c r="A260" s="1" t="n"/>
      <c r="B260" s="17" t="n"/>
      <c r="C260" s="19" t="n"/>
      <c r="D260" s="25" t="n"/>
      <c r="E260" s="26" t="n"/>
      <c r="F260" s="26" t="n"/>
      <c r="G260" s="17" t="n"/>
      <c r="H260" s="21" t="n"/>
      <c r="I260" s="16">
        <f>IF(OR(N(D260)&lt;=0,NOT(ISNUMBER(E260))),"",E260/D260)</f>
        <v/>
      </c>
      <c r="J260" s="16">
        <f>IF(OR(C260="",NOT(ISNUMBER(E260))),"",MAX(0,E260-N(F260)))</f>
        <v/>
      </c>
      <c r="K260" s="12">
        <f>IF(AND(C260="",D260="",E260=""),"",IF(NOT(ISNUMBER(B260)),"Needs a date",IF(C260="","Needs a client",IF(COUNTIF(Clients!$B$6:$B$105,C260)=0,"Not on Clients",IF(NOT(ISNUMBER(D260)),"Needs the sessions",IF(AND(E260&lt;&gt;"",NOT(ISNUMBER(E260))),"Price not a number",IF(AND(ISNUMBER(E260),N(F260)&gt;E260),"Paid more than the price","")))))))</f>
        <v/>
      </c>
      <c r="L260" s="1">
        <f>IF(ISNUMBER(B260),YEAR(B260)*100+MONTH(B260),"")</f>
        <v/>
      </c>
      <c r="M260">
        <f>IF(AND(K260="",C260&lt;&gt;""),1,0)</f>
        <v/>
      </c>
      <c r="N260">
        <f>IF(AND(M260=1,ISNUMBER(G260)),INT(G260),0)</f>
        <v/>
      </c>
    </row>
    <row r="261">
      <c r="A261" s="1" t="n"/>
      <c r="B261" s="17" t="n"/>
      <c r="C261" s="19" t="n"/>
      <c r="D261" s="25" t="n"/>
      <c r="E261" s="26" t="n"/>
      <c r="F261" s="26" t="n"/>
      <c r="G261" s="17" t="n"/>
      <c r="H261" s="21" t="n"/>
      <c r="I261" s="16">
        <f>IF(OR(N(D261)&lt;=0,NOT(ISNUMBER(E261))),"",E261/D261)</f>
        <v/>
      </c>
      <c r="J261" s="16">
        <f>IF(OR(C261="",NOT(ISNUMBER(E261))),"",MAX(0,E261-N(F261)))</f>
        <v/>
      </c>
      <c r="K261" s="12">
        <f>IF(AND(C261="",D261="",E261=""),"",IF(NOT(ISNUMBER(B261)),"Needs a date",IF(C261="","Needs a client",IF(COUNTIF(Clients!$B$6:$B$105,C261)=0,"Not on Clients",IF(NOT(ISNUMBER(D261)),"Needs the sessions",IF(AND(E261&lt;&gt;"",NOT(ISNUMBER(E261))),"Price not a number",IF(AND(ISNUMBER(E261),N(F261)&gt;E261),"Paid more than the price","")))))))</f>
        <v/>
      </c>
      <c r="L261" s="1">
        <f>IF(ISNUMBER(B261),YEAR(B261)*100+MONTH(B261),"")</f>
        <v/>
      </c>
      <c r="M261">
        <f>IF(AND(K261="",C261&lt;&gt;""),1,0)</f>
        <v/>
      </c>
      <c r="N261">
        <f>IF(AND(M261=1,ISNUMBER(G261)),INT(G261),0)</f>
        <v/>
      </c>
    </row>
    <row r="262">
      <c r="A262" s="1" t="n"/>
      <c r="B262" s="17" t="n"/>
      <c r="C262" s="19" t="n"/>
      <c r="D262" s="25" t="n"/>
      <c r="E262" s="26" t="n"/>
      <c r="F262" s="26" t="n"/>
      <c r="G262" s="17" t="n"/>
      <c r="H262" s="21" t="n"/>
      <c r="I262" s="16">
        <f>IF(OR(N(D262)&lt;=0,NOT(ISNUMBER(E262))),"",E262/D262)</f>
        <v/>
      </c>
      <c r="J262" s="16">
        <f>IF(OR(C262="",NOT(ISNUMBER(E262))),"",MAX(0,E262-N(F262)))</f>
        <v/>
      </c>
      <c r="K262" s="12">
        <f>IF(AND(C262="",D262="",E262=""),"",IF(NOT(ISNUMBER(B262)),"Needs a date",IF(C262="","Needs a client",IF(COUNTIF(Clients!$B$6:$B$105,C262)=0,"Not on Clients",IF(NOT(ISNUMBER(D262)),"Needs the sessions",IF(AND(E262&lt;&gt;"",NOT(ISNUMBER(E262))),"Price not a number",IF(AND(ISNUMBER(E262),N(F262)&gt;E262),"Paid more than the price","")))))))</f>
        <v/>
      </c>
      <c r="L262" s="1">
        <f>IF(ISNUMBER(B262),YEAR(B262)*100+MONTH(B262),"")</f>
        <v/>
      </c>
      <c r="M262">
        <f>IF(AND(K262="",C262&lt;&gt;""),1,0)</f>
        <v/>
      </c>
      <c r="N262">
        <f>IF(AND(M262=1,ISNUMBER(G262)),INT(G262),0)</f>
        <v/>
      </c>
    </row>
    <row r="263">
      <c r="A263" s="1" t="n"/>
      <c r="B263" s="17" t="n"/>
      <c r="C263" s="19" t="n"/>
      <c r="D263" s="25" t="n"/>
      <c r="E263" s="26" t="n"/>
      <c r="F263" s="26" t="n"/>
      <c r="G263" s="17" t="n"/>
      <c r="H263" s="21" t="n"/>
      <c r="I263" s="16">
        <f>IF(OR(N(D263)&lt;=0,NOT(ISNUMBER(E263))),"",E263/D263)</f>
        <v/>
      </c>
      <c r="J263" s="16">
        <f>IF(OR(C263="",NOT(ISNUMBER(E263))),"",MAX(0,E263-N(F263)))</f>
        <v/>
      </c>
      <c r="K263" s="12">
        <f>IF(AND(C263="",D263="",E263=""),"",IF(NOT(ISNUMBER(B263)),"Needs a date",IF(C263="","Needs a client",IF(COUNTIF(Clients!$B$6:$B$105,C263)=0,"Not on Clients",IF(NOT(ISNUMBER(D263)),"Needs the sessions",IF(AND(E263&lt;&gt;"",NOT(ISNUMBER(E263))),"Price not a number",IF(AND(ISNUMBER(E263),N(F263)&gt;E263),"Paid more than the price","")))))))</f>
        <v/>
      </c>
      <c r="L263" s="1">
        <f>IF(ISNUMBER(B263),YEAR(B263)*100+MONTH(B263),"")</f>
        <v/>
      </c>
      <c r="M263">
        <f>IF(AND(K263="",C263&lt;&gt;""),1,0)</f>
        <v/>
      </c>
      <c r="N263">
        <f>IF(AND(M263=1,ISNUMBER(G263)),INT(G263),0)</f>
        <v/>
      </c>
    </row>
    <row r="264">
      <c r="A264" s="1" t="n"/>
      <c r="B264" s="17" t="n"/>
      <c r="C264" s="19" t="n"/>
      <c r="D264" s="25" t="n"/>
      <c r="E264" s="26" t="n"/>
      <c r="F264" s="26" t="n"/>
      <c r="G264" s="17" t="n"/>
      <c r="H264" s="21" t="n"/>
      <c r="I264" s="16">
        <f>IF(OR(N(D264)&lt;=0,NOT(ISNUMBER(E264))),"",E264/D264)</f>
        <v/>
      </c>
      <c r="J264" s="16">
        <f>IF(OR(C264="",NOT(ISNUMBER(E264))),"",MAX(0,E264-N(F264)))</f>
        <v/>
      </c>
      <c r="K264" s="12">
        <f>IF(AND(C264="",D264="",E264=""),"",IF(NOT(ISNUMBER(B264)),"Needs a date",IF(C264="","Needs a client",IF(COUNTIF(Clients!$B$6:$B$105,C264)=0,"Not on Clients",IF(NOT(ISNUMBER(D264)),"Needs the sessions",IF(AND(E264&lt;&gt;"",NOT(ISNUMBER(E264))),"Price not a number",IF(AND(ISNUMBER(E264),N(F264)&gt;E264),"Paid more than the price","")))))))</f>
        <v/>
      </c>
      <c r="L264" s="1">
        <f>IF(ISNUMBER(B264),YEAR(B264)*100+MONTH(B264),"")</f>
        <v/>
      </c>
      <c r="M264">
        <f>IF(AND(K264="",C264&lt;&gt;""),1,0)</f>
        <v/>
      </c>
      <c r="N264">
        <f>IF(AND(M264=1,ISNUMBER(G264)),INT(G264),0)</f>
        <v/>
      </c>
    </row>
    <row r="265">
      <c r="A265" s="1" t="n"/>
      <c r="B265" s="17" t="n"/>
      <c r="C265" s="19" t="n"/>
      <c r="D265" s="25" t="n"/>
      <c r="E265" s="26" t="n"/>
      <c r="F265" s="26" t="n"/>
      <c r="G265" s="17" t="n"/>
      <c r="H265" s="21" t="n"/>
      <c r="I265" s="16">
        <f>IF(OR(N(D265)&lt;=0,NOT(ISNUMBER(E265))),"",E265/D265)</f>
        <v/>
      </c>
      <c r="J265" s="16">
        <f>IF(OR(C265="",NOT(ISNUMBER(E265))),"",MAX(0,E265-N(F265)))</f>
        <v/>
      </c>
      <c r="K265" s="12">
        <f>IF(AND(C265="",D265="",E265=""),"",IF(NOT(ISNUMBER(B265)),"Needs a date",IF(C265="","Needs a client",IF(COUNTIF(Clients!$B$6:$B$105,C265)=0,"Not on Clients",IF(NOT(ISNUMBER(D265)),"Needs the sessions",IF(AND(E265&lt;&gt;"",NOT(ISNUMBER(E265))),"Price not a number",IF(AND(ISNUMBER(E265),N(F265)&gt;E265),"Paid more than the price","")))))))</f>
        <v/>
      </c>
      <c r="L265" s="1">
        <f>IF(ISNUMBER(B265),YEAR(B265)*100+MONTH(B265),"")</f>
        <v/>
      </c>
      <c r="M265">
        <f>IF(AND(K265="",C265&lt;&gt;""),1,0)</f>
        <v/>
      </c>
      <c r="N265">
        <f>IF(AND(M265=1,ISNUMBER(G265)),INT(G265),0)</f>
        <v/>
      </c>
    </row>
    <row r="266">
      <c r="A266" s="1" t="n"/>
      <c r="B266" s="17" t="n"/>
      <c r="C266" s="19" t="n"/>
      <c r="D266" s="25" t="n"/>
      <c r="E266" s="26" t="n"/>
      <c r="F266" s="26" t="n"/>
      <c r="G266" s="17" t="n"/>
      <c r="H266" s="21" t="n"/>
      <c r="I266" s="16">
        <f>IF(OR(N(D266)&lt;=0,NOT(ISNUMBER(E266))),"",E266/D266)</f>
        <v/>
      </c>
      <c r="J266" s="16">
        <f>IF(OR(C266="",NOT(ISNUMBER(E266))),"",MAX(0,E266-N(F266)))</f>
        <v/>
      </c>
      <c r="K266" s="12">
        <f>IF(AND(C266="",D266="",E266=""),"",IF(NOT(ISNUMBER(B266)),"Needs a date",IF(C266="","Needs a client",IF(COUNTIF(Clients!$B$6:$B$105,C266)=0,"Not on Clients",IF(NOT(ISNUMBER(D266)),"Needs the sessions",IF(AND(E266&lt;&gt;"",NOT(ISNUMBER(E266))),"Price not a number",IF(AND(ISNUMBER(E266),N(F266)&gt;E266),"Paid more than the price","")))))))</f>
        <v/>
      </c>
      <c r="L266" s="1">
        <f>IF(ISNUMBER(B266),YEAR(B266)*100+MONTH(B266),"")</f>
        <v/>
      </c>
      <c r="M266">
        <f>IF(AND(K266="",C266&lt;&gt;""),1,0)</f>
        <v/>
      </c>
      <c r="N266">
        <f>IF(AND(M266=1,ISNUMBER(G266)),INT(G266),0)</f>
        <v/>
      </c>
    </row>
    <row r="267">
      <c r="A267" s="1" t="n"/>
      <c r="B267" s="17" t="n"/>
      <c r="C267" s="19" t="n"/>
      <c r="D267" s="25" t="n"/>
      <c r="E267" s="26" t="n"/>
      <c r="F267" s="26" t="n"/>
      <c r="G267" s="17" t="n"/>
      <c r="H267" s="21" t="n"/>
      <c r="I267" s="16">
        <f>IF(OR(N(D267)&lt;=0,NOT(ISNUMBER(E267))),"",E267/D267)</f>
        <v/>
      </c>
      <c r="J267" s="16">
        <f>IF(OR(C267="",NOT(ISNUMBER(E267))),"",MAX(0,E267-N(F267)))</f>
        <v/>
      </c>
      <c r="K267" s="12">
        <f>IF(AND(C267="",D267="",E267=""),"",IF(NOT(ISNUMBER(B267)),"Needs a date",IF(C267="","Needs a client",IF(COUNTIF(Clients!$B$6:$B$105,C267)=0,"Not on Clients",IF(NOT(ISNUMBER(D267)),"Needs the sessions",IF(AND(E267&lt;&gt;"",NOT(ISNUMBER(E267))),"Price not a number",IF(AND(ISNUMBER(E267),N(F267)&gt;E267),"Paid more than the price","")))))))</f>
        <v/>
      </c>
      <c r="L267" s="1">
        <f>IF(ISNUMBER(B267),YEAR(B267)*100+MONTH(B267),"")</f>
        <v/>
      </c>
      <c r="M267">
        <f>IF(AND(K267="",C267&lt;&gt;""),1,0)</f>
        <v/>
      </c>
      <c r="N267">
        <f>IF(AND(M267=1,ISNUMBER(G267)),INT(G267),0)</f>
        <v/>
      </c>
    </row>
    <row r="268">
      <c r="A268" s="1" t="n"/>
      <c r="B268" s="17" t="n"/>
      <c r="C268" s="19" t="n"/>
      <c r="D268" s="25" t="n"/>
      <c r="E268" s="26" t="n"/>
      <c r="F268" s="26" t="n"/>
      <c r="G268" s="17" t="n"/>
      <c r="H268" s="21" t="n"/>
      <c r="I268" s="16">
        <f>IF(OR(N(D268)&lt;=0,NOT(ISNUMBER(E268))),"",E268/D268)</f>
        <v/>
      </c>
      <c r="J268" s="16">
        <f>IF(OR(C268="",NOT(ISNUMBER(E268))),"",MAX(0,E268-N(F268)))</f>
        <v/>
      </c>
      <c r="K268" s="12">
        <f>IF(AND(C268="",D268="",E268=""),"",IF(NOT(ISNUMBER(B268)),"Needs a date",IF(C268="","Needs a client",IF(COUNTIF(Clients!$B$6:$B$105,C268)=0,"Not on Clients",IF(NOT(ISNUMBER(D268)),"Needs the sessions",IF(AND(E268&lt;&gt;"",NOT(ISNUMBER(E268))),"Price not a number",IF(AND(ISNUMBER(E268),N(F268)&gt;E268),"Paid more than the price","")))))))</f>
        <v/>
      </c>
      <c r="L268" s="1">
        <f>IF(ISNUMBER(B268),YEAR(B268)*100+MONTH(B268),"")</f>
        <v/>
      </c>
      <c r="M268">
        <f>IF(AND(K268="",C268&lt;&gt;""),1,0)</f>
        <v/>
      </c>
      <c r="N268">
        <f>IF(AND(M268=1,ISNUMBER(G268)),INT(G268),0)</f>
        <v/>
      </c>
    </row>
    <row r="269">
      <c r="A269" s="1" t="n"/>
      <c r="B269" s="17" t="n"/>
      <c r="C269" s="19" t="n"/>
      <c r="D269" s="25" t="n"/>
      <c r="E269" s="26" t="n"/>
      <c r="F269" s="26" t="n"/>
      <c r="G269" s="17" t="n"/>
      <c r="H269" s="21" t="n"/>
      <c r="I269" s="16">
        <f>IF(OR(N(D269)&lt;=0,NOT(ISNUMBER(E269))),"",E269/D269)</f>
        <v/>
      </c>
      <c r="J269" s="16">
        <f>IF(OR(C269="",NOT(ISNUMBER(E269))),"",MAX(0,E269-N(F269)))</f>
        <v/>
      </c>
      <c r="K269" s="12">
        <f>IF(AND(C269="",D269="",E269=""),"",IF(NOT(ISNUMBER(B269)),"Needs a date",IF(C269="","Needs a client",IF(COUNTIF(Clients!$B$6:$B$105,C269)=0,"Not on Clients",IF(NOT(ISNUMBER(D269)),"Needs the sessions",IF(AND(E269&lt;&gt;"",NOT(ISNUMBER(E269))),"Price not a number",IF(AND(ISNUMBER(E269),N(F269)&gt;E269),"Paid more than the price","")))))))</f>
        <v/>
      </c>
      <c r="L269" s="1">
        <f>IF(ISNUMBER(B269),YEAR(B269)*100+MONTH(B269),"")</f>
        <v/>
      </c>
      <c r="M269">
        <f>IF(AND(K269="",C269&lt;&gt;""),1,0)</f>
        <v/>
      </c>
      <c r="N269">
        <f>IF(AND(M269=1,ISNUMBER(G269)),INT(G269),0)</f>
        <v/>
      </c>
    </row>
    <row r="270">
      <c r="A270" s="1" t="n"/>
      <c r="B270" s="17" t="n"/>
      <c r="C270" s="19" t="n"/>
      <c r="D270" s="25" t="n"/>
      <c r="E270" s="26" t="n"/>
      <c r="F270" s="26" t="n"/>
      <c r="G270" s="17" t="n"/>
      <c r="H270" s="21" t="n"/>
      <c r="I270" s="16">
        <f>IF(OR(N(D270)&lt;=0,NOT(ISNUMBER(E270))),"",E270/D270)</f>
        <v/>
      </c>
      <c r="J270" s="16">
        <f>IF(OR(C270="",NOT(ISNUMBER(E270))),"",MAX(0,E270-N(F270)))</f>
        <v/>
      </c>
      <c r="K270" s="12">
        <f>IF(AND(C270="",D270="",E270=""),"",IF(NOT(ISNUMBER(B270)),"Needs a date",IF(C270="","Needs a client",IF(COUNTIF(Clients!$B$6:$B$105,C270)=0,"Not on Clients",IF(NOT(ISNUMBER(D270)),"Needs the sessions",IF(AND(E270&lt;&gt;"",NOT(ISNUMBER(E270))),"Price not a number",IF(AND(ISNUMBER(E270),N(F270)&gt;E270),"Paid more than the price","")))))))</f>
        <v/>
      </c>
      <c r="L270" s="1">
        <f>IF(ISNUMBER(B270),YEAR(B270)*100+MONTH(B270),"")</f>
        <v/>
      </c>
      <c r="M270">
        <f>IF(AND(K270="",C270&lt;&gt;""),1,0)</f>
        <v/>
      </c>
      <c r="N270">
        <f>IF(AND(M270=1,ISNUMBER(G270)),INT(G270),0)</f>
        <v/>
      </c>
    </row>
    <row r="271">
      <c r="A271" s="1" t="n"/>
      <c r="B271" s="17" t="n"/>
      <c r="C271" s="19" t="n"/>
      <c r="D271" s="25" t="n"/>
      <c r="E271" s="26" t="n"/>
      <c r="F271" s="26" t="n"/>
      <c r="G271" s="17" t="n"/>
      <c r="H271" s="21" t="n"/>
      <c r="I271" s="16">
        <f>IF(OR(N(D271)&lt;=0,NOT(ISNUMBER(E271))),"",E271/D271)</f>
        <v/>
      </c>
      <c r="J271" s="16">
        <f>IF(OR(C271="",NOT(ISNUMBER(E271))),"",MAX(0,E271-N(F271)))</f>
        <v/>
      </c>
      <c r="K271" s="12">
        <f>IF(AND(C271="",D271="",E271=""),"",IF(NOT(ISNUMBER(B271)),"Needs a date",IF(C271="","Needs a client",IF(COUNTIF(Clients!$B$6:$B$105,C271)=0,"Not on Clients",IF(NOT(ISNUMBER(D271)),"Needs the sessions",IF(AND(E271&lt;&gt;"",NOT(ISNUMBER(E271))),"Price not a number",IF(AND(ISNUMBER(E271),N(F271)&gt;E271),"Paid more than the price","")))))))</f>
        <v/>
      </c>
      <c r="L271" s="1">
        <f>IF(ISNUMBER(B271),YEAR(B271)*100+MONTH(B271),"")</f>
        <v/>
      </c>
      <c r="M271">
        <f>IF(AND(K271="",C271&lt;&gt;""),1,0)</f>
        <v/>
      </c>
      <c r="N271">
        <f>IF(AND(M271=1,ISNUMBER(G271)),INT(G271),0)</f>
        <v/>
      </c>
    </row>
    <row r="272">
      <c r="A272" s="1" t="n"/>
      <c r="B272" s="17" t="n"/>
      <c r="C272" s="19" t="n"/>
      <c r="D272" s="25" t="n"/>
      <c r="E272" s="26" t="n"/>
      <c r="F272" s="26" t="n"/>
      <c r="G272" s="17" t="n"/>
      <c r="H272" s="21" t="n"/>
      <c r="I272" s="16">
        <f>IF(OR(N(D272)&lt;=0,NOT(ISNUMBER(E272))),"",E272/D272)</f>
        <v/>
      </c>
      <c r="J272" s="16">
        <f>IF(OR(C272="",NOT(ISNUMBER(E272))),"",MAX(0,E272-N(F272)))</f>
        <v/>
      </c>
      <c r="K272" s="12">
        <f>IF(AND(C272="",D272="",E272=""),"",IF(NOT(ISNUMBER(B272)),"Needs a date",IF(C272="","Needs a client",IF(COUNTIF(Clients!$B$6:$B$105,C272)=0,"Not on Clients",IF(NOT(ISNUMBER(D272)),"Needs the sessions",IF(AND(E272&lt;&gt;"",NOT(ISNUMBER(E272))),"Price not a number",IF(AND(ISNUMBER(E272),N(F272)&gt;E272),"Paid more than the price","")))))))</f>
        <v/>
      </c>
      <c r="L272" s="1">
        <f>IF(ISNUMBER(B272),YEAR(B272)*100+MONTH(B272),"")</f>
        <v/>
      </c>
      <c r="M272">
        <f>IF(AND(K272="",C272&lt;&gt;""),1,0)</f>
        <v/>
      </c>
      <c r="N272">
        <f>IF(AND(M272=1,ISNUMBER(G272)),INT(G272),0)</f>
        <v/>
      </c>
    </row>
    <row r="273">
      <c r="A273" s="1" t="n"/>
      <c r="B273" s="17" t="n"/>
      <c r="C273" s="19" t="n"/>
      <c r="D273" s="25" t="n"/>
      <c r="E273" s="26" t="n"/>
      <c r="F273" s="26" t="n"/>
      <c r="G273" s="17" t="n"/>
      <c r="H273" s="21" t="n"/>
      <c r="I273" s="16">
        <f>IF(OR(N(D273)&lt;=0,NOT(ISNUMBER(E273))),"",E273/D273)</f>
        <v/>
      </c>
      <c r="J273" s="16">
        <f>IF(OR(C273="",NOT(ISNUMBER(E273))),"",MAX(0,E273-N(F273)))</f>
        <v/>
      </c>
      <c r="K273" s="12">
        <f>IF(AND(C273="",D273="",E273=""),"",IF(NOT(ISNUMBER(B273)),"Needs a date",IF(C273="","Needs a client",IF(COUNTIF(Clients!$B$6:$B$105,C273)=0,"Not on Clients",IF(NOT(ISNUMBER(D273)),"Needs the sessions",IF(AND(E273&lt;&gt;"",NOT(ISNUMBER(E273))),"Price not a number",IF(AND(ISNUMBER(E273),N(F273)&gt;E273),"Paid more than the price","")))))))</f>
        <v/>
      </c>
      <c r="L273" s="1">
        <f>IF(ISNUMBER(B273),YEAR(B273)*100+MONTH(B273),"")</f>
        <v/>
      </c>
      <c r="M273">
        <f>IF(AND(K273="",C273&lt;&gt;""),1,0)</f>
        <v/>
      </c>
      <c r="N273">
        <f>IF(AND(M273=1,ISNUMBER(G273)),INT(G273),0)</f>
        <v/>
      </c>
    </row>
    <row r="274">
      <c r="A274" s="1" t="n"/>
      <c r="B274" s="17" t="n"/>
      <c r="C274" s="19" t="n"/>
      <c r="D274" s="25" t="n"/>
      <c r="E274" s="26" t="n"/>
      <c r="F274" s="26" t="n"/>
      <c r="G274" s="17" t="n"/>
      <c r="H274" s="21" t="n"/>
      <c r="I274" s="16">
        <f>IF(OR(N(D274)&lt;=0,NOT(ISNUMBER(E274))),"",E274/D274)</f>
        <v/>
      </c>
      <c r="J274" s="16">
        <f>IF(OR(C274="",NOT(ISNUMBER(E274))),"",MAX(0,E274-N(F274)))</f>
        <v/>
      </c>
      <c r="K274" s="12">
        <f>IF(AND(C274="",D274="",E274=""),"",IF(NOT(ISNUMBER(B274)),"Needs a date",IF(C274="","Needs a client",IF(COUNTIF(Clients!$B$6:$B$105,C274)=0,"Not on Clients",IF(NOT(ISNUMBER(D274)),"Needs the sessions",IF(AND(E274&lt;&gt;"",NOT(ISNUMBER(E274))),"Price not a number",IF(AND(ISNUMBER(E274),N(F274)&gt;E274),"Paid more than the price","")))))))</f>
        <v/>
      </c>
      <c r="L274" s="1">
        <f>IF(ISNUMBER(B274),YEAR(B274)*100+MONTH(B274),"")</f>
        <v/>
      </c>
      <c r="M274">
        <f>IF(AND(K274="",C274&lt;&gt;""),1,0)</f>
        <v/>
      </c>
      <c r="N274">
        <f>IF(AND(M274=1,ISNUMBER(G274)),INT(G274),0)</f>
        <v/>
      </c>
    </row>
    <row r="275">
      <c r="A275" s="1" t="n"/>
      <c r="B275" s="17" t="n"/>
      <c r="C275" s="19" t="n"/>
      <c r="D275" s="25" t="n"/>
      <c r="E275" s="26" t="n"/>
      <c r="F275" s="26" t="n"/>
      <c r="G275" s="17" t="n"/>
      <c r="H275" s="21" t="n"/>
      <c r="I275" s="16">
        <f>IF(OR(N(D275)&lt;=0,NOT(ISNUMBER(E275))),"",E275/D275)</f>
        <v/>
      </c>
      <c r="J275" s="16">
        <f>IF(OR(C275="",NOT(ISNUMBER(E275))),"",MAX(0,E275-N(F275)))</f>
        <v/>
      </c>
      <c r="K275" s="12">
        <f>IF(AND(C275="",D275="",E275=""),"",IF(NOT(ISNUMBER(B275)),"Needs a date",IF(C275="","Needs a client",IF(COUNTIF(Clients!$B$6:$B$105,C275)=0,"Not on Clients",IF(NOT(ISNUMBER(D275)),"Needs the sessions",IF(AND(E275&lt;&gt;"",NOT(ISNUMBER(E275))),"Price not a number",IF(AND(ISNUMBER(E275),N(F275)&gt;E275),"Paid more than the price","")))))))</f>
        <v/>
      </c>
      <c r="L275" s="1">
        <f>IF(ISNUMBER(B275),YEAR(B275)*100+MONTH(B275),"")</f>
        <v/>
      </c>
      <c r="M275">
        <f>IF(AND(K275="",C275&lt;&gt;""),1,0)</f>
        <v/>
      </c>
      <c r="N275">
        <f>IF(AND(M275=1,ISNUMBER(G275)),INT(G275),0)</f>
        <v/>
      </c>
    </row>
    <row r="276">
      <c r="A276" s="1" t="n"/>
      <c r="B276" s="17" t="n"/>
      <c r="C276" s="19" t="n"/>
      <c r="D276" s="25" t="n"/>
      <c r="E276" s="26" t="n"/>
      <c r="F276" s="26" t="n"/>
      <c r="G276" s="17" t="n"/>
      <c r="H276" s="21" t="n"/>
      <c r="I276" s="16">
        <f>IF(OR(N(D276)&lt;=0,NOT(ISNUMBER(E276))),"",E276/D276)</f>
        <v/>
      </c>
      <c r="J276" s="16">
        <f>IF(OR(C276="",NOT(ISNUMBER(E276))),"",MAX(0,E276-N(F276)))</f>
        <v/>
      </c>
      <c r="K276" s="12">
        <f>IF(AND(C276="",D276="",E276=""),"",IF(NOT(ISNUMBER(B276)),"Needs a date",IF(C276="","Needs a client",IF(COUNTIF(Clients!$B$6:$B$105,C276)=0,"Not on Clients",IF(NOT(ISNUMBER(D276)),"Needs the sessions",IF(AND(E276&lt;&gt;"",NOT(ISNUMBER(E276))),"Price not a number",IF(AND(ISNUMBER(E276),N(F276)&gt;E276),"Paid more than the price","")))))))</f>
        <v/>
      </c>
      <c r="L276" s="1">
        <f>IF(ISNUMBER(B276),YEAR(B276)*100+MONTH(B276),"")</f>
        <v/>
      </c>
      <c r="M276">
        <f>IF(AND(K276="",C276&lt;&gt;""),1,0)</f>
        <v/>
      </c>
      <c r="N276">
        <f>IF(AND(M276=1,ISNUMBER(G276)),INT(G276),0)</f>
        <v/>
      </c>
    </row>
    <row r="277">
      <c r="A277" s="1" t="n"/>
      <c r="B277" s="17" t="n"/>
      <c r="C277" s="19" t="n"/>
      <c r="D277" s="25" t="n"/>
      <c r="E277" s="26" t="n"/>
      <c r="F277" s="26" t="n"/>
      <c r="G277" s="17" t="n"/>
      <c r="H277" s="21" t="n"/>
      <c r="I277" s="16">
        <f>IF(OR(N(D277)&lt;=0,NOT(ISNUMBER(E277))),"",E277/D277)</f>
        <v/>
      </c>
      <c r="J277" s="16">
        <f>IF(OR(C277="",NOT(ISNUMBER(E277))),"",MAX(0,E277-N(F277)))</f>
        <v/>
      </c>
      <c r="K277" s="12">
        <f>IF(AND(C277="",D277="",E277=""),"",IF(NOT(ISNUMBER(B277)),"Needs a date",IF(C277="","Needs a client",IF(COUNTIF(Clients!$B$6:$B$105,C277)=0,"Not on Clients",IF(NOT(ISNUMBER(D277)),"Needs the sessions",IF(AND(E277&lt;&gt;"",NOT(ISNUMBER(E277))),"Price not a number",IF(AND(ISNUMBER(E277),N(F277)&gt;E277),"Paid more than the price","")))))))</f>
        <v/>
      </c>
      <c r="L277" s="1">
        <f>IF(ISNUMBER(B277),YEAR(B277)*100+MONTH(B277),"")</f>
        <v/>
      </c>
      <c r="M277">
        <f>IF(AND(K277="",C277&lt;&gt;""),1,0)</f>
        <v/>
      </c>
      <c r="N277">
        <f>IF(AND(M277=1,ISNUMBER(G277)),INT(G277),0)</f>
        <v/>
      </c>
    </row>
    <row r="278">
      <c r="A278" s="1" t="n"/>
      <c r="B278" s="17" t="n"/>
      <c r="C278" s="19" t="n"/>
      <c r="D278" s="25" t="n"/>
      <c r="E278" s="26" t="n"/>
      <c r="F278" s="26" t="n"/>
      <c r="G278" s="17" t="n"/>
      <c r="H278" s="21" t="n"/>
      <c r="I278" s="16">
        <f>IF(OR(N(D278)&lt;=0,NOT(ISNUMBER(E278))),"",E278/D278)</f>
        <v/>
      </c>
      <c r="J278" s="16">
        <f>IF(OR(C278="",NOT(ISNUMBER(E278))),"",MAX(0,E278-N(F278)))</f>
        <v/>
      </c>
      <c r="K278" s="12">
        <f>IF(AND(C278="",D278="",E278=""),"",IF(NOT(ISNUMBER(B278)),"Needs a date",IF(C278="","Needs a client",IF(COUNTIF(Clients!$B$6:$B$105,C278)=0,"Not on Clients",IF(NOT(ISNUMBER(D278)),"Needs the sessions",IF(AND(E278&lt;&gt;"",NOT(ISNUMBER(E278))),"Price not a number",IF(AND(ISNUMBER(E278),N(F278)&gt;E278),"Paid more than the price","")))))))</f>
        <v/>
      </c>
      <c r="L278" s="1">
        <f>IF(ISNUMBER(B278),YEAR(B278)*100+MONTH(B278),"")</f>
        <v/>
      </c>
      <c r="M278">
        <f>IF(AND(K278="",C278&lt;&gt;""),1,0)</f>
        <v/>
      </c>
      <c r="N278">
        <f>IF(AND(M278=1,ISNUMBER(G278)),INT(G278),0)</f>
        <v/>
      </c>
    </row>
    <row r="279">
      <c r="A279" s="1" t="n"/>
      <c r="B279" s="17" t="n"/>
      <c r="C279" s="19" t="n"/>
      <c r="D279" s="25" t="n"/>
      <c r="E279" s="26" t="n"/>
      <c r="F279" s="26" t="n"/>
      <c r="G279" s="17" t="n"/>
      <c r="H279" s="21" t="n"/>
      <c r="I279" s="16">
        <f>IF(OR(N(D279)&lt;=0,NOT(ISNUMBER(E279))),"",E279/D279)</f>
        <v/>
      </c>
      <c r="J279" s="16">
        <f>IF(OR(C279="",NOT(ISNUMBER(E279))),"",MAX(0,E279-N(F279)))</f>
        <v/>
      </c>
      <c r="K279" s="12">
        <f>IF(AND(C279="",D279="",E279=""),"",IF(NOT(ISNUMBER(B279)),"Needs a date",IF(C279="","Needs a client",IF(COUNTIF(Clients!$B$6:$B$105,C279)=0,"Not on Clients",IF(NOT(ISNUMBER(D279)),"Needs the sessions",IF(AND(E279&lt;&gt;"",NOT(ISNUMBER(E279))),"Price not a number",IF(AND(ISNUMBER(E279),N(F279)&gt;E279),"Paid more than the price","")))))))</f>
        <v/>
      </c>
      <c r="L279" s="1">
        <f>IF(ISNUMBER(B279),YEAR(B279)*100+MONTH(B279),"")</f>
        <v/>
      </c>
      <c r="M279">
        <f>IF(AND(K279="",C279&lt;&gt;""),1,0)</f>
        <v/>
      </c>
      <c r="N279">
        <f>IF(AND(M279=1,ISNUMBER(G279)),INT(G279),0)</f>
        <v/>
      </c>
    </row>
    <row r="280">
      <c r="A280" s="1" t="n"/>
      <c r="B280" s="17" t="n"/>
      <c r="C280" s="19" t="n"/>
      <c r="D280" s="25" t="n"/>
      <c r="E280" s="26" t="n"/>
      <c r="F280" s="26" t="n"/>
      <c r="G280" s="17" t="n"/>
      <c r="H280" s="21" t="n"/>
      <c r="I280" s="16">
        <f>IF(OR(N(D280)&lt;=0,NOT(ISNUMBER(E280))),"",E280/D280)</f>
        <v/>
      </c>
      <c r="J280" s="16">
        <f>IF(OR(C280="",NOT(ISNUMBER(E280))),"",MAX(0,E280-N(F280)))</f>
        <v/>
      </c>
      <c r="K280" s="12">
        <f>IF(AND(C280="",D280="",E280=""),"",IF(NOT(ISNUMBER(B280)),"Needs a date",IF(C280="","Needs a client",IF(COUNTIF(Clients!$B$6:$B$105,C280)=0,"Not on Clients",IF(NOT(ISNUMBER(D280)),"Needs the sessions",IF(AND(E280&lt;&gt;"",NOT(ISNUMBER(E280))),"Price not a number",IF(AND(ISNUMBER(E280),N(F280)&gt;E280),"Paid more than the price","")))))))</f>
        <v/>
      </c>
      <c r="L280" s="1">
        <f>IF(ISNUMBER(B280),YEAR(B280)*100+MONTH(B280),"")</f>
        <v/>
      </c>
      <c r="M280">
        <f>IF(AND(K280="",C280&lt;&gt;""),1,0)</f>
        <v/>
      </c>
      <c r="N280">
        <f>IF(AND(M280=1,ISNUMBER(G280)),INT(G280),0)</f>
        <v/>
      </c>
    </row>
    <row r="281">
      <c r="A281" s="1" t="n"/>
      <c r="B281" s="17" t="n"/>
      <c r="C281" s="19" t="n"/>
      <c r="D281" s="25" t="n"/>
      <c r="E281" s="26" t="n"/>
      <c r="F281" s="26" t="n"/>
      <c r="G281" s="17" t="n"/>
      <c r="H281" s="21" t="n"/>
      <c r="I281" s="16">
        <f>IF(OR(N(D281)&lt;=0,NOT(ISNUMBER(E281))),"",E281/D281)</f>
        <v/>
      </c>
      <c r="J281" s="16">
        <f>IF(OR(C281="",NOT(ISNUMBER(E281))),"",MAX(0,E281-N(F281)))</f>
        <v/>
      </c>
      <c r="K281" s="12">
        <f>IF(AND(C281="",D281="",E281=""),"",IF(NOT(ISNUMBER(B281)),"Needs a date",IF(C281="","Needs a client",IF(COUNTIF(Clients!$B$6:$B$105,C281)=0,"Not on Clients",IF(NOT(ISNUMBER(D281)),"Needs the sessions",IF(AND(E281&lt;&gt;"",NOT(ISNUMBER(E281))),"Price not a number",IF(AND(ISNUMBER(E281),N(F281)&gt;E281),"Paid more than the price","")))))))</f>
        <v/>
      </c>
      <c r="L281" s="1">
        <f>IF(ISNUMBER(B281),YEAR(B281)*100+MONTH(B281),"")</f>
        <v/>
      </c>
      <c r="M281">
        <f>IF(AND(K281="",C281&lt;&gt;""),1,0)</f>
        <v/>
      </c>
      <c r="N281">
        <f>IF(AND(M281=1,ISNUMBER(G281)),INT(G281),0)</f>
        <v/>
      </c>
    </row>
    <row r="282">
      <c r="A282" s="1" t="n"/>
      <c r="B282" s="17" t="n"/>
      <c r="C282" s="19" t="n"/>
      <c r="D282" s="25" t="n"/>
      <c r="E282" s="26" t="n"/>
      <c r="F282" s="26" t="n"/>
      <c r="G282" s="17" t="n"/>
      <c r="H282" s="21" t="n"/>
      <c r="I282" s="16">
        <f>IF(OR(N(D282)&lt;=0,NOT(ISNUMBER(E282))),"",E282/D282)</f>
        <v/>
      </c>
      <c r="J282" s="16">
        <f>IF(OR(C282="",NOT(ISNUMBER(E282))),"",MAX(0,E282-N(F282)))</f>
        <v/>
      </c>
      <c r="K282" s="12">
        <f>IF(AND(C282="",D282="",E282=""),"",IF(NOT(ISNUMBER(B282)),"Needs a date",IF(C282="","Needs a client",IF(COUNTIF(Clients!$B$6:$B$105,C282)=0,"Not on Clients",IF(NOT(ISNUMBER(D282)),"Needs the sessions",IF(AND(E282&lt;&gt;"",NOT(ISNUMBER(E282))),"Price not a number",IF(AND(ISNUMBER(E282),N(F282)&gt;E282),"Paid more than the price","")))))))</f>
        <v/>
      </c>
      <c r="L282" s="1">
        <f>IF(ISNUMBER(B282),YEAR(B282)*100+MONTH(B282),"")</f>
        <v/>
      </c>
      <c r="M282">
        <f>IF(AND(K282="",C282&lt;&gt;""),1,0)</f>
        <v/>
      </c>
      <c r="N282">
        <f>IF(AND(M282=1,ISNUMBER(G282)),INT(G282),0)</f>
        <v/>
      </c>
    </row>
    <row r="283">
      <c r="A283" s="1" t="n"/>
      <c r="B283" s="17" t="n"/>
      <c r="C283" s="19" t="n"/>
      <c r="D283" s="25" t="n"/>
      <c r="E283" s="26" t="n"/>
      <c r="F283" s="26" t="n"/>
      <c r="G283" s="17" t="n"/>
      <c r="H283" s="21" t="n"/>
      <c r="I283" s="16">
        <f>IF(OR(N(D283)&lt;=0,NOT(ISNUMBER(E283))),"",E283/D283)</f>
        <v/>
      </c>
      <c r="J283" s="16">
        <f>IF(OR(C283="",NOT(ISNUMBER(E283))),"",MAX(0,E283-N(F283)))</f>
        <v/>
      </c>
      <c r="K283" s="12">
        <f>IF(AND(C283="",D283="",E283=""),"",IF(NOT(ISNUMBER(B283)),"Needs a date",IF(C283="","Needs a client",IF(COUNTIF(Clients!$B$6:$B$105,C283)=0,"Not on Clients",IF(NOT(ISNUMBER(D283)),"Needs the sessions",IF(AND(E283&lt;&gt;"",NOT(ISNUMBER(E283))),"Price not a number",IF(AND(ISNUMBER(E283),N(F283)&gt;E283),"Paid more than the price","")))))))</f>
        <v/>
      </c>
      <c r="L283" s="1">
        <f>IF(ISNUMBER(B283),YEAR(B283)*100+MONTH(B283),"")</f>
        <v/>
      </c>
      <c r="M283">
        <f>IF(AND(K283="",C283&lt;&gt;""),1,0)</f>
        <v/>
      </c>
      <c r="N283">
        <f>IF(AND(M283=1,ISNUMBER(G283)),INT(G283),0)</f>
        <v/>
      </c>
    </row>
    <row r="284">
      <c r="A284" s="1" t="n"/>
      <c r="B284" s="17" t="n"/>
      <c r="C284" s="19" t="n"/>
      <c r="D284" s="25" t="n"/>
      <c r="E284" s="26" t="n"/>
      <c r="F284" s="26" t="n"/>
      <c r="G284" s="17" t="n"/>
      <c r="H284" s="21" t="n"/>
      <c r="I284" s="16">
        <f>IF(OR(N(D284)&lt;=0,NOT(ISNUMBER(E284))),"",E284/D284)</f>
        <v/>
      </c>
      <c r="J284" s="16">
        <f>IF(OR(C284="",NOT(ISNUMBER(E284))),"",MAX(0,E284-N(F284)))</f>
        <v/>
      </c>
      <c r="K284" s="12">
        <f>IF(AND(C284="",D284="",E284=""),"",IF(NOT(ISNUMBER(B284)),"Needs a date",IF(C284="","Needs a client",IF(COUNTIF(Clients!$B$6:$B$105,C284)=0,"Not on Clients",IF(NOT(ISNUMBER(D284)),"Needs the sessions",IF(AND(E284&lt;&gt;"",NOT(ISNUMBER(E284))),"Price not a number",IF(AND(ISNUMBER(E284),N(F284)&gt;E284),"Paid more than the price","")))))))</f>
        <v/>
      </c>
      <c r="L284" s="1">
        <f>IF(ISNUMBER(B284),YEAR(B284)*100+MONTH(B284),"")</f>
        <v/>
      </c>
      <c r="M284">
        <f>IF(AND(K284="",C284&lt;&gt;""),1,0)</f>
        <v/>
      </c>
      <c r="N284">
        <f>IF(AND(M284=1,ISNUMBER(G284)),INT(G284),0)</f>
        <v/>
      </c>
    </row>
    <row r="285">
      <c r="A285" s="1" t="n"/>
      <c r="B285" s="17" t="n"/>
      <c r="C285" s="19" t="n"/>
      <c r="D285" s="25" t="n"/>
      <c r="E285" s="26" t="n"/>
      <c r="F285" s="26" t="n"/>
      <c r="G285" s="17" t="n"/>
      <c r="H285" s="21" t="n"/>
      <c r="I285" s="16">
        <f>IF(OR(N(D285)&lt;=0,NOT(ISNUMBER(E285))),"",E285/D285)</f>
        <v/>
      </c>
      <c r="J285" s="16">
        <f>IF(OR(C285="",NOT(ISNUMBER(E285))),"",MAX(0,E285-N(F285)))</f>
        <v/>
      </c>
      <c r="K285" s="12">
        <f>IF(AND(C285="",D285="",E285=""),"",IF(NOT(ISNUMBER(B285)),"Needs a date",IF(C285="","Needs a client",IF(COUNTIF(Clients!$B$6:$B$105,C285)=0,"Not on Clients",IF(NOT(ISNUMBER(D285)),"Needs the sessions",IF(AND(E285&lt;&gt;"",NOT(ISNUMBER(E285))),"Price not a number",IF(AND(ISNUMBER(E285),N(F285)&gt;E285),"Paid more than the price","")))))))</f>
        <v/>
      </c>
      <c r="L285" s="1">
        <f>IF(ISNUMBER(B285),YEAR(B285)*100+MONTH(B285),"")</f>
        <v/>
      </c>
      <c r="M285">
        <f>IF(AND(K285="",C285&lt;&gt;""),1,0)</f>
        <v/>
      </c>
      <c r="N285">
        <f>IF(AND(M285=1,ISNUMBER(G285)),INT(G285),0)</f>
        <v/>
      </c>
    </row>
    <row r="286">
      <c r="A286" s="1" t="n"/>
      <c r="B286" s="17" t="n"/>
      <c r="C286" s="19" t="n"/>
      <c r="D286" s="25" t="n"/>
      <c r="E286" s="26" t="n"/>
      <c r="F286" s="26" t="n"/>
      <c r="G286" s="17" t="n"/>
      <c r="H286" s="21" t="n"/>
      <c r="I286" s="16">
        <f>IF(OR(N(D286)&lt;=0,NOT(ISNUMBER(E286))),"",E286/D286)</f>
        <v/>
      </c>
      <c r="J286" s="16">
        <f>IF(OR(C286="",NOT(ISNUMBER(E286))),"",MAX(0,E286-N(F286)))</f>
        <v/>
      </c>
      <c r="K286" s="12">
        <f>IF(AND(C286="",D286="",E286=""),"",IF(NOT(ISNUMBER(B286)),"Needs a date",IF(C286="","Needs a client",IF(COUNTIF(Clients!$B$6:$B$105,C286)=0,"Not on Clients",IF(NOT(ISNUMBER(D286)),"Needs the sessions",IF(AND(E286&lt;&gt;"",NOT(ISNUMBER(E286))),"Price not a number",IF(AND(ISNUMBER(E286),N(F286)&gt;E286),"Paid more than the price","")))))))</f>
        <v/>
      </c>
      <c r="L286" s="1">
        <f>IF(ISNUMBER(B286),YEAR(B286)*100+MONTH(B286),"")</f>
        <v/>
      </c>
      <c r="M286">
        <f>IF(AND(K286="",C286&lt;&gt;""),1,0)</f>
        <v/>
      </c>
      <c r="N286">
        <f>IF(AND(M286=1,ISNUMBER(G286)),INT(G286),0)</f>
        <v/>
      </c>
    </row>
    <row r="287">
      <c r="A287" s="1" t="n"/>
      <c r="B287" s="17" t="n"/>
      <c r="C287" s="19" t="n"/>
      <c r="D287" s="25" t="n"/>
      <c r="E287" s="26" t="n"/>
      <c r="F287" s="26" t="n"/>
      <c r="G287" s="17" t="n"/>
      <c r="H287" s="21" t="n"/>
      <c r="I287" s="16">
        <f>IF(OR(N(D287)&lt;=0,NOT(ISNUMBER(E287))),"",E287/D287)</f>
        <v/>
      </c>
      <c r="J287" s="16">
        <f>IF(OR(C287="",NOT(ISNUMBER(E287))),"",MAX(0,E287-N(F287)))</f>
        <v/>
      </c>
      <c r="K287" s="12">
        <f>IF(AND(C287="",D287="",E287=""),"",IF(NOT(ISNUMBER(B287)),"Needs a date",IF(C287="","Needs a client",IF(COUNTIF(Clients!$B$6:$B$105,C287)=0,"Not on Clients",IF(NOT(ISNUMBER(D287)),"Needs the sessions",IF(AND(E287&lt;&gt;"",NOT(ISNUMBER(E287))),"Price not a number",IF(AND(ISNUMBER(E287),N(F287)&gt;E287),"Paid more than the price","")))))))</f>
        <v/>
      </c>
      <c r="L287" s="1">
        <f>IF(ISNUMBER(B287),YEAR(B287)*100+MONTH(B287),"")</f>
        <v/>
      </c>
      <c r="M287">
        <f>IF(AND(K287="",C287&lt;&gt;""),1,0)</f>
        <v/>
      </c>
      <c r="N287">
        <f>IF(AND(M287=1,ISNUMBER(G287)),INT(G287),0)</f>
        <v/>
      </c>
    </row>
    <row r="288">
      <c r="A288" s="1" t="n"/>
      <c r="B288" s="17" t="n"/>
      <c r="C288" s="19" t="n"/>
      <c r="D288" s="25" t="n"/>
      <c r="E288" s="26" t="n"/>
      <c r="F288" s="26" t="n"/>
      <c r="G288" s="17" t="n"/>
      <c r="H288" s="21" t="n"/>
      <c r="I288" s="16">
        <f>IF(OR(N(D288)&lt;=0,NOT(ISNUMBER(E288))),"",E288/D288)</f>
        <v/>
      </c>
      <c r="J288" s="16">
        <f>IF(OR(C288="",NOT(ISNUMBER(E288))),"",MAX(0,E288-N(F288)))</f>
        <v/>
      </c>
      <c r="K288" s="12">
        <f>IF(AND(C288="",D288="",E288=""),"",IF(NOT(ISNUMBER(B288)),"Needs a date",IF(C288="","Needs a client",IF(COUNTIF(Clients!$B$6:$B$105,C288)=0,"Not on Clients",IF(NOT(ISNUMBER(D288)),"Needs the sessions",IF(AND(E288&lt;&gt;"",NOT(ISNUMBER(E288))),"Price not a number",IF(AND(ISNUMBER(E288),N(F288)&gt;E288),"Paid more than the price","")))))))</f>
        <v/>
      </c>
      <c r="L288" s="1">
        <f>IF(ISNUMBER(B288),YEAR(B288)*100+MONTH(B288),"")</f>
        <v/>
      </c>
      <c r="M288">
        <f>IF(AND(K288="",C288&lt;&gt;""),1,0)</f>
        <v/>
      </c>
      <c r="N288">
        <f>IF(AND(M288=1,ISNUMBER(G288)),INT(G288),0)</f>
        <v/>
      </c>
    </row>
    <row r="289">
      <c r="A289" s="1" t="n"/>
      <c r="B289" s="17" t="n"/>
      <c r="C289" s="19" t="n"/>
      <c r="D289" s="25" t="n"/>
      <c r="E289" s="26" t="n"/>
      <c r="F289" s="26" t="n"/>
      <c r="G289" s="17" t="n"/>
      <c r="H289" s="21" t="n"/>
      <c r="I289" s="16">
        <f>IF(OR(N(D289)&lt;=0,NOT(ISNUMBER(E289))),"",E289/D289)</f>
        <v/>
      </c>
      <c r="J289" s="16">
        <f>IF(OR(C289="",NOT(ISNUMBER(E289))),"",MAX(0,E289-N(F289)))</f>
        <v/>
      </c>
      <c r="K289" s="12">
        <f>IF(AND(C289="",D289="",E289=""),"",IF(NOT(ISNUMBER(B289)),"Needs a date",IF(C289="","Needs a client",IF(COUNTIF(Clients!$B$6:$B$105,C289)=0,"Not on Clients",IF(NOT(ISNUMBER(D289)),"Needs the sessions",IF(AND(E289&lt;&gt;"",NOT(ISNUMBER(E289))),"Price not a number",IF(AND(ISNUMBER(E289),N(F289)&gt;E289),"Paid more than the price","")))))))</f>
        <v/>
      </c>
      <c r="L289" s="1">
        <f>IF(ISNUMBER(B289),YEAR(B289)*100+MONTH(B289),"")</f>
        <v/>
      </c>
      <c r="M289">
        <f>IF(AND(K289="",C289&lt;&gt;""),1,0)</f>
        <v/>
      </c>
      <c r="N289">
        <f>IF(AND(M289=1,ISNUMBER(G289)),INT(G289),0)</f>
        <v/>
      </c>
    </row>
    <row r="290">
      <c r="A290" s="1" t="n"/>
      <c r="B290" s="17" t="n"/>
      <c r="C290" s="19" t="n"/>
      <c r="D290" s="25" t="n"/>
      <c r="E290" s="26" t="n"/>
      <c r="F290" s="26" t="n"/>
      <c r="G290" s="17" t="n"/>
      <c r="H290" s="21" t="n"/>
      <c r="I290" s="16">
        <f>IF(OR(N(D290)&lt;=0,NOT(ISNUMBER(E290))),"",E290/D290)</f>
        <v/>
      </c>
      <c r="J290" s="16">
        <f>IF(OR(C290="",NOT(ISNUMBER(E290))),"",MAX(0,E290-N(F290)))</f>
        <v/>
      </c>
      <c r="K290" s="12">
        <f>IF(AND(C290="",D290="",E290=""),"",IF(NOT(ISNUMBER(B290)),"Needs a date",IF(C290="","Needs a client",IF(COUNTIF(Clients!$B$6:$B$105,C290)=0,"Not on Clients",IF(NOT(ISNUMBER(D290)),"Needs the sessions",IF(AND(E290&lt;&gt;"",NOT(ISNUMBER(E290))),"Price not a number",IF(AND(ISNUMBER(E290),N(F290)&gt;E290),"Paid more than the price","")))))))</f>
        <v/>
      </c>
      <c r="L290" s="1">
        <f>IF(ISNUMBER(B290),YEAR(B290)*100+MONTH(B290),"")</f>
        <v/>
      </c>
      <c r="M290">
        <f>IF(AND(K290="",C290&lt;&gt;""),1,0)</f>
        <v/>
      </c>
      <c r="N290">
        <f>IF(AND(M290=1,ISNUMBER(G290)),INT(G290),0)</f>
        <v/>
      </c>
    </row>
    <row r="291">
      <c r="A291" s="1" t="n"/>
      <c r="B291" s="17" t="n"/>
      <c r="C291" s="19" t="n"/>
      <c r="D291" s="25" t="n"/>
      <c r="E291" s="26" t="n"/>
      <c r="F291" s="26" t="n"/>
      <c r="G291" s="17" t="n"/>
      <c r="H291" s="21" t="n"/>
      <c r="I291" s="16">
        <f>IF(OR(N(D291)&lt;=0,NOT(ISNUMBER(E291))),"",E291/D291)</f>
        <v/>
      </c>
      <c r="J291" s="16">
        <f>IF(OR(C291="",NOT(ISNUMBER(E291))),"",MAX(0,E291-N(F291)))</f>
        <v/>
      </c>
      <c r="K291" s="12">
        <f>IF(AND(C291="",D291="",E291=""),"",IF(NOT(ISNUMBER(B291)),"Needs a date",IF(C291="","Needs a client",IF(COUNTIF(Clients!$B$6:$B$105,C291)=0,"Not on Clients",IF(NOT(ISNUMBER(D291)),"Needs the sessions",IF(AND(E291&lt;&gt;"",NOT(ISNUMBER(E291))),"Price not a number",IF(AND(ISNUMBER(E291),N(F291)&gt;E291),"Paid more than the price","")))))))</f>
        <v/>
      </c>
      <c r="L291" s="1">
        <f>IF(ISNUMBER(B291),YEAR(B291)*100+MONTH(B291),"")</f>
        <v/>
      </c>
      <c r="M291">
        <f>IF(AND(K291="",C291&lt;&gt;""),1,0)</f>
        <v/>
      </c>
      <c r="N291">
        <f>IF(AND(M291=1,ISNUMBER(G291)),INT(G291),0)</f>
        <v/>
      </c>
    </row>
    <row r="292">
      <c r="A292" s="1" t="n"/>
      <c r="B292" s="17" t="n"/>
      <c r="C292" s="19" t="n"/>
      <c r="D292" s="25" t="n"/>
      <c r="E292" s="26" t="n"/>
      <c r="F292" s="26" t="n"/>
      <c r="G292" s="17" t="n"/>
      <c r="H292" s="21" t="n"/>
      <c r="I292" s="16">
        <f>IF(OR(N(D292)&lt;=0,NOT(ISNUMBER(E292))),"",E292/D292)</f>
        <v/>
      </c>
      <c r="J292" s="16">
        <f>IF(OR(C292="",NOT(ISNUMBER(E292))),"",MAX(0,E292-N(F292)))</f>
        <v/>
      </c>
      <c r="K292" s="12">
        <f>IF(AND(C292="",D292="",E292=""),"",IF(NOT(ISNUMBER(B292)),"Needs a date",IF(C292="","Needs a client",IF(COUNTIF(Clients!$B$6:$B$105,C292)=0,"Not on Clients",IF(NOT(ISNUMBER(D292)),"Needs the sessions",IF(AND(E292&lt;&gt;"",NOT(ISNUMBER(E292))),"Price not a number",IF(AND(ISNUMBER(E292),N(F292)&gt;E292),"Paid more than the price","")))))))</f>
        <v/>
      </c>
      <c r="L292" s="1">
        <f>IF(ISNUMBER(B292),YEAR(B292)*100+MONTH(B292),"")</f>
        <v/>
      </c>
      <c r="M292">
        <f>IF(AND(K292="",C292&lt;&gt;""),1,0)</f>
        <v/>
      </c>
      <c r="N292">
        <f>IF(AND(M292=1,ISNUMBER(G292)),INT(G292),0)</f>
        <v/>
      </c>
    </row>
    <row r="293">
      <c r="A293" s="1" t="n"/>
      <c r="B293" s="17" t="n"/>
      <c r="C293" s="19" t="n"/>
      <c r="D293" s="25" t="n"/>
      <c r="E293" s="26" t="n"/>
      <c r="F293" s="26" t="n"/>
      <c r="G293" s="17" t="n"/>
      <c r="H293" s="21" t="n"/>
      <c r="I293" s="16">
        <f>IF(OR(N(D293)&lt;=0,NOT(ISNUMBER(E293))),"",E293/D293)</f>
        <v/>
      </c>
      <c r="J293" s="16">
        <f>IF(OR(C293="",NOT(ISNUMBER(E293))),"",MAX(0,E293-N(F293)))</f>
        <v/>
      </c>
      <c r="K293" s="12">
        <f>IF(AND(C293="",D293="",E293=""),"",IF(NOT(ISNUMBER(B293)),"Needs a date",IF(C293="","Needs a client",IF(COUNTIF(Clients!$B$6:$B$105,C293)=0,"Not on Clients",IF(NOT(ISNUMBER(D293)),"Needs the sessions",IF(AND(E293&lt;&gt;"",NOT(ISNUMBER(E293))),"Price not a number",IF(AND(ISNUMBER(E293),N(F293)&gt;E293),"Paid more than the price","")))))))</f>
        <v/>
      </c>
      <c r="L293" s="1">
        <f>IF(ISNUMBER(B293),YEAR(B293)*100+MONTH(B293),"")</f>
        <v/>
      </c>
      <c r="M293">
        <f>IF(AND(K293="",C293&lt;&gt;""),1,0)</f>
        <v/>
      </c>
      <c r="N293">
        <f>IF(AND(M293=1,ISNUMBER(G293)),INT(G293),0)</f>
        <v/>
      </c>
    </row>
    <row r="294">
      <c r="A294" s="1" t="n"/>
      <c r="B294" s="17" t="n"/>
      <c r="C294" s="19" t="n"/>
      <c r="D294" s="25" t="n"/>
      <c r="E294" s="26" t="n"/>
      <c r="F294" s="26" t="n"/>
      <c r="G294" s="17" t="n"/>
      <c r="H294" s="21" t="n"/>
      <c r="I294" s="16">
        <f>IF(OR(N(D294)&lt;=0,NOT(ISNUMBER(E294))),"",E294/D294)</f>
        <v/>
      </c>
      <c r="J294" s="16">
        <f>IF(OR(C294="",NOT(ISNUMBER(E294))),"",MAX(0,E294-N(F294)))</f>
        <v/>
      </c>
      <c r="K294" s="12">
        <f>IF(AND(C294="",D294="",E294=""),"",IF(NOT(ISNUMBER(B294)),"Needs a date",IF(C294="","Needs a client",IF(COUNTIF(Clients!$B$6:$B$105,C294)=0,"Not on Clients",IF(NOT(ISNUMBER(D294)),"Needs the sessions",IF(AND(E294&lt;&gt;"",NOT(ISNUMBER(E294))),"Price not a number",IF(AND(ISNUMBER(E294),N(F294)&gt;E294),"Paid more than the price","")))))))</f>
        <v/>
      </c>
      <c r="L294" s="1">
        <f>IF(ISNUMBER(B294),YEAR(B294)*100+MONTH(B294),"")</f>
        <v/>
      </c>
      <c r="M294">
        <f>IF(AND(K294="",C294&lt;&gt;""),1,0)</f>
        <v/>
      </c>
      <c r="N294">
        <f>IF(AND(M294=1,ISNUMBER(G294)),INT(G294),0)</f>
        <v/>
      </c>
    </row>
    <row r="295">
      <c r="A295" s="1" t="n"/>
      <c r="B295" s="17" t="n"/>
      <c r="C295" s="19" t="n"/>
      <c r="D295" s="25" t="n"/>
      <c r="E295" s="26" t="n"/>
      <c r="F295" s="26" t="n"/>
      <c r="G295" s="17" t="n"/>
      <c r="H295" s="21" t="n"/>
      <c r="I295" s="16">
        <f>IF(OR(N(D295)&lt;=0,NOT(ISNUMBER(E295))),"",E295/D295)</f>
        <v/>
      </c>
      <c r="J295" s="16">
        <f>IF(OR(C295="",NOT(ISNUMBER(E295))),"",MAX(0,E295-N(F295)))</f>
        <v/>
      </c>
      <c r="K295" s="12">
        <f>IF(AND(C295="",D295="",E295=""),"",IF(NOT(ISNUMBER(B295)),"Needs a date",IF(C295="","Needs a client",IF(COUNTIF(Clients!$B$6:$B$105,C295)=0,"Not on Clients",IF(NOT(ISNUMBER(D295)),"Needs the sessions",IF(AND(E295&lt;&gt;"",NOT(ISNUMBER(E295))),"Price not a number",IF(AND(ISNUMBER(E295),N(F295)&gt;E295),"Paid more than the price","")))))))</f>
        <v/>
      </c>
      <c r="L295" s="1">
        <f>IF(ISNUMBER(B295),YEAR(B295)*100+MONTH(B295),"")</f>
        <v/>
      </c>
      <c r="M295">
        <f>IF(AND(K295="",C295&lt;&gt;""),1,0)</f>
        <v/>
      </c>
      <c r="N295">
        <f>IF(AND(M295=1,ISNUMBER(G295)),INT(G295),0)</f>
        <v/>
      </c>
    </row>
    <row r="296">
      <c r="A296" s="1" t="n"/>
      <c r="B296" s="17" t="n"/>
      <c r="C296" s="19" t="n"/>
      <c r="D296" s="25" t="n"/>
      <c r="E296" s="26" t="n"/>
      <c r="F296" s="26" t="n"/>
      <c r="G296" s="17" t="n"/>
      <c r="H296" s="21" t="n"/>
      <c r="I296" s="16">
        <f>IF(OR(N(D296)&lt;=0,NOT(ISNUMBER(E296))),"",E296/D296)</f>
        <v/>
      </c>
      <c r="J296" s="16">
        <f>IF(OR(C296="",NOT(ISNUMBER(E296))),"",MAX(0,E296-N(F296)))</f>
        <v/>
      </c>
      <c r="K296" s="12">
        <f>IF(AND(C296="",D296="",E296=""),"",IF(NOT(ISNUMBER(B296)),"Needs a date",IF(C296="","Needs a client",IF(COUNTIF(Clients!$B$6:$B$105,C296)=0,"Not on Clients",IF(NOT(ISNUMBER(D296)),"Needs the sessions",IF(AND(E296&lt;&gt;"",NOT(ISNUMBER(E296))),"Price not a number",IF(AND(ISNUMBER(E296),N(F296)&gt;E296),"Paid more than the price","")))))))</f>
        <v/>
      </c>
      <c r="L296" s="1">
        <f>IF(ISNUMBER(B296),YEAR(B296)*100+MONTH(B296),"")</f>
        <v/>
      </c>
      <c r="M296">
        <f>IF(AND(K296="",C296&lt;&gt;""),1,0)</f>
        <v/>
      </c>
      <c r="N296">
        <f>IF(AND(M296=1,ISNUMBER(G296)),INT(G296),0)</f>
        <v/>
      </c>
    </row>
    <row r="297">
      <c r="A297" s="1" t="n"/>
      <c r="B297" s="17" t="n"/>
      <c r="C297" s="19" t="n"/>
      <c r="D297" s="25" t="n"/>
      <c r="E297" s="26" t="n"/>
      <c r="F297" s="26" t="n"/>
      <c r="G297" s="17" t="n"/>
      <c r="H297" s="21" t="n"/>
      <c r="I297" s="16">
        <f>IF(OR(N(D297)&lt;=0,NOT(ISNUMBER(E297))),"",E297/D297)</f>
        <v/>
      </c>
      <c r="J297" s="16">
        <f>IF(OR(C297="",NOT(ISNUMBER(E297))),"",MAX(0,E297-N(F297)))</f>
        <v/>
      </c>
      <c r="K297" s="12">
        <f>IF(AND(C297="",D297="",E297=""),"",IF(NOT(ISNUMBER(B297)),"Needs a date",IF(C297="","Needs a client",IF(COUNTIF(Clients!$B$6:$B$105,C297)=0,"Not on Clients",IF(NOT(ISNUMBER(D297)),"Needs the sessions",IF(AND(E297&lt;&gt;"",NOT(ISNUMBER(E297))),"Price not a number",IF(AND(ISNUMBER(E297),N(F297)&gt;E297),"Paid more than the price","")))))))</f>
        <v/>
      </c>
      <c r="L297" s="1">
        <f>IF(ISNUMBER(B297),YEAR(B297)*100+MONTH(B297),"")</f>
        <v/>
      </c>
      <c r="M297">
        <f>IF(AND(K297="",C297&lt;&gt;""),1,0)</f>
        <v/>
      </c>
      <c r="N297">
        <f>IF(AND(M297=1,ISNUMBER(G297)),INT(G297),0)</f>
        <v/>
      </c>
    </row>
    <row r="298">
      <c r="A298" s="1" t="n"/>
      <c r="B298" s="17" t="n"/>
      <c r="C298" s="19" t="n"/>
      <c r="D298" s="25" t="n"/>
      <c r="E298" s="26" t="n"/>
      <c r="F298" s="26" t="n"/>
      <c r="G298" s="17" t="n"/>
      <c r="H298" s="21" t="n"/>
      <c r="I298" s="16">
        <f>IF(OR(N(D298)&lt;=0,NOT(ISNUMBER(E298))),"",E298/D298)</f>
        <v/>
      </c>
      <c r="J298" s="16">
        <f>IF(OR(C298="",NOT(ISNUMBER(E298))),"",MAX(0,E298-N(F298)))</f>
        <v/>
      </c>
      <c r="K298" s="12">
        <f>IF(AND(C298="",D298="",E298=""),"",IF(NOT(ISNUMBER(B298)),"Needs a date",IF(C298="","Needs a client",IF(COUNTIF(Clients!$B$6:$B$105,C298)=0,"Not on Clients",IF(NOT(ISNUMBER(D298)),"Needs the sessions",IF(AND(E298&lt;&gt;"",NOT(ISNUMBER(E298))),"Price not a number",IF(AND(ISNUMBER(E298),N(F298)&gt;E298),"Paid more than the price","")))))))</f>
        <v/>
      </c>
      <c r="L298" s="1">
        <f>IF(ISNUMBER(B298),YEAR(B298)*100+MONTH(B298),"")</f>
        <v/>
      </c>
      <c r="M298">
        <f>IF(AND(K298="",C298&lt;&gt;""),1,0)</f>
        <v/>
      </c>
      <c r="N298">
        <f>IF(AND(M298=1,ISNUMBER(G298)),INT(G298),0)</f>
        <v/>
      </c>
    </row>
    <row r="299">
      <c r="A299" s="1" t="n"/>
      <c r="B299" s="17" t="n"/>
      <c r="C299" s="19" t="n"/>
      <c r="D299" s="25" t="n"/>
      <c r="E299" s="26" t="n"/>
      <c r="F299" s="26" t="n"/>
      <c r="G299" s="17" t="n"/>
      <c r="H299" s="21" t="n"/>
      <c r="I299" s="16">
        <f>IF(OR(N(D299)&lt;=0,NOT(ISNUMBER(E299))),"",E299/D299)</f>
        <v/>
      </c>
      <c r="J299" s="16">
        <f>IF(OR(C299="",NOT(ISNUMBER(E299))),"",MAX(0,E299-N(F299)))</f>
        <v/>
      </c>
      <c r="K299" s="12">
        <f>IF(AND(C299="",D299="",E299=""),"",IF(NOT(ISNUMBER(B299)),"Needs a date",IF(C299="","Needs a client",IF(COUNTIF(Clients!$B$6:$B$105,C299)=0,"Not on Clients",IF(NOT(ISNUMBER(D299)),"Needs the sessions",IF(AND(E299&lt;&gt;"",NOT(ISNUMBER(E299))),"Price not a number",IF(AND(ISNUMBER(E299),N(F299)&gt;E299),"Paid more than the price","")))))))</f>
        <v/>
      </c>
      <c r="L299" s="1">
        <f>IF(ISNUMBER(B299),YEAR(B299)*100+MONTH(B299),"")</f>
        <v/>
      </c>
      <c r="M299">
        <f>IF(AND(K299="",C299&lt;&gt;""),1,0)</f>
        <v/>
      </c>
      <c r="N299">
        <f>IF(AND(M299=1,ISNUMBER(G299)),INT(G299),0)</f>
        <v/>
      </c>
    </row>
    <row r="300">
      <c r="A300" s="1" t="n"/>
      <c r="B300" s="17" t="n"/>
      <c r="C300" s="19" t="n"/>
      <c r="D300" s="25" t="n"/>
      <c r="E300" s="26" t="n"/>
      <c r="F300" s="26" t="n"/>
      <c r="G300" s="17" t="n"/>
      <c r="H300" s="21" t="n"/>
      <c r="I300" s="16">
        <f>IF(OR(N(D300)&lt;=0,NOT(ISNUMBER(E300))),"",E300/D300)</f>
        <v/>
      </c>
      <c r="J300" s="16">
        <f>IF(OR(C300="",NOT(ISNUMBER(E300))),"",MAX(0,E300-N(F300)))</f>
        <v/>
      </c>
      <c r="K300" s="12">
        <f>IF(AND(C300="",D300="",E300=""),"",IF(NOT(ISNUMBER(B300)),"Needs a date",IF(C300="","Needs a client",IF(COUNTIF(Clients!$B$6:$B$105,C300)=0,"Not on Clients",IF(NOT(ISNUMBER(D300)),"Needs the sessions",IF(AND(E300&lt;&gt;"",NOT(ISNUMBER(E300))),"Price not a number",IF(AND(ISNUMBER(E300),N(F300)&gt;E300),"Paid more than the price","")))))))</f>
        <v/>
      </c>
      <c r="L300" s="1">
        <f>IF(ISNUMBER(B300),YEAR(B300)*100+MONTH(B300),"")</f>
        <v/>
      </c>
      <c r="M300">
        <f>IF(AND(K300="",C300&lt;&gt;""),1,0)</f>
        <v/>
      </c>
      <c r="N300">
        <f>IF(AND(M300=1,ISNUMBER(G300)),INT(G300),0)</f>
        <v/>
      </c>
    </row>
    <row r="301">
      <c r="A301" s="1" t="n"/>
      <c r="B301" s="17" t="n"/>
      <c r="C301" s="19" t="n"/>
      <c r="D301" s="25" t="n"/>
      <c r="E301" s="26" t="n"/>
      <c r="F301" s="26" t="n"/>
      <c r="G301" s="17" t="n"/>
      <c r="H301" s="21" t="n"/>
      <c r="I301" s="16">
        <f>IF(OR(N(D301)&lt;=0,NOT(ISNUMBER(E301))),"",E301/D301)</f>
        <v/>
      </c>
      <c r="J301" s="16">
        <f>IF(OR(C301="",NOT(ISNUMBER(E301))),"",MAX(0,E301-N(F301)))</f>
        <v/>
      </c>
      <c r="K301" s="12">
        <f>IF(AND(C301="",D301="",E301=""),"",IF(NOT(ISNUMBER(B301)),"Needs a date",IF(C301="","Needs a client",IF(COUNTIF(Clients!$B$6:$B$105,C301)=0,"Not on Clients",IF(NOT(ISNUMBER(D301)),"Needs the sessions",IF(AND(E301&lt;&gt;"",NOT(ISNUMBER(E301))),"Price not a number",IF(AND(ISNUMBER(E301),N(F301)&gt;E301),"Paid more than the price","")))))))</f>
        <v/>
      </c>
      <c r="L301" s="1">
        <f>IF(ISNUMBER(B301),YEAR(B301)*100+MONTH(B301),"")</f>
        <v/>
      </c>
      <c r="M301">
        <f>IF(AND(K301="",C301&lt;&gt;""),1,0)</f>
        <v/>
      </c>
      <c r="N301">
        <f>IF(AND(M301=1,ISNUMBER(G301)),INT(G301),0)</f>
        <v/>
      </c>
    </row>
    <row r="302">
      <c r="A302" s="1" t="n"/>
      <c r="B302" s="17" t="n"/>
      <c r="C302" s="19" t="n"/>
      <c r="D302" s="25" t="n"/>
      <c r="E302" s="26" t="n"/>
      <c r="F302" s="26" t="n"/>
      <c r="G302" s="17" t="n"/>
      <c r="H302" s="21" t="n"/>
      <c r="I302" s="16">
        <f>IF(OR(N(D302)&lt;=0,NOT(ISNUMBER(E302))),"",E302/D302)</f>
        <v/>
      </c>
      <c r="J302" s="16">
        <f>IF(OR(C302="",NOT(ISNUMBER(E302))),"",MAX(0,E302-N(F302)))</f>
        <v/>
      </c>
      <c r="K302" s="12">
        <f>IF(AND(C302="",D302="",E302=""),"",IF(NOT(ISNUMBER(B302)),"Needs a date",IF(C302="","Needs a client",IF(COUNTIF(Clients!$B$6:$B$105,C302)=0,"Not on Clients",IF(NOT(ISNUMBER(D302)),"Needs the sessions",IF(AND(E302&lt;&gt;"",NOT(ISNUMBER(E302))),"Price not a number",IF(AND(ISNUMBER(E302),N(F302)&gt;E302),"Paid more than the price","")))))))</f>
        <v/>
      </c>
      <c r="L302" s="1">
        <f>IF(ISNUMBER(B302),YEAR(B302)*100+MONTH(B302),"")</f>
        <v/>
      </c>
      <c r="M302">
        <f>IF(AND(K302="",C302&lt;&gt;""),1,0)</f>
        <v/>
      </c>
      <c r="N302">
        <f>IF(AND(M302=1,ISNUMBER(G302)),INT(G302),0)</f>
        <v/>
      </c>
    </row>
    <row r="303">
      <c r="A303" s="1" t="n"/>
      <c r="B303" s="17" t="n"/>
      <c r="C303" s="19" t="n"/>
      <c r="D303" s="25" t="n"/>
      <c r="E303" s="26" t="n"/>
      <c r="F303" s="26" t="n"/>
      <c r="G303" s="17" t="n"/>
      <c r="H303" s="21" t="n"/>
      <c r="I303" s="16">
        <f>IF(OR(N(D303)&lt;=0,NOT(ISNUMBER(E303))),"",E303/D303)</f>
        <v/>
      </c>
      <c r="J303" s="16">
        <f>IF(OR(C303="",NOT(ISNUMBER(E303))),"",MAX(0,E303-N(F303)))</f>
        <v/>
      </c>
      <c r="K303" s="12">
        <f>IF(AND(C303="",D303="",E303=""),"",IF(NOT(ISNUMBER(B303)),"Needs a date",IF(C303="","Needs a client",IF(COUNTIF(Clients!$B$6:$B$105,C303)=0,"Not on Clients",IF(NOT(ISNUMBER(D303)),"Needs the sessions",IF(AND(E303&lt;&gt;"",NOT(ISNUMBER(E303))),"Price not a number",IF(AND(ISNUMBER(E303),N(F303)&gt;E303),"Paid more than the price","")))))))</f>
        <v/>
      </c>
      <c r="L303" s="1">
        <f>IF(ISNUMBER(B303),YEAR(B303)*100+MONTH(B303),"")</f>
        <v/>
      </c>
      <c r="M303">
        <f>IF(AND(K303="",C303&lt;&gt;""),1,0)</f>
        <v/>
      </c>
      <c r="N303">
        <f>IF(AND(M303=1,ISNUMBER(G303)),INT(G303),0)</f>
        <v/>
      </c>
    </row>
    <row r="304">
      <c r="A304" s="1" t="n"/>
      <c r="B304" s="17" t="n"/>
      <c r="C304" s="19" t="n"/>
      <c r="D304" s="25" t="n"/>
      <c r="E304" s="26" t="n"/>
      <c r="F304" s="26" t="n"/>
      <c r="G304" s="17" t="n"/>
      <c r="H304" s="21" t="n"/>
      <c r="I304" s="16">
        <f>IF(OR(N(D304)&lt;=0,NOT(ISNUMBER(E304))),"",E304/D304)</f>
        <v/>
      </c>
      <c r="J304" s="16">
        <f>IF(OR(C304="",NOT(ISNUMBER(E304))),"",MAX(0,E304-N(F304)))</f>
        <v/>
      </c>
      <c r="K304" s="12">
        <f>IF(AND(C304="",D304="",E304=""),"",IF(NOT(ISNUMBER(B304)),"Needs a date",IF(C304="","Needs a client",IF(COUNTIF(Clients!$B$6:$B$105,C304)=0,"Not on Clients",IF(NOT(ISNUMBER(D304)),"Needs the sessions",IF(AND(E304&lt;&gt;"",NOT(ISNUMBER(E304))),"Price not a number",IF(AND(ISNUMBER(E304),N(F304)&gt;E304),"Paid more than the price","")))))))</f>
        <v/>
      </c>
      <c r="L304" s="1">
        <f>IF(ISNUMBER(B304),YEAR(B304)*100+MONTH(B304),"")</f>
        <v/>
      </c>
      <c r="M304">
        <f>IF(AND(K304="",C304&lt;&gt;""),1,0)</f>
        <v/>
      </c>
      <c r="N304">
        <f>IF(AND(M304=1,ISNUMBER(G304)),INT(G304),0)</f>
        <v/>
      </c>
    </row>
    <row r="305">
      <c r="A305" s="1" t="n"/>
      <c r="B305" s="17" t="n"/>
      <c r="C305" s="19" t="n"/>
      <c r="D305" s="25" t="n"/>
      <c r="E305" s="26" t="n"/>
      <c r="F305" s="26" t="n"/>
      <c r="G305" s="17" t="n"/>
      <c r="H305" s="21" t="n"/>
      <c r="I305" s="16">
        <f>IF(OR(N(D305)&lt;=0,NOT(ISNUMBER(E305))),"",E305/D305)</f>
        <v/>
      </c>
      <c r="J305" s="16">
        <f>IF(OR(C305="",NOT(ISNUMBER(E305))),"",MAX(0,E305-N(F305)))</f>
        <v/>
      </c>
      <c r="K305" s="12">
        <f>IF(AND(C305="",D305="",E305=""),"",IF(NOT(ISNUMBER(B305)),"Needs a date",IF(C305="","Needs a client",IF(COUNTIF(Clients!$B$6:$B$105,C305)=0,"Not on Clients",IF(NOT(ISNUMBER(D305)),"Needs the sessions",IF(AND(E305&lt;&gt;"",NOT(ISNUMBER(E305))),"Price not a number",IF(AND(ISNUMBER(E305),N(F305)&gt;E305),"Paid more than the price","")))))))</f>
        <v/>
      </c>
      <c r="L305" s="1">
        <f>IF(ISNUMBER(B305),YEAR(B305)*100+MONTH(B305),"")</f>
        <v/>
      </c>
      <c r="M305">
        <f>IF(AND(K305="",C305&lt;&gt;""),1,0)</f>
        <v/>
      </c>
      <c r="N305">
        <f>IF(AND(M305=1,ISNUMBER(G305)),INT(G305),0)</f>
        <v/>
      </c>
    </row>
    <row r="306">
      <c r="A306" s="1" t="n"/>
      <c r="B306" s="17" t="n"/>
      <c r="C306" s="19" t="n"/>
      <c r="D306" s="25" t="n"/>
      <c r="E306" s="26" t="n"/>
      <c r="F306" s="26" t="n"/>
      <c r="G306" s="17" t="n"/>
      <c r="H306" s="21" t="n"/>
      <c r="I306" s="16">
        <f>IF(OR(N(D306)&lt;=0,NOT(ISNUMBER(E306))),"",E306/D306)</f>
        <v/>
      </c>
      <c r="J306" s="16">
        <f>IF(OR(C306="",NOT(ISNUMBER(E306))),"",MAX(0,E306-N(F306)))</f>
        <v/>
      </c>
      <c r="K306" s="12">
        <f>IF(AND(C306="",D306="",E306=""),"",IF(NOT(ISNUMBER(B306)),"Needs a date",IF(C306="","Needs a client",IF(COUNTIF(Clients!$B$6:$B$105,C306)=0,"Not on Clients",IF(NOT(ISNUMBER(D306)),"Needs the sessions",IF(AND(E306&lt;&gt;"",NOT(ISNUMBER(E306))),"Price not a number",IF(AND(ISNUMBER(E306),N(F306)&gt;E306),"Paid more than the price","")))))))</f>
        <v/>
      </c>
      <c r="L306" s="1">
        <f>IF(ISNUMBER(B306),YEAR(B306)*100+MONTH(B306),"")</f>
        <v/>
      </c>
      <c r="M306">
        <f>IF(AND(K306="",C306&lt;&gt;""),1,0)</f>
        <v/>
      </c>
      <c r="N306">
        <f>IF(AND(M306=1,ISNUMBER(G306)),INT(G306),0)</f>
        <v/>
      </c>
    </row>
    <row r="307">
      <c r="A307" s="1" t="n"/>
      <c r="B307" s="17" t="n"/>
      <c r="C307" s="19" t="n"/>
      <c r="D307" s="25" t="n"/>
      <c r="E307" s="26" t="n"/>
      <c r="F307" s="26" t="n"/>
      <c r="G307" s="17" t="n"/>
      <c r="H307" s="21" t="n"/>
      <c r="I307" s="16">
        <f>IF(OR(N(D307)&lt;=0,NOT(ISNUMBER(E307))),"",E307/D307)</f>
        <v/>
      </c>
      <c r="J307" s="16">
        <f>IF(OR(C307="",NOT(ISNUMBER(E307))),"",MAX(0,E307-N(F307)))</f>
        <v/>
      </c>
      <c r="K307" s="12">
        <f>IF(AND(C307="",D307="",E307=""),"",IF(NOT(ISNUMBER(B307)),"Needs a date",IF(C307="","Needs a client",IF(COUNTIF(Clients!$B$6:$B$105,C307)=0,"Not on Clients",IF(NOT(ISNUMBER(D307)),"Needs the sessions",IF(AND(E307&lt;&gt;"",NOT(ISNUMBER(E307))),"Price not a number",IF(AND(ISNUMBER(E307),N(F307)&gt;E307),"Paid more than the price","")))))))</f>
        <v/>
      </c>
      <c r="L307" s="1">
        <f>IF(ISNUMBER(B307),YEAR(B307)*100+MONTH(B307),"")</f>
        <v/>
      </c>
      <c r="M307">
        <f>IF(AND(K307="",C307&lt;&gt;""),1,0)</f>
        <v/>
      </c>
      <c r="N307">
        <f>IF(AND(M307=1,ISNUMBER(G307)),INT(G307),0)</f>
        <v/>
      </c>
    </row>
    <row r="308">
      <c r="A308" s="1" t="n"/>
      <c r="B308" s="17" t="n"/>
      <c r="C308" s="19" t="n"/>
      <c r="D308" s="25" t="n"/>
      <c r="E308" s="26" t="n"/>
      <c r="F308" s="26" t="n"/>
      <c r="G308" s="17" t="n"/>
      <c r="H308" s="21" t="n"/>
      <c r="I308" s="16">
        <f>IF(OR(N(D308)&lt;=0,NOT(ISNUMBER(E308))),"",E308/D308)</f>
        <v/>
      </c>
      <c r="J308" s="16">
        <f>IF(OR(C308="",NOT(ISNUMBER(E308))),"",MAX(0,E308-N(F308)))</f>
        <v/>
      </c>
      <c r="K308" s="12">
        <f>IF(AND(C308="",D308="",E308=""),"",IF(NOT(ISNUMBER(B308)),"Needs a date",IF(C308="","Needs a client",IF(COUNTIF(Clients!$B$6:$B$105,C308)=0,"Not on Clients",IF(NOT(ISNUMBER(D308)),"Needs the sessions",IF(AND(E308&lt;&gt;"",NOT(ISNUMBER(E308))),"Price not a number",IF(AND(ISNUMBER(E308),N(F308)&gt;E308),"Paid more than the price","")))))))</f>
        <v/>
      </c>
      <c r="L308" s="1">
        <f>IF(ISNUMBER(B308),YEAR(B308)*100+MONTH(B308),"")</f>
        <v/>
      </c>
      <c r="M308">
        <f>IF(AND(K308="",C308&lt;&gt;""),1,0)</f>
        <v/>
      </c>
      <c r="N308">
        <f>IF(AND(M308=1,ISNUMBER(G308)),INT(G308),0)</f>
        <v/>
      </c>
    </row>
    <row r="309">
      <c r="A309" s="1" t="n"/>
      <c r="B309" s="17" t="n"/>
      <c r="C309" s="19" t="n"/>
      <c r="D309" s="25" t="n"/>
      <c r="E309" s="26" t="n"/>
      <c r="F309" s="26" t="n"/>
      <c r="G309" s="17" t="n"/>
      <c r="H309" s="21" t="n"/>
      <c r="I309" s="16">
        <f>IF(OR(N(D309)&lt;=0,NOT(ISNUMBER(E309))),"",E309/D309)</f>
        <v/>
      </c>
      <c r="J309" s="16">
        <f>IF(OR(C309="",NOT(ISNUMBER(E309))),"",MAX(0,E309-N(F309)))</f>
        <v/>
      </c>
      <c r="K309" s="12">
        <f>IF(AND(C309="",D309="",E309=""),"",IF(NOT(ISNUMBER(B309)),"Needs a date",IF(C309="","Needs a client",IF(COUNTIF(Clients!$B$6:$B$105,C309)=0,"Not on Clients",IF(NOT(ISNUMBER(D309)),"Needs the sessions",IF(AND(E309&lt;&gt;"",NOT(ISNUMBER(E309))),"Price not a number",IF(AND(ISNUMBER(E309),N(F309)&gt;E309),"Paid more than the price","")))))))</f>
        <v/>
      </c>
      <c r="L309" s="1">
        <f>IF(ISNUMBER(B309),YEAR(B309)*100+MONTH(B309),"")</f>
        <v/>
      </c>
      <c r="M309">
        <f>IF(AND(K309="",C309&lt;&gt;""),1,0)</f>
        <v/>
      </c>
      <c r="N309">
        <f>IF(AND(M309=1,ISNUMBER(G309)),INT(G309),0)</f>
        <v/>
      </c>
    </row>
    <row r="310">
      <c r="A310" s="1" t="n"/>
      <c r="B310" s="17" t="n"/>
      <c r="C310" s="19" t="n"/>
      <c r="D310" s="25" t="n"/>
      <c r="E310" s="26" t="n"/>
      <c r="F310" s="26" t="n"/>
      <c r="G310" s="17" t="n"/>
      <c r="H310" s="21" t="n"/>
      <c r="I310" s="16">
        <f>IF(OR(N(D310)&lt;=0,NOT(ISNUMBER(E310))),"",E310/D310)</f>
        <v/>
      </c>
      <c r="J310" s="16">
        <f>IF(OR(C310="",NOT(ISNUMBER(E310))),"",MAX(0,E310-N(F310)))</f>
        <v/>
      </c>
      <c r="K310" s="12">
        <f>IF(AND(C310="",D310="",E310=""),"",IF(NOT(ISNUMBER(B310)),"Needs a date",IF(C310="","Needs a client",IF(COUNTIF(Clients!$B$6:$B$105,C310)=0,"Not on Clients",IF(NOT(ISNUMBER(D310)),"Needs the sessions",IF(AND(E310&lt;&gt;"",NOT(ISNUMBER(E310))),"Price not a number",IF(AND(ISNUMBER(E310),N(F310)&gt;E310),"Paid more than the price","")))))))</f>
        <v/>
      </c>
      <c r="L310" s="1">
        <f>IF(ISNUMBER(B310),YEAR(B310)*100+MONTH(B310),"")</f>
        <v/>
      </c>
      <c r="M310">
        <f>IF(AND(K310="",C310&lt;&gt;""),1,0)</f>
        <v/>
      </c>
      <c r="N310">
        <f>IF(AND(M310=1,ISNUMBER(G310)),INT(G310),0)</f>
        <v/>
      </c>
    </row>
    <row r="311">
      <c r="A311" s="1" t="n"/>
      <c r="B311" s="17" t="n"/>
      <c r="C311" s="19" t="n"/>
      <c r="D311" s="25" t="n"/>
      <c r="E311" s="26" t="n"/>
      <c r="F311" s="26" t="n"/>
      <c r="G311" s="17" t="n"/>
      <c r="H311" s="21" t="n"/>
      <c r="I311" s="16">
        <f>IF(OR(N(D311)&lt;=0,NOT(ISNUMBER(E311))),"",E311/D311)</f>
        <v/>
      </c>
      <c r="J311" s="16">
        <f>IF(OR(C311="",NOT(ISNUMBER(E311))),"",MAX(0,E311-N(F311)))</f>
        <v/>
      </c>
      <c r="K311" s="12">
        <f>IF(AND(C311="",D311="",E311=""),"",IF(NOT(ISNUMBER(B311)),"Needs a date",IF(C311="","Needs a client",IF(COUNTIF(Clients!$B$6:$B$105,C311)=0,"Not on Clients",IF(NOT(ISNUMBER(D311)),"Needs the sessions",IF(AND(E311&lt;&gt;"",NOT(ISNUMBER(E311))),"Price not a number",IF(AND(ISNUMBER(E311),N(F311)&gt;E311),"Paid more than the price","")))))))</f>
        <v/>
      </c>
      <c r="L311" s="1">
        <f>IF(ISNUMBER(B311),YEAR(B311)*100+MONTH(B311),"")</f>
        <v/>
      </c>
      <c r="M311">
        <f>IF(AND(K311="",C311&lt;&gt;""),1,0)</f>
        <v/>
      </c>
      <c r="N311">
        <f>IF(AND(M311=1,ISNUMBER(G311)),INT(G311),0)</f>
        <v/>
      </c>
    </row>
    <row r="312">
      <c r="A312" s="1" t="n"/>
      <c r="B312" s="17" t="n"/>
      <c r="C312" s="19" t="n"/>
      <c r="D312" s="25" t="n"/>
      <c r="E312" s="26" t="n"/>
      <c r="F312" s="26" t="n"/>
      <c r="G312" s="17" t="n"/>
      <c r="H312" s="21" t="n"/>
      <c r="I312" s="16">
        <f>IF(OR(N(D312)&lt;=0,NOT(ISNUMBER(E312))),"",E312/D312)</f>
        <v/>
      </c>
      <c r="J312" s="16">
        <f>IF(OR(C312="",NOT(ISNUMBER(E312))),"",MAX(0,E312-N(F312)))</f>
        <v/>
      </c>
      <c r="K312" s="12">
        <f>IF(AND(C312="",D312="",E312=""),"",IF(NOT(ISNUMBER(B312)),"Needs a date",IF(C312="","Needs a client",IF(COUNTIF(Clients!$B$6:$B$105,C312)=0,"Not on Clients",IF(NOT(ISNUMBER(D312)),"Needs the sessions",IF(AND(E312&lt;&gt;"",NOT(ISNUMBER(E312))),"Price not a number",IF(AND(ISNUMBER(E312),N(F312)&gt;E312),"Paid more than the price","")))))))</f>
        <v/>
      </c>
      <c r="L312" s="1">
        <f>IF(ISNUMBER(B312),YEAR(B312)*100+MONTH(B312),"")</f>
        <v/>
      </c>
      <c r="M312">
        <f>IF(AND(K312="",C312&lt;&gt;""),1,0)</f>
        <v/>
      </c>
      <c r="N312">
        <f>IF(AND(M312=1,ISNUMBER(G312)),INT(G312),0)</f>
        <v/>
      </c>
    </row>
    <row r="313">
      <c r="A313" s="1" t="n"/>
      <c r="B313" s="17" t="n"/>
      <c r="C313" s="19" t="n"/>
      <c r="D313" s="25" t="n"/>
      <c r="E313" s="26" t="n"/>
      <c r="F313" s="26" t="n"/>
      <c r="G313" s="17" t="n"/>
      <c r="H313" s="21" t="n"/>
      <c r="I313" s="16">
        <f>IF(OR(N(D313)&lt;=0,NOT(ISNUMBER(E313))),"",E313/D313)</f>
        <v/>
      </c>
      <c r="J313" s="16">
        <f>IF(OR(C313="",NOT(ISNUMBER(E313))),"",MAX(0,E313-N(F313)))</f>
        <v/>
      </c>
      <c r="K313" s="12">
        <f>IF(AND(C313="",D313="",E313=""),"",IF(NOT(ISNUMBER(B313)),"Needs a date",IF(C313="","Needs a client",IF(COUNTIF(Clients!$B$6:$B$105,C313)=0,"Not on Clients",IF(NOT(ISNUMBER(D313)),"Needs the sessions",IF(AND(E313&lt;&gt;"",NOT(ISNUMBER(E313))),"Price not a number",IF(AND(ISNUMBER(E313),N(F313)&gt;E313),"Paid more than the price","")))))))</f>
        <v/>
      </c>
      <c r="L313" s="1">
        <f>IF(ISNUMBER(B313),YEAR(B313)*100+MONTH(B313),"")</f>
        <v/>
      </c>
      <c r="M313">
        <f>IF(AND(K313="",C313&lt;&gt;""),1,0)</f>
        <v/>
      </c>
      <c r="N313">
        <f>IF(AND(M313=1,ISNUMBER(G313)),INT(G313),0)</f>
        <v/>
      </c>
    </row>
    <row r="314">
      <c r="A314" s="1" t="n"/>
      <c r="B314" s="17" t="n"/>
      <c r="C314" s="19" t="n"/>
      <c r="D314" s="25" t="n"/>
      <c r="E314" s="26" t="n"/>
      <c r="F314" s="26" t="n"/>
      <c r="G314" s="17" t="n"/>
      <c r="H314" s="21" t="n"/>
      <c r="I314" s="16">
        <f>IF(OR(N(D314)&lt;=0,NOT(ISNUMBER(E314))),"",E314/D314)</f>
        <v/>
      </c>
      <c r="J314" s="16">
        <f>IF(OR(C314="",NOT(ISNUMBER(E314))),"",MAX(0,E314-N(F314)))</f>
        <v/>
      </c>
      <c r="K314" s="12">
        <f>IF(AND(C314="",D314="",E314=""),"",IF(NOT(ISNUMBER(B314)),"Needs a date",IF(C314="","Needs a client",IF(COUNTIF(Clients!$B$6:$B$105,C314)=0,"Not on Clients",IF(NOT(ISNUMBER(D314)),"Needs the sessions",IF(AND(E314&lt;&gt;"",NOT(ISNUMBER(E314))),"Price not a number",IF(AND(ISNUMBER(E314),N(F314)&gt;E314),"Paid more than the price","")))))))</f>
        <v/>
      </c>
      <c r="L314" s="1">
        <f>IF(ISNUMBER(B314),YEAR(B314)*100+MONTH(B314),"")</f>
        <v/>
      </c>
      <c r="M314">
        <f>IF(AND(K314="",C314&lt;&gt;""),1,0)</f>
        <v/>
      </c>
      <c r="N314">
        <f>IF(AND(M314=1,ISNUMBER(G314)),INT(G314),0)</f>
        <v/>
      </c>
    </row>
    <row r="315">
      <c r="A315" s="1" t="n"/>
      <c r="B315" s="17" t="n"/>
      <c r="C315" s="19" t="n"/>
      <c r="D315" s="25" t="n"/>
      <c r="E315" s="26" t="n"/>
      <c r="F315" s="26" t="n"/>
      <c r="G315" s="17" t="n"/>
      <c r="H315" s="21" t="n"/>
      <c r="I315" s="16">
        <f>IF(OR(N(D315)&lt;=0,NOT(ISNUMBER(E315))),"",E315/D315)</f>
        <v/>
      </c>
      <c r="J315" s="16">
        <f>IF(OR(C315="",NOT(ISNUMBER(E315))),"",MAX(0,E315-N(F315)))</f>
        <v/>
      </c>
      <c r="K315" s="12">
        <f>IF(AND(C315="",D315="",E315=""),"",IF(NOT(ISNUMBER(B315)),"Needs a date",IF(C315="","Needs a client",IF(COUNTIF(Clients!$B$6:$B$105,C315)=0,"Not on Clients",IF(NOT(ISNUMBER(D315)),"Needs the sessions",IF(AND(E315&lt;&gt;"",NOT(ISNUMBER(E315))),"Price not a number",IF(AND(ISNUMBER(E315),N(F315)&gt;E315),"Paid more than the price","")))))))</f>
        <v/>
      </c>
      <c r="L315" s="1">
        <f>IF(ISNUMBER(B315),YEAR(B315)*100+MONTH(B315),"")</f>
        <v/>
      </c>
      <c r="M315">
        <f>IF(AND(K315="",C315&lt;&gt;""),1,0)</f>
        <v/>
      </c>
      <c r="N315">
        <f>IF(AND(M315=1,ISNUMBER(G315)),INT(G315),0)</f>
        <v/>
      </c>
    </row>
    <row r="316">
      <c r="A316" s="1" t="n"/>
      <c r="B316" s="17" t="n"/>
      <c r="C316" s="19" t="n"/>
      <c r="D316" s="25" t="n"/>
      <c r="E316" s="26" t="n"/>
      <c r="F316" s="26" t="n"/>
      <c r="G316" s="17" t="n"/>
      <c r="H316" s="21" t="n"/>
      <c r="I316" s="16">
        <f>IF(OR(N(D316)&lt;=0,NOT(ISNUMBER(E316))),"",E316/D316)</f>
        <v/>
      </c>
      <c r="J316" s="16">
        <f>IF(OR(C316="",NOT(ISNUMBER(E316))),"",MAX(0,E316-N(F316)))</f>
        <v/>
      </c>
      <c r="K316" s="12">
        <f>IF(AND(C316="",D316="",E316=""),"",IF(NOT(ISNUMBER(B316)),"Needs a date",IF(C316="","Needs a client",IF(COUNTIF(Clients!$B$6:$B$105,C316)=0,"Not on Clients",IF(NOT(ISNUMBER(D316)),"Needs the sessions",IF(AND(E316&lt;&gt;"",NOT(ISNUMBER(E316))),"Price not a number",IF(AND(ISNUMBER(E316),N(F316)&gt;E316),"Paid more than the price","")))))))</f>
        <v/>
      </c>
      <c r="L316" s="1">
        <f>IF(ISNUMBER(B316),YEAR(B316)*100+MONTH(B316),"")</f>
        <v/>
      </c>
      <c r="M316">
        <f>IF(AND(K316="",C316&lt;&gt;""),1,0)</f>
        <v/>
      </c>
      <c r="N316">
        <f>IF(AND(M316=1,ISNUMBER(G316)),INT(G316),0)</f>
        <v/>
      </c>
    </row>
    <row r="317">
      <c r="A317" s="1" t="n"/>
      <c r="B317" s="17" t="n"/>
      <c r="C317" s="19" t="n"/>
      <c r="D317" s="25" t="n"/>
      <c r="E317" s="26" t="n"/>
      <c r="F317" s="26" t="n"/>
      <c r="G317" s="17" t="n"/>
      <c r="H317" s="21" t="n"/>
      <c r="I317" s="16">
        <f>IF(OR(N(D317)&lt;=0,NOT(ISNUMBER(E317))),"",E317/D317)</f>
        <v/>
      </c>
      <c r="J317" s="16">
        <f>IF(OR(C317="",NOT(ISNUMBER(E317))),"",MAX(0,E317-N(F317)))</f>
        <v/>
      </c>
      <c r="K317" s="12">
        <f>IF(AND(C317="",D317="",E317=""),"",IF(NOT(ISNUMBER(B317)),"Needs a date",IF(C317="","Needs a client",IF(COUNTIF(Clients!$B$6:$B$105,C317)=0,"Not on Clients",IF(NOT(ISNUMBER(D317)),"Needs the sessions",IF(AND(E317&lt;&gt;"",NOT(ISNUMBER(E317))),"Price not a number",IF(AND(ISNUMBER(E317),N(F317)&gt;E317),"Paid more than the price","")))))))</f>
        <v/>
      </c>
      <c r="L317" s="1">
        <f>IF(ISNUMBER(B317),YEAR(B317)*100+MONTH(B317),"")</f>
        <v/>
      </c>
      <c r="M317">
        <f>IF(AND(K317="",C317&lt;&gt;""),1,0)</f>
        <v/>
      </c>
      <c r="N317">
        <f>IF(AND(M317=1,ISNUMBER(G317)),INT(G317),0)</f>
        <v/>
      </c>
    </row>
    <row r="318">
      <c r="A318" s="1" t="n"/>
      <c r="B318" s="17" t="n"/>
      <c r="C318" s="19" t="n"/>
      <c r="D318" s="25" t="n"/>
      <c r="E318" s="26" t="n"/>
      <c r="F318" s="26" t="n"/>
      <c r="G318" s="17" t="n"/>
      <c r="H318" s="21" t="n"/>
      <c r="I318" s="16">
        <f>IF(OR(N(D318)&lt;=0,NOT(ISNUMBER(E318))),"",E318/D318)</f>
        <v/>
      </c>
      <c r="J318" s="16">
        <f>IF(OR(C318="",NOT(ISNUMBER(E318))),"",MAX(0,E318-N(F318)))</f>
        <v/>
      </c>
      <c r="K318" s="12">
        <f>IF(AND(C318="",D318="",E318=""),"",IF(NOT(ISNUMBER(B318)),"Needs a date",IF(C318="","Needs a client",IF(COUNTIF(Clients!$B$6:$B$105,C318)=0,"Not on Clients",IF(NOT(ISNUMBER(D318)),"Needs the sessions",IF(AND(E318&lt;&gt;"",NOT(ISNUMBER(E318))),"Price not a number",IF(AND(ISNUMBER(E318),N(F318)&gt;E318),"Paid more than the price","")))))))</f>
        <v/>
      </c>
      <c r="L318" s="1">
        <f>IF(ISNUMBER(B318),YEAR(B318)*100+MONTH(B318),"")</f>
        <v/>
      </c>
      <c r="M318">
        <f>IF(AND(K318="",C318&lt;&gt;""),1,0)</f>
        <v/>
      </c>
      <c r="N318">
        <f>IF(AND(M318=1,ISNUMBER(G318)),INT(G318),0)</f>
        <v/>
      </c>
    </row>
    <row r="319">
      <c r="A319" s="1" t="n"/>
      <c r="B319" s="17" t="n"/>
      <c r="C319" s="19" t="n"/>
      <c r="D319" s="25" t="n"/>
      <c r="E319" s="26" t="n"/>
      <c r="F319" s="26" t="n"/>
      <c r="G319" s="17" t="n"/>
      <c r="H319" s="21" t="n"/>
      <c r="I319" s="16">
        <f>IF(OR(N(D319)&lt;=0,NOT(ISNUMBER(E319))),"",E319/D319)</f>
        <v/>
      </c>
      <c r="J319" s="16">
        <f>IF(OR(C319="",NOT(ISNUMBER(E319))),"",MAX(0,E319-N(F319)))</f>
        <v/>
      </c>
      <c r="K319" s="12">
        <f>IF(AND(C319="",D319="",E319=""),"",IF(NOT(ISNUMBER(B319)),"Needs a date",IF(C319="","Needs a client",IF(COUNTIF(Clients!$B$6:$B$105,C319)=0,"Not on Clients",IF(NOT(ISNUMBER(D319)),"Needs the sessions",IF(AND(E319&lt;&gt;"",NOT(ISNUMBER(E319))),"Price not a number",IF(AND(ISNUMBER(E319),N(F319)&gt;E319),"Paid more than the price","")))))))</f>
        <v/>
      </c>
      <c r="L319" s="1">
        <f>IF(ISNUMBER(B319),YEAR(B319)*100+MONTH(B319),"")</f>
        <v/>
      </c>
      <c r="M319">
        <f>IF(AND(K319="",C319&lt;&gt;""),1,0)</f>
        <v/>
      </c>
      <c r="N319">
        <f>IF(AND(M319=1,ISNUMBER(G319)),INT(G319),0)</f>
        <v/>
      </c>
    </row>
    <row r="320">
      <c r="A320" s="1" t="n"/>
      <c r="B320" s="17" t="n"/>
      <c r="C320" s="19" t="n"/>
      <c r="D320" s="25" t="n"/>
      <c r="E320" s="26" t="n"/>
      <c r="F320" s="26" t="n"/>
      <c r="G320" s="17" t="n"/>
      <c r="H320" s="21" t="n"/>
      <c r="I320" s="16">
        <f>IF(OR(N(D320)&lt;=0,NOT(ISNUMBER(E320))),"",E320/D320)</f>
        <v/>
      </c>
      <c r="J320" s="16">
        <f>IF(OR(C320="",NOT(ISNUMBER(E320))),"",MAX(0,E320-N(F320)))</f>
        <v/>
      </c>
      <c r="K320" s="12">
        <f>IF(AND(C320="",D320="",E320=""),"",IF(NOT(ISNUMBER(B320)),"Needs a date",IF(C320="","Needs a client",IF(COUNTIF(Clients!$B$6:$B$105,C320)=0,"Not on Clients",IF(NOT(ISNUMBER(D320)),"Needs the sessions",IF(AND(E320&lt;&gt;"",NOT(ISNUMBER(E320))),"Price not a number",IF(AND(ISNUMBER(E320),N(F320)&gt;E320),"Paid more than the price","")))))))</f>
        <v/>
      </c>
      <c r="L320" s="1">
        <f>IF(ISNUMBER(B320),YEAR(B320)*100+MONTH(B320),"")</f>
        <v/>
      </c>
      <c r="M320">
        <f>IF(AND(K320="",C320&lt;&gt;""),1,0)</f>
        <v/>
      </c>
      <c r="N320">
        <f>IF(AND(M320=1,ISNUMBER(G320)),INT(G320),0)</f>
        <v/>
      </c>
    </row>
    <row r="321">
      <c r="A321" s="1" t="n"/>
      <c r="B321" s="17" t="n"/>
      <c r="C321" s="19" t="n"/>
      <c r="D321" s="25" t="n"/>
      <c r="E321" s="26" t="n"/>
      <c r="F321" s="26" t="n"/>
      <c r="G321" s="17" t="n"/>
      <c r="H321" s="21" t="n"/>
      <c r="I321" s="16">
        <f>IF(OR(N(D321)&lt;=0,NOT(ISNUMBER(E321))),"",E321/D321)</f>
        <v/>
      </c>
      <c r="J321" s="16">
        <f>IF(OR(C321="",NOT(ISNUMBER(E321))),"",MAX(0,E321-N(F321)))</f>
        <v/>
      </c>
      <c r="K321" s="12">
        <f>IF(AND(C321="",D321="",E321=""),"",IF(NOT(ISNUMBER(B321)),"Needs a date",IF(C321="","Needs a client",IF(COUNTIF(Clients!$B$6:$B$105,C321)=0,"Not on Clients",IF(NOT(ISNUMBER(D321)),"Needs the sessions",IF(AND(E321&lt;&gt;"",NOT(ISNUMBER(E321))),"Price not a number",IF(AND(ISNUMBER(E321),N(F321)&gt;E321),"Paid more than the price","")))))))</f>
        <v/>
      </c>
      <c r="L321" s="1">
        <f>IF(ISNUMBER(B321),YEAR(B321)*100+MONTH(B321),"")</f>
        <v/>
      </c>
      <c r="M321">
        <f>IF(AND(K321="",C321&lt;&gt;""),1,0)</f>
        <v/>
      </c>
      <c r="N321">
        <f>IF(AND(M321=1,ISNUMBER(G321)),INT(G321),0)</f>
        <v/>
      </c>
    </row>
    <row r="322">
      <c r="A322" s="1" t="n"/>
      <c r="B322" s="17" t="n"/>
      <c r="C322" s="19" t="n"/>
      <c r="D322" s="25" t="n"/>
      <c r="E322" s="26" t="n"/>
      <c r="F322" s="26" t="n"/>
      <c r="G322" s="17" t="n"/>
      <c r="H322" s="21" t="n"/>
      <c r="I322" s="16">
        <f>IF(OR(N(D322)&lt;=0,NOT(ISNUMBER(E322))),"",E322/D322)</f>
        <v/>
      </c>
      <c r="J322" s="16">
        <f>IF(OR(C322="",NOT(ISNUMBER(E322))),"",MAX(0,E322-N(F322)))</f>
        <v/>
      </c>
      <c r="K322" s="12">
        <f>IF(AND(C322="",D322="",E322=""),"",IF(NOT(ISNUMBER(B322)),"Needs a date",IF(C322="","Needs a client",IF(COUNTIF(Clients!$B$6:$B$105,C322)=0,"Not on Clients",IF(NOT(ISNUMBER(D322)),"Needs the sessions",IF(AND(E322&lt;&gt;"",NOT(ISNUMBER(E322))),"Price not a number",IF(AND(ISNUMBER(E322),N(F322)&gt;E322),"Paid more than the price","")))))))</f>
        <v/>
      </c>
      <c r="L322" s="1">
        <f>IF(ISNUMBER(B322),YEAR(B322)*100+MONTH(B322),"")</f>
        <v/>
      </c>
      <c r="M322">
        <f>IF(AND(K322="",C322&lt;&gt;""),1,0)</f>
        <v/>
      </c>
      <c r="N322">
        <f>IF(AND(M322=1,ISNUMBER(G322)),INT(G322),0)</f>
        <v/>
      </c>
    </row>
    <row r="323">
      <c r="A323" s="1" t="n"/>
      <c r="B323" s="17" t="n"/>
      <c r="C323" s="19" t="n"/>
      <c r="D323" s="25" t="n"/>
      <c r="E323" s="26" t="n"/>
      <c r="F323" s="26" t="n"/>
      <c r="G323" s="17" t="n"/>
      <c r="H323" s="21" t="n"/>
      <c r="I323" s="16">
        <f>IF(OR(N(D323)&lt;=0,NOT(ISNUMBER(E323))),"",E323/D323)</f>
        <v/>
      </c>
      <c r="J323" s="16">
        <f>IF(OR(C323="",NOT(ISNUMBER(E323))),"",MAX(0,E323-N(F323)))</f>
        <v/>
      </c>
      <c r="K323" s="12">
        <f>IF(AND(C323="",D323="",E323=""),"",IF(NOT(ISNUMBER(B323)),"Needs a date",IF(C323="","Needs a client",IF(COUNTIF(Clients!$B$6:$B$105,C323)=0,"Not on Clients",IF(NOT(ISNUMBER(D323)),"Needs the sessions",IF(AND(E323&lt;&gt;"",NOT(ISNUMBER(E323))),"Price not a number",IF(AND(ISNUMBER(E323),N(F323)&gt;E323),"Paid more than the price","")))))))</f>
        <v/>
      </c>
      <c r="L323" s="1">
        <f>IF(ISNUMBER(B323),YEAR(B323)*100+MONTH(B323),"")</f>
        <v/>
      </c>
      <c r="M323">
        <f>IF(AND(K323="",C323&lt;&gt;""),1,0)</f>
        <v/>
      </c>
      <c r="N323">
        <f>IF(AND(M323=1,ISNUMBER(G323)),INT(G323),0)</f>
        <v/>
      </c>
    </row>
    <row r="324">
      <c r="A324" s="1" t="n"/>
      <c r="B324" s="17" t="n"/>
      <c r="C324" s="19" t="n"/>
      <c r="D324" s="25" t="n"/>
      <c r="E324" s="26" t="n"/>
      <c r="F324" s="26" t="n"/>
      <c r="G324" s="17" t="n"/>
      <c r="H324" s="21" t="n"/>
      <c r="I324" s="16">
        <f>IF(OR(N(D324)&lt;=0,NOT(ISNUMBER(E324))),"",E324/D324)</f>
        <v/>
      </c>
      <c r="J324" s="16">
        <f>IF(OR(C324="",NOT(ISNUMBER(E324))),"",MAX(0,E324-N(F324)))</f>
        <v/>
      </c>
      <c r="K324" s="12">
        <f>IF(AND(C324="",D324="",E324=""),"",IF(NOT(ISNUMBER(B324)),"Needs a date",IF(C324="","Needs a client",IF(COUNTIF(Clients!$B$6:$B$105,C324)=0,"Not on Clients",IF(NOT(ISNUMBER(D324)),"Needs the sessions",IF(AND(E324&lt;&gt;"",NOT(ISNUMBER(E324))),"Price not a number",IF(AND(ISNUMBER(E324),N(F324)&gt;E324),"Paid more than the price","")))))))</f>
        <v/>
      </c>
      <c r="L324" s="1">
        <f>IF(ISNUMBER(B324),YEAR(B324)*100+MONTH(B324),"")</f>
        <v/>
      </c>
      <c r="M324">
        <f>IF(AND(K324="",C324&lt;&gt;""),1,0)</f>
        <v/>
      </c>
      <c r="N324">
        <f>IF(AND(M324=1,ISNUMBER(G324)),INT(G324),0)</f>
        <v/>
      </c>
    </row>
    <row r="325">
      <c r="A325" s="1" t="n"/>
      <c r="B325" s="17" t="n"/>
      <c r="C325" s="19" t="n"/>
      <c r="D325" s="25" t="n"/>
      <c r="E325" s="26" t="n"/>
      <c r="F325" s="26" t="n"/>
      <c r="G325" s="17" t="n"/>
      <c r="H325" s="21" t="n"/>
      <c r="I325" s="16">
        <f>IF(OR(N(D325)&lt;=0,NOT(ISNUMBER(E325))),"",E325/D325)</f>
        <v/>
      </c>
      <c r="J325" s="16">
        <f>IF(OR(C325="",NOT(ISNUMBER(E325))),"",MAX(0,E325-N(F325)))</f>
        <v/>
      </c>
      <c r="K325" s="12">
        <f>IF(AND(C325="",D325="",E325=""),"",IF(NOT(ISNUMBER(B325)),"Needs a date",IF(C325="","Needs a client",IF(COUNTIF(Clients!$B$6:$B$105,C325)=0,"Not on Clients",IF(NOT(ISNUMBER(D325)),"Needs the sessions",IF(AND(E325&lt;&gt;"",NOT(ISNUMBER(E325))),"Price not a number",IF(AND(ISNUMBER(E325),N(F325)&gt;E325),"Paid more than the price","")))))))</f>
        <v/>
      </c>
      <c r="L325" s="1">
        <f>IF(ISNUMBER(B325),YEAR(B325)*100+MONTH(B325),"")</f>
        <v/>
      </c>
      <c r="M325">
        <f>IF(AND(K325="",C325&lt;&gt;""),1,0)</f>
        <v/>
      </c>
      <c r="N325">
        <f>IF(AND(M325=1,ISNUMBER(G325)),INT(G325),0)</f>
        <v/>
      </c>
    </row>
    <row r="326">
      <c r="A326" s="1" t="n"/>
      <c r="B326" s="17" t="n"/>
      <c r="C326" s="19" t="n"/>
      <c r="D326" s="25" t="n"/>
      <c r="E326" s="26" t="n"/>
      <c r="F326" s="26" t="n"/>
      <c r="G326" s="17" t="n"/>
      <c r="H326" s="21" t="n"/>
      <c r="I326" s="16">
        <f>IF(OR(N(D326)&lt;=0,NOT(ISNUMBER(E326))),"",E326/D326)</f>
        <v/>
      </c>
      <c r="J326" s="16">
        <f>IF(OR(C326="",NOT(ISNUMBER(E326))),"",MAX(0,E326-N(F326)))</f>
        <v/>
      </c>
      <c r="K326" s="12">
        <f>IF(AND(C326="",D326="",E326=""),"",IF(NOT(ISNUMBER(B326)),"Needs a date",IF(C326="","Needs a client",IF(COUNTIF(Clients!$B$6:$B$105,C326)=0,"Not on Clients",IF(NOT(ISNUMBER(D326)),"Needs the sessions",IF(AND(E326&lt;&gt;"",NOT(ISNUMBER(E326))),"Price not a number",IF(AND(ISNUMBER(E326),N(F326)&gt;E326),"Paid more than the price","")))))))</f>
        <v/>
      </c>
      <c r="L326" s="1">
        <f>IF(ISNUMBER(B326),YEAR(B326)*100+MONTH(B326),"")</f>
        <v/>
      </c>
      <c r="M326">
        <f>IF(AND(K326="",C326&lt;&gt;""),1,0)</f>
        <v/>
      </c>
      <c r="N326">
        <f>IF(AND(M326=1,ISNUMBER(G326)),INT(G326),0)</f>
        <v/>
      </c>
    </row>
    <row r="327">
      <c r="A327" s="1" t="n"/>
      <c r="B327" s="17" t="n"/>
      <c r="C327" s="19" t="n"/>
      <c r="D327" s="25" t="n"/>
      <c r="E327" s="26" t="n"/>
      <c r="F327" s="26" t="n"/>
      <c r="G327" s="17" t="n"/>
      <c r="H327" s="21" t="n"/>
      <c r="I327" s="16">
        <f>IF(OR(N(D327)&lt;=0,NOT(ISNUMBER(E327))),"",E327/D327)</f>
        <v/>
      </c>
      <c r="J327" s="16">
        <f>IF(OR(C327="",NOT(ISNUMBER(E327))),"",MAX(0,E327-N(F327)))</f>
        <v/>
      </c>
      <c r="K327" s="12">
        <f>IF(AND(C327="",D327="",E327=""),"",IF(NOT(ISNUMBER(B327)),"Needs a date",IF(C327="","Needs a client",IF(COUNTIF(Clients!$B$6:$B$105,C327)=0,"Not on Clients",IF(NOT(ISNUMBER(D327)),"Needs the sessions",IF(AND(E327&lt;&gt;"",NOT(ISNUMBER(E327))),"Price not a number",IF(AND(ISNUMBER(E327),N(F327)&gt;E327),"Paid more than the price","")))))))</f>
        <v/>
      </c>
      <c r="L327" s="1">
        <f>IF(ISNUMBER(B327),YEAR(B327)*100+MONTH(B327),"")</f>
        <v/>
      </c>
      <c r="M327">
        <f>IF(AND(K327="",C327&lt;&gt;""),1,0)</f>
        <v/>
      </c>
      <c r="N327">
        <f>IF(AND(M327=1,ISNUMBER(G327)),INT(G327),0)</f>
        <v/>
      </c>
    </row>
    <row r="328">
      <c r="A328" s="1" t="n"/>
      <c r="B328" s="17" t="n"/>
      <c r="C328" s="19" t="n"/>
      <c r="D328" s="25" t="n"/>
      <c r="E328" s="26" t="n"/>
      <c r="F328" s="26" t="n"/>
      <c r="G328" s="17" t="n"/>
      <c r="H328" s="21" t="n"/>
      <c r="I328" s="16">
        <f>IF(OR(N(D328)&lt;=0,NOT(ISNUMBER(E328))),"",E328/D328)</f>
        <v/>
      </c>
      <c r="J328" s="16">
        <f>IF(OR(C328="",NOT(ISNUMBER(E328))),"",MAX(0,E328-N(F328)))</f>
        <v/>
      </c>
      <c r="K328" s="12">
        <f>IF(AND(C328="",D328="",E328=""),"",IF(NOT(ISNUMBER(B328)),"Needs a date",IF(C328="","Needs a client",IF(COUNTIF(Clients!$B$6:$B$105,C328)=0,"Not on Clients",IF(NOT(ISNUMBER(D328)),"Needs the sessions",IF(AND(E328&lt;&gt;"",NOT(ISNUMBER(E328))),"Price not a number",IF(AND(ISNUMBER(E328),N(F328)&gt;E328),"Paid more than the price","")))))))</f>
        <v/>
      </c>
      <c r="L328" s="1">
        <f>IF(ISNUMBER(B328),YEAR(B328)*100+MONTH(B328),"")</f>
        <v/>
      </c>
      <c r="M328">
        <f>IF(AND(K328="",C328&lt;&gt;""),1,0)</f>
        <v/>
      </c>
      <c r="N328">
        <f>IF(AND(M328=1,ISNUMBER(G328)),INT(G328),0)</f>
        <v/>
      </c>
    </row>
    <row r="329">
      <c r="A329" s="1" t="n"/>
      <c r="B329" s="17" t="n"/>
      <c r="C329" s="19" t="n"/>
      <c r="D329" s="25" t="n"/>
      <c r="E329" s="26" t="n"/>
      <c r="F329" s="26" t="n"/>
      <c r="G329" s="17" t="n"/>
      <c r="H329" s="21" t="n"/>
      <c r="I329" s="16">
        <f>IF(OR(N(D329)&lt;=0,NOT(ISNUMBER(E329))),"",E329/D329)</f>
        <v/>
      </c>
      <c r="J329" s="16">
        <f>IF(OR(C329="",NOT(ISNUMBER(E329))),"",MAX(0,E329-N(F329)))</f>
        <v/>
      </c>
      <c r="K329" s="12">
        <f>IF(AND(C329="",D329="",E329=""),"",IF(NOT(ISNUMBER(B329)),"Needs a date",IF(C329="","Needs a client",IF(COUNTIF(Clients!$B$6:$B$105,C329)=0,"Not on Clients",IF(NOT(ISNUMBER(D329)),"Needs the sessions",IF(AND(E329&lt;&gt;"",NOT(ISNUMBER(E329))),"Price not a number",IF(AND(ISNUMBER(E329),N(F329)&gt;E329),"Paid more than the price","")))))))</f>
        <v/>
      </c>
      <c r="L329" s="1">
        <f>IF(ISNUMBER(B329),YEAR(B329)*100+MONTH(B329),"")</f>
        <v/>
      </c>
      <c r="M329">
        <f>IF(AND(K329="",C329&lt;&gt;""),1,0)</f>
        <v/>
      </c>
      <c r="N329">
        <f>IF(AND(M329=1,ISNUMBER(G329)),INT(G329),0)</f>
        <v/>
      </c>
    </row>
    <row r="330">
      <c r="A330" s="1" t="n"/>
      <c r="B330" s="17" t="n"/>
      <c r="C330" s="19" t="n"/>
      <c r="D330" s="25" t="n"/>
      <c r="E330" s="26" t="n"/>
      <c r="F330" s="26" t="n"/>
      <c r="G330" s="17" t="n"/>
      <c r="H330" s="21" t="n"/>
      <c r="I330" s="16">
        <f>IF(OR(N(D330)&lt;=0,NOT(ISNUMBER(E330))),"",E330/D330)</f>
        <v/>
      </c>
      <c r="J330" s="16">
        <f>IF(OR(C330="",NOT(ISNUMBER(E330))),"",MAX(0,E330-N(F330)))</f>
        <v/>
      </c>
      <c r="K330" s="12">
        <f>IF(AND(C330="",D330="",E330=""),"",IF(NOT(ISNUMBER(B330)),"Needs a date",IF(C330="","Needs a client",IF(COUNTIF(Clients!$B$6:$B$105,C330)=0,"Not on Clients",IF(NOT(ISNUMBER(D330)),"Needs the sessions",IF(AND(E330&lt;&gt;"",NOT(ISNUMBER(E330))),"Price not a number",IF(AND(ISNUMBER(E330),N(F330)&gt;E330),"Paid more than the price","")))))))</f>
        <v/>
      </c>
      <c r="L330" s="1">
        <f>IF(ISNUMBER(B330),YEAR(B330)*100+MONTH(B330),"")</f>
        <v/>
      </c>
      <c r="M330">
        <f>IF(AND(K330="",C330&lt;&gt;""),1,0)</f>
        <v/>
      </c>
      <c r="N330">
        <f>IF(AND(M330=1,ISNUMBER(G330)),INT(G330),0)</f>
        <v/>
      </c>
    </row>
    <row r="331">
      <c r="A331" s="1" t="n"/>
      <c r="B331" s="17" t="n"/>
      <c r="C331" s="19" t="n"/>
      <c r="D331" s="25" t="n"/>
      <c r="E331" s="26" t="n"/>
      <c r="F331" s="26" t="n"/>
      <c r="G331" s="17" t="n"/>
      <c r="H331" s="21" t="n"/>
      <c r="I331" s="16">
        <f>IF(OR(N(D331)&lt;=0,NOT(ISNUMBER(E331))),"",E331/D331)</f>
        <v/>
      </c>
      <c r="J331" s="16">
        <f>IF(OR(C331="",NOT(ISNUMBER(E331))),"",MAX(0,E331-N(F331)))</f>
        <v/>
      </c>
      <c r="K331" s="12">
        <f>IF(AND(C331="",D331="",E331=""),"",IF(NOT(ISNUMBER(B331)),"Needs a date",IF(C331="","Needs a client",IF(COUNTIF(Clients!$B$6:$B$105,C331)=0,"Not on Clients",IF(NOT(ISNUMBER(D331)),"Needs the sessions",IF(AND(E331&lt;&gt;"",NOT(ISNUMBER(E331))),"Price not a number",IF(AND(ISNUMBER(E331),N(F331)&gt;E331),"Paid more than the price","")))))))</f>
        <v/>
      </c>
      <c r="L331" s="1">
        <f>IF(ISNUMBER(B331),YEAR(B331)*100+MONTH(B331),"")</f>
        <v/>
      </c>
      <c r="M331">
        <f>IF(AND(K331="",C331&lt;&gt;""),1,0)</f>
        <v/>
      </c>
      <c r="N331">
        <f>IF(AND(M331=1,ISNUMBER(G331)),INT(G331),0)</f>
        <v/>
      </c>
    </row>
    <row r="332">
      <c r="A332" s="1" t="n"/>
      <c r="B332" s="17" t="n"/>
      <c r="C332" s="19" t="n"/>
      <c r="D332" s="25" t="n"/>
      <c r="E332" s="26" t="n"/>
      <c r="F332" s="26" t="n"/>
      <c r="G332" s="17" t="n"/>
      <c r="H332" s="21" t="n"/>
      <c r="I332" s="16">
        <f>IF(OR(N(D332)&lt;=0,NOT(ISNUMBER(E332))),"",E332/D332)</f>
        <v/>
      </c>
      <c r="J332" s="16">
        <f>IF(OR(C332="",NOT(ISNUMBER(E332))),"",MAX(0,E332-N(F332)))</f>
        <v/>
      </c>
      <c r="K332" s="12">
        <f>IF(AND(C332="",D332="",E332=""),"",IF(NOT(ISNUMBER(B332)),"Needs a date",IF(C332="","Needs a client",IF(COUNTIF(Clients!$B$6:$B$105,C332)=0,"Not on Clients",IF(NOT(ISNUMBER(D332)),"Needs the sessions",IF(AND(E332&lt;&gt;"",NOT(ISNUMBER(E332))),"Price not a number",IF(AND(ISNUMBER(E332),N(F332)&gt;E332),"Paid more than the price","")))))))</f>
        <v/>
      </c>
      <c r="L332" s="1">
        <f>IF(ISNUMBER(B332),YEAR(B332)*100+MONTH(B332),"")</f>
        <v/>
      </c>
      <c r="M332">
        <f>IF(AND(K332="",C332&lt;&gt;""),1,0)</f>
        <v/>
      </c>
      <c r="N332">
        <f>IF(AND(M332=1,ISNUMBER(G332)),INT(G332),0)</f>
        <v/>
      </c>
    </row>
    <row r="333">
      <c r="A333" s="1" t="n"/>
      <c r="B333" s="17" t="n"/>
      <c r="C333" s="19" t="n"/>
      <c r="D333" s="25" t="n"/>
      <c r="E333" s="26" t="n"/>
      <c r="F333" s="26" t="n"/>
      <c r="G333" s="17" t="n"/>
      <c r="H333" s="21" t="n"/>
      <c r="I333" s="16">
        <f>IF(OR(N(D333)&lt;=0,NOT(ISNUMBER(E333))),"",E333/D333)</f>
        <v/>
      </c>
      <c r="J333" s="16">
        <f>IF(OR(C333="",NOT(ISNUMBER(E333))),"",MAX(0,E333-N(F333)))</f>
        <v/>
      </c>
      <c r="K333" s="12">
        <f>IF(AND(C333="",D333="",E333=""),"",IF(NOT(ISNUMBER(B333)),"Needs a date",IF(C333="","Needs a client",IF(COUNTIF(Clients!$B$6:$B$105,C333)=0,"Not on Clients",IF(NOT(ISNUMBER(D333)),"Needs the sessions",IF(AND(E333&lt;&gt;"",NOT(ISNUMBER(E333))),"Price not a number",IF(AND(ISNUMBER(E333),N(F333)&gt;E333),"Paid more than the price","")))))))</f>
        <v/>
      </c>
      <c r="L333" s="1">
        <f>IF(ISNUMBER(B333),YEAR(B333)*100+MONTH(B333),"")</f>
        <v/>
      </c>
      <c r="M333">
        <f>IF(AND(K333="",C333&lt;&gt;""),1,0)</f>
        <v/>
      </c>
      <c r="N333">
        <f>IF(AND(M333=1,ISNUMBER(G333)),INT(G333),0)</f>
        <v/>
      </c>
    </row>
    <row r="334">
      <c r="A334" s="1" t="n"/>
      <c r="B334" s="17" t="n"/>
      <c r="C334" s="19" t="n"/>
      <c r="D334" s="25" t="n"/>
      <c r="E334" s="26" t="n"/>
      <c r="F334" s="26" t="n"/>
      <c r="G334" s="17" t="n"/>
      <c r="H334" s="21" t="n"/>
      <c r="I334" s="16">
        <f>IF(OR(N(D334)&lt;=0,NOT(ISNUMBER(E334))),"",E334/D334)</f>
        <v/>
      </c>
      <c r="J334" s="16">
        <f>IF(OR(C334="",NOT(ISNUMBER(E334))),"",MAX(0,E334-N(F334)))</f>
        <v/>
      </c>
      <c r="K334" s="12">
        <f>IF(AND(C334="",D334="",E334=""),"",IF(NOT(ISNUMBER(B334)),"Needs a date",IF(C334="","Needs a client",IF(COUNTIF(Clients!$B$6:$B$105,C334)=0,"Not on Clients",IF(NOT(ISNUMBER(D334)),"Needs the sessions",IF(AND(E334&lt;&gt;"",NOT(ISNUMBER(E334))),"Price not a number",IF(AND(ISNUMBER(E334),N(F334)&gt;E334),"Paid more than the price","")))))))</f>
        <v/>
      </c>
      <c r="L334" s="1">
        <f>IF(ISNUMBER(B334),YEAR(B334)*100+MONTH(B334),"")</f>
        <v/>
      </c>
      <c r="M334">
        <f>IF(AND(K334="",C334&lt;&gt;""),1,0)</f>
        <v/>
      </c>
      <c r="N334">
        <f>IF(AND(M334=1,ISNUMBER(G334)),INT(G334),0)</f>
        <v/>
      </c>
    </row>
    <row r="335">
      <c r="A335" s="1" t="n"/>
      <c r="B335" s="17" t="n"/>
      <c r="C335" s="19" t="n"/>
      <c r="D335" s="25" t="n"/>
      <c r="E335" s="26" t="n"/>
      <c r="F335" s="26" t="n"/>
      <c r="G335" s="17" t="n"/>
      <c r="H335" s="21" t="n"/>
      <c r="I335" s="16">
        <f>IF(OR(N(D335)&lt;=0,NOT(ISNUMBER(E335))),"",E335/D335)</f>
        <v/>
      </c>
      <c r="J335" s="16">
        <f>IF(OR(C335="",NOT(ISNUMBER(E335))),"",MAX(0,E335-N(F335)))</f>
        <v/>
      </c>
      <c r="K335" s="12">
        <f>IF(AND(C335="",D335="",E335=""),"",IF(NOT(ISNUMBER(B335)),"Needs a date",IF(C335="","Needs a client",IF(COUNTIF(Clients!$B$6:$B$105,C335)=0,"Not on Clients",IF(NOT(ISNUMBER(D335)),"Needs the sessions",IF(AND(E335&lt;&gt;"",NOT(ISNUMBER(E335))),"Price not a number",IF(AND(ISNUMBER(E335),N(F335)&gt;E335),"Paid more than the price","")))))))</f>
        <v/>
      </c>
      <c r="L335" s="1">
        <f>IF(ISNUMBER(B335),YEAR(B335)*100+MONTH(B335),"")</f>
        <v/>
      </c>
      <c r="M335">
        <f>IF(AND(K335="",C335&lt;&gt;""),1,0)</f>
        <v/>
      </c>
      <c r="N335">
        <f>IF(AND(M335=1,ISNUMBER(G335)),INT(G335),0)</f>
        <v/>
      </c>
    </row>
    <row r="336">
      <c r="A336" s="1" t="n"/>
      <c r="B336" s="17" t="n"/>
      <c r="C336" s="19" t="n"/>
      <c r="D336" s="25" t="n"/>
      <c r="E336" s="26" t="n"/>
      <c r="F336" s="26" t="n"/>
      <c r="G336" s="17" t="n"/>
      <c r="H336" s="21" t="n"/>
      <c r="I336" s="16">
        <f>IF(OR(N(D336)&lt;=0,NOT(ISNUMBER(E336))),"",E336/D336)</f>
        <v/>
      </c>
      <c r="J336" s="16">
        <f>IF(OR(C336="",NOT(ISNUMBER(E336))),"",MAX(0,E336-N(F336)))</f>
        <v/>
      </c>
      <c r="K336" s="12">
        <f>IF(AND(C336="",D336="",E336=""),"",IF(NOT(ISNUMBER(B336)),"Needs a date",IF(C336="","Needs a client",IF(COUNTIF(Clients!$B$6:$B$105,C336)=0,"Not on Clients",IF(NOT(ISNUMBER(D336)),"Needs the sessions",IF(AND(E336&lt;&gt;"",NOT(ISNUMBER(E336))),"Price not a number",IF(AND(ISNUMBER(E336),N(F336)&gt;E336),"Paid more than the price","")))))))</f>
        <v/>
      </c>
      <c r="L336" s="1">
        <f>IF(ISNUMBER(B336),YEAR(B336)*100+MONTH(B336),"")</f>
        <v/>
      </c>
      <c r="M336">
        <f>IF(AND(K336="",C336&lt;&gt;""),1,0)</f>
        <v/>
      </c>
      <c r="N336">
        <f>IF(AND(M336=1,ISNUMBER(G336)),INT(G336),0)</f>
        <v/>
      </c>
    </row>
    <row r="337">
      <c r="A337" s="1" t="n"/>
      <c r="B337" s="17" t="n"/>
      <c r="C337" s="19" t="n"/>
      <c r="D337" s="25" t="n"/>
      <c r="E337" s="26" t="n"/>
      <c r="F337" s="26" t="n"/>
      <c r="G337" s="17" t="n"/>
      <c r="H337" s="21" t="n"/>
      <c r="I337" s="16">
        <f>IF(OR(N(D337)&lt;=0,NOT(ISNUMBER(E337))),"",E337/D337)</f>
        <v/>
      </c>
      <c r="J337" s="16">
        <f>IF(OR(C337="",NOT(ISNUMBER(E337))),"",MAX(0,E337-N(F337)))</f>
        <v/>
      </c>
      <c r="K337" s="12">
        <f>IF(AND(C337="",D337="",E337=""),"",IF(NOT(ISNUMBER(B337)),"Needs a date",IF(C337="","Needs a client",IF(COUNTIF(Clients!$B$6:$B$105,C337)=0,"Not on Clients",IF(NOT(ISNUMBER(D337)),"Needs the sessions",IF(AND(E337&lt;&gt;"",NOT(ISNUMBER(E337))),"Price not a number",IF(AND(ISNUMBER(E337),N(F337)&gt;E337),"Paid more than the price","")))))))</f>
        <v/>
      </c>
      <c r="L337" s="1">
        <f>IF(ISNUMBER(B337),YEAR(B337)*100+MONTH(B337),"")</f>
        <v/>
      </c>
      <c r="M337">
        <f>IF(AND(K337="",C337&lt;&gt;""),1,0)</f>
        <v/>
      </c>
      <c r="N337">
        <f>IF(AND(M337=1,ISNUMBER(G337)),INT(G337),0)</f>
        <v/>
      </c>
    </row>
    <row r="338">
      <c r="A338" s="1" t="n"/>
      <c r="B338" s="17" t="n"/>
      <c r="C338" s="19" t="n"/>
      <c r="D338" s="25" t="n"/>
      <c r="E338" s="26" t="n"/>
      <c r="F338" s="26" t="n"/>
      <c r="G338" s="17" t="n"/>
      <c r="H338" s="21" t="n"/>
      <c r="I338" s="16">
        <f>IF(OR(N(D338)&lt;=0,NOT(ISNUMBER(E338))),"",E338/D338)</f>
        <v/>
      </c>
      <c r="J338" s="16">
        <f>IF(OR(C338="",NOT(ISNUMBER(E338))),"",MAX(0,E338-N(F338)))</f>
        <v/>
      </c>
      <c r="K338" s="12">
        <f>IF(AND(C338="",D338="",E338=""),"",IF(NOT(ISNUMBER(B338)),"Needs a date",IF(C338="","Needs a client",IF(COUNTIF(Clients!$B$6:$B$105,C338)=0,"Not on Clients",IF(NOT(ISNUMBER(D338)),"Needs the sessions",IF(AND(E338&lt;&gt;"",NOT(ISNUMBER(E338))),"Price not a number",IF(AND(ISNUMBER(E338),N(F338)&gt;E338),"Paid more than the price","")))))))</f>
        <v/>
      </c>
      <c r="L338" s="1">
        <f>IF(ISNUMBER(B338),YEAR(B338)*100+MONTH(B338),"")</f>
        <v/>
      </c>
      <c r="M338">
        <f>IF(AND(K338="",C338&lt;&gt;""),1,0)</f>
        <v/>
      </c>
      <c r="N338">
        <f>IF(AND(M338=1,ISNUMBER(G338)),INT(G338),0)</f>
        <v/>
      </c>
    </row>
    <row r="339">
      <c r="A339" s="1" t="n"/>
      <c r="B339" s="17" t="n"/>
      <c r="C339" s="19" t="n"/>
      <c r="D339" s="25" t="n"/>
      <c r="E339" s="26" t="n"/>
      <c r="F339" s="26" t="n"/>
      <c r="G339" s="17" t="n"/>
      <c r="H339" s="21" t="n"/>
      <c r="I339" s="16">
        <f>IF(OR(N(D339)&lt;=0,NOT(ISNUMBER(E339))),"",E339/D339)</f>
        <v/>
      </c>
      <c r="J339" s="16">
        <f>IF(OR(C339="",NOT(ISNUMBER(E339))),"",MAX(0,E339-N(F339)))</f>
        <v/>
      </c>
      <c r="K339" s="12">
        <f>IF(AND(C339="",D339="",E339=""),"",IF(NOT(ISNUMBER(B339)),"Needs a date",IF(C339="","Needs a client",IF(COUNTIF(Clients!$B$6:$B$105,C339)=0,"Not on Clients",IF(NOT(ISNUMBER(D339)),"Needs the sessions",IF(AND(E339&lt;&gt;"",NOT(ISNUMBER(E339))),"Price not a number",IF(AND(ISNUMBER(E339),N(F339)&gt;E339),"Paid more than the price","")))))))</f>
        <v/>
      </c>
      <c r="L339" s="1">
        <f>IF(ISNUMBER(B339),YEAR(B339)*100+MONTH(B339),"")</f>
        <v/>
      </c>
      <c r="M339">
        <f>IF(AND(K339="",C339&lt;&gt;""),1,0)</f>
        <v/>
      </c>
      <c r="N339">
        <f>IF(AND(M339=1,ISNUMBER(G339)),INT(G339),0)</f>
        <v/>
      </c>
    </row>
    <row r="340">
      <c r="A340" s="1" t="n"/>
      <c r="B340" s="17" t="n"/>
      <c r="C340" s="19" t="n"/>
      <c r="D340" s="25" t="n"/>
      <c r="E340" s="26" t="n"/>
      <c r="F340" s="26" t="n"/>
      <c r="G340" s="17" t="n"/>
      <c r="H340" s="21" t="n"/>
      <c r="I340" s="16">
        <f>IF(OR(N(D340)&lt;=0,NOT(ISNUMBER(E340))),"",E340/D340)</f>
        <v/>
      </c>
      <c r="J340" s="16">
        <f>IF(OR(C340="",NOT(ISNUMBER(E340))),"",MAX(0,E340-N(F340)))</f>
        <v/>
      </c>
      <c r="K340" s="12">
        <f>IF(AND(C340="",D340="",E340=""),"",IF(NOT(ISNUMBER(B340)),"Needs a date",IF(C340="","Needs a client",IF(COUNTIF(Clients!$B$6:$B$105,C340)=0,"Not on Clients",IF(NOT(ISNUMBER(D340)),"Needs the sessions",IF(AND(E340&lt;&gt;"",NOT(ISNUMBER(E340))),"Price not a number",IF(AND(ISNUMBER(E340),N(F340)&gt;E340),"Paid more than the price","")))))))</f>
        <v/>
      </c>
      <c r="L340" s="1">
        <f>IF(ISNUMBER(B340),YEAR(B340)*100+MONTH(B340),"")</f>
        <v/>
      </c>
      <c r="M340">
        <f>IF(AND(K340="",C340&lt;&gt;""),1,0)</f>
        <v/>
      </c>
      <c r="N340">
        <f>IF(AND(M340=1,ISNUMBER(G340)),INT(G340),0)</f>
        <v/>
      </c>
    </row>
    <row r="341">
      <c r="A341" s="1" t="n"/>
      <c r="B341" s="17" t="n"/>
      <c r="C341" s="19" t="n"/>
      <c r="D341" s="25" t="n"/>
      <c r="E341" s="26" t="n"/>
      <c r="F341" s="26" t="n"/>
      <c r="G341" s="17" t="n"/>
      <c r="H341" s="21" t="n"/>
      <c r="I341" s="16">
        <f>IF(OR(N(D341)&lt;=0,NOT(ISNUMBER(E341))),"",E341/D341)</f>
        <v/>
      </c>
      <c r="J341" s="16">
        <f>IF(OR(C341="",NOT(ISNUMBER(E341))),"",MAX(0,E341-N(F341)))</f>
        <v/>
      </c>
      <c r="K341" s="12">
        <f>IF(AND(C341="",D341="",E341=""),"",IF(NOT(ISNUMBER(B341)),"Needs a date",IF(C341="","Needs a client",IF(COUNTIF(Clients!$B$6:$B$105,C341)=0,"Not on Clients",IF(NOT(ISNUMBER(D341)),"Needs the sessions",IF(AND(E341&lt;&gt;"",NOT(ISNUMBER(E341))),"Price not a number",IF(AND(ISNUMBER(E341),N(F341)&gt;E341),"Paid more than the price","")))))))</f>
        <v/>
      </c>
      <c r="L341" s="1">
        <f>IF(ISNUMBER(B341),YEAR(B341)*100+MONTH(B341),"")</f>
        <v/>
      </c>
      <c r="M341">
        <f>IF(AND(K341="",C341&lt;&gt;""),1,0)</f>
        <v/>
      </c>
      <c r="N341">
        <f>IF(AND(M341=1,ISNUMBER(G341)),INT(G341),0)</f>
        <v/>
      </c>
    </row>
    <row r="342">
      <c r="A342" s="1" t="n"/>
      <c r="B342" s="17" t="n"/>
      <c r="C342" s="19" t="n"/>
      <c r="D342" s="25" t="n"/>
      <c r="E342" s="26" t="n"/>
      <c r="F342" s="26" t="n"/>
      <c r="G342" s="17" t="n"/>
      <c r="H342" s="21" t="n"/>
      <c r="I342" s="16">
        <f>IF(OR(N(D342)&lt;=0,NOT(ISNUMBER(E342))),"",E342/D342)</f>
        <v/>
      </c>
      <c r="J342" s="16">
        <f>IF(OR(C342="",NOT(ISNUMBER(E342))),"",MAX(0,E342-N(F342)))</f>
        <v/>
      </c>
      <c r="K342" s="12">
        <f>IF(AND(C342="",D342="",E342=""),"",IF(NOT(ISNUMBER(B342)),"Needs a date",IF(C342="","Needs a client",IF(COUNTIF(Clients!$B$6:$B$105,C342)=0,"Not on Clients",IF(NOT(ISNUMBER(D342)),"Needs the sessions",IF(AND(E342&lt;&gt;"",NOT(ISNUMBER(E342))),"Price not a number",IF(AND(ISNUMBER(E342),N(F342)&gt;E342),"Paid more than the price","")))))))</f>
        <v/>
      </c>
      <c r="L342" s="1">
        <f>IF(ISNUMBER(B342),YEAR(B342)*100+MONTH(B342),"")</f>
        <v/>
      </c>
      <c r="M342">
        <f>IF(AND(K342="",C342&lt;&gt;""),1,0)</f>
        <v/>
      </c>
      <c r="N342">
        <f>IF(AND(M342=1,ISNUMBER(G342)),INT(G342),0)</f>
        <v/>
      </c>
    </row>
    <row r="343">
      <c r="A343" s="1" t="n"/>
      <c r="B343" s="17" t="n"/>
      <c r="C343" s="19" t="n"/>
      <c r="D343" s="25" t="n"/>
      <c r="E343" s="26" t="n"/>
      <c r="F343" s="26" t="n"/>
      <c r="G343" s="17" t="n"/>
      <c r="H343" s="21" t="n"/>
      <c r="I343" s="16">
        <f>IF(OR(N(D343)&lt;=0,NOT(ISNUMBER(E343))),"",E343/D343)</f>
        <v/>
      </c>
      <c r="J343" s="16">
        <f>IF(OR(C343="",NOT(ISNUMBER(E343))),"",MAX(0,E343-N(F343)))</f>
        <v/>
      </c>
      <c r="K343" s="12">
        <f>IF(AND(C343="",D343="",E343=""),"",IF(NOT(ISNUMBER(B343)),"Needs a date",IF(C343="","Needs a client",IF(COUNTIF(Clients!$B$6:$B$105,C343)=0,"Not on Clients",IF(NOT(ISNUMBER(D343)),"Needs the sessions",IF(AND(E343&lt;&gt;"",NOT(ISNUMBER(E343))),"Price not a number",IF(AND(ISNUMBER(E343),N(F343)&gt;E343),"Paid more than the price","")))))))</f>
        <v/>
      </c>
      <c r="L343" s="1">
        <f>IF(ISNUMBER(B343),YEAR(B343)*100+MONTH(B343),"")</f>
        <v/>
      </c>
      <c r="M343">
        <f>IF(AND(K343="",C343&lt;&gt;""),1,0)</f>
        <v/>
      </c>
      <c r="N343">
        <f>IF(AND(M343=1,ISNUMBER(G343)),INT(G343),0)</f>
        <v/>
      </c>
    </row>
    <row r="344">
      <c r="A344" s="1" t="n"/>
      <c r="B344" s="17" t="n"/>
      <c r="C344" s="19" t="n"/>
      <c r="D344" s="25" t="n"/>
      <c r="E344" s="26" t="n"/>
      <c r="F344" s="26" t="n"/>
      <c r="G344" s="17" t="n"/>
      <c r="H344" s="21" t="n"/>
      <c r="I344" s="16">
        <f>IF(OR(N(D344)&lt;=0,NOT(ISNUMBER(E344))),"",E344/D344)</f>
        <v/>
      </c>
      <c r="J344" s="16">
        <f>IF(OR(C344="",NOT(ISNUMBER(E344))),"",MAX(0,E344-N(F344)))</f>
        <v/>
      </c>
      <c r="K344" s="12">
        <f>IF(AND(C344="",D344="",E344=""),"",IF(NOT(ISNUMBER(B344)),"Needs a date",IF(C344="","Needs a client",IF(COUNTIF(Clients!$B$6:$B$105,C344)=0,"Not on Clients",IF(NOT(ISNUMBER(D344)),"Needs the sessions",IF(AND(E344&lt;&gt;"",NOT(ISNUMBER(E344))),"Price not a number",IF(AND(ISNUMBER(E344),N(F344)&gt;E344),"Paid more than the price","")))))))</f>
        <v/>
      </c>
      <c r="L344" s="1">
        <f>IF(ISNUMBER(B344),YEAR(B344)*100+MONTH(B344),"")</f>
        <v/>
      </c>
      <c r="M344">
        <f>IF(AND(K344="",C344&lt;&gt;""),1,0)</f>
        <v/>
      </c>
      <c r="N344">
        <f>IF(AND(M344=1,ISNUMBER(G344)),INT(G344),0)</f>
        <v/>
      </c>
    </row>
    <row r="345">
      <c r="A345" s="1" t="n"/>
      <c r="B345" s="17" t="n"/>
      <c r="C345" s="19" t="n"/>
      <c r="D345" s="25" t="n"/>
      <c r="E345" s="26" t="n"/>
      <c r="F345" s="26" t="n"/>
      <c r="G345" s="17" t="n"/>
      <c r="H345" s="21" t="n"/>
      <c r="I345" s="16">
        <f>IF(OR(N(D345)&lt;=0,NOT(ISNUMBER(E345))),"",E345/D345)</f>
        <v/>
      </c>
      <c r="J345" s="16">
        <f>IF(OR(C345="",NOT(ISNUMBER(E345))),"",MAX(0,E345-N(F345)))</f>
        <v/>
      </c>
      <c r="K345" s="12">
        <f>IF(AND(C345="",D345="",E345=""),"",IF(NOT(ISNUMBER(B345)),"Needs a date",IF(C345="","Needs a client",IF(COUNTIF(Clients!$B$6:$B$105,C345)=0,"Not on Clients",IF(NOT(ISNUMBER(D345)),"Needs the sessions",IF(AND(E345&lt;&gt;"",NOT(ISNUMBER(E345))),"Price not a number",IF(AND(ISNUMBER(E345),N(F345)&gt;E345),"Paid more than the price","")))))))</f>
        <v/>
      </c>
      <c r="L345" s="1">
        <f>IF(ISNUMBER(B345),YEAR(B345)*100+MONTH(B345),"")</f>
        <v/>
      </c>
      <c r="M345">
        <f>IF(AND(K345="",C345&lt;&gt;""),1,0)</f>
        <v/>
      </c>
      <c r="N345">
        <f>IF(AND(M345=1,ISNUMBER(G345)),INT(G345),0)</f>
        <v/>
      </c>
    </row>
    <row r="346">
      <c r="A346" s="1" t="n"/>
      <c r="B346" s="17" t="n"/>
      <c r="C346" s="19" t="n"/>
      <c r="D346" s="25" t="n"/>
      <c r="E346" s="26" t="n"/>
      <c r="F346" s="26" t="n"/>
      <c r="G346" s="17" t="n"/>
      <c r="H346" s="21" t="n"/>
      <c r="I346" s="16">
        <f>IF(OR(N(D346)&lt;=0,NOT(ISNUMBER(E346))),"",E346/D346)</f>
        <v/>
      </c>
      <c r="J346" s="16">
        <f>IF(OR(C346="",NOT(ISNUMBER(E346))),"",MAX(0,E346-N(F346)))</f>
        <v/>
      </c>
      <c r="K346" s="12">
        <f>IF(AND(C346="",D346="",E346=""),"",IF(NOT(ISNUMBER(B346)),"Needs a date",IF(C346="","Needs a client",IF(COUNTIF(Clients!$B$6:$B$105,C346)=0,"Not on Clients",IF(NOT(ISNUMBER(D346)),"Needs the sessions",IF(AND(E346&lt;&gt;"",NOT(ISNUMBER(E346))),"Price not a number",IF(AND(ISNUMBER(E346),N(F346)&gt;E346),"Paid more than the price","")))))))</f>
        <v/>
      </c>
      <c r="L346" s="1">
        <f>IF(ISNUMBER(B346),YEAR(B346)*100+MONTH(B346),"")</f>
        <v/>
      </c>
      <c r="M346">
        <f>IF(AND(K346="",C346&lt;&gt;""),1,0)</f>
        <v/>
      </c>
      <c r="N346">
        <f>IF(AND(M346=1,ISNUMBER(G346)),INT(G346),0)</f>
        <v/>
      </c>
    </row>
    <row r="347">
      <c r="A347" s="1" t="n"/>
      <c r="B347" s="17" t="n"/>
      <c r="C347" s="19" t="n"/>
      <c r="D347" s="25" t="n"/>
      <c r="E347" s="26" t="n"/>
      <c r="F347" s="26" t="n"/>
      <c r="G347" s="17" t="n"/>
      <c r="H347" s="21" t="n"/>
      <c r="I347" s="16">
        <f>IF(OR(N(D347)&lt;=0,NOT(ISNUMBER(E347))),"",E347/D347)</f>
        <v/>
      </c>
      <c r="J347" s="16">
        <f>IF(OR(C347="",NOT(ISNUMBER(E347))),"",MAX(0,E347-N(F347)))</f>
        <v/>
      </c>
      <c r="K347" s="12">
        <f>IF(AND(C347="",D347="",E347=""),"",IF(NOT(ISNUMBER(B347)),"Needs a date",IF(C347="","Needs a client",IF(COUNTIF(Clients!$B$6:$B$105,C347)=0,"Not on Clients",IF(NOT(ISNUMBER(D347)),"Needs the sessions",IF(AND(E347&lt;&gt;"",NOT(ISNUMBER(E347))),"Price not a number",IF(AND(ISNUMBER(E347),N(F347)&gt;E347),"Paid more than the price","")))))))</f>
        <v/>
      </c>
      <c r="L347" s="1">
        <f>IF(ISNUMBER(B347),YEAR(B347)*100+MONTH(B347),"")</f>
        <v/>
      </c>
      <c r="M347">
        <f>IF(AND(K347="",C347&lt;&gt;""),1,0)</f>
        <v/>
      </c>
      <c r="N347">
        <f>IF(AND(M347=1,ISNUMBER(G347)),INT(G347),0)</f>
        <v/>
      </c>
    </row>
    <row r="348">
      <c r="A348" s="1" t="n"/>
      <c r="B348" s="17" t="n"/>
      <c r="C348" s="19" t="n"/>
      <c r="D348" s="25" t="n"/>
      <c r="E348" s="26" t="n"/>
      <c r="F348" s="26" t="n"/>
      <c r="G348" s="17" t="n"/>
      <c r="H348" s="21" t="n"/>
      <c r="I348" s="16">
        <f>IF(OR(N(D348)&lt;=0,NOT(ISNUMBER(E348))),"",E348/D348)</f>
        <v/>
      </c>
      <c r="J348" s="16">
        <f>IF(OR(C348="",NOT(ISNUMBER(E348))),"",MAX(0,E348-N(F348)))</f>
        <v/>
      </c>
      <c r="K348" s="12">
        <f>IF(AND(C348="",D348="",E348=""),"",IF(NOT(ISNUMBER(B348)),"Needs a date",IF(C348="","Needs a client",IF(COUNTIF(Clients!$B$6:$B$105,C348)=0,"Not on Clients",IF(NOT(ISNUMBER(D348)),"Needs the sessions",IF(AND(E348&lt;&gt;"",NOT(ISNUMBER(E348))),"Price not a number",IF(AND(ISNUMBER(E348),N(F348)&gt;E348),"Paid more than the price","")))))))</f>
        <v/>
      </c>
      <c r="L348" s="1">
        <f>IF(ISNUMBER(B348),YEAR(B348)*100+MONTH(B348),"")</f>
        <v/>
      </c>
      <c r="M348">
        <f>IF(AND(K348="",C348&lt;&gt;""),1,0)</f>
        <v/>
      </c>
      <c r="N348">
        <f>IF(AND(M348=1,ISNUMBER(G348)),INT(G348),0)</f>
        <v/>
      </c>
    </row>
    <row r="349">
      <c r="A349" s="1" t="n"/>
      <c r="B349" s="17" t="n"/>
      <c r="C349" s="19" t="n"/>
      <c r="D349" s="25" t="n"/>
      <c r="E349" s="26" t="n"/>
      <c r="F349" s="26" t="n"/>
      <c r="G349" s="17" t="n"/>
      <c r="H349" s="21" t="n"/>
      <c r="I349" s="16">
        <f>IF(OR(N(D349)&lt;=0,NOT(ISNUMBER(E349))),"",E349/D349)</f>
        <v/>
      </c>
      <c r="J349" s="16">
        <f>IF(OR(C349="",NOT(ISNUMBER(E349))),"",MAX(0,E349-N(F349)))</f>
        <v/>
      </c>
      <c r="K349" s="12">
        <f>IF(AND(C349="",D349="",E349=""),"",IF(NOT(ISNUMBER(B349)),"Needs a date",IF(C349="","Needs a client",IF(COUNTIF(Clients!$B$6:$B$105,C349)=0,"Not on Clients",IF(NOT(ISNUMBER(D349)),"Needs the sessions",IF(AND(E349&lt;&gt;"",NOT(ISNUMBER(E349))),"Price not a number",IF(AND(ISNUMBER(E349),N(F349)&gt;E349),"Paid more than the price","")))))))</f>
        <v/>
      </c>
      <c r="L349" s="1">
        <f>IF(ISNUMBER(B349),YEAR(B349)*100+MONTH(B349),"")</f>
        <v/>
      </c>
      <c r="M349">
        <f>IF(AND(K349="",C349&lt;&gt;""),1,0)</f>
        <v/>
      </c>
      <c r="N349">
        <f>IF(AND(M349=1,ISNUMBER(G349)),INT(G349),0)</f>
        <v/>
      </c>
    </row>
    <row r="350">
      <c r="A350" s="1" t="n"/>
      <c r="B350" s="17" t="n"/>
      <c r="C350" s="19" t="n"/>
      <c r="D350" s="25" t="n"/>
      <c r="E350" s="26" t="n"/>
      <c r="F350" s="26" t="n"/>
      <c r="G350" s="17" t="n"/>
      <c r="H350" s="21" t="n"/>
      <c r="I350" s="16">
        <f>IF(OR(N(D350)&lt;=0,NOT(ISNUMBER(E350))),"",E350/D350)</f>
        <v/>
      </c>
      <c r="J350" s="16">
        <f>IF(OR(C350="",NOT(ISNUMBER(E350))),"",MAX(0,E350-N(F350)))</f>
        <v/>
      </c>
      <c r="K350" s="12">
        <f>IF(AND(C350="",D350="",E350=""),"",IF(NOT(ISNUMBER(B350)),"Needs a date",IF(C350="","Needs a client",IF(COUNTIF(Clients!$B$6:$B$105,C350)=0,"Not on Clients",IF(NOT(ISNUMBER(D350)),"Needs the sessions",IF(AND(E350&lt;&gt;"",NOT(ISNUMBER(E350))),"Price not a number",IF(AND(ISNUMBER(E350),N(F350)&gt;E350),"Paid more than the price","")))))))</f>
        <v/>
      </c>
      <c r="L350" s="1">
        <f>IF(ISNUMBER(B350),YEAR(B350)*100+MONTH(B350),"")</f>
        <v/>
      </c>
      <c r="M350">
        <f>IF(AND(K350="",C350&lt;&gt;""),1,0)</f>
        <v/>
      </c>
      <c r="N350">
        <f>IF(AND(M350=1,ISNUMBER(G350)),INT(G350),0)</f>
        <v/>
      </c>
    </row>
    <row r="351">
      <c r="A351" s="1" t="n"/>
      <c r="B351" s="17" t="n"/>
      <c r="C351" s="19" t="n"/>
      <c r="D351" s="25" t="n"/>
      <c r="E351" s="26" t="n"/>
      <c r="F351" s="26" t="n"/>
      <c r="G351" s="17" t="n"/>
      <c r="H351" s="21" t="n"/>
      <c r="I351" s="16">
        <f>IF(OR(N(D351)&lt;=0,NOT(ISNUMBER(E351))),"",E351/D351)</f>
        <v/>
      </c>
      <c r="J351" s="16">
        <f>IF(OR(C351="",NOT(ISNUMBER(E351))),"",MAX(0,E351-N(F351)))</f>
        <v/>
      </c>
      <c r="K351" s="12">
        <f>IF(AND(C351="",D351="",E351=""),"",IF(NOT(ISNUMBER(B351)),"Needs a date",IF(C351="","Needs a client",IF(COUNTIF(Clients!$B$6:$B$105,C351)=0,"Not on Clients",IF(NOT(ISNUMBER(D351)),"Needs the sessions",IF(AND(E351&lt;&gt;"",NOT(ISNUMBER(E351))),"Price not a number",IF(AND(ISNUMBER(E351),N(F351)&gt;E351),"Paid more than the price","")))))))</f>
        <v/>
      </c>
      <c r="L351" s="1">
        <f>IF(ISNUMBER(B351),YEAR(B351)*100+MONTH(B351),"")</f>
        <v/>
      </c>
      <c r="M351">
        <f>IF(AND(K351="",C351&lt;&gt;""),1,0)</f>
        <v/>
      </c>
      <c r="N351">
        <f>IF(AND(M351=1,ISNUMBER(G351)),INT(G351),0)</f>
        <v/>
      </c>
    </row>
    <row r="352">
      <c r="A352" s="1" t="n"/>
      <c r="B352" s="17" t="n"/>
      <c r="C352" s="19" t="n"/>
      <c r="D352" s="25" t="n"/>
      <c r="E352" s="26" t="n"/>
      <c r="F352" s="26" t="n"/>
      <c r="G352" s="17" t="n"/>
      <c r="H352" s="21" t="n"/>
      <c r="I352" s="16">
        <f>IF(OR(N(D352)&lt;=0,NOT(ISNUMBER(E352))),"",E352/D352)</f>
        <v/>
      </c>
      <c r="J352" s="16">
        <f>IF(OR(C352="",NOT(ISNUMBER(E352))),"",MAX(0,E352-N(F352)))</f>
        <v/>
      </c>
      <c r="K352" s="12">
        <f>IF(AND(C352="",D352="",E352=""),"",IF(NOT(ISNUMBER(B352)),"Needs a date",IF(C352="","Needs a client",IF(COUNTIF(Clients!$B$6:$B$105,C352)=0,"Not on Clients",IF(NOT(ISNUMBER(D352)),"Needs the sessions",IF(AND(E352&lt;&gt;"",NOT(ISNUMBER(E352))),"Price not a number",IF(AND(ISNUMBER(E352),N(F352)&gt;E352),"Paid more than the price","")))))))</f>
        <v/>
      </c>
      <c r="L352" s="1">
        <f>IF(ISNUMBER(B352),YEAR(B352)*100+MONTH(B352),"")</f>
        <v/>
      </c>
      <c r="M352">
        <f>IF(AND(K352="",C352&lt;&gt;""),1,0)</f>
        <v/>
      </c>
      <c r="N352">
        <f>IF(AND(M352=1,ISNUMBER(G352)),INT(G352),0)</f>
        <v/>
      </c>
    </row>
    <row r="353">
      <c r="A353" s="1" t="n"/>
      <c r="B353" s="17" t="n"/>
      <c r="C353" s="19" t="n"/>
      <c r="D353" s="25" t="n"/>
      <c r="E353" s="26" t="n"/>
      <c r="F353" s="26" t="n"/>
      <c r="G353" s="17" t="n"/>
      <c r="H353" s="21" t="n"/>
      <c r="I353" s="16">
        <f>IF(OR(N(D353)&lt;=0,NOT(ISNUMBER(E353))),"",E353/D353)</f>
        <v/>
      </c>
      <c r="J353" s="16">
        <f>IF(OR(C353="",NOT(ISNUMBER(E353))),"",MAX(0,E353-N(F353)))</f>
        <v/>
      </c>
      <c r="K353" s="12">
        <f>IF(AND(C353="",D353="",E353=""),"",IF(NOT(ISNUMBER(B353)),"Needs a date",IF(C353="","Needs a client",IF(COUNTIF(Clients!$B$6:$B$105,C353)=0,"Not on Clients",IF(NOT(ISNUMBER(D353)),"Needs the sessions",IF(AND(E353&lt;&gt;"",NOT(ISNUMBER(E353))),"Price not a number",IF(AND(ISNUMBER(E353),N(F353)&gt;E353),"Paid more than the price","")))))))</f>
        <v/>
      </c>
      <c r="L353" s="1">
        <f>IF(ISNUMBER(B353),YEAR(B353)*100+MONTH(B353),"")</f>
        <v/>
      </c>
      <c r="M353">
        <f>IF(AND(K353="",C353&lt;&gt;""),1,0)</f>
        <v/>
      </c>
      <c r="N353">
        <f>IF(AND(M353=1,ISNUMBER(G353)),INT(G353),0)</f>
        <v/>
      </c>
    </row>
    <row r="354">
      <c r="A354" s="1" t="n"/>
      <c r="B354" s="17" t="n"/>
      <c r="C354" s="19" t="n"/>
      <c r="D354" s="25" t="n"/>
      <c r="E354" s="26" t="n"/>
      <c r="F354" s="26" t="n"/>
      <c r="G354" s="17" t="n"/>
      <c r="H354" s="21" t="n"/>
      <c r="I354" s="16">
        <f>IF(OR(N(D354)&lt;=0,NOT(ISNUMBER(E354))),"",E354/D354)</f>
        <v/>
      </c>
      <c r="J354" s="16">
        <f>IF(OR(C354="",NOT(ISNUMBER(E354))),"",MAX(0,E354-N(F354)))</f>
        <v/>
      </c>
      <c r="K354" s="12">
        <f>IF(AND(C354="",D354="",E354=""),"",IF(NOT(ISNUMBER(B354)),"Needs a date",IF(C354="","Needs a client",IF(COUNTIF(Clients!$B$6:$B$105,C354)=0,"Not on Clients",IF(NOT(ISNUMBER(D354)),"Needs the sessions",IF(AND(E354&lt;&gt;"",NOT(ISNUMBER(E354))),"Price not a number",IF(AND(ISNUMBER(E354),N(F354)&gt;E354),"Paid more than the price","")))))))</f>
        <v/>
      </c>
      <c r="L354" s="1">
        <f>IF(ISNUMBER(B354),YEAR(B354)*100+MONTH(B354),"")</f>
        <v/>
      </c>
      <c r="M354">
        <f>IF(AND(K354="",C354&lt;&gt;""),1,0)</f>
        <v/>
      </c>
      <c r="N354">
        <f>IF(AND(M354=1,ISNUMBER(G354)),INT(G354),0)</f>
        <v/>
      </c>
    </row>
    <row r="355">
      <c r="A355" s="1" t="n"/>
      <c r="B355" s="17" t="n"/>
      <c r="C355" s="19" t="n"/>
      <c r="D355" s="25" t="n"/>
      <c r="E355" s="26" t="n"/>
      <c r="F355" s="26" t="n"/>
      <c r="G355" s="17" t="n"/>
      <c r="H355" s="21" t="n"/>
      <c r="I355" s="16">
        <f>IF(OR(N(D355)&lt;=0,NOT(ISNUMBER(E355))),"",E355/D355)</f>
        <v/>
      </c>
      <c r="J355" s="16">
        <f>IF(OR(C355="",NOT(ISNUMBER(E355))),"",MAX(0,E355-N(F355)))</f>
        <v/>
      </c>
      <c r="K355" s="12">
        <f>IF(AND(C355="",D355="",E355=""),"",IF(NOT(ISNUMBER(B355)),"Needs a date",IF(C355="","Needs a client",IF(COUNTIF(Clients!$B$6:$B$105,C355)=0,"Not on Clients",IF(NOT(ISNUMBER(D355)),"Needs the sessions",IF(AND(E355&lt;&gt;"",NOT(ISNUMBER(E355))),"Price not a number",IF(AND(ISNUMBER(E355),N(F355)&gt;E355),"Paid more than the price","")))))))</f>
        <v/>
      </c>
      <c r="L355" s="1">
        <f>IF(ISNUMBER(B355),YEAR(B355)*100+MONTH(B355),"")</f>
        <v/>
      </c>
      <c r="M355">
        <f>IF(AND(K355="",C355&lt;&gt;""),1,0)</f>
        <v/>
      </c>
      <c r="N355">
        <f>IF(AND(M355=1,ISNUMBER(G355)),INT(G355),0)</f>
        <v/>
      </c>
    </row>
    <row r="356">
      <c r="A356" s="1" t="n"/>
      <c r="B356" s="17" t="n"/>
      <c r="C356" s="19" t="n"/>
      <c r="D356" s="25" t="n"/>
      <c r="E356" s="26" t="n"/>
      <c r="F356" s="26" t="n"/>
      <c r="G356" s="17" t="n"/>
      <c r="H356" s="21" t="n"/>
      <c r="I356" s="16">
        <f>IF(OR(N(D356)&lt;=0,NOT(ISNUMBER(E356))),"",E356/D356)</f>
        <v/>
      </c>
      <c r="J356" s="16">
        <f>IF(OR(C356="",NOT(ISNUMBER(E356))),"",MAX(0,E356-N(F356)))</f>
        <v/>
      </c>
      <c r="K356" s="12">
        <f>IF(AND(C356="",D356="",E356=""),"",IF(NOT(ISNUMBER(B356)),"Needs a date",IF(C356="","Needs a client",IF(COUNTIF(Clients!$B$6:$B$105,C356)=0,"Not on Clients",IF(NOT(ISNUMBER(D356)),"Needs the sessions",IF(AND(E356&lt;&gt;"",NOT(ISNUMBER(E356))),"Price not a number",IF(AND(ISNUMBER(E356),N(F356)&gt;E356),"Paid more than the price","")))))))</f>
        <v/>
      </c>
      <c r="L356" s="1">
        <f>IF(ISNUMBER(B356),YEAR(B356)*100+MONTH(B356),"")</f>
        <v/>
      </c>
      <c r="M356">
        <f>IF(AND(K356="",C356&lt;&gt;""),1,0)</f>
        <v/>
      </c>
      <c r="N356">
        <f>IF(AND(M356=1,ISNUMBER(G356)),INT(G356),0)</f>
        <v/>
      </c>
    </row>
    <row r="357">
      <c r="A357" s="1" t="n"/>
      <c r="B357" s="17" t="n"/>
      <c r="C357" s="19" t="n"/>
      <c r="D357" s="25" t="n"/>
      <c r="E357" s="26" t="n"/>
      <c r="F357" s="26" t="n"/>
      <c r="G357" s="17" t="n"/>
      <c r="H357" s="21" t="n"/>
      <c r="I357" s="16">
        <f>IF(OR(N(D357)&lt;=0,NOT(ISNUMBER(E357))),"",E357/D357)</f>
        <v/>
      </c>
      <c r="J357" s="16">
        <f>IF(OR(C357="",NOT(ISNUMBER(E357))),"",MAX(0,E357-N(F357)))</f>
        <v/>
      </c>
      <c r="K357" s="12">
        <f>IF(AND(C357="",D357="",E357=""),"",IF(NOT(ISNUMBER(B357)),"Needs a date",IF(C357="","Needs a client",IF(COUNTIF(Clients!$B$6:$B$105,C357)=0,"Not on Clients",IF(NOT(ISNUMBER(D357)),"Needs the sessions",IF(AND(E357&lt;&gt;"",NOT(ISNUMBER(E357))),"Price not a number",IF(AND(ISNUMBER(E357),N(F357)&gt;E357),"Paid more than the price","")))))))</f>
        <v/>
      </c>
      <c r="L357" s="1">
        <f>IF(ISNUMBER(B357),YEAR(B357)*100+MONTH(B357),"")</f>
        <v/>
      </c>
      <c r="M357">
        <f>IF(AND(K357="",C357&lt;&gt;""),1,0)</f>
        <v/>
      </c>
      <c r="N357">
        <f>IF(AND(M357=1,ISNUMBER(G357)),INT(G357),0)</f>
        <v/>
      </c>
    </row>
    <row r="358">
      <c r="A358" s="1" t="n"/>
      <c r="B358" s="17" t="n"/>
      <c r="C358" s="19" t="n"/>
      <c r="D358" s="25" t="n"/>
      <c r="E358" s="26" t="n"/>
      <c r="F358" s="26" t="n"/>
      <c r="G358" s="17" t="n"/>
      <c r="H358" s="21" t="n"/>
      <c r="I358" s="16">
        <f>IF(OR(N(D358)&lt;=0,NOT(ISNUMBER(E358))),"",E358/D358)</f>
        <v/>
      </c>
      <c r="J358" s="16">
        <f>IF(OR(C358="",NOT(ISNUMBER(E358))),"",MAX(0,E358-N(F358)))</f>
        <v/>
      </c>
      <c r="K358" s="12">
        <f>IF(AND(C358="",D358="",E358=""),"",IF(NOT(ISNUMBER(B358)),"Needs a date",IF(C358="","Needs a client",IF(COUNTIF(Clients!$B$6:$B$105,C358)=0,"Not on Clients",IF(NOT(ISNUMBER(D358)),"Needs the sessions",IF(AND(E358&lt;&gt;"",NOT(ISNUMBER(E358))),"Price not a number",IF(AND(ISNUMBER(E358),N(F358)&gt;E358),"Paid more than the price","")))))))</f>
        <v/>
      </c>
      <c r="L358" s="1">
        <f>IF(ISNUMBER(B358),YEAR(B358)*100+MONTH(B358),"")</f>
        <v/>
      </c>
      <c r="M358">
        <f>IF(AND(K358="",C358&lt;&gt;""),1,0)</f>
        <v/>
      </c>
      <c r="N358">
        <f>IF(AND(M358=1,ISNUMBER(G358)),INT(G358),0)</f>
        <v/>
      </c>
    </row>
    <row r="359">
      <c r="A359" s="1" t="n"/>
      <c r="B359" s="17" t="n"/>
      <c r="C359" s="19" t="n"/>
      <c r="D359" s="25" t="n"/>
      <c r="E359" s="26" t="n"/>
      <c r="F359" s="26" t="n"/>
      <c r="G359" s="17" t="n"/>
      <c r="H359" s="21" t="n"/>
      <c r="I359" s="16">
        <f>IF(OR(N(D359)&lt;=0,NOT(ISNUMBER(E359))),"",E359/D359)</f>
        <v/>
      </c>
      <c r="J359" s="16">
        <f>IF(OR(C359="",NOT(ISNUMBER(E359))),"",MAX(0,E359-N(F359)))</f>
        <v/>
      </c>
      <c r="K359" s="12">
        <f>IF(AND(C359="",D359="",E359=""),"",IF(NOT(ISNUMBER(B359)),"Needs a date",IF(C359="","Needs a client",IF(COUNTIF(Clients!$B$6:$B$105,C359)=0,"Not on Clients",IF(NOT(ISNUMBER(D359)),"Needs the sessions",IF(AND(E359&lt;&gt;"",NOT(ISNUMBER(E359))),"Price not a number",IF(AND(ISNUMBER(E359),N(F359)&gt;E359),"Paid more than the price","")))))))</f>
        <v/>
      </c>
      <c r="L359" s="1">
        <f>IF(ISNUMBER(B359),YEAR(B359)*100+MONTH(B359),"")</f>
        <v/>
      </c>
      <c r="M359">
        <f>IF(AND(K359="",C359&lt;&gt;""),1,0)</f>
        <v/>
      </c>
      <c r="N359">
        <f>IF(AND(M359=1,ISNUMBER(G359)),INT(G359),0)</f>
        <v/>
      </c>
    </row>
    <row r="360">
      <c r="A360" s="1" t="n"/>
      <c r="B360" s="17" t="n"/>
      <c r="C360" s="19" t="n"/>
      <c r="D360" s="25" t="n"/>
      <c r="E360" s="26" t="n"/>
      <c r="F360" s="26" t="n"/>
      <c r="G360" s="17" t="n"/>
      <c r="H360" s="21" t="n"/>
      <c r="I360" s="16">
        <f>IF(OR(N(D360)&lt;=0,NOT(ISNUMBER(E360))),"",E360/D360)</f>
        <v/>
      </c>
      <c r="J360" s="16">
        <f>IF(OR(C360="",NOT(ISNUMBER(E360))),"",MAX(0,E360-N(F360)))</f>
        <v/>
      </c>
      <c r="K360" s="12">
        <f>IF(AND(C360="",D360="",E360=""),"",IF(NOT(ISNUMBER(B360)),"Needs a date",IF(C360="","Needs a client",IF(COUNTIF(Clients!$B$6:$B$105,C360)=0,"Not on Clients",IF(NOT(ISNUMBER(D360)),"Needs the sessions",IF(AND(E360&lt;&gt;"",NOT(ISNUMBER(E360))),"Price not a number",IF(AND(ISNUMBER(E360),N(F360)&gt;E360),"Paid more than the price","")))))))</f>
        <v/>
      </c>
      <c r="L360" s="1">
        <f>IF(ISNUMBER(B360),YEAR(B360)*100+MONTH(B360),"")</f>
        <v/>
      </c>
      <c r="M360">
        <f>IF(AND(K360="",C360&lt;&gt;""),1,0)</f>
        <v/>
      </c>
      <c r="N360">
        <f>IF(AND(M360=1,ISNUMBER(G360)),INT(G360),0)</f>
        <v/>
      </c>
    </row>
    <row r="361">
      <c r="A361" s="1" t="n"/>
      <c r="B361" s="17" t="n"/>
      <c r="C361" s="19" t="n"/>
      <c r="D361" s="25" t="n"/>
      <c r="E361" s="26" t="n"/>
      <c r="F361" s="26" t="n"/>
      <c r="G361" s="17" t="n"/>
      <c r="H361" s="21" t="n"/>
      <c r="I361" s="16">
        <f>IF(OR(N(D361)&lt;=0,NOT(ISNUMBER(E361))),"",E361/D361)</f>
        <v/>
      </c>
      <c r="J361" s="16">
        <f>IF(OR(C361="",NOT(ISNUMBER(E361))),"",MAX(0,E361-N(F361)))</f>
        <v/>
      </c>
      <c r="K361" s="12">
        <f>IF(AND(C361="",D361="",E361=""),"",IF(NOT(ISNUMBER(B361)),"Needs a date",IF(C361="","Needs a client",IF(COUNTIF(Clients!$B$6:$B$105,C361)=0,"Not on Clients",IF(NOT(ISNUMBER(D361)),"Needs the sessions",IF(AND(E361&lt;&gt;"",NOT(ISNUMBER(E361))),"Price not a number",IF(AND(ISNUMBER(E361),N(F361)&gt;E361),"Paid more than the price","")))))))</f>
        <v/>
      </c>
      <c r="L361" s="1">
        <f>IF(ISNUMBER(B361),YEAR(B361)*100+MONTH(B361),"")</f>
        <v/>
      </c>
      <c r="M361">
        <f>IF(AND(K361="",C361&lt;&gt;""),1,0)</f>
        <v/>
      </c>
      <c r="N361">
        <f>IF(AND(M361=1,ISNUMBER(G361)),INT(G361),0)</f>
        <v/>
      </c>
    </row>
    <row r="362">
      <c r="A362" s="1" t="n"/>
      <c r="B362" s="17" t="n"/>
      <c r="C362" s="19" t="n"/>
      <c r="D362" s="25" t="n"/>
      <c r="E362" s="26" t="n"/>
      <c r="F362" s="26" t="n"/>
      <c r="G362" s="17" t="n"/>
      <c r="H362" s="21" t="n"/>
      <c r="I362" s="16">
        <f>IF(OR(N(D362)&lt;=0,NOT(ISNUMBER(E362))),"",E362/D362)</f>
        <v/>
      </c>
      <c r="J362" s="16">
        <f>IF(OR(C362="",NOT(ISNUMBER(E362))),"",MAX(0,E362-N(F362)))</f>
        <v/>
      </c>
      <c r="K362" s="12">
        <f>IF(AND(C362="",D362="",E362=""),"",IF(NOT(ISNUMBER(B362)),"Needs a date",IF(C362="","Needs a client",IF(COUNTIF(Clients!$B$6:$B$105,C362)=0,"Not on Clients",IF(NOT(ISNUMBER(D362)),"Needs the sessions",IF(AND(E362&lt;&gt;"",NOT(ISNUMBER(E362))),"Price not a number",IF(AND(ISNUMBER(E362),N(F362)&gt;E362),"Paid more than the price","")))))))</f>
        <v/>
      </c>
      <c r="L362" s="1">
        <f>IF(ISNUMBER(B362),YEAR(B362)*100+MONTH(B362),"")</f>
        <v/>
      </c>
      <c r="M362">
        <f>IF(AND(K362="",C362&lt;&gt;""),1,0)</f>
        <v/>
      </c>
      <c r="N362">
        <f>IF(AND(M362=1,ISNUMBER(G362)),INT(G362),0)</f>
        <v/>
      </c>
    </row>
    <row r="363">
      <c r="A363" s="1" t="n"/>
      <c r="B363" s="17" t="n"/>
      <c r="C363" s="19" t="n"/>
      <c r="D363" s="25" t="n"/>
      <c r="E363" s="26" t="n"/>
      <c r="F363" s="26" t="n"/>
      <c r="G363" s="17" t="n"/>
      <c r="H363" s="21" t="n"/>
      <c r="I363" s="16">
        <f>IF(OR(N(D363)&lt;=0,NOT(ISNUMBER(E363))),"",E363/D363)</f>
        <v/>
      </c>
      <c r="J363" s="16">
        <f>IF(OR(C363="",NOT(ISNUMBER(E363))),"",MAX(0,E363-N(F363)))</f>
        <v/>
      </c>
      <c r="K363" s="12">
        <f>IF(AND(C363="",D363="",E363=""),"",IF(NOT(ISNUMBER(B363)),"Needs a date",IF(C363="","Needs a client",IF(COUNTIF(Clients!$B$6:$B$105,C363)=0,"Not on Clients",IF(NOT(ISNUMBER(D363)),"Needs the sessions",IF(AND(E363&lt;&gt;"",NOT(ISNUMBER(E363))),"Price not a number",IF(AND(ISNUMBER(E363),N(F363)&gt;E363),"Paid more than the price","")))))))</f>
        <v/>
      </c>
      <c r="L363" s="1">
        <f>IF(ISNUMBER(B363),YEAR(B363)*100+MONTH(B363),"")</f>
        <v/>
      </c>
      <c r="M363">
        <f>IF(AND(K363="",C363&lt;&gt;""),1,0)</f>
        <v/>
      </c>
      <c r="N363">
        <f>IF(AND(M363=1,ISNUMBER(G363)),INT(G363),0)</f>
        <v/>
      </c>
    </row>
    <row r="364">
      <c r="A364" s="1" t="n"/>
      <c r="B364" s="17" t="n"/>
      <c r="C364" s="19" t="n"/>
      <c r="D364" s="25" t="n"/>
      <c r="E364" s="26" t="n"/>
      <c r="F364" s="26" t="n"/>
      <c r="G364" s="17" t="n"/>
      <c r="H364" s="21" t="n"/>
      <c r="I364" s="16">
        <f>IF(OR(N(D364)&lt;=0,NOT(ISNUMBER(E364))),"",E364/D364)</f>
        <v/>
      </c>
      <c r="J364" s="16">
        <f>IF(OR(C364="",NOT(ISNUMBER(E364))),"",MAX(0,E364-N(F364)))</f>
        <v/>
      </c>
      <c r="K364" s="12">
        <f>IF(AND(C364="",D364="",E364=""),"",IF(NOT(ISNUMBER(B364)),"Needs a date",IF(C364="","Needs a client",IF(COUNTIF(Clients!$B$6:$B$105,C364)=0,"Not on Clients",IF(NOT(ISNUMBER(D364)),"Needs the sessions",IF(AND(E364&lt;&gt;"",NOT(ISNUMBER(E364))),"Price not a number",IF(AND(ISNUMBER(E364),N(F364)&gt;E364),"Paid more than the price","")))))))</f>
        <v/>
      </c>
      <c r="L364" s="1">
        <f>IF(ISNUMBER(B364),YEAR(B364)*100+MONTH(B364),"")</f>
        <v/>
      </c>
      <c r="M364">
        <f>IF(AND(K364="",C364&lt;&gt;""),1,0)</f>
        <v/>
      </c>
      <c r="N364">
        <f>IF(AND(M364=1,ISNUMBER(G364)),INT(G364),0)</f>
        <v/>
      </c>
    </row>
    <row r="365">
      <c r="A365" s="1" t="n"/>
      <c r="B365" s="17" t="n"/>
      <c r="C365" s="19" t="n"/>
      <c r="D365" s="25" t="n"/>
      <c r="E365" s="26" t="n"/>
      <c r="F365" s="26" t="n"/>
      <c r="G365" s="17" t="n"/>
      <c r="H365" s="21" t="n"/>
      <c r="I365" s="16">
        <f>IF(OR(N(D365)&lt;=0,NOT(ISNUMBER(E365))),"",E365/D365)</f>
        <v/>
      </c>
      <c r="J365" s="16">
        <f>IF(OR(C365="",NOT(ISNUMBER(E365))),"",MAX(0,E365-N(F365)))</f>
        <v/>
      </c>
      <c r="K365" s="12">
        <f>IF(AND(C365="",D365="",E365=""),"",IF(NOT(ISNUMBER(B365)),"Needs a date",IF(C365="","Needs a client",IF(COUNTIF(Clients!$B$6:$B$105,C365)=0,"Not on Clients",IF(NOT(ISNUMBER(D365)),"Needs the sessions",IF(AND(E365&lt;&gt;"",NOT(ISNUMBER(E365))),"Price not a number",IF(AND(ISNUMBER(E365),N(F365)&gt;E365),"Paid more than the price","")))))))</f>
        <v/>
      </c>
      <c r="L365" s="1">
        <f>IF(ISNUMBER(B365),YEAR(B365)*100+MONTH(B365),"")</f>
        <v/>
      </c>
      <c r="M365">
        <f>IF(AND(K365="",C365&lt;&gt;""),1,0)</f>
        <v/>
      </c>
      <c r="N365">
        <f>IF(AND(M365=1,ISNUMBER(G365)),INT(G365),0)</f>
        <v/>
      </c>
    </row>
    <row r="366">
      <c r="A366" s="1" t="n"/>
      <c r="B366" s="17" t="n"/>
      <c r="C366" s="19" t="n"/>
      <c r="D366" s="25" t="n"/>
      <c r="E366" s="26" t="n"/>
      <c r="F366" s="26" t="n"/>
      <c r="G366" s="17" t="n"/>
      <c r="H366" s="21" t="n"/>
      <c r="I366" s="16">
        <f>IF(OR(N(D366)&lt;=0,NOT(ISNUMBER(E366))),"",E366/D366)</f>
        <v/>
      </c>
      <c r="J366" s="16">
        <f>IF(OR(C366="",NOT(ISNUMBER(E366))),"",MAX(0,E366-N(F366)))</f>
        <v/>
      </c>
      <c r="K366" s="12">
        <f>IF(AND(C366="",D366="",E366=""),"",IF(NOT(ISNUMBER(B366)),"Needs a date",IF(C366="","Needs a client",IF(COUNTIF(Clients!$B$6:$B$105,C366)=0,"Not on Clients",IF(NOT(ISNUMBER(D366)),"Needs the sessions",IF(AND(E366&lt;&gt;"",NOT(ISNUMBER(E366))),"Price not a number",IF(AND(ISNUMBER(E366),N(F366)&gt;E366),"Paid more than the price","")))))))</f>
        <v/>
      </c>
      <c r="L366" s="1">
        <f>IF(ISNUMBER(B366),YEAR(B366)*100+MONTH(B366),"")</f>
        <v/>
      </c>
      <c r="M366">
        <f>IF(AND(K366="",C366&lt;&gt;""),1,0)</f>
        <v/>
      </c>
      <c r="N366">
        <f>IF(AND(M366=1,ISNUMBER(G366)),INT(G366),0)</f>
        <v/>
      </c>
    </row>
    <row r="367">
      <c r="A367" s="1" t="n"/>
      <c r="B367" s="17" t="n"/>
      <c r="C367" s="19" t="n"/>
      <c r="D367" s="25" t="n"/>
      <c r="E367" s="26" t="n"/>
      <c r="F367" s="26" t="n"/>
      <c r="G367" s="17" t="n"/>
      <c r="H367" s="21" t="n"/>
      <c r="I367" s="16">
        <f>IF(OR(N(D367)&lt;=0,NOT(ISNUMBER(E367))),"",E367/D367)</f>
        <v/>
      </c>
      <c r="J367" s="16">
        <f>IF(OR(C367="",NOT(ISNUMBER(E367))),"",MAX(0,E367-N(F367)))</f>
        <v/>
      </c>
      <c r="K367" s="12">
        <f>IF(AND(C367="",D367="",E367=""),"",IF(NOT(ISNUMBER(B367)),"Needs a date",IF(C367="","Needs a client",IF(COUNTIF(Clients!$B$6:$B$105,C367)=0,"Not on Clients",IF(NOT(ISNUMBER(D367)),"Needs the sessions",IF(AND(E367&lt;&gt;"",NOT(ISNUMBER(E367))),"Price not a number",IF(AND(ISNUMBER(E367),N(F367)&gt;E367),"Paid more than the price","")))))))</f>
        <v/>
      </c>
      <c r="L367" s="1">
        <f>IF(ISNUMBER(B367),YEAR(B367)*100+MONTH(B367),"")</f>
        <v/>
      </c>
      <c r="M367">
        <f>IF(AND(K367="",C367&lt;&gt;""),1,0)</f>
        <v/>
      </c>
      <c r="N367">
        <f>IF(AND(M367=1,ISNUMBER(G367)),INT(G367),0)</f>
        <v/>
      </c>
    </row>
    <row r="368">
      <c r="A368" s="1" t="n"/>
      <c r="B368" s="17" t="n"/>
      <c r="C368" s="19" t="n"/>
      <c r="D368" s="25" t="n"/>
      <c r="E368" s="26" t="n"/>
      <c r="F368" s="26" t="n"/>
      <c r="G368" s="17" t="n"/>
      <c r="H368" s="21" t="n"/>
      <c r="I368" s="16">
        <f>IF(OR(N(D368)&lt;=0,NOT(ISNUMBER(E368))),"",E368/D368)</f>
        <v/>
      </c>
      <c r="J368" s="16">
        <f>IF(OR(C368="",NOT(ISNUMBER(E368))),"",MAX(0,E368-N(F368)))</f>
        <v/>
      </c>
      <c r="K368" s="12">
        <f>IF(AND(C368="",D368="",E368=""),"",IF(NOT(ISNUMBER(B368)),"Needs a date",IF(C368="","Needs a client",IF(COUNTIF(Clients!$B$6:$B$105,C368)=0,"Not on Clients",IF(NOT(ISNUMBER(D368)),"Needs the sessions",IF(AND(E368&lt;&gt;"",NOT(ISNUMBER(E368))),"Price not a number",IF(AND(ISNUMBER(E368),N(F368)&gt;E368),"Paid more than the price","")))))))</f>
        <v/>
      </c>
      <c r="L368" s="1">
        <f>IF(ISNUMBER(B368),YEAR(B368)*100+MONTH(B368),"")</f>
        <v/>
      </c>
      <c r="M368">
        <f>IF(AND(K368="",C368&lt;&gt;""),1,0)</f>
        <v/>
      </c>
      <c r="N368">
        <f>IF(AND(M368=1,ISNUMBER(G368)),INT(G368),0)</f>
        <v/>
      </c>
    </row>
    <row r="369">
      <c r="A369" s="1" t="n"/>
      <c r="B369" s="17" t="n"/>
      <c r="C369" s="19" t="n"/>
      <c r="D369" s="25" t="n"/>
      <c r="E369" s="26" t="n"/>
      <c r="F369" s="26" t="n"/>
      <c r="G369" s="17" t="n"/>
      <c r="H369" s="21" t="n"/>
      <c r="I369" s="16">
        <f>IF(OR(N(D369)&lt;=0,NOT(ISNUMBER(E369))),"",E369/D369)</f>
        <v/>
      </c>
      <c r="J369" s="16">
        <f>IF(OR(C369="",NOT(ISNUMBER(E369))),"",MAX(0,E369-N(F369)))</f>
        <v/>
      </c>
      <c r="K369" s="12">
        <f>IF(AND(C369="",D369="",E369=""),"",IF(NOT(ISNUMBER(B369)),"Needs a date",IF(C369="","Needs a client",IF(COUNTIF(Clients!$B$6:$B$105,C369)=0,"Not on Clients",IF(NOT(ISNUMBER(D369)),"Needs the sessions",IF(AND(E369&lt;&gt;"",NOT(ISNUMBER(E369))),"Price not a number",IF(AND(ISNUMBER(E369),N(F369)&gt;E369),"Paid more than the price","")))))))</f>
        <v/>
      </c>
      <c r="L369" s="1">
        <f>IF(ISNUMBER(B369),YEAR(B369)*100+MONTH(B369),"")</f>
        <v/>
      </c>
      <c r="M369">
        <f>IF(AND(K369="",C369&lt;&gt;""),1,0)</f>
        <v/>
      </c>
      <c r="N369">
        <f>IF(AND(M369=1,ISNUMBER(G369)),INT(G369),0)</f>
        <v/>
      </c>
    </row>
    <row r="370">
      <c r="A370" s="1" t="n"/>
      <c r="B370" s="17" t="n"/>
      <c r="C370" s="19" t="n"/>
      <c r="D370" s="25" t="n"/>
      <c r="E370" s="26" t="n"/>
      <c r="F370" s="26" t="n"/>
      <c r="G370" s="17" t="n"/>
      <c r="H370" s="21" t="n"/>
      <c r="I370" s="16">
        <f>IF(OR(N(D370)&lt;=0,NOT(ISNUMBER(E370))),"",E370/D370)</f>
        <v/>
      </c>
      <c r="J370" s="16">
        <f>IF(OR(C370="",NOT(ISNUMBER(E370))),"",MAX(0,E370-N(F370)))</f>
        <v/>
      </c>
      <c r="K370" s="12">
        <f>IF(AND(C370="",D370="",E370=""),"",IF(NOT(ISNUMBER(B370)),"Needs a date",IF(C370="","Needs a client",IF(COUNTIF(Clients!$B$6:$B$105,C370)=0,"Not on Clients",IF(NOT(ISNUMBER(D370)),"Needs the sessions",IF(AND(E370&lt;&gt;"",NOT(ISNUMBER(E370))),"Price not a number",IF(AND(ISNUMBER(E370),N(F370)&gt;E370),"Paid more than the price","")))))))</f>
        <v/>
      </c>
      <c r="L370" s="1">
        <f>IF(ISNUMBER(B370),YEAR(B370)*100+MONTH(B370),"")</f>
        <v/>
      </c>
      <c r="M370">
        <f>IF(AND(K370="",C370&lt;&gt;""),1,0)</f>
        <v/>
      </c>
      <c r="N370">
        <f>IF(AND(M370=1,ISNUMBER(G370)),INT(G370),0)</f>
        <v/>
      </c>
    </row>
    <row r="371">
      <c r="A371" s="1" t="n"/>
      <c r="B371" s="17" t="n"/>
      <c r="C371" s="19" t="n"/>
      <c r="D371" s="25" t="n"/>
      <c r="E371" s="26" t="n"/>
      <c r="F371" s="26" t="n"/>
      <c r="G371" s="17" t="n"/>
      <c r="H371" s="21" t="n"/>
      <c r="I371" s="16">
        <f>IF(OR(N(D371)&lt;=0,NOT(ISNUMBER(E371))),"",E371/D371)</f>
        <v/>
      </c>
      <c r="J371" s="16">
        <f>IF(OR(C371="",NOT(ISNUMBER(E371))),"",MAX(0,E371-N(F371)))</f>
        <v/>
      </c>
      <c r="K371" s="12">
        <f>IF(AND(C371="",D371="",E371=""),"",IF(NOT(ISNUMBER(B371)),"Needs a date",IF(C371="","Needs a client",IF(COUNTIF(Clients!$B$6:$B$105,C371)=0,"Not on Clients",IF(NOT(ISNUMBER(D371)),"Needs the sessions",IF(AND(E371&lt;&gt;"",NOT(ISNUMBER(E371))),"Price not a number",IF(AND(ISNUMBER(E371),N(F371)&gt;E371),"Paid more than the price","")))))))</f>
        <v/>
      </c>
      <c r="L371" s="1">
        <f>IF(ISNUMBER(B371),YEAR(B371)*100+MONTH(B371),"")</f>
        <v/>
      </c>
      <c r="M371">
        <f>IF(AND(K371="",C371&lt;&gt;""),1,0)</f>
        <v/>
      </c>
      <c r="N371">
        <f>IF(AND(M371=1,ISNUMBER(G371)),INT(G371),0)</f>
        <v/>
      </c>
    </row>
    <row r="372">
      <c r="A372" s="1" t="n"/>
      <c r="B372" s="17" t="n"/>
      <c r="C372" s="19" t="n"/>
      <c r="D372" s="25" t="n"/>
      <c r="E372" s="26" t="n"/>
      <c r="F372" s="26" t="n"/>
      <c r="G372" s="17" t="n"/>
      <c r="H372" s="21" t="n"/>
      <c r="I372" s="16">
        <f>IF(OR(N(D372)&lt;=0,NOT(ISNUMBER(E372))),"",E372/D372)</f>
        <v/>
      </c>
      <c r="J372" s="16">
        <f>IF(OR(C372="",NOT(ISNUMBER(E372))),"",MAX(0,E372-N(F372)))</f>
        <v/>
      </c>
      <c r="K372" s="12">
        <f>IF(AND(C372="",D372="",E372=""),"",IF(NOT(ISNUMBER(B372)),"Needs a date",IF(C372="","Needs a client",IF(COUNTIF(Clients!$B$6:$B$105,C372)=0,"Not on Clients",IF(NOT(ISNUMBER(D372)),"Needs the sessions",IF(AND(E372&lt;&gt;"",NOT(ISNUMBER(E372))),"Price not a number",IF(AND(ISNUMBER(E372),N(F372)&gt;E372),"Paid more than the price","")))))))</f>
        <v/>
      </c>
      <c r="L372" s="1">
        <f>IF(ISNUMBER(B372),YEAR(B372)*100+MONTH(B372),"")</f>
        <v/>
      </c>
      <c r="M372">
        <f>IF(AND(K372="",C372&lt;&gt;""),1,0)</f>
        <v/>
      </c>
      <c r="N372">
        <f>IF(AND(M372=1,ISNUMBER(G372)),INT(G372),0)</f>
        <v/>
      </c>
    </row>
    <row r="373">
      <c r="A373" s="1" t="n"/>
      <c r="B373" s="17" t="n"/>
      <c r="C373" s="19" t="n"/>
      <c r="D373" s="25" t="n"/>
      <c r="E373" s="26" t="n"/>
      <c r="F373" s="26" t="n"/>
      <c r="G373" s="17" t="n"/>
      <c r="H373" s="21" t="n"/>
      <c r="I373" s="16">
        <f>IF(OR(N(D373)&lt;=0,NOT(ISNUMBER(E373))),"",E373/D373)</f>
        <v/>
      </c>
      <c r="J373" s="16">
        <f>IF(OR(C373="",NOT(ISNUMBER(E373))),"",MAX(0,E373-N(F373)))</f>
        <v/>
      </c>
      <c r="K373" s="12">
        <f>IF(AND(C373="",D373="",E373=""),"",IF(NOT(ISNUMBER(B373)),"Needs a date",IF(C373="","Needs a client",IF(COUNTIF(Clients!$B$6:$B$105,C373)=0,"Not on Clients",IF(NOT(ISNUMBER(D373)),"Needs the sessions",IF(AND(E373&lt;&gt;"",NOT(ISNUMBER(E373))),"Price not a number",IF(AND(ISNUMBER(E373),N(F373)&gt;E373),"Paid more than the price","")))))))</f>
        <v/>
      </c>
      <c r="L373" s="1">
        <f>IF(ISNUMBER(B373),YEAR(B373)*100+MONTH(B373),"")</f>
        <v/>
      </c>
      <c r="M373">
        <f>IF(AND(K373="",C373&lt;&gt;""),1,0)</f>
        <v/>
      </c>
      <c r="N373">
        <f>IF(AND(M373=1,ISNUMBER(G373)),INT(G373),0)</f>
        <v/>
      </c>
    </row>
    <row r="374">
      <c r="A374" s="1" t="n"/>
      <c r="B374" s="17" t="n"/>
      <c r="C374" s="19" t="n"/>
      <c r="D374" s="25" t="n"/>
      <c r="E374" s="26" t="n"/>
      <c r="F374" s="26" t="n"/>
      <c r="G374" s="17" t="n"/>
      <c r="H374" s="21" t="n"/>
      <c r="I374" s="16">
        <f>IF(OR(N(D374)&lt;=0,NOT(ISNUMBER(E374))),"",E374/D374)</f>
        <v/>
      </c>
      <c r="J374" s="16">
        <f>IF(OR(C374="",NOT(ISNUMBER(E374))),"",MAX(0,E374-N(F374)))</f>
        <v/>
      </c>
      <c r="K374" s="12">
        <f>IF(AND(C374="",D374="",E374=""),"",IF(NOT(ISNUMBER(B374)),"Needs a date",IF(C374="","Needs a client",IF(COUNTIF(Clients!$B$6:$B$105,C374)=0,"Not on Clients",IF(NOT(ISNUMBER(D374)),"Needs the sessions",IF(AND(E374&lt;&gt;"",NOT(ISNUMBER(E374))),"Price not a number",IF(AND(ISNUMBER(E374),N(F374)&gt;E374),"Paid more than the price","")))))))</f>
        <v/>
      </c>
      <c r="L374" s="1">
        <f>IF(ISNUMBER(B374),YEAR(B374)*100+MONTH(B374),"")</f>
        <v/>
      </c>
      <c r="M374">
        <f>IF(AND(K374="",C374&lt;&gt;""),1,0)</f>
        <v/>
      </c>
      <c r="N374">
        <f>IF(AND(M374=1,ISNUMBER(G374)),INT(G374),0)</f>
        <v/>
      </c>
    </row>
    <row r="375">
      <c r="A375" s="1" t="n"/>
      <c r="B375" s="17" t="n"/>
      <c r="C375" s="19" t="n"/>
      <c r="D375" s="25" t="n"/>
      <c r="E375" s="26" t="n"/>
      <c r="F375" s="26" t="n"/>
      <c r="G375" s="17" t="n"/>
      <c r="H375" s="21" t="n"/>
      <c r="I375" s="16">
        <f>IF(OR(N(D375)&lt;=0,NOT(ISNUMBER(E375))),"",E375/D375)</f>
        <v/>
      </c>
      <c r="J375" s="16">
        <f>IF(OR(C375="",NOT(ISNUMBER(E375))),"",MAX(0,E375-N(F375)))</f>
        <v/>
      </c>
      <c r="K375" s="12">
        <f>IF(AND(C375="",D375="",E375=""),"",IF(NOT(ISNUMBER(B375)),"Needs a date",IF(C375="","Needs a client",IF(COUNTIF(Clients!$B$6:$B$105,C375)=0,"Not on Clients",IF(NOT(ISNUMBER(D375)),"Needs the sessions",IF(AND(E375&lt;&gt;"",NOT(ISNUMBER(E375))),"Price not a number",IF(AND(ISNUMBER(E375),N(F375)&gt;E375),"Paid more than the price","")))))))</f>
        <v/>
      </c>
      <c r="L375" s="1">
        <f>IF(ISNUMBER(B375),YEAR(B375)*100+MONTH(B375),"")</f>
        <v/>
      </c>
      <c r="M375">
        <f>IF(AND(K375="",C375&lt;&gt;""),1,0)</f>
        <v/>
      </c>
      <c r="N375">
        <f>IF(AND(M375=1,ISNUMBER(G375)),INT(G375),0)</f>
        <v/>
      </c>
    </row>
    <row r="376">
      <c r="A376" s="1" t="n"/>
      <c r="B376" s="17" t="n"/>
      <c r="C376" s="19" t="n"/>
      <c r="D376" s="25" t="n"/>
      <c r="E376" s="26" t="n"/>
      <c r="F376" s="26" t="n"/>
      <c r="G376" s="17" t="n"/>
      <c r="H376" s="21" t="n"/>
      <c r="I376" s="16">
        <f>IF(OR(N(D376)&lt;=0,NOT(ISNUMBER(E376))),"",E376/D376)</f>
        <v/>
      </c>
      <c r="J376" s="16">
        <f>IF(OR(C376="",NOT(ISNUMBER(E376))),"",MAX(0,E376-N(F376)))</f>
        <v/>
      </c>
      <c r="K376" s="12">
        <f>IF(AND(C376="",D376="",E376=""),"",IF(NOT(ISNUMBER(B376)),"Needs a date",IF(C376="","Needs a client",IF(COUNTIF(Clients!$B$6:$B$105,C376)=0,"Not on Clients",IF(NOT(ISNUMBER(D376)),"Needs the sessions",IF(AND(E376&lt;&gt;"",NOT(ISNUMBER(E376))),"Price not a number",IF(AND(ISNUMBER(E376),N(F376)&gt;E376),"Paid more than the price","")))))))</f>
        <v/>
      </c>
      <c r="L376" s="1">
        <f>IF(ISNUMBER(B376),YEAR(B376)*100+MONTH(B376),"")</f>
        <v/>
      </c>
      <c r="M376">
        <f>IF(AND(K376="",C376&lt;&gt;""),1,0)</f>
        <v/>
      </c>
      <c r="N376">
        <f>IF(AND(M376=1,ISNUMBER(G376)),INT(G376),0)</f>
        <v/>
      </c>
    </row>
    <row r="377">
      <c r="A377" s="1" t="n"/>
      <c r="B377" s="17" t="n"/>
      <c r="C377" s="19" t="n"/>
      <c r="D377" s="25" t="n"/>
      <c r="E377" s="26" t="n"/>
      <c r="F377" s="26" t="n"/>
      <c r="G377" s="17" t="n"/>
      <c r="H377" s="21" t="n"/>
      <c r="I377" s="16">
        <f>IF(OR(N(D377)&lt;=0,NOT(ISNUMBER(E377))),"",E377/D377)</f>
        <v/>
      </c>
      <c r="J377" s="16">
        <f>IF(OR(C377="",NOT(ISNUMBER(E377))),"",MAX(0,E377-N(F377)))</f>
        <v/>
      </c>
      <c r="K377" s="12">
        <f>IF(AND(C377="",D377="",E377=""),"",IF(NOT(ISNUMBER(B377)),"Needs a date",IF(C377="","Needs a client",IF(COUNTIF(Clients!$B$6:$B$105,C377)=0,"Not on Clients",IF(NOT(ISNUMBER(D377)),"Needs the sessions",IF(AND(E377&lt;&gt;"",NOT(ISNUMBER(E377))),"Price not a number",IF(AND(ISNUMBER(E377),N(F377)&gt;E377),"Paid more than the price","")))))))</f>
        <v/>
      </c>
      <c r="L377" s="1">
        <f>IF(ISNUMBER(B377),YEAR(B377)*100+MONTH(B377),"")</f>
        <v/>
      </c>
      <c r="M377">
        <f>IF(AND(K377="",C377&lt;&gt;""),1,0)</f>
        <v/>
      </c>
      <c r="N377">
        <f>IF(AND(M377=1,ISNUMBER(G377)),INT(G377),0)</f>
        <v/>
      </c>
    </row>
    <row r="378">
      <c r="A378" s="1" t="n"/>
      <c r="B378" s="17" t="n"/>
      <c r="C378" s="19" t="n"/>
      <c r="D378" s="25" t="n"/>
      <c r="E378" s="26" t="n"/>
      <c r="F378" s="26" t="n"/>
      <c r="G378" s="17" t="n"/>
      <c r="H378" s="21" t="n"/>
      <c r="I378" s="16">
        <f>IF(OR(N(D378)&lt;=0,NOT(ISNUMBER(E378))),"",E378/D378)</f>
        <v/>
      </c>
      <c r="J378" s="16">
        <f>IF(OR(C378="",NOT(ISNUMBER(E378))),"",MAX(0,E378-N(F378)))</f>
        <v/>
      </c>
      <c r="K378" s="12">
        <f>IF(AND(C378="",D378="",E378=""),"",IF(NOT(ISNUMBER(B378)),"Needs a date",IF(C378="","Needs a client",IF(COUNTIF(Clients!$B$6:$B$105,C378)=0,"Not on Clients",IF(NOT(ISNUMBER(D378)),"Needs the sessions",IF(AND(E378&lt;&gt;"",NOT(ISNUMBER(E378))),"Price not a number",IF(AND(ISNUMBER(E378),N(F378)&gt;E378),"Paid more than the price","")))))))</f>
        <v/>
      </c>
      <c r="L378" s="1">
        <f>IF(ISNUMBER(B378),YEAR(B378)*100+MONTH(B378),"")</f>
        <v/>
      </c>
      <c r="M378">
        <f>IF(AND(K378="",C378&lt;&gt;""),1,0)</f>
        <v/>
      </c>
      <c r="N378">
        <f>IF(AND(M378=1,ISNUMBER(G378)),INT(G378),0)</f>
        <v/>
      </c>
    </row>
    <row r="379">
      <c r="A379" s="1" t="n"/>
      <c r="B379" s="17" t="n"/>
      <c r="C379" s="19" t="n"/>
      <c r="D379" s="25" t="n"/>
      <c r="E379" s="26" t="n"/>
      <c r="F379" s="26" t="n"/>
      <c r="G379" s="17" t="n"/>
      <c r="H379" s="21" t="n"/>
      <c r="I379" s="16">
        <f>IF(OR(N(D379)&lt;=0,NOT(ISNUMBER(E379))),"",E379/D379)</f>
        <v/>
      </c>
      <c r="J379" s="16">
        <f>IF(OR(C379="",NOT(ISNUMBER(E379))),"",MAX(0,E379-N(F379)))</f>
        <v/>
      </c>
      <c r="K379" s="12">
        <f>IF(AND(C379="",D379="",E379=""),"",IF(NOT(ISNUMBER(B379)),"Needs a date",IF(C379="","Needs a client",IF(COUNTIF(Clients!$B$6:$B$105,C379)=0,"Not on Clients",IF(NOT(ISNUMBER(D379)),"Needs the sessions",IF(AND(E379&lt;&gt;"",NOT(ISNUMBER(E379))),"Price not a number",IF(AND(ISNUMBER(E379),N(F379)&gt;E379),"Paid more than the price","")))))))</f>
        <v/>
      </c>
      <c r="L379" s="1">
        <f>IF(ISNUMBER(B379),YEAR(B379)*100+MONTH(B379),"")</f>
        <v/>
      </c>
      <c r="M379">
        <f>IF(AND(K379="",C379&lt;&gt;""),1,0)</f>
        <v/>
      </c>
      <c r="N379">
        <f>IF(AND(M379=1,ISNUMBER(G379)),INT(G379),0)</f>
        <v/>
      </c>
    </row>
    <row r="380">
      <c r="A380" s="1" t="n"/>
      <c r="B380" s="17" t="n"/>
      <c r="C380" s="19" t="n"/>
      <c r="D380" s="25" t="n"/>
      <c r="E380" s="26" t="n"/>
      <c r="F380" s="26" t="n"/>
      <c r="G380" s="17" t="n"/>
      <c r="H380" s="21" t="n"/>
      <c r="I380" s="16">
        <f>IF(OR(N(D380)&lt;=0,NOT(ISNUMBER(E380))),"",E380/D380)</f>
        <v/>
      </c>
      <c r="J380" s="16">
        <f>IF(OR(C380="",NOT(ISNUMBER(E380))),"",MAX(0,E380-N(F380)))</f>
        <v/>
      </c>
      <c r="K380" s="12">
        <f>IF(AND(C380="",D380="",E380=""),"",IF(NOT(ISNUMBER(B380)),"Needs a date",IF(C380="","Needs a client",IF(COUNTIF(Clients!$B$6:$B$105,C380)=0,"Not on Clients",IF(NOT(ISNUMBER(D380)),"Needs the sessions",IF(AND(E380&lt;&gt;"",NOT(ISNUMBER(E380))),"Price not a number",IF(AND(ISNUMBER(E380),N(F380)&gt;E380),"Paid more than the price","")))))))</f>
        <v/>
      </c>
      <c r="L380" s="1">
        <f>IF(ISNUMBER(B380),YEAR(B380)*100+MONTH(B380),"")</f>
        <v/>
      </c>
      <c r="M380">
        <f>IF(AND(K380="",C380&lt;&gt;""),1,0)</f>
        <v/>
      </c>
      <c r="N380">
        <f>IF(AND(M380=1,ISNUMBER(G380)),INT(G380),0)</f>
        <v/>
      </c>
    </row>
    <row r="381">
      <c r="A381" s="1" t="n"/>
      <c r="B381" s="17" t="n"/>
      <c r="C381" s="19" t="n"/>
      <c r="D381" s="25" t="n"/>
      <c r="E381" s="26" t="n"/>
      <c r="F381" s="26" t="n"/>
      <c r="G381" s="17" t="n"/>
      <c r="H381" s="21" t="n"/>
      <c r="I381" s="16">
        <f>IF(OR(N(D381)&lt;=0,NOT(ISNUMBER(E381))),"",E381/D381)</f>
        <v/>
      </c>
      <c r="J381" s="16">
        <f>IF(OR(C381="",NOT(ISNUMBER(E381))),"",MAX(0,E381-N(F381)))</f>
        <v/>
      </c>
      <c r="K381" s="12">
        <f>IF(AND(C381="",D381="",E381=""),"",IF(NOT(ISNUMBER(B381)),"Needs a date",IF(C381="","Needs a client",IF(COUNTIF(Clients!$B$6:$B$105,C381)=0,"Not on Clients",IF(NOT(ISNUMBER(D381)),"Needs the sessions",IF(AND(E381&lt;&gt;"",NOT(ISNUMBER(E381))),"Price not a number",IF(AND(ISNUMBER(E381),N(F381)&gt;E381),"Paid more than the price","")))))))</f>
        <v/>
      </c>
      <c r="L381" s="1">
        <f>IF(ISNUMBER(B381),YEAR(B381)*100+MONTH(B381),"")</f>
        <v/>
      </c>
      <c r="M381">
        <f>IF(AND(K381="",C381&lt;&gt;""),1,0)</f>
        <v/>
      </c>
      <c r="N381">
        <f>IF(AND(M381=1,ISNUMBER(G381)),INT(G381),0)</f>
        <v/>
      </c>
    </row>
    <row r="382">
      <c r="A382" s="1" t="n"/>
      <c r="B382" s="17" t="n"/>
      <c r="C382" s="19" t="n"/>
      <c r="D382" s="25" t="n"/>
      <c r="E382" s="26" t="n"/>
      <c r="F382" s="26" t="n"/>
      <c r="G382" s="17" t="n"/>
      <c r="H382" s="21" t="n"/>
      <c r="I382" s="16">
        <f>IF(OR(N(D382)&lt;=0,NOT(ISNUMBER(E382))),"",E382/D382)</f>
        <v/>
      </c>
      <c r="J382" s="16">
        <f>IF(OR(C382="",NOT(ISNUMBER(E382))),"",MAX(0,E382-N(F382)))</f>
        <v/>
      </c>
      <c r="K382" s="12">
        <f>IF(AND(C382="",D382="",E382=""),"",IF(NOT(ISNUMBER(B382)),"Needs a date",IF(C382="","Needs a client",IF(COUNTIF(Clients!$B$6:$B$105,C382)=0,"Not on Clients",IF(NOT(ISNUMBER(D382)),"Needs the sessions",IF(AND(E382&lt;&gt;"",NOT(ISNUMBER(E382))),"Price not a number",IF(AND(ISNUMBER(E382),N(F382)&gt;E382),"Paid more than the price","")))))))</f>
        <v/>
      </c>
      <c r="L382" s="1">
        <f>IF(ISNUMBER(B382),YEAR(B382)*100+MONTH(B382),"")</f>
        <v/>
      </c>
      <c r="M382">
        <f>IF(AND(K382="",C382&lt;&gt;""),1,0)</f>
        <v/>
      </c>
      <c r="N382">
        <f>IF(AND(M382=1,ISNUMBER(G382)),INT(G382),0)</f>
        <v/>
      </c>
    </row>
    <row r="383">
      <c r="A383" s="1" t="n"/>
      <c r="B383" s="17" t="n"/>
      <c r="C383" s="19" t="n"/>
      <c r="D383" s="25" t="n"/>
      <c r="E383" s="26" t="n"/>
      <c r="F383" s="26" t="n"/>
      <c r="G383" s="17" t="n"/>
      <c r="H383" s="21" t="n"/>
      <c r="I383" s="16">
        <f>IF(OR(N(D383)&lt;=0,NOT(ISNUMBER(E383))),"",E383/D383)</f>
        <v/>
      </c>
      <c r="J383" s="16">
        <f>IF(OR(C383="",NOT(ISNUMBER(E383))),"",MAX(0,E383-N(F383)))</f>
        <v/>
      </c>
      <c r="K383" s="12">
        <f>IF(AND(C383="",D383="",E383=""),"",IF(NOT(ISNUMBER(B383)),"Needs a date",IF(C383="","Needs a client",IF(COUNTIF(Clients!$B$6:$B$105,C383)=0,"Not on Clients",IF(NOT(ISNUMBER(D383)),"Needs the sessions",IF(AND(E383&lt;&gt;"",NOT(ISNUMBER(E383))),"Price not a number",IF(AND(ISNUMBER(E383),N(F383)&gt;E383),"Paid more than the price","")))))))</f>
        <v/>
      </c>
      <c r="L383" s="1">
        <f>IF(ISNUMBER(B383),YEAR(B383)*100+MONTH(B383),"")</f>
        <v/>
      </c>
      <c r="M383">
        <f>IF(AND(K383="",C383&lt;&gt;""),1,0)</f>
        <v/>
      </c>
      <c r="N383">
        <f>IF(AND(M383=1,ISNUMBER(G383)),INT(G383),0)</f>
        <v/>
      </c>
    </row>
    <row r="384">
      <c r="A384" s="1" t="n"/>
      <c r="B384" s="17" t="n"/>
      <c r="C384" s="19" t="n"/>
      <c r="D384" s="25" t="n"/>
      <c r="E384" s="26" t="n"/>
      <c r="F384" s="26" t="n"/>
      <c r="G384" s="17" t="n"/>
      <c r="H384" s="21" t="n"/>
      <c r="I384" s="16">
        <f>IF(OR(N(D384)&lt;=0,NOT(ISNUMBER(E384))),"",E384/D384)</f>
        <v/>
      </c>
      <c r="J384" s="16">
        <f>IF(OR(C384="",NOT(ISNUMBER(E384))),"",MAX(0,E384-N(F384)))</f>
        <v/>
      </c>
      <c r="K384" s="12">
        <f>IF(AND(C384="",D384="",E384=""),"",IF(NOT(ISNUMBER(B384)),"Needs a date",IF(C384="","Needs a client",IF(COUNTIF(Clients!$B$6:$B$105,C384)=0,"Not on Clients",IF(NOT(ISNUMBER(D384)),"Needs the sessions",IF(AND(E384&lt;&gt;"",NOT(ISNUMBER(E384))),"Price not a number",IF(AND(ISNUMBER(E384),N(F384)&gt;E384),"Paid more than the price","")))))))</f>
        <v/>
      </c>
      <c r="L384" s="1">
        <f>IF(ISNUMBER(B384),YEAR(B384)*100+MONTH(B384),"")</f>
        <v/>
      </c>
      <c r="M384">
        <f>IF(AND(K384="",C384&lt;&gt;""),1,0)</f>
        <v/>
      </c>
      <c r="N384">
        <f>IF(AND(M384=1,ISNUMBER(G384)),INT(G384),0)</f>
        <v/>
      </c>
    </row>
    <row r="385">
      <c r="A385" s="1" t="n"/>
      <c r="B385" s="17" t="n"/>
      <c r="C385" s="19" t="n"/>
      <c r="D385" s="25" t="n"/>
      <c r="E385" s="26" t="n"/>
      <c r="F385" s="26" t="n"/>
      <c r="G385" s="17" t="n"/>
      <c r="H385" s="21" t="n"/>
      <c r="I385" s="16">
        <f>IF(OR(N(D385)&lt;=0,NOT(ISNUMBER(E385))),"",E385/D385)</f>
        <v/>
      </c>
      <c r="J385" s="16">
        <f>IF(OR(C385="",NOT(ISNUMBER(E385))),"",MAX(0,E385-N(F385)))</f>
        <v/>
      </c>
      <c r="K385" s="12">
        <f>IF(AND(C385="",D385="",E385=""),"",IF(NOT(ISNUMBER(B385)),"Needs a date",IF(C385="","Needs a client",IF(COUNTIF(Clients!$B$6:$B$105,C385)=0,"Not on Clients",IF(NOT(ISNUMBER(D385)),"Needs the sessions",IF(AND(E385&lt;&gt;"",NOT(ISNUMBER(E385))),"Price not a number",IF(AND(ISNUMBER(E385),N(F385)&gt;E385),"Paid more than the price","")))))))</f>
        <v/>
      </c>
      <c r="L385" s="1">
        <f>IF(ISNUMBER(B385),YEAR(B385)*100+MONTH(B385),"")</f>
        <v/>
      </c>
      <c r="M385">
        <f>IF(AND(K385="",C385&lt;&gt;""),1,0)</f>
        <v/>
      </c>
      <c r="N385">
        <f>IF(AND(M385=1,ISNUMBER(G385)),INT(G385),0)</f>
        <v/>
      </c>
    </row>
    <row r="386">
      <c r="A386" s="1" t="n"/>
      <c r="B386" s="17" t="n"/>
      <c r="C386" s="19" t="n"/>
      <c r="D386" s="25" t="n"/>
      <c r="E386" s="26" t="n"/>
      <c r="F386" s="26" t="n"/>
      <c r="G386" s="17" t="n"/>
      <c r="H386" s="21" t="n"/>
      <c r="I386" s="16">
        <f>IF(OR(N(D386)&lt;=0,NOT(ISNUMBER(E386))),"",E386/D386)</f>
        <v/>
      </c>
      <c r="J386" s="16">
        <f>IF(OR(C386="",NOT(ISNUMBER(E386))),"",MAX(0,E386-N(F386)))</f>
        <v/>
      </c>
      <c r="K386" s="12">
        <f>IF(AND(C386="",D386="",E386=""),"",IF(NOT(ISNUMBER(B386)),"Needs a date",IF(C386="","Needs a client",IF(COUNTIF(Clients!$B$6:$B$105,C386)=0,"Not on Clients",IF(NOT(ISNUMBER(D386)),"Needs the sessions",IF(AND(E386&lt;&gt;"",NOT(ISNUMBER(E386))),"Price not a number",IF(AND(ISNUMBER(E386),N(F386)&gt;E386),"Paid more than the price","")))))))</f>
        <v/>
      </c>
      <c r="L386" s="1">
        <f>IF(ISNUMBER(B386),YEAR(B386)*100+MONTH(B386),"")</f>
        <v/>
      </c>
      <c r="M386">
        <f>IF(AND(K386="",C386&lt;&gt;""),1,0)</f>
        <v/>
      </c>
      <c r="N386">
        <f>IF(AND(M386=1,ISNUMBER(G386)),INT(G386),0)</f>
        <v/>
      </c>
    </row>
    <row r="387">
      <c r="A387" s="1" t="n"/>
      <c r="B387" s="17" t="n"/>
      <c r="C387" s="19" t="n"/>
      <c r="D387" s="25" t="n"/>
      <c r="E387" s="26" t="n"/>
      <c r="F387" s="26" t="n"/>
      <c r="G387" s="17" t="n"/>
      <c r="H387" s="21" t="n"/>
      <c r="I387" s="16">
        <f>IF(OR(N(D387)&lt;=0,NOT(ISNUMBER(E387))),"",E387/D387)</f>
        <v/>
      </c>
      <c r="J387" s="16">
        <f>IF(OR(C387="",NOT(ISNUMBER(E387))),"",MAX(0,E387-N(F387)))</f>
        <v/>
      </c>
      <c r="K387" s="12">
        <f>IF(AND(C387="",D387="",E387=""),"",IF(NOT(ISNUMBER(B387)),"Needs a date",IF(C387="","Needs a client",IF(COUNTIF(Clients!$B$6:$B$105,C387)=0,"Not on Clients",IF(NOT(ISNUMBER(D387)),"Needs the sessions",IF(AND(E387&lt;&gt;"",NOT(ISNUMBER(E387))),"Price not a number",IF(AND(ISNUMBER(E387),N(F387)&gt;E387),"Paid more than the price","")))))))</f>
        <v/>
      </c>
      <c r="L387" s="1">
        <f>IF(ISNUMBER(B387),YEAR(B387)*100+MONTH(B387),"")</f>
        <v/>
      </c>
      <c r="M387">
        <f>IF(AND(K387="",C387&lt;&gt;""),1,0)</f>
        <v/>
      </c>
      <c r="N387">
        <f>IF(AND(M387=1,ISNUMBER(G387)),INT(G387),0)</f>
        <v/>
      </c>
    </row>
    <row r="388">
      <c r="A388" s="1" t="n"/>
      <c r="B388" s="17" t="n"/>
      <c r="C388" s="19" t="n"/>
      <c r="D388" s="25" t="n"/>
      <c r="E388" s="26" t="n"/>
      <c r="F388" s="26" t="n"/>
      <c r="G388" s="17" t="n"/>
      <c r="H388" s="21" t="n"/>
      <c r="I388" s="16">
        <f>IF(OR(N(D388)&lt;=0,NOT(ISNUMBER(E388))),"",E388/D388)</f>
        <v/>
      </c>
      <c r="J388" s="16">
        <f>IF(OR(C388="",NOT(ISNUMBER(E388))),"",MAX(0,E388-N(F388)))</f>
        <v/>
      </c>
      <c r="K388" s="12">
        <f>IF(AND(C388="",D388="",E388=""),"",IF(NOT(ISNUMBER(B388)),"Needs a date",IF(C388="","Needs a client",IF(COUNTIF(Clients!$B$6:$B$105,C388)=0,"Not on Clients",IF(NOT(ISNUMBER(D388)),"Needs the sessions",IF(AND(E388&lt;&gt;"",NOT(ISNUMBER(E388))),"Price not a number",IF(AND(ISNUMBER(E388),N(F388)&gt;E388),"Paid more than the price","")))))))</f>
        <v/>
      </c>
      <c r="L388" s="1">
        <f>IF(ISNUMBER(B388),YEAR(B388)*100+MONTH(B388),"")</f>
        <v/>
      </c>
      <c r="M388">
        <f>IF(AND(K388="",C388&lt;&gt;""),1,0)</f>
        <v/>
      </c>
      <c r="N388">
        <f>IF(AND(M388=1,ISNUMBER(G388)),INT(G388),0)</f>
        <v/>
      </c>
    </row>
    <row r="389">
      <c r="A389" s="1" t="n"/>
      <c r="B389" s="17" t="n"/>
      <c r="C389" s="19" t="n"/>
      <c r="D389" s="25" t="n"/>
      <c r="E389" s="26" t="n"/>
      <c r="F389" s="26" t="n"/>
      <c r="G389" s="17" t="n"/>
      <c r="H389" s="21" t="n"/>
      <c r="I389" s="16">
        <f>IF(OR(N(D389)&lt;=0,NOT(ISNUMBER(E389))),"",E389/D389)</f>
        <v/>
      </c>
      <c r="J389" s="16">
        <f>IF(OR(C389="",NOT(ISNUMBER(E389))),"",MAX(0,E389-N(F389)))</f>
        <v/>
      </c>
      <c r="K389" s="12">
        <f>IF(AND(C389="",D389="",E389=""),"",IF(NOT(ISNUMBER(B389)),"Needs a date",IF(C389="","Needs a client",IF(COUNTIF(Clients!$B$6:$B$105,C389)=0,"Not on Clients",IF(NOT(ISNUMBER(D389)),"Needs the sessions",IF(AND(E389&lt;&gt;"",NOT(ISNUMBER(E389))),"Price not a number",IF(AND(ISNUMBER(E389),N(F389)&gt;E389),"Paid more than the price","")))))))</f>
        <v/>
      </c>
      <c r="L389" s="1">
        <f>IF(ISNUMBER(B389),YEAR(B389)*100+MONTH(B389),"")</f>
        <v/>
      </c>
      <c r="M389">
        <f>IF(AND(K389="",C389&lt;&gt;""),1,0)</f>
        <v/>
      </c>
      <c r="N389">
        <f>IF(AND(M389=1,ISNUMBER(G389)),INT(G389),0)</f>
        <v/>
      </c>
    </row>
    <row r="390">
      <c r="A390" s="1" t="n"/>
      <c r="B390" s="17" t="n"/>
      <c r="C390" s="19" t="n"/>
      <c r="D390" s="25" t="n"/>
      <c r="E390" s="26" t="n"/>
      <c r="F390" s="26" t="n"/>
      <c r="G390" s="17" t="n"/>
      <c r="H390" s="21" t="n"/>
      <c r="I390" s="16">
        <f>IF(OR(N(D390)&lt;=0,NOT(ISNUMBER(E390))),"",E390/D390)</f>
        <v/>
      </c>
      <c r="J390" s="16">
        <f>IF(OR(C390="",NOT(ISNUMBER(E390))),"",MAX(0,E390-N(F390)))</f>
        <v/>
      </c>
      <c r="K390" s="12">
        <f>IF(AND(C390="",D390="",E390=""),"",IF(NOT(ISNUMBER(B390)),"Needs a date",IF(C390="","Needs a client",IF(COUNTIF(Clients!$B$6:$B$105,C390)=0,"Not on Clients",IF(NOT(ISNUMBER(D390)),"Needs the sessions",IF(AND(E390&lt;&gt;"",NOT(ISNUMBER(E390))),"Price not a number",IF(AND(ISNUMBER(E390),N(F390)&gt;E390),"Paid more than the price","")))))))</f>
        <v/>
      </c>
      <c r="L390" s="1">
        <f>IF(ISNUMBER(B390),YEAR(B390)*100+MONTH(B390),"")</f>
        <v/>
      </c>
      <c r="M390">
        <f>IF(AND(K390="",C390&lt;&gt;""),1,0)</f>
        <v/>
      </c>
      <c r="N390">
        <f>IF(AND(M390=1,ISNUMBER(G390)),INT(G390),0)</f>
        <v/>
      </c>
    </row>
    <row r="391">
      <c r="A391" s="1" t="n"/>
      <c r="B391" s="17" t="n"/>
      <c r="C391" s="19" t="n"/>
      <c r="D391" s="25" t="n"/>
      <c r="E391" s="26" t="n"/>
      <c r="F391" s="26" t="n"/>
      <c r="G391" s="17" t="n"/>
      <c r="H391" s="21" t="n"/>
      <c r="I391" s="16">
        <f>IF(OR(N(D391)&lt;=0,NOT(ISNUMBER(E391))),"",E391/D391)</f>
        <v/>
      </c>
      <c r="J391" s="16">
        <f>IF(OR(C391="",NOT(ISNUMBER(E391))),"",MAX(0,E391-N(F391)))</f>
        <v/>
      </c>
      <c r="K391" s="12">
        <f>IF(AND(C391="",D391="",E391=""),"",IF(NOT(ISNUMBER(B391)),"Needs a date",IF(C391="","Needs a client",IF(COUNTIF(Clients!$B$6:$B$105,C391)=0,"Not on Clients",IF(NOT(ISNUMBER(D391)),"Needs the sessions",IF(AND(E391&lt;&gt;"",NOT(ISNUMBER(E391))),"Price not a number",IF(AND(ISNUMBER(E391),N(F391)&gt;E391),"Paid more than the price","")))))))</f>
        <v/>
      </c>
      <c r="L391" s="1">
        <f>IF(ISNUMBER(B391),YEAR(B391)*100+MONTH(B391),"")</f>
        <v/>
      </c>
      <c r="M391">
        <f>IF(AND(K391="",C391&lt;&gt;""),1,0)</f>
        <v/>
      </c>
      <c r="N391">
        <f>IF(AND(M391=1,ISNUMBER(G391)),INT(G391),0)</f>
        <v/>
      </c>
    </row>
    <row r="392">
      <c r="A392" s="1" t="n"/>
      <c r="B392" s="17" t="n"/>
      <c r="C392" s="19" t="n"/>
      <c r="D392" s="25" t="n"/>
      <c r="E392" s="26" t="n"/>
      <c r="F392" s="26" t="n"/>
      <c r="G392" s="17" t="n"/>
      <c r="H392" s="21" t="n"/>
      <c r="I392" s="16">
        <f>IF(OR(N(D392)&lt;=0,NOT(ISNUMBER(E392))),"",E392/D392)</f>
        <v/>
      </c>
      <c r="J392" s="16">
        <f>IF(OR(C392="",NOT(ISNUMBER(E392))),"",MAX(0,E392-N(F392)))</f>
        <v/>
      </c>
      <c r="K392" s="12">
        <f>IF(AND(C392="",D392="",E392=""),"",IF(NOT(ISNUMBER(B392)),"Needs a date",IF(C392="","Needs a client",IF(COUNTIF(Clients!$B$6:$B$105,C392)=0,"Not on Clients",IF(NOT(ISNUMBER(D392)),"Needs the sessions",IF(AND(E392&lt;&gt;"",NOT(ISNUMBER(E392))),"Price not a number",IF(AND(ISNUMBER(E392),N(F392)&gt;E392),"Paid more than the price","")))))))</f>
        <v/>
      </c>
      <c r="L392" s="1">
        <f>IF(ISNUMBER(B392),YEAR(B392)*100+MONTH(B392),"")</f>
        <v/>
      </c>
      <c r="M392">
        <f>IF(AND(K392="",C392&lt;&gt;""),1,0)</f>
        <v/>
      </c>
      <c r="N392">
        <f>IF(AND(M392=1,ISNUMBER(G392)),INT(G392),0)</f>
        <v/>
      </c>
    </row>
    <row r="393">
      <c r="A393" s="1" t="n"/>
      <c r="B393" s="17" t="n"/>
      <c r="C393" s="19" t="n"/>
      <c r="D393" s="25" t="n"/>
      <c r="E393" s="26" t="n"/>
      <c r="F393" s="26" t="n"/>
      <c r="G393" s="17" t="n"/>
      <c r="H393" s="21" t="n"/>
      <c r="I393" s="16">
        <f>IF(OR(N(D393)&lt;=0,NOT(ISNUMBER(E393))),"",E393/D393)</f>
        <v/>
      </c>
      <c r="J393" s="16">
        <f>IF(OR(C393="",NOT(ISNUMBER(E393))),"",MAX(0,E393-N(F393)))</f>
        <v/>
      </c>
      <c r="K393" s="12">
        <f>IF(AND(C393="",D393="",E393=""),"",IF(NOT(ISNUMBER(B393)),"Needs a date",IF(C393="","Needs a client",IF(COUNTIF(Clients!$B$6:$B$105,C393)=0,"Not on Clients",IF(NOT(ISNUMBER(D393)),"Needs the sessions",IF(AND(E393&lt;&gt;"",NOT(ISNUMBER(E393))),"Price not a number",IF(AND(ISNUMBER(E393),N(F393)&gt;E393),"Paid more than the price","")))))))</f>
        <v/>
      </c>
      <c r="L393" s="1">
        <f>IF(ISNUMBER(B393),YEAR(B393)*100+MONTH(B393),"")</f>
        <v/>
      </c>
      <c r="M393">
        <f>IF(AND(K393="",C393&lt;&gt;""),1,0)</f>
        <v/>
      </c>
      <c r="N393">
        <f>IF(AND(M393=1,ISNUMBER(G393)),INT(G393),0)</f>
        <v/>
      </c>
    </row>
    <row r="394">
      <c r="A394" s="1" t="n"/>
      <c r="B394" s="17" t="n"/>
      <c r="C394" s="19" t="n"/>
      <c r="D394" s="25" t="n"/>
      <c r="E394" s="26" t="n"/>
      <c r="F394" s="26" t="n"/>
      <c r="G394" s="17" t="n"/>
      <c r="H394" s="21" t="n"/>
      <c r="I394" s="16">
        <f>IF(OR(N(D394)&lt;=0,NOT(ISNUMBER(E394))),"",E394/D394)</f>
        <v/>
      </c>
      <c r="J394" s="16">
        <f>IF(OR(C394="",NOT(ISNUMBER(E394))),"",MAX(0,E394-N(F394)))</f>
        <v/>
      </c>
      <c r="K394" s="12">
        <f>IF(AND(C394="",D394="",E394=""),"",IF(NOT(ISNUMBER(B394)),"Needs a date",IF(C394="","Needs a client",IF(COUNTIF(Clients!$B$6:$B$105,C394)=0,"Not on Clients",IF(NOT(ISNUMBER(D394)),"Needs the sessions",IF(AND(E394&lt;&gt;"",NOT(ISNUMBER(E394))),"Price not a number",IF(AND(ISNUMBER(E394),N(F394)&gt;E394),"Paid more than the price","")))))))</f>
        <v/>
      </c>
      <c r="L394" s="1">
        <f>IF(ISNUMBER(B394),YEAR(B394)*100+MONTH(B394),"")</f>
        <v/>
      </c>
      <c r="M394">
        <f>IF(AND(K394="",C394&lt;&gt;""),1,0)</f>
        <v/>
      </c>
      <c r="N394">
        <f>IF(AND(M394=1,ISNUMBER(G394)),INT(G394),0)</f>
        <v/>
      </c>
    </row>
    <row r="395">
      <c r="A395" s="1" t="n"/>
      <c r="B395" s="17" t="n"/>
      <c r="C395" s="19" t="n"/>
      <c r="D395" s="25" t="n"/>
      <c r="E395" s="26" t="n"/>
      <c r="F395" s="26" t="n"/>
      <c r="G395" s="17" t="n"/>
      <c r="H395" s="21" t="n"/>
      <c r="I395" s="16">
        <f>IF(OR(N(D395)&lt;=0,NOT(ISNUMBER(E395))),"",E395/D395)</f>
        <v/>
      </c>
      <c r="J395" s="16">
        <f>IF(OR(C395="",NOT(ISNUMBER(E395))),"",MAX(0,E395-N(F395)))</f>
        <v/>
      </c>
      <c r="K395" s="12">
        <f>IF(AND(C395="",D395="",E395=""),"",IF(NOT(ISNUMBER(B395)),"Needs a date",IF(C395="","Needs a client",IF(COUNTIF(Clients!$B$6:$B$105,C395)=0,"Not on Clients",IF(NOT(ISNUMBER(D395)),"Needs the sessions",IF(AND(E395&lt;&gt;"",NOT(ISNUMBER(E395))),"Price not a number",IF(AND(ISNUMBER(E395),N(F395)&gt;E395),"Paid more than the price","")))))))</f>
        <v/>
      </c>
      <c r="L395" s="1">
        <f>IF(ISNUMBER(B395),YEAR(B395)*100+MONTH(B395),"")</f>
        <v/>
      </c>
      <c r="M395">
        <f>IF(AND(K395="",C395&lt;&gt;""),1,0)</f>
        <v/>
      </c>
      <c r="N395">
        <f>IF(AND(M395=1,ISNUMBER(G395)),INT(G395),0)</f>
        <v/>
      </c>
    </row>
    <row r="396">
      <c r="A396" s="1" t="n"/>
      <c r="B396" s="17" t="n"/>
      <c r="C396" s="19" t="n"/>
      <c r="D396" s="25" t="n"/>
      <c r="E396" s="26" t="n"/>
      <c r="F396" s="26" t="n"/>
      <c r="G396" s="17" t="n"/>
      <c r="H396" s="21" t="n"/>
      <c r="I396" s="16">
        <f>IF(OR(N(D396)&lt;=0,NOT(ISNUMBER(E396))),"",E396/D396)</f>
        <v/>
      </c>
      <c r="J396" s="16">
        <f>IF(OR(C396="",NOT(ISNUMBER(E396))),"",MAX(0,E396-N(F396)))</f>
        <v/>
      </c>
      <c r="K396" s="12">
        <f>IF(AND(C396="",D396="",E396=""),"",IF(NOT(ISNUMBER(B396)),"Needs a date",IF(C396="","Needs a client",IF(COUNTIF(Clients!$B$6:$B$105,C396)=0,"Not on Clients",IF(NOT(ISNUMBER(D396)),"Needs the sessions",IF(AND(E396&lt;&gt;"",NOT(ISNUMBER(E396))),"Price not a number",IF(AND(ISNUMBER(E396),N(F396)&gt;E396),"Paid more than the price","")))))))</f>
        <v/>
      </c>
      <c r="L396" s="1">
        <f>IF(ISNUMBER(B396),YEAR(B396)*100+MONTH(B396),"")</f>
        <v/>
      </c>
      <c r="M396">
        <f>IF(AND(K396="",C396&lt;&gt;""),1,0)</f>
        <v/>
      </c>
      <c r="N396">
        <f>IF(AND(M396=1,ISNUMBER(G396)),INT(G396),0)</f>
        <v/>
      </c>
    </row>
    <row r="397">
      <c r="A397" s="1" t="n"/>
      <c r="B397" s="17" t="n"/>
      <c r="C397" s="19" t="n"/>
      <c r="D397" s="25" t="n"/>
      <c r="E397" s="26" t="n"/>
      <c r="F397" s="26" t="n"/>
      <c r="G397" s="17" t="n"/>
      <c r="H397" s="21" t="n"/>
      <c r="I397" s="16">
        <f>IF(OR(N(D397)&lt;=0,NOT(ISNUMBER(E397))),"",E397/D397)</f>
        <v/>
      </c>
      <c r="J397" s="16">
        <f>IF(OR(C397="",NOT(ISNUMBER(E397))),"",MAX(0,E397-N(F397)))</f>
        <v/>
      </c>
      <c r="K397" s="12">
        <f>IF(AND(C397="",D397="",E397=""),"",IF(NOT(ISNUMBER(B397)),"Needs a date",IF(C397="","Needs a client",IF(COUNTIF(Clients!$B$6:$B$105,C397)=0,"Not on Clients",IF(NOT(ISNUMBER(D397)),"Needs the sessions",IF(AND(E397&lt;&gt;"",NOT(ISNUMBER(E397))),"Price not a number",IF(AND(ISNUMBER(E397),N(F397)&gt;E397),"Paid more than the price","")))))))</f>
        <v/>
      </c>
      <c r="L397" s="1">
        <f>IF(ISNUMBER(B397),YEAR(B397)*100+MONTH(B397),"")</f>
        <v/>
      </c>
      <c r="M397">
        <f>IF(AND(K397="",C397&lt;&gt;""),1,0)</f>
        <v/>
      </c>
      <c r="N397">
        <f>IF(AND(M397=1,ISNUMBER(G397)),INT(G397),0)</f>
        <v/>
      </c>
    </row>
    <row r="398">
      <c r="A398" s="1" t="n"/>
      <c r="B398" s="17" t="n"/>
      <c r="C398" s="19" t="n"/>
      <c r="D398" s="25" t="n"/>
      <c r="E398" s="26" t="n"/>
      <c r="F398" s="26" t="n"/>
      <c r="G398" s="17" t="n"/>
      <c r="H398" s="21" t="n"/>
      <c r="I398" s="16">
        <f>IF(OR(N(D398)&lt;=0,NOT(ISNUMBER(E398))),"",E398/D398)</f>
        <v/>
      </c>
      <c r="J398" s="16">
        <f>IF(OR(C398="",NOT(ISNUMBER(E398))),"",MAX(0,E398-N(F398)))</f>
        <v/>
      </c>
      <c r="K398" s="12">
        <f>IF(AND(C398="",D398="",E398=""),"",IF(NOT(ISNUMBER(B398)),"Needs a date",IF(C398="","Needs a client",IF(COUNTIF(Clients!$B$6:$B$105,C398)=0,"Not on Clients",IF(NOT(ISNUMBER(D398)),"Needs the sessions",IF(AND(E398&lt;&gt;"",NOT(ISNUMBER(E398))),"Price not a number",IF(AND(ISNUMBER(E398),N(F398)&gt;E398),"Paid more than the price","")))))))</f>
        <v/>
      </c>
      <c r="L398" s="1">
        <f>IF(ISNUMBER(B398),YEAR(B398)*100+MONTH(B398),"")</f>
        <v/>
      </c>
      <c r="M398">
        <f>IF(AND(K398="",C398&lt;&gt;""),1,0)</f>
        <v/>
      </c>
      <c r="N398">
        <f>IF(AND(M398=1,ISNUMBER(G398)),INT(G398),0)</f>
        <v/>
      </c>
    </row>
    <row r="399">
      <c r="A399" s="1" t="n"/>
      <c r="B399" s="17" t="n"/>
      <c r="C399" s="19" t="n"/>
      <c r="D399" s="25" t="n"/>
      <c r="E399" s="26" t="n"/>
      <c r="F399" s="26" t="n"/>
      <c r="G399" s="17" t="n"/>
      <c r="H399" s="21" t="n"/>
      <c r="I399" s="16">
        <f>IF(OR(N(D399)&lt;=0,NOT(ISNUMBER(E399))),"",E399/D399)</f>
        <v/>
      </c>
      <c r="J399" s="16">
        <f>IF(OR(C399="",NOT(ISNUMBER(E399))),"",MAX(0,E399-N(F399)))</f>
        <v/>
      </c>
      <c r="K399" s="12">
        <f>IF(AND(C399="",D399="",E399=""),"",IF(NOT(ISNUMBER(B399)),"Needs a date",IF(C399="","Needs a client",IF(COUNTIF(Clients!$B$6:$B$105,C399)=0,"Not on Clients",IF(NOT(ISNUMBER(D399)),"Needs the sessions",IF(AND(E399&lt;&gt;"",NOT(ISNUMBER(E399))),"Price not a number",IF(AND(ISNUMBER(E399),N(F399)&gt;E399),"Paid more than the price","")))))))</f>
        <v/>
      </c>
      <c r="L399" s="1">
        <f>IF(ISNUMBER(B399),YEAR(B399)*100+MONTH(B399),"")</f>
        <v/>
      </c>
      <c r="M399">
        <f>IF(AND(K399="",C399&lt;&gt;""),1,0)</f>
        <v/>
      </c>
      <c r="N399">
        <f>IF(AND(M399=1,ISNUMBER(G399)),INT(G399),0)</f>
        <v/>
      </c>
    </row>
    <row r="400">
      <c r="A400" s="1" t="n"/>
      <c r="B400" s="17" t="n"/>
      <c r="C400" s="19" t="n"/>
      <c r="D400" s="25" t="n"/>
      <c r="E400" s="26" t="n"/>
      <c r="F400" s="26" t="n"/>
      <c r="G400" s="17" t="n"/>
      <c r="H400" s="21" t="n"/>
      <c r="I400" s="16">
        <f>IF(OR(N(D400)&lt;=0,NOT(ISNUMBER(E400))),"",E400/D400)</f>
        <v/>
      </c>
      <c r="J400" s="16">
        <f>IF(OR(C400="",NOT(ISNUMBER(E400))),"",MAX(0,E400-N(F400)))</f>
        <v/>
      </c>
      <c r="K400" s="12">
        <f>IF(AND(C400="",D400="",E400=""),"",IF(NOT(ISNUMBER(B400)),"Needs a date",IF(C400="","Needs a client",IF(COUNTIF(Clients!$B$6:$B$105,C400)=0,"Not on Clients",IF(NOT(ISNUMBER(D400)),"Needs the sessions",IF(AND(E400&lt;&gt;"",NOT(ISNUMBER(E400))),"Price not a number",IF(AND(ISNUMBER(E400),N(F400)&gt;E400),"Paid more than the price","")))))))</f>
        <v/>
      </c>
      <c r="L400" s="1">
        <f>IF(ISNUMBER(B400),YEAR(B400)*100+MONTH(B400),"")</f>
        <v/>
      </c>
      <c r="M400">
        <f>IF(AND(K400="",C400&lt;&gt;""),1,0)</f>
        <v/>
      </c>
      <c r="N400">
        <f>IF(AND(M400=1,ISNUMBER(G400)),INT(G400),0)</f>
        <v/>
      </c>
    </row>
    <row r="401">
      <c r="A401" s="1" t="n"/>
      <c r="B401" s="17" t="n"/>
      <c r="C401" s="19" t="n"/>
      <c r="D401" s="25" t="n"/>
      <c r="E401" s="26" t="n"/>
      <c r="F401" s="26" t="n"/>
      <c r="G401" s="17" t="n"/>
      <c r="H401" s="21" t="n"/>
      <c r="I401" s="16">
        <f>IF(OR(N(D401)&lt;=0,NOT(ISNUMBER(E401))),"",E401/D401)</f>
        <v/>
      </c>
      <c r="J401" s="16">
        <f>IF(OR(C401="",NOT(ISNUMBER(E401))),"",MAX(0,E401-N(F401)))</f>
        <v/>
      </c>
      <c r="K401" s="12">
        <f>IF(AND(C401="",D401="",E401=""),"",IF(NOT(ISNUMBER(B401)),"Needs a date",IF(C401="","Needs a client",IF(COUNTIF(Clients!$B$6:$B$105,C401)=0,"Not on Clients",IF(NOT(ISNUMBER(D401)),"Needs the sessions",IF(AND(E401&lt;&gt;"",NOT(ISNUMBER(E401))),"Price not a number",IF(AND(ISNUMBER(E401),N(F401)&gt;E401),"Paid more than the price","")))))))</f>
        <v/>
      </c>
      <c r="L401" s="1">
        <f>IF(ISNUMBER(B401),YEAR(B401)*100+MONTH(B401),"")</f>
        <v/>
      </c>
      <c r="M401">
        <f>IF(AND(K401="",C401&lt;&gt;""),1,0)</f>
        <v/>
      </c>
      <c r="N401">
        <f>IF(AND(M401=1,ISNUMBER(G401)),INT(G401),0)</f>
        <v/>
      </c>
    </row>
    <row r="402">
      <c r="A402" s="1" t="n"/>
      <c r="B402" s="17" t="n"/>
      <c r="C402" s="19" t="n"/>
      <c r="D402" s="25" t="n"/>
      <c r="E402" s="26" t="n"/>
      <c r="F402" s="26" t="n"/>
      <c r="G402" s="17" t="n"/>
      <c r="H402" s="21" t="n"/>
      <c r="I402" s="16">
        <f>IF(OR(N(D402)&lt;=0,NOT(ISNUMBER(E402))),"",E402/D402)</f>
        <v/>
      </c>
      <c r="J402" s="16">
        <f>IF(OR(C402="",NOT(ISNUMBER(E402))),"",MAX(0,E402-N(F402)))</f>
        <v/>
      </c>
      <c r="K402" s="12">
        <f>IF(AND(C402="",D402="",E402=""),"",IF(NOT(ISNUMBER(B402)),"Needs a date",IF(C402="","Needs a client",IF(COUNTIF(Clients!$B$6:$B$105,C402)=0,"Not on Clients",IF(NOT(ISNUMBER(D402)),"Needs the sessions",IF(AND(E402&lt;&gt;"",NOT(ISNUMBER(E402))),"Price not a number",IF(AND(ISNUMBER(E402),N(F402)&gt;E402),"Paid more than the price","")))))))</f>
        <v/>
      </c>
      <c r="L402" s="1">
        <f>IF(ISNUMBER(B402),YEAR(B402)*100+MONTH(B402),"")</f>
        <v/>
      </c>
      <c r="M402">
        <f>IF(AND(K402="",C402&lt;&gt;""),1,0)</f>
        <v/>
      </c>
      <c r="N402">
        <f>IF(AND(M402=1,ISNUMBER(G402)),INT(G402),0)</f>
        <v/>
      </c>
    </row>
    <row r="403">
      <c r="A403" s="1" t="n"/>
      <c r="B403" s="17" t="n"/>
      <c r="C403" s="19" t="n"/>
      <c r="D403" s="25" t="n"/>
      <c r="E403" s="26" t="n"/>
      <c r="F403" s="26" t="n"/>
      <c r="G403" s="17" t="n"/>
      <c r="H403" s="21" t="n"/>
      <c r="I403" s="16">
        <f>IF(OR(N(D403)&lt;=0,NOT(ISNUMBER(E403))),"",E403/D403)</f>
        <v/>
      </c>
      <c r="J403" s="16">
        <f>IF(OR(C403="",NOT(ISNUMBER(E403))),"",MAX(0,E403-N(F403)))</f>
        <v/>
      </c>
      <c r="K403" s="12">
        <f>IF(AND(C403="",D403="",E403=""),"",IF(NOT(ISNUMBER(B403)),"Needs a date",IF(C403="","Needs a client",IF(COUNTIF(Clients!$B$6:$B$105,C403)=0,"Not on Clients",IF(NOT(ISNUMBER(D403)),"Needs the sessions",IF(AND(E403&lt;&gt;"",NOT(ISNUMBER(E403))),"Price not a number",IF(AND(ISNUMBER(E403),N(F403)&gt;E403),"Paid more than the price","")))))))</f>
        <v/>
      </c>
      <c r="L403" s="1">
        <f>IF(ISNUMBER(B403),YEAR(B403)*100+MONTH(B403),"")</f>
        <v/>
      </c>
      <c r="M403">
        <f>IF(AND(K403="",C403&lt;&gt;""),1,0)</f>
        <v/>
      </c>
      <c r="N403">
        <f>IF(AND(M403=1,ISNUMBER(G403)),INT(G403),0)</f>
        <v/>
      </c>
    </row>
    <row r="404">
      <c r="A404" s="1" t="n"/>
      <c r="B404" s="17" t="n"/>
      <c r="C404" s="19" t="n"/>
      <c r="D404" s="25" t="n"/>
      <c r="E404" s="26" t="n"/>
      <c r="F404" s="26" t="n"/>
      <c r="G404" s="17" t="n"/>
      <c r="H404" s="21" t="n"/>
      <c r="I404" s="16">
        <f>IF(OR(N(D404)&lt;=0,NOT(ISNUMBER(E404))),"",E404/D404)</f>
        <v/>
      </c>
      <c r="J404" s="16">
        <f>IF(OR(C404="",NOT(ISNUMBER(E404))),"",MAX(0,E404-N(F404)))</f>
        <v/>
      </c>
      <c r="K404" s="12">
        <f>IF(AND(C404="",D404="",E404=""),"",IF(NOT(ISNUMBER(B404)),"Needs a date",IF(C404="","Needs a client",IF(COUNTIF(Clients!$B$6:$B$105,C404)=0,"Not on Clients",IF(NOT(ISNUMBER(D404)),"Needs the sessions",IF(AND(E404&lt;&gt;"",NOT(ISNUMBER(E404))),"Price not a number",IF(AND(ISNUMBER(E404),N(F404)&gt;E404),"Paid more than the price","")))))))</f>
        <v/>
      </c>
      <c r="L404" s="1">
        <f>IF(ISNUMBER(B404),YEAR(B404)*100+MONTH(B404),"")</f>
        <v/>
      </c>
      <c r="M404">
        <f>IF(AND(K404="",C404&lt;&gt;""),1,0)</f>
        <v/>
      </c>
      <c r="N404">
        <f>IF(AND(M404=1,ISNUMBER(G404)),INT(G404),0)</f>
        <v/>
      </c>
    </row>
    <row r="405">
      <c r="A405" s="1" t="n"/>
      <c r="B405" s="17" t="n"/>
      <c r="C405" s="19" t="n"/>
      <c r="D405" s="25" t="n"/>
      <c r="E405" s="26" t="n"/>
      <c r="F405" s="26" t="n"/>
      <c r="G405" s="17" t="n"/>
      <c r="H405" s="21" t="n"/>
      <c r="I405" s="16">
        <f>IF(OR(N(D405)&lt;=0,NOT(ISNUMBER(E405))),"",E405/D405)</f>
        <v/>
      </c>
      <c r="J405" s="16">
        <f>IF(OR(C405="",NOT(ISNUMBER(E405))),"",MAX(0,E405-N(F405)))</f>
        <v/>
      </c>
      <c r="K405" s="12">
        <f>IF(AND(C405="",D405="",E405=""),"",IF(NOT(ISNUMBER(B405)),"Needs a date",IF(C405="","Needs a client",IF(COUNTIF(Clients!$B$6:$B$105,C405)=0,"Not on Clients",IF(NOT(ISNUMBER(D405)),"Needs the sessions",IF(AND(E405&lt;&gt;"",NOT(ISNUMBER(E405))),"Price not a number",IF(AND(ISNUMBER(E405),N(F405)&gt;E405),"Paid more than the price","")))))))</f>
        <v/>
      </c>
      <c r="L405" s="1">
        <f>IF(ISNUMBER(B405),YEAR(B405)*100+MONTH(B405),"")</f>
        <v/>
      </c>
      <c r="M405">
        <f>IF(AND(K405="",C405&lt;&gt;""),1,0)</f>
        <v/>
      </c>
      <c r="N405">
        <f>IF(AND(M405=1,ISNUMBER(G405)),INT(G405),0)</f>
        <v/>
      </c>
    </row>
    <row r="406">
      <c r="A406" s="1" t="n"/>
      <c r="B406" s="17" t="n"/>
      <c r="C406" s="19" t="n"/>
      <c r="D406" s="25" t="n"/>
      <c r="E406" s="26" t="n"/>
      <c r="F406" s="26" t="n"/>
      <c r="G406" s="17" t="n"/>
      <c r="H406" s="21" t="n"/>
      <c r="I406" s="16">
        <f>IF(OR(N(D406)&lt;=0,NOT(ISNUMBER(E406))),"",E406/D406)</f>
        <v/>
      </c>
      <c r="J406" s="16">
        <f>IF(OR(C406="",NOT(ISNUMBER(E406))),"",MAX(0,E406-N(F406)))</f>
        <v/>
      </c>
      <c r="K406" s="12">
        <f>IF(AND(C406="",D406="",E406=""),"",IF(NOT(ISNUMBER(B406)),"Needs a date",IF(C406="","Needs a client",IF(COUNTIF(Clients!$B$6:$B$105,C406)=0,"Not on Clients",IF(NOT(ISNUMBER(D406)),"Needs the sessions",IF(AND(E406&lt;&gt;"",NOT(ISNUMBER(E406))),"Price not a number",IF(AND(ISNUMBER(E406),N(F406)&gt;E406),"Paid more than the price","")))))))</f>
        <v/>
      </c>
      <c r="L406" s="1">
        <f>IF(ISNUMBER(B406),YEAR(B406)*100+MONTH(B406),"")</f>
        <v/>
      </c>
      <c r="M406">
        <f>IF(AND(K406="",C406&lt;&gt;""),1,0)</f>
        <v/>
      </c>
      <c r="N406">
        <f>IF(AND(M406=1,ISNUMBER(G406)),INT(G406),0)</f>
        <v/>
      </c>
    </row>
    <row r="407">
      <c r="A407" s="1" t="n"/>
      <c r="B407" s="17" t="n"/>
      <c r="C407" s="19" t="n"/>
      <c r="D407" s="25" t="n"/>
      <c r="E407" s="26" t="n"/>
      <c r="F407" s="26" t="n"/>
      <c r="G407" s="17" t="n"/>
      <c r="H407" s="21" t="n"/>
      <c r="I407" s="16">
        <f>IF(OR(N(D407)&lt;=0,NOT(ISNUMBER(E407))),"",E407/D407)</f>
        <v/>
      </c>
      <c r="J407" s="16">
        <f>IF(OR(C407="",NOT(ISNUMBER(E407))),"",MAX(0,E407-N(F407)))</f>
        <v/>
      </c>
      <c r="K407" s="12">
        <f>IF(AND(C407="",D407="",E407=""),"",IF(NOT(ISNUMBER(B407)),"Needs a date",IF(C407="","Needs a client",IF(COUNTIF(Clients!$B$6:$B$105,C407)=0,"Not on Clients",IF(NOT(ISNUMBER(D407)),"Needs the sessions",IF(AND(E407&lt;&gt;"",NOT(ISNUMBER(E407))),"Price not a number",IF(AND(ISNUMBER(E407),N(F407)&gt;E407),"Paid more than the price","")))))))</f>
        <v/>
      </c>
      <c r="L407" s="1">
        <f>IF(ISNUMBER(B407),YEAR(B407)*100+MONTH(B407),"")</f>
        <v/>
      </c>
      <c r="M407">
        <f>IF(AND(K407="",C407&lt;&gt;""),1,0)</f>
        <v/>
      </c>
      <c r="N407">
        <f>IF(AND(M407=1,ISNUMBER(G407)),INT(G407),0)</f>
        <v/>
      </c>
    </row>
    <row r="408">
      <c r="A408" s="1" t="n"/>
      <c r="B408" s="17" t="n"/>
      <c r="C408" s="19" t="n"/>
      <c r="D408" s="25" t="n"/>
      <c r="E408" s="26" t="n"/>
      <c r="F408" s="26" t="n"/>
      <c r="G408" s="17" t="n"/>
      <c r="H408" s="21" t="n"/>
      <c r="I408" s="16">
        <f>IF(OR(N(D408)&lt;=0,NOT(ISNUMBER(E408))),"",E408/D408)</f>
        <v/>
      </c>
      <c r="J408" s="16">
        <f>IF(OR(C408="",NOT(ISNUMBER(E408))),"",MAX(0,E408-N(F408)))</f>
        <v/>
      </c>
      <c r="K408" s="12">
        <f>IF(AND(C408="",D408="",E408=""),"",IF(NOT(ISNUMBER(B408)),"Needs a date",IF(C408="","Needs a client",IF(COUNTIF(Clients!$B$6:$B$105,C408)=0,"Not on Clients",IF(NOT(ISNUMBER(D408)),"Needs the sessions",IF(AND(E408&lt;&gt;"",NOT(ISNUMBER(E408))),"Price not a number",IF(AND(ISNUMBER(E408),N(F408)&gt;E408),"Paid more than the price","")))))))</f>
        <v/>
      </c>
      <c r="L408" s="1">
        <f>IF(ISNUMBER(B408),YEAR(B408)*100+MONTH(B408),"")</f>
        <v/>
      </c>
      <c r="M408">
        <f>IF(AND(K408="",C408&lt;&gt;""),1,0)</f>
        <v/>
      </c>
      <c r="N408">
        <f>IF(AND(M408=1,ISNUMBER(G408)),INT(G408),0)</f>
        <v/>
      </c>
    </row>
    <row r="409">
      <c r="A409" s="1" t="n"/>
      <c r="B409" s="17" t="n"/>
      <c r="C409" s="19" t="n"/>
      <c r="D409" s="25" t="n"/>
      <c r="E409" s="26" t="n"/>
      <c r="F409" s="26" t="n"/>
      <c r="G409" s="17" t="n"/>
      <c r="H409" s="21" t="n"/>
      <c r="I409" s="16">
        <f>IF(OR(N(D409)&lt;=0,NOT(ISNUMBER(E409))),"",E409/D409)</f>
        <v/>
      </c>
      <c r="J409" s="16">
        <f>IF(OR(C409="",NOT(ISNUMBER(E409))),"",MAX(0,E409-N(F409)))</f>
        <v/>
      </c>
      <c r="K409" s="12">
        <f>IF(AND(C409="",D409="",E409=""),"",IF(NOT(ISNUMBER(B409)),"Needs a date",IF(C409="","Needs a client",IF(COUNTIF(Clients!$B$6:$B$105,C409)=0,"Not on Clients",IF(NOT(ISNUMBER(D409)),"Needs the sessions",IF(AND(E409&lt;&gt;"",NOT(ISNUMBER(E409))),"Price not a number",IF(AND(ISNUMBER(E409),N(F409)&gt;E409),"Paid more than the price","")))))))</f>
        <v/>
      </c>
      <c r="L409" s="1">
        <f>IF(ISNUMBER(B409),YEAR(B409)*100+MONTH(B409),"")</f>
        <v/>
      </c>
      <c r="M409">
        <f>IF(AND(K409="",C409&lt;&gt;""),1,0)</f>
        <v/>
      </c>
      <c r="N409">
        <f>IF(AND(M409=1,ISNUMBER(G409)),INT(G409),0)</f>
        <v/>
      </c>
    </row>
    <row r="410">
      <c r="A410" s="1" t="n"/>
      <c r="B410" s="17" t="n"/>
      <c r="C410" s="19" t="n"/>
      <c r="D410" s="25" t="n"/>
      <c r="E410" s="26" t="n"/>
      <c r="F410" s="26" t="n"/>
      <c r="G410" s="17" t="n"/>
      <c r="H410" s="21" t="n"/>
      <c r="I410" s="16">
        <f>IF(OR(N(D410)&lt;=0,NOT(ISNUMBER(E410))),"",E410/D410)</f>
        <v/>
      </c>
      <c r="J410" s="16">
        <f>IF(OR(C410="",NOT(ISNUMBER(E410))),"",MAX(0,E410-N(F410)))</f>
        <v/>
      </c>
      <c r="K410" s="12">
        <f>IF(AND(C410="",D410="",E410=""),"",IF(NOT(ISNUMBER(B410)),"Needs a date",IF(C410="","Needs a client",IF(COUNTIF(Clients!$B$6:$B$105,C410)=0,"Not on Clients",IF(NOT(ISNUMBER(D410)),"Needs the sessions",IF(AND(E410&lt;&gt;"",NOT(ISNUMBER(E410))),"Price not a number",IF(AND(ISNUMBER(E410),N(F410)&gt;E410),"Paid more than the price","")))))))</f>
        <v/>
      </c>
      <c r="L410" s="1">
        <f>IF(ISNUMBER(B410),YEAR(B410)*100+MONTH(B410),"")</f>
        <v/>
      </c>
      <c r="M410">
        <f>IF(AND(K410="",C410&lt;&gt;""),1,0)</f>
        <v/>
      </c>
      <c r="N410">
        <f>IF(AND(M410=1,ISNUMBER(G410)),INT(G410),0)</f>
        <v/>
      </c>
    </row>
    <row r="411">
      <c r="A411" s="1" t="n"/>
      <c r="B411" s="17" t="n"/>
      <c r="C411" s="19" t="n"/>
      <c r="D411" s="25" t="n"/>
      <c r="E411" s="26" t="n"/>
      <c r="F411" s="26" t="n"/>
      <c r="G411" s="17" t="n"/>
      <c r="H411" s="21" t="n"/>
      <c r="I411" s="16">
        <f>IF(OR(N(D411)&lt;=0,NOT(ISNUMBER(E411))),"",E411/D411)</f>
        <v/>
      </c>
      <c r="J411" s="16">
        <f>IF(OR(C411="",NOT(ISNUMBER(E411))),"",MAX(0,E411-N(F411)))</f>
        <v/>
      </c>
      <c r="K411" s="12">
        <f>IF(AND(C411="",D411="",E411=""),"",IF(NOT(ISNUMBER(B411)),"Needs a date",IF(C411="","Needs a client",IF(COUNTIF(Clients!$B$6:$B$105,C411)=0,"Not on Clients",IF(NOT(ISNUMBER(D411)),"Needs the sessions",IF(AND(E411&lt;&gt;"",NOT(ISNUMBER(E411))),"Price not a number",IF(AND(ISNUMBER(E411),N(F411)&gt;E411),"Paid more than the price","")))))))</f>
        <v/>
      </c>
      <c r="L411" s="1">
        <f>IF(ISNUMBER(B411),YEAR(B411)*100+MONTH(B411),"")</f>
        <v/>
      </c>
      <c r="M411">
        <f>IF(AND(K411="",C411&lt;&gt;""),1,0)</f>
        <v/>
      </c>
      <c r="N411">
        <f>IF(AND(M411=1,ISNUMBER(G411)),INT(G411),0)</f>
        <v/>
      </c>
    </row>
    <row r="412">
      <c r="A412" s="1" t="n"/>
      <c r="B412" s="17" t="n"/>
      <c r="C412" s="19" t="n"/>
      <c r="D412" s="25" t="n"/>
      <c r="E412" s="26" t="n"/>
      <c r="F412" s="26" t="n"/>
      <c r="G412" s="17" t="n"/>
      <c r="H412" s="21" t="n"/>
      <c r="I412" s="16">
        <f>IF(OR(N(D412)&lt;=0,NOT(ISNUMBER(E412))),"",E412/D412)</f>
        <v/>
      </c>
      <c r="J412" s="16">
        <f>IF(OR(C412="",NOT(ISNUMBER(E412))),"",MAX(0,E412-N(F412)))</f>
        <v/>
      </c>
      <c r="K412" s="12">
        <f>IF(AND(C412="",D412="",E412=""),"",IF(NOT(ISNUMBER(B412)),"Needs a date",IF(C412="","Needs a client",IF(COUNTIF(Clients!$B$6:$B$105,C412)=0,"Not on Clients",IF(NOT(ISNUMBER(D412)),"Needs the sessions",IF(AND(E412&lt;&gt;"",NOT(ISNUMBER(E412))),"Price not a number",IF(AND(ISNUMBER(E412),N(F412)&gt;E412),"Paid more than the price","")))))))</f>
        <v/>
      </c>
      <c r="L412" s="1">
        <f>IF(ISNUMBER(B412),YEAR(B412)*100+MONTH(B412),"")</f>
        <v/>
      </c>
      <c r="M412">
        <f>IF(AND(K412="",C412&lt;&gt;""),1,0)</f>
        <v/>
      </c>
      <c r="N412">
        <f>IF(AND(M412=1,ISNUMBER(G412)),INT(G412),0)</f>
        <v/>
      </c>
    </row>
    <row r="413">
      <c r="A413" s="1" t="n"/>
      <c r="B413" s="17" t="n"/>
      <c r="C413" s="19" t="n"/>
      <c r="D413" s="25" t="n"/>
      <c r="E413" s="26" t="n"/>
      <c r="F413" s="26" t="n"/>
      <c r="G413" s="17" t="n"/>
      <c r="H413" s="21" t="n"/>
      <c r="I413" s="16">
        <f>IF(OR(N(D413)&lt;=0,NOT(ISNUMBER(E413))),"",E413/D413)</f>
        <v/>
      </c>
      <c r="J413" s="16">
        <f>IF(OR(C413="",NOT(ISNUMBER(E413))),"",MAX(0,E413-N(F413)))</f>
        <v/>
      </c>
      <c r="K413" s="12">
        <f>IF(AND(C413="",D413="",E413=""),"",IF(NOT(ISNUMBER(B413)),"Needs a date",IF(C413="","Needs a client",IF(COUNTIF(Clients!$B$6:$B$105,C413)=0,"Not on Clients",IF(NOT(ISNUMBER(D413)),"Needs the sessions",IF(AND(E413&lt;&gt;"",NOT(ISNUMBER(E413))),"Price not a number",IF(AND(ISNUMBER(E413),N(F413)&gt;E413),"Paid more than the price","")))))))</f>
        <v/>
      </c>
      <c r="L413" s="1">
        <f>IF(ISNUMBER(B413),YEAR(B413)*100+MONTH(B413),"")</f>
        <v/>
      </c>
      <c r="M413">
        <f>IF(AND(K413="",C413&lt;&gt;""),1,0)</f>
        <v/>
      </c>
      <c r="N413">
        <f>IF(AND(M413=1,ISNUMBER(G413)),INT(G413),0)</f>
        <v/>
      </c>
    </row>
    <row r="414">
      <c r="A414" s="1" t="n"/>
      <c r="B414" s="17" t="n"/>
      <c r="C414" s="19" t="n"/>
      <c r="D414" s="25" t="n"/>
      <c r="E414" s="26" t="n"/>
      <c r="F414" s="26" t="n"/>
      <c r="G414" s="17" t="n"/>
      <c r="H414" s="21" t="n"/>
      <c r="I414" s="16">
        <f>IF(OR(N(D414)&lt;=0,NOT(ISNUMBER(E414))),"",E414/D414)</f>
        <v/>
      </c>
      <c r="J414" s="16">
        <f>IF(OR(C414="",NOT(ISNUMBER(E414))),"",MAX(0,E414-N(F414)))</f>
        <v/>
      </c>
      <c r="K414" s="12">
        <f>IF(AND(C414="",D414="",E414=""),"",IF(NOT(ISNUMBER(B414)),"Needs a date",IF(C414="","Needs a client",IF(COUNTIF(Clients!$B$6:$B$105,C414)=0,"Not on Clients",IF(NOT(ISNUMBER(D414)),"Needs the sessions",IF(AND(E414&lt;&gt;"",NOT(ISNUMBER(E414))),"Price not a number",IF(AND(ISNUMBER(E414),N(F414)&gt;E414),"Paid more than the price","")))))))</f>
        <v/>
      </c>
      <c r="L414" s="1">
        <f>IF(ISNUMBER(B414),YEAR(B414)*100+MONTH(B414),"")</f>
        <v/>
      </c>
      <c r="M414">
        <f>IF(AND(K414="",C414&lt;&gt;""),1,0)</f>
        <v/>
      </c>
      <c r="N414">
        <f>IF(AND(M414=1,ISNUMBER(G414)),INT(G414),0)</f>
        <v/>
      </c>
    </row>
    <row r="415">
      <c r="A415" s="1" t="n"/>
      <c r="B415" s="17" t="n"/>
      <c r="C415" s="19" t="n"/>
      <c r="D415" s="25" t="n"/>
      <c r="E415" s="26" t="n"/>
      <c r="F415" s="26" t="n"/>
      <c r="G415" s="17" t="n"/>
      <c r="H415" s="21" t="n"/>
      <c r="I415" s="16">
        <f>IF(OR(N(D415)&lt;=0,NOT(ISNUMBER(E415))),"",E415/D415)</f>
        <v/>
      </c>
      <c r="J415" s="16">
        <f>IF(OR(C415="",NOT(ISNUMBER(E415))),"",MAX(0,E415-N(F415)))</f>
        <v/>
      </c>
      <c r="K415" s="12">
        <f>IF(AND(C415="",D415="",E415=""),"",IF(NOT(ISNUMBER(B415)),"Needs a date",IF(C415="","Needs a client",IF(COUNTIF(Clients!$B$6:$B$105,C415)=0,"Not on Clients",IF(NOT(ISNUMBER(D415)),"Needs the sessions",IF(AND(E415&lt;&gt;"",NOT(ISNUMBER(E415))),"Price not a number",IF(AND(ISNUMBER(E415),N(F415)&gt;E415),"Paid more than the price","")))))))</f>
        <v/>
      </c>
      <c r="L415" s="1">
        <f>IF(ISNUMBER(B415),YEAR(B415)*100+MONTH(B415),"")</f>
        <v/>
      </c>
      <c r="M415">
        <f>IF(AND(K415="",C415&lt;&gt;""),1,0)</f>
        <v/>
      </c>
      <c r="N415">
        <f>IF(AND(M415=1,ISNUMBER(G415)),INT(G415),0)</f>
        <v/>
      </c>
    </row>
    <row r="416">
      <c r="A416" s="1" t="n"/>
      <c r="B416" s="17" t="n"/>
      <c r="C416" s="19" t="n"/>
      <c r="D416" s="25" t="n"/>
      <c r="E416" s="26" t="n"/>
      <c r="F416" s="26" t="n"/>
      <c r="G416" s="17" t="n"/>
      <c r="H416" s="21" t="n"/>
      <c r="I416" s="16">
        <f>IF(OR(N(D416)&lt;=0,NOT(ISNUMBER(E416))),"",E416/D416)</f>
        <v/>
      </c>
      <c r="J416" s="16">
        <f>IF(OR(C416="",NOT(ISNUMBER(E416))),"",MAX(0,E416-N(F416)))</f>
        <v/>
      </c>
      <c r="K416" s="12">
        <f>IF(AND(C416="",D416="",E416=""),"",IF(NOT(ISNUMBER(B416)),"Needs a date",IF(C416="","Needs a client",IF(COUNTIF(Clients!$B$6:$B$105,C416)=0,"Not on Clients",IF(NOT(ISNUMBER(D416)),"Needs the sessions",IF(AND(E416&lt;&gt;"",NOT(ISNUMBER(E416))),"Price not a number",IF(AND(ISNUMBER(E416),N(F416)&gt;E416),"Paid more than the price","")))))))</f>
        <v/>
      </c>
      <c r="L416" s="1">
        <f>IF(ISNUMBER(B416),YEAR(B416)*100+MONTH(B416),"")</f>
        <v/>
      </c>
      <c r="M416">
        <f>IF(AND(K416="",C416&lt;&gt;""),1,0)</f>
        <v/>
      </c>
      <c r="N416">
        <f>IF(AND(M416=1,ISNUMBER(G416)),INT(G416),0)</f>
        <v/>
      </c>
    </row>
    <row r="417">
      <c r="A417" s="1" t="n"/>
      <c r="B417" s="17" t="n"/>
      <c r="C417" s="19" t="n"/>
      <c r="D417" s="25" t="n"/>
      <c r="E417" s="26" t="n"/>
      <c r="F417" s="26" t="n"/>
      <c r="G417" s="17" t="n"/>
      <c r="H417" s="21" t="n"/>
      <c r="I417" s="16">
        <f>IF(OR(N(D417)&lt;=0,NOT(ISNUMBER(E417))),"",E417/D417)</f>
        <v/>
      </c>
      <c r="J417" s="16">
        <f>IF(OR(C417="",NOT(ISNUMBER(E417))),"",MAX(0,E417-N(F417)))</f>
        <v/>
      </c>
      <c r="K417" s="12">
        <f>IF(AND(C417="",D417="",E417=""),"",IF(NOT(ISNUMBER(B417)),"Needs a date",IF(C417="","Needs a client",IF(COUNTIF(Clients!$B$6:$B$105,C417)=0,"Not on Clients",IF(NOT(ISNUMBER(D417)),"Needs the sessions",IF(AND(E417&lt;&gt;"",NOT(ISNUMBER(E417))),"Price not a number",IF(AND(ISNUMBER(E417),N(F417)&gt;E417),"Paid more than the price","")))))))</f>
        <v/>
      </c>
      <c r="L417" s="1">
        <f>IF(ISNUMBER(B417),YEAR(B417)*100+MONTH(B417),"")</f>
        <v/>
      </c>
      <c r="M417">
        <f>IF(AND(K417="",C417&lt;&gt;""),1,0)</f>
        <v/>
      </c>
      <c r="N417">
        <f>IF(AND(M417=1,ISNUMBER(G417)),INT(G417),0)</f>
        <v/>
      </c>
    </row>
    <row r="418">
      <c r="A418" s="1" t="n"/>
      <c r="B418" s="17" t="n"/>
      <c r="C418" s="19" t="n"/>
      <c r="D418" s="25" t="n"/>
      <c r="E418" s="26" t="n"/>
      <c r="F418" s="26" t="n"/>
      <c r="G418" s="17" t="n"/>
      <c r="H418" s="21" t="n"/>
      <c r="I418" s="16">
        <f>IF(OR(N(D418)&lt;=0,NOT(ISNUMBER(E418))),"",E418/D418)</f>
        <v/>
      </c>
      <c r="J418" s="16">
        <f>IF(OR(C418="",NOT(ISNUMBER(E418))),"",MAX(0,E418-N(F418)))</f>
        <v/>
      </c>
      <c r="K418" s="12">
        <f>IF(AND(C418="",D418="",E418=""),"",IF(NOT(ISNUMBER(B418)),"Needs a date",IF(C418="","Needs a client",IF(COUNTIF(Clients!$B$6:$B$105,C418)=0,"Not on Clients",IF(NOT(ISNUMBER(D418)),"Needs the sessions",IF(AND(E418&lt;&gt;"",NOT(ISNUMBER(E418))),"Price not a number",IF(AND(ISNUMBER(E418),N(F418)&gt;E418),"Paid more than the price","")))))))</f>
        <v/>
      </c>
      <c r="L418" s="1">
        <f>IF(ISNUMBER(B418),YEAR(B418)*100+MONTH(B418),"")</f>
        <v/>
      </c>
      <c r="M418">
        <f>IF(AND(K418="",C418&lt;&gt;""),1,0)</f>
        <v/>
      </c>
      <c r="N418">
        <f>IF(AND(M418=1,ISNUMBER(G418)),INT(G418),0)</f>
        <v/>
      </c>
    </row>
    <row r="419">
      <c r="A419" s="1" t="n"/>
      <c r="B419" s="17" t="n"/>
      <c r="C419" s="19" t="n"/>
      <c r="D419" s="25" t="n"/>
      <c r="E419" s="26" t="n"/>
      <c r="F419" s="26" t="n"/>
      <c r="G419" s="17" t="n"/>
      <c r="H419" s="21" t="n"/>
      <c r="I419" s="16">
        <f>IF(OR(N(D419)&lt;=0,NOT(ISNUMBER(E419))),"",E419/D419)</f>
        <v/>
      </c>
      <c r="J419" s="16">
        <f>IF(OR(C419="",NOT(ISNUMBER(E419))),"",MAX(0,E419-N(F419)))</f>
        <v/>
      </c>
      <c r="K419" s="12">
        <f>IF(AND(C419="",D419="",E419=""),"",IF(NOT(ISNUMBER(B419)),"Needs a date",IF(C419="","Needs a client",IF(COUNTIF(Clients!$B$6:$B$105,C419)=0,"Not on Clients",IF(NOT(ISNUMBER(D419)),"Needs the sessions",IF(AND(E419&lt;&gt;"",NOT(ISNUMBER(E419))),"Price not a number",IF(AND(ISNUMBER(E419),N(F419)&gt;E419),"Paid more than the price","")))))))</f>
        <v/>
      </c>
      <c r="L419" s="1">
        <f>IF(ISNUMBER(B419),YEAR(B419)*100+MONTH(B419),"")</f>
        <v/>
      </c>
      <c r="M419">
        <f>IF(AND(K419="",C419&lt;&gt;""),1,0)</f>
        <v/>
      </c>
      <c r="N419">
        <f>IF(AND(M419=1,ISNUMBER(G419)),INT(G419),0)</f>
        <v/>
      </c>
    </row>
    <row r="420">
      <c r="A420" s="1" t="n"/>
      <c r="B420" s="17" t="n"/>
      <c r="C420" s="19" t="n"/>
      <c r="D420" s="25" t="n"/>
      <c r="E420" s="26" t="n"/>
      <c r="F420" s="26" t="n"/>
      <c r="G420" s="17" t="n"/>
      <c r="H420" s="21" t="n"/>
      <c r="I420" s="16">
        <f>IF(OR(N(D420)&lt;=0,NOT(ISNUMBER(E420))),"",E420/D420)</f>
        <v/>
      </c>
      <c r="J420" s="16">
        <f>IF(OR(C420="",NOT(ISNUMBER(E420))),"",MAX(0,E420-N(F420)))</f>
        <v/>
      </c>
      <c r="K420" s="12">
        <f>IF(AND(C420="",D420="",E420=""),"",IF(NOT(ISNUMBER(B420)),"Needs a date",IF(C420="","Needs a client",IF(COUNTIF(Clients!$B$6:$B$105,C420)=0,"Not on Clients",IF(NOT(ISNUMBER(D420)),"Needs the sessions",IF(AND(E420&lt;&gt;"",NOT(ISNUMBER(E420))),"Price not a number",IF(AND(ISNUMBER(E420),N(F420)&gt;E420),"Paid more than the price","")))))))</f>
        <v/>
      </c>
      <c r="L420" s="1">
        <f>IF(ISNUMBER(B420),YEAR(B420)*100+MONTH(B420),"")</f>
        <v/>
      </c>
      <c r="M420">
        <f>IF(AND(K420="",C420&lt;&gt;""),1,0)</f>
        <v/>
      </c>
      <c r="N420">
        <f>IF(AND(M420=1,ISNUMBER(G420)),INT(G420),0)</f>
        <v/>
      </c>
    </row>
    <row r="421">
      <c r="A421" s="1" t="n"/>
      <c r="B421" s="17" t="n"/>
      <c r="C421" s="19" t="n"/>
      <c r="D421" s="25" t="n"/>
      <c r="E421" s="26" t="n"/>
      <c r="F421" s="26" t="n"/>
      <c r="G421" s="17" t="n"/>
      <c r="H421" s="21" t="n"/>
      <c r="I421" s="16">
        <f>IF(OR(N(D421)&lt;=0,NOT(ISNUMBER(E421))),"",E421/D421)</f>
        <v/>
      </c>
      <c r="J421" s="16">
        <f>IF(OR(C421="",NOT(ISNUMBER(E421))),"",MAX(0,E421-N(F421)))</f>
        <v/>
      </c>
      <c r="K421" s="12">
        <f>IF(AND(C421="",D421="",E421=""),"",IF(NOT(ISNUMBER(B421)),"Needs a date",IF(C421="","Needs a client",IF(COUNTIF(Clients!$B$6:$B$105,C421)=0,"Not on Clients",IF(NOT(ISNUMBER(D421)),"Needs the sessions",IF(AND(E421&lt;&gt;"",NOT(ISNUMBER(E421))),"Price not a number",IF(AND(ISNUMBER(E421),N(F421)&gt;E421),"Paid more than the price","")))))))</f>
        <v/>
      </c>
      <c r="L421" s="1">
        <f>IF(ISNUMBER(B421),YEAR(B421)*100+MONTH(B421),"")</f>
        <v/>
      </c>
      <c r="M421">
        <f>IF(AND(K421="",C421&lt;&gt;""),1,0)</f>
        <v/>
      </c>
      <c r="N421">
        <f>IF(AND(M421=1,ISNUMBER(G421)),INT(G421),0)</f>
        <v/>
      </c>
    </row>
    <row r="422">
      <c r="A422" s="1" t="n"/>
      <c r="B422" s="17" t="n"/>
      <c r="C422" s="19" t="n"/>
      <c r="D422" s="25" t="n"/>
      <c r="E422" s="26" t="n"/>
      <c r="F422" s="26" t="n"/>
      <c r="G422" s="17" t="n"/>
      <c r="H422" s="21" t="n"/>
      <c r="I422" s="16">
        <f>IF(OR(N(D422)&lt;=0,NOT(ISNUMBER(E422))),"",E422/D422)</f>
        <v/>
      </c>
      <c r="J422" s="16">
        <f>IF(OR(C422="",NOT(ISNUMBER(E422))),"",MAX(0,E422-N(F422)))</f>
        <v/>
      </c>
      <c r="K422" s="12">
        <f>IF(AND(C422="",D422="",E422=""),"",IF(NOT(ISNUMBER(B422)),"Needs a date",IF(C422="","Needs a client",IF(COUNTIF(Clients!$B$6:$B$105,C422)=0,"Not on Clients",IF(NOT(ISNUMBER(D422)),"Needs the sessions",IF(AND(E422&lt;&gt;"",NOT(ISNUMBER(E422))),"Price not a number",IF(AND(ISNUMBER(E422),N(F422)&gt;E422),"Paid more than the price","")))))))</f>
        <v/>
      </c>
      <c r="L422" s="1">
        <f>IF(ISNUMBER(B422),YEAR(B422)*100+MONTH(B422),"")</f>
        <v/>
      </c>
      <c r="M422">
        <f>IF(AND(K422="",C422&lt;&gt;""),1,0)</f>
        <v/>
      </c>
      <c r="N422">
        <f>IF(AND(M422=1,ISNUMBER(G422)),INT(G422),0)</f>
        <v/>
      </c>
    </row>
    <row r="423">
      <c r="A423" s="1" t="n"/>
      <c r="B423" s="17" t="n"/>
      <c r="C423" s="19" t="n"/>
      <c r="D423" s="25" t="n"/>
      <c r="E423" s="26" t="n"/>
      <c r="F423" s="26" t="n"/>
      <c r="G423" s="17" t="n"/>
      <c r="H423" s="21" t="n"/>
      <c r="I423" s="16">
        <f>IF(OR(N(D423)&lt;=0,NOT(ISNUMBER(E423))),"",E423/D423)</f>
        <v/>
      </c>
      <c r="J423" s="16">
        <f>IF(OR(C423="",NOT(ISNUMBER(E423))),"",MAX(0,E423-N(F423)))</f>
        <v/>
      </c>
      <c r="K423" s="12">
        <f>IF(AND(C423="",D423="",E423=""),"",IF(NOT(ISNUMBER(B423)),"Needs a date",IF(C423="","Needs a client",IF(COUNTIF(Clients!$B$6:$B$105,C423)=0,"Not on Clients",IF(NOT(ISNUMBER(D423)),"Needs the sessions",IF(AND(E423&lt;&gt;"",NOT(ISNUMBER(E423))),"Price not a number",IF(AND(ISNUMBER(E423),N(F423)&gt;E423),"Paid more than the price","")))))))</f>
        <v/>
      </c>
      <c r="L423" s="1">
        <f>IF(ISNUMBER(B423),YEAR(B423)*100+MONTH(B423),"")</f>
        <v/>
      </c>
      <c r="M423">
        <f>IF(AND(K423="",C423&lt;&gt;""),1,0)</f>
        <v/>
      </c>
      <c r="N423">
        <f>IF(AND(M423=1,ISNUMBER(G423)),INT(G423),0)</f>
        <v/>
      </c>
    </row>
    <row r="424">
      <c r="A424" s="1" t="n"/>
      <c r="B424" s="17" t="n"/>
      <c r="C424" s="19" t="n"/>
      <c r="D424" s="25" t="n"/>
      <c r="E424" s="26" t="n"/>
      <c r="F424" s="26" t="n"/>
      <c r="G424" s="17" t="n"/>
      <c r="H424" s="21" t="n"/>
      <c r="I424" s="16">
        <f>IF(OR(N(D424)&lt;=0,NOT(ISNUMBER(E424))),"",E424/D424)</f>
        <v/>
      </c>
      <c r="J424" s="16">
        <f>IF(OR(C424="",NOT(ISNUMBER(E424))),"",MAX(0,E424-N(F424)))</f>
        <v/>
      </c>
      <c r="K424" s="12">
        <f>IF(AND(C424="",D424="",E424=""),"",IF(NOT(ISNUMBER(B424)),"Needs a date",IF(C424="","Needs a client",IF(COUNTIF(Clients!$B$6:$B$105,C424)=0,"Not on Clients",IF(NOT(ISNUMBER(D424)),"Needs the sessions",IF(AND(E424&lt;&gt;"",NOT(ISNUMBER(E424))),"Price not a number",IF(AND(ISNUMBER(E424),N(F424)&gt;E424),"Paid more than the price","")))))))</f>
        <v/>
      </c>
      <c r="L424" s="1">
        <f>IF(ISNUMBER(B424),YEAR(B424)*100+MONTH(B424),"")</f>
        <v/>
      </c>
      <c r="M424">
        <f>IF(AND(K424="",C424&lt;&gt;""),1,0)</f>
        <v/>
      </c>
      <c r="N424">
        <f>IF(AND(M424=1,ISNUMBER(G424)),INT(G424),0)</f>
        <v/>
      </c>
    </row>
    <row r="425">
      <c r="A425" s="1" t="n"/>
      <c r="B425" s="17" t="n"/>
      <c r="C425" s="19" t="n"/>
      <c r="D425" s="25" t="n"/>
      <c r="E425" s="26" t="n"/>
      <c r="F425" s="26" t="n"/>
      <c r="G425" s="17" t="n"/>
      <c r="H425" s="21" t="n"/>
      <c r="I425" s="16">
        <f>IF(OR(N(D425)&lt;=0,NOT(ISNUMBER(E425))),"",E425/D425)</f>
        <v/>
      </c>
      <c r="J425" s="16">
        <f>IF(OR(C425="",NOT(ISNUMBER(E425))),"",MAX(0,E425-N(F425)))</f>
        <v/>
      </c>
      <c r="K425" s="12">
        <f>IF(AND(C425="",D425="",E425=""),"",IF(NOT(ISNUMBER(B425)),"Needs a date",IF(C425="","Needs a client",IF(COUNTIF(Clients!$B$6:$B$105,C425)=0,"Not on Clients",IF(NOT(ISNUMBER(D425)),"Needs the sessions",IF(AND(E425&lt;&gt;"",NOT(ISNUMBER(E425))),"Price not a number",IF(AND(ISNUMBER(E425),N(F425)&gt;E425),"Paid more than the price","")))))))</f>
        <v/>
      </c>
      <c r="L425" s="1">
        <f>IF(ISNUMBER(B425),YEAR(B425)*100+MONTH(B425),"")</f>
        <v/>
      </c>
      <c r="M425">
        <f>IF(AND(K425="",C425&lt;&gt;""),1,0)</f>
        <v/>
      </c>
      <c r="N425">
        <f>IF(AND(M425=1,ISNUMBER(G425)),INT(G425),0)</f>
        <v/>
      </c>
    </row>
    <row r="426">
      <c r="A426" s="1" t="n"/>
      <c r="B426" s="17" t="n"/>
      <c r="C426" s="19" t="n"/>
      <c r="D426" s="25" t="n"/>
      <c r="E426" s="26" t="n"/>
      <c r="F426" s="26" t="n"/>
      <c r="G426" s="17" t="n"/>
      <c r="H426" s="21" t="n"/>
      <c r="I426" s="16">
        <f>IF(OR(N(D426)&lt;=0,NOT(ISNUMBER(E426))),"",E426/D426)</f>
        <v/>
      </c>
      <c r="J426" s="16">
        <f>IF(OR(C426="",NOT(ISNUMBER(E426))),"",MAX(0,E426-N(F426)))</f>
        <v/>
      </c>
      <c r="K426" s="12">
        <f>IF(AND(C426="",D426="",E426=""),"",IF(NOT(ISNUMBER(B426)),"Needs a date",IF(C426="","Needs a client",IF(COUNTIF(Clients!$B$6:$B$105,C426)=0,"Not on Clients",IF(NOT(ISNUMBER(D426)),"Needs the sessions",IF(AND(E426&lt;&gt;"",NOT(ISNUMBER(E426))),"Price not a number",IF(AND(ISNUMBER(E426),N(F426)&gt;E426),"Paid more than the price","")))))))</f>
        <v/>
      </c>
      <c r="L426" s="1">
        <f>IF(ISNUMBER(B426),YEAR(B426)*100+MONTH(B426),"")</f>
        <v/>
      </c>
      <c r="M426">
        <f>IF(AND(K426="",C426&lt;&gt;""),1,0)</f>
        <v/>
      </c>
      <c r="N426">
        <f>IF(AND(M426=1,ISNUMBER(G426)),INT(G426),0)</f>
        <v/>
      </c>
    </row>
    <row r="427">
      <c r="A427" s="1" t="n"/>
      <c r="B427" s="17" t="n"/>
      <c r="C427" s="19" t="n"/>
      <c r="D427" s="25" t="n"/>
      <c r="E427" s="26" t="n"/>
      <c r="F427" s="26" t="n"/>
      <c r="G427" s="17" t="n"/>
      <c r="H427" s="21" t="n"/>
      <c r="I427" s="16">
        <f>IF(OR(N(D427)&lt;=0,NOT(ISNUMBER(E427))),"",E427/D427)</f>
        <v/>
      </c>
      <c r="J427" s="16">
        <f>IF(OR(C427="",NOT(ISNUMBER(E427))),"",MAX(0,E427-N(F427)))</f>
        <v/>
      </c>
      <c r="K427" s="12">
        <f>IF(AND(C427="",D427="",E427=""),"",IF(NOT(ISNUMBER(B427)),"Needs a date",IF(C427="","Needs a client",IF(COUNTIF(Clients!$B$6:$B$105,C427)=0,"Not on Clients",IF(NOT(ISNUMBER(D427)),"Needs the sessions",IF(AND(E427&lt;&gt;"",NOT(ISNUMBER(E427))),"Price not a number",IF(AND(ISNUMBER(E427),N(F427)&gt;E427),"Paid more than the price","")))))))</f>
        <v/>
      </c>
      <c r="L427" s="1">
        <f>IF(ISNUMBER(B427),YEAR(B427)*100+MONTH(B427),"")</f>
        <v/>
      </c>
      <c r="M427">
        <f>IF(AND(K427="",C427&lt;&gt;""),1,0)</f>
        <v/>
      </c>
      <c r="N427">
        <f>IF(AND(M427=1,ISNUMBER(G427)),INT(G427),0)</f>
        <v/>
      </c>
    </row>
    <row r="428">
      <c r="A428" s="1" t="n"/>
      <c r="B428" s="17" t="n"/>
      <c r="C428" s="19" t="n"/>
      <c r="D428" s="25" t="n"/>
      <c r="E428" s="26" t="n"/>
      <c r="F428" s="26" t="n"/>
      <c r="G428" s="17" t="n"/>
      <c r="H428" s="21" t="n"/>
      <c r="I428" s="16">
        <f>IF(OR(N(D428)&lt;=0,NOT(ISNUMBER(E428))),"",E428/D428)</f>
        <v/>
      </c>
      <c r="J428" s="16">
        <f>IF(OR(C428="",NOT(ISNUMBER(E428))),"",MAX(0,E428-N(F428)))</f>
        <v/>
      </c>
      <c r="K428" s="12">
        <f>IF(AND(C428="",D428="",E428=""),"",IF(NOT(ISNUMBER(B428)),"Needs a date",IF(C428="","Needs a client",IF(COUNTIF(Clients!$B$6:$B$105,C428)=0,"Not on Clients",IF(NOT(ISNUMBER(D428)),"Needs the sessions",IF(AND(E428&lt;&gt;"",NOT(ISNUMBER(E428))),"Price not a number",IF(AND(ISNUMBER(E428),N(F428)&gt;E428),"Paid more than the price","")))))))</f>
        <v/>
      </c>
      <c r="L428" s="1">
        <f>IF(ISNUMBER(B428),YEAR(B428)*100+MONTH(B428),"")</f>
        <v/>
      </c>
      <c r="M428">
        <f>IF(AND(K428="",C428&lt;&gt;""),1,0)</f>
        <v/>
      </c>
      <c r="N428">
        <f>IF(AND(M428=1,ISNUMBER(G428)),INT(G428),0)</f>
        <v/>
      </c>
    </row>
    <row r="429">
      <c r="A429" s="1" t="n"/>
      <c r="B429" s="17" t="n"/>
      <c r="C429" s="19" t="n"/>
      <c r="D429" s="25" t="n"/>
      <c r="E429" s="26" t="n"/>
      <c r="F429" s="26" t="n"/>
      <c r="G429" s="17" t="n"/>
      <c r="H429" s="21" t="n"/>
      <c r="I429" s="16">
        <f>IF(OR(N(D429)&lt;=0,NOT(ISNUMBER(E429))),"",E429/D429)</f>
        <v/>
      </c>
      <c r="J429" s="16">
        <f>IF(OR(C429="",NOT(ISNUMBER(E429))),"",MAX(0,E429-N(F429)))</f>
        <v/>
      </c>
      <c r="K429" s="12">
        <f>IF(AND(C429="",D429="",E429=""),"",IF(NOT(ISNUMBER(B429)),"Needs a date",IF(C429="","Needs a client",IF(COUNTIF(Clients!$B$6:$B$105,C429)=0,"Not on Clients",IF(NOT(ISNUMBER(D429)),"Needs the sessions",IF(AND(E429&lt;&gt;"",NOT(ISNUMBER(E429))),"Price not a number",IF(AND(ISNUMBER(E429),N(F429)&gt;E429),"Paid more than the price","")))))))</f>
        <v/>
      </c>
      <c r="L429" s="1">
        <f>IF(ISNUMBER(B429),YEAR(B429)*100+MONTH(B429),"")</f>
        <v/>
      </c>
      <c r="M429">
        <f>IF(AND(K429="",C429&lt;&gt;""),1,0)</f>
        <v/>
      </c>
      <c r="N429">
        <f>IF(AND(M429=1,ISNUMBER(G429)),INT(G429),0)</f>
        <v/>
      </c>
    </row>
    <row r="430">
      <c r="A430" s="1" t="n"/>
      <c r="B430" s="17" t="n"/>
      <c r="C430" s="19" t="n"/>
      <c r="D430" s="25" t="n"/>
      <c r="E430" s="26" t="n"/>
      <c r="F430" s="26" t="n"/>
      <c r="G430" s="17" t="n"/>
      <c r="H430" s="21" t="n"/>
      <c r="I430" s="16">
        <f>IF(OR(N(D430)&lt;=0,NOT(ISNUMBER(E430))),"",E430/D430)</f>
        <v/>
      </c>
      <c r="J430" s="16">
        <f>IF(OR(C430="",NOT(ISNUMBER(E430))),"",MAX(0,E430-N(F430)))</f>
        <v/>
      </c>
      <c r="K430" s="12">
        <f>IF(AND(C430="",D430="",E430=""),"",IF(NOT(ISNUMBER(B430)),"Needs a date",IF(C430="","Needs a client",IF(COUNTIF(Clients!$B$6:$B$105,C430)=0,"Not on Clients",IF(NOT(ISNUMBER(D430)),"Needs the sessions",IF(AND(E430&lt;&gt;"",NOT(ISNUMBER(E430))),"Price not a number",IF(AND(ISNUMBER(E430),N(F430)&gt;E430),"Paid more than the price","")))))))</f>
        <v/>
      </c>
      <c r="L430" s="1">
        <f>IF(ISNUMBER(B430),YEAR(B430)*100+MONTH(B430),"")</f>
        <v/>
      </c>
      <c r="M430">
        <f>IF(AND(K430="",C430&lt;&gt;""),1,0)</f>
        <v/>
      </c>
      <c r="N430">
        <f>IF(AND(M430=1,ISNUMBER(G430)),INT(G430),0)</f>
        <v/>
      </c>
    </row>
    <row r="431">
      <c r="A431" s="1" t="n"/>
      <c r="B431" s="17" t="n"/>
      <c r="C431" s="19" t="n"/>
      <c r="D431" s="25" t="n"/>
      <c r="E431" s="26" t="n"/>
      <c r="F431" s="26" t="n"/>
      <c r="G431" s="17" t="n"/>
      <c r="H431" s="21" t="n"/>
      <c r="I431" s="16">
        <f>IF(OR(N(D431)&lt;=0,NOT(ISNUMBER(E431))),"",E431/D431)</f>
        <v/>
      </c>
      <c r="J431" s="16">
        <f>IF(OR(C431="",NOT(ISNUMBER(E431))),"",MAX(0,E431-N(F431)))</f>
        <v/>
      </c>
      <c r="K431" s="12">
        <f>IF(AND(C431="",D431="",E431=""),"",IF(NOT(ISNUMBER(B431)),"Needs a date",IF(C431="","Needs a client",IF(COUNTIF(Clients!$B$6:$B$105,C431)=0,"Not on Clients",IF(NOT(ISNUMBER(D431)),"Needs the sessions",IF(AND(E431&lt;&gt;"",NOT(ISNUMBER(E431))),"Price not a number",IF(AND(ISNUMBER(E431),N(F431)&gt;E431),"Paid more than the price","")))))))</f>
        <v/>
      </c>
      <c r="L431" s="1">
        <f>IF(ISNUMBER(B431),YEAR(B431)*100+MONTH(B431),"")</f>
        <v/>
      </c>
      <c r="M431">
        <f>IF(AND(K431="",C431&lt;&gt;""),1,0)</f>
        <v/>
      </c>
      <c r="N431">
        <f>IF(AND(M431=1,ISNUMBER(G431)),INT(G431),0)</f>
        <v/>
      </c>
    </row>
    <row r="432">
      <c r="A432" s="1" t="n"/>
      <c r="B432" s="17" t="n"/>
      <c r="C432" s="19" t="n"/>
      <c r="D432" s="25" t="n"/>
      <c r="E432" s="26" t="n"/>
      <c r="F432" s="26" t="n"/>
      <c r="G432" s="17" t="n"/>
      <c r="H432" s="21" t="n"/>
      <c r="I432" s="16">
        <f>IF(OR(N(D432)&lt;=0,NOT(ISNUMBER(E432))),"",E432/D432)</f>
        <v/>
      </c>
      <c r="J432" s="16">
        <f>IF(OR(C432="",NOT(ISNUMBER(E432))),"",MAX(0,E432-N(F432)))</f>
        <v/>
      </c>
      <c r="K432" s="12">
        <f>IF(AND(C432="",D432="",E432=""),"",IF(NOT(ISNUMBER(B432)),"Needs a date",IF(C432="","Needs a client",IF(COUNTIF(Clients!$B$6:$B$105,C432)=0,"Not on Clients",IF(NOT(ISNUMBER(D432)),"Needs the sessions",IF(AND(E432&lt;&gt;"",NOT(ISNUMBER(E432))),"Price not a number",IF(AND(ISNUMBER(E432),N(F432)&gt;E432),"Paid more than the price","")))))))</f>
        <v/>
      </c>
      <c r="L432" s="1">
        <f>IF(ISNUMBER(B432),YEAR(B432)*100+MONTH(B432),"")</f>
        <v/>
      </c>
      <c r="M432">
        <f>IF(AND(K432="",C432&lt;&gt;""),1,0)</f>
        <v/>
      </c>
      <c r="N432">
        <f>IF(AND(M432=1,ISNUMBER(G432)),INT(G432),0)</f>
        <v/>
      </c>
    </row>
    <row r="433">
      <c r="A433" s="1" t="n"/>
      <c r="B433" s="17" t="n"/>
      <c r="C433" s="19" t="n"/>
      <c r="D433" s="25" t="n"/>
      <c r="E433" s="26" t="n"/>
      <c r="F433" s="26" t="n"/>
      <c r="G433" s="17" t="n"/>
      <c r="H433" s="21" t="n"/>
      <c r="I433" s="16">
        <f>IF(OR(N(D433)&lt;=0,NOT(ISNUMBER(E433))),"",E433/D433)</f>
        <v/>
      </c>
      <c r="J433" s="16">
        <f>IF(OR(C433="",NOT(ISNUMBER(E433))),"",MAX(0,E433-N(F433)))</f>
        <v/>
      </c>
      <c r="K433" s="12">
        <f>IF(AND(C433="",D433="",E433=""),"",IF(NOT(ISNUMBER(B433)),"Needs a date",IF(C433="","Needs a client",IF(COUNTIF(Clients!$B$6:$B$105,C433)=0,"Not on Clients",IF(NOT(ISNUMBER(D433)),"Needs the sessions",IF(AND(E433&lt;&gt;"",NOT(ISNUMBER(E433))),"Price not a number",IF(AND(ISNUMBER(E433),N(F433)&gt;E433),"Paid more than the price","")))))))</f>
        <v/>
      </c>
      <c r="L433" s="1">
        <f>IF(ISNUMBER(B433),YEAR(B433)*100+MONTH(B433),"")</f>
        <v/>
      </c>
      <c r="M433">
        <f>IF(AND(K433="",C433&lt;&gt;""),1,0)</f>
        <v/>
      </c>
      <c r="N433">
        <f>IF(AND(M433=1,ISNUMBER(G433)),INT(G433),0)</f>
        <v/>
      </c>
    </row>
    <row r="434">
      <c r="A434" s="1" t="n"/>
      <c r="B434" s="17" t="n"/>
      <c r="C434" s="19" t="n"/>
      <c r="D434" s="25" t="n"/>
      <c r="E434" s="26" t="n"/>
      <c r="F434" s="26" t="n"/>
      <c r="G434" s="17" t="n"/>
      <c r="H434" s="21" t="n"/>
      <c r="I434" s="16">
        <f>IF(OR(N(D434)&lt;=0,NOT(ISNUMBER(E434))),"",E434/D434)</f>
        <v/>
      </c>
      <c r="J434" s="16">
        <f>IF(OR(C434="",NOT(ISNUMBER(E434))),"",MAX(0,E434-N(F434)))</f>
        <v/>
      </c>
      <c r="K434" s="12">
        <f>IF(AND(C434="",D434="",E434=""),"",IF(NOT(ISNUMBER(B434)),"Needs a date",IF(C434="","Needs a client",IF(COUNTIF(Clients!$B$6:$B$105,C434)=0,"Not on Clients",IF(NOT(ISNUMBER(D434)),"Needs the sessions",IF(AND(E434&lt;&gt;"",NOT(ISNUMBER(E434))),"Price not a number",IF(AND(ISNUMBER(E434),N(F434)&gt;E434),"Paid more than the price","")))))))</f>
        <v/>
      </c>
      <c r="L434" s="1">
        <f>IF(ISNUMBER(B434),YEAR(B434)*100+MONTH(B434),"")</f>
        <v/>
      </c>
      <c r="M434">
        <f>IF(AND(K434="",C434&lt;&gt;""),1,0)</f>
        <v/>
      </c>
      <c r="N434">
        <f>IF(AND(M434=1,ISNUMBER(G434)),INT(G434),0)</f>
        <v/>
      </c>
    </row>
    <row r="435">
      <c r="A435" s="1" t="n"/>
      <c r="B435" s="17" t="n"/>
      <c r="C435" s="19" t="n"/>
      <c r="D435" s="25" t="n"/>
      <c r="E435" s="26" t="n"/>
      <c r="F435" s="26" t="n"/>
      <c r="G435" s="17" t="n"/>
      <c r="H435" s="21" t="n"/>
      <c r="I435" s="16">
        <f>IF(OR(N(D435)&lt;=0,NOT(ISNUMBER(E435))),"",E435/D435)</f>
        <v/>
      </c>
      <c r="J435" s="16">
        <f>IF(OR(C435="",NOT(ISNUMBER(E435))),"",MAX(0,E435-N(F435)))</f>
        <v/>
      </c>
      <c r="K435" s="12">
        <f>IF(AND(C435="",D435="",E435=""),"",IF(NOT(ISNUMBER(B435)),"Needs a date",IF(C435="","Needs a client",IF(COUNTIF(Clients!$B$6:$B$105,C435)=0,"Not on Clients",IF(NOT(ISNUMBER(D435)),"Needs the sessions",IF(AND(E435&lt;&gt;"",NOT(ISNUMBER(E435))),"Price not a number",IF(AND(ISNUMBER(E435),N(F435)&gt;E435),"Paid more than the price","")))))))</f>
        <v/>
      </c>
      <c r="L435" s="1">
        <f>IF(ISNUMBER(B435),YEAR(B435)*100+MONTH(B435),"")</f>
        <v/>
      </c>
      <c r="M435">
        <f>IF(AND(K435="",C435&lt;&gt;""),1,0)</f>
        <v/>
      </c>
      <c r="N435">
        <f>IF(AND(M435=1,ISNUMBER(G435)),INT(G435),0)</f>
        <v/>
      </c>
    </row>
    <row r="436">
      <c r="A436" s="1" t="n"/>
      <c r="B436" s="17" t="n"/>
      <c r="C436" s="19" t="n"/>
      <c r="D436" s="25" t="n"/>
      <c r="E436" s="26" t="n"/>
      <c r="F436" s="26" t="n"/>
      <c r="G436" s="17" t="n"/>
      <c r="H436" s="21" t="n"/>
      <c r="I436" s="16">
        <f>IF(OR(N(D436)&lt;=0,NOT(ISNUMBER(E436))),"",E436/D436)</f>
        <v/>
      </c>
      <c r="J436" s="16">
        <f>IF(OR(C436="",NOT(ISNUMBER(E436))),"",MAX(0,E436-N(F436)))</f>
        <v/>
      </c>
      <c r="K436" s="12">
        <f>IF(AND(C436="",D436="",E436=""),"",IF(NOT(ISNUMBER(B436)),"Needs a date",IF(C436="","Needs a client",IF(COUNTIF(Clients!$B$6:$B$105,C436)=0,"Not on Clients",IF(NOT(ISNUMBER(D436)),"Needs the sessions",IF(AND(E436&lt;&gt;"",NOT(ISNUMBER(E436))),"Price not a number",IF(AND(ISNUMBER(E436),N(F436)&gt;E436),"Paid more than the price","")))))))</f>
        <v/>
      </c>
      <c r="L436" s="1">
        <f>IF(ISNUMBER(B436),YEAR(B436)*100+MONTH(B436),"")</f>
        <v/>
      </c>
      <c r="M436">
        <f>IF(AND(K436="",C436&lt;&gt;""),1,0)</f>
        <v/>
      </c>
      <c r="N436">
        <f>IF(AND(M436=1,ISNUMBER(G436)),INT(G436),0)</f>
        <v/>
      </c>
    </row>
    <row r="437">
      <c r="A437" s="1" t="n"/>
      <c r="B437" s="17" t="n"/>
      <c r="C437" s="19" t="n"/>
      <c r="D437" s="25" t="n"/>
      <c r="E437" s="26" t="n"/>
      <c r="F437" s="26" t="n"/>
      <c r="G437" s="17" t="n"/>
      <c r="H437" s="21" t="n"/>
      <c r="I437" s="16">
        <f>IF(OR(N(D437)&lt;=0,NOT(ISNUMBER(E437))),"",E437/D437)</f>
        <v/>
      </c>
      <c r="J437" s="16">
        <f>IF(OR(C437="",NOT(ISNUMBER(E437))),"",MAX(0,E437-N(F437)))</f>
        <v/>
      </c>
      <c r="K437" s="12">
        <f>IF(AND(C437="",D437="",E437=""),"",IF(NOT(ISNUMBER(B437)),"Needs a date",IF(C437="","Needs a client",IF(COUNTIF(Clients!$B$6:$B$105,C437)=0,"Not on Clients",IF(NOT(ISNUMBER(D437)),"Needs the sessions",IF(AND(E437&lt;&gt;"",NOT(ISNUMBER(E437))),"Price not a number",IF(AND(ISNUMBER(E437),N(F437)&gt;E437),"Paid more than the price","")))))))</f>
        <v/>
      </c>
      <c r="L437" s="1">
        <f>IF(ISNUMBER(B437),YEAR(B437)*100+MONTH(B437),"")</f>
        <v/>
      </c>
      <c r="M437">
        <f>IF(AND(K437="",C437&lt;&gt;""),1,0)</f>
        <v/>
      </c>
      <c r="N437">
        <f>IF(AND(M437=1,ISNUMBER(G437)),INT(G437),0)</f>
        <v/>
      </c>
    </row>
    <row r="438">
      <c r="A438" s="1" t="n"/>
      <c r="B438" s="17" t="n"/>
      <c r="C438" s="19" t="n"/>
      <c r="D438" s="25" t="n"/>
      <c r="E438" s="26" t="n"/>
      <c r="F438" s="26" t="n"/>
      <c r="G438" s="17" t="n"/>
      <c r="H438" s="21" t="n"/>
      <c r="I438" s="16">
        <f>IF(OR(N(D438)&lt;=0,NOT(ISNUMBER(E438))),"",E438/D438)</f>
        <v/>
      </c>
      <c r="J438" s="16">
        <f>IF(OR(C438="",NOT(ISNUMBER(E438))),"",MAX(0,E438-N(F438)))</f>
        <v/>
      </c>
      <c r="K438" s="12">
        <f>IF(AND(C438="",D438="",E438=""),"",IF(NOT(ISNUMBER(B438)),"Needs a date",IF(C438="","Needs a client",IF(COUNTIF(Clients!$B$6:$B$105,C438)=0,"Not on Clients",IF(NOT(ISNUMBER(D438)),"Needs the sessions",IF(AND(E438&lt;&gt;"",NOT(ISNUMBER(E438))),"Price not a number",IF(AND(ISNUMBER(E438),N(F438)&gt;E438),"Paid more than the price","")))))))</f>
        <v/>
      </c>
      <c r="L438" s="1">
        <f>IF(ISNUMBER(B438),YEAR(B438)*100+MONTH(B438),"")</f>
        <v/>
      </c>
      <c r="M438">
        <f>IF(AND(K438="",C438&lt;&gt;""),1,0)</f>
        <v/>
      </c>
      <c r="N438">
        <f>IF(AND(M438=1,ISNUMBER(G438)),INT(G438),0)</f>
        <v/>
      </c>
    </row>
    <row r="439">
      <c r="A439" s="1" t="n"/>
      <c r="B439" s="17" t="n"/>
      <c r="C439" s="19" t="n"/>
      <c r="D439" s="25" t="n"/>
      <c r="E439" s="26" t="n"/>
      <c r="F439" s="26" t="n"/>
      <c r="G439" s="17" t="n"/>
      <c r="H439" s="21" t="n"/>
      <c r="I439" s="16">
        <f>IF(OR(N(D439)&lt;=0,NOT(ISNUMBER(E439))),"",E439/D439)</f>
        <v/>
      </c>
      <c r="J439" s="16">
        <f>IF(OR(C439="",NOT(ISNUMBER(E439))),"",MAX(0,E439-N(F439)))</f>
        <v/>
      </c>
      <c r="K439" s="12">
        <f>IF(AND(C439="",D439="",E439=""),"",IF(NOT(ISNUMBER(B439)),"Needs a date",IF(C439="","Needs a client",IF(COUNTIF(Clients!$B$6:$B$105,C439)=0,"Not on Clients",IF(NOT(ISNUMBER(D439)),"Needs the sessions",IF(AND(E439&lt;&gt;"",NOT(ISNUMBER(E439))),"Price not a number",IF(AND(ISNUMBER(E439),N(F439)&gt;E439),"Paid more than the price","")))))))</f>
        <v/>
      </c>
      <c r="L439" s="1">
        <f>IF(ISNUMBER(B439),YEAR(B439)*100+MONTH(B439),"")</f>
        <v/>
      </c>
      <c r="M439">
        <f>IF(AND(K439="",C439&lt;&gt;""),1,0)</f>
        <v/>
      </c>
      <c r="N439">
        <f>IF(AND(M439=1,ISNUMBER(G439)),INT(G439),0)</f>
        <v/>
      </c>
    </row>
    <row r="440">
      <c r="A440" s="1" t="n"/>
      <c r="B440" s="17" t="n"/>
      <c r="C440" s="19" t="n"/>
      <c r="D440" s="25" t="n"/>
      <c r="E440" s="26" t="n"/>
      <c r="F440" s="26" t="n"/>
      <c r="G440" s="17" t="n"/>
      <c r="H440" s="21" t="n"/>
      <c r="I440" s="16">
        <f>IF(OR(N(D440)&lt;=0,NOT(ISNUMBER(E440))),"",E440/D440)</f>
        <v/>
      </c>
      <c r="J440" s="16">
        <f>IF(OR(C440="",NOT(ISNUMBER(E440))),"",MAX(0,E440-N(F440)))</f>
        <v/>
      </c>
      <c r="K440" s="12">
        <f>IF(AND(C440="",D440="",E440=""),"",IF(NOT(ISNUMBER(B440)),"Needs a date",IF(C440="","Needs a client",IF(COUNTIF(Clients!$B$6:$B$105,C440)=0,"Not on Clients",IF(NOT(ISNUMBER(D440)),"Needs the sessions",IF(AND(E440&lt;&gt;"",NOT(ISNUMBER(E440))),"Price not a number",IF(AND(ISNUMBER(E440),N(F440)&gt;E440),"Paid more than the price","")))))))</f>
        <v/>
      </c>
      <c r="L440" s="1">
        <f>IF(ISNUMBER(B440),YEAR(B440)*100+MONTH(B440),"")</f>
        <v/>
      </c>
      <c r="M440">
        <f>IF(AND(K440="",C440&lt;&gt;""),1,0)</f>
        <v/>
      </c>
      <c r="N440">
        <f>IF(AND(M440=1,ISNUMBER(G440)),INT(G440),0)</f>
        <v/>
      </c>
    </row>
    <row r="441">
      <c r="A441" s="1" t="n"/>
      <c r="B441" s="17" t="n"/>
      <c r="C441" s="19" t="n"/>
      <c r="D441" s="25" t="n"/>
      <c r="E441" s="26" t="n"/>
      <c r="F441" s="26" t="n"/>
      <c r="G441" s="17" t="n"/>
      <c r="H441" s="21" t="n"/>
      <c r="I441" s="16">
        <f>IF(OR(N(D441)&lt;=0,NOT(ISNUMBER(E441))),"",E441/D441)</f>
        <v/>
      </c>
      <c r="J441" s="16">
        <f>IF(OR(C441="",NOT(ISNUMBER(E441))),"",MAX(0,E441-N(F441)))</f>
        <v/>
      </c>
      <c r="K441" s="12">
        <f>IF(AND(C441="",D441="",E441=""),"",IF(NOT(ISNUMBER(B441)),"Needs a date",IF(C441="","Needs a client",IF(COUNTIF(Clients!$B$6:$B$105,C441)=0,"Not on Clients",IF(NOT(ISNUMBER(D441)),"Needs the sessions",IF(AND(E441&lt;&gt;"",NOT(ISNUMBER(E441))),"Price not a number",IF(AND(ISNUMBER(E441),N(F441)&gt;E441),"Paid more than the price","")))))))</f>
        <v/>
      </c>
      <c r="L441" s="1">
        <f>IF(ISNUMBER(B441),YEAR(B441)*100+MONTH(B441),"")</f>
        <v/>
      </c>
      <c r="M441">
        <f>IF(AND(K441="",C441&lt;&gt;""),1,0)</f>
        <v/>
      </c>
      <c r="N441">
        <f>IF(AND(M441=1,ISNUMBER(G441)),INT(G441),0)</f>
        <v/>
      </c>
    </row>
    <row r="442">
      <c r="A442" s="1" t="n"/>
      <c r="B442" s="17" t="n"/>
      <c r="C442" s="19" t="n"/>
      <c r="D442" s="25" t="n"/>
      <c r="E442" s="26" t="n"/>
      <c r="F442" s="26" t="n"/>
      <c r="G442" s="17" t="n"/>
      <c r="H442" s="21" t="n"/>
      <c r="I442" s="16">
        <f>IF(OR(N(D442)&lt;=0,NOT(ISNUMBER(E442))),"",E442/D442)</f>
        <v/>
      </c>
      <c r="J442" s="16">
        <f>IF(OR(C442="",NOT(ISNUMBER(E442))),"",MAX(0,E442-N(F442)))</f>
        <v/>
      </c>
      <c r="K442" s="12">
        <f>IF(AND(C442="",D442="",E442=""),"",IF(NOT(ISNUMBER(B442)),"Needs a date",IF(C442="","Needs a client",IF(COUNTIF(Clients!$B$6:$B$105,C442)=0,"Not on Clients",IF(NOT(ISNUMBER(D442)),"Needs the sessions",IF(AND(E442&lt;&gt;"",NOT(ISNUMBER(E442))),"Price not a number",IF(AND(ISNUMBER(E442),N(F442)&gt;E442),"Paid more than the price","")))))))</f>
        <v/>
      </c>
      <c r="L442" s="1">
        <f>IF(ISNUMBER(B442),YEAR(B442)*100+MONTH(B442),"")</f>
        <v/>
      </c>
      <c r="M442">
        <f>IF(AND(K442="",C442&lt;&gt;""),1,0)</f>
        <v/>
      </c>
      <c r="N442">
        <f>IF(AND(M442=1,ISNUMBER(G442)),INT(G442),0)</f>
        <v/>
      </c>
    </row>
    <row r="443">
      <c r="A443" s="1" t="n"/>
      <c r="B443" s="17" t="n"/>
      <c r="C443" s="19" t="n"/>
      <c r="D443" s="25" t="n"/>
      <c r="E443" s="26" t="n"/>
      <c r="F443" s="26" t="n"/>
      <c r="G443" s="17" t="n"/>
      <c r="H443" s="21" t="n"/>
      <c r="I443" s="16">
        <f>IF(OR(N(D443)&lt;=0,NOT(ISNUMBER(E443))),"",E443/D443)</f>
        <v/>
      </c>
      <c r="J443" s="16">
        <f>IF(OR(C443="",NOT(ISNUMBER(E443))),"",MAX(0,E443-N(F443)))</f>
        <v/>
      </c>
      <c r="K443" s="12">
        <f>IF(AND(C443="",D443="",E443=""),"",IF(NOT(ISNUMBER(B443)),"Needs a date",IF(C443="","Needs a client",IF(COUNTIF(Clients!$B$6:$B$105,C443)=0,"Not on Clients",IF(NOT(ISNUMBER(D443)),"Needs the sessions",IF(AND(E443&lt;&gt;"",NOT(ISNUMBER(E443))),"Price not a number",IF(AND(ISNUMBER(E443),N(F443)&gt;E443),"Paid more than the price","")))))))</f>
        <v/>
      </c>
      <c r="L443" s="1">
        <f>IF(ISNUMBER(B443),YEAR(B443)*100+MONTH(B443),"")</f>
        <v/>
      </c>
      <c r="M443">
        <f>IF(AND(K443="",C443&lt;&gt;""),1,0)</f>
        <v/>
      </c>
      <c r="N443">
        <f>IF(AND(M443=1,ISNUMBER(G443)),INT(G443),0)</f>
        <v/>
      </c>
    </row>
    <row r="444">
      <c r="A444" s="1" t="n"/>
      <c r="B444" s="17" t="n"/>
      <c r="C444" s="19" t="n"/>
      <c r="D444" s="25" t="n"/>
      <c r="E444" s="26" t="n"/>
      <c r="F444" s="26" t="n"/>
      <c r="G444" s="17" t="n"/>
      <c r="H444" s="21" t="n"/>
      <c r="I444" s="16">
        <f>IF(OR(N(D444)&lt;=0,NOT(ISNUMBER(E444))),"",E444/D444)</f>
        <v/>
      </c>
      <c r="J444" s="16">
        <f>IF(OR(C444="",NOT(ISNUMBER(E444))),"",MAX(0,E444-N(F444)))</f>
        <v/>
      </c>
      <c r="K444" s="12">
        <f>IF(AND(C444="",D444="",E444=""),"",IF(NOT(ISNUMBER(B444)),"Needs a date",IF(C444="","Needs a client",IF(COUNTIF(Clients!$B$6:$B$105,C444)=0,"Not on Clients",IF(NOT(ISNUMBER(D444)),"Needs the sessions",IF(AND(E444&lt;&gt;"",NOT(ISNUMBER(E444))),"Price not a number",IF(AND(ISNUMBER(E444),N(F444)&gt;E444),"Paid more than the price","")))))))</f>
        <v/>
      </c>
      <c r="L444" s="1">
        <f>IF(ISNUMBER(B444),YEAR(B444)*100+MONTH(B444),"")</f>
        <v/>
      </c>
      <c r="M444">
        <f>IF(AND(K444="",C444&lt;&gt;""),1,0)</f>
        <v/>
      </c>
      <c r="N444">
        <f>IF(AND(M444=1,ISNUMBER(G444)),INT(G444),0)</f>
        <v/>
      </c>
    </row>
    <row r="445">
      <c r="A445" s="1" t="n"/>
      <c r="B445" s="17" t="n"/>
      <c r="C445" s="19" t="n"/>
      <c r="D445" s="25" t="n"/>
      <c r="E445" s="26" t="n"/>
      <c r="F445" s="26" t="n"/>
      <c r="G445" s="17" t="n"/>
      <c r="H445" s="21" t="n"/>
      <c r="I445" s="16">
        <f>IF(OR(N(D445)&lt;=0,NOT(ISNUMBER(E445))),"",E445/D445)</f>
        <v/>
      </c>
      <c r="J445" s="16">
        <f>IF(OR(C445="",NOT(ISNUMBER(E445))),"",MAX(0,E445-N(F445)))</f>
        <v/>
      </c>
      <c r="K445" s="12">
        <f>IF(AND(C445="",D445="",E445=""),"",IF(NOT(ISNUMBER(B445)),"Needs a date",IF(C445="","Needs a client",IF(COUNTIF(Clients!$B$6:$B$105,C445)=0,"Not on Clients",IF(NOT(ISNUMBER(D445)),"Needs the sessions",IF(AND(E445&lt;&gt;"",NOT(ISNUMBER(E445))),"Price not a number",IF(AND(ISNUMBER(E445),N(F445)&gt;E445),"Paid more than the price","")))))))</f>
        <v/>
      </c>
      <c r="L445" s="1">
        <f>IF(ISNUMBER(B445),YEAR(B445)*100+MONTH(B445),"")</f>
        <v/>
      </c>
      <c r="M445">
        <f>IF(AND(K445="",C445&lt;&gt;""),1,0)</f>
        <v/>
      </c>
      <c r="N445">
        <f>IF(AND(M445=1,ISNUMBER(G445)),INT(G445),0)</f>
        <v/>
      </c>
    </row>
    <row r="446">
      <c r="A446" s="1" t="n"/>
      <c r="B446" s="17" t="n"/>
      <c r="C446" s="19" t="n"/>
      <c r="D446" s="25" t="n"/>
      <c r="E446" s="26" t="n"/>
      <c r="F446" s="26" t="n"/>
      <c r="G446" s="17" t="n"/>
      <c r="H446" s="21" t="n"/>
      <c r="I446" s="16">
        <f>IF(OR(N(D446)&lt;=0,NOT(ISNUMBER(E446))),"",E446/D446)</f>
        <v/>
      </c>
      <c r="J446" s="16">
        <f>IF(OR(C446="",NOT(ISNUMBER(E446))),"",MAX(0,E446-N(F446)))</f>
        <v/>
      </c>
      <c r="K446" s="12">
        <f>IF(AND(C446="",D446="",E446=""),"",IF(NOT(ISNUMBER(B446)),"Needs a date",IF(C446="","Needs a client",IF(COUNTIF(Clients!$B$6:$B$105,C446)=0,"Not on Clients",IF(NOT(ISNUMBER(D446)),"Needs the sessions",IF(AND(E446&lt;&gt;"",NOT(ISNUMBER(E446))),"Price not a number",IF(AND(ISNUMBER(E446),N(F446)&gt;E446),"Paid more than the price","")))))))</f>
        <v/>
      </c>
      <c r="L446" s="1">
        <f>IF(ISNUMBER(B446),YEAR(B446)*100+MONTH(B446),"")</f>
        <v/>
      </c>
      <c r="M446">
        <f>IF(AND(K446="",C446&lt;&gt;""),1,0)</f>
        <v/>
      </c>
      <c r="N446">
        <f>IF(AND(M446=1,ISNUMBER(G446)),INT(G446),0)</f>
        <v/>
      </c>
    </row>
    <row r="447">
      <c r="A447" s="1" t="n"/>
      <c r="B447" s="17" t="n"/>
      <c r="C447" s="19" t="n"/>
      <c r="D447" s="25" t="n"/>
      <c r="E447" s="26" t="n"/>
      <c r="F447" s="26" t="n"/>
      <c r="G447" s="17" t="n"/>
      <c r="H447" s="21" t="n"/>
      <c r="I447" s="16">
        <f>IF(OR(N(D447)&lt;=0,NOT(ISNUMBER(E447))),"",E447/D447)</f>
        <v/>
      </c>
      <c r="J447" s="16">
        <f>IF(OR(C447="",NOT(ISNUMBER(E447))),"",MAX(0,E447-N(F447)))</f>
        <v/>
      </c>
      <c r="K447" s="12">
        <f>IF(AND(C447="",D447="",E447=""),"",IF(NOT(ISNUMBER(B447)),"Needs a date",IF(C447="","Needs a client",IF(COUNTIF(Clients!$B$6:$B$105,C447)=0,"Not on Clients",IF(NOT(ISNUMBER(D447)),"Needs the sessions",IF(AND(E447&lt;&gt;"",NOT(ISNUMBER(E447))),"Price not a number",IF(AND(ISNUMBER(E447),N(F447)&gt;E447),"Paid more than the price","")))))))</f>
        <v/>
      </c>
      <c r="L447" s="1">
        <f>IF(ISNUMBER(B447),YEAR(B447)*100+MONTH(B447),"")</f>
        <v/>
      </c>
      <c r="M447">
        <f>IF(AND(K447="",C447&lt;&gt;""),1,0)</f>
        <v/>
      </c>
      <c r="N447">
        <f>IF(AND(M447=1,ISNUMBER(G447)),INT(G447),0)</f>
        <v/>
      </c>
    </row>
    <row r="448">
      <c r="A448" s="1" t="n"/>
      <c r="B448" s="17" t="n"/>
      <c r="C448" s="19" t="n"/>
      <c r="D448" s="25" t="n"/>
      <c r="E448" s="26" t="n"/>
      <c r="F448" s="26" t="n"/>
      <c r="G448" s="17" t="n"/>
      <c r="H448" s="21" t="n"/>
      <c r="I448" s="16">
        <f>IF(OR(N(D448)&lt;=0,NOT(ISNUMBER(E448))),"",E448/D448)</f>
        <v/>
      </c>
      <c r="J448" s="16">
        <f>IF(OR(C448="",NOT(ISNUMBER(E448))),"",MAX(0,E448-N(F448)))</f>
        <v/>
      </c>
      <c r="K448" s="12">
        <f>IF(AND(C448="",D448="",E448=""),"",IF(NOT(ISNUMBER(B448)),"Needs a date",IF(C448="","Needs a client",IF(COUNTIF(Clients!$B$6:$B$105,C448)=0,"Not on Clients",IF(NOT(ISNUMBER(D448)),"Needs the sessions",IF(AND(E448&lt;&gt;"",NOT(ISNUMBER(E448))),"Price not a number",IF(AND(ISNUMBER(E448),N(F448)&gt;E448),"Paid more than the price","")))))))</f>
        <v/>
      </c>
      <c r="L448" s="1">
        <f>IF(ISNUMBER(B448),YEAR(B448)*100+MONTH(B448),"")</f>
        <v/>
      </c>
      <c r="M448">
        <f>IF(AND(K448="",C448&lt;&gt;""),1,0)</f>
        <v/>
      </c>
      <c r="N448">
        <f>IF(AND(M448=1,ISNUMBER(G448)),INT(G448),0)</f>
        <v/>
      </c>
    </row>
    <row r="449">
      <c r="A449" s="1" t="n"/>
      <c r="B449" s="17" t="n"/>
      <c r="C449" s="19" t="n"/>
      <c r="D449" s="25" t="n"/>
      <c r="E449" s="26" t="n"/>
      <c r="F449" s="26" t="n"/>
      <c r="G449" s="17" t="n"/>
      <c r="H449" s="21" t="n"/>
      <c r="I449" s="16">
        <f>IF(OR(N(D449)&lt;=0,NOT(ISNUMBER(E449))),"",E449/D449)</f>
        <v/>
      </c>
      <c r="J449" s="16">
        <f>IF(OR(C449="",NOT(ISNUMBER(E449))),"",MAX(0,E449-N(F449)))</f>
        <v/>
      </c>
      <c r="K449" s="12">
        <f>IF(AND(C449="",D449="",E449=""),"",IF(NOT(ISNUMBER(B449)),"Needs a date",IF(C449="","Needs a client",IF(COUNTIF(Clients!$B$6:$B$105,C449)=0,"Not on Clients",IF(NOT(ISNUMBER(D449)),"Needs the sessions",IF(AND(E449&lt;&gt;"",NOT(ISNUMBER(E449))),"Price not a number",IF(AND(ISNUMBER(E449),N(F449)&gt;E449),"Paid more than the price","")))))))</f>
        <v/>
      </c>
      <c r="L449" s="1">
        <f>IF(ISNUMBER(B449),YEAR(B449)*100+MONTH(B449),"")</f>
        <v/>
      </c>
      <c r="M449">
        <f>IF(AND(K449="",C449&lt;&gt;""),1,0)</f>
        <v/>
      </c>
      <c r="N449">
        <f>IF(AND(M449=1,ISNUMBER(G449)),INT(G449),0)</f>
        <v/>
      </c>
    </row>
    <row r="450">
      <c r="A450" s="1" t="n"/>
      <c r="B450" s="17" t="n"/>
      <c r="C450" s="19" t="n"/>
      <c r="D450" s="25" t="n"/>
      <c r="E450" s="26" t="n"/>
      <c r="F450" s="26" t="n"/>
      <c r="G450" s="17" t="n"/>
      <c r="H450" s="21" t="n"/>
      <c r="I450" s="16">
        <f>IF(OR(N(D450)&lt;=0,NOT(ISNUMBER(E450))),"",E450/D450)</f>
        <v/>
      </c>
      <c r="J450" s="16">
        <f>IF(OR(C450="",NOT(ISNUMBER(E450))),"",MAX(0,E450-N(F450)))</f>
        <v/>
      </c>
      <c r="K450" s="12">
        <f>IF(AND(C450="",D450="",E450=""),"",IF(NOT(ISNUMBER(B450)),"Needs a date",IF(C450="","Needs a client",IF(COUNTIF(Clients!$B$6:$B$105,C450)=0,"Not on Clients",IF(NOT(ISNUMBER(D450)),"Needs the sessions",IF(AND(E450&lt;&gt;"",NOT(ISNUMBER(E450))),"Price not a number",IF(AND(ISNUMBER(E450),N(F450)&gt;E450),"Paid more than the price","")))))))</f>
        <v/>
      </c>
      <c r="L450" s="1">
        <f>IF(ISNUMBER(B450),YEAR(B450)*100+MONTH(B450),"")</f>
        <v/>
      </c>
      <c r="M450">
        <f>IF(AND(K450="",C450&lt;&gt;""),1,0)</f>
        <v/>
      </c>
      <c r="N450">
        <f>IF(AND(M450=1,ISNUMBER(G450)),INT(G450),0)</f>
        <v/>
      </c>
    </row>
    <row r="451">
      <c r="A451" s="1" t="n"/>
      <c r="B451" s="17" t="n"/>
      <c r="C451" s="19" t="n"/>
      <c r="D451" s="25" t="n"/>
      <c r="E451" s="26" t="n"/>
      <c r="F451" s="26" t="n"/>
      <c r="G451" s="17" t="n"/>
      <c r="H451" s="21" t="n"/>
      <c r="I451" s="16">
        <f>IF(OR(N(D451)&lt;=0,NOT(ISNUMBER(E451))),"",E451/D451)</f>
        <v/>
      </c>
      <c r="J451" s="16">
        <f>IF(OR(C451="",NOT(ISNUMBER(E451))),"",MAX(0,E451-N(F451)))</f>
        <v/>
      </c>
      <c r="K451" s="12">
        <f>IF(AND(C451="",D451="",E451=""),"",IF(NOT(ISNUMBER(B451)),"Needs a date",IF(C451="","Needs a client",IF(COUNTIF(Clients!$B$6:$B$105,C451)=0,"Not on Clients",IF(NOT(ISNUMBER(D451)),"Needs the sessions",IF(AND(E451&lt;&gt;"",NOT(ISNUMBER(E451))),"Price not a number",IF(AND(ISNUMBER(E451),N(F451)&gt;E451),"Paid more than the price","")))))))</f>
        <v/>
      </c>
      <c r="L451" s="1">
        <f>IF(ISNUMBER(B451),YEAR(B451)*100+MONTH(B451),"")</f>
        <v/>
      </c>
      <c r="M451">
        <f>IF(AND(K451="",C451&lt;&gt;""),1,0)</f>
        <v/>
      </c>
      <c r="N451">
        <f>IF(AND(M451=1,ISNUMBER(G451)),INT(G451),0)</f>
        <v/>
      </c>
    </row>
    <row r="452">
      <c r="A452" s="1" t="n"/>
      <c r="B452" s="17" t="n"/>
      <c r="C452" s="19" t="n"/>
      <c r="D452" s="25" t="n"/>
      <c r="E452" s="26" t="n"/>
      <c r="F452" s="26" t="n"/>
      <c r="G452" s="17" t="n"/>
      <c r="H452" s="21" t="n"/>
      <c r="I452" s="16">
        <f>IF(OR(N(D452)&lt;=0,NOT(ISNUMBER(E452))),"",E452/D452)</f>
        <v/>
      </c>
      <c r="J452" s="16">
        <f>IF(OR(C452="",NOT(ISNUMBER(E452))),"",MAX(0,E452-N(F452)))</f>
        <v/>
      </c>
      <c r="K452" s="12">
        <f>IF(AND(C452="",D452="",E452=""),"",IF(NOT(ISNUMBER(B452)),"Needs a date",IF(C452="","Needs a client",IF(COUNTIF(Clients!$B$6:$B$105,C452)=0,"Not on Clients",IF(NOT(ISNUMBER(D452)),"Needs the sessions",IF(AND(E452&lt;&gt;"",NOT(ISNUMBER(E452))),"Price not a number",IF(AND(ISNUMBER(E452),N(F452)&gt;E452),"Paid more than the price","")))))))</f>
        <v/>
      </c>
      <c r="L452" s="1">
        <f>IF(ISNUMBER(B452),YEAR(B452)*100+MONTH(B452),"")</f>
        <v/>
      </c>
      <c r="M452">
        <f>IF(AND(K452="",C452&lt;&gt;""),1,0)</f>
        <v/>
      </c>
      <c r="N452">
        <f>IF(AND(M452=1,ISNUMBER(G452)),INT(G452),0)</f>
        <v/>
      </c>
    </row>
    <row r="453">
      <c r="A453" s="1" t="n"/>
      <c r="B453" s="17" t="n"/>
      <c r="C453" s="19" t="n"/>
      <c r="D453" s="25" t="n"/>
      <c r="E453" s="26" t="n"/>
      <c r="F453" s="26" t="n"/>
      <c r="G453" s="17" t="n"/>
      <c r="H453" s="21" t="n"/>
      <c r="I453" s="16">
        <f>IF(OR(N(D453)&lt;=0,NOT(ISNUMBER(E453))),"",E453/D453)</f>
        <v/>
      </c>
      <c r="J453" s="16">
        <f>IF(OR(C453="",NOT(ISNUMBER(E453))),"",MAX(0,E453-N(F453)))</f>
        <v/>
      </c>
      <c r="K453" s="12">
        <f>IF(AND(C453="",D453="",E453=""),"",IF(NOT(ISNUMBER(B453)),"Needs a date",IF(C453="","Needs a client",IF(COUNTIF(Clients!$B$6:$B$105,C453)=0,"Not on Clients",IF(NOT(ISNUMBER(D453)),"Needs the sessions",IF(AND(E453&lt;&gt;"",NOT(ISNUMBER(E453))),"Price not a number",IF(AND(ISNUMBER(E453),N(F453)&gt;E453),"Paid more than the price","")))))))</f>
        <v/>
      </c>
      <c r="L453" s="1">
        <f>IF(ISNUMBER(B453),YEAR(B453)*100+MONTH(B453),"")</f>
        <v/>
      </c>
      <c r="M453">
        <f>IF(AND(K453="",C453&lt;&gt;""),1,0)</f>
        <v/>
      </c>
      <c r="N453">
        <f>IF(AND(M453=1,ISNUMBER(G453)),INT(G453),0)</f>
        <v/>
      </c>
    </row>
    <row r="454">
      <c r="A454" s="1" t="n"/>
      <c r="B454" s="17" t="n"/>
      <c r="C454" s="19" t="n"/>
      <c r="D454" s="25" t="n"/>
      <c r="E454" s="26" t="n"/>
      <c r="F454" s="26" t="n"/>
      <c r="G454" s="17" t="n"/>
      <c r="H454" s="21" t="n"/>
      <c r="I454" s="16">
        <f>IF(OR(N(D454)&lt;=0,NOT(ISNUMBER(E454))),"",E454/D454)</f>
        <v/>
      </c>
      <c r="J454" s="16">
        <f>IF(OR(C454="",NOT(ISNUMBER(E454))),"",MAX(0,E454-N(F454)))</f>
        <v/>
      </c>
      <c r="K454" s="12">
        <f>IF(AND(C454="",D454="",E454=""),"",IF(NOT(ISNUMBER(B454)),"Needs a date",IF(C454="","Needs a client",IF(COUNTIF(Clients!$B$6:$B$105,C454)=0,"Not on Clients",IF(NOT(ISNUMBER(D454)),"Needs the sessions",IF(AND(E454&lt;&gt;"",NOT(ISNUMBER(E454))),"Price not a number",IF(AND(ISNUMBER(E454),N(F454)&gt;E454),"Paid more than the price","")))))))</f>
        <v/>
      </c>
      <c r="L454" s="1">
        <f>IF(ISNUMBER(B454),YEAR(B454)*100+MONTH(B454),"")</f>
        <v/>
      </c>
      <c r="M454">
        <f>IF(AND(K454="",C454&lt;&gt;""),1,0)</f>
        <v/>
      </c>
      <c r="N454">
        <f>IF(AND(M454=1,ISNUMBER(G454)),INT(G454),0)</f>
        <v/>
      </c>
    </row>
    <row r="455">
      <c r="A455" s="1" t="n"/>
      <c r="B455" s="17" t="n"/>
      <c r="C455" s="19" t="n"/>
      <c r="D455" s="25" t="n"/>
      <c r="E455" s="26" t="n"/>
      <c r="F455" s="26" t="n"/>
      <c r="G455" s="17" t="n"/>
      <c r="H455" s="21" t="n"/>
      <c r="I455" s="16">
        <f>IF(OR(N(D455)&lt;=0,NOT(ISNUMBER(E455))),"",E455/D455)</f>
        <v/>
      </c>
      <c r="J455" s="16">
        <f>IF(OR(C455="",NOT(ISNUMBER(E455))),"",MAX(0,E455-N(F455)))</f>
        <v/>
      </c>
      <c r="K455" s="12">
        <f>IF(AND(C455="",D455="",E455=""),"",IF(NOT(ISNUMBER(B455)),"Needs a date",IF(C455="","Needs a client",IF(COUNTIF(Clients!$B$6:$B$105,C455)=0,"Not on Clients",IF(NOT(ISNUMBER(D455)),"Needs the sessions",IF(AND(E455&lt;&gt;"",NOT(ISNUMBER(E455))),"Price not a number",IF(AND(ISNUMBER(E455),N(F455)&gt;E455),"Paid more than the price","")))))))</f>
        <v/>
      </c>
      <c r="L455" s="1">
        <f>IF(ISNUMBER(B455),YEAR(B455)*100+MONTH(B455),"")</f>
        <v/>
      </c>
      <c r="M455">
        <f>IF(AND(K455="",C455&lt;&gt;""),1,0)</f>
        <v/>
      </c>
      <c r="N455">
        <f>IF(AND(M455=1,ISNUMBER(G455)),INT(G455),0)</f>
        <v/>
      </c>
    </row>
    <row r="456">
      <c r="A456" s="1" t="n"/>
      <c r="B456" s="17" t="n"/>
      <c r="C456" s="19" t="n"/>
      <c r="D456" s="25" t="n"/>
      <c r="E456" s="26" t="n"/>
      <c r="F456" s="26" t="n"/>
      <c r="G456" s="17" t="n"/>
      <c r="H456" s="21" t="n"/>
      <c r="I456" s="16">
        <f>IF(OR(N(D456)&lt;=0,NOT(ISNUMBER(E456))),"",E456/D456)</f>
        <v/>
      </c>
      <c r="J456" s="16">
        <f>IF(OR(C456="",NOT(ISNUMBER(E456))),"",MAX(0,E456-N(F456)))</f>
        <v/>
      </c>
      <c r="K456" s="12">
        <f>IF(AND(C456="",D456="",E456=""),"",IF(NOT(ISNUMBER(B456)),"Needs a date",IF(C456="","Needs a client",IF(COUNTIF(Clients!$B$6:$B$105,C456)=0,"Not on Clients",IF(NOT(ISNUMBER(D456)),"Needs the sessions",IF(AND(E456&lt;&gt;"",NOT(ISNUMBER(E456))),"Price not a number",IF(AND(ISNUMBER(E456),N(F456)&gt;E456),"Paid more than the price","")))))))</f>
        <v/>
      </c>
      <c r="L456" s="1">
        <f>IF(ISNUMBER(B456),YEAR(B456)*100+MONTH(B456),"")</f>
        <v/>
      </c>
      <c r="M456">
        <f>IF(AND(K456="",C456&lt;&gt;""),1,0)</f>
        <v/>
      </c>
      <c r="N456">
        <f>IF(AND(M456=1,ISNUMBER(G456)),INT(G456),0)</f>
        <v/>
      </c>
    </row>
    <row r="457">
      <c r="A457" s="1" t="n"/>
      <c r="B457" s="17" t="n"/>
      <c r="C457" s="19" t="n"/>
      <c r="D457" s="25" t="n"/>
      <c r="E457" s="26" t="n"/>
      <c r="F457" s="26" t="n"/>
      <c r="G457" s="17" t="n"/>
      <c r="H457" s="21" t="n"/>
      <c r="I457" s="16">
        <f>IF(OR(N(D457)&lt;=0,NOT(ISNUMBER(E457))),"",E457/D457)</f>
        <v/>
      </c>
      <c r="J457" s="16">
        <f>IF(OR(C457="",NOT(ISNUMBER(E457))),"",MAX(0,E457-N(F457)))</f>
        <v/>
      </c>
      <c r="K457" s="12">
        <f>IF(AND(C457="",D457="",E457=""),"",IF(NOT(ISNUMBER(B457)),"Needs a date",IF(C457="","Needs a client",IF(COUNTIF(Clients!$B$6:$B$105,C457)=0,"Not on Clients",IF(NOT(ISNUMBER(D457)),"Needs the sessions",IF(AND(E457&lt;&gt;"",NOT(ISNUMBER(E457))),"Price not a number",IF(AND(ISNUMBER(E457),N(F457)&gt;E457),"Paid more than the price","")))))))</f>
        <v/>
      </c>
      <c r="L457" s="1">
        <f>IF(ISNUMBER(B457),YEAR(B457)*100+MONTH(B457),"")</f>
        <v/>
      </c>
      <c r="M457">
        <f>IF(AND(K457="",C457&lt;&gt;""),1,0)</f>
        <v/>
      </c>
      <c r="N457">
        <f>IF(AND(M457=1,ISNUMBER(G457)),INT(G457),0)</f>
        <v/>
      </c>
    </row>
    <row r="458">
      <c r="A458" s="1" t="n"/>
      <c r="B458" s="17" t="n"/>
      <c r="C458" s="19" t="n"/>
      <c r="D458" s="25" t="n"/>
      <c r="E458" s="26" t="n"/>
      <c r="F458" s="26" t="n"/>
      <c r="G458" s="17" t="n"/>
      <c r="H458" s="21" t="n"/>
      <c r="I458" s="16">
        <f>IF(OR(N(D458)&lt;=0,NOT(ISNUMBER(E458))),"",E458/D458)</f>
        <v/>
      </c>
      <c r="J458" s="16">
        <f>IF(OR(C458="",NOT(ISNUMBER(E458))),"",MAX(0,E458-N(F458)))</f>
        <v/>
      </c>
      <c r="K458" s="12">
        <f>IF(AND(C458="",D458="",E458=""),"",IF(NOT(ISNUMBER(B458)),"Needs a date",IF(C458="","Needs a client",IF(COUNTIF(Clients!$B$6:$B$105,C458)=0,"Not on Clients",IF(NOT(ISNUMBER(D458)),"Needs the sessions",IF(AND(E458&lt;&gt;"",NOT(ISNUMBER(E458))),"Price not a number",IF(AND(ISNUMBER(E458),N(F458)&gt;E458),"Paid more than the price","")))))))</f>
        <v/>
      </c>
      <c r="L458" s="1">
        <f>IF(ISNUMBER(B458),YEAR(B458)*100+MONTH(B458),"")</f>
        <v/>
      </c>
      <c r="M458">
        <f>IF(AND(K458="",C458&lt;&gt;""),1,0)</f>
        <v/>
      </c>
      <c r="N458">
        <f>IF(AND(M458=1,ISNUMBER(G458)),INT(G458),0)</f>
        <v/>
      </c>
    </row>
    <row r="459">
      <c r="A459" s="1" t="n"/>
      <c r="B459" s="17" t="n"/>
      <c r="C459" s="19" t="n"/>
      <c r="D459" s="25" t="n"/>
      <c r="E459" s="26" t="n"/>
      <c r="F459" s="26" t="n"/>
      <c r="G459" s="17" t="n"/>
      <c r="H459" s="21" t="n"/>
      <c r="I459" s="16">
        <f>IF(OR(N(D459)&lt;=0,NOT(ISNUMBER(E459))),"",E459/D459)</f>
        <v/>
      </c>
      <c r="J459" s="16">
        <f>IF(OR(C459="",NOT(ISNUMBER(E459))),"",MAX(0,E459-N(F459)))</f>
        <v/>
      </c>
      <c r="K459" s="12">
        <f>IF(AND(C459="",D459="",E459=""),"",IF(NOT(ISNUMBER(B459)),"Needs a date",IF(C459="","Needs a client",IF(COUNTIF(Clients!$B$6:$B$105,C459)=0,"Not on Clients",IF(NOT(ISNUMBER(D459)),"Needs the sessions",IF(AND(E459&lt;&gt;"",NOT(ISNUMBER(E459))),"Price not a number",IF(AND(ISNUMBER(E459),N(F459)&gt;E459),"Paid more than the price","")))))))</f>
        <v/>
      </c>
      <c r="L459" s="1">
        <f>IF(ISNUMBER(B459),YEAR(B459)*100+MONTH(B459),"")</f>
        <v/>
      </c>
      <c r="M459">
        <f>IF(AND(K459="",C459&lt;&gt;""),1,0)</f>
        <v/>
      </c>
      <c r="N459">
        <f>IF(AND(M459=1,ISNUMBER(G459)),INT(G459),0)</f>
        <v/>
      </c>
    </row>
    <row r="460">
      <c r="A460" s="1" t="n"/>
      <c r="B460" s="17" t="n"/>
      <c r="C460" s="19" t="n"/>
      <c r="D460" s="25" t="n"/>
      <c r="E460" s="26" t="n"/>
      <c r="F460" s="26" t="n"/>
      <c r="G460" s="17" t="n"/>
      <c r="H460" s="21" t="n"/>
      <c r="I460" s="16">
        <f>IF(OR(N(D460)&lt;=0,NOT(ISNUMBER(E460))),"",E460/D460)</f>
        <v/>
      </c>
      <c r="J460" s="16">
        <f>IF(OR(C460="",NOT(ISNUMBER(E460))),"",MAX(0,E460-N(F460)))</f>
        <v/>
      </c>
      <c r="K460" s="12">
        <f>IF(AND(C460="",D460="",E460=""),"",IF(NOT(ISNUMBER(B460)),"Needs a date",IF(C460="","Needs a client",IF(COUNTIF(Clients!$B$6:$B$105,C460)=0,"Not on Clients",IF(NOT(ISNUMBER(D460)),"Needs the sessions",IF(AND(E460&lt;&gt;"",NOT(ISNUMBER(E460))),"Price not a number",IF(AND(ISNUMBER(E460),N(F460)&gt;E460),"Paid more than the price","")))))))</f>
        <v/>
      </c>
      <c r="L460" s="1">
        <f>IF(ISNUMBER(B460),YEAR(B460)*100+MONTH(B460),"")</f>
        <v/>
      </c>
      <c r="M460">
        <f>IF(AND(K460="",C460&lt;&gt;""),1,0)</f>
        <v/>
      </c>
      <c r="N460">
        <f>IF(AND(M460=1,ISNUMBER(G460)),INT(G460),0)</f>
        <v/>
      </c>
    </row>
    <row r="461">
      <c r="A461" s="1" t="n"/>
      <c r="B461" s="17" t="n"/>
      <c r="C461" s="19" t="n"/>
      <c r="D461" s="25" t="n"/>
      <c r="E461" s="26" t="n"/>
      <c r="F461" s="26" t="n"/>
      <c r="G461" s="17" t="n"/>
      <c r="H461" s="21" t="n"/>
      <c r="I461" s="16">
        <f>IF(OR(N(D461)&lt;=0,NOT(ISNUMBER(E461))),"",E461/D461)</f>
        <v/>
      </c>
      <c r="J461" s="16">
        <f>IF(OR(C461="",NOT(ISNUMBER(E461))),"",MAX(0,E461-N(F461)))</f>
        <v/>
      </c>
      <c r="K461" s="12">
        <f>IF(AND(C461="",D461="",E461=""),"",IF(NOT(ISNUMBER(B461)),"Needs a date",IF(C461="","Needs a client",IF(COUNTIF(Clients!$B$6:$B$105,C461)=0,"Not on Clients",IF(NOT(ISNUMBER(D461)),"Needs the sessions",IF(AND(E461&lt;&gt;"",NOT(ISNUMBER(E461))),"Price not a number",IF(AND(ISNUMBER(E461),N(F461)&gt;E461),"Paid more than the price","")))))))</f>
        <v/>
      </c>
      <c r="L461" s="1">
        <f>IF(ISNUMBER(B461),YEAR(B461)*100+MONTH(B461),"")</f>
        <v/>
      </c>
      <c r="M461">
        <f>IF(AND(K461="",C461&lt;&gt;""),1,0)</f>
        <v/>
      </c>
      <c r="N461">
        <f>IF(AND(M461=1,ISNUMBER(G461)),INT(G461),0)</f>
        <v/>
      </c>
    </row>
    <row r="462">
      <c r="A462" s="1" t="n"/>
      <c r="B462" s="17" t="n"/>
      <c r="C462" s="19" t="n"/>
      <c r="D462" s="25" t="n"/>
      <c r="E462" s="26" t="n"/>
      <c r="F462" s="26" t="n"/>
      <c r="G462" s="17" t="n"/>
      <c r="H462" s="21" t="n"/>
      <c r="I462" s="16">
        <f>IF(OR(N(D462)&lt;=0,NOT(ISNUMBER(E462))),"",E462/D462)</f>
        <v/>
      </c>
      <c r="J462" s="16">
        <f>IF(OR(C462="",NOT(ISNUMBER(E462))),"",MAX(0,E462-N(F462)))</f>
        <v/>
      </c>
      <c r="K462" s="12">
        <f>IF(AND(C462="",D462="",E462=""),"",IF(NOT(ISNUMBER(B462)),"Needs a date",IF(C462="","Needs a client",IF(COUNTIF(Clients!$B$6:$B$105,C462)=0,"Not on Clients",IF(NOT(ISNUMBER(D462)),"Needs the sessions",IF(AND(E462&lt;&gt;"",NOT(ISNUMBER(E462))),"Price not a number",IF(AND(ISNUMBER(E462),N(F462)&gt;E462),"Paid more than the price","")))))))</f>
        <v/>
      </c>
      <c r="L462" s="1">
        <f>IF(ISNUMBER(B462),YEAR(B462)*100+MONTH(B462),"")</f>
        <v/>
      </c>
      <c r="M462">
        <f>IF(AND(K462="",C462&lt;&gt;""),1,0)</f>
        <v/>
      </c>
      <c r="N462">
        <f>IF(AND(M462=1,ISNUMBER(G462)),INT(G462),0)</f>
        <v/>
      </c>
    </row>
    <row r="463">
      <c r="A463" s="1" t="n"/>
      <c r="B463" s="17" t="n"/>
      <c r="C463" s="19" t="n"/>
      <c r="D463" s="25" t="n"/>
      <c r="E463" s="26" t="n"/>
      <c r="F463" s="26" t="n"/>
      <c r="G463" s="17" t="n"/>
      <c r="H463" s="21" t="n"/>
      <c r="I463" s="16">
        <f>IF(OR(N(D463)&lt;=0,NOT(ISNUMBER(E463))),"",E463/D463)</f>
        <v/>
      </c>
      <c r="J463" s="16">
        <f>IF(OR(C463="",NOT(ISNUMBER(E463))),"",MAX(0,E463-N(F463)))</f>
        <v/>
      </c>
      <c r="K463" s="12">
        <f>IF(AND(C463="",D463="",E463=""),"",IF(NOT(ISNUMBER(B463)),"Needs a date",IF(C463="","Needs a client",IF(COUNTIF(Clients!$B$6:$B$105,C463)=0,"Not on Clients",IF(NOT(ISNUMBER(D463)),"Needs the sessions",IF(AND(E463&lt;&gt;"",NOT(ISNUMBER(E463))),"Price not a number",IF(AND(ISNUMBER(E463),N(F463)&gt;E463),"Paid more than the price","")))))))</f>
        <v/>
      </c>
      <c r="L463" s="1">
        <f>IF(ISNUMBER(B463),YEAR(B463)*100+MONTH(B463),"")</f>
        <v/>
      </c>
      <c r="M463">
        <f>IF(AND(K463="",C463&lt;&gt;""),1,0)</f>
        <v/>
      </c>
      <c r="N463">
        <f>IF(AND(M463=1,ISNUMBER(G463)),INT(G463),0)</f>
        <v/>
      </c>
    </row>
    <row r="464">
      <c r="A464" s="1" t="n"/>
      <c r="B464" s="17" t="n"/>
      <c r="C464" s="19" t="n"/>
      <c r="D464" s="25" t="n"/>
      <c r="E464" s="26" t="n"/>
      <c r="F464" s="26" t="n"/>
      <c r="G464" s="17" t="n"/>
      <c r="H464" s="21" t="n"/>
      <c r="I464" s="16">
        <f>IF(OR(N(D464)&lt;=0,NOT(ISNUMBER(E464))),"",E464/D464)</f>
        <v/>
      </c>
      <c r="J464" s="16">
        <f>IF(OR(C464="",NOT(ISNUMBER(E464))),"",MAX(0,E464-N(F464)))</f>
        <v/>
      </c>
      <c r="K464" s="12">
        <f>IF(AND(C464="",D464="",E464=""),"",IF(NOT(ISNUMBER(B464)),"Needs a date",IF(C464="","Needs a client",IF(COUNTIF(Clients!$B$6:$B$105,C464)=0,"Not on Clients",IF(NOT(ISNUMBER(D464)),"Needs the sessions",IF(AND(E464&lt;&gt;"",NOT(ISNUMBER(E464))),"Price not a number",IF(AND(ISNUMBER(E464),N(F464)&gt;E464),"Paid more than the price","")))))))</f>
        <v/>
      </c>
      <c r="L464" s="1">
        <f>IF(ISNUMBER(B464),YEAR(B464)*100+MONTH(B464),"")</f>
        <v/>
      </c>
      <c r="M464">
        <f>IF(AND(K464="",C464&lt;&gt;""),1,0)</f>
        <v/>
      </c>
      <c r="N464">
        <f>IF(AND(M464=1,ISNUMBER(G464)),INT(G464),0)</f>
        <v/>
      </c>
    </row>
    <row r="465">
      <c r="A465" s="1" t="n"/>
      <c r="B465" s="17" t="n"/>
      <c r="C465" s="19" t="n"/>
      <c r="D465" s="25" t="n"/>
      <c r="E465" s="26" t="n"/>
      <c r="F465" s="26" t="n"/>
      <c r="G465" s="17" t="n"/>
      <c r="H465" s="21" t="n"/>
      <c r="I465" s="16">
        <f>IF(OR(N(D465)&lt;=0,NOT(ISNUMBER(E465))),"",E465/D465)</f>
        <v/>
      </c>
      <c r="J465" s="16">
        <f>IF(OR(C465="",NOT(ISNUMBER(E465))),"",MAX(0,E465-N(F465)))</f>
        <v/>
      </c>
      <c r="K465" s="12">
        <f>IF(AND(C465="",D465="",E465=""),"",IF(NOT(ISNUMBER(B465)),"Needs a date",IF(C465="","Needs a client",IF(COUNTIF(Clients!$B$6:$B$105,C465)=0,"Not on Clients",IF(NOT(ISNUMBER(D465)),"Needs the sessions",IF(AND(E465&lt;&gt;"",NOT(ISNUMBER(E465))),"Price not a number",IF(AND(ISNUMBER(E465),N(F465)&gt;E465),"Paid more than the price","")))))))</f>
        <v/>
      </c>
      <c r="L465" s="1">
        <f>IF(ISNUMBER(B465),YEAR(B465)*100+MONTH(B465),"")</f>
        <v/>
      </c>
      <c r="M465">
        <f>IF(AND(K465="",C465&lt;&gt;""),1,0)</f>
        <v/>
      </c>
      <c r="N465">
        <f>IF(AND(M465=1,ISNUMBER(G465)),INT(G465),0)</f>
        <v/>
      </c>
    </row>
    <row r="466">
      <c r="A466" s="1" t="n"/>
      <c r="B466" s="17" t="n"/>
      <c r="C466" s="19" t="n"/>
      <c r="D466" s="25" t="n"/>
      <c r="E466" s="26" t="n"/>
      <c r="F466" s="26" t="n"/>
      <c r="G466" s="17" t="n"/>
      <c r="H466" s="21" t="n"/>
      <c r="I466" s="16">
        <f>IF(OR(N(D466)&lt;=0,NOT(ISNUMBER(E466))),"",E466/D466)</f>
        <v/>
      </c>
      <c r="J466" s="16">
        <f>IF(OR(C466="",NOT(ISNUMBER(E466))),"",MAX(0,E466-N(F466)))</f>
        <v/>
      </c>
      <c r="K466" s="12">
        <f>IF(AND(C466="",D466="",E466=""),"",IF(NOT(ISNUMBER(B466)),"Needs a date",IF(C466="","Needs a client",IF(COUNTIF(Clients!$B$6:$B$105,C466)=0,"Not on Clients",IF(NOT(ISNUMBER(D466)),"Needs the sessions",IF(AND(E466&lt;&gt;"",NOT(ISNUMBER(E466))),"Price not a number",IF(AND(ISNUMBER(E466),N(F466)&gt;E466),"Paid more than the price","")))))))</f>
        <v/>
      </c>
      <c r="L466" s="1">
        <f>IF(ISNUMBER(B466),YEAR(B466)*100+MONTH(B466),"")</f>
        <v/>
      </c>
      <c r="M466">
        <f>IF(AND(K466="",C466&lt;&gt;""),1,0)</f>
        <v/>
      </c>
      <c r="N466">
        <f>IF(AND(M466=1,ISNUMBER(G466)),INT(G466),0)</f>
        <v/>
      </c>
    </row>
    <row r="467">
      <c r="A467" s="1" t="n"/>
      <c r="B467" s="17" t="n"/>
      <c r="C467" s="19" t="n"/>
      <c r="D467" s="25" t="n"/>
      <c r="E467" s="26" t="n"/>
      <c r="F467" s="26" t="n"/>
      <c r="G467" s="17" t="n"/>
      <c r="H467" s="21" t="n"/>
      <c r="I467" s="16">
        <f>IF(OR(N(D467)&lt;=0,NOT(ISNUMBER(E467))),"",E467/D467)</f>
        <v/>
      </c>
      <c r="J467" s="16">
        <f>IF(OR(C467="",NOT(ISNUMBER(E467))),"",MAX(0,E467-N(F467)))</f>
        <v/>
      </c>
      <c r="K467" s="12">
        <f>IF(AND(C467="",D467="",E467=""),"",IF(NOT(ISNUMBER(B467)),"Needs a date",IF(C467="","Needs a client",IF(COUNTIF(Clients!$B$6:$B$105,C467)=0,"Not on Clients",IF(NOT(ISNUMBER(D467)),"Needs the sessions",IF(AND(E467&lt;&gt;"",NOT(ISNUMBER(E467))),"Price not a number",IF(AND(ISNUMBER(E467),N(F467)&gt;E467),"Paid more than the price","")))))))</f>
        <v/>
      </c>
      <c r="L467" s="1">
        <f>IF(ISNUMBER(B467),YEAR(B467)*100+MONTH(B467),"")</f>
        <v/>
      </c>
      <c r="M467">
        <f>IF(AND(K467="",C467&lt;&gt;""),1,0)</f>
        <v/>
      </c>
      <c r="N467">
        <f>IF(AND(M467=1,ISNUMBER(G467)),INT(G467),0)</f>
        <v/>
      </c>
    </row>
    <row r="468">
      <c r="A468" s="1" t="n"/>
      <c r="B468" s="17" t="n"/>
      <c r="C468" s="19" t="n"/>
      <c r="D468" s="25" t="n"/>
      <c r="E468" s="26" t="n"/>
      <c r="F468" s="26" t="n"/>
      <c r="G468" s="17" t="n"/>
      <c r="H468" s="21" t="n"/>
      <c r="I468" s="16">
        <f>IF(OR(N(D468)&lt;=0,NOT(ISNUMBER(E468))),"",E468/D468)</f>
        <v/>
      </c>
      <c r="J468" s="16">
        <f>IF(OR(C468="",NOT(ISNUMBER(E468))),"",MAX(0,E468-N(F468)))</f>
        <v/>
      </c>
      <c r="K468" s="12">
        <f>IF(AND(C468="",D468="",E468=""),"",IF(NOT(ISNUMBER(B468)),"Needs a date",IF(C468="","Needs a client",IF(COUNTIF(Clients!$B$6:$B$105,C468)=0,"Not on Clients",IF(NOT(ISNUMBER(D468)),"Needs the sessions",IF(AND(E468&lt;&gt;"",NOT(ISNUMBER(E468))),"Price not a number",IF(AND(ISNUMBER(E468),N(F468)&gt;E468),"Paid more than the price","")))))))</f>
        <v/>
      </c>
      <c r="L468" s="1">
        <f>IF(ISNUMBER(B468),YEAR(B468)*100+MONTH(B468),"")</f>
        <v/>
      </c>
      <c r="M468">
        <f>IF(AND(K468="",C468&lt;&gt;""),1,0)</f>
        <v/>
      </c>
      <c r="N468">
        <f>IF(AND(M468=1,ISNUMBER(G468)),INT(G468),0)</f>
        <v/>
      </c>
    </row>
    <row r="469">
      <c r="A469" s="1" t="n"/>
      <c r="B469" s="17" t="n"/>
      <c r="C469" s="19" t="n"/>
      <c r="D469" s="25" t="n"/>
      <c r="E469" s="26" t="n"/>
      <c r="F469" s="26" t="n"/>
      <c r="G469" s="17" t="n"/>
      <c r="H469" s="21" t="n"/>
      <c r="I469" s="16">
        <f>IF(OR(N(D469)&lt;=0,NOT(ISNUMBER(E469))),"",E469/D469)</f>
        <v/>
      </c>
      <c r="J469" s="16">
        <f>IF(OR(C469="",NOT(ISNUMBER(E469))),"",MAX(0,E469-N(F469)))</f>
        <v/>
      </c>
      <c r="K469" s="12">
        <f>IF(AND(C469="",D469="",E469=""),"",IF(NOT(ISNUMBER(B469)),"Needs a date",IF(C469="","Needs a client",IF(COUNTIF(Clients!$B$6:$B$105,C469)=0,"Not on Clients",IF(NOT(ISNUMBER(D469)),"Needs the sessions",IF(AND(E469&lt;&gt;"",NOT(ISNUMBER(E469))),"Price not a number",IF(AND(ISNUMBER(E469),N(F469)&gt;E469),"Paid more than the price","")))))))</f>
        <v/>
      </c>
      <c r="L469" s="1">
        <f>IF(ISNUMBER(B469),YEAR(B469)*100+MONTH(B469),"")</f>
        <v/>
      </c>
      <c r="M469">
        <f>IF(AND(K469="",C469&lt;&gt;""),1,0)</f>
        <v/>
      </c>
      <c r="N469">
        <f>IF(AND(M469=1,ISNUMBER(G469)),INT(G469),0)</f>
        <v/>
      </c>
    </row>
    <row r="470">
      <c r="A470" s="1" t="n"/>
      <c r="B470" s="17" t="n"/>
      <c r="C470" s="19" t="n"/>
      <c r="D470" s="25" t="n"/>
      <c r="E470" s="26" t="n"/>
      <c r="F470" s="26" t="n"/>
      <c r="G470" s="17" t="n"/>
      <c r="H470" s="21" t="n"/>
      <c r="I470" s="16">
        <f>IF(OR(N(D470)&lt;=0,NOT(ISNUMBER(E470))),"",E470/D470)</f>
        <v/>
      </c>
      <c r="J470" s="16">
        <f>IF(OR(C470="",NOT(ISNUMBER(E470))),"",MAX(0,E470-N(F470)))</f>
        <v/>
      </c>
      <c r="K470" s="12">
        <f>IF(AND(C470="",D470="",E470=""),"",IF(NOT(ISNUMBER(B470)),"Needs a date",IF(C470="","Needs a client",IF(COUNTIF(Clients!$B$6:$B$105,C470)=0,"Not on Clients",IF(NOT(ISNUMBER(D470)),"Needs the sessions",IF(AND(E470&lt;&gt;"",NOT(ISNUMBER(E470))),"Price not a number",IF(AND(ISNUMBER(E470),N(F470)&gt;E470),"Paid more than the price","")))))))</f>
        <v/>
      </c>
      <c r="L470" s="1">
        <f>IF(ISNUMBER(B470),YEAR(B470)*100+MONTH(B470),"")</f>
        <v/>
      </c>
      <c r="M470">
        <f>IF(AND(K470="",C470&lt;&gt;""),1,0)</f>
        <v/>
      </c>
      <c r="N470">
        <f>IF(AND(M470=1,ISNUMBER(G470)),INT(G470),0)</f>
        <v/>
      </c>
    </row>
    <row r="471">
      <c r="A471" s="1" t="n"/>
      <c r="B471" s="17" t="n"/>
      <c r="C471" s="19" t="n"/>
      <c r="D471" s="25" t="n"/>
      <c r="E471" s="26" t="n"/>
      <c r="F471" s="26" t="n"/>
      <c r="G471" s="17" t="n"/>
      <c r="H471" s="21" t="n"/>
      <c r="I471" s="16">
        <f>IF(OR(N(D471)&lt;=0,NOT(ISNUMBER(E471))),"",E471/D471)</f>
        <v/>
      </c>
      <c r="J471" s="16">
        <f>IF(OR(C471="",NOT(ISNUMBER(E471))),"",MAX(0,E471-N(F471)))</f>
        <v/>
      </c>
      <c r="K471" s="12">
        <f>IF(AND(C471="",D471="",E471=""),"",IF(NOT(ISNUMBER(B471)),"Needs a date",IF(C471="","Needs a client",IF(COUNTIF(Clients!$B$6:$B$105,C471)=0,"Not on Clients",IF(NOT(ISNUMBER(D471)),"Needs the sessions",IF(AND(E471&lt;&gt;"",NOT(ISNUMBER(E471))),"Price not a number",IF(AND(ISNUMBER(E471),N(F471)&gt;E471),"Paid more than the price","")))))))</f>
        <v/>
      </c>
      <c r="L471" s="1">
        <f>IF(ISNUMBER(B471),YEAR(B471)*100+MONTH(B471),"")</f>
        <v/>
      </c>
      <c r="M471">
        <f>IF(AND(K471="",C471&lt;&gt;""),1,0)</f>
        <v/>
      </c>
      <c r="N471">
        <f>IF(AND(M471=1,ISNUMBER(G471)),INT(G471),0)</f>
        <v/>
      </c>
    </row>
    <row r="472">
      <c r="A472" s="1" t="n"/>
      <c r="B472" s="17" t="n"/>
      <c r="C472" s="19" t="n"/>
      <c r="D472" s="25" t="n"/>
      <c r="E472" s="26" t="n"/>
      <c r="F472" s="26" t="n"/>
      <c r="G472" s="17" t="n"/>
      <c r="H472" s="21" t="n"/>
      <c r="I472" s="16">
        <f>IF(OR(N(D472)&lt;=0,NOT(ISNUMBER(E472))),"",E472/D472)</f>
        <v/>
      </c>
      <c r="J472" s="16">
        <f>IF(OR(C472="",NOT(ISNUMBER(E472))),"",MAX(0,E472-N(F472)))</f>
        <v/>
      </c>
      <c r="K472" s="12">
        <f>IF(AND(C472="",D472="",E472=""),"",IF(NOT(ISNUMBER(B472)),"Needs a date",IF(C472="","Needs a client",IF(COUNTIF(Clients!$B$6:$B$105,C472)=0,"Not on Clients",IF(NOT(ISNUMBER(D472)),"Needs the sessions",IF(AND(E472&lt;&gt;"",NOT(ISNUMBER(E472))),"Price not a number",IF(AND(ISNUMBER(E472),N(F472)&gt;E472),"Paid more than the price","")))))))</f>
        <v/>
      </c>
      <c r="L472" s="1">
        <f>IF(ISNUMBER(B472),YEAR(B472)*100+MONTH(B472),"")</f>
        <v/>
      </c>
      <c r="M472">
        <f>IF(AND(K472="",C472&lt;&gt;""),1,0)</f>
        <v/>
      </c>
      <c r="N472">
        <f>IF(AND(M472=1,ISNUMBER(G472)),INT(G472),0)</f>
        <v/>
      </c>
    </row>
    <row r="473">
      <c r="A473" s="1" t="n"/>
      <c r="B473" s="17" t="n"/>
      <c r="C473" s="19" t="n"/>
      <c r="D473" s="25" t="n"/>
      <c r="E473" s="26" t="n"/>
      <c r="F473" s="26" t="n"/>
      <c r="G473" s="17" t="n"/>
      <c r="H473" s="21" t="n"/>
      <c r="I473" s="16">
        <f>IF(OR(N(D473)&lt;=0,NOT(ISNUMBER(E473))),"",E473/D473)</f>
        <v/>
      </c>
      <c r="J473" s="16">
        <f>IF(OR(C473="",NOT(ISNUMBER(E473))),"",MAX(0,E473-N(F473)))</f>
        <v/>
      </c>
      <c r="K473" s="12">
        <f>IF(AND(C473="",D473="",E473=""),"",IF(NOT(ISNUMBER(B473)),"Needs a date",IF(C473="","Needs a client",IF(COUNTIF(Clients!$B$6:$B$105,C473)=0,"Not on Clients",IF(NOT(ISNUMBER(D473)),"Needs the sessions",IF(AND(E473&lt;&gt;"",NOT(ISNUMBER(E473))),"Price not a number",IF(AND(ISNUMBER(E473),N(F473)&gt;E473),"Paid more than the price","")))))))</f>
        <v/>
      </c>
      <c r="L473" s="1">
        <f>IF(ISNUMBER(B473),YEAR(B473)*100+MONTH(B473),"")</f>
        <v/>
      </c>
      <c r="M473">
        <f>IF(AND(K473="",C473&lt;&gt;""),1,0)</f>
        <v/>
      </c>
      <c r="N473">
        <f>IF(AND(M473=1,ISNUMBER(G473)),INT(G473),0)</f>
        <v/>
      </c>
    </row>
    <row r="474">
      <c r="A474" s="1" t="n"/>
      <c r="B474" s="17" t="n"/>
      <c r="C474" s="19" t="n"/>
      <c r="D474" s="25" t="n"/>
      <c r="E474" s="26" t="n"/>
      <c r="F474" s="26" t="n"/>
      <c r="G474" s="17" t="n"/>
      <c r="H474" s="21" t="n"/>
      <c r="I474" s="16">
        <f>IF(OR(N(D474)&lt;=0,NOT(ISNUMBER(E474))),"",E474/D474)</f>
        <v/>
      </c>
      <c r="J474" s="16">
        <f>IF(OR(C474="",NOT(ISNUMBER(E474))),"",MAX(0,E474-N(F474)))</f>
        <v/>
      </c>
      <c r="K474" s="12">
        <f>IF(AND(C474="",D474="",E474=""),"",IF(NOT(ISNUMBER(B474)),"Needs a date",IF(C474="","Needs a client",IF(COUNTIF(Clients!$B$6:$B$105,C474)=0,"Not on Clients",IF(NOT(ISNUMBER(D474)),"Needs the sessions",IF(AND(E474&lt;&gt;"",NOT(ISNUMBER(E474))),"Price not a number",IF(AND(ISNUMBER(E474),N(F474)&gt;E474),"Paid more than the price","")))))))</f>
        <v/>
      </c>
      <c r="L474" s="1">
        <f>IF(ISNUMBER(B474),YEAR(B474)*100+MONTH(B474),"")</f>
        <v/>
      </c>
      <c r="M474">
        <f>IF(AND(K474="",C474&lt;&gt;""),1,0)</f>
        <v/>
      </c>
      <c r="N474">
        <f>IF(AND(M474=1,ISNUMBER(G474)),INT(G474),0)</f>
        <v/>
      </c>
    </row>
    <row r="475">
      <c r="A475" s="1" t="n"/>
      <c r="B475" s="17" t="n"/>
      <c r="C475" s="19" t="n"/>
      <c r="D475" s="25" t="n"/>
      <c r="E475" s="26" t="n"/>
      <c r="F475" s="26" t="n"/>
      <c r="G475" s="17" t="n"/>
      <c r="H475" s="21" t="n"/>
      <c r="I475" s="16">
        <f>IF(OR(N(D475)&lt;=0,NOT(ISNUMBER(E475))),"",E475/D475)</f>
        <v/>
      </c>
      <c r="J475" s="16">
        <f>IF(OR(C475="",NOT(ISNUMBER(E475))),"",MAX(0,E475-N(F475)))</f>
        <v/>
      </c>
      <c r="K475" s="12">
        <f>IF(AND(C475="",D475="",E475=""),"",IF(NOT(ISNUMBER(B475)),"Needs a date",IF(C475="","Needs a client",IF(COUNTIF(Clients!$B$6:$B$105,C475)=0,"Not on Clients",IF(NOT(ISNUMBER(D475)),"Needs the sessions",IF(AND(E475&lt;&gt;"",NOT(ISNUMBER(E475))),"Price not a number",IF(AND(ISNUMBER(E475),N(F475)&gt;E475),"Paid more than the price","")))))))</f>
        <v/>
      </c>
      <c r="L475" s="1">
        <f>IF(ISNUMBER(B475),YEAR(B475)*100+MONTH(B475),"")</f>
        <v/>
      </c>
      <c r="M475">
        <f>IF(AND(K475="",C475&lt;&gt;""),1,0)</f>
        <v/>
      </c>
      <c r="N475">
        <f>IF(AND(M475=1,ISNUMBER(G475)),INT(G475),0)</f>
        <v/>
      </c>
    </row>
    <row r="476">
      <c r="A476" s="1" t="n"/>
      <c r="B476" s="17" t="n"/>
      <c r="C476" s="19" t="n"/>
      <c r="D476" s="25" t="n"/>
      <c r="E476" s="26" t="n"/>
      <c r="F476" s="26" t="n"/>
      <c r="G476" s="17" t="n"/>
      <c r="H476" s="21" t="n"/>
      <c r="I476" s="16">
        <f>IF(OR(N(D476)&lt;=0,NOT(ISNUMBER(E476))),"",E476/D476)</f>
        <v/>
      </c>
      <c r="J476" s="16">
        <f>IF(OR(C476="",NOT(ISNUMBER(E476))),"",MAX(0,E476-N(F476)))</f>
        <v/>
      </c>
      <c r="K476" s="12">
        <f>IF(AND(C476="",D476="",E476=""),"",IF(NOT(ISNUMBER(B476)),"Needs a date",IF(C476="","Needs a client",IF(COUNTIF(Clients!$B$6:$B$105,C476)=0,"Not on Clients",IF(NOT(ISNUMBER(D476)),"Needs the sessions",IF(AND(E476&lt;&gt;"",NOT(ISNUMBER(E476))),"Price not a number",IF(AND(ISNUMBER(E476),N(F476)&gt;E476),"Paid more than the price","")))))))</f>
        <v/>
      </c>
      <c r="L476" s="1">
        <f>IF(ISNUMBER(B476),YEAR(B476)*100+MONTH(B476),"")</f>
        <v/>
      </c>
      <c r="M476">
        <f>IF(AND(K476="",C476&lt;&gt;""),1,0)</f>
        <v/>
      </c>
      <c r="N476">
        <f>IF(AND(M476=1,ISNUMBER(G476)),INT(G476),0)</f>
        <v/>
      </c>
    </row>
    <row r="477">
      <c r="A477" s="1" t="n"/>
      <c r="B477" s="17" t="n"/>
      <c r="C477" s="19" t="n"/>
      <c r="D477" s="25" t="n"/>
      <c r="E477" s="26" t="n"/>
      <c r="F477" s="26" t="n"/>
      <c r="G477" s="17" t="n"/>
      <c r="H477" s="21" t="n"/>
      <c r="I477" s="16">
        <f>IF(OR(N(D477)&lt;=0,NOT(ISNUMBER(E477))),"",E477/D477)</f>
        <v/>
      </c>
      <c r="J477" s="16">
        <f>IF(OR(C477="",NOT(ISNUMBER(E477))),"",MAX(0,E477-N(F477)))</f>
        <v/>
      </c>
      <c r="K477" s="12">
        <f>IF(AND(C477="",D477="",E477=""),"",IF(NOT(ISNUMBER(B477)),"Needs a date",IF(C477="","Needs a client",IF(COUNTIF(Clients!$B$6:$B$105,C477)=0,"Not on Clients",IF(NOT(ISNUMBER(D477)),"Needs the sessions",IF(AND(E477&lt;&gt;"",NOT(ISNUMBER(E477))),"Price not a number",IF(AND(ISNUMBER(E477),N(F477)&gt;E477),"Paid more than the price","")))))))</f>
        <v/>
      </c>
      <c r="L477" s="1">
        <f>IF(ISNUMBER(B477),YEAR(B477)*100+MONTH(B477),"")</f>
        <v/>
      </c>
      <c r="M477">
        <f>IF(AND(K477="",C477&lt;&gt;""),1,0)</f>
        <v/>
      </c>
      <c r="N477">
        <f>IF(AND(M477=1,ISNUMBER(G477)),INT(G477),0)</f>
        <v/>
      </c>
    </row>
    <row r="478">
      <c r="A478" s="1" t="n"/>
      <c r="B478" s="17" t="n"/>
      <c r="C478" s="19" t="n"/>
      <c r="D478" s="25" t="n"/>
      <c r="E478" s="26" t="n"/>
      <c r="F478" s="26" t="n"/>
      <c r="G478" s="17" t="n"/>
      <c r="H478" s="21" t="n"/>
      <c r="I478" s="16">
        <f>IF(OR(N(D478)&lt;=0,NOT(ISNUMBER(E478))),"",E478/D478)</f>
        <v/>
      </c>
      <c r="J478" s="16">
        <f>IF(OR(C478="",NOT(ISNUMBER(E478))),"",MAX(0,E478-N(F478)))</f>
        <v/>
      </c>
      <c r="K478" s="12">
        <f>IF(AND(C478="",D478="",E478=""),"",IF(NOT(ISNUMBER(B478)),"Needs a date",IF(C478="","Needs a client",IF(COUNTIF(Clients!$B$6:$B$105,C478)=0,"Not on Clients",IF(NOT(ISNUMBER(D478)),"Needs the sessions",IF(AND(E478&lt;&gt;"",NOT(ISNUMBER(E478))),"Price not a number",IF(AND(ISNUMBER(E478),N(F478)&gt;E478),"Paid more than the price","")))))))</f>
        <v/>
      </c>
      <c r="L478" s="1">
        <f>IF(ISNUMBER(B478),YEAR(B478)*100+MONTH(B478),"")</f>
        <v/>
      </c>
      <c r="M478">
        <f>IF(AND(K478="",C478&lt;&gt;""),1,0)</f>
        <v/>
      </c>
      <c r="N478">
        <f>IF(AND(M478=1,ISNUMBER(G478)),INT(G478),0)</f>
        <v/>
      </c>
    </row>
    <row r="479">
      <c r="A479" s="1" t="n"/>
      <c r="B479" s="17" t="n"/>
      <c r="C479" s="19" t="n"/>
      <c r="D479" s="25" t="n"/>
      <c r="E479" s="26" t="n"/>
      <c r="F479" s="26" t="n"/>
      <c r="G479" s="17" t="n"/>
      <c r="H479" s="21" t="n"/>
      <c r="I479" s="16">
        <f>IF(OR(N(D479)&lt;=0,NOT(ISNUMBER(E479))),"",E479/D479)</f>
        <v/>
      </c>
      <c r="J479" s="16">
        <f>IF(OR(C479="",NOT(ISNUMBER(E479))),"",MAX(0,E479-N(F479)))</f>
        <v/>
      </c>
      <c r="K479" s="12">
        <f>IF(AND(C479="",D479="",E479=""),"",IF(NOT(ISNUMBER(B479)),"Needs a date",IF(C479="","Needs a client",IF(COUNTIF(Clients!$B$6:$B$105,C479)=0,"Not on Clients",IF(NOT(ISNUMBER(D479)),"Needs the sessions",IF(AND(E479&lt;&gt;"",NOT(ISNUMBER(E479))),"Price not a number",IF(AND(ISNUMBER(E479),N(F479)&gt;E479),"Paid more than the price","")))))))</f>
        <v/>
      </c>
      <c r="L479" s="1">
        <f>IF(ISNUMBER(B479),YEAR(B479)*100+MONTH(B479),"")</f>
        <v/>
      </c>
      <c r="M479">
        <f>IF(AND(K479="",C479&lt;&gt;""),1,0)</f>
        <v/>
      </c>
      <c r="N479">
        <f>IF(AND(M479=1,ISNUMBER(G479)),INT(G479),0)</f>
        <v/>
      </c>
    </row>
    <row r="480">
      <c r="A480" s="1" t="n"/>
      <c r="B480" s="17" t="n"/>
      <c r="C480" s="19" t="n"/>
      <c r="D480" s="25" t="n"/>
      <c r="E480" s="26" t="n"/>
      <c r="F480" s="26" t="n"/>
      <c r="G480" s="17" t="n"/>
      <c r="H480" s="21" t="n"/>
      <c r="I480" s="16">
        <f>IF(OR(N(D480)&lt;=0,NOT(ISNUMBER(E480))),"",E480/D480)</f>
        <v/>
      </c>
      <c r="J480" s="16">
        <f>IF(OR(C480="",NOT(ISNUMBER(E480))),"",MAX(0,E480-N(F480)))</f>
        <v/>
      </c>
      <c r="K480" s="12">
        <f>IF(AND(C480="",D480="",E480=""),"",IF(NOT(ISNUMBER(B480)),"Needs a date",IF(C480="","Needs a client",IF(COUNTIF(Clients!$B$6:$B$105,C480)=0,"Not on Clients",IF(NOT(ISNUMBER(D480)),"Needs the sessions",IF(AND(E480&lt;&gt;"",NOT(ISNUMBER(E480))),"Price not a number",IF(AND(ISNUMBER(E480),N(F480)&gt;E480),"Paid more than the price","")))))))</f>
        <v/>
      </c>
      <c r="L480" s="1">
        <f>IF(ISNUMBER(B480),YEAR(B480)*100+MONTH(B480),"")</f>
        <v/>
      </c>
      <c r="M480">
        <f>IF(AND(K480="",C480&lt;&gt;""),1,0)</f>
        <v/>
      </c>
      <c r="N480">
        <f>IF(AND(M480=1,ISNUMBER(G480)),INT(G480),0)</f>
        <v/>
      </c>
    </row>
    <row r="481">
      <c r="A481" s="1" t="n"/>
      <c r="B481" s="17" t="n"/>
      <c r="C481" s="19" t="n"/>
      <c r="D481" s="25" t="n"/>
      <c r="E481" s="26" t="n"/>
      <c r="F481" s="26" t="n"/>
      <c r="G481" s="17" t="n"/>
      <c r="H481" s="21" t="n"/>
      <c r="I481" s="16">
        <f>IF(OR(N(D481)&lt;=0,NOT(ISNUMBER(E481))),"",E481/D481)</f>
        <v/>
      </c>
      <c r="J481" s="16">
        <f>IF(OR(C481="",NOT(ISNUMBER(E481))),"",MAX(0,E481-N(F481)))</f>
        <v/>
      </c>
      <c r="K481" s="12">
        <f>IF(AND(C481="",D481="",E481=""),"",IF(NOT(ISNUMBER(B481)),"Needs a date",IF(C481="","Needs a client",IF(COUNTIF(Clients!$B$6:$B$105,C481)=0,"Not on Clients",IF(NOT(ISNUMBER(D481)),"Needs the sessions",IF(AND(E481&lt;&gt;"",NOT(ISNUMBER(E481))),"Price not a number",IF(AND(ISNUMBER(E481),N(F481)&gt;E481),"Paid more than the price","")))))))</f>
        <v/>
      </c>
      <c r="L481" s="1">
        <f>IF(ISNUMBER(B481),YEAR(B481)*100+MONTH(B481),"")</f>
        <v/>
      </c>
      <c r="M481">
        <f>IF(AND(K481="",C481&lt;&gt;""),1,0)</f>
        <v/>
      </c>
      <c r="N481">
        <f>IF(AND(M481=1,ISNUMBER(G481)),INT(G481),0)</f>
        <v/>
      </c>
    </row>
    <row r="482">
      <c r="A482" s="1" t="n"/>
      <c r="B482" s="17" t="n"/>
      <c r="C482" s="19" t="n"/>
      <c r="D482" s="25" t="n"/>
      <c r="E482" s="26" t="n"/>
      <c r="F482" s="26" t="n"/>
      <c r="G482" s="17" t="n"/>
      <c r="H482" s="21" t="n"/>
      <c r="I482" s="16">
        <f>IF(OR(N(D482)&lt;=0,NOT(ISNUMBER(E482))),"",E482/D482)</f>
        <v/>
      </c>
      <c r="J482" s="16">
        <f>IF(OR(C482="",NOT(ISNUMBER(E482))),"",MAX(0,E482-N(F482)))</f>
        <v/>
      </c>
      <c r="K482" s="12">
        <f>IF(AND(C482="",D482="",E482=""),"",IF(NOT(ISNUMBER(B482)),"Needs a date",IF(C482="","Needs a client",IF(COUNTIF(Clients!$B$6:$B$105,C482)=0,"Not on Clients",IF(NOT(ISNUMBER(D482)),"Needs the sessions",IF(AND(E482&lt;&gt;"",NOT(ISNUMBER(E482))),"Price not a number",IF(AND(ISNUMBER(E482),N(F482)&gt;E482),"Paid more than the price","")))))))</f>
        <v/>
      </c>
      <c r="L482" s="1">
        <f>IF(ISNUMBER(B482),YEAR(B482)*100+MONTH(B482),"")</f>
        <v/>
      </c>
      <c r="M482">
        <f>IF(AND(K482="",C482&lt;&gt;""),1,0)</f>
        <v/>
      </c>
      <c r="N482">
        <f>IF(AND(M482=1,ISNUMBER(G482)),INT(G482),0)</f>
        <v/>
      </c>
    </row>
    <row r="483">
      <c r="A483" s="1" t="n"/>
      <c r="B483" s="17" t="n"/>
      <c r="C483" s="19" t="n"/>
      <c r="D483" s="25" t="n"/>
      <c r="E483" s="26" t="n"/>
      <c r="F483" s="26" t="n"/>
      <c r="G483" s="17" t="n"/>
      <c r="H483" s="21" t="n"/>
      <c r="I483" s="16">
        <f>IF(OR(N(D483)&lt;=0,NOT(ISNUMBER(E483))),"",E483/D483)</f>
        <v/>
      </c>
      <c r="J483" s="16">
        <f>IF(OR(C483="",NOT(ISNUMBER(E483))),"",MAX(0,E483-N(F483)))</f>
        <v/>
      </c>
      <c r="K483" s="12">
        <f>IF(AND(C483="",D483="",E483=""),"",IF(NOT(ISNUMBER(B483)),"Needs a date",IF(C483="","Needs a client",IF(COUNTIF(Clients!$B$6:$B$105,C483)=0,"Not on Clients",IF(NOT(ISNUMBER(D483)),"Needs the sessions",IF(AND(E483&lt;&gt;"",NOT(ISNUMBER(E483))),"Price not a number",IF(AND(ISNUMBER(E483),N(F483)&gt;E483),"Paid more than the price","")))))))</f>
        <v/>
      </c>
      <c r="L483" s="1">
        <f>IF(ISNUMBER(B483),YEAR(B483)*100+MONTH(B483),"")</f>
        <v/>
      </c>
      <c r="M483">
        <f>IF(AND(K483="",C483&lt;&gt;""),1,0)</f>
        <v/>
      </c>
      <c r="N483">
        <f>IF(AND(M483=1,ISNUMBER(G483)),INT(G483),0)</f>
        <v/>
      </c>
    </row>
    <row r="484">
      <c r="A484" s="1" t="n"/>
      <c r="B484" s="17" t="n"/>
      <c r="C484" s="19" t="n"/>
      <c r="D484" s="25" t="n"/>
      <c r="E484" s="26" t="n"/>
      <c r="F484" s="26" t="n"/>
      <c r="G484" s="17" t="n"/>
      <c r="H484" s="21" t="n"/>
      <c r="I484" s="16">
        <f>IF(OR(N(D484)&lt;=0,NOT(ISNUMBER(E484))),"",E484/D484)</f>
        <v/>
      </c>
      <c r="J484" s="16">
        <f>IF(OR(C484="",NOT(ISNUMBER(E484))),"",MAX(0,E484-N(F484)))</f>
        <v/>
      </c>
      <c r="K484" s="12">
        <f>IF(AND(C484="",D484="",E484=""),"",IF(NOT(ISNUMBER(B484)),"Needs a date",IF(C484="","Needs a client",IF(COUNTIF(Clients!$B$6:$B$105,C484)=0,"Not on Clients",IF(NOT(ISNUMBER(D484)),"Needs the sessions",IF(AND(E484&lt;&gt;"",NOT(ISNUMBER(E484))),"Price not a number",IF(AND(ISNUMBER(E484),N(F484)&gt;E484),"Paid more than the price","")))))))</f>
        <v/>
      </c>
      <c r="L484" s="1">
        <f>IF(ISNUMBER(B484),YEAR(B484)*100+MONTH(B484),"")</f>
        <v/>
      </c>
      <c r="M484">
        <f>IF(AND(K484="",C484&lt;&gt;""),1,0)</f>
        <v/>
      </c>
      <c r="N484">
        <f>IF(AND(M484=1,ISNUMBER(G484)),INT(G484),0)</f>
        <v/>
      </c>
    </row>
    <row r="485">
      <c r="A485" s="1" t="n"/>
      <c r="B485" s="17" t="n"/>
      <c r="C485" s="19" t="n"/>
      <c r="D485" s="25" t="n"/>
      <c r="E485" s="26" t="n"/>
      <c r="F485" s="26" t="n"/>
      <c r="G485" s="17" t="n"/>
      <c r="H485" s="21" t="n"/>
      <c r="I485" s="16">
        <f>IF(OR(N(D485)&lt;=0,NOT(ISNUMBER(E485))),"",E485/D485)</f>
        <v/>
      </c>
      <c r="J485" s="16">
        <f>IF(OR(C485="",NOT(ISNUMBER(E485))),"",MAX(0,E485-N(F485)))</f>
        <v/>
      </c>
      <c r="K485" s="12">
        <f>IF(AND(C485="",D485="",E485=""),"",IF(NOT(ISNUMBER(B485)),"Needs a date",IF(C485="","Needs a client",IF(COUNTIF(Clients!$B$6:$B$105,C485)=0,"Not on Clients",IF(NOT(ISNUMBER(D485)),"Needs the sessions",IF(AND(E485&lt;&gt;"",NOT(ISNUMBER(E485))),"Price not a number",IF(AND(ISNUMBER(E485),N(F485)&gt;E485),"Paid more than the price","")))))))</f>
        <v/>
      </c>
      <c r="L485" s="1">
        <f>IF(ISNUMBER(B485),YEAR(B485)*100+MONTH(B485),"")</f>
        <v/>
      </c>
      <c r="M485">
        <f>IF(AND(K485="",C485&lt;&gt;""),1,0)</f>
        <v/>
      </c>
      <c r="N485">
        <f>IF(AND(M485=1,ISNUMBER(G485)),INT(G485),0)</f>
        <v/>
      </c>
    </row>
    <row r="486">
      <c r="A486" s="1" t="n"/>
      <c r="B486" s="17" t="n"/>
      <c r="C486" s="19" t="n"/>
      <c r="D486" s="25" t="n"/>
      <c r="E486" s="26" t="n"/>
      <c r="F486" s="26" t="n"/>
      <c r="G486" s="17" t="n"/>
      <c r="H486" s="21" t="n"/>
      <c r="I486" s="16">
        <f>IF(OR(N(D486)&lt;=0,NOT(ISNUMBER(E486))),"",E486/D486)</f>
        <v/>
      </c>
      <c r="J486" s="16">
        <f>IF(OR(C486="",NOT(ISNUMBER(E486))),"",MAX(0,E486-N(F486)))</f>
        <v/>
      </c>
      <c r="K486" s="12">
        <f>IF(AND(C486="",D486="",E486=""),"",IF(NOT(ISNUMBER(B486)),"Needs a date",IF(C486="","Needs a client",IF(COUNTIF(Clients!$B$6:$B$105,C486)=0,"Not on Clients",IF(NOT(ISNUMBER(D486)),"Needs the sessions",IF(AND(E486&lt;&gt;"",NOT(ISNUMBER(E486))),"Price not a number",IF(AND(ISNUMBER(E486),N(F486)&gt;E486),"Paid more than the price","")))))))</f>
        <v/>
      </c>
      <c r="L486" s="1">
        <f>IF(ISNUMBER(B486),YEAR(B486)*100+MONTH(B486),"")</f>
        <v/>
      </c>
      <c r="M486">
        <f>IF(AND(K486="",C486&lt;&gt;""),1,0)</f>
        <v/>
      </c>
      <c r="N486">
        <f>IF(AND(M486=1,ISNUMBER(G486)),INT(G486),0)</f>
        <v/>
      </c>
    </row>
    <row r="487">
      <c r="A487" s="1" t="n"/>
      <c r="B487" s="17" t="n"/>
      <c r="C487" s="19" t="n"/>
      <c r="D487" s="25" t="n"/>
      <c r="E487" s="26" t="n"/>
      <c r="F487" s="26" t="n"/>
      <c r="G487" s="17" t="n"/>
      <c r="H487" s="21" t="n"/>
      <c r="I487" s="16">
        <f>IF(OR(N(D487)&lt;=0,NOT(ISNUMBER(E487))),"",E487/D487)</f>
        <v/>
      </c>
      <c r="J487" s="16">
        <f>IF(OR(C487="",NOT(ISNUMBER(E487))),"",MAX(0,E487-N(F487)))</f>
        <v/>
      </c>
      <c r="K487" s="12">
        <f>IF(AND(C487="",D487="",E487=""),"",IF(NOT(ISNUMBER(B487)),"Needs a date",IF(C487="","Needs a client",IF(COUNTIF(Clients!$B$6:$B$105,C487)=0,"Not on Clients",IF(NOT(ISNUMBER(D487)),"Needs the sessions",IF(AND(E487&lt;&gt;"",NOT(ISNUMBER(E487))),"Price not a number",IF(AND(ISNUMBER(E487),N(F487)&gt;E487),"Paid more than the price","")))))))</f>
        <v/>
      </c>
      <c r="L487" s="1">
        <f>IF(ISNUMBER(B487),YEAR(B487)*100+MONTH(B487),"")</f>
        <v/>
      </c>
      <c r="M487">
        <f>IF(AND(K487="",C487&lt;&gt;""),1,0)</f>
        <v/>
      </c>
      <c r="N487">
        <f>IF(AND(M487=1,ISNUMBER(G487)),INT(G487),0)</f>
        <v/>
      </c>
    </row>
    <row r="488">
      <c r="A488" s="1" t="n"/>
      <c r="B488" s="17" t="n"/>
      <c r="C488" s="19" t="n"/>
      <c r="D488" s="25" t="n"/>
      <c r="E488" s="26" t="n"/>
      <c r="F488" s="26" t="n"/>
      <c r="G488" s="17" t="n"/>
      <c r="H488" s="21" t="n"/>
      <c r="I488" s="16">
        <f>IF(OR(N(D488)&lt;=0,NOT(ISNUMBER(E488))),"",E488/D488)</f>
        <v/>
      </c>
      <c r="J488" s="16">
        <f>IF(OR(C488="",NOT(ISNUMBER(E488))),"",MAX(0,E488-N(F488)))</f>
        <v/>
      </c>
      <c r="K488" s="12">
        <f>IF(AND(C488="",D488="",E488=""),"",IF(NOT(ISNUMBER(B488)),"Needs a date",IF(C488="","Needs a client",IF(COUNTIF(Clients!$B$6:$B$105,C488)=0,"Not on Clients",IF(NOT(ISNUMBER(D488)),"Needs the sessions",IF(AND(E488&lt;&gt;"",NOT(ISNUMBER(E488))),"Price not a number",IF(AND(ISNUMBER(E488),N(F488)&gt;E488),"Paid more than the price","")))))))</f>
        <v/>
      </c>
      <c r="L488" s="1">
        <f>IF(ISNUMBER(B488),YEAR(B488)*100+MONTH(B488),"")</f>
        <v/>
      </c>
      <c r="M488">
        <f>IF(AND(K488="",C488&lt;&gt;""),1,0)</f>
        <v/>
      </c>
      <c r="N488">
        <f>IF(AND(M488=1,ISNUMBER(G488)),INT(G488),0)</f>
        <v/>
      </c>
    </row>
    <row r="489">
      <c r="A489" s="1" t="n"/>
      <c r="B489" s="17" t="n"/>
      <c r="C489" s="19" t="n"/>
      <c r="D489" s="25" t="n"/>
      <c r="E489" s="26" t="n"/>
      <c r="F489" s="26" t="n"/>
      <c r="G489" s="17" t="n"/>
      <c r="H489" s="21" t="n"/>
      <c r="I489" s="16">
        <f>IF(OR(N(D489)&lt;=0,NOT(ISNUMBER(E489))),"",E489/D489)</f>
        <v/>
      </c>
      <c r="J489" s="16">
        <f>IF(OR(C489="",NOT(ISNUMBER(E489))),"",MAX(0,E489-N(F489)))</f>
        <v/>
      </c>
      <c r="K489" s="12">
        <f>IF(AND(C489="",D489="",E489=""),"",IF(NOT(ISNUMBER(B489)),"Needs a date",IF(C489="","Needs a client",IF(COUNTIF(Clients!$B$6:$B$105,C489)=0,"Not on Clients",IF(NOT(ISNUMBER(D489)),"Needs the sessions",IF(AND(E489&lt;&gt;"",NOT(ISNUMBER(E489))),"Price not a number",IF(AND(ISNUMBER(E489),N(F489)&gt;E489),"Paid more than the price","")))))))</f>
        <v/>
      </c>
      <c r="L489" s="1">
        <f>IF(ISNUMBER(B489),YEAR(B489)*100+MONTH(B489),"")</f>
        <v/>
      </c>
      <c r="M489">
        <f>IF(AND(K489="",C489&lt;&gt;""),1,0)</f>
        <v/>
      </c>
      <c r="N489">
        <f>IF(AND(M489=1,ISNUMBER(G489)),INT(G489),0)</f>
        <v/>
      </c>
    </row>
    <row r="490">
      <c r="A490" s="1" t="n"/>
      <c r="B490" s="17" t="n"/>
      <c r="C490" s="19" t="n"/>
      <c r="D490" s="25" t="n"/>
      <c r="E490" s="26" t="n"/>
      <c r="F490" s="26" t="n"/>
      <c r="G490" s="17" t="n"/>
      <c r="H490" s="21" t="n"/>
      <c r="I490" s="16">
        <f>IF(OR(N(D490)&lt;=0,NOT(ISNUMBER(E490))),"",E490/D490)</f>
        <v/>
      </c>
      <c r="J490" s="16">
        <f>IF(OR(C490="",NOT(ISNUMBER(E490))),"",MAX(0,E490-N(F490)))</f>
        <v/>
      </c>
      <c r="K490" s="12">
        <f>IF(AND(C490="",D490="",E490=""),"",IF(NOT(ISNUMBER(B490)),"Needs a date",IF(C490="","Needs a client",IF(COUNTIF(Clients!$B$6:$B$105,C490)=0,"Not on Clients",IF(NOT(ISNUMBER(D490)),"Needs the sessions",IF(AND(E490&lt;&gt;"",NOT(ISNUMBER(E490))),"Price not a number",IF(AND(ISNUMBER(E490),N(F490)&gt;E490),"Paid more than the price","")))))))</f>
        <v/>
      </c>
      <c r="L490" s="1">
        <f>IF(ISNUMBER(B490),YEAR(B490)*100+MONTH(B490),"")</f>
        <v/>
      </c>
      <c r="M490">
        <f>IF(AND(K490="",C490&lt;&gt;""),1,0)</f>
        <v/>
      </c>
      <c r="N490">
        <f>IF(AND(M490=1,ISNUMBER(G490)),INT(G490),0)</f>
        <v/>
      </c>
    </row>
    <row r="491">
      <c r="A491" s="1" t="n"/>
      <c r="B491" s="17" t="n"/>
      <c r="C491" s="19" t="n"/>
      <c r="D491" s="25" t="n"/>
      <c r="E491" s="26" t="n"/>
      <c r="F491" s="26" t="n"/>
      <c r="G491" s="17" t="n"/>
      <c r="H491" s="21" t="n"/>
      <c r="I491" s="16">
        <f>IF(OR(N(D491)&lt;=0,NOT(ISNUMBER(E491))),"",E491/D491)</f>
        <v/>
      </c>
      <c r="J491" s="16">
        <f>IF(OR(C491="",NOT(ISNUMBER(E491))),"",MAX(0,E491-N(F491)))</f>
        <v/>
      </c>
      <c r="K491" s="12">
        <f>IF(AND(C491="",D491="",E491=""),"",IF(NOT(ISNUMBER(B491)),"Needs a date",IF(C491="","Needs a client",IF(COUNTIF(Clients!$B$6:$B$105,C491)=0,"Not on Clients",IF(NOT(ISNUMBER(D491)),"Needs the sessions",IF(AND(E491&lt;&gt;"",NOT(ISNUMBER(E491))),"Price not a number",IF(AND(ISNUMBER(E491),N(F491)&gt;E491),"Paid more than the price","")))))))</f>
        <v/>
      </c>
      <c r="L491" s="1">
        <f>IF(ISNUMBER(B491),YEAR(B491)*100+MONTH(B491),"")</f>
        <v/>
      </c>
      <c r="M491">
        <f>IF(AND(K491="",C491&lt;&gt;""),1,0)</f>
        <v/>
      </c>
      <c r="N491">
        <f>IF(AND(M491=1,ISNUMBER(G491)),INT(G491),0)</f>
        <v/>
      </c>
    </row>
    <row r="492">
      <c r="A492" s="1" t="n"/>
      <c r="B492" s="17" t="n"/>
      <c r="C492" s="19" t="n"/>
      <c r="D492" s="25" t="n"/>
      <c r="E492" s="26" t="n"/>
      <c r="F492" s="26" t="n"/>
      <c r="G492" s="17" t="n"/>
      <c r="H492" s="21" t="n"/>
      <c r="I492" s="16">
        <f>IF(OR(N(D492)&lt;=0,NOT(ISNUMBER(E492))),"",E492/D492)</f>
        <v/>
      </c>
      <c r="J492" s="16">
        <f>IF(OR(C492="",NOT(ISNUMBER(E492))),"",MAX(0,E492-N(F492)))</f>
        <v/>
      </c>
      <c r="K492" s="12">
        <f>IF(AND(C492="",D492="",E492=""),"",IF(NOT(ISNUMBER(B492)),"Needs a date",IF(C492="","Needs a client",IF(COUNTIF(Clients!$B$6:$B$105,C492)=0,"Not on Clients",IF(NOT(ISNUMBER(D492)),"Needs the sessions",IF(AND(E492&lt;&gt;"",NOT(ISNUMBER(E492))),"Price not a number",IF(AND(ISNUMBER(E492),N(F492)&gt;E492),"Paid more than the price","")))))))</f>
        <v/>
      </c>
      <c r="L492" s="1">
        <f>IF(ISNUMBER(B492),YEAR(B492)*100+MONTH(B492),"")</f>
        <v/>
      </c>
      <c r="M492">
        <f>IF(AND(K492="",C492&lt;&gt;""),1,0)</f>
        <v/>
      </c>
      <c r="N492">
        <f>IF(AND(M492=1,ISNUMBER(G492)),INT(G492),0)</f>
        <v/>
      </c>
    </row>
    <row r="493">
      <c r="A493" s="1" t="n"/>
      <c r="B493" s="17" t="n"/>
      <c r="C493" s="19" t="n"/>
      <c r="D493" s="25" t="n"/>
      <c r="E493" s="26" t="n"/>
      <c r="F493" s="26" t="n"/>
      <c r="G493" s="17" t="n"/>
      <c r="H493" s="21" t="n"/>
      <c r="I493" s="16">
        <f>IF(OR(N(D493)&lt;=0,NOT(ISNUMBER(E493))),"",E493/D493)</f>
        <v/>
      </c>
      <c r="J493" s="16">
        <f>IF(OR(C493="",NOT(ISNUMBER(E493))),"",MAX(0,E493-N(F493)))</f>
        <v/>
      </c>
      <c r="K493" s="12">
        <f>IF(AND(C493="",D493="",E493=""),"",IF(NOT(ISNUMBER(B493)),"Needs a date",IF(C493="","Needs a client",IF(COUNTIF(Clients!$B$6:$B$105,C493)=0,"Not on Clients",IF(NOT(ISNUMBER(D493)),"Needs the sessions",IF(AND(E493&lt;&gt;"",NOT(ISNUMBER(E493))),"Price not a number",IF(AND(ISNUMBER(E493),N(F493)&gt;E493),"Paid more than the price","")))))))</f>
        <v/>
      </c>
      <c r="L493" s="1">
        <f>IF(ISNUMBER(B493),YEAR(B493)*100+MONTH(B493),"")</f>
        <v/>
      </c>
      <c r="M493">
        <f>IF(AND(K493="",C493&lt;&gt;""),1,0)</f>
        <v/>
      </c>
      <c r="N493">
        <f>IF(AND(M493=1,ISNUMBER(G493)),INT(G493),0)</f>
        <v/>
      </c>
    </row>
    <row r="494">
      <c r="A494" s="1" t="n"/>
      <c r="B494" s="17" t="n"/>
      <c r="C494" s="19" t="n"/>
      <c r="D494" s="25" t="n"/>
      <c r="E494" s="26" t="n"/>
      <c r="F494" s="26" t="n"/>
      <c r="G494" s="17" t="n"/>
      <c r="H494" s="21" t="n"/>
      <c r="I494" s="16">
        <f>IF(OR(N(D494)&lt;=0,NOT(ISNUMBER(E494))),"",E494/D494)</f>
        <v/>
      </c>
      <c r="J494" s="16">
        <f>IF(OR(C494="",NOT(ISNUMBER(E494))),"",MAX(0,E494-N(F494)))</f>
        <v/>
      </c>
      <c r="K494" s="12">
        <f>IF(AND(C494="",D494="",E494=""),"",IF(NOT(ISNUMBER(B494)),"Needs a date",IF(C494="","Needs a client",IF(COUNTIF(Clients!$B$6:$B$105,C494)=0,"Not on Clients",IF(NOT(ISNUMBER(D494)),"Needs the sessions",IF(AND(E494&lt;&gt;"",NOT(ISNUMBER(E494))),"Price not a number",IF(AND(ISNUMBER(E494),N(F494)&gt;E494),"Paid more than the price","")))))))</f>
        <v/>
      </c>
      <c r="L494" s="1">
        <f>IF(ISNUMBER(B494),YEAR(B494)*100+MONTH(B494),"")</f>
        <v/>
      </c>
      <c r="M494">
        <f>IF(AND(K494="",C494&lt;&gt;""),1,0)</f>
        <v/>
      </c>
      <c r="N494">
        <f>IF(AND(M494=1,ISNUMBER(G494)),INT(G494),0)</f>
        <v/>
      </c>
    </row>
    <row r="495">
      <c r="A495" s="1" t="n"/>
      <c r="B495" s="17" t="n"/>
      <c r="C495" s="19" t="n"/>
      <c r="D495" s="25" t="n"/>
      <c r="E495" s="26" t="n"/>
      <c r="F495" s="26" t="n"/>
      <c r="G495" s="17" t="n"/>
      <c r="H495" s="21" t="n"/>
      <c r="I495" s="16">
        <f>IF(OR(N(D495)&lt;=0,NOT(ISNUMBER(E495))),"",E495/D495)</f>
        <v/>
      </c>
      <c r="J495" s="16">
        <f>IF(OR(C495="",NOT(ISNUMBER(E495))),"",MAX(0,E495-N(F495)))</f>
        <v/>
      </c>
      <c r="K495" s="12">
        <f>IF(AND(C495="",D495="",E495=""),"",IF(NOT(ISNUMBER(B495)),"Needs a date",IF(C495="","Needs a client",IF(COUNTIF(Clients!$B$6:$B$105,C495)=0,"Not on Clients",IF(NOT(ISNUMBER(D495)),"Needs the sessions",IF(AND(E495&lt;&gt;"",NOT(ISNUMBER(E495))),"Price not a number",IF(AND(ISNUMBER(E495),N(F495)&gt;E495),"Paid more than the price","")))))))</f>
        <v/>
      </c>
      <c r="L495" s="1">
        <f>IF(ISNUMBER(B495),YEAR(B495)*100+MONTH(B495),"")</f>
        <v/>
      </c>
      <c r="M495">
        <f>IF(AND(K495="",C495&lt;&gt;""),1,0)</f>
        <v/>
      </c>
      <c r="N495">
        <f>IF(AND(M495=1,ISNUMBER(G495)),INT(G495),0)</f>
        <v/>
      </c>
    </row>
    <row r="496">
      <c r="A496" s="1" t="n"/>
      <c r="B496" s="17" t="n"/>
      <c r="C496" s="19" t="n"/>
      <c r="D496" s="25" t="n"/>
      <c r="E496" s="26" t="n"/>
      <c r="F496" s="26" t="n"/>
      <c r="G496" s="17" t="n"/>
      <c r="H496" s="21" t="n"/>
      <c r="I496" s="16">
        <f>IF(OR(N(D496)&lt;=0,NOT(ISNUMBER(E496))),"",E496/D496)</f>
        <v/>
      </c>
      <c r="J496" s="16">
        <f>IF(OR(C496="",NOT(ISNUMBER(E496))),"",MAX(0,E496-N(F496)))</f>
        <v/>
      </c>
      <c r="K496" s="12">
        <f>IF(AND(C496="",D496="",E496=""),"",IF(NOT(ISNUMBER(B496)),"Needs a date",IF(C496="","Needs a client",IF(COUNTIF(Clients!$B$6:$B$105,C496)=0,"Not on Clients",IF(NOT(ISNUMBER(D496)),"Needs the sessions",IF(AND(E496&lt;&gt;"",NOT(ISNUMBER(E496))),"Price not a number",IF(AND(ISNUMBER(E496),N(F496)&gt;E496),"Paid more than the price","")))))))</f>
        <v/>
      </c>
      <c r="L496" s="1">
        <f>IF(ISNUMBER(B496),YEAR(B496)*100+MONTH(B496),"")</f>
        <v/>
      </c>
      <c r="M496">
        <f>IF(AND(K496="",C496&lt;&gt;""),1,0)</f>
        <v/>
      </c>
      <c r="N496">
        <f>IF(AND(M496=1,ISNUMBER(G496)),INT(G496),0)</f>
        <v/>
      </c>
    </row>
    <row r="497">
      <c r="A497" s="1" t="n"/>
      <c r="B497" s="17" t="n"/>
      <c r="C497" s="19" t="n"/>
      <c r="D497" s="25" t="n"/>
      <c r="E497" s="26" t="n"/>
      <c r="F497" s="26" t="n"/>
      <c r="G497" s="17" t="n"/>
      <c r="H497" s="21" t="n"/>
      <c r="I497" s="16">
        <f>IF(OR(N(D497)&lt;=0,NOT(ISNUMBER(E497))),"",E497/D497)</f>
        <v/>
      </c>
      <c r="J497" s="16">
        <f>IF(OR(C497="",NOT(ISNUMBER(E497))),"",MAX(0,E497-N(F497)))</f>
        <v/>
      </c>
      <c r="K497" s="12">
        <f>IF(AND(C497="",D497="",E497=""),"",IF(NOT(ISNUMBER(B497)),"Needs a date",IF(C497="","Needs a client",IF(COUNTIF(Clients!$B$6:$B$105,C497)=0,"Not on Clients",IF(NOT(ISNUMBER(D497)),"Needs the sessions",IF(AND(E497&lt;&gt;"",NOT(ISNUMBER(E497))),"Price not a number",IF(AND(ISNUMBER(E497),N(F497)&gt;E497),"Paid more than the price","")))))))</f>
        <v/>
      </c>
      <c r="L497" s="1">
        <f>IF(ISNUMBER(B497),YEAR(B497)*100+MONTH(B497),"")</f>
        <v/>
      </c>
      <c r="M497">
        <f>IF(AND(K497="",C497&lt;&gt;""),1,0)</f>
        <v/>
      </c>
      <c r="N497">
        <f>IF(AND(M497=1,ISNUMBER(G497)),INT(G497),0)</f>
        <v/>
      </c>
    </row>
    <row r="498">
      <c r="A498" s="1" t="n"/>
      <c r="B498" s="17" t="n"/>
      <c r="C498" s="19" t="n"/>
      <c r="D498" s="25" t="n"/>
      <c r="E498" s="26" t="n"/>
      <c r="F498" s="26" t="n"/>
      <c r="G498" s="17" t="n"/>
      <c r="H498" s="21" t="n"/>
      <c r="I498" s="16">
        <f>IF(OR(N(D498)&lt;=0,NOT(ISNUMBER(E498))),"",E498/D498)</f>
        <v/>
      </c>
      <c r="J498" s="16">
        <f>IF(OR(C498="",NOT(ISNUMBER(E498))),"",MAX(0,E498-N(F498)))</f>
        <v/>
      </c>
      <c r="K498" s="12">
        <f>IF(AND(C498="",D498="",E498=""),"",IF(NOT(ISNUMBER(B498)),"Needs a date",IF(C498="","Needs a client",IF(COUNTIF(Clients!$B$6:$B$105,C498)=0,"Not on Clients",IF(NOT(ISNUMBER(D498)),"Needs the sessions",IF(AND(E498&lt;&gt;"",NOT(ISNUMBER(E498))),"Price not a number",IF(AND(ISNUMBER(E498),N(F498)&gt;E498),"Paid more than the price","")))))))</f>
        <v/>
      </c>
      <c r="L498" s="1">
        <f>IF(ISNUMBER(B498),YEAR(B498)*100+MONTH(B498),"")</f>
        <v/>
      </c>
      <c r="M498">
        <f>IF(AND(K498="",C498&lt;&gt;""),1,0)</f>
        <v/>
      </c>
      <c r="N498">
        <f>IF(AND(M498=1,ISNUMBER(G498)),INT(G498),0)</f>
        <v/>
      </c>
    </row>
    <row r="499">
      <c r="A499" s="1" t="n"/>
      <c r="B499" s="17" t="n"/>
      <c r="C499" s="19" t="n"/>
      <c r="D499" s="25" t="n"/>
      <c r="E499" s="26" t="n"/>
      <c r="F499" s="26" t="n"/>
      <c r="G499" s="17" t="n"/>
      <c r="H499" s="21" t="n"/>
      <c r="I499" s="16">
        <f>IF(OR(N(D499)&lt;=0,NOT(ISNUMBER(E499))),"",E499/D499)</f>
        <v/>
      </c>
      <c r="J499" s="16">
        <f>IF(OR(C499="",NOT(ISNUMBER(E499))),"",MAX(0,E499-N(F499)))</f>
        <v/>
      </c>
      <c r="K499" s="12">
        <f>IF(AND(C499="",D499="",E499=""),"",IF(NOT(ISNUMBER(B499)),"Needs a date",IF(C499="","Needs a client",IF(COUNTIF(Clients!$B$6:$B$105,C499)=0,"Not on Clients",IF(NOT(ISNUMBER(D499)),"Needs the sessions",IF(AND(E499&lt;&gt;"",NOT(ISNUMBER(E499))),"Price not a number",IF(AND(ISNUMBER(E499),N(F499)&gt;E499),"Paid more than the price","")))))))</f>
        <v/>
      </c>
      <c r="L499" s="1">
        <f>IF(ISNUMBER(B499),YEAR(B499)*100+MONTH(B499),"")</f>
        <v/>
      </c>
      <c r="M499">
        <f>IF(AND(K499="",C499&lt;&gt;""),1,0)</f>
        <v/>
      </c>
      <c r="N499">
        <f>IF(AND(M499=1,ISNUMBER(G499)),INT(G499),0)</f>
        <v/>
      </c>
    </row>
    <row r="500">
      <c r="A500" s="1" t="n"/>
      <c r="B500" s="17" t="n"/>
      <c r="C500" s="19" t="n"/>
      <c r="D500" s="25" t="n"/>
      <c r="E500" s="26" t="n"/>
      <c r="F500" s="26" t="n"/>
      <c r="G500" s="17" t="n"/>
      <c r="H500" s="21" t="n"/>
      <c r="I500" s="16">
        <f>IF(OR(N(D500)&lt;=0,NOT(ISNUMBER(E500))),"",E500/D500)</f>
        <v/>
      </c>
      <c r="J500" s="16">
        <f>IF(OR(C500="",NOT(ISNUMBER(E500))),"",MAX(0,E500-N(F500)))</f>
        <v/>
      </c>
      <c r="K500" s="12">
        <f>IF(AND(C500="",D500="",E500=""),"",IF(NOT(ISNUMBER(B500)),"Needs a date",IF(C500="","Needs a client",IF(COUNTIF(Clients!$B$6:$B$105,C500)=0,"Not on Clients",IF(NOT(ISNUMBER(D500)),"Needs the sessions",IF(AND(E500&lt;&gt;"",NOT(ISNUMBER(E500))),"Price not a number",IF(AND(ISNUMBER(E500),N(F500)&gt;E500),"Paid more than the price","")))))))</f>
        <v/>
      </c>
      <c r="L500" s="1">
        <f>IF(ISNUMBER(B500),YEAR(B500)*100+MONTH(B500),"")</f>
        <v/>
      </c>
      <c r="M500">
        <f>IF(AND(K500="",C500&lt;&gt;""),1,0)</f>
        <v/>
      </c>
      <c r="N500">
        <f>IF(AND(M500=1,ISNUMBER(G500)),INT(G500),0)</f>
        <v/>
      </c>
    </row>
    <row r="501">
      <c r="A501" s="1" t="n"/>
      <c r="B501" s="17" t="n"/>
      <c r="C501" s="19" t="n"/>
      <c r="D501" s="25" t="n"/>
      <c r="E501" s="26" t="n"/>
      <c r="F501" s="26" t="n"/>
      <c r="G501" s="17" t="n"/>
      <c r="H501" s="21" t="n"/>
      <c r="I501" s="16">
        <f>IF(OR(N(D501)&lt;=0,NOT(ISNUMBER(E501))),"",E501/D501)</f>
        <v/>
      </c>
      <c r="J501" s="16">
        <f>IF(OR(C501="",NOT(ISNUMBER(E501))),"",MAX(0,E501-N(F501)))</f>
        <v/>
      </c>
      <c r="K501" s="12">
        <f>IF(AND(C501="",D501="",E501=""),"",IF(NOT(ISNUMBER(B501)),"Needs a date",IF(C501="","Needs a client",IF(COUNTIF(Clients!$B$6:$B$105,C501)=0,"Not on Clients",IF(NOT(ISNUMBER(D501)),"Needs the sessions",IF(AND(E501&lt;&gt;"",NOT(ISNUMBER(E501))),"Price not a number",IF(AND(ISNUMBER(E501),N(F501)&gt;E501),"Paid more than the price","")))))))</f>
        <v/>
      </c>
      <c r="L501" s="1">
        <f>IF(ISNUMBER(B501),YEAR(B501)*100+MONTH(B501),"")</f>
        <v/>
      </c>
      <c r="M501">
        <f>IF(AND(K501="",C501&lt;&gt;""),1,0)</f>
        <v/>
      </c>
      <c r="N501">
        <f>IF(AND(M501=1,ISNUMBER(G501)),INT(G501),0)</f>
        <v/>
      </c>
    </row>
    <row r="502">
      <c r="A502" s="1" t="n"/>
      <c r="B502" s="17" t="n"/>
      <c r="C502" s="19" t="n"/>
      <c r="D502" s="25" t="n"/>
      <c r="E502" s="26" t="n"/>
      <c r="F502" s="26" t="n"/>
      <c r="G502" s="17" t="n"/>
      <c r="H502" s="21" t="n"/>
      <c r="I502" s="16">
        <f>IF(OR(N(D502)&lt;=0,NOT(ISNUMBER(E502))),"",E502/D502)</f>
        <v/>
      </c>
      <c r="J502" s="16">
        <f>IF(OR(C502="",NOT(ISNUMBER(E502))),"",MAX(0,E502-N(F502)))</f>
        <v/>
      </c>
      <c r="K502" s="12">
        <f>IF(AND(C502="",D502="",E502=""),"",IF(NOT(ISNUMBER(B502)),"Needs a date",IF(C502="","Needs a client",IF(COUNTIF(Clients!$B$6:$B$105,C502)=0,"Not on Clients",IF(NOT(ISNUMBER(D502)),"Needs the sessions",IF(AND(E502&lt;&gt;"",NOT(ISNUMBER(E502))),"Price not a number",IF(AND(ISNUMBER(E502),N(F502)&gt;E502),"Paid more than the price","")))))))</f>
        <v/>
      </c>
      <c r="L502" s="1">
        <f>IF(ISNUMBER(B502),YEAR(B502)*100+MONTH(B502),"")</f>
        <v/>
      </c>
      <c r="M502">
        <f>IF(AND(K502="",C502&lt;&gt;""),1,0)</f>
        <v/>
      </c>
      <c r="N502">
        <f>IF(AND(M502=1,ISNUMBER(G502)),INT(G502),0)</f>
        <v/>
      </c>
    </row>
    <row r="503">
      <c r="A503" s="1" t="n"/>
      <c r="B503" s="17" t="n"/>
      <c r="C503" s="19" t="n"/>
      <c r="D503" s="25" t="n"/>
      <c r="E503" s="26" t="n"/>
      <c r="F503" s="26" t="n"/>
      <c r="G503" s="17" t="n"/>
      <c r="H503" s="21" t="n"/>
      <c r="I503" s="16">
        <f>IF(OR(N(D503)&lt;=0,NOT(ISNUMBER(E503))),"",E503/D503)</f>
        <v/>
      </c>
      <c r="J503" s="16">
        <f>IF(OR(C503="",NOT(ISNUMBER(E503))),"",MAX(0,E503-N(F503)))</f>
        <v/>
      </c>
      <c r="K503" s="12">
        <f>IF(AND(C503="",D503="",E503=""),"",IF(NOT(ISNUMBER(B503)),"Needs a date",IF(C503="","Needs a client",IF(COUNTIF(Clients!$B$6:$B$105,C503)=0,"Not on Clients",IF(NOT(ISNUMBER(D503)),"Needs the sessions",IF(AND(E503&lt;&gt;"",NOT(ISNUMBER(E503))),"Price not a number",IF(AND(ISNUMBER(E503),N(F503)&gt;E503),"Paid more than the price","")))))))</f>
        <v/>
      </c>
      <c r="L503" s="1">
        <f>IF(ISNUMBER(B503),YEAR(B503)*100+MONTH(B503),"")</f>
        <v/>
      </c>
      <c r="M503">
        <f>IF(AND(K503="",C503&lt;&gt;""),1,0)</f>
        <v/>
      </c>
      <c r="N503">
        <f>IF(AND(M503=1,ISNUMBER(G503)),INT(G503),0)</f>
        <v/>
      </c>
    </row>
    <row r="504">
      <c r="A504" s="1" t="n"/>
      <c r="B504" s="17" t="n"/>
      <c r="C504" s="19" t="n"/>
      <c r="D504" s="25" t="n"/>
      <c r="E504" s="26" t="n"/>
      <c r="F504" s="26" t="n"/>
      <c r="G504" s="17" t="n"/>
      <c r="H504" s="21" t="n"/>
      <c r="I504" s="16">
        <f>IF(OR(N(D504)&lt;=0,NOT(ISNUMBER(E504))),"",E504/D504)</f>
        <v/>
      </c>
      <c r="J504" s="16">
        <f>IF(OR(C504="",NOT(ISNUMBER(E504))),"",MAX(0,E504-N(F504)))</f>
        <v/>
      </c>
      <c r="K504" s="12">
        <f>IF(AND(C504="",D504="",E504=""),"",IF(NOT(ISNUMBER(B504)),"Needs a date",IF(C504="","Needs a client",IF(COUNTIF(Clients!$B$6:$B$105,C504)=0,"Not on Clients",IF(NOT(ISNUMBER(D504)),"Needs the sessions",IF(AND(E504&lt;&gt;"",NOT(ISNUMBER(E504))),"Price not a number",IF(AND(ISNUMBER(E504),N(F504)&gt;E504),"Paid more than the price","")))))))</f>
        <v/>
      </c>
      <c r="L504" s="1">
        <f>IF(ISNUMBER(B504),YEAR(B504)*100+MONTH(B504),"")</f>
        <v/>
      </c>
      <c r="M504">
        <f>IF(AND(K504="",C504&lt;&gt;""),1,0)</f>
        <v/>
      </c>
      <c r="N504">
        <f>IF(AND(M504=1,ISNUMBER(G504)),INT(G504),0)</f>
        <v/>
      </c>
    </row>
    <row r="505">
      <c r="A505" s="1" t="n"/>
      <c r="B505" s="17" t="n"/>
      <c r="C505" s="19" t="n"/>
      <c r="D505" s="25" t="n"/>
      <c r="E505" s="26" t="n"/>
      <c r="F505" s="26" t="n"/>
      <c r="G505" s="17" t="n"/>
      <c r="H505" s="21" t="n"/>
      <c r="I505" s="16">
        <f>IF(OR(N(D505)&lt;=0,NOT(ISNUMBER(E505))),"",E505/D505)</f>
        <v/>
      </c>
      <c r="J505" s="16">
        <f>IF(OR(C505="",NOT(ISNUMBER(E505))),"",MAX(0,E505-N(F505)))</f>
        <v/>
      </c>
      <c r="K505" s="12">
        <f>IF(AND(C505="",D505="",E505=""),"",IF(NOT(ISNUMBER(B505)),"Needs a date",IF(C505="","Needs a client",IF(COUNTIF(Clients!$B$6:$B$105,C505)=0,"Not on Clients",IF(NOT(ISNUMBER(D505)),"Needs the sessions",IF(AND(E505&lt;&gt;"",NOT(ISNUMBER(E505))),"Price not a number",IF(AND(ISNUMBER(E505),N(F505)&gt;E505),"Paid more than the price","")))))))</f>
        <v/>
      </c>
      <c r="L505" s="1">
        <f>IF(ISNUMBER(B505),YEAR(B505)*100+MONTH(B505),"")</f>
        <v/>
      </c>
      <c r="M505">
        <f>IF(AND(K505="",C505&lt;&gt;""),1,0)</f>
        <v/>
      </c>
      <c r="N505">
        <f>IF(AND(M505=1,ISNUMBER(G505)),INT(G505),0)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</row>
  </sheetData>
  <conditionalFormatting sqref="K6:K505">
    <cfRule type="expression" priority="1" dxfId="0">
      <formula>K6&lt;&gt;""</formula>
    </cfRule>
  </conditionalFormatting>
  <conditionalFormatting sqref="J6:J505">
    <cfRule type="expression" priority="2" dxfId="0">
      <formula>AND(ISNUMBER(J6),J6&gt;0)</formula>
    </cfRule>
  </conditionalFormatting>
  <dataValidations count="1">
    <dataValidation sqref="C6:C505" showDropDown="0" showInputMessage="0" showErrorMessage="0" allowBlank="1" type="list">
      <formula1>=Clients!$B$6:$B$105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15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11" customWidth="1" min="13" max="13"/>
    <col width="26" customWidth="1" min="14" max="14"/>
    <col width="18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2" t="inlineStr">
        <is>
          <t>Check-ins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Measurements and marks, as often as you check. Leave empty what you did not measure.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30" customHeight="1">
      <c r="A5" s="1" t="n"/>
      <c r="B5" s="9" t="inlineStr">
        <is>
          <t>Date</t>
        </is>
      </c>
      <c r="C5" s="9" t="inlineStr">
        <is>
          <t>Client</t>
        </is>
      </c>
      <c r="D5" s="9">
        <f>"Weight"&amp;IF(Settings!$C$5="",""," ("&amp;Settings!$C$5&amp;")")</f>
        <v/>
      </c>
      <c r="E5" s="9" t="inlineStr">
        <is>
          <t>Body fat %</t>
        </is>
      </c>
      <c r="F5" s="9">
        <f>"Waist"&amp;IF(Settings!$C$6="",""," ("&amp;Settings!$C$6&amp;")")</f>
        <v/>
      </c>
      <c r="G5" s="9">
        <f>"Hips"&amp;IF(Settings!$C$6="",""," ("&amp;Settings!$C$6&amp;")")</f>
        <v/>
      </c>
      <c r="H5" s="9">
        <f>"Chest"&amp;IF(Settings!$C$6="",""," ("&amp;Settings!$C$6&amp;")")</f>
        <v/>
      </c>
      <c r="I5" s="9">
        <f>"Arm"&amp;IF(Settings!$C$6="",""," ("&amp;Settings!$C$6&amp;")")</f>
        <v/>
      </c>
      <c r="J5" s="9">
        <f>"Thigh"&amp;IF(Settings!$C$6="",""," ("&amp;Settings!$C$6&amp;")")</f>
        <v/>
      </c>
      <c r="K5" s="9">
        <f>IF(Settings!$C$12="","Mark 1",Settings!$C$12)</f>
        <v/>
      </c>
      <c r="L5" s="9">
        <f>IF(Settings!$C$13="","Mark 2",Settings!$C$13)</f>
        <v/>
      </c>
      <c r="M5" s="9">
        <f>IF(Settings!$C$14="","Mark 3",Settings!$C$14)</f>
        <v/>
      </c>
      <c r="N5" s="9" t="inlineStr">
        <is>
          <t>Note</t>
        </is>
      </c>
      <c r="O5" s="9" t="inlineStr">
        <is>
          <t>Check</t>
        </is>
      </c>
      <c r="P5" s="1" t="n"/>
    </row>
    <row r="6">
      <c r="A6" s="1" t="n"/>
      <c r="B6" s="17" t="n">
        <v>45993</v>
      </c>
      <c r="C6" s="27" t="inlineStr">
        <is>
          <t>Hannah Brooks</t>
        </is>
      </c>
      <c r="D6" s="28" t="n">
        <v>58</v>
      </c>
      <c r="E6" s="28" t="n">
        <v>24</v>
      </c>
      <c r="F6" s="28" t="n">
        <v>68</v>
      </c>
      <c r="G6" s="28" t="n">
        <v>92</v>
      </c>
      <c r="H6" s="28" t="n">
        <v>86</v>
      </c>
      <c r="I6" s="28" t="n">
        <v>26</v>
      </c>
      <c r="J6" s="28" t="n">
        <v>52</v>
      </c>
      <c r="K6" s="28" t="n">
        <v>45</v>
      </c>
      <c r="L6" s="28" t="n">
        <v>15</v>
      </c>
      <c r="M6" s="29" t="n">
        <v>4.9</v>
      </c>
      <c r="N6" s="21" t="inlineStr">
        <is>
          <t>First check-in</t>
        </is>
      </c>
      <c r="O6" s="12">
        <f>IF(AND(B6="",C6=""),"",IF(NOT(ISNUMBER(B6)),"Needs a date",IF(C6="","Needs a client",IF(COUNTIF(Clients!$B$6:$B$105,C6)=0,"Not on Clients",IF(COUNT(D6:M6)=0,"Nothing measured","")))))</f>
        <v/>
      </c>
      <c r="P6" s="1">
        <f>IF(AND(O6="",ISNUMBER(B6)),INT(B6),0)</f>
        <v/>
      </c>
      <c r="Q6">
        <f>IF(AND(P6&gt;0,C6=Report!$C$5),P6*10000+ROW(),"")</f>
        <v/>
      </c>
      <c r="R6">
        <f>IF(AND(Q6&lt;&gt;"",ISNUMBER(D6)),Q6,"")</f>
        <v/>
      </c>
      <c r="S6">
        <f>IF(AND(Q6&lt;&gt;"",ISNUMBER(E6)),Q6,"")</f>
        <v/>
      </c>
      <c r="T6">
        <f>IF(AND(Q6&lt;&gt;"",ISNUMBER(F6)),Q6,"")</f>
        <v/>
      </c>
      <c r="U6">
        <f>IF(AND(Q6&lt;&gt;"",ISNUMBER(G6)),Q6,"")</f>
        <v/>
      </c>
      <c r="V6">
        <f>IF(AND(Q6&lt;&gt;"",ISNUMBER(H6)),Q6,"")</f>
        <v/>
      </c>
      <c r="W6">
        <f>IF(AND(Q6&lt;&gt;"",ISNUMBER(I6)),Q6,"")</f>
        <v/>
      </c>
      <c r="X6">
        <f>IF(AND(Q6&lt;&gt;"",ISNUMBER(J6)),Q6,"")</f>
        <v/>
      </c>
      <c r="Y6">
        <f>IF(AND(Q6&lt;&gt;"",ISNUMBER(K6)),Q6,"")</f>
        <v/>
      </c>
      <c r="Z6">
        <f>IF(AND(Q6&lt;&gt;"",ISNUMBER(L6)),Q6,"")</f>
        <v/>
      </c>
      <c r="AA6">
        <f>IF(AND(Q6&lt;&gt;"",ISNUMBER(M6)),Q6,"")</f>
        <v/>
      </c>
      <c r="AB6">
        <f>IF(AND(Q6&lt;&gt;"",ISNUMBER(K6)),K6,"")</f>
        <v/>
      </c>
      <c r="AC6">
        <f>IF(AND(Q6&lt;&gt;"",ISNUMBER(L6)),L6,"")</f>
        <v/>
      </c>
      <c r="AD6">
        <f>IF(AND(Q6&lt;&gt;"",ISNUMBER(M6)),M6,"")</f>
        <v/>
      </c>
    </row>
    <row r="7">
      <c r="A7" s="1" t="n"/>
      <c r="B7" s="17" t="n">
        <v>46021</v>
      </c>
      <c r="C7" s="27" t="inlineStr">
        <is>
          <t>Hannah Brooks</t>
        </is>
      </c>
      <c r="D7" s="28" t="n">
        <v>58</v>
      </c>
      <c r="E7" s="28" t="n">
        <v>23.9</v>
      </c>
      <c r="F7" s="28" t="n">
        <v>67.8</v>
      </c>
      <c r="G7" s="28" t="n"/>
      <c r="H7" s="28" t="n"/>
      <c r="I7" s="28" t="n"/>
      <c r="J7" s="28" t="n"/>
      <c r="K7" s="28" t="n">
        <v>46.7</v>
      </c>
      <c r="L7" s="28" t="n">
        <v>16</v>
      </c>
      <c r="M7" s="29" t="n">
        <v>4.9</v>
      </c>
      <c r="N7" s="21" t="n"/>
      <c r="O7" s="12">
        <f>IF(AND(B7="",C7=""),"",IF(NOT(ISNUMBER(B7)),"Needs a date",IF(C7="","Needs a client",IF(COUNTIF(Clients!$B$6:$B$105,C7)=0,"Not on Clients",IF(COUNT(D7:M7)=0,"Nothing measured","")))))</f>
        <v/>
      </c>
      <c r="P7" s="1">
        <f>IF(AND(O7="",ISNUMBER(B7)),INT(B7),0)</f>
        <v/>
      </c>
      <c r="Q7">
        <f>IF(AND(P7&gt;0,C7=Report!$C$5),P7*10000+ROW(),"")</f>
        <v/>
      </c>
      <c r="R7">
        <f>IF(AND(Q7&lt;&gt;"",ISNUMBER(D7)),Q7,"")</f>
        <v/>
      </c>
      <c r="S7">
        <f>IF(AND(Q7&lt;&gt;"",ISNUMBER(E7)),Q7,"")</f>
        <v/>
      </c>
      <c r="T7">
        <f>IF(AND(Q7&lt;&gt;"",ISNUMBER(F7)),Q7,"")</f>
        <v/>
      </c>
      <c r="U7">
        <f>IF(AND(Q7&lt;&gt;"",ISNUMBER(G7)),Q7,"")</f>
        <v/>
      </c>
      <c r="V7">
        <f>IF(AND(Q7&lt;&gt;"",ISNUMBER(H7)),Q7,"")</f>
        <v/>
      </c>
      <c r="W7">
        <f>IF(AND(Q7&lt;&gt;"",ISNUMBER(I7)),Q7,"")</f>
        <v/>
      </c>
      <c r="X7">
        <f>IF(AND(Q7&lt;&gt;"",ISNUMBER(J7)),Q7,"")</f>
        <v/>
      </c>
      <c r="Y7">
        <f>IF(AND(Q7&lt;&gt;"",ISNUMBER(K7)),Q7,"")</f>
        <v/>
      </c>
      <c r="Z7">
        <f>IF(AND(Q7&lt;&gt;"",ISNUMBER(L7)),Q7,"")</f>
        <v/>
      </c>
      <c r="AA7">
        <f>IF(AND(Q7&lt;&gt;"",ISNUMBER(M7)),Q7,"")</f>
        <v/>
      </c>
      <c r="AB7">
        <f>IF(AND(Q7&lt;&gt;"",ISNUMBER(K7)),K7,"")</f>
        <v/>
      </c>
      <c r="AC7">
        <f>IF(AND(Q7&lt;&gt;"",ISNUMBER(L7)),L7,"")</f>
        <v/>
      </c>
      <c r="AD7">
        <f>IF(AND(Q7&lt;&gt;"",ISNUMBER(M7)),M7,"")</f>
        <v/>
      </c>
    </row>
    <row r="8">
      <c r="A8" s="1" t="n"/>
      <c r="B8" s="17" t="n">
        <v>46049</v>
      </c>
      <c r="C8" s="27" t="inlineStr">
        <is>
          <t>Hannah Brooks</t>
        </is>
      </c>
      <c r="D8" s="28" t="n">
        <v>58</v>
      </c>
      <c r="E8" s="28" t="n">
        <v>23.8</v>
      </c>
      <c r="F8" s="28" t="n">
        <v>67.59999999999999</v>
      </c>
      <c r="G8" s="28" t="n">
        <v>92</v>
      </c>
      <c r="H8" s="28" t="n">
        <v>86</v>
      </c>
      <c r="I8" s="28" t="n">
        <v>26</v>
      </c>
      <c r="J8" s="28" t="n">
        <v>52</v>
      </c>
      <c r="K8" s="28" t="n">
        <v>48.1</v>
      </c>
      <c r="L8" s="28" t="n">
        <v>16</v>
      </c>
      <c r="M8" s="29" t="n">
        <v>4.8</v>
      </c>
      <c r="N8" s="21" t="n"/>
      <c r="O8" s="12">
        <f>IF(AND(B8="",C8=""),"",IF(NOT(ISNUMBER(B8)),"Needs a date",IF(C8="","Needs a client",IF(COUNTIF(Clients!$B$6:$B$105,C8)=0,"Not on Clients",IF(COUNT(D8:M8)=0,"Nothing measured","")))))</f>
        <v/>
      </c>
      <c r="P8" s="1">
        <f>IF(AND(O8="",ISNUMBER(B8)),INT(B8),0)</f>
        <v/>
      </c>
      <c r="Q8">
        <f>IF(AND(P8&gt;0,C8=Report!$C$5),P8*10000+ROW(),"")</f>
        <v/>
      </c>
      <c r="R8">
        <f>IF(AND(Q8&lt;&gt;"",ISNUMBER(D8)),Q8,"")</f>
        <v/>
      </c>
      <c r="S8">
        <f>IF(AND(Q8&lt;&gt;"",ISNUMBER(E8)),Q8,"")</f>
        <v/>
      </c>
      <c r="T8">
        <f>IF(AND(Q8&lt;&gt;"",ISNUMBER(F8)),Q8,"")</f>
        <v/>
      </c>
      <c r="U8">
        <f>IF(AND(Q8&lt;&gt;"",ISNUMBER(G8)),Q8,"")</f>
        <v/>
      </c>
      <c r="V8">
        <f>IF(AND(Q8&lt;&gt;"",ISNUMBER(H8)),Q8,"")</f>
        <v/>
      </c>
      <c r="W8">
        <f>IF(AND(Q8&lt;&gt;"",ISNUMBER(I8)),Q8,"")</f>
        <v/>
      </c>
      <c r="X8">
        <f>IF(AND(Q8&lt;&gt;"",ISNUMBER(J8)),Q8,"")</f>
        <v/>
      </c>
      <c r="Y8">
        <f>IF(AND(Q8&lt;&gt;"",ISNUMBER(K8)),Q8,"")</f>
        <v/>
      </c>
      <c r="Z8">
        <f>IF(AND(Q8&lt;&gt;"",ISNUMBER(L8)),Q8,"")</f>
        <v/>
      </c>
      <c r="AA8">
        <f>IF(AND(Q8&lt;&gt;"",ISNUMBER(M8)),Q8,"")</f>
        <v/>
      </c>
      <c r="AB8">
        <f>IF(AND(Q8&lt;&gt;"",ISNUMBER(K8)),K8,"")</f>
        <v/>
      </c>
      <c r="AC8">
        <f>IF(AND(Q8&lt;&gt;"",ISNUMBER(L8)),L8,"")</f>
        <v/>
      </c>
      <c r="AD8">
        <f>IF(AND(Q8&lt;&gt;"",ISNUMBER(M8)),M8,"")</f>
        <v/>
      </c>
    </row>
    <row r="9">
      <c r="A9" s="1" t="n"/>
      <c r="B9" s="17" t="n">
        <v>46053</v>
      </c>
      <c r="C9" s="27" t="inlineStr">
        <is>
          <t>Maya Ortiz</t>
        </is>
      </c>
      <c r="D9" s="28" t="n">
        <v>68</v>
      </c>
      <c r="E9" s="28" t="n">
        <v>27</v>
      </c>
      <c r="F9" s="28" t="n">
        <v>76</v>
      </c>
      <c r="G9" s="28" t="n">
        <v>98</v>
      </c>
      <c r="H9" s="28" t="n">
        <v>92</v>
      </c>
      <c r="I9" s="28" t="n">
        <v>29</v>
      </c>
      <c r="J9" s="28" t="n">
        <v>57</v>
      </c>
      <c r="K9" s="28" t="n">
        <v>50.1</v>
      </c>
      <c r="L9" s="28" t="n">
        <v>12</v>
      </c>
      <c r="M9" s="29" t="n">
        <v>4.9</v>
      </c>
      <c r="N9" s="21" t="inlineStr">
        <is>
          <t>First check-in</t>
        </is>
      </c>
      <c r="O9" s="12">
        <f>IF(AND(B9="",C9=""),"",IF(NOT(ISNUMBER(B9)),"Needs a date",IF(C9="","Needs a client",IF(COUNTIF(Clients!$B$6:$B$105,C9)=0,"Not on Clients",IF(COUNT(D9:M9)=0,"Nothing measured","")))))</f>
        <v/>
      </c>
      <c r="P9" s="1">
        <f>IF(AND(O9="",ISNUMBER(B9)),INT(B9),0)</f>
        <v/>
      </c>
      <c r="Q9">
        <f>IF(AND(P9&gt;0,C9=Report!$C$5),P9*10000+ROW(),"")</f>
        <v/>
      </c>
      <c r="R9">
        <f>IF(AND(Q9&lt;&gt;"",ISNUMBER(D9)),Q9,"")</f>
        <v/>
      </c>
      <c r="S9">
        <f>IF(AND(Q9&lt;&gt;"",ISNUMBER(E9)),Q9,"")</f>
        <v/>
      </c>
      <c r="T9">
        <f>IF(AND(Q9&lt;&gt;"",ISNUMBER(F9)),Q9,"")</f>
        <v/>
      </c>
      <c r="U9">
        <f>IF(AND(Q9&lt;&gt;"",ISNUMBER(G9)),Q9,"")</f>
        <v/>
      </c>
      <c r="V9">
        <f>IF(AND(Q9&lt;&gt;"",ISNUMBER(H9)),Q9,"")</f>
        <v/>
      </c>
      <c r="W9">
        <f>IF(AND(Q9&lt;&gt;"",ISNUMBER(I9)),Q9,"")</f>
        <v/>
      </c>
      <c r="X9">
        <f>IF(AND(Q9&lt;&gt;"",ISNUMBER(J9)),Q9,"")</f>
        <v/>
      </c>
      <c r="Y9">
        <f>IF(AND(Q9&lt;&gt;"",ISNUMBER(K9)),Q9,"")</f>
        <v/>
      </c>
      <c r="Z9">
        <f>IF(AND(Q9&lt;&gt;"",ISNUMBER(L9)),Q9,"")</f>
        <v/>
      </c>
      <c r="AA9">
        <f>IF(AND(Q9&lt;&gt;"",ISNUMBER(M9)),Q9,"")</f>
        <v/>
      </c>
      <c r="AB9">
        <f>IF(AND(Q9&lt;&gt;"",ISNUMBER(K9)),K9,"")</f>
        <v/>
      </c>
      <c r="AC9">
        <f>IF(AND(Q9&lt;&gt;"",ISNUMBER(L9)),L9,"")</f>
        <v/>
      </c>
      <c r="AD9">
        <f>IF(AND(Q9&lt;&gt;"",ISNUMBER(M9)),M9,"")</f>
        <v/>
      </c>
    </row>
    <row r="10">
      <c r="A10" s="1" t="n"/>
      <c r="B10" s="17" t="n">
        <v>46067</v>
      </c>
      <c r="C10" s="27" t="inlineStr">
        <is>
          <t>Maya Ortiz</t>
        </is>
      </c>
      <c r="D10" s="28" t="n">
        <v>67.8</v>
      </c>
      <c r="E10" s="28" t="n">
        <v>26.8</v>
      </c>
      <c r="F10" s="28" t="n">
        <v>75.8</v>
      </c>
      <c r="G10" s="28" t="n"/>
      <c r="H10" s="28" t="n"/>
      <c r="I10" s="28" t="n"/>
      <c r="J10" s="28" t="n"/>
      <c r="K10" s="28" t="n">
        <v>51.2</v>
      </c>
      <c r="L10" s="28" t="n">
        <v>12</v>
      </c>
      <c r="M10" s="29" t="n">
        <v>4.9</v>
      </c>
      <c r="N10" s="21" t="n"/>
      <c r="O10" s="12">
        <f>IF(AND(B10="",C10=""),"",IF(NOT(ISNUMBER(B10)),"Needs a date",IF(C10="","Needs a client",IF(COUNTIF(Clients!$B$6:$B$105,C10)=0,"Not on Clients",IF(COUNT(D10:M10)=0,"Nothing measured","")))))</f>
        <v/>
      </c>
      <c r="P10" s="1">
        <f>IF(AND(O10="",ISNUMBER(B10)),INT(B10),0)</f>
        <v/>
      </c>
      <c r="Q10">
        <f>IF(AND(P10&gt;0,C10=Report!$C$5),P10*10000+ROW(),"")</f>
        <v/>
      </c>
      <c r="R10">
        <f>IF(AND(Q10&lt;&gt;"",ISNUMBER(D10)),Q10,"")</f>
        <v/>
      </c>
      <c r="S10">
        <f>IF(AND(Q10&lt;&gt;"",ISNUMBER(E10)),Q10,"")</f>
        <v/>
      </c>
      <c r="T10">
        <f>IF(AND(Q10&lt;&gt;"",ISNUMBER(F10)),Q10,"")</f>
        <v/>
      </c>
      <c r="U10">
        <f>IF(AND(Q10&lt;&gt;"",ISNUMBER(G10)),Q10,"")</f>
        <v/>
      </c>
      <c r="V10">
        <f>IF(AND(Q10&lt;&gt;"",ISNUMBER(H10)),Q10,"")</f>
        <v/>
      </c>
      <c r="W10">
        <f>IF(AND(Q10&lt;&gt;"",ISNUMBER(I10)),Q10,"")</f>
        <v/>
      </c>
      <c r="X10">
        <f>IF(AND(Q10&lt;&gt;"",ISNUMBER(J10)),Q10,"")</f>
        <v/>
      </c>
      <c r="Y10">
        <f>IF(AND(Q10&lt;&gt;"",ISNUMBER(K10)),Q10,"")</f>
        <v/>
      </c>
      <c r="Z10">
        <f>IF(AND(Q10&lt;&gt;"",ISNUMBER(L10)),Q10,"")</f>
        <v/>
      </c>
      <c r="AA10">
        <f>IF(AND(Q10&lt;&gt;"",ISNUMBER(M10)),Q10,"")</f>
        <v/>
      </c>
      <c r="AB10">
        <f>IF(AND(Q10&lt;&gt;"",ISNUMBER(K10)),K10,"")</f>
        <v/>
      </c>
      <c r="AC10">
        <f>IF(AND(Q10&lt;&gt;"",ISNUMBER(L10)),L10,"")</f>
        <v/>
      </c>
      <c r="AD10">
        <f>IF(AND(Q10&lt;&gt;"",ISNUMBER(M10)),M10,"")</f>
        <v/>
      </c>
    </row>
    <row r="11">
      <c r="A11" s="1" t="n"/>
      <c r="B11" s="17" t="n">
        <v>46077</v>
      </c>
      <c r="C11" s="27" t="inlineStr">
        <is>
          <t>Hannah Brooks</t>
        </is>
      </c>
      <c r="D11" s="28" t="n">
        <v>58</v>
      </c>
      <c r="E11" s="28" t="n">
        <v>23.6</v>
      </c>
      <c r="F11" s="28" t="n">
        <v>67.40000000000001</v>
      </c>
      <c r="G11" s="28" t="n"/>
      <c r="H11" s="28" t="n"/>
      <c r="I11" s="28" t="n"/>
      <c r="J11" s="28" t="n"/>
      <c r="K11" s="28" t="n">
        <v>49.7</v>
      </c>
      <c r="L11" s="28" t="n">
        <v>17</v>
      </c>
      <c r="M11" s="29" t="n">
        <v>4.8</v>
      </c>
      <c r="N11" s="21" t="n"/>
      <c r="O11" s="12">
        <f>IF(AND(B11="",C11=""),"",IF(NOT(ISNUMBER(B11)),"Needs a date",IF(C11="","Needs a client",IF(COUNTIF(Clients!$B$6:$B$105,C11)=0,"Not on Clients",IF(COUNT(D11:M11)=0,"Nothing measured","")))))</f>
        <v/>
      </c>
      <c r="P11" s="1">
        <f>IF(AND(O11="",ISNUMBER(B11)),INT(B11),0)</f>
        <v/>
      </c>
      <c r="Q11">
        <f>IF(AND(P11&gt;0,C11=Report!$C$5),P11*10000+ROW(),"")</f>
        <v/>
      </c>
      <c r="R11">
        <f>IF(AND(Q11&lt;&gt;"",ISNUMBER(D11)),Q11,"")</f>
        <v/>
      </c>
      <c r="S11">
        <f>IF(AND(Q11&lt;&gt;"",ISNUMBER(E11)),Q11,"")</f>
        <v/>
      </c>
      <c r="T11">
        <f>IF(AND(Q11&lt;&gt;"",ISNUMBER(F11)),Q11,"")</f>
        <v/>
      </c>
      <c r="U11">
        <f>IF(AND(Q11&lt;&gt;"",ISNUMBER(G11)),Q11,"")</f>
        <v/>
      </c>
      <c r="V11">
        <f>IF(AND(Q11&lt;&gt;"",ISNUMBER(H11)),Q11,"")</f>
        <v/>
      </c>
      <c r="W11">
        <f>IF(AND(Q11&lt;&gt;"",ISNUMBER(I11)),Q11,"")</f>
        <v/>
      </c>
      <c r="X11">
        <f>IF(AND(Q11&lt;&gt;"",ISNUMBER(J11)),Q11,"")</f>
        <v/>
      </c>
      <c r="Y11">
        <f>IF(AND(Q11&lt;&gt;"",ISNUMBER(K11)),Q11,"")</f>
        <v/>
      </c>
      <c r="Z11">
        <f>IF(AND(Q11&lt;&gt;"",ISNUMBER(L11)),Q11,"")</f>
        <v/>
      </c>
      <c r="AA11">
        <f>IF(AND(Q11&lt;&gt;"",ISNUMBER(M11)),Q11,"")</f>
        <v/>
      </c>
      <c r="AB11">
        <f>IF(AND(Q11&lt;&gt;"",ISNUMBER(K11)),K11,"")</f>
        <v/>
      </c>
      <c r="AC11">
        <f>IF(AND(Q11&lt;&gt;"",ISNUMBER(L11)),L11,"")</f>
        <v/>
      </c>
      <c r="AD11">
        <f>IF(AND(Q11&lt;&gt;"",ISNUMBER(M11)),M11,"")</f>
        <v/>
      </c>
    </row>
    <row r="12">
      <c r="A12" s="1" t="n"/>
      <c r="B12" s="17" t="n">
        <v>46081</v>
      </c>
      <c r="C12" s="27" t="inlineStr">
        <is>
          <t>Maya Ortiz</t>
        </is>
      </c>
      <c r="D12" s="28" t="n">
        <v>67.59999999999999</v>
      </c>
      <c r="E12" s="28" t="n">
        <v>26.7</v>
      </c>
      <c r="F12" s="28" t="n">
        <v>75.5</v>
      </c>
      <c r="G12" s="28" t="n">
        <v>97.7</v>
      </c>
      <c r="H12" s="28" t="n">
        <v>92</v>
      </c>
      <c r="I12" s="28" t="n">
        <v>29.1</v>
      </c>
      <c r="J12" s="28" t="n">
        <v>56.8</v>
      </c>
      <c r="K12" s="28" t="n">
        <v>52.6</v>
      </c>
      <c r="L12" s="28" t="n">
        <v>13</v>
      </c>
      <c r="M12" s="29" t="n">
        <v>4.9</v>
      </c>
      <c r="N12" s="21" t="n"/>
      <c r="O12" s="12">
        <f>IF(AND(B12="",C12=""),"",IF(NOT(ISNUMBER(B12)),"Needs a date",IF(C12="","Needs a client",IF(COUNTIF(Clients!$B$6:$B$105,C12)=0,"Not on Clients",IF(COUNT(D12:M12)=0,"Nothing measured","")))))</f>
        <v/>
      </c>
      <c r="P12" s="1">
        <f>IF(AND(O12="",ISNUMBER(B12)),INT(B12),0)</f>
        <v/>
      </c>
      <c r="Q12">
        <f>IF(AND(P12&gt;0,C12=Report!$C$5),P12*10000+ROW(),"")</f>
        <v/>
      </c>
      <c r="R12">
        <f>IF(AND(Q12&lt;&gt;"",ISNUMBER(D12)),Q12,"")</f>
        <v/>
      </c>
      <c r="S12">
        <f>IF(AND(Q12&lt;&gt;"",ISNUMBER(E12)),Q12,"")</f>
        <v/>
      </c>
      <c r="T12">
        <f>IF(AND(Q12&lt;&gt;"",ISNUMBER(F12)),Q12,"")</f>
        <v/>
      </c>
      <c r="U12">
        <f>IF(AND(Q12&lt;&gt;"",ISNUMBER(G12)),Q12,"")</f>
        <v/>
      </c>
      <c r="V12">
        <f>IF(AND(Q12&lt;&gt;"",ISNUMBER(H12)),Q12,"")</f>
        <v/>
      </c>
      <c r="W12">
        <f>IF(AND(Q12&lt;&gt;"",ISNUMBER(I12)),Q12,"")</f>
        <v/>
      </c>
      <c r="X12">
        <f>IF(AND(Q12&lt;&gt;"",ISNUMBER(J12)),Q12,"")</f>
        <v/>
      </c>
      <c r="Y12">
        <f>IF(AND(Q12&lt;&gt;"",ISNUMBER(K12)),Q12,"")</f>
        <v/>
      </c>
      <c r="Z12">
        <f>IF(AND(Q12&lt;&gt;"",ISNUMBER(L12)),Q12,"")</f>
        <v/>
      </c>
      <c r="AA12">
        <f>IF(AND(Q12&lt;&gt;"",ISNUMBER(M12)),Q12,"")</f>
        <v/>
      </c>
      <c r="AB12">
        <f>IF(AND(Q12&lt;&gt;"",ISNUMBER(K12)),K12,"")</f>
        <v/>
      </c>
      <c r="AC12">
        <f>IF(AND(Q12&lt;&gt;"",ISNUMBER(L12)),L12,"")</f>
        <v/>
      </c>
      <c r="AD12">
        <f>IF(AND(Q12&lt;&gt;"",ISNUMBER(M12)),M12,"")</f>
        <v/>
      </c>
    </row>
    <row r="13">
      <c r="A13" s="1" t="n"/>
      <c r="B13" s="17" t="n">
        <v>46093</v>
      </c>
      <c r="C13" s="27" t="inlineStr">
        <is>
          <t>Ben Carter</t>
        </is>
      </c>
      <c r="D13" s="28" t="n">
        <v>96</v>
      </c>
      <c r="E13" s="28" t="n">
        <v>29.1</v>
      </c>
      <c r="F13" s="28" t="n">
        <v>102</v>
      </c>
      <c r="G13" s="28" t="n">
        <v>108</v>
      </c>
      <c r="H13" s="28" t="n">
        <v>110.1</v>
      </c>
      <c r="I13" s="28" t="n">
        <v>35</v>
      </c>
      <c r="J13" s="28" t="n">
        <v>62</v>
      </c>
      <c r="K13" s="28" t="n">
        <v>69.8</v>
      </c>
      <c r="L13" s="28" t="n">
        <v>15</v>
      </c>
      <c r="M13" s="29" t="n">
        <v>5.2</v>
      </c>
      <c r="N13" s="21" t="inlineStr">
        <is>
          <t>First check-in</t>
        </is>
      </c>
      <c r="O13" s="12">
        <f>IF(AND(B13="",C13=""),"",IF(NOT(ISNUMBER(B13)),"Needs a date",IF(C13="","Needs a client",IF(COUNTIF(Clients!$B$6:$B$105,C13)=0,"Not on Clients",IF(COUNT(D13:M13)=0,"Nothing measured","")))))</f>
        <v/>
      </c>
      <c r="P13" s="1">
        <f>IF(AND(O13="",ISNUMBER(B13)),INT(B13),0)</f>
        <v/>
      </c>
      <c r="Q13">
        <f>IF(AND(P13&gt;0,C13=Report!$C$5),P13*10000+ROW(),"")</f>
        <v/>
      </c>
      <c r="R13">
        <f>IF(AND(Q13&lt;&gt;"",ISNUMBER(D13)),Q13,"")</f>
        <v/>
      </c>
      <c r="S13">
        <f>IF(AND(Q13&lt;&gt;"",ISNUMBER(E13)),Q13,"")</f>
        <v/>
      </c>
      <c r="T13">
        <f>IF(AND(Q13&lt;&gt;"",ISNUMBER(F13)),Q13,"")</f>
        <v/>
      </c>
      <c r="U13">
        <f>IF(AND(Q13&lt;&gt;"",ISNUMBER(G13)),Q13,"")</f>
        <v/>
      </c>
      <c r="V13">
        <f>IF(AND(Q13&lt;&gt;"",ISNUMBER(H13)),Q13,"")</f>
        <v/>
      </c>
      <c r="W13">
        <f>IF(AND(Q13&lt;&gt;"",ISNUMBER(I13)),Q13,"")</f>
        <v/>
      </c>
      <c r="X13">
        <f>IF(AND(Q13&lt;&gt;"",ISNUMBER(J13)),Q13,"")</f>
        <v/>
      </c>
      <c r="Y13">
        <f>IF(AND(Q13&lt;&gt;"",ISNUMBER(K13)),Q13,"")</f>
        <v/>
      </c>
      <c r="Z13">
        <f>IF(AND(Q13&lt;&gt;"",ISNUMBER(L13)),Q13,"")</f>
        <v/>
      </c>
      <c r="AA13">
        <f>IF(AND(Q13&lt;&gt;"",ISNUMBER(M13)),Q13,"")</f>
        <v/>
      </c>
      <c r="AB13">
        <f>IF(AND(Q13&lt;&gt;"",ISNUMBER(K13)),K13,"")</f>
        <v/>
      </c>
      <c r="AC13">
        <f>IF(AND(Q13&lt;&gt;"",ISNUMBER(L13)),L13,"")</f>
        <v/>
      </c>
      <c r="AD13">
        <f>IF(AND(Q13&lt;&gt;"",ISNUMBER(M13)),M13,"")</f>
        <v/>
      </c>
    </row>
    <row r="14">
      <c r="A14" s="1" t="n"/>
      <c r="B14" s="17" t="n">
        <v>46095</v>
      </c>
      <c r="C14" s="27" t="inlineStr">
        <is>
          <t>Maya Ortiz</t>
        </is>
      </c>
      <c r="D14" s="28" t="n">
        <v>67.5</v>
      </c>
      <c r="E14" s="28" t="n">
        <v>26.5</v>
      </c>
      <c r="F14" s="28" t="n">
        <v>75.3</v>
      </c>
      <c r="G14" s="28" t="n"/>
      <c r="H14" s="28" t="n"/>
      <c r="I14" s="28" t="n"/>
      <c r="J14" s="28" t="n"/>
      <c r="K14" s="28" t="n">
        <v>54.3</v>
      </c>
      <c r="L14" s="28" t="n">
        <v>14</v>
      </c>
      <c r="M14" s="29" t="n">
        <v>4.8</v>
      </c>
      <c r="N14" s="21" t="n"/>
      <c r="O14" s="12">
        <f>IF(AND(B14="",C14=""),"",IF(NOT(ISNUMBER(B14)),"Needs a date",IF(C14="","Needs a client",IF(COUNTIF(Clients!$B$6:$B$105,C14)=0,"Not on Clients",IF(COUNT(D14:M14)=0,"Nothing measured","")))))</f>
        <v/>
      </c>
      <c r="P14" s="1">
        <f>IF(AND(O14="",ISNUMBER(B14)),INT(B14),0)</f>
        <v/>
      </c>
      <c r="Q14">
        <f>IF(AND(P14&gt;0,C14=Report!$C$5),P14*10000+ROW(),"")</f>
        <v/>
      </c>
      <c r="R14">
        <f>IF(AND(Q14&lt;&gt;"",ISNUMBER(D14)),Q14,"")</f>
        <v/>
      </c>
      <c r="S14">
        <f>IF(AND(Q14&lt;&gt;"",ISNUMBER(E14)),Q14,"")</f>
        <v/>
      </c>
      <c r="T14">
        <f>IF(AND(Q14&lt;&gt;"",ISNUMBER(F14)),Q14,"")</f>
        <v/>
      </c>
      <c r="U14">
        <f>IF(AND(Q14&lt;&gt;"",ISNUMBER(G14)),Q14,"")</f>
        <v/>
      </c>
      <c r="V14">
        <f>IF(AND(Q14&lt;&gt;"",ISNUMBER(H14)),Q14,"")</f>
        <v/>
      </c>
      <c r="W14">
        <f>IF(AND(Q14&lt;&gt;"",ISNUMBER(I14)),Q14,"")</f>
        <v/>
      </c>
      <c r="X14">
        <f>IF(AND(Q14&lt;&gt;"",ISNUMBER(J14)),Q14,"")</f>
        <v/>
      </c>
      <c r="Y14">
        <f>IF(AND(Q14&lt;&gt;"",ISNUMBER(K14)),Q14,"")</f>
        <v/>
      </c>
      <c r="Z14">
        <f>IF(AND(Q14&lt;&gt;"",ISNUMBER(L14)),Q14,"")</f>
        <v/>
      </c>
      <c r="AA14">
        <f>IF(AND(Q14&lt;&gt;"",ISNUMBER(M14)),Q14,"")</f>
        <v/>
      </c>
      <c r="AB14">
        <f>IF(AND(Q14&lt;&gt;"",ISNUMBER(K14)),K14,"")</f>
        <v/>
      </c>
      <c r="AC14">
        <f>IF(AND(Q14&lt;&gt;"",ISNUMBER(L14)),L14,"")</f>
        <v/>
      </c>
      <c r="AD14">
        <f>IF(AND(Q14&lt;&gt;"",ISNUMBER(M14)),M14,"")</f>
        <v/>
      </c>
    </row>
    <row r="15">
      <c r="A15" s="1" t="n"/>
      <c r="B15" s="17" t="n">
        <v>46105</v>
      </c>
      <c r="C15" s="27" t="inlineStr">
        <is>
          <t>Hannah Brooks</t>
        </is>
      </c>
      <c r="D15" s="28" t="n">
        <v>58</v>
      </c>
      <c r="E15" s="28" t="n">
        <v>23.5</v>
      </c>
      <c r="F15" s="28" t="n">
        <v>67.2</v>
      </c>
      <c r="G15" s="28" t="n">
        <v>92</v>
      </c>
      <c r="H15" s="28" t="n">
        <v>86</v>
      </c>
      <c r="I15" s="28" t="n">
        <v>26</v>
      </c>
      <c r="J15" s="28" t="n">
        <v>52</v>
      </c>
      <c r="K15" s="28" t="n">
        <v>51.4</v>
      </c>
      <c r="L15" s="28" t="n">
        <v>18</v>
      </c>
      <c r="M15" s="29" t="n">
        <v>4.8</v>
      </c>
      <c r="N15" s="21" t="n"/>
      <c r="O15" s="12">
        <f>IF(AND(B15="",C15=""),"",IF(NOT(ISNUMBER(B15)),"Needs a date",IF(C15="","Needs a client",IF(COUNTIF(Clients!$B$6:$B$105,C15)=0,"Not on Clients",IF(COUNT(D15:M15)=0,"Nothing measured","")))))</f>
        <v/>
      </c>
      <c r="P15" s="1">
        <f>IF(AND(O15="",ISNUMBER(B15)),INT(B15),0)</f>
        <v/>
      </c>
      <c r="Q15">
        <f>IF(AND(P15&gt;0,C15=Report!$C$5),P15*10000+ROW(),"")</f>
        <v/>
      </c>
      <c r="R15">
        <f>IF(AND(Q15&lt;&gt;"",ISNUMBER(D15)),Q15,"")</f>
        <v/>
      </c>
      <c r="S15">
        <f>IF(AND(Q15&lt;&gt;"",ISNUMBER(E15)),Q15,"")</f>
        <v/>
      </c>
      <c r="T15">
        <f>IF(AND(Q15&lt;&gt;"",ISNUMBER(F15)),Q15,"")</f>
        <v/>
      </c>
      <c r="U15">
        <f>IF(AND(Q15&lt;&gt;"",ISNUMBER(G15)),Q15,"")</f>
        <v/>
      </c>
      <c r="V15">
        <f>IF(AND(Q15&lt;&gt;"",ISNUMBER(H15)),Q15,"")</f>
        <v/>
      </c>
      <c r="W15">
        <f>IF(AND(Q15&lt;&gt;"",ISNUMBER(I15)),Q15,"")</f>
        <v/>
      </c>
      <c r="X15">
        <f>IF(AND(Q15&lt;&gt;"",ISNUMBER(J15)),Q15,"")</f>
        <v/>
      </c>
      <c r="Y15">
        <f>IF(AND(Q15&lt;&gt;"",ISNUMBER(K15)),Q15,"")</f>
        <v/>
      </c>
      <c r="Z15">
        <f>IF(AND(Q15&lt;&gt;"",ISNUMBER(L15)),Q15,"")</f>
        <v/>
      </c>
      <c r="AA15">
        <f>IF(AND(Q15&lt;&gt;"",ISNUMBER(M15)),Q15,"")</f>
        <v/>
      </c>
      <c r="AB15">
        <f>IF(AND(Q15&lt;&gt;"",ISNUMBER(K15)),K15,"")</f>
        <v/>
      </c>
      <c r="AC15">
        <f>IF(AND(Q15&lt;&gt;"",ISNUMBER(L15)),L15,"")</f>
        <v/>
      </c>
      <c r="AD15">
        <f>IF(AND(Q15&lt;&gt;"",ISNUMBER(M15)),M15,"")</f>
        <v/>
      </c>
    </row>
    <row r="16">
      <c r="A16" s="1" t="n"/>
      <c r="B16" s="17" t="n">
        <v>46109</v>
      </c>
      <c r="C16" s="27" t="inlineStr">
        <is>
          <t>Maya Ortiz</t>
        </is>
      </c>
      <c r="D16" s="28" t="n">
        <v>67.3</v>
      </c>
      <c r="E16" s="28" t="n">
        <v>26.4</v>
      </c>
      <c r="F16" s="28" t="n">
        <v>75</v>
      </c>
      <c r="G16" s="28" t="n">
        <v>97.3</v>
      </c>
      <c r="H16" s="28" t="n">
        <v>92</v>
      </c>
      <c r="I16" s="28" t="n">
        <v>29.3</v>
      </c>
      <c r="J16" s="28" t="n">
        <v>56.6</v>
      </c>
      <c r="K16" s="28" t="n">
        <v>55.5</v>
      </c>
      <c r="L16" s="28" t="n">
        <v>14</v>
      </c>
      <c r="M16" s="29" t="n">
        <v>4.8</v>
      </c>
      <c r="N16" s="21" t="n"/>
      <c r="O16" s="12">
        <f>IF(AND(B16="",C16=""),"",IF(NOT(ISNUMBER(B16)),"Needs a date",IF(C16="","Needs a client",IF(COUNTIF(Clients!$B$6:$B$105,C16)=0,"Not on Clients",IF(COUNT(D16:M16)=0,"Nothing measured","")))))</f>
        <v/>
      </c>
      <c r="P16" s="1">
        <f>IF(AND(O16="",ISNUMBER(B16)),INT(B16),0)</f>
        <v/>
      </c>
      <c r="Q16">
        <f>IF(AND(P16&gt;0,C16=Report!$C$5),P16*10000+ROW(),"")</f>
        <v/>
      </c>
      <c r="R16">
        <f>IF(AND(Q16&lt;&gt;"",ISNUMBER(D16)),Q16,"")</f>
        <v/>
      </c>
      <c r="S16">
        <f>IF(AND(Q16&lt;&gt;"",ISNUMBER(E16)),Q16,"")</f>
        <v/>
      </c>
      <c r="T16">
        <f>IF(AND(Q16&lt;&gt;"",ISNUMBER(F16)),Q16,"")</f>
        <v/>
      </c>
      <c r="U16">
        <f>IF(AND(Q16&lt;&gt;"",ISNUMBER(G16)),Q16,"")</f>
        <v/>
      </c>
      <c r="V16">
        <f>IF(AND(Q16&lt;&gt;"",ISNUMBER(H16)),Q16,"")</f>
        <v/>
      </c>
      <c r="W16">
        <f>IF(AND(Q16&lt;&gt;"",ISNUMBER(I16)),Q16,"")</f>
        <v/>
      </c>
      <c r="X16">
        <f>IF(AND(Q16&lt;&gt;"",ISNUMBER(J16)),Q16,"")</f>
        <v/>
      </c>
      <c r="Y16">
        <f>IF(AND(Q16&lt;&gt;"",ISNUMBER(K16)),Q16,"")</f>
        <v/>
      </c>
      <c r="Z16">
        <f>IF(AND(Q16&lt;&gt;"",ISNUMBER(L16)),Q16,"")</f>
        <v/>
      </c>
      <c r="AA16">
        <f>IF(AND(Q16&lt;&gt;"",ISNUMBER(M16)),Q16,"")</f>
        <v/>
      </c>
      <c r="AB16">
        <f>IF(AND(Q16&lt;&gt;"",ISNUMBER(K16)),K16,"")</f>
        <v/>
      </c>
      <c r="AC16">
        <f>IF(AND(Q16&lt;&gt;"",ISNUMBER(L16)),L16,"")</f>
        <v/>
      </c>
      <c r="AD16">
        <f>IF(AND(Q16&lt;&gt;"",ISNUMBER(M16)),M16,"")</f>
        <v/>
      </c>
    </row>
    <row r="17">
      <c r="A17" s="1" t="n"/>
      <c r="B17" s="17" t="n">
        <v>46113</v>
      </c>
      <c r="C17" s="27" t="inlineStr">
        <is>
          <t>Priya Nair</t>
        </is>
      </c>
      <c r="D17" s="28" t="n">
        <v>61</v>
      </c>
      <c r="E17" s="28" t="n">
        <v>25</v>
      </c>
      <c r="F17" s="28" t="n">
        <v>70</v>
      </c>
      <c r="G17" s="28" t="n">
        <v>95</v>
      </c>
      <c r="H17" s="28" t="n">
        <v>88</v>
      </c>
      <c r="I17" s="28" t="n">
        <v>27</v>
      </c>
      <c r="J17" s="28" t="n">
        <v>54</v>
      </c>
      <c r="K17" s="28" t="n">
        <v>35</v>
      </c>
      <c r="L17" s="28" t="n">
        <v>5</v>
      </c>
      <c r="M17" s="29" t="n">
        <v>5.4</v>
      </c>
      <c r="N17" s="21" t="inlineStr">
        <is>
          <t>First check-in</t>
        </is>
      </c>
      <c r="O17" s="12">
        <f>IF(AND(B17="",C17=""),"",IF(NOT(ISNUMBER(B17)),"Needs a date",IF(C17="","Needs a client",IF(COUNTIF(Clients!$B$6:$B$105,C17)=0,"Not on Clients",IF(COUNT(D17:M17)=0,"Nothing measured","")))))</f>
        <v/>
      </c>
      <c r="P17" s="1">
        <f>IF(AND(O17="",ISNUMBER(B17)),INT(B17),0)</f>
        <v/>
      </c>
      <c r="Q17">
        <f>IF(AND(P17&gt;0,C17=Report!$C$5),P17*10000+ROW(),"")</f>
        <v/>
      </c>
      <c r="R17">
        <f>IF(AND(Q17&lt;&gt;"",ISNUMBER(D17)),Q17,"")</f>
        <v/>
      </c>
      <c r="S17">
        <f>IF(AND(Q17&lt;&gt;"",ISNUMBER(E17)),Q17,"")</f>
        <v/>
      </c>
      <c r="T17">
        <f>IF(AND(Q17&lt;&gt;"",ISNUMBER(F17)),Q17,"")</f>
        <v/>
      </c>
      <c r="U17">
        <f>IF(AND(Q17&lt;&gt;"",ISNUMBER(G17)),Q17,"")</f>
        <v/>
      </c>
      <c r="V17">
        <f>IF(AND(Q17&lt;&gt;"",ISNUMBER(H17)),Q17,"")</f>
        <v/>
      </c>
      <c r="W17">
        <f>IF(AND(Q17&lt;&gt;"",ISNUMBER(I17)),Q17,"")</f>
        <v/>
      </c>
      <c r="X17">
        <f>IF(AND(Q17&lt;&gt;"",ISNUMBER(J17)),Q17,"")</f>
        <v/>
      </c>
      <c r="Y17">
        <f>IF(AND(Q17&lt;&gt;"",ISNUMBER(K17)),Q17,"")</f>
        <v/>
      </c>
      <c r="Z17">
        <f>IF(AND(Q17&lt;&gt;"",ISNUMBER(L17)),Q17,"")</f>
        <v/>
      </c>
      <c r="AA17">
        <f>IF(AND(Q17&lt;&gt;"",ISNUMBER(M17)),Q17,"")</f>
        <v/>
      </c>
      <c r="AB17">
        <f>IF(AND(Q17&lt;&gt;"",ISNUMBER(K17)),K17,"")</f>
        <v/>
      </c>
      <c r="AC17">
        <f>IF(AND(Q17&lt;&gt;"",ISNUMBER(L17)),L17,"")</f>
        <v/>
      </c>
      <c r="AD17">
        <f>IF(AND(Q17&lt;&gt;"",ISNUMBER(M17)),M17,"")</f>
        <v/>
      </c>
    </row>
    <row r="18">
      <c r="A18" s="1" t="n"/>
      <c r="B18" s="17" t="n">
        <v>46121</v>
      </c>
      <c r="C18" s="27" t="inlineStr">
        <is>
          <t>Ben Carter</t>
        </is>
      </c>
      <c r="D18" s="28" t="n">
        <v>94.8</v>
      </c>
      <c r="E18" s="28" t="n">
        <v>28.5</v>
      </c>
      <c r="F18" s="28" t="n">
        <v>100.7</v>
      </c>
      <c r="G18" s="28" t="n"/>
      <c r="H18" s="28" t="n"/>
      <c r="I18" s="28" t="n"/>
      <c r="J18" s="28" t="n"/>
      <c r="K18" s="28" t="n">
        <v>72.40000000000001</v>
      </c>
      <c r="L18" s="28" t="n">
        <v>16</v>
      </c>
      <c r="M18" s="29" t="n">
        <v>5.1</v>
      </c>
      <c r="N18" s="21" t="n"/>
      <c r="O18" s="12">
        <f>IF(AND(B18="",C18=""),"",IF(NOT(ISNUMBER(B18)),"Needs a date",IF(C18="","Needs a client",IF(COUNTIF(Clients!$B$6:$B$105,C18)=0,"Not on Clients",IF(COUNT(D18:M18)=0,"Nothing measured","")))))</f>
        <v/>
      </c>
      <c r="P18" s="1">
        <f>IF(AND(O18="",ISNUMBER(B18)),INT(B18),0)</f>
        <v/>
      </c>
      <c r="Q18">
        <f>IF(AND(P18&gt;0,C18=Report!$C$5),P18*10000+ROW(),"")</f>
        <v/>
      </c>
      <c r="R18">
        <f>IF(AND(Q18&lt;&gt;"",ISNUMBER(D18)),Q18,"")</f>
        <v/>
      </c>
      <c r="S18">
        <f>IF(AND(Q18&lt;&gt;"",ISNUMBER(E18)),Q18,"")</f>
        <v/>
      </c>
      <c r="T18">
        <f>IF(AND(Q18&lt;&gt;"",ISNUMBER(F18)),Q18,"")</f>
        <v/>
      </c>
      <c r="U18">
        <f>IF(AND(Q18&lt;&gt;"",ISNUMBER(G18)),Q18,"")</f>
        <v/>
      </c>
      <c r="V18">
        <f>IF(AND(Q18&lt;&gt;"",ISNUMBER(H18)),Q18,"")</f>
        <v/>
      </c>
      <c r="W18">
        <f>IF(AND(Q18&lt;&gt;"",ISNUMBER(I18)),Q18,"")</f>
        <v/>
      </c>
      <c r="X18">
        <f>IF(AND(Q18&lt;&gt;"",ISNUMBER(J18)),Q18,"")</f>
        <v/>
      </c>
      <c r="Y18">
        <f>IF(AND(Q18&lt;&gt;"",ISNUMBER(K18)),Q18,"")</f>
        <v/>
      </c>
      <c r="Z18">
        <f>IF(AND(Q18&lt;&gt;"",ISNUMBER(L18)),Q18,"")</f>
        <v/>
      </c>
      <c r="AA18">
        <f>IF(AND(Q18&lt;&gt;"",ISNUMBER(M18)),Q18,"")</f>
        <v/>
      </c>
      <c r="AB18">
        <f>IF(AND(Q18&lt;&gt;"",ISNUMBER(K18)),K18,"")</f>
        <v/>
      </c>
      <c r="AC18">
        <f>IF(AND(Q18&lt;&gt;"",ISNUMBER(L18)),L18,"")</f>
        <v/>
      </c>
      <c r="AD18">
        <f>IF(AND(Q18&lt;&gt;"",ISNUMBER(M18)),M18,"")</f>
        <v/>
      </c>
    </row>
    <row r="19">
      <c r="A19" s="1" t="n"/>
      <c r="B19" s="17" t="n">
        <v>46123</v>
      </c>
      <c r="C19" s="27" t="inlineStr">
        <is>
          <t>Maya Ortiz</t>
        </is>
      </c>
      <c r="D19" s="28" t="n">
        <v>67.2</v>
      </c>
      <c r="E19" s="28" t="n">
        <v>26.2</v>
      </c>
      <c r="F19" s="28" t="n">
        <v>74.8</v>
      </c>
      <c r="G19" s="28" t="n"/>
      <c r="H19" s="28" t="n"/>
      <c r="I19" s="28" t="n"/>
      <c r="J19" s="28" t="n"/>
      <c r="K19" s="28" t="n">
        <v>57</v>
      </c>
      <c r="L19" s="28" t="n">
        <v>14</v>
      </c>
      <c r="M19" s="29" t="n">
        <v>4.8</v>
      </c>
      <c r="N19" s="21" t="n"/>
      <c r="O19" s="12">
        <f>IF(AND(B19="",C19=""),"",IF(NOT(ISNUMBER(B19)),"Needs a date",IF(C19="","Needs a client",IF(COUNTIF(Clients!$B$6:$B$105,C19)=0,"Not on Clients",IF(COUNT(D19:M19)=0,"Nothing measured","")))))</f>
        <v/>
      </c>
      <c r="P19" s="1">
        <f>IF(AND(O19="",ISNUMBER(B19)),INT(B19),0)</f>
        <v/>
      </c>
      <c r="Q19">
        <f>IF(AND(P19&gt;0,C19=Report!$C$5),P19*10000+ROW(),"")</f>
        <v/>
      </c>
      <c r="R19">
        <f>IF(AND(Q19&lt;&gt;"",ISNUMBER(D19)),Q19,"")</f>
        <v/>
      </c>
      <c r="S19">
        <f>IF(AND(Q19&lt;&gt;"",ISNUMBER(E19)),Q19,"")</f>
        <v/>
      </c>
      <c r="T19">
        <f>IF(AND(Q19&lt;&gt;"",ISNUMBER(F19)),Q19,"")</f>
        <v/>
      </c>
      <c r="U19">
        <f>IF(AND(Q19&lt;&gt;"",ISNUMBER(G19)),Q19,"")</f>
        <v/>
      </c>
      <c r="V19">
        <f>IF(AND(Q19&lt;&gt;"",ISNUMBER(H19)),Q19,"")</f>
        <v/>
      </c>
      <c r="W19">
        <f>IF(AND(Q19&lt;&gt;"",ISNUMBER(I19)),Q19,"")</f>
        <v/>
      </c>
      <c r="X19">
        <f>IF(AND(Q19&lt;&gt;"",ISNUMBER(J19)),Q19,"")</f>
        <v/>
      </c>
      <c r="Y19">
        <f>IF(AND(Q19&lt;&gt;"",ISNUMBER(K19)),Q19,"")</f>
        <v/>
      </c>
      <c r="Z19">
        <f>IF(AND(Q19&lt;&gt;"",ISNUMBER(L19)),Q19,"")</f>
        <v/>
      </c>
      <c r="AA19">
        <f>IF(AND(Q19&lt;&gt;"",ISNUMBER(M19)),Q19,"")</f>
        <v/>
      </c>
      <c r="AB19">
        <f>IF(AND(Q19&lt;&gt;"",ISNUMBER(K19)),K19,"")</f>
        <v/>
      </c>
      <c r="AC19">
        <f>IF(AND(Q19&lt;&gt;"",ISNUMBER(L19)),L19,"")</f>
        <v/>
      </c>
      <c r="AD19">
        <f>IF(AND(Q19&lt;&gt;"",ISNUMBER(M19)),M19,"")</f>
        <v/>
      </c>
    </row>
    <row r="20">
      <c r="A20" s="1" t="n"/>
      <c r="B20" s="17" t="n">
        <v>46133</v>
      </c>
      <c r="C20" s="27" t="inlineStr">
        <is>
          <t>Hannah Brooks</t>
        </is>
      </c>
      <c r="D20" s="28" t="n">
        <v>58</v>
      </c>
      <c r="E20" s="28" t="n">
        <v>23.4</v>
      </c>
      <c r="F20" s="28" t="n">
        <v>67</v>
      </c>
      <c r="G20" s="28" t="n"/>
      <c r="H20" s="28" t="n"/>
      <c r="I20" s="28" t="n"/>
      <c r="J20" s="28" t="n"/>
      <c r="K20" s="28" t="n">
        <v>52.9</v>
      </c>
      <c r="L20" s="28" t="n">
        <v>18</v>
      </c>
      <c r="M20" s="29" t="n">
        <v>4.8</v>
      </c>
      <c r="N20" s="21" t="n"/>
      <c r="O20" s="12">
        <f>IF(AND(B20="",C20=""),"",IF(NOT(ISNUMBER(B20)),"Needs a date",IF(C20="","Needs a client",IF(COUNTIF(Clients!$B$6:$B$105,C20)=0,"Not on Clients",IF(COUNT(D20:M20)=0,"Nothing measured","")))))</f>
        <v/>
      </c>
      <c r="P20" s="1">
        <f>IF(AND(O20="",ISNUMBER(B20)),INT(B20),0)</f>
        <v/>
      </c>
      <c r="Q20">
        <f>IF(AND(P20&gt;0,C20=Report!$C$5),P20*10000+ROW(),"")</f>
        <v/>
      </c>
      <c r="R20">
        <f>IF(AND(Q20&lt;&gt;"",ISNUMBER(D20)),Q20,"")</f>
        <v/>
      </c>
      <c r="S20">
        <f>IF(AND(Q20&lt;&gt;"",ISNUMBER(E20)),Q20,"")</f>
        <v/>
      </c>
      <c r="T20">
        <f>IF(AND(Q20&lt;&gt;"",ISNUMBER(F20)),Q20,"")</f>
        <v/>
      </c>
      <c r="U20">
        <f>IF(AND(Q20&lt;&gt;"",ISNUMBER(G20)),Q20,"")</f>
        <v/>
      </c>
      <c r="V20">
        <f>IF(AND(Q20&lt;&gt;"",ISNUMBER(H20)),Q20,"")</f>
        <v/>
      </c>
      <c r="W20">
        <f>IF(AND(Q20&lt;&gt;"",ISNUMBER(I20)),Q20,"")</f>
        <v/>
      </c>
      <c r="X20">
        <f>IF(AND(Q20&lt;&gt;"",ISNUMBER(J20)),Q20,"")</f>
        <v/>
      </c>
      <c r="Y20">
        <f>IF(AND(Q20&lt;&gt;"",ISNUMBER(K20)),Q20,"")</f>
        <v/>
      </c>
      <c r="Z20">
        <f>IF(AND(Q20&lt;&gt;"",ISNUMBER(L20)),Q20,"")</f>
        <v/>
      </c>
      <c r="AA20">
        <f>IF(AND(Q20&lt;&gt;"",ISNUMBER(M20)),Q20,"")</f>
        <v/>
      </c>
      <c r="AB20">
        <f>IF(AND(Q20&lt;&gt;"",ISNUMBER(K20)),K20,"")</f>
        <v/>
      </c>
      <c r="AC20">
        <f>IF(AND(Q20&lt;&gt;"",ISNUMBER(L20)),L20,"")</f>
        <v/>
      </c>
      <c r="AD20">
        <f>IF(AND(Q20&lt;&gt;"",ISNUMBER(M20)),M20,"")</f>
        <v/>
      </c>
    </row>
    <row r="21">
      <c r="A21" s="1" t="n"/>
      <c r="B21" s="17" t="n">
        <v>46137</v>
      </c>
      <c r="C21" s="27" t="inlineStr">
        <is>
          <t>Maya Ortiz</t>
        </is>
      </c>
      <c r="D21" s="28" t="n">
        <v>67</v>
      </c>
      <c r="E21" s="28" t="n">
        <v>26</v>
      </c>
      <c r="F21" s="28" t="n">
        <v>74.59999999999999</v>
      </c>
      <c r="G21" s="28" t="n">
        <v>97.09999999999999</v>
      </c>
      <c r="H21" s="28" t="n">
        <v>92</v>
      </c>
      <c r="I21" s="28" t="n">
        <v>29.3</v>
      </c>
      <c r="J21" s="28" t="n">
        <v>56.4</v>
      </c>
      <c r="K21" s="28" t="n">
        <v>58.5</v>
      </c>
      <c r="L21" s="28" t="n">
        <v>15</v>
      </c>
      <c r="M21" s="29" t="n">
        <v>4.8</v>
      </c>
      <c r="N21" s="21" t="n"/>
      <c r="O21" s="12">
        <f>IF(AND(B21="",C21=""),"",IF(NOT(ISNUMBER(B21)),"Needs a date",IF(C21="","Needs a client",IF(COUNTIF(Clients!$B$6:$B$105,C21)=0,"Not on Clients",IF(COUNT(D21:M21)=0,"Nothing measured","")))))</f>
        <v/>
      </c>
      <c r="P21" s="1">
        <f>IF(AND(O21="",ISNUMBER(B21)),INT(B21),0)</f>
        <v/>
      </c>
      <c r="Q21">
        <f>IF(AND(P21&gt;0,C21=Report!$C$5),P21*10000+ROW(),"")</f>
        <v/>
      </c>
      <c r="R21">
        <f>IF(AND(Q21&lt;&gt;"",ISNUMBER(D21)),Q21,"")</f>
        <v/>
      </c>
      <c r="S21">
        <f>IF(AND(Q21&lt;&gt;"",ISNUMBER(E21)),Q21,"")</f>
        <v/>
      </c>
      <c r="T21">
        <f>IF(AND(Q21&lt;&gt;"",ISNUMBER(F21)),Q21,"")</f>
        <v/>
      </c>
      <c r="U21">
        <f>IF(AND(Q21&lt;&gt;"",ISNUMBER(G21)),Q21,"")</f>
        <v/>
      </c>
      <c r="V21">
        <f>IF(AND(Q21&lt;&gt;"",ISNUMBER(H21)),Q21,"")</f>
        <v/>
      </c>
      <c r="W21">
        <f>IF(AND(Q21&lt;&gt;"",ISNUMBER(I21)),Q21,"")</f>
        <v/>
      </c>
      <c r="X21">
        <f>IF(AND(Q21&lt;&gt;"",ISNUMBER(J21)),Q21,"")</f>
        <v/>
      </c>
      <c r="Y21">
        <f>IF(AND(Q21&lt;&gt;"",ISNUMBER(K21)),Q21,"")</f>
        <v/>
      </c>
      <c r="Z21">
        <f>IF(AND(Q21&lt;&gt;"",ISNUMBER(L21)),Q21,"")</f>
        <v/>
      </c>
      <c r="AA21">
        <f>IF(AND(Q21&lt;&gt;"",ISNUMBER(M21)),Q21,"")</f>
        <v/>
      </c>
      <c r="AB21">
        <f>IF(AND(Q21&lt;&gt;"",ISNUMBER(K21)),K21,"")</f>
        <v/>
      </c>
      <c r="AC21">
        <f>IF(AND(Q21&lt;&gt;"",ISNUMBER(L21)),L21,"")</f>
        <v/>
      </c>
      <c r="AD21">
        <f>IF(AND(Q21&lt;&gt;"",ISNUMBER(M21)),M21,"")</f>
        <v/>
      </c>
    </row>
    <row r="22">
      <c r="A22" s="1" t="n"/>
      <c r="B22" s="17" t="n">
        <v>46141</v>
      </c>
      <c r="C22" s="27" t="inlineStr">
        <is>
          <t>Priya Nair</t>
        </is>
      </c>
      <c r="D22" s="28" t="n">
        <v>61</v>
      </c>
      <c r="E22" s="28" t="n">
        <v>24.8</v>
      </c>
      <c r="F22" s="28" t="n">
        <v>69.8</v>
      </c>
      <c r="G22" s="28" t="n"/>
      <c r="H22" s="28" t="n"/>
      <c r="I22" s="28" t="n"/>
      <c r="J22" s="28" t="n"/>
      <c r="K22" s="28" t="n">
        <v>37.2</v>
      </c>
      <c r="L22" s="28" t="n">
        <v>6</v>
      </c>
      <c r="M22" s="29" t="n">
        <v>5.3</v>
      </c>
      <c r="N22" s="21" t="n"/>
      <c r="O22" s="12">
        <f>IF(AND(B22="",C22=""),"",IF(NOT(ISNUMBER(B22)),"Needs a date",IF(C22="","Needs a client",IF(COUNTIF(Clients!$B$6:$B$105,C22)=0,"Not on Clients",IF(COUNT(D22:M22)=0,"Nothing measured","")))))</f>
        <v/>
      </c>
      <c r="P22" s="1">
        <f>IF(AND(O22="",ISNUMBER(B22)),INT(B22),0)</f>
        <v/>
      </c>
      <c r="Q22">
        <f>IF(AND(P22&gt;0,C22=Report!$C$5),P22*10000+ROW(),"")</f>
        <v/>
      </c>
      <c r="R22">
        <f>IF(AND(Q22&lt;&gt;"",ISNUMBER(D22)),Q22,"")</f>
        <v/>
      </c>
      <c r="S22">
        <f>IF(AND(Q22&lt;&gt;"",ISNUMBER(E22)),Q22,"")</f>
        <v/>
      </c>
      <c r="T22">
        <f>IF(AND(Q22&lt;&gt;"",ISNUMBER(F22)),Q22,"")</f>
        <v/>
      </c>
      <c r="U22">
        <f>IF(AND(Q22&lt;&gt;"",ISNUMBER(G22)),Q22,"")</f>
        <v/>
      </c>
      <c r="V22">
        <f>IF(AND(Q22&lt;&gt;"",ISNUMBER(H22)),Q22,"")</f>
        <v/>
      </c>
      <c r="W22">
        <f>IF(AND(Q22&lt;&gt;"",ISNUMBER(I22)),Q22,"")</f>
        <v/>
      </c>
      <c r="X22">
        <f>IF(AND(Q22&lt;&gt;"",ISNUMBER(J22)),Q22,"")</f>
        <v/>
      </c>
      <c r="Y22">
        <f>IF(AND(Q22&lt;&gt;"",ISNUMBER(K22)),Q22,"")</f>
        <v/>
      </c>
      <c r="Z22">
        <f>IF(AND(Q22&lt;&gt;"",ISNUMBER(L22)),Q22,"")</f>
        <v/>
      </c>
      <c r="AA22">
        <f>IF(AND(Q22&lt;&gt;"",ISNUMBER(M22)),Q22,"")</f>
        <v/>
      </c>
      <c r="AB22">
        <f>IF(AND(Q22&lt;&gt;"",ISNUMBER(K22)),K22,"")</f>
        <v/>
      </c>
      <c r="AC22">
        <f>IF(AND(Q22&lt;&gt;"",ISNUMBER(L22)),L22,"")</f>
        <v/>
      </c>
      <c r="AD22">
        <f>IF(AND(Q22&lt;&gt;"",ISNUMBER(M22)),M22,"")</f>
        <v/>
      </c>
    </row>
    <row r="23">
      <c r="A23" s="1" t="n"/>
      <c r="B23" s="17" t="n">
        <v>46143</v>
      </c>
      <c r="C23" s="27" t="inlineStr">
        <is>
          <t>Tom Walsh</t>
        </is>
      </c>
      <c r="D23" s="28" t="n">
        <v>78</v>
      </c>
      <c r="E23" s="28" t="n">
        <v>20</v>
      </c>
      <c r="F23" s="28" t="n">
        <v>84</v>
      </c>
      <c r="G23" s="28" t="n">
        <v>97</v>
      </c>
      <c r="H23" s="28" t="n">
        <v>100</v>
      </c>
      <c r="I23" s="28" t="n">
        <v>32</v>
      </c>
      <c r="J23" s="28" t="n">
        <v>56</v>
      </c>
      <c r="K23" s="28" t="n">
        <v>80</v>
      </c>
      <c r="L23" s="28" t="n">
        <v>25</v>
      </c>
      <c r="M23" s="29" t="n">
        <v>4.6</v>
      </c>
      <c r="N23" s="21" t="inlineStr">
        <is>
          <t>First check-in</t>
        </is>
      </c>
      <c r="O23" s="12">
        <f>IF(AND(B23="",C23=""),"",IF(NOT(ISNUMBER(B23)),"Needs a date",IF(C23="","Needs a client",IF(COUNTIF(Clients!$B$6:$B$105,C23)=0,"Not on Clients",IF(COUNT(D23:M23)=0,"Nothing measured","")))))</f>
        <v/>
      </c>
      <c r="P23" s="1">
        <f>IF(AND(O23="",ISNUMBER(B23)),INT(B23),0)</f>
        <v/>
      </c>
      <c r="Q23">
        <f>IF(AND(P23&gt;0,C23=Report!$C$5),P23*10000+ROW(),"")</f>
        <v/>
      </c>
      <c r="R23">
        <f>IF(AND(Q23&lt;&gt;"",ISNUMBER(D23)),Q23,"")</f>
        <v/>
      </c>
      <c r="S23">
        <f>IF(AND(Q23&lt;&gt;"",ISNUMBER(E23)),Q23,"")</f>
        <v/>
      </c>
      <c r="T23">
        <f>IF(AND(Q23&lt;&gt;"",ISNUMBER(F23)),Q23,"")</f>
        <v/>
      </c>
      <c r="U23">
        <f>IF(AND(Q23&lt;&gt;"",ISNUMBER(G23)),Q23,"")</f>
        <v/>
      </c>
      <c r="V23">
        <f>IF(AND(Q23&lt;&gt;"",ISNUMBER(H23)),Q23,"")</f>
        <v/>
      </c>
      <c r="W23">
        <f>IF(AND(Q23&lt;&gt;"",ISNUMBER(I23)),Q23,"")</f>
        <v/>
      </c>
      <c r="X23">
        <f>IF(AND(Q23&lt;&gt;"",ISNUMBER(J23)),Q23,"")</f>
        <v/>
      </c>
      <c r="Y23">
        <f>IF(AND(Q23&lt;&gt;"",ISNUMBER(K23)),Q23,"")</f>
        <v/>
      </c>
      <c r="Z23">
        <f>IF(AND(Q23&lt;&gt;"",ISNUMBER(L23)),Q23,"")</f>
        <v/>
      </c>
      <c r="AA23">
        <f>IF(AND(Q23&lt;&gt;"",ISNUMBER(M23)),Q23,"")</f>
        <v/>
      </c>
      <c r="AB23">
        <f>IF(AND(Q23&lt;&gt;"",ISNUMBER(K23)),K23,"")</f>
        <v/>
      </c>
      <c r="AC23">
        <f>IF(AND(Q23&lt;&gt;"",ISNUMBER(L23)),L23,"")</f>
        <v/>
      </c>
      <c r="AD23">
        <f>IF(AND(Q23&lt;&gt;"",ISNUMBER(M23)),M23,"")</f>
        <v/>
      </c>
    </row>
    <row r="24">
      <c r="A24" s="1" t="n"/>
      <c r="B24" s="17" t="n">
        <v>46143</v>
      </c>
      <c r="C24" s="27" t="inlineStr">
        <is>
          <t>Grace Kim</t>
        </is>
      </c>
      <c r="D24" s="28" t="n">
        <v>64</v>
      </c>
      <c r="E24" s="28" t="n">
        <v>28</v>
      </c>
      <c r="F24" s="28" t="n">
        <v>71.90000000000001</v>
      </c>
      <c r="G24" s="28" t="n">
        <v>96</v>
      </c>
      <c r="H24" s="28" t="n">
        <v>89</v>
      </c>
      <c r="I24" s="28" t="n">
        <v>28</v>
      </c>
      <c r="J24" s="28" t="n">
        <v>55</v>
      </c>
      <c r="K24" s="28" t="n">
        <v>40.1</v>
      </c>
      <c r="L24" s="28" t="n">
        <v>6</v>
      </c>
      <c r="M24" s="29" t="n">
        <v>5.3</v>
      </c>
      <c r="N24" s="21" t="inlineStr">
        <is>
          <t>First check-in</t>
        </is>
      </c>
      <c r="O24" s="12">
        <f>IF(AND(B24="",C24=""),"",IF(NOT(ISNUMBER(B24)),"Needs a date",IF(C24="","Needs a client",IF(COUNTIF(Clients!$B$6:$B$105,C24)=0,"Not on Clients",IF(COUNT(D24:M24)=0,"Nothing measured","")))))</f>
        <v/>
      </c>
      <c r="P24" s="1">
        <f>IF(AND(O24="",ISNUMBER(B24)),INT(B24),0)</f>
        <v/>
      </c>
      <c r="Q24">
        <f>IF(AND(P24&gt;0,C24=Report!$C$5),P24*10000+ROW(),"")</f>
        <v/>
      </c>
      <c r="R24">
        <f>IF(AND(Q24&lt;&gt;"",ISNUMBER(D24)),Q24,"")</f>
        <v/>
      </c>
      <c r="S24">
        <f>IF(AND(Q24&lt;&gt;"",ISNUMBER(E24)),Q24,"")</f>
        <v/>
      </c>
      <c r="T24">
        <f>IF(AND(Q24&lt;&gt;"",ISNUMBER(F24)),Q24,"")</f>
        <v/>
      </c>
      <c r="U24">
        <f>IF(AND(Q24&lt;&gt;"",ISNUMBER(G24)),Q24,"")</f>
        <v/>
      </c>
      <c r="V24">
        <f>IF(AND(Q24&lt;&gt;"",ISNUMBER(H24)),Q24,"")</f>
        <v/>
      </c>
      <c r="W24">
        <f>IF(AND(Q24&lt;&gt;"",ISNUMBER(I24)),Q24,"")</f>
        <v/>
      </c>
      <c r="X24">
        <f>IF(AND(Q24&lt;&gt;"",ISNUMBER(J24)),Q24,"")</f>
        <v/>
      </c>
      <c r="Y24">
        <f>IF(AND(Q24&lt;&gt;"",ISNUMBER(K24)),Q24,"")</f>
        <v/>
      </c>
      <c r="Z24">
        <f>IF(AND(Q24&lt;&gt;"",ISNUMBER(L24)),Q24,"")</f>
        <v/>
      </c>
      <c r="AA24">
        <f>IF(AND(Q24&lt;&gt;"",ISNUMBER(M24)),Q24,"")</f>
        <v/>
      </c>
      <c r="AB24">
        <f>IF(AND(Q24&lt;&gt;"",ISNUMBER(K24)),K24,"")</f>
        <v/>
      </c>
      <c r="AC24">
        <f>IF(AND(Q24&lt;&gt;"",ISNUMBER(L24)),L24,"")</f>
        <v/>
      </c>
      <c r="AD24">
        <f>IF(AND(Q24&lt;&gt;"",ISNUMBER(M24)),M24,"")</f>
        <v/>
      </c>
    </row>
    <row r="25">
      <c r="A25" s="1" t="n"/>
      <c r="B25" s="17" t="n">
        <v>46149</v>
      </c>
      <c r="C25" s="27" t="inlineStr">
        <is>
          <t>Ben Carter</t>
        </is>
      </c>
      <c r="D25" s="28" t="n">
        <v>93.7</v>
      </c>
      <c r="E25" s="28" t="n">
        <v>28</v>
      </c>
      <c r="F25" s="28" t="n">
        <v>99.59999999999999</v>
      </c>
      <c r="G25" s="28" t="n">
        <v>106.8</v>
      </c>
      <c r="H25" s="28" t="n">
        <v>109.1</v>
      </c>
      <c r="I25" s="28" t="n">
        <v>35</v>
      </c>
      <c r="J25" s="28" t="n">
        <v>61.2</v>
      </c>
      <c r="K25" s="28" t="n">
        <v>74.8</v>
      </c>
      <c r="L25" s="28" t="n">
        <v>17</v>
      </c>
      <c r="M25" s="29" t="n">
        <v>5.1</v>
      </c>
      <c r="N25" s="21" t="n"/>
      <c r="O25" s="12">
        <f>IF(AND(B25="",C25=""),"",IF(NOT(ISNUMBER(B25)),"Needs a date",IF(C25="","Needs a client",IF(COUNTIF(Clients!$B$6:$B$105,C25)=0,"Not on Clients",IF(COUNT(D25:M25)=0,"Nothing measured","")))))</f>
        <v/>
      </c>
      <c r="P25" s="1">
        <f>IF(AND(O25="",ISNUMBER(B25)),INT(B25),0)</f>
        <v/>
      </c>
      <c r="Q25">
        <f>IF(AND(P25&gt;0,C25=Report!$C$5),P25*10000+ROW(),"")</f>
        <v/>
      </c>
      <c r="R25">
        <f>IF(AND(Q25&lt;&gt;"",ISNUMBER(D25)),Q25,"")</f>
        <v/>
      </c>
      <c r="S25">
        <f>IF(AND(Q25&lt;&gt;"",ISNUMBER(E25)),Q25,"")</f>
        <v/>
      </c>
      <c r="T25">
        <f>IF(AND(Q25&lt;&gt;"",ISNUMBER(F25)),Q25,"")</f>
        <v/>
      </c>
      <c r="U25">
        <f>IF(AND(Q25&lt;&gt;"",ISNUMBER(G25)),Q25,"")</f>
        <v/>
      </c>
      <c r="V25">
        <f>IF(AND(Q25&lt;&gt;"",ISNUMBER(H25)),Q25,"")</f>
        <v/>
      </c>
      <c r="W25">
        <f>IF(AND(Q25&lt;&gt;"",ISNUMBER(I25)),Q25,"")</f>
        <v/>
      </c>
      <c r="X25">
        <f>IF(AND(Q25&lt;&gt;"",ISNUMBER(J25)),Q25,"")</f>
        <v/>
      </c>
      <c r="Y25">
        <f>IF(AND(Q25&lt;&gt;"",ISNUMBER(K25)),Q25,"")</f>
        <v/>
      </c>
      <c r="Z25">
        <f>IF(AND(Q25&lt;&gt;"",ISNUMBER(L25)),Q25,"")</f>
        <v/>
      </c>
      <c r="AA25">
        <f>IF(AND(Q25&lt;&gt;"",ISNUMBER(M25)),Q25,"")</f>
        <v/>
      </c>
      <c r="AB25">
        <f>IF(AND(Q25&lt;&gt;"",ISNUMBER(K25)),K25,"")</f>
        <v/>
      </c>
      <c r="AC25">
        <f>IF(AND(Q25&lt;&gt;"",ISNUMBER(L25)),L25,"")</f>
        <v/>
      </c>
      <c r="AD25">
        <f>IF(AND(Q25&lt;&gt;"",ISNUMBER(M25)),M25,"")</f>
        <v/>
      </c>
    </row>
    <row r="26">
      <c r="A26" s="1" t="n"/>
      <c r="B26" s="17" t="n">
        <v>46151</v>
      </c>
      <c r="C26" s="27" t="inlineStr">
        <is>
          <t>Maya Ortiz</t>
        </is>
      </c>
      <c r="D26" s="28" t="n">
        <v>66.90000000000001</v>
      </c>
      <c r="E26" s="28" t="n">
        <v>25.9</v>
      </c>
      <c r="F26" s="28" t="n">
        <v>74.3</v>
      </c>
      <c r="G26" s="28" t="n"/>
      <c r="H26" s="28" t="n"/>
      <c r="I26" s="28" t="n"/>
      <c r="J26" s="28" t="n"/>
      <c r="K26" s="28" t="n">
        <v>60</v>
      </c>
      <c r="L26" s="28" t="n">
        <v>15</v>
      </c>
      <c r="M26" s="29" t="n">
        <v>4.7</v>
      </c>
      <c r="N26" s="21" t="n"/>
      <c r="O26" s="12">
        <f>IF(AND(B26="",C26=""),"",IF(NOT(ISNUMBER(B26)),"Needs a date",IF(C26="","Needs a client",IF(COUNTIF(Clients!$B$6:$B$105,C26)=0,"Not on Clients",IF(COUNT(D26:M26)=0,"Nothing measured","")))))</f>
        <v/>
      </c>
      <c r="P26" s="1">
        <f>IF(AND(O26="",ISNUMBER(B26)),INT(B26),0)</f>
        <v/>
      </c>
      <c r="Q26">
        <f>IF(AND(P26&gt;0,C26=Report!$C$5),P26*10000+ROW(),"")</f>
        <v/>
      </c>
      <c r="R26">
        <f>IF(AND(Q26&lt;&gt;"",ISNUMBER(D26)),Q26,"")</f>
        <v/>
      </c>
      <c r="S26">
        <f>IF(AND(Q26&lt;&gt;"",ISNUMBER(E26)),Q26,"")</f>
        <v/>
      </c>
      <c r="T26">
        <f>IF(AND(Q26&lt;&gt;"",ISNUMBER(F26)),Q26,"")</f>
        <v/>
      </c>
      <c r="U26">
        <f>IF(AND(Q26&lt;&gt;"",ISNUMBER(G26)),Q26,"")</f>
        <v/>
      </c>
      <c r="V26">
        <f>IF(AND(Q26&lt;&gt;"",ISNUMBER(H26)),Q26,"")</f>
        <v/>
      </c>
      <c r="W26">
        <f>IF(AND(Q26&lt;&gt;"",ISNUMBER(I26)),Q26,"")</f>
        <v/>
      </c>
      <c r="X26">
        <f>IF(AND(Q26&lt;&gt;"",ISNUMBER(J26)),Q26,"")</f>
        <v/>
      </c>
      <c r="Y26">
        <f>IF(AND(Q26&lt;&gt;"",ISNUMBER(K26)),Q26,"")</f>
        <v/>
      </c>
      <c r="Z26">
        <f>IF(AND(Q26&lt;&gt;"",ISNUMBER(L26)),Q26,"")</f>
        <v/>
      </c>
      <c r="AA26">
        <f>IF(AND(Q26&lt;&gt;"",ISNUMBER(M26)),Q26,"")</f>
        <v/>
      </c>
      <c r="AB26">
        <f>IF(AND(Q26&lt;&gt;"",ISNUMBER(K26)),K26,"")</f>
        <v/>
      </c>
      <c r="AC26">
        <f>IF(AND(Q26&lt;&gt;"",ISNUMBER(L26)),L26,"")</f>
        <v/>
      </c>
      <c r="AD26">
        <f>IF(AND(Q26&lt;&gt;"",ISNUMBER(M26)),M26,"")</f>
        <v/>
      </c>
    </row>
    <row r="27">
      <c r="A27" s="1" t="n"/>
      <c r="B27" s="17" t="n">
        <v>46161</v>
      </c>
      <c r="C27" s="27" t="inlineStr">
        <is>
          <t>Hannah Brooks</t>
        </is>
      </c>
      <c r="D27" s="28" t="n">
        <v>58</v>
      </c>
      <c r="E27" s="28" t="n">
        <v>23.2</v>
      </c>
      <c r="F27" s="28" t="n">
        <v>66.8</v>
      </c>
      <c r="G27" s="28" t="n">
        <v>92</v>
      </c>
      <c r="H27" s="28" t="n">
        <v>86</v>
      </c>
      <c r="I27" s="28" t="n">
        <v>26</v>
      </c>
      <c r="J27" s="28" t="n">
        <v>52</v>
      </c>
      <c r="K27" s="28" t="n">
        <v>54.7</v>
      </c>
      <c r="L27" s="28" t="n">
        <v>19</v>
      </c>
      <c r="M27" s="29" t="n">
        <v>4.8</v>
      </c>
      <c r="N27" s="21" t="n"/>
      <c r="O27" s="12">
        <f>IF(AND(B27="",C27=""),"",IF(NOT(ISNUMBER(B27)),"Needs a date",IF(C27="","Needs a client",IF(COUNTIF(Clients!$B$6:$B$105,C27)=0,"Not on Clients",IF(COUNT(D27:M27)=0,"Nothing measured","")))))</f>
        <v/>
      </c>
      <c r="P27" s="1">
        <f>IF(AND(O27="",ISNUMBER(B27)),INT(B27),0)</f>
        <v/>
      </c>
      <c r="Q27">
        <f>IF(AND(P27&gt;0,C27=Report!$C$5),P27*10000+ROW(),"")</f>
        <v/>
      </c>
      <c r="R27">
        <f>IF(AND(Q27&lt;&gt;"",ISNUMBER(D27)),Q27,"")</f>
        <v/>
      </c>
      <c r="S27">
        <f>IF(AND(Q27&lt;&gt;"",ISNUMBER(E27)),Q27,"")</f>
        <v/>
      </c>
      <c r="T27">
        <f>IF(AND(Q27&lt;&gt;"",ISNUMBER(F27)),Q27,"")</f>
        <v/>
      </c>
      <c r="U27">
        <f>IF(AND(Q27&lt;&gt;"",ISNUMBER(G27)),Q27,"")</f>
        <v/>
      </c>
      <c r="V27">
        <f>IF(AND(Q27&lt;&gt;"",ISNUMBER(H27)),Q27,"")</f>
        <v/>
      </c>
      <c r="W27">
        <f>IF(AND(Q27&lt;&gt;"",ISNUMBER(I27)),Q27,"")</f>
        <v/>
      </c>
      <c r="X27">
        <f>IF(AND(Q27&lt;&gt;"",ISNUMBER(J27)),Q27,"")</f>
        <v/>
      </c>
      <c r="Y27">
        <f>IF(AND(Q27&lt;&gt;"",ISNUMBER(K27)),Q27,"")</f>
        <v/>
      </c>
      <c r="Z27">
        <f>IF(AND(Q27&lt;&gt;"",ISNUMBER(L27)),Q27,"")</f>
        <v/>
      </c>
      <c r="AA27">
        <f>IF(AND(Q27&lt;&gt;"",ISNUMBER(M27)),Q27,"")</f>
        <v/>
      </c>
      <c r="AB27">
        <f>IF(AND(Q27&lt;&gt;"",ISNUMBER(K27)),K27,"")</f>
        <v/>
      </c>
      <c r="AC27">
        <f>IF(AND(Q27&lt;&gt;"",ISNUMBER(L27)),L27,"")</f>
        <v/>
      </c>
      <c r="AD27">
        <f>IF(AND(Q27&lt;&gt;"",ISNUMBER(M27)),M27,"")</f>
        <v/>
      </c>
    </row>
    <row r="28">
      <c r="A28" s="1" t="n"/>
      <c r="B28" s="17" t="n">
        <v>46165</v>
      </c>
      <c r="C28" s="27" t="inlineStr">
        <is>
          <t>Maya Ortiz</t>
        </is>
      </c>
      <c r="D28" s="28" t="n">
        <v>66.7</v>
      </c>
      <c r="E28" s="28" t="n">
        <v>25.7</v>
      </c>
      <c r="F28" s="28" t="n">
        <v>74</v>
      </c>
      <c r="G28" s="28" t="n">
        <v>96.7</v>
      </c>
      <c r="H28" s="28" t="n">
        <v>92</v>
      </c>
      <c r="I28" s="28" t="n">
        <v>29.5</v>
      </c>
      <c r="J28" s="28" t="n">
        <v>56.2</v>
      </c>
      <c r="K28" s="28" t="n">
        <v>61.1</v>
      </c>
      <c r="L28" s="28" t="n">
        <v>16</v>
      </c>
      <c r="M28" s="29" t="n">
        <v>4.7</v>
      </c>
      <c r="N28" s="21" t="n"/>
      <c r="O28" s="12">
        <f>IF(AND(B28="",C28=""),"",IF(NOT(ISNUMBER(B28)),"Needs a date",IF(C28="","Needs a client",IF(COUNTIF(Clients!$B$6:$B$105,C28)=0,"Not on Clients",IF(COUNT(D28:M28)=0,"Nothing measured","")))))</f>
        <v/>
      </c>
      <c r="P28" s="1">
        <f>IF(AND(O28="",ISNUMBER(B28)),INT(B28),0)</f>
        <v/>
      </c>
      <c r="Q28">
        <f>IF(AND(P28&gt;0,C28=Report!$C$5),P28*10000+ROW(),"")</f>
        <v/>
      </c>
      <c r="R28">
        <f>IF(AND(Q28&lt;&gt;"",ISNUMBER(D28)),Q28,"")</f>
        <v/>
      </c>
      <c r="S28">
        <f>IF(AND(Q28&lt;&gt;"",ISNUMBER(E28)),Q28,"")</f>
        <v/>
      </c>
      <c r="T28">
        <f>IF(AND(Q28&lt;&gt;"",ISNUMBER(F28)),Q28,"")</f>
        <v/>
      </c>
      <c r="U28">
        <f>IF(AND(Q28&lt;&gt;"",ISNUMBER(G28)),Q28,"")</f>
        <v/>
      </c>
      <c r="V28">
        <f>IF(AND(Q28&lt;&gt;"",ISNUMBER(H28)),Q28,"")</f>
        <v/>
      </c>
      <c r="W28">
        <f>IF(AND(Q28&lt;&gt;"",ISNUMBER(I28)),Q28,"")</f>
        <v/>
      </c>
      <c r="X28">
        <f>IF(AND(Q28&lt;&gt;"",ISNUMBER(J28)),Q28,"")</f>
        <v/>
      </c>
      <c r="Y28">
        <f>IF(AND(Q28&lt;&gt;"",ISNUMBER(K28)),Q28,"")</f>
        <v/>
      </c>
      <c r="Z28">
        <f>IF(AND(Q28&lt;&gt;"",ISNUMBER(L28)),Q28,"")</f>
        <v/>
      </c>
      <c r="AA28">
        <f>IF(AND(Q28&lt;&gt;"",ISNUMBER(M28)),Q28,"")</f>
        <v/>
      </c>
      <c r="AB28">
        <f>IF(AND(Q28&lt;&gt;"",ISNUMBER(K28)),K28,"")</f>
        <v/>
      </c>
      <c r="AC28">
        <f>IF(AND(Q28&lt;&gt;"",ISNUMBER(L28)),L28,"")</f>
        <v/>
      </c>
      <c r="AD28">
        <f>IF(AND(Q28&lt;&gt;"",ISNUMBER(M28)),M28,"")</f>
        <v/>
      </c>
    </row>
    <row r="29">
      <c r="A29" s="1" t="n"/>
      <c r="B29" s="17" t="n">
        <v>46169</v>
      </c>
      <c r="C29" s="27" t="inlineStr">
        <is>
          <t>Priya Nair</t>
        </is>
      </c>
      <c r="D29" s="28" t="n">
        <v>61</v>
      </c>
      <c r="E29" s="28" t="n">
        <v>24.6</v>
      </c>
      <c r="F29" s="28" t="n">
        <v>69.59999999999999</v>
      </c>
      <c r="G29" s="28" t="n">
        <v>95</v>
      </c>
      <c r="H29" s="28" t="n">
        <v>88</v>
      </c>
      <c r="I29" s="28" t="n">
        <v>27.3</v>
      </c>
      <c r="J29" s="28" t="n">
        <v>54</v>
      </c>
      <c r="K29" s="28" t="n">
        <v>40</v>
      </c>
      <c r="L29" s="28" t="n">
        <v>7</v>
      </c>
      <c r="M29" s="29" t="n">
        <v>5.3</v>
      </c>
      <c r="N29" s="21" t="n"/>
      <c r="O29" s="12">
        <f>IF(AND(B29="",C29=""),"",IF(NOT(ISNUMBER(B29)),"Needs a date",IF(C29="","Needs a client",IF(COUNTIF(Clients!$B$6:$B$105,C29)=0,"Not on Clients",IF(COUNT(D29:M29)=0,"Nothing measured","")))))</f>
        <v/>
      </c>
      <c r="P29" s="1">
        <f>IF(AND(O29="",ISNUMBER(B29)),INT(B29),0)</f>
        <v/>
      </c>
      <c r="Q29">
        <f>IF(AND(P29&gt;0,C29=Report!$C$5),P29*10000+ROW(),"")</f>
        <v/>
      </c>
      <c r="R29">
        <f>IF(AND(Q29&lt;&gt;"",ISNUMBER(D29)),Q29,"")</f>
        <v/>
      </c>
      <c r="S29">
        <f>IF(AND(Q29&lt;&gt;"",ISNUMBER(E29)),Q29,"")</f>
        <v/>
      </c>
      <c r="T29">
        <f>IF(AND(Q29&lt;&gt;"",ISNUMBER(F29)),Q29,"")</f>
        <v/>
      </c>
      <c r="U29">
        <f>IF(AND(Q29&lt;&gt;"",ISNUMBER(G29)),Q29,"")</f>
        <v/>
      </c>
      <c r="V29">
        <f>IF(AND(Q29&lt;&gt;"",ISNUMBER(H29)),Q29,"")</f>
        <v/>
      </c>
      <c r="W29">
        <f>IF(AND(Q29&lt;&gt;"",ISNUMBER(I29)),Q29,"")</f>
        <v/>
      </c>
      <c r="X29">
        <f>IF(AND(Q29&lt;&gt;"",ISNUMBER(J29)),Q29,"")</f>
        <v/>
      </c>
      <c r="Y29">
        <f>IF(AND(Q29&lt;&gt;"",ISNUMBER(K29)),Q29,"")</f>
        <v/>
      </c>
      <c r="Z29">
        <f>IF(AND(Q29&lt;&gt;"",ISNUMBER(L29)),Q29,"")</f>
        <v/>
      </c>
      <c r="AA29">
        <f>IF(AND(Q29&lt;&gt;"",ISNUMBER(M29)),Q29,"")</f>
        <v/>
      </c>
      <c r="AB29">
        <f>IF(AND(Q29&lt;&gt;"",ISNUMBER(K29)),K29,"")</f>
        <v/>
      </c>
      <c r="AC29">
        <f>IF(AND(Q29&lt;&gt;"",ISNUMBER(L29)),L29,"")</f>
        <v/>
      </c>
      <c r="AD29">
        <f>IF(AND(Q29&lt;&gt;"",ISNUMBER(M29)),M29,"")</f>
        <v/>
      </c>
    </row>
    <row r="30">
      <c r="A30" s="1" t="n"/>
      <c r="B30" s="17" t="n">
        <v>46171</v>
      </c>
      <c r="C30" s="27" t="inlineStr">
        <is>
          <t>Tom Walsh</t>
        </is>
      </c>
      <c r="D30" s="28" t="n">
        <v>77.8</v>
      </c>
      <c r="E30" s="28" t="n">
        <v>19.8</v>
      </c>
      <c r="F30" s="28" t="n">
        <v>83.8</v>
      </c>
      <c r="G30" s="28" t="n"/>
      <c r="H30" s="28" t="n"/>
      <c r="I30" s="28" t="n"/>
      <c r="J30" s="28" t="n"/>
      <c r="K30" s="28" t="n">
        <v>82.09999999999999</v>
      </c>
      <c r="L30" s="28" t="n">
        <v>26</v>
      </c>
      <c r="M30" s="29" t="n">
        <v>4.6</v>
      </c>
      <c r="N30" s="21" t="n"/>
      <c r="O30" s="12">
        <f>IF(AND(B30="",C30=""),"",IF(NOT(ISNUMBER(B30)),"Needs a date",IF(C30="","Needs a client",IF(COUNTIF(Clients!$B$6:$B$105,C30)=0,"Not on Clients",IF(COUNT(D30:M30)=0,"Nothing measured","")))))</f>
        <v/>
      </c>
      <c r="P30" s="1">
        <f>IF(AND(O30="",ISNUMBER(B30)),INT(B30),0)</f>
        <v/>
      </c>
      <c r="Q30">
        <f>IF(AND(P30&gt;0,C30=Report!$C$5),P30*10000+ROW(),"")</f>
        <v/>
      </c>
      <c r="R30">
        <f>IF(AND(Q30&lt;&gt;"",ISNUMBER(D30)),Q30,"")</f>
        <v/>
      </c>
      <c r="S30">
        <f>IF(AND(Q30&lt;&gt;"",ISNUMBER(E30)),Q30,"")</f>
        <v/>
      </c>
      <c r="T30">
        <f>IF(AND(Q30&lt;&gt;"",ISNUMBER(F30)),Q30,"")</f>
        <v/>
      </c>
      <c r="U30">
        <f>IF(AND(Q30&lt;&gt;"",ISNUMBER(G30)),Q30,"")</f>
        <v/>
      </c>
      <c r="V30">
        <f>IF(AND(Q30&lt;&gt;"",ISNUMBER(H30)),Q30,"")</f>
        <v/>
      </c>
      <c r="W30">
        <f>IF(AND(Q30&lt;&gt;"",ISNUMBER(I30)),Q30,"")</f>
        <v/>
      </c>
      <c r="X30">
        <f>IF(AND(Q30&lt;&gt;"",ISNUMBER(J30)),Q30,"")</f>
        <v/>
      </c>
      <c r="Y30">
        <f>IF(AND(Q30&lt;&gt;"",ISNUMBER(K30)),Q30,"")</f>
        <v/>
      </c>
      <c r="Z30">
        <f>IF(AND(Q30&lt;&gt;"",ISNUMBER(L30)),Q30,"")</f>
        <v/>
      </c>
      <c r="AA30">
        <f>IF(AND(Q30&lt;&gt;"",ISNUMBER(M30)),Q30,"")</f>
        <v/>
      </c>
      <c r="AB30">
        <f>IF(AND(Q30&lt;&gt;"",ISNUMBER(K30)),K30,"")</f>
        <v/>
      </c>
      <c r="AC30">
        <f>IF(AND(Q30&lt;&gt;"",ISNUMBER(L30)),L30,"")</f>
        <v/>
      </c>
      <c r="AD30">
        <f>IF(AND(Q30&lt;&gt;"",ISNUMBER(M30)),M30,"")</f>
        <v/>
      </c>
    </row>
    <row r="31">
      <c r="A31" s="1" t="n"/>
      <c r="B31" s="17" t="n">
        <v>46171</v>
      </c>
      <c r="C31" s="27" t="inlineStr">
        <is>
          <t>Grace Kim</t>
        </is>
      </c>
      <c r="D31" s="28" t="n">
        <v>63.5</v>
      </c>
      <c r="E31" s="28" t="n">
        <v>27.6</v>
      </c>
      <c r="F31" s="28" t="n">
        <v>71.2</v>
      </c>
      <c r="G31" s="28" t="n"/>
      <c r="H31" s="28" t="n"/>
      <c r="I31" s="28" t="n"/>
      <c r="J31" s="28" t="n"/>
      <c r="K31" s="28" t="n">
        <v>41.8</v>
      </c>
      <c r="L31" s="28" t="n">
        <v>7</v>
      </c>
      <c r="M31" s="29" t="n">
        <v>5.2</v>
      </c>
      <c r="N31" s="21" t="n"/>
      <c r="O31" s="12">
        <f>IF(AND(B31="",C31=""),"",IF(NOT(ISNUMBER(B31)),"Needs a date",IF(C31="","Needs a client",IF(COUNTIF(Clients!$B$6:$B$105,C31)=0,"Not on Clients",IF(COUNT(D31:M31)=0,"Nothing measured","")))))</f>
        <v/>
      </c>
      <c r="P31" s="1">
        <f>IF(AND(O31="",ISNUMBER(B31)),INT(B31),0)</f>
        <v/>
      </c>
      <c r="Q31">
        <f>IF(AND(P31&gt;0,C31=Report!$C$5),P31*10000+ROW(),"")</f>
        <v/>
      </c>
      <c r="R31">
        <f>IF(AND(Q31&lt;&gt;"",ISNUMBER(D31)),Q31,"")</f>
        <v/>
      </c>
      <c r="S31">
        <f>IF(AND(Q31&lt;&gt;"",ISNUMBER(E31)),Q31,"")</f>
        <v/>
      </c>
      <c r="T31">
        <f>IF(AND(Q31&lt;&gt;"",ISNUMBER(F31)),Q31,"")</f>
        <v/>
      </c>
      <c r="U31">
        <f>IF(AND(Q31&lt;&gt;"",ISNUMBER(G31)),Q31,"")</f>
        <v/>
      </c>
      <c r="V31">
        <f>IF(AND(Q31&lt;&gt;"",ISNUMBER(H31)),Q31,"")</f>
        <v/>
      </c>
      <c r="W31">
        <f>IF(AND(Q31&lt;&gt;"",ISNUMBER(I31)),Q31,"")</f>
        <v/>
      </c>
      <c r="X31">
        <f>IF(AND(Q31&lt;&gt;"",ISNUMBER(J31)),Q31,"")</f>
        <v/>
      </c>
      <c r="Y31">
        <f>IF(AND(Q31&lt;&gt;"",ISNUMBER(K31)),Q31,"")</f>
        <v/>
      </c>
      <c r="Z31">
        <f>IF(AND(Q31&lt;&gt;"",ISNUMBER(L31)),Q31,"")</f>
        <v/>
      </c>
      <c r="AA31">
        <f>IF(AND(Q31&lt;&gt;"",ISNUMBER(M31)),Q31,"")</f>
        <v/>
      </c>
      <c r="AB31">
        <f>IF(AND(Q31&lt;&gt;"",ISNUMBER(K31)),K31,"")</f>
        <v/>
      </c>
      <c r="AC31">
        <f>IF(AND(Q31&lt;&gt;"",ISNUMBER(L31)),L31,"")</f>
        <v/>
      </c>
      <c r="AD31">
        <f>IF(AND(Q31&lt;&gt;"",ISNUMBER(M31)),M31,"")</f>
        <v/>
      </c>
    </row>
    <row r="32">
      <c r="A32" s="1" t="n"/>
      <c r="B32" s="17" t="n">
        <v>46173</v>
      </c>
      <c r="C32" s="27" t="inlineStr">
        <is>
          <t>Leah Fischer</t>
        </is>
      </c>
      <c r="D32" s="28" t="n">
        <v>72</v>
      </c>
      <c r="E32" s="28" t="n">
        <v>30</v>
      </c>
      <c r="F32" s="28" t="n">
        <v>80</v>
      </c>
      <c r="G32" s="28" t="n">
        <v>101.9</v>
      </c>
      <c r="H32" s="28" t="n">
        <v>94</v>
      </c>
      <c r="I32" s="28" t="n">
        <v>30</v>
      </c>
      <c r="J32" s="28" t="n">
        <v>59</v>
      </c>
      <c r="K32" s="28" t="n">
        <v>45.2</v>
      </c>
      <c r="L32" s="28" t="n">
        <v>8</v>
      </c>
      <c r="M32" s="29" t="n">
        <v>5.6</v>
      </c>
      <c r="N32" s="21" t="inlineStr">
        <is>
          <t>First check-in</t>
        </is>
      </c>
      <c r="O32" s="12">
        <f>IF(AND(B32="",C32=""),"",IF(NOT(ISNUMBER(B32)),"Needs a date",IF(C32="","Needs a client",IF(COUNTIF(Clients!$B$6:$B$105,C32)=0,"Not on Clients",IF(COUNT(D32:M32)=0,"Nothing measured","")))))</f>
        <v/>
      </c>
      <c r="P32" s="1">
        <f>IF(AND(O32="",ISNUMBER(B32)),INT(B32),0)</f>
        <v/>
      </c>
      <c r="Q32">
        <f>IF(AND(P32&gt;0,C32=Report!$C$5),P32*10000+ROW(),"")</f>
        <v/>
      </c>
      <c r="R32">
        <f>IF(AND(Q32&lt;&gt;"",ISNUMBER(D32)),Q32,"")</f>
        <v/>
      </c>
      <c r="S32">
        <f>IF(AND(Q32&lt;&gt;"",ISNUMBER(E32)),Q32,"")</f>
        <v/>
      </c>
      <c r="T32">
        <f>IF(AND(Q32&lt;&gt;"",ISNUMBER(F32)),Q32,"")</f>
        <v/>
      </c>
      <c r="U32">
        <f>IF(AND(Q32&lt;&gt;"",ISNUMBER(G32)),Q32,"")</f>
        <v/>
      </c>
      <c r="V32">
        <f>IF(AND(Q32&lt;&gt;"",ISNUMBER(H32)),Q32,"")</f>
        <v/>
      </c>
      <c r="W32">
        <f>IF(AND(Q32&lt;&gt;"",ISNUMBER(I32)),Q32,"")</f>
        <v/>
      </c>
      <c r="X32">
        <f>IF(AND(Q32&lt;&gt;"",ISNUMBER(J32)),Q32,"")</f>
        <v/>
      </c>
      <c r="Y32">
        <f>IF(AND(Q32&lt;&gt;"",ISNUMBER(K32)),Q32,"")</f>
        <v/>
      </c>
      <c r="Z32">
        <f>IF(AND(Q32&lt;&gt;"",ISNUMBER(L32)),Q32,"")</f>
        <v/>
      </c>
      <c r="AA32">
        <f>IF(AND(Q32&lt;&gt;"",ISNUMBER(M32)),Q32,"")</f>
        <v/>
      </c>
      <c r="AB32">
        <f>IF(AND(Q32&lt;&gt;"",ISNUMBER(K32)),K32,"")</f>
        <v/>
      </c>
      <c r="AC32">
        <f>IF(AND(Q32&lt;&gt;"",ISNUMBER(L32)),L32,"")</f>
        <v/>
      </c>
      <c r="AD32">
        <f>IF(AND(Q32&lt;&gt;"",ISNUMBER(M32)),M32,"")</f>
        <v/>
      </c>
    </row>
    <row r="33">
      <c r="A33" s="1" t="n"/>
      <c r="B33" s="17" t="n">
        <v>46177</v>
      </c>
      <c r="C33" s="27" t="inlineStr">
        <is>
          <t>Ben Carter</t>
        </is>
      </c>
      <c r="D33" s="28" t="n">
        <v>92.59999999999999</v>
      </c>
      <c r="E33" s="28" t="n">
        <v>27.5</v>
      </c>
      <c r="F33" s="28" t="n">
        <v>98.40000000000001</v>
      </c>
      <c r="G33" s="28" t="n"/>
      <c r="H33" s="28" t="n"/>
      <c r="I33" s="28" t="n"/>
      <c r="J33" s="28" t="n"/>
      <c r="K33" s="28" t="n">
        <v>77</v>
      </c>
      <c r="L33" s="28" t="n">
        <v>17</v>
      </c>
      <c r="M33" s="29" t="n">
        <v>5.1</v>
      </c>
      <c r="N33" s="21" t="n"/>
      <c r="O33" s="12">
        <f>IF(AND(B33="",C33=""),"",IF(NOT(ISNUMBER(B33)),"Needs a date",IF(C33="","Needs a client",IF(COUNTIF(Clients!$B$6:$B$105,C33)=0,"Not on Clients",IF(COUNT(D33:M33)=0,"Nothing measured","")))))</f>
        <v/>
      </c>
      <c r="P33" s="1">
        <f>IF(AND(O33="",ISNUMBER(B33)),INT(B33),0)</f>
        <v/>
      </c>
      <c r="Q33">
        <f>IF(AND(P33&gt;0,C33=Report!$C$5),P33*10000+ROW(),"")</f>
        <v/>
      </c>
      <c r="R33">
        <f>IF(AND(Q33&lt;&gt;"",ISNUMBER(D33)),Q33,"")</f>
        <v/>
      </c>
      <c r="S33">
        <f>IF(AND(Q33&lt;&gt;"",ISNUMBER(E33)),Q33,"")</f>
        <v/>
      </c>
      <c r="T33">
        <f>IF(AND(Q33&lt;&gt;"",ISNUMBER(F33)),Q33,"")</f>
        <v/>
      </c>
      <c r="U33">
        <f>IF(AND(Q33&lt;&gt;"",ISNUMBER(G33)),Q33,"")</f>
        <v/>
      </c>
      <c r="V33">
        <f>IF(AND(Q33&lt;&gt;"",ISNUMBER(H33)),Q33,"")</f>
        <v/>
      </c>
      <c r="W33">
        <f>IF(AND(Q33&lt;&gt;"",ISNUMBER(I33)),Q33,"")</f>
        <v/>
      </c>
      <c r="X33">
        <f>IF(AND(Q33&lt;&gt;"",ISNUMBER(J33)),Q33,"")</f>
        <v/>
      </c>
      <c r="Y33">
        <f>IF(AND(Q33&lt;&gt;"",ISNUMBER(K33)),Q33,"")</f>
        <v/>
      </c>
      <c r="Z33">
        <f>IF(AND(Q33&lt;&gt;"",ISNUMBER(L33)),Q33,"")</f>
        <v/>
      </c>
      <c r="AA33">
        <f>IF(AND(Q33&lt;&gt;"",ISNUMBER(M33)),Q33,"")</f>
        <v/>
      </c>
      <c r="AB33">
        <f>IF(AND(Q33&lt;&gt;"",ISNUMBER(K33)),K33,"")</f>
        <v/>
      </c>
      <c r="AC33">
        <f>IF(AND(Q33&lt;&gt;"",ISNUMBER(L33)),L33,"")</f>
        <v/>
      </c>
      <c r="AD33">
        <f>IF(AND(Q33&lt;&gt;"",ISNUMBER(M33)),M33,"")</f>
        <v/>
      </c>
    </row>
    <row r="34">
      <c r="A34" s="1" t="n"/>
      <c r="B34" s="17" t="n">
        <v>46179</v>
      </c>
      <c r="C34" s="27" t="inlineStr">
        <is>
          <t>Maya Ortiz</t>
        </is>
      </c>
      <c r="D34" s="28" t="n">
        <v>66.5</v>
      </c>
      <c r="E34" s="28" t="n">
        <v>25.5</v>
      </c>
      <c r="F34" s="28" t="n">
        <v>73.8</v>
      </c>
      <c r="G34" s="28" t="n"/>
      <c r="H34" s="28" t="n"/>
      <c r="I34" s="28" t="n"/>
      <c r="J34" s="28" t="n"/>
      <c r="K34" s="28" t="n">
        <v>62.7</v>
      </c>
      <c r="L34" s="28" t="n">
        <v>17</v>
      </c>
      <c r="M34" s="29" t="n">
        <v>4.7</v>
      </c>
      <c r="N34" s="21" t="n"/>
      <c r="O34" s="12">
        <f>IF(AND(B34="",C34=""),"",IF(NOT(ISNUMBER(B34)),"Needs a date",IF(C34="","Needs a client",IF(COUNTIF(Clients!$B$6:$B$105,C34)=0,"Not on Clients",IF(COUNT(D34:M34)=0,"Nothing measured","")))))</f>
        <v/>
      </c>
      <c r="P34" s="1">
        <f>IF(AND(O34="",ISNUMBER(B34)),INT(B34),0)</f>
        <v/>
      </c>
      <c r="Q34">
        <f>IF(AND(P34&gt;0,C34=Report!$C$5),P34*10000+ROW(),"")</f>
        <v/>
      </c>
      <c r="R34">
        <f>IF(AND(Q34&lt;&gt;"",ISNUMBER(D34)),Q34,"")</f>
        <v/>
      </c>
      <c r="S34">
        <f>IF(AND(Q34&lt;&gt;"",ISNUMBER(E34)),Q34,"")</f>
        <v/>
      </c>
      <c r="T34">
        <f>IF(AND(Q34&lt;&gt;"",ISNUMBER(F34)),Q34,"")</f>
        <v/>
      </c>
      <c r="U34">
        <f>IF(AND(Q34&lt;&gt;"",ISNUMBER(G34)),Q34,"")</f>
        <v/>
      </c>
      <c r="V34">
        <f>IF(AND(Q34&lt;&gt;"",ISNUMBER(H34)),Q34,"")</f>
        <v/>
      </c>
      <c r="W34">
        <f>IF(AND(Q34&lt;&gt;"",ISNUMBER(I34)),Q34,"")</f>
        <v/>
      </c>
      <c r="X34">
        <f>IF(AND(Q34&lt;&gt;"",ISNUMBER(J34)),Q34,"")</f>
        <v/>
      </c>
      <c r="Y34">
        <f>IF(AND(Q34&lt;&gt;"",ISNUMBER(K34)),Q34,"")</f>
        <v/>
      </c>
      <c r="Z34">
        <f>IF(AND(Q34&lt;&gt;"",ISNUMBER(L34)),Q34,"")</f>
        <v/>
      </c>
      <c r="AA34">
        <f>IF(AND(Q34&lt;&gt;"",ISNUMBER(M34)),Q34,"")</f>
        <v/>
      </c>
      <c r="AB34">
        <f>IF(AND(Q34&lt;&gt;"",ISNUMBER(K34)),K34,"")</f>
        <v/>
      </c>
      <c r="AC34">
        <f>IF(AND(Q34&lt;&gt;"",ISNUMBER(L34)),L34,"")</f>
        <v/>
      </c>
      <c r="AD34">
        <f>IF(AND(Q34&lt;&gt;"",ISNUMBER(M34)),M34,"")</f>
        <v/>
      </c>
    </row>
    <row r="35">
      <c r="A35" s="1" t="n"/>
      <c r="B35" s="17" t="n">
        <v>46193</v>
      </c>
      <c r="C35" s="27" t="inlineStr">
        <is>
          <t>Maya Ortiz</t>
        </is>
      </c>
      <c r="D35" s="28" t="n">
        <v>66.40000000000001</v>
      </c>
      <c r="E35" s="28" t="n">
        <v>25.4</v>
      </c>
      <c r="F35" s="28" t="n">
        <v>73.59999999999999</v>
      </c>
      <c r="G35" s="28" t="n">
        <v>96.40000000000001</v>
      </c>
      <c r="H35" s="28" t="n">
        <v>92</v>
      </c>
      <c r="I35" s="28" t="n">
        <v>29.6</v>
      </c>
      <c r="J35" s="28" t="n">
        <v>56</v>
      </c>
      <c r="K35" s="28" t="n">
        <v>63.8</v>
      </c>
      <c r="L35" s="28" t="n">
        <v>17</v>
      </c>
      <c r="M35" s="29" t="n">
        <v>4.7</v>
      </c>
      <c r="N35" s="21" t="n"/>
      <c r="O35" s="12">
        <f>IF(AND(B35="",C35=""),"",IF(NOT(ISNUMBER(B35)),"Needs a date",IF(C35="","Needs a client",IF(COUNTIF(Clients!$B$6:$B$105,C35)=0,"Not on Clients",IF(COUNT(D35:M35)=0,"Nothing measured","")))))</f>
        <v/>
      </c>
      <c r="P35" s="1">
        <f>IF(AND(O35="",ISNUMBER(B35)),INT(B35),0)</f>
        <v/>
      </c>
      <c r="Q35">
        <f>IF(AND(P35&gt;0,C35=Report!$C$5),P35*10000+ROW(),"")</f>
        <v/>
      </c>
      <c r="R35">
        <f>IF(AND(Q35&lt;&gt;"",ISNUMBER(D35)),Q35,"")</f>
        <v/>
      </c>
      <c r="S35">
        <f>IF(AND(Q35&lt;&gt;"",ISNUMBER(E35)),Q35,"")</f>
        <v/>
      </c>
      <c r="T35">
        <f>IF(AND(Q35&lt;&gt;"",ISNUMBER(F35)),Q35,"")</f>
        <v/>
      </c>
      <c r="U35">
        <f>IF(AND(Q35&lt;&gt;"",ISNUMBER(G35)),Q35,"")</f>
        <v/>
      </c>
      <c r="V35">
        <f>IF(AND(Q35&lt;&gt;"",ISNUMBER(H35)),Q35,"")</f>
        <v/>
      </c>
      <c r="W35">
        <f>IF(AND(Q35&lt;&gt;"",ISNUMBER(I35)),Q35,"")</f>
        <v/>
      </c>
      <c r="X35">
        <f>IF(AND(Q35&lt;&gt;"",ISNUMBER(J35)),Q35,"")</f>
        <v/>
      </c>
      <c r="Y35">
        <f>IF(AND(Q35&lt;&gt;"",ISNUMBER(K35)),Q35,"")</f>
        <v/>
      </c>
      <c r="Z35">
        <f>IF(AND(Q35&lt;&gt;"",ISNUMBER(L35)),Q35,"")</f>
        <v/>
      </c>
      <c r="AA35">
        <f>IF(AND(Q35&lt;&gt;"",ISNUMBER(M35)),Q35,"")</f>
        <v/>
      </c>
      <c r="AB35">
        <f>IF(AND(Q35&lt;&gt;"",ISNUMBER(K35)),K35,"")</f>
        <v/>
      </c>
      <c r="AC35">
        <f>IF(AND(Q35&lt;&gt;"",ISNUMBER(L35)),L35,"")</f>
        <v/>
      </c>
      <c r="AD35">
        <f>IF(AND(Q35&lt;&gt;"",ISNUMBER(M35)),M35,"")</f>
        <v/>
      </c>
    </row>
    <row r="36">
      <c r="A36" s="1" t="n"/>
      <c r="B36" s="17" t="n">
        <v>46193</v>
      </c>
      <c r="C36" s="27" t="inlineStr">
        <is>
          <t>Omar Haddad</t>
        </is>
      </c>
      <c r="D36" s="28" t="n">
        <v>84</v>
      </c>
      <c r="E36" s="28" t="n">
        <v>18</v>
      </c>
      <c r="F36" s="28" t="n">
        <v>86</v>
      </c>
      <c r="G36" s="28" t="n">
        <v>99</v>
      </c>
      <c r="H36" s="28" t="n">
        <v>104</v>
      </c>
      <c r="I36" s="28" t="n">
        <v>34</v>
      </c>
      <c r="J36" s="28" t="n">
        <v>58</v>
      </c>
      <c r="K36" s="28" t="n">
        <v>100.2</v>
      </c>
      <c r="L36" s="28" t="n">
        <v>30</v>
      </c>
      <c r="M36" s="29" t="n">
        <v>4.3</v>
      </c>
      <c r="N36" s="21" t="inlineStr">
        <is>
          <t>First check-in</t>
        </is>
      </c>
      <c r="O36" s="12">
        <f>IF(AND(B36="",C36=""),"",IF(NOT(ISNUMBER(B36)),"Needs a date",IF(C36="","Needs a client",IF(COUNTIF(Clients!$B$6:$B$105,C36)=0,"Not on Clients",IF(COUNT(D36:M36)=0,"Nothing measured","")))))</f>
        <v/>
      </c>
      <c r="P36" s="1">
        <f>IF(AND(O36="",ISNUMBER(B36)),INT(B36),0)</f>
        <v/>
      </c>
      <c r="Q36">
        <f>IF(AND(P36&gt;0,C36=Report!$C$5),P36*10000+ROW(),"")</f>
        <v/>
      </c>
      <c r="R36">
        <f>IF(AND(Q36&lt;&gt;"",ISNUMBER(D36)),Q36,"")</f>
        <v/>
      </c>
      <c r="S36">
        <f>IF(AND(Q36&lt;&gt;"",ISNUMBER(E36)),Q36,"")</f>
        <v/>
      </c>
      <c r="T36">
        <f>IF(AND(Q36&lt;&gt;"",ISNUMBER(F36)),Q36,"")</f>
        <v/>
      </c>
      <c r="U36">
        <f>IF(AND(Q36&lt;&gt;"",ISNUMBER(G36)),Q36,"")</f>
        <v/>
      </c>
      <c r="V36">
        <f>IF(AND(Q36&lt;&gt;"",ISNUMBER(H36)),Q36,"")</f>
        <v/>
      </c>
      <c r="W36">
        <f>IF(AND(Q36&lt;&gt;"",ISNUMBER(I36)),Q36,"")</f>
        <v/>
      </c>
      <c r="X36">
        <f>IF(AND(Q36&lt;&gt;"",ISNUMBER(J36)),Q36,"")</f>
        <v/>
      </c>
      <c r="Y36">
        <f>IF(AND(Q36&lt;&gt;"",ISNUMBER(K36)),Q36,"")</f>
        <v/>
      </c>
      <c r="Z36">
        <f>IF(AND(Q36&lt;&gt;"",ISNUMBER(L36)),Q36,"")</f>
        <v/>
      </c>
      <c r="AA36">
        <f>IF(AND(Q36&lt;&gt;"",ISNUMBER(M36)),Q36,"")</f>
        <v/>
      </c>
      <c r="AB36">
        <f>IF(AND(Q36&lt;&gt;"",ISNUMBER(K36)),K36,"")</f>
        <v/>
      </c>
      <c r="AC36">
        <f>IF(AND(Q36&lt;&gt;"",ISNUMBER(L36)),L36,"")</f>
        <v/>
      </c>
      <c r="AD36">
        <f>IF(AND(Q36&lt;&gt;"",ISNUMBER(M36)),M36,"")</f>
        <v/>
      </c>
    </row>
    <row r="37">
      <c r="A37" s="1" t="n"/>
      <c r="B37" s="17" t="n">
        <v>46197</v>
      </c>
      <c r="C37" s="27" t="inlineStr">
        <is>
          <t>Priya Nair</t>
        </is>
      </c>
      <c r="D37" s="28" t="n">
        <v>61</v>
      </c>
      <c r="E37" s="28" t="n">
        <v>24.4</v>
      </c>
      <c r="F37" s="28" t="n">
        <v>69.40000000000001</v>
      </c>
      <c r="G37" s="28" t="n"/>
      <c r="H37" s="28" t="n"/>
      <c r="I37" s="28" t="n"/>
      <c r="J37" s="28" t="n"/>
      <c r="K37" s="28" t="n">
        <v>42.2</v>
      </c>
      <c r="L37" s="28" t="n">
        <v>7</v>
      </c>
      <c r="M37" s="29" t="n">
        <v>5.3</v>
      </c>
      <c r="N37" s="21" t="n"/>
      <c r="O37" s="12">
        <f>IF(AND(B37="",C37=""),"",IF(NOT(ISNUMBER(B37)),"Needs a date",IF(C37="","Needs a client",IF(COUNTIF(Clients!$B$6:$B$105,C37)=0,"Not on Clients",IF(COUNT(D37:M37)=0,"Nothing measured","")))))</f>
        <v/>
      </c>
      <c r="P37" s="1">
        <f>IF(AND(O37="",ISNUMBER(B37)),INT(B37),0)</f>
        <v/>
      </c>
      <c r="Q37">
        <f>IF(AND(P37&gt;0,C37=Report!$C$5),P37*10000+ROW(),"")</f>
        <v/>
      </c>
      <c r="R37">
        <f>IF(AND(Q37&lt;&gt;"",ISNUMBER(D37)),Q37,"")</f>
        <v/>
      </c>
      <c r="S37">
        <f>IF(AND(Q37&lt;&gt;"",ISNUMBER(E37)),Q37,"")</f>
        <v/>
      </c>
      <c r="T37">
        <f>IF(AND(Q37&lt;&gt;"",ISNUMBER(F37)),Q37,"")</f>
        <v/>
      </c>
      <c r="U37">
        <f>IF(AND(Q37&lt;&gt;"",ISNUMBER(G37)),Q37,"")</f>
        <v/>
      </c>
      <c r="V37">
        <f>IF(AND(Q37&lt;&gt;"",ISNUMBER(H37)),Q37,"")</f>
        <v/>
      </c>
      <c r="W37">
        <f>IF(AND(Q37&lt;&gt;"",ISNUMBER(I37)),Q37,"")</f>
        <v/>
      </c>
      <c r="X37">
        <f>IF(AND(Q37&lt;&gt;"",ISNUMBER(J37)),Q37,"")</f>
        <v/>
      </c>
      <c r="Y37">
        <f>IF(AND(Q37&lt;&gt;"",ISNUMBER(K37)),Q37,"")</f>
        <v/>
      </c>
      <c r="Z37">
        <f>IF(AND(Q37&lt;&gt;"",ISNUMBER(L37)),Q37,"")</f>
        <v/>
      </c>
      <c r="AA37">
        <f>IF(AND(Q37&lt;&gt;"",ISNUMBER(M37)),Q37,"")</f>
        <v/>
      </c>
      <c r="AB37">
        <f>IF(AND(Q37&lt;&gt;"",ISNUMBER(K37)),K37,"")</f>
        <v/>
      </c>
      <c r="AC37">
        <f>IF(AND(Q37&lt;&gt;"",ISNUMBER(L37)),L37,"")</f>
        <v/>
      </c>
      <c r="AD37">
        <f>IF(AND(Q37&lt;&gt;"",ISNUMBER(M37)),M37,"")</f>
        <v/>
      </c>
    </row>
    <row r="38">
      <c r="A38" s="1" t="n"/>
      <c r="B38" s="17" t="n">
        <v>46199</v>
      </c>
      <c r="C38" s="27" t="inlineStr">
        <is>
          <t>Tom Walsh</t>
        </is>
      </c>
      <c r="D38" s="28" t="n">
        <v>77.8</v>
      </c>
      <c r="E38" s="28" t="n">
        <v>19.6</v>
      </c>
      <c r="F38" s="28" t="n">
        <v>83.59999999999999</v>
      </c>
      <c r="G38" s="28" t="n">
        <v>97</v>
      </c>
      <c r="H38" s="28" t="n">
        <v>100.4</v>
      </c>
      <c r="I38" s="28" t="n">
        <v>32.2</v>
      </c>
      <c r="J38" s="28" t="n">
        <v>56</v>
      </c>
      <c r="K38" s="28" t="n">
        <v>84.09999999999999</v>
      </c>
      <c r="L38" s="28" t="n">
        <v>28</v>
      </c>
      <c r="M38" s="29" t="n">
        <v>4.6</v>
      </c>
      <c r="N38" s="21" t="n"/>
      <c r="O38" s="12">
        <f>IF(AND(B38="",C38=""),"",IF(NOT(ISNUMBER(B38)),"Needs a date",IF(C38="","Needs a client",IF(COUNTIF(Clients!$B$6:$B$105,C38)=0,"Not on Clients",IF(COUNT(D38:M38)=0,"Nothing measured","")))))</f>
        <v/>
      </c>
      <c r="P38" s="1">
        <f>IF(AND(O38="",ISNUMBER(B38)),INT(B38),0)</f>
        <v/>
      </c>
      <c r="Q38">
        <f>IF(AND(P38&gt;0,C38=Report!$C$5),P38*10000+ROW(),"")</f>
        <v/>
      </c>
      <c r="R38">
        <f>IF(AND(Q38&lt;&gt;"",ISNUMBER(D38)),Q38,"")</f>
        <v/>
      </c>
      <c r="S38">
        <f>IF(AND(Q38&lt;&gt;"",ISNUMBER(E38)),Q38,"")</f>
        <v/>
      </c>
      <c r="T38">
        <f>IF(AND(Q38&lt;&gt;"",ISNUMBER(F38)),Q38,"")</f>
        <v/>
      </c>
      <c r="U38">
        <f>IF(AND(Q38&lt;&gt;"",ISNUMBER(G38)),Q38,"")</f>
        <v/>
      </c>
      <c r="V38">
        <f>IF(AND(Q38&lt;&gt;"",ISNUMBER(H38)),Q38,"")</f>
        <v/>
      </c>
      <c r="W38">
        <f>IF(AND(Q38&lt;&gt;"",ISNUMBER(I38)),Q38,"")</f>
        <v/>
      </c>
      <c r="X38">
        <f>IF(AND(Q38&lt;&gt;"",ISNUMBER(J38)),Q38,"")</f>
        <v/>
      </c>
      <c r="Y38">
        <f>IF(AND(Q38&lt;&gt;"",ISNUMBER(K38)),Q38,"")</f>
        <v/>
      </c>
      <c r="Z38">
        <f>IF(AND(Q38&lt;&gt;"",ISNUMBER(L38)),Q38,"")</f>
        <v/>
      </c>
      <c r="AA38">
        <f>IF(AND(Q38&lt;&gt;"",ISNUMBER(M38)),Q38,"")</f>
        <v/>
      </c>
      <c r="AB38">
        <f>IF(AND(Q38&lt;&gt;"",ISNUMBER(K38)),K38,"")</f>
        <v/>
      </c>
      <c r="AC38">
        <f>IF(AND(Q38&lt;&gt;"",ISNUMBER(L38)),L38,"")</f>
        <v/>
      </c>
      <c r="AD38">
        <f>IF(AND(Q38&lt;&gt;"",ISNUMBER(M38)),M38,"")</f>
        <v/>
      </c>
    </row>
    <row r="39">
      <c r="A39" s="1" t="n"/>
      <c r="B39" s="17" t="n">
        <v>46199</v>
      </c>
      <c r="C39" s="27" t="inlineStr">
        <is>
          <t>Grace Kim</t>
        </is>
      </c>
      <c r="D39" s="28" t="n">
        <v>63</v>
      </c>
      <c r="E39" s="28" t="n">
        <v>27.2</v>
      </c>
      <c r="F39" s="28" t="n">
        <v>70.40000000000001</v>
      </c>
      <c r="G39" s="28" t="n">
        <v>94.7</v>
      </c>
      <c r="H39" s="28" t="n">
        <v>88.59999999999999</v>
      </c>
      <c r="I39" s="28" t="n">
        <v>28</v>
      </c>
      <c r="J39" s="28" t="n">
        <v>54.6</v>
      </c>
      <c r="K39" s="28" t="n">
        <v>44.1</v>
      </c>
      <c r="L39" s="28" t="n">
        <v>8</v>
      </c>
      <c r="M39" s="29" t="n">
        <v>5.2</v>
      </c>
      <c r="N39" s="21" t="n"/>
      <c r="O39" s="12">
        <f>IF(AND(B39="",C39=""),"",IF(NOT(ISNUMBER(B39)),"Needs a date",IF(C39="","Needs a client",IF(COUNTIF(Clients!$B$6:$B$105,C39)=0,"Not on Clients",IF(COUNT(D39:M39)=0,"Nothing measured","")))))</f>
        <v/>
      </c>
      <c r="P39" s="1">
        <f>IF(AND(O39="",ISNUMBER(B39)),INT(B39),0)</f>
        <v/>
      </c>
      <c r="Q39">
        <f>IF(AND(P39&gt;0,C39=Report!$C$5),P39*10000+ROW(),"")</f>
        <v/>
      </c>
      <c r="R39">
        <f>IF(AND(Q39&lt;&gt;"",ISNUMBER(D39)),Q39,"")</f>
        <v/>
      </c>
      <c r="S39">
        <f>IF(AND(Q39&lt;&gt;"",ISNUMBER(E39)),Q39,"")</f>
        <v/>
      </c>
      <c r="T39">
        <f>IF(AND(Q39&lt;&gt;"",ISNUMBER(F39)),Q39,"")</f>
        <v/>
      </c>
      <c r="U39">
        <f>IF(AND(Q39&lt;&gt;"",ISNUMBER(G39)),Q39,"")</f>
        <v/>
      </c>
      <c r="V39">
        <f>IF(AND(Q39&lt;&gt;"",ISNUMBER(H39)),Q39,"")</f>
        <v/>
      </c>
      <c r="W39">
        <f>IF(AND(Q39&lt;&gt;"",ISNUMBER(I39)),Q39,"")</f>
        <v/>
      </c>
      <c r="X39">
        <f>IF(AND(Q39&lt;&gt;"",ISNUMBER(J39)),Q39,"")</f>
        <v/>
      </c>
      <c r="Y39">
        <f>IF(AND(Q39&lt;&gt;"",ISNUMBER(K39)),Q39,"")</f>
        <v/>
      </c>
      <c r="Z39">
        <f>IF(AND(Q39&lt;&gt;"",ISNUMBER(L39)),Q39,"")</f>
        <v/>
      </c>
      <c r="AA39">
        <f>IF(AND(Q39&lt;&gt;"",ISNUMBER(M39)),Q39,"")</f>
        <v/>
      </c>
      <c r="AB39">
        <f>IF(AND(Q39&lt;&gt;"",ISNUMBER(K39)),K39,"")</f>
        <v/>
      </c>
      <c r="AC39">
        <f>IF(AND(Q39&lt;&gt;"",ISNUMBER(L39)),L39,"")</f>
        <v/>
      </c>
      <c r="AD39">
        <f>IF(AND(Q39&lt;&gt;"",ISNUMBER(M39)),M39,"")</f>
        <v/>
      </c>
    </row>
    <row r="40">
      <c r="A40" s="1" t="n"/>
      <c r="B40" s="17" t="n">
        <v>46201</v>
      </c>
      <c r="C40" s="27" t="inlineStr">
        <is>
          <t>Leah Fischer</t>
        </is>
      </c>
      <c r="D40" s="28" t="n">
        <v>71.59999999999999</v>
      </c>
      <c r="E40" s="28" t="n">
        <v>29.6</v>
      </c>
      <c r="F40" s="28" t="n">
        <v>79.3</v>
      </c>
      <c r="G40" s="28" t="n"/>
      <c r="H40" s="28" t="n"/>
      <c r="I40" s="28" t="n"/>
      <c r="J40" s="28" t="n"/>
      <c r="K40" s="28" t="n">
        <v>47.6</v>
      </c>
      <c r="L40" s="28" t="n">
        <v>9</v>
      </c>
      <c r="M40" s="29" t="n">
        <v>5.6</v>
      </c>
      <c r="N40" s="21" t="n"/>
      <c r="O40" s="12">
        <f>IF(AND(B40="",C40=""),"",IF(NOT(ISNUMBER(B40)),"Needs a date",IF(C40="","Needs a client",IF(COUNTIF(Clients!$B$6:$B$105,C40)=0,"Not on Clients",IF(COUNT(D40:M40)=0,"Nothing measured","")))))</f>
        <v/>
      </c>
      <c r="P40" s="1">
        <f>IF(AND(O40="",ISNUMBER(B40)),INT(B40),0)</f>
        <v/>
      </c>
      <c r="Q40">
        <f>IF(AND(P40&gt;0,C40=Report!$C$5),P40*10000+ROW(),"")</f>
        <v/>
      </c>
      <c r="R40">
        <f>IF(AND(Q40&lt;&gt;"",ISNUMBER(D40)),Q40,"")</f>
        <v/>
      </c>
      <c r="S40">
        <f>IF(AND(Q40&lt;&gt;"",ISNUMBER(E40)),Q40,"")</f>
        <v/>
      </c>
      <c r="T40">
        <f>IF(AND(Q40&lt;&gt;"",ISNUMBER(F40)),Q40,"")</f>
        <v/>
      </c>
      <c r="U40">
        <f>IF(AND(Q40&lt;&gt;"",ISNUMBER(G40)),Q40,"")</f>
        <v/>
      </c>
      <c r="V40">
        <f>IF(AND(Q40&lt;&gt;"",ISNUMBER(H40)),Q40,"")</f>
        <v/>
      </c>
      <c r="W40">
        <f>IF(AND(Q40&lt;&gt;"",ISNUMBER(I40)),Q40,"")</f>
        <v/>
      </c>
      <c r="X40">
        <f>IF(AND(Q40&lt;&gt;"",ISNUMBER(J40)),Q40,"")</f>
        <v/>
      </c>
      <c r="Y40">
        <f>IF(AND(Q40&lt;&gt;"",ISNUMBER(K40)),Q40,"")</f>
        <v/>
      </c>
      <c r="Z40">
        <f>IF(AND(Q40&lt;&gt;"",ISNUMBER(L40)),Q40,"")</f>
        <v/>
      </c>
      <c r="AA40">
        <f>IF(AND(Q40&lt;&gt;"",ISNUMBER(M40)),Q40,"")</f>
        <v/>
      </c>
      <c r="AB40">
        <f>IF(AND(Q40&lt;&gt;"",ISNUMBER(K40)),K40,"")</f>
        <v/>
      </c>
      <c r="AC40">
        <f>IF(AND(Q40&lt;&gt;"",ISNUMBER(L40)),L40,"")</f>
        <v/>
      </c>
      <c r="AD40">
        <f>IF(AND(Q40&lt;&gt;"",ISNUMBER(M40)),M40,"")</f>
        <v/>
      </c>
    </row>
    <row r="41">
      <c r="A41" s="1" t="n"/>
      <c r="B41" s="17" t="n">
        <v>46205</v>
      </c>
      <c r="C41" s="27" t="inlineStr">
        <is>
          <t>Ben Carter</t>
        </is>
      </c>
      <c r="D41" s="28" t="n">
        <v>91.59999999999999</v>
      </c>
      <c r="E41" s="28" t="n">
        <v>27.1</v>
      </c>
      <c r="F41" s="28" t="n">
        <v>97.2</v>
      </c>
      <c r="G41" s="28" t="n">
        <v>105.6</v>
      </c>
      <c r="H41" s="28" t="n">
        <v>108.4</v>
      </c>
      <c r="I41" s="28" t="n">
        <v>35</v>
      </c>
      <c r="J41" s="28" t="n">
        <v>60.4</v>
      </c>
      <c r="K41" s="28" t="n">
        <v>79.59999999999999</v>
      </c>
      <c r="L41" s="28" t="n">
        <v>18</v>
      </c>
      <c r="M41" s="29" t="n">
        <v>5</v>
      </c>
      <c r="N41" s="21" t="n"/>
      <c r="O41" s="12">
        <f>IF(AND(B41="",C41=""),"",IF(NOT(ISNUMBER(B41)),"Needs a date",IF(C41="","Needs a client",IF(COUNTIF(Clients!$B$6:$B$105,C41)=0,"Not on Clients",IF(COUNT(D41:M41)=0,"Nothing measured","")))))</f>
        <v/>
      </c>
      <c r="P41" s="1">
        <f>IF(AND(O41="",ISNUMBER(B41)),INT(B41),0)</f>
        <v/>
      </c>
      <c r="Q41">
        <f>IF(AND(P41&gt;0,C41=Report!$C$5),P41*10000+ROW(),"")</f>
        <v/>
      </c>
      <c r="R41">
        <f>IF(AND(Q41&lt;&gt;"",ISNUMBER(D41)),Q41,"")</f>
        <v/>
      </c>
      <c r="S41">
        <f>IF(AND(Q41&lt;&gt;"",ISNUMBER(E41)),Q41,"")</f>
        <v/>
      </c>
      <c r="T41">
        <f>IF(AND(Q41&lt;&gt;"",ISNUMBER(F41)),Q41,"")</f>
        <v/>
      </c>
      <c r="U41">
        <f>IF(AND(Q41&lt;&gt;"",ISNUMBER(G41)),Q41,"")</f>
        <v/>
      </c>
      <c r="V41">
        <f>IF(AND(Q41&lt;&gt;"",ISNUMBER(H41)),Q41,"")</f>
        <v/>
      </c>
      <c r="W41">
        <f>IF(AND(Q41&lt;&gt;"",ISNUMBER(I41)),Q41,"")</f>
        <v/>
      </c>
      <c r="X41">
        <f>IF(AND(Q41&lt;&gt;"",ISNUMBER(J41)),Q41,"")</f>
        <v/>
      </c>
      <c r="Y41">
        <f>IF(AND(Q41&lt;&gt;"",ISNUMBER(K41)),Q41,"")</f>
        <v/>
      </c>
      <c r="Z41">
        <f>IF(AND(Q41&lt;&gt;"",ISNUMBER(L41)),Q41,"")</f>
        <v/>
      </c>
      <c r="AA41">
        <f>IF(AND(Q41&lt;&gt;"",ISNUMBER(M41)),Q41,"")</f>
        <v/>
      </c>
      <c r="AB41">
        <f>IF(AND(Q41&lt;&gt;"",ISNUMBER(K41)),K41,"")</f>
        <v/>
      </c>
      <c r="AC41">
        <f>IF(AND(Q41&lt;&gt;"",ISNUMBER(L41)),L41,"")</f>
        <v/>
      </c>
      <c r="AD41">
        <f>IF(AND(Q41&lt;&gt;"",ISNUMBER(M41)),M41,"")</f>
        <v/>
      </c>
    </row>
    <row r="42">
      <c r="A42" s="1" t="n"/>
      <c r="B42" s="17" t="n">
        <v>46207</v>
      </c>
      <c r="C42" s="27" t="inlineStr">
        <is>
          <t>Maya Ortiz</t>
        </is>
      </c>
      <c r="D42" s="28" t="n">
        <v>66.2</v>
      </c>
      <c r="E42" s="28" t="n">
        <v>25.2</v>
      </c>
      <c r="F42" s="28" t="n">
        <v>73.3</v>
      </c>
      <c r="G42" s="28" t="n"/>
      <c r="H42" s="28" t="n"/>
      <c r="I42" s="28" t="n"/>
      <c r="J42" s="28" t="n"/>
      <c r="K42" s="28" t="n">
        <v>65.5</v>
      </c>
      <c r="L42" s="28" t="n">
        <v>18</v>
      </c>
      <c r="M42" s="29" t="n">
        <v>4.6</v>
      </c>
      <c r="N42" s="21" t="n"/>
      <c r="O42" s="12">
        <f>IF(AND(B42="",C42=""),"",IF(NOT(ISNUMBER(B42)),"Needs a date",IF(C42="","Needs a client",IF(COUNTIF(Clients!$B$6:$B$105,C42)=0,"Not on Clients",IF(COUNT(D42:M42)=0,"Nothing measured","")))))</f>
        <v/>
      </c>
      <c r="P42" s="1">
        <f>IF(AND(O42="",ISNUMBER(B42)),INT(B42),0)</f>
        <v/>
      </c>
      <c r="Q42">
        <f>IF(AND(P42&gt;0,C42=Report!$C$5),P42*10000+ROW(),"")</f>
        <v/>
      </c>
      <c r="R42">
        <f>IF(AND(Q42&lt;&gt;"",ISNUMBER(D42)),Q42,"")</f>
        <v/>
      </c>
      <c r="S42">
        <f>IF(AND(Q42&lt;&gt;"",ISNUMBER(E42)),Q42,"")</f>
        <v/>
      </c>
      <c r="T42">
        <f>IF(AND(Q42&lt;&gt;"",ISNUMBER(F42)),Q42,"")</f>
        <v/>
      </c>
      <c r="U42">
        <f>IF(AND(Q42&lt;&gt;"",ISNUMBER(G42)),Q42,"")</f>
        <v/>
      </c>
      <c r="V42">
        <f>IF(AND(Q42&lt;&gt;"",ISNUMBER(H42)),Q42,"")</f>
        <v/>
      </c>
      <c r="W42">
        <f>IF(AND(Q42&lt;&gt;"",ISNUMBER(I42)),Q42,"")</f>
        <v/>
      </c>
      <c r="X42">
        <f>IF(AND(Q42&lt;&gt;"",ISNUMBER(J42)),Q42,"")</f>
        <v/>
      </c>
      <c r="Y42">
        <f>IF(AND(Q42&lt;&gt;"",ISNUMBER(K42)),Q42,"")</f>
        <v/>
      </c>
      <c r="Z42">
        <f>IF(AND(Q42&lt;&gt;"",ISNUMBER(L42)),Q42,"")</f>
        <v/>
      </c>
      <c r="AA42">
        <f>IF(AND(Q42&lt;&gt;"",ISNUMBER(M42)),Q42,"")</f>
        <v/>
      </c>
      <c r="AB42">
        <f>IF(AND(Q42&lt;&gt;"",ISNUMBER(K42)),K42,"")</f>
        <v/>
      </c>
      <c r="AC42">
        <f>IF(AND(Q42&lt;&gt;"",ISNUMBER(L42)),L42,"")</f>
        <v/>
      </c>
      <c r="AD42">
        <f>IF(AND(Q42&lt;&gt;"",ISNUMBER(M42)),M42,"")</f>
        <v/>
      </c>
    </row>
    <row r="43">
      <c r="A43" s="1" t="n"/>
      <c r="B43" s="17" t="n">
        <v>46221</v>
      </c>
      <c r="C43" s="27" t="inlineStr">
        <is>
          <t>Maya Ortiz</t>
        </is>
      </c>
      <c r="D43" s="28" t="n">
        <v>66.09999999999999</v>
      </c>
      <c r="E43" s="28" t="n">
        <v>25.1</v>
      </c>
      <c r="F43" s="28" t="n">
        <v>73.09999999999999</v>
      </c>
      <c r="G43" s="28" t="n">
        <v>96.09999999999999</v>
      </c>
      <c r="H43" s="28" t="n">
        <v>92</v>
      </c>
      <c r="I43" s="28" t="n">
        <v>29.7</v>
      </c>
      <c r="J43" s="28" t="n">
        <v>55.8</v>
      </c>
      <c r="K43" s="28" t="n">
        <v>66.90000000000001</v>
      </c>
      <c r="L43" s="28" t="n">
        <v>18</v>
      </c>
      <c r="M43" s="29" t="n">
        <v>4.6</v>
      </c>
      <c r="N43" s="21" t="n"/>
      <c r="O43" s="12">
        <f>IF(AND(B43="",C43=""),"",IF(NOT(ISNUMBER(B43)),"Needs a date",IF(C43="","Needs a client",IF(COUNTIF(Clients!$B$6:$B$105,C43)=0,"Not on Clients",IF(COUNT(D43:M43)=0,"Nothing measured","")))))</f>
        <v/>
      </c>
      <c r="P43" s="1">
        <f>IF(AND(O43="",ISNUMBER(B43)),INT(B43),0)</f>
        <v/>
      </c>
      <c r="Q43">
        <f>IF(AND(P43&gt;0,C43=Report!$C$5),P43*10000+ROW(),"")</f>
        <v/>
      </c>
      <c r="R43">
        <f>IF(AND(Q43&lt;&gt;"",ISNUMBER(D43)),Q43,"")</f>
        <v/>
      </c>
      <c r="S43">
        <f>IF(AND(Q43&lt;&gt;"",ISNUMBER(E43)),Q43,"")</f>
        <v/>
      </c>
      <c r="T43">
        <f>IF(AND(Q43&lt;&gt;"",ISNUMBER(F43)),Q43,"")</f>
        <v/>
      </c>
      <c r="U43">
        <f>IF(AND(Q43&lt;&gt;"",ISNUMBER(G43)),Q43,"")</f>
        <v/>
      </c>
      <c r="V43">
        <f>IF(AND(Q43&lt;&gt;"",ISNUMBER(H43)),Q43,"")</f>
        <v/>
      </c>
      <c r="W43">
        <f>IF(AND(Q43&lt;&gt;"",ISNUMBER(I43)),Q43,"")</f>
        <v/>
      </c>
      <c r="X43">
        <f>IF(AND(Q43&lt;&gt;"",ISNUMBER(J43)),Q43,"")</f>
        <v/>
      </c>
      <c r="Y43">
        <f>IF(AND(Q43&lt;&gt;"",ISNUMBER(K43)),Q43,"")</f>
        <v/>
      </c>
      <c r="Z43">
        <f>IF(AND(Q43&lt;&gt;"",ISNUMBER(L43)),Q43,"")</f>
        <v/>
      </c>
      <c r="AA43">
        <f>IF(AND(Q43&lt;&gt;"",ISNUMBER(M43)),Q43,"")</f>
        <v/>
      </c>
      <c r="AB43">
        <f>IF(AND(Q43&lt;&gt;"",ISNUMBER(K43)),K43,"")</f>
        <v/>
      </c>
      <c r="AC43">
        <f>IF(AND(Q43&lt;&gt;"",ISNUMBER(L43)),L43,"")</f>
        <v/>
      </c>
      <c r="AD43">
        <f>IF(AND(Q43&lt;&gt;"",ISNUMBER(M43)),M43,"")</f>
        <v/>
      </c>
    </row>
    <row r="44">
      <c r="A44" s="1" t="n"/>
      <c r="B44" s="17" t="n">
        <v>46221</v>
      </c>
      <c r="C44" s="27" t="inlineStr">
        <is>
          <t>Omar Haddad</t>
        </is>
      </c>
      <c r="D44" s="28" t="n">
        <v>84</v>
      </c>
      <c r="E44" s="28" t="n">
        <v>17.9</v>
      </c>
      <c r="F44" s="28" t="n">
        <v>86</v>
      </c>
      <c r="G44" s="28" t="n"/>
      <c r="H44" s="28" t="n"/>
      <c r="I44" s="28" t="n"/>
      <c r="J44" s="28" t="n"/>
      <c r="K44" s="28" t="n">
        <v>102.4</v>
      </c>
      <c r="L44" s="28" t="n">
        <v>31</v>
      </c>
      <c r="M44" s="29" t="n">
        <v>4.2</v>
      </c>
      <c r="N44" s="21" t="n"/>
      <c r="O44" s="12">
        <f>IF(AND(B44="",C44=""),"",IF(NOT(ISNUMBER(B44)),"Needs a date",IF(C44="","Needs a client",IF(COUNTIF(Clients!$B$6:$B$105,C44)=0,"Not on Clients",IF(COUNT(D44:M44)=0,"Nothing measured","")))))</f>
        <v/>
      </c>
      <c r="P44" s="1">
        <f>IF(AND(O44="",ISNUMBER(B44)),INT(B44),0)</f>
        <v/>
      </c>
      <c r="Q44">
        <f>IF(AND(P44&gt;0,C44=Report!$C$5),P44*10000+ROW(),"")</f>
        <v/>
      </c>
      <c r="R44">
        <f>IF(AND(Q44&lt;&gt;"",ISNUMBER(D44)),Q44,"")</f>
        <v/>
      </c>
      <c r="S44">
        <f>IF(AND(Q44&lt;&gt;"",ISNUMBER(E44)),Q44,"")</f>
        <v/>
      </c>
      <c r="T44">
        <f>IF(AND(Q44&lt;&gt;"",ISNUMBER(F44)),Q44,"")</f>
        <v/>
      </c>
      <c r="U44">
        <f>IF(AND(Q44&lt;&gt;"",ISNUMBER(G44)),Q44,"")</f>
        <v/>
      </c>
      <c r="V44">
        <f>IF(AND(Q44&lt;&gt;"",ISNUMBER(H44)),Q44,"")</f>
        <v/>
      </c>
      <c r="W44">
        <f>IF(AND(Q44&lt;&gt;"",ISNUMBER(I44)),Q44,"")</f>
        <v/>
      </c>
      <c r="X44">
        <f>IF(AND(Q44&lt;&gt;"",ISNUMBER(J44)),Q44,"")</f>
        <v/>
      </c>
      <c r="Y44">
        <f>IF(AND(Q44&lt;&gt;"",ISNUMBER(K44)),Q44,"")</f>
        <v/>
      </c>
      <c r="Z44">
        <f>IF(AND(Q44&lt;&gt;"",ISNUMBER(L44)),Q44,"")</f>
        <v/>
      </c>
      <c r="AA44">
        <f>IF(AND(Q44&lt;&gt;"",ISNUMBER(M44)),Q44,"")</f>
        <v/>
      </c>
      <c r="AB44">
        <f>IF(AND(Q44&lt;&gt;"",ISNUMBER(K44)),K44,"")</f>
        <v/>
      </c>
      <c r="AC44">
        <f>IF(AND(Q44&lt;&gt;"",ISNUMBER(L44)),L44,"")</f>
        <v/>
      </c>
      <c r="AD44">
        <f>IF(AND(Q44&lt;&gt;"",ISNUMBER(M44)),M44,"")</f>
        <v/>
      </c>
    </row>
    <row r="45">
      <c r="A45" s="1" t="n"/>
      <c r="B45" s="17" t="n">
        <v>46225</v>
      </c>
      <c r="C45" s="27" t="inlineStr">
        <is>
          <t>Priya Nair</t>
        </is>
      </c>
      <c r="D45" s="28" t="n">
        <v>61</v>
      </c>
      <c r="E45" s="28" t="n">
        <v>24.2</v>
      </c>
      <c r="F45" s="28" t="n">
        <v>69.2</v>
      </c>
      <c r="G45" s="28" t="n">
        <v>95</v>
      </c>
      <c r="H45" s="28" t="n">
        <v>88</v>
      </c>
      <c r="I45" s="28" t="n">
        <v>27.5</v>
      </c>
      <c r="J45" s="28" t="n">
        <v>54</v>
      </c>
      <c r="K45" s="28" t="n">
        <v>44.4</v>
      </c>
      <c r="L45" s="28" t="n">
        <v>8</v>
      </c>
      <c r="M45" s="29" t="n">
        <v>5.2</v>
      </c>
      <c r="N45" s="21" t="n"/>
      <c r="O45" s="12">
        <f>IF(AND(B45="",C45=""),"",IF(NOT(ISNUMBER(B45)),"Needs a date",IF(C45="","Needs a client",IF(COUNTIF(Clients!$B$6:$B$105,C45)=0,"Not on Clients",IF(COUNT(D45:M45)=0,"Nothing measured","")))))</f>
        <v/>
      </c>
      <c r="P45" s="1">
        <f>IF(AND(O45="",ISNUMBER(B45)),INT(B45),0)</f>
        <v/>
      </c>
      <c r="Q45">
        <f>IF(AND(P45&gt;0,C45=Report!$C$5),P45*10000+ROW(),"")</f>
        <v/>
      </c>
      <c r="R45">
        <f>IF(AND(Q45&lt;&gt;"",ISNUMBER(D45)),Q45,"")</f>
        <v/>
      </c>
      <c r="S45">
        <f>IF(AND(Q45&lt;&gt;"",ISNUMBER(E45)),Q45,"")</f>
        <v/>
      </c>
      <c r="T45">
        <f>IF(AND(Q45&lt;&gt;"",ISNUMBER(F45)),Q45,"")</f>
        <v/>
      </c>
      <c r="U45">
        <f>IF(AND(Q45&lt;&gt;"",ISNUMBER(G45)),Q45,"")</f>
        <v/>
      </c>
      <c r="V45">
        <f>IF(AND(Q45&lt;&gt;"",ISNUMBER(H45)),Q45,"")</f>
        <v/>
      </c>
      <c r="W45">
        <f>IF(AND(Q45&lt;&gt;"",ISNUMBER(I45)),Q45,"")</f>
        <v/>
      </c>
      <c r="X45">
        <f>IF(AND(Q45&lt;&gt;"",ISNUMBER(J45)),Q45,"")</f>
        <v/>
      </c>
      <c r="Y45">
        <f>IF(AND(Q45&lt;&gt;"",ISNUMBER(K45)),Q45,"")</f>
        <v/>
      </c>
      <c r="Z45">
        <f>IF(AND(Q45&lt;&gt;"",ISNUMBER(L45)),Q45,"")</f>
        <v/>
      </c>
      <c r="AA45">
        <f>IF(AND(Q45&lt;&gt;"",ISNUMBER(M45)),Q45,"")</f>
        <v/>
      </c>
      <c r="AB45">
        <f>IF(AND(Q45&lt;&gt;"",ISNUMBER(K45)),K45,"")</f>
        <v/>
      </c>
      <c r="AC45">
        <f>IF(AND(Q45&lt;&gt;"",ISNUMBER(L45)),L45,"")</f>
        <v/>
      </c>
      <c r="AD45">
        <f>IF(AND(Q45&lt;&gt;"",ISNUMBER(M45)),M45,"")</f>
        <v/>
      </c>
    </row>
    <row r="46">
      <c r="A46" s="1" t="n"/>
      <c r="B46" s="17" t="n">
        <v>46227</v>
      </c>
      <c r="C46" s="27" t="inlineStr">
        <is>
          <t>Tom Walsh</t>
        </is>
      </c>
      <c r="D46" s="28" t="n">
        <v>77.59999999999999</v>
      </c>
      <c r="E46" s="28" t="n">
        <v>19.4</v>
      </c>
      <c r="F46" s="28" t="n">
        <v>83.40000000000001</v>
      </c>
      <c r="G46" s="28" t="n"/>
      <c r="H46" s="28" t="n"/>
      <c r="I46" s="28" t="n"/>
      <c r="J46" s="28" t="n"/>
      <c r="K46" s="28" t="n">
        <v>85.90000000000001</v>
      </c>
      <c r="L46" s="28" t="n">
        <v>29</v>
      </c>
      <c r="M46" s="29" t="n">
        <v>4.5</v>
      </c>
      <c r="N46" s="21" t="n"/>
      <c r="O46" s="12">
        <f>IF(AND(B46="",C46=""),"",IF(NOT(ISNUMBER(B46)),"Needs a date",IF(C46="","Needs a client",IF(COUNTIF(Clients!$B$6:$B$105,C46)=0,"Not on Clients",IF(COUNT(D46:M46)=0,"Nothing measured","")))))</f>
        <v/>
      </c>
      <c r="P46" s="1">
        <f>IF(AND(O46="",ISNUMBER(B46)),INT(B46),0)</f>
        <v/>
      </c>
      <c r="Q46">
        <f>IF(AND(P46&gt;0,C46=Report!$C$5),P46*10000+ROW(),"")</f>
        <v/>
      </c>
      <c r="R46">
        <f>IF(AND(Q46&lt;&gt;"",ISNUMBER(D46)),Q46,"")</f>
        <v/>
      </c>
      <c r="S46">
        <f>IF(AND(Q46&lt;&gt;"",ISNUMBER(E46)),Q46,"")</f>
        <v/>
      </c>
      <c r="T46">
        <f>IF(AND(Q46&lt;&gt;"",ISNUMBER(F46)),Q46,"")</f>
        <v/>
      </c>
      <c r="U46">
        <f>IF(AND(Q46&lt;&gt;"",ISNUMBER(G46)),Q46,"")</f>
        <v/>
      </c>
      <c r="V46">
        <f>IF(AND(Q46&lt;&gt;"",ISNUMBER(H46)),Q46,"")</f>
        <v/>
      </c>
      <c r="W46">
        <f>IF(AND(Q46&lt;&gt;"",ISNUMBER(I46)),Q46,"")</f>
        <v/>
      </c>
      <c r="X46">
        <f>IF(AND(Q46&lt;&gt;"",ISNUMBER(J46)),Q46,"")</f>
        <v/>
      </c>
      <c r="Y46">
        <f>IF(AND(Q46&lt;&gt;"",ISNUMBER(K46)),Q46,"")</f>
        <v/>
      </c>
      <c r="Z46">
        <f>IF(AND(Q46&lt;&gt;"",ISNUMBER(L46)),Q46,"")</f>
        <v/>
      </c>
      <c r="AA46">
        <f>IF(AND(Q46&lt;&gt;"",ISNUMBER(M46)),Q46,"")</f>
        <v/>
      </c>
      <c r="AB46">
        <f>IF(AND(Q46&lt;&gt;"",ISNUMBER(K46)),K46,"")</f>
        <v/>
      </c>
      <c r="AC46">
        <f>IF(AND(Q46&lt;&gt;"",ISNUMBER(L46)),L46,"")</f>
        <v/>
      </c>
      <c r="AD46">
        <f>IF(AND(Q46&lt;&gt;"",ISNUMBER(M46)),M46,"")</f>
        <v/>
      </c>
    </row>
    <row r="47">
      <c r="A47" s="1" t="n"/>
      <c r="B47" s="17" t="n">
        <v>46229</v>
      </c>
      <c r="C47" s="27" t="inlineStr">
        <is>
          <t>Leah Fischer</t>
        </is>
      </c>
      <c r="D47" s="28" t="n">
        <v>71.3</v>
      </c>
      <c r="E47" s="28" t="n">
        <v>29.2</v>
      </c>
      <c r="F47" s="28" t="n">
        <v>78.7</v>
      </c>
      <c r="G47" s="28" t="n">
        <v>101.2</v>
      </c>
      <c r="H47" s="28" t="n">
        <v>93.59999999999999</v>
      </c>
      <c r="I47" s="28" t="n">
        <v>30</v>
      </c>
      <c r="J47" s="28" t="n">
        <v>58.6</v>
      </c>
      <c r="K47" s="28" t="n">
        <v>50.4</v>
      </c>
      <c r="L47" s="28" t="n">
        <v>10</v>
      </c>
      <c r="M47" s="29" t="n">
        <v>5.5</v>
      </c>
      <c r="N47" s="21" t="n"/>
      <c r="O47" s="12">
        <f>IF(AND(B47="",C47=""),"",IF(NOT(ISNUMBER(B47)),"Needs a date",IF(C47="","Needs a client",IF(COUNTIF(Clients!$B$6:$B$105,C47)=0,"Not on Clients",IF(COUNT(D47:M47)=0,"Nothing measured","")))))</f>
        <v/>
      </c>
      <c r="P47" s="1">
        <f>IF(AND(O47="",ISNUMBER(B47)),INT(B47),0)</f>
        <v/>
      </c>
      <c r="Q47">
        <f>IF(AND(P47&gt;0,C47=Report!$C$5),P47*10000+ROW(),"")</f>
        <v/>
      </c>
      <c r="R47">
        <f>IF(AND(Q47&lt;&gt;"",ISNUMBER(D47)),Q47,"")</f>
        <v/>
      </c>
      <c r="S47">
        <f>IF(AND(Q47&lt;&gt;"",ISNUMBER(E47)),Q47,"")</f>
        <v/>
      </c>
      <c r="T47">
        <f>IF(AND(Q47&lt;&gt;"",ISNUMBER(F47)),Q47,"")</f>
        <v/>
      </c>
      <c r="U47">
        <f>IF(AND(Q47&lt;&gt;"",ISNUMBER(G47)),Q47,"")</f>
        <v/>
      </c>
      <c r="V47">
        <f>IF(AND(Q47&lt;&gt;"",ISNUMBER(H47)),Q47,"")</f>
        <v/>
      </c>
      <c r="W47">
        <f>IF(AND(Q47&lt;&gt;"",ISNUMBER(I47)),Q47,"")</f>
        <v/>
      </c>
      <c r="X47">
        <f>IF(AND(Q47&lt;&gt;"",ISNUMBER(J47)),Q47,"")</f>
        <v/>
      </c>
      <c r="Y47">
        <f>IF(AND(Q47&lt;&gt;"",ISNUMBER(K47)),Q47,"")</f>
        <v/>
      </c>
      <c r="Z47">
        <f>IF(AND(Q47&lt;&gt;"",ISNUMBER(L47)),Q47,"")</f>
        <v/>
      </c>
      <c r="AA47">
        <f>IF(AND(Q47&lt;&gt;"",ISNUMBER(M47)),Q47,"")</f>
        <v/>
      </c>
      <c r="AB47">
        <f>IF(AND(Q47&lt;&gt;"",ISNUMBER(K47)),K47,"")</f>
        <v/>
      </c>
      <c r="AC47">
        <f>IF(AND(Q47&lt;&gt;"",ISNUMBER(L47)),L47,"")</f>
        <v/>
      </c>
      <c r="AD47">
        <f>IF(AND(Q47&lt;&gt;"",ISNUMBER(M47)),M47,"")</f>
        <v/>
      </c>
    </row>
    <row r="48">
      <c r="A48" s="1" t="n"/>
      <c r="B48" s="17" t="n">
        <v>46233</v>
      </c>
      <c r="C48" s="27" t="inlineStr">
        <is>
          <t>Ben Carter</t>
        </is>
      </c>
      <c r="D48" s="28" t="n">
        <v>90.40000000000001</v>
      </c>
      <c r="E48" s="28" t="n">
        <v>26.6</v>
      </c>
      <c r="F48" s="28" t="n">
        <v>96.09999999999999</v>
      </c>
      <c r="G48" s="28" t="n"/>
      <c r="H48" s="28" t="n"/>
      <c r="I48" s="28" t="n"/>
      <c r="J48" s="28" t="n"/>
      <c r="K48" s="28" t="n">
        <v>81.8</v>
      </c>
      <c r="L48" s="28" t="n">
        <v>19</v>
      </c>
      <c r="M48" s="29" t="n">
        <v>5</v>
      </c>
      <c r="N48" s="21" t="n"/>
      <c r="O48" s="12">
        <f>IF(AND(B48="",C48=""),"",IF(NOT(ISNUMBER(B48)),"Needs a date",IF(C48="","Needs a client",IF(COUNTIF(Clients!$B$6:$B$105,C48)=0,"Not on Clients",IF(COUNT(D48:M48)=0,"Nothing measured","")))))</f>
        <v/>
      </c>
      <c r="P48" s="1">
        <f>IF(AND(O48="",ISNUMBER(B48)),INT(B48),0)</f>
        <v/>
      </c>
      <c r="Q48">
        <f>IF(AND(P48&gt;0,C48=Report!$C$5),P48*10000+ROW(),"")</f>
        <v/>
      </c>
      <c r="R48">
        <f>IF(AND(Q48&lt;&gt;"",ISNUMBER(D48)),Q48,"")</f>
        <v/>
      </c>
      <c r="S48">
        <f>IF(AND(Q48&lt;&gt;"",ISNUMBER(E48)),Q48,"")</f>
        <v/>
      </c>
      <c r="T48">
        <f>IF(AND(Q48&lt;&gt;"",ISNUMBER(F48)),Q48,"")</f>
        <v/>
      </c>
      <c r="U48">
        <f>IF(AND(Q48&lt;&gt;"",ISNUMBER(G48)),Q48,"")</f>
        <v/>
      </c>
      <c r="V48">
        <f>IF(AND(Q48&lt;&gt;"",ISNUMBER(H48)),Q48,"")</f>
        <v/>
      </c>
      <c r="W48">
        <f>IF(AND(Q48&lt;&gt;"",ISNUMBER(I48)),Q48,"")</f>
        <v/>
      </c>
      <c r="X48">
        <f>IF(AND(Q48&lt;&gt;"",ISNUMBER(J48)),Q48,"")</f>
        <v/>
      </c>
      <c r="Y48">
        <f>IF(AND(Q48&lt;&gt;"",ISNUMBER(K48)),Q48,"")</f>
        <v/>
      </c>
      <c r="Z48">
        <f>IF(AND(Q48&lt;&gt;"",ISNUMBER(L48)),Q48,"")</f>
        <v/>
      </c>
      <c r="AA48">
        <f>IF(AND(Q48&lt;&gt;"",ISNUMBER(M48)),Q48,"")</f>
        <v/>
      </c>
      <c r="AB48">
        <f>IF(AND(Q48&lt;&gt;"",ISNUMBER(K48)),K48,"")</f>
        <v/>
      </c>
      <c r="AC48">
        <f>IF(AND(Q48&lt;&gt;"",ISNUMBER(L48)),L48,"")</f>
        <v/>
      </c>
      <c r="AD48">
        <f>IF(AND(Q48&lt;&gt;"",ISNUMBER(M48)),M48,"")</f>
        <v/>
      </c>
    </row>
    <row r="49">
      <c r="A49" s="1" t="n"/>
      <c r="B49" s="17" t="n">
        <v>46233</v>
      </c>
      <c r="C49" s="27" t="inlineStr">
        <is>
          <t>Luis Moreno</t>
        </is>
      </c>
      <c r="D49" s="28" t="n">
        <v>69.90000000000001</v>
      </c>
      <c r="E49" s="28" t="n">
        <v>15</v>
      </c>
      <c r="F49" s="28" t="n">
        <v>78</v>
      </c>
      <c r="G49" s="28" t="n">
        <v>94</v>
      </c>
      <c r="H49" s="28" t="n">
        <v>95.90000000000001</v>
      </c>
      <c r="I49" s="28" t="n">
        <v>31</v>
      </c>
      <c r="J49" s="28" t="n">
        <v>55</v>
      </c>
      <c r="K49" s="28" t="n">
        <v>85.2</v>
      </c>
      <c r="L49" s="28" t="n">
        <v>28</v>
      </c>
      <c r="M49" s="29" t="n">
        <v>4.8</v>
      </c>
      <c r="N49" s="21" t="inlineStr">
        <is>
          <t>First check-in</t>
        </is>
      </c>
      <c r="O49" s="12">
        <f>IF(AND(B49="",C49=""),"",IF(NOT(ISNUMBER(B49)),"Needs a date",IF(C49="","Needs a client",IF(COUNTIF(Clients!$B$6:$B$105,C49)=0,"Not on Clients",IF(COUNT(D49:M49)=0,"Nothing measured","")))))</f>
        <v/>
      </c>
      <c r="P49" s="1">
        <f>IF(AND(O49="",ISNUMBER(B49)),INT(B49),0)</f>
        <v/>
      </c>
      <c r="Q49">
        <f>IF(AND(P49&gt;0,C49=Report!$C$5),P49*10000+ROW(),"")</f>
        <v/>
      </c>
      <c r="R49">
        <f>IF(AND(Q49&lt;&gt;"",ISNUMBER(D49)),Q49,"")</f>
        <v/>
      </c>
      <c r="S49">
        <f>IF(AND(Q49&lt;&gt;"",ISNUMBER(E49)),Q49,"")</f>
        <v/>
      </c>
      <c r="T49">
        <f>IF(AND(Q49&lt;&gt;"",ISNUMBER(F49)),Q49,"")</f>
        <v/>
      </c>
      <c r="U49">
        <f>IF(AND(Q49&lt;&gt;"",ISNUMBER(G49)),Q49,"")</f>
        <v/>
      </c>
      <c r="V49">
        <f>IF(AND(Q49&lt;&gt;"",ISNUMBER(H49)),Q49,"")</f>
        <v/>
      </c>
      <c r="W49">
        <f>IF(AND(Q49&lt;&gt;"",ISNUMBER(I49)),Q49,"")</f>
        <v/>
      </c>
      <c r="X49">
        <f>IF(AND(Q49&lt;&gt;"",ISNUMBER(J49)),Q49,"")</f>
        <v/>
      </c>
      <c r="Y49">
        <f>IF(AND(Q49&lt;&gt;"",ISNUMBER(K49)),Q49,"")</f>
        <v/>
      </c>
      <c r="Z49">
        <f>IF(AND(Q49&lt;&gt;"",ISNUMBER(L49)),Q49,"")</f>
        <v/>
      </c>
      <c r="AA49">
        <f>IF(AND(Q49&lt;&gt;"",ISNUMBER(M49)),Q49,"")</f>
        <v/>
      </c>
      <c r="AB49">
        <f>IF(AND(Q49&lt;&gt;"",ISNUMBER(K49)),K49,"")</f>
        <v/>
      </c>
      <c r="AC49">
        <f>IF(AND(Q49&lt;&gt;"",ISNUMBER(L49)),L49,"")</f>
        <v/>
      </c>
      <c r="AD49">
        <f>IF(AND(Q49&lt;&gt;"",ISNUMBER(M49)),M49,"")</f>
        <v/>
      </c>
    </row>
    <row r="50">
      <c r="A50" s="1" t="n"/>
      <c r="B50" s="17" t="n">
        <v>46235</v>
      </c>
      <c r="C50" s="27" t="inlineStr">
        <is>
          <t>Maya Ortiz</t>
        </is>
      </c>
      <c r="D50" s="28" t="n">
        <v>66</v>
      </c>
      <c r="E50" s="28" t="n">
        <v>24.9</v>
      </c>
      <c r="F50" s="28" t="n">
        <v>72.8</v>
      </c>
      <c r="G50" s="28" t="n"/>
      <c r="H50" s="28" t="n"/>
      <c r="I50" s="28" t="n"/>
      <c r="J50" s="28" t="n"/>
      <c r="K50" s="28" t="n">
        <v>68</v>
      </c>
      <c r="L50" s="28" t="n">
        <v>18</v>
      </c>
      <c r="M50" s="29" t="n">
        <v>4.6</v>
      </c>
      <c r="N50" s="21" t="n"/>
      <c r="O50" s="12">
        <f>IF(AND(B50="",C50=""),"",IF(NOT(ISNUMBER(B50)),"Needs a date",IF(C50="","Needs a client",IF(COUNTIF(Clients!$B$6:$B$105,C50)=0,"Not on Clients",IF(COUNT(D50:M50)=0,"Nothing measured","")))))</f>
        <v/>
      </c>
      <c r="P50" s="1">
        <f>IF(AND(O50="",ISNUMBER(B50)),INT(B50),0)</f>
        <v/>
      </c>
      <c r="Q50">
        <f>IF(AND(P50&gt;0,C50=Report!$C$5),P50*10000+ROW(),"")</f>
        <v/>
      </c>
      <c r="R50">
        <f>IF(AND(Q50&lt;&gt;"",ISNUMBER(D50)),Q50,"")</f>
        <v/>
      </c>
      <c r="S50">
        <f>IF(AND(Q50&lt;&gt;"",ISNUMBER(E50)),Q50,"")</f>
        <v/>
      </c>
      <c r="T50">
        <f>IF(AND(Q50&lt;&gt;"",ISNUMBER(F50)),Q50,"")</f>
        <v/>
      </c>
      <c r="U50">
        <f>IF(AND(Q50&lt;&gt;"",ISNUMBER(G50)),Q50,"")</f>
        <v/>
      </c>
      <c r="V50">
        <f>IF(AND(Q50&lt;&gt;"",ISNUMBER(H50)),Q50,"")</f>
        <v/>
      </c>
      <c r="W50">
        <f>IF(AND(Q50&lt;&gt;"",ISNUMBER(I50)),Q50,"")</f>
        <v/>
      </c>
      <c r="X50">
        <f>IF(AND(Q50&lt;&gt;"",ISNUMBER(J50)),Q50,"")</f>
        <v/>
      </c>
      <c r="Y50">
        <f>IF(AND(Q50&lt;&gt;"",ISNUMBER(K50)),Q50,"")</f>
        <v/>
      </c>
      <c r="Z50">
        <f>IF(AND(Q50&lt;&gt;"",ISNUMBER(L50)),Q50,"")</f>
        <v/>
      </c>
      <c r="AA50">
        <f>IF(AND(Q50&lt;&gt;"",ISNUMBER(M50)),Q50,"")</f>
        <v/>
      </c>
      <c r="AB50">
        <f>IF(AND(Q50&lt;&gt;"",ISNUMBER(K50)),K50,"")</f>
        <v/>
      </c>
      <c r="AC50">
        <f>IF(AND(Q50&lt;&gt;"",ISNUMBER(L50)),L50,"")</f>
        <v/>
      </c>
      <c r="AD50">
        <f>IF(AND(Q50&lt;&gt;"",ISNUMBER(M50)),M50,"")</f>
        <v/>
      </c>
    </row>
    <row r="51">
      <c r="A51" s="1" t="n"/>
      <c r="B51" s="17" t="n">
        <v>46249</v>
      </c>
      <c r="C51" s="27" t="inlineStr">
        <is>
          <t>Maya Ortiz</t>
        </is>
      </c>
      <c r="D51" s="28" t="n">
        <v>65.8</v>
      </c>
      <c r="E51" s="28" t="n">
        <v>24.8</v>
      </c>
      <c r="F51" s="28" t="n">
        <v>72.59999999999999</v>
      </c>
      <c r="G51" s="28" t="n">
        <v>95.7</v>
      </c>
      <c r="H51" s="28" t="n">
        <v>92</v>
      </c>
      <c r="I51" s="28" t="n">
        <v>29.8</v>
      </c>
      <c r="J51" s="28" t="n">
        <v>55.6</v>
      </c>
      <c r="K51" s="28" t="n">
        <v>69.7</v>
      </c>
      <c r="L51" s="28" t="n">
        <v>19</v>
      </c>
      <c r="M51" s="29" t="n">
        <v>4.5</v>
      </c>
      <c r="N51" s="21" t="n"/>
      <c r="O51" s="12">
        <f>IF(AND(B51="",C51=""),"",IF(NOT(ISNUMBER(B51)),"Needs a date",IF(C51="","Needs a client",IF(COUNTIF(Clients!$B$6:$B$105,C51)=0,"Not on Clients",IF(COUNT(D51:M51)=0,"Nothing measured","")))))</f>
        <v/>
      </c>
      <c r="P51" s="1">
        <f>IF(AND(O51="",ISNUMBER(B51)),INT(B51),0)</f>
        <v/>
      </c>
      <c r="Q51">
        <f>IF(AND(P51&gt;0,C51=Report!$C$5),P51*10000+ROW(),"")</f>
        <v/>
      </c>
      <c r="R51">
        <f>IF(AND(Q51&lt;&gt;"",ISNUMBER(D51)),Q51,"")</f>
        <v/>
      </c>
      <c r="S51">
        <f>IF(AND(Q51&lt;&gt;"",ISNUMBER(E51)),Q51,"")</f>
        <v/>
      </c>
      <c r="T51">
        <f>IF(AND(Q51&lt;&gt;"",ISNUMBER(F51)),Q51,"")</f>
        <v/>
      </c>
      <c r="U51">
        <f>IF(AND(Q51&lt;&gt;"",ISNUMBER(G51)),Q51,"")</f>
        <v/>
      </c>
      <c r="V51">
        <f>IF(AND(Q51&lt;&gt;"",ISNUMBER(H51)),Q51,"")</f>
        <v/>
      </c>
      <c r="W51">
        <f>IF(AND(Q51&lt;&gt;"",ISNUMBER(I51)),Q51,"")</f>
        <v/>
      </c>
      <c r="X51">
        <f>IF(AND(Q51&lt;&gt;"",ISNUMBER(J51)),Q51,"")</f>
        <v/>
      </c>
      <c r="Y51">
        <f>IF(AND(Q51&lt;&gt;"",ISNUMBER(K51)),Q51,"")</f>
        <v/>
      </c>
      <c r="Z51">
        <f>IF(AND(Q51&lt;&gt;"",ISNUMBER(L51)),Q51,"")</f>
        <v/>
      </c>
      <c r="AA51">
        <f>IF(AND(Q51&lt;&gt;"",ISNUMBER(M51)),Q51,"")</f>
        <v/>
      </c>
      <c r="AB51">
        <f>IF(AND(Q51&lt;&gt;"",ISNUMBER(K51)),K51,"")</f>
        <v/>
      </c>
      <c r="AC51">
        <f>IF(AND(Q51&lt;&gt;"",ISNUMBER(L51)),L51,"")</f>
        <v/>
      </c>
      <c r="AD51">
        <f>IF(AND(Q51&lt;&gt;"",ISNUMBER(M51)),M51,"")</f>
        <v/>
      </c>
    </row>
    <row r="52">
      <c r="A52" s="1" t="n"/>
      <c r="B52" s="17" t="n">
        <v>46249</v>
      </c>
      <c r="C52" s="27" t="inlineStr">
        <is>
          <t>Omar Haddad</t>
        </is>
      </c>
      <c r="D52" s="28" t="n">
        <v>84</v>
      </c>
      <c r="E52" s="28" t="n">
        <v>17.8</v>
      </c>
      <c r="F52" s="28" t="n">
        <v>86</v>
      </c>
      <c r="G52" s="28" t="n">
        <v>99</v>
      </c>
      <c r="H52" s="28" t="n">
        <v>104.4</v>
      </c>
      <c r="I52" s="28" t="n">
        <v>34.3</v>
      </c>
      <c r="J52" s="28" t="n">
        <v>58.2</v>
      </c>
      <c r="K52" s="28" t="n">
        <v>104.7</v>
      </c>
      <c r="L52" s="28" t="n">
        <v>32</v>
      </c>
      <c r="M52" s="29" t="n">
        <v>4.2</v>
      </c>
      <c r="N52" s="21" t="n"/>
      <c r="O52" s="12">
        <f>IF(AND(B52="",C52=""),"",IF(NOT(ISNUMBER(B52)),"Needs a date",IF(C52="","Needs a client",IF(COUNTIF(Clients!$B$6:$B$105,C52)=0,"Not on Clients",IF(COUNT(D52:M52)=0,"Nothing measured","")))))</f>
        <v/>
      </c>
      <c r="P52" s="1">
        <f>IF(AND(O52="",ISNUMBER(B52)),INT(B52),0)</f>
        <v/>
      </c>
      <c r="Q52">
        <f>IF(AND(P52&gt;0,C52=Report!$C$5),P52*10000+ROW(),"")</f>
        <v/>
      </c>
      <c r="R52">
        <f>IF(AND(Q52&lt;&gt;"",ISNUMBER(D52)),Q52,"")</f>
        <v/>
      </c>
      <c r="S52">
        <f>IF(AND(Q52&lt;&gt;"",ISNUMBER(E52)),Q52,"")</f>
        <v/>
      </c>
      <c r="T52">
        <f>IF(AND(Q52&lt;&gt;"",ISNUMBER(F52)),Q52,"")</f>
        <v/>
      </c>
      <c r="U52">
        <f>IF(AND(Q52&lt;&gt;"",ISNUMBER(G52)),Q52,"")</f>
        <v/>
      </c>
      <c r="V52">
        <f>IF(AND(Q52&lt;&gt;"",ISNUMBER(H52)),Q52,"")</f>
        <v/>
      </c>
      <c r="W52">
        <f>IF(AND(Q52&lt;&gt;"",ISNUMBER(I52)),Q52,"")</f>
        <v/>
      </c>
      <c r="X52">
        <f>IF(AND(Q52&lt;&gt;"",ISNUMBER(J52)),Q52,"")</f>
        <v/>
      </c>
      <c r="Y52">
        <f>IF(AND(Q52&lt;&gt;"",ISNUMBER(K52)),Q52,"")</f>
        <v/>
      </c>
      <c r="Z52">
        <f>IF(AND(Q52&lt;&gt;"",ISNUMBER(L52)),Q52,"")</f>
        <v/>
      </c>
      <c r="AA52">
        <f>IF(AND(Q52&lt;&gt;"",ISNUMBER(M52)),Q52,"")</f>
        <v/>
      </c>
      <c r="AB52">
        <f>IF(AND(Q52&lt;&gt;"",ISNUMBER(K52)),K52,"")</f>
        <v/>
      </c>
      <c r="AC52">
        <f>IF(AND(Q52&lt;&gt;"",ISNUMBER(L52)),L52,"")</f>
        <v/>
      </c>
      <c r="AD52">
        <f>IF(AND(Q52&lt;&gt;"",ISNUMBER(M52)),M52,"")</f>
        <v/>
      </c>
    </row>
    <row r="53">
      <c r="A53" s="1" t="n"/>
      <c r="B53" s="17" t="n">
        <v>46253</v>
      </c>
      <c r="C53" s="27" t="inlineStr">
        <is>
          <t>Priya Nair</t>
        </is>
      </c>
      <c r="D53" s="28" t="n">
        <v>61</v>
      </c>
      <c r="E53" s="28" t="n">
        <v>24</v>
      </c>
      <c r="F53" s="28" t="n">
        <v>69</v>
      </c>
      <c r="G53" s="28" t="n"/>
      <c r="H53" s="28" t="n"/>
      <c r="I53" s="28" t="n"/>
      <c r="J53" s="28" t="n"/>
      <c r="K53" s="28" t="n">
        <v>46.9</v>
      </c>
      <c r="L53" s="28" t="n">
        <v>9</v>
      </c>
      <c r="M53" s="29" t="n">
        <v>5.2</v>
      </c>
      <c r="N53" s="21" t="n"/>
      <c r="O53" s="12">
        <f>IF(AND(B53="",C53=""),"",IF(NOT(ISNUMBER(B53)),"Needs a date",IF(C53="","Needs a client",IF(COUNTIF(Clients!$B$6:$B$105,C53)=0,"Not on Clients",IF(COUNT(D53:M53)=0,"Nothing measured","")))))</f>
        <v/>
      </c>
      <c r="P53" s="1">
        <f>IF(AND(O53="",ISNUMBER(B53)),INT(B53),0)</f>
        <v/>
      </c>
      <c r="Q53">
        <f>IF(AND(P53&gt;0,C53=Report!$C$5),P53*10000+ROW(),"")</f>
        <v/>
      </c>
      <c r="R53">
        <f>IF(AND(Q53&lt;&gt;"",ISNUMBER(D53)),Q53,"")</f>
        <v/>
      </c>
      <c r="S53">
        <f>IF(AND(Q53&lt;&gt;"",ISNUMBER(E53)),Q53,"")</f>
        <v/>
      </c>
      <c r="T53">
        <f>IF(AND(Q53&lt;&gt;"",ISNUMBER(F53)),Q53,"")</f>
        <v/>
      </c>
      <c r="U53">
        <f>IF(AND(Q53&lt;&gt;"",ISNUMBER(G53)),Q53,"")</f>
        <v/>
      </c>
      <c r="V53">
        <f>IF(AND(Q53&lt;&gt;"",ISNUMBER(H53)),Q53,"")</f>
        <v/>
      </c>
      <c r="W53">
        <f>IF(AND(Q53&lt;&gt;"",ISNUMBER(I53)),Q53,"")</f>
        <v/>
      </c>
      <c r="X53">
        <f>IF(AND(Q53&lt;&gt;"",ISNUMBER(J53)),Q53,"")</f>
        <v/>
      </c>
      <c r="Y53">
        <f>IF(AND(Q53&lt;&gt;"",ISNUMBER(K53)),Q53,"")</f>
        <v/>
      </c>
      <c r="Z53">
        <f>IF(AND(Q53&lt;&gt;"",ISNUMBER(L53)),Q53,"")</f>
        <v/>
      </c>
      <c r="AA53">
        <f>IF(AND(Q53&lt;&gt;"",ISNUMBER(M53)),Q53,"")</f>
        <v/>
      </c>
      <c r="AB53">
        <f>IF(AND(Q53&lt;&gt;"",ISNUMBER(K53)),K53,"")</f>
        <v/>
      </c>
      <c r="AC53">
        <f>IF(AND(Q53&lt;&gt;"",ISNUMBER(L53)),L53,"")</f>
        <v/>
      </c>
      <c r="AD53">
        <f>IF(AND(Q53&lt;&gt;"",ISNUMBER(M53)),M53,"")</f>
        <v/>
      </c>
    </row>
    <row r="54">
      <c r="A54" s="1" t="n"/>
      <c r="B54" s="17" t="n">
        <v>46255</v>
      </c>
      <c r="C54" s="27" t="inlineStr">
        <is>
          <t>Tom Walsh</t>
        </is>
      </c>
      <c r="D54" s="28" t="n">
        <v>77.59999999999999</v>
      </c>
      <c r="E54" s="28" t="n">
        <v>19.2</v>
      </c>
      <c r="F54" s="28" t="n">
        <v>83.2</v>
      </c>
      <c r="G54" s="28" t="n">
        <v>97</v>
      </c>
      <c r="H54" s="28" t="n">
        <v>100.8</v>
      </c>
      <c r="I54" s="28" t="n">
        <v>32.5</v>
      </c>
      <c r="J54" s="28" t="n">
        <v>56</v>
      </c>
      <c r="K54" s="28" t="n">
        <v>88</v>
      </c>
      <c r="L54" s="28" t="n">
        <v>31</v>
      </c>
      <c r="M54" s="29" t="n">
        <v>4.5</v>
      </c>
      <c r="N54" s="21" t="n"/>
      <c r="O54" s="12">
        <f>IF(AND(B54="",C54=""),"",IF(NOT(ISNUMBER(B54)),"Needs a date",IF(C54="","Needs a client",IF(COUNTIF(Clients!$B$6:$B$105,C54)=0,"Not on Clients",IF(COUNT(D54:M54)=0,"Nothing measured","")))))</f>
        <v/>
      </c>
      <c r="P54" s="1">
        <f>IF(AND(O54="",ISNUMBER(B54)),INT(B54),0)</f>
        <v/>
      </c>
      <c r="Q54">
        <f>IF(AND(P54&gt;0,C54=Report!$C$5),P54*10000+ROW(),"")</f>
        <v/>
      </c>
      <c r="R54">
        <f>IF(AND(Q54&lt;&gt;"",ISNUMBER(D54)),Q54,"")</f>
        <v/>
      </c>
      <c r="S54">
        <f>IF(AND(Q54&lt;&gt;"",ISNUMBER(E54)),Q54,"")</f>
        <v/>
      </c>
      <c r="T54">
        <f>IF(AND(Q54&lt;&gt;"",ISNUMBER(F54)),Q54,"")</f>
        <v/>
      </c>
      <c r="U54">
        <f>IF(AND(Q54&lt;&gt;"",ISNUMBER(G54)),Q54,"")</f>
        <v/>
      </c>
      <c r="V54">
        <f>IF(AND(Q54&lt;&gt;"",ISNUMBER(H54)),Q54,"")</f>
        <v/>
      </c>
      <c r="W54">
        <f>IF(AND(Q54&lt;&gt;"",ISNUMBER(I54)),Q54,"")</f>
        <v/>
      </c>
      <c r="X54">
        <f>IF(AND(Q54&lt;&gt;"",ISNUMBER(J54)),Q54,"")</f>
        <v/>
      </c>
      <c r="Y54">
        <f>IF(AND(Q54&lt;&gt;"",ISNUMBER(K54)),Q54,"")</f>
        <v/>
      </c>
      <c r="Z54">
        <f>IF(AND(Q54&lt;&gt;"",ISNUMBER(L54)),Q54,"")</f>
        <v/>
      </c>
      <c r="AA54">
        <f>IF(AND(Q54&lt;&gt;"",ISNUMBER(M54)),Q54,"")</f>
        <v/>
      </c>
      <c r="AB54">
        <f>IF(AND(Q54&lt;&gt;"",ISNUMBER(K54)),K54,"")</f>
        <v/>
      </c>
      <c r="AC54">
        <f>IF(AND(Q54&lt;&gt;"",ISNUMBER(L54)),L54,"")</f>
        <v/>
      </c>
      <c r="AD54">
        <f>IF(AND(Q54&lt;&gt;"",ISNUMBER(M54)),M54,"")</f>
        <v/>
      </c>
    </row>
    <row r="55">
      <c r="A55" s="1" t="n"/>
      <c r="B55" s="17" t="n">
        <v>46257</v>
      </c>
      <c r="C55" s="27" t="inlineStr">
        <is>
          <t>Leah Fischer</t>
        </is>
      </c>
      <c r="D55" s="28" t="n">
        <v>70.7</v>
      </c>
      <c r="E55" s="28" t="n">
        <v>28.8</v>
      </c>
      <c r="F55" s="28" t="n">
        <v>78.2</v>
      </c>
      <c r="G55" s="28" t="n"/>
      <c r="H55" s="28" t="n"/>
      <c r="I55" s="28" t="n"/>
      <c r="J55" s="28" t="n"/>
      <c r="K55" s="28" t="n">
        <v>53.3</v>
      </c>
      <c r="L55" s="28" t="n">
        <v>11</v>
      </c>
      <c r="M55" s="29" t="n">
        <v>5.4</v>
      </c>
      <c r="N55" s="21" t="n"/>
      <c r="O55" s="12">
        <f>IF(AND(B55="",C55=""),"",IF(NOT(ISNUMBER(B55)),"Needs a date",IF(C55="","Needs a client",IF(COUNTIF(Clients!$B$6:$B$105,C55)=0,"Not on Clients",IF(COUNT(D55:M55)=0,"Nothing measured","")))))</f>
        <v/>
      </c>
      <c r="P55" s="1">
        <f>IF(AND(O55="",ISNUMBER(B55)),INT(B55),0)</f>
        <v/>
      </c>
      <c r="Q55">
        <f>IF(AND(P55&gt;0,C55=Report!$C$5),P55*10000+ROW(),"")</f>
        <v/>
      </c>
      <c r="R55">
        <f>IF(AND(Q55&lt;&gt;"",ISNUMBER(D55)),Q55,"")</f>
        <v/>
      </c>
      <c r="S55">
        <f>IF(AND(Q55&lt;&gt;"",ISNUMBER(E55)),Q55,"")</f>
        <v/>
      </c>
      <c r="T55">
        <f>IF(AND(Q55&lt;&gt;"",ISNUMBER(F55)),Q55,"")</f>
        <v/>
      </c>
      <c r="U55">
        <f>IF(AND(Q55&lt;&gt;"",ISNUMBER(G55)),Q55,"")</f>
        <v/>
      </c>
      <c r="V55">
        <f>IF(AND(Q55&lt;&gt;"",ISNUMBER(H55)),Q55,"")</f>
        <v/>
      </c>
      <c r="W55">
        <f>IF(AND(Q55&lt;&gt;"",ISNUMBER(I55)),Q55,"")</f>
        <v/>
      </c>
      <c r="X55">
        <f>IF(AND(Q55&lt;&gt;"",ISNUMBER(J55)),Q55,"")</f>
        <v/>
      </c>
      <c r="Y55">
        <f>IF(AND(Q55&lt;&gt;"",ISNUMBER(K55)),Q55,"")</f>
        <v/>
      </c>
      <c r="Z55">
        <f>IF(AND(Q55&lt;&gt;"",ISNUMBER(L55)),Q55,"")</f>
        <v/>
      </c>
      <c r="AA55">
        <f>IF(AND(Q55&lt;&gt;"",ISNUMBER(M55)),Q55,"")</f>
        <v/>
      </c>
      <c r="AB55">
        <f>IF(AND(Q55&lt;&gt;"",ISNUMBER(K55)),K55,"")</f>
        <v/>
      </c>
      <c r="AC55">
        <f>IF(AND(Q55&lt;&gt;"",ISNUMBER(L55)),L55,"")</f>
        <v/>
      </c>
      <c r="AD55">
        <f>IF(AND(Q55&lt;&gt;"",ISNUMBER(M55)),M55,"")</f>
        <v/>
      </c>
    </row>
    <row r="56">
      <c r="A56" s="1" t="n"/>
      <c r="B56" s="17" t="n">
        <v>46261</v>
      </c>
      <c r="C56" s="27" t="inlineStr">
        <is>
          <t>Ben Carter</t>
        </is>
      </c>
      <c r="D56" s="28" t="n">
        <v>89.3</v>
      </c>
      <c r="E56" s="28" t="n">
        <v>26.1</v>
      </c>
      <c r="F56" s="28" t="n">
        <v>94.90000000000001</v>
      </c>
      <c r="G56" s="28" t="n">
        <v>104.4</v>
      </c>
      <c r="H56" s="28" t="n">
        <v>107.6</v>
      </c>
      <c r="I56" s="28" t="n">
        <v>35</v>
      </c>
      <c r="J56" s="28" t="n">
        <v>59.7</v>
      </c>
      <c r="K56" s="28" t="n">
        <v>84.40000000000001</v>
      </c>
      <c r="L56" s="28" t="n">
        <v>20</v>
      </c>
      <c r="M56" s="29" t="n">
        <v>4.9</v>
      </c>
      <c r="N56" s="21" t="n"/>
      <c r="O56" s="12">
        <f>IF(AND(B56="",C56=""),"",IF(NOT(ISNUMBER(B56)),"Needs a date",IF(C56="","Needs a client",IF(COUNTIF(Clients!$B$6:$B$105,C56)=0,"Not on Clients",IF(COUNT(D56:M56)=0,"Nothing measured","")))))</f>
        <v/>
      </c>
      <c r="P56" s="1">
        <f>IF(AND(O56="",ISNUMBER(B56)),INT(B56),0)</f>
        <v/>
      </c>
      <c r="Q56">
        <f>IF(AND(P56&gt;0,C56=Report!$C$5),P56*10000+ROW(),"")</f>
        <v/>
      </c>
      <c r="R56">
        <f>IF(AND(Q56&lt;&gt;"",ISNUMBER(D56)),Q56,"")</f>
        <v/>
      </c>
      <c r="S56">
        <f>IF(AND(Q56&lt;&gt;"",ISNUMBER(E56)),Q56,"")</f>
        <v/>
      </c>
      <c r="T56">
        <f>IF(AND(Q56&lt;&gt;"",ISNUMBER(F56)),Q56,"")</f>
        <v/>
      </c>
      <c r="U56">
        <f>IF(AND(Q56&lt;&gt;"",ISNUMBER(G56)),Q56,"")</f>
        <v/>
      </c>
      <c r="V56">
        <f>IF(AND(Q56&lt;&gt;"",ISNUMBER(H56)),Q56,"")</f>
        <v/>
      </c>
      <c r="W56">
        <f>IF(AND(Q56&lt;&gt;"",ISNUMBER(I56)),Q56,"")</f>
        <v/>
      </c>
      <c r="X56">
        <f>IF(AND(Q56&lt;&gt;"",ISNUMBER(J56)),Q56,"")</f>
        <v/>
      </c>
      <c r="Y56">
        <f>IF(AND(Q56&lt;&gt;"",ISNUMBER(K56)),Q56,"")</f>
        <v/>
      </c>
      <c r="Z56">
        <f>IF(AND(Q56&lt;&gt;"",ISNUMBER(L56)),Q56,"")</f>
        <v/>
      </c>
      <c r="AA56">
        <f>IF(AND(Q56&lt;&gt;"",ISNUMBER(M56)),Q56,"")</f>
        <v/>
      </c>
      <c r="AB56">
        <f>IF(AND(Q56&lt;&gt;"",ISNUMBER(K56)),K56,"")</f>
        <v/>
      </c>
      <c r="AC56">
        <f>IF(AND(Q56&lt;&gt;"",ISNUMBER(L56)),L56,"")</f>
        <v/>
      </c>
      <c r="AD56">
        <f>IF(AND(Q56&lt;&gt;"",ISNUMBER(M56)),M56,"")</f>
        <v/>
      </c>
    </row>
    <row r="57">
      <c r="A57" s="1" t="n"/>
      <c r="B57" s="17" t="n">
        <v>46261</v>
      </c>
      <c r="C57" s="27" t="inlineStr">
        <is>
          <t>Luis Moreno</t>
        </is>
      </c>
      <c r="D57" s="28" t="n">
        <v>70.40000000000001</v>
      </c>
      <c r="E57" s="28" t="n">
        <v>15</v>
      </c>
      <c r="F57" s="28" t="n">
        <v>78.09999999999999</v>
      </c>
      <c r="G57" s="28" t="n"/>
      <c r="H57" s="28" t="n"/>
      <c r="I57" s="28" t="n"/>
      <c r="J57" s="28" t="n"/>
      <c r="K57" s="28" t="n">
        <v>89.3</v>
      </c>
      <c r="L57" s="28" t="n">
        <v>29</v>
      </c>
      <c r="M57" s="29" t="n">
        <v>4.8</v>
      </c>
      <c r="N57" s="21" t="n"/>
      <c r="O57" s="12">
        <f>IF(AND(B57="",C57=""),"",IF(NOT(ISNUMBER(B57)),"Needs a date",IF(C57="","Needs a client",IF(COUNTIF(Clients!$B$6:$B$105,C57)=0,"Not on Clients",IF(COUNT(D57:M57)=0,"Nothing measured","")))))</f>
        <v/>
      </c>
      <c r="P57" s="1">
        <f>IF(AND(O57="",ISNUMBER(B57)),INT(B57),0)</f>
        <v/>
      </c>
      <c r="Q57">
        <f>IF(AND(P57&gt;0,C57=Report!$C$5),P57*10000+ROW(),"")</f>
        <v/>
      </c>
      <c r="R57">
        <f>IF(AND(Q57&lt;&gt;"",ISNUMBER(D57)),Q57,"")</f>
        <v/>
      </c>
      <c r="S57">
        <f>IF(AND(Q57&lt;&gt;"",ISNUMBER(E57)),Q57,"")</f>
        <v/>
      </c>
      <c r="T57">
        <f>IF(AND(Q57&lt;&gt;"",ISNUMBER(F57)),Q57,"")</f>
        <v/>
      </c>
      <c r="U57">
        <f>IF(AND(Q57&lt;&gt;"",ISNUMBER(G57)),Q57,"")</f>
        <v/>
      </c>
      <c r="V57">
        <f>IF(AND(Q57&lt;&gt;"",ISNUMBER(H57)),Q57,"")</f>
        <v/>
      </c>
      <c r="W57">
        <f>IF(AND(Q57&lt;&gt;"",ISNUMBER(I57)),Q57,"")</f>
        <v/>
      </c>
      <c r="X57">
        <f>IF(AND(Q57&lt;&gt;"",ISNUMBER(J57)),Q57,"")</f>
        <v/>
      </c>
      <c r="Y57">
        <f>IF(AND(Q57&lt;&gt;"",ISNUMBER(K57)),Q57,"")</f>
        <v/>
      </c>
      <c r="Z57">
        <f>IF(AND(Q57&lt;&gt;"",ISNUMBER(L57)),Q57,"")</f>
        <v/>
      </c>
      <c r="AA57">
        <f>IF(AND(Q57&lt;&gt;"",ISNUMBER(M57)),Q57,"")</f>
        <v/>
      </c>
      <c r="AB57">
        <f>IF(AND(Q57&lt;&gt;"",ISNUMBER(K57)),K57,"")</f>
        <v/>
      </c>
      <c r="AC57">
        <f>IF(AND(Q57&lt;&gt;"",ISNUMBER(L57)),L57,"")</f>
        <v/>
      </c>
      <c r="AD57">
        <f>IF(AND(Q57&lt;&gt;"",ISNUMBER(M57)),M57,"")</f>
        <v/>
      </c>
    </row>
    <row r="58">
      <c r="A58" s="1" t="n"/>
      <c r="B58" s="17" t="n">
        <v>46263</v>
      </c>
      <c r="C58" s="27" t="inlineStr">
        <is>
          <t>Maya Ortiz</t>
        </is>
      </c>
      <c r="D58" s="28" t="n">
        <v>65.59999999999999</v>
      </c>
      <c r="E58" s="28" t="n">
        <v>24.6</v>
      </c>
      <c r="F58" s="28" t="n">
        <v>72.5</v>
      </c>
      <c r="G58" s="28" t="n"/>
      <c r="H58" s="28" t="n"/>
      <c r="I58" s="28" t="n"/>
      <c r="J58" s="28" t="n"/>
      <c r="K58" s="28" t="n">
        <v>71</v>
      </c>
      <c r="L58" s="28" t="n">
        <v>20</v>
      </c>
      <c r="M58" s="29" t="n">
        <v>4.5</v>
      </c>
      <c r="N58" s="21" t="n"/>
      <c r="O58" s="12">
        <f>IF(AND(B58="",C58=""),"",IF(NOT(ISNUMBER(B58)),"Needs a date",IF(C58="","Needs a client",IF(COUNTIF(Clients!$B$6:$B$105,C58)=0,"Not on Clients",IF(COUNT(D58:M58)=0,"Nothing measured","")))))</f>
        <v/>
      </c>
      <c r="P58" s="1">
        <f>IF(AND(O58="",ISNUMBER(B58)),INT(B58),0)</f>
        <v/>
      </c>
      <c r="Q58">
        <f>IF(AND(P58&gt;0,C58=Report!$C$5),P58*10000+ROW(),"")</f>
        <v/>
      </c>
      <c r="R58">
        <f>IF(AND(Q58&lt;&gt;"",ISNUMBER(D58)),Q58,"")</f>
        <v/>
      </c>
      <c r="S58">
        <f>IF(AND(Q58&lt;&gt;"",ISNUMBER(E58)),Q58,"")</f>
        <v/>
      </c>
      <c r="T58">
        <f>IF(AND(Q58&lt;&gt;"",ISNUMBER(F58)),Q58,"")</f>
        <v/>
      </c>
      <c r="U58">
        <f>IF(AND(Q58&lt;&gt;"",ISNUMBER(G58)),Q58,"")</f>
        <v/>
      </c>
      <c r="V58">
        <f>IF(AND(Q58&lt;&gt;"",ISNUMBER(H58)),Q58,"")</f>
        <v/>
      </c>
      <c r="W58">
        <f>IF(AND(Q58&lt;&gt;"",ISNUMBER(I58)),Q58,"")</f>
        <v/>
      </c>
      <c r="X58">
        <f>IF(AND(Q58&lt;&gt;"",ISNUMBER(J58)),Q58,"")</f>
        <v/>
      </c>
      <c r="Y58">
        <f>IF(AND(Q58&lt;&gt;"",ISNUMBER(K58)),Q58,"")</f>
        <v/>
      </c>
      <c r="Z58">
        <f>IF(AND(Q58&lt;&gt;"",ISNUMBER(L58)),Q58,"")</f>
        <v/>
      </c>
      <c r="AA58">
        <f>IF(AND(Q58&lt;&gt;"",ISNUMBER(M58)),Q58,"")</f>
        <v/>
      </c>
      <c r="AB58">
        <f>IF(AND(Q58&lt;&gt;"",ISNUMBER(K58)),K58,"")</f>
        <v/>
      </c>
      <c r="AC58">
        <f>IF(AND(Q58&lt;&gt;"",ISNUMBER(L58)),L58,"")</f>
        <v/>
      </c>
      <c r="AD58">
        <f>IF(AND(Q58&lt;&gt;"",ISNUMBER(M58)),M58,"")</f>
        <v/>
      </c>
    </row>
    <row r="59">
      <c r="A59" s="1" t="n"/>
      <c r="B59" s="17" t="n">
        <v>46263</v>
      </c>
      <c r="C59" s="27" t="inlineStr">
        <is>
          <t>Sam Taylor</t>
        </is>
      </c>
      <c r="D59" s="28" t="n">
        <v>87.90000000000001</v>
      </c>
      <c r="E59" s="28" t="n">
        <v>26</v>
      </c>
      <c r="F59" s="28" t="n">
        <v>94</v>
      </c>
      <c r="G59" s="28" t="n">
        <v>104</v>
      </c>
      <c r="H59" s="28" t="n">
        <v>106</v>
      </c>
      <c r="I59" s="28" t="n">
        <v>33</v>
      </c>
      <c r="J59" s="28" t="n">
        <v>60</v>
      </c>
      <c r="K59" s="28" t="n">
        <v>55.2</v>
      </c>
      <c r="L59" s="28" t="n">
        <v>10</v>
      </c>
      <c r="M59" s="29" t="n">
        <v>5.5</v>
      </c>
      <c r="N59" s="21" t="inlineStr">
        <is>
          <t>First check-in</t>
        </is>
      </c>
      <c r="O59" s="12">
        <f>IF(AND(B59="",C59=""),"",IF(NOT(ISNUMBER(B59)),"Needs a date",IF(C59="","Needs a client",IF(COUNTIF(Clients!$B$6:$B$105,C59)=0,"Not on Clients",IF(COUNT(D59:M59)=0,"Nothing measured","")))))</f>
        <v/>
      </c>
      <c r="P59" s="1">
        <f>IF(AND(O59="",ISNUMBER(B59)),INT(B59),0)</f>
        <v/>
      </c>
      <c r="Q59">
        <f>IF(AND(P59&gt;0,C59=Report!$C$5),P59*10000+ROW(),"")</f>
        <v/>
      </c>
      <c r="R59">
        <f>IF(AND(Q59&lt;&gt;"",ISNUMBER(D59)),Q59,"")</f>
        <v/>
      </c>
      <c r="S59">
        <f>IF(AND(Q59&lt;&gt;"",ISNUMBER(E59)),Q59,"")</f>
        <v/>
      </c>
      <c r="T59">
        <f>IF(AND(Q59&lt;&gt;"",ISNUMBER(F59)),Q59,"")</f>
        <v/>
      </c>
      <c r="U59">
        <f>IF(AND(Q59&lt;&gt;"",ISNUMBER(G59)),Q59,"")</f>
        <v/>
      </c>
      <c r="V59">
        <f>IF(AND(Q59&lt;&gt;"",ISNUMBER(H59)),Q59,"")</f>
        <v/>
      </c>
      <c r="W59">
        <f>IF(AND(Q59&lt;&gt;"",ISNUMBER(I59)),Q59,"")</f>
        <v/>
      </c>
      <c r="X59">
        <f>IF(AND(Q59&lt;&gt;"",ISNUMBER(J59)),Q59,"")</f>
        <v/>
      </c>
      <c r="Y59">
        <f>IF(AND(Q59&lt;&gt;"",ISNUMBER(K59)),Q59,"")</f>
        <v/>
      </c>
      <c r="Z59">
        <f>IF(AND(Q59&lt;&gt;"",ISNUMBER(L59)),Q59,"")</f>
        <v/>
      </c>
      <c r="AA59">
        <f>IF(AND(Q59&lt;&gt;"",ISNUMBER(M59)),Q59,"")</f>
        <v/>
      </c>
      <c r="AB59">
        <f>IF(AND(Q59&lt;&gt;"",ISNUMBER(K59)),K59,"")</f>
        <v/>
      </c>
      <c r="AC59">
        <f>IF(AND(Q59&lt;&gt;"",ISNUMBER(L59)),L59,"")</f>
        <v/>
      </c>
      <c r="AD59">
        <f>IF(AND(Q59&lt;&gt;"",ISNUMBER(M59)),M59,"")</f>
        <v/>
      </c>
    </row>
    <row r="60">
      <c r="A60" s="1" t="n"/>
      <c r="B60" s="17" t="n">
        <v>46277</v>
      </c>
      <c r="C60" s="27" t="inlineStr">
        <is>
          <t>Maya Ortiz</t>
        </is>
      </c>
      <c r="D60" s="28" t="n">
        <v>65.5</v>
      </c>
      <c r="E60" s="28" t="n">
        <v>24.4</v>
      </c>
      <c r="F60" s="28" t="n">
        <v>72.09999999999999</v>
      </c>
      <c r="G60" s="28" t="n">
        <v>95.5</v>
      </c>
      <c r="H60" s="28" t="n">
        <v>92</v>
      </c>
      <c r="I60" s="28" t="n">
        <v>30</v>
      </c>
      <c r="J60" s="28" t="n">
        <v>55.4</v>
      </c>
      <c r="K60" s="28" t="n">
        <v>72.2</v>
      </c>
      <c r="L60" s="28" t="n">
        <v>20</v>
      </c>
      <c r="M60" s="29" t="n">
        <v>4.5</v>
      </c>
      <c r="N60" s="21" t="inlineStr">
        <is>
          <t>Squat and row up again.</t>
        </is>
      </c>
      <c r="O60" s="12">
        <f>IF(AND(B60="",C60=""),"",IF(NOT(ISNUMBER(B60)),"Needs a date",IF(C60="","Needs a client",IF(COUNTIF(Clients!$B$6:$B$105,C60)=0,"Not on Clients",IF(COUNT(D60:M60)=0,"Nothing measured","")))))</f>
        <v/>
      </c>
      <c r="P60" s="1">
        <f>IF(AND(O60="",ISNUMBER(B60)),INT(B60),0)</f>
        <v/>
      </c>
      <c r="Q60">
        <f>IF(AND(P60&gt;0,C60=Report!$C$5),P60*10000+ROW(),"")</f>
        <v/>
      </c>
      <c r="R60">
        <f>IF(AND(Q60&lt;&gt;"",ISNUMBER(D60)),Q60,"")</f>
        <v/>
      </c>
      <c r="S60">
        <f>IF(AND(Q60&lt;&gt;"",ISNUMBER(E60)),Q60,"")</f>
        <v/>
      </c>
      <c r="T60">
        <f>IF(AND(Q60&lt;&gt;"",ISNUMBER(F60)),Q60,"")</f>
        <v/>
      </c>
      <c r="U60">
        <f>IF(AND(Q60&lt;&gt;"",ISNUMBER(G60)),Q60,"")</f>
        <v/>
      </c>
      <c r="V60">
        <f>IF(AND(Q60&lt;&gt;"",ISNUMBER(H60)),Q60,"")</f>
        <v/>
      </c>
      <c r="W60">
        <f>IF(AND(Q60&lt;&gt;"",ISNUMBER(I60)),Q60,"")</f>
        <v/>
      </c>
      <c r="X60">
        <f>IF(AND(Q60&lt;&gt;"",ISNUMBER(J60)),Q60,"")</f>
        <v/>
      </c>
      <c r="Y60">
        <f>IF(AND(Q60&lt;&gt;"",ISNUMBER(K60)),Q60,"")</f>
        <v/>
      </c>
      <c r="Z60">
        <f>IF(AND(Q60&lt;&gt;"",ISNUMBER(L60)),Q60,"")</f>
        <v/>
      </c>
      <c r="AA60">
        <f>IF(AND(Q60&lt;&gt;"",ISNUMBER(M60)),Q60,"")</f>
        <v/>
      </c>
      <c r="AB60">
        <f>IF(AND(Q60&lt;&gt;"",ISNUMBER(K60)),K60,"")</f>
        <v/>
      </c>
      <c r="AC60">
        <f>IF(AND(Q60&lt;&gt;"",ISNUMBER(L60)),L60,"")</f>
        <v/>
      </c>
      <c r="AD60">
        <f>IF(AND(Q60&lt;&gt;"",ISNUMBER(M60)),M60,"")</f>
        <v/>
      </c>
    </row>
    <row r="61">
      <c r="A61" s="1" t="n"/>
      <c r="B61" s="17" t="n">
        <v>46277</v>
      </c>
      <c r="C61" s="27" t="inlineStr">
        <is>
          <t>Omar Haddad</t>
        </is>
      </c>
      <c r="D61" s="28" t="n">
        <v>84</v>
      </c>
      <c r="E61" s="28" t="n">
        <v>17.7</v>
      </c>
      <c r="F61" s="28" t="n">
        <v>86</v>
      </c>
      <c r="G61" s="28" t="n"/>
      <c r="H61" s="28" t="n"/>
      <c r="I61" s="28" t="n"/>
      <c r="J61" s="28" t="n"/>
      <c r="K61" s="28" t="n">
        <v>107.4</v>
      </c>
      <c r="L61" s="28" t="n">
        <v>33</v>
      </c>
      <c r="M61" s="29" t="n">
        <v>4.2</v>
      </c>
      <c r="N61" s="21" t="n"/>
      <c r="O61" s="12">
        <f>IF(AND(B61="",C61=""),"",IF(NOT(ISNUMBER(B61)),"Needs a date",IF(C61="","Needs a client",IF(COUNTIF(Clients!$B$6:$B$105,C61)=0,"Not on Clients",IF(COUNT(D61:M61)=0,"Nothing measured","")))))</f>
        <v/>
      </c>
      <c r="P61" s="1">
        <f>IF(AND(O61="",ISNUMBER(B61)),INT(B61),0)</f>
        <v/>
      </c>
      <c r="Q61">
        <f>IF(AND(P61&gt;0,C61=Report!$C$5),P61*10000+ROW(),"")</f>
        <v/>
      </c>
      <c r="R61">
        <f>IF(AND(Q61&lt;&gt;"",ISNUMBER(D61)),Q61,"")</f>
        <v/>
      </c>
      <c r="S61">
        <f>IF(AND(Q61&lt;&gt;"",ISNUMBER(E61)),Q61,"")</f>
        <v/>
      </c>
      <c r="T61">
        <f>IF(AND(Q61&lt;&gt;"",ISNUMBER(F61)),Q61,"")</f>
        <v/>
      </c>
      <c r="U61">
        <f>IF(AND(Q61&lt;&gt;"",ISNUMBER(G61)),Q61,"")</f>
        <v/>
      </c>
      <c r="V61">
        <f>IF(AND(Q61&lt;&gt;"",ISNUMBER(H61)),Q61,"")</f>
        <v/>
      </c>
      <c r="W61">
        <f>IF(AND(Q61&lt;&gt;"",ISNUMBER(I61)),Q61,"")</f>
        <v/>
      </c>
      <c r="X61">
        <f>IF(AND(Q61&lt;&gt;"",ISNUMBER(J61)),Q61,"")</f>
        <v/>
      </c>
      <c r="Y61">
        <f>IF(AND(Q61&lt;&gt;"",ISNUMBER(K61)),Q61,"")</f>
        <v/>
      </c>
      <c r="Z61">
        <f>IF(AND(Q61&lt;&gt;"",ISNUMBER(L61)),Q61,"")</f>
        <v/>
      </c>
      <c r="AA61">
        <f>IF(AND(Q61&lt;&gt;"",ISNUMBER(M61)),Q61,"")</f>
        <v/>
      </c>
      <c r="AB61">
        <f>IF(AND(Q61&lt;&gt;"",ISNUMBER(K61)),K61,"")</f>
        <v/>
      </c>
      <c r="AC61">
        <f>IF(AND(Q61&lt;&gt;"",ISNUMBER(L61)),L61,"")</f>
        <v/>
      </c>
      <c r="AD61">
        <f>IF(AND(Q61&lt;&gt;"",ISNUMBER(M61)),M61,"")</f>
        <v/>
      </c>
    </row>
    <row r="62">
      <c r="A62" s="1" t="n"/>
      <c r="B62" s="17" t="n">
        <v>46281</v>
      </c>
      <c r="C62" s="27" t="inlineStr">
        <is>
          <t>Priya Nair</t>
        </is>
      </c>
      <c r="D62" s="28" t="n">
        <v>61</v>
      </c>
      <c r="E62" s="28" t="n">
        <v>23.8</v>
      </c>
      <c r="F62" s="28" t="n">
        <v>68.8</v>
      </c>
      <c r="G62" s="28" t="n">
        <v>95</v>
      </c>
      <c r="H62" s="28" t="n">
        <v>88</v>
      </c>
      <c r="I62" s="28" t="n">
        <v>27.7</v>
      </c>
      <c r="J62" s="28" t="n">
        <v>54</v>
      </c>
      <c r="K62" s="28" t="n">
        <v>49.3</v>
      </c>
      <c r="L62" s="28" t="n">
        <v>10</v>
      </c>
      <c r="M62" s="29" t="n">
        <v>5.2</v>
      </c>
      <c r="N62" s="21" t="n"/>
      <c r="O62" s="12">
        <f>IF(AND(B62="",C62=""),"",IF(NOT(ISNUMBER(B62)),"Needs a date",IF(C62="","Needs a client",IF(COUNTIF(Clients!$B$6:$B$105,C62)=0,"Not on Clients",IF(COUNT(D62:M62)=0,"Nothing measured","")))))</f>
        <v/>
      </c>
      <c r="P62" s="1">
        <f>IF(AND(O62="",ISNUMBER(B62)),INT(B62),0)</f>
        <v/>
      </c>
      <c r="Q62">
        <f>IF(AND(P62&gt;0,C62=Report!$C$5),P62*10000+ROW(),"")</f>
        <v/>
      </c>
      <c r="R62">
        <f>IF(AND(Q62&lt;&gt;"",ISNUMBER(D62)),Q62,"")</f>
        <v/>
      </c>
      <c r="S62">
        <f>IF(AND(Q62&lt;&gt;"",ISNUMBER(E62)),Q62,"")</f>
        <v/>
      </c>
      <c r="T62">
        <f>IF(AND(Q62&lt;&gt;"",ISNUMBER(F62)),Q62,"")</f>
        <v/>
      </c>
      <c r="U62">
        <f>IF(AND(Q62&lt;&gt;"",ISNUMBER(G62)),Q62,"")</f>
        <v/>
      </c>
      <c r="V62">
        <f>IF(AND(Q62&lt;&gt;"",ISNUMBER(H62)),Q62,"")</f>
        <v/>
      </c>
      <c r="W62">
        <f>IF(AND(Q62&lt;&gt;"",ISNUMBER(I62)),Q62,"")</f>
        <v/>
      </c>
      <c r="X62">
        <f>IF(AND(Q62&lt;&gt;"",ISNUMBER(J62)),Q62,"")</f>
        <v/>
      </c>
      <c r="Y62">
        <f>IF(AND(Q62&lt;&gt;"",ISNUMBER(K62)),Q62,"")</f>
        <v/>
      </c>
      <c r="Z62">
        <f>IF(AND(Q62&lt;&gt;"",ISNUMBER(L62)),Q62,"")</f>
        <v/>
      </c>
      <c r="AA62">
        <f>IF(AND(Q62&lt;&gt;"",ISNUMBER(M62)),Q62,"")</f>
        <v/>
      </c>
      <c r="AB62">
        <f>IF(AND(Q62&lt;&gt;"",ISNUMBER(K62)),K62,"")</f>
        <v/>
      </c>
      <c r="AC62">
        <f>IF(AND(Q62&lt;&gt;"",ISNUMBER(L62)),L62,"")</f>
        <v/>
      </c>
      <c r="AD62">
        <f>IF(AND(Q62&lt;&gt;"",ISNUMBER(M62)),M62,"")</f>
        <v/>
      </c>
    </row>
    <row r="63">
      <c r="A63" s="1" t="n"/>
      <c r="B63" s="17" t="n">
        <v>46283</v>
      </c>
      <c r="C63" s="27" t="inlineStr">
        <is>
          <t>Tom Walsh</t>
        </is>
      </c>
      <c r="D63" s="28" t="n">
        <v>77.40000000000001</v>
      </c>
      <c r="E63" s="28" t="n">
        <v>19</v>
      </c>
      <c r="F63" s="28" t="n">
        <v>83</v>
      </c>
      <c r="G63" s="28" t="n"/>
      <c r="H63" s="28" t="n"/>
      <c r="I63" s="28" t="n"/>
      <c r="J63" s="28" t="n"/>
      <c r="K63" s="28" t="n">
        <v>90</v>
      </c>
      <c r="L63" s="28" t="n">
        <v>32</v>
      </c>
      <c r="M63" s="29" t="n">
        <v>4.5</v>
      </c>
      <c r="N63" s="21" t="n"/>
      <c r="O63" s="12">
        <f>IF(AND(B63="",C63=""),"",IF(NOT(ISNUMBER(B63)),"Needs a date",IF(C63="","Needs a client",IF(COUNTIF(Clients!$B$6:$B$105,C63)=0,"Not on Clients",IF(COUNT(D63:M63)=0,"Nothing measured","")))))</f>
        <v/>
      </c>
      <c r="P63" s="1">
        <f>IF(AND(O63="",ISNUMBER(B63)),INT(B63),0)</f>
        <v/>
      </c>
      <c r="Q63">
        <f>IF(AND(P63&gt;0,C63=Report!$C$5),P63*10000+ROW(),"")</f>
        <v/>
      </c>
      <c r="R63">
        <f>IF(AND(Q63&lt;&gt;"",ISNUMBER(D63)),Q63,"")</f>
        <v/>
      </c>
      <c r="S63">
        <f>IF(AND(Q63&lt;&gt;"",ISNUMBER(E63)),Q63,"")</f>
        <v/>
      </c>
      <c r="T63">
        <f>IF(AND(Q63&lt;&gt;"",ISNUMBER(F63)),Q63,"")</f>
        <v/>
      </c>
      <c r="U63">
        <f>IF(AND(Q63&lt;&gt;"",ISNUMBER(G63)),Q63,"")</f>
        <v/>
      </c>
      <c r="V63">
        <f>IF(AND(Q63&lt;&gt;"",ISNUMBER(H63)),Q63,"")</f>
        <v/>
      </c>
      <c r="W63">
        <f>IF(AND(Q63&lt;&gt;"",ISNUMBER(I63)),Q63,"")</f>
        <v/>
      </c>
      <c r="X63">
        <f>IF(AND(Q63&lt;&gt;"",ISNUMBER(J63)),Q63,"")</f>
        <v/>
      </c>
      <c r="Y63">
        <f>IF(AND(Q63&lt;&gt;"",ISNUMBER(K63)),Q63,"")</f>
        <v/>
      </c>
      <c r="Z63">
        <f>IF(AND(Q63&lt;&gt;"",ISNUMBER(L63)),Q63,"")</f>
        <v/>
      </c>
      <c r="AA63">
        <f>IF(AND(Q63&lt;&gt;"",ISNUMBER(M63)),Q63,"")</f>
        <v/>
      </c>
      <c r="AB63">
        <f>IF(AND(Q63&lt;&gt;"",ISNUMBER(K63)),K63,"")</f>
        <v/>
      </c>
      <c r="AC63">
        <f>IF(AND(Q63&lt;&gt;"",ISNUMBER(L63)),L63,"")</f>
        <v/>
      </c>
      <c r="AD63">
        <f>IF(AND(Q63&lt;&gt;"",ISNUMBER(M63)),M63,"")</f>
        <v/>
      </c>
    </row>
    <row r="64">
      <c r="A64" s="1" t="n"/>
      <c r="B64" s="17" t="n">
        <v>46285</v>
      </c>
      <c r="C64" s="27" t="inlineStr">
        <is>
          <t>Leah Fischer</t>
        </is>
      </c>
      <c r="D64" s="28" t="n">
        <v>70.40000000000001</v>
      </c>
      <c r="E64" s="28" t="n">
        <v>28.5</v>
      </c>
      <c r="F64" s="28" t="n">
        <v>77.59999999999999</v>
      </c>
      <c r="G64" s="28" t="n">
        <v>100.4</v>
      </c>
      <c r="H64" s="28" t="n">
        <v>93.2</v>
      </c>
      <c r="I64" s="28" t="n">
        <v>30</v>
      </c>
      <c r="J64" s="28" t="n">
        <v>58.2</v>
      </c>
      <c r="K64" s="28" t="n">
        <v>56.1</v>
      </c>
      <c r="L64" s="28" t="n">
        <v>12</v>
      </c>
      <c r="M64" s="29" t="n">
        <v>5.4</v>
      </c>
      <c r="N64" s="21" t="n"/>
      <c r="O64" s="12">
        <f>IF(AND(B64="",C64=""),"",IF(NOT(ISNUMBER(B64)),"Needs a date",IF(C64="","Needs a client",IF(COUNTIF(Clients!$B$6:$B$105,C64)=0,"Not on Clients",IF(COUNT(D64:M64)=0,"Nothing measured","")))))</f>
        <v/>
      </c>
      <c r="P64" s="1">
        <f>IF(AND(O64="",ISNUMBER(B64)),INT(B64),0)</f>
        <v/>
      </c>
      <c r="Q64">
        <f>IF(AND(P64&gt;0,C64=Report!$C$5),P64*10000+ROW(),"")</f>
        <v/>
      </c>
      <c r="R64">
        <f>IF(AND(Q64&lt;&gt;"",ISNUMBER(D64)),Q64,"")</f>
        <v/>
      </c>
      <c r="S64">
        <f>IF(AND(Q64&lt;&gt;"",ISNUMBER(E64)),Q64,"")</f>
        <v/>
      </c>
      <c r="T64">
        <f>IF(AND(Q64&lt;&gt;"",ISNUMBER(F64)),Q64,"")</f>
        <v/>
      </c>
      <c r="U64">
        <f>IF(AND(Q64&lt;&gt;"",ISNUMBER(G64)),Q64,"")</f>
        <v/>
      </c>
      <c r="V64">
        <f>IF(AND(Q64&lt;&gt;"",ISNUMBER(H64)),Q64,"")</f>
        <v/>
      </c>
      <c r="W64">
        <f>IF(AND(Q64&lt;&gt;"",ISNUMBER(I64)),Q64,"")</f>
        <v/>
      </c>
      <c r="X64">
        <f>IF(AND(Q64&lt;&gt;"",ISNUMBER(J64)),Q64,"")</f>
        <v/>
      </c>
      <c r="Y64">
        <f>IF(AND(Q64&lt;&gt;"",ISNUMBER(K64)),Q64,"")</f>
        <v/>
      </c>
      <c r="Z64">
        <f>IF(AND(Q64&lt;&gt;"",ISNUMBER(L64)),Q64,"")</f>
        <v/>
      </c>
      <c r="AA64">
        <f>IF(AND(Q64&lt;&gt;"",ISNUMBER(M64)),Q64,"")</f>
        <v/>
      </c>
      <c r="AB64">
        <f>IF(AND(Q64&lt;&gt;"",ISNUMBER(K64)),K64,"")</f>
        <v/>
      </c>
      <c r="AC64">
        <f>IF(AND(Q64&lt;&gt;"",ISNUMBER(L64)),L64,"")</f>
        <v/>
      </c>
      <c r="AD64">
        <f>IF(AND(Q64&lt;&gt;"",ISNUMBER(M64)),M64,"")</f>
        <v/>
      </c>
    </row>
    <row r="65">
      <c r="A65" s="1" t="n"/>
      <c r="B65" s="17" t="n"/>
      <c r="C65" s="27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9" t="n"/>
      <c r="N65" s="21" t="n"/>
      <c r="O65" s="12">
        <f>IF(AND(B65="",C65=""),"",IF(NOT(ISNUMBER(B65)),"Needs a date",IF(C65="","Needs a client",IF(COUNTIF(Clients!$B$6:$B$105,C65)=0,"Not on Clients",IF(COUNT(D65:M65)=0,"Nothing measured","")))))</f>
        <v/>
      </c>
      <c r="P65" s="1">
        <f>IF(AND(O65="",ISNUMBER(B65)),INT(B65),0)</f>
        <v/>
      </c>
      <c r="Q65">
        <f>IF(AND(P65&gt;0,C65=Report!$C$5),P65*10000+ROW(),"")</f>
        <v/>
      </c>
      <c r="R65">
        <f>IF(AND(Q65&lt;&gt;"",ISNUMBER(D65)),Q65,"")</f>
        <v/>
      </c>
      <c r="S65">
        <f>IF(AND(Q65&lt;&gt;"",ISNUMBER(E65)),Q65,"")</f>
        <v/>
      </c>
      <c r="T65">
        <f>IF(AND(Q65&lt;&gt;"",ISNUMBER(F65)),Q65,"")</f>
        <v/>
      </c>
      <c r="U65">
        <f>IF(AND(Q65&lt;&gt;"",ISNUMBER(G65)),Q65,"")</f>
        <v/>
      </c>
      <c r="V65">
        <f>IF(AND(Q65&lt;&gt;"",ISNUMBER(H65)),Q65,"")</f>
        <v/>
      </c>
      <c r="W65">
        <f>IF(AND(Q65&lt;&gt;"",ISNUMBER(I65)),Q65,"")</f>
        <v/>
      </c>
      <c r="X65">
        <f>IF(AND(Q65&lt;&gt;"",ISNUMBER(J65)),Q65,"")</f>
        <v/>
      </c>
      <c r="Y65">
        <f>IF(AND(Q65&lt;&gt;"",ISNUMBER(K65)),Q65,"")</f>
        <v/>
      </c>
      <c r="Z65">
        <f>IF(AND(Q65&lt;&gt;"",ISNUMBER(L65)),Q65,"")</f>
        <v/>
      </c>
      <c r="AA65">
        <f>IF(AND(Q65&lt;&gt;"",ISNUMBER(M65)),Q65,"")</f>
        <v/>
      </c>
      <c r="AB65">
        <f>IF(AND(Q65&lt;&gt;"",ISNUMBER(K65)),K65,"")</f>
        <v/>
      </c>
      <c r="AC65">
        <f>IF(AND(Q65&lt;&gt;"",ISNUMBER(L65)),L65,"")</f>
        <v/>
      </c>
      <c r="AD65">
        <f>IF(AND(Q65&lt;&gt;"",ISNUMBER(M65)),M65,"")</f>
        <v/>
      </c>
    </row>
    <row r="66">
      <c r="A66" s="1" t="n"/>
      <c r="B66" s="17" t="n"/>
      <c r="C66" s="27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9" t="n"/>
      <c r="N66" s="21" t="n"/>
      <c r="O66" s="12">
        <f>IF(AND(B66="",C66=""),"",IF(NOT(ISNUMBER(B66)),"Needs a date",IF(C66="","Needs a client",IF(COUNTIF(Clients!$B$6:$B$105,C66)=0,"Not on Clients",IF(COUNT(D66:M66)=0,"Nothing measured","")))))</f>
        <v/>
      </c>
      <c r="P66" s="1">
        <f>IF(AND(O66="",ISNUMBER(B66)),INT(B66),0)</f>
        <v/>
      </c>
      <c r="Q66">
        <f>IF(AND(P66&gt;0,C66=Report!$C$5),P66*10000+ROW(),"")</f>
        <v/>
      </c>
      <c r="R66">
        <f>IF(AND(Q66&lt;&gt;"",ISNUMBER(D66)),Q66,"")</f>
        <v/>
      </c>
      <c r="S66">
        <f>IF(AND(Q66&lt;&gt;"",ISNUMBER(E66)),Q66,"")</f>
        <v/>
      </c>
      <c r="T66">
        <f>IF(AND(Q66&lt;&gt;"",ISNUMBER(F66)),Q66,"")</f>
        <v/>
      </c>
      <c r="U66">
        <f>IF(AND(Q66&lt;&gt;"",ISNUMBER(G66)),Q66,"")</f>
        <v/>
      </c>
      <c r="V66">
        <f>IF(AND(Q66&lt;&gt;"",ISNUMBER(H66)),Q66,"")</f>
        <v/>
      </c>
      <c r="W66">
        <f>IF(AND(Q66&lt;&gt;"",ISNUMBER(I66)),Q66,"")</f>
        <v/>
      </c>
      <c r="X66">
        <f>IF(AND(Q66&lt;&gt;"",ISNUMBER(J66)),Q66,"")</f>
        <v/>
      </c>
      <c r="Y66">
        <f>IF(AND(Q66&lt;&gt;"",ISNUMBER(K66)),Q66,"")</f>
        <v/>
      </c>
      <c r="Z66">
        <f>IF(AND(Q66&lt;&gt;"",ISNUMBER(L66)),Q66,"")</f>
        <v/>
      </c>
      <c r="AA66">
        <f>IF(AND(Q66&lt;&gt;"",ISNUMBER(M66)),Q66,"")</f>
        <v/>
      </c>
      <c r="AB66">
        <f>IF(AND(Q66&lt;&gt;"",ISNUMBER(K66)),K66,"")</f>
        <v/>
      </c>
      <c r="AC66">
        <f>IF(AND(Q66&lt;&gt;"",ISNUMBER(L66)),L66,"")</f>
        <v/>
      </c>
      <c r="AD66">
        <f>IF(AND(Q66&lt;&gt;"",ISNUMBER(M66)),M66,"")</f>
        <v/>
      </c>
    </row>
    <row r="67">
      <c r="A67" s="1" t="n"/>
      <c r="B67" s="17" t="n"/>
      <c r="C67" s="27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9" t="n"/>
      <c r="N67" s="21" t="n"/>
      <c r="O67" s="12">
        <f>IF(AND(B67="",C67=""),"",IF(NOT(ISNUMBER(B67)),"Needs a date",IF(C67="","Needs a client",IF(COUNTIF(Clients!$B$6:$B$105,C67)=0,"Not on Clients",IF(COUNT(D67:M67)=0,"Nothing measured","")))))</f>
        <v/>
      </c>
      <c r="P67" s="1">
        <f>IF(AND(O67="",ISNUMBER(B67)),INT(B67),0)</f>
        <v/>
      </c>
      <c r="Q67">
        <f>IF(AND(P67&gt;0,C67=Report!$C$5),P67*10000+ROW(),"")</f>
        <v/>
      </c>
      <c r="R67">
        <f>IF(AND(Q67&lt;&gt;"",ISNUMBER(D67)),Q67,"")</f>
        <v/>
      </c>
      <c r="S67">
        <f>IF(AND(Q67&lt;&gt;"",ISNUMBER(E67)),Q67,"")</f>
        <v/>
      </c>
      <c r="T67">
        <f>IF(AND(Q67&lt;&gt;"",ISNUMBER(F67)),Q67,"")</f>
        <v/>
      </c>
      <c r="U67">
        <f>IF(AND(Q67&lt;&gt;"",ISNUMBER(G67)),Q67,"")</f>
        <v/>
      </c>
      <c r="V67">
        <f>IF(AND(Q67&lt;&gt;"",ISNUMBER(H67)),Q67,"")</f>
        <v/>
      </c>
      <c r="W67">
        <f>IF(AND(Q67&lt;&gt;"",ISNUMBER(I67)),Q67,"")</f>
        <v/>
      </c>
      <c r="X67">
        <f>IF(AND(Q67&lt;&gt;"",ISNUMBER(J67)),Q67,"")</f>
        <v/>
      </c>
      <c r="Y67">
        <f>IF(AND(Q67&lt;&gt;"",ISNUMBER(K67)),Q67,"")</f>
        <v/>
      </c>
      <c r="Z67">
        <f>IF(AND(Q67&lt;&gt;"",ISNUMBER(L67)),Q67,"")</f>
        <v/>
      </c>
      <c r="AA67">
        <f>IF(AND(Q67&lt;&gt;"",ISNUMBER(M67)),Q67,"")</f>
        <v/>
      </c>
      <c r="AB67">
        <f>IF(AND(Q67&lt;&gt;"",ISNUMBER(K67)),K67,"")</f>
        <v/>
      </c>
      <c r="AC67">
        <f>IF(AND(Q67&lt;&gt;"",ISNUMBER(L67)),L67,"")</f>
        <v/>
      </c>
      <c r="AD67">
        <f>IF(AND(Q67&lt;&gt;"",ISNUMBER(M67)),M67,"")</f>
        <v/>
      </c>
    </row>
    <row r="68">
      <c r="A68" s="1" t="n"/>
      <c r="B68" s="17" t="n"/>
      <c r="C68" s="27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9" t="n"/>
      <c r="N68" s="21" t="n"/>
      <c r="O68" s="12">
        <f>IF(AND(B68="",C68=""),"",IF(NOT(ISNUMBER(B68)),"Needs a date",IF(C68="","Needs a client",IF(COUNTIF(Clients!$B$6:$B$105,C68)=0,"Not on Clients",IF(COUNT(D68:M68)=0,"Nothing measured","")))))</f>
        <v/>
      </c>
      <c r="P68" s="1">
        <f>IF(AND(O68="",ISNUMBER(B68)),INT(B68),0)</f>
        <v/>
      </c>
      <c r="Q68">
        <f>IF(AND(P68&gt;0,C68=Report!$C$5),P68*10000+ROW(),"")</f>
        <v/>
      </c>
      <c r="R68">
        <f>IF(AND(Q68&lt;&gt;"",ISNUMBER(D68)),Q68,"")</f>
        <v/>
      </c>
      <c r="S68">
        <f>IF(AND(Q68&lt;&gt;"",ISNUMBER(E68)),Q68,"")</f>
        <v/>
      </c>
      <c r="T68">
        <f>IF(AND(Q68&lt;&gt;"",ISNUMBER(F68)),Q68,"")</f>
        <v/>
      </c>
      <c r="U68">
        <f>IF(AND(Q68&lt;&gt;"",ISNUMBER(G68)),Q68,"")</f>
        <v/>
      </c>
      <c r="V68">
        <f>IF(AND(Q68&lt;&gt;"",ISNUMBER(H68)),Q68,"")</f>
        <v/>
      </c>
      <c r="W68">
        <f>IF(AND(Q68&lt;&gt;"",ISNUMBER(I68)),Q68,"")</f>
        <v/>
      </c>
      <c r="X68">
        <f>IF(AND(Q68&lt;&gt;"",ISNUMBER(J68)),Q68,"")</f>
        <v/>
      </c>
      <c r="Y68">
        <f>IF(AND(Q68&lt;&gt;"",ISNUMBER(K68)),Q68,"")</f>
        <v/>
      </c>
      <c r="Z68">
        <f>IF(AND(Q68&lt;&gt;"",ISNUMBER(L68)),Q68,"")</f>
        <v/>
      </c>
      <c r="AA68">
        <f>IF(AND(Q68&lt;&gt;"",ISNUMBER(M68)),Q68,"")</f>
        <v/>
      </c>
      <c r="AB68">
        <f>IF(AND(Q68&lt;&gt;"",ISNUMBER(K68)),K68,"")</f>
        <v/>
      </c>
      <c r="AC68">
        <f>IF(AND(Q68&lt;&gt;"",ISNUMBER(L68)),L68,"")</f>
        <v/>
      </c>
      <c r="AD68">
        <f>IF(AND(Q68&lt;&gt;"",ISNUMBER(M68)),M68,"")</f>
        <v/>
      </c>
    </row>
    <row r="69">
      <c r="A69" s="1" t="n"/>
      <c r="B69" s="17" t="n"/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9" t="n"/>
      <c r="N69" s="21" t="n"/>
      <c r="O69" s="12">
        <f>IF(AND(B69="",C69=""),"",IF(NOT(ISNUMBER(B69)),"Needs a date",IF(C69="","Needs a client",IF(COUNTIF(Clients!$B$6:$B$105,C69)=0,"Not on Clients",IF(COUNT(D69:M69)=0,"Nothing measured","")))))</f>
        <v/>
      </c>
      <c r="P69" s="1">
        <f>IF(AND(O69="",ISNUMBER(B69)),INT(B69),0)</f>
        <v/>
      </c>
      <c r="Q69">
        <f>IF(AND(P69&gt;0,C69=Report!$C$5),P69*10000+ROW(),"")</f>
        <v/>
      </c>
      <c r="R69">
        <f>IF(AND(Q69&lt;&gt;"",ISNUMBER(D69)),Q69,"")</f>
        <v/>
      </c>
      <c r="S69">
        <f>IF(AND(Q69&lt;&gt;"",ISNUMBER(E69)),Q69,"")</f>
        <v/>
      </c>
      <c r="T69">
        <f>IF(AND(Q69&lt;&gt;"",ISNUMBER(F69)),Q69,"")</f>
        <v/>
      </c>
      <c r="U69">
        <f>IF(AND(Q69&lt;&gt;"",ISNUMBER(G69)),Q69,"")</f>
        <v/>
      </c>
      <c r="V69">
        <f>IF(AND(Q69&lt;&gt;"",ISNUMBER(H69)),Q69,"")</f>
        <v/>
      </c>
      <c r="W69">
        <f>IF(AND(Q69&lt;&gt;"",ISNUMBER(I69)),Q69,"")</f>
        <v/>
      </c>
      <c r="X69">
        <f>IF(AND(Q69&lt;&gt;"",ISNUMBER(J69)),Q69,"")</f>
        <v/>
      </c>
      <c r="Y69">
        <f>IF(AND(Q69&lt;&gt;"",ISNUMBER(K69)),Q69,"")</f>
        <v/>
      </c>
      <c r="Z69">
        <f>IF(AND(Q69&lt;&gt;"",ISNUMBER(L69)),Q69,"")</f>
        <v/>
      </c>
      <c r="AA69">
        <f>IF(AND(Q69&lt;&gt;"",ISNUMBER(M69)),Q69,"")</f>
        <v/>
      </c>
      <c r="AB69">
        <f>IF(AND(Q69&lt;&gt;"",ISNUMBER(K69)),K69,"")</f>
        <v/>
      </c>
      <c r="AC69">
        <f>IF(AND(Q69&lt;&gt;"",ISNUMBER(L69)),L69,"")</f>
        <v/>
      </c>
      <c r="AD69">
        <f>IF(AND(Q69&lt;&gt;"",ISNUMBER(M69)),M69,"")</f>
        <v/>
      </c>
    </row>
    <row r="70">
      <c r="A70" s="1" t="n"/>
      <c r="B70" s="17" t="n"/>
      <c r="C70" s="27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9" t="n"/>
      <c r="N70" s="21" t="n"/>
      <c r="O70" s="12">
        <f>IF(AND(B70="",C70=""),"",IF(NOT(ISNUMBER(B70)),"Needs a date",IF(C70="","Needs a client",IF(COUNTIF(Clients!$B$6:$B$105,C70)=0,"Not on Clients",IF(COUNT(D70:M70)=0,"Nothing measured","")))))</f>
        <v/>
      </c>
      <c r="P70" s="1">
        <f>IF(AND(O70="",ISNUMBER(B70)),INT(B70),0)</f>
        <v/>
      </c>
      <c r="Q70">
        <f>IF(AND(P70&gt;0,C70=Report!$C$5),P70*10000+ROW(),"")</f>
        <v/>
      </c>
      <c r="R70">
        <f>IF(AND(Q70&lt;&gt;"",ISNUMBER(D70)),Q70,"")</f>
        <v/>
      </c>
      <c r="S70">
        <f>IF(AND(Q70&lt;&gt;"",ISNUMBER(E70)),Q70,"")</f>
        <v/>
      </c>
      <c r="T70">
        <f>IF(AND(Q70&lt;&gt;"",ISNUMBER(F70)),Q70,"")</f>
        <v/>
      </c>
      <c r="U70">
        <f>IF(AND(Q70&lt;&gt;"",ISNUMBER(G70)),Q70,"")</f>
        <v/>
      </c>
      <c r="V70">
        <f>IF(AND(Q70&lt;&gt;"",ISNUMBER(H70)),Q70,"")</f>
        <v/>
      </c>
      <c r="W70">
        <f>IF(AND(Q70&lt;&gt;"",ISNUMBER(I70)),Q70,"")</f>
        <v/>
      </c>
      <c r="X70">
        <f>IF(AND(Q70&lt;&gt;"",ISNUMBER(J70)),Q70,"")</f>
        <v/>
      </c>
      <c r="Y70">
        <f>IF(AND(Q70&lt;&gt;"",ISNUMBER(K70)),Q70,"")</f>
        <v/>
      </c>
      <c r="Z70">
        <f>IF(AND(Q70&lt;&gt;"",ISNUMBER(L70)),Q70,"")</f>
        <v/>
      </c>
      <c r="AA70">
        <f>IF(AND(Q70&lt;&gt;"",ISNUMBER(M70)),Q70,"")</f>
        <v/>
      </c>
      <c r="AB70">
        <f>IF(AND(Q70&lt;&gt;"",ISNUMBER(K70)),K70,"")</f>
        <v/>
      </c>
      <c r="AC70">
        <f>IF(AND(Q70&lt;&gt;"",ISNUMBER(L70)),L70,"")</f>
        <v/>
      </c>
      <c r="AD70">
        <f>IF(AND(Q70&lt;&gt;"",ISNUMBER(M70)),M70,"")</f>
        <v/>
      </c>
    </row>
    <row r="71">
      <c r="A71" s="1" t="n"/>
      <c r="B71" s="17" t="n"/>
      <c r="C71" s="27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9" t="n"/>
      <c r="N71" s="21" t="n"/>
      <c r="O71" s="12">
        <f>IF(AND(B71="",C71=""),"",IF(NOT(ISNUMBER(B71)),"Needs a date",IF(C71="","Needs a client",IF(COUNTIF(Clients!$B$6:$B$105,C71)=0,"Not on Clients",IF(COUNT(D71:M71)=0,"Nothing measured","")))))</f>
        <v/>
      </c>
      <c r="P71" s="1">
        <f>IF(AND(O71="",ISNUMBER(B71)),INT(B71),0)</f>
        <v/>
      </c>
      <c r="Q71">
        <f>IF(AND(P71&gt;0,C71=Report!$C$5),P71*10000+ROW(),"")</f>
        <v/>
      </c>
      <c r="R71">
        <f>IF(AND(Q71&lt;&gt;"",ISNUMBER(D71)),Q71,"")</f>
        <v/>
      </c>
      <c r="S71">
        <f>IF(AND(Q71&lt;&gt;"",ISNUMBER(E71)),Q71,"")</f>
        <v/>
      </c>
      <c r="T71">
        <f>IF(AND(Q71&lt;&gt;"",ISNUMBER(F71)),Q71,"")</f>
        <v/>
      </c>
      <c r="U71">
        <f>IF(AND(Q71&lt;&gt;"",ISNUMBER(G71)),Q71,"")</f>
        <v/>
      </c>
      <c r="V71">
        <f>IF(AND(Q71&lt;&gt;"",ISNUMBER(H71)),Q71,"")</f>
        <v/>
      </c>
      <c r="W71">
        <f>IF(AND(Q71&lt;&gt;"",ISNUMBER(I71)),Q71,"")</f>
        <v/>
      </c>
      <c r="X71">
        <f>IF(AND(Q71&lt;&gt;"",ISNUMBER(J71)),Q71,"")</f>
        <v/>
      </c>
      <c r="Y71">
        <f>IF(AND(Q71&lt;&gt;"",ISNUMBER(K71)),Q71,"")</f>
        <v/>
      </c>
      <c r="Z71">
        <f>IF(AND(Q71&lt;&gt;"",ISNUMBER(L71)),Q71,"")</f>
        <v/>
      </c>
      <c r="AA71">
        <f>IF(AND(Q71&lt;&gt;"",ISNUMBER(M71)),Q71,"")</f>
        <v/>
      </c>
      <c r="AB71">
        <f>IF(AND(Q71&lt;&gt;"",ISNUMBER(K71)),K71,"")</f>
        <v/>
      </c>
      <c r="AC71">
        <f>IF(AND(Q71&lt;&gt;"",ISNUMBER(L71)),L71,"")</f>
        <v/>
      </c>
      <c r="AD71">
        <f>IF(AND(Q71&lt;&gt;"",ISNUMBER(M71)),M71,"")</f>
        <v/>
      </c>
    </row>
    <row r="72">
      <c r="A72" s="1" t="n"/>
      <c r="B72" s="17" t="n"/>
      <c r="C72" s="27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9" t="n"/>
      <c r="N72" s="21" t="n"/>
      <c r="O72" s="12">
        <f>IF(AND(B72="",C72=""),"",IF(NOT(ISNUMBER(B72)),"Needs a date",IF(C72="","Needs a client",IF(COUNTIF(Clients!$B$6:$B$105,C72)=0,"Not on Clients",IF(COUNT(D72:M72)=0,"Nothing measured","")))))</f>
        <v/>
      </c>
      <c r="P72" s="1">
        <f>IF(AND(O72="",ISNUMBER(B72)),INT(B72),0)</f>
        <v/>
      </c>
      <c r="Q72">
        <f>IF(AND(P72&gt;0,C72=Report!$C$5),P72*10000+ROW(),"")</f>
        <v/>
      </c>
      <c r="R72">
        <f>IF(AND(Q72&lt;&gt;"",ISNUMBER(D72)),Q72,"")</f>
        <v/>
      </c>
      <c r="S72">
        <f>IF(AND(Q72&lt;&gt;"",ISNUMBER(E72)),Q72,"")</f>
        <v/>
      </c>
      <c r="T72">
        <f>IF(AND(Q72&lt;&gt;"",ISNUMBER(F72)),Q72,"")</f>
        <v/>
      </c>
      <c r="U72">
        <f>IF(AND(Q72&lt;&gt;"",ISNUMBER(G72)),Q72,"")</f>
        <v/>
      </c>
      <c r="V72">
        <f>IF(AND(Q72&lt;&gt;"",ISNUMBER(H72)),Q72,"")</f>
        <v/>
      </c>
      <c r="W72">
        <f>IF(AND(Q72&lt;&gt;"",ISNUMBER(I72)),Q72,"")</f>
        <v/>
      </c>
      <c r="X72">
        <f>IF(AND(Q72&lt;&gt;"",ISNUMBER(J72)),Q72,"")</f>
        <v/>
      </c>
      <c r="Y72">
        <f>IF(AND(Q72&lt;&gt;"",ISNUMBER(K72)),Q72,"")</f>
        <v/>
      </c>
      <c r="Z72">
        <f>IF(AND(Q72&lt;&gt;"",ISNUMBER(L72)),Q72,"")</f>
        <v/>
      </c>
      <c r="AA72">
        <f>IF(AND(Q72&lt;&gt;"",ISNUMBER(M72)),Q72,"")</f>
        <v/>
      </c>
      <c r="AB72">
        <f>IF(AND(Q72&lt;&gt;"",ISNUMBER(K72)),K72,"")</f>
        <v/>
      </c>
      <c r="AC72">
        <f>IF(AND(Q72&lt;&gt;"",ISNUMBER(L72)),L72,"")</f>
        <v/>
      </c>
      <c r="AD72">
        <f>IF(AND(Q72&lt;&gt;"",ISNUMBER(M72)),M72,"")</f>
        <v/>
      </c>
    </row>
    <row r="73">
      <c r="A73" s="1" t="n"/>
      <c r="B73" s="17" t="n"/>
      <c r="C73" s="27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9" t="n"/>
      <c r="N73" s="21" t="n"/>
      <c r="O73" s="12">
        <f>IF(AND(B73="",C73=""),"",IF(NOT(ISNUMBER(B73)),"Needs a date",IF(C73="","Needs a client",IF(COUNTIF(Clients!$B$6:$B$105,C73)=0,"Not on Clients",IF(COUNT(D73:M73)=0,"Nothing measured","")))))</f>
        <v/>
      </c>
      <c r="P73" s="1">
        <f>IF(AND(O73="",ISNUMBER(B73)),INT(B73),0)</f>
        <v/>
      </c>
      <c r="Q73">
        <f>IF(AND(P73&gt;0,C73=Report!$C$5),P73*10000+ROW(),"")</f>
        <v/>
      </c>
      <c r="R73">
        <f>IF(AND(Q73&lt;&gt;"",ISNUMBER(D73)),Q73,"")</f>
        <v/>
      </c>
      <c r="S73">
        <f>IF(AND(Q73&lt;&gt;"",ISNUMBER(E73)),Q73,"")</f>
        <v/>
      </c>
      <c r="T73">
        <f>IF(AND(Q73&lt;&gt;"",ISNUMBER(F73)),Q73,"")</f>
        <v/>
      </c>
      <c r="U73">
        <f>IF(AND(Q73&lt;&gt;"",ISNUMBER(G73)),Q73,"")</f>
        <v/>
      </c>
      <c r="V73">
        <f>IF(AND(Q73&lt;&gt;"",ISNUMBER(H73)),Q73,"")</f>
        <v/>
      </c>
      <c r="W73">
        <f>IF(AND(Q73&lt;&gt;"",ISNUMBER(I73)),Q73,"")</f>
        <v/>
      </c>
      <c r="X73">
        <f>IF(AND(Q73&lt;&gt;"",ISNUMBER(J73)),Q73,"")</f>
        <v/>
      </c>
      <c r="Y73">
        <f>IF(AND(Q73&lt;&gt;"",ISNUMBER(K73)),Q73,"")</f>
        <v/>
      </c>
      <c r="Z73">
        <f>IF(AND(Q73&lt;&gt;"",ISNUMBER(L73)),Q73,"")</f>
        <v/>
      </c>
      <c r="AA73">
        <f>IF(AND(Q73&lt;&gt;"",ISNUMBER(M73)),Q73,"")</f>
        <v/>
      </c>
      <c r="AB73">
        <f>IF(AND(Q73&lt;&gt;"",ISNUMBER(K73)),K73,"")</f>
        <v/>
      </c>
      <c r="AC73">
        <f>IF(AND(Q73&lt;&gt;"",ISNUMBER(L73)),L73,"")</f>
        <v/>
      </c>
      <c r="AD73">
        <f>IF(AND(Q73&lt;&gt;"",ISNUMBER(M73)),M73,"")</f>
        <v/>
      </c>
    </row>
    <row r="74">
      <c r="A74" s="1" t="n"/>
      <c r="B74" s="17" t="n"/>
      <c r="C74" s="27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9" t="n"/>
      <c r="N74" s="21" t="n"/>
      <c r="O74" s="12">
        <f>IF(AND(B74="",C74=""),"",IF(NOT(ISNUMBER(B74)),"Needs a date",IF(C74="","Needs a client",IF(COUNTIF(Clients!$B$6:$B$105,C74)=0,"Not on Clients",IF(COUNT(D74:M74)=0,"Nothing measured","")))))</f>
        <v/>
      </c>
      <c r="P74" s="1">
        <f>IF(AND(O74="",ISNUMBER(B74)),INT(B74),0)</f>
        <v/>
      </c>
      <c r="Q74">
        <f>IF(AND(P74&gt;0,C74=Report!$C$5),P74*10000+ROW(),"")</f>
        <v/>
      </c>
      <c r="R74">
        <f>IF(AND(Q74&lt;&gt;"",ISNUMBER(D74)),Q74,"")</f>
        <v/>
      </c>
      <c r="S74">
        <f>IF(AND(Q74&lt;&gt;"",ISNUMBER(E74)),Q74,"")</f>
        <v/>
      </c>
      <c r="T74">
        <f>IF(AND(Q74&lt;&gt;"",ISNUMBER(F74)),Q74,"")</f>
        <v/>
      </c>
      <c r="U74">
        <f>IF(AND(Q74&lt;&gt;"",ISNUMBER(G74)),Q74,"")</f>
        <v/>
      </c>
      <c r="V74">
        <f>IF(AND(Q74&lt;&gt;"",ISNUMBER(H74)),Q74,"")</f>
        <v/>
      </c>
      <c r="W74">
        <f>IF(AND(Q74&lt;&gt;"",ISNUMBER(I74)),Q74,"")</f>
        <v/>
      </c>
      <c r="X74">
        <f>IF(AND(Q74&lt;&gt;"",ISNUMBER(J74)),Q74,"")</f>
        <v/>
      </c>
      <c r="Y74">
        <f>IF(AND(Q74&lt;&gt;"",ISNUMBER(K74)),Q74,"")</f>
        <v/>
      </c>
      <c r="Z74">
        <f>IF(AND(Q74&lt;&gt;"",ISNUMBER(L74)),Q74,"")</f>
        <v/>
      </c>
      <c r="AA74">
        <f>IF(AND(Q74&lt;&gt;"",ISNUMBER(M74)),Q74,"")</f>
        <v/>
      </c>
      <c r="AB74">
        <f>IF(AND(Q74&lt;&gt;"",ISNUMBER(K74)),K74,"")</f>
        <v/>
      </c>
      <c r="AC74">
        <f>IF(AND(Q74&lt;&gt;"",ISNUMBER(L74)),L74,"")</f>
        <v/>
      </c>
      <c r="AD74">
        <f>IF(AND(Q74&lt;&gt;"",ISNUMBER(M74)),M74,"")</f>
        <v/>
      </c>
    </row>
    <row r="75">
      <c r="A75" s="1" t="n"/>
      <c r="B75" s="17" t="n"/>
      <c r="C75" s="27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9" t="n"/>
      <c r="N75" s="21" t="n"/>
      <c r="O75" s="12">
        <f>IF(AND(B75="",C75=""),"",IF(NOT(ISNUMBER(B75)),"Needs a date",IF(C75="","Needs a client",IF(COUNTIF(Clients!$B$6:$B$105,C75)=0,"Not on Clients",IF(COUNT(D75:M75)=0,"Nothing measured","")))))</f>
        <v/>
      </c>
      <c r="P75" s="1">
        <f>IF(AND(O75="",ISNUMBER(B75)),INT(B75),0)</f>
        <v/>
      </c>
      <c r="Q75">
        <f>IF(AND(P75&gt;0,C75=Report!$C$5),P75*10000+ROW(),"")</f>
        <v/>
      </c>
      <c r="R75">
        <f>IF(AND(Q75&lt;&gt;"",ISNUMBER(D75)),Q75,"")</f>
        <v/>
      </c>
      <c r="S75">
        <f>IF(AND(Q75&lt;&gt;"",ISNUMBER(E75)),Q75,"")</f>
        <v/>
      </c>
      <c r="T75">
        <f>IF(AND(Q75&lt;&gt;"",ISNUMBER(F75)),Q75,"")</f>
        <v/>
      </c>
      <c r="U75">
        <f>IF(AND(Q75&lt;&gt;"",ISNUMBER(G75)),Q75,"")</f>
        <v/>
      </c>
      <c r="V75">
        <f>IF(AND(Q75&lt;&gt;"",ISNUMBER(H75)),Q75,"")</f>
        <v/>
      </c>
      <c r="W75">
        <f>IF(AND(Q75&lt;&gt;"",ISNUMBER(I75)),Q75,"")</f>
        <v/>
      </c>
      <c r="X75">
        <f>IF(AND(Q75&lt;&gt;"",ISNUMBER(J75)),Q75,"")</f>
        <v/>
      </c>
      <c r="Y75">
        <f>IF(AND(Q75&lt;&gt;"",ISNUMBER(K75)),Q75,"")</f>
        <v/>
      </c>
      <c r="Z75">
        <f>IF(AND(Q75&lt;&gt;"",ISNUMBER(L75)),Q75,"")</f>
        <v/>
      </c>
      <c r="AA75">
        <f>IF(AND(Q75&lt;&gt;"",ISNUMBER(M75)),Q75,"")</f>
        <v/>
      </c>
      <c r="AB75">
        <f>IF(AND(Q75&lt;&gt;"",ISNUMBER(K75)),K75,"")</f>
        <v/>
      </c>
      <c r="AC75">
        <f>IF(AND(Q75&lt;&gt;"",ISNUMBER(L75)),L75,"")</f>
        <v/>
      </c>
      <c r="AD75">
        <f>IF(AND(Q75&lt;&gt;"",ISNUMBER(M75)),M75,"")</f>
        <v/>
      </c>
    </row>
    <row r="76">
      <c r="A76" s="1" t="n"/>
      <c r="B76" s="17" t="n"/>
      <c r="C76" s="27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9" t="n"/>
      <c r="N76" s="21" t="n"/>
      <c r="O76" s="12">
        <f>IF(AND(B76="",C76=""),"",IF(NOT(ISNUMBER(B76)),"Needs a date",IF(C76="","Needs a client",IF(COUNTIF(Clients!$B$6:$B$105,C76)=0,"Not on Clients",IF(COUNT(D76:M76)=0,"Nothing measured","")))))</f>
        <v/>
      </c>
      <c r="P76" s="1">
        <f>IF(AND(O76="",ISNUMBER(B76)),INT(B76),0)</f>
        <v/>
      </c>
      <c r="Q76">
        <f>IF(AND(P76&gt;0,C76=Report!$C$5),P76*10000+ROW(),"")</f>
        <v/>
      </c>
      <c r="R76">
        <f>IF(AND(Q76&lt;&gt;"",ISNUMBER(D76)),Q76,"")</f>
        <v/>
      </c>
      <c r="S76">
        <f>IF(AND(Q76&lt;&gt;"",ISNUMBER(E76)),Q76,"")</f>
        <v/>
      </c>
      <c r="T76">
        <f>IF(AND(Q76&lt;&gt;"",ISNUMBER(F76)),Q76,"")</f>
        <v/>
      </c>
      <c r="U76">
        <f>IF(AND(Q76&lt;&gt;"",ISNUMBER(G76)),Q76,"")</f>
        <v/>
      </c>
      <c r="V76">
        <f>IF(AND(Q76&lt;&gt;"",ISNUMBER(H76)),Q76,"")</f>
        <v/>
      </c>
      <c r="W76">
        <f>IF(AND(Q76&lt;&gt;"",ISNUMBER(I76)),Q76,"")</f>
        <v/>
      </c>
      <c r="X76">
        <f>IF(AND(Q76&lt;&gt;"",ISNUMBER(J76)),Q76,"")</f>
        <v/>
      </c>
      <c r="Y76">
        <f>IF(AND(Q76&lt;&gt;"",ISNUMBER(K76)),Q76,"")</f>
        <v/>
      </c>
      <c r="Z76">
        <f>IF(AND(Q76&lt;&gt;"",ISNUMBER(L76)),Q76,"")</f>
        <v/>
      </c>
      <c r="AA76">
        <f>IF(AND(Q76&lt;&gt;"",ISNUMBER(M76)),Q76,"")</f>
        <v/>
      </c>
      <c r="AB76">
        <f>IF(AND(Q76&lt;&gt;"",ISNUMBER(K76)),K76,"")</f>
        <v/>
      </c>
      <c r="AC76">
        <f>IF(AND(Q76&lt;&gt;"",ISNUMBER(L76)),L76,"")</f>
        <v/>
      </c>
      <c r="AD76">
        <f>IF(AND(Q76&lt;&gt;"",ISNUMBER(M76)),M76,"")</f>
        <v/>
      </c>
    </row>
    <row r="77">
      <c r="A77" s="1" t="n"/>
      <c r="B77" s="17" t="n"/>
      <c r="C77" s="27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9" t="n"/>
      <c r="N77" s="21" t="n"/>
      <c r="O77" s="12">
        <f>IF(AND(B77="",C77=""),"",IF(NOT(ISNUMBER(B77)),"Needs a date",IF(C77="","Needs a client",IF(COUNTIF(Clients!$B$6:$B$105,C77)=0,"Not on Clients",IF(COUNT(D77:M77)=0,"Nothing measured","")))))</f>
        <v/>
      </c>
      <c r="P77" s="1">
        <f>IF(AND(O77="",ISNUMBER(B77)),INT(B77),0)</f>
        <v/>
      </c>
      <c r="Q77">
        <f>IF(AND(P77&gt;0,C77=Report!$C$5),P77*10000+ROW(),"")</f>
        <v/>
      </c>
      <c r="R77">
        <f>IF(AND(Q77&lt;&gt;"",ISNUMBER(D77)),Q77,"")</f>
        <v/>
      </c>
      <c r="S77">
        <f>IF(AND(Q77&lt;&gt;"",ISNUMBER(E77)),Q77,"")</f>
        <v/>
      </c>
      <c r="T77">
        <f>IF(AND(Q77&lt;&gt;"",ISNUMBER(F77)),Q77,"")</f>
        <v/>
      </c>
      <c r="U77">
        <f>IF(AND(Q77&lt;&gt;"",ISNUMBER(G77)),Q77,"")</f>
        <v/>
      </c>
      <c r="V77">
        <f>IF(AND(Q77&lt;&gt;"",ISNUMBER(H77)),Q77,"")</f>
        <v/>
      </c>
      <c r="W77">
        <f>IF(AND(Q77&lt;&gt;"",ISNUMBER(I77)),Q77,"")</f>
        <v/>
      </c>
      <c r="X77">
        <f>IF(AND(Q77&lt;&gt;"",ISNUMBER(J77)),Q77,"")</f>
        <v/>
      </c>
      <c r="Y77">
        <f>IF(AND(Q77&lt;&gt;"",ISNUMBER(K77)),Q77,"")</f>
        <v/>
      </c>
      <c r="Z77">
        <f>IF(AND(Q77&lt;&gt;"",ISNUMBER(L77)),Q77,"")</f>
        <v/>
      </c>
      <c r="AA77">
        <f>IF(AND(Q77&lt;&gt;"",ISNUMBER(M77)),Q77,"")</f>
        <v/>
      </c>
      <c r="AB77">
        <f>IF(AND(Q77&lt;&gt;"",ISNUMBER(K77)),K77,"")</f>
        <v/>
      </c>
      <c r="AC77">
        <f>IF(AND(Q77&lt;&gt;"",ISNUMBER(L77)),L77,"")</f>
        <v/>
      </c>
      <c r="AD77">
        <f>IF(AND(Q77&lt;&gt;"",ISNUMBER(M77)),M77,"")</f>
        <v/>
      </c>
    </row>
    <row r="78">
      <c r="A78" s="1" t="n"/>
      <c r="B78" s="17" t="n"/>
      <c r="C78" s="27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9" t="n"/>
      <c r="N78" s="21" t="n"/>
      <c r="O78" s="12">
        <f>IF(AND(B78="",C78=""),"",IF(NOT(ISNUMBER(B78)),"Needs a date",IF(C78="","Needs a client",IF(COUNTIF(Clients!$B$6:$B$105,C78)=0,"Not on Clients",IF(COUNT(D78:M78)=0,"Nothing measured","")))))</f>
        <v/>
      </c>
      <c r="P78" s="1">
        <f>IF(AND(O78="",ISNUMBER(B78)),INT(B78),0)</f>
        <v/>
      </c>
      <c r="Q78">
        <f>IF(AND(P78&gt;0,C78=Report!$C$5),P78*10000+ROW(),"")</f>
        <v/>
      </c>
      <c r="R78">
        <f>IF(AND(Q78&lt;&gt;"",ISNUMBER(D78)),Q78,"")</f>
        <v/>
      </c>
      <c r="S78">
        <f>IF(AND(Q78&lt;&gt;"",ISNUMBER(E78)),Q78,"")</f>
        <v/>
      </c>
      <c r="T78">
        <f>IF(AND(Q78&lt;&gt;"",ISNUMBER(F78)),Q78,"")</f>
        <v/>
      </c>
      <c r="U78">
        <f>IF(AND(Q78&lt;&gt;"",ISNUMBER(G78)),Q78,"")</f>
        <v/>
      </c>
      <c r="V78">
        <f>IF(AND(Q78&lt;&gt;"",ISNUMBER(H78)),Q78,"")</f>
        <v/>
      </c>
      <c r="W78">
        <f>IF(AND(Q78&lt;&gt;"",ISNUMBER(I78)),Q78,"")</f>
        <v/>
      </c>
      <c r="X78">
        <f>IF(AND(Q78&lt;&gt;"",ISNUMBER(J78)),Q78,"")</f>
        <v/>
      </c>
      <c r="Y78">
        <f>IF(AND(Q78&lt;&gt;"",ISNUMBER(K78)),Q78,"")</f>
        <v/>
      </c>
      <c r="Z78">
        <f>IF(AND(Q78&lt;&gt;"",ISNUMBER(L78)),Q78,"")</f>
        <v/>
      </c>
      <c r="AA78">
        <f>IF(AND(Q78&lt;&gt;"",ISNUMBER(M78)),Q78,"")</f>
        <v/>
      </c>
      <c r="AB78">
        <f>IF(AND(Q78&lt;&gt;"",ISNUMBER(K78)),K78,"")</f>
        <v/>
      </c>
      <c r="AC78">
        <f>IF(AND(Q78&lt;&gt;"",ISNUMBER(L78)),L78,"")</f>
        <v/>
      </c>
      <c r="AD78">
        <f>IF(AND(Q78&lt;&gt;"",ISNUMBER(M78)),M78,"")</f>
        <v/>
      </c>
    </row>
    <row r="79">
      <c r="A79" s="1" t="n"/>
      <c r="B79" s="17" t="n"/>
      <c r="C79" s="27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9" t="n"/>
      <c r="N79" s="21" t="n"/>
      <c r="O79" s="12">
        <f>IF(AND(B79="",C79=""),"",IF(NOT(ISNUMBER(B79)),"Needs a date",IF(C79="","Needs a client",IF(COUNTIF(Clients!$B$6:$B$105,C79)=0,"Not on Clients",IF(COUNT(D79:M79)=0,"Nothing measured","")))))</f>
        <v/>
      </c>
      <c r="P79" s="1">
        <f>IF(AND(O79="",ISNUMBER(B79)),INT(B79),0)</f>
        <v/>
      </c>
      <c r="Q79">
        <f>IF(AND(P79&gt;0,C79=Report!$C$5),P79*10000+ROW(),"")</f>
        <v/>
      </c>
      <c r="R79">
        <f>IF(AND(Q79&lt;&gt;"",ISNUMBER(D79)),Q79,"")</f>
        <v/>
      </c>
      <c r="S79">
        <f>IF(AND(Q79&lt;&gt;"",ISNUMBER(E79)),Q79,"")</f>
        <v/>
      </c>
      <c r="T79">
        <f>IF(AND(Q79&lt;&gt;"",ISNUMBER(F79)),Q79,"")</f>
        <v/>
      </c>
      <c r="U79">
        <f>IF(AND(Q79&lt;&gt;"",ISNUMBER(G79)),Q79,"")</f>
        <v/>
      </c>
      <c r="V79">
        <f>IF(AND(Q79&lt;&gt;"",ISNUMBER(H79)),Q79,"")</f>
        <v/>
      </c>
      <c r="W79">
        <f>IF(AND(Q79&lt;&gt;"",ISNUMBER(I79)),Q79,"")</f>
        <v/>
      </c>
      <c r="X79">
        <f>IF(AND(Q79&lt;&gt;"",ISNUMBER(J79)),Q79,"")</f>
        <v/>
      </c>
      <c r="Y79">
        <f>IF(AND(Q79&lt;&gt;"",ISNUMBER(K79)),Q79,"")</f>
        <v/>
      </c>
      <c r="Z79">
        <f>IF(AND(Q79&lt;&gt;"",ISNUMBER(L79)),Q79,"")</f>
        <v/>
      </c>
      <c r="AA79">
        <f>IF(AND(Q79&lt;&gt;"",ISNUMBER(M79)),Q79,"")</f>
        <v/>
      </c>
      <c r="AB79">
        <f>IF(AND(Q79&lt;&gt;"",ISNUMBER(K79)),K79,"")</f>
        <v/>
      </c>
      <c r="AC79">
        <f>IF(AND(Q79&lt;&gt;"",ISNUMBER(L79)),L79,"")</f>
        <v/>
      </c>
      <c r="AD79">
        <f>IF(AND(Q79&lt;&gt;"",ISNUMBER(M79)),M79,"")</f>
        <v/>
      </c>
    </row>
    <row r="80">
      <c r="A80" s="1" t="n"/>
      <c r="B80" s="17" t="n"/>
      <c r="C80" s="27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9" t="n"/>
      <c r="N80" s="21" t="n"/>
      <c r="O80" s="12">
        <f>IF(AND(B80="",C80=""),"",IF(NOT(ISNUMBER(B80)),"Needs a date",IF(C80="","Needs a client",IF(COUNTIF(Clients!$B$6:$B$105,C80)=0,"Not on Clients",IF(COUNT(D80:M80)=0,"Nothing measured","")))))</f>
        <v/>
      </c>
      <c r="P80" s="1">
        <f>IF(AND(O80="",ISNUMBER(B80)),INT(B80),0)</f>
        <v/>
      </c>
      <c r="Q80">
        <f>IF(AND(P80&gt;0,C80=Report!$C$5),P80*10000+ROW(),"")</f>
        <v/>
      </c>
      <c r="R80">
        <f>IF(AND(Q80&lt;&gt;"",ISNUMBER(D80)),Q80,"")</f>
        <v/>
      </c>
      <c r="S80">
        <f>IF(AND(Q80&lt;&gt;"",ISNUMBER(E80)),Q80,"")</f>
        <v/>
      </c>
      <c r="T80">
        <f>IF(AND(Q80&lt;&gt;"",ISNUMBER(F80)),Q80,"")</f>
        <v/>
      </c>
      <c r="U80">
        <f>IF(AND(Q80&lt;&gt;"",ISNUMBER(G80)),Q80,"")</f>
        <v/>
      </c>
      <c r="V80">
        <f>IF(AND(Q80&lt;&gt;"",ISNUMBER(H80)),Q80,"")</f>
        <v/>
      </c>
      <c r="W80">
        <f>IF(AND(Q80&lt;&gt;"",ISNUMBER(I80)),Q80,"")</f>
        <v/>
      </c>
      <c r="X80">
        <f>IF(AND(Q80&lt;&gt;"",ISNUMBER(J80)),Q80,"")</f>
        <v/>
      </c>
      <c r="Y80">
        <f>IF(AND(Q80&lt;&gt;"",ISNUMBER(K80)),Q80,"")</f>
        <v/>
      </c>
      <c r="Z80">
        <f>IF(AND(Q80&lt;&gt;"",ISNUMBER(L80)),Q80,"")</f>
        <v/>
      </c>
      <c r="AA80">
        <f>IF(AND(Q80&lt;&gt;"",ISNUMBER(M80)),Q80,"")</f>
        <v/>
      </c>
      <c r="AB80">
        <f>IF(AND(Q80&lt;&gt;"",ISNUMBER(K80)),K80,"")</f>
        <v/>
      </c>
      <c r="AC80">
        <f>IF(AND(Q80&lt;&gt;"",ISNUMBER(L80)),L80,"")</f>
        <v/>
      </c>
      <c r="AD80">
        <f>IF(AND(Q80&lt;&gt;"",ISNUMBER(M80)),M80,"")</f>
        <v/>
      </c>
    </row>
    <row r="81">
      <c r="A81" s="1" t="n"/>
      <c r="B81" s="17" t="n"/>
      <c r="C81" s="27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9" t="n"/>
      <c r="N81" s="21" t="n"/>
      <c r="O81" s="12">
        <f>IF(AND(B81="",C81=""),"",IF(NOT(ISNUMBER(B81)),"Needs a date",IF(C81="","Needs a client",IF(COUNTIF(Clients!$B$6:$B$105,C81)=0,"Not on Clients",IF(COUNT(D81:M81)=0,"Nothing measured","")))))</f>
        <v/>
      </c>
      <c r="P81" s="1">
        <f>IF(AND(O81="",ISNUMBER(B81)),INT(B81),0)</f>
        <v/>
      </c>
      <c r="Q81">
        <f>IF(AND(P81&gt;0,C81=Report!$C$5),P81*10000+ROW(),"")</f>
        <v/>
      </c>
      <c r="R81">
        <f>IF(AND(Q81&lt;&gt;"",ISNUMBER(D81)),Q81,"")</f>
        <v/>
      </c>
      <c r="S81">
        <f>IF(AND(Q81&lt;&gt;"",ISNUMBER(E81)),Q81,"")</f>
        <v/>
      </c>
      <c r="T81">
        <f>IF(AND(Q81&lt;&gt;"",ISNUMBER(F81)),Q81,"")</f>
        <v/>
      </c>
      <c r="U81">
        <f>IF(AND(Q81&lt;&gt;"",ISNUMBER(G81)),Q81,"")</f>
        <v/>
      </c>
      <c r="V81">
        <f>IF(AND(Q81&lt;&gt;"",ISNUMBER(H81)),Q81,"")</f>
        <v/>
      </c>
      <c r="W81">
        <f>IF(AND(Q81&lt;&gt;"",ISNUMBER(I81)),Q81,"")</f>
        <v/>
      </c>
      <c r="X81">
        <f>IF(AND(Q81&lt;&gt;"",ISNUMBER(J81)),Q81,"")</f>
        <v/>
      </c>
      <c r="Y81">
        <f>IF(AND(Q81&lt;&gt;"",ISNUMBER(K81)),Q81,"")</f>
        <v/>
      </c>
      <c r="Z81">
        <f>IF(AND(Q81&lt;&gt;"",ISNUMBER(L81)),Q81,"")</f>
        <v/>
      </c>
      <c r="AA81">
        <f>IF(AND(Q81&lt;&gt;"",ISNUMBER(M81)),Q81,"")</f>
        <v/>
      </c>
      <c r="AB81">
        <f>IF(AND(Q81&lt;&gt;"",ISNUMBER(K81)),K81,"")</f>
        <v/>
      </c>
      <c r="AC81">
        <f>IF(AND(Q81&lt;&gt;"",ISNUMBER(L81)),L81,"")</f>
        <v/>
      </c>
      <c r="AD81">
        <f>IF(AND(Q81&lt;&gt;"",ISNUMBER(M81)),M81,"")</f>
        <v/>
      </c>
    </row>
    <row r="82">
      <c r="A82" s="1" t="n"/>
      <c r="B82" s="17" t="n"/>
      <c r="C82" s="27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21" t="n"/>
      <c r="O82" s="12">
        <f>IF(AND(B82="",C82=""),"",IF(NOT(ISNUMBER(B82)),"Needs a date",IF(C82="","Needs a client",IF(COUNTIF(Clients!$B$6:$B$105,C82)=0,"Not on Clients",IF(COUNT(D82:M82)=0,"Nothing measured","")))))</f>
        <v/>
      </c>
      <c r="P82" s="1">
        <f>IF(AND(O82="",ISNUMBER(B82)),INT(B82),0)</f>
        <v/>
      </c>
      <c r="Q82">
        <f>IF(AND(P82&gt;0,C82=Report!$C$5),P82*10000+ROW(),"")</f>
        <v/>
      </c>
      <c r="R82">
        <f>IF(AND(Q82&lt;&gt;"",ISNUMBER(D82)),Q82,"")</f>
        <v/>
      </c>
      <c r="S82">
        <f>IF(AND(Q82&lt;&gt;"",ISNUMBER(E82)),Q82,"")</f>
        <v/>
      </c>
      <c r="T82">
        <f>IF(AND(Q82&lt;&gt;"",ISNUMBER(F82)),Q82,"")</f>
        <v/>
      </c>
      <c r="U82">
        <f>IF(AND(Q82&lt;&gt;"",ISNUMBER(G82)),Q82,"")</f>
        <v/>
      </c>
      <c r="V82">
        <f>IF(AND(Q82&lt;&gt;"",ISNUMBER(H82)),Q82,"")</f>
        <v/>
      </c>
      <c r="W82">
        <f>IF(AND(Q82&lt;&gt;"",ISNUMBER(I82)),Q82,"")</f>
        <v/>
      </c>
      <c r="X82">
        <f>IF(AND(Q82&lt;&gt;"",ISNUMBER(J82)),Q82,"")</f>
        <v/>
      </c>
      <c r="Y82">
        <f>IF(AND(Q82&lt;&gt;"",ISNUMBER(K82)),Q82,"")</f>
        <v/>
      </c>
      <c r="Z82">
        <f>IF(AND(Q82&lt;&gt;"",ISNUMBER(L82)),Q82,"")</f>
        <v/>
      </c>
      <c r="AA82">
        <f>IF(AND(Q82&lt;&gt;"",ISNUMBER(M82)),Q82,"")</f>
        <v/>
      </c>
      <c r="AB82">
        <f>IF(AND(Q82&lt;&gt;"",ISNUMBER(K82)),K82,"")</f>
        <v/>
      </c>
      <c r="AC82">
        <f>IF(AND(Q82&lt;&gt;"",ISNUMBER(L82)),L82,"")</f>
        <v/>
      </c>
      <c r="AD82">
        <f>IF(AND(Q82&lt;&gt;"",ISNUMBER(M82)),M82,"")</f>
        <v/>
      </c>
    </row>
    <row r="83">
      <c r="A83" s="1" t="n"/>
      <c r="B83" s="17" t="n"/>
      <c r="C83" s="27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9" t="n"/>
      <c r="N83" s="21" t="n"/>
      <c r="O83" s="12">
        <f>IF(AND(B83="",C83=""),"",IF(NOT(ISNUMBER(B83)),"Needs a date",IF(C83="","Needs a client",IF(COUNTIF(Clients!$B$6:$B$105,C83)=0,"Not on Clients",IF(COUNT(D83:M83)=0,"Nothing measured","")))))</f>
        <v/>
      </c>
      <c r="P83" s="1">
        <f>IF(AND(O83="",ISNUMBER(B83)),INT(B83),0)</f>
        <v/>
      </c>
      <c r="Q83">
        <f>IF(AND(P83&gt;0,C83=Report!$C$5),P83*10000+ROW(),"")</f>
        <v/>
      </c>
      <c r="R83">
        <f>IF(AND(Q83&lt;&gt;"",ISNUMBER(D83)),Q83,"")</f>
        <v/>
      </c>
      <c r="S83">
        <f>IF(AND(Q83&lt;&gt;"",ISNUMBER(E83)),Q83,"")</f>
        <v/>
      </c>
      <c r="T83">
        <f>IF(AND(Q83&lt;&gt;"",ISNUMBER(F83)),Q83,"")</f>
        <v/>
      </c>
      <c r="U83">
        <f>IF(AND(Q83&lt;&gt;"",ISNUMBER(G83)),Q83,"")</f>
        <v/>
      </c>
      <c r="V83">
        <f>IF(AND(Q83&lt;&gt;"",ISNUMBER(H83)),Q83,"")</f>
        <v/>
      </c>
      <c r="W83">
        <f>IF(AND(Q83&lt;&gt;"",ISNUMBER(I83)),Q83,"")</f>
        <v/>
      </c>
      <c r="X83">
        <f>IF(AND(Q83&lt;&gt;"",ISNUMBER(J83)),Q83,"")</f>
        <v/>
      </c>
      <c r="Y83">
        <f>IF(AND(Q83&lt;&gt;"",ISNUMBER(K83)),Q83,"")</f>
        <v/>
      </c>
      <c r="Z83">
        <f>IF(AND(Q83&lt;&gt;"",ISNUMBER(L83)),Q83,"")</f>
        <v/>
      </c>
      <c r="AA83">
        <f>IF(AND(Q83&lt;&gt;"",ISNUMBER(M83)),Q83,"")</f>
        <v/>
      </c>
      <c r="AB83">
        <f>IF(AND(Q83&lt;&gt;"",ISNUMBER(K83)),K83,"")</f>
        <v/>
      </c>
      <c r="AC83">
        <f>IF(AND(Q83&lt;&gt;"",ISNUMBER(L83)),L83,"")</f>
        <v/>
      </c>
      <c r="AD83">
        <f>IF(AND(Q83&lt;&gt;"",ISNUMBER(M83)),M83,"")</f>
        <v/>
      </c>
    </row>
    <row r="84">
      <c r="A84" s="1" t="n"/>
      <c r="B84" s="17" t="n"/>
      <c r="C84" s="27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9" t="n"/>
      <c r="N84" s="21" t="n"/>
      <c r="O84" s="12">
        <f>IF(AND(B84="",C84=""),"",IF(NOT(ISNUMBER(B84)),"Needs a date",IF(C84="","Needs a client",IF(COUNTIF(Clients!$B$6:$B$105,C84)=0,"Not on Clients",IF(COUNT(D84:M84)=0,"Nothing measured","")))))</f>
        <v/>
      </c>
      <c r="P84" s="1">
        <f>IF(AND(O84="",ISNUMBER(B84)),INT(B84),0)</f>
        <v/>
      </c>
      <c r="Q84">
        <f>IF(AND(P84&gt;0,C84=Report!$C$5),P84*10000+ROW(),"")</f>
        <v/>
      </c>
      <c r="R84">
        <f>IF(AND(Q84&lt;&gt;"",ISNUMBER(D84)),Q84,"")</f>
        <v/>
      </c>
      <c r="S84">
        <f>IF(AND(Q84&lt;&gt;"",ISNUMBER(E84)),Q84,"")</f>
        <v/>
      </c>
      <c r="T84">
        <f>IF(AND(Q84&lt;&gt;"",ISNUMBER(F84)),Q84,"")</f>
        <v/>
      </c>
      <c r="U84">
        <f>IF(AND(Q84&lt;&gt;"",ISNUMBER(G84)),Q84,"")</f>
        <v/>
      </c>
      <c r="V84">
        <f>IF(AND(Q84&lt;&gt;"",ISNUMBER(H84)),Q84,"")</f>
        <v/>
      </c>
      <c r="W84">
        <f>IF(AND(Q84&lt;&gt;"",ISNUMBER(I84)),Q84,"")</f>
        <v/>
      </c>
      <c r="X84">
        <f>IF(AND(Q84&lt;&gt;"",ISNUMBER(J84)),Q84,"")</f>
        <v/>
      </c>
      <c r="Y84">
        <f>IF(AND(Q84&lt;&gt;"",ISNUMBER(K84)),Q84,"")</f>
        <v/>
      </c>
      <c r="Z84">
        <f>IF(AND(Q84&lt;&gt;"",ISNUMBER(L84)),Q84,"")</f>
        <v/>
      </c>
      <c r="AA84">
        <f>IF(AND(Q84&lt;&gt;"",ISNUMBER(M84)),Q84,"")</f>
        <v/>
      </c>
      <c r="AB84">
        <f>IF(AND(Q84&lt;&gt;"",ISNUMBER(K84)),K84,"")</f>
        <v/>
      </c>
      <c r="AC84">
        <f>IF(AND(Q84&lt;&gt;"",ISNUMBER(L84)),L84,"")</f>
        <v/>
      </c>
      <c r="AD84">
        <f>IF(AND(Q84&lt;&gt;"",ISNUMBER(M84)),M84,"")</f>
        <v/>
      </c>
    </row>
    <row r="85">
      <c r="A85" s="1" t="n"/>
      <c r="B85" s="17" t="n"/>
      <c r="C85" s="27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9" t="n"/>
      <c r="N85" s="21" t="n"/>
      <c r="O85" s="12">
        <f>IF(AND(B85="",C85=""),"",IF(NOT(ISNUMBER(B85)),"Needs a date",IF(C85="","Needs a client",IF(COUNTIF(Clients!$B$6:$B$105,C85)=0,"Not on Clients",IF(COUNT(D85:M85)=0,"Nothing measured","")))))</f>
        <v/>
      </c>
      <c r="P85" s="1">
        <f>IF(AND(O85="",ISNUMBER(B85)),INT(B85),0)</f>
        <v/>
      </c>
      <c r="Q85">
        <f>IF(AND(P85&gt;0,C85=Report!$C$5),P85*10000+ROW(),"")</f>
        <v/>
      </c>
      <c r="R85">
        <f>IF(AND(Q85&lt;&gt;"",ISNUMBER(D85)),Q85,"")</f>
        <v/>
      </c>
      <c r="S85">
        <f>IF(AND(Q85&lt;&gt;"",ISNUMBER(E85)),Q85,"")</f>
        <v/>
      </c>
      <c r="T85">
        <f>IF(AND(Q85&lt;&gt;"",ISNUMBER(F85)),Q85,"")</f>
        <v/>
      </c>
      <c r="U85">
        <f>IF(AND(Q85&lt;&gt;"",ISNUMBER(G85)),Q85,"")</f>
        <v/>
      </c>
      <c r="V85">
        <f>IF(AND(Q85&lt;&gt;"",ISNUMBER(H85)),Q85,"")</f>
        <v/>
      </c>
      <c r="W85">
        <f>IF(AND(Q85&lt;&gt;"",ISNUMBER(I85)),Q85,"")</f>
        <v/>
      </c>
      <c r="X85">
        <f>IF(AND(Q85&lt;&gt;"",ISNUMBER(J85)),Q85,"")</f>
        <v/>
      </c>
      <c r="Y85">
        <f>IF(AND(Q85&lt;&gt;"",ISNUMBER(K85)),Q85,"")</f>
        <v/>
      </c>
      <c r="Z85">
        <f>IF(AND(Q85&lt;&gt;"",ISNUMBER(L85)),Q85,"")</f>
        <v/>
      </c>
      <c r="AA85">
        <f>IF(AND(Q85&lt;&gt;"",ISNUMBER(M85)),Q85,"")</f>
        <v/>
      </c>
      <c r="AB85">
        <f>IF(AND(Q85&lt;&gt;"",ISNUMBER(K85)),K85,"")</f>
        <v/>
      </c>
      <c r="AC85">
        <f>IF(AND(Q85&lt;&gt;"",ISNUMBER(L85)),L85,"")</f>
        <v/>
      </c>
      <c r="AD85">
        <f>IF(AND(Q85&lt;&gt;"",ISNUMBER(M85)),M85,"")</f>
        <v/>
      </c>
    </row>
    <row r="86">
      <c r="A86" s="1" t="n"/>
      <c r="B86" s="17" t="n"/>
      <c r="C86" s="27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9" t="n"/>
      <c r="N86" s="21" t="n"/>
      <c r="O86" s="12">
        <f>IF(AND(B86="",C86=""),"",IF(NOT(ISNUMBER(B86)),"Needs a date",IF(C86="","Needs a client",IF(COUNTIF(Clients!$B$6:$B$105,C86)=0,"Not on Clients",IF(COUNT(D86:M86)=0,"Nothing measured","")))))</f>
        <v/>
      </c>
      <c r="P86" s="1">
        <f>IF(AND(O86="",ISNUMBER(B86)),INT(B86),0)</f>
        <v/>
      </c>
      <c r="Q86">
        <f>IF(AND(P86&gt;0,C86=Report!$C$5),P86*10000+ROW(),"")</f>
        <v/>
      </c>
      <c r="R86">
        <f>IF(AND(Q86&lt;&gt;"",ISNUMBER(D86)),Q86,"")</f>
        <v/>
      </c>
      <c r="S86">
        <f>IF(AND(Q86&lt;&gt;"",ISNUMBER(E86)),Q86,"")</f>
        <v/>
      </c>
      <c r="T86">
        <f>IF(AND(Q86&lt;&gt;"",ISNUMBER(F86)),Q86,"")</f>
        <v/>
      </c>
      <c r="U86">
        <f>IF(AND(Q86&lt;&gt;"",ISNUMBER(G86)),Q86,"")</f>
        <v/>
      </c>
      <c r="V86">
        <f>IF(AND(Q86&lt;&gt;"",ISNUMBER(H86)),Q86,"")</f>
        <v/>
      </c>
      <c r="W86">
        <f>IF(AND(Q86&lt;&gt;"",ISNUMBER(I86)),Q86,"")</f>
        <v/>
      </c>
      <c r="X86">
        <f>IF(AND(Q86&lt;&gt;"",ISNUMBER(J86)),Q86,"")</f>
        <v/>
      </c>
      <c r="Y86">
        <f>IF(AND(Q86&lt;&gt;"",ISNUMBER(K86)),Q86,"")</f>
        <v/>
      </c>
      <c r="Z86">
        <f>IF(AND(Q86&lt;&gt;"",ISNUMBER(L86)),Q86,"")</f>
        <v/>
      </c>
      <c r="AA86">
        <f>IF(AND(Q86&lt;&gt;"",ISNUMBER(M86)),Q86,"")</f>
        <v/>
      </c>
      <c r="AB86">
        <f>IF(AND(Q86&lt;&gt;"",ISNUMBER(K86)),K86,"")</f>
        <v/>
      </c>
      <c r="AC86">
        <f>IF(AND(Q86&lt;&gt;"",ISNUMBER(L86)),L86,"")</f>
        <v/>
      </c>
      <c r="AD86">
        <f>IF(AND(Q86&lt;&gt;"",ISNUMBER(M86)),M86,"")</f>
        <v/>
      </c>
    </row>
    <row r="87">
      <c r="A87" s="1" t="n"/>
      <c r="B87" s="17" t="n"/>
      <c r="C87" s="27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9" t="n"/>
      <c r="N87" s="21" t="n"/>
      <c r="O87" s="12">
        <f>IF(AND(B87="",C87=""),"",IF(NOT(ISNUMBER(B87)),"Needs a date",IF(C87="","Needs a client",IF(COUNTIF(Clients!$B$6:$B$105,C87)=0,"Not on Clients",IF(COUNT(D87:M87)=0,"Nothing measured","")))))</f>
        <v/>
      </c>
      <c r="P87" s="1">
        <f>IF(AND(O87="",ISNUMBER(B87)),INT(B87),0)</f>
        <v/>
      </c>
      <c r="Q87">
        <f>IF(AND(P87&gt;0,C87=Report!$C$5),P87*10000+ROW(),"")</f>
        <v/>
      </c>
      <c r="R87">
        <f>IF(AND(Q87&lt;&gt;"",ISNUMBER(D87)),Q87,"")</f>
        <v/>
      </c>
      <c r="S87">
        <f>IF(AND(Q87&lt;&gt;"",ISNUMBER(E87)),Q87,"")</f>
        <v/>
      </c>
      <c r="T87">
        <f>IF(AND(Q87&lt;&gt;"",ISNUMBER(F87)),Q87,"")</f>
        <v/>
      </c>
      <c r="U87">
        <f>IF(AND(Q87&lt;&gt;"",ISNUMBER(G87)),Q87,"")</f>
        <v/>
      </c>
      <c r="V87">
        <f>IF(AND(Q87&lt;&gt;"",ISNUMBER(H87)),Q87,"")</f>
        <v/>
      </c>
      <c r="W87">
        <f>IF(AND(Q87&lt;&gt;"",ISNUMBER(I87)),Q87,"")</f>
        <v/>
      </c>
      <c r="X87">
        <f>IF(AND(Q87&lt;&gt;"",ISNUMBER(J87)),Q87,"")</f>
        <v/>
      </c>
      <c r="Y87">
        <f>IF(AND(Q87&lt;&gt;"",ISNUMBER(K87)),Q87,"")</f>
        <v/>
      </c>
      <c r="Z87">
        <f>IF(AND(Q87&lt;&gt;"",ISNUMBER(L87)),Q87,"")</f>
        <v/>
      </c>
      <c r="AA87">
        <f>IF(AND(Q87&lt;&gt;"",ISNUMBER(M87)),Q87,"")</f>
        <v/>
      </c>
      <c r="AB87">
        <f>IF(AND(Q87&lt;&gt;"",ISNUMBER(K87)),K87,"")</f>
        <v/>
      </c>
      <c r="AC87">
        <f>IF(AND(Q87&lt;&gt;"",ISNUMBER(L87)),L87,"")</f>
        <v/>
      </c>
      <c r="AD87">
        <f>IF(AND(Q87&lt;&gt;"",ISNUMBER(M87)),M87,"")</f>
        <v/>
      </c>
    </row>
    <row r="88">
      <c r="A88" s="1" t="n"/>
      <c r="B88" s="17" t="n"/>
      <c r="C88" s="27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9" t="n"/>
      <c r="N88" s="21" t="n"/>
      <c r="O88" s="12">
        <f>IF(AND(B88="",C88=""),"",IF(NOT(ISNUMBER(B88)),"Needs a date",IF(C88="","Needs a client",IF(COUNTIF(Clients!$B$6:$B$105,C88)=0,"Not on Clients",IF(COUNT(D88:M88)=0,"Nothing measured","")))))</f>
        <v/>
      </c>
      <c r="P88" s="1">
        <f>IF(AND(O88="",ISNUMBER(B88)),INT(B88),0)</f>
        <v/>
      </c>
      <c r="Q88">
        <f>IF(AND(P88&gt;0,C88=Report!$C$5),P88*10000+ROW(),"")</f>
        <v/>
      </c>
      <c r="R88">
        <f>IF(AND(Q88&lt;&gt;"",ISNUMBER(D88)),Q88,"")</f>
        <v/>
      </c>
      <c r="S88">
        <f>IF(AND(Q88&lt;&gt;"",ISNUMBER(E88)),Q88,"")</f>
        <v/>
      </c>
      <c r="T88">
        <f>IF(AND(Q88&lt;&gt;"",ISNUMBER(F88)),Q88,"")</f>
        <v/>
      </c>
      <c r="U88">
        <f>IF(AND(Q88&lt;&gt;"",ISNUMBER(G88)),Q88,"")</f>
        <v/>
      </c>
      <c r="V88">
        <f>IF(AND(Q88&lt;&gt;"",ISNUMBER(H88)),Q88,"")</f>
        <v/>
      </c>
      <c r="W88">
        <f>IF(AND(Q88&lt;&gt;"",ISNUMBER(I88)),Q88,"")</f>
        <v/>
      </c>
      <c r="X88">
        <f>IF(AND(Q88&lt;&gt;"",ISNUMBER(J88)),Q88,"")</f>
        <v/>
      </c>
      <c r="Y88">
        <f>IF(AND(Q88&lt;&gt;"",ISNUMBER(K88)),Q88,"")</f>
        <v/>
      </c>
      <c r="Z88">
        <f>IF(AND(Q88&lt;&gt;"",ISNUMBER(L88)),Q88,"")</f>
        <v/>
      </c>
      <c r="AA88">
        <f>IF(AND(Q88&lt;&gt;"",ISNUMBER(M88)),Q88,"")</f>
        <v/>
      </c>
      <c r="AB88">
        <f>IF(AND(Q88&lt;&gt;"",ISNUMBER(K88)),K88,"")</f>
        <v/>
      </c>
      <c r="AC88">
        <f>IF(AND(Q88&lt;&gt;"",ISNUMBER(L88)),L88,"")</f>
        <v/>
      </c>
      <c r="AD88">
        <f>IF(AND(Q88&lt;&gt;"",ISNUMBER(M88)),M88,"")</f>
        <v/>
      </c>
    </row>
    <row r="89">
      <c r="A89" s="1" t="n"/>
      <c r="B89" s="17" t="n"/>
      <c r="C89" s="27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21" t="n"/>
      <c r="O89" s="12">
        <f>IF(AND(B89="",C89=""),"",IF(NOT(ISNUMBER(B89)),"Needs a date",IF(C89="","Needs a client",IF(COUNTIF(Clients!$B$6:$B$105,C89)=0,"Not on Clients",IF(COUNT(D89:M89)=0,"Nothing measured","")))))</f>
        <v/>
      </c>
      <c r="P89" s="1">
        <f>IF(AND(O89="",ISNUMBER(B89)),INT(B89),0)</f>
        <v/>
      </c>
      <c r="Q89">
        <f>IF(AND(P89&gt;0,C89=Report!$C$5),P89*10000+ROW(),"")</f>
        <v/>
      </c>
      <c r="R89">
        <f>IF(AND(Q89&lt;&gt;"",ISNUMBER(D89)),Q89,"")</f>
        <v/>
      </c>
      <c r="S89">
        <f>IF(AND(Q89&lt;&gt;"",ISNUMBER(E89)),Q89,"")</f>
        <v/>
      </c>
      <c r="T89">
        <f>IF(AND(Q89&lt;&gt;"",ISNUMBER(F89)),Q89,"")</f>
        <v/>
      </c>
      <c r="U89">
        <f>IF(AND(Q89&lt;&gt;"",ISNUMBER(G89)),Q89,"")</f>
        <v/>
      </c>
      <c r="V89">
        <f>IF(AND(Q89&lt;&gt;"",ISNUMBER(H89)),Q89,"")</f>
        <v/>
      </c>
      <c r="W89">
        <f>IF(AND(Q89&lt;&gt;"",ISNUMBER(I89)),Q89,"")</f>
        <v/>
      </c>
      <c r="X89">
        <f>IF(AND(Q89&lt;&gt;"",ISNUMBER(J89)),Q89,"")</f>
        <v/>
      </c>
      <c r="Y89">
        <f>IF(AND(Q89&lt;&gt;"",ISNUMBER(K89)),Q89,"")</f>
        <v/>
      </c>
      <c r="Z89">
        <f>IF(AND(Q89&lt;&gt;"",ISNUMBER(L89)),Q89,"")</f>
        <v/>
      </c>
      <c r="AA89">
        <f>IF(AND(Q89&lt;&gt;"",ISNUMBER(M89)),Q89,"")</f>
        <v/>
      </c>
      <c r="AB89">
        <f>IF(AND(Q89&lt;&gt;"",ISNUMBER(K89)),K89,"")</f>
        <v/>
      </c>
      <c r="AC89">
        <f>IF(AND(Q89&lt;&gt;"",ISNUMBER(L89)),L89,"")</f>
        <v/>
      </c>
      <c r="AD89">
        <f>IF(AND(Q89&lt;&gt;"",ISNUMBER(M89)),M89,"")</f>
        <v/>
      </c>
    </row>
    <row r="90">
      <c r="A90" s="1" t="n"/>
      <c r="B90" s="17" t="n"/>
      <c r="C90" s="27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9" t="n"/>
      <c r="N90" s="21" t="n"/>
      <c r="O90" s="12">
        <f>IF(AND(B90="",C90=""),"",IF(NOT(ISNUMBER(B90)),"Needs a date",IF(C90="","Needs a client",IF(COUNTIF(Clients!$B$6:$B$105,C90)=0,"Not on Clients",IF(COUNT(D90:M90)=0,"Nothing measured","")))))</f>
        <v/>
      </c>
      <c r="P90" s="1">
        <f>IF(AND(O90="",ISNUMBER(B90)),INT(B90),0)</f>
        <v/>
      </c>
      <c r="Q90">
        <f>IF(AND(P90&gt;0,C90=Report!$C$5),P90*10000+ROW(),"")</f>
        <v/>
      </c>
      <c r="R90">
        <f>IF(AND(Q90&lt;&gt;"",ISNUMBER(D90)),Q90,"")</f>
        <v/>
      </c>
      <c r="S90">
        <f>IF(AND(Q90&lt;&gt;"",ISNUMBER(E90)),Q90,"")</f>
        <v/>
      </c>
      <c r="T90">
        <f>IF(AND(Q90&lt;&gt;"",ISNUMBER(F90)),Q90,"")</f>
        <v/>
      </c>
      <c r="U90">
        <f>IF(AND(Q90&lt;&gt;"",ISNUMBER(G90)),Q90,"")</f>
        <v/>
      </c>
      <c r="V90">
        <f>IF(AND(Q90&lt;&gt;"",ISNUMBER(H90)),Q90,"")</f>
        <v/>
      </c>
      <c r="W90">
        <f>IF(AND(Q90&lt;&gt;"",ISNUMBER(I90)),Q90,"")</f>
        <v/>
      </c>
      <c r="X90">
        <f>IF(AND(Q90&lt;&gt;"",ISNUMBER(J90)),Q90,"")</f>
        <v/>
      </c>
      <c r="Y90">
        <f>IF(AND(Q90&lt;&gt;"",ISNUMBER(K90)),Q90,"")</f>
        <v/>
      </c>
      <c r="Z90">
        <f>IF(AND(Q90&lt;&gt;"",ISNUMBER(L90)),Q90,"")</f>
        <v/>
      </c>
      <c r="AA90">
        <f>IF(AND(Q90&lt;&gt;"",ISNUMBER(M90)),Q90,"")</f>
        <v/>
      </c>
      <c r="AB90">
        <f>IF(AND(Q90&lt;&gt;"",ISNUMBER(K90)),K90,"")</f>
        <v/>
      </c>
      <c r="AC90">
        <f>IF(AND(Q90&lt;&gt;"",ISNUMBER(L90)),L90,"")</f>
        <v/>
      </c>
      <c r="AD90">
        <f>IF(AND(Q90&lt;&gt;"",ISNUMBER(M90)),M90,"")</f>
        <v/>
      </c>
    </row>
    <row r="91">
      <c r="A91" s="1" t="n"/>
      <c r="B91" s="17" t="n"/>
      <c r="C91" s="27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9" t="n"/>
      <c r="N91" s="21" t="n"/>
      <c r="O91" s="12">
        <f>IF(AND(B91="",C91=""),"",IF(NOT(ISNUMBER(B91)),"Needs a date",IF(C91="","Needs a client",IF(COUNTIF(Clients!$B$6:$B$105,C91)=0,"Not on Clients",IF(COUNT(D91:M91)=0,"Nothing measured","")))))</f>
        <v/>
      </c>
      <c r="P91" s="1">
        <f>IF(AND(O91="",ISNUMBER(B91)),INT(B91),0)</f>
        <v/>
      </c>
      <c r="Q91">
        <f>IF(AND(P91&gt;0,C91=Report!$C$5),P91*10000+ROW(),"")</f>
        <v/>
      </c>
      <c r="R91">
        <f>IF(AND(Q91&lt;&gt;"",ISNUMBER(D91)),Q91,"")</f>
        <v/>
      </c>
      <c r="S91">
        <f>IF(AND(Q91&lt;&gt;"",ISNUMBER(E91)),Q91,"")</f>
        <v/>
      </c>
      <c r="T91">
        <f>IF(AND(Q91&lt;&gt;"",ISNUMBER(F91)),Q91,"")</f>
        <v/>
      </c>
      <c r="U91">
        <f>IF(AND(Q91&lt;&gt;"",ISNUMBER(G91)),Q91,"")</f>
        <v/>
      </c>
      <c r="V91">
        <f>IF(AND(Q91&lt;&gt;"",ISNUMBER(H91)),Q91,"")</f>
        <v/>
      </c>
      <c r="W91">
        <f>IF(AND(Q91&lt;&gt;"",ISNUMBER(I91)),Q91,"")</f>
        <v/>
      </c>
      <c r="X91">
        <f>IF(AND(Q91&lt;&gt;"",ISNUMBER(J91)),Q91,"")</f>
        <v/>
      </c>
      <c r="Y91">
        <f>IF(AND(Q91&lt;&gt;"",ISNUMBER(K91)),Q91,"")</f>
        <v/>
      </c>
      <c r="Z91">
        <f>IF(AND(Q91&lt;&gt;"",ISNUMBER(L91)),Q91,"")</f>
        <v/>
      </c>
      <c r="AA91">
        <f>IF(AND(Q91&lt;&gt;"",ISNUMBER(M91)),Q91,"")</f>
        <v/>
      </c>
      <c r="AB91">
        <f>IF(AND(Q91&lt;&gt;"",ISNUMBER(K91)),K91,"")</f>
        <v/>
      </c>
      <c r="AC91">
        <f>IF(AND(Q91&lt;&gt;"",ISNUMBER(L91)),L91,"")</f>
        <v/>
      </c>
      <c r="AD91">
        <f>IF(AND(Q91&lt;&gt;"",ISNUMBER(M91)),M91,"")</f>
        <v/>
      </c>
    </row>
    <row r="92">
      <c r="A92" s="1" t="n"/>
      <c r="B92" s="17" t="n"/>
      <c r="C92" s="27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9" t="n"/>
      <c r="N92" s="21" t="n"/>
      <c r="O92" s="12">
        <f>IF(AND(B92="",C92=""),"",IF(NOT(ISNUMBER(B92)),"Needs a date",IF(C92="","Needs a client",IF(COUNTIF(Clients!$B$6:$B$105,C92)=0,"Not on Clients",IF(COUNT(D92:M92)=0,"Nothing measured","")))))</f>
        <v/>
      </c>
      <c r="P92" s="1">
        <f>IF(AND(O92="",ISNUMBER(B92)),INT(B92),0)</f>
        <v/>
      </c>
      <c r="Q92">
        <f>IF(AND(P92&gt;0,C92=Report!$C$5),P92*10000+ROW(),"")</f>
        <v/>
      </c>
      <c r="R92">
        <f>IF(AND(Q92&lt;&gt;"",ISNUMBER(D92)),Q92,"")</f>
        <v/>
      </c>
      <c r="S92">
        <f>IF(AND(Q92&lt;&gt;"",ISNUMBER(E92)),Q92,"")</f>
        <v/>
      </c>
      <c r="T92">
        <f>IF(AND(Q92&lt;&gt;"",ISNUMBER(F92)),Q92,"")</f>
        <v/>
      </c>
      <c r="U92">
        <f>IF(AND(Q92&lt;&gt;"",ISNUMBER(G92)),Q92,"")</f>
        <v/>
      </c>
      <c r="V92">
        <f>IF(AND(Q92&lt;&gt;"",ISNUMBER(H92)),Q92,"")</f>
        <v/>
      </c>
      <c r="W92">
        <f>IF(AND(Q92&lt;&gt;"",ISNUMBER(I92)),Q92,"")</f>
        <v/>
      </c>
      <c r="X92">
        <f>IF(AND(Q92&lt;&gt;"",ISNUMBER(J92)),Q92,"")</f>
        <v/>
      </c>
      <c r="Y92">
        <f>IF(AND(Q92&lt;&gt;"",ISNUMBER(K92)),Q92,"")</f>
        <v/>
      </c>
      <c r="Z92">
        <f>IF(AND(Q92&lt;&gt;"",ISNUMBER(L92)),Q92,"")</f>
        <v/>
      </c>
      <c r="AA92">
        <f>IF(AND(Q92&lt;&gt;"",ISNUMBER(M92)),Q92,"")</f>
        <v/>
      </c>
      <c r="AB92">
        <f>IF(AND(Q92&lt;&gt;"",ISNUMBER(K92)),K92,"")</f>
        <v/>
      </c>
      <c r="AC92">
        <f>IF(AND(Q92&lt;&gt;"",ISNUMBER(L92)),L92,"")</f>
        <v/>
      </c>
      <c r="AD92">
        <f>IF(AND(Q92&lt;&gt;"",ISNUMBER(M92)),M92,"")</f>
        <v/>
      </c>
    </row>
    <row r="93">
      <c r="A93" s="1" t="n"/>
      <c r="B93" s="17" t="n"/>
      <c r="C93" s="27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9" t="n"/>
      <c r="N93" s="21" t="n"/>
      <c r="O93" s="12">
        <f>IF(AND(B93="",C93=""),"",IF(NOT(ISNUMBER(B93)),"Needs a date",IF(C93="","Needs a client",IF(COUNTIF(Clients!$B$6:$B$105,C93)=0,"Not on Clients",IF(COUNT(D93:M93)=0,"Nothing measured","")))))</f>
        <v/>
      </c>
      <c r="P93" s="1">
        <f>IF(AND(O93="",ISNUMBER(B93)),INT(B93),0)</f>
        <v/>
      </c>
      <c r="Q93">
        <f>IF(AND(P93&gt;0,C93=Report!$C$5),P93*10000+ROW(),"")</f>
        <v/>
      </c>
      <c r="R93">
        <f>IF(AND(Q93&lt;&gt;"",ISNUMBER(D93)),Q93,"")</f>
        <v/>
      </c>
      <c r="S93">
        <f>IF(AND(Q93&lt;&gt;"",ISNUMBER(E93)),Q93,"")</f>
        <v/>
      </c>
      <c r="T93">
        <f>IF(AND(Q93&lt;&gt;"",ISNUMBER(F93)),Q93,"")</f>
        <v/>
      </c>
      <c r="U93">
        <f>IF(AND(Q93&lt;&gt;"",ISNUMBER(G93)),Q93,"")</f>
        <v/>
      </c>
      <c r="V93">
        <f>IF(AND(Q93&lt;&gt;"",ISNUMBER(H93)),Q93,"")</f>
        <v/>
      </c>
      <c r="W93">
        <f>IF(AND(Q93&lt;&gt;"",ISNUMBER(I93)),Q93,"")</f>
        <v/>
      </c>
      <c r="X93">
        <f>IF(AND(Q93&lt;&gt;"",ISNUMBER(J93)),Q93,"")</f>
        <v/>
      </c>
      <c r="Y93">
        <f>IF(AND(Q93&lt;&gt;"",ISNUMBER(K93)),Q93,"")</f>
        <v/>
      </c>
      <c r="Z93">
        <f>IF(AND(Q93&lt;&gt;"",ISNUMBER(L93)),Q93,"")</f>
        <v/>
      </c>
      <c r="AA93">
        <f>IF(AND(Q93&lt;&gt;"",ISNUMBER(M93)),Q93,"")</f>
        <v/>
      </c>
      <c r="AB93">
        <f>IF(AND(Q93&lt;&gt;"",ISNUMBER(K93)),K93,"")</f>
        <v/>
      </c>
      <c r="AC93">
        <f>IF(AND(Q93&lt;&gt;"",ISNUMBER(L93)),L93,"")</f>
        <v/>
      </c>
      <c r="AD93">
        <f>IF(AND(Q93&lt;&gt;"",ISNUMBER(M93)),M93,"")</f>
        <v/>
      </c>
    </row>
    <row r="94">
      <c r="A94" s="1" t="n"/>
      <c r="B94" s="17" t="n"/>
      <c r="C94" s="27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9" t="n"/>
      <c r="N94" s="21" t="n"/>
      <c r="O94" s="12">
        <f>IF(AND(B94="",C94=""),"",IF(NOT(ISNUMBER(B94)),"Needs a date",IF(C94="","Needs a client",IF(COUNTIF(Clients!$B$6:$B$105,C94)=0,"Not on Clients",IF(COUNT(D94:M94)=0,"Nothing measured","")))))</f>
        <v/>
      </c>
      <c r="P94" s="1">
        <f>IF(AND(O94="",ISNUMBER(B94)),INT(B94),0)</f>
        <v/>
      </c>
      <c r="Q94">
        <f>IF(AND(P94&gt;0,C94=Report!$C$5),P94*10000+ROW(),"")</f>
        <v/>
      </c>
      <c r="R94">
        <f>IF(AND(Q94&lt;&gt;"",ISNUMBER(D94)),Q94,"")</f>
        <v/>
      </c>
      <c r="S94">
        <f>IF(AND(Q94&lt;&gt;"",ISNUMBER(E94)),Q94,"")</f>
        <v/>
      </c>
      <c r="T94">
        <f>IF(AND(Q94&lt;&gt;"",ISNUMBER(F94)),Q94,"")</f>
        <v/>
      </c>
      <c r="U94">
        <f>IF(AND(Q94&lt;&gt;"",ISNUMBER(G94)),Q94,"")</f>
        <v/>
      </c>
      <c r="V94">
        <f>IF(AND(Q94&lt;&gt;"",ISNUMBER(H94)),Q94,"")</f>
        <v/>
      </c>
      <c r="W94">
        <f>IF(AND(Q94&lt;&gt;"",ISNUMBER(I94)),Q94,"")</f>
        <v/>
      </c>
      <c r="X94">
        <f>IF(AND(Q94&lt;&gt;"",ISNUMBER(J94)),Q94,"")</f>
        <v/>
      </c>
      <c r="Y94">
        <f>IF(AND(Q94&lt;&gt;"",ISNUMBER(K94)),Q94,"")</f>
        <v/>
      </c>
      <c r="Z94">
        <f>IF(AND(Q94&lt;&gt;"",ISNUMBER(L94)),Q94,"")</f>
        <v/>
      </c>
      <c r="AA94">
        <f>IF(AND(Q94&lt;&gt;"",ISNUMBER(M94)),Q94,"")</f>
        <v/>
      </c>
      <c r="AB94">
        <f>IF(AND(Q94&lt;&gt;"",ISNUMBER(K94)),K94,"")</f>
        <v/>
      </c>
      <c r="AC94">
        <f>IF(AND(Q94&lt;&gt;"",ISNUMBER(L94)),L94,"")</f>
        <v/>
      </c>
      <c r="AD94">
        <f>IF(AND(Q94&lt;&gt;"",ISNUMBER(M94)),M94,"")</f>
        <v/>
      </c>
    </row>
    <row r="95">
      <c r="A95" s="1" t="n"/>
      <c r="B95" s="17" t="n"/>
      <c r="C95" s="27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9" t="n"/>
      <c r="N95" s="21" t="n"/>
      <c r="O95" s="12">
        <f>IF(AND(B95="",C95=""),"",IF(NOT(ISNUMBER(B95)),"Needs a date",IF(C95="","Needs a client",IF(COUNTIF(Clients!$B$6:$B$105,C95)=0,"Not on Clients",IF(COUNT(D95:M95)=0,"Nothing measured","")))))</f>
        <v/>
      </c>
      <c r="P95" s="1">
        <f>IF(AND(O95="",ISNUMBER(B95)),INT(B95),0)</f>
        <v/>
      </c>
      <c r="Q95">
        <f>IF(AND(P95&gt;0,C95=Report!$C$5),P95*10000+ROW(),"")</f>
        <v/>
      </c>
      <c r="R95">
        <f>IF(AND(Q95&lt;&gt;"",ISNUMBER(D95)),Q95,"")</f>
        <v/>
      </c>
      <c r="S95">
        <f>IF(AND(Q95&lt;&gt;"",ISNUMBER(E95)),Q95,"")</f>
        <v/>
      </c>
      <c r="T95">
        <f>IF(AND(Q95&lt;&gt;"",ISNUMBER(F95)),Q95,"")</f>
        <v/>
      </c>
      <c r="U95">
        <f>IF(AND(Q95&lt;&gt;"",ISNUMBER(G95)),Q95,"")</f>
        <v/>
      </c>
      <c r="V95">
        <f>IF(AND(Q95&lt;&gt;"",ISNUMBER(H95)),Q95,"")</f>
        <v/>
      </c>
      <c r="W95">
        <f>IF(AND(Q95&lt;&gt;"",ISNUMBER(I95)),Q95,"")</f>
        <v/>
      </c>
      <c r="X95">
        <f>IF(AND(Q95&lt;&gt;"",ISNUMBER(J95)),Q95,"")</f>
        <v/>
      </c>
      <c r="Y95">
        <f>IF(AND(Q95&lt;&gt;"",ISNUMBER(K95)),Q95,"")</f>
        <v/>
      </c>
      <c r="Z95">
        <f>IF(AND(Q95&lt;&gt;"",ISNUMBER(L95)),Q95,"")</f>
        <v/>
      </c>
      <c r="AA95">
        <f>IF(AND(Q95&lt;&gt;"",ISNUMBER(M95)),Q95,"")</f>
        <v/>
      </c>
      <c r="AB95">
        <f>IF(AND(Q95&lt;&gt;"",ISNUMBER(K95)),K95,"")</f>
        <v/>
      </c>
      <c r="AC95">
        <f>IF(AND(Q95&lt;&gt;"",ISNUMBER(L95)),L95,"")</f>
        <v/>
      </c>
      <c r="AD95">
        <f>IF(AND(Q95&lt;&gt;"",ISNUMBER(M95)),M95,"")</f>
        <v/>
      </c>
    </row>
    <row r="96">
      <c r="A96" s="1" t="n"/>
      <c r="B96" s="17" t="n"/>
      <c r="C96" s="27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9" t="n"/>
      <c r="N96" s="21" t="n"/>
      <c r="O96" s="12">
        <f>IF(AND(B96="",C96=""),"",IF(NOT(ISNUMBER(B96)),"Needs a date",IF(C96="","Needs a client",IF(COUNTIF(Clients!$B$6:$B$105,C96)=0,"Not on Clients",IF(COUNT(D96:M96)=0,"Nothing measured","")))))</f>
        <v/>
      </c>
      <c r="P96" s="1">
        <f>IF(AND(O96="",ISNUMBER(B96)),INT(B96),0)</f>
        <v/>
      </c>
      <c r="Q96">
        <f>IF(AND(P96&gt;0,C96=Report!$C$5),P96*10000+ROW(),"")</f>
        <v/>
      </c>
      <c r="R96">
        <f>IF(AND(Q96&lt;&gt;"",ISNUMBER(D96)),Q96,"")</f>
        <v/>
      </c>
      <c r="S96">
        <f>IF(AND(Q96&lt;&gt;"",ISNUMBER(E96)),Q96,"")</f>
        <v/>
      </c>
      <c r="T96">
        <f>IF(AND(Q96&lt;&gt;"",ISNUMBER(F96)),Q96,"")</f>
        <v/>
      </c>
      <c r="U96">
        <f>IF(AND(Q96&lt;&gt;"",ISNUMBER(G96)),Q96,"")</f>
        <v/>
      </c>
      <c r="V96">
        <f>IF(AND(Q96&lt;&gt;"",ISNUMBER(H96)),Q96,"")</f>
        <v/>
      </c>
      <c r="W96">
        <f>IF(AND(Q96&lt;&gt;"",ISNUMBER(I96)),Q96,"")</f>
        <v/>
      </c>
      <c r="X96">
        <f>IF(AND(Q96&lt;&gt;"",ISNUMBER(J96)),Q96,"")</f>
        <v/>
      </c>
      <c r="Y96">
        <f>IF(AND(Q96&lt;&gt;"",ISNUMBER(K96)),Q96,"")</f>
        <v/>
      </c>
      <c r="Z96">
        <f>IF(AND(Q96&lt;&gt;"",ISNUMBER(L96)),Q96,"")</f>
        <v/>
      </c>
      <c r="AA96">
        <f>IF(AND(Q96&lt;&gt;"",ISNUMBER(M96)),Q96,"")</f>
        <v/>
      </c>
      <c r="AB96">
        <f>IF(AND(Q96&lt;&gt;"",ISNUMBER(K96)),K96,"")</f>
        <v/>
      </c>
      <c r="AC96">
        <f>IF(AND(Q96&lt;&gt;"",ISNUMBER(L96)),L96,"")</f>
        <v/>
      </c>
      <c r="AD96">
        <f>IF(AND(Q96&lt;&gt;"",ISNUMBER(M96)),M96,"")</f>
        <v/>
      </c>
    </row>
    <row r="97">
      <c r="A97" s="1" t="n"/>
      <c r="B97" s="17" t="n"/>
      <c r="C97" s="27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9" t="n"/>
      <c r="N97" s="21" t="n"/>
      <c r="O97" s="12">
        <f>IF(AND(B97="",C97=""),"",IF(NOT(ISNUMBER(B97)),"Needs a date",IF(C97="","Needs a client",IF(COUNTIF(Clients!$B$6:$B$105,C97)=0,"Not on Clients",IF(COUNT(D97:M97)=0,"Nothing measured","")))))</f>
        <v/>
      </c>
      <c r="P97" s="1">
        <f>IF(AND(O97="",ISNUMBER(B97)),INT(B97),0)</f>
        <v/>
      </c>
      <c r="Q97">
        <f>IF(AND(P97&gt;0,C97=Report!$C$5),P97*10000+ROW(),"")</f>
        <v/>
      </c>
      <c r="R97">
        <f>IF(AND(Q97&lt;&gt;"",ISNUMBER(D97)),Q97,"")</f>
        <v/>
      </c>
      <c r="S97">
        <f>IF(AND(Q97&lt;&gt;"",ISNUMBER(E97)),Q97,"")</f>
        <v/>
      </c>
      <c r="T97">
        <f>IF(AND(Q97&lt;&gt;"",ISNUMBER(F97)),Q97,"")</f>
        <v/>
      </c>
      <c r="U97">
        <f>IF(AND(Q97&lt;&gt;"",ISNUMBER(G97)),Q97,"")</f>
        <v/>
      </c>
      <c r="V97">
        <f>IF(AND(Q97&lt;&gt;"",ISNUMBER(H97)),Q97,"")</f>
        <v/>
      </c>
      <c r="W97">
        <f>IF(AND(Q97&lt;&gt;"",ISNUMBER(I97)),Q97,"")</f>
        <v/>
      </c>
      <c r="X97">
        <f>IF(AND(Q97&lt;&gt;"",ISNUMBER(J97)),Q97,"")</f>
        <v/>
      </c>
      <c r="Y97">
        <f>IF(AND(Q97&lt;&gt;"",ISNUMBER(K97)),Q97,"")</f>
        <v/>
      </c>
      <c r="Z97">
        <f>IF(AND(Q97&lt;&gt;"",ISNUMBER(L97)),Q97,"")</f>
        <v/>
      </c>
      <c r="AA97">
        <f>IF(AND(Q97&lt;&gt;"",ISNUMBER(M97)),Q97,"")</f>
        <v/>
      </c>
      <c r="AB97">
        <f>IF(AND(Q97&lt;&gt;"",ISNUMBER(K97)),K97,"")</f>
        <v/>
      </c>
      <c r="AC97">
        <f>IF(AND(Q97&lt;&gt;"",ISNUMBER(L97)),L97,"")</f>
        <v/>
      </c>
      <c r="AD97">
        <f>IF(AND(Q97&lt;&gt;"",ISNUMBER(M97)),M97,"")</f>
        <v/>
      </c>
    </row>
    <row r="98">
      <c r="A98" s="1" t="n"/>
      <c r="B98" s="17" t="n"/>
      <c r="C98" s="27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9" t="n"/>
      <c r="N98" s="21" t="n"/>
      <c r="O98" s="12">
        <f>IF(AND(B98="",C98=""),"",IF(NOT(ISNUMBER(B98)),"Needs a date",IF(C98="","Needs a client",IF(COUNTIF(Clients!$B$6:$B$105,C98)=0,"Not on Clients",IF(COUNT(D98:M98)=0,"Nothing measured","")))))</f>
        <v/>
      </c>
      <c r="P98" s="1">
        <f>IF(AND(O98="",ISNUMBER(B98)),INT(B98),0)</f>
        <v/>
      </c>
      <c r="Q98">
        <f>IF(AND(P98&gt;0,C98=Report!$C$5),P98*10000+ROW(),"")</f>
        <v/>
      </c>
      <c r="R98">
        <f>IF(AND(Q98&lt;&gt;"",ISNUMBER(D98)),Q98,"")</f>
        <v/>
      </c>
      <c r="S98">
        <f>IF(AND(Q98&lt;&gt;"",ISNUMBER(E98)),Q98,"")</f>
        <v/>
      </c>
      <c r="T98">
        <f>IF(AND(Q98&lt;&gt;"",ISNUMBER(F98)),Q98,"")</f>
        <v/>
      </c>
      <c r="U98">
        <f>IF(AND(Q98&lt;&gt;"",ISNUMBER(G98)),Q98,"")</f>
        <v/>
      </c>
      <c r="V98">
        <f>IF(AND(Q98&lt;&gt;"",ISNUMBER(H98)),Q98,"")</f>
        <v/>
      </c>
      <c r="W98">
        <f>IF(AND(Q98&lt;&gt;"",ISNUMBER(I98)),Q98,"")</f>
        <v/>
      </c>
      <c r="X98">
        <f>IF(AND(Q98&lt;&gt;"",ISNUMBER(J98)),Q98,"")</f>
        <v/>
      </c>
      <c r="Y98">
        <f>IF(AND(Q98&lt;&gt;"",ISNUMBER(K98)),Q98,"")</f>
        <v/>
      </c>
      <c r="Z98">
        <f>IF(AND(Q98&lt;&gt;"",ISNUMBER(L98)),Q98,"")</f>
        <v/>
      </c>
      <c r="AA98">
        <f>IF(AND(Q98&lt;&gt;"",ISNUMBER(M98)),Q98,"")</f>
        <v/>
      </c>
      <c r="AB98">
        <f>IF(AND(Q98&lt;&gt;"",ISNUMBER(K98)),K98,"")</f>
        <v/>
      </c>
      <c r="AC98">
        <f>IF(AND(Q98&lt;&gt;"",ISNUMBER(L98)),L98,"")</f>
        <v/>
      </c>
      <c r="AD98">
        <f>IF(AND(Q98&lt;&gt;"",ISNUMBER(M98)),M98,"")</f>
        <v/>
      </c>
    </row>
    <row r="99">
      <c r="A99" s="1" t="n"/>
      <c r="B99" s="17" t="n"/>
      <c r="C99" s="27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9" t="n"/>
      <c r="N99" s="21" t="n"/>
      <c r="O99" s="12">
        <f>IF(AND(B99="",C99=""),"",IF(NOT(ISNUMBER(B99)),"Needs a date",IF(C99="","Needs a client",IF(COUNTIF(Clients!$B$6:$B$105,C99)=0,"Not on Clients",IF(COUNT(D99:M99)=0,"Nothing measured","")))))</f>
        <v/>
      </c>
      <c r="P99" s="1">
        <f>IF(AND(O99="",ISNUMBER(B99)),INT(B99),0)</f>
        <v/>
      </c>
      <c r="Q99">
        <f>IF(AND(P99&gt;0,C99=Report!$C$5),P99*10000+ROW(),"")</f>
        <v/>
      </c>
      <c r="R99">
        <f>IF(AND(Q99&lt;&gt;"",ISNUMBER(D99)),Q99,"")</f>
        <v/>
      </c>
      <c r="S99">
        <f>IF(AND(Q99&lt;&gt;"",ISNUMBER(E99)),Q99,"")</f>
        <v/>
      </c>
      <c r="T99">
        <f>IF(AND(Q99&lt;&gt;"",ISNUMBER(F99)),Q99,"")</f>
        <v/>
      </c>
      <c r="U99">
        <f>IF(AND(Q99&lt;&gt;"",ISNUMBER(G99)),Q99,"")</f>
        <v/>
      </c>
      <c r="V99">
        <f>IF(AND(Q99&lt;&gt;"",ISNUMBER(H99)),Q99,"")</f>
        <v/>
      </c>
      <c r="W99">
        <f>IF(AND(Q99&lt;&gt;"",ISNUMBER(I99)),Q99,"")</f>
        <v/>
      </c>
      <c r="X99">
        <f>IF(AND(Q99&lt;&gt;"",ISNUMBER(J99)),Q99,"")</f>
        <v/>
      </c>
      <c r="Y99">
        <f>IF(AND(Q99&lt;&gt;"",ISNUMBER(K99)),Q99,"")</f>
        <v/>
      </c>
      <c r="Z99">
        <f>IF(AND(Q99&lt;&gt;"",ISNUMBER(L99)),Q99,"")</f>
        <v/>
      </c>
      <c r="AA99">
        <f>IF(AND(Q99&lt;&gt;"",ISNUMBER(M99)),Q99,"")</f>
        <v/>
      </c>
      <c r="AB99">
        <f>IF(AND(Q99&lt;&gt;"",ISNUMBER(K99)),K99,"")</f>
        <v/>
      </c>
      <c r="AC99">
        <f>IF(AND(Q99&lt;&gt;"",ISNUMBER(L99)),L99,"")</f>
        <v/>
      </c>
      <c r="AD99">
        <f>IF(AND(Q99&lt;&gt;"",ISNUMBER(M99)),M99,"")</f>
        <v/>
      </c>
    </row>
    <row r="100">
      <c r="A100" s="1" t="n"/>
      <c r="B100" s="17" t="n"/>
      <c r="C100" s="27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9" t="n"/>
      <c r="N100" s="21" t="n"/>
      <c r="O100" s="12">
        <f>IF(AND(B100="",C100=""),"",IF(NOT(ISNUMBER(B100)),"Needs a date",IF(C100="","Needs a client",IF(COUNTIF(Clients!$B$6:$B$105,C100)=0,"Not on Clients",IF(COUNT(D100:M100)=0,"Nothing measured","")))))</f>
        <v/>
      </c>
      <c r="P100" s="1">
        <f>IF(AND(O100="",ISNUMBER(B100)),INT(B100),0)</f>
        <v/>
      </c>
      <c r="Q100">
        <f>IF(AND(P100&gt;0,C100=Report!$C$5),P100*10000+ROW(),"")</f>
        <v/>
      </c>
      <c r="R100">
        <f>IF(AND(Q100&lt;&gt;"",ISNUMBER(D100)),Q100,"")</f>
        <v/>
      </c>
      <c r="S100">
        <f>IF(AND(Q100&lt;&gt;"",ISNUMBER(E100)),Q100,"")</f>
        <v/>
      </c>
      <c r="T100">
        <f>IF(AND(Q100&lt;&gt;"",ISNUMBER(F100)),Q100,"")</f>
        <v/>
      </c>
      <c r="U100">
        <f>IF(AND(Q100&lt;&gt;"",ISNUMBER(G100)),Q100,"")</f>
        <v/>
      </c>
      <c r="V100">
        <f>IF(AND(Q100&lt;&gt;"",ISNUMBER(H100)),Q100,"")</f>
        <v/>
      </c>
      <c r="W100">
        <f>IF(AND(Q100&lt;&gt;"",ISNUMBER(I100)),Q100,"")</f>
        <v/>
      </c>
      <c r="X100">
        <f>IF(AND(Q100&lt;&gt;"",ISNUMBER(J100)),Q100,"")</f>
        <v/>
      </c>
      <c r="Y100">
        <f>IF(AND(Q100&lt;&gt;"",ISNUMBER(K100)),Q100,"")</f>
        <v/>
      </c>
      <c r="Z100">
        <f>IF(AND(Q100&lt;&gt;"",ISNUMBER(L100)),Q100,"")</f>
        <v/>
      </c>
      <c r="AA100">
        <f>IF(AND(Q100&lt;&gt;"",ISNUMBER(M100)),Q100,"")</f>
        <v/>
      </c>
      <c r="AB100">
        <f>IF(AND(Q100&lt;&gt;"",ISNUMBER(K100)),K100,"")</f>
        <v/>
      </c>
      <c r="AC100">
        <f>IF(AND(Q100&lt;&gt;"",ISNUMBER(L100)),L100,"")</f>
        <v/>
      </c>
      <c r="AD100">
        <f>IF(AND(Q100&lt;&gt;"",ISNUMBER(M100)),M100,"")</f>
        <v/>
      </c>
    </row>
    <row r="101">
      <c r="A101" s="1" t="n"/>
      <c r="B101" s="17" t="n"/>
      <c r="C101" s="27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9" t="n"/>
      <c r="N101" s="21" t="n"/>
      <c r="O101" s="12">
        <f>IF(AND(B101="",C101=""),"",IF(NOT(ISNUMBER(B101)),"Needs a date",IF(C101="","Needs a client",IF(COUNTIF(Clients!$B$6:$B$105,C101)=0,"Not on Clients",IF(COUNT(D101:M101)=0,"Nothing measured","")))))</f>
        <v/>
      </c>
      <c r="P101" s="1">
        <f>IF(AND(O101="",ISNUMBER(B101)),INT(B101),0)</f>
        <v/>
      </c>
      <c r="Q101">
        <f>IF(AND(P101&gt;0,C101=Report!$C$5),P101*10000+ROW(),"")</f>
        <v/>
      </c>
      <c r="R101">
        <f>IF(AND(Q101&lt;&gt;"",ISNUMBER(D101)),Q101,"")</f>
        <v/>
      </c>
      <c r="S101">
        <f>IF(AND(Q101&lt;&gt;"",ISNUMBER(E101)),Q101,"")</f>
        <v/>
      </c>
      <c r="T101">
        <f>IF(AND(Q101&lt;&gt;"",ISNUMBER(F101)),Q101,"")</f>
        <v/>
      </c>
      <c r="U101">
        <f>IF(AND(Q101&lt;&gt;"",ISNUMBER(G101)),Q101,"")</f>
        <v/>
      </c>
      <c r="V101">
        <f>IF(AND(Q101&lt;&gt;"",ISNUMBER(H101)),Q101,"")</f>
        <v/>
      </c>
      <c r="W101">
        <f>IF(AND(Q101&lt;&gt;"",ISNUMBER(I101)),Q101,"")</f>
        <v/>
      </c>
      <c r="X101">
        <f>IF(AND(Q101&lt;&gt;"",ISNUMBER(J101)),Q101,"")</f>
        <v/>
      </c>
      <c r="Y101">
        <f>IF(AND(Q101&lt;&gt;"",ISNUMBER(K101)),Q101,"")</f>
        <v/>
      </c>
      <c r="Z101">
        <f>IF(AND(Q101&lt;&gt;"",ISNUMBER(L101)),Q101,"")</f>
        <v/>
      </c>
      <c r="AA101">
        <f>IF(AND(Q101&lt;&gt;"",ISNUMBER(M101)),Q101,"")</f>
        <v/>
      </c>
      <c r="AB101">
        <f>IF(AND(Q101&lt;&gt;"",ISNUMBER(K101)),K101,"")</f>
        <v/>
      </c>
      <c r="AC101">
        <f>IF(AND(Q101&lt;&gt;"",ISNUMBER(L101)),L101,"")</f>
        <v/>
      </c>
      <c r="AD101">
        <f>IF(AND(Q101&lt;&gt;"",ISNUMBER(M101)),M101,"")</f>
        <v/>
      </c>
    </row>
    <row r="102">
      <c r="A102" s="1" t="n"/>
      <c r="B102" s="17" t="n"/>
      <c r="C102" s="27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9" t="n"/>
      <c r="N102" s="21" t="n"/>
      <c r="O102" s="12">
        <f>IF(AND(B102="",C102=""),"",IF(NOT(ISNUMBER(B102)),"Needs a date",IF(C102="","Needs a client",IF(COUNTIF(Clients!$B$6:$B$105,C102)=0,"Not on Clients",IF(COUNT(D102:M102)=0,"Nothing measured","")))))</f>
        <v/>
      </c>
      <c r="P102" s="1">
        <f>IF(AND(O102="",ISNUMBER(B102)),INT(B102),0)</f>
        <v/>
      </c>
      <c r="Q102">
        <f>IF(AND(P102&gt;0,C102=Report!$C$5),P102*10000+ROW(),"")</f>
        <v/>
      </c>
      <c r="R102">
        <f>IF(AND(Q102&lt;&gt;"",ISNUMBER(D102)),Q102,"")</f>
        <v/>
      </c>
      <c r="S102">
        <f>IF(AND(Q102&lt;&gt;"",ISNUMBER(E102)),Q102,"")</f>
        <v/>
      </c>
      <c r="T102">
        <f>IF(AND(Q102&lt;&gt;"",ISNUMBER(F102)),Q102,"")</f>
        <v/>
      </c>
      <c r="U102">
        <f>IF(AND(Q102&lt;&gt;"",ISNUMBER(G102)),Q102,"")</f>
        <v/>
      </c>
      <c r="V102">
        <f>IF(AND(Q102&lt;&gt;"",ISNUMBER(H102)),Q102,"")</f>
        <v/>
      </c>
      <c r="W102">
        <f>IF(AND(Q102&lt;&gt;"",ISNUMBER(I102)),Q102,"")</f>
        <v/>
      </c>
      <c r="X102">
        <f>IF(AND(Q102&lt;&gt;"",ISNUMBER(J102)),Q102,"")</f>
        <v/>
      </c>
      <c r="Y102">
        <f>IF(AND(Q102&lt;&gt;"",ISNUMBER(K102)),Q102,"")</f>
        <v/>
      </c>
      <c r="Z102">
        <f>IF(AND(Q102&lt;&gt;"",ISNUMBER(L102)),Q102,"")</f>
        <v/>
      </c>
      <c r="AA102">
        <f>IF(AND(Q102&lt;&gt;"",ISNUMBER(M102)),Q102,"")</f>
        <v/>
      </c>
      <c r="AB102">
        <f>IF(AND(Q102&lt;&gt;"",ISNUMBER(K102)),K102,"")</f>
        <v/>
      </c>
      <c r="AC102">
        <f>IF(AND(Q102&lt;&gt;"",ISNUMBER(L102)),L102,"")</f>
        <v/>
      </c>
      <c r="AD102">
        <f>IF(AND(Q102&lt;&gt;"",ISNUMBER(M102)),M102,"")</f>
        <v/>
      </c>
    </row>
    <row r="103">
      <c r="A103" s="1" t="n"/>
      <c r="B103" s="17" t="n"/>
      <c r="C103" s="27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9" t="n"/>
      <c r="N103" s="21" t="n"/>
      <c r="O103" s="12">
        <f>IF(AND(B103="",C103=""),"",IF(NOT(ISNUMBER(B103)),"Needs a date",IF(C103="","Needs a client",IF(COUNTIF(Clients!$B$6:$B$105,C103)=0,"Not on Clients",IF(COUNT(D103:M103)=0,"Nothing measured","")))))</f>
        <v/>
      </c>
      <c r="P103" s="1">
        <f>IF(AND(O103="",ISNUMBER(B103)),INT(B103),0)</f>
        <v/>
      </c>
      <c r="Q103">
        <f>IF(AND(P103&gt;0,C103=Report!$C$5),P103*10000+ROW(),"")</f>
        <v/>
      </c>
      <c r="R103">
        <f>IF(AND(Q103&lt;&gt;"",ISNUMBER(D103)),Q103,"")</f>
        <v/>
      </c>
      <c r="S103">
        <f>IF(AND(Q103&lt;&gt;"",ISNUMBER(E103)),Q103,"")</f>
        <v/>
      </c>
      <c r="T103">
        <f>IF(AND(Q103&lt;&gt;"",ISNUMBER(F103)),Q103,"")</f>
        <v/>
      </c>
      <c r="U103">
        <f>IF(AND(Q103&lt;&gt;"",ISNUMBER(G103)),Q103,"")</f>
        <v/>
      </c>
      <c r="V103">
        <f>IF(AND(Q103&lt;&gt;"",ISNUMBER(H103)),Q103,"")</f>
        <v/>
      </c>
      <c r="W103">
        <f>IF(AND(Q103&lt;&gt;"",ISNUMBER(I103)),Q103,"")</f>
        <v/>
      </c>
      <c r="X103">
        <f>IF(AND(Q103&lt;&gt;"",ISNUMBER(J103)),Q103,"")</f>
        <v/>
      </c>
      <c r="Y103">
        <f>IF(AND(Q103&lt;&gt;"",ISNUMBER(K103)),Q103,"")</f>
        <v/>
      </c>
      <c r="Z103">
        <f>IF(AND(Q103&lt;&gt;"",ISNUMBER(L103)),Q103,"")</f>
        <v/>
      </c>
      <c r="AA103">
        <f>IF(AND(Q103&lt;&gt;"",ISNUMBER(M103)),Q103,"")</f>
        <v/>
      </c>
      <c r="AB103">
        <f>IF(AND(Q103&lt;&gt;"",ISNUMBER(K103)),K103,"")</f>
        <v/>
      </c>
      <c r="AC103">
        <f>IF(AND(Q103&lt;&gt;"",ISNUMBER(L103)),L103,"")</f>
        <v/>
      </c>
      <c r="AD103">
        <f>IF(AND(Q103&lt;&gt;"",ISNUMBER(M103)),M103,"")</f>
        <v/>
      </c>
    </row>
    <row r="104">
      <c r="A104" s="1" t="n"/>
      <c r="B104" s="17" t="n"/>
      <c r="C104" s="27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9" t="n"/>
      <c r="N104" s="21" t="n"/>
      <c r="O104" s="12">
        <f>IF(AND(B104="",C104=""),"",IF(NOT(ISNUMBER(B104)),"Needs a date",IF(C104="","Needs a client",IF(COUNTIF(Clients!$B$6:$B$105,C104)=0,"Not on Clients",IF(COUNT(D104:M104)=0,"Nothing measured","")))))</f>
        <v/>
      </c>
      <c r="P104" s="1">
        <f>IF(AND(O104="",ISNUMBER(B104)),INT(B104),0)</f>
        <v/>
      </c>
      <c r="Q104">
        <f>IF(AND(P104&gt;0,C104=Report!$C$5),P104*10000+ROW(),"")</f>
        <v/>
      </c>
      <c r="R104">
        <f>IF(AND(Q104&lt;&gt;"",ISNUMBER(D104)),Q104,"")</f>
        <v/>
      </c>
      <c r="S104">
        <f>IF(AND(Q104&lt;&gt;"",ISNUMBER(E104)),Q104,"")</f>
        <v/>
      </c>
      <c r="T104">
        <f>IF(AND(Q104&lt;&gt;"",ISNUMBER(F104)),Q104,"")</f>
        <v/>
      </c>
      <c r="U104">
        <f>IF(AND(Q104&lt;&gt;"",ISNUMBER(G104)),Q104,"")</f>
        <v/>
      </c>
      <c r="V104">
        <f>IF(AND(Q104&lt;&gt;"",ISNUMBER(H104)),Q104,"")</f>
        <v/>
      </c>
      <c r="W104">
        <f>IF(AND(Q104&lt;&gt;"",ISNUMBER(I104)),Q104,"")</f>
        <v/>
      </c>
      <c r="X104">
        <f>IF(AND(Q104&lt;&gt;"",ISNUMBER(J104)),Q104,"")</f>
        <v/>
      </c>
      <c r="Y104">
        <f>IF(AND(Q104&lt;&gt;"",ISNUMBER(K104)),Q104,"")</f>
        <v/>
      </c>
      <c r="Z104">
        <f>IF(AND(Q104&lt;&gt;"",ISNUMBER(L104)),Q104,"")</f>
        <v/>
      </c>
      <c r="AA104">
        <f>IF(AND(Q104&lt;&gt;"",ISNUMBER(M104)),Q104,"")</f>
        <v/>
      </c>
      <c r="AB104">
        <f>IF(AND(Q104&lt;&gt;"",ISNUMBER(K104)),K104,"")</f>
        <v/>
      </c>
      <c r="AC104">
        <f>IF(AND(Q104&lt;&gt;"",ISNUMBER(L104)),L104,"")</f>
        <v/>
      </c>
      <c r="AD104">
        <f>IF(AND(Q104&lt;&gt;"",ISNUMBER(M104)),M104,"")</f>
        <v/>
      </c>
    </row>
    <row r="105">
      <c r="A105" s="1" t="n"/>
      <c r="B105" s="17" t="n"/>
      <c r="C105" s="27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9" t="n"/>
      <c r="N105" s="21" t="n"/>
      <c r="O105" s="12">
        <f>IF(AND(B105="",C105=""),"",IF(NOT(ISNUMBER(B105)),"Needs a date",IF(C105="","Needs a client",IF(COUNTIF(Clients!$B$6:$B$105,C105)=0,"Not on Clients",IF(COUNT(D105:M105)=0,"Nothing measured","")))))</f>
        <v/>
      </c>
      <c r="P105" s="1">
        <f>IF(AND(O105="",ISNUMBER(B105)),INT(B105),0)</f>
        <v/>
      </c>
      <c r="Q105">
        <f>IF(AND(P105&gt;0,C105=Report!$C$5),P105*10000+ROW(),"")</f>
        <v/>
      </c>
      <c r="R105">
        <f>IF(AND(Q105&lt;&gt;"",ISNUMBER(D105)),Q105,"")</f>
        <v/>
      </c>
      <c r="S105">
        <f>IF(AND(Q105&lt;&gt;"",ISNUMBER(E105)),Q105,"")</f>
        <v/>
      </c>
      <c r="T105">
        <f>IF(AND(Q105&lt;&gt;"",ISNUMBER(F105)),Q105,"")</f>
        <v/>
      </c>
      <c r="U105">
        <f>IF(AND(Q105&lt;&gt;"",ISNUMBER(G105)),Q105,"")</f>
        <v/>
      </c>
      <c r="V105">
        <f>IF(AND(Q105&lt;&gt;"",ISNUMBER(H105)),Q105,"")</f>
        <v/>
      </c>
      <c r="W105">
        <f>IF(AND(Q105&lt;&gt;"",ISNUMBER(I105)),Q105,"")</f>
        <v/>
      </c>
      <c r="X105">
        <f>IF(AND(Q105&lt;&gt;"",ISNUMBER(J105)),Q105,"")</f>
        <v/>
      </c>
      <c r="Y105">
        <f>IF(AND(Q105&lt;&gt;"",ISNUMBER(K105)),Q105,"")</f>
        <v/>
      </c>
      <c r="Z105">
        <f>IF(AND(Q105&lt;&gt;"",ISNUMBER(L105)),Q105,"")</f>
        <v/>
      </c>
      <c r="AA105">
        <f>IF(AND(Q105&lt;&gt;"",ISNUMBER(M105)),Q105,"")</f>
        <v/>
      </c>
      <c r="AB105">
        <f>IF(AND(Q105&lt;&gt;"",ISNUMBER(K105)),K105,"")</f>
        <v/>
      </c>
      <c r="AC105">
        <f>IF(AND(Q105&lt;&gt;"",ISNUMBER(L105)),L105,"")</f>
        <v/>
      </c>
      <c r="AD105">
        <f>IF(AND(Q105&lt;&gt;"",ISNUMBER(M105)),M105,"")</f>
        <v/>
      </c>
    </row>
    <row r="106">
      <c r="A106" s="1" t="n"/>
      <c r="B106" s="17" t="n"/>
      <c r="C106" s="27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9" t="n"/>
      <c r="N106" s="21" t="n"/>
      <c r="O106" s="12">
        <f>IF(AND(B106="",C106=""),"",IF(NOT(ISNUMBER(B106)),"Needs a date",IF(C106="","Needs a client",IF(COUNTIF(Clients!$B$6:$B$105,C106)=0,"Not on Clients",IF(COUNT(D106:M106)=0,"Nothing measured","")))))</f>
        <v/>
      </c>
      <c r="P106" s="1">
        <f>IF(AND(O106="",ISNUMBER(B106)),INT(B106),0)</f>
        <v/>
      </c>
      <c r="Q106">
        <f>IF(AND(P106&gt;0,C106=Report!$C$5),P106*10000+ROW(),"")</f>
        <v/>
      </c>
      <c r="R106">
        <f>IF(AND(Q106&lt;&gt;"",ISNUMBER(D106)),Q106,"")</f>
        <v/>
      </c>
      <c r="S106">
        <f>IF(AND(Q106&lt;&gt;"",ISNUMBER(E106)),Q106,"")</f>
        <v/>
      </c>
      <c r="T106">
        <f>IF(AND(Q106&lt;&gt;"",ISNUMBER(F106)),Q106,"")</f>
        <v/>
      </c>
      <c r="U106">
        <f>IF(AND(Q106&lt;&gt;"",ISNUMBER(G106)),Q106,"")</f>
        <v/>
      </c>
      <c r="V106">
        <f>IF(AND(Q106&lt;&gt;"",ISNUMBER(H106)),Q106,"")</f>
        <v/>
      </c>
      <c r="W106">
        <f>IF(AND(Q106&lt;&gt;"",ISNUMBER(I106)),Q106,"")</f>
        <v/>
      </c>
      <c r="X106">
        <f>IF(AND(Q106&lt;&gt;"",ISNUMBER(J106)),Q106,"")</f>
        <v/>
      </c>
      <c r="Y106">
        <f>IF(AND(Q106&lt;&gt;"",ISNUMBER(K106)),Q106,"")</f>
        <v/>
      </c>
      <c r="Z106">
        <f>IF(AND(Q106&lt;&gt;"",ISNUMBER(L106)),Q106,"")</f>
        <v/>
      </c>
      <c r="AA106">
        <f>IF(AND(Q106&lt;&gt;"",ISNUMBER(M106)),Q106,"")</f>
        <v/>
      </c>
      <c r="AB106">
        <f>IF(AND(Q106&lt;&gt;"",ISNUMBER(K106)),K106,"")</f>
        <v/>
      </c>
      <c r="AC106">
        <f>IF(AND(Q106&lt;&gt;"",ISNUMBER(L106)),L106,"")</f>
        <v/>
      </c>
      <c r="AD106">
        <f>IF(AND(Q106&lt;&gt;"",ISNUMBER(M106)),M106,"")</f>
        <v/>
      </c>
    </row>
    <row r="107">
      <c r="A107" s="1" t="n"/>
      <c r="B107" s="17" t="n"/>
      <c r="C107" s="27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9" t="n"/>
      <c r="N107" s="21" t="n"/>
      <c r="O107" s="12">
        <f>IF(AND(B107="",C107=""),"",IF(NOT(ISNUMBER(B107)),"Needs a date",IF(C107="","Needs a client",IF(COUNTIF(Clients!$B$6:$B$105,C107)=0,"Not on Clients",IF(COUNT(D107:M107)=0,"Nothing measured","")))))</f>
        <v/>
      </c>
      <c r="P107" s="1">
        <f>IF(AND(O107="",ISNUMBER(B107)),INT(B107),0)</f>
        <v/>
      </c>
      <c r="Q107">
        <f>IF(AND(P107&gt;0,C107=Report!$C$5),P107*10000+ROW(),"")</f>
        <v/>
      </c>
      <c r="R107">
        <f>IF(AND(Q107&lt;&gt;"",ISNUMBER(D107)),Q107,"")</f>
        <v/>
      </c>
      <c r="S107">
        <f>IF(AND(Q107&lt;&gt;"",ISNUMBER(E107)),Q107,"")</f>
        <v/>
      </c>
      <c r="T107">
        <f>IF(AND(Q107&lt;&gt;"",ISNUMBER(F107)),Q107,"")</f>
        <v/>
      </c>
      <c r="U107">
        <f>IF(AND(Q107&lt;&gt;"",ISNUMBER(G107)),Q107,"")</f>
        <v/>
      </c>
      <c r="V107">
        <f>IF(AND(Q107&lt;&gt;"",ISNUMBER(H107)),Q107,"")</f>
        <v/>
      </c>
      <c r="W107">
        <f>IF(AND(Q107&lt;&gt;"",ISNUMBER(I107)),Q107,"")</f>
        <v/>
      </c>
      <c r="X107">
        <f>IF(AND(Q107&lt;&gt;"",ISNUMBER(J107)),Q107,"")</f>
        <v/>
      </c>
      <c r="Y107">
        <f>IF(AND(Q107&lt;&gt;"",ISNUMBER(K107)),Q107,"")</f>
        <v/>
      </c>
      <c r="Z107">
        <f>IF(AND(Q107&lt;&gt;"",ISNUMBER(L107)),Q107,"")</f>
        <v/>
      </c>
      <c r="AA107">
        <f>IF(AND(Q107&lt;&gt;"",ISNUMBER(M107)),Q107,"")</f>
        <v/>
      </c>
      <c r="AB107">
        <f>IF(AND(Q107&lt;&gt;"",ISNUMBER(K107)),K107,"")</f>
        <v/>
      </c>
      <c r="AC107">
        <f>IF(AND(Q107&lt;&gt;"",ISNUMBER(L107)),L107,"")</f>
        <v/>
      </c>
      <c r="AD107">
        <f>IF(AND(Q107&lt;&gt;"",ISNUMBER(M107)),M107,"")</f>
        <v/>
      </c>
    </row>
    <row r="108">
      <c r="A108" s="1" t="n"/>
      <c r="B108" s="17" t="n"/>
      <c r="C108" s="27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9" t="n"/>
      <c r="N108" s="21" t="n"/>
      <c r="O108" s="12">
        <f>IF(AND(B108="",C108=""),"",IF(NOT(ISNUMBER(B108)),"Needs a date",IF(C108="","Needs a client",IF(COUNTIF(Clients!$B$6:$B$105,C108)=0,"Not on Clients",IF(COUNT(D108:M108)=0,"Nothing measured","")))))</f>
        <v/>
      </c>
      <c r="P108" s="1">
        <f>IF(AND(O108="",ISNUMBER(B108)),INT(B108),0)</f>
        <v/>
      </c>
      <c r="Q108">
        <f>IF(AND(P108&gt;0,C108=Report!$C$5),P108*10000+ROW(),"")</f>
        <v/>
      </c>
      <c r="R108">
        <f>IF(AND(Q108&lt;&gt;"",ISNUMBER(D108)),Q108,"")</f>
        <v/>
      </c>
      <c r="S108">
        <f>IF(AND(Q108&lt;&gt;"",ISNUMBER(E108)),Q108,"")</f>
        <v/>
      </c>
      <c r="T108">
        <f>IF(AND(Q108&lt;&gt;"",ISNUMBER(F108)),Q108,"")</f>
        <v/>
      </c>
      <c r="U108">
        <f>IF(AND(Q108&lt;&gt;"",ISNUMBER(G108)),Q108,"")</f>
        <v/>
      </c>
      <c r="V108">
        <f>IF(AND(Q108&lt;&gt;"",ISNUMBER(H108)),Q108,"")</f>
        <v/>
      </c>
      <c r="W108">
        <f>IF(AND(Q108&lt;&gt;"",ISNUMBER(I108)),Q108,"")</f>
        <v/>
      </c>
      <c r="X108">
        <f>IF(AND(Q108&lt;&gt;"",ISNUMBER(J108)),Q108,"")</f>
        <v/>
      </c>
      <c r="Y108">
        <f>IF(AND(Q108&lt;&gt;"",ISNUMBER(K108)),Q108,"")</f>
        <v/>
      </c>
      <c r="Z108">
        <f>IF(AND(Q108&lt;&gt;"",ISNUMBER(L108)),Q108,"")</f>
        <v/>
      </c>
      <c r="AA108">
        <f>IF(AND(Q108&lt;&gt;"",ISNUMBER(M108)),Q108,"")</f>
        <v/>
      </c>
      <c r="AB108">
        <f>IF(AND(Q108&lt;&gt;"",ISNUMBER(K108)),K108,"")</f>
        <v/>
      </c>
      <c r="AC108">
        <f>IF(AND(Q108&lt;&gt;"",ISNUMBER(L108)),L108,"")</f>
        <v/>
      </c>
      <c r="AD108">
        <f>IF(AND(Q108&lt;&gt;"",ISNUMBER(M108)),M108,"")</f>
        <v/>
      </c>
    </row>
    <row r="109">
      <c r="A109" s="1" t="n"/>
      <c r="B109" s="17" t="n"/>
      <c r="C109" s="27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9" t="n"/>
      <c r="N109" s="21" t="n"/>
      <c r="O109" s="12">
        <f>IF(AND(B109="",C109=""),"",IF(NOT(ISNUMBER(B109)),"Needs a date",IF(C109="","Needs a client",IF(COUNTIF(Clients!$B$6:$B$105,C109)=0,"Not on Clients",IF(COUNT(D109:M109)=0,"Nothing measured","")))))</f>
        <v/>
      </c>
      <c r="P109" s="1">
        <f>IF(AND(O109="",ISNUMBER(B109)),INT(B109),0)</f>
        <v/>
      </c>
      <c r="Q109">
        <f>IF(AND(P109&gt;0,C109=Report!$C$5),P109*10000+ROW(),"")</f>
        <v/>
      </c>
      <c r="R109">
        <f>IF(AND(Q109&lt;&gt;"",ISNUMBER(D109)),Q109,"")</f>
        <v/>
      </c>
      <c r="S109">
        <f>IF(AND(Q109&lt;&gt;"",ISNUMBER(E109)),Q109,"")</f>
        <v/>
      </c>
      <c r="T109">
        <f>IF(AND(Q109&lt;&gt;"",ISNUMBER(F109)),Q109,"")</f>
        <v/>
      </c>
      <c r="U109">
        <f>IF(AND(Q109&lt;&gt;"",ISNUMBER(G109)),Q109,"")</f>
        <v/>
      </c>
      <c r="V109">
        <f>IF(AND(Q109&lt;&gt;"",ISNUMBER(H109)),Q109,"")</f>
        <v/>
      </c>
      <c r="W109">
        <f>IF(AND(Q109&lt;&gt;"",ISNUMBER(I109)),Q109,"")</f>
        <v/>
      </c>
      <c r="X109">
        <f>IF(AND(Q109&lt;&gt;"",ISNUMBER(J109)),Q109,"")</f>
        <v/>
      </c>
      <c r="Y109">
        <f>IF(AND(Q109&lt;&gt;"",ISNUMBER(K109)),Q109,"")</f>
        <v/>
      </c>
      <c r="Z109">
        <f>IF(AND(Q109&lt;&gt;"",ISNUMBER(L109)),Q109,"")</f>
        <v/>
      </c>
      <c r="AA109">
        <f>IF(AND(Q109&lt;&gt;"",ISNUMBER(M109)),Q109,"")</f>
        <v/>
      </c>
      <c r="AB109">
        <f>IF(AND(Q109&lt;&gt;"",ISNUMBER(K109)),K109,"")</f>
        <v/>
      </c>
      <c r="AC109">
        <f>IF(AND(Q109&lt;&gt;"",ISNUMBER(L109)),L109,"")</f>
        <v/>
      </c>
      <c r="AD109">
        <f>IF(AND(Q109&lt;&gt;"",ISNUMBER(M109)),M109,"")</f>
        <v/>
      </c>
    </row>
    <row r="110">
      <c r="A110" s="1" t="n"/>
      <c r="B110" s="17" t="n"/>
      <c r="C110" s="27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9" t="n"/>
      <c r="N110" s="21" t="n"/>
      <c r="O110" s="12">
        <f>IF(AND(B110="",C110=""),"",IF(NOT(ISNUMBER(B110)),"Needs a date",IF(C110="","Needs a client",IF(COUNTIF(Clients!$B$6:$B$105,C110)=0,"Not on Clients",IF(COUNT(D110:M110)=0,"Nothing measured","")))))</f>
        <v/>
      </c>
      <c r="P110" s="1">
        <f>IF(AND(O110="",ISNUMBER(B110)),INT(B110),0)</f>
        <v/>
      </c>
      <c r="Q110">
        <f>IF(AND(P110&gt;0,C110=Report!$C$5),P110*10000+ROW(),"")</f>
        <v/>
      </c>
      <c r="R110">
        <f>IF(AND(Q110&lt;&gt;"",ISNUMBER(D110)),Q110,"")</f>
        <v/>
      </c>
      <c r="S110">
        <f>IF(AND(Q110&lt;&gt;"",ISNUMBER(E110)),Q110,"")</f>
        <v/>
      </c>
      <c r="T110">
        <f>IF(AND(Q110&lt;&gt;"",ISNUMBER(F110)),Q110,"")</f>
        <v/>
      </c>
      <c r="U110">
        <f>IF(AND(Q110&lt;&gt;"",ISNUMBER(G110)),Q110,"")</f>
        <v/>
      </c>
      <c r="V110">
        <f>IF(AND(Q110&lt;&gt;"",ISNUMBER(H110)),Q110,"")</f>
        <v/>
      </c>
      <c r="W110">
        <f>IF(AND(Q110&lt;&gt;"",ISNUMBER(I110)),Q110,"")</f>
        <v/>
      </c>
      <c r="X110">
        <f>IF(AND(Q110&lt;&gt;"",ISNUMBER(J110)),Q110,"")</f>
        <v/>
      </c>
      <c r="Y110">
        <f>IF(AND(Q110&lt;&gt;"",ISNUMBER(K110)),Q110,"")</f>
        <v/>
      </c>
      <c r="Z110">
        <f>IF(AND(Q110&lt;&gt;"",ISNUMBER(L110)),Q110,"")</f>
        <v/>
      </c>
      <c r="AA110">
        <f>IF(AND(Q110&lt;&gt;"",ISNUMBER(M110)),Q110,"")</f>
        <v/>
      </c>
      <c r="AB110">
        <f>IF(AND(Q110&lt;&gt;"",ISNUMBER(K110)),K110,"")</f>
        <v/>
      </c>
      <c r="AC110">
        <f>IF(AND(Q110&lt;&gt;"",ISNUMBER(L110)),L110,"")</f>
        <v/>
      </c>
      <c r="AD110">
        <f>IF(AND(Q110&lt;&gt;"",ISNUMBER(M110)),M110,"")</f>
        <v/>
      </c>
    </row>
    <row r="111">
      <c r="A111" s="1" t="n"/>
      <c r="B111" s="17" t="n"/>
      <c r="C111" s="27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9" t="n"/>
      <c r="N111" s="21" t="n"/>
      <c r="O111" s="12">
        <f>IF(AND(B111="",C111=""),"",IF(NOT(ISNUMBER(B111)),"Needs a date",IF(C111="","Needs a client",IF(COUNTIF(Clients!$B$6:$B$105,C111)=0,"Not on Clients",IF(COUNT(D111:M111)=0,"Nothing measured","")))))</f>
        <v/>
      </c>
      <c r="P111" s="1">
        <f>IF(AND(O111="",ISNUMBER(B111)),INT(B111),0)</f>
        <v/>
      </c>
      <c r="Q111">
        <f>IF(AND(P111&gt;0,C111=Report!$C$5),P111*10000+ROW(),"")</f>
        <v/>
      </c>
      <c r="R111">
        <f>IF(AND(Q111&lt;&gt;"",ISNUMBER(D111)),Q111,"")</f>
        <v/>
      </c>
      <c r="S111">
        <f>IF(AND(Q111&lt;&gt;"",ISNUMBER(E111)),Q111,"")</f>
        <v/>
      </c>
      <c r="T111">
        <f>IF(AND(Q111&lt;&gt;"",ISNUMBER(F111)),Q111,"")</f>
        <v/>
      </c>
      <c r="U111">
        <f>IF(AND(Q111&lt;&gt;"",ISNUMBER(G111)),Q111,"")</f>
        <v/>
      </c>
      <c r="V111">
        <f>IF(AND(Q111&lt;&gt;"",ISNUMBER(H111)),Q111,"")</f>
        <v/>
      </c>
      <c r="W111">
        <f>IF(AND(Q111&lt;&gt;"",ISNUMBER(I111)),Q111,"")</f>
        <v/>
      </c>
      <c r="X111">
        <f>IF(AND(Q111&lt;&gt;"",ISNUMBER(J111)),Q111,"")</f>
        <v/>
      </c>
      <c r="Y111">
        <f>IF(AND(Q111&lt;&gt;"",ISNUMBER(K111)),Q111,"")</f>
        <v/>
      </c>
      <c r="Z111">
        <f>IF(AND(Q111&lt;&gt;"",ISNUMBER(L111)),Q111,"")</f>
        <v/>
      </c>
      <c r="AA111">
        <f>IF(AND(Q111&lt;&gt;"",ISNUMBER(M111)),Q111,"")</f>
        <v/>
      </c>
      <c r="AB111">
        <f>IF(AND(Q111&lt;&gt;"",ISNUMBER(K111)),K111,"")</f>
        <v/>
      </c>
      <c r="AC111">
        <f>IF(AND(Q111&lt;&gt;"",ISNUMBER(L111)),L111,"")</f>
        <v/>
      </c>
      <c r="AD111">
        <f>IF(AND(Q111&lt;&gt;"",ISNUMBER(M111)),M111,"")</f>
        <v/>
      </c>
    </row>
    <row r="112">
      <c r="A112" s="1" t="n"/>
      <c r="B112" s="17" t="n"/>
      <c r="C112" s="27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9" t="n"/>
      <c r="N112" s="21" t="n"/>
      <c r="O112" s="12">
        <f>IF(AND(B112="",C112=""),"",IF(NOT(ISNUMBER(B112)),"Needs a date",IF(C112="","Needs a client",IF(COUNTIF(Clients!$B$6:$B$105,C112)=0,"Not on Clients",IF(COUNT(D112:M112)=0,"Nothing measured","")))))</f>
        <v/>
      </c>
      <c r="P112" s="1">
        <f>IF(AND(O112="",ISNUMBER(B112)),INT(B112),0)</f>
        <v/>
      </c>
      <c r="Q112">
        <f>IF(AND(P112&gt;0,C112=Report!$C$5),P112*10000+ROW(),"")</f>
        <v/>
      </c>
      <c r="R112">
        <f>IF(AND(Q112&lt;&gt;"",ISNUMBER(D112)),Q112,"")</f>
        <v/>
      </c>
      <c r="S112">
        <f>IF(AND(Q112&lt;&gt;"",ISNUMBER(E112)),Q112,"")</f>
        <v/>
      </c>
      <c r="T112">
        <f>IF(AND(Q112&lt;&gt;"",ISNUMBER(F112)),Q112,"")</f>
        <v/>
      </c>
      <c r="U112">
        <f>IF(AND(Q112&lt;&gt;"",ISNUMBER(G112)),Q112,"")</f>
        <v/>
      </c>
      <c r="V112">
        <f>IF(AND(Q112&lt;&gt;"",ISNUMBER(H112)),Q112,"")</f>
        <v/>
      </c>
      <c r="W112">
        <f>IF(AND(Q112&lt;&gt;"",ISNUMBER(I112)),Q112,"")</f>
        <v/>
      </c>
      <c r="X112">
        <f>IF(AND(Q112&lt;&gt;"",ISNUMBER(J112)),Q112,"")</f>
        <v/>
      </c>
      <c r="Y112">
        <f>IF(AND(Q112&lt;&gt;"",ISNUMBER(K112)),Q112,"")</f>
        <v/>
      </c>
      <c r="Z112">
        <f>IF(AND(Q112&lt;&gt;"",ISNUMBER(L112)),Q112,"")</f>
        <v/>
      </c>
      <c r="AA112">
        <f>IF(AND(Q112&lt;&gt;"",ISNUMBER(M112)),Q112,"")</f>
        <v/>
      </c>
      <c r="AB112">
        <f>IF(AND(Q112&lt;&gt;"",ISNUMBER(K112)),K112,"")</f>
        <v/>
      </c>
      <c r="AC112">
        <f>IF(AND(Q112&lt;&gt;"",ISNUMBER(L112)),L112,"")</f>
        <v/>
      </c>
      <c r="AD112">
        <f>IF(AND(Q112&lt;&gt;"",ISNUMBER(M112)),M112,"")</f>
        <v/>
      </c>
    </row>
    <row r="113">
      <c r="A113" s="1" t="n"/>
      <c r="B113" s="17" t="n"/>
      <c r="C113" s="27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9" t="n"/>
      <c r="N113" s="21" t="n"/>
      <c r="O113" s="12">
        <f>IF(AND(B113="",C113=""),"",IF(NOT(ISNUMBER(B113)),"Needs a date",IF(C113="","Needs a client",IF(COUNTIF(Clients!$B$6:$B$105,C113)=0,"Not on Clients",IF(COUNT(D113:M113)=0,"Nothing measured","")))))</f>
        <v/>
      </c>
      <c r="P113" s="1">
        <f>IF(AND(O113="",ISNUMBER(B113)),INT(B113),0)</f>
        <v/>
      </c>
      <c r="Q113">
        <f>IF(AND(P113&gt;0,C113=Report!$C$5),P113*10000+ROW(),"")</f>
        <v/>
      </c>
      <c r="R113">
        <f>IF(AND(Q113&lt;&gt;"",ISNUMBER(D113)),Q113,"")</f>
        <v/>
      </c>
      <c r="S113">
        <f>IF(AND(Q113&lt;&gt;"",ISNUMBER(E113)),Q113,"")</f>
        <v/>
      </c>
      <c r="T113">
        <f>IF(AND(Q113&lt;&gt;"",ISNUMBER(F113)),Q113,"")</f>
        <v/>
      </c>
      <c r="U113">
        <f>IF(AND(Q113&lt;&gt;"",ISNUMBER(G113)),Q113,"")</f>
        <v/>
      </c>
      <c r="V113">
        <f>IF(AND(Q113&lt;&gt;"",ISNUMBER(H113)),Q113,"")</f>
        <v/>
      </c>
      <c r="W113">
        <f>IF(AND(Q113&lt;&gt;"",ISNUMBER(I113)),Q113,"")</f>
        <v/>
      </c>
      <c r="X113">
        <f>IF(AND(Q113&lt;&gt;"",ISNUMBER(J113)),Q113,"")</f>
        <v/>
      </c>
      <c r="Y113">
        <f>IF(AND(Q113&lt;&gt;"",ISNUMBER(K113)),Q113,"")</f>
        <v/>
      </c>
      <c r="Z113">
        <f>IF(AND(Q113&lt;&gt;"",ISNUMBER(L113)),Q113,"")</f>
        <v/>
      </c>
      <c r="AA113">
        <f>IF(AND(Q113&lt;&gt;"",ISNUMBER(M113)),Q113,"")</f>
        <v/>
      </c>
      <c r="AB113">
        <f>IF(AND(Q113&lt;&gt;"",ISNUMBER(K113)),K113,"")</f>
        <v/>
      </c>
      <c r="AC113">
        <f>IF(AND(Q113&lt;&gt;"",ISNUMBER(L113)),L113,"")</f>
        <v/>
      </c>
      <c r="AD113">
        <f>IF(AND(Q113&lt;&gt;"",ISNUMBER(M113)),M113,"")</f>
        <v/>
      </c>
    </row>
    <row r="114">
      <c r="A114" s="1" t="n"/>
      <c r="B114" s="17" t="n"/>
      <c r="C114" s="27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9" t="n"/>
      <c r="N114" s="21" t="n"/>
      <c r="O114" s="12">
        <f>IF(AND(B114="",C114=""),"",IF(NOT(ISNUMBER(B114)),"Needs a date",IF(C114="","Needs a client",IF(COUNTIF(Clients!$B$6:$B$105,C114)=0,"Not on Clients",IF(COUNT(D114:M114)=0,"Nothing measured","")))))</f>
        <v/>
      </c>
      <c r="P114" s="1">
        <f>IF(AND(O114="",ISNUMBER(B114)),INT(B114),0)</f>
        <v/>
      </c>
      <c r="Q114">
        <f>IF(AND(P114&gt;0,C114=Report!$C$5),P114*10000+ROW(),"")</f>
        <v/>
      </c>
      <c r="R114">
        <f>IF(AND(Q114&lt;&gt;"",ISNUMBER(D114)),Q114,"")</f>
        <v/>
      </c>
      <c r="S114">
        <f>IF(AND(Q114&lt;&gt;"",ISNUMBER(E114)),Q114,"")</f>
        <v/>
      </c>
      <c r="T114">
        <f>IF(AND(Q114&lt;&gt;"",ISNUMBER(F114)),Q114,"")</f>
        <v/>
      </c>
      <c r="U114">
        <f>IF(AND(Q114&lt;&gt;"",ISNUMBER(G114)),Q114,"")</f>
        <v/>
      </c>
      <c r="V114">
        <f>IF(AND(Q114&lt;&gt;"",ISNUMBER(H114)),Q114,"")</f>
        <v/>
      </c>
      <c r="W114">
        <f>IF(AND(Q114&lt;&gt;"",ISNUMBER(I114)),Q114,"")</f>
        <v/>
      </c>
      <c r="X114">
        <f>IF(AND(Q114&lt;&gt;"",ISNUMBER(J114)),Q114,"")</f>
        <v/>
      </c>
      <c r="Y114">
        <f>IF(AND(Q114&lt;&gt;"",ISNUMBER(K114)),Q114,"")</f>
        <v/>
      </c>
      <c r="Z114">
        <f>IF(AND(Q114&lt;&gt;"",ISNUMBER(L114)),Q114,"")</f>
        <v/>
      </c>
      <c r="AA114">
        <f>IF(AND(Q114&lt;&gt;"",ISNUMBER(M114)),Q114,"")</f>
        <v/>
      </c>
      <c r="AB114">
        <f>IF(AND(Q114&lt;&gt;"",ISNUMBER(K114)),K114,"")</f>
        <v/>
      </c>
      <c r="AC114">
        <f>IF(AND(Q114&lt;&gt;"",ISNUMBER(L114)),L114,"")</f>
        <v/>
      </c>
      <c r="AD114">
        <f>IF(AND(Q114&lt;&gt;"",ISNUMBER(M114)),M114,"")</f>
        <v/>
      </c>
    </row>
    <row r="115">
      <c r="A115" s="1" t="n"/>
      <c r="B115" s="17" t="n"/>
      <c r="C115" s="27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9" t="n"/>
      <c r="N115" s="21" t="n"/>
      <c r="O115" s="12">
        <f>IF(AND(B115="",C115=""),"",IF(NOT(ISNUMBER(B115)),"Needs a date",IF(C115="","Needs a client",IF(COUNTIF(Clients!$B$6:$B$105,C115)=0,"Not on Clients",IF(COUNT(D115:M115)=0,"Nothing measured","")))))</f>
        <v/>
      </c>
      <c r="P115" s="1">
        <f>IF(AND(O115="",ISNUMBER(B115)),INT(B115),0)</f>
        <v/>
      </c>
      <c r="Q115">
        <f>IF(AND(P115&gt;0,C115=Report!$C$5),P115*10000+ROW(),"")</f>
        <v/>
      </c>
      <c r="R115">
        <f>IF(AND(Q115&lt;&gt;"",ISNUMBER(D115)),Q115,"")</f>
        <v/>
      </c>
      <c r="S115">
        <f>IF(AND(Q115&lt;&gt;"",ISNUMBER(E115)),Q115,"")</f>
        <v/>
      </c>
      <c r="T115">
        <f>IF(AND(Q115&lt;&gt;"",ISNUMBER(F115)),Q115,"")</f>
        <v/>
      </c>
      <c r="U115">
        <f>IF(AND(Q115&lt;&gt;"",ISNUMBER(G115)),Q115,"")</f>
        <v/>
      </c>
      <c r="V115">
        <f>IF(AND(Q115&lt;&gt;"",ISNUMBER(H115)),Q115,"")</f>
        <v/>
      </c>
      <c r="W115">
        <f>IF(AND(Q115&lt;&gt;"",ISNUMBER(I115)),Q115,"")</f>
        <v/>
      </c>
      <c r="X115">
        <f>IF(AND(Q115&lt;&gt;"",ISNUMBER(J115)),Q115,"")</f>
        <v/>
      </c>
      <c r="Y115">
        <f>IF(AND(Q115&lt;&gt;"",ISNUMBER(K115)),Q115,"")</f>
        <v/>
      </c>
      <c r="Z115">
        <f>IF(AND(Q115&lt;&gt;"",ISNUMBER(L115)),Q115,"")</f>
        <v/>
      </c>
      <c r="AA115">
        <f>IF(AND(Q115&lt;&gt;"",ISNUMBER(M115)),Q115,"")</f>
        <v/>
      </c>
      <c r="AB115">
        <f>IF(AND(Q115&lt;&gt;"",ISNUMBER(K115)),K115,"")</f>
        <v/>
      </c>
      <c r="AC115">
        <f>IF(AND(Q115&lt;&gt;"",ISNUMBER(L115)),L115,"")</f>
        <v/>
      </c>
      <c r="AD115">
        <f>IF(AND(Q115&lt;&gt;"",ISNUMBER(M115)),M115,"")</f>
        <v/>
      </c>
    </row>
    <row r="116">
      <c r="A116" s="1" t="n"/>
      <c r="B116" s="17" t="n"/>
      <c r="C116" s="27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9" t="n"/>
      <c r="N116" s="21" t="n"/>
      <c r="O116" s="12">
        <f>IF(AND(B116="",C116=""),"",IF(NOT(ISNUMBER(B116)),"Needs a date",IF(C116="","Needs a client",IF(COUNTIF(Clients!$B$6:$B$105,C116)=0,"Not on Clients",IF(COUNT(D116:M116)=0,"Nothing measured","")))))</f>
        <v/>
      </c>
      <c r="P116" s="1">
        <f>IF(AND(O116="",ISNUMBER(B116)),INT(B116),0)</f>
        <v/>
      </c>
      <c r="Q116">
        <f>IF(AND(P116&gt;0,C116=Report!$C$5),P116*10000+ROW(),"")</f>
        <v/>
      </c>
      <c r="R116">
        <f>IF(AND(Q116&lt;&gt;"",ISNUMBER(D116)),Q116,"")</f>
        <v/>
      </c>
      <c r="S116">
        <f>IF(AND(Q116&lt;&gt;"",ISNUMBER(E116)),Q116,"")</f>
        <v/>
      </c>
      <c r="T116">
        <f>IF(AND(Q116&lt;&gt;"",ISNUMBER(F116)),Q116,"")</f>
        <v/>
      </c>
      <c r="U116">
        <f>IF(AND(Q116&lt;&gt;"",ISNUMBER(G116)),Q116,"")</f>
        <v/>
      </c>
      <c r="V116">
        <f>IF(AND(Q116&lt;&gt;"",ISNUMBER(H116)),Q116,"")</f>
        <v/>
      </c>
      <c r="W116">
        <f>IF(AND(Q116&lt;&gt;"",ISNUMBER(I116)),Q116,"")</f>
        <v/>
      </c>
      <c r="X116">
        <f>IF(AND(Q116&lt;&gt;"",ISNUMBER(J116)),Q116,"")</f>
        <v/>
      </c>
      <c r="Y116">
        <f>IF(AND(Q116&lt;&gt;"",ISNUMBER(K116)),Q116,"")</f>
        <v/>
      </c>
      <c r="Z116">
        <f>IF(AND(Q116&lt;&gt;"",ISNUMBER(L116)),Q116,"")</f>
        <v/>
      </c>
      <c r="AA116">
        <f>IF(AND(Q116&lt;&gt;"",ISNUMBER(M116)),Q116,"")</f>
        <v/>
      </c>
      <c r="AB116">
        <f>IF(AND(Q116&lt;&gt;"",ISNUMBER(K116)),K116,"")</f>
        <v/>
      </c>
      <c r="AC116">
        <f>IF(AND(Q116&lt;&gt;"",ISNUMBER(L116)),L116,"")</f>
        <v/>
      </c>
      <c r="AD116">
        <f>IF(AND(Q116&lt;&gt;"",ISNUMBER(M116)),M116,"")</f>
        <v/>
      </c>
    </row>
    <row r="117">
      <c r="A117" s="1" t="n"/>
      <c r="B117" s="17" t="n"/>
      <c r="C117" s="27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9" t="n"/>
      <c r="N117" s="21" t="n"/>
      <c r="O117" s="12">
        <f>IF(AND(B117="",C117=""),"",IF(NOT(ISNUMBER(B117)),"Needs a date",IF(C117="","Needs a client",IF(COUNTIF(Clients!$B$6:$B$105,C117)=0,"Not on Clients",IF(COUNT(D117:M117)=0,"Nothing measured","")))))</f>
        <v/>
      </c>
      <c r="P117" s="1">
        <f>IF(AND(O117="",ISNUMBER(B117)),INT(B117),0)</f>
        <v/>
      </c>
      <c r="Q117">
        <f>IF(AND(P117&gt;0,C117=Report!$C$5),P117*10000+ROW(),"")</f>
        <v/>
      </c>
      <c r="R117">
        <f>IF(AND(Q117&lt;&gt;"",ISNUMBER(D117)),Q117,"")</f>
        <v/>
      </c>
      <c r="S117">
        <f>IF(AND(Q117&lt;&gt;"",ISNUMBER(E117)),Q117,"")</f>
        <v/>
      </c>
      <c r="T117">
        <f>IF(AND(Q117&lt;&gt;"",ISNUMBER(F117)),Q117,"")</f>
        <v/>
      </c>
      <c r="U117">
        <f>IF(AND(Q117&lt;&gt;"",ISNUMBER(G117)),Q117,"")</f>
        <v/>
      </c>
      <c r="V117">
        <f>IF(AND(Q117&lt;&gt;"",ISNUMBER(H117)),Q117,"")</f>
        <v/>
      </c>
      <c r="W117">
        <f>IF(AND(Q117&lt;&gt;"",ISNUMBER(I117)),Q117,"")</f>
        <v/>
      </c>
      <c r="X117">
        <f>IF(AND(Q117&lt;&gt;"",ISNUMBER(J117)),Q117,"")</f>
        <v/>
      </c>
      <c r="Y117">
        <f>IF(AND(Q117&lt;&gt;"",ISNUMBER(K117)),Q117,"")</f>
        <v/>
      </c>
      <c r="Z117">
        <f>IF(AND(Q117&lt;&gt;"",ISNUMBER(L117)),Q117,"")</f>
        <v/>
      </c>
      <c r="AA117">
        <f>IF(AND(Q117&lt;&gt;"",ISNUMBER(M117)),Q117,"")</f>
        <v/>
      </c>
      <c r="AB117">
        <f>IF(AND(Q117&lt;&gt;"",ISNUMBER(K117)),K117,"")</f>
        <v/>
      </c>
      <c r="AC117">
        <f>IF(AND(Q117&lt;&gt;"",ISNUMBER(L117)),L117,"")</f>
        <v/>
      </c>
      <c r="AD117">
        <f>IF(AND(Q117&lt;&gt;"",ISNUMBER(M117)),M117,"")</f>
        <v/>
      </c>
    </row>
    <row r="118">
      <c r="A118" s="1" t="n"/>
      <c r="B118" s="17" t="n"/>
      <c r="C118" s="27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9" t="n"/>
      <c r="N118" s="21" t="n"/>
      <c r="O118" s="12">
        <f>IF(AND(B118="",C118=""),"",IF(NOT(ISNUMBER(B118)),"Needs a date",IF(C118="","Needs a client",IF(COUNTIF(Clients!$B$6:$B$105,C118)=0,"Not on Clients",IF(COUNT(D118:M118)=0,"Nothing measured","")))))</f>
        <v/>
      </c>
      <c r="P118" s="1">
        <f>IF(AND(O118="",ISNUMBER(B118)),INT(B118),0)</f>
        <v/>
      </c>
      <c r="Q118">
        <f>IF(AND(P118&gt;0,C118=Report!$C$5),P118*10000+ROW(),"")</f>
        <v/>
      </c>
      <c r="R118">
        <f>IF(AND(Q118&lt;&gt;"",ISNUMBER(D118)),Q118,"")</f>
        <v/>
      </c>
      <c r="S118">
        <f>IF(AND(Q118&lt;&gt;"",ISNUMBER(E118)),Q118,"")</f>
        <v/>
      </c>
      <c r="T118">
        <f>IF(AND(Q118&lt;&gt;"",ISNUMBER(F118)),Q118,"")</f>
        <v/>
      </c>
      <c r="U118">
        <f>IF(AND(Q118&lt;&gt;"",ISNUMBER(G118)),Q118,"")</f>
        <v/>
      </c>
      <c r="V118">
        <f>IF(AND(Q118&lt;&gt;"",ISNUMBER(H118)),Q118,"")</f>
        <v/>
      </c>
      <c r="W118">
        <f>IF(AND(Q118&lt;&gt;"",ISNUMBER(I118)),Q118,"")</f>
        <v/>
      </c>
      <c r="X118">
        <f>IF(AND(Q118&lt;&gt;"",ISNUMBER(J118)),Q118,"")</f>
        <v/>
      </c>
      <c r="Y118">
        <f>IF(AND(Q118&lt;&gt;"",ISNUMBER(K118)),Q118,"")</f>
        <v/>
      </c>
      <c r="Z118">
        <f>IF(AND(Q118&lt;&gt;"",ISNUMBER(L118)),Q118,"")</f>
        <v/>
      </c>
      <c r="AA118">
        <f>IF(AND(Q118&lt;&gt;"",ISNUMBER(M118)),Q118,"")</f>
        <v/>
      </c>
      <c r="AB118">
        <f>IF(AND(Q118&lt;&gt;"",ISNUMBER(K118)),K118,"")</f>
        <v/>
      </c>
      <c r="AC118">
        <f>IF(AND(Q118&lt;&gt;"",ISNUMBER(L118)),L118,"")</f>
        <v/>
      </c>
      <c r="AD118">
        <f>IF(AND(Q118&lt;&gt;"",ISNUMBER(M118)),M118,"")</f>
        <v/>
      </c>
    </row>
    <row r="119">
      <c r="A119" s="1" t="n"/>
      <c r="B119" s="17" t="n"/>
      <c r="C119" s="27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9" t="n"/>
      <c r="N119" s="21" t="n"/>
      <c r="O119" s="12">
        <f>IF(AND(B119="",C119=""),"",IF(NOT(ISNUMBER(B119)),"Needs a date",IF(C119="","Needs a client",IF(COUNTIF(Clients!$B$6:$B$105,C119)=0,"Not on Clients",IF(COUNT(D119:M119)=0,"Nothing measured","")))))</f>
        <v/>
      </c>
      <c r="P119" s="1">
        <f>IF(AND(O119="",ISNUMBER(B119)),INT(B119),0)</f>
        <v/>
      </c>
      <c r="Q119">
        <f>IF(AND(P119&gt;0,C119=Report!$C$5),P119*10000+ROW(),"")</f>
        <v/>
      </c>
      <c r="R119">
        <f>IF(AND(Q119&lt;&gt;"",ISNUMBER(D119)),Q119,"")</f>
        <v/>
      </c>
      <c r="S119">
        <f>IF(AND(Q119&lt;&gt;"",ISNUMBER(E119)),Q119,"")</f>
        <v/>
      </c>
      <c r="T119">
        <f>IF(AND(Q119&lt;&gt;"",ISNUMBER(F119)),Q119,"")</f>
        <v/>
      </c>
      <c r="U119">
        <f>IF(AND(Q119&lt;&gt;"",ISNUMBER(G119)),Q119,"")</f>
        <v/>
      </c>
      <c r="V119">
        <f>IF(AND(Q119&lt;&gt;"",ISNUMBER(H119)),Q119,"")</f>
        <v/>
      </c>
      <c r="W119">
        <f>IF(AND(Q119&lt;&gt;"",ISNUMBER(I119)),Q119,"")</f>
        <v/>
      </c>
      <c r="X119">
        <f>IF(AND(Q119&lt;&gt;"",ISNUMBER(J119)),Q119,"")</f>
        <v/>
      </c>
      <c r="Y119">
        <f>IF(AND(Q119&lt;&gt;"",ISNUMBER(K119)),Q119,"")</f>
        <v/>
      </c>
      <c r="Z119">
        <f>IF(AND(Q119&lt;&gt;"",ISNUMBER(L119)),Q119,"")</f>
        <v/>
      </c>
      <c r="AA119">
        <f>IF(AND(Q119&lt;&gt;"",ISNUMBER(M119)),Q119,"")</f>
        <v/>
      </c>
      <c r="AB119">
        <f>IF(AND(Q119&lt;&gt;"",ISNUMBER(K119)),K119,"")</f>
        <v/>
      </c>
      <c r="AC119">
        <f>IF(AND(Q119&lt;&gt;"",ISNUMBER(L119)),L119,"")</f>
        <v/>
      </c>
      <c r="AD119">
        <f>IF(AND(Q119&lt;&gt;"",ISNUMBER(M119)),M119,"")</f>
        <v/>
      </c>
    </row>
    <row r="120">
      <c r="A120" s="1" t="n"/>
      <c r="B120" s="17" t="n"/>
      <c r="C120" s="27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9" t="n"/>
      <c r="N120" s="21" t="n"/>
      <c r="O120" s="12">
        <f>IF(AND(B120="",C120=""),"",IF(NOT(ISNUMBER(B120)),"Needs a date",IF(C120="","Needs a client",IF(COUNTIF(Clients!$B$6:$B$105,C120)=0,"Not on Clients",IF(COUNT(D120:M120)=0,"Nothing measured","")))))</f>
        <v/>
      </c>
      <c r="P120" s="1">
        <f>IF(AND(O120="",ISNUMBER(B120)),INT(B120),0)</f>
        <v/>
      </c>
      <c r="Q120">
        <f>IF(AND(P120&gt;0,C120=Report!$C$5),P120*10000+ROW(),"")</f>
        <v/>
      </c>
      <c r="R120">
        <f>IF(AND(Q120&lt;&gt;"",ISNUMBER(D120)),Q120,"")</f>
        <v/>
      </c>
      <c r="S120">
        <f>IF(AND(Q120&lt;&gt;"",ISNUMBER(E120)),Q120,"")</f>
        <v/>
      </c>
      <c r="T120">
        <f>IF(AND(Q120&lt;&gt;"",ISNUMBER(F120)),Q120,"")</f>
        <v/>
      </c>
      <c r="U120">
        <f>IF(AND(Q120&lt;&gt;"",ISNUMBER(G120)),Q120,"")</f>
        <v/>
      </c>
      <c r="V120">
        <f>IF(AND(Q120&lt;&gt;"",ISNUMBER(H120)),Q120,"")</f>
        <v/>
      </c>
      <c r="W120">
        <f>IF(AND(Q120&lt;&gt;"",ISNUMBER(I120)),Q120,"")</f>
        <v/>
      </c>
      <c r="X120">
        <f>IF(AND(Q120&lt;&gt;"",ISNUMBER(J120)),Q120,"")</f>
        <v/>
      </c>
      <c r="Y120">
        <f>IF(AND(Q120&lt;&gt;"",ISNUMBER(K120)),Q120,"")</f>
        <v/>
      </c>
      <c r="Z120">
        <f>IF(AND(Q120&lt;&gt;"",ISNUMBER(L120)),Q120,"")</f>
        <v/>
      </c>
      <c r="AA120">
        <f>IF(AND(Q120&lt;&gt;"",ISNUMBER(M120)),Q120,"")</f>
        <v/>
      </c>
      <c r="AB120">
        <f>IF(AND(Q120&lt;&gt;"",ISNUMBER(K120)),K120,"")</f>
        <v/>
      </c>
      <c r="AC120">
        <f>IF(AND(Q120&lt;&gt;"",ISNUMBER(L120)),L120,"")</f>
        <v/>
      </c>
      <c r="AD120">
        <f>IF(AND(Q120&lt;&gt;"",ISNUMBER(M120)),M120,"")</f>
        <v/>
      </c>
    </row>
    <row r="121">
      <c r="A121" s="1" t="n"/>
      <c r="B121" s="17" t="n"/>
      <c r="C121" s="27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9" t="n"/>
      <c r="N121" s="21" t="n"/>
      <c r="O121" s="12">
        <f>IF(AND(B121="",C121=""),"",IF(NOT(ISNUMBER(B121)),"Needs a date",IF(C121="","Needs a client",IF(COUNTIF(Clients!$B$6:$B$105,C121)=0,"Not on Clients",IF(COUNT(D121:M121)=0,"Nothing measured","")))))</f>
        <v/>
      </c>
      <c r="P121" s="1">
        <f>IF(AND(O121="",ISNUMBER(B121)),INT(B121),0)</f>
        <v/>
      </c>
      <c r="Q121">
        <f>IF(AND(P121&gt;0,C121=Report!$C$5),P121*10000+ROW(),"")</f>
        <v/>
      </c>
      <c r="R121">
        <f>IF(AND(Q121&lt;&gt;"",ISNUMBER(D121)),Q121,"")</f>
        <v/>
      </c>
      <c r="S121">
        <f>IF(AND(Q121&lt;&gt;"",ISNUMBER(E121)),Q121,"")</f>
        <v/>
      </c>
      <c r="T121">
        <f>IF(AND(Q121&lt;&gt;"",ISNUMBER(F121)),Q121,"")</f>
        <v/>
      </c>
      <c r="U121">
        <f>IF(AND(Q121&lt;&gt;"",ISNUMBER(G121)),Q121,"")</f>
        <v/>
      </c>
      <c r="V121">
        <f>IF(AND(Q121&lt;&gt;"",ISNUMBER(H121)),Q121,"")</f>
        <v/>
      </c>
      <c r="W121">
        <f>IF(AND(Q121&lt;&gt;"",ISNUMBER(I121)),Q121,"")</f>
        <v/>
      </c>
      <c r="X121">
        <f>IF(AND(Q121&lt;&gt;"",ISNUMBER(J121)),Q121,"")</f>
        <v/>
      </c>
      <c r="Y121">
        <f>IF(AND(Q121&lt;&gt;"",ISNUMBER(K121)),Q121,"")</f>
        <v/>
      </c>
      <c r="Z121">
        <f>IF(AND(Q121&lt;&gt;"",ISNUMBER(L121)),Q121,"")</f>
        <v/>
      </c>
      <c r="AA121">
        <f>IF(AND(Q121&lt;&gt;"",ISNUMBER(M121)),Q121,"")</f>
        <v/>
      </c>
      <c r="AB121">
        <f>IF(AND(Q121&lt;&gt;"",ISNUMBER(K121)),K121,"")</f>
        <v/>
      </c>
      <c r="AC121">
        <f>IF(AND(Q121&lt;&gt;"",ISNUMBER(L121)),L121,"")</f>
        <v/>
      </c>
      <c r="AD121">
        <f>IF(AND(Q121&lt;&gt;"",ISNUMBER(M121)),M121,"")</f>
        <v/>
      </c>
    </row>
    <row r="122">
      <c r="A122" s="1" t="n"/>
      <c r="B122" s="17" t="n"/>
      <c r="C122" s="27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9" t="n"/>
      <c r="N122" s="21" t="n"/>
      <c r="O122" s="12">
        <f>IF(AND(B122="",C122=""),"",IF(NOT(ISNUMBER(B122)),"Needs a date",IF(C122="","Needs a client",IF(COUNTIF(Clients!$B$6:$B$105,C122)=0,"Not on Clients",IF(COUNT(D122:M122)=0,"Nothing measured","")))))</f>
        <v/>
      </c>
      <c r="P122" s="1">
        <f>IF(AND(O122="",ISNUMBER(B122)),INT(B122),0)</f>
        <v/>
      </c>
      <c r="Q122">
        <f>IF(AND(P122&gt;0,C122=Report!$C$5),P122*10000+ROW(),"")</f>
        <v/>
      </c>
      <c r="R122">
        <f>IF(AND(Q122&lt;&gt;"",ISNUMBER(D122)),Q122,"")</f>
        <v/>
      </c>
      <c r="S122">
        <f>IF(AND(Q122&lt;&gt;"",ISNUMBER(E122)),Q122,"")</f>
        <v/>
      </c>
      <c r="T122">
        <f>IF(AND(Q122&lt;&gt;"",ISNUMBER(F122)),Q122,"")</f>
        <v/>
      </c>
      <c r="U122">
        <f>IF(AND(Q122&lt;&gt;"",ISNUMBER(G122)),Q122,"")</f>
        <v/>
      </c>
      <c r="V122">
        <f>IF(AND(Q122&lt;&gt;"",ISNUMBER(H122)),Q122,"")</f>
        <v/>
      </c>
      <c r="W122">
        <f>IF(AND(Q122&lt;&gt;"",ISNUMBER(I122)),Q122,"")</f>
        <v/>
      </c>
      <c r="X122">
        <f>IF(AND(Q122&lt;&gt;"",ISNUMBER(J122)),Q122,"")</f>
        <v/>
      </c>
      <c r="Y122">
        <f>IF(AND(Q122&lt;&gt;"",ISNUMBER(K122)),Q122,"")</f>
        <v/>
      </c>
      <c r="Z122">
        <f>IF(AND(Q122&lt;&gt;"",ISNUMBER(L122)),Q122,"")</f>
        <v/>
      </c>
      <c r="AA122">
        <f>IF(AND(Q122&lt;&gt;"",ISNUMBER(M122)),Q122,"")</f>
        <v/>
      </c>
      <c r="AB122">
        <f>IF(AND(Q122&lt;&gt;"",ISNUMBER(K122)),K122,"")</f>
        <v/>
      </c>
      <c r="AC122">
        <f>IF(AND(Q122&lt;&gt;"",ISNUMBER(L122)),L122,"")</f>
        <v/>
      </c>
      <c r="AD122">
        <f>IF(AND(Q122&lt;&gt;"",ISNUMBER(M122)),M122,"")</f>
        <v/>
      </c>
    </row>
    <row r="123">
      <c r="A123" s="1" t="n"/>
      <c r="B123" s="17" t="n"/>
      <c r="C123" s="27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9" t="n"/>
      <c r="N123" s="21" t="n"/>
      <c r="O123" s="12">
        <f>IF(AND(B123="",C123=""),"",IF(NOT(ISNUMBER(B123)),"Needs a date",IF(C123="","Needs a client",IF(COUNTIF(Clients!$B$6:$B$105,C123)=0,"Not on Clients",IF(COUNT(D123:M123)=0,"Nothing measured","")))))</f>
        <v/>
      </c>
      <c r="P123" s="1">
        <f>IF(AND(O123="",ISNUMBER(B123)),INT(B123),0)</f>
        <v/>
      </c>
      <c r="Q123">
        <f>IF(AND(P123&gt;0,C123=Report!$C$5),P123*10000+ROW(),"")</f>
        <v/>
      </c>
      <c r="R123">
        <f>IF(AND(Q123&lt;&gt;"",ISNUMBER(D123)),Q123,"")</f>
        <v/>
      </c>
      <c r="S123">
        <f>IF(AND(Q123&lt;&gt;"",ISNUMBER(E123)),Q123,"")</f>
        <v/>
      </c>
      <c r="T123">
        <f>IF(AND(Q123&lt;&gt;"",ISNUMBER(F123)),Q123,"")</f>
        <v/>
      </c>
      <c r="U123">
        <f>IF(AND(Q123&lt;&gt;"",ISNUMBER(G123)),Q123,"")</f>
        <v/>
      </c>
      <c r="V123">
        <f>IF(AND(Q123&lt;&gt;"",ISNUMBER(H123)),Q123,"")</f>
        <v/>
      </c>
      <c r="W123">
        <f>IF(AND(Q123&lt;&gt;"",ISNUMBER(I123)),Q123,"")</f>
        <v/>
      </c>
      <c r="X123">
        <f>IF(AND(Q123&lt;&gt;"",ISNUMBER(J123)),Q123,"")</f>
        <v/>
      </c>
      <c r="Y123">
        <f>IF(AND(Q123&lt;&gt;"",ISNUMBER(K123)),Q123,"")</f>
        <v/>
      </c>
      <c r="Z123">
        <f>IF(AND(Q123&lt;&gt;"",ISNUMBER(L123)),Q123,"")</f>
        <v/>
      </c>
      <c r="AA123">
        <f>IF(AND(Q123&lt;&gt;"",ISNUMBER(M123)),Q123,"")</f>
        <v/>
      </c>
      <c r="AB123">
        <f>IF(AND(Q123&lt;&gt;"",ISNUMBER(K123)),K123,"")</f>
        <v/>
      </c>
      <c r="AC123">
        <f>IF(AND(Q123&lt;&gt;"",ISNUMBER(L123)),L123,"")</f>
        <v/>
      </c>
      <c r="AD123">
        <f>IF(AND(Q123&lt;&gt;"",ISNUMBER(M123)),M123,"")</f>
        <v/>
      </c>
    </row>
    <row r="124">
      <c r="A124" s="1" t="n"/>
      <c r="B124" s="17" t="n"/>
      <c r="C124" s="27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9" t="n"/>
      <c r="N124" s="21" t="n"/>
      <c r="O124" s="12">
        <f>IF(AND(B124="",C124=""),"",IF(NOT(ISNUMBER(B124)),"Needs a date",IF(C124="","Needs a client",IF(COUNTIF(Clients!$B$6:$B$105,C124)=0,"Not on Clients",IF(COUNT(D124:M124)=0,"Nothing measured","")))))</f>
        <v/>
      </c>
      <c r="P124" s="1">
        <f>IF(AND(O124="",ISNUMBER(B124)),INT(B124),0)</f>
        <v/>
      </c>
      <c r="Q124">
        <f>IF(AND(P124&gt;0,C124=Report!$C$5),P124*10000+ROW(),"")</f>
        <v/>
      </c>
      <c r="R124">
        <f>IF(AND(Q124&lt;&gt;"",ISNUMBER(D124)),Q124,"")</f>
        <v/>
      </c>
      <c r="S124">
        <f>IF(AND(Q124&lt;&gt;"",ISNUMBER(E124)),Q124,"")</f>
        <v/>
      </c>
      <c r="T124">
        <f>IF(AND(Q124&lt;&gt;"",ISNUMBER(F124)),Q124,"")</f>
        <v/>
      </c>
      <c r="U124">
        <f>IF(AND(Q124&lt;&gt;"",ISNUMBER(G124)),Q124,"")</f>
        <v/>
      </c>
      <c r="V124">
        <f>IF(AND(Q124&lt;&gt;"",ISNUMBER(H124)),Q124,"")</f>
        <v/>
      </c>
      <c r="W124">
        <f>IF(AND(Q124&lt;&gt;"",ISNUMBER(I124)),Q124,"")</f>
        <v/>
      </c>
      <c r="X124">
        <f>IF(AND(Q124&lt;&gt;"",ISNUMBER(J124)),Q124,"")</f>
        <v/>
      </c>
      <c r="Y124">
        <f>IF(AND(Q124&lt;&gt;"",ISNUMBER(K124)),Q124,"")</f>
        <v/>
      </c>
      <c r="Z124">
        <f>IF(AND(Q124&lt;&gt;"",ISNUMBER(L124)),Q124,"")</f>
        <v/>
      </c>
      <c r="AA124">
        <f>IF(AND(Q124&lt;&gt;"",ISNUMBER(M124)),Q124,"")</f>
        <v/>
      </c>
      <c r="AB124">
        <f>IF(AND(Q124&lt;&gt;"",ISNUMBER(K124)),K124,"")</f>
        <v/>
      </c>
      <c r="AC124">
        <f>IF(AND(Q124&lt;&gt;"",ISNUMBER(L124)),L124,"")</f>
        <v/>
      </c>
      <c r="AD124">
        <f>IF(AND(Q124&lt;&gt;"",ISNUMBER(M124)),M124,"")</f>
        <v/>
      </c>
    </row>
    <row r="125">
      <c r="A125" s="1" t="n"/>
      <c r="B125" s="17" t="n"/>
      <c r="C125" s="27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9" t="n"/>
      <c r="N125" s="21" t="n"/>
      <c r="O125" s="12">
        <f>IF(AND(B125="",C125=""),"",IF(NOT(ISNUMBER(B125)),"Needs a date",IF(C125="","Needs a client",IF(COUNTIF(Clients!$B$6:$B$105,C125)=0,"Not on Clients",IF(COUNT(D125:M125)=0,"Nothing measured","")))))</f>
        <v/>
      </c>
      <c r="P125" s="1">
        <f>IF(AND(O125="",ISNUMBER(B125)),INT(B125),0)</f>
        <v/>
      </c>
      <c r="Q125">
        <f>IF(AND(P125&gt;0,C125=Report!$C$5),P125*10000+ROW(),"")</f>
        <v/>
      </c>
      <c r="R125">
        <f>IF(AND(Q125&lt;&gt;"",ISNUMBER(D125)),Q125,"")</f>
        <v/>
      </c>
      <c r="S125">
        <f>IF(AND(Q125&lt;&gt;"",ISNUMBER(E125)),Q125,"")</f>
        <v/>
      </c>
      <c r="T125">
        <f>IF(AND(Q125&lt;&gt;"",ISNUMBER(F125)),Q125,"")</f>
        <v/>
      </c>
      <c r="U125">
        <f>IF(AND(Q125&lt;&gt;"",ISNUMBER(G125)),Q125,"")</f>
        <v/>
      </c>
      <c r="V125">
        <f>IF(AND(Q125&lt;&gt;"",ISNUMBER(H125)),Q125,"")</f>
        <v/>
      </c>
      <c r="W125">
        <f>IF(AND(Q125&lt;&gt;"",ISNUMBER(I125)),Q125,"")</f>
        <v/>
      </c>
      <c r="X125">
        <f>IF(AND(Q125&lt;&gt;"",ISNUMBER(J125)),Q125,"")</f>
        <v/>
      </c>
      <c r="Y125">
        <f>IF(AND(Q125&lt;&gt;"",ISNUMBER(K125)),Q125,"")</f>
        <v/>
      </c>
      <c r="Z125">
        <f>IF(AND(Q125&lt;&gt;"",ISNUMBER(L125)),Q125,"")</f>
        <v/>
      </c>
      <c r="AA125">
        <f>IF(AND(Q125&lt;&gt;"",ISNUMBER(M125)),Q125,"")</f>
        <v/>
      </c>
      <c r="AB125">
        <f>IF(AND(Q125&lt;&gt;"",ISNUMBER(K125)),K125,"")</f>
        <v/>
      </c>
      <c r="AC125">
        <f>IF(AND(Q125&lt;&gt;"",ISNUMBER(L125)),L125,"")</f>
        <v/>
      </c>
      <c r="AD125">
        <f>IF(AND(Q125&lt;&gt;"",ISNUMBER(M125)),M125,"")</f>
        <v/>
      </c>
    </row>
    <row r="126">
      <c r="A126" s="1" t="n"/>
      <c r="B126" s="17" t="n"/>
      <c r="C126" s="27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9" t="n"/>
      <c r="N126" s="21" t="n"/>
      <c r="O126" s="12">
        <f>IF(AND(B126="",C126=""),"",IF(NOT(ISNUMBER(B126)),"Needs a date",IF(C126="","Needs a client",IF(COUNTIF(Clients!$B$6:$B$105,C126)=0,"Not on Clients",IF(COUNT(D126:M126)=0,"Nothing measured","")))))</f>
        <v/>
      </c>
      <c r="P126" s="1">
        <f>IF(AND(O126="",ISNUMBER(B126)),INT(B126),0)</f>
        <v/>
      </c>
      <c r="Q126">
        <f>IF(AND(P126&gt;0,C126=Report!$C$5),P126*10000+ROW(),"")</f>
        <v/>
      </c>
      <c r="R126">
        <f>IF(AND(Q126&lt;&gt;"",ISNUMBER(D126)),Q126,"")</f>
        <v/>
      </c>
      <c r="S126">
        <f>IF(AND(Q126&lt;&gt;"",ISNUMBER(E126)),Q126,"")</f>
        <v/>
      </c>
      <c r="T126">
        <f>IF(AND(Q126&lt;&gt;"",ISNUMBER(F126)),Q126,"")</f>
        <v/>
      </c>
      <c r="U126">
        <f>IF(AND(Q126&lt;&gt;"",ISNUMBER(G126)),Q126,"")</f>
        <v/>
      </c>
      <c r="V126">
        <f>IF(AND(Q126&lt;&gt;"",ISNUMBER(H126)),Q126,"")</f>
        <v/>
      </c>
      <c r="W126">
        <f>IF(AND(Q126&lt;&gt;"",ISNUMBER(I126)),Q126,"")</f>
        <v/>
      </c>
      <c r="X126">
        <f>IF(AND(Q126&lt;&gt;"",ISNUMBER(J126)),Q126,"")</f>
        <v/>
      </c>
      <c r="Y126">
        <f>IF(AND(Q126&lt;&gt;"",ISNUMBER(K126)),Q126,"")</f>
        <v/>
      </c>
      <c r="Z126">
        <f>IF(AND(Q126&lt;&gt;"",ISNUMBER(L126)),Q126,"")</f>
        <v/>
      </c>
      <c r="AA126">
        <f>IF(AND(Q126&lt;&gt;"",ISNUMBER(M126)),Q126,"")</f>
        <v/>
      </c>
      <c r="AB126">
        <f>IF(AND(Q126&lt;&gt;"",ISNUMBER(K126)),K126,"")</f>
        <v/>
      </c>
      <c r="AC126">
        <f>IF(AND(Q126&lt;&gt;"",ISNUMBER(L126)),L126,"")</f>
        <v/>
      </c>
      <c r="AD126">
        <f>IF(AND(Q126&lt;&gt;"",ISNUMBER(M126)),M126,"")</f>
        <v/>
      </c>
    </row>
    <row r="127">
      <c r="A127" s="1" t="n"/>
      <c r="B127" s="17" t="n"/>
      <c r="C127" s="27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9" t="n"/>
      <c r="N127" s="21" t="n"/>
      <c r="O127" s="12">
        <f>IF(AND(B127="",C127=""),"",IF(NOT(ISNUMBER(B127)),"Needs a date",IF(C127="","Needs a client",IF(COUNTIF(Clients!$B$6:$B$105,C127)=0,"Not on Clients",IF(COUNT(D127:M127)=0,"Nothing measured","")))))</f>
        <v/>
      </c>
      <c r="P127" s="1">
        <f>IF(AND(O127="",ISNUMBER(B127)),INT(B127),0)</f>
        <v/>
      </c>
      <c r="Q127">
        <f>IF(AND(P127&gt;0,C127=Report!$C$5),P127*10000+ROW(),"")</f>
        <v/>
      </c>
      <c r="R127">
        <f>IF(AND(Q127&lt;&gt;"",ISNUMBER(D127)),Q127,"")</f>
        <v/>
      </c>
      <c r="S127">
        <f>IF(AND(Q127&lt;&gt;"",ISNUMBER(E127)),Q127,"")</f>
        <v/>
      </c>
      <c r="T127">
        <f>IF(AND(Q127&lt;&gt;"",ISNUMBER(F127)),Q127,"")</f>
        <v/>
      </c>
      <c r="U127">
        <f>IF(AND(Q127&lt;&gt;"",ISNUMBER(G127)),Q127,"")</f>
        <v/>
      </c>
      <c r="V127">
        <f>IF(AND(Q127&lt;&gt;"",ISNUMBER(H127)),Q127,"")</f>
        <v/>
      </c>
      <c r="W127">
        <f>IF(AND(Q127&lt;&gt;"",ISNUMBER(I127)),Q127,"")</f>
        <v/>
      </c>
      <c r="X127">
        <f>IF(AND(Q127&lt;&gt;"",ISNUMBER(J127)),Q127,"")</f>
        <v/>
      </c>
      <c r="Y127">
        <f>IF(AND(Q127&lt;&gt;"",ISNUMBER(K127)),Q127,"")</f>
        <v/>
      </c>
      <c r="Z127">
        <f>IF(AND(Q127&lt;&gt;"",ISNUMBER(L127)),Q127,"")</f>
        <v/>
      </c>
      <c r="AA127">
        <f>IF(AND(Q127&lt;&gt;"",ISNUMBER(M127)),Q127,"")</f>
        <v/>
      </c>
      <c r="AB127">
        <f>IF(AND(Q127&lt;&gt;"",ISNUMBER(K127)),K127,"")</f>
        <v/>
      </c>
      <c r="AC127">
        <f>IF(AND(Q127&lt;&gt;"",ISNUMBER(L127)),L127,"")</f>
        <v/>
      </c>
      <c r="AD127">
        <f>IF(AND(Q127&lt;&gt;"",ISNUMBER(M127)),M127,"")</f>
        <v/>
      </c>
    </row>
    <row r="128">
      <c r="A128" s="1" t="n"/>
      <c r="B128" s="17" t="n"/>
      <c r="C128" s="27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9" t="n"/>
      <c r="N128" s="21" t="n"/>
      <c r="O128" s="12">
        <f>IF(AND(B128="",C128=""),"",IF(NOT(ISNUMBER(B128)),"Needs a date",IF(C128="","Needs a client",IF(COUNTIF(Clients!$B$6:$B$105,C128)=0,"Not on Clients",IF(COUNT(D128:M128)=0,"Nothing measured","")))))</f>
        <v/>
      </c>
      <c r="P128" s="1">
        <f>IF(AND(O128="",ISNUMBER(B128)),INT(B128),0)</f>
        <v/>
      </c>
      <c r="Q128">
        <f>IF(AND(P128&gt;0,C128=Report!$C$5),P128*10000+ROW(),"")</f>
        <v/>
      </c>
      <c r="R128">
        <f>IF(AND(Q128&lt;&gt;"",ISNUMBER(D128)),Q128,"")</f>
        <v/>
      </c>
      <c r="S128">
        <f>IF(AND(Q128&lt;&gt;"",ISNUMBER(E128)),Q128,"")</f>
        <v/>
      </c>
      <c r="T128">
        <f>IF(AND(Q128&lt;&gt;"",ISNUMBER(F128)),Q128,"")</f>
        <v/>
      </c>
      <c r="U128">
        <f>IF(AND(Q128&lt;&gt;"",ISNUMBER(G128)),Q128,"")</f>
        <v/>
      </c>
      <c r="V128">
        <f>IF(AND(Q128&lt;&gt;"",ISNUMBER(H128)),Q128,"")</f>
        <v/>
      </c>
      <c r="W128">
        <f>IF(AND(Q128&lt;&gt;"",ISNUMBER(I128)),Q128,"")</f>
        <v/>
      </c>
      <c r="X128">
        <f>IF(AND(Q128&lt;&gt;"",ISNUMBER(J128)),Q128,"")</f>
        <v/>
      </c>
      <c r="Y128">
        <f>IF(AND(Q128&lt;&gt;"",ISNUMBER(K128)),Q128,"")</f>
        <v/>
      </c>
      <c r="Z128">
        <f>IF(AND(Q128&lt;&gt;"",ISNUMBER(L128)),Q128,"")</f>
        <v/>
      </c>
      <c r="AA128">
        <f>IF(AND(Q128&lt;&gt;"",ISNUMBER(M128)),Q128,"")</f>
        <v/>
      </c>
      <c r="AB128">
        <f>IF(AND(Q128&lt;&gt;"",ISNUMBER(K128)),K128,"")</f>
        <v/>
      </c>
      <c r="AC128">
        <f>IF(AND(Q128&lt;&gt;"",ISNUMBER(L128)),L128,"")</f>
        <v/>
      </c>
      <c r="AD128">
        <f>IF(AND(Q128&lt;&gt;"",ISNUMBER(M128)),M128,"")</f>
        <v/>
      </c>
    </row>
    <row r="129">
      <c r="A129" s="1" t="n"/>
      <c r="B129" s="17" t="n"/>
      <c r="C129" s="27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21" t="n"/>
      <c r="O129" s="12">
        <f>IF(AND(B129="",C129=""),"",IF(NOT(ISNUMBER(B129)),"Needs a date",IF(C129="","Needs a client",IF(COUNTIF(Clients!$B$6:$B$105,C129)=0,"Not on Clients",IF(COUNT(D129:M129)=0,"Nothing measured","")))))</f>
        <v/>
      </c>
      <c r="P129" s="1">
        <f>IF(AND(O129="",ISNUMBER(B129)),INT(B129),0)</f>
        <v/>
      </c>
      <c r="Q129">
        <f>IF(AND(P129&gt;0,C129=Report!$C$5),P129*10000+ROW(),"")</f>
        <v/>
      </c>
      <c r="R129">
        <f>IF(AND(Q129&lt;&gt;"",ISNUMBER(D129)),Q129,"")</f>
        <v/>
      </c>
      <c r="S129">
        <f>IF(AND(Q129&lt;&gt;"",ISNUMBER(E129)),Q129,"")</f>
        <v/>
      </c>
      <c r="T129">
        <f>IF(AND(Q129&lt;&gt;"",ISNUMBER(F129)),Q129,"")</f>
        <v/>
      </c>
      <c r="U129">
        <f>IF(AND(Q129&lt;&gt;"",ISNUMBER(G129)),Q129,"")</f>
        <v/>
      </c>
      <c r="V129">
        <f>IF(AND(Q129&lt;&gt;"",ISNUMBER(H129)),Q129,"")</f>
        <v/>
      </c>
      <c r="W129">
        <f>IF(AND(Q129&lt;&gt;"",ISNUMBER(I129)),Q129,"")</f>
        <v/>
      </c>
      <c r="X129">
        <f>IF(AND(Q129&lt;&gt;"",ISNUMBER(J129)),Q129,"")</f>
        <v/>
      </c>
      <c r="Y129">
        <f>IF(AND(Q129&lt;&gt;"",ISNUMBER(K129)),Q129,"")</f>
        <v/>
      </c>
      <c r="Z129">
        <f>IF(AND(Q129&lt;&gt;"",ISNUMBER(L129)),Q129,"")</f>
        <v/>
      </c>
      <c r="AA129">
        <f>IF(AND(Q129&lt;&gt;"",ISNUMBER(M129)),Q129,"")</f>
        <v/>
      </c>
      <c r="AB129">
        <f>IF(AND(Q129&lt;&gt;"",ISNUMBER(K129)),K129,"")</f>
        <v/>
      </c>
      <c r="AC129">
        <f>IF(AND(Q129&lt;&gt;"",ISNUMBER(L129)),L129,"")</f>
        <v/>
      </c>
      <c r="AD129">
        <f>IF(AND(Q129&lt;&gt;"",ISNUMBER(M129)),M129,"")</f>
        <v/>
      </c>
    </row>
    <row r="130">
      <c r="A130" s="1" t="n"/>
      <c r="B130" s="17" t="n"/>
      <c r="C130" s="27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9" t="n"/>
      <c r="N130" s="21" t="n"/>
      <c r="O130" s="12">
        <f>IF(AND(B130="",C130=""),"",IF(NOT(ISNUMBER(B130)),"Needs a date",IF(C130="","Needs a client",IF(COUNTIF(Clients!$B$6:$B$105,C130)=0,"Not on Clients",IF(COUNT(D130:M130)=0,"Nothing measured","")))))</f>
        <v/>
      </c>
      <c r="P130" s="1">
        <f>IF(AND(O130="",ISNUMBER(B130)),INT(B130),0)</f>
        <v/>
      </c>
      <c r="Q130">
        <f>IF(AND(P130&gt;0,C130=Report!$C$5),P130*10000+ROW(),"")</f>
        <v/>
      </c>
      <c r="R130">
        <f>IF(AND(Q130&lt;&gt;"",ISNUMBER(D130)),Q130,"")</f>
        <v/>
      </c>
      <c r="S130">
        <f>IF(AND(Q130&lt;&gt;"",ISNUMBER(E130)),Q130,"")</f>
        <v/>
      </c>
      <c r="T130">
        <f>IF(AND(Q130&lt;&gt;"",ISNUMBER(F130)),Q130,"")</f>
        <v/>
      </c>
      <c r="U130">
        <f>IF(AND(Q130&lt;&gt;"",ISNUMBER(G130)),Q130,"")</f>
        <v/>
      </c>
      <c r="V130">
        <f>IF(AND(Q130&lt;&gt;"",ISNUMBER(H130)),Q130,"")</f>
        <v/>
      </c>
      <c r="W130">
        <f>IF(AND(Q130&lt;&gt;"",ISNUMBER(I130)),Q130,"")</f>
        <v/>
      </c>
      <c r="X130">
        <f>IF(AND(Q130&lt;&gt;"",ISNUMBER(J130)),Q130,"")</f>
        <v/>
      </c>
      <c r="Y130">
        <f>IF(AND(Q130&lt;&gt;"",ISNUMBER(K130)),Q130,"")</f>
        <v/>
      </c>
      <c r="Z130">
        <f>IF(AND(Q130&lt;&gt;"",ISNUMBER(L130)),Q130,"")</f>
        <v/>
      </c>
      <c r="AA130">
        <f>IF(AND(Q130&lt;&gt;"",ISNUMBER(M130)),Q130,"")</f>
        <v/>
      </c>
      <c r="AB130">
        <f>IF(AND(Q130&lt;&gt;"",ISNUMBER(K130)),K130,"")</f>
        <v/>
      </c>
      <c r="AC130">
        <f>IF(AND(Q130&lt;&gt;"",ISNUMBER(L130)),L130,"")</f>
        <v/>
      </c>
      <c r="AD130">
        <f>IF(AND(Q130&lt;&gt;"",ISNUMBER(M130)),M130,"")</f>
        <v/>
      </c>
    </row>
    <row r="131">
      <c r="A131" s="1" t="n"/>
      <c r="B131" s="17" t="n"/>
      <c r="C131" s="27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9" t="n"/>
      <c r="N131" s="21" t="n"/>
      <c r="O131" s="12">
        <f>IF(AND(B131="",C131=""),"",IF(NOT(ISNUMBER(B131)),"Needs a date",IF(C131="","Needs a client",IF(COUNTIF(Clients!$B$6:$B$105,C131)=0,"Not on Clients",IF(COUNT(D131:M131)=0,"Nothing measured","")))))</f>
        <v/>
      </c>
      <c r="P131" s="1">
        <f>IF(AND(O131="",ISNUMBER(B131)),INT(B131),0)</f>
        <v/>
      </c>
      <c r="Q131">
        <f>IF(AND(P131&gt;0,C131=Report!$C$5),P131*10000+ROW(),"")</f>
        <v/>
      </c>
      <c r="R131">
        <f>IF(AND(Q131&lt;&gt;"",ISNUMBER(D131)),Q131,"")</f>
        <v/>
      </c>
      <c r="S131">
        <f>IF(AND(Q131&lt;&gt;"",ISNUMBER(E131)),Q131,"")</f>
        <v/>
      </c>
      <c r="T131">
        <f>IF(AND(Q131&lt;&gt;"",ISNUMBER(F131)),Q131,"")</f>
        <v/>
      </c>
      <c r="U131">
        <f>IF(AND(Q131&lt;&gt;"",ISNUMBER(G131)),Q131,"")</f>
        <v/>
      </c>
      <c r="V131">
        <f>IF(AND(Q131&lt;&gt;"",ISNUMBER(H131)),Q131,"")</f>
        <v/>
      </c>
      <c r="W131">
        <f>IF(AND(Q131&lt;&gt;"",ISNUMBER(I131)),Q131,"")</f>
        <v/>
      </c>
      <c r="X131">
        <f>IF(AND(Q131&lt;&gt;"",ISNUMBER(J131)),Q131,"")</f>
        <v/>
      </c>
      <c r="Y131">
        <f>IF(AND(Q131&lt;&gt;"",ISNUMBER(K131)),Q131,"")</f>
        <v/>
      </c>
      <c r="Z131">
        <f>IF(AND(Q131&lt;&gt;"",ISNUMBER(L131)),Q131,"")</f>
        <v/>
      </c>
      <c r="AA131">
        <f>IF(AND(Q131&lt;&gt;"",ISNUMBER(M131)),Q131,"")</f>
        <v/>
      </c>
      <c r="AB131">
        <f>IF(AND(Q131&lt;&gt;"",ISNUMBER(K131)),K131,"")</f>
        <v/>
      </c>
      <c r="AC131">
        <f>IF(AND(Q131&lt;&gt;"",ISNUMBER(L131)),L131,"")</f>
        <v/>
      </c>
      <c r="AD131">
        <f>IF(AND(Q131&lt;&gt;"",ISNUMBER(M131)),M131,"")</f>
        <v/>
      </c>
    </row>
    <row r="132">
      <c r="A132" s="1" t="n"/>
      <c r="B132" s="17" t="n"/>
      <c r="C132" s="27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9" t="n"/>
      <c r="N132" s="21" t="n"/>
      <c r="O132" s="12">
        <f>IF(AND(B132="",C132=""),"",IF(NOT(ISNUMBER(B132)),"Needs a date",IF(C132="","Needs a client",IF(COUNTIF(Clients!$B$6:$B$105,C132)=0,"Not on Clients",IF(COUNT(D132:M132)=0,"Nothing measured","")))))</f>
        <v/>
      </c>
      <c r="P132" s="1">
        <f>IF(AND(O132="",ISNUMBER(B132)),INT(B132),0)</f>
        <v/>
      </c>
      <c r="Q132">
        <f>IF(AND(P132&gt;0,C132=Report!$C$5),P132*10000+ROW(),"")</f>
        <v/>
      </c>
      <c r="R132">
        <f>IF(AND(Q132&lt;&gt;"",ISNUMBER(D132)),Q132,"")</f>
        <v/>
      </c>
      <c r="S132">
        <f>IF(AND(Q132&lt;&gt;"",ISNUMBER(E132)),Q132,"")</f>
        <v/>
      </c>
      <c r="T132">
        <f>IF(AND(Q132&lt;&gt;"",ISNUMBER(F132)),Q132,"")</f>
        <v/>
      </c>
      <c r="U132">
        <f>IF(AND(Q132&lt;&gt;"",ISNUMBER(G132)),Q132,"")</f>
        <v/>
      </c>
      <c r="V132">
        <f>IF(AND(Q132&lt;&gt;"",ISNUMBER(H132)),Q132,"")</f>
        <v/>
      </c>
      <c r="W132">
        <f>IF(AND(Q132&lt;&gt;"",ISNUMBER(I132)),Q132,"")</f>
        <v/>
      </c>
      <c r="X132">
        <f>IF(AND(Q132&lt;&gt;"",ISNUMBER(J132)),Q132,"")</f>
        <v/>
      </c>
      <c r="Y132">
        <f>IF(AND(Q132&lt;&gt;"",ISNUMBER(K132)),Q132,"")</f>
        <v/>
      </c>
      <c r="Z132">
        <f>IF(AND(Q132&lt;&gt;"",ISNUMBER(L132)),Q132,"")</f>
        <v/>
      </c>
      <c r="AA132">
        <f>IF(AND(Q132&lt;&gt;"",ISNUMBER(M132)),Q132,"")</f>
        <v/>
      </c>
      <c r="AB132">
        <f>IF(AND(Q132&lt;&gt;"",ISNUMBER(K132)),K132,"")</f>
        <v/>
      </c>
      <c r="AC132">
        <f>IF(AND(Q132&lt;&gt;"",ISNUMBER(L132)),L132,"")</f>
        <v/>
      </c>
      <c r="AD132">
        <f>IF(AND(Q132&lt;&gt;"",ISNUMBER(M132)),M132,"")</f>
        <v/>
      </c>
    </row>
    <row r="133">
      <c r="A133" s="1" t="n"/>
      <c r="B133" s="17" t="n"/>
      <c r="C133" s="27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9" t="n"/>
      <c r="N133" s="21" t="n"/>
      <c r="O133" s="12">
        <f>IF(AND(B133="",C133=""),"",IF(NOT(ISNUMBER(B133)),"Needs a date",IF(C133="","Needs a client",IF(COUNTIF(Clients!$B$6:$B$105,C133)=0,"Not on Clients",IF(COUNT(D133:M133)=0,"Nothing measured","")))))</f>
        <v/>
      </c>
      <c r="P133" s="1">
        <f>IF(AND(O133="",ISNUMBER(B133)),INT(B133),0)</f>
        <v/>
      </c>
      <c r="Q133">
        <f>IF(AND(P133&gt;0,C133=Report!$C$5),P133*10000+ROW(),"")</f>
        <v/>
      </c>
      <c r="R133">
        <f>IF(AND(Q133&lt;&gt;"",ISNUMBER(D133)),Q133,"")</f>
        <v/>
      </c>
      <c r="S133">
        <f>IF(AND(Q133&lt;&gt;"",ISNUMBER(E133)),Q133,"")</f>
        <v/>
      </c>
      <c r="T133">
        <f>IF(AND(Q133&lt;&gt;"",ISNUMBER(F133)),Q133,"")</f>
        <v/>
      </c>
      <c r="U133">
        <f>IF(AND(Q133&lt;&gt;"",ISNUMBER(G133)),Q133,"")</f>
        <v/>
      </c>
      <c r="V133">
        <f>IF(AND(Q133&lt;&gt;"",ISNUMBER(H133)),Q133,"")</f>
        <v/>
      </c>
      <c r="W133">
        <f>IF(AND(Q133&lt;&gt;"",ISNUMBER(I133)),Q133,"")</f>
        <v/>
      </c>
      <c r="X133">
        <f>IF(AND(Q133&lt;&gt;"",ISNUMBER(J133)),Q133,"")</f>
        <v/>
      </c>
      <c r="Y133">
        <f>IF(AND(Q133&lt;&gt;"",ISNUMBER(K133)),Q133,"")</f>
        <v/>
      </c>
      <c r="Z133">
        <f>IF(AND(Q133&lt;&gt;"",ISNUMBER(L133)),Q133,"")</f>
        <v/>
      </c>
      <c r="AA133">
        <f>IF(AND(Q133&lt;&gt;"",ISNUMBER(M133)),Q133,"")</f>
        <v/>
      </c>
      <c r="AB133">
        <f>IF(AND(Q133&lt;&gt;"",ISNUMBER(K133)),K133,"")</f>
        <v/>
      </c>
      <c r="AC133">
        <f>IF(AND(Q133&lt;&gt;"",ISNUMBER(L133)),L133,"")</f>
        <v/>
      </c>
      <c r="AD133">
        <f>IF(AND(Q133&lt;&gt;"",ISNUMBER(M133)),M133,"")</f>
        <v/>
      </c>
    </row>
    <row r="134">
      <c r="A134" s="1" t="n"/>
      <c r="B134" s="17" t="n"/>
      <c r="C134" s="27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9" t="n"/>
      <c r="N134" s="21" t="n"/>
      <c r="O134" s="12">
        <f>IF(AND(B134="",C134=""),"",IF(NOT(ISNUMBER(B134)),"Needs a date",IF(C134="","Needs a client",IF(COUNTIF(Clients!$B$6:$B$105,C134)=0,"Not on Clients",IF(COUNT(D134:M134)=0,"Nothing measured","")))))</f>
        <v/>
      </c>
      <c r="P134" s="1">
        <f>IF(AND(O134="",ISNUMBER(B134)),INT(B134),0)</f>
        <v/>
      </c>
      <c r="Q134">
        <f>IF(AND(P134&gt;0,C134=Report!$C$5),P134*10000+ROW(),"")</f>
        <v/>
      </c>
      <c r="R134">
        <f>IF(AND(Q134&lt;&gt;"",ISNUMBER(D134)),Q134,"")</f>
        <v/>
      </c>
      <c r="S134">
        <f>IF(AND(Q134&lt;&gt;"",ISNUMBER(E134)),Q134,"")</f>
        <v/>
      </c>
      <c r="T134">
        <f>IF(AND(Q134&lt;&gt;"",ISNUMBER(F134)),Q134,"")</f>
        <v/>
      </c>
      <c r="U134">
        <f>IF(AND(Q134&lt;&gt;"",ISNUMBER(G134)),Q134,"")</f>
        <v/>
      </c>
      <c r="V134">
        <f>IF(AND(Q134&lt;&gt;"",ISNUMBER(H134)),Q134,"")</f>
        <v/>
      </c>
      <c r="W134">
        <f>IF(AND(Q134&lt;&gt;"",ISNUMBER(I134)),Q134,"")</f>
        <v/>
      </c>
      <c r="X134">
        <f>IF(AND(Q134&lt;&gt;"",ISNUMBER(J134)),Q134,"")</f>
        <v/>
      </c>
      <c r="Y134">
        <f>IF(AND(Q134&lt;&gt;"",ISNUMBER(K134)),Q134,"")</f>
        <v/>
      </c>
      <c r="Z134">
        <f>IF(AND(Q134&lt;&gt;"",ISNUMBER(L134)),Q134,"")</f>
        <v/>
      </c>
      <c r="AA134">
        <f>IF(AND(Q134&lt;&gt;"",ISNUMBER(M134)),Q134,"")</f>
        <v/>
      </c>
      <c r="AB134">
        <f>IF(AND(Q134&lt;&gt;"",ISNUMBER(K134)),K134,"")</f>
        <v/>
      </c>
      <c r="AC134">
        <f>IF(AND(Q134&lt;&gt;"",ISNUMBER(L134)),L134,"")</f>
        <v/>
      </c>
      <c r="AD134">
        <f>IF(AND(Q134&lt;&gt;"",ISNUMBER(M134)),M134,"")</f>
        <v/>
      </c>
    </row>
    <row r="135">
      <c r="A135" s="1" t="n"/>
      <c r="B135" s="17" t="n"/>
      <c r="C135" s="27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9" t="n"/>
      <c r="N135" s="21" t="n"/>
      <c r="O135" s="12">
        <f>IF(AND(B135="",C135=""),"",IF(NOT(ISNUMBER(B135)),"Needs a date",IF(C135="","Needs a client",IF(COUNTIF(Clients!$B$6:$B$105,C135)=0,"Not on Clients",IF(COUNT(D135:M135)=0,"Nothing measured","")))))</f>
        <v/>
      </c>
      <c r="P135" s="1">
        <f>IF(AND(O135="",ISNUMBER(B135)),INT(B135),0)</f>
        <v/>
      </c>
      <c r="Q135">
        <f>IF(AND(P135&gt;0,C135=Report!$C$5),P135*10000+ROW(),"")</f>
        <v/>
      </c>
      <c r="R135">
        <f>IF(AND(Q135&lt;&gt;"",ISNUMBER(D135)),Q135,"")</f>
        <v/>
      </c>
      <c r="S135">
        <f>IF(AND(Q135&lt;&gt;"",ISNUMBER(E135)),Q135,"")</f>
        <v/>
      </c>
      <c r="T135">
        <f>IF(AND(Q135&lt;&gt;"",ISNUMBER(F135)),Q135,"")</f>
        <v/>
      </c>
      <c r="U135">
        <f>IF(AND(Q135&lt;&gt;"",ISNUMBER(G135)),Q135,"")</f>
        <v/>
      </c>
      <c r="V135">
        <f>IF(AND(Q135&lt;&gt;"",ISNUMBER(H135)),Q135,"")</f>
        <v/>
      </c>
      <c r="W135">
        <f>IF(AND(Q135&lt;&gt;"",ISNUMBER(I135)),Q135,"")</f>
        <v/>
      </c>
      <c r="X135">
        <f>IF(AND(Q135&lt;&gt;"",ISNUMBER(J135)),Q135,"")</f>
        <v/>
      </c>
      <c r="Y135">
        <f>IF(AND(Q135&lt;&gt;"",ISNUMBER(K135)),Q135,"")</f>
        <v/>
      </c>
      <c r="Z135">
        <f>IF(AND(Q135&lt;&gt;"",ISNUMBER(L135)),Q135,"")</f>
        <v/>
      </c>
      <c r="AA135">
        <f>IF(AND(Q135&lt;&gt;"",ISNUMBER(M135)),Q135,"")</f>
        <v/>
      </c>
      <c r="AB135">
        <f>IF(AND(Q135&lt;&gt;"",ISNUMBER(K135)),K135,"")</f>
        <v/>
      </c>
      <c r="AC135">
        <f>IF(AND(Q135&lt;&gt;"",ISNUMBER(L135)),L135,"")</f>
        <v/>
      </c>
      <c r="AD135">
        <f>IF(AND(Q135&lt;&gt;"",ISNUMBER(M135)),M135,"")</f>
        <v/>
      </c>
    </row>
    <row r="136">
      <c r="A136" s="1" t="n"/>
      <c r="B136" s="17" t="n"/>
      <c r="C136" s="27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9" t="n"/>
      <c r="N136" s="21" t="n"/>
      <c r="O136" s="12">
        <f>IF(AND(B136="",C136=""),"",IF(NOT(ISNUMBER(B136)),"Needs a date",IF(C136="","Needs a client",IF(COUNTIF(Clients!$B$6:$B$105,C136)=0,"Not on Clients",IF(COUNT(D136:M136)=0,"Nothing measured","")))))</f>
        <v/>
      </c>
      <c r="P136" s="1">
        <f>IF(AND(O136="",ISNUMBER(B136)),INT(B136),0)</f>
        <v/>
      </c>
      <c r="Q136">
        <f>IF(AND(P136&gt;0,C136=Report!$C$5),P136*10000+ROW(),"")</f>
        <v/>
      </c>
      <c r="R136">
        <f>IF(AND(Q136&lt;&gt;"",ISNUMBER(D136)),Q136,"")</f>
        <v/>
      </c>
      <c r="S136">
        <f>IF(AND(Q136&lt;&gt;"",ISNUMBER(E136)),Q136,"")</f>
        <v/>
      </c>
      <c r="T136">
        <f>IF(AND(Q136&lt;&gt;"",ISNUMBER(F136)),Q136,"")</f>
        <v/>
      </c>
      <c r="U136">
        <f>IF(AND(Q136&lt;&gt;"",ISNUMBER(G136)),Q136,"")</f>
        <v/>
      </c>
      <c r="V136">
        <f>IF(AND(Q136&lt;&gt;"",ISNUMBER(H136)),Q136,"")</f>
        <v/>
      </c>
      <c r="W136">
        <f>IF(AND(Q136&lt;&gt;"",ISNUMBER(I136)),Q136,"")</f>
        <v/>
      </c>
      <c r="X136">
        <f>IF(AND(Q136&lt;&gt;"",ISNUMBER(J136)),Q136,"")</f>
        <v/>
      </c>
      <c r="Y136">
        <f>IF(AND(Q136&lt;&gt;"",ISNUMBER(K136)),Q136,"")</f>
        <v/>
      </c>
      <c r="Z136">
        <f>IF(AND(Q136&lt;&gt;"",ISNUMBER(L136)),Q136,"")</f>
        <v/>
      </c>
      <c r="AA136">
        <f>IF(AND(Q136&lt;&gt;"",ISNUMBER(M136)),Q136,"")</f>
        <v/>
      </c>
      <c r="AB136">
        <f>IF(AND(Q136&lt;&gt;"",ISNUMBER(K136)),K136,"")</f>
        <v/>
      </c>
      <c r="AC136">
        <f>IF(AND(Q136&lt;&gt;"",ISNUMBER(L136)),L136,"")</f>
        <v/>
      </c>
      <c r="AD136">
        <f>IF(AND(Q136&lt;&gt;"",ISNUMBER(M136)),M136,"")</f>
        <v/>
      </c>
    </row>
    <row r="137">
      <c r="A137" s="1" t="n"/>
      <c r="B137" s="17" t="n"/>
      <c r="C137" s="27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9" t="n"/>
      <c r="N137" s="21" t="n"/>
      <c r="O137" s="12">
        <f>IF(AND(B137="",C137=""),"",IF(NOT(ISNUMBER(B137)),"Needs a date",IF(C137="","Needs a client",IF(COUNTIF(Clients!$B$6:$B$105,C137)=0,"Not on Clients",IF(COUNT(D137:M137)=0,"Nothing measured","")))))</f>
        <v/>
      </c>
      <c r="P137" s="1">
        <f>IF(AND(O137="",ISNUMBER(B137)),INT(B137),0)</f>
        <v/>
      </c>
      <c r="Q137">
        <f>IF(AND(P137&gt;0,C137=Report!$C$5),P137*10000+ROW(),"")</f>
        <v/>
      </c>
      <c r="R137">
        <f>IF(AND(Q137&lt;&gt;"",ISNUMBER(D137)),Q137,"")</f>
        <v/>
      </c>
      <c r="S137">
        <f>IF(AND(Q137&lt;&gt;"",ISNUMBER(E137)),Q137,"")</f>
        <v/>
      </c>
      <c r="T137">
        <f>IF(AND(Q137&lt;&gt;"",ISNUMBER(F137)),Q137,"")</f>
        <v/>
      </c>
      <c r="U137">
        <f>IF(AND(Q137&lt;&gt;"",ISNUMBER(G137)),Q137,"")</f>
        <v/>
      </c>
      <c r="V137">
        <f>IF(AND(Q137&lt;&gt;"",ISNUMBER(H137)),Q137,"")</f>
        <v/>
      </c>
      <c r="W137">
        <f>IF(AND(Q137&lt;&gt;"",ISNUMBER(I137)),Q137,"")</f>
        <v/>
      </c>
      <c r="X137">
        <f>IF(AND(Q137&lt;&gt;"",ISNUMBER(J137)),Q137,"")</f>
        <v/>
      </c>
      <c r="Y137">
        <f>IF(AND(Q137&lt;&gt;"",ISNUMBER(K137)),Q137,"")</f>
        <v/>
      </c>
      <c r="Z137">
        <f>IF(AND(Q137&lt;&gt;"",ISNUMBER(L137)),Q137,"")</f>
        <v/>
      </c>
      <c r="AA137">
        <f>IF(AND(Q137&lt;&gt;"",ISNUMBER(M137)),Q137,"")</f>
        <v/>
      </c>
      <c r="AB137">
        <f>IF(AND(Q137&lt;&gt;"",ISNUMBER(K137)),K137,"")</f>
        <v/>
      </c>
      <c r="AC137">
        <f>IF(AND(Q137&lt;&gt;"",ISNUMBER(L137)),L137,"")</f>
        <v/>
      </c>
      <c r="AD137">
        <f>IF(AND(Q137&lt;&gt;"",ISNUMBER(M137)),M137,"")</f>
        <v/>
      </c>
    </row>
    <row r="138">
      <c r="A138" s="1" t="n"/>
      <c r="B138" s="17" t="n"/>
      <c r="C138" s="27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9" t="n"/>
      <c r="N138" s="21" t="n"/>
      <c r="O138" s="12">
        <f>IF(AND(B138="",C138=""),"",IF(NOT(ISNUMBER(B138)),"Needs a date",IF(C138="","Needs a client",IF(COUNTIF(Clients!$B$6:$B$105,C138)=0,"Not on Clients",IF(COUNT(D138:M138)=0,"Nothing measured","")))))</f>
        <v/>
      </c>
      <c r="P138" s="1">
        <f>IF(AND(O138="",ISNUMBER(B138)),INT(B138),0)</f>
        <v/>
      </c>
      <c r="Q138">
        <f>IF(AND(P138&gt;0,C138=Report!$C$5),P138*10000+ROW(),"")</f>
        <v/>
      </c>
      <c r="R138">
        <f>IF(AND(Q138&lt;&gt;"",ISNUMBER(D138)),Q138,"")</f>
        <v/>
      </c>
      <c r="S138">
        <f>IF(AND(Q138&lt;&gt;"",ISNUMBER(E138)),Q138,"")</f>
        <v/>
      </c>
      <c r="T138">
        <f>IF(AND(Q138&lt;&gt;"",ISNUMBER(F138)),Q138,"")</f>
        <v/>
      </c>
      <c r="U138">
        <f>IF(AND(Q138&lt;&gt;"",ISNUMBER(G138)),Q138,"")</f>
        <v/>
      </c>
      <c r="V138">
        <f>IF(AND(Q138&lt;&gt;"",ISNUMBER(H138)),Q138,"")</f>
        <v/>
      </c>
      <c r="W138">
        <f>IF(AND(Q138&lt;&gt;"",ISNUMBER(I138)),Q138,"")</f>
        <v/>
      </c>
      <c r="X138">
        <f>IF(AND(Q138&lt;&gt;"",ISNUMBER(J138)),Q138,"")</f>
        <v/>
      </c>
      <c r="Y138">
        <f>IF(AND(Q138&lt;&gt;"",ISNUMBER(K138)),Q138,"")</f>
        <v/>
      </c>
      <c r="Z138">
        <f>IF(AND(Q138&lt;&gt;"",ISNUMBER(L138)),Q138,"")</f>
        <v/>
      </c>
      <c r="AA138">
        <f>IF(AND(Q138&lt;&gt;"",ISNUMBER(M138)),Q138,"")</f>
        <v/>
      </c>
      <c r="AB138">
        <f>IF(AND(Q138&lt;&gt;"",ISNUMBER(K138)),K138,"")</f>
        <v/>
      </c>
      <c r="AC138">
        <f>IF(AND(Q138&lt;&gt;"",ISNUMBER(L138)),L138,"")</f>
        <v/>
      </c>
      <c r="AD138">
        <f>IF(AND(Q138&lt;&gt;"",ISNUMBER(M138)),M138,"")</f>
        <v/>
      </c>
    </row>
    <row r="139">
      <c r="A139" s="1" t="n"/>
      <c r="B139" s="17" t="n"/>
      <c r="C139" s="27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9" t="n"/>
      <c r="N139" s="21" t="n"/>
      <c r="O139" s="12">
        <f>IF(AND(B139="",C139=""),"",IF(NOT(ISNUMBER(B139)),"Needs a date",IF(C139="","Needs a client",IF(COUNTIF(Clients!$B$6:$B$105,C139)=0,"Not on Clients",IF(COUNT(D139:M139)=0,"Nothing measured","")))))</f>
        <v/>
      </c>
      <c r="P139" s="1">
        <f>IF(AND(O139="",ISNUMBER(B139)),INT(B139),0)</f>
        <v/>
      </c>
      <c r="Q139">
        <f>IF(AND(P139&gt;0,C139=Report!$C$5),P139*10000+ROW(),"")</f>
        <v/>
      </c>
      <c r="R139">
        <f>IF(AND(Q139&lt;&gt;"",ISNUMBER(D139)),Q139,"")</f>
        <v/>
      </c>
      <c r="S139">
        <f>IF(AND(Q139&lt;&gt;"",ISNUMBER(E139)),Q139,"")</f>
        <v/>
      </c>
      <c r="T139">
        <f>IF(AND(Q139&lt;&gt;"",ISNUMBER(F139)),Q139,"")</f>
        <v/>
      </c>
      <c r="U139">
        <f>IF(AND(Q139&lt;&gt;"",ISNUMBER(G139)),Q139,"")</f>
        <v/>
      </c>
      <c r="V139">
        <f>IF(AND(Q139&lt;&gt;"",ISNUMBER(H139)),Q139,"")</f>
        <v/>
      </c>
      <c r="W139">
        <f>IF(AND(Q139&lt;&gt;"",ISNUMBER(I139)),Q139,"")</f>
        <v/>
      </c>
      <c r="X139">
        <f>IF(AND(Q139&lt;&gt;"",ISNUMBER(J139)),Q139,"")</f>
        <v/>
      </c>
      <c r="Y139">
        <f>IF(AND(Q139&lt;&gt;"",ISNUMBER(K139)),Q139,"")</f>
        <v/>
      </c>
      <c r="Z139">
        <f>IF(AND(Q139&lt;&gt;"",ISNUMBER(L139)),Q139,"")</f>
        <v/>
      </c>
      <c r="AA139">
        <f>IF(AND(Q139&lt;&gt;"",ISNUMBER(M139)),Q139,"")</f>
        <v/>
      </c>
      <c r="AB139">
        <f>IF(AND(Q139&lt;&gt;"",ISNUMBER(K139)),K139,"")</f>
        <v/>
      </c>
      <c r="AC139">
        <f>IF(AND(Q139&lt;&gt;"",ISNUMBER(L139)),L139,"")</f>
        <v/>
      </c>
      <c r="AD139">
        <f>IF(AND(Q139&lt;&gt;"",ISNUMBER(M139)),M139,"")</f>
        <v/>
      </c>
    </row>
    <row r="140">
      <c r="A140" s="1" t="n"/>
      <c r="B140" s="17" t="n"/>
      <c r="C140" s="27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9" t="n"/>
      <c r="N140" s="21" t="n"/>
      <c r="O140" s="12">
        <f>IF(AND(B140="",C140=""),"",IF(NOT(ISNUMBER(B140)),"Needs a date",IF(C140="","Needs a client",IF(COUNTIF(Clients!$B$6:$B$105,C140)=0,"Not on Clients",IF(COUNT(D140:M140)=0,"Nothing measured","")))))</f>
        <v/>
      </c>
      <c r="P140" s="1">
        <f>IF(AND(O140="",ISNUMBER(B140)),INT(B140),0)</f>
        <v/>
      </c>
      <c r="Q140">
        <f>IF(AND(P140&gt;0,C140=Report!$C$5),P140*10000+ROW(),"")</f>
        <v/>
      </c>
      <c r="R140">
        <f>IF(AND(Q140&lt;&gt;"",ISNUMBER(D140)),Q140,"")</f>
        <v/>
      </c>
      <c r="S140">
        <f>IF(AND(Q140&lt;&gt;"",ISNUMBER(E140)),Q140,"")</f>
        <v/>
      </c>
      <c r="T140">
        <f>IF(AND(Q140&lt;&gt;"",ISNUMBER(F140)),Q140,"")</f>
        <v/>
      </c>
      <c r="U140">
        <f>IF(AND(Q140&lt;&gt;"",ISNUMBER(G140)),Q140,"")</f>
        <v/>
      </c>
      <c r="V140">
        <f>IF(AND(Q140&lt;&gt;"",ISNUMBER(H140)),Q140,"")</f>
        <v/>
      </c>
      <c r="W140">
        <f>IF(AND(Q140&lt;&gt;"",ISNUMBER(I140)),Q140,"")</f>
        <v/>
      </c>
      <c r="X140">
        <f>IF(AND(Q140&lt;&gt;"",ISNUMBER(J140)),Q140,"")</f>
        <v/>
      </c>
      <c r="Y140">
        <f>IF(AND(Q140&lt;&gt;"",ISNUMBER(K140)),Q140,"")</f>
        <v/>
      </c>
      <c r="Z140">
        <f>IF(AND(Q140&lt;&gt;"",ISNUMBER(L140)),Q140,"")</f>
        <v/>
      </c>
      <c r="AA140">
        <f>IF(AND(Q140&lt;&gt;"",ISNUMBER(M140)),Q140,"")</f>
        <v/>
      </c>
      <c r="AB140">
        <f>IF(AND(Q140&lt;&gt;"",ISNUMBER(K140)),K140,"")</f>
        <v/>
      </c>
      <c r="AC140">
        <f>IF(AND(Q140&lt;&gt;"",ISNUMBER(L140)),L140,"")</f>
        <v/>
      </c>
      <c r="AD140">
        <f>IF(AND(Q140&lt;&gt;"",ISNUMBER(M140)),M140,"")</f>
        <v/>
      </c>
    </row>
    <row r="141">
      <c r="A141" s="1" t="n"/>
      <c r="B141" s="17" t="n"/>
      <c r="C141" s="27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9" t="n"/>
      <c r="N141" s="21" t="n"/>
      <c r="O141" s="12">
        <f>IF(AND(B141="",C141=""),"",IF(NOT(ISNUMBER(B141)),"Needs a date",IF(C141="","Needs a client",IF(COUNTIF(Clients!$B$6:$B$105,C141)=0,"Not on Clients",IF(COUNT(D141:M141)=0,"Nothing measured","")))))</f>
        <v/>
      </c>
      <c r="P141" s="1">
        <f>IF(AND(O141="",ISNUMBER(B141)),INT(B141),0)</f>
        <v/>
      </c>
      <c r="Q141">
        <f>IF(AND(P141&gt;0,C141=Report!$C$5),P141*10000+ROW(),"")</f>
        <v/>
      </c>
      <c r="R141">
        <f>IF(AND(Q141&lt;&gt;"",ISNUMBER(D141)),Q141,"")</f>
        <v/>
      </c>
      <c r="S141">
        <f>IF(AND(Q141&lt;&gt;"",ISNUMBER(E141)),Q141,"")</f>
        <v/>
      </c>
      <c r="T141">
        <f>IF(AND(Q141&lt;&gt;"",ISNUMBER(F141)),Q141,"")</f>
        <v/>
      </c>
      <c r="U141">
        <f>IF(AND(Q141&lt;&gt;"",ISNUMBER(G141)),Q141,"")</f>
        <v/>
      </c>
      <c r="V141">
        <f>IF(AND(Q141&lt;&gt;"",ISNUMBER(H141)),Q141,"")</f>
        <v/>
      </c>
      <c r="W141">
        <f>IF(AND(Q141&lt;&gt;"",ISNUMBER(I141)),Q141,"")</f>
        <v/>
      </c>
      <c r="X141">
        <f>IF(AND(Q141&lt;&gt;"",ISNUMBER(J141)),Q141,"")</f>
        <v/>
      </c>
      <c r="Y141">
        <f>IF(AND(Q141&lt;&gt;"",ISNUMBER(K141)),Q141,"")</f>
        <v/>
      </c>
      <c r="Z141">
        <f>IF(AND(Q141&lt;&gt;"",ISNUMBER(L141)),Q141,"")</f>
        <v/>
      </c>
      <c r="AA141">
        <f>IF(AND(Q141&lt;&gt;"",ISNUMBER(M141)),Q141,"")</f>
        <v/>
      </c>
      <c r="AB141">
        <f>IF(AND(Q141&lt;&gt;"",ISNUMBER(K141)),K141,"")</f>
        <v/>
      </c>
      <c r="AC141">
        <f>IF(AND(Q141&lt;&gt;"",ISNUMBER(L141)),L141,"")</f>
        <v/>
      </c>
      <c r="AD141">
        <f>IF(AND(Q141&lt;&gt;"",ISNUMBER(M141)),M141,"")</f>
        <v/>
      </c>
    </row>
    <row r="142">
      <c r="A142" s="1" t="n"/>
      <c r="B142" s="17" t="n"/>
      <c r="C142" s="27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9" t="n"/>
      <c r="N142" s="21" t="n"/>
      <c r="O142" s="12">
        <f>IF(AND(B142="",C142=""),"",IF(NOT(ISNUMBER(B142)),"Needs a date",IF(C142="","Needs a client",IF(COUNTIF(Clients!$B$6:$B$105,C142)=0,"Not on Clients",IF(COUNT(D142:M142)=0,"Nothing measured","")))))</f>
        <v/>
      </c>
      <c r="P142" s="1">
        <f>IF(AND(O142="",ISNUMBER(B142)),INT(B142),0)</f>
        <v/>
      </c>
      <c r="Q142">
        <f>IF(AND(P142&gt;0,C142=Report!$C$5),P142*10000+ROW(),"")</f>
        <v/>
      </c>
      <c r="R142">
        <f>IF(AND(Q142&lt;&gt;"",ISNUMBER(D142)),Q142,"")</f>
        <v/>
      </c>
      <c r="S142">
        <f>IF(AND(Q142&lt;&gt;"",ISNUMBER(E142)),Q142,"")</f>
        <v/>
      </c>
      <c r="T142">
        <f>IF(AND(Q142&lt;&gt;"",ISNUMBER(F142)),Q142,"")</f>
        <v/>
      </c>
      <c r="U142">
        <f>IF(AND(Q142&lt;&gt;"",ISNUMBER(G142)),Q142,"")</f>
        <v/>
      </c>
      <c r="V142">
        <f>IF(AND(Q142&lt;&gt;"",ISNUMBER(H142)),Q142,"")</f>
        <v/>
      </c>
      <c r="W142">
        <f>IF(AND(Q142&lt;&gt;"",ISNUMBER(I142)),Q142,"")</f>
        <v/>
      </c>
      <c r="X142">
        <f>IF(AND(Q142&lt;&gt;"",ISNUMBER(J142)),Q142,"")</f>
        <v/>
      </c>
      <c r="Y142">
        <f>IF(AND(Q142&lt;&gt;"",ISNUMBER(K142)),Q142,"")</f>
        <v/>
      </c>
      <c r="Z142">
        <f>IF(AND(Q142&lt;&gt;"",ISNUMBER(L142)),Q142,"")</f>
        <v/>
      </c>
      <c r="AA142">
        <f>IF(AND(Q142&lt;&gt;"",ISNUMBER(M142)),Q142,"")</f>
        <v/>
      </c>
      <c r="AB142">
        <f>IF(AND(Q142&lt;&gt;"",ISNUMBER(K142)),K142,"")</f>
        <v/>
      </c>
      <c r="AC142">
        <f>IF(AND(Q142&lt;&gt;"",ISNUMBER(L142)),L142,"")</f>
        <v/>
      </c>
      <c r="AD142">
        <f>IF(AND(Q142&lt;&gt;"",ISNUMBER(M142)),M142,"")</f>
        <v/>
      </c>
    </row>
    <row r="143">
      <c r="A143" s="1" t="n"/>
      <c r="B143" s="17" t="n"/>
      <c r="C143" s="27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9" t="n"/>
      <c r="N143" s="21" t="n"/>
      <c r="O143" s="12">
        <f>IF(AND(B143="",C143=""),"",IF(NOT(ISNUMBER(B143)),"Needs a date",IF(C143="","Needs a client",IF(COUNTIF(Clients!$B$6:$B$105,C143)=0,"Not on Clients",IF(COUNT(D143:M143)=0,"Nothing measured","")))))</f>
        <v/>
      </c>
      <c r="P143" s="1">
        <f>IF(AND(O143="",ISNUMBER(B143)),INT(B143),0)</f>
        <v/>
      </c>
      <c r="Q143">
        <f>IF(AND(P143&gt;0,C143=Report!$C$5),P143*10000+ROW(),"")</f>
        <v/>
      </c>
      <c r="R143">
        <f>IF(AND(Q143&lt;&gt;"",ISNUMBER(D143)),Q143,"")</f>
        <v/>
      </c>
      <c r="S143">
        <f>IF(AND(Q143&lt;&gt;"",ISNUMBER(E143)),Q143,"")</f>
        <v/>
      </c>
      <c r="T143">
        <f>IF(AND(Q143&lt;&gt;"",ISNUMBER(F143)),Q143,"")</f>
        <v/>
      </c>
      <c r="U143">
        <f>IF(AND(Q143&lt;&gt;"",ISNUMBER(G143)),Q143,"")</f>
        <v/>
      </c>
      <c r="V143">
        <f>IF(AND(Q143&lt;&gt;"",ISNUMBER(H143)),Q143,"")</f>
        <v/>
      </c>
      <c r="W143">
        <f>IF(AND(Q143&lt;&gt;"",ISNUMBER(I143)),Q143,"")</f>
        <v/>
      </c>
      <c r="X143">
        <f>IF(AND(Q143&lt;&gt;"",ISNUMBER(J143)),Q143,"")</f>
        <v/>
      </c>
      <c r="Y143">
        <f>IF(AND(Q143&lt;&gt;"",ISNUMBER(K143)),Q143,"")</f>
        <v/>
      </c>
      <c r="Z143">
        <f>IF(AND(Q143&lt;&gt;"",ISNUMBER(L143)),Q143,"")</f>
        <v/>
      </c>
      <c r="AA143">
        <f>IF(AND(Q143&lt;&gt;"",ISNUMBER(M143)),Q143,"")</f>
        <v/>
      </c>
      <c r="AB143">
        <f>IF(AND(Q143&lt;&gt;"",ISNUMBER(K143)),K143,"")</f>
        <v/>
      </c>
      <c r="AC143">
        <f>IF(AND(Q143&lt;&gt;"",ISNUMBER(L143)),L143,"")</f>
        <v/>
      </c>
      <c r="AD143">
        <f>IF(AND(Q143&lt;&gt;"",ISNUMBER(M143)),M143,"")</f>
        <v/>
      </c>
    </row>
    <row r="144">
      <c r="A144" s="1" t="n"/>
      <c r="B144" s="17" t="n"/>
      <c r="C144" s="27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9" t="n"/>
      <c r="N144" s="21" t="n"/>
      <c r="O144" s="12">
        <f>IF(AND(B144="",C144=""),"",IF(NOT(ISNUMBER(B144)),"Needs a date",IF(C144="","Needs a client",IF(COUNTIF(Clients!$B$6:$B$105,C144)=0,"Not on Clients",IF(COUNT(D144:M144)=0,"Nothing measured","")))))</f>
        <v/>
      </c>
      <c r="P144" s="1">
        <f>IF(AND(O144="",ISNUMBER(B144)),INT(B144),0)</f>
        <v/>
      </c>
      <c r="Q144">
        <f>IF(AND(P144&gt;0,C144=Report!$C$5),P144*10000+ROW(),"")</f>
        <v/>
      </c>
      <c r="R144">
        <f>IF(AND(Q144&lt;&gt;"",ISNUMBER(D144)),Q144,"")</f>
        <v/>
      </c>
      <c r="S144">
        <f>IF(AND(Q144&lt;&gt;"",ISNUMBER(E144)),Q144,"")</f>
        <v/>
      </c>
      <c r="T144">
        <f>IF(AND(Q144&lt;&gt;"",ISNUMBER(F144)),Q144,"")</f>
        <v/>
      </c>
      <c r="U144">
        <f>IF(AND(Q144&lt;&gt;"",ISNUMBER(G144)),Q144,"")</f>
        <v/>
      </c>
      <c r="V144">
        <f>IF(AND(Q144&lt;&gt;"",ISNUMBER(H144)),Q144,"")</f>
        <v/>
      </c>
      <c r="W144">
        <f>IF(AND(Q144&lt;&gt;"",ISNUMBER(I144)),Q144,"")</f>
        <v/>
      </c>
      <c r="X144">
        <f>IF(AND(Q144&lt;&gt;"",ISNUMBER(J144)),Q144,"")</f>
        <v/>
      </c>
      <c r="Y144">
        <f>IF(AND(Q144&lt;&gt;"",ISNUMBER(K144)),Q144,"")</f>
        <v/>
      </c>
      <c r="Z144">
        <f>IF(AND(Q144&lt;&gt;"",ISNUMBER(L144)),Q144,"")</f>
        <v/>
      </c>
      <c r="AA144">
        <f>IF(AND(Q144&lt;&gt;"",ISNUMBER(M144)),Q144,"")</f>
        <v/>
      </c>
      <c r="AB144">
        <f>IF(AND(Q144&lt;&gt;"",ISNUMBER(K144)),K144,"")</f>
        <v/>
      </c>
      <c r="AC144">
        <f>IF(AND(Q144&lt;&gt;"",ISNUMBER(L144)),L144,"")</f>
        <v/>
      </c>
      <c r="AD144">
        <f>IF(AND(Q144&lt;&gt;"",ISNUMBER(M144)),M144,"")</f>
        <v/>
      </c>
    </row>
    <row r="145">
      <c r="A145" s="1" t="n"/>
      <c r="B145" s="17" t="n"/>
      <c r="C145" s="27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9" t="n"/>
      <c r="N145" s="21" t="n"/>
      <c r="O145" s="12">
        <f>IF(AND(B145="",C145=""),"",IF(NOT(ISNUMBER(B145)),"Needs a date",IF(C145="","Needs a client",IF(COUNTIF(Clients!$B$6:$B$105,C145)=0,"Not on Clients",IF(COUNT(D145:M145)=0,"Nothing measured","")))))</f>
        <v/>
      </c>
      <c r="P145" s="1">
        <f>IF(AND(O145="",ISNUMBER(B145)),INT(B145),0)</f>
        <v/>
      </c>
      <c r="Q145">
        <f>IF(AND(P145&gt;0,C145=Report!$C$5),P145*10000+ROW(),"")</f>
        <v/>
      </c>
      <c r="R145">
        <f>IF(AND(Q145&lt;&gt;"",ISNUMBER(D145)),Q145,"")</f>
        <v/>
      </c>
      <c r="S145">
        <f>IF(AND(Q145&lt;&gt;"",ISNUMBER(E145)),Q145,"")</f>
        <v/>
      </c>
      <c r="T145">
        <f>IF(AND(Q145&lt;&gt;"",ISNUMBER(F145)),Q145,"")</f>
        <v/>
      </c>
      <c r="U145">
        <f>IF(AND(Q145&lt;&gt;"",ISNUMBER(G145)),Q145,"")</f>
        <v/>
      </c>
      <c r="V145">
        <f>IF(AND(Q145&lt;&gt;"",ISNUMBER(H145)),Q145,"")</f>
        <v/>
      </c>
      <c r="W145">
        <f>IF(AND(Q145&lt;&gt;"",ISNUMBER(I145)),Q145,"")</f>
        <v/>
      </c>
      <c r="X145">
        <f>IF(AND(Q145&lt;&gt;"",ISNUMBER(J145)),Q145,"")</f>
        <v/>
      </c>
      <c r="Y145">
        <f>IF(AND(Q145&lt;&gt;"",ISNUMBER(K145)),Q145,"")</f>
        <v/>
      </c>
      <c r="Z145">
        <f>IF(AND(Q145&lt;&gt;"",ISNUMBER(L145)),Q145,"")</f>
        <v/>
      </c>
      <c r="AA145">
        <f>IF(AND(Q145&lt;&gt;"",ISNUMBER(M145)),Q145,"")</f>
        <v/>
      </c>
      <c r="AB145">
        <f>IF(AND(Q145&lt;&gt;"",ISNUMBER(K145)),K145,"")</f>
        <v/>
      </c>
      <c r="AC145">
        <f>IF(AND(Q145&lt;&gt;"",ISNUMBER(L145)),L145,"")</f>
        <v/>
      </c>
      <c r="AD145">
        <f>IF(AND(Q145&lt;&gt;"",ISNUMBER(M145)),M145,"")</f>
        <v/>
      </c>
    </row>
    <row r="146">
      <c r="A146" s="1" t="n"/>
      <c r="B146" s="17" t="n"/>
      <c r="C146" s="27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9" t="n"/>
      <c r="N146" s="21" t="n"/>
      <c r="O146" s="12">
        <f>IF(AND(B146="",C146=""),"",IF(NOT(ISNUMBER(B146)),"Needs a date",IF(C146="","Needs a client",IF(COUNTIF(Clients!$B$6:$B$105,C146)=0,"Not on Clients",IF(COUNT(D146:M146)=0,"Nothing measured","")))))</f>
        <v/>
      </c>
      <c r="P146" s="1">
        <f>IF(AND(O146="",ISNUMBER(B146)),INT(B146),0)</f>
        <v/>
      </c>
      <c r="Q146">
        <f>IF(AND(P146&gt;0,C146=Report!$C$5),P146*10000+ROW(),"")</f>
        <v/>
      </c>
      <c r="R146">
        <f>IF(AND(Q146&lt;&gt;"",ISNUMBER(D146)),Q146,"")</f>
        <v/>
      </c>
      <c r="S146">
        <f>IF(AND(Q146&lt;&gt;"",ISNUMBER(E146)),Q146,"")</f>
        <v/>
      </c>
      <c r="T146">
        <f>IF(AND(Q146&lt;&gt;"",ISNUMBER(F146)),Q146,"")</f>
        <v/>
      </c>
      <c r="U146">
        <f>IF(AND(Q146&lt;&gt;"",ISNUMBER(G146)),Q146,"")</f>
        <v/>
      </c>
      <c r="V146">
        <f>IF(AND(Q146&lt;&gt;"",ISNUMBER(H146)),Q146,"")</f>
        <v/>
      </c>
      <c r="W146">
        <f>IF(AND(Q146&lt;&gt;"",ISNUMBER(I146)),Q146,"")</f>
        <v/>
      </c>
      <c r="X146">
        <f>IF(AND(Q146&lt;&gt;"",ISNUMBER(J146)),Q146,"")</f>
        <v/>
      </c>
      <c r="Y146">
        <f>IF(AND(Q146&lt;&gt;"",ISNUMBER(K146)),Q146,"")</f>
        <v/>
      </c>
      <c r="Z146">
        <f>IF(AND(Q146&lt;&gt;"",ISNUMBER(L146)),Q146,"")</f>
        <v/>
      </c>
      <c r="AA146">
        <f>IF(AND(Q146&lt;&gt;"",ISNUMBER(M146)),Q146,"")</f>
        <v/>
      </c>
      <c r="AB146">
        <f>IF(AND(Q146&lt;&gt;"",ISNUMBER(K146)),K146,"")</f>
        <v/>
      </c>
      <c r="AC146">
        <f>IF(AND(Q146&lt;&gt;"",ISNUMBER(L146)),L146,"")</f>
        <v/>
      </c>
      <c r="AD146">
        <f>IF(AND(Q146&lt;&gt;"",ISNUMBER(M146)),M146,"")</f>
        <v/>
      </c>
    </row>
    <row r="147">
      <c r="A147" s="1" t="n"/>
      <c r="B147" s="17" t="n"/>
      <c r="C147" s="27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9" t="n"/>
      <c r="N147" s="21" t="n"/>
      <c r="O147" s="12">
        <f>IF(AND(B147="",C147=""),"",IF(NOT(ISNUMBER(B147)),"Needs a date",IF(C147="","Needs a client",IF(COUNTIF(Clients!$B$6:$B$105,C147)=0,"Not on Clients",IF(COUNT(D147:M147)=0,"Nothing measured","")))))</f>
        <v/>
      </c>
      <c r="P147" s="1">
        <f>IF(AND(O147="",ISNUMBER(B147)),INT(B147),0)</f>
        <v/>
      </c>
      <c r="Q147">
        <f>IF(AND(P147&gt;0,C147=Report!$C$5),P147*10000+ROW(),"")</f>
        <v/>
      </c>
      <c r="R147">
        <f>IF(AND(Q147&lt;&gt;"",ISNUMBER(D147)),Q147,"")</f>
        <v/>
      </c>
      <c r="S147">
        <f>IF(AND(Q147&lt;&gt;"",ISNUMBER(E147)),Q147,"")</f>
        <v/>
      </c>
      <c r="T147">
        <f>IF(AND(Q147&lt;&gt;"",ISNUMBER(F147)),Q147,"")</f>
        <v/>
      </c>
      <c r="U147">
        <f>IF(AND(Q147&lt;&gt;"",ISNUMBER(G147)),Q147,"")</f>
        <v/>
      </c>
      <c r="V147">
        <f>IF(AND(Q147&lt;&gt;"",ISNUMBER(H147)),Q147,"")</f>
        <v/>
      </c>
      <c r="W147">
        <f>IF(AND(Q147&lt;&gt;"",ISNUMBER(I147)),Q147,"")</f>
        <v/>
      </c>
      <c r="X147">
        <f>IF(AND(Q147&lt;&gt;"",ISNUMBER(J147)),Q147,"")</f>
        <v/>
      </c>
      <c r="Y147">
        <f>IF(AND(Q147&lt;&gt;"",ISNUMBER(K147)),Q147,"")</f>
        <v/>
      </c>
      <c r="Z147">
        <f>IF(AND(Q147&lt;&gt;"",ISNUMBER(L147)),Q147,"")</f>
        <v/>
      </c>
      <c r="AA147">
        <f>IF(AND(Q147&lt;&gt;"",ISNUMBER(M147)),Q147,"")</f>
        <v/>
      </c>
      <c r="AB147">
        <f>IF(AND(Q147&lt;&gt;"",ISNUMBER(K147)),K147,"")</f>
        <v/>
      </c>
      <c r="AC147">
        <f>IF(AND(Q147&lt;&gt;"",ISNUMBER(L147)),L147,"")</f>
        <v/>
      </c>
      <c r="AD147">
        <f>IF(AND(Q147&lt;&gt;"",ISNUMBER(M147)),M147,"")</f>
        <v/>
      </c>
    </row>
    <row r="148">
      <c r="A148" s="1" t="n"/>
      <c r="B148" s="17" t="n"/>
      <c r="C148" s="27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9" t="n"/>
      <c r="N148" s="21" t="n"/>
      <c r="O148" s="12">
        <f>IF(AND(B148="",C148=""),"",IF(NOT(ISNUMBER(B148)),"Needs a date",IF(C148="","Needs a client",IF(COUNTIF(Clients!$B$6:$B$105,C148)=0,"Not on Clients",IF(COUNT(D148:M148)=0,"Nothing measured","")))))</f>
        <v/>
      </c>
      <c r="P148" s="1">
        <f>IF(AND(O148="",ISNUMBER(B148)),INT(B148),0)</f>
        <v/>
      </c>
      <c r="Q148">
        <f>IF(AND(P148&gt;0,C148=Report!$C$5),P148*10000+ROW(),"")</f>
        <v/>
      </c>
      <c r="R148">
        <f>IF(AND(Q148&lt;&gt;"",ISNUMBER(D148)),Q148,"")</f>
        <v/>
      </c>
      <c r="S148">
        <f>IF(AND(Q148&lt;&gt;"",ISNUMBER(E148)),Q148,"")</f>
        <v/>
      </c>
      <c r="T148">
        <f>IF(AND(Q148&lt;&gt;"",ISNUMBER(F148)),Q148,"")</f>
        <v/>
      </c>
      <c r="U148">
        <f>IF(AND(Q148&lt;&gt;"",ISNUMBER(G148)),Q148,"")</f>
        <v/>
      </c>
      <c r="V148">
        <f>IF(AND(Q148&lt;&gt;"",ISNUMBER(H148)),Q148,"")</f>
        <v/>
      </c>
      <c r="W148">
        <f>IF(AND(Q148&lt;&gt;"",ISNUMBER(I148)),Q148,"")</f>
        <v/>
      </c>
      <c r="X148">
        <f>IF(AND(Q148&lt;&gt;"",ISNUMBER(J148)),Q148,"")</f>
        <v/>
      </c>
      <c r="Y148">
        <f>IF(AND(Q148&lt;&gt;"",ISNUMBER(K148)),Q148,"")</f>
        <v/>
      </c>
      <c r="Z148">
        <f>IF(AND(Q148&lt;&gt;"",ISNUMBER(L148)),Q148,"")</f>
        <v/>
      </c>
      <c r="AA148">
        <f>IF(AND(Q148&lt;&gt;"",ISNUMBER(M148)),Q148,"")</f>
        <v/>
      </c>
      <c r="AB148">
        <f>IF(AND(Q148&lt;&gt;"",ISNUMBER(K148)),K148,"")</f>
        <v/>
      </c>
      <c r="AC148">
        <f>IF(AND(Q148&lt;&gt;"",ISNUMBER(L148)),L148,"")</f>
        <v/>
      </c>
      <c r="AD148">
        <f>IF(AND(Q148&lt;&gt;"",ISNUMBER(M148)),M148,"")</f>
        <v/>
      </c>
    </row>
    <row r="149">
      <c r="A149" s="1" t="n"/>
      <c r="B149" s="17" t="n"/>
      <c r="C149" s="27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9" t="n"/>
      <c r="N149" s="21" t="n"/>
      <c r="O149" s="12">
        <f>IF(AND(B149="",C149=""),"",IF(NOT(ISNUMBER(B149)),"Needs a date",IF(C149="","Needs a client",IF(COUNTIF(Clients!$B$6:$B$105,C149)=0,"Not on Clients",IF(COUNT(D149:M149)=0,"Nothing measured","")))))</f>
        <v/>
      </c>
      <c r="P149" s="1">
        <f>IF(AND(O149="",ISNUMBER(B149)),INT(B149),0)</f>
        <v/>
      </c>
      <c r="Q149">
        <f>IF(AND(P149&gt;0,C149=Report!$C$5),P149*10000+ROW(),"")</f>
        <v/>
      </c>
      <c r="R149">
        <f>IF(AND(Q149&lt;&gt;"",ISNUMBER(D149)),Q149,"")</f>
        <v/>
      </c>
      <c r="S149">
        <f>IF(AND(Q149&lt;&gt;"",ISNUMBER(E149)),Q149,"")</f>
        <v/>
      </c>
      <c r="T149">
        <f>IF(AND(Q149&lt;&gt;"",ISNUMBER(F149)),Q149,"")</f>
        <v/>
      </c>
      <c r="U149">
        <f>IF(AND(Q149&lt;&gt;"",ISNUMBER(G149)),Q149,"")</f>
        <v/>
      </c>
      <c r="V149">
        <f>IF(AND(Q149&lt;&gt;"",ISNUMBER(H149)),Q149,"")</f>
        <v/>
      </c>
      <c r="W149">
        <f>IF(AND(Q149&lt;&gt;"",ISNUMBER(I149)),Q149,"")</f>
        <v/>
      </c>
      <c r="X149">
        <f>IF(AND(Q149&lt;&gt;"",ISNUMBER(J149)),Q149,"")</f>
        <v/>
      </c>
      <c r="Y149">
        <f>IF(AND(Q149&lt;&gt;"",ISNUMBER(K149)),Q149,"")</f>
        <v/>
      </c>
      <c r="Z149">
        <f>IF(AND(Q149&lt;&gt;"",ISNUMBER(L149)),Q149,"")</f>
        <v/>
      </c>
      <c r="AA149">
        <f>IF(AND(Q149&lt;&gt;"",ISNUMBER(M149)),Q149,"")</f>
        <v/>
      </c>
      <c r="AB149">
        <f>IF(AND(Q149&lt;&gt;"",ISNUMBER(K149)),K149,"")</f>
        <v/>
      </c>
      <c r="AC149">
        <f>IF(AND(Q149&lt;&gt;"",ISNUMBER(L149)),L149,"")</f>
        <v/>
      </c>
      <c r="AD149">
        <f>IF(AND(Q149&lt;&gt;"",ISNUMBER(M149)),M149,"")</f>
        <v/>
      </c>
    </row>
    <row r="150">
      <c r="A150" s="1" t="n"/>
      <c r="B150" s="17" t="n"/>
      <c r="C150" s="27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9" t="n"/>
      <c r="N150" s="21" t="n"/>
      <c r="O150" s="12">
        <f>IF(AND(B150="",C150=""),"",IF(NOT(ISNUMBER(B150)),"Needs a date",IF(C150="","Needs a client",IF(COUNTIF(Clients!$B$6:$B$105,C150)=0,"Not on Clients",IF(COUNT(D150:M150)=0,"Nothing measured","")))))</f>
        <v/>
      </c>
      <c r="P150" s="1">
        <f>IF(AND(O150="",ISNUMBER(B150)),INT(B150),0)</f>
        <v/>
      </c>
      <c r="Q150">
        <f>IF(AND(P150&gt;0,C150=Report!$C$5),P150*10000+ROW(),"")</f>
        <v/>
      </c>
      <c r="R150">
        <f>IF(AND(Q150&lt;&gt;"",ISNUMBER(D150)),Q150,"")</f>
        <v/>
      </c>
      <c r="S150">
        <f>IF(AND(Q150&lt;&gt;"",ISNUMBER(E150)),Q150,"")</f>
        <v/>
      </c>
      <c r="T150">
        <f>IF(AND(Q150&lt;&gt;"",ISNUMBER(F150)),Q150,"")</f>
        <v/>
      </c>
      <c r="U150">
        <f>IF(AND(Q150&lt;&gt;"",ISNUMBER(G150)),Q150,"")</f>
        <v/>
      </c>
      <c r="V150">
        <f>IF(AND(Q150&lt;&gt;"",ISNUMBER(H150)),Q150,"")</f>
        <v/>
      </c>
      <c r="W150">
        <f>IF(AND(Q150&lt;&gt;"",ISNUMBER(I150)),Q150,"")</f>
        <v/>
      </c>
      <c r="X150">
        <f>IF(AND(Q150&lt;&gt;"",ISNUMBER(J150)),Q150,"")</f>
        <v/>
      </c>
      <c r="Y150">
        <f>IF(AND(Q150&lt;&gt;"",ISNUMBER(K150)),Q150,"")</f>
        <v/>
      </c>
      <c r="Z150">
        <f>IF(AND(Q150&lt;&gt;"",ISNUMBER(L150)),Q150,"")</f>
        <v/>
      </c>
      <c r="AA150">
        <f>IF(AND(Q150&lt;&gt;"",ISNUMBER(M150)),Q150,"")</f>
        <v/>
      </c>
      <c r="AB150">
        <f>IF(AND(Q150&lt;&gt;"",ISNUMBER(K150)),K150,"")</f>
        <v/>
      </c>
      <c r="AC150">
        <f>IF(AND(Q150&lt;&gt;"",ISNUMBER(L150)),L150,"")</f>
        <v/>
      </c>
      <c r="AD150">
        <f>IF(AND(Q150&lt;&gt;"",ISNUMBER(M150)),M150,"")</f>
        <v/>
      </c>
    </row>
    <row r="151">
      <c r="A151" s="1" t="n"/>
      <c r="B151" s="17" t="n"/>
      <c r="C151" s="27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9" t="n"/>
      <c r="N151" s="21" t="n"/>
      <c r="O151" s="12">
        <f>IF(AND(B151="",C151=""),"",IF(NOT(ISNUMBER(B151)),"Needs a date",IF(C151="","Needs a client",IF(COUNTIF(Clients!$B$6:$B$105,C151)=0,"Not on Clients",IF(COUNT(D151:M151)=0,"Nothing measured","")))))</f>
        <v/>
      </c>
      <c r="P151" s="1">
        <f>IF(AND(O151="",ISNUMBER(B151)),INT(B151),0)</f>
        <v/>
      </c>
      <c r="Q151">
        <f>IF(AND(P151&gt;0,C151=Report!$C$5),P151*10000+ROW(),"")</f>
        <v/>
      </c>
      <c r="R151">
        <f>IF(AND(Q151&lt;&gt;"",ISNUMBER(D151)),Q151,"")</f>
        <v/>
      </c>
      <c r="S151">
        <f>IF(AND(Q151&lt;&gt;"",ISNUMBER(E151)),Q151,"")</f>
        <v/>
      </c>
      <c r="T151">
        <f>IF(AND(Q151&lt;&gt;"",ISNUMBER(F151)),Q151,"")</f>
        <v/>
      </c>
      <c r="U151">
        <f>IF(AND(Q151&lt;&gt;"",ISNUMBER(G151)),Q151,"")</f>
        <v/>
      </c>
      <c r="V151">
        <f>IF(AND(Q151&lt;&gt;"",ISNUMBER(H151)),Q151,"")</f>
        <v/>
      </c>
      <c r="W151">
        <f>IF(AND(Q151&lt;&gt;"",ISNUMBER(I151)),Q151,"")</f>
        <v/>
      </c>
      <c r="X151">
        <f>IF(AND(Q151&lt;&gt;"",ISNUMBER(J151)),Q151,"")</f>
        <v/>
      </c>
      <c r="Y151">
        <f>IF(AND(Q151&lt;&gt;"",ISNUMBER(K151)),Q151,"")</f>
        <v/>
      </c>
      <c r="Z151">
        <f>IF(AND(Q151&lt;&gt;"",ISNUMBER(L151)),Q151,"")</f>
        <v/>
      </c>
      <c r="AA151">
        <f>IF(AND(Q151&lt;&gt;"",ISNUMBER(M151)),Q151,"")</f>
        <v/>
      </c>
      <c r="AB151">
        <f>IF(AND(Q151&lt;&gt;"",ISNUMBER(K151)),K151,"")</f>
        <v/>
      </c>
      <c r="AC151">
        <f>IF(AND(Q151&lt;&gt;"",ISNUMBER(L151)),L151,"")</f>
        <v/>
      </c>
      <c r="AD151">
        <f>IF(AND(Q151&lt;&gt;"",ISNUMBER(M151)),M151,"")</f>
        <v/>
      </c>
    </row>
    <row r="152">
      <c r="A152" s="1" t="n"/>
      <c r="B152" s="17" t="n"/>
      <c r="C152" s="27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9" t="n"/>
      <c r="N152" s="21" t="n"/>
      <c r="O152" s="12">
        <f>IF(AND(B152="",C152=""),"",IF(NOT(ISNUMBER(B152)),"Needs a date",IF(C152="","Needs a client",IF(COUNTIF(Clients!$B$6:$B$105,C152)=0,"Not on Clients",IF(COUNT(D152:M152)=0,"Nothing measured","")))))</f>
        <v/>
      </c>
      <c r="P152" s="1">
        <f>IF(AND(O152="",ISNUMBER(B152)),INT(B152),0)</f>
        <v/>
      </c>
      <c r="Q152">
        <f>IF(AND(P152&gt;0,C152=Report!$C$5),P152*10000+ROW(),"")</f>
        <v/>
      </c>
      <c r="R152">
        <f>IF(AND(Q152&lt;&gt;"",ISNUMBER(D152)),Q152,"")</f>
        <v/>
      </c>
      <c r="S152">
        <f>IF(AND(Q152&lt;&gt;"",ISNUMBER(E152)),Q152,"")</f>
        <v/>
      </c>
      <c r="T152">
        <f>IF(AND(Q152&lt;&gt;"",ISNUMBER(F152)),Q152,"")</f>
        <v/>
      </c>
      <c r="U152">
        <f>IF(AND(Q152&lt;&gt;"",ISNUMBER(G152)),Q152,"")</f>
        <v/>
      </c>
      <c r="V152">
        <f>IF(AND(Q152&lt;&gt;"",ISNUMBER(H152)),Q152,"")</f>
        <v/>
      </c>
      <c r="W152">
        <f>IF(AND(Q152&lt;&gt;"",ISNUMBER(I152)),Q152,"")</f>
        <v/>
      </c>
      <c r="X152">
        <f>IF(AND(Q152&lt;&gt;"",ISNUMBER(J152)),Q152,"")</f>
        <v/>
      </c>
      <c r="Y152">
        <f>IF(AND(Q152&lt;&gt;"",ISNUMBER(K152)),Q152,"")</f>
        <v/>
      </c>
      <c r="Z152">
        <f>IF(AND(Q152&lt;&gt;"",ISNUMBER(L152)),Q152,"")</f>
        <v/>
      </c>
      <c r="AA152">
        <f>IF(AND(Q152&lt;&gt;"",ISNUMBER(M152)),Q152,"")</f>
        <v/>
      </c>
      <c r="AB152">
        <f>IF(AND(Q152&lt;&gt;"",ISNUMBER(K152)),K152,"")</f>
        <v/>
      </c>
      <c r="AC152">
        <f>IF(AND(Q152&lt;&gt;"",ISNUMBER(L152)),L152,"")</f>
        <v/>
      </c>
      <c r="AD152">
        <f>IF(AND(Q152&lt;&gt;"",ISNUMBER(M152)),M152,"")</f>
        <v/>
      </c>
    </row>
    <row r="153">
      <c r="A153" s="1" t="n"/>
      <c r="B153" s="17" t="n"/>
      <c r="C153" s="27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9" t="n"/>
      <c r="N153" s="21" t="n"/>
      <c r="O153" s="12">
        <f>IF(AND(B153="",C153=""),"",IF(NOT(ISNUMBER(B153)),"Needs a date",IF(C153="","Needs a client",IF(COUNTIF(Clients!$B$6:$B$105,C153)=0,"Not on Clients",IF(COUNT(D153:M153)=0,"Nothing measured","")))))</f>
        <v/>
      </c>
      <c r="P153" s="1">
        <f>IF(AND(O153="",ISNUMBER(B153)),INT(B153),0)</f>
        <v/>
      </c>
      <c r="Q153">
        <f>IF(AND(P153&gt;0,C153=Report!$C$5),P153*10000+ROW(),"")</f>
        <v/>
      </c>
      <c r="R153">
        <f>IF(AND(Q153&lt;&gt;"",ISNUMBER(D153)),Q153,"")</f>
        <v/>
      </c>
      <c r="S153">
        <f>IF(AND(Q153&lt;&gt;"",ISNUMBER(E153)),Q153,"")</f>
        <v/>
      </c>
      <c r="T153">
        <f>IF(AND(Q153&lt;&gt;"",ISNUMBER(F153)),Q153,"")</f>
        <v/>
      </c>
      <c r="U153">
        <f>IF(AND(Q153&lt;&gt;"",ISNUMBER(G153)),Q153,"")</f>
        <v/>
      </c>
      <c r="V153">
        <f>IF(AND(Q153&lt;&gt;"",ISNUMBER(H153)),Q153,"")</f>
        <v/>
      </c>
      <c r="W153">
        <f>IF(AND(Q153&lt;&gt;"",ISNUMBER(I153)),Q153,"")</f>
        <v/>
      </c>
      <c r="X153">
        <f>IF(AND(Q153&lt;&gt;"",ISNUMBER(J153)),Q153,"")</f>
        <v/>
      </c>
      <c r="Y153">
        <f>IF(AND(Q153&lt;&gt;"",ISNUMBER(K153)),Q153,"")</f>
        <v/>
      </c>
      <c r="Z153">
        <f>IF(AND(Q153&lt;&gt;"",ISNUMBER(L153)),Q153,"")</f>
        <v/>
      </c>
      <c r="AA153">
        <f>IF(AND(Q153&lt;&gt;"",ISNUMBER(M153)),Q153,"")</f>
        <v/>
      </c>
      <c r="AB153">
        <f>IF(AND(Q153&lt;&gt;"",ISNUMBER(K153)),K153,"")</f>
        <v/>
      </c>
      <c r="AC153">
        <f>IF(AND(Q153&lt;&gt;"",ISNUMBER(L153)),L153,"")</f>
        <v/>
      </c>
      <c r="AD153">
        <f>IF(AND(Q153&lt;&gt;"",ISNUMBER(M153)),M153,"")</f>
        <v/>
      </c>
    </row>
    <row r="154">
      <c r="A154" s="1" t="n"/>
      <c r="B154" s="17" t="n"/>
      <c r="C154" s="27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9" t="n"/>
      <c r="N154" s="21" t="n"/>
      <c r="O154" s="12">
        <f>IF(AND(B154="",C154=""),"",IF(NOT(ISNUMBER(B154)),"Needs a date",IF(C154="","Needs a client",IF(COUNTIF(Clients!$B$6:$B$105,C154)=0,"Not on Clients",IF(COUNT(D154:M154)=0,"Nothing measured","")))))</f>
        <v/>
      </c>
      <c r="P154" s="1">
        <f>IF(AND(O154="",ISNUMBER(B154)),INT(B154),0)</f>
        <v/>
      </c>
      <c r="Q154">
        <f>IF(AND(P154&gt;0,C154=Report!$C$5),P154*10000+ROW(),"")</f>
        <v/>
      </c>
      <c r="R154">
        <f>IF(AND(Q154&lt;&gt;"",ISNUMBER(D154)),Q154,"")</f>
        <v/>
      </c>
      <c r="S154">
        <f>IF(AND(Q154&lt;&gt;"",ISNUMBER(E154)),Q154,"")</f>
        <v/>
      </c>
      <c r="T154">
        <f>IF(AND(Q154&lt;&gt;"",ISNUMBER(F154)),Q154,"")</f>
        <v/>
      </c>
      <c r="U154">
        <f>IF(AND(Q154&lt;&gt;"",ISNUMBER(G154)),Q154,"")</f>
        <v/>
      </c>
      <c r="V154">
        <f>IF(AND(Q154&lt;&gt;"",ISNUMBER(H154)),Q154,"")</f>
        <v/>
      </c>
      <c r="W154">
        <f>IF(AND(Q154&lt;&gt;"",ISNUMBER(I154)),Q154,"")</f>
        <v/>
      </c>
      <c r="X154">
        <f>IF(AND(Q154&lt;&gt;"",ISNUMBER(J154)),Q154,"")</f>
        <v/>
      </c>
      <c r="Y154">
        <f>IF(AND(Q154&lt;&gt;"",ISNUMBER(K154)),Q154,"")</f>
        <v/>
      </c>
      <c r="Z154">
        <f>IF(AND(Q154&lt;&gt;"",ISNUMBER(L154)),Q154,"")</f>
        <v/>
      </c>
      <c r="AA154">
        <f>IF(AND(Q154&lt;&gt;"",ISNUMBER(M154)),Q154,"")</f>
        <v/>
      </c>
      <c r="AB154">
        <f>IF(AND(Q154&lt;&gt;"",ISNUMBER(K154)),K154,"")</f>
        <v/>
      </c>
      <c r="AC154">
        <f>IF(AND(Q154&lt;&gt;"",ISNUMBER(L154)),L154,"")</f>
        <v/>
      </c>
      <c r="AD154">
        <f>IF(AND(Q154&lt;&gt;"",ISNUMBER(M154)),M154,"")</f>
        <v/>
      </c>
    </row>
    <row r="155">
      <c r="A155" s="1" t="n"/>
      <c r="B155" s="17" t="n"/>
      <c r="C155" s="27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9" t="n"/>
      <c r="N155" s="21" t="n"/>
      <c r="O155" s="12">
        <f>IF(AND(B155="",C155=""),"",IF(NOT(ISNUMBER(B155)),"Needs a date",IF(C155="","Needs a client",IF(COUNTIF(Clients!$B$6:$B$105,C155)=0,"Not on Clients",IF(COUNT(D155:M155)=0,"Nothing measured","")))))</f>
        <v/>
      </c>
      <c r="P155" s="1">
        <f>IF(AND(O155="",ISNUMBER(B155)),INT(B155),0)</f>
        <v/>
      </c>
      <c r="Q155">
        <f>IF(AND(P155&gt;0,C155=Report!$C$5),P155*10000+ROW(),"")</f>
        <v/>
      </c>
      <c r="R155">
        <f>IF(AND(Q155&lt;&gt;"",ISNUMBER(D155)),Q155,"")</f>
        <v/>
      </c>
      <c r="S155">
        <f>IF(AND(Q155&lt;&gt;"",ISNUMBER(E155)),Q155,"")</f>
        <v/>
      </c>
      <c r="T155">
        <f>IF(AND(Q155&lt;&gt;"",ISNUMBER(F155)),Q155,"")</f>
        <v/>
      </c>
      <c r="U155">
        <f>IF(AND(Q155&lt;&gt;"",ISNUMBER(G155)),Q155,"")</f>
        <v/>
      </c>
      <c r="V155">
        <f>IF(AND(Q155&lt;&gt;"",ISNUMBER(H155)),Q155,"")</f>
        <v/>
      </c>
      <c r="W155">
        <f>IF(AND(Q155&lt;&gt;"",ISNUMBER(I155)),Q155,"")</f>
        <v/>
      </c>
      <c r="X155">
        <f>IF(AND(Q155&lt;&gt;"",ISNUMBER(J155)),Q155,"")</f>
        <v/>
      </c>
      <c r="Y155">
        <f>IF(AND(Q155&lt;&gt;"",ISNUMBER(K155)),Q155,"")</f>
        <v/>
      </c>
      <c r="Z155">
        <f>IF(AND(Q155&lt;&gt;"",ISNUMBER(L155)),Q155,"")</f>
        <v/>
      </c>
      <c r="AA155">
        <f>IF(AND(Q155&lt;&gt;"",ISNUMBER(M155)),Q155,"")</f>
        <v/>
      </c>
      <c r="AB155">
        <f>IF(AND(Q155&lt;&gt;"",ISNUMBER(K155)),K155,"")</f>
        <v/>
      </c>
      <c r="AC155">
        <f>IF(AND(Q155&lt;&gt;"",ISNUMBER(L155)),L155,"")</f>
        <v/>
      </c>
      <c r="AD155">
        <f>IF(AND(Q155&lt;&gt;"",ISNUMBER(M155)),M155,"")</f>
        <v/>
      </c>
    </row>
    <row r="156">
      <c r="A156" s="1" t="n"/>
      <c r="B156" s="17" t="n"/>
      <c r="C156" s="27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9" t="n"/>
      <c r="N156" s="21" t="n"/>
      <c r="O156" s="12">
        <f>IF(AND(B156="",C156=""),"",IF(NOT(ISNUMBER(B156)),"Needs a date",IF(C156="","Needs a client",IF(COUNTIF(Clients!$B$6:$B$105,C156)=0,"Not on Clients",IF(COUNT(D156:M156)=0,"Nothing measured","")))))</f>
        <v/>
      </c>
      <c r="P156" s="1">
        <f>IF(AND(O156="",ISNUMBER(B156)),INT(B156),0)</f>
        <v/>
      </c>
      <c r="Q156">
        <f>IF(AND(P156&gt;0,C156=Report!$C$5),P156*10000+ROW(),"")</f>
        <v/>
      </c>
      <c r="R156">
        <f>IF(AND(Q156&lt;&gt;"",ISNUMBER(D156)),Q156,"")</f>
        <v/>
      </c>
      <c r="S156">
        <f>IF(AND(Q156&lt;&gt;"",ISNUMBER(E156)),Q156,"")</f>
        <v/>
      </c>
      <c r="T156">
        <f>IF(AND(Q156&lt;&gt;"",ISNUMBER(F156)),Q156,"")</f>
        <v/>
      </c>
      <c r="U156">
        <f>IF(AND(Q156&lt;&gt;"",ISNUMBER(G156)),Q156,"")</f>
        <v/>
      </c>
      <c r="V156">
        <f>IF(AND(Q156&lt;&gt;"",ISNUMBER(H156)),Q156,"")</f>
        <v/>
      </c>
      <c r="W156">
        <f>IF(AND(Q156&lt;&gt;"",ISNUMBER(I156)),Q156,"")</f>
        <v/>
      </c>
      <c r="X156">
        <f>IF(AND(Q156&lt;&gt;"",ISNUMBER(J156)),Q156,"")</f>
        <v/>
      </c>
      <c r="Y156">
        <f>IF(AND(Q156&lt;&gt;"",ISNUMBER(K156)),Q156,"")</f>
        <v/>
      </c>
      <c r="Z156">
        <f>IF(AND(Q156&lt;&gt;"",ISNUMBER(L156)),Q156,"")</f>
        <v/>
      </c>
      <c r="AA156">
        <f>IF(AND(Q156&lt;&gt;"",ISNUMBER(M156)),Q156,"")</f>
        <v/>
      </c>
      <c r="AB156">
        <f>IF(AND(Q156&lt;&gt;"",ISNUMBER(K156)),K156,"")</f>
        <v/>
      </c>
      <c r="AC156">
        <f>IF(AND(Q156&lt;&gt;"",ISNUMBER(L156)),L156,"")</f>
        <v/>
      </c>
      <c r="AD156">
        <f>IF(AND(Q156&lt;&gt;"",ISNUMBER(M156)),M156,"")</f>
        <v/>
      </c>
    </row>
    <row r="157">
      <c r="A157" s="1" t="n"/>
      <c r="B157" s="17" t="n"/>
      <c r="C157" s="27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9" t="n"/>
      <c r="N157" s="21" t="n"/>
      <c r="O157" s="12">
        <f>IF(AND(B157="",C157=""),"",IF(NOT(ISNUMBER(B157)),"Needs a date",IF(C157="","Needs a client",IF(COUNTIF(Clients!$B$6:$B$105,C157)=0,"Not on Clients",IF(COUNT(D157:M157)=0,"Nothing measured","")))))</f>
        <v/>
      </c>
      <c r="P157" s="1">
        <f>IF(AND(O157="",ISNUMBER(B157)),INT(B157),0)</f>
        <v/>
      </c>
      <c r="Q157">
        <f>IF(AND(P157&gt;0,C157=Report!$C$5),P157*10000+ROW(),"")</f>
        <v/>
      </c>
      <c r="R157">
        <f>IF(AND(Q157&lt;&gt;"",ISNUMBER(D157)),Q157,"")</f>
        <v/>
      </c>
      <c r="S157">
        <f>IF(AND(Q157&lt;&gt;"",ISNUMBER(E157)),Q157,"")</f>
        <v/>
      </c>
      <c r="T157">
        <f>IF(AND(Q157&lt;&gt;"",ISNUMBER(F157)),Q157,"")</f>
        <v/>
      </c>
      <c r="U157">
        <f>IF(AND(Q157&lt;&gt;"",ISNUMBER(G157)),Q157,"")</f>
        <v/>
      </c>
      <c r="V157">
        <f>IF(AND(Q157&lt;&gt;"",ISNUMBER(H157)),Q157,"")</f>
        <v/>
      </c>
      <c r="W157">
        <f>IF(AND(Q157&lt;&gt;"",ISNUMBER(I157)),Q157,"")</f>
        <v/>
      </c>
      <c r="X157">
        <f>IF(AND(Q157&lt;&gt;"",ISNUMBER(J157)),Q157,"")</f>
        <v/>
      </c>
      <c r="Y157">
        <f>IF(AND(Q157&lt;&gt;"",ISNUMBER(K157)),Q157,"")</f>
        <v/>
      </c>
      <c r="Z157">
        <f>IF(AND(Q157&lt;&gt;"",ISNUMBER(L157)),Q157,"")</f>
        <v/>
      </c>
      <c r="AA157">
        <f>IF(AND(Q157&lt;&gt;"",ISNUMBER(M157)),Q157,"")</f>
        <v/>
      </c>
      <c r="AB157">
        <f>IF(AND(Q157&lt;&gt;"",ISNUMBER(K157)),K157,"")</f>
        <v/>
      </c>
      <c r="AC157">
        <f>IF(AND(Q157&lt;&gt;"",ISNUMBER(L157)),L157,"")</f>
        <v/>
      </c>
      <c r="AD157">
        <f>IF(AND(Q157&lt;&gt;"",ISNUMBER(M157)),M157,"")</f>
        <v/>
      </c>
    </row>
    <row r="158">
      <c r="A158" s="1" t="n"/>
      <c r="B158" s="17" t="n"/>
      <c r="C158" s="27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9" t="n"/>
      <c r="N158" s="21" t="n"/>
      <c r="O158" s="12">
        <f>IF(AND(B158="",C158=""),"",IF(NOT(ISNUMBER(B158)),"Needs a date",IF(C158="","Needs a client",IF(COUNTIF(Clients!$B$6:$B$105,C158)=0,"Not on Clients",IF(COUNT(D158:M158)=0,"Nothing measured","")))))</f>
        <v/>
      </c>
      <c r="P158" s="1">
        <f>IF(AND(O158="",ISNUMBER(B158)),INT(B158),0)</f>
        <v/>
      </c>
      <c r="Q158">
        <f>IF(AND(P158&gt;0,C158=Report!$C$5),P158*10000+ROW(),"")</f>
        <v/>
      </c>
      <c r="R158">
        <f>IF(AND(Q158&lt;&gt;"",ISNUMBER(D158)),Q158,"")</f>
        <v/>
      </c>
      <c r="S158">
        <f>IF(AND(Q158&lt;&gt;"",ISNUMBER(E158)),Q158,"")</f>
        <v/>
      </c>
      <c r="T158">
        <f>IF(AND(Q158&lt;&gt;"",ISNUMBER(F158)),Q158,"")</f>
        <v/>
      </c>
      <c r="U158">
        <f>IF(AND(Q158&lt;&gt;"",ISNUMBER(G158)),Q158,"")</f>
        <v/>
      </c>
      <c r="V158">
        <f>IF(AND(Q158&lt;&gt;"",ISNUMBER(H158)),Q158,"")</f>
        <v/>
      </c>
      <c r="W158">
        <f>IF(AND(Q158&lt;&gt;"",ISNUMBER(I158)),Q158,"")</f>
        <v/>
      </c>
      <c r="X158">
        <f>IF(AND(Q158&lt;&gt;"",ISNUMBER(J158)),Q158,"")</f>
        <v/>
      </c>
      <c r="Y158">
        <f>IF(AND(Q158&lt;&gt;"",ISNUMBER(K158)),Q158,"")</f>
        <v/>
      </c>
      <c r="Z158">
        <f>IF(AND(Q158&lt;&gt;"",ISNUMBER(L158)),Q158,"")</f>
        <v/>
      </c>
      <c r="AA158">
        <f>IF(AND(Q158&lt;&gt;"",ISNUMBER(M158)),Q158,"")</f>
        <v/>
      </c>
      <c r="AB158">
        <f>IF(AND(Q158&lt;&gt;"",ISNUMBER(K158)),K158,"")</f>
        <v/>
      </c>
      <c r="AC158">
        <f>IF(AND(Q158&lt;&gt;"",ISNUMBER(L158)),L158,"")</f>
        <v/>
      </c>
      <c r="AD158">
        <f>IF(AND(Q158&lt;&gt;"",ISNUMBER(M158)),M158,"")</f>
        <v/>
      </c>
    </row>
    <row r="159">
      <c r="A159" s="1" t="n"/>
      <c r="B159" s="17" t="n"/>
      <c r="C159" s="27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9" t="n"/>
      <c r="N159" s="21" t="n"/>
      <c r="O159" s="12">
        <f>IF(AND(B159="",C159=""),"",IF(NOT(ISNUMBER(B159)),"Needs a date",IF(C159="","Needs a client",IF(COUNTIF(Clients!$B$6:$B$105,C159)=0,"Not on Clients",IF(COUNT(D159:M159)=0,"Nothing measured","")))))</f>
        <v/>
      </c>
      <c r="P159" s="1">
        <f>IF(AND(O159="",ISNUMBER(B159)),INT(B159),0)</f>
        <v/>
      </c>
      <c r="Q159">
        <f>IF(AND(P159&gt;0,C159=Report!$C$5),P159*10000+ROW(),"")</f>
        <v/>
      </c>
      <c r="R159">
        <f>IF(AND(Q159&lt;&gt;"",ISNUMBER(D159)),Q159,"")</f>
        <v/>
      </c>
      <c r="S159">
        <f>IF(AND(Q159&lt;&gt;"",ISNUMBER(E159)),Q159,"")</f>
        <v/>
      </c>
      <c r="T159">
        <f>IF(AND(Q159&lt;&gt;"",ISNUMBER(F159)),Q159,"")</f>
        <v/>
      </c>
      <c r="U159">
        <f>IF(AND(Q159&lt;&gt;"",ISNUMBER(G159)),Q159,"")</f>
        <v/>
      </c>
      <c r="V159">
        <f>IF(AND(Q159&lt;&gt;"",ISNUMBER(H159)),Q159,"")</f>
        <v/>
      </c>
      <c r="W159">
        <f>IF(AND(Q159&lt;&gt;"",ISNUMBER(I159)),Q159,"")</f>
        <v/>
      </c>
      <c r="X159">
        <f>IF(AND(Q159&lt;&gt;"",ISNUMBER(J159)),Q159,"")</f>
        <v/>
      </c>
      <c r="Y159">
        <f>IF(AND(Q159&lt;&gt;"",ISNUMBER(K159)),Q159,"")</f>
        <v/>
      </c>
      <c r="Z159">
        <f>IF(AND(Q159&lt;&gt;"",ISNUMBER(L159)),Q159,"")</f>
        <v/>
      </c>
      <c r="AA159">
        <f>IF(AND(Q159&lt;&gt;"",ISNUMBER(M159)),Q159,"")</f>
        <v/>
      </c>
      <c r="AB159">
        <f>IF(AND(Q159&lt;&gt;"",ISNUMBER(K159)),K159,"")</f>
        <v/>
      </c>
      <c r="AC159">
        <f>IF(AND(Q159&lt;&gt;"",ISNUMBER(L159)),L159,"")</f>
        <v/>
      </c>
      <c r="AD159">
        <f>IF(AND(Q159&lt;&gt;"",ISNUMBER(M159)),M159,"")</f>
        <v/>
      </c>
    </row>
    <row r="160">
      <c r="A160" s="1" t="n"/>
      <c r="B160" s="17" t="n"/>
      <c r="C160" s="27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9" t="n"/>
      <c r="N160" s="21" t="n"/>
      <c r="O160" s="12">
        <f>IF(AND(B160="",C160=""),"",IF(NOT(ISNUMBER(B160)),"Needs a date",IF(C160="","Needs a client",IF(COUNTIF(Clients!$B$6:$B$105,C160)=0,"Not on Clients",IF(COUNT(D160:M160)=0,"Nothing measured","")))))</f>
        <v/>
      </c>
      <c r="P160" s="1">
        <f>IF(AND(O160="",ISNUMBER(B160)),INT(B160),0)</f>
        <v/>
      </c>
      <c r="Q160">
        <f>IF(AND(P160&gt;0,C160=Report!$C$5),P160*10000+ROW(),"")</f>
        <v/>
      </c>
      <c r="R160">
        <f>IF(AND(Q160&lt;&gt;"",ISNUMBER(D160)),Q160,"")</f>
        <v/>
      </c>
      <c r="S160">
        <f>IF(AND(Q160&lt;&gt;"",ISNUMBER(E160)),Q160,"")</f>
        <v/>
      </c>
      <c r="T160">
        <f>IF(AND(Q160&lt;&gt;"",ISNUMBER(F160)),Q160,"")</f>
        <v/>
      </c>
      <c r="U160">
        <f>IF(AND(Q160&lt;&gt;"",ISNUMBER(G160)),Q160,"")</f>
        <v/>
      </c>
      <c r="V160">
        <f>IF(AND(Q160&lt;&gt;"",ISNUMBER(H160)),Q160,"")</f>
        <v/>
      </c>
      <c r="W160">
        <f>IF(AND(Q160&lt;&gt;"",ISNUMBER(I160)),Q160,"")</f>
        <v/>
      </c>
      <c r="X160">
        <f>IF(AND(Q160&lt;&gt;"",ISNUMBER(J160)),Q160,"")</f>
        <v/>
      </c>
      <c r="Y160">
        <f>IF(AND(Q160&lt;&gt;"",ISNUMBER(K160)),Q160,"")</f>
        <v/>
      </c>
      <c r="Z160">
        <f>IF(AND(Q160&lt;&gt;"",ISNUMBER(L160)),Q160,"")</f>
        <v/>
      </c>
      <c r="AA160">
        <f>IF(AND(Q160&lt;&gt;"",ISNUMBER(M160)),Q160,"")</f>
        <v/>
      </c>
      <c r="AB160">
        <f>IF(AND(Q160&lt;&gt;"",ISNUMBER(K160)),K160,"")</f>
        <v/>
      </c>
      <c r="AC160">
        <f>IF(AND(Q160&lt;&gt;"",ISNUMBER(L160)),L160,"")</f>
        <v/>
      </c>
      <c r="AD160">
        <f>IF(AND(Q160&lt;&gt;"",ISNUMBER(M160)),M160,"")</f>
        <v/>
      </c>
    </row>
    <row r="161">
      <c r="A161" s="1" t="n"/>
      <c r="B161" s="17" t="n"/>
      <c r="C161" s="27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9" t="n"/>
      <c r="N161" s="21" t="n"/>
      <c r="O161" s="12">
        <f>IF(AND(B161="",C161=""),"",IF(NOT(ISNUMBER(B161)),"Needs a date",IF(C161="","Needs a client",IF(COUNTIF(Clients!$B$6:$B$105,C161)=0,"Not on Clients",IF(COUNT(D161:M161)=0,"Nothing measured","")))))</f>
        <v/>
      </c>
      <c r="P161" s="1">
        <f>IF(AND(O161="",ISNUMBER(B161)),INT(B161),0)</f>
        <v/>
      </c>
      <c r="Q161">
        <f>IF(AND(P161&gt;0,C161=Report!$C$5),P161*10000+ROW(),"")</f>
        <v/>
      </c>
      <c r="R161">
        <f>IF(AND(Q161&lt;&gt;"",ISNUMBER(D161)),Q161,"")</f>
        <v/>
      </c>
      <c r="S161">
        <f>IF(AND(Q161&lt;&gt;"",ISNUMBER(E161)),Q161,"")</f>
        <v/>
      </c>
      <c r="T161">
        <f>IF(AND(Q161&lt;&gt;"",ISNUMBER(F161)),Q161,"")</f>
        <v/>
      </c>
      <c r="U161">
        <f>IF(AND(Q161&lt;&gt;"",ISNUMBER(G161)),Q161,"")</f>
        <v/>
      </c>
      <c r="V161">
        <f>IF(AND(Q161&lt;&gt;"",ISNUMBER(H161)),Q161,"")</f>
        <v/>
      </c>
      <c r="W161">
        <f>IF(AND(Q161&lt;&gt;"",ISNUMBER(I161)),Q161,"")</f>
        <v/>
      </c>
      <c r="X161">
        <f>IF(AND(Q161&lt;&gt;"",ISNUMBER(J161)),Q161,"")</f>
        <v/>
      </c>
      <c r="Y161">
        <f>IF(AND(Q161&lt;&gt;"",ISNUMBER(K161)),Q161,"")</f>
        <v/>
      </c>
      <c r="Z161">
        <f>IF(AND(Q161&lt;&gt;"",ISNUMBER(L161)),Q161,"")</f>
        <v/>
      </c>
      <c r="AA161">
        <f>IF(AND(Q161&lt;&gt;"",ISNUMBER(M161)),Q161,"")</f>
        <v/>
      </c>
      <c r="AB161">
        <f>IF(AND(Q161&lt;&gt;"",ISNUMBER(K161)),K161,"")</f>
        <v/>
      </c>
      <c r="AC161">
        <f>IF(AND(Q161&lt;&gt;"",ISNUMBER(L161)),L161,"")</f>
        <v/>
      </c>
      <c r="AD161">
        <f>IF(AND(Q161&lt;&gt;"",ISNUMBER(M161)),M161,"")</f>
        <v/>
      </c>
    </row>
    <row r="162">
      <c r="A162" s="1" t="n"/>
      <c r="B162" s="17" t="n"/>
      <c r="C162" s="27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9" t="n"/>
      <c r="N162" s="21" t="n"/>
      <c r="O162" s="12">
        <f>IF(AND(B162="",C162=""),"",IF(NOT(ISNUMBER(B162)),"Needs a date",IF(C162="","Needs a client",IF(COUNTIF(Clients!$B$6:$B$105,C162)=0,"Not on Clients",IF(COUNT(D162:M162)=0,"Nothing measured","")))))</f>
        <v/>
      </c>
      <c r="P162" s="1">
        <f>IF(AND(O162="",ISNUMBER(B162)),INT(B162),0)</f>
        <v/>
      </c>
      <c r="Q162">
        <f>IF(AND(P162&gt;0,C162=Report!$C$5),P162*10000+ROW(),"")</f>
        <v/>
      </c>
      <c r="R162">
        <f>IF(AND(Q162&lt;&gt;"",ISNUMBER(D162)),Q162,"")</f>
        <v/>
      </c>
      <c r="S162">
        <f>IF(AND(Q162&lt;&gt;"",ISNUMBER(E162)),Q162,"")</f>
        <v/>
      </c>
      <c r="T162">
        <f>IF(AND(Q162&lt;&gt;"",ISNUMBER(F162)),Q162,"")</f>
        <v/>
      </c>
      <c r="U162">
        <f>IF(AND(Q162&lt;&gt;"",ISNUMBER(G162)),Q162,"")</f>
        <v/>
      </c>
      <c r="V162">
        <f>IF(AND(Q162&lt;&gt;"",ISNUMBER(H162)),Q162,"")</f>
        <v/>
      </c>
      <c r="W162">
        <f>IF(AND(Q162&lt;&gt;"",ISNUMBER(I162)),Q162,"")</f>
        <v/>
      </c>
      <c r="X162">
        <f>IF(AND(Q162&lt;&gt;"",ISNUMBER(J162)),Q162,"")</f>
        <v/>
      </c>
      <c r="Y162">
        <f>IF(AND(Q162&lt;&gt;"",ISNUMBER(K162)),Q162,"")</f>
        <v/>
      </c>
      <c r="Z162">
        <f>IF(AND(Q162&lt;&gt;"",ISNUMBER(L162)),Q162,"")</f>
        <v/>
      </c>
      <c r="AA162">
        <f>IF(AND(Q162&lt;&gt;"",ISNUMBER(M162)),Q162,"")</f>
        <v/>
      </c>
      <c r="AB162">
        <f>IF(AND(Q162&lt;&gt;"",ISNUMBER(K162)),K162,"")</f>
        <v/>
      </c>
      <c r="AC162">
        <f>IF(AND(Q162&lt;&gt;"",ISNUMBER(L162)),L162,"")</f>
        <v/>
      </c>
      <c r="AD162">
        <f>IF(AND(Q162&lt;&gt;"",ISNUMBER(M162)),M162,"")</f>
        <v/>
      </c>
    </row>
    <row r="163">
      <c r="A163" s="1" t="n"/>
      <c r="B163" s="17" t="n"/>
      <c r="C163" s="27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9" t="n"/>
      <c r="N163" s="21" t="n"/>
      <c r="O163" s="12">
        <f>IF(AND(B163="",C163=""),"",IF(NOT(ISNUMBER(B163)),"Needs a date",IF(C163="","Needs a client",IF(COUNTIF(Clients!$B$6:$B$105,C163)=0,"Not on Clients",IF(COUNT(D163:M163)=0,"Nothing measured","")))))</f>
        <v/>
      </c>
      <c r="P163" s="1">
        <f>IF(AND(O163="",ISNUMBER(B163)),INT(B163),0)</f>
        <v/>
      </c>
      <c r="Q163">
        <f>IF(AND(P163&gt;0,C163=Report!$C$5),P163*10000+ROW(),"")</f>
        <v/>
      </c>
      <c r="R163">
        <f>IF(AND(Q163&lt;&gt;"",ISNUMBER(D163)),Q163,"")</f>
        <v/>
      </c>
      <c r="S163">
        <f>IF(AND(Q163&lt;&gt;"",ISNUMBER(E163)),Q163,"")</f>
        <v/>
      </c>
      <c r="T163">
        <f>IF(AND(Q163&lt;&gt;"",ISNUMBER(F163)),Q163,"")</f>
        <v/>
      </c>
      <c r="U163">
        <f>IF(AND(Q163&lt;&gt;"",ISNUMBER(G163)),Q163,"")</f>
        <v/>
      </c>
      <c r="V163">
        <f>IF(AND(Q163&lt;&gt;"",ISNUMBER(H163)),Q163,"")</f>
        <v/>
      </c>
      <c r="W163">
        <f>IF(AND(Q163&lt;&gt;"",ISNUMBER(I163)),Q163,"")</f>
        <v/>
      </c>
      <c r="X163">
        <f>IF(AND(Q163&lt;&gt;"",ISNUMBER(J163)),Q163,"")</f>
        <v/>
      </c>
      <c r="Y163">
        <f>IF(AND(Q163&lt;&gt;"",ISNUMBER(K163)),Q163,"")</f>
        <v/>
      </c>
      <c r="Z163">
        <f>IF(AND(Q163&lt;&gt;"",ISNUMBER(L163)),Q163,"")</f>
        <v/>
      </c>
      <c r="AA163">
        <f>IF(AND(Q163&lt;&gt;"",ISNUMBER(M163)),Q163,"")</f>
        <v/>
      </c>
      <c r="AB163">
        <f>IF(AND(Q163&lt;&gt;"",ISNUMBER(K163)),K163,"")</f>
        <v/>
      </c>
      <c r="AC163">
        <f>IF(AND(Q163&lt;&gt;"",ISNUMBER(L163)),L163,"")</f>
        <v/>
      </c>
      <c r="AD163">
        <f>IF(AND(Q163&lt;&gt;"",ISNUMBER(M163)),M163,"")</f>
        <v/>
      </c>
    </row>
    <row r="164">
      <c r="A164" s="1" t="n"/>
      <c r="B164" s="17" t="n"/>
      <c r="C164" s="27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9" t="n"/>
      <c r="N164" s="21" t="n"/>
      <c r="O164" s="12">
        <f>IF(AND(B164="",C164=""),"",IF(NOT(ISNUMBER(B164)),"Needs a date",IF(C164="","Needs a client",IF(COUNTIF(Clients!$B$6:$B$105,C164)=0,"Not on Clients",IF(COUNT(D164:M164)=0,"Nothing measured","")))))</f>
        <v/>
      </c>
      <c r="P164" s="1">
        <f>IF(AND(O164="",ISNUMBER(B164)),INT(B164),0)</f>
        <v/>
      </c>
      <c r="Q164">
        <f>IF(AND(P164&gt;0,C164=Report!$C$5),P164*10000+ROW(),"")</f>
        <v/>
      </c>
      <c r="R164">
        <f>IF(AND(Q164&lt;&gt;"",ISNUMBER(D164)),Q164,"")</f>
        <v/>
      </c>
      <c r="S164">
        <f>IF(AND(Q164&lt;&gt;"",ISNUMBER(E164)),Q164,"")</f>
        <v/>
      </c>
      <c r="T164">
        <f>IF(AND(Q164&lt;&gt;"",ISNUMBER(F164)),Q164,"")</f>
        <v/>
      </c>
      <c r="U164">
        <f>IF(AND(Q164&lt;&gt;"",ISNUMBER(G164)),Q164,"")</f>
        <v/>
      </c>
      <c r="V164">
        <f>IF(AND(Q164&lt;&gt;"",ISNUMBER(H164)),Q164,"")</f>
        <v/>
      </c>
      <c r="W164">
        <f>IF(AND(Q164&lt;&gt;"",ISNUMBER(I164)),Q164,"")</f>
        <v/>
      </c>
      <c r="X164">
        <f>IF(AND(Q164&lt;&gt;"",ISNUMBER(J164)),Q164,"")</f>
        <v/>
      </c>
      <c r="Y164">
        <f>IF(AND(Q164&lt;&gt;"",ISNUMBER(K164)),Q164,"")</f>
        <v/>
      </c>
      <c r="Z164">
        <f>IF(AND(Q164&lt;&gt;"",ISNUMBER(L164)),Q164,"")</f>
        <v/>
      </c>
      <c r="AA164">
        <f>IF(AND(Q164&lt;&gt;"",ISNUMBER(M164)),Q164,"")</f>
        <v/>
      </c>
      <c r="AB164">
        <f>IF(AND(Q164&lt;&gt;"",ISNUMBER(K164)),K164,"")</f>
        <v/>
      </c>
      <c r="AC164">
        <f>IF(AND(Q164&lt;&gt;"",ISNUMBER(L164)),L164,"")</f>
        <v/>
      </c>
      <c r="AD164">
        <f>IF(AND(Q164&lt;&gt;"",ISNUMBER(M164)),M164,"")</f>
        <v/>
      </c>
    </row>
    <row r="165">
      <c r="A165" s="1" t="n"/>
      <c r="B165" s="17" t="n"/>
      <c r="C165" s="27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9" t="n"/>
      <c r="N165" s="21" t="n"/>
      <c r="O165" s="12">
        <f>IF(AND(B165="",C165=""),"",IF(NOT(ISNUMBER(B165)),"Needs a date",IF(C165="","Needs a client",IF(COUNTIF(Clients!$B$6:$B$105,C165)=0,"Not on Clients",IF(COUNT(D165:M165)=0,"Nothing measured","")))))</f>
        <v/>
      </c>
      <c r="P165" s="1">
        <f>IF(AND(O165="",ISNUMBER(B165)),INT(B165),0)</f>
        <v/>
      </c>
      <c r="Q165">
        <f>IF(AND(P165&gt;0,C165=Report!$C$5),P165*10000+ROW(),"")</f>
        <v/>
      </c>
      <c r="R165">
        <f>IF(AND(Q165&lt;&gt;"",ISNUMBER(D165)),Q165,"")</f>
        <v/>
      </c>
      <c r="S165">
        <f>IF(AND(Q165&lt;&gt;"",ISNUMBER(E165)),Q165,"")</f>
        <v/>
      </c>
      <c r="T165">
        <f>IF(AND(Q165&lt;&gt;"",ISNUMBER(F165)),Q165,"")</f>
        <v/>
      </c>
      <c r="U165">
        <f>IF(AND(Q165&lt;&gt;"",ISNUMBER(G165)),Q165,"")</f>
        <v/>
      </c>
      <c r="V165">
        <f>IF(AND(Q165&lt;&gt;"",ISNUMBER(H165)),Q165,"")</f>
        <v/>
      </c>
      <c r="W165">
        <f>IF(AND(Q165&lt;&gt;"",ISNUMBER(I165)),Q165,"")</f>
        <v/>
      </c>
      <c r="X165">
        <f>IF(AND(Q165&lt;&gt;"",ISNUMBER(J165)),Q165,"")</f>
        <v/>
      </c>
      <c r="Y165">
        <f>IF(AND(Q165&lt;&gt;"",ISNUMBER(K165)),Q165,"")</f>
        <v/>
      </c>
      <c r="Z165">
        <f>IF(AND(Q165&lt;&gt;"",ISNUMBER(L165)),Q165,"")</f>
        <v/>
      </c>
      <c r="AA165">
        <f>IF(AND(Q165&lt;&gt;"",ISNUMBER(M165)),Q165,"")</f>
        <v/>
      </c>
      <c r="AB165">
        <f>IF(AND(Q165&lt;&gt;"",ISNUMBER(K165)),K165,"")</f>
        <v/>
      </c>
      <c r="AC165">
        <f>IF(AND(Q165&lt;&gt;"",ISNUMBER(L165)),L165,"")</f>
        <v/>
      </c>
      <c r="AD165">
        <f>IF(AND(Q165&lt;&gt;"",ISNUMBER(M165)),M165,"")</f>
        <v/>
      </c>
    </row>
    <row r="166">
      <c r="A166" s="1" t="n"/>
      <c r="B166" s="17" t="n"/>
      <c r="C166" s="27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9" t="n"/>
      <c r="N166" s="21" t="n"/>
      <c r="O166" s="12">
        <f>IF(AND(B166="",C166=""),"",IF(NOT(ISNUMBER(B166)),"Needs a date",IF(C166="","Needs a client",IF(COUNTIF(Clients!$B$6:$B$105,C166)=0,"Not on Clients",IF(COUNT(D166:M166)=0,"Nothing measured","")))))</f>
        <v/>
      </c>
      <c r="P166" s="1">
        <f>IF(AND(O166="",ISNUMBER(B166)),INT(B166),0)</f>
        <v/>
      </c>
      <c r="Q166">
        <f>IF(AND(P166&gt;0,C166=Report!$C$5),P166*10000+ROW(),"")</f>
        <v/>
      </c>
      <c r="R166">
        <f>IF(AND(Q166&lt;&gt;"",ISNUMBER(D166)),Q166,"")</f>
        <v/>
      </c>
      <c r="S166">
        <f>IF(AND(Q166&lt;&gt;"",ISNUMBER(E166)),Q166,"")</f>
        <v/>
      </c>
      <c r="T166">
        <f>IF(AND(Q166&lt;&gt;"",ISNUMBER(F166)),Q166,"")</f>
        <v/>
      </c>
      <c r="U166">
        <f>IF(AND(Q166&lt;&gt;"",ISNUMBER(G166)),Q166,"")</f>
        <v/>
      </c>
      <c r="V166">
        <f>IF(AND(Q166&lt;&gt;"",ISNUMBER(H166)),Q166,"")</f>
        <v/>
      </c>
      <c r="W166">
        <f>IF(AND(Q166&lt;&gt;"",ISNUMBER(I166)),Q166,"")</f>
        <v/>
      </c>
      <c r="X166">
        <f>IF(AND(Q166&lt;&gt;"",ISNUMBER(J166)),Q166,"")</f>
        <v/>
      </c>
      <c r="Y166">
        <f>IF(AND(Q166&lt;&gt;"",ISNUMBER(K166)),Q166,"")</f>
        <v/>
      </c>
      <c r="Z166">
        <f>IF(AND(Q166&lt;&gt;"",ISNUMBER(L166)),Q166,"")</f>
        <v/>
      </c>
      <c r="AA166">
        <f>IF(AND(Q166&lt;&gt;"",ISNUMBER(M166)),Q166,"")</f>
        <v/>
      </c>
      <c r="AB166">
        <f>IF(AND(Q166&lt;&gt;"",ISNUMBER(K166)),K166,"")</f>
        <v/>
      </c>
      <c r="AC166">
        <f>IF(AND(Q166&lt;&gt;"",ISNUMBER(L166)),L166,"")</f>
        <v/>
      </c>
      <c r="AD166">
        <f>IF(AND(Q166&lt;&gt;"",ISNUMBER(M166)),M166,"")</f>
        <v/>
      </c>
    </row>
    <row r="167">
      <c r="A167" s="1" t="n"/>
      <c r="B167" s="17" t="n"/>
      <c r="C167" s="27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9" t="n"/>
      <c r="N167" s="21" t="n"/>
      <c r="O167" s="12">
        <f>IF(AND(B167="",C167=""),"",IF(NOT(ISNUMBER(B167)),"Needs a date",IF(C167="","Needs a client",IF(COUNTIF(Clients!$B$6:$B$105,C167)=0,"Not on Clients",IF(COUNT(D167:M167)=0,"Nothing measured","")))))</f>
        <v/>
      </c>
      <c r="P167" s="1">
        <f>IF(AND(O167="",ISNUMBER(B167)),INT(B167),0)</f>
        <v/>
      </c>
      <c r="Q167">
        <f>IF(AND(P167&gt;0,C167=Report!$C$5),P167*10000+ROW(),"")</f>
        <v/>
      </c>
      <c r="R167">
        <f>IF(AND(Q167&lt;&gt;"",ISNUMBER(D167)),Q167,"")</f>
        <v/>
      </c>
      <c r="S167">
        <f>IF(AND(Q167&lt;&gt;"",ISNUMBER(E167)),Q167,"")</f>
        <v/>
      </c>
      <c r="T167">
        <f>IF(AND(Q167&lt;&gt;"",ISNUMBER(F167)),Q167,"")</f>
        <v/>
      </c>
      <c r="U167">
        <f>IF(AND(Q167&lt;&gt;"",ISNUMBER(G167)),Q167,"")</f>
        <v/>
      </c>
      <c r="V167">
        <f>IF(AND(Q167&lt;&gt;"",ISNUMBER(H167)),Q167,"")</f>
        <v/>
      </c>
      <c r="W167">
        <f>IF(AND(Q167&lt;&gt;"",ISNUMBER(I167)),Q167,"")</f>
        <v/>
      </c>
      <c r="X167">
        <f>IF(AND(Q167&lt;&gt;"",ISNUMBER(J167)),Q167,"")</f>
        <v/>
      </c>
      <c r="Y167">
        <f>IF(AND(Q167&lt;&gt;"",ISNUMBER(K167)),Q167,"")</f>
        <v/>
      </c>
      <c r="Z167">
        <f>IF(AND(Q167&lt;&gt;"",ISNUMBER(L167)),Q167,"")</f>
        <v/>
      </c>
      <c r="AA167">
        <f>IF(AND(Q167&lt;&gt;"",ISNUMBER(M167)),Q167,"")</f>
        <v/>
      </c>
      <c r="AB167">
        <f>IF(AND(Q167&lt;&gt;"",ISNUMBER(K167)),K167,"")</f>
        <v/>
      </c>
      <c r="AC167">
        <f>IF(AND(Q167&lt;&gt;"",ISNUMBER(L167)),L167,"")</f>
        <v/>
      </c>
      <c r="AD167">
        <f>IF(AND(Q167&lt;&gt;"",ISNUMBER(M167)),M167,"")</f>
        <v/>
      </c>
    </row>
    <row r="168">
      <c r="A168" s="1" t="n"/>
      <c r="B168" s="17" t="n"/>
      <c r="C168" s="27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9" t="n"/>
      <c r="N168" s="21" t="n"/>
      <c r="O168" s="12">
        <f>IF(AND(B168="",C168=""),"",IF(NOT(ISNUMBER(B168)),"Needs a date",IF(C168="","Needs a client",IF(COUNTIF(Clients!$B$6:$B$105,C168)=0,"Not on Clients",IF(COUNT(D168:M168)=0,"Nothing measured","")))))</f>
        <v/>
      </c>
      <c r="P168" s="1">
        <f>IF(AND(O168="",ISNUMBER(B168)),INT(B168),0)</f>
        <v/>
      </c>
      <c r="Q168">
        <f>IF(AND(P168&gt;0,C168=Report!$C$5),P168*10000+ROW(),"")</f>
        <v/>
      </c>
      <c r="R168">
        <f>IF(AND(Q168&lt;&gt;"",ISNUMBER(D168)),Q168,"")</f>
        <v/>
      </c>
      <c r="S168">
        <f>IF(AND(Q168&lt;&gt;"",ISNUMBER(E168)),Q168,"")</f>
        <v/>
      </c>
      <c r="T168">
        <f>IF(AND(Q168&lt;&gt;"",ISNUMBER(F168)),Q168,"")</f>
        <v/>
      </c>
      <c r="U168">
        <f>IF(AND(Q168&lt;&gt;"",ISNUMBER(G168)),Q168,"")</f>
        <v/>
      </c>
      <c r="V168">
        <f>IF(AND(Q168&lt;&gt;"",ISNUMBER(H168)),Q168,"")</f>
        <v/>
      </c>
      <c r="W168">
        <f>IF(AND(Q168&lt;&gt;"",ISNUMBER(I168)),Q168,"")</f>
        <v/>
      </c>
      <c r="X168">
        <f>IF(AND(Q168&lt;&gt;"",ISNUMBER(J168)),Q168,"")</f>
        <v/>
      </c>
      <c r="Y168">
        <f>IF(AND(Q168&lt;&gt;"",ISNUMBER(K168)),Q168,"")</f>
        <v/>
      </c>
      <c r="Z168">
        <f>IF(AND(Q168&lt;&gt;"",ISNUMBER(L168)),Q168,"")</f>
        <v/>
      </c>
      <c r="AA168">
        <f>IF(AND(Q168&lt;&gt;"",ISNUMBER(M168)),Q168,"")</f>
        <v/>
      </c>
      <c r="AB168">
        <f>IF(AND(Q168&lt;&gt;"",ISNUMBER(K168)),K168,"")</f>
        <v/>
      </c>
      <c r="AC168">
        <f>IF(AND(Q168&lt;&gt;"",ISNUMBER(L168)),L168,"")</f>
        <v/>
      </c>
      <c r="AD168">
        <f>IF(AND(Q168&lt;&gt;"",ISNUMBER(M168)),M168,"")</f>
        <v/>
      </c>
    </row>
    <row r="169">
      <c r="A169" s="1" t="n"/>
      <c r="B169" s="17" t="n"/>
      <c r="C169" s="27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9" t="n"/>
      <c r="N169" s="21" t="n"/>
      <c r="O169" s="12">
        <f>IF(AND(B169="",C169=""),"",IF(NOT(ISNUMBER(B169)),"Needs a date",IF(C169="","Needs a client",IF(COUNTIF(Clients!$B$6:$B$105,C169)=0,"Not on Clients",IF(COUNT(D169:M169)=0,"Nothing measured","")))))</f>
        <v/>
      </c>
      <c r="P169" s="1">
        <f>IF(AND(O169="",ISNUMBER(B169)),INT(B169),0)</f>
        <v/>
      </c>
      <c r="Q169">
        <f>IF(AND(P169&gt;0,C169=Report!$C$5),P169*10000+ROW(),"")</f>
        <v/>
      </c>
      <c r="R169">
        <f>IF(AND(Q169&lt;&gt;"",ISNUMBER(D169)),Q169,"")</f>
        <v/>
      </c>
      <c r="S169">
        <f>IF(AND(Q169&lt;&gt;"",ISNUMBER(E169)),Q169,"")</f>
        <v/>
      </c>
      <c r="T169">
        <f>IF(AND(Q169&lt;&gt;"",ISNUMBER(F169)),Q169,"")</f>
        <v/>
      </c>
      <c r="U169">
        <f>IF(AND(Q169&lt;&gt;"",ISNUMBER(G169)),Q169,"")</f>
        <v/>
      </c>
      <c r="V169">
        <f>IF(AND(Q169&lt;&gt;"",ISNUMBER(H169)),Q169,"")</f>
        <v/>
      </c>
      <c r="W169">
        <f>IF(AND(Q169&lt;&gt;"",ISNUMBER(I169)),Q169,"")</f>
        <v/>
      </c>
      <c r="X169">
        <f>IF(AND(Q169&lt;&gt;"",ISNUMBER(J169)),Q169,"")</f>
        <v/>
      </c>
      <c r="Y169">
        <f>IF(AND(Q169&lt;&gt;"",ISNUMBER(K169)),Q169,"")</f>
        <v/>
      </c>
      <c r="Z169">
        <f>IF(AND(Q169&lt;&gt;"",ISNUMBER(L169)),Q169,"")</f>
        <v/>
      </c>
      <c r="AA169">
        <f>IF(AND(Q169&lt;&gt;"",ISNUMBER(M169)),Q169,"")</f>
        <v/>
      </c>
      <c r="AB169">
        <f>IF(AND(Q169&lt;&gt;"",ISNUMBER(K169)),K169,"")</f>
        <v/>
      </c>
      <c r="AC169">
        <f>IF(AND(Q169&lt;&gt;"",ISNUMBER(L169)),L169,"")</f>
        <v/>
      </c>
      <c r="AD169">
        <f>IF(AND(Q169&lt;&gt;"",ISNUMBER(M169)),M169,"")</f>
        <v/>
      </c>
    </row>
    <row r="170">
      <c r="A170" s="1" t="n"/>
      <c r="B170" s="17" t="n"/>
      <c r="C170" s="27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9" t="n"/>
      <c r="N170" s="21" t="n"/>
      <c r="O170" s="12">
        <f>IF(AND(B170="",C170=""),"",IF(NOT(ISNUMBER(B170)),"Needs a date",IF(C170="","Needs a client",IF(COUNTIF(Clients!$B$6:$B$105,C170)=0,"Not on Clients",IF(COUNT(D170:M170)=0,"Nothing measured","")))))</f>
        <v/>
      </c>
      <c r="P170" s="1">
        <f>IF(AND(O170="",ISNUMBER(B170)),INT(B170),0)</f>
        <v/>
      </c>
      <c r="Q170">
        <f>IF(AND(P170&gt;0,C170=Report!$C$5),P170*10000+ROW(),"")</f>
        <v/>
      </c>
      <c r="R170">
        <f>IF(AND(Q170&lt;&gt;"",ISNUMBER(D170)),Q170,"")</f>
        <v/>
      </c>
      <c r="S170">
        <f>IF(AND(Q170&lt;&gt;"",ISNUMBER(E170)),Q170,"")</f>
        <v/>
      </c>
      <c r="T170">
        <f>IF(AND(Q170&lt;&gt;"",ISNUMBER(F170)),Q170,"")</f>
        <v/>
      </c>
      <c r="U170">
        <f>IF(AND(Q170&lt;&gt;"",ISNUMBER(G170)),Q170,"")</f>
        <v/>
      </c>
      <c r="V170">
        <f>IF(AND(Q170&lt;&gt;"",ISNUMBER(H170)),Q170,"")</f>
        <v/>
      </c>
      <c r="W170">
        <f>IF(AND(Q170&lt;&gt;"",ISNUMBER(I170)),Q170,"")</f>
        <v/>
      </c>
      <c r="X170">
        <f>IF(AND(Q170&lt;&gt;"",ISNUMBER(J170)),Q170,"")</f>
        <v/>
      </c>
      <c r="Y170">
        <f>IF(AND(Q170&lt;&gt;"",ISNUMBER(K170)),Q170,"")</f>
        <v/>
      </c>
      <c r="Z170">
        <f>IF(AND(Q170&lt;&gt;"",ISNUMBER(L170)),Q170,"")</f>
        <v/>
      </c>
      <c r="AA170">
        <f>IF(AND(Q170&lt;&gt;"",ISNUMBER(M170)),Q170,"")</f>
        <v/>
      </c>
      <c r="AB170">
        <f>IF(AND(Q170&lt;&gt;"",ISNUMBER(K170)),K170,"")</f>
        <v/>
      </c>
      <c r="AC170">
        <f>IF(AND(Q170&lt;&gt;"",ISNUMBER(L170)),L170,"")</f>
        <v/>
      </c>
      <c r="AD170">
        <f>IF(AND(Q170&lt;&gt;"",ISNUMBER(M170)),M170,"")</f>
        <v/>
      </c>
    </row>
    <row r="171">
      <c r="A171" s="1" t="n"/>
      <c r="B171" s="17" t="n"/>
      <c r="C171" s="27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9" t="n"/>
      <c r="N171" s="21" t="n"/>
      <c r="O171" s="12">
        <f>IF(AND(B171="",C171=""),"",IF(NOT(ISNUMBER(B171)),"Needs a date",IF(C171="","Needs a client",IF(COUNTIF(Clients!$B$6:$B$105,C171)=0,"Not on Clients",IF(COUNT(D171:M171)=0,"Nothing measured","")))))</f>
        <v/>
      </c>
      <c r="P171" s="1">
        <f>IF(AND(O171="",ISNUMBER(B171)),INT(B171),0)</f>
        <v/>
      </c>
      <c r="Q171">
        <f>IF(AND(P171&gt;0,C171=Report!$C$5),P171*10000+ROW(),"")</f>
        <v/>
      </c>
      <c r="R171">
        <f>IF(AND(Q171&lt;&gt;"",ISNUMBER(D171)),Q171,"")</f>
        <v/>
      </c>
      <c r="S171">
        <f>IF(AND(Q171&lt;&gt;"",ISNUMBER(E171)),Q171,"")</f>
        <v/>
      </c>
      <c r="T171">
        <f>IF(AND(Q171&lt;&gt;"",ISNUMBER(F171)),Q171,"")</f>
        <v/>
      </c>
      <c r="U171">
        <f>IF(AND(Q171&lt;&gt;"",ISNUMBER(G171)),Q171,"")</f>
        <v/>
      </c>
      <c r="V171">
        <f>IF(AND(Q171&lt;&gt;"",ISNUMBER(H171)),Q171,"")</f>
        <v/>
      </c>
      <c r="W171">
        <f>IF(AND(Q171&lt;&gt;"",ISNUMBER(I171)),Q171,"")</f>
        <v/>
      </c>
      <c r="X171">
        <f>IF(AND(Q171&lt;&gt;"",ISNUMBER(J171)),Q171,"")</f>
        <v/>
      </c>
      <c r="Y171">
        <f>IF(AND(Q171&lt;&gt;"",ISNUMBER(K171)),Q171,"")</f>
        <v/>
      </c>
      <c r="Z171">
        <f>IF(AND(Q171&lt;&gt;"",ISNUMBER(L171)),Q171,"")</f>
        <v/>
      </c>
      <c r="AA171">
        <f>IF(AND(Q171&lt;&gt;"",ISNUMBER(M171)),Q171,"")</f>
        <v/>
      </c>
      <c r="AB171">
        <f>IF(AND(Q171&lt;&gt;"",ISNUMBER(K171)),K171,"")</f>
        <v/>
      </c>
      <c r="AC171">
        <f>IF(AND(Q171&lt;&gt;"",ISNUMBER(L171)),L171,"")</f>
        <v/>
      </c>
      <c r="AD171">
        <f>IF(AND(Q171&lt;&gt;"",ISNUMBER(M171)),M171,"")</f>
        <v/>
      </c>
    </row>
    <row r="172">
      <c r="A172" s="1" t="n"/>
      <c r="B172" s="17" t="n"/>
      <c r="C172" s="27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9" t="n"/>
      <c r="N172" s="21" t="n"/>
      <c r="O172" s="12">
        <f>IF(AND(B172="",C172=""),"",IF(NOT(ISNUMBER(B172)),"Needs a date",IF(C172="","Needs a client",IF(COUNTIF(Clients!$B$6:$B$105,C172)=0,"Not on Clients",IF(COUNT(D172:M172)=0,"Nothing measured","")))))</f>
        <v/>
      </c>
      <c r="P172" s="1">
        <f>IF(AND(O172="",ISNUMBER(B172)),INT(B172),0)</f>
        <v/>
      </c>
      <c r="Q172">
        <f>IF(AND(P172&gt;0,C172=Report!$C$5),P172*10000+ROW(),"")</f>
        <v/>
      </c>
      <c r="R172">
        <f>IF(AND(Q172&lt;&gt;"",ISNUMBER(D172)),Q172,"")</f>
        <v/>
      </c>
      <c r="S172">
        <f>IF(AND(Q172&lt;&gt;"",ISNUMBER(E172)),Q172,"")</f>
        <v/>
      </c>
      <c r="T172">
        <f>IF(AND(Q172&lt;&gt;"",ISNUMBER(F172)),Q172,"")</f>
        <v/>
      </c>
      <c r="U172">
        <f>IF(AND(Q172&lt;&gt;"",ISNUMBER(G172)),Q172,"")</f>
        <v/>
      </c>
      <c r="V172">
        <f>IF(AND(Q172&lt;&gt;"",ISNUMBER(H172)),Q172,"")</f>
        <v/>
      </c>
      <c r="W172">
        <f>IF(AND(Q172&lt;&gt;"",ISNUMBER(I172)),Q172,"")</f>
        <v/>
      </c>
      <c r="X172">
        <f>IF(AND(Q172&lt;&gt;"",ISNUMBER(J172)),Q172,"")</f>
        <v/>
      </c>
      <c r="Y172">
        <f>IF(AND(Q172&lt;&gt;"",ISNUMBER(K172)),Q172,"")</f>
        <v/>
      </c>
      <c r="Z172">
        <f>IF(AND(Q172&lt;&gt;"",ISNUMBER(L172)),Q172,"")</f>
        <v/>
      </c>
      <c r="AA172">
        <f>IF(AND(Q172&lt;&gt;"",ISNUMBER(M172)),Q172,"")</f>
        <v/>
      </c>
      <c r="AB172">
        <f>IF(AND(Q172&lt;&gt;"",ISNUMBER(K172)),K172,"")</f>
        <v/>
      </c>
      <c r="AC172">
        <f>IF(AND(Q172&lt;&gt;"",ISNUMBER(L172)),L172,"")</f>
        <v/>
      </c>
      <c r="AD172">
        <f>IF(AND(Q172&lt;&gt;"",ISNUMBER(M172)),M172,"")</f>
        <v/>
      </c>
    </row>
    <row r="173">
      <c r="A173" s="1" t="n"/>
      <c r="B173" s="17" t="n"/>
      <c r="C173" s="27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9" t="n"/>
      <c r="N173" s="21" t="n"/>
      <c r="O173" s="12">
        <f>IF(AND(B173="",C173=""),"",IF(NOT(ISNUMBER(B173)),"Needs a date",IF(C173="","Needs a client",IF(COUNTIF(Clients!$B$6:$B$105,C173)=0,"Not on Clients",IF(COUNT(D173:M173)=0,"Nothing measured","")))))</f>
        <v/>
      </c>
      <c r="P173" s="1">
        <f>IF(AND(O173="",ISNUMBER(B173)),INT(B173),0)</f>
        <v/>
      </c>
      <c r="Q173">
        <f>IF(AND(P173&gt;0,C173=Report!$C$5),P173*10000+ROW(),"")</f>
        <v/>
      </c>
      <c r="R173">
        <f>IF(AND(Q173&lt;&gt;"",ISNUMBER(D173)),Q173,"")</f>
        <v/>
      </c>
      <c r="S173">
        <f>IF(AND(Q173&lt;&gt;"",ISNUMBER(E173)),Q173,"")</f>
        <v/>
      </c>
      <c r="T173">
        <f>IF(AND(Q173&lt;&gt;"",ISNUMBER(F173)),Q173,"")</f>
        <v/>
      </c>
      <c r="U173">
        <f>IF(AND(Q173&lt;&gt;"",ISNUMBER(G173)),Q173,"")</f>
        <v/>
      </c>
      <c r="V173">
        <f>IF(AND(Q173&lt;&gt;"",ISNUMBER(H173)),Q173,"")</f>
        <v/>
      </c>
      <c r="W173">
        <f>IF(AND(Q173&lt;&gt;"",ISNUMBER(I173)),Q173,"")</f>
        <v/>
      </c>
      <c r="X173">
        <f>IF(AND(Q173&lt;&gt;"",ISNUMBER(J173)),Q173,"")</f>
        <v/>
      </c>
      <c r="Y173">
        <f>IF(AND(Q173&lt;&gt;"",ISNUMBER(K173)),Q173,"")</f>
        <v/>
      </c>
      <c r="Z173">
        <f>IF(AND(Q173&lt;&gt;"",ISNUMBER(L173)),Q173,"")</f>
        <v/>
      </c>
      <c r="AA173">
        <f>IF(AND(Q173&lt;&gt;"",ISNUMBER(M173)),Q173,"")</f>
        <v/>
      </c>
      <c r="AB173">
        <f>IF(AND(Q173&lt;&gt;"",ISNUMBER(K173)),K173,"")</f>
        <v/>
      </c>
      <c r="AC173">
        <f>IF(AND(Q173&lt;&gt;"",ISNUMBER(L173)),L173,"")</f>
        <v/>
      </c>
      <c r="AD173">
        <f>IF(AND(Q173&lt;&gt;"",ISNUMBER(M173)),M173,"")</f>
        <v/>
      </c>
    </row>
    <row r="174">
      <c r="A174" s="1" t="n"/>
      <c r="B174" s="17" t="n"/>
      <c r="C174" s="27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9" t="n"/>
      <c r="N174" s="21" t="n"/>
      <c r="O174" s="12">
        <f>IF(AND(B174="",C174=""),"",IF(NOT(ISNUMBER(B174)),"Needs a date",IF(C174="","Needs a client",IF(COUNTIF(Clients!$B$6:$B$105,C174)=0,"Not on Clients",IF(COUNT(D174:M174)=0,"Nothing measured","")))))</f>
        <v/>
      </c>
      <c r="P174" s="1">
        <f>IF(AND(O174="",ISNUMBER(B174)),INT(B174),0)</f>
        <v/>
      </c>
      <c r="Q174">
        <f>IF(AND(P174&gt;0,C174=Report!$C$5),P174*10000+ROW(),"")</f>
        <v/>
      </c>
      <c r="R174">
        <f>IF(AND(Q174&lt;&gt;"",ISNUMBER(D174)),Q174,"")</f>
        <v/>
      </c>
      <c r="S174">
        <f>IF(AND(Q174&lt;&gt;"",ISNUMBER(E174)),Q174,"")</f>
        <v/>
      </c>
      <c r="T174">
        <f>IF(AND(Q174&lt;&gt;"",ISNUMBER(F174)),Q174,"")</f>
        <v/>
      </c>
      <c r="U174">
        <f>IF(AND(Q174&lt;&gt;"",ISNUMBER(G174)),Q174,"")</f>
        <v/>
      </c>
      <c r="V174">
        <f>IF(AND(Q174&lt;&gt;"",ISNUMBER(H174)),Q174,"")</f>
        <v/>
      </c>
      <c r="W174">
        <f>IF(AND(Q174&lt;&gt;"",ISNUMBER(I174)),Q174,"")</f>
        <v/>
      </c>
      <c r="X174">
        <f>IF(AND(Q174&lt;&gt;"",ISNUMBER(J174)),Q174,"")</f>
        <v/>
      </c>
      <c r="Y174">
        <f>IF(AND(Q174&lt;&gt;"",ISNUMBER(K174)),Q174,"")</f>
        <v/>
      </c>
      <c r="Z174">
        <f>IF(AND(Q174&lt;&gt;"",ISNUMBER(L174)),Q174,"")</f>
        <v/>
      </c>
      <c r="AA174">
        <f>IF(AND(Q174&lt;&gt;"",ISNUMBER(M174)),Q174,"")</f>
        <v/>
      </c>
      <c r="AB174">
        <f>IF(AND(Q174&lt;&gt;"",ISNUMBER(K174)),K174,"")</f>
        <v/>
      </c>
      <c r="AC174">
        <f>IF(AND(Q174&lt;&gt;"",ISNUMBER(L174)),L174,"")</f>
        <v/>
      </c>
      <c r="AD174">
        <f>IF(AND(Q174&lt;&gt;"",ISNUMBER(M174)),M174,"")</f>
        <v/>
      </c>
    </row>
    <row r="175">
      <c r="A175" s="1" t="n"/>
      <c r="B175" s="17" t="n"/>
      <c r="C175" s="27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9" t="n"/>
      <c r="N175" s="21" t="n"/>
      <c r="O175" s="12">
        <f>IF(AND(B175="",C175=""),"",IF(NOT(ISNUMBER(B175)),"Needs a date",IF(C175="","Needs a client",IF(COUNTIF(Clients!$B$6:$B$105,C175)=0,"Not on Clients",IF(COUNT(D175:M175)=0,"Nothing measured","")))))</f>
        <v/>
      </c>
      <c r="P175" s="1">
        <f>IF(AND(O175="",ISNUMBER(B175)),INT(B175),0)</f>
        <v/>
      </c>
      <c r="Q175">
        <f>IF(AND(P175&gt;0,C175=Report!$C$5),P175*10000+ROW(),"")</f>
        <v/>
      </c>
      <c r="R175">
        <f>IF(AND(Q175&lt;&gt;"",ISNUMBER(D175)),Q175,"")</f>
        <v/>
      </c>
      <c r="S175">
        <f>IF(AND(Q175&lt;&gt;"",ISNUMBER(E175)),Q175,"")</f>
        <v/>
      </c>
      <c r="T175">
        <f>IF(AND(Q175&lt;&gt;"",ISNUMBER(F175)),Q175,"")</f>
        <v/>
      </c>
      <c r="U175">
        <f>IF(AND(Q175&lt;&gt;"",ISNUMBER(G175)),Q175,"")</f>
        <v/>
      </c>
      <c r="V175">
        <f>IF(AND(Q175&lt;&gt;"",ISNUMBER(H175)),Q175,"")</f>
        <v/>
      </c>
      <c r="W175">
        <f>IF(AND(Q175&lt;&gt;"",ISNUMBER(I175)),Q175,"")</f>
        <v/>
      </c>
      <c r="X175">
        <f>IF(AND(Q175&lt;&gt;"",ISNUMBER(J175)),Q175,"")</f>
        <v/>
      </c>
      <c r="Y175">
        <f>IF(AND(Q175&lt;&gt;"",ISNUMBER(K175)),Q175,"")</f>
        <v/>
      </c>
      <c r="Z175">
        <f>IF(AND(Q175&lt;&gt;"",ISNUMBER(L175)),Q175,"")</f>
        <v/>
      </c>
      <c r="AA175">
        <f>IF(AND(Q175&lt;&gt;"",ISNUMBER(M175)),Q175,"")</f>
        <v/>
      </c>
      <c r="AB175">
        <f>IF(AND(Q175&lt;&gt;"",ISNUMBER(K175)),K175,"")</f>
        <v/>
      </c>
      <c r="AC175">
        <f>IF(AND(Q175&lt;&gt;"",ISNUMBER(L175)),L175,"")</f>
        <v/>
      </c>
      <c r="AD175">
        <f>IF(AND(Q175&lt;&gt;"",ISNUMBER(M175)),M175,"")</f>
        <v/>
      </c>
    </row>
    <row r="176">
      <c r="A176" s="1" t="n"/>
      <c r="B176" s="17" t="n"/>
      <c r="C176" s="27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9" t="n"/>
      <c r="N176" s="21" t="n"/>
      <c r="O176" s="12">
        <f>IF(AND(B176="",C176=""),"",IF(NOT(ISNUMBER(B176)),"Needs a date",IF(C176="","Needs a client",IF(COUNTIF(Clients!$B$6:$B$105,C176)=0,"Not on Clients",IF(COUNT(D176:M176)=0,"Nothing measured","")))))</f>
        <v/>
      </c>
      <c r="P176" s="1">
        <f>IF(AND(O176="",ISNUMBER(B176)),INT(B176),0)</f>
        <v/>
      </c>
      <c r="Q176">
        <f>IF(AND(P176&gt;0,C176=Report!$C$5),P176*10000+ROW(),"")</f>
        <v/>
      </c>
      <c r="R176">
        <f>IF(AND(Q176&lt;&gt;"",ISNUMBER(D176)),Q176,"")</f>
        <v/>
      </c>
      <c r="S176">
        <f>IF(AND(Q176&lt;&gt;"",ISNUMBER(E176)),Q176,"")</f>
        <v/>
      </c>
      <c r="T176">
        <f>IF(AND(Q176&lt;&gt;"",ISNUMBER(F176)),Q176,"")</f>
        <v/>
      </c>
      <c r="U176">
        <f>IF(AND(Q176&lt;&gt;"",ISNUMBER(G176)),Q176,"")</f>
        <v/>
      </c>
      <c r="V176">
        <f>IF(AND(Q176&lt;&gt;"",ISNUMBER(H176)),Q176,"")</f>
        <v/>
      </c>
      <c r="W176">
        <f>IF(AND(Q176&lt;&gt;"",ISNUMBER(I176)),Q176,"")</f>
        <v/>
      </c>
      <c r="X176">
        <f>IF(AND(Q176&lt;&gt;"",ISNUMBER(J176)),Q176,"")</f>
        <v/>
      </c>
      <c r="Y176">
        <f>IF(AND(Q176&lt;&gt;"",ISNUMBER(K176)),Q176,"")</f>
        <v/>
      </c>
      <c r="Z176">
        <f>IF(AND(Q176&lt;&gt;"",ISNUMBER(L176)),Q176,"")</f>
        <v/>
      </c>
      <c r="AA176">
        <f>IF(AND(Q176&lt;&gt;"",ISNUMBER(M176)),Q176,"")</f>
        <v/>
      </c>
      <c r="AB176">
        <f>IF(AND(Q176&lt;&gt;"",ISNUMBER(K176)),K176,"")</f>
        <v/>
      </c>
      <c r="AC176">
        <f>IF(AND(Q176&lt;&gt;"",ISNUMBER(L176)),L176,"")</f>
        <v/>
      </c>
      <c r="AD176">
        <f>IF(AND(Q176&lt;&gt;"",ISNUMBER(M176)),M176,"")</f>
        <v/>
      </c>
    </row>
    <row r="177">
      <c r="A177" s="1" t="n"/>
      <c r="B177" s="17" t="n"/>
      <c r="C177" s="27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9" t="n"/>
      <c r="N177" s="21" t="n"/>
      <c r="O177" s="12">
        <f>IF(AND(B177="",C177=""),"",IF(NOT(ISNUMBER(B177)),"Needs a date",IF(C177="","Needs a client",IF(COUNTIF(Clients!$B$6:$B$105,C177)=0,"Not on Clients",IF(COUNT(D177:M177)=0,"Nothing measured","")))))</f>
        <v/>
      </c>
      <c r="P177" s="1">
        <f>IF(AND(O177="",ISNUMBER(B177)),INT(B177),0)</f>
        <v/>
      </c>
      <c r="Q177">
        <f>IF(AND(P177&gt;0,C177=Report!$C$5),P177*10000+ROW(),"")</f>
        <v/>
      </c>
      <c r="R177">
        <f>IF(AND(Q177&lt;&gt;"",ISNUMBER(D177)),Q177,"")</f>
        <v/>
      </c>
      <c r="S177">
        <f>IF(AND(Q177&lt;&gt;"",ISNUMBER(E177)),Q177,"")</f>
        <v/>
      </c>
      <c r="T177">
        <f>IF(AND(Q177&lt;&gt;"",ISNUMBER(F177)),Q177,"")</f>
        <v/>
      </c>
      <c r="U177">
        <f>IF(AND(Q177&lt;&gt;"",ISNUMBER(G177)),Q177,"")</f>
        <v/>
      </c>
      <c r="V177">
        <f>IF(AND(Q177&lt;&gt;"",ISNUMBER(H177)),Q177,"")</f>
        <v/>
      </c>
      <c r="W177">
        <f>IF(AND(Q177&lt;&gt;"",ISNUMBER(I177)),Q177,"")</f>
        <v/>
      </c>
      <c r="X177">
        <f>IF(AND(Q177&lt;&gt;"",ISNUMBER(J177)),Q177,"")</f>
        <v/>
      </c>
      <c r="Y177">
        <f>IF(AND(Q177&lt;&gt;"",ISNUMBER(K177)),Q177,"")</f>
        <v/>
      </c>
      <c r="Z177">
        <f>IF(AND(Q177&lt;&gt;"",ISNUMBER(L177)),Q177,"")</f>
        <v/>
      </c>
      <c r="AA177">
        <f>IF(AND(Q177&lt;&gt;"",ISNUMBER(M177)),Q177,"")</f>
        <v/>
      </c>
      <c r="AB177">
        <f>IF(AND(Q177&lt;&gt;"",ISNUMBER(K177)),K177,"")</f>
        <v/>
      </c>
      <c r="AC177">
        <f>IF(AND(Q177&lt;&gt;"",ISNUMBER(L177)),L177,"")</f>
        <v/>
      </c>
      <c r="AD177">
        <f>IF(AND(Q177&lt;&gt;"",ISNUMBER(M177)),M177,"")</f>
        <v/>
      </c>
    </row>
    <row r="178">
      <c r="A178" s="1" t="n"/>
      <c r="B178" s="17" t="n"/>
      <c r="C178" s="27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9" t="n"/>
      <c r="N178" s="21" t="n"/>
      <c r="O178" s="12">
        <f>IF(AND(B178="",C178=""),"",IF(NOT(ISNUMBER(B178)),"Needs a date",IF(C178="","Needs a client",IF(COUNTIF(Clients!$B$6:$B$105,C178)=0,"Not on Clients",IF(COUNT(D178:M178)=0,"Nothing measured","")))))</f>
        <v/>
      </c>
      <c r="P178" s="1">
        <f>IF(AND(O178="",ISNUMBER(B178)),INT(B178),0)</f>
        <v/>
      </c>
      <c r="Q178">
        <f>IF(AND(P178&gt;0,C178=Report!$C$5),P178*10000+ROW(),"")</f>
        <v/>
      </c>
      <c r="R178">
        <f>IF(AND(Q178&lt;&gt;"",ISNUMBER(D178)),Q178,"")</f>
        <v/>
      </c>
      <c r="S178">
        <f>IF(AND(Q178&lt;&gt;"",ISNUMBER(E178)),Q178,"")</f>
        <v/>
      </c>
      <c r="T178">
        <f>IF(AND(Q178&lt;&gt;"",ISNUMBER(F178)),Q178,"")</f>
        <v/>
      </c>
      <c r="U178">
        <f>IF(AND(Q178&lt;&gt;"",ISNUMBER(G178)),Q178,"")</f>
        <v/>
      </c>
      <c r="V178">
        <f>IF(AND(Q178&lt;&gt;"",ISNUMBER(H178)),Q178,"")</f>
        <v/>
      </c>
      <c r="W178">
        <f>IF(AND(Q178&lt;&gt;"",ISNUMBER(I178)),Q178,"")</f>
        <v/>
      </c>
      <c r="X178">
        <f>IF(AND(Q178&lt;&gt;"",ISNUMBER(J178)),Q178,"")</f>
        <v/>
      </c>
      <c r="Y178">
        <f>IF(AND(Q178&lt;&gt;"",ISNUMBER(K178)),Q178,"")</f>
        <v/>
      </c>
      <c r="Z178">
        <f>IF(AND(Q178&lt;&gt;"",ISNUMBER(L178)),Q178,"")</f>
        <v/>
      </c>
      <c r="AA178">
        <f>IF(AND(Q178&lt;&gt;"",ISNUMBER(M178)),Q178,"")</f>
        <v/>
      </c>
      <c r="AB178">
        <f>IF(AND(Q178&lt;&gt;"",ISNUMBER(K178)),K178,"")</f>
        <v/>
      </c>
      <c r="AC178">
        <f>IF(AND(Q178&lt;&gt;"",ISNUMBER(L178)),L178,"")</f>
        <v/>
      </c>
      <c r="AD178">
        <f>IF(AND(Q178&lt;&gt;"",ISNUMBER(M178)),M178,"")</f>
        <v/>
      </c>
    </row>
    <row r="179">
      <c r="A179" s="1" t="n"/>
      <c r="B179" s="17" t="n"/>
      <c r="C179" s="27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9" t="n"/>
      <c r="N179" s="21" t="n"/>
      <c r="O179" s="12">
        <f>IF(AND(B179="",C179=""),"",IF(NOT(ISNUMBER(B179)),"Needs a date",IF(C179="","Needs a client",IF(COUNTIF(Clients!$B$6:$B$105,C179)=0,"Not on Clients",IF(COUNT(D179:M179)=0,"Nothing measured","")))))</f>
        <v/>
      </c>
      <c r="P179" s="1">
        <f>IF(AND(O179="",ISNUMBER(B179)),INT(B179),0)</f>
        <v/>
      </c>
      <c r="Q179">
        <f>IF(AND(P179&gt;0,C179=Report!$C$5),P179*10000+ROW(),"")</f>
        <v/>
      </c>
      <c r="R179">
        <f>IF(AND(Q179&lt;&gt;"",ISNUMBER(D179)),Q179,"")</f>
        <v/>
      </c>
      <c r="S179">
        <f>IF(AND(Q179&lt;&gt;"",ISNUMBER(E179)),Q179,"")</f>
        <v/>
      </c>
      <c r="T179">
        <f>IF(AND(Q179&lt;&gt;"",ISNUMBER(F179)),Q179,"")</f>
        <v/>
      </c>
      <c r="U179">
        <f>IF(AND(Q179&lt;&gt;"",ISNUMBER(G179)),Q179,"")</f>
        <v/>
      </c>
      <c r="V179">
        <f>IF(AND(Q179&lt;&gt;"",ISNUMBER(H179)),Q179,"")</f>
        <v/>
      </c>
      <c r="W179">
        <f>IF(AND(Q179&lt;&gt;"",ISNUMBER(I179)),Q179,"")</f>
        <v/>
      </c>
      <c r="X179">
        <f>IF(AND(Q179&lt;&gt;"",ISNUMBER(J179)),Q179,"")</f>
        <v/>
      </c>
      <c r="Y179">
        <f>IF(AND(Q179&lt;&gt;"",ISNUMBER(K179)),Q179,"")</f>
        <v/>
      </c>
      <c r="Z179">
        <f>IF(AND(Q179&lt;&gt;"",ISNUMBER(L179)),Q179,"")</f>
        <v/>
      </c>
      <c r="AA179">
        <f>IF(AND(Q179&lt;&gt;"",ISNUMBER(M179)),Q179,"")</f>
        <v/>
      </c>
      <c r="AB179">
        <f>IF(AND(Q179&lt;&gt;"",ISNUMBER(K179)),K179,"")</f>
        <v/>
      </c>
      <c r="AC179">
        <f>IF(AND(Q179&lt;&gt;"",ISNUMBER(L179)),L179,"")</f>
        <v/>
      </c>
      <c r="AD179">
        <f>IF(AND(Q179&lt;&gt;"",ISNUMBER(M179)),M179,"")</f>
        <v/>
      </c>
    </row>
    <row r="180">
      <c r="A180" s="1" t="n"/>
      <c r="B180" s="17" t="n"/>
      <c r="C180" s="27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9" t="n"/>
      <c r="N180" s="21" t="n"/>
      <c r="O180" s="12">
        <f>IF(AND(B180="",C180=""),"",IF(NOT(ISNUMBER(B180)),"Needs a date",IF(C180="","Needs a client",IF(COUNTIF(Clients!$B$6:$B$105,C180)=0,"Not on Clients",IF(COUNT(D180:M180)=0,"Nothing measured","")))))</f>
        <v/>
      </c>
      <c r="P180" s="1">
        <f>IF(AND(O180="",ISNUMBER(B180)),INT(B180),0)</f>
        <v/>
      </c>
      <c r="Q180">
        <f>IF(AND(P180&gt;0,C180=Report!$C$5),P180*10000+ROW(),"")</f>
        <v/>
      </c>
      <c r="R180">
        <f>IF(AND(Q180&lt;&gt;"",ISNUMBER(D180)),Q180,"")</f>
        <v/>
      </c>
      <c r="S180">
        <f>IF(AND(Q180&lt;&gt;"",ISNUMBER(E180)),Q180,"")</f>
        <v/>
      </c>
      <c r="T180">
        <f>IF(AND(Q180&lt;&gt;"",ISNUMBER(F180)),Q180,"")</f>
        <v/>
      </c>
      <c r="U180">
        <f>IF(AND(Q180&lt;&gt;"",ISNUMBER(G180)),Q180,"")</f>
        <v/>
      </c>
      <c r="V180">
        <f>IF(AND(Q180&lt;&gt;"",ISNUMBER(H180)),Q180,"")</f>
        <v/>
      </c>
      <c r="W180">
        <f>IF(AND(Q180&lt;&gt;"",ISNUMBER(I180)),Q180,"")</f>
        <v/>
      </c>
      <c r="X180">
        <f>IF(AND(Q180&lt;&gt;"",ISNUMBER(J180)),Q180,"")</f>
        <v/>
      </c>
      <c r="Y180">
        <f>IF(AND(Q180&lt;&gt;"",ISNUMBER(K180)),Q180,"")</f>
        <v/>
      </c>
      <c r="Z180">
        <f>IF(AND(Q180&lt;&gt;"",ISNUMBER(L180)),Q180,"")</f>
        <v/>
      </c>
      <c r="AA180">
        <f>IF(AND(Q180&lt;&gt;"",ISNUMBER(M180)),Q180,"")</f>
        <v/>
      </c>
      <c r="AB180">
        <f>IF(AND(Q180&lt;&gt;"",ISNUMBER(K180)),K180,"")</f>
        <v/>
      </c>
      <c r="AC180">
        <f>IF(AND(Q180&lt;&gt;"",ISNUMBER(L180)),L180,"")</f>
        <v/>
      </c>
      <c r="AD180">
        <f>IF(AND(Q180&lt;&gt;"",ISNUMBER(M180)),M180,"")</f>
        <v/>
      </c>
    </row>
    <row r="181">
      <c r="A181" s="1" t="n"/>
      <c r="B181" s="17" t="n"/>
      <c r="C181" s="27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9" t="n"/>
      <c r="N181" s="21" t="n"/>
      <c r="O181" s="12">
        <f>IF(AND(B181="",C181=""),"",IF(NOT(ISNUMBER(B181)),"Needs a date",IF(C181="","Needs a client",IF(COUNTIF(Clients!$B$6:$B$105,C181)=0,"Not on Clients",IF(COUNT(D181:M181)=0,"Nothing measured","")))))</f>
        <v/>
      </c>
      <c r="P181" s="1">
        <f>IF(AND(O181="",ISNUMBER(B181)),INT(B181),0)</f>
        <v/>
      </c>
      <c r="Q181">
        <f>IF(AND(P181&gt;0,C181=Report!$C$5),P181*10000+ROW(),"")</f>
        <v/>
      </c>
      <c r="R181">
        <f>IF(AND(Q181&lt;&gt;"",ISNUMBER(D181)),Q181,"")</f>
        <v/>
      </c>
      <c r="S181">
        <f>IF(AND(Q181&lt;&gt;"",ISNUMBER(E181)),Q181,"")</f>
        <v/>
      </c>
      <c r="T181">
        <f>IF(AND(Q181&lt;&gt;"",ISNUMBER(F181)),Q181,"")</f>
        <v/>
      </c>
      <c r="U181">
        <f>IF(AND(Q181&lt;&gt;"",ISNUMBER(G181)),Q181,"")</f>
        <v/>
      </c>
      <c r="V181">
        <f>IF(AND(Q181&lt;&gt;"",ISNUMBER(H181)),Q181,"")</f>
        <v/>
      </c>
      <c r="W181">
        <f>IF(AND(Q181&lt;&gt;"",ISNUMBER(I181)),Q181,"")</f>
        <v/>
      </c>
      <c r="X181">
        <f>IF(AND(Q181&lt;&gt;"",ISNUMBER(J181)),Q181,"")</f>
        <v/>
      </c>
      <c r="Y181">
        <f>IF(AND(Q181&lt;&gt;"",ISNUMBER(K181)),Q181,"")</f>
        <v/>
      </c>
      <c r="Z181">
        <f>IF(AND(Q181&lt;&gt;"",ISNUMBER(L181)),Q181,"")</f>
        <v/>
      </c>
      <c r="AA181">
        <f>IF(AND(Q181&lt;&gt;"",ISNUMBER(M181)),Q181,"")</f>
        <v/>
      </c>
      <c r="AB181">
        <f>IF(AND(Q181&lt;&gt;"",ISNUMBER(K181)),K181,"")</f>
        <v/>
      </c>
      <c r="AC181">
        <f>IF(AND(Q181&lt;&gt;"",ISNUMBER(L181)),L181,"")</f>
        <v/>
      </c>
      <c r="AD181">
        <f>IF(AND(Q181&lt;&gt;"",ISNUMBER(M181)),M181,"")</f>
        <v/>
      </c>
    </row>
    <row r="182">
      <c r="A182" s="1" t="n"/>
      <c r="B182" s="17" t="n"/>
      <c r="C182" s="27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9" t="n"/>
      <c r="N182" s="21" t="n"/>
      <c r="O182" s="12">
        <f>IF(AND(B182="",C182=""),"",IF(NOT(ISNUMBER(B182)),"Needs a date",IF(C182="","Needs a client",IF(COUNTIF(Clients!$B$6:$B$105,C182)=0,"Not on Clients",IF(COUNT(D182:M182)=0,"Nothing measured","")))))</f>
        <v/>
      </c>
      <c r="P182" s="1">
        <f>IF(AND(O182="",ISNUMBER(B182)),INT(B182),0)</f>
        <v/>
      </c>
      <c r="Q182">
        <f>IF(AND(P182&gt;0,C182=Report!$C$5),P182*10000+ROW(),"")</f>
        <v/>
      </c>
      <c r="R182">
        <f>IF(AND(Q182&lt;&gt;"",ISNUMBER(D182)),Q182,"")</f>
        <v/>
      </c>
      <c r="S182">
        <f>IF(AND(Q182&lt;&gt;"",ISNUMBER(E182)),Q182,"")</f>
        <v/>
      </c>
      <c r="T182">
        <f>IF(AND(Q182&lt;&gt;"",ISNUMBER(F182)),Q182,"")</f>
        <v/>
      </c>
      <c r="U182">
        <f>IF(AND(Q182&lt;&gt;"",ISNUMBER(G182)),Q182,"")</f>
        <v/>
      </c>
      <c r="V182">
        <f>IF(AND(Q182&lt;&gt;"",ISNUMBER(H182)),Q182,"")</f>
        <v/>
      </c>
      <c r="W182">
        <f>IF(AND(Q182&lt;&gt;"",ISNUMBER(I182)),Q182,"")</f>
        <v/>
      </c>
      <c r="X182">
        <f>IF(AND(Q182&lt;&gt;"",ISNUMBER(J182)),Q182,"")</f>
        <v/>
      </c>
      <c r="Y182">
        <f>IF(AND(Q182&lt;&gt;"",ISNUMBER(K182)),Q182,"")</f>
        <v/>
      </c>
      <c r="Z182">
        <f>IF(AND(Q182&lt;&gt;"",ISNUMBER(L182)),Q182,"")</f>
        <v/>
      </c>
      <c r="AA182">
        <f>IF(AND(Q182&lt;&gt;"",ISNUMBER(M182)),Q182,"")</f>
        <v/>
      </c>
      <c r="AB182">
        <f>IF(AND(Q182&lt;&gt;"",ISNUMBER(K182)),K182,"")</f>
        <v/>
      </c>
      <c r="AC182">
        <f>IF(AND(Q182&lt;&gt;"",ISNUMBER(L182)),L182,"")</f>
        <v/>
      </c>
      <c r="AD182">
        <f>IF(AND(Q182&lt;&gt;"",ISNUMBER(M182)),M182,"")</f>
        <v/>
      </c>
    </row>
    <row r="183">
      <c r="A183" s="1" t="n"/>
      <c r="B183" s="17" t="n"/>
      <c r="C183" s="27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9" t="n"/>
      <c r="N183" s="21" t="n"/>
      <c r="O183" s="12">
        <f>IF(AND(B183="",C183=""),"",IF(NOT(ISNUMBER(B183)),"Needs a date",IF(C183="","Needs a client",IF(COUNTIF(Clients!$B$6:$B$105,C183)=0,"Not on Clients",IF(COUNT(D183:M183)=0,"Nothing measured","")))))</f>
        <v/>
      </c>
      <c r="P183" s="1">
        <f>IF(AND(O183="",ISNUMBER(B183)),INT(B183),0)</f>
        <v/>
      </c>
      <c r="Q183">
        <f>IF(AND(P183&gt;0,C183=Report!$C$5),P183*10000+ROW(),"")</f>
        <v/>
      </c>
      <c r="R183">
        <f>IF(AND(Q183&lt;&gt;"",ISNUMBER(D183)),Q183,"")</f>
        <v/>
      </c>
      <c r="S183">
        <f>IF(AND(Q183&lt;&gt;"",ISNUMBER(E183)),Q183,"")</f>
        <v/>
      </c>
      <c r="T183">
        <f>IF(AND(Q183&lt;&gt;"",ISNUMBER(F183)),Q183,"")</f>
        <v/>
      </c>
      <c r="U183">
        <f>IF(AND(Q183&lt;&gt;"",ISNUMBER(G183)),Q183,"")</f>
        <v/>
      </c>
      <c r="V183">
        <f>IF(AND(Q183&lt;&gt;"",ISNUMBER(H183)),Q183,"")</f>
        <v/>
      </c>
      <c r="W183">
        <f>IF(AND(Q183&lt;&gt;"",ISNUMBER(I183)),Q183,"")</f>
        <v/>
      </c>
      <c r="X183">
        <f>IF(AND(Q183&lt;&gt;"",ISNUMBER(J183)),Q183,"")</f>
        <v/>
      </c>
      <c r="Y183">
        <f>IF(AND(Q183&lt;&gt;"",ISNUMBER(K183)),Q183,"")</f>
        <v/>
      </c>
      <c r="Z183">
        <f>IF(AND(Q183&lt;&gt;"",ISNUMBER(L183)),Q183,"")</f>
        <v/>
      </c>
      <c r="AA183">
        <f>IF(AND(Q183&lt;&gt;"",ISNUMBER(M183)),Q183,"")</f>
        <v/>
      </c>
      <c r="AB183">
        <f>IF(AND(Q183&lt;&gt;"",ISNUMBER(K183)),K183,"")</f>
        <v/>
      </c>
      <c r="AC183">
        <f>IF(AND(Q183&lt;&gt;"",ISNUMBER(L183)),L183,"")</f>
        <v/>
      </c>
      <c r="AD183">
        <f>IF(AND(Q183&lt;&gt;"",ISNUMBER(M183)),M183,"")</f>
        <v/>
      </c>
    </row>
    <row r="184">
      <c r="A184" s="1" t="n"/>
      <c r="B184" s="17" t="n"/>
      <c r="C184" s="27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9" t="n"/>
      <c r="N184" s="21" t="n"/>
      <c r="O184" s="12">
        <f>IF(AND(B184="",C184=""),"",IF(NOT(ISNUMBER(B184)),"Needs a date",IF(C184="","Needs a client",IF(COUNTIF(Clients!$B$6:$B$105,C184)=0,"Not on Clients",IF(COUNT(D184:M184)=0,"Nothing measured","")))))</f>
        <v/>
      </c>
      <c r="P184" s="1">
        <f>IF(AND(O184="",ISNUMBER(B184)),INT(B184),0)</f>
        <v/>
      </c>
      <c r="Q184">
        <f>IF(AND(P184&gt;0,C184=Report!$C$5),P184*10000+ROW(),"")</f>
        <v/>
      </c>
      <c r="R184">
        <f>IF(AND(Q184&lt;&gt;"",ISNUMBER(D184)),Q184,"")</f>
        <v/>
      </c>
      <c r="S184">
        <f>IF(AND(Q184&lt;&gt;"",ISNUMBER(E184)),Q184,"")</f>
        <v/>
      </c>
      <c r="T184">
        <f>IF(AND(Q184&lt;&gt;"",ISNUMBER(F184)),Q184,"")</f>
        <v/>
      </c>
      <c r="U184">
        <f>IF(AND(Q184&lt;&gt;"",ISNUMBER(G184)),Q184,"")</f>
        <v/>
      </c>
      <c r="V184">
        <f>IF(AND(Q184&lt;&gt;"",ISNUMBER(H184)),Q184,"")</f>
        <v/>
      </c>
      <c r="W184">
        <f>IF(AND(Q184&lt;&gt;"",ISNUMBER(I184)),Q184,"")</f>
        <v/>
      </c>
      <c r="X184">
        <f>IF(AND(Q184&lt;&gt;"",ISNUMBER(J184)),Q184,"")</f>
        <v/>
      </c>
      <c r="Y184">
        <f>IF(AND(Q184&lt;&gt;"",ISNUMBER(K184)),Q184,"")</f>
        <v/>
      </c>
      <c r="Z184">
        <f>IF(AND(Q184&lt;&gt;"",ISNUMBER(L184)),Q184,"")</f>
        <v/>
      </c>
      <c r="AA184">
        <f>IF(AND(Q184&lt;&gt;"",ISNUMBER(M184)),Q184,"")</f>
        <v/>
      </c>
      <c r="AB184">
        <f>IF(AND(Q184&lt;&gt;"",ISNUMBER(K184)),K184,"")</f>
        <v/>
      </c>
      <c r="AC184">
        <f>IF(AND(Q184&lt;&gt;"",ISNUMBER(L184)),L184,"")</f>
        <v/>
      </c>
      <c r="AD184">
        <f>IF(AND(Q184&lt;&gt;"",ISNUMBER(M184)),M184,"")</f>
        <v/>
      </c>
    </row>
    <row r="185">
      <c r="A185" s="1" t="n"/>
      <c r="B185" s="17" t="n"/>
      <c r="C185" s="27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9" t="n"/>
      <c r="N185" s="21" t="n"/>
      <c r="O185" s="12">
        <f>IF(AND(B185="",C185=""),"",IF(NOT(ISNUMBER(B185)),"Needs a date",IF(C185="","Needs a client",IF(COUNTIF(Clients!$B$6:$B$105,C185)=0,"Not on Clients",IF(COUNT(D185:M185)=0,"Nothing measured","")))))</f>
        <v/>
      </c>
      <c r="P185" s="1">
        <f>IF(AND(O185="",ISNUMBER(B185)),INT(B185),0)</f>
        <v/>
      </c>
      <c r="Q185">
        <f>IF(AND(P185&gt;0,C185=Report!$C$5),P185*10000+ROW(),"")</f>
        <v/>
      </c>
      <c r="R185">
        <f>IF(AND(Q185&lt;&gt;"",ISNUMBER(D185)),Q185,"")</f>
        <v/>
      </c>
      <c r="S185">
        <f>IF(AND(Q185&lt;&gt;"",ISNUMBER(E185)),Q185,"")</f>
        <v/>
      </c>
      <c r="T185">
        <f>IF(AND(Q185&lt;&gt;"",ISNUMBER(F185)),Q185,"")</f>
        <v/>
      </c>
      <c r="U185">
        <f>IF(AND(Q185&lt;&gt;"",ISNUMBER(G185)),Q185,"")</f>
        <v/>
      </c>
      <c r="V185">
        <f>IF(AND(Q185&lt;&gt;"",ISNUMBER(H185)),Q185,"")</f>
        <v/>
      </c>
      <c r="W185">
        <f>IF(AND(Q185&lt;&gt;"",ISNUMBER(I185)),Q185,"")</f>
        <v/>
      </c>
      <c r="X185">
        <f>IF(AND(Q185&lt;&gt;"",ISNUMBER(J185)),Q185,"")</f>
        <v/>
      </c>
      <c r="Y185">
        <f>IF(AND(Q185&lt;&gt;"",ISNUMBER(K185)),Q185,"")</f>
        <v/>
      </c>
      <c r="Z185">
        <f>IF(AND(Q185&lt;&gt;"",ISNUMBER(L185)),Q185,"")</f>
        <v/>
      </c>
      <c r="AA185">
        <f>IF(AND(Q185&lt;&gt;"",ISNUMBER(M185)),Q185,"")</f>
        <v/>
      </c>
      <c r="AB185">
        <f>IF(AND(Q185&lt;&gt;"",ISNUMBER(K185)),K185,"")</f>
        <v/>
      </c>
      <c r="AC185">
        <f>IF(AND(Q185&lt;&gt;"",ISNUMBER(L185)),L185,"")</f>
        <v/>
      </c>
      <c r="AD185">
        <f>IF(AND(Q185&lt;&gt;"",ISNUMBER(M185)),M185,"")</f>
        <v/>
      </c>
    </row>
    <row r="186">
      <c r="A186" s="1" t="n"/>
      <c r="B186" s="17" t="n"/>
      <c r="C186" s="27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9" t="n"/>
      <c r="N186" s="21" t="n"/>
      <c r="O186" s="12">
        <f>IF(AND(B186="",C186=""),"",IF(NOT(ISNUMBER(B186)),"Needs a date",IF(C186="","Needs a client",IF(COUNTIF(Clients!$B$6:$B$105,C186)=0,"Not on Clients",IF(COUNT(D186:M186)=0,"Nothing measured","")))))</f>
        <v/>
      </c>
      <c r="P186" s="1">
        <f>IF(AND(O186="",ISNUMBER(B186)),INT(B186),0)</f>
        <v/>
      </c>
      <c r="Q186">
        <f>IF(AND(P186&gt;0,C186=Report!$C$5),P186*10000+ROW(),"")</f>
        <v/>
      </c>
      <c r="R186">
        <f>IF(AND(Q186&lt;&gt;"",ISNUMBER(D186)),Q186,"")</f>
        <v/>
      </c>
      <c r="S186">
        <f>IF(AND(Q186&lt;&gt;"",ISNUMBER(E186)),Q186,"")</f>
        <v/>
      </c>
      <c r="T186">
        <f>IF(AND(Q186&lt;&gt;"",ISNUMBER(F186)),Q186,"")</f>
        <v/>
      </c>
      <c r="U186">
        <f>IF(AND(Q186&lt;&gt;"",ISNUMBER(G186)),Q186,"")</f>
        <v/>
      </c>
      <c r="V186">
        <f>IF(AND(Q186&lt;&gt;"",ISNUMBER(H186)),Q186,"")</f>
        <v/>
      </c>
      <c r="W186">
        <f>IF(AND(Q186&lt;&gt;"",ISNUMBER(I186)),Q186,"")</f>
        <v/>
      </c>
      <c r="X186">
        <f>IF(AND(Q186&lt;&gt;"",ISNUMBER(J186)),Q186,"")</f>
        <v/>
      </c>
      <c r="Y186">
        <f>IF(AND(Q186&lt;&gt;"",ISNUMBER(K186)),Q186,"")</f>
        <v/>
      </c>
      <c r="Z186">
        <f>IF(AND(Q186&lt;&gt;"",ISNUMBER(L186)),Q186,"")</f>
        <v/>
      </c>
      <c r="AA186">
        <f>IF(AND(Q186&lt;&gt;"",ISNUMBER(M186)),Q186,"")</f>
        <v/>
      </c>
      <c r="AB186">
        <f>IF(AND(Q186&lt;&gt;"",ISNUMBER(K186)),K186,"")</f>
        <v/>
      </c>
      <c r="AC186">
        <f>IF(AND(Q186&lt;&gt;"",ISNUMBER(L186)),L186,"")</f>
        <v/>
      </c>
      <c r="AD186">
        <f>IF(AND(Q186&lt;&gt;"",ISNUMBER(M186)),M186,"")</f>
        <v/>
      </c>
    </row>
    <row r="187">
      <c r="A187" s="1" t="n"/>
      <c r="B187" s="17" t="n"/>
      <c r="C187" s="27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9" t="n"/>
      <c r="N187" s="21" t="n"/>
      <c r="O187" s="12">
        <f>IF(AND(B187="",C187=""),"",IF(NOT(ISNUMBER(B187)),"Needs a date",IF(C187="","Needs a client",IF(COUNTIF(Clients!$B$6:$B$105,C187)=0,"Not on Clients",IF(COUNT(D187:M187)=0,"Nothing measured","")))))</f>
        <v/>
      </c>
      <c r="P187" s="1">
        <f>IF(AND(O187="",ISNUMBER(B187)),INT(B187),0)</f>
        <v/>
      </c>
      <c r="Q187">
        <f>IF(AND(P187&gt;0,C187=Report!$C$5),P187*10000+ROW(),"")</f>
        <v/>
      </c>
      <c r="R187">
        <f>IF(AND(Q187&lt;&gt;"",ISNUMBER(D187)),Q187,"")</f>
        <v/>
      </c>
      <c r="S187">
        <f>IF(AND(Q187&lt;&gt;"",ISNUMBER(E187)),Q187,"")</f>
        <v/>
      </c>
      <c r="T187">
        <f>IF(AND(Q187&lt;&gt;"",ISNUMBER(F187)),Q187,"")</f>
        <v/>
      </c>
      <c r="U187">
        <f>IF(AND(Q187&lt;&gt;"",ISNUMBER(G187)),Q187,"")</f>
        <v/>
      </c>
      <c r="V187">
        <f>IF(AND(Q187&lt;&gt;"",ISNUMBER(H187)),Q187,"")</f>
        <v/>
      </c>
      <c r="W187">
        <f>IF(AND(Q187&lt;&gt;"",ISNUMBER(I187)),Q187,"")</f>
        <v/>
      </c>
      <c r="X187">
        <f>IF(AND(Q187&lt;&gt;"",ISNUMBER(J187)),Q187,"")</f>
        <v/>
      </c>
      <c r="Y187">
        <f>IF(AND(Q187&lt;&gt;"",ISNUMBER(K187)),Q187,"")</f>
        <v/>
      </c>
      <c r="Z187">
        <f>IF(AND(Q187&lt;&gt;"",ISNUMBER(L187)),Q187,"")</f>
        <v/>
      </c>
      <c r="AA187">
        <f>IF(AND(Q187&lt;&gt;"",ISNUMBER(M187)),Q187,"")</f>
        <v/>
      </c>
      <c r="AB187">
        <f>IF(AND(Q187&lt;&gt;"",ISNUMBER(K187)),K187,"")</f>
        <v/>
      </c>
      <c r="AC187">
        <f>IF(AND(Q187&lt;&gt;"",ISNUMBER(L187)),L187,"")</f>
        <v/>
      </c>
      <c r="AD187">
        <f>IF(AND(Q187&lt;&gt;"",ISNUMBER(M187)),M187,"")</f>
        <v/>
      </c>
    </row>
    <row r="188">
      <c r="A188" s="1" t="n"/>
      <c r="B188" s="17" t="n"/>
      <c r="C188" s="27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9" t="n"/>
      <c r="N188" s="21" t="n"/>
      <c r="O188" s="12">
        <f>IF(AND(B188="",C188=""),"",IF(NOT(ISNUMBER(B188)),"Needs a date",IF(C188="","Needs a client",IF(COUNTIF(Clients!$B$6:$B$105,C188)=0,"Not on Clients",IF(COUNT(D188:M188)=0,"Nothing measured","")))))</f>
        <v/>
      </c>
      <c r="P188" s="1">
        <f>IF(AND(O188="",ISNUMBER(B188)),INT(B188),0)</f>
        <v/>
      </c>
      <c r="Q188">
        <f>IF(AND(P188&gt;0,C188=Report!$C$5),P188*10000+ROW(),"")</f>
        <v/>
      </c>
      <c r="R188">
        <f>IF(AND(Q188&lt;&gt;"",ISNUMBER(D188)),Q188,"")</f>
        <v/>
      </c>
      <c r="S188">
        <f>IF(AND(Q188&lt;&gt;"",ISNUMBER(E188)),Q188,"")</f>
        <v/>
      </c>
      <c r="T188">
        <f>IF(AND(Q188&lt;&gt;"",ISNUMBER(F188)),Q188,"")</f>
        <v/>
      </c>
      <c r="U188">
        <f>IF(AND(Q188&lt;&gt;"",ISNUMBER(G188)),Q188,"")</f>
        <v/>
      </c>
      <c r="V188">
        <f>IF(AND(Q188&lt;&gt;"",ISNUMBER(H188)),Q188,"")</f>
        <v/>
      </c>
      <c r="W188">
        <f>IF(AND(Q188&lt;&gt;"",ISNUMBER(I188)),Q188,"")</f>
        <v/>
      </c>
      <c r="X188">
        <f>IF(AND(Q188&lt;&gt;"",ISNUMBER(J188)),Q188,"")</f>
        <v/>
      </c>
      <c r="Y188">
        <f>IF(AND(Q188&lt;&gt;"",ISNUMBER(K188)),Q188,"")</f>
        <v/>
      </c>
      <c r="Z188">
        <f>IF(AND(Q188&lt;&gt;"",ISNUMBER(L188)),Q188,"")</f>
        <v/>
      </c>
      <c r="AA188">
        <f>IF(AND(Q188&lt;&gt;"",ISNUMBER(M188)),Q188,"")</f>
        <v/>
      </c>
      <c r="AB188">
        <f>IF(AND(Q188&lt;&gt;"",ISNUMBER(K188)),K188,"")</f>
        <v/>
      </c>
      <c r="AC188">
        <f>IF(AND(Q188&lt;&gt;"",ISNUMBER(L188)),L188,"")</f>
        <v/>
      </c>
      <c r="AD188">
        <f>IF(AND(Q188&lt;&gt;"",ISNUMBER(M188)),M188,"")</f>
        <v/>
      </c>
    </row>
    <row r="189">
      <c r="A189" s="1" t="n"/>
      <c r="B189" s="17" t="n"/>
      <c r="C189" s="27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9" t="n"/>
      <c r="N189" s="21" t="n"/>
      <c r="O189" s="12">
        <f>IF(AND(B189="",C189=""),"",IF(NOT(ISNUMBER(B189)),"Needs a date",IF(C189="","Needs a client",IF(COUNTIF(Clients!$B$6:$B$105,C189)=0,"Not on Clients",IF(COUNT(D189:M189)=0,"Nothing measured","")))))</f>
        <v/>
      </c>
      <c r="P189" s="1">
        <f>IF(AND(O189="",ISNUMBER(B189)),INT(B189),0)</f>
        <v/>
      </c>
      <c r="Q189">
        <f>IF(AND(P189&gt;0,C189=Report!$C$5),P189*10000+ROW(),"")</f>
        <v/>
      </c>
      <c r="R189">
        <f>IF(AND(Q189&lt;&gt;"",ISNUMBER(D189)),Q189,"")</f>
        <v/>
      </c>
      <c r="S189">
        <f>IF(AND(Q189&lt;&gt;"",ISNUMBER(E189)),Q189,"")</f>
        <v/>
      </c>
      <c r="T189">
        <f>IF(AND(Q189&lt;&gt;"",ISNUMBER(F189)),Q189,"")</f>
        <v/>
      </c>
      <c r="U189">
        <f>IF(AND(Q189&lt;&gt;"",ISNUMBER(G189)),Q189,"")</f>
        <v/>
      </c>
      <c r="V189">
        <f>IF(AND(Q189&lt;&gt;"",ISNUMBER(H189)),Q189,"")</f>
        <v/>
      </c>
      <c r="W189">
        <f>IF(AND(Q189&lt;&gt;"",ISNUMBER(I189)),Q189,"")</f>
        <v/>
      </c>
      <c r="X189">
        <f>IF(AND(Q189&lt;&gt;"",ISNUMBER(J189)),Q189,"")</f>
        <v/>
      </c>
      <c r="Y189">
        <f>IF(AND(Q189&lt;&gt;"",ISNUMBER(K189)),Q189,"")</f>
        <v/>
      </c>
      <c r="Z189">
        <f>IF(AND(Q189&lt;&gt;"",ISNUMBER(L189)),Q189,"")</f>
        <v/>
      </c>
      <c r="AA189">
        <f>IF(AND(Q189&lt;&gt;"",ISNUMBER(M189)),Q189,"")</f>
        <v/>
      </c>
      <c r="AB189">
        <f>IF(AND(Q189&lt;&gt;"",ISNUMBER(K189)),K189,"")</f>
        <v/>
      </c>
      <c r="AC189">
        <f>IF(AND(Q189&lt;&gt;"",ISNUMBER(L189)),L189,"")</f>
        <v/>
      </c>
      <c r="AD189">
        <f>IF(AND(Q189&lt;&gt;"",ISNUMBER(M189)),M189,"")</f>
        <v/>
      </c>
    </row>
    <row r="190">
      <c r="A190" s="1" t="n"/>
      <c r="B190" s="17" t="n"/>
      <c r="C190" s="27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9" t="n"/>
      <c r="N190" s="21" t="n"/>
      <c r="O190" s="12">
        <f>IF(AND(B190="",C190=""),"",IF(NOT(ISNUMBER(B190)),"Needs a date",IF(C190="","Needs a client",IF(COUNTIF(Clients!$B$6:$B$105,C190)=0,"Not on Clients",IF(COUNT(D190:M190)=0,"Nothing measured","")))))</f>
        <v/>
      </c>
      <c r="P190" s="1">
        <f>IF(AND(O190="",ISNUMBER(B190)),INT(B190),0)</f>
        <v/>
      </c>
      <c r="Q190">
        <f>IF(AND(P190&gt;0,C190=Report!$C$5),P190*10000+ROW(),"")</f>
        <v/>
      </c>
      <c r="R190">
        <f>IF(AND(Q190&lt;&gt;"",ISNUMBER(D190)),Q190,"")</f>
        <v/>
      </c>
      <c r="S190">
        <f>IF(AND(Q190&lt;&gt;"",ISNUMBER(E190)),Q190,"")</f>
        <v/>
      </c>
      <c r="T190">
        <f>IF(AND(Q190&lt;&gt;"",ISNUMBER(F190)),Q190,"")</f>
        <v/>
      </c>
      <c r="U190">
        <f>IF(AND(Q190&lt;&gt;"",ISNUMBER(G190)),Q190,"")</f>
        <v/>
      </c>
      <c r="V190">
        <f>IF(AND(Q190&lt;&gt;"",ISNUMBER(H190)),Q190,"")</f>
        <v/>
      </c>
      <c r="W190">
        <f>IF(AND(Q190&lt;&gt;"",ISNUMBER(I190)),Q190,"")</f>
        <v/>
      </c>
      <c r="X190">
        <f>IF(AND(Q190&lt;&gt;"",ISNUMBER(J190)),Q190,"")</f>
        <v/>
      </c>
      <c r="Y190">
        <f>IF(AND(Q190&lt;&gt;"",ISNUMBER(K190)),Q190,"")</f>
        <v/>
      </c>
      <c r="Z190">
        <f>IF(AND(Q190&lt;&gt;"",ISNUMBER(L190)),Q190,"")</f>
        <v/>
      </c>
      <c r="AA190">
        <f>IF(AND(Q190&lt;&gt;"",ISNUMBER(M190)),Q190,"")</f>
        <v/>
      </c>
      <c r="AB190">
        <f>IF(AND(Q190&lt;&gt;"",ISNUMBER(K190)),K190,"")</f>
        <v/>
      </c>
      <c r="AC190">
        <f>IF(AND(Q190&lt;&gt;"",ISNUMBER(L190)),L190,"")</f>
        <v/>
      </c>
      <c r="AD190">
        <f>IF(AND(Q190&lt;&gt;"",ISNUMBER(M190)),M190,"")</f>
        <v/>
      </c>
    </row>
    <row r="191">
      <c r="A191" s="1" t="n"/>
      <c r="B191" s="17" t="n"/>
      <c r="C191" s="27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9" t="n"/>
      <c r="N191" s="21" t="n"/>
      <c r="O191" s="12">
        <f>IF(AND(B191="",C191=""),"",IF(NOT(ISNUMBER(B191)),"Needs a date",IF(C191="","Needs a client",IF(COUNTIF(Clients!$B$6:$B$105,C191)=0,"Not on Clients",IF(COUNT(D191:M191)=0,"Nothing measured","")))))</f>
        <v/>
      </c>
      <c r="P191" s="1">
        <f>IF(AND(O191="",ISNUMBER(B191)),INT(B191),0)</f>
        <v/>
      </c>
      <c r="Q191">
        <f>IF(AND(P191&gt;0,C191=Report!$C$5),P191*10000+ROW(),"")</f>
        <v/>
      </c>
      <c r="R191">
        <f>IF(AND(Q191&lt;&gt;"",ISNUMBER(D191)),Q191,"")</f>
        <v/>
      </c>
      <c r="S191">
        <f>IF(AND(Q191&lt;&gt;"",ISNUMBER(E191)),Q191,"")</f>
        <v/>
      </c>
      <c r="T191">
        <f>IF(AND(Q191&lt;&gt;"",ISNUMBER(F191)),Q191,"")</f>
        <v/>
      </c>
      <c r="U191">
        <f>IF(AND(Q191&lt;&gt;"",ISNUMBER(G191)),Q191,"")</f>
        <v/>
      </c>
      <c r="V191">
        <f>IF(AND(Q191&lt;&gt;"",ISNUMBER(H191)),Q191,"")</f>
        <v/>
      </c>
      <c r="W191">
        <f>IF(AND(Q191&lt;&gt;"",ISNUMBER(I191)),Q191,"")</f>
        <v/>
      </c>
      <c r="X191">
        <f>IF(AND(Q191&lt;&gt;"",ISNUMBER(J191)),Q191,"")</f>
        <v/>
      </c>
      <c r="Y191">
        <f>IF(AND(Q191&lt;&gt;"",ISNUMBER(K191)),Q191,"")</f>
        <v/>
      </c>
      <c r="Z191">
        <f>IF(AND(Q191&lt;&gt;"",ISNUMBER(L191)),Q191,"")</f>
        <v/>
      </c>
      <c r="AA191">
        <f>IF(AND(Q191&lt;&gt;"",ISNUMBER(M191)),Q191,"")</f>
        <v/>
      </c>
      <c r="AB191">
        <f>IF(AND(Q191&lt;&gt;"",ISNUMBER(K191)),K191,"")</f>
        <v/>
      </c>
      <c r="AC191">
        <f>IF(AND(Q191&lt;&gt;"",ISNUMBER(L191)),L191,"")</f>
        <v/>
      </c>
      <c r="AD191">
        <f>IF(AND(Q191&lt;&gt;"",ISNUMBER(M191)),M191,"")</f>
        <v/>
      </c>
    </row>
    <row r="192">
      <c r="A192" s="1" t="n"/>
      <c r="B192" s="17" t="n"/>
      <c r="C192" s="27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9" t="n"/>
      <c r="N192" s="21" t="n"/>
      <c r="O192" s="12">
        <f>IF(AND(B192="",C192=""),"",IF(NOT(ISNUMBER(B192)),"Needs a date",IF(C192="","Needs a client",IF(COUNTIF(Clients!$B$6:$B$105,C192)=0,"Not on Clients",IF(COUNT(D192:M192)=0,"Nothing measured","")))))</f>
        <v/>
      </c>
      <c r="P192" s="1">
        <f>IF(AND(O192="",ISNUMBER(B192)),INT(B192),0)</f>
        <v/>
      </c>
      <c r="Q192">
        <f>IF(AND(P192&gt;0,C192=Report!$C$5),P192*10000+ROW(),"")</f>
        <v/>
      </c>
      <c r="R192">
        <f>IF(AND(Q192&lt;&gt;"",ISNUMBER(D192)),Q192,"")</f>
        <v/>
      </c>
      <c r="S192">
        <f>IF(AND(Q192&lt;&gt;"",ISNUMBER(E192)),Q192,"")</f>
        <v/>
      </c>
      <c r="T192">
        <f>IF(AND(Q192&lt;&gt;"",ISNUMBER(F192)),Q192,"")</f>
        <v/>
      </c>
      <c r="U192">
        <f>IF(AND(Q192&lt;&gt;"",ISNUMBER(G192)),Q192,"")</f>
        <v/>
      </c>
      <c r="V192">
        <f>IF(AND(Q192&lt;&gt;"",ISNUMBER(H192)),Q192,"")</f>
        <v/>
      </c>
      <c r="W192">
        <f>IF(AND(Q192&lt;&gt;"",ISNUMBER(I192)),Q192,"")</f>
        <v/>
      </c>
      <c r="X192">
        <f>IF(AND(Q192&lt;&gt;"",ISNUMBER(J192)),Q192,"")</f>
        <v/>
      </c>
      <c r="Y192">
        <f>IF(AND(Q192&lt;&gt;"",ISNUMBER(K192)),Q192,"")</f>
        <v/>
      </c>
      <c r="Z192">
        <f>IF(AND(Q192&lt;&gt;"",ISNUMBER(L192)),Q192,"")</f>
        <v/>
      </c>
      <c r="AA192">
        <f>IF(AND(Q192&lt;&gt;"",ISNUMBER(M192)),Q192,"")</f>
        <v/>
      </c>
      <c r="AB192">
        <f>IF(AND(Q192&lt;&gt;"",ISNUMBER(K192)),K192,"")</f>
        <v/>
      </c>
      <c r="AC192">
        <f>IF(AND(Q192&lt;&gt;"",ISNUMBER(L192)),L192,"")</f>
        <v/>
      </c>
      <c r="AD192">
        <f>IF(AND(Q192&lt;&gt;"",ISNUMBER(M192)),M192,"")</f>
        <v/>
      </c>
    </row>
    <row r="193">
      <c r="A193" s="1" t="n"/>
      <c r="B193" s="17" t="n"/>
      <c r="C193" s="27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9" t="n"/>
      <c r="N193" s="21" t="n"/>
      <c r="O193" s="12">
        <f>IF(AND(B193="",C193=""),"",IF(NOT(ISNUMBER(B193)),"Needs a date",IF(C193="","Needs a client",IF(COUNTIF(Clients!$B$6:$B$105,C193)=0,"Not on Clients",IF(COUNT(D193:M193)=0,"Nothing measured","")))))</f>
        <v/>
      </c>
      <c r="P193" s="1">
        <f>IF(AND(O193="",ISNUMBER(B193)),INT(B193),0)</f>
        <v/>
      </c>
      <c r="Q193">
        <f>IF(AND(P193&gt;0,C193=Report!$C$5),P193*10000+ROW(),"")</f>
        <v/>
      </c>
      <c r="R193">
        <f>IF(AND(Q193&lt;&gt;"",ISNUMBER(D193)),Q193,"")</f>
        <v/>
      </c>
      <c r="S193">
        <f>IF(AND(Q193&lt;&gt;"",ISNUMBER(E193)),Q193,"")</f>
        <v/>
      </c>
      <c r="T193">
        <f>IF(AND(Q193&lt;&gt;"",ISNUMBER(F193)),Q193,"")</f>
        <v/>
      </c>
      <c r="U193">
        <f>IF(AND(Q193&lt;&gt;"",ISNUMBER(G193)),Q193,"")</f>
        <v/>
      </c>
      <c r="V193">
        <f>IF(AND(Q193&lt;&gt;"",ISNUMBER(H193)),Q193,"")</f>
        <v/>
      </c>
      <c r="W193">
        <f>IF(AND(Q193&lt;&gt;"",ISNUMBER(I193)),Q193,"")</f>
        <v/>
      </c>
      <c r="X193">
        <f>IF(AND(Q193&lt;&gt;"",ISNUMBER(J193)),Q193,"")</f>
        <v/>
      </c>
      <c r="Y193">
        <f>IF(AND(Q193&lt;&gt;"",ISNUMBER(K193)),Q193,"")</f>
        <v/>
      </c>
      <c r="Z193">
        <f>IF(AND(Q193&lt;&gt;"",ISNUMBER(L193)),Q193,"")</f>
        <v/>
      </c>
      <c r="AA193">
        <f>IF(AND(Q193&lt;&gt;"",ISNUMBER(M193)),Q193,"")</f>
        <v/>
      </c>
      <c r="AB193">
        <f>IF(AND(Q193&lt;&gt;"",ISNUMBER(K193)),K193,"")</f>
        <v/>
      </c>
      <c r="AC193">
        <f>IF(AND(Q193&lt;&gt;"",ISNUMBER(L193)),L193,"")</f>
        <v/>
      </c>
      <c r="AD193">
        <f>IF(AND(Q193&lt;&gt;"",ISNUMBER(M193)),M193,"")</f>
        <v/>
      </c>
    </row>
    <row r="194">
      <c r="A194" s="1" t="n"/>
      <c r="B194" s="17" t="n"/>
      <c r="C194" s="27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9" t="n"/>
      <c r="N194" s="21" t="n"/>
      <c r="O194" s="12">
        <f>IF(AND(B194="",C194=""),"",IF(NOT(ISNUMBER(B194)),"Needs a date",IF(C194="","Needs a client",IF(COUNTIF(Clients!$B$6:$B$105,C194)=0,"Not on Clients",IF(COUNT(D194:M194)=0,"Nothing measured","")))))</f>
        <v/>
      </c>
      <c r="P194" s="1">
        <f>IF(AND(O194="",ISNUMBER(B194)),INT(B194),0)</f>
        <v/>
      </c>
      <c r="Q194">
        <f>IF(AND(P194&gt;0,C194=Report!$C$5),P194*10000+ROW(),"")</f>
        <v/>
      </c>
      <c r="R194">
        <f>IF(AND(Q194&lt;&gt;"",ISNUMBER(D194)),Q194,"")</f>
        <v/>
      </c>
      <c r="S194">
        <f>IF(AND(Q194&lt;&gt;"",ISNUMBER(E194)),Q194,"")</f>
        <v/>
      </c>
      <c r="T194">
        <f>IF(AND(Q194&lt;&gt;"",ISNUMBER(F194)),Q194,"")</f>
        <v/>
      </c>
      <c r="U194">
        <f>IF(AND(Q194&lt;&gt;"",ISNUMBER(G194)),Q194,"")</f>
        <v/>
      </c>
      <c r="V194">
        <f>IF(AND(Q194&lt;&gt;"",ISNUMBER(H194)),Q194,"")</f>
        <v/>
      </c>
      <c r="W194">
        <f>IF(AND(Q194&lt;&gt;"",ISNUMBER(I194)),Q194,"")</f>
        <v/>
      </c>
      <c r="X194">
        <f>IF(AND(Q194&lt;&gt;"",ISNUMBER(J194)),Q194,"")</f>
        <v/>
      </c>
      <c r="Y194">
        <f>IF(AND(Q194&lt;&gt;"",ISNUMBER(K194)),Q194,"")</f>
        <v/>
      </c>
      <c r="Z194">
        <f>IF(AND(Q194&lt;&gt;"",ISNUMBER(L194)),Q194,"")</f>
        <v/>
      </c>
      <c r="AA194">
        <f>IF(AND(Q194&lt;&gt;"",ISNUMBER(M194)),Q194,"")</f>
        <v/>
      </c>
      <c r="AB194">
        <f>IF(AND(Q194&lt;&gt;"",ISNUMBER(K194)),K194,"")</f>
        <v/>
      </c>
      <c r="AC194">
        <f>IF(AND(Q194&lt;&gt;"",ISNUMBER(L194)),L194,"")</f>
        <v/>
      </c>
      <c r="AD194">
        <f>IF(AND(Q194&lt;&gt;"",ISNUMBER(M194)),M194,"")</f>
        <v/>
      </c>
    </row>
    <row r="195">
      <c r="A195" s="1" t="n"/>
      <c r="B195" s="17" t="n"/>
      <c r="C195" s="27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9" t="n"/>
      <c r="N195" s="21" t="n"/>
      <c r="O195" s="12">
        <f>IF(AND(B195="",C195=""),"",IF(NOT(ISNUMBER(B195)),"Needs a date",IF(C195="","Needs a client",IF(COUNTIF(Clients!$B$6:$B$105,C195)=0,"Not on Clients",IF(COUNT(D195:M195)=0,"Nothing measured","")))))</f>
        <v/>
      </c>
      <c r="P195" s="1">
        <f>IF(AND(O195="",ISNUMBER(B195)),INT(B195),0)</f>
        <v/>
      </c>
      <c r="Q195">
        <f>IF(AND(P195&gt;0,C195=Report!$C$5),P195*10000+ROW(),"")</f>
        <v/>
      </c>
      <c r="R195">
        <f>IF(AND(Q195&lt;&gt;"",ISNUMBER(D195)),Q195,"")</f>
        <v/>
      </c>
      <c r="S195">
        <f>IF(AND(Q195&lt;&gt;"",ISNUMBER(E195)),Q195,"")</f>
        <v/>
      </c>
      <c r="T195">
        <f>IF(AND(Q195&lt;&gt;"",ISNUMBER(F195)),Q195,"")</f>
        <v/>
      </c>
      <c r="U195">
        <f>IF(AND(Q195&lt;&gt;"",ISNUMBER(G195)),Q195,"")</f>
        <v/>
      </c>
      <c r="V195">
        <f>IF(AND(Q195&lt;&gt;"",ISNUMBER(H195)),Q195,"")</f>
        <v/>
      </c>
      <c r="W195">
        <f>IF(AND(Q195&lt;&gt;"",ISNUMBER(I195)),Q195,"")</f>
        <v/>
      </c>
      <c r="X195">
        <f>IF(AND(Q195&lt;&gt;"",ISNUMBER(J195)),Q195,"")</f>
        <v/>
      </c>
      <c r="Y195">
        <f>IF(AND(Q195&lt;&gt;"",ISNUMBER(K195)),Q195,"")</f>
        <v/>
      </c>
      <c r="Z195">
        <f>IF(AND(Q195&lt;&gt;"",ISNUMBER(L195)),Q195,"")</f>
        <v/>
      </c>
      <c r="AA195">
        <f>IF(AND(Q195&lt;&gt;"",ISNUMBER(M195)),Q195,"")</f>
        <v/>
      </c>
      <c r="AB195">
        <f>IF(AND(Q195&lt;&gt;"",ISNUMBER(K195)),K195,"")</f>
        <v/>
      </c>
      <c r="AC195">
        <f>IF(AND(Q195&lt;&gt;"",ISNUMBER(L195)),L195,"")</f>
        <v/>
      </c>
      <c r="AD195">
        <f>IF(AND(Q195&lt;&gt;"",ISNUMBER(M195)),M195,"")</f>
        <v/>
      </c>
    </row>
    <row r="196">
      <c r="A196" s="1" t="n"/>
      <c r="B196" s="17" t="n"/>
      <c r="C196" s="27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9" t="n"/>
      <c r="N196" s="21" t="n"/>
      <c r="O196" s="12">
        <f>IF(AND(B196="",C196=""),"",IF(NOT(ISNUMBER(B196)),"Needs a date",IF(C196="","Needs a client",IF(COUNTIF(Clients!$B$6:$B$105,C196)=0,"Not on Clients",IF(COUNT(D196:M196)=0,"Nothing measured","")))))</f>
        <v/>
      </c>
      <c r="P196" s="1">
        <f>IF(AND(O196="",ISNUMBER(B196)),INT(B196),0)</f>
        <v/>
      </c>
      <c r="Q196">
        <f>IF(AND(P196&gt;0,C196=Report!$C$5),P196*10000+ROW(),"")</f>
        <v/>
      </c>
      <c r="R196">
        <f>IF(AND(Q196&lt;&gt;"",ISNUMBER(D196)),Q196,"")</f>
        <v/>
      </c>
      <c r="S196">
        <f>IF(AND(Q196&lt;&gt;"",ISNUMBER(E196)),Q196,"")</f>
        <v/>
      </c>
      <c r="T196">
        <f>IF(AND(Q196&lt;&gt;"",ISNUMBER(F196)),Q196,"")</f>
        <v/>
      </c>
      <c r="U196">
        <f>IF(AND(Q196&lt;&gt;"",ISNUMBER(G196)),Q196,"")</f>
        <v/>
      </c>
      <c r="V196">
        <f>IF(AND(Q196&lt;&gt;"",ISNUMBER(H196)),Q196,"")</f>
        <v/>
      </c>
      <c r="W196">
        <f>IF(AND(Q196&lt;&gt;"",ISNUMBER(I196)),Q196,"")</f>
        <v/>
      </c>
      <c r="X196">
        <f>IF(AND(Q196&lt;&gt;"",ISNUMBER(J196)),Q196,"")</f>
        <v/>
      </c>
      <c r="Y196">
        <f>IF(AND(Q196&lt;&gt;"",ISNUMBER(K196)),Q196,"")</f>
        <v/>
      </c>
      <c r="Z196">
        <f>IF(AND(Q196&lt;&gt;"",ISNUMBER(L196)),Q196,"")</f>
        <v/>
      </c>
      <c r="AA196">
        <f>IF(AND(Q196&lt;&gt;"",ISNUMBER(M196)),Q196,"")</f>
        <v/>
      </c>
      <c r="AB196">
        <f>IF(AND(Q196&lt;&gt;"",ISNUMBER(K196)),K196,"")</f>
        <v/>
      </c>
      <c r="AC196">
        <f>IF(AND(Q196&lt;&gt;"",ISNUMBER(L196)),L196,"")</f>
        <v/>
      </c>
      <c r="AD196">
        <f>IF(AND(Q196&lt;&gt;"",ISNUMBER(M196)),M196,"")</f>
        <v/>
      </c>
    </row>
    <row r="197">
      <c r="A197" s="1" t="n"/>
      <c r="B197" s="17" t="n"/>
      <c r="C197" s="27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9" t="n"/>
      <c r="N197" s="21" t="n"/>
      <c r="O197" s="12">
        <f>IF(AND(B197="",C197=""),"",IF(NOT(ISNUMBER(B197)),"Needs a date",IF(C197="","Needs a client",IF(COUNTIF(Clients!$B$6:$B$105,C197)=0,"Not on Clients",IF(COUNT(D197:M197)=0,"Nothing measured","")))))</f>
        <v/>
      </c>
      <c r="P197" s="1">
        <f>IF(AND(O197="",ISNUMBER(B197)),INT(B197),0)</f>
        <v/>
      </c>
      <c r="Q197">
        <f>IF(AND(P197&gt;0,C197=Report!$C$5),P197*10000+ROW(),"")</f>
        <v/>
      </c>
      <c r="R197">
        <f>IF(AND(Q197&lt;&gt;"",ISNUMBER(D197)),Q197,"")</f>
        <v/>
      </c>
      <c r="S197">
        <f>IF(AND(Q197&lt;&gt;"",ISNUMBER(E197)),Q197,"")</f>
        <v/>
      </c>
      <c r="T197">
        <f>IF(AND(Q197&lt;&gt;"",ISNUMBER(F197)),Q197,"")</f>
        <v/>
      </c>
      <c r="U197">
        <f>IF(AND(Q197&lt;&gt;"",ISNUMBER(G197)),Q197,"")</f>
        <v/>
      </c>
      <c r="V197">
        <f>IF(AND(Q197&lt;&gt;"",ISNUMBER(H197)),Q197,"")</f>
        <v/>
      </c>
      <c r="W197">
        <f>IF(AND(Q197&lt;&gt;"",ISNUMBER(I197)),Q197,"")</f>
        <v/>
      </c>
      <c r="X197">
        <f>IF(AND(Q197&lt;&gt;"",ISNUMBER(J197)),Q197,"")</f>
        <v/>
      </c>
      <c r="Y197">
        <f>IF(AND(Q197&lt;&gt;"",ISNUMBER(K197)),Q197,"")</f>
        <v/>
      </c>
      <c r="Z197">
        <f>IF(AND(Q197&lt;&gt;"",ISNUMBER(L197)),Q197,"")</f>
        <v/>
      </c>
      <c r="AA197">
        <f>IF(AND(Q197&lt;&gt;"",ISNUMBER(M197)),Q197,"")</f>
        <v/>
      </c>
      <c r="AB197">
        <f>IF(AND(Q197&lt;&gt;"",ISNUMBER(K197)),K197,"")</f>
        <v/>
      </c>
      <c r="AC197">
        <f>IF(AND(Q197&lt;&gt;"",ISNUMBER(L197)),L197,"")</f>
        <v/>
      </c>
      <c r="AD197">
        <f>IF(AND(Q197&lt;&gt;"",ISNUMBER(M197)),M197,"")</f>
        <v/>
      </c>
    </row>
    <row r="198">
      <c r="A198" s="1" t="n"/>
      <c r="B198" s="17" t="n"/>
      <c r="C198" s="27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9" t="n"/>
      <c r="N198" s="21" t="n"/>
      <c r="O198" s="12">
        <f>IF(AND(B198="",C198=""),"",IF(NOT(ISNUMBER(B198)),"Needs a date",IF(C198="","Needs a client",IF(COUNTIF(Clients!$B$6:$B$105,C198)=0,"Not on Clients",IF(COUNT(D198:M198)=0,"Nothing measured","")))))</f>
        <v/>
      </c>
      <c r="P198" s="1">
        <f>IF(AND(O198="",ISNUMBER(B198)),INT(B198),0)</f>
        <v/>
      </c>
      <c r="Q198">
        <f>IF(AND(P198&gt;0,C198=Report!$C$5),P198*10000+ROW(),"")</f>
        <v/>
      </c>
      <c r="R198">
        <f>IF(AND(Q198&lt;&gt;"",ISNUMBER(D198)),Q198,"")</f>
        <v/>
      </c>
      <c r="S198">
        <f>IF(AND(Q198&lt;&gt;"",ISNUMBER(E198)),Q198,"")</f>
        <v/>
      </c>
      <c r="T198">
        <f>IF(AND(Q198&lt;&gt;"",ISNUMBER(F198)),Q198,"")</f>
        <v/>
      </c>
      <c r="U198">
        <f>IF(AND(Q198&lt;&gt;"",ISNUMBER(G198)),Q198,"")</f>
        <v/>
      </c>
      <c r="V198">
        <f>IF(AND(Q198&lt;&gt;"",ISNUMBER(H198)),Q198,"")</f>
        <v/>
      </c>
      <c r="W198">
        <f>IF(AND(Q198&lt;&gt;"",ISNUMBER(I198)),Q198,"")</f>
        <v/>
      </c>
      <c r="X198">
        <f>IF(AND(Q198&lt;&gt;"",ISNUMBER(J198)),Q198,"")</f>
        <v/>
      </c>
      <c r="Y198">
        <f>IF(AND(Q198&lt;&gt;"",ISNUMBER(K198)),Q198,"")</f>
        <v/>
      </c>
      <c r="Z198">
        <f>IF(AND(Q198&lt;&gt;"",ISNUMBER(L198)),Q198,"")</f>
        <v/>
      </c>
      <c r="AA198">
        <f>IF(AND(Q198&lt;&gt;"",ISNUMBER(M198)),Q198,"")</f>
        <v/>
      </c>
      <c r="AB198">
        <f>IF(AND(Q198&lt;&gt;"",ISNUMBER(K198)),K198,"")</f>
        <v/>
      </c>
      <c r="AC198">
        <f>IF(AND(Q198&lt;&gt;"",ISNUMBER(L198)),L198,"")</f>
        <v/>
      </c>
      <c r="AD198">
        <f>IF(AND(Q198&lt;&gt;"",ISNUMBER(M198)),M198,"")</f>
        <v/>
      </c>
    </row>
    <row r="199">
      <c r="A199" s="1" t="n"/>
      <c r="B199" s="17" t="n"/>
      <c r="C199" s="27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9" t="n"/>
      <c r="N199" s="21" t="n"/>
      <c r="O199" s="12">
        <f>IF(AND(B199="",C199=""),"",IF(NOT(ISNUMBER(B199)),"Needs a date",IF(C199="","Needs a client",IF(COUNTIF(Clients!$B$6:$B$105,C199)=0,"Not on Clients",IF(COUNT(D199:M199)=0,"Nothing measured","")))))</f>
        <v/>
      </c>
      <c r="P199" s="1">
        <f>IF(AND(O199="",ISNUMBER(B199)),INT(B199),0)</f>
        <v/>
      </c>
      <c r="Q199">
        <f>IF(AND(P199&gt;0,C199=Report!$C$5),P199*10000+ROW(),"")</f>
        <v/>
      </c>
      <c r="R199">
        <f>IF(AND(Q199&lt;&gt;"",ISNUMBER(D199)),Q199,"")</f>
        <v/>
      </c>
      <c r="S199">
        <f>IF(AND(Q199&lt;&gt;"",ISNUMBER(E199)),Q199,"")</f>
        <v/>
      </c>
      <c r="T199">
        <f>IF(AND(Q199&lt;&gt;"",ISNUMBER(F199)),Q199,"")</f>
        <v/>
      </c>
      <c r="U199">
        <f>IF(AND(Q199&lt;&gt;"",ISNUMBER(G199)),Q199,"")</f>
        <v/>
      </c>
      <c r="V199">
        <f>IF(AND(Q199&lt;&gt;"",ISNUMBER(H199)),Q199,"")</f>
        <v/>
      </c>
      <c r="W199">
        <f>IF(AND(Q199&lt;&gt;"",ISNUMBER(I199)),Q199,"")</f>
        <v/>
      </c>
      <c r="X199">
        <f>IF(AND(Q199&lt;&gt;"",ISNUMBER(J199)),Q199,"")</f>
        <v/>
      </c>
      <c r="Y199">
        <f>IF(AND(Q199&lt;&gt;"",ISNUMBER(K199)),Q199,"")</f>
        <v/>
      </c>
      <c r="Z199">
        <f>IF(AND(Q199&lt;&gt;"",ISNUMBER(L199)),Q199,"")</f>
        <v/>
      </c>
      <c r="AA199">
        <f>IF(AND(Q199&lt;&gt;"",ISNUMBER(M199)),Q199,"")</f>
        <v/>
      </c>
      <c r="AB199">
        <f>IF(AND(Q199&lt;&gt;"",ISNUMBER(K199)),K199,"")</f>
        <v/>
      </c>
      <c r="AC199">
        <f>IF(AND(Q199&lt;&gt;"",ISNUMBER(L199)),L199,"")</f>
        <v/>
      </c>
      <c r="AD199">
        <f>IF(AND(Q199&lt;&gt;"",ISNUMBER(M199)),M199,"")</f>
        <v/>
      </c>
    </row>
    <row r="200">
      <c r="A200" s="1" t="n"/>
      <c r="B200" s="17" t="n"/>
      <c r="C200" s="27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9" t="n"/>
      <c r="N200" s="21" t="n"/>
      <c r="O200" s="12">
        <f>IF(AND(B200="",C200=""),"",IF(NOT(ISNUMBER(B200)),"Needs a date",IF(C200="","Needs a client",IF(COUNTIF(Clients!$B$6:$B$105,C200)=0,"Not on Clients",IF(COUNT(D200:M200)=0,"Nothing measured","")))))</f>
        <v/>
      </c>
      <c r="P200" s="1">
        <f>IF(AND(O200="",ISNUMBER(B200)),INT(B200),0)</f>
        <v/>
      </c>
      <c r="Q200">
        <f>IF(AND(P200&gt;0,C200=Report!$C$5),P200*10000+ROW(),"")</f>
        <v/>
      </c>
      <c r="R200">
        <f>IF(AND(Q200&lt;&gt;"",ISNUMBER(D200)),Q200,"")</f>
        <v/>
      </c>
      <c r="S200">
        <f>IF(AND(Q200&lt;&gt;"",ISNUMBER(E200)),Q200,"")</f>
        <v/>
      </c>
      <c r="T200">
        <f>IF(AND(Q200&lt;&gt;"",ISNUMBER(F200)),Q200,"")</f>
        <v/>
      </c>
      <c r="U200">
        <f>IF(AND(Q200&lt;&gt;"",ISNUMBER(G200)),Q200,"")</f>
        <v/>
      </c>
      <c r="V200">
        <f>IF(AND(Q200&lt;&gt;"",ISNUMBER(H200)),Q200,"")</f>
        <v/>
      </c>
      <c r="W200">
        <f>IF(AND(Q200&lt;&gt;"",ISNUMBER(I200)),Q200,"")</f>
        <v/>
      </c>
      <c r="X200">
        <f>IF(AND(Q200&lt;&gt;"",ISNUMBER(J200)),Q200,"")</f>
        <v/>
      </c>
      <c r="Y200">
        <f>IF(AND(Q200&lt;&gt;"",ISNUMBER(K200)),Q200,"")</f>
        <v/>
      </c>
      <c r="Z200">
        <f>IF(AND(Q200&lt;&gt;"",ISNUMBER(L200)),Q200,"")</f>
        <v/>
      </c>
      <c r="AA200">
        <f>IF(AND(Q200&lt;&gt;"",ISNUMBER(M200)),Q200,"")</f>
        <v/>
      </c>
      <c r="AB200">
        <f>IF(AND(Q200&lt;&gt;"",ISNUMBER(K200)),K200,"")</f>
        <v/>
      </c>
      <c r="AC200">
        <f>IF(AND(Q200&lt;&gt;"",ISNUMBER(L200)),L200,"")</f>
        <v/>
      </c>
      <c r="AD200">
        <f>IF(AND(Q200&lt;&gt;"",ISNUMBER(M200)),M200,"")</f>
        <v/>
      </c>
    </row>
    <row r="201">
      <c r="A201" s="1" t="n"/>
      <c r="B201" s="17" t="n"/>
      <c r="C201" s="27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9" t="n"/>
      <c r="N201" s="21" t="n"/>
      <c r="O201" s="12">
        <f>IF(AND(B201="",C201=""),"",IF(NOT(ISNUMBER(B201)),"Needs a date",IF(C201="","Needs a client",IF(COUNTIF(Clients!$B$6:$B$105,C201)=0,"Not on Clients",IF(COUNT(D201:M201)=0,"Nothing measured","")))))</f>
        <v/>
      </c>
      <c r="P201" s="1">
        <f>IF(AND(O201="",ISNUMBER(B201)),INT(B201),0)</f>
        <v/>
      </c>
      <c r="Q201">
        <f>IF(AND(P201&gt;0,C201=Report!$C$5),P201*10000+ROW(),"")</f>
        <v/>
      </c>
      <c r="R201">
        <f>IF(AND(Q201&lt;&gt;"",ISNUMBER(D201)),Q201,"")</f>
        <v/>
      </c>
      <c r="S201">
        <f>IF(AND(Q201&lt;&gt;"",ISNUMBER(E201)),Q201,"")</f>
        <v/>
      </c>
      <c r="T201">
        <f>IF(AND(Q201&lt;&gt;"",ISNUMBER(F201)),Q201,"")</f>
        <v/>
      </c>
      <c r="U201">
        <f>IF(AND(Q201&lt;&gt;"",ISNUMBER(G201)),Q201,"")</f>
        <v/>
      </c>
      <c r="V201">
        <f>IF(AND(Q201&lt;&gt;"",ISNUMBER(H201)),Q201,"")</f>
        <v/>
      </c>
      <c r="W201">
        <f>IF(AND(Q201&lt;&gt;"",ISNUMBER(I201)),Q201,"")</f>
        <v/>
      </c>
      <c r="X201">
        <f>IF(AND(Q201&lt;&gt;"",ISNUMBER(J201)),Q201,"")</f>
        <v/>
      </c>
      <c r="Y201">
        <f>IF(AND(Q201&lt;&gt;"",ISNUMBER(K201)),Q201,"")</f>
        <v/>
      </c>
      <c r="Z201">
        <f>IF(AND(Q201&lt;&gt;"",ISNUMBER(L201)),Q201,"")</f>
        <v/>
      </c>
      <c r="AA201">
        <f>IF(AND(Q201&lt;&gt;"",ISNUMBER(M201)),Q201,"")</f>
        <v/>
      </c>
      <c r="AB201">
        <f>IF(AND(Q201&lt;&gt;"",ISNUMBER(K201)),K201,"")</f>
        <v/>
      </c>
      <c r="AC201">
        <f>IF(AND(Q201&lt;&gt;"",ISNUMBER(L201)),L201,"")</f>
        <v/>
      </c>
      <c r="AD201">
        <f>IF(AND(Q201&lt;&gt;"",ISNUMBER(M201)),M201,"")</f>
        <v/>
      </c>
    </row>
    <row r="202">
      <c r="A202" s="1" t="n"/>
      <c r="B202" s="17" t="n"/>
      <c r="C202" s="27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9" t="n"/>
      <c r="N202" s="21" t="n"/>
      <c r="O202" s="12">
        <f>IF(AND(B202="",C202=""),"",IF(NOT(ISNUMBER(B202)),"Needs a date",IF(C202="","Needs a client",IF(COUNTIF(Clients!$B$6:$B$105,C202)=0,"Not on Clients",IF(COUNT(D202:M202)=0,"Nothing measured","")))))</f>
        <v/>
      </c>
      <c r="P202" s="1">
        <f>IF(AND(O202="",ISNUMBER(B202)),INT(B202),0)</f>
        <v/>
      </c>
      <c r="Q202">
        <f>IF(AND(P202&gt;0,C202=Report!$C$5),P202*10000+ROW(),"")</f>
        <v/>
      </c>
      <c r="R202">
        <f>IF(AND(Q202&lt;&gt;"",ISNUMBER(D202)),Q202,"")</f>
        <v/>
      </c>
      <c r="S202">
        <f>IF(AND(Q202&lt;&gt;"",ISNUMBER(E202)),Q202,"")</f>
        <v/>
      </c>
      <c r="T202">
        <f>IF(AND(Q202&lt;&gt;"",ISNUMBER(F202)),Q202,"")</f>
        <v/>
      </c>
      <c r="U202">
        <f>IF(AND(Q202&lt;&gt;"",ISNUMBER(G202)),Q202,"")</f>
        <v/>
      </c>
      <c r="V202">
        <f>IF(AND(Q202&lt;&gt;"",ISNUMBER(H202)),Q202,"")</f>
        <v/>
      </c>
      <c r="W202">
        <f>IF(AND(Q202&lt;&gt;"",ISNUMBER(I202)),Q202,"")</f>
        <v/>
      </c>
      <c r="X202">
        <f>IF(AND(Q202&lt;&gt;"",ISNUMBER(J202)),Q202,"")</f>
        <v/>
      </c>
      <c r="Y202">
        <f>IF(AND(Q202&lt;&gt;"",ISNUMBER(K202)),Q202,"")</f>
        <v/>
      </c>
      <c r="Z202">
        <f>IF(AND(Q202&lt;&gt;"",ISNUMBER(L202)),Q202,"")</f>
        <v/>
      </c>
      <c r="AA202">
        <f>IF(AND(Q202&lt;&gt;"",ISNUMBER(M202)),Q202,"")</f>
        <v/>
      </c>
      <c r="AB202">
        <f>IF(AND(Q202&lt;&gt;"",ISNUMBER(K202)),K202,"")</f>
        <v/>
      </c>
      <c r="AC202">
        <f>IF(AND(Q202&lt;&gt;"",ISNUMBER(L202)),L202,"")</f>
        <v/>
      </c>
      <c r="AD202">
        <f>IF(AND(Q202&lt;&gt;"",ISNUMBER(M202)),M202,"")</f>
        <v/>
      </c>
    </row>
    <row r="203">
      <c r="A203" s="1" t="n"/>
      <c r="B203" s="17" t="n"/>
      <c r="C203" s="27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9" t="n"/>
      <c r="N203" s="21" t="n"/>
      <c r="O203" s="12">
        <f>IF(AND(B203="",C203=""),"",IF(NOT(ISNUMBER(B203)),"Needs a date",IF(C203="","Needs a client",IF(COUNTIF(Clients!$B$6:$B$105,C203)=0,"Not on Clients",IF(COUNT(D203:M203)=0,"Nothing measured","")))))</f>
        <v/>
      </c>
      <c r="P203" s="1">
        <f>IF(AND(O203="",ISNUMBER(B203)),INT(B203),0)</f>
        <v/>
      </c>
      <c r="Q203">
        <f>IF(AND(P203&gt;0,C203=Report!$C$5),P203*10000+ROW(),"")</f>
        <v/>
      </c>
      <c r="R203">
        <f>IF(AND(Q203&lt;&gt;"",ISNUMBER(D203)),Q203,"")</f>
        <v/>
      </c>
      <c r="S203">
        <f>IF(AND(Q203&lt;&gt;"",ISNUMBER(E203)),Q203,"")</f>
        <v/>
      </c>
      <c r="T203">
        <f>IF(AND(Q203&lt;&gt;"",ISNUMBER(F203)),Q203,"")</f>
        <v/>
      </c>
      <c r="U203">
        <f>IF(AND(Q203&lt;&gt;"",ISNUMBER(G203)),Q203,"")</f>
        <v/>
      </c>
      <c r="V203">
        <f>IF(AND(Q203&lt;&gt;"",ISNUMBER(H203)),Q203,"")</f>
        <v/>
      </c>
      <c r="W203">
        <f>IF(AND(Q203&lt;&gt;"",ISNUMBER(I203)),Q203,"")</f>
        <v/>
      </c>
      <c r="X203">
        <f>IF(AND(Q203&lt;&gt;"",ISNUMBER(J203)),Q203,"")</f>
        <v/>
      </c>
      <c r="Y203">
        <f>IF(AND(Q203&lt;&gt;"",ISNUMBER(K203)),Q203,"")</f>
        <v/>
      </c>
      <c r="Z203">
        <f>IF(AND(Q203&lt;&gt;"",ISNUMBER(L203)),Q203,"")</f>
        <v/>
      </c>
      <c r="AA203">
        <f>IF(AND(Q203&lt;&gt;"",ISNUMBER(M203)),Q203,"")</f>
        <v/>
      </c>
      <c r="AB203">
        <f>IF(AND(Q203&lt;&gt;"",ISNUMBER(K203)),K203,"")</f>
        <v/>
      </c>
      <c r="AC203">
        <f>IF(AND(Q203&lt;&gt;"",ISNUMBER(L203)),L203,"")</f>
        <v/>
      </c>
      <c r="AD203">
        <f>IF(AND(Q203&lt;&gt;"",ISNUMBER(M203)),M203,"")</f>
        <v/>
      </c>
    </row>
    <row r="204">
      <c r="A204" s="1" t="n"/>
      <c r="B204" s="17" t="n"/>
      <c r="C204" s="27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9" t="n"/>
      <c r="N204" s="21" t="n"/>
      <c r="O204" s="12">
        <f>IF(AND(B204="",C204=""),"",IF(NOT(ISNUMBER(B204)),"Needs a date",IF(C204="","Needs a client",IF(COUNTIF(Clients!$B$6:$B$105,C204)=0,"Not on Clients",IF(COUNT(D204:M204)=0,"Nothing measured","")))))</f>
        <v/>
      </c>
      <c r="P204" s="1">
        <f>IF(AND(O204="",ISNUMBER(B204)),INT(B204),0)</f>
        <v/>
      </c>
      <c r="Q204">
        <f>IF(AND(P204&gt;0,C204=Report!$C$5),P204*10000+ROW(),"")</f>
        <v/>
      </c>
      <c r="R204">
        <f>IF(AND(Q204&lt;&gt;"",ISNUMBER(D204)),Q204,"")</f>
        <v/>
      </c>
      <c r="S204">
        <f>IF(AND(Q204&lt;&gt;"",ISNUMBER(E204)),Q204,"")</f>
        <v/>
      </c>
      <c r="T204">
        <f>IF(AND(Q204&lt;&gt;"",ISNUMBER(F204)),Q204,"")</f>
        <v/>
      </c>
      <c r="U204">
        <f>IF(AND(Q204&lt;&gt;"",ISNUMBER(G204)),Q204,"")</f>
        <v/>
      </c>
      <c r="V204">
        <f>IF(AND(Q204&lt;&gt;"",ISNUMBER(H204)),Q204,"")</f>
        <v/>
      </c>
      <c r="W204">
        <f>IF(AND(Q204&lt;&gt;"",ISNUMBER(I204)),Q204,"")</f>
        <v/>
      </c>
      <c r="X204">
        <f>IF(AND(Q204&lt;&gt;"",ISNUMBER(J204)),Q204,"")</f>
        <v/>
      </c>
      <c r="Y204">
        <f>IF(AND(Q204&lt;&gt;"",ISNUMBER(K204)),Q204,"")</f>
        <v/>
      </c>
      <c r="Z204">
        <f>IF(AND(Q204&lt;&gt;"",ISNUMBER(L204)),Q204,"")</f>
        <v/>
      </c>
      <c r="AA204">
        <f>IF(AND(Q204&lt;&gt;"",ISNUMBER(M204)),Q204,"")</f>
        <v/>
      </c>
      <c r="AB204">
        <f>IF(AND(Q204&lt;&gt;"",ISNUMBER(K204)),K204,"")</f>
        <v/>
      </c>
      <c r="AC204">
        <f>IF(AND(Q204&lt;&gt;"",ISNUMBER(L204)),L204,"")</f>
        <v/>
      </c>
      <c r="AD204">
        <f>IF(AND(Q204&lt;&gt;"",ISNUMBER(M204)),M204,"")</f>
        <v/>
      </c>
    </row>
    <row r="205">
      <c r="A205" s="1" t="n"/>
      <c r="B205" s="17" t="n"/>
      <c r="C205" s="27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9" t="n"/>
      <c r="N205" s="21" t="n"/>
      <c r="O205" s="12">
        <f>IF(AND(B205="",C205=""),"",IF(NOT(ISNUMBER(B205)),"Needs a date",IF(C205="","Needs a client",IF(COUNTIF(Clients!$B$6:$B$105,C205)=0,"Not on Clients",IF(COUNT(D205:M205)=0,"Nothing measured","")))))</f>
        <v/>
      </c>
      <c r="P205" s="1">
        <f>IF(AND(O205="",ISNUMBER(B205)),INT(B205),0)</f>
        <v/>
      </c>
      <c r="Q205">
        <f>IF(AND(P205&gt;0,C205=Report!$C$5),P205*10000+ROW(),"")</f>
        <v/>
      </c>
      <c r="R205">
        <f>IF(AND(Q205&lt;&gt;"",ISNUMBER(D205)),Q205,"")</f>
        <v/>
      </c>
      <c r="S205">
        <f>IF(AND(Q205&lt;&gt;"",ISNUMBER(E205)),Q205,"")</f>
        <v/>
      </c>
      <c r="T205">
        <f>IF(AND(Q205&lt;&gt;"",ISNUMBER(F205)),Q205,"")</f>
        <v/>
      </c>
      <c r="U205">
        <f>IF(AND(Q205&lt;&gt;"",ISNUMBER(G205)),Q205,"")</f>
        <v/>
      </c>
      <c r="V205">
        <f>IF(AND(Q205&lt;&gt;"",ISNUMBER(H205)),Q205,"")</f>
        <v/>
      </c>
      <c r="W205">
        <f>IF(AND(Q205&lt;&gt;"",ISNUMBER(I205)),Q205,"")</f>
        <v/>
      </c>
      <c r="X205">
        <f>IF(AND(Q205&lt;&gt;"",ISNUMBER(J205)),Q205,"")</f>
        <v/>
      </c>
      <c r="Y205">
        <f>IF(AND(Q205&lt;&gt;"",ISNUMBER(K205)),Q205,"")</f>
        <v/>
      </c>
      <c r="Z205">
        <f>IF(AND(Q205&lt;&gt;"",ISNUMBER(L205)),Q205,"")</f>
        <v/>
      </c>
      <c r="AA205">
        <f>IF(AND(Q205&lt;&gt;"",ISNUMBER(M205)),Q205,"")</f>
        <v/>
      </c>
      <c r="AB205">
        <f>IF(AND(Q205&lt;&gt;"",ISNUMBER(K205)),K205,"")</f>
        <v/>
      </c>
      <c r="AC205">
        <f>IF(AND(Q205&lt;&gt;"",ISNUMBER(L205)),L205,"")</f>
        <v/>
      </c>
      <c r="AD205">
        <f>IF(AND(Q205&lt;&gt;"",ISNUMBER(M205)),M205,"")</f>
        <v/>
      </c>
    </row>
    <row r="206">
      <c r="A206" s="1" t="n"/>
      <c r="B206" s="17" t="n"/>
      <c r="C206" s="27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9" t="n"/>
      <c r="N206" s="21" t="n"/>
      <c r="O206" s="12">
        <f>IF(AND(B206="",C206=""),"",IF(NOT(ISNUMBER(B206)),"Needs a date",IF(C206="","Needs a client",IF(COUNTIF(Clients!$B$6:$B$105,C206)=0,"Not on Clients",IF(COUNT(D206:M206)=0,"Nothing measured","")))))</f>
        <v/>
      </c>
      <c r="P206" s="1">
        <f>IF(AND(O206="",ISNUMBER(B206)),INT(B206),0)</f>
        <v/>
      </c>
      <c r="Q206">
        <f>IF(AND(P206&gt;0,C206=Report!$C$5),P206*10000+ROW(),"")</f>
        <v/>
      </c>
      <c r="R206">
        <f>IF(AND(Q206&lt;&gt;"",ISNUMBER(D206)),Q206,"")</f>
        <v/>
      </c>
      <c r="S206">
        <f>IF(AND(Q206&lt;&gt;"",ISNUMBER(E206)),Q206,"")</f>
        <v/>
      </c>
      <c r="T206">
        <f>IF(AND(Q206&lt;&gt;"",ISNUMBER(F206)),Q206,"")</f>
        <v/>
      </c>
      <c r="U206">
        <f>IF(AND(Q206&lt;&gt;"",ISNUMBER(G206)),Q206,"")</f>
        <v/>
      </c>
      <c r="V206">
        <f>IF(AND(Q206&lt;&gt;"",ISNUMBER(H206)),Q206,"")</f>
        <v/>
      </c>
      <c r="W206">
        <f>IF(AND(Q206&lt;&gt;"",ISNUMBER(I206)),Q206,"")</f>
        <v/>
      </c>
      <c r="X206">
        <f>IF(AND(Q206&lt;&gt;"",ISNUMBER(J206)),Q206,"")</f>
        <v/>
      </c>
      <c r="Y206">
        <f>IF(AND(Q206&lt;&gt;"",ISNUMBER(K206)),Q206,"")</f>
        <v/>
      </c>
      <c r="Z206">
        <f>IF(AND(Q206&lt;&gt;"",ISNUMBER(L206)),Q206,"")</f>
        <v/>
      </c>
      <c r="AA206">
        <f>IF(AND(Q206&lt;&gt;"",ISNUMBER(M206)),Q206,"")</f>
        <v/>
      </c>
      <c r="AB206">
        <f>IF(AND(Q206&lt;&gt;"",ISNUMBER(K206)),K206,"")</f>
        <v/>
      </c>
      <c r="AC206">
        <f>IF(AND(Q206&lt;&gt;"",ISNUMBER(L206)),L206,"")</f>
        <v/>
      </c>
      <c r="AD206">
        <f>IF(AND(Q206&lt;&gt;"",ISNUMBER(M206)),M206,"")</f>
        <v/>
      </c>
    </row>
    <row r="207">
      <c r="A207" s="1" t="n"/>
      <c r="B207" s="17" t="n"/>
      <c r="C207" s="27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9" t="n"/>
      <c r="N207" s="21" t="n"/>
      <c r="O207" s="12">
        <f>IF(AND(B207="",C207=""),"",IF(NOT(ISNUMBER(B207)),"Needs a date",IF(C207="","Needs a client",IF(COUNTIF(Clients!$B$6:$B$105,C207)=0,"Not on Clients",IF(COUNT(D207:M207)=0,"Nothing measured","")))))</f>
        <v/>
      </c>
      <c r="P207" s="1">
        <f>IF(AND(O207="",ISNUMBER(B207)),INT(B207),0)</f>
        <v/>
      </c>
      <c r="Q207">
        <f>IF(AND(P207&gt;0,C207=Report!$C$5),P207*10000+ROW(),"")</f>
        <v/>
      </c>
      <c r="R207">
        <f>IF(AND(Q207&lt;&gt;"",ISNUMBER(D207)),Q207,"")</f>
        <v/>
      </c>
      <c r="S207">
        <f>IF(AND(Q207&lt;&gt;"",ISNUMBER(E207)),Q207,"")</f>
        <v/>
      </c>
      <c r="T207">
        <f>IF(AND(Q207&lt;&gt;"",ISNUMBER(F207)),Q207,"")</f>
        <v/>
      </c>
      <c r="U207">
        <f>IF(AND(Q207&lt;&gt;"",ISNUMBER(G207)),Q207,"")</f>
        <v/>
      </c>
      <c r="V207">
        <f>IF(AND(Q207&lt;&gt;"",ISNUMBER(H207)),Q207,"")</f>
        <v/>
      </c>
      <c r="W207">
        <f>IF(AND(Q207&lt;&gt;"",ISNUMBER(I207)),Q207,"")</f>
        <v/>
      </c>
      <c r="X207">
        <f>IF(AND(Q207&lt;&gt;"",ISNUMBER(J207)),Q207,"")</f>
        <v/>
      </c>
      <c r="Y207">
        <f>IF(AND(Q207&lt;&gt;"",ISNUMBER(K207)),Q207,"")</f>
        <v/>
      </c>
      <c r="Z207">
        <f>IF(AND(Q207&lt;&gt;"",ISNUMBER(L207)),Q207,"")</f>
        <v/>
      </c>
      <c r="AA207">
        <f>IF(AND(Q207&lt;&gt;"",ISNUMBER(M207)),Q207,"")</f>
        <v/>
      </c>
      <c r="AB207">
        <f>IF(AND(Q207&lt;&gt;"",ISNUMBER(K207)),K207,"")</f>
        <v/>
      </c>
      <c r="AC207">
        <f>IF(AND(Q207&lt;&gt;"",ISNUMBER(L207)),L207,"")</f>
        <v/>
      </c>
      <c r="AD207">
        <f>IF(AND(Q207&lt;&gt;"",ISNUMBER(M207)),M207,"")</f>
        <v/>
      </c>
    </row>
    <row r="208">
      <c r="A208" s="1" t="n"/>
      <c r="B208" s="17" t="n"/>
      <c r="C208" s="27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9" t="n"/>
      <c r="N208" s="21" t="n"/>
      <c r="O208" s="12">
        <f>IF(AND(B208="",C208=""),"",IF(NOT(ISNUMBER(B208)),"Needs a date",IF(C208="","Needs a client",IF(COUNTIF(Clients!$B$6:$B$105,C208)=0,"Not on Clients",IF(COUNT(D208:M208)=0,"Nothing measured","")))))</f>
        <v/>
      </c>
      <c r="P208" s="1">
        <f>IF(AND(O208="",ISNUMBER(B208)),INT(B208),0)</f>
        <v/>
      </c>
      <c r="Q208">
        <f>IF(AND(P208&gt;0,C208=Report!$C$5),P208*10000+ROW(),"")</f>
        <v/>
      </c>
      <c r="R208">
        <f>IF(AND(Q208&lt;&gt;"",ISNUMBER(D208)),Q208,"")</f>
        <v/>
      </c>
      <c r="S208">
        <f>IF(AND(Q208&lt;&gt;"",ISNUMBER(E208)),Q208,"")</f>
        <v/>
      </c>
      <c r="T208">
        <f>IF(AND(Q208&lt;&gt;"",ISNUMBER(F208)),Q208,"")</f>
        <v/>
      </c>
      <c r="U208">
        <f>IF(AND(Q208&lt;&gt;"",ISNUMBER(G208)),Q208,"")</f>
        <v/>
      </c>
      <c r="V208">
        <f>IF(AND(Q208&lt;&gt;"",ISNUMBER(H208)),Q208,"")</f>
        <v/>
      </c>
      <c r="W208">
        <f>IF(AND(Q208&lt;&gt;"",ISNUMBER(I208)),Q208,"")</f>
        <v/>
      </c>
      <c r="X208">
        <f>IF(AND(Q208&lt;&gt;"",ISNUMBER(J208)),Q208,"")</f>
        <v/>
      </c>
      <c r="Y208">
        <f>IF(AND(Q208&lt;&gt;"",ISNUMBER(K208)),Q208,"")</f>
        <v/>
      </c>
      <c r="Z208">
        <f>IF(AND(Q208&lt;&gt;"",ISNUMBER(L208)),Q208,"")</f>
        <v/>
      </c>
      <c r="AA208">
        <f>IF(AND(Q208&lt;&gt;"",ISNUMBER(M208)),Q208,"")</f>
        <v/>
      </c>
      <c r="AB208">
        <f>IF(AND(Q208&lt;&gt;"",ISNUMBER(K208)),K208,"")</f>
        <v/>
      </c>
      <c r="AC208">
        <f>IF(AND(Q208&lt;&gt;"",ISNUMBER(L208)),L208,"")</f>
        <v/>
      </c>
      <c r="AD208">
        <f>IF(AND(Q208&lt;&gt;"",ISNUMBER(M208)),M208,"")</f>
        <v/>
      </c>
    </row>
    <row r="209">
      <c r="A209" s="1" t="n"/>
      <c r="B209" s="17" t="n"/>
      <c r="C209" s="27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9" t="n"/>
      <c r="N209" s="21" t="n"/>
      <c r="O209" s="12">
        <f>IF(AND(B209="",C209=""),"",IF(NOT(ISNUMBER(B209)),"Needs a date",IF(C209="","Needs a client",IF(COUNTIF(Clients!$B$6:$B$105,C209)=0,"Not on Clients",IF(COUNT(D209:M209)=0,"Nothing measured","")))))</f>
        <v/>
      </c>
      <c r="P209" s="1">
        <f>IF(AND(O209="",ISNUMBER(B209)),INT(B209),0)</f>
        <v/>
      </c>
      <c r="Q209">
        <f>IF(AND(P209&gt;0,C209=Report!$C$5),P209*10000+ROW(),"")</f>
        <v/>
      </c>
      <c r="R209">
        <f>IF(AND(Q209&lt;&gt;"",ISNUMBER(D209)),Q209,"")</f>
        <v/>
      </c>
      <c r="S209">
        <f>IF(AND(Q209&lt;&gt;"",ISNUMBER(E209)),Q209,"")</f>
        <v/>
      </c>
      <c r="T209">
        <f>IF(AND(Q209&lt;&gt;"",ISNUMBER(F209)),Q209,"")</f>
        <v/>
      </c>
      <c r="U209">
        <f>IF(AND(Q209&lt;&gt;"",ISNUMBER(G209)),Q209,"")</f>
        <v/>
      </c>
      <c r="V209">
        <f>IF(AND(Q209&lt;&gt;"",ISNUMBER(H209)),Q209,"")</f>
        <v/>
      </c>
      <c r="W209">
        <f>IF(AND(Q209&lt;&gt;"",ISNUMBER(I209)),Q209,"")</f>
        <v/>
      </c>
      <c r="X209">
        <f>IF(AND(Q209&lt;&gt;"",ISNUMBER(J209)),Q209,"")</f>
        <v/>
      </c>
      <c r="Y209">
        <f>IF(AND(Q209&lt;&gt;"",ISNUMBER(K209)),Q209,"")</f>
        <v/>
      </c>
      <c r="Z209">
        <f>IF(AND(Q209&lt;&gt;"",ISNUMBER(L209)),Q209,"")</f>
        <v/>
      </c>
      <c r="AA209">
        <f>IF(AND(Q209&lt;&gt;"",ISNUMBER(M209)),Q209,"")</f>
        <v/>
      </c>
      <c r="AB209">
        <f>IF(AND(Q209&lt;&gt;"",ISNUMBER(K209)),K209,"")</f>
        <v/>
      </c>
      <c r="AC209">
        <f>IF(AND(Q209&lt;&gt;"",ISNUMBER(L209)),L209,"")</f>
        <v/>
      </c>
      <c r="AD209">
        <f>IF(AND(Q209&lt;&gt;"",ISNUMBER(M209)),M209,"")</f>
        <v/>
      </c>
    </row>
    <row r="210">
      <c r="A210" s="1" t="n"/>
      <c r="B210" s="17" t="n"/>
      <c r="C210" s="27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9" t="n"/>
      <c r="N210" s="21" t="n"/>
      <c r="O210" s="12">
        <f>IF(AND(B210="",C210=""),"",IF(NOT(ISNUMBER(B210)),"Needs a date",IF(C210="","Needs a client",IF(COUNTIF(Clients!$B$6:$B$105,C210)=0,"Not on Clients",IF(COUNT(D210:M210)=0,"Nothing measured","")))))</f>
        <v/>
      </c>
      <c r="P210" s="1">
        <f>IF(AND(O210="",ISNUMBER(B210)),INT(B210),0)</f>
        <v/>
      </c>
      <c r="Q210">
        <f>IF(AND(P210&gt;0,C210=Report!$C$5),P210*10000+ROW(),"")</f>
        <v/>
      </c>
      <c r="R210">
        <f>IF(AND(Q210&lt;&gt;"",ISNUMBER(D210)),Q210,"")</f>
        <v/>
      </c>
      <c r="S210">
        <f>IF(AND(Q210&lt;&gt;"",ISNUMBER(E210)),Q210,"")</f>
        <v/>
      </c>
      <c r="T210">
        <f>IF(AND(Q210&lt;&gt;"",ISNUMBER(F210)),Q210,"")</f>
        <v/>
      </c>
      <c r="U210">
        <f>IF(AND(Q210&lt;&gt;"",ISNUMBER(G210)),Q210,"")</f>
        <v/>
      </c>
      <c r="V210">
        <f>IF(AND(Q210&lt;&gt;"",ISNUMBER(H210)),Q210,"")</f>
        <v/>
      </c>
      <c r="W210">
        <f>IF(AND(Q210&lt;&gt;"",ISNUMBER(I210)),Q210,"")</f>
        <v/>
      </c>
      <c r="X210">
        <f>IF(AND(Q210&lt;&gt;"",ISNUMBER(J210)),Q210,"")</f>
        <v/>
      </c>
      <c r="Y210">
        <f>IF(AND(Q210&lt;&gt;"",ISNUMBER(K210)),Q210,"")</f>
        <v/>
      </c>
      <c r="Z210">
        <f>IF(AND(Q210&lt;&gt;"",ISNUMBER(L210)),Q210,"")</f>
        <v/>
      </c>
      <c r="AA210">
        <f>IF(AND(Q210&lt;&gt;"",ISNUMBER(M210)),Q210,"")</f>
        <v/>
      </c>
      <c r="AB210">
        <f>IF(AND(Q210&lt;&gt;"",ISNUMBER(K210)),K210,"")</f>
        <v/>
      </c>
      <c r="AC210">
        <f>IF(AND(Q210&lt;&gt;"",ISNUMBER(L210)),L210,"")</f>
        <v/>
      </c>
      <c r="AD210">
        <f>IF(AND(Q210&lt;&gt;"",ISNUMBER(M210)),M210,"")</f>
        <v/>
      </c>
    </row>
    <row r="211">
      <c r="A211" s="1" t="n"/>
      <c r="B211" s="17" t="n"/>
      <c r="C211" s="27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9" t="n"/>
      <c r="N211" s="21" t="n"/>
      <c r="O211" s="12">
        <f>IF(AND(B211="",C211=""),"",IF(NOT(ISNUMBER(B211)),"Needs a date",IF(C211="","Needs a client",IF(COUNTIF(Clients!$B$6:$B$105,C211)=0,"Not on Clients",IF(COUNT(D211:M211)=0,"Nothing measured","")))))</f>
        <v/>
      </c>
      <c r="P211" s="1">
        <f>IF(AND(O211="",ISNUMBER(B211)),INT(B211),0)</f>
        <v/>
      </c>
      <c r="Q211">
        <f>IF(AND(P211&gt;0,C211=Report!$C$5),P211*10000+ROW(),"")</f>
        <v/>
      </c>
      <c r="R211">
        <f>IF(AND(Q211&lt;&gt;"",ISNUMBER(D211)),Q211,"")</f>
        <v/>
      </c>
      <c r="S211">
        <f>IF(AND(Q211&lt;&gt;"",ISNUMBER(E211)),Q211,"")</f>
        <v/>
      </c>
      <c r="T211">
        <f>IF(AND(Q211&lt;&gt;"",ISNUMBER(F211)),Q211,"")</f>
        <v/>
      </c>
      <c r="U211">
        <f>IF(AND(Q211&lt;&gt;"",ISNUMBER(G211)),Q211,"")</f>
        <v/>
      </c>
      <c r="V211">
        <f>IF(AND(Q211&lt;&gt;"",ISNUMBER(H211)),Q211,"")</f>
        <v/>
      </c>
      <c r="W211">
        <f>IF(AND(Q211&lt;&gt;"",ISNUMBER(I211)),Q211,"")</f>
        <v/>
      </c>
      <c r="X211">
        <f>IF(AND(Q211&lt;&gt;"",ISNUMBER(J211)),Q211,"")</f>
        <v/>
      </c>
      <c r="Y211">
        <f>IF(AND(Q211&lt;&gt;"",ISNUMBER(K211)),Q211,"")</f>
        <v/>
      </c>
      <c r="Z211">
        <f>IF(AND(Q211&lt;&gt;"",ISNUMBER(L211)),Q211,"")</f>
        <v/>
      </c>
      <c r="AA211">
        <f>IF(AND(Q211&lt;&gt;"",ISNUMBER(M211)),Q211,"")</f>
        <v/>
      </c>
      <c r="AB211">
        <f>IF(AND(Q211&lt;&gt;"",ISNUMBER(K211)),K211,"")</f>
        <v/>
      </c>
      <c r="AC211">
        <f>IF(AND(Q211&lt;&gt;"",ISNUMBER(L211)),L211,"")</f>
        <v/>
      </c>
      <c r="AD211">
        <f>IF(AND(Q211&lt;&gt;"",ISNUMBER(M211)),M211,"")</f>
        <v/>
      </c>
    </row>
    <row r="212">
      <c r="A212" s="1" t="n"/>
      <c r="B212" s="17" t="n"/>
      <c r="C212" s="27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9" t="n"/>
      <c r="N212" s="21" t="n"/>
      <c r="O212" s="12">
        <f>IF(AND(B212="",C212=""),"",IF(NOT(ISNUMBER(B212)),"Needs a date",IF(C212="","Needs a client",IF(COUNTIF(Clients!$B$6:$B$105,C212)=0,"Not on Clients",IF(COUNT(D212:M212)=0,"Nothing measured","")))))</f>
        <v/>
      </c>
      <c r="P212" s="1">
        <f>IF(AND(O212="",ISNUMBER(B212)),INT(B212),0)</f>
        <v/>
      </c>
      <c r="Q212">
        <f>IF(AND(P212&gt;0,C212=Report!$C$5),P212*10000+ROW(),"")</f>
        <v/>
      </c>
      <c r="R212">
        <f>IF(AND(Q212&lt;&gt;"",ISNUMBER(D212)),Q212,"")</f>
        <v/>
      </c>
      <c r="S212">
        <f>IF(AND(Q212&lt;&gt;"",ISNUMBER(E212)),Q212,"")</f>
        <v/>
      </c>
      <c r="T212">
        <f>IF(AND(Q212&lt;&gt;"",ISNUMBER(F212)),Q212,"")</f>
        <v/>
      </c>
      <c r="U212">
        <f>IF(AND(Q212&lt;&gt;"",ISNUMBER(G212)),Q212,"")</f>
        <v/>
      </c>
      <c r="V212">
        <f>IF(AND(Q212&lt;&gt;"",ISNUMBER(H212)),Q212,"")</f>
        <v/>
      </c>
      <c r="W212">
        <f>IF(AND(Q212&lt;&gt;"",ISNUMBER(I212)),Q212,"")</f>
        <v/>
      </c>
      <c r="X212">
        <f>IF(AND(Q212&lt;&gt;"",ISNUMBER(J212)),Q212,"")</f>
        <v/>
      </c>
      <c r="Y212">
        <f>IF(AND(Q212&lt;&gt;"",ISNUMBER(K212)),Q212,"")</f>
        <v/>
      </c>
      <c r="Z212">
        <f>IF(AND(Q212&lt;&gt;"",ISNUMBER(L212)),Q212,"")</f>
        <v/>
      </c>
      <c r="AA212">
        <f>IF(AND(Q212&lt;&gt;"",ISNUMBER(M212)),Q212,"")</f>
        <v/>
      </c>
      <c r="AB212">
        <f>IF(AND(Q212&lt;&gt;"",ISNUMBER(K212)),K212,"")</f>
        <v/>
      </c>
      <c r="AC212">
        <f>IF(AND(Q212&lt;&gt;"",ISNUMBER(L212)),L212,"")</f>
        <v/>
      </c>
      <c r="AD212">
        <f>IF(AND(Q212&lt;&gt;"",ISNUMBER(M212)),M212,"")</f>
        <v/>
      </c>
    </row>
    <row r="213">
      <c r="A213" s="1" t="n"/>
      <c r="B213" s="17" t="n"/>
      <c r="C213" s="27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9" t="n"/>
      <c r="N213" s="21" t="n"/>
      <c r="O213" s="12">
        <f>IF(AND(B213="",C213=""),"",IF(NOT(ISNUMBER(B213)),"Needs a date",IF(C213="","Needs a client",IF(COUNTIF(Clients!$B$6:$B$105,C213)=0,"Not on Clients",IF(COUNT(D213:M213)=0,"Nothing measured","")))))</f>
        <v/>
      </c>
      <c r="P213" s="1">
        <f>IF(AND(O213="",ISNUMBER(B213)),INT(B213),0)</f>
        <v/>
      </c>
      <c r="Q213">
        <f>IF(AND(P213&gt;0,C213=Report!$C$5),P213*10000+ROW(),"")</f>
        <v/>
      </c>
      <c r="R213">
        <f>IF(AND(Q213&lt;&gt;"",ISNUMBER(D213)),Q213,"")</f>
        <v/>
      </c>
      <c r="S213">
        <f>IF(AND(Q213&lt;&gt;"",ISNUMBER(E213)),Q213,"")</f>
        <v/>
      </c>
      <c r="T213">
        <f>IF(AND(Q213&lt;&gt;"",ISNUMBER(F213)),Q213,"")</f>
        <v/>
      </c>
      <c r="U213">
        <f>IF(AND(Q213&lt;&gt;"",ISNUMBER(G213)),Q213,"")</f>
        <v/>
      </c>
      <c r="V213">
        <f>IF(AND(Q213&lt;&gt;"",ISNUMBER(H213)),Q213,"")</f>
        <v/>
      </c>
      <c r="W213">
        <f>IF(AND(Q213&lt;&gt;"",ISNUMBER(I213)),Q213,"")</f>
        <v/>
      </c>
      <c r="X213">
        <f>IF(AND(Q213&lt;&gt;"",ISNUMBER(J213)),Q213,"")</f>
        <v/>
      </c>
      <c r="Y213">
        <f>IF(AND(Q213&lt;&gt;"",ISNUMBER(K213)),Q213,"")</f>
        <v/>
      </c>
      <c r="Z213">
        <f>IF(AND(Q213&lt;&gt;"",ISNUMBER(L213)),Q213,"")</f>
        <v/>
      </c>
      <c r="AA213">
        <f>IF(AND(Q213&lt;&gt;"",ISNUMBER(M213)),Q213,"")</f>
        <v/>
      </c>
      <c r="AB213">
        <f>IF(AND(Q213&lt;&gt;"",ISNUMBER(K213)),K213,"")</f>
        <v/>
      </c>
      <c r="AC213">
        <f>IF(AND(Q213&lt;&gt;"",ISNUMBER(L213)),L213,"")</f>
        <v/>
      </c>
      <c r="AD213">
        <f>IF(AND(Q213&lt;&gt;"",ISNUMBER(M213)),M213,"")</f>
        <v/>
      </c>
    </row>
    <row r="214">
      <c r="A214" s="1" t="n"/>
      <c r="B214" s="17" t="n"/>
      <c r="C214" s="27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9" t="n"/>
      <c r="N214" s="21" t="n"/>
      <c r="O214" s="12">
        <f>IF(AND(B214="",C214=""),"",IF(NOT(ISNUMBER(B214)),"Needs a date",IF(C214="","Needs a client",IF(COUNTIF(Clients!$B$6:$B$105,C214)=0,"Not on Clients",IF(COUNT(D214:M214)=0,"Nothing measured","")))))</f>
        <v/>
      </c>
      <c r="P214" s="1">
        <f>IF(AND(O214="",ISNUMBER(B214)),INT(B214),0)</f>
        <v/>
      </c>
      <c r="Q214">
        <f>IF(AND(P214&gt;0,C214=Report!$C$5),P214*10000+ROW(),"")</f>
        <v/>
      </c>
      <c r="R214">
        <f>IF(AND(Q214&lt;&gt;"",ISNUMBER(D214)),Q214,"")</f>
        <v/>
      </c>
      <c r="S214">
        <f>IF(AND(Q214&lt;&gt;"",ISNUMBER(E214)),Q214,"")</f>
        <v/>
      </c>
      <c r="T214">
        <f>IF(AND(Q214&lt;&gt;"",ISNUMBER(F214)),Q214,"")</f>
        <v/>
      </c>
      <c r="U214">
        <f>IF(AND(Q214&lt;&gt;"",ISNUMBER(G214)),Q214,"")</f>
        <v/>
      </c>
      <c r="V214">
        <f>IF(AND(Q214&lt;&gt;"",ISNUMBER(H214)),Q214,"")</f>
        <v/>
      </c>
      <c r="W214">
        <f>IF(AND(Q214&lt;&gt;"",ISNUMBER(I214)),Q214,"")</f>
        <v/>
      </c>
      <c r="X214">
        <f>IF(AND(Q214&lt;&gt;"",ISNUMBER(J214)),Q214,"")</f>
        <v/>
      </c>
      <c r="Y214">
        <f>IF(AND(Q214&lt;&gt;"",ISNUMBER(K214)),Q214,"")</f>
        <v/>
      </c>
      <c r="Z214">
        <f>IF(AND(Q214&lt;&gt;"",ISNUMBER(L214)),Q214,"")</f>
        <v/>
      </c>
      <c r="AA214">
        <f>IF(AND(Q214&lt;&gt;"",ISNUMBER(M214)),Q214,"")</f>
        <v/>
      </c>
      <c r="AB214">
        <f>IF(AND(Q214&lt;&gt;"",ISNUMBER(K214)),K214,"")</f>
        <v/>
      </c>
      <c r="AC214">
        <f>IF(AND(Q214&lt;&gt;"",ISNUMBER(L214)),L214,"")</f>
        <v/>
      </c>
      <c r="AD214">
        <f>IF(AND(Q214&lt;&gt;"",ISNUMBER(M214)),M214,"")</f>
        <v/>
      </c>
    </row>
    <row r="215">
      <c r="A215" s="1" t="n"/>
      <c r="B215" s="17" t="n"/>
      <c r="C215" s="27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9" t="n"/>
      <c r="N215" s="21" t="n"/>
      <c r="O215" s="12">
        <f>IF(AND(B215="",C215=""),"",IF(NOT(ISNUMBER(B215)),"Needs a date",IF(C215="","Needs a client",IF(COUNTIF(Clients!$B$6:$B$105,C215)=0,"Not on Clients",IF(COUNT(D215:M215)=0,"Nothing measured","")))))</f>
        <v/>
      </c>
      <c r="P215" s="1">
        <f>IF(AND(O215="",ISNUMBER(B215)),INT(B215),0)</f>
        <v/>
      </c>
      <c r="Q215">
        <f>IF(AND(P215&gt;0,C215=Report!$C$5),P215*10000+ROW(),"")</f>
        <v/>
      </c>
      <c r="R215">
        <f>IF(AND(Q215&lt;&gt;"",ISNUMBER(D215)),Q215,"")</f>
        <v/>
      </c>
      <c r="S215">
        <f>IF(AND(Q215&lt;&gt;"",ISNUMBER(E215)),Q215,"")</f>
        <v/>
      </c>
      <c r="T215">
        <f>IF(AND(Q215&lt;&gt;"",ISNUMBER(F215)),Q215,"")</f>
        <v/>
      </c>
      <c r="U215">
        <f>IF(AND(Q215&lt;&gt;"",ISNUMBER(G215)),Q215,"")</f>
        <v/>
      </c>
      <c r="V215">
        <f>IF(AND(Q215&lt;&gt;"",ISNUMBER(H215)),Q215,"")</f>
        <v/>
      </c>
      <c r="W215">
        <f>IF(AND(Q215&lt;&gt;"",ISNUMBER(I215)),Q215,"")</f>
        <v/>
      </c>
      <c r="X215">
        <f>IF(AND(Q215&lt;&gt;"",ISNUMBER(J215)),Q215,"")</f>
        <v/>
      </c>
      <c r="Y215">
        <f>IF(AND(Q215&lt;&gt;"",ISNUMBER(K215)),Q215,"")</f>
        <v/>
      </c>
      <c r="Z215">
        <f>IF(AND(Q215&lt;&gt;"",ISNUMBER(L215)),Q215,"")</f>
        <v/>
      </c>
      <c r="AA215">
        <f>IF(AND(Q215&lt;&gt;"",ISNUMBER(M215)),Q215,"")</f>
        <v/>
      </c>
      <c r="AB215">
        <f>IF(AND(Q215&lt;&gt;"",ISNUMBER(K215)),K215,"")</f>
        <v/>
      </c>
      <c r="AC215">
        <f>IF(AND(Q215&lt;&gt;"",ISNUMBER(L215)),L215,"")</f>
        <v/>
      </c>
      <c r="AD215">
        <f>IF(AND(Q215&lt;&gt;"",ISNUMBER(M215)),M215,"")</f>
        <v/>
      </c>
    </row>
    <row r="216">
      <c r="A216" s="1" t="n"/>
      <c r="B216" s="17" t="n"/>
      <c r="C216" s="27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9" t="n"/>
      <c r="N216" s="21" t="n"/>
      <c r="O216" s="12">
        <f>IF(AND(B216="",C216=""),"",IF(NOT(ISNUMBER(B216)),"Needs a date",IF(C216="","Needs a client",IF(COUNTIF(Clients!$B$6:$B$105,C216)=0,"Not on Clients",IF(COUNT(D216:M216)=0,"Nothing measured","")))))</f>
        <v/>
      </c>
      <c r="P216" s="1">
        <f>IF(AND(O216="",ISNUMBER(B216)),INT(B216),0)</f>
        <v/>
      </c>
      <c r="Q216">
        <f>IF(AND(P216&gt;0,C216=Report!$C$5),P216*10000+ROW(),"")</f>
        <v/>
      </c>
      <c r="R216">
        <f>IF(AND(Q216&lt;&gt;"",ISNUMBER(D216)),Q216,"")</f>
        <v/>
      </c>
      <c r="S216">
        <f>IF(AND(Q216&lt;&gt;"",ISNUMBER(E216)),Q216,"")</f>
        <v/>
      </c>
      <c r="T216">
        <f>IF(AND(Q216&lt;&gt;"",ISNUMBER(F216)),Q216,"")</f>
        <v/>
      </c>
      <c r="U216">
        <f>IF(AND(Q216&lt;&gt;"",ISNUMBER(G216)),Q216,"")</f>
        <v/>
      </c>
      <c r="V216">
        <f>IF(AND(Q216&lt;&gt;"",ISNUMBER(H216)),Q216,"")</f>
        <v/>
      </c>
      <c r="W216">
        <f>IF(AND(Q216&lt;&gt;"",ISNUMBER(I216)),Q216,"")</f>
        <v/>
      </c>
      <c r="X216">
        <f>IF(AND(Q216&lt;&gt;"",ISNUMBER(J216)),Q216,"")</f>
        <v/>
      </c>
      <c r="Y216">
        <f>IF(AND(Q216&lt;&gt;"",ISNUMBER(K216)),Q216,"")</f>
        <v/>
      </c>
      <c r="Z216">
        <f>IF(AND(Q216&lt;&gt;"",ISNUMBER(L216)),Q216,"")</f>
        <v/>
      </c>
      <c r="AA216">
        <f>IF(AND(Q216&lt;&gt;"",ISNUMBER(M216)),Q216,"")</f>
        <v/>
      </c>
      <c r="AB216">
        <f>IF(AND(Q216&lt;&gt;"",ISNUMBER(K216)),K216,"")</f>
        <v/>
      </c>
      <c r="AC216">
        <f>IF(AND(Q216&lt;&gt;"",ISNUMBER(L216)),L216,"")</f>
        <v/>
      </c>
      <c r="AD216">
        <f>IF(AND(Q216&lt;&gt;"",ISNUMBER(M216)),M216,"")</f>
        <v/>
      </c>
    </row>
    <row r="217">
      <c r="A217" s="1" t="n"/>
      <c r="B217" s="17" t="n"/>
      <c r="C217" s="27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9" t="n"/>
      <c r="N217" s="21" t="n"/>
      <c r="O217" s="12">
        <f>IF(AND(B217="",C217=""),"",IF(NOT(ISNUMBER(B217)),"Needs a date",IF(C217="","Needs a client",IF(COUNTIF(Clients!$B$6:$B$105,C217)=0,"Not on Clients",IF(COUNT(D217:M217)=0,"Nothing measured","")))))</f>
        <v/>
      </c>
      <c r="P217" s="1">
        <f>IF(AND(O217="",ISNUMBER(B217)),INT(B217),0)</f>
        <v/>
      </c>
      <c r="Q217">
        <f>IF(AND(P217&gt;0,C217=Report!$C$5),P217*10000+ROW(),"")</f>
        <v/>
      </c>
      <c r="R217">
        <f>IF(AND(Q217&lt;&gt;"",ISNUMBER(D217)),Q217,"")</f>
        <v/>
      </c>
      <c r="S217">
        <f>IF(AND(Q217&lt;&gt;"",ISNUMBER(E217)),Q217,"")</f>
        <v/>
      </c>
      <c r="T217">
        <f>IF(AND(Q217&lt;&gt;"",ISNUMBER(F217)),Q217,"")</f>
        <v/>
      </c>
      <c r="U217">
        <f>IF(AND(Q217&lt;&gt;"",ISNUMBER(G217)),Q217,"")</f>
        <v/>
      </c>
      <c r="V217">
        <f>IF(AND(Q217&lt;&gt;"",ISNUMBER(H217)),Q217,"")</f>
        <v/>
      </c>
      <c r="W217">
        <f>IF(AND(Q217&lt;&gt;"",ISNUMBER(I217)),Q217,"")</f>
        <v/>
      </c>
      <c r="X217">
        <f>IF(AND(Q217&lt;&gt;"",ISNUMBER(J217)),Q217,"")</f>
        <v/>
      </c>
      <c r="Y217">
        <f>IF(AND(Q217&lt;&gt;"",ISNUMBER(K217)),Q217,"")</f>
        <v/>
      </c>
      <c r="Z217">
        <f>IF(AND(Q217&lt;&gt;"",ISNUMBER(L217)),Q217,"")</f>
        <v/>
      </c>
      <c r="AA217">
        <f>IF(AND(Q217&lt;&gt;"",ISNUMBER(M217)),Q217,"")</f>
        <v/>
      </c>
      <c r="AB217">
        <f>IF(AND(Q217&lt;&gt;"",ISNUMBER(K217)),K217,"")</f>
        <v/>
      </c>
      <c r="AC217">
        <f>IF(AND(Q217&lt;&gt;"",ISNUMBER(L217)),L217,"")</f>
        <v/>
      </c>
      <c r="AD217">
        <f>IF(AND(Q217&lt;&gt;"",ISNUMBER(M217)),M217,"")</f>
        <v/>
      </c>
    </row>
    <row r="218">
      <c r="A218" s="1" t="n"/>
      <c r="B218" s="17" t="n"/>
      <c r="C218" s="27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9" t="n"/>
      <c r="N218" s="21" t="n"/>
      <c r="O218" s="12">
        <f>IF(AND(B218="",C218=""),"",IF(NOT(ISNUMBER(B218)),"Needs a date",IF(C218="","Needs a client",IF(COUNTIF(Clients!$B$6:$B$105,C218)=0,"Not on Clients",IF(COUNT(D218:M218)=0,"Nothing measured","")))))</f>
        <v/>
      </c>
      <c r="P218" s="1">
        <f>IF(AND(O218="",ISNUMBER(B218)),INT(B218),0)</f>
        <v/>
      </c>
      <c r="Q218">
        <f>IF(AND(P218&gt;0,C218=Report!$C$5),P218*10000+ROW(),"")</f>
        <v/>
      </c>
      <c r="R218">
        <f>IF(AND(Q218&lt;&gt;"",ISNUMBER(D218)),Q218,"")</f>
        <v/>
      </c>
      <c r="S218">
        <f>IF(AND(Q218&lt;&gt;"",ISNUMBER(E218)),Q218,"")</f>
        <v/>
      </c>
      <c r="T218">
        <f>IF(AND(Q218&lt;&gt;"",ISNUMBER(F218)),Q218,"")</f>
        <v/>
      </c>
      <c r="U218">
        <f>IF(AND(Q218&lt;&gt;"",ISNUMBER(G218)),Q218,"")</f>
        <v/>
      </c>
      <c r="V218">
        <f>IF(AND(Q218&lt;&gt;"",ISNUMBER(H218)),Q218,"")</f>
        <v/>
      </c>
      <c r="W218">
        <f>IF(AND(Q218&lt;&gt;"",ISNUMBER(I218)),Q218,"")</f>
        <v/>
      </c>
      <c r="X218">
        <f>IF(AND(Q218&lt;&gt;"",ISNUMBER(J218)),Q218,"")</f>
        <v/>
      </c>
      <c r="Y218">
        <f>IF(AND(Q218&lt;&gt;"",ISNUMBER(K218)),Q218,"")</f>
        <v/>
      </c>
      <c r="Z218">
        <f>IF(AND(Q218&lt;&gt;"",ISNUMBER(L218)),Q218,"")</f>
        <v/>
      </c>
      <c r="AA218">
        <f>IF(AND(Q218&lt;&gt;"",ISNUMBER(M218)),Q218,"")</f>
        <v/>
      </c>
      <c r="AB218">
        <f>IF(AND(Q218&lt;&gt;"",ISNUMBER(K218)),K218,"")</f>
        <v/>
      </c>
      <c r="AC218">
        <f>IF(AND(Q218&lt;&gt;"",ISNUMBER(L218)),L218,"")</f>
        <v/>
      </c>
      <c r="AD218">
        <f>IF(AND(Q218&lt;&gt;"",ISNUMBER(M218)),M218,"")</f>
        <v/>
      </c>
    </row>
    <row r="219">
      <c r="A219" s="1" t="n"/>
      <c r="B219" s="17" t="n"/>
      <c r="C219" s="27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9" t="n"/>
      <c r="N219" s="21" t="n"/>
      <c r="O219" s="12">
        <f>IF(AND(B219="",C219=""),"",IF(NOT(ISNUMBER(B219)),"Needs a date",IF(C219="","Needs a client",IF(COUNTIF(Clients!$B$6:$B$105,C219)=0,"Not on Clients",IF(COUNT(D219:M219)=0,"Nothing measured","")))))</f>
        <v/>
      </c>
      <c r="P219" s="1">
        <f>IF(AND(O219="",ISNUMBER(B219)),INT(B219),0)</f>
        <v/>
      </c>
      <c r="Q219">
        <f>IF(AND(P219&gt;0,C219=Report!$C$5),P219*10000+ROW(),"")</f>
        <v/>
      </c>
      <c r="R219">
        <f>IF(AND(Q219&lt;&gt;"",ISNUMBER(D219)),Q219,"")</f>
        <v/>
      </c>
      <c r="S219">
        <f>IF(AND(Q219&lt;&gt;"",ISNUMBER(E219)),Q219,"")</f>
        <v/>
      </c>
      <c r="T219">
        <f>IF(AND(Q219&lt;&gt;"",ISNUMBER(F219)),Q219,"")</f>
        <v/>
      </c>
      <c r="U219">
        <f>IF(AND(Q219&lt;&gt;"",ISNUMBER(G219)),Q219,"")</f>
        <v/>
      </c>
      <c r="V219">
        <f>IF(AND(Q219&lt;&gt;"",ISNUMBER(H219)),Q219,"")</f>
        <v/>
      </c>
      <c r="W219">
        <f>IF(AND(Q219&lt;&gt;"",ISNUMBER(I219)),Q219,"")</f>
        <v/>
      </c>
      <c r="X219">
        <f>IF(AND(Q219&lt;&gt;"",ISNUMBER(J219)),Q219,"")</f>
        <v/>
      </c>
      <c r="Y219">
        <f>IF(AND(Q219&lt;&gt;"",ISNUMBER(K219)),Q219,"")</f>
        <v/>
      </c>
      <c r="Z219">
        <f>IF(AND(Q219&lt;&gt;"",ISNUMBER(L219)),Q219,"")</f>
        <v/>
      </c>
      <c r="AA219">
        <f>IF(AND(Q219&lt;&gt;"",ISNUMBER(M219)),Q219,"")</f>
        <v/>
      </c>
      <c r="AB219">
        <f>IF(AND(Q219&lt;&gt;"",ISNUMBER(K219)),K219,"")</f>
        <v/>
      </c>
      <c r="AC219">
        <f>IF(AND(Q219&lt;&gt;"",ISNUMBER(L219)),L219,"")</f>
        <v/>
      </c>
      <c r="AD219">
        <f>IF(AND(Q219&lt;&gt;"",ISNUMBER(M219)),M219,"")</f>
        <v/>
      </c>
    </row>
    <row r="220">
      <c r="A220" s="1" t="n"/>
      <c r="B220" s="17" t="n"/>
      <c r="C220" s="27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9" t="n"/>
      <c r="N220" s="21" t="n"/>
      <c r="O220" s="12">
        <f>IF(AND(B220="",C220=""),"",IF(NOT(ISNUMBER(B220)),"Needs a date",IF(C220="","Needs a client",IF(COUNTIF(Clients!$B$6:$B$105,C220)=0,"Not on Clients",IF(COUNT(D220:M220)=0,"Nothing measured","")))))</f>
        <v/>
      </c>
      <c r="P220" s="1">
        <f>IF(AND(O220="",ISNUMBER(B220)),INT(B220),0)</f>
        <v/>
      </c>
      <c r="Q220">
        <f>IF(AND(P220&gt;0,C220=Report!$C$5),P220*10000+ROW(),"")</f>
        <v/>
      </c>
      <c r="R220">
        <f>IF(AND(Q220&lt;&gt;"",ISNUMBER(D220)),Q220,"")</f>
        <v/>
      </c>
      <c r="S220">
        <f>IF(AND(Q220&lt;&gt;"",ISNUMBER(E220)),Q220,"")</f>
        <v/>
      </c>
      <c r="T220">
        <f>IF(AND(Q220&lt;&gt;"",ISNUMBER(F220)),Q220,"")</f>
        <v/>
      </c>
      <c r="U220">
        <f>IF(AND(Q220&lt;&gt;"",ISNUMBER(G220)),Q220,"")</f>
        <v/>
      </c>
      <c r="V220">
        <f>IF(AND(Q220&lt;&gt;"",ISNUMBER(H220)),Q220,"")</f>
        <v/>
      </c>
      <c r="W220">
        <f>IF(AND(Q220&lt;&gt;"",ISNUMBER(I220)),Q220,"")</f>
        <v/>
      </c>
      <c r="X220">
        <f>IF(AND(Q220&lt;&gt;"",ISNUMBER(J220)),Q220,"")</f>
        <v/>
      </c>
      <c r="Y220">
        <f>IF(AND(Q220&lt;&gt;"",ISNUMBER(K220)),Q220,"")</f>
        <v/>
      </c>
      <c r="Z220">
        <f>IF(AND(Q220&lt;&gt;"",ISNUMBER(L220)),Q220,"")</f>
        <v/>
      </c>
      <c r="AA220">
        <f>IF(AND(Q220&lt;&gt;"",ISNUMBER(M220)),Q220,"")</f>
        <v/>
      </c>
      <c r="AB220">
        <f>IF(AND(Q220&lt;&gt;"",ISNUMBER(K220)),K220,"")</f>
        <v/>
      </c>
      <c r="AC220">
        <f>IF(AND(Q220&lt;&gt;"",ISNUMBER(L220)),L220,"")</f>
        <v/>
      </c>
      <c r="AD220">
        <f>IF(AND(Q220&lt;&gt;"",ISNUMBER(M220)),M220,"")</f>
        <v/>
      </c>
    </row>
    <row r="221">
      <c r="A221" s="1" t="n"/>
      <c r="B221" s="17" t="n"/>
      <c r="C221" s="27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9" t="n"/>
      <c r="N221" s="21" t="n"/>
      <c r="O221" s="12">
        <f>IF(AND(B221="",C221=""),"",IF(NOT(ISNUMBER(B221)),"Needs a date",IF(C221="","Needs a client",IF(COUNTIF(Clients!$B$6:$B$105,C221)=0,"Not on Clients",IF(COUNT(D221:M221)=0,"Nothing measured","")))))</f>
        <v/>
      </c>
      <c r="P221" s="1">
        <f>IF(AND(O221="",ISNUMBER(B221)),INT(B221),0)</f>
        <v/>
      </c>
      <c r="Q221">
        <f>IF(AND(P221&gt;0,C221=Report!$C$5),P221*10000+ROW(),"")</f>
        <v/>
      </c>
      <c r="R221">
        <f>IF(AND(Q221&lt;&gt;"",ISNUMBER(D221)),Q221,"")</f>
        <v/>
      </c>
      <c r="S221">
        <f>IF(AND(Q221&lt;&gt;"",ISNUMBER(E221)),Q221,"")</f>
        <v/>
      </c>
      <c r="T221">
        <f>IF(AND(Q221&lt;&gt;"",ISNUMBER(F221)),Q221,"")</f>
        <v/>
      </c>
      <c r="U221">
        <f>IF(AND(Q221&lt;&gt;"",ISNUMBER(G221)),Q221,"")</f>
        <v/>
      </c>
      <c r="V221">
        <f>IF(AND(Q221&lt;&gt;"",ISNUMBER(H221)),Q221,"")</f>
        <v/>
      </c>
      <c r="W221">
        <f>IF(AND(Q221&lt;&gt;"",ISNUMBER(I221)),Q221,"")</f>
        <v/>
      </c>
      <c r="X221">
        <f>IF(AND(Q221&lt;&gt;"",ISNUMBER(J221)),Q221,"")</f>
        <v/>
      </c>
      <c r="Y221">
        <f>IF(AND(Q221&lt;&gt;"",ISNUMBER(K221)),Q221,"")</f>
        <v/>
      </c>
      <c r="Z221">
        <f>IF(AND(Q221&lt;&gt;"",ISNUMBER(L221)),Q221,"")</f>
        <v/>
      </c>
      <c r="AA221">
        <f>IF(AND(Q221&lt;&gt;"",ISNUMBER(M221)),Q221,"")</f>
        <v/>
      </c>
      <c r="AB221">
        <f>IF(AND(Q221&lt;&gt;"",ISNUMBER(K221)),K221,"")</f>
        <v/>
      </c>
      <c r="AC221">
        <f>IF(AND(Q221&lt;&gt;"",ISNUMBER(L221)),L221,"")</f>
        <v/>
      </c>
      <c r="AD221">
        <f>IF(AND(Q221&lt;&gt;"",ISNUMBER(M221)),M221,"")</f>
        <v/>
      </c>
    </row>
    <row r="222">
      <c r="A222" s="1" t="n"/>
      <c r="B222" s="17" t="n"/>
      <c r="C222" s="27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9" t="n"/>
      <c r="N222" s="21" t="n"/>
      <c r="O222" s="12">
        <f>IF(AND(B222="",C222=""),"",IF(NOT(ISNUMBER(B222)),"Needs a date",IF(C222="","Needs a client",IF(COUNTIF(Clients!$B$6:$B$105,C222)=0,"Not on Clients",IF(COUNT(D222:M222)=0,"Nothing measured","")))))</f>
        <v/>
      </c>
      <c r="P222" s="1">
        <f>IF(AND(O222="",ISNUMBER(B222)),INT(B222),0)</f>
        <v/>
      </c>
      <c r="Q222">
        <f>IF(AND(P222&gt;0,C222=Report!$C$5),P222*10000+ROW(),"")</f>
        <v/>
      </c>
      <c r="R222">
        <f>IF(AND(Q222&lt;&gt;"",ISNUMBER(D222)),Q222,"")</f>
        <v/>
      </c>
      <c r="S222">
        <f>IF(AND(Q222&lt;&gt;"",ISNUMBER(E222)),Q222,"")</f>
        <v/>
      </c>
      <c r="T222">
        <f>IF(AND(Q222&lt;&gt;"",ISNUMBER(F222)),Q222,"")</f>
        <v/>
      </c>
      <c r="U222">
        <f>IF(AND(Q222&lt;&gt;"",ISNUMBER(G222)),Q222,"")</f>
        <v/>
      </c>
      <c r="V222">
        <f>IF(AND(Q222&lt;&gt;"",ISNUMBER(H222)),Q222,"")</f>
        <v/>
      </c>
      <c r="W222">
        <f>IF(AND(Q222&lt;&gt;"",ISNUMBER(I222)),Q222,"")</f>
        <v/>
      </c>
      <c r="X222">
        <f>IF(AND(Q222&lt;&gt;"",ISNUMBER(J222)),Q222,"")</f>
        <v/>
      </c>
      <c r="Y222">
        <f>IF(AND(Q222&lt;&gt;"",ISNUMBER(K222)),Q222,"")</f>
        <v/>
      </c>
      <c r="Z222">
        <f>IF(AND(Q222&lt;&gt;"",ISNUMBER(L222)),Q222,"")</f>
        <v/>
      </c>
      <c r="AA222">
        <f>IF(AND(Q222&lt;&gt;"",ISNUMBER(M222)),Q222,"")</f>
        <v/>
      </c>
      <c r="AB222">
        <f>IF(AND(Q222&lt;&gt;"",ISNUMBER(K222)),K222,"")</f>
        <v/>
      </c>
      <c r="AC222">
        <f>IF(AND(Q222&lt;&gt;"",ISNUMBER(L222)),L222,"")</f>
        <v/>
      </c>
      <c r="AD222">
        <f>IF(AND(Q222&lt;&gt;"",ISNUMBER(M222)),M222,"")</f>
        <v/>
      </c>
    </row>
    <row r="223">
      <c r="A223" s="1" t="n"/>
      <c r="B223" s="17" t="n"/>
      <c r="C223" s="27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9" t="n"/>
      <c r="N223" s="21" t="n"/>
      <c r="O223" s="12">
        <f>IF(AND(B223="",C223=""),"",IF(NOT(ISNUMBER(B223)),"Needs a date",IF(C223="","Needs a client",IF(COUNTIF(Clients!$B$6:$B$105,C223)=0,"Not on Clients",IF(COUNT(D223:M223)=0,"Nothing measured","")))))</f>
        <v/>
      </c>
      <c r="P223" s="1">
        <f>IF(AND(O223="",ISNUMBER(B223)),INT(B223),0)</f>
        <v/>
      </c>
      <c r="Q223">
        <f>IF(AND(P223&gt;0,C223=Report!$C$5),P223*10000+ROW(),"")</f>
        <v/>
      </c>
      <c r="R223">
        <f>IF(AND(Q223&lt;&gt;"",ISNUMBER(D223)),Q223,"")</f>
        <v/>
      </c>
      <c r="S223">
        <f>IF(AND(Q223&lt;&gt;"",ISNUMBER(E223)),Q223,"")</f>
        <v/>
      </c>
      <c r="T223">
        <f>IF(AND(Q223&lt;&gt;"",ISNUMBER(F223)),Q223,"")</f>
        <v/>
      </c>
      <c r="U223">
        <f>IF(AND(Q223&lt;&gt;"",ISNUMBER(G223)),Q223,"")</f>
        <v/>
      </c>
      <c r="V223">
        <f>IF(AND(Q223&lt;&gt;"",ISNUMBER(H223)),Q223,"")</f>
        <v/>
      </c>
      <c r="W223">
        <f>IF(AND(Q223&lt;&gt;"",ISNUMBER(I223)),Q223,"")</f>
        <v/>
      </c>
      <c r="X223">
        <f>IF(AND(Q223&lt;&gt;"",ISNUMBER(J223)),Q223,"")</f>
        <v/>
      </c>
      <c r="Y223">
        <f>IF(AND(Q223&lt;&gt;"",ISNUMBER(K223)),Q223,"")</f>
        <v/>
      </c>
      <c r="Z223">
        <f>IF(AND(Q223&lt;&gt;"",ISNUMBER(L223)),Q223,"")</f>
        <v/>
      </c>
      <c r="AA223">
        <f>IF(AND(Q223&lt;&gt;"",ISNUMBER(M223)),Q223,"")</f>
        <v/>
      </c>
      <c r="AB223">
        <f>IF(AND(Q223&lt;&gt;"",ISNUMBER(K223)),K223,"")</f>
        <v/>
      </c>
      <c r="AC223">
        <f>IF(AND(Q223&lt;&gt;"",ISNUMBER(L223)),L223,"")</f>
        <v/>
      </c>
      <c r="AD223">
        <f>IF(AND(Q223&lt;&gt;"",ISNUMBER(M223)),M223,"")</f>
        <v/>
      </c>
    </row>
    <row r="224">
      <c r="A224" s="1" t="n"/>
      <c r="B224" s="17" t="n"/>
      <c r="C224" s="27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9" t="n"/>
      <c r="N224" s="21" t="n"/>
      <c r="O224" s="12">
        <f>IF(AND(B224="",C224=""),"",IF(NOT(ISNUMBER(B224)),"Needs a date",IF(C224="","Needs a client",IF(COUNTIF(Clients!$B$6:$B$105,C224)=0,"Not on Clients",IF(COUNT(D224:M224)=0,"Nothing measured","")))))</f>
        <v/>
      </c>
      <c r="P224" s="1">
        <f>IF(AND(O224="",ISNUMBER(B224)),INT(B224),0)</f>
        <v/>
      </c>
      <c r="Q224">
        <f>IF(AND(P224&gt;0,C224=Report!$C$5),P224*10000+ROW(),"")</f>
        <v/>
      </c>
      <c r="R224">
        <f>IF(AND(Q224&lt;&gt;"",ISNUMBER(D224)),Q224,"")</f>
        <v/>
      </c>
      <c r="S224">
        <f>IF(AND(Q224&lt;&gt;"",ISNUMBER(E224)),Q224,"")</f>
        <v/>
      </c>
      <c r="T224">
        <f>IF(AND(Q224&lt;&gt;"",ISNUMBER(F224)),Q224,"")</f>
        <v/>
      </c>
      <c r="U224">
        <f>IF(AND(Q224&lt;&gt;"",ISNUMBER(G224)),Q224,"")</f>
        <v/>
      </c>
      <c r="V224">
        <f>IF(AND(Q224&lt;&gt;"",ISNUMBER(H224)),Q224,"")</f>
        <v/>
      </c>
      <c r="W224">
        <f>IF(AND(Q224&lt;&gt;"",ISNUMBER(I224)),Q224,"")</f>
        <v/>
      </c>
      <c r="X224">
        <f>IF(AND(Q224&lt;&gt;"",ISNUMBER(J224)),Q224,"")</f>
        <v/>
      </c>
      <c r="Y224">
        <f>IF(AND(Q224&lt;&gt;"",ISNUMBER(K224)),Q224,"")</f>
        <v/>
      </c>
      <c r="Z224">
        <f>IF(AND(Q224&lt;&gt;"",ISNUMBER(L224)),Q224,"")</f>
        <v/>
      </c>
      <c r="AA224">
        <f>IF(AND(Q224&lt;&gt;"",ISNUMBER(M224)),Q224,"")</f>
        <v/>
      </c>
      <c r="AB224">
        <f>IF(AND(Q224&lt;&gt;"",ISNUMBER(K224)),K224,"")</f>
        <v/>
      </c>
      <c r="AC224">
        <f>IF(AND(Q224&lt;&gt;"",ISNUMBER(L224)),L224,"")</f>
        <v/>
      </c>
      <c r="AD224">
        <f>IF(AND(Q224&lt;&gt;"",ISNUMBER(M224)),M224,"")</f>
        <v/>
      </c>
    </row>
    <row r="225">
      <c r="A225" s="1" t="n"/>
      <c r="B225" s="17" t="n"/>
      <c r="C225" s="27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9" t="n"/>
      <c r="N225" s="21" t="n"/>
      <c r="O225" s="12">
        <f>IF(AND(B225="",C225=""),"",IF(NOT(ISNUMBER(B225)),"Needs a date",IF(C225="","Needs a client",IF(COUNTIF(Clients!$B$6:$B$105,C225)=0,"Not on Clients",IF(COUNT(D225:M225)=0,"Nothing measured","")))))</f>
        <v/>
      </c>
      <c r="P225" s="1">
        <f>IF(AND(O225="",ISNUMBER(B225)),INT(B225),0)</f>
        <v/>
      </c>
      <c r="Q225">
        <f>IF(AND(P225&gt;0,C225=Report!$C$5),P225*10000+ROW(),"")</f>
        <v/>
      </c>
      <c r="R225">
        <f>IF(AND(Q225&lt;&gt;"",ISNUMBER(D225)),Q225,"")</f>
        <v/>
      </c>
      <c r="S225">
        <f>IF(AND(Q225&lt;&gt;"",ISNUMBER(E225)),Q225,"")</f>
        <v/>
      </c>
      <c r="T225">
        <f>IF(AND(Q225&lt;&gt;"",ISNUMBER(F225)),Q225,"")</f>
        <v/>
      </c>
      <c r="U225">
        <f>IF(AND(Q225&lt;&gt;"",ISNUMBER(G225)),Q225,"")</f>
        <v/>
      </c>
      <c r="V225">
        <f>IF(AND(Q225&lt;&gt;"",ISNUMBER(H225)),Q225,"")</f>
        <v/>
      </c>
      <c r="W225">
        <f>IF(AND(Q225&lt;&gt;"",ISNUMBER(I225)),Q225,"")</f>
        <v/>
      </c>
      <c r="X225">
        <f>IF(AND(Q225&lt;&gt;"",ISNUMBER(J225)),Q225,"")</f>
        <v/>
      </c>
      <c r="Y225">
        <f>IF(AND(Q225&lt;&gt;"",ISNUMBER(K225)),Q225,"")</f>
        <v/>
      </c>
      <c r="Z225">
        <f>IF(AND(Q225&lt;&gt;"",ISNUMBER(L225)),Q225,"")</f>
        <v/>
      </c>
      <c r="AA225">
        <f>IF(AND(Q225&lt;&gt;"",ISNUMBER(M225)),Q225,"")</f>
        <v/>
      </c>
      <c r="AB225">
        <f>IF(AND(Q225&lt;&gt;"",ISNUMBER(K225)),K225,"")</f>
        <v/>
      </c>
      <c r="AC225">
        <f>IF(AND(Q225&lt;&gt;"",ISNUMBER(L225)),L225,"")</f>
        <v/>
      </c>
      <c r="AD225">
        <f>IF(AND(Q225&lt;&gt;"",ISNUMBER(M225)),M225,"")</f>
        <v/>
      </c>
    </row>
    <row r="226">
      <c r="A226" s="1" t="n"/>
      <c r="B226" s="17" t="n"/>
      <c r="C226" s="27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9" t="n"/>
      <c r="N226" s="21" t="n"/>
      <c r="O226" s="12">
        <f>IF(AND(B226="",C226=""),"",IF(NOT(ISNUMBER(B226)),"Needs a date",IF(C226="","Needs a client",IF(COUNTIF(Clients!$B$6:$B$105,C226)=0,"Not on Clients",IF(COUNT(D226:M226)=0,"Nothing measured","")))))</f>
        <v/>
      </c>
      <c r="P226" s="1">
        <f>IF(AND(O226="",ISNUMBER(B226)),INT(B226),0)</f>
        <v/>
      </c>
      <c r="Q226">
        <f>IF(AND(P226&gt;0,C226=Report!$C$5),P226*10000+ROW(),"")</f>
        <v/>
      </c>
      <c r="R226">
        <f>IF(AND(Q226&lt;&gt;"",ISNUMBER(D226)),Q226,"")</f>
        <v/>
      </c>
      <c r="S226">
        <f>IF(AND(Q226&lt;&gt;"",ISNUMBER(E226)),Q226,"")</f>
        <v/>
      </c>
      <c r="T226">
        <f>IF(AND(Q226&lt;&gt;"",ISNUMBER(F226)),Q226,"")</f>
        <v/>
      </c>
      <c r="U226">
        <f>IF(AND(Q226&lt;&gt;"",ISNUMBER(G226)),Q226,"")</f>
        <v/>
      </c>
      <c r="V226">
        <f>IF(AND(Q226&lt;&gt;"",ISNUMBER(H226)),Q226,"")</f>
        <v/>
      </c>
      <c r="W226">
        <f>IF(AND(Q226&lt;&gt;"",ISNUMBER(I226)),Q226,"")</f>
        <v/>
      </c>
      <c r="X226">
        <f>IF(AND(Q226&lt;&gt;"",ISNUMBER(J226)),Q226,"")</f>
        <v/>
      </c>
      <c r="Y226">
        <f>IF(AND(Q226&lt;&gt;"",ISNUMBER(K226)),Q226,"")</f>
        <v/>
      </c>
      <c r="Z226">
        <f>IF(AND(Q226&lt;&gt;"",ISNUMBER(L226)),Q226,"")</f>
        <v/>
      </c>
      <c r="AA226">
        <f>IF(AND(Q226&lt;&gt;"",ISNUMBER(M226)),Q226,"")</f>
        <v/>
      </c>
      <c r="AB226">
        <f>IF(AND(Q226&lt;&gt;"",ISNUMBER(K226)),K226,"")</f>
        <v/>
      </c>
      <c r="AC226">
        <f>IF(AND(Q226&lt;&gt;"",ISNUMBER(L226)),L226,"")</f>
        <v/>
      </c>
      <c r="AD226">
        <f>IF(AND(Q226&lt;&gt;"",ISNUMBER(M226)),M226,"")</f>
        <v/>
      </c>
    </row>
    <row r="227">
      <c r="A227" s="1" t="n"/>
      <c r="B227" s="17" t="n"/>
      <c r="C227" s="27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9" t="n"/>
      <c r="N227" s="21" t="n"/>
      <c r="O227" s="12">
        <f>IF(AND(B227="",C227=""),"",IF(NOT(ISNUMBER(B227)),"Needs a date",IF(C227="","Needs a client",IF(COUNTIF(Clients!$B$6:$B$105,C227)=0,"Not on Clients",IF(COUNT(D227:M227)=0,"Nothing measured","")))))</f>
        <v/>
      </c>
      <c r="P227" s="1">
        <f>IF(AND(O227="",ISNUMBER(B227)),INT(B227),0)</f>
        <v/>
      </c>
      <c r="Q227">
        <f>IF(AND(P227&gt;0,C227=Report!$C$5),P227*10000+ROW(),"")</f>
        <v/>
      </c>
      <c r="R227">
        <f>IF(AND(Q227&lt;&gt;"",ISNUMBER(D227)),Q227,"")</f>
        <v/>
      </c>
      <c r="S227">
        <f>IF(AND(Q227&lt;&gt;"",ISNUMBER(E227)),Q227,"")</f>
        <v/>
      </c>
      <c r="T227">
        <f>IF(AND(Q227&lt;&gt;"",ISNUMBER(F227)),Q227,"")</f>
        <v/>
      </c>
      <c r="U227">
        <f>IF(AND(Q227&lt;&gt;"",ISNUMBER(G227)),Q227,"")</f>
        <v/>
      </c>
      <c r="V227">
        <f>IF(AND(Q227&lt;&gt;"",ISNUMBER(H227)),Q227,"")</f>
        <v/>
      </c>
      <c r="W227">
        <f>IF(AND(Q227&lt;&gt;"",ISNUMBER(I227)),Q227,"")</f>
        <v/>
      </c>
      <c r="X227">
        <f>IF(AND(Q227&lt;&gt;"",ISNUMBER(J227)),Q227,"")</f>
        <v/>
      </c>
      <c r="Y227">
        <f>IF(AND(Q227&lt;&gt;"",ISNUMBER(K227)),Q227,"")</f>
        <v/>
      </c>
      <c r="Z227">
        <f>IF(AND(Q227&lt;&gt;"",ISNUMBER(L227)),Q227,"")</f>
        <v/>
      </c>
      <c r="AA227">
        <f>IF(AND(Q227&lt;&gt;"",ISNUMBER(M227)),Q227,"")</f>
        <v/>
      </c>
      <c r="AB227">
        <f>IF(AND(Q227&lt;&gt;"",ISNUMBER(K227)),K227,"")</f>
        <v/>
      </c>
      <c r="AC227">
        <f>IF(AND(Q227&lt;&gt;"",ISNUMBER(L227)),L227,"")</f>
        <v/>
      </c>
      <c r="AD227">
        <f>IF(AND(Q227&lt;&gt;"",ISNUMBER(M227)),M227,"")</f>
        <v/>
      </c>
    </row>
    <row r="228">
      <c r="A228" s="1" t="n"/>
      <c r="B228" s="17" t="n"/>
      <c r="C228" s="27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9" t="n"/>
      <c r="N228" s="21" t="n"/>
      <c r="O228" s="12">
        <f>IF(AND(B228="",C228=""),"",IF(NOT(ISNUMBER(B228)),"Needs a date",IF(C228="","Needs a client",IF(COUNTIF(Clients!$B$6:$B$105,C228)=0,"Not on Clients",IF(COUNT(D228:M228)=0,"Nothing measured","")))))</f>
        <v/>
      </c>
      <c r="P228" s="1">
        <f>IF(AND(O228="",ISNUMBER(B228)),INT(B228),0)</f>
        <v/>
      </c>
      <c r="Q228">
        <f>IF(AND(P228&gt;0,C228=Report!$C$5),P228*10000+ROW(),"")</f>
        <v/>
      </c>
      <c r="R228">
        <f>IF(AND(Q228&lt;&gt;"",ISNUMBER(D228)),Q228,"")</f>
        <v/>
      </c>
      <c r="S228">
        <f>IF(AND(Q228&lt;&gt;"",ISNUMBER(E228)),Q228,"")</f>
        <v/>
      </c>
      <c r="T228">
        <f>IF(AND(Q228&lt;&gt;"",ISNUMBER(F228)),Q228,"")</f>
        <v/>
      </c>
      <c r="U228">
        <f>IF(AND(Q228&lt;&gt;"",ISNUMBER(G228)),Q228,"")</f>
        <v/>
      </c>
      <c r="V228">
        <f>IF(AND(Q228&lt;&gt;"",ISNUMBER(H228)),Q228,"")</f>
        <v/>
      </c>
      <c r="W228">
        <f>IF(AND(Q228&lt;&gt;"",ISNUMBER(I228)),Q228,"")</f>
        <v/>
      </c>
      <c r="X228">
        <f>IF(AND(Q228&lt;&gt;"",ISNUMBER(J228)),Q228,"")</f>
        <v/>
      </c>
      <c r="Y228">
        <f>IF(AND(Q228&lt;&gt;"",ISNUMBER(K228)),Q228,"")</f>
        <v/>
      </c>
      <c r="Z228">
        <f>IF(AND(Q228&lt;&gt;"",ISNUMBER(L228)),Q228,"")</f>
        <v/>
      </c>
      <c r="AA228">
        <f>IF(AND(Q228&lt;&gt;"",ISNUMBER(M228)),Q228,"")</f>
        <v/>
      </c>
      <c r="AB228">
        <f>IF(AND(Q228&lt;&gt;"",ISNUMBER(K228)),K228,"")</f>
        <v/>
      </c>
      <c r="AC228">
        <f>IF(AND(Q228&lt;&gt;"",ISNUMBER(L228)),L228,"")</f>
        <v/>
      </c>
      <c r="AD228">
        <f>IF(AND(Q228&lt;&gt;"",ISNUMBER(M228)),M228,"")</f>
        <v/>
      </c>
    </row>
    <row r="229">
      <c r="A229" s="1" t="n"/>
      <c r="B229" s="17" t="n"/>
      <c r="C229" s="27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9" t="n"/>
      <c r="N229" s="21" t="n"/>
      <c r="O229" s="12">
        <f>IF(AND(B229="",C229=""),"",IF(NOT(ISNUMBER(B229)),"Needs a date",IF(C229="","Needs a client",IF(COUNTIF(Clients!$B$6:$B$105,C229)=0,"Not on Clients",IF(COUNT(D229:M229)=0,"Nothing measured","")))))</f>
        <v/>
      </c>
      <c r="P229" s="1">
        <f>IF(AND(O229="",ISNUMBER(B229)),INT(B229),0)</f>
        <v/>
      </c>
      <c r="Q229">
        <f>IF(AND(P229&gt;0,C229=Report!$C$5),P229*10000+ROW(),"")</f>
        <v/>
      </c>
      <c r="R229">
        <f>IF(AND(Q229&lt;&gt;"",ISNUMBER(D229)),Q229,"")</f>
        <v/>
      </c>
      <c r="S229">
        <f>IF(AND(Q229&lt;&gt;"",ISNUMBER(E229)),Q229,"")</f>
        <v/>
      </c>
      <c r="T229">
        <f>IF(AND(Q229&lt;&gt;"",ISNUMBER(F229)),Q229,"")</f>
        <v/>
      </c>
      <c r="U229">
        <f>IF(AND(Q229&lt;&gt;"",ISNUMBER(G229)),Q229,"")</f>
        <v/>
      </c>
      <c r="V229">
        <f>IF(AND(Q229&lt;&gt;"",ISNUMBER(H229)),Q229,"")</f>
        <v/>
      </c>
      <c r="W229">
        <f>IF(AND(Q229&lt;&gt;"",ISNUMBER(I229)),Q229,"")</f>
        <v/>
      </c>
      <c r="X229">
        <f>IF(AND(Q229&lt;&gt;"",ISNUMBER(J229)),Q229,"")</f>
        <v/>
      </c>
      <c r="Y229">
        <f>IF(AND(Q229&lt;&gt;"",ISNUMBER(K229)),Q229,"")</f>
        <v/>
      </c>
      <c r="Z229">
        <f>IF(AND(Q229&lt;&gt;"",ISNUMBER(L229)),Q229,"")</f>
        <v/>
      </c>
      <c r="AA229">
        <f>IF(AND(Q229&lt;&gt;"",ISNUMBER(M229)),Q229,"")</f>
        <v/>
      </c>
      <c r="AB229">
        <f>IF(AND(Q229&lt;&gt;"",ISNUMBER(K229)),K229,"")</f>
        <v/>
      </c>
      <c r="AC229">
        <f>IF(AND(Q229&lt;&gt;"",ISNUMBER(L229)),L229,"")</f>
        <v/>
      </c>
      <c r="AD229">
        <f>IF(AND(Q229&lt;&gt;"",ISNUMBER(M229)),M229,"")</f>
        <v/>
      </c>
    </row>
    <row r="230">
      <c r="A230" s="1" t="n"/>
      <c r="B230" s="17" t="n"/>
      <c r="C230" s="27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9" t="n"/>
      <c r="N230" s="21" t="n"/>
      <c r="O230" s="12">
        <f>IF(AND(B230="",C230=""),"",IF(NOT(ISNUMBER(B230)),"Needs a date",IF(C230="","Needs a client",IF(COUNTIF(Clients!$B$6:$B$105,C230)=0,"Not on Clients",IF(COUNT(D230:M230)=0,"Nothing measured","")))))</f>
        <v/>
      </c>
      <c r="P230" s="1">
        <f>IF(AND(O230="",ISNUMBER(B230)),INT(B230),0)</f>
        <v/>
      </c>
      <c r="Q230">
        <f>IF(AND(P230&gt;0,C230=Report!$C$5),P230*10000+ROW(),"")</f>
        <v/>
      </c>
      <c r="R230">
        <f>IF(AND(Q230&lt;&gt;"",ISNUMBER(D230)),Q230,"")</f>
        <v/>
      </c>
      <c r="S230">
        <f>IF(AND(Q230&lt;&gt;"",ISNUMBER(E230)),Q230,"")</f>
        <v/>
      </c>
      <c r="T230">
        <f>IF(AND(Q230&lt;&gt;"",ISNUMBER(F230)),Q230,"")</f>
        <v/>
      </c>
      <c r="U230">
        <f>IF(AND(Q230&lt;&gt;"",ISNUMBER(G230)),Q230,"")</f>
        <v/>
      </c>
      <c r="V230">
        <f>IF(AND(Q230&lt;&gt;"",ISNUMBER(H230)),Q230,"")</f>
        <v/>
      </c>
      <c r="W230">
        <f>IF(AND(Q230&lt;&gt;"",ISNUMBER(I230)),Q230,"")</f>
        <v/>
      </c>
      <c r="X230">
        <f>IF(AND(Q230&lt;&gt;"",ISNUMBER(J230)),Q230,"")</f>
        <v/>
      </c>
      <c r="Y230">
        <f>IF(AND(Q230&lt;&gt;"",ISNUMBER(K230)),Q230,"")</f>
        <v/>
      </c>
      <c r="Z230">
        <f>IF(AND(Q230&lt;&gt;"",ISNUMBER(L230)),Q230,"")</f>
        <v/>
      </c>
      <c r="AA230">
        <f>IF(AND(Q230&lt;&gt;"",ISNUMBER(M230)),Q230,"")</f>
        <v/>
      </c>
      <c r="AB230">
        <f>IF(AND(Q230&lt;&gt;"",ISNUMBER(K230)),K230,"")</f>
        <v/>
      </c>
      <c r="AC230">
        <f>IF(AND(Q230&lt;&gt;"",ISNUMBER(L230)),L230,"")</f>
        <v/>
      </c>
      <c r="AD230">
        <f>IF(AND(Q230&lt;&gt;"",ISNUMBER(M230)),M230,"")</f>
        <v/>
      </c>
    </row>
    <row r="231">
      <c r="A231" s="1" t="n"/>
      <c r="B231" s="17" t="n"/>
      <c r="C231" s="27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9" t="n"/>
      <c r="N231" s="21" t="n"/>
      <c r="O231" s="12">
        <f>IF(AND(B231="",C231=""),"",IF(NOT(ISNUMBER(B231)),"Needs a date",IF(C231="","Needs a client",IF(COUNTIF(Clients!$B$6:$B$105,C231)=0,"Not on Clients",IF(COUNT(D231:M231)=0,"Nothing measured","")))))</f>
        <v/>
      </c>
      <c r="P231" s="1">
        <f>IF(AND(O231="",ISNUMBER(B231)),INT(B231),0)</f>
        <v/>
      </c>
      <c r="Q231">
        <f>IF(AND(P231&gt;0,C231=Report!$C$5),P231*10000+ROW(),"")</f>
        <v/>
      </c>
      <c r="R231">
        <f>IF(AND(Q231&lt;&gt;"",ISNUMBER(D231)),Q231,"")</f>
        <v/>
      </c>
      <c r="S231">
        <f>IF(AND(Q231&lt;&gt;"",ISNUMBER(E231)),Q231,"")</f>
        <v/>
      </c>
      <c r="T231">
        <f>IF(AND(Q231&lt;&gt;"",ISNUMBER(F231)),Q231,"")</f>
        <v/>
      </c>
      <c r="U231">
        <f>IF(AND(Q231&lt;&gt;"",ISNUMBER(G231)),Q231,"")</f>
        <v/>
      </c>
      <c r="V231">
        <f>IF(AND(Q231&lt;&gt;"",ISNUMBER(H231)),Q231,"")</f>
        <v/>
      </c>
      <c r="W231">
        <f>IF(AND(Q231&lt;&gt;"",ISNUMBER(I231)),Q231,"")</f>
        <v/>
      </c>
      <c r="X231">
        <f>IF(AND(Q231&lt;&gt;"",ISNUMBER(J231)),Q231,"")</f>
        <v/>
      </c>
      <c r="Y231">
        <f>IF(AND(Q231&lt;&gt;"",ISNUMBER(K231)),Q231,"")</f>
        <v/>
      </c>
      <c r="Z231">
        <f>IF(AND(Q231&lt;&gt;"",ISNUMBER(L231)),Q231,"")</f>
        <v/>
      </c>
      <c r="AA231">
        <f>IF(AND(Q231&lt;&gt;"",ISNUMBER(M231)),Q231,"")</f>
        <v/>
      </c>
      <c r="AB231">
        <f>IF(AND(Q231&lt;&gt;"",ISNUMBER(K231)),K231,"")</f>
        <v/>
      </c>
      <c r="AC231">
        <f>IF(AND(Q231&lt;&gt;"",ISNUMBER(L231)),L231,"")</f>
        <v/>
      </c>
      <c r="AD231">
        <f>IF(AND(Q231&lt;&gt;"",ISNUMBER(M231)),M231,"")</f>
        <v/>
      </c>
    </row>
    <row r="232">
      <c r="A232" s="1" t="n"/>
      <c r="B232" s="17" t="n"/>
      <c r="C232" s="27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9" t="n"/>
      <c r="N232" s="21" t="n"/>
      <c r="O232" s="12">
        <f>IF(AND(B232="",C232=""),"",IF(NOT(ISNUMBER(B232)),"Needs a date",IF(C232="","Needs a client",IF(COUNTIF(Clients!$B$6:$B$105,C232)=0,"Not on Clients",IF(COUNT(D232:M232)=0,"Nothing measured","")))))</f>
        <v/>
      </c>
      <c r="P232" s="1">
        <f>IF(AND(O232="",ISNUMBER(B232)),INT(B232),0)</f>
        <v/>
      </c>
      <c r="Q232">
        <f>IF(AND(P232&gt;0,C232=Report!$C$5),P232*10000+ROW(),"")</f>
        <v/>
      </c>
      <c r="R232">
        <f>IF(AND(Q232&lt;&gt;"",ISNUMBER(D232)),Q232,"")</f>
        <v/>
      </c>
      <c r="S232">
        <f>IF(AND(Q232&lt;&gt;"",ISNUMBER(E232)),Q232,"")</f>
        <v/>
      </c>
      <c r="T232">
        <f>IF(AND(Q232&lt;&gt;"",ISNUMBER(F232)),Q232,"")</f>
        <v/>
      </c>
      <c r="U232">
        <f>IF(AND(Q232&lt;&gt;"",ISNUMBER(G232)),Q232,"")</f>
        <v/>
      </c>
      <c r="V232">
        <f>IF(AND(Q232&lt;&gt;"",ISNUMBER(H232)),Q232,"")</f>
        <v/>
      </c>
      <c r="W232">
        <f>IF(AND(Q232&lt;&gt;"",ISNUMBER(I232)),Q232,"")</f>
        <v/>
      </c>
      <c r="X232">
        <f>IF(AND(Q232&lt;&gt;"",ISNUMBER(J232)),Q232,"")</f>
        <v/>
      </c>
      <c r="Y232">
        <f>IF(AND(Q232&lt;&gt;"",ISNUMBER(K232)),Q232,"")</f>
        <v/>
      </c>
      <c r="Z232">
        <f>IF(AND(Q232&lt;&gt;"",ISNUMBER(L232)),Q232,"")</f>
        <v/>
      </c>
      <c r="AA232">
        <f>IF(AND(Q232&lt;&gt;"",ISNUMBER(M232)),Q232,"")</f>
        <v/>
      </c>
      <c r="AB232">
        <f>IF(AND(Q232&lt;&gt;"",ISNUMBER(K232)),K232,"")</f>
        <v/>
      </c>
      <c r="AC232">
        <f>IF(AND(Q232&lt;&gt;"",ISNUMBER(L232)),L232,"")</f>
        <v/>
      </c>
      <c r="AD232">
        <f>IF(AND(Q232&lt;&gt;"",ISNUMBER(M232)),M232,"")</f>
        <v/>
      </c>
    </row>
    <row r="233">
      <c r="A233" s="1" t="n"/>
      <c r="B233" s="17" t="n"/>
      <c r="C233" s="27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9" t="n"/>
      <c r="N233" s="21" t="n"/>
      <c r="O233" s="12">
        <f>IF(AND(B233="",C233=""),"",IF(NOT(ISNUMBER(B233)),"Needs a date",IF(C233="","Needs a client",IF(COUNTIF(Clients!$B$6:$B$105,C233)=0,"Not on Clients",IF(COUNT(D233:M233)=0,"Nothing measured","")))))</f>
        <v/>
      </c>
      <c r="P233" s="1">
        <f>IF(AND(O233="",ISNUMBER(B233)),INT(B233),0)</f>
        <v/>
      </c>
      <c r="Q233">
        <f>IF(AND(P233&gt;0,C233=Report!$C$5),P233*10000+ROW(),"")</f>
        <v/>
      </c>
      <c r="R233">
        <f>IF(AND(Q233&lt;&gt;"",ISNUMBER(D233)),Q233,"")</f>
        <v/>
      </c>
      <c r="S233">
        <f>IF(AND(Q233&lt;&gt;"",ISNUMBER(E233)),Q233,"")</f>
        <v/>
      </c>
      <c r="T233">
        <f>IF(AND(Q233&lt;&gt;"",ISNUMBER(F233)),Q233,"")</f>
        <v/>
      </c>
      <c r="U233">
        <f>IF(AND(Q233&lt;&gt;"",ISNUMBER(G233)),Q233,"")</f>
        <v/>
      </c>
      <c r="V233">
        <f>IF(AND(Q233&lt;&gt;"",ISNUMBER(H233)),Q233,"")</f>
        <v/>
      </c>
      <c r="W233">
        <f>IF(AND(Q233&lt;&gt;"",ISNUMBER(I233)),Q233,"")</f>
        <v/>
      </c>
      <c r="X233">
        <f>IF(AND(Q233&lt;&gt;"",ISNUMBER(J233)),Q233,"")</f>
        <v/>
      </c>
      <c r="Y233">
        <f>IF(AND(Q233&lt;&gt;"",ISNUMBER(K233)),Q233,"")</f>
        <v/>
      </c>
      <c r="Z233">
        <f>IF(AND(Q233&lt;&gt;"",ISNUMBER(L233)),Q233,"")</f>
        <v/>
      </c>
      <c r="AA233">
        <f>IF(AND(Q233&lt;&gt;"",ISNUMBER(M233)),Q233,"")</f>
        <v/>
      </c>
      <c r="AB233">
        <f>IF(AND(Q233&lt;&gt;"",ISNUMBER(K233)),K233,"")</f>
        <v/>
      </c>
      <c r="AC233">
        <f>IF(AND(Q233&lt;&gt;"",ISNUMBER(L233)),L233,"")</f>
        <v/>
      </c>
      <c r="AD233">
        <f>IF(AND(Q233&lt;&gt;"",ISNUMBER(M233)),M233,"")</f>
        <v/>
      </c>
    </row>
    <row r="234">
      <c r="A234" s="1" t="n"/>
      <c r="B234" s="17" t="n"/>
      <c r="C234" s="27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9" t="n"/>
      <c r="N234" s="21" t="n"/>
      <c r="O234" s="12">
        <f>IF(AND(B234="",C234=""),"",IF(NOT(ISNUMBER(B234)),"Needs a date",IF(C234="","Needs a client",IF(COUNTIF(Clients!$B$6:$B$105,C234)=0,"Not on Clients",IF(COUNT(D234:M234)=0,"Nothing measured","")))))</f>
        <v/>
      </c>
      <c r="P234" s="1">
        <f>IF(AND(O234="",ISNUMBER(B234)),INT(B234),0)</f>
        <v/>
      </c>
      <c r="Q234">
        <f>IF(AND(P234&gt;0,C234=Report!$C$5),P234*10000+ROW(),"")</f>
        <v/>
      </c>
      <c r="R234">
        <f>IF(AND(Q234&lt;&gt;"",ISNUMBER(D234)),Q234,"")</f>
        <v/>
      </c>
      <c r="S234">
        <f>IF(AND(Q234&lt;&gt;"",ISNUMBER(E234)),Q234,"")</f>
        <v/>
      </c>
      <c r="T234">
        <f>IF(AND(Q234&lt;&gt;"",ISNUMBER(F234)),Q234,"")</f>
        <v/>
      </c>
      <c r="U234">
        <f>IF(AND(Q234&lt;&gt;"",ISNUMBER(G234)),Q234,"")</f>
        <v/>
      </c>
      <c r="V234">
        <f>IF(AND(Q234&lt;&gt;"",ISNUMBER(H234)),Q234,"")</f>
        <v/>
      </c>
      <c r="W234">
        <f>IF(AND(Q234&lt;&gt;"",ISNUMBER(I234)),Q234,"")</f>
        <v/>
      </c>
      <c r="X234">
        <f>IF(AND(Q234&lt;&gt;"",ISNUMBER(J234)),Q234,"")</f>
        <v/>
      </c>
      <c r="Y234">
        <f>IF(AND(Q234&lt;&gt;"",ISNUMBER(K234)),Q234,"")</f>
        <v/>
      </c>
      <c r="Z234">
        <f>IF(AND(Q234&lt;&gt;"",ISNUMBER(L234)),Q234,"")</f>
        <v/>
      </c>
      <c r="AA234">
        <f>IF(AND(Q234&lt;&gt;"",ISNUMBER(M234)),Q234,"")</f>
        <v/>
      </c>
      <c r="AB234">
        <f>IF(AND(Q234&lt;&gt;"",ISNUMBER(K234)),K234,"")</f>
        <v/>
      </c>
      <c r="AC234">
        <f>IF(AND(Q234&lt;&gt;"",ISNUMBER(L234)),L234,"")</f>
        <v/>
      </c>
      <c r="AD234">
        <f>IF(AND(Q234&lt;&gt;"",ISNUMBER(M234)),M234,"")</f>
        <v/>
      </c>
    </row>
    <row r="235">
      <c r="A235" s="1" t="n"/>
      <c r="B235" s="17" t="n"/>
      <c r="C235" s="27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9" t="n"/>
      <c r="N235" s="21" t="n"/>
      <c r="O235" s="12">
        <f>IF(AND(B235="",C235=""),"",IF(NOT(ISNUMBER(B235)),"Needs a date",IF(C235="","Needs a client",IF(COUNTIF(Clients!$B$6:$B$105,C235)=0,"Not on Clients",IF(COUNT(D235:M235)=0,"Nothing measured","")))))</f>
        <v/>
      </c>
      <c r="P235" s="1">
        <f>IF(AND(O235="",ISNUMBER(B235)),INT(B235),0)</f>
        <v/>
      </c>
      <c r="Q235">
        <f>IF(AND(P235&gt;0,C235=Report!$C$5),P235*10000+ROW(),"")</f>
        <v/>
      </c>
      <c r="R235">
        <f>IF(AND(Q235&lt;&gt;"",ISNUMBER(D235)),Q235,"")</f>
        <v/>
      </c>
      <c r="S235">
        <f>IF(AND(Q235&lt;&gt;"",ISNUMBER(E235)),Q235,"")</f>
        <v/>
      </c>
      <c r="T235">
        <f>IF(AND(Q235&lt;&gt;"",ISNUMBER(F235)),Q235,"")</f>
        <v/>
      </c>
      <c r="U235">
        <f>IF(AND(Q235&lt;&gt;"",ISNUMBER(G235)),Q235,"")</f>
        <v/>
      </c>
      <c r="V235">
        <f>IF(AND(Q235&lt;&gt;"",ISNUMBER(H235)),Q235,"")</f>
        <v/>
      </c>
      <c r="W235">
        <f>IF(AND(Q235&lt;&gt;"",ISNUMBER(I235)),Q235,"")</f>
        <v/>
      </c>
      <c r="X235">
        <f>IF(AND(Q235&lt;&gt;"",ISNUMBER(J235)),Q235,"")</f>
        <v/>
      </c>
      <c r="Y235">
        <f>IF(AND(Q235&lt;&gt;"",ISNUMBER(K235)),Q235,"")</f>
        <v/>
      </c>
      <c r="Z235">
        <f>IF(AND(Q235&lt;&gt;"",ISNUMBER(L235)),Q235,"")</f>
        <v/>
      </c>
      <c r="AA235">
        <f>IF(AND(Q235&lt;&gt;"",ISNUMBER(M235)),Q235,"")</f>
        <v/>
      </c>
      <c r="AB235">
        <f>IF(AND(Q235&lt;&gt;"",ISNUMBER(K235)),K235,"")</f>
        <v/>
      </c>
      <c r="AC235">
        <f>IF(AND(Q235&lt;&gt;"",ISNUMBER(L235)),L235,"")</f>
        <v/>
      </c>
      <c r="AD235">
        <f>IF(AND(Q235&lt;&gt;"",ISNUMBER(M235)),M235,"")</f>
        <v/>
      </c>
    </row>
    <row r="236">
      <c r="A236" s="1" t="n"/>
      <c r="B236" s="17" t="n"/>
      <c r="C236" s="27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9" t="n"/>
      <c r="N236" s="21" t="n"/>
      <c r="O236" s="12">
        <f>IF(AND(B236="",C236=""),"",IF(NOT(ISNUMBER(B236)),"Needs a date",IF(C236="","Needs a client",IF(COUNTIF(Clients!$B$6:$B$105,C236)=0,"Not on Clients",IF(COUNT(D236:M236)=0,"Nothing measured","")))))</f>
        <v/>
      </c>
      <c r="P236" s="1">
        <f>IF(AND(O236="",ISNUMBER(B236)),INT(B236),0)</f>
        <v/>
      </c>
      <c r="Q236">
        <f>IF(AND(P236&gt;0,C236=Report!$C$5),P236*10000+ROW(),"")</f>
        <v/>
      </c>
      <c r="R236">
        <f>IF(AND(Q236&lt;&gt;"",ISNUMBER(D236)),Q236,"")</f>
        <v/>
      </c>
      <c r="S236">
        <f>IF(AND(Q236&lt;&gt;"",ISNUMBER(E236)),Q236,"")</f>
        <v/>
      </c>
      <c r="T236">
        <f>IF(AND(Q236&lt;&gt;"",ISNUMBER(F236)),Q236,"")</f>
        <v/>
      </c>
      <c r="U236">
        <f>IF(AND(Q236&lt;&gt;"",ISNUMBER(G236)),Q236,"")</f>
        <v/>
      </c>
      <c r="V236">
        <f>IF(AND(Q236&lt;&gt;"",ISNUMBER(H236)),Q236,"")</f>
        <v/>
      </c>
      <c r="W236">
        <f>IF(AND(Q236&lt;&gt;"",ISNUMBER(I236)),Q236,"")</f>
        <v/>
      </c>
      <c r="X236">
        <f>IF(AND(Q236&lt;&gt;"",ISNUMBER(J236)),Q236,"")</f>
        <v/>
      </c>
      <c r="Y236">
        <f>IF(AND(Q236&lt;&gt;"",ISNUMBER(K236)),Q236,"")</f>
        <v/>
      </c>
      <c r="Z236">
        <f>IF(AND(Q236&lt;&gt;"",ISNUMBER(L236)),Q236,"")</f>
        <v/>
      </c>
      <c r="AA236">
        <f>IF(AND(Q236&lt;&gt;"",ISNUMBER(M236)),Q236,"")</f>
        <v/>
      </c>
      <c r="AB236">
        <f>IF(AND(Q236&lt;&gt;"",ISNUMBER(K236)),K236,"")</f>
        <v/>
      </c>
      <c r="AC236">
        <f>IF(AND(Q236&lt;&gt;"",ISNUMBER(L236)),L236,"")</f>
        <v/>
      </c>
      <c r="AD236">
        <f>IF(AND(Q236&lt;&gt;"",ISNUMBER(M236)),M236,"")</f>
        <v/>
      </c>
    </row>
    <row r="237">
      <c r="A237" s="1" t="n"/>
      <c r="B237" s="17" t="n"/>
      <c r="C237" s="27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9" t="n"/>
      <c r="N237" s="21" t="n"/>
      <c r="O237" s="12">
        <f>IF(AND(B237="",C237=""),"",IF(NOT(ISNUMBER(B237)),"Needs a date",IF(C237="","Needs a client",IF(COUNTIF(Clients!$B$6:$B$105,C237)=0,"Not on Clients",IF(COUNT(D237:M237)=0,"Nothing measured","")))))</f>
        <v/>
      </c>
      <c r="P237" s="1">
        <f>IF(AND(O237="",ISNUMBER(B237)),INT(B237),0)</f>
        <v/>
      </c>
      <c r="Q237">
        <f>IF(AND(P237&gt;0,C237=Report!$C$5),P237*10000+ROW(),"")</f>
        <v/>
      </c>
      <c r="R237">
        <f>IF(AND(Q237&lt;&gt;"",ISNUMBER(D237)),Q237,"")</f>
        <v/>
      </c>
      <c r="S237">
        <f>IF(AND(Q237&lt;&gt;"",ISNUMBER(E237)),Q237,"")</f>
        <v/>
      </c>
      <c r="T237">
        <f>IF(AND(Q237&lt;&gt;"",ISNUMBER(F237)),Q237,"")</f>
        <v/>
      </c>
      <c r="U237">
        <f>IF(AND(Q237&lt;&gt;"",ISNUMBER(G237)),Q237,"")</f>
        <v/>
      </c>
      <c r="V237">
        <f>IF(AND(Q237&lt;&gt;"",ISNUMBER(H237)),Q237,"")</f>
        <v/>
      </c>
      <c r="W237">
        <f>IF(AND(Q237&lt;&gt;"",ISNUMBER(I237)),Q237,"")</f>
        <v/>
      </c>
      <c r="X237">
        <f>IF(AND(Q237&lt;&gt;"",ISNUMBER(J237)),Q237,"")</f>
        <v/>
      </c>
      <c r="Y237">
        <f>IF(AND(Q237&lt;&gt;"",ISNUMBER(K237)),Q237,"")</f>
        <v/>
      </c>
      <c r="Z237">
        <f>IF(AND(Q237&lt;&gt;"",ISNUMBER(L237)),Q237,"")</f>
        <v/>
      </c>
      <c r="AA237">
        <f>IF(AND(Q237&lt;&gt;"",ISNUMBER(M237)),Q237,"")</f>
        <v/>
      </c>
      <c r="AB237">
        <f>IF(AND(Q237&lt;&gt;"",ISNUMBER(K237)),K237,"")</f>
        <v/>
      </c>
      <c r="AC237">
        <f>IF(AND(Q237&lt;&gt;"",ISNUMBER(L237)),L237,"")</f>
        <v/>
      </c>
      <c r="AD237">
        <f>IF(AND(Q237&lt;&gt;"",ISNUMBER(M237)),M237,"")</f>
        <v/>
      </c>
    </row>
    <row r="238">
      <c r="A238" s="1" t="n"/>
      <c r="B238" s="17" t="n"/>
      <c r="C238" s="27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9" t="n"/>
      <c r="N238" s="21" t="n"/>
      <c r="O238" s="12">
        <f>IF(AND(B238="",C238=""),"",IF(NOT(ISNUMBER(B238)),"Needs a date",IF(C238="","Needs a client",IF(COUNTIF(Clients!$B$6:$B$105,C238)=0,"Not on Clients",IF(COUNT(D238:M238)=0,"Nothing measured","")))))</f>
        <v/>
      </c>
      <c r="P238" s="1">
        <f>IF(AND(O238="",ISNUMBER(B238)),INT(B238),0)</f>
        <v/>
      </c>
      <c r="Q238">
        <f>IF(AND(P238&gt;0,C238=Report!$C$5),P238*10000+ROW(),"")</f>
        <v/>
      </c>
      <c r="R238">
        <f>IF(AND(Q238&lt;&gt;"",ISNUMBER(D238)),Q238,"")</f>
        <v/>
      </c>
      <c r="S238">
        <f>IF(AND(Q238&lt;&gt;"",ISNUMBER(E238)),Q238,"")</f>
        <v/>
      </c>
      <c r="T238">
        <f>IF(AND(Q238&lt;&gt;"",ISNUMBER(F238)),Q238,"")</f>
        <v/>
      </c>
      <c r="U238">
        <f>IF(AND(Q238&lt;&gt;"",ISNUMBER(G238)),Q238,"")</f>
        <v/>
      </c>
      <c r="V238">
        <f>IF(AND(Q238&lt;&gt;"",ISNUMBER(H238)),Q238,"")</f>
        <v/>
      </c>
      <c r="W238">
        <f>IF(AND(Q238&lt;&gt;"",ISNUMBER(I238)),Q238,"")</f>
        <v/>
      </c>
      <c r="X238">
        <f>IF(AND(Q238&lt;&gt;"",ISNUMBER(J238)),Q238,"")</f>
        <v/>
      </c>
      <c r="Y238">
        <f>IF(AND(Q238&lt;&gt;"",ISNUMBER(K238)),Q238,"")</f>
        <v/>
      </c>
      <c r="Z238">
        <f>IF(AND(Q238&lt;&gt;"",ISNUMBER(L238)),Q238,"")</f>
        <v/>
      </c>
      <c r="AA238">
        <f>IF(AND(Q238&lt;&gt;"",ISNUMBER(M238)),Q238,"")</f>
        <v/>
      </c>
      <c r="AB238">
        <f>IF(AND(Q238&lt;&gt;"",ISNUMBER(K238)),K238,"")</f>
        <v/>
      </c>
      <c r="AC238">
        <f>IF(AND(Q238&lt;&gt;"",ISNUMBER(L238)),L238,"")</f>
        <v/>
      </c>
      <c r="AD238">
        <f>IF(AND(Q238&lt;&gt;"",ISNUMBER(M238)),M238,"")</f>
        <v/>
      </c>
    </row>
    <row r="239">
      <c r="A239" s="1" t="n"/>
      <c r="B239" s="17" t="n"/>
      <c r="C239" s="27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9" t="n"/>
      <c r="N239" s="21" t="n"/>
      <c r="O239" s="12">
        <f>IF(AND(B239="",C239=""),"",IF(NOT(ISNUMBER(B239)),"Needs a date",IF(C239="","Needs a client",IF(COUNTIF(Clients!$B$6:$B$105,C239)=0,"Not on Clients",IF(COUNT(D239:M239)=0,"Nothing measured","")))))</f>
        <v/>
      </c>
      <c r="P239" s="1">
        <f>IF(AND(O239="",ISNUMBER(B239)),INT(B239),0)</f>
        <v/>
      </c>
      <c r="Q239">
        <f>IF(AND(P239&gt;0,C239=Report!$C$5),P239*10000+ROW(),"")</f>
        <v/>
      </c>
      <c r="R239">
        <f>IF(AND(Q239&lt;&gt;"",ISNUMBER(D239)),Q239,"")</f>
        <v/>
      </c>
      <c r="S239">
        <f>IF(AND(Q239&lt;&gt;"",ISNUMBER(E239)),Q239,"")</f>
        <v/>
      </c>
      <c r="T239">
        <f>IF(AND(Q239&lt;&gt;"",ISNUMBER(F239)),Q239,"")</f>
        <v/>
      </c>
      <c r="U239">
        <f>IF(AND(Q239&lt;&gt;"",ISNUMBER(G239)),Q239,"")</f>
        <v/>
      </c>
      <c r="V239">
        <f>IF(AND(Q239&lt;&gt;"",ISNUMBER(H239)),Q239,"")</f>
        <v/>
      </c>
      <c r="W239">
        <f>IF(AND(Q239&lt;&gt;"",ISNUMBER(I239)),Q239,"")</f>
        <v/>
      </c>
      <c r="X239">
        <f>IF(AND(Q239&lt;&gt;"",ISNUMBER(J239)),Q239,"")</f>
        <v/>
      </c>
      <c r="Y239">
        <f>IF(AND(Q239&lt;&gt;"",ISNUMBER(K239)),Q239,"")</f>
        <v/>
      </c>
      <c r="Z239">
        <f>IF(AND(Q239&lt;&gt;"",ISNUMBER(L239)),Q239,"")</f>
        <v/>
      </c>
      <c r="AA239">
        <f>IF(AND(Q239&lt;&gt;"",ISNUMBER(M239)),Q239,"")</f>
        <v/>
      </c>
      <c r="AB239">
        <f>IF(AND(Q239&lt;&gt;"",ISNUMBER(K239)),K239,"")</f>
        <v/>
      </c>
      <c r="AC239">
        <f>IF(AND(Q239&lt;&gt;"",ISNUMBER(L239)),L239,"")</f>
        <v/>
      </c>
      <c r="AD239">
        <f>IF(AND(Q239&lt;&gt;"",ISNUMBER(M239)),M239,"")</f>
        <v/>
      </c>
    </row>
    <row r="240">
      <c r="A240" s="1" t="n"/>
      <c r="B240" s="17" t="n"/>
      <c r="C240" s="27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9" t="n"/>
      <c r="N240" s="21" t="n"/>
      <c r="O240" s="12">
        <f>IF(AND(B240="",C240=""),"",IF(NOT(ISNUMBER(B240)),"Needs a date",IF(C240="","Needs a client",IF(COUNTIF(Clients!$B$6:$B$105,C240)=0,"Not on Clients",IF(COUNT(D240:M240)=0,"Nothing measured","")))))</f>
        <v/>
      </c>
      <c r="P240" s="1">
        <f>IF(AND(O240="",ISNUMBER(B240)),INT(B240),0)</f>
        <v/>
      </c>
      <c r="Q240">
        <f>IF(AND(P240&gt;0,C240=Report!$C$5),P240*10000+ROW(),"")</f>
        <v/>
      </c>
      <c r="R240">
        <f>IF(AND(Q240&lt;&gt;"",ISNUMBER(D240)),Q240,"")</f>
        <v/>
      </c>
      <c r="S240">
        <f>IF(AND(Q240&lt;&gt;"",ISNUMBER(E240)),Q240,"")</f>
        <v/>
      </c>
      <c r="T240">
        <f>IF(AND(Q240&lt;&gt;"",ISNUMBER(F240)),Q240,"")</f>
        <v/>
      </c>
      <c r="U240">
        <f>IF(AND(Q240&lt;&gt;"",ISNUMBER(G240)),Q240,"")</f>
        <v/>
      </c>
      <c r="V240">
        <f>IF(AND(Q240&lt;&gt;"",ISNUMBER(H240)),Q240,"")</f>
        <v/>
      </c>
      <c r="W240">
        <f>IF(AND(Q240&lt;&gt;"",ISNUMBER(I240)),Q240,"")</f>
        <v/>
      </c>
      <c r="X240">
        <f>IF(AND(Q240&lt;&gt;"",ISNUMBER(J240)),Q240,"")</f>
        <v/>
      </c>
      <c r="Y240">
        <f>IF(AND(Q240&lt;&gt;"",ISNUMBER(K240)),Q240,"")</f>
        <v/>
      </c>
      <c r="Z240">
        <f>IF(AND(Q240&lt;&gt;"",ISNUMBER(L240)),Q240,"")</f>
        <v/>
      </c>
      <c r="AA240">
        <f>IF(AND(Q240&lt;&gt;"",ISNUMBER(M240)),Q240,"")</f>
        <v/>
      </c>
      <c r="AB240">
        <f>IF(AND(Q240&lt;&gt;"",ISNUMBER(K240)),K240,"")</f>
        <v/>
      </c>
      <c r="AC240">
        <f>IF(AND(Q240&lt;&gt;"",ISNUMBER(L240)),L240,"")</f>
        <v/>
      </c>
      <c r="AD240">
        <f>IF(AND(Q240&lt;&gt;"",ISNUMBER(M240)),M240,"")</f>
        <v/>
      </c>
    </row>
    <row r="241">
      <c r="A241" s="1" t="n"/>
      <c r="B241" s="17" t="n"/>
      <c r="C241" s="27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9" t="n"/>
      <c r="N241" s="21" t="n"/>
      <c r="O241" s="12">
        <f>IF(AND(B241="",C241=""),"",IF(NOT(ISNUMBER(B241)),"Needs a date",IF(C241="","Needs a client",IF(COUNTIF(Clients!$B$6:$B$105,C241)=0,"Not on Clients",IF(COUNT(D241:M241)=0,"Nothing measured","")))))</f>
        <v/>
      </c>
      <c r="P241" s="1">
        <f>IF(AND(O241="",ISNUMBER(B241)),INT(B241),0)</f>
        <v/>
      </c>
      <c r="Q241">
        <f>IF(AND(P241&gt;0,C241=Report!$C$5),P241*10000+ROW(),"")</f>
        <v/>
      </c>
      <c r="R241">
        <f>IF(AND(Q241&lt;&gt;"",ISNUMBER(D241)),Q241,"")</f>
        <v/>
      </c>
      <c r="S241">
        <f>IF(AND(Q241&lt;&gt;"",ISNUMBER(E241)),Q241,"")</f>
        <v/>
      </c>
      <c r="T241">
        <f>IF(AND(Q241&lt;&gt;"",ISNUMBER(F241)),Q241,"")</f>
        <v/>
      </c>
      <c r="U241">
        <f>IF(AND(Q241&lt;&gt;"",ISNUMBER(G241)),Q241,"")</f>
        <v/>
      </c>
      <c r="V241">
        <f>IF(AND(Q241&lt;&gt;"",ISNUMBER(H241)),Q241,"")</f>
        <v/>
      </c>
      <c r="W241">
        <f>IF(AND(Q241&lt;&gt;"",ISNUMBER(I241)),Q241,"")</f>
        <v/>
      </c>
      <c r="X241">
        <f>IF(AND(Q241&lt;&gt;"",ISNUMBER(J241)),Q241,"")</f>
        <v/>
      </c>
      <c r="Y241">
        <f>IF(AND(Q241&lt;&gt;"",ISNUMBER(K241)),Q241,"")</f>
        <v/>
      </c>
      <c r="Z241">
        <f>IF(AND(Q241&lt;&gt;"",ISNUMBER(L241)),Q241,"")</f>
        <v/>
      </c>
      <c r="AA241">
        <f>IF(AND(Q241&lt;&gt;"",ISNUMBER(M241)),Q241,"")</f>
        <v/>
      </c>
      <c r="AB241">
        <f>IF(AND(Q241&lt;&gt;"",ISNUMBER(K241)),K241,"")</f>
        <v/>
      </c>
      <c r="AC241">
        <f>IF(AND(Q241&lt;&gt;"",ISNUMBER(L241)),L241,"")</f>
        <v/>
      </c>
      <c r="AD241">
        <f>IF(AND(Q241&lt;&gt;"",ISNUMBER(M241)),M241,"")</f>
        <v/>
      </c>
    </row>
    <row r="242">
      <c r="A242" s="1" t="n"/>
      <c r="B242" s="17" t="n"/>
      <c r="C242" s="27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9" t="n"/>
      <c r="N242" s="21" t="n"/>
      <c r="O242" s="12">
        <f>IF(AND(B242="",C242=""),"",IF(NOT(ISNUMBER(B242)),"Needs a date",IF(C242="","Needs a client",IF(COUNTIF(Clients!$B$6:$B$105,C242)=0,"Not on Clients",IF(COUNT(D242:M242)=0,"Nothing measured","")))))</f>
        <v/>
      </c>
      <c r="P242" s="1">
        <f>IF(AND(O242="",ISNUMBER(B242)),INT(B242),0)</f>
        <v/>
      </c>
      <c r="Q242">
        <f>IF(AND(P242&gt;0,C242=Report!$C$5),P242*10000+ROW(),"")</f>
        <v/>
      </c>
      <c r="R242">
        <f>IF(AND(Q242&lt;&gt;"",ISNUMBER(D242)),Q242,"")</f>
        <v/>
      </c>
      <c r="S242">
        <f>IF(AND(Q242&lt;&gt;"",ISNUMBER(E242)),Q242,"")</f>
        <v/>
      </c>
      <c r="T242">
        <f>IF(AND(Q242&lt;&gt;"",ISNUMBER(F242)),Q242,"")</f>
        <v/>
      </c>
      <c r="U242">
        <f>IF(AND(Q242&lt;&gt;"",ISNUMBER(G242)),Q242,"")</f>
        <v/>
      </c>
      <c r="V242">
        <f>IF(AND(Q242&lt;&gt;"",ISNUMBER(H242)),Q242,"")</f>
        <v/>
      </c>
      <c r="W242">
        <f>IF(AND(Q242&lt;&gt;"",ISNUMBER(I242)),Q242,"")</f>
        <v/>
      </c>
      <c r="X242">
        <f>IF(AND(Q242&lt;&gt;"",ISNUMBER(J242)),Q242,"")</f>
        <v/>
      </c>
      <c r="Y242">
        <f>IF(AND(Q242&lt;&gt;"",ISNUMBER(K242)),Q242,"")</f>
        <v/>
      </c>
      <c r="Z242">
        <f>IF(AND(Q242&lt;&gt;"",ISNUMBER(L242)),Q242,"")</f>
        <v/>
      </c>
      <c r="AA242">
        <f>IF(AND(Q242&lt;&gt;"",ISNUMBER(M242)),Q242,"")</f>
        <v/>
      </c>
      <c r="AB242">
        <f>IF(AND(Q242&lt;&gt;"",ISNUMBER(K242)),K242,"")</f>
        <v/>
      </c>
      <c r="AC242">
        <f>IF(AND(Q242&lt;&gt;"",ISNUMBER(L242)),L242,"")</f>
        <v/>
      </c>
      <c r="AD242">
        <f>IF(AND(Q242&lt;&gt;"",ISNUMBER(M242)),M242,"")</f>
        <v/>
      </c>
    </row>
    <row r="243">
      <c r="A243" s="1" t="n"/>
      <c r="B243" s="17" t="n"/>
      <c r="C243" s="27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9" t="n"/>
      <c r="N243" s="21" t="n"/>
      <c r="O243" s="12">
        <f>IF(AND(B243="",C243=""),"",IF(NOT(ISNUMBER(B243)),"Needs a date",IF(C243="","Needs a client",IF(COUNTIF(Clients!$B$6:$B$105,C243)=0,"Not on Clients",IF(COUNT(D243:M243)=0,"Nothing measured","")))))</f>
        <v/>
      </c>
      <c r="P243" s="1">
        <f>IF(AND(O243="",ISNUMBER(B243)),INT(B243),0)</f>
        <v/>
      </c>
      <c r="Q243">
        <f>IF(AND(P243&gt;0,C243=Report!$C$5),P243*10000+ROW(),"")</f>
        <v/>
      </c>
      <c r="R243">
        <f>IF(AND(Q243&lt;&gt;"",ISNUMBER(D243)),Q243,"")</f>
        <v/>
      </c>
      <c r="S243">
        <f>IF(AND(Q243&lt;&gt;"",ISNUMBER(E243)),Q243,"")</f>
        <v/>
      </c>
      <c r="T243">
        <f>IF(AND(Q243&lt;&gt;"",ISNUMBER(F243)),Q243,"")</f>
        <v/>
      </c>
      <c r="U243">
        <f>IF(AND(Q243&lt;&gt;"",ISNUMBER(G243)),Q243,"")</f>
        <v/>
      </c>
      <c r="V243">
        <f>IF(AND(Q243&lt;&gt;"",ISNUMBER(H243)),Q243,"")</f>
        <v/>
      </c>
      <c r="W243">
        <f>IF(AND(Q243&lt;&gt;"",ISNUMBER(I243)),Q243,"")</f>
        <v/>
      </c>
      <c r="X243">
        <f>IF(AND(Q243&lt;&gt;"",ISNUMBER(J243)),Q243,"")</f>
        <v/>
      </c>
      <c r="Y243">
        <f>IF(AND(Q243&lt;&gt;"",ISNUMBER(K243)),Q243,"")</f>
        <v/>
      </c>
      <c r="Z243">
        <f>IF(AND(Q243&lt;&gt;"",ISNUMBER(L243)),Q243,"")</f>
        <v/>
      </c>
      <c r="AA243">
        <f>IF(AND(Q243&lt;&gt;"",ISNUMBER(M243)),Q243,"")</f>
        <v/>
      </c>
      <c r="AB243">
        <f>IF(AND(Q243&lt;&gt;"",ISNUMBER(K243)),K243,"")</f>
        <v/>
      </c>
      <c r="AC243">
        <f>IF(AND(Q243&lt;&gt;"",ISNUMBER(L243)),L243,"")</f>
        <v/>
      </c>
      <c r="AD243">
        <f>IF(AND(Q243&lt;&gt;"",ISNUMBER(M243)),M243,"")</f>
        <v/>
      </c>
    </row>
    <row r="244">
      <c r="A244" s="1" t="n"/>
      <c r="B244" s="17" t="n"/>
      <c r="C244" s="27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9" t="n"/>
      <c r="N244" s="21" t="n"/>
      <c r="O244" s="12">
        <f>IF(AND(B244="",C244=""),"",IF(NOT(ISNUMBER(B244)),"Needs a date",IF(C244="","Needs a client",IF(COUNTIF(Clients!$B$6:$B$105,C244)=0,"Not on Clients",IF(COUNT(D244:M244)=0,"Nothing measured","")))))</f>
        <v/>
      </c>
      <c r="P244" s="1">
        <f>IF(AND(O244="",ISNUMBER(B244)),INT(B244),0)</f>
        <v/>
      </c>
      <c r="Q244">
        <f>IF(AND(P244&gt;0,C244=Report!$C$5),P244*10000+ROW(),"")</f>
        <v/>
      </c>
      <c r="R244">
        <f>IF(AND(Q244&lt;&gt;"",ISNUMBER(D244)),Q244,"")</f>
        <v/>
      </c>
      <c r="S244">
        <f>IF(AND(Q244&lt;&gt;"",ISNUMBER(E244)),Q244,"")</f>
        <v/>
      </c>
      <c r="T244">
        <f>IF(AND(Q244&lt;&gt;"",ISNUMBER(F244)),Q244,"")</f>
        <v/>
      </c>
      <c r="U244">
        <f>IF(AND(Q244&lt;&gt;"",ISNUMBER(G244)),Q244,"")</f>
        <v/>
      </c>
      <c r="V244">
        <f>IF(AND(Q244&lt;&gt;"",ISNUMBER(H244)),Q244,"")</f>
        <v/>
      </c>
      <c r="W244">
        <f>IF(AND(Q244&lt;&gt;"",ISNUMBER(I244)),Q244,"")</f>
        <v/>
      </c>
      <c r="X244">
        <f>IF(AND(Q244&lt;&gt;"",ISNUMBER(J244)),Q244,"")</f>
        <v/>
      </c>
      <c r="Y244">
        <f>IF(AND(Q244&lt;&gt;"",ISNUMBER(K244)),Q244,"")</f>
        <v/>
      </c>
      <c r="Z244">
        <f>IF(AND(Q244&lt;&gt;"",ISNUMBER(L244)),Q244,"")</f>
        <v/>
      </c>
      <c r="AA244">
        <f>IF(AND(Q244&lt;&gt;"",ISNUMBER(M244)),Q244,"")</f>
        <v/>
      </c>
      <c r="AB244">
        <f>IF(AND(Q244&lt;&gt;"",ISNUMBER(K244)),K244,"")</f>
        <v/>
      </c>
      <c r="AC244">
        <f>IF(AND(Q244&lt;&gt;"",ISNUMBER(L244)),L244,"")</f>
        <v/>
      </c>
      <c r="AD244">
        <f>IF(AND(Q244&lt;&gt;"",ISNUMBER(M244)),M244,"")</f>
        <v/>
      </c>
    </row>
    <row r="245">
      <c r="A245" s="1" t="n"/>
      <c r="B245" s="17" t="n"/>
      <c r="C245" s="27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9" t="n"/>
      <c r="N245" s="21" t="n"/>
      <c r="O245" s="12">
        <f>IF(AND(B245="",C245=""),"",IF(NOT(ISNUMBER(B245)),"Needs a date",IF(C245="","Needs a client",IF(COUNTIF(Clients!$B$6:$B$105,C245)=0,"Not on Clients",IF(COUNT(D245:M245)=0,"Nothing measured","")))))</f>
        <v/>
      </c>
      <c r="P245" s="1">
        <f>IF(AND(O245="",ISNUMBER(B245)),INT(B245),0)</f>
        <v/>
      </c>
      <c r="Q245">
        <f>IF(AND(P245&gt;0,C245=Report!$C$5),P245*10000+ROW(),"")</f>
        <v/>
      </c>
      <c r="R245">
        <f>IF(AND(Q245&lt;&gt;"",ISNUMBER(D245)),Q245,"")</f>
        <v/>
      </c>
      <c r="S245">
        <f>IF(AND(Q245&lt;&gt;"",ISNUMBER(E245)),Q245,"")</f>
        <v/>
      </c>
      <c r="T245">
        <f>IF(AND(Q245&lt;&gt;"",ISNUMBER(F245)),Q245,"")</f>
        <v/>
      </c>
      <c r="U245">
        <f>IF(AND(Q245&lt;&gt;"",ISNUMBER(G245)),Q245,"")</f>
        <v/>
      </c>
      <c r="V245">
        <f>IF(AND(Q245&lt;&gt;"",ISNUMBER(H245)),Q245,"")</f>
        <v/>
      </c>
      <c r="W245">
        <f>IF(AND(Q245&lt;&gt;"",ISNUMBER(I245)),Q245,"")</f>
        <v/>
      </c>
      <c r="X245">
        <f>IF(AND(Q245&lt;&gt;"",ISNUMBER(J245)),Q245,"")</f>
        <v/>
      </c>
      <c r="Y245">
        <f>IF(AND(Q245&lt;&gt;"",ISNUMBER(K245)),Q245,"")</f>
        <v/>
      </c>
      <c r="Z245">
        <f>IF(AND(Q245&lt;&gt;"",ISNUMBER(L245)),Q245,"")</f>
        <v/>
      </c>
      <c r="AA245">
        <f>IF(AND(Q245&lt;&gt;"",ISNUMBER(M245)),Q245,"")</f>
        <v/>
      </c>
      <c r="AB245">
        <f>IF(AND(Q245&lt;&gt;"",ISNUMBER(K245)),K245,"")</f>
        <v/>
      </c>
      <c r="AC245">
        <f>IF(AND(Q245&lt;&gt;"",ISNUMBER(L245)),L245,"")</f>
        <v/>
      </c>
      <c r="AD245">
        <f>IF(AND(Q245&lt;&gt;"",ISNUMBER(M245)),M245,"")</f>
        <v/>
      </c>
    </row>
    <row r="246">
      <c r="A246" s="1" t="n"/>
      <c r="B246" s="17" t="n"/>
      <c r="C246" s="27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9" t="n"/>
      <c r="N246" s="21" t="n"/>
      <c r="O246" s="12">
        <f>IF(AND(B246="",C246=""),"",IF(NOT(ISNUMBER(B246)),"Needs a date",IF(C246="","Needs a client",IF(COUNTIF(Clients!$B$6:$B$105,C246)=0,"Not on Clients",IF(COUNT(D246:M246)=0,"Nothing measured","")))))</f>
        <v/>
      </c>
      <c r="P246" s="1">
        <f>IF(AND(O246="",ISNUMBER(B246)),INT(B246),0)</f>
        <v/>
      </c>
      <c r="Q246">
        <f>IF(AND(P246&gt;0,C246=Report!$C$5),P246*10000+ROW(),"")</f>
        <v/>
      </c>
      <c r="R246">
        <f>IF(AND(Q246&lt;&gt;"",ISNUMBER(D246)),Q246,"")</f>
        <v/>
      </c>
      <c r="S246">
        <f>IF(AND(Q246&lt;&gt;"",ISNUMBER(E246)),Q246,"")</f>
        <v/>
      </c>
      <c r="T246">
        <f>IF(AND(Q246&lt;&gt;"",ISNUMBER(F246)),Q246,"")</f>
        <v/>
      </c>
      <c r="U246">
        <f>IF(AND(Q246&lt;&gt;"",ISNUMBER(G246)),Q246,"")</f>
        <v/>
      </c>
      <c r="V246">
        <f>IF(AND(Q246&lt;&gt;"",ISNUMBER(H246)),Q246,"")</f>
        <v/>
      </c>
      <c r="W246">
        <f>IF(AND(Q246&lt;&gt;"",ISNUMBER(I246)),Q246,"")</f>
        <v/>
      </c>
      <c r="X246">
        <f>IF(AND(Q246&lt;&gt;"",ISNUMBER(J246)),Q246,"")</f>
        <v/>
      </c>
      <c r="Y246">
        <f>IF(AND(Q246&lt;&gt;"",ISNUMBER(K246)),Q246,"")</f>
        <v/>
      </c>
      <c r="Z246">
        <f>IF(AND(Q246&lt;&gt;"",ISNUMBER(L246)),Q246,"")</f>
        <v/>
      </c>
      <c r="AA246">
        <f>IF(AND(Q246&lt;&gt;"",ISNUMBER(M246)),Q246,"")</f>
        <v/>
      </c>
      <c r="AB246">
        <f>IF(AND(Q246&lt;&gt;"",ISNUMBER(K246)),K246,"")</f>
        <v/>
      </c>
      <c r="AC246">
        <f>IF(AND(Q246&lt;&gt;"",ISNUMBER(L246)),L246,"")</f>
        <v/>
      </c>
      <c r="AD246">
        <f>IF(AND(Q246&lt;&gt;"",ISNUMBER(M246)),M246,"")</f>
        <v/>
      </c>
    </row>
    <row r="247">
      <c r="A247" s="1" t="n"/>
      <c r="B247" s="17" t="n"/>
      <c r="C247" s="27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9" t="n"/>
      <c r="N247" s="21" t="n"/>
      <c r="O247" s="12">
        <f>IF(AND(B247="",C247=""),"",IF(NOT(ISNUMBER(B247)),"Needs a date",IF(C247="","Needs a client",IF(COUNTIF(Clients!$B$6:$B$105,C247)=0,"Not on Clients",IF(COUNT(D247:M247)=0,"Nothing measured","")))))</f>
        <v/>
      </c>
      <c r="P247" s="1">
        <f>IF(AND(O247="",ISNUMBER(B247)),INT(B247),0)</f>
        <v/>
      </c>
      <c r="Q247">
        <f>IF(AND(P247&gt;0,C247=Report!$C$5),P247*10000+ROW(),"")</f>
        <v/>
      </c>
      <c r="R247">
        <f>IF(AND(Q247&lt;&gt;"",ISNUMBER(D247)),Q247,"")</f>
        <v/>
      </c>
      <c r="S247">
        <f>IF(AND(Q247&lt;&gt;"",ISNUMBER(E247)),Q247,"")</f>
        <v/>
      </c>
      <c r="T247">
        <f>IF(AND(Q247&lt;&gt;"",ISNUMBER(F247)),Q247,"")</f>
        <v/>
      </c>
      <c r="U247">
        <f>IF(AND(Q247&lt;&gt;"",ISNUMBER(G247)),Q247,"")</f>
        <v/>
      </c>
      <c r="V247">
        <f>IF(AND(Q247&lt;&gt;"",ISNUMBER(H247)),Q247,"")</f>
        <v/>
      </c>
      <c r="W247">
        <f>IF(AND(Q247&lt;&gt;"",ISNUMBER(I247)),Q247,"")</f>
        <v/>
      </c>
      <c r="X247">
        <f>IF(AND(Q247&lt;&gt;"",ISNUMBER(J247)),Q247,"")</f>
        <v/>
      </c>
      <c r="Y247">
        <f>IF(AND(Q247&lt;&gt;"",ISNUMBER(K247)),Q247,"")</f>
        <v/>
      </c>
      <c r="Z247">
        <f>IF(AND(Q247&lt;&gt;"",ISNUMBER(L247)),Q247,"")</f>
        <v/>
      </c>
      <c r="AA247">
        <f>IF(AND(Q247&lt;&gt;"",ISNUMBER(M247)),Q247,"")</f>
        <v/>
      </c>
      <c r="AB247">
        <f>IF(AND(Q247&lt;&gt;"",ISNUMBER(K247)),K247,"")</f>
        <v/>
      </c>
      <c r="AC247">
        <f>IF(AND(Q247&lt;&gt;"",ISNUMBER(L247)),L247,"")</f>
        <v/>
      </c>
      <c r="AD247">
        <f>IF(AND(Q247&lt;&gt;"",ISNUMBER(M247)),M247,"")</f>
        <v/>
      </c>
    </row>
    <row r="248">
      <c r="A248" s="1" t="n"/>
      <c r="B248" s="17" t="n"/>
      <c r="C248" s="27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9" t="n"/>
      <c r="N248" s="21" t="n"/>
      <c r="O248" s="12">
        <f>IF(AND(B248="",C248=""),"",IF(NOT(ISNUMBER(B248)),"Needs a date",IF(C248="","Needs a client",IF(COUNTIF(Clients!$B$6:$B$105,C248)=0,"Not on Clients",IF(COUNT(D248:M248)=0,"Nothing measured","")))))</f>
        <v/>
      </c>
      <c r="P248" s="1">
        <f>IF(AND(O248="",ISNUMBER(B248)),INT(B248),0)</f>
        <v/>
      </c>
      <c r="Q248">
        <f>IF(AND(P248&gt;0,C248=Report!$C$5),P248*10000+ROW(),"")</f>
        <v/>
      </c>
      <c r="R248">
        <f>IF(AND(Q248&lt;&gt;"",ISNUMBER(D248)),Q248,"")</f>
        <v/>
      </c>
      <c r="S248">
        <f>IF(AND(Q248&lt;&gt;"",ISNUMBER(E248)),Q248,"")</f>
        <v/>
      </c>
      <c r="T248">
        <f>IF(AND(Q248&lt;&gt;"",ISNUMBER(F248)),Q248,"")</f>
        <v/>
      </c>
      <c r="U248">
        <f>IF(AND(Q248&lt;&gt;"",ISNUMBER(G248)),Q248,"")</f>
        <v/>
      </c>
      <c r="V248">
        <f>IF(AND(Q248&lt;&gt;"",ISNUMBER(H248)),Q248,"")</f>
        <v/>
      </c>
      <c r="W248">
        <f>IF(AND(Q248&lt;&gt;"",ISNUMBER(I248)),Q248,"")</f>
        <v/>
      </c>
      <c r="X248">
        <f>IF(AND(Q248&lt;&gt;"",ISNUMBER(J248)),Q248,"")</f>
        <v/>
      </c>
      <c r="Y248">
        <f>IF(AND(Q248&lt;&gt;"",ISNUMBER(K248)),Q248,"")</f>
        <v/>
      </c>
      <c r="Z248">
        <f>IF(AND(Q248&lt;&gt;"",ISNUMBER(L248)),Q248,"")</f>
        <v/>
      </c>
      <c r="AA248">
        <f>IF(AND(Q248&lt;&gt;"",ISNUMBER(M248)),Q248,"")</f>
        <v/>
      </c>
      <c r="AB248">
        <f>IF(AND(Q248&lt;&gt;"",ISNUMBER(K248)),K248,"")</f>
        <v/>
      </c>
      <c r="AC248">
        <f>IF(AND(Q248&lt;&gt;"",ISNUMBER(L248)),L248,"")</f>
        <v/>
      </c>
      <c r="AD248">
        <f>IF(AND(Q248&lt;&gt;"",ISNUMBER(M248)),M248,"")</f>
        <v/>
      </c>
    </row>
    <row r="249">
      <c r="A249" s="1" t="n"/>
      <c r="B249" s="17" t="n"/>
      <c r="C249" s="27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9" t="n"/>
      <c r="N249" s="21" t="n"/>
      <c r="O249" s="12">
        <f>IF(AND(B249="",C249=""),"",IF(NOT(ISNUMBER(B249)),"Needs a date",IF(C249="","Needs a client",IF(COUNTIF(Clients!$B$6:$B$105,C249)=0,"Not on Clients",IF(COUNT(D249:M249)=0,"Nothing measured","")))))</f>
        <v/>
      </c>
      <c r="P249" s="1">
        <f>IF(AND(O249="",ISNUMBER(B249)),INT(B249),0)</f>
        <v/>
      </c>
      <c r="Q249">
        <f>IF(AND(P249&gt;0,C249=Report!$C$5),P249*10000+ROW(),"")</f>
        <v/>
      </c>
      <c r="R249">
        <f>IF(AND(Q249&lt;&gt;"",ISNUMBER(D249)),Q249,"")</f>
        <v/>
      </c>
      <c r="S249">
        <f>IF(AND(Q249&lt;&gt;"",ISNUMBER(E249)),Q249,"")</f>
        <v/>
      </c>
      <c r="T249">
        <f>IF(AND(Q249&lt;&gt;"",ISNUMBER(F249)),Q249,"")</f>
        <v/>
      </c>
      <c r="U249">
        <f>IF(AND(Q249&lt;&gt;"",ISNUMBER(G249)),Q249,"")</f>
        <v/>
      </c>
      <c r="V249">
        <f>IF(AND(Q249&lt;&gt;"",ISNUMBER(H249)),Q249,"")</f>
        <v/>
      </c>
      <c r="W249">
        <f>IF(AND(Q249&lt;&gt;"",ISNUMBER(I249)),Q249,"")</f>
        <v/>
      </c>
      <c r="X249">
        <f>IF(AND(Q249&lt;&gt;"",ISNUMBER(J249)),Q249,"")</f>
        <v/>
      </c>
      <c r="Y249">
        <f>IF(AND(Q249&lt;&gt;"",ISNUMBER(K249)),Q249,"")</f>
        <v/>
      </c>
      <c r="Z249">
        <f>IF(AND(Q249&lt;&gt;"",ISNUMBER(L249)),Q249,"")</f>
        <v/>
      </c>
      <c r="AA249">
        <f>IF(AND(Q249&lt;&gt;"",ISNUMBER(M249)),Q249,"")</f>
        <v/>
      </c>
      <c r="AB249">
        <f>IF(AND(Q249&lt;&gt;"",ISNUMBER(K249)),K249,"")</f>
        <v/>
      </c>
      <c r="AC249">
        <f>IF(AND(Q249&lt;&gt;"",ISNUMBER(L249)),L249,"")</f>
        <v/>
      </c>
      <c r="AD249">
        <f>IF(AND(Q249&lt;&gt;"",ISNUMBER(M249)),M249,"")</f>
        <v/>
      </c>
    </row>
    <row r="250">
      <c r="A250" s="1" t="n"/>
      <c r="B250" s="17" t="n"/>
      <c r="C250" s="27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9" t="n"/>
      <c r="N250" s="21" t="n"/>
      <c r="O250" s="12">
        <f>IF(AND(B250="",C250=""),"",IF(NOT(ISNUMBER(B250)),"Needs a date",IF(C250="","Needs a client",IF(COUNTIF(Clients!$B$6:$B$105,C250)=0,"Not on Clients",IF(COUNT(D250:M250)=0,"Nothing measured","")))))</f>
        <v/>
      </c>
      <c r="P250" s="1">
        <f>IF(AND(O250="",ISNUMBER(B250)),INT(B250),0)</f>
        <v/>
      </c>
      <c r="Q250">
        <f>IF(AND(P250&gt;0,C250=Report!$C$5),P250*10000+ROW(),"")</f>
        <v/>
      </c>
      <c r="R250">
        <f>IF(AND(Q250&lt;&gt;"",ISNUMBER(D250)),Q250,"")</f>
        <v/>
      </c>
      <c r="S250">
        <f>IF(AND(Q250&lt;&gt;"",ISNUMBER(E250)),Q250,"")</f>
        <v/>
      </c>
      <c r="T250">
        <f>IF(AND(Q250&lt;&gt;"",ISNUMBER(F250)),Q250,"")</f>
        <v/>
      </c>
      <c r="U250">
        <f>IF(AND(Q250&lt;&gt;"",ISNUMBER(G250)),Q250,"")</f>
        <v/>
      </c>
      <c r="V250">
        <f>IF(AND(Q250&lt;&gt;"",ISNUMBER(H250)),Q250,"")</f>
        <v/>
      </c>
      <c r="W250">
        <f>IF(AND(Q250&lt;&gt;"",ISNUMBER(I250)),Q250,"")</f>
        <v/>
      </c>
      <c r="X250">
        <f>IF(AND(Q250&lt;&gt;"",ISNUMBER(J250)),Q250,"")</f>
        <v/>
      </c>
      <c r="Y250">
        <f>IF(AND(Q250&lt;&gt;"",ISNUMBER(K250)),Q250,"")</f>
        <v/>
      </c>
      <c r="Z250">
        <f>IF(AND(Q250&lt;&gt;"",ISNUMBER(L250)),Q250,"")</f>
        <v/>
      </c>
      <c r="AA250">
        <f>IF(AND(Q250&lt;&gt;"",ISNUMBER(M250)),Q250,"")</f>
        <v/>
      </c>
      <c r="AB250">
        <f>IF(AND(Q250&lt;&gt;"",ISNUMBER(K250)),K250,"")</f>
        <v/>
      </c>
      <c r="AC250">
        <f>IF(AND(Q250&lt;&gt;"",ISNUMBER(L250)),L250,"")</f>
        <v/>
      </c>
      <c r="AD250">
        <f>IF(AND(Q250&lt;&gt;"",ISNUMBER(M250)),M250,"")</f>
        <v/>
      </c>
    </row>
    <row r="251">
      <c r="A251" s="1" t="n"/>
      <c r="B251" s="17" t="n"/>
      <c r="C251" s="27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9" t="n"/>
      <c r="N251" s="21" t="n"/>
      <c r="O251" s="12">
        <f>IF(AND(B251="",C251=""),"",IF(NOT(ISNUMBER(B251)),"Needs a date",IF(C251="","Needs a client",IF(COUNTIF(Clients!$B$6:$B$105,C251)=0,"Not on Clients",IF(COUNT(D251:M251)=0,"Nothing measured","")))))</f>
        <v/>
      </c>
      <c r="P251" s="1">
        <f>IF(AND(O251="",ISNUMBER(B251)),INT(B251),0)</f>
        <v/>
      </c>
      <c r="Q251">
        <f>IF(AND(P251&gt;0,C251=Report!$C$5),P251*10000+ROW(),"")</f>
        <v/>
      </c>
      <c r="R251">
        <f>IF(AND(Q251&lt;&gt;"",ISNUMBER(D251)),Q251,"")</f>
        <v/>
      </c>
      <c r="S251">
        <f>IF(AND(Q251&lt;&gt;"",ISNUMBER(E251)),Q251,"")</f>
        <v/>
      </c>
      <c r="T251">
        <f>IF(AND(Q251&lt;&gt;"",ISNUMBER(F251)),Q251,"")</f>
        <v/>
      </c>
      <c r="U251">
        <f>IF(AND(Q251&lt;&gt;"",ISNUMBER(G251)),Q251,"")</f>
        <v/>
      </c>
      <c r="V251">
        <f>IF(AND(Q251&lt;&gt;"",ISNUMBER(H251)),Q251,"")</f>
        <v/>
      </c>
      <c r="W251">
        <f>IF(AND(Q251&lt;&gt;"",ISNUMBER(I251)),Q251,"")</f>
        <v/>
      </c>
      <c r="X251">
        <f>IF(AND(Q251&lt;&gt;"",ISNUMBER(J251)),Q251,"")</f>
        <v/>
      </c>
      <c r="Y251">
        <f>IF(AND(Q251&lt;&gt;"",ISNUMBER(K251)),Q251,"")</f>
        <v/>
      </c>
      <c r="Z251">
        <f>IF(AND(Q251&lt;&gt;"",ISNUMBER(L251)),Q251,"")</f>
        <v/>
      </c>
      <c r="AA251">
        <f>IF(AND(Q251&lt;&gt;"",ISNUMBER(M251)),Q251,"")</f>
        <v/>
      </c>
      <c r="AB251">
        <f>IF(AND(Q251&lt;&gt;"",ISNUMBER(K251)),K251,"")</f>
        <v/>
      </c>
      <c r="AC251">
        <f>IF(AND(Q251&lt;&gt;"",ISNUMBER(L251)),L251,"")</f>
        <v/>
      </c>
      <c r="AD251">
        <f>IF(AND(Q251&lt;&gt;"",ISNUMBER(M251)),M251,"")</f>
        <v/>
      </c>
    </row>
    <row r="252">
      <c r="A252" s="1" t="n"/>
      <c r="B252" s="17" t="n"/>
      <c r="C252" s="27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9" t="n"/>
      <c r="N252" s="21" t="n"/>
      <c r="O252" s="12">
        <f>IF(AND(B252="",C252=""),"",IF(NOT(ISNUMBER(B252)),"Needs a date",IF(C252="","Needs a client",IF(COUNTIF(Clients!$B$6:$B$105,C252)=0,"Not on Clients",IF(COUNT(D252:M252)=0,"Nothing measured","")))))</f>
        <v/>
      </c>
      <c r="P252" s="1">
        <f>IF(AND(O252="",ISNUMBER(B252)),INT(B252),0)</f>
        <v/>
      </c>
      <c r="Q252">
        <f>IF(AND(P252&gt;0,C252=Report!$C$5),P252*10000+ROW(),"")</f>
        <v/>
      </c>
      <c r="R252">
        <f>IF(AND(Q252&lt;&gt;"",ISNUMBER(D252)),Q252,"")</f>
        <v/>
      </c>
      <c r="S252">
        <f>IF(AND(Q252&lt;&gt;"",ISNUMBER(E252)),Q252,"")</f>
        <v/>
      </c>
      <c r="T252">
        <f>IF(AND(Q252&lt;&gt;"",ISNUMBER(F252)),Q252,"")</f>
        <v/>
      </c>
      <c r="U252">
        <f>IF(AND(Q252&lt;&gt;"",ISNUMBER(G252)),Q252,"")</f>
        <v/>
      </c>
      <c r="V252">
        <f>IF(AND(Q252&lt;&gt;"",ISNUMBER(H252)),Q252,"")</f>
        <v/>
      </c>
      <c r="W252">
        <f>IF(AND(Q252&lt;&gt;"",ISNUMBER(I252)),Q252,"")</f>
        <v/>
      </c>
      <c r="X252">
        <f>IF(AND(Q252&lt;&gt;"",ISNUMBER(J252)),Q252,"")</f>
        <v/>
      </c>
      <c r="Y252">
        <f>IF(AND(Q252&lt;&gt;"",ISNUMBER(K252)),Q252,"")</f>
        <v/>
      </c>
      <c r="Z252">
        <f>IF(AND(Q252&lt;&gt;"",ISNUMBER(L252)),Q252,"")</f>
        <v/>
      </c>
      <c r="AA252">
        <f>IF(AND(Q252&lt;&gt;"",ISNUMBER(M252)),Q252,"")</f>
        <v/>
      </c>
      <c r="AB252">
        <f>IF(AND(Q252&lt;&gt;"",ISNUMBER(K252)),K252,"")</f>
        <v/>
      </c>
      <c r="AC252">
        <f>IF(AND(Q252&lt;&gt;"",ISNUMBER(L252)),L252,"")</f>
        <v/>
      </c>
      <c r="AD252">
        <f>IF(AND(Q252&lt;&gt;"",ISNUMBER(M252)),M252,"")</f>
        <v/>
      </c>
    </row>
    <row r="253">
      <c r="A253" s="1" t="n"/>
      <c r="B253" s="17" t="n"/>
      <c r="C253" s="27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9" t="n"/>
      <c r="N253" s="21" t="n"/>
      <c r="O253" s="12">
        <f>IF(AND(B253="",C253=""),"",IF(NOT(ISNUMBER(B253)),"Needs a date",IF(C253="","Needs a client",IF(COUNTIF(Clients!$B$6:$B$105,C253)=0,"Not on Clients",IF(COUNT(D253:M253)=0,"Nothing measured","")))))</f>
        <v/>
      </c>
      <c r="P253" s="1">
        <f>IF(AND(O253="",ISNUMBER(B253)),INT(B253),0)</f>
        <v/>
      </c>
      <c r="Q253">
        <f>IF(AND(P253&gt;0,C253=Report!$C$5),P253*10000+ROW(),"")</f>
        <v/>
      </c>
      <c r="R253">
        <f>IF(AND(Q253&lt;&gt;"",ISNUMBER(D253)),Q253,"")</f>
        <v/>
      </c>
      <c r="S253">
        <f>IF(AND(Q253&lt;&gt;"",ISNUMBER(E253)),Q253,"")</f>
        <v/>
      </c>
      <c r="T253">
        <f>IF(AND(Q253&lt;&gt;"",ISNUMBER(F253)),Q253,"")</f>
        <v/>
      </c>
      <c r="U253">
        <f>IF(AND(Q253&lt;&gt;"",ISNUMBER(G253)),Q253,"")</f>
        <v/>
      </c>
      <c r="V253">
        <f>IF(AND(Q253&lt;&gt;"",ISNUMBER(H253)),Q253,"")</f>
        <v/>
      </c>
      <c r="W253">
        <f>IF(AND(Q253&lt;&gt;"",ISNUMBER(I253)),Q253,"")</f>
        <v/>
      </c>
      <c r="X253">
        <f>IF(AND(Q253&lt;&gt;"",ISNUMBER(J253)),Q253,"")</f>
        <v/>
      </c>
      <c r="Y253">
        <f>IF(AND(Q253&lt;&gt;"",ISNUMBER(K253)),Q253,"")</f>
        <v/>
      </c>
      <c r="Z253">
        <f>IF(AND(Q253&lt;&gt;"",ISNUMBER(L253)),Q253,"")</f>
        <v/>
      </c>
      <c r="AA253">
        <f>IF(AND(Q253&lt;&gt;"",ISNUMBER(M253)),Q253,"")</f>
        <v/>
      </c>
      <c r="AB253">
        <f>IF(AND(Q253&lt;&gt;"",ISNUMBER(K253)),K253,"")</f>
        <v/>
      </c>
      <c r="AC253">
        <f>IF(AND(Q253&lt;&gt;"",ISNUMBER(L253)),L253,"")</f>
        <v/>
      </c>
      <c r="AD253">
        <f>IF(AND(Q253&lt;&gt;"",ISNUMBER(M253)),M253,"")</f>
        <v/>
      </c>
    </row>
    <row r="254">
      <c r="A254" s="1" t="n"/>
      <c r="B254" s="17" t="n"/>
      <c r="C254" s="27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9" t="n"/>
      <c r="N254" s="21" t="n"/>
      <c r="O254" s="12">
        <f>IF(AND(B254="",C254=""),"",IF(NOT(ISNUMBER(B254)),"Needs a date",IF(C254="","Needs a client",IF(COUNTIF(Clients!$B$6:$B$105,C254)=0,"Not on Clients",IF(COUNT(D254:M254)=0,"Nothing measured","")))))</f>
        <v/>
      </c>
      <c r="P254" s="1">
        <f>IF(AND(O254="",ISNUMBER(B254)),INT(B254),0)</f>
        <v/>
      </c>
      <c r="Q254">
        <f>IF(AND(P254&gt;0,C254=Report!$C$5),P254*10000+ROW(),"")</f>
        <v/>
      </c>
      <c r="R254">
        <f>IF(AND(Q254&lt;&gt;"",ISNUMBER(D254)),Q254,"")</f>
        <v/>
      </c>
      <c r="S254">
        <f>IF(AND(Q254&lt;&gt;"",ISNUMBER(E254)),Q254,"")</f>
        <v/>
      </c>
      <c r="T254">
        <f>IF(AND(Q254&lt;&gt;"",ISNUMBER(F254)),Q254,"")</f>
        <v/>
      </c>
      <c r="U254">
        <f>IF(AND(Q254&lt;&gt;"",ISNUMBER(G254)),Q254,"")</f>
        <v/>
      </c>
      <c r="V254">
        <f>IF(AND(Q254&lt;&gt;"",ISNUMBER(H254)),Q254,"")</f>
        <v/>
      </c>
      <c r="W254">
        <f>IF(AND(Q254&lt;&gt;"",ISNUMBER(I254)),Q254,"")</f>
        <v/>
      </c>
      <c r="X254">
        <f>IF(AND(Q254&lt;&gt;"",ISNUMBER(J254)),Q254,"")</f>
        <v/>
      </c>
      <c r="Y254">
        <f>IF(AND(Q254&lt;&gt;"",ISNUMBER(K254)),Q254,"")</f>
        <v/>
      </c>
      <c r="Z254">
        <f>IF(AND(Q254&lt;&gt;"",ISNUMBER(L254)),Q254,"")</f>
        <v/>
      </c>
      <c r="AA254">
        <f>IF(AND(Q254&lt;&gt;"",ISNUMBER(M254)),Q254,"")</f>
        <v/>
      </c>
      <c r="AB254">
        <f>IF(AND(Q254&lt;&gt;"",ISNUMBER(K254)),K254,"")</f>
        <v/>
      </c>
      <c r="AC254">
        <f>IF(AND(Q254&lt;&gt;"",ISNUMBER(L254)),L254,"")</f>
        <v/>
      </c>
      <c r="AD254">
        <f>IF(AND(Q254&lt;&gt;"",ISNUMBER(M254)),M254,"")</f>
        <v/>
      </c>
    </row>
    <row r="255">
      <c r="A255" s="1" t="n"/>
      <c r="B255" s="17" t="n"/>
      <c r="C255" s="27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9" t="n"/>
      <c r="N255" s="21" t="n"/>
      <c r="O255" s="12">
        <f>IF(AND(B255="",C255=""),"",IF(NOT(ISNUMBER(B255)),"Needs a date",IF(C255="","Needs a client",IF(COUNTIF(Clients!$B$6:$B$105,C255)=0,"Not on Clients",IF(COUNT(D255:M255)=0,"Nothing measured","")))))</f>
        <v/>
      </c>
      <c r="P255" s="1">
        <f>IF(AND(O255="",ISNUMBER(B255)),INT(B255),0)</f>
        <v/>
      </c>
      <c r="Q255">
        <f>IF(AND(P255&gt;0,C255=Report!$C$5),P255*10000+ROW(),"")</f>
        <v/>
      </c>
      <c r="R255">
        <f>IF(AND(Q255&lt;&gt;"",ISNUMBER(D255)),Q255,"")</f>
        <v/>
      </c>
      <c r="S255">
        <f>IF(AND(Q255&lt;&gt;"",ISNUMBER(E255)),Q255,"")</f>
        <v/>
      </c>
      <c r="T255">
        <f>IF(AND(Q255&lt;&gt;"",ISNUMBER(F255)),Q255,"")</f>
        <v/>
      </c>
      <c r="U255">
        <f>IF(AND(Q255&lt;&gt;"",ISNUMBER(G255)),Q255,"")</f>
        <v/>
      </c>
      <c r="V255">
        <f>IF(AND(Q255&lt;&gt;"",ISNUMBER(H255)),Q255,"")</f>
        <v/>
      </c>
      <c r="W255">
        <f>IF(AND(Q255&lt;&gt;"",ISNUMBER(I255)),Q255,"")</f>
        <v/>
      </c>
      <c r="X255">
        <f>IF(AND(Q255&lt;&gt;"",ISNUMBER(J255)),Q255,"")</f>
        <v/>
      </c>
      <c r="Y255">
        <f>IF(AND(Q255&lt;&gt;"",ISNUMBER(K255)),Q255,"")</f>
        <v/>
      </c>
      <c r="Z255">
        <f>IF(AND(Q255&lt;&gt;"",ISNUMBER(L255)),Q255,"")</f>
        <v/>
      </c>
      <c r="AA255">
        <f>IF(AND(Q255&lt;&gt;"",ISNUMBER(M255)),Q255,"")</f>
        <v/>
      </c>
      <c r="AB255">
        <f>IF(AND(Q255&lt;&gt;"",ISNUMBER(K255)),K255,"")</f>
        <v/>
      </c>
      <c r="AC255">
        <f>IF(AND(Q255&lt;&gt;"",ISNUMBER(L255)),L255,"")</f>
        <v/>
      </c>
      <c r="AD255">
        <f>IF(AND(Q255&lt;&gt;"",ISNUMBER(M255)),M255,"")</f>
        <v/>
      </c>
    </row>
    <row r="256">
      <c r="A256" s="1" t="n"/>
      <c r="B256" s="17" t="n"/>
      <c r="C256" s="27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9" t="n"/>
      <c r="N256" s="21" t="n"/>
      <c r="O256" s="12">
        <f>IF(AND(B256="",C256=""),"",IF(NOT(ISNUMBER(B256)),"Needs a date",IF(C256="","Needs a client",IF(COUNTIF(Clients!$B$6:$B$105,C256)=0,"Not on Clients",IF(COUNT(D256:M256)=0,"Nothing measured","")))))</f>
        <v/>
      </c>
      <c r="P256" s="1">
        <f>IF(AND(O256="",ISNUMBER(B256)),INT(B256),0)</f>
        <v/>
      </c>
      <c r="Q256">
        <f>IF(AND(P256&gt;0,C256=Report!$C$5),P256*10000+ROW(),"")</f>
        <v/>
      </c>
      <c r="R256">
        <f>IF(AND(Q256&lt;&gt;"",ISNUMBER(D256)),Q256,"")</f>
        <v/>
      </c>
      <c r="S256">
        <f>IF(AND(Q256&lt;&gt;"",ISNUMBER(E256)),Q256,"")</f>
        <v/>
      </c>
      <c r="T256">
        <f>IF(AND(Q256&lt;&gt;"",ISNUMBER(F256)),Q256,"")</f>
        <v/>
      </c>
      <c r="U256">
        <f>IF(AND(Q256&lt;&gt;"",ISNUMBER(G256)),Q256,"")</f>
        <v/>
      </c>
      <c r="V256">
        <f>IF(AND(Q256&lt;&gt;"",ISNUMBER(H256)),Q256,"")</f>
        <v/>
      </c>
      <c r="W256">
        <f>IF(AND(Q256&lt;&gt;"",ISNUMBER(I256)),Q256,"")</f>
        <v/>
      </c>
      <c r="X256">
        <f>IF(AND(Q256&lt;&gt;"",ISNUMBER(J256)),Q256,"")</f>
        <v/>
      </c>
      <c r="Y256">
        <f>IF(AND(Q256&lt;&gt;"",ISNUMBER(K256)),Q256,"")</f>
        <v/>
      </c>
      <c r="Z256">
        <f>IF(AND(Q256&lt;&gt;"",ISNUMBER(L256)),Q256,"")</f>
        <v/>
      </c>
      <c r="AA256">
        <f>IF(AND(Q256&lt;&gt;"",ISNUMBER(M256)),Q256,"")</f>
        <v/>
      </c>
      <c r="AB256">
        <f>IF(AND(Q256&lt;&gt;"",ISNUMBER(K256)),K256,"")</f>
        <v/>
      </c>
      <c r="AC256">
        <f>IF(AND(Q256&lt;&gt;"",ISNUMBER(L256)),L256,"")</f>
        <v/>
      </c>
      <c r="AD256">
        <f>IF(AND(Q256&lt;&gt;"",ISNUMBER(M256)),M256,"")</f>
        <v/>
      </c>
    </row>
    <row r="257">
      <c r="A257" s="1" t="n"/>
      <c r="B257" s="17" t="n"/>
      <c r="C257" s="27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9" t="n"/>
      <c r="N257" s="21" t="n"/>
      <c r="O257" s="12">
        <f>IF(AND(B257="",C257=""),"",IF(NOT(ISNUMBER(B257)),"Needs a date",IF(C257="","Needs a client",IF(COUNTIF(Clients!$B$6:$B$105,C257)=0,"Not on Clients",IF(COUNT(D257:M257)=0,"Nothing measured","")))))</f>
        <v/>
      </c>
      <c r="P257" s="1">
        <f>IF(AND(O257="",ISNUMBER(B257)),INT(B257),0)</f>
        <v/>
      </c>
      <c r="Q257">
        <f>IF(AND(P257&gt;0,C257=Report!$C$5),P257*10000+ROW(),"")</f>
        <v/>
      </c>
      <c r="R257">
        <f>IF(AND(Q257&lt;&gt;"",ISNUMBER(D257)),Q257,"")</f>
        <v/>
      </c>
      <c r="S257">
        <f>IF(AND(Q257&lt;&gt;"",ISNUMBER(E257)),Q257,"")</f>
        <v/>
      </c>
      <c r="T257">
        <f>IF(AND(Q257&lt;&gt;"",ISNUMBER(F257)),Q257,"")</f>
        <v/>
      </c>
      <c r="U257">
        <f>IF(AND(Q257&lt;&gt;"",ISNUMBER(G257)),Q257,"")</f>
        <v/>
      </c>
      <c r="V257">
        <f>IF(AND(Q257&lt;&gt;"",ISNUMBER(H257)),Q257,"")</f>
        <v/>
      </c>
      <c r="W257">
        <f>IF(AND(Q257&lt;&gt;"",ISNUMBER(I257)),Q257,"")</f>
        <v/>
      </c>
      <c r="X257">
        <f>IF(AND(Q257&lt;&gt;"",ISNUMBER(J257)),Q257,"")</f>
        <v/>
      </c>
      <c r="Y257">
        <f>IF(AND(Q257&lt;&gt;"",ISNUMBER(K257)),Q257,"")</f>
        <v/>
      </c>
      <c r="Z257">
        <f>IF(AND(Q257&lt;&gt;"",ISNUMBER(L257)),Q257,"")</f>
        <v/>
      </c>
      <c r="AA257">
        <f>IF(AND(Q257&lt;&gt;"",ISNUMBER(M257)),Q257,"")</f>
        <v/>
      </c>
      <c r="AB257">
        <f>IF(AND(Q257&lt;&gt;"",ISNUMBER(K257)),K257,"")</f>
        <v/>
      </c>
      <c r="AC257">
        <f>IF(AND(Q257&lt;&gt;"",ISNUMBER(L257)),L257,"")</f>
        <v/>
      </c>
      <c r="AD257">
        <f>IF(AND(Q257&lt;&gt;"",ISNUMBER(M257)),M257,"")</f>
        <v/>
      </c>
    </row>
    <row r="258">
      <c r="A258" s="1" t="n"/>
      <c r="B258" s="17" t="n"/>
      <c r="C258" s="27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9" t="n"/>
      <c r="N258" s="21" t="n"/>
      <c r="O258" s="12">
        <f>IF(AND(B258="",C258=""),"",IF(NOT(ISNUMBER(B258)),"Needs a date",IF(C258="","Needs a client",IF(COUNTIF(Clients!$B$6:$B$105,C258)=0,"Not on Clients",IF(COUNT(D258:M258)=0,"Nothing measured","")))))</f>
        <v/>
      </c>
      <c r="P258" s="1">
        <f>IF(AND(O258="",ISNUMBER(B258)),INT(B258),0)</f>
        <v/>
      </c>
      <c r="Q258">
        <f>IF(AND(P258&gt;0,C258=Report!$C$5),P258*10000+ROW(),"")</f>
        <v/>
      </c>
      <c r="R258">
        <f>IF(AND(Q258&lt;&gt;"",ISNUMBER(D258)),Q258,"")</f>
        <v/>
      </c>
      <c r="S258">
        <f>IF(AND(Q258&lt;&gt;"",ISNUMBER(E258)),Q258,"")</f>
        <v/>
      </c>
      <c r="T258">
        <f>IF(AND(Q258&lt;&gt;"",ISNUMBER(F258)),Q258,"")</f>
        <v/>
      </c>
      <c r="U258">
        <f>IF(AND(Q258&lt;&gt;"",ISNUMBER(G258)),Q258,"")</f>
        <v/>
      </c>
      <c r="V258">
        <f>IF(AND(Q258&lt;&gt;"",ISNUMBER(H258)),Q258,"")</f>
        <v/>
      </c>
      <c r="W258">
        <f>IF(AND(Q258&lt;&gt;"",ISNUMBER(I258)),Q258,"")</f>
        <v/>
      </c>
      <c r="X258">
        <f>IF(AND(Q258&lt;&gt;"",ISNUMBER(J258)),Q258,"")</f>
        <v/>
      </c>
      <c r="Y258">
        <f>IF(AND(Q258&lt;&gt;"",ISNUMBER(K258)),Q258,"")</f>
        <v/>
      </c>
      <c r="Z258">
        <f>IF(AND(Q258&lt;&gt;"",ISNUMBER(L258)),Q258,"")</f>
        <v/>
      </c>
      <c r="AA258">
        <f>IF(AND(Q258&lt;&gt;"",ISNUMBER(M258)),Q258,"")</f>
        <v/>
      </c>
      <c r="AB258">
        <f>IF(AND(Q258&lt;&gt;"",ISNUMBER(K258)),K258,"")</f>
        <v/>
      </c>
      <c r="AC258">
        <f>IF(AND(Q258&lt;&gt;"",ISNUMBER(L258)),L258,"")</f>
        <v/>
      </c>
      <c r="AD258">
        <f>IF(AND(Q258&lt;&gt;"",ISNUMBER(M258)),M258,"")</f>
        <v/>
      </c>
    </row>
    <row r="259">
      <c r="A259" s="1" t="n"/>
      <c r="B259" s="17" t="n"/>
      <c r="C259" s="27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9" t="n"/>
      <c r="N259" s="21" t="n"/>
      <c r="O259" s="12">
        <f>IF(AND(B259="",C259=""),"",IF(NOT(ISNUMBER(B259)),"Needs a date",IF(C259="","Needs a client",IF(COUNTIF(Clients!$B$6:$B$105,C259)=0,"Not on Clients",IF(COUNT(D259:M259)=0,"Nothing measured","")))))</f>
        <v/>
      </c>
      <c r="P259" s="1">
        <f>IF(AND(O259="",ISNUMBER(B259)),INT(B259),0)</f>
        <v/>
      </c>
      <c r="Q259">
        <f>IF(AND(P259&gt;0,C259=Report!$C$5),P259*10000+ROW(),"")</f>
        <v/>
      </c>
      <c r="R259">
        <f>IF(AND(Q259&lt;&gt;"",ISNUMBER(D259)),Q259,"")</f>
        <v/>
      </c>
      <c r="S259">
        <f>IF(AND(Q259&lt;&gt;"",ISNUMBER(E259)),Q259,"")</f>
        <v/>
      </c>
      <c r="T259">
        <f>IF(AND(Q259&lt;&gt;"",ISNUMBER(F259)),Q259,"")</f>
        <v/>
      </c>
      <c r="U259">
        <f>IF(AND(Q259&lt;&gt;"",ISNUMBER(G259)),Q259,"")</f>
        <v/>
      </c>
      <c r="V259">
        <f>IF(AND(Q259&lt;&gt;"",ISNUMBER(H259)),Q259,"")</f>
        <v/>
      </c>
      <c r="W259">
        <f>IF(AND(Q259&lt;&gt;"",ISNUMBER(I259)),Q259,"")</f>
        <v/>
      </c>
      <c r="X259">
        <f>IF(AND(Q259&lt;&gt;"",ISNUMBER(J259)),Q259,"")</f>
        <v/>
      </c>
      <c r="Y259">
        <f>IF(AND(Q259&lt;&gt;"",ISNUMBER(K259)),Q259,"")</f>
        <v/>
      </c>
      <c r="Z259">
        <f>IF(AND(Q259&lt;&gt;"",ISNUMBER(L259)),Q259,"")</f>
        <v/>
      </c>
      <c r="AA259">
        <f>IF(AND(Q259&lt;&gt;"",ISNUMBER(M259)),Q259,"")</f>
        <v/>
      </c>
      <c r="AB259">
        <f>IF(AND(Q259&lt;&gt;"",ISNUMBER(K259)),K259,"")</f>
        <v/>
      </c>
      <c r="AC259">
        <f>IF(AND(Q259&lt;&gt;"",ISNUMBER(L259)),L259,"")</f>
        <v/>
      </c>
      <c r="AD259">
        <f>IF(AND(Q259&lt;&gt;"",ISNUMBER(M259)),M259,"")</f>
        <v/>
      </c>
    </row>
    <row r="260">
      <c r="A260" s="1" t="n"/>
      <c r="B260" s="17" t="n"/>
      <c r="C260" s="27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9" t="n"/>
      <c r="N260" s="21" t="n"/>
      <c r="O260" s="12">
        <f>IF(AND(B260="",C260=""),"",IF(NOT(ISNUMBER(B260)),"Needs a date",IF(C260="","Needs a client",IF(COUNTIF(Clients!$B$6:$B$105,C260)=0,"Not on Clients",IF(COUNT(D260:M260)=0,"Nothing measured","")))))</f>
        <v/>
      </c>
      <c r="P260" s="1">
        <f>IF(AND(O260="",ISNUMBER(B260)),INT(B260),0)</f>
        <v/>
      </c>
      <c r="Q260">
        <f>IF(AND(P260&gt;0,C260=Report!$C$5),P260*10000+ROW(),"")</f>
        <v/>
      </c>
      <c r="R260">
        <f>IF(AND(Q260&lt;&gt;"",ISNUMBER(D260)),Q260,"")</f>
        <v/>
      </c>
      <c r="S260">
        <f>IF(AND(Q260&lt;&gt;"",ISNUMBER(E260)),Q260,"")</f>
        <v/>
      </c>
      <c r="T260">
        <f>IF(AND(Q260&lt;&gt;"",ISNUMBER(F260)),Q260,"")</f>
        <v/>
      </c>
      <c r="U260">
        <f>IF(AND(Q260&lt;&gt;"",ISNUMBER(G260)),Q260,"")</f>
        <v/>
      </c>
      <c r="V260">
        <f>IF(AND(Q260&lt;&gt;"",ISNUMBER(H260)),Q260,"")</f>
        <v/>
      </c>
      <c r="W260">
        <f>IF(AND(Q260&lt;&gt;"",ISNUMBER(I260)),Q260,"")</f>
        <v/>
      </c>
      <c r="X260">
        <f>IF(AND(Q260&lt;&gt;"",ISNUMBER(J260)),Q260,"")</f>
        <v/>
      </c>
      <c r="Y260">
        <f>IF(AND(Q260&lt;&gt;"",ISNUMBER(K260)),Q260,"")</f>
        <v/>
      </c>
      <c r="Z260">
        <f>IF(AND(Q260&lt;&gt;"",ISNUMBER(L260)),Q260,"")</f>
        <v/>
      </c>
      <c r="AA260">
        <f>IF(AND(Q260&lt;&gt;"",ISNUMBER(M260)),Q260,"")</f>
        <v/>
      </c>
      <c r="AB260">
        <f>IF(AND(Q260&lt;&gt;"",ISNUMBER(K260)),K260,"")</f>
        <v/>
      </c>
      <c r="AC260">
        <f>IF(AND(Q260&lt;&gt;"",ISNUMBER(L260)),L260,"")</f>
        <v/>
      </c>
      <c r="AD260">
        <f>IF(AND(Q260&lt;&gt;"",ISNUMBER(M260)),M260,"")</f>
        <v/>
      </c>
    </row>
    <row r="261">
      <c r="A261" s="1" t="n"/>
      <c r="B261" s="17" t="n"/>
      <c r="C261" s="27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9" t="n"/>
      <c r="N261" s="21" t="n"/>
      <c r="O261" s="12">
        <f>IF(AND(B261="",C261=""),"",IF(NOT(ISNUMBER(B261)),"Needs a date",IF(C261="","Needs a client",IF(COUNTIF(Clients!$B$6:$B$105,C261)=0,"Not on Clients",IF(COUNT(D261:M261)=0,"Nothing measured","")))))</f>
        <v/>
      </c>
      <c r="P261" s="1">
        <f>IF(AND(O261="",ISNUMBER(B261)),INT(B261),0)</f>
        <v/>
      </c>
      <c r="Q261">
        <f>IF(AND(P261&gt;0,C261=Report!$C$5),P261*10000+ROW(),"")</f>
        <v/>
      </c>
      <c r="R261">
        <f>IF(AND(Q261&lt;&gt;"",ISNUMBER(D261)),Q261,"")</f>
        <v/>
      </c>
      <c r="S261">
        <f>IF(AND(Q261&lt;&gt;"",ISNUMBER(E261)),Q261,"")</f>
        <v/>
      </c>
      <c r="T261">
        <f>IF(AND(Q261&lt;&gt;"",ISNUMBER(F261)),Q261,"")</f>
        <v/>
      </c>
      <c r="U261">
        <f>IF(AND(Q261&lt;&gt;"",ISNUMBER(G261)),Q261,"")</f>
        <v/>
      </c>
      <c r="V261">
        <f>IF(AND(Q261&lt;&gt;"",ISNUMBER(H261)),Q261,"")</f>
        <v/>
      </c>
      <c r="W261">
        <f>IF(AND(Q261&lt;&gt;"",ISNUMBER(I261)),Q261,"")</f>
        <v/>
      </c>
      <c r="X261">
        <f>IF(AND(Q261&lt;&gt;"",ISNUMBER(J261)),Q261,"")</f>
        <v/>
      </c>
      <c r="Y261">
        <f>IF(AND(Q261&lt;&gt;"",ISNUMBER(K261)),Q261,"")</f>
        <v/>
      </c>
      <c r="Z261">
        <f>IF(AND(Q261&lt;&gt;"",ISNUMBER(L261)),Q261,"")</f>
        <v/>
      </c>
      <c r="AA261">
        <f>IF(AND(Q261&lt;&gt;"",ISNUMBER(M261)),Q261,"")</f>
        <v/>
      </c>
      <c r="AB261">
        <f>IF(AND(Q261&lt;&gt;"",ISNUMBER(K261)),K261,"")</f>
        <v/>
      </c>
      <c r="AC261">
        <f>IF(AND(Q261&lt;&gt;"",ISNUMBER(L261)),L261,"")</f>
        <v/>
      </c>
      <c r="AD261">
        <f>IF(AND(Q261&lt;&gt;"",ISNUMBER(M261)),M261,"")</f>
        <v/>
      </c>
    </row>
    <row r="262">
      <c r="A262" s="1" t="n"/>
      <c r="B262" s="17" t="n"/>
      <c r="C262" s="27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9" t="n"/>
      <c r="N262" s="21" t="n"/>
      <c r="O262" s="12">
        <f>IF(AND(B262="",C262=""),"",IF(NOT(ISNUMBER(B262)),"Needs a date",IF(C262="","Needs a client",IF(COUNTIF(Clients!$B$6:$B$105,C262)=0,"Not on Clients",IF(COUNT(D262:M262)=0,"Nothing measured","")))))</f>
        <v/>
      </c>
      <c r="P262" s="1">
        <f>IF(AND(O262="",ISNUMBER(B262)),INT(B262),0)</f>
        <v/>
      </c>
      <c r="Q262">
        <f>IF(AND(P262&gt;0,C262=Report!$C$5),P262*10000+ROW(),"")</f>
        <v/>
      </c>
      <c r="R262">
        <f>IF(AND(Q262&lt;&gt;"",ISNUMBER(D262)),Q262,"")</f>
        <v/>
      </c>
      <c r="S262">
        <f>IF(AND(Q262&lt;&gt;"",ISNUMBER(E262)),Q262,"")</f>
        <v/>
      </c>
      <c r="T262">
        <f>IF(AND(Q262&lt;&gt;"",ISNUMBER(F262)),Q262,"")</f>
        <v/>
      </c>
      <c r="U262">
        <f>IF(AND(Q262&lt;&gt;"",ISNUMBER(G262)),Q262,"")</f>
        <v/>
      </c>
      <c r="V262">
        <f>IF(AND(Q262&lt;&gt;"",ISNUMBER(H262)),Q262,"")</f>
        <v/>
      </c>
      <c r="W262">
        <f>IF(AND(Q262&lt;&gt;"",ISNUMBER(I262)),Q262,"")</f>
        <v/>
      </c>
      <c r="X262">
        <f>IF(AND(Q262&lt;&gt;"",ISNUMBER(J262)),Q262,"")</f>
        <v/>
      </c>
      <c r="Y262">
        <f>IF(AND(Q262&lt;&gt;"",ISNUMBER(K262)),Q262,"")</f>
        <v/>
      </c>
      <c r="Z262">
        <f>IF(AND(Q262&lt;&gt;"",ISNUMBER(L262)),Q262,"")</f>
        <v/>
      </c>
      <c r="AA262">
        <f>IF(AND(Q262&lt;&gt;"",ISNUMBER(M262)),Q262,"")</f>
        <v/>
      </c>
      <c r="AB262">
        <f>IF(AND(Q262&lt;&gt;"",ISNUMBER(K262)),K262,"")</f>
        <v/>
      </c>
      <c r="AC262">
        <f>IF(AND(Q262&lt;&gt;"",ISNUMBER(L262)),L262,"")</f>
        <v/>
      </c>
      <c r="AD262">
        <f>IF(AND(Q262&lt;&gt;"",ISNUMBER(M262)),M262,"")</f>
        <v/>
      </c>
    </row>
    <row r="263">
      <c r="A263" s="1" t="n"/>
      <c r="B263" s="17" t="n"/>
      <c r="C263" s="27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9" t="n"/>
      <c r="N263" s="21" t="n"/>
      <c r="O263" s="12">
        <f>IF(AND(B263="",C263=""),"",IF(NOT(ISNUMBER(B263)),"Needs a date",IF(C263="","Needs a client",IF(COUNTIF(Clients!$B$6:$B$105,C263)=0,"Not on Clients",IF(COUNT(D263:M263)=0,"Nothing measured","")))))</f>
        <v/>
      </c>
      <c r="P263" s="1">
        <f>IF(AND(O263="",ISNUMBER(B263)),INT(B263),0)</f>
        <v/>
      </c>
      <c r="Q263">
        <f>IF(AND(P263&gt;0,C263=Report!$C$5),P263*10000+ROW(),"")</f>
        <v/>
      </c>
      <c r="R263">
        <f>IF(AND(Q263&lt;&gt;"",ISNUMBER(D263)),Q263,"")</f>
        <v/>
      </c>
      <c r="S263">
        <f>IF(AND(Q263&lt;&gt;"",ISNUMBER(E263)),Q263,"")</f>
        <v/>
      </c>
      <c r="T263">
        <f>IF(AND(Q263&lt;&gt;"",ISNUMBER(F263)),Q263,"")</f>
        <v/>
      </c>
      <c r="U263">
        <f>IF(AND(Q263&lt;&gt;"",ISNUMBER(G263)),Q263,"")</f>
        <v/>
      </c>
      <c r="V263">
        <f>IF(AND(Q263&lt;&gt;"",ISNUMBER(H263)),Q263,"")</f>
        <v/>
      </c>
      <c r="W263">
        <f>IF(AND(Q263&lt;&gt;"",ISNUMBER(I263)),Q263,"")</f>
        <v/>
      </c>
      <c r="X263">
        <f>IF(AND(Q263&lt;&gt;"",ISNUMBER(J263)),Q263,"")</f>
        <v/>
      </c>
      <c r="Y263">
        <f>IF(AND(Q263&lt;&gt;"",ISNUMBER(K263)),Q263,"")</f>
        <v/>
      </c>
      <c r="Z263">
        <f>IF(AND(Q263&lt;&gt;"",ISNUMBER(L263)),Q263,"")</f>
        <v/>
      </c>
      <c r="AA263">
        <f>IF(AND(Q263&lt;&gt;"",ISNUMBER(M263)),Q263,"")</f>
        <v/>
      </c>
      <c r="AB263">
        <f>IF(AND(Q263&lt;&gt;"",ISNUMBER(K263)),K263,"")</f>
        <v/>
      </c>
      <c r="AC263">
        <f>IF(AND(Q263&lt;&gt;"",ISNUMBER(L263)),L263,"")</f>
        <v/>
      </c>
      <c r="AD263">
        <f>IF(AND(Q263&lt;&gt;"",ISNUMBER(M263)),M263,"")</f>
        <v/>
      </c>
    </row>
    <row r="264">
      <c r="A264" s="1" t="n"/>
      <c r="B264" s="17" t="n"/>
      <c r="C264" s="27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9" t="n"/>
      <c r="N264" s="21" t="n"/>
      <c r="O264" s="12">
        <f>IF(AND(B264="",C264=""),"",IF(NOT(ISNUMBER(B264)),"Needs a date",IF(C264="","Needs a client",IF(COUNTIF(Clients!$B$6:$B$105,C264)=0,"Not on Clients",IF(COUNT(D264:M264)=0,"Nothing measured","")))))</f>
        <v/>
      </c>
      <c r="P264" s="1">
        <f>IF(AND(O264="",ISNUMBER(B264)),INT(B264),0)</f>
        <v/>
      </c>
      <c r="Q264">
        <f>IF(AND(P264&gt;0,C264=Report!$C$5),P264*10000+ROW(),"")</f>
        <v/>
      </c>
      <c r="R264">
        <f>IF(AND(Q264&lt;&gt;"",ISNUMBER(D264)),Q264,"")</f>
        <v/>
      </c>
      <c r="S264">
        <f>IF(AND(Q264&lt;&gt;"",ISNUMBER(E264)),Q264,"")</f>
        <v/>
      </c>
      <c r="T264">
        <f>IF(AND(Q264&lt;&gt;"",ISNUMBER(F264)),Q264,"")</f>
        <v/>
      </c>
      <c r="U264">
        <f>IF(AND(Q264&lt;&gt;"",ISNUMBER(G264)),Q264,"")</f>
        <v/>
      </c>
      <c r="V264">
        <f>IF(AND(Q264&lt;&gt;"",ISNUMBER(H264)),Q264,"")</f>
        <v/>
      </c>
      <c r="W264">
        <f>IF(AND(Q264&lt;&gt;"",ISNUMBER(I264)),Q264,"")</f>
        <v/>
      </c>
      <c r="X264">
        <f>IF(AND(Q264&lt;&gt;"",ISNUMBER(J264)),Q264,"")</f>
        <v/>
      </c>
      <c r="Y264">
        <f>IF(AND(Q264&lt;&gt;"",ISNUMBER(K264)),Q264,"")</f>
        <v/>
      </c>
      <c r="Z264">
        <f>IF(AND(Q264&lt;&gt;"",ISNUMBER(L264)),Q264,"")</f>
        <v/>
      </c>
      <c r="AA264">
        <f>IF(AND(Q264&lt;&gt;"",ISNUMBER(M264)),Q264,"")</f>
        <v/>
      </c>
      <c r="AB264">
        <f>IF(AND(Q264&lt;&gt;"",ISNUMBER(K264)),K264,"")</f>
        <v/>
      </c>
      <c r="AC264">
        <f>IF(AND(Q264&lt;&gt;"",ISNUMBER(L264)),L264,"")</f>
        <v/>
      </c>
      <c r="AD264">
        <f>IF(AND(Q264&lt;&gt;"",ISNUMBER(M264)),M264,"")</f>
        <v/>
      </c>
    </row>
    <row r="265">
      <c r="A265" s="1" t="n"/>
      <c r="B265" s="17" t="n"/>
      <c r="C265" s="27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9" t="n"/>
      <c r="N265" s="21" t="n"/>
      <c r="O265" s="12">
        <f>IF(AND(B265="",C265=""),"",IF(NOT(ISNUMBER(B265)),"Needs a date",IF(C265="","Needs a client",IF(COUNTIF(Clients!$B$6:$B$105,C265)=0,"Not on Clients",IF(COUNT(D265:M265)=0,"Nothing measured","")))))</f>
        <v/>
      </c>
      <c r="P265" s="1">
        <f>IF(AND(O265="",ISNUMBER(B265)),INT(B265),0)</f>
        <v/>
      </c>
      <c r="Q265">
        <f>IF(AND(P265&gt;0,C265=Report!$C$5),P265*10000+ROW(),"")</f>
        <v/>
      </c>
      <c r="R265">
        <f>IF(AND(Q265&lt;&gt;"",ISNUMBER(D265)),Q265,"")</f>
        <v/>
      </c>
      <c r="S265">
        <f>IF(AND(Q265&lt;&gt;"",ISNUMBER(E265)),Q265,"")</f>
        <v/>
      </c>
      <c r="T265">
        <f>IF(AND(Q265&lt;&gt;"",ISNUMBER(F265)),Q265,"")</f>
        <v/>
      </c>
      <c r="U265">
        <f>IF(AND(Q265&lt;&gt;"",ISNUMBER(G265)),Q265,"")</f>
        <v/>
      </c>
      <c r="V265">
        <f>IF(AND(Q265&lt;&gt;"",ISNUMBER(H265)),Q265,"")</f>
        <v/>
      </c>
      <c r="W265">
        <f>IF(AND(Q265&lt;&gt;"",ISNUMBER(I265)),Q265,"")</f>
        <v/>
      </c>
      <c r="X265">
        <f>IF(AND(Q265&lt;&gt;"",ISNUMBER(J265)),Q265,"")</f>
        <v/>
      </c>
      <c r="Y265">
        <f>IF(AND(Q265&lt;&gt;"",ISNUMBER(K265)),Q265,"")</f>
        <v/>
      </c>
      <c r="Z265">
        <f>IF(AND(Q265&lt;&gt;"",ISNUMBER(L265)),Q265,"")</f>
        <v/>
      </c>
      <c r="AA265">
        <f>IF(AND(Q265&lt;&gt;"",ISNUMBER(M265)),Q265,"")</f>
        <v/>
      </c>
      <c r="AB265">
        <f>IF(AND(Q265&lt;&gt;"",ISNUMBER(K265)),K265,"")</f>
        <v/>
      </c>
      <c r="AC265">
        <f>IF(AND(Q265&lt;&gt;"",ISNUMBER(L265)),L265,"")</f>
        <v/>
      </c>
      <c r="AD265">
        <f>IF(AND(Q265&lt;&gt;"",ISNUMBER(M265)),M265,"")</f>
        <v/>
      </c>
    </row>
    <row r="266">
      <c r="A266" s="1" t="n"/>
      <c r="B266" s="17" t="n"/>
      <c r="C266" s="27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9" t="n"/>
      <c r="N266" s="21" t="n"/>
      <c r="O266" s="12">
        <f>IF(AND(B266="",C266=""),"",IF(NOT(ISNUMBER(B266)),"Needs a date",IF(C266="","Needs a client",IF(COUNTIF(Clients!$B$6:$B$105,C266)=0,"Not on Clients",IF(COUNT(D266:M266)=0,"Nothing measured","")))))</f>
        <v/>
      </c>
      <c r="P266" s="1">
        <f>IF(AND(O266="",ISNUMBER(B266)),INT(B266),0)</f>
        <v/>
      </c>
      <c r="Q266">
        <f>IF(AND(P266&gt;0,C266=Report!$C$5),P266*10000+ROW(),"")</f>
        <v/>
      </c>
      <c r="R266">
        <f>IF(AND(Q266&lt;&gt;"",ISNUMBER(D266)),Q266,"")</f>
        <v/>
      </c>
      <c r="S266">
        <f>IF(AND(Q266&lt;&gt;"",ISNUMBER(E266)),Q266,"")</f>
        <v/>
      </c>
      <c r="T266">
        <f>IF(AND(Q266&lt;&gt;"",ISNUMBER(F266)),Q266,"")</f>
        <v/>
      </c>
      <c r="U266">
        <f>IF(AND(Q266&lt;&gt;"",ISNUMBER(G266)),Q266,"")</f>
        <v/>
      </c>
      <c r="V266">
        <f>IF(AND(Q266&lt;&gt;"",ISNUMBER(H266)),Q266,"")</f>
        <v/>
      </c>
      <c r="W266">
        <f>IF(AND(Q266&lt;&gt;"",ISNUMBER(I266)),Q266,"")</f>
        <v/>
      </c>
      <c r="X266">
        <f>IF(AND(Q266&lt;&gt;"",ISNUMBER(J266)),Q266,"")</f>
        <v/>
      </c>
      <c r="Y266">
        <f>IF(AND(Q266&lt;&gt;"",ISNUMBER(K266)),Q266,"")</f>
        <v/>
      </c>
      <c r="Z266">
        <f>IF(AND(Q266&lt;&gt;"",ISNUMBER(L266)),Q266,"")</f>
        <v/>
      </c>
      <c r="AA266">
        <f>IF(AND(Q266&lt;&gt;"",ISNUMBER(M266)),Q266,"")</f>
        <v/>
      </c>
      <c r="AB266">
        <f>IF(AND(Q266&lt;&gt;"",ISNUMBER(K266)),K266,"")</f>
        <v/>
      </c>
      <c r="AC266">
        <f>IF(AND(Q266&lt;&gt;"",ISNUMBER(L266)),L266,"")</f>
        <v/>
      </c>
      <c r="AD266">
        <f>IF(AND(Q266&lt;&gt;"",ISNUMBER(M266)),M266,"")</f>
        <v/>
      </c>
    </row>
    <row r="267">
      <c r="A267" s="1" t="n"/>
      <c r="B267" s="17" t="n"/>
      <c r="C267" s="27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9" t="n"/>
      <c r="N267" s="21" t="n"/>
      <c r="O267" s="12">
        <f>IF(AND(B267="",C267=""),"",IF(NOT(ISNUMBER(B267)),"Needs a date",IF(C267="","Needs a client",IF(COUNTIF(Clients!$B$6:$B$105,C267)=0,"Not on Clients",IF(COUNT(D267:M267)=0,"Nothing measured","")))))</f>
        <v/>
      </c>
      <c r="P267" s="1">
        <f>IF(AND(O267="",ISNUMBER(B267)),INT(B267),0)</f>
        <v/>
      </c>
      <c r="Q267">
        <f>IF(AND(P267&gt;0,C267=Report!$C$5),P267*10000+ROW(),"")</f>
        <v/>
      </c>
      <c r="R267">
        <f>IF(AND(Q267&lt;&gt;"",ISNUMBER(D267)),Q267,"")</f>
        <v/>
      </c>
      <c r="S267">
        <f>IF(AND(Q267&lt;&gt;"",ISNUMBER(E267)),Q267,"")</f>
        <v/>
      </c>
      <c r="T267">
        <f>IF(AND(Q267&lt;&gt;"",ISNUMBER(F267)),Q267,"")</f>
        <v/>
      </c>
      <c r="U267">
        <f>IF(AND(Q267&lt;&gt;"",ISNUMBER(G267)),Q267,"")</f>
        <v/>
      </c>
      <c r="V267">
        <f>IF(AND(Q267&lt;&gt;"",ISNUMBER(H267)),Q267,"")</f>
        <v/>
      </c>
      <c r="W267">
        <f>IF(AND(Q267&lt;&gt;"",ISNUMBER(I267)),Q267,"")</f>
        <v/>
      </c>
      <c r="X267">
        <f>IF(AND(Q267&lt;&gt;"",ISNUMBER(J267)),Q267,"")</f>
        <v/>
      </c>
      <c r="Y267">
        <f>IF(AND(Q267&lt;&gt;"",ISNUMBER(K267)),Q267,"")</f>
        <v/>
      </c>
      <c r="Z267">
        <f>IF(AND(Q267&lt;&gt;"",ISNUMBER(L267)),Q267,"")</f>
        <v/>
      </c>
      <c r="AA267">
        <f>IF(AND(Q267&lt;&gt;"",ISNUMBER(M267)),Q267,"")</f>
        <v/>
      </c>
      <c r="AB267">
        <f>IF(AND(Q267&lt;&gt;"",ISNUMBER(K267)),K267,"")</f>
        <v/>
      </c>
      <c r="AC267">
        <f>IF(AND(Q267&lt;&gt;"",ISNUMBER(L267)),L267,"")</f>
        <v/>
      </c>
      <c r="AD267">
        <f>IF(AND(Q267&lt;&gt;"",ISNUMBER(M267)),M267,"")</f>
        <v/>
      </c>
    </row>
    <row r="268">
      <c r="A268" s="1" t="n"/>
      <c r="B268" s="17" t="n"/>
      <c r="C268" s="27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9" t="n"/>
      <c r="N268" s="21" t="n"/>
      <c r="O268" s="12">
        <f>IF(AND(B268="",C268=""),"",IF(NOT(ISNUMBER(B268)),"Needs a date",IF(C268="","Needs a client",IF(COUNTIF(Clients!$B$6:$B$105,C268)=0,"Not on Clients",IF(COUNT(D268:M268)=0,"Nothing measured","")))))</f>
        <v/>
      </c>
      <c r="P268" s="1">
        <f>IF(AND(O268="",ISNUMBER(B268)),INT(B268),0)</f>
        <v/>
      </c>
      <c r="Q268">
        <f>IF(AND(P268&gt;0,C268=Report!$C$5),P268*10000+ROW(),"")</f>
        <v/>
      </c>
      <c r="R268">
        <f>IF(AND(Q268&lt;&gt;"",ISNUMBER(D268)),Q268,"")</f>
        <v/>
      </c>
      <c r="S268">
        <f>IF(AND(Q268&lt;&gt;"",ISNUMBER(E268)),Q268,"")</f>
        <v/>
      </c>
      <c r="T268">
        <f>IF(AND(Q268&lt;&gt;"",ISNUMBER(F268)),Q268,"")</f>
        <v/>
      </c>
      <c r="U268">
        <f>IF(AND(Q268&lt;&gt;"",ISNUMBER(G268)),Q268,"")</f>
        <v/>
      </c>
      <c r="V268">
        <f>IF(AND(Q268&lt;&gt;"",ISNUMBER(H268)),Q268,"")</f>
        <v/>
      </c>
      <c r="W268">
        <f>IF(AND(Q268&lt;&gt;"",ISNUMBER(I268)),Q268,"")</f>
        <v/>
      </c>
      <c r="X268">
        <f>IF(AND(Q268&lt;&gt;"",ISNUMBER(J268)),Q268,"")</f>
        <v/>
      </c>
      <c r="Y268">
        <f>IF(AND(Q268&lt;&gt;"",ISNUMBER(K268)),Q268,"")</f>
        <v/>
      </c>
      <c r="Z268">
        <f>IF(AND(Q268&lt;&gt;"",ISNUMBER(L268)),Q268,"")</f>
        <v/>
      </c>
      <c r="AA268">
        <f>IF(AND(Q268&lt;&gt;"",ISNUMBER(M268)),Q268,"")</f>
        <v/>
      </c>
      <c r="AB268">
        <f>IF(AND(Q268&lt;&gt;"",ISNUMBER(K268)),K268,"")</f>
        <v/>
      </c>
      <c r="AC268">
        <f>IF(AND(Q268&lt;&gt;"",ISNUMBER(L268)),L268,"")</f>
        <v/>
      </c>
      <c r="AD268">
        <f>IF(AND(Q268&lt;&gt;"",ISNUMBER(M268)),M268,"")</f>
        <v/>
      </c>
    </row>
    <row r="269">
      <c r="A269" s="1" t="n"/>
      <c r="B269" s="17" t="n"/>
      <c r="C269" s="27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9" t="n"/>
      <c r="N269" s="21" t="n"/>
      <c r="O269" s="12">
        <f>IF(AND(B269="",C269=""),"",IF(NOT(ISNUMBER(B269)),"Needs a date",IF(C269="","Needs a client",IF(COUNTIF(Clients!$B$6:$B$105,C269)=0,"Not on Clients",IF(COUNT(D269:M269)=0,"Nothing measured","")))))</f>
        <v/>
      </c>
      <c r="P269" s="1">
        <f>IF(AND(O269="",ISNUMBER(B269)),INT(B269),0)</f>
        <v/>
      </c>
      <c r="Q269">
        <f>IF(AND(P269&gt;0,C269=Report!$C$5),P269*10000+ROW(),"")</f>
        <v/>
      </c>
      <c r="R269">
        <f>IF(AND(Q269&lt;&gt;"",ISNUMBER(D269)),Q269,"")</f>
        <v/>
      </c>
      <c r="S269">
        <f>IF(AND(Q269&lt;&gt;"",ISNUMBER(E269)),Q269,"")</f>
        <v/>
      </c>
      <c r="T269">
        <f>IF(AND(Q269&lt;&gt;"",ISNUMBER(F269)),Q269,"")</f>
        <v/>
      </c>
      <c r="U269">
        <f>IF(AND(Q269&lt;&gt;"",ISNUMBER(G269)),Q269,"")</f>
        <v/>
      </c>
      <c r="V269">
        <f>IF(AND(Q269&lt;&gt;"",ISNUMBER(H269)),Q269,"")</f>
        <v/>
      </c>
      <c r="W269">
        <f>IF(AND(Q269&lt;&gt;"",ISNUMBER(I269)),Q269,"")</f>
        <v/>
      </c>
      <c r="X269">
        <f>IF(AND(Q269&lt;&gt;"",ISNUMBER(J269)),Q269,"")</f>
        <v/>
      </c>
      <c r="Y269">
        <f>IF(AND(Q269&lt;&gt;"",ISNUMBER(K269)),Q269,"")</f>
        <v/>
      </c>
      <c r="Z269">
        <f>IF(AND(Q269&lt;&gt;"",ISNUMBER(L269)),Q269,"")</f>
        <v/>
      </c>
      <c r="AA269">
        <f>IF(AND(Q269&lt;&gt;"",ISNUMBER(M269)),Q269,"")</f>
        <v/>
      </c>
      <c r="AB269">
        <f>IF(AND(Q269&lt;&gt;"",ISNUMBER(K269)),K269,"")</f>
        <v/>
      </c>
      <c r="AC269">
        <f>IF(AND(Q269&lt;&gt;"",ISNUMBER(L269)),L269,"")</f>
        <v/>
      </c>
      <c r="AD269">
        <f>IF(AND(Q269&lt;&gt;"",ISNUMBER(M269)),M269,"")</f>
        <v/>
      </c>
    </row>
    <row r="270">
      <c r="A270" s="1" t="n"/>
      <c r="B270" s="17" t="n"/>
      <c r="C270" s="27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9" t="n"/>
      <c r="N270" s="21" t="n"/>
      <c r="O270" s="12">
        <f>IF(AND(B270="",C270=""),"",IF(NOT(ISNUMBER(B270)),"Needs a date",IF(C270="","Needs a client",IF(COUNTIF(Clients!$B$6:$B$105,C270)=0,"Not on Clients",IF(COUNT(D270:M270)=0,"Nothing measured","")))))</f>
        <v/>
      </c>
      <c r="P270" s="1">
        <f>IF(AND(O270="",ISNUMBER(B270)),INT(B270),0)</f>
        <v/>
      </c>
      <c r="Q270">
        <f>IF(AND(P270&gt;0,C270=Report!$C$5),P270*10000+ROW(),"")</f>
        <v/>
      </c>
      <c r="R270">
        <f>IF(AND(Q270&lt;&gt;"",ISNUMBER(D270)),Q270,"")</f>
        <v/>
      </c>
      <c r="S270">
        <f>IF(AND(Q270&lt;&gt;"",ISNUMBER(E270)),Q270,"")</f>
        <v/>
      </c>
      <c r="T270">
        <f>IF(AND(Q270&lt;&gt;"",ISNUMBER(F270)),Q270,"")</f>
        <v/>
      </c>
      <c r="U270">
        <f>IF(AND(Q270&lt;&gt;"",ISNUMBER(G270)),Q270,"")</f>
        <v/>
      </c>
      <c r="V270">
        <f>IF(AND(Q270&lt;&gt;"",ISNUMBER(H270)),Q270,"")</f>
        <v/>
      </c>
      <c r="W270">
        <f>IF(AND(Q270&lt;&gt;"",ISNUMBER(I270)),Q270,"")</f>
        <v/>
      </c>
      <c r="X270">
        <f>IF(AND(Q270&lt;&gt;"",ISNUMBER(J270)),Q270,"")</f>
        <v/>
      </c>
      <c r="Y270">
        <f>IF(AND(Q270&lt;&gt;"",ISNUMBER(K270)),Q270,"")</f>
        <v/>
      </c>
      <c r="Z270">
        <f>IF(AND(Q270&lt;&gt;"",ISNUMBER(L270)),Q270,"")</f>
        <v/>
      </c>
      <c r="AA270">
        <f>IF(AND(Q270&lt;&gt;"",ISNUMBER(M270)),Q270,"")</f>
        <v/>
      </c>
      <c r="AB270">
        <f>IF(AND(Q270&lt;&gt;"",ISNUMBER(K270)),K270,"")</f>
        <v/>
      </c>
      <c r="AC270">
        <f>IF(AND(Q270&lt;&gt;"",ISNUMBER(L270)),L270,"")</f>
        <v/>
      </c>
      <c r="AD270">
        <f>IF(AND(Q270&lt;&gt;"",ISNUMBER(M270)),M270,"")</f>
        <v/>
      </c>
    </row>
    <row r="271">
      <c r="A271" s="1" t="n"/>
      <c r="B271" s="17" t="n"/>
      <c r="C271" s="27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9" t="n"/>
      <c r="N271" s="21" t="n"/>
      <c r="O271" s="12">
        <f>IF(AND(B271="",C271=""),"",IF(NOT(ISNUMBER(B271)),"Needs a date",IF(C271="","Needs a client",IF(COUNTIF(Clients!$B$6:$B$105,C271)=0,"Not on Clients",IF(COUNT(D271:M271)=0,"Nothing measured","")))))</f>
        <v/>
      </c>
      <c r="P271" s="1">
        <f>IF(AND(O271="",ISNUMBER(B271)),INT(B271),0)</f>
        <v/>
      </c>
      <c r="Q271">
        <f>IF(AND(P271&gt;0,C271=Report!$C$5),P271*10000+ROW(),"")</f>
        <v/>
      </c>
      <c r="R271">
        <f>IF(AND(Q271&lt;&gt;"",ISNUMBER(D271)),Q271,"")</f>
        <v/>
      </c>
      <c r="S271">
        <f>IF(AND(Q271&lt;&gt;"",ISNUMBER(E271)),Q271,"")</f>
        <v/>
      </c>
      <c r="T271">
        <f>IF(AND(Q271&lt;&gt;"",ISNUMBER(F271)),Q271,"")</f>
        <v/>
      </c>
      <c r="U271">
        <f>IF(AND(Q271&lt;&gt;"",ISNUMBER(G271)),Q271,"")</f>
        <v/>
      </c>
      <c r="V271">
        <f>IF(AND(Q271&lt;&gt;"",ISNUMBER(H271)),Q271,"")</f>
        <v/>
      </c>
      <c r="W271">
        <f>IF(AND(Q271&lt;&gt;"",ISNUMBER(I271)),Q271,"")</f>
        <v/>
      </c>
      <c r="X271">
        <f>IF(AND(Q271&lt;&gt;"",ISNUMBER(J271)),Q271,"")</f>
        <v/>
      </c>
      <c r="Y271">
        <f>IF(AND(Q271&lt;&gt;"",ISNUMBER(K271)),Q271,"")</f>
        <v/>
      </c>
      <c r="Z271">
        <f>IF(AND(Q271&lt;&gt;"",ISNUMBER(L271)),Q271,"")</f>
        <v/>
      </c>
      <c r="AA271">
        <f>IF(AND(Q271&lt;&gt;"",ISNUMBER(M271)),Q271,"")</f>
        <v/>
      </c>
      <c r="AB271">
        <f>IF(AND(Q271&lt;&gt;"",ISNUMBER(K271)),K271,"")</f>
        <v/>
      </c>
      <c r="AC271">
        <f>IF(AND(Q271&lt;&gt;"",ISNUMBER(L271)),L271,"")</f>
        <v/>
      </c>
      <c r="AD271">
        <f>IF(AND(Q271&lt;&gt;"",ISNUMBER(M271)),M271,"")</f>
        <v/>
      </c>
    </row>
    <row r="272">
      <c r="A272" s="1" t="n"/>
      <c r="B272" s="17" t="n"/>
      <c r="C272" s="27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9" t="n"/>
      <c r="N272" s="21" t="n"/>
      <c r="O272" s="12">
        <f>IF(AND(B272="",C272=""),"",IF(NOT(ISNUMBER(B272)),"Needs a date",IF(C272="","Needs a client",IF(COUNTIF(Clients!$B$6:$B$105,C272)=0,"Not on Clients",IF(COUNT(D272:M272)=0,"Nothing measured","")))))</f>
        <v/>
      </c>
      <c r="P272" s="1">
        <f>IF(AND(O272="",ISNUMBER(B272)),INT(B272),0)</f>
        <v/>
      </c>
      <c r="Q272">
        <f>IF(AND(P272&gt;0,C272=Report!$C$5),P272*10000+ROW(),"")</f>
        <v/>
      </c>
      <c r="R272">
        <f>IF(AND(Q272&lt;&gt;"",ISNUMBER(D272)),Q272,"")</f>
        <v/>
      </c>
      <c r="S272">
        <f>IF(AND(Q272&lt;&gt;"",ISNUMBER(E272)),Q272,"")</f>
        <v/>
      </c>
      <c r="T272">
        <f>IF(AND(Q272&lt;&gt;"",ISNUMBER(F272)),Q272,"")</f>
        <v/>
      </c>
      <c r="U272">
        <f>IF(AND(Q272&lt;&gt;"",ISNUMBER(G272)),Q272,"")</f>
        <v/>
      </c>
      <c r="V272">
        <f>IF(AND(Q272&lt;&gt;"",ISNUMBER(H272)),Q272,"")</f>
        <v/>
      </c>
      <c r="W272">
        <f>IF(AND(Q272&lt;&gt;"",ISNUMBER(I272)),Q272,"")</f>
        <v/>
      </c>
      <c r="X272">
        <f>IF(AND(Q272&lt;&gt;"",ISNUMBER(J272)),Q272,"")</f>
        <v/>
      </c>
      <c r="Y272">
        <f>IF(AND(Q272&lt;&gt;"",ISNUMBER(K272)),Q272,"")</f>
        <v/>
      </c>
      <c r="Z272">
        <f>IF(AND(Q272&lt;&gt;"",ISNUMBER(L272)),Q272,"")</f>
        <v/>
      </c>
      <c r="AA272">
        <f>IF(AND(Q272&lt;&gt;"",ISNUMBER(M272)),Q272,"")</f>
        <v/>
      </c>
      <c r="AB272">
        <f>IF(AND(Q272&lt;&gt;"",ISNUMBER(K272)),K272,"")</f>
        <v/>
      </c>
      <c r="AC272">
        <f>IF(AND(Q272&lt;&gt;"",ISNUMBER(L272)),L272,"")</f>
        <v/>
      </c>
      <c r="AD272">
        <f>IF(AND(Q272&lt;&gt;"",ISNUMBER(M272)),M272,"")</f>
        <v/>
      </c>
    </row>
    <row r="273">
      <c r="A273" s="1" t="n"/>
      <c r="B273" s="17" t="n"/>
      <c r="C273" s="27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9" t="n"/>
      <c r="N273" s="21" t="n"/>
      <c r="O273" s="12">
        <f>IF(AND(B273="",C273=""),"",IF(NOT(ISNUMBER(B273)),"Needs a date",IF(C273="","Needs a client",IF(COUNTIF(Clients!$B$6:$B$105,C273)=0,"Not on Clients",IF(COUNT(D273:M273)=0,"Nothing measured","")))))</f>
        <v/>
      </c>
      <c r="P273" s="1">
        <f>IF(AND(O273="",ISNUMBER(B273)),INT(B273),0)</f>
        <v/>
      </c>
      <c r="Q273">
        <f>IF(AND(P273&gt;0,C273=Report!$C$5),P273*10000+ROW(),"")</f>
        <v/>
      </c>
      <c r="R273">
        <f>IF(AND(Q273&lt;&gt;"",ISNUMBER(D273)),Q273,"")</f>
        <v/>
      </c>
      <c r="S273">
        <f>IF(AND(Q273&lt;&gt;"",ISNUMBER(E273)),Q273,"")</f>
        <v/>
      </c>
      <c r="T273">
        <f>IF(AND(Q273&lt;&gt;"",ISNUMBER(F273)),Q273,"")</f>
        <v/>
      </c>
      <c r="U273">
        <f>IF(AND(Q273&lt;&gt;"",ISNUMBER(G273)),Q273,"")</f>
        <v/>
      </c>
      <c r="V273">
        <f>IF(AND(Q273&lt;&gt;"",ISNUMBER(H273)),Q273,"")</f>
        <v/>
      </c>
      <c r="W273">
        <f>IF(AND(Q273&lt;&gt;"",ISNUMBER(I273)),Q273,"")</f>
        <v/>
      </c>
      <c r="X273">
        <f>IF(AND(Q273&lt;&gt;"",ISNUMBER(J273)),Q273,"")</f>
        <v/>
      </c>
      <c r="Y273">
        <f>IF(AND(Q273&lt;&gt;"",ISNUMBER(K273)),Q273,"")</f>
        <v/>
      </c>
      <c r="Z273">
        <f>IF(AND(Q273&lt;&gt;"",ISNUMBER(L273)),Q273,"")</f>
        <v/>
      </c>
      <c r="AA273">
        <f>IF(AND(Q273&lt;&gt;"",ISNUMBER(M273)),Q273,"")</f>
        <v/>
      </c>
      <c r="AB273">
        <f>IF(AND(Q273&lt;&gt;"",ISNUMBER(K273)),K273,"")</f>
        <v/>
      </c>
      <c r="AC273">
        <f>IF(AND(Q273&lt;&gt;"",ISNUMBER(L273)),L273,"")</f>
        <v/>
      </c>
      <c r="AD273">
        <f>IF(AND(Q273&lt;&gt;"",ISNUMBER(M273)),M273,"")</f>
        <v/>
      </c>
    </row>
    <row r="274">
      <c r="A274" s="1" t="n"/>
      <c r="B274" s="17" t="n"/>
      <c r="C274" s="27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9" t="n"/>
      <c r="N274" s="21" t="n"/>
      <c r="O274" s="12">
        <f>IF(AND(B274="",C274=""),"",IF(NOT(ISNUMBER(B274)),"Needs a date",IF(C274="","Needs a client",IF(COUNTIF(Clients!$B$6:$B$105,C274)=0,"Not on Clients",IF(COUNT(D274:M274)=0,"Nothing measured","")))))</f>
        <v/>
      </c>
      <c r="P274" s="1">
        <f>IF(AND(O274="",ISNUMBER(B274)),INT(B274),0)</f>
        <v/>
      </c>
      <c r="Q274">
        <f>IF(AND(P274&gt;0,C274=Report!$C$5),P274*10000+ROW(),"")</f>
        <v/>
      </c>
      <c r="R274">
        <f>IF(AND(Q274&lt;&gt;"",ISNUMBER(D274)),Q274,"")</f>
        <v/>
      </c>
      <c r="S274">
        <f>IF(AND(Q274&lt;&gt;"",ISNUMBER(E274)),Q274,"")</f>
        <v/>
      </c>
      <c r="T274">
        <f>IF(AND(Q274&lt;&gt;"",ISNUMBER(F274)),Q274,"")</f>
        <v/>
      </c>
      <c r="U274">
        <f>IF(AND(Q274&lt;&gt;"",ISNUMBER(G274)),Q274,"")</f>
        <v/>
      </c>
      <c r="V274">
        <f>IF(AND(Q274&lt;&gt;"",ISNUMBER(H274)),Q274,"")</f>
        <v/>
      </c>
      <c r="W274">
        <f>IF(AND(Q274&lt;&gt;"",ISNUMBER(I274)),Q274,"")</f>
        <v/>
      </c>
      <c r="X274">
        <f>IF(AND(Q274&lt;&gt;"",ISNUMBER(J274)),Q274,"")</f>
        <v/>
      </c>
      <c r="Y274">
        <f>IF(AND(Q274&lt;&gt;"",ISNUMBER(K274)),Q274,"")</f>
        <v/>
      </c>
      <c r="Z274">
        <f>IF(AND(Q274&lt;&gt;"",ISNUMBER(L274)),Q274,"")</f>
        <v/>
      </c>
      <c r="AA274">
        <f>IF(AND(Q274&lt;&gt;"",ISNUMBER(M274)),Q274,"")</f>
        <v/>
      </c>
      <c r="AB274">
        <f>IF(AND(Q274&lt;&gt;"",ISNUMBER(K274)),K274,"")</f>
        <v/>
      </c>
      <c r="AC274">
        <f>IF(AND(Q274&lt;&gt;"",ISNUMBER(L274)),L274,"")</f>
        <v/>
      </c>
      <c r="AD274">
        <f>IF(AND(Q274&lt;&gt;"",ISNUMBER(M274)),M274,"")</f>
        <v/>
      </c>
    </row>
    <row r="275">
      <c r="A275" s="1" t="n"/>
      <c r="B275" s="17" t="n"/>
      <c r="C275" s="27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9" t="n"/>
      <c r="N275" s="21" t="n"/>
      <c r="O275" s="12">
        <f>IF(AND(B275="",C275=""),"",IF(NOT(ISNUMBER(B275)),"Needs a date",IF(C275="","Needs a client",IF(COUNTIF(Clients!$B$6:$B$105,C275)=0,"Not on Clients",IF(COUNT(D275:M275)=0,"Nothing measured","")))))</f>
        <v/>
      </c>
      <c r="P275" s="1">
        <f>IF(AND(O275="",ISNUMBER(B275)),INT(B275),0)</f>
        <v/>
      </c>
      <c r="Q275">
        <f>IF(AND(P275&gt;0,C275=Report!$C$5),P275*10000+ROW(),"")</f>
        <v/>
      </c>
      <c r="R275">
        <f>IF(AND(Q275&lt;&gt;"",ISNUMBER(D275)),Q275,"")</f>
        <v/>
      </c>
      <c r="S275">
        <f>IF(AND(Q275&lt;&gt;"",ISNUMBER(E275)),Q275,"")</f>
        <v/>
      </c>
      <c r="T275">
        <f>IF(AND(Q275&lt;&gt;"",ISNUMBER(F275)),Q275,"")</f>
        <v/>
      </c>
      <c r="U275">
        <f>IF(AND(Q275&lt;&gt;"",ISNUMBER(G275)),Q275,"")</f>
        <v/>
      </c>
      <c r="V275">
        <f>IF(AND(Q275&lt;&gt;"",ISNUMBER(H275)),Q275,"")</f>
        <v/>
      </c>
      <c r="W275">
        <f>IF(AND(Q275&lt;&gt;"",ISNUMBER(I275)),Q275,"")</f>
        <v/>
      </c>
      <c r="X275">
        <f>IF(AND(Q275&lt;&gt;"",ISNUMBER(J275)),Q275,"")</f>
        <v/>
      </c>
      <c r="Y275">
        <f>IF(AND(Q275&lt;&gt;"",ISNUMBER(K275)),Q275,"")</f>
        <v/>
      </c>
      <c r="Z275">
        <f>IF(AND(Q275&lt;&gt;"",ISNUMBER(L275)),Q275,"")</f>
        <v/>
      </c>
      <c r="AA275">
        <f>IF(AND(Q275&lt;&gt;"",ISNUMBER(M275)),Q275,"")</f>
        <v/>
      </c>
      <c r="AB275">
        <f>IF(AND(Q275&lt;&gt;"",ISNUMBER(K275)),K275,"")</f>
        <v/>
      </c>
      <c r="AC275">
        <f>IF(AND(Q275&lt;&gt;"",ISNUMBER(L275)),L275,"")</f>
        <v/>
      </c>
      <c r="AD275">
        <f>IF(AND(Q275&lt;&gt;"",ISNUMBER(M275)),M275,"")</f>
        <v/>
      </c>
    </row>
    <row r="276">
      <c r="A276" s="1" t="n"/>
      <c r="B276" s="17" t="n"/>
      <c r="C276" s="27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9" t="n"/>
      <c r="N276" s="21" t="n"/>
      <c r="O276" s="12">
        <f>IF(AND(B276="",C276=""),"",IF(NOT(ISNUMBER(B276)),"Needs a date",IF(C276="","Needs a client",IF(COUNTIF(Clients!$B$6:$B$105,C276)=0,"Not on Clients",IF(COUNT(D276:M276)=0,"Nothing measured","")))))</f>
        <v/>
      </c>
      <c r="P276" s="1">
        <f>IF(AND(O276="",ISNUMBER(B276)),INT(B276),0)</f>
        <v/>
      </c>
      <c r="Q276">
        <f>IF(AND(P276&gt;0,C276=Report!$C$5),P276*10000+ROW(),"")</f>
        <v/>
      </c>
      <c r="R276">
        <f>IF(AND(Q276&lt;&gt;"",ISNUMBER(D276)),Q276,"")</f>
        <v/>
      </c>
      <c r="S276">
        <f>IF(AND(Q276&lt;&gt;"",ISNUMBER(E276)),Q276,"")</f>
        <v/>
      </c>
      <c r="T276">
        <f>IF(AND(Q276&lt;&gt;"",ISNUMBER(F276)),Q276,"")</f>
        <v/>
      </c>
      <c r="U276">
        <f>IF(AND(Q276&lt;&gt;"",ISNUMBER(G276)),Q276,"")</f>
        <v/>
      </c>
      <c r="V276">
        <f>IF(AND(Q276&lt;&gt;"",ISNUMBER(H276)),Q276,"")</f>
        <v/>
      </c>
      <c r="W276">
        <f>IF(AND(Q276&lt;&gt;"",ISNUMBER(I276)),Q276,"")</f>
        <v/>
      </c>
      <c r="X276">
        <f>IF(AND(Q276&lt;&gt;"",ISNUMBER(J276)),Q276,"")</f>
        <v/>
      </c>
      <c r="Y276">
        <f>IF(AND(Q276&lt;&gt;"",ISNUMBER(K276)),Q276,"")</f>
        <v/>
      </c>
      <c r="Z276">
        <f>IF(AND(Q276&lt;&gt;"",ISNUMBER(L276)),Q276,"")</f>
        <v/>
      </c>
      <c r="AA276">
        <f>IF(AND(Q276&lt;&gt;"",ISNUMBER(M276)),Q276,"")</f>
        <v/>
      </c>
      <c r="AB276">
        <f>IF(AND(Q276&lt;&gt;"",ISNUMBER(K276)),K276,"")</f>
        <v/>
      </c>
      <c r="AC276">
        <f>IF(AND(Q276&lt;&gt;"",ISNUMBER(L276)),L276,"")</f>
        <v/>
      </c>
      <c r="AD276">
        <f>IF(AND(Q276&lt;&gt;"",ISNUMBER(M276)),M276,"")</f>
        <v/>
      </c>
    </row>
    <row r="277">
      <c r="A277" s="1" t="n"/>
      <c r="B277" s="17" t="n"/>
      <c r="C277" s="27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9" t="n"/>
      <c r="N277" s="21" t="n"/>
      <c r="O277" s="12">
        <f>IF(AND(B277="",C277=""),"",IF(NOT(ISNUMBER(B277)),"Needs a date",IF(C277="","Needs a client",IF(COUNTIF(Clients!$B$6:$B$105,C277)=0,"Not on Clients",IF(COUNT(D277:M277)=0,"Nothing measured","")))))</f>
        <v/>
      </c>
      <c r="P277" s="1">
        <f>IF(AND(O277="",ISNUMBER(B277)),INT(B277),0)</f>
        <v/>
      </c>
      <c r="Q277">
        <f>IF(AND(P277&gt;0,C277=Report!$C$5),P277*10000+ROW(),"")</f>
        <v/>
      </c>
      <c r="R277">
        <f>IF(AND(Q277&lt;&gt;"",ISNUMBER(D277)),Q277,"")</f>
        <v/>
      </c>
      <c r="S277">
        <f>IF(AND(Q277&lt;&gt;"",ISNUMBER(E277)),Q277,"")</f>
        <v/>
      </c>
      <c r="T277">
        <f>IF(AND(Q277&lt;&gt;"",ISNUMBER(F277)),Q277,"")</f>
        <v/>
      </c>
      <c r="U277">
        <f>IF(AND(Q277&lt;&gt;"",ISNUMBER(G277)),Q277,"")</f>
        <v/>
      </c>
      <c r="V277">
        <f>IF(AND(Q277&lt;&gt;"",ISNUMBER(H277)),Q277,"")</f>
        <v/>
      </c>
      <c r="W277">
        <f>IF(AND(Q277&lt;&gt;"",ISNUMBER(I277)),Q277,"")</f>
        <v/>
      </c>
      <c r="X277">
        <f>IF(AND(Q277&lt;&gt;"",ISNUMBER(J277)),Q277,"")</f>
        <v/>
      </c>
      <c r="Y277">
        <f>IF(AND(Q277&lt;&gt;"",ISNUMBER(K277)),Q277,"")</f>
        <v/>
      </c>
      <c r="Z277">
        <f>IF(AND(Q277&lt;&gt;"",ISNUMBER(L277)),Q277,"")</f>
        <v/>
      </c>
      <c r="AA277">
        <f>IF(AND(Q277&lt;&gt;"",ISNUMBER(M277)),Q277,"")</f>
        <v/>
      </c>
      <c r="AB277">
        <f>IF(AND(Q277&lt;&gt;"",ISNUMBER(K277)),K277,"")</f>
        <v/>
      </c>
      <c r="AC277">
        <f>IF(AND(Q277&lt;&gt;"",ISNUMBER(L277)),L277,"")</f>
        <v/>
      </c>
      <c r="AD277">
        <f>IF(AND(Q277&lt;&gt;"",ISNUMBER(M277)),M277,"")</f>
        <v/>
      </c>
    </row>
    <row r="278">
      <c r="A278" s="1" t="n"/>
      <c r="B278" s="17" t="n"/>
      <c r="C278" s="27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9" t="n"/>
      <c r="N278" s="21" t="n"/>
      <c r="O278" s="12">
        <f>IF(AND(B278="",C278=""),"",IF(NOT(ISNUMBER(B278)),"Needs a date",IF(C278="","Needs a client",IF(COUNTIF(Clients!$B$6:$B$105,C278)=0,"Not on Clients",IF(COUNT(D278:M278)=0,"Nothing measured","")))))</f>
        <v/>
      </c>
      <c r="P278" s="1">
        <f>IF(AND(O278="",ISNUMBER(B278)),INT(B278),0)</f>
        <v/>
      </c>
      <c r="Q278">
        <f>IF(AND(P278&gt;0,C278=Report!$C$5),P278*10000+ROW(),"")</f>
        <v/>
      </c>
      <c r="R278">
        <f>IF(AND(Q278&lt;&gt;"",ISNUMBER(D278)),Q278,"")</f>
        <v/>
      </c>
      <c r="S278">
        <f>IF(AND(Q278&lt;&gt;"",ISNUMBER(E278)),Q278,"")</f>
        <v/>
      </c>
      <c r="T278">
        <f>IF(AND(Q278&lt;&gt;"",ISNUMBER(F278)),Q278,"")</f>
        <v/>
      </c>
      <c r="U278">
        <f>IF(AND(Q278&lt;&gt;"",ISNUMBER(G278)),Q278,"")</f>
        <v/>
      </c>
      <c r="V278">
        <f>IF(AND(Q278&lt;&gt;"",ISNUMBER(H278)),Q278,"")</f>
        <v/>
      </c>
      <c r="W278">
        <f>IF(AND(Q278&lt;&gt;"",ISNUMBER(I278)),Q278,"")</f>
        <v/>
      </c>
      <c r="X278">
        <f>IF(AND(Q278&lt;&gt;"",ISNUMBER(J278)),Q278,"")</f>
        <v/>
      </c>
      <c r="Y278">
        <f>IF(AND(Q278&lt;&gt;"",ISNUMBER(K278)),Q278,"")</f>
        <v/>
      </c>
      <c r="Z278">
        <f>IF(AND(Q278&lt;&gt;"",ISNUMBER(L278)),Q278,"")</f>
        <v/>
      </c>
      <c r="AA278">
        <f>IF(AND(Q278&lt;&gt;"",ISNUMBER(M278)),Q278,"")</f>
        <v/>
      </c>
      <c r="AB278">
        <f>IF(AND(Q278&lt;&gt;"",ISNUMBER(K278)),K278,"")</f>
        <v/>
      </c>
      <c r="AC278">
        <f>IF(AND(Q278&lt;&gt;"",ISNUMBER(L278)),L278,"")</f>
        <v/>
      </c>
      <c r="AD278">
        <f>IF(AND(Q278&lt;&gt;"",ISNUMBER(M278)),M278,"")</f>
        <v/>
      </c>
    </row>
    <row r="279">
      <c r="A279" s="1" t="n"/>
      <c r="B279" s="17" t="n"/>
      <c r="C279" s="27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9" t="n"/>
      <c r="N279" s="21" t="n"/>
      <c r="O279" s="12">
        <f>IF(AND(B279="",C279=""),"",IF(NOT(ISNUMBER(B279)),"Needs a date",IF(C279="","Needs a client",IF(COUNTIF(Clients!$B$6:$B$105,C279)=0,"Not on Clients",IF(COUNT(D279:M279)=0,"Nothing measured","")))))</f>
        <v/>
      </c>
      <c r="P279" s="1">
        <f>IF(AND(O279="",ISNUMBER(B279)),INT(B279),0)</f>
        <v/>
      </c>
      <c r="Q279">
        <f>IF(AND(P279&gt;0,C279=Report!$C$5),P279*10000+ROW(),"")</f>
        <v/>
      </c>
      <c r="R279">
        <f>IF(AND(Q279&lt;&gt;"",ISNUMBER(D279)),Q279,"")</f>
        <v/>
      </c>
      <c r="S279">
        <f>IF(AND(Q279&lt;&gt;"",ISNUMBER(E279)),Q279,"")</f>
        <v/>
      </c>
      <c r="T279">
        <f>IF(AND(Q279&lt;&gt;"",ISNUMBER(F279)),Q279,"")</f>
        <v/>
      </c>
      <c r="U279">
        <f>IF(AND(Q279&lt;&gt;"",ISNUMBER(G279)),Q279,"")</f>
        <v/>
      </c>
      <c r="V279">
        <f>IF(AND(Q279&lt;&gt;"",ISNUMBER(H279)),Q279,"")</f>
        <v/>
      </c>
      <c r="W279">
        <f>IF(AND(Q279&lt;&gt;"",ISNUMBER(I279)),Q279,"")</f>
        <v/>
      </c>
      <c r="X279">
        <f>IF(AND(Q279&lt;&gt;"",ISNUMBER(J279)),Q279,"")</f>
        <v/>
      </c>
      <c r="Y279">
        <f>IF(AND(Q279&lt;&gt;"",ISNUMBER(K279)),Q279,"")</f>
        <v/>
      </c>
      <c r="Z279">
        <f>IF(AND(Q279&lt;&gt;"",ISNUMBER(L279)),Q279,"")</f>
        <v/>
      </c>
      <c r="AA279">
        <f>IF(AND(Q279&lt;&gt;"",ISNUMBER(M279)),Q279,"")</f>
        <v/>
      </c>
      <c r="AB279">
        <f>IF(AND(Q279&lt;&gt;"",ISNUMBER(K279)),K279,"")</f>
        <v/>
      </c>
      <c r="AC279">
        <f>IF(AND(Q279&lt;&gt;"",ISNUMBER(L279)),L279,"")</f>
        <v/>
      </c>
      <c r="AD279">
        <f>IF(AND(Q279&lt;&gt;"",ISNUMBER(M279)),M279,"")</f>
        <v/>
      </c>
    </row>
    <row r="280">
      <c r="A280" s="1" t="n"/>
      <c r="B280" s="17" t="n"/>
      <c r="C280" s="27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9" t="n"/>
      <c r="N280" s="21" t="n"/>
      <c r="O280" s="12">
        <f>IF(AND(B280="",C280=""),"",IF(NOT(ISNUMBER(B280)),"Needs a date",IF(C280="","Needs a client",IF(COUNTIF(Clients!$B$6:$B$105,C280)=0,"Not on Clients",IF(COUNT(D280:M280)=0,"Nothing measured","")))))</f>
        <v/>
      </c>
      <c r="P280" s="1">
        <f>IF(AND(O280="",ISNUMBER(B280)),INT(B280),0)</f>
        <v/>
      </c>
      <c r="Q280">
        <f>IF(AND(P280&gt;0,C280=Report!$C$5),P280*10000+ROW(),"")</f>
        <v/>
      </c>
      <c r="R280">
        <f>IF(AND(Q280&lt;&gt;"",ISNUMBER(D280)),Q280,"")</f>
        <v/>
      </c>
      <c r="S280">
        <f>IF(AND(Q280&lt;&gt;"",ISNUMBER(E280)),Q280,"")</f>
        <v/>
      </c>
      <c r="T280">
        <f>IF(AND(Q280&lt;&gt;"",ISNUMBER(F280)),Q280,"")</f>
        <v/>
      </c>
      <c r="U280">
        <f>IF(AND(Q280&lt;&gt;"",ISNUMBER(G280)),Q280,"")</f>
        <v/>
      </c>
      <c r="V280">
        <f>IF(AND(Q280&lt;&gt;"",ISNUMBER(H280)),Q280,"")</f>
        <v/>
      </c>
      <c r="W280">
        <f>IF(AND(Q280&lt;&gt;"",ISNUMBER(I280)),Q280,"")</f>
        <v/>
      </c>
      <c r="X280">
        <f>IF(AND(Q280&lt;&gt;"",ISNUMBER(J280)),Q280,"")</f>
        <v/>
      </c>
      <c r="Y280">
        <f>IF(AND(Q280&lt;&gt;"",ISNUMBER(K280)),Q280,"")</f>
        <v/>
      </c>
      <c r="Z280">
        <f>IF(AND(Q280&lt;&gt;"",ISNUMBER(L280)),Q280,"")</f>
        <v/>
      </c>
      <c r="AA280">
        <f>IF(AND(Q280&lt;&gt;"",ISNUMBER(M280)),Q280,"")</f>
        <v/>
      </c>
      <c r="AB280">
        <f>IF(AND(Q280&lt;&gt;"",ISNUMBER(K280)),K280,"")</f>
        <v/>
      </c>
      <c r="AC280">
        <f>IF(AND(Q280&lt;&gt;"",ISNUMBER(L280)),L280,"")</f>
        <v/>
      </c>
      <c r="AD280">
        <f>IF(AND(Q280&lt;&gt;"",ISNUMBER(M280)),M280,"")</f>
        <v/>
      </c>
    </row>
    <row r="281">
      <c r="A281" s="1" t="n"/>
      <c r="B281" s="17" t="n"/>
      <c r="C281" s="27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9" t="n"/>
      <c r="N281" s="21" t="n"/>
      <c r="O281" s="12">
        <f>IF(AND(B281="",C281=""),"",IF(NOT(ISNUMBER(B281)),"Needs a date",IF(C281="","Needs a client",IF(COUNTIF(Clients!$B$6:$B$105,C281)=0,"Not on Clients",IF(COUNT(D281:M281)=0,"Nothing measured","")))))</f>
        <v/>
      </c>
      <c r="P281" s="1">
        <f>IF(AND(O281="",ISNUMBER(B281)),INT(B281),0)</f>
        <v/>
      </c>
      <c r="Q281">
        <f>IF(AND(P281&gt;0,C281=Report!$C$5),P281*10000+ROW(),"")</f>
        <v/>
      </c>
      <c r="R281">
        <f>IF(AND(Q281&lt;&gt;"",ISNUMBER(D281)),Q281,"")</f>
        <v/>
      </c>
      <c r="S281">
        <f>IF(AND(Q281&lt;&gt;"",ISNUMBER(E281)),Q281,"")</f>
        <v/>
      </c>
      <c r="T281">
        <f>IF(AND(Q281&lt;&gt;"",ISNUMBER(F281)),Q281,"")</f>
        <v/>
      </c>
      <c r="U281">
        <f>IF(AND(Q281&lt;&gt;"",ISNUMBER(G281)),Q281,"")</f>
        <v/>
      </c>
      <c r="V281">
        <f>IF(AND(Q281&lt;&gt;"",ISNUMBER(H281)),Q281,"")</f>
        <v/>
      </c>
      <c r="W281">
        <f>IF(AND(Q281&lt;&gt;"",ISNUMBER(I281)),Q281,"")</f>
        <v/>
      </c>
      <c r="X281">
        <f>IF(AND(Q281&lt;&gt;"",ISNUMBER(J281)),Q281,"")</f>
        <v/>
      </c>
      <c r="Y281">
        <f>IF(AND(Q281&lt;&gt;"",ISNUMBER(K281)),Q281,"")</f>
        <v/>
      </c>
      <c r="Z281">
        <f>IF(AND(Q281&lt;&gt;"",ISNUMBER(L281)),Q281,"")</f>
        <v/>
      </c>
      <c r="AA281">
        <f>IF(AND(Q281&lt;&gt;"",ISNUMBER(M281)),Q281,"")</f>
        <v/>
      </c>
      <c r="AB281">
        <f>IF(AND(Q281&lt;&gt;"",ISNUMBER(K281)),K281,"")</f>
        <v/>
      </c>
      <c r="AC281">
        <f>IF(AND(Q281&lt;&gt;"",ISNUMBER(L281)),L281,"")</f>
        <v/>
      </c>
      <c r="AD281">
        <f>IF(AND(Q281&lt;&gt;"",ISNUMBER(M281)),M281,"")</f>
        <v/>
      </c>
    </row>
    <row r="282">
      <c r="A282" s="1" t="n"/>
      <c r="B282" s="17" t="n"/>
      <c r="C282" s="27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9" t="n"/>
      <c r="N282" s="21" t="n"/>
      <c r="O282" s="12">
        <f>IF(AND(B282="",C282=""),"",IF(NOT(ISNUMBER(B282)),"Needs a date",IF(C282="","Needs a client",IF(COUNTIF(Clients!$B$6:$B$105,C282)=0,"Not on Clients",IF(COUNT(D282:M282)=0,"Nothing measured","")))))</f>
        <v/>
      </c>
      <c r="P282" s="1">
        <f>IF(AND(O282="",ISNUMBER(B282)),INT(B282),0)</f>
        <v/>
      </c>
      <c r="Q282">
        <f>IF(AND(P282&gt;0,C282=Report!$C$5),P282*10000+ROW(),"")</f>
        <v/>
      </c>
      <c r="R282">
        <f>IF(AND(Q282&lt;&gt;"",ISNUMBER(D282)),Q282,"")</f>
        <v/>
      </c>
      <c r="S282">
        <f>IF(AND(Q282&lt;&gt;"",ISNUMBER(E282)),Q282,"")</f>
        <v/>
      </c>
      <c r="T282">
        <f>IF(AND(Q282&lt;&gt;"",ISNUMBER(F282)),Q282,"")</f>
        <v/>
      </c>
      <c r="U282">
        <f>IF(AND(Q282&lt;&gt;"",ISNUMBER(G282)),Q282,"")</f>
        <v/>
      </c>
      <c r="V282">
        <f>IF(AND(Q282&lt;&gt;"",ISNUMBER(H282)),Q282,"")</f>
        <v/>
      </c>
      <c r="W282">
        <f>IF(AND(Q282&lt;&gt;"",ISNUMBER(I282)),Q282,"")</f>
        <v/>
      </c>
      <c r="X282">
        <f>IF(AND(Q282&lt;&gt;"",ISNUMBER(J282)),Q282,"")</f>
        <v/>
      </c>
      <c r="Y282">
        <f>IF(AND(Q282&lt;&gt;"",ISNUMBER(K282)),Q282,"")</f>
        <v/>
      </c>
      <c r="Z282">
        <f>IF(AND(Q282&lt;&gt;"",ISNUMBER(L282)),Q282,"")</f>
        <v/>
      </c>
      <c r="AA282">
        <f>IF(AND(Q282&lt;&gt;"",ISNUMBER(M282)),Q282,"")</f>
        <v/>
      </c>
      <c r="AB282">
        <f>IF(AND(Q282&lt;&gt;"",ISNUMBER(K282)),K282,"")</f>
        <v/>
      </c>
      <c r="AC282">
        <f>IF(AND(Q282&lt;&gt;"",ISNUMBER(L282)),L282,"")</f>
        <v/>
      </c>
      <c r="AD282">
        <f>IF(AND(Q282&lt;&gt;"",ISNUMBER(M282)),M282,"")</f>
        <v/>
      </c>
    </row>
    <row r="283">
      <c r="A283" s="1" t="n"/>
      <c r="B283" s="17" t="n"/>
      <c r="C283" s="27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9" t="n"/>
      <c r="N283" s="21" t="n"/>
      <c r="O283" s="12">
        <f>IF(AND(B283="",C283=""),"",IF(NOT(ISNUMBER(B283)),"Needs a date",IF(C283="","Needs a client",IF(COUNTIF(Clients!$B$6:$B$105,C283)=0,"Not on Clients",IF(COUNT(D283:M283)=0,"Nothing measured","")))))</f>
        <v/>
      </c>
      <c r="P283" s="1">
        <f>IF(AND(O283="",ISNUMBER(B283)),INT(B283),0)</f>
        <v/>
      </c>
      <c r="Q283">
        <f>IF(AND(P283&gt;0,C283=Report!$C$5),P283*10000+ROW(),"")</f>
        <v/>
      </c>
      <c r="R283">
        <f>IF(AND(Q283&lt;&gt;"",ISNUMBER(D283)),Q283,"")</f>
        <v/>
      </c>
      <c r="S283">
        <f>IF(AND(Q283&lt;&gt;"",ISNUMBER(E283)),Q283,"")</f>
        <v/>
      </c>
      <c r="T283">
        <f>IF(AND(Q283&lt;&gt;"",ISNUMBER(F283)),Q283,"")</f>
        <v/>
      </c>
      <c r="U283">
        <f>IF(AND(Q283&lt;&gt;"",ISNUMBER(G283)),Q283,"")</f>
        <v/>
      </c>
      <c r="V283">
        <f>IF(AND(Q283&lt;&gt;"",ISNUMBER(H283)),Q283,"")</f>
        <v/>
      </c>
      <c r="W283">
        <f>IF(AND(Q283&lt;&gt;"",ISNUMBER(I283)),Q283,"")</f>
        <v/>
      </c>
      <c r="X283">
        <f>IF(AND(Q283&lt;&gt;"",ISNUMBER(J283)),Q283,"")</f>
        <v/>
      </c>
      <c r="Y283">
        <f>IF(AND(Q283&lt;&gt;"",ISNUMBER(K283)),Q283,"")</f>
        <v/>
      </c>
      <c r="Z283">
        <f>IF(AND(Q283&lt;&gt;"",ISNUMBER(L283)),Q283,"")</f>
        <v/>
      </c>
      <c r="AA283">
        <f>IF(AND(Q283&lt;&gt;"",ISNUMBER(M283)),Q283,"")</f>
        <v/>
      </c>
      <c r="AB283">
        <f>IF(AND(Q283&lt;&gt;"",ISNUMBER(K283)),K283,"")</f>
        <v/>
      </c>
      <c r="AC283">
        <f>IF(AND(Q283&lt;&gt;"",ISNUMBER(L283)),L283,"")</f>
        <v/>
      </c>
      <c r="AD283">
        <f>IF(AND(Q283&lt;&gt;"",ISNUMBER(M283)),M283,"")</f>
        <v/>
      </c>
    </row>
    <row r="284">
      <c r="A284" s="1" t="n"/>
      <c r="B284" s="17" t="n"/>
      <c r="C284" s="27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9" t="n"/>
      <c r="N284" s="21" t="n"/>
      <c r="O284" s="12">
        <f>IF(AND(B284="",C284=""),"",IF(NOT(ISNUMBER(B284)),"Needs a date",IF(C284="","Needs a client",IF(COUNTIF(Clients!$B$6:$B$105,C284)=0,"Not on Clients",IF(COUNT(D284:M284)=0,"Nothing measured","")))))</f>
        <v/>
      </c>
      <c r="P284" s="1">
        <f>IF(AND(O284="",ISNUMBER(B284)),INT(B284),0)</f>
        <v/>
      </c>
      <c r="Q284">
        <f>IF(AND(P284&gt;0,C284=Report!$C$5),P284*10000+ROW(),"")</f>
        <v/>
      </c>
      <c r="R284">
        <f>IF(AND(Q284&lt;&gt;"",ISNUMBER(D284)),Q284,"")</f>
        <v/>
      </c>
      <c r="S284">
        <f>IF(AND(Q284&lt;&gt;"",ISNUMBER(E284)),Q284,"")</f>
        <v/>
      </c>
      <c r="T284">
        <f>IF(AND(Q284&lt;&gt;"",ISNUMBER(F284)),Q284,"")</f>
        <v/>
      </c>
      <c r="U284">
        <f>IF(AND(Q284&lt;&gt;"",ISNUMBER(G284)),Q284,"")</f>
        <v/>
      </c>
      <c r="V284">
        <f>IF(AND(Q284&lt;&gt;"",ISNUMBER(H284)),Q284,"")</f>
        <v/>
      </c>
      <c r="W284">
        <f>IF(AND(Q284&lt;&gt;"",ISNUMBER(I284)),Q284,"")</f>
        <v/>
      </c>
      <c r="X284">
        <f>IF(AND(Q284&lt;&gt;"",ISNUMBER(J284)),Q284,"")</f>
        <v/>
      </c>
      <c r="Y284">
        <f>IF(AND(Q284&lt;&gt;"",ISNUMBER(K284)),Q284,"")</f>
        <v/>
      </c>
      <c r="Z284">
        <f>IF(AND(Q284&lt;&gt;"",ISNUMBER(L284)),Q284,"")</f>
        <v/>
      </c>
      <c r="AA284">
        <f>IF(AND(Q284&lt;&gt;"",ISNUMBER(M284)),Q284,"")</f>
        <v/>
      </c>
      <c r="AB284">
        <f>IF(AND(Q284&lt;&gt;"",ISNUMBER(K284)),K284,"")</f>
        <v/>
      </c>
      <c r="AC284">
        <f>IF(AND(Q284&lt;&gt;"",ISNUMBER(L284)),L284,"")</f>
        <v/>
      </c>
      <c r="AD284">
        <f>IF(AND(Q284&lt;&gt;"",ISNUMBER(M284)),M284,"")</f>
        <v/>
      </c>
    </row>
    <row r="285">
      <c r="A285" s="1" t="n"/>
      <c r="B285" s="17" t="n"/>
      <c r="C285" s="27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9" t="n"/>
      <c r="N285" s="21" t="n"/>
      <c r="O285" s="12">
        <f>IF(AND(B285="",C285=""),"",IF(NOT(ISNUMBER(B285)),"Needs a date",IF(C285="","Needs a client",IF(COUNTIF(Clients!$B$6:$B$105,C285)=0,"Not on Clients",IF(COUNT(D285:M285)=0,"Nothing measured","")))))</f>
        <v/>
      </c>
      <c r="P285" s="1">
        <f>IF(AND(O285="",ISNUMBER(B285)),INT(B285),0)</f>
        <v/>
      </c>
      <c r="Q285">
        <f>IF(AND(P285&gt;0,C285=Report!$C$5),P285*10000+ROW(),"")</f>
        <v/>
      </c>
      <c r="R285">
        <f>IF(AND(Q285&lt;&gt;"",ISNUMBER(D285)),Q285,"")</f>
        <v/>
      </c>
      <c r="S285">
        <f>IF(AND(Q285&lt;&gt;"",ISNUMBER(E285)),Q285,"")</f>
        <v/>
      </c>
      <c r="T285">
        <f>IF(AND(Q285&lt;&gt;"",ISNUMBER(F285)),Q285,"")</f>
        <v/>
      </c>
      <c r="U285">
        <f>IF(AND(Q285&lt;&gt;"",ISNUMBER(G285)),Q285,"")</f>
        <v/>
      </c>
      <c r="V285">
        <f>IF(AND(Q285&lt;&gt;"",ISNUMBER(H285)),Q285,"")</f>
        <v/>
      </c>
      <c r="W285">
        <f>IF(AND(Q285&lt;&gt;"",ISNUMBER(I285)),Q285,"")</f>
        <v/>
      </c>
      <c r="X285">
        <f>IF(AND(Q285&lt;&gt;"",ISNUMBER(J285)),Q285,"")</f>
        <v/>
      </c>
      <c r="Y285">
        <f>IF(AND(Q285&lt;&gt;"",ISNUMBER(K285)),Q285,"")</f>
        <v/>
      </c>
      <c r="Z285">
        <f>IF(AND(Q285&lt;&gt;"",ISNUMBER(L285)),Q285,"")</f>
        <v/>
      </c>
      <c r="AA285">
        <f>IF(AND(Q285&lt;&gt;"",ISNUMBER(M285)),Q285,"")</f>
        <v/>
      </c>
      <c r="AB285">
        <f>IF(AND(Q285&lt;&gt;"",ISNUMBER(K285)),K285,"")</f>
        <v/>
      </c>
      <c r="AC285">
        <f>IF(AND(Q285&lt;&gt;"",ISNUMBER(L285)),L285,"")</f>
        <v/>
      </c>
      <c r="AD285">
        <f>IF(AND(Q285&lt;&gt;"",ISNUMBER(M285)),M285,"")</f>
        <v/>
      </c>
    </row>
    <row r="286">
      <c r="A286" s="1" t="n"/>
      <c r="B286" s="17" t="n"/>
      <c r="C286" s="27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9" t="n"/>
      <c r="N286" s="21" t="n"/>
      <c r="O286" s="12">
        <f>IF(AND(B286="",C286=""),"",IF(NOT(ISNUMBER(B286)),"Needs a date",IF(C286="","Needs a client",IF(COUNTIF(Clients!$B$6:$B$105,C286)=0,"Not on Clients",IF(COUNT(D286:M286)=0,"Nothing measured","")))))</f>
        <v/>
      </c>
      <c r="P286" s="1">
        <f>IF(AND(O286="",ISNUMBER(B286)),INT(B286),0)</f>
        <v/>
      </c>
      <c r="Q286">
        <f>IF(AND(P286&gt;0,C286=Report!$C$5),P286*10000+ROW(),"")</f>
        <v/>
      </c>
      <c r="R286">
        <f>IF(AND(Q286&lt;&gt;"",ISNUMBER(D286)),Q286,"")</f>
        <v/>
      </c>
      <c r="S286">
        <f>IF(AND(Q286&lt;&gt;"",ISNUMBER(E286)),Q286,"")</f>
        <v/>
      </c>
      <c r="T286">
        <f>IF(AND(Q286&lt;&gt;"",ISNUMBER(F286)),Q286,"")</f>
        <v/>
      </c>
      <c r="U286">
        <f>IF(AND(Q286&lt;&gt;"",ISNUMBER(G286)),Q286,"")</f>
        <v/>
      </c>
      <c r="V286">
        <f>IF(AND(Q286&lt;&gt;"",ISNUMBER(H286)),Q286,"")</f>
        <v/>
      </c>
      <c r="W286">
        <f>IF(AND(Q286&lt;&gt;"",ISNUMBER(I286)),Q286,"")</f>
        <v/>
      </c>
      <c r="X286">
        <f>IF(AND(Q286&lt;&gt;"",ISNUMBER(J286)),Q286,"")</f>
        <v/>
      </c>
      <c r="Y286">
        <f>IF(AND(Q286&lt;&gt;"",ISNUMBER(K286)),Q286,"")</f>
        <v/>
      </c>
      <c r="Z286">
        <f>IF(AND(Q286&lt;&gt;"",ISNUMBER(L286)),Q286,"")</f>
        <v/>
      </c>
      <c r="AA286">
        <f>IF(AND(Q286&lt;&gt;"",ISNUMBER(M286)),Q286,"")</f>
        <v/>
      </c>
      <c r="AB286">
        <f>IF(AND(Q286&lt;&gt;"",ISNUMBER(K286)),K286,"")</f>
        <v/>
      </c>
      <c r="AC286">
        <f>IF(AND(Q286&lt;&gt;"",ISNUMBER(L286)),L286,"")</f>
        <v/>
      </c>
      <c r="AD286">
        <f>IF(AND(Q286&lt;&gt;"",ISNUMBER(M286)),M286,"")</f>
        <v/>
      </c>
    </row>
    <row r="287">
      <c r="A287" s="1" t="n"/>
      <c r="B287" s="17" t="n"/>
      <c r="C287" s="27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9" t="n"/>
      <c r="N287" s="21" t="n"/>
      <c r="O287" s="12">
        <f>IF(AND(B287="",C287=""),"",IF(NOT(ISNUMBER(B287)),"Needs a date",IF(C287="","Needs a client",IF(COUNTIF(Clients!$B$6:$B$105,C287)=0,"Not on Clients",IF(COUNT(D287:M287)=0,"Nothing measured","")))))</f>
        <v/>
      </c>
      <c r="P287" s="1">
        <f>IF(AND(O287="",ISNUMBER(B287)),INT(B287),0)</f>
        <v/>
      </c>
      <c r="Q287">
        <f>IF(AND(P287&gt;0,C287=Report!$C$5),P287*10000+ROW(),"")</f>
        <v/>
      </c>
      <c r="R287">
        <f>IF(AND(Q287&lt;&gt;"",ISNUMBER(D287)),Q287,"")</f>
        <v/>
      </c>
      <c r="S287">
        <f>IF(AND(Q287&lt;&gt;"",ISNUMBER(E287)),Q287,"")</f>
        <v/>
      </c>
      <c r="T287">
        <f>IF(AND(Q287&lt;&gt;"",ISNUMBER(F287)),Q287,"")</f>
        <v/>
      </c>
      <c r="U287">
        <f>IF(AND(Q287&lt;&gt;"",ISNUMBER(G287)),Q287,"")</f>
        <v/>
      </c>
      <c r="V287">
        <f>IF(AND(Q287&lt;&gt;"",ISNUMBER(H287)),Q287,"")</f>
        <v/>
      </c>
      <c r="W287">
        <f>IF(AND(Q287&lt;&gt;"",ISNUMBER(I287)),Q287,"")</f>
        <v/>
      </c>
      <c r="X287">
        <f>IF(AND(Q287&lt;&gt;"",ISNUMBER(J287)),Q287,"")</f>
        <v/>
      </c>
      <c r="Y287">
        <f>IF(AND(Q287&lt;&gt;"",ISNUMBER(K287)),Q287,"")</f>
        <v/>
      </c>
      <c r="Z287">
        <f>IF(AND(Q287&lt;&gt;"",ISNUMBER(L287)),Q287,"")</f>
        <v/>
      </c>
      <c r="AA287">
        <f>IF(AND(Q287&lt;&gt;"",ISNUMBER(M287)),Q287,"")</f>
        <v/>
      </c>
      <c r="AB287">
        <f>IF(AND(Q287&lt;&gt;"",ISNUMBER(K287)),K287,"")</f>
        <v/>
      </c>
      <c r="AC287">
        <f>IF(AND(Q287&lt;&gt;"",ISNUMBER(L287)),L287,"")</f>
        <v/>
      </c>
      <c r="AD287">
        <f>IF(AND(Q287&lt;&gt;"",ISNUMBER(M287)),M287,"")</f>
        <v/>
      </c>
    </row>
    <row r="288">
      <c r="A288" s="1" t="n"/>
      <c r="B288" s="17" t="n"/>
      <c r="C288" s="27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9" t="n"/>
      <c r="N288" s="21" t="n"/>
      <c r="O288" s="12">
        <f>IF(AND(B288="",C288=""),"",IF(NOT(ISNUMBER(B288)),"Needs a date",IF(C288="","Needs a client",IF(COUNTIF(Clients!$B$6:$B$105,C288)=0,"Not on Clients",IF(COUNT(D288:M288)=0,"Nothing measured","")))))</f>
        <v/>
      </c>
      <c r="P288" s="1">
        <f>IF(AND(O288="",ISNUMBER(B288)),INT(B288),0)</f>
        <v/>
      </c>
      <c r="Q288">
        <f>IF(AND(P288&gt;0,C288=Report!$C$5),P288*10000+ROW(),"")</f>
        <v/>
      </c>
      <c r="R288">
        <f>IF(AND(Q288&lt;&gt;"",ISNUMBER(D288)),Q288,"")</f>
        <v/>
      </c>
      <c r="S288">
        <f>IF(AND(Q288&lt;&gt;"",ISNUMBER(E288)),Q288,"")</f>
        <v/>
      </c>
      <c r="T288">
        <f>IF(AND(Q288&lt;&gt;"",ISNUMBER(F288)),Q288,"")</f>
        <v/>
      </c>
      <c r="U288">
        <f>IF(AND(Q288&lt;&gt;"",ISNUMBER(G288)),Q288,"")</f>
        <v/>
      </c>
      <c r="V288">
        <f>IF(AND(Q288&lt;&gt;"",ISNUMBER(H288)),Q288,"")</f>
        <v/>
      </c>
      <c r="W288">
        <f>IF(AND(Q288&lt;&gt;"",ISNUMBER(I288)),Q288,"")</f>
        <v/>
      </c>
      <c r="X288">
        <f>IF(AND(Q288&lt;&gt;"",ISNUMBER(J288)),Q288,"")</f>
        <v/>
      </c>
      <c r="Y288">
        <f>IF(AND(Q288&lt;&gt;"",ISNUMBER(K288)),Q288,"")</f>
        <v/>
      </c>
      <c r="Z288">
        <f>IF(AND(Q288&lt;&gt;"",ISNUMBER(L288)),Q288,"")</f>
        <v/>
      </c>
      <c r="AA288">
        <f>IF(AND(Q288&lt;&gt;"",ISNUMBER(M288)),Q288,"")</f>
        <v/>
      </c>
      <c r="AB288">
        <f>IF(AND(Q288&lt;&gt;"",ISNUMBER(K288)),K288,"")</f>
        <v/>
      </c>
      <c r="AC288">
        <f>IF(AND(Q288&lt;&gt;"",ISNUMBER(L288)),L288,"")</f>
        <v/>
      </c>
      <c r="AD288">
        <f>IF(AND(Q288&lt;&gt;"",ISNUMBER(M288)),M288,"")</f>
        <v/>
      </c>
    </row>
    <row r="289">
      <c r="A289" s="1" t="n"/>
      <c r="B289" s="17" t="n"/>
      <c r="C289" s="27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9" t="n"/>
      <c r="N289" s="21" t="n"/>
      <c r="O289" s="12">
        <f>IF(AND(B289="",C289=""),"",IF(NOT(ISNUMBER(B289)),"Needs a date",IF(C289="","Needs a client",IF(COUNTIF(Clients!$B$6:$B$105,C289)=0,"Not on Clients",IF(COUNT(D289:M289)=0,"Nothing measured","")))))</f>
        <v/>
      </c>
      <c r="P289" s="1">
        <f>IF(AND(O289="",ISNUMBER(B289)),INT(B289),0)</f>
        <v/>
      </c>
      <c r="Q289">
        <f>IF(AND(P289&gt;0,C289=Report!$C$5),P289*10000+ROW(),"")</f>
        <v/>
      </c>
      <c r="R289">
        <f>IF(AND(Q289&lt;&gt;"",ISNUMBER(D289)),Q289,"")</f>
        <v/>
      </c>
      <c r="S289">
        <f>IF(AND(Q289&lt;&gt;"",ISNUMBER(E289)),Q289,"")</f>
        <v/>
      </c>
      <c r="T289">
        <f>IF(AND(Q289&lt;&gt;"",ISNUMBER(F289)),Q289,"")</f>
        <v/>
      </c>
      <c r="U289">
        <f>IF(AND(Q289&lt;&gt;"",ISNUMBER(G289)),Q289,"")</f>
        <v/>
      </c>
      <c r="V289">
        <f>IF(AND(Q289&lt;&gt;"",ISNUMBER(H289)),Q289,"")</f>
        <v/>
      </c>
      <c r="W289">
        <f>IF(AND(Q289&lt;&gt;"",ISNUMBER(I289)),Q289,"")</f>
        <v/>
      </c>
      <c r="X289">
        <f>IF(AND(Q289&lt;&gt;"",ISNUMBER(J289)),Q289,"")</f>
        <v/>
      </c>
      <c r="Y289">
        <f>IF(AND(Q289&lt;&gt;"",ISNUMBER(K289)),Q289,"")</f>
        <v/>
      </c>
      <c r="Z289">
        <f>IF(AND(Q289&lt;&gt;"",ISNUMBER(L289)),Q289,"")</f>
        <v/>
      </c>
      <c r="AA289">
        <f>IF(AND(Q289&lt;&gt;"",ISNUMBER(M289)),Q289,"")</f>
        <v/>
      </c>
      <c r="AB289">
        <f>IF(AND(Q289&lt;&gt;"",ISNUMBER(K289)),K289,"")</f>
        <v/>
      </c>
      <c r="AC289">
        <f>IF(AND(Q289&lt;&gt;"",ISNUMBER(L289)),L289,"")</f>
        <v/>
      </c>
      <c r="AD289">
        <f>IF(AND(Q289&lt;&gt;"",ISNUMBER(M289)),M289,"")</f>
        <v/>
      </c>
    </row>
    <row r="290">
      <c r="A290" s="1" t="n"/>
      <c r="B290" s="17" t="n"/>
      <c r="C290" s="27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9" t="n"/>
      <c r="N290" s="21" t="n"/>
      <c r="O290" s="12">
        <f>IF(AND(B290="",C290=""),"",IF(NOT(ISNUMBER(B290)),"Needs a date",IF(C290="","Needs a client",IF(COUNTIF(Clients!$B$6:$B$105,C290)=0,"Not on Clients",IF(COUNT(D290:M290)=0,"Nothing measured","")))))</f>
        <v/>
      </c>
      <c r="P290" s="1">
        <f>IF(AND(O290="",ISNUMBER(B290)),INT(B290),0)</f>
        <v/>
      </c>
      <c r="Q290">
        <f>IF(AND(P290&gt;0,C290=Report!$C$5),P290*10000+ROW(),"")</f>
        <v/>
      </c>
      <c r="R290">
        <f>IF(AND(Q290&lt;&gt;"",ISNUMBER(D290)),Q290,"")</f>
        <v/>
      </c>
      <c r="S290">
        <f>IF(AND(Q290&lt;&gt;"",ISNUMBER(E290)),Q290,"")</f>
        <v/>
      </c>
      <c r="T290">
        <f>IF(AND(Q290&lt;&gt;"",ISNUMBER(F290)),Q290,"")</f>
        <v/>
      </c>
      <c r="U290">
        <f>IF(AND(Q290&lt;&gt;"",ISNUMBER(G290)),Q290,"")</f>
        <v/>
      </c>
      <c r="V290">
        <f>IF(AND(Q290&lt;&gt;"",ISNUMBER(H290)),Q290,"")</f>
        <v/>
      </c>
      <c r="W290">
        <f>IF(AND(Q290&lt;&gt;"",ISNUMBER(I290)),Q290,"")</f>
        <v/>
      </c>
      <c r="X290">
        <f>IF(AND(Q290&lt;&gt;"",ISNUMBER(J290)),Q290,"")</f>
        <v/>
      </c>
      <c r="Y290">
        <f>IF(AND(Q290&lt;&gt;"",ISNUMBER(K290)),Q290,"")</f>
        <v/>
      </c>
      <c r="Z290">
        <f>IF(AND(Q290&lt;&gt;"",ISNUMBER(L290)),Q290,"")</f>
        <v/>
      </c>
      <c r="AA290">
        <f>IF(AND(Q290&lt;&gt;"",ISNUMBER(M290)),Q290,"")</f>
        <v/>
      </c>
      <c r="AB290">
        <f>IF(AND(Q290&lt;&gt;"",ISNUMBER(K290)),K290,"")</f>
        <v/>
      </c>
      <c r="AC290">
        <f>IF(AND(Q290&lt;&gt;"",ISNUMBER(L290)),L290,"")</f>
        <v/>
      </c>
      <c r="AD290">
        <f>IF(AND(Q290&lt;&gt;"",ISNUMBER(M290)),M290,"")</f>
        <v/>
      </c>
    </row>
    <row r="291">
      <c r="A291" s="1" t="n"/>
      <c r="B291" s="17" t="n"/>
      <c r="C291" s="27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9" t="n"/>
      <c r="N291" s="21" t="n"/>
      <c r="O291" s="12">
        <f>IF(AND(B291="",C291=""),"",IF(NOT(ISNUMBER(B291)),"Needs a date",IF(C291="","Needs a client",IF(COUNTIF(Clients!$B$6:$B$105,C291)=0,"Not on Clients",IF(COUNT(D291:M291)=0,"Nothing measured","")))))</f>
        <v/>
      </c>
      <c r="P291" s="1">
        <f>IF(AND(O291="",ISNUMBER(B291)),INT(B291),0)</f>
        <v/>
      </c>
      <c r="Q291">
        <f>IF(AND(P291&gt;0,C291=Report!$C$5),P291*10000+ROW(),"")</f>
        <v/>
      </c>
      <c r="R291">
        <f>IF(AND(Q291&lt;&gt;"",ISNUMBER(D291)),Q291,"")</f>
        <v/>
      </c>
      <c r="S291">
        <f>IF(AND(Q291&lt;&gt;"",ISNUMBER(E291)),Q291,"")</f>
        <v/>
      </c>
      <c r="T291">
        <f>IF(AND(Q291&lt;&gt;"",ISNUMBER(F291)),Q291,"")</f>
        <v/>
      </c>
      <c r="U291">
        <f>IF(AND(Q291&lt;&gt;"",ISNUMBER(G291)),Q291,"")</f>
        <v/>
      </c>
      <c r="V291">
        <f>IF(AND(Q291&lt;&gt;"",ISNUMBER(H291)),Q291,"")</f>
        <v/>
      </c>
      <c r="W291">
        <f>IF(AND(Q291&lt;&gt;"",ISNUMBER(I291)),Q291,"")</f>
        <v/>
      </c>
      <c r="X291">
        <f>IF(AND(Q291&lt;&gt;"",ISNUMBER(J291)),Q291,"")</f>
        <v/>
      </c>
      <c r="Y291">
        <f>IF(AND(Q291&lt;&gt;"",ISNUMBER(K291)),Q291,"")</f>
        <v/>
      </c>
      <c r="Z291">
        <f>IF(AND(Q291&lt;&gt;"",ISNUMBER(L291)),Q291,"")</f>
        <v/>
      </c>
      <c r="AA291">
        <f>IF(AND(Q291&lt;&gt;"",ISNUMBER(M291)),Q291,"")</f>
        <v/>
      </c>
      <c r="AB291">
        <f>IF(AND(Q291&lt;&gt;"",ISNUMBER(K291)),K291,"")</f>
        <v/>
      </c>
      <c r="AC291">
        <f>IF(AND(Q291&lt;&gt;"",ISNUMBER(L291)),L291,"")</f>
        <v/>
      </c>
      <c r="AD291">
        <f>IF(AND(Q291&lt;&gt;"",ISNUMBER(M291)),M291,"")</f>
        <v/>
      </c>
    </row>
    <row r="292">
      <c r="A292" s="1" t="n"/>
      <c r="B292" s="17" t="n"/>
      <c r="C292" s="27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9" t="n"/>
      <c r="N292" s="21" t="n"/>
      <c r="O292" s="12">
        <f>IF(AND(B292="",C292=""),"",IF(NOT(ISNUMBER(B292)),"Needs a date",IF(C292="","Needs a client",IF(COUNTIF(Clients!$B$6:$B$105,C292)=0,"Not on Clients",IF(COUNT(D292:M292)=0,"Nothing measured","")))))</f>
        <v/>
      </c>
      <c r="P292" s="1">
        <f>IF(AND(O292="",ISNUMBER(B292)),INT(B292),0)</f>
        <v/>
      </c>
      <c r="Q292">
        <f>IF(AND(P292&gt;0,C292=Report!$C$5),P292*10000+ROW(),"")</f>
        <v/>
      </c>
      <c r="R292">
        <f>IF(AND(Q292&lt;&gt;"",ISNUMBER(D292)),Q292,"")</f>
        <v/>
      </c>
      <c r="S292">
        <f>IF(AND(Q292&lt;&gt;"",ISNUMBER(E292)),Q292,"")</f>
        <v/>
      </c>
      <c r="T292">
        <f>IF(AND(Q292&lt;&gt;"",ISNUMBER(F292)),Q292,"")</f>
        <v/>
      </c>
      <c r="U292">
        <f>IF(AND(Q292&lt;&gt;"",ISNUMBER(G292)),Q292,"")</f>
        <v/>
      </c>
      <c r="V292">
        <f>IF(AND(Q292&lt;&gt;"",ISNUMBER(H292)),Q292,"")</f>
        <v/>
      </c>
      <c r="W292">
        <f>IF(AND(Q292&lt;&gt;"",ISNUMBER(I292)),Q292,"")</f>
        <v/>
      </c>
      <c r="X292">
        <f>IF(AND(Q292&lt;&gt;"",ISNUMBER(J292)),Q292,"")</f>
        <v/>
      </c>
      <c r="Y292">
        <f>IF(AND(Q292&lt;&gt;"",ISNUMBER(K292)),Q292,"")</f>
        <v/>
      </c>
      <c r="Z292">
        <f>IF(AND(Q292&lt;&gt;"",ISNUMBER(L292)),Q292,"")</f>
        <v/>
      </c>
      <c r="AA292">
        <f>IF(AND(Q292&lt;&gt;"",ISNUMBER(M292)),Q292,"")</f>
        <v/>
      </c>
      <c r="AB292">
        <f>IF(AND(Q292&lt;&gt;"",ISNUMBER(K292)),K292,"")</f>
        <v/>
      </c>
      <c r="AC292">
        <f>IF(AND(Q292&lt;&gt;"",ISNUMBER(L292)),L292,"")</f>
        <v/>
      </c>
      <c r="AD292">
        <f>IF(AND(Q292&lt;&gt;"",ISNUMBER(M292)),M292,"")</f>
        <v/>
      </c>
    </row>
    <row r="293">
      <c r="A293" s="1" t="n"/>
      <c r="B293" s="17" t="n"/>
      <c r="C293" s="27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9" t="n"/>
      <c r="N293" s="21" t="n"/>
      <c r="O293" s="12">
        <f>IF(AND(B293="",C293=""),"",IF(NOT(ISNUMBER(B293)),"Needs a date",IF(C293="","Needs a client",IF(COUNTIF(Clients!$B$6:$B$105,C293)=0,"Not on Clients",IF(COUNT(D293:M293)=0,"Nothing measured","")))))</f>
        <v/>
      </c>
      <c r="P293" s="1">
        <f>IF(AND(O293="",ISNUMBER(B293)),INT(B293),0)</f>
        <v/>
      </c>
      <c r="Q293">
        <f>IF(AND(P293&gt;0,C293=Report!$C$5),P293*10000+ROW(),"")</f>
        <v/>
      </c>
      <c r="R293">
        <f>IF(AND(Q293&lt;&gt;"",ISNUMBER(D293)),Q293,"")</f>
        <v/>
      </c>
      <c r="S293">
        <f>IF(AND(Q293&lt;&gt;"",ISNUMBER(E293)),Q293,"")</f>
        <v/>
      </c>
      <c r="T293">
        <f>IF(AND(Q293&lt;&gt;"",ISNUMBER(F293)),Q293,"")</f>
        <v/>
      </c>
      <c r="U293">
        <f>IF(AND(Q293&lt;&gt;"",ISNUMBER(G293)),Q293,"")</f>
        <v/>
      </c>
      <c r="V293">
        <f>IF(AND(Q293&lt;&gt;"",ISNUMBER(H293)),Q293,"")</f>
        <v/>
      </c>
      <c r="W293">
        <f>IF(AND(Q293&lt;&gt;"",ISNUMBER(I293)),Q293,"")</f>
        <v/>
      </c>
      <c r="X293">
        <f>IF(AND(Q293&lt;&gt;"",ISNUMBER(J293)),Q293,"")</f>
        <v/>
      </c>
      <c r="Y293">
        <f>IF(AND(Q293&lt;&gt;"",ISNUMBER(K293)),Q293,"")</f>
        <v/>
      </c>
      <c r="Z293">
        <f>IF(AND(Q293&lt;&gt;"",ISNUMBER(L293)),Q293,"")</f>
        <v/>
      </c>
      <c r="AA293">
        <f>IF(AND(Q293&lt;&gt;"",ISNUMBER(M293)),Q293,"")</f>
        <v/>
      </c>
      <c r="AB293">
        <f>IF(AND(Q293&lt;&gt;"",ISNUMBER(K293)),K293,"")</f>
        <v/>
      </c>
      <c r="AC293">
        <f>IF(AND(Q293&lt;&gt;"",ISNUMBER(L293)),L293,"")</f>
        <v/>
      </c>
      <c r="AD293">
        <f>IF(AND(Q293&lt;&gt;"",ISNUMBER(M293)),M293,"")</f>
        <v/>
      </c>
    </row>
    <row r="294">
      <c r="A294" s="1" t="n"/>
      <c r="B294" s="17" t="n"/>
      <c r="C294" s="27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9" t="n"/>
      <c r="N294" s="21" t="n"/>
      <c r="O294" s="12">
        <f>IF(AND(B294="",C294=""),"",IF(NOT(ISNUMBER(B294)),"Needs a date",IF(C294="","Needs a client",IF(COUNTIF(Clients!$B$6:$B$105,C294)=0,"Not on Clients",IF(COUNT(D294:M294)=0,"Nothing measured","")))))</f>
        <v/>
      </c>
      <c r="P294" s="1">
        <f>IF(AND(O294="",ISNUMBER(B294)),INT(B294),0)</f>
        <v/>
      </c>
      <c r="Q294">
        <f>IF(AND(P294&gt;0,C294=Report!$C$5),P294*10000+ROW(),"")</f>
        <v/>
      </c>
      <c r="R294">
        <f>IF(AND(Q294&lt;&gt;"",ISNUMBER(D294)),Q294,"")</f>
        <v/>
      </c>
      <c r="S294">
        <f>IF(AND(Q294&lt;&gt;"",ISNUMBER(E294)),Q294,"")</f>
        <v/>
      </c>
      <c r="T294">
        <f>IF(AND(Q294&lt;&gt;"",ISNUMBER(F294)),Q294,"")</f>
        <v/>
      </c>
      <c r="U294">
        <f>IF(AND(Q294&lt;&gt;"",ISNUMBER(G294)),Q294,"")</f>
        <v/>
      </c>
      <c r="V294">
        <f>IF(AND(Q294&lt;&gt;"",ISNUMBER(H294)),Q294,"")</f>
        <v/>
      </c>
      <c r="W294">
        <f>IF(AND(Q294&lt;&gt;"",ISNUMBER(I294)),Q294,"")</f>
        <v/>
      </c>
      <c r="X294">
        <f>IF(AND(Q294&lt;&gt;"",ISNUMBER(J294)),Q294,"")</f>
        <v/>
      </c>
      <c r="Y294">
        <f>IF(AND(Q294&lt;&gt;"",ISNUMBER(K294)),Q294,"")</f>
        <v/>
      </c>
      <c r="Z294">
        <f>IF(AND(Q294&lt;&gt;"",ISNUMBER(L294)),Q294,"")</f>
        <v/>
      </c>
      <c r="AA294">
        <f>IF(AND(Q294&lt;&gt;"",ISNUMBER(M294)),Q294,"")</f>
        <v/>
      </c>
      <c r="AB294">
        <f>IF(AND(Q294&lt;&gt;"",ISNUMBER(K294)),K294,"")</f>
        <v/>
      </c>
      <c r="AC294">
        <f>IF(AND(Q294&lt;&gt;"",ISNUMBER(L294)),L294,"")</f>
        <v/>
      </c>
      <c r="AD294">
        <f>IF(AND(Q294&lt;&gt;"",ISNUMBER(M294)),M294,"")</f>
        <v/>
      </c>
    </row>
    <row r="295">
      <c r="A295" s="1" t="n"/>
      <c r="B295" s="17" t="n"/>
      <c r="C295" s="27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9" t="n"/>
      <c r="N295" s="21" t="n"/>
      <c r="O295" s="12">
        <f>IF(AND(B295="",C295=""),"",IF(NOT(ISNUMBER(B295)),"Needs a date",IF(C295="","Needs a client",IF(COUNTIF(Clients!$B$6:$B$105,C295)=0,"Not on Clients",IF(COUNT(D295:M295)=0,"Nothing measured","")))))</f>
        <v/>
      </c>
      <c r="P295" s="1">
        <f>IF(AND(O295="",ISNUMBER(B295)),INT(B295),0)</f>
        <v/>
      </c>
      <c r="Q295">
        <f>IF(AND(P295&gt;0,C295=Report!$C$5),P295*10000+ROW(),"")</f>
        <v/>
      </c>
      <c r="R295">
        <f>IF(AND(Q295&lt;&gt;"",ISNUMBER(D295)),Q295,"")</f>
        <v/>
      </c>
      <c r="S295">
        <f>IF(AND(Q295&lt;&gt;"",ISNUMBER(E295)),Q295,"")</f>
        <v/>
      </c>
      <c r="T295">
        <f>IF(AND(Q295&lt;&gt;"",ISNUMBER(F295)),Q295,"")</f>
        <v/>
      </c>
      <c r="U295">
        <f>IF(AND(Q295&lt;&gt;"",ISNUMBER(G295)),Q295,"")</f>
        <v/>
      </c>
      <c r="V295">
        <f>IF(AND(Q295&lt;&gt;"",ISNUMBER(H295)),Q295,"")</f>
        <v/>
      </c>
      <c r="W295">
        <f>IF(AND(Q295&lt;&gt;"",ISNUMBER(I295)),Q295,"")</f>
        <v/>
      </c>
      <c r="X295">
        <f>IF(AND(Q295&lt;&gt;"",ISNUMBER(J295)),Q295,"")</f>
        <v/>
      </c>
      <c r="Y295">
        <f>IF(AND(Q295&lt;&gt;"",ISNUMBER(K295)),Q295,"")</f>
        <v/>
      </c>
      <c r="Z295">
        <f>IF(AND(Q295&lt;&gt;"",ISNUMBER(L295)),Q295,"")</f>
        <v/>
      </c>
      <c r="AA295">
        <f>IF(AND(Q295&lt;&gt;"",ISNUMBER(M295)),Q295,"")</f>
        <v/>
      </c>
      <c r="AB295">
        <f>IF(AND(Q295&lt;&gt;"",ISNUMBER(K295)),K295,"")</f>
        <v/>
      </c>
      <c r="AC295">
        <f>IF(AND(Q295&lt;&gt;"",ISNUMBER(L295)),L295,"")</f>
        <v/>
      </c>
      <c r="AD295">
        <f>IF(AND(Q295&lt;&gt;"",ISNUMBER(M295)),M295,"")</f>
        <v/>
      </c>
    </row>
    <row r="296">
      <c r="A296" s="1" t="n"/>
      <c r="B296" s="17" t="n"/>
      <c r="C296" s="27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9" t="n"/>
      <c r="N296" s="21" t="n"/>
      <c r="O296" s="12">
        <f>IF(AND(B296="",C296=""),"",IF(NOT(ISNUMBER(B296)),"Needs a date",IF(C296="","Needs a client",IF(COUNTIF(Clients!$B$6:$B$105,C296)=0,"Not on Clients",IF(COUNT(D296:M296)=0,"Nothing measured","")))))</f>
        <v/>
      </c>
      <c r="P296" s="1">
        <f>IF(AND(O296="",ISNUMBER(B296)),INT(B296),0)</f>
        <v/>
      </c>
      <c r="Q296">
        <f>IF(AND(P296&gt;0,C296=Report!$C$5),P296*10000+ROW(),"")</f>
        <v/>
      </c>
      <c r="R296">
        <f>IF(AND(Q296&lt;&gt;"",ISNUMBER(D296)),Q296,"")</f>
        <v/>
      </c>
      <c r="S296">
        <f>IF(AND(Q296&lt;&gt;"",ISNUMBER(E296)),Q296,"")</f>
        <v/>
      </c>
      <c r="T296">
        <f>IF(AND(Q296&lt;&gt;"",ISNUMBER(F296)),Q296,"")</f>
        <v/>
      </c>
      <c r="U296">
        <f>IF(AND(Q296&lt;&gt;"",ISNUMBER(G296)),Q296,"")</f>
        <v/>
      </c>
      <c r="V296">
        <f>IF(AND(Q296&lt;&gt;"",ISNUMBER(H296)),Q296,"")</f>
        <v/>
      </c>
      <c r="W296">
        <f>IF(AND(Q296&lt;&gt;"",ISNUMBER(I296)),Q296,"")</f>
        <v/>
      </c>
      <c r="X296">
        <f>IF(AND(Q296&lt;&gt;"",ISNUMBER(J296)),Q296,"")</f>
        <v/>
      </c>
      <c r="Y296">
        <f>IF(AND(Q296&lt;&gt;"",ISNUMBER(K296)),Q296,"")</f>
        <v/>
      </c>
      <c r="Z296">
        <f>IF(AND(Q296&lt;&gt;"",ISNUMBER(L296)),Q296,"")</f>
        <v/>
      </c>
      <c r="AA296">
        <f>IF(AND(Q296&lt;&gt;"",ISNUMBER(M296)),Q296,"")</f>
        <v/>
      </c>
      <c r="AB296">
        <f>IF(AND(Q296&lt;&gt;"",ISNUMBER(K296)),K296,"")</f>
        <v/>
      </c>
      <c r="AC296">
        <f>IF(AND(Q296&lt;&gt;"",ISNUMBER(L296)),L296,"")</f>
        <v/>
      </c>
      <c r="AD296">
        <f>IF(AND(Q296&lt;&gt;"",ISNUMBER(M296)),M296,"")</f>
        <v/>
      </c>
    </row>
    <row r="297">
      <c r="A297" s="1" t="n"/>
      <c r="B297" s="17" t="n"/>
      <c r="C297" s="27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9" t="n"/>
      <c r="N297" s="21" t="n"/>
      <c r="O297" s="12">
        <f>IF(AND(B297="",C297=""),"",IF(NOT(ISNUMBER(B297)),"Needs a date",IF(C297="","Needs a client",IF(COUNTIF(Clients!$B$6:$B$105,C297)=0,"Not on Clients",IF(COUNT(D297:M297)=0,"Nothing measured","")))))</f>
        <v/>
      </c>
      <c r="P297" s="1">
        <f>IF(AND(O297="",ISNUMBER(B297)),INT(B297),0)</f>
        <v/>
      </c>
      <c r="Q297">
        <f>IF(AND(P297&gt;0,C297=Report!$C$5),P297*10000+ROW(),"")</f>
        <v/>
      </c>
      <c r="R297">
        <f>IF(AND(Q297&lt;&gt;"",ISNUMBER(D297)),Q297,"")</f>
        <v/>
      </c>
      <c r="S297">
        <f>IF(AND(Q297&lt;&gt;"",ISNUMBER(E297)),Q297,"")</f>
        <v/>
      </c>
      <c r="T297">
        <f>IF(AND(Q297&lt;&gt;"",ISNUMBER(F297)),Q297,"")</f>
        <v/>
      </c>
      <c r="U297">
        <f>IF(AND(Q297&lt;&gt;"",ISNUMBER(G297)),Q297,"")</f>
        <v/>
      </c>
      <c r="V297">
        <f>IF(AND(Q297&lt;&gt;"",ISNUMBER(H297)),Q297,"")</f>
        <v/>
      </c>
      <c r="W297">
        <f>IF(AND(Q297&lt;&gt;"",ISNUMBER(I297)),Q297,"")</f>
        <v/>
      </c>
      <c r="X297">
        <f>IF(AND(Q297&lt;&gt;"",ISNUMBER(J297)),Q297,"")</f>
        <v/>
      </c>
      <c r="Y297">
        <f>IF(AND(Q297&lt;&gt;"",ISNUMBER(K297)),Q297,"")</f>
        <v/>
      </c>
      <c r="Z297">
        <f>IF(AND(Q297&lt;&gt;"",ISNUMBER(L297)),Q297,"")</f>
        <v/>
      </c>
      <c r="AA297">
        <f>IF(AND(Q297&lt;&gt;"",ISNUMBER(M297)),Q297,"")</f>
        <v/>
      </c>
      <c r="AB297">
        <f>IF(AND(Q297&lt;&gt;"",ISNUMBER(K297)),K297,"")</f>
        <v/>
      </c>
      <c r="AC297">
        <f>IF(AND(Q297&lt;&gt;"",ISNUMBER(L297)),L297,"")</f>
        <v/>
      </c>
      <c r="AD297">
        <f>IF(AND(Q297&lt;&gt;"",ISNUMBER(M297)),M297,"")</f>
        <v/>
      </c>
    </row>
    <row r="298">
      <c r="A298" s="1" t="n"/>
      <c r="B298" s="17" t="n"/>
      <c r="C298" s="27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9" t="n"/>
      <c r="N298" s="21" t="n"/>
      <c r="O298" s="12">
        <f>IF(AND(B298="",C298=""),"",IF(NOT(ISNUMBER(B298)),"Needs a date",IF(C298="","Needs a client",IF(COUNTIF(Clients!$B$6:$B$105,C298)=0,"Not on Clients",IF(COUNT(D298:M298)=0,"Nothing measured","")))))</f>
        <v/>
      </c>
      <c r="P298" s="1">
        <f>IF(AND(O298="",ISNUMBER(B298)),INT(B298),0)</f>
        <v/>
      </c>
      <c r="Q298">
        <f>IF(AND(P298&gt;0,C298=Report!$C$5),P298*10000+ROW(),"")</f>
        <v/>
      </c>
      <c r="R298">
        <f>IF(AND(Q298&lt;&gt;"",ISNUMBER(D298)),Q298,"")</f>
        <v/>
      </c>
      <c r="S298">
        <f>IF(AND(Q298&lt;&gt;"",ISNUMBER(E298)),Q298,"")</f>
        <v/>
      </c>
      <c r="T298">
        <f>IF(AND(Q298&lt;&gt;"",ISNUMBER(F298)),Q298,"")</f>
        <v/>
      </c>
      <c r="U298">
        <f>IF(AND(Q298&lt;&gt;"",ISNUMBER(G298)),Q298,"")</f>
        <v/>
      </c>
      <c r="V298">
        <f>IF(AND(Q298&lt;&gt;"",ISNUMBER(H298)),Q298,"")</f>
        <v/>
      </c>
      <c r="W298">
        <f>IF(AND(Q298&lt;&gt;"",ISNUMBER(I298)),Q298,"")</f>
        <v/>
      </c>
      <c r="X298">
        <f>IF(AND(Q298&lt;&gt;"",ISNUMBER(J298)),Q298,"")</f>
        <v/>
      </c>
      <c r="Y298">
        <f>IF(AND(Q298&lt;&gt;"",ISNUMBER(K298)),Q298,"")</f>
        <v/>
      </c>
      <c r="Z298">
        <f>IF(AND(Q298&lt;&gt;"",ISNUMBER(L298)),Q298,"")</f>
        <v/>
      </c>
      <c r="AA298">
        <f>IF(AND(Q298&lt;&gt;"",ISNUMBER(M298)),Q298,"")</f>
        <v/>
      </c>
      <c r="AB298">
        <f>IF(AND(Q298&lt;&gt;"",ISNUMBER(K298)),K298,"")</f>
        <v/>
      </c>
      <c r="AC298">
        <f>IF(AND(Q298&lt;&gt;"",ISNUMBER(L298)),L298,"")</f>
        <v/>
      </c>
      <c r="AD298">
        <f>IF(AND(Q298&lt;&gt;"",ISNUMBER(M298)),M298,"")</f>
        <v/>
      </c>
    </row>
    <row r="299">
      <c r="A299" s="1" t="n"/>
      <c r="B299" s="17" t="n"/>
      <c r="C299" s="27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9" t="n"/>
      <c r="N299" s="21" t="n"/>
      <c r="O299" s="12">
        <f>IF(AND(B299="",C299=""),"",IF(NOT(ISNUMBER(B299)),"Needs a date",IF(C299="","Needs a client",IF(COUNTIF(Clients!$B$6:$B$105,C299)=0,"Not on Clients",IF(COUNT(D299:M299)=0,"Nothing measured","")))))</f>
        <v/>
      </c>
      <c r="P299" s="1">
        <f>IF(AND(O299="",ISNUMBER(B299)),INT(B299),0)</f>
        <v/>
      </c>
      <c r="Q299">
        <f>IF(AND(P299&gt;0,C299=Report!$C$5),P299*10000+ROW(),"")</f>
        <v/>
      </c>
      <c r="R299">
        <f>IF(AND(Q299&lt;&gt;"",ISNUMBER(D299)),Q299,"")</f>
        <v/>
      </c>
      <c r="S299">
        <f>IF(AND(Q299&lt;&gt;"",ISNUMBER(E299)),Q299,"")</f>
        <v/>
      </c>
      <c r="T299">
        <f>IF(AND(Q299&lt;&gt;"",ISNUMBER(F299)),Q299,"")</f>
        <v/>
      </c>
      <c r="U299">
        <f>IF(AND(Q299&lt;&gt;"",ISNUMBER(G299)),Q299,"")</f>
        <v/>
      </c>
      <c r="V299">
        <f>IF(AND(Q299&lt;&gt;"",ISNUMBER(H299)),Q299,"")</f>
        <v/>
      </c>
      <c r="W299">
        <f>IF(AND(Q299&lt;&gt;"",ISNUMBER(I299)),Q299,"")</f>
        <v/>
      </c>
      <c r="X299">
        <f>IF(AND(Q299&lt;&gt;"",ISNUMBER(J299)),Q299,"")</f>
        <v/>
      </c>
      <c r="Y299">
        <f>IF(AND(Q299&lt;&gt;"",ISNUMBER(K299)),Q299,"")</f>
        <v/>
      </c>
      <c r="Z299">
        <f>IF(AND(Q299&lt;&gt;"",ISNUMBER(L299)),Q299,"")</f>
        <v/>
      </c>
      <c r="AA299">
        <f>IF(AND(Q299&lt;&gt;"",ISNUMBER(M299)),Q299,"")</f>
        <v/>
      </c>
      <c r="AB299">
        <f>IF(AND(Q299&lt;&gt;"",ISNUMBER(K299)),K299,"")</f>
        <v/>
      </c>
      <c r="AC299">
        <f>IF(AND(Q299&lt;&gt;"",ISNUMBER(L299)),L299,"")</f>
        <v/>
      </c>
      <c r="AD299">
        <f>IF(AND(Q299&lt;&gt;"",ISNUMBER(M299)),M299,"")</f>
        <v/>
      </c>
    </row>
    <row r="300">
      <c r="A300" s="1" t="n"/>
      <c r="B300" s="17" t="n"/>
      <c r="C300" s="27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9" t="n"/>
      <c r="N300" s="21" t="n"/>
      <c r="O300" s="12">
        <f>IF(AND(B300="",C300=""),"",IF(NOT(ISNUMBER(B300)),"Needs a date",IF(C300="","Needs a client",IF(COUNTIF(Clients!$B$6:$B$105,C300)=0,"Not on Clients",IF(COUNT(D300:M300)=0,"Nothing measured","")))))</f>
        <v/>
      </c>
      <c r="P300" s="1">
        <f>IF(AND(O300="",ISNUMBER(B300)),INT(B300),0)</f>
        <v/>
      </c>
      <c r="Q300">
        <f>IF(AND(P300&gt;0,C300=Report!$C$5),P300*10000+ROW(),"")</f>
        <v/>
      </c>
      <c r="R300">
        <f>IF(AND(Q300&lt;&gt;"",ISNUMBER(D300)),Q300,"")</f>
        <v/>
      </c>
      <c r="S300">
        <f>IF(AND(Q300&lt;&gt;"",ISNUMBER(E300)),Q300,"")</f>
        <v/>
      </c>
      <c r="T300">
        <f>IF(AND(Q300&lt;&gt;"",ISNUMBER(F300)),Q300,"")</f>
        <v/>
      </c>
      <c r="U300">
        <f>IF(AND(Q300&lt;&gt;"",ISNUMBER(G300)),Q300,"")</f>
        <v/>
      </c>
      <c r="V300">
        <f>IF(AND(Q300&lt;&gt;"",ISNUMBER(H300)),Q300,"")</f>
        <v/>
      </c>
      <c r="W300">
        <f>IF(AND(Q300&lt;&gt;"",ISNUMBER(I300)),Q300,"")</f>
        <v/>
      </c>
      <c r="X300">
        <f>IF(AND(Q300&lt;&gt;"",ISNUMBER(J300)),Q300,"")</f>
        <v/>
      </c>
      <c r="Y300">
        <f>IF(AND(Q300&lt;&gt;"",ISNUMBER(K300)),Q300,"")</f>
        <v/>
      </c>
      <c r="Z300">
        <f>IF(AND(Q300&lt;&gt;"",ISNUMBER(L300)),Q300,"")</f>
        <v/>
      </c>
      <c r="AA300">
        <f>IF(AND(Q300&lt;&gt;"",ISNUMBER(M300)),Q300,"")</f>
        <v/>
      </c>
      <c r="AB300">
        <f>IF(AND(Q300&lt;&gt;"",ISNUMBER(K300)),K300,"")</f>
        <v/>
      </c>
      <c r="AC300">
        <f>IF(AND(Q300&lt;&gt;"",ISNUMBER(L300)),L300,"")</f>
        <v/>
      </c>
      <c r="AD300">
        <f>IF(AND(Q300&lt;&gt;"",ISNUMBER(M300)),M300,"")</f>
        <v/>
      </c>
    </row>
    <row r="301">
      <c r="A301" s="1" t="n"/>
      <c r="B301" s="17" t="n"/>
      <c r="C301" s="27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9" t="n"/>
      <c r="N301" s="21" t="n"/>
      <c r="O301" s="12">
        <f>IF(AND(B301="",C301=""),"",IF(NOT(ISNUMBER(B301)),"Needs a date",IF(C301="","Needs a client",IF(COUNTIF(Clients!$B$6:$B$105,C301)=0,"Not on Clients",IF(COUNT(D301:M301)=0,"Nothing measured","")))))</f>
        <v/>
      </c>
      <c r="P301" s="1">
        <f>IF(AND(O301="",ISNUMBER(B301)),INT(B301),0)</f>
        <v/>
      </c>
      <c r="Q301">
        <f>IF(AND(P301&gt;0,C301=Report!$C$5),P301*10000+ROW(),"")</f>
        <v/>
      </c>
      <c r="R301">
        <f>IF(AND(Q301&lt;&gt;"",ISNUMBER(D301)),Q301,"")</f>
        <v/>
      </c>
      <c r="S301">
        <f>IF(AND(Q301&lt;&gt;"",ISNUMBER(E301)),Q301,"")</f>
        <v/>
      </c>
      <c r="T301">
        <f>IF(AND(Q301&lt;&gt;"",ISNUMBER(F301)),Q301,"")</f>
        <v/>
      </c>
      <c r="U301">
        <f>IF(AND(Q301&lt;&gt;"",ISNUMBER(G301)),Q301,"")</f>
        <v/>
      </c>
      <c r="V301">
        <f>IF(AND(Q301&lt;&gt;"",ISNUMBER(H301)),Q301,"")</f>
        <v/>
      </c>
      <c r="W301">
        <f>IF(AND(Q301&lt;&gt;"",ISNUMBER(I301)),Q301,"")</f>
        <v/>
      </c>
      <c r="X301">
        <f>IF(AND(Q301&lt;&gt;"",ISNUMBER(J301)),Q301,"")</f>
        <v/>
      </c>
      <c r="Y301">
        <f>IF(AND(Q301&lt;&gt;"",ISNUMBER(K301)),Q301,"")</f>
        <v/>
      </c>
      <c r="Z301">
        <f>IF(AND(Q301&lt;&gt;"",ISNUMBER(L301)),Q301,"")</f>
        <v/>
      </c>
      <c r="AA301">
        <f>IF(AND(Q301&lt;&gt;"",ISNUMBER(M301)),Q301,"")</f>
        <v/>
      </c>
      <c r="AB301">
        <f>IF(AND(Q301&lt;&gt;"",ISNUMBER(K301)),K301,"")</f>
        <v/>
      </c>
      <c r="AC301">
        <f>IF(AND(Q301&lt;&gt;"",ISNUMBER(L301)),L301,"")</f>
        <v/>
      </c>
      <c r="AD301">
        <f>IF(AND(Q301&lt;&gt;"",ISNUMBER(M301)),M301,"")</f>
        <v/>
      </c>
    </row>
    <row r="302">
      <c r="A302" s="1" t="n"/>
      <c r="B302" s="17" t="n"/>
      <c r="C302" s="27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9" t="n"/>
      <c r="N302" s="21" t="n"/>
      <c r="O302" s="12">
        <f>IF(AND(B302="",C302=""),"",IF(NOT(ISNUMBER(B302)),"Needs a date",IF(C302="","Needs a client",IF(COUNTIF(Clients!$B$6:$B$105,C302)=0,"Not on Clients",IF(COUNT(D302:M302)=0,"Nothing measured","")))))</f>
        <v/>
      </c>
      <c r="P302" s="1">
        <f>IF(AND(O302="",ISNUMBER(B302)),INT(B302),0)</f>
        <v/>
      </c>
      <c r="Q302">
        <f>IF(AND(P302&gt;0,C302=Report!$C$5),P302*10000+ROW(),"")</f>
        <v/>
      </c>
      <c r="R302">
        <f>IF(AND(Q302&lt;&gt;"",ISNUMBER(D302)),Q302,"")</f>
        <v/>
      </c>
      <c r="S302">
        <f>IF(AND(Q302&lt;&gt;"",ISNUMBER(E302)),Q302,"")</f>
        <v/>
      </c>
      <c r="T302">
        <f>IF(AND(Q302&lt;&gt;"",ISNUMBER(F302)),Q302,"")</f>
        <v/>
      </c>
      <c r="U302">
        <f>IF(AND(Q302&lt;&gt;"",ISNUMBER(G302)),Q302,"")</f>
        <v/>
      </c>
      <c r="V302">
        <f>IF(AND(Q302&lt;&gt;"",ISNUMBER(H302)),Q302,"")</f>
        <v/>
      </c>
      <c r="W302">
        <f>IF(AND(Q302&lt;&gt;"",ISNUMBER(I302)),Q302,"")</f>
        <v/>
      </c>
      <c r="X302">
        <f>IF(AND(Q302&lt;&gt;"",ISNUMBER(J302)),Q302,"")</f>
        <v/>
      </c>
      <c r="Y302">
        <f>IF(AND(Q302&lt;&gt;"",ISNUMBER(K302)),Q302,"")</f>
        <v/>
      </c>
      <c r="Z302">
        <f>IF(AND(Q302&lt;&gt;"",ISNUMBER(L302)),Q302,"")</f>
        <v/>
      </c>
      <c r="AA302">
        <f>IF(AND(Q302&lt;&gt;"",ISNUMBER(M302)),Q302,"")</f>
        <v/>
      </c>
      <c r="AB302">
        <f>IF(AND(Q302&lt;&gt;"",ISNUMBER(K302)),K302,"")</f>
        <v/>
      </c>
      <c r="AC302">
        <f>IF(AND(Q302&lt;&gt;"",ISNUMBER(L302)),L302,"")</f>
        <v/>
      </c>
      <c r="AD302">
        <f>IF(AND(Q302&lt;&gt;"",ISNUMBER(M302)),M302,"")</f>
        <v/>
      </c>
    </row>
    <row r="303">
      <c r="A303" s="1" t="n"/>
      <c r="B303" s="17" t="n"/>
      <c r="C303" s="27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9" t="n"/>
      <c r="N303" s="21" t="n"/>
      <c r="O303" s="12">
        <f>IF(AND(B303="",C303=""),"",IF(NOT(ISNUMBER(B303)),"Needs a date",IF(C303="","Needs a client",IF(COUNTIF(Clients!$B$6:$B$105,C303)=0,"Not on Clients",IF(COUNT(D303:M303)=0,"Nothing measured","")))))</f>
        <v/>
      </c>
      <c r="P303" s="1">
        <f>IF(AND(O303="",ISNUMBER(B303)),INT(B303),0)</f>
        <v/>
      </c>
      <c r="Q303">
        <f>IF(AND(P303&gt;0,C303=Report!$C$5),P303*10000+ROW(),"")</f>
        <v/>
      </c>
      <c r="R303">
        <f>IF(AND(Q303&lt;&gt;"",ISNUMBER(D303)),Q303,"")</f>
        <v/>
      </c>
      <c r="S303">
        <f>IF(AND(Q303&lt;&gt;"",ISNUMBER(E303)),Q303,"")</f>
        <v/>
      </c>
      <c r="T303">
        <f>IF(AND(Q303&lt;&gt;"",ISNUMBER(F303)),Q303,"")</f>
        <v/>
      </c>
      <c r="U303">
        <f>IF(AND(Q303&lt;&gt;"",ISNUMBER(G303)),Q303,"")</f>
        <v/>
      </c>
      <c r="V303">
        <f>IF(AND(Q303&lt;&gt;"",ISNUMBER(H303)),Q303,"")</f>
        <v/>
      </c>
      <c r="W303">
        <f>IF(AND(Q303&lt;&gt;"",ISNUMBER(I303)),Q303,"")</f>
        <v/>
      </c>
      <c r="X303">
        <f>IF(AND(Q303&lt;&gt;"",ISNUMBER(J303)),Q303,"")</f>
        <v/>
      </c>
      <c r="Y303">
        <f>IF(AND(Q303&lt;&gt;"",ISNUMBER(K303)),Q303,"")</f>
        <v/>
      </c>
      <c r="Z303">
        <f>IF(AND(Q303&lt;&gt;"",ISNUMBER(L303)),Q303,"")</f>
        <v/>
      </c>
      <c r="AA303">
        <f>IF(AND(Q303&lt;&gt;"",ISNUMBER(M303)),Q303,"")</f>
        <v/>
      </c>
      <c r="AB303">
        <f>IF(AND(Q303&lt;&gt;"",ISNUMBER(K303)),K303,"")</f>
        <v/>
      </c>
      <c r="AC303">
        <f>IF(AND(Q303&lt;&gt;"",ISNUMBER(L303)),L303,"")</f>
        <v/>
      </c>
      <c r="AD303">
        <f>IF(AND(Q303&lt;&gt;"",ISNUMBER(M303)),M303,"")</f>
        <v/>
      </c>
    </row>
    <row r="304">
      <c r="A304" s="1" t="n"/>
      <c r="B304" s="17" t="n"/>
      <c r="C304" s="27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9" t="n"/>
      <c r="N304" s="21" t="n"/>
      <c r="O304" s="12">
        <f>IF(AND(B304="",C304=""),"",IF(NOT(ISNUMBER(B304)),"Needs a date",IF(C304="","Needs a client",IF(COUNTIF(Clients!$B$6:$B$105,C304)=0,"Not on Clients",IF(COUNT(D304:M304)=0,"Nothing measured","")))))</f>
        <v/>
      </c>
      <c r="P304" s="1">
        <f>IF(AND(O304="",ISNUMBER(B304)),INT(B304),0)</f>
        <v/>
      </c>
      <c r="Q304">
        <f>IF(AND(P304&gt;0,C304=Report!$C$5),P304*10000+ROW(),"")</f>
        <v/>
      </c>
      <c r="R304">
        <f>IF(AND(Q304&lt;&gt;"",ISNUMBER(D304)),Q304,"")</f>
        <v/>
      </c>
      <c r="S304">
        <f>IF(AND(Q304&lt;&gt;"",ISNUMBER(E304)),Q304,"")</f>
        <v/>
      </c>
      <c r="T304">
        <f>IF(AND(Q304&lt;&gt;"",ISNUMBER(F304)),Q304,"")</f>
        <v/>
      </c>
      <c r="U304">
        <f>IF(AND(Q304&lt;&gt;"",ISNUMBER(G304)),Q304,"")</f>
        <v/>
      </c>
      <c r="V304">
        <f>IF(AND(Q304&lt;&gt;"",ISNUMBER(H304)),Q304,"")</f>
        <v/>
      </c>
      <c r="W304">
        <f>IF(AND(Q304&lt;&gt;"",ISNUMBER(I304)),Q304,"")</f>
        <v/>
      </c>
      <c r="X304">
        <f>IF(AND(Q304&lt;&gt;"",ISNUMBER(J304)),Q304,"")</f>
        <v/>
      </c>
      <c r="Y304">
        <f>IF(AND(Q304&lt;&gt;"",ISNUMBER(K304)),Q304,"")</f>
        <v/>
      </c>
      <c r="Z304">
        <f>IF(AND(Q304&lt;&gt;"",ISNUMBER(L304)),Q304,"")</f>
        <v/>
      </c>
      <c r="AA304">
        <f>IF(AND(Q304&lt;&gt;"",ISNUMBER(M304)),Q304,"")</f>
        <v/>
      </c>
      <c r="AB304">
        <f>IF(AND(Q304&lt;&gt;"",ISNUMBER(K304)),K304,"")</f>
        <v/>
      </c>
      <c r="AC304">
        <f>IF(AND(Q304&lt;&gt;"",ISNUMBER(L304)),L304,"")</f>
        <v/>
      </c>
      <c r="AD304">
        <f>IF(AND(Q304&lt;&gt;"",ISNUMBER(M304)),M304,"")</f>
        <v/>
      </c>
    </row>
    <row r="305">
      <c r="A305" s="1" t="n"/>
      <c r="B305" s="17" t="n"/>
      <c r="C305" s="27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9" t="n"/>
      <c r="N305" s="21" t="n"/>
      <c r="O305" s="12">
        <f>IF(AND(B305="",C305=""),"",IF(NOT(ISNUMBER(B305)),"Needs a date",IF(C305="","Needs a client",IF(COUNTIF(Clients!$B$6:$B$105,C305)=0,"Not on Clients",IF(COUNT(D305:M305)=0,"Nothing measured","")))))</f>
        <v/>
      </c>
      <c r="P305" s="1">
        <f>IF(AND(O305="",ISNUMBER(B305)),INT(B305),0)</f>
        <v/>
      </c>
      <c r="Q305">
        <f>IF(AND(P305&gt;0,C305=Report!$C$5),P305*10000+ROW(),"")</f>
        <v/>
      </c>
      <c r="R305">
        <f>IF(AND(Q305&lt;&gt;"",ISNUMBER(D305)),Q305,"")</f>
        <v/>
      </c>
      <c r="S305">
        <f>IF(AND(Q305&lt;&gt;"",ISNUMBER(E305)),Q305,"")</f>
        <v/>
      </c>
      <c r="T305">
        <f>IF(AND(Q305&lt;&gt;"",ISNUMBER(F305)),Q305,"")</f>
        <v/>
      </c>
      <c r="U305">
        <f>IF(AND(Q305&lt;&gt;"",ISNUMBER(G305)),Q305,"")</f>
        <v/>
      </c>
      <c r="V305">
        <f>IF(AND(Q305&lt;&gt;"",ISNUMBER(H305)),Q305,"")</f>
        <v/>
      </c>
      <c r="W305">
        <f>IF(AND(Q305&lt;&gt;"",ISNUMBER(I305)),Q305,"")</f>
        <v/>
      </c>
      <c r="X305">
        <f>IF(AND(Q305&lt;&gt;"",ISNUMBER(J305)),Q305,"")</f>
        <v/>
      </c>
      <c r="Y305">
        <f>IF(AND(Q305&lt;&gt;"",ISNUMBER(K305)),Q305,"")</f>
        <v/>
      </c>
      <c r="Z305">
        <f>IF(AND(Q305&lt;&gt;"",ISNUMBER(L305)),Q305,"")</f>
        <v/>
      </c>
      <c r="AA305">
        <f>IF(AND(Q305&lt;&gt;"",ISNUMBER(M305)),Q305,"")</f>
        <v/>
      </c>
      <c r="AB305">
        <f>IF(AND(Q305&lt;&gt;"",ISNUMBER(K305)),K305,"")</f>
        <v/>
      </c>
      <c r="AC305">
        <f>IF(AND(Q305&lt;&gt;"",ISNUMBER(L305)),L305,"")</f>
        <v/>
      </c>
      <c r="AD305">
        <f>IF(AND(Q305&lt;&gt;"",ISNUMBER(M305)),M305,"")</f>
        <v/>
      </c>
    </row>
    <row r="306">
      <c r="A306" s="1" t="n"/>
      <c r="B306" s="17" t="n"/>
      <c r="C306" s="27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9" t="n"/>
      <c r="N306" s="21" t="n"/>
      <c r="O306" s="12">
        <f>IF(AND(B306="",C306=""),"",IF(NOT(ISNUMBER(B306)),"Needs a date",IF(C306="","Needs a client",IF(COUNTIF(Clients!$B$6:$B$105,C306)=0,"Not on Clients",IF(COUNT(D306:M306)=0,"Nothing measured","")))))</f>
        <v/>
      </c>
      <c r="P306" s="1">
        <f>IF(AND(O306="",ISNUMBER(B306)),INT(B306),0)</f>
        <v/>
      </c>
      <c r="Q306">
        <f>IF(AND(P306&gt;0,C306=Report!$C$5),P306*10000+ROW(),"")</f>
        <v/>
      </c>
      <c r="R306">
        <f>IF(AND(Q306&lt;&gt;"",ISNUMBER(D306)),Q306,"")</f>
        <v/>
      </c>
      <c r="S306">
        <f>IF(AND(Q306&lt;&gt;"",ISNUMBER(E306)),Q306,"")</f>
        <v/>
      </c>
      <c r="T306">
        <f>IF(AND(Q306&lt;&gt;"",ISNUMBER(F306)),Q306,"")</f>
        <v/>
      </c>
      <c r="U306">
        <f>IF(AND(Q306&lt;&gt;"",ISNUMBER(G306)),Q306,"")</f>
        <v/>
      </c>
      <c r="V306">
        <f>IF(AND(Q306&lt;&gt;"",ISNUMBER(H306)),Q306,"")</f>
        <v/>
      </c>
      <c r="W306">
        <f>IF(AND(Q306&lt;&gt;"",ISNUMBER(I306)),Q306,"")</f>
        <v/>
      </c>
      <c r="X306">
        <f>IF(AND(Q306&lt;&gt;"",ISNUMBER(J306)),Q306,"")</f>
        <v/>
      </c>
      <c r="Y306">
        <f>IF(AND(Q306&lt;&gt;"",ISNUMBER(K306)),Q306,"")</f>
        <v/>
      </c>
      <c r="Z306">
        <f>IF(AND(Q306&lt;&gt;"",ISNUMBER(L306)),Q306,"")</f>
        <v/>
      </c>
      <c r="AA306">
        <f>IF(AND(Q306&lt;&gt;"",ISNUMBER(M306)),Q306,"")</f>
        <v/>
      </c>
      <c r="AB306">
        <f>IF(AND(Q306&lt;&gt;"",ISNUMBER(K306)),K306,"")</f>
        <v/>
      </c>
      <c r="AC306">
        <f>IF(AND(Q306&lt;&gt;"",ISNUMBER(L306)),L306,"")</f>
        <v/>
      </c>
      <c r="AD306">
        <f>IF(AND(Q306&lt;&gt;"",ISNUMBER(M306)),M306,"")</f>
        <v/>
      </c>
    </row>
    <row r="307">
      <c r="A307" s="1" t="n"/>
      <c r="B307" s="17" t="n"/>
      <c r="C307" s="27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9" t="n"/>
      <c r="N307" s="21" t="n"/>
      <c r="O307" s="12">
        <f>IF(AND(B307="",C307=""),"",IF(NOT(ISNUMBER(B307)),"Needs a date",IF(C307="","Needs a client",IF(COUNTIF(Clients!$B$6:$B$105,C307)=0,"Not on Clients",IF(COUNT(D307:M307)=0,"Nothing measured","")))))</f>
        <v/>
      </c>
      <c r="P307" s="1">
        <f>IF(AND(O307="",ISNUMBER(B307)),INT(B307),0)</f>
        <v/>
      </c>
      <c r="Q307">
        <f>IF(AND(P307&gt;0,C307=Report!$C$5),P307*10000+ROW(),"")</f>
        <v/>
      </c>
      <c r="R307">
        <f>IF(AND(Q307&lt;&gt;"",ISNUMBER(D307)),Q307,"")</f>
        <v/>
      </c>
      <c r="S307">
        <f>IF(AND(Q307&lt;&gt;"",ISNUMBER(E307)),Q307,"")</f>
        <v/>
      </c>
      <c r="T307">
        <f>IF(AND(Q307&lt;&gt;"",ISNUMBER(F307)),Q307,"")</f>
        <v/>
      </c>
      <c r="U307">
        <f>IF(AND(Q307&lt;&gt;"",ISNUMBER(G307)),Q307,"")</f>
        <v/>
      </c>
      <c r="V307">
        <f>IF(AND(Q307&lt;&gt;"",ISNUMBER(H307)),Q307,"")</f>
        <v/>
      </c>
      <c r="W307">
        <f>IF(AND(Q307&lt;&gt;"",ISNUMBER(I307)),Q307,"")</f>
        <v/>
      </c>
      <c r="X307">
        <f>IF(AND(Q307&lt;&gt;"",ISNUMBER(J307)),Q307,"")</f>
        <v/>
      </c>
      <c r="Y307">
        <f>IF(AND(Q307&lt;&gt;"",ISNUMBER(K307)),Q307,"")</f>
        <v/>
      </c>
      <c r="Z307">
        <f>IF(AND(Q307&lt;&gt;"",ISNUMBER(L307)),Q307,"")</f>
        <v/>
      </c>
      <c r="AA307">
        <f>IF(AND(Q307&lt;&gt;"",ISNUMBER(M307)),Q307,"")</f>
        <v/>
      </c>
      <c r="AB307">
        <f>IF(AND(Q307&lt;&gt;"",ISNUMBER(K307)),K307,"")</f>
        <v/>
      </c>
      <c r="AC307">
        <f>IF(AND(Q307&lt;&gt;"",ISNUMBER(L307)),L307,"")</f>
        <v/>
      </c>
      <c r="AD307">
        <f>IF(AND(Q307&lt;&gt;"",ISNUMBER(M307)),M307,"")</f>
        <v/>
      </c>
    </row>
    <row r="308">
      <c r="A308" s="1" t="n"/>
      <c r="B308" s="17" t="n"/>
      <c r="C308" s="27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9" t="n"/>
      <c r="N308" s="21" t="n"/>
      <c r="O308" s="12">
        <f>IF(AND(B308="",C308=""),"",IF(NOT(ISNUMBER(B308)),"Needs a date",IF(C308="","Needs a client",IF(COUNTIF(Clients!$B$6:$B$105,C308)=0,"Not on Clients",IF(COUNT(D308:M308)=0,"Nothing measured","")))))</f>
        <v/>
      </c>
      <c r="P308" s="1">
        <f>IF(AND(O308="",ISNUMBER(B308)),INT(B308),0)</f>
        <v/>
      </c>
      <c r="Q308">
        <f>IF(AND(P308&gt;0,C308=Report!$C$5),P308*10000+ROW(),"")</f>
        <v/>
      </c>
      <c r="R308">
        <f>IF(AND(Q308&lt;&gt;"",ISNUMBER(D308)),Q308,"")</f>
        <v/>
      </c>
      <c r="S308">
        <f>IF(AND(Q308&lt;&gt;"",ISNUMBER(E308)),Q308,"")</f>
        <v/>
      </c>
      <c r="T308">
        <f>IF(AND(Q308&lt;&gt;"",ISNUMBER(F308)),Q308,"")</f>
        <v/>
      </c>
      <c r="U308">
        <f>IF(AND(Q308&lt;&gt;"",ISNUMBER(G308)),Q308,"")</f>
        <v/>
      </c>
      <c r="V308">
        <f>IF(AND(Q308&lt;&gt;"",ISNUMBER(H308)),Q308,"")</f>
        <v/>
      </c>
      <c r="W308">
        <f>IF(AND(Q308&lt;&gt;"",ISNUMBER(I308)),Q308,"")</f>
        <v/>
      </c>
      <c r="X308">
        <f>IF(AND(Q308&lt;&gt;"",ISNUMBER(J308)),Q308,"")</f>
        <v/>
      </c>
      <c r="Y308">
        <f>IF(AND(Q308&lt;&gt;"",ISNUMBER(K308)),Q308,"")</f>
        <v/>
      </c>
      <c r="Z308">
        <f>IF(AND(Q308&lt;&gt;"",ISNUMBER(L308)),Q308,"")</f>
        <v/>
      </c>
      <c r="AA308">
        <f>IF(AND(Q308&lt;&gt;"",ISNUMBER(M308)),Q308,"")</f>
        <v/>
      </c>
      <c r="AB308">
        <f>IF(AND(Q308&lt;&gt;"",ISNUMBER(K308)),K308,"")</f>
        <v/>
      </c>
      <c r="AC308">
        <f>IF(AND(Q308&lt;&gt;"",ISNUMBER(L308)),L308,"")</f>
        <v/>
      </c>
      <c r="AD308">
        <f>IF(AND(Q308&lt;&gt;"",ISNUMBER(M308)),M308,"")</f>
        <v/>
      </c>
    </row>
    <row r="309">
      <c r="A309" s="1" t="n"/>
      <c r="B309" s="17" t="n"/>
      <c r="C309" s="27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9" t="n"/>
      <c r="N309" s="21" t="n"/>
      <c r="O309" s="12">
        <f>IF(AND(B309="",C309=""),"",IF(NOT(ISNUMBER(B309)),"Needs a date",IF(C309="","Needs a client",IF(COUNTIF(Clients!$B$6:$B$105,C309)=0,"Not on Clients",IF(COUNT(D309:M309)=0,"Nothing measured","")))))</f>
        <v/>
      </c>
      <c r="P309" s="1">
        <f>IF(AND(O309="",ISNUMBER(B309)),INT(B309),0)</f>
        <v/>
      </c>
      <c r="Q309">
        <f>IF(AND(P309&gt;0,C309=Report!$C$5),P309*10000+ROW(),"")</f>
        <v/>
      </c>
      <c r="R309">
        <f>IF(AND(Q309&lt;&gt;"",ISNUMBER(D309)),Q309,"")</f>
        <v/>
      </c>
      <c r="S309">
        <f>IF(AND(Q309&lt;&gt;"",ISNUMBER(E309)),Q309,"")</f>
        <v/>
      </c>
      <c r="T309">
        <f>IF(AND(Q309&lt;&gt;"",ISNUMBER(F309)),Q309,"")</f>
        <v/>
      </c>
      <c r="U309">
        <f>IF(AND(Q309&lt;&gt;"",ISNUMBER(G309)),Q309,"")</f>
        <v/>
      </c>
      <c r="V309">
        <f>IF(AND(Q309&lt;&gt;"",ISNUMBER(H309)),Q309,"")</f>
        <v/>
      </c>
      <c r="W309">
        <f>IF(AND(Q309&lt;&gt;"",ISNUMBER(I309)),Q309,"")</f>
        <v/>
      </c>
      <c r="X309">
        <f>IF(AND(Q309&lt;&gt;"",ISNUMBER(J309)),Q309,"")</f>
        <v/>
      </c>
      <c r="Y309">
        <f>IF(AND(Q309&lt;&gt;"",ISNUMBER(K309)),Q309,"")</f>
        <v/>
      </c>
      <c r="Z309">
        <f>IF(AND(Q309&lt;&gt;"",ISNUMBER(L309)),Q309,"")</f>
        <v/>
      </c>
      <c r="AA309">
        <f>IF(AND(Q309&lt;&gt;"",ISNUMBER(M309)),Q309,"")</f>
        <v/>
      </c>
      <c r="AB309">
        <f>IF(AND(Q309&lt;&gt;"",ISNUMBER(K309)),K309,"")</f>
        <v/>
      </c>
      <c r="AC309">
        <f>IF(AND(Q309&lt;&gt;"",ISNUMBER(L309)),L309,"")</f>
        <v/>
      </c>
      <c r="AD309">
        <f>IF(AND(Q309&lt;&gt;"",ISNUMBER(M309)),M309,"")</f>
        <v/>
      </c>
    </row>
    <row r="310">
      <c r="A310" s="1" t="n"/>
      <c r="B310" s="17" t="n"/>
      <c r="C310" s="27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9" t="n"/>
      <c r="N310" s="21" t="n"/>
      <c r="O310" s="12">
        <f>IF(AND(B310="",C310=""),"",IF(NOT(ISNUMBER(B310)),"Needs a date",IF(C310="","Needs a client",IF(COUNTIF(Clients!$B$6:$B$105,C310)=0,"Not on Clients",IF(COUNT(D310:M310)=0,"Nothing measured","")))))</f>
        <v/>
      </c>
      <c r="P310" s="1">
        <f>IF(AND(O310="",ISNUMBER(B310)),INT(B310),0)</f>
        <v/>
      </c>
      <c r="Q310">
        <f>IF(AND(P310&gt;0,C310=Report!$C$5),P310*10000+ROW(),"")</f>
        <v/>
      </c>
      <c r="R310">
        <f>IF(AND(Q310&lt;&gt;"",ISNUMBER(D310)),Q310,"")</f>
        <v/>
      </c>
      <c r="S310">
        <f>IF(AND(Q310&lt;&gt;"",ISNUMBER(E310)),Q310,"")</f>
        <v/>
      </c>
      <c r="T310">
        <f>IF(AND(Q310&lt;&gt;"",ISNUMBER(F310)),Q310,"")</f>
        <v/>
      </c>
      <c r="U310">
        <f>IF(AND(Q310&lt;&gt;"",ISNUMBER(G310)),Q310,"")</f>
        <v/>
      </c>
      <c r="V310">
        <f>IF(AND(Q310&lt;&gt;"",ISNUMBER(H310)),Q310,"")</f>
        <v/>
      </c>
      <c r="W310">
        <f>IF(AND(Q310&lt;&gt;"",ISNUMBER(I310)),Q310,"")</f>
        <v/>
      </c>
      <c r="X310">
        <f>IF(AND(Q310&lt;&gt;"",ISNUMBER(J310)),Q310,"")</f>
        <v/>
      </c>
      <c r="Y310">
        <f>IF(AND(Q310&lt;&gt;"",ISNUMBER(K310)),Q310,"")</f>
        <v/>
      </c>
      <c r="Z310">
        <f>IF(AND(Q310&lt;&gt;"",ISNUMBER(L310)),Q310,"")</f>
        <v/>
      </c>
      <c r="AA310">
        <f>IF(AND(Q310&lt;&gt;"",ISNUMBER(M310)),Q310,"")</f>
        <v/>
      </c>
      <c r="AB310">
        <f>IF(AND(Q310&lt;&gt;"",ISNUMBER(K310)),K310,"")</f>
        <v/>
      </c>
      <c r="AC310">
        <f>IF(AND(Q310&lt;&gt;"",ISNUMBER(L310)),L310,"")</f>
        <v/>
      </c>
      <c r="AD310">
        <f>IF(AND(Q310&lt;&gt;"",ISNUMBER(M310)),M310,"")</f>
        <v/>
      </c>
    </row>
    <row r="311">
      <c r="A311" s="1" t="n"/>
      <c r="B311" s="17" t="n"/>
      <c r="C311" s="27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9" t="n"/>
      <c r="N311" s="21" t="n"/>
      <c r="O311" s="12">
        <f>IF(AND(B311="",C311=""),"",IF(NOT(ISNUMBER(B311)),"Needs a date",IF(C311="","Needs a client",IF(COUNTIF(Clients!$B$6:$B$105,C311)=0,"Not on Clients",IF(COUNT(D311:M311)=0,"Nothing measured","")))))</f>
        <v/>
      </c>
      <c r="P311" s="1">
        <f>IF(AND(O311="",ISNUMBER(B311)),INT(B311),0)</f>
        <v/>
      </c>
      <c r="Q311">
        <f>IF(AND(P311&gt;0,C311=Report!$C$5),P311*10000+ROW(),"")</f>
        <v/>
      </c>
      <c r="R311">
        <f>IF(AND(Q311&lt;&gt;"",ISNUMBER(D311)),Q311,"")</f>
        <v/>
      </c>
      <c r="S311">
        <f>IF(AND(Q311&lt;&gt;"",ISNUMBER(E311)),Q311,"")</f>
        <v/>
      </c>
      <c r="T311">
        <f>IF(AND(Q311&lt;&gt;"",ISNUMBER(F311)),Q311,"")</f>
        <v/>
      </c>
      <c r="U311">
        <f>IF(AND(Q311&lt;&gt;"",ISNUMBER(G311)),Q311,"")</f>
        <v/>
      </c>
      <c r="V311">
        <f>IF(AND(Q311&lt;&gt;"",ISNUMBER(H311)),Q311,"")</f>
        <v/>
      </c>
      <c r="W311">
        <f>IF(AND(Q311&lt;&gt;"",ISNUMBER(I311)),Q311,"")</f>
        <v/>
      </c>
      <c r="X311">
        <f>IF(AND(Q311&lt;&gt;"",ISNUMBER(J311)),Q311,"")</f>
        <v/>
      </c>
      <c r="Y311">
        <f>IF(AND(Q311&lt;&gt;"",ISNUMBER(K311)),Q311,"")</f>
        <v/>
      </c>
      <c r="Z311">
        <f>IF(AND(Q311&lt;&gt;"",ISNUMBER(L311)),Q311,"")</f>
        <v/>
      </c>
      <c r="AA311">
        <f>IF(AND(Q311&lt;&gt;"",ISNUMBER(M311)),Q311,"")</f>
        <v/>
      </c>
      <c r="AB311">
        <f>IF(AND(Q311&lt;&gt;"",ISNUMBER(K311)),K311,"")</f>
        <v/>
      </c>
      <c r="AC311">
        <f>IF(AND(Q311&lt;&gt;"",ISNUMBER(L311)),L311,"")</f>
        <v/>
      </c>
      <c r="AD311">
        <f>IF(AND(Q311&lt;&gt;"",ISNUMBER(M311)),M311,"")</f>
        <v/>
      </c>
    </row>
    <row r="312">
      <c r="A312" s="1" t="n"/>
      <c r="B312" s="17" t="n"/>
      <c r="C312" s="27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9" t="n"/>
      <c r="N312" s="21" t="n"/>
      <c r="O312" s="12">
        <f>IF(AND(B312="",C312=""),"",IF(NOT(ISNUMBER(B312)),"Needs a date",IF(C312="","Needs a client",IF(COUNTIF(Clients!$B$6:$B$105,C312)=0,"Not on Clients",IF(COUNT(D312:M312)=0,"Nothing measured","")))))</f>
        <v/>
      </c>
      <c r="P312" s="1">
        <f>IF(AND(O312="",ISNUMBER(B312)),INT(B312),0)</f>
        <v/>
      </c>
      <c r="Q312">
        <f>IF(AND(P312&gt;0,C312=Report!$C$5),P312*10000+ROW(),"")</f>
        <v/>
      </c>
      <c r="R312">
        <f>IF(AND(Q312&lt;&gt;"",ISNUMBER(D312)),Q312,"")</f>
        <v/>
      </c>
      <c r="S312">
        <f>IF(AND(Q312&lt;&gt;"",ISNUMBER(E312)),Q312,"")</f>
        <v/>
      </c>
      <c r="T312">
        <f>IF(AND(Q312&lt;&gt;"",ISNUMBER(F312)),Q312,"")</f>
        <v/>
      </c>
      <c r="U312">
        <f>IF(AND(Q312&lt;&gt;"",ISNUMBER(G312)),Q312,"")</f>
        <v/>
      </c>
      <c r="V312">
        <f>IF(AND(Q312&lt;&gt;"",ISNUMBER(H312)),Q312,"")</f>
        <v/>
      </c>
      <c r="W312">
        <f>IF(AND(Q312&lt;&gt;"",ISNUMBER(I312)),Q312,"")</f>
        <v/>
      </c>
      <c r="X312">
        <f>IF(AND(Q312&lt;&gt;"",ISNUMBER(J312)),Q312,"")</f>
        <v/>
      </c>
      <c r="Y312">
        <f>IF(AND(Q312&lt;&gt;"",ISNUMBER(K312)),Q312,"")</f>
        <v/>
      </c>
      <c r="Z312">
        <f>IF(AND(Q312&lt;&gt;"",ISNUMBER(L312)),Q312,"")</f>
        <v/>
      </c>
      <c r="AA312">
        <f>IF(AND(Q312&lt;&gt;"",ISNUMBER(M312)),Q312,"")</f>
        <v/>
      </c>
      <c r="AB312">
        <f>IF(AND(Q312&lt;&gt;"",ISNUMBER(K312)),K312,"")</f>
        <v/>
      </c>
      <c r="AC312">
        <f>IF(AND(Q312&lt;&gt;"",ISNUMBER(L312)),L312,"")</f>
        <v/>
      </c>
      <c r="AD312">
        <f>IF(AND(Q312&lt;&gt;"",ISNUMBER(M312)),M312,"")</f>
        <v/>
      </c>
    </row>
    <row r="313">
      <c r="A313" s="1" t="n"/>
      <c r="B313" s="17" t="n"/>
      <c r="C313" s="27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9" t="n"/>
      <c r="N313" s="21" t="n"/>
      <c r="O313" s="12">
        <f>IF(AND(B313="",C313=""),"",IF(NOT(ISNUMBER(B313)),"Needs a date",IF(C313="","Needs a client",IF(COUNTIF(Clients!$B$6:$B$105,C313)=0,"Not on Clients",IF(COUNT(D313:M313)=0,"Nothing measured","")))))</f>
        <v/>
      </c>
      <c r="P313" s="1">
        <f>IF(AND(O313="",ISNUMBER(B313)),INT(B313),0)</f>
        <v/>
      </c>
      <c r="Q313">
        <f>IF(AND(P313&gt;0,C313=Report!$C$5),P313*10000+ROW(),"")</f>
        <v/>
      </c>
      <c r="R313">
        <f>IF(AND(Q313&lt;&gt;"",ISNUMBER(D313)),Q313,"")</f>
        <v/>
      </c>
      <c r="S313">
        <f>IF(AND(Q313&lt;&gt;"",ISNUMBER(E313)),Q313,"")</f>
        <v/>
      </c>
      <c r="T313">
        <f>IF(AND(Q313&lt;&gt;"",ISNUMBER(F313)),Q313,"")</f>
        <v/>
      </c>
      <c r="U313">
        <f>IF(AND(Q313&lt;&gt;"",ISNUMBER(G313)),Q313,"")</f>
        <v/>
      </c>
      <c r="V313">
        <f>IF(AND(Q313&lt;&gt;"",ISNUMBER(H313)),Q313,"")</f>
        <v/>
      </c>
      <c r="W313">
        <f>IF(AND(Q313&lt;&gt;"",ISNUMBER(I313)),Q313,"")</f>
        <v/>
      </c>
      <c r="X313">
        <f>IF(AND(Q313&lt;&gt;"",ISNUMBER(J313)),Q313,"")</f>
        <v/>
      </c>
      <c r="Y313">
        <f>IF(AND(Q313&lt;&gt;"",ISNUMBER(K313)),Q313,"")</f>
        <v/>
      </c>
      <c r="Z313">
        <f>IF(AND(Q313&lt;&gt;"",ISNUMBER(L313)),Q313,"")</f>
        <v/>
      </c>
      <c r="AA313">
        <f>IF(AND(Q313&lt;&gt;"",ISNUMBER(M313)),Q313,"")</f>
        <v/>
      </c>
      <c r="AB313">
        <f>IF(AND(Q313&lt;&gt;"",ISNUMBER(K313)),K313,"")</f>
        <v/>
      </c>
      <c r="AC313">
        <f>IF(AND(Q313&lt;&gt;"",ISNUMBER(L313)),L313,"")</f>
        <v/>
      </c>
      <c r="AD313">
        <f>IF(AND(Q313&lt;&gt;"",ISNUMBER(M313)),M313,"")</f>
        <v/>
      </c>
    </row>
    <row r="314">
      <c r="A314" s="1" t="n"/>
      <c r="B314" s="17" t="n"/>
      <c r="C314" s="27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9" t="n"/>
      <c r="N314" s="21" t="n"/>
      <c r="O314" s="12">
        <f>IF(AND(B314="",C314=""),"",IF(NOT(ISNUMBER(B314)),"Needs a date",IF(C314="","Needs a client",IF(COUNTIF(Clients!$B$6:$B$105,C314)=0,"Not on Clients",IF(COUNT(D314:M314)=0,"Nothing measured","")))))</f>
        <v/>
      </c>
      <c r="P314" s="1">
        <f>IF(AND(O314="",ISNUMBER(B314)),INT(B314),0)</f>
        <v/>
      </c>
      <c r="Q314">
        <f>IF(AND(P314&gt;0,C314=Report!$C$5),P314*10000+ROW(),"")</f>
        <v/>
      </c>
      <c r="R314">
        <f>IF(AND(Q314&lt;&gt;"",ISNUMBER(D314)),Q314,"")</f>
        <v/>
      </c>
      <c r="S314">
        <f>IF(AND(Q314&lt;&gt;"",ISNUMBER(E314)),Q314,"")</f>
        <v/>
      </c>
      <c r="T314">
        <f>IF(AND(Q314&lt;&gt;"",ISNUMBER(F314)),Q314,"")</f>
        <v/>
      </c>
      <c r="U314">
        <f>IF(AND(Q314&lt;&gt;"",ISNUMBER(G314)),Q314,"")</f>
        <v/>
      </c>
      <c r="V314">
        <f>IF(AND(Q314&lt;&gt;"",ISNUMBER(H314)),Q314,"")</f>
        <v/>
      </c>
      <c r="W314">
        <f>IF(AND(Q314&lt;&gt;"",ISNUMBER(I314)),Q314,"")</f>
        <v/>
      </c>
      <c r="X314">
        <f>IF(AND(Q314&lt;&gt;"",ISNUMBER(J314)),Q314,"")</f>
        <v/>
      </c>
      <c r="Y314">
        <f>IF(AND(Q314&lt;&gt;"",ISNUMBER(K314)),Q314,"")</f>
        <v/>
      </c>
      <c r="Z314">
        <f>IF(AND(Q314&lt;&gt;"",ISNUMBER(L314)),Q314,"")</f>
        <v/>
      </c>
      <c r="AA314">
        <f>IF(AND(Q314&lt;&gt;"",ISNUMBER(M314)),Q314,"")</f>
        <v/>
      </c>
      <c r="AB314">
        <f>IF(AND(Q314&lt;&gt;"",ISNUMBER(K314)),K314,"")</f>
        <v/>
      </c>
      <c r="AC314">
        <f>IF(AND(Q314&lt;&gt;"",ISNUMBER(L314)),L314,"")</f>
        <v/>
      </c>
      <c r="AD314">
        <f>IF(AND(Q314&lt;&gt;"",ISNUMBER(M314)),M314,"")</f>
        <v/>
      </c>
    </row>
    <row r="315">
      <c r="A315" s="1" t="n"/>
      <c r="B315" s="17" t="n"/>
      <c r="C315" s="27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9" t="n"/>
      <c r="N315" s="21" t="n"/>
      <c r="O315" s="12">
        <f>IF(AND(B315="",C315=""),"",IF(NOT(ISNUMBER(B315)),"Needs a date",IF(C315="","Needs a client",IF(COUNTIF(Clients!$B$6:$B$105,C315)=0,"Not on Clients",IF(COUNT(D315:M315)=0,"Nothing measured","")))))</f>
        <v/>
      </c>
      <c r="P315" s="1">
        <f>IF(AND(O315="",ISNUMBER(B315)),INT(B315),0)</f>
        <v/>
      </c>
      <c r="Q315">
        <f>IF(AND(P315&gt;0,C315=Report!$C$5),P315*10000+ROW(),"")</f>
        <v/>
      </c>
      <c r="R315">
        <f>IF(AND(Q315&lt;&gt;"",ISNUMBER(D315)),Q315,"")</f>
        <v/>
      </c>
      <c r="S315">
        <f>IF(AND(Q315&lt;&gt;"",ISNUMBER(E315)),Q315,"")</f>
        <v/>
      </c>
      <c r="T315">
        <f>IF(AND(Q315&lt;&gt;"",ISNUMBER(F315)),Q315,"")</f>
        <v/>
      </c>
      <c r="U315">
        <f>IF(AND(Q315&lt;&gt;"",ISNUMBER(G315)),Q315,"")</f>
        <v/>
      </c>
      <c r="V315">
        <f>IF(AND(Q315&lt;&gt;"",ISNUMBER(H315)),Q315,"")</f>
        <v/>
      </c>
      <c r="W315">
        <f>IF(AND(Q315&lt;&gt;"",ISNUMBER(I315)),Q315,"")</f>
        <v/>
      </c>
      <c r="X315">
        <f>IF(AND(Q315&lt;&gt;"",ISNUMBER(J315)),Q315,"")</f>
        <v/>
      </c>
      <c r="Y315">
        <f>IF(AND(Q315&lt;&gt;"",ISNUMBER(K315)),Q315,"")</f>
        <v/>
      </c>
      <c r="Z315">
        <f>IF(AND(Q315&lt;&gt;"",ISNUMBER(L315)),Q315,"")</f>
        <v/>
      </c>
      <c r="AA315">
        <f>IF(AND(Q315&lt;&gt;"",ISNUMBER(M315)),Q315,"")</f>
        <v/>
      </c>
      <c r="AB315">
        <f>IF(AND(Q315&lt;&gt;"",ISNUMBER(K315)),K315,"")</f>
        <v/>
      </c>
      <c r="AC315">
        <f>IF(AND(Q315&lt;&gt;"",ISNUMBER(L315)),L315,"")</f>
        <v/>
      </c>
      <c r="AD315">
        <f>IF(AND(Q315&lt;&gt;"",ISNUMBER(M315)),M315,"")</f>
        <v/>
      </c>
    </row>
    <row r="316">
      <c r="A316" s="1" t="n"/>
      <c r="B316" s="17" t="n"/>
      <c r="C316" s="27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9" t="n"/>
      <c r="N316" s="21" t="n"/>
      <c r="O316" s="12">
        <f>IF(AND(B316="",C316=""),"",IF(NOT(ISNUMBER(B316)),"Needs a date",IF(C316="","Needs a client",IF(COUNTIF(Clients!$B$6:$B$105,C316)=0,"Not on Clients",IF(COUNT(D316:M316)=0,"Nothing measured","")))))</f>
        <v/>
      </c>
      <c r="P316" s="1">
        <f>IF(AND(O316="",ISNUMBER(B316)),INT(B316),0)</f>
        <v/>
      </c>
      <c r="Q316">
        <f>IF(AND(P316&gt;0,C316=Report!$C$5),P316*10000+ROW(),"")</f>
        <v/>
      </c>
      <c r="R316">
        <f>IF(AND(Q316&lt;&gt;"",ISNUMBER(D316)),Q316,"")</f>
        <v/>
      </c>
      <c r="S316">
        <f>IF(AND(Q316&lt;&gt;"",ISNUMBER(E316)),Q316,"")</f>
        <v/>
      </c>
      <c r="T316">
        <f>IF(AND(Q316&lt;&gt;"",ISNUMBER(F316)),Q316,"")</f>
        <v/>
      </c>
      <c r="U316">
        <f>IF(AND(Q316&lt;&gt;"",ISNUMBER(G316)),Q316,"")</f>
        <v/>
      </c>
      <c r="V316">
        <f>IF(AND(Q316&lt;&gt;"",ISNUMBER(H316)),Q316,"")</f>
        <v/>
      </c>
      <c r="W316">
        <f>IF(AND(Q316&lt;&gt;"",ISNUMBER(I316)),Q316,"")</f>
        <v/>
      </c>
      <c r="X316">
        <f>IF(AND(Q316&lt;&gt;"",ISNUMBER(J316)),Q316,"")</f>
        <v/>
      </c>
      <c r="Y316">
        <f>IF(AND(Q316&lt;&gt;"",ISNUMBER(K316)),Q316,"")</f>
        <v/>
      </c>
      <c r="Z316">
        <f>IF(AND(Q316&lt;&gt;"",ISNUMBER(L316)),Q316,"")</f>
        <v/>
      </c>
      <c r="AA316">
        <f>IF(AND(Q316&lt;&gt;"",ISNUMBER(M316)),Q316,"")</f>
        <v/>
      </c>
      <c r="AB316">
        <f>IF(AND(Q316&lt;&gt;"",ISNUMBER(K316)),K316,"")</f>
        <v/>
      </c>
      <c r="AC316">
        <f>IF(AND(Q316&lt;&gt;"",ISNUMBER(L316)),L316,"")</f>
        <v/>
      </c>
      <c r="AD316">
        <f>IF(AND(Q316&lt;&gt;"",ISNUMBER(M316)),M316,"")</f>
        <v/>
      </c>
    </row>
    <row r="317">
      <c r="A317" s="1" t="n"/>
      <c r="B317" s="17" t="n"/>
      <c r="C317" s="27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9" t="n"/>
      <c r="N317" s="21" t="n"/>
      <c r="O317" s="12">
        <f>IF(AND(B317="",C317=""),"",IF(NOT(ISNUMBER(B317)),"Needs a date",IF(C317="","Needs a client",IF(COUNTIF(Clients!$B$6:$B$105,C317)=0,"Not on Clients",IF(COUNT(D317:M317)=0,"Nothing measured","")))))</f>
        <v/>
      </c>
      <c r="P317" s="1">
        <f>IF(AND(O317="",ISNUMBER(B317)),INT(B317),0)</f>
        <v/>
      </c>
      <c r="Q317">
        <f>IF(AND(P317&gt;0,C317=Report!$C$5),P317*10000+ROW(),"")</f>
        <v/>
      </c>
      <c r="R317">
        <f>IF(AND(Q317&lt;&gt;"",ISNUMBER(D317)),Q317,"")</f>
        <v/>
      </c>
      <c r="S317">
        <f>IF(AND(Q317&lt;&gt;"",ISNUMBER(E317)),Q317,"")</f>
        <v/>
      </c>
      <c r="T317">
        <f>IF(AND(Q317&lt;&gt;"",ISNUMBER(F317)),Q317,"")</f>
        <v/>
      </c>
      <c r="U317">
        <f>IF(AND(Q317&lt;&gt;"",ISNUMBER(G317)),Q317,"")</f>
        <v/>
      </c>
      <c r="V317">
        <f>IF(AND(Q317&lt;&gt;"",ISNUMBER(H317)),Q317,"")</f>
        <v/>
      </c>
      <c r="W317">
        <f>IF(AND(Q317&lt;&gt;"",ISNUMBER(I317)),Q317,"")</f>
        <v/>
      </c>
      <c r="X317">
        <f>IF(AND(Q317&lt;&gt;"",ISNUMBER(J317)),Q317,"")</f>
        <v/>
      </c>
      <c r="Y317">
        <f>IF(AND(Q317&lt;&gt;"",ISNUMBER(K317)),Q317,"")</f>
        <v/>
      </c>
      <c r="Z317">
        <f>IF(AND(Q317&lt;&gt;"",ISNUMBER(L317)),Q317,"")</f>
        <v/>
      </c>
      <c r="AA317">
        <f>IF(AND(Q317&lt;&gt;"",ISNUMBER(M317)),Q317,"")</f>
        <v/>
      </c>
      <c r="AB317">
        <f>IF(AND(Q317&lt;&gt;"",ISNUMBER(K317)),K317,"")</f>
        <v/>
      </c>
      <c r="AC317">
        <f>IF(AND(Q317&lt;&gt;"",ISNUMBER(L317)),L317,"")</f>
        <v/>
      </c>
      <c r="AD317">
        <f>IF(AND(Q317&lt;&gt;"",ISNUMBER(M317)),M317,"")</f>
        <v/>
      </c>
    </row>
    <row r="318">
      <c r="A318" s="1" t="n"/>
      <c r="B318" s="17" t="n"/>
      <c r="C318" s="27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9" t="n"/>
      <c r="N318" s="21" t="n"/>
      <c r="O318" s="12">
        <f>IF(AND(B318="",C318=""),"",IF(NOT(ISNUMBER(B318)),"Needs a date",IF(C318="","Needs a client",IF(COUNTIF(Clients!$B$6:$B$105,C318)=0,"Not on Clients",IF(COUNT(D318:M318)=0,"Nothing measured","")))))</f>
        <v/>
      </c>
      <c r="P318" s="1">
        <f>IF(AND(O318="",ISNUMBER(B318)),INT(B318),0)</f>
        <v/>
      </c>
      <c r="Q318">
        <f>IF(AND(P318&gt;0,C318=Report!$C$5),P318*10000+ROW(),"")</f>
        <v/>
      </c>
      <c r="R318">
        <f>IF(AND(Q318&lt;&gt;"",ISNUMBER(D318)),Q318,"")</f>
        <v/>
      </c>
      <c r="S318">
        <f>IF(AND(Q318&lt;&gt;"",ISNUMBER(E318)),Q318,"")</f>
        <v/>
      </c>
      <c r="T318">
        <f>IF(AND(Q318&lt;&gt;"",ISNUMBER(F318)),Q318,"")</f>
        <v/>
      </c>
      <c r="U318">
        <f>IF(AND(Q318&lt;&gt;"",ISNUMBER(G318)),Q318,"")</f>
        <v/>
      </c>
      <c r="V318">
        <f>IF(AND(Q318&lt;&gt;"",ISNUMBER(H318)),Q318,"")</f>
        <v/>
      </c>
      <c r="W318">
        <f>IF(AND(Q318&lt;&gt;"",ISNUMBER(I318)),Q318,"")</f>
        <v/>
      </c>
      <c r="X318">
        <f>IF(AND(Q318&lt;&gt;"",ISNUMBER(J318)),Q318,"")</f>
        <v/>
      </c>
      <c r="Y318">
        <f>IF(AND(Q318&lt;&gt;"",ISNUMBER(K318)),Q318,"")</f>
        <v/>
      </c>
      <c r="Z318">
        <f>IF(AND(Q318&lt;&gt;"",ISNUMBER(L318)),Q318,"")</f>
        <v/>
      </c>
      <c r="AA318">
        <f>IF(AND(Q318&lt;&gt;"",ISNUMBER(M318)),Q318,"")</f>
        <v/>
      </c>
      <c r="AB318">
        <f>IF(AND(Q318&lt;&gt;"",ISNUMBER(K318)),K318,"")</f>
        <v/>
      </c>
      <c r="AC318">
        <f>IF(AND(Q318&lt;&gt;"",ISNUMBER(L318)),L318,"")</f>
        <v/>
      </c>
      <c r="AD318">
        <f>IF(AND(Q318&lt;&gt;"",ISNUMBER(M318)),M318,"")</f>
        <v/>
      </c>
    </row>
    <row r="319">
      <c r="A319" s="1" t="n"/>
      <c r="B319" s="17" t="n"/>
      <c r="C319" s="27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9" t="n"/>
      <c r="N319" s="21" t="n"/>
      <c r="O319" s="12">
        <f>IF(AND(B319="",C319=""),"",IF(NOT(ISNUMBER(B319)),"Needs a date",IF(C319="","Needs a client",IF(COUNTIF(Clients!$B$6:$B$105,C319)=0,"Not on Clients",IF(COUNT(D319:M319)=0,"Nothing measured","")))))</f>
        <v/>
      </c>
      <c r="P319" s="1">
        <f>IF(AND(O319="",ISNUMBER(B319)),INT(B319),0)</f>
        <v/>
      </c>
      <c r="Q319">
        <f>IF(AND(P319&gt;0,C319=Report!$C$5),P319*10000+ROW(),"")</f>
        <v/>
      </c>
      <c r="R319">
        <f>IF(AND(Q319&lt;&gt;"",ISNUMBER(D319)),Q319,"")</f>
        <v/>
      </c>
      <c r="S319">
        <f>IF(AND(Q319&lt;&gt;"",ISNUMBER(E319)),Q319,"")</f>
        <v/>
      </c>
      <c r="T319">
        <f>IF(AND(Q319&lt;&gt;"",ISNUMBER(F319)),Q319,"")</f>
        <v/>
      </c>
      <c r="U319">
        <f>IF(AND(Q319&lt;&gt;"",ISNUMBER(G319)),Q319,"")</f>
        <v/>
      </c>
      <c r="V319">
        <f>IF(AND(Q319&lt;&gt;"",ISNUMBER(H319)),Q319,"")</f>
        <v/>
      </c>
      <c r="W319">
        <f>IF(AND(Q319&lt;&gt;"",ISNUMBER(I319)),Q319,"")</f>
        <v/>
      </c>
      <c r="X319">
        <f>IF(AND(Q319&lt;&gt;"",ISNUMBER(J319)),Q319,"")</f>
        <v/>
      </c>
      <c r="Y319">
        <f>IF(AND(Q319&lt;&gt;"",ISNUMBER(K319)),Q319,"")</f>
        <v/>
      </c>
      <c r="Z319">
        <f>IF(AND(Q319&lt;&gt;"",ISNUMBER(L319)),Q319,"")</f>
        <v/>
      </c>
      <c r="AA319">
        <f>IF(AND(Q319&lt;&gt;"",ISNUMBER(M319)),Q319,"")</f>
        <v/>
      </c>
      <c r="AB319">
        <f>IF(AND(Q319&lt;&gt;"",ISNUMBER(K319)),K319,"")</f>
        <v/>
      </c>
      <c r="AC319">
        <f>IF(AND(Q319&lt;&gt;"",ISNUMBER(L319)),L319,"")</f>
        <v/>
      </c>
      <c r="AD319">
        <f>IF(AND(Q319&lt;&gt;"",ISNUMBER(M319)),M319,"")</f>
        <v/>
      </c>
    </row>
    <row r="320">
      <c r="A320" s="1" t="n"/>
      <c r="B320" s="17" t="n"/>
      <c r="C320" s="27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9" t="n"/>
      <c r="N320" s="21" t="n"/>
      <c r="O320" s="12">
        <f>IF(AND(B320="",C320=""),"",IF(NOT(ISNUMBER(B320)),"Needs a date",IF(C320="","Needs a client",IF(COUNTIF(Clients!$B$6:$B$105,C320)=0,"Not on Clients",IF(COUNT(D320:M320)=0,"Nothing measured","")))))</f>
        <v/>
      </c>
      <c r="P320" s="1">
        <f>IF(AND(O320="",ISNUMBER(B320)),INT(B320),0)</f>
        <v/>
      </c>
      <c r="Q320">
        <f>IF(AND(P320&gt;0,C320=Report!$C$5),P320*10000+ROW(),"")</f>
        <v/>
      </c>
      <c r="R320">
        <f>IF(AND(Q320&lt;&gt;"",ISNUMBER(D320)),Q320,"")</f>
        <v/>
      </c>
      <c r="S320">
        <f>IF(AND(Q320&lt;&gt;"",ISNUMBER(E320)),Q320,"")</f>
        <v/>
      </c>
      <c r="T320">
        <f>IF(AND(Q320&lt;&gt;"",ISNUMBER(F320)),Q320,"")</f>
        <v/>
      </c>
      <c r="U320">
        <f>IF(AND(Q320&lt;&gt;"",ISNUMBER(G320)),Q320,"")</f>
        <v/>
      </c>
      <c r="V320">
        <f>IF(AND(Q320&lt;&gt;"",ISNUMBER(H320)),Q320,"")</f>
        <v/>
      </c>
      <c r="W320">
        <f>IF(AND(Q320&lt;&gt;"",ISNUMBER(I320)),Q320,"")</f>
        <v/>
      </c>
      <c r="X320">
        <f>IF(AND(Q320&lt;&gt;"",ISNUMBER(J320)),Q320,"")</f>
        <v/>
      </c>
      <c r="Y320">
        <f>IF(AND(Q320&lt;&gt;"",ISNUMBER(K320)),Q320,"")</f>
        <v/>
      </c>
      <c r="Z320">
        <f>IF(AND(Q320&lt;&gt;"",ISNUMBER(L320)),Q320,"")</f>
        <v/>
      </c>
      <c r="AA320">
        <f>IF(AND(Q320&lt;&gt;"",ISNUMBER(M320)),Q320,"")</f>
        <v/>
      </c>
      <c r="AB320">
        <f>IF(AND(Q320&lt;&gt;"",ISNUMBER(K320)),K320,"")</f>
        <v/>
      </c>
      <c r="AC320">
        <f>IF(AND(Q320&lt;&gt;"",ISNUMBER(L320)),L320,"")</f>
        <v/>
      </c>
      <c r="AD320">
        <f>IF(AND(Q320&lt;&gt;"",ISNUMBER(M320)),M320,"")</f>
        <v/>
      </c>
    </row>
    <row r="321">
      <c r="A321" s="1" t="n"/>
      <c r="B321" s="17" t="n"/>
      <c r="C321" s="27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9" t="n"/>
      <c r="N321" s="21" t="n"/>
      <c r="O321" s="12">
        <f>IF(AND(B321="",C321=""),"",IF(NOT(ISNUMBER(B321)),"Needs a date",IF(C321="","Needs a client",IF(COUNTIF(Clients!$B$6:$B$105,C321)=0,"Not on Clients",IF(COUNT(D321:M321)=0,"Nothing measured","")))))</f>
        <v/>
      </c>
      <c r="P321" s="1">
        <f>IF(AND(O321="",ISNUMBER(B321)),INT(B321),0)</f>
        <v/>
      </c>
      <c r="Q321">
        <f>IF(AND(P321&gt;0,C321=Report!$C$5),P321*10000+ROW(),"")</f>
        <v/>
      </c>
      <c r="R321">
        <f>IF(AND(Q321&lt;&gt;"",ISNUMBER(D321)),Q321,"")</f>
        <v/>
      </c>
      <c r="S321">
        <f>IF(AND(Q321&lt;&gt;"",ISNUMBER(E321)),Q321,"")</f>
        <v/>
      </c>
      <c r="T321">
        <f>IF(AND(Q321&lt;&gt;"",ISNUMBER(F321)),Q321,"")</f>
        <v/>
      </c>
      <c r="U321">
        <f>IF(AND(Q321&lt;&gt;"",ISNUMBER(G321)),Q321,"")</f>
        <v/>
      </c>
      <c r="V321">
        <f>IF(AND(Q321&lt;&gt;"",ISNUMBER(H321)),Q321,"")</f>
        <v/>
      </c>
      <c r="W321">
        <f>IF(AND(Q321&lt;&gt;"",ISNUMBER(I321)),Q321,"")</f>
        <v/>
      </c>
      <c r="X321">
        <f>IF(AND(Q321&lt;&gt;"",ISNUMBER(J321)),Q321,"")</f>
        <v/>
      </c>
      <c r="Y321">
        <f>IF(AND(Q321&lt;&gt;"",ISNUMBER(K321)),Q321,"")</f>
        <v/>
      </c>
      <c r="Z321">
        <f>IF(AND(Q321&lt;&gt;"",ISNUMBER(L321)),Q321,"")</f>
        <v/>
      </c>
      <c r="AA321">
        <f>IF(AND(Q321&lt;&gt;"",ISNUMBER(M321)),Q321,"")</f>
        <v/>
      </c>
      <c r="AB321">
        <f>IF(AND(Q321&lt;&gt;"",ISNUMBER(K321)),K321,"")</f>
        <v/>
      </c>
      <c r="AC321">
        <f>IF(AND(Q321&lt;&gt;"",ISNUMBER(L321)),L321,"")</f>
        <v/>
      </c>
      <c r="AD321">
        <f>IF(AND(Q321&lt;&gt;"",ISNUMBER(M321)),M321,"")</f>
        <v/>
      </c>
    </row>
    <row r="322">
      <c r="A322" s="1" t="n"/>
      <c r="B322" s="17" t="n"/>
      <c r="C322" s="27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9" t="n"/>
      <c r="N322" s="21" t="n"/>
      <c r="O322" s="12">
        <f>IF(AND(B322="",C322=""),"",IF(NOT(ISNUMBER(B322)),"Needs a date",IF(C322="","Needs a client",IF(COUNTIF(Clients!$B$6:$B$105,C322)=0,"Not on Clients",IF(COUNT(D322:M322)=0,"Nothing measured","")))))</f>
        <v/>
      </c>
      <c r="P322" s="1">
        <f>IF(AND(O322="",ISNUMBER(B322)),INT(B322),0)</f>
        <v/>
      </c>
      <c r="Q322">
        <f>IF(AND(P322&gt;0,C322=Report!$C$5),P322*10000+ROW(),"")</f>
        <v/>
      </c>
      <c r="R322">
        <f>IF(AND(Q322&lt;&gt;"",ISNUMBER(D322)),Q322,"")</f>
        <v/>
      </c>
      <c r="S322">
        <f>IF(AND(Q322&lt;&gt;"",ISNUMBER(E322)),Q322,"")</f>
        <v/>
      </c>
      <c r="T322">
        <f>IF(AND(Q322&lt;&gt;"",ISNUMBER(F322)),Q322,"")</f>
        <v/>
      </c>
      <c r="U322">
        <f>IF(AND(Q322&lt;&gt;"",ISNUMBER(G322)),Q322,"")</f>
        <v/>
      </c>
      <c r="V322">
        <f>IF(AND(Q322&lt;&gt;"",ISNUMBER(H322)),Q322,"")</f>
        <v/>
      </c>
      <c r="W322">
        <f>IF(AND(Q322&lt;&gt;"",ISNUMBER(I322)),Q322,"")</f>
        <v/>
      </c>
      <c r="X322">
        <f>IF(AND(Q322&lt;&gt;"",ISNUMBER(J322)),Q322,"")</f>
        <v/>
      </c>
      <c r="Y322">
        <f>IF(AND(Q322&lt;&gt;"",ISNUMBER(K322)),Q322,"")</f>
        <v/>
      </c>
      <c r="Z322">
        <f>IF(AND(Q322&lt;&gt;"",ISNUMBER(L322)),Q322,"")</f>
        <v/>
      </c>
      <c r="AA322">
        <f>IF(AND(Q322&lt;&gt;"",ISNUMBER(M322)),Q322,"")</f>
        <v/>
      </c>
      <c r="AB322">
        <f>IF(AND(Q322&lt;&gt;"",ISNUMBER(K322)),K322,"")</f>
        <v/>
      </c>
      <c r="AC322">
        <f>IF(AND(Q322&lt;&gt;"",ISNUMBER(L322)),L322,"")</f>
        <v/>
      </c>
      <c r="AD322">
        <f>IF(AND(Q322&lt;&gt;"",ISNUMBER(M322)),M322,"")</f>
        <v/>
      </c>
    </row>
    <row r="323">
      <c r="A323" s="1" t="n"/>
      <c r="B323" s="17" t="n"/>
      <c r="C323" s="27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9" t="n"/>
      <c r="N323" s="21" t="n"/>
      <c r="O323" s="12">
        <f>IF(AND(B323="",C323=""),"",IF(NOT(ISNUMBER(B323)),"Needs a date",IF(C323="","Needs a client",IF(COUNTIF(Clients!$B$6:$B$105,C323)=0,"Not on Clients",IF(COUNT(D323:M323)=0,"Nothing measured","")))))</f>
        <v/>
      </c>
      <c r="P323" s="1">
        <f>IF(AND(O323="",ISNUMBER(B323)),INT(B323),0)</f>
        <v/>
      </c>
      <c r="Q323">
        <f>IF(AND(P323&gt;0,C323=Report!$C$5),P323*10000+ROW(),"")</f>
        <v/>
      </c>
      <c r="R323">
        <f>IF(AND(Q323&lt;&gt;"",ISNUMBER(D323)),Q323,"")</f>
        <v/>
      </c>
      <c r="S323">
        <f>IF(AND(Q323&lt;&gt;"",ISNUMBER(E323)),Q323,"")</f>
        <v/>
      </c>
      <c r="T323">
        <f>IF(AND(Q323&lt;&gt;"",ISNUMBER(F323)),Q323,"")</f>
        <v/>
      </c>
      <c r="U323">
        <f>IF(AND(Q323&lt;&gt;"",ISNUMBER(G323)),Q323,"")</f>
        <v/>
      </c>
      <c r="V323">
        <f>IF(AND(Q323&lt;&gt;"",ISNUMBER(H323)),Q323,"")</f>
        <v/>
      </c>
      <c r="W323">
        <f>IF(AND(Q323&lt;&gt;"",ISNUMBER(I323)),Q323,"")</f>
        <v/>
      </c>
      <c r="X323">
        <f>IF(AND(Q323&lt;&gt;"",ISNUMBER(J323)),Q323,"")</f>
        <v/>
      </c>
      <c r="Y323">
        <f>IF(AND(Q323&lt;&gt;"",ISNUMBER(K323)),Q323,"")</f>
        <v/>
      </c>
      <c r="Z323">
        <f>IF(AND(Q323&lt;&gt;"",ISNUMBER(L323)),Q323,"")</f>
        <v/>
      </c>
      <c r="AA323">
        <f>IF(AND(Q323&lt;&gt;"",ISNUMBER(M323)),Q323,"")</f>
        <v/>
      </c>
      <c r="AB323">
        <f>IF(AND(Q323&lt;&gt;"",ISNUMBER(K323)),K323,"")</f>
        <v/>
      </c>
      <c r="AC323">
        <f>IF(AND(Q323&lt;&gt;"",ISNUMBER(L323)),L323,"")</f>
        <v/>
      </c>
      <c r="AD323">
        <f>IF(AND(Q323&lt;&gt;"",ISNUMBER(M323)),M323,"")</f>
        <v/>
      </c>
    </row>
    <row r="324">
      <c r="A324" s="1" t="n"/>
      <c r="B324" s="17" t="n"/>
      <c r="C324" s="27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9" t="n"/>
      <c r="N324" s="21" t="n"/>
      <c r="O324" s="12">
        <f>IF(AND(B324="",C324=""),"",IF(NOT(ISNUMBER(B324)),"Needs a date",IF(C324="","Needs a client",IF(COUNTIF(Clients!$B$6:$B$105,C324)=0,"Not on Clients",IF(COUNT(D324:M324)=0,"Nothing measured","")))))</f>
        <v/>
      </c>
      <c r="P324" s="1">
        <f>IF(AND(O324="",ISNUMBER(B324)),INT(B324),0)</f>
        <v/>
      </c>
      <c r="Q324">
        <f>IF(AND(P324&gt;0,C324=Report!$C$5),P324*10000+ROW(),"")</f>
        <v/>
      </c>
      <c r="R324">
        <f>IF(AND(Q324&lt;&gt;"",ISNUMBER(D324)),Q324,"")</f>
        <v/>
      </c>
      <c r="S324">
        <f>IF(AND(Q324&lt;&gt;"",ISNUMBER(E324)),Q324,"")</f>
        <v/>
      </c>
      <c r="T324">
        <f>IF(AND(Q324&lt;&gt;"",ISNUMBER(F324)),Q324,"")</f>
        <v/>
      </c>
      <c r="U324">
        <f>IF(AND(Q324&lt;&gt;"",ISNUMBER(G324)),Q324,"")</f>
        <v/>
      </c>
      <c r="V324">
        <f>IF(AND(Q324&lt;&gt;"",ISNUMBER(H324)),Q324,"")</f>
        <v/>
      </c>
      <c r="W324">
        <f>IF(AND(Q324&lt;&gt;"",ISNUMBER(I324)),Q324,"")</f>
        <v/>
      </c>
      <c r="X324">
        <f>IF(AND(Q324&lt;&gt;"",ISNUMBER(J324)),Q324,"")</f>
        <v/>
      </c>
      <c r="Y324">
        <f>IF(AND(Q324&lt;&gt;"",ISNUMBER(K324)),Q324,"")</f>
        <v/>
      </c>
      <c r="Z324">
        <f>IF(AND(Q324&lt;&gt;"",ISNUMBER(L324)),Q324,"")</f>
        <v/>
      </c>
      <c r="AA324">
        <f>IF(AND(Q324&lt;&gt;"",ISNUMBER(M324)),Q324,"")</f>
        <v/>
      </c>
      <c r="AB324">
        <f>IF(AND(Q324&lt;&gt;"",ISNUMBER(K324)),K324,"")</f>
        <v/>
      </c>
      <c r="AC324">
        <f>IF(AND(Q324&lt;&gt;"",ISNUMBER(L324)),L324,"")</f>
        <v/>
      </c>
      <c r="AD324">
        <f>IF(AND(Q324&lt;&gt;"",ISNUMBER(M324)),M324,"")</f>
        <v/>
      </c>
    </row>
    <row r="325">
      <c r="A325" s="1" t="n"/>
      <c r="B325" s="17" t="n"/>
      <c r="C325" s="27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9" t="n"/>
      <c r="N325" s="21" t="n"/>
      <c r="O325" s="12">
        <f>IF(AND(B325="",C325=""),"",IF(NOT(ISNUMBER(B325)),"Needs a date",IF(C325="","Needs a client",IF(COUNTIF(Clients!$B$6:$B$105,C325)=0,"Not on Clients",IF(COUNT(D325:M325)=0,"Nothing measured","")))))</f>
        <v/>
      </c>
      <c r="P325" s="1">
        <f>IF(AND(O325="",ISNUMBER(B325)),INT(B325),0)</f>
        <v/>
      </c>
      <c r="Q325">
        <f>IF(AND(P325&gt;0,C325=Report!$C$5),P325*10000+ROW(),"")</f>
        <v/>
      </c>
      <c r="R325">
        <f>IF(AND(Q325&lt;&gt;"",ISNUMBER(D325)),Q325,"")</f>
        <v/>
      </c>
      <c r="S325">
        <f>IF(AND(Q325&lt;&gt;"",ISNUMBER(E325)),Q325,"")</f>
        <v/>
      </c>
      <c r="T325">
        <f>IF(AND(Q325&lt;&gt;"",ISNUMBER(F325)),Q325,"")</f>
        <v/>
      </c>
      <c r="U325">
        <f>IF(AND(Q325&lt;&gt;"",ISNUMBER(G325)),Q325,"")</f>
        <v/>
      </c>
      <c r="V325">
        <f>IF(AND(Q325&lt;&gt;"",ISNUMBER(H325)),Q325,"")</f>
        <v/>
      </c>
      <c r="W325">
        <f>IF(AND(Q325&lt;&gt;"",ISNUMBER(I325)),Q325,"")</f>
        <v/>
      </c>
      <c r="X325">
        <f>IF(AND(Q325&lt;&gt;"",ISNUMBER(J325)),Q325,"")</f>
        <v/>
      </c>
      <c r="Y325">
        <f>IF(AND(Q325&lt;&gt;"",ISNUMBER(K325)),Q325,"")</f>
        <v/>
      </c>
      <c r="Z325">
        <f>IF(AND(Q325&lt;&gt;"",ISNUMBER(L325)),Q325,"")</f>
        <v/>
      </c>
      <c r="AA325">
        <f>IF(AND(Q325&lt;&gt;"",ISNUMBER(M325)),Q325,"")</f>
        <v/>
      </c>
      <c r="AB325">
        <f>IF(AND(Q325&lt;&gt;"",ISNUMBER(K325)),K325,"")</f>
        <v/>
      </c>
      <c r="AC325">
        <f>IF(AND(Q325&lt;&gt;"",ISNUMBER(L325)),L325,"")</f>
        <v/>
      </c>
      <c r="AD325">
        <f>IF(AND(Q325&lt;&gt;"",ISNUMBER(M325)),M325,"")</f>
        <v/>
      </c>
    </row>
    <row r="326">
      <c r="A326" s="1" t="n"/>
      <c r="B326" s="17" t="n"/>
      <c r="C326" s="27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9" t="n"/>
      <c r="N326" s="21" t="n"/>
      <c r="O326" s="12">
        <f>IF(AND(B326="",C326=""),"",IF(NOT(ISNUMBER(B326)),"Needs a date",IF(C326="","Needs a client",IF(COUNTIF(Clients!$B$6:$B$105,C326)=0,"Not on Clients",IF(COUNT(D326:M326)=0,"Nothing measured","")))))</f>
        <v/>
      </c>
      <c r="P326" s="1">
        <f>IF(AND(O326="",ISNUMBER(B326)),INT(B326),0)</f>
        <v/>
      </c>
      <c r="Q326">
        <f>IF(AND(P326&gt;0,C326=Report!$C$5),P326*10000+ROW(),"")</f>
        <v/>
      </c>
      <c r="R326">
        <f>IF(AND(Q326&lt;&gt;"",ISNUMBER(D326)),Q326,"")</f>
        <v/>
      </c>
      <c r="S326">
        <f>IF(AND(Q326&lt;&gt;"",ISNUMBER(E326)),Q326,"")</f>
        <v/>
      </c>
      <c r="T326">
        <f>IF(AND(Q326&lt;&gt;"",ISNUMBER(F326)),Q326,"")</f>
        <v/>
      </c>
      <c r="U326">
        <f>IF(AND(Q326&lt;&gt;"",ISNUMBER(G326)),Q326,"")</f>
        <v/>
      </c>
      <c r="V326">
        <f>IF(AND(Q326&lt;&gt;"",ISNUMBER(H326)),Q326,"")</f>
        <v/>
      </c>
      <c r="W326">
        <f>IF(AND(Q326&lt;&gt;"",ISNUMBER(I326)),Q326,"")</f>
        <v/>
      </c>
      <c r="X326">
        <f>IF(AND(Q326&lt;&gt;"",ISNUMBER(J326)),Q326,"")</f>
        <v/>
      </c>
      <c r="Y326">
        <f>IF(AND(Q326&lt;&gt;"",ISNUMBER(K326)),Q326,"")</f>
        <v/>
      </c>
      <c r="Z326">
        <f>IF(AND(Q326&lt;&gt;"",ISNUMBER(L326)),Q326,"")</f>
        <v/>
      </c>
      <c r="AA326">
        <f>IF(AND(Q326&lt;&gt;"",ISNUMBER(M326)),Q326,"")</f>
        <v/>
      </c>
      <c r="AB326">
        <f>IF(AND(Q326&lt;&gt;"",ISNUMBER(K326)),K326,"")</f>
        <v/>
      </c>
      <c r="AC326">
        <f>IF(AND(Q326&lt;&gt;"",ISNUMBER(L326)),L326,"")</f>
        <v/>
      </c>
      <c r="AD326">
        <f>IF(AND(Q326&lt;&gt;"",ISNUMBER(M326)),M326,"")</f>
        <v/>
      </c>
    </row>
    <row r="327">
      <c r="A327" s="1" t="n"/>
      <c r="B327" s="17" t="n"/>
      <c r="C327" s="27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9" t="n"/>
      <c r="N327" s="21" t="n"/>
      <c r="O327" s="12">
        <f>IF(AND(B327="",C327=""),"",IF(NOT(ISNUMBER(B327)),"Needs a date",IF(C327="","Needs a client",IF(COUNTIF(Clients!$B$6:$B$105,C327)=0,"Not on Clients",IF(COUNT(D327:M327)=0,"Nothing measured","")))))</f>
        <v/>
      </c>
      <c r="P327" s="1">
        <f>IF(AND(O327="",ISNUMBER(B327)),INT(B327),0)</f>
        <v/>
      </c>
      <c r="Q327">
        <f>IF(AND(P327&gt;0,C327=Report!$C$5),P327*10000+ROW(),"")</f>
        <v/>
      </c>
      <c r="R327">
        <f>IF(AND(Q327&lt;&gt;"",ISNUMBER(D327)),Q327,"")</f>
        <v/>
      </c>
      <c r="S327">
        <f>IF(AND(Q327&lt;&gt;"",ISNUMBER(E327)),Q327,"")</f>
        <v/>
      </c>
      <c r="T327">
        <f>IF(AND(Q327&lt;&gt;"",ISNUMBER(F327)),Q327,"")</f>
        <v/>
      </c>
      <c r="U327">
        <f>IF(AND(Q327&lt;&gt;"",ISNUMBER(G327)),Q327,"")</f>
        <v/>
      </c>
      <c r="V327">
        <f>IF(AND(Q327&lt;&gt;"",ISNUMBER(H327)),Q327,"")</f>
        <v/>
      </c>
      <c r="W327">
        <f>IF(AND(Q327&lt;&gt;"",ISNUMBER(I327)),Q327,"")</f>
        <v/>
      </c>
      <c r="X327">
        <f>IF(AND(Q327&lt;&gt;"",ISNUMBER(J327)),Q327,"")</f>
        <v/>
      </c>
      <c r="Y327">
        <f>IF(AND(Q327&lt;&gt;"",ISNUMBER(K327)),Q327,"")</f>
        <v/>
      </c>
      <c r="Z327">
        <f>IF(AND(Q327&lt;&gt;"",ISNUMBER(L327)),Q327,"")</f>
        <v/>
      </c>
      <c r="AA327">
        <f>IF(AND(Q327&lt;&gt;"",ISNUMBER(M327)),Q327,"")</f>
        <v/>
      </c>
      <c r="AB327">
        <f>IF(AND(Q327&lt;&gt;"",ISNUMBER(K327)),K327,"")</f>
        <v/>
      </c>
      <c r="AC327">
        <f>IF(AND(Q327&lt;&gt;"",ISNUMBER(L327)),L327,"")</f>
        <v/>
      </c>
      <c r="AD327">
        <f>IF(AND(Q327&lt;&gt;"",ISNUMBER(M327)),M327,"")</f>
        <v/>
      </c>
    </row>
    <row r="328">
      <c r="A328" s="1" t="n"/>
      <c r="B328" s="17" t="n"/>
      <c r="C328" s="27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9" t="n"/>
      <c r="N328" s="21" t="n"/>
      <c r="O328" s="12">
        <f>IF(AND(B328="",C328=""),"",IF(NOT(ISNUMBER(B328)),"Needs a date",IF(C328="","Needs a client",IF(COUNTIF(Clients!$B$6:$B$105,C328)=0,"Not on Clients",IF(COUNT(D328:M328)=0,"Nothing measured","")))))</f>
        <v/>
      </c>
      <c r="P328" s="1">
        <f>IF(AND(O328="",ISNUMBER(B328)),INT(B328),0)</f>
        <v/>
      </c>
      <c r="Q328">
        <f>IF(AND(P328&gt;0,C328=Report!$C$5),P328*10000+ROW(),"")</f>
        <v/>
      </c>
      <c r="R328">
        <f>IF(AND(Q328&lt;&gt;"",ISNUMBER(D328)),Q328,"")</f>
        <v/>
      </c>
      <c r="S328">
        <f>IF(AND(Q328&lt;&gt;"",ISNUMBER(E328)),Q328,"")</f>
        <v/>
      </c>
      <c r="T328">
        <f>IF(AND(Q328&lt;&gt;"",ISNUMBER(F328)),Q328,"")</f>
        <v/>
      </c>
      <c r="U328">
        <f>IF(AND(Q328&lt;&gt;"",ISNUMBER(G328)),Q328,"")</f>
        <v/>
      </c>
      <c r="V328">
        <f>IF(AND(Q328&lt;&gt;"",ISNUMBER(H328)),Q328,"")</f>
        <v/>
      </c>
      <c r="W328">
        <f>IF(AND(Q328&lt;&gt;"",ISNUMBER(I328)),Q328,"")</f>
        <v/>
      </c>
      <c r="X328">
        <f>IF(AND(Q328&lt;&gt;"",ISNUMBER(J328)),Q328,"")</f>
        <v/>
      </c>
      <c r="Y328">
        <f>IF(AND(Q328&lt;&gt;"",ISNUMBER(K328)),Q328,"")</f>
        <v/>
      </c>
      <c r="Z328">
        <f>IF(AND(Q328&lt;&gt;"",ISNUMBER(L328)),Q328,"")</f>
        <v/>
      </c>
      <c r="AA328">
        <f>IF(AND(Q328&lt;&gt;"",ISNUMBER(M328)),Q328,"")</f>
        <v/>
      </c>
      <c r="AB328">
        <f>IF(AND(Q328&lt;&gt;"",ISNUMBER(K328)),K328,"")</f>
        <v/>
      </c>
      <c r="AC328">
        <f>IF(AND(Q328&lt;&gt;"",ISNUMBER(L328)),L328,"")</f>
        <v/>
      </c>
      <c r="AD328">
        <f>IF(AND(Q328&lt;&gt;"",ISNUMBER(M328)),M328,"")</f>
        <v/>
      </c>
    </row>
    <row r="329">
      <c r="A329" s="1" t="n"/>
      <c r="B329" s="17" t="n"/>
      <c r="C329" s="27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9" t="n"/>
      <c r="N329" s="21" t="n"/>
      <c r="O329" s="12">
        <f>IF(AND(B329="",C329=""),"",IF(NOT(ISNUMBER(B329)),"Needs a date",IF(C329="","Needs a client",IF(COUNTIF(Clients!$B$6:$B$105,C329)=0,"Not on Clients",IF(COUNT(D329:M329)=0,"Nothing measured","")))))</f>
        <v/>
      </c>
      <c r="P329" s="1">
        <f>IF(AND(O329="",ISNUMBER(B329)),INT(B329),0)</f>
        <v/>
      </c>
      <c r="Q329">
        <f>IF(AND(P329&gt;0,C329=Report!$C$5),P329*10000+ROW(),"")</f>
        <v/>
      </c>
      <c r="R329">
        <f>IF(AND(Q329&lt;&gt;"",ISNUMBER(D329)),Q329,"")</f>
        <v/>
      </c>
      <c r="S329">
        <f>IF(AND(Q329&lt;&gt;"",ISNUMBER(E329)),Q329,"")</f>
        <v/>
      </c>
      <c r="T329">
        <f>IF(AND(Q329&lt;&gt;"",ISNUMBER(F329)),Q329,"")</f>
        <v/>
      </c>
      <c r="U329">
        <f>IF(AND(Q329&lt;&gt;"",ISNUMBER(G329)),Q329,"")</f>
        <v/>
      </c>
      <c r="V329">
        <f>IF(AND(Q329&lt;&gt;"",ISNUMBER(H329)),Q329,"")</f>
        <v/>
      </c>
      <c r="W329">
        <f>IF(AND(Q329&lt;&gt;"",ISNUMBER(I329)),Q329,"")</f>
        <v/>
      </c>
      <c r="X329">
        <f>IF(AND(Q329&lt;&gt;"",ISNUMBER(J329)),Q329,"")</f>
        <v/>
      </c>
      <c r="Y329">
        <f>IF(AND(Q329&lt;&gt;"",ISNUMBER(K329)),Q329,"")</f>
        <v/>
      </c>
      <c r="Z329">
        <f>IF(AND(Q329&lt;&gt;"",ISNUMBER(L329)),Q329,"")</f>
        <v/>
      </c>
      <c r="AA329">
        <f>IF(AND(Q329&lt;&gt;"",ISNUMBER(M329)),Q329,"")</f>
        <v/>
      </c>
      <c r="AB329">
        <f>IF(AND(Q329&lt;&gt;"",ISNUMBER(K329)),K329,"")</f>
        <v/>
      </c>
      <c r="AC329">
        <f>IF(AND(Q329&lt;&gt;"",ISNUMBER(L329)),L329,"")</f>
        <v/>
      </c>
      <c r="AD329">
        <f>IF(AND(Q329&lt;&gt;"",ISNUMBER(M329)),M329,"")</f>
        <v/>
      </c>
    </row>
    <row r="330">
      <c r="A330" s="1" t="n"/>
      <c r="B330" s="17" t="n"/>
      <c r="C330" s="27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9" t="n"/>
      <c r="N330" s="21" t="n"/>
      <c r="O330" s="12">
        <f>IF(AND(B330="",C330=""),"",IF(NOT(ISNUMBER(B330)),"Needs a date",IF(C330="","Needs a client",IF(COUNTIF(Clients!$B$6:$B$105,C330)=0,"Not on Clients",IF(COUNT(D330:M330)=0,"Nothing measured","")))))</f>
        <v/>
      </c>
      <c r="P330" s="1">
        <f>IF(AND(O330="",ISNUMBER(B330)),INT(B330),0)</f>
        <v/>
      </c>
      <c r="Q330">
        <f>IF(AND(P330&gt;0,C330=Report!$C$5),P330*10000+ROW(),"")</f>
        <v/>
      </c>
      <c r="R330">
        <f>IF(AND(Q330&lt;&gt;"",ISNUMBER(D330)),Q330,"")</f>
        <v/>
      </c>
      <c r="S330">
        <f>IF(AND(Q330&lt;&gt;"",ISNUMBER(E330)),Q330,"")</f>
        <v/>
      </c>
      <c r="T330">
        <f>IF(AND(Q330&lt;&gt;"",ISNUMBER(F330)),Q330,"")</f>
        <v/>
      </c>
      <c r="U330">
        <f>IF(AND(Q330&lt;&gt;"",ISNUMBER(G330)),Q330,"")</f>
        <v/>
      </c>
      <c r="V330">
        <f>IF(AND(Q330&lt;&gt;"",ISNUMBER(H330)),Q330,"")</f>
        <v/>
      </c>
      <c r="W330">
        <f>IF(AND(Q330&lt;&gt;"",ISNUMBER(I330)),Q330,"")</f>
        <v/>
      </c>
      <c r="X330">
        <f>IF(AND(Q330&lt;&gt;"",ISNUMBER(J330)),Q330,"")</f>
        <v/>
      </c>
      <c r="Y330">
        <f>IF(AND(Q330&lt;&gt;"",ISNUMBER(K330)),Q330,"")</f>
        <v/>
      </c>
      <c r="Z330">
        <f>IF(AND(Q330&lt;&gt;"",ISNUMBER(L330)),Q330,"")</f>
        <v/>
      </c>
      <c r="AA330">
        <f>IF(AND(Q330&lt;&gt;"",ISNUMBER(M330)),Q330,"")</f>
        <v/>
      </c>
      <c r="AB330">
        <f>IF(AND(Q330&lt;&gt;"",ISNUMBER(K330)),K330,"")</f>
        <v/>
      </c>
      <c r="AC330">
        <f>IF(AND(Q330&lt;&gt;"",ISNUMBER(L330)),L330,"")</f>
        <v/>
      </c>
      <c r="AD330">
        <f>IF(AND(Q330&lt;&gt;"",ISNUMBER(M330)),M330,"")</f>
        <v/>
      </c>
    </row>
    <row r="331">
      <c r="A331" s="1" t="n"/>
      <c r="B331" s="17" t="n"/>
      <c r="C331" s="27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9" t="n"/>
      <c r="N331" s="21" t="n"/>
      <c r="O331" s="12">
        <f>IF(AND(B331="",C331=""),"",IF(NOT(ISNUMBER(B331)),"Needs a date",IF(C331="","Needs a client",IF(COUNTIF(Clients!$B$6:$B$105,C331)=0,"Not on Clients",IF(COUNT(D331:M331)=0,"Nothing measured","")))))</f>
        <v/>
      </c>
      <c r="P331" s="1">
        <f>IF(AND(O331="",ISNUMBER(B331)),INT(B331),0)</f>
        <v/>
      </c>
      <c r="Q331">
        <f>IF(AND(P331&gt;0,C331=Report!$C$5),P331*10000+ROW(),"")</f>
        <v/>
      </c>
      <c r="R331">
        <f>IF(AND(Q331&lt;&gt;"",ISNUMBER(D331)),Q331,"")</f>
        <v/>
      </c>
      <c r="S331">
        <f>IF(AND(Q331&lt;&gt;"",ISNUMBER(E331)),Q331,"")</f>
        <v/>
      </c>
      <c r="T331">
        <f>IF(AND(Q331&lt;&gt;"",ISNUMBER(F331)),Q331,"")</f>
        <v/>
      </c>
      <c r="U331">
        <f>IF(AND(Q331&lt;&gt;"",ISNUMBER(G331)),Q331,"")</f>
        <v/>
      </c>
      <c r="V331">
        <f>IF(AND(Q331&lt;&gt;"",ISNUMBER(H331)),Q331,"")</f>
        <v/>
      </c>
      <c r="W331">
        <f>IF(AND(Q331&lt;&gt;"",ISNUMBER(I331)),Q331,"")</f>
        <v/>
      </c>
      <c r="X331">
        <f>IF(AND(Q331&lt;&gt;"",ISNUMBER(J331)),Q331,"")</f>
        <v/>
      </c>
      <c r="Y331">
        <f>IF(AND(Q331&lt;&gt;"",ISNUMBER(K331)),Q331,"")</f>
        <v/>
      </c>
      <c r="Z331">
        <f>IF(AND(Q331&lt;&gt;"",ISNUMBER(L331)),Q331,"")</f>
        <v/>
      </c>
      <c r="AA331">
        <f>IF(AND(Q331&lt;&gt;"",ISNUMBER(M331)),Q331,"")</f>
        <v/>
      </c>
      <c r="AB331">
        <f>IF(AND(Q331&lt;&gt;"",ISNUMBER(K331)),K331,"")</f>
        <v/>
      </c>
      <c r="AC331">
        <f>IF(AND(Q331&lt;&gt;"",ISNUMBER(L331)),L331,"")</f>
        <v/>
      </c>
      <c r="AD331">
        <f>IF(AND(Q331&lt;&gt;"",ISNUMBER(M331)),M331,"")</f>
        <v/>
      </c>
    </row>
    <row r="332">
      <c r="A332" s="1" t="n"/>
      <c r="B332" s="17" t="n"/>
      <c r="C332" s="27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9" t="n"/>
      <c r="N332" s="21" t="n"/>
      <c r="O332" s="12">
        <f>IF(AND(B332="",C332=""),"",IF(NOT(ISNUMBER(B332)),"Needs a date",IF(C332="","Needs a client",IF(COUNTIF(Clients!$B$6:$B$105,C332)=0,"Not on Clients",IF(COUNT(D332:M332)=0,"Nothing measured","")))))</f>
        <v/>
      </c>
      <c r="P332" s="1">
        <f>IF(AND(O332="",ISNUMBER(B332)),INT(B332),0)</f>
        <v/>
      </c>
      <c r="Q332">
        <f>IF(AND(P332&gt;0,C332=Report!$C$5),P332*10000+ROW(),"")</f>
        <v/>
      </c>
      <c r="R332">
        <f>IF(AND(Q332&lt;&gt;"",ISNUMBER(D332)),Q332,"")</f>
        <v/>
      </c>
      <c r="S332">
        <f>IF(AND(Q332&lt;&gt;"",ISNUMBER(E332)),Q332,"")</f>
        <v/>
      </c>
      <c r="T332">
        <f>IF(AND(Q332&lt;&gt;"",ISNUMBER(F332)),Q332,"")</f>
        <v/>
      </c>
      <c r="U332">
        <f>IF(AND(Q332&lt;&gt;"",ISNUMBER(G332)),Q332,"")</f>
        <v/>
      </c>
      <c r="V332">
        <f>IF(AND(Q332&lt;&gt;"",ISNUMBER(H332)),Q332,"")</f>
        <v/>
      </c>
      <c r="W332">
        <f>IF(AND(Q332&lt;&gt;"",ISNUMBER(I332)),Q332,"")</f>
        <v/>
      </c>
      <c r="X332">
        <f>IF(AND(Q332&lt;&gt;"",ISNUMBER(J332)),Q332,"")</f>
        <v/>
      </c>
      <c r="Y332">
        <f>IF(AND(Q332&lt;&gt;"",ISNUMBER(K332)),Q332,"")</f>
        <v/>
      </c>
      <c r="Z332">
        <f>IF(AND(Q332&lt;&gt;"",ISNUMBER(L332)),Q332,"")</f>
        <v/>
      </c>
      <c r="AA332">
        <f>IF(AND(Q332&lt;&gt;"",ISNUMBER(M332)),Q332,"")</f>
        <v/>
      </c>
      <c r="AB332">
        <f>IF(AND(Q332&lt;&gt;"",ISNUMBER(K332)),K332,"")</f>
        <v/>
      </c>
      <c r="AC332">
        <f>IF(AND(Q332&lt;&gt;"",ISNUMBER(L332)),L332,"")</f>
        <v/>
      </c>
      <c r="AD332">
        <f>IF(AND(Q332&lt;&gt;"",ISNUMBER(M332)),M332,"")</f>
        <v/>
      </c>
    </row>
    <row r="333">
      <c r="A333" s="1" t="n"/>
      <c r="B333" s="17" t="n"/>
      <c r="C333" s="27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9" t="n"/>
      <c r="N333" s="21" t="n"/>
      <c r="O333" s="12">
        <f>IF(AND(B333="",C333=""),"",IF(NOT(ISNUMBER(B333)),"Needs a date",IF(C333="","Needs a client",IF(COUNTIF(Clients!$B$6:$B$105,C333)=0,"Not on Clients",IF(COUNT(D333:M333)=0,"Nothing measured","")))))</f>
        <v/>
      </c>
      <c r="P333" s="1">
        <f>IF(AND(O333="",ISNUMBER(B333)),INT(B333),0)</f>
        <v/>
      </c>
      <c r="Q333">
        <f>IF(AND(P333&gt;0,C333=Report!$C$5),P333*10000+ROW(),"")</f>
        <v/>
      </c>
      <c r="R333">
        <f>IF(AND(Q333&lt;&gt;"",ISNUMBER(D333)),Q333,"")</f>
        <v/>
      </c>
      <c r="S333">
        <f>IF(AND(Q333&lt;&gt;"",ISNUMBER(E333)),Q333,"")</f>
        <v/>
      </c>
      <c r="T333">
        <f>IF(AND(Q333&lt;&gt;"",ISNUMBER(F333)),Q333,"")</f>
        <v/>
      </c>
      <c r="U333">
        <f>IF(AND(Q333&lt;&gt;"",ISNUMBER(G333)),Q333,"")</f>
        <v/>
      </c>
      <c r="V333">
        <f>IF(AND(Q333&lt;&gt;"",ISNUMBER(H333)),Q333,"")</f>
        <v/>
      </c>
      <c r="W333">
        <f>IF(AND(Q333&lt;&gt;"",ISNUMBER(I333)),Q333,"")</f>
        <v/>
      </c>
      <c r="X333">
        <f>IF(AND(Q333&lt;&gt;"",ISNUMBER(J333)),Q333,"")</f>
        <v/>
      </c>
      <c r="Y333">
        <f>IF(AND(Q333&lt;&gt;"",ISNUMBER(K333)),Q333,"")</f>
        <v/>
      </c>
      <c r="Z333">
        <f>IF(AND(Q333&lt;&gt;"",ISNUMBER(L333)),Q333,"")</f>
        <v/>
      </c>
      <c r="AA333">
        <f>IF(AND(Q333&lt;&gt;"",ISNUMBER(M333)),Q333,"")</f>
        <v/>
      </c>
      <c r="AB333">
        <f>IF(AND(Q333&lt;&gt;"",ISNUMBER(K333)),K333,"")</f>
        <v/>
      </c>
      <c r="AC333">
        <f>IF(AND(Q333&lt;&gt;"",ISNUMBER(L333)),L333,"")</f>
        <v/>
      </c>
      <c r="AD333">
        <f>IF(AND(Q333&lt;&gt;"",ISNUMBER(M333)),M333,"")</f>
        <v/>
      </c>
    </row>
    <row r="334">
      <c r="A334" s="1" t="n"/>
      <c r="B334" s="17" t="n"/>
      <c r="C334" s="27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9" t="n"/>
      <c r="N334" s="21" t="n"/>
      <c r="O334" s="12">
        <f>IF(AND(B334="",C334=""),"",IF(NOT(ISNUMBER(B334)),"Needs a date",IF(C334="","Needs a client",IF(COUNTIF(Clients!$B$6:$B$105,C334)=0,"Not on Clients",IF(COUNT(D334:M334)=0,"Nothing measured","")))))</f>
        <v/>
      </c>
      <c r="P334" s="1">
        <f>IF(AND(O334="",ISNUMBER(B334)),INT(B334),0)</f>
        <v/>
      </c>
      <c r="Q334">
        <f>IF(AND(P334&gt;0,C334=Report!$C$5),P334*10000+ROW(),"")</f>
        <v/>
      </c>
      <c r="R334">
        <f>IF(AND(Q334&lt;&gt;"",ISNUMBER(D334)),Q334,"")</f>
        <v/>
      </c>
      <c r="S334">
        <f>IF(AND(Q334&lt;&gt;"",ISNUMBER(E334)),Q334,"")</f>
        <v/>
      </c>
      <c r="T334">
        <f>IF(AND(Q334&lt;&gt;"",ISNUMBER(F334)),Q334,"")</f>
        <v/>
      </c>
      <c r="U334">
        <f>IF(AND(Q334&lt;&gt;"",ISNUMBER(G334)),Q334,"")</f>
        <v/>
      </c>
      <c r="V334">
        <f>IF(AND(Q334&lt;&gt;"",ISNUMBER(H334)),Q334,"")</f>
        <v/>
      </c>
      <c r="W334">
        <f>IF(AND(Q334&lt;&gt;"",ISNUMBER(I334)),Q334,"")</f>
        <v/>
      </c>
      <c r="X334">
        <f>IF(AND(Q334&lt;&gt;"",ISNUMBER(J334)),Q334,"")</f>
        <v/>
      </c>
      <c r="Y334">
        <f>IF(AND(Q334&lt;&gt;"",ISNUMBER(K334)),Q334,"")</f>
        <v/>
      </c>
      <c r="Z334">
        <f>IF(AND(Q334&lt;&gt;"",ISNUMBER(L334)),Q334,"")</f>
        <v/>
      </c>
      <c r="AA334">
        <f>IF(AND(Q334&lt;&gt;"",ISNUMBER(M334)),Q334,"")</f>
        <v/>
      </c>
      <c r="AB334">
        <f>IF(AND(Q334&lt;&gt;"",ISNUMBER(K334)),K334,"")</f>
        <v/>
      </c>
      <c r="AC334">
        <f>IF(AND(Q334&lt;&gt;"",ISNUMBER(L334)),L334,"")</f>
        <v/>
      </c>
      <c r="AD334">
        <f>IF(AND(Q334&lt;&gt;"",ISNUMBER(M334)),M334,"")</f>
        <v/>
      </c>
    </row>
    <row r="335">
      <c r="A335" s="1" t="n"/>
      <c r="B335" s="17" t="n"/>
      <c r="C335" s="27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9" t="n"/>
      <c r="N335" s="21" t="n"/>
      <c r="O335" s="12">
        <f>IF(AND(B335="",C335=""),"",IF(NOT(ISNUMBER(B335)),"Needs a date",IF(C335="","Needs a client",IF(COUNTIF(Clients!$B$6:$B$105,C335)=0,"Not on Clients",IF(COUNT(D335:M335)=0,"Nothing measured","")))))</f>
        <v/>
      </c>
      <c r="P335" s="1">
        <f>IF(AND(O335="",ISNUMBER(B335)),INT(B335),0)</f>
        <v/>
      </c>
      <c r="Q335">
        <f>IF(AND(P335&gt;0,C335=Report!$C$5),P335*10000+ROW(),"")</f>
        <v/>
      </c>
      <c r="R335">
        <f>IF(AND(Q335&lt;&gt;"",ISNUMBER(D335)),Q335,"")</f>
        <v/>
      </c>
      <c r="S335">
        <f>IF(AND(Q335&lt;&gt;"",ISNUMBER(E335)),Q335,"")</f>
        <v/>
      </c>
      <c r="T335">
        <f>IF(AND(Q335&lt;&gt;"",ISNUMBER(F335)),Q335,"")</f>
        <v/>
      </c>
      <c r="U335">
        <f>IF(AND(Q335&lt;&gt;"",ISNUMBER(G335)),Q335,"")</f>
        <v/>
      </c>
      <c r="V335">
        <f>IF(AND(Q335&lt;&gt;"",ISNUMBER(H335)),Q335,"")</f>
        <v/>
      </c>
      <c r="W335">
        <f>IF(AND(Q335&lt;&gt;"",ISNUMBER(I335)),Q335,"")</f>
        <v/>
      </c>
      <c r="X335">
        <f>IF(AND(Q335&lt;&gt;"",ISNUMBER(J335)),Q335,"")</f>
        <v/>
      </c>
      <c r="Y335">
        <f>IF(AND(Q335&lt;&gt;"",ISNUMBER(K335)),Q335,"")</f>
        <v/>
      </c>
      <c r="Z335">
        <f>IF(AND(Q335&lt;&gt;"",ISNUMBER(L335)),Q335,"")</f>
        <v/>
      </c>
      <c r="AA335">
        <f>IF(AND(Q335&lt;&gt;"",ISNUMBER(M335)),Q335,"")</f>
        <v/>
      </c>
      <c r="AB335">
        <f>IF(AND(Q335&lt;&gt;"",ISNUMBER(K335)),K335,"")</f>
        <v/>
      </c>
      <c r="AC335">
        <f>IF(AND(Q335&lt;&gt;"",ISNUMBER(L335)),L335,"")</f>
        <v/>
      </c>
      <c r="AD335">
        <f>IF(AND(Q335&lt;&gt;"",ISNUMBER(M335)),M335,"")</f>
        <v/>
      </c>
    </row>
    <row r="336">
      <c r="A336" s="1" t="n"/>
      <c r="B336" s="17" t="n"/>
      <c r="C336" s="27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9" t="n"/>
      <c r="N336" s="21" t="n"/>
      <c r="O336" s="12">
        <f>IF(AND(B336="",C336=""),"",IF(NOT(ISNUMBER(B336)),"Needs a date",IF(C336="","Needs a client",IF(COUNTIF(Clients!$B$6:$B$105,C336)=0,"Not on Clients",IF(COUNT(D336:M336)=0,"Nothing measured","")))))</f>
        <v/>
      </c>
      <c r="P336" s="1">
        <f>IF(AND(O336="",ISNUMBER(B336)),INT(B336),0)</f>
        <v/>
      </c>
      <c r="Q336">
        <f>IF(AND(P336&gt;0,C336=Report!$C$5),P336*10000+ROW(),"")</f>
        <v/>
      </c>
      <c r="R336">
        <f>IF(AND(Q336&lt;&gt;"",ISNUMBER(D336)),Q336,"")</f>
        <v/>
      </c>
      <c r="S336">
        <f>IF(AND(Q336&lt;&gt;"",ISNUMBER(E336)),Q336,"")</f>
        <v/>
      </c>
      <c r="T336">
        <f>IF(AND(Q336&lt;&gt;"",ISNUMBER(F336)),Q336,"")</f>
        <v/>
      </c>
      <c r="U336">
        <f>IF(AND(Q336&lt;&gt;"",ISNUMBER(G336)),Q336,"")</f>
        <v/>
      </c>
      <c r="V336">
        <f>IF(AND(Q336&lt;&gt;"",ISNUMBER(H336)),Q336,"")</f>
        <v/>
      </c>
      <c r="W336">
        <f>IF(AND(Q336&lt;&gt;"",ISNUMBER(I336)),Q336,"")</f>
        <v/>
      </c>
      <c r="X336">
        <f>IF(AND(Q336&lt;&gt;"",ISNUMBER(J336)),Q336,"")</f>
        <v/>
      </c>
      <c r="Y336">
        <f>IF(AND(Q336&lt;&gt;"",ISNUMBER(K336)),Q336,"")</f>
        <v/>
      </c>
      <c r="Z336">
        <f>IF(AND(Q336&lt;&gt;"",ISNUMBER(L336)),Q336,"")</f>
        <v/>
      </c>
      <c r="AA336">
        <f>IF(AND(Q336&lt;&gt;"",ISNUMBER(M336)),Q336,"")</f>
        <v/>
      </c>
      <c r="AB336">
        <f>IF(AND(Q336&lt;&gt;"",ISNUMBER(K336)),K336,"")</f>
        <v/>
      </c>
      <c r="AC336">
        <f>IF(AND(Q336&lt;&gt;"",ISNUMBER(L336)),L336,"")</f>
        <v/>
      </c>
      <c r="AD336">
        <f>IF(AND(Q336&lt;&gt;"",ISNUMBER(M336)),M336,"")</f>
        <v/>
      </c>
    </row>
    <row r="337">
      <c r="A337" s="1" t="n"/>
      <c r="B337" s="17" t="n"/>
      <c r="C337" s="27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9" t="n"/>
      <c r="N337" s="21" t="n"/>
      <c r="O337" s="12">
        <f>IF(AND(B337="",C337=""),"",IF(NOT(ISNUMBER(B337)),"Needs a date",IF(C337="","Needs a client",IF(COUNTIF(Clients!$B$6:$B$105,C337)=0,"Not on Clients",IF(COUNT(D337:M337)=0,"Nothing measured","")))))</f>
        <v/>
      </c>
      <c r="P337" s="1">
        <f>IF(AND(O337="",ISNUMBER(B337)),INT(B337),0)</f>
        <v/>
      </c>
      <c r="Q337">
        <f>IF(AND(P337&gt;0,C337=Report!$C$5),P337*10000+ROW(),"")</f>
        <v/>
      </c>
      <c r="R337">
        <f>IF(AND(Q337&lt;&gt;"",ISNUMBER(D337)),Q337,"")</f>
        <v/>
      </c>
      <c r="S337">
        <f>IF(AND(Q337&lt;&gt;"",ISNUMBER(E337)),Q337,"")</f>
        <v/>
      </c>
      <c r="T337">
        <f>IF(AND(Q337&lt;&gt;"",ISNUMBER(F337)),Q337,"")</f>
        <v/>
      </c>
      <c r="U337">
        <f>IF(AND(Q337&lt;&gt;"",ISNUMBER(G337)),Q337,"")</f>
        <v/>
      </c>
      <c r="V337">
        <f>IF(AND(Q337&lt;&gt;"",ISNUMBER(H337)),Q337,"")</f>
        <v/>
      </c>
      <c r="W337">
        <f>IF(AND(Q337&lt;&gt;"",ISNUMBER(I337)),Q337,"")</f>
        <v/>
      </c>
      <c r="X337">
        <f>IF(AND(Q337&lt;&gt;"",ISNUMBER(J337)),Q337,"")</f>
        <v/>
      </c>
      <c r="Y337">
        <f>IF(AND(Q337&lt;&gt;"",ISNUMBER(K337)),Q337,"")</f>
        <v/>
      </c>
      <c r="Z337">
        <f>IF(AND(Q337&lt;&gt;"",ISNUMBER(L337)),Q337,"")</f>
        <v/>
      </c>
      <c r="AA337">
        <f>IF(AND(Q337&lt;&gt;"",ISNUMBER(M337)),Q337,"")</f>
        <v/>
      </c>
      <c r="AB337">
        <f>IF(AND(Q337&lt;&gt;"",ISNUMBER(K337)),K337,"")</f>
        <v/>
      </c>
      <c r="AC337">
        <f>IF(AND(Q337&lt;&gt;"",ISNUMBER(L337)),L337,"")</f>
        <v/>
      </c>
      <c r="AD337">
        <f>IF(AND(Q337&lt;&gt;"",ISNUMBER(M337)),M337,"")</f>
        <v/>
      </c>
    </row>
    <row r="338">
      <c r="A338" s="1" t="n"/>
      <c r="B338" s="17" t="n"/>
      <c r="C338" s="27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9" t="n"/>
      <c r="N338" s="21" t="n"/>
      <c r="O338" s="12">
        <f>IF(AND(B338="",C338=""),"",IF(NOT(ISNUMBER(B338)),"Needs a date",IF(C338="","Needs a client",IF(COUNTIF(Clients!$B$6:$B$105,C338)=0,"Not on Clients",IF(COUNT(D338:M338)=0,"Nothing measured","")))))</f>
        <v/>
      </c>
      <c r="P338" s="1">
        <f>IF(AND(O338="",ISNUMBER(B338)),INT(B338),0)</f>
        <v/>
      </c>
      <c r="Q338">
        <f>IF(AND(P338&gt;0,C338=Report!$C$5),P338*10000+ROW(),"")</f>
        <v/>
      </c>
      <c r="R338">
        <f>IF(AND(Q338&lt;&gt;"",ISNUMBER(D338)),Q338,"")</f>
        <v/>
      </c>
      <c r="S338">
        <f>IF(AND(Q338&lt;&gt;"",ISNUMBER(E338)),Q338,"")</f>
        <v/>
      </c>
      <c r="T338">
        <f>IF(AND(Q338&lt;&gt;"",ISNUMBER(F338)),Q338,"")</f>
        <v/>
      </c>
      <c r="U338">
        <f>IF(AND(Q338&lt;&gt;"",ISNUMBER(G338)),Q338,"")</f>
        <v/>
      </c>
      <c r="V338">
        <f>IF(AND(Q338&lt;&gt;"",ISNUMBER(H338)),Q338,"")</f>
        <v/>
      </c>
      <c r="W338">
        <f>IF(AND(Q338&lt;&gt;"",ISNUMBER(I338)),Q338,"")</f>
        <v/>
      </c>
      <c r="X338">
        <f>IF(AND(Q338&lt;&gt;"",ISNUMBER(J338)),Q338,"")</f>
        <v/>
      </c>
      <c r="Y338">
        <f>IF(AND(Q338&lt;&gt;"",ISNUMBER(K338)),Q338,"")</f>
        <v/>
      </c>
      <c r="Z338">
        <f>IF(AND(Q338&lt;&gt;"",ISNUMBER(L338)),Q338,"")</f>
        <v/>
      </c>
      <c r="AA338">
        <f>IF(AND(Q338&lt;&gt;"",ISNUMBER(M338)),Q338,"")</f>
        <v/>
      </c>
      <c r="AB338">
        <f>IF(AND(Q338&lt;&gt;"",ISNUMBER(K338)),K338,"")</f>
        <v/>
      </c>
      <c r="AC338">
        <f>IF(AND(Q338&lt;&gt;"",ISNUMBER(L338)),L338,"")</f>
        <v/>
      </c>
      <c r="AD338">
        <f>IF(AND(Q338&lt;&gt;"",ISNUMBER(M338)),M338,"")</f>
        <v/>
      </c>
    </row>
    <row r="339">
      <c r="A339" s="1" t="n"/>
      <c r="B339" s="17" t="n"/>
      <c r="C339" s="27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9" t="n"/>
      <c r="N339" s="21" t="n"/>
      <c r="O339" s="12">
        <f>IF(AND(B339="",C339=""),"",IF(NOT(ISNUMBER(B339)),"Needs a date",IF(C339="","Needs a client",IF(COUNTIF(Clients!$B$6:$B$105,C339)=0,"Not on Clients",IF(COUNT(D339:M339)=0,"Nothing measured","")))))</f>
        <v/>
      </c>
      <c r="P339" s="1">
        <f>IF(AND(O339="",ISNUMBER(B339)),INT(B339),0)</f>
        <v/>
      </c>
      <c r="Q339">
        <f>IF(AND(P339&gt;0,C339=Report!$C$5),P339*10000+ROW(),"")</f>
        <v/>
      </c>
      <c r="R339">
        <f>IF(AND(Q339&lt;&gt;"",ISNUMBER(D339)),Q339,"")</f>
        <v/>
      </c>
      <c r="S339">
        <f>IF(AND(Q339&lt;&gt;"",ISNUMBER(E339)),Q339,"")</f>
        <v/>
      </c>
      <c r="T339">
        <f>IF(AND(Q339&lt;&gt;"",ISNUMBER(F339)),Q339,"")</f>
        <v/>
      </c>
      <c r="U339">
        <f>IF(AND(Q339&lt;&gt;"",ISNUMBER(G339)),Q339,"")</f>
        <v/>
      </c>
      <c r="V339">
        <f>IF(AND(Q339&lt;&gt;"",ISNUMBER(H339)),Q339,"")</f>
        <v/>
      </c>
      <c r="W339">
        <f>IF(AND(Q339&lt;&gt;"",ISNUMBER(I339)),Q339,"")</f>
        <v/>
      </c>
      <c r="X339">
        <f>IF(AND(Q339&lt;&gt;"",ISNUMBER(J339)),Q339,"")</f>
        <v/>
      </c>
      <c r="Y339">
        <f>IF(AND(Q339&lt;&gt;"",ISNUMBER(K339)),Q339,"")</f>
        <v/>
      </c>
      <c r="Z339">
        <f>IF(AND(Q339&lt;&gt;"",ISNUMBER(L339)),Q339,"")</f>
        <v/>
      </c>
      <c r="AA339">
        <f>IF(AND(Q339&lt;&gt;"",ISNUMBER(M339)),Q339,"")</f>
        <v/>
      </c>
      <c r="AB339">
        <f>IF(AND(Q339&lt;&gt;"",ISNUMBER(K339)),K339,"")</f>
        <v/>
      </c>
      <c r="AC339">
        <f>IF(AND(Q339&lt;&gt;"",ISNUMBER(L339)),L339,"")</f>
        <v/>
      </c>
      <c r="AD339">
        <f>IF(AND(Q339&lt;&gt;"",ISNUMBER(M339)),M339,"")</f>
        <v/>
      </c>
    </row>
    <row r="340">
      <c r="A340" s="1" t="n"/>
      <c r="B340" s="17" t="n"/>
      <c r="C340" s="27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9" t="n"/>
      <c r="N340" s="21" t="n"/>
      <c r="O340" s="12">
        <f>IF(AND(B340="",C340=""),"",IF(NOT(ISNUMBER(B340)),"Needs a date",IF(C340="","Needs a client",IF(COUNTIF(Clients!$B$6:$B$105,C340)=0,"Not on Clients",IF(COUNT(D340:M340)=0,"Nothing measured","")))))</f>
        <v/>
      </c>
      <c r="P340" s="1">
        <f>IF(AND(O340="",ISNUMBER(B340)),INT(B340),0)</f>
        <v/>
      </c>
      <c r="Q340">
        <f>IF(AND(P340&gt;0,C340=Report!$C$5),P340*10000+ROW(),"")</f>
        <v/>
      </c>
      <c r="R340">
        <f>IF(AND(Q340&lt;&gt;"",ISNUMBER(D340)),Q340,"")</f>
        <v/>
      </c>
      <c r="S340">
        <f>IF(AND(Q340&lt;&gt;"",ISNUMBER(E340)),Q340,"")</f>
        <v/>
      </c>
      <c r="T340">
        <f>IF(AND(Q340&lt;&gt;"",ISNUMBER(F340)),Q340,"")</f>
        <v/>
      </c>
      <c r="U340">
        <f>IF(AND(Q340&lt;&gt;"",ISNUMBER(G340)),Q340,"")</f>
        <v/>
      </c>
      <c r="V340">
        <f>IF(AND(Q340&lt;&gt;"",ISNUMBER(H340)),Q340,"")</f>
        <v/>
      </c>
      <c r="W340">
        <f>IF(AND(Q340&lt;&gt;"",ISNUMBER(I340)),Q340,"")</f>
        <v/>
      </c>
      <c r="X340">
        <f>IF(AND(Q340&lt;&gt;"",ISNUMBER(J340)),Q340,"")</f>
        <v/>
      </c>
      <c r="Y340">
        <f>IF(AND(Q340&lt;&gt;"",ISNUMBER(K340)),Q340,"")</f>
        <v/>
      </c>
      <c r="Z340">
        <f>IF(AND(Q340&lt;&gt;"",ISNUMBER(L340)),Q340,"")</f>
        <v/>
      </c>
      <c r="AA340">
        <f>IF(AND(Q340&lt;&gt;"",ISNUMBER(M340)),Q340,"")</f>
        <v/>
      </c>
      <c r="AB340">
        <f>IF(AND(Q340&lt;&gt;"",ISNUMBER(K340)),K340,"")</f>
        <v/>
      </c>
      <c r="AC340">
        <f>IF(AND(Q340&lt;&gt;"",ISNUMBER(L340)),L340,"")</f>
        <v/>
      </c>
      <c r="AD340">
        <f>IF(AND(Q340&lt;&gt;"",ISNUMBER(M340)),M340,"")</f>
        <v/>
      </c>
    </row>
    <row r="341">
      <c r="A341" s="1" t="n"/>
      <c r="B341" s="17" t="n"/>
      <c r="C341" s="27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9" t="n"/>
      <c r="N341" s="21" t="n"/>
      <c r="O341" s="12">
        <f>IF(AND(B341="",C341=""),"",IF(NOT(ISNUMBER(B341)),"Needs a date",IF(C341="","Needs a client",IF(COUNTIF(Clients!$B$6:$B$105,C341)=0,"Not on Clients",IF(COUNT(D341:M341)=0,"Nothing measured","")))))</f>
        <v/>
      </c>
      <c r="P341" s="1">
        <f>IF(AND(O341="",ISNUMBER(B341)),INT(B341),0)</f>
        <v/>
      </c>
      <c r="Q341">
        <f>IF(AND(P341&gt;0,C341=Report!$C$5),P341*10000+ROW(),"")</f>
        <v/>
      </c>
      <c r="R341">
        <f>IF(AND(Q341&lt;&gt;"",ISNUMBER(D341)),Q341,"")</f>
        <v/>
      </c>
      <c r="S341">
        <f>IF(AND(Q341&lt;&gt;"",ISNUMBER(E341)),Q341,"")</f>
        <v/>
      </c>
      <c r="T341">
        <f>IF(AND(Q341&lt;&gt;"",ISNUMBER(F341)),Q341,"")</f>
        <v/>
      </c>
      <c r="U341">
        <f>IF(AND(Q341&lt;&gt;"",ISNUMBER(G341)),Q341,"")</f>
        <v/>
      </c>
      <c r="V341">
        <f>IF(AND(Q341&lt;&gt;"",ISNUMBER(H341)),Q341,"")</f>
        <v/>
      </c>
      <c r="W341">
        <f>IF(AND(Q341&lt;&gt;"",ISNUMBER(I341)),Q341,"")</f>
        <v/>
      </c>
      <c r="X341">
        <f>IF(AND(Q341&lt;&gt;"",ISNUMBER(J341)),Q341,"")</f>
        <v/>
      </c>
      <c r="Y341">
        <f>IF(AND(Q341&lt;&gt;"",ISNUMBER(K341)),Q341,"")</f>
        <v/>
      </c>
      <c r="Z341">
        <f>IF(AND(Q341&lt;&gt;"",ISNUMBER(L341)),Q341,"")</f>
        <v/>
      </c>
      <c r="AA341">
        <f>IF(AND(Q341&lt;&gt;"",ISNUMBER(M341)),Q341,"")</f>
        <v/>
      </c>
      <c r="AB341">
        <f>IF(AND(Q341&lt;&gt;"",ISNUMBER(K341)),K341,"")</f>
        <v/>
      </c>
      <c r="AC341">
        <f>IF(AND(Q341&lt;&gt;"",ISNUMBER(L341)),L341,"")</f>
        <v/>
      </c>
      <c r="AD341">
        <f>IF(AND(Q341&lt;&gt;"",ISNUMBER(M341)),M341,"")</f>
        <v/>
      </c>
    </row>
    <row r="342">
      <c r="A342" s="1" t="n"/>
      <c r="B342" s="17" t="n"/>
      <c r="C342" s="27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9" t="n"/>
      <c r="N342" s="21" t="n"/>
      <c r="O342" s="12">
        <f>IF(AND(B342="",C342=""),"",IF(NOT(ISNUMBER(B342)),"Needs a date",IF(C342="","Needs a client",IF(COUNTIF(Clients!$B$6:$B$105,C342)=0,"Not on Clients",IF(COUNT(D342:M342)=0,"Nothing measured","")))))</f>
        <v/>
      </c>
      <c r="P342" s="1">
        <f>IF(AND(O342="",ISNUMBER(B342)),INT(B342),0)</f>
        <v/>
      </c>
      <c r="Q342">
        <f>IF(AND(P342&gt;0,C342=Report!$C$5),P342*10000+ROW(),"")</f>
        <v/>
      </c>
      <c r="R342">
        <f>IF(AND(Q342&lt;&gt;"",ISNUMBER(D342)),Q342,"")</f>
        <v/>
      </c>
      <c r="S342">
        <f>IF(AND(Q342&lt;&gt;"",ISNUMBER(E342)),Q342,"")</f>
        <v/>
      </c>
      <c r="T342">
        <f>IF(AND(Q342&lt;&gt;"",ISNUMBER(F342)),Q342,"")</f>
        <v/>
      </c>
      <c r="U342">
        <f>IF(AND(Q342&lt;&gt;"",ISNUMBER(G342)),Q342,"")</f>
        <v/>
      </c>
      <c r="V342">
        <f>IF(AND(Q342&lt;&gt;"",ISNUMBER(H342)),Q342,"")</f>
        <v/>
      </c>
      <c r="W342">
        <f>IF(AND(Q342&lt;&gt;"",ISNUMBER(I342)),Q342,"")</f>
        <v/>
      </c>
      <c r="X342">
        <f>IF(AND(Q342&lt;&gt;"",ISNUMBER(J342)),Q342,"")</f>
        <v/>
      </c>
      <c r="Y342">
        <f>IF(AND(Q342&lt;&gt;"",ISNUMBER(K342)),Q342,"")</f>
        <v/>
      </c>
      <c r="Z342">
        <f>IF(AND(Q342&lt;&gt;"",ISNUMBER(L342)),Q342,"")</f>
        <v/>
      </c>
      <c r="AA342">
        <f>IF(AND(Q342&lt;&gt;"",ISNUMBER(M342)),Q342,"")</f>
        <v/>
      </c>
      <c r="AB342">
        <f>IF(AND(Q342&lt;&gt;"",ISNUMBER(K342)),K342,"")</f>
        <v/>
      </c>
      <c r="AC342">
        <f>IF(AND(Q342&lt;&gt;"",ISNUMBER(L342)),L342,"")</f>
        <v/>
      </c>
      <c r="AD342">
        <f>IF(AND(Q342&lt;&gt;"",ISNUMBER(M342)),M342,"")</f>
        <v/>
      </c>
    </row>
    <row r="343">
      <c r="A343" s="1" t="n"/>
      <c r="B343" s="17" t="n"/>
      <c r="C343" s="27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9" t="n"/>
      <c r="N343" s="21" t="n"/>
      <c r="O343" s="12">
        <f>IF(AND(B343="",C343=""),"",IF(NOT(ISNUMBER(B343)),"Needs a date",IF(C343="","Needs a client",IF(COUNTIF(Clients!$B$6:$B$105,C343)=0,"Not on Clients",IF(COUNT(D343:M343)=0,"Nothing measured","")))))</f>
        <v/>
      </c>
      <c r="P343" s="1">
        <f>IF(AND(O343="",ISNUMBER(B343)),INT(B343),0)</f>
        <v/>
      </c>
      <c r="Q343">
        <f>IF(AND(P343&gt;0,C343=Report!$C$5),P343*10000+ROW(),"")</f>
        <v/>
      </c>
      <c r="R343">
        <f>IF(AND(Q343&lt;&gt;"",ISNUMBER(D343)),Q343,"")</f>
        <v/>
      </c>
      <c r="S343">
        <f>IF(AND(Q343&lt;&gt;"",ISNUMBER(E343)),Q343,"")</f>
        <v/>
      </c>
      <c r="T343">
        <f>IF(AND(Q343&lt;&gt;"",ISNUMBER(F343)),Q343,"")</f>
        <v/>
      </c>
      <c r="U343">
        <f>IF(AND(Q343&lt;&gt;"",ISNUMBER(G343)),Q343,"")</f>
        <v/>
      </c>
      <c r="V343">
        <f>IF(AND(Q343&lt;&gt;"",ISNUMBER(H343)),Q343,"")</f>
        <v/>
      </c>
      <c r="W343">
        <f>IF(AND(Q343&lt;&gt;"",ISNUMBER(I343)),Q343,"")</f>
        <v/>
      </c>
      <c r="X343">
        <f>IF(AND(Q343&lt;&gt;"",ISNUMBER(J343)),Q343,"")</f>
        <v/>
      </c>
      <c r="Y343">
        <f>IF(AND(Q343&lt;&gt;"",ISNUMBER(K343)),Q343,"")</f>
        <v/>
      </c>
      <c r="Z343">
        <f>IF(AND(Q343&lt;&gt;"",ISNUMBER(L343)),Q343,"")</f>
        <v/>
      </c>
      <c r="AA343">
        <f>IF(AND(Q343&lt;&gt;"",ISNUMBER(M343)),Q343,"")</f>
        <v/>
      </c>
      <c r="AB343">
        <f>IF(AND(Q343&lt;&gt;"",ISNUMBER(K343)),K343,"")</f>
        <v/>
      </c>
      <c r="AC343">
        <f>IF(AND(Q343&lt;&gt;"",ISNUMBER(L343)),L343,"")</f>
        <v/>
      </c>
      <c r="AD343">
        <f>IF(AND(Q343&lt;&gt;"",ISNUMBER(M343)),M343,"")</f>
        <v/>
      </c>
    </row>
    <row r="344">
      <c r="A344" s="1" t="n"/>
      <c r="B344" s="17" t="n"/>
      <c r="C344" s="27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9" t="n"/>
      <c r="N344" s="21" t="n"/>
      <c r="O344" s="12">
        <f>IF(AND(B344="",C344=""),"",IF(NOT(ISNUMBER(B344)),"Needs a date",IF(C344="","Needs a client",IF(COUNTIF(Clients!$B$6:$B$105,C344)=0,"Not on Clients",IF(COUNT(D344:M344)=0,"Nothing measured","")))))</f>
        <v/>
      </c>
      <c r="P344" s="1">
        <f>IF(AND(O344="",ISNUMBER(B344)),INT(B344),0)</f>
        <v/>
      </c>
      <c r="Q344">
        <f>IF(AND(P344&gt;0,C344=Report!$C$5),P344*10000+ROW(),"")</f>
        <v/>
      </c>
      <c r="R344">
        <f>IF(AND(Q344&lt;&gt;"",ISNUMBER(D344)),Q344,"")</f>
        <v/>
      </c>
      <c r="S344">
        <f>IF(AND(Q344&lt;&gt;"",ISNUMBER(E344)),Q344,"")</f>
        <v/>
      </c>
      <c r="T344">
        <f>IF(AND(Q344&lt;&gt;"",ISNUMBER(F344)),Q344,"")</f>
        <v/>
      </c>
      <c r="U344">
        <f>IF(AND(Q344&lt;&gt;"",ISNUMBER(G344)),Q344,"")</f>
        <v/>
      </c>
      <c r="V344">
        <f>IF(AND(Q344&lt;&gt;"",ISNUMBER(H344)),Q344,"")</f>
        <v/>
      </c>
      <c r="W344">
        <f>IF(AND(Q344&lt;&gt;"",ISNUMBER(I344)),Q344,"")</f>
        <v/>
      </c>
      <c r="X344">
        <f>IF(AND(Q344&lt;&gt;"",ISNUMBER(J344)),Q344,"")</f>
        <v/>
      </c>
      <c r="Y344">
        <f>IF(AND(Q344&lt;&gt;"",ISNUMBER(K344)),Q344,"")</f>
        <v/>
      </c>
      <c r="Z344">
        <f>IF(AND(Q344&lt;&gt;"",ISNUMBER(L344)),Q344,"")</f>
        <v/>
      </c>
      <c r="AA344">
        <f>IF(AND(Q344&lt;&gt;"",ISNUMBER(M344)),Q344,"")</f>
        <v/>
      </c>
      <c r="AB344">
        <f>IF(AND(Q344&lt;&gt;"",ISNUMBER(K344)),K344,"")</f>
        <v/>
      </c>
      <c r="AC344">
        <f>IF(AND(Q344&lt;&gt;"",ISNUMBER(L344)),L344,"")</f>
        <v/>
      </c>
      <c r="AD344">
        <f>IF(AND(Q344&lt;&gt;"",ISNUMBER(M344)),M344,"")</f>
        <v/>
      </c>
    </row>
    <row r="345">
      <c r="A345" s="1" t="n"/>
      <c r="B345" s="17" t="n"/>
      <c r="C345" s="27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9" t="n"/>
      <c r="N345" s="21" t="n"/>
      <c r="O345" s="12">
        <f>IF(AND(B345="",C345=""),"",IF(NOT(ISNUMBER(B345)),"Needs a date",IF(C345="","Needs a client",IF(COUNTIF(Clients!$B$6:$B$105,C345)=0,"Not on Clients",IF(COUNT(D345:M345)=0,"Nothing measured","")))))</f>
        <v/>
      </c>
      <c r="P345" s="1">
        <f>IF(AND(O345="",ISNUMBER(B345)),INT(B345),0)</f>
        <v/>
      </c>
      <c r="Q345">
        <f>IF(AND(P345&gt;0,C345=Report!$C$5),P345*10000+ROW(),"")</f>
        <v/>
      </c>
      <c r="R345">
        <f>IF(AND(Q345&lt;&gt;"",ISNUMBER(D345)),Q345,"")</f>
        <v/>
      </c>
      <c r="S345">
        <f>IF(AND(Q345&lt;&gt;"",ISNUMBER(E345)),Q345,"")</f>
        <v/>
      </c>
      <c r="T345">
        <f>IF(AND(Q345&lt;&gt;"",ISNUMBER(F345)),Q345,"")</f>
        <v/>
      </c>
      <c r="U345">
        <f>IF(AND(Q345&lt;&gt;"",ISNUMBER(G345)),Q345,"")</f>
        <v/>
      </c>
      <c r="V345">
        <f>IF(AND(Q345&lt;&gt;"",ISNUMBER(H345)),Q345,"")</f>
        <v/>
      </c>
      <c r="W345">
        <f>IF(AND(Q345&lt;&gt;"",ISNUMBER(I345)),Q345,"")</f>
        <v/>
      </c>
      <c r="X345">
        <f>IF(AND(Q345&lt;&gt;"",ISNUMBER(J345)),Q345,"")</f>
        <v/>
      </c>
      <c r="Y345">
        <f>IF(AND(Q345&lt;&gt;"",ISNUMBER(K345)),Q345,"")</f>
        <v/>
      </c>
      <c r="Z345">
        <f>IF(AND(Q345&lt;&gt;"",ISNUMBER(L345)),Q345,"")</f>
        <v/>
      </c>
      <c r="AA345">
        <f>IF(AND(Q345&lt;&gt;"",ISNUMBER(M345)),Q345,"")</f>
        <v/>
      </c>
      <c r="AB345">
        <f>IF(AND(Q345&lt;&gt;"",ISNUMBER(K345)),K345,"")</f>
        <v/>
      </c>
      <c r="AC345">
        <f>IF(AND(Q345&lt;&gt;"",ISNUMBER(L345)),L345,"")</f>
        <v/>
      </c>
      <c r="AD345">
        <f>IF(AND(Q345&lt;&gt;"",ISNUMBER(M345)),M345,"")</f>
        <v/>
      </c>
    </row>
    <row r="346">
      <c r="A346" s="1" t="n"/>
      <c r="B346" s="17" t="n"/>
      <c r="C346" s="27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9" t="n"/>
      <c r="N346" s="21" t="n"/>
      <c r="O346" s="12">
        <f>IF(AND(B346="",C346=""),"",IF(NOT(ISNUMBER(B346)),"Needs a date",IF(C346="","Needs a client",IF(COUNTIF(Clients!$B$6:$B$105,C346)=0,"Not on Clients",IF(COUNT(D346:M346)=0,"Nothing measured","")))))</f>
        <v/>
      </c>
      <c r="P346" s="1">
        <f>IF(AND(O346="",ISNUMBER(B346)),INT(B346),0)</f>
        <v/>
      </c>
      <c r="Q346">
        <f>IF(AND(P346&gt;0,C346=Report!$C$5),P346*10000+ROW(),"")</f>
        <v/>
      </c>
      <c r="R346">
        <f>IF(AND(Q346&lt;&gt;"",ISNUMBER(D346)),Q346,"")</f>
        <v/>
      </c>
      <c r="S346">
        <f>IF(AND(Q346&lt;&gt;"",ISNUMBER(E346)),Q346,"")</f>
        <v/>
      </c>
      <c r="T346">
        <f>IF(AND(Q346&lt;&gt;"",ISNUMBER(F346)),Q346,"")</f>
        <v/>
      </c>
      <c r="U346">
        <f>IF(AND(Q346&lt;&gt;"",ISNUMBER(G346)),Q346,"")</f>
        <v/>
      </c>
      <c r="V346">
        <f>IF(AND(Q346&lt;&gt;"",ISNUMBER(H346)),Q346,"")</f>
        <v/>
      </c>
      <c r="W346">
        <f>IF(AND(Q346&lt;&gt;"",ISNUMBER(I346)),Q346,"")</f>
        <v/>
      </c>
      <c r="X346">
        <f>IF(AND(Q346&lt;&gt;"",ISNUMBER(J346)),Q346,"")</f>
        <v/>
      </c>
      <c r="Y346">
        <f>IF(AND(Q346&lt;&gt;"",ISNUMBER(K346)),Q346,"")</f>
        <v/>
      </c>
      <c r="Z346">
        <f>IF(AND(Q346&lt;&gt;"",ISNUMBER(L346)),Q346,"")</f>
        <v/>
      </c>
      <c r="AA346">
        <f>IF(AND(Q346&lt;&gt;"",ISNUMBER(M346)),Q346,"")</f>
        <v/>
      </c>
      <c r="AB346">
        <f>IF(AND(Q346&lt;&gt;"",ISNUMBER(K346)),K346,"")</f>
        <v/>
      </c>
      <c r="AC346">
        <f>IF(AND(Q346&lt;&gt;"",ISNUMBER(L346)),L346,"")</f>
        <v/>
      </c>
      <c r="AD346">
        <f>IF(AND(Q346&lt;&gt;"",ISNUMBER(M346)),M346,"")</f>
        <v/>
      </c>
    </row>
    <row r="347">
      <c r="A347" s="1" t="n"/>
      <c r="B347" s="17" t="n"/>
      <c r="C347" s="27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9" t="n"/>
      <c r="N347" s="21" t="n"/>
      <c r="O347" s="12">
        <f>IF(AND(B347="",C347=""),"",IF(NOT(ISNUMBER(B347)),"Needs a date",IF(C347="","Needs a client",IF(COUNTIF(Clients!$B$6:$B$105,C347)=0,"Not on Clients",IF(COUNT(D347:M347)=0,"Nothing measured","")))))</f>
        <v/>
      </c>
      <c r="P347" s="1">
        <f>IF(AND(O347="",ISNUMBER(B347)),INT(B347),0)</f>
        <v/>
      </c>
      <c r="Q347">
        <f>IF(AND(P347&gt;0,C347=Report!$C$5),P347*10000+ROW(),"")</f>
        <v/>
      </c>
      <c r="R347">
        <f>IF(AND(Q347&lt;&gt;"",ISNUMBER(D347)),Q347,"")</f>
        <v/>
      </c>
      <c r="S347">
        <f>IF(AND(Q347&lt;&gt;"",ISNUMBER(E347)),Q347,"")</f>
        <v/>
      </c>
      <c r="T347">
        <f>IF(AND(Q347&lt;&gt;"",ISNUMBER(F347)),Q347,"")</f>
        <v/>
      </c>
      <c r="U347">
        <f>IF(AND(Q347&lt;&gt;"",ISNUMBER(G347)),Q347,"")</f>
        <v/>
      </c>
      <c r="V347">
        <f>IF(AND(Q347&lt;&gt;"",ISNUMBER(H347)),Q347,"")</f>
        <v/>
      </c>
      <c r="W347">
        <f>IF(AND(Q347&lt;&gt;"",ISNUMBER(I347)),Q347,"")</f>
        <v/>
      </c>
      <c r="X347">
        <f>IF(AND(Q347&lt;&gt;"",ISNUMBER(J347)),Q347,"")</f>
        <v/>
      </c>
      <c r="Y347">
        <f>IF(AND(Q347&lt;&gt;"",ISNUMBER(K347)),Q347,"")</f>
        <v/>
      </c>
      <c r="Z347">
        <f>IF(AND(Q347&lt;&gt;"",ISNUMBER(L347)),Q347,"")</f>
        <v/>
      </c>
      <c r="AA347">
        <f>IF(AND(Q347&lt;&gt;"",ISNUMBER(M347)),Q347,"")</f>
        <v/>
      </c>
      <c r="AB347">
        <f>IF(AND(Q347&lt;&gt;"",ISNUMBER(K347)),K347,"")</f>
        <v/>
      </c>
      <c r="AC347">
        <f>IF(AND(Q347&lt;&gt;"",ISNUMBER(L347)),L347,"")</f>
        <v/>
      </c>
      <c r="AD347">
        <f>IF(AND(Q347&lt;&gt;"",ISNUMBER(M347)),M347,"")</f>
        <v/>
      </c>
    </row>
    <row r="348">
      <c r="A348" s="1" t="n"/>
      <c r="B348" s="17" t="n"/>
      <c r="C348" s="27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9" t="n"/>
      <c r="N348" s="21" t="n"/>
      <c r="O348" s="12">
        <f>IF(AND(B348="",C348=""),"",IF(NOT(ISNUMBER(B348)),"Needs a date",IF(C348="","Needs a client",IF(COUNTIF(Clients!$B$6:$B$105,C348)=0,"Not on Clients",IF(COUNT(D348:M348)=0,"Nothing measured","")))))</f>
        <v/>
      </c>
      <c r="P348" s="1">
        <f>IF(AND(O348="",ISNUMBER(B348)),INT(B348),0)</f>
        <v/>
      </c>
      <c r="Q348">
        <f>IF(AND(P348&gt;0,C348=Report!$C$5),P348*10000+ROW(),"")</f>
        <v/>
      </c>
      <c r="R348">
        <f>IF(AND(Q348&lt;&gt;"",ISNUMBER(D348)),Q348,"")</f>
        <v/>
      </c>
      <c r="S348">
        <f>IF(AND(Q348&lt;&gt;"",ISNUMBER(E348)),Q348,"")</f>
        <v/>
      </c>
      <c r="T348">
        <f>IF(AND(Q348&lt;&gt;"",ISNUMBER(F348)),Q348,"")</f>
        <v/>
      </c>
      <c r="U348">
        <f>IF(AND(Q348&lt;&gt;"",ISNUMBER(G348)),Q348,"")</f>
        <v/>
      </c>
      <c r="V348">
        <f>IF(AND(Q348&lt;&gt;"",ISNUMBER(H348)),Q348,"")</f>
        <v/>
      </c>
      <c r="W348">
        <f>IF(AND(Q348&lt;&gt;"",ISNUMBER(I348)),Q348,"")</f>
        <v/>
      </c>
      <c r="X348">
        <f>IF(AND(Q348&lt;&gt;"",ISNUMBER(J348)),Q348,"")</f>
        <v/>
      </c>
      <c r="Y348">
        <f>IF(AND(Q348&lt;&gt;"",ISNUMBER(K348)),Q348,"")</f>
        <v/>
      </c>
      <c r="Z348">
        <f>IF(AND(Q348&lt;&gt;"",ISNUMBER(L348)),Q348,"")</f>
        <v/>
      </c>
      <c r="AA348">
        <f>IF(AND(Q348&lt;&gt;"",ISNUMBER(M348)),Q348,"")</f>
        <v/>
      </c>
      <c r="AB348">
        <f>IF(AND(Q348&lt;&gt;"",ISNUMBER(K348)),K348,"")</f>
        <v/>
      </c>
      <c r="AC348">
        <f>IF(AND(Q348&lt;&gt;"",ISNUMBER(L348)),L348,"")</f>
        <v/>
      </c>
      <c r="AD348">
        <f>IF(AND(Q348&lt;&gt;"",ISNUMBER(M348)),M348,"")</f>
        <v/>
      </c>
    </row>
    <row r="349">
      <c r="A349" s="1" t="n"/>
      <c r="B349" s="17" t="n"/>
      <c r="C349" s="27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9" t="n"/>
      <c r="N349" s="21" t="n"/>
      <c r="O349" s="12">
        <f>IF(AND(B349="",C349=""),"",IF(NOT(ISNUMBER(B349)),"Needs a date",IF(C349="","Needs a client",IF(COUNTIF(Clients!$B$6:$B$105,C349)=0,"Not on Clients",IF(COUNT(D349:M349)=0,"Nothing measured","")))))</f>
        <v/>
      </c>
      <c r="P349" s="1">
        <f>IF(AND(O349="",ISNUMBER(B349)),INT(B349),0)</f>
        <v/>
      </c>
      <c r="Q349">
        <f>IF(AND(P349&gt;0,C349=Report!$C$5),P349*10000+ROW(),"")</f>
        <v/>
      </c>
      <c r="R349">
        <f>IF(AND(Q349&lt;&gt;"",ISNUMBER(D349)),Q349,"")</f>
        <v/>
      </c>
      <c r="S349">
        <f>IF(AND(Q349&lt;&gt;"",ISNUMBER(E349)),Q349,"")</f>
        <v/>
      </c>
      <c r="T349">
        <f>IF(AND(Q349&lt;&gt;"",ISNUMBER(F349)),Q349,"")</f>
        <v/>
      </c>
      <c r="U349">
        <f>IF(AND(Q349&lt;&gt;"",ISNUMBER(G349)),Q349,"")</f>
        <v/>
      </c>
      <c r="V349">
        <f>IF(AND(Q349&lt;&gt;"",ISNUMBER(H349)),Q349,"")</f>
        <v/>
      </c>
      <c r="W349">
        <f>IF(AND(Q349&lt;&gt;"",ISNUMBER(I349)),Q349,"")</f>
        <v/>
      </c>
      <c r="X349">
        <f>IF(AND(Q349&lt;&gt;"",ISNUMBER(J349)),Q349,"")</f>
        <v/>
      </c>
      <c r="Y349">
        <f>IF(AND(Q349&lt;&gt;"",ISNUMBER(K349)),Q349,"")</f>
        <v/>
      </c>
      <c r="Z349">
        <f>IF(AND(Q349&lt;&gt;"",ISNUMBER(L349)),Q349,"")</f>
        <v/>
      </c>
      <c r="AA349">
        <f>IF(AND(Q349&lt;&gt;"",ISNUMBER(M349)),Q349,"")</f>
        <v/>
      </c>
      <c r="AB349">
        <f>IF(AND(Q349&lt;&gt;"",ISNUMBER(K349)),K349,"")</f>
        <v/>
      </c>
      <c r="AC349">
        <f>IF(AND(Q349&lt;&gt;"",ISNUMBER(L349)),L349,"")</f>
        <v/>
      </c>
      <c r="AD349">
        <f>IF(AND(Q349&lt;&gt;"",ISNUMBER(M349)),M349,"")</f>
        <v/>
      </c>
    </row>
    <row r="350">
      <c r="A350" s="1" t="n"/>
      <c r="B350" s="17" t="n"/>
      <c r="C350" s="27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9" t="n"/>
      <c r="N350" s="21" t="n"/>
      <c r="O350" s="12">
        <f>IF(AND(B350="",C350=""),"",IF(NOT(ISNUMBER(B350)),"Needs a date",IF(C350="","Needs a client",IF(COUNTIF(Clients!$B$6:$B$105,C350)=0,"Not on Clients",IF(COUNT(D350:M350)=0,"Nothing measured","")))))</f>
        <v/>
      </c>
      <c r="P350" s="1">
        <f>IF(AND(O350="",ISNUMBER(B350)),INT(B350),0)</f>
        <v/>
      </c>
      <c r="Q350">
        <f>IF(AND(P350&gt;0,C350=Report!$C$5),P350*10000+ROW(),"")</f>
        <v/>
      </c>
      <c r="R350">
        <f>IF(AND(Q350&lt;&gt;"",ISNUMBER(D350)),Q350,"")</f>
        <v/>
      </c>
      <c r="S350">
        <f>IF(AND(Q350&lt;&gt;"",ISNUMBER(E350)),Q350,"")</f>
        <v/>
      </c>
      <c r="T350">
        <f>IF(AND(Q350&lt;&gt;"",ISNUMBER(F350)),Q350,"")</f>
        <v/>
      </c>
      <c r="U350">
        <f>IF(AND(Q350&lt;&gt;"",ISNUMBER(G350)),Q350,"")</f>
        <v/>
      </c>
      <c r="V350">
        <f>IF(AND(Q350&lt;&gt;"",ISNUMBER(H350)),Q350,"")</f>
        <v/>
      </c>
      <c r="W350">
        <f>IF(AND(Q350&lt;&gt;"",ISNUMBER(I350)),Q350,"")</f>
        <v/>
      </c>
      <c r="X350">
        <f>IF(AND(Q350&lt;&gt;"",ISNUMBER(J350)),Q350,"")</f>
        <v/>
      </c>
      <c r="Y350">
        <f>IF(AND(Q350&lt;&gt;"",ISNUMBER(K350)),Q350,"")</f>
        <v/>
      </c>
      <c r="Z350">
        <f>IF(AND(Q350&lt;&gt;"",ISNUMBER(L350)),Q350,"")</f>
        <v/>
      </c>
      <c r="AA350">
        <f>IF(AND(Q350&lt;&gt;"",ISNUMBER(M350)),Q350,"")</f>
        <v/>
      </c>
      <c r="AB350">
        <f>IF(AND(Q350&lt;&gt;"",ISNUMBER(K350)),K350,"")</f>
        <v/>
      </c>
      <c r="AC350">
        <f>IF(AND(Q350&lt;&gt;"",ISNUMBER(L350)),L350,"")</f>
        <v/>
      </c>
      <c r="AD350">
        <f>IF(AND(Q350&lt;&gt;"",ISNUMBER(M350)),M350,"")</f>
        <v/>
      </c>
    </row>
    <row r="351">
      <c r="A351" s="1" t="n"/>
      <c r="B351" s="17" t="n"/>
      <c r="C351" s="27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9" t="n"/>
      <c r="N351" s="21" t="n"/>
      <c r="O351" s="12">
        <f>IF(AND(B351="",C351=""),"",IF(NOT(ISNUMBER(B351)),"Needs a date",IF(C351="","Needs a client",IF(COUNTIF(Clients!$B$6:$B$105,C351)=0,"Not on Clients",IF(COUNT(D351:M351)=0,"Nothing measured","")))))</f>
        <v/>
      </c>
      <c r="P351" s="1">
        <f>IF(AND(O351="",ISNUMBER(B351)),INT(B351),0)</f>
        <v/>
      </c>
      <c r="Q351">
        <f>IF(AND(P351&gt;0,C351=Report!$C$5),P351*10000+ROW(),"")</f>
        <v/>
      </c>
      <c r="R351">
        <f>IF(AND(Q351&lt;&gt;"",ISNUMBER(D351)),Q351,"")</f>
        <v/>
      </c>
      <c r="S351">
        <f>IF(AND(Q351&lt;&gt;"",ISNUMBER(E351)),Q351,"")</f>
        <v/>
      </c>
      <c r="T351">
        <f>IF(AND(Q351&lt;&gt;"",ISNUMBER(F351)),Q351,"")</f>
        <v/>
      </c>
      <c r="U351">
        <f>IF(AND(Q351&lt;&gt;"",ISNUMBER(G351)),Q351,"")</f>
        <v/>
      </c>
      <c r="V351">
        <f>IF(AND(Q351&lt;&gt;"",ISNUMBER(H351)),Q351,"")</f>
        <v/>
      </c>
      <c r="W351">
        <f>IF(AND(Q351&lt;&gt;"",ISNUMBER(I351)),Q351,"")</f>
        <v/>
      </c>
      <c r="X351">
        <f>IF(AND(Q351&lt;&gt;"",ISNUMBER(J351)),Q351,"")</f>
        <v/>
      </c>
      <c r="Y351">
        <f>IF(AND(Q351&lt;&gt;"",ISNUMBER(K351)),Q351,"")</f>
        <v/>
      </c>
      <c r="Z351">
        <f>IF(AND(Q351&lt;&gt;"",ISNUMBER(L351)),Q351,"")</f>
        <v/>
      </c>
      <c r="AA351">
        <f>IF(AND(Q351&lt;&gt;"",ISNUMBER(M351)),Q351,"")</f>
        <v/>
      </c>
      <c r="AB351">
        <f>IF(AND(Q351&lt;&gt;"",ISNUMBER(K351)),K351,"")</f>
        <v/>
      </c>
      <c r="AC351">
        <f>IF(AND(Q351&lt;&gt;"",ISNUMBER(L351)),L351,"")</f>
        <v/>
      </c>
      <c r="AD351">
        <f>IF(AND(Q351&lt;&gt;"",ISNUMBER(M351)),M351,"")</f>
        <v/>
      </c>
    </row>
    <row r="352">
      <c r="A352" s="1" t="n"/>
      <c r="B352" s="17" t="n"/>
      <c r="C352" s="27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9" t="n"/>
      <c r="N352" s="21" t="n"/>
      <c r="O352" s="12">
        <f>IF(AND(B352="",C352=""),"",IF(NOT(ISNUMBER(B352)),"Needs a date",IF(C352="","Needs a client",IF(COUNTIF(Clients!$B$6:$B$105,C352)=0,"Not on Clients",IF(COUNT(D352:M352)=0,"Nothing measured","")))))</f>
        <v/>
      </c>
      <c r="P352" s="1">
        <f>IF(AND(O352="",ISNUMBER(B352)),INT(B352),0)</f>
        <v/>
      </c>
      <c r="Q352">
        <f>IF(AND(P352&gt;0,C352=Report!$C$5),P352*10000+ROW(),"")</f>
        <v/>
      </c>
      <c r="R352">
        <f>IF(AND(Q352&lt;&gt;"",ISNUMBER(D352)),Q352,"")</f>
        <v/>
      </c>
      <c r="S352">
        <f>IF(AND(Q352&lt;&gt;"",ISNUMBER(E352)),Q352,"")</f>
        <v/>
      </c>
      <c r="T352">
        <f>IF(AND(Q352&lt;&gt;"",ISNUMBER(F352)),Q352,"")</f>
        <v/>
      </c>
      <c r="U352">
        <f>IF(AND(Q352&lt;&gt;"",ISNUMBER(G352)),Q352,"")</f>
        <v/>
      </c>
      <c r="V352">
        <f>IF(AND(Q352&lt;&gt;"",ISNUMBER(H352)),Q352,"")</f>
        <v/>
      </c>
      <c r="W352">
        <f>IF(AND(Q352&lt;&gt;"",ISNUMBER(I352)),Q352,"")</f>
        <v/>
      </c>
      <c r="X352">
        <f>IF(AND(Q352&lt;&gt;"",ISNUMBER(J352)),Q352,"")</f>
        <v/>
      </c>
      <c r="Y352">
        <f>IF(AND(Q352&lt;&gt;"",ISNUMBER(K352)),Q352,"")</f>
        <v/>
      </c>
      <c r="Z352">
        <f>IF(AND(Q352&lt;&gt;"",ISNUMBER(L352)),Q352,"")</f>
        <v/>
      </c>
      <c r="AA352">
        <f>IF(AND(Q352&lt;&gt;"",ISNUMBER(M352)),Q352,"")</f>
        <v/>
      </c>
      <c r="AB352">
        <f>IF(AND(Q352&lt;&gt;"",ISNUMBER(K352)),K352,"")</f>
        <v/>
      </c>
      <c r="AC352">
        <f>IF(AND(Q352&lt;&gt;"",ISNUMBER(L352)),L352,"")</f>
        <v/>
      </c>
      <c r="AD352">
        <f>IF(AND(Q352&lt;&gt;"",ISNUMBER(M352)),M352,"")</f>
        <v/>
      </c>
    </row>
    <row r="353">
      <c r="A353" s="1" t="n"/>
      <c r="B353" s="17" t="n"/>
      <c r="C353" s="27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9" t="n"/>
      <c r="N353" s="21" t="n"/>
      <c r="O353" s="12">
        <f>IF(AND(B353="",C353=""),"",IF(NOT(ISNUMBER(B353)),"Needs a date",IF(C353="","Needs a client",IF(COUNTIF(Clients!$B$6:$B$105,C353)=0,"Not on Clients",IF(COUNT(D353:M353)=0,"Nothing measured","")))))</f>
        <v/>
      </c>
      <c r="P353" s="1">
        <f>IF(AND(O353="",ISNUMBER(B353)),INT(B353),0)</f>
        <v/>
      </c>
      <c r="Q353">
        <f>IF(AND(P353&gt;0,C353=Report!$C$5),P353*10000+ROW(),"")</f>
        <v/>
      </c>
      <c r="R353">
        <f>IF(AND(Q353&lt;&gt;"",ISNUMBER(D353)),Q353,"")</f>
        <v/>
      </c>
      <c r="S353">
        <f>IF(AND(Q353&lt;&gt;"",ISNUMBER(E353)),Q353,"")</f>
        <v/>
      </c>
      <c r="T353">
        <f>IF(AND(Q353&lt;&gt;"",ISNUMBER(F353)),Q353,"")</f>
        <v/>
      </c>
      <c r="U353">
        <f>IF(AND(Q353&lt;&gt;"",ISNUMBER(G353)),Q353,"")</f>
        <v/>
      </c>
      <c r="V353">
        <f>IF(AND(Q353&lt;&gt;"",ISNUMBER(H353)),Q353,"")</f>
        <v/>
      </c>
      <c r="W353">
        <f>IF(AND(Q353&lt;&gt;"",ISNUMBER(I353)),Q353,"")</f>
        <v/>
      </c>
      <c r="X353">
        <f>IF(AND(Q353&lt;&gt;"",ISNUMBER(J353)),Q353,"")</f>
        <v/>
      </c>
      <c r="Y353">
        <f>IF(AND(Q353&lt;&gt;"",ISNUMBER(K353)),Q353,"")</f>
        <v/>
      </c>
      <c r="Z353">
        <f>IF(AND(Q353&lt;&gt;"",ISNUMBER(L353)),Q353,"")</f>
        <v/>
      </c>
      <c r="AA353">
        <f>IF(AND(Q353&lt;&gt;"",ISNUMBER(M353)),Q353,"")</f>
        <v/>
      </c>
      <c r="AB353">
        <f>IF(AND(Q353&lt;&gt;"",ISNUMBER(K353)),K353,"")</f>
        <v/>
      </c>
      <c r="AC353">
        <f>IF(AND(Q353&lt;&gt;"",ISNUMBER(L353)),L353,"")</f>
        <v/>
      </c>
      <c r="AD353">
        <f>IF(AND(Q353&lt;&gt;"",ISNUMBER(M353)),M353,"")</f>
        <v/>
      </c>
    </row>
    <row r="354">
      <c r="A354" s="1" t="n"/>
      <c r="B354" s="17" t="n"/>
      <c r="C354" s="27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9" t="n"/>
      <c r="N354" s="21" t="n"/>
      <c r="O354" s="12">
        <f>IF(AND(B354="",C354=""),"",IF(NOT(ISNUMBER(B354)),"Needs a date",IF(C354="","Needs a client",IF(COUNTIF(Clients!$B$6:$B$105,C354)=0,"Not on Clients",IF(COUNT(D354:M354)=0,"Nothing measured","")))))</f>
        <v/>
      </c>
      <c r="P354" s="1">
        <f>IF(AND(O354="",ISNUMBER(B354)),INT(B354),0)</f>
        <v/>
      </c>
      <c r="Q354">
        <f>IF(AND(P354&gt;0,C354=Report!$C$5),P354*10000+ROW(),"")</f>
        <v/>
      </c>
      <c r="R354">
        <f>IF(AND(Q354&lt;&gt;"",ISNUMBER(D354)),Q354,"")</f>
        <v/>
      </c>
      <c r="S354">
        <f>IF(AND(Q354&lt;&gt;"",ISNUMBER(E354)),Q354,"")</f>
        <v/>
      </c>
      <c r="T354">
        <f>IF(AND(Q354&lt;&gt;"",ISNUMBER(F354)),Q354,"")</f>
        <v/>
      </c>
      <c r="U354">
        <f>IF(AND(Q354&lt;&gt;"",ISNUMBER(G354)),Q354,"")</f>
        <v/>
      </c>
      <c r="V354">
        <f>IF(AND(Q354&lt;&gt;"",ISNUMBER(H354)),Q354,"")</f>
        <v/>
      </c>
      <c r="W354">
        <f>IF(AND(Q354&lt;&gt;"",ISNUMBER(I354)),Q354,"")</f>
        <v/>
      </c>
      <c r="X354">
        <f>IF(AND(Q354&lt;&gt;"",ISNUMBER(J354)),Q354,"")</f>
        <v/>
      </c>
      <c r="Y354">
        <f>IF(AND(Q354&lt;&gt;"",ISNUMBER(K354)),Q354,"")</f>
        <v/>
      </c>
      <c r="Z354">
        <f>IF(AND(Q354&lt;&gt;"",ISNUMBER(L354)),Q354,"")</f>
        <v/>
      </c>
      <c r="AA354">
        <f>IF(AND(Q354&lt;&gt;"",ISNUMBER(M354)),Q354,"")</f>
        <v/>
      </c>
      <c r="AB354">
        <f>IF(AND(Q354&lt;&gt;"",ISNUMBER(K354)),K354,"")</f>
        <v/>
      </c>
      <c r="AC354">
        <f>IF(AND(Q354&lt;&gt;"",ISNUMBER(L354)),L354,"")</f>
        <v/>
      </c>
      <c r="AD354">
        <f>IF(AND(Q354&lt;&gt;"",ISNUMBER(M354)),M354,"")</f>
        <v/>
      </c>
    </row>
    <row r="355">
      <c r="A355" s="1" t="n"/>
      <c r="B355" s="17" t="n"/>
      <c r="C355" s="27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9" t="n"/>
      <c r="N355" s="21" t="n"/>
      <c r="O355" s="12">
        <f>IF(AND(B355="",C355=""),"",IF(NOT(ISNUMBER(B355)),"Needs a date",IF(C355="","Needs a client",IF(COUNTIF(Clients!$B$6:$B$105,C355)=0,"Not on Clients",IF(COUNT(D355:M355)=0,"Nothing measured","")))))</f>
        <v/>
      </c>
      <c r="P355" s="1">
        <f>IF(AND(O355="",ISNUMBER(B355)),INT(B355),0)</f>
        <v/>
      </c>
      <c r="Q355">
        <f>IF(AND(P355&gt;0,C355=Report!$C$5),P355*10000+ROW(),"")</f>
        <v/>
      </c>
      <c r="R355">
        <f>IF(AND(Q355&lt;&gt;"",ISNUMBER(D355)),Q355,"")</f>
        <v/>
      </c>
      <c r="S355">
        <f>IF(AND(Q355&lt;&gt;"",ISNUMBER(E355)),Q355,"")</f>
        <v/>
      </c>
      <c r="T355">
        <f>IF(AND(Q355&lt;&gt;"",ISNUMBER(F355)),Q355,"")</f>
        <v/>
      </c>
      <c r="U355">
        <f>IF(AND(Q355&lt;&gt;"",ISNUMBER(G355)),Q355,"")</f>
        <v/>
      </c>
      <c r="V355">
        <f>IF(AND(Q355&lt;&gt;"",ISNUMBER(H355)),Q355,"")</f>
        <v/>
      </c>
      <c r="W355">
        <f>IF(AND(Q355&lt;&gt;"",ISNUMBER(I355)),Q355,"")</f>
        <v/>
      </c>
      <c r="X355">
        <f>IF(AND(Q355&lt;&gt;"",ISNUMBER(J355)),Q355,"")</f>
        <v/>
      </c>
      <c r="Y355">
        <f>IF(AND(Q355&lt;&gt;"",ISNUMBER(K355)),Q355,"")</f>
        <v/>
      </c>
      <c r="Z355">
        <f>IF(AND(Q355&lt;&gt;"",ISNUMBER(L355)),Q355,"")</f>
        <v/>
      </c>
      <c r="AA355">
        <f>IF(AND(Q355&lt;&gt;"",ISNUMBER(M355)),Q355,"")</f>
        <v/>
      </c>
      <c r="AB355">
        <f>IF(AND(Q355&lt;&gt;"",ISNUMBER(K355)),K355,"")</f>
        <v/>
      </c>
      <c r="AC355">
        <f>IF(AND(Q355&lt;&gt;"",ISNUMBER(L355)),L355,"")</f>
        <v/>
      </c>
      <c r="AD355">
        <f>IF(AND(Q355&lt;&gt;"",ISNUMBER(M355)),M355,"")</f>
        <v/>
      </c>
    </row>
    <row r="356">
      <c r="A356" s="1" t="n"/>
      <c r="B356" s="17" t="n"/>
      <c r="C356" s="27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9" t="n"/>
      <c r="N356" s="21" t="n"/>
      <c r="O356" s="12">
        <f>IF(AND(B356="",C356=""),"",IF(NOT(ISNUMBER(B356)),"Needs a date",IF(C356="","Needs a client",IF(COUNTIF(Clients!$B$6:$B$105,C356)=0,"Not on Clients",IF(COUNT(D356:M356)=0,"Nothing measured","")))))</f>
        <v/>
      </c>
      <c r="P356" s="1">
        <f>IF(AND(O356="",ISNUMBER(B356)),INT(B356),0)</f>
        <v/>
      </c>
      <c r="Q356">
        <f>IF(AND(P356&gt;0,C356=Report!$C$5),P356*10000+ROW(),"")</f>
        <v/>
      </c>
      <c r="R356">
        <f>IF(AND(Q356&lt;&gt;"",ISNUMBER(D356)),Q356,"")</f>
        <v/>
      </c>
      <c r="S356">
        <f>IF(AND(Q356&lt;&gt;"",ISNUMBER(E356)),Q356,"")</f>
        <v/>
      </c>
      <c r="T356">
        <f>IF(AND(Q356&lt;&gt;"",ISNUMBER(F356)),Q356,"")</f>
        <v/>
      </c>
      <c r="U356">
        <f>IF(AND(Q356&lt;&gt;"",ISNUMBER(G356)),Q356,"")</f>
        <v/>
      </c>
      <c r="V356">
        <f>IF(AND(Q356&lt;&gt;"",ISNUMBER(H356)),Q356,"")</f>
        <v/>
      </c>
      <c r="W356">
        <f>IF(AND(Q356&lt;&gt;"",ISNUMBER(I356)),Q356,"")</f>
        <v/>
      </c>
      <c r="X356">
        <f>IF(AND(Q356&lt;&gt;"",ISNUMBER(J356)),Q356,"")</f>
        <v/>
      </c>
      <c r="Y356">
        <f>IF(AND(Q356&lt;&gt;"",ISNUMBER(K356)),Q356,"")</f>
        <v/>
      </c>
      <c r="Z356">
        <f>IF(AND(Q356&lt;&gt;"",ISNUMBER(L356)),Q356,"")</f>
        <v/>
      </c>
      <c r="AA356">
        <f>IF(AND(Q356&lt;&gt;"",ISNUMBER(M356)),Q356,"")</f>
        <v/>
      </c>
      <c r="AB356">
        <f>IF(AND(Q356&lt;&gt;"",ISNUMBER(K356)),K356,"")</f>
        <v/>
      </c>
      <c r="AC356">
        <f>IF(AND(Q356&lt;&gt;"",ISNUMBER(L356)),L356,"")</f>
        <v/>
      </c>
      <c r="AD356">
        <f>IF(AND(Q356&lt;&gt;"",ISNUMBER(M356)),M356,"")</f>
        <v/>
      </c>
    </row>
    <row r="357">
      <c r="A357" s="1" t="n"/>
      <c r="B357" s="17" t="n"/>
      <c r="C357" s="27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9" t="n"/>
      <c r="N357" s="21" t="n"/>
      <c r="O357" s="12">
        <f>IF(AND(B357="",C357=""),"",IF(NOT(ISNUMBER(B357)),"Needs a date",IF(C357="","Needs a client",IF(COUNTIF(Clients!$B$6:$B$105,C357)=0,"Not on Clients",IF(COUNT(D357:M357)=0,"Nothing measured","")))))</f>
        <v/>
      </c>
      <c r="P357" s="1">
        <f>IF(AND(O357="",ISNUMBER(B357)),INT(B357),0)</f>
        <v/>
      </c>
      <c r="Q357">
        <f>IF(AND(P357&gt;0,C357=Report!$C$5),P357*10000+ROW(),"")</f>
        <v/>
      </c>
      <c r="R357">
        <f>IF(AND(Q357&lt;&gt;"",ISNUMBER(D357)),Q357,"")</f>
        <v/>
      </c>
      <c r="S357">
        <f>IF(AND(Q357&lt;&gt;"",ISNUMBER(E357)),Q357,"")</f>
        <v/>
      </c>
      <c r="T357">
        <f>IF(AND(Q357&lt;&gt;"",ISNUMBER(F357)),Q357,"")</f>
        <v/>
      </c>
      <c r="U357">
        <f>IF(AND(Q357&lt;&gt;"",ISNUMBER(G357)),Q357,"")</f>
        <v/>
      </c>
      <c r="V357">
        <f>IF(AND(Q357&lt;&gt;"",ISNUMBER(H357)),Q357,"")</f>
        <v/>
      </c>
      <c r="W357">
        <f>IF(AND(Q357&lt;&gt;"",ISNUMBER(I357)),Q357,"")</f>
        <v/>
      </c>
      <c r="X357">
        <f>IF(AND(Q357&lt;&gt;"",ISNUMBER(J357)),Q357,"")</f>
        <v/>
      </c>
      <c r="Y357">
        <f>IF(AND(Q357&lt;&gt;"",ISNUMBER(K357)),Q357,"")</f>
        <v/>
      </c>
      <c r="Z357">
        <f>IF(AND(Q357&lt;&gt;"",ISNUMBER(L357)),Q357,"")</f>
        <v/>
      </c>
      <c r="AA357">
        <f>IF(AND(Q357&lt;&gt;"",ISNUMBER(M357)),Q357,"")</f>
        <v/>
      </c>
      <c r="AB357">
        <f>IF(AND(Q357&lt;&gt;"",ISNUMBER(K357)),K357,"")</f>
        <v/>
      </c>
      <c r="AC357">
        <f>IF(AND(Q357&lt;&gt;"",ISNUMBER(L357)),L357,"")</f>
        <v/>
      </c>
      <c r="AD357">
        <f>IF(AND(Q357&lt;&gt;"",ISNUMBER(M357)),M357,"")</f>
        <v/>
      </c>
    </row>
    <row r="358">
      <c r="A358" s="1" t="n"/>
      <c r="B358" s="17" t="n"/>
      <c r="C358" s="27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9" t="n"/>
      <c r="N358" s="21" t="n"/>
      <c r="O358" s="12">
        <f>IF(AND(B358="",C358=""),"",IF(NOT(ISNUMBER(B358)),"Needs a date",IF(C358="","Needs a client",IF(COUNTIF(Clients!$B$6:$B$105,C358)=0,"Not on Clients",IF(COUNT(D358:M358)=0,"Nothing measured","")))))</f>
        <v/>
      </c>
      <c r="P358" s="1">
        <f>IF(AND(O358="",ISNUMBER(B358)),INT(B358),0)</f>
        <v/>
      </c>
      <c r="Q358">
        <f>IF(AND(P358&gt;0,C358=Report!$C$5),P358*10000+ROW(),"")</f>
        <v/>
      </c>
      <c r="R358">
        <f>IF(AND(Q358&lt;&gt;"",ISNUMBER(D358)),Q358,"")</f>
        <v/>
      </c>
      <c r="S358">
        <f>IF(AND(Q358&lt;&gt;"",ISNUMBER(E358)),Q358,"")</f>
        <v/>
      </c>
      <c r="T358">
        <f>IF(AND(Q358&lt;&gt;"",ISNUMBER(F358)),Q358,"")</f>
        <v/>
      </c>
      <c r="U358">
        <f>IF(AND(Q358&lt;&gt;"",ISNUMBER(G358)),Q358,"")</f>
        <v/>
      </c>
      <c r="V358">
        <f>IF(AND(Q358&lt;&gt;"",ISNUMBER(H358)),Q358,"")</f>
        <v/>
      </c>
      <c r="W358">
        <f>IF(AND(Q358&lt;&gt;"",ISNUMBER(I358)),Q358,"")</f>
        <v/>
      </c>
      <c r="X358">
        <f>IF(AND(Q358&lt;&gt;"",ISNUMBER(J358)),Q358,"")</f>
        <v/>
      </c>
      <c r="Y358">
        <f>IF(AND(Q358&lt;&gt;"",ISNUMBER(K358)),Q358,"")</f>
        <v/>
      </c>
      <c r="Z358">
        <f>IF(AND(Q358&lt;&gt;"",ISNUMBER(L358)),Q358,"")</f>
        <v/>
      </c>
      <c r="AA358">
        <f>IF(AND(Q358&lt;&gt;"",ISNUMBER(M358)),Q358,"")</f>
        <v/>
      </c>
      <c r="AB358">
        <f>IF(AND(Q358&lt;&gt;"",ISNUMBER(K358)),K358,"")</f>
        <v/>
      </c>
      <c r="AC358">
        <f>IF(AND(Q358&lt;&gt;"",ISNUMBER(L358)),L358,"")</f>
        <v/>
      </c>
      <c r="AD358">
        <f>IF(AND(Q358&lt;&gt;"",ISNUMBER(M358)),M358,"")</f>
        <v/>
      </c>
    </row>
    <row r="359">
      <c r="A359" s="1" t="n"/>
      <c r="B359" s="17" t="n"/>
      <c r="C359" s="27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9" t="n"/>
      <c r="N359" s="21" t="n"/>
      <c r="O359" s="12">
        <f>IF(AND(B359="",C359=""),"",IF(NOT(ISNUMBER(B359)),"Needs a date",IF(C359="","Needs a client",IF(COUNTIF(Clients!$B$6:$B$105,C359)=0,"Not on Clients",IF(COUNT(D359:M359)=0,"Nothing measured","")))))</f>
        <v/>
      </c>
      <c r="P359" s="1">
        <f>IF(AND(O359="",ISNUMBER(B359)),INT(B359),0)</f>
        <v/>
      </c>
      <c r="Q359">
        <f>IF(AND(P359&gt;0,C359=Report!$C$5),P359*10000+ROW(),"")</f>
        <v/>
      </c>
      <c r="R359">
        <f>IF(AND(Q359&lt;&gt;"",ISNUMBER(D359)),Q359,"")</f>
        <v/>
      </c>
      <c r="S359">
        <f>IF(AND(Q359&lt;&gt;"",ISNUMBER(E359)),Q359,"")</f>
        <v/>
      </c>
      <c r="T359">
        <f>IF(AND(Q359&lt;&gt;"",ISNUMBER(F359)),Q359,"")</f>
        <v/>
      </c>
      <c r="U359">
        <f>IF(AND(Q359&lt;&gt;"",ISNUMBER(G359)),Q359,"")</f>
        <v/>
      </c>
      <c r="V359">
        <f>IF(AND(Q359&lt;&gt;"",ISNUMBER(H359)),Q359,"")</f>
        <v/>
      </c>
      <c r="W359">
        <f>IF(AND(Q359&lt;&gt;"",ISNUMBER(I359)),Q359,"")</f>
        <v/>
      </c>
      <c r="X359">
        <f>IF(AND(Q359&lt;&gt;"",ISNUMBER(J359)),Q359,"")</f>
        <v/>
      </c>
      <c r="Y359">
        <f>IF(AND(Q359&lt;&gt;"",ISNUMBER(K359)),Q359,"")</f>
        <v/>
      </c>
      <c r="Z359">
        <f>IF(AND(Q359&lt;&gt;"",ISNUMBER(L359)),Q359,"")</f>
        <v/>
      </c>
      <c r="AA359">
        <f>IF(AND(Q359&lt;&gt;"",ISNUMBER(M359)),Q359,"")</f>
        <v/>
      </c>
      <c r="AB359">
        <f>IF(AND(Q359&lt;&gt;"",ISNUMBER(K359)),K359,"")</f>
        <v/>
      </c>
      <c r="AC359">
        <f>IF(AND(Q359&lt;&gt;"",ISNUMBER(L359)),L359,"")</f>
        <v/>
      </c>
      <c r="AD359">
        <f>IF(AND(Q359&lt;&gt;"",ISNUMBER(M359)),M359,"")</f>
        <v/>
      </c>
    </row>
    <row r="360">
      <c r="A360" s="1" t="n"/>
      <c r="B360" s="17" t="n"/>
      <c r="C360" s="27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9" t="n"/>
      <c r="N360" s="21" t="n"/>
      <c r="O360" s="12">
        <f>IF(AND(B360="",C360=""),"",IF(NOT(ISNUMBER(B360)),"Needs a date",IF(C360="","Needs a client",IF(COUNTIF(Clients!$B$6:$B$105,C360)=0,"Not on Clients",IF(COUNT(D360:M360)=0,"Nothing measured","")))))</f>
        <v/>
      </c>
      <c r="P360" s="1">
        <f>IF(AND(O360="",ISNUMBER(B360)),INT(B360),0)</f>
        <v/>
      </c>
      <c r="Q360">
        <f>IF(AND(P360&gt;0,C360=Report!$C$5),P360*10000+ROW(),"")</f>
        <v/>
      </c>
      <c r="R360">
        <f>IF(AND(Q360&lt;&gt;"",ISNUMBER(D360)),Q360,"")</f>
        <v/>
      </c>
      <c r="S360">
        <f>IF(AND(Q360&lt;&gt;"",ISNUMBER(E360)),Q360,"")</f>
        <v/>
      </c>
      <c r="T360">
        <f>IF(AND(Q360&lt;&gt;"",ISNUMBER(F360)),Q360,"")</f>
        <v/>
      </c>
      <c r="U360">
        <f>IF(AND(Q360&lt;&gt;"",ISNUMBER(G360)),Q360,"")</f>
        <v/>
      </c>
      <c r="V360">
        <f>IF(AND(Q360&lt;&gt;"",ISNUMBER(H360)),Q360,"")</f>
        <v/>
      </c>
      <c r="W360">
        <f>IF(AND(Q360&lt;&gt;"",ISNUMBER(I360)),Q360,"")</f>
        <v/>
      </c>
      <c r="X360">
        <f>IF(AND(Q360&lt;&gt;"",ISNUMBER(J360)),Q360,"")</f>
        <v/>
      </c>
      <c r="Y360">
        <f>IF(AND(Q360&lt;&gt;"",ISNUMBER(K360)),Q360,"")</f>
        <v/>
      </c>
      <c r="Z360">
        <f>IF(AND(Q360&lt;&gt;"",ISNUMBER(L360)),Q360,"")</f>
        <v/>
      </c>
      <c r="AA360">
        <f>IF(AND(Q360&lt;&gt;"",ISNUMBER(M360)),Q360,"")</f>
        <v/>
      </c>
      <c r="AB360">
        <f>IF(AND(Q360&lt;&gt;"",ISNUMBER(K360)),K360,"")</f>
        <v/>
      </c>
      <c r="AC360">
        <f>IF(AND(Q360&lt;&gt;"",ISNUMBER(L360)),L360,"")</f>
        <v/>
      </c>
      <c r="AD360">
        <f>IF(AND(Q360&lt;&gt;"",ISNUMBER(M360)),M360,"")</f>
        <v/>
      </c>
    </row>
    <row r="361">
      <c r="A361" s="1" t="n"/>
      <c r="B361" s="17" t="n"/>
      <c r="C361" s="27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9" t="n"/>
      <c r="N361" s="21" t="n"/>
      <c r="O361" s="12">
        <f>IF(AND(B361="",C361=""),"",IF(NOT(ISNUMBER(B361)),"Needs a date",IF(C361="","Needs a client",IF(COUNTIF(Clients!$B$6:$B$105,C361)=0,"Not on Clients",IF(COUNT(D361:M361)=0,"Nothing measured","")))))</f>
        <v/>
      </c>
      <c r="P361" s="1">
        <f>IF(AND(O361="",ISNUMBER(B361)),INT(B361),0)</f>
        <v/>
      </c>
      <c r="Q361">
        <f>IF(AND(P361&gt;0,C361=Report!$C$5),P361*10000+ROW(),"")</f>
        <v/>
      </c>
      <c r="R361">
        <f>IF(AND(Q361&lt;&gt;"",ISNUMBER(D361)),Q361,"")</f>
        <v/>
      </c>
      <c r="S361">
        <f>IF(AND(Q361&lt;&gt;"",ISNUMBER(E361)),Q361,"")</f>
        <v/>
      </c>
      <c r="T361">
        <f>IF(AND(Q361&lt;&gt;"",ISNUMBER(F361)),Q361,"")</f>
        <v/>
      </c>
      <c r="U361">
        <f>IF(AND(Q361&lt;&gt;"",ISNUMBER(G361)),Q361,"")</f>
        <v/>
      </c>
      <c r="V361">
        <f>IF(AND(Q361&lt;&gt;"",ISNUMBER(H361)),Q361,"")</f>
        <v/>
      </c>
      <c r="W361">
        <f>IF(AND(Q361&lt;&gt;"",ISNUMBER(I361)),Q361,"")</f>
        <v/>
      </c>
      <c r="X361">
        <f>IF(AND(Q361&lt;&gt;"",ISNUMBER(J361)),Q361,"")</f>
        <v/>
      </c>
      <c r="Y361">
        <f>IF(AND(Q361&lt;&gt;"",ISNUMBER(K361)),Q361,"")</f>
        <v/>
      </c>
      <c r="Z361">
        <f>IF(AND(Q361&lt;&gt;"",ISNUMBER(L361)),Q361,"")</f>
        <v/>
      </c>
      <c r="AA361">
        <f>IF(AND(Q361&lt;&gt;"",ISNUMBER(M361)),Q361,"")</f>
        <v/>
      </c>
      <c r="AB361">
        <f>IF(AND(Q361&lt;&gt;"",ISNUMBER(K361)),K361,"")</f>
        <v/>
      </c>
      <c r="AC361">
        <f>IF(AND(Q361&lt;&gt;"",ISNUMBER(L361)),L361,"")</f>
        <v/>
      </c>
      <c r="AD361">
        <f>IF(AND(Q361&lt;&gt;"",ISNUMBER(M361)),M361,"")</f>
        <v/>
      </c>
    </row>
    <row r="362">
      <c r="A362" s="1" t="n"/>
      <c r="B362" s="17" t="n"/>
      <c r="C362" s="27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9" t="n"/>
      <c r="N362" s="21" t="n"/>
      <c r="O362" s="12">
        <f>IF(AND(B362="",C362=""),"",IF(NOT(ISNUMBER(B362)),"Needs a date",IF(C362="","Needs a client",IF(COUNTIF(Clients!$B$6:$B$105,C362)=0,"Not on Clients",IF(COUNT(D362:M362)=0,"Nothing measured","")))))</f>
        <v/>
      </c>
      <c r="P362" s="1">
        <f>IF(AND(O362="",ISNUMBER(B362)),INT(B362),0)</f>
        <v/>
      </c>
      <c r="Q362">
        <f>IF(AND(P362&gt;0,C362=Report!$C$5),P362*10000+ROW(),"")</f>
        <v/>
      </c>
      <c r="R362">
        <f>IF(AND(Q362&lt;&gt;"",ISNUMBER(D362)),Q362,"")</f>
        <v/>
      </c>
      <c r="S362">
        <f>IF(AND(Q362&lt;&gt;"",ISNUMBER(E362)),Q362,"")</f>
        <v/>
      </c>
      <c r="T362">
        <f>IF(AND(Q362&lt;&gt;"",ISNUMBER(F362)),Q362,"")</f>
        <v/>
      </c>
      <c r="U362">
        <f>IF(AND(Q362&lt;&gt;"",ISNUMBER(G362)),Q362,"")</f>
        <v/>
      </c>
      <c r="V362">
        <f>IF(AND(Q362&lt;&gt;"",ISNUMBER(H362)),Q362,"")</f>
        <v/>
      </c>
      <c r="W362">
        <f>IF(AND(Q362&lt;&gt;"",ISNUMBER(I362)),Q362,"")</f>
        <v/>
      </c>
      <c r="X362">
        <f>IF(AND(Q362&lt;&gt;"",ISNUMBER(J362)),Q362,"")</f>
        <v/>
      </c>
      <c r="Y362">
        <f>IF(AND(Q362&lt;&gt;"",ISNUMBER(K362)),Q362,"")</f>
        <v/>
      </c>
      <c r="Z362">
        <f>IF(AND(Q362&lt;&gt;"",ISNUMBER(L362)),Q362,"")</f>
        <v/>
      </c>
      <c r="AA362">
        <f>IF(AND(Q362&lt;&gt;"",ISNUMBER(M362)),Q362,"")</f>
        <v/>
      </c>
      <c r="AB362">
        <f>IF(AND(Q362&lt;&gt;"",ISNUMBER(K362)),K362,"")</f>
        <v/>
      </c>
      <c r="AC362">
        <f>IF(AND(Q362&lt;&gt;"",ISNUMBER(L362)),L362,"")</f>
        <v/>
      </c>
      <c r="AD362">
        <f>IF(AND(Q362&lt;&gt;"",ISNUMBER(M362)),M362,"")</f>
        <v/>
      </c>
    </row>
    <row r="363">
      <c r="A363" s="1" t="n"/>
      <c r="B363" s="17" t="n"/>
      <c r="C363" s="27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9" t="n"/>
      <c r="N363" s="21" t="n"/>
      <c r="O363" s="12">
        <f>IF(AND(B363="",C363=""),"",IF(NOT(ISNUMBER(B363)),"Needs a date",IF(C363="","Needs a client",IF(COUNTIF(Clients!$B$6:$B$105,C363)=0,"Not on Clients",IF(COUNT(D363:M363)=0,"Nothing measured","")))))</f>
        <v/>
      </c>
      <c r="P363" s="1">
        <f>IF(AND(O363="",ISNUMBER(B363)),INT(B363),0)</f>
        <v/>
      </c>
      <c r="Q363">
        <f>IF(AND(P363&gt;0,C363=Report!$C$5),P363*10000+ROW(),"")</f>
        <v/>
      </c>
      <c r="R363">
        <f>IF(AND(Q363&lt;&gt;"",ISNUMBER(D363)),Q363,"")</f>
        <v/>
      </c>
      <c r="S363">
        <f>IF(AND(Q363&lt;&gt;"",ISNUMBER(E363)),Q363,"")</f>
        <v/>
      </c>
      <c r="T363">
        <f>IF(AND(Q363&lt;&gt;"",ISNUMBER(F363)),Q363,"")</f>
        <v/>
      </c>
      <c r="U363">
        <f>IF(AND(Q363&lt;&gt;"",ISNUMBER(G363)),Q363,"")</f>
        <v/>
      </c>
      <c r="V363">
        <f>IF(AND(Q363&lt;&gt;"",ISNUMBER(H363)),Q363,"")</f>
        <v/>
      </c>
      <c r="W363">
        <f>IF(AND(Q363&lt;&gt;"",ISNUMBER(I363)),Q363,"")</f>
        <v/>
      </c>
      <c r="X363">
        <f>IF(AND(Q363&lt;&gt;"",ISNUMBER(J363)),Q363,"")</f>
        <v/>
      </c>
      <c r="Y363">
        <f>IF(AND(Q363&lt;&gt;"",ISNUMBER(K363)),Q363,"")</f>
        <v/>
      </c>
      <c r="Z363">
        <f>IF(AND(Q363&lt;&gt;"",ISNUMBER(L363)),Q363,"")</f>
        <v/>
      </c>
      <c r="AA363">
        <f>IF(AND(Q363&lt;&gt;"",ISNUMBER(M363)),Q363,"")</f>
        <v/>
      </c>
      <c r="AB363">
        <f>IF(AND(Q363&lt;&gt;"",ISNUMBER(K363)),K363,"")</f>
        <v/>
      </c>
      <c r="AC363">
        <f>IF(AND(Q363&lt;&gt;"",ISNUMBER(L363)),L363,"")</f>
        <v/>
      </c>
      <c r="AD363">
        <f>IF(AND(Q363&lt;&gt;"",ISNUMBER(M363)),M363,"")</f>
        <v/>
      </c>
    </row>
    <row r="364">
      <c r="A364" s="1" t="n"/>
      <c r="B364" s="17" t="n"/>
      <c r="C364" s="27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9" t="n"/>
      <c r="N364" s="21" t="n"/>
      <c r="O364" s="12">
        <f>IF(AND(B364="",C364=""),"",IF(NOT(ISNUMBER(B364)),"Needs a date",IF(C364="","Needs a client",IF(COUNTIF(Clients!$B$6:$B$105,C364)=0,"Not on Clients",IF(COUNT(D364:M364)=0,"Nothing measured","")))))</f>
        <v/>
      </c>
      <c r="P364" s="1">
        <f>IF(AND(O364="",ISNUMBER(B364)),INT(B364),0)</f>
        <v/>
      </c>
      <c r="Q364">
        <f>IF(AND(P364&gt;0,C364=Report!$C$5),P364*10000+ROW(),"")</f>
        <v/>
      </c>
      <c r="R364">
        <f>IF(AND(Q364&lt;&gt;"",ISNUMBER(D364)),Q364,"")</f>
        <v/>
      </c>
      <c r="S364">
        <f>IF(AND(Q364&lt;&gt;"",ISNUMBER(E364)),Q364,"")</f>
        <v/>
      </c>
      <c r="T364">
        <f>IF(AND(Q364&lt;&gt;"",ISNUMBER(F364)),Q364,"")</f>
        <v/>
      </c>
      <c r="U364">
        <f>IF(AND(Q364&lt;&gt;"",ISNUMBER(G364)),Q364,"")</f>
        <v/>
      </c>
      <c r="V364">
        <f>IF(AND(Q364&lt;&gt;"",ISNUMBER(H364)),Q364,"")</f>
        <v/>
      </c>
      <c r="W364">
        <f>IF(AND(Q364&lt;&gt;"",ISNUMBER(I364)),Q364,"")</f>
        <v/>
      </c>
      <c r="X364">
        <f>IF(AND(Q364&lt;&gt;"",ISNUMBER(J364)),Q364,"")</f>
        <v/>
      </c>
      <c r="Y364">
        <f>IF(AND(Q364&lt;&gt;"",ISNUMBER(K364)),Q364,"")</f>
        <v/>
      </c>
      <c r="Z364">
        <f>IF(AND(Q364&lt;&gt;"",ISNUMBER(L364)),Q364,"")</f>
        <v/>
      </c>
      <c r="AA364">
        <f>IF(AND(Q364&lt;&gt;"",ISNUMBER(M364)),Q364,"")</f>
        <v/>
      </c>
      <c r="AB364">
        <f>IF(AND(Q364&lt;&gt;"",ISNUMBER(K364)),K364,"")</f>
        <v/>
      </c>
      <c r="AC364">
        <f>IF(AND(Q364&lt;&gt;"",ISNUMBER(L364)),L364,"")</f>
        <v/>
      </c>
      <c r="AD364">
        <f>IF(AND(Q364&lt;&gt;"",ISNUMBER(M364)),M364,"")</f>
        <v/>
      </c>
    </row>
    <row r="365">
      <c r="A365" s="1" t="n"/>
      <c r="B365" s="17" t="n"/>
      <c r="C365" s="27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9" t="n"/>
      <c r="N365" s="21" t="n"/>
      <c r="O365" s="12">
        <f>IF(AND(B365="",C365=""),"",IF(NOT(ISNUMBER(B365)),"Needs a date",IF(C365="","Needs a client",IF(COUNTIF(Clients!$B$6:$B$105,C365)=0,"Not on Clients",IF(COUNT(D365:M365)=0,"Nothing measured","")))))</f>
        <v/>
      </c>
      <c r="P365" s="1">
        <f>IF(AND(O365="",ISNUMBER(B365)),INT(B365),0)</f>
        <v/>
      </c>
      <c r="Q365">
        <f>IF(AND(P365&gt;0,C365=Report!$C$5),P365*10000+ROW(),"")</f>
        <v/>
      </c>
      <c r="R365">
        <f>IF(AND(Q365&lt;&gt;"",ISNUMBER(D365)),Q365,"")</f>
        <v/>
      </c>
      <c r="S365">
        <f>IF(AND(Q365&lt;&gt;"",ISNUMBER(E365)),Q365,"")</f>
        <v/>
      </c>
      <c r="T365">
        <f>IF(AND(Q365&lt;&gt;"",ISNUMBER(F365)),Q365,"")</f>
        <v/>
      </c>
      <c r="U365">
        <f>IF(AND(Q365&lt;&gt;"",ISNUMBER(G365)),Q365,"")</f>
        <v/>
      </c>
      <c r="V365">
        <f>IF(AND(Q365&lt;&gt;"",ISNUMBER(H365)),Q365,"")</f>
        <v/>
      </c>
      <c r="W365">
        <f>IF(AND(Q365&lt;&gt;"",ISNUMBER(I365)),Q365,"")</f>
        <v/>
      </c>
      <c r="X365">
        <f>IF(AND(Q365&lt;&gt;"",ISNUMBER(J365)),Q365,"")</f>
        <v/>
      </c>
      <c r="Y365">
        <f>IF(AND(Q365&lt;&gt;"",ISNUMBER(K365)),Q365,"")</f>
        <v/>
      </c>
      <c r="Z365">
        <f>IF(AND(Q365&lt;&gt;"",ISNUMBER(L365)),Q365,"")</f>
        <v/>
      </c>
      <c r="AA365">
        <f>IF(AND(Q365&lt;&gt;"",ISNUMBER(M365)),Q365,"")</f>
        <v/>
      </c>
      <c r="AB365">
        <f>IF(AND(Q365&lt;&gt;"",ISNUMBER(K365)),K365,"")</f>
        <v/>
      </c>
      <c r="AC365">
        <f>IF(AND(Q365&lt;&gt;"",ISNUMBER(L365)),L365,"")</f>
        <v/>
      </c>
      <c r="AD365">
        <f>IF(AND(Q365&lt;&gt;"",ISNUMBER(M365)),M365,"")</f>
        <v/>
      </c>
    </row>
    <row r="366">
      <c r="A366" s="1" t="n"/>
      <c r="B366" s="17" t="n"/>
      <c r="C366" s="27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9" t="n"/>
      <c r="N366" s="21" t="n"/>
      <c r="O366" s="12">
        <f>IF(AND(B366="",C366=""),"",IF(NOT(ISNUMBER(B366)),"Needs a date",IF(C366="","Needs a client",IF(COUNTIF(Clients!$B$6:$B$105,C366)=0,"Not on Clients",IF(COUNT(D366:M366)=0,"Nothing measured","")))))</f>
        <v/>
      </c>
      <c r="P366" s="1">
        <f>IF(AND(O366="",ISNUMBER(B366)),INT(B366),0)</f>
        <v/>
      </c>
      <c r="Q366">
        <f>IF(AND(P366&gt;0,C366=Report!$C$5),P366*10000+ROW(),"")</f>
        <v/>
      </c>
      <c r="R366">
        <f>IF(AND(Q366&lt;&gt;"",ISNUMBER(D366)),Q366,"")</f>
        <v/>
      </c>
      <c r="S366">
        <f>IF(AND(Q366&lt;&gt;"",ISNUMBER(E366)),Q366,"")</f>
        <v/>
      </c>
      <c r="T366">
        <f>IF(AND(Q366&lt;&gt;"",ISNUMBER(F366)),Q366,"")</f>
        <v/>
      </c>
      <c r="U366">
        <f>IF(AND(Q366&lt;&gt;"",ISNUMBER(G366)),Q366,"")</f>
        <v/>
      </c>
      <c r="V366">
        <f>IF(AND(Q366&lt;&gt;"",ISNUMBER(H366)),Q366,"")</f>
        <v/>
      </c>
      <c r="W366">
        <f>IF(AND(Q366&lt;&gt;"",ISNUMBER(I366)),Q366,"")</f>
        <v/>
      </c>
      <c r="X366">
        <f>IF(AND(Q366&lt;&gt;"",ISNUMBER(J366)),Q366,"")</f>
        <v/>
      </c>
      <c r="Y366">
        <f>IF(AND(Q366&lt;&gt;"",ISNUMBER(K366)),Q366,"")</f>
        <v/>
      </c>
      <c r="Z366">
        <f>IF(AND(Q366&lt;&gt;"",ISNUMBER(L366)),Q366,"")</f>
        <v/>
      </c>
      <c r="AA366">
        <f>IF(AND(Q366&lt;&gt;"",ISNUMBER(M366)),Q366,"")</f>
        <v/>
      </c>
      <c r="AB366">
        <f>IF(AND(Q366&lt;&gt;"",ISNUMBER(K366)),K366,"")</f>
        <v/>
      </c>
      <c r="AC366">
        <f>IF(AND(Q366&lt;&gt;"",ISNUMBER(L366)),L366,"")</f>
        <v/>
      </c>
      <c r="AD366">
        <f>IF(AND(Q366&lt;&gt;"",ISNUMBER(M366)),M366,"")</f>
        <v/>
      </c>
    </row>
    <row r="367">
      <c r="A367" s="1" t="n"/>
      <c r="B367" s="17" t="n"/>
      <c r="C367" s="27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9" t="n"/>
      <c r="N367" s="21" t="n"/>
      <c r="O367" s="12">
        <f>IF(AND(B367="",C367=""),"",IF(NOT(ISNUMBER(B367)),"Needs a date",IF(C367="","Needs a client",IF(COUNTIF(Clients!$B$6:$B$105,C367)=0,"Not on Clients",IF(COUNT(D367:M367)=0,"Nothing measured","")))))</f>
        <v/>
      </c>
      <c r="P367" s="1">
        <f>IF(AND(O367="",ISNUMBER(B367)),INT(B367),0)</f>
        <v/>
      </c>
      <c r="Q367">
        <f>IF(AND(P367&gt;0,C367=Report!$C$5),P367*10000+ROW(),"")</f>
        <v/>
      </c>
      <c r="R367">
        <f>IF(AND(Q367&lt;&gt;"",ISNUMBER(D367)),Q367,"")</f>
        <v/>
      </c>
      <c r="S367">
        <f>IF(AND(Q367&lt;&gt;"",ISNUMBER(E367)),Q367,"")</f>
        <v/>
      </c>
      <c r="T367">
        <f>IF(AND(Q367&lt;&gt;"",ISNUMBER(F367)),Q367,"")</f>
        <v/>
      </c>
      <c r="U367">
        <f>IF(AND(Q367&lt;&gt;"",ISNUMBER(G367)),Q367,"")</f>
        <v/>
      </c>
      <c r="V367">
        <f>IF(AND(Q367&lt;&gt;"",ISNUMBER(H367)),Q367,"")</f>
        <v/>
      </c>
      <c r="W367">
        <f>IF(AND(Q367&lt;&gt;"",ISNUMBER(I367)),Q367,"")</f>
        <v/>
      </c>
      <c r="X367">
        <f>IF(AND(Q367&lt;&gt;"",ISNUMBER(J367)),Q367,"")</f>
        <v/>
      </c>
      <c r="Y367">
        <f>IF(AND(Q367&lt;&gt;"",ISNUMBER(K367)),Q367,"")</f>
        <v/>
      </c>
      <c r="Z367">
        <f>IF(AND(Q367&lt;&gt;"",ISNUMBER(L367)),Q367,"")</f>
        <v/>
      </c>
      <c r="AA367">
        <f>IF(AND(Q367&lt;&gt;"",ISNUMBER(M367)),Q367,"")</f>
        <v/>
      </c>
      <c r="AB367">
        <f>IF(AND(Q367&lt;&gt;"",ISNUMBER(K367)),K367,"")</f>
        <v/>
      </c>
      <c r="AC367">
        <f>IF(AND(Q367&lt;&gt;"",ISNUMBER(L367)),L367,"")</f>
        <v/>
      </c>
      <c r="AD367">
        <f>IF(AND(Q367&lt;&gt;"",ISNUMBER(M367)),M367,"")</f>
        <v/>
      </c>
    </row>
    <row r="368">
      <c r="A368" s="1" t="n"/>
      <c r="B368" s="17" t="n"/>
      <c r="C368" s="27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9" t="n"/>
      <c r="N368" s="21" t="n"/>
      <c r="O368" s="12">
        <f>IF(AND(B368="",C368=""),"",IF(NOT(ISNUMBER(B368)),"Needs a date",IF(C368="","Needs a client",IF(COUNTIF(Clients!$B$6:$B$105,C368)=0,"Not on Clients",IF(COUNT(D368:M368)=0,"Nothing measured","")))))</f>
        <v/>
      </c>
      <c r="P368" s="1">
        <f>IF(AND(O368="",ISNUMBER(B368)),INT(B368),0)</f>
        <v/>
      </c>
      <c r="Q368">
        <f>IF(AND(P368&gt;0,C368=Report!$C$5),P368*10000+ROW(),"")</f>
        <v/>
      </c>
      <c r="R368">
        <f>IF(AND(Q368&lt;&gt;"",ISNUMBER(D368)),Q368,"")</f>
        <v/>
      </c>
      <c r="S368">
        <f>IF(AND(Q368&lt;&gt;"",ISNUMBER(E368)),Q368,"")</f>
        <v/>
      </c>
      <c r="T368">
        <f>IF(AND(Q368&lt;&gt;"",ISNUMBER(F368)),Q368,"")</f>
        <v/>
      </c>
      <c r="U368">
        <f>IF(AND(Q368&lt;&gt;"",ISNUMBER(G368)),Q368,"")</f>
        <v/>
      </c>
      <c r="V368">
        <f>IF(AND(Q368&lt;&gt;"",ISNUMBER(H368)),Q368,"")</f>
        <v/>
      </c>
      <c r="W368">
        <f>IF(AND(Q368&lt;&gt;"",ISNUMBER(I368)),Q368,"")</f>
        <v/>
      </c>
      <c r="X368">
        <f>IF(AND(Q368&lt;&gt;"",ISNUMBER(J368)),Q368,"")</f>
        <v/>
      </c>
      <c r="Y368">
        <f>IF(AND(Q368&lt;&gt;"",ISNUMBER(K368)),Q368,"")</f>
        <v/>
      </c>
      <c r="Z368">
        <f>IF(AND(Q368&lt;&gt;"",ISNUMBER(L368)),Q368,"")</f>
        <v/>
      </c>
      <c r="AA368">
        <f>IF(AND(Q368&lt;&gt;"",ISNUMBER(M368)),Q368,"")</f>
        <v/>
      </c>
      <c r="AB368">
        <f>IF(AND(Q368&lt;&gt;"",ISNUMBER(K368)),K368,"")</f>
        <v/>
      </c>
      <c r="AC368">
        <f>IF(AND(Q368&lt;&gt;"",ISNUMBER(L368)),L368,"")</f>
        <v/>
      </c>
      <c r="AD368">
        <f>IF(AND(Q368&lt;&gt;"",ISNUMBER(M368)),M368,"")</f>
        <v/>
      </c>
    </row>
    <row r="369">
      <c r="A369" s="1" t="n"/>
      <c r="B369" s="17" t="n"/>
      <c r="C369" s="27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9" t="n"/>
      <c r="N369" s="21" t="n"/>
      <c r="O369" s="12">
        <f>IF(AND(B369="",C369=""),"",IF(NOT(ISNUMBER(B369)),"Needs a date",IF(C369="","Needs a client",IF(COUNTIF(Clients!$B$6:$B$105,C369)=0,"Not on Clients",IF(COUNT(D369:M369)=0,"Nothing measured","")))))</f>
        <v/>
      </c>
      <c r="P369" s="1">
        <f>IF(AND(O369="",ISNUMBER(B369)),INT(B369),0)</f>
        <v/>
      </c>
      <c r="Q369">
        <f>IF(AND(P369&gt;0,C369=Report!$C$5),P369*10000+ROW(),"")</f>
        <v/>
      </c>
      <c r="R369">
        <f>IF(AND(Q369&lt;&gt;"",ISNUMBER(D369)),Q369,"")</f>
        <v/>
      </c>
      <c r="S369">
        <f>IF(AND(Q369&lt;&gt;"",ISNUMBER(E369)),Q369,"")</f>
        <v/>
      </c>
      <c r="T369">
        <f>IF(AND(Q369&lt;&gt;"",ISNUMBER(F369)),Q369,"")</f>
        <v/>
      </c>
      <c r="U369">
        <f>IF(AND(Q369&lt;&gt;"",ISNUMBER(G369)),Q369,"")</f>
        <v/>
      </c>
      <c r="V369">
        <f>IF(AND(Q369&lt;&gt;"",ISNUMBER(H369)),Q369,"")</f>
        <v/>
      </c>
      <c r="W369">
        <f>IF(AND(Q369&lt;&gt;"",ISNUMBER(I369)),Q369,"")</f>
        <v/>
      </c>
      <c r="X369">
        <f>IF(AND(Q369&lt;&gt;"",ISNUMBER(J369)),Q369,"")</f>
        <v/>
      </c>
      <c r="Y369">
        <f>IF(AND(Q369&lt;&gt;"",ISNUMBER(K369)),Q369,"")</f>
        <v/>
      </c>
      <c r="Z369">
        <f>IF(AND(Q369&lt;&gt;"",ISNUMBER(L369)),Q369,"")</f>
        <v/>
      </c>
      <c r="AA369">
        <f>IF(AND(Q369&lt;&gt;"",ISNUMBER(M369)),Q369,"")</f>
        <v/>
      </c>
      <c r="AB369">
        <f>IF(AND(Q369&lt;&gt;"",ISNUMBER(K369)),K369,"")</f>
        <v/>
      </c>
      <c r="AC369">
        <f>IF(AND(Q369&lt;&gt;"",ISNUMBER(L369)),L369,"")</f>
        <v/>
      </c>
      <c r="AD369">
        <f>IF(AND(Q369&lt;&gt;"",ISNUMBER(M369)),M369,"")</f>
        <v/>
      </c>
    </row>
    <row r="370">
      <c r="A370" s="1" t="n"/>
      <c r="B370" s="17" t="n"/>
      <c r="C370" s="27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9" t="n"/>
      <c r="N370" s="21" t="n"/>
      <c r="O370" s="12">
        <f>IF(AND(B370="",C370=""),"",IF(NOT(ISNUMBER(B370)),"Needs a date",IF(C370="","Needs a client",IF(COUNTIF(Clients!$B$6:$B$105,C370)=0,"Not on Clients",IF(COUNT(D370:M370)=0,"Nothing measured","")))))</f>
        <v/>
      </c>
      <c r="P370" s="1">
        <f>IF(AND(O370="",ISNUMBER(B370)),INT(B370),0)</f>
        <v/>
      </c>
      <c r="Q370">
        <f>IF(AND(P370&gt;0,C370=Report!$C$5),P370*10000+ROW(),"")</f>
        <v/>
      </c>
      <c r="R370">
        <f>IF(AND(Q370&lt;&gt;"",ISNUMBER(D370)),Q370,"")</f>
        <v/>
      </c>
      <c r="S370">
        <f>IF(AND(Q370&lt;&gt;"",ISNUMBER(E370)),Q370,"")</f>
        <v/>
      </c>
      <c r="T370">
        <f>IF(AND(Q370&lt;&gt;"",ISNUMBER(F370)),Q370,"")</f>
        <v/>
      </c>
      <c r="U370">
        <f>IF(AND(Q370&lt;&gt;"",ISNUMBER(G370)),Q370,"")</f>
        <v/>
      </c>
      <c r="V370">
        <f>IF(AND(Q370&lt;&gt;"",ISNUMBER(H370)),Q370,"")</f>
        <v/>
      </c>
      <c r="W370">
        <f>IF(AND(Q370&lt;&gt;"",ISNUMBER(I370)),Q370,"")</f>
        <v/>
      </c>
      <c r="X370">
        <f>IF(AND(Q370&lt;&gt;"",ISNUMBER(J370)),Q370,"")</f>
        <v/>
      </c>
      <c r="Y370">
        <f>IF(AND(Q370&lt;&gt;"",ISNUMBER(K370)),Q370,"")</f>
        <v/>
      </c>
      <c r="Z370">
        <f>IF(AND(Q370&lt;&gt;"",ISNUMBER(L370)),Q370,"")</f>
        <v/>
      </c>
      <c r="AA370">
        <f>IF(AND(Q370&lt;&gt;"",ISNUMBER(M370)),Q370,"")</f>
        <v/>
      </c>
      <c r="AB370">
        <f>IF(AND(Q370&lt;&gt;"",ISNUMBER(K370)),K370,"")</f>
        <v/>
      </c>
      <c r="AC370">
        <f>IF(AND(Q370&lt;&gt;"",ISNUMBER(L370)),L370,"")</f>
        <v/>
      </c>
      <c r="AD370">
        <f>IF(AND(Q370&lt;&gt;"",ISNUMBER(M370)),M370,"")</f>
        <v/>
      </c>
    </row>
    <row r="371">
      <c r="A371" s="1" t="n"/>
      <c r="B371" s="17" t="n"/>
      <c r="C371" s="27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9" t="n"/>
      <c r="N371" s="21" t="n"/>
      <c r="O371" s="12">
        <f>IF(AND(B371="",C371=""),"",IF(NOT(ISNUMBER(B371)),"Needs a date",IF(C371="","Needs a client",IF(COUNTIF(Clients!$B$6:$B$105,C371)=0,"Not on Clients",IF(COUNT(D371:M371)=0,"Nothing measured","")))))</f>
        <v/>
      </c>
      <c r="P371" s="1">
        <f>IF(AND(O371="",ISNUMBER(B371)),INT(B371),0)</f>
        <v/>
      </c>
      <c r="Q371">
        <f>IF(AND(P371&gt;0,C371=Report!$C$5),P371*10000+ROW(),"")</f>
        <v/>
      </c>
      <c r="R371">
        <f>IF(AND(Q371&lt;&gt;"",ISNUMBER(D371)),Q371,"")</f>
        <v/>
      </c>
      <c r="S371">
        <f>IF(AND(Q371&lt;&gt;"",ISNUMBER(E371)),Q371,"")</f>
        <v/>
      </c>
      <c r="T371">
        <f>IF(AND(Q371&lt;&gt;"",ISNUMBER(F371)),Q371,"")</f>
        <v/>
      </c>
      <c r="U371">
        <f>IF(AND(Q371&lt;&gt;"",ISNUMBER(G371)),Q371,"")</f>
        <v/>
      </c>
      <c r="V371">
        <f>IF(AND(Q371&lt;&gt;"",ISNUMBER(H371)),Q371,"")</f>
        <v/>
      </c>
      <c r="W371">
        <f>IF(AND(Q371&lt;&gt;"",ISNUMBER(I371)),Q371,"")</f>
        <v/>
      </c>
      <c r="X371">
        <f>IF(AND(Q371&lt;&gt;"",ISNUMBER(J371)),Q371,"")</f>
        <v/>
      </c>
      <c r="Y371">
        <f>IF(AND(Q371&lt;&gt;"",ISNUMBER(K371)),Q371,"")</f>
        <v/>
      </c>
      <c r="Z371">
        <f>IF(AND(Q371&lt;&gt;"",ISNUMBER(L371)),Q371,"")</f>
        <v/>
      </c>
      <c r="AA371">
        <f>IF(AND(Q371&lt;&gt;"",ISNUMBER(M371)),Q371,"")</f>
        <v/>
      </c>
      <c r="AB371">
        <f>IF(AND(Q371&lt;&gt;"",ISNUMBER(K371)),K371,"")</f>
        <v/>
      </c>
      <c r="AC371">
        <f>IF(AND(Q371&lt;&gt;"",ISNUMBER(L371)),L371,"")</f>
        <v/>
      </c>
      <c r="AD371">
        <f>IF(AND(Q371&lt;&gt;"",ISNUMBER(M371)),M371,"")</f>
        <v/>
      </c>
    </row>
    <row r="372">
      <c r="A372" s="1" t="n"/>
      <c r="B372" s="17" t="n"/>
      <c r="C372" s="27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9" t="n"/>
      <c r="N372" s="21" t="n"/>
      <c r="O372" s="12">
        <f>IF(AND(B372="",C372=""),"",IF(NOT(ISNUMBER(B372)),"Needs a date",IF(C372="","Needs a client",IF(COUNTIF(Clients!$B$6:$B$105,C372)=0,"Not on Clients",IF(COUNT(D372:M372)=0,"Nothing measured","")))))</f>
        <v/>
      </c>
      <c r="P372" s="1">
        <f>IF(AND(O372="",ISNUMBER(B372)),INT(B372),0)</f>
        <v/>
      </c>
      <c r="Q372">
        <f>IF(AND(P372&gt;0,C372=Report!$C$5),P372*10000+ROW(),"")</f>
        <v/>
      </c>
      <c r="R372">
        <f>IF(AND(Q372&lt;&gt;"",ISNUMBER(D372)),Q372,"")</f>
        <v/>
      </c>
      <c r="S372">
        <f>IF(AND(Q372&lt;&gt;"",ISNUMBER(E372)),Q372,"")</f>
        <v/>
      </c>
      <c r="T372">
        <f>IF(AND(Q372&lt;&gt;"",ISNUMBER(F372)),Q372,"")</f>
        <v/>
      </c>
      <c r="U372">
        <f>IF(AND(Q372&lt;&gt;"",ISNUMBER(G372)),Q372,"")</f>
        <v/>
      </c>
      <c r="V372">
        <f>IF(AND(Q372&lt;&gt;"",ISNUMBER(H372)),Q372,"")</f>
        <v/>
      </c>
      <c r="W372">
        <f>IF(AND(Q372&lt;&gt;"",ISNUMBER(I372)),Q372,"")</f>
        <v/>
      </c>
      <c r="X372">
        <f>IF(AND(Q372&lt;&gt;"",ISNUMBER(J372)),Q372,"")</f>
        <v/>
      </c>
      <c r="Y372">
        <f>IF(AND(Q372&lt;&gt;"",ISNUMBER(K372)),Q372,"")</f>
        <v/>
      </c>
      <c r="Z372">
        <f>IF(AND(Q372&lt;&gt;"",ISNUMBER(L372)),Q372,"")</f>
        <v/>
      </c>
      <c r="AA372">
        <f>IF(AND(Q372&lt;&gt;"",ISNUMBER(M372)),Q372,"")</f>
        <v/>
      </c>
      <c r="AB372">
        <f>IF(AND(Q372&lt;&gt;"",ISNUMBER(K372)),K372,"")</f>
        <v/>
      </c>
      <c r="AC372">
        <f>IF(AND(Q372&lt;&gt;"",ISNUMBER(L372)),L372,"")</f>
        <v/>
      </c>
      <c r="AD372">
        <f>IF(AND(Q372&lt;&gt;"",ISNUMBER(M372)),M372,"")</f>
        <v/>
      </c>
    </row>
    <row r="373">
      <c r="A373" s="1" t="n"/>
      <c r="B373" s="17" t="n"/>
      <c r="C373" s="27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9" t="n"/>
      <c r="N373" s="21" t="n"/>
      <c r="O373" s="12">
        <f>IF(AND(B373="",C373=""),"",IF(NOT(ISNUMBER(B373)),"Needs a date",IF(C373="","Needs a client",IF(COUNTIF(Clients!$B$6:$B$105,C373)=0,"Not on Clients",IF(COUNT(D373:M373)=0,"Nothing measured","")))))</f>
        <v/>
      </c>
      <c r="P373" s="1">
        <f>IF(AND(O373="",ISNUMBER(B373)),INT(B373),0)</f>
        <v/>
      </c>
      <c r="Q373">
        <f>IF(AND(P373&gt;0,C373=Report!$C$5),P373*10000+ROW(),"")</f>
        <v/>
      </c>
      <c r="R373">
        <f>IF(AND(Q373&lt;&gt;"",ISNUMBER(D373)),Q373,"")</f>
        <v/>
      </c>
      <c r="S373">
        <f>IF(AND(Q373&lt;&gt;"",ISNUMBER(E373)),Q373,"")</f>
        <v/>
      </c>
      <c r="T373">
        <f>IF(AND(Q373&lt;&gt;"",ISNUMBER(F373)),Q373,"")</f>
        <v/>
      </c>
      <c r="U373">
        <f>IF(AND(Q373&lt;&gt;"",ISNUMBER(G373)),Q373,"")</f>
        <v/>
      </c>
      <c r="V373">
        <f>IF(AND(Q373&lt;&gt;"",ISNUMBER(H373)),Q373,"")</f>
        <v/>
      </c>
      <c r="W373">
        <f>IF(AND(Q373&lt;&gt;"",ISNUMBER(I373)),Q373,"")</f>
        <v/>
      </c>
      <c r="X373">
        <f>IF(AND(Q373&lt;&gt;"",ISNUMBER(J373)),Q373,"")</f>
        <v/>
      </c>
      <c r="Y373">
        <f>IF(AND(Q373&lt;&gt;"",ISNUMBER(K373)),Q373,"")</f>
        <v/>
      </c>
      <c r="Z373">
        <f>IF(AND(Q373&lt;&gt;"",ISNUMBER(L373)),Q373,"")</f>
        <v/>
      </c>
      <c r="AA373">
        <f>IF(AND(Q373&lt;&gt;"",ISNUMBER(M373)),Q373,"")</f>
        <v/>
      </c>
      <c r="AB373">
        <f>IF(AND(Q373&lt;&gt;"",ISNUMBER(K373)),K373,"")</f>
        <v/>
      </c>
      <c r="AC373">
        <f>IF(AND(Q373&lt;&gt;"",ISNUMBER(L373)),L373,"")</f>
        <v/>
      </c>
      <c r="AD373">
        <f>IF(AND(Q373&lt;&gt;"",ISNUMBER(M373)),M373,"")</f>
        <v/>
      </c>
    </row>
    <row r="374">
      <c r="A374" s="1" t="n"/>
      <c r="B374" s="17" t="n"/>
      <c r="C374" s="27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9" t="n"/>
      <c r="N374" s="21" t="n"/>
      <c r="O374" s="12">
        <f>IF(AND(B374="",C374=""),"",IF(NOT(ISNUMBER(B374)),"Needs a date",IF(C374="","Needs a client",IF(COUNTIF(Clients!$B$6:$B$105,C374)=0,"Not on Clients",IF(COUNT(D374:M374)=0,"Nothing measured","")))))</f>
        <v/>
      </c>
      <c r="P374" s="1">
        <f>IF(AND(O374="",ISNUMBER(B374)),INT(B374),0)</f>
        <v/>
      </c>
      <c r="Q374">
        <f>IF(AND(P374&gt;0,C374=Report!$C$5),P374*10000+ROW(),"")</f>
        <v/>
      </c>
      <c r="R374">
        <f>IF(AND(Q374&lt;&gt;"",ISNUMBER(D374)),Q374,"")</f>
        <v/>
      </c>
      <c r="S374">
        <f>IF(AND(Q374&lt;&gt;"",ISNUMBER(E374)),Q374,"")</f>
        <v/>
      </c>
      <c r="T374">
        <f>IF(AND(Q374&lt;&gt;"",ISNUMBER(F374)),Q374,"")</f>
        <v/>
      </c>
      <c r="U374">
        <f>IF(AND(Q374&lt;&gt;"",ISNUMBER(G374)),Q374,"")</f>
        <v/>
      </c>
      <c r="V374">
        <f>IF(AND(Q374&lt;&gt;"",ISNUMBER(H374)),Q374,"")</f>
        <v/>
      </c>
      <c r="W374">
        <f>IF(AND(Q374&lt;&gt;"",ISNUMBER(I374)),Q374,"")</f>
        <v/>
      </c>
      <c r="X374">
        <f>IF(AND(Q374&lt;&gt;"",ISNUMBER(J374)),Q374,"")</f>
        <v/>
      </c>
      <c r="Y374">
        <f>IF(AND(Q374&lt;&gt;"",ISNUMBER(K374)),Q374,"")</f>
        <v/>
      </c>
      <c r="Z374">
        <f>IF(AND(Q374&lt;&gt;"",ISNUMBER(L374)),Q374,"")</f>
        <v/>
      </c>
      <c r="AA374">
        <f>IF(AND(Q374&lt;&gt;"",ISNUMBER(M374)),Q374,"")</f>
        <v/>
      </c>
      <c r="AB374">
        <f>IF(AND(Q374&lt;&gt;"",ISNUMBER(K374)),K374,"")</f>
        <v/>
      </c>
      <c r="AC374">
        <f>IF(AND(Q374&lt;&gt;"",ISNUMBER(L374)),L374,"")</f>
        <v/>
      </c>
      <c r="AD374">
        <f>IF(AND(Q374&lt;&gt;"",ISNUMBER(M374)),M374,"")</f>
        <v/>
      </c>
    </row>
    <row r="375">
      <c r="A375" s="1" t="n"/>
      <c r="B375" s="17" t="n"/>
      <c r="C375" s="27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9" t="n"/>
      <c r="N375" s="21" t="n"/>
      <c r="O375" s="12">
        <f>IF(AND(B375="",C375=""),"",IF(NOT(ISNUMBER(B375)),"Needs a date",IF(C375="","Needs a client",IF(COUNTIF(Clients!$B$6:$B$105,C375)=0,"Not on Clients",IF(COUNT(D375:M375)=0,"Nothing measured","")))))</f>
        <v/>
      </c>
      <c r="P375" s="1">
        <f>IF(AND(O375="",ISNUMBER(B375)),INT(B375),0)</f>
        <v/>
      </c>
      <c r="Q375">
        <f>IF(AND(P375&gt;0,C375=Report!$C$5),P375*10000+ROW(),"")</f>
        <v/>
      </c>
      <c r="R375">
        <f>IF(AND(Q375&lt;&gt;"",ISNUMBER(D375)),Q375,"")</f>
        <v/>
      </c>
      <c r="S375">
        <f>IF(AND(Q375&lt;&gt;"",ISNUMBER(E375)),Q375,"")</f>
        <v/>
      </c>
      <c r="T375">
        <f>IF(AND(Q375&lt;&gt;"",ISNUMBER(F375)),Q375,"")</f>
        <v/>
      </c>
      <c r="U375">
        <f>IF(AND(Q375&lt;&gt;"",ISNUMBER(G375)),Q375,"")</f>
        <v/>
      </c>
      <c r="V375">
        <f>IF(AND(Q375&lt;&gt;"",ISNUMBER(H375)),Q375,"")</f>
        <v/>
      </c>
      <c r="W375">
        <f>IF(AND(Q375&lt;&gt;"",ISNUMBER(I375)),Q375,"")</f>
        <v/>
      </c>
      <c r="X375">
        <f>IF(AND(Q375&lt;&gt;"",ISNUMBER(J375)),Q375,"")</f>
        <v/>
      </c>
      <c r="Y375">
        <f>IF(AND(Q375&lt;&gt;"",ISNUMBER(K375)),Q375,"")</f>
        <v/>
      </c>
      <c r="Z375">
        <f>IF(AND(Q375&lt;&gt;"",ISNUMBER(L375)),Q375,"")</f>
        <v/>
      </c>
      <c r="AA375">
        <f>IF(AND(Q375&lt;&gt;"",ISNUMBER(M375)),Q375,"")</f>
        <v/>
      </c>
      <c r="AB375">
        <f>IF(AND(Q375&lt;&gt;"",ISNUMBER(K375)),K375,"")</f>
        <v/>
      </c>
      <c r="AC375">
        <f>IF(AND(Q375&lt;&gt;"",ISNUMBER(L375)),L375,"")</f>
        <v/>
      </c>
      <c r="AD375">
        <f>IF(AND(Q375&lt;&gt;"",ISNUMBER(M375)),M375,"")</f>
        <v/>
      </c>
    </row>
    <row r="376">
      <c r="A376" s="1" t="n"/>
      <c r="B376" s="17" t="n"/>
      <c r="C376" s="27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9" t="n"/>
      <c r="N376" s="21" t="n"/>
      <c r="O376" s="12">
        <f>IF(AND(B376="",C376=""),"",IF(NOT(ISNUMBER(B376)),"Needs a date",IF(C376="","Needs a client",IF(COUNTIF(Clients!$B$6:$B$105,C376)=0,"Not on Clients",IF(COUNT(D376:M376)=0,"Nothing measured","")))))</f>
        <v/>
      </c>
      <c r="P376" s="1">
        <f>IF(AND(O376="",ISNUMBER(B376)),INT(B376),0)</f>
        <v/>
      </c>
      <c r="Q376">
        <f>IF(AND(P376&gt;0,C376=Report!$C$5),P376*10000+ROW(),"")</f>
        <v/>
      </c>
      <c r="R376">
        <f>IF(AND(Q376&lt;&gt;"",ISNUMBER(D376)),Q376,"")</f>
        <v/>
      </c>
      <c r="S376">
        <f>IF(AND(Q376&lt;&gt;"",ISNUMBER(E376)),Q376,"")</f>
        <v/>
      </c>
      <c r="T376">
        <f>IF(AND(Q376&lt;&gt;"",ISNUMBER(F376)),Q376,"")</f>
        <v/>
      </c>
      <c r="U376">
        <f>IF(AND(Q376&lt;&gt;"",ISNUMBER(G376)),Q376,"")</f>
        <v/>
      </c>
      <c r="V376">
        <f>IF(AND(Q376&lt;&gt;"",ISNUMBER(H376)),Q376,"")</f>
        <v/>
      </c>
      <c r="W376">
        <f>IF(AND(Q376&lt;&gt;"",ISNUMBER(I376)),Q376,"")</f>
        <v/>
      </c>
      <c r="X376">
        <f>IF(AND(Q376&lt;&gt;"",ISNUMBER(J376)),Q376,"")</f>
        <v/>
      </c>
      <c r="Y376">
        <f>IF(AND(Q376&lt;&gt;"",ISNUMBER(K376)),Q376,"")</f>
        <v/>
      </c>
      <c r="Z376">
        <f>IF(AND(Q376&lt;&gt;"",ISNUMBER(L376)),Q376,"")</f>
        <v/>
      </c>
      <c r="AA376">
        <f>IF(AND(Q376&lt;&gt;"",ISNUMBER(M376)),Q376,"")</f>
        <v/>
      </c>
      <c r="AB376">
        <f>IF(AND(Q376&lt;&gt;"",ISNUMBER(K376)),K376,"")</f>
        <v/>
      </c>
      <c r="AC376">
        <f>IF(AND(Q376&lt;&gt;"",ISNUMBER(L376)),L376,"")</f>
        <v/>
      </c>
      <c r="AD376">
        <f>IF(AND(Q376&lt;&gt;"",ISNUMBER(M376)),M376,"")</f>
        <v/>
      </c>
    </row>
    <row r="377">
      <c r="A377" s="1" t="n"/>
      <c r="B377" s="17" t="n"/>
      <c r="C377" s="27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9" t="n"/>
      <c r="N377" s="21" t="n"/>
      <c r="O377" s="12">
        <f>IF(AND(B377="",C377=""),"",IF(NOT(ISNUMBER(B377)),"Needs a date",IF(C377="","Needs a client",IF(COUNTIF(Clients!$B$6:$B$105,C377)=0,"Not on Clients",IF(COUNT(D377:M377)=0,"Nothing measured","")))))</f>
        <v/>
      </c>
      <c r="P377" s="1">
        <f>IF(AND(O377="",ISNUMBER(B377)),INT(B377),0)</f>
        <v/>
      </c>
      <c r="Q377">
        <f>IF(AND(P377&gt;0,C377=Report!$C$5),P377*10000+ROW(),"")</f>
        <v/>
      </c>
      <c r="R377">
        <f>IF(AND(Q377&lt;&gt;"",ISNUMBER(D377)),Q377,"")</f>
        <v/>
      </c>
      <c r="S377">
        <f>IF(AND(Q377&lt;&gt;"",ISNUMBER(E377)),Q377,"")</f>
        <v/>
      </c>
      <c r="T377">
        <f>IF(AND(Q377&lt;&gt;"",ISNUMBER(F377)),Q377,"")</f>
        <v/>
      </c>
      <c r="U377">
        <f>IF(AND(Q377&lt;&gt;"",ISNUMBER(G377)),Q377,"")</f>
        <v/>
      </c>
      <c r="V377">
        <f>IF(AND(Q377&lt;&gt;"",ISNUMBER(H377)),Q377,"")</f>
        <v/>
      </c>
      <c r="W377">
        <f>IF(AND(Q377&lt;&gt;"",ISNUMBER(I377)),Q377,"")</f>
        <v/>
      </c>
      <c r="X377">
        <f>IF(AND(Q377&lt;&gt;"",ISNUMBER(J377)),Q377,"")</f>
        <v/>
      </c>
      <c r="Y377">
        <f>IF(AND(Q377&lt;&gt;"",ISNUMBER(K377)),Q377,"")</f>
        <v/>
      </c>
      <c r="Z377">
        <f>IF(AND(Q377&lt;&gt;"",ISNUMBER(L377)),Q377,"")</f>
        <v/>
      </c>
      <c r="AA377">
        <f>IF(AND(Q377&lt;&gt;"",ISNUMBER(M377)),Q377,"")</f>
        <v/>
      </c>
      <c r="AB377">
        <f>IF(AND(Q377&lt;&gt;"",ISNUMBER(K377)),K377,"")</f>
        <v/>
      </c>
      <c r="AC377">
        <f>IF(AND(Q377&lt;&gt;"",ISNUMBER(L377)),L377,"")</f>
        <v/>
      </c>
      <c r="AD377">
        <f>IF(AND(Q377&lt;&gt;"",ISNUMBER(M377)),M377,"")</f>
        <v/>
      </c>
    </row>
    <row r="378">
      <c r="A378" s="1" t="n"/>
      <c r="B378" s="17" t="n"/>
      <c r="C378" s="27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9" t="n"/>
      <c r="N378" s="21" t="n"/>
      <c r="O378" s="12">
        <f>IF(AND(B378="",C378=""),"",IF(NOT(ISNUMBER(B378)),"Needs a date",IF(C378="","Needs a client",IF(COUNTIF(Clients!$B$6:$B$105,C378)=0,"Not on Clients",IF(COUNT(D378:M378)=0,"Nothing measured","")))))</f>
        <v/>
      </c>
      <c r="P378" s="1">
        <f>IF(AND(O378="",ISNUMBER(B378)),INT(B378),0)</f>
        <v/>
      </c>
      <c r="Q378">
        <f>IF(AND(P378&gt;0,C378=Report!$C$5),P378*10000+ROW(),"")</f>
        <v/>
      </c>
      <c r="R378">
        <f>IF(AND(Q378&lt;&gt;"",ISNUMBER(D378)),Q378,"")</f>
        <v/>
      </c>
      <c r="S378">
        <f>IF(AND(Q378&lt;&gt;"",ISNUMBER(E378)),Q378,"")</f>
        <v/>
      </c>
      <c r="T378">
        <f>IF(AND(Q378&lt;&gt;"",ISNUMBER(F378)),Q378,"")</f>
        <v/>
      </c>
      <c r="U378">
        <f>IF(AND(Q378&lt;&gt;"",ISNUMBER(G378)),Q378,"")</f>
        <v/>
      </c>
      <c r="V378">
        <f>IF(AND(Q378&lt;&gt;"",ISNUMBER(H378)),Q378,"")</f>
        <v/>
      </c>
      <c r="W378">
        <f>IF(AND(Q378&lt;&gt;"",ISNUMBER(I378)),Q378,"")</f>
        <v/>
      </c>
      <c r="X378">
        <f>IF(AND(Q378&lt;&gt;"",ISNUMBER(J378)),Q378,"")</f>
        <v/>
      </c>
      <c r="Y378">
        <f>IF(AND(Q378&lt;&gt;"",ISNUMBER(K378)),Q378,"")</f>
        <v/>
      </c>
      <c r="Z378">
        <f>IF(AND(Q378&lt;&gt;"",ISNUMBER(L378)),Q378,"")</f>
        <v/>
      </c>
      <c r="AA378">
        <f>IF(AND(Q378&lt;&gt;"",ISNUMBER(M378)),Q378,"")</f>
        <v/>
      </c>
      <c r="AB378">
        <f>IF(AND(Q378&lt;&gt;"",ISNUMBER(K378)),K378,"")</f>
        <v/>
      </c>
      <c r="AC378">
        <f>IF(AND(Q378&lt;&gt;"",ISNUMBER(L378)),L378,"")</f>
        <v/>
      </c>
      <c r="AD378">
        <f>IF(AND(Q378&lt;&gt;"",ISNUMBER(M378)),M378,"")</f>
        <v/>
      </c>
    </row>
    <row r="379">
      <c r="A379" s="1" t="n"/>
      <c r="B379" s="17" t="n"/>
      <c r="C379" s="27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9" t="n"/>
      <c r="N379" s="21" t="n"/>
      <c r="O379" s="12">
        <f>IF(AND(B379="",C379=""),"",IF(NOT(ISNUMBER(B379)),"Needs a date",IF(C379="","Needs a client",IF(COUNTIF(Clients!$B$6:$B$105,C379)=0,"Not on Clients",IF(COUNT(D379:M379)=0,"Nothing measured","")))))</f>
        <v/>
      </c>
      <c r="P379" s="1">
        <f>IF(AND(O379="",ISNUMBER(B379)),INT(B379),0)</f>
        <v/>
      </c>
      <c r="Q379">
        <f>IF(AND(P379&gt;0,C379=Report!$C$5),P379*10000+ROW(),"")</f>
        <v/>
      </c>
      <c r="R379">
        <f>IF(AND(Q379&lt;&gt;"",ISNUMBER(D379)),Q379,"")</f>
        <v/>
      </c>
      <c r="S379">
        <f>IF(AND(Q379&lt;&gt;"",ISNUMBER(E379)),Q379,"")</f>
        <v/>
      </c>
      <c r="T379">
        <f>IF(AND(Q379&lt;&gt;"",ISNUMBER(F379)),Q379,"")</f>
        <v/>
      </c>
      <c r="U379">
        <f>IF(AND(Q379&lt;&gt;"",ISNUMBER(G379)),Q379,"")</f>
        <v/>
      </c>
      <c r="V379">
        <f>IF(AND(Q379&lt;&gt;"",ISNUMBER(H379)),Q379,"")</f>
        <v/>
      </c>
      <c r="W379">
        <f>IF(AND(Q379&lt;&gt;"",ISNUMBER(I379)),Q379,"")</f>
        <v/>
      </c>
      <c r="X379">
        <f>IF(AND(Q379&lt;&gt;"",ISNUMBER(J379)),Q379,"")</f>
        <v/>
      </c>
      <c r="Y379">
        <f>IF(AND(Q379&lt;&gt;"",ISNUMBER(K379)),Q379,"")</f>
        <v/>
      </c>
      <c r="Z379">
        <f>IF(AND(Q379&lt;&gt;"",ISNUMBER(L379)),Q379,"")</f>
        <v/>
      </c>
      <c r="AA379">
        <f>IF(AND(Q379&lt;&gt;"",ISNUMBER(M379)),Q379,"")</f>
        <v/>
      </c>
      <c r="AB379">
        <f>IF(AND(Q379&lt;&gt;"",ISNUMBER(K379)),K379,"")</f>
        <v/>
      </c>
      <c r="AC379">
        <f>IF(AND(Q379&lt;&gt;"",ISNUMBER(L379)),L379,"")</f>
        <v/>
      </c>
      <c r="AD379">
        <f>IF(AND(Q379&lt;&gt;"",ISNUMBER(M379)),M379,"")</f>
        <v/>
      </c>
    </row>
    <row r="380">
      <c r="A380" s="1" t="n"/>
      <c r="B380" s="17" t="n"/>
      <c r="C380" s="27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9" t="n"/>
      <c r="N380" s="21" t="n"/>
      <c r="O380" s="12">
        <f>IF(AND(B380="",C380=""),"",IF(NOT(ISNUMBER(B380)),"Needs a date",IF(C380="","Needs a client",IF(COUNTIF(Clients!$B$6:$B$105,C380)=0,"Not on Clients",IF(COUNT(D380:M380)=0,"Nothing measured","")))))</f>
        <v/>
      </c>
      <c r="P380" s="1">
        <f>IF(AND(O380="",ISNUMBER(B380)),INT(B380),0)</f>
        <v/>
      </c>
      <c r="Q380">
        <f>IF(AND(P380&gt;0,C380=Report!$C$5),P380*10000+ROW(),"")</f>
        <v/>
      </c>
      <c r="R380">
        <f>IF(AND(Q380&lt;&gt;"",ISNUMBER(D380)),Q380,"")</f>
        <v/>
      </c>
      <c r="S380">
        <f>IF(AND(Q380&lt;&gt;"",ISNUMBER(E380)),Q380,"")</f>
        <v/>
      </c>
      <c r="T380">
        <f>IF(AND(Q380&lt;&gt;"",ISNUMBER(F380)),Q380,"")</f>
        <v/>
      </c>
      <c r="U380">
        <f>IF(AND(Q380&lt;&gt;"",ISNUMBER(G380)),Q380,"")</f>
        <v/>
      </c>
      <c r="V380">
        <f>IF(AND(Q380&lt;&gt;"",ISNUMBER(H380)),Q380,"")</f>
        <v/>
      </c>
      <c r="W380">
        <f>IF(AND(Q380&lt;&gt;"",ISNUMBER(I380)),Q380,"")</f>
        <v/>
      </c>
      <c r="X380">
        <f>IF(AND(Q380&lt;&gt;"",ISNUMBER(J380)),Q380,"")</f>
        <v/>
      </c>
      <c r="Y380">
        <f>IF(AND(Q380&lt;&gt;"",ISNUMBER(K380)),Q380,"")</f>
        <v/>
      </c>
      <c r="Z380">
        <f>IF(AND(Q380&lt;&gt;"",ISNUMBER(L380)),Q380,"")</f>
        <v/>
      </c>
      <c r="AA380">
        <f>IF(AND(Q380&lt;&gt;"",ISNUMBER(M380)),Q380,"")</f>
        <v/>
      </c>
      <c r="AB380">
        <f>IF(AND(Q380&lt;&gt;"",ISNUMBER(K380)),K380,"")</f>
        <v/>
      </c>
      <c r="AC380">
        <f>IF(AND(Q380&lt;&gt;"",ISNUMBER(L380)),L380,"")</f>
        <v/>
      </c>
      <c r="AD380">
        <f>IF(AND(Q380&lt;&gt;"",ISNUMBER(M380)),M380,"")</f>
        <v/>
      </c>
    </row>
    <row r="381">
      <c r="A381" s="1" t="n"/>
      <c r="B381" s="17" t="n"/>
      <c r="C381" s="27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9" t="n"/>
      <c r="N381" s="21" t="n"/>
      <c r="O381" s="12">
        <f>IF(AND(B381="",C381=""),"",IF(NOT(ISNUMBER(B381)),"Needs a date",IF(C381="","Needs a client",IF(COUNTIF(Clients!$B$6:$B$105,C381)=0,"Not on Clients",IF(COUNT(D381:M381)=0,"Nothing measured","")))))</f>
        <v/>
      </c>
      <c r="P381" s="1">
        <f>IF(AND(O381="",ISNUMBER(B381)),INT(B381),0)</f>
        <v/>
      </c>
      <c r="Q381">
        <f>IF(AND(P381&gt;0,C381=Report!$C$5),P381*10000+ROW(),"")</f>
        <v/>
      </c>
      <c r="R381">
        <f>IF(AND(Q381&lt;&gt;"",ISNUMBER(D381)),Q381,"")</f>
        <v/>
      </c>
      <c r="S381">
        <f>IF(AND(Q381&lt;&gt;"",ISNUMBER(E381)),Q381,"")</f>
        <v/>
      </c>
      <c r="T381">
        <f>IF(AND(Q381&lt;&gt;"",ISNUMBER(F381)),Q381,"")</f>
        <v/>
      </c>
      <c r="U381">
        <f>IF(AND(Q381&lt;&gt;"",ISNUMBER(G381)),Q381,"")</f>
        <v/>
      </c>
      <c r="V381">
        <f>IF(AND(Q381&lt;&gt;"",ISNUMBER(H381)),Q381,"")</f>
        <v/>
      </c>
      <c r="W381">
        <f>IF(AND(Q381&lt;&gt;"",ISNUMBER(I381)),Q381,"")</f>
        <v/>
      </c>
      <c r="X381">
        <f>IF(AND(Q381&lt;&gt;"",ISNUMBER(J381)),Q381,"")</f>
        <v/>
      </c>
      <c r="Y381">
        <f>IF(AND(Q381&lt;&gt;"",ISNUMBER(K381)),Q381,"")</f>
        <v/>
      </c>
      <c r="Z381">
        <f>IF(AND(Q381&lt;&gt;"",ISNUMBER(L381)),Q381,"")</f>
        <v/>
      </c>
      <c r="AA381">
        <f>IF(AND(Q381&lt;&gt;"",ISNUMBER(M381)),Q381,"")</f>
        <v/>
      </c>
      <c r="AB381">
        <f>IF(AND(Q381&lt;&gt;"",ISNUMBER(K381)),K381,"")</f>
        <v/>
      </c>
      <c r="AC381">
        <f>IF(AND(Q381&lt;&gt;"",ISNUMBER(L381)),L381,"")</f>
        <v/>
      </c>
      <c r="AD381">
        <f>IF(AND(Q381&lt;&gt;"",ISNUMBER(M381)),M381,"")</f>
        <v/>
      </c>
    </row>
    <row r="382">
      <c r="A382" s="1" t="n"/>
      <c r="B382" s="17" t="n"/>
      <c r="C382" s="27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9" t="n"/>
      <c r="N382" s="21" t="n"/>
      <c r="O382" s="12">
        <f>IF(AND(B382="",C382=""),"",IF(NOT(ISNUMBER(B382)),"Needs a date",IF(C382="","Needs a client",IF(COUNTIF(Clients!$B$6:$B$105,C382)=0,"Not on Clients",IF(COUNT(D382:M382)=0,"Nothing measured","")))))</f>
        <v/>
      </c>
      <c r="P382" s="1">
        <f>IF(AND(O382="",ISNUMBER(B382)),INT(B382),0)</f>
        <v/>
      </c>
      <c r="Q382">
        <f>IF(AND(P382&gt;0,C382=Report!$C$5),P382*10000+ROW(),"")</f>
        <v/>
      </c>
      <c r="R382">
        <f>IF(AND(Q382&lt;&gt;"",ISNUMBER(D382)),Q382,"")</f>
        <v/>
      </c>
      <c r="S382">
        <f>IF(AND(Q382&lt;&gt;"",ISNUMBER(E382)),Q382,"")</f>
        <v/>
      </c>
      <c r="T382">
        <f>IF(AND(Q382&lt;&gt;"",ISNUMBER(F382)),Q382,"")</f>
        <v/>
      </c>
      <c r="U382">
        <f>IF(AND(Q382&lt;&gt;"",ISNUMBER(G382)),Q382,"")</f>
        <v/>
      </c>
      <c r="V382">
        <f>IF(AND(Q382&lt;&gt;"",ISNUMBER(H382)),Q382,"")</f>
        <v/>
      </c>
      <c r="W382">
        <f>IF(AND(Q382&lt;&gt;"",ISNUMBER(I382)),Q382,"")</f>
        <v/>
      </c>
      <c r="X382">
        <f>IF(AND(Q382&lt;&gt;"",ISNUMBER(J382)),Q382,"")</f>
        <v/>
      </c>
      <c r="Y382">
        <f>IF(AND(Q382&lt;&gt;"",ISNUMBER(K382)),Q382,"")</f>
        <v/>
      </c>
      <c r="Z382">
        <f>IF(AND(Q382&lt;&gt;"",ISNUMBER(L382)),Q382,"")</f>
        <v/>
      </c>
      <c r="AA382">
        <f>IF(AND(Q382&lt;&gt;"",ISNUMBER(M382)),Q382,"")</f>
        <v/>
      </c>
      <c r="AB382">
        <f>IF(AND(Q382&lt;&gt;"",ISNUMBER(K382)),K382,"")</f>
        <v/>
      </c>
      <c r="AC382">
        <f>IF(AND(Q382&lt;&gt;"",ISNUMBER(L382)),L382,"")</f>
        <v/>
      </c>
      <c r="AD382">
        <f>IF(AND(Q382&lt;&gt;"",ISNUMBER(M382)),M382,"")</f>
        <v/>
      </c>
    </row>
    <row r="383">
      <c r="A383" s="1" t="n"/>
      <c r="B383" s="17" t="n"/>
      <c r="C383" s="27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9" t="n"/>
      <c r="N383" s="21" t="n"/>
      <c r="O383" s="12">
        <f>IF(AND(B383="",C383=""),"",IF(NOT(ISNUMBER(B383)),"Needs a date",IF(C383="","Needs a client",IF(COUNTIF(Clients!$B$6:$B$105,C383)=0,"Not on Clients",IF(COUNT(D383:M383)=0,"Nothing measured","")))))</f>
        <v/>
      </c>
      <c r="P383" s="1">
        <f>IF(AND(O383="",ISNUMBER(B383)),INT(B383),0)</f>
        <v/>
      </c>
      <c r="Q383">
        <f>IF(AND(P383&gt;0,C383=Report!$C$5),P383*10000+ROW(),"")</f>
        <v/>
      </c>
      <c r="R383">
        <f>IF(AND(Q383&lt;&gt;"",ISNUMBER(D383)),Q383,"")</f>
        <v/>
      </c>
      <c r="S383">
        <f>IF(AND(Q383&lt;&gt;"",ISNUMBER(E383)),Q383,"")</f>
        <v/>
      </c>
      <c r="T383">
        <f>IF(AND(Q383&lt;&gt;"",ISNUMBER(F383)),Q383,"")</f>
        <v/>
      </c>
      <c r="U383">
        <f>IF(AND(Q383&lt;&gt;"",ISNUMBER(G383)),Q383,"")</f>
        <v/>
      </c>
      <c r="V383">
        <f>IF(AND(Q383&lt;&gt;"",ISNUMBER(H383)),Q383,"")</f>
        <v/>
      </c>
      <c r="W383">
        <f>IF(AND(Q383&lt;&gt;"",ISNUMBER(I383)),Q383,"")</f>
        <v/>
      </c>
      <c r="X383">
        <f>IF(AND(Q383&lt;&gt;"",ISNUMBER(J383)),Q383,"")</f>
        <v/>
      </c>
      <c r="Y383">
        <f>IF(AND(Q383&lt;&gt;"",ISNUMBER(K383)),Q383,"")</f>
        <v/>
      </c>
      <c r="Z383">
        <f>IF(AND(Q383&lt;&gt;"",ISNUMBER(L383)),Q383,"")</f>
        <v/>
      </c>
      <c r="AA383">
        <f>IF(AND(Q383&lt;&gt;"",ISNUMBER(M383)),Q383,"")</f>
        <v/>
      </c>
      <c r="AB383">
        <f>IF(AND(Q383&lt;&gt;"",ISNUMBER(K383)),K383,"")</f>
        <v/>
      </c>
      <c r="AC383">
        <f>IF(AND(Q383&lt;&gt;"",ISNUMBER(L383)),L383,"")</f>
        <v/>
      </c>
      <c r="AD383">
        <f>IF(AND(Q383&lt;&gt;"",ISNUMBER(M383)),M383,"")</f>
        <v/>
      </c>
    </row>
    <row r="384">
      <c r="A384" s="1" t="n"/>
      <c r="B384" s="17" t="n"/>
      <c r="C384" s="27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9" t="n"/>
      <c r="N384" s="21" t="n"/>
      <c r="O384" s="12">
        <f>IF(AND(B384="",C384=""),"",IF(NOT(ISNUMBER(B384)),"Needs a date",IF(C384="","Needs a client",IF(COUNTIF(Clients!$B$6:$B$105,C384)=0,"Not on Clients",IF(COUNT(D384:M384)=0,"Nothing measured","")))))</f>
        <v/>
      </c>
      <c r="P384" s="1">
        <f>IF(AND(O384="",ISNUMBER(B384)),INT(B384),0)</f>
        <v/>
      </c>
      <c r="Q384">
        <f>IF(AND(P384&gt;0,C384=Report!$C$5),P384*10000+ROW(),"")</f>
        <v/>
      </c>
      <c r="R384">
        <f>IF(AND(Q384&lt;&gt;"",ISNUMBER(D384)),Q384,"")</f>
        <v/>
      </c>
      <c r="S384">
        <f>IF(AND(Q384&lt;&gt;"",ISNUMBER(E384)),Q384,"")</f>
        <v/>
      </c>
      <c r="T384">
        <f>IF(AND(Q384&lt;&gt;"",ISNUMBER(F384)),Q384,"")</f>
        <v/>
      </c>
      <c r="U384">
        <f>IF(AND(Q384&lt;&gt;"",ISNUMBER(G384)),Q384,"")</f>
        <v/>
      </c>
      <c r="V384">
        <f>IF(AND(Q384&lt;&gt;"",ISNUMBER(H384)),Q384,"")</f>
        <v/>
      </c>
      <c r="W384">
        <f>IF(AND(Q384&lt;&gt;"",ISNUMBER(I384)),Q384,"")</f>
        <v/>
      </c>
      <c r="X384">
        <f>IF(AND(Q384&lt;&gt;"",ISNUMBER(J384)),Q384,"")</f>
        <v/>
      </c>
      <c r="Y384">
        <f>IF(AND(Q384&lt;&gt;"",ISNUMBER(K384)),Q384,"")</f>
        <v/>
      </c>
      <c r="Z384">
        <f>IF(AND(Q384&lt;&gt;"",ISNUMBER(L384)),Q384,"")</f>
        <v/>
      </c>
      <c r="AA384">
        <f>IF(AND(Q384&lt;&gt;"",ISNUMBER(M384)),Q384,"")</f>
        <v/>
      </c>
      <c r="AB384">
        <f>IF(AND(Q384&lt;&gt;"",ISNUMBER(K384)),K384,"")</f>
        <v/>
      </c>
      <c r="AC384">
        <f>IF(AND(Q384&lt;&gt;"",ISNUMBER(L384)),L384,"")</f>
        <v/>
      </c>
      <c r="AD384">
        <f>IF(AND(Q384&lt;&gt;"",ISNUMBER(M384)),M384,"")</f>
        <v/>
      </c>
    </row>
    <row r="385">
      <c r="A385" s="1" t="n"/>
      <c r="B385" s="17" t="n"/>
      <c r="C385" s="27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9" t="n"/>
      <c r="N385" s="21" t="n"/>
      <c r="O385" s="12">
        <f>IF(AND(B385="",C385=""),"",IF(NOT(ISNUMBER(B385)),"Needs a date",IF(C385="","Needs a client",IF(COUNTIF(Clients!$B$6:$B$105,C385)=0,"Not on Clients",IF(COUNT(D385:M385)=0,"Nothing measured","")))))</f>
        <v/>
      </c>
      <c r="P385" s="1">
        <f>IF(AND(O385="",ISNUMBER(B385)),INT(B385),0)</f>
        <v/>
      </c>
      <c r="Q385">
        <f>IF(AND(P385&gt;0,C385=Report!$C$5),P385*10000+ROW(),"")</f>
        <v/>
      </c>
      <c r="R385">
        <f>IF(AND(Q385&lt;&gt;"",ISNUMBER(D385)),Q385,"")</f>
        <v/>
      </c>
      <c r="S385">
        <f>IF(AND(Q385&lt;&gt;"",ISNUMBER(E385)),Q385,"")</f>
        <v/>
      </c>
      <c r="T385">
        <f>IF(AND(Q385&lt;&gt;"",ISNUMBER(F385)),Q385,"")</f>
        <v/>
      </c>
      <c r="U385">
        <f>IF(AND(Q385&lt;&gt;"",ISNUMBER(G385)),Q385,"")</f>
        <v/>
      </c>
      <c r="V385">
        <f>IF(AND(Q385&lt;&gt;"",ISNUMBER(H385)),Q385,"")</f>
        <v/>
      </c>
      <c r="W385">
        <f>IF(AND(Q385&lt;&gt;"",ISNUMBER(I385)),Q385,"")</f>
        <v/>
      </c>
      <c r="X385">
        <f>IF(AND(Q385&lt;&gt;"",ISNUMBER(J385)),Q385,"")</f>
        <v/>
      </c>
      <c r="Y385">
        <f>IF(AND(Q385&lt;&gt;"",ISNUMBER(K385)),Q385,"")</f>
        <v/>
      </c>
      <c r="Z385">
        <f>IF(AND(Q385&lt;&gt;"",ISNUMBER(L385)),Q385,"")</f>
        <v/>
      </c>
      <c r="AA385">
        <f>IF(AND(Q385&lt;&gt;"",ISNUMBER(M385)),Q385,"")</f>
        <v/>
      </c>
      <c r="AB385">
        <f>IF(AND(Q385&lt;&gt;"",ISNUMBER(K385)),K385,"")</f>
        <v/>
      </c>
      <c r="AC385">
        <f>IF(AND(Q385&lt;&gt;"",ISNUMBER(L385)),L385,"")</f>
        <v/>
      </c>
      <c r="AD385">
        <f>IF(AND(Q385&lt;&gt;"",ISNUMBER(M385)),M385,"")</f>
        <v/>
      </c>
    </row>
    <row r="386">
      <c r="A386" s="1" t="n"/>
      <c r="B386" s="17" t="n"/>
      <c r="C386" s="27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9" t="n"/>
      <c r="N386" s="21" t="n"/>
      <c r="O386" s="12">
        <f>IF(AND(B386="",C386=""),"",IF(NOT(ISNUMBER(B386)),"Needs a date",IF(C386="","Needs a client",IF(COUNTIF(Clients!$B$6:$B$105,C386)=0,"Not on Clients",IF(COUNT(D386:M386)=0,"Nothing measured","")))))</f>
        <v/>
      </c>
      <c r="P386" s="1">
        <f>IF(AND(O386="",ISNUMBER(B386)),INT(B386),0)</f>
        <v/>
      </c>
      <c r="Q386">
        <f>IF(AND(P386&gt;0,C386=Report!$C$5),P386*10000+ROW(),"")</f>
        <v/>
      </c>
      <c r="R386">
        <f>IF(AND(Q386&lt;&gt;"",ISNUMBER(D386)),Q386,"")</f>
        <v/>
      </c>
      <c r="S386">
        <f>IF(AND(Q386&lt;&gt;"",ISNUMBER(E386)),Q386,"")</f>
        <v/>
      </c>
      <c r="T386">
        <f>IF(AND(Q386&lt;&gt;"",ISNUMBER(F386)),Q386,"")</f>
        <v/>
      </c>
      <c r="U386">
        <f>IF(AND(Q386&lt;&gt;"",ISNUMBER(G386)),Q386,"")</f>
        <v/>
      </c>
      <c r="V386">
        <f>IF(AND(Q386&lt;&gt;"",ISNUMBER(H386)),Q386,"")</f>
        <v/>
      </c>
      <c r="W386">
        <f>IF(AND(Q386&lt;&gt;"",ISNUMBER(I386)),Q386,"")</f>
        <v/>
      </c>
      <c r="X386">
        <f>IF(AND(Q386&lt;&gt;"",ISNUMBER(J386)),Q386,"")</f>
        <v/>
      </c>
      <c r="Y386">
        <f>IF(AND(Q386&lt;&gt;"",ISNUMBER(K386)),Q386,"")</f>
        <v/>
      </c>
      <c r="Z386">
        <f>IF(AND(Q386&lt;&gt;"",ISNUMBER(L386)),Q386,"")</f>
        <v/>
      </c>
      <c r="AA386">
        <f>IF(AND(Q386&lt;&gt;"",ISNUMBER(M386)),Q386,"")</f>
        <v/>
      </c>
      <c r="AB386">
        <f>IF(AND(Q386&lt;&gt;"",ISNUMBER(K386)),K386,"")</f>
        <v/>
      </c>
      <c r="AC386">
        <f>IF(AND(Q386&lt;&gt;"",ISNUMBER(L386)),L386,"")</f>
        <v/>
      </c>
      <c r="AD386">
        <f>IF(AND(Q386&lt;&gt;"",ISNUMBER(M386)),M386,"")</f>
        <v/>
      </c>
    </row>
    <row r="387">
      <c r="A387" s="1" t="n"/>
      <c r="B387" s="17" t="n"/>
      <c r="C387" s="27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9" t="n"/>
      <c r="N387" s="21" t="n"/>
      <c r="O387" s="12">
        <f>IF(AND(B387="",C387=""),"",IF(NOT(ISNUMBER(B387)),"Needs a date",IF(C387="","Needs a client",IF(COUNTIF(Clients!$B$6:$B$105,C387)=0,"Not on Clients",IF(COUNT(D387:M387)=0,"Nothing measured","")))))</f>
        <v/>
      </c>
      <c r="P387" s="1">
        <f>IF(AND(O387="",ISNUMBER(B387)),INT(B387),0)</f>
        <v/>
      </c>
      <c r="Q387">
        <f>IF(AND(P387&gt;0,C387=Report!$C$5),P387*10000+ROW(),"")</f>
        <v/>
      </c>
      <c r="R387">
        <f>IF(AND(Q387&lt;&gt;"",ISNUMBER(D387)),Q387,"")</f>
        <v/>
      </c>
      <c r="S387">
        <f>IF(AND(Q387&lt;&gt;"",ISNUMBER(E387)),Q387,"")</f>
        <v/>
      </c>
      <c r="T387">
        <f>IF(AND(Q387&lt;&gt;"",ISNUMBER(F387)),Q387,"")</f>
        <v/>
      </c>
      <c r="U387">
        <f>IF(AND(Q387&lt;&gt;"",ISNUMBER(G387)),Q387,"")</f>
        <v/>
      </c>
      <c r="V387">
        <f>IF(AND(Q387&lt;&gt;"",ISNUMBER(H387)),Q387,"")</f>
        <v/>
      </c>
      <c r="W387">
        <f>IF(AND(Q387&lt;&gt;"",ISNUMBER(I387)),Q387,"")</f>
        <v/>
      </c>
      <c r="X387">
        <f>IF(AND(Q387&lt;&gt;"",ISNUMBER(J387)),Q387,"")</f>
        <v/>
      </c>
      <c r="Y387">
        <f>IF(AND(Q387&lt;&gt;"",ISNUMBER(K387)),Q387,"")</f>
        <v/>
      </c>
      <c r="Z387">
        <f>IF(AND(Q387&lt;&gt;"",ISNUMBER(L387)),Q387,"")</f>
        <v/>
      </c>
      <c r="AA387">
        <f>IF(AND(Q387&lt;&gt;"",ISNUMBER(M387)),Q387,"")</f>
        <v/>
      </c>
      <c r="AB387">
        <f>IF(AND(Q387&lt;&gt;"",ISNUMBER(K387)),K387,"")</f>
        <v/>
      </c>
      <c r="AC387">
        <f>IF(AND(Q387&lt;&gt;"",ISNUMBER(L387)),L387,"")</f>
        <v/>
      </c>
      <c r="AD387">
        <f>IF(AND(Q387&lt;&gt;"",ISNUMBER(M387)),M387,"")</f>
        <v/>
      </c>
    </row>
    <row r="388">
      <c r="A388" s="1" t="n"/>
      <c r="B388" s="17" t="n"/>
      <c r="C388" s="27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9" t="n"/>
      <c r="N388" s="21" t="n"/>
      <c r="O388" s="12">
        <f>IF(AND(B388="",C388=""),"",IF(NOT(ISNUMBER(B388)),"Needs a date",IF(C388="","Needs a client",IF(COUNTIF(Clients!$B$6:$B$105,C388)=0,"Not on Clients",IF(COUNT(D388:M388)=0,"Nothing measured","")))))</f>
        <v/>
      </c>
      <c r="P388" s="1">
        <f>IF(AND(O388="",ISNUMBER(B388)),INT(B388),0)</f>
        <v/>
      </c>
      <c r="Q388">
        <f>IF(AND(P388&gt;0,C388=Report!$C$5),P388*10000+ROW(),"")</f>
        <v/>
      </c>
      <c r="R388">
        <f>IF(AND(Q388&lt;&gt;"",ISNUMBER(D388)),Q388,"")</f>
        <v/>
      </c>
      <c r="S388">
        <f>IF(AND(Q388&lt;&gt;"",ISNUMBER(E388)),Q388,"")</f>
        <v/>
      </c>
      <c r="T388">
        <f>IF(AND(Q388&lt;&gt;"",ISNUMBER(F388)),Q388,"")</f>
        <v/>
      </c>
      <c r="U388">
        <f>IF(AND(Q388&lt;&gt;"",ISNUMBER(G388)),Q388,"")</f>
        <v/>
      </c>
      <c r="V388">
        <f>IF(AND(Q388&lt;&gt;"",ISNUMBER(H388)),Q388,"")</f>
        <v/>
      </c>
      <c r="W388">
        <f>IF(AND(Q388&lt;&gt;"",ISNUMBER(I388)),Q388,"")</f>
        <v/>
      </c>
      <c r="X388">
        <f>IF(AND(Q388&lt;&gt;"",ISNUMBER(J388)),Q388,"")</f>
        <v/>
      </c>
      <c r="Y388">
        <f>IF(AND(Q388&lt;&gt;"",ISNUMBER(K388)),Q388,"")</f>
        <v/>
      </c>
      <c r="Z388">
        <f>IF(AND(Q388&lt;&gt;"",ISNUMBER(L388)),Q388,"")</f>
        <v/>
      </c>
      <c r="AA388">
        <f>IF(AND(Q388&lt;&gt;"",ISNUMBER(M388)),Q388,"")</f>
        <v/>
      </c>
      <c r="AB388">
        <f>IF(AND(Q388&lt;&gt;"",ISNUMBER(K388)),K388,"")</f>
        <v/>
      </c>
      <c r="AC388">
        <f>IF(AND(Q388&lt;&gt;"",ISNUMBER(L388)),L388,"")</f>
        <v/>
      </c>
      <c r="AD388">
        <f>IF(AND(Q388&lt;&gt;"",ISNUMBER(M388)),M388,"")</f>
        <v/>
      </c>
    </row>
    <row r="389">
      <c r="A389" s="1" t="n"/>
      <c r="B389" s="17" t="n"/>
      <c r="C389" s="27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9" t="n"/>
      <c r="N389" s="21" t="n"/>
      <c r="O389" s="12">
        <f>IF(AND(B389="",C389=""),"",IF(NOT(ISNUMBER(B389)),"Needs a date",IF(C389="","Needs a client",IF(COUNTIF(Clients!$B$6:$B$105,C389)=0,"Not on Clients",IF(COUNT(D389:M389)=0,"Nothing measured","")))))</f>
        <v/>
      </c>
      <c r="P389" s="1">
        <f>IF(AND(O389="",ISNUMBER(B389)),INT(B389),0)</f>
        <v/>
      </c>
      <c r="Q389">
        <f>IF(AND(P389&gt;0,C389=Report!$C$5),P389*10000+ROW(),"")</f>
        <v/>
      </c>
      <c r="R389">
        <f>IF(AND(Q389&lt;&gt;"",ISNUMBER(D389)),Q389,"")</f>
        <v/>
      </c>
      <c r="S389">
        <f>IF(AND(Q389&lt;&gt;"",ISNUMBER(E389)),Q389,"")</f>
        <v/>
      </c>
      <c r="T389">
        <f>IF(AND(Q389&lt;&gt;"",ISNUMBER(F389)),Q389,"")</f>
        <v/>
      </c>
      <c r="U389">
        <f>IF(AND(Q389&lt;&gt;"",ISNUMBER(G389)),Q389,"")</f>
        <v/>
      </c>
      <c r="V389">
        <f>IF(AND(Q389&lt;&gt;"",ISNUMBER(H389)),Q389,"")</f>
        <v/>
      </c>
      <c r="W389">
        <f>IF(AND(Q389&lt;&gt;"",ISNUMBER(I389)),Q389,"")</f>
        <v/>
      </c>
      <c r="X389">
        <f>IF(AND(Q389&lt;&gt;"",ISNUMBER(J389)),Q389,"")</f>
        <v/>
      </c>
      <c r="Y389">
        <f>IF(AND(Q389&lt;&gt;"",ISNUMBER(K389)),Q389,"")</f>
        <v/>
      </c>
      <c r="Z389">
        <f>IF(AND(Q389&lt;&gt;"",ISNUMBER(L389)),Q389,"")</f>
        <v/>
      </c>
      <c r="AA389">
        <f>IF(AND(Q389&lt;&gt;"",ISNUMBER(M389)),Q389,"")</f>
        <v/>
      </c>
      <c r="AB389">
        <f>IF(AND(Q389&lt;&gt;"",ISNUMBER(K389)),K389,"")</f>
        <v/>
      </c>
      <c r="AC389">
        <f>IF(AND(Q389&lt;&gt;"",ISNUMBER(L389)),L389,"")</f>
        <v/>
      </c>
      <c r="AD389">
        <f>IF(AND(Q389&lt;&gt;"",ISNUMBER(M389)),M389,"")</f>
        <v/>
      </c>
    </row>
    <row r="390">
      <c r="A390" s="1" t="n"/>
      <c r="B390" s="17" t="n"/>
      <c r="C390" s="27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9" t="n"/>
      <c r="N390" s="21" t="n"/>
      <c r="O390" s="12">
        <f>IF(AND(B390="",C390=""),"",IF(NOT(ISNUMBER(B390)),"Needs a date",IF(C390="","Needs a client",IF(COUNTIF(Clients!$B$6:$B$105,C390)=0,"Not on Clients",IF(COUNT(D390:M390)=0,"Nothing measured","")))))</f>
        <v/>
      </c>
      <c r="P390" s="1">
        <f>IF(AND(O390="",ISNUMBER(B390)),INT(B390),0)</f>
        <v/>
      </c>
      <c r="Q390">
        <f>IF(AND(P390&gt;0,C390=Report!$C$5),P390*10000+ROW(),"")</f>
        <v/>
      </c>
      <c r="R390">
        <f>IF(AND(Q390&lt;&gt;"",ISNUMBER(D390)),Q390,"")</f>
        <v/>
      </c>
      <c r="S390">
        <f>IF(AND(Q390&lt;&gt;"",ISNUMBER(E390)),Q390,"")</f>
        <v/>
      </c>
      <c r="T390">
        <f>IF(AND(Q390&lt;&gt;"",ISNUMBER(F390)),Q390,"")</f>
        <v/>
      </c>
      <c r="U390">
        <f>IF(AND(Q390&lt;&gt;"",ISNUMBER(G390)),Q390,"")</f>
        <v/>
      </c>
      <c r="V390">
        <f>IF(AND(Q390&lt;&gt;"",ISNUMBER(H390)),Q390,"")</f>
        <v/>
      </c>
      <c r="W390">
        <f>IF(AND(Q390&lt;&gt;"",ISNUMBER(I390)),Q390,"")</f>
        <v/>
      </c>
      <c r="X390">
        <f>IF(AND(Q390&lt;&gt;"",ISNUMBER(J390)),Q390,"")</f>
        <v/>
      </c>
      <c r="Y390">
        <f>IF(AND(Q390&lt;&gt;"",ISNUMBER(K390)),Q390,"")</f>
        <v/>
      </c>
      <c r="Z390">
        <f>IF(AND(Q390&lt;&gt;"",ISNUMBER(L390)),Q390,"")</f>
        <v/>
      </c>
      <c r="AA390">
        <f>IF(AND(Q390&lt;&gt;"",ISNUMBER(M390)),Q390,"")</f>
        <v/>
      </c>
      <c r="AB390">
        <f>IF(AND(Q390&lt;&gt;"",ISNUMBER(K390)),K390,"")</f>
        <v/>
      </c>
      <c r="AC390">
        <f>IF(AND(Q390&lt;&gt;"",ISNUMBER(L390)),L390,"")</f>
        <v/>
      </c>
      <c r="AD390">
        <f>IF(AND(Q390&lt;&gt;"",ISNUMBER(M390)),M390,"")</f>
        <v/>
      </c>
    </row>
    <row r="391">
      <c r="A391" s="1" t="n"/>
      <c r="B391" s="17" t="n"/>
      <c r="C391" s="27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9" t="n"/>
      <c r="N391" s="21" t="n"/>
      <c r="O391" s="12">
        <f>IF(AND(B391="",C391=""),"",IF(NOT(ISNUMBER(B391)),"Needs a date",IF(C391="","Needs a client",IF(COUNTIF(Clients!$B$6:$B$105,C391)=0,"Not on Clients",IF(COUNT(D391:M391)=0,"Nothing measured","")))))</f>
        <v/>
      </c>
      <c r="P391" s="1">
        <f>IF(AND(O391="",ISNUMBER(B391)),INT(B391),0)</f>
        <v/>
      </c>
      <c r="Q391">
        <f>IF(AND(P391&gt;0,C391=Report!$C$5),P391*10000+ROW(),"")</f>
        <v/>
      </c>
      <c r="R391">
        <f>IF(AND(Q391&lt;&gt;"",ISNUMBER(D391)),Q391,"")</f>
        <v/>
      </c>
      <c r="S391">
        <f>IF(AND(Q391&lt;&gt;"",ISNUMBER(E391)),Q391,"")</f>
        <v/>
      </c>
      <c r="T391">
        <f>IF(AND(Q391&lt;&gt;"",ISNUMBER(F391)),Q391,"")</f>
        <v/>
      </c>
      <c r="U391">
        <f>IF(AND(Q391&lt;&gt;"",ISNUMBER(G391)),Q391,"")</f>
        <v/>
      </c>
      <c r="V391">
        <f>IF(AND(Q391&lt;&gt;"",ISNUMBER(H391)),Q391,"")</f>
        <v/>
      </c>
      <c r="W391">
        <f>IF(AND(Q391&lt;&gt;"",ISNUMBER(I391)),Q391,"")</f>
        <v/>
      </c>
      <c r="X391">
        <f>IF(AND(Q391&lt;&gt;"",ISNUMBER(J391)),Q391,"")</f>
        <v/>
      </c>
      <c r="Y391">
        <f>IF(AND(Q391&lt;&gt;"",ISNUMBER(K391)),Q391,"")</f>
        <v/>
      </c>
      <c r="Z391">
        <f>IF(AND(Q391&lt;&gt;"",ISNUMBER(L391)),Q391,"")</f>
        <v/>
      </c>
      <c r="AA391">
        <f>IF(AND(Q391&lt;&gt;"",ISNUMBER(M391)),Q391,"")</f>
        <v/>
      </c>
      <c r="AB391">
        <f>IF(AND(Q391&lt;&gt;"",ISNUMBER(K391)),K391,"")</f>
        <v/>
      </c>
      <c r="AC391">
        <f>IF(AND(Q391&lt;&gt;"",ISNUMBER(L391)),L391,"")</f>
        <v/>
      </c>
      <c r="AD391">
        <f>IF(AND(Q391&lt;&gt;"",ISNUMBER(M391)),M391,"")</f>
        <v/>
      </c>
    </row>
    <row r="392">
      <c r="A392" s="1" t="n"/>
      <c r="B392" s="17" t="n"/>
      <c r="C392" s="27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9" t="n"/>
      <c r="N392" s="21" t="n"/>
      <c r="O392" s="12">
        <f>IF(AND(B392="",C392=""),"",IF(NOT(ISNUMBER(B392)),"Needs a date",IF(C392="","Needs a client",IF(COUNTIF(Clients!$B$6:$B$105,C392)=0,"Not on Clients",IF(COUNT(D392:M392)=0,"Nothing measured","")))))</f>
        <v/>
      </c>
      <c r="P392" s="1">
        <f>IF(AND(O392="",ISNUMBER(B392)),INT(B392),0)</f>
        <v/>
      </c>
      <c r="Q392">
        <f>IF(AND(P392&gt;0,C392=Report!$C$5),P392*10000+ROW(),"")</f>
        <v/>
      </c>
      <c r="R392">
        <f>IF(AND(Q392&lt;&gt;"",ISNUMBER(D392)),Q392,"")</f>
        <v/>
      </c>
      <c r="S392">
        <f>IF(AND(Q392&lt;&gt;"",ISNUMBER(E392)),Q392,"")</f>
        <v/>
      </c>
      <c r="T392">
        <f>IF(AND(Q392&lt;&gt;"",ISNUMBER(F392)),Q392,"")</f>
        <v/>
      </c>
      <c r="U392">
        <f>IF(AND(Q392&lt;&gt;"",ISNUMBER(G392)),Q392,"")</f>
        <v/>
      </c>
      <c r="V392">
        <f>IF(AND(Q392&lt;&gt;"",ISNUMBER(H392)),Q392,"")</f>
        <v/>
      </c>
      <c r="W392">
        <f>IF(AND(Q392&lt;&gt;"",ISNUMBER(I392)),Q392,"")</f>
        <v/>
      </c>
      <c r="X392">
        <f>IF(AND(Q392&lt;&gt;"",ISNUMBER(J392)),Q392,"")</f>
        <v/>
      </c>
      <c r="Y392">
        <f>IF(AND(Q392&lt;&gt;"",ISNUMBER(K392)),Q392,"")</f>
        <v/>
      </c>
      <c r="Z392">
        <f>IF(AND(Q392&lt;&gt;"",ISNUMBER(L392)),Q392,"")</f>
        <v/>
      </c>
      <c r="AA392">
        <f>IF(AND(Q392&lt;&gt;"",ISNUMBER(M392)),Q392,"")</f>
        <v/>
      </c>
      <c r="AB392">
        <f>IF(AND(Q392&lt;&gt;"",ISNUMBER(K392)),K392,"")</f>
        <v/>
      </c>
      <c r="AC392">
        <f>IF(AND(Q392&lt;&gt;"",ISNUMBER(L392)),L392,"")</f>
        <v/>
      </c>
      <c r="AD392">
        <f>IF(AND(Q392&lt;&gt;"",ISNUMBER(M392)),M392,"")</f>
        <v/>
      </c>
    </row>
    <row r="393">
      <c r="A393" s="1" t="n"/>
      <c r="B393" s="17" t="n"/>
      <c r="C393" s="27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9" t="n"/>
      <c r="N393" s="21" t="n"/>
      <c r="O393" s="12">
        <f>IF(AND(B393="",C393=""),"",IF(NOT(ISNUMBER(B393)),"Needs a date",IF(C393="","Needs a client",IF(COUNTIF(Clients!$B$6:$B$105,C393)=0,"Not on Clients",IF(COUNT(D393:M393)=0,"Nothing measured","")))))</f>
        <v/>
      </c>
      <c r="P393" s="1">
        <f>IF(AND(O393="",ISNUMBER(B393)),INT(B393),0)</f>
        <v/>
      </c>
      <c r="Q393">
        <f>IF(AND(P393&gt;0,C393=Report!$C$5),P393*10000+ROW(),"")</f>
        <v/>
      </c>
      <c r="R393">
        <f>IF(AND(Q393&lt;&gt;"",ISNUMBER(D393)),Q393,"")</f>
        <v/>
      </c>
      <c r="S393">
        <f>IF(AND(Q393&lt;&gt;"",ISNUMBER(E393)),Q393,"")</f>
        <v/>
      </c>
      <c r="T393">
        <f>IF(AND(Q393&lt;&gt;"",ISNUMBER(F393)),Q393,"")</f>
        <v/>
      </c>
      <c r="U393">
        <f>IF(AND(Q393&lt;&gt;"",ISNUMBER(G393)),Q393,"")</f>
        <v/>
      </c>
      <c r="V393">
        <f>IF(AND(Q393&lt;&gt;"",ISNUMBER(H393)),Q393,"")</f>
        <v/>
      </c>
      <c r="W393">
        <f>IF(AND(Q393&lt;&gt;"",ISNUMBER(I393)),Q393,"")</f>
        <v/>
      </c>
      <c r="X393">
        <f>IF(AND(Q393&lt;&gt;"",ISNUMBER(J393)),Q393,"")</f>
        <v/>
      </c>
      <c r="Y393">
        <f>IF(AND(Q393&lt;&gt;"",ISNUMBER(K393)),Q393,"")</f>
        <v/>
      </c>
      <c r="Z393">
        <f>IF(AND(Q393&lt;&gt;"",ISNUMBER(L393)),Q393,"")</f>
        <v/>
      </c>
      <c r="AA393">
        <f>IF(AND(Q393&lt;&gt;"",ISNUMBER(M393)),Q393,"")</f>
        <v/>
      </c>
      <c r="AB393">
        <f>IF(AND(Q393&lt;&gt;"",ISNUMBER(K393)),K393,"")</f>
        <v/>
      </c>
      <c r="AC393">
        <f>IF(AND(Q393&lt;&gt;"",ISNUMBER(L393)),L393,"")</f>
        <v/>
      </c>
      <c r="AD393">
        <f>IF(AND(Q393&lt;&gt;"",ISNUMBER(M393)),M393,"")</f>
        <v/>
      </c>
    </row>
    <row r="394">
      <c r="A394" s="1" t="n"/>
      <c r="B394" s="17" t="n"/>
      <c r="C394" s="27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9" t="n"/>
      <c r="N394" s="21" t="n"/>
      <c r="O394" s="12">
        <f>IF(AND(B394="",C394=""),"",IF(NOT(ISNUMBER(B394)),"Needs a date",IF(C394="","Needs a client",IF(COUNTIF(Clients!$B$6:$B$105,C394)=0,"Not on Clients",IF(COUNT(D394:M394)=0,"Nothing measured","")))))</f>
        <v/>
      </c>
      <c r="P394" s="1">
        <f>IF(AND(O394="",ISNUMBER(B394)),INT(B394),0)</f>
        <v/>
      </c>
      <c r="Q394">
        <f>IF(AND(P394&gt;0,C394=Report!$C$5),P394*10000+ROW(),"")</f>
        <v/>
      </c>
      <c r="R394">
        <f>IF(AND(Q394&lt;&gt;"",ISNUMBER(D394)),Q394,"")</f>
        <v/>
      </c>
      <c r="S394">
        <f>IF(AND(Q394&lt;&gt;"",ISNUMBER(E394)),Q394,"")</f>
        <v/>
      </c>
      <c r="T394">
        <f>IF(AND(Q394&lt;&gt;"",ISNUMBER(F394)),Q394,"")</f>
        <v/>
      </c>
      <c r="U394">
        <f>IF(AND(Q394&lt;&gt;"",ISNUMBER(G394)),Q394,"")</f>
        <v/>
      </c>
      <c r="V394">
        <f>IF(AND(Q394&lt;&gt;"",ISNUMBER(H394)),Q394,"")</f>
        <v/>
      </c>
      <c r="W394">
        <f>IF(AND(Q394&lt;&gt;"",ISNUMBER(I394)),Q394,"")</f>
        <v/>
      </c>
      <c r="X394">
        <f>IF(AND(Q394&lt;&gt;"",ISNUMBER(J394)),Q394,"")</f>
        <v/>
      </c>
      <c r="Y394">
        <f>IF(AND(Q394&lt;&gt;"",ISNUMBER(K394)),Q394,"")</f>
        <v/>
      </c>
      <c r="Z394">
        <f>IF(AND(Q394&lt;&gt;"",ISNUMBER(L394)),Q394,"")</f>
        <v/>
      </c>
      <c r="AA394">
        <f>IF(AND(Q394&lt;&gt;"",ISNUMBER(M394)),Q394,"")</f>
        <v/>
      </c>
      <c r="AB394">
        <f>IF(AND(Q394&lt;&gt;"",ISNUMBER(K394)),K394,"")</f>
        <v/>
      </c>
      <c r="AC394">
        <f>IF(AND(Q394&lt;&gt;"",ISNUMBER(L394)),L394,"")</f>
        <v/>
      </c>
      <c r="AD394">
        <f>IF(AND(Q394&lt;&gt;"",ISNUMBER(M394)),M394,"")</f>
        <v/>
      </c>
    </row>
    <row r="395">
      <c r="A395" s="1" t="n"/>
      <c r="B395" s="17" t="n"/>
      <c r="C395" s="27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9" t="n"/>
      <c r="N395" s="21" t="n"/>
      <c r="O395" s="12">
        <f>IF(AND(B395="",C395=""),"",IF(NOT(ISNUMBER(B395)),"Needs a date",IF(C395="","Needs a client",IF(COUNTIF(Clients!$B$6:$B$105,C395)=0,"Not on Clients",IF(COUNT(D395:M395)=0,"Nothing measured","")))))</f>
        <v/>
      </c>
      <c r="P395" s="1">
        <f>IF(AND(O395="",ISNUMBER(B395)),INT(B395),0)</f>
        <v/>
      </c>
      <c r="Q395">
        <f>IF(AND(P395&gt;0,C395=Report!$C$5),P395*10000+ROW(),"")</f>
        <v/>
      </c>
      <c r="R395">
        <f>IF(AND(Q395&lt;&gt;"",ISNUMBER(D395)),Q395,"")</f>
        <v/>
      </c>
      <c r="S395">
        <f>IF(AND(Q395&lt;&gt;"",ISNUMBER(E395)),Q395,"")</f>
        <v/>
      </c>
      <c r="T395">
        <f>IF(AND(Q395&lt;&gt;"",ISNUMBER(F395)),Q395,"")</f>
        <v/>
      </c>
      <c r="U395">
        <f>IF(AND(Q395&lt;&gt;"",ISNUMBER(G395)),Q395,"")</f>
        <v/>
      </c>
      <c r="V395">
        <f>IF(AND(Q395&lt;&gt;"",ISNUMBER(H395)),Q395,"")</f>
        <v/>
      </c>
      <c r="W395">
        <f>IF(AND(Q395&lt;&gt;"",ISNUMBER(I395)),Q395,"")</f>
        <v/>
      </c>
      <c r="X395">
        <f>IF(AND(Q395&lt;&gt;"",ISNUMBER(J395)),Q395,"")</f>
        <v/>
      </c>
      <c r="Y395">
        <f>IF(AND(Q395&lt;&gt;"",ISNUMBER(K395)),Q395,"")</f>
        <v/>
      </c>
      <c r="Z395">
        <f>IF(AND(Q395&lt;&gt;"",ISNUMBER(L395)),Q395,"")</f>
        <v/>
      </c>
      <c r="AA395">
        <f>IF(AND(Q395&lt;&gt;"",ISNUMBER(M395)),Q395,"")</f>
        <v/>
      </c>
      <c r="AB395">
        <f>IF(AND(Q395&lt;&gt;"",ISNUMBER(K395)),K395,"")</f>
        <v/>
      </c>
      <c r="AC395">
        <f>IF(AND(Q395&lt;&gt;"",ISNUMBER(L395)),L395,"")</f>
        <v/>
      </c>
      <c r="AD395">
        <f>IF(AND(Q395&lt;&gt;"",ISNUMBER(M395)),M395,"")</f>
        <v/>
      </c>
    </row>
    <row r="396">
      <c r="A396" s="1" t="n"/>
      <c r="B396" s="17" t="n"/>
      <c r="C396" s="27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9" t="n"/>
      <c r="N396" s="21" t="n"/>
      <c r="O396" s="12">
        <f>IF(AND(B396="",C396=""),"",IF(NOT(ISNUMBER(B396)),"Needs a date",IF(C396="","Needs a client",IF(COUNTIF(Clients!$B$6:$B$105,C396)=0,"Not on Clients",IF(COUNT(D396:M396)=0,"Nothing measured","")))))</f>
        <v/>
      </c>
      <c r="P396" s="1">
        <f>IF(AND(O396="",ISNUMBER(B396)),INT(B396),0)</f>
        <v/>
      </c>
      <c r="Q396">
        <f>IF(AND(P396&gt;0,C396=Report!$C$5),P396*10000+ROW(),"")</f>
        <v/>
      </c>
      <c r="R396">
        <f>IF(AND(Q396&lt;&gt;"",ISNUMBER(D396)),Q396,"")</f>
        <v/>
      </c>
      <c r="S396">
        <f>IF(AND(Q396&lt;&gt;"",ISNUMBER(E396)),Q396,"")</f>
        <v/>
      </c>
      <c r="T396">
        <f>IF(AND(Q396&lt;&gt;"",ISNUMBER(F396)),Q396,"")</f>
        <v/>
      </c>
      <c r="U396">
        <f>IF(AND(Q396&lt;&gt;"",ISNUMBER(G396)),Q396,"")</f>
        <v/>
      </c>
      <c r="V396">
        <f>IF(AND(Q396&lt;&gt;"",ISNUMBER(H396)),Q396,"")</f>
        <v/>
      </c>
      <c r="W396">
        <f>IF(AND(Q396&lt;&gt;"",ISNUMBER(I396)),Q396,"")</f>
        <v/>
      </c>
      <c r="X396">
        <f>IF(AND(Q396&lt;&gt;"",ISNUMBER(J396)),Q396,"")</f>
        <v/>
      </c>
      <c r="Y396">
        <f>IF(AND(Q396&lt;&gt;"",ISNUMBER(K396)),Q396,"")</f>
        <v/>
      </c>
      <c r="Z396">
        <f>IF(AND(Q396&lt;&gt;"",ISNUMBER(L396)),Q396,"")</f>
        <v/>
      </c>
      <c r="AA396">
        <f>IF(AND(Q396&lt;&gt;"",ISNUMBER(M396)),Q396,"")</f>
        <v/>
      </c>
      <c r="AB396">
        <f>IF(AND(Q396&lt;&gt;"",ISNUMBER(K396)),K396,"")</f>
        <v/>
      </c>
      <c r="AC396">
        <f>IF(AND(Q396&lt;&gt;"",ISNUMBER(L396)),L396,"")</f>
        <v/>
      </c>
      <c r="AD396">
        <f>IF(AND(Q396&lt;&gt;"",ISNUMBER(M396)),M396,"")</f>
        <v/>
      </c>
    </row>
    <row r="397">
      <c r="A397" s="1" t="n"/>
      <c r="B397" s="17" t="n"/>
      <c r="C397" s="27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9" t="n"/>
      <c r="N397" s="21" t="n"/>
      <c r="O397" s="12">
        <f>IF(AND(B397="",C397=""),"",IF(NOT(ISNUMBER(B397)),"Needs a date",IF(C397="","Needs a client",IF(COUNTIF(Clients!$B$6:$B$105,C397)=0,"Not on Clients",IF(COUNT(D397:M397)=0,"Nothing measured","")))))</f>
        <v/>
      </c>
      <c r="P397" s="1">
        <f>IF(AND(O397="",ISNUMBER(B397)),INT(B397),0)</f>
        <v/>
      </c>
      <c r="Q397">
        <f>IF(AND(P397&gt;0,C397=Report!$C$5),P397*10000+ROW(),"")</f>
        <v/>
      </c>
      <c r="R397">
        <f>IF(AND(Q397&lt;&gt;"",ISNUMBER(D397)),Q397,"")</f>
        <v/>
      </c>
      <c r="S397">
        <f>IF(AND(Q397&lt;&gt;"",ISNUMBER(E397)),Q397,"")</f>
        <v/>
      </c>
      <c r="T397">
        <f>IF(AND(Q397&lt;&gt;"",ISNUMBER(F397)),Q397,"")</f>
        <v/>
      </c>
      <c r="U397">
        <f>IF(AND(Q397&lt;&gt;"",ISNUMBER(G397)),Q397,"")</f>
        <v/>
      </c>
      <c r="V397">
        <f>IF(AND(Q397&lt;&gt;"",ISNUMBER(H397)),Q397,"")</f>
        <v/>
      </c>
      <c r="W397">
        <f>IF(AND(Q397&lt;&gt;"",ISNUMBER(I397)),Q397,"")</f>
        <v/>
      </c>
      <c r="X397">
        <f>IF(AND(Q397&lt;&gt;"",ISNUMBER(J397)),Q397,"")</f>
        <v/>
      </c>
      <c r="Y397">
        <f>IF(AND(Q397&lt;&gt;"",ISNUMBER(K397)),Q397,"")</f>
        <v/>
      </c>
      <c r="Z397">
        <f>IF(AND(Q397&lt;&gt;"",ISNUMBER(L397)),Q397,"")</f>
        <v/>
      </c>
      <c r="AA397">
        <f>IF(AND(Q397&lt;&gt;"",ISNUMBER(M397)),Q397,"")</f>
        <v/>
      </c>
      <c r="AB397">
        <f>IF(AND(Q397&lt;&gt;"",ISNUMBER(K397)),K397,"")</f>
        <v/>
      </c>
      <c r="AC397">
        <f>IF(AND(Q397&lt;&gt;"",ISNUMBER(L397)),L397,"")</f>
        <v/>
      </c>
      <c r="AD397">
        <f>IF(AND(Q397&lt;&gt;"",ISNUMBER(M397)),M397,"")</f>
        <v/>
      </c>
    </row>
    <row r="398">
      <c r="A398" s="1" t="n"/>
      <c r="B398" s="17" t="n"/>
      <c r="C398" s="27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9" t="n"/>
      <c r="N398" s="21" t="n"/>
      <c r="O398" s="12">
        <f>IF(AND(B398="",C398=""),"",IF(NOT(ISNUMBER(B398)),"Needs a date",IF(C398="","Needs a client",IF(COUNTIF(Clients!$B$6:$B$105,C398)=0,"Not on Clients",IF(COUNT(D398:M398)=0,"Nothing measured","")))))</f>
        <v/>
      </c>
      <c r="P398" s="1">
        <f>IF(AND(O398="",ISNUMBER(B398)),INT(B398),0)</f>
        <v/>
      </c>
      <c r="Q398">
        <f>IF(AND(P398&gt;0,C398=Report!$C$5),P398*10000+ROW(),"")</f>
        <v/>
      </c>
      <c r="R398">
        <f>IF(AND(Q398&lt;&gt;"",ISNUMBER(D398)),Q398,"")</f>
        <v/>
      </c>
      <c r="S398">
        <f>IF(AND(Q398&lt;&gt;"",ISNUMBER(E398)),Q398,"")</f>
        <v/>
      </c>
      <c r="T398">
        <f>IF(AND(Q398&lt;&gt;"",ISNUMBER(F398)),Q398,"")</f>
        <v/>
      </c>
      <c r="U398">
        <f>IF(AND(Q398&lt;&gt;"",ISNUMBER(G398)),Q398,"")</f>
        <v/>
      </c>
      <c r="V398">
        <f>IF(AND(Q398&lt;&gt;"",ISNUMBER(H398)),Q398,"")</f>
        <v/>
      </c>
      <c r="W398">
        <f>IF(AND(Q398&lt;&gt;"",ISNUMBER(I398)),Q398,"")</f>
        <v/>
      </c>
      <c r="X398">
        <f>IF(AND(Q398&lt;&gt;"",ISNUMBER(J398)),Q398,"")</f>
        <v/>
      </c>
      <c r="Y398">
        <f>IF(AND(Q398&lt;&gt;"",ISNUMBER(K398)),Q398,"")</f>
        <v/>
      </c>
      <c r="Z398">
        <f>IF(AND(Q398&lt;&gt;"",ISNUMBER(L398)),Q398,"")</f>
        <v/>
      </c>
      <c r="AA398">
        <f>IF(AND(Q398&lt;&gt;"",ISNUMBER(M398)),Q398,"")</f>
        <v/>
      </c>
      <c r="AB398">
        <f>IF(AND(Q398&lt;&gt;"",ISNUMBER(K398)),K398,"")</f>
        <v/>
      </c>
      <c r="AC398">
        <f>IF(AND(Q398&lt;&gt;"",ISNUMBER(L398)),L398,"")</f>
        <v/>
      </c>
      <c r="AD398">
        <f>IF(AND(Q398&lt;&gt;"",ISNUMBER(M398)),M398,"")</f>
        <v/>
      </c>
    </row>
    <row r="399">
      <c r="A399" s="1" t="n"/>
      <c r="B399" s="17" t="n"/>
      <c r="C399" s="27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9" t="n"/>
      <c r="N399" s="21" t="n"/>
      <c r="O399" s="12">
        <f>IF(AND(B399="",C399=""),"",IF(NOT(ISNUMBER(B399)),"Needs a date",IF(C399="","Needs a client",IF(COUNTIF(Clients!$B$6:$B$105,C399)=0,"Not on Clients",IF(COUNT(D399:M399)=0,"Nothing measured","")))))</f>
        <v/>
      </c>
      <c r="P399" s="1">
        <f>IF(AND(O399="",ISNUMBER(B399)),INT(B399),0)</f>
        <v/>
      </c>
      <c r="Q399">
        <f>IF(AND(P399&gt;0,C399=Report!$C$5),P399*10000+ROW(),"")</f>
        <v/>
      </c>
      <c r="R399">
        <f>IF(AND(Q399&lt;&gt;"",ISNUMBER(D399)),Q399,"")</f>
        <v/>
      </c>
      <c r="S399">
        <f>IF(AND(Q399&lt;&gt;"",ISNUMBER(E399)),Q399,"")</f>
        <v/>
      </c>
      <c r="T399">
        <f>IF(AND(Q399&lt;&gt;"",ISNUMBER(F399)),Q399,"")</f>
        <v/>
      </c>
      <c r="U399">
        <f>IF(AND(Q399&lt;&gt;"",ISNUMBER(G399)),Q399,"")</f>
        <v/>
      </c>
      <c r="V399">
        <f>IF(AND(Q399&lt;&gt;"",ISNUMBER(H399)),Q399,"")</f>
        <v/>
      </c>
      <c r="W399">
        <f>IF(AND(Q399&lt;&gt;"",ISNUMBER(I399)),Q399,"")</f>
        <v/>
      </c>
      <c r="X399">
        <f>IF(AND(Q399&lt;&gt;"",ISNUMBER(J399)),Q399,"")</f>
        <v/>
      </c>
      <c r="Y399">
        <f>IF(AND(Q399&lt;&gt;"",ISNUMBER(K399)),Q399,"")</f>
        <v/>
      </c>
      <c r="Z399">
        <f>IF(AND(Q399&lt;&gt;"",ISNUMBER(L399)),Q399,"")</f>
        <v/>
      </c>
      <c r="AA399">
        <f>IF(AND(Q399&lt;&gt;"",ISNUMBER(M399)),Q399,"")</f>
        <v/>
      </c>
      <c r="AB399">
        <f>IF(AND(Q399&lt;&gt;"",ISNUMBER(K399)),K399,"")</f>
        <v/>
      </c>
      <c r="AC399">
        <f>IF(AND(Q399&lt;&gt;"",ISNUMBER(L399)),L399,"")</f>
        <v/>
      </c>
      <c r="AD399">
        <f>IF(AND(Q399&lt;&gt;"",ISNUMBER(M399)),M399,"")</f>
        <v/>
      </c>
    </row>
    <row r="400">
      <c r="A400" s="1" t="n"/>
      <c r="B400" s="17" t="n"/>
      <c r="C400" s="27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9" t="n"/>
      <c r="N400" s="21" t="n"/>
      <c r="O400" s="12">
        <f>IF(AND(B400="",C400=""),"",IF(NOT(ISNUMBER(B400)),"Needs a date",IF(C400="","Needs a client",IF(COUNTIF(Clients!$B$6:$B$105,C400)=0,"Not on Clients",IF(COUNT(D400:M400)=0,"Nothing measured","")))))</f>
        <v/>
      </c>
      <c r="P400" s="1">
        <f>IF(AND(O400="",ISNUMBER(B400)),INT(B400),0)</f>
        <v/>
      </c>
      <c r="Q400">
        <f>IF(AND(P400&gt;0,C400=Report!$C$5),P400*10000+ROW(),"")</f>
        <v/>
      </c>
      <c r="R400">
        <f>IF(AND(Q400&lt;&gt;"",ISNUMBER(D400)),Q400,"")</f>
        <v/>
      </c>
      <c r="S400">
        <f>IF(AND(Q400&lt;&gt;"",ISNUMBER(E400)),Q400,"")</f>
        <v/>
      </c>
      <c r="T400">
        <f>IF(AND(Q400&lt;&gt;"",ISNUMBER(F400)),Q400,"")</f>
        <v/>
      </c>
      <c r="U400">
        <f>IF(AND(Q400&lt;&gt;"",ISNUMBER(G400)),Q400,"")</f>
        <v/>
      </c>
      <c r="V400">
        <f>IF(AND(Q400&lt;&gt;"",ISNUMBER(H400)),Q400,"")</f>
        <v/>
      </c>
      <c r="W400">
        <f>IF(AND(Q400&lt;&gt;"",ISNUMBER(I400)),Q400,"")</f>
        <v/>
      </c>
      <c r="X400">
        <f>IF(AND(Q400&lt;&gt;"",ISNUMBER(J400)),Q400,"")</f>
        <v/>
      </c>
      <c r="Y400">
        <f>IF(AND(Q400&lt;&gt;"",ISNUMBER(K400)),Q400,"")</f>
        <v/>
      </c>
      <c r="Z400">
        <f>IF(AND(Q400&lt;&gt;"",ISNUMBER(L400)),Q400,"")</f>
        <v/>
      </c>
      <c r="AA400">
        <f>IF(AND(Q400&lt;&gt;"",ISNUMBER(M400)),Q400,"")</f>
        <v/>
      </c>
      <c r="AB400">
        <f>IF(AND(Q400&lt;&gt;"",ISNUMBER(K400)),K400,"")</f>
        <v/>
      </c>
      <c r="AC400">
        <f>IF(AND(Q400&lt;&gt;"",ISNUMBER(L400)),L400,"")</f>
        <v/>
      </c>
      <c r="AD400">
        <f>IF(AND(Q400&lt;&gt;"",ISNUMBER(M400)),M400,"")</f>
        <v/>
      </c>
    </row>
    <row r="401">
      <c r="A401" s="1" t="n"/>
      <c r="B401" s="17" t="n"/>
      <c r="C401" s="27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9" t="n"/>
      <c r="N401" s="21" t="n"/>
      <c r="O401" s="12">
        <f>IF(AND(B401="",C401=""),"",IF(NOT(ISNUMBER(B401)),"Needs a date",IF(C401="","Needs a client",IF(COUNTIF(Clients!$B$6:$B$105,C401)=0,"Not on Clients",IF(COUNT(D401:M401)=0,"Nothing measured","")))))</f>
        <v/>
      </c>
      <c r="P401" s="1">
        <f>IF(AND(O401="",ISNUMBER(B401)),INT(B401),0)</f>
        <v/>
      </c>
      <c r="Q401">
        <f>IF(AND(P401&gt;0,C401=Report!$C$5),P401*10000+ROW(),"")</f>
        <v/>
      </c>
      <c r="R401">
        <f>IF(AND(Q401&lt;&gt;"",ISNUMBER(D401)),Q401,"")</f>
        <v/>
      </c>
      <c r="S401">
        <f>IF(AND(Q401&lt;&gt;"",ISNUMBER(E401)),Q401,"")</f>
        <v/>
      </c>
      <c r="T401">
        <f>IF(AND(Q401&lt;&gt;"",ISNUMBER(F401)),Q401,"")</f>
        <v/>
      </c>
      <c r="U401">
        <f>IF(AND(Q401&lt;&gt;"",ISNUMBER(G401)),Q401,"")</f>
        <v/>
      </c>
      <c r="V401">
        <f>IF(AND(Q401&lt;&gt;"",ISNUMBER(H401)),Q401,"")</f>
        <v/>
      </c>
      <c r="W401">
        <f>IF(AND(Q401&lt;&gt;"",ISNUMBER(I401)),Q401,"")</f>
        <v/>
      </c>
      <c r="X401">
        <f>IF(AND(Q401&lt;&gt;"",ISNUMBER(J401)),Q401,"")</f>
        <v/>
      </c>
      <c r="Y401">
        <f>IF(AND(Q401&lt;&gt;"",ISNUMBER(K401)),Q401,"")</f>
        <v/>
      </c>
      <c r="Z401">
        <f>IF(AND(Q401&lt;&gt;"",ISNUMBER(L401)),Q401,"")</f>
        <v/>
      </c>
      <c r="AA401">
        <f>IF(AND(Q401&lt;&gt;"",ISNUMBER(M401)),Q401,"")</f>
        <v/>
      </c>
      <c r="AB401">
        <f>IF(AND(Q401&lt;&gt;"",ISNUMBER(K401)),K401,"")</f>
        <v/>
      </c>
      <c r="AC401">
        <f>IF(AND(Q401&lt;&gt;"",ISNUMBER(L401)),L401,"")</f>
        <v/>
      </c>
      <c r="AD401">
        <f>IF(AND(Q401&lt;&gt;"",ISNUMBER(M401)),M401,"")</f>
        <v/>
      </c>
    </row>
    <row r="402">
      <c r="A402" s="1" t="n"/>
      <c r="B402" s="17" t="n"/>
      <c r="C402" s="27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9" t="n"/>
      <c r="N402" s="21" t="n"/>
      <c r="O402" s="12">
        <f>IF(AND(B402="",C402=""),"",IF(NOT(ISNUMBER(B402)),"Needs a date",IF(C402="","Needs a client",IF(COUNTIF(Clients!$B$6:$B$105,C402)=0,"Not on Clients",IF(COUNT(D402:M402)=0,"Nothing measured","")))))</f>
        <v/>
      </c>
      <c r="P402" s="1">
        <f>IF(AND(O402="",ISNUMBER(B402)),INT(B402),0)</f>
        <v/>
      </c>
      <c r="Q402">
        <f>IF(AND(P402&gt;0,C402=Report!$C$5),P402*10000+ROW(),"")</f>
        <v/>
      </c>
      <c r="R402">
        <f>IF(AND(Q402&lt;&gt;"",ISNUMBER(D402)),Q402,"")</f>
        <v/>
      </c>
      <c r="S402">
        <f>IF(AND(Q402&lt;&gt;"",ISNUMBER(E402)),Q402,"")</f>
        <v/>
      </c>
      <c r="T402">
        <f>IF(AND(Q402&lt;&gt;"",ISNUMBER(F402)),Q402,"")</f>
        <v/>
      </c>
      <c r="U402">
        <f>IF(AND(Q402&lt;&gt;"",ISNUMBER(G402)),Q402,"")</f>
        <v/>
      </c>
      <c r="V402">
        <f>IF(AND(Q402&lt;&gt;"",ISNUMBER(H402)),Q402,"")</f>
        <v/>
      </c>
      <c r="W402">
        <f>IF(AND(Q402&lt;&gt;"",ISNUMBER(I402)),Q402,"")</f>
        <v/>
      </c>
      <c r="X402">
        <f>IF(AND(Q402&lt;&gt;"",ISNUMBER(J402)),Q402,"")</f>
        <v/>
      </c>
      <c r="Y402">
        <f>IF(AND(Q402&lt;&gt;"",ISNUMBER(K402)),Q402,"")</f>
        <v/>
      </c>
      <c r="Z402">
        <f>IF(AND(Q402&lt;&gt;"",ISNUMBER(L402)),Q402,"")</f>
        <v/>
      </c>
      <c r="AA402">
        <f>IF(AND(Q402&lt;&gt;"",ISNUMBER(M402)),Q402,"")</f>
        <v/>
      </c>
      <c r="AB402">
        <f>IF(AND(Q402&lt;&gt;"",ISNUMBER(K402)),K402,"")</f>
        <v/>
      </c>
      <c r="AC402">
        <f>IF(AND(Q402&lt;&gt;"",ISNUMBER(L402)),L402,"")</f>
        <v/>
      </c>
      <c r="AD402">
        <f>IF(AND(Q402&lt;&gt;"",ISNUMBER(M402)),M402,"")</f>
        <v/>
      </c>
    </row>
    <row r="403">
      <c r="A403" s="1" t="n"/>
      <c r="B403" s="17" t="n"/>
      <c r="C403" s="27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9" t="n"/>
      <c r="N403" s="21" t="n"/>
      <c r="O403" s="12">
        <f>IF(AND(B403="",C403=""),"",IF(NOT(ISNUMBER(B403)),"Needs a date",IF(C403="","Needs a client",IF(COUNTIF(Clients!$B$6:$B$105,C403)=0,"Not on Clients",IF(COUNT(D403:M403)=0,"Nothing measured","")))))</f>
        <v/>
      </c>
      <c r="P403" s="1">
        <f>IF(AND(O403="",ISNUMBER(B403)),INT(B403),0)</f>
        <v/>
      </c>
      <c r="Q403">
        <f>IF(AND(P403&gt;0,C403=Report!$C$5),P403*10000+ROW(),"")</f>
        <v/>
      </c>
      <c r="R403">
        <f>IF(AND(Q403&lt;&gt;"",ISNUMBER(D403)),Q403,"")</f>
        <v/>
      </c>
      <c r="S403">
        <f>IF(AND(Q403&lt;&gt;"",ISNUMBER(E403)),Q403,"")</f>
        <v/>
      </c>
      <c r="T403">
        <f>IF(AND(Q403&lt;&gt;"",ISNUMBER(F403)),Q403,"")</f>
        <v/>
      </c>
      <c r="U403">
        <f>IF(AND(Q403&lt;&gt;"",ISNUMBER(G403)),Q403,"")</f>
        <v/>
      </c>
      <c r="V403">
        <f>IF(AND(Q403&lt;&gt;"",ISNUMBER(H403)),Q403,"")</f>
        <v/>
      </c>
      <c r="W403">
        <f>IF(AND(Q403&lt;&gt;"",ISNUMBER(I403)),Q403,"")</f>
        <v/>
      </c>
      <c r="X403">
        <f>IF(AND(Q403&lt;&gt;"",ISNUMBER(J403)),Q403,"")</f>
        <v/>
      </c>
      <c r="Y403">
        <f>IF(AND(Q403&lt;&gt;"",ISNUMBER(K403)),Q403,"")</f>
        <v/>
      </c>
      <c r="Z403">
        <f>IF(AND(Q403&lt;&gt;"",ISNUMBER(L403)),Q403,"")</f>
        <v/>
      </c>
      <c r="AA403">
        <f>IF(AND(Q403&lt;&gt;"",ISNUMBER(M403)),Q403,"")</f>
        <v/>
      </c>
      <c r="AB403">
        <f>IF(AND(Q403&lt;&gt;"",ISNUMBER(K403)),K403,"")</f>
        <v/>
      </c>
      <c r="AC403">
        <f>IF(AND(Q403&lt;&gt;"",ISNUMBER(L403)),L403,"")</f>
        <v/>
      </c>
      <c r="AD403">
        <f>IF(AND(Q403&lt;&gt;"",ISNUMBER(M403)),M403,"")</f>
        <v/>
      </c>
    </row>
    <row r="404">
      <c r="A404" s="1" t="n"/>
      <c r="B404" s="17" t="n"/>
      <c r="C404" s="27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9" t="n"/>
      <c r="N404" s="21" t="n"/>
      <c r="O404" s="12">
        <f>IF(AND(B404="",C404=""),"",IF(NOT(ISNUMBER(B404)),"Needs a date",IF(C404="","Needs a client",IF(COUNTIF(Clients!$B$6:$B$105,C404)=0,"Not on Clients",IF(COUNT(D404:M404)=0,"Nothing measured","")))))</f>
        <v/>
      </c>
      <c r="P404" s="1">
        <f>IF(AND(O404="",ISNUMBER(B404)),INT(B404),0)</f>
        <v/>
      </c>
      <c r="Q404">
        <f>IF(AND(P404&gt;0,C404=Report!$C$5),P404*10000+ROW(),"")</f>
        <v/>
      </c>
      <c r="R404">
        <f>IF(AND(Q404&lt;&gt;"",ISNUMBER(D404)),Q404,"")</f>
        <v/>
      </c>
      <c r="S404">
        <f>IF(AND(Q404&lt;&gt;"",ISNUMBER(E404)),Q404,"")</f>
        <v/>
      </c>
      <c r="T404">
        <f>IF(AND(Q404&lt;&gt;"",ISNUMBER(F404)),Q404,"")</f>
        <v/>
      </c>
      <c r="U404">
        <f>IF(AND(Q404&lt;&gt;"",ISNUMBER(G404)),Q404,"")</f>
        <v/>
      </c>
      <c r="V404">
        <f>IF(AND(Q404&lt;&gt;"",ISNUMBER(H404)),Q404,"")</f>
        <v/>
      </c>
      <c r="W404">
        <f>IF(AND(Q404&lt;&gt;"",ISNUMBER(I404)),Q404,"")</f>
        <v/>
      </c>
      <c r="X404">
        <f>IF(AND(Q404&lt;&gt;"",ISNUMBER(J404)),Q404,"")</f>
        <v/>
      </c>
      <c r="Y404">
        <f>IF(AND(Q404&lt;&gt;"",ISNUMBER(K404)),Q404,"")</f>
        <v/>
      </c>
      <c r="Z404">
        <f>IF(AND(Q404&lt;&gt;"",ISNUMBER(L404)),Q404,"")</f>
        <v/>
      </c>
      <c r="AA404">
        <f>IF(AND(Q404&lt;&gt;"",ISNUMBER(M404)),Q404,"")</f>
        <v/>
      </c>
      <c r="AB404">
        <f>IF(AND(Q404&lt;&gt;"",ISNUMBER(K404)),K404,"")</f>
        <v/>
      </c>
      <c r="AC404">
        <f>IF(AND(Q404&lt;&gt;"",ISNUMBER(L404)),L404,"")</f>
        <v/>
      </c>
      <c r="AD404">
        <f>IF(AND(Q404&lt;&gt;"",ISNUMBER(M404)),M404,"")</f>
        <v/>
      </c>
    </row>
    <row r="405">
      <c r="A405" s="1" t="n"/>
      <c r="B405" s="17" t="n"/>
      <c r="C405" s="27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9" t="n"/>
      <c r="N405" s="21" t="n"/>
      <c r="O405" s="12">
        <f>IF(AND(B405="",C405=""),"",IF(NOT(ISNUMBER(B405)),"Needs a date",IF(C405="","Needs a client",IF(COUNTIF(Clients!$B$6:$B$105,C405)=0,"Not on Clients",IF(COUNT(D405:M405)=0,"Nothing measured","")))))</f>
        <v/>
      </c>
      <c r="P405" s="1">
        <f>IF(AND(O405="",ISNUMBER(B405)),INT(B405),0)</f>
        <v/>
      </c>
      <c r="Q405">
        <f>IF(AND(P405&gt;0,C405=Report!$C$5),P405*10000+ROW(),"")</f>
        <v/>
      </c>
      <c r="R405">
        <f>IF(AND(Q405&lt;&gt;"",ISNUMBER(D405)),Q405,"")</f>
        <v/>
      </c>
      <c r="S405">
        <f>IF(AND(Q405&lt;&gt;"",ISNUMBER(E405)),Q405,"")</f>
        <v/>
      </c>
      <c r="T405">
        <f>IF(AND(Q405&lt;&gt;"",ISNUMBER(F405)),Q405,"")</f>
        <v/>
      </c>
      <c r="U405">
        <f>IF(AND(Q405&lt;&gt;"",ISNUMBER(G405)),Q405,"")</f>
        <v/>
      </c>
      <c r="V405">
        <f>IF(AND(Q405&lt;&gt;"",ISNUMBER(H405)),Q405,"")</f>
        <v/>
      </c>
      <c r="W405">
        <f>IF(AND(Q405&lt;&gt;"",ISNUMBER(I405)),Q405,"")</f>
        <v/>
      </c>
      <c r="X405">
        <f>IF(AND(Q405&lt;&gt;"",ISNUMBER(J405)),Q405,"")</f>
        <v/>
      </c>
      <c r="Y405">
        <f>IF(AND(Q405&lt;&gt;"",ISNUMBER(K405)),Q405,"")</f>
        <v/>
      </c>
      <c r="Z405">
        <f>IF(AND(Q405&lt;&gt;"",ISNUMBER(L405)),Q405,"")</f>
        <v/>
      </c>
      <c r="AA405">
        <f>IF(AND(Q405&lt;&gt;"",ISNUMBER(M405)),Q405,"")</f>
        <v/>
      </c>
      <c r="AB405">
        <f>IF(AND(Q405&lt;&gt;"",ISNUMBER(K405)),K405,"")</f>
        <v/>
      </c>
      <c r="AC405">
        <f>IF(AND(Q405&lt;&gt;"",ISNUMBER(L405)),L405,"")</f>
        <v/>
      </c>
      <c r="AD405">
        <f>IF(AND(Q405&lt;&gt;"",ISNUMBER(M405)),M405,"")</f>
        <v/>
      </c>
    </row>
    <row r="406">
      <c r="A406" s="1" t="n"/>
      <c r="B406" s="17" t="n"/>
      <c r="C406" s="27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9" t="n"/>
      <c r="N406" s="21" t="n"/>
      <c r="O406" s="12">
        <f>IF(AND(B406="",C406=""),"",IF(NOT(ISNUMBER(B406)),"Needs a date",IF(C406="","Needs a client",IF(COUNTIF(Clients!$B$6:$B$105,C406)=0,"Not on Clients",IF(COUNT(D406:M406)=0,"Nothing measured","")))))</f>
        <v/>
      </c>
      <c r="P406" s="1">
        <f>IF(AND(O406="",ISNUMBER(B406)),INT(B406),0)</f>
        <v/>
      </c>
      <c r="Q406">
        <f>IF(AND(P406&gt;0,C406=Report!$C$5),P406*10000+ROW(),"")</f>
        <v/>
      </c>
      <c r="R406">
        <f>IF(AND(Q406&lt;&gt;"",ISNUMBER(D406)),Q406,"")</f>
        <v/>
      </c>
      <c r="S406">
        <f>IF(AND(Q406&lt;&gt;"",ISNUMBER(E406)),Q406,"")</f>
        <v/>
      </c>
      <c r="T406">
        <f>IF(AND(Q406&lt;&gt;"",ISNUMBER(F406)),Q406,"")</f>
        <v/>
      </c>
      <c r="U406">
        <f>IF(AND(Q406&lt;&gt;"",ISNUMBER(G406)),Q406,"")</f>
        <v/>
      </c>
      <c r="V406">
        <f>IF(AND(Q406&lt;&gt;"",ISNUMBER(H406)),Q406,"")</f>
        <v/>
      </c>
      <c r="W406">
        <f>IF(AND(Q406&lt;&gt;"",ISNUMBER(I406)),Q406,"")</f>
        <v/>
      </c>
      <c r="X406">
        <f>IF(AND(Q406&lt;&gt;"",ISNUMBER(J406)),Q406,"")</f>
        <v/>
      </c>
      <c r="Y406">
        <f>IF(AND(Q406&lt;&gt;"",ISNUMBER(K406)),Q406,"")</f>
        <v/>
      </c>
      <c r="Z406">
        <f>IF(AND(Q406&lt;&gt;"",ISNUMBER(L406)),Q406,"")</f>
        <v/>
      </c>
      <c r="AA406">
        <f>IF(AND(Q406&lt;&gt;"",ISNUMBER(M406)),Q406,"")</f>
        <v/>
      </c>
      <c r="AB406">
        <f>IF(AND(Q406&lt;&gt;"",ISNUMBER(K406)),K406,"")</f>
        <v/>
      </c>
      <c r="AC406">
        <f>IF(AND(Q406&lt;&gt;"",ISNUMBER(L406)),L406,"")</f>
        <v/>
      </c>
      <c r="AD406">
        <f>IF(AND(Q406&lt;&gt;"",ISNUMBER(M406)),M406,"")</f>
        <v/>
      </c>
    </row>
    <row r="407">
      <c r="A407" s="1" t="n"/>
      <c r="B407" s="17" t="n"/>
      <c r="C407" s="27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9" t="n"/>
      <c r="N407" s="21" t="n"/>
      <c r="O407" s="12">
        <f>IF(AND(B407="",C407=""),"",IF(NOT(ISNUMBER(B407)),"Needs a date",IF(C407="","Needs a client",IF(COUNTIF(Clients!$B$6:$B$105,C407)=0,"Not on Clients",IF(COUNT(D407:M407)=0,"Nothing measured","")))))</f>
        <v/>
      </c>
      <c r="P407" s="1">
        <f>IF(AND(O407="",ISNUMBER(B407)),INT(B407),0)</f>
        <v/>
      </c>
      <c r="Q407">
        <f>IF(AND(P407&gt;0,C407=Report!$C$5),P407*10000+ROW(),"")</f>
        <v/>
      </c>
      <c r="R407">
        <f>IF(AND(Q407&lt;&gt;"",ISNUMBER(D407)),Q407,"")</f>
        <v/>
      </c>
      <c r="S407">
        <f>IF(AND(Q407&lt;&gt;"",ISNUMBER(E407)),Q407,"")</f>
        <v/>
      </c>
      <c r="T407">
        <f>IF(AND(Q407&lt;&gt;"",ISNUMBER(F407)),Q407,"")</f>
        <v/>
      </c>
      <c r="U407">
        <f>IF(AND(Q407&lt;&gt;"",ISNUMBER(G407)),Q407,"")</f>
        <v/>
      </c>
      <c r="V407">
        <f>IF(AND(Q407&lt;&gt;"",ISNUMBER(H407)),Q407,"")</f>
        <v/>
      </c>
      <c r="W407">
        <f>IF(AND(Q407&lt;&gt;"",ISNUMBER(I407)),Q407,"")</f>
        <v/>
      </c>
      <c r="X407">
        <f>IF(AND(Q407&lt;&gt;"",ISNUMBER(J407)),Q407,"")</f>
        <v/>
      </c>
      <c r="Y407">
        <f>IF(AND(Q407&lt;&gt;"",ISNUMBER(K407)),Q407,"")</f>
        <v/>
      </c>
      <c r="Z407">
        <f>IF(AND(Q407&lt;&gt;"",ISNUMBER(L407)),Q407,"")</f>
        <v/>
      </c>
      <c r="AA407">
        <f>IF(AND(Q407&lt;&gt;"",ISNUMBER(M407)),Q407,"")</f>
        <v/>
      </c>
      <c r="AB407">
        <f>IF(AND(Q407&lt;&gt;"",ISNUMBER(K407)),K407,"")</f>
        <v/>
      </c>
      <c r="AC407">
        <f>IF(AND(Q407&lt;&gt;"",ISNUMBER(L407)),L407,"")</f>
        <v/>
      </c>
      <c r="AD407">
        <f>IF(AND(Q407&lt;&gt;"",ISNUMBER(M407)),M407,"")</f>
        <v/>
      </c>
    </row>
    <row r="408">
      <c r="A408" s="1" t="n"/>
      <c r="B408" s="17" t="n"/>
      <c r="C408" s="27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9" t="n"/>
      <c r="N408" s="21" t="n"/>
      <c r="O408" s="12">
        <f>IF(AND(B408="",C408=""),"",IF(NOT(ISNUMBER(B408)),"Needs a date",IF(C408="","Needs a client",IF(COUNTIF(Clients!$B$6:$B$105,C408)=0,"Not on Clients",IF(COUNT(D408:M408)=0,"Nothing measured","")))))</f>
        <v/>
      </c>
      <c r="P408" s="1">
        <f>IF(AND(O408="",ISNUMBER(B408)),INT(B408),0)</f>
        <v/>
      </c>
      <c r="Q408">
        <f>IF(AND(P408&gt;0,C408=Report!$C$5),P408*10000+ROW(),"")</f>
        <v/>
      </c>
      <c r="R408">
        <f>IF(AND(Q408&lt;&gt;"",ISNUMBER(D408)),Q408,"")</f>
        <v/>
      </c>
      <c r="S408">
        <f>IF(AND(Q408&lt;&gt;"",ISNUMBER(E408)),Q408,"")</f>
        <v/>
      </c>
      <c r="T408">
        <f>IF(AND(Q408&lt;&gt;"",ISNUMBER(F408)),Q408,"")</f>
        <v/>
      </c>
      <c r="U408">
        <f>IF(AND(Q408&lt;&gt;"",ISNUMBER(G408)),Q408,"")</f>
        <v/>
      </c>
      <c r="V408">
        <f>IF(AND(Q408&lt;&gt;"",ISNUMBER(H408)),Q408,"")</f>
        <v/>
      </c>
      <c r="W408">
        <f>IF(AND(Q408&lt;&gt;"",ISNUMBER(I408)),Q408,"")</f>
        <v/>
      </c>
      <c r="X408">
        <f>IF(AND(Q408&lt;&gt;"",ISNUMBER(J408)),Q408,"")</f>
        <v/>
      </c>
      <c r="Y408">
        <f>IF(AND(Q408&lt;&gt;"",ISNUMBER(K408)),Q408,"")</f>
        <v/>
      </c>
      <c r="Z408">
        <f>IF(AND(Q408&lt;&gt;"",ISNUMBER(L408)),Q408,"")</f>
        <v/>
      </c>
      <c r="AA408">
        <f>IF(AND(Q408&lt;&gt;"",ISNUMBER(M408)),Q408,"")</f>
        <v/>
      </c>
      <c r="AB408">
        <f>IF(AND(Q408&lt;&gt;"",ISNUMBER(K408)),K408,"")</f>
        <v/>
      </c>
      <c r="AC408">
        <f>IF(AND(Q408&lt;&gt;"",ISNUMBER(L408)),L408,"")</f>
        <v/>
      </c>
      <c r="AD408">
        <f>IF(AND(Q408&lt;&gt;"",ISNUMBER(M408)),M408,"")</f>
        <v/>
      </c>
    </row>
    <row r="409">
      <c r="A409" s="1" t="n"/>
      <c r="B409" s="17" t="n"/>
      <c r="C409" s="27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9" t="n"/>
      <c r="N409" s="21" t="n"/>
      <c r="O409" s="12">
        <f>IF(AND(B409="",C409=""),"",IF(NOT(ISNUMBER(B409)),"Needs a date",IF(C409="","Needs a client",IF(COUNTIF(Clients!$B$6:$B$105,C409)=0,"Not on Clients",IF(COUNT(D409:M409)=0,"Nothing measured","")))))</f>
        <v/>
      </c>
      <c r="P409" s="1">
        <f>IF(AND(O409="",ISNUMBER(B409)),INT(B409),0)</f>
        <v/>
      </c>
      <c r="Q409">
        <f>IF(AND(P409&gt;0,C409=Report!$C$5),P409*10000+ROW(),"")</f>
        <v/>
      </c>
      <c r="R409">
        <f>IF(AND(Q409&lt;&gt;"",ISNUMBER(D409)),Q409,"")</f>
        <v/>
      </c>
      <c r="S409">
        <f>IF(AND(Q409&lt;&gt;"",ISNUMBER(E409)),Q409,"")</f>
        <v/>
      </c>
      <c r="T409">
        <f>IF(AND(Q409&lt;&gt;"",ISNUMBER(F409)),Q409,"")</f>
        <v/>
      </c>
      <c r="U409">
        <f>IF(AND(Q409&lt;&gt;"",ISNUMBER(G409)),Q409,"")</f>
        <v/>
      </c>
      <c r="V409">
        <f>IF(AND(Q409&lt;&gt;"",ISNUMBER(H409)),Q409,"")</f>
        <v/>
      </c>
      <c r="W409">
        <f>IF(AND(Q409&lt;&gt;"",ISNUMBER(I409)),Q409,"")</f>
        <v/>
      </c>
      <c r="X409">
        <f>IF(AND(Q409&lt;&gt;"",ISNUMBER(J409)),Q409,"")</f>
        <v/>
      </c>
      <c r="Y409">
        <f>IF(AND(Q409&lt;&gt;"",ISNUMBER(K409)),Q409,"")</f>
        <v/>
      </c>
      <c r="Z409">
        <f>IF(AND(Q409&lt;&gt;"",ISNUMBER(L409)),Q409,"")</f>
        <v/>
      </c>
      <c r="AA409">
        <f>IF(AND(Q409&lt;&gt;"",ISNUMBER(M409)),Q409,"")</f>
        <v/>
      </c>
      <c r="AB409">
        <f>IF(AND(Q409&lt;&gt;"",ISNUMBER(K409)),K409,"")</f>
        <v/>
      </c>
      <c r="AC409">
        <f>IF(AND(Q409&lt;&gt;"",ISNUMBER(L409)),L409,"")</f>
        <v/>
      </c>
      <c r="AD409">
        <f>IF(AND(Q409&lt;&gt;"",ISNUMBER(M409)),M409,"")</f>
        <v/>
      </c>
    </row>
    <row r="410">
      <c r="A410" s="1" t="n"/>
      <c r="B410" s="17" t="n"/>
      <c r="C410" s="27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9" t="n"/>
      <c r="N410" s="21" t="n"/>
      <c r="O410" s="12">
        <f>IF(AND(B410="",C410=""),"",IF(NOT(ISNUMBER(B410)),"Needs a date",IF(C410="","Needs a client",IF(COUNTIF(Clients!$B$6:$B$105,C410)=0,"Not on Clients",IF(COUNT(D410:M410)=0,"Nothing measured","")))))</f>
        <v/>
      </c>
      <c r="P410" s="1">
        <f>IF(AND(O410="",ISNUMBER(B410)),INT(B410),0)</f>
        <v/>
      </c>
      <c r="Q410">
        <f>IF(AND(P410&gt;0,C410=Report!$C$5),P410*10000+ROW(),"")</f>
        <v/>
      </c>
      <c r="R410">
        <f>IF(AND(Q410&lt;&gt;"",ISNUMBER(D410)),Q410,"")</f>
        <v/>
      </c>
      <c r="S410">
        <f>IF(AND(Q410&lt;&gt;"",ISNUMBER(E410)),Q410,"")</f>
        <v/>
      </c>
      <c r="T410">
        <f>IF(AND(Q410&lt;&gt;"",ISNUMBER(F410)),Q410,"")</f>
        <v/>
      </c>
      <c r="U410">
        <f>IF(AND(Q410&lt;&gt;"",ISNUMBER(G410)),Q410,"")</f>
        <v/>
      </c>
      <c r="V410">
        <f>IF(AND(Q410&lt;&gt;"",ISNUMBER(H410)),Q410,"")</f>
        <v/>
      </c>
      <c r="W410">
        <f>IF(AND(Q410&lt;&gt;"",ISNUMBER(I410)),Q410,"")</f>
        <v/>
      </c>
      <c r="X410">
        <f>IF(AND(Q410&lt;&gt;"",ISNUMBER(J410)),Q410,"")</f>
        <v/>
      </c>
      <c r="Y410">
        <f>IF(AND(Q410&lt;&gt;"",ISNUMBER(K410)),Q410,"")</f>
        <v/>
      </c>
      <c r="Z410">
        <f>IF(AND(Q410&lt;&gt;"",ISNUMBER(L410)),Q410,"")</f>
        <v/>
      </c>
      <c r="AA410">
        <f>IF(AND(Q410&lt;&gt;"",ISNUMBER(M410)),Q410,"")</f>
        <v/>
      </c>
      <c r="AB410">
        <f>IF(AND(Q410&lt;&gt;"",ISNUMBER(K410)),K410,"")</f>
        <v/>
      </c>
      <c r="AC410">
        <f>IF(AND(Q410&lt;&gt;"",ISNUMBER(L410)),L410,"")</f>
        <v/>
      </c>
      <c r="AD410">
        <f>IF(AND(Q410&lt;&gt;"",ISNUMBER(M410)),M410,"")</f>
        <v/>
      </c>
    </row>
    <row r="411">
      <c r="A411" s="1" t="n"/>
      <c r="B411" s="17" t="n"/>
      <c r="C411" s="27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9" t="n"/>
      <c r="N411" s="21" t="n"/>
      <c r="O411" s="12">
        <f>IF(AND(B411="",C411=""),"",IF(NOT(ISNUMBER(B411)),"Needs a date",IF(C411="","Needs a client",IF(COUNTIF(Clients!$B$6:$B$105,C411)=0,"Not on Clients",IF(COUNT(D411:M411)=0,"Nothing measured","")))))</f>
        <v/>
      </c>
      <c r="P411" s="1">
        <f>IF(AND(O411="",ISNUMBER(B411)),INT(B411),0)</f>
        <v/>
      </c>
      <c r="Q411">
        <f>IF(AND(P411&gt;0,C411=Report!$C$5),P411*10000+ROW(),"")</f>
        <v/>
      </c>
      <c r="R411">
        <f>IF(AND(Q411&lt;&gt;"",ISNUMBER(D411)),Q411,"")</f>
        <v/>
      </c>
      <c r="S411">
        <f>IF(AND(Q411&lt;&gt;"",ISNUMBER(E411)),Q411,"")</f>
        <v/>
      </c>
      <c r="T411">
        <f>IF(AND(Q411&lt;&gt;"",ISNUMBER(F411)),Q411,"")</f>
        <v/>
      </c>
      <c r="U411">
        <f>IF(AND(Q411&lt;&gt;"",ISNUMBER(G411)),Q411,"")</f>
        <v/>
      </c>
      <c r="V411">
        <f>IF(AND(Q411&lt;&gt;"",ISNUMBER(H411)),Q411,"")</f>
        <v/>
      </c>
      <c r="W411">
        <f>IF(AND(Q411&lt;&gt;"",ISNUMBER(I411)),Q411,"")</f>
        <v/>
      </c>
      <c r="X411">
        <f>IF(AND(Q411&lt;&gt;"",ISNUMBER(J411)),Q411,"")</f>
        <v/>
      </c>
      <c r="Y411">
        <f>IF(AND(Q411&lt;&gt;"",ISNUMBER(K411)),Q411,"")</f>
        <v/>
      </c>
      <c r="Z411">
        <f>IF(AND(Q411&lt;&gt;"",ISNUMBER(L411)),Q411,"")</f>
        <v/>
      </c>
      <c r="AA411">
        <f>IF(AND(Q411&lt;&gt;"",ISNUMBER(M411)),Q411,"")</f>
        <v/>
      </c>
      <c r="AB411">
        <f>IF(AND(Q411&lt;&gt;"",ISNUMBER(K411)),K411,"")</f>
        <v/>
      </c>
      <c r="AC411">
        <f>IF(AND(Q411&lt;&gt;"",ISNUMBER(L411)),L411,"")</f>
        <v/>
      </c>
      <c r="AD411">
        <f>IF(AND(Q411&lt;&gt;"",ISNUMBER(M411)),M411,"")</f>
        <v/>
      </c>
    </row>
    <row r="412">
      <c r="A412" s="1" t="n"/>
      <c r="B412" s="17" t="n"/>
      <c r="C412" s="27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9" t="n"/>
      <c r="N412" s="21" t="n"/>
      <c r="O412" s="12">
        <f>IF(AND(B412="",C412=""),"",IF(NOT(ISNUMBER(B412)),"Needs a date",IF(C412="","Needs a client",IF(COUNTIF(Clients!$B$6:$B$105,C412)=0,"Not on Clients",IF(COUNT(D412:M412)=0,"Nothing measured","")))))</f>
        <v/>
      </c>
      <c r="P412" s="1">
        <f>IF(AND(O412="",ISNUMBER(B412)),INT(B412),0)</f>
        <v/>
      </c>
      <c r="Q412">
        <f>IF(AND(P412&gt;0,C412=Report!$C$5),P412*10000+ROW(),"")</f>
        <v/>
      </c>
      <c r="R412">
        <f>IF(AND(Q412&lt;&gt;"",ISNUMBER(D412)),Q412,"")</f>
        <v/>
      </c>
      <c r="S412">
        <f>IF(AND(Q412&lt;&gt;"",ISNUMBER(E412)),Q412,"")</f>
        <v/>
      </c>
      <c r="T412">
        <f>IF(AND(Q412&lt;&gt;"",ISNUMBER(F412)),Q412,"")</f>
        <v/>
      </c>
      <c r="U412">
        <f>IF(AND(Q412&lt;&gt;"",ISNUMBER(G412)),Q412,"")</f>
        <v/>
      </c>
      <c r="V412">
        <f>IF(AND(Q412&lt;&gt;"",ISNUMBER(H412)),Q412,"")</f>
        <v/>
      </c>
      <c r="W412">
        <f>IF(AND(Q412&lt;&gt;"",ISNUMBER(I412)),Q412,"")</f>
        <v/>
      </c>
      <c r="X412">
        <f>IF(AND(Q412&lt;&gt;"",ISNUMBER(J412)),Q412,"")</f>
        <v/>
      </c>
      <c r="Y412">
        <f>IF(AND(Q412&lt;&gt;"",ISNUMBER(K412)),Q412,"")</f>
        <v/>
      </c>
      <c r="Z412">
        <f>IF(AND(Q412&lt;&gt;"",ISNUMBER(L412)),Q412,"")</f>
        <v/>
      </c>
      <c r="AA412">
        <f>IF(AND(Q412&lt;&gt;"",ISNUMBER(M412)),Q412,"")</f>
        <v/>
      </c>
      <c r="AB412">
        <f>IF(AND(Q412&lt;&gt;"",ISNUMBER(K412)),K412,"")</f>
        <v/>
      </c>
      <c r="AC412">
        <f>IF(AND(Q412&lt;&gt;"",ISNUMBER(L412)),L412,"")</f>
        <v/>
      </c>
      <c r="AD412">
        <f>IF(AND(Q412&lt;&gt;"",ISNUMBER(M412)),M412,"")</f>
        <v/>
      </c>
    </row>
    <row r="413">
      <c r="A413" s="1" t="n"/>
      <c r="B413" s="17" t="n"/>
      <c r="C413" s="27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9" t="n"/>
      <c r="N413" s="21" t="n"/>
      <c r="O413" s="12">
        <f>IF(AND(B413="",C413=""),"",IF(NOT(ISNUMBER(B413)),"Needs a date",IF(C413="","Needs a client",IF(COUNTIF(Clients!$B$6:$B$105,C413)=0,"Not on Clients",IF(COUNT(D413:M413)=0,"Nothing measured","")))))</f>
        <v/>
      </c>
      <c r="P413" s="1">
        <f>IF(AND(O413="",ISNUMBER(B413)),INT(B413),0)</f>
        <v/>
      </c>
      <c r="Q413">
        <f>IF(AND(P413&gt;0,C413=Report!$C$5),P413*10000+ROW(),"")</f>
        <v/>
      </c>
      <c r="R413">
        <f>IF(AND(Q413&lt;&gt;"",ISNUMBER(D413)),Q413,"")</f>
        <v/>
      </c>
      <c r="S413">
        <f>IF(AND(Q413&lt;&gt;"",ISNUMBER(E413)),Q413,"")</f>
        <v/>
      </c>
      <c r="T413">
        <f>IF(AND(Q413&lt;&gt;"",ISNUMBER(F413)),Q413,"")</f>
        <v/>
      </c>
      <c r="U413">
        <f>IF(AND(Q413&lt;&gt;"",ISNUMBER(G413)),Q413,"")</f>
        <v/>
      </c>
      <c r="V413">
        <f>IF(AND(Q413&lt;&gt;"",ISNUMBER(H413)),Q413,"")</f>
        <v/>
      </c>
      <c r="W413">
        <f>IF(AND(Q413&lt;&gt;"",ISNUMBER(I413)),Q413,"")</f>
        <v/>
      </c>
      <c r="X413">
        <f>IF(AND(Q413&lt;&gt;"",ISNUMBER(J413)),Q413,"")</f>
        <v/>
      </c>
      <c r="Y413">
        <f>IF(AND(Q413&lt;&gt;"",ISNUMBER(K413)),Q413,"")</f>
        <v/>
      </c>
      <c r="Z413">
        <f>IF(AND(Q413&lt;&gt;"",ISNUMBER(L413)),Q413,"")</f>
        <v/>
      </c>
      <c r="AA413">
        <f>IF(AND(Q413&lt;&gt;"",ISNUMBER(M413)),Q413,"")</f>
        <v/>
      </c>
      <c r="AB413">
        <f>IF(AND(Q413&lt;&gt;"",ISNUMBER(K413)),K413,"")</f>
        <v/>
      </c>
      <c r="AC413">
        <f>IF(AND(Q413&lt;&gt;"",ISNUMBER(L413)),L413,"")</f>
        <v/>
      </c>
      <c r="AD413">
        <f>IF(AND(Q413&lt;&gt;"",ISNUMBER(M413)),M413,"")</f>
        <v/>
      </c>
    </row>
    <row r="414">
      <c r="A414" s="1" t="n"/>
      <c r="B414" s="17" t="n"/>
      <c r="C414" s="27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9" t="n"/>
      <c r="N414" s="21" t="n"/>
      <c r="O414" s="12">
        <f>IF(AND(B414="",C414=""),"",IF(NOT(ISNUMBER(B414)),"Needs a date",IF(C414="","Needs a client",IF(COUNTIF(Clients!$B$6:$B$105,C414)=0,"Not on Clients",IF(COUNT(D414:M414)=0,"Nothing measured","")))))</f>
        <v/>
      </c>
      <c r="P414" s="1">
        <f>IF(AND(O414="",ISNUMBER(B414)),INT(B414),0)</f>
        <v/>
      </c>
      <c r="Q414">
        <f>IF(AND(P414&gt;0,C414=Report!$C$5),P414*10000+ROW(),"")</f>
        <v/>
      </c>
      <c r="R414">
        <f>IF(AND(Q414&lt;&gt;"",ISNUMBER(D414)),Q414,"")</f>
        <v/>
      </c>
      <c r="S414">
        <f>IF(AND(Q414&lt;&gt;"",ISNUMBER(E414)),Q414,"")</f>
        <v/>
      </c>
      <c r="T414">
        <f>IF(AND(Q414&lt;&gt;"",ISNUMBER(F414)),Q414,"")</f>
        <v/>
      </c>
      <c r="U414">
        <f>IF(AND(Q414&lt;&gt;"",ISNUMBER(G414)),Q414,"")</f>
        <v/>
      </c>
      <c r="V414">
        <f>IF(AND(Q414&lt;&gt;"",ISNUMBER(H414)),Q414,"")</f>
        <v/>
      </c>
      <c r="W414">
        <f>IF(AND(Q414&lt;&gt;"",ISNUMBER(I414)),Q414,"")</f>
        <v/>
      </c>
      <c r="X414">
        <f>IF(AND(Q414&lt;&gt;"",ISNUMBER(J414)),Q414,"")</f>
        <v/>
      </c>
      <c r="Y414">
        <f>IF(AND(Q414&lt;&gt;"",ISNUMBER(K414)),Q414,"")</f>
        <v/>
      </c>
      <c r="Z414">
        <f>IF(AND(Q414&lt;&gt;"",ISNUMBER(L414)),Q414,"")</f>
        <v/>
      </c>
      <c r="AA414">
        <f>IF(AND(Q414&lt;&gt;"",ISNUMBER(M414)),Q414,"")</f>
        <v/>
      </c>
      <c r="AB414">
        <f>IF(AND(Q414&lt;&gt;"",ISNUMBER(K414)),K414,"")</f>
        <v/>
      </c>
      <c r="AC414">
        <f>IF(AND(Q414&lt;&gt;"",ISNUMBER(L414)),L414,"")</f>
        <v/>
      </c>
      <c r="AD414">
        <f>IF(AND(Q414&lt;&gt;"",ISNUMBER(M414)),M414,"")</f>
        <v/>
      </c>
    </row>
    <row r="415">
      <c r="A415" s="1" t="n"/>
      <c r="B415" s="17" t="n"/>
      <c r="C415" s="27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9" t="n"/>
      <c r="N415" s="21" t="n"/>
      <c r="O415" s="12">
        <f>IF(AND(B415="",C415=""),"",IF(NOT(ISNUMBER(B415)),"Needs a date",IF(C415="","Needs a client",IF(COUNTIF(Clients!$B$6:$B$105,C415)=0,"Not on Clients",IF(COUNT(D415:M415)=0,"Nothing measured","")))))</f>
        <v/>
      </c>
      <c r="P415" s="1">
        <f>IF(AND(O415="",ISNUMBER(B415)),INT(B415),0)</f>
        <v/>
      </c>
      <c r="Q415">
        <f>IF(AND(P415&gt;0,C415=Report!$C$5),P415*10000+ROW(),"")</f>
        <v/>
      </c>
      <c r="R415">
        <f>IF(AND(Q415&lt;&gt;"",ISNUMBER(D415)),Q415,"")</f>
        <v/>
      </c>
      <c r="S415">
        <f>IF(AND(Q415&lt;&gt;"",ISNUMBER(E415)),Q415,"")</f>
        <v/>
      </c>
      <c r="T415">
        <f>IF(AND(Q415&lt;&gt;"",ISNUMBER(F415)),Q415,"")</f>
        <v/>
      </c>
      <c r="U415">
        <f>IF(AND(Q415&lt;&gt;"",ISNUMBER(G415)),Q415,"")</f>
        <v/>
      </c>
      <c r="V415">
        <f>IF(AND(Q415&lt;&gt;"",ISNUMBER(H415)),Q415,"")</f>
        <v/>
      </c>
      <c r="W415">
        <f>IF(AND(Q415&lt;&gt;"",ISNUMBER(I415)),Q415,"")</f>
        <v/>
      </c>
      <c r="X415">
        <f>IF(AND(Q415&lt;&gt;"",ISNUMBER(J415)),Q415,"")</f>
        <v/>
      </c>
      <c r="Y415">
        <f>IF(AND(Q415&lt;&gt;"",ISNUMBER(K415)),Q415,"")</f>
        <v/>
      </c>
      <c r="Z415">
        <f>IF(AND(Q415&lt;&gt;"",ISNUMBER(L415)),Q415,"")</f>
        <v/>
      </c>
      <c r="AA415">
        <f>IF(AND(Q415&lt;&gt;"",ISNUMBER(M415)),Q415,"")</f>
        <v/>
      </c>
      <c r="AB415">
        <f>IF(AND(Q415&lt;&gt;"",ISNUMBER(K415)),K415,"")</f>
        <v/>
      </c>
      <c r="AC415">
        <f>IF(AND(Q415&lt;&gt;"",ISNUMBER(L415)),L415,"")</f>
        <v/>
      </c>
      <c r="AD415">
        <f>IF(AND(Q415&lt;&gt;"",ISNUMBER(M415)),M415,"")</f>
        <v/>
      </c>
    </row>
    <row r="416">
      <c r="A416" s="1" t="n"/>
      <c r="B416" s="17" t="n"/>
      <c r="C416" s="27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9" t="n"/>
      <c r="N416" s="21" t="n"/>
      <c r="O416" s="12">
        <f>IF(AND(B416="",C416=""),"",IF(NOT(ISNUMBER(B416)),"Needs a date",IF(C416="","Needs a client",IF(COUNTIF(Clients!$B$6:$B$105,C416)=0,"Not on Clients",IF(COUNT(D416:M416)=0,"Nothing measured","")))))</f>
        <v/>
      </c>
      <c r="P416" s="1">
        <f>IF(AND(O416="",ISNUMBER(B416)),INT(B416),0)</f>
        <v/>
      </c>
      <c r="Q416">
        <f>IF(AND(P416&gt;0,C416=Report!$C$5),P416*10000+ROW(),"")</f>
        <v/>
      </c>
      <c r="R416">
        <f>IF(AND(Q416&lt;&gt;"",ISNUMBER(D416)),Q416,"")</f>
        <v/>
      </c>
      <c r="S416">
        <f>IF(AND(Q416&lt;&gt;"",ISNUMBER(E416)),Q416,"")</f>
        <v/>
      </c>
      <c r="T416">
        <f>IF(AND(Q416&lt;&gt;"",ISNUMBER(F416)),Q416,"")</f>
        <v/>
      </c>
      <c r="U416">
        <f>IF(AND(Q416&lt;&gt;"",ISNUMBER(G416)),Q416,"")</f>
        <v/>
      </c>
      <c r="V416">
        <f>IF(AND(Q416&lt;&gt;"",ISNUMBER(H416)),Q416,"")</f>
        <v/>
      </c>
      <c r="W416">
        <f>IF(AND(Q416&lt;&gt;"",ISNUMBER(I416)),Q416,"")</f>
        <v/>
      </c>
      <c r="X416">
        <f>IF(AND(Q416&lt;&gt;"",ISNUMBER(J416)),Q416,"")</f>
        <v/>
      </c>
      <c r="Y416">
        <f>IF(AND(Q416&lt;&gt;"",ISNUMBER(K416)),Q416,"")</f>
        <v/>
      </c>
      <c r="Z416">
        <f>IF(AND(Q416&lt;&gt;"",ISNUMBER(L416)),Q416,"")</f>
        <v/>
      </c>
      <c r="AA416">
        <f>IF(AND(Q416&lt;&gt;"",ISNUMBER(M416)),Q416,"")</f>
        <v/>
      </c>
      <c r="AB416">
        <f>IF(AND(Q416&lt;&gt;"",ISNUMBER(K416)),K416,"")</f>
        <v/>
      </c>
      <c r="AC416">
        <f>IF(AND(Q416&lt;&gt;"",ISNUMBER(L416)),L416,"")</f>
        <v/>
      </c>
      <c r="AD416">
        <f>IF(AND(Q416&lt;&gt;"",ISNUMBER(M416)),M416,"")</f>
        <v/>
      </c>
    </row>
    <row r="417">
      <c r="A417" s="1" t="n"/>
      <c r="B417" s="17" t="n"/>
      <c r="C417" s="27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9" t="n"/>
      <c r="N417" s="21" t="n"/>
      <c r="O417" s="12">
        <f>IF(AND(B417="",C417=""),"",IF(NOT(ISNUMBER(B417)),"Needs a date",IF(C417="","Needs a client",IF(COUNTIF(Clients!$B$6:$B$105,C417)=0,"Not on Clients",IF(COUNT(D417:M417)=0,"Nothing measured","")))))</f>
        <v/>
      </c>
      <c r="P417" s="1">
        <f>IF(AND(O417="",ISNUMBER(B417)),INT(B417),0)</f>
        <v/>
      </c>
      <c r="Q417">
        <f>IF(AND(P417&gt;0,C417=Report!$C$5),P417*10000+ROW(),"")</f>
        <v/>
      </c>
      <c r="R417">
        <f>IF(AND(Q417&lt;&gt;"",ISNUMBER(D417)),Q417,"")</f>
        <v/>
      </c>
      <c r="S417">
        <f>IF(AND(Q417&lt;&gt;"",ISNUMBER(E417)),Q417,"")</f>
        <v/>
      </c>
      <c r="T417">
        <f>IF(AND(Q417&lt;&gt;"",ISNUMBER(F417)),Q417,"")</f>
        <v/>
      </c>
      <c r="U417">
        <f>IF(AND(Q417&lt;&gt;"",ISNUMBER(G417)),Q417,"")</f>
        <v/>
      </c>
      <c r="V417">
        <f>IF(AND(Q417&lt;&gt;"",ISNUMBER(H417)),Q417,"")</f>
        <v/>
      </c>
      <c r="W417">
        <f>IF(AND(Q417&lt;&gt;"",ISNUMBER(I417)),Q417,"")</f>
        <v/>
      </c>
      <c r="X417">
        <f>IF(AND(Q417&lt;&gt;"",ISNUMBER(J417)),Q417,"")</f>
        <v/>
      </c>
      <c r="Y417">
        <f>IF(AND(Q417&lt;&gt;"",ISNUMBER(K417)),Q417,"")</f>
        <v/>
      </c>
      <c r="Z417">
        <f>IF(AND(Q417&lt;&gt;"",ISNUMBER(L417)),Q417,"")</f>
        <v/>
      </c>
      <c r="AA417">
        <f>IF(AND(Q417&lt;&gt;"",ISNUMBER(M417)),Q417,"")</f>
        <v/>
      </c>
      <c r="AB417">
        <f>IF(AND(Q417&lt;&gt;"",ISNUMBER(K417)),K417,"")</f>
        <v/>
      </c>
      <c r="AC417">
        <f>IF(AND(Q417&lt;&gt;"",ISNUMBER(L417)),L417,"")</f>
        <v/>
      </c>
      <c r="AD417">
        <f>IF(AND(Q417&lt;&gt;"",ISNUMBER(M417)),M417,"")</f>
        <v/>
      </c>
    </row>
    <row r="418">
      <c r="A418" s="1" t="n"/>
      <c r="B418" s="17" t="n"/>
      <c r="C418" s="27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9" t="n"/>
      <c r="N418" s="21" t="n"/>
      <c r="O418" s="12">
        <f>IF(AND(B418="",C418=""),"",IF(NOT(ISNUMBER(B418)),"Needs a date",IF(C418="","Needs a client",IF(COUNTIF(Clients!$B$6:$B$105,C418)=0,"Not on Clients",IF(COUNT(D418:M418)=0,"Nothing measured","")))))</f>
        <v/>
      </c>
      <c r="P418" s="1">
        <f>IF(AND(O418="",ISNUMBER(B418)),INT(B418),0)</f>
        <v/>
      </c>
      <c r="Q418">
        <f>IF(AND(P418&gt;0,C418=Report!$C$5),P418*10000+ROW(),"")</f>
        <v/>
      </c>
      <c r="R418">
        <f>IF(AND(Q418&lt;&gt;"",ISNUMBER(D418)),Q418,"")</f>
        <v/>
      </c>
      <c r="S418">
        <f>IF(AND(Q418&lt;&gt;"",ISNUMBER(E418)),Q418,"")</f>
        <v/>
      </c>
      <c r="T418">
        <f>IF(AND(Q418&lt;&gt;"",ISNUMBER(F418)),Q418,"")</f>
        <v/>
      </c>
      <c r="U418">
        <f>IF(AND(Q418&lt;&gt;"",ISNUMBER(G418)),Q418,"")</f>
        <v/>
      </c>
      <c r="V418">
        <f>IF(AND(Q418&lt;&gt;"",ISNUMBER(H418)),Q418,"")</f>
        <v/>
      </c>
      <c r="W418">
        <f>IF(AND(Q418&lt;&gt;"",ISNUMBER(I418)),Q418,"")</f>
        <v/>
      </c>
      <c r="X418">
        <f>IF(AND(Q418&lt;&gt;"",ISNUMBER(J418)),Q418,"")</f>
        <v/>
      </c>
      <c r="Y418">
        <f>IF(AND(Q418&lt;&gt;"",ISNUMBER(K418)),Q418,"")</f>
        <v/>
      </c>
      <c r="Z418">
        <f>IF(AND(Q418&lt;&gt;"",ISNUMBER(L418)),Q418,"")</f>
        <v/>
      </c>
      <c r="AA418">
        <f>IF(AND(Q418&lt;&gt;"",ISNUMBER(M418)),Q418,"")</f>
        <v/>
      </c>
      <c r="AB418">
        <f>IF(AND(Q418&lt;&gt;"",ISNUMBER(K418)),K418,"")</f>
        <v/>
      </c>
      <c r="AC418">
        <f>IF(AND(Q418&lt;&gt;"",ISNUMBER(L418)),L418,"")</f>
        <v/>
      </c>
      <c r="AD418">
        <f>IF(AND(Q418&lt;&gt;"",ISNUMBER(M418)),M418,"")</f>
        <v/>
      </c>
    </row>
    <row r="419">
      <c r="A419" s="1" t="n"/>
      <c r="B419" s="17" t="n"/>
      <c r="C419" s="27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9" t="n"/>
      <c r="N419" s="21" t="n"/>
      <c r="O419" s="12">
        <f>IF(AND(B419="",C419=""),"",IF(NOT(ISNUMBER(B419)),"Needs a date",IF(C419="","Needs a client",IF(COUNTIF(Clients!$B$6:$B$105,C419)=0,"Not on Clients",IF(COUNT(D419:M419)=0,"Nothing measured","")))))</f>
        <v/>
      </c>
      <c r="P419" s="1">
        <f>IF(AND(O419="",ISNUMBER(B419)),INT(B419),0)</f>
        <v/>
      </c>
      <c r="Q419">
        <f>IF(AND(P419&gt;0,C419=Report!$C$5),P419*10000+ROW(),"")</f>
        <v/>
      </c>
      <c r="R419">
        <f>IF(AND(Q419&lt;&gt;"",ISNUMBER(D419)),Q419,"")</f>
        <v/>
      </c>
      <c r="S419">
        <f>IF(AND(Q419&lt;&gt;"",ISNUMBER(E419)),Q419,"")</f>
        <v/>
      </c>
      <c r="T419">
        <f>IF(AND(Q419&lt;&gt;"",ISNUMBER(F419)),Q419,"")</f>
        <v/>
      </c>
      <c r="U419">
        <f>IF(AND(Q419&lt;&gt;"",ISNUMBER(G419)),Q419,"")</f>
        <v/>
      </c>
      <c r="V419">
        <f>IF(AND(Q419&lt;&gt;"",ISNUMBER(H419)),Q419,"")</f>
        <v/>
      </c>
      <c r="W419">
        <f>IF(AND(Q419&lt;&gt;"",ISNUMBER(I419)),Q419,"")</f>
        <v/>
      </c>
      <c r="X419">
        <f>IF(AND(Q419&lt;&gt;"",ISNUMBER(J419)),Q419,"")</f>
        <v/>
      </c>
      <c r="Y419">
        <f>IF(AND(Q419&lt;&gt;"",ISNUMBER(K419)),Q419,"")</f>
        <v/>
      </c>
      <c r="Z419">
        <f>IF(AND(Q419&lt;&gt;"",ISNUMBER(L419)),Q419,"")</f>
        <v/>
      </c>
      <c r="AA419">
        <f>IF(AND(Q419&lt;&gt;"",ISNUMBER(M419)),Q419,"")</f>
        <v/>
      </c>
      <c r="AB419">
        <f>IF(AND(Q419&lt;&gt;"",ISNUMBER(K419)),K419,"")</f>
        <v/>
      </c>
      <c r="AC419">
        <f>IF(AND(Q419&lt;&gt;"",ISNUMBER(L419)),L419,"")</f>
        <v/>
      </c>
      <c r="AD419">
        <f>IF(AND(Q419&lt;&gt;"",ISNUMBER(M419)),M419,"")</f>
        <v/>
      </c>
    </row>
    <row r="420">
      <c r="A420" s="1" t="n"/>
      <c r="B420" s="17" t="n"/>
      <c r="C420" s="27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9" t="n"/>
      <c r="N420" s="21" t="n"/>
      <c r="O420" s="12">
        <f>IF(AND(B420="",C420=""),"",IF(NOT(ISNUMBER(B420)),"Needs a date",IF(C420="","Needs a client",IF(COUNTIF(Clients!$B$6:$B$105,C420)=0,"Not on Clients",IF(COUNT(D420:M420)=0,"Nothing measured","")))))</f>
        <v/>
      </c>
      <c r="P420" s="1">
        <f>IF(AND(O420="",ISNUMBER(B420)),INT(B420),0)</f>
        <v/>
      </c>
      <c r="Q420">
        <f>IF(AND(P420&gt;0,C420=Report!$C$5),P420*10000+ROW(),"")</f>
        <v/>
      </c>
      <c r="R420">
        <f>IF(AND(Q420&lt;&gt;"",ISNUMBER(D420)),Q420,"")</f>
        <v/>
      </c>
      <c r="S420">
        <f>IF(AND(Q420&lt;&gt;"",ISNUMBER(E420)),Q420,"")</f>
        <v/>
      </c>
      <c r="T420">
        <f>IF(AND(Q420&lt;&gt;"",ISNUMBER(F420)),Q420,"")</f>
        <v/>
      </c>
      <c r="U420">
        <f>IF(AND(Q420&lt;&gt;"",ISNUMBER(G420)),Q420,"")</f>
        <v/>
      </c>
      <c r="V420">
        <f>IF(AND(Q420&lt;&gt;"",ISNUMBER(H420)),Q420,"")</f>
        <v/>
      </c>
      <c r="W420">
        <f>IF(AND(Q420&lt;&gt;"",ISNUMBER(I420)),Q420,"")</f>
        <v/>
      </c>
      <c r="X420">
        <f>IF(AND(Q420&lt;&gt;"",ISNUMBER(J420)),Q420,"")</f>
        <v/>
      </c>
      <c r="Y420">
        <f>IF(AND(Q420&lt;&gt;"",ISNUMBER(K420)),Q420,"")</f>
        <v/>
      </c>
      <c r="Z420">
        <f>IF(AND(Q420&lt;&gt;"",ISNUMBER(L420)),Q420,"")</f>
        <v/>
      </c>
      <c r="AA420">
        <f>IF(AND(Q420&lt;&gt;"",ISNUMBER(M420)),Q420,"")</f>
        <v/>
      </c>
      <c r="AB420">
        <f>IF(AND(Q420&lt;&gt;"",ISNUMBER(K420)),K420,"")</f>
        <v/>
      </c>
      <c r="AC420">
        <f>IF(AND(Q420&lt;&gt;"",ISNUMBER(L420)),L420,"")</f>
        <v/>
      </c>
      <c r="AD420">
        <f>IF(AND(Q420&lt;&gt;"",ISNUMBER(M420)),M420,"")</f>
        <v/>
      </c>
    </row>
    <row r="421">
      <c r="A421" s="1" t="n"/>
      <c r="B421" s="17" t="n"/>
      <c r="C421" s="27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9" t="n"/>
      <c r="N421" s="21" t="n"/>
      <c r="O421" s="12">
        <f>IF(AND(B421="",C421=""),"",IF(NOT(ISNUMBER(B421)),"Needs a date",IF(C421="","Needs a client",IF(COUNTIF(Clients!$B$6:$B$105,C421)=0,"Not on Clients",IF(COUNT(D421:M421)=0,"Nothing measured","")))))</f>
        <v/>
      </c>
      <c r="P421" s="1">
        <f>IF(AND(O421="",ISNUMBER(B421)),INT(B421),0)</f>
        <v/>
      </c>
      <c r="Q421">
        <f>IF(AND(P421&gt;0,C421=Report!$C$5),P421*10000+ROW(),"")</f>
        <v/>
      </c>
      <c r="R421">
        <f>IF(AND(Q421&lt;&gt;"",ISNUMBER(D421)),Q421,"")</f>
        <v/>
      </c>
      <c r="S421">
        <f>IF(AND(Q421&lt;&gt;"",ISNUMBER(E421)),Q421,"")</f>
        <v/>
      </c>
      <c r="T421">
        <f>IF(AND(Q421&lt;&gt;"",ISNUMBER(F421)),Q421,"")</f>
        <v/>
      </c>
      <c r="U421">
        <f>IF(AND(Q421&lt;&gt;"",ISNUMBER(G421)),Q421,"")</f>
        <v/>
      </c>
      <c r="V421">
        <f>IF(AND(Q421&lt;&gt;"",ISNUMBER(H421)),Q421,"")</f>
        <v/>
      </c>
      <c r="W421">
        <f>IF(AND(Q421&lt;&gt;"",ISNUMBER(I421)),Q421,"")</f>
        <v/>
      </c>
      <c r="X421">
        <f>IF(AND(Q421&lt;&gt;"",ISNUMBER(J421)),Q421,"")</f>
        <v/>
      </c>
      <c r="Y421">
        <f>IF(AND(Q421&lt;&gt;"",ISNUMBER(K421)),Q421,"")</f>
        <v/>
      </c>
      <c r="Z421">
        <f>IF(AND(Q421&lt;&gt;"",ISNUMBER(L421)),Q421,"")</f>
        <v/>
      </c>
      <c r="AA421">
        <f>IF(AND(Q421&lt;&gt;"",ISNUMBER(M421)),Q421,"")</f>
        <v/>
      </c>
      <c r="AB421">
        <f>IF(AND(Q421&lt;&gt;"",ISNUMBER(K421)),K421,"")</f>
        <v/>
      </c>
      <c r="AC421">
        <f>IF(AND(Q421&lt;&gt;"",ISNUMBER(L421)),L421,"")</f>
        <v/>
      </c>
      <c r="AD421">
        <f>IF(AND(Q421&lt;&gt;"",ISNUMBER(M421)),M421,"")</f>
        <v/>
      </c>
    </row>
    <row r="422">
      <c r="A422" s="1" t="n"/>
      <c r="B422" s="17" t="n"/>
      <c r="C422" s="27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9" t="n"/>
      <c r="N422" s="21" t="n"/>
      <c r="O422" s="12">
        <f>IF(AND(B422="",C422=""),"",IF(NOT(ISNUMBER(B422)),"Needs a date",IF(C422="","Needs a client",IF(COUNTIF(Clients!$B$6:$B$105,C422)=0,"Not on Clients",IF(COUNT(D422:M422)=0,"Nothing measured","")))))</f>
        <v/>
      </c>
      <c r="P422" s="1">
        <f>IF(AND(O422="",ISNUMBER(B422)),INT(B422),0)</f>
        <v/>
      </c>
      <c r="Q422">
        <f>IF(AND(P422&gt;0,C422=Report!$C$5),P422*10000+ROW(),"")</f>
        <v/>
      </c>
      <c r="R422">
        <f>IF(AND(Q422&lt;&gt;"",ISNUMBER(D422)),Q422,"")</f>
        <v/>
      </c>
      <c r="S422">
        <f>IF(AND(Q422&lt;&gt;"",ISNUMBER(E422)),Q422,"")</f>
        <v/>
      </c>
      <c r="T422">
        <f>IF(AND(Q422&lt;&gt;"",ISNUMBER(F422)),Q422,"")</f>
        <v/>
      </c>
      <c r="U422">
        <f>IF(AND(Q422&lt;&gt;"",ISNUMBER(G422)),Q422,"")</f>
        <v/>
      </c>
      <c r="V422">
        <f>IF(AND(Q422&lt;&gt;"",ISNUMBER(H422)),Q422,"")</f>
        <v/>
      </c>
      <c r="W422">
        <f>IF(AND(Q422&lt;&gt;"",ISNUMBER(I422)),Q422,"")</f>
        <v/>
      </c>
      <c r="X422">
        <f>IF(AND(Q422&lt;&gt;"",ISNUMBER(J422)),Q422,"")</f>
        <v/>
      </c>
      <c r="Y422">
        <f>IF(AND(Q422&lt;&gt;"",ISNUMBER(K422)),Q422,"")</f>
        <v/>
      </c>
      <c r="Z422">
        <f>IF(AND(Q422&lt;&gt;"",ISNUMBER(L422)),Q422,"")</f>
        <v/>
      </c>
      <c r="AA422">
        <f>IF(AND(Q422&lt;&gt;"",ISNUMBER(M422)),Q422,"")</f>
        <v/>
      </c>
      <c r="AB422">
        <f>IF(AND(Q422&lt;&gt;"",ISNUMBER(K422)),K422,"")</f>
        <v/>
      </c>
      <c r="AC422">
        <f>IF(AND(Q422&lt;&gt;"",ISNUMBER(L422)),L422,"")</f>
        <v/>
      </c>
      <c r="AD422">
        <f>IF(AND(Q422&lt;&gt;"",ISNUMBER(M422)),M422,"")</f>
        <v/>
      </c>
    </row>
    <row r="423">
      <c r="A423" s="1" t="n"/>
      <c r="B423" s="17" t="n"/>
      <c r="C423" s="27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9" t="n"/>
      <c r="N423" s="21" t="n"/>
      <c r="O423" s="12">
        <f>IF(AND(B423="",C423=""),"",IF(NOT(ISNUMBER(B423)),"Needs a date",IF(C423="","Needs a client",IF(COUNTIF(Clients!$B$6:$B$105,C423)=0,"Not on Clients",IF(COUNT(D423:M423)=0,"Nothing measured","")))))</f>
        <v/>
      </c>
      <c r="P423" s="1">
        <f>IF(AND(O423="",ISNUMBER(B423)),INT(B423),0)</f>
        <v/>
      </c>
      <c r="Q423">
        <f>IF(AND(P423&gt;0,C423=Report!$C$5),P423*10000+ROW(),"")</f>
        <v/>
      </c>
      <c r="R423">
        <f>IF(AND(Q423&lt;&gt;"",ISNUMBER(D423)),Q423,"")</f>
        <v/>
      </c>
      <c r="S423">
        <f>IF(AND(Q423&lt;&gt;"",ISNUMBER(E423)),Q423,"")</f>
        <v/>
      </c>
      <c r="T423">
        <f>IF(AND(Q423&lt;&gt;"",ISNUMBER(F423)),Q423,"")</f>
        <v/>
      </c>
      <c r="U423">
        <f>IF(AND(Q423&lt;&gt;"",ISNUMBER(G423)),Q423,"")</f>
        <v/>
      </c>
      <c r="V423">
        <f>IF(AND(Q423&lt;&gt;"",ISNUMBER(H423)),Q423,"")</f>
        <v/>
      </c>
      <c r="W423">
        <f>IF(AND(Q423&lt;&gt;"",ISNUMBER(I423)),Q423,"")</f>
        <v/>
      </c>
      <c r="X423">
        <f>IF(AND(Q423&lt;&gt;"",ISNUMBER(J423)),Q423,"")</f>
        <v/>
      </c>
      <c r="Y423">
        <f>IF(AND(Q423&lt;&gt;"",ISNUMBER(K423)),Q423,"")</f>
        <v/>
      </c>
      <c r="Z423">
        <f>IF(AND(Q423&lt;&gt;"",ISNUMBER(L423)),Q423,"")</f>
        <v/>
      </c>
      <c r="AA423">
        <f>IF(AND(Q423&lt;&gt;"",ISNUMBER(M423)),Q423,"")</f>
        <v/>
      </c>
      <c r="AB423">
        <f>IF(AND(Q423&lt;&gt;"",ISNUMBER(K423)),K423,"")</f>
        <v/>
      </c>
      <c r="AC423">
        <f>IF(AND(Q423&lt;&gt;"",ISNUMBER(L423)),L423,"")</f>
        <v/>
      </c>
      <c r="AD423">
        <f>IF(AND(Q423&lt;&gt;"",ISNUMBER(M423)),M423,"")</f>
        <v/>
      </c>
    </row>
    <row r="424">
      <c r="A424" s="1" t="n"/>
      <c r="B424" s="17" t="n"/>
      <c r="C424" s="27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9" t="n"/>
      <c r="N424" s="21" t="n"/>
      <c r="O424" s="12">
        <f>IF(AND(B424="",C424=""),"",IF(NOT(ISNUMBER(B424)),"Needs a date",IF(C424="","Needs a client",IF(COUNTIF(Clients!$B$6:$B$105,C424)=0,"Not on Clients",IF(COUNT(D424:M424)=0,"Nothing measured","")))))</f>
        <v/>
      </c>
      <c r="P424" s="1">
        <f>IF(AND(O424="",ISNUMBER(B424)),INT(B424),0)</f>
        <v/>
      </c>
      <c r="Q424">
        <f>IF(AND(P424&gt;0,C424=Report!$C$5),P424*10000+ROW(),"")</f>
        <v/>
      </c>
      <c r="R424">
        <f>IF(AND(Q424&lt;&gt;"",ISNUMBER(D424)),Q424,"")</f>
        <v/>
      </c>
      <c r="S424">
        <f>IF(AND(Q424&lt;&gt;"",ISNUMBER(E424)),Q424,"")</f>
        <v/>
      </c>
      <c r="T424">
        <f>IF(AND(Q424&lt;&gt;"",ISNUMBER(F424)),Q424,"")</f>
        <v/>
      </c>
      <c r="U424">
        <f>IF(AND(Q424&lt;&gt;"",ISNUMBER(G424)),Q424,"")</f>
        <v/>
      </c>
      <c r="V424">
        <f>IF(AND(Q424&lt;&gt;"",ISNUMBER(H424)),Q424,"")</f>
        <v/>
      </c>
      <c r="W424">
        <f>IF(AND(Q424&lt;&gt;"",ISNUMBER(I424)),Q424,"")</f>
        <v/>
      </c>
      <c r="X424">
        <f>IF(AND(Q424&lt;&gt;"",ISNUMBER(J424)),Q424,"")</f>
        <v/>
      </c>
      <c r="Y424">
        <f>IF(AND(Q424&lt;&gt;"",ISNUMBER(K424)),Q424,"")</f>
        <v/>
      </c>
      <c r="Z424">
        <f>IF(AND(Q424&lt;&gt;"",ISNUMBER(L424)),Q424,"")</f>
        <v/>
      </c>
      <c r="AA424">
        <f>IF(AND(Q424&lt;&gt;"",ISNUMBER(M424)),Q424,"")</f>
        <v/>
      </c>
      <c r="AB424">
        <f>IF(AND(Q424&lt;&gt;"",ISNUMBER(K424)),K424,"")</f>
        <v/>
      </c>
      <c r="AC424">
        <f>IF(AND(Q424&lt;&gt;"",ISNUMBER(L424)),L424,"")</f>
        <v/>
      </c>
      <c r="AD424">
        <f>IF(AND(Q424&lt;&gt;"",ISNUMBER(M424)),M424,"")</f>
        <v/>
      </c>
    </row>
    <row r="425">
      <c r="A425" s="1" t="n"/>
      <c r="B425" s="17" t="n"/>
      <c r="C425" s="27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9" t="n"/>
      <c r="N425" s="21" t="n"/>
      <c r="O425" s="12">
        <f>IF(AND(B425="",C425=""),"",IF(NOT(ISNUMBER(B425)),"Needs a date",IF(C425="","Needs a client",IF(COUNTIF(Clients!$B$6:$B$105,C425)=0,"Not on Clients",IF(COUNT(D425:M425)=0,"Nothing measured","")))))</f>
        <v/>
      </c>
      <c r="P425" s="1">
        <f>IF(AND(O425="",ISNUMBER(B425)),INT(B425),0)</f>
        <v/>
      </c>
      <c r="Q425">
        <f>IF(AND(P425&gt;0,C425=Report!$C$5),P425*10000+ROW(),"")</f>
        <v/>
      </c>
      <c r="R425">
        <f>IF(AND(Q425&lt;&gt;"",ISNUMBER(D425)),Q425,"")</f>
        <v/>
      </c>
      <c r="S425">
        <f>IF(AND(Q425&lt;&gt;"",ISNUMBER(E425)),Q425,"")</f>
        <v/>
      </c>
      <c r="T425">
        <f>IF(AND(Q425&lt;&gt;"",ISNUMBER(F425)),Q425,"")</f>
        <v/>
      </c>
      <c r="U425">
        <f>IF(AND(Q425&lt;&gt;"",ISNUMBER(G425)),Q425,"")</f>
        <v/>
      </c>
      <c r="V425">
        <f>IF(AND(Q425&lt;&gt;"",ISNUMBER(H425)),Q425,"")</f>
        <v/>
      </c>
      <c r="W425">
        <f>IF(AND(Q425&lt;&gt;"",ISNUMBER(I425)),Q425,"")</f>
        <v/>
      </c>
      <c r="X425">
        <f>IF(AND(Q425&lt;&gt;"",ISNUMBER(J425)),Q425,"")</f>
        <v/>
      </c>
      <c r="Y425">
        <f>IF(AND(Q425&lt;&gt;"",ISNUMBER(K425)),Q425,"")</f>
        <v/>
      </c>
      <c r="Z425">
        <f>IF(AND(Q425&lt;&gt;"",ISNUMBER(L425)),Q425,"")</f>
        <v/>
      </c>
      <c r="AA425">
        <f>IF(AND(Q425&lt;&gt;"",ISNUMBER(M425)),Q425,"")</f>
        <v/>
      </c>
      <c r="AB425">
        <f>IF(AND(Q425&lt;&gt;"",ISNUMBER(K425)),K425,"")</f>
        <v/>
      </c>
      <c r="AC425">
        <f>IF(AND(Q425&lt;&gt;"",ISNUMBER(L425)),L425,"")</f>
        <v/>
      </c>
      <c r="AD425">
        <f>IF(AND(Q425&lt;&gt;"",ISNUMBER(M425)),M425,"")</f>
        <v/>
      </c>
    </row>
    <row r="426">
      <c r="A426" s="1" t="n"/>
      <c r="B426" s="17" t="n"/>
      <c r="C426" s="27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9" t="n"/>
      <c r="N426" s="21" t="n"/>
      <c r="O426" s="12">
        <f>IF(AND(B426="",C426=""),"",IF(NOT(ISNUMBER(B426)),"Needs a date",IF(C426="","Needs a client",IF(COUNTIF(Clients!$B$6:$B$105,C426)=0,"Not on Clients",IF(COUNT(D426:M426)=0,"Nothing measured","")))))</f>
        <v/>
      </c>
      <c r="P426" s="1">
        <f>IF(AND(O426="",ISNUMBER(B426)),INT(B426),0)</f>
        <v/>
      </c>
      <c r="Q426">
        <f>IF(AND(P426&gt;0,C426=Report!$C$5),P426*10000+ROW(),"")</f>
        <v/>
      </c>
      <c r="R426">
        <f>IF(AND(Q426&lt;&gt;"",ISNUMBER(D426)),Q426,"")</f>
        <v/>
      </c>
      <c r="S426">
        <f>IF(AND(Q426&lt;&gt;"",ISNUMBER(E426)),Q426,"")</f>
        <v/>
      </c>
      <c r="T426">
        <f>IF(AND(Q426&lt;&gt;"",ISNUMBER(F426)),Q426,"")</f>
        <v/>
      </c>
      <c r="U426">
        <f>IF(AND(Q426&lt;&gt;"",ISNUMBER(G426)),Q426,"")</f>
        <v/>
      </c>
      <c r="V426">
        <f>IF(AND(Q426&lt;&gt;"",ISNUMBER(H426)),Q426,"")</f>
        <v/>
      </c>
      <c r="W426">
        <f>IF(AND(Q426&lt;&gt;"",ISNUMBER(I426)),Q426,"")</f>
        <v/>
      </c>
      <c r="X426">
        <f>IF(AND(Q426&lt;&gt;"",ISNUMBER(J426)),Q426,"")</f>
        <v/>
      </c>
      <c r="Y426">
        <f>IF(AND(Q426&lt;&gt;"",ISNUMBER(K426)),Q426,"")</f>
        <v/>
      </c>
      <c r="Z426">
        <f>IF(AND(Q426&lt;&gt;"",ISNUMBER(L426)),Q426,"")</f>
        <v/>
      </c>
      <c r="AA426">
        <f>IF(AND(Q426&lt;&gt;"",ISNUMBER(M426)),Q426,"")</f>
        <v/>
      </c>
      <c r="AB426">
        <f>IF(AND(Q426&lt;&gt;"",ISNUMBER(K426)),K426,"")</f>
        <v/>
      </c>
      <c r="AC426">
        <f>IF(AND(Q426&lt;&gt;"",ISNUMBER(L426)),L426,"")</f>
        <v/>
      </c>
      <c r="AD426">
        <f>IF(AND(Q426&lt;&gt;"",ISNUMBER(M426)),M426,"")</f>
        <v/>
      </c>
    </row>
    <row r="427">
      <c r="A427" s="1" t="n"/>
      <c r="B427" s="17" t="n"/>
      <c r="C427" s="27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9" t="n"/>
      <c r="N427" s="21" t="n"/>
      <c r="O427" s="12">
        <f>IF(AND(B427="",C427=""),"",IF(NOT(ISNUMBER(B427)),"Needs a date",IF(C427="","Needs a client",IF(COUNTIF(Clients!$B$6:$B$105,C427)=0,"Not on Clients",IF(COUNT(D427:M427)=0,"Nothing measured","")))))</f>
        <v/>
      </c>
      <c r="P427" s="1">
        <f>IF(AND(O427="",ISNUMBER(B427)),INT(B427),0)</f>
        <v/>
      </c>
      <c r="Q427">
        <f>IF(AND(P427&gt;0,C427=Report!$C$5),P427*10000+ROW(),"")</f>
        <v/>
      </c>
      <c r="R427">
        <f>IF(AND(Q427&lt;&gt;"",ISNUMBER(D427)),Q427,"")</f>
        <v/>
      </c>
      <c r="S427">
        <f>IF(AND(Q427&lt;&gt;"",ISNUMBER(E427)),Q427,"")</f>
        <v/>
      </c>
      <c r="T427">
        <f>IF(AND(Q427&lt;&gt;"",ISNUMBER(F427)),Q427,"")</f>
        <v/>
      </c>
      <c r="U427">
        <f>IF(AND(Q427&lt;&gt;"",ISNUMBER(G427)),Q427,"")</f>
        <v/>
      </c>
      <c r="V427">
        <f>IF(AND(Q427&lt;&gt;"",ISNUMBER(H427)),Q427,"")</f>
        <v/>
      </c>
      <c r="W427">
        <f>IF(AND(Q427&lt;&gt;"",ISNUMBER(I427)),Q427,"")</f>
        <v/>
      </c>
      <c r="X427">
        <f>IF(AND(Q427&lt;&gt;"",ISNUMBER(J427)),Q427,"")</f>
        <v/>
      </c>
      <c r="Y427">
        <f>IF(AND(Q427&lt;&gt;"",ISNUMBER(K427)),Q427,"")</f>
        <v/>
      </c>
      <c r="Z427">
        <f>IF(AND(Q427&lt;&gt;"",ISNUMBER(L427)),Q427,"")</f>
        <v/>
      </c>
      <c r="AA427">
        <f>IF(AND(Q427&lt;&gt;"",ISNUMBER(M427)),Q427,"")</f>
        <v/>
      </c>
      <c r="AB427">
        <f>IF(AND(Q427&lt;&gt;"",ISNUMBER(K427)),K427,"")</f>
        <v/>
      </c>
      <c r="AC427">
        <f>IF(AND(Q427&lt;&gt;"",ISNUMBER(L427)),L427,"")</f>
        <v/>
      </c>
      <c r="AD427">
        <f>IF(AND(Q427&lt;&gt;"",ISNUMBER(M427)),M427,"")</f>
        <v/>
      </c>
    </row>
    <row r="428">
      <c r="A428" s="1" t="n"/>
      <c r="B428" s="17" t="n"/>
      <c r="C428" s="27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9" t="n"/>
      <c r="N428" s="21" t="n"/>
      <c r="O428" s="12">
        <f>IF(AND(B428="",C428=""),"",IF(NOT(ISNUMBER(B428)),"Needs a date",IF(C428="","Needs a client",IF(COUNTIF(Clients!$B$6:$B$105,C428)=0,"Not on Clients",IF(COUNT(D428:M428)=0,"Nothing measured","")))))</f>
        <v/>
      </c>
      <c r="P428" s="1">
        <f>IF(AND(O428="",ISNUMBER(B428)),INT(B428),0)</f>
        <v/>
      </c>
      <c r="Q428">
        <f>IF(AND(P428&gt;0,C428=Report!$C$5),P428*10000+ROW(),"")</f>
        <v/>
      </c>
      <c r="R428">
        <f>IF(AND(Q428&lt;&gt;"",ISNUMBER(D428)),Q428,"")</f>
        <v/>
      </c>
      <c r="S428">
        <f>IF(AND(Q428&lt;&gt;"",ISNUMBER(E428)),Q428,"")</f>
        <v/>
      </c>
      <c r="T428">
        <f>IF(AND(Q428&lt;&gt;"",ISNUMBER(F428)),Q428,"")</f>
        <v/>
      </c>
      <c r="U428">
        <f>IF(AND(Q428&lt;&gt;"",ISNUMBER(G428)),Q428,"")</f>
        <v/>
      </c>
      <c r="V428">
        <f>IF(AND(Q428&lt;&gt;"",ISNUMBER(H428)),Q428,"")</f>
        <v/>
      </c>
      <c r="W428">
        <f>IF(AND(Q428&lt;&gt;"",ISNUMBER(I428)),Q428,"")</f>
        <v/>
      </c>
      <c r="X428">
        <f>IF(AND(Q428&lt;&gt;"",ISNUMBER(J428)),Q428,"")</f>
        <v/>
      </c>
      <c r="Y428">
        <f>IF(AND(Q428&lt;&gt;"",ISNUMBER(K428)),Q428,"")</f>
        <v/>
      </c>
      <c r="Z428">
        <f>IF(AND(Q428&lt;&gt;"",ISNUMBER(L428)),Q428,"")</f>
        <v/>
      </c>
      <c r="AA428">
        <f>IF(AND(Q428&lt;&gt;"",ISNUMBER(M428)),Q428,"")</f>
        <v/>
      </c>
      <c r="AB428">
        <f>IF(AND(Q428&lt;&gt;"",ISNUMBER(K428)),K428,"")</f>
        <v/>
      </c>
      <c r="AC428">
        <f>IF(AND(Q428&lt;&gt;"",ISNUMBER(L428)),L428,"")</f>
        <v/>
      </c>
      <c r="AD428">
        <f>IF(AND(Q428&lt;&gt;"",ISNUMBER(M428)),M428,"")</f>
        <v/>
      </c>
    </row>
    <row r="429">
      <c r="A429" s="1" t="n"/>
      <c r="B429" s="17" t="n"/>
      <c r="C429" s="27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9" t="n"/>
      <c r="N429" s="21" t="n"/>
      <c r="O429" s="12">
        <f>IF(AND(B429="",C429=""),"",IF(NOT(ISNUMBER(B429)),"Needs a date",IF(C429="","Needs a client",IF(COUNTIF(Clients!$B$6:$B$105,C429)=0,"Not on Clients",IF(COUNT(D429:M429)=0,"Nothing measured","")))))</f>
        <v/>
      </c>
      <c r="P429" s="1">
        <f>IF(AND(O429="",ISNUMBER(B429)),INT(B429),0)</f>
        <v/>
      </c>
      <c r="Q429">
        <f>IF(AND(P429&gt;0,C429=Report!$C$5),P429*10000+ROW(),"")</f>
        <v/>
      </c>
      <c r="R429">
        <f>IF(AND(Q429&lt;&gt;"",ISNUMBER(D429)),Q429,"")</f>
        <v/>
      </c>
      <c r="S429">
        <f>IF(AND(Q429&lt;&gt;"",ISNUMBER(E429)),Q429,"")</f>
        <v/>
      </c>
      <c r="T429">
        <f>IF(AND(Q429&lt;&gt;"",ISNUMBER(F429)),Q429,"")</f>
        <v/>
      </c>
      <c r="U429">
        <f>IF(AND(Q429&lt;&gt;"",ISNUMBER(G429)),Q429,"")</f>
        <v/>
      </c>
      <c r="V429">
        <f>IF(AND(Q429&lt;&gt;"",ISNUMBER(H429)),Q429,"")</f>
        <v/>
      </c>
      <c r="W429">
        <f>IF(AND(Q429&lt;&gt;"",ISNUMBER(I429)),Q429,"")</f>
        <v/>
      </c>
      <c r="X429">
        <f>IF(AND(Q429&lt;&gt;"",ISNUMBER(J429)),Q429,"")</f>
        <v/>
      </c>
      <c r="Y429">
        <f>IF(AND(Q429&lt;&gt;"",ISNUMBER(K429)),Q429,"")</f>
        <v/>
      </c>
      <c r="Z429">
        <f>IF(AND(Q429&lt;&gt;"",ISNUMBER(L429)),Q429,"")</f>
        <v/>
      </c>
      <c r="AA429">
        <f>IF(AND(Q429&lt;&gt;"",ISNUMBER(M429)),Q429,"")</f>
        <v/>
      </c>
      <c r="AB429">
        <f>IF(AND(Q429&lt;&gt;"",ISNUMBER(K429)),K429,"")</f>
        <v/>
      </c>
      <c r="AC429">
        <f>IF(AND(Q429&lt;&gt;"",ISNUMBER(L429)),L429,"")</f>
        <v/>
      </c>
      <c r="AD429">
        <f>IF(AND(Q429&lt;&gt;"",ISNUMBER(M429)),M429,"")</f>
        <v/>
      </c>
    </row>
    <row r="430">
      <c r="A430" s="1" t="n"/>
      <c r="B430" s="17" t="n"/>
      <c r="C430" s="27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9" t="n"/>
      <c r="N430" s="21" t="n"/>
      <c r="O430" s="12">
        <f>IF(AND(B430="",C430=""),"",IF(NOT(ISNUMBER(B430)),"Needs a date",IF(C430="","Needs a client",IF(COUNTIF(Clients!$B$6:$B$105,C430)=0,"Not on Clients",IF(COUNT(D430:M430)=0,"Nothing measured","")))))</f>
        <v/>
      </c>
      <c r="P430" s="1">
        <f>IF(AND(O430="",ISNUMBER(B430)),INT(B430),0)</f>
        <v/>
      </c>
      <c r="Q430">
        <f>IF(AND(P430&gt;0,C430=Report!$C$5),P430*10000+ROW(),"")</f>
        <v/>
      </c>
      <c r="R430">
        <f>IF(AND(Q430&lt;&gt;"",ISNUMBER(D430)),Q430,"")</f>
        <v/>
      </c>
      <c r="S430">
        <f>IF(AND(Q430&lt;&gt;"",ISNUMBER(E430)),Q430,"")</f>
        <v/>
      </c>
      <c r="T430">
        <f>IF(AND(Q430&lt;&gt;"",ISNUMBER(F430)),Q430,"")</f>
        <v/>
      </c>
      <c r="U430">
        <f>IF(AND(Q430&lt;&gt;"",ISNUMBER(G430)),Q430,"")</f>
        <v/>
      </c>
      <c r="V430">
        <f>IF(AND(Q430&lt;&gt;"",ISNUMBER(H430)),Q430,"")</f>
        <v/>
      </c>
      <c r="W430">
        <f>IF(AND(Q430&lt;&gt;"",ISNUMBER(I430)),Q430,"")</f>
        <v/>
      </c>
      <c r="X430">
        <f>IF(AND(Q430&lt;&gt;"",ISNUMBER(J430)),Q430,"")</f>
        <v/>
      </c>
      <c r="Y430">
        <f>IF(AND(Q430&lt;&gt;"",ISNUMBER(K430)),Q430,"")</f>
        <v/>
      </c>
      <c r="Z430">
        <f>IF(AND(Q430&lt;&gt;"",ISNUMBER(L430)),Q430,"")</f>
        <v/>
      </c>
      <c r="AA430">
        <f>IF(AND(Q430&lt;&gt;"",ISNUMBER(M430)),Q430,"")</f>
        <v/>
      </c>
      <c r="AB430">
        <f>IF(AND(Q430&lt;&gt;"",ISNUMBER(K430)),K430,"")</f>
        <v/>
      </c>
      <c r="AC430">
        <f>IF(AND(Q430&lt;&gt;"",ISNUMBER(L430)),L430,"")</f>
        <v/>
      </c>
      <c r="AD430">
        <f>IF(AND(Q430&lt;&gt;"",ISNUMBER(M430)),M430,"")</f>
        <v/>
      </c>
    </row>
    <row r="431">
      <c r="A431" s="1" t="n"/>
      <c r="B431" s="17" t="n"/>
      <c r="C431" s="27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9" t="n"/>
      <c r="N431" s="21" t="n"/>
      <c r="O431" s="12">
        <f>IF(AND(B431="",C431=""),"",IF(NOT(ISNUMBER(B431)),"Needs a date",IF(C431="","Needs a client",IF(COUNTIF(Clients!$B$6:$B$105,C431)=0,"Not on Clients",IF(COUNT(D431:M431)=0,"Nothing measured","")))))</f>
        <v/>
      </c>
      <c r="P431" s="1">
        <f>IF(AND(O431="",ISNUMBER(B431)),INT(B431),0)</f>
        <v/>
      </c>
      <c r="Q431">
        <f>IF(AND(P431&gt;0,C431=Report!$C$5),P431*10000+ROW(),"")</f>
        <v/>
      </c>
      <c r="R431">
        <f>IF(AND(Q431&lt;&gt;"",ISNUMBER(D431)),Q431,"")</f>
        <v/>
      </c>
      <c r="S431">
        <f>IF(AND(Q431&lt;&gt;"",ISNUMBER(E431)),Q431,"")</f>
        <v/>
      </c>
      <c r="T431">
        <f>IF(AND(Q431&lt;&gt;"",ISNUMBER(F431)),Q431,"")</f>
        <v/>
      </c>
      <c r="U431">
        <f>IF(AND(Q431&lt;&gt;"",ISNUMBER(G431)),Q431,"")</f>
        <v/>
      </c>
      <c r="V431">
        <f>IF(AND(Q431&lt;&gt;"",ISNUMBER(H431)),Q431,"")</f>
        <v/>
      </c>
      <c r="W431">
        <f>IF(AND(Q431&lt;&gt;"",ISNUMBER(I431)),Q431,"")</f>
        <v/>
      </c>
      <c r="X431">
        <f>IF(AND(Q431&lt;&gt;"",ISNUMBER(J431)),Q431,"")</f>
        <v/>
      </c>
      <c r="Y431">
        <f>IF(AND(Q431&lt;&gt;"",ISNUMBER(K431)),Q431,"")</f>
        <v/>
      </c>
      <c r="Z431">
        <f>IF(AND(Q431&lt;&gt;"",ISNUMBER(L431)),Q431,"")</f>
        <v/>
      </c>
      <c r="AA431">
        <f>IF(AND(Q431&lt;&gt;"",ISNUMBER(M431)),Q431,"")</f>
        <v/>
      </c>
      <c r="AB431">
        <f>IF(AND(Q431&lt;&gt;"",ISNUMBER(K431)),K431,"")</f>
        <v/>
      </c>
      <c r="AC431">
        <f>IF(AND(Q431&lt;&gt;"",ISNUMBER(L431)),L431,"")</f>
        <v/>
      </c>
      <c r="AD431">
        <f>IF(AND(Q431&lt;&gt;"",ISNUMBER(M431)),M431,"")</f>
        <v/>
      </c>
    </row>
    <row r="432">
      <c r="A432" s="1" t="n"/>
      <c r="B432" s="17" t="n"/>
      <c r="C432" s="27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9" t="n"/>
      <c r="N432" s="21" t="n"/>
      <c r="O432" s="12">
        <f>IF(AND(B432="",C432=""),"",IF(NOT(ISNUMBER(B432)),"Needs a date",IF(C432="","Needs a client",IF(COUNTIF(Clients!$B$6:$B$105,C432)=0,"Not on Clients",IF(COUNT(D432:M432)=0,"Nothing measured","")))))</f>
        <v/>
      </c>
      <c r="P432" s="1">
        <f>IF(AND(O432="",ISNUMBER(B432)),INT(B432),0)</f>
        <v/>
      </c>
      <c r="Q432">
        <f>IF(AND(P432&gt;0,C432=Report!$C$5),P432*10000+ROW(),"")</f>
        <v/>
      </c>
      <c r="R432">
        <f>IF(AND(Q432&lt;&gt;"",ISNUMBER(D432)),Q432,"")</f>
        <v/>
      </c>
      <c r="S432">
        <f>IF(AND(Q432&lt;&gt;"",ISNUMBER(E432)),Q432,"")</f>
        <v/>
      </c>
      <c r="T432">
        <f>IF(AND(Q432&lt;&gt;"",ISNUMBER(F432)),Q432,"")</f>
        <v/>
      </c>
      <c r="U432">
        <f>IF(AND(Q432&lt;&gt;"",ISNUMBER(G432)),Q432,"")</f>
        <v/>
      </c>
      <c r="V432">
        <f>IF(AND(Q432&lt;&gt;"",ISNUMBER(H432)),Q432,"")</f>
        <v/>
      </c>
      <c r="W432">
        <f>IF(AND(Q432&lt;&gt;"",ISNUMBER(I432)),Q432,"")</f>
        <v/>
      </c>
      <c r="X432">
        <f>IF(AND(Q432&lt;&gt;"",ISNUMBER(J432)),Q432,"")</f>
        <v/>
      </c>
      <c r="Y432">
        <f>IF(AND(Q432&lt;&gt;"",ISNUMBER(K432)),Q432,"")</f>
        <v/>
      </c>
      <c r="Z432">
        <f>IF(AND(Q432&lt;&gt;"",ISNUMBER(L432)),Q432,"")</f>
        <v/>
      </c>
      <c r="AA432">
        <f>IF(AND(Q432&lt;&gt;"",ISNUMBER(M432)),Q432,"")</f>
        <v/>
      </c>
      <c r="AB432">
        <f>IF(AND(Q432&lt;&gt;"",ISNUMBER(K432)),K432,"")</f>
        <v/>
      </c>
      <c r="AC432">
        <f>IF(AND(Q432&lt;&gt;"",ISNUMBER(L432)),L432,"")</f>
        <v/>
      </c>
      <c r="AD432">
        <f>IF(AND(Q432&lt;&gt;"",ISNUMBER(M432)),M432,"")</f>
        <v/>
      </c>
    </row>
    <row r="433">
      <c r="A433" s="1" t="n"/>
      <c r="B433" s="17" t="n"/>
      <c r="C433" s="27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9" t="n"/>
      <c r="N433" s="21" t="n"/>
      <c r="O433" s="12">
        <f>IF(AND(B433="",C433=""),"",IF(NOT(ISNUMBER(B433)),"Needs a date",IF(C433="","Needs a client",IF(COUNTIF(Clients!$B$6:$B$105,C433)=0,"Not on Clients",IF(COUNT(D433:M433)=0,"Nothing measured","")))))</f>
        <v/>
      </c>
      <c r="P433" s="1">
        <f>IF(AND(O433="",ISNUMBER(B433)),INT(B433),0)</f>
        <v/>
      </c>
      <c r="Q433">
        <f>IF(AND(P433&gt;0,C433=Report!$C$5),P433*10000+ROW(),"")</f>
        <v/>
      </c>
      <c r="R433">
        <f>IF(AND(Q433&lt;&gt;"",ISNUMBER(D433)),Q433,"")</f>
        <v/>
      </c>
      <c r="S433">
        <f>IF(AND(Q433&lt;&gt;"",ISNUMBER(E433)),Q433,"")</f>
        <v/>
      </c>
      <c r="T433">
        <f>IF(AND(Q433&lt;&gt;"",ISNUMBER(F433)),Q433,"")</f>
        <v/>
      </c>
      <c r="U433">
        <f>IF(AND(Q433&lt;&gt;"",ISNUMBER(G433)),Q433,"")</f>
        <v/>
      </c>
      <c r="V433">
        <f>IF(AND(Q433&lt;&gt;"",ISNUMBER(H433)),Q433,"")</f>
        <v/>
      </c>
      <c r="W433">
        <f>IF(AND(Q433&lt;&gt;"",ISNUMBER(I433)),Q433,"")</f>
        <v/>
      </c>
      <c r="X433">
        <f>IF(AND(Q433&lt;&gt;"",ISNUMBER(J433)),Q433,"")</f>
        <v/>
      </c>
      <c r="Y433">
        <f>IF(AND(Q433&lt;&gt;"",ISNUMBER(K433)),Q433,"")</f>
        <v/>
      </c>
      <c r="Z433">
        <f>IF(AND(Q433&lt;&gt;"",ISNUMBER(L433)),Q433,"")</f>
        <v/>
      </c>
      <c r="AA433">
        <f>IF(AND(Q433&lt;&gt;"",ISNUMBER(M433)),Q433,"")</f>
        <v/>
      </c>
      <c r="AB433">
        <f>IF(AND(Q433&lt;&gt;"",ISNUMBER(K433)),K433,"")</f>
        <v/>
      </c>
      <c r="AC433">
        <f>IF(AND(Q433&lt;&gt;"",ISNUMBER(L433)),L433,"")</f>
        <v/>
      </c>
      <c r="AD433">
        <f>IF(AND(Q433&lt;&gt;"",ISNUMBER(M433)),M433,"")</f>
        <v/>
      </c>
    </row>
    <row r="434">
      <c r="A434" s="1" t="n"/>
      <c r="B434" s="17" t="n"/>
      <c r="C434" s="27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9" t="n"/>
      <c r="N434" s="21" t="n"/>
      <c r="O434" s="12">
        <f>IF(AND(B434="",C434=""),"",IF(NOT(ISNUMBER(B434)),"Needs a date",IF(C434="","Needs a client",IF(COUNTIF(Clients!$B$6:$B$105,C434)=0,"Not on Clients",IF(COUNT(D434:M434)=0,"Nothing measured","")))))</f>
        <v/>
      </c>
      <c r="P434" s="1">
        <f>IF(AND(O434="",ISNUMBER(B434)),INT(B434),0)</f>
        <v/>
      </c>
      <c r="Q434">
        <f>IF(AND(P434&gt;0,C434=Report!$C$5),P434*10000+ROW(),"")</f>
        <v/>
      </c>
      <c r="R434">
        <f>IF(AND(Q434&lt;&gt;"",ISNUMBER(D434)),Q434,"")</f>
        <v/>
      </c>
      <c r="S434">
        <f>IF(AND(Q434&lt;&gt;"",ISNUMBER(E434)),Q434,"")</f>
        <v/>
      </c>
      <c r="T434">
        <f>IF(AND(Q434&lt;&gt;"",ISNUMBER(F434)),Q434,"")</f>
        <v/>
      </c>
      <c r="U434">
        <f>IF(AND(Q434&lt;&gt;"",ISNUMBER(G434)),Q434,"")</f>
        <v/>
      </c>
      <c r="V434">
        <f>IF(AND(Q434&lt;&gt;"",ISNUMBER(H434)),Q434,"")</f>
        <v/>
      </c>
      <c r="W434">
        <f>IF(AND(Q434&lt;&gt;"",ISNUMBER(I434)),Q434,"")</f>
        <v/>
      </c>
      <c r="X434">
        <f>IF(AND(Q434&lt;&gt;"",ISNUMBER(J434)),Q434,"")</f>
        <v/>
      </c>
      <c r="Y434">
        <f>IF(AND(Q434&lt;&gt;"",ISNUMBER(K434)),Q434,"")</f>
        <v/>
      </c>
      <c r="Z434">
        <f>IF(AND(Q434&lt;&gt;"",ISNUMBER(L434)),Q434,"")</f>
        <v/>
      </c>
      <c r="AA434">
        <f>IF(AND(Q434&lt;&gt;"",ISNUMBER(M434)),Q434,"")</f>
        <v/>
      </c>
      <c r="AB434">
        <f>IF(AND(Q434&lt;&gt;"",ISNUMBER(K434)),K434,"")</f>
        <v/>
      </c>
      <c r="AC434">
        <f>IF(AND(Q434&lt;&gt;"",ISNUMBER(L434)),L434,"")</f>
        <v/>
      </c>
      <c r="AD434">
        <f>IF(AND(Q434&lt;&gt;"",ISNUMBER(M434)),M434,"")</f>
        <v/>
      </c>
    </row>
    <row r="435">
      <c r="A435" s="1" t="n"/>
      <c r="B435" s="17" t="n"/>
      <c r="C435" s="27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9" t="n"/>
      <c r="N435" s="21" t="n"/>
      <c r="O435" s="12">
        <f>IF(AND(B435="",C435=""),"",IF(NOT(ISNUMBER(B435)),"Needs a date",IF(C435="","Needs a client",IF(COUNTIF(Clients!$B$6:$B$105,C435)=0,"Not on Clients",IF(COUNT(D435:M435)=0,"Nothing measured","")))))</f>
        <v/>
      </c>
      <c r="P435" s="1">
        <f>IF(AND(O435="",ISNUMBER(B435)),INT(B435),0)</f>
        <v/>
      </c>
      <c r="Q435">
        <f>IF(AND(P435&gt;0,C435=Report!$C$5),P435*10000+ROW(),"")</f>
        <v/>
      </c>
      <c r="R435">
        <f>IF(AND(Q435&lt;&gt;"",ISNUMBER(D435)),Q435,"")</f>
        <v/>
      </c>
      <c r="S435">
        <f>IF(AND(Q435&lt;&gt;"",ISNUMBER(E435)),Q435,"")</f>
        <v/>
      </c>
      <c r="T435">
        <f>IF(AND(Q435&lt;&gt;"",ISNUMBER(F435)),Q435,"")</f>
        <v/>
      </c>
      <c r="U435">
        <f>IF(AND(Q435&lt;&gt;"",ISNUMBER(G435)),Q435,"")</f>
        <v/>
      </c>
      <c r="V435">
        <f>IF(AND(Q435&lt;&gt;"",ISNUMBER(H435)),Q435,"")</f>
        <v/>
      </c>
      <c r="W435">
        <f>IF(AND(Q435&lt;&gt;"",ISNUMBER(I435)),Q435,"")</f>
        <v/>
      </c>
      <c r="X435">
        <f>IF(AND(Q435&lt;&gt;"",ISNUMBER(J435)),Q435,"")</f>
        <v/>
      </c>
      <c r="Y435">
        <f>IF(AND(Q435&lt;&gt;"",ISNUMBER(K435)),Q435,"")</f>
        <v/>
      </c>
      <c r="Z435">
        <f>IF(AND(Q435&lt;&gt;"",ISNUMBER(L435)),Q435,"")</f>
        <v/>
      </c>
      <c r="AA435">
        <f>IF(AND(Q435&lt;&gt;"",ISNUMBER(M435)),Q435,"")</f>
        <v/>
      </c>
      <c r="AB435">
        <f>IF(AND(Q435&lt;&gt;"",ISNUMBER(K435)),K435,"")</f>
        <v/>
      </c>
      <c r="AC435">
        <f>IF(AND(Q435&lt;&gt;"",ISNUMBER(L435)),L435,"")</f>
        <v/>
      </c>
      <c r="AD435">
        <f>IF(AND(Q435&lt;&gt;"",ISNUMBER(M435)),M435,"")</f>
        <v/>
      </c>
    </row>
    <row r="436">
      <c r="A436" s="1" t="n"/>
      <c r="B436" s="17" t="n"/>
      <c r="C436" s="27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9" t="n"/>
      <c r="N436" s="21" t="n"/>
      <c r="O436" s="12">
        <f>IF(AND(B436="",C436=""),"",IF(NOT(ISNUMBER(B436)),"Needs a date",IF(C436="","Needs a client",IF(COUNTIF(Clients!$B$6:$B$105,C436)=0,"Not on Clients",IF(COUNT(D436:M436)=0,"Nothing measured","")))))</f>
        <v/>
      </c>
      <c r="P436" s="1">
        <f>IF(AND(O436="",ISNUMBER(B436)),INT(B436),0)</f>
        <v/>
      </c>
      <c r="Q436">
        <f>IF(AND(P436&gt;0,C436=Report!$C$5),P436*10000+ROW(),"")</f>
        <v/>
      </c>
      <c r="R436">
        <f>IF(AND(Q436&lt;&gt;"",ISNUMBER(D436)),Q436,"")</f>
        <v/>
      </c>
      <c r="S436">
        <f>IF(AND(Q436&lt;&gt;"",ISNUMBER(E436)),Q436,"")</f>
        <v/>
      </c>
      <c r="T436">
        <f>IF(AND(Q436&lt;&gt;"",ISNUMBER(F436)),Q436,"")</f>
        <v/>
      </c>
      <c r="U436">
        <f>IF(AND(Q436&lt;&gt;"",ISNUMBER(G436)),Q436,"")</f>
        <v/>
      </c>
      <c r="V436">
        <f>IF(AND(Q436&lt;&gt;"",ISNUMBER(H436)),Q436,"")</f>
        <v/>
      </c>
      <c r="W436">
        <f>IF(AND(Q436&lt;&gt;"",ISNUMBER(I436)),Q436,"")</f>
        <v/>
      </c>
      <c r="X436">
        <f>IF(AND(Q436&lt;&gt;"",ISNUMBER(J436)),Q436,"")</f>
        <v/>
      </c>
      <c r="Y436">
        <f>IF(AND(Q436&lt;&gt;"",ISNUMBER(K436)),Q436,"")</f>
        <v/>
      </c>
      <c r="Z436">
        <f>IF(AND(Q436&lt;&gt;"",ISNUMBER(L436)),Q436,"")</f>
        <v/>
      </c>
      <c r="AA436">
        <f>IF(AND(Q436&lt;&gt;"",ISNUMBER(M436)),Q436,"")</f>
        <v/>
      </c>
      <c r="AB436">
        <f>IF(AND(Q436&lt;&gt;"",ISNUMBER(K436)),K436,"")</f>
        <v/>
      </c>
      <c r="AC436">
        <f>IF(AND(Q436&lt;&gt;"",ISNUMBER(L436)),L436,"")</f>
        <v/>
      </c>
      <c r="AD436">
        <f>IF(AND(Q436&lt;&gt;"",ISNUMBER(M436)),M436,"")</f>
        <v/>
      </c>
    </row>
    <row r="437">
      <c r="A437" s="1" t="n"/>
      <c r="B437" s="17" t="n"/>
      <c r="C437" s="27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9" t="n"/>
      <c r="N437" s="21" t="n"/>
      <c r="O437" s="12">
        <f>IF(AND(B437="",C437=""),"",IF(NOT(ISNUMBER(B437)),"Needs a date",IF(C437="","Needs a client",IF(COUNTIF(Clients!$B$6:$B$105,C437)=0,"Not on Clients",IF(COUNT(D437:M437)=0,"Nothing measured","")))))</f>
        <v/>
      </c>
      <c r="P437" s="1">
        <f>IF(AND(O437="",ISNUMBER(B437)),INT(B437),0)</f>
        <v/>
      </c>
      <c r="Q437">
        <f>IF(AND(P437&gt;0,C437=Report!$C$5),P437*10000+ROW(),"")</f>
        <v/>
      </c>
      <c r="R437">
        <f>IF(AND(Q437&lt;&gt;"",ISNUMBER(D437)),Q437,"")</f>
        <v/>
      </c>
      <c r="S437">
        <f>IF(AND(Q437&lt;&gt;"",ISNUMBER(E437)),Q437,"")</f>
        <v/>
      </c>
      <c r="T437">
        <f>IF(AND(Q437&lt;&gt;"",ISNUMBER(F437)),Q437,"")</f>
        <v/>
      </c>
      <c r="U437">
        <f>IF(AND(Q437&lt;&gt;"",ISNUMBER(G437)),Q437,"")</f>
        <v/>
      </c>
      <c r="V437">
        <f>IF(AND(Q437&lt;&gt;"",ISNUMBER(H437)),Q437,"")</f>
        <v/>
      </c>
      <c r="W437">
        <f>IF(AND(Q437&lt;&gt;"",ISNUMBER(I437)),Q437,"")</f>
        <v/>
      </c>
      <c r="X437">
        <f>IF(AND(Q437&lt;&gt;"",ISNUMBER(J437)),Q437,"")</f>
        <v/>
      </c>
      <c r="Y437">
        <f>IF(AND(Q437&lt;&gt;"",ISNUMBER(K437)),Q437,"")</f>
        <v/>
      </c>
      <c r="Z437">
        <f>IF(AND(Q437&lt;&gt;"",ISNUMBER(L437)),Q437,"")</f>
        <v/>
      </c>
      <c r="AA437">
        <f>IF(AND(Q437&lt;&gt;"",ISNUMBER(M437)),Q437,"")</f>
        <v/>
      </c>
      <c r="AB437">
        <f>IF(AND(Q437&lt;&gt;"",ISNUMBER(K437)),K437,"")</f>
        <v/>
      </c>
      <c r="AC437">
        <f>IF(AND(Q437&lt;&gt;"",ISNUMBER(L437)),L437,"")</f>
        <v/>
      </c>
      <c r="AD437">
        <f>IF(AND(Q437&lt;&gt;"",ISNUMBER(M437)),M437,"")</f>
        <v/>
      </c>
    </row>
    <row r="438">
      <c r="A438" s="1" t="n"/>
      <c r="B438" s="17" t="n"/>
      <c r="C438" s="27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9" t="n"/>
      <c r="N438" s="21" t="n"/>
      <c r="O438" s="12">
        <f>IF(AND(B438="",C438=""),"",IF(NOT(ISNUMBER(B438)),"Needs a date",IF(C438="","Needs a client",IF(COUNTIF(Clients!$B$6:$B$105,C438)=0,"Not on Clients",IF(COUNT(D438:M438)=0,"Nothing measured","")))))</f>
        <v/>
      </c>
      <c r="P438" s="1">
        <f>IF(AND(O438="",ISNUMBER(B438)),INT(B438),0)</f>
        <v/>
      </c>
      <c r="Q438">
        <f>IF(AND(P438&gt;0,C438=Report!$C$5),P438*10000+ROW(),"")</f>
        <v/>
      </c>
      <c r="R438">
        <f>IF(AND(Q438&lt;&gt;"",ISNUMBER(D438)),Q438,"")</f>
        <v/>
      </c>
      <c r="S438">
        <f>IF(AND(Q438&lt;&gt;"",ISNUMBER(E438)),Q438,"")</f>
        <v/>
      </c>
      <c r="T438">
        <f>IF(AND(Q438&lt;&gt;"",ISNUMBER(F438)),Q438,"")</f>
        <v/>
      </c>
      <c r="U438">
        <f>IF(AND(Q438&lt;&gt;"",ISNUMBER(G438)),Q438,"")</f>
        <v/>
      </c>
      <c r="V438">
        <f>IF(AND(Q438&lt;&gt;"",ISNUMBER(H438)),Q438,"")</f>
        <v/>
      </c>
      <c r="W438">
        <f>IF(AND(Q438&lt;&gt;"",ISNUMBER(I438)),Q438,"")</f>
        <v/>
      </c>
      <c r="X438">
        <f>IF(AND(Q438&lt;&gt;"",ISNUMBER(J438)),Q438,"")</f>
        <v/>
      </c>
      <c r="Y438">
        <f>IF(AND(Q438&lt;&gt;"",ISNUMBER(K438)),Q438,"")</f>
        <v/>
      </c>
      <c r="Z438">
        <f>IF(AND(Q438&lt;&gt;"",ISNUMBER(L438)),Q438,"")</f>
        <v/>
      </c>
      <c r="AA438">
        <f>IF(AND(Q438&lt;&gt;"",ISNUMBER(M438)),Q438,"")</f>
        <v/>
      </c>
      <c r="AB438">
        <f>IF(AND(Q438&lt;&gt;"",ISNUMBER(K438)),K438,"")</f>
        <v/>
      </c>
      <c r="AC438">
        <f>IF(AND(Q438&lt;&gt;"",ISNUMBER(L438)),L438,"")</f>
        <v/>
      </c>
      <c r="AD438">
        <f>IF(AND(Q438&lt;&gt;"",ISNUMBER(M438)),M438,"")</f>
        <v/>
      </c>
    </row>
    <row r="439">
      <c r="A439" s="1" t="n"/>
      <c r="B439" s="17" t="n"/>
      <c r="C439" s="27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9" t="n"/>
      <c r="N439" s="21" t="n"/>
      <c r="O439" s="12">
        <f>IF(AND(B439="",C439=""),"",IF(NOT(ISNUMBER(B439)),"Needs a date",IF(C439="","Needs a client",IF(COUNTIF(Clients!$B$6:$B$105,C439)=0,"Not on Clients",IF(COUNT(D439:M439)=0,"Nothing measured","")))))</f>
        <v/>
      </c>
      <c r="P439" s="1">
        <f>IF(AND(O439="",ISNUMBER(B439)),INT(B439),0)</f>
        <v/>
      </c>
      <c r="Q439">
        <f>IF(AND(P439&gt;0,C439=Report!$C$5),P439*10000+ROW(),"")</f>
        <v/>
      </c>
      <c r="R439">
        <f>IF(AND(Q439&lt;&gt;"",ISNUMBER(D439)),Q439,"")</f>
        <v/>
      </c>
      <c r="S439">
        <f>IF(AND(Q439&lt;&gt;"",ISNUMBER(E439)),Q439,"")</f>
        <v/>
      </c>
      <c r="T439">
        <f>IF(AND(Q439&lt;&gt;"",ISNUMBER(F439)),Q439,"")</f>
        <v/>
      </c>
      <c r="U439">
        <f>IF(AND(Q439&lt;&gt;"",ISNUMBER(G439)),Q439,"")</f>
        <v/>
      </c>
      <c r="V439">
        <f>IF(AND(Q439&lt;&gt;"",ISNUMBER(H439)),Q439,"")</f>
        <v/>
      </c>
      <c r="W439">
        <f>IF(AND(Q439&lt;&gt;"",ISNUMBER(I439)),Q439,"")</f>
        <v/>
      </c>
      <c r="X439">
        <f>IF(AND(Q439&lt;&gt;"",ISNUMBER(J439)),Q439,"")</f>
        <v/>
      </c>
      <c r="Y439">
        <f>IF(AND(Q439&lt;&gt;"",ISNUMBER(K439)),Q439,"")</f>
        <v/>
      </c>
      <c r="Z439">
        <f>IF(AND(Q439&lt;&gt;"",ISNUMBER(L439)),Q439,"")</f>
        <v/>
      </c>
      <c r="AA439">
        <f>IF(AND(Q439&lt;&gt;"",ISNUMBER(M439)),Q439,"")</f>
        <v/>
      </c>
      <c r="AB439">
        <f>IF(AND(Q439&lt;&gt;"",ISNUMBER(K439)),K439,"")</f>
        <v/>
      </c>
      <c r="AC439">
        <f>IF(AND(Q439&lt;&gt;"",ISNUMBER(L439)),L439,"")</f>
        <v/>
      </c>
      <c r="AD439">
        <f>IF(AND(Q439&lt;&gt;"",ISNUMBER(M439)),M439,"")</f>
        <v/>
      </c>
    </row>
    <row r="440">
      <c r="A440" s="1" t="n"/>
      <c r="B440" s="17" t="n"/>
      <c r="C440" s="27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9" t="n"/>
      <c r="N440" s="21" t="n"/>
      <c r="O440" s="12">
        <f>IF(AND(B440="",C440=""),"",IF(NOT(ISNUMBER(B440)),"Needs a date",IF(C440="","Needs a client",IF(COUNTIF(Clients!$B$6:$B$105,C440)=0,"Not on Clients",IF(COUNT(D440:M440)=0,"Nothing measured","")))))</f>
        <v/>
      </c>
      <c r="P440" s="1">
        <f>IF(AND(O440="",ISNUMBER(B440)),INT(B440),0)</f>
        <v/>
      </c>
      <c r="Q440">
        <f>IF(AND(P440&gt;0,C440=Report!$C$5),P440*10000+ROW(),"")</f>
        <v/>
      </c>
      <c r="R440">
        <f>IF(AND(Q440&lt;&gt;"",ISNUMBER(D440)),Q440,"")</f>
        <v/>
      </c>
      <c r="S440">
        <f>IF(AND(Q440&lt;&gt;"",ISNUMBER(E440)),Q440,"")</f>
        <v/>
      </c>
      <c r="T440">
        <f>IF(AND(Q440&lt;&gt;"",ISNUMBER(F440)),Q440,"")</f>
        <v/>
      </c>
      <c r="U440">
        <f>IF(AND(Q440&lt;&gt;"",ISNUMBER(G440)),Q440,"")</f>
        <v/>
      </c>
      <c r="V440">
        <f>IF(AND(Q440&lt;&gt;"",ISNUMBER(H440)),Q440,"")</f>
        <v/>
      </c>
      <c r="W440">
        <f>IF(AND(Q440&lt;&gt;"",ISNUMBER(I440)),Q440,"")</f>
        <v/>
      </c>
      <c r="X440">
        <f>IF(AND(Q440&lt;&gt;"",ISNUMBER(J440)),Q440,"")</f>
        <v/>
      </c>
      <c r="Y440">
        <f>IF(AND(Q440&lt;&gt;"",ISNUMBER(K440)),Q440,"")</f>
        <v/>
      </c>
      <c r="Z440">
        <f>IF(AND(Q440&lt;&gt;"",ISNUMBER(L440)),Q440,"")</f>
        <v/>
      </c>
      <c r="AA440">
        <f>IF(AND(Q440&lt;&gt;"",ISNUMBER(M440)),Q440,"")</f>
        <v/>
      </c>
      <c r="AB440">
        <f>IF(AND(Q440&lt;&gt;"",ISNUMBER(K440)),K440,"")</f>
        <v/>
      </c>
      <c r="AC440">
        <f>IF(AND(Q440&lt;&gt;"",ISNUMBER(L440)),L440,"")</f>
        <v/>
      </c>
      <c r="AD440">
        <f>IF(AND(Q440&lt;&gt;"",ISNUMBER(M440)),M440,"")</f>
        <v/>
      </c>
    </row>
    <row r="441">
      <c r="A441" s="1" t="n"/>
      <c r="B441" s="17" t="n"/>
      <c r="C441" s="27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9" t="n"/>
      <c r="N441" s="21" t="n"/>
      <c r="O441" s="12">
        <f>IF(AND(B441="",C441=""),"",IF(NOT(ISNUMBER(B441)),"Needs a date",IF(C441="","Needs a client",IF(COUNTIF(Clients!$B$6:$B$105,C441)=0,"Not on Clients",IF(COUNT(D441:M441)=0,"Nothing measured","")))))</f>
        <v/>
      </c>
      <c r="P441" s="1">
        <f>IF(AND(O441="",ISNUMBER(B441)),INT(B441),0)</f>
        <v/>
      </c>
      <c r="Q441">
        <f>IF(AND(P441&gt;0,C441=Report!$C$5),P441*10000+ROW(),"")</f>
        <v/>
      </c>
      <c r="R441">
        <f>IF(AND(Q441&lt;&gt;"",ISNUMBER(D441)),Q441,"")</f>
        <v/>
      </c>
      <c r="S441">
        <f>IF(AND(Q441&lt;&gt;"",ISNUMBER(E441)),Q441,"")</f>
        <v/>
      </c>
      <c r="T441">
        <f>IF(AND(Q441&lt;&gt;"",ISNUMBER(F441)),Q441,"")</f>
        <v/>
      </c>
      <c r="U441">
        <f>IF(AND(Q441&lt;&gt;"",ISNUMBER(G441)),Q441,"")</f>
        <v/>
      </c>
      <c r="V441">
        <f>IF(AND(Q441&lt;&gt;"",ISNUMBER(H441)),Q441,"")</f>
        <v/>
      </c>
      <c r="W441">
        <f>IF(AND(Q441&lt;&gt;"",ISNUMBER(I441)),Q441,"")</f>
        <v/>
      </c>
      <c r="X441">
        <f>IF(AND(Q441&lt;&gt;"",ISNUMBER(J441)),Q441,"")</f>
        <v/>
      </c>
      <c r="Y441">
        <f>IF(AND(Q441&lt;&gt;"",ISNUMBER(K441)),Q441,"")</f>
        <v/>
      </c>
      <c r="Z441">
        <f>IF(AND(Q441&lt;&gt;"",ISNUMBER(L441)),Q441,"")</f>
        <v/>
      </c>
      <c r="AA441">
        <f>IF(AND(Q441&lt;&gt;"",ISNUMBER(M441)),Q441,"")</f>
        <v/>
      </c>
      <c r="AB441">
        <f>IF(AND(Q441&lt;&gt;"",ISNUMBER(K441)),K441,"")</f>
        <v/>
      </c>
      <c r="AC441">
        <f>IF(AND(Q441&lt;&gt;"",ISNUMBER(L441)),L441,"")</f>
        <v/>
      </c>
      <c r="AD441">
        <f>IF(AND(Q441&lt;&gt;"",ISNUMBER(M441)),M441,"")</f>
        <v/>
      </c>
    </row>
    <row r="442">
      <c r="A442" s="1" t="n"/>
      <c r="B442" s="17" t="n"/>
      <c r="C442" s="27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9" t="n"/>
      <c r="N442" s="21" t="n"/>
      <c r="O442" s="12">
        <f>IF(AND(B442="",C442=""),"",IF(NOT(ISNUMBER(B442)),"Needs a date",IF(C442="","Needs a client",IF(COUNTIF(Clients!$B$6:$B$105,C442)=0,"Not on Clients",IF(COUNT(D442:M442)=0,"Nothing measured","")))))</f>
        <v/>
      </c>
      <c r="P442" s="1">
        <f>IF(AND(O442="",ISNUMBER(B442)),INT(B442),0)</f>
        <v/>
      </c>
      <c r="Q442">
        <f>IF(AND(P442&gt;0,C442=Report!$C$5),P442*10000+ROW(),"")</f>
        <v/>
      </c>
      <c r="R442">
        <f>IF(AND(Q442&lt;&gt;"",ISNUMBER(D442)),Q442,"")</f>
        <v/>
      </c>
      <c r="S442">
        <f>IF(AND(Q442&lt;&gt;"",ISNUMBER(E442)),Q442,"")</f>
        <v/>
      </c>
      <c r="T442">
        <f>IF(AND(Q442&lt;&gt;"",ISNUMBER(F442)),Q442,"")</f>
        <v/>
      </c>
      <c r="U442">
        <f>IF(AND(Q442&lt;&gt;"",ISNUMBER(G442)),Q442,"")</f>
        <v/>
      </c>
      <c r="V442">
        <f>IF(AND(Q442&lt;&gt;"",ISNUMBER(H442)),Q442,"")</f>
        <v/>
      </c>
      <c r="W442">
        <f>IF(AND(Q442&lt;&gt;"",ISNUMBER(I442)),Q442,"")</f>
        <v/>
      </c>
      <c r="X442">
        <f>IF(AND(Q442&lt;&gt;"",ISNUMBER(J442)),Q442,"")</f>
        <v/>
      </c>
      <c r="Y442">
        <f>IF(AND(Q442&lt;&gt;"",ISNUMBER(K442)),Q442,"")</f>
        <v/>
      </c>
      <c r="Z442">
        <f>IF(AND(Q442&lt;&gt;"",ISNUMBER(L442)),Q442,"")</f>
        <v/>
      </c>
      <c r="AA442">
        <f>IF(AND(Q442&lt;&gt;"",ISNUMBER(M442)),Q442,"")</f>
        <v/>
      </c>
      <c r="AB442">
        <f>IF(AND(Q442&lt;&gt;"",ISNUMBER(K442)),K442,"")</f>
        <v/>
      </c>
      <c r="AC442">
        <f>IF(AND(Q442&lt;&gt;"",ISNUMBER(L442)),L442,"")</f>
        <v/>
      </c>
      <c r="AD442">
        <f>IF(AND(Q442&lt;&gt;"",ISNUMBER(M442)),M442,"")</f>
        <v/>
      </c>
    </row>
    <row r="443">
      <c r="A443" s="1" t="n"/>
      <c r="B443" s="17" t="n"/>
      <c r="C443" s="27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9" t="n"/>
      <c r="N443" s="21" t="n"/>
      <c r="O443" s="12">
        <f>IF(AND(B443="",C443=""),"",IF(NOT(ISNUMBER(B443)),"Needs a date",IF(C443="","Needs a client",IF(COUNTIF(Clients!$B$6:$B$105,C443)=0,"Not on Clients",IF(COUNT(D443:M443)=0,"Nothing measured","")))))</f>
        <v/>
      </c>
      <c r="P443" s="1">
        <f>IF(AND(O443="",ISNUMBER(B443)),INT(B443),0)</f>
        <v/>
      </c>
      <c r="Q443">
        <f>IF(AND(P443&gt;0,C443=Report!$C$5),P443*10000+ROW(),"")</f>
        <v/>
      </c>
      <c r="R443">
        <f>IF(AND(Q443&lt;&gt;"",ISNUMBER(D443)),Q443,"")</f>
        <v/>
      </c>
      <c r="S443">
        <f>IF(AND(Q443&lt;&gt;"",ISNUMBER(E443)),Q443,"")</f>
        <v/>
      </c>
      <c r="T443">
        <f>IF(AND(Q443&lt;&gt;"",ISNUMBER(F443)),Q443,"")</f>
        <v/>
      </c>
      <c r="U443">
        <f>IF(AND(Q443&lt;&gt;"",ISNUMBER(G443)),Q443,"")</f>
        <v/>
      </c>
      <c r="V443">
        <f>IF(AND(Q443&lt;&gt;"",ISNUMBER(H443)),Q443,"")</f>
        <v/>
      </c>
      <c r="W443">
        <f>IF(AND(Q443&lt;&gt;"",ISNUMBER(I443)),Q443,"")</f>
        <v/>
      </c>
      <c r="X443">
        <f>IF(AND(Q443&lt;&gt;"",ISNUMBER(J443)),Q443,"")</f>
        <v/>
      </c>
      <c r="Y443">
        <f>IF(AND(Q443&lt;&gt;"",ISNUMBER(K443)),Q443,"")</f>
        <v/>
      </c>
      <c r="Z443">
        <f>IF(AND(Q443&lt;&gt;"",ISNUMBER(L443)),Q443,"")</f>
        <v/>
      </c>
      <c r="AA443">
        <f>IF(AND(Q443&lt;&gt;"",ISNUMBER(M443)),Q443,"")</f>
        <v/>
      </c>
      <c r="AB443">
        <f>IF(AND(Q443&lt;&gt;"",ISNUMBER(K443)),K443,"")</f>
        <v/>
      </c>
      <c r="AC443">
        <f>IF(AND(Q443&lt;&gt;"",ISNUMBER(L443)),L443,"")</f>
        <v/>
      </c>
      <c r="AD443">
        <f>IF(AND(Q443&lt;&gt;"",ISNUMBER(M443)),M443,"")</f>
        <v/>
      </c>
    </row>
    <row r="444">
      <c r="A444" s="1" t="n"/>
      <c r="B444" s="17" t="n"/>
      <c r="C444" s="27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9" t="n"/>
      <c r="N444" s="21" t="n"/>
      <c r="O444" s="12">
        <f>IF(AND(B444="",C444=""),"",IF(NOT(ISNUMBER(B444)),"Needs a date",IF(C444="","Needs a client",IF(COUNTIF(Clients!$B$6:$B$105,C444)=0,"Not on Clients",IF(COUNT(D444:M444)=0,"Nothing measured","")))))</f>
        <v/>
      </c>
      <c r="P444" s="1">
        <f>IF(AND(O444="",ISNUMBER(B444)),INT(B444),0)</f>
        <v/>
      </c>
      <c r="Q444">
        <f>IF(AND(P444&gt;0,C444=Report!$C$5),P444*10000+ROW(),"")</f>
        <v/>
      </c>
      <c r="R444">
        <f>IF(AND(Q444&lt;&gt;"",ISNUMBER(D444)),Q444,"")</f>
        <v/>
      </c>
      <c r="S444">
        <f>IF(AND(Q444&lt;&gt;"",ISNUMBER(E444)),Q444,"")</f>
        <v/>
      </c>
      <c r="T444">
        <f>IF(AND(Q444&lt;&gt;"",ISNUMBER(F444)),Q444,"")</f>
        <v/>
      </c>
      <c r="U444">
        <f>IF(AND(Q444&lt;&gt;"",ISNUMBER(G444)),Q444,"")</f>
        <v/>
      </c>
      <c r="V444">
        <f>IF(AND(Q444&lt;&gt;"",ISNUMBER(H444)),Q444,"")</f>
        <v/>
      </c>
      <c r="W444">
        <f>IF(AND(Q444&lt;&gt;"",ISNUMBER(I444)),Q444,"")</f>
        <v/>
      </c>
      <c r="X444">
        <f>IF(AND(Q444&lt;&gt;"",ISNUMBER(J444)),Q444,"")</f>
        <v/>
      </c>
      <c r="Y444">
        <f>IF(AND(Q444&lt;&gt;"",ISNUMBER(K444)),Q444,"")</f>
        <v/>
      </c>
      <c r="Z444">
        <f>IF(AND(Q444&lt;&gt;"",ISNUMBER(L444)),Q444,"")</f>
        <v/>
      </c>
      <c r="AA444">
        <f>IF(AND(Q444&lt;&gt;"",ISNUMBER(M444)),Q444,"")</f>
        <v/>
      </c>
      <c r="AB444">
        <f>IF(AND(Q444&lt;&gt;"",ISNUMBER(K444)),K444,"")</f>
        <v/>
      </c>
      <c r="AC444">
        <f>IF(AND(Q444&lt;&gt;"",ISNUMBER(L444)),L444,"")</f>
        <v/>
      </c>
      <c r="AD444">
        <f>IF(AND(Q444&lt;&gt;"",ISNUMBER(M444)),M444,"")</f>
        <v/>
      </c>
    </row>
    <row r="445">
      <c r="A445" s="1" t="n"/>
      <c r="B445" s="17" t="n"/>
      <c r="C445" s="27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9" t="n"/>
      <c r="N445" s="21" t="n"/>
      <c r="O445" s="12">
        <f>IF(AND(B445="",C445=""),"",IF(NOT(ISNUMBER(B445)),"Needs a date",IF(C445="","Needs a client",IF(COUNTIF(Clients!$B$6:$B$105,C445)=0,"Not on Clients",IF(COUNT(D445:M445)=0,"Nothing measured","")))))</f>
        <v/>
      </c>
      <c r="P445" s="1">
        <f>IF(AND(O445="",ISNUMBER(B445)),INT(B445),0)</f>
        <v/>
      </c>
      <c r="Q445">
        <f>IF(AND(P445&gt;0,C445=Report!$C$5),P445*10000+ROW(),"")</f>
        <v/>
      </c>
      <c r="R445">
        <f>IF(AND(Q445&lt;&gt;"",ISNUMBER(D445)),Q445,"")</f>
        <v/>
      </c>
      <c r="S445">
        <f>IF(AND(Q445&lt;&gt;"",ISNUMBER(E445)),Q445,"")</f>
        <v/>
      </c>
      <c r="T445">
        <f>IF(AND(Q445&lt;&gt;"",ISNUMBER(F445)),Q445,"")</f>
        <v/>
      </c>
      <c r="U445">
        <f>IF(AND(Q445&lt;&gt;"",ISNUMBER(G445)),Q445,"")</f>
        <v/>
      </c>
      <c r="V445">
        <f>IF(AND(Q445&lt;&gt;"",ISNUMBER(H445)),Q445,"")</f>
        <v/>
      </c>
      <c r="W445">
        <f>IF(AND(Q445&lt;&gt;"",ISNUMBER(I445)),Q445,"")</f>
        <v/>
      </c>
      <c r="X445">
        <f>IF(AND(Q445&lt;&gt;"",ISNUMBER(J445)),Q445,"")</f>
        <v/>
      </c>
      <c r="Y445">
        <f>IF(AND(Q445&lt;&gt;"",ISNUMBER(K445)),Q445,"")</f>
        <v/>
      </c>
      <c r="Z445">
        <f>IF(AND(Q445&lt;&gt;"",ISNUMBER(L445)),Q445,"")</f>
        <v/>
      </c>
      <c r="AA445">
        <f>IF(AND(Q445&lt;&gt;"",ISNUMBER(M445)),Q445,"")</f>
        <v/>
      </c>
      <c r="AB445">
        <f>IF(AND(Q445&lt;&gt;"",ISNUMBER(K445)),K445,"")</f>
        <v/>
      </c>
      <c r="AC445">
        <f>IF(AND(Q445&lt;&gt;"",ISNUMBER(L445)),L445,"")</f>
        <v/>
      </c>
      <c r="AD445">
        <f>IF(AND(Q445&lt;&gt;"",ISNUMBER(M445)),M445,"")</f>
        <v/>
      </c>
    </row>
    <row r="446">
      <c r="A446" s="1" t="n"/>
      <c r="B446" s="17" t="n"/>
      <c r="C446" s="27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9" t="n"/>
      <c r="N446" s="21" t="n"/>
      <c r="O446" s="12">
        <f>IF(AND(B446="",C446=""),"",IF(NOT(ISNUMBER(B446)),"Needs a date",IF(C446="","Needs a client",IF(COUNTIF(Clients!$B$6:$B$105,C446)=0,"Not on Clients",IF(COUNT(D446:M446)=0,"Nothing measured","")))))</f>
        <v/>
      </c>
      <c r="P446" s="1">
        <f>IF(AND(O446="",ISNUMBER(B446)),INT(B446),0)</f>
        <v/>
      </c>
      <c r="Q446">
        <f>IF(AND(P446&gt;0,C446=Report!$C$5),P446*10000+ROW(),"")</f>
        <v/>
      </c>
      <c r="R446">
        <f>IF(AND(Q446&lt;&gt;"",ISNUMBER(D446)),Q446,"")</f>
        <v/>
      </c>
      <c r="S446">
        <f>IF(AND(Q446&lt;&gt;"",ISNUMBER(E446)),Q446,"")</f>
        <v/>
      </c>
      <c r="T446">
        <f>IF(AND(Q446&lt;&gt;"",ISNUMBER(F446)),Q446,"")</f>
        <v/>
      </c>
      <c r="U446">
        <f>IF(AND(Q446&lt;&gt;"",ISNUMBER(G446)),Q446,"")</f>
        <v/>
      </c>
      <c r="V446">
        <f>IF(AND(Q446&lt;&gt;"",ISNUMBER(H446)),Q446,"")</f>
        <v/>
      </c>
      <c r="W446">
        <f>IF(AND(Q446&lt;&gt;"",ISNUMBER(I446)),Q446,"")</f>
        <v/>
      </c>
      <c r="X446">
        <f>IF(AND(Q446&lt;&gt;"",ISNUMBER(J446)),Q446,"")</f>
        <v/>
      </c>
      <c r="Y446">
        <f>IF(AND(Q446&lt;&gt;"",ISNUMBER(K446)),Q446,"")</f>
        <v/>
      </c>
      <c r="Z446">
        <f>IF(AND(Q446&lt;&gt;"",ISNUMBER(L446)),Q446,"")</f>
        <v/>
      </c>
      <c r="AA446">
        <f>IF(AND(Q446&lt;&gt;"",ISNUMBER(M446)),Q446,"")</f>
        <v/>
      </c>
      <c r="AB446">
        <f>IF(AND(Q446&lt;&gt;"",ISNUMBER(K446)),K446,"")</f>
        <v/>
      </c>
      <c r="AC446">
        <f>IF(AND(Q446&lt;&gt;"",ISNUMBER(L446)),L446,"")</f>
        <v/>
      </c>
      <c r="AD446">
        <f>IF(AND(Q446&lt;&gt;"",ISNUMBER(M446)),M446,"")</f>
        <v/>
      </c>
    </row>
    <row r="447">
      <c r="A447" s="1" t="n"/>
      <c r="B447" s="17" t="n"/>
      <c r="C447" s="27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9" t="n"/>
      <c r="N447" s="21" t="n"/>
      <c r="O447" s="12">
        <f>IF(AND(B447="",C447=""),"",IF(NOT(ISNUMBER(B447)),"Needs a date",IF(C447="","Needs a client",IF(COUNTIF(Clients!$B$6:$B$105,C447)=0,"Not on Clients",IF(COUNT(D447:M447)=0,"Nothing measured","")))))</f>
        <v/>
      </c>
      <c r="P447" s="1">
        <f>IF(AND(O447="",ISNUMBER(B447)),INT(B447),0)</f>
        <v/>
      </c>
      <c r="Q447">
        <f>IF(AND(P447&gt;0,C447=Report!$C$5),P447*10000+ROW(),"")</f>
        <v/>
      </c>
      <c r="R447">
        <f>IF(AND(Q447&lt;&gt;"",ISNUMBER(D447)),Q447,"")</f>
        <v/>
      </c>
      <c r="S447">
        <f>IF(AND(Q447&lt;&gt;"",ISNUMBER(E447)),Q447,"")</f>
        <v/>
      </c>
      <c r="T447">
        <f>IF(AND(Q447&lt;&gt;"",ISNUMBER(F447)),Q447,"")</f>
        <v/>
      </c>
      <c r="U447">
        <f>IF(AND(Q447&lt;&gt;"",ISNUMBER(G447)),Q447,"")</f>
        <v/>
      </c>
      <c r="V447">
        <f>IF(AND(Q447&lt;&gt;"",ISNUMBER(H447)),Q447,"")</f>
        <v/>
      </c>
      <c r="W447">
        <f>IF(AND(Q447&lt;&gt;"",ISNUMBER(I447)),Q447,"")</f>
        <v/>
      </c>
      <c r="X447">
        <f>IF(AND(Q447&lt;&gt;"",ISNUMBER(J447)),Q447,"")</f>
        <v/>
      </c>
      <c r="Y447">
        <f>IF(AND(Q447&lt;&gt;"",ISNUMBER(K447)),Q447,"")</f>
        <v/>
      </c>
      <c r="Z447">
        <f>IF(AND(Q447&lt;&gt;"",ISNUMBER(L447)),Q447,"")</f>
        <v/>
      </c>
      <c r="AA447">
        <f>IF(AND(Q447&lt;&gt;"",ISNUMBER(M447)),Q447,"")</f>
        <v/>
      </c>
      <c r="AB447">
        <f>IF(AND(Q447&lt;&gt;"",ISNUMBER(K447)),K447,"")</f>
        <v/>
      </c>
      <c r="AC447">
        <f>IF(AND(Q447&lt;&gt;"",ISNUMBER(L447)),L447,"")</f>
        <v/>
      </c>
      <c r="AD447">
        <f>IF(AND(Q447&lt;&gt;"",ISNUMBER(M447)),M447,"")</f>
        <v/>
      </c>
    </row>
    <row r="448">
      <c r="A448" s="1" t="n"/>
      <c r="B448" s="17" t="n"/>
      <c r="C448" s="27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9" t="n"/>
      <c r="N448" s="21" t="n"/>
      <c r="O448" s="12">
        <f>IF(AND(B448="",C448=""),"",IF(NOT(ISNUMBER(B448)),"Needs a date",IF(C448="","Needs a client",IF(COUNTIF(Clients!$B$6:$B$105,C448)=0,"Not on Clients",IF(COUNT(D448:M448)=0,"Nothing measured","")))))</f>
        <v/>
      </c>
      <c r="P448" s="1">
        <f>IF(AND(O448="",ISNUMBER(B448)),INT(B448),0)</f>
        <v/>
      </c>
      <c r="Q448">
        <f>IF(AND(P448&gt;0,C448=Report!$C$5),P448*10000+ROW(),"")</f>
        <v/>
      </c>
      <c r="R448">
        <f>IF(AND(Q448&lt;&gt;"",ISNUMBER(D448)),Q448,"")</f>
        <v/>
      </c>
      <c r="S448">
        <f>IF(AND(Q448&lt;&gt;"",ISNUMBER(E448)),Q448,"")</f>
        <v/>
      </c>
      <c r="T448">
        <f>IF(AND(Q448&lt;&gt;"",ISNUMBER(F448)),Q448,"")</f>
        <v/>
      </c>
      <c r="U448">
        <f>IF(AND(Q448&lt;&gt;"",ISNUMBER(G448)),Q448,"")</f>
        <v/>
      </c>
      <c r="V448">
        <f>IF(AND(Q448&lt;&gt;"",ISNUMBER(H448)),Q448,"")</f>
        <v/>
      </c>
      <c r="W448">
        <f>IF(AND(Q448&lt;&gt;"",ISNUMBER(I448)),Q448,"")</f>
        <v/>
      </c>
      <c r="X448">
        <f>IF(AND(Q448&lt;&gt;"",ISNUMBER(J448)),Q448,"")</f>
        <v/>
      </c>
      <c r="Y448">
        <f>IF(AND(Q448&lt;&gt;"",ISNUMBER(K448)),Q448,"")</f>
        <v/>
      </c>
      <c r="Z448">
        <f>IF(AND(Q448&lt;&gt;"",ISNUMBER(L448)),Q448,"")</f>
        <v/>
      </c>
      <c r="AA448">
        <f>IF(AND(Q448&lt;&gt;"",ISNUMBER(M448)),Q448,"")</f>
        <v/>
      </c>
      <c r="AB448">
        <f>IF(AND(Q448&lt;&gt;"",ISNUMBER(K448)),K448,"")</f>
        <v/>
      </c>
      <c r="AC448">
        <f>IF(AND(Q448&lt;&gt;"",ISNUMBER(L448)),L448,"")</f>
        <v/>
      </c>
      <c r="AD448">
        <f>IF(AND(Q448&lt;&gt;"",ISNUMBER(M448)),M448,"")</f>
        <v/>
      </c>
    </row>
    <row r="449">
      <c r="A449" s="1" t="n"/>
      <c r="B449" s="17" t="n"/>
      <c r="C449" s="27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9" t="n"/>
      <c r="N449" s="21" t="n"/>
      <c r="O449" s="12">
        <f>IF(AND(B449="",C449=""),"",IF(NOT(ISNUMBER(B449)),"Needs a date",IF(C449="","Needs a client",IF(COUNTIF(Clients!$B$6:$B$105,C449)=0,"Not on Clients",IF(COUNT(D449:M449)=0,"Nothing measured","")))))</f>
        <v/>
      </c>
      <c r="P449" s="1">
        <f>IF(AND(O449="",ISNUMBER(B449)),INT(B449),0)</f>
        <v/>
      </c>
      <c r="Q449">
        <f>IF(AND(P449&gt;0,C449=Report!$C$5),P449*10000+ROW(),"")</f>
        <v/>
      </c>
      <c r="R449">
        <f>IF(AND(Q449&lt;&gt;"",ISNUMBER(D449)),Q449,"")</f>
        <v/>
      </c>
      <c r="S449">
        <f>IF(AND(Q449&lt;&gt;"",ISNUMBER(E449)),Q449,"")</f>
        <v/>
      </c>
      <c r="T449">
        <f>IF(AND(Q449&lt;&gt;"",ISNUMBER(F449)),Q449,"")</f>
        <v/>
      </c>
      <c r="U449">
        <f>IF(AND(Q449&lt;&gt;"",ISNUMBER(G449)),Q449,"")</f>
        <v/>
      </c>
      <c r="V449">
        <f>IF(AND(Q449&lt;&gt;"",ISNUMBER(H449)),Q449,"")</f>
        <v/>
      </c>
      <c r="W449">
        <f>IF(AND(Q449&lt;&gt;"",ISNUMBER(I449)),Q449,"")</f>
        <v/>
      </c>
      <c r="X449">
        <f>IF(AND(Q449&lt;&gt;"",ISNUMBER(J449)),Q449,"")</f>
        <v/>
      </c>
      <c r="Y449">
        <f>IF(AND(Q449&lt;&gt;"",ISNUMBER(K449)),Q449,"")</f>
        <v/>
      </c>
      <c r="Z449">
        <f>IF(AND(Q449&lt;&gt;"",ISNUMBER(L449)),Q449,"")</f>
        <v/>
      </c>
      <c r="AA449">
        <f>IF(AND(Q449&lt;&gt;"",ISNUMBER(M449)),Q449,"")</f>
        <v/>
      </c>
      <c r="AB449">
        <f>IF(AND(Q449&lt;&gt;"",ISNUMBER(K449)),K449,"")</f>
        <v/>
      </c>
      <c r="AC449">
        <f>IF(AND(Q449&lt;&gt;"",ISNUMBER(L449)),L449,"")</f>
        <v/>
      </c>
      <c r="AD449">
        <f>IF(AND(Q449&lt;&gt;"",ISNUMBER(M449)),M449,"")</f>
        <v/>
      </c>
    </row>
    <row r="450">
      <c r="A450" s="1" t="n"/>
      <c r="B450" s="17" t="n"/>
      <c r="C450" s="27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9" t="n"/>
      <c r="N450" s="21" t="n"/>
      <c r="O450" s="12">
        <f>IF(AND(B450="",C450=""),"",IF(NOT(ISNUMBER(B450)),"Needs a date",IF(C450="","Needs a client",IF(COUNTIF(Clients!$B$6:$B$105,C450)=0,"Not on Clients",IF(COUNT(D450:M450)=0,"Nothing measured","")))))</f>
        <v/>
      </c>
      <c r="P450" s="1">
        <f>IF(AND(O450="",ISNUMBER(B450)),INT(B450),0)</f>
        <v/>
      </c>
      <c r="Q450">
        <f>IF(AND(P450&gt;0,C450=Report!$C$5),P450*10000+ROW(),"")</f>
        <v/>
      </c>
      <c r="R450">
        <f>IF(AND(Q450&lt;&gt;"",ISNUMBER(D450)),Q450,"")</f>
        <v/>
      </c>
      <c r="S450">
        <f>IF(AND(Q450&lt;&gt;"",ISNUMBER(E450)),Q450,"")</f>
        <v/>
      </c>
      <c r="T450">
        <f>IF(AND(Q450&lt;&gt;"",ISNUMBER(F450)),Q450,"")</f>
        <v/>
      </c>
      <c r="U450">
        <f>IF(AND(Q450&lt;&gt;"",ISNUMBER(G450)),Q450,"")</f>
        <v/>
      </c>
      <c r="V450">
        <f>IF(AND(Q450&lt;&gt;"",ISNUMBER(H450)),Q450,"")</f>
        <v/>
      </c>
      <c r="W450">
        <f>IF(AND(Q450&lt;&gt;"",ISNUMBER(I450)),Q450,"")</f>
        <v/>
      </c>
      <c r="X450">
        <f>IF(AND(Q450&lt;&gt;"",ISNUMBER(J450)),Q450,"")</f>
        <v/>
      </c>
      <c r="Y450">
        <f>IF(AND(Q450&lt;&gt;"",ISNUMBER(K450)),Q450,"")</f>
        <v/>
      </c>
      <c r="Z450">
        <f>IF(AND(Q450&lt;&gt;"",ISNUMBER(L450)),Q450,"")</f>
        <v/>
      </c>
      <c r="AA450">
        <f>IF(AND(Q450&lt;&gt;"",ISNUMBER(M450)),Q450,"")</f>
        <v/>
      </c>
      <c r="AB450">
        <f>IF(AND(Q450&lt;&gt;"",ISNUMBER(K450)),K450,"")</f>
        <v/>
      </c>
      <c r="AC450">
        <f>IF(AND(Q450&lt;&gt;"",ISNUMBER(L450)),L450,"")</f>
        <v/>
      </c>
      <c r="AD450">
        <f>IF(AND(Q450&lt;&gt;"",ISNUMBER(M450)),M450,"")</f>
        <v/>
      </c>
    </row>
    <row r="451">
      <c r="A451" s="1" t="n"/>
      <c r="B451" s="17" t="n"/>
      <c r="C451" s="27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9" t="n"/>
      <c r="N451" s="21" t="n"/>
      <c r="O451" s="12">
        <f>IF(AND(B451="",C451=""),"",IF(NOT(ISNUMBER(B451)),"Needs a date",IF(C451="","Needs a client",IF(COUNTIF(Clients!$B$6:$B$105,C451)=0,"Not on Clients",IF(COUNT(D451:M451)=0,"Nothing measured","")))))</f>
        <v/>
      </c>
      <c r="P451" s="1">
        <f>IF(AND(O451="",ISNUMBER(B451)),INT(B451),0)</f>
        <v/>
      </c>
      <c r="Q451">
        <f>IF(AND(P451&gt;0,C451=Report!$C$5),P451*10000+ROW(),"")</f>
        <v/>
      </c>
      <c r="R451">
        <f>IF(AND(Q451&lt;&gt;"",ISNUMBER(D451)),Q451,"")</f>
        <v/>
      </c>
      <c r="S451">
        <f>IF(AND(Q451&lt;&gt;"",ISNUMBER(E451)),Q451,"")</f>
        <v/>
      </c>
      <c r="T451">
        <f>IF(AND(Q451&lt;&gt;"",ISNUMBER(F451)),Q451,"")</f>
        <v/>
      </c>
      <c r="U451">
        <f>IF(AND(Q451&lt;&gt;"",ISNUMBER(G451)),Q451,"")</f>
        <v/>
      </c>
      <c r="V451">
        <f>IF(AND(Q451&lt;&gt;"",ISNUMBER(H451)),Q451,"")</f>
        <v/>
      </c>
      <c r="W451">
        <f>IF(AND(Q451&lt;&gt;"",ISNUMBER(I451)),Q451,"")</f>
        <v/>
      </c>
      <c r="X451">
        <f>IF(AND(Q451&lt;&gt;"",ISNUMBER(J451)),Q451,"")</f>
        <v/>
      </c>
      <c r="Y451">
        <f>IF(AND(Q451&lt;&gt;"",ISNUMBER(K451)),Q451,"")</f>
        <v/>
      </c>
      <c r="Z451">
        <f>IF(AND(Q451&lt;&gt;"",ISNUMBER(L451)),Q451,"")</f>
        <v/>
      </c>
      <c r="AA451">
        <f>IF(AND(Q451&lt;&gt;"",ISNUMBER(M451)),Q451,"")</f>
        <v/>
      </c>
      <c r="AB451">
        <f>IF(AND(Q451&lt;&gt;"",ISNUMBER(K451)),K451,"")</f>
        <v/>
      </c>
      <c r="AC451">
        <f>IF(AND(Q451&lt;&gt;"",ISNUMBER(L451)),L451,"")</f>
        <v/>
      </c>
      <c r="AD451">
        <f>IF(AND(Q451&lt;&gt;"",ISNUMBER(M451)),M451,"")</f>
        <v/>
      </c>
    </row>
    <row r="452">
      <c r="A452" s="1" t="n"/>
      <c r="B452" s="17" t="n"/>
      <c r="C452" s="27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9" t="n"/>
      <c r="N452" s="21" t="n"/>
      <c r="O452" s="12">
        <f>IF(AND(B452="",C452=""),"",IF(NOT(ISNUMBER(B452)),"Needs a date",IF(C452="","Needs a client",IF(COUNTIF(Clients!$B$6:$B$105,C452)=0,"Not on Clients",IF(COUNT(D452:M452)=0,"Nothing measured","")))))</f>
        <v/>
      </c>
      <c r="P452" s="1">
        <f>IF(AND(O452="",ISNUMBER(B452)),INT(B452),0)</f>
        <v/>
      </c>
      <c r="Q452">
        <f>IF(AND(P452&gt;0,C452=Report!$C$5),P452*10000+ROW(),"")</f>
        <v/>
      </c>
      <c r="R452">
        <f>IF(AND(Q452&lt;&gt;"",ISNUMBER(D452)),Q452,"")</f>
        <v/>
      </c>
      <c r="S452">
        <f>IF(AND(Q452&lt;&gt;"",ISNUMBER(E452)),Q452,"")</f>
        <v/>
      </c>
      <c r="T452">
        <f>IF(AND(Q452&lt;&gt;"",ISNUMBER(F452)),Q452,"")</f>
        <v/>
      </c>
      <c r="U452">
        <f>IF(AND(Q452&lt;&gt;"",ISNUMBER(G452)),Q452,"")</f>
        <v/>
      </c>
      <c r="V452">
        <f>IF(AND(Q452&lt;&gt;"",ISNUMBER(H452)),Q452,"")</f>
        <v/>
      </c>
      <c r="W452">
        <f>IF(AND(Q452&lt;&gt;"",ISNUMBER(I452)),Q452,"")</f>
        <v/>
      </c>
      <c r="X452">
        <f>IF(AND(Q452&lt;&gt;"",ISNUMBER(J452)),Q452,"")</f>
        <v/>
      </c>
      <c r="Y452">
        <f>IF(AND(Q452&lt;&gt;"",ISNUMBER(K452)),Q452,"")</f>
        <v/>
      </c>
      <c r="Z452">
        <f>IF(AND(Q452&lt;&gt;"",ISNUMBER(L452)),Q452,"")</f>
        <v/>
      </c>
      <c r="AA452">
        <f>IF(AND(Q452&lt;&gt;"",ISNUMBER(M452)),Q452,"")</f>
        <v/>
      </c>
      <c r="AB452">
        <f>IF(AND(Q452&lt;&gt;"",ISNUMBER(K452)),K452,"")</f>
        <v/>
      </c>
      <c r="AC452">
        <f>IF(AND(Q452&lt;&gt;"",ISNUMBER(L452)),L452,"")</f>
        <v/>
      </c>
      <c r="AD452">
        <f>IF(AND(Q452&lt;&gt;"",ISNUMBER(M452)),M452,"")</f>
        <v/>
      </c>
    </row>
    <row r="453">
      <c r="A453" s="1" t="n"/>
      <c r="B453" s="17" t="n"/>
      <c r="C453" s="27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9" t="n"/>
      <c r="N453" s="21" t="n"/>
      <c r="O453" s="12">
        <f>IF(AND(B453="",C453=""),"",IF(NOT(ISNUMBER(B453)),"Needs a date",IF(C453="","Needs a client",IF(COUNTIF(Clients!$B$6:$B$105,C453)=0,"Not on Clients",IF(COUNT(D453:M453)=0,"Nothing measured","")))))</f>
        <v/>
      </c>
      <c r="P453" s="1">
        <f>IF(AND(O453="",ISNUMBER(B453)),INT(B453),0)</f>
        <v/>
      </c>
      <c r="Q453">
        <f>IF(AND(P453&gt;0,C453=Report!$C$5),P453*10000+ROW(),"")</f>
        <v/>
      </c>
      <c r="R453">
        <f>IF(AND(Q453&lt;&gt;"",ISNUMBER(D453)),Q453,"")</f>
        <v/>
      </c>
      <c r="S453">
        <f>IF(AND(Q453&lt;&gt;"",ISNUMBER(E453)),Q453,"")</f>
        <v/>
      </c>
      <c r="T453">
        <f>IF(AND(Q453&lt;&gt;"",ISNUMBER(F453)),Q453,"")</f>
        <v/>
      </c>
      <c r="U453">
        <f>IF(AND(Q453&lt;&gt;"",ISNUMBER(G453)),Q453,"")</f>
        <v/>
      </c>
      <c r="V453">
        <f>IF(AND(Q453&lt;&gt;"",ISNUMBER(H453)),Q453,"")</f>
        <v/>
      </c>
      <c r="W453">
        <f>IF(AND(Q453&lt;&gt;"",ISNUMBER(I453)),Q453,"")</f>
        <v/>
      </c>
      <c r="X453">
        <f>IF(AND(Q453&lt;&gt;"",ISNUMBER(J453)),Q453,"")</f>
        <v/>
      </c>
      <c r="Y453">
        <f>IF(AND(Q453&lt;&gt;"",ISNUMBER(K453)),Q453,"")</f>
        <v/>
      </c>
      <c r="Z453">
        <f>IF(AND(Q453&lt;&gt;"",ISNUMBER(L453)),Q453,"")</f>
        <v/>
      </c>
      <c r="AA453">
        <f>IF(AND(Q453&lt;&gt;"",ISNUMBER(M453)),Q453,"")</f>
        <v/>
      </c>
      <c r="AB453">
        <f>IF(AND(Q453&lt;&gt;"",ISNUMBER(K453)),K453,"")</f>
        <v/>
      </c>
      <c r="AC453">
        <f>IF(AND(Q453&lt;&gt;"",ISNUMBER(L453)),L453,"")</f>
        <v/>
      </c>
      <c r="AD453">
        <f>IF(AND(Q453&lt;&gt;"",ISNUMBER(M453)),M453,"")</f>
        <v/>
      </c>
    </row>
    <row r="454">
      <c r="A454" s="1" t="n"/>
      <c r="B454" s="17" t="n"/>
      <c r="C454" s="27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9" t="n"/>
      <c r="N454" s="21" t="n"/>
      <c r="O454" s="12">
        <f>IF(AND(B454="",C454=""),"",IF(NOT(ISNUMBER(B454)),"Needs a date",IF(C454="","Needs a client",IF(COUNTIF(Clients!$B$6:$B$105,C454)=0,"Not on Clients",IF(COUNT(D454:M454)=0,"Nothing measured","")))))</f>
        <v/>
      </c>
      <c r="P454" s="1">
        <f>IF(AND(O454="",ISNUMBER(B454)),INT(B454),0)</f>
        <v/>
      </c>
      <c r="Q454">
        <f>IF(AND(P454&gt;0,C454=Report!$C$5),P454*10000+ROW(),"")</f>
        <v/>
      </c>
      <c r="R454">
        <f>IF(AND(Q454&lt;&gt;"",ISNUMBER(D454)),Q454,"")</f>
        <v/>
      </c>
      <c r="S454">
        <f>IF(AND(Q454&lt;&gt;"",ISNUMBER(E454)),Q454,"")</f>
        <v/>
      </c>
      <c r="T454">
        <f>IF(AND(Q454&lt;&gt;"",ISNUMBER(F454)),Q454,"")</f>
        <v/>
      </c>
      <c r="U454">
        <f>IF(AND(Q454&lt;&gt;"",ISNUMBER(G454)),Q454,"")</f>
        <v/>
      </c>
      <c r="V454">
        <f>IF(AND(Q454&lt;&gt;"",ISNUMBER(H454)),Q454,"")</f>
        <v/>
      </c>
      <c r="W454">
        <f>IF(AND(Q454&lt;&gt;"",ISNUMBER(I454)),Q454,"")</f>
        <v/>
      </c>
      <c r="X454">
        <f>IF(AND(Q454&lt;&gt;"",ISNUMBER(J454)),Q454,"")</f>
        <v/>
      </c>
      <c r="Y454">
        <f>IF(AND(Q454&lt;&gt;"",ISNUMBER(K454)),Q454,"")</f>
        <v/>
      </c>
      <c r="Z454">
        <f>IF(AND(Q454&lt;&gt;"",ISNUMBER(L454)),Q454,"")</f>
        <v/>
      </c>
      <c r="AA454">
        <f>IF(AND(Q454&lt;&gt;"",ISNUMBER(M454)),Q454,"")</f>
        <v/>
      </c>
      <c r="AB454">
        <f>IF(AND(Q454&lt;&gt;"",ISNUMBER(K454)),K454,"")</f>
        <v/>
      </c>
      <c r="AC454">
        <f>IF(AND(Q454&lt;&gt;"",ISNUMBER(L454)),L454,"")</f>
        <v/>
      </c>
      <c r="AD454">
        <f>IF(AND(Q454&lt;&gt;"",ISNUMBER(M454)),M454,"")</f>
        <v/>
      </c>
    </row>
    <row r="455">
      <c r="A455" s="1" t="n"/>
      <c r="B455" s="17" t="n"/>
      <c r="C455" s="27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9" t="n"/>
      <c r="N455" s="21" t="n"/>
      <c r="O455" s="12">
        <f>IF(AND(B455="",C455=""),"",IF(NOT(ISNUMBER(B455)),"Needs a date",IF(C455="","Needs a client",IF(COUNTIF(Clients!$B$6:$B$105,C455)=0,"Not on Clients",IF(COUNT(D455:M455)=0,"Nothing measured","")))))</f>
        <v/>
      </c>
      <c r="P455" s="1">
        <f>IF(AND(O455="",ISNUMBER(B455)),INT(B455),0)</f>
        <v/>
      </c>
      <c r="Q455">
        <f>IF(AND(P455&gt;0,C455=Report!$C$5),P455*10000+ROW(),"")</f>
        <v/>
      </c>
      <c r="R455">
        <f>IF(AND(Q455&lt;&gt;"",ISNUMBER(D455)),Q455,"")</f>
        <v/>
      </c>
      <c r="S455">
        <f>IF(AND(Q455&lt;&gt;"",ISNUMBER(E455)),Q455,"")</f>
        <v/>
      </c>
      <c r="T455">
        <f>IF(AND(Q455&lt;&gt;"",ISNUMBER(F455)),Q455,"")</f>
        <v/>
      </c>
      <c r="U455">
        <f>IF(AND(Q455&lt;&gt;"",ISNUMBER(G455)),Q455,"")</f>
        <v/>
      </c>
      <c r="V455">
        <f>IF(AND(Q455&lt;&gt;"",ISNUMBER(H455)),Q455,"")</f>
        <v/>
      </c>
      <c r="W455">
        <f>IF(AND(Q455&lt;&gt;"",ISNUMBER(I455)),Q455,"")</f>
        <v/>
      </c>
      <c r="X455">
        <f>IF(AND(Q455&lt;&gt;"",ISNUMBER(J455)),Q455,"")</f>
        <v/>
      </c>
      <c r="Y455">
        <f>IF(AND(Q455&lt;&gt;"",ISNUMBER(K455)),Q455,"")</f>
        <v/>
      </c>
      <c r="Z455">
        <f>IF(AND(Q455&lt;&gt;"",ISNUMBER(L455)),Q455,"")</f>
        <v/>
      </c>
      <c r="AA455">
        <f>IF(AND(Q455&lt;&gt;"",ISNUMBER(M455)),Q455,"")</f>
        <v/>
      </c>
      <c r="AB455">
        <f>IF(AND(Q455&lt;&gt;"",ISNUMBER(K455)),K455,"")</f>
        <v/>
      </c>
      <c r="AC455">
        <f>IF(AND(Q455&lt;&gt;"",ISNUMBER(L455)),L455,"")</f>
        <v/>
      </c>
      <c r="AD455">
        <f>IF(AND(Q455&lt;&gt;"",ISNUMBER(M455)),M455,"")</f>
        <v/>
      </c>
    </row>
    <row r="456">
      <c r="A456" s="1" t="n"/>
      <c r="B456" s="17" t="n"/>
      <c r="C456" s="27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9" t="n"/>
      <c r="N456" s="21" t="n"/>
      <c r="O456" s="12">
        <f>IF(AND(B456="",C456=""),"",IF(NOT(ISNUMBER(B456)),"Needs a date",IF(C456="","Needs a client",IF(COUNTIF(Clients!$B$6:$B$105,C456)=0,"Not on Clients",IF(COUNT(D456:M456)=0,"Nothing measured","")))))</f>
        <v/>
      </c>
      <c r="P456" s="1">
        <f>IF(AND(O456="",ISNUMBER(B456)),INT(B456),0)</f>
        <v/>
      </c>
      <c r="Q456">
        <f>IF(AND(P456&gt;0,C456=Report!$C$5),P456*10000+ROW(),"")</f>
        <v/>
      </c>
      <c r="R456">
        <f>IF(AND(Q456&lt;&gt;"",ISNUMBER(D456)),Q456,"")</f>
        <v/>
      </c>
      <c r="S456">
        <f>IF(AND(Q456&lt;&gt;"",ISNUMBER(E456)),Q456,"")</f>
        <v/>
      </c>
      <c r="T456">
        <f>IF(AND(Q456&lt;&gt;"",ISNUMBER(F456)),Q456,"")</f>
        <v/>
      </c>
      <c r="U456">
        <f>IF(AND(Q456&lt;&gt;"",ISNUMBER(G456)),Q456,"")</f>
        <v/>
      </c>
      <c r="V456">
        <f>IF(AND(Q456&lt;&gt;"",ISNUMBER(H456)),Q456,"")</f>
        <v/>
      </c>
      <c r="W456">
        <f>IF(AND(Q456&lt;&gt;"",ISNUMBER(I456)),Q456,"")</f>
        <v/>
      </c>
      <c r="X456">
        <f>IF(AND(Q456&lt;&gt;"",ISNUMBER(J456)),Q456,"")</f>
        <v/>
      </c>
      <c r="Y456">
        <f>IF(AND(Q456&lt;&gt;"",ISNUMBER(K456)),Q456,"")</f>
        <v/>
      </c>
      <c r="Z456">
        <f>IF(AND(Q456&lt;&gt;"",ISNUMBER(L456)),Q456,"")</f>
        <v/>
      </c>
      <c r="AA456">
        <f>IF(AND(Q456&lt;&gt;"",ISNUMBER(M456)),Q456,"")</f>
        <v/>
      </c>
      <c r="AB456">
        <f>IF(AND(Q456&lt;&gt;"",ISNUMBER(K456)),K456,"")</f>
        <v/>
      </c>
      <c r="AC456">
        <f>IF(AND(Q456&lt;&gt;"",ISNUMBER(L456)),L456,"")</f>
        <v/>
      </c>
      <c r="AD456">
        <f>IF(AND(Q456&lt;&gt;"",ISNUMBER(M456)),M456,"")</f>
        <v/>
      </c>
    </row>
    <row r="457">
      <c r="A457" s="1" t="n"/>
      <c r="B457" s="17" t="n"/>
      <c r="C457" s="27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9" t="n"/>
      <c r="N457" s="21" t="n"/>
      <c r="O457" s="12">
        <f>IF(AND(B457="",C457=""),"",IF(NOT(ISNUMBER(B457)),"Needs a date",IF(C457="","Needs a client",IF(COUNTIF(Clients!$B$6:$B$105,C457)=0,"Not on Clients",IF(COUNT(D457:M457)=0,"Nothing measured","")))))</f>
        <v/>
      </c>
      <c r="P457" s="1">
        <f>IF(AND(O457="",ISNUMBER(B457)),INT(B457),0)</f>
        <v/>
      </c>
      <c r="Q457">
        <f>IF(AND(P457&gt;0,C457=Report!$C$5),P457*10000+ROW(),"")</f>
        <v/>
      </c>
      <c r="R457">
        <f>IF(AND(Q457&lt;&gt;"",ISNUMBER(D457)),Q457,"")</f>
        <v/>
      </c>
      <c r="S457">
        <f>IF(AND(Q457&lt;&gt;"",ISNUMBER(E457)),Q457,"")</f>
        <v/>
      </c>
      <c r="T457">
        <f>IF(AND(Q457&lt;&gt;"",ISNUMBER(F457)),Q457,"")</f>
        <v/>
      </c>
      <c r="U457">
        <f>IF(AND(Q457&lt;&gt;"",ISNUMBER(G457)),Q457,"")</f>
        <v/>
      </c>
      <c r="V457">
        <f>IF(AND(Q457&lt;&gt;"",ISNUMBER(H457)),Q457,"")</f>
        <v/>
      </c>
      <c r="W457">
        <f>IF(AND(Q457&lt;&gt;"",ISNUMBER(I457)),Q457,"")</f>
        <v/>
      </c>
      <c r="X457">
        <f>IF(AND(Q457&lt;&gt;"",ISNUMBER(J457)),Q457,"")</f>
        <v/>
      </c>
      <c r="Y457">
        <f>IF(AND(Q457&lt;&gt;"",ISNUMBER(K457)),Q457,"")</f>
        <v/>
      </c>
      <c r="Z457">
        <f>IF(AND(Q457&lt;&gt;"",ISNUMBER(L457)),Q457,"")</f>
        <v/>
      </c>
      <c r="AA457">
        <f>IF(AND(Q457&lt;&gt;"",ISNUMBER(M457)),Q457,"")</f>
        <v/>
      </c>
      <c r="AB457">
        <f>IF(AND(Q457&lt;&gt;"",ISNUMBER(K457)),K457,"")</f>
        <v/>
      </c>
      <c r="AC457">
        <f>IF(AND(Q457&lt;&gt;"",ISNUMBER(L457)),L457,"")</f>
        <v/>
      </c>
      <c r="AD457">
        <f>IF(AND(Q457&lt;&gt;"",ISNUMBER(M457)),M457,"")</f>
        <v/>
      </c>
    </row>
    <row r="458">
      <c r="A458" s="1" t="n"/>
      <c r="B458" s="17" t="n"/>
      <c r="C458" s="27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9" t="n"/>
      <c r="N458" s="21" t="n"/>
      <c r="O458" s="12">
        <f>IF(AND(B458="",C458=""),"",IF(NOT(ISNUMBER(B458)),"Needs a date",IF(C458="","Needs a client",IF(COUNTIF(Clients!$B$6:$B$105,C458)=0,"Not on Clients",IF(COUNT(D458:M458)=0,"Nothing measured","")))))</f>
        <v/>
      </c>
      <c r="P458" s="1">
        <f>IF(AND(O458="",ISNUMBER(B458)),INT(B458),0)</f>
        <v/>
      </c>
      <c r="Q458">
        <f>IF(AND(P458&gt;0,C458=Report!$C$5),P458*10000+ROW(),"")</f>
        <v/>
      </c>
      <c r="R458">
        <f>IF(AND(Q458&lt;&gt;"",ISNUMBER(D458)),Q458,"")</f>
        <v/>
      </c>
      <c r="S458">
        <f>IF(AND(Q458&lt;&gt;"",ISNUMBER(E458)),Q458,"")</f>
        <v/>
      </c>
      <c r="T458">
        <f>IF(AND(Q458&lt;&gt;"",ISNUMBER(F458)),Q458,"")</f>
        <v/>
      </c>
      <c r="U458">
        <f>IF(AND(Q458&lt;&gt;"",ISNUMBER(G458)),Q458,"")</f>
        <v/>
      </c>
      <c r="V458">
        <f>IF(AND(Q458&lt;&gt;"",ISNUMBER(H458)),Q458,"")</f>
        <v/>
      </c>
      <c r="W458">
        <f>IF(AND(Q458&lt;&gt;"",ISNUMBER(I458)),Q458,"")</f>
        <v/>
      </c>
      <c r="X458">
        <f>IF(AND(Q458&lt;&gt;"",ISNUMBER(J458)),Q458,"")</f>
        <v/>
      </c>
      <c r="Y458">
        <f>IF(AND(Q458&lt;&gt;"",ISNUMBER(K458)),Q458,"")</f>
        <v/>
      </c>
      <c r="Z458">
        <f>IF(AND(Q458&lt;&gt;"",ISNUMBER(L458)),Q458,"")</f>
        <v/>
      </c>
      <c r="AA458">
        <f>IF(AND(Q458&lt;&gt;"",ISNUMBER(M458)),Q458,"")</f>
        <v/>
      </c>
      <c r="AB458">
        <f>IF(AND(Q458&lt;&gt;"",ISNUMBER(K458)),K458,"")</f>
        <v/>
      </c>
      <c r="AC458">
        <f>IF(AND(Q458&lt;&gt;"",ISNUMBER(L458)),L458,"")</f>
        <v/>
      </c>
      <c r="AD458">
        <f>IF(AND(Q458&lt;&gt;"",ISNUMBER(M458)),M458,"")</f>
        <v/>
      </c>
    </row>
    <row r="459">
      <c r="A459" s="1" t="n"/>
      <c r="B459" s="17" t="n"/>
      <c r="C459" s="27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9" t="n"/>
      <c r="N459" s="21" t="n"/>
      <c r="O459" s="12">
        <f>IF(AND(B459="",C459=""),"",IF(NOT(ISNUMBER(B459)),"Needs a date",IF(C459="","Needs a client",IF(COUNTIF(Clients!$B$6:$B$105,C459)=0,"Not on Clients",IF(COUNT(D459:M459)=0,"Nothing measured","")))))</f>
        <v/>
      </c>
      <c r="P459" s="1">
        <f>IF(AND(O459="",ISNUMBER(B459)),INT(B459),0)</f>
        <v/>
      </c>
      <c r="Q459">
        <f>IF(AND(P459&gt;0,C459=Report!$C$5),P459*10000+ROW(),"")</f>
        <v/>
      </c>
      <c r="R459">
        <f>IF(AND(Q459&lt;&gt;"",ISNUMBER(D459)),Q459,"")</f>
        <v/>
      </c>
      <c r="S459">
        <f>IF(AND(Q459&lt;&gt;"",ISNUMBER(E459)),Q459,"")</f>
        <v/>
      </c>
      <c r="T459">
        <f>IF(AND(Q459&lt;&gt;"",ISNUMBER(F459)),Q459,"")</f>
        <v/>
      </c>
      <c r="U459">
        <f>IF(AND(Q459&lt;&gt;"",ISNUMBER(G459)),Q459,"")</f>
        <v/>
      </c>
      <c r="V459">
        <f>IF(AND(Q459&lt;&gt;"",ISNUMBER(H459)),Q459,"")</f>
        <v/>
      </c>
      <c r="W459">
        <f>IF(AND(Q459&lt;&gt;"",ISNUMBER(I459)),Q459,"")</f>
        <v/>
      </c>
      <c r="X459">
        <f>IF(AND(Q459&lt;&gt;"",ISNUMBER(J459)),Q459,"")</f>
        <v/>
      </c>
      <c r="Y459">
        <f>IF(AND(Q459&lt;&gt;"",ISNUMBER(K459)),Q459,"")</f>
        <v/>
      </c>
      <c r="Z459">
        <f>IF(AND(Q459&lt;&gt;"",ISNUMBER(L459)),Q459,"")</f>
        <v/>
      </c>
      <c r="AA459">
        <f>IF(AND(Q459&lt;&gt;"",ISNUMBER(M459)),Q459,"")</f>
        <v/>
      </c>
      <c r="AB459">
        <f>IF(AND(Q459&lt;&gt;"",ISNUMBER(K459)),K459,"")</f>
        <v/>
      </c>
      <c r="AC459">
        <f>IF(AND(Q459&lt;&gt;"",ISNUMBER(L459)),L459,"")</f>
        <v/>
      </c>
      <c r="AD459">
        <f>IF(AND(Q459&lt;&gt;"",ISNUMBER(M459)),M459,"")</f>
        <v/>
      </c>
    </row>
    <row r="460">
      <c r="A460" s="1" t="n"/>
      <c r="B460" s="17" t="n"/>
      <c r="C460" s="27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9" t="n"/>
      <c r="N460" s="21" t="n"/>
      <c r="O460" s="12">
        <f>IF(AND(B460="",C460=""),"",IF(NOT(ISNUMBER(B460)),"Needs a date",IF(C460="","Needs a client",IF(COUNTIF(Clients!$B$6:$B$105,C460)=0,"Not on Clients",IF(COUNT(D460:M460)=0,"Nothing measured","")))))</f>
        <v/>
      </c>
      <c r="P460" s="1">
        <f>IF(AND(O460="",ISNUMBER(B460)),INT(B460),0)</f>
        <v/>
      </c>
      <c r="Q460">
        <f>IF(AND(P460&gt;0,C460=Report!$C$5),P460*10000+ROW(),"")</f>
        <v/>
      </c>
      <c r="R460">
        <f>IF(AND(Q460&lt;&gt;"",ISNUMBER(D460)),Q460,"")</f>
        <v/>
      </c>
      <c r="S460">
        <f>IF(AND(Q460&lt;&gt;"",ISNUMBER(E460)),Q460,"")</f>
        <v/>
      </c>
      <c r="T460">
        <f>IF(AND(Q460&lt;&gt;"",ISNUMBER(F460)),Q460,"")</f>
        <v/>
      </c>
      <c r="U460">
        <f>IF(AND(Q460&lt;&gt;"",ISNUMBER(G460)),Q460,"")</f>
        <v/>
      </c>
      <c r="V460">
        <f>IF(AND(Q460&lt;&gt;"",ISNUMBER(H460)),Q460,"")</f>
        <v/>
      </c>
      <c r="W460">
        <f>IF(AND(Q460&lt;&gt;"",ISNUMBER(I460)),Q460,"")</f>
        <v/>
      </c>
      <c r="X460">
        <f>IF(AND(Q460&lt;&gt;"",ISNUMBER(J460)),Q460,"")</f>
        <v/>
      </c>
      <c r="Y460">
        <f>IF(AND(Q460&lt;&gt;"",ISNUMBER(K460)),Q460,"")</f>
        <v/>
      </c>
      <c r="Z460">
        <f>IF(AND(Q460&lt;&gt;"",ISNUMBER(L460)),Q460,"")</f>
        <v/>
      </c>
      <c r="AA460">
        <f>IF(AND(Q460&lt;&gt;"",ISNUMBER(M460)),Q460,"")</f>
        <v/>
      </c>
      <c r="AB460">
        <f>IF(AND(Q460&lt;&gt;"",ISNUMBER(K460)),K460,"")</f>
        <v/>
      </c>
      <c r="AC460">
        <f>IF(AND(Q460&lt;&gt;"",ISNUMBER(L460)),L460,"")</f>
        <v/>
      </c>
      <c r="AD460">
        <f>IF(AND(Q460&lt;&gt;"",ISNUMBER(M460)),M460,"")</f>
        <v/>
      </c>
    </row>
    <row r="461">
      <c r="A461" s="1" t="n"/>
      <c r="B461" s="17" t="n"/>
      <c r="C461" s="27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9" t="n"/>
      <c r="N461" s="21" t="n"/>
      <c r="O461" s="12">
        <f>IF(AND(B461="",C461=""),"",IF(NOT(ISNUMBER(B461)),"Needs a date",IF(C461="","Needs a client",IF(COUNTIF(Clients!$B$6:$B$105,C461)=0,"Not on Clients",IF(COUNT(D461:M461)=0,"Nothing measured","")))))</f>
        <v/>
      </c>
      <c r="P461" s="1">
        <f>IF(AND(O461="",ISNUMBER(B461)),INT(B461),0)</f>
        <v/>
      </c>
      <c r="Q461">
        <f>IF(AND(P461&gt;0,C461=Report!$C$5),P461*10000+ROW(),"")</f>
        <v/>
      </c>
      <c r="R461">
        <f>IF(AND(Q461&lt;&gt;"",ISNUMBER(D461)),Q461,"")</f>
        <v/>
      </c>
      <c r="S461">
        <f>IF(AND(Q461&lt;&gt;"",ISNUMBER(E461)),Q461,"")</f>
        <v/>
      </c>
      <c r="T461">
        <f>IF(AND(Q461&lt;&gt;"",ISNUMBER(F461)),Q461,"")</f>
        <v/>
      </c>
      <c r="U461">
        <f>IF(AND(Q461&lt;&gt;"",ISNUMBER(G461)),Q461,"")</f>
        <v/>
      </c>
      <c r="V461">
        <f>IF(AND(Q461&lt;&gt;"",ISNUMBER(H461)),Q461,"")</f>
        <v/>
      </c>
      <c r="W461">
        <f>IF(AND(Q461&lt;&gt;"",ISNUMBER(I461)),Q461,"")</f>
        <v/>
      </c>
      <c r="X461">
        <f>IF(AND(Q461&lt;&gt;"",ISNUMBER(J461)),Q461,"")</f>
        <v/>
      </c>
      <c r="Y461">
        <f>IF(AND(Q461&lt;&gt;"",ISNUMBER(K461)),Q461,"")</f>
        <v/>
      </c>
      <c r="Z461">
        <f>IF(AND(Q461&lt;&gt;"",ISNUMBER(L461)),Q461,"")</f>
        <v/>
      </c>
      <c r="AA461">
        <f>IF(AND(Q461&lt;&gt;"",ISNUMBER(M461)),Q461,"")</f>
        <v/>
      </c>
      <c r="AB461">
        <f>IF(AND(Q461&lt;&gt;"",ISNUMBER(K461)),K461,"")</f>
        <v/>
      </c>
      <c r="AC461">
        <f>IF(AND(Q461&lt;&gt;"",ISNUMBER(L461)),L461,"")</f>
        <v/>
      </c>
      <c r="AD461">
        <f>IF(AND(Q461&lt;&gt;"",ISNUMBER(M461)),M461,"")</f>
        <v/>
      </c>
    </row>
    <row r="462">
      <c r="A462" s="1" t="n"/>
      <c r="B462" s="17" t="n"/>
      <c r="C462" s="27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9" t="n"/>
      <c r="N462" s="21" t="n"/>
      <c r="O462" s="12">
        <f>IF(AND(B462="",C462=""),"",IF(NOT(ISNUMBER(B462)),"Needs a date",IF(C462="","Needs a client",IF(COUNTIF(Clients!$B$6:$B$105,C462)=0,"Not on Clients",IF(COUNT(D462:M462)=0,"Nothing measured","")))))</f>
        <v/>
      </c>
      <c r="P462" s="1">
        <f>IF(AND(O462="",ISNUMBER(B462)),INT(B462),0)</f>
        <v/>
      </c>
      <c r="Q462">
        <f>IF(AND(P462&gt;0,C462=Report!$C$5),P462*10000+ROW(),"")</f>
        <v/>
      </c>
      <c r="R462">
        <f>IF(AND(Q462&lt;&gt;"",ISNUMBER(D462)),Q462,"")</f>
        <v/>
      </c>
      <c r="S462">
        <f>IF(AND(Q462&lt;&gt;"",ISNUMBER(E462)),Q462,"")</f>
        <v/>
      </c>
      <c r="T462">
        <f>IF(AND(Q462&lt;&gt;"",ISNUMBER(F462)),Q462,"")</f>
        <v/>
      </c>
      <c r="U462">
        <f>IF(AND(Q462&lt;&gt;"",ISNUMBER(G462)),Q462,"")</f>
        <v/>
      </c>
      <c r="V462">
        <f>IF(AND(Q462&lt;&gt;"",ISNUMBER(H462)),Q462,"")</f>
        <v/>
      </c>
      <c r="W462">
        <f>IF(AND(Q462&lt;&gt;"",ISNUMBER(I462)),Q462,"")</f>
        <v/>
      </c>
      <c r="X462">
        <f>IF(AND(Q462&lt;&gt;"",ISNUMBER(J462)),Q462,"")</f>
        <v/>
      </c>
      <c r="Y462">
        <f>IF(AND(Q462&lt;&gt;"",ISNUMBER(K462)),Q462,"")</f>
        <v/>
      </c>
      <c r="Z462">
        <f>IF(AND(Q462&lt;&gt;"",ISNUMBER(L462)),Q462,"")</f>
        <v/>
      </c>
      <c r="AA462">
        <f>IF(AND(Q462&lt;&gt;"",ISNUMBER(M462)),Q462,"")</f>
        <v/>
      </c>
      <c r="AB462">
        <f>IF(AND(Q462&lt;&gt;"",ISNUMBER(K462)),K462,"")</f>
        <v/>
      </c>
      <c r="AC462">
        <f>IF(AND(Q462&lt;&gt;"",ISNUMBER(L462)),L462,"")</f>
        <v/>
      </c>
      <c r="AD462">
        <f>IF(AND(Q462&lt;&gt;"",ISNUMBER(M462)),M462,"")</f>
        <v/>
      </c>
    </row>
    <row r="463">
      <c r="A463" s="1" t="n"/>
      <c r="B463" s="17" t="n"/>
      <c r="C463" s="27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9" t="n"/>
      <c r="N463" s="21" t="n"/>
      <c r="O463" s="12">
        <f>IF(AND(B463="",C463=""),"",IF(NOT(ISNUMBER(B463)),"Needs a date",IF(C463="","Needs a client",IF(COUNTIF(Clients!$B$6:$B$105,C463)=0,"Not on Clients",IF(COUNT(D463:M463)=0,"Nothing measured","")))))</f>
        <v/>
      </c>
      <c r="P463" s="1">
        <f>IF(AND(O463="",ISNUMBER(B463)),INT(B463),0)</f>
        <v/>
      </c>
      <c r="Q463">
        <f>IF(AND(P463&gt;0,C463=Report!$C$5),P463*10000+ROW(),"")</f>
        <v/>
      </c>
      <c r="R463">
        <f>IF(AND(Q463&lt;&gt;"",ISNUMBER(D463)),Q463,"")</f>
        <v/>
      </c>
      <c r="S463">
        <f>IF(AND(Q463&lt;&gt;"",ISNUMBER(E463)),Q463,"")</f>
        <v/>
      </c>
      <c r="T463">
        <f>IF(AND(Q463&lt;&gt;"",ISNUMBER(F463)),Q463,"")</f>
        <v/>
      </c>
      <c r="U463">
        <f>IF(AND(Q463&lt;&gt;"",ISNUMBER(G463)),Q463,"")</f>
        <v/>
      </c>
      <c r="V463">
        <f>IF(AND(Q463&lt;&gt;"",ISNUMBER(H463)),Q463,"")</f>
        <v/>
      </c>
      <c r="W463">
        <f>IF(AND(Q463&lt;&gt;"",ISNUMBER(I463)),Q463,"")</f>
        <v/>
      </c>
      <c r="X463">
        <f>IF(AND(Q463&lt;&gt;"",ISNUMBER(J463)),Q463,"")</f>
        <v/>
      </c>
      <c r="Y463">
        <f>IF(AND(Q463&lt;&gt;"",ISNUMBER(K463)),Q463,"")</f>
        <v/>
      </c>
      <c r="Z463">
        <f>IF(AND(Q463&lt;&gt;"",ISNUMBER(L463)),Q463,"")</f>
        <v/>
      </c>
      <c r="AA463">
        <f>IF(AND(Q463&lt;&gt;"",ISNUMBER(M463)),Q463,"")</f>
        <v/>
      </c>
      <c r="AB463">
        <f>IF(AND(Q463&lt;&gt;"",ISNUMBER(K463)),K463,"")</f>
        <v/>
      </c>
      <c r="AC463">
        <f>IF(AND(Q463&lt;&gt;"",ISNUMBER(L463)),L463,"")</f>
        <v/>
      </c>
      <c r="AD463">
        <f>IF(AND(Q463&lt;&gt;"",ISNUMBER(M463)),M463,"")</f>
        <v/>
      </c>
    </row>
    <row r="464">
      <c r="A464" s="1" t="n"/>
      <c r="B464" s="17" t="n"/>
      <c r="C464" s="27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9" t="n"/>
      <c r="N464" s="21" t="n"/>
      <c r="O464" s="12">
        <f>IF(AND(B464="",C464=""),"",IF(NOT(ISNUMBER(B464)),"Needs a date",IF(C464="","Needs a client",IF(COUNTIF(Clients!$B$6:$B$105,C464)=0,"Not on Clients",IF(COUNT(D464:M464)=0,"Nothing measured","")))))</f>
        <v/>
      </c>
      <c r="P464" s="1">
        <f>IF(AND(O464="",ISNUMBER(B464)),INT(B464),0)</f>
        <v/>
      </c>
      <c r="Q464">
        <f>IF(AND(P464&gt;0,C464=Report!$C$5),P464*10000+ROW(),"")</f>
        <v/>
      </c>
      <c r="R464">
        <f>IF(AND(Q464&lt;&gt;"",ISNUMBER(D464)),Q464,"")</f>
        <v/>
      </c>
      <c r="S464">
        <f>IF(AND(Q464&lt;&gt;"",ISNUMBER(E464)),Q464,"")</f>
        <v/>
      </c>
      <c r="T464">
        <f>IF(AND(Q464&lt;&gt;"",ISNUMBER(F464)),Q464,"")</f>
        <v/>
      </c>
      <c r="U464">
        <f>IF(AND(Q464&lt;&gt;"",ISNUMBER(G464)),Q464,"")</f>
        <v/>
      </c>
      <c r="V464">
        <f>IF(AND(Q464&lt;&gt;"",ISNUMBER(H464)),Q464,"")</f>
        <v/>
      </c>
      <c r="W464">
        <f>IF(AND(Q464&lt;&gt;"",ISNUMBER(I464)),Q464,"")</f>
        <v/>
      </c>
      <c r="X464">
        <f>IF(AND(Q464&lt;&gt;"",ISNUMBER(J464)),Q464,"")</f>
        <v/>
      </c>
      <c r="Y464">
        <f>IF(AND(Q464&lt;&gt;"",ISNUMBER(K464)),Q464,"")</f>
        <v/>
      </c>
      <c r="Z464">
        <f>IF(AND(Q464&lt;&gt;"",ISNUMBER(L464)),Q464,"")</f>
        <v/>
      </c>
      <c r="AA464">
        <f>IF(AND(Q464&lt;&gt;"",ISNUMBER(M464)),Q464,"")</f>
        <v/>
      </c>
      <c r="AB464">
        <f>IF(AND(Q464&lt;&gt;"",ISNUMBER(K464)),K464,"")</f>
        <v/>
      </c>
      <c r="AC464">
        <f>IF(AND(Q464&lt;&gt;"",ISNUMBER(L464)),L464,"")</f>
        <v/>
      </c>
      <c r="AD464">
        <f>IF(AND(Q464&lt;&gt;"",ISNUMBER(M464)),M464,"")</f>
        <v/>
      </c>
    </row>
    <row r="465">
      <c r="A465" s="1" t="n"/>
      <c r="B465" s="17" t="n"/>
      <c r="C465" s="27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9" t="n"/>
      <c r="N465" s="21" t="n"/>
      <c r="O465" s="12">
        <f>IF(AND(B465="",C465=""),"",IF(NOT(ISNUMBER(B465)),"Needs a date",IF(C465="","Needs a client",IF(COUNTIF(Clients!$B$6:$B$105,C465)=0,"Not on Clients",IF(COUNT(D465:M465)=0,"Nothing measured","")))))</f>
        <v/>
      </c>
      <c r="P465" s="1">
        <f>IF(AND(O465="",ISNUMBER(B465)),INT(B465),0)</f>
        <v/>
      </c>
      <c r="Q465">
        <f>IF(AND(P465&gt;0,C465=Report!$C$5),P465*10000+ROW(),"")</f>
        <v/>
      </c>
      <c r="R465">
        <f>IF(AND(Q465&lt;&gt;"",ISNUMBER(D465)),Q465,"")</f>
        <v/>
      </c>
      <c r="S465">
        <f>IF(AND(Q465&lt;&gt;"",ISNUMBER(E465)),Q465,"")</f>
        <v/>
      </c>
      <c r="T465">
        <f>IF(AND(Q465&lt;&gt;"",ISNUMBER(F465)),Q465,"")</f>
        <v/>
      </c>
      <c r="U465">
        <f>IF(AND(Q465&lt;&gt;"",ISNUMBER(G465)),Q465,"")</f>
        <v/>
      </c>
      <c r="V465">
        <f>IF(AND(Q465&lt;&gt;"",ISNUMBER(H465)),Q465,"")</f>
        <v/>
      </c>
      <c r="W465">
        <f>IF(AND(Q465&lt;&gt;"",ISNUMBER(I465)),Q465,"")</f>
        <v/>
      </c>
      <c r="X465">
        <f>IF(AND(Q465&lt;&gt;"",ISNUMBER(J465)),Q465,"")</f>
        <v/>
      </c>
      <c r="Y465">
        <f>IF(AND(Q465&lt;&gt;"",ISNUMBER(K465)),Q465,"")</f>
        <v/>
      </c>
      <c r="Z465">
        <f>IF(AND(Q465&lt;&gt;"",ISNUMBER(L465)),Q465,"")</f>
        <v/>
      </c>
      <c r="AA465">
        <f>IF(AND(Q465&lt;&gt;"",ISNUMBER(M465)),Q465,"")</f>
        <v/>
      </c>
      <c r="AB465">
        <f>IF(AND(Q465&lt;&gt;"",ISNUMBER(K465)),K465,"")</f>
        <v/>
      </c>
      <c r="AC465">
        <f>IF(AND(Q465&lt;&gt;"",ISNUMBER(L465)),L465,"")</f>
        <v/>
      </c>
      <c r="AD465">
        <f>IF(AND(Q465&lt;&gt;"",ISNUMBER(M465)),M465,"")</f>
        <v/>
      </c>
    </row>
    <row r="466">
      <c r="A466" s="1" t="n"/>
      <c r="B466" s="17" t="n"/>
      <c r="C466" s="27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9" t="n"/>
      <c r="N466" s="21" t="n"/>
      <c r="O466" s="12">
        <f>IF(AND(B466="",C466=""),"",IF(NOT(ISNUMBER(B466)),"Needs a date",IF(C466="","Needs a client",IF(COUNTIF(Clients!$B$6:$B$105,C466)=0,"Not on Clients",IF(COUNT(D466:M466)=0,"Nothing measured","")))))</f>
        <v/>
      </c>
      <c r="P466" s="1">
        <f>IF(AND(O466="",ISNUMBER(B466)),INT(B466),0)</f>
        <v/>
      </c>
      <c r="Q466">
        <f>IF(AND(P466&gt;0,C466=Report!$C$5),P466*10000+ROW(),"")</f>
        <v/>
      </c>
      <c r="R466">
        <f>IF(AND(Q466&lt;&gt;"",ISNUMBER(D466)),Q466,"")</f>
        <v/>
      </c>
      <c r="S466">
        <f>IF(AND(Q466&lt;&gt;"",ISNUMBER(E466)),Q466,"")</f>
        <v/>
      </c>
      <c r="T466">
        <f>IF(AND(Q466&lt;&gt;"",ISNUMBER(F466)),Q466,"")</f>
        <v/>
      </c>
      <c r="U466">
        <f>IF(AND(Q466&lt;&gt;"",ISNUMBER(G466)),Q466,"")</f>
        <v/>
      </c>
      <c r="V466">
        <f>IF(AND(Q466&lt;&gt;"",ISNUMBER(H466)),Q466,"")</f>
        <v/>
      </c>
      <c r="W466">
        <f>IF(AND(Q466&lt;&gt;"",ISNUMBER(I466)),Q466,"")</f>
        <v/>
      </c>
      <c r="X466">
        <f>IF(AND(Q466&lt;&gt;"",ISNUMBER(J466)),Q466,"")</f>
        <v/>
      </c>
      <c r="Y466">
        <f>IF(AND(Q466&lt;&gt;"",ISNUMBER(K466)),Q466,"")</f>
        <v/>
      </c>
      <c r="Z466">
        <f>IF(AND(Q466&lt;&gt;"",ISNUMBER(L466)),Q466,"")</f>
        <v/>
      </c>
      <c r="AA466">
        <f>IF(AND(Q466&lt;&gt;"",ISNUMBER(M466)),Q466,"")</f>
        <v/>
      </c>
      <c r="AB466">
        <f>IF(AND(Q466&lt;&gt;"",ISNUMBER(K466)),K466,"")</f>
        <v/>
      </c>
      <c r="AC466">
        <f>IF(AND(Q466&lt;&gt;"",ISNUMBER(L466)),L466,"")</f>
        <v/>
      </c>
      <c r="AD466">
        <f>IF(AND(Q466&lt;&gt;"",ISNUMBER(M466)),M466,"")</f>
        <v/>
      </c>
    </row>
    <row r="467">
      <c r="A467" s="1" t="n"/>
      <c r="B467" s="17" t="n"/>
      <c r="C467" s="27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9" t="n"/>
      <c r="N467" s="21" t="n"/>
      <c r="O467" s="12">
        <f>IF(AND(B467="",C467=""),"",IF(NOT(ISNUMBER(B467)),"Needs a date",IF(C467="","Needs a client",IF(COUNTIF(Clients!$B$6:$B$105,C467)=0,"Not on Clients",IF(COUNT(D467:M467)=0,"Nothing measured","")))))</f>
        <v/>
      </c>
      <c r="P467" s="1">
        <f>IF(AND(O467="",ISNUMBER(B467)),INT(B467),0)</f>
        <v/>
      </c>
      <c r="Q467">
        <f>IF(AND(P467&gt;0,C467=Report!$C$5),P467*10000+ROW(),"")</f>
        <v/>
      </c>
      <c r="R467">
        <f>IF(AND(Q467&lt;&gt;"",ISNUMBER(D467)),Q467,"")</f>
        <v/>
      </c>
      <c r="S467">
        <f>IF(AND(Q467&lt;&gt;"",ISNUMBER(E467)),Q467,"")</f>
        <v/>
      </c>
      <c r="T467">
        <f>IF(AND(Q467&lt;&gt;"",ISNUMBER(F467)),Q467,"")</f>
        <v/>
      </c>
      <c r="U467">
        <f>IF(AND(Q467&lt;&gt;"",ISNUMBER(G467)),Q467,"")</f>
        <v/>
      </c>
      <c r="V467">
        <f>IF(AND(Q467&lt;&gt;"",ISNUMBER(H467)),Q467,"")</f>
        <v/>
      </c>
      <c r="W467">
        <f>IF(AND(Q467&lt;&gt;"",ISNUMBER(I467)),Q467,"")</f>
        <v/>
      </c>
      <c r="X467">
        <f>IF(AND(Q467&lt;&gt;"",ISNUMBER(J467)),Q467,"")</f>
        <v/>
      </c>
      <c r="Y467">
        <f>IF(AND(Q467&lt;&gt;"",ISNUMBER(K467)),Q467,"")</f>
        <v/>
      </c>
      <c r="Z467">
        <f>IF(AND(Q467&lt;&gt;"",ISNUMBER(L467)),Q467,"")</f>
        <v/>
      </c>
      <c r="AA467">
        <f>IF(AND(Q467&lt;&gt;"",ISNUMBER(M467)),Q467,"")</f>
        <v/>
      </c>
      <c r="AB467">
        <f>IF(AND(Q467&lt;&gt;"",ISNUMBER(K467)),K467,"")</f>
        <v/>
      </c>
      <c r="AC467">
        <f>IF(AND(Q467&lt;&gt;"",ISNUMBER(L467)),L467,"")</f>
        <v/>
      </c>
      <c r="AD467">
        <f>IF(AND(Q467&lt;&gt;"",ISNUMBER(M467)),M467,"")</f>
        <v/>
      </c>
    </row>
    <row r="468">
      <c r="A468" s="1" t="n"/>
      <c r="B468" s="17" t="n"/>
      <c r="C468" s="27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9" t="n"/>
      <c r="N468" s="21" t="n"/>
      <c r="O468" s="12">
        <f>IF(AND(B468="",C468=""),"",IF(NOT(ISNUMBER(B468)),"Needs a date",IF(C468="","Needs a client",IF(COUNTIF(Clients!$B$6:$B$105,C468)=0,"Not on Clients",IF(COUNT(D468:M468)=0,"Nothing measured","")))))</f>
        <v/>
      </c>
      <c r="P468" s="1">
        <f>IF(AND(O468="",ISNUMBER(B468)),INT(B468),0)</f>
        <v/>
      </c>
      <c r="Q468">
        <f>IF(AND(P468&gt;0,C468=Report!$C$5),P468*10000+ROW(),"")</f>
        <v/>
      </c>
      <c r="R468">
        <f>IF(AND(Q468&lt;&gt;"",ISNUMBER(D468)),Q468,"")</f>
        <v/>
      </c>
      <c r="S468">
        <f>IF(AND(Q468&lt;&gt;"",ISNUMBER(E468)),Q468,"")</f>
        <v/>
      </c>
      <c r="T468">
        <f>IF(AND(Q468&lt;&gt;"",ISNUMBER(F468)),Q468,"")</f>
        <v/>
      </c>
      <c r="U468">
        <f>IF(AND(Q468&lt;&gt;"",ISNUMBER(G468)),Q468,"")</f>
        <v/>
      </c>
      <c r="V468">
        <f>IF(AND(Q468&lt;&gt;"",ISNUMBER(H468)),Q468,"")</f>
        <v/>
      </c>
      <c r="W468">
        <f>IF(AND(Q468&lt;&gt;"",ISNUMBER(I468)),Q468,"")</f>
        <v/>
      </c>
      <c r="X468">
        <f>IF(AND(Q468&lt;&gt;"",ISNUMBER(J468)),Q468,"")</f>
        <v/>
      </c>
      <c r="Y468">
        <f>IF(AND(Q468&lt;&gt;"",ISNUMBER(K468)),Q468,"")</f>
        <v/>
      </c>
      <c r="Z468">
        <f>IF(AND(Q468&lt;&gt;"",ISNUMBER(L468)),Q468,"")</f>
        <v/>
      </c>
      <c r="AA468">
        <f>IF(AND(Q468&lt;&gt;"",ISNUMBER(M468)),Q468,"")</f>
        <v/>
      </c>
      <c r="AB468">
        <f>IF(AND(Q468&lt;&gt;"",ISNUMBER(K468)),K468,"")</f>
        <v/>
      </c>
      <c r="AC468">
        <f>IF(AND(Q468&lt;&gt;"",ISNUMBER(L468)),L468,"")</f>
        <v/>
      </c>
      <c r="AD468">
        <f>IF(AND(Q468&lt;&gt;"",ISNUMBER(M468)),M468,"")</f>
        <v/>
      </c>
    </row>
    <row r="469">
      <c r="A469" s="1" t="n"/>
      <c r="B469" s="17" t="n"/>
      <c r="C469" s="27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9" t="n"/>
      <c r="N469" s="21" t="n"/>
      <c r="O469" s="12">
        <f>IF(AND(B469="",C469=""),"",IF(NOT(ISNUMBER(B469)),"Needs a date",IF(C469="","Needs a client",IF(COUNTIF(Clients!$B$6:$B$105,C469)=0,"Not on Clients",IF(COUNT(D469:M469)=0,"Nothing measured","")))))</f>
        <v/>
      </c>
      <c r="P469" s="1">
        <f>IF(AND(O469="",ISNUMBER(B469)),INT(B469),0)</f>
        <v/>
      </c>
      <c r="Q469">
        <f>IF(AND(P469&gt;0,C469=Report!$C$5),P469*10000+ROW(),"")</f>
        <v/>
      </c>
      <c r="R469">
        <f>IF(AND(Q469&lt;&gt;"",ISNUMBER(D469)),Q469,"")</f>
        <v/>
      </c>
      <c r="S469">
        <f>IF(AND(Q469&lt;&gt;"",ISNUMBER(E469)),Q469,"")</f>
        <v/>
      </c>
      <c r="T469">
        <f>IF(AND(Q469&lt;&gt;"",ISNUMBER(F469)),Q469,"")</f>
        <v/>
      </c>
      <c r="U469">
        <f>IF(AND(Q469&lt;&gt;"",ISNUMBER(G469)),Q469,"")</f>
        <v/>
      </c>
      <c r="V469">
        <f>IF(AND(Q469&lt;&gt;"",ISNUMBER(H469)),Q469,"")</f>
        <v/>
      </c>
      <c r="W469">
        <f>IF(AND(Q469&lt;&gt;"",ISNUMBER(I469)),Q469,"")</f>
        <v/>
      </c>
      <c r="X469">
        <f>IF(AND(Q469&lt;&gt;"",ISNUMBER(J469)),Q469,"")</f>
        <v/>
      </c>
      <c r="Y469">
        <f>IF(AND(Q469&lt;&gt;"",ISNUMBER(K469)),Q469,"")</f>
        <v/>
      </c>
      <c r="Z469">
        <f>IF(AND(Q469&lt;&gt;"",ISNUMBER(L469)),Q469,"")</f>
        <v/>
      </c>
      <c r="AA469">
        <f>IF(AND(Q469&lt;&gt;"",ISNUMBER(M469)),Q469,"")</f>
        <v/>
      </c>
      <c r="AB469">
        <f>IF(AND(Q469&lt;&gt;"",ISNUMBER(K469)),K469,"")</f>
        <v/>
      </c>
      <c r="AC469">
        <f>IF(AND(Q469&lt;&gt;"",ISNUMBER(L469)),L469,"")</f>
        <v/>
      </c>
      <c r="AD469">
        <f>IF(AND(Q469&lt;&gt;"",ISNUMBER(M469)),M469,"")</f>
        <v/>
      </c>
    </row>
    <row r="470">
      <c r="A470" s="1" t="n"/>
      <c r="B470" s="17" t="n"/>
      <c r="C470" s="27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9" t="n"/>
      <c r="N470" s="21" t="n"/>
      <c r="O470" s="12">
        <f>IF(AND(B470="",C470=""),"",IF(NOT(ISNUMBER(B470)),"Needs a date",IF(C470="","Needs a client",IF(COUNTIF(Clients!$B$6:$B$105,C470)=0,"Not on Clients",IF(COUNT(D470:M470)=0,"Nothing measured","")))))</f>
        <v/>
      </c>
      <c r="P470" s="1">
        <f>IF(AND(O470="",ISNUMBER(B470)),INT(B470),0)</f>
        <v/>
      </c>
      <c r="Q470">
        <f>IF(AND(P470&gt;0,C470=Report!$C$5),P470*10000+ROW(),"")</f>
        <v/>
      </c>
      <c r="R470">
        <f>IF(AND(Q470&lt;&gt;"",ISNUMBER(D470)),Q470,"")</f>
        <v/>
      </c>
      <c r="S470">
        <f>IF(AND(Q470&lt;&gt;"",ISNUMBER(E470)),Q470,"")</f>
        <v/>
      </c>
      <c r="T470">
        <f>IF(AND(Q470&lt;&gt;"",ISNUMBER(F470)),Q470,"")</f>
        <v/>
      </c>
      <c r="U470">
        <f>IF(AND(Q470&lt;&gt;"",ISNUMBER(G470)),Q470,"")</f>
        <v/>
      </c>
      <c r="V470">
        <f>IF(AND(Q470&lt;&gt;"",ISNUMBER(H470)),Q470,"")</f>
        <v/>
      </c>
      <c r="W470">
        <f>IF(AND(Q470&lt;&gt;"",ISNUMBER(I470)),Q470,"")</f>
        <v/>
      </c>
      <c r="X470">
        <f>IF(AND(Q470&lt;&gt;"",ISNUMBER(J470)),Q470,"")</f>
        <v/>
      </c>
      <c r="Y470">
        <f>IF(AND(Q470&lt;&gt;"",ISNUMBER(K470)),Q470,"")</f>
        <v/>
      </c>
      <c r="Z470">
        <f>IF(AND(Q470&lt;&gt;"",ISNUMBER(L470)),Q470,"")</f>
        <v/>
      </c>
      <c r="AA470">
        <f>IF(AND(Q470&lt;&gt;"",ISNUMBER(M470)),Q470,"")</f>
        <v/>
      </c>
      <c r="AB470">
        <f>IF(AND(Q470&lt;&gt;"",ISNUMBER(K470)),K470,"")</f>
        <v/>
      </c>
      <c r="AC470">
        <f>IF(AND(Q470&lt;&gt;"",ISNUMBER(L470)),L470,"")</f>
        <v/>
      </c>
      <c r="AD470">
        <f>IF(AND(Q470&lt;&gt;"",ISNUMBER(M470)),M470,"")</f>
        <v/>
      </c>
    </row>
    <row r="471">
      <c r="A471" s="1" t="n"/>
      <c r="B471" s="17" t="n"/>
      <c r="C471" s="27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9" t="n"/>
      <c r="N471" s="21" t="n"/>
      <c r="O471" s="12">
        <f>IF(AND(B471="",C471=""),"",IF(NOT(ISNUMBER(B471)),"Needs a date",IF(C471="","Needs a client",IF(COUNTIF(Clients!$B$6:$B$105,C471)=0,"Not on Clients",IF(COUNT(D471:M471)=0,"Nothing measured","")))))</f>
        <v/>
      </c>
      <c r="P471" s="1">
        <f>IF(AND(O471="",ISNUMBER(B471)),INT(B471),0)</f>
        <v/>
      </c>
      <c r="Q471">
        <f>IF(AND(P471&gt;0,C471=Report!$C$5),P471*10000+ROW(),"")</f>
        <v/>
      </c>
      <c r="R471">
        <f>IF(AND(Q471&lt;&gt;"",ISNUMBER(D471)),Q471,"")</f>
        <v/>
      </c>
      <c r="S471">
        <f>IF(AND(Q471&lt;&gt;"",ISNUMBER(E471)),Q471,"")</f>
        <v/>
      </c>
      <c r="T471">
        <f>IF(AND(Q471&lt;&gt;"",ISNUMBER(F471)),Q471,"")</f>
        <v/>
      </c>
      <c r="U471">
        <f>IF(AND(Q471&lt;&gt;"",ISNUMBER(G471)),Q471,"")</f>
        <v/>
      </c>
      <c r="V471">
        <f>IF(AND(Q471&lt;&gt;"",ISNUMBER(H471)),Q471,"")</f>
        <v/>
      </c>
      <c r="W471">
        <f>IF(AND(Q471&lt;&gt;"",ISNUMBER(I471)),Q471,"")</f>
        <v/>
      </c>
      <c r="X471">
        <f>IF(AND(Q471&lt;&gt;"",ISNUMBER(J471)),Q471,"")</f>
        <v/>
      </c>
      <c r="Y471">
        <f>IF(AND(Q471&lt;&gt;"",ISNUMBER(K471)),Q471,"")</f>
        <v/>
      </c>
      <c r="Z471">
        <f>IF(AND(Q471&lt;&gt;"",ISNUMBER(L471)),Q471,"")</f>
        <v/>
      </c>
      <c r="AA471">
        <f>IF(AND(Q471&lt;&gt;"",ISNUMBER(M471)),Q471,"")</f>
        <v/>
      </c>
      <c r="AB471">
        <f>IF(AND(Q471&lt;&gt;"",ISNUMBER(K471)),K471,"")</f>
        <v/>
      </c>
      <c r="AC471">
        <f>IF(AND(Q471&lt;&gt;"",ISNUMBER(L471)),L471,"")</f>
        <v/>
      </c>
      <c r="AD471">
        <f>IF(AND(Q471&lt;&gt;"",ISNUMBER(M471)),M471,"")</f>
        <v/>
      </c>
    </row>
    <row r="472">
      <c r="A472" s="1" t="n"/>
      <c r="B472" s="17" t="n"/>
      <c r="C472" s="27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9" t="n"/>
      <c r="N472" s="21" t="n"/>
      <c r="O472" s="12">
        <f>IF(AND(B472="",C472=""),"",IF(NOT(ISNUMBER(B472)),"Needs a date",IF(C472="","Needs a client",IF(COUNTIF(Clients!$B$6:$B$105,C472)=0,"Not on Clients",IF(COUNT(D472:M472)=0,"Nothing measured","")))))</f>
        <v/>
      </c>
      <c r="P472" s="1">
        <f>IF(AND(O472="",ISNUMBER(B472)),INT(B472),0)</f>
        <v/>
      </c>
      <c r="Q472">
        <f>IF(AND(P472&gt;0,C472=Report!$C$5),P472*10000+ROW(),"")</f>
        <v/>
      </c>
      <c r="R472">
        <f>IF(AND(Q472&lt;&gt;"",ISNUMBER(D472)),Q472,"")</f>
        <v/>
      </c>
      <c r="S472">
        <f>IF(AND(Q472&lt;&gt;"",ISNUMBER(E472)),Q472,"")</f>
        <v/>
      </c>
      <c r="T472">
        <f>IF(AND(Q472&lt;&gt;"",ISNUMBER(F472)),Q472,"")</f>
        <v/>
      </c>
      <c r="U472">
        <f>IF(AND(Q472&lt;&gt;"",ISNUMBER(G472)),Q472,"")</f>
        <v/>
      </c>
      <c r="V472">
        <f>IF(AND(Q472&lt;&gt;"",ISNUMBER(H472)),Q472,"")</f>
        <v/>
      </c>
      <c r="W472">
        <f>IF(AND(Q472&lt;&gt;"",ISNUMBER(I472)),Q472,"")</f>
        <v/>
      </c>
      <c r="X472">
        <f>IF(AND(Q472&lt;&gt;"",ISNUMBER(J472)),Q472,"")</f>
        <v/>
      </c>
      <c r="Y472">
        <f>IF(AND(Q472&lt;&gt;"",ISNUMBER(K472)),Q472,"")</f>
        <v/>
      </c>
      <c r="Z472">
        <f>IF(AND(Q472&lt;&gt;"",ISNUMBER(L472)),Q472,"")</f>
        <v/>
      </c>
      <c r="AA472">
        <f>IF(AND(Q472&lt;&gt;"",ISNUMBER(M472)),Q472,"")</f>
        <v/>
      </c>
      <c r="AB472">
        <f>IF(AND(Q472&lt;&gt;"",ISNUMBER(K472)),K472,"")</f>
        <v/>
      </c>
      <c r="AC472">
        <f>IF(AND(Q472&lt;&gt;"",ISNUMBER(L472)),L472,"")</f>
        <v/>
      </c>
      <c r="AD472">
        <f>IF(AND(Q472&lt;&gt;"",ISNUMBER(M472)),M472,"")</f>
        <v/>
      </c>
    </row>
    <row r="473">
      <c r="A473" s="1" t="n"/>
      <c r="B473" s="17" t="n"/>
      <c r="C473" s="27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9" t="n"/>
      <c r="N473" s="21" t="n"/>
      <c r="O473" s="12">
        <f>IF(AND(B473="",C473=""),"",IF(NOT(ISNUMBER(B473)),"Needs a date",IF(C473="","Needs a client",IF(COUNTIF(Clients!$B$6:$B$105,C473)=0,"Not on Clients",IF(COUNT(D473:M473)=0,"Nothing measured","")))))</f>
        <v/>
      </c>
      <c r="P473" s="1">
        <f>IF(AND(O473="",ISNUMBER(B473)),INT(B473),0)</f>
        <v/>
      </c>
      <c r="Q473">
        <f>IF(AND(P473&gt;0,C473=Report!$C$5),P473*10000+ROW(),"")</f>
        <v/>
      </c>
      <c r="R473">
        <f>IF(AND(Q473&lt;&gt;"",ISNUMBER(D473)),Q473,"")</f>
        <v/>
      </c>
      <c r="S473">
        <f>IF(AND(Q473&lt;&gt;"",ISNUMBER(E473)),Q473,"")</f>
        <v/>
      </c>
      <c r="T473">
        <f>IF(AND(Q473&lt;&gt;"",ISNUMBER(F473)),Q473,"")</f>
        <v/>
      </c>
      <c r="U473">
        <f>IF(AND(Q473&lt;&gt;"",ISNUMBER(G473)),Q473,"")</f>
        <v/>
      </c>
      <c r="V473">
        <f>IF(AND(Q473&lt;&gt;"",ISNUMBER(H473)),Q473,"")</f>
        <v/>
      </c>
      <c r="W473">
        <f>IF(AND(Q473&lt;&gt;"",ISNUMBER(I473)),Q473,"")</f>
        <v/>
      </c>
      <c r="X473">
        <f>IF(AND(Q473&lt;&gt;"",ISNUMBER(J473)),Q473,"")</f>
        <v/>
      </c>
      <c r="Y473">
        <f>IF(AND(Q473&lt;&gt;"",ISNUMBER(K473)),Q473,"")</f>
        <v/>
      </c>
      <c r="Z473">
        <f>IF(AND(Q473&lt;&gt;"",ISNUMBER(L473)),Q473,"")</f>
        <v/>
      </c>
      <c r="AA473">
        <f>IF(AND(Q473&lt;&gt;"",ISNUMBER(M473)),Q473,"")</f>
        <v/>
      </c>
      <c r="AB473">
        <f>IF(AND(Q473&lt;&gt;"",ISNUMBER(K473)),K473,"")</f>
        <v/>
      </c>
      <c r="AC473">
        <f>IF(AND(Q473&lt;&gt;"",ISNUMBER(L473)),L473,"")</f>
        <v/>
      </c>
      <c r="AD473">
        <f>IF(AND(Q473&lt;&gt;"",ISNUMBER(M473)),M473,"")</f>
        <v/>
      </c>
    </row>
    <row r="474">
      <c r="A474" s="1" t="n"/>
      <c r="B474" s="17" t="n"/>
      <c r="C474" s="27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9" t="n"/>
      <c r="N474" s="21" t="n"/>
      <c r="O474" s="12">
        <f>IF(AND(B474="",C474=""),"",IF(NOT(ISNUMBER(B474)),"Needs a date",IF(C474="","Needs a client",IF(COUNTIF(Clients!$B$6:$B$105,C474)=0,"Not on Clients",IF(COUNT(D474:M474)=0,"Nothing measured","")))))</f>
        <v/>
      </c>
      <c r="P474" s="1">
        <f>IF(AND(O474="",ISNUMBER(B474)),INT(B474),0)</f>
        <v/>
      </c>
      <c r="Q474">
        <f>IF(AND(P474&gt;0,C474=Report!$C$5),P474*10000+ROW(),"")</f>
        <v/>
      </c>
      <c r="R474">
        <f>IF(AND(Q474&lt;&gt;"",ISNUMBER(D474)),Q474,"")</f>
        <v/>
      </c>
      <c r="S474">
        <f>IF(AND(Q474&lt;&gt;"",ISNUMBER(E474)),Q474,"")</f>
        <v/>
      </c>
      <c r="T474">
        <f>IF(AND(Q474&lt;&gt;"",ISNUMBER(F474)),Q474,"")</f>
        <v/>
      </c>
      <c r="U474">
        <f>IF(AND(Q474&lt;&gt;"",ISNUMBER(G474)),Q474,"")</f>
        <v/>
      </c>
      <c r="V474">
        <f>IF(AND(Q474&lt;&gt;"",ISNUMBER(H474)),Q474,"")</f>
        <v/>
      </c>
      <c r="W474">
        <f>IF(AND(Q474&lt;&gt;"",ISNUMBER(I474)),Q474,"")</f>
        <v/>
      </c>
      <c r="X474">
        <f>IF(AND(Q474&lt;&gt;"",ISNUMBER(J474)),Q474,"")</f>
        <v/>
      </c>
      <c r="Y474">
        <f>IF(AND(Q474&lt;&gt;"",ISNUMBER(K474)),Q474,"")</f>
        <v/>
      </c>
      <c r="Z474">
        <f>IF(AND(Q474&lt;&gt;"",ISNUMBER(L474)),Q474,"")</f>
        <v/>
      </c>
      <c r="AA474">
        <f>IF(AND(Q474&lt;&gt;"",ISNUMBER(M474)),Q474,"")</f>
        <v/>
      </c>
      <c r="AB474">
        <f>IF(AND(Q474&lt;&gt;"",ISNUMBER(K474)),K474,"")</f>
        <v/>
      </c>
      <c r="AC474">
        <f>IF(AND(Q474&lt;&gt;"",ISNUMBER(L474)),L474,"")</f>
        <v/>
      </c>
      <c r="AD474">
        <f>IF(AND(Q474&lt;&gt;"",ISNUMBER(M474)),M474,"")</f>
        <v/>
      </c>
    </row>
    <row r="475">
      <c r="A475" s="1" t="n"/>
      <c r="B475" s="17" t="n"/>
      <c r="C475" s="27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9" t="n"/>
      <c r="N475" s="21" t="n"/>
      <c r="O475" s="12">
        <f>IF(AND(B475="",C475=""),"",IF(NOT(ISNUMBER(B475)),"Needs a date",IF(C475="","Needs a client",IF(COUNTIF(Clients!$B$6:$B$105,C475)=0,"Not on Clients",IF(COUNT(D475:M475)=0,"Nothing measured","")))))</f>
        <v/>
      </c>
      <c r="P475" s="1">
        <f>IF(AND(O475="",ISNUMBER(B475)),INT(B475),0)</f>
        <v/>
      </c>
      <c r="Q475">
        <f>IF(AND(P475&gt;0,C475=Report!$C$5),P475*10000+ROW(),"")</f>
        <v/>
      </c>
      <c r="R475">
        <f>IF(AND(Q475&lt;&gt;"",ISNUMBER(D475)),Q475,"")</f>
        <v/>
      </c>
      <c r="S475">
        <f>IF(AND(Q475&lt;&gt;"",ISNUMBER(E475)),Q475,"")</f>
        <v/>
      </c>
      <c r="T475">
        <f>IF(AND(Q475&lt;&gt;"",ISNUMBER(F475)),Q475,"")</f>
        <v/>
      </c>
      <c r="U475">
        <f>IF(AND(Q475&lt;&gt;"",ISNUMBER(G475)),Q475,"")</f>
        <v/>
      </c>
      <c r="V475">
        <f>IF(AND(Q475&lt;&gt;"",ISNUMBER(H475)),Q475,"")</f>
        <v/>
      </c>
      <c r="W475">
        <f>IF(AND(Q475&lt;&gt;"",ISNUMBER(I475)),Q475,"")</f>
        <v/>
      </c>
      <c r="X475">
        <f>IF(AND(Q475&lt;&gt;"",ISNUMBER(J475)),Q475,"")</f>
        <v/>
      </c>
      <c r="Y475">
        <f>IF(AND(Q475&lt;&gt;"",ISNUMBER(K475)),Q475,"")</f>
        <v/>
      </c>
      <c r="Z475">
        <f>IF(AND(Q475&lt;&gt;"",ISNUMBER(L475)),Q475,"")</f>
        <v/>
      </c>
      <c r="AA475">
        <f>IF(AND(Q475&lt;&gt;"",ISNUMBER(M475)),Q475,"")</f>
        <v/>
      </c>
      <c r="AB475">
        <f>IF(AND(Q475&lt;&gt;"",ISNUMBER(K475)),K475,"")</f>
        <v/>
      </c>
      <c r="AC475">
        <f>IF(AND(Q475&lt;&gt;"",ISNUMBER(L475)),L475,"")</f>
        <v/>
      </c>
      <c r="AD475">
        <f>IF(AND(Q475&lt;&gt;"",ISNUMBER(M475)),M475,"")</f>
        <v/>
      </c>
    </row>
    <row r="476">
      <c r="A476" s="1" t="n"/>
      <c r="B476" s="17" t="n"/>
      <c r="C476" s="27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9" t="n"/>
      <c r="N476" s="21" t="n"/>
      <c r="O476" s="12">
        <f>IF(AND(B476="",C476=""),"",IF(NOT(ISNUMBER(B476)),"Needs a date",IF(C476="","Needs a client",IF(COUNTIF(Clients!$B$6:$B$105,C476)=0,"Not on Clients",IF(COUNT(D476:M476)=0,"Nothing measured","")))))</f>
        <v/>
      </c>
      <c r="P476" s="1">
        <f>IF(AND(O476="",ISNUMBER(B476)),INT(B476),0)</f>
        <v/>
      </c>
      <c r="Q476">
        <f>IF(AND(P476&gt;0,C476=Report!$C$5),P476*10000+ROW(),"")</f>
        <v/>
      </c>
      <c r="R476">
        <f>IF(AND(Q476&lt;&gt;"",ISNUMBER(D476)),Q476,"")</f>
        <v/>
      </c>
      <c r="S476">
        <f>IF(AND(Q476&lt;&gt;"",ISNUMBER(E476)),Q476,"")</f>
        <v/>
      </c>
      <c r="T476">
        <f>IF(AND(Q476&lt;&gt;"",ISNUMBER(F476)),Q476,"")</f>
        <v/>
      </c>
      <c r="U476">
        <f>IF(AND(Q476&lt;&gt;"",ISNUMBER(G476)),Q476,"")</f>
        <v/>
      </c>
      <c r="V476">
        <f>IF(AND(Q476&lt;&gt;"",ISNUMBER(H476)),Q476,"")</f>
        <v/>
      </c>
      <c r="W476">
        <f>IF(AND(Q476&lt;&gt;"",ISNUMBER(I476)),Q476,"")</f>
        <v/>
      </c>
      <c r="X476">
        <f>IF(AND(Q476&lt;&gt;"",ISNUMBER(J476)),Q476,"")</f>
        <v/>
      </c>
      <c r="Y476">
        <f>IF(AND(Q476&lt;&gt;"",ISNUMBER(K476)),Q476,"")</f>
        <v/>
      </c>
      <c r="Z476">
        <f>IF(AND(Q476&lt;&gt;"",ISNUMBER(L476)),Q476,"")</f>
        <v/>
      </c>
      <c r="AA476">
        <f>IF(AND(Q476&lt;&gt;"",ISNUMBER(M476)),Q476,"")</f>
        <v/>
      </c>
      <c r="AB476">
        <f>IF(AND(Q476&lt;&gt;"",ISNUMBER(K476)),K476,"")</f>
        <v/>
      </c>
      <c r="AC476">
        <f>IF(AND(Q476&lt;&gt;"",ISNUMBER(L476)),L476,"")</f>
        <v/>
      </c>
      <c r="AD476">
        <f>IF(AND(Q476&lt;&gt;"",ISNUMBER(M476)),M476,"")</f>
        <v/>
      </c>
    </row>
    <row r="477">
      <c r="A477" s="1" t="n"/>
      <c r="B477" s="17" t="n"/>
      <c r="C477" s="27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9" t="n"/>
      <c r="N477" s="21" t="n"/>
      <c r="O477" s="12">
        <f>IF(AND(B477="",C477=""),"",IF(NOT(ISNUMBER(B477)),"Needs a date",IF(C477="","Needs a client",IF(COUNTIF(Clients!$B$6:$B$105,C477)=0,"Not on Clients",IF(COUNT(D477:M477)=0,"Nothing measured","")))))</f>
        <v/>
      </c>
      <c r="P477" s="1">
        <f>IF(AND(O477="",ISNUMBER(B477)),INT(B477),0)</f>
        <v/>
      </c>
      <c r="Q477">
        <f>IF(AND(P477&gt;0,C477=Report!$C$5),P477*10000+ROW(),"")</f>
        <v/>
      </c>
      <c r="R477">
        <f>IF(AND(Q477&lt;&gt;"",ISNUMBER(D477)),Q477,"")</f>
        <v/>
      </c>
      <c r="S477">
        <f>IF(AND(Q477&lt;&gt;"",ISNUMBER(E477)),Q477,"")</f>
        <v/>
      </c>
      <c r="T477">
        <f>IF(AND(Q477&lt;&gt;"",ISNUMBER(F477)),Q477,"")</f>
        <v/>
      </c>
      <c r="U477">
        <f>IF(AND(Q477&lt;&gt;"",ISNUMBER(G477)),Q477,"")</f>
        <v/>
      </c>
      <c r="V477">
        <f>IF(AND(Q477&lt;&gt;"",ISNUMBER(H477)),Q477,"")</f>
        <v/>
      </c>
      <c r="W477">
        <f>IF(AND(Q477&lt;&gt;"",ISNUMBER(I477)),Q477,"")</f>
        <v/>
      </c>
      <c r="X477">
        <f>IF(AND(Q477&lt;&gt;"",ISNUMBER(J477)),Q477,"")</f>
        <v/>
      </c>
      <c r="Y477">
        <f>IF(AND(Q477&lt;&gt;"",ISNUMBER(K477)),Q477,"")</f>
        <v/>
      </c>
      <c r="Z477">
        <f>IF(AND(Q477&lt;&gt;"",ISNUMBER(L477)),Q477,"")</f>
        <v/>
      </c>
      <c r="AA477">
        <f>IF(AND(Q477&lt;&gt;"",ISNUMBER(M477)),Q477,"")</f>
        <v/>
      </c>
      <c r="AB477">
        <f>IF(AND(Q477&lt;&gt;"",ISNUMBER(K477)),K477,"")</f>
        <v/>
      </c>
      <c r="AC477">
        <f>IF(AND(Q477&lt;&gt;"",ISNUMBER(L477)),L477,"")</f>
        <v/>
      </c>
      <c r="AD477">
        <f>IF(AND(Q477&lt;&gt;"",ISNUMBER(M477)),M477,"")</f>
        <v/>
      </c>
    </row>
    <row r="478">
      <c r="A478" s="1" t="n"/>
      <c r="B478" s="17" t="n"/>
      <c r="C478" s="27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9" t="n"/>
      <c r="N478" s="21" t="n"/>
      <c r="O478" s="12">
        <f>IF(AND(B478="",C478=""),"",IF(NOT(ISNUMBER(B478)),"Needs a date",IF(C478="","Needs a client",IF(COUNTIF(Clients!$B$6:$B$105,C478)=0,"Not on Clients",IF(COUNT(D478:M478)=0,"Nothing measured","")))))</f>
        <v/>
      </c>
      <c r="P478" s="1">
        <f>IF(AND(O478="",ISNUMBER(B478)),INT(B478),0)</f>
        <v/>
      </c>
      <c r="Q478">
        <f>IF(AND(P478&gt;0,C478=Report!$C$5),P478*10000+ROW(),"")</f>
        <v/>
      </c>
      <c r="R478">
        <f>IF(AND(Q478&lt;&gt;"",ISNUMBER(D478)),Q478,"")</f>
        <v/>
      </c>
      <c r="S478">
        <f>IF(AND(Q478&lt;&gt;"",ISNUMBER(E478)),Q478,"")</f>
        <v/>
      </c>
      <c r="T478">
        <f>IF(AND(Q478&lt;&gt;"",ISNUMBER(F478)),Q478,"")</f>
        <v/>
      </c>
      <c r="U478">
        <f>IF(AND(Q478&lt;&gt;"",ISNUMBER(G478)),Q478,"")</f>
        <v/>
      </c>
      <c r="V478">
        <f>IF(AND(Q478&lt;&gt;"",ISNUMBER(H478)),Q478,"")</f>
        <v/>
      </c>
      <c r="W478">
        <f>IF(AND(Q478&lt;&gt;"",ISNUMBER(I478)),Q478,"")</f>
        <v/>
      </c>
      <c r="X478">
        <f>IF(AND(Q478&lt;&gt;"",ISNUMBER(J478)),Q478,"")</f>
        <v/>
      </c>
      <c r="Y478">
        <f>IF(AND(Q478&lt;&gt;"",ISNUMBER(K478)),Q478,"")</f>
        <v/>
      </c>
      <c r="Z478">
        <f>IF(AND(Q478&lt;&gt;"",ISNUMBER(L478)),Q478,"")</f>
        <v/>
      </c>
      <c r="AA478">
        <f>IF(AND(Q478&lt;&gt;"",ISNUMBER(M478)),Q478,"")</f>
        <v/>
      </c>
      <c r="AB478">
        <f>IF(AND(Q478&lt;&gt;"",ISNUMBER(K478)),K478,"")</f>
        <v/>
      </c>
      <c r="AC478">
        <f>IF(AND(Q478&lt;&gt;"",ISNUMBER(L478)),L478,"")</f>
        <v/>
      </c>
      <c r="AD478">
        <f>IF(AND(Q478&lt;&gt;"",ISNUMBER(M478)),M478,"")</f>
        <v/>
      </c>
    </row>
    <row r="479">
      <c r="A479" s="1" t="n"/>
      <c r="B479" s="17" t="n"/>
      <c r="C479" s="27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9" t="n"/>
      <c r="N479" s="21" t="n"/>
      <c r="O479" s="12">
        <f>IF(AND(B479="",C479=""),"",IF(NOT(ISNUMBER(B479)),"Needs a date",IF(C479="","Needs a client",IF(COUNTIF(Clients!$B$6:$B$105,C479)=0,"Not on Clients",IF(COUNT(D479:M479)=0,"Nothing measured","")))))</f>
        <v/>
      </c>
      <c r="P479" s="1">
        <f>IF(AND(O479="",ISNUMBER(B479)),INT(B479),0)</f>
        <v/>
      </c>
      <c r="Q479">
        <f>IF(AND(P479&gt;0,C479=Report!$C$5),P479*10000+ROW(),"")</f>
        <v/>
      </c>
      <c r="R479">
        <f>IF(AND(Q479&lt;&gt;"",ISNUMBER(D479)),Q479,"")</f>
        <v/>
      </c>
      <c r="S479">
        <f>IF(AND(Q479&lt;&gt;"",ISNUMBER(E479)),Q479,"")</f>
        <v/>
      </c>
      <c r="T479">
        <f>IF(AND(Q479&lt;&gt;"",ISNUMBER(F479)),Q479,"")</f>
        <v/>
      </c>
      <c r="U479">
        <f>IF(AND(Q479&lt;&gt;"",ISNUMBER(G479)),Q479,"")</f>
        <v/>
      </c>
      <c r="V479">
        <f>IF(AND(Q479&lt;&gt;"",ISNUMBER(H479)),Q479,"")</f>
        <v/>
      </c>
      <c r="W479">
        <f>IF(AND(Q479&lt;&gt;"",ISNUMBER(I479)),Q479,"")</f>
        <v/>
      </c>
      <c r="X479">
        <f>IF(AND(Q479&lt;&gt;"",ISNUMBER(J479)),Q479,"")</f>
        <v/>
      </c>
      <c r="Y479">
        <f>IF(AND(Q479&lt;&gt;"",ISNUMBER(K479)),Q479,"")</f>
        <v/>
      </c>
      <c r="Z479">
        <f>IF(AND(Q479&lt;&gt;"",ISNUMBER(L479)),Q479,"")</f>
        <v/>
      </c>
      <c r="AA479">
        <f>IF(AND(Q479&lt;&gt;"",ISNUMBER(M479)),Q479,"")</f>
        <v/>
      </c>
      <c r="AB479">
        <f>IF(AND(Q479&lt;&gt;"",ISNUMBER(K479)),K479,"")</f>
        <v/>
      </c>
      <c r="AC479">
        <f>IF(AND(Q479&lt;&gt;"",ISNUMBER(L479)),L479,"")</f>
        <v/>
      </c>
      <c r="AD479">
        <f>IF(AND(Q479&lt;&gt;"",ISNUMBER(M479)),M479,"")</f>
        <v/>
      </c>
    </row>
    <row r="480">
      <c r="A480" s="1" t="n"/>
      <c r="B480" s="17" t="n"/>
      <c r="C480" s="27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9" t="n"/>
      <c r="N480" s="21" t="n"/>
      <c r="O480" s="12">
        <f>IF(AND(B480="",C480=""),"",IF(NOT(ISNUMBER(B480)),"Needs a date",IF(C480="","Needs a client",IF(COUNTIF(Clients!$B$6:$B$105,C480)=0,"Not on Clients",IF(COUNT(D480:M480)=0,"Nothing measured","")))))</f>
        <v/>
      </c>
      <c r="P480" s="1">
        <f>IF(AND(O480="",ISNUMBER(B480)),INT(B480),0)</f>
        <v/>
      </c>
      <c r="Q480">
        <f>IF(AND(P480&gt;0,C480=Report!$C$5),P480*10000+ROW(),"")</f>
        <v/>
      </c>
      <c r="R480">
        <f>IF(AND(Q480&lt;&gt;"",ISNUMBER(D480)),Q480,"")</f>
        <v/>
      </c>
      <c r="S480">
        <f>IF(AND(Q480&lt;&gt;"",ISNUMBER(E480)),Q480,"")</f>
        <v/>
      </c>
      <c r="T480">
        <f>IF(AND(Q480&lt;&gt;"",ISNUMBER(F480)),Q480,"")</f>
        <v/>
      </c>
      <c r="U480">
        <f>IF(AND(Q480&lt;&gt;"",ISNUMBER(G480)),Q480,"")</f>
        <v/>
      </c>
      <c r="V480">
        <f>IF(AND(Q480&lt;&gt;"",ISNUMBER(H480)),Q480,"")</f>
        <v/>
      </c>
      <c r="W480">
        <f>IF(AND(Q480&lt;&gt;"",ISNUMBER(I480)),Q480,"")</f>
        <v/>
      </c>
      <c r="X480">
        <f>IF(AND(Q480&lt;&gt;"",ISNUMBER(J480)),Q480,"")</f>
        <v/>
      </c>
      <c r="Y480">
        <f>IF(AND(Q480&lt;&gt;"",ISNUMBER(K480)),Q480,"")</f>
        <v/>
      </c>
      <c r="Z480">
        <f>IF(AND(Q480&lt;&gt;"",ISNUMBER(L480)),Q480,"")</f>
        <v/>
      </c>
      <c r="AA480">
        <f>IF(AND(Q480&lt;&gt;"",ISNUMBER(M480)),Q480,"")</f>
        <v/>
      </c>
      <c r="AB480">
        <f>IF(AND(Q480&lt;&gt;"",ISNUMBER(K480)),K480,"")</f>
        <v/>
      </c>
      <c r="AC480">
        <f>IF(AND(Q480&lt;&gt;"",ISNUMBER(L480)),L480,"")</f>
        <v/>
      </c>
      <c r="AD480">
        <f>IF(AND(Q480&lt;&gt;"",ISNUMBER(M480)),M480,"")</f>
        <v/>
      </c>
    </row>
    <row r="481">
      <c r="A481" s="1" t="n"/>
      <c r="B481" s="17" t="n"/>
      <c r="C481" s="27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9" t="n"/>
      <c r="N481" s="21" t="n"/>
      <c r="O481" s="12">
        <f>IF(AND(B481="",C481=""),"",IF(NOT(ISNUMBER(B481)),"Needs a date",IF(C481="","Needs a client",IF(COUNTIF(Clients!$B$6:$B$105,C481)=0,"Not on Clients",IF(COUNT(D481:M481)=0,"Nothing measured","")))))</f>
        <v/>
      </c>
      <c r="P481" s="1">
        <f>IF(AND(O481="",ISNUMBER(B481)),INT(B481),0)</f>
        <v/>
      </c>
      <c r="Q481">
        <f>IF(AND(P481&gt;0,C481=Report!$C$5),P481*10000+ROW(),"")</f>
        <v/>
      </c>
      <c r="R481">
        <f>IF(AND(Q481&lt;&gt;"",ISNUMBER(D481)),Q481,"")</f>
        <v/>
      </c>
      <c r="S481">
        <f>IF(AND(Q481&lt;&gt;"",ISNUMBER(E481)),Q481,"")</f>
        <v/>
      </c>
      <c r="T481">
        <f>IF(AND(Q481&lt;&gt;"",ISNUMBER(F481)),Q481,"")</f>
        <v/>
      </c>
      <c r="U481">
        <f>IF(AND(Q481&lt;&gt;"",ISNUMBER(G481)),Q481,"")</f>
        <v/>
      </c>
      <c r="V481">
        <f>IF(AND(Q481&lt;&gt;"",ISNUMBER(H481)),Q481,"")</f>
        <v/>
      </c>
      <c r="W481">
        <f>IF(AND(Q481&lt;&gt;"",ISNUMBER(I481)),Q481,"")</f>
        <v/>
      </c>
      <c r="X481">
        <f>IF(AND(Q481&lt;&gt;"",ISNUMBER(J481)),Q481,"")</f>
        <v/>
      </c>
      <c r="Y481">
        <f>IF(AND(Q481&lt;&gt;"",ISNUMBER(K481)),Q481,"")</f>
        <v/>
      </c>
      <c r="Z481">
        <f>IF(AND(Q481&lt;&gt;"",ISNUMBER(L481)),Q481,"")</f>
        <v/>
      </c>
      <c r="AA481">
        <f>IF(AND(Q481&lt;&gt;"",ISNUMBER(M481)),Q481,"")</f>
        <v/>
      </c>
      <c r="AB481">
        <f>IF(AND(Q481&lt;&gt;"",ISNUMBER(K481)),K481,"")</f>
        <v/>
      </c>
      <c r="AC481">
        <f>IF(AND(Q481&lt;&gt;"",ISNUMBER(L481)),L481,"")</f>
        <v/>
      </c>
      <c r="AD481">
        <f>IF(AND(Q481&lt;&gt;"",ISNUMBER(M481)),M481,"")</f>
        <v/>
      </c>
    </row>
    <row r="482">
      <c r="A482" s="1" t="n"/>
      <c r="B482" s="17" t="n"/>
      <c r="C482" s="27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9" t="n"/>
      <c r="N482" s="21" t="n"/>
      <c r="O482" s="12">
        <f>IF(AND(B482="",C482=""),"",IF(NOT(ISNUMBER(B482)),"Needs a date",IF(C482="","Needs a client",IF(COUNTIF(Clients!$B$6:$B$105,C482)=0,"Not on Clients",IF(COUNT(D482:M482)=0,"Nothing measured","")))))</f>
        <v/>
      </c>
      <c r="P482" s="1">
        <f>IF(AND(O482="",ISNUMBER(B482)),INT(B482),0)</f>
        <v/>
      </c>
      <c r="Q482">
        <f>IF(AND(P482&gt;0,C482=Report!$C$5),P482*10000+ROW(),"")</f>
        <v/>
      </c>
      <c r="R482">
        <f>IF(AND(Q482&lt;&gt;"",ISNUMBER(D482)),Q482,"")</f>
        <v/>
      </c>
      <c r="S482">
        <f>IF(AND(Q482&lt;&gt;"",ISNUMBER(E482)),Q482,"")</f>
        <v/>
      </c>
      <c r="T482">
        <f>IF(AND(Q482&lt;&gt;"",ISNUMBER(F482)),Q482,"")</f>
        <v/>
      </c>
      <c r="U482">
        <f>IF(AND(Q482&lt;&gt;"",ISNUMBER(G482)),Q482,"")</f>
        <v/>
      </c>
      <c r="V482">
        <f>IF(AND(Q482&lt;&gt;"",ISNUMBER(H482)),Q482,"")</f>
        <v/>
      </c>
      <c r="W482">
        <f>IF(AND(Q482&lt;&gt;"",ISNUMBER(I482)),Q482,"")</f>
        <v/>
      </c>
      <c r="X482">
        <f>IF(AND(Q482&lt;&gt;"",ISNUMBER(J482)),Q482,"")</f>
        <v/>
      </c>
      <c r="Y482">
        <f>IF(AND(Q482&lt;&gt;"",ISNUMBER(K482)),Q482,"")</f>
        <v/>
      </c>
      <c r="Z482">
        <f>IF(AND(Q482&lt;&gt;"",ISNUMBER(L482)),Q482,"")</f>
        <v/>
      </c>
      <c r="AA482">
        <f>IF(AND(Q482&lt;&gt;"",ISNUMBER(M482)),Q482,"")</f>
        <v/>
      </c>
      <c r="AB482">
        <f>IF(AND(Q482&lt;&gt;"",ISNUMBER(K482)),K482,"")</f>
        <v/>
      </c>
      <c r="AC482">
        <f>IF(AND(Q482&lt;&gt;"",ISNUMBER(L482)),L482,"")</f>
        <v/>
      </c>
      <c r="AD482">
        <f>IF(AND(Q482&lt;&gt;"",ISNUMBER(M482)),M482,"")</f>
        <v/>
      </c>
    </row>
    <row r="483">
      <c r="A483" s="1" t="n"/>
      <c r="B483" s="17" t="n"/>
      <c r="C483" s="27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9" t="n"/>
      <c r="N483" s="21" t="n"/>
      <c r="O483" s="12">
        <f>IF(AND(B483="",C483=""),"",IF(NOT(ISNUMBER(B483)),"Needs a date",IF(C483="","Needs a client",IF(COUNTIF(Clients!$B$6:$B$105,C483)=0,"Not on Clients",IF(COUNT(D483:M483)=0,"Nothing measured","")))))</f>
        <v/>
      </c>
      <c r="P483" s="1">
        <f>IF(AND(O483="",ISNUMBER(B483)),INT(B483),0)</f>
        <v/>
      </c>
      <c r="Q483">
        <f>IF(AND(P483&gt;0,C483=Report!$C$5),P483*10000+ROW(),"")</f>
        <v/>
      </c>
      <c r="R483">
        <f>IF(AND(Q483&lt;&gt;"",ISNUMBER(D483)),Q483,"")</f>
        <v/>
      </c>
      <c r="S483">
        <f>IF(AND(Q483&lt;&gt;"",ISNUMBER(E483)),Q483,"")</f>
        <v/>
      </c>
      <c r="T483">
        <f>IF(AND(Q483&lt;&gt;"",ISNUMBER(F483)),Q483,"")</f>
        <v/>
      </c>
      <c r="U483">
        <f>IF(AND(Q483&lt;&gt;"",ISNUMBER(G483)),Q483,"")</f>
        <v/>
      </c>
      <c r="V483">
        <f>IF(AND(Q483&lt;&gt;"",ISNUMBER(H483)),Q483,"")</f>
        <v/>
      </c>
      <c r="W483">
        <f>IF(AND(Q483&lt;&gt;"",ISNUMBER(I483)),Q483,"")</f>
        <v/>
      </c>
      <c r="X483">
        <f>IF(AND(Q483&lt;&gt;"",ISNUMBER(J483)),Q483,"")</f>
        <v/>
      </c>
      <c r="Y483">
        <f>IF(AND(Q483&lt;&gt;"",ISNUMBER(K483)),Q483,"")</f>
        <v/>
      </c>
      <c r="Z483">
        <f>IF(AND(Q483&lt;&gt;"",ISNUMBER(L483)),Q483,"")</f>
        <v/>
      </c>
      <c r="AA483">
        <f>IF(AND(Q483&lt;&gt;"",ISNUMBER(M483)),Q483,"")</f>
        <v/>
      </c>
      <c r="AB483">
        <f>IF(AND(Q483&lt;&gt;"",ISNUMBER(K483)),K483,"")</f>
        <v/>
      </c>
      <c r="AC483">
        <f>IF(AND(Q483&lt;&gt;"",ISNUMBER(L483)),L483,"")</f>
        <v/>
      </c>
      <c r="AD483">
        <f>IF(AND(Q483&lt;&gt;"",ISNUMBER(M483)),M483,"")</f>
        <v/>
      </c>
    </row>
    <row r="484">
      <c r="A484" s="1" t="n"/>
      <c r="B484" s="17" t="n"/>
      <c r="C484" s="27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9" t="n"/>
      <c r="N484" s="21" t="n"/>
      <c r="O484" s="12">
        <f>IF(AND(B484="",C484=""),"",IF(NOT(ISNUMBER(B484)),"Needs a date",IF(C484="","Needs a client",IF(COUNTIF(Clients!$B$6:$B$105,C484)=0,"Not on Clients",IF(COUNT(D484:M484)=0,"Nothing measured","")))))</f>
        <v/>
      </c>
      <c r="P484" s="1">
        <f>IF(AND(O484="",ISNUMBER(B484)),INT(B484),0)</f>
        <v/>
      </c>
      <c r="Q484">
        <f>IF(AND(P484&gt;0,C484=Report!$C$5),P484*10000+ROW(),"")</f>
        <v/>
      </c>
      <c r="R484">
        <f>IF(AND(Q484&lt;&gt;"",ISNUMBER(D484)),Q484,"")</f>
        <v/>
      </c>
      <c r="S484">
        <f>IF(AND(Q484&lt;&gt;"",ISNUMBER(E484)),Q484,"")</f>
        <v/>
      </c>
      <c r="T484">
        <f>IF(AND(Q484&lt;&gt;"",ISNUMBER(F484)),Q484,"")</f>
        <v/>
      </c>
      <c r="U484">
        <f>IF(AND(Q484&lt;&gt;"",ISNUMBER(G484)),Q484,"")</f>
        <v/>
      </c>
      <c r="V484">
        <f>IF(AND(Q484&lt;&gt;"",ISNUMBER(H484)),Q484,"")</f>
        <v/>
      </c>
      <c r="W484">
        <f>IF(AND(Q484&lt;&gt;"",ISNUMBER(I484)),Q484,"")</f>
        <v/>
      </c>
      <c r="X484">
        <f>IF(AND(Q484&lt;&gt;"",ISNUMBER(J484)),Q484,"")</f>
        <v/>
      </c>
      <c r="Y484">
        <f>IF(AND(Q484&lt;&gt;"",ISNUMBER(K484)),Q484,"")</f>
        <v/>
      </c>
      <c r="Z484">
        <f>IF(AND(Q484&lt;&gt;"",ISNUMBER(L484)),Q484,"")</f>
        <v/>
      </c>
      <c r="AA484">
        <f>IF(AND(Q484&lt;&gt;"",ISNUMBER(M484)),Q484,"")</f>
        <v/>
      </c>
      <c r="AB484">
        <f>IF(AND(Q484&lt;&gt;"",ISNUMBER(K484)),K484,"")</f>
        <v/>
      </c>
      <c r="AC484">
        <f>IF(AND(Q484&lt;&gt;"",ISNUMBER(L484)),L484,"")</f>
        <v/>
      </c>
      <c r="AD484">
        <f>IF(AND(Q484&lt;&gt;"",ISNUMBER(M484)),M484,"")</f>
        <v/>
      </c>
    </row>
    <row r="485">
      <c r="A485" s="1" t="n"/>
      <c r="B485" s="17" t="n"/>
      <c r="C485" s="27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9" t="n"/>
      <c r="N485" s="21" t="n"/>
      <c r="O485" s="12">
        <f>IF(AND(B485="",C485=""),"",IF(NOT(ISNUMBER(B485)),"Needs a date",IF(C485="","Needs a client",IF(COUNTIF(Clients!$B$6:$B$105,C485)=0,"Not on Clients",IF(COUNT(D485:M485)=0,"Nothing measured","")))))</f>
        <v/>
      </c>
      <c r="P485" s="1">
        <f>IF(AND(O485="",ISNUMBER(B485)),INT(B485),0)</f>
        <v/>
      </c>
      <c r="Q485">
        <f>IF(AND(P485&gt;0,C485=Report!$C$5),P485*10000+ROW(),"")</f>
        <v/>
      </c>
      <c r="R485">
        <f>IF(AND(Q485&lt;&gt;"",ISNUMBER(D485)),Q485,"")</f>
        <v/>
      </c>
      <c r="S485">
        <f>IF(AND(Q485&lt;&gt;"",ISNUMBER(E485)),Q485,"")</f>
        <v/>
      </c>
      <c r="T485">
        <f>IF(AND(Q485&lt;&gt;"",ISNUMBER(F485)),Q485,"")</f>
        <v/>
      </c>
      <c r="U485">
        <f>IF(AND(Q485&lt;&gt;"",ISNUMBER(G485)),Q485,"")</f>
        <v/>
      </c>
      <c r="V485">
        <f>IF(AND(Q485&lt;&gt;"",ISNUMBER(H485)),Q485,"")</f>
        <v/>
      </c>
      <c r="W485">
        <f>IF(AND(Q485&lt;&gt;"",ISNUMBER(I485)),Q485,"")</f>
        <v/>
      </c>
      <c r="X485">
        <f>IF(AND(Q485&lt;&gt;"",ISNUMBER(J485)),Q485,"")</f>
        <v/>
      </c>
      <c r="Y485">
        <f>IF(AND(Q485&lt;&gt;"",ISNUMBER(K485)),Q485,"")</f>
        <v/>
      </c>
      <c r="Z485">
        <f>IF(AND(Q485&lt;&gt;"",ISNUMBER(L485)),Q485,"")</f>
        <v/>
      </c>
      <c r="AA485">
        <f>IF(AND(Q485&lt;&gt;"",ISNUMBER(M485)),Q485,"")</f>
        <v/>
      </c>
      <c r="AB485">
        <f>IF(AND(Q485&lt;&gt;"",ISNUMBER(K485)),K485,"")</f>
        <v/>
      </c>
      <c r="AC485">
        <f>IF(AND(Q485&lt;&gt;"",ISNUMBER(L485)),L485,"")</f>
        <v/>
      </c>
      <c r="AD485">
        <f>IF(AND(Q485&lt;&gt;"",ISNUMBER(M485)),M485,"")</f>
        <v/>
      </c>
    </row>
    <row r="486">
      <c r="A486" s="1" t="n"/>
      <c r="B486" s="17" t="n"/>
      <c r="C486" s="27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9" t="n"/>
      <c r="N486" s="21" t="n"/>
      <c r="O486" s="12">
        <f>IF(AND(B486="",C486=""),"",IF(NOT(ISNUMBER(B486)),"Needs a date",IF(C486="","Needs a client",IF(COUNTIF(Clients!$B$6:$B$105,C486)=0,"Not on Clients",IF(COUNT(D486:M486)=0,"Nothing measured","")))))</f>
        <v/>
      </c>
      <c r="P486" s="1">
        <f>IF(AND(O486="",ISNUMBER(B486)),INT(B486),0)</f>
        <v/>
      </c>
      <c r="Q486">
        <f>IF(AND(P486&gt;0,C486=Report!$C$5),P486*10000+ROW(),"")</f>
        <v/>
      </c>
      <c r="R486">
        <f>IF(AND(Q486&lt;&gt;"",ISNUMBER(D486)),Q486,"")</f>
        <v/>
      </c>
      <c r="S486">
        <f>IF(AND(Q486&lt;&gt;"",ISNUMBER(E486)),Q486,"")</f>
        <v/>
      </c>
      <c r="T486">
        <f>IF(AND(Q486&lt;&gt;"",ISNUMBER(F486)),Q486,"")</f>
        <v/>
      </c>
      <c r="U486">
        <f>IF(AND(Q486&lt;&gt;"",ISNUMBER(G486)),Q486,"")</f>
        <v/>
      </c>
      <c r="V486">
        <f>IF(AND(Q486&lt;&gt;"",ISNUMBER(H486)),Q486,"")</f>
        <v/>
      </c>
      <c r="W486">
        <f>IF(AND(Q486&lt;&gt;"",ISNUMBER(I486)),Q486,"")</f>
        <v/>
      </c>
      <c r="X486">
        <f>IF(AND(Q486&lt;&gt;"",ISNUMBER(J486)),Q486,"")</f>
        <v/>
      </c>
      <c r="Y486">
        <f>IF(AND(Q486&lt;&gt;"",ISNUMBER(K486)),Q486,"")</f>
        <v/>
      </c>
      <c r="Z486">
        <f>IF(AND(Q486&lt;&gt;"",ISNUMBER(L486)),Q486,"")</f>
        <v/>
      </c>
      <c r="AA486">
        <f>IF(AND(Q486&lt;&gt;"",ISNUMBER(M486)),Q486,"")</f>
        <v/>
      </c>
      <c r="AB486">
        <f>IF(AND(Q486&lt;&gt;"",ISNUMBER(K486)),K486,"")</f>
        <v/>
      </c>
      <c r="AC486">
        <f>IF(AND(Q486&lt;&gt;"",ISNUMBER(L486)),L486,"")</f>
        <v/>
      </c>
      <c r="AD486">
        <f>IF(AND(Q486&lt;&gt;"",ISNUMBER(M486)),M486,"")</f>
        <v/>
      </c>
    </row>
    <row r="487">
      <c r="A487" s="1" t="n"/>
      <c r="B487" s="17" t="n"/>
      <c r="C487" s="27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9" t="n"/>
      <c r="N487" s="21" t="n"/>
      <c r="O487" s="12">
        <f>IF(AND(B487="",C487=""),"",IF(NOT(ISNUMBER(B487)),"Needs a date",IF(C487="","Needs a client",IF(COUNTIF(Clients!$B$6:$B$105,C487)=0,"Not on Clients",IF(COUNT(D487:M487)=0,"Nothing measured","")))))</f>
        <v/>
      </c>
      <c r="P487" s="1">
        <f>IF(AND(O487="",ISNUMBER(B487)),INT(B487),0)</f>
        <v/>
      </c>
      <c r="Q487">
        <f>IF(AND(P487&gt;0,C487=Report!$C$5),P487*10000+ROW(),"")</f>
        <v/>
      </c>
      <c r="R487">
        <f>IF(AND(Q487&lt;&gt;"",ISNUMBER(D487)),Q487,"")</f>
        <v/>
      </c>
      <c r="S487">
        <f>IF(AND(Q487&lt;&gt;"",ISNUMBER(E487)),Q487,"")</f>
        <v/>
      </c>
      <c r="T487">
        <f>IF(AND(Q487&lt;&gt;"",ISNUMBER(F487)),Q487,"")</f>
        <v/>
      </c>
      <c r="U487">
        <f>IF(AND(Q487&lt;&gt;"",ISNUMBER(G487)),Q487,"")</f>
        <v/>
      </c>
      <c r="V487">
        <f>IF(AND(Q487&lt;&gt;"",ISNUMBER(H487)),Q487,"")</f>
        <v/>
      </c>
      <c r="W487">
        <f>IF(AND(Q487&lt;&gt;"",ISNUMBER(I487)),Q487,"")</f>
        <v/>
      </c>
      <c r="X487">
        <f>IF(AND(Q487&lt;&gt;"",ISNUMBER(J487)),Q487,"")</f>
        <v/>
      </c>
      <c r="Y487">
        <f>IF(AND(Q487&lt;&gt;"",ISNUMBER(K487)),Q487,"")</f>
        <v/>
      </c>
      <c r="Z487">
        <f>IF(AND(Q487&lt;&gt;"",ISNUMBER(L487)),Q487,"")</f>
        <v/>
      </c>
      <c r="AA487">
        <f>IF(AND(Q487&lt;&gt;"",ISNUMBER(M487)),Q487,"")</f>
        <v/>
      </c>
      <c r="AB487">
        <f>IF(AND(Q487&lt;&gt;"",ISNUMBER(K487)),K487,"")</f>
        <v/>
      </c>
      <c r="AC487">
        <f>IF(AND(Q487&lt;&gt;"",ISNUMBER(L487)),L487,"")</f>
        <v/>
      </c>
      <c r="AD487">
        <f>IF(AND(Q487&lt;&gt;"",ISNUMBER(M487)),M487,"")</f>
        <v/>
      </c>
    </row>
    <row r="488">
      <c r="A488" s="1" t="n"/>
      <c r="B488" s="17" t="n"/>
      <c r="C488" s="27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9" t="n"/>
      <c r="N488" s="21" t="n"/>
      <c r="O488" s="12">
        <f>IF(AND(B488="",C488=""),"",IF(NOT(ISNUMBER(B488)),"Needs a date",IF(C488="","Needs a client",IF(COUNTIF(Clients!$B$6:$B$105,C488)=0,"Not on Clients",IF(COUNT(D488:M488)=0,"Nothing measured","")))))</f>
        <v/>
      </c>
      <c r="P488" s="1">
        <f>IF(AND(O488="",ISNUMBER(B488)),INT(B488),0)</f>
        <v/>
      </c>
      <c r="Q488">
        <f>IF(AND(P488&gt;0,C488=Report!$C$5),P488*10000+ROW(),"")</f>
        <v/>
      </c>
      <c r="R488">
        <f>IF(AND(Q488&lt;&gt;"",ISNUMBER(D488)),Q488,"")</f>
        <v/>
      </c>
      <c r="S488">
        <f>IF(AND(Q488&lt;&gt;"",ISNUMBER(E488)),Q488,"")</f>
        <v/>
      </c>
      <c r="T488">
        <f>IF(AND(Q488&lt;&gt;"",ISNUMBER(F488)),Q488,"")</f>
        <v/>
      </c>
      <c r="U488">
        <f>IF(AND(Q488&lt;&gt;"",ISNUMBER(G488)),Q488,"")</f>
        <v/>
      </c>
      <c r="V488">
        <f>IF(AND(Q488&lt;&gt;"",ISNUMBER(H488)),Q488,"")</f>
        <v/>
      </c>
      <c r="W488">
        <f>IF(AND(Q488&lt;&gt;"",ISNUMBER(I488)),Q488,"")</f>
        <v/>
      </c>
      <c r="X488">
        <f>IF(AND(Q488&lt;&gt;"",ISNUMBER(J488)),Q488,"")</f>
        <v/>
      </c>
      <c r="Y488">
        <f>IF(AND(Q488&lt;&gt;"",ISNUMBER(K488)),Q488,"")</f>
        <v/>
      </c>
      <c r="Z488">
        <f>IF(AND(Q488&lt;&gt;"",ISNUMBER(L488)),Q488,"")</f>
        <v/>
      </c>
      <c r="AA488">
        <f>IF(AND(Q488&lt;&gt;"",ISNUMBER(M488)),Q488,"")</f>
        <v/>
      </c>
      <c r="AB488">
        <f>IF(AND(Q488&lt;&gt;"",ISNUMBER(K488)),K488,"")</f>
        <v/>
      </c>
      <c r="AC488">
        <f>IF(AND(Q488&lt;&gt;"",ISNUMBER(L488)),L488,"")</f>
        <v/>
      </c>
      <c r="AD488">
        <f>IF(AND(Q488&lt;&gt;"",ISNUMBER(M488)),M488,"")</f>
        <v/>
      </c>
    </row>
    <row r="489">
      <c r="A489" s="1" t="n"/>
      <c r="B489" s="17" t="n"/>
      <c r="C489" s="27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9" t="n"/>
      <c r="N489" s="21" t="n"/>
      <c r="O489" s="12">
        <f>IF(AND(B489="",C489=""),"",IF(NOT(ISNUMBER(B489)),"Needs a date",IF(C489="","Needs a client",IF(COUNTIF(Clients!$B$6:$B$105,C489)=0,"Not on Clients",IF(COUNT(D489:M489)=0,"Nothing measured","")))))</f>
        <v/>
      </c>
      <c r="P489" s="1">
        <f>IF(AND(O489="",ISNUMBER(B489)),INT(B489),0)</f>
        <v/>
      </c>
      <c r="Q489">
        <f>IF(AND(P489&gt;0,C489=Report!$C$5),P489*10000+ROW(),"")</f>
        <v/>
      </c>
      <c r="R489">
        <f>IF(AND(Q489&lt;&gt;"",ISNUMBER(D489)),Q489,"")</f>
        <v/>
      </c>
      <c r="S489">
        <f>IF(AND(Q489&lt;&gt;"",ISNUMBER(E489)),Q489,"")</f>
        <v/>
      </c>
      <c r="T489">
        <f>IF(AND(Q489&lt;&gt;"",ISNUMBER(F489)),Q489,"")</f>
        <v/>
      </c>
      <c r="U489">
        <f>IF(AND(Q489&lt;&gt;"",ISNUMBER(G489)),Q489,"")</f>
        <v/>
      </c>
      <c r="V489">
        <f>IF(AND(Q489&lt;&gt;"",ISNUMBER(H489)),Q489,"")</f>
        <v/>
      </c>
      <c r="W489">
        <f>IF(AND(Q489&lt;&gt;"",ISNUMBER(I489)),Q489,"")</f>
        <v/>
      </c>
      <c r="X489">
        <f>IF(AND(Q489&lt;&gt;"",ISNUMBER(J489)),Q489,"")</f>
        <v/>
      </c>
      <c r="Y489">
        <f>IF(AND(Q489&lt;&gt;"",ISNUMBER(K489)),Q489,"")</f>
        <v/>
      </c>
      <c r="Z489">
        <f>IF(AND(Q489&lt;&gt;"",ISNUMBER(L489)),Q489,"")</f>
        <v/>
      </c>
      <c r="AA489">
        <f>IF(AND(Q489&lt;&gt;"",ISNUMBER(M489)),Q489,"")</f>
        <v/>
      </c>
      <c r="AB489">
        <f>IF(AND(Q489&lt;&gt;"",ISNUMBER(K489)),K489,"")</f>
        <v/>
      </c>
      <c r="AC489">
        <f>IF(AND(Q489&lt;&gt;"",ISNUMBER(L489)),L489,"")</f>
        <v/>
      </c>
      <c r="AD489">
        <f>IF(AND(Q489&lt;&gt;"",ISNUMBER(M489)),M489,"")</f>
        <v/>
      </c>
    </row>
    <row r="490">
      <c r="A490" s="1" t="n"/>
      <c r="B490" s="17" t="n"/>
      <c r="C490" s="27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9" t="n"/>
      <c r="N490" s="21" t="n"/>
      <c r="O490" s="12">
        <f>IF(AND(B490="",C490=""),"",IF(NOT(ISNUMBER(B490)),"Needs a date",IF(C490="","Needs a client",IF(COUNTIF(Clients!$B$6:$B$105,C490)=0,"Not on Clients",IF(COUNT(D490:M490)=0,"Nothing measured","")))))</f>
        <v/>
      </c>
      <c r="P490" s="1">
        <f>IF(AND(O490="",ISNUMBER(B490)),INT(B490),0)</f>
        <v/>
      </c>
      <c r="Q490">
        <f>IF(AND(P490&gt;0,C490=Report!$C$5),P490*10000+ROW(),"")</f>
        <v/>
      </c>
      <c r="R490">
        <f>IF(AND(Q490&lt;&gt;"",ISNUMBER(D490)),Q490,"")</f>
        <v/>
      </c>
      <c r="S490">
        <f>IF(AND(Q490&lt;&gt;"",ISNUMBER(E490)),Q490,"")</f>
        <v/>
      </c>
      <c r="T490">
        <f>IF(AND(Q490&lt;&gt;"",ISNUMBER(F490)),Q490,"")</f>
        <v/>
      </c>
      <c r="U490">
        <f>IF(AND(Q490&lt;&gt;"",ISNUMBER(G490)),Q490,"")</f>
        <v/>
      </c>
      <c r="V490">
        <f>IF(AND(Q490&lt;&gt;"",ISNUMBER(H490)),Q490,"")</f>
        <v/>
      </c>
      <c r="W490">
        <f>IF(AND(Q490&lt;&gt;"",ISNUMBER(I490)),Q490,"")</f>
        <v/>
      </c>
      <c r="X490">
        <f>IF(AND(Q490&lt;&gt;"",ISNUMBER(J490)),Q490,"")</f>
        <v/>
      </c>
      <c r="Y490">
        <f>IF(AND(Q490&lt;&gt;"",ISNUMBER(K490)),Q490,"")</f>
        <v/>
      </c>
      <c r="Z490">
        <f>IF(AND(Q490&lt;&gt;"",ISNUMBER(L490)),Q490,"")</f>
        <v/>
      </c>
      <c r="AA490">
        <f>IF(AND(Q490&lt;&gt;"",ISNUMBER(M490)),Q490,"")</f>
        <v/>
      </c>
      <c r="AB490">
        <f>IF(AND(Q490&lt;&gt;"",ISNUMBER(K490)),K490,"")</f>
        <v/>
      </c>
      <c r="AC490">
        <f>IF(AND(Q490&lt;&gt;"",ISNUMBER(L490)),L490,"")</f>
        <v/>
      </c>
      <c r="AD490">
        <f>IF(AND(Q490&lt;&gt;"",ISNUMBER(M490)),M490,"")</f>
        <v/>
      </c>
    </row>
    <row r="491">
      <c r="A491" s="1" t="n"/>
      <c r="B491" s="17" t="n"/>
      <c r="C491" s="27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9" t="n"/>
      <c r="N491" s="21" t="n"/>
      <c r="O491" s="12">
        <f>IF(AND(B491="",C491=""),"",IF(NOT(ISNUMBER(B491)),"Needs a date",IF(C491="","Needs a client",IF(COUNTIF(Clients!$B$6:$B$105,C491)=0,"Not on Clients",IF(COUNT(D491:M491)=0,"Nothing measured","")))))</f>
        <v/>
      </c>
      <c r="P491" s="1">
        <f>IF(AND(O491="",ISNUMBER(B491)),INT(B491),0)</f>
        <v/>
      </c>
      <c r="Q491">
        <f>IF(AND(P491&gt;0,C491=Report!$C$5),P491*10000+ROW(),"")</f>
        <v/>
      </c>
      <c r="R491">
        <f>IF(AND(Q491&lt;&gt;"",ISNUMBER(D491)),Q491,"")</f>
        <v/>
      </c>
      <c r="S491">
        <f>IF(AND(Q491&lt;&gt;"",ISNUMBER(E491)),Q491,"")</f>
        <v/>
      </c>
      <c r="T491">
        <f>IF(AND(Q491&lt;&gt;"",ISNUMBER(F491)),Q491,"")</f>
        <v/>
      </c>
      <c r="U491">
        <f>IF(AND(Q491&lt;&gt;"",ISNUMBER(G491)),Q491,"")</f>
        <v/>
      </c>
      <c r="V491">
        <f>IF(AND(Q491&lt;&gt;"",ISNUMBER(H491)),Q491,"")</f>
        <v/>
      </c>
      <c r="W491">
        <f>IF(AND(Q491&lt;&gt;"",ISNUMBER(I491)),Q491,"")</f>
        <v/>
      </c>
      <c r="X491">
        <f>IF(AND(Q491&lt;&gt;"",ISNUMBER(J491)),Q491,"")</f>
        <v/>
      </c>
      <c r="Y491">
        <f>IF(AND(Q491&lt;&gt;"",ISNUMBER(K491)),Q491,"")</f>
        <v/>
      </c>
      <c r="Z491">
        <f>IF(AND(Q491&lt;&gt;"",ISNUMBER(L491)),Q491,"")</f>
        <v/>
      </c>
      <c r="AA491">
        <f>IF(AND(Q491&lt;&gt;"",ISNUMBER(M491)),Q491,"")</f>
        <v/>
      </c>
      <c r="AB491">
        <f>IF(AND(Q491&lt;&gt;"",ISNUMBER(K491)),K491,"")</f>
        <v/>
      </c>
      <c r="AC491">
        <f>IF(AND(Q491&lt;&gt;"",ISNUMBER(L491)),L491,"")</f>
        <v/>
      </c>
      <c r="AD491">
        <f>IF(AND(Q491&lt;&gt;"",ISNUMBER(M491)),M491,"")</f>
        <v/>
      </c>
    </row>
    <row r="492">
      <c r="A492" s="1" t="n"/>
      <c r="B492" s="17" t="n"/>
      <c r="C492" s="27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9" t="n"/>
      <c r="N492" s="21" t="n"/>
      <c r="O492" s="12">
        <f>IF(AND(B492="",C492=""),"",IF(NOT(ISNUMBER(B492)),"Needs a date",IF(C492="","Needs a client",IF(COUNTIF(Clients!$B$6:$B$105,C492)=0,"Not on Clients",IF(COUNT(D492:M492)=0,"Nothing measured","")))))</f>
        <v/>
      </c>
      <c r="P492" s="1">
        <f>IF(AND(O492="",ISNUMBER(B492)),INT(B492),0)</f>
        <v/>
      </c>
      <c r="Q492">
        <f>IF(AND(P492&gt;0,C492=Report!$C$5),P492*10000+ROW(),"")</f>
        <v/>
      </c>
      <c r="R492">
        <f>IF(AND(Q492&lt;&gt;"",ISNUMBER(D492)),Q492,"")</f>
        <v/>
      </c>
      <c r="S492">
        <f>IF(AND(Q492&lt;&gt;"",ISNUMBER(E492)),Q492,"")</f>
        <v/>
      </c>
      <c r="T492">
        <f>IF(AND(Q492&lt;&gt;"",ISNUMBER(F492)),Q492,"")</f>
        <v/>
      </c>
      <c r="U492">
        <f>IF(AND(Q492&lt;&gt;"",ISNUMBER(G492)),Q492,"")</f>
        <v/>
      </c>
      <c r="V492">
        <f>IF(AND(Q492&lt;&gt;"",ISNUMBER(H492)),Q492,"")</f>
        <v/>
      </c>
      <c r="W492">
        <f>IF(AND(Q492&lt;&gt;"",ISNUMBER(I492)),Q492,"")</f>
        <v/>
      </c>
      <c r="X492">
        <f>IF(AND(Q492&lt;&gt;"",ISNUMBER(J492)),Q492,"")</f>
        <v/>
      </c>
      <c r="Y492">
        <f>IF(AND(Q492&lt;&gt;"",ISNUMBER(K492)),Q492,"")</f>
        <v/>
      </c>
      <c r="Z492">
        <f>IF(AND(Q492&lt;&gt;"",ISNUMBER(L492)),Q492,"")</f>
        <v/>
      </c>
      <c r="AA492">
        <f>IF(AND(Q492&lt;&gt;"",ISNUMBER(M492)),Q492,"")</f>
        <v/>
      </c>
      <c r="AB492">
        <f>IF(AND(Q492&lt;&gt;"",ISNUMBER(K492)),K492,"")</f>
        <v/>
      </c>
      <c r="AC492">
        <f>IF(AND(Q492&lt;&gt;"",ISNUMBER(L492)),L492,"")</f>
        <v/>
      </c>
      <c r="AD492">
        <f>IF(AND(Q492&lt;&gt;"",ISNUMBER(M492)),M492,"")</f>
        <v/>
      </c>
    </row>
    <row r="493">
      <c r="A493" s="1" t="n"/>
      <c r="B493" s="17" t="n"/>
      <c r="C493" s="27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9" t="n"/>
      <c r="N493" s="21" t="n"/>
      <c r="O493" s="12">
        <f>IF(AND(B493="",C493=""),"",IF(NOT(ISNUMBER(B493)),"Needs a date",IF(C493="","Needs a client",IF(COUNTIF(Clients!$B$6:$B$105,C493)=0,"Not on Clients",IF(COUNT(D493:M493)=0,"Nothing measured","")))))</f>
        <v/>
      </c>
      <c r="P493" s="1">
        <f>IF(AND(O493="",ISNUMBER(B493)),INT(B493),0)</f>
        <v/>
      </c>
      <c r="Q493">
        <f>IF(AND(P493&gt;0,C493=Report!$C$5),P493*10000+ROW(),"")</f>
        <v/>
      </c>
      <c r="R493">
        <f>IF(AND(Q493&lt;&gt;"",ISNUMBER(D493)),Q493,"")</f>
        <v/>
      </c>
      <c r="S493">
        <f>IF(AND(Q493&lt;&gt;"",ISNUMBER(E493)),Q493,"")</f>
        <v/>
      </c>
      <c r="T493">
        <f>IF(AND(Q493&lt;&gt;"",ISNUMBER(F493)),Q493,"")</f>
        <v/>
      </c>
      <c r="U493">
        <f>IF(AND(Q493&lt;&gt;"",ISNUMBER(G493)),Q493,"")</f>
        <v/>
      </c>
      <c r="V493">
        <f>IF(AND(Q493&lt;&gt;"",ISNUMBER(H493)),Q493,"")</f>
        <v/>
      </c>
      <c r="W493">
        <f>IF(AND(Q493&lt;&gt;"",ISNUMBER(I493)),Q493,"")</f>
        <v/>
      </c>
      <c r="X493">
        <f>IF(AND(Q493&lt;&gt;"",ISNUMBER(J493)),Q493,"")</f>
        <v/>
      </c>
      <c r="Y493">
        <f>IF(AND(Q493&lt;&gt;"",ISNUMBER(K493)),Q493,"")</f>
        <v/>
      </c>
      <c r="Z493">
        <f>IF(AND(Q493&lt;&gt;"",ISNUMBER(L493)),Q493,"")</f>
        <v/>
      </c>
      <c r="AA493">
        <f>IF(AND(Q493&lt;&gt;"",ISNUMBER(M493)),Q493,"")</f>
        <v/>
      </c>
      <c r="AB493">
        <f>IF(AND(Q493&lt;&gt;"",ISNUMBER(K493)),K493,"")</f>
        <v/>
      </c>
      <c r="AC493">
        <f>IF(AND(Q493&lt;&gt;"",ISNUMBER(L493)),L493,"")</f>
        <v/>
      </c>
      <c r="AD493">
        <f>IF(AND(Q493&lt;&gt;"",ISNUMBER(M493)),M493,"")</f>
        <v/>
      </c>
    </row>
    <row r="494">
      <c r="A494" s="1" t="n"/>
      <c r="B494" s="17" t="n"/>
      <c r="C494" s="27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9" t="n"/>
      <c r="N494" s="21" t="n"/>
      <c r="O494" s="12">
        <f>IF(AND(B494="",C494=""),"",IF(NOT(ISNUMBER(B494)),"Needs a date",IF(C494="","Needs a client",IF(COUNTIF(Clients!$B$6:$B$105,C494)=0,"Not on Clients",IF(COUNT(D494:M494)=0,"Nothing measured","")))))</f>
        <v/>
      </c>
      <c r="P494" s="1">
        <f>IF(AND(O494="",ISNUMBER(B494)),INT(B494),0)</f>
        <v/>
      </c>
      <c r="Q494">
        <f>IF(AND(P494&gt;0,C494=Report!$C$5),P494*10000+ROW(),"")</f>
        <v/>
      </c>
      <c r="R494">
        <f>IF(AND(Q494&lt;&gt;"",ISNUMBER(D494)),Q494,"")</f>
        <v/>
      </c>
      <c r="S494">
        <f>IF(AND(Q494&lt;&gt;"",ISNUMBER(E494)),Q494,"")</f>
        <v/>
      </c>
      <c r="T494">
        <f>IF(AND(Q494&lt;&gt;"",ISNUMBER(F494)),Q494,"")</f>
        <v/>
      </c>
      <c r="U494">
        <f>IF(AND(Q494&lt;&gt;"",ISNUMBER(G494)),Q494,"")</f>
        <v/>
      </c>
      <c r="V494">
        <f>IF(AND(Q494&lt;&gt;"",ISNUMBER(H494)),Q494,"")</f>
        <v/>
      </c>
      <c r="W494">
        <f>IF(AND(Q494&lt;&gt;"",ISNUMBER(I494)),Q494,"")</f>
        <v/>
      </c>
      <c r="X494">
        <f>IF(AND(Q494&lt;&gt;"",ISNUMBER(J494)),Q494,"")</f>
        <v/>
      </c>
      <c r="Y494">
        <f>IF(AND(Q494&lt;&gt;"",ISNUMBER(K494)),Q494,"")</f>
        <v/>
      </c>
      <c r="Z494">
        <f>IF(AND(Q494&lt;&gt;"",ISNUMBER(L494)),Q494,"")</f>
        <v/>
      </c>
      <c r="AA494">
        <f>IF(AND(Q494&lt;&gt;"",ISNUMBER(M494)),Q494,"")</f>
        <v/>
      </c>
      <c r="AB494">
        <f>IF(AND(Q494&lt;&gt;"",ISNUMBER(K494)),K494,"")</f>
        <v/>
      </c>
      <c r="AC494">
        <f>IF(AND(Q494&lt;&gt;"",ISNUMBER(L494)),L494,"")</f>
        <v/>
      </c>
      <c r="AD494">
        <f>IF(AND(Q494&lt;&gt;"",ISNUMBER(M494)),M494,"")</f>
        <v/>
      </c>
    </row>
    <row r="495">
      <c r="A495" s="1" t="n"/>
      <c r="B495" s="17" t="n"/>
      <c r="C495" s="27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9" t="n"/>
      <c r="N495" s="21" t="n"/>
      <c r="O495" s="12">
        <f>IF(AND(B495="",C495=""),"",IF(NOT(ISNUMBER(B495)),"Needs a date",IF(C495="","Needs a client",IF(COUNTIF(Clients!$B$6:$B$105,C495)=0,"Not on Clients",IF(COUNT(D495:M495)=0,"Nothing measured","")))))</f>
        <v/>
      </c>
      <c r="P495" s="1">
        <f>IF(AND(O495="",ISNUMBER(B495)),INT(B495),0)</f>
        <v/>
      </c>
      <c r="Q495">
        <f>IF(AND(P495&gt;0,C495=Report!$C$5),P495*10000+ROW(),"")</f>
        <v/>
      </c>
      <c r="R495">
        <f>IF(AND(Q495&lt;&gt;"",ISNUMBER(D495)),Q495,"")</f>
        <v/>
      </c>
      <c r="S495">
        <f>IF(AND(Q495&lt;&gt;"",ISNUMBER(E495)),Q495,"")</f>
        <v/>
      </c>
      <c r="T495">
        <f>IF(AND(Q495&lt;&gt;"",ISNUMBER(F495)),Q495,"")</f>
        <v/>
      </c>
      <c r="U495">
        <f>IF(AND(Q495&lt;&gt;"",ISNUMBER(G495)),Q495,"")</f>
        <v/>
      </c>
      <c r="V495">
        <f>IF(AND(Q495&lt;&gt;"",ISNUMBER(H495)),Q495,"")</f>
        <v/>
      </c>
      <c r="W495">
        <f>IF(AND(Q495&lt;&gt;"",ISNUMBER(I495)),Q495,"")</f>
        <v/>
      </c>
      <c r="X495">
        <f>IF(AND(Q495&lt;&gt;"",ISNUMBER(J495)),Q495,"")</f>
        <v/>
      </c>
      <c r="Y495">
        <f>IF(AND(Q495&lt;&gt;"",ISNUMBER(K495)),Q495,"")</f>
        <v/>
      </c>
      <c r="Z495">
        <f>IF(AND(Q495&lt;&gt;"",ISNUMBER(L495)),Q495,"")</f>
        <v/>
      </c>
      <c r="AA495">
        <f>IF(AND(Q495&lt;&gt;"",ISNUMBER(M495)),Q495,"")</f>
        <v/>
      </c>
      <c r="AB495">
        <f>IF(AND(Q495&lt;&gt;"",ISNUMBER(K495)),K495,"")</f>
        <v/>
      </c>
      <c r="AC495">
        <f>IF(AND(Q495&lt;&gt;"",ISNUMBER(L495)),L495,"")</f>
        <v/>
      </c>
      <c r="AD495">
        <f>IF(AND(Q495&lt;&gt;"",ISNUMBER(M495)),M495,"")</f>
        <v/>
      </c>
    </row>
    <row r="496">
      <c r="A496" s="1" t="n"/>
      <c r="B496" s="17" t="n"/>
      <c r="C496" s="27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9" t="n"/>
      <c r="N496" s="21" t="n"/>
      <c r="O496" s="12">
        <f>IF(AND(B496="",C496=""),"",IF(NOT(ISNUMBER(B496)),"Needs a date",IF(C496="","Needs a client",IF(COUNTIF(Clients!$B$6:$B$105,C496)=0,"Not on Clients",IF(COUNT(D496:M496)=0,"Nothing measured","")))))</f>
        <v/>
      </c>
      <c r="P496" s="1">
        <f>IF(AND(O496="",ISNUMBER(B496)),INT(B496),0)</f>
        <v/>
      </c>
      <c r="Q496">
        <f>IF(AND(P496&gt;0,C496=Report!$C$5),P496*10000+ROW(),"")</f>
        <v/>
      </c>
      <c r="R496">
        <f>IF(AND(Q496&lt;&gt;"",ISNUMBER(D496)),Q496,"")</f>
        <v/>
      </c>
      <c r="S496">
        <f>IF(AND(Q496&lt;&gt;"",ISNUMBER(E496)),Q496,"")</f>
        <v/>
      </c>
      <c r="T496">
        <f>IF(AND(Q496&lt;&gt;"",ISNUMBER(F496)),Q496,"")</f>
        <v/>
      </c>
      <c r="U496">
        <f>IF(AND(Q496&lt;&gt;"",ISNUMBER(G496)),Q496,"")</f>
        <v/>
      </c>
      <c r="V496">
        <f>IF(AND(Q496&lt;&gt;"",ISNUMBER(H496)),Q496,"")</f>
        <v/>
      </c>
      <c r="W496">
        <f>IF(AND(Q496&lt;&gt;"",ISNUMBER(I496)),Q496,"")</f>
        <v/>
      </c>
      <c r="X496">
        <f>IF(AND(Q496&lt;&gt;"",ISNUMBER(J496)),Q496,"")</f>
        <v/>
      </c>
      <c r="Y496">
        <f>IF(AND(Q496&lt;&gt;"",ISNUMBER(K496)),Q496,"")</f>
        <v/>
      </c>
      <c r="Z496">
        <f>IF(AND(Q496&lt;&gt;"",ISNUMBER(L496)),Q496,"")</f>
        <v/>
      </c>
      <c r="AA496">
        <f>IF(AND(Q496&lt;&gt;"",ISNUMBER(M496)),Q496,"")</f>
        <v/>
      </c>
      <c r="AB496">
        <f>IF(AND(Q496&lt;&gt;"",ISNUMBER(K496)),K496,"")</f>
        <v/>
      </c>
      <c r="AC496">
        <f>IF(AND(Q496&lt;&gt;"",ISNUMBER(L496)),L496,"")</f>
        <v/>
      </c>
      <c r="AD496">
        <f>IF(AND(Q496&lt;&gt;"",ISNUMBER(M496)),M496,"")</f>
        <v/>
      </c>
    </row>
    <row r="497">
      <c r="A497" s="1" t="n"/>
      <c r="B497" s="17" t="n"/>
      <c r="C497" s="27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9" t="n"/>
      <c r="N497" s="21" t="n"/>
      <c r="O497" s="12">
        <f>IF(AND(B497="",C497=""),"",IF(NOT(ISNUMBER(B497)),"Needs a date",IF(C497="","Needs a client",IF(COUNTIF(Clients!$B$6:$B$105,C497)=0,"Not on Clients",IF(COUNT(D497:M497)=0,"Nothing measured","")))))</f>
        <v/>
      </c>
      <c r="P497" s="1">
        <f>IF(AND(O497="",ISNUMBER(B497)),INT(B497),0)</f>
        <v/>
      </c>
      <c r="Q497">
        <f>IF(AND(P497&gt;0,C497=Report!$C$5),P497*10000+ROW(),"")</f>
        <v/>
      </c>
      <c r="R497">
        <f>IF(AND(Q497&lt;&gt;"",ISNUMBER(D497)),Q497,"")</f>
        <v/>
      </c>
      <c r="S497">
        <f>IF(AND(Q497&lt;&gt;"",ISNUMBER(E497)),Q497,"")</f>
        <v/>
      </c>
      <c r="T497">
        <f>IF(AND(Q497&lt;&gt;"",ISNUMBER(F497)),Q497,"")</f>
        <v/>
      </c>
      <c r="U497">
        <f>IF(AND(Q497&lt;&gt;"",ISNUMBER(G497)),Q497,"")</f>
        <v/>
      </c>
      <c r="V497">
        <f>IF(AND(Q497&lt;&gt;"",ISNUMBER(H497)),Q497,"")</f>
        <v/>
      </c>
      <c r="W497">
        <f>IF(AND(Q497&lt;&gt;"",ISNUMBER(I497)),Q497,"")</f>
        <v/>
      </c>
      <c r="X497">
        <f>IF(AND(Q497&lt;&gt;"",ISNUMBER(J497)),Q497,"")</f>
        <v/>
      </c>
      <c r="Y497">
        <f>IF(AND(Q497&lt;&gt;"",ISNUMBER(K497)),Q497,"")</f>
        <v/>
      </c>
      <c r="Z497">
        <f>IF(AND(Q497&lt;&gt;"",ISNUMBER(L497)),Q497,"")</f>
        <v/>
      </c>
      <c r="AA497">
        <f>IF(AND(Q497&lt;&gt;"",ISNUMBER(M497)),Q497,"")</f>
        <v/>
      </c>
      <c r="AB497">
        <f>IF(AND(Q497&lt;&gt;"",ISNUMBER(K497)),K497,"")</f>
        <v/>
      </c>
      <c r="AC497">
        <f>IF(AND(Q497&lt;&gt;"",ISNUMBER(L497)),L497,"")</f>
        <v/>
      </c>
      <c r="AD497">
        <f>IF(AND(Q497&lt;&gt;"",ISNUMBER(M497)),M497,"")</f>
        <v/>
      </c>
    </row>
    <row r="498">
      <c r="A498" s="1" t="n"/>
      <c r="B498" s="17" t="n"/>
      <c r="C498" s="27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9" t="n"/>
      <c r="N498" s="21" t="n"/>
      <c r="O498" s="12">
        <f>IF(AND(B498="",C498=""),"",IF(NOT(ISNUMBER(B498)),"Needs a date",IF(C498="","Needs a client",IF(COUNTIF(Clients!$B$6:$B$105,C498)=0,"Not on Clients",IF(COUNT(D498:M498)=0,"Nothing measured","")))))</f>
        <v/>
      </c>
      <c r="P498" s="1">
        <f>IF(AND(O498="",ISNUMBER(B498)),INT(B498),0)</f>
        <v/>
      </c>
      <c r="Q498">
        <f>IF(AND(P498&gt;0,C498=Report!$C$5),P498*10000+ROW(),"")</f>
        <v/>
      </c>
      <c r="R498">
        <f>IF(AND(Q498&lt;&gt;"",ISNUMBER(D498)),Q498,"")</f>
        <v/>
      </c>
      <c r="S498">
        <f>IF(AND(Q498&lt;&gt;"",ISNUMBER(E498)),Q498,"")</f>
        <v/>
      </c>
      <c r="T498">
        <f>IF(AND(Q498&lt;&gt;"",ISNUMBER(F498)),Q498,"")</f>
        <v/>
      </c>
      <c r="U498">
        <f>IF(AND(Q498&lt;&gt;"",ISNUMBER(G498)),Q498,"")</f>
        <v/>
      </c>
      <c r="V498">
        <f>IF(AND(Q498&lt;&gt;"",ISNUMBER(H498)),Q498,"")</f>
        <v/>
      </c>
      <c r="W498">
        <f>IF(AND(Q498&lt;&gt;"",ISNUMBER(I498)),Q498,"")</f>
        <v/>
      </c>
      <c r="X498">
        <f>IF(AND(Q498&lt;&gt;"",ISNUMBER(J498)),Q498,"")</f>
        <v/>
      </c>
      <c r="Y498">
        <f>IF(AND(Q498&lt;&gt;"",ISNUMBER(K498)),Q498,"")</f>
        <v/>
      </c>
      <c r="Z498">
        <f>IF(AND(Q498&lt;&gt;"",ISNUMBER(L498)),Q498,"")</f>
        <v/>
      </c>
      <c r="AA498">
        <f>IF(AND(Q498&lt;&gt;"",ISNUMBER(M498)),Q498,"")</f>
        <v/>
      </c>
      <c r="AB498">
        <f>IF(AND(Q498&lt;&gt;"",ISNUMBER(K498)),K498,"")</f>
        <v/>
      </c>
      <c r="AC498">
        <f>IF(AND(Q498&lt;&gt;"",ISNUMBER(L498)),L498,"")</f>
        <v/>
      </c>
      <c r="AD498">
        <f>IF(AND(Q498&lt;&gt;"",ISNUMBER(M498)),M498,"")</f>
        <v/>
      </c>
    </row>
    <row r="499">
      <c r="A499" s="1" t="n"/>
      <c r="B499" s="17" t="n"/>
      <c r="C499" s="27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9" t="n"/>
      <c r="N499" s="21" t="n"/>
      <c r="O499" s="12">
        <f>IF(AND(B499="",C499=""),"",IF(NOT(ISNUMBER(B499)),"Needs a date",IF(C499="","Needs a client",IF(COUNTIF(Clients!$B$6:$B$105,C499)=0,"Not on Clients",IF(COUNT(D499:M499)=0,"Nothing measured","")))))</f>
        <v/>
      </c>
      <c r="P499" s="1">
        <f>IF(AND(O499="",ISNUMBER(B499)),INT(B499),0)</f>
        <v/>
      </c>
      <c r="Q499">
        <f>IF(AND(P499&gt;0,C499=Report!$C$5),P499*10000+ROW(),"")</f>
        <v/>
      </c>
      <c r="R499">
        <f>IF(AND(Q499&lt;&gt;"",ISNUMBER(D499)),Q499,"")</f>
        <v/>
      </c>
      <c r="S499">
        <f>IF(AND(Q499&lt;&gt;"",ISNUMBER(E499)),Q499,"")</f>
        <v/>
      </c>
      <c r="T499">
        <f>IF(AND(Q499&lt;&gt;"",ISNUMBER(F499)),Q499,"")</f>
        <v/>
      </c>
      <c r="U499">
        <f>IF(AND(Q499&lt;&gt;"",ISNUMBER(G499)),Q499,"")</f>
        <v/>
      </c>
      <c r="V499">
        <f>IF(AND(Q499&lt;&gt;"",ISNUMBER(H499)),Q499,"")</f>
        <v/>
      </c>
      <c r="W499">
        <f>IF(AND(Q499&lt;&gt;"",ISNUMBER(I499)),Q499,"")</f>
        <v/>
      </c>
      <c r="X499">
        <f>IF(AND(Q499&lt;&gt;"",ISNUMBER(J499)),Q499,"")</f>
        <v/>
      </c>
      <c r="Y499">
        <f>IF(AND(Q499&lt;&gt;"",ISNUMBER(K499)),Q499,"")</f>
        <v/>
      </c>
      <c r="Z499">
        <f>IF(AND(Q499&lt;&gt;"",ISNUMBER(L499)),Q499,"")</f>
        <v/>
      </c>
      <c r="AA499">
        <f>IF(AND(Q499&lt;&gt;"",ISNUMBER(M499)),Q499,"")</f>
        <v/>
      </c>
      <c r="AB499">
        <f>IF(AND(Q499&lt;&gt;"",ISNUMBER(K499)),K499,"")</f>
        <v/>
      </c>
      <c r="AC499">
        <f>IF(AND(Q499&lt;&gt;"",ISNUMBER(L499)),L499,"")</f>
        <v/>
      </c>
      <c r="AD499">
        <f>IF(AND(Q499&lt;&gt;"",ISNUMBER(M499)),M499,"")</f>
        <v/>
      </c>
    </row>
    <row r="500">
      <c r="A500" s="1" t="n"/>
      <c r="B500" s="17" t="n"/>
      <c r="C500" s="27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9" t="n"/>
      <c r="N500" s="21" t="n"/>
      <c r="O500" s="12">
        <f>IF(AND(B500="",C500=""),"",IF(NOT(ISNUMBER(B500)),"Needs a date",IF(C500="","Needs a client",IF(COUNTIF(Clients!$B$6:$B$105,C500)=0,"Not on Clients",IF(COUNT(D500:M500)=0,"Nothing measured","")))))</f>
        <v/>
      </c>
      <c r="P500" s="1">
        <f>IF(AND(O500="",ISNUMBER(B500)),INT(B500),0)</f>
        <v/>
      </c>
      <c r="Q500">
        <f>IF(AND(P500&gt;0,C500=Report!$C$5),P500*10000+ROW(),"")</f>
        <v/>
      </c>
      <c r="R500">
        <f>IF(AND(Q500&lt;&gt;"",ISNUMBER(D500)),Q500,"")</f>
        <v/>
      </c>
      <c r="S500">
        <f>IF(AND(Q500&lt;&gt;"",ISNUMBER(E500)),Q500,"")</f>
        <v/>
      </c>
      <c r="T500">
        <f>IF(AND(Q500&lt;&gt;"",ISNUMBER(F500)),Q500,"")</f>
        <v/>
      </c>
      <c r="U500">
        <f>IF(AND(Q500&lt;&gt;"",ISNUMBER(G500)),Q500,"")</f>
        <v/>
      </c>
      <c r="V500">
        <f>IF(AND(Q500&lt;&gt;"",ISNUMBER(H500)),Q500,"")</f>
        <v/>
      </c>
      <c r="W500">
        <f>IF(AND(Q500&lt;&gt;"",ISNUMBER(I500)),Q500,"")</f>
        <v/>
      </c>
      <c r="X500">
        <f>IF(AND(Q500&lt;&gt;"",ISNUMBER(J500)),Q500,"")</f>
        <v/>
      </c>
      <c r="Y500">
        <f>IF(AND(Q500&lt;&gt;"",ISNUMBER(K500)),Q500,"")</f>
        <v/>
      </c>
      <c r="Z500">
        <f>IF(AND(Q500&lt;&gt;"",ISNUMBER(L500)),Q500,"")</f>
        <v/>
      </c>
      <c r="AA500">
        <f>IF(AND(Q500&lt;&gt;"",ISNUMBER(M500)),Q500,"")</f>
        <v/>
      </c>
      <c r="AB500">
        <f>IF(AND(Q500&lt;&gt;"",ISNUMBER(K500)),K500,"")</f>
        <v/>
      </c>
      <c r="AC500">
        <f>IF(AND(Q500&lt;&gt;"",ISNUMBER(L500)),L500,"")</f>
        <v/>
      </c>
      <c r="AD500">
        <f>IF(AND(Q500&lt;&gt;"",ISNUMBER(M500)),M500,"")</f>
        <v/>
      </c>
    </row>
    <row r="501">
      <c r="A501" s="1" t="n"/>
      <c r="B501" s="17" t="n"/>
      <c r="C501" s="27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9" t="n"/>
      <c r="N501" s="21" t="n"/>
      <c r="O501" s="12">
        <f>IF(AND(B501="",C501=""),"",IF(NOT(ISNUMBER(B501)),"Needs a date",IF(C501="","Needs a client",IF(COUNTIF(Clients!$B$6:$B$105,C501)=0,"Not on Clients",IF(COUNT(D501:M501)=0,"Nothing measured","")))))</f>
        <v/>
      </c>
      <c r="P501" s="1">
        <f>IF(AND(O501="",ISNUMBER(B501)),INT(B501),0)</f>
        <v/>
      </c>
      <c r="Q501">
        <f>IF(AND(P501&gt;0,C501=Report!$C$5),P501*10000+ROW(),"")</f>
        <v/>
      </c>
      <c r="R501">
        <f>IF(AND(Q501&lt;&gt;"",ISNUMBER(D501)),Q501,"")</f>
        <v/>
      </c>
      <c r="S501">
        <f>IF(AND(Q501&lt;&gt;"",ISNUMBER(E501)),Q501,"")</f>
        <v/>
      </c>
      <c r="T501">
        <f>IF(AND(Q501&lt;&gt;"",ISNUMBER(F501)),Q501,"")</f>
        <v/>
      </c>
      <c r="U501">
        <f>IF(AND(Q501&lt;&gt;"",ISNUMBER(G501)),Q501,"")</f>
        <v/>
      </c>
      <c r="V501">
        <f>IF(AND(Q501&lt;&gt;"",ISNUMBER(H501)),Q501,"")</f>
        <v/>
      </c>
      <c r="W501">
        <f>IF(AND(Q501&lt;&gt;"",ISNUMBER(I501)),Q501,"")</f>
        <v/>
      </c>
      <c r="X501">
        <f>IF(AND(Q501&lt;&gt;"",ISNUMBER(J501)),Q501,"")</f>
        <v/>
      </c>
      <c r="Y501">
        <f>IF(AND(Q501&lt;&gt;"",ISNUMBER(K501)),Q501,"")</f>
        <v/>
      </c>
      <c r="Z501">
        <f>IF(AND(Q501&lt;&gt;"",ISNUMBER(L501)),Q501,"")</f>
        <v/>
      </c>
      <c r="AA501">
        <f>IF(AND(Q501&lt;&gt;"",ISNUMBER(M501)),Q501,"")</f>
        <v/>
      </c>
      <c r="AB501">
        <f>IF(AND(Q501&lt;&gt;"",ISNUMBER(K501)),K501,"")</f>
        <v/>
      </c>
      <c r="AC501">
        <f>IF(AND(Q501&lt;&gt;"",ISNUMBER(L501)),L501,"")</f>
        <v/>
      </c>
      <c r="AD501">
        <f>IF(AND(Q501&lt;&gt;"",ISNUMBER(M501)),M501,"")</f>
        <v/>
      </c>
    </row>
    <row r="502">
      <c r="A502" s="1" t="n"/>
      <c r="B502" s="17" t="n"/>
      <c r="C502" s="27" t="n"/>
      <c r="D502" s="2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9" t="n"/>
      <c r="N502" s="21" t="n"/>
      <c r="O502" s="12">
        <f>IF(AND(B502="",C502=""),"",IF(NOT(ISNUMBER(B502)),"Needs a date",IF(C502="","Needs a client",IF(COUNTIF(Clients!$B$6:$B$105,C502)=0,"Not on Clients",IF(COUNT(D502:M502)=0,"Nothing measured","")))))</f>
        <v/>
      </c>
      <c r="P502" s="1">
        <f>IF(AND(O502="",ISNUMBER(B502)),INT(B502),0)</f>
        <v/>
      </c>
      <c r="Q502">
        <f>IF(AND(P502&gt;0,C502=Report!$C$5),P502*10000+ROW(),"")</f>
        <v/>
      </c>
      <c r="R502">
        <f>IF(AND(Q502&lt;&gt;"",ISNUMBER(D502)),Q502,"")</f>
        <v/>
      </c>
      <c r="S502">
        <f>IF(AND(Q502&lt;&gt;"",ISNUMBER(E502)),Q502,"")</f>
        <v/>
      </c>
      <c r="T502">
        <f>IF(AND(Q502&lt;&gt;"",ISNUMBER(F502)),Q502,"")</f>
        <v/>
      </c>
      <c r="U502">
        <f>IF(AND(Q502&lt;&gt;"",ISNUMBER(G502)),Q502,"")</f>
        <v/>
      </c>
      <c r="V502">
        <f>IF(AND(Q502&lt;&gt;"",ISNUMBER(H502)),Q502,"")</f>
        <v/>
      </c>
      <c r="W502">
        <f>IF(AND(Q502&lt;&gt;"",ISNUMBER(I502)),Q502,"")</f>
        <v/>
      </c>
      <c r="X502">
        <f>IF(AND(Q502&lt;&gt;"",ISNUMBER(J502)),Q502,"")</f>
        <v/>
      </c>
      <c r="Y502">
        <f>IF(AND(Q502&lt;&gt;"",ISNUMBER(K502)),Q502,"")</f>
        <v/>
      </c>
      <c r="Z502">
        <f>IF(AND(Q502&lt;&gt;"",ISNUMBER(L502)),Q502,"")</f>
        <v/>
      </c>
      <c r="AA502">
        <f>IF(AND(Q502&lt;&gt;"",ISNUMBER(M502)),Q502,"")</f>
        <v/>
      </c>
      <c r="AB502">
        <f>IF(AND(Q502&lt;&gt;"",ISNUMBER(K502)),K502,"")</f>
        <v/>
      </c>
      <c r="AC502">
        <f>IF(AND(Q502&lt;&gt;"",ISNUMBER(L502)),L502,"")</f>
        <v/>
      </c>
      <c r="AD502">
        <f>IF(AND(Q502&lt;&gt;"",ISNUMBER(M502)),M502,"")</f>
        <v/>
      </c>
    </row>
    <row r="503">
      <c r="A503" s="1" t="n"/>
      <c r="B503" s="17" t="n"/>
      <c r="C503" s="27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9" t="n"/>
      <c r="N503" s="21" t="n"/>
      <c r="O503" s="12">
        <f>IF(AND(B503="",C503=""),"",IF(NOT(ISNUMBER(B503)),"Needs a date",IF(C503="","Needs a client",IF(COUNTIF(Clients!$B$6:$B$105,C503)=0,"Not on Clients",IF(COUNT(D503:M503)=0,"Nothing measured","")))))</f>
        <v/>
      </c>
      <c r="P503" s="1">
        <f>IF(AND(O503="",ISNUMBER(B503)),INT(B503),0)</f>
        <v/>
      </c>
      <c r="Q503">
        <f>IF(AND(P503&gt;0,C503=Report!$C$5),P503*10000+ROW(),"")</f>
        <v/>
      </c>
      <c r="R503">
        <f>IF(AND(Q503&lt;&gt;"",ISNUMBER(D503)),Q503,"")</f>
        <v/>
      </c>
      <c r="S503">
        <f>IF(AND(Q503&lt;&gt;"",ISNUMBER(E503)),Q503,"")</f>
        <v/>
      </c>
      <c r="T503">
        <f>IF(AND(Q503&lt;&gt;"",ISNUMBER(F503)),Q503,"")</f>
        <v/>
      </c>
      <c r="U503">
        <f>IF(AND(Q503&lt;&gt;"",ISNUMBER(G503)),Q503,"")</f>
        <v/>
      </c>
      <c r="V503">
        <f>IF(AND(Q503&lt;&gt;"",ISNUMBER(H503)),Q503,"")</f>
        <v/>
      </c>
      <c r="W503">
        <f>IF(AND(Q503&lt;&gt;"",ISNUMBER(I503)),Q503,"")</f>
        <v/>
      </c>
      <c r="X503">
        <f>IF(AND(Q503&lt;&gt;"",ISNUMBER(J503)),Q503,"")</f>
        <v/>
      </c>
      <c r="Y503">
        <f>IF(AND(Q503&lt;&gt;"",ISNUMBER(K503)),Q503,"")</f>
        <v/>
      </c>
      <c r="Z503">
        <f>IF(AND(Q503&lt;&gt;"",ISNUMBER(L503)),Q503,"")</f>
        <v/>
      </c>
      <c r="AA503">
        <f>IF(AND(Q503&lt;&gt;"",ISNUMBER(M503)),Q503,"")</f>
        <v/>
      </c>
      <c r="AB503">
        <f>IF(AND(Q503&lt;&gt;"",ISNUMBER(K503)),K503,"")</f>
        <v/>
      </c>
      <c r="AC503">
        <f>IF(AND(Q503&lt;&gt;"",ISNUMBER(L503)),L503,"")</f>
        <v/>
      </c>
      <c r="AD503">
        <f>IF(AND(Q503&lt;&gt;"",ISNUMBER(M503)),M503,"")</f>
        <v/>
      </c>
    </row>
    <row r="504">
      <c r="A504" s="1" t="n"/>
      <c r="B504" s="17" t="n"/>
      <c r="C504" s="27" t="n"/>
      <c r="D504" s="28" t="n"/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9" t="n"/>
      <c r="N504" s="21" t="n"/>
      <c r="O504" s="12">
        <f>IF(AND(B504="",C504=""),"",IF(NOT(ISNUMBER(B504)),"Needs a date",IF(C504="","Needs a client",IF(COUNTIF(Clients!$B$6:$B$105,C504)=0,"Not on Clients",IF(COUNT(D504:M504)=0,"Nothing measured","")))))</f>
        <v/>
      </c>
      <c r="P504" s="1">
        <f>IF(AND(O504="",ISNUMBER(B504)),INT(B504),0)</f>
        <v/>
      </c>
      <c r="Q504">
        <f>IF(AND(P504&gt;0,C504=Report!$C$5),P504*10000+ROW(),"")</f>
        <v/>
      </c>
      <c r="R504">
        <f>IF(AND(Q504&lt;&gt;"",ISNUMBER(D504)),Q504,"")</f>
        <v/>
      </c>
      <c r="S504">
        <f>IF(AND(Q504&lt;&gt;"",ISNUMBER(E504)),Q504,"")</f>
        <v/>
      </c>
      <c r="T504">
        <f>IF(AND(Q504&lt;&gt;"",ISNUMBER(F504)),Q504,"")</f>
        <v/>
      </c>
      <c r="U504">
        <f>IF(AND(Q504&lt;&gt;"",ISNUMBER(G504)),Q504,"")</f>
        <v/>
      </c>
      <c r="V504">
        <f>IF(AND(Q504&lt;&gt;"",ISNUMBER(H504)),Q504,"")</f>
        <v/>
      </c>
      <c r="W504">
        <f>IF(AND(Q504&lt;&gt;"",ISNUMBER(I504)),Q504,"")</f>
        <v/>
      </c>
      <c r="X504">
        <f>IF(AND(Q504&lt;&gt;"",ISNUMBER(J504)),Q504,"")</f>
        <v/>
      </c>
      <c r="Y504">
        <f>IF(AND(Q504&lt;&gt;"",ISNUMBER(K504)),Q504,"")</f>
        <v/>
      </c>
      <c r="Z504">
        <f>IF(AND(Q504&lt;&gt;"",ISNUMBER(L504)),Q504,"")</f>
        <v/>
      </c>
      <c r="AA504">
        <f>IF(AND(Q504&lt;&gt;"",ISNUMBER(M504)),Q504,"")</f>
        <v/>
      </c>
      <c r="AB504">
        <f>IF(AND(Q504&lt;&gt;"",ISNUMBER(K504)),K504,"")</f>
        <v/>
      </c>
      <c r="AC504">
        <f>IF(AND(Q504&lt;&gt;"",ISNUMBER(L504)),L504,"")</f>
        <v/>
      </c>
      <c r="AD504">
        <f>IF(AND(Q504&lt;&gt;"",ISNUMBER(M504)),M504,"")</f>
        <v/>
      </c>
    </row>
    <row r="505">
      <c r="A505" s="1" t="n"/>
      <c r="B505" s="17" t="n"/>
      <c r="C505" s="27" t="n"/>
      <c r="D505" s="2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9" t="n"/>
      <c r="N505" s="21" t="n"/>
      <c r="O505" s="12">
        <f>IF(AND(B505="",C505=""),"",IF(NOT(ISNUMBER(B505)),"Needs a date",IF(C505="","Needs a client",IF(COUNTIF(Clients!$B$6:$B$105,C505)=0,"Not on Clients",IF(COUNT(D505:M505)=0,"Nothing measured","")))))</f>
        <v/>
      </c>
      <c r="P505" s="1">
        <f>IF(AND(O505="",ISNUMBER(B505)),INT(B505),0)</f>
        <v/>
      </c>
      <c r="Q505">
        <f>IF(AND(P505&gt;0,C505=Report!$C$5),P505*10000+ROW(),"")</f>
        <v/>
      </c>
      <c r="R505">
        <f>IF(AND(Q505&lt;&gt;"",ISNUMBER(D505)),Q505,"")</f>
        <v/>
      </c>
      <c r="S505">
        <f>IF(AND(Q505&lt;&gt;"",ISNUMBER(E505)),Q505,"")</f>
        <v/>
      </c>
      <c r="T505">
        <f>IF(AND(Q505&lt;&gt;"",ISNUMBER(F505)),Q505,"")</f>
        <v/>
      </c>
      <c r="U505">
        <f>IF(AND(Q505&lt;&gt;"",ISNUMBER(G505)),Q505,"")</f>
        <v/>
      </c>
      <c r="V505">
        <f>IF(AND(Q505&lt;&gt;"",ISNUMBER(H505)),Q505,"")</f>
        <v/>
      </c>
      <c r="W505">
        <f>IF(AND(Q505&lt;&gt;"",ISNUMBER(I505)),Q505,"")</f>
        <v/>
      </c>
      <c r="X505">
        <f>IF(AND(Q505&lt;&gt;"",ISNUMBER(J505)),Q505,"")</f>
        <v/>
      </c>
      <c r="Y505">
        <f>IF(AND(Q505&lt;&gt;"",ISNUMBER(K505)),Q505,"")</f>
        <v/>
      </c>
      <c r="Z505">
        <f>IF(AND(Q505&lt;&gt;"",ISNUMBER(L505)),Q505,"")</f>
        <v/>
      </c>
      <c r="AA505">
        <f>IF(AND(Q505&lt;&gt;"",ISNUMBER(M505)),Q505,"")</f>
        <v/>
      </c>
      <c r="AB505">
        <f>IF(AND(Q505&lt;&gt;"",ISNUMBER(K505)),K505,"")</f>
        <v/>
      </c>
      <c r="AC505">
        <f>IF(AND(Q505&lt;&gt;"",ISNUMBER(L505)),L505,"")</f>
        <v/>
      </c>
      <c r="AD505">
        <f>IF(AND(Q505&lt;&gt;"",ISNUMBER(M505)),M505,"")</f>
        <v/>
      </c>
    </row>
    <row r="506">
      <c r="A506" s="1" t="n"/>
      <c r="B506" s="17" t="n"/>
      <c r="C506" s="27" t="n"/>
      <c r="D506" s="28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9" t="n"/>
      <c r="N506" s="21" t="n"/>
      <c r="O506" s="12">
        <f>IF(AND(B506="",C506=""),"",IF(NOT(ISNUMBER(B506)),"Needs a date",IF(C506="","Needs a client",IF(COUNTIF(Clients!$B$6:$B$105,C506)=0,"Not on Clients",IF(COUNT(D506:M506)=0,"Nothing measured","")))))</f>
        <v/>
      </c>
      <c r="P506" s="1">
        <f>IF(AND(O506="",ISNUMBER(B506)),INT(B506),0)</f>
        <v/>
      </c>
      <c r="Q506">
        <f>IF(AND(P506&gt;0,C506=Report!$C$5),P506*10000+ROW(),"")</f>
        <v/>
      </c>
      <c r="R506">
        <f>IF(AND(Q506&lt;&gt;"",ISNUMBER(D506)),Q506,"")</f>
        <v/>
      </c>
      <c r="S506">
        <f>IF(AND(Q506&lt;&gt;"",ISNUMBER(E506)),Q506,"")</f>
        <v/>
      </c>
      <c r="T506">
        <f>IF(AND(Q506&lt;&gt;"",ISNUMBER(F506)),Q506,"")</f>
        <v/>
      </c>
      <c r="U506">
        <f>IF(AND(Q506&lt;&gt;"",ISNUMBER(G506)),Q506,"")</f>
        <v/>
      </c>
      <c r="V506">
        <f>IF(AND(Q506&lt;&gt;"",ISNUMBER(H506)),Q506,"")</f>
        <v/>
      </c>
      <c r="W506">
        <f>IF(AND(Q506&lt;&gt;"",ISNUMBER(I506)),Q506,"")</f>
        <v/>
      </c>
      <c r="X506">
        <f>IF(AND(Q506&lt;&gt;"",ISNUMBER(J506)),Q506,"")</f>
        <v/>
      </c>
      <c r="Y506">
        <f>IF(AND(Q506&lt;&gt;"",ISNUMBER(K506)),Q506,"")</f>
        <v/>
      </c>
      <c r="Z506">
        <f>IF(AND(Q506&lt;&gt;"",ISNUMBER(L506)),Q506,"")</f>
        <v/>
      </c>
      <c r="AA506">
        <f>IF(AND(Q506&lt;&gt;"",ISNUMBER(M506)),Q506,"")</f>
        <v/>
      </c>
      <c r="AB506">
        <f>IF(AND(Q506&lt;&gt;"",ISNUMBER(K506)),K506,"")</f>
        <v/>
      </c>
      <c r="AC506">
        <f>IF(AND(Q506&lt;&gt;"",ISNUMBER(L506)),L506,"")</f>
        <v/>
      </c>
      <c r="AD506">
        <f>IF(AND(Q506&lt;&gt;"",ISNUMBER(M506)),M506,"")</f>
        <v/>
      </c>
    </row>
    <row r="507">
      <c r="A507" s="1" t="n"/>
      <c r="B507" s="17" t="n"/>
      <c r="C507" s="27" t="n"/>
      <c r="D507" s="28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9" t="n"/>
      <c r="N507" s="21" t="n"/>
      <c r="O507" s="12">
        <f>IF(AND(B507="",C507=""),"",IF(NOT(ISNUMBER(B507)),"Needs a date",IF(C507="","Needs a client",IF(COUNTIF(Clients!$B$6:$B$105,C507)=0,"Not on Clients",IF(COUNT(D507:M507)=0,"Nothing measured","")))))</f>
        <v/>
      </c>
      <c r="P507" s="1">
        <f>IF(AND(O507="",ISNUMBER(B507)),INT(B507),0)</f>
        <v/>
      </c>
      <c r="Q507">
        <f>IF(AND(P507&gt;0,C507=Report!$C$5),P507*10000+ROW(),"")</f>
        <v/>
      </c>
      <c r="R507">
        <f>IF(AND(Q507&lt;&gt;"",ISNUMBER(D507)),Q507,"")</f>
        <v/>
      </c>
      <c r="S507">
        <f>IF(AND(Q507&lt;&gt;"",ISNUMBER(E507)),Q507,"")</f>
        <v/>
      </c>
      <c r="T507">
        <f>IF(AND(Q507&lt;&gt;"",ISNUMBER(F507)),Q507,"")</f>
        <v/>
      </c>
      <c r="U507">
        <f>IF(AND(Q507&lt;&gt;"",ISNUMBER(G507)),Q507,"")</f>
        <v/>
      </c>
      <c r="V507">
        <f>IF(AND(Q507&lt;&gt;"",ISNUMBER(H507)),Q507,"")</f>
        <v/>
      </c>
      <c r="W507">
        <f>IF(AND(Q507&lt;&gt;"",ISNUMBER(I507)),Q507,"")</f>
        <v/>
      </c>
      <c r="X507">
        <f>IF(AND(Q507&lt;&gt;"",ISNUMBER(J507)),Q507,"")</f>
        <v/>
      </c>
      <c r="Y507">
        <f>IF(AND(Q507&lt;&gt;"",ISNUMBER(K507)),Q507,"")</f>
        <v/>
      </c>
      <c r="Z507">
        <f>IF(AND(Q507&lt;&gt;"",ISNUMBER(L507)),Q507,"")</f>
        <v/>
      </c>
      <c r="AA507">
        <f>IF(AND(Q507&lt;&gt;"",ISNUMBER(M507)),Q507,"")</f>
        <v/>
      </c>
      <c r="AB507">
        <f>IF(AND(Q507&lt;&gt;"",ISNUMBER(K507)),K507,"")</f>
        <v/>
      </c>
      <c r="AC507">
        <f>IF(AND(Q507&lt;&gt;"",ISNUMBER(L507)),L507,"")</f>
        <v/>
      </c>
      <c r="AD507">
        <f>IF(AND(Q507&lt;&gt;"",ISNUMBER(M507)),M507,"")</f>
        <v/>
      </c>
    </row>
    <row r="508">
      <c r="A508" s="1" t="n"/>
      <c r="B508" s="17" t="n"/>
      <c r="C508" s="27" t="n"/>
      <c r="D508" s="28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9" t="n"/>
      <c r="N508" s="21" t="n"/>
      <c r="O508" s="12">
        <f>IF(AND(B508="",C508=""),"",IF(NOT(ISNUMBER(B508)),"Needs a date",IF(C508="","Needs a client",IF(COUNTIF(Clients!$B$6:$B$105,C508)=0,"Not on Clients",IF(COUNT(D508:M508)=0,"Nothing measured","")))))</f>
        <v/>
      </c>
      <c r="P508" s="1">
        <f>IF(AND(O508="",ISNUMBER(B508)),INT(B508),0)</f>
        <v/>
      </c>
      <c r="Q508">
        <f>IF(AND(P508&gt;0,C508=Report!$C$5),P508*10000+ROW(),"")</f>
        <v/>
      </c>
      <c r="R508">
        <f>IF(AND(Q508&lt;&gt;"",ISNUMBER(D508)),Q508,"")</f>
        <v/>
      </c>
      <c r="S508">
        <f>IF(AND(Q508&lt;&gt;"",ISNUMBER(E508)),Q508,"")</f>
        <v/>
      </c>
      <c r="T508">
        <f>IF(AND(Q508&lt;&gt;"",ISNUMBER(F508)),Q508,"")</f>
        <v/>
      </c>
      <c r="U508">
        <f>IF(AND(Q508&lt;&gt;"",ISNUMBER(G508)),Q508,"")</f>
        <v/>
      </c>
      <c r="V508">
        <f>IF(AND(Q508&lt;&gt;"",ISNUMBER(H508)),Q508,"")</f>
        <v/>
      </c>
      <c r="W508">
        <f>IF(AND(Q508&lt;&gt;"",ISNUMBER(I508)),Q508,"")</f>
        <v/>
      </c>
      <c r="X508">
        <f>IF(AND(Q508&lt;&gt;"",ISNUMBER(J508)),Q508,"")</f>
        <v/>
      </c>
      <c r="Y508">
        <f>IF(AND(Q508&lt;&gt;"",ISNUMBER(K508)),Q508,"")</f>
        <v/>
      </c>
      <c r="Z508">
        <f>IF(AND(Q508&lt;&gt;"",ISNUMBER(L508)),Q508,"")</f>
        <v/>
      </c>
      <c r="AA508">
        <f>IF(AND(Q508&lt;&gt;"",ISNUMBER(M508)),Q508,"")</f>
        <v/>
      </c>
      <c r="AB508">
        <f>IF(AND(Q508&lt;&gt;"",ISNUMBER(K508)),K508,"")</f>
        <v/>
      </c>
      <c r="AC508">
        <f>IF(AND(Q508&lt;&gt;"",ISNUMBER(L508)),L508,"")</f>
        <v/>
      </c>
      <c r="AD508">
        <f>IF(AND(Q508&lt;&gt;"",ISNUMBER(M508)),M508,"")</f>
        <v/>
      </c>
    </row>
    <row r="509">
      <c r="A509" s="1" t="n"/>
      <c r="B509" s="17" t="n"/>
      <c r="C509" s="27" t="n"/>
      <c r="D509" s="2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9" t="n"/>
      <c r="N509" s="21" t="n"/>
      <c r="O509" s="12">
        <f>IF(AND(B509="",C509=""),"",IF(NOT(ISNUMBER(B509)),"Needs a date",IF(C509="","Needs a client",IF(COUNTIF(Clients!$B$6:$B$105,C509)=0,"Not on Clients",IF(COUNT(D509:M509)=0,"Nothing measured","")))))</f>
        <v/>
      </c>
      <c r="P509" s="1">
        <f>IF(AND(O509="",ISNUMBER(B509)),INT(B509),0)</f>
        <v/>
      </c>
      <c r="Q509">
        <f>IF(AND(P509&gt;0,C509=Report!$C$5),P509*10000+ROW(),"")</f>
        <v/>
      </c>
      <c r="R509">
        <f>IF(AND(Q509&lt;&gt;"",ISNUMBER(D509)),Q509,"")</f>
        <v/>
      </c>
      <c r="S509">
        <f>IF(AND(Q509&lt;&gt;"",ISNUMBER(E509)),Q509,"")</f>
        <v/>
      </c>
      <c r="T509">
        <f>IF(AND(Q509&lt;&gt;"",ISNUMBER(F509)),Q509,"")</f>
        <v/>
      </c>
      <c r="U509">
        <f>IF(AND(Q509&lt;&gt;"",ISNUMBER(G509)),Q509,"")</f>
        <v/>
      </c>
      <c r="V509">
        <f>IF(AND(Q509&lt;&gt;"",ISNUMBER(H509)),Q509,"")</f>
        <v/>
      </c>
      <c r="W509">
        <f>IF(AND(Q509&lt;&gt;"",ISNUMBER(I509)),Q509,"")</f>
        <v/>
      </c>
      <c r="X509">
        <f>IF(AND(Q509&lt;&gt;"",ISNUMBER(J509)),Q509,"")</f>
        <v/>
      </c>
      <c r="Y509">
        <f>IF(AND(Q509&lt;&gt;"",ISNUMBER(K509)),Q509,"")</f>
        <v/>
      </c>
      <c r="Z509">
        <f>IF(AND(Q509&lt;&gt;"",ISNUMBER(L509)),Q509,"")</f>
        <v/>
      </c>
      <c r="AA509">
        <f>IF(AND(Q509&lt;&gt;"",ISNUMBER(M509)),Q509,"")</f>
        <v/>
      </c>
      <c r="AB509">
        <f>IF(AND(Q509&lt;&gt;"",ISNUMBER(K509)),K509,"")</f>
        <v/>
      </c>
      <c r="AC509">
        <f>IF(AND(Q509&lt;&gt;"",ISNUMBER(L509)),L509,"")</f>
        <v/>
      </c>
      <c r="AD509">
        <f>IF(AND(Q509&lt;&gt;"",ISNUMBER(M509)),M509,"")</f>
        <v/>
      </c>
    </row>
    <row r="510">
      <c r="A510" s="1" t="n"/>
      <c r="B510" s="17" t="n"/>
      <c r="C510" s="27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9" t="n"/>
      <c r="N510" s="21" t="n"/>
      <c r="O510" s="12">
        <f>IF(AND(B510="",C510=""),"",IF(NOT(ISNUMBER(B510)),"Needs a date",IF(C510="","Needs a client",IF(COUNTIF(Clients!$B$6:$B$105,C510)=0,"Not on Clients",IF(COUNT(D510:M510)=0,"Nothing measured","")))))</f>
        <v/>
      </c>
      <c r="P510" s="1">
        <f>IF(AND(O510="",ISNUMBER(B510)),INT(B510),0)</f>
        <v/>
      </c>
      <c r="Q510">
        <f>IF(AND(P510&gt;0,C510=Report!$C$5),P510*10000+ROW(),"")</f>
        <v/>
      </c>
      <c r="R510">
        <f>IF(AND(Q510&lt;&gt;"",ISNUMBER(D510)),Q510,"")</f>
        <v/>
      </c>
      <c r="S510">
        <f>IF(AND(Q510&lt;&gt;"",ISNUMBER(E510)),Q510,"")</f>
        <v/>
      </c>
      <c r="T510">
        <f>IF(AND(Q510&lt;&gt;"",ISNUMBER(F510)),Q510,"")</f>
        <v/>
      </c>
      <c r="U510">
        <f>IF(AND(Q510&lt;&gt;"",ISNUMBER(G510)),Q510,"")</f>
        <v/>
      </c>
      <c r="V510">
        <f>IF(AND(Q510&lt;&gt;"",ISNUMBER(H510)),Q510,"")</f>
        <v/>
      </c>
      <c r="W510">
        <f>IF(AND(Q510&lt;&gt;"",ISNUMBER(I510)),Q510,"")</f>
        <v/>
      </c>
      <c r="X510">
        <f>IF(AND(Q510&lt;&gt;"",ISNUMBER(J510)),Q510,"")</f>
        <v/>
      </c>
      <c r="Y510">
        <f>IF(AND(Q510&lt;&gt;"",ISNUMBER(K510)),Q510,"")</f>
        <v/>
      </c>
      <c r="Z510">
        <f>IF(AND(Q510&lt;&gt;"",ISNUMBER(L510)),Q510,"")</f>
        <v/>
      </c>
      <c r="AA510">
        <f>IF(AND(Q510&lt;&gt;"",ISNUMBER(M510)),Q510,"")</f>
        <v/>
      </c>
      <c r="AB510">
        <f>IF(AND(Q510&lt;&gt;"",ISNUMBER(K510)),K510,"")</f>
        <v/>
      </c>
      <c r="AC510">
        <f>IF(AND(Q510&lt;&gt;"",ISNUMBER(L510)),L510,"")</f>
        <v/>
      </c>
      <c r="AD510">
        <f>IF(AND(Q510&lt;&gt;"",ISNUMBER(M510)),M510,"")</f>
        <v/>
      </c>
    </row>
    <row r="511">
      <c r="A511" s="1" t="n"/>
      <c r="B511" s="17" t="n"/>
      <c r="C511" s="27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9" t="n"/>
      <c r="N511" s="21" t="n"/>
      <c r="O511" s="12">
        <f>IF(AND(B511="",C511=""),"",IF(NOT(ISNUMBER(B511)),"Needs a date",IF(C511="","Needs a client",IF(COUNTIF(Clients!$B$6:$B$105,C511)=0,"Not on Clients",IF(COUNT(D511:M511)=0,"Nothing measured","")))))</f>
        <v/>
      </c>
      <c r="P511" s="1">
        <f>IF(AND(O511="",ISNUMBER(B511)),INT(B511),0)</f>
        <v/>
      </c>
      <c r="Q511">
        <f>IF(AND(P511&gt;0,C511=Report!$C$5),P511*10000+ROW(),"")</f>
        <v/>
      </c>
      <c r="R511">
        <f>IF(AND(Q511&lt;&gt;"",ISNUMBER(D511)),Q511,"")</f>
        <v/>
      </c>
      <c r="S511">
        <f>IF(AND(Q511&lt;&gt;"",ISNUMBER(E511)),Q511,"")</f>
        <v/>
      </c>
      <c r="T511">
        <f>IF(AND(Q511&lt;&gt;"",ISNUMBER(F511)),Q511,"")</f>
        <v/>
      </c>
      <c r="U511">
        <f>IF(AND(Q511&lt;&gt;"",ISNUMBER(G511)),Q511,"")</f>
        <v/>
      </c>
      <c r="V511">
        <f>IF(AND(Q511&lt;&gt;"",ISNUMBER(H511)),Q511,"")</f>
        <v/>
      </c>
      <c r="W511">
        <f>IF(AND(Q511&lt;&gt;"",ISNUMBER(I511)),Q511,"")</f>
        <v/>
      </c>
      <c r="X511">
        <f>IF(AND(Q511&lt;&gt;"",ISNUMBER(J511)),Q511,"")</f>
        <v/>
      </c>
      <c r="Y511">
        <f>IF(AND(Q511&lt;&gt;"",ISNUMBER(K511)),Q511,"")</f>
        <v/>
      </c>
      <c r="Z511">
        <f>IF(AND(Q511&lt;&gt;"",ISNUMBER(L511)),Q511,"")</f>
        <v/>
      </c>
      <c r="AA511">
        <f>IF(AND(Q511&lt;&gt;"",ISNUMBER(M511)),Q511,"")</f>
        <v/>
      </c>
      <c r="AB511">
        <f>IF(AND(Q511&lt;&gt;"",ISNUMBER(K511)),K511,"")</f>
        <v/>
      </c>
      <c r="AC511">
        <f>IF(AND(Q511&lt;&gt;"",ISNUMBER(L511)),L511,"")</f>
        <v/>
      </c>
      <c r="AD511">
        <f>IF(AND(Q511&lt;&gt;"",ISNUMBER(M511)),M511,"")</f>
        <v/>
      </c>
    </row>
    <row r="512">
      <c r="A512" s="1" t="n"/>
      <c r="B512" s="17" t="n"/>
      <c r="C512" s="27" t="n"/>
      <c r="D512" s="2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9" t="n"/>
      <c r="N512" s="21" t="n"/>
      <c r="O512" s="12">
        <f>IF(AND(B512="",C512=""),"",IF(NOT(ISNUMBER(B512)),"Needs a date",IF(C512="","Needs a client",IF(COUNTIF(Clients!$B$6:$B$105,C512)=0,"Not on Clients",IF(COUNT(D512:M512)=0,"Nothing measured","")))))</f>
        <v/>
      </c>
      <c r="P512" s="1">
        <f>IF(AND(O512="",ISNUMBER(B512)),INT(B512),0)</f>
        <v/>
      </c>
      <c r="Q512">
        <f>IF(AND(P512&gt;0,C512=Report!$C$5),P512*10000+ROW(),"")</f>
        <v/>
      </c>
      <c r="R512">
        <f>IF(AND(Q512&lt;&gt;"",ISNUMBER(D512)),Q512,"")</f>
        <v/>
      </c>
      <c r="S512">
        <f>IF(AND(Q512&lt;&gt;"",ISNUMBER(E512)),Q512,"")</f>
        <v/>
      </c>
      <c r="T512">
        <f>IF(AND(Q512&lt;&gt;"",ISNUMBER(F512)),Q512,"")</f>
        <v/>
      </c>
      <c r="U512">
        <f>IF(AND(Q512&lt;&gt;"",ISNUMBER(G512)),Q512,"")</f>
        <v/>
      </c>
      <c r="V512">
        <f>IF(AND(Q512&lt;&gt;"",ISNUMBER(H512)),Q512,"")</f>
        <v/>
      </c>
      <c r="W512">
        <f>IF(AND(Q512&lt;&gt;"",ISNUMBER(I512)),Q512,"")</f>
        <v/>
      </c>
      <c r="X512">
        <f>IF(AND(Q512&lt;&gt;"",ISNUMBER(J512)),Q512,"")</f>
        <v/>
      </c>
      <c r="Y512">
        <f>IF(AND(Q512&lt;&gt;"",ISNUMBER(K512)),Q512,"")</f>
        <v/>
      </c>
      <c r="Z512">
        <f>IF(AND(Q512&lt;&gt;"",ISNUMBER(L512)),Q512,"")</f>
        <v/>
      </c>
      <c r="AA512">
        <f>IF(AND(Q512&lt;&gt;"",ISNUMBER(M512)),Q512,"")</f>
        <v/>
      </c>
      <c r="AB512">
        <f>IF(AND(Q512&lt;&gt;"",ISNUMBER(K512)),K512,"")</f>
        <v/>
      </c>
      <c r="AC512">
        <f>IF(AND(Q512&lt;&gt;"",ISNUMBER(L512)),L512,"")</f>
        <v/>
      </c>
      <c r="AD512">
        <f>IF(AND(Q512&lt;&gt;"",ISNUMBER(M512)),M512,"")</f>
        <v/>
      </c>
    </row>
    <row r="513">
      <c r="A513" s="1" t="n"/>
      <c r="B513" s="17" t="n"/>
      <c r="C513" s="27" t="n"/>
      <c r="D513" s="2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9" t="n"/>
      <c r="N513" s="21" t="n"/>
      <c r="O513" s="12">
        <f>IF(AND(B513="",C513=""),"",IF(NOT(ISNUMBER(B513)),"Needs a date",IF(C513="","Needs a client",IF(COUNTIF(Clients!$B$6:$B$105,C513)=0,"Not on Clients",IF(COUNT(D513:M513)=0,"Nothing measured","")))))</f>
        <v/>
      </c>
      <c r="P513" s="1">
        <f>IF(AND(O513="",ISNUMBER(B513)),INT(B513),0)</f>
        <v/>
      </c>
      <c r="Q513">
        <f>IF(AND(P513&gt;0,C513=Report!$C$5),P513*10000+ROW(),"")</f>
        <v/>
      </c>
      <c r="R513">
        <f>IF(AND(Q513&lt;&gt;"",ISNUMBER(D513)),Q513,"")</f>
        <v/>
      </c>
      <c r="S513">
        <f>IF(AND(Q513&lt;&gt;"",ISNUMBER(E513)),Q513,"")</f>
        <v/>
      </c>
      <c r="T513">
        <f>IF(AND(Q513&lt;&gt;"",ISNUMBER(F513)),Q513,"")</f>
        <v/>
      </c>
      <c r="U513">
        <f>IF(AND(Q513&lt;&gt;"",ISNUMBER(G513)),Q513,"")</f>
        <v/>
      </c>
      <c r="V513">
        <f>IF(AND(Q513&lt;&gt;"",ISNUMBER(H513)),Q513,"")</f>
        <v/>
      </c>
      <c r="W513">
        <f>IF(AND(Q513&lt;&gt;"",ISNUMBER(I513)),Q513,"")</f>
        <v/>
      </c>
      <c r="X513">
        <f>IF(AND(Q513&lt;&gt;"",ISNUMBER(J513)),Q513,"")</f>
        <v/>
      </c>
      <c r="Y513">
        <f>IF(AND(Q513&lt;&gt;"",ISNUMBER(K513)),Q513,"")</f>
        <v/>
      </c>
      <c r="Z513">
        <f>IF(AND(Q513&lt;&gt;"",ISNUMBER(L513)),Q513,"")</f>
        <v/>
      </c>
      <c r="AA513">
        <f>IF(AND(Q513&lt;&gt;"",ISNUMBER(M513)),Q513,"")</f>
        <v/>
      </c>
      <c r="AB513">
        <f>IF(AND(Q513&lt;&gt;"",ISNUMBER(K513)),K513,"")</f>
        <v/>
      </c>
      <c r="AC513">
        <f>IF(AND(Q513&lt;&gt;"",ISNUMBER(L513)),L513,"")</f>
        <v/>
      </c>
      <c r="AD513">
        <f>IF(AND(Q513&lt;&gt;"",ISNUMBER(M513)),M513,"")</f>
        <v/>
      </c>
    </row>
    <row r="514">
      <c r="A514" s="1" t="n"/>
      <c r="B514" s="17" t="n"/>
      <c r="C514" s="27" t="n"/>
      <c r="D514" s="28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9" t="n"/>
      <c r="N514" s="21" t="n"/>
      <c r="O514" s="12">
        <f>IF(AND(B514="",C514=""),"",IF(NOT(ISNUMBER(B514)),"Needs a date",IF(C514="","Needs a client",IF(COUNTIF(Clients!$B$6:$B$105,C514)=0,"Not on Clients",IF(COUNT(D514:M514)=0,"Nothing measured","")))))</f>
        <v/>
      </c>
      <c r="P514" s="1">
        <f>IF(AND(O514="",ISNUMBER(B514)),INT(B514),0)</f>
        <v/>
      </c>
      <c r="Q514">
        <f>IF(AND(P514&gt;0,C514=Report!$C$5),P514*10000+ROW(),"")</f>
        <v/>
      </c>
      <c r="R514">
        <f>IF(AND(Q514&lt;&gt;"",ISNUMBER(D514)),Q514,"")</f>
        <v/>
      </c>
      <c r="S514">
        <f>IF(AND(Q514&lt;&gt;"",ISNUMBER(E514)),Q514,"")</f>
        <v/>
      </c>
      <c r="T514">
        <f>IF(AND(Q514&lt;&gt;"",ISNUMBER(F514)),Q514,"")</f>
        <v/>
      </c>
      <c r="U514">
        <f>IF(AND(Q514&lt;&gt;"",ISNUMBER(G514)),Q514,"")</f>
        <v/>
      </c>
      <c r="V514">
        <f>IF(AND(Q514&lt;&gt;"",ISNUMBER(H514)),Q514,"")</f>
        <v/>
      </c>
      <c r="W514">
        <f>IF(AND(Q514&lt;&gt;"",ISNUMBER(I514)),Q514,"")</f>
        <v/>
      </c>
      <c r="X514">
        <f>IF(AND(Q514&lt;&gt;"",ISNUMBER(J514)),Q514,"")</f>
        <v/>
      </c>
      <c r="Y514">
        <f>IF(AND(Q514&lt;&gt;"",ISNUMBER(K514)),Q514,"")</f>
        <v/>
      </c>
      <c r="Z514">
        <f>IF(AND(Q514&lt;&gt;"",ISNUMBER(L514)),Q514,"")</f>
        <v/>
      </c>
      <c r="AA514">
        <f>IF(AND(Q514&lt;&gt;"",ISNUMBER(M514)),Q514,"")</f>
        <v/>
      </c>
      <c r="AB514">
        <f>IF(AND(Q514&lt;&gt;"",ISNUMBER(K514)),K514,"")</f>
        <v/>
      </c>
      <c r="AC514">
        <f>IF(AND(Q514&lt;&gt;"",ISNUMBER(L514)),L514,"")</f>
        <v/>
      </c>
      <c r="AD514">
        <f>IF(AND(Q514&lt;&gt;"",ISNUMBER(M514)),M514,"")</f>
        <v/>
      </c>
    </row>
    <row r="515">
      <c r="A515" s="1" t="n"/>
      <c r="B515" s="17" t="n"/>
      <c r="C515" s="27" t="n"/>
      <c r="D515" s="2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9" t="n"/>
      <c r="N515" s="21" t="n"/>
      <c r="O515" s="12">
        <f>IF(AND(B515="",C515=""),"",IF(NOT(ISNUMBER(B515)),"Needs a date",IF(C515="","Needs a client",IF(COUNTIF(Clients!$B$6:$B$105,C515)=0,"Not on Clients",IF(COUNT(D515:M515)=0,"Nothing measured","")))))</f>
        <v/>
      </c>
      <c r="P515" s="1">
        <f>IF(AND(O515="",ISNUMBER(B515)),INT(B515),0)</f>
        <v/>
      </c>
      <c r="Q515">
        <f>IF(AND(P515&gt;0,C515=Report!$C$5),P515*10000+ROW(),"")</f>
        <v/>
      </c>
      <c r="R515">
        <f>IF(AND(Q515&lt;&gt;"",ISNUMBER(D515)),Q515,"")</f>
        <v/>
      </c>
      <c r="S515">
        <f>IF(AND(Q515&lt;&gt;"",ISNUMBER(E515)),Q515,"")</f>
        <v/>
      </c>
      <c r="T515">
        <f>IF(AND(Q515&lt;&gt;"",ISNUMBER(F515)),Q515,"")</f>
        <v/>
      </c>
      <c r="U515">
        <f>IF(AND(Q515&lt;&gt;"",ISNUMBER(G515)),Q515,"")</f>
        <v/>
      </c>
      <c r="V515">
        <f>IF(AND(Q515&lt;&gt;"",ISNUMBER(H515)),Q515,"")</f>
        <v/>
      </c>
      <c r="W515">
        <f>IF(AND(Q515&lt;&gt;"",ISNUMBER(I515)),Q515,"")</f>
        <v/>
      </c>
      <c r="X515">
        <f>IF(AND(Q515&lt;&gt;"",ISNUMBER(J515)),Q515,"")</f>
        <v/>
      </c>
      <c r="Y515">
        <f>IF(AND(Q515&lt;&gt;"",ISNUMBER(K515)),Q515,"")</f>
        <v/>
      </c>
      <c r="Z515">
        <f>IF(AND(Q515&lt;&gt;"",ISNUMBER(L515)),Q515,"")</f>
        <v/>
      </c>
      <c r="AA515">
        <f>IF(AND(Q515&lt;&gt;"",ISNUMBER(M515)),Q515,"")</f>
        <v/>
      </c>
      <c r="AB515">
        <f>IF(AND(Q515&lt;&gt;"",ISNUMBER(K515)),K515,"")</f>
        <v/>
      </c>
      <c r="AC515">
        <f>IF(AND(Q515&lt;&gt;"",ISNUMBER(L515)),L515,"")</f>
        <v/>
      </c>
      <c r="AD515">
        <f>IF(AND(Q515&lt;&gt;"",ISNUMBER(M515)),M515,"")</f>
        <v/>
      </c>
    </row>
    <row r="516">
      <c r="A516" s="1" t="n"/>
      <c r="B516" s="17" t="n"/>
      <c r="C516" s="27" t="n"/>
      <c r="D516" s="2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9" t="n"/>
      <c r="N516" s="21" t="n"/>
      <c r="O516" s="12">
        <f>IF(AND(B516="",C516=""),"",IF(NOT(ISNUMBER(B516)),"Needs a date",IF(C516="","Needs a client",IF(COUNTIF(Clients!$B$6:$B$105,C516)=0,"Not on Clients",IF(COUNT(D516:M516)=0,"Nothing measured","")))))</f>
        <v/>
      </c>
      <c r="P516" s="1">
        <f>IF(AND(O516="",ISNUMBER(B516)),INT(B516),0)</f>
        <v/>
      </c>
      <c r="Q516">
        <f>IF(AND(P516&gt;0,C516=Report!$C$5),P516*10000+ROW(),"")</f>
        <v/>
      </c>
      <c r="R516">
        <f>IF(AND(Q516&lt;&gt;"",ISNUMBER(D516)),Q516,"")</f>
        <v/>
      </c>
      <c r="S516">
        <f>IF(AND(Q516&lt;&gt;"",ISNUMBER(E516)),Q516,"")</f>
        <v/>
      </c>
      <c r="T516">
        <f>IF(AND(Q516&lt;&gt;"",ISNUMBER(F516)),Q516,"")</f>
        <v/>
      </c>
      <c r="U516">
        <f>IF(AND(Q516&lt;&gt;"",ISNUMBER(G516)),Q516,"")</f>
        <v/>
      </c>
      <c r="V516">
        <f>IF(AND(Q516&lt;&gt;"",ISNUMBER(H516)),Q516,"")</f>
        <v/>
      </c>
      <c r="W516">
        <f>IF(AND(Q516&lt;&gt;"",ISNUMBER(I516)),Q516,"")</f>
        <v/>
      </c>
      <c r="X516">
        <f>IF(AND(Q516&lt;&gt;"",ISNUMBER(J516)),Q516,"")</f>
        <v/>
      </c>
      <c r="Y516">
        <f>IF(AND(Q516&lt;&gt;"",ISNUMBER(K516)),Q516,"")</f>
        <v/>
      </c>
      <c r="Z516">
        <f>IF(AND(Q516&lt;&gt;"",ISNUMBER(L516)),Q516,"")</f>
        <v/>
      </c>
      <c r="AA516">
        <f>IF(AND(Q516&lt;&gt;"",ISNUMBER(M516)),Q516,"")</f>
        <v/>
      </c>
      <c r="AB516">
        <f>IF(AND(Q516&lt;&gt;"",ISNUMBER(K516)),K516,"")</f>
        <v/>
      </c>
      <c r="AC516">
        <f>IF(AND(Q516&lt;&gt;"",ISNUMBER(L516)),L516,"")</f>
        <v/>
      </c>
      <c r="AD516">
        <f>IF(AND(Q516&lt;&gt;"",ISNUMBER(M516)),M516,"")</f>
        <v/>
      </c>
    </row>
    <row r="517">
      <c r="A517" s="1" t="n"/>
      <c r="B517" s="17" t="n"/>
      <c r="C517" s="27" t="n"/>
      <c r="D517" s="2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9" t="n"/>
      <c r="N517" s="21" t="n"/>
      <c r="O517" s="12">
        <f>IF(AND(B517="",C517=""),"",IF(NOT(ISNUMBER(B517)),"Needs a date",IF(C517="","Needs a client",IF(COUNTIF(Clients!$B$6:$B$105,C517)=0,"Not on Clients",IF(COUNT(D517:M517)=0,"Nothing measured","")))))</f>
        <v/>
      </c>
      <c r="P517" s="1">
        <f>IF(AND(O517="",ISNUMBER(B517)),INT(B517),0)</f>
        <v/>
      </c>
      <c r="Q517">
        <f>IF(AND(P517&gt;0,C517=Report!$C$5),P517*10000+ROW(),"")</f>
        <v/>
      </c>
      <c r="R517">
        <f>IF(AND(Q517&lt;&gt;"",ISNUMBER(D517)),Q517,"")</f>
        <v/>
      </c>
      <c r="S517">
        <f>IF(AND(Q517&lt;&gt;"",ISNUMBER(E517)),Q517,"")</f>
        <v/>
      </c>
      <c r="T517">
        <f>IF(AND(Q517&lt;&gt;"",ISNUMBER(F517)),Q517,"")</f>
        <v/>
      </c>
      <c r="U517">
        <f>IF(AND(Q517&lt;&gt;"",ISNUMBER(G517)),Q517,"")</f>
        <v/>
      </c>
      <c r="V517">
        <f>IF(AND(Q517&lt;&gt;"",ISNUMBER(H517)),Q517,"")</f>
        <v/>
      </c>
      <c r="W517">
        <f>IF(AND(Q517&lt;&gt;"",ISNUMBER(I517)),Q517,"")</f>
        <v/>
      </c>
      <c r="X517">
        <f>IF(AND(Q517&lt;&gt;"",ISNUMBER(J517)),Q517,"")</f>
        <v/>
      </c>
      <c r="Y517">
        <f>IF(AND(Q517&lt;&gt;"",ISNUMBER(K517)),Q517,"")</f>
        <v/>
      </c>
      <c r="Z517">
        <f>IF(AND(Q517&lt;&gt;"",ISNUMBER(L517)),Q517,"")</f>
        <v/>
      </c>
      <c r="AA517">
        <f>IF(AND(Q517&lt;&gt;"",ISNUMBER(M517)),Q517,"")</f>
        <v/>
      </c>
      <c r="AB517">
        <f>IF(AND(Q517&lt;&gt;"",ISNUMBER(K517)),K517,"")</f>
        <v/>
      </c>
      <c r="AC517">
        <f>IF(AND(Q517&lt;&gt;"",ISNUMBER(L517)),L517,"")</f>
        <v/>
      </c>
      <c r="AD517">
        <f>IF(AND(Q517&lt;&gt;"",ISNUMBER(M517)),M517,"")</f>
        <v/>
      </c>
    </row>
    <row r="518">
      <c r="A518" s="1" t="n"/>
      <c r="B518" s="17" t="n"/>
      <c r="C518" s="27" t="n"/>
      <c r="D518" s="28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9" t="n"/>
      <c r="N518" s="21" t="n"/>
      <c r="O518" s="12">
        <f>IF(AND(B518="",C518=""),"",IF(NOT(ISNUMBER(B518)),"Needs a date",IF(C518="","Needs a client",IF(COUNTIF(Clients!$B$6:$B$105,C518)=0,"Not on Clients",IF(COUNT(D518:M518)=0,"Nothing measured","")))))</f>
        <v/>
      </c>
      <c r="P518" s="1">
        <f>IF(AND(O518="",ISNUMBER(B518)),INT(B518),0)</f>
        <v/>
      </c>
      <c r="Q518">
        <f>IF(AND(P518&gt;0,C518=Report!$C$5),P518*10000+ROW(),"")</f>
        <v/>
      </c>
      <c r="R518">
        <f>IF(AND(Q518&lt;&gt;"",ISNUMBER(D518)),Q518,"")</f>
        <v/>
      </c>
      <c r="S518">
        <f>IF(AND(Q518&lt;&gt;"",ISNUMBER(E518)),Q518,"")</f>
        <v/>
      </c>
      <c r="T518">
        <f>IF(AND(Q518&lt;&gt;"",ISNUMBER(F518)),Q518,"")</f>
        <v/>
      </c>
      <c r="U518">
        <f>IF(AND(Q518&lt;&gt;"",ISNUMBER(G518)),Q518,"")</f>
        <v/>
      </c>
      <c r="V518">
        <f>IF(AND(Q518&lt;&gt;"",ISNUMBER(H518)),Q518,"")</f>
        <v/>
      </c>
      <c r="W518">
        <f>IF(AND(Q518&lt;&gt;"",ISNUMBER(I518)),Q518,"")</f>
        <v/>
      </c>
      <c r="X518">
        <f>IF(AND(Q518&lt;&gt;"",ISNUMBER(J518)),Q518,"")</f>
        <v/>
      </c>
      <c r="Y518">
        <f>IF(AND(Q518&lt;&gt;"",ISNUMBER(K518)),Q518,"")</f>
        <v/>
      </c>
      <c r="Z518">
        <f>IF(AND(Q518&lt;&gt;"",ISNUMBER(L518)),Q518,"")</f>
        <v/>
      </c>
      <c r="AA518">
        <f>IF(AND(Q518&lt;&gt;"",ISNUMBER(M518)),Q518,"")</f>
        <v/>
      </c>
      <c r="AB518">
        <f>IF(AND(Q518&lt;&gt;"",ISNUMBER(K518)),K518,"")</f>
        <v/>
      </c>
      <c r="AC518">
        <f>IF(AND(Q518&lt;&gt;"",ISNUMBER(L518)),L518,"")</f>
        <v/>
      </c>
      <c r="AD518">
        <f>IF(AND(Q518&lt;&gt;"",ISNUMBER(M518)),M518,"")</f>
        <v/>
      </c>
    </row>
    <row r="519">
      <c r="A519" s="1" t="n"/>
      <c r="B519" s="17" t="n"/>
      <c r="C519" s="27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9" t="n"/>
      <c r="N519" s="21" t="n"/>
      <c r="O519" s="12">
        <f>IF(AND(B519="",C519=""),"",IF(NOT(ISNUMBER(B519)),"Needs a date",IF(C519="","Needs a client",IF(COUNTIF(Clients!$B$6:$B$105,C519)=0,"Not on Clients",IF(COUNT(D519:M519)=0,"Nothing measured","")))))</f>
        <v/>
      </c>
      <c r="P519" s="1">
        <f>IF(AND(O519="",ISNUMBER(B519)),INT(B519),0)</f>
        <v/>
      </c>
      <c r="Q519">
        <f>IF(AND(P519&gt;0,C519=Report!$C$5),P519*10000+ROW(),"")</f>
        <v/>
      </c>
      <c r="R519">
        <f>IF(AND(Q519&lt;&gt;"",ISNUMBER(D519)),Q519,"")</f>
        <v/>
      </c>
      <c r="S519">
        <f>IF(AND(Q519&lt;&gt;"",ISNUMBER(E519)),Q519,"")</f>
        <v/>
      </c>
      <c r="T519">
        <f>IF(AND(Q519&lt;&gt;"",ISNUMBER(F519)),Q519,"")</f>
        <v/>
      </c>
      <c r="U519">
        <f>IF(AND(Q519&lt;&gt;"",ISNUMBER(G519)),Q519,"")</f>
        <v/>
      </c>
      <c r="V519">
        <f>IF(AND(Q519&lt;&gt;"",ISNUMBER(H519)),Q519,"")</f>
        <v/>
      </c>
      <c r="W519">
        <f>IF(AND(Q519&lt;&gt;"",ISNUMBER(I519)),Q519,"")</f>
        <v/>
      </c>
      <c r="X519">
        <f>IF(AND(Q519&lt;&gt;"",ISNUMBER(J519)),Q519,"")</f>
        <v/>
      </c>
      <c r="Y519">
        <f>IF(AND(Q519&lt;&gt;"",ISNUMBER(K519)),Q519,"")</f>
        <v/>
      </c>
      <c r="Z519">
        <f>IF(AND(Q519&lt;&gt;"",ISNUMBER(L519)),Q519,"")</f>
        <v/>
      </c>
      <c r="AA519">
        <f>IF(AND(Q519&lt;&gt;"",ISNUMBER(M519)),Q519,"")</f>
        <v/>
      </c>
      <c r="AB519">
        <f>IF(AND(Q519&lt;&gt;"",ISNUMBER(K519)),K519,"")</f>
        <v/>
      </c>
      <c r="AC519">
        <f>IF(AND(Q519&lt;&gt;"",ISNUMBER(L519)),L519,"")</f>
        <v/>
      </c>
      <c r="AD519">
        <f>IF(AND(Q519&lt;&gt;"",ISNUMBER(M519)),M519,"")</f>
        <v/>
      </c>
    </row>
    <row r="520">
      <c r="A520" s="1" t="n"/>
      <c r="B520" s="17" t="n"/>
      <c r="C520" s="27" t="n"/>
      <c r="D520" s="28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9" t="n"/>
      <c r="N520" s="21" t="n"/>
      <c r="O520" s="12">
        <f>IF(AND(B520="",C520=""),"",IF(NOT(ISNUMBER(B520)),"Needs a date",IF(C520="","Needs a client",IF(COUNTIF(Clients!$B$6:$B$105,C520)=0,"Not on Clients",IF(COUNT(D520:M520)=0,"Nothing measured","")))))</f>
        <v/>
      </c>
      <c r="P520" s="1">
        <f>IF(AND(O520="",ISNUMBER(B520)),INT(B520),0)</f>
        <v/>
      </c>
      <c r="Q520">
        <f>IF(AND(P520&gt;0,C520=Report!$C$5),P520*10000+ROW(),"")</f>
        <v/>
      </c>
      <c r="R520">
        <f>IF(AND(Q520&lt;&gt;"",ISNUMBER(D520)),Q520,"")</f>
        <v/>
      </c>
      <c r="S520">
        <f>IF(AND(Q520&lt;&gt;"",ISNUMBER(E520)),Q520,"")</f>
        <v/>
      </c>
      <c r="T520">
        <f>IF(AND(Q520&lt;&gt;"",ISNUMBER(F520)),Q520,"")</f>
        <v/>
      </c>
      <c r="U520">
        <f>IF(AND(Q520&lt;&gt;"",ISNUMBER(G520)),Q520,"")</f>
        <v/>
      </c>
      <c r="V520">
        <f>IF(AND(Q520&lt;&gt;"",ISNUMBER(H520)),Q520,"")</f>
        <v/>
      </c>
      <c r="W520">
        <f>IF(AND(Q520&lt;&gt;"",ISNUMBER(I520)),Q520,"")</f>
        <v/>
      </c>
      <c r="X520">
        <f>IF(AND(Q520&lt;&gt;"",ISNUMBER(J520)),Q520,"")</f>
        <v/>
      </c>
      <c r="Y520">
        <f>IF(AND(Q520&lt;&gt;"",ISNUMBER(K520)),Q520,"")</f>
        <v/>
      </c>
      <c r="Z520">
        <f>IF(AND(Q520&lt;&gt;"",ISNUMBER(L520)),Q520,"")</f>
        <v/>
      </c>
      <c r="AA520">
        <f>IF(AND(Q520&lt;&gt;"",ISNUMBER(M520)),Q520,"")</f>
        <v/>
      </c>
      <c r="AB520">
        <f>IF(AND(Q520&lt;&gt;"",ISNUMBER(K520)),K520,"")</f>
        <v/>
      </c>
      <c r="AC520">
        <f>IF(AND(Q520&lt;&gt;"",ISNUMBER(L520)),L520,"")</f>
        <v/>
      </c>
      <c r="AD520">
        <f>IF(AND(Q520&lt;&gt;"",ISNUMBER(M520)),M520,"")</f>
        <v/>
      </c>
    </row>
    <row r="521">
      <c r="A521" s="1" t="n"/>
      <c r="B521" s="17" t="n"/>
      <c r="C521" s="27" t="n"/>
      <c r="D521" s="2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9" t="n"/>
      <c r="N521" s="21" t="n"/>
      <c r="O521" s="12">
        <f>IF(AND(B521="",C521=""),"",IF(NOT(ISNUMBER(B521)),"Needs a date",IF(C521="","Needs a client",IF(COUNTIF(Clients!$B$6:$B$105,C521)=0,"Not on Clients",IF(COUNT(D521:M521)=0,"Nothing measured","")))))</f>
        <v/>
      </c>
      <c r="P521" s="1">
        <f>IF(AND(O521="",ISNUMBER(B521)),INT(B521),0)</f>
        <v/>
      </c>
      <c r="Q521">
        <f>IF(AND(P521&gt;0,C521=Report!$C$5),P521*10000+ROW(),"")</f>
        <v/>
      </c>
      <c r="R521">
        <f>IF(AND(Q521&lt;&gt;"",ISNUMBER(D521)),Q521,"")</f>
        <v/>
      </c>
      <c r="S521">
        <f>IF(AND(Q521&lt;&gt;"",ISNUMBER(E521)),Q521,"")</f>
        <v/>
      </c>
      <c r="T521">
        <f>IF(AND(Q521&lt;&gt;"",ISNUMBER(F521)),Q521,"")</f>
        <v/>
      </c>
      <c r="U521">
        <f>IF(AND(Q521&lt;&gt;"",ISNUMBER(G521)),Q521,"")</f>
        <v/>
      </c>
      <c r="V521">
        <f>IF(AND(Q521&lt;&gt;"",ISNUMBER(H521)),Q521,"")</f>
        <v/>
      </c>
      <c r="W521">
        <f>IF(AND(Q521&lt;&gt;"",ISNUMBER(I521)),Q521,"")</f>
        <v/>
      </c>
      <c r="X521">
        <f>IF(AND(Q521&lt;&gt;"",ISNUMBER(J521)),Q521,"")</f>
        <v/>
      </c>
      <c r="Y521">
        <f>IF(AND(Q521&lt;&gt;"",ISNUMBER(K521)),Q521,"")</f>
        <v/>
      </c>
      <c r="Z521">
        <f>IF(AND(Q521&lt;&gt;"",ISNUMBER(L521)),Q521,"")</f>
        <v/>
      </c>
      <c r="AA521">
        <f>IF(AND(Q521&lt;&gt;"",ISNUMBER(M521)),Q521,"")</f>
        <v/>
      </c>
      <c r="AB521">
        <f>IF(AND(Q521&lt;&gt;"",ISNUMBER(K521)),K521,"")</f>
        <v/>
      </c>
      <c r="AC521">
        <f>IF(AND(Q521&lt;&gt;"",ISNUMBER(L521)),L521,"")</f>
        <v/>
      </c>
      <c r="AD521">
        <f>IF(AND(Q521&lt;&gt;"",ISNUMBER(M521)),M521,"")</f>
        <v/>
      </c>
    </row>
    <row r="522">
      <c r="A522" s="1" t="n"/>
      <c r="B522" s="17" t="n"/>
      <c r="C522" s="27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9" t="n"/>
      <c r="N522" s="21" t="n"/>
      <c r="O522" s="12">
        <f>IF(AND(B522="",C522=""),"",IF(NOT(ISNUMBER(B522)),"Needs a date",IF(C522="","Needs a client",IF(COUNTIF(Clients!$B$6:$B$105,C522)=0,"Not on Clients",IF(COUNT(D522:M522)=0,"Nothing measured","")))))</f>
        <v/>
      </c>
      <c r="P522" s="1">
        <f>IF(AND(O522="",ISNUMBER(B522)),INT(B522),0)</f>
        <v/>
      </c>
      <c r="Q522">
        <f>IF(AND(P522&gt;0,C522=Report!$C$5),P522*10000+ROW(),"")</f>
        <v/>
      </c>
      <c r="R522">
        <f>IF(AND(Q522&lt;&gt;"",ISNUMBER(D522)),Q522,"")</f>
        <v/>
      </c>
      <c r="S522">
        <f>IF(AND(Q522&lt;&gt;"",ISNUMBER(E522)),Q522,"")</f>
        <v/>
      </c>
      <c r="T522">
        <f>IF(AND(Q522&lt;&gt;"",ISNUMBER(F522)),Q522,"")</f>
        <v/>
      </c>
      <c r="U522">
        <f>IF(AND(Q522&lt;&gt;"",ISNUMBER(G522)),Q522,"")</f>
        <v/>
      </c>
      <c r="V522">
        <f>IF(AND(Q522&lt;&gt;"",ISNUMBER(H522)),Q522,"")</f>
        <v/>
      </c>
      <c r="W522">
        <f>IF(AND(Q522&lt;&gt;"",ISNUMBER(I522)),Q522,"")</f>
        <v/>
      </c>
      <c r="X522">
        <f>IF(AND(Q522&lt;&gt;"",ISNUMBER(J522)),Q522,"")</f>
        <v/>
      </c>
      <c r="Y522">
        <f>IF(AND(Q522&lt;&gt;"",ISNUMBER(K522)),Q522,"")</f>
        <v/>
      </c>
      <c r="Z522">
        <f>IF(AND(Q522&lt;&gt;"",ISNUMBER(L522)),Q522,"")</f>
        <v/>
      </c>
      <c r="AA522">
        <f>IF(AND(Q522&lt;&gt;"",ISNUMBER(M522)),Q522,"")</f>
        <v/>
      </c>
      <c r="AB522">
        <f>IF(AND(Q522&lt;&gt;"",ISNUMBER(K522)),K522,"")</f>
        <v/>
      </c>
      <c r="AC522">
        <f>IF(AND(Q522&lt;&gt;"",ISNUMBER(L522)),L522,"")</f>
        <v/>
      </c>
      <c r="AD522">
        <f>IF(AND(Q522&lt;&gt;"",ISNUMBER(M522)),M522,"")</f>
        <v/>
      </c>
    </row>
    <row r="523">
      <c r="A523" s="1" t="n"/>
      <c r="B523" s="17" t="n"/>
      <c r="C523" s="27" t="n"/>
      <c r="D523" s="28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9" t="n"/>
      <c r="N523" s="21" t="n"/>
      <c r="O523" s="12">
        <f>IF(AND(B523="",C523=""),"",IF(NOT(ISNUMBER(B523)),"Needs a date",IF(C523="","Needs a client",IF(COUNTIF(Clients!$B$6:$B$105,C523)=0,"Not on Clients",IF(COUNT(D523:M523)=0,"Nothing measured","")))))</f>
        <v/>
      </c>
      <c r="P523" s="1">
        <f>IF(AND(O523="",ISNUMBER(B523)),INT(B523),0)</f>
        <v/>
      </c>
      <c r="Q523">
        <f>IF(AND(P523&gt;0,C523=Report!$C$5),P523*10000+ROW(),"")</f>
        <v/>
      </c>
      <c r="R523">
        <f>IF(AND(Q523&lt;&gt;"",ISNUMBER(D523)),Q523,"")</f>
        <v/>
      </c>
      <c r="S523">
        <f>IF(AND(Q523&lt;&gt;"",ISNUMBER(E523)),Q523,"")</f>
        <v/>
      </c>
      <c r="T523">
        <f>IF(AND(Q523&lt;&gt;"",ISNUMBER(F523)),Q523,"")</f>
        <v/>
      </c>
      <c r="U523">
        <f>IF(AND(Q523&lt;&gt;"",ISNUMBER(G523)),Q523,"")</f>
        <v/>
      </c>
      <c r="V523">
        <f>IF(AND(Q523&lt;&gt;"",ISNUMBER(H523)),Q523,"")</f>
        <v/>
      </c>
      <c r="W523">
        <f>IF(AND(Q523&lt;&gt;"",ISNUMBER(I523)),Q523,"")</f>
        <v/>
      </c>
      <c r="X523">
        <f>IF(AND(Q523&lt;&gt;"",ISNUMBER(J523)),Q523,"")</f>
        <v/>
      </c>
      <c r="Y523">
        <f>IF(AND(Q523&lt;&gt;"",ISNUMBER(K523)),Q523,"")</f>
        <v/>
      </c>
      <c r="Z523">
        <f>IF(AND(Q523&lt;&gt;"",ISNUMBER(L523)),Q523,"")</f>
        <v/>
      </c>
      <c r="AA523">
        <f>IF(AND(Q523&lt;&gt;"",ISNUMBER(M523)),Q523,"")</f>
        <v/>
      </c>
      <c r="AB523">
        <f>IF(AND(Q523&lt;&gt;"",ISNUMBER(K523)),K523,"")</f>
        <v/>
      </c>
      <c r="AC523">
        <f>IF(AND(Q523&lt;&gt;"",ISNUMBER(L523)),L523,"")</f>
        <v/>
      </c>
      <c r="AD523">
        <f>IF(AND(Q523&lt;&gt;"",ISNUMBER(M523)),M523,"")</f>
        <v/>
      </c>
    </row>
    <row r="524">
      <c r="A524" s="1" t="n"/>
      <c r="B524" s="17" t="n"/>
      <c r="C524" s="27" t="n"/>
      <c r="D524" s="28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9" t="n"/>
      <c r="N524" s="21" t="n"/>
      <c r="O524" s="12">
        <f>IF(AND(B524="",C524=""),"",IF(NOT(ISNUMBER(B524)),"Needs a date",IF(C524="","Needs a client",IF(COUNTIF(Clients!$B$6:$B$105,C524)=0,"Not on Clients",IF(COUNT(D524:M524)=0,"Nothing measured","")))))</f>
        <v/>
      </c>
      <c r="P524" s="1">
        <f>IF(AND(O524="",ISNUMBER(B524)),INT(B524),0)</f>
        <v/>
      </c>
      <c r="Q524">
        <f>IF(AND(P524&gt;0,C524=Report!$C$5),P524*10000+ROW(),"")</f>
        <v/>
      </c>
      <c r="R524">
        <f>IF(AND(Q524&lt;&gt;"",ISNUMBER(D524)),Q524,"")</f>
        <v/>
      </c>
      <c r="S524">
        <f>IF(AND(Q524&lt;&gt;"",ISNUMBER(E524)),Q524,"")</f>
        <v/>
      </c>
      <c r="T524">
        <f>IF(AND(Q524&lt;&gt;"",ISNUMBER(F524)),Q524,"")</f>
        <v/>
      </c>
      <c r="U524">
        <f>IF(AND(Q524&lt;&gt;"",ISNUMBER(G524)),Q524,"")</f>
        <v/>
      </c>
      <c r="V524">
        <f>IF(AND(Q524&lt;&gt;"",ISNUMBER(H524)),Q524,"")</f>
        <v/>
      </c>
      <c r="W524">
        <f>IF(AND(Q524&lt;&gt;"",ISNUMBER(I524)),Q524,"")</f>
        <v/>
      </c>
      <c r="X524">
        <f>IF(AND(Q524&lt;&gt;"",ISNUMBER(J524)),Q524,"")</f>
        <v/>
      </c>
      <c r="Y524">
        <f>IF(AND(Q524&lt;&gt;"",ISNUMBER(K524)),Q524,"")</f>
        <v/>
      </c>
      <c r="Z524">
        <f>IF(AND(Q524&lt;&gt;"",ISNUMBER(L524)),Q524,"")</f>
        <v/>
      </c>
      <c r="AA524">
        <f>IF(AND(Q524&lt;&gt;"",ISNUMBER(M524)),Q524,"")</f>
        <v/>
      </c>
      <c r="AB524">
        <f>IF(AND(Q524&lt;&gt;"",ISNUMBER(K524)),K524,"")</f>
        <v/>
      </c>
      <c r="AC524">
        <f>IF(AND(Q524&lt;&gt;"",ISNUMBER(L524)),L524,"")</f>
        <v/>
      </c>
      <c r="AD524">
        <f>IF(AND(Q524&lt;&gt;"",ISNUMBER(M524)),M524,"")</f>
        <v/>
      </c>
    </row>
    <row r="525">
      <c r="A525" s="1" t="n"/>
      <c r="B525" s="17" t="n"/>
      <c r="C525" s="27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9" t="n"/>
      <c r="N525" s="21" t="n"/>
      <c r="O525" s="12">
        <f>IF(AND(B525="",C525=""),"",IF(NOT(ISNUMBER(B525)),"Needs a date",IF(C525="","Needs a client",IF(COUNTIF(Clients!$B$6:$B$105,C525)=0,"Not on Clients",IF(COUNT(D525:M525)=0,"Nothing measured","")))))</f>
        <v/>
      </c>
      <c r="P525" s="1">
        <f>IF(AND(O525="",ISNUMBER(B525)),INT(B525),0)</f>
        <v/>
      </c>
      <c r="Q525">
        <f>IF(AND(P525&gt;0,C525=Report!$C$5),P525*10000+ROW(),"")</f>
        <v/>
      </c>
      <c r="R525">
        <f>IF(AND(Q525&lt;&gt;"",ISNUMBER(D525)),Q525,"")</f>
        <v/>
      </c>
      <c r="S525">
        <f>IF(AND(Q525&lt;&gt;"",ISNUMBER(E525)),Q525,"")</f>
        <v/>
      </c>
      <c r="T525">
        <f>IF(AND(Q525&lt;&gt;"",ISNUMBER(F525)),Q525,"")</f>
        <v/>
      </c>
      <c r="U525">
        <f>IF(AND(Q525&lt;&gt;"",ISNUMBER(G525)),Q525,"")</f>
        <v/>
      </c>
      <c r="V525">
        <f>IF(AND(Q525&lt;&gt;"",ISNUMBER(H525)),Q525,"")</f>
        <v/>
      </c>
      <c r="W525">
        <f>IF(AND(Q525&lt;&gt;"",ISNUMBER(I525)),Q525,"")</f>
        <v/>
      </c>
      <c r="X525">
        <f>IF(AND(Q525&lt;&gt;"",ISNUMBER(J525)),Q525,"")</f>
        <v/>
      </c>
      <c r="Y525">
        <f>IF(AND(Q525&lt;&gt;"",ISNUMBER(K525)),Q525,"")</f>
        <v/>
      </c>
      <c r="Z525">
        <f>IF(AND(Q525&lt;&gt;"",ISNUMBER(L525)),Q525,"")</f>
        <v/>
      </c>
      <c r="AA525">
        <f>IF(AND(Q525&lt;&gt;"",ISNUMBER(M525)),Q525,"")</f>
        <v/>
      </c>
      <c r="AB525">
        <f>IF(AND(Q525&lt;&gt;"",ISNUMBER(K525)),K525,"")</f>
        <v/>
      </c>
      <c r="AC525">
        <f>IF(AND(Q525&lt;&gt;"",ISNUMBER(L525)),L525,"")</f>
        <v/>
      </c>
      <c r="AD525">
        <f>IF(AND(Q525&lt;&gt;"",ISNUMBER(M525)),M525,"")</f>
        <v/>
      </c>
    </row>
    <row r="526">
      <c r="A526" s="1" t="n"/>
      <c r="B526" s="17" t="n"/>
      <c r="C526" s="27" t="n"/>
      <c r="D526" s="2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9" t="n"/>
      <c r="N526" s="21" t="n"/>
      <c r="O526" s="12">
        <f>IF(AND(B526="",C526=""),"",IF(NOT(ISNUMBER(B526)),"Needs a date",IF(C526="","Needs a client",IF(COUNTIF(Clients!$B$6:$B$105,C526)=0,"Not on Clients",IF(COUNT(D526:M526)=0,"Nothing measured","")))))</f>
        <v/>
      </c>
      <c r="P526" s="1">
        <f>IF(AND(O526="",ISNUMBER(B526)),INT(B526),0)</f>
        <v/>
      </c>
      <c r="Q526">
        <f>IF(AND(P526&gt;0,C526=Report!$C$5),P526*10000+ROW(),"")</f>
        <v/>
      </c>
      <c r="R526">
        <f>IF(AND(Q526&lt;&gt;"",ISNUMBER(D526)),Q526,"")</f>
        <v/>
      </c>
      <c r="S526">
        <f>IF(AND(Q526&lt;&gt;"",ISNUMBER(E526)),Q526,"")</f>
        <v/>
      </c>
      <c r="T526">
        <f>IF(AND(Q526&lt;&gt;"",ISNUMBER(F526)),Q526,"")</f>
        <v/>
      </c>
      <c r="U526">
        <f>IF(AND(Q526&lt;&gt;"",ISNUMBER(G526)),Q526,"")</f>
        <v/>
      </c>
      <c r="V526">
        <f>IF(AND(Q526&lt;&gt;"",ISNUMBER(H526)),Q526,"")</f>
        <v/>
      </c>
      <c r="W526">
        <f>IF(AND(Q526&lt;&gt;"",ISNUMBER(I526)),Q526,"")</f>
        <v/>
      </c>
      <c r="X526">
        <f>IF(AND(Q526&lt;&gt;"",ISNUMBER(J526)),Q526,"")</f>
        <v/>
      </c>
      <c r="Y526">
        <f>IF(AND(Q526&lt;&gt;"",ISNUMBER(K526)),Q526,"")</f>
        <v/>
      </c>
      <c r="Z526">
        <f>IF(AND(Q526&lt;&gt;"",ISNUMBER(L526)),Q526,"")</f>
        <v/>
      </c>
      <c r="AA526">
        <f>IF(AND(Q526&lt;&gt;"",ISNUMBER(M526)),Q526,"")</f>
        <v/>
      </c>
      <c r="AB526">
        <f>IF(AND(Q526&lt;&gt;"",ISNUMBER(K526)),K526,"")</f>
        <v/>
      </c>
      <c r="AC526">
        <f>IF(AND(Q526&lt;&gt;"",ISNUMBER(L526)),L526,"")</f>
        <v/>
      </c>
      <c r="AD526">
        <f>IF(AND(Q526&lt;&gt;"",ISNUMBER(M526)),M526,"")</f>
        <v/>
      </c>
    </row>
    <row r="527">
      <c r="A527" s="1" t="n"/>
      <c r="B527" s="17" t="n"/>
      <c r="C527" s="27" t="n"/>
      <c r="D527" s="28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9" t="n"/>
      <c r="N527" s="21" t="n"/>
      <c r="O527" s="12">
        <f>IF(AND(B527="",C527=""),"",IF(NOT(ISNUMBER(B527)),"Needs a date",IF(C527="","Needs a client",IF(COUNTIF(Clients!$B$6:$B$105,C527)=0,"Not on Clients",IF(COUNT(D527:M527)=0,"Nothing measured","")))))</f>
        <v/>
      </c>
      <c r="P527" s="1">
        <f>IF(AND(O527="",ISNUMBER(B527)),INT(B527),0)</f>
        <v/>
      </c>
      <c r="Q527">
        <f>IF(AND(P527&gt;0,C527=Report!$C$5),P527*10000+ROW(),"")</f>
        <v/>
      </c>
      <c r="R527">
        <f>IF(AND(Q527&lt;&gt;"",ISNUMBER(D527)),Q527,"")</f>
        <v/>
      </c>
      <c r="S527">
        <f>IF(AND(Q527&lt;&gt;"",ISNUMBER(E527)),Q527,"")</f>
        <v/>
      </c>
      <c r="T527">
        <f>IF(AND(Q527&lt;&gt;"",ISNUMBER(F527)),Q527,"")</f>
        <v/>
      </c>
      <c r="U527">
        <f>IF(AND(Q527&lt;&gt;"",ISNUMBER(G527)),Q527,"")</f>
        <v/>
      </c>
      <c r="V527">
        <f>IF(AND(Q527&lt;&gt;"",ISNUMBER(H527)),Q527,"")</f>
        <v/>
      </c>
      <c r="W527">
        <f>IF(AND(Q527&lt;&gt;"",ISNUMBER(I527)),Q527,"")</f>
        <v/>
      </c>
      <c r="X527">
        <f>IF(AND(Q527&lt;&gt;"",ISNUMBER(J527)),Q527,"")</f>
        <v/>
      </c>
      <c r="Y527">
        <f>IF(AND(Q527&lt;&gt;"",ISNUMBER(K527)),Q527,"")</f>
        <v/>
      </c>
      <c r="Z527">
        <f>IF(AND(Q527&lt;&gt;"",ISNUMBER(L527)),Q527,"")</f>
        <v/>
      </c>
      <c r="AA527">
        <f>IF(AND(Q527&lt;&gt;"",ISNUMBER(M527)),Q527,"")</f>
        <v/>
      </c>
      <c r="AB527">
        <f>IF(AND(Q527&lt;&gt;"",ISNUMBER(K527)),K527,"")</f>
        <v/>
      </c>
      <c r="AC527">
        <f>IF(AND(Q527&lt;&gt;"",ISNUMBER(L527)),L527,"")</f>
        <v/>
      </c>
      <c r="AD527">
        <f>IF(AND(Q527&lt;&gt;"",ISNUMBER(M527)),M527,"")</f>
        <v/>
      </c>
    </row>
    <row r="528">
      <c r="A528" s="1" t="n"/>
      <c r="B528" s="17" t="n"/>
      <c r="C528" s="27" t="n"/>
      <c r="D528" s="2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9" t="n"/>
      <c r="N528" s="21" t="n"/>
      <c r="O528" s="12">
        <f>IF(AND(B528="",C528=""),"",IF(NOT(ISNUMBER(B528)),"Needs a date",IF(C528="","Needs a client",IF(COUNTIF(Clients!$B$6:$B$105,C528)=0,"Not on Clients",IF(COUNT(D528:M528)=0,"Nothing measured","")))))</f>
        <v/>
      </c>
      <c r="P528" s="1">
        <f>IF(AND(O528="",ISNUMBER(B528)),INT(B528),0)</f>
        <v/>
      </c>
      <c r="Q528">
        <f>IF(AND(P528&gt;0,C528=Report!$C$5),P528*10000+ROW(),"")</f>
        <v/>
      </c>
      <c r="R528">
        <f>IF(AND(Q528&lt;&gt;"",ISNUMBER(D528)),Q528,"")</f>
        <v/>
      </c>
      <c r="S528">
        <f>IF(AND(Q528&lt;&gt;"",ISNUMBER(E528)),Q528,"")</f>
        <v/>
      </c>
      <c r="T528">
        <f>IF(AND(Q528&lt;&gt;"",ISNUMBER(F528)),Q528,"")</f>
        <v/>
      </c>
      <c r="U528">
        <f>IF(AND(Q528&lt;&gt;"",ISNUMBER(G528)),Q528,"")</f>
        <v/>
      </c>
      <c r="V528">
        <f>IF(AND(Q528&lt;&gt;"",ISNUMBER(H528)),Q528,"")</f>
        <v/>
      </c>
      <c r="W528">
        <f>IF(AND(Q528&lt;&gt;"",ISNUMBER(I528)),Q528,"")</f>
        <v/>
      </c>
      <c r="X528">
        <f>IF(AND(Q528&lt;&gt;"",ISNUMBER(J528)),Q528,"")</f>
        <v/>
      </c>
      <c r="Y528">
        <f>IF(AND(Q528&lt;&gt;"",ISNUMBER(K528)),Q528,"")</f>
        <v/>
      </c>
      <c r="Z528">
        <f>IF(AND(Q528&lt;&gt;"",ISNUMBER(L528)),Q528,"")</f>
        <v/>
      </c>
      <c r="AA528">
        <f>IF(AND(Q528&lt;&gt;"",ISNUMBER(M528)),Q528,"")</f>
        <v/>
      </c>
      <c r="AB528">
        <f>IF(AND(Q528&lt;&gt;"",ISNUMBER(K528)),K528,"")</f>
        <v/>
      </c>
      <c r="AC528">
        <f>IF(AND(Q528&lt;&gt;"",ISNUMBER(L528)),L528,"")</f>
        <v/>
      </c>
      <c r="AD528">
        <f>IF(AND(Q528&lt;&gt;"",ISNUMBER(M528)),M528,"")</f>
        <v/>
      </c>
    </row>
    <row r="529">
      <c r="A529" s="1" t="n"/>
      <c r="B529" s="17" t="n"/>
      <c r="C529" s="27" t="n"/>
      <c r="D529" s="28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9" t="n"/>
      <c r="N529" s="21" t="n"/>
      <c r="O529" s="12">
        <f>IF(AND(B529="",C529=""),"",IF(NOT(ISNUMBER(B529)),"Needs a date",IF(C529="","Needs a client",IF(COUNTIF(Clients!$B$6:$B$105,C529)=0,"Not on Clients",IF(COUNT(D529:M529)=0,"Nothing measured","")))))</f>
        <v/>
      </c>
      <c r="P529" s="1">
        <f>IF(AND(O529="",ISNUMBER(B529)),INT(B529),0)</f>
        <v/>
      </c>
      <c r="Q529">
        <f>IF(AND(P529&gt;0,C529=Report!$C$5),P529*10000+ROW(),"")</f>
        <v/>
      </c>
      <c r="R529">
        <f>IF(AND(Q529&lt;&gt;"",ISNUMBER(D529)),Q529,"")</f>
        <v/>
      </c>
      <c r="S529">
        <f>IF(AND(Q529&lt;&gt;"",ISNUMBER(E529)),Q529,"")</f>
        <v/>
      </c>
      <c r="T529">
        <f>IF(AND(Q529&lt;&gt;"",ISNUMBER(F529)),Q529,"")</f>
        <v/>
      </c>
      <c r="U529">
        <f>IF(AND(Q529&lt;&gt;"",ISNUMBER(G529)),Q529,"")</f>
        <v/>
      </c>
      <c r="V529">
        <f>IF(AND(Q529&lt;&gt;"",ISNUMBER(H529)),Q529,"")</f>
        <v/>
      </c>
      <c r="W529">
        <f>IF(AND(Q529&lt;&gt;"",ISNUMBER(I529)),Q529,"")</f>
        <v/>
      </c>
      <c r="X529">
        <f>IF(AND(Q529&lt;&gt;"",ISNUMBER(J529)),Q529,"")</f>
        <v/>
      </c>
      <c r="Y529">
        <f>IF(AND(Q529&lt;&gt;"",ISNUMBER(K529)),Q529,"")</f>
        <v/>
      </c>
      <c r="Z529">
        <f>IF(AND(Q529&lt;&gt;"",ISNUMBER(L529)),Q529,"")</f>
        <v/>
      </c>
      <c r="AA529">
        <f>IF(AND(Q529&lt;&gt;"",ISNUMBER(M529)),Q529,"")</f>
        <v/>
      </c>
      <c r="AB529">
        <f>IF(AND(Q529&lt;&gt;"",ISNUMBER(K529)),K529,"")</f>
        <v/>
      </c>
      <c r="AC529">
        <f>IF(AND(Q529&lt;&gt;"",ISNUMBER(L529)),L529,"")</f>
        <v/>
      </c>
      <c r="AD529">
        <f>IF(AND(Q529&lt;&gt;"",ISNUMBER(M529)),M529,"")</f>
        <v/>
      </c>
    </row>
    <row r="530">
      <c r="A530" s="1" t="n"/>
      <c r="B530" s="17" t="n"/>
      <c r="C530" s="27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9" t="n"/>
      <c r="N530" s="21" t="n"/>
      <c r="O530" s="12">
        <f>IF(AND(B530="",C530=""),"",IF(NOT(ISNUMBER(B530)),"Needs a date",IF(C530="","Needs a client",IF(COUNTIF(Clients!$B$6:$B$105,C530)=0,"Not on Clients",IF(COUNT(D530:M530)=0,"Nothing measured","")))))</f>
        <v/>
      </c>
      <c r="P530" s="1">
        <f>IF(AND(O530="",ISNUMBER(B530)),INT(B530),0)</f>
        <v/>
      </c>
      <c r="Q530">
        <f>IF(AND(P530&gt;0,C530=Report!$C$5),P530*10000+ROW(),"")</f>
        <v/>
      </c>
      <c r="R530">
        <f>IF(AND(Q530&lt;&gt;"",ISNUMBER(D530)),Q530,"")</f>
        <v/>
      </c>
      <c r="S530">
        <f>IF(AND(Q530&lt;&gt;"",ISNUMBER(E530)),Q530,"")</f>
        <v/>
      </c>
      <c r="T530">
        <f>IF(AND(Q530&lt;&gt;"",ISNUMBER(F530)),Q530,"")</f>
        <v/>
      </c>
      <c r="U530">
        <f>IF(AND(Q530&lt;&gt;"",ISNUMBER(G530)),Q530,"")</f>
        <v/>
      </c>
      <c r="V530">
        <f>IF(AND(Q530&lt;&gt;"",ISNUMBER(H530)),Q530,"")</f>
        <v/>
      </c>
      <c r="W530">
        <f>IF(AND(Q530&lt;&gt;"",ISNUMBER(I530)),Q530,"")</f>
        <v/>
      </c>
      <c r="X530">
        <f>IF(AND(Q530&lt;&gt;"",ISNUMBER(J530)),Q530,"")</f>
        <v/>
      </c>
      <c r="Y530">
        <f>IF(AND(Q530&lt;&gt;"",ISNUMBER(K530)),Q530,"")</f>
        <v/>
      </c>
      <c r="Z530">
        <f>IF(AND(Q530&lt;&gt;"",ISNUMBER(L530)),Q530,"")</f>
        <v/>
      </c>
      <c r="AA530">
        <f>IF(AND(Q530&lt;&gt;"",ISNUMBER(M530)),Q530,"")</f>
        <v/>
      </c>
      <c r="AB530">
        <f>IF(AND(Q530&lt;&gt;"",ISNUMBER(K530)),K530,"")</f>
        <v/>
      </c>
      <c r="AC530">
        <f>IF(AND(Q530&lt;&gt;"",ISNUMBER(L530)),L530,"")</f>
        <v/>
      </c>
      <c r="AD530">
        <f>IF(AND(Q530&lt;&gt;"",ISNUMBER(M530)),M530,"")</f>
        <v/>
      </c>
    </row>
    <row r="531">
      <c r="A531" s="1" t="n"/>
      <c r="B531" s="17" t="n"/>
      <c r="C531" s="27" t="n"/>
      <c r="D531" s="28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9" t="n"/>
      <c r="N531" s="21" t="n"/>
      <c r="O531" s="12">
        <f>IF(AND(B531="",C531=""),"",IF(NOT(ISNUMBER(B531)),"Needs a date",IF(C531="","Needs a client",IF(COUNTIF(Clients!$B$6:$B$105,C531)=0,"Not on Clients",IF(COUNT(D531:M531)=0,"Nothing measured","")))))</f>
        <v/>
      </c>
      <c r="P531" s="1">
        <f>IF(AND(O531="",ISNUMBER(B531)),INT(B531),0)</f>
        <v/>
      </c>
      <c r="Q531">
        <f>IF(AND(P531&gt;0,C531=Report!$C$5),P531*10000+ROW(),"")</f>
        <v/>
      </c>
      <c r="R531">
        <f>IF(AND(Q531&lt;&gt;"",ISNUMBER(D531)),Q531,"")</f>
        <v/>
      </c>
      <c r="S531">
        <f>IF(AND(Q531&lt;&gt;"",ISNUMBER(E531)),Q531,"")</f>
        <v/>
      </c>
      <c r="T531">
        <f>IF(AND(Q531&lt;&gt;"",ISNUMBER(F531)),Q531,"")</f>
        <v/>
      </c>
      <c r="U531">
        <f>IF(AND(Q531&lt;&gt;"",ISNUMBER(G531)),Q531,"")</f>
        <v/>
      </c>
      <c r="V531">
        <f>IF(AND(Q531&lt;&gt;"",ISNUMBER(H531)),Q531,"")</f>
        <v/>
      </c>
      <c r="W531">
        <f>IF(AND(Q531&lt;&gt;"",ISNUMBER(I531)),Q531,"")</f>
        <v/>
      </c>
      <c r="X531">
        <f>IF(AND(Q531&lt;&gt;"",ISNUMBER(J531)),Q531,"")</f>
        <v/>
      </c>
      <c r="Y531">
        <f>IF(AND(Q531&lt;&gt;"",ISNUMBER(K531)),Q531,"")</f>
        <v/>
      </c>
      <c r="Z531">
        <f>IF(AND(Q531&lt;&gt;"",ISNUMBER(L531)),Q531,"")</f>
        <v/>
      </c>
      <c r="AA531">
        <f>IF(AND(Q531&lt;&gt;"",ISNUMBER(M531)),Q531,"")</f>
        <v/>
      </c>
      <c r="AB531">
        <f>IF(AND(Q531&lt;&gt;"",ISNUMBER(K531)),K531,"")</f>
        <v/>
      </c>
      <c r="AC531">
        <f>IF(AND(Q531&lt;&gt;"",ISNUMBER(L531)),L531,"")</f>
        <v/>
      </c>
      <c r="AD531">
        <f>IF(AND(Q531&lt;&gt;"",ISNUMBER(M531)),M531,"")</f>
        <v/>
      </c>
    </row>
    <row r="532">
      <c r="A532" s="1" t="n"/>
      <c r="B532" s="17" t="n"/>
      <c r="C532" s="27" t="n"/>
      <c r="D532" s="28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9" t="n"/>
      <c r="N532" s="21" t="n"/>
      <c r="O532" s="12">
        <f>IF(AND(B532="",C532=""),"",IF(NOT(ISNUMBER(B532)),"Needs a date",IF(C532="","Needs a client",IF(COUNTIF(Clients!$B$6:$B$105,C532)=0,"Not on Clients",IF(COUNT(D532:M532)=0,"Nothing measured","")))))</f>
        <v/>
      </c>
      <c r="P532" s="1">
        <f>IF(AND(O532="",ISNUMBER(B532)),INT(B532),0)</f>
        <v/>
      </c>
      <c r="Q532">
        <f>IF(AND(P532&gt;0,C532=Report!$C$5),P532*10000+ROW(),"")</f>
        <v/>
      </c>
      <c r="R532">
        <f>IF(AND(Q532&lt;&gt;"",ISNUMBER(D532)),Q532,"")</f>
        <v/>
      </c>
      <c r="S532">
        <f>IF(AND(Q532&lt;&gt;"",ISNUMBER(E532)),Q532,"")</f>
        <v/>
      </c>
      <c r="T532">
        <f>IF(AND(Q532&lt;&gt;"",ISNUMBER(F532)),Q532,"")</f>
        <v/>
      </c>
      <c r="U532">
        <f>IF(AND(Q532&lt;&gt;"",ISNUMBER(G532)),Q532,"")</f>
        <v/>
      </c>
      <c r="V532">
        <f>IF(AND(Q532&lt;&gt;"",ISNUMBER(H532)),Q532,"")</f>
        <v/>
      </c>
      <c r="W532">
        <f>IF(AND(Q532&lt;&gt;"",ISNUMBER(I532)),Q532,"")</f>
        <v/>
      </c>
      <c r="X532">
        <f>IF(AND(Q532&lt;&gt;"",ISNUMBER(J532)),Q532,"")</f>
        <v/>
      </c>
      <c r="Y532">
        <f>IF(AND(Q532&lt;&gt;"",ISNUMBER(K532)),Q532,"")</f>
        <v/>
      </c>
      <c r="Z532">
        <f>IF(AND(Q532&lt;&gt;"",ISNUMBER(L532)),Q532,"")</f>
        <v/>
      </c>
      <c r="AA532">
        <f>IF(AND(Q532&lt;&gt;"",ISNUMBER(M532)),Q532,"")</f>
        <v/>
      </c>
      <c r="AB532">
        <f>IF(AND(Q532&lt;&gt;"",ISNUMBER(K532)),K532,"")</f>
        <v/>
      </c>
      <c r="AC532">
        <f>IF(AND(Q532&lt;&gt;"",ISNUMBER(L532)),L532,"")</f>
        <v/>
      </c>
      <c r="AD532">
        <f>IF(AND(Q532&lt;&gt;"",ISNUMBER(M532)),M532,"")</f>
        <v/>
      </c>
    </row>
    <row r="533">
      <c r="A533" s="1" t="n"/>
      <c r="B533" s="17" t="n"/>
      <c r="C533" s="27" t="n"/>
      <c r="D533" s="2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9" t="n"/>
      <c r="N533" s="21" t="n"/>
      <c r="O533" s="12">
        <f>IF(AND(B533="",C533=""),"",IF(NOT(ISNUMBER(B533)),"Needs a date",IF(C533="","Needs a client",IF(COUNTIF(Clients!$B$6:$B$105,C533)=0,"Not on Clients",IF(COUNT(D533:M533)=0,"Nothing measured","")))))</f>
        <v/>
      </c>
      <c r="P533" s="1">
        <f>IF(AND(O533="",ISNUMBER(B533)),INT(B533),0)</f>
        <v/>
      </c>
      <c r="Q533">
        <f>IF(AND(P533&gt;0,C533=Report!$C$5),P533*10000+ROW(),"")</f>
        <v/>
      </c>
      <c r="R533">
        <f>IF(AND(Q533&lt;&gt;"",ISNUMBER(D533)),Q533,"")</f>
        <v/>
      </c>
      <c r="S533">
        <f>IF(AND(Q533&lt;&gt;"",ISNUMBER(E533)),Q533,"")</f>
        <v/>
      </c>
      <c r="T533">
        <f>IF(AND(Q533&lt;&gt;"",ISNUMBER(F533)),Q533,"")</f>
        <v/>
      </c>
      <c r="U533">
        <f>IF(AND(Q533&lt;&gt;"",ISNUMBER(G533)),Q533,"")</f>
        <v/>
      </c>
      <c r="V533">
        <f>IF(AND(Q533&lt;&gt;"",ISNUMBER(H533)),Q533,"")</f>
        <v/>
      </c>
      <c r="W533">
        <f>IF(AND(Q533&lt;&gt;"",ISNUMBER(I533)),Q533,"")</f>
        <v/>
      </c>
      <c r="X533">
        <f>IF(AND(Q533&lt;&gt;"",ISNUMBER(J533)),Q533,"")</f>
        <v/>
      </c>
      <c r="Y533">
        <f>IF(AND(Q533&lt;&gt;"",ISNUMBER(K533)),Q533,"")</f>
        <v/>
      </c>
      <c r="Z533">
        <f>IF(AND(Q533&lt;&gt;"",ISNUMBER(L533)),Q533,"")</f>
        <v/>
      </c>
      <c r="AA533">
        <f>IF(AND(Q533&lt;&gt;"",ISNUMBER(M533)),Q533,"")</f>
        <v/>
      </c>
      <c r="AB533">
        <f>IF(AND(Q533&lt;&gt;"",ISNUMBER(K533)),K533,"")</f>
        <v/>
      </c>
      <c r="AC533">
        <f>IF(AND(Q533&lt;&gt;"",ISNUMBER(L533)),L533,"")</f>
        <v/>
      </c>
      <c r="AD533">
        <f>IF(AND(Q533&lt;&gt;"",ISNUMBER(M533)),M533,"")</f>
        <v/>
      </c>
    </row>
    <row r="534">
      <c r="A534" s="1" t="n"/>
      <c r="B534" s="17" t="n"/>
      <c r="C534" s="27" t="n"/>
      <c r="D534" s="2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9" t="n"/>
      <c r="N534" s="21" t="n"/>
      <c r="O534" s="12">
        <f>IF(AND(B534="",C534=""),"",IF(NOT(ISNUMBER(B534)),"Needs a date",IF(C534="","Needs a client",IF(COUNTIF(Clients!$B$6:$B$105,C534)=0,"Not on Clients",IF(COUNT(D534:M534)=0,"Nothing measured","")))))</f>
        <v/>
      </c>
      <c r="P534" s="1">
        <f>IF(AND(O534="",ISNUMBER(B534)),INT(B534),0)</f>
        <v/>
      </c>
      <c r="Q534">
        <f>IF(AND(P534&gt;0,C534=Report!$C$5),P534*10000+ROW(),"")</f>
        <v/>
      </c>
      <c r="R534">
        <f>IF(AND(Q534&lt;&gt;"",ISNUMBER(D534)),Q534,"")</f>
        <v/>
      </c>
      <c r="S534">
        <f>IF(AND(Q534&lt;&gt;"",ISNUMBER(E534)),Q534,"")</f>
        <v/>
      </c>
      <c r="T534">
        <f>IF(AND(Q534&lt;&gt;"",ISNUMBER(F534)),Q534,"")</f>
        <v/>
      </c>
      <c r="U534">
        <f>IF(AND(Q534&lt;&gt;"",ISNUMBER(G534)),Q534,"")</f>
        <v/>
      </c>
      <c r="V534">
        <f>IF(AND(Q534&lt;&gt;"",ISNUMBER(H534)),Q534,"")</f>
        <v/>
      </c>
      <c r="W534">
        <f>IF(AND(Q534&lt;&gt;"",ISNUMBER(I534)),Q534,"")</f>
        <v/>
      </c>
      <c r="X534">
        <f>IF(AND(Q534&lt;&gt;"",ISNUMBER(J534)),Q534,"")</f>
        <v/>
      </c>
      <c r="Y534">
        <f>IF(AND(Q534&lt;&gt;"",ISNUMBER(K534)),Q534,"")</f>
        <v/>
      </c>
      <c r="Z534">
        <f>IF(AND(Q534&lt;&gt;"",ISNUMBER(L534)),Q534,"")</f>
        <v/>
      </c>
      <c r="AA534">
        <f>IF(AND(Q534&lt;&gt;"",ISNUMBER(M534)),Q534,"")</f>
        <v/>
      </c>
      <c r="AB534">
        <f>IF(AND(Q534&lt;&gt;"",ISNUMBER(K534)),K534,"")</f>
        <v/>
      </c>
      <c r="AC534">
        <f>IF(AND(Q534&lt;&gt;"",ISNUMBER(L534)),L534,"")</f>
        <v/>
      </c>
      <c r="AD534">
        <f>IF(AND(Q534&lt;&gt;"",ISNUMBER(M534)),M534,"")</f>
        <v/>
      </c>
    </row>
    <row r="535">
      <c r="A535" s="1" t="n"/>
      <c r="B535" s="17" t="n"/>
      <c r="C535" s="27" t="n"/>
      <c r="D535" s="2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9" t="n"/>
      <c r="N535" s="21" t="n"/>
      <c r="O535" s="12">
        <f>IF(AND(B535="",C535=""),"",IF(NOT(ISNUMBER(B535)),"Needs a date",IF(C535="","Needs a client",IF(COUNTIF(Clients!$B$6:$B$105,C535)=0,"Not on Clients",IF(COUNT(D535:M535)=0,"Nothing measured","")))))</f>
        <v/>
      </c>
      <c r="P535" s="1">
        <f>IF(AND(O535="",ISNUMBER(B535)),INT(B535),0)</f>
        <v/>
      </c>
      <c r="Q535">
        <f>IF(AND(P535&gt;0,C535=Report!$C$5),P535*10000+ROW(),"")</f>
        <v/>
      </c>
      <c r="R535">
        <f>IF(AND(Q535&lt;&gt;"",ISNUMBER(D535)),Q535,"")</f>
        <v/>
      </c>
      <c r="S535">
        <f>IF(AND(Q535&lt;&gt;"",ISNUMBER(E535)),Q535,"")</f>
        <v/>
      </c>
      <c r="T535">
        <f>IF(AND(Q535&lt;&gt;"",ISNUMBER(F535)),Q535,"")</f>
        <v/>
      </c>
      <c r="U535">
        <f>IF(AND(Q535&lt;&gt;"",ISNUMBER(G535)),Q535,"")</f>
        <v/>
      </c>
      <c r="V535">
        <f>IF(AND(Q535&lt;&gt;"",ISNUMBER(H535)),Q535,"")</f>
        <v/>
      </c>
      <c r="W535">
        <f>IF(AND(Q535&lt;&gt;"",ISNUMBER(I535)),Q535,"")</f>
        <v/>
      </c>
      <c r="X535">
        <f>IF(AND(Q535&lt;&gt;"",ISNUMBER(J535)),Q535,"")</f>
        <v/>
      </c>
      <c r="Y535">
        <f>IF(AND(Q535&lt;&gt;"",ISNUMBER(K535)),Q535,"")</f>
        <v/>
      </c>
      <c r="Z535">
        <f>IF(AND(Q535&lt;&gt;"",ISNUMBER(L535)),Q535,"")</f>
        <v/>
      </c>
      <c r="AA535">
        <f>IF(AND(Q535&lt;&gt;"",ISNUMBER(M535)),Q535,"")</f>
        <v/>
      </c>
      <c r="AB535">
        <f>IF(AND(Q535&lt;&gt;"",ISNUMBER(K535)),K535,"")</f>
        <v/>
      </c>
      <c r="AC535">
        <f>IF(AND(Q535&lt;&gt;"",ISNUMBER(L535)),L535,"")</f>
        <v/>
      </c>
      <c r="AD535">
        <f>IF(AND(Q535&lt;&gt;"",ISNUMBER(M535)),M535,"")</f>
        <v/>
      </c>
    </row>
    <row r="536">
      <c r="A536" s="1" t="n"/>
      <c r="B536" s="17" t="n"/>
      <c r="C536" s="27" t="n"/>
      <c r="D536" s="2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9" t="n"/>
      <c r="N536" s="21" t="n"/>
      <c r="O536" s="12">
        <f>IF(AND(B536="",C536=""),"",IF(NOT(ISNUMBER(B536)),"Needs a date",IF(C536="","Needs a client",IF(COUNTIF(Clients!$B$6:$B$105,C536)=0,"Not on Clients",IF(COUNT(D536:M536)=0,"Nothing measured","")))))</f>
        <v/>
      </c>
      <c r="P536" s="1">
        <f>IF(AND(O536="",ISNUMBER(B536)),INT(B536),0)</f>
        <v/>
      </c>
      <c r="Q536">
        <f>IF(AND(P536&gt;0,C536=Report!$C$5),P536*10000+ROW(),"")</f>
        <v/>
      </c>
      <c r="R536">
        <f>IF(AND(Q536&lt;&gt;"",ISNUMBER(D536)),Q536,"")</f>
        <v/>
      </c>
      <c r="S536">
        <f>IF(AND(Q536&lt;&gt;"",ISNUMBER(E536)),Q536,"")</f>
        <v/>
      </c>
      <c r="T536">
        <f>IF(AND(Q536&lt;&gt;"",ISNUMBER(F536)),Q536,"")</f>
        <v/>
      </c>
      <c r="U536">
        <f>IF(AND(Q536&lt;&gt;"",ISNUMBER(G536)),Q536,"")</f>
        <v/>
      </c>
      <c r="V536">
        <f>IF(AND(Q536&lt;&gt;"",ISNUMBER(H536)),Q536,"")</f>
        <v/>
      </c>
      <c r="W536">
        <f>IF(AND(Q536&lt;&gt;"",ISNUMBER(I536)),Q536,"")</f>
        <v/>
      </c>
      <c r="X536">
        <f>IF(AND(Q536&lt;&gt;"",ISNUMBER(J536)),Q536,"")</f>
        <v/>
      </c>
      <c r="Y536">
        <f>IF(AND(Q536&lt;&gt;"",ISNUMBER(K536)),Q536,"")</f>
        <v/>
      </c>
      <c r="Z536">
        <f>IF(AND(Q536&lt;&gt;"",ISNUMBER(L536)),Q536,"")</f>
        <v/>
      </c>
      <c r="AA536">
        <f>IF(AND(Q536&lt;&gt;"",ISNUMBER(M536)),Q536,"")</f>
        <v/>
      </c>
      <c r="AB536">
        <f>IF(AND(Q536&lt;&gt;"",ISNUMBER(K536)),K536,"")</f>
        <v/>
      </c>
      <c r="AC536">
        <f>IF(AND(Q536&lt;&gt;"",ISNUMBER(L536)),L536,"")</f>
        <v/>
      </c>
      <c r="AD536">
        <f>IF(AND(Q536&lt;&gt;"",ISNUMBER(M536)),M536,"")</f>
        <v/>
      </c>
    </row>
    <row r="537">
      <c r="A537" s="1" t="n"/>
      <c r="B537" s="17" t="n"/>
      <c r="C537" s="27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9" t="n"/>
      <c r="N537" s="21" t="n"/>
      <c r="O537" s="12">
        <f>IF(AND(B537="",C537=""),"",IF(NOT(ISNUMBER(B537)),"Needs a date",IF(C537="","Needs a client",IF(COUNTIF(Clients!$B$6:$B$105,C537)=0,"Not on Clients",IF(COUNT(D537:M537)=0,"Nothing measured","")))))</f>
        <v/>
      </c>
      <c r="P537" s="1">
        <f>IF(AND(O537="",ISNUMBER(B537)),INT(B537),0)</f>
        <v/>
      </c>
      <c r="Q537">
        <f>IF(AND(P537&gt;0,C537=Report!$C$5),P537*10000+ROW(),"")</f>
        <v/>
      </c>
      <c r="R537">
        <f>IF(AND(Q537&lt;&gt;"",ISNUMBER(D537)),Q537,"")</f>
        <v/>
      </c>
      <c r="S537">
        <f>IF(AND(Q537&lt;&gt;"",ISNUMBER(E537)),Q537,"")</f>
        <v/>
      </c>
      <c r="T537">
        <f>IF(AND(Q537&lt;&gt;"",ISNUMBER(F537)),Q537,"")</f>
        <v/>
      </c>
      <c r="U537">
        <f>IF(AND(Q537&lt;&gt;"",ISNUMBER(G537)),Q537,"")</f>
        <v/>
      </c>
      <c r="V537">
        <f>IF(AND(Q537&lt;&gt;"",ISNUMBER(H537)),Q537,"")</f>
        <v/>
      </c>
      <c r="W537">
        <f>IF(AND(Q537&lt;&gt;"",ISNUMBER(I537)),Q537,"")</f>
        <v/>
      </c>
      <c r="X537">
        <f>IF(AND(Q537&lt;&gt;"",ISNUMBER(J537)),Q537,"")</f>
        <v/>
      </c>
      <c r="Y537">
        <f>IF(AND(Q537&lt;&gt;"",ISNUMBER(K537)),Q537,"")</f>
        <v/>
      </c>
      <c r="Z537">
        <f>IF(AND(Q537&lt;&gt;"",ISNUMBER(L537)),Q537,"")</f>
        <v/>
      </c>
      <c r="AA537">
        <f>IF(AND(Q537&lt;&gt;"",ISNUMBER(M537)),Q537,"")</f>
        <v/>
      </c>
      <c r="AB537">
        <f>IF(AND(Q537&lt;&gt;"",ISNUMBER(K537)),K537,"")</f>
        <v/>
      </c>
      <c r="AC537">
        <f>IF(AND(Q537&lt;&gt;"",ISNUMBER(L537)),L537,"")</f>
        <v/>
      </c>
      <c r="AD537">
        <f>IF(AND(Q537&lt;&gt;"",ISNUMBER(M537)),M537,"")</f>
        <v/>
      </c>
    </row>
    <row r="538">
      <c r="A538" s="1" t="n"/>
      <c r="B538" s="17" t="n"/>
      <c r="C538" s="27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9" t="n"/>
      <c r="N538" s="21" t="n"/>
      <c r="O538" s="12">
        <f>IF(AND(B538="",C538=""),"",IF(NOT(ISNUMBER(B538)),"Needs a date",IF(C538="","Needs a client",IF(COUNTIF(Clients!$B$6:$B$105,C538)=0,"Not on Clients",IF(COUNT(D538:M538)=0,"Nothing measured","")))))</f>
        <v/>
      </c>
      <c r="P538" s="1">
        <f>IF(AND(O538="",ISNUMBER(B538)),INT(B538),0)</f>
        <v/>
      </c>
      <c r="Q538">
        <f>IF(AND(P538&gt;0,C538=Report!$C$5),P538*10000+ROW(),"")</f>
        <v/>
      </c>
      <c r="R538">
        <f>IF(AND(Q538&lt;&gt;"",ISNUMBER(D538)),Q538,"")</f>
        <v/>
      </c>
      <c r="S538">
        <f>IF(AND(Q538&lt;&gt;"",ISNUMBER(E538)),Q538,"")</f>
        <v/>
      </c>
      <c r="T538">
        <f>IF(AND(Q538&lt;&gt;"",ISNUMBER(F538)),Q538,"")</f>
        <v/>
      </c>
      <c r="U538">
        <f>IF(AND(Q538&lt;&gt;"",ISNUMBER(G538)),Q538,"")</f>
        <v/>
      </c>
      <c r="V538">
        <f>IF(AND(Q538&lt;&gt;"",ISNUMBER(H538)),Q538,"")</f>
        <v/>
      </c>
      <c r="W538">
        <f>IF(AND(Q538&lt;&gt;"",ISNUMBER(I538)),Q538,"")</f>
        <v/>
      </c>
      <c r="X538">
        <f>IF(AND(Q538&lt;&gt;"",ISNUMBER(J538)),Q538,"")</f>
        <v/>
      </c>
      <c r="Y538">
        <f>IF(AND(Q538&lt;&gt;"",ISNUMBER(K538)),Q538,"")</f>
        <v/>
      </c>
      <c r="Z538">
        <f>IF(AND(Q538&lt;&gt;"",ISNUMBER(L538)),Q538,"")</f>
        <v/>
      </c>
      <c r="AA538">
        <f>IF(AND(Q538&lt;&gt;"",ISNUMBER(M538)),Q538,"")</f>
        <v/>
      </c>
      <c r="AB538">
        <f>IF(AND(Q538&lt;&gt;"",ISNUMBER(K538)),K538,"")</f>
        <v/>
      </c>
      <c r="AC538">
        <f>IF(AND(Q538&lt;&gt;"",ISNUMBER(L538)),L538,"")</f>
        <v/>
      </c>
      <c r="AD538">
        <f>IF(AND(Q538&lt;&gt;"",ISNUMBER(M538)),M538,"")</f>
        <v/>
      </c>
    </row>
    <row r="539">
      <c r="A539" s="1" t="n"/>
      <c r="B539" s="17" t="n"/>
      <c r="C539" s="27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9" t="n"/>
      <c r="N539" s="21" t="n"/>
      <c r="O539" s="12">
        <f>IF(AND(B539="",C539=""),"",IF(NOT(ISNUMBER(B539)),"Needs a date",IF(C539="","Needs a client",IF(COUNTIF(Clients!$B$6:$B$105,C539)=0,"Not on Clients",IF(COUNT(D539:M539)=0,"Nothing measured","")))))</f>
        <v/>
      </c>
      <c r="P539" s="1">
        <f>IF(AND(O539="",ISNUMBER(B539)),INT(B539),0)</f>
        <v/>
      </c>
      <c r="Q539">
        <f>IF(AND(P539&gt;0,C539=Report!$C$5),P539*10000+ROW(),"")</f>
        <v/>
      </c>
      <c r="R539">
        <f>IF(AND(Q539&lt;&gt;"",ISNUMBER(D539)),Q539,"")</f>
        <v/>
      </c>
      <c r="S539">
        <f>IF(AND(Q539&lt;&gt;"",ISNUMBER(E539)),Q539,"")</f>
        <v/>
      </c>
      <c r="T539">
        <f>IF(AND(Q539&lt;&gt;"",ISNUMBER(F539)),Q539,"")</f>
        <v/>
      </c>
      <c r="U539">
        <f>IF(AND(Q539&lt;&gt;"",ISNUMBER(G539)),Q539,"")</f>
        <v/>
      </c>
      <c r="V539">
        <f>IF(AND(Q539&lt;&gt;"",ISNUMBER(H539)),Q539,"")</f>
        <v/>
      </c>
      <c r="W539">
        <f>IF(AND(Q539&lt;&gt;"",ISNUMBER(I539)),Q539,"")</f>
        <v/>
      </c>
      <c r="X539">
        <f>IF(AND(Q539&lt;&gt;"",ISNUMBER(J539)),Q539,"")</f>
        <v/>
      </c>
      <c r="Y539">
        <f>IF(AND(Q539&lt;&gt;"",ISNUMBER(K539)),Q539,"")</f>
        <v/>
      </c>
      <c r="Z539">
        <f>IF(AND(Q539&lt;&gt;"",ISNUMBER(L539)),Q539,"")</f>
        <v/>
      </c>
      <c r="AA539">
        <f>IF(AND(Q539&lt;&gt;"",ISNUMBER(M539)),Q539,"")</f>
        <v/>
      </c>
      <c r="AB539">
        <f>IF(AND(Q539&lt;&gt;"",ISNUMBER(K539)),K539,"")</f>
        <v/>
      </c>
      <c r="AC539">
        <f>IF(AND(Q539&lt;&gt;"",ISNUMBER(L539)),L539,"")</f>
        <v/>
      </c>
      <c r="AD539">
        <f>IF(AND(Q539&lt;&gt;"",ISNUMBER(M539)),M539,"")</f>
        <v/>
      </c>
    </row>
    <row r="540">
      <c r="A540" s="1" t="n"/>
      <c r="B540" s="17" t="n"/>
      <c r="C540" s="27" t="n"/>
      <c r="D540" s="2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9" t="n"/>
      <c r="N540" s="21" t="n"/>
      <c r="O540" s="12">
        <f>IF(AND(B540="",C540=""),"",IF(NOT(ISNUMBER(B540)),"Needs a date",IF(C540="","Needs a client",IF(COUNTIF(Clients!$B$6:$B$105,C540)=0,"Not on Clients",IF(COUNT(D540:M540)=0,"Nothing measured","")))))</f>
        <v/>
      </c>
      <c r="P540" s="1">
        <f>IF(AND(O540="",ISNUMBER(B540)),INT(B540),0)</f>
        <v/>
      </c>
      <c r="Q540">
        <f>IF(AND(P540&gt;0,C540=Report!$C$5),P540*10000+ROW(),"")</f>
        <v/>
      </c>
      <c r="R540">
        <f>IF(AND(Q540&lt;&gt;"",ISNUMBER(D540)),Q540,"")</f>
        <v/>
      </c>
      <c r="S540">
        <f>IF(AND(Q540&lt;&gt;"",ISNUMBER(E540)),Q540,"")</f>
        <v/>
      </c>
      <c r="T540">
        <f>IF(AND(Q540&lt;&gt;"",ISNUMBER(F540)),Q540,"")</f>
        <v/>
      </c>
      <c r="U540">
        <f>IF(AND(Q540&lt;&gt;"",ISNUMBER(G540)),Q540,"")</f>
        <v/>
      </c>
      <c r="V540">
        <f>IF(AND(Q540&lt;&gt;"",ISNUMBER(H540)),Q540,"")</f>
        <v/>
      </c>
      <c r="W540">
        <f>IF(AND(Q540&lt;&gt;"",ISNUMBER(I540)),Q540,"")</f>
        <v/>
      </c>
      <c r="X540">
        <f>IF(AND(Q540&lt;&gt;"",ISNUMBER(J540)),Q540,"")</f>
        <v/>
      </c>
      <c r="Y540">
        <f>IF(AND(Q540&lt;&gt;"",ISNUMBER(K540)),Q540,"")</f>
        <v/>
      </c>
      <c r="Z540">
        <f>IF(AND(Q540&lt;&gt;"",ISNUMBER(L540)),Q540,"")</f>
        <v/>
      </c>
      <c r="AA540">
        <f>IF(AND(Q540&lt;&gt;"",ISNUMBER(M540)),Q540,"")</f>
        <v/>
      </c>
      <c r="AB540">
        <f>IF(AND(Q540&lt;&gt;"",ISNUMBER(K540)),K540,"")</f>
        <v/>
      </c>
      <c r="AC540">
        <f>IF(AND(Q540&lt;&gt;"",ISNUMBER(L540)),L540,"")</f>
        <v/>
      </c>
      <c r="AD540">
        <f>IF(AND(Q540&lt;&gt;"",ISNUMBER(M540)),M540,"")</f>
        <v/>
      </c>
    </row>
    <row r="541">
      <c r="A541" s="1" t="n"/>
      <c r="B541" s="17" t="n"/>
      <c r="C541" s="27" t="n"/>
      <c r="D541" s="2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9" t="n"/>
      <c r="N541" s="21" t="n"/>
      <c r="O541" s="12">
        <f>IF(AND(B541="",C541=""),"",IF(NOT(ISNUMBER(B541)),"Needs a date",IF(C541="","Needs a client",IF(COUNTIF(Clients!$B$6:$B$105,C541)=0,"Not on Clients",IF(COUNT(D541:M541)=0,"Nothing measured","")))))</f>
        <v/>
      </c>
      <c r="P541" s="1">
        <f>IF(AND(O541="",ISNUMBER(B541)),INT(B541),0)</f>
        <v/>
      </c>
      <c r="Q541">
        <f>IF(AND(P541&gt;0,C541=Report!$C$5),P541*10000+ROW(),"")</f>
        <v/>
      </c>
      <c r="R541">
        <f>IF(AND(Q541&lt;&gt;"",ISNUMBER(D541)),Q541,"")</f>
        <v/>
      </c>
      <c r="S541">
        <f>IF(AND(Q541&lt;&gt;"",ISNUMBER(E541)),Q541,"")</f>
        <v/>
      </c>
      <c r="T541">
        <f>IF(AND(Q541&lt;&gt;"",ISNUMBER(F541)),Q541,"")</f>
        <v/>
      </c>
      <c r="U541">
        <f>IF(AND(Q541&lt;&gt;"",ISNUMBER(G541)),Q541,"")</f>
        <v/>
      </c>
      <c r="V541">
        <f>IF(AND(Q541&lt;&gt;"",ISNUMBER(H541)),Q541,"")</f>
        <v/>
      </c>
      <c r="W541">
        <f>IF(AND(Q541&lt;&gt;"",ISNUMBER(I541)),Q541,"")</f>
        <v/>
      </c>
      <c r="X541">
        <f>IF(AND(Q541&lt;&gt;"",ISNUMBER(J541)),Q541,"")</f>
        <v/>
      </c>
      <c r="Y541">
        <f>IF(AND(Q541&lt;&gt;"",ISNUMBER(K541)),Q541,"")</f>
        <v/>
      </c>
      <c r="Z541">
        <f>IF(AND(Q541&lt;&gt;"",ISNUMBER(L541)),Q541,"")</f>
        <v/>
      </c>
      <c r="AA541">
        <f>IF(AND(Q541&lt;&gt;"",ISNUMBER(M541)),Q541,"")</f>
        <v/>
      </c>
      <c r="AB541">
        <f>IF(AND(Q541&lt;&gt;"",ISNUMBER(K541)),K541,"")</f>
        <v/>
      </c>
      <c r="AC541">
        <f>IF(AND(Q541&lt;&gt;"",ISNUMBER(L541)),L541,"")</f>
        <v/>
      </c>
      <c r="AD541">
        <f>IF(AND(Q541&lt;&gt;"",ISNUMBER(M541)),M541,"")</f>
        <v/>
      </c>
    </row>
    <row r="542">
      <c r="A542" s="1" t="n"/>
      <c r="B542" s="17" t="n"/>
      <c r="C542" s="27" t="n"/>
      <c r="D542" s="2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9" t="n"/>
      <c r="N542" s="21" t="n"/>
      <c r="O542" s="12">
        <f>IF(AND(B542="",C542=""),"",IF(NOT(ISNUMBER(B542)),"Needs a date",IF(C542="","Needs a client",IF(COUNTIF(Clients!$B$6:$B$105,C542)=0,"Not on Clients",IF(COUNT(D542:M542)=0,"Nothing measured","")))))</f>
        <v/>
      </c>
      <c r="P542" s="1">
        <f>IF(AND(O542="",ISNUMBER(B542)),INT(B542),0)</f>
        <v/>
      </c>
      <c r="Q542">
        <f>IF(AND(P542&gt;0,C542=Report!$C$5),P542*10000+ROW(),"")</f>
        <v/>
      </c>
      <c r="R542">
        <f>IF(AND(Q542&lt;&gt;"",ISNUMBER(D542)),Q542,"")</f>
        <v/>
      </c>
      <c r="S542">
        <f>IF(AND(Q542&lt;&gt;"",ISNUMBER(E542)),Q542,"")</f>
        <v/>
      </c>
      <c r="T542">
        <f>IF(AND(Q542&lt;&gt;"",ISNUMBER(F542)),Q542,"")</f>
        <v/>
      </c>
      <c r="U542">
        <f>IF(AND(Q542&lt;&gt;"",ISNUMBER(G542)),Q542,"")</f>
        <v/>
      </c>
      <c r="V542">
        <f>IF(AND(Q542&lt;&gt;"",ISNUMBER(H542)),Q542,"")</f>
        <v/>
      </c>
      <c r="W542">
        <f>IF(AND(Q542&lt;&gt;"",ISNUMBER(I542)),Q542,"")</f>
        <v/>
      </c>
      <c r="X542">
        <f>IF(AND(Q542&lt;&gt;"",ISNUMBER(J542)),Q542,"")</f>
        <v/>
      </c>
      <c r="Y542">
        <f>IF(AND(Q542&lt;&gt;"",ISNUMBER(K542)),Q542,"")</f>
        <v/>
      </c>
      <c r="Z542">
        <f>IF(AND(Q542&lt;&gt;"",ISNUMBER(L542)),Q542,"")</f>
        <v/>
      </c>
      <c r="AA542">
        <f>IF(AND(Q542&lt;&gt;"",ISNUMBER(M542)),Q542,"")</f>
        <v/>
      </c>
      <c r="AB542">
        <f>IF(AND(Q542&lt;&gt;"",ISNUMBER(K542)),K542,"")</f>
        <v/>
      </c>
      <c r="AC542">
        <f>IF(AND(Q542&lt;&gt;"",ISNUMBER(L542)),L542,"")</f>
        <v/>
      </c>
      <c r="AD542">
        <f>IF(AND(Q542&lt;&gt;"",ISNUMBER(M542)),M542,"")</f>
        <v/>
      </c>
    </row>
    <row r="543">
      <c r="A543" s="1" t="n"/>
      <c r="B543" s="17" t="n"/>
      <c r="C543" s="27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9" t="n"/>
      <c r="N543" s="21" t="n"/>
      <c r="O543" s="12">
        <f>IF(AND(B543="",C543=""),"",IF(NOT(ISNUMBER(B543)),"Needs a date",IF(C543="","Needs a client",IF(COUNTIF(Clients!$B$6:$B$105,C543)=0,"Not on Clients",IF(COUNT(D543:M543)=0,"Nothing measured","")))))</f>
        <v/>
      </c>
      <c r="P543" s="1">
        <f>IF(AND(O543="",ISNUMBER(B543)),INT(B543),0)</f>
        <v/>
      </c>
      <c r="Q543">
        <f>IF(AND(P543&gt;0,C543=Report!$C$5),P543*10000+ROW(),"")</f>
        <v/>
      </c>
      <c r="R543">
        <f>IF(AND(Q543&lt;&gt;"",ISNUMBER(D543)),Q543,"")</f>
        <v/>
      </c>
      <c r="S543">
        <f>IF(AND(Q543&lt;&gt;"",ISNUMBER(E543)),Q543,"")</f>
        <v/>
      </c>
      <c r="T543">
        <f>IF(AND(Q543&lt;&gt;"",ISNUMBER(F543)),Q543,"")</f>
        <v/>
      </c>
      <c r="U543">
        <f>IF(AND(Q543&lt;&gt;"",ISNUMBER(G543)),Q543,"")</f>
        <v/>
      </c>
      <c r="V543">
        <f>IF(AND(Q543&lt;&gt;"",ISNUMBER(H543)),Q543,"")</f>
        <v/>
      </c>
      <c r="W543">
        <f>IF(AND(Q543&lt;&gt;"",ISNUMBER(I543)),Q543,"")</f>
        <v/>
      </c>
      <c r="X543">
        <f>IF(AND(Q543&lt;&gt;"",ISNUMBER(J543)),Q543,"")</f>
        <v/>
      </c>
      <c r="Y543">
        <f>IF(AND(Q543&lt;&gt;"",ISNUMBER(K543)),Q543,"")</f>
        <v/>
      </c>
      <c r="Z543">
        <f>IF(AND(Q543&lt;&gt;"",ISNUMBER(L543)),Q543,"")</f>
        <v/>
      </c>
      <c r="AA543">
        <f>IF(AND(Q543&lt;&gt;"",ISNUMBER(M543)),Q543,"")</f>
        <v/>
      </c>
      <c r="AB543">
        <f>IF(AND(Q543&lt;&gt;"",ISNUMBER(K543)),K543,"")</f>
        <v/>
      </c>
      <c r="AC543">
        <f>IF(AND(Q543&lt;&gt;"",ISNUMBER(L543)),L543,"")</f>
        <v/>
      </c>
      <c r="AD543">
        <f>IF(AND(Q543&lt;&gt;"",ISNUMBER(M543)),M543,"")</f>
        <v/>
      </c>
    </row>
    <row r="544">
      <c r="A544" s="1" t="n"/>
      <c r="B544" s="17" t="n"/>
      <c r="C544" s="27" t="n"/>
      <c r="D544" s="2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9" t="n"/>
      <c r="N544" s="21" t="n"/>
      <c r="O544" s="12">
        <f>IF(AND(B544="",C544=""),"",IF(NOT(ISNUMBER(B544)),"Needs a date",IF(C544="","Needs a client",IF(COUNTIF(Clients!$B$6:$B$105,C544)=0,"Not on Clients",IF(COUNT(D544:M544)=0,"Nothing measured","")))))</f>
        <v/>
      </c>
      <c r="P544" s="1">
        <f>IF(AND(O544="",ISNUMBER(B544)),INT(B544),0)</f>
        <v/>
      </c>
      <c r="Q544">
        <f>IF(AND(P544&gt;0,C544=Report!$C$5),P544*10000+ROW(),"")</f>
        <v/>
      </c>
      <c r="R544">
        <f>IF(AND(Q544&lt;&gt;"",ISNUMBER(D544)),Q544,"")</f>
        <v/>
      </c>
      <c r="S544">
        <f>IF(AND(Q544&lt;&gt;"",ISNUMBER(E544)),Q544,"")</f>
        <v/>
      </c>
      <c r="T544">
        <f>IF(AND(Q544&lt;&gt;"",ISNUMBER(F544)),Q544,"")</f>
        <v/>
      </c>
      <c r="U544">
        <f>IF(AND(Q544&lt;&gt;"",ISNUMBER(G544)),Q544,"")</f>
        <v/>
      </c>
      <c r="V544">
        <f>IF(AND(Q544&lt;&gt;"",ISNUMBER(H544)),Q544,"")</f>
        <v/>
      </c>
      <c r="W544">
        <f>IF(AND(Q544&lt;&gt;"",ISNUMBER(I544)),Q544,"")</f>
        <v/>
      </c>
      <c r="X544">
        <f>IF(AND(Q544&lt;&gt;"",ISNUMBER(J544)),Q544,"")</f>
        <v/>
      </c>
      <c r="Y544">
        <f>IF(AND(Q544&lt;&gt;"",ISNUMBER(K544)),Q544,"")</f>
        <v/>
      </c>
      <c r="Z544">
        <f>IF(AND(Q544&lt;&gt;"",ISNUMBER(L544)),Q544,"")</f>
        <v/>
      </c>
      <c r="AA544">
        <f>IF(AND(Q544&lt;&gt;"",ISNUMBER(M544)),Q544,"")</f>
        <v/>
      </c>
      <c r="AB544">
        <f>IF(AND(Q544&lt;&gt;"",ISNUMBER(K544)),K544,"")</f>
        <v/>
      </c>
      <c r="AC544">
        <f>IF(AND(Q544&lt;&gt;"",ISNUMBER(L544)),L544,"")</f>
        <v/>
      </c>
      <c r="AD544">
        <f>IF(AND(Q544&lt;&gt;"",ISNUMBER(M544)),M544,"")</f>
        <v/>
      </c>
    </row>
    <row r="545">
      <c r="A545" s="1" t="n"/>
      <c r="B545" s="17" t="n"/>
      <c r="C545" s="27" t="n"/>
      <c r="D545" s="2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9" t="n"/>
      <c r="N545" s="21" t="n"/>
      <c r="O545" s="12">
        <f>IF(AND(B545="",C545=""),"",IF(NOT(ISNUMBER(B545)),"Needs a date",IF(C545="","Needs a client",IF(COUNTIF(Clients!$B$6:$B$105,C545)=0,"Not on Clients",IF(COUNT(D545:M545)=0,"Nothing measured","")))))</f>
        <v/>
      </c>
      <c r="P545" s="1">
        <f>IF(AND(O545="",ISNUMBER(B545)),INT(B545),0)</f>
        <v/>
      </c>
      <c r="Q545">
        <f>IF(AND(P545&gt;0,C545=Report!$C$5),P545*10000+ROW(),"")</f>
        <v/>
      </c>
      <c r="R545">
        <f>IF(AND(Q545&lt;&gt;"",ISNUMBER(D545)),Q545,"")</f>
        <v/>
      </c>
      <c r="S545">
        <f>IF(AND(Q545&lt;&gt;"",ISNUMBER(E545)),Q545,"")</f>
        <v/>
      </c>
      <c r="T545">
        <f>IF(AND(Q545&lt;&gt;"",ISNUMBER(F545)),Q545,"")</f>
        <v/>
      </c>
      <c r="U545">
        <f>IF(AND(Q545&lt;&gt;"",ISNUMBER(G545)),Q545,"")</f>
        <v/>
      </c>
      <c r="V545">
        <f>IF(AND(Q545&lt;&gt;"",ISNUMBER(H545)),Q545,"")</f>
        <v/>
      </c>
      <c r="W545">
        <f>IF(AND(Q545&lt;&gt;"",ISNUMBER(I545)),Q545,"")</f>
        <v/>
      </c>
      <c r="X545">
        <f>IF(AND(Q545&lt;&gt;"",ISNUMBER(J545)),Q545,"")</f>
        <v/>
      </c>
      <c r="Y545">
        <f>IF(AND(Q545&lt;&gt;"",ISNUMBER(K545)),Q545,"")</f>
        <v/>
      </c>
      <c r="Z545">
        <f>IF(AND(Q545&lt;&gt;"",ISNUMBER(L545)),Q545,"")</f>
        <v/>
      </c>
      <c r="AA545">
        <f>IF(AND(Q545&lt;&gt;"",ISNUMBER(M545)),Q545,"")</f>
        <v/>
      </c>
      <c r="AB545">
        <f>IF(AND(Q545&lt;&gt;"",ISNUMBER(K545)),K545,"")</f>
        <v/>
      </c>
      <c r="AC545">
        <f>IF(AND(Q545&lt;&gt;"",ISNUMBER(L545)),L545,"")</f>
        <v/>
      </c>
      <c r="AD545">
        <f>IF(AND(Q545&lt;&gt;"",ISNUMBER(M545)),M545,"")</f>
        <v/>
      </c>
    </row>
    <row r="546">
      <c r="A546" s="1" t="n"/>
      <c r="B546" s="17" t="n"/>
      <c r="C546" s="27" t="n"/>
      <c r="D546" s="2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9" t="n"/>
      <c r="N546" s="21" t="n"/>
      <c r="O546" s="12">
        <f>IF(AND(B546="",C546=""),"",IF(NOT(ISNUMBER(B546)),"Needs a date",IF(C546="","Needs a client",IF(COUNTIF(Clients!$B$6:$B$105,C546)=0,"Not on Clients",IF(COUNT(D546:M546)=0,"Nothing measured","")))))</f>
        <v/>
      </c>
      <c r="P546" s="1">
        <f>IF(AND(O546="",ISNUMBER(B546)),INT(B546),0)</f>
        <v/>
      </c>
      <c r="Q546">
        <f>IF(AND(P546&gt;0,C546=Report!$C$5),P546*10000+ROW(),"")</f>
        <v/>
      </c>
      <c r="R546">
        <f>IF(AND(Q546&lt;&gt;"",ISNUMBER(D546)),Q546,"")</f>
        <v/>
      </c>
      <c r="S546">
        <f>IF(AND(Q546&lt;&gt;"",ISNUMBER(E546)),Q546,"")</f>
        <v/>
      </c>
      <c r="T546">
        <f>IF(AND(Q546&lt;&gt;"",ISNUMBER(F546)),Q546,"")</f>
        <v/>
      </c>
      <c r="U546">
        <f>IF(AND(Q546&lt;&gt;"",ISNUMBER(G546)),Q546,"")</f>
        <v/>
      </c>
      <c r="V546">
        <f>IF(AND(Q546&lt;&gt;"",ISNUMBER(H546)),Q546,"")</f>
        <v/>
      </c>
      <c r="W546">
        <f>IF(AND(Q546&lt;&gt;"",ISNUMBER(I546)),Q546,"")</f>
        <v/>
      </c>
      <c r="X546">
        <f>IF(AND(Q546&lt;&gt;"",ISNUMBER(J546)),Q546,"")</f>
        <v/>
      </c>
      <c r="Y546">
        <f>IF(AND(Q546&lt;&gt;"",ISNUMBER(K546)),Q546,"")</f>
        <v/>
      </c>
      <c r="Z546">
        <f>IF(AND(Q546&lt;&gt;"",ISNUMBER(L546)),Q546,"")</f>
        <v/>
      </c>
      <c r="AA546">
        <f>IF(AND(Q546&lt;&gt;"",ISNUMBER(M546)),Q546,"")</f>
        <v/>
      </c>
      <c r="AB546">
        <f>IF(AND(Q546&lt;&gt;"",ISNUMBER(K546)),K546,"")</f>
        <v/>
      </c>
      <c r="AC546">
        <f>IF(AND(Q546&lt;&gt;"",ISNUMBER(L546)),L546,"")</f>
        <v/>
      </c>
      <c r="AD546">
        <f>IF(AND(Q546&lt;&gt;"",ISNUMBER(M546)),M546,"")</f>
        <v/>
      </c>
    </row>
    <row r="547">
      <c r="A547" s="1" t="n"/>
      <c r="B547" s="17" t="n"/>
      <c r="C547" s="27" t="n"/>
      <c r="D547" s="2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9" t="n"/>
      <c r="N547" s="21" t="n"/>
      <c r="O547" s="12">
        <f>IF(AND(B547="",C547=""),"",IF(NOT(ISNUMBER(B547)),"Needs a date",IF(C547="","Needs a client",IF(COUNTIF(Clients!$B$6:$B$105,C547)=0,"Not on Clients",IF(COUNT(D547:M547)=0,"Nothing measured","")))))</f>
        <v/>
      </c>
      <c r="P547" s="1">
        <f>IF(AND(O547="",ISNUMBER(B547)),INT(B547),0)</f>
        <v/>
      </c>
      <c r="Q547">
        <f>IF(AND(P547&gt;0,C547=Report!$C$5),P547*10000+ROW(),"")</f>
        <v/>
      </c>
      <c r="R547">
        <f>IF(AND(Q547&lt;&gt;"",ISNUMBER(D547)),Q547,"")</f>
        <v/>
      </c>
      <c r="S547">
        <f>IF(AND(Q547&lt;&gt;"",ISNUMBER(E547)),Q547,"")</f>
        <v/>
      </c>
      <c r="T547">
        <f>IF(AND(Q547&lt;&gt;"",ISNUMBER(F547)),Q547,"")</f>
        <v/>
      </c>
      <c r="U547">
        <f>IF(AND(Q547&lt;&gt;"",ISNUMBER(G547)),Q547,"")</f>
        <v/>
      </c>
      <c r="V547">
        <f>IF(AND(Q547&lt;&gt;"",ISNUMBER(H547)),Q547,"")</f>
        <v/>
      </c>
      <c r="W547">
        <f>IF(AND(Q547&lt;&gt;"",ISNUMBER(I547)),Q547,"")</f>
        <v/>
      </c>
      <c r="X547">
        <f>IF(AND(Q547&lt;&gt;"",ISNUMBER(J547)),Q547,"")</f>
        <v/>
      </c>
      <c r="Y547">
        <f>IF(AND(Q547&lt;&gt;"",ISNUMBER(K547)),Q547,"")</f>
        <v/>
      </c>
      <c r="Z547">
        <f>IF(AND(Q547&lt;&gt;"",ISNUMBER(L547)),Q547,"")</f>
        <v/>
      </c>
      <c r="AA547">
        <f>IF(AND(Q547&lt;&gt;"",ISNUMBER(M547)),Q547,"")</f>
        <v/>
      </c>
      <c r="AB547">
        <f>IF(AND(Q547&lt;&gt;"",ISNUMBER(K547)),K547,"")</f>
        <v/>
      </c>
      <c r="AC547">
        <f>IF(AND(Q547&lt;&gt;"",ISNUMBER(L547)),L547,"")</f>
        <v/>
      </c>
      <c r="AD547">
        <f>IF(AND(Q547&lt;&gt;"",ISNUMBER(M547)),M547,"")</f>
        <v/>
      </c>
    </row>
    <row r="548">
      <c r="A548" s="1" t="n"/>
      <c r="B548" s="17" t="n"/>
      <c r="C548" s="27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9" t="n"/>
      <c r="N548" s="21" t="n"/>
      <c r="O548" s="12">
        <f>IF(AND(B548="",C548=""),"",IF(NOT(ISNUMBER(B548)),"Needs a date",IF(C548="","Needs a client",IF(COUNTIF(Clients!$B$6:$B$105,C548)=0,"Not on Clients",IF(COUNT(D548:M548)=0,"Nothing measured","")))))</f>
        <v/>
      </c>
      <c r="P548" s="1">
        <f>IF(AND(O548="",ISNUMBER(B548)),INT(B548),0)</f>
        <v/>
      </c>
      <c r="Q548">
        <f>IF(AND(P548&gt;0,C548=Report!$C$5),P548*10000+ROW(),"")</f>
        <v/>
      </c>
      <c r="R548">
        <f>IF(AND(Q548&lt;&gt;"",ISNUMBER(D548)),Q548,"")</f>
        <v/>
      </c>
      <c r="S548">
        <f>IF(AND(Q548&lt;&gt;"",ISNUMBER(E548)),Q548,"")</f>
        <v/>
      </c>
      <c r="T548">
        <f>IF(AND(Q548&lt;&gt;"",ISNUMBER(F548)),Q548,"")</f>
        <v/>
      </c>
      <c r="U548">
        <f>IF(AND(Q548&lt;&gt;"",ISNUMBER(G548)),Q548,"")</f>
        <v/>
      </c>
      <c r="V548">
        <f>IF(AND(Q548&lt;&gt;"",ISNUMBER(H548)),Q548,"")</f>
        <v/>
      </c>
      <c r="W548">
        <f>IF(AND(Q548&lt;&gt;"",ISNUMBER(I548)),Q548,"")</f>
        <v/>
      </c>
      <c r="X548">
        <f>IF(AND(Q548&lt;&gt;"",ISNUMBER(J548)),Q548,"")</f>
        <v/>
      </c>
      <c r="Y548">
        <f>IF(AND(Q548&lt;&gt;"",ISNUMBER(K548)),Q548,"")</f>
        <v/>
      </c>
      <c r="Z548">
        <f>IF(AND(Q548&lt;&gt;"",ISNUMBER(L548)),Q548,"")</f>
        <v/>
      </c>
      <c r="AA548">
        <f>IF(AND(Q548&lt;&gt;"",ISNUMBER(M548)),Q548,"")</f>
        <v/>
      </c>
      <c r="AB548">
        <f>IF(AND(Q548&lt;&gt;"",ISNUMBER(K548)),K548,"")</f>
        <v/>
      </c>
      <c r="AC548">
        <f>IF(AND(Q548&lt;&gt;"",ISNUMBER(L548)),L548,"")</f>
        <v/>
      </c>
      <c r="AD548">
        <f>IF(AND(Q548&lt;&gt;"",ISNUMBER(M548)),M548,"")</f>
        <v/>
      </c>
    </row>
    <row r="549">
      <c r="A549" s="1" t="n"/>
      <c r="B549" s="17" t="n"/>
      <c r="C549" s="27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9" t="n"/>
      <c r="N549" s="21" t="n"/>
      <c r="O549" s="12">
        <f>IF(AND(B549="",C549=""),"",IF(NOT(ISNUMBER(B549)),"Needs a date",IF(C549="","Needs a client",IF(COUNTIF(Clients!$B$6:$B$105,C549)=0,"Not on Clients",IF(COUNT(D549:M549)=0,"Nothing measured","")))))</f>
        <v/>
      </c>
      <c r="P549" s="1">
        <f>IF(AND(O549="",ISNUMBER(B549)),INT(B549),0)</f>
        <v/>
      </c>
      <c r="Q549">
        <f>IF(AND(P549&gt;0,C549=Report!$C$5),P549*10000+ROW(),"")</f>
        <v/>
      </c>
      <c r="R549">
        <f>IF(AND(Q549&lt;&gt;"",ISNUMBER(D549)),Q549,"")</f>
        <v/>
      </c>
      <c r="S549">
        <f>IF(AND(Q549&lt;&gt;"",ISNUMBER(E549)),Q549,"")</f>
        <v/>
      </c>
      <c r="T549">
        <f>IF(AND(Q549&lt;&gt;"",ISNUMBER(F549)),Q549,"")</f>
        <v/>
      </c>
      <c r="U549">
        <f>IF(AND(Q549&lt;&gt;"",ISNUMBER(G549)),Q549,"")</f>
        <v/>
      </c>
      <c r="V549">
        <f>IF(AND(Q549&lt;&gt;"",ISNUMBER(H549)),Q549,"")</f>
        <v/>
      </c>
      <c r="W549">
        <f>IF(AND(Q549&lt;&gt;"",ISNUMBER(I549)),Q549,"")</f>
        <v/>
      </c>
      <c r="X549">
        <f>IF(AND(Q549&lt;&gt;"",ISNUMBER(J549)),Q549,"")</f>
        <v/>
      </c>
      <c r="Y549">
        <f>IF(AND(Q549&lt;&gt;"",ISNUMBER(K549)),Q549,"")</f>
        <v/>
      </c>
      <c r="Z549">
        <f>IF(AND(Q549&lt;&gt;"",ISNUMBER(L549)),Q549,"")</f>
        <v/>
      </c>
      <c r="AA549">
        <f>IF(AND(Q549&lt;&gt;"",ISNUMBER(M549)),Q549,"")</f>
        <v/>
      </c>
      <c r="AB549">
        <f>IF(AND(Q549&lt;&gt;"",ISNUMBER(K549)),K549,"")</f>
        <v/>
      </c>
      <c r="AC549">
        <f>IF(AND(Q549&lt;&gt;"",ISNUMBER(L549)),L549,"")</f>
        <v/>
      </c>
      <c r="AD549">
        <f>IF(AND(Q549&lt;&gt;"",ISNUMBER(M549)),M549,"")</f>
        <v/>
      </c>
    </row>
    <row r="550">
      <c r="A550" s="1" t="n"/>
      <c r="B550" s="17" t="n"/>
      <c r="C550" s="27" t="n"/>
      <c r="D550" s="28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9" t="n"/>
      <c r="N550" s="21" t="n"/>
      <c r="O550" s="12">
        <f>IF(AND(B550="",C550=""),"",IF(NOT(ISNUMBER(B550)),"Needs a date",IF(C550="","Needs a client",IF(COUNTIF(Clients!$B$6:$B$105,C550)=0,"Not on Clients",IF(COUNT(D550:M550)=0,"Nothing measured","")))))</f>
        <v/>
      </c>
      <c r="P550" s="1">
        <f>IF(AND(O550="",ISNUMBER(B550)),INT(B550),0)</f>
        <v/>
      </c>
      <c r="Q550">
        <f>IF(AND(P550&gt;0,C550=Report!$C$5),P550*10000+ROW(),"")</f>
        <v/>
      </c>
      <c r="R550">
        <f>IF(AND(Q550&lt;&gt;"",ISNUMBER(D550)),Q550,"")</f>
        <v/>
      </c>
      <c r="S550">
        <f>IF(AND(Q550&lt;&gt;"",ISNUMBER(E550)),Q550,"")</f>
        <v/>
      </c>
      <c r="T550">
        <f>IF(AND(Q550&lt;&gt;"",ISNUMBER(F550)),Q550,"")</f>
        <v/>
      </c>
      <c r="U550">
        <f>IF(AND(Q550&lt;&gt;"",ISNUMBER(G550)),Q550,"")</f>
        <v/>
      </c>
      <c r="V550">
        <f>IF(AND(Q550&lt;&gt;"",ISNUMBER(H550)),Q550,"")</f>
        <v/>
      </c>
      <c r="W550">
        <f>IF(AND(Q550&lt;&gt;"",ISNUMBER(I550)),Q550,"")</f>
        <v/>
      </c>
      <c r="X550">
        <f>IF(AND(Q550&lt;&gt;"",ISNUMBER(J550)),Q550,"")</f>
        <v/>
      </c>
      <c r="Y550">
        <f>IF(AND(Q550&lt;&gt;"",ISNUMBER(K550)),Q550,"")</f>
        <v/>
      </c>
      <c r="Z550">
        <f>IF(AND(Q550&lt;&gt;"",ISNUMBER(L550)),Q550,"")</f>
        <v/>
      </c>
      <c r="AA550">
        <f>IF(AND(Q550&lt;&gt;"",ISNUMBER(M550)),Q550,"")</f>
        <v/>
      </c>
      <c r="AB550">
        <f>IF(AND(Q550&lt;&gt;"",ISNUMBER(K550)),K550,"")</f>
        <v/>
      </c>
      <c r="AC550">
        <f>IF(AND(Q550&lt;&gt;"",ISNUMBER(L550)),L550,"")</f>
        <v/>
      </c>
      <c r="AD550">
        <f>IF(AND(Q550&lt;&gt;"",ISNUMBER(M550)),M550,"")</f>
        <v/>
      </c>
    </row>
    <row r="551">
      <c r="A551" s="1" t="n"/>
      <c r="B551" s="17" t="n"/>
      <c r="C551" s="27" t="n"/>
      <c r="D551" s="28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9" t="n"/>
      <c r="N551" s="21" t="n"/>
      <c r="O551" s="12">
        <f>IF(AND(B551="",C551=""),"",IF(NOT(ISNUMBER(B551)),"Needs a date",IF(C551="","Needs a client",IF(COUNTIF(Clients!$B$6:$B$105,C551)=0,"Not on Clients",IF(COUNT(D551:M551)=0,"Nothing measured","")))))</f>
        <v/>
      </c>
      <c r="P551" s="1">
        <f>IF(AND(O551="",ISNUMBER(B551)),INT(B551),0)</f>
        <v/>
      </c>
      <c r="Q551">
        <f>IF(AND(P551&gt;0,C551=Report!$C$5),P551*10000+ROW(),"")</f>
        <v/>
      </c>
      <c r="R551">
        <f>IF(AND(Q551&lt;&gt;"",ISNUMBER(D551)),Q551,"")</f>
        <v/>
      </c>
      <c r="S551">
        <f>IF(AND(Q551&lt;&gt;"",ISNUMBER(E551)),Q551,"")</f>
        <v/>
      </c>
      <c r="T551">
        <f>IF(AND(Q551&lt;&gt;"",ISNUMBER(F551)),Q551,"")</f>
        <v/>
      </c>
      <c r="U551">
        <f>IF(AND(Q551&lt;&gt;"",ISNUMBER(G551)),Q551,"")</f>
        <v/>
      </c>
      <c r="V551">
        <f>IF(AND(Q551&lt;&gt;"",ISNUMBER(H551)),Q551,"")</f>
        <v/>
      </c>
      <c r="W551">
        <f>IF(AND(Q551&lt;&gt;"",ISNUMBER(I551)),Q551,"")</f>
        <v/>
      </c>
      <c r="X551">
        <f>IF(AND(Q551&lt;&gt;"",ISNUMBER(J551)),Q551,"")</f>
        <v/>
      </c>
      <c r="Y551">
        <f>IF(AND(Q551&lt;&gt;"",ISNUMBER(K551)),Q551,"")</f>
        <v/>
      </c>
      <c r="Z551">
        <f>IF(AND(Q551&lt;&gt;"",ISNUMBER(L551)),Q551,"")</f>
        <v/>
      </c>
      <c r="AA551">
        <f>IF(AND(Q551&lt;&gt;"",ISNUMBER(M551)),Q551,"")</f>
        <v/>
      </c>
      <c r="AB551">
        <f>IF(AND(Q551&lt;&gt;"",ISNUMBER(K551)),K551,"")</f>
        <v/>
      </c>
      <c r="AC551">
        <f>IF(AND(Q551&lt;&gt;"",ISNUMBER(L551)),L551,"")</f>
        <v/>
      </c>
      <c r="AD551">
        <f>IF(AND(Q551&lt;&gt;"",ISNUMBER(M551)),M551,"")</f>
        <v/>
      </c>
    </row>
    <row r="552">
      <c r="A552" s="1" t="n"/>
      <c r="B552" s="17" t="n"/>
      <c r="C552" s="27" t="n"/>
      <c r="D552" s="28" t="n"/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9" t="n"/>
      <c r="N552" s="21" t="n"/>
      <c r="O552" s="12">
        <f>IF(AND(B552="",C552=""),"",IF(NOT(ISNUMBER(B552)),"Needs a date",IF(C552="","Needs a client",IF(COUNTIF(Clients!$B$6:$B$105,C552)=0,"Not on Clients",IF(COUNT(D552:M552)=0,"Nothing measured","")))))</f>
        <v/>
      </c>
      <c r="P552" s="1">
        <f>IF(AND(O552="",ISNUMBER(B552)),INT(B552),0)</f>
        <v/>
      </c>
      <c r="Q552">
        <f>IF(AND(P552&gt;0,C552=Report!$C$5),P552*10000+ROW(),"")</f>
        <v/>
      </c>
      <c r="R552">
        <f>IF(AND(Q552&lt;&gt;"",ISNUMBER(D552)),Q552,"")</f>
        <v/>
      </c>
      <c r="S552">
        <f>IF(AND(Q552&lt;&gt;"",ISNUMBER(E552)),Q552,"")</f>
        <v/>
      </c>
      <c r="T552">
        <f>IF(AND(Q552&lt;&gt;"",ISNUMBER(F552)),Q552,"")</f>
        <v/>
      </c>
      <c r="U552">
        <f>IF(AND(Q552&lt;&gt;"",ISNUMBER(G552)),Q552,"")</f>
        <v/>
      </c>
      <c r="V552">
        <f>IF(AND(Q552&lt;&gt;"",ISNUMBER(H552)),Q552,"")</f>
        <v/>
      </c>
      <c r="W552">
        <f>IF(AND(Q552&lt;&gt;"",ISNUMBER(I552)),Q552,"")</f>
        <v/>
      </c>
      <c r="X552">
        <f>IF(AND(Q552&lt;&gt;"",ISNUMBER(J552)),Q552,"")</f>
        <v/>
      </c>
      <c r="Y552">
        <f>IF(AND(Q552&lt;&gt;"",ISNUMBER(K552)),Q552,"")</f>
        <v/>
      </c>
      <c r="Z552">
        <f>IF(AND(Q552&lt;&gt;"",ISNUMBER(L552)),Q552,"")</f>
        <v/>
      </c>
      <c r="AA552">
        <f>IF(AND(Q552&lt;&gt;"",ISNUMBER(M552)),Q552,"")</f>
        <v/>
      </c>
      <c r="AB552">
        <f>IF(AND(Q552&lt;&gt;"",ISNUMBER(K552)),K552,"")</f>
        <v/>
      </c>
      <c r="AC552">
        <f>IF(AND(Q552&lt;&gt;"",ISNUMBER(L552)),L552,"")</f>
        <v/>
      </c>
      <c r="AD552">
        <f>IF(AND(Q552&lt;&gt;"",ISNUMBER(M552)),M552,"")</f>
        <v/>
      </c>
    </row>
    <row r="553">
      <c r="A553" s="1" t="n"/>
      <c r="B553" s="17" t="n"/>
      <c r="C553" s="27" t="n"/>
      <c r="D553" s="28" t="n"/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9" t="n"/>
      <c r="N553" s="21" t="n"/>
      <c r="O553" s="12">
        <f>IF(AND(B553="",C553=""),"",IF(NOT(ISNUMBER(B553)),"Needs a date",IF(C553="","Needs a client",IF(COUNTIF(Clients!$B$6:$B$105,C553)=0,"Not on Clients",IF(COUNT(D553:M553)=0,"Nothing measured","")))))</f>
        <v/>
      </c>
      <c r="P553" s="1">
        <f>IF(AND(O553="",ISNUMBER(B553)),INT(B553),0)</f>
        <v/>
      </c>
      <c r="Q553">
        <f>IF(AND(P553&gt;0,C553=Report!$C$5),P553*10000+ROW(),"")</f>
        <v/>
      </c>
      <c r="R553">
        <f>IF(AND(Q553&lt;&gt;"",ISNUMBER(D553)),Q553,"")</f>
        <v/>
      </c>
      <c r="S553">
        <f>IF(AND(Q553&lt;&gt;"",ISNUMBER(E553)),Q553,"")</f>
        <v/>
      </c>
      <c r="T553">
        <f>IF(AND(Q553&lt;&gt;"",ISNUMBER(F553)),Q553,"")</f>
        <v/>
      </c>
      <c r="U553">
        <f>IF(AND(Q553&lt;&gt;"",ISNUMBER(G553)),Q553,"")</f>
        <v/>
      </c>
      <c r="V553">
        <f>IF(AND(Q553&lt;&gt;"",ISNUMBER(H553)),Q553,"")</f>
        <v/>
      </c>
      <c r="W553">
        <f>IF(AND(Q553&lt;&gt;"",ISNUMBER(I553)),Q553,"")</f>
        <v/>
      </c>
      <c r="X553">
        <f>IF(AND(Q553&lt;&gt;"",ISNUMBER(J553)),Q553,"")</f>
        <v/>
      </c>
      <c r="Y553">
        <f>IF(AND(Q553&lt;&gt;"",ISNUMBER(K553)),Q553,"")</f>
        <v/>
      </c>
      <c r="Z553">
        <f>IF(AND(Q553&lt;&gt;"",ISNUMBER(L553)),Q553,"")</f>
        <v/>
      </c>
      <c r="AA553">
        <f>IF(AND(Q553&lt;&gt;"",ISNUMBER(M553)),Q553,"")</f>
        <v/>
      </c>
      <c r="AB553">
        <f>IF(AND(Q553&lt;&gt;"",ISNUMBER(K553)),K553,"")</f>
        <v/>
      </c>
      <c r="AC553">
        <f>IF(AND(Q553&lt;&gt;"",ISNUMBER(L553)),L553,"")</f>
        <v/>
      </c>
      <c r="AD553">
        <f>IF(AND(Q553&lt;&gt;"",ISNUMBER(M553)),M553,"")</f>
        <v/>
      </c>
    </row>
    <row r="554">
      <c r="A554" s="1" t="n"/>
      <c r="B554" s="17" t="n"/>
      <c r="C554" s="27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9" t="n"/>
      <c r="N554" s="21" t="n"/>
      <c r="O554" s="12">
        <f>IF(AND(B554="",C554=""),"",IF(NOT(ISNUMBER(B554)),"Needs a date",IF(C554="","Needs a client",IF(COUNTIF(Clients!$B$6:$B$105,C554)=0,"Not on Clients",IF(COUNT(D554:M554)=0,"Nothing measured","")))))</f>
        <v/>
      </c>
      <c r="P554" s="1">
        <f>IF(AND(O554="",ISNUMBER(B554)),INT(B554),0)</f>
        <v/>
      </c>
      <c r="Q554">
        <f>IF(AND(P554&gt;0,C554=Report!$C$5),P554*10000+ROW(),"")</f>
        <v/>
      </c>
      <c r="R554">
        <f>IF(AND(Q554&lt;&gt;"",ISNUMBER(D554)),Q554,"")</f>
        <v/>
      </c>
      <c r="S554">
        <f>IF(AND(Q554&lt;&gt;"",ISNUMBER(E554)),Q554,"")</f>
        <v/>
      </c>
      <c r="T554">
        <f>IF(AND(Q554&lt;&gt;"",ISNUMBER(F554)),Q554,"")</f>
        <v/>
      </c>
      <c r="U554">
        <f>IF(AND(Q554&lt;&gt;"",ISNUMBER(G554)),Q554,"")</f>
        <v/>
      </c>
      <c r="V554">
        <f>IF(AND(Q554&lt;&gt;"",ISNUMBER(H554)),Q554,"")</f>
        <v/>
      </c>
      <c r="W554">
        <f>IF(AND(Q554&lt;&gt;"",ISNUMBER(I554)),Q554,"")</f>
        <v/>
      </c>
      <c r="X554">
        <f>IF(AND(Q554&lt;&gt;"",ISNUMBER(J554)),Q554,"")</f>
        <v/>
      </c>
      <c r="Y554">
        <f>IF(AND(Q554&lt;&gt;"",ISNUMBER(K554)),Q554,"")</f>
        <v/>
      </c>
      <c r="Z554">
        <f>IF(AND(Q554&lt;&gt;"",ISNUMBER(L554)),Q554,"")</f>
        <v/>
      </c>
      <c r="AA554">
        <f>IF(AND(Q554&lt;&gt;"",ISNUMBER(M554)),Q554,"")</f>
        <v/>
      </c>
      <c r="AB554">
        <f>IF(AND(Q554&lt;&gt;"",ISNUMBER(K554)),K554,"")</f>
        <v/>
      </c>
      <c r="AC554">
        <f>IF(AND(Q554&lt;&gt;"",ISNUMBER(L554)),L554,"")</f>
        <v/>
      </c>
      <c r="AD554">
        <f>IF(AND(Q554&lt;&gt;"",ISNUMBER(M554)),M554,"")</f>
        <v/>
      </c>
    </row>
    <row r="555">
      <c r="A555" s="1" t="n"/>
      <c r="B555" s="17" t="n"/>
      <c r="C555" s="27" t="n"/>
      <c r="D555" s="2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9" t="n"/>
      <c r="N555" s="21" t="n"/>
      <c r="O555" s="12">
        <f>IF(AND(B555="",C555=""),"",IF(NOT(ISNUMBER(B555)),"Needs a date",IF(C555="","Needs a client",IF(COUNTIF(Clients!$B$6:$B$105,C555)=0,"Not on Clients",IF(COUNT(D555:M555)=0,"Nothing measured","")))))</f>
        <v/>
      </c>
      <c r="P555" s="1">
        <f>IF(AND(O555="",ISNUMBER(B555)),INT(B555),0)</f>
        <v/>
      </c>
      <c r="Q555">
        <f>IF(AND(P555&gt;0,C555=Report!$C$5),P555*10000+ROW(),"")</f>
        <v/>
      </c>
      <c r="R555">
        <f>IF(AND(Q555&lt;&gt;"",ISNUMBER(D555)),Q555,"")</f>
        <v/>
      </c>
      <c r="S555">
        <f>IF(AND(Q555&lt;&gt;"",ISNUMBER(E555)),Q555,"")</f>
        <v/>
      </c>
      <c r="T555">
        <f>IF(AND(Q555&lt;&gt;"",ISNUMBER(F555)),Q555,"")</f>
        <v/>
      </c>
      <c r="U555">
        <f>IF(AND(Q555&lt;&gt;"",ISNUMBER(G555)),Q555,"")</f>
        <v/>
      </c>
      <c r="V555">
        <f>IF(AND(Q555&lt;&gt;"",ISNUMBER(H555)),Q555,"")</f>
        <v/>
      </c>
      <c r="W555">
        <f>IF(AND(Q555&lt;&gt;"",ISNUMBER(I555)),Q555,"")</f>
        <v/>
      </c>
      <c r="X555">
        <f>IF(AND(Q555&lt;&gt;"",ISNUMBER(J555)),Q555,"")</f>
        <v/>
      </c>
      <c r="Y555">
        <f>IF(AND(Q555&lt;&gt;"",ISNUMBER(K555)),Q555,"")</f>
        <v/>
      </c>
      <c r="Z555">
        <f>IF(AND(Q555&lt;&gt;"",ISNUMBER(L555)),Q555,"")</f>
        <v/>
      </c>
      <c r="AA555">
        <f>IF(AND(Q555&lt;&gt;"",ISNUMBER(M555)),Q555,"")</f>
        <v/>
      </c>
      <c r="AB555">
        <f>IF(AND(Q555&lt;&gt;"",ISNUMBER(K555)),K555,"")</f>
        <v/>
      </c>
      <c r="AC555">
        <f>IF(AND(Q555&lt;&gt;"",ISNUMBER(L555)),L555,"")</f>
        <v/>
      </c>
      <c r="AD555">
        <f>IF(AND(Q555&lt;&gt;"",ISNUMBER(M555)),M555,"")</f>
        <v/>
      </c>
    </row>
    <row r="556">
      <c r="A556" s="1" t="n"/>
      <c r="B556" s="17" t="n"/>
      <c r="C556" s="27" t="n"/>
      <c r="D556" s="2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9" t="n"/>
      <c r="N556" s="21" t="n"/>
      <c r="O556" s="12">
        <f>IF(AND(B556="",C556=""),"",IF(NOT(ISNUMBER(B556)),"Needs a date",IF(C556="","Needs a client",IF(COUNTIF(Clients!$B$6:$B$105,C556)=0,"Not on Clients",IF(COUNT(D556:M556)=0,"Nothing measured","")))))</f>
        <v/>
      </c>
      <c r="P556" s="1">
        <f>IF(AND(O556="",ISNUMBER(B556)),INT(B556),0)</f>
        <v/>
      </c>
      <c r="Q556">
        <f>IF(AND(P556&gt;0,C556=Report!$C$5),P556*10000+ROW(),"")</f>
        <v/>
      </c>
      <c r="R556">
        <f>IF(AND(Q556&lt;&gt;"",ISNUMBER(D556)),Q556,"")</f>
        <v/>
      </c>
      <c r="S556">
        <f>IF(AND(Q556&lt;&gt;"",ISNUMBER(E556)),Q556,"")</f>
        <v/>
      </c>
      <c r="T556">
        <f>IF(AND(Q556&lt;&gt;"",ISNUMBER(F556)),Q556,"")</f>
        <v/>
      </c>
      <c r="U556">
        <f>IF(AND(Q556&lt;&gt;"",ISNUMBER(G556)),Q556,"")</f>
        <v/>
      </c>
      <c r="V556">
        <f>IF(AND(Q556&lt;&gt;"",ISNUMBER(H556)),Q556,"")</f>
        <v/>
      </c>
      <c r="W556">
        <f>IF(AND(Q556&lt;&gt;"",ISNUMBER(I556)),Q556,"")</f>
        <v/>
      </c>
      <c r="X556">
        <f>IF(AND(Q556&lt;&gt;"",ISNUMBER(J556)),Q556,"")</f>
        <v/>
      </c>
      <c r="Y556">
        <f>IF(AND(Q556&lt;&gt;"",ISNUMBER(K556)),Q556,"")</f>
        <v/>
      </c>
      <c r="Z556">
        <f>IF(AND(Q556&lt;&gt;"",ISNUMBER(L556)),Q556,"")</f>
        <v/>
      </c>
      <c r="AA556">
        <f>IF(AND(Q556&lt;&gt;"",ISNUMBER(M556)),Q556,"")</f>
        <v/>
      </c>
      <c r="AB556">
        <f>IF(AND(Q556&lt;&gt;"",ISNUMBER(K556)),K556,"")</f>
        <v/>
      </c>
      <c r="AC556">
        <f>IF(AND(Q556&lt;&gt;"",ISNUMBER(L556)),L556,"")</f>
        <v/>
      </c>
      <c r="AD556">
        <f>IF(AND(Q556&lt;&gt;"",ISNUMBER(M556)),M556,"")</f>
        <v/>
      </c>
    </row>
    <row r="557">
      <c r="A557" s="1" t="n"/>
      <c r="B557" s="17" t="n"/>
      <c r="C557" s="27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9" t="n"/>
      <c r="N557" s="21" t="n"/>
      <c r="O557" s="12">
        <f>IF(AND(B557="",C557=""),"",IF(NOT(ISNUMBER(B557)),"Needs a date",IF(C557="","Needs a client",IF(COUNTIF(Clients!$B$6:$B$105,C557)=0,"Not on Clients",IF(COUNT(D557:M557)=0,"Nothing measured","")))))</f>
        <v/>
      </c>
      <c r="P557" s="1">
        <f>IF(AND(O557="",ISNUMBER(B557)),INT(B557),0)</f>
        <v/>
      </c>
      <c r="Q557">
        <f>IF(AND(P557&gt;0,C557=Report!$C$5),P557*10000+ROW(),"")</f>
        <v/>
      </c>
      <c r="R557">
        <f>IF(AND(Q557&lt;&gt;"",ISNUMBER(D557)),Q557,"")</f>
        <v/>
      </c>
      <c r="S557">
        <f>IF(AND(Q557&lt;&gt;"",ISNUMBER(E557)),Q557,"")</f>
        <v/>
      </c>
      <c r="T557">
        <f>IF(AND(Q557&lt;&gt;"",ISNUMBER(F557)),Q557,"")</f>
        <v/>
      </c>
      <c r="U557">
        <f>IF(AND(Q557&lt;&gt;"",ISNUMBER(G557)),Q557,"")</f>
        <v/>
      </c>
      <c r="V557">
        <f>IF(AND(Q557&lt;&gt;"",ISNUMBER(H557)),Q557,"")</f>
        <v/>
      </c>
      <c r="W557">
        <f>IF(AND(Q557&lt;&gt;"",ISNUMBER(I557)),Q557,"")</f>
        <v/>
      </c>
      <c r="X557">
        <f>IF(AND(Q557&lt;&gt;"",ISNUMBER(J557)),Q557,"")</f>
        <v/>
      </c>
      <c r="Y557">
        <f>IF(AND(Q557&lt;&gt;"",ISNUMBER(K557)),Q557,"")</f>
        <v/>
      </c>
      <c r="Z557">
        <f>IF(AND(Q557&lt;&gt;"",ISNUMBER(L557)),Q557,"")</f>
        <v/>
      </c>
      <c r="AA557">
        <f>IF(AND(Q557&lt;&gt;"",ISNUMBER(M557)),Q557,"")</f>
        <v/>
      </c>
      <c r="AB557">
        <f>IF(AND(Q557&lt;&gt;"",ISNUMBER(K557)),K557,"")</f>
        <v/>
      </c>
      <c r="AC557">
        <f>IF(AND(Q557&lt;&gt;"",ISNUMBER(L557)),L557,"")</f>
        <v/>
      </c>
      <c r="AD557">
        <f>IF(AND(Q557&lt;&gt;"",ISNUMBER(M557)),M557,"")</f>
        <v/>
      </c>
    </row>
    <row r="558">
      <c r="A558" s="1" t="n"/>
      <c r="B558" s="17" t="n"/>
      <c r="C558" s="27" t="n"/>
      <c r="D558" s="28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9" t="n"/>
      <c r="N558" s="21" t="n"/>
      <c r="O558" s="12">
        <f>IF(AND(B558="",C558=""),"",IF(NOT(ISNUMBER(B558)),"Needs a date",IF(C558="","Needs a client",IF(COUNTIF(Clients!$B$6:$B$105,C558)=0,"Not on Clients",IF(COUNT(D558:M558)=0,"Nothing measured","")))))</f>
        <v/>
      </c>
      <c r="P558" s="1">
        <f>IF(AND(O558="",ISNUMBER(B558)),INT(B558),0)</f>
        <v/>
      </c>
      <c r="Q558">
        <f>IF(AND(P558&gt;0,C558=Report!$C$5),P558*10000+ROW(),"")</f>
        <v/>
      </c>
      <c r="R558">
        <f>IF(AND(Q558&lt;&gt;"",ISNUMBER(D558)),Q558,"")</f>
        <v/>
      </c>
      <c r="S558">
        <f>IF(AND(Q558&lt;&gt;"",ISNUMBER(E558)),Q558,"")</f>
        <v/>
      </c>
      <c r="T558">
        <f>IF(AND(Q558&lt;&gt;"",ISNUMBER(F558)),Q558,"")</f>
        <v/>
      </c>
      <c r="U558">
        <f>IF(AND(Q558&lt;&gt;"",ISNUMBER(G558)),Q558,"")</f>
        <v/>
      </c>
      <c r="V558">
        <f>IF(AND(Q558&lt;&gt;"",ISNUMBER(H558)),Q558,"")</f>
        <v/>
      </c>
      <c r="W558">
        <f>IF(AND(Q558&lt;&gt;"",ISNUMBER(I558)),Q558,"")</f>
        <v/>
      </c>
      <c r="X558">
        <f>IF(AND(Q558&lt;&gt;"",ISNUMBER(J558)),Q558,"")</f>
        <v/>
      </c>
      <c r="Y558">
        <f>IF(AND(Q558&lt;&gt;"",ISNUMBER(K558)),Q558,"")</f>
        <v/>
      </c>
      <c r="Z558">
        <f>IF(AND(Q558&lt;&gt;"",ISNUMBER(L558)),Q558,"")</f>
        <v/>
      </c>
      <c r="AA558">
        <f>IF(AND(Q558&lt;&gt;"",ISNUMBER(M558)),Q558,"")</f>
        <v/>
      </c>
      <c r="AB558">
        <f>IF(AND(Q558&lt;&gt;"",ISNUMBER(K558)),K558,"")</f>
        <v/>
      </c>
      <c r="AC558">
        <f>IF(AND(Q558&lt;&gt;"",ISNUMBER(L558)),L558,"")</f>
        <v/>
      </c>
      <c r="AD558">
        <f>IF(AND(Q558&lt;&gt;"",ISNUMBER(M558)),M558,"")</f>
        <v/>
      </c>
    </row>
    <row r="559">
      <c r="A559" s="1" t="n"/>
      <c r="B559" s="17" t="n"/>
      <c r="C559" s="27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9" t="n"/>
      <c r="N559" s="21" t="n"/>
      <c r="O559" s="12">
        <f>IF(AND(B559="",C559=""),"",IF(NOT(ISNUMBER(B559)),"Needs a date",IF(C559="","Needs a client",IF(COUNTIF(Clients!$B$6:$B$105,C559)=0,"Not on Clients",IF(COUNT(D559:M559)=0,"Nothing measured","")))))</f>
        <v/>
      </c>
      <c r="P559" s="1">
        <f>IF(AND(O559="",ISNUMBER(B559)),INT(B559),0)</f>
        <v/>
      </c>
      <c r="Q559">
        <f>IF(AND(P559&gt;0,C559=Report!$C$5),P559*10000+ROW(),"")</f>
        <v/>
      </c>
      <c r="R559">
        <f>IF(AND(Q559&lt;&gt;"",ISNUMBER(D559)),Q559,"")</f>
        <v/>
      </c>
      <c r="S559">
        <f>IF(AND(Q559&lt;&gt;"",ISNUMBER(E559)),Q559,"")</f>
        <v/>
      </c>
      <c r="T559">
        <f>IF(AND(Q559&lt;&gt;"",ISNUMBER(F559)),Q559,"")</f>
        <v/>
      </c>
      <c r="U559">
        <f>IF(AND(Q559&lt;&gt;"",ISNUMBER(G559)),Q559,"")</f>
        <v/>
      </c>
      <c r="V559">
        <f>IF(AND(Q559&lt;&gt;"",ISNUMBER(H559)),Q559,"")</f>
        <v/>
      </c>
      <c r="W559">
        <f>IF(AND(Q559&lt;&gt;"",ISNUMBER(I559)),Q559,"")</f>
        <v/>
      </c>
      <c r="X559">
        <f>IF(AND(Q559&lt;&gt;"",ISNUMBER(J559)),Q559,"")</f>
        <v/>
      </c>
      <c r="Y559">
        <f>IF(AND(Q559&lt;&gt;"",ISNUMBER(K559)),Q559,"")</f>
        <v/>
      </c>
      <c r="Z559">
        <f>IF(AND(Q559&lt;&gt;"",ISNUMBER(L559)),Q559,"")</f>
        <v/>
      </c>
      <c r="AA559">
        <f>IF(AND(Q559&lt;&gt;"",ISNUMBER(M559)),Q559,"")</f>
        <v/>
      </c>
      <c r="AB559">
        <f>IF(AND(Q559&lt;&gt;"",ISNUMBER(K559)),K559,"")</f>
        <v/>
      </c>
      <c r="AC559">
        <f>IF(AND(Q559&lt;&gt;"",ISNUMBER(L559)),L559,"")</f>
        <v/>
      </c>
      <c r="AD559">
        <f>IF(AND(Q559&lt;&gt;"",ISNUMBER(M559)),M559,"")</f>
        <v/>
      </c>
    </row>
    <row r="560">
      <c r="A560" s="1" t="n"/>
      <c r="B560" s="17" t="n"/>
      <c r="C560" s="27" t="n"/>
      <c r="D560" s="28" t="n"/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9" t="n"/>
      <c r="N560" s="21" t="n"/>
      <c r="O560" s="12">
        <f>IF(AND(B560="",C560=""),"",IF(NOT(ISNUMBER(B560)),"Needs a date",IF(C560="","Needs a client",IF(COUNTIF(Clients!$B$6:$B$105,C560)=0,"Not on Clients",IF(COUNT(D560:M560)=0,"Nothing measured","")))))</f>
        <v/>
      </c>
      <c r="P560" s="1">
        <f>IF(AND(O560="",ISNUMBER(B560)),INT(B560),0)</f>
        <v/>
      </c>
      <c r="Q560">
        <f>IF(AND(P560&gt;0,C560=Report!$C$5),P560*10000+ROW(),"")</f>
        <v/>
      </c>
      <c r="R560">
        <f>IF(AND(Q560&lt;&gt;"",ISNUMBER(D560)),Q560,"")</f>
        <v/>
      </c>
      <c r="S560">
        <f>IF(AND(Q560&lt;&gt;"",ISNUMBER(E560)),Q560,"")</f>
        <v/>
      </c>
      <c r="T560">
        <f>IF(AND(Q560&lt;&gt;"",ISNUMBER(F560)),Q560,"")</f>
        <v/>
      </c>
      <c r="U560">
        <f>IF(AND(Q560&lt;&gt;"",ISNUMBER(G560)),Q560,"")</f>
        <v/>
      </c>
      <c r="V560">
        <f>IF(AND(Q560&lt;&gt;"",ISNUMBER(H560)),Q560,"")</f>
        <v/>
      </c>
      <c r="W560">
        <f>IF(AND(Q560&lt;&gt;"",ISNUMBER(I560)),Q560,"")</f>
        <v/>
      </c>
      <c r="X560">
        <f>IF(AND(Q560&lt;&gt;"",ISNUMBER(J560)),Q560,"")</f>
        <v/>
      </c>
      <c r="Y560">
        <f>IF(AND(Q560&lt;&gt;"",ISNUMBER(K560)),Q560,"")</f>
        <v/>
      </c>
      <c r="Z560">
        <f>IF(AND(Q560&lt;&gt;"",ISNUMBER(L560)),Q560,"")</f>
        <v/>
      </c>
      <c r="AA560">
        <f>IF(AND(Q560&lt;&gt;"",ISNUMBER(M560)),Q560,"")</f>
        <v/>
      </c>
      <c r="AB560">
        <f>IF(AND(Q560&lt;&gt;"",ISNUMBER(K560)),K560,"")</f>
        <v/>
      </c>
      <c r="AC560">
        <f>IF(AND(Q560&lt;&gt;"",ISNUMBER(L560)),L560,"")</f>
        <v/>
      </c>
      <c r="AD560">
        <f>IF(AND(Q560&lt;&gt;"",ISNUMBER(M560)),M560,"")</f>
        <v/>
      </c>
    </row>
    <row r="561">
      <c r="A561" s="1" t="n"/>
      <c r="B561" s="17" t="n"/>
      <c r="C561" s="27" t="n"/>
      <c r="D561" s="28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9" t="n"/>
      <c r="N561" s="21" t="n"/>
      <c r="O561" s="12">
        <f>IF(AND(B561="",C561=""),"",IF(NOT(ISNUMBER(B561)),"Needs a date",IF(C561="","Needs a client",IF(COUNTIF(Clients!$B$6:$B$105,C561)=0,"Not on Clients",IF(COUNT(D561:M561)=0,"Nothing measured","")))))</f>
        <v/>
      </c>
      <c r="P561" s="1">
        <f>IF(AND(O561="",ISNUMBER(B561)),INT(B561),0)</f>
        <v/>
      </c>
      <c r="Q561">
        <f>IF(AND(P561&gt;0,C561=Report!$C$5),P561*10000+ROW(),"")</f>
        <v/>
      </c>
      <c r="R561">
        <f>IF(AND(Q561&lt;&gt;"",ISNUMBER(D561)),Q561,"")</f>
        <v/>
      </c>
      <c r="S561">
        <f>IF(AND(Q561&lt;&gt;"",ISNUMBER(E561)),Q561,"")</f>
        <v/>
      </c>
      <c r="T561">
        <f>IF(AND(Q561&lt;&gt;"",ISNUMBER(F561)),Q561,"")</f>
        <v/>
      </c>
      <c r="U561">
        <f>IF(AND(Q561&lt;&gt;"",ISNUMBER(G561)),Q561,"")</f>
        <v/>
      </c>
      <c r="V561">
        <f>IF(AND(Q561&lt;&gt;"",ISNUMBER(H561)),Q561,"")</f>
        <v/>
      </c>
      <c r="W561">
        <f>IF(AND(Q561&lt;&gt;"",ISNUMBER(I561)),Q561,"")</f>
        <v/>
      </c>
      <c r="X561">
        <f>IF(AND(Q561&lt;&gt;"",ISNUMBER(J561)),Q561,"")</f>
        <v/>
      </c>
      <c r="Y561">
        <f>IF(AND(Q561&lt;&gt;"",ISNUMBER(K561)),Q561,"")</f>
        <v/>
      </c>
      <c r="Z561">
        <f>IF(AND(Q561&lt;&gt;"",ISNUMBER(L561)),Q561,"")</f>
        <v/>
      </c>
      <c r="AA561">
        <f>IF(AND(Q561&lt;&gt;"",ISNUMBER(M561)),Q561,"")</f>
        <v/>
      </c>
      <c r="AB561">
        <f>IF(AND(Q561&lt;&gt;"",ISNUMBER(K561)),K561,"")</f>
        <v/>
      </c>
      <c r="AC561">
        <f>IF(AND(Q561&lt;&gt;"",ISNUMBER(L561)),L561,"")</f>
        <v/>
      </c>
      <c r="AD561">
        <f>IF(AND(Q561&lt;&gt;"",ISNUMBER(M561)),M561,"")</f>
        <v/>
      </c>
    </row>
    <row r="562">
      <c r="A562" s="1" t="n"/>
      <c r="B562" s="17" t="n"/>
      <c r="C562" s="27" t="n"/>
      <c r="D562" s="28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9" t="n"/>
      <c r="N562" s="21" t="n"/>
      <c r="O562" s="12">
        <f>IF(AND(B562="",C562=""),"",IF(NOT(ISNUMBER(B562)),"Needs a date",IF(C562="","Needs a client",IF(COUNTIF(Clients!$B$6:$B$105,C562)=0,"Not on Clients",IF(COUNT(D562:M562)=0,"Nothing measured","")))))</f>
        <v/>
      </c>
      <c r="P562" s="1">
        <f>IF(AND(O562="",ISNUMBER(B562)),INT(B562),0)</f>
        <v/>
      </c>
      <c r="Q562">
        <f>IF(AND(P562&gt;0,C562=Report!$C$5),P562*10000+ROW(),"")</f>
        <v/>
      </c>
      <c r="R562">
        <f>IF(AND(Q562&lt;&gt;"",ISNUMBER(D562)),Q562,"")</f>
        <v/>
      </c>
      <c r="S562">
        <f>IF(AND(Q562&lt;&gt;"",ISNUMBER(E562)),Q562,"")</f>
        <v/>
      </c>
      <c r="T562">
        <f>IF(AND(Q562&lt;&gt;"",ISNUMBER(F562)),Q562,"")</f>
        <v/>
      </c>
      <c r="U562">
        <f>IF(AND(Q562&lt;&gt;"",ISNUMBER(G562)),Q562,"")</f>
        <v/>
      </c>
      <c r="V562">
        <f>IF(AND(Q562&lt;&gt;"",ISNUMBER(H562)),Q562,"")</f>
        <v/>
      </c>
      <c r="W562">
        <f>IF(AND(Q562&lt;&gt;"",ISNUMBER(I562)),Q562,"")</f>
        <v/>
      </c>
      <c r="X562">
        <f>IF(AND(Q562&lt;&gt;"",ISNUMBER(J562)),Q562,"")</f>
        <v/>
      </c>
      <c r="Y562">
        <f>IF(AND(Q562&lt;&gt;"",ISNUMBER(K562)),Q562,"")</f>
        <v/>
      </c>
      <c r="Z562">
        <f>IF(AND(Q562&lt;&gt;"",ISNUMBER(L562)),Q562,"")</f>
        <v/>
      </c>
      <c r="AA562">
        <f>IF(AND(Q562&lt;&gt;"",ISNUMBER(M562)),Q562,"")</f>
        <v/>
      </c>
      <c r="AB562">
        <f>IF(AND(Q562&lt;&gt;"",ISNUMBER(K562)),K562,"")</f>
        <v/>
      </c>
      <c r="AC562">
        <f>IF(AND(Q562&lt;&gt;"",ISNUMBER(L562)),L562,"")</f>
        <v/>
      </c>
      <c r="AD562">
        <f>IF(AND(Q562&lt;&gt;"",ISNUMBER(M562)),M562,"")</f>
        <v/>
      </c>
    </row>
    <row r="563">
      <c r="A563" s="1" t="n"/>
      <c r="B563" s="17" t="n"/>
      <c r="C563" s="27" t="n"/>
      <c r="D563" s="28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9" t="n"/>
      <c r="N563" s="21" t="n"/>
      <c r="O563" s="12">
        <f>IF(AND(B563="",C563=""),"",IF(NOT(ISNUMBER(B563)),"Needs a date",IF(C563="","Needs a client",IF(COUNTIF(Clients!$B$6:$B$105,C563)=0,"Not on Clients",IF(COUNT(D563:M563)=0,"Nothing measured","")))))</f>
        <v/>
      </c>
      <c r="P563" s="1">
        <f>IF(AND(O563="",ISNUMBER(B563)),INT(B563),0)</f>
        <v/>
      </c>
      <c r="Q563">
        <f>IF(AND(P563&gt;0,C563=Report!$C$5),P563*10000+ROW(),"")</f>
        <v/>
      </c>
      <c r="R563">
        <f>IF(AND(Q563&lt;&gt;"",ISNUMBER(D563)),Q563,"")</f>
        <v/>
      </c>
      <c r="S563">
        <f>IF(AND(Q563&lt;&gt;"",ISNUMBER(E563)),Q563,"")</f>
        <v/>
      </c>
      <c r="T563">
        <f>IF(AND(Q563&lt;&gt;"",ISNUMBER(F563)),Q563,"")</f>
        <v/>
      </c>
      <c r="U563">
        <f>IF(AND(Q563&lt;&gt;"",ISNUMBER(G563)),Q563,"")</f>
        <v/>
      </c>
      <c r="V563">
        <f>IF(AND(Q563&lt;&gt;"",ISNUMBER(H563)),Q563,"")</f>
        <v/>
      </c>
      <c r="W563">
        <f>IF(AND(Q563&lt;&gt;"",ISNUMBER(I563)),Q563,"")</f>
        <v/>
      </c>
      <c r="X563">
        <f>IF(AND(Q563&lt;&gt;"",ISNUMBER(J563)),Q563,"")</f>
        <v/>
      </c>
      <c r="Y563">
        <f>IF(AND(Q563&lt;&gt;"",ISNUMBER(K563)),Q563,"")</f>
        <v/>
      </c>
      <c r="Z563">
        <f>IF(AND(Q563&lt;&gt;"",ISNUMBER(L563)),Q563,"")</f>
        <v/>
      </c>
      <c r="AA563">
        <f>IF(AND(Q563&lt;&gt;"",ISNUMBER(M563)),Q563,"")</f>
        <v/>
      </c>
      <c r="AB563">
        <f>IF(AND(Q563&lt;&gt;"",ISNUMBER(K563)),K563,"")</f>
        <v/>
      </c>
      <c r="AC563">
        <f>IF(AND(Q563&lt;&gt;"",ISNUMBER(L563)),L563,"")</f>
        <v/>
      </c>
      <c r="AD563">
        <f>IF(AND(Q563&lt;&gt;"",ISNUMBER(M563)),M563,"")</f>
        <v/>
      </c>
    </row>
    <row r="564">
      <c r="A564" s="1" t="n"/>
      <c r="B564" s="17" t="n"/>
      <c r="C564" s="27" t="n"/>
      <c r="D564" s="28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9" t="n"/>
      <c r="N564" s="21" t="n"/>
      <c r="O564" s="12">
        <f>IF(AND(B564="",C564=""),"",IF(NOT(ISNUMBER(B564)),"Needs a date",IF(C564="","Needs a client",IF(COUNTIF(Clients!$B$6:$B$105,C564)=0,"Not on Clients",IF(COUNT(D564:M564)=0,"Nothing measured","")))))</f>
        <v/>
      </c>
      <c r="P564" s="1">
        <f>IF(AND(O564="",ISNUMBER(B564)),INT(B564),0)</f>
        <v/>
      </c>
      <c r="Q564">
        <f>IF(AND(P564&gt;0,C564=Report!$C$5),P564*10000+ROW(),"")</f>
        <v/>
      </c>
      <c r="R564">
        <f>IF(AND(Q564&lt;&gt;"",ISNUMBER(D564)),Q564,"")</f>
        <v/>
      </c>
      <c r="S564">
        <f>IF(AND(Q564&lt;&gt;"",ISNUMBER(E564)),Q564,"")</f>
        <v/>
      </c>
      <c r="T564">
        <f>IF(AND(Q564&lt;&gt;"",ISNUMBER(F564)),Q564,"")</f>
        <v/>
      </c>
      <c r="U564">
        <f>IF(AND(Q564&lt;&gt;"",ISNUMBER(G564)),Q564,"")</f>
        <v/>
      </c>
      <c r="V564">
        <f>IF(AND(Q564&lt;&gt;"",ISNUMBER(H564)),Q564,"")</f>
        <v/>
      </c>
      <c r="W564">
        <f>IF(AND(Q564&lt;&gt;"",ISNUMBER(I564)),Q564,"")</f>
        <v/>
      </c>
      <c r="X564">
        <f>IF(AND(Q564&lt;&gt;"",ISNUMBER(J564)),Q564,"")</f>
        <v/>
      </c>
      <c r="Y564">
        <f>IF(AND(Q564&lt;&gt;"",ISNUMBER(K564)),Q564,"")</f>
        <v/>
      </c>
      <c r="Z564">
        <f>IF(AND(Q564&lt;&gt;"",ISNUMBER(L564)),Q564,"")</f>
        <v/>
      </c>
      <c r="AA564">
        <f>IF(AND(Q564&lt;&gt;"",ISNUMBER(M564)),Q564,"")</f>
        <v/>
      </c>
      <c r="AB564">
        <f>IF(AND(Q564&lt;&gt;"",ISNUMBER(K564)),K564,"")</f>
        <v/>
      </c>
      <c r="AC564">
        <f>IF(AND(Q564&lt;&gt;"",ISNUMBER(L564)),L564,"")</f>
        <v/>
      </c>
      <c r="AD564">
        <f>IF(AND(Q564&lt;&gt;"",ISNUMBER(M564)),M564,"")</f>
        <v/>
      </c>
    </row>
    <row r="565">
      <c r="A565" s="1" t="n"/>
      <c r="B565" s="17" t="n"/>
      <c r="C565" s="27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9" t="n"/>
      <c r="N565" s="21" t="n"/>
      <c r="O565" s="12">
        <f>IF(AND(B565="",C565=""),"",IF(NOT(ISNUMBER(B565)),"Needs a date",IF(C565="","Needs a client",IF(COUNTIF(Clients!$B$6:$B$105,C565)=0,"Not on Clients",IF(COUNT(D565:M565)=0,"Nothing measured","")))))</f>
        <v/>
      </c>
      <c r="P565" s="1">
        <f>IF(AND(O565="",ISNUMBER(B565)),INT(B565),0)</f>
        <v/>
      </c>
      <c r="Q565">
        <f>IF(AND(P565&gt;0,C565=Report!$C$5),P565*10000+ROW(),"")</f>
        <v/>
      </c>
      <c r="R565">
        <f>IF(AND(Q565&lt;&gt;"",ISNUMBER(D565)),Q565,"")</f>
        <v/>
      </c>
      <c r="S565">
        <f>IF(AND(Q565&lt;&gt;"",ISNUMBER(E565)),Q565,"")</f>
        <v/>
      </c>
      <c r="T565">
        <f>IF(AND(Q565&lt;&gt;"",ISNUMBER(F565)),Q565,"")</f>
        <v/>
      </c>
      <c r="U565">
        <f>IF(AND(Q565&lt;&gt;"",ISNUMBER(G565)),Q565,"")</f>
        <v/>
      </c>
      <c r="V565">
        <f>IF(AND(Q565&lt;&gt;"",ISNUMBER(H565)),Q565,"")</f>
        <v/>
      </c>
      <c r="W565">
        <f>IF(AND(Q565&lt;&gt;"",ISNUMBER(I565)),Q565,"")</f>
        <v/>
      </c>
      <c r="X565">
        <f>IF(AND(Q565&lt;&gt;"",ISNUMBER(J565)),Q565,"")</f>
        <v/>
      </c>
      <c r="Y565">
        <f>IF(AND(Q565&lt;&gt;"",ISNUMBER(K565)),Q565,"")</f>
        <v/>
      </c>
      <c r="Z565">
        <f>IF(AND(Q565&lt;&gt;"",ISNUMBER(L565)),Q565,"")</f>
        <v/>
      </c>
      <c r="AA565">
        <f>IF(AND(Q565&lt;&gt;"",ISNUMBER(M565)),Q565,"")</f>
        <v/>
      </c>
      <c r="AB565">
        <f>IF(AND(Q565&lt;&gt;"",ISNUMBER(K565)),K565,"")</f>
        <v/>
      </c>
      <c r="AC565">
        <f>IF(AND(Q565&lt;&gt;"",ISNUMBER(L565)),L565,"")</f>
        <v/>
      </c>
      <c r="AD565">
        <f>IF(AND(Q565&lt;&gt;"",ISNUMBER(M565)),M565,"")</f>
        <v/>
      </c>
    </row>
    <row r="566">
      <c r="A566" s="1" t="n"/>
      <c r="B566" s="17" t="n"/>
      <c r="C566" s="27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9" t="n"/>
      <c r="N566" s="21" t="n"/>
      <c r="O566" s="12">
        <f>IF(AND(B566="",C566=""),"",IF(NOT(ISNUMBER(B566)),"Needs a date",IF(C566="","Needs a client",IF(COUNTIF(Clients!$B$6:$B$105,C566)=0,"Not on Clients",IF(COUNT(D566:M566)=0,"Nothing measured","")))))</f>
        <v/>
      </c>
      <c r="P566" s="1">
        <f>IF(AND(O566="",ISNUMBER(B566)),INT(B566),0)</f>
        <v/>
      </c>
      <c r="Q566">
        <f>IF(AND(P566&gt;0,C566=Report!$C$5),P566*10000+ROW(),"")</f>
        <v/>
      </c>
      <c r="R566">
        <f>IF(AND(Q566&lt;&gt;"",ISNUMBER(D566)),Q566,"")</f>
        <v/>
      </c>
      <c r="S566">
        <f>IF(AND(Q566&lt;&gt;"",ISNUMBER(E566)),Q566,"")</f>
        <v/>
      </c>
      <c r="T566">
        <f>IF(AND(Q566&lt;&gt;"",ISNUMBER(F566)),Q566,"")</f>
        <v/>
      </c>
      <c r="U566">
        <f>IF(AND(Q566&lt;&gt;"",ISNUMBER(G566)),Q566,"")</f>
        <v/>
      </c>
      <c r="V566">
        <f>IF(AND(Q566&lt;&gt;"",ISNUMBER(H566)),Q566,"")</f>
        <v/>
      </c>
      <c r="W566">
        <f>IF(AND(Q566&lt;&gt;"",ISNUMBER(I566)),Q566,"")</f>
        <v/>
      </c>
      <c r="X566">
        <f>IF(AND(Q566&lt;&gt;"",ISNUMBER(J566)),Q566,"")</f>
        <v/>
      </c>
      <c r="Y566">
        <f>IF(AND(Q566&lt;&gt;"",ISNUMBER(K566)),Q566,"")</f>
        <v/>
      </c>
      <c r="Z566">
        <f>IF(AND(Q566&lt;&gt;"",ISNUMBER(L566)),Q566,"")</f>
        <v/>
      </c>
      <c r="AA566">
        <f>IF(AND(Q566&lt;&gt;"",ISNUMBER(M566)),Q566,"")</f>
        <v/>
      </c>
      <c r="AB566">
        <f>IF(AND(Q566&lt;&gt;"",ISNUMBER(K566)),K566,"")</f>
        <v/>
      </c>
      <c r="AC566">
        <f>IF(AND(Q566&lt;&gt;"",ISNUMBER(L566)),L566,"")</f>
        <v/>
      </c>
      <c r="AD566">
        <f>IF(AND(Q566&lt;&gt;"",ISNUMBER(M566)),M566,"")</f>
        <v/>
      </c>
    </row>
    <row r="567">
      <c r="A567" s="1" t="n"/>
      <c r="B567" s="17" t="n"/>
      <c r="C567" s="27" t="n"/>
      <c r="D567" s="28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9" t="n"/>
      <c r="N567" s="21" t="n"/>
      <c r="O567" s="12">
        <f>IF(AND(B567="",C567=""),"",IF(NOT(ISNUMBER(B567)),"Needs a date",IF(C567="","Needs a client",IF(COUNTIF(Clients!$B$6:$B$105,C567)=0,"Not on Clients",IF(COUNT(D567:M567)=0,"Nothing measured","")))))</f>
        <v/>
      </c>
      <c r="P567" s="1">
        <f>IF(AND(O567="",ISNUMBER(B567)),INT(B567),0)</f>
        <v/>
      </c>
      <c r="Q567">
        <f>IF(AND(P567&gt;0,C567=Report!$C$5),P567*10000+ROW(),"")</f>
        <v/>
      </c>
      <c r="R567">
        <f>IF(AND(Q567&lt;&gt;"",ISNUMBER(D567)),Q567,"")</f>
        <v/>
      </c>
      <c r="S567">
        <f>IF(AND(Q567&lt;&gt;"",ISNUMBER(E567)),Q567,"")</f>
        <v/>
      </c>
      <c r="T567">
        <f>IF(AND(Q567&lt;&gt;"",ISNUMBER(F567)),Q567,"")</f>
        <v/>
      </c>
      <c r="U567">
        <f>IF(AND(Q567&lt;&gt;"",ISNUMBER(G567)),Q567,"")</f>
        <v/>
      </c>
      <c r="V567">
        <f>IF(AND(Q567&lt;&gt;"",ISNUMBER(H567)),Q567,"")</f>
        <v/>
      </c>
      <c r="W567">
        <f>IF(AND(Q567&lt;&gt;"",ISNUMBER(I567)),Q567,"")</f>
        <v/>
      </c>
      <c r="X567">
        <f>IF(AND(Q567&lt;&gt;"",ISNUMBER(J567)),Q567,"")</f>
        <v/>
      </c>
      <c r="Y567">
        <f>IF(AND(Q567&lt;&gt;"",ISNUMBER(K567)),Q567,"")</f>
        <v/>
      </c>
      <c r="Z567">
        <f>IF(AND(Q567&lt;&gt;"",ISNUMBER(L567)),Q567,"")</f>
        <v/>
      </c>
      <c r="AA567">
        <f>IF(AND(Q567&lt;&gt;"",ISNUMBER(M567)),Q567,"")</f>
        <v/>
      </c>
      <c r="AB567">
        <f>IF(AND(Q567&lt;&gt;"",ISNUMBER(K567)),K567,"")</f>
        <v/>
      </c>
      <c r="AC567">
        <f>IF(AND(Q567&lt;&gt;"",ISNUMBER(L567)),L567,"")</f>
        <v/>
      </c>
      <c r="AD567">
        <f>IF(AND(Q567&lt;&gt;"",ISNUMBER(M567)),M567,"")</f>
        <v/>
      </c>
    </row>
    <row r="568">
      <c r="A568" s="1" t="n"/>
      <c r="B568" s="17" t="n"/>
      <c r="C568" s="27" t="n"/>
      <c r="D568" s="28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9" t="n"/>
      <c r="N568" s="21" t="n"/>
      <c r="O568" s="12">
        <f>IF(AND(B568="",C568=""),"",IF(NOT(ISNUMBER(B568)),"Needs a date",IF(C568="","Needs a client",IF(COUNTIF(Clients!$B$6:$B$105,C568)=0,"Not on Clients",IF(COUNT(D568:M568)=0,"Nothing measured","")))))</f>
        <v/>
      </c>
      <c r="P568" s="1">
        <f>IF(AND(O568="",ISNUMBER(B568)),INT(B568),0)</f>
        <v/>
      </c>
      <c r="Q568">
        <f>IF(AND(P568&gt;0,C568=Report!$C$5),P568*10000+ROW(),"")</f>
        <v/>
      </c>
      <c r="R568">
        <f>IF(AND(Q568&lt;&gt;"",ISNUMBER(D568)),Q568,"")</f>
        <v/>
      </c>
      <c r="S568">
        <f>IF(AND(Q568&lt;&gt;"",ISNUMBER(E568)),Q568,"")</f>
        <v/>
      </c>
      <c r="T568">
        <f>IF(AND(Q568&lt;&gt;"",ISNUMBER(F568)),Q568,"")</f>
        <v/>
      </c>
      <c r="U568">
        <f>IF(AND(Q568&lt;&gt;"",ISNUMBER(G568)),Q568,"")</f>
        <v/>
      </c>
      <c r="V568">
        <f>IF(AND(Q568&lt;&gt;"",ISNUMBER(H568)),Q568,"")</f>
        <v/>
      </c>
      <c r="W568">
        <f>IF(AND(Q568&lt;&gt;"",ISNUMBER(I568)),Q568,"")</f>
        <v/>
      </c>
      <c r="X568">
        <f>IF(AND(Q568&lt;&gt;"",ISNUMBER(J568)),Q568,"")</f>
        <v/>
      </c>
      <c r="Y568">
        <f>IF(AND(Q568&lt;&gt;"",ISNUMBER(K568)),Q568,"")</f>
        <v/>
      </c>
      <c r="Z568">
        <f>IF(AND(Q568&lt;&gt;"",ISNUMBER(L568)),Q568,"")</f>
        <v/>
      </c>
      <c r="AA568">
        <f>IF(AND(Q568&lt;&gt;"",ISNUMBER(M568)),Q568,"")</f>
        <v/>
      </c>
      <c r="AB568">
        <f>IF(AND(Q568&lt;&gt;"",ISNUMBER(K568)),K568,"")</f>
        <v/>
      </c>
      <c r="AC568">
        <f>IF(AND(Q568&lt;&gt;"",ISNUMBER(L568)),L568,"")</f>
        <v/>
      </c>
      <c r="AD568">
        <f>IF(AND(Q568&lt;&gt;"",ISNUMBER(M568)),M568,"")</f>
        <v/>
      </c>
    </row>
    <row r="569">
      <c r="A569" s="1" t="n"/>
      <c r="B569" s="17" t="n"/>
      <c r="C569" s="27" t="n"/>
      <c r="D569" s="28" t="n"/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9" t="n"/>
      <c r="N569" s="21" t="n"/>
      <c r="O569" s="12">
        <f>IF(AND(B569="",C569=""),"",IF(NOT(ISNUMBER(B569)),"Needs a date",IF(C569="","Needs a client",IF(COUNTIF(Clients!$B$6:$B$105,C569)=0,"Not on Clients",IF(COUNT(D569:M569)=0,"Nothing measured","")))))</f>
        <v/>
      </c>
      <c r="P569" s="1">
        <f>IF(AND(O569="",ISNUMBER(B569)),INT(B569),0)</f>
        <v/>
      </c>
      <c r="Q569">
        <f>IF(AND(P569&gt;0,C569=Report!$C$5),P569*10000+ROW(),"")</f>
        <v/>
      </c>
      <c r="R569">
        <f>IF(AND(Q569&lt;&gt;"",ISNUMBER(D569)),Q569,"")</f>
        <v/>
      </c>
      <c r="S569">
        <f>IF(AND(Q569&lt;&gt;"",ISNUMBER(E569)),Q569,"")</f>
        <v/>
      </c>
      <c r="T569">
        <f>IF(AND(Q569&lt;&gt;"",ISNUMBER(F569)),Q569,"")</f>
        <v/>
      </c>
      <c r="U569">
        <f>IF(AND(Q569&lt;&gt;"",ISNUMBER(G569)),Q569,"")</f>
        <v/>
      </c>
      <c r="V569">
        <f>IF(AND(Q569&lt;&gt;"",ISNUMBER(H569)),Q569,"")</f>
        <v/>
      </c>
      <c r="W569">
        <f>IF(AND(Q569&lt;&gt;"",ISNUMBER(I569)),Q569,"")</f>
        <v/>
      </c>
      <c r="X569">
        <f>IF(AND(Q569&lt;&gt;"",ISNUMBER(J569)),Q569,"")</f>
        <v/>
      </c>
      <c r="Y569">
        <f>IF(AND(Q569&lt;&gt;"",ISNUMBER(K569)),Q569,"")</f>
        <v/>
      </c>
      <c r="Z569">
        <f>IF(AND(Q569&lt;&gt;"",ISNUMBER(L569)),Q569,"")</f>
        <v/>
      </c>
      <c r="AA569">
        <f>IF(AND(Q569&lt;&gt;"",ISNUMBER(M569)),Q569,"")</f>
        <v/>
      </c>
      <c r="AB569">
        <f>IF(AND(Q569&lt;&gt;"",ISNUMBER(K569)),K569,"")</f>
        <v/>
      </c>
      <c r="AC569">
        <f>IF(AND(Q569&lt;&gt;"",ISNUMBER(L569)),L569,"")</f>
        <v/>
      </c>
      <c r="AD569">
        <f>IF(AND(Q569&lt;&gt;"",ISNUMBER(M569)),M569,"")</f>
        <v/>
      </c>
    </row>
    <row r="570">
      <c r="A570" s="1" t="n"/>
      <c r="B570" s="17" t="n"/>
      <c r="C570" s="27" t="n"/>
      <c r="D570" s="28" t="n"/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9" t="n"/>
      <c r="N570" s="21" t="n"/>
      <c r="O570" s="12">
        <f>IF(AND(B570="",C570=""),"",IF(NOT(ISNUMBER(B570)),"Needs a date",IF(C570="","Needs a client",IF(COUNTIF(Clients!$B$6:$B$105,C570)=0,"Not on Clients",IF(COUNT(D570:M570)=0,"Nothing measured","")))))</f>
        <v/>
      </c>
      <c r="P570" s="1">
        <f>IF(AND(O570="",ISNUMBER(B570)),INT(B570),0)</f>
        <v/>
      </c>
      <c r="Q570">
        <f>IF(AND(P570&gt;0,C570=Report!$C$5),P570*10000+ROW(),"")</f>
        <v/>
      </c>
      <c r="R570">
        <f>IF(AND(Q570&lt;&gt;"",ISNUMBER(D570)),Q570,"")</f>
        <v/>
      </c>
      <c r="S570">
        <f>IF(AND(Q570&lt;&gt;"",ISNUMBER(E570)),Q570,"")</f>
        <v/>
      </c>
      <c r="T570">
        <f>IF(AND(Q570&lt;&gt;"",ISNUMBER(F570)),Q570,"")</f>
        <v/>
      </c>
      <c r="U570">
        <f>IF(AND(Q570&lt;&gt;"",ISNUMBER(G570)),Q570,"")</f>
        <v/>
      </c>
      <c r="V570">
        <f>IF(AND(Q570&lt;&gt;"",ISNUMBER(H570)),Q570,"")</f>
        <v/>
      </c>
      <c r="W570">
        <f>IF(AND(Q570&lt;&gt;"",ISNUMBER(I570)),Q570,"")</f>
        <v/>
      </c>
      <c r="X570">
        <f>IF(AND(Q570&lt;&gt;"",ISNUMBER(J570)),Q570,"")</f>
        <v/>
      </c>
      <c r="Y570">
        <f>IF(AND(Q570&lt;&gt;"",ISNUMBER(K570)),Q570,"")</f>
        <v/>
      </c>
      <c r="Z570">
        <f>IF(AND(Q570&lt;&gt;"",ISNUMBER(L570)),Q570,"")</f>
        <v/>
      </c>
      <c r="AA570">
        <f>IF(AND(Q570&lt;&gt;"",ISNUMBER(M570)),Q570,"")</f>
        <v/>
      </c>
      <c r="AB570">
        <f>IF(AND(Q570&lt;&gt;"",ISNUMBER(K570)),K570,"")</f>
        <v/>
      </c>
      <c r="AC570">
        <f>IF(AND(Q570&lt;&gt;"",ISNUMBER(L570)),L570,"")</f>
        <v/>
      </c>
      <c r="AD570">
        <f>IF(AND(Q570&lt;&gt;"",ISNUMBER(M570)),M570,"")</f>
        <v/>
      </c>
    </row>
    <row r="571">
      <c r="A571" s="1" t="n"/>
      <c r="B571" s="17" t="n"/>
      <c r="C571" s="27" t="n"/>
      <c r="D571" s="28" t="n"/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9" t="n"/>
      <c r="N571" s="21" t="n"/>
      <c r="O571" s="12">
        <f>IF(AND(B571="",C571=""),"",IF(NOT(ISNUMBER(B571)),"Needs a date",IF(C571="","Needs a client",IF(COUNTIF(Clients!$B$6:$B$105,C571)=0,"Not on Clients",IF(COUNT(D571:M571)=0,"Nothing measured","")))))</f>
        <v/>
      </c>
      <c r="P571" s="1">
        <f>IF(AND(O571="",ISNUMBER(B571)),INT(B571),0)</f>
        <v/>
      </c>
      <c r="Q571">
        <f>IF(AND(P571&gt;0,C571=Report!$C$5),P571*10000+ROW(),"")</f>
        <v/>
      </c>
      <c r="R571">
        <f>IF(AND(Q571&lt;&gt;"",ISNUMBER(D571)),Q571,"")</f>
        <v/>
      </c>
      <c r="S571">
        <f>IF(AND(Q571&lt;&gt;"",ISNUMBER(E571)),Q571,"")</f>
        <v/>
      </c>
      <c r="T571">
        <f>IF(AND(Q571&lt;&gt;"",ISNUMBER(F571)),Q571,"")</f>
        <v/>
      </c>
      <c r="U571">
        <f>IF(AND(Q571&lt;&gt;"",ISNUMBER(G571)),Q571,"")</f>
        <v/>
      </c>
      <c r="V571">
        <f>IF(AND(Q571&lt;&gt;"",ISNUMBER(H571)),Q571,"")</f>
        <v/>
      </c>
      <c r="W571">
        <f>IF(AND(Q571&lt;&gt;"",ISNUMBER(I571)),Q571,"")</f>
        <v/>
      </c>
      <c r="X571">
        <f>IF(AND(Q571&lt;&gt;"",ISNUMBER(J571)),Q571,"")</f>
        <v/>
      </c>
      <c r="Y571">
        <f>IF(AND(Q571&lt;&gt;"",ISNUMBER(K571)),Q571,"")</f>
        <v/>
      </c>
      <c r="Z571">
        <f>IF(AND(Q571&lt;&gt;"",ISNUMBER(L571)),Q571,"")</f>
        <v/>
      </c>
      <c r="AA571">
        <f>IF(AND(Q571&lt;&gt;"",ISNUMBER(M571)),Q571,"")</f>
        <v/>
      </c>
      <c r="AB571">
        <f>IF(AND(Q571&lt;&gt;"",ISNUMBER(K571)),K571,"")</f>
        <v/>
      </c>
      <c r="AC571">
        <f>IF(AND(Q571&lt;&gt;"",ISNUMBER(L571)),L571,"")</f>
        <v/>
      </c>
      <c r="AD571">
        <f>IF(AND(Q571&lt;&gt;"",ISNUMBER(M571)),M571,"")</f>
        <v/>
      </c>
    </row>
    <row r="572">
      <c r="A572" s="1" t="n"/>
      <c r="B572" s="17" t="n"/>
      <c r="C572" s="27" t="n"/>
      <c r="D572" s="28" t="n"/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9" t="n"/>
      <c r="N572" s="21" t="n"/>
      <c r="O572" s="12">
        <f>IF(AND(B572="",C572=""),"",IF(NOT(ISNUMBER(B572)),"Needs a date",IF(C572="","Needs a client",IF(COUNTIF(Clients!$B$6:$B$105,C572)=0,"Not on Clients",IF(COUNT(D572:M572)=0,"Nothing measured","")))))</f>
        <v/>
      </c>
      <c r="P572" s="1">
        <f>IF(AND(O572="",ISNUMBER(B572)),INT(B572),0)</f>
        <v/>
      </c>
      <c r="Q572">
        <f>IF(AND(P572&gt;0,C572=Report!$C$5),P572*10000+ROW(),"")</f>
        <v/>
      </c>
      <c r="R572">
        <f>IF(AND(Q572&lt;&gt;"",ISNUMBER(D572)),Q572,"")</f>
        <v/>
      </c>
      <c r="S572">
        <f>IF(AND(Q572&lt;&gt;"",ISNUMBER(E572)),Q572,"")</f>
        <v/>
      </c>
      <c r="T572">
        <f>IF(AND(Q572&lt;&gt;"",ISNUMBER(F572)),Q572,"")</f>
        <v/>
      </c>
      <c r="U572">
        <f>IF(AND(Q572&lt;&gt;"",ISNUMBER(G572)),Q572,"")</f>
        <v/>
      </c>
      <c r="V572">
        <f>IF(AND(Q572&lt;&gt;"",ISNUMBER(H572)),Q572,"")</f>
        <v/>
      </c>
      <c r="W572">
        <f>IF(AND(Q572&lt;&gt;"",ISNUMBER(I572)),Q572,"")</f>
        <v/>
      </c>
      <c r="X572">
        <f>IF(AND(Q572&lt;&gt;"",ISNUMBER(J572)),Q572,"")</f>
        <v/>
      </c>
      <c r="Y572">
        <f>IF(AND(Q572&lt;&gt;"",ISNUMBER(K572)),Q572,"")</f>
        <v/>
      </c>
      <c r="Z572">
        <f>IF(AND(Q572&lt;&gt;"",ISNUMBER(L572)),Q572,"")</f>
        <v/>
      </c>
      <c r="AA572">
        <f>IF(AND(Q572&lt;&gt;"",ISNUMBER(M572)),Q572,"")</f>
        <v/>
      </c>
      <c r="AB572">
        <f>IF(AND(Q572&lt;&gt;"",ISNUMBER(K572)),K572,"")</f>
        <v/>
      </c>
      <c r="AC572">
        <f>IF(AND(Q572&lt;&gt;"",ISNUMBER(L572)),L572,"")</f>
        <v/>
      </c>
      <c r="AD572">
        <f>IF(AND(Q572&lt;&gt;"",ISNUMBER(M572)),M572,"")</f>
        <v/>
      </c>
    </row>
    <row r="573">
      <c r="A573" s="1" t="n"/>
      <c r="B573" s="17" t="n"/>
      <c r="C573" s="27" t="n"/>
      <c r="D573" s="28" t="n"/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9" t="n"/>
      <c r="N573" s="21" t="n"/>
      <c r="O573" s="12">
        <f>IF(AND(B573="",C573=""),"",IF(NOT(ISNUMBER(B573)),"Needs a date",IF(C573="","Needs a client",IF(COUNTIF(Clients!$B$6:$B$105,C573)=0,"Not on Clients",IF(COUNT(D573:M573)=0,"Nothing measured","")))))</f>
        <v/>
      </c>
      <c r="P573" s="1">
        <f>IF(AND(O573="",ISNUMBER(B573)),INT(B573),0)</f>
        <v/>
      </c>
      <c r="Q573">
        <f>IF(AND(P573&gt;0,C573=Report!$C$5),P573*10000+ROW(),"")</f>
        <v/>
      </c>
      <c r="R573">
        <f>IF(AND(Q573&lt;&gt;"",ISNUMBER(D573)),Q573,"")</f>
        <v/>
      </c>
      <c r="S573">
        <f>IF(AND(Q573&lt;&gt;"",ISNUMBER(E573)),Q573,"")</f>
        <v/>
      </c>
      <c r="T573">
        <f>IF(AND(Q573&lt;&gt;"",ISNUMBER(F573)),Q573,"")</f>
        <v/>
      </c>
      <c r="U573">
        <f>IF(AND(Q573&lt;&gt;"",ISNUMBER(G573)),Q573,"")</f>
        <v/>
      </c>
      <c r="V573">
        <f>IF(AND(Q573&lt;&gt;"",ISNUMBER(H573)),Q573,"")</f>
        <v/>
      </c>
      <c r="W573">
        <f>IF(AND(Q573&lt;&gt;"",ISNUMBER(I573)),Q573,"")</f>
        <v/>
      </c>
      <c r="X573">
        <f>IF(AND(Q573&lt;&gt;"",ISNUMBER(J573)),Q573,"")</f>
        <v/>
      </c>
      <c r="Y573">
        <f>IF(AND(Q573&lt;&gt;"",ISNUMBER(K573)),Q573,"")</f>
        <v/>
      </c>
      <c r="Z573">
        <f>IF(AND(Q573&lt;&gt;"",ISNUMBER(L573)),Q573,"")</f>
        <v/>
      </c>
      <c r="AA573">
        <f>IF(AND(Q573&lt;&gt;"",ISNUMBER(M573)),Q573,"")</f>
        <v/>
      </c>
      <c r="AB573">
        <f>IF(AND(Q573&lt;&gt;"",ISNUMBER(K573)),K573,"")</f>
        <v/>
      </c>
      <c r="AC573">
        <f>IF(AND(Q573&lt;&gt;"",ISNUMBER(L573)),L573,"")</f>
        <v/>
      </c>
      <c r="AD573">
        <f>IF(AND(Q573&lt;&gt;"",ISNUMBER(M573)),M573,"")</f>
        <v/>
      </c>
    </row>
    <row r="574">
      <c r="A574" s="1" t="n"/>
      <c r="B574" s="17" t="n"/>
      <c r="C574" s="27" t="n"/>
      <c r="D574" s="28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9" t="n"/>
      <c r="N574" s="21" t="n"/>
      <c r="O574" s="12">
        <f>IF(AND(B574="",C574=""),"",IF(NOT(ISNUMBER(B574)),"Needs a date",IF(C574="","Needs a client",IF(COUNTIF(Clients!$B$6:$B$105,C574)=0,"Not on Clients",IF(COUNT(D574:M574)=0,"Nothing measured","")))))</f>
        <v/>
      </c>
      <c r="P574" s="1">
        <f>IF(AND(O574="",ISNUMBER(B574)),INT(B574),0)</f>
        <v/>
      </c>
      <c r="Q574">
        <f>IF(AND(P574&gt;0,C574=Report!$C$5),P574*10000+ROW(),"")</f>
        <v/>
      </c>
      <c r="R574">
        <f>IF(AND(Q574&lt;&gt;"",ISNUMBER(D574)),Q574,"")</f>
        <v/>
      </c>
      <c r="S574">
        <f>IF(AND(Q574&lt;&gt;"",ISNUMBER(E574)),Q574,"")</f>
        <v/>
      </c>
      <c r="T574">
        <f>IF(AND(Q574&lt;&gt;"",ISNUMBER(F574)),Q574,"")</f>
        <v/>
      </c>
      <c r="U574">
        <f>IF(AND(Q574&lt;&gt;"",ISNUMBER(G574)),Q574,"")</f>
        <v/>
      </c>
      <c r="V574">
        <f>IF(AND(Q574&lt;&gt;"",ISNUMBER(H574)),Q574,"")</f>
        <v/>
      </c>
      <c r="W574">
        <f>IF(AND(Q574&lt;&gt;"",ISNUMBER(I574)),Q574,"")</f>
        <v/>
      </c>
      <c r="X574">
        <f>IF(AND(Q574&lt;&gt;"",ISNUMBER(J574)),Q574,"")</f>
        <v/>
      </c>
      <c r="Y574">
        <f>IF(AND(Q574&lt;&gt;"",ISNUMBER(K574)),Q574,"")</f>
        <v/>
      </c>
      <c r="Z574">
        <f>IF(AND(Q574&lt;&gt;"",ISNUMBER(L574)),Q574,"")</f>
        <v/>
      </c>
      <c r="AA574">
        <f>IF(AND(Q574&lt;&gt;"",ISNUMBER(M574)),Q574,"")</f>
        <v/>
      </c>
      <c r="AB574">
        <f>IF(AND(Q574&lt;&gt;"",ISNUMBER(K574)),K574,"")</f>
        <v/>
      </c>
      <c r="AC574">
        <f>IF(AND(Q574&lt;&gt;"",ISNUMBER(L574)),L574,"")</f>
        <v/>
      </c>
      <c r="AD574">
        <f>IF(AND(Q574&lt;&gt;"",ISNUMBER(M574)),M574,"")</f>
        <v/>
      </c>
    </row>
    <row r="575">
      <c r="A575" s="1" t="n"/>
      <c r="B575" s="17" t="n"/>
      <c r="C575" s="27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9" t="n"/>
      <c r="N575" s="21" t="n"/>
      <c r="O575" s="12">
        <f>IF(AND(B575="",C575=""),"",IF(NOT(ISNUMBER(B575)),"Needs a date",IF(C575="","Needs a client",IF(COUNTIF(Clients!$B$6:$B$105,C575)=0,"Not on Clients",IF(COUNT(D575:M575)=0,"Nothing measured","")))))</f>
        <v/>
      </c>
      <c r="P575" s="1">
        <f>IF(AND(O575="",ISNUMBER(B575)),INT(B575),0)</f>
        <v/>
      </c>
      <c r="Q575">
        <f>IF(AND(P575&gt;0,C575=Report!$C$5),P575*10000+ROW(),"")</f>
        <v/>
      </c>
      <c r="R575">
        <f>IF(AND(Q575&lt;&gt;"",ISNUMBER(D575)),Q575,"")</f>
        <v/>
      </c>
      <c r="S575">
        <f>IF(AND(Q575&lt;&gt;"",ISNUMBER(E575)),Q575,"")</f>
        <v/>
      </c>
      <c r="T575">
        <f>IF(AND(Q575&lt;&gt;"",ISNUMBER(F575)),Q575,"")</f>
        <v/>
      </c>
      <c r="U575">
        <f>IF(AND(Q575&lt;&gt;"",ISNUMBER(G575)),Q575,"")</f>
        <v/>
      </c>
      <c r="V575">
        <f>IF(AND(Q575&lt;&gt;"",ISNUMBER(H575)),Q575,"")</f>
        <v/>
      </c>
      <c r="W575">
        <f>IF(AND(Q575&lt;&gt;"",ISNUMBER(I575)),Q575,"")</f>
        <v/>
      </c>
      <c r="X575">
        <f>IF(AND(Q575&lt;&gt;"",ISNUMBER(J575)),Q575,"")</f>
        <v/>
      </c>
      <c r="Y575">
        <f>IF(AND(Q575&lt;&gt;"",ISNUMBER(K575)),Q575,"")</f>
        <v/>
      </c>
      <c r="Z575">
        <f>IF(AND(Q575&lt;&gt;"",ISNUMBER(L575)),Q575,"")</f>
        <v/>
      </c>
      <c r="AA575">
        <f>IF(AND(Q575&lt;&gt;"",ISNUMBER(M575)),Q575,"")</f>
        <v/>
      </c>
      <c r="AB575">
        <f>IF(AND(Q575&lt;&gt;"",ISNUMBER(K575)),K575,"")</f>
        <v/>
      </c>
      <c r="AC575">
        <f>IF(AND(Q575&lt;&gt;"",ISNUMBER(L575)),L575,"")</f>
        <v/>
      </c>
      <c r="AD575">
        <f>IF(AND(Q575&lt;&gt;"",ISNUMBER(M575)),M575,"")</f>
        <v/>
      </c>
    </row>
    <row r="576">
      <c r="A576" s="1" t="n"/>
      <c r="B576" s="17" t="n"/>
      <c r="C576" s="27" t="n"/>
      <c r="D576" s="28" t="n"/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9" t="n"/>
      <c r="N576" s="21" t="n"/>
      <c r="O576" s="12">
        <f>IF(AND(B576="",C576=""),"",IF(NOT(ISNUMBER(B576)),"Needs a date",IF(C576="","Needs a client",IF(COUNTIF(Clients!$B$6:$B$105,C576)=0,"Not on Clients",IF(COUNT(D576:M576)=0,"Nothing measured","")))))</f>
        <v/>
      </c>
      <c r="P576" s="1">
        <f>IF(AND(O576="",ISNUMBER(B576)),INT(B576),0)</f>
        <v/>
      </c>
      <c r="Q576">
        <f>IF(AND(P576&gt;0,C576=Report!$C$5),P576*10000+ROW(),"")</f>
        <v/>
      </c>
      <c r="R576">
        <f>IF(AND(Q576&lt;&gt;"",ISNUMBER(D576)),Q576,"")</f>
        <v/>
      </c>
      <c r="S576">
        <f>IF(AND(Q576&lt;&gt;"",ISNUMBER(E576)),Q576,"")</f>
        <v/>
      </c>
      <c r="T576">
        <f>IF(AND(Q576&lt;&gt;"",ISNUMBER(F576)),Q576,"")</f>
        <v/>
      </c>
      <c r="U576">
        <f>IF(AND(Q576&lt;&gt;"",ISNUMBER(G576)),Q576,"")</f>
        <v/>
      </c>
      <c r="V576">
        <f>IF(AND(Q576&lt;&gt;"",ISNUMBER(H576)),Q576,"")</f>
        <v/>
      </c>
      <c r="W576">
        <f>IF(AND(Q576&lt;&gt;"",ISNUMBER(I576)),Q576,"")</f>
        <v/>
      </c>
      <c r="X576">
        <f>IF(AND(Q576&lt;&gt;"",ISNUMBER(J576)),Q576,"")</f>
        <v/>
      </c>
      <c r="Y576">
        <f>IF(AND(Q576&lt;&gt;"",ISNUMBER(K576)),Q576,"")</f>
        <v/>
      </c>
      <c r="Z576">
        <f>IF(AND(Q576&lt;&gt;"",ISNUMBER(L576)),Q576,"")</f>
        <v/>
      </c>
      <c r="AA576">
        <f>IF(AND(Q576&lt;&gt;"",ISNUMBER(M576)),Q576,"")</f>
        <v/>
      </c>
      <c r="AB576">
        <f>IF(AND(Q576&lt;&gt;"",ISNUMBER(K576)),K576,"")</f>
        <v/>
      </c>
      <c r="AC576">
        <f>IF(AND(Q576&lt;&gt;"",ISNUMBER(L576)),L576,"")</f>
        <v/>
      </c>
      <c r="AD576">
        <f>IF(AND(Q576&lt;&gt;"",ISNUMBER(M576)),M576,"")</f>
        <v/>
      </c>
    </row>
    <row r="577">
      <c r="A577" s="1" t="n"/>
      <c r="B577" s="17" t="n"/>
      <c r="C577" s="27" t="n"/>
      <c r="D577" s="28" t="n"/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9" t="n"/>
      <c r="N577" s="21" t="n"/>
      <c r="O577" s="12">
        <f>IF(AND(B577="",C577=""),"",IF(NOT(ISNUMBER(B577)),"Needs a date",IF(C577="","Needs a client",IF(COUNTIF(Clients!$B$6:$B$105,C577)=0,"Not on Clients",IF(COUNT(D577:M577)=0,"Nothing measured","")))))</f>
        <v/>
      </c>
      <c r="P577" s="1">
        <f>IF(AND(O577="",ISNUMBER(B577)),INT(B577),0)</f>
        <v/>
      </c>
      <c r="Q577">
        <f>IF(AND(P577&gt;0,C577=Report!$C$5),P577*10000+ROW(),"")</f>
        <v/>
      </c>
      <c r="R577">
        <f>IF(AND(Q577&lt;&gt;"",ISNUMBER(D577)),Q577,"")</f>
        <v/>
      </c>
      <c r="S577">
        <f>IF(AND(Q577&lt;&gt;"",ISNUMBER(E577)),Q577,"")</f>
        <v/>
      </c>
      <c r="T577">
        <f>IF(AND(Q577&lt;&gt;"",ISNUMBER(F577)),Q577,"")</f>
        <v/>
      </c>
      <c r="U577">
        <f>IF(AND(Q577&lt;&gt;"",ISNUMBER(G577)),Q577,"")</f>
        <v/>
      </c>
      <c r="V577">
        <f>IF(AND(Q577&lt;&gt;"",ISNUMBER(H577)),Q577,"")</f>
        <v/>
      </c>
      <c r="W577">
        <f>IF(AND(Q577&lt;&gt;"",ISNUMBER(I577)),Q577,"")</f>
        <v/>
      </c>
      <c r="X577">
        <f>IF(AND(Q577&lt;&gt;"",ISNUMBER(J577)),Q577,"")</f>
        <v/>
      </c>
      <c r="Y577">
        <f>IF(AND(Q577&lt;&gt;"",ISNUMBER(K577)),Q577,"")</f>
        <v/>
      </c>
      <c r="Z577">
        <f>IF(AND(Q577&lt;&gt;"",ISNUMBER(L577)),Q577,"")</f>
        <v/>
      </c>
      <c r="AA577">
        <f>IF(AND(Q577&lt;&gt;"",ISNUMBER(M577)),Q577,"")</f>
        <v/>
      </c>
      <c r="AB577">
        <f>IF(AND(Q577&lt;&gt;"",ISNUMBER(K577)),K577,"")</f>
        <v/>
      </c>
      <c r="AC577">
        <f>IF(AND(Q577&lt;&gt;"",ISNUMBER(L577)),L577,"")</f>
        <v/>
      </c>
      <c r="AD577">
        <f>IF(AND(Q577&lt;&gt;"",ISNUMBER(M577)),M577,"")</f>
        <v/>
      </c>
    </row>
    <row r="578">
      <c r="A578" s="1" t="n"/>
      <c r="B578" s="17" t="n"/>
      <c r="C578" s="27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9" t="n"/>
      <c r="N578" s="21" t="n"/>
      <c r="O578" s="12">
        <f>IF(AND(B578="",C578=""),"",IF(NOT(ISNUMBER(B578)),"Needs a date",IF(C578="","Needs a client",IF(COUNTIF(Clients!$B$6:$B$105,C578)=0,"Not on Clients",IF(COUNT(D578:M578)=0,"Nothing measured","")))))</f>
        <v/>
      </c>
      <c r="P578" s="1">
        <f>IF(AND(O578="",ISNUMBER(B578)),INT(B578),0)</f>
        <v/>
      </c>
      <c r="Q578">
        <f>IF(AND(P578&gt;0,C578=Report!$C$5),P578*10000+ROW(),"")</f>
        <v/>
      </c>
      <c r="R578">
        <f>IF(AND(Q578&lt;&gt;"",ISNUMBER(D578)),Q578,"")</f>
        <v/>
      </c>
      <c r="S578">
        <f>IF(AND(Q578&lt;&gt;"",ISNUMBER(E578)),Q578,"")</f>
        <v/>
      </c>
      <c r="T578">
        <f>IF(AND(Q578&lt;&gt;"",ISNUMBER(F578)),Q578,"")</f>
        <v/>
      </c>
      <c r="U578">
        <f>IF(AND(Q578&lt;&gt;"",ISNUMBER(G578)),Q578,"")</f>
        <v/>
      </c>
      <c r="V578">
        <f>IF(AND(Q578&lt;&gt;"",ISNUMBER(H578)),Q578,"")</f>
        <v/>
      </c>
      <c r="W578">
        <f>IF(AND(Q578&lt;&gt;"",ISNUMBER(I578)),Q578,"")</f>
        <v/>
      </c>
      <c r="X578">
        <f>IF(AND(Q578&lt;&gt;"",ISNUMBER(J578)),Q578,"")</f>
        <v/>
      </c>
      <c r="Y578">
        <f>IF(AND(Q578&lt;&gt;"",ISNUMBER(K578)),Q578,"")</f>
        <v/>
      </c>
      <c r="Z578">
        <f>IF(AND(Q578&lt;&gt;"",ISNUMBER(L578)),Q578,"")</f>
        <v/>
      </c>
      <c r="AA578">
        <f>IF(AND(Q578&lt;&gt;"",ISNUMBER(M578)),Q578,"")</f>
        <v/>
      </c>
      <c r="AB578">
        <f>IF(AND(Q578&lt;&gt;"",ISNUMBER(K578)),K578,"")</f>
        <v/>
      </c>
      <c r="AC578">
        <f>IF(AND(Q578&lt;&gt;"",ISNUMBER(L578)),L578,"")</f>
        <v/>
      </c>
      <c r="AD578">
        <f>IF(AND(Q578&lt;&gt;"",ISNUMBER(M578)),M578,"")</f>
        <v/>
      </c>
    </row>
    <row r="579">
      <c r="A579" s="1" t="n"/>
      <c r="B579" s="17" t="n"/>
      <c r="C579" s="27" t="n"/>
      <c r="D579" s="28" t="n"/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9" t="n"/>
      <c r="N579" s="21" t="n"/>
      <c r="O579" s="12">
        <f>IF(AND(B579="",C579=""),"",IF(NOT(ISNUMBER(B579)),"Needs a date",IF(C579="","Needs a client",IF(COUNTIF(Clients!$B$6:$B$105,C579)=0,"Not on Clients",IF(COUNT(D579:M579)=0,"Nothing measured","")))))</f>
        <v/>
      </c>
      <c r="P579" s="1">
        <f>IF(AND(O579="",ISNUMBER(B579)),INT(B579),0)</f>
        <v/>
      </c>
      <c r="Q579">
        <f>IF(AND(P579&gt;0,C579=Report!$C$5),P579*10000+ROW(),"")</f>
        <v/>
      </c>
      <c r="R579">
        <f>IF(AND(Q579&lt;&gt;"",ISNUMBER(D579)),Q579,"")</f>
        <v/>
      </c>
      <c r="S579">
        <f>IF(AND(Q579&lt;&gt;"",ISNUMBER(E579)),Q579,"")</f>
        <v/>
      </c>
      <c r="T579">
        <f>IF(AND(Q579&lt;&gt;"",ISNUMBER(F579)),Q579,"")</f>
        <v/>
      </c>
      <c r="U579">
        <f>IF(AND(Q579&lt;&gt;"",ISNUMBER(G579)),Q579,"")</f>
        <v/>
      </c>
      <c r="V579">
        <f>IF(AND(Q579&lt;&gt;"",ISNUMBER(H579)),Q579,"")</f>
        <v/>
      </c>
      <c r="W579">
        <f>IF(AND(Q579&lt;&gt;"",ISNUMBER(I579)),Q579,"")</f>
        <v/>
      </c>
      <c r="X579">
        <f>IF(AND(Q579&lt;&gt;"",ISNUMBER(J579)),Q579,"")</f>
        <v/>
      </c>
      <c r="Y579">
        <f>IF(AND(Q579&lt;&gt;"",ISNUMBER(K579)),Q579,"")</f>
        <v/>
      </c>
      <c r="Z579">
        <f>IF(AND(Q579&lt;&gt;"",ISNUMBER(L579)),Q579,"")</f>
        <v/>
      </c>
      <c r="AA579">
        <f>IF(AND(Q579&lt;&gt;"",ISNUMBER(M579)),Q579,"")</f>
        <v/>
      </c>
      <c r="AB579">
        <f>IF(AND(Q579&lt;&gt;"",ISNUMBER(K579)),K579,"")</f>
        <v/>
      </c>
      <c r="AC579">
        <f>IF(AND(Q579&lt;&gt;"",ISNUMBER(L579)),L579,"")</f>
        <v/>
      </c>
      <c r="AD579">
        <f>IF(AND(Q579&lt;&gt;"",ISNUMBER(M579)),M579,"")</f>
        <v/>
      </c>
    </row>
    <row r="580">
      <c r="A580" s="1" t="n"/>
      <c r="B580" s="17" t="n"/>
      <c r="C580" s="27" t="n"/>
      <c r="D580" s="28" t="n"/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9" t="n"/>
      <c r="N580" s="21" t="n"/>
      <c r="O580" s="12">
        <f>IF(AND(B580="",C580=""),"",IF(NOT(ISNUMBER(B580)),"Needs a date",IF(C580="","Needs a client",IF(COUNTIF(Clients!$B$6:$B$105,C580)=0,"Not on Clients",IF(COUNT(D580:M580)=0,"Nothing measured","")))))</f>
        <v/>
      </c>
      <c r="P580" s="1">
        <f>IF(AND(O580="",ISNUMBER(B580)),INT(B580),0)</f>
        <v/>
      </c>
      <c r="Q580">
        <f>IF(AND(P580&gt;0,C580=Report!$C$5),P580*10000+ROW(),"")</f>
        <v/>
      </c>
      <c r="R580">
        <f>IF(AND(Q580&lt;&gt;"",ISNUMBER(D580)),Q580,"")</f>
        <v/>
      </c>
      <c r="S580">
        <f>IF(AND(Q580&lt;&gt;"",ISNUMBER(E580)),Q580,"")</f>
        <v/>
      </c>
      <c r="T580">
        <f>IF(AND(Q580&lt;&gt;"",ISNUMBER(F580)),Q580,"")</f>
        <v/>
      </c>
      <c r="U580">
        <f>IF(AND(Q580&lt;&gt;"",ISNUMBER(G580)),Q580,"")</f>
        <v/>
      </c>
      <c r="V580">
        <f>IF(AND(Q580&lt;&gt;"",ISNUMBER(H580)),Q580,"")</f>
        <v/>
      </c>
      <c r="W580">
        <f>IF(AND(Q580&lt;&gt;"",ISNUMBER(I580)),Q580,"")</f>
        <v/>
      </c>
      <c r="X580">
        <f>IF(AND(Q580&lt;&gt;"",ISNUMBER(J580)),Q580,"")</f>
        <v/>
      </c>
      <c r="Y580">
        <f>IF(AND(Q580&lt;&gt;"",ISNUMBER(K580)),Q580,"")</f>
        <v/>
      </c>
      <c r="Z580">
        <f>IF(AND(Q580&lt;&gt;"",ISNUMBER(L580)),Q580,"")</f>
        <v/>
      </c>
      <c r="AA580">
        <f>IF(AND(Q580&lt;&gt;"",ISNUMBER(M580)),Q580,"")</f>
        <v/>
      </c>
      <c r="AB580">
        <f>IF(AND(Q580&lt;&gt;"",ISNUMBER(K580)),K580,"")</f>
        <v/>
      </c>
      <c r="AC580">
        <f>IF(AND(Q580&lt;&gt;"",ISNUMBER(L580)),L580,"")</f>
        <v/>
      </c>
      <c r="AD580">
        <f>IF(AND(Q580&lt;&gt;"",ISNUMBER(M580)),M580,"")</f>
        <v/>
      </c>
    </row>
    <row r="581">
      <c r="A581" s="1" t="n"/>
      <c r="B581" s="17" t="n"/>
      <c r="C581" s="27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9" t="n"/>
      <c r="N581" s="21" t="n"/>
      <c r="O581" s="12">
        <f>IF(AND(B581="",C581=""),"",IF(NOT(ISNUMBER(B581)),"Needs a date",IF(C581="","Needs a client",IF(COUNTIF(Clients!$B$6:$B$105,C581)=0,"Not on Clients",IF(COUNT(D581:M581)=0,"Nothing measured","")))))</f>
        <v/>
      </c>
      <c r="P581" s="1">
        <f>IF(AND(O581="",ISNUMBER(B581)),INT(B581),0)</f>
        <v/>
      </c>
      <c r="Q581">
        <f>IF(AND(P581&gt;0,C581=Report!$C$5),P581*10000+ROW(),"")</f>
        <v/>
      </c>
      <c r="R581">
        <f>IF(AND(Q581&lt;&gt;"",ISNUMBER(D581)),Q581,"")</f>
        <v/>
      </c>
      <c r="S581">
        <f>IF(AND(Q581&lt;&gt;"",ISNUMBER(E581)),Q581,"")</f>
        <v/>
      </c>
      <c r="T581">
        <f>IF(AND(Q581&lt;&gt;"",ISNUMBER(F581)),Q581,"")</f>
        <v/>
      </c>
      <c r="U581">
        <f>IF(AND(Q581&lt;&gt;"",ISNUMBER(G581)),Q581,"")</f>
        <v/>
      </c>
      <c r="V581">
        <f>IF(AND(Q581&lt;&gt;"",ISNUMBER(H581)),Q581,"")</f>
        <v/>
      </c>
      <c r="W581">
        <f>IF(AND(Q581&lt;&gt;"",ISNUMBER(I581)),Q581,"")</f>
        <v/>
      </c>
      <c r="X581">
        <f>IF(AND(Q581&lt;&gt;"",ISNUMBER(J581)),Q581,"")</f>
        <v/>
      </c>
      <c r="Y581">
        <f>IF(AND(Q581&lt;&gt;"",ISNUMBER(K581)),Q581,"")</f>
        <v/>
      </c>
      <c r="Z581">
        <f>IF(AND(Q581&lt;&gt;"",ISNUMBER(L581)),Q581,"")</f>
        <v/>
      </c>
      <c r="AA581">
        <f>IF(AND(Q581&lt;&gt;"",ISNUMBER(M581)),Q581,"")</f>
        <v/>
      </c>
      <c r="AB581">
        <f>IF(AND(Q581&lt;&gt;"",ISNUMBER(K581)),K581,"")</f>
        <v/>
      </c>
      <c r="AC581">
        <f>IF(AND(Q581&lt;&gt;"",ISNUMBER(L581)),L581,"")</f>
        <v/>
      </c>
      <c r="AD581">
        <f>IF(AND(Q581&lt;&gt;"",ISNUMBER(M581)),M581,"")</f>
        <v/>
      </c>
    </row>
    <row r="582">
      <c r="A582" s="1" t="n"/>
      <c r="B582" s="17" t="n"/>
      <c r="C582" s="27" t="n"/>
      <c r="D582" s="28" t="n"/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9" t="n"/>
      <c r="N582" s="21" t="n"/>
      <c r="O582" s="12">
        <f>IF(AND(B582="",C582=""),"",IF(NOT(ISNUMBER(B582)),"Needs a date",IF(C582="","Needs a client",IF(COUNTIF(Clients!$B$6:$B$105,C582)=0,"Not on Clients",IF(COUNT(D582:M582)=0,"Nothing measured","")))))</f>
        <v/>
      </c>
      <c r="P582" s="1">
        <f>IF(AND(O582="",ISNUMBER(B582)),INT(B582),0)</f>
        <v/>
      </c>
      <c r="Q582">
        <f>IF(AND(P582&gt;0,C582=Report!$C$5),P582*10000+ROW(),"")</f>
        <v/>
      </c>
      <c r="R582">
        <f>IF(AND(Q582&lt;&gt;"",ISNUMBER(D582)),Q582,"")</f>
        <v/>
      </c>
      <c r="S582">
        <f>IF(AND(Q582&lt;&gt;"",ISNUMBER(E582)),Q582,"")</f>
        <v/>
      </c>
      <c r="T582">
        <f>IF(AND(Q582&lt;&gt;"",ISNUMBER(F582)),Q582,"")</f>
        <v/>
      </c>
      <c r="U582">
        <f>IF(AND(Q582&lt;&gt;"",ISNUMBER(G582)),Q582,"")</f>
        <v/>
      </c>
      <c r="V582">
        <f>IF(AND(Q582&lt;&gt;"",ISNUMBER(H582)),Q582,"")</f>
        <v/>
      </c>
      <c r="W582">
        <f>IF(AND(Q582&lt;&gt;"",ISNUMBER(I582)),Q582,"")</f>
        <v/>
      </c>
      <c r="X582">
        <f>IF(AND(Q582&lt;&gt;"",ISNUMBER(J582)),Q582,"")</f>
        <v/>
      </c>
      <c r="Y582">
        <f>IF(AND(Q582&lt;&gt;"",ISNUMBER(K582)),Q582,"")</f>
        <v/>
      </c>
      <c r="Z582">
        <f>IF(AND(Q582&lt;&gt;"",ISNUMBER(L582)),Q582,"")</f>
        <v/>
      </c>
      <c r="AA582">
        <f>IF(AND(Q582&lt;&gt;"",ISNUMBER(M582)),Q582,"")</f>
        <v/>
      </c>
      <c r="AB582">
        <f>IF(AND(Q582&lt;&gt;"",ISNUMBER(K582)),K582,"")</f>
        <v/>
      </c>
      <c r="AC582">
        <f>IF(AND(Q582&lt;&gt;"",ISNUMBER(L582)),L582,"")</f>
        <v/>
      </c>
      <c r="AD582">
        <f>IF(AND(Q582&lt;&gt;"",ISNUMBER(M582)),M582,"")</f>
        <v/>
      </c>
    </row>
    <row r="583">
      <c r="A583" s="1" t="n"/>
      <c r="B583" s="17" t="n"/>
      <c r="C583" s="27" t="n"/>
      <c r="D583" s="28" t="n"/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9" t="n"/>
      <c r="N583" s="21" t="n"/>
      <c r="O583" s="12">
        <f>IF(AND(B583="",C583=""),"",IF(NOT(ISNUMBER(B583)),"Needs a date",IF(C583="","Needs a client",IF(COUNTIF(Clients!$B$6:$B$105,C583)=0,"Not on Clients",IF(COUNT(D583:M583)=0,"Nothing measured","")))))</f>
        <v/>
      </c>
      <c r="P583" s="1">
        <f>IF(AND(O583="",ISNUMBER(B583)),INT(B583),0)</f>
        <v/>
      </c>
      <c r="Q583">
        <f>IF(AND(P583&gt;0,C583=Report!$C$5),P583*10000+ROW(),"")</f>
        <v/>
      </c>
      <c r="R583">
        <f>IF(AND(Q583&lt;&gt;"",ISNUMBER(D583)),Q583,"")</f>
        <v/>
      </c>
      <c r="S583">
        <f>IF(AND(Q583&lt;&gt;"",ISNUMBER(E583)),Q583,"")</f>
        <v/>
      </c>
      <c r="T583">
        <f>IF(AND(Q583&lt;&gt;"",ISNUMBER(F583)),Q583,"")</f>
        <v/>
      </c>
      <c r="U583">
        <f>IF(AND(Q583&lt;&gt;"",ISNUMBER(G583)),Q583,"")</f>
        <v/>
      </c>
      <c r="V583">
        <f>IF(AND(Q583&lt;&gt;"",ISNUMBER(H583)),Q583,"")</f>
        <v/>
      </c>
      <c r="W583">
        <f>IF(AND(Q583&lt;&gt;"",ISNUMBER(I583)),Q583,"")</f>
        <v/>
      </c>
      <c r="X583">
        <f>IF(AND(Q583&lt;&gt;"",ISNUMBER(J583)),Q583,"")</f>
        <v/>
      </c>
      <c r="Y583">
        <f>IF(AND(Q583&lt;&gt;"",ISNUMBER(K583)),Q583,"")</f>
        <v/>
      </c>
      <c r="Z583">
        <f>IF(AND(Q583&lt;&gt;"",ISNUMBER(L583)),Q583,"")</f>
        <v/>
      </c>
      <c r="AA583">
        <f>IF(AND(Q583&lt;&gt;"",ISNUMBER(M583)),Q583,"")</f>
        <v/>
      </c>
      <c r="AB583">
        <f>IF(AND(Q583&lt;&gt;"",ISNUMBER(K583)),K583,"")</f>
        <v/>
      </c>
      <c r="AC583">
        <f>IF(AND(Q583&lt;&gt;"",ISNUMBER(L583)),L583,"")</f>
        <v/>
      </c>
      <c r="AD583">
        <f>IF(AND(Q583&lt;&gt;"",ISNUMBER(M583)),M583,"")</f>
        <v/>
      </c>
    </row>
    <row r="584">
      <c r="A584" s="1" t="n"/>
      <c r="B584" s="17" t="n"/>
      <c r="C584" s="27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9" t="n"/>
      <c r="N584" s="21" t="n"/>
      <c r="O584" s="12">
        <f>IF(AND(B584="",C584=""),"",IF(NOT(ISNUMBER(B584)),"Needs a date",IF(C584="","Needs a client",IF(COUNTIF(Clients!$B$6:$B$105,C584)=0,"Not on Clients",IF(COUNT(D584:M584)=0,"Nothing measured","")))))</f>
        <v/>
      </c>
      <c r="P584" s="1">
        <f>IF(AND(O584="",ISNUMBER(B584)),INT(B584),0)</f>
        <v/>
      </c>
      <c r="Q584">
        <f>IF(AND(P584&gt;0,C584=Report!$C$5),P584*10000+ROW(),"")</f>
        <v/>
      </c>
      <c r="R584">
        <f>IF(AND(Q584&lt;&gt;"",ISNUMBER(D584)),Q584,"")</f>
        <v/>
      </c>
      <c r="S584">
        <f>IF(AND(Q584&lt;&gt;"",ISNUMBER(E584)),Q584,"")</f>
        <v/>
      </c>
      <c r="T584">
        <f>IF(AND(Q584&lt;&gt;"",ISNUMBER(F584)),Q584,"")</f>
        <v/>
      </c>
      <c r="U584">
        <f>IF(AND(Q584&lt;&gt;"",ISNUMBER(G584)),Q584,"")</f>
        <v/>
      </c>
      <c r="V584">
        <f>IF(AND(Q584&lt;&gt;"",ISNUMBER(H584)),Q584,"")</f>
        <v/>
      </c>
      <c r="W584">
        <f>IF(AND(Q584&lt;&gt;"",ISNUMBER(I584)),Q584,"")</f>
        <v/>
      </c>
      <c r="X584">
        <f>IF(AND(Q584&lt;&gt;"",ISNUMBER(J584)),Q584,"")</f>
        <v/>
      </c>
      <c r="Y584">
        <f>IF(AND(Q584&lt;&gt;"",ISNUMBER(K584)),Q584,"")</f>
        <v/>
      </c>
      <c r="Z584">
        <f>IF(AND(Q584&lt;&gt;"",ISNUMBER(L584)),Q584,"")</f>
        <v/>
      </c>
      <c r="AA584">
        <f>IF(AND(Q584&lt;&gt;"",ISNUMBER(M584)),Q584,"")</f>
        <v/>
      </c>
      <c r="AB584">
        <f>IF(AND(Q584&lt;&gt;"",ISNUMBER(K584)),K584,"")</f>
        <v/>
      </c>
      <c r="AC584">
        <f>IF(AND(Q584&lt;&gt;"",ISNUMBER(L584)),L584,"")</f>
        <v/>
      </c>
      <c r="AD584">
        <f>IF(AND(Q584&lt;&gt;"",ISNUMBER(M584)),M584,"")</f>
        <v/>
      </c>
    </row>
    <row r="585">
      <c r="A585" s="1" t="n"/>
      <c r="B585" s="17" t="n"/>
      <c r="C585" s="27" t="n"/>
      <c r="D585" s="28" t="n"/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9" t="n"/>
      <c r="N585" s="21" t="n"/>
      <c r="O585" s="12">
        <f>IF(AND(B585="",C585=""),"",IF(NOT(ISNUMBER(B585)),"Needs a date",IF(C585="","Needs a client",IF(COUNTIF(Clients!$B$6:$B$105,C585)=0,"Not on Clients",IF(COUNT(D585:M585)=0,"Nothing measured","")))))</f>
        <v/>
      </c>
      <c r="P585" s="1">
        <f>IF(AND(O585="",ISNUMBER(B585)),INT(B585),0)</f>
        <v/>
      </c>
      <c r="Q585">
        <f>IF(AND(P585&gt;0,C585=Report!$C$5),P585*10000+ROW(),"")</f>
        <v/>
      </c>
      <c r="R585">
        <f>IF(AND(Q585&lt;&gt;"",ISNUMBER(D585)),Q585,"")</f>
        <v/>
      </c>
      <c r="S585">
        <f>IF(AND(Q585&lt;&gt;"",ISNUMBER(E585)),Q585,"")</f>
        <v/>
      </c>
      <c r="T585">
        <f>IF(AND(Q585&lt;&gt;"",ISNUMBER(F585)),Q585,"")</f>
        <v/>
      </c>
      <c r="U585">
        <f>IF(AND(Q585&lt;&gt;"",ISNUMBER(G585)),Q585,"")</f>
        <v/>
      </c>
      <c r="V585">
        <f>IF(AND(Q585&lt;&gt;"",ISNUMBER(H585)),Q585,"")</f>
        <v/>
      </c>
      <c r="W585">
        <f>IF(AND(Q585&lt;&gt;"",ISNUMBER(I585)),Q585,"")</f>
        <v/>
      </c>
      <c r="X585">
        <f>IF(AND(Q585&lt;&gt;"",ISNUMBER(J585)),Q585,"")</f>
        <v/>
      </c>
      <c r="Y585">
        <f>IF(AND(Q585&lt;&gt;"",ISNUMBER(K585)),Q585,"")</f>
        <v/>
      </c>
      <c r="Z585">
        <f>IF(AND(Q585&lt;&gt;"",ISNUMBER(L585)),Q585,"")</f>
        <v/>
      </c>
      <c r="AA585">
        <f>IF(AND(Q585&lt;&gt;"",ISNUMBER(M585)),Q585,"")</f>
        <v/>
      </c>
      <c r="AB585">
        <f>IF(AND(Q585&lt;&gt;"",ISNUMBER(K585)),K585,"")</f>
        <v/>
      </c>
      <c r="AC585">
        <f>IF(AND(Q585&lt;&gt;"",ISNUMBER(L585)),L585,"")</f>
        <v/>
      </c>
      <c r="AD585">
        <f>IF(AND(Q585&lt;&gt;"",ISNUMBER(M585)),M585,"")</f>
        <v/>
      </c>
    </row>
    <row r="586">
      <c r="A586" s="1" t="n"/>
      <c r="B586" s="17" t="n"/>
      <c r="C586" s="27" t="n"/>
      <c r="D586" s="28" t="n"/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9" t="n"/>
      <c r="N586" s="21" t="n"/>
      <c r="O586" s="12">
        <f>IF(AND(B586="",C586=""),"",IF(NOT(ISNUMBER(B586)),"Needs a date",IF(C586="","Needs a client",IF(COUNTIF(Clients!$B$6:$B$105,C586)=0,"Not on Clients",IF(COUNT(D586:M586)=0,"Nothing measured","")))))</f>
        <v/>
      </c>
      <c r="P586" s="1">
        <f>IF(AND(O586="",ISNUMBER(B586)),INT(B586),0)</f>
        <v/>
      </c>
      <c r="Q586">
        <f>IF(AND(P586&gt;0,C586=Report!$C$5),P586*10000+ROW(),"")</f>
        <v/>
      </c>
      <c r="R586">
        <f>IF(AND(Q586&lt;&gt;"",ISNUMBER(D586)),Q586,"")</f>
        <v/>
      </c>
      <c r="S586">
        <f>IF(AND(Q586&lt;&gt;"",ISNUMBER(E586)),Q586,"")</f>
        <v/>
      </c>
      <c r="T586">
        <f>IF(AND(Q586&lt;&gt;"",ISNUMBER(F586)),Q586,"")</f>
        <v/>
      </c>
      <c r="U586">
        <f>IF(AND(Q586&lt;&gt;"",ISNUMBER(G586)),Q586,"")</f>
        <v/>
      </c>
      <c r="V586">
        <f>IF(AND(Q586&lt;&gt;"",ISNUMBER(H586)),Q586,"")</f>
        <v/>
      </c>
      <c r="W586">
        <f>IF(AND(Q586&lt;&gt;"",ISNUMBER(I586)),Q586,"")</f>
        <v/>
      </c>
      <c r="X586">
        <f>IF(AND(Q586&lt;&gt;"",ISNUMBER(J586)),Q586,"")</f>
        <v/>
      </c>
      <c r="Y586">
        <f>IF(AND(Q586&lt;&gt;"",ISNUMBER(K586)),Q586,"")</f>
        <v/>
      </c>
      <c r="Z586">
        <f>IF(AND(Q586&lt;&gt;"",ISNUMBER(L586)),Q586,"")</f>
        <v/>
      </c>
      <c r="AA586">
        <f>IF(AND(Q586&lt;&gt;"",ISNUMBER(M586)),Q586,"")</f>
        <v/>
      </c>
      <c r="AB586">
        <f>IF(AND(Q586&lt;&gt;"",ISNUMBER(K586)),K586,"")</f>
        <v/>
      </c>
      <c r="AC586">
        <f>IF(AND(Q586&lt;&gt;"",ISNUMBER(L586)),L586,"")</f>
        <v/>
      </c>
      <c r="AD586">
        <f>IF(AND(Q586&lt;&gt;"",ISNUMBER(M586)),M586,"")</f>
        <v/>
      </c>
    </row>
    <row r="587">
      <c r="A587" s="1" t="n"/>
      <c r="B587" s="17" t="n"/>
      <c r="C587" s="27" t="n"/>
      <c r="D587" s="28" t="n"/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9" t="n"/>
      <c r="N587" s="21" t="n"/>
      <c r="O587" s="12">
        <f>IF(AND(B587="",C587=""),"",IF(NOT(ISNUMBER(B587)),"Needs a date",IF(C587="","Needs a client",IF(COUNTIF(Clients!$B$6:$B$105,C587)=0,"Not on Clients",IF(COUNT(D587:M587)=0,"Nothing measured","")))))</f>
        <v/>
      </c>
      <c r="P587" s="1">
        <f>IF(AND(O587="",ISNUMBER(B587)),INT(B587),0)</f>
        <v/>
      </c>
      <c r="Q587">
        <f>IF(AND(P587&gt;0,C587=Report!$C$5),P587*10000+ROW(),"")</f>
        <v/>
      </c>
      <c r="R587">
        <f>IF(AND(Q587&lt;&gt;"",ISNUMBER(D587)),Q587,"")</f>
        <v/>
      </c>
      <c r="S587">
        <f>IF(AND(Q587&lt;&gt;"",ISNUMBER(E587)),Q587,"")</f>
        <v/>
      </c>
      <c r="T587">
        <f>IF(AND(Q587&lt;&gt;"",ISNUMBER(F587)),Q587,"")</f>
        <v/>
      </c>
      <c r="U587">
        <f>IF(AND(Q587&lt;&gt;"",ISNUMBER(G587)),Q587,"")</f>
        <v/>
      </c>
      <c r="V587">
        <f>IF(AND(Q587&lt;&gt;"",ISNUMBER(H587)),Q587,"")</f>
        <v/>
      </c>
      <c r="W587">
        <f>IF(AND(Q587&lt;&gt;"",ISNUMBER(I587)),Q587,"")</f>
        <v/>
      </c>
      <c r="X587">
        <f>IF(AND(Q587&lt;&gt;"",ISNUMBER(J587)),Q587,"")</f>
        <v/>
      </c>
      <c r="Y587">
        <f>IF(AND(Q587&lt;&gt;"",ISNUMBER(K587)),Q587,"")</f>
        <v/>
      </c>
      <c r="Z587">
        <f>IF(AND(Q587&lt;&gt;"",ISNUMBER(L587)),Q587,"")</f>
        <v/>
      </c>
      <c r="AA587">
        <f>IF(AND(Q587&lt;&gt;"",ISNUMBER(M587)),Q587,"")</f>
        <v/>
      </c>
      <c r="AB587">
        <f>IF(AND(Q587&lt;&gt;"",ISNUMBER(K587)),K587,"")</f>
        <v/>
      </c>
      <c r="AC587">
        <f>IF(AND(Q587&lt;&gt;"",ISNUMBER(L587)),L587,"")</f>
        <v/>
      </c>
      <c r="AD587">
        <f>IF(AND(Q587&lt;&gt;"",ISNUMBER(M587)),M587,"")</f>
        <v/>
      </c>
    </row>
    <row r="588">
      <c r="A588" s="1" t="n"/>
      <c r="B588" s="17" t="n"/>
      <c r="C588" s="27" t="n"/>
      <c r="D588" s="28" t="n"/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9" t="n"/>
      <c r="N588" s="21" t="n"/>
      <c r="O588" s="12">
        <f>IF(AND(B588="",C588=""),"",IF(NOT(ISNUMBER(B588)),"Needs a date",IF(C588="","Needs a client",IF(COUNTIF(Clients!$B$6:$B$105,C588)=0,"Not on Clients",IF(COUNT(D588:M588)=0,"Nothing measured","")))))</f>
        <v/>
      </c>
      <c r="P588" s="1">
        <f>IF(AND(O588="",ISNUMBER(B588)),INT(B588),0)</f>
        <v/>
      </c>
      <c r="Q588">
        <f>IF(AND(P588&gt;0,C588=Report!$C$5),P588*10000+ROW(),"")</f>
        <v/>
      </c>
      <c r="R588">
        <f>IF(AND(Q588&lt;&gt;"",ISNUMBER(D588)),Q588,"")</f>
        <v/>
      </c>
      <c r="S588">
        <f>IF(AND(Q588&lt;&gt;"",ISNUMBER(E588)),Q588,"")</f>
        <v/>
      </c>
      <c r="T588">
        <f>IF(AND(Q588&lt;&gt;"",ISNUMBER(F588)),Q588,"")</f>
        <v/>
      </c>
      <c r="U588">
        <f>IF(AND(Q588&lt;&gt;"",ISNUMBER(G588)),Q588,"")</f>
        <v/>
      </c>
      <c r="V588">
        <f>IF(AND(Q588&lt;&gt;"",ISNUMBER(H588)),Q588,"")</f>
        <v/>
      </c>
      <c r="W588">
        <f>IF(AND(Q588&lt;&gt;"",ISNUMBER(I588)),Q588,"")</f>
        <v/>
      </c>
      <c r="X588">
        <f>IF(AND(Q588&lt;&gt;"",ISNUMBER(J588)),Q588,"")</f>
        <v/>
      </c>
      <c r="Y588">
        <f>IF(AND(Q588&lt;&gt;"",ISNUMBER(K588)),Q588,"")</f>
        <v/>
      </c>
      <c r="Z588">
        <f>IF(AND(Q588&lt;&gt;"",ISNUMBER(L588)),Q588,"")</f>
        <v/>
      </c>
      <c r="AA588">
        <f>IF(AND(Q588&lt;&gt;"",ISNUMBER(M588)),Q588,"")</f>
        <v/>
      </c>
      <c r="AB588">
        <f>IF(AND(Q588&lt;&gt;"",ISNUMBER(K588)),K588,"")</f>
        <v/>
      </c>
      <c r="AC588">
        <f>IF(AND(Q588&lt;&gt;"",ISNUMBER(L588)),L588,"")</f>
        <v/>
      </c>
      <c r="AD588">
        <f>IF(AND(Q588&lt;&gt;"",ISNUMBER(M588)),M588,"")</f>
        <v/>
      </c>
    </row>
    <row r="589">
      <c r="A589" s="1" t="n"/>
      <c r="B589" s="17" t="n"/>
      <c r="C589" s="27" t="n"/>
      <c r="D589" s="28" t="n"/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9" t="n"/>
      <c r="N589" s="21" t="n"/>
      <c r="O589" s="12">
        <f>IF(AND(B589="",C589=""),"",IF(NOT(ISNUMBER(B589)),"Needs a date",IF(C589="","Needs a client",IF(COUNTIF(Clients!$B$6:$B$105,C589)=0,"Not on Clients",IF(COUNT(D589:M589)=0,"Nothing measured","")))))</f>
        <v/>
      </c>
      <c r="P589" s="1">
        <f>IF(AND(O589="",ISNUMBER(B589)),INT(B589),0)</f>
        <v/>
      </c>
      <c r="Q589">
        <f>IF(AND(P589&gt;0,C589=Report!$C$5),P589*10000+ROW(),"")</f>
        <v/>
      </c>
      <c r="R589">
        <f>IF(AND(Q589&lt;&gt;"",ISNUMBER(D589)),Q589,"")</f>
        <v/>
      </c>
      <c r="S589">
        <f>IF(AND(Q589&lt;&gt;"",ISNUMBER(E589)),Q589,"")</f>
        <v/>
      </c>
      <c r="T589">
        <f>IF(AND(Q589&lt;&gt;"",ISNUMBER(F589)),Q589,"")</f>
        <v/>
      </c>
      <c r="U589">
        <f>IF(AND(Q589&lt;&gt;"",ISNUMBER(G589)),Q589,"")</f>
        <v/>
      </c>
      <c r="V589">
        <f>IF(AND(Q589&lt;&gt;"",ISNUMBER(H589)),Q589,"")</f>
        <v/>
      </c>
      <c r="W589">
        <f>IF(AND(Q589&lt;&gt;"",ISNUMBER(I589)),Q589,"")</f>
        <v/>
      </c>
      <c r="X589">
        <f>IF(AND(Q589&lt;&gt;"",ISNUMBER(J589)),Q589,"")</f>
        <v/>
      </c>
      <c r="Y589">
        <f>IF(AND(Q589&lt;&gt;"",ISNUMBER(K589)),Q589,"")</f>
        <v/>
      </c>
      <c r="Z589">
        <f>IF(AND(Q589&lt;&gt;"",ISNUMBER(L589)),Q589,"")</f>
        <v/>
      </c>
      <c r="AA589">
        <f>IF(AND(Q589&lt;&gt;"",ISNUMBER(M589)),Q589,"")</f>
        <v/>
      </c>
      <c r="AB589">
        <f>IF(AND(Q589&lt;&gt;"",ISNUMBER(K589)),K589,"")</f>
        <v/>
      </c>
      <c r="AC589">
        <f>IF(AND(Q589&lt;&gt;"",ISNUMBER(L589)),L589,"")</f>
        <v/>
      </c>
      <c r="AD589">
        <f>IF(AND(Q589&lt;&gt;"",ISNUMBER(M589)),M589,"")</f>
        <v/>
      </c>
    </row>
    <row r="590">
      <c r="A590" s="1" t="n"/>
      <c r="B590" s="17" t="n"/>
      <c r="C590" s="27" t="n"/>
      <c r="D590" s="28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9" t="n"/>
      <c r="N590" s="21" t="n"/>
      <c r="O590" s="12">
        <f>IF(AND(B590="",C590=""),"",IF(NOT(ISNUMBER(B590)),"Needs a date",IF(C590="","Needs a client",IF(COUNTIF(Clients!$B$6:$B$105,C590)=0,"Not on Clients",IF(COUNT(D590:M590)=0,"Nothing measured","")))))</f>
        <v/>
      </c>
      <c r="P590" s="1">
        <f>IF(AND(O590="",ISNUMBER(B590)),INT(B590),0)</f>
        <v/>
      </c>
      <c r="Q590">
        <f>IF(AND(P590&gt;0,C590=Report!$C$5),P590*10000+ROW(),"")</f>
        <v/>
      </c>
      <c r="R590">
        <f>IF(AND(Q590&lt;&gt;"",ISNUMBER(D590)),Q590,"")</f>
        <v/>
      </c>
      <c r="S590">
        <f>IF(AND(Q590&lt;&gt;"",ISNUMBER(E590)),Q590,"")</f>
        <v/>
      </c>
      <c r="T590">
        <f>IF(AND(Q590&lt;&gt;"",ISNUMBER(F590)),Q590,"")</f>
        <v/>
      </c>
      <c r="U590">
        <f>IF(AND(Q590&lt;&gt;"",ISNUMBER(G590)),Q590,"")</f>
        <v/>
      </c>
      <c r="V590">
        <f>IF(AND(Q590&lt;&gt;"",ISNUMBER(H590)),Q590,"")</f>
        <v/>
      </c>
      <c r="W590">
        <f>IF(AND(Q590&lt;&gt;"",ISNUMBER(I590)),Q590,"")</f>
        <v/>
      </c>
      <c r="X590">
        <f>IF(AND(Q590&lt;&gt;"",ISNUMBER(J590)),Q590,"")</f>
        <v/>
      </c>
      <c r="Y590">
        <f>IF(AND(Q590&lt;&gt;"",ISNUMBER(K590)),Q590,"")</f>
        <v/>
      </c>
      <c r="Z590">
        <f>IF(AND(Q590&lt;&gt;"",ISNUMBER(L590)),Q590,"")</f>
        <v/>
      </c>
      <c r="AA590">
        <f>IF(AND(Q590&lt;&gt;"",ISNUMBER(M590)),Q590,"")</f>
        <v/>
      </c>
      <c r="AB590">
        <f>IF(AND(Q590&lt;&gt;"",ISNUMBER(K590)),K590,"")</f>
        <v/>
      </c>
      <c r="AC590">
        <f>IF(AND(Q590&lt;&gt;"",ISNUMBER(L590)),L590,"")</f>
        <v/>
      </c>
      <c r="AD590">
        <f>IF(AND(Q590&lt;&gt;"",ISNUMBER(M590)),M590,"")</f>
        <v/>
      </c>
    </row>
    <row r="591">
      <c r="A591" s="1" t="n"/>
      <c r="B591" s="17" t="n"/>
      <c r="C591" s="27" t="n"/>
      <c r="D591" s="28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9" t="n"/>
      <c r="N591" s="21" t="n"/>
      <c r="O591" s="12">
        <f>IF(AND(B591="",C591=""),"",IF(NOT(ISNUMBER(B591)),"Needs a date",IF(C591="","Needs a client",IF(COUNTIF(Clients!$B$6:$B$105,C591)=0,"Not on Clients",IF(COUNT(D591:M591)=0,"Nothing measured","")))))</f>
        <v/>
      </c>
      <c r="P591" s="1">
        <f>IF(AND(O591="",ISNUMBER(B591)),INT(B591),0)</f>
        <v/>
      </c>
      <c r="Q591">
        <f>IF(AND(P591&gt;0,C591=Report!$C$5),P591*10000+ROW(),"")</f>
        <v/>
      </c>
      <c r="R591">
        <f>IF(AND(Q591&lt;&gt;"",ISNUMBER(D591)),Q591,"")</f>
        <v/>
      </c>
      <c r="S591">
        <f>IF(AND(Q591&lt;&gt;"",ISNUMBER(E591)),Q591,"")</f>
        <v/>
      </c>
      <c r="T591">
        <f>IF(AND(Q591&lt;&gt;"",ISNUMBER(F591)),Q591,"")</f>
        <v/>
      </c>
      <c r="U591">
        <f>IF(AND(Q591&lt;&gt;"",ISNUMBER(G591)),Q591,"")</f>
        <v/>
      </c>
      <c r="V591">
        <f>IF(AND(Q591&lt;&gt;"",ISNUMBER(H591)),Q591,"")</f>
        <v/>
      </c>
      <c r="W591">
        <f>IF(AND(Q591&lt;&gt;"",ISNUMBER(I591)),Q591,"")</f>
        <v/>
      </c>
      <c r="X591">
        <f>IF(AND(Q591&lt;&gt;"",ISNUMBER(J591)),Q591,"")</f>
        <v/>
      </c>
      <c r="Y591">
        <f>IF(AND(Q591&lt;&gt;"",ISNUMBER(K591)),Q591,"")</f>
        <v/>
      </c>
      <c r="Z591">
        <f>IF(AND(Q591&lt;&gt;"",ISNUMBER(L591)),Q591,"")</f>
        <v/>
      </c>
      <c r="AA591">
        <f>IF(AND(Q591&lt;&gt;"",ISNUMBER(M591)),Q591,"")</f>
        <v/>
      </c>
      <c r="AB591">
        <f>IF(AND(Q591&lt;&gt;"",ISNUMBER(K591)),K591,"")</f>
        <v/>
      </c>
      <c r="AC591">
        <f>IF(AND(Q591&lt;&gt;"",ISNUMBER(L591)),L591,"")</f>
        <v/>
      </c>
      <c r="AD591">
        <f>IF(AND(Q591&lt;&gt;"",ISNUMBER(M591)),M591,"")</f>
        <v/>
      </c>
    </row>
    <row r="592">
      <c r="A592" s="1" t="n"/>
      <c r="B592" s="17" t="n"/>
      <c r="C592" s="27" t="n"/>
      <c r="D592" s="28" t="n"/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9" t="n"/>
      <c r="N592" s="21" t="n"/>
      <c r="O592" s="12">
        <f>IF(AND(B592="",C592=""),"",IF(NOT(ISNUMBER(B592)),"Needs a date",IF(C592="","Needs a client",IF(COUNTIF(Clients!$B$6:$B$105,C592)=0,"Not on Clients",IF(COUNT(D592:M592)=0,"Nothing measured","")))))</f>
        <v/>
      </c>
      <c r="P592" s="1">
        <f>IF(AND(O592="",ISNUMBER(B592)),INT(B592),0)</f>
        <v/>
      </c>
      <c r="Q592">
        <f>IF(AND(P592&gt;0,C592=Report!$C$5),P592*10000+ROW(),"")</f>
        <v/>
      </c>
      <c r="R592">
        <f>IF(AND(Q592&lt;&gt;"",ISNUMBER(D592)),Q592,"")</f>
        <v/>
      </c>
      <c r="S592">
        <f>IF(AND(Q592&lt;&gt;"",ISNUMBER(E592)),Q592,"")</f>
        <v/>
      </c>
      <c r="T592">
        <f>IF(AND(Q592&lt;&gt;"",ISNUMBER(F592)),Q592,"")</f>
        <v/>
      </c>
      <c r="U592">
        <f>IF(AND(Q592&lt;&gt;"",ISNUMBER(G592)),Q592,"")</f>
        <v/>
      </c>
      <c r="V592">
        <f>IF(AND(Q592&lt;&gt;"",ISNUMBER(H592)),Q592,"")</f>
        <v/>
      </c>
      <c r="W592">
        <f>IF(AND(Q592&lt;&gt;"",ISNUMBER(I592)),Q592,"")</f>
        <v/>
      </c>
      <c r="X592">
        <f>IF(AND(Q592&lt;&gt;"",ISNUMBER(J592)),Q592,"")</f>
        <v/>
      </c>
      <c r="Y592">
        <f>IF(AND(Q592&lt;&gt;"",ISNUMBER(K592)),Q592,"")</f>
        <v/>
      </c>
      <c r="Z592">
        <f>IF(AND(Q592&lt;&gt;"",ISNUMBER(L592)),Q592,"")</f>
        <v/>
      </c>
      <c r="AA592">
        <f>IF(AND(Q592&lt;&gt;"",ISNUMBER(M592)),Q592,"")</f>
        <v/>
      </c>
      <c r="AB592">
        <f>IF(AND(Q592&lt;&gt;"",ISNUMBER(K592)),K592,"")</f>
        <v/>
      </c>
      <c r="AC592">
        <f>IF(AND(Q592&lt;&gt;"",ISNUMBER(L592)),L592,"")</f>
        <v/>
      </c>
      <c r="AD592">
        <f>IF(AND(Q592&lt;&gt;"",ISNUMBER(M592)),M592,"")</f>
        <v/>
      </c>
    </row>
    <row r="593">
      <c r="A593" s="1" t="n"/>
      <c r="B593" s="17" t="n"/>
      <c r="C593" s="27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9" t="n"/>
      <c r="N593" s="21" t="n"/>
      <c r="O593" s="12">
        <f>IF(AND(B593="",C593=""),"",IF(NOT(ISNUMBER(B593)),"Needs a date",IF(C593="","Needs a client",IF(COUNTIF(Clients!$B$6:$B$105,C593)=0,"Not on Clients",IF(COUNT(D593:M593)=0,"Nothing measured","")))))</f>
        <v/>
      </c>
      <c r="P593" s="1">
        <f>IF(AND(O593="",ISNUMBER(B593)),INT(B593),0)</f>
        <v/>
      </c>
      <c r="Q593">
        <f>IF(AND(P593&gt;0,C593=Report!$C$5),P593*10000+ROW(),"")</f>
        <v/>
      </c>
      <c r="R593">
        <f>IF(AND(Q593&lt;&gt;"",ISNUMBER(D593)),Q593,"")</f>
        <v/>
      </c>
      <c r="S593">
        <f>IF(AND(Q593&lt;&gt;"",ISNUMBER(E593)),Q593,"")</f>
        <v/>
      </c>
      <c r="T593">
        <f>IF(AND(Q593&lt;&gt;"",ISNUMBER(F593)),Q593,"")</f>
        <v/>
      </c>
      <c r="U593">
        <f>IF(AND(Q593&lt;&gt;"",ISNUMBER(G593)),Q593,"")</f>
        <v/>
      </c>
      <c r="V593">
        <f>IF(AND(Q593&lt;&gt;"",ISNUMBER(H593)),Q593,"")</f>
        <v/>
      </c>
      <c r="W593">
        <f>IF(AND(Q593&lt;&gt;"",ISNUMBER(I593)),Q593,"")</f>
        <v/>
      </c>
      <c r="X593">
        <f>IF(AND(Q593&lt;&gt;"",ISNUMBER(J593)),Q593,"")</f>
        <v/>
      </c>
      <c r="Y593">
        <f>IF(AND(Q593&lt;&gt;"",ISNUMBER(K593)),Q593,"")</f>
        <v/>
      </c>
      <c r="Z593">
        <f>IF(AND(Q593&lt;&gt;"",ISNUMBER(L593)),Q593,"")</f>
        <v/>
      </c>
      <c r="AA593">
        <f>IF(AND(Q593&lt;&gt;"",ISNUMBER(M593)),Q593,"")</f>
        <v/>
      </c>
      <c r="AB593">
        <f>IF(AND(Q593&lt;&gt;"",ISNUMBER(K593)),K593,"")</f>
        <v/>
      </c>
      <c r="AC593">
        <f>IF(AND(Q593&lt;&gt;"",ISNUMBER(L593)),L593,"")</f>
        <v/>
      </c>
      <c r="AD593">
        <f>IF(AND(Q593&lt;&gt;"",ISNUMBER(M593)),M593,"")</f>
        <v/>
      </c>
    </row>
    <row r="594">
      <c r="A594" s="1" t="n"/>
      <c r="B594" s="17" t="n"/>
      <c r="C594" s="27" t="n"/>
      <c r="D594" s="28" t="n"/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9" t="n"/>
      <c r="N594" s="21" t="n"/>
      <c r="O594" s="12">
        <f>IF(AND(B594="",C594=""),"",IF(NOT(ISNUMBER(B594)),"Needs a date",IF(C594="","Needs a client",IF(COUNTIF(Clients!$B$6:$B$105,C594)=0,"Not on Clients",IF(COUNT(D594:M594)=0,"Nothing measured","")))))</f>
        <v/>
      </c>
      <c r="P594" s="1">
        <f>IF(AND(O594="",ISNUMBER(B594)),INT(B594),0)</f>
        <v/>
      </c>
      <c r="Q594">
        <f>IF(AND(P594&gt;0,C594=Report!$C$5),P594*10000+ROW(),"")</f>
        <v/>
      </c>
      <c r="R594">
        <f>IF(AND(Q594&lt;&gt;"",ISNUMBER(D594)),Q594,"")</f>
        <v/>
      </c>
      <c r="S594">
        <f>IF(AND(Q594&lt;&gt;"",ISNUMBER(E594)),Q594,"")</f>
        <v/>
      </c>
      <c r="T594">
        <f>IF(AND(Q594&lt;&gt;"",ISNUMBER(F594)),Q594,"")</f>
        <v/>
      </c>
      <c r="U594">
        <f>IF(AND(Q594&lt;&gt;"",ISNUMBER(G594)),Q594,"")</f>
        <v/>
      </c>
      <c r="V594">
        <f>IF(AND(Q594&lt;&gt;"",ISNUMBER(H594)),Q594,"")</f>
        <v/>
      </c>
      <c r="W594">
        <f>IF(AND(Q594&lt;&gt;"",ISNUMBER(I594)),Q594,"")</f>
        <v/>
      </c>
      <c r="X594">
        <f>IF(AND(Q594&lt;&gt;"",ISNUMBER(J594)),Q594,"")</f>
        <v/>
      </c>
      <c r="Y594">
        <f>IF(AND(Q594&lt;&gt;"",ISNUMBER(K594)),Q594,"")</f>
        <v/>
      </c>
      <c r="Z594">
        <f>IF(AND(Q594&lt;&gt;"",ISNUMBER(L594)),Q594,"")</f>
        <v/>
      </c>
      <c r="AA594">
        <f>IF(AND(Q594&lt;&gt;"",ISNUMBER(M594)),Q594,"")</f>
        <v/>
      </c>
      <c r="AB594">
        <f>IF(AND(Q594&lt;&gt;"",ISNUMBER(K594)),K594,"")</f>
        <v/>
      </c>
      <c r="AC594">
        <f>IF(AND(Q594&lt;&gt;"",ISNUMBER(L594)),L594,"")</f>
        <v/>
      </c>
      <c r="AD594">
        <f>IF(AND(Q594&lt;&gt;"",ISNUMBER(M594)),M594,"")</f>
        <v/>
      </c>
    </row>
    <row r="595">
      <c r="A595" s="1" t="n"/>
      <c r="B595" s="17" t="n"/>
      <c r="C595" s="27" t="n"/>
      <c r="D595" s="28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9" t="n"/>
      <c r="N595" s="21" t="n"/>
      <c r="O595" s="12">
        <f>IF(AND(B595="",C595=""),"",IF(NOT(ISNUMBER(B595)),"Needs a date",IF(C595="","Needs a client",IF(COUNTIF(Clients!$B$6:$B$105,C595)=0,"Not on Clients",IF(COUNT(D595:M595)=0,"Nothing measured","")))))</f>
        <v/>
      </c>
      <c r="P595" s="1">
        <f>IF(AND(O595="",ISNUMBER(B595)),INT(B595),0)</f>
        <v/>
      </c>
      <c r="Q595">
        <f>IF(AND(P595&gt;0,C595=Report!$C$5),P595*10000+ROW(),"")</f>
        <v/>
      </c>
      <c r="R595">
        <f>IF(AND(Q595&lt;&gt;"",ISNUMBER(D595)),Q595,"")</f>
        <v/>
      </c>
      <c r="S595">
        <f>IF(AND(Q595&lt;&gt;"",ISNUMBER(E595)),Q595,"")</f>
        <v/>
      </c>
      <c r="T595">
        <f>IF(AND(Q595&lt;&gt;"",ISNUMBER(F595)),Q595,"")</f>
        <v/>
      </c>
      <c r="U595">
        <f>IF(AND(Q595&lt;&gt;"",ISNUMBER(G595)),Q595,"")</f>
        <v/>
      </c>
      <c r="V595">
        <f>IF(AND(Q595&lt;&gt;"",ISNUMBER(H595)),Q595,"")</f>
        <v/>
      </c>
      <c r="W595">
        <f>IF(AND(Q595&lt;&gt;"",ISNUMBER(I595)),Q595,"")</f>
        <v/>
      </c>
      <c r="X595">
        <f>IF(AND(Q595&lt;&gt;"",ISNUMBER(J595)),Q595,"")</f>
        <v/>
      </c>
      <c r="Y595">
        <f>IF(AND(Q595&lt;&gt;"",ISNUMBER(K595)),Q595,"")</f>
        <v/>
      </c>
      <c r="Z595">
        <f>IF(AND(Q595&lt;&gt;"",ISNUMBER(L595)),Q595,"")</f>
        <v/>
      </c>
      <c r="AA595">
        <f>IF(AND(Q595&lt;&gt;"",ISNUMBER(M595)),Q595,"")</f>
        <v/>
      </c>
      <c r="AB595">
        <f>IF(AND(Q595&lt;&gt;"",ISNUMBER(K595)),K595,"")</f>
        <v/>
      </c>
      <c r="AC595">
        <f>IF(AND(Q595&lt;&gt;"",ISNUMBER(L595)),L595,"")</f>
        <v/>
      </c>
      <c r="AD595">
        <f>IF(AND(Q595&lt;&gt;"",ISNUMBER(M595)),M595,"")</f>
        <v/>
      </c>
    </row>
    <row r="596">
      <c r="A596" s="1" t="n"/>
      <c r="B596" s="17" t="n"/>
      <c r="C596" s="27" t="n"/>
      <c r="D596" s="28" t="n"/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9" t="n"/>
      <c r="N596" s="21" t="n"/>
      <c r="O596" s="12">
        <f>IF(AND(B596="",C596=""),"",IF(NOT(ISNUMBER(B596)),"Needs a date",IF(C596="","Needs a client",IF(COUNTIF(Clients!$B$6:$B$105,C596)=0,"Not on Clients",IF(COUNT(D596:M596)=0,"Nothing measured","")))))</f>
        <v/>
      </c>
      <c r="P596" s="1">
        <f>IF(AND(O596="",ISNUMBER(B596)),INT(B596),0)</f>
        <v/>
      </c>
      <c r="Q596">
        <f>IF(AND(P596&gt;0,C596=Report!$C$5),P596*10000+ROW(),"")</f>
        <v/>
      </c>
      <c r="R596">
        <f>IF(AND(Q596&lt;&gt;"",ISNUMBER(D596)),Q596,"")</f>
        <v/>
      </c>
      <c r="S596">
        <f>IF(AND(Q596&lt;&gt;"",ISNUMBER(E596)),Q596,"")</f>
        <v/>
      </c>
      <c r="T596">
        <f>IF(AND(Q596&lt;&gt;"",ISNUMBER(F596)),Q596,"")</f>
        <v/>
      </c>
      <c r="U596">
        <f>IF(AND(Q596&lt;&gt;"",ISNUMBER(G596)),Q596,"")</f>
        <v/>
      </c>
      <c r="V596">
        <f>IF(AND(Q596&lt;&gt;"",ISNUMBER(H596)),Q596,"")</f>
        <v/>
      </c>
      <c r="W596">
        <f>IF(AND(Q596&lt;&gt;"",ISNUMBER(I596)),Q596,"")</f>
        <v/>
      </c>
      <c r="X596">
        <f>IF(AND(Q596&lt;&gt;"",ISNUMBER(J596)),Q596,"")</f>
        <v/>
      </c>
      <c r="Y596">
        <f>IF(AND(Q596&lt;&gt;"",ISNUMBER(K596)),Q596,"")</f>
        <v/>
      </c>
      <c r="Z596">
        <f>IF(AND(Q596&lt;&gt;"",ISNUMBER(L596)),Q596,"")</f>
        <v/>
      </c>
      <c r="AA596">
        <f>IF(AND(Q596&lt;&gt;"",ISNUMBER(M596)),Q596,"")</f>
        <v/>
      </c>
      <c r="AB596">
        <f>IF(AND(Q596&lt;&gt;"",ISNUMBER(K596)),K596,"")</f>
        <v/>
      </c>
      <c r="AC596">
        <f>IF(AND(Q596&lt;&gt;"",ISNUMBER(L596)),L596,"")</f>
        <v/>
      </c>
      <c r="AD596">
        <f>IF(AND(Q596&lt;&gt;"",ISNUMBER(M596)),M596,"")</f>
        <v/>
      </c>
    </row>
    <row r="597">
      <c r="A597" s="1" t="n"/>
      <c r="B597" s="17" t="n"/>
      <c r="C597" s="27" t="n"/>
      <c r="D597" s="28" t="n"/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9" t="n"/>
      <c r="N597" s="21" t="n"/>
      <c r="O597" s="12">
        <f>IF(AND(B597="",C597=""),"",IF(NOT(ISNUMBER(B597)),"Needs a date",IF(C597="","Needs a client",IF(COUNTIF(Clients!$B$6:$B$105,C597)=0,"Not on Clients",IF(COUNT(D597:M597)=0,"Nothing measured","")))))</f>
        <v/>
      </c>
      <c r="P597" s="1">
        <f>IF(AND(O597="",ISNUMBER(B597)),INT(B597),0)</f>
        <v/>
      </c>
      <c r="Q597">
        <f>IF(AND(P597&gt;0,C597=Report!$C$5),P597*10000+ROW(),"")</f>
        <v/>
      </c>
      <c r="R597">
        <f>IF(AND(Q597&lt;&gt;"",ISNUMBER(D597)),Q597,"")</f>
        <v/>
      </c>
      <c r="S597">
        <f>IF(AND(Q597&lt;&gt;"",ISNUMBER(E597)),Q597,"")</f>
        <v/>
      </c>
      <c r="T597">
        <f>IF(AND(Q597&lt;&gt;"",ISNUMBER(F597)),Q597,"")</f>
        <v/>
      </c>
      <c r="U597">
        <f>IF(AND(Q597&lt;&gt;"",ISNUMBER(G597)),Q597,"")</f>
        <v/>
      </c>
      <c r="V597">
        <f>IF(AND(Q597&lt;&gt;"",ISNUMBER(H597)),Q597,"")</f>
        <v/>
      </c>
      <c r="W597">
        <f>IF(AND(Q597&lt;&gt;"",ISNUMBER(I597)),Q597,"")</f>
        <v/>
      </c>
      <c r="X597">
        <f>IF(AND(Q597&lt;&gt;"",ISNUMBER(J597)),Q597,"")</f>
        <v/>
      </c>
      <c r="Y597">
        <f>IF(AND(Q597&lt;&gt;"",ISNUMBER(K597)),Q597,"")</f>
        <v/>
      </c>
      <c r="Z597">
        <f>IF(AND(Q597&lt;&gt;"",ISNUMBER(L597)),Q597,"")</f>
        <v/>
      </c>
      <c r="AA597">
        <f>IF(AND(Q597&lt;&gt;"",ISNUMBER(M597)),Q597,"")</f>
        <v/>
      </c>
      <c r="AB597">
        <f>IF(AND(Q597&lt;&gt;"",ISNUMBER(K597)),K597,"")</f>
        <v/>
      </c>
      <c r="AC597">
        <f>IF(AND(Q597&lt;&gt;"",ISNUMBER(L597)),L597,"")</f>
        <v/>
      </c>
      <c r="AD597">
        <f>IF(AND(Q597&lt;&gt;"",ISNUMBER(M597)),M597,"")</f>
        <v/>
      </c>
    </row>
    <row r="598">
      <c r="A598" s="1" t="n"/>
      <c r="B598" s="17" t="n"/>
      <c r="C598" s="27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9" t="n"/>
      <c r="N598" s="21" t="n"/>
      <c r="O598" s="12">
        <f>IF(AND(B598="",C598=""),"",IF(NOT(ISNUMBER(B598)),"Needs a date",IF(C598="","Needs a client",IF(COUNTIF(Clients!$B$6:$B$105,C598)=0,"Not on Clients",IF(COUNT(D598:M598)=0,"Nothing measured","")))))</f>
        <v/>
      </c>
      <c r="P598" s="1">
        <f>IF(AND(O598="",ISNUMBER(B598)),INT(B598),0)</f>
        <v/>
      </c>
      <c r="Q598">
        <f>IF(AND(P598&gt;0,C598=Report!$C$5),P598*10000+ROW(),"")</f>
        <v/>
      </c>
      <c r="R598">
        <f>IF(AND(Q598&lt;&gt;"",ISNUMBER(D598)),Q598,"")</f>
        <v/>
      </c>
      <c r="S598">
        <f>IF(AND(Q598&lt;&gt;"",ISNUMBER(E598)),Q598,"")</f>
        <v/>
      </c>
      <c r="T598">
        <f>IF(AND(Q598&lt;&gt;"",ISNUMBER(F598)),Q598,"")</f>
        <v/>
      </c>
      <c r="U598">
        <f>IF(AND(Q598&lt;&gt;"",ISNUMBER(G598)),Q598,"")</f>
        <v/>
      </c>
      <c r="V598">
        <f>IF(AND(Q598&lt;&gt;"",ISNUMBER(H598)),Q598,"")</f>
        <v/>
      </c>
      <c r="W598">
        <f>IF(AND(Q598&lt;&gt;"",ISNUMBER(I598)),Q598,"")</f>
        <v/>
      </c>
      <c r="X598">
        <f>IF(AND(Q598&lt;&gt;"",ISNUMBER(J598)),Q598,"")</f>
        <v/>
      </c>
      <c r="Y598">
        <f>IF(AND(Q598&lt;&gt;"",ISNUMBER(K598)),Q598,"")</f>
        <v/>
      </c>
      <c r="Z598">
        <f>IF(AND(Q598&lt;&gt;"",ISNUMBER(L598)),Q598,"")</f>
        <v/>
      </c>
      <c r="AA598">
        <f>IF(AND(Q598&lt;&gt;"",ISNUMBER(M598)),Q598,"")</f>
        <v/>
      </c>
      <c r="AB598">
        <f>IF(AND(Q598&lt;&gt;"",ISNUMBER(K598)),K598,"")</f>
        <v/>
      </c>
      <c r="AC598">
        <f>IF(AND(Q598&lt;&gt;"",ISNUMBER(L598)),L598,"")</f>
        <v/>
      </c>
      <c r="AD598">
        <f>IF(AND(Q598&lt;&gt;"",ISNUMBER(M598)),M598,"")</f>
        <v/>
      </c>
    </row>
    <row r="599">
      <c r="A599" s="1" t="n"/>
      <c r="B599" s="17" t="n"/>
      <c r="C599" s="27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9" t="n"/>
      <c r="N599" s="21" t="n"/>
      <c r="O599" s="12">
        <f>IF(AND(B599="",C599=""),"",IF(NOT(ISNUMBER(B599)),"Needs a date",IF(C599="","Needs a client",IF(COUNTIF(Clients!$B$6:$B$105,C599)=0,"Not on Clients",IF(COUNT(D599:M599)=0,"Nothing measured","")))))</f>
        <v/>
      </c>
      <c r="P599" s="1">
        <f>IF(AND(O599="",ISNUMBER(B599)),INT(B599),0)</f>
        <v/>
      </c>
      <c r="Q599">
        <f>IF(AND(P599&gt;0,C599=Report!$C$5),P599*10000+ROW(),"")</f>
        <v/>
      </c>
      <c r="R599">
        <f>IF(AND(Q599&lt;&gt;"",ISNUMBER(D599)),Q599,"")</f>
        <v/>
      </c>
      <c r="S599">
        <f>IF(AND(Q599&lt;&gt;"",ISNUMBER(E599)),Q599,"")</f>
        <v/>
      </c>
      <c r="T599">
        <f>IF(AND(Q599&lt;&gt;"",ISNUMBER(F599)),Q599,"")</f>
        <v/>
      </c>
      <c r="U599">
        <f>IF(AND(Q599&lt;&gt;"",ISNUMBER(G599)),Q599,"")</f>
        <v/>
      </c>
      <c r="V599">
        <f>IF(AND(Q599&lt;&gt;"",ISNUMBER(H599)),Q599,"")</f>
        <v/>
      </c>
      <c r="W599">
        <f>IF(AND(Q599&lt;&gt;"",ISNUMBER(I599)),Q599,"")</f>
        <v/>
      </c>
      <c r="X599">
        <f>IF(AND(Q599&lt;&gt;"",ISNUMBER(J599)),Q599,"")</f>
        <v/>
      </c>
      <c r="Y599">
        <f>IF(AND(Q599&lt;&gt;"",ISNUMBER(K599)),Q599,"")</f>
        <v/>
      </c>
      <c r="Z599">
        <f>IF(AND(Q599&lt;&gt;"",ISNUMBER(L599)),Q599,"")</f>
        <v/>
      </c>
      <c r="AA599">
        <f>IF(AND(Q599&lt;&gt;"",ISNUMBER(M599)),Q599,"")</f>
        <v/>
      </c>
      <c r="AB599">
        <f>IF(AND(Q599&lt;&gt;"",ISNUMBER(K599)),K599,"")</f>
        <v/>
      </c>
      <c r="AC599">
        <f>IF(AND(Q599&lt;&gt;"",ISNUMBER(L599)),L599,"")</f>
        <v/>
      </c>
      <c r="AD599">
        <f>IF(AND(Q599&lt;&gt;"",ISNUMBER(M599)),M599,"")</f>
        <v/>
      </c>
    </row>
    <row r="600">
      <c r="A600" s="1" t="n"/>
      <c r="B600" s="17" t="n"/>
      <c r="C600" s="27" t="n"/>
      <c r="D600" s="28" t="n"/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9" t="n"/>
      <c r="N600" s="21" t="n"/>
      <c r="O600" s="12">
        <f>IF(AND(B600="",C600=""),"",IF(NOT(ISNUMBER(B600)),"Needs a date",IF(C600="","Needs a client",IF(COUNTIF(Clients!$B$6:$B$105,C600)=0,"Not on Clients",IF(COUNT(D600:M600)=0,"Nothing measured","")))))</f>
        <v/>
      </c>
      <c r="P600" s="1">
        <f>IF(AND(O600="",ISNUMBER(B600)),INT(B600),0)</f>
        <v/>
      </c>
      <c r="Q600">
        <f>IF(AND(P600&gt;0,C600=Report!$C$5),P600*10000+ROW(),"")</f>
        <v/>
      </c>
      <c r="R600">
        <f>IF(AND(Q600&lt;&gt;"",ISNUMBER(D600)),Q600,"")</f>
        <v/>
      </c>
      <c r="S600">
        <f>IF(AND(Q600&lt;&gt;"",ISNUMBER(E600)),Q600,"")</f>
        <v/>
      </c>
      <c r="T600">
        <f>IF(AND(Q600&lt;&gt;"",ISNUMBER(F600)),Q600,"")</f>
        <v/>
      </c>
      <c r="U600">
        <f>IF(AND(Q600&lt;&gt;"",ISNUMBER(G600)),Q600,"")</f>
        <v/>
      </c>
      <c r="V600">
        <f>IF(AND(Q600&lt;&gt;"",ISNUMBER(H600)),Q600,"")</f>
        <v/>
      </c>
      <c r="W600">
        <f>IF(AND(Q600&lt;&gt;"",ISNUMBER(I600)),Q600,"")</f>
        <v/>
      </c>
      <c r="X600">
        <f>IF(AND(Q600&lt;&gt;"",ISNUMBER(J600)),Q600,"")</f>
        <v/>
      </c>
      <c r="Y600">
        <f>IF(AND(Q600&lt;&gt;"",ISNUMBER(K600)),Q600,"")</f>
        <v/>
      </c>
      <c r="Z600">
        <f>IF(AND(Q600&lt;&gt;"",ISNUMBER(L600)),Q600,"")</f>
        <v/>
      </c>
      <c r="AA600">
        <f>IF(AND(Q600&lt;&gt;"",ISNUMBER(M600)),Q600,"")</f>
        <v/>
      </c>
      <c r="AB600">
        <f>IF(AND(Q600&lt;&gt;"",ISNUMBER(K600)),K600,"")</f>
        <v/>
      </c>
      <c r="AC600">
        <f>IF(AND(Q600&lt;&gt;"",ISNUMBER(L600)),L600,"")</f>
        <v/>
      </c>
      <c r="AD600">
        <f>IF(AND(Q600&lt;&gt;"",ISNUMBER(M600)),M600,"")</f>
        <v/>
      </c>
    </row>
    <row r="601">
      <c r="A601" s="1" t="n"/>
      <c r="B601" s="17" t="n"/>
      <c r="C601" s="27" t="n"/>
      <c r="D601" s="28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9" t="n"/>
      <c r="N601" s="21" t="n"/>
      <c r="O601" s="12">
        <f>IF(AND(B601="",C601=""),"",IF(NOT(ISNUMBER(B601)),"Needs a date",IF(C601="","Needs a client",IF(COUNTIF(Clients!$B$6:$B$105,C601)=0,"Not on Clients",IF(COUNT(D601:M601)=0,"Nothing measured","")))))</f>
        <v/>
      </c>
      <c r="P601" s="1">
        <f>IF(AND(O601="",ISNUMBER(B601)),INT(B601),0)</f>
        <v/>
      </c>
      <c r="Q601">
        <f>IF(AND(P601&gt;0,C601=Report!$C$5),P601*10000+ROW(),"")</f>
        <v/>
      </c>
      <c r="R601">
        <f>IF(AND(Q601&lt;&gt;"",ISNUMBER(D601)),Q601,"")</f>
        <v/>
      </c>
      <c r="S601">
        <f>IF(AND(Q601&lt;&gt;"",ISNUMBER(E601)),Q601,"")</f>
        <v/>
      </c>
      <c r="T601">
        <f>IF(AND(Q601&lt;&gt;"",ISNUMBER(F601)),Q601,"")</f>
        <v/>
      </c>
      <c r="U601">
        <f>IF(AND(Q601&lt;&gt;"",ISNUMBER(G601)),Q601,"")</f>
        <v/>
      </c>
      <c r="V601">
        <f>IF(AND(Q601&lt;&gt;"",ISNUMBER(H601)),Q601,"")</f>
        <v/>
      </c>
      <c r="W601">
        <f>IF(AND(Q601&lt;&gt;"",ISNUMBER(I601)),Q601,"")</f>
        <v/>
      </c>
      <c r="X601">
        <f>IF(AND(Q601&lt;&gt;"",ISNUMBER(J601)),Q601,"")</f>
        <v/>
      </c>
      <c r="Y601">
        <f>IF(AND(Q601&lt;&gt;"",ISNUMBER(K601)),Q601,"")</f>
        <v/>
      </c>
      <c r="Z601">
        <f>IF(AND(Q601&lt;&gt;"",ISNUMBER(L601)),Q601,"")</f>
        <v/>
      </c>
      <c r="AA601">
        <f>IF(AND(Q601&lt;&gt;"",ISNUMBER(M601)),Q601,"")</f>
        <v/>
      </c>
      <c r="AB601">
        <f>IF(AND(Q601&lt;&gt;"",ISNUMBER(K601)),K601,"")</f>
        <v/>
      </c>
      <c r="AC601">
        <f>IF(AND(Q601&lt;&gt;"",ISNUMBER(L601)),L601,"")</f>
        <v/>
      </c>
      <c r="AD601">
        <f>IF(AND(Q601&lt;&gt;"",ISNUMBER(M601)),M601,"")</f>
        <v/>
      </c>
    </row>
    <row r="602">
      <c r="A602" s="1" t="n"/>
      <c r="B602" s="17" t="n"/>
      <c r="C602" s="27" t="n"/>
      <c r="D602" s="28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9" t="n"/>
      <c r="N602" s="21" t="n"/>
      <c r="O602" s="12">
        <f>IF(AND(B602="",C602=""),"",IF(NOT(ISNUMBER(B602)),"Needs a date",IF(C602="","Needs a client",IF(COUNTIF(Clients!$B$6:$B$105,C602)=0,"Not on Clients",IF(COUNT(D602:M602)=0,"Nothing measured","")))))</f>
        <v/>
      </c>
      <c r="P602" s="1">
        <f>IF(AND(O602="",ISNUMBER(B602)),INT(B602),0)</f>
        <v/>
      </c>
      <c r="Q602">
        <f>IF(AND(P602&gt;0,C602=Report!$C$5),P602*10000+ROW(),"")</f>
        <v/>
      </c>
      <c r="R602">
        <f>IF(AND(Q602&lt;&gt;"",ISNUMBER(D602)),Q602,"")</f>
        <v/>
      </c>
      <c r="S602">
        <f>IF(AND(Q602&lt;&gt;"",ISNUMBER(E602)),Q602,"")</f>
        <v/>
      </c>
      <c r="T602">
        <f>IF(AND(Q602&lt;&gt;"",ISNUMBER(F602)),Q602,"")</f>
        <v/>
      </c>
      <c r="U602">
        <f>IF(AND(Q602&lt;&gt;"",ISNUMBER(G602)),Q602,"")</f>
        <v/>
      </c>
      <c r="V602">
        <f>IF(AND(Q602&lt;&gt;"",ISNUMBER(H602)),Q602,"")</f>
        <v/>
      </c>
      <c r="W602">
        <f>IF(AND(Q602&lt;&gt;"",ISNUMBER(I602)),Q602,"")</f>
        <v/>
      </c>
      <c r="X602">
        <f>IF(AND(Q602&lt;&gt;"",ISNUMBER(J602)),Q602,"")</f>
        <v/>
      </c>
      <c r="Y602">
        <f>IF(AND(Q602&lt;&gt;"",ISNUMBER(K602)),Q602,"")</f>
        <v/>
      </c>
      <c r="Z602">
        <f>IF(AND(Q602&lt;&gt;"",ISNUMBER(L602)),Q602,"")</f>
        <v/>
      </c>
      <c r="AA602">
        <f>IF(AND(Q602&lt;&gt;"",ISNUMBER(M602)),Q602,"")</f>
        <v/>
      </c>
      <c r="AB602">
        <f>IF(AND(Q602&lt;&gt;"",ISNUMBER(K602)),K602,"")</f>
        <v/>
      </c>
      <c r="AC602">
        <f>IF(AND(Q602&lt;&gt;"",ISNUMBER(L602)),L602,"")</f>
        <v/>
      </c>
      <c r="AD602">
        <f>IF(AND(Q602&lt;&gt;"",ISNUMBER(M602)),M602,"")</f>
        <v/>
      </c>
    </row>
    <row r="603">
      <c r="A603" s="1" t="n"/>
      <c r="B603" s="17" t="n"/>
      <c r="C603" s="27" t="n"/>
      <c r="D603" s="28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9" t="n"/>
      <c r="N603" s="21" t="n"/>
      <c r="O603" s="12">
        <f>IF(AND(B603="",C603=""),"",IF(NOT(ISNUMBER(B603)),"Needs a date",IF(C603="","Needs a client",IF(COUNTIF(Clients!$B$6:$B$105,C603)=0,"Not on Clients",IF(COUNT(D603:M603)=0,"Nothing measured","")))))</f>
        <v/>
      </c>
      <c r="P603" s="1">
        <f>IF(AND(O603="",ISNUMBER(B603)),INT(B603),0)</f>
        <v/>
      </c>
      <c r="Q603">
        <f>IF(AND(P603&gt;0,C603=Report!$C$5),P603*10000+ROW(),"")</f>
        <v/>
      </c>
      <c r="R603">
        <f>IF(AND(Q603&lt;&gt;"",ISNUMBER(D603)),Q603,"")</f>
        <v/>
      </c>
      <c r="S603">
        <f>IF(AND(Q603&lt;&gt;"",ISNUMBER(E603)),Q603,"")</f>
        <v/>
      </c>
      <c r="T603">
        <f>IF(AND(Q603&lt;&gt;"",ISNUMBER(F603)),Q603,"")</f>
        <v/>
      </c>
      <c r="U603">
        <f>IF(AND(Q603&lt;&gt;"",ISNUMBER(G603)),Q603,"")</f>
        <v/>
      </c>
      <c r="V603">
        <f>IF(AND(Q603&lt;&gt;"",ISNUMBER(H603)),Q603,"")</f>
        <v/>
      </c>
      <c r="W603">
        <f>IF(AND(Q603&lt;&gt;"",ISNUMBER(I603)),Q603,"")</f>
        <v/>
      </c>
      <c r="X603">
        <f>IF(AND(Q603&lt;&gt;"",ISNUMBER(J603)),Q603,"")</f>
        <v/>
      </c>
      <c r="Y603">
        <f>IF(AND(Q603&lt;&gt;"",ISNUMBER(K603)),Q603,"")</f>
        <v/>
      </c>
      <c r="Z603">
        <f>IF(AND(Q603&lt;&gt;"",ISNUMBER(L603)),Q603,"")</f>
        <v/>
      </c>
      <c r="AA603">
        <f>IF(AND(Q603&lt;&gt;"",ISNUMBER(M603)),Q603,"")</f>
        <v/>
      </c>
      <c r="AB603">
        <f>IF(AND(Q603&lt;&gt;"",ISNUMBER(K603)),K603,"")</f>
        <v/>
      </c>
      <c r="AC603">
        <f>IF(AND(Q603&lt;&gt;"",ISNUMBER(L603)),L603,"")</f>
        <v/>
      </c>
      <c r="AD603">
        <f>IF(AND(Q603&lt;&gt;"",ISNUMBER(M603)),M603,"")</f>
        <v/>
      </c>
    </row>
    <row r="604">
      <c r="A604" s="1" t="n"/>
      <c r="B604" s="17" t="n"/>
      <c r="C604" s="27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9" t="n"/>
      <c r="N604" s="21" t="n"/>
      <c r="O604" s="12">
        <f>IF(AND(B604="",C604=""),"",IF(NOT(ISNUMBER(B604)),"Needs a date",IF(C604="","Needs a client",IF(COUNTIF(Clients!$B$6:$B$105,C604)=0,"Not on Clients",IF(COUNT(D604:M604)=0,"Nothing measured","")))))</f>
        <v/>
      </c>
      <c r="P604" s="1">
        <f>IF(AND(O604="",ISNUMBER(B604)),INT(B604),0)</f>
        <v/>
      </c>
      <c r="Q604">
        <f>IF(AND(P604&gt;0,C604=Report!$C$5),P604*10000+ROW(),"")</f>
        <v/>
      </c>
      <c r="R604">
        <f>IF(AND(Q604&lt;&gt;"",ISNUMBER(D604)),Q604,"")</f>
        <v/>
      </c>
      <c r="S604">
        <f>IF(AND(Q604&lt;&gt;"",ISNUMBER(E604)),Q604,"")</f>
        <v/>
      </c>
      <c r="T604">
        <f>IF(AND(Q604&lt;&gt;"",ISNUMBER(F604)),Q604,"")</f>
        <v/>
      </c>
      <c r="U604">
        <f>IF(AND(Q604&lt;&gt;"",ISNUMBER(G604)),Q604,"")</f>
        <v/>
      </c>
      <c r="V604">
        <f>IF(AND(Q604&lt;&gt;"",ISNUMBER(H604)),Q604,"")</f>
        <v/>
      </c>
      <c r="W604">
        <f>IF(AND(Q604&lt;&gt;"",ISNUMBER(I604)),Q604,"")</f>
        <v/>
      </c>
      <c r="X604">
        <f>IF(AND(Q604&lt;&gt;"",ISNUMBER(J604)),Q604,"")</f>
        <v/>
      </c>
      <c r="Y604">
        <f>IF(AND(Q604&lt;&gt;"",ISNUMBER(K604)),Q604,"")</f>
        <v/>
      </c>
      <c r="Z604">
        <f>IF(AND(Q604&lt;&gt;"",ISNUMBER(L604)),Q604,"")</f>
        <v/>
      </c>
      <c r="AA604">
        <f>IF(AND(Q604&lt;&gt;"",ISNUMBER(M604)),Q604,"")</f>
        <v/>
      </c>
      <c r="AB604">
        <f>IF(AND(Q604&lt;&gt;"",ISNUMBER(K604)),K604,"")</f>
        <v/>
      </c>
      <c r="AC604">
        <f>IF(AND(Q604&lt;&gt;"",ISNUMBER(L604)),L604,"")</f>
        <v/>
      </c>
      <c r="AD604">
        <f>IF(AND(Q604&lt;&gt;"",ISNUMBER(M604)),M604,"")</f>
        <v/>
      </c>
    </row>
    <row r="605">
      <c r="A605" s="1" t="n"/>
      <c r="B605" s="17" t="n"/>
      <c r="C605" s="27" t="n"/>
      <c r="D605" s="28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9" t="n"/>
      <c r="N605" s="21" t="n"/>
      <c r="O605" s="12">
        <f>IF(AND(B605="",C605=""),"",IF(NOT(ISNUMBER(B605)),"Needs a date",IF(C605="","Needs a client",IF(COUNTIF(Clients!$B$6:$B$105,C605)=0,"Not on Clients",IF(COUNT(D605:M605)=0,"Nothing measured","")))))</f>
        <v/>
      </c>
      <c r="P605" s="1">
        <f>IF(AND(O605="",ISNUMBER(B605)),INT(B605),0)</f>
        <v/>
      </c>
      <c r="Q605">
        <f>IF(AND(P605&gt;0,C605=Report!$C$5),P605*10000+ROW(),"")</f>
        <v/>
      </c>
      <c r="R605">
        <f>IF(AND(Q605&lt;&gt;"",ISNUMBER(D605)),Q605,"")</f>
        <v/>
      </c>
      <c r="S605">
        <f>IF(AND(Q605&lt;&gt;"",ISNUMBER(E605)),Q605,"")</f>
        <v/>
      </c>
      <c r="T605">
        <f>IF(AND(Q605&lt;&gt;"",ISNUMBER(F605)),Q605,"")</f>
        <v/>
      </c>
      <c r="U605">
        <f>IF(AND(Q605&lt;&gt;"",ISNUMBER(G605)),Q605,"")</f>
        <v/>
      </c>
      <c r="V605">
        <f>IF(AND(Q605&lt;&gt;"",ISNUMBER(H605)),Q605,"")</f>
        <v/>
      </c>
      <c r="W605">
        <f>IF(AND(Q605&lt;&gt;"",ISNUMBER(I605)),Q605,"")</f>
        <v/>
      </c>
      <c r="X605">
        <f>IF(AND(Q605&lt;&gt;"",ISNUMBER(J605)),Q605,"")</f>
        <v/>
      </c>
      <c r="Y605">
        <f>IF(AND(Q605&lt;&gt;"",ISNUMBER(K605)),Q605,"")</f>
        <v/>
      </c>
      <c r="Z605">
        <f>IF(AND(Q605&lt;&gt;"",ISNUMBER(L605)),Q605,"")</f>
        <v/>
      </c>
      <c r="AA605">
        <f>IF(AND(Q605&lt;&gt;"",ISNUMBER(M605)),Q605,"")</f>
        <v/>
      </c>
      <c r="AB605">
        <f>IF(AND(Q605&lt;&gt;"",ISNUMBER(K605)),K605,"")</f>
        <v/>
      </c>
      <c r="AC605">
        <f>IF(AND(Q605&lt;&gt;"",ISNUMBER(L605)),L605,"")</f>
        <v/>
      </c>
      <c r="AD605">
        <f>IF(AND(Q605&lt;&gt;"",ISNUMBER(M605)),M605,"")</f>
        <v/>
      </c>
    </row>
    <row r="606">
      <c r="A606" s="1" t="n"/>
      <c r="B606" s="17" t="n"/>
      <c r="C606" s="27" t="n"/>
      <c r="D606" s="28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9" t="n"/>
      <c r="N606" s="21" t="n"/>
      <c r="O606" s="12">
        <f>IF(AND(B606="",C606=""),"",IF(NOT(ISNUMBER(B606)),"Needs a date",IF(C606="","Needs a client",IF(COUNTIF(Clients!$B$6:$B$105,C606)=0,"Not on Clients",IF(COUNT(D606:M606)=0,"Nothing measured","")))))</f>
        <v/>
      </c>
      <c r="P606" s="1">
        <f>IF(AND(O606="",ISNUMBER(B606)),INT(B606),0)</f>
        <v/>
      </c>
      <c r="Q606">
        <f>IF(AND(P606&gt;0,C606=Report!$C$5),P606*10000+ROW(),"")</f>
        <v/>
      </c>
      <c r="R606">
        <f>IF(AND(Q606&lt;&gt;"",ISNUMBER(D606)),Q606,"")</f>
        <v/>
      </c>
      <c r="S606">
        <f>IF(AND(Q606&lt;&gt;"",ISNUMBER(E606)),Q606,"")</f>
        <v/>
      </c>
      <c r="T606">
        <f>IF(AND(Q606&lt;&gt;"",ISNUMBER(F606)),Q606,"")</f>
        <v/>
      </c>
      <c r="U606">
        <f>IF(AND(Q606&lt;&gt;"",ISNUMBER(G606)),Q606,"")</f>
        <v/>
      </c>
      <c r="V606">
        <f>IF(AND(Q606&lt;&gt;"",ISNUMBER(H606)),Q606,"")</f>
        <v/>
      </c>
      <c r="W606">
        <f>IF(AND(Q606&lt;&gt;"",ISNUMBER(I606)),Q606,"")</f>
        <v/>
      </c>
      <c r="X606">
        <f>IF(AND(Q606&lt;&gt;"",ISNUMBER(J606)),Q606,"")</f>
        <v/>
      </c>
      <c r="Y606">
        <f>IF(AND(Q606&lt;&gt;"",ISNUMBER(K606)),Q606,"")</f>
        <v/>
      </c>
      <c r="Z606">
        <f>IF(AND(Q606&lt;&gt;"",ISNUMBER(L606)),Q606,"")</f>
        <v/>
      </c>
      <c r="AA606">
        <f>IF(AND(Q606&lt;&gt;"",ISNUMBER(M606)),Q606,"")</f>
        <v/>
      </c>
      <c r="AB606">
        <f>IF(AND(Q606&lt;&gt;"",ISNUMBER(K606)),K606,"")</f>
        <v/>
      </c>
      <c r="AC606">
        <f>IF(AND(Q606&lt;&gt;"",ISNUMBER(L606)),L606,"")</f>
        <v/>
      </c>
      <c r="AD606">
        <f>IF(AND(Q606&lt;&gt;"",ISNUMBER(M606)),M606,"")</f>
        <v/>
      </c>
    </row>
    <row r="607">
      <c r="A607" s="1" t="n"/>
      <c r="B607" s="17" t="n"/>
      <c r="C607" s="27" t="n"/>
      <c r="D607" s="28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9" t="n"/>
      <c r="N607" s="21" t="n"/>
      <c r="O607" s="12">
        <f>IF(AND(B607="",C607=""),"",IF(NOT(ISNUMBER(B607)),"Needs a date",IF(C607="","Needs a client",IF(COUNTIF(Clients!$B$6:$B$105,C607)=0,"Not on Clients",IF(COUNT(D607:M607)=0,"Nothing measured","")))))</f>
        <v/>
      </c>
      <c r="P607" s="1">
        <f>IF(AND(O607="",ISNUMBER(B607)),INT(B607),0)</f>
        <v/>
      </c>
      <c r="Q607">
        <f>IF(AND(P607&gt;0,C607=Report!$C$5),P607*10000+ROW(),"")</f>
        <v/>
      </c>
      <c r="R607">
        <f>IF(AND(Q607&lt;&gt;"",ISNUMBER(D607)),Q607,"")</f>
        <v/>
      </c>
      <c r="S607">
        <f>IF(AND(Q607&lt;&gt;"",ISNUMBER(E607)),Q607,"")</f>
        <v/>
      </c>
      <c r="T607">
        <f>IF(AND(Q607&lt;&gt;"",ISNUMBER(F607)),Q607,"")</f>
        <v/>
      </c>
      <c r="U607">
        <f>IF(AND(Q607&lt;&gt;"",ISNUMBER(G607)),Q607,"")</f>
        <v/>
      </c>
      <c r="V607">
        <f>IF(AND(Q607&lt;&gt;"",ISNUMBER(H607)),Q607,"")</f>
        <v/>
      </c>
      <c r="W607">
        <f>IF(AND(Q607&lt;&gt;"",ISNUMBER(I607)),Q607,"")</f>
        <v/>
      </c>
      <c r="X607">
        <f>IF(AND(Q607&lt;&gt;"",ISNUMBER(J607)),Q607,"")</f>
        <v/>
      </c>
      <c r="Y607">
        <f>IF(AND(Q607&lt;&gt;"",ISNUMBER(K607)),Q607,"")</f>
        <v/>
      </c>
      <c r="Z607">
        <f>IF(AND(Q607&lt;&gt;"",ISNUMBER(L607)),Q607,"")</f>
        <v/>
      </c>
      <c r="AA607">
        <f>IF(AND(Q607&lt;&gt;"",ISNUMBER(M607)),Q607,"")</f>
        <v/>
      </c>
      <c r="AB607">
        <f>IF(AND(Q607&lt;&gt;"",ISNUMBER(K607)),K607,"")</f>
        <v/>
      </c>
      <c r="AC607">
        <f>IF(AND(Q607&lt;&gt;"",ISNUMBER(L607)),L607,"")</f>
        <v/>
      </c>
      <c r="AD607">
        <f>IF(AND(Q607&lt;&gt;"",ISNUMBER(M607)),M607,"")</f>
        <v/>
      </c>
    </row>
    <row r="608">
      <c r="A608" s="1" t="n"/>
      <c r="B608" s="17" t="n"/>
      <c r="C608" s="27" t="n"/>
      <c r="D608" s="28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9" t="n"/>
      <c r="N608" s="21" t="n"/>
      <c r="O608" s="12">
        <f>IF(AND(B608="",C608=""),"",IF(NOT(ISNUMBER(B608)),"Needs a date",IF(C608="","Needs a client",IF(COUNTIF(Clients!$B$6:$B$105,C608)=0,"Not on Clients",IF(COUNT(D608:M608)=0,"Nothing measured","")))))</f>
        <v/>
      </c>
      <c r="P608" s="1">
        <f>IF(AND(O608="",ISNUMBER(B608)),INT(B608),0)</f>
        <v/>
      </c>
      <c r="Q608">
        <f>IF(AND(P608&gt;0,C608=Report!$C$5),P608*10000+ROW(),"")</f>
        <v/>
      </c>
      <c r="R608">
        <f>IF(AND(Q608&lt;&gt;"",ISNUMBER(D608)),Q608,"")</f>
        <v/>
      </c>
      <c r="S608">
        <f>IF(AND(Q608&lt;&gt;"",ISNUMBER(E608)),Q608,"")</f>
        <v/>
      </c>
      <c r="T608">
        <f>IF(AND(Q608&lt;&gt;"",ISNUMBER(F608)),Q608,"")</f>
        <v/>
      </c>
      <c r="U608">
        <f>IF(AND(Q608&lt;&gt;"",ISNUMBER(G608)),Q608,"")</f>
        <v/>
      </c>
      <c r="V608">
        <f>IF(AND(Q608&lt;&gt;"",ISNUMBER(H608)),Q608,"")</f>
        <v/>
      </c>
      <c r="W608">
        <f>IF(AND(Q608&lt;&gt;"",ISNUMBER(I608)),Q608,"")</f>
        <v/>
      </c>
      <c r="X608">
        <f>IF(AND(Q608&lt;&gt;"",ISNUMBER(J608)),Q608,"")</f>
        <v/>
      </c>
      <c r="Y608">
        <f>IF(AND(Q608&lt;&gt;"",ISNUMBER(K608)),Q608,"")</f>
        <v/>
      </c>
      <c r="Z608">
        <f>IF(AND(Q608&lt;&gt;"",ISNUMBER(L608)),Q608,"")</f>
        <v/>
      </c>
      <c r="AA608">
        <f>IF(AND(Q608&lt;&gt;"",ISNUMBER(M608)),Q608,"")</f>
        <v/>
      </c>
      <c r="AB608">
        <f>IF(AND(Q608&lt;&gt;"",ISNUMBER(K608)),K608,"")</f>
        <v/>
      </c>
      <c r="AC608">
        <f>IF(AND(Q608&lt;&gt;"",ISNUMBER(L608)),L608,"")</f>
        <v/>
      </c>
      <c r="AD608">
        <f>IF(AND(Q608&lt;&gt;"",ISNUMBER(M608)),M608,"")</f>
        <v/>
      </c>
    </row>
    <row r="609">
      <c r="A609" s="1" t="n"/>
      <c r="B609" s="17" t="n"/>
      <c r="C609" s="27" t="n"/>
      <c r="D609" s="28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9" t="n"/>
      <c r="N609" s="21" t="n"/>
      <c r="O609" s="12">
        <f>IF(AND(B609="",C609=""),"",IF(NOT(ISNUMBER(B609)),"Needs a date",IF(C609="","Needs a client",IF(COUNTIF(Clients!$B$6:$B$105,C609)=0,"Not on Clients",IF(COUNT(D609:M609)=0,"Nothing measured","")))))</f>
        <v/>
      </c>
      <c r="P609" s="1">
        <f>IF(AND(O609="",ISNUMBER(B609)),INT(B609),0)</f>
        <v/>
      </c>
      <c r="Q609">
        <f>IF(AND(P609&gt;0,C609=Report!$C$5),P609*10000+ROW(),"")</f>
        <v/>
      </c>
      <c r="R609">
        <f>IF(AND(Q609&lt;&gt;"",ISNUMBER(D609)),Q609,"")</f>
        <v/>
      </c>
      <c r="S609">
        <f>IF(AND(Q609&lt;&gt;"",ISNUMBER(E609)),Q609,"")</f>
        <v/>
      </c>
      <c r="T609">
        <f>IF(AND(Q609&lt;&gt;"",ISNUMBER(F609)),Q609,"")</f>
        <v/>
      </c>
      <c r="U609">
        <f>IF(AND(Q609&lt;&gt;"",ISNUMBER(G609)),Q609,"")</f>
        <v/>
      </c>
      <c r="V609">
        <f>IF(AND(Q609&lt;&gt;"",ISNUMBER(H609)),Q609,"")</f>
        <v/>
      </c>
      <c r="W609">
        <f>IF(AND(Q609&lt;&gt;"",ISNUMBER(I609)),Q609,"")</f>
        <v/>
      </c>
      <c r="X609">
        <f>IF(AND(Q609&lt;&gt;"",ISNUMBER(J609)),Q609,"")</f>
        <v/>
      </c>
      <c r="Y609">
        <f>IF(AND(Q609&lt;&gt;"",ISNUMBER(K609)),Q609,"")</f>
        <v/>
      </c>
      <c r="Z609">
        <f>IF(AND(Q609&lt;&gt;"",ISNUMBER(L609)),Q609,"")</f>
        <v/>
      </c>
      <c r="AA609">
        <f>IF(AND(Q609&lt;&gt;"",ISNUMBER(M609)),Q609,"")</f>
        <v/>
      </c>
      <c r="AB609">
        <f>IF(AND(Q609&lt;&gt;"",ISNUMBER(K609)),K609,"")</f>
        <v/>
      </c>
      <c r="AC609">
        <f>IF(AND(Q609&lt;&gt;"",ISNUMBER(L609)),L609,"")</f>
        <v/>
      </c>
      <c r="AD609">
        <f>IF(AND(Q609&lt;&gt;"",ISNUMBER(M609)),M609,"")</f>
        <v/>
      </c>
    </row>
    <row r="610">
      <c r="A610" s="1" t="n"/>
      <c r="B610" s="17" t="n"/>
      <c r="C610" s="27" t="n"/>
      <c r="D610" s="28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9" t="n"/>
      <c r="N610" s="21" t="n"/>
      <c r="O610" s="12">
        <f>IF(AND(B610="",C610=""),"",IF(NOT(ISNUMBER(B610)),"Needs a date",IF(C610="","Needs a client",IF(COUNTIF(Clients!$B$6:$B$105,C610)=0,"Not on Clients",IF(COUNT(D610:M610)=0,"Nothing measured","")))))</f>
        <v/>
      </c>
      <c r="P610" s="1">
        <f>IF(AND(O610="",ISNUMBER(B610)),INT(B610),0)</f>
        <v/>
      </c>
      <c r="Q610">
        <f>IF(AND(P610&gt;0,C610=Report!$C$5),P610*10000+ROW(),"")</f>
        <v/>
      </c>
      <c r="R610">
        <f>IF(AND(Q610&lt;&gt;"",ISNUMBER(D610)),Q610,"")</f>
        <v/>
      </c>
      <c r="S610">
        <f>IF(AND(Q610&lt;&gt;"",ISNUMBER(E610)),Q610,"")</f>
        <v/>
      </c>
      <c r="T610">
        <f>IF(AND(Q610&lt;&gt;"",ISNUMBER(F610)),Q610,"")</f>
        <v/>
      </c>
      <c r="U610">
        <f>IF(AND(Q610&lt;&gt;"",ISNUMBER(G610)),Q610,"")</f>
        <v/>
      </c>
      <c r="V610">
        <f>IF(AND(Q610&lt;&gt;"",ISNUMBER(H610)),Q610,"")</f>
        <v/>
      </c>
      <c r="W610">
        <f>IF(AND(Q610&lt;&gt;"",ISNUMBER(I610)),Q610,"")</f>
        <v/>
      </c>
      <c r="X610">
        <f>IF(AND(Q610&lt;&gt;"",ISNUMBER(J610)),Q610,"")</f>
        <v/>
      </c>
      <c r="Y610">
        <f>IF(AND(Q610&lt;&gt;"",ISNUMBER(K610)),Q610,"")</f>
        <v/>
      </c>
      <c r="Z610">
        <f>IF(AND(Q610&lt;&gt;"",ISNUMBER(L610)),Q610,"")</f>
        <v/>
      </c>
      <c r="AA610">
        <f>IF(AND(Q610&lt;&gt;"",ISNUMBER(M610)),Q610,"")</f>
        <v/>
      </c>
      <c r="AB610">
        <f>IF(AND(Q610&lt;&gt;"",ISNUMBER(K610)),K610,"")</f>
        <v/>
      </c>
      <c r="AC610">
        <f>IF(AND(Q610&lt;&gt;"",ISNUMBER(L610)),L610,"")</f>
        <v/>
      </c>
      <c r="AD610">
        <f>IF(AND(Q610&lt;&gt;"",ISNUMBER(M610)),M610,"")</f>
        <v/>
      </c>
    </row>
    <row r="611">
      <c r="A611" s="1" t="n"/>
      <c r="B611" s="17" t="n"/>
      <c r="C611" s="27" t="n"/>
      <c r="D611" s="28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9" t="n"/>
      <c r="N611" s="21" t="n"/>
      <c r="O611" s="12">
        <f>IF(AND(B611="",C611=""),"",IF(NOT(ISNUMBER(B611)),"Needs a date",IF(C611="","Needs a client",IF(COUNTIF(Clients!$B$6:$B$105,C611)=0,"Not on Clients",IF(COUNT(D611:M611)=0,"Nothing measured","")))))</f>
        <v/>
      </c>
      <c r="P611" s="1">
        <f>IF(AND(O611="",ISNUMBER(B611)),INT(B611),0)</f>
        <v/>
      </c>
      <c r="Q611">
        <f>IF(AND(P611&gt;0,C611=Report!$C$5),P611*10000+ROW(),"")</f>
        <v/>
      </c>
      <c r="R611">
        <f>IF(AND(Q611&lt;&gt;"",ISNUMBER(D611)),Q611,"")</f>
        <v/>
      </c>
      <c r="S611">
        <f>IF(AND(Q611&lt;&gt;"",ISNUMBER(E611)),Q611,"")</f>
        <v/>
      </c>
      <c r="T611">
        <f>IF(AND(Q611&lt;&gt;"",ISNUMBER(F611)),Q611,"")</f>
        <v/>
      </c>
      <c r="U611">
        <f>IF(AND(Q611&lt;&gt;"",ISNUMBER(G611)),Q611,"")</f>
        <v/>
      </c>
      <c r="V611">
        <f>IF(AND(Q611&lt;&gt;"",ISNUMBER(H611)),Q611,"")</f>
        <v/>
      </c>
      <c r="W611">
        <f>IF(AND(Q611&lt;&gt;"",ISNUMBER(I611)),Q611,"")</f>
        <v/>
      </c>
      <c r="X611">
        <f>IF(AND(Q611&lt;&gt;"",ISNUMBER(J611)),Q611,"")</f>
        <v/>
      </c>
      <c r="Y611">
        <f>IF(AND(Q611&lt;&gt;"",ISNUMBER(K611)),Q611,"")</f>
        <v/>
      </c>
      <c r="Z611">
        <f>IF(AND(Q611&lt;&gt;"",ISNUMBER(L611)),Q611,"")</f>
        <v/>
      </c>
      <c r="AA611">
        <f>IF(AND(Q611&lt;&gt;"",ISNUMBER(M611)),Q611,"")</f>
        <v/>
      </c>
      <c r="AB611">
        <f>IF(AND(Q611&lt;&gt;"",ISNUMBER(K611)),K611,"")</f>
        <v/>
      </c>
      <c r="AC611">
        <f>IF(AND(Q611&lt;&gt;"",ISNUMBER(L611)),L611,"")</f>
        <v/>
      </c>
      <c r="AD611">
        <f>IF(AND(Q611&lt;&gt;"",ISNUMBER(M611)),M611,"")</f>
        <v/>
      </c>
    </row>
    <row r="612">
      <c r="A612" s="1" t="n"/>
      <c r="B612" s="17" t="n"/>
      <c r="C612" s="27" t="n"/>
      <c r="D612" s="28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9" t="n"/>
      <c r="N612" s="21" t="n"/>
      <c r="O612" s="12">
        <f>IF(AND(B612="",C612=""),"",IF(NOT(ISNUMBER(B612)),"Needs a date",IF(C612="","Needs a client",IF(COUNTIF(Clients!$B$6:$B$105,C612)=0,"Not on Clients",IF(COUNT(D612:M612)=0,"Nothing measured","")))))</f>
        <v/>
      </c>
      <c r="P612" s="1">
        <f>IF(AND(O612="",ISNUMBER(B612)),INT(B612),0)</f>
        <v/>
      </c>
      <c r="Q612">
        <f>IF(AND(P612&gt;0,C612=Report!$C$5),P612*10000+ROW(),"")</f>
        <v/>
      </c>
      <c r="R612">
        <f>IF(AND(Q612&lt;&gt;"",ISNUMBER(D612)),Q612,"")</f>
        <v/>
      </c>
      <c r="S612">
        <f>IF(AND(Q612&lt;&gt;"",ISNUMBER(E612)),Q612,"")</f>
        <v/>
      </c>
      <c r="T612">
        <f>IF(AND(Q612&lt;&gt;"",ISNUMBER(F612)),Q612,"")</f>
        <v/>
      </c>
      <c r="U612">
        <f>IF(AND(Q612&lt;&gt;"",ISNUMBER(G612)),Q612,"")</f>
        <v/>
      </c>
      <c r="V612">
        <f>IF(AND(Q612&lt;&gt;"",ISNUMBER(H612)),Q612,"")</f>
        <v/>
      </c>
      <c r="W612">
        <f>IF(AND(Q612&lt;&gt;"",ISNUMBER(I612)),Q612,"")</f>
        <v/>
      </c>
      <c r="X612">
        <f>IF(AND(Q612&lt;&gt;"",ISNUMBER(J612)),Q612,"")</f>
        <v/>
      </c>
      <c r="Y612">
        <f>IF(AND(Q612&lt;&gt;"",ISNUMBER(K612)),Q612,"")</f>
        <v/>
      </c>
      <c r="Z612">
        <f>IF(AND(Q612&lt;&gt;"",ISNUMBER(L612)),Q612,"")</f>
        <v/>
      </c>
      <c r="AA612">
        <f>IF(AND(Q612&lt;&gt;"",ISNUMBER(M612)),Q612,"")</f>
        <v/>
      </c>
      <c r="AB612">
        <f>IF(AND(Q612&lt;&gt;"",ISNUMBER(K612)),K612,"")</f>
        <v/>
      </c>
      <c r="AC612">
        <f>IF(AND(Q612&lt;&gt;"",ISNUMBER(L612)),L612,"")</f>
        <v/>
      </c>
      <c r="AD612">
        <f>IF(AND(Q612&lt;&gt;"",ISNUMBER(M612)),M612,"")</f>
        <v/>
      </c>
    </row>
    <row r="613">
      <c r="A613" s="1" t="n"/>
      <c r="B613" s="17" t="n"/>
      <c r="C613" s="27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9" t="n"/>
      <c r="N613" s="21" t="n"/>
      <c r="O613" s="12">
        <f>IF(AND(B613="",C613=""),"",IF(NOT(ISNUMBER(B613)),"Needs a date",IF(C613="","Needs a client",IF(COUNTIF(Clients!$B$6:$B$105,C613)=0,"Not on Clients",IF(COUNT(D613:M613)=0,"Nothing measured","")))))</f>
        <v/>
      </c>
      <c r="P613" s="1">
        <f>IF(AND(O613="",ISNUMBER(B613)),INT(B613),0)</f>
        <v/>
      </c>
      <c r="Q613">
        <f>IF(AND(P613&gt;0,C613=Report!$C$5),P613*10000+ROW(),"")</f>
        <v/>
      </c>
      <c r="R613">
        <f>IF(AND(Q613&lt;&gt;"",ISNUMBER(D613)),Q613,"")</f>
        <v/>
      </c>
      <c r="S613">
        <f>IF(AND(Q613&lt;&gt;"",ISNUMBER(E613)),Q613,"")</f>
        <v/>
      </c>
      <c r="T613">
        <f>IF(AND(Q613&lt;&gt;"",ISNUMBER(F613)),Q613,"")</f>
        <v/>
      </c>
      <c r="U613">
        <f>IF(AND(Q613&lt;&gt;"",ISNUMBER(G613)),Q613,"")</f>
        <v/>
      </c>
      <c r="V613">
        <f>IF(AND(Q613&lt;&gt;"",ISNUMBER(H613)),Q613,"")</f>
        <v/>
      </c>
      <c r="W613">
        <f>IF(AND(Q613&lt;&gt;"",ISNUMBER(I613)),Q613,"")</f>
        <v/>
      </c>
      <c r="X613">
        <f>IF(AND(Q613&lt;&gt;"",ISNUMBER(J613)),Q613,"")</f>
        <v/>
      </c>
      <c r="Y613">
        <f>IF(AND(Q613&lt;&gt;"",ISNUMBER(K613)),Q613,"")</f>
        <v/>
      </c>
      <c r="Z613">
        <f>IF(AND(Q613&lt;&gt;"",ISNUMBER(L613)),Q613,"")</f>
        <v/>
      </c>
      <c r="AA613">
        <f>IF(AND(Q613&lt;&gt;"",ISNUMBER(M613)),Q613,"")</f>
        <v/>
      </c>
      <c r="AB613">
        <f>IF(AND(Q613&lt;&gt;"",ISNUMBER(K613)),K613,"")</f>
        <v/>
      </c>
      <c r="AC613">
        <f>IF(AND(Q613&lt;&gt;"",ISNUMBER(L613)),L613,"")</f>
        <v/>
      </c>
      <c r="AD613">
        <f>IF(AND(Q613&lt;&gt;"",ISNUMBER(M613)),M613,"")</f>
        <v/>
      </c>
    </row>
    <row r="614">
      <c r="A614" s="1" t="n"/>
      <c r="B614" s="17" t="n"/>
      <c r="C614" s="27" t="n"/>
      <c r="D614" s="28" t="n"/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9" t="n"/>
      <c r="N614" s="21" t="n"/>
      <c r="O614" s="12">
        <f>IF(AND(B614="",C614=""),"",IF(NOT(ISNUMBER(B614)),"Needs a date",IF(C614="","Needs a client",IF(COUNTIF(Clients!$B$6:$B$105,C614)=0,"Not on Clients",IF(COUNT(D614:M614)=0,"Nothing measured","")))))</f>
        <v/>
      </c>
      <c r="P614" s="1">
        <f>IF(AND(O614="",ISNUMBER(B614)),INT(B614),0)</f>
        <v/>
      </c>
      <c r="Q614">
        <f>IF(AND(P614&gt;0,C614=Report!$C$5),P614*10000+ROW(),"")</f>
        <v/>
      </c>
      <c r="R614">
        <f>IF(AND(Q614&lt;&gt;"",ISNUMBER(D614)),Q614,"")</f>
        <v/>
      </c>
      <c r="S614">
        <f>IF(AND(Q614&lt;&gt;"",ISNUMBER(E614)),Q614,"")</f>
        <v/>
      </c>
      <c r="T614">
        <f>IF(AND(Q614&lt;&gt;"",ISNUMBER(F614)),Q614,"")</f>
        <v/>
      </c>
      <c r="U614">
        <f>IF(AND(Q614&lt;&gt;"",ISNUMBER(G614)),Q614,"")</f>
        <v/>
      </c>
      <c r="V614">
        <f>IF(AND(Q614&lt;&gt;"",ISNUMBER(H614)),Q614,"")</f>
        <v/>
      </c>
      <c r="W614">
        <f>IF(AND(Q614&lt;&gt;"",ISNUMBER(I614)),Q614,"")</f>
        <v/>
      </c>
      <c r="X614">
        <f>IF(AND(Q614&lt;&gt;"",ISNUMBER(J614)),Q614,"")</f>
        <v/>
      </c>
      <c r="Y614">
        <f>IF(AND(Q614&lt;&gt;"",ISNUMBER(K614)),Q614,"")</f>
        <v/>
      </c>
      <c r="Z614">
        <f>IF(AND(Q614&lt;&gt;"",ISNUMBER(L614)),Q614,"")</f>
        <v/>
      </c>
      <c r="AA614">
        <f>IF(AND(Q614&lt;&gt;"",ISNUMBER(M614)),Q614,"")</f>
        <v/>
      </c>
      <c r="AB614">
        <f>IF(AND(Q614&lt;&gt;"",ISNUMBER(K614)),K614,"")</f>
        <v/>
      </c>
      <c r="AC614">
        <f>IF(AND(Q614&lt;&gt;"",ISNUMBER(L614)),L614,"")</f>
        <v/>
      </c>
      <c r="AD614">
        <f>IF(AND(Q614&lt;&gt;"",ISNUMBER(M614)),M614,"")</f>
        <v/>
      </c>
    </row>
    <row r="615">
      <c r="A615" s="1" t="n"/>
      <c r="B615" s="17" t="n"/>
      <c r="C615" s="27" t="n"/>
      <c r="D615" s="28" t="n"/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9" t="n"/>
      <c r="N615" s="21" t="n"/>
      <c r="O615" s="12">
        <f>IF(AND(B615="",C615=""),"",IF(NOT(ISNUMBER(B615)),"Needs a date",IF(C615="","Needs a client",IF(COUNTIF(Clients!$B$6:$B$105,C615)=0,"Not on Clients",IF(COUNT(D615:M615)=0,"Nothing measured","")))))</f>
        <v/>
      </c>
      <c r="P615" s="1">
        <f>IF(AND(O615="",ISNUMBER(B615)),INT(B615),0)</f>
        <v/>
      </c>
      <c r="Q615">
        <f>IF(AND(P615&gt;0,C615=Report!$C$5),P615*10000+ROW(),"")</f>
        <v/>
      </c>
      <c r="R615">
        <f>IF(AND(Q615&lt;&gt;"",ISNUMBER(D615)),Q615,"")</f>
        <v/>
      </c>
      <c r="S615">
        <f>IF(AND(Q615&lt;&gt;"",ISNUMBER(E615)),Q615,"")</f>
        <v/>
      </c>
      <c r="T615">
        <f>IF(AND(Q615&lt;&gt;"",ISNUMBER(F615)),Q615,"")</f>
        <v/>
      </c>
      <c r="U615">
        <f>IF(AND(Q615&lt;&gt;"",ISNUMBER(G615)),Q615,"")</f>
        <v/>
      </c>
      <c r="V615">
        <f>IF(AND(Q615&lt;&gt;"",ISNUMBER(H615)),Q615,"")</f>
        <v/>
      </c>
      <c r="W615">
        <f>IF(AND(Q615&lt;&gt;"",ISNUMBER(I615)),Q615,"")</f>
        <v/>
      </c>
      <c r="X615">
        <f>IF(AND(Q615&lt;&gt;"",ISNUMBER(J615)),Q615,"")</f>
        <v/>
      </c>
      <c r="Y615">
        <f>IF(AND(Q615&lt;&gt;"",ISNUMBER(K615)),Q615,"")</f>
        <v/>
      </c>
      <c r="Z615">
        <f>IF(AND(Q615&lt;&gt;"",ISNUMBER(L615)),Q615,"")</f>
        <v/>
      </c>
      <c r="AA615">
        <f>IF(AND(Q615&lt;&gt;"",ISNUMBER(M615)),Q615,"")</f>
        <v/>
      </c>
      <c r="AB615">
        <f>IF(AND(Q615&lt;&gt;"",ISNUMBER(K615)),K615,"")</f>
        <v/>
      </c>
      <c r="AC615">
        <f>IF(AND(Q615&lt;&gt;"",ISNUMBER(L615)),L615,"")</f>
        <v/>
      </c>
      <c r="AD615">
        <f>IF(AND(Q615&lt;&gt;"",ISNUMBER(M615)),M615,"")</f>
        <v/>
      </c>
    </row>
    <row r="616">
      <c r="A616" s="1" t="n"/>
      <c r="B616" s="17" t="n"/>
      <c r="C616" s="27" t="n"/>
      <c r="D616" s="28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9" t="n"/>
      <c r="N616" s="21" t="n"/>
      <c r="O616" s="12">
        <f>IF(AND(B616="",C616=""),"",IF(NOT(ISNUMBER(B616)),"Needs a date",IF(C616="","Needs a client",IF(COUNTIF(Clients!$B$6:$B$105,C616)=0,"Not on Clients",IF(COUNT(D616:M616)=0,"Nothing measured","")))))</f>
        <v/>
      </c>
      <c r="P616" s="1">
        <f>IF(AND(O616="",ISNUMBER(B616)),INT(B616),0)</f>
        <v/>
      </c>
      <c r="Q616">
        <f>IF(AND(P616&gt;0,C616=Report!$C$5),P616*10000+ROW(),"")</f>
        <v/>
      </c>
      <c r="R616">
        <f>IF(AND(Q616&lt;&gt;"",ISNUMBER(D616)),Q616,"")</f>
        <v/>
      </c>
      <c r="S616">
        <f>IF(AND(Q616&lt;&gt;"",ISNUMBER(E616)),Q616,"")</f>
        <v/>
      </c>
      <c r="T616">
        <f>IF(AND(Q616&lt;&gt;"",ISNUMBER(F616)),Q616,"")</f>
        <v/>
      </c>
      <c r="U616">
        <f>IF(AND(Q616&lt;&gt;"",ISNUMBER(G616)),Q616,"")</f>
        <v/>
      </c>
      <c r="V616">
        <f>IF(AND(Q616&lt;&gt;"",ISNUMBER(H616)),Q616,"")</f>
        <v/>
      </c>
      <c r="W616">
        <f>IF(AND(Q616&lt;&gt;"",ISNUMBER(I616)),Q616,"")</f>
        <v/>
      </c>
      <c r="X616">
        <f>IF(AND(Q616&lt;&gt;"",ISNUMBER(J616)),Q616,"")</f>
        <v/>
      </c>
      <c r="Y616">
        <f>IF(AND(Q616&lt;&gt;"",ISNUMBER(K616)),Q616,"")</f>
        <v/>
      </c>
      <c r="Z616">
        <f>IF(AND(Q616&lt;&gt;"",ISNUMBER(L616)),Q616,"")</f>
        <v/>
      </c>
      <c r="AA616">
        <f>IF(AND(Q616&lt;&gt;"",ISNUMBER(M616)),Q616,"")</f>
        <v/>
      </c>
      <c r="AB616">
        <f>IF(AND(Q616&lt;&gt;"",ISNUMBER(K616)),K616,"")</f>
        <v/>
      </c>
      <c r="AC616">
        <f>IF(AND(Q616&lt;&gt;"",ISNUMBER(L616)),L616,"")</f>
        <v/>
      </c>
      <c r="AD616">
        <f>IF(AND(Q616&lt;&gt;"",ISNUMBER(M616)),M616,"")</f>
        <v/>
      </c>
    </row>
    <row r="617">
      <c r="A617" s="1" t="n"/>
      <c r="B617" s="17" t="n"/>
      <c r="C617" s="27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9" t="n"/>
      <c r="N617" s="21" t="n"/>
      <c r="O617" s="12">
        <f>IF(AND(B617="",C617=""),"",IF(NOT(ISNUMBER(B617)),"Needs a date",IF(C617="","Needs a client",IF(COUNTIF(Clients!$B$6:$B$105,C617)=0,"Not on Clients",IF(COUNT(D617:M617)=0,"Nothing measured","")))))</f>
        <v/>
      </c>
      <c r="P617" s="1">
        <f>IF(AND(O617="",ISNUMBER(B617)),INT(B617),0)</f>
        <v/>
      </c>
      <c r="Q617">
        <f>IF(AND(P617&gt;0,C617=Report!$C$5),P617*10000+ROW(),"")</f>
        <v/>
      </c>
      <c r="R617">
        <f>IF(AND(Q617&lt;&gt;"",ISNUMBER(D617)),Q617,"")</f>
        <v/>
      </c>
      <c r="S617">
        <f>IF(AND(Q617&lt;&gt;"",ISNUMBER(E617)),Q617,"")</f>
        <v/>
      </c>
      <c r="T617">
        <f>IF(AND(Q617&lt;&gt;"",ISNUMBER(F617)),Q617,"")</f>
        <v/>
      </c>
      <c r="U617">
        <f>IF(AND(Q617&lt;&gt;"",ISNUMBER(G617)),Q617,"")</f>
        <v/>
      </c>
      <c r="V617">
        <f>IF(AND(Q617&lt;&gt;"",ISNUMBER(H617)),Q617,"")</f>
        <v/>
      </c>
      <c r="W617">
        <f>IF(AND(Q617&lt;&gt;"",ISNUMBER(I617)),Q617,"")</f>
        <v/>
      </c>
      <c r="X617">
        <f>IF(AND(Q617&lt;&gt;"",ISNUMBER(J617)),Q617,"")</f>
        <v/>
      </c>
      <c r="Y617">
        <f>IF(AND(Q617&lt;&gt;"",ISNUMBER(K617)),Q617,"")</f>
        <v/>
      </c>
      <c r="Z617">
        <f>IF(AND(Q617&lt;&gt;"",ISNUMBER(L617)),Q617,"")</f>
        <v/>
      </c>
      <c r="AA617">
        <f>IF(AND(Q617&lt;&gt;"",ISNUMBER(M617)),Q617,"")</f>
        <v/>
      </c>
      <c r="AB617">
        <f>IF(AND(Q617&lt;&gt;"",ISNUMBER(K617)),K617,"")</f>
        <v/>
      </c>
      <c r="AC617">
        <f>IF(AND(Q617&lt;&gt;"",ISNUMBER(L617)),L617,"")</f>
        <v/>
      </c>
      <c r="AD617">
        <f>IF(AND(Q617&lt;&gt;"",ISNUMBER(M617)),M617,"")</f>
        <v/>
      </c>
    </row>
    <row r="618">
      <c r="A618" s="1" t="n"/>
      <c r="B618" s="17" t="n"/>
      <c r="C618" s="27" t="n"/>
      <c r="D618" s="28" t="n"/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9" t="n"/>
      <c r="N618" s="21" t="n"/>
      <c r="O618" s="12">
        <f>IF(AND(B618="",C618=""),"",IF(NOT(ISNUMBER(B618)),"Needs a date",IF(C618="","Needs a client",IF(COUNTIF(Clients!$B$6:$B$105,C618)=0,"Not on Clients",IF(COUNT(D618:M618)=0,"Nothing measured","")))))</f>
        <v/>
      </c>
      <c r="P618" s="1">
        <f>IF(AND(O618="",ISNUMBER(B618)),INT(B618),0)</f>
        <v/>
      </c>
      <c r="Q618">
        <f>IF(AND(P618&gt;0,C618=Report!$C$5),P618*10000+ROW(),"")</f>
        <v/>
      </c>
      <c r="R618">
        <f>IF(AND(Q618&lt;&gt;"",ISNUMBER(D618)),Q618,"")</f>
        <v/>
      </c>
      <c r="S618">
        <f>IF(AND(Q618&lt;&gt;"",ISNUMBER(E618)),Q618,"")</f>
        <v/>
      </c>
      <c r="T618">
        <f>IF(AND(Q618&lt;&gt;"",ISNUMBER(F618)),Q618,"")</f>
        <v/>
      </c>
      <c r="U618">
        <f>IF(AND(Q618&lt;&gt;"",ISNUMBER(G618)),Q618,"")</f>
        <v/>
      </c>
      <c r="V618">
        <f>IF(AND(Q618&lt;&gt;"",ISNUMBER(H618)),Q618,"")</f>
        <v/>
      </c>
      <c r="W618">
        <f>IF(AND(Q618&lt;&gt;"",ISNUMBER(I618)),Q618,"")</f>
        <v/>
      </c>
      <c r="X618">
        <f>IF(AND(Q618&lt;&gt;"",ISNUMBER(J618)),Q618,"")</f>
        <v/>
      </c>
      <c r="Y618">
        <f>IF(AND(Q618&lt;&gt;"",ISNUMBER(K618)),Q618,"")</f>
        <v/>
      </c>
      <c r="Z618">
        <f>IF(AND(Q618&lt;&gt;"",ISNUMBER(L618)),Q618,"")</f>
        <v/>
      </c>
      <c r="AA618">
        <f>IF(AND(Q618&lt;&gt;"",ISNUMBER(M618)),Q618,"")</f>
        <v/>
      </c>
      <c r="AB618">
        <f>IF(AND(Q618&lt;&gt;"",ISNUMBER(K618)),K618,"")</f>
        <v/>
      </c>
      <c r="AC618">
        <f>IF(AND(Q618&lt;&gt;"",ISNUMBER(L618)),L618,"")</f>
        <v/>
      </c>
      <c r="AD618">
        <f>IF(AND(Q618&lt;&gt;"",ISNUMBER(M618)),M618,"")</f>
        <v/>
      </c>
    </row>
    <row r="619">
      <c r="A619" s="1" t="n"/>
      <c r="B619" s="17" t="n"/>
      <c r="C619" s="27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9" t="n"/>
      <c r="N619" s="21" t="n"/>
      <c r="O619" s="12">
        <f>IF(AND(B619="",C619=""),"",IF(NOT(ISNUMBER(B619)),"Needs a date",IF(C619="","Needs a client",IF(COUNTIF(Clients!$B$6:$B$105,C619)=0,"Not on Clients",IF(COUNT(D619:M619)=0,"Nothing measured","")))))</f>
        <v/>
      </c>
      <c r="P619" s="1">
        <f>IF(AND(O619="",ISNUMBER(B619)),INT(B619),0)</f>
        <v/>
      </c>
      <c r="Q619">
        <f>IF(AND(P619&gt;0,C619=Report!$C$5),P619*10000+ROW(),"")</f>
        <v/>
      </c>
      <c r="R619">
        <f>IF(AND(Q619&lt;&gt;"",ISNUMBER(D619)),Q619,"")</f>
        <v/>
      </c>
      <c r="S619">
        <f>IF(AND(Q619&lt;&gt;"",ISNUMBER(E619)),Q619,"")</f>
        <v/>
      </c>
      <c r="T619">
        <f>IF(AND(Q619&lt;&gt;"",ISNUMBER(F619)),Q619,"")</f>
        <v/>
      </c>
      <c r="U619">
        <f>IF(AND(Q619&lt;&gt;"",ISNUMBER(G619)),Q619,"")</f>
        <v/>
      </c>
      <c r="V619">
        <f>IF(AND(Q619&lt;&gt;"",ISNUMBER(H619)),Q619,"")</f>
        <v/>
      </c>
      <c r="W619">
        <f>IF(AND(Q619&lt;&gt;"",ISNUMBER(I619)),Q619,"")</f>
        <v/>
      </c>
      <c r="X619">
        <f>IF(AND(Q619&lt;&gt;"",ISNUMBER(J619)),Q619,"")</f>
        <v/>
      </c>
      <c r="Y619">
        <f>IF(AND(Q619&lt;&gt;"",ISNUMBER(K619)),Q619,"")</f>
        <v/>
      </c>
      <c r="Z619">
        <f>IF(AND(Q619&lt;&gt;"",ISNUMBER(L619)),Q619,"")</f>
        <v/>
      </c>
      <c r="AA619">
        <f>IF(AND(Q619&lt;&gt;"",ISNUMBER(M619)),Q619,"")</f>
        <v/>
      </c>
      <c r="AB619">
        <f>IF(AND(Q619&lt;&gt;"",ISNUMBER(K619)),K619,"")</f>
        <v/>
      </c>
      <c r="AC619">
        <f>IF(AND(Q619&lt;&gt;"",ISNUMBER(L619)),L619,"")</f>
        <v/>
      </c>
      <c r="AD619">
        <f>IF(AND(Q619&lt;&gt;"",ISNUMBER(M619)),M619,"")</f>
        <v/>
      </c>
    </row>
    <row r="620">
      <c r="A620" s="1" t="n"/>
      <c r="B620" s="17" t="n"/>
      <c r="C620" s="27" t="n"/>
      <c r="D620" s="28" t="n"/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9" t="n"/>
      <c r="N620" s="21" t="n"/>
      <c r="O620" s="12">
        <f>IF(AND(B620="",C620=""),"",IF(NOT(ISNUMBER(B620)),"Needs a date",IF(C620="","Needs a client",IF(COUNTIF(Clients!$B$6:$B$105,C620)=0,"Not on Clients",IF(COUNT(D620:M620)=0,"Nothing measured","")))))</f>
        <v/>
      </c>
      <c r="P620" s="1">
        <f>IF(AND(O620="",ISNUMBER(B620)),INT(B620),0)</f>
        <v/>
      </c>
      <c r="Q620">
        <f>IF(AND(P620&gt;0,C620=Report!$C$5),P620*10000+ROW(),"")</f>
        <v/>
      </c>
      <c r="R620">
        <f>IF(AND(Q620&lt;&gt;"",ISNUMBER(D620)),Q620,"")</f>
        <v/>
      </c>
      <c r="S620">
        <f>IF(AND(Q620&lt;&gt;"",ISNUMBER(E620)),Q620,"")</f>
        <v/>
      </c>
      <c r="T620">
        <f>IF(AND(Q620&lt;&gt;"",ISNUMBER(F620)),Q620,"")</f>
        <v/>
      </c>
      <c r="U620">
        <f>IF(AND(Q620&lt;&gt;"",ISNUMBER(G620)),Q620,"")</f>
        <v/>
      </c>
      <c r="V620">
        <f>IF(AND(Q620&lt;&gt;"",ISNUMBER(H620)),Q620,"")</f>
        <v/>
      </c>
      <c r="W620">
        <f>IF(AND(Q620&lt;&gt;"",ISNUMBER(I620)),Q620,"")</f>
        <v/>
      </c>
      <c r="X620">
        <f>IF(AND(Q620&lt;&gt;"",ISNUMBER(J620)),Q620,"")</f>
        <v/>
      </c>
      <c r="Y620">
        <f>IF(AND(Q620&lt;&gt;"",ISNUMBER(K620)),Q620,"")</f>
        <v/>
      </c>
      <c r="Z620">
        <f>IF(AND(Q620&lt;&gt;"",ISNUMBER(L620)),Q620,"")</f>
        <v/>
      </c>
      <c r="AA620">
        <f>IF(AND(Q620&lt;&gt;"",ISNUMBER(M620)),Q620,"")</f>
        <v/>
      </c>
      <c r="AB620">
        <f>IF(AND(Q620&lt;&gt;"",ISNUMBER(K620)),K620,"")</f>
        <v/>
      </c>
      <c r="AC620">
        <f>IF(AND(Q620&lt;&gt;"",ISNUMBER(L620)),L620,"")</f>
        <v/>
      </c>
      <c r="AD620">
        <f>IF(AND(Q620&lt;&gt;"",ISNUMBER(M620)),M620,"")</f>
        <v/>
      </c>
    </row>
    <row r="621">
      <c r="A621" s="1" t="n"/>
      <c r="B621" s="17" t="n"/>
      <c r="C621" s="27" t="n"/>
      <c r="D621" s="28" t="n"/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9" t="n"/>
      <c r="N621" s="21" t="n"/>
      <c r="O621" s="12">
        <f>IF(AND(B621="",C621=""),"",IF(NOT(ISNUMBER(B621)),"Needs a date",IF(C621="","Needs a client",IF(COUNTIF(Clients!$B$6:$B$105,C621)=0,"Not on Clients",IF(COUNT(D621:M621)=0,"Nothing measured","")))))</f>
        <v/>
      </c>
      <c r="P621" s="1">
        <f>IF(AND(O621="",ISNUMBER(B621)),INT(B621),0)</f>
        <v/>
      </c>
      <c r="Q621">
        <f>IF(AND(P621&gt;0,C621=Report!$C$5),P621*10000+ROW(),"")</f>
        <v/>
      </c>
      <c r="R621">
        <f>IF(AND(Q621&lt;&gt;"",ISNUMBER(D621)),Q621,"")</f>
        <v/>
      </c>
      <c r="S621">
        <f>IF(AND(Q621&lt;&gt;"",ISNUMBER(E621)),Q621,"")</f>
        <v/>
      </c>
      <c r="T621">
        <f>IF(AND(Q621&lt;&gt;"",ISNUMBER(F621)),Q621,"")</f>
        <v/>
      </c>
      <c r="U621">
        <f>IF(AND(Q621&lt;&gt;"",ISNUMBER(G621)),Q621,"")</f>
        <v/>
      </c>
      <c r="V621">
        <f>IF(AND(Q621&lt;&gt;"",ISNUMBER(H621)),Q621,"")</f>
        <v/>
      </c>
      <c r="W621">
        <f>IF(AND(Q621&lt;&gt;"",ISNUMBER(I621)),Q621,"")</f>
        <v/>
      </c>
      <c r="X621">
        <f>IF(AND(Q621&lt;&gt;"",ISNUMBER(J621)),Q621,"")</f>
        <v/>
      </c>
      <c r="Y621">
        <f>IF(AND(Q621&lt;&gt;"",ISNUMBER(K621)),Q621,"")</f>
        <v/>
      </c>
      <c r="Z621">
        <f>IF(AND(Q621&lt;&gt;"",ISNUMBER(L621)),Q621,"")</f>
        <v/>
      </c>
      <c r="AA621">
        <f>IF(AND(Q621&lt;&gt;"",ISNUMBER(M621)),Q621,"")</f>
        <v/>
      </c>
      <c r="AB621">
        <f>IF(AND(Q621&lt;&gt;"",ISNUMBER(K621)),K621,"")</f>
        <v/>
      </c>
      <c r="AC621">
        <f>IF(AND(Q621&lt;&gt;"",ISNUMBER(L621)),L621,"")</f>
        <v/>
      </c>
      <c r="AD621">
        <f>IF(AND(Q621&lt;&gt;"",ISNUMBER(M621)),M621,"")</f>
        <v/>
      </c>
    </row>
    <row r="622">
      <c r="A622" s="1" t="n"/>
      <c r="B622" s="17" t="n"/>
      <c r="C622" s="27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9" t="n"/>
      <c r="N622" s="21" t="n"/>
      <c r="O622" s="12">
        <f>IF(AND(B622="",C622=""),"",IF(NOT(ISNUMBER(B622)),"Needs a date",IF(C622="","Needs a client",IF(COUNTIF(Clients!$B$6:$B$105,C622)=0,"Not on Clients",IF(COUNT(D622:M622)=0,"Nothing measured","")))))</f>
        <v/>
      </c>
      <c r="P622" s="1">
        <f>IF(AND(O622="",ISNUMBER(B622)),INT(B622),0)</f>
        <v/>
      </c>
      <c r="Q622">
        <f>IF(AND(P622&gt;0,C622=Report!$C$5),P622*10000+ROW(),"")</f>
        <v/>
      </c>
      <c r="R622">
        <f>IF(AND(Q622&lt;&gt;"",ISNUMBER(D622)),Q622,"")</f>
        <v/>
      </c>
      <c r="S622">
        <f>IF(AND(Q622&lt;&gt;"",ISNUMBER(E622)),Q622,"")</f>
        <v/>
      </c>
      <c r="T622">
        <f>IF(AND(Q622&lt;&gt;"",ISNUMBER(F622)),Q622,"")</f>
        <v/>
      </c>
      <c r="U622">
        <f>IF(AND(Q622&lt;&gt;"",ISNUMBER(G622)),Q622,"")</f>
        <v/>
      </c>
      <c r="V622">
        <f>IF(AND(Q622&lt;&gt;"",ISNUMBER(H622)),Q622,"")</f>
        <v/>
      </c>
      <c r="W622">
        <f>IF(AND(Q622&lt;&gt;"",ISNUMBER(I622)),Q622,"")</f>
        <v/>
      </c>
      <c r="X622">
        <f>IF(AND(Q622&lt;&gt;"",ISNUMBER(J622)),Q622,"")</f>
        <v/>
      </c>
      <c r="Y622">
        <f>IF(AND(Q622&lt;&gt;"",ISNUMBER(K622)),Q622,"")</f>
        <v/>
      </c>
      <c r="Z622">
        <f>IF(AND(Q622&lt;&gt;"",ISNUMBER(L622)),Q622,"")</f>
        <v/>
      </c>
      <c r="AA622">
        <f>IF(AND(Q622&lt;&gt;"",ISNUMBER(M622)),Q622,"")</f>
        <v/>
      </c>
      <c r="AB622">
        <f>IF(AND(Q622&lt;&gt;"",ISNUMBER(K622)),K622,"")</f>
        <v/>
      </c>
      <c r="AC622">
        <f>IF(AND(Q622&lt;&gt;"",ISNUMBER(L622)),L622,"")</f>
        <v/>
      </c>
      <c r="AD622">
        <f>IF(AND(Q622&lt;&gt;"",ISNUMBER(M622)),M622,"")</f>
        <v/>
      </c>
    </row>
    <row r="623">
      <c r="A623" s="1" t="n"/>
      <c r="B623" s="17" t="n"/>
      <c r="C623" s="27" t="n"/>
      <c r="D623" s="28" t="n"/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9" t="n"/>
      <c r="N623" s="21" t="n"/>
      <c r="O623" s="12">
        <f>IF(AND(B623="",C623=""),"",IF(NOT(ISNUMBER(B623)),"Needs a date",IF(C623="","Needs a client",IF(COUNTIF(Clients!$B$6:$B$105,C623)=0,"Not on Clients",IF(COUNT(D623:M623)=0,"Nothing measured","")))))</f>
        <v/>
      </c>
      <c r="P623" s="1">
        <f>IF(AND(O623="",ISNUMBER(B623)),INT(B623),0)</f>
        <v/>
      </c>
      <c r="Q623">
        <f>IF(AND(P623&gt;0,C623=Report!$C$5),P623*10000+ROW(),"")</f>
        <v/>
      </c>
      <c r="R623">
        <f>IF(AND(Q623&lt;&gt;"",ISNUMBER(D623)),Q623,"")</f>
        <v/>
      </c>
      <c r="S623">
        <f>IF(AND(Q623&lt;&gt;"",ISNUMBER(E623)),Q623,"")</f>
        <v/>
      </c>
      <c r="T623">
        <f>IF(AND(Q623&lt;&gt;"",ISNUMBER(F623)),Q623,"")</f>
        <v/>
      </c>
      <c r="U623">
        <f>IF(AND(Q623&lt;&gt;"",ISNUMBER(G623)),Q623,"")</f>
        <v/>
      </c>
      <c r="V623">
        <f>IF(AND(Q623&lt;&gt;"",ISNUMBER(H623)),Q623,"")</f>
        <v/>
      </c>
      <c r="W623">
        <f>IF(AND(Q623&lt;&gt;"",ISNUMBER(I623)),Q623,"")</f>
        <v/>
      </c>
      <c r="X623">
        <f>IF(AND(Q623&lt;&gt;"",ISNUMBER(J623)),Q623,"")</f>
        <v/>
      </c>
      <c r="Y623">
        <f>IF(AND(Q623&lt;&gt;"",ISNUMBER(K623)),Q623,"")</f>
        <v/>
      </c>
      <c r="Z623">
        <f>IF(AND(Q623&lt;&gt;"",ISNUMBER(L623)),Q623,"")</f>
        <v/>
      </c>
      <c r="AA623">
        <f>IF(AND(Q623&lt;&gt;"",ISNUMBER(M623)),Q623,"")</f>
        <v/>
      </c>
      <c r="AB623">
        <f>IF(AND(Q623&lt;&gt;"",ISNUMBER(K623)),K623,"")</f>
        <v/>
      </c>
      <c r="AC623">
        <f>IF(AND(Q623&lt;&gt;"",ISNUMBER(L623)),L623,"")</f>
        <v/>
      </c>
      <c r="AD623">
        <f>IF(AND(Q623&lt;&gt;"",ISNUMBER(M623)),M623,"")</f>
        <v/>
      </c>
    </row>
    <row r="624">
      <c r="A624" s="1" t="n"/>
      <c r="B624" s="17" t="n"/>
      <c r="C624" s="27" t="n"/>
      <c r="D624" s="28" t="n"/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9" t="n"/>
      <c r="N624" s="21" t="n"/>
      <c r="O624" s="12">
        <f>IF(AND(B624="",C624=""),"",IF(NOT(ISNUMBER(B624)),"Needs a date",IF(C624="","Needs a client",IF(COUNTIF(Clients!$B$6:$B$105,C624)=0,"Not on Clients",IF(COUNT(D624:M624)=0,"Nothing measured","")))))</f>
        <v/>
      </c>
      <c r="P624" s="1">
        <f>IF(AND(O624="",ISNUMBER(B624)),INT(B624),0)</f>
        <v/>
      </c>
      <c r="Q624">
        <f>IF(AND(P624&gt;0,C624=Report!$C$5),P624*10000+ROW(),"")</f>
        <v/>
      </c>
      <c r="R624">
        <f>IF(AND(Q624&lt;&gt;"",ISNUMBER(D624)),Q624,"")</f>
        <v/>
      </c>
      <c r="S624">
        <f>IF(AND(Q624&lt;&gt;"",ISNUMBER(E624)),Q624,"")</f>
        <v/>
      </c>
      <c r="T624">
        <f>IF(AND(Q624&lt;&gt;"",ISNUMBER(F624)),Q624,"")</f>
        <v/>
      </c>
      <c r="U624">
        <f>IF(AND(Q624&lt;&gt;"",ISNUMBER(G624)),Q624,"")</f>
        <v/>
      </c>
      <c r="V624">
        <f>IF(AND(Q624&lt;&gt;"",ISNUMBER(H624)),Q624,"")</f>
        <v/>
      </c>
      <c r="W624">
        <f>IF(AND(Q624&lt;&gt;"",ISNUMBER(I624)),Q624,"")</f>
        <v/>
      </c>
      <c r="X624">
        <f>IF(AND(Q624&lt;&gt;"",ISNUMBER(J624)),Q624,"")</f>
        <v/>
      </c>
      <c r="Y624">
        <f>IF(AND(Q624&lt;&gt;"",ISNUMBER(K624)),Q624,"")</f>
        <v/>
      </c>
      <c r="Z624">
        <f>IF(AND(Q624&lt;&gt;"",ISNUMBER(L624)),Q624,"")</f>
        <v/>
      </c>
      <c r="AA624">
        <f>IF(AND(Q624&lt;&gt;"",ISNUMBER(M624)),Q624,"")</f>
        <v/>
      </c>
      <c r="AB624">
        <f>IF(AND(Q624&lt;&gt;"",ISNUMBER(K624)),K624,"")</f>
        <v/>
      </c>
      <c r="AC624">
        <f>IF(AND(Q624&lt;&gt;"",ISNUMBER(L624)),L624,"")</f>
        <v/>
      </c>
      <c r="AD624">
        <f>IF(AND(Q624&lt;&gt;"",ISNUMBER(M624)),M624,"")</f>
        <v/>
      </c>
    </row>
    <row r="625">
      <c r="A625" s="1" t="n"/>
      <c r="B625" s="17" t="n"/>
      <c r="C625" s="27" t="n"/>
      <c r="D625" s="28" t="n"/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9" t="n"/>
      <c r="N625" s="21" t="n"/>
      <c r="O625" s="12">
        <f>IF(AND(B625="",C625=""),"",IF(NOT(ISNUMBER(B625)),"Needs a date",IF(C625="","Needs a client",IF(COUNTIF(Clients!$B$6:$B$105,C625)=0,"Not on Clients",IF(COUNT(D625:M625)=0,"Nothing measured","")))))</f>
        <v/>
      </c>
      <c r="P625" s="1">
        <f>IF(AND(O625="",ISNUMBER(B625)),INT(B625),0)</f>
        <v/>
      </c>
      <c r="Q625">
        <f>IF(AND(P625&gt;0,C625=Report!$C$5),P625*10000+ROW(),"")</f>
        <v/>
      </c>
      <c r="R625">
        <f>IF(AND(Q625&lt;&gt;"",ISNUMBER(D625)),Q625,"")</f>
        <v/>
      </c>
      <c r="S625">
        <f>IF(AND(Q625&lt;&gt;"",ISNUMBER(E625)),Q625,"")</f>
        <v/>
      </c>
      <c r="T625">
        <f>IF(AND(Q625&lt;&gt;"",ISNUMBER(F625)),Q625,"")</f>
        <v/>
      </c>
      <c r="U625">
        <f>IF(AND(Q625&lt;&gt;"",ISNUMBER(G625)),Q625,"")</f>
        <v/>
      </c>
      <c r="V625">
        <f>IF(AND(Q625&lt;&gt;"",ISNUMBER(H625)),Q625,"")</f>
        <v/>
      </c>
      <c r="W625">
        <f>IF(AND(Q625&lt;&gt;"",ISNUMBER(I625)),Q625,"")</f>
        <v/>
      </c>
      <c r="X625">
        <f>IF(AND(Q625&lt;&gt;"",ISNUMBER(J625)),Q625,"")</f>
        <v/>
      </c>
      <c r="Y625">
        <f>IF(AND(Q625&lt;&gt;"",ISNUMBER(K625)),Q625,"")</f>
        <v/>
      </c>
      <c r="Z625">
        <f>IF(AND(Q625&lt;&gt;"",ISNUMBER(L625)),Q625,"")</f>
        <v/>
      </c>
      <c r="AA625">
        <f>IF(AND(Q625&lt;&gt;"",ISNUMBER(M625)),Q625,"")</f>
        <v/>
      </c>
      <c r="AB625">
        <f>IF(AND(Q625&lt;&gt;"",ISNUMBER(K625)),K625,"")</f>
        <v/>
      </c>
      <c r="AC625">
        <f>IF(AND(Q625&lt;&gt;"",ISNUMBER(L625)),L625,"")</f>
        <v/>
      </c>
      <c r="AD625">
        <f>IF(AND(Q625&lt;&gt;"",ISNUMBER(M625)),M625,"")</f>
        <v/>
      </c>
    </row>
    <row r="626">
      <c r="A626" s="1" t="n"/>
      <c r="B626" s="17" t="n"/>
      <c r="C626" s="27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9" t="n"/>
      <c r="N626" s="21" t="n"/>
      <c r="O626" s="12">
        <f>IF(AND(B626="",C626=""),"",IF(NOT(ISNUMBER(B626)),"Needs a date",IF(C626="","Needs a client",IF(COUNTIF(Clients!$B$6:$B$105,C626)=0,"Not on Clients",IF(COUNT(D626:M626)=0,"Nothing measured","")))))</f>
        <v/>
      </c>
      <c r="P626" s="1">
        <f>IF(AND(O626="",ISNUMBER(B626)),INT(B626),0)</f>
        <v/>
      </c>
      <c r="Q626">
        <f>IF(AND(P626&gt;0,C626=Report!$C$5),P626*10000+ROW(),"")</f>
        <v/>
      </c>
      <c r="R626">
        <f>IF(AND(Q626&lt;&gt;"",ISNUMBER(D626)),Q626,"")</f>
        <v/>
      </c>
      <c r="S626">
        <f>IF(AND(Q626&lt;&gt;"",ISNUMBER(E626)),Q626,"")</f>
        <v/>
      </c>
      <c r="T626">
        <f>IF(AND(Q626&lt;&gt;"",ISNUMBER(F626)),Q626,"")</f>
        <v/>
      </c>
      <c r="U626">
        <f>IF(AND(Q626&lt;&gt;"",ISNUMBER(G626)),Q626,"")</f>
        <v/>
      </c>
      <c r="V626">
        <f>IF(AND(Q626&lt;&gt;"",ISNUMBER(H626)),Q626,"")</f>
        <v/>
      </c>
      <c r="W626">
        <f>IF(AND(Q626&lt;&gt;"",ISNUMBER(I626)),Q626,"")</f>
        <v/>
      </c>
      <c r="X626">
        <f>IF(AND(Q626&lt;&gt;"",ISNUMBER(J626)),Q626,"")</f>
        <v/>
      </c>
      <c r="Y626">
        <f>IF(AND(Q626&lt;&gt;"",ISNUMBER(K626)),Q626,"")</f>
        <v/>
      </c>
      <c r="Z626">
        <f>IF(AND(Q626&lt;&gt;"",ISNUMBER(L626)),Q626,"")</f>
        <v/>
      </c>
      <c r="AA626">
        <f>IF(AND(Q626&lt;&gt;"",ISNUMBER(M626)),Q626,"")</f>
        <v/>
      </c>
      <c r="AB626">
        <f>IF(AND(Q626&lt;&gt;"",ISNUMBER(K626)),K626,"")</f>
        <v/>
      </c>
      <c r="AC626">
        <f>IF(AND(Q626&lt;&gt;"",ISNUMBER(L626)),L626,"")</f>
        <v/>
      </c>
      <c r="AD626">
        <f>IF(AND(Q626&lt;&gt;"",ISNUMBER(M626)),M626,"")</f>
        <v/>
      </c>
    </row>
    <row r="627">
      <c r="A627" s="1" t="n"/>
      <c r="B627" s="17" t="n"/>
      <c r="C627" s="27" t="n"/>
      <c r="D627" s="28" t="n"/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9" t="n"/>
      <c r="N627" s="21" t="n"/>
      <c r="O627" s="12">
        <f>IF(AND(B627="",C627=""),"",IF(NOT(ISNUMBER(B627)),"Needs a date",IF(C627="","Needs a client",IF(COUNTIF(Clients!$B$6:$B$105,C627)=0,"Not on Clients",IF(COUNT(D627:M627)=0,"Nothing measured","")))))</f>
        <v/>
      </c>
      <c r="P627" s="1">
        <f>IF(AND(O627="",ISNUMBER(B627)),INT(B627),0)</f>
        <v/>
      </c>
      <c r="Q627">
        <f>IF(AND(P627&gt;0,C627=Report!$C$5),P627*10000+ROW(),"")</f>
        <v/>
      </c>
      <c r="R627">
        <f>IF(AND(Q627&lt;&gt;"",ISNUMBER(D627)),Q627,"")</f>
        <v/>
      </c>
      <c r="S627">
        <f>IF(AND(Q627&lt;&gt;"",ISNUMBER(E627)),Q627,"")</f>
        <v/>
      </c>
      <c r="T627">
        <f>IF(AND(Q627&lt;&gt;"",ISNUMBER(F627)),Q627,"")</f>
        <v/>
      </c>
      <c r="U627">
        <f>IF(AND(Q627&lt;&gt;"",ISNUMBER(G627)),Q627,"")</f>
        <v/>
      </c>
      <c r="V627">
        <f>IF(AND(Q627&lt;&gt;"",ISNUMBER(H627)),Q627,"")</f>
        <v/>
      </c>
      <c r="W627">
        <f>IF(AND(Q627&lt;&gt;"",ISNUMBER(I627)),Q627,"")</f>
        <v/>
      </c>
      <c r="X627">
        <f>IF(AND(Q627&lt;&gt;"",ISNUMBER(J627)),Q627,"")</f>
        <v/>
      </c>
      <c r="Y627">
        <f>IF(AND(Q627&lt;&gt;"",ISNUMBER(K627)),Q627,"")</f>
        <v/>
      </c>
      <c r="Z627">
        <f>IF(AND(Q627&lt;&gt;"",ISNUMBER(L627)),Q627,"")</f>
        <v/>
      </c>
      <c r="AA627">
        <f>IF(AND(Q627&lt;&gt;"",ISNUMBER(M627)),Q627,"")</f>
        <v/>
      </c>
      <c r="AB627">
        <f>IF(AND(Q627&lt;&gt;"",ISNUMBER(K627)),K627,"")</f>
        <v/>
      </c>
      <c r="AC627">
        <f>IF(AND(Q627&lt;&gt;"",ISNUMBER(L627)),L627,"")</f>
        <v/>
      </c>
      <c r="AD627">
        <f>IF(AND(Q627&lt;&gt;"",ISNUMBER(M627)),M627,"")</f>
        <v/>
      </c>
    </row>
    <row r="628">
      <c r="A628" s="1" t="n"/>
      <c r="B628" s="17" t="n"/>
      <c r="C628" s="27" t="n"/>
      <c r="D628" s="28" t="n"/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9" t="n"/>
      <c r="N628" s="21" t="n"/>
      <c r="O628" s="12">
        <f>IF(AND(B628="",C628=""),"",IF(NOT(ISNUMBER(B628)),"Needs a date",IF(C628="","Needs a client",IF(COUNTIF(Clients!$B$6:$B$105,C628)=0,"Not on Clients",IF(COUNT(D628:M628)=0,"Nothing measured","")))))</f>
        <v/>
      </c>
      <c r="P628" s="1">
        <f>IF(AND(O628="",ISNUMBER(B628)),INT(B628),0)</f>
        <v/>
      </c>
      <c r="Q628">
        <f>IF(AND(P628&gt;0,C628=Report!$C$5),P628*10000+ROW(),"")</f>
        <v/>
      </c>
      <c r="R628">
        <f>IF(AND(Q628&lt;&gt;"",ISNUMBER(D628)),Q628,"")</f>
        <v/>
      </c>
      <c r="S628">
        <f>IF(AND(Q628&lt;&gt;"",ISNUMBER(E628)),Q628,"")</f>
        <v/>
      </c>
      <c r="T628">
        <f>IF(AND(Q628&lt;&gt;"",ISNUMBER(F628)),Q628,"")</f>
        <v/>
      </c>
      <c r="U628">
        <f>IF(AND(Q628&lt;&gt;"",ISNUMBER(G628)),Q628,"")</f>
        <v/>
      </c>
      <c r="V628">
        <f>IF(AND(Q628&lt;&gt;"",ISNUMBER(H628)),Q628,"")</f>
        <v/>
      </c>
      <c r="W628">
        <f>IF(AND(Q628&lt;&gt;"",ISNUMBER(I628)),Q628,"")</f>
        <v/>
      </c>
      <c r="X628">
        <f>IF(AND(Q628&lt;&gt;"",ISNUMBER(J628)),Q628,"")</f>
        <v/>
      </c>
      <c r="Y628">
        <f>IF(AND(Q628&lt;&gt;"",ISNUMBER(K628)),Q628,"")</f>
        <v/>
      </c>
      <c r="Z628">
        <f>IF(AND(Q628&lt;&gt;"",ISNUMBER(L628)),Q628,"")</f>
        <v/>
      </c>
      <c r="AA628">
        <f>IF(AND(Q628&lt;&gt;"",ISNUMBER(M628)),Q628,"")</f>
        <v/>
      </c>
      <c r="AB628">
        <f>IF(AND(Q628&lt;&gt;"",ISNUMBER(K628)),K628,"")</f>
        <v/>
      </c>
      <c r="AC628">
        <f>IF(AND(Q628&lt;&gt;"",ISNUMBER(L628)),L628,"")</f>
        <v/>
      </c>
      <c r="AD628">
        <f>IF(AND(Q628&lt;&gt;"",ISNUMBER(M628)),M628,"")</f>
        <v/>
      </c>
    </row>
    <row r="629">
      <c r="A629" s="1" t="n"/>
      <c r="B629" s="17" t="n"/>
      <c r="C629" s="27" t="n"/>
      <c r="D629" s="28" t="n"/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9" t="n"/>
      <c r="N629" s="21" t="n"/>
      <c r="O629" s="12">
        <f>IF(AND(B629="",C629=""),"",IF(NOT(ISNUMBER(B629)),"Needs a date",IF(C629="","Needs a client",IF(COUNTIF(Clients!$B$6:$B$105,C629)=0,"Not on Clients",IF(COUNT(D629:M629)=0,"Nothing measured","")))))</f>
        <v/>
      </c>
      <c r="P629" s="1">
        <f>IF(AND(O629="",ISNUMBER(B629)),INT(B629),0)</f>
        <v/>
      </c>
      <c r="Q629">
        <f>IF(AND(P629&gt;0,C629=Report!$C$5),P629*10000+ROW(),"")</f>
        <v/>
      </c>
      <c r="R629">
        <f>IF(AND(Q629&lt;&gt;"",ISNUMBER(D629)),Q629,"")</f>
        <v/>
      </c>
      <c r="S629">
        <f>IF(AND(Q629&lt;&gt;"",ISNUMBER(E629)),Q629,"")</f>
        <v/>
      </c>
      <c r="T629">
        <f>IF(AND(Q629&lt;&gt;"",ISNUMBER(F629)),Q629,"")</f>
        <v/>
      </c>
      <c r="U629">
        <f>IF(AND(Q629&lt;&gt;"",ISNUMBER(G629)),Q629,"")</f>
        <v/>
      </c>
      <c r="V629">
        <f>IF(AND(Q629&lt;&gt;"",ISNUMBER(H629)),Q629,"")</f>
        <v/>
      </c>
      <c r="W629">
        <f>IF(AND(Q629&lt;&gt;"",ISNUMBER(I629)),Q629,"")</f>
        <v/>
      </c>
      <c r="X629">
        <f>IF(AND(Q629&lt;&gt;"",ISNUMBER(J629)),Q629,"")</f>
        <v/>
      </c>
      <c r="Y629">
        <f>IF(AND(Q629&lt;&gt;"",ISNUMBER(K629)),Q629,"")</f>
        <v/>
      </c>
      <c r="Z629">
        <f>IF(AND(Q629&lt;&gt;"",ISNUMBER(L629)),Q629,"")</f>
        <v/>
      </c>
      <c r="AA629">
        <f>IF(AND(Q629&lt;&gt;"",ISNUMBER(M629)),Q629,"")</f>
        <v/>
      </c>
      <c r="AB629">
        <f>IF(AND(Q629&lt;&gt;"",ISNUMBER(K629)),K629,"")</f>
        <v/>
      </c>
      <c r="AC629">
        <f>IF(AND(Q629&lt;&gt;"",ISNUMBER(L629)),L629,"")</f>
        <v/>
      </c>
      <c r="AD629">
        <f>IF(AND(Q629&lt;&gt;"",ISNUMBER(M629)),M629,"")</f>
        <v/>
      </c>
    </row>
    <row r="630">
      <c r="A630" s="1" t="n"/>
      <c r="B630" s="17" t="n"/>
      <c r="C630" s="27" t="n"/>
      <c r="D630" s="28" t="n"/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9" t="n"/>
      <c r="N630" s="21" t="n"/>
      <c r="O630" s="12">
        <f>IF(AND(B630="",C630=""),"",IF(NOT(ISNUMBER(B630)),"Needs a date",IF(C630="","Needs a client",IF(COUNTIF(Clients!$B$6:$B$105,C630)=0,"Not on Clients",IF(COUNT(D630:M630)=0,"Nothing measured","")))))</f>
        <v/>
      </c>
      <c r="P630" s="1">
        <f>IF(AND(O630="",ISNUMBER(B630)),INT(B630),0)</f>
        <v/>
      </c>
      <c r="Q630">
        <f>IF(AND(P630&gt;0,C630=Report!$C$5),P630*10000+ROW(),"")</f>
        <v/>
      </c>
      <c r="R630">
        <f>IF(AND(Q630&lt;&gt;"",ISNUMBER(D630)),Q630,"")</f>
        <v/>
      </c>
      <c r="S630">
        <f>IF(AND(Q630&lt;&gt;"",ISNUMBER(E630)),Q630,"")</f>
        <v/>
      </c>
      <c r="T630">
        <f>IF(AND(Q630&lt;&gt;"",ISNUMBER(F630)),Q630,"")</f>
        <v/>
      </c>
      <c r="U630">
        <f>IF(AND(Q630&lt;&gt;"",ISNUMBER(G630)),Q630,"")</f>
        <v/>
      </c>
      <c r="V630">
        <f>IF(AND(Q630&lt;&gt;"",ISNUMBER(H630)),Q630,"")</f>
        <v/>
      </c>
      <c r="W630">
        <f>IF(AND(Q630&lt;&gt;"",ISNUMBER(I630)),Q630,"")</f>
        <v/>
      </c>
      <c r="X630">
        <f>IF(AND(Q630&lt;&gt;"",ISNUMBER(J630)),Q630,"")</f>
        <v/>
      </c>
      <c r="Y630">
        <f>IF(AND(Q630&lt;&gt;"",ISNUMBER(K630)),Q630,"")</f>
        <v/>
      </c>
      <c r="Z630">
        <f>IF(AND(Q630&lt;&gt;"",ISNUMBER(L630)),Q630,"")</f>
        <v/>
      </c>
      <c r="AA630">
        <f>IF(AND(Q630&lt;&gt;"",ISNUMBER(M630)),Q630,"")</f>
        <v/>
      </c>
      <c r="AB630">
        <f>IF(AND(Q630&lt;&gt;"",ISNUMBER(K630)),K630,"")</f>
        <v/>
      </c>
      <c r="AC630">
        <f>IF(AND(Q630&lt;&gt;"",ISNUMBER(L630)),L630,"")</f>
        <v/>
      </c>
      <c r="AD630">
        <f>IF(AND(Q630&lt;&gt;"",ISNUMBER(M630)),M630,"")</f>
        <v/>
      </c>
    </row>
    <row r="631">
      <c r="A631" s="1" t="n"/>
      <c r="B631" s="17" t="n"/>
      <c r="C631" s="27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9" t="n"/>
      <c r="N631" s="21" t="n"/>
      <c r="O631" s="12">
        <f>IF(AND(B631="",C631=""),"",IF(NOT(ISNUMBER(B631)),"Needs a date",IF(C631="","Needs a client",IF(COUNTIF(Clients!$B$6:$B$105,C631)=0,"Not on Clients",IF(COUNT(D631:M631)=0,"Nothing measured","")))))</f>
        <v/>
      </c>
      <c r="P631" s="1">
        <f>IF(AND(O631="",ISNUMBER(B631)),INT(B631),0)</f>
        <v/>
      </c>
      <c r="Q631">
        <f>IF(AND(P631&gt;0,C631=Report!$C$5),P631*10000+ROW(),"")</f>
        <v/>
      </c>
      <c r="R631">
        <f>IF(AND(Q631&lt;&gt;"",ISNUMBER(D631)),Q631,"")</f>
        <v/>
      </c>
      <c r="S631">
        <f>IF(AND(Q631&lt;&gt;"",ISNUMBER(E631)),Q631,"")</f>
        <v/>
      </c>
      <c r="T631">
        <f>IF(AND(Q631&lt;&gt;"",ISNUMBER(F631)),Q631,"")</f>
        <v/>
      </c>
      <c r="U631">
        <f>IF(AND(Q631&lt;&gt;"",ISNUMBER(G631)),Q631,"")</f>
        <v/>
      </c>
      <c r="V631">
        <f>IF(AND(Q631&lt;&gt;"",ISNUMBER(H631)),Q631,"")</f>
        <v/>
      </c>
      <c r="W631">
        <f>IF(AND(Q631&lt;&gt;"",ISNUMBER(I631)),Q631,"")</f>
        <v/>
      </c>
      <c r="X631">
        <f>IF(AND(Q631&lt;&gt;"",ISNUMBER(J631)),Q631,"")</f>
        <v/>
      </c>
      <c r="Y631">
        <f>IF(AND(Q631&lt;&gt;"",ISNUMBER(K631)),Q631,"")</f>
        <v/>
      </c>
      <c r="Z631">
        <f>IF(AND(Q631&lt;&gt;"",ISNUMBER(L631)),Q631,"")</f>
        <v/>
      </c>
      <c r="AA631">
        <f>IF(AND(Q631&lt;&gt;"",ISNUMBER(M631)),Q631,"")</f>
        <v/>
      </c>
      <c r="AB631">
        <f>IF(AND(Q631&lt;&gt;"",ISNUMBER(K631)),K631,"")</f>
        <v/>
      </c>
      <c r="AC631">
        <f>IF(AND(Q631&lt;&gt;"",ISNUMBER(L631)),L631,"")</f>
        <v/>
      </c>
      <c r="AD631">
        <f>IF(AND(Q631&lt;&gt;"",ISNUMBER(M631)),M631,"")</f>
        <v/>
      </c>
    </row>
    <row r="632">
      <c r="A632" s="1" t="n"/>
      <c r="B632" s="17" t="n"/>
      <c r="C632" s="27" t="n"/>
      <c r="D632" s="28" t="n"/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9" t="n"/>
      <c r="N632" s="21" t="n"/>
      <c r="O632" s="12">
        <f>IF(AND(B632="",C632=""),"",IF(NOT(ISNUMBER(B632)),"Needs a date",IF(C632="","Needs a client",IF(COUNTIF(Clients!$B$6:$B$105,C632)=0,"Not on Clients",IF(COUNT(D632:M632)=0,"Nothing measured","")))))</f>
        <v/>
      </c>
      <c r="P632" s="1">
        <f>IF(AND(O632="",ISNUMBER(B632)),INT(B632),0)</f>
        <v/>
      </c>
      <c r="Q632">
        <f>IF(AND(P632&gt;0,C632=Report!$C$5),P632*10000+ROW(),"")</f>
        <v/>
      </c>
      <c r="R632">
        <f>IF(AND(Q632&lt;&gt;"",ISNUMBER(D632)),Q632,"")</f>
        <v/>
      </c>
      <c r="S632">
        <f>IF(AND(Q632&lt;&gt;"",ISNUMBER(E632)),Q632,"")</f>
        <v/>
      </c>
      <c r="T632">
        <f>IF(AND(Q632&lt;&gt;"",ISNUMBER(F632)),Q632,"")</f>
        <v/>
      </c>
      <c r="U632">
        <f>IF(AND(Q632&lt;&gt;"",ISNUMBER(G632)),Q632,"")</f>
        <v/>
      </c>
      <c r="V632">
        <f>IF(AND(Q632&lt;&gt;"",ISNUMBER(H632)),Q632,"")</f>
        <v/>
      </c>
      <c r="W632">
        <f>IF(AND(Q632&lt;&gt;"",ISNUMBER(I632)),Q632,"")</f>
        <v/>
      </c>
      <c r="X632">
        <f>IF(AND(Q632&lt;&gt;"",ISNUMBER(J632)),Q632,"")</f>
        <v/>
      </c>
      <c r="Y632">
        <f>IF(AND(Q632&lt;&gt;"",ISNUMBER(K632)),Q632,"")</f>
        <v/>
      </c>
      <c r="Z632">
        <f>IF(AND(Q632&lt;&gt;"",ISNUMBER(L632)),Q632,"")</f>
        <v/>
      </c>
      <c r="AA632">
        <f>IF(AND(Q632&lt;&gt;"",ISNUMBER(M632)),Q632,"")</f>
        <v/>
      </c>
      <c r="AB632">
        <f>IF(AND(Q632&lt;&gt;"",ISNUMBER(K632)),K632,"")</f>
        <v/>
      </c>
      <c r="AC632">
        <f>IF(AND(Q632&lt;&gt;"",ISNUMBER(L632)),L632,"")</f>
        <v/>
      </c>
      <c r="AD632">
        <f>IF(AND(Q632&lt;&gt;"",ISNUMBER(M632)),M632,"")</f>
        <v/>
      </c>
    </row>
    <row r="633">
      <c r="A633" s="1" t="n"/>
      <c r="B633" s="17" t="n"/>
      <c r="C633" s="27" t="n"/>
      <c r="D633" s="28" t="n"/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9" t="n"/>
      <c r="N633" s="21" t="n"/>
      <c r="O633" s="12">
        <f>IF(AND(B633="",C633=""),"",IF(NOT(ISNUMBER(B633)),"Needs a date",IF(C633="","Needs a client",IF(COUNTIF(Clients!$B$6:$B$105,C633)=0,"Not on Clients",IF(COUNT(D633:M633)=0,"Nothing measured","")))))</f>
        <v/>
      </c>
      <c r="P633" s="1">
        <f>IF(AND(O633="",ISNUMBER(B633)),INT(B633),0)</f>
        <v/>
      </c>
      <c r="Q633">
        <f>IF(AND(P633&gt;0,C633=Report!$C$5),P633*10000+ROW(),"")</f>
        <v/>
      </c>
      <c r="R633">
        <f>IF(AND(Q633&lt;&gt;"",ISNUMBER(D633)),Q633,"")</f>
        <v/>
      </c>
      <c r="S633">
        <f>IF(AND(Q633&lt;&gt;"",ISNUMBER(E633)),Q633,"")</f>
        <v/>
      </c>
      <c r="T633">
        <f>IF(AND(Q633&lt;&gt;"",ISNUMBER(F633)),Q633,"")</f>
        <v/>
      </c>
      <c r="U633">
        <f>IF(AND(Q633&lt;&gt;"",ISNUMBER(G633)),Q633,"")</f>
        <v/>
      </c>
      <c r="V633">
        <f>IF(AND(Q633&lt;&gt;"",ISNUMBER(H633)),Q633,"")</f>
        <v/>
      </c>
      <c r="W633">
        <f>IF(AND(Q633&lt;&gt;"",ISNUMBER(I633)),Q633,"")</f>
        <v/>
      </c>
      <c r="X633">
        <f>IF(AND(Q633&lt;&gt;"",ISNUMBER(J633)),Q633,"")</f>
        <v/>
      </c>
      <c r="Y633">
        <f>IF(AND(Q633&lt;&gt;"",ISNUMBER(K633)),Q633,"")</f>
        <v/>
      </c>
      <c r="Z633">
        <f>IF(AND(Q633&lt;&gt;"",ISNUMBER(L633)),Q633,"")</f>
        <v/>
      </c>
      <c r="AA633">
        <f>IF(AND(Q633&lt;&gt;"",ISNUMBER(M633)),Q633,"")</f>
        <v/>
      </c>
      <c r="AB633">
        <f>IF(AND(Q633&lt;&gt;"",ISNUMBER(K633)),K633,"")</f>
        <v/>
      </c>
      <c r="AC633">
        <f>IF(AND(Q633&lt;&gt;"",ISNUMBER(L633)),L633,"")</f>
        <v/>
      </c>
      <c r="AD633">
        <f>IF(AND(Q633&lt;&gt;"",ISNUMBER(M633)),M633,"")</f>
        <v/>
      </c>
    </row>
    <row r="634">
      <c r="A634" s="1" t="n"/>
      <c r="B634" s="17" t="n"/>
      <c r="C634" s="27" t="n"/>
      <c r="D634" s="28" t="n"/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9" t="n"/>
      <c r="N634" s="21" t="n"/>
      <c r="O634" s="12">
        <f>IF(AND(B634="",C634=""),"",IF(NOT(ISNUMBER(B634)),"Needs a date",IF(C634="","Needs a client",IF(COUNTIF(Clients!$B$6:$B$105,C634)=0,"Not on Clients",IF(COUNT(D634:M634)=0,"Nothing measured","")))))</f>
        <v/>
      </c>
      <c r="P634" s="1">
        <f>IF(AND(O634="",ISNUMBER(B634)),INT(B634),0)</f>
        <v/>
      </c>
      <c r="Q634">
        <f>IF(AND(P634&gt;0,C634=Report!$C$5),P634*10000+ROW(),"")</f>
        <v/>
      </c>
      <c r="R634">
        <f>IF(AND(Q634&lt;&gt;"",ISNUMBER(D634)),Q634,"")</f>
        <v/>
      </c>
      <c r="S634">
        <f>IF(AND(Q634&lt;&gt;"",ISNUMBER(E634)),Q634,"")</f>
        <v/>
      </c>
      <c r="T634">
        <f>IF(AND(Q634&lt;&gt;"",ISNUMBER(F634)),Q634,"")</f>
        <v/>
      </c>
      <c r="U634">
        <f>IF(AND(Q634&lt;&gt;"",ISNUMBER(G634)),Q634,"")</f>
        <v/>
      </c>
      <c r="V634">
        <f>IF(AND(Q634&lt;&gt;"",ISNUMBER(H634)),Q634,"")</f>
        <v/>
      </c>
      <c r="W634">
        <f>IF(AND(Q634&lt;&gt;"",ISNUMBER(I634)),Q634,"")</f>
        <v/>
      </c>
      <c r="X634">
        <f>IF(AND(Q634&lt;&gt;"",ISNUMBER(J634)),Q634,"")</f>
        <v/>
      </c>
      <c r="Y634">
        <f>IF(AND(Q634&lt;&gt;"",ISNUMBER(K634)),Q634,"")</f>
        <v/>
      </c>
      <c r="Z634">
        <f>IF(AND(Q634&lt;&gt;"",ISNUMBER(L634)),Q634,"")</f>
        <v/>
      </c>
      <c r="AA634">
        <f>IF(AND(Q634&lt;&gt;"",ISNUMBER(M634)),Q634,"")</f>
        <v/>
      </c>
      <c r="AB634">
        <f>IF(AND(Q634&lt;&gt;"",ISNUMBER(K634)),K634,"")</f>
        <v/>
      </c>
      <c r="AC634">
        <f>IF(AND(Q634&lt;&gt;"",ISNUMBER(L634)),L634,"")</f>
        <v/>
      </c>
      <c r="AD634">
        <f>IF(AND(Q634&lt;&gt;"",ISNUMBER(M634)),M634,"")</f>
        <v/>
      </c>
    </row>
    <row r="635">
      <c r="A635" s="1" t="n"/>
      <c r="B635" s="17" t="n"/>
      <c r="C635" s="27" t="n"/>
      <c r="D635" s="28" t="n"/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9" t="n"/>
      <c r="N635" s="21" t="n"/>
      <c r="O635" s="12">
        <f>IF(AND(B635="",C635=""),"",IF(NOT(ISNUMBER(B635)),"Needs a date",IF(C635="","Needs a client",IF(COUNTIF(Clients!$B$6:$B$105,C635)=0,"Not on Clients",IF(COUNT(D635:M635)=0,"Nothing measured","")))))</f>
        <v/>
      </c>
      <c r="P635" s="1">
        <f>IF(AND(O635="",ISNUMBER(B635)),INT(B635),0)</f>
        <v/>
      </c>
      <c r="Q635">
        <f>IF(AND(P635&gt;0,C635=Report!$C$5),P635*10000+ROW(),"")</f>
        <v/>
      </c>
      <c r="R635">
        <f>IF(AND(Q635&lt;&gt;"",ISNUMBER(D635)),Q635,"")</f>
        <v/>
      </c>
      <c r="S635">
        <f>IF(AND(Q635&lt;&gt;"",ISNUMBER(E635)),Q635,"")</f>
        <v/>
      </c>
      <c r="T635">
        <f>IF(AND(Q635&lt;&gt;"",ISNUMBER(F635)),Q635,"")</f>
        <v/>
      </c>
      <c r="U635">
        <f>IF(AND(Q635&lt;&gt;"",ISNUMBER(G635)),Q635,"")</f>
        <v/>
      </c>
      <c r="V635">
        <f>IF(AND(Q635&lt;&gt;"",ISNUMBER(H635)),Q635,"")</f>
        <v/>
      </c>
      <c r="W635">
        <f>IF(AND(Q635&lt;&gt;"",ISNUMBER(I635)),Q635,"")</f>
        <v/>
      </c>
      <c r="X635">
        <f>IF(AND(Q635&lt;&gt;"",ISNUMBER(J635)),Q635,"")</f>
        <v/>
      </c>
      <c r="Y635">
        <f>IF(AND(Q635&lt;&gt;"",ISNUMBER(K635)),Q635,"")</f>
        <v/>
      </c>
      <c r="Z635">
        <f>IF(AND(Q635&lt;&gt;"",ISNUMBER(L635)),Q635,"")</f>
        <v/>
      </c>
      <c r="AA635">
        <f>IF(AND(Q635&lt;&gt;"",ISNUMBER(M635)),Q635,"")</f>
        <v/>
      </c>
      <c r="AB635">
        <f>IF(AND(Q635&lt;&gt;"",ISNUMBER(K635)),K635,"")</f>
        <v/>
      </c>
      <c r="AC635">
        <f>IF(AND(Q635&lt;&gt;"",ISNUMBER(L635)),L635,"")</f>
        <v/>
      </c>
      <c r="AD635">
        <f>IF(AND(Q635&lt;&gt;"",ISNUMBER(M635)),M635,"")</f>
        <v/>
      </c>
    </row>
    <row r="636">
      <c r="A636" s="1" t="n"/>
      <c r="B636" s="17" t="n"/>
      <c r="C636" s="27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9" t="n"/>
      <c r="N636" s="21" t="n"/>
      <c r="O636" s="12">
        <f>IF(AND(B636="",C636=""),"",IF(NOT(ISNUMBER(B636)),"Needs a date",IF(C636="","Needs a client",IF(COUNTIF(Clients!$B$6:$B$105,C636)=0,"Not on Clients",IF(COUNT(D636:M636)=0,"Nothing measured","")))))</f>
        <v/>
      </c>
      <c r="P636" s="1">
        <f>IF(AND(O636="",ISNUMBER(B636)),INT(B636),0)</f>
        <v/>
      </c>
      <c r="Q636">
        <f>IF(AND(P636&gt;0,C636=Report!$C$5),P636*10000+ROW(),"")</f>
        <v/>
      </c>
      <c r="R636">
        <f>IF(AND(Q636&lt;&gt;"",ISNUMBER(D636)),Q636,"")</f>
        <v/>
      </c>
      <c r="S636">
        <f>IF(AND(Q636&lt;&gt;"",ISNUMBER(E636)),Q636,"")</f>
        <v/>
      </c>
      <c r="T636">
        <f>IF(AND(Q636&lt;&gt;"",ISNUMBER(F636)),Q636,"")</f>
        <v/>
      </c>
      <c r="U636">
        <f>IF(AND(Q636&lt;&gt;"",ISNUMBER(G636)),Q636,"")</f>
        <v/>
      </c>
      <c r="V636">
        <f>IF(AND(Q636&lt;&gt;"",ISNUMBER(H636)),Q636,"")</f>
        <v/>
      </c>
      <c r="W636">
        <f>IF(AND(Q636&lt;&gt;"",ISNUMBER(I636)),Q636,"")</f>
        <v/>
      </c>
      <c r="X636">
        <f>IF(AND(Q636&lt;&gt;"",ISNUMBER(J636)),Q636,"")</f>
        <v/>
      </c>
      <c r="Y636">
        <f>IF(AND(Q636&lt;&gt;"",ISNUMBER(K636)),Q636,"")</f>
        <v/>
      </c>
      <c r="Z636">
        <f>IF(AND(Q636&lt;&gt;"",ISNUMBER(L636)),Q636,"")</f>
        <v/>
      </c>
      <c r="AA636">
        <f>IF(AND(Q636&lt;&gt;"",ISNUMBER(M636)),Q636,"")</f>
        <v/>
      </c>
      <c r="AB636">
        <f>IF(AND(Q636&lt;&gt;"",ISNUMBER(K636)),K636,"")</f>
        <v/>
      </c>
      <c r="AC636">
        <f>IF(AND(Q636&lt;&gt;"",ISNUMBER(L636)),L636,"")</f>
        <v/>
      </c>
      <c r="AD636">
        <f>IF(AND(Q636&lt;&gt;"",ISNUMBER(M636)),M636,"")</f>
        <v/>
      </c>
    </row>
    <row r="637">
      <c r="A637" s="1" t="n"/>
      <c r="B637" s="17" t="n"/>
      <c r="C637" s="27" t="n"/>
      <c r="D637" s="28" t="n"/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9" t="n"/>
      <c r="N637" s="21" t="n"/>
      <c r="O637" s="12">
        <f>IF(AND(B637="",C637=""),"",IF(NOT(ISNUMBER(B637)),"Needs a date",IF(C637="","Needs a client",IF(COUNTIF(Clients!$B$6:$B$105,C637)=0,"Not on Clients",IF(COUNT(D637:M637)=0,"Nothing measured","")))))</f>
        <v/>
      </c>
      <c r="P637" s="1">
        <f>IF(AND(O637="",ISNUMBER(B637)),INT(B637),0)</f>
        <v/>
      </c>
      <c r="Q637">
        <f>IF(AND(P637&gt;0,C637=Report!$C$5),P637*10000+ROW(),"")</f>
        <v/>
      </c>
      <c r="R637">
        <f>IF(AND(Q637&lt;&gt;"",ISNUMBER(D637)),Q637,"")</f>
        <v/>
      </c>
      <c r="S637">
        <f>IF(AND(Q637&lt;&gt;"",ISNUMBER(E637)),Q637,"")</f>
        <v/>
      </c>
      <c r="T637">
        <f>IF(AND(Q637&lt;&gt;"",ISNUMBER(F637)),Q637,"")</f>
        <v/>
      </c>
      <c r="U637">
        <f>IF(AND(Q637&lt;&gt;"",ISNUMBER(G637)),Q637,"")</f>
        <v/>
      </c>
      <c r="V637">
        <f>IF(AND(Q637&lt;&gt;"",ISNUMBER(H637)),Q637,"")</f>
        <v/>
      </c>
      <c r="W637">
        <f>IF(AND(Q637&lt;&gt;"",ISNUMBER(I637)),Q637,"")</f>
        <v/>
      </c>
      <c r="X637">
        <f>IF(AND(Q637&lt;&gt;"",ISNUMBER(J637)),Q637,"")</f>
        <v/>
      </c>
      <c r="Y637">
        <f>IF(AND(Q637&lt;&gt;"",ISNUMBER(K637)),Q637,"")</f>
        <v/>
      </c>
      <c r="Z637">
        <f>IF(AND(Q637&lt;&gt;"",ISNUMBER(L637)),Q637,"")</f>
        <v/>
      </c>
      <c r="AA637">
        <f>IF(AND(Q637&lt;&gt;"",ISNUMBER(M637)),Q637,"")</f>
        <v/>
      </c>
      <c r="AB637">
        <f>IF(AND(Q637&lt;&gt;"",ISNUMBER(K637)),K637,"")</f>
        <v/>
      </c>
      <c r="AC637">
        <f>IF(AND(Q637&lt;&gt;"",ISNUMBER(L637)),L637,"")</f>
        <v/>
      </c>
      <c r="AD637">
        <f>IF(AND(Q637&lt;&gt;"",ISNUMBER(M637)),M637,"")</f>
        <v/>
      </c>
    </row>
    <row r="638">
      <c r="A638" s="1" t="n"/>
      <c r="B638" s="17" t="n"/>
      <c r="C638" s="27" t="n"/>
      <c r="D638" s="28" t="n"/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9" t="n"/>
      <c r="N638" s="21" t="n"/>
      <c r="O638" s="12">
        <f>IF(AND(B638="",C638=""),"",IF(NOT(ISNUMBER(B638)),"Needs a date",IF(C638="","Needs a client",IF(COUNTIF(Clients!$B$6:$B$105,C638)=0,"Not on Clients",IF(COUNT(D638:M638)=0,"Nothing measured","")))))</f>
        <v/>
      </c>
      <c r="P638" s="1">
        <f>IF(AND(O638="",ISNUMBER(B638)),INT(B638),0)</f>
        <v/>
      </c>
      <c r="Q638">
        <f>IF(AND(P638&gt;0,C638=Report!$C$5),P638*10000+ROW(),"")</f>
        <v/>
      </c>
      <c r="R638">
        <f>IF(AND(Q638&lt;&gt;"",ISNUMBER(D638)),Q638,"")</f>
        <v/>
      </c>
      <c r="S638">
        <f>IF(AND(Q638&lt;&gt;"",ISNUMBER(E638)),Q638,"")</f>
        <v/>
      </c>
      <c r="T638">
        <f>IF(AND(Q638&lt;&gt;"",ISNUMBER(F638)),Q638,"")</f>
        <v/>
      </c>
      <c r="U638">
        <f>IF(AND(Q638&lt;&gt;"",ISNUMBER(G638)),Q638,"")</f>
        <v/>
      </c>
      <c r="V638">
        <f>IF(AND(Q638&lt;&gt;"",ISNUMBER(H638)),Q638,"")</f>
        <v/>
      </c>
      <c r="W638">
        <f>IF(AND(Q638&lt;&gt;"",ISNUMBER(I638)),Q638,"")</f>
        <v/>
      </c>
      <c r="X638">
        <f>IF(AND(Q638&lt;&gt;"",ISNUMBER(J638)),Q638,"")</f>
        <v/>
      </c>
      <c r="Y638">
        <f>IF(AND(Q638&lt;&gt;"",ISNUMBER(K638)),Q638,"")</f>
        <v/>
      </c>
      <c r="Z638">
        <f>IF(AND(Q638&lt;&gt;"",ISNUMBER(L638)),Q638,"")</f>
        <v/>
      </c>
      <c r="AA638">
        <f>IF(AND(Q638&lt;&gt;"",ISNUMBER(M638)),Q638,"")</f>
        <v/>
      </c>
      <c r="AB638">
        <f>IF(AND(Q638&lt;&gt;"",ISNUMBER(K638)),K638,"")</f>
        <v/>
      </c>
      <c r="AC638">
        <f>IF(AND(Q638&lt;&gt;"",ISNUMBER(L638)),L638,"")</f>
        <v/>
      </c>
      <c r="AD638">
        <f>IF(AND(Q638&lt;&gt;"",ISNUMBER(M638)),M638,"")</f>
        <v/>
      </c>
    </row>
    <row r="639">
      <c r="A639" s="1" t="n"/>
      <c r="B639" s="17" t="n"/>
      <c r="C639" s="27" t="n"/>
      <c r="D639" s="28" t="n"/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9" t="n"/>
      <c r="N639" s="21" t="n"/>
      <c r="O639" s="12">
        <f>IF(AND(B639="",C639=""),"",IF(NOT(ISNUMBER(B639)),"Needs a date",IF(C639="","Needs a client",IF(COUNTIF(Clients!$B$6:$B$105,C639)=0,"Not on Clients",IF(COUNT(D639:M639)=0,"Nothing measured","")))))</f>
        <v/>
      </c>
      <c r="P639" s="1">
        <f>IF(AND(O639="",ISNUMBER(B639)),INT(B639),0)</f>
        <v/>
      </c>
      <c r="Q639">
        <f>IF(AND(P639&gt;0,C639=Report!$C$5),P639*10000+ROW(),"")</f>
        <v/>
      </c>
      <c r="R639">
        <f>IF(AND(Q639&lt;&gt;"",ISNUMBER(D639)),Q639,"")</f>
        <v/>
      </c>
      <c r="S639">
        <f>IF(AND(Q639&lt;&gt;"",ISNUMBER(E639)),Q639,"")</f>
        <v/>
      </c>
      <c r="T639">
        <f>IF(AND(Q639&lt;&gt;"",ISNUMBER(F639)),Q639,"")</f>
        <v/>
      </c>
      <c r="U639">
        <f>IF(AND(Q639&lt;&gt;"",ISNUMBER(G639)),Q639,"")</f>
        <v/>
      </c>
      <c r="V639">
        <f>IF(AND(Q639&lt;&gt;"",ISNUMBER(H639)),Q639,"")</f>
        <v/>
      </c>
      <c r="W639">
        <f>IF(AND(Q639&lt;&gt;"",ISNUMBER(I639)),Q639,"")</f>
        <v/>
      </c>
      <c r="X639">
        <f>IF(AND(Q639&lt;&gt;"",ISNUMBER(J639)),Q639,"")</f>
        <v/>
      </c>
      <c r="Y639">
        <f>IF(AND(Q639&lt;&gt;"",ISNUMBER(K639)),Q639,"")</f>
        <v/>
      </c>
      <c r="Z639">
        <f>IF(AND(Q639&lt;&gt;"",ISNUMBER(L639)),Q639,"")</f>
        <v/>
      </c>
      <c r="AA639">
        <f>IF(AND(Q639&lt;&gt;"",ISNUMBER(M639)),Q639,"")</f>
        <v/>
      </c>
      <c r="AB639">
        <f>IF(AND(Q639&lt;&gt;"",ISNUMBER(K639)),K639,"")</f>
        <v/>
      </c>
      <c r="AC639">
        <f>IF(AND(Q639&lt;&gt;"",ISNUMBER(L639)),L639,"")</f>
        <v/>
      </c>
      <c r="AD639">
        <f>IF(AND(Q639&lt;&gt;"",ISNUMBER(M639)),M639,"")</f>
        <v/>
      </c>
    </row>
    <row r="640">
      <c r="A640" s="1" t="n"/>
      <c r="B640" s="17" t="n"/>
      <c r="C640" s="27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9" t="n"/>
      <c r="N640" s="21" t="n"/>
      <c r="O640" s="12">
        <f>IF(AND(B640="",C640=""),"",IF(NOT(ISNUMBER(B640)),"Needs a date",IF(C640="","Needs a client",IF(COUNTIF(Clients!$B$6:$B$105,C640)=0,"Not on Clients",IF(COUNT(D640:M640)=0,"Nothing measured","")))))</f>
        <v/>
      </c>
      <c r="P640" s="1">
        <f>IF(AND(O640="",ISNUMBER(B640)),INT(B640),0)</f>
        <v/>
      </c>
      <c r="Q640">
        <f>IF(AND(P640&gt;0,C640=Report!$C$5),P640*10000+ROW(),"")</f>
        <v/>
      </c>
      <c r="R640">
        <f>IF(AND(Q640&lt;&gt;"",ISNUMBER(D640)),Q640,"")</f>
        <v/>
      </c>
      <c r="S640">
        <f>IF(AND(Q640&lt;&gt;"",ISNUMBER(E640)),Q640,"")</f>
        <v/>
      </c>
      <c r="T640">
        <f>IF(AND(Q640&lt;&gt;"",ISNUMBER(F640)),Q640,"")</f>
        <v/>
      </c>
      <c r="U640">
        <f>IF(AND(Q640&lt;&gt;"",ISNUMBER(G640)),Q640,"")</f>
        <v/>
      </c>
      <c r="V640">
        <f>IF(AND(Q640&lt;&gt;"",ISNUMBER(H640)),Q640,"")</f>
        <v/>
      </c>
      <c r="W640">
        <f>IF(AND(Q640&lt;&gt;"",ISNUMBER(I640)),Q640,"")</f>
        <v/>
      </c>
      <c r="X640">
        <f>IF(AND(Q640&lt;&gt;"",ISNUMBER(J640)),Q640,"")</f>
        <v/>
      </c>
      <c r="Y640">
        <f>IF(AND(Q640&lt;&gt;"",ISNUMBER(K640)),Q640,"")</f>
        <v/>
      </c>
      <c r="Z640">
        <f>IF(AND(Q640&lt;&gt;"",ISNUMBER(L640)),Q640,"")</f>
        <v/>
      </c>
      <c r="AA640">
        <f>IF(AND(Q640&lt;&gt;"",ISNUMBER(M640)),Q640,"")</f>
        <v/>
      </c>
      <c r="AB640">
        <f>IF(AND(Q640&lt;&gt;"",ISNUMBER(K640)),K640,"")</f>
        <v/>
      </c>
      <c r="AC640">
        <f>IF(AND(Q640&lt;&gt;"",ISNUMBER(L640)),L640,"")</f>
        <v/>
      </c>
      <c r="AD640">
        <f>IF(AND(Q640&lt;&gt;"",ISNUMBER(M640)),M640,"")</f>
        <v/>
      </c>
    </row>
    <row r="641">
      <c r="A641" s="1" t="n"/>
      <c r="B641" s="17" t="n"/>
      <c r="C641" s="27" t="n"/>
      <c r="D641" s="28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9" t="n"/>
      <c r="N641" s="21" t="n"/>
      <c r="O641" s="12">
        <f>IF(AND(B641="",C641=""),"",IF(NOT(ISNUMBER(B641)),"Needs a date",IF(C641="","Needs a client",IF(COUNTIF(Clients!$B$6:$B$105,C641)=0,"Not on Clients",IF(COUNT(D641:M641)=0,"Nothing measured","")))))</f>
        <v/>
      </c>
      <c r="P641" s="1">
        <f>IF(AND(O641="",ISNUMBER(B641)),INT(B641),0)</f>
        <v/>
      </c>
      <c r="Q641">
        <f>IF(AND(P641&gt;0,C641=Report!$C$5),P641*10000+ROW(),"")</f>
        <v/>
      </c>
      <c r="R641">
        <f>IF(AND(Q641&lt;&gt;"",ISNUMBER(D641)),Q641,"")</f>
        <v/>
      </c>
      <c r="S641">
        <f>IF(AND(Q641&lt;&gt;"",ISNUMBER(E641)),Q641,"")</f>
        <v/>
      </c>
      <c r="T641">
        <f>IF(AND(Q641&lt;&gt;"",ISNUMBER(F641)),Q641,"")</f>
        <v/>
      </c>
      <c r="U641">
        <f>IF(AND(Q641&lt;&gt;"",ISNUMBER(G641)),Q641,"")</f>
        <v/>
      </c>
      <c r="V641">
        <f>IF(AND(Q641&lt;&gt;"",ISNUMBER(H641)),Q641,"")</f>
        <v/>
      </c>
      <c r="W641">
        <f>IF(AND(Q641&lt;&gt;"",ISNUMBER(I641)),Q641,"")</f>
        <v/>
      </c>
      <c r="X641">
        <f>IF(AND(Q641&lt;&gt;"",ISNUMBER(J641)),Q641,"")</f>
        <v/>
      </c>
      <c r="Y641">
        <f>IF(AND(Q641&lt;&gt;"",ISNUMBER(K641)),Q641,"")</f>
        <v/>
      </c>
      <c r="Z641">
        <f>IF(AND(Q641&lt;&gt;"",ISNUMBER(L641)),Q641,"")</f>
        <v/>
      </c>
      <c r="AA641">
        <f>IF(AND(Q641&lt;&gt;"",ISNUMBER(M641)),Q641,"")</f>
        <v/>
      </c>
      <c r="AB641">
        <f>IF(AND(Q641&lt;&gt;"",ISNUMBER(K641)),K641,"")</f>
        <v/>
      </c>
      <c r="AC641">
        <f>IF(AND(Q641&lt;&gt;"",ISNUMBER(L641)),L641,"")</f>
        <v/>
      </c>
      <c r="AD641">
        <f>IF(AND(Q641&lt;&gt;"",ISNUMBER(M641)),M641,"")</f>
        <v/>
      </c>
    </row>
    <row r="642">
      <c r="A642" s="1" t="n"/>
      <c r="B642" s="17" t="n"/>
      <c r="C642" s="27" t="n"/>
      <c r="D642" s="28" t="n"/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9" t="n"/>
      <c r="N642" s="21" t="n"/>
      <c r="O642" s="12">
        <f>IF(AND(B642="",C642=""),"",IF(NOT(ISNUMBER(B642)),"Needs a date",IF(C642="","Needs a client",IF(COUNTIF(Clients!$B$6:$B$105,C642)=0,"Not on Clients",IF(COUNT(D642:M642)=0,"Nothing measured","")))))</f>
        <v/>
      </c>
      <c r="P642" s="1">
        <f>IF(AND(O642="",ISNUMBER(B642)),INT(B642),0)</f>
        <v/>
      </c>
      <c r="Q642">
        <f>IF(AND(P642&gt;0,C642=Report!$C$5),P642*10000+ROW(),"")</f>
        <v/>
      </c>
      <c r="R642">
        <f>IF(AND(Q642&lt;&gt;"",ISNUMBER(D642)),Q642,"")</f>
        <v/>
      </c>
      <c r="S642">
        <f>IF(AND(Q642&lt;&gt;"",ISNUMBER(E642)),Q642,"")</f>
        <v/>
      </c>
      <c r="T642">
        <f>IF(AND(Q642&lt;&gt;"",ISNUMBER(F642)),Q642,"")</f>
        <v/>
      </c>
      <c r="U642">
        <f>IF(AND(Q642&lt;&gt;"",ISNUMBER(G642)),Q642,"")</f>
        <v/>
      </c>
      <c r="V642">
        <f>IF(AND(Q642&lt;&gt;"",ISNUMBER(H642)),Q642,"")</f>
        <v/>
      </c>
      <c r="W642">
        <f>IF(AND(Q642&lt;&gt;"",ISNUMBER(I642)),Q642,"")</f>
        <v/>
      </c>
      <c r="X642">
        <f>IF(AND(Q642&lt;&gt;"",ISNUMBER(J642)),Q642,"")</f>
        <v/>
      </c>
      <c r="Y642">
        <f>IF(AND(Q642&lt;&gt;"",ISNUMBER(K642)),Q642,"")</f>
        <v/>
      </c>
      <c r="Z642">
        <f>IF(AND(Q642&lt;&gt;"",ISNUMBER(L642)),Q642,"")</f>
        <v/>
      </c>
      <c r="AA642">
        <f>IF(AND(Q642&lt;&gt;"",ISNUMBER(M642)),Q642,"")</f>
        <v/>
      </c>
      <c r="AB642">
        <f>IF(AND(Q642&lt;&gt;"",ISNUMBER(K642)),K642,"")</f>
        <v/>
      </c>
      <c r="AC642">
        <f>IF(AND(Q642&lt;&gt;"",ISNUMBER(L642)),L642,"")</f>
        <v/>
      </c>
      <c r="AD642">
        <f>IF(AND(Q642&lt;&gt;"",ISNUMBER(M642)),M642,"")</f>
        <v/>
      </c>
    </row>
    <row r="643">
      <c r="A643" s="1" t="n"/>
      <c r="B643" s="17" t="n"/>
      <c r="C643" s="27" t="n"/>
      <c r="D643" s="28" t="n"/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9" t="n"/>
      <c r="N643" s="21" t="n"/>
      <c r="O643" s="12">
        <f>IF(AND(B643="",C643=""),"",IF(NOT(ISNUMBER(B643)),"Needs a date",IF(C643="","Needs a client",IF(COUNTIF(Clients!$B$6:$B$105,C643)=0,"Not on Clients",IF(COUNT(D643:M643)=0,"Nothing measured","")))))</f>
        <v/>
      </c>
      <c r="P643" s="1">
        <f>IF(AND(O643="",ISNUMBER(B643)),INT(B643),0)</f>
        <v/>
      </c>
      <c r="Q643">
        <f>IF(AND(P643&gt;0,C643=Report!$C$5),P643*10000+ROW(),"")</f>
        <v/>
      </c>
      <c r="R643">
        <f>IF(AND(Q643&lt;&gt;"",ISNUMBER(D643)),Q643,"")</f>
        <v/>
      </c>
      <c r="S643">
        <f>IF(AND(Q643&lt;&gt;"",ISNUMBER(E643)),Q643,"")</f>
        <v/>
      </c>
      <c r="T643">
        <f>IF(AND(Q643&lt;&gt;"",ISNUMBER(F643)),Q643,"")</f>
        <v/>
      </c>
      <c r="U643">
        <f>IF(AND(Q643&lt;&gt;"",ISNUMBER(G643)),Q643,"")</f>
        <v/>
      </c>
      <c r="V643">
        <f>IF(AND(Q643&lt;&gt;"",ISNUMBER(H643)),Q643,"")</f>
        <v/>
      </c>
      <c r="W643">
        <f>IF(AND(Q643&lt;&gt;"",ISNUMBER(I643)),Q643,"")</f>
        <v/>
      </c>
      <c r="X643">
        <f>IF(AND(Q643&lt;&gt;"",ISNUMBER(J643)),Q643,"")</f>
        <v/>
      </c>
      <c r="Y643">
        <f>IF(AND(Q643&lt;&gt;"",ISNUMBER(K643)),Q643,"")</f>
        <v/>
      </c>
      <c r="Z643">
        <f>IF(AND(Q643&lt;&gt;"",ISNUMBER(L643)),Q643,"")</f>
        <v/>
      </c>
      <c r="AA643">
        <f>IF(AND(Q643&lt;&gt;"",ISNUMBER(M643)),Q643,"")</f>
        <v/>
      </c>
      <c r="AB643">
        <f>IF(AND(Q643&lt;&gt;"",ISNUMBER(K643)),K643,"")</f>
        <v/>
      </c>
      <c r="AC643">
        <f>IF(AND(Q643&lt;&gt;"",ISNUMBER(L643)),L643,"")</f>
        <v/>
      </c>
      <c r="AD643">
        <f>IF(AND(Q643&lt;&gt;"",ISNUMBER(M643)),M643,"")</f>
        <v/>
      </c>
    </row>
    <row r="644">
      <c r="A644" s="1" t="n"/>
      <c r="B644" s="17" t="n"/>
      <c r="C644" s="27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9" t="n"/>
      <c r="N644" s="21" t="n"/>
      <c r="O644" s="12">
        <f>IF(AND(B644="",C644=""),"",IF(NOT(ISNUMBER(B644)),"Needs a date",IF(C644="","Needs a client",IF(COUNTIF(Clients!$B$6:$B$105,C644)=0,"Not on Clients",IF(COUNT(D644:M644)=0,"Nothing measured","")))))</f>
        <v/>
      </c>
      <c r="P644" s="1">
        <f>IF(AND(O644="",ISNUMBER(B644)),INT(B644),0)</f>
        <v/>
      </c>
      <c r="Q644">
        <f>IF(AND(P644&gt;0,C644=Report!$C$5),P644*10000+ROW(),"")</f>
        <v/>
      </c>
      <c r="R644">
        <f>IF(AND(Q644&lt;&gt;"",ISNUMBER(D644)),Q644,"")</f>
        <v/>
      </c>
      <c r="S644">
        <f>IF(AND(Q644&lt;&gt;"",ISNUMBER(E644)),Q644,"")</f>
        <v/>
      </c>
      <c r="T644">
        <f>IF(AND(Q644&lt;&gt;"",ISNUMBER(F644)),Q644,"")</f>
        <v/>
      </c>
      <c r="U644">
        <f>IF(AND(Q644&lt;&gt;"",ISNUMBER(G644)),Q644,"")</f>
        <v/>
      </c>
      <c r="V644">
        <f>IF(AND(Q644&lt;&gt;"",ISNUMBER(H644)),Q644,"")</f>
        <v/>
      </c>
      <c r="W644">
        <f>IF(AND(Q644&lt;&gt;"",ISNUMBER(I644)),Q644,"")</f>
        <v/>
      </c>
      <c r="X644">
        <f>IF(AND(Q644&lt;&gt;"",ISNUMBER(J644)),Q644,"")</f>
        <v/>
      </c>
      <c r="Y644">
        <f>IF(AND(Q644&lt;&gt;"",ISNUMBER(K644)),Q644,"")</f>
        <v/>
      </c>
      <c r="Z644">
        <f>IF(AND(Q644&lt;&gt;"",ISNUMBER(L644)),Q644,"")</f>
        <v/>
      </c>
      <c r="AA644">
        <f>IF(AND(Q644&lt;&gt;"",ISNUMBER(M644)),Q644,"")</f>
        <v/>
      </c>
      <c r="AB644">
        <f>IF(AND(Q644&lt;&gt;"",ISNUMBER(K644)),K644,"")</f>
        <v/>
      </c>
      <c r="AC644">
        <f>IF(AND(Q644&lt;&gt;"",ISNUMBER(L644)),L644,"")</f>
        <v/>
      </c>
      <c r="AD644">
        <f>IF(AND(Q644&lt;&gt;"",ISNUMBER(M644)),M644,"")</f>
        <v/>
      </c>
    </row>
    <row r="645">
      <c r="A645" s="1" t="n"/>
      <c r="B645" s="17" t="n"/>
      <c r="C645" s="27" t="n"/>
      <c r="D645" s="28" t="n"/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9" t="n"/>
      <c r="N645" s="21" t="n"/>
      <c r="O645" s="12">
        <f>IF(AND(B645="",C645=""),"",IF(NOT(ISNUMBER(B645)),"Needs a date",IF(C645="","Needs a client",IF(COUNTIF(Clients!$B$6:$B$105,C645)=0,"Not on Clients",IF(COUNT(D645:M645)=0,"Nothing measured","")))))</f>
        <v/>
      </c>
      <c r="P645" s="1">
        <f>IF(AND(O645="",ISNUMBER(B645)),INT(B645),0)</f>
        <v/>
      </c>
      <c r="Q645">
        <f>IF(AND(P645&gt;0,C645=Report!$C$5),P645*10000+ROW(),"")</f>
        <v/>
      </c>
      <c r="R645">
        <f>IF(AND(Q645&lt;&gt;"",ISNUMBER(D645)),Q645,"")</f>
        <v/>
      </c>
      <c r="S645">
        <f>IF(AND(Q645&lt;&gt;"",ISNUMBER(E645)),Q645,"")</f>
        <v/>
      </c>
      <c r="T645">
        <f>IF(AND(Q645&lt;&gt;"",ISNUMBER(F645)),Q645,"")</f>
        <v/>
      </c>
      <c r="U645">
        <f>IF(AND(Q645&lt;&gt;"",ISNUMBER(G645)),Q645,"")</f>
        <v/>
      </c>
      <c r="V645">
        <f>IF(AND(Q645&lt;&gt;"",ISNUMBER(H645)),Q645,"")</f>
        <v/>
      </c>
      <c r="W645">
        <f>IF(AND(Q645&lt;&gt;"",ISNUMBER(I645)),Q645,"")</f>
        <v/>
      </c>
      <c r="X645">
        <f>IF(AND(Q645&lt;&gt;"",ISNUMBER(J645)),Q645,"")</f>
        <v/>
      </c>
      <c r="Y645">
        <f>IF(AND(Q645&lt;&gt;"",ISNUMBER(K645)),Q645,"")</f>
        <v/>
      </c>
      <c r="Z645">
        <f>IF(AND(Q645&lt;&gt;"",ISNUMBER(L645)),Q645,"")</f>
        <v/>
      </c>
      <c r="AA645">
        <f>IF(AND(Q645&lt;&gt;"",ISNUMBER(M645)),Q645,"")</f>
        <v/>
      </c>
      <c r="AB645">
        <f>IF(AND(Q645&lt;&gt;"",ISNUMBER(K645)),K645,"")</f>
        <v/>
      </c>
      <c r="AC645">
        <f>IF(AND(Q645&lt;&gt;"",ISNUMBER(L645)),L645,"")</f>
        <v/>
      </c>
      <c r="AD645">
        <f>IF(AND(Q645&lt;&gt;"",ISNUMBER(M645)),M645,"")</f>
        <v/>
      </c>
    </row>
    <row r="646">
      <c r="A646" s="1" t="n"/>
      <c r="B646" s="17" t="n"/>
      <c r="C646" s="27" t="n"/>
      <c r="D646" s="28" t="n"/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9" t="n"/>
      <c r="N646" s="21" t="n"/>
      <c r="O646" s="12">
        <f>IF(AND(B646="",C646=""),"",IF(NOT(ISNUMBER(B646)),"Needs a date",IF(C646="","Needs a client",IF(COUNTIF(Clients!$B$6:$B$105,C646)=0,"Not on Clients",IF(COUNT(D646:M646)=0,"Nothing measured","")))))</f>
        <v/>
      </c>
      <c r="P646" s="1">
        <f>IF(AND(O646="",ISNUMBER(B646)),INT(B646),0)</f>
        <v/>
      </c>
      <c r="Q646">
        <f>IF(AND(P646&gt;0,C646=Report!$C$5),P646*10000+ROW(),"")</f>
        <v/>
      </c>
      <c r="R646">
        <f>IF(AND(Q646&lt;&gt;"",ISNUMBER(D646)),Q646,"")</f>
        <v/>
      </c>
      <c r="S646">
        <f>IF(AND(Q646&lt;&gt;"",ISNUMBER(E646)),Q646,"")</f>
        <v/>
      </c>
      <c r="T646">
        <f>IF(AND(Q646&lt;&gt;"",ISNUMBER(F646)),Q646,"")</f>
        <v/>
      </c>
      <c r="U646">
        <f>IF(AND(Q646&lt;&gt;"",ISNUMBER(G646)),Q646,"")</f>
        <v/>
      </c>
      <c r="V646">
        <f>IF(AND(Q646&lt;&gt;"",ISNUMBER(H646)),Q646,"")</f>
        <v/>
      </c>
      <c r="W646">
        <f>IF(AND(Q646&lt;&gt;"",ISNUMBER(I646)),Q646,"")</f>
        <v/>
      </c>
      <c r="X646">
        <f>IF(AND(Q646&lt;&gt;"",ISNUMBER(J646)),Q646,"")</f>
        <v/>
      </c>
      <c r="Y646">
        <f>IF(AND(Q646&lt;&gt;"",ISNUMBER(K646)),Q646,"")</f>
        <v/>
      </c>
      <c r="Z646">
        <f>IF(AND(Q646&lt;&gt;"",ISNUMBER(L646)),Q646,"")</f>
        <v/>
      </c>
      <c r="AA646">
        <f>IF(AND(Q646&lt;&gt;"",ISNUMBER(M646)),Q646,"")</f>
        <v/>
      </c>
      <c r="AB646">
        <f>IF(AND(Q646&lt;&gt;"",ISNUMBER(K646)),K646,"")</f>
        <v/>
      </c>
      <c r="AC646">
        <f>IF(AND(Q646&lt;&gt;"",ISNUMBER(L646)),L646,"")</f>
        <v/>
      </c>
      <c r="AD646">
        <f>IF(AND(Q646&lt;&gt;"",ISNUMBER(M646)),M646,"")</f>
        <v/>
      </c>
    </row>
    <row r="647">
      <c r="A647" s="1" t="n"/>
      <c r="B647" s="17" t="n"/>
      <c r="C647" s="27" t="n"/>
      <c r="D647" s="28" t="n"/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9" t="n"/>
      <c r="N647" s="21" t="n"/>
      <c r="O647" s="12">
        <f>IF(AND(B647="",C647=""),"",IF(NOT(ISNUMBER(B647)),"Needs a date",IF(C647="","Needs a client",IF(COUNTIF(Clients!$B$6:$B$105,C647)=0,"Not on Clients",IF(COUNT(D647:M647)=0,"Nothing measured","")))))</f>
        <v/>
      </c>
      <c r="P647" s="1">
        <f>IF(AND(O647="",ISNUMBER(B647)),INT(B647),0)</f>
        <v/>
      </c>
      <c r="Q647">
        <f>IF(AND(P647&gt;0,C647=Report!$C$5),P647*10000+ROW(),"")</f>
        <v/>
      </c>
      <c r="R647">
        <f>IF(AND(Q647&lt;&gt;"",ISNUMBER(D647)),Q647,"")</f>
        <v/>
      </c>
      <c r="S647">
        <f>IF(AND(Q647&lt;&gt;"",ISNUMBER(E647)),Q647,"")</f>
        <v/>
      </c>
      <c r="T647">
        <f>IF(AND(Q647&lt;&gt;"",ISNUMBER(F647)),Q647,"")</f>
        <v/>
      </c>
      <c r="U647">
        <f>IF(AND(Q647&lt;&gt;"",ISNUMBER(G647)),Q647,"")</f>
        <v/>
      </c>
      <c r="V647">
        <f>IF(AND(Q647&lt;&gt;"",ISNUMBER(H647)),Q647,"")</f>
        <v/>
      </c>
      <c r="W647">
        <f>IF(AND(Q647&lt;&gt;"",ISNUMBER(I647)),Q647,"")</f>
        <v/>
      </c>
      <c r="X647">
        <f>IF(AND(Q647&lt;&gt;"",ISNUMBER(J647)),Q647,"")</f>
        <v/>
      </c>
      <c r="Y647">
        <f>IF(AND(Q647&lt;&gt;"",ISNUMBER(K647)),Q647,"")</f>
        <v/>
      </c>
      <c r="Z647">
        <f>IF(AND(Q647&lt;&gt;"",ISNUMBER(L647)),Q647,"")</f>
        <v/>
      </c>
      <c r="AA647">
        <f>IF(AND(Q647&lt;&gt;"",ISNUMBER(M647)),Q647,"")</f>
        <v/>
      </c>
      <c r="AB647">
        <f>IF(AND(Q647&lt;&gt;"",ISNUMBER(K647)),K647,"")</f>
        <v/>
      </c>
      <c r="AC647">
        <f>IF(AND(Q647&lt;&gt;"",ISNUMBER(L647)),L647,"")</f>
        <v/>
      </c>
      <c r="AD647">
        <f>IF(AND(Q647&lt;&gt;"",ISNUMBER(M647)),M647,"")</f>
        <v/>
      </c>
    </row>
    <row r="648">
      <c r="A648" s="1" t="n"/>
      <c r="B648" s="17" t="n"/>
      <c r="C648" s="27" t="n"/>
      <c r="D648" s="28" t="n"/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9" t="n"/>
      <c r="N648" s="21" t="n"/>
      <c r="O648" s="12">
        <f>IF(AND(B648="",C648=""),"",IF(NOT(ISNUMBER(B648)),"Needs a date",IF(C648="","Needs a client",IF(COUNTIF(Clients!$B$6:$B$105,C648)=0,"Not on Clients",IF(COUNT(D648:M648)=0,"Nothing measured","")))))</f>
        <v/>
      </c>
      <c r="P648" s="1">
        <f>IF(AND(O648="",ISNUMBER(B648)),INT(B648),0)</f>
        <v/>
      </c>
      <c r="Q648">
        <f>IF(AND(P648&gt;0,C648=Report!$C$5),P648*10000+ROW(),"")</f>
        <v/>
      </c>
      <c r="R648">
        <f>IF(AND(Q648&lt;&gt;"",ISNUMBER(D648)),Q648,"")</f>
        <v/>
      </c>
      <c r="S648">
        <f>IF(AND(Q648&lt;&gt;"",ISNUMBER(E648)),Q648,"")</f>
        <v/>
      </c>
      <c r="T648">
        <f>IF(AND(Q648&lt;&gt;"",ISNUMBER(F648)),Q648,"")</f>
        <v/>
      </c>
      <c r="U648">
        <f>IF(AND(Q648&lt;&gt;"",ISNUMBER(G648)),Q648,"")</f>
        <v/>
      </c>
      <c r="V648">
        <f>IF(AND(Q648&lt;&gt;"",ISNUMBER(H648)),Q648,"")</f>
        <v/>
      </c>
      <c r="W648">
        <f>IF(AND(Q648&lt;&gt;"",ISNUMBER(I648)),Q648,"")</f>
        <v/>
      </c>
      <c r="X648">
        <f>IF(AND(Q648&lt;&gt;"",ISNUMBER(J648)),Q648,"")</f>
        <v/>
      </c>
      <c r="Y648">
        <f>IF(AND(Q648&lt;&gt;"",ISNUMBER(K648)),Q648,"")</f>
        <v/>
      </c>
      <c r="Z648">
        <f>IF(AND(Q648&lt;&gt;"",ISNUMBER(L648)),Q648,"")</f>
        <v/>
      </c>
      <c r="AA648">
        <f>IF(AND(Q648&lt;&gt;"",ISNUMBER(M648)),Q648,"")</f>
        <v/>
      </c>
      <c r="AB648">
        <f>IF(AND(Q648&lt;&gt;"",ISNUMBER(K648)),K648,"")</f>
        <v/>
      </c>
      <c r="AC648">
        <f>IF(AND(Q648&lt;&gt;"",ISNUMBER(L648)),L648,"")</f>
        <v/>
      </c>
      <c r="AD648">
        <f>IF(AND(Q648&lt;&gt;"",ISNUMBER(M648)),M648,"")</f>
        <v/>
      </c>
    </row>
    <row r="649">
      <c r="A649" s="1" t="n"/>
      <c r="B649" s="17" t="n"/>
      <c r="C649" s="27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9" t="n"/>
      <c r="N649" s="21" t="n"/>
      <c r="O649" s="12">
        <f>IF(AND(B649="",C649=""),"",IF(NOT(ISNUMBER(B649)),"Needs a date",IF(C649="","Needs a client",IF(COUNTIF(Clients!$B$6:$B$105,C649)=0,"Not on Clients",IF(COUNT(D649:M649)=0,"Nothing measured","")))))</f>
        <v/>
      </c>
      <c r="P649" s="1">
        <f>IF(AND(O649="",ISNUMBER(B649)),INT(B649),0)</f>
        <v/>
      </c>
      <c r="Q649">
        <f>IF(AND(P649&gt;0,C649=Report!$C$5),P649*10000+ROW(),"")</f>
        <v/>
      </c>
      <c r="R649">
        <f>IF(AND(Q649&lt;&gt;"",ISNUMBER(D649)),Q649,"")</f>
        <v/>
      </c>
      <c r="S649">
        <f>IF(AND(Q649&lt;&gt;"",ISNUMBER(E649)),Q649,"")</f>
        <v/>
      </c>
      <c r="T649">
        <f>IF(AND(Q649&lt;&gt;"",ISNUMBER(F649)),Q649,"")</f>
        <v/>
      </c>
      <c r="U649">
        <f>IF(AND(Q649&lt;&gt;"",ISNUMBER(G649)),Q649,"")</f>
        <v/>
      </c>
      <c r="V649">
        <f>IF(AND(Q649&lt;&gt;"",ISNUMBER(H649)),Q649,"")</f>
        <v/>
      </c>
      <c r="W649">
        <f>IF(AND(Q649&lt;&gt;"",ISNUMBER(I649)),Q649,"")</f>
        <v/>
      </c>
      <c r="X649">
        <f>IF(AND(Q649&lt;&gt;"",ISNUMBER(J649)),Q649,"")</f>
        <v/>
      </c>
      <c r="Y649">
        <f>IF(AND(Q649&lt;&gt;"",ISNUMBER(K649)),Q649,"")</f>
        <v/>
      </c>
      <c r="Z649">
        <f>IF(AND(Q649&lt;&gt;"",ISNUMBER(L649)),Q649,"")</f>
        <v/>
      </c>
      <c r="AA649">
        <f>IF(AND(Q649&lt;&gt;"",ISNUMBER(M649)),Q649,"")</f>
        <v/>
      </c>
      <c r="AB649">
        <f>IF(AND(Q649&lt;&gt;"",ISNUMBER(K649)),K649,"")</f>
        <v/>
      </c>
      <c r="AC649">
        <f>IF(AND(Q649&lt;&gt;"",ISNUMBER(L649)),L649,"")</f>
        <v/>
      </c>
      <c r="AD649">
        <f>IF(AND(Q649&lt;&gt;"",ISNUMBER(M649)),M649,"")</f>
        <v/>
      </c>
    </row>
    <row r="650">
      <c r="A650" s="1" t="n"/>
      <c r="B650" s="17" t="n"/>
      <c r="C650" s="27" t="n"/>
      <c r="D650" s="28" t="n"/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9" t="n"/>
      <c r="N650" s="21" t="n"/>
      <c r="O650" s="12">
        <f>IF(AND(B650="",C650=""),"",IF(NOT(ISNUMBER(B650)),"Needs a date",IF(C650="","Needs a client",IF(COUNTIF(Clients!$B$6:$B$105,C650)=0,"Not on Clients",IF(COUNT(D650:M650)=0,"Nothing measured","")))))</f>
        <v/>
      </c>
      <c r="P650" s="1">
        <f>IF(AND(O650="",ISNUMBER(B650)),INT(B650),0)</f>
        <v/>
      </c>
      <c r="Q650">
        <f>IF(AND(P650&gt;0,C650=Report!$C$5),P650*10000+ROW(),"")</f>
        <v/>
      </c>
      <c r="R650">
        <f>IF(AND(Q650&lt;&gt;"",ISNUMBER(D650)),Q650,"")</f>
        <v/>
      </c>
      <c r="S650">
        <f>IF(AND(Q650&lt;&gt;"",ISNUMBER(E650)),Q650,"")</f>
        <v/>
      </c>
      <c r="T650">
        <f>IF(AND(Q650&lt;&gt;"",ISNUMBER(F650)),Q650,"")</f>
        <v/>
      </c>
      <c r="U650">
        <f>IF(AND(Q650&lt;&gt;"",ISNUMBER(G650)),Q650,"")</f>
        <v/>
      </c>
      <c r="V650">
        <f>IF(AND(Q650&lt;&gt;"",ISNUMBER(H650)),Q650,"")</f>
        <v/>
      </c>
      <c r="W650">
        <f>IF(AND(Q650&lt;&gt;"",ISNUMBER(I650)),Q650,"")</f>
        <v/>
      </c>
      <c r="X650">
        <f>IF(AND(Q650&lt;&gt;"",ISNUMBER(J650)),Q650,"")</f>
        <v/>
      </c>
      <c r="Y650">
        <f>IF(AND(Q650&lt;&gt;"",ISNUMBER(K650)),Q650,"")</f>
        <v/>
      </c>
      <c r="Z650">
        <f>IF(AND(Q650&lt;&gt;"",ISNUMBER(L650)),Q650,"")</f>
        <v/>
      </c>
      <c r="AA650">
        <f>IF(AND(Q650&lt;&gt;"",ISNUMBER(M650)),Q650,"")</f>
        <v/>
      </c>
      <c r="AB650">
        <f>IF(AND(Q650&lt;&gt;"",ISNUMBER(K650)),K650,"")</f>
        <v/>
      </c>
      <c r="AC650">
        <f>IF(AND(Q650&lt;&gt;"",ISNUMBER(L650)),L650,"")</f>
        <v/>
      </c>
      <c r="AD650">
        <f>IF(AND(Q650&lt;&gt;"",ISNUMBER(M650)),M650,"")</f>
        <v/>
      </c>
    </row>
    <row r="651">
      <c r="A651" s="1" t="n"/>
      <c r="B651" s="17" t="n"/>
      <c r="C651" s="27" t="n"/>
      <c r="D651" s="28" t="n"/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9" t="n"/>
      <c r="N651" s="21" t="n"/>
      <c r="O651" s="12">
        <f>IF(AND(B651="",C651=""),"",IF(NOT(ISNUMBER(B651)),"Needs a date",IF(C651="","Needs a client",IF(COUNTIF(Clients!$B$6:$B$105,C651)=0,"Not on Clients",IF(COUNT(D651:M651)=0,"Nothing measured","")))))</f>
        <v/>
      </c>
      <c r="P651" s="1">
        <f>IF(AND(O651="",ISNUMBER(B651)),INT(B651),0)</f>
        <v/>
      </c>
      <c r="Q651">
        <f>IF(AND(P651&gt;0,C651=Report!$C$5),P651*10000+ROW(),"")</f>
        <v/>
      </c>
      <c r="R651">
        <f>IF(AND(Q651&lt;&gt;"",ISNUMBER(D651)),Q651,"")</f>
        <v/>
      </c>
      <c r="S651">
        <f>IF(AND(Q651&lt;&gt;"",ISNUMBER(E651)),Q651,"")</f>
        <v/>
      </c>
      <c r="T651">
        <f>IF(AND(Q651&lt;&gt;"",ISNUMBER(F651)),Q651,"")</f>
        <v/>
      </c>
      <c r="U651">
        <f>IF(AND(Q651&lt;&gt;"",ISNUMBER(G651)),Q651,"")</f>
        <v/>
      </c>
      <c r="V651">
        <f>IF(AND(Q651&lt;&gt;"",ISNUMBER(H651)),Q651,"")</f>
        <v/>
      </c>
      <c r="W651">
        <f>IF(AND(Q651&lt;&gt;"",ISNUMBER(I651)),Q651,"")</f>
        <v/>
      </c>
      <c r="X651">
        <f>IF(AND(Q651&lt;&gt;"",ISNUMBER(J651)),Q651,"")</f>
        <v/>
      </c>
      <c r="Y651">
        <f>IF(AND(Q651&lt;&gt;"",ISNUMBER(K651)),Q651,"")</f>
        <v/>
      </c>
      <c r="Z651">
        <f>IF(AND(Q651&lt;&gt;"",ISNUMBER(L651)),Q651,"")</f>
        <v/>
      </c>
      <c r="AA651">
        <f>IF(AND(Q651&lt;&gt;"",ISNUMBER(M651)),Q651,"")</f>
        <v/>
      </c>
      <c r="AB651">
        <f>IF(AND(Q651&lt;&gt;"",ISNUMBER(K651)),K651,"")</f>
        <v/>
      </c>
      <c r="AC651">
        <f>IF(AND(Q651&lt;&gt;"",ISNUMBER(L651)),L651,"")</f>
        <v/>
      </c>
      <c r="AD651">
        <f>IF(AND(Q651&lt;&gt;"",ISNUMBER(M651)),M651,"")</f>
        <v/>
      </c>
    </row>
    <row r="652">
      <c r="A652" s="1" t="n"/>
      <c r="B652" s="17" t="n"/>
      <c r="C652" s="27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9" t="n"/>
      <c r="N652" s="21" t="n"/>
      <c r="O652" s="12">
        <f>IF(AND(B652="",C652=""),"",IF(NOT(ISNUMBER(B652)),"Needs a date",IF(C652="","Needs a client",IF(COUNTIF(Clients!$B$6:$B$105,C652)=0,"Not on Clients",IF(COUNT(D652:M652)=0,"Nothing measured","")))))</f>
        <v/>
      </c>
      <c r="P652" s="1">
        <f>IF(AND(O652="",ISNUMBER(B652)),INT(B652),0)</f>
        <v/>
      </c>
      <c r="Q652">
        <f>IF(AND(P652&gt;0,C652=Report!$C$5),P652*10000+ROW(),"")</f>
        <v/>
      </c>
      <c r="R652">
        <f>IF(AND(Q652&lt;&gt;"",ISNUMBER(D652)),Q652,"")</f>
        <v/>
      </c>
      <c r="S652">
        <f>IF(AND(Q652&lt;&gt;"",ISNUMBER(E652)),Q652,"")</f>
        <v/>
      </c>
      <c r="T652">
        <f>IF(AND(Q652&lt;&gt;"",ISNUMBER(F652)),Q652,"")</f>
        <v/>
      </c>
      <c r="U652">
        <f>IF(AND(Q652&lt;&gt;"",ISNUMBER(G652)),Q652,"")</f>
        <v/>
      </c>
      <c r="V652">
        <f>IF(AND(Q652&lt;&gt;"",ISNUMBER(H652)),Q652,"")</f>
        <v/>
      </c>
      <c r="W652">
        <f>IF(AND(Q652&lt;&gt;"",ISNUMBER(I652)),Q652,"")</f>
        <v/>
      </c>
      <c r="X652">
        <f>IF(AND(Q652&lt;&gt;"",ISNUMBER(J652)),Q652,"")</f>
        <v/>
      </c>
      <c r="Y652">
        <f>IF(AND(Q652&lt;&gt;"",ISNUMBER(K652)),Q652,"")</f>
        <v/>
      </c>
      <c r="Z652">
        <f>IF(AND(Q652&lt;&gt;"",ISNUMBER(L652)),Q652,"")</f>
        <v/>
      </c>
      <c r="AA652">
        <f>IF(AND(Q652&lt;&gt;"",ISNUMBER(M652)),Q652,"")</f>
        <v/>
      </c>
      <c r="AB652">
        <f>IF(AND(Q652&lt;&gt;"",ISNUMBER(K652)),K652,"")</f>
        <v/>
      </c>
      <c r="AC652">
        <f>IF(AND(Q652&lt;&gt;"",ISNUMBER(L652)),L652,"")</f>
        <v/>
      </c>
      <c r="AD652">
        <f>IF(AND(Q652&lt;&gt;"",ISNUMBER(M652)),M652,"")</f>
        <v/>
      </c>
    </row>
    <row r="653">
      <c r="A653" s="1" t="n"/>
      <c r="B653" s="17" t="n"/>
      <c r="C653" s="27" t="n"/>
      <c r="D653" s="28" t="n"/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9" t="n"/>
      <c r="N653" s="21" t="n"/>
      <c r="O653" s="12">
        <f>IF(AND(B653="",C653=""),"",IF(NOT(ISNUMBER(B653)),"Needs a date",IF(C653="","Needs a client",IF(COUNTIF(Clients!$B$6:$B$105,C653)=0,"Not on Clients",IF(COUNT(D653:M653)=0,"Nothing measured","")))))</f>
        <v/>
      </c>
      <c r="P653" s="1">
        <f>IF(AND(O653="",ISNUMBER(B653)),INT(B653),0)</f>
        <v/>
      </c>
      <c r="Q653">
        <f>IF(AND(P653&gt;0,C653=Report!$C$5),P653*10000+ROW(),"")</f>
        <v/>
      </c>
      <c r="R653">
        <f>IF(AND(Q653&lt;&gt;"",ISNUMBER(D653)),Q653,"")</f>
        <v/>
      </c>
      <c r="S653">
        <f>IF(AND(Q653&lt;&gt;"",ISNUMBER(E653)),Q653,"")</f>
        <v/>
      </c>
      <c r="T653">
        <f>IF(AND(Q653&lt;&gt;"",ISNUMBER(F653)),Q653,"")</f>
        <v/>
      </c>
      <c r="U653">
        <f>IF(AND(Q653&lt;&gt;"",ISNUMBER(G653)),Q653,"")</f>
        <v/>
      </c>
      <c r="V653">
        <f>IF(AND(Q653&lt;&gt;"",ISNUMBER(H653)),Q653,"")</f>
        <v/>
      </c>
      <c r="W653">
        <f>IF(AND(Q653&lt;&gt;"",ISNUMBER(I653)),Q653,"")</f>
        <v/>
      </c>
      <c r="X653">
        <f>IF(AND(Q653&lt;&gt;"",ISNUMBER(J653)),Q653,"")</f>
        <v/>
      </c>
      <c r="Y653">
        <f>IF(AND(Q653&lt;&gt;"",ISNUMBER(K653)),Q653,"")</f>
        <v/>
      </c>
      <c r="Z653">
        <f>IF(AND(Q653&lt;&gt;"",ISNUMBER(L653)),Q653,"")</f>
        <v/>
      </c>
      <c r="AA653">
        <f>IF(AND(Q653&lt;&gt;"",ISNUMBER(M653)),Q653,"")</f>
        <v/>
      </c>
      <c r="AB653">
        <f>IF(AND(Q653&lt;&gt;"",ISNUMBER(K653)),K653,"")</f>
        <v/>
      </c>
      <c r="AC653">
        <f>IF(AND(Q653&lt;&gt;"",ISNUMBER(L653)),L653,"")</f>
        <v/>
      </c>
      <c r="AD653">
        <f>IF(AND(Q653&lt;&gt;"",ISNUMBER(M653)),M653,"")</f>
        <v/>
      </c>
    </row>
    <row r="654">
      <c r="A654" s="1" t="n"/>
      <c r="B654" s="17" t="n"/>
      <c r="C654" s="27" t="n"/>
      <c r="D654" s="28" t="n"/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9" t="n"/>
      <c r="N654" s="21" t="n"/>
      <c r="O654" s="12">
        <f>IF(AND(B654="",C654=""),"",IF(NOT(ISNUMBER(B654)),"Needs a date",IF(C654="","Needs a client",IF(COUNTIF(Clients!$B$6:$B$105,C654)=0,"Not on Clients",IF(COUNT(D654:M654)=0,"Nothing measured","")))))</f>
        <v/>
      </c>
      <c r="P654" s="1">
        <f>IF(AND(O654="",ISNUMBER(B654)),INT(B654),0)</f>
        <v/>
      </c>
      <c r="Q654">
        <f>IF(AND(P654&gt;0,C654=Report!$C$5),P654*10000+ROW(),"")</f>
        <v/>
      </c>
      <c r="R654">
        <f>IF(AND(Q654&lt;&gt;"",ISNUMBER(D654)),Q654,"")</f>
        <v/>
      </c>
      <c r="S654">
        <f>IF(AND(Q654&lt;&gt;"",ISNUMBER(E654)),Q654,"")</f>
        <v/>
      </c>
      <c r="T654">
        <f>IF(AND(Q654&lt;&gt;"",ISNUMBER(F654)),Q654,"")</f>
        <v/>
      </c>
      <c r="U654">
        <f>IF(AND(Q654&lt;&gt;"",ISNUMBER(G654)),Q654,"")</f>
        <v/>
      </c>
      <c r="V654">
        <f>IF(AND(Q654&lt;&gt;"",ISNUMBER(H654)),Q654,"")</f>
        <v/>
      </c>
      <c r="W654">
        <f>IF(AND(Q654&lt;&gt;"",ISNUMBER(I654)),Q654,"")</f>
        <v/>
      </c>
      <c r="X654">
        <f>IF(AND(Q654&lt;&gt;"",ISNUMBER(J654)),Q654,"")</f>
        <v/>
      </c>
      <c r="Y654">
        <f>IF(AND(Q654&lt;&gt;"",ISNUMBER(K654)),Q654,"")</f>
        <v/>
      </c>
      <c r="Z654">
        <f>IF(AND(Q654&lt;&gt;"",ISNUMBER(L654)),Q654,"")</f>
        <v/>
      </c>
      <c r="AA654">
        <f>IF(AND(Q654&lt;&gt;"",ISNUMBER(M654)),Q654,"")</f>
        <v/>
      </c>
      <c r="AB654">
        <f>IF(AND(Q654&lt;&gt;"",ISNUMBER(K654)),K654,"")</f>
        <v/>
      </c>
      <c r="AC654">
        <f>IF(AND(Q654&lt;&gt;"",ISNUMBER(L654)),L654,"")</f>
        <v/>
      </c>
      <c r="AD654">
        <f>IF(AND(Q654&lt;&gt;"",ISNUMBER(M654)),M654,"")</f>
        <v/>
      </c>
    </row>
    <row r="655">
      <c r="A655" s="1" t="n"/>
      <c r="B655" s="17" t="n"/>
      <c r="C655" s="27" t="n"/>
      <c r="D655" s="28" t="n"/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9" t="n"/>
      <c r="N655" s="21" t="n"/>
      <c r="O655" s="12">
        <f>IF(AND(B655="",C655=""),"",IF(NOT(ISNUMBER(B655)),"Needs a date",IF(C655="","Needs a client",IF(COUNTIF(Clients!$B$6:$B$105,C655)=0,"Not on Clients",IF(COUNT(D655:M655)=0,"Nothing measured","")))))</f>
        <v/>
      </c>
      <c r="P655" s="1">
        <f>IF(AND(O655="",ISNUMBER(B655)),INT(B655),0)</f>
        <v/>
      </c>
      <c r="Q655">
        <f>IF(AND(P655&gt;0,C655=Report!$C$5),P655*10000+ROW(),"")</f>
        <v/>
      </c>
      <c r="R655">
        <f>IF(AND(Q655&lt;&gt;"",ISNUMBER(D655)),Q655,"")</f>
        <v/>
      </c>
      <c r="S655">
        <f>IF(AND(Q655&lt;&gt;"",ISNUMBER(E655)),Q655,"")</f>
        <v/>
      </c>
      <c r="T655">
        <f>IF(AND(Q655&lt;&gt;"",ISNUMBER(F655)),Q655,"")</f>
        <v/>
      </c>
      <c r="U655">
        <f>IF(AND(Q655&lt;&gt;"",ISNUMBER(G655)),Q655,"")</f>
        <v/>
      </c>
      <c r="V655">
        <f>IF(AND(Q655&lt;&gt;"",ISNUMBER(H655)),Q655,"")</f>
        <v/>
      </c>
      <c r="W655">
        <f>IF(AND(Q655&lt;&gt;"",ISNUMBER(I655)),Q655,"")</f>
        <v/>
      </c>
      <c r="X655">
        <f>IF(AND(Q655&lt;&gt;"",ISNUMBER(J655)),Q655,"")</f>
        <v/>
      </c>
      <c r="Y655">
        <f>IF(AND(Q655&lt;&gt;"",ISNUMBER(K655)),Q655,"")</f>
        <v/>
      </c>
      <c r="Z655">
        <f>IF(AND(Q655&lt;&gt;"",ISNUMBER(L655)),Q655,"")</f>
        <v/>
      </c>
      <c r="AA655">
        <f>IF(AND(Q655&lt;&gt;"",ISNUMBER(M655)),Q655,"")</f>
        <v/>
      </c>
      <c r="AB655">
        <f>IF(AND(Q655&lt;&gt;"",ISNUMBER(K655)),K655,"")</f>
        <v/>
      </c>
      <c r="AC655">
        <f>IF(AND(Q655&lt;&gt;"",ISNUMBER(L655)),L655,"")</f>
        <v/>
      </c>
      <c r="AD655">
        <f>IF(AND(Q655&lt;&gt;"",ISNUMBER(M655)),M655,"")</f>
        <v/>
      </c>
    </row>
    <row r="656">
      <c r="A656" s="1" t="n"/>
      <c r="B656" s="17" t="n"/>
      <c r="C656" s="27" t="n"/>
      <c r="D656" s="28" t="n"/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9" t="n"/>
      <c r="N656" s="21" t="n"/>
      <c r="O656" s="12">
        <f>IF(AND(B656="",C656=""),"",IF(NOT(ISNUMBER(B656)),"Needs a date",IF(C656="","Needs a client",IF(COUNTIF(Clients!$B$6:$B$105,C656)=0,"Not on Clients",IF(COUNT(D656:M656)=0,"Nothing measured","")))))</f>
        <v/>
      </c>
      <c r="P656" s="1">
        <f>IF(AND(O656="",ISNUMBER(B656)),INT(B656),0)</f>
        <v/>
      </c>
      <c r="Q656">
        <f>IF(AND(P656&gt;0,C656=Report!$C$5),P656*10000+ROW(),"")</f>
        <v/>
      </c>
      <c r="R656">
        <f>IF(AND(Q656&lt;&gt;"",ISNUMBER(D656)),Q656,"")</f>
        <v/>
      </c>
      <c r="S656">
        <f>IF(AND(Q656&lt;&gt;"",ISNUMBER(E656)),Q656,"")</f>
        <v/>
      </c>
      <c r="T656">
        <f>IF(AND(Q656&lt;&gt;"",ISNUMBER(F656)),Q656,"")</f>
        <v/>
      </c>
      <c r="U656">
        <f>IF(AND(Q656&lt;&gt;"",ISNUMBER(G656)),Q656,"")</f>
        <v/>
      </c>
      <c r="V656">
        <f>IF(AND(Q656&lt;&gt;"",ISNUMBER(H656)),Q656,"")</f>
        <v/>
      </c>
      <c r="W656">
        <f>IF(AND(Q656&lt;&gt;"",ISNUMBER(I656)),Q656,"")</f>
        <v/>
      </c>
      <c r="X656">
        <f>IF(AND(Q656&lt;&gt;"",ISNUMBER(J656)),Q656,"")</f>
        <v/>
      </c>
      <c r="Y656">
        <f>IF(AND(Q656&lt;&gt;"",ISNUMBER(K656)),Q656,"")</f>
        <v/>
      </c>
      <c r="Z656">
        <f>IF(AND(Q656&lt;&gt;"",ISNUMBER(L656)),Q656,"")</f>
        <v/>
      </c>
      <c r="AA656">
        <f>IF(AND(Q656&lt;&gt;"",ISNUMBER(M656)),Q656,"")</f>
        <v/>
      </c>
      <c r="AB656">
        <f>IF(AND(Q656&lt;&gt;"",ISNUMBER(K656)),K656,"")</f>
        <v/>
      </c>
      <c r="AC656">
        <f>IF(AND(Q656&lt;&gt;"",ISNUMBER(L656)),L656,"")</f>
        <v/>
      </c>
      <c r="AD656">
        <f>IF(AND(Q656&lt;&gt;"",ISNUMBER(M656)),M656,"")</f>
        <v/>
      </c>
    </row>
    <row r="657">
      <c r="A657" s="1" t="n"/>
      <c r="B657" s="17" t="n"/>
      <c r="C657" s="27" t="n"/>
      <c r="D657" s="28" t="n"/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9" t="n"/>
      <c r="N657" s="21" t="n"/>
      <c r="O657" s="12">
        <f>IF(AND(B657="",C657=""),"",IF(NOT(ISNUMBER(B657)),"Needs a date",IF(C657="","Needs a client",IF(COUNTIF(Clients!$B$6:$B$105,C657)=0,"Not on Clients",IF(COUNT(D657:M657)=0,"Nothing measured","")))))</f>
        <v/>
      </c>
      <c r="P657" s="1">
        <f>IF(AND(O657="",ISNUMBER(B657)),INT(B657),0)</f>
        <v/>
      </c>
      <c r="Q657">
        <f>IF(AND(P657&gt;0,C657=Report!$C$5),P657*10000+ROW(),"")</f>
        <v/>
      </c>
      <c r="R657">
        <f>IF(AND(Q657&lt;&gt;"",ISNUMBER(D657)),Q657,"")</f>
        <v/>
      </c>
      <c r="S657">
        <f>IF(AND(Q657&lt;&gt;"",ISNUMBER(E657)),Q657,"")</f>
        <v/>
      </c>
      <c r="T657">
        <f>IF(AND(Q657&lt;&gt;"",ISNUMBER(F657)),Q657,"")</f>
        <v/>
      </c>
      <c r="U657">
        <f>IF(AND(Q657&lt;&gt;"",ISNUMBER(G657)),Q657,"")</f>
        <v/>
      </c>
      <c r="V657">
        <f>IF(AND(Q657&lt;&gt;"",ISNUMBER(H657)),Q657,"")</f>
        <v/>
      </c>
      <c r="W657">
        <f>IF(AND(Q657&lt;&gt;"",ISNUMBER(I657)),Q657,"")</f>
        <v/>
      </c>
      <c r="X657">
        <f>IF(AND(Q657&lt;&gt;"",ISNUMBER(J657)),Q657,"")</f>
        <v/>
      </c>
      <c r="Y657">
        <f>IF(AND(Q657&lt;&gt;"",ISNUMBER(K657)),Q657,"")</f>
        <v/>
      </c>
      <c r="Z657">
        <f>IF(AND(Q657&lt;&gt;"",ISNUMBER(L657)),Q657,"")</f>
        <v/>
      </c>
      <c r="AA657">
        <f>IF(AND(Q657&lt;&gt;"",ISNUMBER(M657)),Q657,"")</f>
        <v/>
      </c>
      <c r="AB657">
        <f>IF(AND(Q657&lt;&gt;"",ISNUMBER(K657)),K657,"")</f>
        <v/>
      </c>
      <c r="AC657">
        <f>IF(AND(Q657&lt;&gt;"",ISNUMBER(L657)),L657,"")</f>
        <v/>
      </c>
      <c r="AD657">
        <f>IF(AND(Q657&lt;&gt;"",ISNUMBER(M657)),M657,"")</f>
        <v/>
      </c>
    </row>
    <row r="658">
      <c r="A658" s="1" t="n"/>
      <c r="B658" s="17" t="n"/>
      <c r="C658" s="27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9" t="n"/>
      <c r="N658" s="21" t="n"/>
      <c r="O658" s="12">
        <f>IF(AND(B658="",C658=""),"",IF(NOT(ISNUMBER(B658)),"Needs a date",IF(C658="","Needs a client",IF(COUNTIF(Clients!$B$6:$B$105,C658)=0,"Not on Clients",IF(COUNT(D658:M658)=0,"Nothing measured","")))))</f>
        <v/>
      </c>
      <c r="P658" s="1">
        <f>IF(AND(O658="",ISNUMBER(B658)),INT(B658),0)</f>
        <v/>
      </c>
      <c r="Q658">
        <f>IF(AND(P658&gt;0,C658=Report!$C$5),P658*10000+ROW(),"")</f>
        <v/>
      </c>
      <c r="R658">
        <f>IF(AND(Q658&lt;&gt;"",ISNUMBER(D658)),Q658,"")</f>
        <v/>
      </c>
      <c r="S658">
        <f>IF(AND(Q658&lt;&gt;"",ISNUMBER(E658)),Q658,"")</f>
        <v/>
      </c>
      <c r="T658">
        <f>IF(AND(Q658&lt;&gt;"",ISNUMBER(F658)),Q658,"")</f>
        <v/>
      </c>
      <c r="U658">
        <f>IF(AND(Q658&lt;&gt;"",ISNUMBER(G658)),Q658,"")</f>
        <v/>
      </c>
      <c r="V658">
        <f>IF(AND(Q658&lt;&gt;"",ISNUMBER(H658)),Q658,"")</f>
        <v/>
      </c>
      <c r="W658">
        <f>IF(AND(Q658&lt;&gt;"",ISNUMBER(I658)),Q658,"")</f>
        <v/>
      </c>
      <c r="X658">
        <f>IF(AND(Q658&lt;&gt;"",ISNUMBER(J658)),Q658,"")</f>
        <v/>
      </c>
      <c r="Y658">
        <f>IF(AND(Q658&lt;&gt;"",ISNUMBER(K658)),Q658,"")</f>
        <v/>
      </c>
      <c r="Z658">
        <f>IF(AND(Q658&lt;&gt;"",ISNUMBER(L658)),Q658,"")</f>
        <v/>
      </c>
      <c r="AA658">
        <f>IF(AND(Q658&lt;&gt;"",ISNUMBER(M658)),Q658,"")</f>
        <v/>
      </c>
      <c r="AB658">
        <f>IF(AND(Q658&lt;&gt;"",ISNUMBER(K658)),K658,"")</f>
        <v/>
      </c>
      <c r="AC658">
        <f>IF(AND(Q658&lt;&gt;"",ISNUMBER(L658)),L658,"")</f>
        <v/>
      </c>
      <c r="AD658">
        <f>IF(AND(Q658&lt;&gt;"",ISNUMBER(M658)),M658,"")</f>
        <v/>
      </c>
    </row>
    <row r="659">
      <c r="A659" s="1" t="n"/>
      <c r="B659" s="17" t="n"/>
      <c r="C659" s="27" t="n"/>
      <c r="D659" s="28" t="n"/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9" t="n"/>
      <c r="N659" s="21" t="n"/>
      <c r="O659" s="12">
        <f>IF(AND(B659="",C659=""),"",IF(NOT(ISNUMBER(B659)),"Needs a date",IF(C659="","Needs a client",IF(COUNTIF(Clients!$B$6:$B$105,C659)=0,"Not on Clients",IF(COUNT(D659:M659)=0,"Nothing measured","")))))</f>
        <v/>
      </c>
      <c r="P659" s="1">
        <f>IF(AND(O659="",ISNUMBER(B659)),INT(B659),0)</f>
        <v/>
      </c>
      <c r="Q659">
        <f>IF(AND(P659&gt;0,C659=Report!$C$5),P659*10000+ROW(),"")</f>
        <v/>
      </c>
      <c r="R659">
        <f>IF(AND(Q659&lt;&gt;"",ISNUMBER(D659)),Q659,"")</f>
        <v/>
      </c>
      <c r="S659">
        <f>IF(AND(Q659&lt;&gt;"",ISNUMBER(E659)),Q659,"")</f>
        <v/>
      </c>
      <c r="T659">
        <f>IF(AND(Q659&lt;&gt;"",ISNUMBER(F659)),Q659,"")</f>
        <v/>
      </c>
      <c r="U659">
        <f>IF(AND(Q659&lt;&gt;"",ISNUMBER(G659)),Q659,"")</f>
        <v/>
      </c>
      <c r="V659">
        <f>IF(AND(Q659&lt;&gt;"",ISNUMBER(H659)),Q659,"")</f>
        <v/>
      </c>
      <c r="W659">
        <f>IF(AND(Q659&lt;&gt;"",ISNUMBER(I659)),Q659,"")</f>
        <v/>
      </c>
      <c r="X659">
        <f>IF(AND(Q659&lt;&gt;"",ISNUMBER(J659)),Q659,"")</f>
        <v/>
      </c>
      <c r="Y659">
        <f>IF(AND(Q659&lt;&gt;"",ISNUMBER(K659)),Q659,"")</f>
        <v/>
      </c>
      <c r="Z659">
        <f>IF(AND(Q659&lt;&gt;"",ISNUMBER(L659)),Q659,"")</f>
        <v/>
      </c>
      <c r="AA659">
        <f>IF(AND(Q659&lt;&gt;"",ISNUMBER(M659)),Q659,"")</f>
        <v/>
      </c>
      <c r="AB659">
        <f>IF(AND(Q659&lt;&gt;"",ISNUMBER(K659)),K659,"")</f>
        <v/>
      </c>
      <c r="AC659">
        <f>IF(AND(Q659&lt;&gt;"",ISNUMBER(L659)),L659,"")</f>
        <v/>
      </c>
      <c r="AD659">
        <f>IF(AND(Q659&lt;&gt;"",ISNUMBER(M659)),M659,"")</f>
        <v/>
      </c>
    </row>
    <row r="660">
      <c r="A660" s="1" t="n"/>
      <c r="B660" s="17" t="n"/>
      <c r="C660" s="27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9" t="n"/>
      <c r="N660" s="21" t="n"/>
      <c r="O660" s="12">
        <f>IF(AND(B660="",C660=""),"",IF(NOT(ISNUMBER(B660)),"Needs a date",IF(C660="","Needs a client",IF(COUNTIF(Clients!$B$6:$B$105,C660)=0,"Not on Clients",IF(COUNT(D660:M660)=0,"Nothing measured","")))))</f>
        <v/>
      </c>
      <c r="P660" s="1">
        <f>IF(AND(O660="",ISNUMBER(B660)),INT(B660),0)</f>
        <v/>
      </c>
      <c r="Q660">
        <f>IF(AND(P660&gt;0,C660=Report!$C$5),P660*10000+ROW(),"")</f>
        <v/>
      </c>
      <c r="R660">
        <f>IF(AND(Q660&lt;&gt;"",ISNUMBER(D660)),Q660,"")</f>
        <v/>
      </c>
      <c r="S660">
        <f>IF(AND(Q660&lt;&gt;"",ISNUMBER(E660)),Q660,"")</f>
        <v/>
      </c>
      <c r="T660">
        <f>IF(AND(Q660&lt;&gt;"",ISNUMBER(F660)),Q660,"")</f>
        <v/>
      </c>
      <c r="U660">
        <f>IF(AND(Q660&lt;&gt;"",ISNUMBER(G660)),Q660,"")</f>
        <v/>
      </c>
      <c r="V660">
        <f>IF(AND(Q660&lt;&gt;"",ISNUMBER(H660)),Q660,"")</f>
        <v/>
      </c>
      <c r="W660">
        <f>IF(AND(Q660&lt;&gt;"",ISNUMBER(I660)),Q660,"")</f>
        <v/>
      </c>
      <c r="X660">
        <f>IF(AND(Q660&lt;&gt;"",ISNUMBER(J660)),Q660,"")</f>
        <v/>
      </c>
      <c r="Y660">
        <f>IF(AND(Q660&lt;&gt;"",ISNUMBER(K660)),Q660,"")</f>
        <v/>
      </c>
      <c r="Z660">
        <f>IF(AND(Q660&lt;&gt;"",ISNUMBER(L660)),Q660,"")</f>
        <v/>
      </c>
      <c r="AA660">
        <f>IF(AND(Q660&lt;&gt;"",ISNUMBER(M660)),Q660,"")</f>
        <v/>
      </c>
      <c r="AB660">
        <f>IF(AND(Q660&lt;&gt;"",ISNUMBER(K660)),K660,"")</f>
        <v/>
      </c>
      <c r="AC660">
        <f>IF(AND(Q660&lt;&gt;"",ISNUMBER(L660)),L660,"")</f>
        <v/>
      </c>
      <c r="AD660">
        <f>IF(AND(Q660&lt;&gt;"",ISNUMBER(M660)),M660,"")</f>
        <v/>
      </c>
    </row>
    <row r="661">
      <c r="A661" s="1" t="n"/>
      <c r="B661" s="17" t="n"/>
      <c r="C661" s="27" t="n"/>
      <c r="D661" s="28" t="n"/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9" t="n"/>
      <c r="N661" s="21" t="n"/>
      <c r="O661" s="12">
        <f>IF(AND(B661="",C661=""),"",IF(NOT(ISNUMBER(B661)),"Needs a date",IF(C661="","Needs a client",IF(COUNTIF(Clients!$B$6:$B$105,C661)=0,"Not on Clients",IF(COUNT(D661:M661)=0,"Nothing measured","")))))</f>
        <v/>
      </c>
      <c r="P661" s="1">
        <f>IF(AND(O661="",ISNUMBER(B661)),INT(B661),0)</f>
        <v/>
      </c>
      <c r="Q661">
        <f>IF(AND(P661&gt;0,C661=Report!$C$5),P661*10000+ROW(),"")</f>
        <v/>
      </c>
      <c r="R661">
        <f>IF(AND(Q661&lt;&gt;"",ISNUMBER(D661)),Q661,"")</f>
        <v/>
      </c>
      <c r="S661">
        <f>IF(AND(Q661&lt;&gt;"",ISNUMBER(E661)),Q661,"")</f>
        <v/>
      </c>
      <c r="T661">
        <f>IF(AND(Q661&lt;&gt;"",ISNUMBER(F661)),Q661,"")</f>
        <v/>
      </c>
      <c r="U661">
        <f>IF(AND(Q661&lt;&gt;"",ISNUMBER(G661)),Q661,"")</f>
        <v/>
      </c>
      <c r="V661">
        <f>IF(AND(Q661&lt;&gt;"",ISNUMBER(H661)),Q661,"")</f>
        <v/>
      </c>
      <c r="W661">
        <f>IF(AND(Q661&lt;&gt;"",ISNUMBER(I661)),Q661,"")</f>
        <v/>
      </c>
      <c r="X661">
        <f>IF(AND(Q661&lt;&gt;"",ISNUMBER(J661)),Q661,"")</f>
        <v/>
      </c>
      <c r="Y661">
        <f>IF(AND(Q661&lt;&gt;"",ISNUMBER(K661)),Q661,"")</f>
        <v/>
      </c>
      <c r="Z661">
        <f>IF(AND(Q661&lt;&gt;"",ISNUMBER(L661)),Q661,"")</f>
        <v/>
      </c>
      <c r="AA661">
        <f>IF(AND(Q661&lt;&gt;"",ISNUMBER(M661)),Q661,"")</f>
        <v/>
      </c>
      <c r="AB661">
        <f>IF(AND(Q661&lt;&gt;"",ISNUMBER(K661)),K661,"")</f>
        <v/>
      </c>
      <c r="AC661">
        <f>IF(AND(Q661&lt;&gt;"",ISNUMBER(L661)),L661,"")</f>
        <v/>
      </c>
      <c r="AD661">
        <f>IF(AND(Q661&lt;&gt;"",ISNUMBER(M661)),M661,"")</f>
        <v/>
      </c>
    </row>
    <row r="662">
      <c r="A662" s="1" t="n"/>
      <c r="B662" s="17" t="n"/>
      <c r="C662" s="27" t="n"/>
      <c r="D662" s="28" t="n"/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9" t="n"/>
      <c r="N662" s="21" t="n"/>
      <c r="O662" s="12">
        <f>IF(AND(B662="",C662=""),"",IF(NOT(ISNUMBER(B662)),"Needs a date",IF(C662="","Needs a client",IF(COUNTIF(Clients!$B$6:$B$105,C662)=0,"Not on Clients",IF(COUNT(D662:M662)=0,"Nothing measured","")))))</f>
        <v/>
      </c>
      <c r="P662" s="1">
        <f>IF(AND(O662="",ISNUMBER(B662)),INT(B662),0)</f>
        <v/>
      </c>
      <c r="Q662">
        <f>IF(AND(P662&gt;0,C662=Report!$C$5),P662*10000+ROW(),"")</f>
        <v/>
      </c>
      <c r="R662">
        <f>IF(AND(Q662&lt;&gt;"",ISNUMBER(D662)),Q662,"")</f>
        <v/>
      </c>
      <c r="S662">
        <f>IF(AND(Q662&lt;&gt;"",ISNUMBER(E662)),Q662,"")</f>
        <v/>
      </c>
      <c r="T662">
        <f>IF(AND(Q662&lt;&gt;"",ISNUMBER(F662)),Q662,"")</f>
        <v/>
      </c>
      <c r="U662">
        <f>IF(AND(Q662&lt;&gt;"",ISNUMBER(G662)),Q662,"")</f>
        <v/>
      </c>
      <c r="V662">
        <f>IF(AND(Q662&lt;&gt;"",ISNUMBER(H662)),Q662,"")</f>
        <v/>
      </c>
      <c r="W662">
        <f>IF(AND(Q662&lt;&gt;"",ISNUMBER(I662)),Q662,"")</f>
        <v/>
      </c>
      <c r="X662">
        <f>IF(AND(Q662&lt;&gt;"",ISNUMBER(J662)),Q662,"")</f>
        <v/>
      </c>
      <c r="Y662">
        <f>IF(AND(Q662&lt;&gt;"",ISNUMBER(K662)),Q662,"")</f>
        <v/>
      </c>
      <c r="Z662">
        <f>IF(AND(Q662&lt;&gt;"",ISNUMBER(L662)),Q662,"")</f>
        <v/>
      </c>
      <c r="AA662">
        <f>IF(AND(Q662&lt;&gt;"",ISNUMBER(M662)),Q662,"")</f>
        <v/>
      </c>
      <c r="AB662">
        <f>IF(AND(Q662&lt;&gt;"",ISNUMBER(K662)),K662,"")</f>
        <v/>
      </c>
      <c r="AC662">
        <f>IF(AND(Q662&lt;&gt;"",ISNUMBER(L662)),L662,"")</f>
        <v/>
      </c>
      <c r="AD662">
        <f>IF(AND(Q662&lt;&gt;"",ISNUMBER(M662)),M662,"")</f>
        <v/>
      </c>
    </row>
    <row r="663">
      <c r="A663" s="1" t="n"/>
      <c r="B663" s="17" t="n"/>
      <c r="C663" s="27" t="n"/>
      <c r="D663" s="28" t="n"/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9" t="n"/>
      <c r="N663" s="21" t="n"/>
      <c r="O663" s="12">
        <f>IF(AND(B663="",C663=""),"",IF(NOT(ISNUMBER(B663)),"Needs a date",IF(C663="","Needs a client",IF(COUNTIF(Clients!$B$6:$B$105,C663)=0,"Not on Clients",IF(COUNT(D663:M663)=0,"Nothing measured","")))))</f>
        <v/>
      </c>
      <c r="P663" s="1">
        <f>IF(AND(O663="",ISNUMBER(B663)),INT(B663),0)</f>
        <v/>
      </c>
      <c r="Q663">
        <f>IF(AND(P663&gt;0,C663=Report!$C$5),P663*10000+ROW(),"")</f>
        <v/>
      </c>
      <c r="R663">
        <f>IF(AND(Q663&lt;&gt;"",ISNUMBER(D663)),Q663,"")</f>
        <v/>
      </c>
      <c r="S663">
        <f>IF(AND(Q663&lt;&gt;"",ISNUMBER(E663)),Q663,"")</f>
        <v/>
      </c>
      <c r="T663">
        <f>IF(AND(Q663&lt;&gt;"",ISNUMBER(F663)),Q663,"")</f>
        <v/>
      </c>
      <c r="U663">
        <f>IF(AND(Q663&lt;&gt;"",ISNUMBER(G663)),Q663,"")</f>
        <v/>
      </c>
      <c r="V663">
        <f>IF(AND(Q663&lt;&gt;"",ISNUMBER(H663)),Q663,"")</f>
        <v/>
      </c>
      <c r="W663">
        <f>IF(AND(Q663&lt;&gt;"",ISNUMBER(I663)),Q663,"")</f>
        <v/>
      </c>
      <c r="X663">
        <f>IF(AND(Q663&lt;&gt;"",ISNUMBER(J663)),Q663,"")</f>
        <v/>
      </c>
      <c r="Y663">
        <f>IF(AND(Q663&lt;&gt;"",ISNUMBER(K663)),Q663,"")</f>
        <v/>
      </c>
      <c r="Z663">
        <f>IF(AND(Q663&lt;&gt;"",ISNUMBER(L663)),Q663,"")</f>
        <v/>
      </c>
      <c r="AA663">
        <f>IF(AND(Q663&lt;&gt;"",ISNUMBER(M663)),Q663,"")</f>
        <v/>
      </c>
      <c r="AB663">
        <f>IF(AND(Q663&lt;&gt;"",ISNUMBER(K663)),K663,"")</f>
        <v/>
      </c>
      <c r="AC663">
        <f>IF(AND(Q663&lt;&gt;"",ISNUMBER(L663)),L663,"")</f>
        <v/>
      </c>
      <c r="AD663">
        <f>IF(AND(Q663&lt;&gt;"",ISNUMBER(M663)),M663,"")</f>
        <v/>
      </c>
    </row>
    <row r="664">
      <c r="A664" s="1" t="n"/>
      <c r="B664" s="17" t="n"/>
      <c r="C664" s="27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9" t="n"/>
      <c r="N664" s="21" t="n"/>
      <c r="O664" s="12">
        <f>IF(AND(B664="",C664=""),"",IF(NOT(ISNUMBER(B664)),"Needs a date",IF(C664="","Needs a client",IF(COUNTIF(Clients!$B$6:$B$105,C664)=0,"Not on Clients",IF(COUNT(D664:M664)=0,"Nothing measured","")))))</f>
        <v/>
      </c>
      <c r="P664" s="1">
        <f>IF(AND(O664="",ISNUMBER(B664)),INT(B664),0)</f>
        <v/>
      </c>
      <c r="Q664">
        <f>IF(AND(P664&gt;0,C664=Report!$C$5),P664*10000+ROW(),"")</f>
        <v/>
      </c>
      <c r="R664">
        <f>IF(AND(Q664&lt;&gt;"",ISNUMBER(D664)),Q664,"")</f>
        <v/>
      </c>
      <c r="S664">
        <f>IF(AND(Q664&lt;&gt;"",ISNUMBER(E664)),Q664,"")</f>
        <v/>
      </c>
      <c r="T664">
        <f>IF(AND(Q664&lt;&gt;"",ISNUMBER(F664)),Q664,"")</f>
        <v/>
      </c>
      <c r="U664">
        <f>IF(AND(Q664&lt;&gt;"",ISNUMBER(G664)),Q664,"")</f>
        <v/>
      </c>
      <c r="V664">
        <f>IF(AND(Q664&lt;&gt;"",ISNUMBER(H664)),Q664,"")</f>
        <v/>
      </c>
      <c r="W664">
        <f>IF(AND(Q664&lt;&gt;"",ISNUMBER(I664)),Q664,"")</f>
        <v/>
      </c>
      <c r="X664">
        <f>IF(AND(Q664&lt;&gt;"",ISNUMBER(J664)),Q664,"")</f>
        <v/>
      </c>
      <c r="Y664">
        <f>IF(AND(Q664&lt;&gt;"",ISNUMBER(K664)),Q664,"")</f>
        <v/>
      </c>
      <c r="Z664">
        <f>IF(AND(Q664&lt;&gt;"",ISNUMBER(L664)),Q664,"")</f>
        <v/>
      </c>
      <c r="AA664">
        <f>IF(AND(Q664&lt;&gt;"",ISNUMBER(M664)),Q664,"")</f>
        <v/>
      </c>
      <c r="AB664">
        <f>IF(AND(Q664&lt;&gt;"",ISNUMBER(K664)),K664,"")</f>
        <v/>
      </c>
      <c r="AC664">
        <f>IF(AND(Q664&lt;&gt;"",ISNUMBER(L664)),L664,"")</f>
        <v/>
      </c>
      <c r="AD664">
        <f>IF(AND(Q664&lt;&gt;"",ISNUMBER(M664)),M664,"")</f>
        <v/>
      </c>
    </row>
    <row r="665">
      <c r="A665" s="1" t="n"/>
      <c r="B665" s="17" t="n"/>
      <c r="C665" s="27" t="n"/>
      <c r="D665" s="28" t="n"/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9" t="n"/>
      <c r="N665" s="21" t="n"/>
      <c r="O665" s="12">
        <f>IF(AND(B665="",C665=""),"",IF(NOT(ISNUMBER(B665)),"Needs a date",IF(C665="","Needs a client",IF(COUNTIF(Clients!$B$6:$B$105,C665)=0,"Not on Clients",IF(COUNT(D665:M665)=0,"Nothing measured","")))))</f>
        <v/>
      </c>
      <c r="P665" s="1">
        <f>IF(AND(O665="",ISNUMBER(B665)),INT(B665),0)</f>
        <v/>
      </c>
      <c r="Q665">
        <f>IF(AND(P665&gt;0,C665=Report!$C$5),P665*10000+ROW(),"")</f>
        <v/>
      </c>
      <c r="R665">
        <f>IF(AND(Q665&lt;&gt;"",ISNUMBER(D665)),Q665,"")</f>
        <v/>
      </c>
      <c r="S665">
        <f>IF(AND(Q665&lt;&gt;"",ISNUMBER(E665)),Q665,"")</f>
        <v/>
      </c>
      <c r="T665">
        <f>IF(AND(Q665&lt;&gt;"",ISNUMBER(F665)),Q665,"")</f>
        <v/>
      </c>
      <c r="U665">
        <f>IF(AND(Q665&lt;&gt;"",ISNUMBER(G665)),Q665,"")</f>
        <v/>
      </c>
      <c r="V665">
        <f>IF(AND(Q665&lt;&gt;"",ISNUMBER(H665)),Q665,"")</f>
        <v/>
      </c>
      <c r="W665">
        <f>IF(AND(Q665&lt;&gt;"",ISNUMBER(I665)),Q665,"")</f>
        <v/>
      </c>
      <c r="X665">
        <f>IF(AND(Q665&lt;&gt;"",ISNUMBER(J665)),Q665,"")</f>
        <v/>
      </c>
      <c r="Y665">
        <f>IF(AND(Q665&lt;&gt;"",ISNUMBER(K665)),Q665,"")</f>
        <v/>
      </c>
      <c r="Z665">
        <f>IF(AND(Q665&lt;&gt;"",ISNUMBER(L665)),Q665,"")</f>
        <v/>
      </c>
      <c r="AA665">
        <f>IF(AND(Q665&lt;&gt;"",ISNUMBER(M665)),Q665,"")</f>
        <v/>
      </c>
      <c r="AB665">
        <f>IF(AND(Q665&lt;&gt;"",ISNUMBER(K665)),K665,"")</f>
        <v/>
      </c>
      <c r="AC665">
        <f>IF(AND(Q665&lt;&gt;"",ISNUMBER(L665)),L665,"")</f>
        <v/>
      </c>
      <c r="AD665">
        <f>IF(AND(Q665&lt;&gt;"",ISNUMBER(M665)),M665,"")</f>
        <v/>
      </c>
    </row>
    <row r="666">
      <c r="A666" s="1" t="n"/>
      <c r="B666" s="17" t="n"/>
      <c r="C666" s="27" t="n"/>
      <c r="D666" s="28" t="n"/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9" t="n"/>
      <c r="N666" s="21" t="n"/>
      <c r="O666" s="12">
        <f>IF(AND(B666="",C666=""),"",IF(NOT(ISNUMBER(B666)),"Needs a date",IF(C666="","Needs a client",IF(COUNTIF(Clients!$B$6:$B$105,C666)=0,"Not on Clients",IF(COUNT(D666:M666)=0,"Nothing measured","")))))</f>
        <v/>
      </c>
      <c r="P666" s="1">
        <f>IF(AND(O666="",ISNUMBER(B666)),INT(B666),0)</f>
        <v/>
      </c>
      <c r="Q666">
        <f>IF(AND(P666&gt;0,C666=Report!$C$5),P666*10000+ROW(),"")</f>
        <v/>
      </c>
      <c r="R666">
        <f>IF(AND(Q666&lt;&gt;"",ISNUMBER(D666)),Q666,"")</f>
        <v/>
      </c>
      <c r="S666">
        <f>IF(AND(Q666&lt;&gt;"",ISNUMBER(E666)),Q666,"")</f>
        <v/>
      </c>
      <c r="T666">
        <f>IF(AND(Q666&lt;&gt;"",ISNUMBER(F666)),Q666,"")</f>
        <v/>
      </c>
      <c r="U666">
        <f>IF(AND(Q666&lt;&gt;"",ISNUMBER(G666)),Q666,"")</f>
        <v/>
      </c>
      <c r="V666">
        <f>IF(AND(Q666&lt;&gt;"",ISNUMBER(H666)),Q666,"")</f>
        <v/>
      </c>
      <c r="W666">
        <f>IF(AND(Q666&lt;&gt;"",ISNUMBER(I666)),Q666,"")</f>
        <v/>
      </c>
      <c r="X666">
        <f>IF(AND(Q666&lt;&gt;"",ISNUMBER(J666)),Q666,"")</f>
        <v/>
      </c>
      <c r="Y666">
        <f>IF(AND(Q666&lt;&gt;"",ISNUMBER(K666)),Q666,"")</f>
        <v/>
      </c>
      <c r="Z666">
        <f>IF(AND(Q666&lt;&gt;"",ISNUMBER(L666)),Q666,"")</f>
        <v/>
      </c>
      <c r="AA666">
        <f>IF(AND(Q666&lt;&gt;"",ISNUMBER(M666)),Q666,"")</f>
        <v/>
      </c>
      <c r="AB666">
        <f>IF(AND(Q666&lt;&gt;"",ISNUMBER(K666)),K666,"")</f>
        <v/>
      </c>
      <c r="AC666">
        <f>IF(AND(Q666&lt;&gt;"",ISNUMBER(L666)),L666,"")</f>
        <v/>
      </c>
      <c r="AD666">
        <f>IF(AND(Q666&lt;&gt;"",ISNUMBER(M666)),M666,"")</f>
        <v/>
      </c>
    </row>
    <row r="667">
      <c r="A667" s="1" t="n"/>
      <c r="B667" s="17" t="n"/>
      <c r="C667" s="27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9" t="n"/>
      <c r="N667" s="21" t="n"/>
      <c r="O667" s="12">
        <f>IF(AND(B667="",C667=""),"",IF(NOT(ISNUMBER(B667)),"Needs a date",IF(C667="","Needs a client",IF(COUNTIF(Clients!$B$6:$B$105,C667)=0,"Not on Clients",IF(COUNT(D667:M667)=0,"Nothing measured","")))))</f>
        <v/>
      </c>
      <c r="P667" s="1">
        <f>IF(AND(O667="",ISNUMBER(B667)),INT(B667),0)</f>
        <v/>
      </c>
      <c r="Q667">
        <f>IF(AND(P667&gt;0,C667=Report!$C$5),P667*10000+ROW(),"")</f>
        <v/>
      </c>
      <c r="R667">
        <f>IF(AND(Q667&lt;&gt;"",ISNUMBER(D667)),Q667,"")</f>
        <v/>
      </c>
      <c r="S667">
        <f>IF(AND(Q667&lt;&gt;"",ISNUMBER(E667)),Q667,"")</f>
        <v/>
      </c>
      <c r="T667">
        <f>IF(AND(Q667&lt;&gt;"",ISNUMBER(F667)),Q667,"")</f>
        <v/>
      </c>
      <c r="U667">
        <f>IF(AND(Q667&lt;&gt;"",ISNUMBER(G667)),Q667,"")</f>
        <v/>
      </c>
      <c r="V667">
        <f>IF(AND(Q667&lt;&gt;"",ISNUMBER(H667)),Q667,"")</f>
        <v/>
      </c>
      <c r="W667">
        <f>IF(AND(Q667&lt;&gt;"",ISNUMBER(I667)),Q667,"")</f>
        <v/>
      </c>
      <c r="X667">
        <f>IF(AND(Q667&lt;&gt;"",ISNUMBER(J667)),Q667,"")</f>
        <v/>
      </c>
      <c r="Y667">
        <f>IF(AND(Q667&lt;&gt;"",ISNUMBER(K667)),Q667,"")</f>
        <v/>
      </c>
      <c r="Z667">
        <f>IF(AND(Q667&lt;&gt;"",ISNUMBER(L667)),Q667,"")</f>
        <v/>
      </c>
      <c r="AA667">
        <f>IF(AND(Q667&lt;&gt;"",ISNUMBER(M667)),Q667,"")</f>
        <v/>
      </c>
      <c r="AB667">
        <f>IF(AND(Q667&lt;&gt;"",ISNUMBER(K667)),K667,"")</f>
        <v/>
      </c>
      <c r="AC667">
        <f>IF(AND(Q667&lt;&gt;"",ISNUMBER(L667)),L667,"")</f>
        <v/>
      </c>
      <c r="AD667">
        <f>IF(AND(Q667&lt;&gt;"",ISNUMBER(M667)),M667,"")</f>
        <v/>
      </c>
    </row>
    <row r="668">
      <c r="A668" s="1" t="n"/>
      <c r="B668" s="17" t="n"/>
      <c r="C668" s="27" t="n"/>
      <c r="D668" s="2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9" t="n"/>
      <c r="N668" s="21" t="n"/>
      <c r="O668" s="12">
        <f>IF(AND(B668="",C668=""),"",IF(NOT(ISNUMBER(B668)),"Needs a date",IF(C668="","Needs a client",IF(COUNTIF(Clients!$B$6:$B$105,C668)=0,"Not on Clients",IF(COUNT(D668:M668)=0,"Nothing measured","")))))</f>
        <v/>
      </c>
      <c r="P668" s="1">
        <f>IF(AND(O668="",ISNUMBER(B668)),INT(B668),0)</f>
        <v/>
      </c>
      <c r="Q668">
        <f>IF(AND(P668&gt;0,C668=Report!$C$5),P668*10000+ROW(),"")</f>
        <v/>
      </c>
      <c r="R668">
        <f>IF(AND(Q668&lt;&gt;"",ISNUMBER(D668)),Q668,"")</f>
        <v/>
      </c>
      <c r="S668">
        <f>IF(AND(Q668&lt;&gt;"",ISNUMBER(E668)),Q668,"")</f>
        <v/>
      </c>
      <c r="T668">
        <f>IF(AND(Q668&lt;&gt;"",ISNUMBER(F668)),Q668,"")</f>
        <v/>
      </c>
      <c r="U668">
        <f>IF(AND(Q668&lt;&gt;"",ISNUMBER(G668)),Q668,"")</f>
        <v/>
      </c>
      <c r="V668">
        <f>IF(AND(Q668&lt;&gt;"",ISNUMBER(H668)),Q668,"")</f>
        <v/>
      </c>
      <c r="W668">
        <f>IF(AND(Q668&lt;&gt;"",ISNUMBER(I668)),Q668,"")</f>
        <v/>
      </c>
      <c r="X668">
        <f>IF(AND(Q668&lt;&gt;"",ISNUMBER(J668)),Q668,"")</f>
        <v/>
      </c>
      <c r="Y668">
        <f>IF(AND(Q668&lt;&gt;"",ISNUMBER(K668)),Q668,"")</f>
        <v/>
      </c>
      <c r="Z668">
        <f>IF(AND(Q668&lt;&gt;"",ISNUMBER(L668)),Q668,"")</f>
        <v/>
      </c>
      <c r="AA668">
        <f>IF(AND(Q668&lt;&gt;"",ISNUMBER(M668)),Q668,"")</f>
        <v/>
      </c>
      <c r="AB668">
        <f>IF(AND(Q668&lt;&gt;"",ISNUMBER(K668)),K668,"")</f>
        <v/>
      </c>
      <c r="AC668">
        <f>IF(AND(Q668&lt;&gt;"",ISNUMBER(L668)),L668,"")</f>
        <v/>
      </c>
      <c r="AD668">
        <f>IF(AND(Q668&lt;&gt;"",ISNUMBER(M668)),M668,"")</f>
        <v/>
      </c>
    </row>
    <row r="669">
      <c r="A669" s="1" t="n"/>
      <c r="B669" s="17" t="n"/>
      <c r="C669" s="27" t="n"/>
      <c r="D669" s="28" t="n"/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9" t="n"/>
      <c r="N669" s="21" t="n"/>
      <c r="O669" s="12">
        <f>IF(AND(B669="",C669=""),"",IF(NOT(ISNUMBER(B669)),"Needs a date",IF(C669="","Needs a client",IF(COUNTIF(Clients!$B$6:$B$105,C669)=0,"Not on Clients",IF(COUNT(D669:M669)=0,"Nothing measured","")))))</f>
        <v/>
      </c>
      <c r="P669" s="1">
        <f>IF(AND(O669="",ISNUMBER(B669)),INT(B669),0)</f>
        <v/>
      </c>
      <c r="Q669">
        <f>IF(AND(P669&gt;0,C669=Report!$C$5),P669*10000+ROW(),"")</f>
        <v/>
      </c>
      <c r="R669">
        <f>IF(AND(Q669&lt;&gt;"",ISNUMBER(D669)),Q669,"")</f>
        <v/>
      </c>
      <c r="S669">
        <f>IF(AND(Q669&lt;&gt;"",ISNUMBER(E669)),Q669,"")</f>
        <v/>
      </c>
      <c r="T669">
        <f>IF(AND(Q669&lt;&gt;"",ISNUMBER(F669)),Q669,"")</f>
        <v/>
      </c>
      <c r="U669">
        <f>IF(AND(Q669&lt;&gt;"",ISNUMBER(G669)),Q669,"")</f>
        <v/>
      </c>
      <c r="V669">
        <f>IF(AND(Q669&lt;&gt;"",ISNUMBER(H669)),Q669,"")</f>
        <v/>
      </c>
      <c r="W669">
        <f>IF(AND(Q669&lt;&gt;"",ISNUMBER(I669)),Q669,"")</f>
        <v/>
      </c>
      <c r="X669">
        <f>IF(AND(Q669&lt;&gt;"",ISNUMBER(J669)),Q669,"")</f>
        <v/>
      </c>
      <c r="Y669">
        <f>IF(AND(Q669&lt;&gt;"",ISNUMBER(K669)),Q669,"")</f>
        <v/>
      </c>
      <c r="Z669">
        <f>IF(AND(Q669&lt;&gt;"",ISNUMBER(L669)),Q669,"")</f>
        <v/>
      </c>
      <c r="AA669">
        <f>IF(AND(Q669&lt;&gt;"",ISNUMBER(M669)),Q669,"")</f>
        <v/>
      </c>
      <c r="AB669">
        <f>IF(AND(Q669&lt;&gt;"",ISNUMBER(K669)),K669,"")</f>
        <v/>
      </c>
      <c r="AC669">
        <f>IF(AND(Q669&lt;&gt;"",ISNUMBER(L669)),L669,"")</f>
        <v/>
      </c>
      <c r="AD669">
        <f>IF(AND(Q669&lt;&gt;"",ISNUMBER(M669)),M669,"")</f>
        <v/>
      </c>
    </row>
    <row r="670">
      <c r="A670" s="1" t="n"/>
      <c r="B670" s="17" t="n"/>
      <c r="C670" s="27" t="n"/>
      <c r="D670" s="28" t="n"/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9" t="n"/>
      <c r="N670" s="21" t="n"/>
      <c r="O670" s="12">
        <f>IF(AND(B670="",C670=""),"",IF(NOT(ISNUMBER(B670)),"Needs a date",IF(C670="","Needs a client",IF(COUNTIF(Clients!$B$6:$B$105,C670)=0,"Not on Clients",IF(COUNT(D670:M670)=0,"Nothing measured","")))))</f>
        <v/>
      </c>
      <c r="P670" s="1">
        <f>IF(AND(O670="",ISNUMBER(B670)),INT(B670),0)</f>
        <v/>
      </c>
      <c r="Q670">
        <f>IF(AND(P670&gt;0,C670=Report!$C$5),P670*10000+ROW(),"")</f>
        <v/>
      </c>
      <c r="R670">
        <f>IF(AND(Q670&lt;&gt;"",ISNUMBER(D670)),Q670,"")</f>
        <v/>
      </c>
      <c r="S670">
        <f>IF(AND(Q670&lt;&gt;"",ISNUMBER(E670)),Q670,"")</f>
        <v/>
      </c>
      <c r="T670">
        <f>IF(AND(Q670&lt;&gt;"",ISNUMBER(F670)),Q670,"")</f>
        <v/>
      </c>
      <c r="U670">
        <f>IF(AND(Q670&lt;&gt;"",ISNUMBER(G670)),Q670,"")</f>
        <v/>
      </c>
      <c r="V670">
        <f>IF(AND(Q670&lt;&gt;"",ISNUMBER(H670)),Q670,"")</f>
        <v/>
      </c>
      <c r="W670">
        <f>IF(AND(Q670&lt;&gt;"",ISNUMBER(I670)),Q670,"")</f>
        <v/>
      </c>
      <c r="X670">
        <f>IF(AND(Q670&lt;&gt;"",ISNUMBER(J670)),Q670,"")</f>
        <v/>
      </c>
      <c r="Y670">
        <f>IF(AND(Q670&lt;&gt;"",ISNUMBER(K670)),Q670,"")</f>
        <v/>
      </c>
      <c r="Z670">
        <f>IF(AND(Q670&lt;&gt;"",ISNUMBER(L670)),Q670,"")</f>
        <v/>
      </c>
      <c r="AA670">
        <f>IF(AND(Q670&lt;&gt;"",ISNUMBER(M670)),Q670,"")</f>
        <v/>
      </c>
      <c r="AB670">
        <f>IF(AND(Q670&lt;&gt;"",ISNUMBER(K670)),K670,"")</f>
        <v/>
      </c>
      <c r="AC670">
        <f>IF(AND(Q670&lt;&gt;"",ISNUMBER(L670)),L670,"")</f>
        <v/>
      </c>
      <c r="AD670">
        <f>IF(AND(Q670&lt;&gt;"",ISNUMBER(M670)),M670,"")</f>
        <v/>
      </c>
    </row>
    <row r="671">
      <c r="A671" s="1" t="n"/>
      <c r="B671" s="17" t="n"/>
      <c r="C671" s="27" t="n"/>
      <c r="D671" s="28" t="n"/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9" t="n"/>
      <c r="N671" s="21" t="n"/>
      <c r="O671" s="12">
        <f>IF(AND(B671="",C671=""),"",IF(NOT(ISNUMBER(B671)),"Needs a date",IF(C671="","Needs a client",IF(COUNTIF(Clients!$B$6:$B$105,C671)=0,"Not on Clients",IF(COUNT(D671:M671)=0,"Nothing measured","")))))</f>
        <v/>
      </c>
      <c r="P671" s="1">
        <f>IF(AND(O671="",ISNUMBER(B671)),INT(B671),0)</f>
        <v/>
      </c>
      <c r="Q671">
        <f>IF(AND(P671&gt;0,C671=Report!$C$5),P671*10000+ROW(),"")</f>
        <v/>
      </c>
      <c r="R671">
        <f>IF(AND(Q671&lt;&gt;"",ISNUMBER(D671)),Q671,"")</f>
        <v/>
      </c>
      <c r="S671">
        <f>IF(AND(Q671&lt;&gt;"",ISNUMBER(E671)),Q671,"")</f>
        <v/>
      </c>
      <c r="T671">
        <f>IF(AND(Q671&lt;&gt;"",ISNUMBER(F671)),Q671,"")</f>
        <v/>
      </c>
      <c r="U671">
        <f>IF(AND(Q671&lt;&gt;"",ISNUMBER(G671)),Q671,"")</f>
        <v/>
      </c>
      <c r="V671">
        <f>IF(AND(Q671&lt;&gt;"",ISNUMBER(H671)),Q671,"")</f>
        <v/>
      </c>
      <c r="W671">
        <f>IF(AND(Q671&lt;&gt;"",ISNUMBER(I671)),Q671,"")</f>
        <v/>
      </c>
      <c r="X671">
        <f>IF(AND(Q671&lt;&gt;"",ISNUMBER(J671)),Q671,"")</f>
        <v/>
      </c>
      <c r="Y671">
        <f>IF(AND(Q671&lt;&gt;"",ISNUMBER(K671)),Q671,"")</f>
        <v/>
      </c>
      <c r="Z671">
        <f>IF(AND(Q671&lt;&gt;"",ISNUMBER(L671)),Q671,"")</f>
        <v/>
      </c>
      <c r="AA671">
        <f>IF(AND(Q671&lt;&gt;"",ISNUMBER(M671)),Q671,"")</f>
        <v/>
      </c>
      <c r="AB671">
        <f>IF(AND(Q671&lt;&gt;"",ISNUMBER(K671)),K671,"")</f>
        <v/>
      </c>
      <c r="AC671">
        <f>IF(AND(Q671&lt;&gt;"",ISNUMBER(L671)),L671,"")</f>
        <v/>
      </c>
      <c r="AD671">
        <f>IF(AND(Q671&lt;&gt;"",ISNUMBER(M671)),M671,"")</f>
        <v/>
      </c>
    </row>
    <row r="672">
      <c r="A672" s="1" t="n"/>
      <c r="B672" s="17" t="n"/>
      <c r="C672" s="27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9" t="n"/>
      <c r="N672" s="21" t="n"/>
      <c r="O672" s="12">
        <f>IF(AND(B672="",C672=""),"",IF(NOT(ISNUMBER(B672)),"Needs a date",IF(C672="","Needs a client",IF(COUNTIF(Clients!$B$6:$B$105,C672)=0,"Not on Clients",IF(COUNT(D672:M672)=0,"Nothing measured","")))))</f>
        <v/>
      </c>
      <c r="P672" s="1">
        <f>IF(AND(O672="",ISNUMBER(B672)),INT(B672),0)</f>
        <v/>
      </c>
      <c r="Q672">
        <f>IF(AND(P672&gt;0,C672=Report!$C$5),P672*10000+ROW(),"")</f>
        <v/>
      </c>
      <c r="R672">
        <f>IF(AND(Q672&lt;&gt;"",ISNUMBER(D672)),Q672,"")</f>
        <v/>
      </c>
      <c r="S672">
        <f>IF(AND(Q672&lt;&gt;"",ISNUMBER(E672)),Q672,"")</f>
        <v/>
      </c>
      <c r="T672">
        <f>IF(AND(Q672&lt;&gt;"",ISNUMBER(F672)),Q672,"")</f>
        <v/>
      </c>
      <c r="U672">
        <f>IF(AND(Q672&lt;&gt;"",ISNUMBER(G672)),Q672,"")</f>
        <v/>
      </c>
      <c r="V672">
        <f>IF(AND(Q672&lt;&gt;"",ISNUMBER(H672)),Q672,"")</f>
        <v/>
      </c>
      <c r="W672">
        <f>IF(AND(Q672&lt;&gt;"",ISNUMBER(I672)),Q672,"")</f>
        <v/>
      </c>
      <c r="X672">
        <f>IF(AND(Q672&lt;&gt;"",ISNUMBER(J672)),Q672,"")</f>
        <v/>
      </c>
      <c r="Y672">
        <f>IF(AND(Q672&lt;&gt;"",ISNUMBER(K672)),Q672,"")</f>
        <v/>
      </c>
      <c r="Z672">
        <f>IF(AND(Q672&lt;&gt;"",ISNUMBER(L672)),Q672,"")</f>
        <v/>
      </c>
      <c r="AA672">
        <f>IF(AND(Q672&lt;&gt;"",ISNUMBER(M672)),Q672,"")</f>
        <v/>
      </c>
      <c r="AB672">
        <f>IF(AND(Q672&lt;&gt;"",ISNUMBER(K672)),K672,"")</f>
        <v/>
      </c>
      <c r="AC672">
        <f>IF(AND(Q672&lt;&gt;"",ISNUMBER(L672)),L672,"")</f>
        <v/>
      </c>
      <c r="AD672">
        <f>IF(AND(Q672&lt;&gt;"",ISNUMBER(M672)),M672,"")</f>
        <v/>
      </c>
    </row>
    <row r="673">
      <c r="A673" s="1" t="n"/>
      <c r="B673" s="17" t="n"/>
      <c r="C673" s="27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9" t="n"/>
      <c r="N673" s="21" t="n"/>
      <c r="O673" s="12">
        <f>IF(AND(B673="",C673=""),"",IF(NOT(ISNUMBER(B673)),"Needs a date",IF(C673="","Needs a client",IF(COUNTIF(Clients!$B$6:$B$105,C673)=0,"Not on Clients",IF(COUNT(D673:M673)=0,"Nothing measured","")))))</f>
        <v/>
      </c>
      <c r="P673" s="1">
        <f>IF(AND(O673="",ISNUMBER(B673)),INT(B673),0)</f>
        <v/>
      </c>
      <c r="Q673">
        <f>IF(AND(P673&gt;0,C673=Report!$C$5),P673*10000+ROW(),"")</f>
        <v/>
      </c>
      <c r="R673">
        <f>IF(AND(Q673&lt;&gt;"",ISNUMBER(D673)),Q673,"")</f>
        <v/>
      </c>
      <c r="S673">
        <f>IF(AND(Q673&lt;&gt;"",ISNUMBER(E673)),Q673,"")</f>
        <v/>
      </c>
      <c r="T673">
        <f>IF(AND(Q673&lt;&gt;"",ISNUMBER(F673)),Q673,"")</f>
        <v/>
      </c>
      <c r="U673">
        <f>IF(AND(Q673&lt;&gt;"",ISNUMBER(G673)),Q673,"")</f>
        <v/>
      </c>
      <c r="V673">
        <f>IF(AND(Q673&lt;&gt;"",ISNUMBER(H673)),Q673,"")</f>
        <v/>
      </c>
      <c r="W673">
        <f>IF(AND(Q673&lt;&gt;"",ISNUMBER(I673)),Q673,"")</f>
        <v/>
      </c>
      <c r="X673">
        <f>IF(AND(Q673&lt;&gt;"",ISNUMBER(J673)),Q673,"")</f>
        <v/>
      </c>
      <c r="Y673">
        <f>IF(AND(Q673&lt;&gt;"",ISNUMBER(K673)),Q673,"")</f>
        <v/>
      </c>
      <c r="Z673">
        <f>IF(AND(Q673&lt;&gt;"",ISNUMBER(L673)),Q673,"")</f>
        <v/>
      </c>
      <c r="AA673">
        <f>IF(AND(Q673&lt;&gt;"",ISNUMBER(M673)),Q673,"")</f>
        <v/>
      </c>
      <c r="AB673">
        <f>IF(AND(Q673&lt;&gt;"",ISNUMBER(K673)),K673,"")</f>
        <v/>
      </c>
      <c r="AC673">
        <f>IF(AND(Q673&lt;&gt;"",ISNUMBER(L673)),L673,"")</f>
        <v/>
      </c>
      <c r="AD673">
        <f>IF(AND(Q673&lt;&gt;"",ISNUMBER(M673)),M673,"")</f>
        <v/>
      </c>
    </row>
    <row r="674">
      <c r="A674" s="1" t="n"/>
      <c r="B674" s="17" t="n"/>
      <c r="C674" s="27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9" t="n"/>
      <c r="N674" s="21" t="n"/>
      <c r="O674" s="12">
        <f>IF(AND(B674="",C674=""),"",IF(NOT(ISNUMBER(B674)),"Needs a date",IF(C674="","Needs a client",IF(COUNTIF(Clients!$B$6:$B$105,C674)=0,"Not on Clients",IF(COUNT(D674:M674)=0,"Nothing measured","")))))</f>
        <v/>
      </c>
      <c r="P674" s="1">
        <f>IF(AND(O674="",ISNUMBER(B674)),INT(B674),0)</f>
        <v/>
      </c>
      <c r="Q674">
        <f>IF(AND(P674&gt;0,C674=Report!$C$5),P674*10000+ROW(),"")</f>
        <v/>
      </c>
      <c r="R674">
        <f>IF(AND(Q674&lt;&gt;"",ISNUMBER(D674)),Q674,"")</f>
        <v/>
      </c>
      <c r="S674">
        <f>IF(AND(Q674&lt;&gt;"",ISNUMBER(E674)),Q674,"")</f>
        <v/>
      </c>
      <c r="T674">
        <f>IF(AND(Q674&lt;&gt;"",ISNUMBER(F674)),Q674,"")</f>
        <v/>
      </c>
      <c r="U674">
        <f>IF(AND(Q674&lt;&gt;"",ISNUMBER(G674)),Q674,"")</f>
        <v/>
      </c>
      <c r="V674">
        <f>IF(AND(Q674&lt;&gt;"",ISNUMBER(H674)),Q674,"")</f>
        <v/>
      </c>
      <c r="W674">
        <f>IF(AND(Q674&lt;&gt;"",ISNUMBER(I674)),Q674,"")</f>
        <v/>
      </c>
      <c r="X674">
        <f>IF(AND(Q674&lt;&gt;"",ISNUMBER(J674)),Q674,"")</f>
        <v/>
      </c>
      <c r="Y674">
        <f>IF(AND(Q674&lt;&gt;"",ISNUMBER(K674)),Q674,"")</f>
        <v/>
      </c>
      <c r="Z674">
        <f>IF(AND(Q674&lt;&gt;"",ISNUMBER(L674)),Q674,"")</f>
        <v/>
      </c>
      <c r="AA674">
        <f>IF(AND(Q674&lt;&gt;"",ISNUMBER(M674)),Q674,"")</f>
        <v/>
      </c>
      <c r="AB674">
        <f>IF(AND(Q674&lt;&gt;"",ISNUMBER(K674)),K674,"")</f>
        <v/>
      </c>
      <c r="AC674">
        <f>IF(AND(Q674&lt;&gt;"",ISNUMBER(L674)),L674,"")</f>
        <v/>
      </c>
      <c r="AD674">
        <f>IF(AND(Q674&lt;&gt;"",ISNUMBER(M674)),M674,"")</f>
        <v/>
      </c>
    </row>
    <row r="675">
      <c r="A675" s="1" t="n"/>
      <c r="B675" s="17" t="n"/>
      <c r="C675" s="27" t="n"/>
      <c r="D675" s="28" t="n"/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9" t="n"/>
      <c r="N675" s="21" t="n"/>
      <c r="O675" s="12">
        <f>IF(AND(B675="",C675=""),"",IF(NOT(ISNUMBER(B675)),"Needs a date",IF(C675="","Needs a client",IF(COUNTIF(Clients!$B$6:$B$105,C675)=0,"Not on Clients",IF(COUNT(D675:M675)=0,"Nothing measured","")))))</f>
        <v/>
      </c>
      <c r="P675" s="1">
        <f>IF(AND(O675="",ISNUMBER(B675)),INT(B675),0)</f>
        <v/>
      </c>
      <c r="Q675">
        <f>IF(AND(P675&gt;0,C675=Report!$C$5),P675*10000+ROW(),"")</f>
        <v/>
      </c>
      <c r="R675">
        <f>IF(AND(Q675&lt;&gt;"",ISNUMBER(D675)),Q675,"")</f>
        <v/>
      </c>
      <c r="S675">
        <f>IF(AND(Q675&lt;&gt;"",ISNUMBER(E675)),Q675,"")</f>
        <v/>
      </c>
      <c r="T675">
        <f>IF(AND(Q675&lt;&gt;"",ISNUMBER(F675)),Q675,"")</f>
        <v/>
      </c>
      <c r="U675">
        <f>IF(AND(Q675&lt;&gt;"",ISNUMBER(G675)),Q675,"")</f>
        <v/>
      </c>
      <c r="V675">
        <f>IF(AND(Q675&lt;&gt;"",ISNUMBER(H675)),Q675,"")</f>
        <v/>
      </c>
      <c r="W675">
        <f>IF(AND(Q675&lt;&gt;"",ISNUMBER(I675)),Q675,"")</f>
        <v/>
      </c>
      <c r="X675">
        <f>IF(AND(Q675&lt;&gt;"",ISNUMBER(J675)),Q675,"")</f>
        <v/>
      </c>
      <c r="Y675">
        <f>IF(AND(Q675&lt;&gt;"",ISNUMBER(K675)),Q675,"")</f>
        <v/>
      </c>
      <c r="Z675">
        <f>IF(AND(Q675&lt;&gt;"",ISNUMBER(L675)),Q675,"")</f>
        <v/>
      </c>
      <c r="AA675">
        <f>IF(AND(Q675&lt;&gt;"",ISNUMBER(M675)),Q675,"")</f>
        <v/>
      </c>
      <c r="AB675">
        <f>IF(AND(Q675&lt;&gt;"",ISNUMBER(K675)),K675,"")</f>
        <v/>
      </c>
      <c r="AC675">
        <f>IF(AND(Q675&lt;&gt;"",ISNUMBER(L675)),L675,"")</f>
        <v/>
      </c>
      <c r="AD675">
        <f>IF(AND(Q675&lt;&gt;"",ISNUMBER(M675)),M675,"")</f>
        <v/>
      </c>
    </row>
    <row r="676">
      <c r="A676" s="1" t="n"/>
      <c r="B676" s="17" t="n"/>
      <c r="C676" s="27" t="n"/>
      <c r="D676" s="28" t="n"/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9" t="n"/>
      <c r="N676" s="21" t="n"/>
      <c r="O676" s="12">
        <f>IF(AND(B676="",C676=""),"",IF(NOT(ISNUMBER(B676)),"Needs a date",IF(C676="","Needs a client",IF(COUNTIF(Clients!$B$6:$B$105,C676)=0,"Not on Clients",IF(COUNT(D676:M676)=0,"Nothing measured","")))))</f>
        <v/>
      </c>
      <c r="P676" s="1">
        <f>IF(AND(O676="",ISNUMBER(B676)),INT(B676),0)</f>
        <v/>
      </c>
      <c r="Q676">
        <f>IF(AND(P676&gt;0,C676=Report!$C$5),P676*10000+ROW(),"")</f>
        <v/>
      </c>
      <c r="R676">
        <f>IF(AND(Q676&lt;&gt;"",ISNUMBER(D676)),Q676,"")</f>
        <v/>
      </c>
      <c r="S676">
        <f>IF(AND(Q676&lt;&gt;"",ISNUMBER(E676)),Q676,"")</f>
        <v/>
      </c>
      <c r="T676">
        <f>IF(AND(Q676&lt;&gt;"",ISNUMBER(F676)),Q676,"")</f>
        <v/>
      </c>
      <c r="U676">
        <f>IF(AND(Q676&lt;&gt;"",ISNUMBER(G676)),Q676,"")</f>
        <v/>
      </c>
      <c r="V676">
        <f>IF(AND(Q676&lt;&gt;"",ISNUMBER(H676)),Q676,"")</f>
        <v/>
      </c>
      <c r="W676">
        <f>IF(AND(Q676&lt;&gt;"",ISNUMBER(I676)),Q676,"")</f>
        <v/>
      </c>
      <c r="X676">
        <f>IF(AND(Q676&lt;&gt;"",ISNUMBER(J676)),Q676,"")</f>
        <v/>
      </c>
      <c r="Y676">
        <f>IF(AND(Q676&lt;&gt;"",ISNUMBER(K676)),Q676,"")</f>
        <v/>
      </c>
      <c r="Z676">
        <f>IF(AND(Q676&lt;&gt;"",ISNUMBER(L676)),Q676,"")</f>
        <v/>
      </c>
      <c r="AA676">
        <f>IF(AND(Q676&lt;&gt;"",ISNUMBER(M676)),Q676,"")</f>
        <v/>
      </c>
      <c r="AB676">
        <f>IF(AND(Q676&lt;&gt;"",ISNUMBER(K676)),K676,"")</f>
        <v/>
      </c>
      <c r="AC676">
        <f>IF(AND(Q676&lt;&gt;"",ISNUMBER(L676)),L676,"")</f>
        <v/>
      </c>
      <c r="AD676">
        <f>IF(AND(Q676&lt;&gt;"",ISNUMBER(M676)),M676,"")</f>
        <v/>
      </c>
    </row>
    <row r="677">
      <c r="A677" s="1" t="n"/>
      <c r="B677" s="17" t="n"/>
      <c r="C677" s="27" t="n"/>
      <c r="D677" s="28" t="n"/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9" t="n"/>
      <c r="N677" s="21" t="n"/>
      <c r="O677" s="12">
        <f>IF(AND(B677="",C677=""),"",IF(NOT(ISNUMBER(B677)),"Needs a date",IF(C677="","Needs a client",IF(COUNTIF(Clients!$B$6:$B$105,C677)=0,"Not on Clients",IF(COUNT(D677:M677)=0,"Nothing measured","")))))</f>
        <v/>
      </c>
      <c r="P677" s="1">
        <f>IF(AND(O677="",ISNUMBER(B677)),INT(B677),0)</f>
        <v/>
      </c>
      <c r="Q677">
        <f>IF(AND(P677&gt;0,C677=Report!$C$5),P677*10000+ROW(),"")</f>
        <v/>
      </c>
      <c r="R677">
        <f>IF(AND(Q677&lt;&gt;"",ISNUMBER(D677)),Q677,"")</f>
        <v/>
      </c>
      <c r="S677">
        <f>IF(AND(Q677&lt;&gt;"",ISNUMBER(E677)),Q677,"")</f>
        <v/>
      </c>
      <c r="T677">
        <f>IF(AND(Q677&lt;&gt;"",ISNUMBER(F677)),Q677,"")</f>
        <v/>
      </c>
      <c r="U677">
        <f>IF(AND(Q677&lt;&gt;"",ISNUMBER(G677)),Q677,"")</f>
        <v/>
      </c>
      <c r="V677">
        <f>IF(AND(Q677&lt;&gt;"",ISNUMBER(H677)),Q677,"")</f>
        <v/>
      </c>
      <c r="W677">
        <f>IF(AND(Q677&lt;&gt;"",ISNUMBER(I677)),Q677,"")</f>
        <v/>
      </c>
      <c r="X677">
        <f>IF(AND(Q677&lt;&gt;"",ISNUMBER(J677)),Q677,"")</f>
        <v/>
      </c>
      <c r="Y677">
        <f>IF(AND(Q677&lt;&gt;"",ISNUMBER(K677)),Q677,"")</f>
        <v/>
      </c>
      <c r="Z677">
        <f>IF(AND(Q677&lt;&gt;"",ISNUMBER(L677)),Q677,"")</f>
        <v/>
      </c>
      <c r="AA677">
        <f>IF(AND(Q677&lt;&gt;"",ISNUMBER(M677)),Q677,"")</f>
        <v/>
      </c>
      <c r="AB677">
        <f>IF(AND(Q677&lt;&gt;"",ISNUMBER(K677)),K677,"")</f>
        <v/>
      </c>
      <c r="AC677">
        <f>IF(AND(Q677&lt;&gt;"",ISNUMBER(L677)),L677,"")</f>
        <v/>
      </c>
      <c r="AD677">
        <f>IF(AND(Q677&lt;&gt;"",ISNUMBER(M677)),M677,"")</f>
        <v/>
      </c>
    </row>
    <row r="678">
      <c r="A678" s="1" t="n"/>
      <c r="B678" s="17" t="n"/>
      <c r="C678" s="27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9" t="n"/>
      <c r="N678" s="21" t="n"/>
      <c r="O678" s="12">
        <f>IF(AND(B678="",C678=""),"",IF(NOT(ISNUMBER(B678)),"Needs a date",IF(C678="","Needs a client",IF(COUNTIF(Clients!$B$6:$B$105,C678)=0,"Not on Clients",IF(COUNT(D678:M678)=0,"Nothing measured","")))))</f>
        <v/>
      </c>
      <c r="P678" s="1">
        <f>IF(AND(O678="",ISNUMBER(B678)),INT(B678),0)</f>
        <v/>
      </c>
      <c r="Q678">
        <f>IF(AND(P678&gt;0,C678=Report!$C$5),P678*10000+ROW(),"")</f>
        <v/>
      </c>
      <c r="R678">
        <f>IF(AND(Q678&lt;&gt;"",ISNUMBER(D678)),Q678,"")</f>
        <v/>
      </c>
      <c r="S678">
        <f>IF(AND(Q678&lt;&gt;"",ISNUMBER(E678)),Q678,"")</f>
        <v/>
      </c>
      <c r="T678">
        <f>IF(AND(Q678&lt;&gt;"",ISNUMBER(F678)),Q678,"")</f>
        <v/>
      </c>
      <c r="U678">
        <f>IF(AND(Q678&lt;&gt;"",ISNUMBER(G678)),Q678,"")</f>
        <v/>
      </c>
      <c r="V678">
        <f>IF(AND(Q678&lt;&gt;"",ISNUMBER(H678)),Q678,"")</f>
        <v/>
      </c>
      <c r="W678">
        <f>IF(AND(Q678&lt;&gt;"",ISNUMBER(I678)),Q678,"")</f>
        <v/>
      </c>
      <c r="X678">
        <f>IF(AND(Q678&lt;&gt;"",ISNUMBER(J678)),Q678,"")</f>
        <v/>
      </c>
      <c r="Y678">
        <f>IF(AND(Q678&lt;&gt;"",ISNUMBER(K678)),Q678,"")</f>
        <v/>
      </c>
      <c r="Z678">
        <f>IF(AND(Q678&lt;&gt;"",ISNUMBER(L678)),Q678,"")</f>
        <v/>
      </c>
      <c r="AA678">
        <f>IF(AND(Q678&lt;&gt;"",ISNUMBER(M678)),Q678,"")</f>
        <v/>
      </c>
      <c r="AB678">
        <f>IF(AND(Q678&lt;&gt;"",ISNUMBER(K678)),K678,"")</f>
        <v/>
      </c>
      <c r="AC678">
        <f>IF(AND(Q678&lt;&gt;"",ISNUMBER(L678)),L678,"")</f>
        <v/>
      </c>
      <c r="AD678">
        <f>IF(AND(Q678&lt;&gt;"",ISNUMBER(M678)),M678,"")</f>
        <v/>
      </c>
    </row>
    <row r="679">
      <c r="A679" s="1" t="n"/>
      <c r="B679" s="17" t="n"/>
      <c r="C679" s="27" t="n"/>
      <c r="D679" s="28" t="n"/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9" t="n"/>
      <c r="N679" s="21" t="n"/>
      <c r="O679" s="12">
        <f>IF(AND(B679="",C679=""),"",IF(NOT(ISNUMBER(B679)),"Needs a date",IF(C679="","Needs a client",IF(COUNTIF(Clients!$B$6:$B$105,C679)=0,"Not on Clients",IF(COUNT(D679:M679)=0,"Nothing measured","")))))</f>
        <v/>
      </c>
      <c r="P679" s="1">
        <f>IF(AND(O679="",ISNUMBER(B679)),INT(B679),0)</f>
        <v/>
      </c>
      <c r="Q679">
        <f>IF(AND(P679&gt;0,C679=Report!$C$5),P679*10000+ROW(),"")</f>
        <v/>
      </c>
      <c r="R679">
        <f>IF(AND(Q679&lt;&gt;"",ISNUMBER(D679)),Q679,"")</f>
        <v/>
      </c>
      <c r="S679">
        <f>IF(AND(Q679&lt;&gt;"",ISNUMBER(E679)),Q679,"")</f>
        <v/>
      </c>
      <c r="T679">
        <f>IF(AND(Q679&lt;&gt;"",ISNUMBER(F679)),Q679,"")</f>
        <v/>
      </c>
      <c r="U679">
        <f>IF(AND(Q679&lt;&gt;"",ISNUMBER(G679)),Q679,"")</f>
        <v/>
      </c>
      <c r="V679">
        <f>IF(AND(Q679&lt;&gt;"",ISNUMBER(H679)),Q679,"")</f>
        <v/>
      </c>
      <c r="W679">
        <f>IF(AND(Q679&lt;&gt;"",ISNUMBER(I679)),Q679,"")</f>
        <v/>
      </c>
      <c r="X679">
        <f>IF(AND(Q679&lt;&gt;"",ISNUMBER(J679)),Q679,"")</f>
        <v/>
      </c>
      <c r="Y679">
        <f>IF(AND(Q679&lt;&gt;"",ISNUMBER(K679)),Q679,"")</f>
        <v/>
      </c>
      <c r="Z679">
        <f>IF(AND(Q679&lt;&gt;"",ISNUMBER(L679)),Q679,"")</f>
        <v/>
      </c>
      <c r="AA679">
        <f>IF(AND(Q679&lt;&gt;"",ISNUMBER(M679)),Q679,"")</f>
        <v/>
      </c>
      <c r="AB679">
        <f>IF(AND(Q679&lt;&gt;"",ISNUMBER(K679)),K679,"")</f>
        <v/>
      </c>
      <c r="AC679">
        <f>IF(AND(Q679&lt;&gt;"",ISNUMBER(L679)),L679,"")</f>
        <v/>
      </c>
      <c r="AD679">
        <f>IF(AND(Q679&lt;&gt;"",ISNUMBER(M679)),M679,"")</f>
        <v/>
      </c>
    </row>
    <row r="680">
      <c r="A680" s="1" t="n"/>
      <c r="B680" s="17" t="n"/>
      <c r="C680" s="27" t="n"/>
      <c r="D680" s="28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9" t="n"/>
      <c r="N680" s="21" t="n"/>
      <c r="O680" s="12">
        <f>IF(AND(B680="",C680=""),"",IF(NOT(ISNUMBER(B680)),"Needs a date",IF(C680="","Needs a client",IF(COUNTIF(Clients!$B$6:$B$105,C680)=0,"Not on Clients",IF(COUNT(D680:M680)=0,"Nothing measured","")))))</f>
        <v/>
      </c>
      <c r="P680" s="1">
        <f>IF(AND(O680="",ISNUMBER(B680)),INT(B680),0)</f>
        <v/>
      </c>
      <c r="Q680">
        <f>IF(AND(P680&gt;0,C680=Report!$C$5),P680*10000+ROW(),"")</f>
        <v/>
      </c>
      <c r="R680">
        <f>IF(AND(Q680&lt;&gt;"",ISNUMBER(D680)),Q680,"")</f>
        <v/>
      </c>
      <c r="S680">
        <f>IF(AND(Q680&lt;&gt;"",ISNUMBER(E680)),Q680,"")</f>
        <v/>
      </c>
      <c r="T680">
        <f>IF(AND(Q680&lt;&gt;"",ISNUMBER(F680)),Q680,"")</f>
        <v/>
      </c>
      <c r="U680">
        <f>IF(AND(Q680&lt;&gt;"",ISNUMBER(G680)),Q680,"")</f>
        <v/>
      </c>
      <c r="V680">
        <f>IF(AND(Q680&lt;&gt;"",ISNUMBER(H680)),Q680,"")</f>
        <v/>
      </c>
      <c r="W680">
        <f>IF(AND(Q680&lt;&gt;"",ISNUMBER(I680)),Q680,"")</f>
        <v/>
      </c>
      <c r="X680">
        <f>IF(AND(Q680&lt;&gt;"",ISNUMBER(J680)),Q680,"")</f>
        <v/>
      </c>
      <c r="Y680">
        <f>IF(AND(Q680&lt;&gt;"",ISNUMBER(K680)),Q680,"")</f>
        <v/>
      </c>
      <c r="Z680">
        <f>IF(AND(Q680&lt;&gt;"",ISNUMBER(L680)),Q680,"")</f>
        <v/>
      </c>
      <c r="AA680">
        <f>IF(AND(Q680&lt;&gt;"",ISNUMBER(M680)),Q680,"")</f>
        <v/>
      </c>
      <c r="AB680">
        <f>IF(AND(Q680&lt;&gt;"",ISNUMBER(K680)),K680,"")</f>
        <v/>
      </c>
      <c r="AC680">
        <f>IF(AND(Q680&lt;&gt;"",ISNUMBER(L680)),L680,"")</f>
        <v/>
      </c>
      <c r="AD680">
        <f>IF(AND(Q680&lt;&gt;"",ISNUMBER(M680)),M680,"")</f>
        <v/>
      </c>
    </row>
    <row r="681">
      <c r="A681" s="1" t="n"/>
      <c r="B681" s="17" t="n"/>
      <c r="C681" s="27" t="n"/>
      <c r="D681" s="28" t="n"/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9" t="n"/>
      <c r="N681" s="21" t="n"/>
      <c r="O681" s="12">
        <f>IF(AND(B681="",C681=""),"",IF(NOT(ISNUMBER(B681)),"Needs a date",IF(C681="","Needs a client",IF(COUNTIF(Clients!$B$6:$B$105,C681)=0,"Not on Clients",IF(COUNT(D681:M681)=0,"Nothing measured","")))))</f>
        <v/>
      </c>
      <c r="P681" s="1">
        <f>IF(AND(O681="",ISNUMBER(B681)),INT(B681),0)</f>
        <v/>
      </c>
      <c r="Q681">
        <f>IF(AND(P681&gt;0,C681=Report!$C$5),P681*10000+ROW(),"")</f>
        <v/>
      </c>
      <c r="R681">
        <f>IF(AND(Q681&lt;&gt;"",ISNUMBER(D681)),Q681,"")</f>
        <v/>
      </c>
      <c r="S681">
        <f>IF(AND(Q681&lt;&gt;"",ISNUMBER(E681)),Q681,"")</f>
        <v/>
      </c>
      <c r="T681">
        <f>IF(AND(Q681&lt;&gt;"",ISNUMBER(F681)),Q681,"")</f>
        <v/>
      </c>
      <c r="U681">
        <f>IF(AND(Q681&lt;&gt;"",ISNUMBER(G681)),Q681,"")</f>
        <v/>
      </c>
      <c r="V681">
        <f>IF(AND(Q681&lt;&gt;"",ISNUMBER(H681)),Q681,"")</f>
        <v/>
      </c>
      <c r="W681">
        <f>IF(AND(Q681&lt;&gt;"",ISNUMBER(I681)),Q681,"")</f>
        <v/>
      </c>
      <c r="X681">
        <f>IF(AND(Q681&lt;&gt;"",ISNUMBER(J681)),Q681,"")</f>
        <v/>
      </c>
      <c r="Y681">
        <f>IF(AND(Q681&lt;&gt;"",ISNUMBER(K681)),Q681,"")</f>
        <v/>
      </c>
      <c r="Z681">
        <f>IF(AND(Q681&lt;&gt;"",ISNUMBER(L681)),Q681,"")</f>
        <v/>
      </c>
      <c r="AA681">
        <f>IF(AND(Q681&lt;&gt;"",ISNUMBER(M681)),Q681,"")</f>
        <v/>
      </c>
      <c r="AB681">
        <f>IF(AND(Q681&lt;&gt;"",ISNUMBER(K681)),K681,"")</f>
        <v/>
      </c>
      <c r="AC681">
        <f>IF(AND(Q681&lt;&gt;"",ISNUMBER(L681)),L681,"")</f>
        <v/>
      </c>
      <c r="AD681">
        <f>IF(AND(Q681&lt;&gt;"",ISNUMBER(M681)),M681,"")</f>
        <v/>
      </c>
    </row>
    <row r="682">
      <c r="A682" s="1" t="n"/>
      <c r="B682" s="17" t="n"/>
      <c r="C682" s="27" t="n"/>
      <c r="D682" s="28" t="n"/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9" t="n"/>
      <c r="N682" s="21" t="n"/>
      <c r="O682" s="12">
        <f>IF(AND(B682="",C682=""),"",IF(NOT(ISNUMBER(B682)),"Needs a date",IF(C682="","Needs a client",IF(COUNTIF(Clients!$B$6:$B$105,C682)=0,"Not on Clients",IF(COUNT(D682:M682)=0,"Nothing measured","")))))</f>
        <v/>
      </c>
      <c r="P682" s="1">
        <f>IF(AND(O682="",ISNUMBER(B682)),INT(B682),0)</f>
        <v/>
      </c>
      <c r="Q682">
        <f>IF(AND(P682&gt;0,C682=Report!$C$5),P682*10000+ROW(),"")</f>
        <v/>
      </c>
      <c r="R682">
        <f>IF(AND(Q682&lt;&gt;"",ISNUMBER(D682)),Q682,"")</f>
        <v/>
      </c>
      <c r="S682">
        <f>IF(AND(Q682&lt;&gt;"",ISNUMBER(E682)),Q682,"")</f>
        <v/>
      </c>
      <c r="T682">
        <f>IF(AND(Q682&lt;&gt;"",ISNUMBER(F682)),Q682,"")</f>
        <v/>
      </c>
      <c r="U682">
        <f>IF(AND(Q682&lt;&gt;"",ISNUMBER(G682)),Q682,"")</f>
        <v/>
      </c>
      <c r="V682">
        <f>IF(AND(Q682&lt;&gt;"",ISNUMBER(H682)),Q682,"")</f>
        <v/>
      </c>
      <c r="W682">
        <f>IF(AND(Q682&lt;&gt;"",ISNUMBER(I682)),Q682,"")</f>
        <v/>
      </c>
      <c r="X682">
        <f>IF(AND(Q682&lt;&gt;"",ISNUMBER(J682)),Q682,"")</f>
        <v/>
      </c>
      <c r="Y682">
        <f>IF(AND(Q682&lt;&gt;"",ISNUMBER(K682)),Q682,"")</f>
        <v/>
      </c>
      <c r="Z682">
        <f>IF(AND(Q682&lt;&gt;"",ISNUMBER(L682)),Q682,"")</f>
        <v/>
      </c>
      <c r="AA682">
        <f>IF(AND(Q682&lt;&gt;"",ISNUMBER(M682)),Q682,"")</f>
        <v/>
      </c>
      <c r="AB682">
        <f>IF(AND(Q682&lt;&gt;"",ISNUMBER(K682)),K682,"")</f>
        <v/>
      </c>
      <c r="AC682">
        <f>IF(AND(Q682&lt;&gt;"",ISNUMBER(L682)),L682,"")</f>
        <v/>
      </c>
      <c r="AD682">
        <f>IF(AND(Q682&lt;&gt;"",ISNUMBER(M682)),M682,"")</f>
        <v/>
      </c>
    </row>
    <row r="683">
      <c r="A683" s="1" t="n"/>
      <c r="B683" s="17" t="n"/>
      <c r="C683" s="27" t="n"/>
      <c r="D683" s="28" t="n"/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9" t="n"/>
      <c r="N683" s="21" t="n"/>
      <c r="O683" s="12">
        <f>IF(AND(B683="",C683=""),"",IF(NOT(ISNUMBER(B683)),"Needs a date",IF(C683="","Needs a client",IF(COUNTIF(Clients!$B$6:$B$105,C683)=0,"Not on Clients",IF(COUNT(D683:M683)=0,"Nothing measured","")))))</f>
        <v/>
      </c>
      <c r="P683" s="1">
        <f>IF(AND(O683="",ISNUMBER(B683)),INT(B683),0)</f>
        <v/>
      </c>
      <c r="Q683">
        <f>IF(AND(P683&gt;0,C683=Report!$C$5),P683*10000+ROW(),"")</f>
        <v/>
      </c>
      <c r="R683">
        <f>IF(AND(Q683&lt;&gt;"",ISNUMBER(D683)),Q683,"")</f>
        <v/>
      </c>
      <c r="S683">
        <f>IF(AND(Q683&lt;&gt;"",ISNUMBER(E683)),Q683,"")</f>
        <v/>
      </c>
      <c r="T683">
        <f>IF(AND(Q683&lt;&gt;"",ISNUMBER(F683)),Q683,"")</f>
        <v/>
      </c>
      <c r="U683">
        <f>IF(AND(Q683&lt;&gt;"",ISNUMBER(G683)),Q683,"")</f>
        <v/>
      </c>
      <c r="V683">
        <f>IF(AND(Q683&lt;&gt;"",ISNUMBER(H683)),Q683,"")</f>
        <v/>
      </c>
      <c r="W683">
        <f>IF(AND(Q683&lt;&gt;"",ISNUMBER(I683)),Q683,"")</f>
        <v/>
      </c>
      <c r="X683">
        <f>IF(AND(Q683&lt;&gt;"",ISNUMBER(J683)),Q683,"")</f>
        <v/>
      </c>
      <c r="Y683">
        <f>IF(AND(Q683&lt;&gt;"",ISNUMBER(K683)),Q683,"")</f>
        <v/>
      </c>
      <c r="Z683">
        <f>IF(AND(Q683&lt;&gt;"",ISNUMBER(L683)),Q683,"")</f>
        <v/>
      </c>
      <c r="AA683">
        <f>IF(AND(Q683&lt;&gt;"",ISNUMBER(M683)),Q683,"")</f>
        <v/>
      </c>
      <c r="AB683">
        <f>IF(AND(Q683&lt;&gt;"",ISNUMBER(K683)),K683,"")</f>
        <v/>
      </c>
      <c r="AC683">
        <f>IF(AND(Q683&lt;&gt;"",ISNUMBER(L683)),L683,"")</f>
        <v/>
      </c>
      <c r="AD683">
        <f>IF(AND(Q683&lt;&gt;"",ISNUMBER(M683)),M683,"")</f>
        <v/>
      </c>
    </row>
    <row r="684">
      <c r="A684" s="1" t="n"/>
      <c r="B684" s="17" t="n"/>
      <c r="C684" s="27" t="n"/>
      <c r="D684" s="28" t="n"/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9" t="n"/>
      <c r="N684" s="21" t="n"/>
      <c r="O684" s="12">
        <f>IF(AND(B684="",C684=""),"",IF(NOT(ISNUMBER(B684)),"Needs a date",IF(C684="","Needs a client",IF(COUNTIF(Clients!$B$6:$B$105,C684)=0,"Not on Clients",IF(COUNT(D684:M684)=0,"Nothing measured","")))))</f>
        <v/>
      </c>
      <c r="P684" s="1">
        <f>IF(AND(O684="",ISNUMBER(B684)),INT(B684),0)</f>
        <v/>
      </c>
      <c r="Q684">
        <f>IF(AND(P684&gt;0,C684=Report!$C$5),P684*10000+ROW(),"")</f>
        <v/>
      </c>
      <c r="R684">
        <f>IF(AND(Q684&lt;&gt;"",ISNUMBER(D684)),Q684,"")</f>
        <v/>
      </c>
      <c r="S684">
        <f>IF(AND(Q684&lt;&gt;"",ISNUMBER(E684)),Q684,"")</f>
        <v/>
      </c>
      <c r="T684">
        <f>IF(AND(Q684&lt;&gt;"",ISNUMBER(F684)),Q684,"")</f>
        <v/>
      </c>
      <c r="U684">
        <f>IF(AND(Q684&lt;&gt;"",ISNUMBER(G684)),Q684,"")</f>
        <v/>
      </c>
      <c r="V684">
        <f>IF(AND(Q684&lt;&gt;"",ISNUMBER(H684)),Q684,"")</f>
        <v/>
      </c>
      <c r="W684">
        <f>IF(AND(Q684&lt;&gt;"",ISNUMBER(I684)),Q684,"")</f>
        <v/>
      </c>
      <c r="X684">
        <f>IF(AND(Q684&lt;&gt;"",ISNUMBER(J684)),Q684,"")</f>
        <v/>
      </c>
      <c r="Y684">
        <f>IF(AND(Q684&lt;&gt;"",ISNUMBER(K684)),Q684,"")</f>
        <v/>
      </c>
      <c r="Z684">
        <f>IF(AND(Q684&lt;&gt;"",ISNUMBER(L684)),Q684,"")</f>
        <v/>
      </c>
      <c r="AA684">
        <f>IF(AND(Q684&lt;&gt;"",ISNUMBER(M684)),Q684,"")</f>
        <v/>
      </c>
      <c r="AB684">
        <f>IF(AND(Q684&lt;&gt;"",ISNUMBER(K684)),K684,"")</f>
        <v/>
      </c>
      <c r="AC684">
        <f>IF(AND(Q684&lt;&gt;"",ISNUMBER(L684)),L684,"")</f>
        <v/>
      </c>
      <c r="AD684">
        <f>IF(AND(Q684&lt;&gt;"",ISNUMBER(M684)),M684,"")</f>
        <v/>
      </c>
    </row>
    <row r="685">
      <c r="A685" s="1" t="n"/>
      <c r="B685" s="17" t="n"/>
      <c r="C685" s="27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9" t="n"/>
      <c r="N685" s="21" t="n"/>
      <c r="O685" s="12">
        <f>IF(AND(B685="",C685=""),"",IF(NOT(ISNUMBER(B685)),"Needs a date",IF(C685="","Needs a client",IF(COUNTIF(Clients!$B$6:$B$105,C685)=0,"Not on Clients",IF(COUNT(D685:M685)=0,"Nothing measured","")))))</f>
        <v/>
      </c>
      <c r="P685" s="1">
        <f>IF(AND(O685="",ISNUMBER(B685)),INT(B685),0)</f>
        <v/>
      </c>
      <c r="Q685">
        <f>IF(AND(P685&gt;0,C685=Report!$C$5),P685*10000+ROW(),"")</f>
        <v/>
      </c>
      <c r="R685">
        <f>IF(AND(Q685&lt;&gt;"",ISNUMBER(D685)),Q685,"")</f>
        <v/>
      </c>
      <c r="S685">
        <f>IF(AND(Q685&lt;&gt;"",ISNUMBER(E685)),Q685,"")</f>
        <v/>
      </c>
      <c r="T685">
        <f>IF(AND(Q685&lt;&gt;"",ISNUMBER(F685)),Q685,"")</f>
        <v/>
      </c>
      <c r="U685">
        <f>IF(AND(Q685&lt;&gt;"",ISNUMBER(G685)),Q685,"")</f>
        <v/>
      </c>
      <c r="V685">
        <f>IF(AND(Q685&lt;&gt;"",ISNUMBER(H685)),Q685,"")</f>
        <v/>
      </c>
      <c r="W685">
        <f>IF(AND(Q685&lt;&gt;"",ISNUMBER(I685)),Q685,"")</f>
        <v/>
      </c>
      <c r="X685">
        <f>IF(AND(Q685&lt;&gt;"",ISNUMBER(J685)),Q685,"")</f>
        <v/>
      </c>
      <c r="Y685">
        <f>IF(AND(Q685&lt;&gt;"",ISNUMBER(K685)),Q685,"")</f>
        <v/>
      </c>
      <c r="Z685">
        <f>IF(AND(Q685&lt;&gt;"",ISNUMBER(L685)),Q685,"")</f>
        <v/>
      </c>
      <c r="AA685">
        <f>IF(AND(Q685&lt;&gt;"",ISNUMBER(M685)),Q685,"")</f>
        <v/>
      </c>
      <c r="AB685">
        <f>IF(AND(Q685&lt;&gt;"",ISNUMBER(K685)),K685,"")</f>
        <v/>
      </c>
      <c r="AC685">
        <f>IF(AND(Q685&lt;&gt;"",ISNUMBER(L685)),L685,"")</f>
        <v/>
      </c>
      <c r="AD685">
        <f>IF(AND(Q685&lt;&gt;"",ISNUMBER(M685)),M685,"")</f>
        <v/>
      </c>
    </row>
    <row r="686">
      <c r="A686" s="1" t="n"/>
      <c r="B686" s="17" t="n"/>
      <c r="C686" s="27" t="n"/>
      <c r="D686" s="28" t="n"/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9" t="n"/>
      <c r="N686" s="21" t="n"/>
      <c r="O686" s="12">
        <f>IF(AND(B686="",C686=""),"",IF(NOT(ISNUMBER(B686)),"Needs a date",IF(C686="","Needs a client",IF(COUNTIF(Clients!$B$6:$B$105,C686)=0,"Not on Clients",IF(COUNT(D686:M686)=0,"Nothing measured","")))))</f>
        <v/>
      </c>
      <c r="P686" s="1">
        <f>IF(AND(O686="",ISNUMBER(B686)),INT(B686),0)</f>
        <v/>
      </c>
      <c r="Q686">
        <f>IF(AND(P686&gt;0,C686=Report!$C$5),P686*10000+ROW(),"")</f>
        <v/>
      </c>
      <c r="R686">
        <f>IF(AND(Q686&lt;&gt;"",ISNUMBER(D686)),Q686,"")</f>
        <v/>
      </c>
      <c r="S686">
        <f>IF(AND(Q686&lt;&gt;"",ISNUMBER(E686)),Q686,"")</f>
        <v/>
      </c>
      <c r="T686">
        <f>IF(AND(Q686&lt;&gt;"",ISNUMBER(F686)),Q686,"")</f>
        <v/>
      </c>
      <c r="U686">
        <f>IF(AND(Q686&lt;&gt;"",ISNUMBER(G686)),Q686,"")</f>
        <v/>
      </c>
      <c r="V686">
        <f>IF(AND(Q686&lt;&gt;"",ISNUMBER(H686)),Q686,"")</f>
        <v/>
      </c>
      <c r="W686">
        <f>IF(AND(Q686&lt;&gt;"",ISNUMBER(I686)),Q686,"")</f>
        <v/>
      </c>
      <c r="X686">
        <f>IF(AND(Q686&lt;&gt;"",ISNUMBER(J686)),Q686,"")</f>
        <v/>
      </c>
      <c r="Y686">
        <f>IF(AND(Q686&lt;&gt;"",ISNUMBER(K686)),Q686,"")</f>
        <v/>
      </c>
      <c r="Z686">
        <f>IF(AND(Q686&lt;&gt;"",ISNUMBER(L686)),Q686,"")</f>
        <v/>
      </c>
      <c r="AA686">
        <f>IF(AND(Q686&lt;&gt;"",ISNUMBER(M686)),Q686,"")</f>
        <v/>
      </c>
      <c r="AB686">
        <f>IF(AND(Q686&lt;&gt;"",ISNUMBER(K686)),K686,"")</f>
        <v/>
      </c>
      <c r="AC686">
        <f>IF(AND(Q686&lt;&gt;"",ISNUMBER(L686)),L686,"")</f>
        <v/>
      </c>
      <c r="AD686">
        <f>IF(AND(Q686&lt;&gt;"",ISNUMBER(M686)),M686,"")</f>
        <v/>
      </c>
    </row>
    <row r="687">
      <c r="A687" s="1" t="n"/>
      <c r="B687" s="17" t="n"/>
      <c r="C687" s="27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9" t="n"/>
      <c r="N687" s="21" t="n"/>
      <c r="O687" s="12">
        <f>IF(AND(B687="",C687=""),"",IF(NOT(ISNUMBER(B687)),"Needs a date",IF(C687="","Needs a client",IF(COUNTIF(Clients!$B$6:$B$105,C687)=0,"Not on Clients",IF(COUNT(D687:M687)=0,"Nothing measured","")))))</f>
        <v/>
      </c>
      <c r="P687" s="1">
        <f>IF(AND(O687="",ISNUMBER(B687)),INT(B687),0)</f>
        <v/>
      </c>
      <c r="Q687">
        <f>IF(AND(P687&gt;0,C687=Report!$C$5),P687*10000+ROW(),"")</f>
        <v/>
      </c>
      <c r="R687">
        <f>IF(AND(Q687&lt;&gt;"",ISNUMBER(D687)),Q687,"")</f>
        <v/>
      </c>
      <c r="S687">
        <f>IF(AND(Q687&lt;&gt;"",ISNUMBER(E687)),Q687,"")</f>
        <v/>
      </c>
      <c r="T687">
        <f>IF(AND(Q687&lt;&gt;"",ISNUMBER(F687)),Q687,"")</f>
        <v/>
      </c>
      <c r="U687">
        <f>IF(AND(Q687&lt;&gt;"",ISNUMBER(G687)),Q687,"")</f>
        <v/>
      </c>
      <c r="V687">
        <f>IF(AND(Q687&lt;&gt;"",ISNUMBER(H687)),Q687,"")</f>
        <v/>
      </c>
      <c r="W687">
        <f>IF(AND(Q687&lt;&gt;"",ISNUMBER(I687)),Q687,"")</f>
        <v/>
      </c>
      <c r="X687">
        <f>IF(AND(Q687&lt;&gt;"",ISNUMBER(J687)),Q687,"")</f>
        <v/>
      </c>
      <c r="Y687">
        <f>IF(AND(Q687&lt;&gt;"",ISNUMBER(K687)),Q687,"")</f>
        <v/>
      </c>
      <c r="Z687">
        <f>IF(AND(Q687&lt;&gt;"",ISNUMBER(L687)),Q687,"")</f>
        <v/>
      </c>
      <c r="AA687">
        <f>IF(AND(Q687&lt;&gt;"",ISNUMBER(M687)),Q687,"")</f>
        <v/>
      </c>
      <c r="AB687">
        <f>IF(AND(Q687&lt;&gt;"",ISNUMBER(K687)),K687,"")</f>
        <v/>
      </c>
      <c r="AC687">
        <f>IF(AND(Q687&lt;&gt;"",ISNUMBER(L687)),L687,"")</f>
        <v/>
      </c>
      <c r="AD687">
        <f>IF(AND(Q687&lt;&gt;"",ISNUMBER(M687)),M687,"")</f>
        <v/>
      </c>
    </row>
    <row r="688">
      <c r="A688" s="1" t="n"/>
      <c r="B688" s="17" t="n"/>
      <c r="C688" s="27" t="n"/>
      <c r="D688" s="28" t="n"/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9" t="n"/>
      <c r="N688" s="21" t="n"/>
      <c r="O688" s="12">
        <f>IF(AND(B688="",C688=""),"",IF(NOT(ISNUMBER(B688)),"Needs a date",IF(C688="","Needs a client",IF(COUNTIF(Clients!$B$6:$B$105,C688)=0,"Not on Clients",IF(COUNT(D688:M688)=0,"Nothing measured","")))))</f>
        <v/>
      </c>
      <c r="P688" s="1">
        <f>IF(AND(O688="",ISNUMBER(B688)),INT(B688),0)</f>
        <v/>
      </c>
      <c r="Q688">
        <f>IF(AND(P688&gt;0,C688=Report!$C$5),P688*10000+ROW(),"")</f>
        <v/>
      </c>
      <c r="R688">
        <f>IF(AND(Q688&lt;&gt;"",ISNUMBER(D688)),Q688,"")</f>
        <v/>
      </c>
      <c r="S688">
        <f>IF(AND(Q688&lt;&gt;"",ISNUMBER(E688)),Q688,"")</f>
        <v/>
      </c>
      <c r="T688">
        <f>IF(AND(Q688&lt;&gt;"",ISNUMBER(F688)),Q688,"")</f>
        <v/>
      </c>
      <c r="U688">
        <f>IF(AND(Q688&lt;&gt;"",ISNUMBER(G688)),Q688,"")</f>
        <v/>
      </c>
      <c r="V688">
        <f>IF(AND(Q688&lt;&gt;"",ISNUMBER(H688)),Q688,"")</f>
        <v/>
      </c>
      <c r="W688">
        <f>IF(AND(Q688&lt;&gt;"",ISNUMBER(I688)),Q688,"")</f>
        <v/>
      </c>
      <c r="X688">
        <f>IF(AND(Q688&lt;&gt;"",ISNUMBER(J688)),Q688,"")</f>
        <v/>
      </c>
      <c r="Y688">
        <f>IF(AND(Q688&lt;&gt;"",ISNUMBER(K688)),Q688,"")</f>
        <v/>
      </c>
      <c r="Z688">
        <f>IF(AND(Q688&lt;&gt;"",ISNUMBER(L688)),Q688,"")</f>
        <v/>
      </c>
      <c r="AA688">
        <f>IF(AND(Q688&lt;&gt;"",ISNUMBER(M688)),Q688,"")</f>
        <v/>
      </c>
      <c r="AB688">
        <f>IF(AND(Q688&lt;&gt;"",ISNUMBER(K688)),K688,"")</f>
        <v/>
      </c>
      <c r="AC688">
        <f>IF(AND(Q688&lt;&gt;"",ISNUMBER(L688)),L688,"")</f>
        <v/>
      </c>
      <c r="AD688">
        <f>IF(AND(Q688&lt;&gt;"",ISNUMBER(M688)),M688,"")</f>
        <v/>
      </c>
    </row>
    <row r="689">
      <c r="A689" s="1" t="n"/>
      <c r="B689" s="17" t="n"/>
      <c r="C689" s="27" t="n"/>
      <c r="D689" s="28" t="n"/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9" t="n"/>
      <c r="N689" s="21" t="n"/>
      <c r="O689" s="12">
        <f>IF(AND(B689="",C689=""),"",IF(NOT(ISNUMBER(B689)),"Needs a date",IF(C689="","Needs a client",IF(COUNTIF(Clients!$B$6:$B$105,C689)=0,"Not on Clients",IF(COUNT(D689:M689)=0,"Nothing measured","")))))</f>
        <v/>
      </c>
      <c r="P689" s="1">
        <f>IF(AND(O689="",ISNUMBER(B689)),INT(B689),0)</f>
        <v/>
      </c>
      <c r="Q689">
        <f>IF(AND(P689&gt;0,C689=Report!$C$5),P689*10000+ROW(),"")</f>
        <v/>
      </c>
      <c r="R689">
        <f>IF(AND(Q689&lt;&gt;"",ISNUMBER(D689)),Q689,"")</f>
        <v/>
      </c>
      <c r="S689">
        <f>IF(AND(Q689&lt;&gt;"",ISNUMBER(E689)),Q689,"")</f>
        <v/>
      </c>
      <c r="T689">
        <f>IF(AND(Q689&lt;&gt;"",ISNUMBER(F689)),Q689,"")</f>
        <v/>
      </c>
      <c r="U689">
        <f>IF(AND(Q689&lt;&gt;"",ISNUMBER(G689)),Q689,"")</f>
        <v/>
      </c>
      <c r="V689">
        <f>IF(AND(Q689&lt;&gt;"",ISNUMBER(H689)),Q689,"")</f>
        <v/>
      </c>
      <c r="W689">
        <f>IF(AND(Q689&lt;&gt;"",ISNUMBER(I689)),Q689,"")</f>
        <v/>
      </c>
      <c r="X689">
        <f>IF(AND(Q689&lt;&gt;"",ISNUMBER(J689)),Q689,"")</f>
        <v/>
      </c>
      <c r="Y689">
        <f>IF(AND(Q689&lt;&gt;"",ISNUMBER(K689)),Q689,"")</f>
        <v/>
      </c>
      <c r="Z689">
        <f>IF(AND(Q689&lt;&gt;"",ISNUMBER(L689)),Q689,"")</f>
        <v/>
      </c>
      <c r="AA689">
        <f>IF(AND(Q689&lt;&gt;"",ISNUMBER(M689)),Q689,"")</f>
        <v/>
      </c>
      <c r="AB689">
        <f>IF(AND(Q689&lt;&gt;"",ISNUMBER(K689)),K689,"")</f>
        <v/>
      </c>
      <c r="AC689">
        <f>IF(AND(Q689&lt;&gt;"",ISNUMBER(L689)),L689,"")</f>
        <v/>
      </c>
      <c r="AD689">
        <f>IF(AND(Q689&lt;&gt;"",ISNUMBER(M689)),M689,"")</f>
        <v/>
      </c>
    </row>
    <row r="690">
      <c r="A690" s="1" t="n"/>
      <c r="B690" s="17" t="n"/>
      <c r="C690" s="27" t="n"/>
      <c r="D690" s="28" t="n"/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9" t="n"/>
      <c r="N690" s="21" t="n"/>
      <c r="O690" s="12">
        <f>IF(AND(B690="",C690=""),"",IF(NOT(ISNUMBER(B690)),"Needs a date",IF(C690="","Needs a client",IF(COUNTIF(Clients!$B$6:$B$105,C690)=0,"Not on Clients",IF(COUNT(D690:M690)=0,"Nothing measured","")))))</f>
        <v/>
      </c>
      <c r="P690" s="1">
        <f>IF(AND(O690="",ISNUMBER(B690)),INT(B690),0)</f>
        <v/>
      </c>
      <c r="Q690">
        <f>IF(AND(P690&gt;0,C690=Report!$C$5),P690*10000+ROW(),"")</f>
        <v/>
      </c>
      <c r="R690">
        <f>IF(AND(Q690&lt;&gt;"",ISNUMBER(D690)),Q690,"")</f>
        <v/>
      </c>
      <c r="S690">
        <f>IF(AND(Q690&lt;&gt;"",ISNUMBER(E690)),Q690,"")</f>
        <v/>
      </c>
      <c r="T690">
        <f>IF(AND(Q690&lt;&gt;"",ISNUMBER(F690)),Q690,"")</f>
        <v/>
      </c>
      <c r="U690">
        <f>IF(AND(Q690&lt;&gt;"",ISNUMBER(G690)),Q690,"")</f>
        <v/>
      </c>
      <c r="V690">
        <f>IF(AND(Q690&lt;&gt;"",ISNUMBER(H690)),Q690,"")</f>
        <v/>
      </c>
      <c r="W690">
        <f>IF(AND(Q690&lt;&gt;"",ISNUMBER(I690)),Q690,"")</f>
        <v/>
      </c>
      <c r="X690">
        <f>IF(AND(Q690&lt;&gt;"",ISNUMBER(J690)),Q690,"")</f>
        <v/>
      </c>
      <c r="Y690">
        <f>IF(AND(Q690&lt;&gt;"",ISNUMBER(K690)),Q690,"")</f>
        <v/>
      </c>
      <c r="Z690">
        <f>IF(AND(Q690&lt;&gt;"",ISNUMBER(L690)),Q690,"")</f>
        <v/>
      </c>
      <c r="AA690">
        <f>IF(AND(Q690&lt;&gt;"",ISNUMBER(M690)),Q690,"")</f>
        <v/>
      </c>
      <c r="AB690">
        <f>IF(AND(Q690&lt;&gt;"",ISNUMBER(K690)),K690,"")</f>
        <v/>
      </c>
      <c r="AC690">
        <f>IF(AND(Q690&lt;&gt;"",ISNUMBER(L690)),L690,"")</f>
        <v/>
      </c>
      <c r="AD690">
        <f>IF(AND(Q690&lt;&gt;"",ISNUMBER(M690)),M690,"")</f>
        <v/>
      </c>
    </row>
    <row r="691">
      <c r="A691" s="1" t="n"/>
      <c r="B691" s="17" t="n"/>
      <c r="C691" s="27" t="n"/>
      <c r="D691" s="28" t="n"/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9" t="n"/>
      <c r="N691" s="21" t="n"/>
      <c r="O691" s="12">
        <f>IF(AND(B691="",C691=""),"",IF(NOT(ISNUMBER(B691)),"Needs a date",IF(C691="","Needs a client",IF(COUNTIF(Clients!$B$6:$B$105,C691)=0,"Not on Clients",IF(COUNT(D691:M691)=0,"Nothing measured","")))))</f>
        <v/>
      </c>
      <c r="P691" s="1">
        <f>IF(AND(O691="",ISNUMBER(B691)),INT(B691),0)</f>
        <v/>
      </c>
      <c r="Q691">
        <f>IF(AND(P691&gt;0,C691=Report!$C$5),P691*10000+ROW(),"")</f>
        <v/>
      </c>
      <c r="R691">
        <f>IF(AND(Q691&lt;&gt;"",ISNUMBER(D691)),Q691,"")</f>
        <v/>
      </c>
      <c r="S691">
        <f>IF(AND(Q691&lt;&gt;"",ISNUMBER(E691)),Q691,"")</f>
        <v/>
      </c>
      <c r="T691">
        <f>IF(AND(Q691&lt;&gt;"",ISNUMBER(F691)),Q691,"")</f>
        <v/>
      </c>
      <c r="U691">
        <f>IF(AND(Q691&lt;&gt;"",ISNUMBER(G691)),Q691,"")</f>
        <v/>
      </c>
      <c r="V691">
        <f>IF(AND(Q691&lt;&gt;"",ISNUMBER(H691)),Q691,"")</f>
        <v/>
      </c>
      <c r="W691">
        <f>IF(AND(Q691&lt;&gt;"",ISNUMBER(I691)),Q691,"")</f>
        <v/>
      </c>
      <c r="X691">
        <f>IF(AND(Q691&lt;&gt;"",ISNUMBER(J691)),Q691,"")</f>
        <v/>
      </c>
      <c r="Y691">
        <f>IF(AND(Q691&lt;&gt;"",ISNUMBER(K691)),Q691,"")</f>
        <v/>
      </c>
      <c r="Z691">
        <f>IF(AND(Q691&lt;&gt;"",ISNUMBER(L691)),Q691,"")</f>
        <v/>
      </c>
      <c r="AA691">
        <f>IF(AND(Q691&lt;&gt;"",ISNUMBER(M691)),Q691,"")</f>
        <v/>
      </c>
      <c r="AB691">
        <f>IF(AND(Q691&lt;&gt;"",ISNUMBER(K691)),K691,"")</f>
        <v/>
      </c>
      <c r="AC691">
        <f>IF(AND(Q691&lt;&gt;"",ISNUMBER(L691)),L691,"")</f>
        <v/>
      </c>
      <c r="AD691">
        <f>IF(AND(Q691&lt;&gt;"",ISNUMBER(M691)),M691,"")</f>
        <v/>
      </c>
    </row>
    <row r="692">
      <c r="A692" s="1" t="n"/>
      <c r="B692" s="17" t="n"/>
      <c r="C692" s="27" t="n"/>
      <c r="D692" s="28" t="n"/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9" t="n"/>
      <c r="N692" s="21" t="n"/>
      <c r="O692" s="12">
        <f>IF(AND(B692="",C692=""),"",IF(NOT(ISNUMBER(B692)),"Needs a date",IF(C692="","Needs a client",IF(COUNTIF(Clients!$B$6:$B$105,C692)=0,"Not on Clients",IF(COUNT(D692:M692)=0,"Nothing measured","")))))</f>
        <v/>
      </c>
      <c r="P692" s="1">
        <f>IF(AND(O692="",ISNUMBER(B692)),INT(B692),0)</f>
        <v/>
      </c>
      <c r="Q692">
        <f>IF(AND(P692&gt;0,C692=Report!$C$5),P692*10000+ROW(),"")</f>
        <v/>
      </c>
      <c r="R692">
        <f>IF(AND(Q692&lt;&gt;"",ISNUMBER(D692)),Q692,"")</f>
        <v/>
      </c>
      <c r="S692">
        <f>IF(AND(Q692&lt;&gt;"",ISNUMBER(E692)),Q692,"")</f>
        <v/>
      </c>
      <c r="T692">
        <f>IF(AND(Q692&lt;&gt;"",ISNUMBER(F692)),Q692,"")</f>
        <v/>
      </c>
      <c r="U692">
        <f>IF(AND(Q692&lt;&gt;"",ISNUMBER(G692)),Q692,"")</f>
        <v/>
      </c>
      <c r="V692">
        <f>IF(AND(Q692&lt;&gt;"",ISNUMBER(H692)),Q692,"")</f>
        <v/>
      </c>
      <c r="W692">
        <f>IF(AND(Q692&lt;&gt;"",ISNUMBER(I692)),Q692,"")</f>
        <v/>
      </c>
      <c r="X692">
        <f>IF(AND(Q692&lt;&gt;"",ISNUMBER(J692)),Q692,"")</f>
        <v/>
      </c>
      <c r="Y692">
        <f>IF(AND(Q692&lt;&gt;"",ISNUMBER(K692)),Q692,"")</f>
        <v/>
      </c>
      <c r="Z692">
        <f>IF(AND(Q692&lt;&gt;"",ISNUMBER(L692)),Q692,"")</f>
        <v/>
      </c>
      <c r="AA692">
        <f>IF(AND(Q692&lt;&gt;"",ISNUMBER(M692)),Q692,"")</f>
        <v/>
      </c>
      <c r="AB692">
        <f>IF(AND(Q692&lt;&gt;"",ISNUMBER(K692)),K692,"")</f>
        <v/>
      </c>
      <c r="AC692">
        <f>IF(AND(Q692&lt;&gt;"",ISNUMBER(L692)),L692,"")</f>
        <v/>
      </c>
      <c r="AD692">
        <f>IF(AND(Q692&lt;&gt;"",ISNUMBER(M692)),M692,"")</f>
        <v/>
      </c>
    </row>
    <row r="693">
      <c r="A693" s="1" t="n"/>
      <c r="B693" s="17" t="n"/>
      <c r="C693" s="27" t="n"/>
      <c r="D693" s="2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9" t="n"/>
      <c r="N693" s="21" t="n"/>
      <c r="O693" s="12">
        <f>IF(AND(B693="",C693=""),"",IF(NOT(ISNUMBER(B693)),"Needs a date",IF(C693="","Needs a client",IF(COUNTIF(Clients!$B$6:$B$105,C693)=0,"Not on Clients",IF(COUNT(D693:M693)=0,"Nothing measured","")))))</f>
        <v/>
      </c>
      <c r="P693" s="1">
        <f>IF(AND(O693="",ISNUMBER(B693)),INT(B693),0)</f>
        <v/>
      </c>
      <c r="Q693">
        <f>IF(AND(P693&gt;0,C693=Report!$C$5),P693*10000+ROW(),"")</f>
        <v/>
      </c>
      <c r="R693">
        <f>IF(AND(Q693&lt;&gt;"",ISNUMBER(D693)),Q693,"")</f>
        <v/>
      </c>
      <c r="S693">
        <f>IF(AND(Q693&lt;&gt;"",ISNUMBER(E693)),Q693,"")</f>
        <v/>
      </c>
      <c r="T693">
        <f>IF(AND(Q693&lt;&gt;"",ISNUMBER(F693)),Q693,"")</f>
        <v/>
      </c>
      <c r="U693">
        <f>IF(AND(Q693&lt;&gt;"",ISNUMBER(G693)),Q693,"")</f>
        <v/>
      </c>
      <c r="V693">
        <f>IF(AND(Q693&lt;&gt;"",ISNUMBER(H693)),Q693,"")</f>
        <v/>
      </c>
      <c r="W693">
        <f>IF(AND(Q693&lt;&gt;"",ISNUMBER(I693)),Q693,"")</f>
        <v/>
      </c>
      <c r="X693">
        <f>IF(AND(Q693&lt;&gt;"",ISNUMBER(J693)),Q693,"")</f>
        <v/>
      </c>
      <c r="Y693">
        <f>IF(AND(Q693&lt;&gt;"",ISNUMBER(K693)),Q693,"")</f>
        <v/>
      </c>
      <c r="Z693">
        <f>IF(AND(Q693&lt;&gt;"",ISNUMBER(L693)),Q693,"")</f>
        <v/>
      </c>
      <c r="AA693">
        <f>IF(AND(Q693&lt;&gt;"",ISNUMBER(M693)),Q693,"")</f>
        <v/>
      </c>
      <c r="AB693">
        <f>IF(AND(Q693&lt;&gt;"",ISNUMBER(K693)),K693,"")</f>
        <v/>
      </c>
      <c r="AC693">
        <f>IF(AND(Q693&lt;&gt;"",ISNUMBER(L693)),L693,"")</f>
        <v/>
      </c>
      <c r="AD693">
        <f>IF(AND(Q693&lt;&gt;"",ISNUMBER(M693)),M693,"")</f>
        <v/>
      </c>
    </row>
    <row r="694">
      <c r="A694" s="1" t="n"/>
      <c r="B694" s="17" t="n"/>
      <c r="C694" s="27" t="n"/>
      <c r="D694" s="28" t="n"/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9" t="n"/>
      <c r="N694" s="21" t="n"/>
      <c r="O694" s="12">
        <f>IF(AND(B694="",C694=""),"",IF(NOT(ISNUMBER(B694)),"Needs a date",IF(C694="","Needs a client",IF(COUNTIF(Clients!$B$6:$B$105,C694)=0,"Not on Clients",IF(COUNT(D694:M694)=0,"Nothing measured","")))))</f>
        <v/>
      </c>
      <c r="P694" s="1">
        <f>IF(AND(O694="",ISNUMBER(B694)),INT(B694),0)</f>
        <v/>
      </c>
      <c r="Q694">
        <f>IF(AND(P694&gt;0,C694=Report!$C$5),P694*10000+ROW(),"")</f>
        <v/>
      </c>
      <c r="R694">
        <f>IF(AND(Q694&lt;&gt;"",ISNUMBER(D694)),Q694,"")</f>
        <v/>
      </c>
      <c r="S694">
        <f>IF(AND(Q694&lt;&gt;"",ISNUMBER(E694)),Q694,"")</f>
        <v/>
      </c>
      <c r="T694">
        <f>IF(AND(Q694&lt;&gt;"",ISNUMBER(F694)),Q694,"")</f>
        <v/>
      </c>
      <c r="U694">
        <f>IF(AND(Q694&lt;&gt;"",ISNUMBER(G694)),Q694,"")</f>
        <v/>
      </c>
      <c r="V694">
        <f>IF(AND(Q694&lt;&gt;"",ISNUMBER(H694)),Q694,"")</f>
        <v/>
      </c>
      <c r="W694">
        <f>IF(AND(Q694&lt;&gt;"",ISNUMBER(I694)),Q694,"")</f>
        <v/>
      </c>
      <c r="X694">
        <f>IF(AND(Q694&lt;&gt;"",ISNUMBER(J694)),Q694,"")</f>
        <v/>
      </c>
      <c r="Y694">
        <f>IF(AND(Q694&lt;&gt;"",ISNUMBER(K694)),Q694,"")</f>
        <v/>
      </c>
      <c r="Z694">
        <f>IF(AND(Q694&lt;&gt;"",ISNUMBER(L694)),Q694,"")</f>
        <v/>
      </c>
      <c r="AA694">
        <f>IF(AND(Q694&lt;&gt;"",ISNUMBER(M694)),Q694,"")</f>
        <v/>
      </c>
      <c r="AB694">
        <f>IF(AND(Q694&lt;&gt;"",ISNUMBER(K694)),K694,"")</f>
        <v/>
      </c>
      <c r="AC694">
        <f>IF(AND(Q694&lt;&gt;"",ISNUMBER(L694)),L694,"")</f>
        <v/>
      </c>
      <c r="AD694">
        <f>IF(AND(Q694&lt;&gt;"",ISNUMBER(M694)),M694,"")</f>
        <v/>
      </c>
    </row>
    <row r="695">
      <c r="A695" s="1" t="n"/>
      <c r="B695" s="17" t="n"/>
      <c r="C695" s="27" t="n"/>
      <c r="D695" s="28" t="n"/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9" t="n"/>
      <c r="N695" s="21" t="n"/>
      <c r="O695" s="12">
        <f>IF(AND(B695="",C695=""),"",IF(NOT(ISNUMBER(B695)),"Needs a date",IF(C695="","Needs a client",IF(COUNTIF(Clients!$B$6:$B$105,C695)=0,"Not on Clients",IF(COUNT(D695:M695)=0,"Nothing measured","")))))</f>
        <v/>
      </c>
      <c r="P695" s="1">
        <f>IF(AND(O695="",ISNUMBER(B695)),INT(B695),0)</f>
        <v/>
      </c>
      <c r="Q695">
        <f>IF(AND(P695&gt;0,C695=Report!$C$5),P695*10000+ROW(),"")</f>
        <v/>
      </c>
      <c r="R695">
        <f>IF(AND(Q695&lt;&gt;"",ISNUMBER(D695)),Q695,"")</f>
        <v/>
      </c>
      <c r="S695">
        <f>IF(AND(Q695&lt;&gt;"",ISNUMBER(E695)),Q695,"")</f>
        <v/>
      </c>
      <c r="T695">
        <f>IF(AND(Q695&lt;&gt;"",ISNUMBER(F695)),Q695,"")</f>
        <v/>
      </c>
      <c r="U695">
        <f>IF(AND(Q695&lt;&gt;"",ISNUMBER(G695)),Q695,"")</f>
        <v/>
      </c>
      <c r="V695">
        <f>IF(AND(Q695&lt;&gt;"",ISNUMBER(H695)),Q695,"")</f>
        <v/>
      </c>
      <c r="W695">
        <f>IF(AND(Q695&lt;&gt;"",ISNUMBER(I695)),Q695,"")</f>
        <v/>
      </c>
      <c r="X695">
        <f>IF(AND(Q695&lt;&gt;"",ISNUMBER(J695)),Q695,"")</f>
        <v/>
      </c>
      <c r="Y695">
        <f>IF(AND(Q695&lt;&gt;"",ISNUMBER(K695)),Q695,"")</f>
        <v/>
      </c>
      <c r="Z695">
        <f>IF(AND(Q695&lt;&gt;"",ISNUMBER(L695)),Q695,"")</f>
        <v/>
      </c>
      <c r="AA695">
        <f>IF(AND(Q695&lt;&gt;"",ISNUMBER(M695)),Q695,"")</f>
        <v/>
      </c>
      <c r="AB695">
        <f>IF(AND(Q695&lt;&gt;"",ISNUMBER(K695)),K695,"")</f>
        <v/>
      </c>
      <c r="AC695">
        <f>IF(AND(Q695&lt;&gt;"",ISNUMBER(L695)),L695,"")</f>
        <v/>
      </c>
      <c r="AD695">
        <f>IF(AND(Q695&lt;&gt;"",ISNUMBER(M695)),M695,"")</f>
        <v/>
      </c>
    </row>
    <row r="696">
      <c r="A696" s="1" t="n"/>
      <c r="B696" s="17" t="n"/>
      <c r="C696" s="27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9" t="n"/>
      <c r="N696" s="21" t="n"/>
      <c r="O696" s="12">
        <f>IF(AND(B696="",C696=""),"",IF(NOT(ISNUMBER(B696)),"Needs a date",IF(C696="","Needs a client",IF(COUNTIF(Clients!$B$6:$B$105,C696)=0,"Not on Clients",IF(COUNT(D696:M696)=0,"Nothing measured","")))))</f>
        <v/>
      </c>
      <c r="P696" s="1">
        <f>IF(AND(O696="",ISNUMBER(B696)),INT(B696),0)</f>
        <v/>
      </c>
      <c r="Q696">
        <f>IF(AND(P696&gt;0,C696=Report!$C$5),P696*10000+ROW(),"")</f>
        <v/>
      </c>
      <c r="R696">
        <f>IF(AND(Q696&lt;&gt;"",ISNUMBER(D696)),Q696,"")</f>
        <v/>
      </c>
      <c r="S696">
        <f>IF(AND(Q696&lt;&gt;"",ISNUMBER(E696)),Q696,"")</f>
        <v/>
      </c>
      <c r="T696">
        <f>IF(AND(Q696&lt;&gt;"",ISNUMBER(F696)),Q696,"")</f>
        <v/>
      </c>
      <c r="U696">
        <f>IF(AND(Q696&lt;&gt;"",ISNUMBER(G696)),Q696,"")</f>
        <v/>
      </c>
      <c r="V696">
        <f>IF(AND(Q696&lt;&gt;"",ISNUMBER(H696)),Q696,"")</f>
        <v/>
      </c>
      <c r="W696">
        <f>IF(AND(Q696&lt;&gt;"",ISNUMBER(I696)),Q696,"")</f>
        <v/>
      </c>
      <c r="X696">
        <f>IF(AND(Q696&lt;&gt;"",ISNUMBER(J696)),Q696,"")</f>
        <v/>
      </c>
      <c r="Y696">
        <f>IF(AND(Q696&lt;&gt;"",ISNUMBER(K696)),Q696,"")</f>
        <v/>
      </c>
      <c r="Z696">
        <f>IF(AND(Q696&lt;&gt;"",ISNUMBER(L696)),Q696,"")</f>
        <v/>
      </c>
      <c r="AA696">
        <f>IF(AND(Q696&lt;&gt;"",ISNUMBER(M696)),Q696,"")</f>
        <v/>
      </c>
      <c r="AB696">
        <f>IF(AND(Q696&lt;&gt;"",ISNUMBER(K696)),K696,"")</f>
        <v/>
      </c>
      <c r="AC696">
        <f>IF(AND(Q696&lt;&gt;"",ISNUMBER(L696)),L696,"")</f>
        <v/>
      </c>
      <c r="AD696">
        <f>IF(AND(Q696&lt;&gt;"",ISNUMBER(M696)),M696,"")</f>
        <v/>
      </c>
    </row>
    <row r="697">
      <c r="A697" s="1" t="n"/>
      <c r="B697" s="17" t="n"/>
      <c r="C697" s="27" t="n"/>
      <c r="D697" s="28" t="n"/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9" t="n"/>
      <c r="N697" s="21" t="n"/>
      <c r="O697" s="12">
        <f>IF(AND(B697="",C697=""),"",IF(NOT(ISNUMBER(B697)),"Needs a date",IF(C697="","Needs a client",IF(COUNTIF(Clients!$B$6:$B$105,C697)=0,"Not on Clients",IF(COUNT(D697:M697)=0,"Nothing measured","")))))</f>
        <v/>
      </c>
      <c r="P697" s="1">
        <f>IF(AND(O697="",ISNUMBER(B697)),INT(B697),0)</f>
        <v/>
      </c>
      <c r="Q697">
        <f>IF(AND(P697&gt;0,C697=Report!$C$5),P697*10000+ROW(),"")</f>
        <v/>
      </c>
      <c r="R697">
        <f>IF(AND(Q697&lt;&gt;"",ISNUMBER(D697)),Q697,"")</f>
        <v/>
      </c>
      <c r="S697">
        <f>IF(AND(Q697&lt;&gt;"",ISNUMBER(E697)),Q697,"")</f>
        <v/>
      </c>
      <c r="T697">
        <f>IF(AND(Q697&lt;&gt;"",ISNUMBER(F697)),Q697,"")</f>
        <v/>
      </c>
      <c r="U697">
        <f>IF(AND(Q697&lt;&gt;"",ISNUMBER(G697)),Q697,"")</f>
        <v/>
      </c>
      <c r="V697">
        <f>IF(AND(Q697&lt;&gt;"",ISNUMBER(H697)),Q697,"")</f>
        <v/>
      </c>
      <c r="W697">
        <f>IF(AND(Q697&lt;&gt;"",ISNUMBER(I697)),Q697,"")</f>
        <v/>
      </c>
      <c r="X697">
        <f>IF(AND(Q697&lt;&gt;"",ISNUMBER(J697)),Q697,"")</f>
        <v/>
      </c>
      <c r="Y697">
        <f>IF(AND(Q697&lt;&gt;"",ISNUMBER(K697)),Q697,"")</f>
        <v/>
      </c>
      <c r="Z697">
        <f>IF(AND(Q697&lt;&gt;"",ISNUMBER(L697)),Q697,"")</f>
        <v/>
      </c>
      <c r="AA697">
        <f>IF(AND(Q697&lt;&gt;"",ISNUMBER(M697)),Q697,"")</f>
        <v/>
      </c>
      <c r="AB697">
        <f>IF(AND(Q697&lt;&gt;"",ISNUMBER(K697)),K697,"")</f>
        <v/>
      </c>
      <c r="AC697">
        <f>IF(AND(Q697&lt;&gt;"",ISNUMBER(L697)),L697,"")</f>
        <v/>
      </c>
      <c r="AD697">
        <f>IF(AND(Q697&lt;&gt;"",ISNUMBER(M697)),M697,"")</f>
        <v/>
      </c>
    </row>
    <row r="698">
      <c r="A698" s="1" t="n"/>
      <c r="B698" s="17" t="n"/>
      <c r="C698" s="27" t="n"/>
      <c r="D698" s="28" t="n"/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9" t="n"/>
      <c r="N698" s="21" t="n"/>
      <c r="O698" s="12">
        <f>IF(AND(B698="",C698=""),"",IF(NOT(ISNUMBER(B698)),"Needs a date",IF(C698="","Needs a client",IF(COUNTIF(Clients!$B$6:$B$105,C698)=0,"Not on Clients",IF(COUNT(D698:M698)=0,"Nothing measured","")))))</f>
        <v/>
      </c>
      <c r="P698" s="1">
        <f>IF(AND(O698="",ISNUMBER(B698)),INT(B698),0)</f>
        <v/>
      </c>
      <c r="Q698">
        <f>IF(AND(P698&gt;0,C698=Report!$C$5),P698*10000+ROW(),"")</f>
        <v/>
      </c>
      <c r="R698">
        <f>IF(AND(Q698&lt;&gt;"",ISNUMBER(D698)),Q698,"")</f>
        <v/>
      </c>
      <c r="S698">
        <f>IF(AND(Q698&lt;&gt;"",ISNUMBER(E698)),Q698,"")</f>
        <v/>
      </c>
      <c r="T698">
        <f>IF(AND(Q698&lt;&gt;"",ISNUMBER(F698)),Q698,"")</f>
        <v/>
      </c>
      <c r="U698">
        <f>IF(AND(Q698&lt;&gt;"",ISNUMBER(G698)),Q698,"")</f>
        <v/>
      </c>
      <c r="V698">
        <f>IF(AND(Q698&lt;&gt;"",ISNUMBER(H698)),Q698,"")</f>
        <v/>
      </c>
      <c r="W698">
        <f>IF(AND(Q698&lt;&gt;"",ISNUMBER(I698)),Q698,"")</f>
        <v/>
      </c>
      <c r="X698">
        <f>IF(AND(Q698&lt;&gt;"",ISNUMBER(J698)),Q698,"")</f>
        <v/>
      </c>
      <c r="Y698">
        <f>IF(AND(Q698&lt;&gt;"",ISNUMBER(K698)),Q698,"")</f>
        <v/>
      </c>
      <c r="Z698">
        <f>IF(AND(Q698&lt;&gt;"",ISNUMBER(L698)),Q698,"")</f>
        <v/>
      </c>
      <c r="AA698">
        <f>IF(AND(Q698&lt;&gt;"",ISNUMBER(M698)),Q698,"")</f>
        <v/>
      </c>
      <c r="AB698">
        <f>IF(AND(Q698&lt;&gt;"",ISNUMBER(K698)),K698,"")</f>
        <v/>
      </c>
      <c r="AC698">
        <f>IF(AND(Q698&lt;&gt;"",ISNUMBER(L698)),L698,"")</f>
        <v/>
      </c>
      <c r="AD698">
        <f>IF(AND(Q698&lt;&gt;"",ISNUMBER(M698)),M698,"")</f>
        <v/>
      </c>
    </row>
    <row r="699">
      <c r="A699" s="1" t="n"/>
      <c r="B699" s="17" t="n"/>
      <c r="C699" s="27" t="n"/>
      <c r="D699" s="28" t="n"/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9" t="n"/>
      <c r="N699" s="21" t="n"/>
      <c r="O699" s="12">
        <f>IF(AND(B699="",C699=""),"",IF(NOT(ISNUMBER(B699)),"Needs a date",IF(C699="","Needs a client",IF(COUNTIF(Clients!$B$6:$B$105,C699)=0,"Not on Clients",IF(COUNT(D699:M699)=0,"Nothing measured","")))))</f>
        <v/>
      </c>
      <c r="P699" s="1">
        <f>IF(AND(O699="",ISNUMBER(B699)),INT(B699),0)</f>
        <v/>
      </c>
      <c r="Q699">
        <f>IF(AND(P699&gt;0,C699=Report!$C$5),P699*10000+ROW(),"")</f>
        <v/>
      </c>
      <c r="R699">
        <f>IF(AND(Q699&lt;&gt;"",ISNUMBER(D699)),Q699,"")</f>
        <v/>
      </c>
      <c r="S699">
        <f>IF(AND(Q699&lt;&gt;"",ISNUMBER(E699)),Q699,"")</f>
        <v/>
      </c>
      <c r="T699">
        <f>IF(AND(Q699&lt;&gt;"",ISNUMBER(F699)),Q699,"")</f>
        <v/>
      </c>
      <c r="U699">
        <f>IF(AND(Q699&lt;&gt;"",ISNUMBER(G699)),Q699,"")</f>
        <v/>
      </c>
      <c r="V699">
        <f>IF(AND(Q699&lt;&gt;"",ISNUMBER(H699)),Q699,"")</f>
        <v/>
      </c>
      <c r="W699">
        <f>IF(AND(Q699&lt;&gt;"",ISNUMBER(I699)),Q699,"")</f>
        <v/>
      </c>
      <c r="X699">
        <f>IF(AND(Q699&lt;&gt;"",ISNUMBER(J699)),Q699,"")</f>
        <v/>
      </c>
      <c r="Y699">
        <f>IF(AND(Q699&lt;&gt;"",ISNUMBER(K699)),Q699,"")</f>
        <v/>
      </c>
      <c r="Z699">
        <f>IF(AND(Q699&lt;&gt;"",ISNUMBER(L699)),Q699,"")</f>
        <v/>
      </c>
      <c r="AA699">
        <f>IF(AND(Q699&lt;&gt;"",ISNUMBER(M699)),Q699,"")</f>
        <v/>
      </c>
      <c r="AB699">
        <f>IF(AND(Q699&lt;&gt;"",ISNUMBER(K699)),K699,"")</f>
        <v/>
      </c>
      <c r="AC699">
        <f>IF(AND(Q699&lt;&gt;"",ISNUMBER(L699)),L699,"")</f>
        <v/>
      </c>
      <c r="AD699">
        <f>IF(AND(Q699&lt;&gt;"",ISNUMBER(M699)),M699,"")</f>
        <v/>
      </c>
    </row>
    <row r="700">
      <c r="A700" s="1" t="n"/>
      <c r="B700" s="17" t="n"/>
      <c r="C700" s="27" t="n"/>
      <c r="D700" s="28" t="n"/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9" t="n"/>
      <c r="N700" s="21" t="n"/>
      <c r="O700" s="12">
        <f>IF(AND(B700="",C700=""),"",IF(NOT(ISNUMBER(B700)),"Needs a date",IF(C700="","Needs a client",IF(COUNTIF(Clients!$B$6:$B$105,C700)=0,"Not on Clients",IF(COUNT(D700:M700)=0,"Nothing measured","")))))</f>
        <v/>
      </c>
      <c r="P700" s="1">
        <f>IF(AND(O700="",ISNUMBER(B700)),INT(B700),0)</f>
        <v/>
      </c>
      <c r="Q700">
        <f>IF(AND(P700&gt;0,C700=Report!$C$5),P700*10000+ROW(),"")</f>
        <v/>
      </c>
      <c r="R700">
        <f>IF(AND(Q700&lt;&gt;"",ISNUMBER(D700)),Q700,"")</f>
        <v/>
      </c>
      <c r="S700">
        <f>IF(AND(Q700&lt;&gt;"",ISNUMBER(E700)),Q700,"")</f>
        <v/>
      </c>
      <c r="T700">
        <f>IF(AND(Q700&lt;&gt;"",ISNUMBER(F700)),Q700,"")</f>
        <v/>
      </c>
      <c r="U700">
        <f>IF(AND(Q700&lt;&gt;"",ISNUMBER(G700)),Q700,"")</f>
        <v/>
      </c>
      <c r="V700">
        <f>IF(AND(Q700&lt;&gt;"",ISNUMBER(H700)),Q700,"")</f>
        <v/>
      </c>
      <c r="W700">
        <f>IF(AND(Q700&lt;&gt;"",ISNUMBER(I700)),Q700,"")</f>
        <v/>
      </c>
      <c r="X700">
        <f>IF(AND(Q700&lt;&gt;"",ISNUMBER(J700)),Q700,"")</f>
        <v/>
      </c>
      <c r="Y700">
        <f>IF(AND(Q700&lt;&gt;"",ISNUMBER(K700)),Q700,"")</f>
        <v/>
      </c>
      <c r="Z700">
        <f>IF(AND(Q700&lt;&gt;"",ISNUMBER(L700)),Q700,"")</f>
        <v/>
      </c>
      <c r="AA700">
        <f>IF(AND(Q700&lt;&gt;"",ISNUMBER(M700)),Q700,"")</f>
        <v/>
      </c>
      <c r="AB700">
        <f>IF(AND(Q700&lt;&gt;"",ISNUMBER(K700)),K700,"")</f>
        <v/>
      </c>
      <c r="AC700">
        <f>IF(AND(Q700&lt;&gt;"",ISNUMBER(L700)),L700,"")</f>
        <v/>
      </c>
      <c r="AD700">
        <f>IF(AND(Q700&lt;&gt;"",ISNUMBER(M700)),M700,"")</f>
        <v/>
      </c>
    </row>
    <row r="701">
      <c r="A701" s="1" t="n"/>
      <c r="B701" s="17" t="n"/>
      <c r="C701" s="27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9" t="n"/>
      <c r="N701" s="21" t="n"/>
      <c r="O701" s="12">
        <f>IF(AND(B701="",C701=""),"",IF(NOT(ISNUMBER(B701)),"Needs a date",IF(C701="","Needs a client",IF(COUNTIF(Clients!$B$6:$B$105,C701)=0,"Not on Clients",IF(COUNT(D701:M701)=0,"Nothing measured","")))))</f>
        <v/>
      </c>
      <c r="P701" s="1">
        <f>IF(AND(O701="",ISNUMBER(B701)),INT(B701),0)</f>
        <v/>
      </c>
      <c r="Q701">
        <f>IF(AND(P701&gt;0,C701=Report!$C$5),P701*10000+ROW(),"")</f>
        <v/>
      </c>
      <c r="R701">
        <f>IF(AND(Q701&lt;&gt;"",ISNUMBER(D701)),Q701,"")</f>
        <v/>
      </c>
      <c r="S701">
        <f>IF(AND(Q701&lt;&gt;"",ISNUMBER(E701)),Q701,"")</f>
        <v/>
      </c>
      <c r="T701">
        <f>IF(AND(Q701&lt;&gt;"",ISNUMBER(F701)),Q701,"")</f>
        <v/>
      </c>
      <c r="U701">
        <f>IF(AND(Q701&lt;&gt;"",ISNUMBER(G701)),Q701,"")</f>
        <v/>
      </c>
      <c r="V701">
        <f>IF(AND(Q701&lt;&gt;"",ISNUMBER(H701)),Q701,"")</f>
        <v/>
      </c>
      <c r="W701">
        <f>IF(AND(Q701&lt;&gt;"",ISNUMBER(I701)),Q701,"")</f>
        <v/>
      </c>
      <c r="X701">
        <f>IF(AND(Q701&lt;&gt;"",ISNUMBER(J701)),Q701,"")</f>
        <v/>
      </c>
      <c r="Y701">
        <f>IF(AND(Q701&lt;&gt;"",ISNUMBER(K701)),Q701,"")</f>
        <v/>
      </c>
      <c r="Z701">
        <f>IF(AND(Q701&lt;&gt;"",ISNUMBER(L701)),Q701,"")</f>
        <v/>
      </c>
      <c r="AA701">
        <f>IF(AND(Q701&lt;&gt;"",ISNUMBER(M701)),Q701,"")</f>
        <v/>
      </c>
      <c r="AB701">
        <f>IF(AND(Q701&lt;&gt;"",ISNUMBER(K701)),K701,"")</f>
        <v/>
      </c>
      <c r="AC701">
        <f>IF(AND(Q701&lt;&gt;"",ISNUMBER(L701)),L701,"")</f>
        <v/>
      </c>
      <c r="AD701">
        <f>IF(AND(Q701&lt;&gt;"",ISNUMBER(M701)),M701,"")</f>
        <v/>
      </c>
    </row>
    <row r="702">
      <c r="A702" s="1" t="n"/>
      <c r="B702" s="17" t="n"/>
      <c r="C702" s="27" t="n"/>
      <c r="D702" s="28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9" t="n"/>
      <c r="N702" s="21" t="n"/>
      <c r="O702" s="12">
        <f>IF(AND(B702="",C702=""),"",IF(NOT(ISNUMBER(B702)),"Needs a date",IF(C702="","Needs a client",IF(COUNTIF(Clients!$B$6:$B$105,C702)=0,"Not on Clients",IF(COUNT(D702:M702)=0,"Nothing measured","")))))</f>
        <v/>
      </c>
      <c r="P702" s="1">
        <f>IF(AND(O702="",ISNUMBER(B702)),INT(B702),0)</f>
        <v/>
      </c>
      <c r="Q702">
        <f>IF(AND(P702&gt;0,C702=Report!$C$5),P702*10000+ROW(),"")</f>
        <v/>
      </c>
      <c r="R702">
        <f>IF(AND(Q702&lt;&gt;"",ISNUMBER(D702)),Q702,"")</f>
        <v/>
      </c>
      <c r="S702">
        <f>IF(AND(Q702&lt;&gt;"",ISNUMBER(E702)),Q702,"")</f>
        <v/>
      </c>
      <c r="T702">
        <f>IF(AND(Q702&lt;&gt;"",ISNUMBER(F702)),Q702,"")</f>
        <v/>
      </c>
      <c r="U702">
        <f>IF(AND(Q702&lt;&gt;"",ISNUMBER(G702)),Q702,"")</f>
        <v/>
      </c>
      <c r="V702">
        <f>IF(AND(Q702&lt;&gt;"",ISNUMBER(H702)),Q702,"")</f>
        <v/>
      </c>
      <c r="W702">
        <f>IF(AND(Q702&lt;&gt;"",ISNUMBER(I702)),Q702,"")</f>
        <v/>
      </c>
      <c r="X702">
        <f>IF(AND(Q702&lt;&gt;"",ISNUMBER(J702)),Q702,"")</f>
        <v/>
      </c>
      <c r="Y702">
        <f>IF(AND(Q702&lt;&gt;"",ISNUMBER(K702)),Q702,"")</f>
        <v/>
      </c>
      <c r="Z702">
        <f>IF(AND(Q702&lt;&gt;"",ISNUMBER(L702)),Q702,"")</f>
        <v/>
      </c>
      <c r="AA702">
        <f>IF(AND(Q702&lt;&gt;"",ISNUMBER(M702)),Q702,"")</f>
        <v/>
      </c>
      <c r="AB702">
        <f>IF(AND(Q702&lt;&gt;"",ISNUMBER(K702)),K702,"")</f>
        <v/>
      </c>
      <c r="AC702">
        <f>IF(AND(Q702&lt;&gt;"",ISNUMBER(L702)),L702,"")</f>
        <v/>
      </c>
      <c r="AD702">
        <f>IF(AND(Q702&lt;&gt;"",ISNUMBER(M702)),M702,"")</f>
        <v/>
      </c>
    </row>
    <row r="703">
      <c r="A703" s="1" t="n"/>
      <c r="B703" s="17" t="n"/>
      <c r="C703" s="27" t="n"/>
      <c r="D703" s="28" t="n"/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9" t="n"/>
      <c r="N703" s="21" t="n"/>
      <c r="O703" s="12">
        <f>IF(AND(B703="",C703=""),"",IF(NOT(ISNUMBER(B703)),"Needs a date",IF(C703="","Needs a client",IF(COUNTIF(Clients!$B$6:$B$105,C703)=0,"Not on Clients",IF(COUNT(D703:M703)=0,"Nothing measured","")))))</f>
        <v/>
      </c>
      <c r="P703" s="1">
        <f>IF(AND(O703="",ISNUMBER(B703)),INT(B703),0)</f>
        <v/>
      </c>
      <c r="Q703">
        <f>IF(AND(P703&gt;0,C703=Report!$C$5),P703*10000+ROW(),"")</f>
        <v/>
      </c>
      <c r="R703">
        <f>IF(AND(Q703&lt;&gt;"",ISNUMBER(D703)),Q703,"")</f>
        <v/>
      </c>
      <c r="S703">
        <f>IF(AND(Q703&lt;&gt;"",ISNUMBER(E703)),Q703,"")</f>
        <v/>
      </c>
      <c r="T703">
        <f>IF(AND(Q703&lt;&gt;"",ISNUMBER(F703)),Q703,"")</f>
        <v/>
      </c>
      <c r="U703">
        <f>IF(AND(Q703&lt;&gt;"",ISNUMBER(G703)),Q703,"")</f>
        <v/>
      </c>
      <c r="V703">
        <f>IF(AND(Q703&lt;&gt;"",ISNUMBER(H703)),Q703,"")</f>
        <v/>
      </c>
      <c r="W703">
        <f>IF(AND(Q703&lt;&gt;"",ISNUMBER(I703)),Q703,"")</f>
        <v/>
      </c>
      <c r="X703">
        <f>IF(AND(Q703&lt;&gt;"",ISNUMBER(J703)),Q703,"")</f>
        <v/>
      </c>
      <c r="Y703">
        <f>IF(AND(Q703&lt;&gt;"",ISNUMBER(K703)),Q703,"")</f>
        <v/>
      </c>
      <c r="Z703">
        <f>IF(AND(Q703&lt;&gt;"",ISNUMBER(L703)),Q703,"")</f>
        <v/>
      </c>
      <c r="AA703">
        <f>IF(AND(Q703&lt;&gt;"",ISNUMBER(M703)),Q703,"")</f>
        <v/>
      </c>
      <c r="AB703">
        <f>IF(AND(Q703&lt;&gt;"",ISNUMBER(K703)),K703,"")</f>
        <v/>
      </c>
      <c r="AC703">
        <f>IF(AND(Q703&lt;&gt;"",ISNUMBER(L703)),L703,"")</f>
        <v/>
      </c>
      <c r="AD703">
        <f>IF(AND(Q703&lt;&gt;"",ISNUMBER(M703)),M703,"")</f>
        <v/>
      </c>
    </row>
    <row r="704">
      <c r="A704" s="1" t="n"/>
      <c r="B704" s="17" t="n"/>
      <c r="C704" s="27" t="n"/>
      <c r="D704" s="28" t="n"/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9" t="n"/>
      <c r="N704" s="21" t="n"/>
      <c r="O704" s="12">
        <f>IF(AND(B704="",C704=""),"",IF(NOT(ISNUMBER(B704)),"Needs a date",IF(C704="","Needs a client",IF(COUNTIF(Clients!$B$6:$B$105,C704)=0,"Not on Clients",IF(COUNT(D704:M704)=0,"Nothing measured","")))))</f>
        <v/>
      </c>
      <c r="P704" s="1">
        <f>IF(AND(O704="",ISNUMBER(B704)),INT(B704),0)</f>
        <v/>
      </c>
      <c r="Q704">
        <f>IF(AND(P704&gt;0,C704=Report!$C$5),P704*10000+ROW(),"")</f>
        <v/>
      </c>
      <c r="R704">
        <f>IF(AND(Q704&lt;&gt;"",ISNUMBER(D704)),Q704,"")</f>
        <v/>
      </c>
      <c r="S704">
        <f>IF(AND(Q704&lt;&gt;"",ISNUMBER(E704)),Q704,"")</f>
        <v/>
      </c>
      <c r="T704">
        <f>IF(AND(Q704&lt;&gt;"",ISNUMBER(F704)),Q704,"")</f>
        <v/>
      </c>
      <c r="U704">
        <f>IF(AND(Q704&lt;&gt;"",ISNUMBER(G704)),Q704,"")</f>
        <v/>
      </c>
      <c r="V704">
        <f>IF(AND(Q704&lt;&gt;"",ISNUMBER(H704)),Q704,"")</f>
        <v/>
      </c>
      <c r="W704">
        <f>IF(AND(Q704&lt;&gt;"",ISNUMBER(I704)),Q704,"")</f>
        <v/>
      </c>
      <c r="X704">
        <f>IF(AND(Q704&lt;&gt;"",ISNUMBER(J704)),Q704,"")</f>
        <v/>
      </c>
      <c r="Y704">
        <f>IF(AND(Q704&lt;&gt;"",ISNUMBER(K704)),Q704,"")</f>
        <v/>
      </c>
      <c r="Z704">
        <f>IF(AND(Q704&lt;&gt;"",ISNUMBER(L704)),Q704,"")</f>
        <v/>
      </c>
      <c r="AA704">
        <f>IF(AND(Q704&lt;&gt;"",ISNUMBER(M704)),Q704,"")</f>
        <v/>
      </c>
      <c r="AB704">
        <f>IF(AND(Q704&lt;&gt;"",ISNUMBER(K704)),K704,"")</f>
        <v/>
      </c>
      <c r="AC704">
        <f>IF(AND(Q704&lt;&gt;"",ISNUMBER(L704)),L704,"")</f>
        <v/>
      </c>
      <c r="AD704">
        <f>IF(AND(Q704&lt;&gt;"",ISNUMBER(M704)),M704,"")</f>
        <v/>
      </c>
    </row>
    <row r="705">
      <c r="A705" s="1" t="n"/>
      <c r="B705" s="17" t="n"/>
      <c r="C705" s="27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9" t="n"/>
      <c r="N705" s="21" t="n"/>
      <c r="O705" s="12">
        <f>IF(AND(B705="",C705=""),"",IF(NOT(ISNUMBER(B705)),"Needs a date",IF(C705="","Needs a client",IF(COUNTIF(Clients!$B$6:$B$105,C705)=0,"Not on Clients",IF(COUNT(D705:M705)=0,"Nothing measured","")))))</f>
        <v/>
      </c>
      <c r="P705" s="1">
        <f>IF(AND(O705="",ISNUMBER(B705)),INT(B705),0)</f>
        <v/>
      </c>
      <c r="Q705">
        <f>IF(AND(P705&gt;0,C705=Report!$C$5),P705*10000+ROW(),"")</f>
        <v/>
      </c>
      <c r="R705">
        <f>IF(AND(Q705&lt;&gt;"",ISNUMBER(D705)),Q705,"")</f>
        <v/>
      </c>
      <c r="S705">
        <f>IF(AND(Q705&lt;&gt;"",ISNUMBER(E705)),Q705,"")</f>
        <v/>
      </c>
      <c r="T705">
        <f>IF(AND(Q705&lt;&gt;"",ISNUMBER(F705)),Q705,"")</f>
        <v/>
      </c>
      <c r="U705">
        <f>IF(AND(Q705&lt;&gt;"",ISNUMBER(G705)),Q705,"")</f>
        <v/>
      </c>
      <c r="V705">
        <f>IF(AND(Q705&lt;&gt;"",ISNUMBER(H705)),Q705,"")</f>
        <v/>
      </c>
      <c r="W705">
        <f>IF(AND(Q705&lt;&gt;"",ISNUMBER(I705)),Q705,"")</f>
        <v/>
      </c>
      <c r="X705">
        <f>IF(AND(Q705&lt;&gt;"",ISNUMBER(J705)),Q705,"")</f>
        <v/>
      </c>
      <c r="Y705">
        <f>IF(AND(Q705&lt;&gt;"",ISNUMBER(K705)),Q705,"")</f>
        <v/>
      </c>
      <c r="Z705">
        <f>IF(AND(Q705&lt;&gt;"",ISNUMBER(L705)),Q705,"")</f>
        <v/>
      </c>
      <c r="AA705">
        <f>IF(AND(Q705&lt;&gt;"",ISNUMBER(M705)),Q705,"")</f>
        <v/>
      </c>
      <c r="AB705">
        <f>IF(AND(Q705&lt;&gt;"",ISNUMBER(K705)),K705,"")</f>
        <v/>
      </c>
      <c r="AC705">
        <f>IF(AND(Q705&lt;&gt;"",ISNUMBER(L705)),L705,"")</f>
        <v/>
      </c>
      <c r="AD705">
        <f>IF(AND(Q705&lt;&gt;"",ISNUMBER(M705)),M705,"")</f>
        <v/>
      </c>
    </row>
    <row r="706">
      <c r="A706" s="1" t="n"/>
      <c r="B706" s="17" t="n"/>
      <c r="C706" s="27" t="n"/>
      <c r="D706" s="28" t="n"/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9" t="n"/>
      <c r="N706" s="21" t="n"/>
      <c r="O706" s="12">
        <f>IF(AND(B706="",C706=""),"",IF(NOT(ISNUMBER(B706)),"Needs a date",IF(C706="","Needs a client",IF(COUNTIF(Clients!$B$6:$B$105,C706)=0,"Not on Clients",IF(COUNT(D706:M706)=0,"Nothing measured","")))))</f>
        <v/>
      </c>
      <c r="P706" s="1">
        <f>IF(AND(O706="",ISNUMBER(B706)),INT(B706),0)</f>
        <v/>
      </c>
      <c r="Q706">
        <f>IF(AND(P706&gt;0,C706=Report!$C$5),P706*10000+ROW(),"")</f>
        <v/>
      </c>
      <c r="R706">
        <f>IF(AND(Q706&lt;&gt;"",ISNUMBER(D706)),Q706,"")</f>
        <v/>
      </c>
      <c r="S706">
        <f>IF(AND(Q706&lt;&gt;"",ISNUMBER(E706)),Q706,"")</f>
        <v/>
      </c>
      <c r="T706">
        <f>IF(AND(Q706&lt;&gt;"",ISNUMBER(F706)),Q706,"")</f>
        <v/>
      </c>
      <c r="U706">
        <f>IF(AND(Q706&lt;&gt;"",ISNUMBER(G706)),Q706,"")</f>
        <v/>
      </c>
      <c r="V706">
        <f>IF(AND(Q706&lt;&gt;"",ISNUMBER(H706)),Q706,"")</f>
        <v/>
      </c>
      <c r="W706">
        <f>IF(AND(Q706&lt;&gt;"",ISNUMBER(I706)),Q706,"")</f>
        <v/>
      </c>
      <c r="X706">
        <f>IF(AND(Q706&lt;&gt;"",ISNUMBER(J706)),Q706,"")</f>
        <v/>
      </c>
      <c r="Y706">
        <f>IF(AND(Q706&lt;&gt;"",ISNUMBER(K706)),Q706,"")</f>
        <v/>
      </c>
      <c r="Z706">
        <f>IF(AND(Q706&lt;&gt;"",ISNUMBER(L706)),Q706,"")</f>
        <v/>
      </c>
      <c r="AA706">
        <f>IF(AND(Q706&lt;&gt;"",ISNUMBER(M706)),Q706,"")</f>
        <v/>
      </c>
      <c r="AB706">
        <f>IF(AND(Q706&lt;&gt;"",ISNUMBER(K706)),K706,"")</f>
        <v/>
      </c>
      <c r="AC706">
        <f>IF(AND(Q706&lt;&gt;"",ISNUMBER(L706)),L706,"")</f>
        <v/>
      </c>
      <c r="AD706">
        <f>IF(AND(Q706&lt;&gt;"",ISNUMBER(M706)),M706,"")</f>
        <v/>
      </c>
    </row>
    <row r="707">
      <c r="A707" s="1" t="n"/>
      <c r="B707" s="17" t="n"/>
      <c r="C707" s="27" t="n"/>
      <c r="D707" s="28" t="n"/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9" t="n"/>
      <c r="N707" s="21" t="n"/>
      <c r="O707" s="12">
        <f>IF(AND(B707="",C707=""),"",IF(NOT(ISNUMBER(B707)),"Needs a date",IF(C707="","Needs a client",IF(COUNTIF(Clients!$B$6:$B$105,C707)=0,"Not on Clients",IF(COUNT(D707:M707)=0,"Nothing measured","")))))</f>
        <v/>
      </c>
      <c r="P707" s="1">
        <f>IF(AND(O707="",ISNUMBER(B707)),INT(B707),0)</f>
        <v/>
      </c>
      <c r="Q707">
        <f>IF(AND(P707&gt;0,C707=Report!$C$5),P707*10000+ROW(),"")</f>
        <v/>
      </c>
      <c r="R707">
        <f>IF(AND(Q707&lt;&gt;"",ISNUMBER(D707)),Q707,"")</f>
        <v/>
      </c>
      <c r="S707">
        <f>IF(AND(Q707&lt;&gt;"",ISNUMBER(E707)),Q707,"")</f>
        <v/>
      </c>
      <c r="T707">
        <f>IF(AND(Q707&lt;&gt;"",ISNUMBER(F707)),Q707,"")</f>
        <v/>
      </c>
      <c r="U707">
        <f>IF(AND(Q707&lt;&gt;"",ISNUMBER(G707)),Q707,"")</f>
        <v/>
      </c>
      <c r="V707">
        <f>IF(AND(Q707&lt;&gt;"",ISNUMBER(H707)),Q707,"")</f>
        <v/>
      </c>
      <c r="W707">
        <f>IF(AND(Q707&lt;&gt;"",ISNUMBER(I707)),Q707,"")</f>
        <v/>
      </c>
      <c r="X707">
        <f>IF(AND(Q707&lt;&gt;"",ISNUMBER(J707)),Q707,"")</f>
        <v/>
      </c>
      <c r="Y707">
        <f>IF(AND(Q707&lt;&gt;"",ISNUMBER(K707)),Q707,"")</f>
        <v/>
      </c>
      <c r="Z707">
        <f>IF(AND(Q707&lt;&gt;"",ISNUMBER(L707)),Q707,"")</f>
        <v/>
      </c>
      <c r="AA707">
        <f>IF(AND(Q707&lt;&gt;"",ISNUMBER(M707)),Q707,"")</f>
        <v/>
      </c>
      <c r="AB707">
        <f>IF(AND(Q707&lt;&gt;"",ISNUMBER(K707)),K707,"")</f>
        <v/>
      </c>
      <c r="AC707">
        <f>IF(AND(Q707&lt;&gt;"",ISNUMBER(L707)),L707,"")</f>
        <v/>
      </c>
      <c r="AD707">
        <f>IF(AND(Q707&lt;&gt;"",ISNUMBER(M707)),M707,"")</f>
        <v/>
      </c>
    </row>
    <row r="708">
      <c r="A708" s="1" t="n"/>
      <c r="B708" s="17" t="n"/>
      <c r="C708" s="27" t="n"/>
      <c r="D708" s="28" t="n"/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9" t="n"/>
      <c r="N708" s="21" t="n"/>
      <c r="O708" s="12">
        <f>IF(AND(B708="",C708=""),"",IF(NOT(ISNUMBER(B708)),"Needs a date",IF(C708="","Needs a client",IF(COUNTIF(Clients!$B$6:$B$105,C708)=0,"Not on Clients",IF(COUNT(D708:M708)=0,"Nothing measured","")))))</f>
        <v/>
      </c>
      <c r="P708" s="1">
        <f>IF(AND(O708="",ISNUMBER(B708)),INT(B708),0)</f>
        <v/>
      </c>
      <c r="Q708">
        <f>IF(AND(P708&gt;0,C708=Report!$C$5),P708*10000+ROW(),"")</f>
        <v/>
      </c>
      <c r="R708">
        <f>IF(AND(Q708&lt;&gt;"",ISNUMBER(D708)),Q708,"")</f>
        <v/>
      </c>
      <c r="S708">
        <f>IF(AND(Q708&lt;&gt;"",ISNUMBER(E708)),Q708,"")</f>
        <v/>
      </c>
      <c r="T708">
        <f>IF(AND(Q708&lt;&gt;"",ISNUMBER(F708)),Q708,"")</f>
        <v/>
      </c>
      <c r="U708">
        <f>IF(AND(Q708&lt;&gt;"",ISNUMBER(G708)),Q708,"")</f>
        <v/>
      </c>
      <c r="V708">
        <f>IF(AND(Q708&lt;&gt;"",ISNUMBER(H708)),Q708,"")</f>
        <v/>
      </c>
      <c r="W708">
        <f>IF(AND(Q708&lt;&gt;"",ISNUMBER(I708)),Q708,"")</f>
        <v/>
      </c>
      <c r="X708">
        <f>IF(AND(Q708&lt;&gt;"",ISNUMBER(J708)),Q708,"")</f>
        <v/>
      </c>
      <c r="Y708">
        <f>IF(AND(Q708&lt;&gt;"",ISNUMBER(K708)),Q708,"")</f>
        <v/>
      </c>
      <c r="Z708">
        <f>IF(AND(Q708&lt;&gt;"",ISNUMBER(L708)),Q708,"")</f>
        <v/>
      </c>
      <c r="AA708">
        <f>IF(AND(Q708&lt;&gt;"",ISNUMBER(M708)),Q708,"")</f>
        <v/>
      </c>
      <c r="AB708">
        <f>IF(AND(Q708&lt;&gt;"",ISNUMBER(K708)),K708,"")</f>
        <v/>
      </c>
      <c r="AC708">
        <f>IF(AND(Q708&lt;&gt;"",ISNUMBER(L708)),L708,"")</f>
        <v/>
      </c>
      <c r="AD708">
        <f>IF(AND(Q708&lt;&gt;"",ISNUMBER(M708)),M708,"")</f>
        <v/>
      </c>
    </row>
    <row r="709">
      <c r="A709" s="1" t="n"/>
      <c r="B709" s="17" t="n"/>
      <c r="C709" s="27" t="n"/>
      <c r="D709" s="28" t="n"/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9" t="n"/>
      <c r="N709" s="21" t="n"/>
      <c r="O709" s="12">
        <f>IF(AND(B709="",C709=""),"",IF(NOT(ISNUMBER(B709)),"Needs a date",IF(C709="","Needs a client",IF(COUNTIF(Clients!$B$6:$B$105,C709)=0,"Not on Clients",IF(COUNT(D709:M709)=0,"Nothing measured","")))))</f>
        <v/>
      </c>
      <c r="P709" s="1">
        <f>IF(AND(O709="",ISNUMBER(B709)),INT(B709),0)</f>
        <v/>
      </c>
      <c r="Q709">
        <f>IF(AND(P709&gt;0,C709=Report!$C$5),P709*10000+ROW(),"")</f>
        <v/>
      </c>
      <c r="R709">
        <f>IF(AND(Q709&lt;&gt;"",ISNUMBER(D709)),Q709,"")</f>
        <v/>
      </c>
      <c r="S709">
        <f>IF(AND(Q709&lt;&gt;"",ISNUMBER(E709)),Q709,"")</f>
        <v/>
      </c>
      <c r="T709">
        <f>IF(AND(Q709&lt;&gt;"",ISNUMBER(F709)),Q709,"")</f>
        <v/>
      </c>
      <c r="U709">
        <f>IF(AND(Q709&lt;&gt;"",ISNUMBER(G709)),Q709,"")</f>
        <v/>
      </c>
      <c r="V709">
        <f>IF(AND(Q709&lt;&gt;"",ISNUMBER(H709)),Q709,"")</f>
        <v/>
      </c>
      <c r="W709">
        <f>IF(AND(Q709&lt;&gt;"",ISNUMBER(I709)),Q709,"")</f>
        <v/>
      </c>
      <c r="X709">
        <f>IF(AND(Q709&lt;&gt;"",ISNUMBER(J709)),Q709,"")</f>
        <v/>
      </c>
      <c r="Y709">
        <f>IF(AND(Q709&lt;&gt;"",ISNUMBER(K709)),Q709,"")</f>
        <v/>
      </c>
      <c r="Z709">
        <f>IF(AND(Q709&lt;&gt;"",ISNUMBER(L709)),Q709,"")</f>
        <v/>
      </c>
      <c r="AA709">
        <f>IF(AND(Q709&lt;&gt;"",ISNUMBER(M709)),Q709,"")</f>
        <v/>
      </c>
      <c r="AB709">
        <f>IF(AND(Q709&lt;&gt;"",ISNUMBER(K709)),K709,"")</f>
        <v/>
      </c>
      <c r="AC709">
        <f>IF(AND(Q709&lt;&gt;"",ISNUMBER(L709)),L709,"")</f>
        <v/>
      </c>
      <c r="AD709">
        <f>IF(AND(Q709&lt;&gt;"",ISNUMBER(M709)),M709,"")</f>
        <v/>
      </c>
    </row>
    <row r="710">
      <c r="A710" s="1" t="n"/>
      <c r="B710" s="17" t="n"/>
      <c r="C710" s="27" t="n"/>
      <c r="D710" s="28" t="n"/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9" t="n"/>
      <c r="N710" s="21" t="n"/>
      <c r="O710" s="12">
        <f>IF(AND(B710="",C710=""),"",IF(NOT(ISNUMBER(B710)),"Needs a date",IF(C710="","Needs a client",IF(COUNTIF(Clients!$B$6:$B$105,C710)=0,"Not on Clients",IF(COUNT(D710:M710)=0,"Nothing measured","")))))</f>
        <v/>
      </c>
      <c r="P710" s="1">
        <f>IF(AND(O710="",ISNUMBER(B710)),INT(B710),0)</f>
        <v/>
      </c>
      <c r="Q710">
        <f>IF(AND(P710&gt;0,C710=Report!$C$5),P710*10000+ROW(),"")</f>
        <v/>
      </c>
      <c r="R710">
        <f>IF(AND(Q710&lt;&gt;"",ISNUMBER(D710)),Q710,"")</f>
        <v/>
      </c>
      <c r="S710">
        <f>IF(AND(Q710&lt;&gt;"",ISNUMBER(E710)),Q710,"")</f>
        <v/>
      </c>
      <c r="T710">
        <f>IF(AND(Q710&lt;&gt;"",ISNUMBER(F710)),Q710,"")</f>
        <v/>
      </c>
      <c r="U710">
        <f>IF(AND(Q710&lt;&gt;"",ISNUMBER(G710)),Q710,"")</f>
        <v/>
      </c>
      <c r="V710">
        <f>IF(AND(Q710&lt;&gt;"",ISNUMBER(H710)),Q710,"")</f>
        <v/>
      </c>
      <c r="W710">
        <f>IF(AND(Q710&lt;&gt;"",ISNUMBER(I710)),Q710,"")</f>
        <v/>
      </c>
      <c r="X710">
        <f>IF(AND(Q710&lt;&gt;"",ISNUMBER(J710)),Q710,"")</f>
        <v/>
      </c>
      <c r="Y710">
        <f>IF(AND(Q710&lt;&gt;"",ISNUMBER(K710)),Q710,"")</f>
        <v/>
      </c>
      <c r="Z710">
        <f>IF(AND(Q710&lt;&gt;"",ISNUMBER(L710)),Q710,"")</f>
        <v/>
      </c>
      <c r="AA710">
        <f>IF(AND(Q710&lt;&gt;"",ISNUMBER(M710)),Q710,"")</f>
        <v/>
      </c>
      <c r="AB710">
        <f>IF(AND(Q710&lt;&gt;"",ISNUMBER(K710)),K710,"")</f>
        <v/>
      </c>
      <c r="AC710">
        <f>IF(AND(Q710&lt;&gt;"",ISNUMBER(L710)),L710,"")</f>
        <v/>
      </c>
      <c r="AD710">
        <f>IF(AND(Q710&lt;&gt;"",ISNUMBER(M710)),M710,"")</f>
        <v/>
      </c>
    </row>
    <row r="711">
      <c r="A711" s="1" t="n"/>
      <c r="B711" s="17" t="n"/>
      <c r="C711" s="27" t="n"/>
      <c r="D711" s="28" t="n"/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9" t="n"/>
      <c r="N711" s="21" t="n"/>
      <c r="O711" s="12">
        <f>IF(AND(B711="",C711=""),"",IF(NOT(ISNUMBER(B711)),"Needs a date",IF(C711="","Needs a client",IF(COUNTIF(Clients!$B$6:$B$105,C711)=0,"Not on Clients",IF(COUNT(D711:M711)=0,"Nothing measured","")))))</f>
        <v/>
      </c>
      <c r="P711" s="1">
        <f>IF(AND(O711="",ISNUMBER(B711)),INT(B711),0)</f>
        <v/>
      </c>
      <c r="Q711">
        <f>IF(AND(P711&gt;0,C711=Report!$C$5),P711*10000+ROW(),"")</f>
        <v/>
      </c>
      <c r="R711">
        <f>IF(AND(Q711&lt;&gt;"",ISNUMBER(D711)),Q711,"")</f>
        <v/>
      </c>
      <c r="S711">
        <f>IF(AND(Q711&lt;&gt;"",ISNUMBER(E711)),Q711,"")</f>
        <v/>
      </c>
      <c r="T711">
        <f>IF(AND(Q711&lt;&gt;"",ISNUMBER(F711)),Q711,"")</f>
        <v/>
      </c>
      <c r="U711">
        <f>IF(AND(Q711&lt;&gt;"",ISNUMBER(G711)),Q711,"")</f>
        <v/>
      </c>
      <c r="V711">
        <f>IF(AND(Q711&lt;&gt;"",ISNUMBER(H711)),Q711,"")</f>
        <v/>
      </c>
      <c r="W711">
        <f>IF(AND(Q711&lt;&gt;"",ISNUMBER(I711)),Q711,"")</f>
        <v/>
      </c>
      <c r="X711">
        <f>IF(AND(Q711&lt;&gt;"",ISNUMBER(J711)),Q711,"")</f>
        <v/>
      </c>
      <c r="Y711">
        <f>IF(AND(Q711&lt;&gt;"",ISNUMBER(K711)),Q711,"")</f>
        <v/>
      </c>
      <c r="Z711">
        <f>IF(AND(Q711&lt;&gt;"",ISNUMBER(L711)),Q711,"")</f>
        <v/>
      </c>
      <c r="AA711">
        <f>IF(AND(Q711&lt;&gt;"",ISNUMBER(M711)),Q711,"")</f>
        <v/>
      </c>
      <c r="AB711">
        <f>IF(AND(Q711&lt;&gt;"",ISNUMBER(K711)),K711,"")</f>
        <v/>
      </c>
      <c r="AC711">
        <f>IF(AND(Q711&lt;&gt;"",ISNUMBER(L711)),L711,"")</f>
        <v/>
      </c>
      <c r="AD711">
        <f>IF(AND(Q711&lt;&gt;"",ISNUMBER(M711)),M711,"")</f>
        <v/>
      </c>
    </row>
    <row r="712">
      <c r="A712" s="1" t="n"/>
      <c r="B712" s="17" t="n"/>
      <c r="C712" s="27" t="n"/>
      <c r="D712" s="28" t="n"/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9" t="n"/>
      <c r="N712" s="21" t="n"/>
      <c r="O712" s="12">
        <f>IF(AND(B712="",C712=""),"",IF(NOT(ISNUMBER(B712)),"Needs a date",IF(C712="","Needs a client",IF(COUNTIF(Clients!$B$6:$B$105,C712)=0,"Not on Clients",IF(COUNT(D712:M712)=0,"Nothing measured","")))))</f>
        <v/>
      </c>
      <c r="P712" s="1">
        <f>IF(AND(O712="",ISNUMBER(B712)),INT(B712),0)</f>
        <v/>
      </c>
      <c r="Q712">
        <f>IF(AND(P712&gt;0,C712=Report!$C$5),P712*10000+ROW(),"")</f>
        <v/>
      </c>
      <c r="R712">
        <f>IF(AND(Q712&lt;&gt;"",ISNUMBER(D712)),Q712,"")</f>
        <v/>
      </c>
      <c r="S712">
        <f>IF(AND(Q712&lt;&gt;"",ISNUMBER(E712)),Q712,"")</f>
        <v/>
      </c>
      <c r="T712">
        <f>IF(AND(Q712&lt;&gt;"",ISNUMBER(F712)),Q712,"")</f>
        <v/>
      </c>
      <c r="U712">
        <f>IF(AND(Q712&lt;&gt;"",ISNUMBER(G712)),Q712,"")</f>
        <v/>
      </c>
      <c r="V712">
        <f>IF(AND(Q712&lt;&gt;"",ISNUMBER(H712)),Q712,"")</f>
        <v/>
      </c>
      <c r="W712">
        <f>IF(AND(Q712&lt;&gt;"",ISNUMBER(I712)),Q712,"")</f>
        <v/>
      </c>
      <c r="X712">
        <f>IF(AND(Q712&lt;&gt;"",ISNUMBER(J712)),Q712,"")</f>
        <v/>
      </c>
      <c r="Y712">
        <f>IF(AND(Q712&lt;&gt;"",ISNUMBER(K712)),Q712,"")</f>
        <v/>
      </c>
      <c r="Z712">
        <f>IF(AND(Q712&lt;&gt;"",ISNUMBER(L712)),Q712,"")</f>
        <v/>
      </c>
      <c r="AA712">
        <f>IF(AND(Q712&lt;&gt;"",ISNUMBER(M712)),Q712,"")</f>
        <v/>
      </c>
      <c r="AB712">
        <f>IF(AND(Q712&lt;&gt;"",ISNUMBER(K712)),K712,"")</f>
        <v/>
      </c>
      <c r="AC712">
        <f>IF(AND(Q712&lt;&gt;"",ISNUMBER(L712)),L712,"")</f>
        <v/>
      </c>
      <c r="AD712">
        <f>IF(AND(Q712&lt;&gt;"",ISNUMBER(M712)),M712,"")</f>
        <v/>
      </c>
    </row>
    <row r="713">
      <c r="A713" s="1" t="n"/>
      <c r="B713" s="17" t="n"/>
      <c r="C713" s="27" t="n"/>
      <c r="D713" s="28" t="n"/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9" t="n"/>
      <c r="N713" s="21" t="n"/>
      <c r="O713" s="12">
        <f>IF(AND(B713="",C713=""),"",IF(NOT(ISNUMBER(B713)),"Needs a date",IF(C713="","Needs a client",IF(COUNTIF(Clients!$B$6:$B$105,C713)=0,"Not on Clients",IF(COUNT(D713:M713)=0,"Nothing measured","")))))</f>
        <v/>
      </c>
      <c r="P713" s="1">
        <f>IF(AND(O713="",ISNUMBER(B713)),INT(B713),0)</f>
        <v/>
      </c>
      <c r="Q713">
        <f>IF(AND(P713&gt;0,C713=Report!$C$5),P713*10000+ROW(),"")</f>
        <v/>
      </c>
      <c r="R713">
        <f>IF(AND(Q713&lt;&gt;"",ISNUMBER(D713)),Q713,"")</f>
        <v/>
      </c>
      <c r="S713">
        <f>IF(AND(Q713&lt;&gt;"",ISNUMBER(E713)),Q713,"")</f>
        <v/>
      </c>
      <c r="T713">
        <f>IF(AND(Q713&lt;&gt;"",ISNUMBER(F713)),Q713,"")</f>
        <v/>
      </c>
      <c r="U713">
        <f>IF(AND(Q713&lt;&gt;"",ISNUMBER(G713)),Q713,"")</f>
        <v/>
      </c>
      <c r="V713">
        <f>IF(AND(Q713&lt;&gt;"",ISNUMBER(H713)),Q713,"")</f>
        <v/>
      </c>
      <c r="W713">
        <f>IF(AND(Q713&lt;&gt;"",ISNUMBER(I713)),Q713,"")</f>
        <v/>
      </c>
      <c r="X713">
        <f>IF(AND(Q713&lt;&gt;"",ISNUMBER(J713)),Q713,"")</f>
        <v/>
      </c>
      <c r="Y713">
        <f>IF(AND(Q713&lt;&gt;"",ISNUMBER(K713)),Q713,"")</f>
        <v/>
      </c>
      <c r="Z713">
        <f>IF(AND(Q713&lt;&gt;"",ISNUMBER(L713)),Q713,"")</f>
        <v/>
      </c>
      <c r="AA713">
        <f>IF(AND(Q713&lt;&gt;"",ISNUMBER(M713)),Q713,"")</f>
        <v/>
      </c>
      <c r="AB713">
        <f>IF(AND(Q713&lt;&gt;"",ISNUMBER(K713)),K713,"")</f>
        <v/>
      </c>
      <c r="AC713">
        <f>IF(AND(Q713&lt;&gt;"",ISNUMBER(L713)),L713,"")</f>
        <v/>
      </c>
      <c r="AD713">
        <f>IF(AND(Q713&lt;&gt;"",ISNUMBER(M713)),M713,"")</f>
        <v/>
      </c>
    </row>
    <row r="714">
      <c r="A714" s="1" t="n"/>
      <c r="B714" s="17" t="n"/>
      <c r="C714" s="27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9" t="n"/>
      <c r="N714" s="21" t="n"/>
      <c r="O714" s="12">
        <f>IF(AND(B714="",C714=""),"",IF(NOT(ISNUMBER(B714)),"Needs a date",IF(C714="","Needs a client",IF(COUNTIF(Clients!$B$6:$B$105,C714)=0,"Not on Clients",IF(COUNT(D714:M714)=0,"Nothing measured","")))))</f>
        <v/>
      </c>
      <c r="P714" s="1">
        <f>IF(AND(O714="",ISNUMBER(B714)),INT(B714),0)</f>
        <v/>
      </c>
      <c r="Q714">
        <f>IF(AND(P714&gt;0,C714=Report!$C$5),P714*10000+ROW(),"")</f>
        <v/>
      </c>
      <c r="R714">
        <f>IF(AND(Q714&lt;&gt;"",ISNUMBER(D714)),Q714,"")</f>
        <v/>
      </c>
      <c r="S714">
        <f>IF(AND(Q714&lt;&gt;"",ISNUMBER(E714)),Q714,"")</f>
        <v/>
      </c>
      <c r="T714">
        <f>IF(AND(Q714&lt;&gt;"",ISNUMBER(F714)),Q714,"")</f>
        <v/>
      </c>
      <c r="U714">
        <f>IF(AND(Q714&lt;&gt;"",ISNUMBER(G714)),Q714,"")</f>
        <v/>
      </c>
      <c r="V714">
        <f>IF(AND(Q714&lt;&gt;"",ISNUMBER(H714)),Q714,"")</f>
        <v/>
      </c>
      <c r="W714">
        <f>IF(AND(Q714&lt;&gt;"",ISNUMBER(I714)),Q714,"")</f>
        <v/>
      </c>
      <c r="X714">
        <f>IF(AND(Q714&lt;&gt;"",ISNUMBER(J714)),Q714,"")</f>
        <v/>
      </c>
      <c r="Y714">
        <f>IF(AND(Q714&lt;&gt;"",ISNUMBER(K714)),Q714,"")</f>
        <v/>
      </c>
      <c r="Z714">
        <f>IF(AND(Q714&lt;&gt;"",ISNUMBER(L714)),Q714,"")</f>
        <v/>
      </c>
      <c r="AA714">
        <f>IF(AND(Q714&lt;&gt;"",ISNUMBER(M714)),Q714,"")</f>
        <v/>
      </c>
      <c r="AB714">
        <f>IF(AND(Q714&lt;&gt;"",ISNUMBER(K714)),K714,"")</f>
        <v/>
      </c>
      <c r="AC714">
        <f>IF(AND(Q714&lt;&gt;"",ISNUMBER(L714)),L714,"")</f>
        <v/>
      </c>
      <c r="AD714">
        <f>IF(AND(Q714&lt;&gt;"",ISNUMBER(M714)),M714,"")</f>
        <v/>
      </c>
    </row>
    <row r="715">
      <c r="A715" s="1" t="n"/>
      <c r="B715" s="17" t="n"/>
      <c r="C715" s="27" t="n"/>
      <c r="D715" s="28" t="n"/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9" t="n"/>
      <c r="N715" s="21" t="n"/>
      <c r="O715" s="12">
        <f>IF(AND(B715="",C715=""),"",IF(NOT(ISNUMBER(B715)),"Needs a date",IF(C715="","Needs a client",IF(COUNTIF(Clients!$B$6:$B$105,C715)=0,"Not on Clients",IF(COUNT(D715:M715)=0,"Nothing measured","")))))</f>
        <v/>
      </c>
      <c r="P715" s="1">
        <f>IF(AND(O715="",ISNUMBER(B715)),INT(B715),0)</f>
        <v/>
      </c>
      <c r="Q715">
        <f>IF(AND(P715&gt;0,C715=Report!$C$5),P715*10000+ROW(),"")</f>
        <v/>
      </c>
      <c r="R715">
        <f>IF(AND(Q715&lt;&gt;"",ISNUMBER(D715)),Q715,"")</f>
        <v/>
      </c>
      <c r="S715">
        <f>IF(AND(Q715&lt;&gt;"",ISNUMBER(E715)),Q715,"")</f>
        <v/>
      </c>
      <c r="T715">
        <f>IF(AND(Q715&lt;&gt;"",ISNUMBER(F715)),Q715,"")</f>
        <v/>
      </c>
      <c r="U715">
        <f>IF(AND(Q715&lt;&gt;"",ISNUMBER(G715)),Q715,"")</f>
        <v/>
      </c>
      <c r="V715">
        <f>IF(AND(Q715&lt;&gt;"",ISNUMBER(H715)),Q715,"")</f>
        <v/>
      </c>
      <c r="W715">
        <f>IF(AND(Q715&lt;&gt;"",ISNUMBER(I715)),Q715,"")</f>
        <v/>
      </c>
      <c r="X715">
        <f>IF(AND(Q715&lt;&gt;"",ISNUMBER(J715)),Q715,"")</f>
        <v/>
      </c>
      <c r="Y715">
        <f>IF(AND(Q715&lt;&gt;"",ISNUMBER(K715)),Q715,"")</f>
        <v/>
      </c>
      <c r="Z715">
        <f>IF(AND(Q715&lt;&gt;"",ISNUMBER(L715)),Q715,"")</f>
        <v/>
      </c>
      <c r="AA715">
        <f>IF(AND(Q715&lt;&gt;"",ISNUMBER(M715)),Q715,"")</f>
        <v/>
      </c>
      <c r="AB715">
        <f>IF(AND(Q715&lt;&gt;"",ISNUMBER(K715)),K715,"")</f>
        <v/>
      </c>
      <c r="AC715">
        <f>IF(AND(Q715&lt;&gt;"",ISNUMBER(L715)),L715,"")</f>
        <v/>
      </c>
      <c r="AD715">
        <f>IF(AND(Q715&lt;&gt;"",ISNUMBER(M715)),M715,"")</f>
        <v/>
      </c>
    </row>
    <row r="716">
      <c r="A716" s="1" t="n"/>
      <c r="B716" s="17" t="n"/>
      <c r="C716" s="27" t="n"/>
      <c r="D716" s="28" t="n"/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9" t="n"/>
      <c r="N716" s="21" t="n"/>
      <c r="O716" s="12">
        <f>IF(AND(B716="",C716=""),"",IF(NOT(ISNUMBER(B716)),"Needs a date",IF(C716="","Needs a client",IF(COUNTIF(Clients!$B$6:$B$105,C716)=0,"Not on Clients",IF(COUNT(D716:M716)=0,"Nothing measured","")))))</f>
        <v/>
      </c>
      <c r="P716" s="1">
        <f>IF(AND(O716="",ISNUMBER(B716)),INT(B716),0)</f>
        <v/>
      </c>
      <c r="Q716">
        <f>IF(AND(P716&gt;0,C716=Report!$C$5),P716*10000+ROW(),"")</f>
        <v/>
      </c>
      <c r="R716">
        <f>IF(AND(Q716&lt;&gt;"",ISNUMBER(D716)),Q716,"")</f>
        <v/>
      </c>
      <c r="S716">
        <f>IF(AND(Q716&lt;&gt;"",ISNUMBER(E716)),Q716,"")</f>
        <v/>
      </c>
      <c r="T716">
        <f>IF(AND(Q716&lt;&gt;"",ISNUMBER(F716)),Q716,"")</f>
        <v/>
      </c>
      <c r="U716">
        <f>IF(AND(Q716&lt;&gt;"",ISNUMBER(G716)),Q716,"")</f>
        <v/>
      </c>
      <c r="V716">
        <f>IF(AND(Q716&lt;&gt;"",ISNUMBER(H716)),Q716,"")</f>
        <v/>
      </c>
      <c r="W716">
        <f>IF(AND(Q716&lt;&gt;"",ISNUMBER(I716)),Q716,"")</f>
        <v/>
      </c>
      <c r="X716">
        <f>IF(AND(Q716&lt;&gt;"",ISNUMBER(J716)),Q716,"")</f>
        <v/>
      </c>
      <c r="Y716">
        <f>IF(AND(Q716&lt;&gt;"",ISNUMBER(K716)),Q716,"")</f>
        <v/>
      </c>
      <c r="Z716">
        <f>IF(AND(Q716&lt;&gt;"",ISNUMBER(L716)),Q716,"")</f>
        <v/>
      </c>
      <c r="AA716">
        <f>IF(AND(Q716&lt;&gt;"",ISNUMBER(M716)),Q716,"")</f>
        <v/>
      </c>
      <c r="AB716">
        <f>IF(AND(Q716&lt;&gt;"",ISNUMBER(K716)),K716,"")</f>
        <v/>
      </c>
      <c r="AC716">
        <f>IF(AND(Q716&lt;&gt;"",ISNUMBER(L716)),L716,"")</f>
        <v/>
      </c>
      <c r="AD716">
        <f>IF(AND(Q716&lt;&gt;"",ISNUMBER(M716)),M716,"")</f>
        <v/>
      </c>
    </row>
    <row r="717">
      <c r="A717" s="1" t="n"/>
      <c r="B717" s="17" t="n"/>
      <c r="C717" s="27" t="n"/>
      <c r="D717" s="28" t="n"/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9" t="n"/>
      <c r="N717" s="21" t="n"/>
      <c r="O717" s="12">
        <f>IF(AND(B717="",C717=""),"",IF(NOT(ISNUMBER(B717)),"Needs a date",IF(C717="","Needs a client",IF(COUNTIF(Clients!$B$6:$B$105,C717)=0,"Not on Clients",IF(COUNT(D717:M717)=0,"Nothing measured","")))))</f>
        <v/>
      </c>
      <c r="P717" s="1">
        <f>IF(AND(O717="",ISNUMBER(B717)),INT(B717),0)</f>
        <v/>
      </c>
      <c r="Q717">
        <f>IF(AND(P717&gt;0,C717=Report!$C$5),P717*10000+ROW(),"")</f>
        <v/>
      </c>
      <c r="R717">
        <f>IF(AND(Q717&lt;&gt;"",ISNUMBER(D717)),Q717,"")</f>
        <v/>
      </c>
      <c r="S717">
        <f>IF(AND(Q717&lt;&gt;"",ISNUMBER(E717)),Q717,"")</f>
        <v/>
      </c>
      <c r="T717">
        <f>IF(AND(Q717&lt;&gt;"",ISNUMBER(F717)),Q717,"")</f>
        <v/>
      </c>
      <c r="U717">
        <f>IF(AND(Q717&lt;&gt;"",ISNUMBER(G717)),Q717,"")</f>
        <v/>
      </c>
      <c r="V717">
        <f>IF(AND(Q717&lt;&gt;"",ISNUMBER(H717)),Q717,"")</f>
        <v/>
      </c>
      <c r="W717">
        <f>IF(AND(Q717&lt;&gt;"",ISNUMBER(I717)),Q717,"")</f>
        <v/>
      </c>
      <c r="X717">
        <f>IF(AND(Q717&lt;&gt;"",ISNUMBER(J717)),Q717,"")</f>
        <v/>
      </c>
      <c r="Y717">
        <f>IF(AND(Q717&lt;&gt;"",ISNUMBER(K717)),Q717,"")</f>
        <v/>
      </c>
      <c r="Z717">
        <f>IF(AND(Q717&lt;&gt;"",ISNUMBER(L717)),Q717,"")</f>
        <v/>
      </c>
      <c r="AA717">
        <f>IF(AND(Q717&lt;&gt;"",ISNUMBER(M717)),Q717,"")</f>
        <v/>
      </c>
      <c r="AB717">
        <f>IF(AND(Q717&lt;&gt;"",ISNUMBER(K717)),K717,"")</f>
        <v/>
      </c>
      <c r="AC717">
        <f>IF(AND(Q717&lt;&gt;"",ISNUMBER(L717)),L717,"")</f>
        <v/>
      </c>
      <c r="AD717">
        <f>IF(AND(Q717&lt;&gt;"",ISNUMBER(M717)),M717,"")</f>
        <v/>
      </c>
    </row>
    <row r="718">
      <c r="A718" s="1" t="n"/>
      <c r="B718" s="17" t="n"/>
      <c r="C718" s="27" t="n"/>
      <c r="D718" s="28" t="n"/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9" t="n"/>
      <c r="N718" s="21" t="n"/>
      <c r="O718" s="12">
        <f>IF(AND(B718="",C718=""),"",IF(NOT(ISNUMBER(B718)),"Needs a date",IF(C718="","Needs a client",IF(COUNTIF(Clients!$B$6:$B$105,C718)=0,"Not on Clients",IF(COUNT(D718:M718)=0,"Nothing measured","")))))</f>
        <v/>
      </c>
      <c r="P718" s="1">
        <f>IF(AND(O718="",ISNUMBER(B718)),INT(B718),0)</f>
        <v/>
      </c>
      <c r="Q718">
        <f>IF(AND(P718&gt;0,C718=Report!$C$5),P718*10000+ROW(),"")</f>
        <v/>
      </c>
      <c r="R718">
        <f>IF(AND(Q718&lt;&gt;"",ISNUMBER(D718)),Q718,"")</f>
        <v/>
      </c>
      <c r="S718">
        <f>IF(AND(Q718&lt;&gt;"",ISNUMBER(E718)),Q718,"")</f>
        <v/>
      </c>
      <c r="T718">
        <f>IF(AND(Q718&lt;&gt;"",ISNUMBER(F718)),Q718,"")</f>
        <v/>
      </c>
      <c r="U718">
        <f>IF(AND(Q718&lt;&gt;"",ISNUMBER(G718)),Q718,"")</f>
        <v/>
      </c>
      <c r="V718">
        <f>IF(AND(Q718&lt;&gt;"",ISNUMBER(H718)),Q718,"")</f>
        <v/>
      </c>
      <c r="W718">
        <f>IF(AND(Q718&lt;&gt;"",ISNUMBER(I718)),Q718,"")</f>
        <v/>
      </c>
      <c r="X718">
        <f>IF(AND(Q718&lt;&gt;"",ISNUMBER(J718)),Q718,"")</f>
        <v/>
      </c>
      <c r="Y718">
        <f>IF(AND(Q718&lt;&gt;"",ISNUMBER(K718)),Q718,"")</f>
        <v/>
      </c>
      <c r="Z718">
        <f>IF(AND(Q718&lt;&gt;"",ISNUMBER(L718)),Q718,"")</f>
        <v/>
      </c>
      <c r="AA718">
        <f>IF(AND(Q718&lt;&gt;"",ISNUMBER(M718)),Q718,"")</f>
        <v/>
      </c>
      <c r="AB718">
        <f>IF(AND(Q718&lt;&gt;"",ISNUMBER(K718)),K718,"")</f>
        <v/>
      </c>
      <c r="AC718">
        <f>IF(AND(Q718&lt;&gt;"",ISNUMBER(L718)),L718,"")</f>
        <v/>
      </c>
      <c r="AD718">
        <f>IF(AND(Q718&lt;&gt;"",ISNUMBER(M718)),M718,"")</f>
        <v/>
      </c>
    </row>
    <row r="719">
      <c r="A719" s="1" t="n"/>
      <c r="B719" s="17" t="n"/>
      <c r="C719" s="27" t="n"/>
      <c r="D719" s="28" t="n"/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9" t="n"/>
      <c r="N719" s="21" t="n"/>
      <c r="O719" s="12">
        <f>IF(AND(B719="",C719=""),"",IF(NOT(ISNUMBER(B719)),"Needs a date",IF(C719="","Needs a client",IF(COUNTIF(Clients!$B$6:$B$105,C719)=0,"Not on Clients",IF(COUNT(D719:M719)=0,"Nothing measured","")))))</f>
        <v/>
      </c>
      <c r="P719" s="1">
        <f>IF(AND(O719="",ISNUMBER(B719)),INT(B719),0)</f>
        <v/>
      </c>
      <c r="Q719">
        <f>IF(AND(P719&gt;0,C719=Report!$C$5),P719*10000+ROW(),"")</f>
        <v/>
      </c>
      <c r="R719">
        <f>IF(AND(Q719&lt;&gt;"",ISNUMBER(D719)),Q719,"")</f>
        <v/>
      </c>
      <c r="S719">
        <f>IF(AND(Q719&lt;&gt;"",ISNUMBER(E719)),Q719,"")</f>
        <v/>
      </c>
      <c r="T719">
        <f>IF(AND(Q719&lt;&gt;"",ISNUMBER(F719)),Q719,"")</f>
        <v/>
      </c>
      <c r="U719">
        <f>IF(AND(Q719&lt;&gt;"",ISNUMBER(G719)),Q719,"")</f>
        <v/>
      </c>
      <c r="V719">
        <f>IF(AND(Q719&lt;&gt;"",ISNUMBER(H719)),Q719,"")</f>
        <v/>
      </c>
      <c r="W719">
        <f>IF(AND(Q719&lt;&gt;"",ISNUMBER(I719)),Q719,"")</f>
        <v/>
      </c>
      <c r="X719">
        <f>IF(AND(Q719&lt;&gt;"",ISNUMBER(J719)),Q719,"")</f>
        <v/>
      </c>
      <c r="Y719">
        <f>IF(AND(Q719&lt;&gt;"",ISNUMBER(K719)),Q719,"")</f>
        <v/>
      </c>
      <c r="Z719">
        <f>IF(AND(Q719&lt;&gt;"",ISNUMBER(L719)),Q719,"")</f>
        <v/>
      </c>
      <c r="AA719">
        <f>IF(AND(Q719&lt;&gt;"",ISNUMBER(M719)),Q719,"")</f>
        <v/>
      </c>
      <c r="AB719">
        <f>IF(AND(Q719&lt;&gt;"",ISNUMBER(K719)),K719,"")</f>
        <v/>
      </c>
      <c r="AC719">
        <f>IF(AND(Q719&lt;&gt;"",ISNUMBER(L719)),L719,"")</f>
        <v/>
      </c>
      <c r="AD719">
        <f>IF(AND(Q719&lt;&gt;"",ISNUMBER(M719)),M719,"")</f>
        <v/>
      </c>
    </row>
    <row r="720">
      <c r="A720" s="1" t="n"/>
      <c r="B720" s="17" t="n"/>
      <c r="C720" s="27" t="n"/>
      <c r="D720" s="28" t="n"/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9" t="n"/>
      <c r="N720" s="21" t="n"/>
      <c r="O720" s="12">
        <f>IF(AND(B720="",C720=""),"",IF(NOT(ISNUMBER(B720)),"Needs a date",IF(C720="","Needs a client",IF(COUNTIF(Clients!$B$6:$B$105,C720)=0,"Not on Clients",IF(COUNT(D720:M720)=0,"Nothing measured","")))))</f>
        <v/>
      </c>
      <c r="P720" s="1">
        <f>IF(AND(O720="",ISNUMBER(B720)),INT(B720),0)</f>
        <v/>
      </c>
      <c r="Q720">
        <f>IF(AND(P720&gt;0,C720=Report!$C$5),P720*10000+ROW(),"")</f>
        <v/>
      </c>
      <c r="R720">
        <f>IF(AND(Q720&lt;&gt;"",ISNUMBER(D720)),Q720,"")</f>
        <v/>
      </c>
      <c r="S720">
        <f>IF(AND(Q720&lt;&gt;"",ISNUMBER(E720)),Q720,"")</f>
        <v/>
      </c>
      <c r="T720">
        <f>IF(AND(Q720&lt;&gt;"",ISNUMBER(F720)),Q720,"")</f>
        <v/>
      </c>
      <c r="U720">
        <f>IF(AND(Q720&lt;&gt;"",ISNUMBER(G720)),Q720,"")</f>
        <v/>
      </c>
      <c r="V720">
        <f>IF(AND(Q720&lt;&gt;"",ISNUMBER(H720)),Q720,"")</f>
        <v/>
      </c>
      <c r="W720">
        <f>IF(AND(Q720&lt;&gt;"",ISNUMBER(I720)),Q720,"")</f>
        <v/>
      </c>
      <c r="X720">
        <f>IF(AND(Q720&lt;&gt;"",ISNUMBER(J720)),Q720,"")</f>
        <v/>
      </c>
      <c r="Y720">
        <f>IF(AND(Q720&lt;&gt;"",ISNUMBER(K720)),Q720,"")</f>
        <v/>
      </c>
      <c r="Z720">
        <f>IF(AND(Q720&lt;&gt;"",ISNUMBER(L720)),Q720,"")</f>
        <v/>
      </c>
      <c r="AA720">
        <f>IF(AND(Q720&lt;&gt;"",ISNUMBER(M720)),Q720,"")</f>
        <v/>
      </c>
      <c r="AB720">
        <f>IF(AND(Q720&lt;&gt;"",ISNUMBER(K720)),K720,"")</f>
        <v/>
      </c>
      <c r="AC720">
        <f>IF(AND(Q720&lt;&gt;"",ISNUMBER(L720)),L720,"")</f>
        <v/>
      </c>
      <c r="AD720">
        <f>IF(AND(Q720&lt;&gt;"",ISNUMBER(M720)),M720,"")</f>
        <v/>
      </c>
    </row>
    <row r="721">
      <c r="A721" s="1" t="n"/>
      <c r="B721" s="17" t="n"/>
      <c r="C721" s="27" t="n"/>
      <c r="D721" s="28" t="n"/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9" t="n"/>
      <c r="N721" s="21" t="n"/>
      <c r="O721" s="12">
        <f>IF(AND(B721="",C721=""),"",IF(NOT(ISNUMBER(B721)),"Needs a date",IF(C721="","Needs a client",IF(COUNTIF(Clients!$B$6:$B$105,C721)=0,"Not on Clients",IF(COUNT(D721:M721)=0,"Nothing measured","")))))</f>
        <v/>
      </c>
      <c r="P721" s="1">
        <f>IF(AND(O721="",ISNUMBER(B721)),INT(B721),0)</f>
        <v/>
      </c>
      <c r="Q721">
        <f>IF(AND(P721&gt;0,C721=Report!$C$5),P721*10000+ROW(),"")</f>
        <v/>
      </c>
      <c r="R721">
        <f>IF(AND(Q721&lt;&gt;"",ISNUMBER(D721)),Q721,"")</f>
        <v/>
      </c>
      <c r="S721">
        <f>IF(AND(Q721&lt;&gt;"",ISNUMBER(E721)),Q721,"")</f>
        <v/>
      </c>
      <c r="T721">
        <f>IF(AND(Q721&lt;&gt;"",ISNUMBER(F721)),Q721,"")</f>
        <v/>
      </c>
      <c r="U721">
        <f>IF(AND(Q721&lt;&gt;"",ISNUMBER(G721)),Q721,"")</f>
        <v/>
      </c>
      <c r="V721">
        <f>IF(AND(Q721&lt;&gt;"",ISNUMBER(H721)),Q721,"")</f>
        <v/>
      </c>
      <c r="W721">
        <f>IF(AND(Q721&lt;&gt;"",ISNUMBER(I721)),Q721,"")</f>
        <v/>
      </c>
      <c r="X721">
        <f>IF(AND(Q721&lt;&gt;"",ISNUMBER(J721)),Q721,"")</f>
        <v/>
      </c>
      <c r="Y721">
        <f>IF(AND(Q721&lt;&gt;"",ISNUMBER(K721)),Q721,"")</f>
        <v/>
      </c>
      <c r="Z721">
        <f>IF(AND(Q721&lt;&gt;"",ISNUMBER(L721)),Q721,"")</f>
        <v/>
      </c>
      <c r="AA721">
        <f>IF(AND(Q721&lt;&gt;"",ISNUMBER(M721)),Q721,"")</f>
        <v/>
      </c>
      <c r="AB721">
        <f>IF(AND(Q721&lt;&gt;"",ISNUMBER(K721)),K721,"")</f>
        <v/>
      </c>
      <c r="AC721">
        <f>IF(AND(Q721&lt;&gt;"",ISNUMBER(L721)),L721,"")</f>
        <v/>
      </c>
      <c r="AD721">
        <f>IF(AND(Q721&lt;&gt;"",ISNUMBER(M721)),M721,"")</f>
        <v/>
      </c>
    </row>
    <row r="722">
      <c r="A722" s="1" t="n"/>
      <c r="B722" s="17" t="n"/>
      <c r="C722" s="27" t="n"/>
      <c r="D722" s="28" t="n"/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9" t="n"/>
      <c r="N722" s="21" t="n"/>
      <c r="O722" s="12">
        <f>IF(AND(B722="",C722=""),"",IF(NOT(ISNUMBER(B722)),"Needs a date",IF(C722="","Needs a client",IF(COUNTIF(Clients!$B$6:$B$105,C722)=0,"Not on Clients",IF(COUNT(D722:M722)=0,"Nothing measured","")))))</f>
        <v/>
      </c>
      <c r="P722" s="1">
        <f>IF(AND(O722="",ISNUMBER(B722)),INT(B722),0)</f>
        <v/>
      </c>
      <c r="Q722">
        <f>IF(AND(P722&gt;0,C722=Report!$C$5),P722*10000+ROW(),"")</f>
        <v/>
      </c>
      <c r="R722">
        <f>IF(AND(Q722&lt;&gt;"",ISNUMBER(D722)),Q722,"")</f>
        <v/>
      </c>
      <c r="S722">
        <f>IF(AND(Q722&lt;&gt;"",ISNUMBER(E722)),Q722,"")</f>
        <v/>
      </c>
      <c r="T722">
        <f>IF(AND(Q722&lt;&gt;"",ISNUMBER(F722)),Q722,"")</f>
        <v/>
      </c>
      <c r="U722">
        <f>IF(AND(Q722&lt;&gt;"",ISNUMBER(G722)),Q722,"")</f>
        <v/>
      </c>
      <c r="V722">
        <f>IF(AND(Q722&lt;&gt;"",ISNUMBER(H722)),Q722,"")</f>
        <v/>
      </c>
      <c r="W722">
        <f>IF(AND(Q722&lt;&gt;"",ISNUMBER(I722)),Q722,"")</f>
        <v/>
      </c>
      <c r="X722">
        <f>IF(AND(Q722&lt;&gt;"",ISNUMBER(J722)),Q722,"")</f>
        <v/>
      </c>
      <c r="Y722">
        <f>IF(AND(Q722&lt;&gt;"",ISNUMBER(K722)),Q722,"")</f>
        <v/>
      </c>
      <c r="Z722">
        <f>IF(AND(Q722&lt;&gt;"",ISNUMBER(L722)),Q722,"")</f>
        <v/>
      </c>
      <c r="AA722">
        <f>IF(AND(Q722&lt;&gt;"",ISNUMBER(M722)),Q722,"")</f>
        <v/>
      </c>
      <c r="AB722">
        <f>IF(AND(Q722&lt;&gt;"",ISNUMBER(K722)),K722,"")</f>
        <v/>
      </c>
      <c r="AC722">
        <f>IF(AND(Q722&lt;&gt;"",ISNUMBER(L722)),L722,"")</f>
        <v/>
      </c>
      <c r="AD722">
        <f>IF(AND(Q722&lt;&gt;"",ISNUMBER(M722)),M722,"")</f>
        <v/>
      </c>
    </row>
    <row r="723">
      <c r="A723" s="1" t="n"/>
      <c r="B723" s="17" t="n"/>
      <c r="C723" s="27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9" t="n"/>
      <c r="N723" s="21" t="n"/>
      <c r="O723" s="12">
        <f>IF(AND(B723="",C723=""),"",IF(NOT(ISNUMBER(B723)),"Needs a date",IF(C723="","Needs a client",IF(COUNTIF(Clients!$B$6:$B$105,C723)=0,"Not on Clients",IF(COUNT(D723:M723)=0,"Nothing measured","")))))</f>
        <v/>
      </c>
      <c r="P723" s="1">
        <f>IF(AND(O723="",ISNUMBER(B723)),INT(B723),0)</f>
        <v/>
      </c>
      <c r="Q723">
        <f>IF(AND(P723&gt;0,C723=Report!$C$5),P723*10000+ROW(),"")</f>
        <v/>
      </c>
      <c r="R723">
        <f>IF(AND(Q723&lt;&gt;"",ISNUMBER(D723)),Q723,"")</f>
        <v/>
      </c>
      <c r="S723">
        <f>IF(AND(Q723&lt;&gt;"",ISNUMBER(E723)),Q723,"")</f>
        <v/>
      </c>
      <c r="T723">
        <f>IF(AND(Q723&lt;&gt;"",ISNUMBER(F723)),Q723,"")</f>
        <v/>
      </c>
      <c r="U723">
        <f>IF(AND(Q723&lt;&gt;"",ISNUMBER(G723)),Q723,"")</f>
        <v/>
      </c>
      <c r="V723">
        <f>IF(AND(Q723&lt;&gt;"",ISNUMBER(H723)),Q723,"")</f>
        <v/>
      </c>
      <c r="W723">
        <f>IF(AND(Q723&lt;&gt;"",ISNUMBER(I723)),Q723,"")</f>
        <v/>
      </c>
      <c r="X723">
        <f>IF(AND(Q723&lt;&gt;"",ISNUMBER(J723)),Q723,"")</f>
        <v/>
      </c>
      <c r="Y723">
        <f>IF(AND(Q723&lt;&gt;"",ISNUMBER(K723)),Q723,"")</f>
        <v/>
      </c>
      <c r="Z723">
        <f>IF(AND(Q723&lt;&gt;"",ISNUMBER(L723)),Q723,"")</f>
        <v/>
      </c>
      <c r="AA723">
        <f>IF(AND(Q723&lt;&gt;"",ISNUMBER(M723)),Q723,"")</f>
        <v/>
      </c>
      <c r="AB723">
        <f>IF(AND(Q723&lt;&gt;"",ISNUMBER(K723)),K723,"")</f>
        <v/>
      </c>
      <c r="AC723">
        <f>IF(AND(Q723&lt;&gt;"",ISNUMBER(L723)),L723,"")</f>
        <v/>
      </c>
      <c r="AD723">
        <f>IF(AND(Q723&lt;&gt;"",ISNUMBER(M723)),M723,"")</f>
        <v/>
      </c>
    </row>
    <row r="724">
      <c r="A724" s="1" t="n"/>
      <c r="B724" s="17" t="n"/>
      <c r="C724" s="27" t="n"/>
      <c r="D724" s="28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9" t="n"/>
      <c r="N724" s="21" t="n"/>
      <c r="O724" s="12">
        <f>IF(AND(B724="",C724=""),"",IF(NOT(ISNUMBER(B724)),"Needs a date",IF(C724="","Needs a client",IF(COUNTIF(Clients!$B$6:$B$105,C724)=0,"Not on Clients",IF(COUNT(D724:M724)=0,"Nothing measured","")))))</f>
        <v/>
      </c>
      <c r="P724" s="1">
        <f>IF(AND(O724="",ISNUMBER(B724)),INT(B724),0)</f>
        <v/>
      </c>
      <c r="Q724">
        <f>IF(AND(P724&gt;0,C724=Report!$C$5),P724*10000+ROW(),"")</f>
        <v/>
      </c>
      <c r="R724">
        <f>IF(AND(Q724&lt;&gt;"",ISNUMBER(D724)),Q724,"")</f>
        <v/>
      </c>
      <c r="S724">
        <f>IF(AND(Q724&lt;&gt;"",ISNUMBER(E724)),Q724,"")</f>
        <v/>
      </c>
      <c r="T724">
        <f>IF(AND(Q724&lt;&gt;"",ISNUMBER(F724)),Q724,"")</f>
        <v/>
      </c>
      <c r="U724">
        <f>IF(AND(Q724&lt;&gt;"",ISNUMBER(G724)),Q724,"")</f>
        <v/>
      </c>
      <c r="V724">
        <f>IF(AND(Q724&lt;&gt;"",ISNUMBER(H724)),Q724,"")</f>
        <v/>
      </c>
      <c r="W724">
        <f>IF(AND(Q724&lt;&gt;"",ISNUMBER(I724)),Q724,"")</f>
        <v/>
      </c>
      <c r="X724">
        <f>IF(AND(Q724&lt;&gt;"",ISNUMBER(J724)),Q724,"")</f>
        <v/>
      </c>
      <c r="Y724">
        <f>IF(AND(Q724&lt;&gt;"",ISNUMBER(K724)),Q724,"")</f>
        <v/>
      </c>
      <c r="Z724">
        <f>IF(AND(Q724&lt;&gt;"",ISNUMBER(L724)),Q724,"")</f>
        <v/>
      </c>
      <c r="AA724">
        <f>IF(AND(Q724&lt;&gt;"",ISNUMBER(M724)),Q724,"")</f>
        <v/>
      </c>
      <c r="AB724">
        <f>IF(AND(Q724&lt;&gt;"",ISNUMBER(K724)),K724,"")</f>
        <v/>
      </c>
      <c r="AC724">
        <f>IF(AND(Q724&lt;&gt;"",ISNUMBER(L724)),L724,"")</f>
        <v/>
      </c>
      <c r="AD724">
        <f>IF(AND(Q724&lt;&gt;"",ISNUMBER(M724)),M724,"")</f>
        <v/>
      </c>
    </row>
    <row r="725">
      <c r="A725" s="1" t="n"/>
      <c r="B725" s="17" t="n"/>
      <c r="C725" s="27" t="n"/>
      <c r="D725" s="28" t="n"/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9" t="n"/>
      <c r="N725" s="21" t="n"/>
      <c r="O725" s="12">
        <f>IF(AND(B725="",C725=""),"",IF(NOT(ISNUMBER(B725)),"Needs a date",IF(C725="","Needs a client",IF(COUNTIF(Clients!$B$6:$B$105,C725)=0,"Not on Clients",IF(COUNT(D725:M725)=0,"Nothing measured","")))))</f>
        <v/>
      </c>
      <c r="P725" s="1">
        <f>IF(AND(O725="",ISNUMBER(B725)),INT(B725),0)</f>
        <v/>
      </c>
      <c r="Q725">
        <f>IF(AND(P725&gt;0,C725=Report!$C$5),P725*10000+ROW(),"")</f>
        <v/>
      </c>
      <c r="R725">
        <f>IF(AND(Q725&lt;&gt;"",ISNUMBER(D725)),Q725,"")</f>
        <v/>
      </c>
      <c r="S725">
        <f>IF(AND(Q725&lt;&gt;"",ISNUMBER(E725)),Q725,"")</f>
        <v/>
      </c>
      <c r="T725">
        <f>IF(AND(Q725&lt;&gt;"",ISNUMBER(F725)),Q725,"")</f>
        <v/>
      </c>
      <c r="U725">
        <f>IF(AND(Q725&lt;&gt;"",ISNUMBER(G725)),Q725,"")</f>
        <v/>
      </c>
      <c r="V725">
        <f>IF(AND(Q725&lt;&gt;"",ISNUMBER(H725)),Q725,"")</f>
        <v/>
      </c>
      <c r="W725">
        <f>IF(AND(Q725&lt;&gt;"",ISNUMBER(I725)),Q725,"")</f>
        <v/>
      </c>
      <c r="X725">
        <f>IF(AND(Q725&lt;&gt;"",ISNUMBER(J725)),Q725,"")</f>
        <v/>
      </c>
      <c r="Y725">
        <f>IF(AND(Q725&lt;&gt;"",ISNUMBER(K725)),Q725,"")</f>
        <v/>
      </c>
      <c r="Z725">
        <f>IF(AND(Q725&lt;&gt;"",ISNUMBER(L725)),Q725,"")</f>
        <v/>
      </c>
      <c r="AA725">
        <f>IF(AND(Q725&lt;&gt;"",ISNUMBER(M725)),Q725,"")</f>
        <v/>
      </c>
      <c r="AB725">
        <f>IF(AND(Q725&lt;&gt;"",ISNUMBER(K725)),K725,"")</f>
        <v/>
      </c>
      <c r="AC725">
        <f>IF(AND(Q725&lt;&gt;"",ISNUMBER(L725)),L725,"")</f>
        <v/>
      </c>
      <c r="AD725">
        <f>IF(AND(Q725&lt;&gt;"",ISNUMBER(M725)),M725,"")</f>
        <v/>
      </c>
    </row>
    <row r="726">
      <c r="A726" s="1" t="n"/>
      <c r="B726" s="17" t="n"/>
      <c r="C726" s="27" t="n"/>
      <c r="D726" s="28" t="n"/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9" t="n"/>
      <c r="N726" s="21" t="n"/>
      <c r="O726" s="12">
        <f>IF(AND(B726="",C726=""),"",IF(NOT(ISNUMBER(B726)),"Needs a date",IF(C726="","Needs a client",IF(COUNTIF(Clients!$B$6:$B$105,C726)=0,"Not on Clients",IF(COUNT(D726:M726)=0,"Nothing measured","")))))</f>
        <v/>
      </c>
      <c r="P726" s="1">
        <f>IF(AND(O726="",ISNUMBER(B726)),INT(B726),0)</f>
        <v/>
      </c>
      <c r="Q726">
        <f>IF(AND(P726&gt;0,C726=Report!$C$5),P726*10000+ROW(),"")</f>
        <v/>
      </c>
      <c r="R726">
        <f>IF(AND(Q726&lt;&gt;"",ISNUMBER(D726)),Q726,"")</f>
        <v/>
      </c>
      <c r="S726">
        <f>IF(AND(Q726&lt;&gt;"",ISNUMBER(E726)),Q726,"")</f>
        <v/>
      </c>
      <c r="T726">
        <f>IF(AND(Q726&lt;&gt;"",ISNUMBER(F726)),Q726,"")</f>
        <v/>
      </c>
      <c r="U726">
        <f>IF(AND(Q726&lt;&gt;"",ISNUMBER(G726)),Q726,"")</f>
        <v/>
      </c>
      <c r="V726">
        <f>IF(AND(Q726&lt;&gt;"",ISNUMBER(H726)),Q726,"")</f>
        <v/>
      </c>
      <c r="W726">
        <f>IF(AND(Q726&lt;&gt;"",ISNUMBER(I726)),Q726,"")</f>
        <v/>
      </c>
      <c r="X726">
        <f>IF(AND(Q726&lt;&gt;"",ISNUMBER(J726)),Q726,"")</f>
        <v/>
      </c>
      <c r="Y726">
        <f>IF(AND(Q726&lt;&gt;"",ISNUMBER(K726)),Q726,"")</f>
        <v/>
      </c>
      <c r="Z726">
        <f>IF(AND(Q726&lt;&gt;"",ISNUMBER(L726)),Q726,"")</f>
        <v/>
      </c>
      <c r="AA726">
        <f>IF(AND(Q726&lt;&gt;"",ISNUMBER(M726)),Q726,"")</f>
        <v/>
      </c>
      <c r="AB726">
        <f>IF(AND(Q726&lt;&gt;"",ISNUMBER(K726)),K726,"")</f>
        <v/>
      </c>
      <c r="AC726">
        <f>IF(AND(Q726&lt;&gt;"",ISNUMBER(L726)),L726,"")</f>
        <v/>
      </c>
      <c r="AD726">
        <f>IF(AND(Q726&lt;&gt;"",ISNUMBER(M726)),M726,"")</f>
        <v/>
      </c>
    </row>
    <row r="727">
      <c r="A727" s="1" t="n"/>
      <c r="B727" s="17" t="n"/>
      <c r="C727" s="27" t="n"/>
      <c r="D727" s="28" t="n"/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9" t="n"/>
      <c r="N727" s="21" t="n"/>
      <c r="O727" s="12">
        <f>IF(AND(B727="",C727=""),"",IF(NOT(ISNUMBER(B727)),"Needs a date",IF(C727="","Needs a client",IF(COUNTIF(Clients!$B$6:$B$105,C727)=0,"Not on Clients",IF(COUNT(D727:M727)=0,"Nothing measured","")))))</f>
        <v/>
      </c>
      <c r="P727" s="1">
        <f>IF(AND(O727="",ISNUMBER(B727)),INT(B727),0)</f>
        <v/>
      </c>
      <c r="Q727">
        <f>IF(AND(P727&gt;0,C727=Report!$C$5),P727*10000+ROW(),"")</f>
        <v/>
      </c>
      <c r="R727">
        <f>IF(AND(Q727&lt;&gt;"",ISNUMBER(D727)),Q727,"")</f>
        <v/>
      </c>
      <c r="S727">
        <f>IF(AND(Q727&lt;&gt;"",ISNUMBER(E727)),Q727,"")</f>
        <v/>
      </c>
      <c r="T727">
        <f>IF(AND(Q727&lt;&gt;"",ISNUMBER(F727)),Q727,"")</f>
        <v/>
      </c>
      <c r="U727">
        <f>IF(AND(Q727&lt;&gt;"",ISNUMBER(G727)),Q727,"")</f>
        <v/>
      </c>
      <c r="V727">
        <f>IF(AND(Q727&lt;&gt;"",ISNUMBER(H727)),Q727,"")</f>
        <v/>
      </c>
      <c r="W727">
        <f>IF(AND(Q727&lt;&gt;"",ISNUMBER(I727)),Q727,"")</f>
        <v/>
      </c>
      <c r="X727">
        <f>IF(AND(Q727&lt;&gt;"",ISNUMBER(J727)),Q727,"")</f>
        <v/>
      </c>
      <c r="Y727">
        <f>IF(AND(Q727&lt;&gt;"",ISNUMBER(K727)),Q727,"")</f>
        <v/>
      </c>
      <c r="Z727">
        <f>IF(AND(Q727&lt;&gt;"",ISNUMBER(L727)),Q727,"")</f>
        <v/>
      </c>
      <c r="AA727">
        <f>IF(AND(Q727&lt;&gt;"",ISNUMBER(M727)),Q727,"")</f>
        <v/>
      </c>
      <c r="AB727">
        <f>IF(AND(Q727&lt;&gt;"",ISNUMBER(K727)),K727,"")</f>
        <v/>
      </c>
      <c r="AC727">
        <f>IF(AND(Q727&lt;&gt;"",ISNUMBER(L727)),L727,"")</f>
        <v/>
      </c>
      <c r="AD727">
        <f>IF(AND(Q727&lt;&gt;"",ISNUMBER(M727)),M727,"")</f>
        <v/>
      </c>
    </row>
    <row r="728">
      <c r="A728" s="1" t="n"/>
      <c r="B728" s="17" t="n"/>
      <c r="C728" s="27" t="n"/>
      <c r="D728" s="28" t="n"/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9" t="n"/>
      <c r="N728" s="21" t="n"/>
      <c r="O728" s="12">
        <f>IF(AND(B728="",C728=""),"",IF(NOT(ISNUMBER(B728)),"Needs a date",IF(C728="","Needs a client",IF(COUNTIF(Clients!$B$6:$B$105,C728)=0,"Not on Clients",IF(COUNT(D728:M728)=0,"Nothing measured","")))))</f>
        <v/>
      </c>
      <c r="P728" s="1">
        <f>IF(AND(O728="",ISNUMBER(B728)),INT(B728),0)</f>
        <v/>
      </c>
      <c r="Q728">
        <f>IF(AND(P728&gt;0,C728=Report!$C$5),P728*10000+ROW(),"")</f>
        <v/>
      </c>
      <c r="R728">
        <f>IF(AND(Q728&lt;&gt;"",ISNUMBER(D728)),Q728,"")</f>
        <v/>
      </c>
      <c r="S728">
        <f>IF(AND(Q728&lt;&gt;"",ISNUMBER(E728)),Q728,"")</f>
        <v/>
      </c>
      <c r="T728">
        <f>IF(AND(Q728&lt;&gt;"",ISNUMBER(F728)),Q728,"")</f>
        <v/>
      </c>
      <c r="U728">
        <f>IF(AND(Q728&lt;&gt;"",ISNUMBER(G728)),Q728,"")</f>
        <v/>
      </c>
      <c r="V728">
        <f>IF(AND(Q728&lt;&gt;"",ISNUMBER(H728)),Q728,"")</f>
        <v/>
      </c>
      <c r="W728">
        <f>IF(AND(Q728&lt;&gt;"",ISNUMBER(I728)),Q728,"")</f>
        <v/>
      </c>
      <c r="X728">
        <f>IF(AND(Q728&lt;&gt;"",ISNUMBER(J728)),Q728,"")</f>
        <v/>
      </c>
      <c r="Y728">
        <f>IF(AND(Q728&lt;&gt;"",ISNUMBER(K728)),Q728,"")</f>
        <v/>
      </c>
      <c r="Z728">
        <f>IF(AND(Q728&lt;&gt;"",ISNUMBER(L728)),Q728,"")</f>
        <v/>
      </c>
      <c r="AA728">
        <f>IF(AND(Q728&lt;&gt;"",ISNUMBER(M728)),Q728,"")</f>
        <v/>
      </c>
      <c r="AB728">
        <f>IF(AND(Q728&lt;&gt;"",ISNUMBER(K728)),K728,"")</f>
        <v/>
      </c>
      <c r="AC728">
        <f>IF(AND(Q728&lt;&gt;"",ISNUMBER(L728)),L728,"")</f>
        <v/>
      </c>
      <c r="AD728">
        <f>IF(AND(Q728&lt;&gt;"",ISNUMBER(M728)),M728,"")</f>
        <v/>
      </c>
    </row>
    <row r="729">
      <c r="A729" s="1" t="n"/>
      <c r="B729" s="17" t="n"/>
      <c r="C729" s="27" t="n"/>
      <c r="D729" s="28" t="n"/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9" t="n"/>
      <c r="N729" s="21" t="n"/>
      <c r="O729" s="12">
        <f>IF(AND(B729="",C729=""),"",IF(NOT(ISNUMBER(B729)),"Needs a date",IF(C729="","Needs a client",IF(COUNTIF(Clients!$B$6:$B$105,C729)=0,"Not on Clients",IF(COUNT(D729:M729)=0,"Nothing measured","")))))</f>
        <v/>
      </c>
      <c r="P729" s="1">
        <f>IF(AND(O729="",ISNUMBER(B729)),INT(B729),0)</f>
        <v/>
      </c>
      <c r="Q729">
        <f>IF(AND(P729&gt;0,C729=Report!$C$5),P729*10000+ROW(),"")</f>
        <v/>
      </c>
      <c r="R729">
        <f>IF(AND(Q729&lt;&gt;"",ISNUMBER(D729)),Q729,"")</f>
        <v/>
      </c>
      <c r="S729">
        <f>IF(AND(Q729&lt;&gt;"",ISNUMBER(E729)),Q729,"")</f>
        <v/>
      </c>
      <c r="T729">
        <f>IF(AND(Q729&lt;&gt;"",ISNUMBER(F729)),Q729,"")</f>
        <v/>
      </c>
      <c r="U729">
        <f>IF(AND(Q729&lt;&gt;"",ISNUMBER(G729)),Q729,"")</f>
        <v/>
      </c>
      <c r="V729">
        <f>IF(AND(Q729&lt;&gt;"",ISNUMBER(H729)),Q729,"")</f>
        <v/>
      </c>
      <c r="W729">
        <f>IF(AND(Q729&lt;&gt;"",ISNUMBER(I729)),Q729,"")</f>
        <v/>
      </c>
      <c r="X729">
        <f>IF(AND(Q729&lt;&gt;"",ISNUMBER(J729)),Q729,"")</f>
        <v/>
      </c>
      <c r="Y729">
        <f>IF(AND(Q729&lt;&gt;"",ISNUMBER(K729)),Q729,"")</f>
        <v/>
      </c>
      <c r="Z729">
        <f>IF(AND(Q729&lt;&gt;"",ISNUMBER(L729)),Q729,"")</f>
        <v/>
      </c>
      <c r="AA729">
        <f>IF(AND(Q729&lt;&gt;"",ISNUMBER(M729)),Q729,"")</f>
        <v/>
      </c>
      <c r="AB729">
        <f>IF(AND(Q729&lt;&gt;"",ISNUMBER(K729)),K729,"")</f>
        <v/>
      </c>
      <c r="AC729">
        <f>IF(AND(Q729&lt;&gt;"",ISNUMBER(L729)),L729,"")</f>
        <v/>
      </c>
      <c r="AD729">
        <f>IF(AND(Q729&lt;&gt;"",ISNUMBER(M729)),M729,"")</f>
        <v/>
      </c>
    </row>
    <row r="730">
      <c r="A730" s="1" t="n"/>
      <c r="B730" s="17" t="n"/>
      <c r="C730" s="27" t="n"/>
      <c r="D730" s="28" t="n"/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9" t="n"/>
      <c r="N730" s="21" t="n"/>
      <c r="O730" s="12">
        <f>IF(AND(B730="",C730=""),"",IF(NOT(ISNUMBER(B730)),"Needs a date",IF(C730="","Needs a client",IF(COUNTIF(Clients!$B$6:$B$105,C730)=0,"Not on Clients",IF(COUNT(D730:M730)=0,"Nothing measured","")))))</f>
        <v/>
      </c>
      <c r="P730" s="1">
        <f>IF(AND(O730="",ISNUMBER(B730)),INT(B730),0)</f>
        <v/>
      </c>
      <c r="Q730">
        <f>IF(AND(P730&gt;0,C730=Report!$C$5),P730*10000+ROW(),"")</f>
        <v/>
      </c>
      <c r="R730">
        <f>IF(AND(Q730&lt;&gt;"",ISNUMBER(D730)),Q730,"")</f>
        <v/>
      </c>
      <c r="S730">
        <f>IF(AND(Q730&lt;&gt;"",ISNUMBER(E730)),Q730,"")</f>
        <v/>
      </c>
      <c r="T730">
        <f>IF(AND(Q730&lt;&gt;"",ISNUMBER(F730)),Q730,"")</f>
        <v/>
      </c>
      <c r="U730">
        <f>IF(AND(Q730&lt;&gt;"",ISNUMBER(G730)),Q730,"")</f>
        <v/>
      </c>
      <c r="V730">
        <f>IF(AND(Q730&lt;&gt;"",ISNUMBER(H730)),Q730,"")</f>
        <v/>
      </c>
      <c r="W730">
        <f>IF(AND(Q730&lt;&gt;"",ISNUMBER(I730)),Q730,"")</f>
        <v/>
      </c>
      <c r="X730">
        <f>IF(AND(Q730&lt;&gt;"",ISNUMBER(J730)),Q730,"")</f>
        <v/>
      </c>
      <c r="Y730">
        <f>IF(AND(Q730&lt;&gt;"",ISNUMBER(K730)),Q730,"")</f>
        <v/>
      </c>
      <c r="Z730">
        <f>IF(AND(Q730&lt;&gt;"",ISNUMBER(L730)),Q730,"")</f>
        <v/>
      </c>
      <c r="AA730">
        <f>IF(AND(Q730&lt;&gt;"",ISNUMBER(M730)),Q730,"")</f>
        <v/>
      </c>
      <c r="AB730">
        <f>IF(AND(Q730&lt;&gt;"",ISNUMBER(K730)),K730,"")</f>
        <v/>
      </c>
      <c r="AC730">
        <f>IF(AND(Q730&lt;&gt;"",ISNUMBER(L730)),L730,"")</f>
        <v/>
      </c>
      <c r="AD730">
        <f>IF(AND(Q730&lt;&gt;"",ISNUMBER(M730)),M730,"")</f>
        <v/>
      </c>
    </row>
    <row r="731">
      <c r="A731" s="1" t="n"/>
      <c r="B731" s="17" t="n"/>
      <c r="C731" s="27" t="n"/>
      <c r="D731" s="28" t="n"/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9" t="n"/>
      <c r="N731" s="21" t="n"/>
      <c r="O731" s="12">
        <f>IF(AND(B731="",C731=""),"",IF(NOT(ISNUMBER(B731)),"Needs a date",IF(C731="","Needs a client",IF(COUNTIF(Clients!$B$6:$B$105,C731)=0,"Not on Clients",IF(COUNT(D731:M731)=0,"Nothing measured","")))))</f>
        <v/>
      </c>
      <c r="P731" s="1">
        <f>IF(AND(O731="",ISNUMBER(B731)),INT(B731),0)</f>
        <v/>
      </c>
      <c r="Q731">
        <f>IF(AND(P731&gt;0,C731=Report!$C$5),P731*10000+ROW(),"")</f>
        <v/>
      </c>
      <c r="R731">
        <f>IF(AND(Q731&lt;&gt;"",ISNUMBER(D731)),Q731,"")</f>
        <v/>
      </c>
      <c r="S731">
        <f>IF(AND(Q731&lt;&gt;"",ISNUMBER(E731)),Q731,"")</f>
        <v/>
      </c>
      <c r="T731">
        <f>IF(AND(Q731&lt;&gt;"",ISNUMBER(F731)),Q731,"")</f>
        <v/>
      </c>
      <c r="U731">
        <f>IF(AND(Q731&lt;&gt;"",ISNUMBER(G731)),Q731,"")</f>
        <v/>
      </c>
      <c r="V731">
        <f>IF(AND(Q731&lt;&gt;"",ISNUMBER(H731)),Q731,"")</f>
        <v/>
      </c>
      <c r="W731">
        <f>IF(AND(Q731&lt;&gt;"",ISNUMBER(I731)),Q731,"")</f>
        <v/>
      </c>
      <c r="X731">
        <f>IF(AND(Q731&lt;&gt;"",ISNUMBER(J731)),Q731,"")</f>
        <v/>
      </c>
      <c r="Y731">
        <f>IF(AND(Q731&lt;&gt;"",ISNUMBER(K731)),Q731,"")</f>
        <v/>
      </c>
      <c r="Z731">
        <f>IF(AND(Q731&lt;&gt;"",ISNUMBER(L731)),Q731,"")</f>
        <v/>
      </c>
      <c r="AA731">
        <f>IF(AND(Q731&lt;&gt;"",ISNUMBER(M731)),Q731,"")</f>
        <v/>
      </c>
      <c r="AB731">
        <f>IF(AND(Q731&lt;&gt;"",ISNUMBER(K731)),K731,"")</f>
        <v/>
      </c>
      <c r="AC731">
        <f>IF(AND(Q731&lt;&gt;"",ISNUMBER(L731)),L731,"")</f>
        <v/>
      </c>
      <c r="AD731">
        <f>IF(AND(Q731&lt;&gt;"",ISNUMBER(M731)),M731,"")</f>
        <v/>
      </c>
    </row>
    <row r="732">
      <c r="A732" s="1" t="n"/>
      <c r="B732" s="17" t="n"/>
      <c r="C732" s="27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9" t="n"/>
      <c r="N732" s="21" t="n"/>
      <c r="O732" s="12">
        <f>IF(AND(B732="",C732=""),"",IF(NOT(ISNUMBER(B732)),"Needs a date",IF(C732="","Needs a client",IF(COUNTIF(Clients!$B$6:$B$105,C732)=0,"Not on Clients",IF(COUNT(D732:M732)=0,"Nothing measured","")))))</f>
        <v/>
      </c>
      <c r="P732" s="1">
        <f>IF(AND(O732="",ISNUMBER(B732)),INT(B732),0)</f>
        <v/>
      </c>
      <c r="Q732">
        <f>IF(AND(P732&gt;0,C732=Report!$C$5),P732*10000+ROW(),"")</f>
        <v/>
      </c>
      <c r="R732">
        <f>IF(AND(Q732&lt;&gt;"",ISNUMBER(D732)),Q732,"")</f>
        <v/>
      </c>
      <c r="S732">
        <f>IF(AND(Q732&lt;&gt;"",ISNUMBER(E732)),Q732,"")</f>
        <v/>
      </c>
      <c r="T732">
        <f>IF(AND(Q732&lt;&gt;"",ISNUMBER(F732)),Q732,"")</f>
        <v/>
      </c>
      <c r="U732">
        <f>IF(AND(Q732&lt;&gt;"",ISNUMBER(G732)),Q732,"")</f>
        <v/>
      </c>
      <c r="V732">
        <f>IF(AND(Q732&lt;&gt;"",ISNUMBER(H732)),Q732,"")</f>
        <v/>
      </c>
      <c r="W732">
        <f>IF(AND(Q732&lt;&gt;"",ISNUMBER(I732)),Q732,"")</f>
        <v/>
      </c>
      <c r="X732">
        <f>IF(AND(Q732&lt;&gt;"",ISNUMBER(J732)),Q732,"")</f>
        <v/>
      </c>
      <c r="Y732">
        <f>IF(AND(Q732&lt;&gt;"",ISNUMBER(K732)),Q732,"")</f>
        <v/>
      </c>
      <c r="Z732">
        <f>IF(AND(Q732&lt;&gt;"",ISNUMBER(L732)),Q732,"")</f>
        <v/>
      </c>
      <c r="AA732">
        <f>IF(AND(Q732&lt;&gt;"",ISNUMBER(M732)),Q732,"")</f>
        <v/>
      </c>
      <c r="AB732">
        <f>IF(AND(Q732&lt;&gt;"",ISNUMBER(K732)),K732,"")</f>
        <v/>
      </c>
      <c r="AC732">
        <f>IF(AND(Q732&lt;&gt;"",ISNUMBER(L732)),L732,"")</f>
        <v/>
      </c>
      <c r="AD732">
        <f>IF(AND(Q732&lt;&gt;"",ISNUMBER(M732)),M732,"")</f>
        <v/>
      </c>
    </row>
    <row r="733">
      <c r="A733" s="1" t="n"/>
      <c r="B733" s="17" t="n"/>
      <c r="C733" s="27" t="n"/>
      <c r="D733" s="28" t="n"/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9" t="n"/>
      <c r="N733" s="21" t="n"/>
      <c r="O733" s="12">
        <f>IF(AND(B733="",C733=""),"",IF(NOT(ISNUMBER(B733)),"Needs a date",IF(C733="","Needs a client",IF(COUNTIF(Clients!$B$6:$B$105,C733)=0,"Not on Clients",IF(COUNT(D733:M733)=0,"Nothing measured","")))))</f>
        <v/>
      </c>
      <c r="P733" s="1">
        <f>IF(AND(O733="",ISNUMBER(B733)),INT(B733),0)</f>
        <v/>
      </c>
      <c r="Q733">
        <f>IF(AND(P733&gt;0,C733=Report!$C$5),P733*10000+ROW(),"")</f>
        <v/>
      </c>
      <c r="R733">
        <f>IF(AND(Q733&lt;&gt;"",ISNUMBER(D733)),Q733,"")</f>
        <v/>
      </c>
      <c r="S733">
        <f>IF(AND(Q733&lt;&gt;"",ISNUMBER(E733)),Q733,"")</f>
        <v/>
      </c>
      <c r="T733">
        <f>IF(AND(Q733&lt;&gt;"",ISNUMBER(F733)),Q733,"")</f>
        <v/>
      </c>
      <c r="U733">
        <f>IF(AND(Q733&lt;&gt;"",ISNUMBER(G733)),Q733,"")</f>
        <v/>
      </c>
      <c r="V733">
        <f>IF(AND(Q733&lt;&gt;"",ISNUMBER(H733)),Q733,"")</f>
        <v/>
      </c>
      <c r="W733">
        <f>IF(AND(Q733&lt;&gt;"",ISNUMBER(I733)),Q733,"")</f>
        <v/>
      </c>
      <c r="X733">
        <f>IF(AND(Q733&lt;&gt;"",ISNUMBER(J733)),Q733,"")</f>
        <v/>
      </c>
      <c r="Y733">
        <f>IF(AND(Q733&lt;&gt;"",ISNUMBER(K733)),Q733,"")</f>
        <v/>
      </c>
      <c r="Z733">
        <f>IF(AND(Q733&lt;&gt;"",ISNUMBER(L733)),Q733,"")</f>
        <v/>
      </c>
      <c r="AA733">
        <f>IF(AND(Q733&lt;&gt;"",ISNUMBER(M733)),Q733,"")</f>
        <v/>
      </c>
      <c r="AB733">
        <f>IF(AND(Q733&lt;&gt;"",ISNUMBER(K733)),K733,"")</f>
        <v/>
      </c>
      <c r="AC733">
        <f>IF(AND(Q733&lt;&gt;"",ISNUMBER(L733)),L733,"")</f>
        <v/>
      </c>
      <c r="AD733">
        <f>IF(AND(Q733&lt;&gt;"",ISNUMBER(M733)),M733,"")</f>
        <v/>
      </c>
    </row>
    <row r="734">
      <c r="A734" s="1" t="n"/>
      <c r="B734" s="17" t="n"/>
      <c r="C734" s="27" t="n"/>
      <c r="D734" s="2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9" t="n"/>
      <c r="N734" s="21" t="n"/>
      <c r="O734" s="12">
        <f>IF(AND(B734="",C734=""),"",IF(NOT(ISNUMBER(B734)),"Needs a date",IF(C734="","Needs a client",IF(COUNTIF(Clients!$B$6:$B$105,C734)=0,"Not on Clients",IF(COUNT(D734:M734)=0,"Nothing measured","")))))</f>
        <v/>
      </c>
      <c r="P734" s="1">
        <f>IF(AND(O734="",ISNUMBER(B734)),INT(B734),0)</f>
        <v/>
      </c>
      <c r="Q734">
        <f>IF(AND(P734&gt;0,C734=Report!$C$5),P734*10000+ROW(),"")</f>
        <v/>
      </c>
      <c r="R734">
        <f>IF(AND(Q734&lt;&gt;"",ISNUMBER(D734)),Q734,"")</f>
        <v/>
      </c>
      <c r="S734">
        <f>IF(AND(Q734&lt;&gt;"",ISNUMBER(E734)),Q734,"")</f>
        <v/>
      </c>
      <c r="T734">
        <f>IF(AND(Q734&lt;&gt;"",ISNUMBER(F734)),Q734,"")</f>
        <v/>
      </c>
      <c r="U734">
        <f>IF(AND(Q734&lt;&gt;"",ISNUMBER(G734)),Q734,"")</f>
        <v/>
      </c>
      <c r="V734">
        <f>IF(AND(Q734&lt;&gt;"",ISNUMBER(H734)),Q734,"")</f>
        <v/>
      </c>
      <c r="W734">
        <f>IF(AND(Q734&lt;&gt;"",ISNUMBER(I734)),Q734,"")</f>
        <v/>
      </c>
      <c r="X734">
        <f>IF(AND(Q734&lt;&gt;"",ISNUMBER(J734)),Q734,"")</f>
        <v/>
      </c>
      <c r="Y734">
        <f>IF(AND(Q734&lt;&gt;"",ISNUMBER(K734)),Q734,"")</f>
        <v/>
      </c>
      <c r="Z734">
        <f>IF(AND(Q734&lt;&gt;"",ISNUMBER(L734)),Q734,"")</f>
        <v/>
      </c>
      <c r="AA734">
        <f>IF(AND(Q734&lt;&gt;"",ISNUMBER(M734)),Q734,"")</f>
        <v/>
      </c>
      <c r="AB734">
        <f>IF(AND(Q734&lt;&gt;"",ISNUMBER(K734)),K734,"")</f>
        <v/>
      </c>
      <c r="AC734">
        <f>IF(AND(Q734&lt;&gt;"",ISNUMBER(L734)),L734,"")</f>
        <v/>
      </c>
      <c r="AD734">
        <f>IF(AND(Q734&lt;&gt;"",ISNUMBER(M734)),M734,"")</f>
        <v/>
      </c>
    </row>
    <row r="735">
      <c r="A735" s="1" t="n"/>
      <c r="B735" s="17" t="n"/>
      <c r="C735" s="27" t="n"/>
      <c r="D735" s="28" t="n"/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9" t="n"/>
      <c r="N735" s="21" t="n"/>
      <c r="O735" s="12">
        <f>IF(AND(B735="",C735=""),"",IF(NOT(ISNUMBER(B735)),"Needs a date",IF(C735="","Needs a client",IF(COUNTIF(Clients!$B$6:$B$105,C735)=0,"Not on Clients",IF(COUNT(D735:M735)=0,"Nothing measured","")))))</f>
        <v/>
      </c>
      <c r="P735" s="1">
        <f>IF(AND(O735="",ISNUMBER(B735)),INT(B735),0)</f>
        <v/>
      </c>
      <c r="Q735">
        <f>IF(AND(P735&gt;0,C735=Report!$C$5),P735*10000+ROW(),"")</f>
        <v/>
      </c>
      <c r="R735">
        <f>IF(AND(Q735&lt;&gt;"",ISNUMBER(D735)),Q735,"")</f>
        <v/>
      </c>
      <c r="S735">
        <f>IF(AND(Q735&lt;&gt;"",ISNUMBER(E735)),Q735,"")</f>
        <v/>
      </c>
      <c r="T735">
        <f>IF(AND(Q735&lt;&gt;"",ISNUMBER(F735)),Q735,"")</f>
        <v/>
      </c>
      <c r="U735">
        <f>IF(AND(Q735&lt;&gt;"",ISNUMBER(G735)),Q735,"")</f>
        <v/>
      </c>
      <c r="V735">
        <f>IF(AND(Q735&lt;&gt;"",ISNUMBER(H735)),Q735,"")</f>
        <v/>
      </c>
      <c r="W735">
        <f>IF(AND(Q735&lt;&gt;"",ISNUMBER(I735)),Q735,"")</f>
        <v/>
      </c>
      <c r="X735">
        <f>IF(AND(Q735&lt;&gt;"",ISNUMBER(J735)),Q735,"")</f>
        <v/>
      </c>
      <c r="Y735">
        <f>IF(AND(Q735&lt;&gt;"",ISNUMBER(K735)),Q735,"")</f>
        <v/>
      </c>
      <c r="Z735">
        <f>IF(AND(Q735&lt;&gt;"",ISNUMBER(L735)),Q735,"")</f>
        <v/>
      </c>
      <c r="AA735">
        <f>IF(AND(Q735&lt;&gt;"",ISNUMBER(M735)),Q735,"")</f>
        <v/>
      </c>
      <c r="AB735">
        <f>IF(AND(Q735&lt;&gt;"",ISNUMBER(K735)),K735,"")</f>
        <v/>
      </c>
      <c r="AC735">
        <f>IF(AND(Q735&lt;&gt;"",ISNUMBER(L735)),L735,"")</f>
        <v/>
      </c>
      <c r="AD735">
        <f>IF(AND(Q735&lt;&gt;"",ISNUMBER(M735)),M735,"")</f>
        <v/>
      </c>
    </row>
    <row r="736">
      <c r="A736" s="1" t="n"/>
      <c r="B736" s="17" t="n"/>
      <c r="C736" s="27" t="n"/>
      <c r="D736" s="28" t="n"/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9" t="n"/>
      <c r="N736" s="21" t="n"/>
      <c r="O736" s="12">
        <f>IF(AND(B736="",C736=""),"",IF(NOT(ISNUMBER(B736)),"Needs a date",IF(C736="","Needs a client",IF(COUNTIF(Clients!$B$6:$B$105,C736)=0,"Not on Clients",IF(COUNT(D736:M736)=0,"Nothing measured","")))))</f>
        <v/>
      </c>
      <c r="P736" s="1">
        <f>IF(AND(O736="",ISNUMBER(B736)),INT(B736),0)</f>
        <v/>
      </c>
      <c r="Q736">
        <f>IF(AND(P736&gt;0,C736=Report!$C$5),P736*10000+ROW(),"")</f>
        <v/>
      </c>
      <c r="R736">
        <f>IF(AND(Q736&lt;&gt;"",ISNUMBER(D736)),Q736,"")</f>
        <v/>
      </c>
      <c r="S736">
        <f>IF(AND(Q736&lt;&gt;"",ISNUMBER(E736)),Q736,"")</f>
        <v/>
      </c>
      <c r="T736">
        <f>IF(AND(Q736&lt;&gt;"",ISNUMBER(F736)),Q736,"")</f>
        <v/>
      </c>
      <c r="U736">
        <f>IF(AND(Q736&lt;&gt;"",ISNUMBER(G736)),Q736,"")</f>
        <v/>
      </c>
      <c r="V736">
        <f>IF(AND(Q736&lt;&gt;"",ISNUMBER(H736)),Q736,"")</f>
        <v/>
      </c>
      <c r="W736">
        <f>IF(AND(Q736&lt;&gt;"",ISNUMBER(I736)),Q736,"")</f>
        <v/>
      </c>
      <c r="X736">
        <f>IF(AND(Q736&lt;&gt;"",ISNUMBER(J736)),Q736,"")</f>
        <v/>
      </c>
      <c r="Y736">
        <f>IF(AND(Q736&lt;&gt;"",ISNUMBER(K736)),Q736,"")</f>
        <v/>
      </c>
      <c r="Z736">
        <f>IF(AND(Q736&lt;&gt;"",ISNUMBER(L736)),Q736,"")</f>
        <v/>
      </c>
      <c r="AA736">
        <f>IF(AND(Q736&lt;&gt;"",ISNUMBER(M736)),Q736,"")</f>
        <v/>
      </c>
      <c r="AB736">
        <f>IF(AND(Q736&lt;&gt;"",ISNUMBER(K736)),K736,"")</f>
        <v/>
      </c>
      <c r="AC736">
        <f>IF(AND(Q736&lt;&gt;"",ISNUMBER(L736)),L736,"")</f>
        <v/>
      </c>
      <c r="AD736">
        <f>IF(AND(Q736&lt;&gt;"",ISNUMBER(M736)),M736,"")</f>
        <v/>
      </c>
    </row>
    <row r="737">
      <c r="A737" s="1" t="n"/>
      <c r="B737" s="17" t="n"/>
      <c r="C737" s="27" t="n"/>
      <c r="D737" s="28" t="n"/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9" t="n"/>
      <c r="N737" s="21" t="n"/>
      <c r="O737" s="12">
        <f>IF(AND(B737="",C737=""),"",IF(NOT(ISNUMBER(B737)),"Needs a date",IF(C737="","Needs a client",IF(COUNTIF(Clients!$B$6:$B$105,C737)=0,"Not on Clients",IF(COUNT(D737:M737)=0,"Nothing measured","")))))</f>
        <v/>
      </c>
      <c r="P737" s="1">
        <f>IF(AND(O737="",ISNUMBER(B737)),INT(B737),0)</f>
        <v/>
      </c>
      <c r="Q737">
        <f>IF(AND(P737&gt;0,C737=Report!$C$5),P737*10000+ROW(),"")</f>
        <v/>
      </c>
      <c r="R737">
        <f>IF(AND(Q737&lt;&gt;"",ISNUMBER(D737)),Q737,"")</f>
        <v/>
      </c>
      <c r="S737">
        <f>IF(AND(Q737&lt;&gt;"",ISNUMBER(E737)),Q737,"")</f>
        <v/>
      </c>
      <c r="T737">
        <f>IF(AND(Q737&lt;&gt;"",ISNUMBER(F737)),Q737,"")</f>
        <v/>
      </c>
      <c r="U737">
        <f>IF(AND(Q737&lt;&gt;"",ISNUMBER(G737)),Q737,"")</f>
        <v/>
      </c>
      <c r="V737">
        <f>IF(AND(Q737&lt;&gt;"",ISNUMBER(H737)),Q737,"")</f>
        <v/>
      </c>
      <c r="W737">
        <f>IF(AND(Q737&lt;&gt;"",ISNUMBER(I737)),Q737,"")</f>
        <v/>
      </c>
      <c r="X737">
        <f>IF(AND(Q737&lt;&gt;"",ISNUMBER(J737)),Q737,"")</f>
        <v/>
      </c>
      <c r="Y737">
        <f>IF(AND(Q737&lt;&gt;"",ISNUMBER(K737)),Q737,"")</f>
        <v/>
      </c>
      <c r="Z737">
        <f>IF(AND(Q737&lt;&gt;"",ISNUMBER(L737)),Q737,"")</f>
        <v/>
      </c>
      <c r="AA737">
        <f>IF(AND(Q737&lt;&gt;"",ISNUMBER(M737)),Q737,"")</f>
        <v/>
      </c>
      <c r="AB737">
        <f>IF(AND(Q737&lt;&gt;"",ISNUMBER(K737)),K737,"")</f>
        <v/>
      </c>
      <c r="AC737">
        <f>IF(AND(Q737&lt;&gt;"",ISNUMBER(L737)),L737,"")</f>
        <v/>
      </c>
      <c r="AD737">
        <f>IF(AND(Q737&lt;&gt;"",ISNUMBER(M737)),M737,"")</f>
        <v/>
      </c>
    </row>
    <row r="738">
      <c r="A738" s="1" t="n"/>
      <c r="B738" s="17" t="n"/>
      <c r="C738" s="27" t="n"/>
      <c r="D738" s="28" t="n"/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9" t="n"/>
      <c r="N738" s="21" t="n"/>
      <c r="O738" s="12">
        <f>IF(AND(B738="",C738=""),"",IF(NOT(ISNUMBER(B738)),"Needs a date",IF(C738="","Needs a client",IF(COUNTIF(Clients!$B$6:$B$105,C738)=0,"Not on Clients",IF(COUNT(D738:M738)=0,"Nothing measured","")))))</f>
        <v/>
      </c>
      <c r="P738" s="1">
        <f>IF(AND(O738="",ISNUMBER(B738)),INT(B738),0)</f>
        <v/>
      </c>
      <c r="Q738">
        <f>IF(AND(P738&gt;0,C738=Report!$C$5),P738*10000+ROW(),"")</f>
        <v/>
      </c>
      <c r="R738">
        <f>IF(AND(Q738&lt;&gt;"",ISNUMBER(D738)),Q738,"")</f>
        <v/>
      </c>
      <c r="S738">
        <f>IF(AND(Q738&lt;&gt;"",ISNUMBER(E738)),Q738,"")</f>
        <v/>
      </c>
      <c r="T738">
        <f>IF(AND(Q738&lt;&gt;"",ISNUMBER(F738)),Q738,"")</f>
        <v/>
      </c>
      <c r="U738">
        <f>IF(AND(Q738&lt;&gt;"",ISNUMBER(G738)),Q738,"")</f>
        <v/>
      </c>
      <c r="V738">
        <f>IF(AND(Q738&lt;&gt;"",ISNUMBER(H738)),Q738,"")</f>
        <v/>
      </c>
      <c r="W738">
        <f>IF(AND(Q738&lt;&gt;"",ISNUMBER(I738)),Q738,"")</f>
        <v/>
      </c>
      <c r="X738">
        <f>IF(AND(Q738&lt;&gt;"",ISNUMBER(J738)),Q738,"")</f>
        <v/>
      </c>
      <c r="Y738">
        <f>IF(AND(Q738&lt;&gt;"",ISNUMBER(K738)),Q738,"")</f>
        <v/>
      </c>
      <c r="Z738">
        <f>IF(AND(Q738&lt;&gt;"",ISNUMBER(L738)),Q738,"")</f>
        <v/>
      </c>
      <c r="AA738">
        <f>IF(AND(Q738&lt;&gt;"",ISNUMBER(M738)),Q738,"")</f>
        <v/>
      </c>
      <c r="AB738">
        <f>IF(AND(Q738&lt;&gt;"",ISNUMBER(K738)),K738,"")</f>
        <v/>
      </c>
      <c r="AC738">
        <f>IF(AND(Q738&lt;&gt;"",ISNUMBER(L738)),L738,"")</f>
        <v/>
      </c>
      <c r="AD738">
        <f>IF(AND(Q738&lt;&gt;"",ISNUMBER(M738)),M738,"")</f>
        <v/>
      </c>
    </row>
    <row r="739">
      <c r="A739" s="1" t="n"/>
      <c r="B739" s="17" t="n"/>
      <c r="C739" s="27" t="n"/>
      <c r="D739" s="28" t="n"/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9" t="n"/>
      <c r="N739" s="21" t="n"/>
      <c r="O739" s="12">
        <f>IF(AND(B739="",C739=""),"",IF(NOT(ISNUMBER(B739)),"Needs a date",IF(C739="","Needs a client",IF(COUNTIF(Clients!$B$6:$B$105,C739)=0,"Not on Clients",IF(COUNT(D739:M739)=0,"Nothing measured","")))))</f>
        <v/>
      </c>
      <c r="P739" s="1">
        <f>IF(AND(O739="",ISNUMBER(B739)),INT(B739),0)</f>
        <v/>
      </c>
      <c r="Q739">
        <f>IF(AND(P739&gt;0,C739=Report!$C$5),P739*10000+ROW(),"")</f>
        <v/>
      </c>
      <c r="R739">
        <f>IF(AND(Q739&lt;&gt;"",ISNUMBER(D739)),Q739,"")</f>
        <v/>
      </c>
      <c r="S739">
        <f>IF(AND(Q739&lt;&gt;"",ISNUMBER(E739)),Q739,"")</f>
        <v/>
      </c>
      <c r="T739">
        <f>IF(AND(Q739&lt;&gt;"",ISNUMBER(F739)),Q739,"")</f>
        <v/>
      </c>
      <c r="U739">
        <f>IF(AND(Q739&lt;&gt;"",ISNUMBER(G739)),Q739,"")</f>
        <v/>
      </c>
      <c r="V739">
        <f>IF(AND(Q739&lt;&gt;"",ISNUMBER(H739)),Q739,"")</f>
        <v/>
      </c>
      <c r="W739">
        <f>IF(AND(Q739&lt;&gt;"",ISNUMBER(I739)),Q739,"")</f>
        <v/>
      </c>
      <c r="X739">
        <f>IF(AND(Q739&lt;&gt;"",ISNUMBER(J739)),Q739,"")</f>
        <v/>
      </c>
      <c r="Y739">
        <f>IF(AND(Q739&lt;&gt;"",ISNUMBER(K739)),Q739,"")</f>
        <v/>
      </c>
      <c r="Z739">
        <f>IF(AND(Q739&lt;&gt;"",ISNUMBER(L739)),Q739,"")</f>
        <v/>
      </c>
      <c r="AA739">
        <f>IF(AND(Q739&lt;&gt;"",ISNUMBER(M739)),Q739,"")</f>
        <v/>
      </c>
      <c r="AB739">
        <f>IF(AND(Q739&lt;&gt;"",ISNUMBER(K739)),K739,"")</f>
        <v/>
      </c>
      <c r="AC739">
        <f>IF(AND(Q739&lt;&gt;"",ISNUMBER(L739)),L739,"")</f>
        <v/>
      </c>
      <c r="AD739">
        <f>IF(AND(Q739&lt;&gt;"",ISNUMBER(M739)),M739,"")</f>
        <v/>
      </c>
    </row>
    <row r="740">
      <c r="A740" s="1" t="n"/>
      <c r="B740" s="17" t="n"/>
      <c r="C740" s="27" t="n"/>
      <c r="D740" s="28" t="n"/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9" t="n"/>
      <c r="N740" s="21" t="n"/>
      <c r="O740" s="12">
        <f>IF(AND(B740="",C740=""),"",IF(NOT(ISNUMBER(B740)),"Needs a date",IF(C740="","Needs a client",IF(COUNTIF(Clients!$B$6:$B$105,C740)=0,"Not on Clients",IF(COUNT(D740:M740)=0,"Nothing measured","")))))</f>
        <v/>
      </c>
      <c r="P740" s="1">
        <f>IF(AND(O740="",ISNUMBER(B740)),INT(B740),0)</f>
        <v/>
      </c>
      <c r="Q740">
        <f>IF(AND(P740&gt;0,C740=Report!$C$5),P740*10000+ROW(),"")</f>
        <v/>
      </c>
      <c r="R740">
        <f>IF(AND(Q740&lt;&gt;"",ISNUMBER(D740)),Q740,"")</f>
        <v/>
      </c>
      <c r="S740">
        <f>IF(AND(Q740&lt;&gt;"",ISNUMBER(E740)),Q740,"")</f>
        <v/>
      </c>
      <c r="T740">
        <f>IF(AND(Q740&lt;&gt;"",ISNUMBER(F740)),Q740,"")</f>
        <v/>
      </c>
      <c r="U740">
        <f>IF(AND(Q740&lt;&gt;"",ISNUMBER(G740)),Q740,"")</f>
        <v/>
      </c>
      <c r="V740">
        <f>IF(AND(Q740&lt;&gt;"",ISNUMBER(H740)),Q740,"")</f>
        <v/>
      </c>
      <c r="W740">
        <f>IF(AND(Q740&lt;&gt;"",ISNUMBER(I740)),Q740,"")</f>
        <v/>
      </c>
      <c r="X740">
        <f>IF(AND(Q740&lt;&gt;"",ISNUMBER(J740)),Q740,"")</f>
        <v/>
      </c>
      <c r="Y740">
        <f>IF(AND(Q740&lt;&gt;"",ISNUMBER(K740)),Q740,"")</f>
        <v/>
      </c>
      <c r="Z740">
        <f>IF(AND(Q740&lt;&gt;"",ISNUMBER(L740)),Q740,"")</f>
        <v/>
      </c>
      <c r="AA740">
        <f>IF(AND(Q740&lt;&gt;"",ISNUMBER(M740)),Q740,"")</f>
        <v/>
      </c>
      <c r="AB740">
        <f>IF(AND(Q740&lt;&gt;"",ISNUMBER(K740)),K740,"")</f>
        <v/>
      </c>
      <c r="AC740">
        <f>IF(AND(Q740&lt;&gt;"",ISNUMBER(L740)),L740,"")</f>
        <v/>
      </c>
      <c r="AD740">
        <f>IF(AND(Q740&lt;&gt;"",ISNUMBER(M740)),M740,"")</f>
        <v/>
      </c>
    </row>
    <row r="741">
      <c r="A741" s="1" t="n"/>
      <c r="B741" s="17" t="n"/>
      <c r="C741" s="27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9" t="n"/>
      <c r="N741" s="21" t="n"/>
      <c r="O741" s="12">
        <f>IF(AND(B741="",C741=""),"",IF(NOT(ISNUMBER(B741)),"Needs a date",IF(C741="","Needs a client",IF(COUNTIF(Clients!$B$6:$B$105,C741)=0,"Not on Clients",IF(COUNT(D741:M741)=0,"Nothing measured","")))))</f>
        <v/>
      </c>
      <c r="P741" s="1">
        <f>IF(AND(O741="",ISNUMBER(B741)),INT(B741),0)</f>
        <v/>
      </c>
      <c r="Q741">
        <f>IF(AND(P741&gt;0,C741=Report!$C$5),P741*10000+ROW(),"")</f>
        <v/>
      </c>
      <c r="R741">
        <f>IF(AND(Q741&lt;&gt;"",ISNUMBER(D741)),Q741,"")</f>
        <v/>
      </c>
      <c r="S741">
        <f>IF(AND(Q741&lt;&gt;"",ISNUMBER(E741)),Q741,"")</f>
        <v/>
      </c>
      <c r="T741">
        <f>IF(AND(Q741&lt;&gt;"",ISNUMBER(F741)),Q741,"")</f>
        <v/>
      </c>
      <c r="U741">
        <f>IF(AND(Q741&lt;&gt;"",ISNUMBER(G741)),Q741,"")</f>
        <v/>
      </c>
      <c r="V741">
        <f>IF(AND(Q741&lt;&gt;"",ISNUMBER(H741)),Q741,"")</f>
        <v/>
      </c>
      <c r="W741">
        <f>IF(AND(Q741&lt;&gt;"",ISNUMBER(I741)),Q741,"")</f>
        <v/>
      </c>
      <c r="X741">
        <f>IF(AND(Q741&lt;&gt;"",ISNUMBER(J741)),Q741,"")</f>
        <v/>
      </c>
      <c r="Y741">
        <f>IF(AND(Q741&lt;&gt;"",ISNUMBER(K741)),Q741,"")</f>
        <v/>
      </c>
      <c r="Z741">
        <f>IF(AND(Q741&lt;&gt;"",ISNUMBER(L741)),Q741,"")</f>
        <v/>
      </c>
      <c r="AA741">
        <f>IF(AND(Q741&lt;&gt;"",ISNUMBER(M741)),Q741,"")</f>
        <v/>
      </c>
      <c r="AB741">
        <f>IF(AND(Q741&lt;&gt;"",ISNUMBER(K741)),K741,"")</f>
        <v/>
      </c>
      <c r="AC741">
        <f>IF(AND(Q741&lt;&gt;"",ISNUMBER(L741)),L741,"")</f>
        <v/>
      </c>
      <c r="AD741">
        <f>IF(AND(Q741&lt;&gt;"",ISNUMBER(M741)),M741,"")</f>
        <v/>
      </c>
    </row>
    <row r="742">
      <c r="A742" s="1" t="n"/>
      <c r="B742" s="17" t="n"/>
      <c r="C742" s="27" t="n"/>
      <c r="D742" s="28" t="n"/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9" t="n"/>
      <c r="N742" s="21" t="n"/>
      <c r="O742" s="12">
        <f>IF(AND(B742="",C742=""),"",IF(NOT(ISNUMBER(B742)),"Needs a date",IF(C742="","Needs a client",IF(COUNTIF(Clients!$B$6:$B$105,C742)=0,"Not on Clients",IF(COUNT(D742:M742)=0,"Nothing measured","")))))</f>
        <v/>
      </c>
      <c r="P742" s="1">
        <f>IF(AND(O742="",ISNUMBER(B742)),INT(B742),0)</f>
        <v/>
      </c>
      <c r="Q742">
        <f>IF(AND(P742&gt;0,C742=Report!$C$5),P742*10000+ROW(),"")</f>
        <v/>
      </c>
      <c r="R742">
        <f>IF(AND(Q742&lt;&gt;"",ISNUMBER(D742)),Q742,"")</f>
        <v/>
      </c>
      <c r="S742">
        <f>IF(AND(Q742&lt;&gt;"",ISNUMBER(E742)),Q742,"")</f>
        <v/>
      </c>
      <c r="T742">
        <f>IF(AND(Q742&lt;&gt;"",ISNUMBER(F742)),Q742,"")</f>
        <v/>
      </c>
      <c r="U742">
        <f>IF(AND(Q742&lt;&gt;"",ISNUMBER(G742)),Q742,"")</f>
        <v/>
      </c>
      <c r="V742">
        <f>IF(AND(Q742&lt;&gt;"",ISNUMBER(H742)),Q742,"")</f>
        <v/>
      </c>
      <c r="W742">
        <f>IF(AND(Q742&lt;&gt;"",ISNUMBER(I742)),Q742,"")</f>
        <v/>
      </c>
      <c r="X742">
        <f>IF(AND(Q742&lt;&gt;"",ISNUMBER(J742)),Q742,"")</f>
        <v/>
      </c>
      <c r="Y742">
        <f>IF(AND(Q742&lt;&gt;"",ISNUMBER(K742)),Q742,"")</f>
        <v/>
      </c>
      <c r="Z742">
        <f>IF(AND(Q742&lt;&gt;"",ISNUMBER(L742)),Q742,"")</f>
        <v/>
      </c>
      <c r="AA742">
        <f>IF(AND(Q742&lt;&gt;"",ISNUMBER(M742)),Q742,"")</f>
        <v/>
      </c>
      <c r="AB742">
        <f>IF(AND(Q742&lt;&gt;"",ISNUMBER(K742)),K742,"")</f>
        <v/>
      </c>
      <c r="AC742">
        <f>IF(AND(Q742&lt;&gt;"",ISNUMBER(L742)),L742,"")</f>
        <v/>
      </c>
      <c r="AD742">
        <f>IF(AND(Q742&lt;&gt;"",ISNUMBER(M742)),M742,"")</f>
        <v/>
      </c>
    </row>
    <row r="743">
      <c r="A743" s="1" t="n"/>
      <c r="B743" s="17" t="n"/>
      <c r="C743" s="27" t="n"/>
      <c r="D743" s="2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9" t="n"/>
      <c r="N743" s="21" t="n"/>
      <c r="O743" s="12">
        <f>IF(AND(B743="",C743=""),"",IF(NOT(ISNUMBER(B743)),"Needs a date",IF(C743="","Needs a client",IF(COUNTIF(Clients!$B$6:$B$105,C743)=0,"Not on Clients",IF(COUNT(D743:M743)=0,"Nothing measured","")))))</f>
        <v/>
      </c>
      <c r="P743" s="1">
        <f>IF(AND(O743="",ISNUMBER(B743)),INT(B743),0)</f>
        <v/>
      </c>
      <c r="Q743">
        <f>IF(AND(P743&gt;0,C743=Report!$C$5),P743*10000+ROW(),"")</f>
        <v/>
      </c>
      <c r="R743">
        <f>IF(AND(Q743&lt;&gt;"",ISNUMBER(D743)),Q743,"")</f>
        <v/>
      </c>
      <c r="S743">
        <f>IF(AND(Q743&lt;&gt;"",ISNUMBER(E743)),Q743,"")</f>
        <v/>
      </c>
      <c r="T743">
        <f>IF(AND(Q743&lt;&gt;"",ISNUMBER(F743)),Q743,"")</f>
        <v/>
      </c>
      <c r="U743">
        <f>IF(AND(Q743&lt;&gt;"",ISNUMBER(G743)),Q743,"")</f>
        <v/>
      </c>
      <c r="V743">
        <f>IF(AND(Q743&lt;&gt;"",ISNUMBER(H743)),Q743,"")</f>
        <v/>
      </c>
      <c r="W743">
        <f>IF(AND(Q743&lt;&gt;"",ISNUMBER(I743)),Q743,"")</f>
        <v/>
      </c>
      <c r="X743">
        <f>IF(AND(Q743&lt;&gt;"",ISNUMBER(J743)),Q743,"")</f>
        <v/>
      </c>
      <c r="Y743">
        <f>IF(AND(Q743&lt;&gt;"",ISNUMBER(K743)),Q743,"")</f>
        <v/>
      </c>
      <c r="Z743">
        <f>IF(AND(Q743&lt;&gt;"",ISNUMBER(L743)),Q743,"")</f>
        <v/>
      </c>
      <c r="AA743">
        <f>IF(AND(Q743&lt;&gt;"",ISNUMBER(M743)),Q743,"")</f>
        <v/>
      </c>
      <c r="AB743">
        <f>IF(AND(Q743&lt;&gt;"",ISNUMBER(K743)),K743,"")</f>
        <v/>
      </c>
      <c r="AC743">
        <f>IF(AND(Q743&lt;&gt;"",ISNUMBER(L743)),L743,"")</f>
        <v/>
      </c>
      <c r="AD743">
        <f>IF(AND(Q743&lt;&gt;"",ISNUMBER(M743)),M743,"")</f>
        <v/>
      </c>
    </row>
    <row r="744">
      <c r="A744" s="1" t="n"/>
      <c r="B744" s="17" t="n"/>
      <c r="C744" s="27" t="n"/>
      <c r="D744" s="28" t="n"/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9" t="n"/>
      <c r="N744" s="21" t="n"/>
      <c r="O744" s="12">
        <f>IF(AND(B744="",C744=""),"",IF(NOT(ISNUMBER(B744)),"Needs a date",IF(C744="","Needs a client",IF(COUNTIF(Clients!$B$6:$B$105,C744)=0,"Not on Clients",IF(COUNT(D744:M744)=0,"Nothing measured","")))))</f>
        <v/>
      </c>
      <c r="P744" s="1">
        <f>IF(AND(O744="",ISNUMBER(B744)),INT(B744),0)</f>
        <v/>
      </c>
      <c r="Q744">
        <f>IF(AND(P744&gt;0,C744=Report!$C$5),P744*10000+ROW(),"")</f>
        <v/>
      </c>
      <c r="R744">
        <f>IF(AND(Q744&lt;&gt;"",ISNUMBER(D744)),Q744,"")</f>
        <v/>
      </c>
      <c r="S744">
        <f>IF(AND(Q744&lt;&gt;"",ISNUMBER(E744)),Q744,"")</f>
        <v/>
      </c>
      <c r="T744">
        <f>IF(AND(Q744&lt;&gt;"",ISNUMBER(F744)),Q744,"")</f>
        <v/>
      </c>
      <c r="U744">
        <f>IF(AND(Q744&lt;&gt;"",ISNUMBER(G744)),Q744,"")</f>
        <v/>
      </c>
      <c r="V744">
        <f>IF(AND(Q744&lt;&gt;"",ISNUMBER(H744)),Q744,"")</f>
        <v/>
      </c>
      <c r="W744">
        <f>IF(AND(Q744&lt;&gt;"",ISNUMBER(I744)),Q744,"")</f>
        <v/>
      </c>
      <c r="X744">
        <f>IF(AND(Q744&lt;&gt;"",ISNUMBER(J744)),Q744,"")</f>
        <v/>
      </c>
      <c r="Y744">
        <f>IF(AND(Q744&lt;&gt;"",ISNUMBER(K744)),Q744,"")</f>
        <v/>
      </c>
      <c r="Z744">
        <f>IF(AND(Q744&lt;&gt;"",ISNUMBER(L744)),Q744,"")</f>
        <v/>
      </c>
      <c r="AA744">
        <f>IF(AND(Q744&lt;&gt;"",ISNUMBER(M744)),Q744,"")</f>
        <v/>
      </c>
      <c r="AB744">
        <f>IF(AND(Q744&lt;&gt;"",ISNUMBER(K744)),K744,"")</f>
        <v/>
      </c>
      <c r="AC744">
        <f>IF(AND(Q744&lt;&gt;"",ISNUMBER(L744)),L744,"")</f>
        <v/>
      </c>
      <c r="AD744">
        <f>IF(AND(Q744&lt;&gt;"",ISNUMBER(M744)),M744,"")</f>
        <v/>
      </c>
    </row>
    <row r="745">
      <c r="A745" s="1" t="n"/>
      <c r="B745" s="17" t="n"/>
      <c r="C745" s="27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9" t="n"/>
      <c r="N745" s="21" t="n"/>
      <c r="O745" s="12">
        <f>IF(AND(B745="",C745=""),"",IF(NOT(ISNUMBER(B745)),"Needs a date",IF(C745="","Needs a client",IF(COUNTIF(Clients!$B$6:$B$105,C745)=0,"Not on Clients",IF(COUNT(D745:M745)=0,"Nothing measured","")))))</f>
        <v/>
      </c>
      <c r="P745" s="1">
        <f>IF(AND(O745="",ISNUMBER(B745)),INT(B745),0)</f>
        <v/>
      </c>
      <c r="Q745">
        <f>IF(AND(P745&gt;0,C745=Report!$C$5),P745*10000+ROW(),"")</f>
        <v/>
      </c>
      <c r="R745">
        <f>IF(AND(Q745&lt;&gt;"",ISNUMBER(D745)),Q745,"")</f>
        <v/>
      </c>
      <c r="S745">
        <f>IF(AND(Q745&lt;&gt;"",ISNUMBER(E745)),Q745,"")</f>
        <v/>
      </c>
      <c r="T745">
        <f>IF(AND(Q745&lt;&gt;"",ISNUMBER(F745)),Q745,"")</f>
        <v/>
      </c>
      <c r="U745">
        <f>IF(AND(Q745&lt;&gt;"",ISNUMBER(G745)),Q745,"")</f>
        <v/>
      </c>
      <c r="V745">
        <f>IF(AND(Q745&lt;&gt;"",ISNUMBER(H745)),Q745,"")</f>
        <v/>
      </c>
      <c r="W745">
        <f>IF(AND(Q745&lt;&gt;"",ISNUMBER(I745)),Q745,"")</f>
        <v/>
      </c>
      <c r="X745">
        <f>IF(AND(Q745&lt;&gt;"",ISNUMBER(J745)),Q745,"")</f>
        <v/>
      </c>
      <c r="Y745">
        <f>IF(AND(Q745&lt;&gt;"",ISNUMBER(K745)),Q745,"")</f>
        <v/>
      </c>
      <c r="Z745">
        <f>IF(AND(Q745&lt;&gt;"",ISNUMBER(L745)),Q745,"")</f>
        <v/>
      </c>
      <c r="AA745">
        <f>IF(AND(Q745&lt;&gt;"",ISNUMBER(M745)),Q745,"")</f>
        <v/>
      </c>
      <c r="AB745">
        <f>IF(AND(Q745&lt;&gt;"",ISNUMBER(K745)),K745,"")</f>
        <v/>
      </c>
      <c r="AC745">
        <f>IF(AND(Q745&lt;&gt;"",ISNUMBER(L745)),L745,"")</f>
        <v/>
      </c>
      <c r="AD745">
        <f>IF(AND(Q745&lt;&gt;"",ISNUMBER(M745)),M745,"")</f>
        <v/>
      </c>
    </row>
    <row r="746">
      <c r="A746" s="1" t="n"/>
      <c r="B746" s="17" t="n"/>
      <c r="C746" s="27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9" t="n"/>
      <c r="N746" s="21" t="n"/>
      <c r="O746" s="12">
        <f>IF(AND(B746="",C746=""),"",IF(NOT(ISNUMBER(B746)),"Needs a date",IF(C746="","Needs a client",IF(COUNTIF(Clients!$B$6:$B$105,C746)=0,"Not on Clients",IF(COUNT(D746:M746)=0,"Nothing measured","")))))</f>
        <v/>
      </c>
      <c r="P746" s="1">
        <f>IF(AND(O746="",ISNUMBER(B746)),INT(B746),0)</f>
        <v/>
      </c>
      <c r="Q746">
        <f>IF(AND(P746&gt;0,C746=Report!$C$5),P746*10000+ROW(),"")</f>
        <v/>
      </c>
      <c r="R746">
        <f>IF(AND(Q746&lt;&gt;"",ISNUMBER(D746)),Q746,"")</f>
        <v/>
      </c>
      <c r="S746">
        <f>IF(AND(Q746&lt;&gt;"",ISNUMBER(E746)),Q746,"")</f>
        <v/>
      </c>
      <c r="T746">
        <f>IF(AND(Q746&lt;&gt;"",ISNUMBER(F746)),Q746,"")</f>
        <v/>
      </c>
      <c r="U746">
        <f>IF(AND(Q746&lt;&gt;"",ISNUMBER(G746)),Q746,"")</f>
        <v/>
      </c>
      <c r="V746">
        <f>IF(AND(Q746&lt;&gt;"",ISNUMBER(H746)),Q746,"")</f>
        <v/>
      </c>
      <c r="W746">
        <f>IF(AND(Q746&lt;&gt;"",ISNUMBER(I746)),Q746,"")</f>
        <v/>
      </c>
      <c r="X746">
        <f>IF(AND(Q746&lt;&gt;"",ISNUMBER(J746)),Q746,"")</f>
        <v/>
      </c>
      <c r="Y746">
        <f>IF(AND(Q746&lt;&gt;"",ISNUMBER(K746)),Q746,"")</f>
        <v/>
      </c>
      <c r="Z746">
        <f>IF(AND(Q746&lt;&gt;"",ISNUMBER(L746)),Q746,"")</f>
        <v/>
      </c>
      <c r="AA746">
        <f>IF(AND(Q746&lt;&gt;"",ISNUMBER(M746)),Q746,"")</f>
        <v/>
      </c>
      <c r="AB746">
        <f>IF(AND(Q746&lt;&gt;"",ISNUMBER(K746)),K746,"")</f>
        <v/>
      </c>
      <c r="AC746">
        <f>IF(AND(Q746&lt;&gt;"",ISNUMBER(L746)),L746,"")</f>
        <v/>
      </c>
      <c r="AD746">
        <f>IF(AND(Q746&lt;&gt;"",ISNUMBER(M746)),M746,"")</f>
        <v/>
      </c>
    </row>
    <row r="747">
      <c r="A747" s="1" t="n"/>
      <c r="B747" s="17" t="n"/>
      <c r="C747" s="27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9" t="n"/>
      <c r="N747" s="21" t="n"/>
      <c r="O747" s="12">
        <f>IF(AND(B747="",C747=""),"",IF(NOT(ISNUMBER(B747)),"Needs a date",IF(C747="","Needs a client",IF(COUNTIF(Clients!$B$6:$B$105,C747)=0,"Not on Clients",IF(COUNT(D747:M747)=0,"Nothing measured","")))))</f>
        <v/>
      </c>
      <c r="P747" s="1">
        <f>IF(AND(O747="",ISNUMBER(B747)),INT(B747),0)</f>
        <v/>
      </c>
      <c r="Q747">
        <f>IF(AND(P747&gt;0,C747=Report!$C$5),P747*10000+ROW(),"")</f>
        <v/>
      </c>
      <c r="R747">
        <f>IF(AND(Q747&lt;&gt;"",ISNUMBER(D747)),Q747,"")</f>
        <v/>
      </c>
      <c r="S747">
        <f>IF(AND(Q747&lt;&gt;"",ISNUMBER(E747)),Q747,"")</f>
        <v/>
      </c>
      <c r="T747">
        <f>IF(AND(Q747&lt;&gt;"",ISNUMBER(F747)),Q747,"")</f>
        <v/>
      </c>
      <c r="U747">
        <f>IF(AND(Q747&lt;&gt;"",ISNUMBER(G747)),Q747,"")</f>
        <v/>
      </c>
      <c r="V747">
        <f>IF(AND(Q747&lt;&gt;"",ISNUMBER(H747)),Q747,"")</f>
        <v/>
      </c>
      <c r="W747">
        <f>IF(AND(Q747&lt;&gt;"",ISNUMBER(I747)),Q747,"")</f>
        <v/>
      </c>
      <c r="X747">
        <f>IF(AND(Q747&lt;&gt;"",ISNUMBER(J747)),Q747,"")</f>
        <v/>
      </c>
      <c r="Y747">
        <f>IF(AND(Q747&lt;&gt;"",ISNUMBER(K747)),Q747,"")</f>
        <v/>
      </c>
      <c r="Z747">
        <f>IF(AND(Q747&lt;&gt;"",ISNUMBER(L747)),Q747,"")</f>
        <v/>
      </c>
      <c r="AA747">
        <f>IF(AND(Q747&lt;&gt;"",ISNUMBER(M747)),Q747,"")</f>
        <v/>
      </c>
      <c r="AB747">
        <f>IF(AND(Q747&lt;&gt;"",ISNUMBER(K747)),K747,"")</f>
        <v/>
      </c>
      <c r="AC747">
        <f>IF(AND(Q747&lt;&gt;"",ISNUMBER(L747)),L747,"")</f>
        <v/>
      </c>
      <c r="AD747">
        <f>IF(AND(Q747&lt;&gt;"",ISNUMBER(M747)),M747,"")</f>
        <v/>
      </c>
    </row>
    <row r="748">
      <c r="A748" s="1" t="n"/>
      <c r="B748" s="17" t="n"/>
      <c r="C748" s="27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9" t="n"/>
      <c r="N748" s="21" t="n"/>
      <c r="O748" s="12">
        <f>IF(AND(B748="",C748=""),"",IF(NOT(ISNUMBER(B748)),"Needs a date",IF(C748="","Needs a client",IF(COUNTIF(Clients!$B$6:$B$105,C748)=0,"Not on Clients",IF(COUNT(D748:M748)=0,"Nothing measured","")))))</f>
        <v/>
      </c>
      <c r="P748" s="1">
        <f>IF(AND(O748="",ISNUMBER(B748)),INT(B748),0)</f>
        <v/>
      </c>
      <c r="Q748">
        <f>IF(AND(P748&gt;0,C748=Report!$C$5),P748*10000+ROW(),"")</f>
        <v/>
      </c>
      <c r="R748">
        <f>IF(AND(Q748&lt;&gt;"",ISNUMBER(D748)),Q748,"")</f>
        <v/>
      </c>
      <c r="S748">
        <f>IF(AND(Q748&lt;&gt;"",ISNUMBER(E748)),Q748,"")</f>
        <v/>
      </c>
      <c r="T748">
        <f>IF(AND(Q748&lt;&gt;"",ISNUMBER(F748)),Q748,"")</f>
        <v/>
      </c>
      <c r="U748">
        <f>IF(AND(Q748&lt;&gt;"",ISNUMBER(G748)),Q748,"")</f>
        <v/>
      </c>
      <c r="V748">
        <f>IF(AND(Q748&lt;&gt;"",ISNUMBER(H748)),Q748,"")</f>
        <v/>
      </c>
      <c r="W748">
        <f>IF(AND(Q748&lt;&gt;"",ISNUMBER(I748)),Q748,"")</f>
        <v/>
      </c>
      <c r="X748">
        <f>IF(AND(Q748&lt;&gt;"",ISNUMBER(J748)),Q748,"")</f>
        <v/>
      </c>
      <c r="Y748">
        <f>IF(AND(Q748&lt;&gt;"",ISNUMBER(K748)),Q748,"")</f>
        <v/>
      </c>
      <c r="Z748">
        <f>IF(AND(Q748&lt;&gt;"",ISNUMBER(L748)),Q748,"")</f>
        <v/>
      </c>
      <c r="AA748">
        <f>IF(AND(Q748&lt;&gt;"",ISNUMBER(M748)),Q748,"")</f>
        <v/>
      </c>
      <c r="AB748">
        <f>IF(AND(Q748&lt;&gt;"",ISNUMBER(K748)),K748,"")</f>
        <v/>
      </c>
      <c r="AC748">
        <f>IF(AND(Q748&lt;&gt;"",ISNUMBER(L748)),L748,"")</f>
        <v/>
      </c>
      <c r="AD748">
        <f>IF(AND(Q748&lt;&gt;"",ISNUMBER(M748)),M748,"")</f>
        <v/>
      </c>
    </row>
    <row r="749">
      <c r="A749" s="1" t="n"/>
      <c r="B749" s="17" t="n"/>
      <c r="C749" s="27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9" t="n"/>
      <c r="N749" s="21" t="n"/>
      <c r="O749" s="12">
        <f>IF(AND(B749="",C749=""),"",IF(NOT(ISNUMBER(B749)),"Needs a date",IF(C749="","Needs a client",IF(COUNTIF(Clients!$B$6:$B$105,C749)=0,"Not on Clients",IF(COUNT(D749:M749)=0,"Nothing measured","")))))</f>
        <v/>
      </c>
      <c r="P749" s="1">
        <f>IF(AND(O749="",ISNUMBER(B749)),INT(B749),0)</f>
        <v/>
      </c>
      <c r="Q749">
        <f>IF(AND(P749&gt;0,C749=Report!$C$5),P749*10000+ROW(),"")</f>
        <v/>
      </c>
      <c r="R749">
        <f>IF(AND(Q749&lt;&gt;"",ISNUMBER(D749)),Q749,"")</f>
        <v/>
      </c>
      <c r="S749">
        <f>IF(AND(Q749&lt;&gt;"",ISNUMBER(E749)),Q749,"")</f>
        <v/>
      </c>
      <c r="T749">
        <f>IF(AND(Q749&lt;&gt;"",ISNUMBER(F749)),Q749,"")</f>
        <v/>
      </c>
      <c r="U749">
        <f>IF(AND(Q749&lt;&gt;"",ISNUMBER(G749)),Q749,"")</f>
        <v/>
      </c>
      <c r="V749">
        <f>IF(AND(Q749&lt;&gt;"",ISNUMBER(H749)),Q749,"")</f>
        <v/>
      </c>
      <c r="W749">
        <f>IF(AND(Q749&lt;&gt;"",ISNUMBER(I749)),Q749,"")</f>
        <v/>
      </c>
      <c r="X749">
        <f>IF(AND(Q749&lt;&gt;"",ISNUMBER(J749)),Q749,"")</f>
        <v/>
      </c>
      <c r="Y749">
        <f>IF(AND(Q749&lt;&gt;"",ISNUMBER(K749)),Q749,"")</f>
        <v/>
      </c>
      <c r="Z749">
        <f>IF(AND(Q749&lt;&gt;"",ISNUMBER(L749)),Q749,"")</f>
        <v/>
      </c>
      <c r="AA749">
        <f>IF(AND(Q749&lt;&gt;"",ISNUMBER(M749)),Q749,"")</f>
        <v/>
      </c>
      <c r="AB749">
        <f>IF(AND(Q749&lt;&gt;"",ISNUMBER(K749)),K749,"")</f>
        <v/>
      </c>
      <c r="AC749">
        <f>IF(AND(Q749&lt;&gt;"",ISNUMBER(L749)),L749,"")</f>
        <v/>
      </c>
      <c r="AD749">
        <f>IF(AND(Q749&lt;&gt;"",ISNUMBER(M749)),M749,"")</f>
        <v/>
      </c>
    </row>
    <row r="750">
      <c r="A750" s="1" t="n"/>
      <c r="B750" s="17" t="n"/>
      <c r="C750" s="27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9" t="n"/>
      <c r="N750" s="21" t="n"/>
      <c r="O750" s="12">
        <f>IF(AND(B750="",C750=""),"",IF(NOT(ISNUMBER(B750)),"Needs a date",IF(C750="","Needs a client",IF(COUNTIF(Clients!$B$6:$B$105,C750)=0,"Not on Clients",IF(COUNT(D750:M750)=0,"Nothing measured","")))))</f>
        <v/>
      </c>
      <c r="P750" s="1">
        <f>IF(AND(O750="",ISNUMBER(B750)),INT(B750),0)</f>
        <v/>
      </c>
      <c r="Q750">
        <f>IF(AND(P750&gt;0,C750=Report!$C$5),P750*10000+ROW(),"")</f>
        <v/>
      </c>
      <c r="R750">
        <f>IF(AND(Q750&lt;&gt;"",ISNUMBER(D750)),Q750,"")</f>
        <v/>
      </c>
      <c r="S750">
        <f>IF(AND(Q750&lt;&gt;"",ISNUMBER(E750)),Q750,"")</f>
        <v/>
      </c>
      <c r="T750">
        <f>IF(AND(Q750&lt;&gt;"",ISNUMBER(F750)),Q750,"")</f>
        <v/>
      </c>
      <c r="U750">
        <f>IF(AND(Q750&lt;&gt;"",ISNUMBER(G750)),Q750,"")</f>
        <v/>
      </c>
      <c r="V750">
        <f>IF(AND(Q750&lt;&gt;"",ISNUMBER(H750)),Q750,"")</f>
        <v/>
      </c>
      <c r="W750">
        <f>IF(AND(Q750&lt;&gt;"",ISNUMBER(I750)),Q750,"")</f>
        <v/>
      </c>
      <c r="X750">
        <f>IF(AND(Q750&lt;&gt;"",ISNUMBER(J750)),Q750,"")</f>
        <v/>
      </c>
      <c r="Y750">
        <f>IF(AND(Q750&lt;&gt;"",ISNUMBER(K750)),Q750,"")</f>
        <v/>
      </c>
      <c r="Z750">
        <f>IF(AND(Q750&lt;&gt;"",ISNUMBER(L750)),Q750,"")</f>
        <v/>
      </c>
      <c r="AA750">
        <f>IF(AND(Q750&lt;&gt;"",ISNUMBER(M750)),Q750,"")</f>
        <v/>
      </c>
      <c r="AB750">
        <f>IF(AND(Q750&lt;&gt;"",ISNUMBER(K750)),K750,"")</f>
        <v/>
      </c>
      <c r="AC750">
        <f>IF(AND(Q750&lt;&gt;"",ISNUMBER(L750)),L750,"")</f>
        <v/>
      </c>
      <c r="AD750">
        <f>IF(AND(Q750&lt;&gt;"",ISNUMBER(M750)),M750,"")</f>
        <v/>
      </c>
    </row>
    <row r="751">
      <c r="A751" s="1" t="n"/>
      <c r="B751" s="17" t="n"/>
      <c r="C751" s="27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9" t="n"/>
      <c r="N751" s="21" t="n"/>
      <c r="O751" s="12">
        <f>IF(AND(B751="",C751=""),"",IF(NOT(ISNUMBER(B751)),"Needs a date",IF(C751="","Needs a client",IF(COUNTIF(Clients!$B$6:$B$105,C751)=0,"Not on Clients",IF(COUNT(D751:M751)=0,"Nothing measured","")))))</f>
        <v/>
      </c>
      <c r="P751" s="1">
        <f>IF(AND(O751="",ISNUMBER(B751)),INT(B751),0)</f>
        <v/>
      </c>
      <c r="Q751">
        <f>IF(AND(P751&gt;0,C751=Report!$C$5),P751*10000+ROW(),"")</f>
        <v/>
      </c>
      <c r="R751">
        <f>IF(AND(Q751&lt;&gt;"",ISNUMBER(D751)),Q751,"")</f>
        <v/>
      </c>
      <c r="S751">
        <f>IF(AND(Q751&lt;&gt;"",ISNUMBER(E751)),Q751,"")</f>
        <v/>
      </c>
      <c r="T751">
        <f>IF(AND(Q751&lt;&gt;"",ISNUMBER(F751)),Q751,"")</f>
        <v/>
      </c>
      <c r="U751">
        <f>IF(AND(Q751&lt;&gt;"",ISNUMBER(G751)),Q751,"")</f>
        <v/>
      </c>
      <c r="V751">
        <f>IF(AND(Q751&lt;&gt;"",ISNUMBER(H751)),Q751,"")</f>
        <v/>
      </c>
      <c r="W751">
        <f>IF(AND(Q751&lt;&gt;"",ISNUMBER(I751)),Q751,"")</f>
        <v/>
      </c>
      <c r="X751">
        <f>IF(AND(Q751&lt;&gt;"",ISNUMBER(J751)),Q751,"")</f>
        <v/>
      </c>
      <c r="Y751">
        <f>IF(AND(Q751&lt;&gt;"",ISNUMBER(K751)),Q751,"")</f>
        <v/>
      </c>
      <c r="Z751">
        <f>IF(AND(Q751&lt;&gt;"",ISNUMBER(L751)),Q751,"")</f>
        <v/>
      </c>
      <c r="AA751">
        <f>IF(AND(Q751&lt;&gt;"",ISNUMBER(M751)),Q751,"")</f>
        <v/>
      </c>
      <c r="AB751">
        <f>IF(AND(Q751&lt;&gt;"",ISNUMBER(K751)),K751,"")</f>
        <v/>
      </c>
      <c r="AC751">
        <f>IF(AND(Q751&lt;&gt;"",ISNUMBER(L751)),L751,"")</f>
        <v/>
      </c>
      <c r="AD751">
        <f>IF(AND(Q751&lt;&gt;"",ISNUMBER(M751)),M751,"")</f>
        <v/>
      </c>
    </row>
    <row r="752">
      <c r="A752" s="1" t="n"/>
      <c r="B752" s="17" t="n"/>
      <c r="C752" s="27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9" t="n"/>
      <c r="N752" s="21" t="n"/>
      <c r="O752" s="12">
        <f>IF(AND(B752="",C752=""),"",IF(NOT(ISNUMBER(B752)),"Needs a date",IF(C752="","Needs a client",IF(COUNTIF(Clients!$B$6:$B$105,C752)=0,"Not on Clients",IF(COUNT(D752:M752)=0,"Nothing measured","")))))</f>
        <v/>
      </c>
      <c r="P752" s="1">
        <f>IF(AND(O752="",ISNUMBER(B752)),INT(B752),0)</f>
        <v/>
      </c>
      <c r="Q752">
        <f>IF(AND(P752&gt;0,C752=Report!$C$5),P752*10000+ROW(),"")</f>
        <v/>
      </c>
      <c r="R752">
        <f>IF(AND(Q752&lt;&gt;"",ISNUMBER(D752)),Q752,"")</f>
        <v/>
      </c>
      <c r="S752">
        <f>IF(AND(Q752&lt;&gt;"",ISNUMBER(E752)),Q752,"")</f>
        <v/>
      </c>
      <c r="T752">
        <f>IF(AND(Q752&lt;&gt;"",ISNUMBER(F752)),Q752,"")</f>
        <v/>
      </c>
      <c r="U752">
        <f>IF(AND(Q752&lt;&gt;"",ISNUMBER(G752)),Q752,"")</f>
        <v/>
      </c>
      <c r="V752">
        <f>IF(AND(Q752&lt;&gt;"",ISNUMBER(H752)),Q752,"")</f>
        <v/>
      </c>
      <c r="W752">
        <f>IF(AND(Q752&lt;&gt;"",ISNUMBER(I752)),Q752,"")</f>
        <v/>
      </c>
      <c r="X752">
        <f>IF(AND(Q752&lt;&gt;"",ISNUMBER(J752)),Q752,"")</f>
        <v/>
      </c>
      <c r="Y752">
        <f>IF(AND(Q752&lt;&gt;"",ISNUMBER(K752)),Q752,"")</f>
        <v/>
      </c>
      <c r="Z752">
        <f>IF(AND(Q752&lt;&gt;"",ISNUMBER(L752)),Q752,"")</f>
        <v/>
      </c>
      <c r="AA752">
        <f>IF(AND(Q752&lt;&gt;"",ISNUMBER(M752)),Q752,"")</f>
        <v/>
      </c>
      <c r="AB752">
        <f>IF(AND(Q752&lt;&gt;"",ISNUMBER(K752)),K752,"")</f>
        <v/>
      </c>
      <c r="AC752">
        <f>IF(AND(Q752&lt;&gt;"",ISNUMBER(L752)),L752,"")</f>
        <v/>
      </c>
      <c r="AD752">
        <f>IF(AND(Q752&lt;&gt;"",ISNUMBER(M752)),M752,"")</f>
        <v/>
      </c>
    </row>
    <row r="753">
      <c r="A753" s="1" t="n"/>
      <c r="B753" s="17" t="n"/>
      <c r="C753" s="27" t="n"/>
      <c r="D753" s="28" t="n"/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9" t="n"/>
      <c r="N753" s="21" t="n"/>
      <c r="O753" s="12">
        <f>IF(AND(B753="",C753=""),"",IF(NOT(ISNUMBER(B753)),"Needs a date",IF(C753="","Needs a client",IF(COUNTIF(Clients!$B$6:$B$105,C753)=0,"Not on Clients",IF(COUNT(D753:M753)=0,"Nothing measured","")))))</f>
        <v/>
      </c>
      <c r="P753" s="1">
        <f>IF(AND(O753="",ISNUMBER(B753)),INT(B753),0)</f>
        <v/>
      </c>
      <c r="Q753">
        <f>IF(AND(P753&gt;0,C753=Report!$C$5),P753*10000+ROW(),"")</f>
        <v/>
      </c>
      <c r="R753">
        <f>IF(AND(Q753&lt;&gt;"",ISNUMBER(D753)),Q753,"")</f>
        <v/>
      </c>
      <c r="S753">
        <f>IF(AND(Q753&lt;&gt;"",ISNUMBER(E753)),Q753,"")</f>
        <v/>
      </c>
      <c r="T753">
        <f>IF(AND(Q753&lt;&gt;"",ISNUMBER(F753)),Q753,"")</f>
        <v/>
      </c>
      <c r="U753">
        <f>IF(AND(Q753&lt;&gt;"",ISNUMBER(G753)),Q753,"")</f>
        <v/>
      </c>
      <c r="V753">
        <f>IF(AND(Q753&lt;&gt;"",ISNUMBER(H753)),Q753,"")</f>
        <v/>
      </c>
      <c r="W753">
        <f>IF(AND(Q753&lt;&gt;"",ISNUMBER(I753)),Q753,"")</f>
        <v/>
      </c>
      <c r="X753">
        <f>IF(AND(Q753&lt;&gt;"",ISNUMBER(J753)),Q753,"")</f>
        <v/>
      </c>
      <c r="Y753">
        <f>IF(AND(Q753&lt;&gt;"",ISNUMBER(K753)),Q753,"")</f>
        <v/>
      </c>
      <c r="Z753">
        <f>IF(AND(Q753&lt;&gt;"",ISNUMBER(L753)),Q753,"")</f>
        <v/>
      </c>
      <c r="AA753">
        <f>IF(AND(Q753&lt;&gt;"",ISNUMBER(M753)),Q753,"")</f>
        <v/>
      </c>
      <c r="AB753">
        <f>IF(AND(Q753&lt;&gt;"",ISNUMBER(K753)),K753,"")</f>
        <v/>
      </c>
      <c r="AC753">
        <f>IF(AND(Q753&lt;&gt;"",ISNUMBER(L753)),L753,"")</f>
        <v/>
      </c>
      <c r="AD753">
        <f>IF(AND(Q753&lt;&gt;"",ISNUMBER(M753)),M753,"")</f>
        <v/>
      </c>
    </row>
    <row r="754">
      <c r="A754" s="1" t="n"/>
      <c r="B754" s="17" t="n"/>
      <c r="C754" s="27" t="n"/>
      <c r="D754" s="28" t="n"/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9" t="n"/>
      <c r="N754" s="21" t="n"/>
      <c r="O754" s="12">
        <f>IF(AND(B754="",C754=""),"",IF(NOT(ISNUMBER(B754)),"Needs a date",IF(C754="","Needs a client",IF(COUNTIF(Clients!$B$6:$B$105,C754)=0,"Not on Clients",IF(COUNT(D754:M754)=0,"Nothing measured","")))))</f>
        <v/>
      </c>
      <c r="P754" s="1">
        <f>IF(AND(O754="",ISNUMBER(B754)),INT(B754),0)</f>
        <v/>
      </c>
      <c r="Q754">
        <f>IF(AND(P754&gt;0,C754=Report!$C$5),P754*10000+ROW(),"")</f>
        <v/>
      </c>
      <c r="R754">
        <f>IF(AND(Q754&lt;&gt;"",ISNUMBER(D754)),Q754,"")</f>
        <v/>
      </c>
      <c r="S754">
        <f>IF(AND(Q754&lt;&gt;"",ISNUMBER(E754)),Q754,"")</f>
        <v/>
      </c>
      <c r="T754">
        <f>IF(AND(Q754&lt;&gt;"",ISNUMBER(F754)),Q754,"")</f>
        <v/>
      </c>
      <c r="U754">
        <f>IF(AND(Q754&lt;&gt;"",ISNUMBER(G754)),Q754,"")</f>
        <v/>
      </c>
      <c r="V754">
        <f>IF(AND(Q754&lt;&gt;"",ISNUMBER(H754)),Q754,"")</f>
        <v/>
      </c>
      <c r="W754">
        <f>IF(AND(Q754&lt;&gt;"",ISNUMBER(I754)),Q754,"")</f>
        <v/>
      </c>
      <c r="X754">
        <f>IF(AND(Q754&lt;&gt;"",ISNUMBER(J754)),Q754,"")</f>
        <v/>
      </c>
      <c r="Y754">
        <f>IF(AND(Q754&lt;&gt;"",ISNUMBER(K754)),Q754,"")</f>
        <v/>
      </c>
      <c r="Z754">
        <f>IF(AND(Q754&lt;&gt;"",ISNUMBER(L754)),Q754,"")</f>
        <v/>
      </c>
      <c r="AA754">
        <f>IF(AND(Q754&lt;&gt;"",ISNUMBER(M754)),Q754,"")</f>
        <v/>
      </c>
      <c r="AB754">
        <f>IF(AND(Q754&lt;&gt;"",ISNUMBER(K754)),K754,"")</f>
        <v/>
      </c>
      <c r="AC754">
        <f>IF(AND(Q754&lt;&gt;"",ISNUMBER(L754)),L754,"")</f>
        <v/>
      </c>
      <c r="AD754">
        <f>IF(AND(Q754&lt;&gt;"",ISNUMBER(M754)),M754,"")</f>
        <v/>
      </c>
    </row>
    <row r="755">
      <c r="A755" s="1" t="n"/>
      <c r="B755" s="17" t="n"/>
      <c r="C755" s="27" t="n"/>
      <c r="D755" s="28" t="n"/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9" t="n"/>
      <c r="N755" s="21" t="n"/>
      <c r="O755" s="12">
        <f>IF(AND(B755="",C755=""),"",IF(NOT(ISNUMBER(B755)),"Needs a date",IF(C755="","Needs a client",IF(COUNTIF(Clients!$B$6:$B$105,C755)=0,"Not on Clients",IF(COUNT(D755:M755)=0,"Nothing measured","")))))</f>
        <v/>
      </c>
      <c r="P755" s="1">
        <f>IF(AND(O755="",ISNUMBER(B755)),INT(B755),0)</f>
        <v/>
      </c>
      <c r="Q755">
        <f>IF(AND(P755&gt;0,C755=Report!$C$5),P755*10000+ROW(),"")</f>
        <v/>
      </c>
      <c r="R755">
        <f>IF(AND(Q755&lt;&gt;"",ISNUMBER(D755)),Q755,"")</f>
        <v/>
      </c>
      <c r="S755">
        <f>IF(AND(Q755&lt;&gt;"",ISNUMBER(E755)),Q755,"")</f>
        <v/>
      </c>
      <c r="T755">
        <f>IF(AND(Q755&lt;&gt;"",ISNUMBER(F755)),Q755,"")</f>
        <v/>
      </c>
      <c r="U755">
        <f>IF(AND(Q755&lt;&gt;"",ISNUMBER(G755)),Q755,"")</f>
        <v/>
      </c>
      <c r="V755">
        <f>IF(AND(Q755&lt;&gt;"",ISNUMBER(H755)),Q755,"")</f>
        <v/>
      </c>
      <c r="W755">
        <f>IF(AND(Q755&lt;&gt;"",ISNUMBER(I755)),Q755,"")</f>
        <v/>
      </c>
      <c r="X755">
        <f>IF(AND(Q755&lt;&gt;"",ISNUMBER(J755)),Q755,"")</f>
        <v/>
      </c>
      <c r="Y755">
        <f>IF(AND(Q755&lt;&gt;"",ISNUMBER(K755)),Q755,"")</f>
        <v/>
      </c>
      <c r="Z755">
        <f>IF(AND(Q755&lt;&gt;"",ISNUMBER(L755)),Q755,"")</f>
        <v/>
      </c>
      <c r="AA755">
        <f>IF(AND(Q755&lt;&gt;"",ISNUMBER(M755)),Q755,"")</f>
        <v/>
      </c>
      <c r="AB755">
        <f>IF(AND(Q755&lt;&gt;"",ISNUMBER(K755)),K755,"")</f>
        <v/>
      </c>
      <c r="AC755">
        <f>IF(AND(Q755&lt;&gt;"",ISNUMBER(L755)),L755,"")</f>
        <v/>
      </c>
      <c r="AD755">
        <f>IF(AND(Q755&lt;&gt;"",ISNUMBER(M755)),M755,"")</f>
        <v/>
      </c>
    </row>
    <row r="756">
      <c r="A756" s="1" t="n"/>
      <c r="B756" s="17" t="n"/>
      <c r="C756" s="27" t="n"/>
      <c r="D756" s="28" t="n"/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9" t="n"/>
      <c r="N756" s="21" t="n"/>
      <c r="O756" s="12">
        <f>IF(AND(B756="",C756=""),"",IF(NOT(ISNUMBER(B756)),"Needs a date",IF(C756="","Needs a client",IF(COUNTIF(Clients!$B$6:$B$105,C756)=0,"Not on Clients",IF(COUNT(D756:M756)=0,"Nothing measured","")))))</f>
        <v/>
      </c>
      <c r="P756" s="1">
        <f>IF(AND(O756="",ISNUMBER(B756)),INT(B756),0)</f>
        <v/>
      </c>
      <c r="Q756">
        <f>IF(AND(P756&gt;0,C756=Report!$C$5),P756*10000+ROW(),"")</f>
        <v/>
      </c>
      <c r="R756">
        <f>IF(AND(Q756&lt;&gt;"",ISNUMBER(D756)),Q756,"")</f>
        <v/>
      </c>
      <c r="S756">
        <f>IF(AND(Q756&lt;&gt;"",ISNUMBER(E756)),Q756,"")</f>
        <v/>
      </c>
      <c r="T756">
        <f>IF(AND(Q756&lt;&gt;"",ISNUMBER(F756)),Q756,"")</f>
        <v/>
      </c>
      <c r="U756">
        <f>IF(AND(Q756&lt;&gt;"",ISNUMBER(G756)),Q756,"")</f>
        <v/>
      </c>
      <c r="V756">
        <f>IF(AND(Q756&lt;&gt;"",ISNUMBER(H756)),Q756,"")</f>
        <v/>
      </c>
      <c r="W756">
        <f>IF(AND(Q756&lt;&gt;"",ISNUMBER(I756)),Q756,"")</f>
        <v/>
      </c>
      <c r="X756">
        <f>IF(AND(Q756&lt;&gt;"",ISNUMBER(J756)),Q756,"")</f>
        <v/>
      </c>
      <c r="Y756">
        <f>IF(AND(Q756&lt;&gt;"",ISNUMBER(K756)),Q756,"")</f>
        <v/>
      </c>
      <c r="Z756">
        <f>IF(AND(Q756&lt;&gt;"",ISNUMBER(L756)),Q756,"")</f>
        <v/>
      </c>
      <c r="AA756">
        <f>IF(AND(Q756&lt;&gt;"",ISNUMBER(M756)),Q756,"")</f>
        <v/>
      </c>
      <c r="AB756">
        <f>IF(AND(Q756&lt;&gt;"",ISNUMBER(K756)),K756,"")</f>
        <v/>
      </c>
      <c r="AC756">
        <f>IF(AND(Q756&lt;&gt;"",ISNUMBER(L756)),L756,"")</f>
        <v/>
      </c>
      <c r="AD756">
        <f>IF(AND(Q756&lt;&gt;"",ISNUMBER(M756)),M756,"")</f>
        <v/>
      </c>
    </row>
    <row r="757">
      <c r="A757" s="1" t="n"/>
      <c r="B757" s="17" t="n"/>
      <c r="C757" s="27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9" t="n"/>
      <c r="N757" s="21" t="n"/>
      <c r="O757" s="12">
        <f>IF(AND(B757="",C757=""),"",IF(NOT(ISNUMBER(B757)),"Needs a date",IF(C757="","Needs a client",IF(COUNTIF(Clients!$B$6:$B$105,C757)=0,"Not on Clients",IF(COUNT(D757:M757)=0,"Nothing measured","")))))</f>
        <v/>
      </c>
      <c r="P757" s="1">
        <f>IF(AND(O757="",ISNUMBER(B757)),INT(B757),0)</f>
        <v/>
      </c>
      <c r="Q757">
        <f>IF(AND(P757&gt;0,C757=Report!$C$5),P757*10000+ROW(),"")</f>
        <v/>
      </c>
      <c r="R757">
        <f>IF(AND(Q757&lt;&gt;"",ISNUMBER(D757)),Q757,"")</f>
        <v/>
      </c>
      <c r="S757">
        <f>IF(AND(Q757&lt;&gt;"",ISNUMBER(E757)),Q757,"")</f>
        <v/>
      </c>
      <c r="T757">
        <f>IF(AND(Q757&lt;&gt;"",ISNUMBER(F757)),Q757,"")</f>
        <v/>
      </c>
      <c r="U757">
        <f>IF(AND(Q757&lt;&gt;"",ISNUMBER(G757)),Q757,"")</f>
        <v/>
      </c>
      <c r="V757">
        <f>IF(AND(Q757&lt;&gt;"",ISNUMBER(H757)),Q757,"")</f>
        <v/>
      </c>
      <c r="W757">
        <f>IF(AND(Q757&lt;&gt;"",ISNUMBER(I757)),Q757,"")</f>
        <v/>
      </c>
      <c r="X757">
        <f>IF(AND(Q757&lt;&gt;"",ISNUMBER(J757)),Q757,"")</f>
        <v/>
      </c>
      <c r="Y757">
        <f>IF(AND(Q757&lt;&gt;"",ISNUMBER(K757)),Q757,"")</f>
        <v/>
      </c>
      <c r="Z757">
        <f>IF(AND(Q757&lt;&gt;"",ISNUMBER(L757)),Q757,"")</f>
        <v/>
      </c>
      <c r="AA757">
        <f>IF(AND(Q757&lt;&gt;"",ISNUMBER(M757)),Q757,"")</f>
        <v/>
      </c>
      <c r="AB757">
        <f>IF(AND(Q757&lt;&gt;"",ISNUMBER(K757)),K757,"")</f>
        <v/>
      </c>
      <c r="AC757">
        <f>IF(AND(Q757&lt;&gt;"",ISNUMBER(L757)),L757,"")</f>
        <v/>
      </c>
      <c r="AD757">
        <f>IF(AND(Q757&lt;&gt;"",ISNUMBER(M757)),M757,"")</f>
        <v/>
      </c>
    </row>
    <row r="758">
      <c r="A758" s="1" t="n"/>
      <c r="B758" s="17" t="n"/>
      <c r="C758" s="27" t="n"/>
      <c r="D758" s="28" t="n"/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9" t="n"/>
      <c r="N758" s="21" t="n"/>
      <c r="O758" s="12">
        <f>IF(AND(B758="",C758=""),"",IF(NOT(ISNUMBER(B758)),"Needs a date",IF(C758="","Needs a client",IF(COUNTIF(Clients!$B$6:$B$105,C758)=0,"Not on Clients",IF(COUNT(D758:M758)=0,"Nothing measured","")))))</f>
        <v/>
      </c>
      <c r="P758" s="1">
        <f>IF(AND(O758="",ISNUMBER(B758)),INT(B758),0)</f>
        <v/>
      </c>
      <c r="Q758">
        <f>IF(AND(P758&gt;0,C758=Report!$C$5),P758*10000+ROW(),"")</f>
        <v/>
      </c>
      <c r="R758">
        <f>IF(AND(Q758&lt;&gt;"",ISNUMBER(D758)),Q758,"")</f>
        <v/>
      </c>
      <c r="S758">
        <f>IF(AND(Q758&lt;&gt;"",ISNUMBER(E758)),Q758,"")</f>
        <v/>
      </c>
      <c r="T758">
        <f>IF(AND(Q758&lt;&gt;"",ISNUMBER(F758)),Q758,"")</f>
        <v/>
      </c>
      <c r="U758">
        <f>IF(AND(Q758&lt;&gt;"",ISNUMBER(G758)),Q758,"")</f>
        <v/>
      </c>
      <c r="V758">
        <f>IF(AND(Q758&lt;&gt;"",ISNUMBER(H758)),Q758,"")</f>
        <v/>
      </c>
      <c r="W758">
        <f>IF(AND(Q758&lt;&gt;"",ISNUMBER(I758)),Q758,"")</f>
        <v/>
      </c>
      <c r="X758">
        <f>IF(AND(Q758&lt;&gt;"",ISNUMBER(J758)),Q758,"")</f>
        <v/>
      </c>
      <c r="Y758">
        <f>IF(AND(Q758&lt;&gt;"",ISNUMBER(K758)),Q758,"")</f>
        <v/>
      </c>
      <c r="Z758">
        <f>IF(AND(Q758&lt;&gt;"",ISNUMBER(L758)),Q758,"")</f>
        <v/>
      </c>
      <c r="AA758">
        <f>IF(AND(Q758&lt;&gt;"",ISNUMBER(M758)),Q758,"")</f>
        <v/>
      </c>
      <c r="AB758">
        <f>IF(AND(Q758&lt;&gt;"",ISNUMBER(K758)),K758,"")</f>
        <v/>
      </c>
      <c r="AC758">
        <f>IF(AND(Q758&lt;&gt;"",ISNUMBER(L758)),L758,"")</f>
        <v/>
      </c>
      <c r="AD758">
        <f>IF(AND(Q758&lt;&gt;"",ISNUMBER(M758)),M758,"")</f>
        <v/>
      </c>
    </row>
    <row r="759">
      <c r="A759" s="1" t="n"/>
      <c r="B759" s="17" t="n"/>
      <c r="C759" s="27" t="n"/>
      <c r="D759" s="28" t="n"/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9" t="n"/>
      <c r="N759" s="21" t="n"/>
      <c r="O759" s="12">
        <f>IF(AND(B759="",C759=""),"",IF(NOT(ISNUMBER(B759)),"Needs a date",IF(C759="","Needs a client",IF(COUNTIF(Clients!$B$6:$B$105,C759)=0,"Not on Clients",IF(COUNT(D759:M759)=0,"Nothing measured","")))))</f>
        <v/>
      </c>
      <c r="P759" s="1">
        <f>IF(AND(O759="",ISNUMBER(B759)),INT(B759),0)</f>
        <v/>
      </c>
      <c r="Q759">
        <f>IF(AND(P759&gt;0,C759=Report!$C$5),P759*10000+ROW(),"")</f>
        <v/>
      </c>
      <c r="R759">
        <f>IF(AND(Q759&lt;&gt;"",ISNUMBER(D759)),Q759,"")</f>
        <v/>
      </c>
      <c r="S759">
        <f>IF(AND(Q759&lt;&gt;"",ISNUMBER(E759)),Q759,"")</f>
        <v/>
      </c>
      <c r="T759">
        <f>IF(AND(Q759&lt;&gt;"",ISNUMBER(F759)),Q759,"")</f>
        <v/>
      </c>
      <c r="U759">
        <f>IF(AND(Q759&lt;&gt;"",ISNUMBER(G759)),Q759,"")</f>
        <v/>
      </c>
      <c r="V759">
        <f>IF(AND(Q759&lt;&gt;"",ISNUMBER(H759)),Q759,"")</f>
        <v/>
      </c>
      <c r="W759">
        <f>IF(AND(Q759&lt;&gt;"",ISNUMBER(I759)),Q759,"")</f>
        <v/>
      </c>
      <c r="X759">
        <f>IF(AND(Q759&lt;&gt;"",ISNUMBER(J759)),Q759,"")</f>
        <v/>
      </c>
      <c r="Y759">
        <f>IF(AND(Q759&lt;&gt;"",ISNUMBER(K759)),Q759,"")</f>
        <v/>
      </c>
      <c r="Z759">
        <f>IF(AND(Q759&lt;&gt;"",ISNUMBER(L759)),Q759,"")</f>
        <v/>
      </c>
      <c r="AA759">
        <f>IF(AND(Q759&lt;&gt;"",ISNUMBER(M759)),Q759,"")</f>
        <v/>
      </c>
      <c r="AB759">
        <f>IF(AND(Q759&lt;&gt;"",ISNUMBER(K759)),K759,"")</f>
        <v/>
      </c>
      <c r="AC759">
        <f>IF(AND(Q759&lt;&gt;"",ISNUMBER(L759)),L759,"")</f>
        <v/>
      </c>
      <c r="AD759">
        <f>IF(AND(Q759&lt;&gt;"",ISNUMBER(M759)),M759,"")</f>
        <v/>
      </c>
    </row>
    <row r="760">
      <c r="A760" s="1" t="n"/>
      <c r="B760" s="17" t="n"/>
      <c r="C760" s="27" t="n"/>
      <c r="D760" s="28" t="n"/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9" t="n"/>
      <c r="N760" s="21" t="n"/>
      <c r="O760" s="12">
        <f>IF(AND(B760="",C760=""),"",IF(NOT(ISNUMBER(B760)),"Needs a date",IF(C760="","Needs a client",IF(COUNTIF(Clients!$B$6:$B$105,C760)=0,"Not on Clients",IF(COUNT(D760:M760)=0,"Nothing measured","")))))</f>
        <v/>
      </c>
      <c r="P760" s="1">
        <f>IF(AND(O760="",ISNUMBER(B760)),INT(B760),0)</f>
        <v/>
      </c>
      <c r="Q760">
        <f>IF(AND(P760&gt;0,C760=Report!$C$5),P760*10000+ROW(),"")</f>
        <v/>
      </c>
      <c r="R760">
        <f>IF(AND(Q760&lt;&gt;"",ISNUMBER(D760)),Q760,"")</f>
        <v/>
      </c>
      <c r="S760">
        <f>IF(AND(Q760&lt;&gt;"",ISNUMBER(E760)),Q760,"")</f>
        <v/>
      </c>
      <c r="T760">
        <f>IF(AND(Q760&lt;&gt;"",ISNUMBER(F760)),Q760,"")</f>
        <v/>
      </c>
      <c r="U760">
        <f>IF(AND(Q760&lt;&gt;"",ISNUMBER(G760)),Q760,"")</f>
        <v/>
      </c>
      <c r="V760">
        <f>IF(AND(Q760&lt;&gt;"",ISNUMBER(H760)),Q760,"")</f>
        <v/>
      </c>
      <c r="W760">
        <f>IF(AND(Q760&lt;&gt;"",ISNUMBER(I760)),Q760,"")</f>
        <v/>
      </c>
      <c r="X760">
        <f>IF(AND(Q760&lt;&gt;"",ISNUMBER(J760)),Q760,"")</f>
        <v/>
      </c>
      <c r="Y760">
        <f>IF(AND(Q760&lt;&gt;"",ISNUMBER(K760)),Q760,"")</f>
        <v/>
      </c>
      <c r="Z760">
        <f>IF(AND(Q760&lt;&gt;"",ISNUMBER(L760)),Q760,"")</f>
        <v/>
      </c>
      <c r="AA760">
        <f>IF(AND(Q760&lt;&gt;"",ISNUMBER(M760)),Q760,"")</f>
        <v/>
      </c>
      <c r="AB760">
        <f>IF(AND(Q760&lt;&gt;"",ISNUMBER(K760)),K760,"")</f>
        <v/>
      </c>
      <c r="AC760">
        <f>IF(AND(Q760&lt;&gt;"",ISNUMBER(L760)),L760,"")</f>
        <v/>
      </c>
      <c r="AD760">
        <f>IF(AND(Q760&lt;&gt;"",ISNUMBER(M760)),M760,"")</f>
        <v/>
      </c>
    </row>
    <row r="761">
      <c r="A761" s="1" t="n"/>
      <c r="B761" s="17" t="n"/>
      <c r="C761" s="27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9" t="n"/>
      <c r="N761" s="21" t="n"/>
      <c r="O761" s="12">
        <f>IF(AND(B761="",C761=""),"",IF(NOT(ISNUMBER(B761)),"Needs a date",IF(C761="","Needs a client",IF(COUNTIF(Clients!$B$6:$B$105,C761)=0,"Not on Clients",IF(COUNT(D761:M761)=0,"Nothing measured","")))))</f>
        <v/>
      </c>
      <c r="P761" s="1">
        <f>IF(AND(O761="",ISNUMBER(B761)),INT(B761),0)</f>
        <v/>
      </c>
      <c r="Q761">
        <f>IF(AND(P761&gt;0,C761=Report!$C$5),P761*10000+ROW(),"")</f>
        <v/>
      </c>
      <c r="R761">
        <f>IF(AND(Q761&lt;&gt;"",ISNUMBER(D761)),Q761,"")</f>
        <v/>
      </c>
      <c r="S761">
        <f>IF(AND(Q761&lt;&gt;"",ISNUMBER(E761)),Q761,"")</f>
        <v/>
      </c>
      <c r="T761">
        <f>IF(AND(Q761&lt;&gt;"",ISNUMBER(F761)),Q761,"")</f>
        <v/>
      </c>
      <c r="U761">
        <f>IF(AND(Q761&lt;&gt;"",ISNUMBER(G761)),Q761,"")</f>
        <v/>
      </c>
      <c r="V761">
        <f>IF(AND(Q761&lt;&gt;"",ISNUMBER(H761)),Q761,"")</f>
        <v/>
      </c>
      <c r="W761">
        <f>IF(AND(Q761&lt;&gt;"",ISNUMBER(I761)),Q761,"")</f>
        <v/>
      </c>
      <c r="X761">
        <f>IF(AND(Q761&lt;&gt;"",ISNUMBER(J761)),Q761,"")</f>
        <v/>
      </c>
      <c r="Y761">
        <f>IF(AND(Q761&lt;&gt;"",ISNUMBER(K761)),Q761,"")</f>
        <v/>
      </c>
      <c r="Z761">
        <f>IF(AND(Q761&lt;&gt;"",ISNUMBER(L761)),Q761,"")</f>
        <v/>
      </c>
      <c r="AA761">
        <f>IF(AND(Q761&lt;&gt;"",ISNUMBER(M761)),Q761,"")</f>
        <v/>
      </c>
      <c r="AB761">
        <f>IF(AND(Q761&lt;&gt;"",ISNUMBER(K761)),K761,"")</f>
        <v/>
      </c>
      <c r="AC761">
        <f>IF(AND(Q761&lt;&gt;"",ISNUMBER(L761)),L761,"")</f>
        <v/>
      </c>
      <c r="AD761">
        <f>IF(AND(Q761&lt;&gt;"",ISNUMBER(M761)),M761,"")</f>
        <v/>
      </c>
    </row>
    <row r="762">
      <c r="A762" s="1" t="n"/>
      <c r="B762" s="17" t="n"/>
      <c r="C762" s="27" t="n"/>
      <c r="D762" s="28" t="n"/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9" t="n"/>
      <c r="N762" s="21" t="n"/>
      <c r="O762" s="12">
        <f>IF(AND(B762="",C762=""),"",IF(NOT(ISNUMBER(B762)),"Needs a date",IF(C762="","Needs a client",IF(COUNTIF(Clients!$B$6:$B$105,C762)=0,"Not on Clients",IF(COUNT(D762:M762)=0,"Nothing measured","")))))</f>
        <v/>
      </c>
      <c r="P762" s="1">
        <f>IF(AND(O762="",ISNUMBER(B762)),INT(B762),0)</f>
        <v/>
      </c>
      <c r="Q762">
        <f>IF(AND(P762&gt;0,C762=Report!$C$5),P762*10000+ROW(),"")</f>
        <v/>
      </c>
      <c r="R762">
        <f>IF(AND(Q762&lt;&gt;"",ISNUMBER(D762)),Q762,"")</f>
        <v/>
      </c>
      <c r="S762">
        <f>IF(AND(Q762&lt;&gt;"",ISNUMBER(E762)),Q762,"")</f>
        <v/>
      </c>
      <c r="T762">
        <f>IF(AND(Q762&lt;&gt;"",ISNUMBER(F762)),Q762,"")</f>
        <v/>
      </c>
      <c r="U762">
        <f>IF(AND(Q762&lt;&gt;"",ISNUMBER(G762)),Q762,"")</f>
        <v/>
      </c>
      <c r="V762">
        <f>IF(AND(Q762&lt;&gt;"",ISNUMBER(H762)),Q762,"")</f>
        <v/>
      </c>
      <c r="W762">
        <f>IF(AND(Q762&lt;&gt;"",ISNUMBER(I762)),Q762,"")</f>
        <v/>
      </c>
      <c r="X762">
        <f>IF(AND(Q762&lt;&gt;"",ISNUMBER(J762)),Q762,"")</f>
        <v/>
      </c>
      <c r="Y762">
        <f>IF(AND(Q762&lt;&gt;"",ISNUMBER(K762)),Q762,"")</f>
        <v/>
      </c>
      <c r="Z762">
        <f>IF(AND(Q762&lt;&gt;"",ISNUMBER(L762)),Q762,"")</f>
        <v/>
      </c>
      <c r="AA762">
        <f>IF(AND(Q762&lt;&gt;"",ISNUMBER(M762)),Q762,"")</f>
        <v/>
      </c>
      <c r="AB762">
        <f>IF(AND(Q762&lt;&gt;"",ISNUMBER(K762)),K762,"")</f>
        <v/>
      </c>
      <c r="AC762">
        <f>IF(AND(Q762&lt;&gt;"",ISNUMBER(L762)),L762,"")</f>
        <v/>
      </c>
      <c r="AD762">
        <f>IF(AND(Q762&lt;&gt;"",ISNUMBER(M762)),M762,"")</f>
        <v/>
      </c>
    </row>
    <row r="763">
      <c r="A763" s="1" t="n"/>
      <c r="B763" s="17" t="n"/>
      <c r="C763" s="27" t="n"/>
      <c r="D763" s="28" t="n"/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9" t="n"/>
      <c r="N763" s="21" t="n"/>
      <c r="O763" s="12">
        <f>IF(AND(B763="",C763=""),"",IF(NOT(ISNUMBER(B763)),"Needs a date",IF(C763="","Needs a client",IF(COUNTIF(Clients!$B$6:$B$105,C763)=0,"Not on Clients",IF(COUNT(D763:M763)=0,"Nothing measured","")))))</f>
        <v/>
      </c>
      <c r="P763" s="1">
        <f>IF(AND(O763="",ISNUMBER(B763)),INT(B763),0)</f>
        <v/>
      </c>
      <c r="Q763">
        <f>IF(AND(P763&gt;0,C763=Report!$C$5),P763*10000+ROW(),"")</f>
        <v/>
      </c>
      <c r="R763">
        <f>IF(AND(Q763&lt;&gt;"",ISNUMBER(D763)),Q763,"")</f>
        <v/>
      </c>
      <c r="S763">
        <f>IF(AND(Q763&lt;&gt;"",ISNUMBER(E763)),Q763,"")</f>
        <v/>
      </c>
      <c r="T763">
        <f>IF(AND(Q763&lt;&gt;"",ISNUMBER(F763)),Q763,"")</f>
        <v/>
      </c>
      <c r="U763">
        <f>IF(AND(Q763&lt;&gt;"",ISNUMBER(G763)),Q763,"")</f>
        <v/>
      </c>
      <c r="V763">
        <f>IF(AND(Q763&lt;&gt;"",ISNUMBER(H763)),Q763,"")</f>
        <v/>
      </c>
      <c r="W763">
        <f>IF(AND(Q763&lt;&gt;"",ISNUMBER(I763)),Q763,"")</f>
        <v/>
      </c>
      <c r="X763">
        <f>IF(AND(Q763&lt;&gt;"",ISNUMBER(J763)),Q763,"")</f>
        <v/>
      </c>
      <c r="Y763">
        <f>IF(AND(Q763&lt;&gt;"",ISNUMBER(K763)),Q763,"")</f>
        <v/>
      </c>
      <c r="Z763">
        <f>IF(AND(Q763&lt;&gt;"",ISNUMBER(L763)),Q763,"")</f>
        <v/>
      </c>
      <c r="AA763">
        <f>IF(AND(Q763&lt;&gt;"",ISNUMBER(M763)),Q763,"")</f>
        <v/>
      </c>
      <c r="AB763">
        <f>IF(AND(Q763&lt;&gt;"",ISNUMBER(K763)),K763,"")</f>
        <v/>
      </c>
      <c r="AC763">
        <f>IF(AND(Q763&lt;&gt;"",ISNUMBER(L763)),L763,"")</f>
        <v/>
      </c>
      <c r="AD763">
        <f>IF(AND(Q763&lt;&gt;"",ISNUMBER(M763)),M763,"")</f>
        <v/>
      </c>
    </row>
    <row r="764">
      <c r="A764" s="1" t="n"/>
      <c r="B764" s="17" t="n"/>
      <c r="C764" s="27" t="n"/>
      <c r="D764" s="28" t="n"/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9" t="n"/>
      <c r="N764" s="21" t="n"/>
      <c r="O764" s="12">
        <f>IF(AND(B764="",C764=""),"",IF(NOT(ISNUMBER(B764)),"Needs a date",IF(C764="","Needs a client",IF(COUNTIF(Clients!$B$6:$B$105,C764)=0,"Not on Clients",IF(COUNT(D764:M764)=0,"Nothing measured","")))))</f>
        <v/>
      </c>
      <c r="P764" s="1">
        <f>IF(AND(O764="",ISNUMBER(B764)),INT(B764),0)</f>
        <v/>
      </c>
      <c r="Q764">
        <f>IF(AND(P764&gt;0,C764=Report!$C$5),P764*10000+ROW(),"")</f>
        <v/>
      </c>
      <c r="R764">
        <f>IF(AND(Q764&lt;&gt;"",ISNUMBER(D764)),Q764,"")</f>
        <v/>
      </c>
      <c r="S764">
        <f>IF(AND(Q764&lt;&gt;"",ISNUMBER(E764)),Q764,"")</f>
        <v/>
      </c>
      <c r="T764">
        <f>IF(AND(Q764&lt;&gt;"",ISNUMBER(F764)),Q764,"")</f>
        <v/>
      </c>
      <c r="U764">
        <f>IF(AND(Q764&lt;&gt;"",ISNUMBER(G764)),Q764,"")</f>
        <v/>
      </c>
      <c r="V764">
        <f>IF(AND(Q764&lt;&gt;"",ISNUMBER(H764)),Q764,"")</f>
        <v/>
      </c>
      <c r="W764">
        <f>IF(AND(Q764&lt;&gt;"",ISNUMBER(I764)),Q764,"")</f>
        <v/>
      </c>
      <c r="X764">
        <f>IF(AND(Q764&lt;&gt;"",ISNUMBER(J764)),Q764,"")</f>
        <v/>
      </c>
      <c r="Y764">
        <f>IF(AND(Q764&lt;&gt;"",ISNUMBER(K764)),Q764,"")</f>
        <v/>
      </c>
      <c r="Z764">
        <f>IF(AND(Q764&lt;&gt;"",ISNUMBER(L764)),Q764,"")</f>
        <v/>
      </c>
      <c r="AA764">
        <f>IF(AND(Q764&lt;&gt;"",ISNUMBER(M764)),Q764,"")</f>
        <v/>
      </c>
      <c r="AB764">
        <f>IF(AND(Q764&lt;&gt;"",ISNUMBER(K764)),K764,"")</f>
        <v/>
      </c>
      <c r="AC764">
        <f>IF(AND(Q764&lt;&gt;"",ISNUMBER(L764)),L764,"")</f>
        <v/>
      </c>
      <c r="AD764">
        <f>IF(AND(Q764&lt;&gt;"",ISNUMBER(M764)),M764,"")</f>
        <v/>
      </c>
    </row>
    <row r="765">
      <c r="A765" s="1" t="n"/>
      <c r="B765" s="17" t="n"/>
      <c r="C765" s="27" t="n"/>
      <c r="D765" s="28" t="n"/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9" t="n"/>
      <c r="N765" s="21" t="n"/>
      <c r="O765" s="12">
        <f>IF(AND(B765="",C765=""),"",IF(NOT(ISNUMBER(B765)),"Needs a date",IF(C765="","Needs a client",IF(COUNTIF(Clients!$B$6:$B$105,C765)=0,"Not on Clients",IF(COUNT(D765:M765)=0,"Nothing measured","")))))</f>
        <v/>
      </c>
      <c r="P765" s="1">
        <f>IF(AND(O765="",ISNUMBER(B765)),INT(B765),0)</f>
        <v/>
      </c>
      <c r="Q765">
        <f>IF(AND(P765&gt;0,C765=Report!$C$5),P765*10000+ROW(),"")</f>
        <v/>
      </c>
      <c r="R765">
        <f>IF(AND(Q765&lt;&gt;"",ISNUMBER(D765)),Q765,"")</f>
        <v/>
      </c>
      <c r="S765">
        <f>IF(AND(Q765&lt;&gt;"",ISNUMBER(E765)),Q765,"")</f>
        <v/>
      </c>
      <c r="T765">
        <f>IF(AND(Q765&lt;&gt;"",ISNUMBER(F765)),Q765,"")</f>
        <v/>
      </c>
      <c r="U765">
        <f>IF(AND(Q765&lt;&gt;"",ISNUMBER(G765)),Q765,"")</f>
        <v/>
      </c>
      <c r="V765">
        <f>IF(AND(Q765&lt;&gt;"",ISNUMBER(H765)),Q765,"")</f>
        <v/>
      </c>
      <c r="W765">
        <f>IF(AND(Q765&lt;&gt;"",ISNUMBER(I765)),Q765,"")</f>
        <v/>
      </c>
      <c r="X765">
        <f>IF(AND(Q765&lt;&gt;"",ISNUMBER(J765)),Q765,"")</f>
        <v/>
      </c>
      <c r="Y765">
        <f>IF(AND(Q765&lt;&gt;"",ISNUMBER(K765)),Q765,"")</f>
        <v/>
      </c>
      <c r="Z765">
        <f>IF(AND(Q765&lt;&gt;"",ISNUMBER(L765)),Q765,"")</f>
        <v/>
      </c>
      <c r="AA765">
        <f>IF(AND(Q765&lt;&gt;"",ISNUMBER(M765)),Q765,"")</f>
        <v/>
      </c>
      <c r="AB765">
        <f>IF(AND(Q765&lt;&gt;"",ISNUMBER(K765)),K765,"")</f>
        <v/>
      </c>
      <c r="AC765">
        <f>IF(AND(Q765&lt;&gt;"",ISNUMBER(L765)),L765,"")</f>
        <v/>
      </c>
      <c r="AD765">
        <f>IF(AND(Q765&lt;&gt;"",ISNUMBER(M765)),M765,"")</f>
        <v/>
      </c>
    </row>
    <row r="766">
      <c r="A766" s="1" t="n"/>
      <c r="B766" s="17" t="n"/>
      <c r="C766" s="27" t="n"/>
      <c r="D766" s="28" t="n"/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9" t="n"/>
      <c r="N766" s="21" t="n"/>
      <c r="O766" s="12">
        <f>IF(AND(B766="",C766=""),"",IF(NOT(ISNUMBER(B766)),"Needs a date",IF(C766="","Needs a client",IF(COUNTIF(Clients!$B$6:$B$105,C766)=0,"Not on Clients",IF(COUNT(D766:M766)=0,"Nothing measured","")))))</f>
        <v/>
      </c>
      <c r="P766" s="1">
        <f>IF(AND(O766="",ISNUMBER(B766)),INT(B766),0)</f>
        <v/>
      </c>
      <c r="Q766">
        <f>IF(AND(P766&gt;0,C766=Report!$C$5),P766*10000+ROW(),"")</f>
        <v/>
      </c>
      <c r="R766">
        <f>IF(AND(Q766&lt;&gt;"",ISNUMBER(D766)),Q766,"")</f>
        <v/>
      </c>
      <c r="S766">
        <f>IF(AND(Q766&lt;&gt;"",ISNUMBER(E766)),Q766,"")</f>
        <v/>
      </c>
      <c r="T766">
        <f>IF(AND(Q766&lt;&gt;"",ISNUMBER(F766)),Q766,"")</f>
        <v/>
      </c>
      <c r="U766">
        <f>IF(AND(Q766&lt;&gt;"",ISNUMBER(G766)),Q766,"")</f>
        <v/>
      </c>
      <c r="V766">
        <f>IF(AND(Q766&lt;&gt;"",ISNUMBER(H766)),Q766,"")</f>
        <v/>
      </c>
      <c r="W766">
        <f>IF(AND(Q766&lt;&gt;"",ISNUMBER(I766)),Q766,"")</f>
        <v/>
      </c>
      <c r="X766">
        <f>IF(AND(Q766&lt;&gt;"",ISNUMBER(J766)),Q766,"")</f>
        <v/>
      </c>
      <c r="Y766">
        <f>IF(AND(Q766&lt;&gt;"",ISNUMBER(K766)),Q766,"")</f>
        <v/>
      </c>
      <c r="Z766">
        <f>IF(AND(Q766&lt;&gt;"",ISNUMBER(L766)),Q766,"")</f>
        <v/>
      </c>
      <c r="AA766">
        <f>IF(AND(Q766&lt;&gt;"",ISNUMBER(M766)),Q766,"")</f>
        <v/>
      </c>
      <c r="AB766">
        <f>IF(AND(Q766&lt;&gt;"",ISNUMBER(K766)),K766,"")</f>
        <v/>
      </c>
      <c r="AC766">
        <f>IF(AND(Q766&lt;&gt;"",ISNUMBER(L766)),L766,"")</f>
        <v/>
      </c>
      <c r="AD766">
        <f>IF(AND(Q766&lt;&gt;"",ISNUMBER(M766)),M766,"")</f>
        <v/>
      </c>
    </row>
    <row r="767">
      <c r="A767" s="1" t="n"/>
      <c r="B767" s="17" t="n"/>
      <c r="C767" s="27" t="n"/>
      <c r="D767" s="2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9" t="n"/>
      <c r="N767" s="21" t="n"/>
      <c r="O767" s="12">
        <f>IF(AND(B767="",C767=""),"",IF(NOT(ISNUMBER(B767)),"Needs a date",IF(C767="","Needs a client",IF(COUNTIF(Clients!$B$6:$B$105,C767)=0,"Not on Clients",IF(COUNT(D767:M767)=0,"Nothing measured","")))))</f>
        <v/>
      </c>
      <c r="P767" s="1">
        <f>IF(AND(O767="",ISNUMBER(B767)),INT(B767),0)</f>
        <v/>
      </c>
      <c r="Q767">
        <f>IF(AND(P767&gt;0,C767=Report!$C$5),P767*10000+ROW(),"")</f>
        <v/>
      </c>
      <c r="R767">
        <f>IF(AND(Q767&lt;&gt;"",ISNUMBER(D767)),Q767,"")</f>
        <v/>
      </c>
      <c r="S767">
        <f>IF(AND(Q767&lt;&gt;"",ISNUMBER(E767)),Q767,"")</f>
        <v/>
      </c>
      <c r="T767">
        <f>IF(AND(Q767&lt;&gt;"",ISNUMBER(F767)),Q767,"")</f>
        <v/>
      </c>
      <c r="U767">
        <f>IF(AND(Q767&lt;&gt;"",ISNUMBER(G767)),Q767,"")</f>
        <v/>
      </c>
      <c r="V767">
        <f>IF(AND(Q767&lt;&gt;"",ISNUMBER(H767)),Q767,"")</f>
        <v/>
      </c>
      <c r="W767">
        <f>IF(AND(Q767&lt;&gt;"",ISNUMBER(I767)),Q767,"")</f>
        <v/>
      </c>
      <c r="X767">
        <f>IF(AND(Q767&lt;&gt;"",ISNUMBER(J767)),Q767,"")</f>
        <v/>
      </c>
      <c r="Y767">
        <f>IF(AND(Q767&lt;&gt;"",ISNUMBER(K767)),Q767,"")</f>
        <v/>
      </c>
      <c r="Z767">
        <f>IF(AND(Q767&lt;&gt;"",ISNUMBER(L767)),Q767,"")</f>
        <v/>
      </c>
      <c r="AA767">
        <f>IF(AND(Q767&lt;&gt;"",ISNUMBER(M767)),Q767,"")</f>
        <v/>
      </c>
      <c r="AB767">
        <f>IF(AND(Q767&lt;&gt;"",ISNUMBER(K767)),K767,"")</f>
        <v/>
      </c>
      <c r="AC767">
        <f>IF(AND(Q767&lt;&gt;"",ISNUMBER(L767)),L767,"")</f>
        <v/>
      </c>
      <c r="AD767">
        <f>IF(AND(Q767&lt;&gt;"",ISNUMBER(M767)),M767,"")</f>
        <v/>
      </c>
    </row>
    <row r="768">
      <c r="A768" s="1" t="n"/>
      <c r="B768" s="17" t="n"/>
      <c r="C768" s="27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9" t="n"/>
      <c r="N768" s="21" t="n"/>
      <c r="O768" s="12">
        <f>IF(AND(B768="",C768=""),"",IF(NOT(ISNUMBER(B768)),"Needs a date",IF(C768="","Needs a client",IF(COUNTIF(Clients!$B$6:$B$105,C768)=0,"Not on Clients",IF(COUNT(D768:M768)=0,"Nothing measured","")))))</f>
        <v/>
      </c>
      <c r="P768" s="1">
        <f>IF(AND(O768="",ISNUMBER(B768)),INT(B768),0)</f>
        <v/>
      </c>
      <c r="Q768">
        <f>IF(AND(P768&gt;0,C768=Report!$C$5),P768*10000+ROW(),"")</f>
        <v/>
      </c>
      <c r="R768">
        <f>IF(AND(Q768&lt;&gt;"",ISNUMBER(D768)),Q768,"")</f>
        <v/>
      </c>
      <c r="S768">
        <f>IF(AND(Q768&lt;&gt;"",ISNUMBER(E768)),Q768,"")</f>
        <v/>
      </c>
      <c r="T768">
        <f>IF(AND(Q768&lt;&gt;"",ISNUMBER(F768)),Q768,"")</f>
        <v/>
      </c>
      <c r="U768">
        <f>IF(AND(Q768&lt;&gt;"",ISNUMBER(G768)),Q768,"")</f>
        <v/>
      </c>
      <c r="V768">
        <f>IF(AND(Q768&lt;&gt;"",ISNUMBER(H768)),Q768,"")</f>
        <v/>
      </c>
      <c r="W768">
        <f>IF(AND(Q768&lt;&gt;"",ISNUMBER(I768)),Q768,"")</f>
        <v/>
      </c>
      <c r="X768">
        <f>IF(AND(Q768&lt;&gt;"",ISNUMBER(J768)),Q768,"")</f>
        <v/>
      </c>
      <c r="Y768">
        <f>IF(AND(Q768&lt;&gt;"",ISNUMBER(K768)),Q768,"")</f>
        <v/>
      </c>
      <c r="Z768">
        <f>IF(AND(Q768&lt;&gt;"",ISNUMBER(L768)),Q768,"")</f>
        <v/>
      </c>
      <c r="AA768">
        <f>IF(AND(Q768&lt;&gt;"",ISNUMBER(M768)),Q768,"")</f>
        <v/>
      </c>
      <c r="AB768">
        <f>IF(AND(Q768&lt;&gt;"",ISNUMBER(K768)),K768,"")</f>
        <v/>
      </c>
      <c r="AC768">
        <f>IF(AND(Q768&lt;&gt;"",ISNUMBER(L768)),L768,"")</f>
        <v/>
      </c>
      <c r="AD768">
        <f>IF(AND(Q768&lt;&gt;"",ISNUMBER(M768)),M768,"")</f>
        <v/>
      </c>
    </row>
    <row r="769">
      <c r="A769" s="1" t="n"/>
      <c r="B769" s="17" t="n"/>
      <c r="C769" s="27" t="n"/>
      <c r="D769" s="28" t="n"/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9" t="n"/>
      <c r="N769" s="21" t="n"/>
      <c r="O769" s="12">
        <f>IF(AND(B769="",C769=""),"",IF(NOT(ISNUMBER(B769)),"Needs a date",IF(C769="","Needs a client",IF(COUNTIF(Clients!$B$6:$B$105,C769)=0,"Not on Clients",IF(COUNT(D769:M769)=0,"Nothing measured","")))))</f>
        <v/>
      </c>
      <c r="P769" s="1">
        <f>IF(AND(O769="",ISNUMBER(B769)),INT(B769),0)</f>
        <v/>
      </c>
      <c r="Q769">
        <f>IF(AND(P769&gt;0,C769=Report!$C$5),P769*10000+ROW(),"")</f>
        <v/>
      </c>
      <c r="R769">
        <f>IF(AND(Q769&lt;&gt;"",ISNUMBER(D769)),Q769,"")</f>
        <v/>
      </c>
      <c r="S769">
        <f>IF(AND(Q769&lt;&gt;"",ISNUMBER(E769)),Q769,"")</f>
        <v/>
      </c>
      <c r="T769">
        <f>IF(AND(Q769&lt;&gt;"",ISNUMBER(F769)),Q769,"")</f>
        <v/>
      </c>
      <c r="U769">
        <f>IF(AND(Q769&lt;&gt;"",ISNUMBER(G769)),Q769,"")</f>
        <v/>
      </c>
      <c r="V769">
        <f>IF(AND(Q769&lt;&gt;"",ISNUMBER(H769)),Q769,"")</f>
        <v/>
      </c>
      <c r="W769">
        <f>IF(AND(Q769&lt;&gt;"",ISNUMBER(I769)),Q769,"")</f>
        <v/>
      </c>
      <c r="X769">
        <f>IF(AND(Q769&lt;&gt;"",ISNUMBER(J769)),Q769,"")</f>
        <v/>
      </c>
      <c r="Y769">
        <f>IF(AND(Q769&lt;&gt;"",ISNUMBER(K769)),Q769,"")</f>
        <v/>
      </c>
      <c r="Z769">
        <f>IF(AND(Q769&lt;&gt;"",ISNUMBER(L769)),Q769,"")</f>
        <v/>
      </c>
      <c r="AA769">
        <f>IF(AND(Q769&lt;&gt;"",ISNUMBER(M769)),Q769,"")</f>
        <v/>
      </c>
      <c r="AB769">
        <f>IF(AND(Q769&lt;&gt;"",ISNUMBER(K769)),K769,"")</f>
        <v/>
      </c>
      <c r="AC769">
        <f>IF(AND(Q769&lt;&gt;"",ISNUMBER(L769)),L769,"")</f>
        <v/>
      </c>
      <c r="AD769">
        <f>IF(AND(Q769&lt;&gt;"",ISNUMBER(M769)),M769,"")</f>
        <v/>
      </c>
    </row>
    <row r="770">
      <c r="A770" s="1" t="n"/>
      <c r="B770" s="17" t="n"/>
      <c r="C770" s="27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9" t="n"/>
      <c r="N770" s="21" t="n"/>
      <c r="O770" s="12">
        <f>IF(AND(B770="",C770=""),"",IF(NOT(ISNUMBER(B770)),"Needs a date",IF(C770="","Needs a client",IF(COUNTIF(Clients!$B$6:$B$105,C770)=0,"Not on Clients",IF(COUNT(D770:M770)=0,"Nothing measured","")))))</f>
        <v/>
      </c>
      <c r="P770" s="1">
        <f>IF(AND(O770="",ISNUMBER(B770)),INT(B770),0)</f>
        <v/>
      </c>
      <c r="Q770">
        <f>IF(AND(P770&gt;0,C770=Report!$C$5),P770*10000+ROW(),"")</f>
        <v/>
      </c>
      <c r="R770">
        <f>IF(AND(Q770&lt;&gt;"",ISNUMBER(D770)),Q770,"")</f>
        <v/>
      </c>
      <c r="S770">
        <f>IF(AND(Q770&lt;&gt;"",ISNUMBER(E770)),Q770,"")</f>
        <v/>
      </c>
      <c r="T770">
        <f>IF(AND(Q770&lt;&gt;"",ISNUMBER(F770)),Q770,"")</f>
        <v/>
      </c>
      <c r="U770">
        <f>IF(AND(Q770&lt;&gt;"",ISNUMBER(G770)),Q770,"")</f>
        <v/>
      </c>
      <c r="V770">
        <f>IF(AND(Q770&lt;&gt;"",ISNUMBER(H770)),Q770,"")</f>
        <v/>
      </c>
      <c r="W770">
        <f>IF(AND(Q770&lt;&gt;"",ISNUMBER(I770)),Q770,"")</f>
        <v/>
      </c>
      <c r="X770">
        <f>IF(AND(Q770&lt;&gt;"",ISNUMBER(J770)),Q770,"")</f>
        <v/>
      </c>
      <c r="Y770">
        <f>IF(AND(Q770&lt;&gt;"",ISNUMBER(K770)),Q770,"")</f>
        <v/>
      </c>
      <c r="Z770">
        <f>IF(AND(Q770&lt;&gt;"",ISNUMBER(L770)),Q770,"")</f>
        <v/>
      </c>
      <c r="AA770">
        <f>IF(AND(Q770&lt;&gt;"",ISNUMBER(M770)),Q770,"")</f>
        <v/>
      </c>
      <c r="AB770">
        <f>IF(AND(Q770&lt;&gt;"",ISNUMBER(K770)),K770,"")</f>
        <v/>
      </c>
      <c r="AC770">
        <f>IF(AND(Q770&lt;&gt;"",ISNUMBER(L770)),L770,"")</f>
        <v/>
      </c>
      <c r="AD770">
        <f>IF(AND(Q770&lt;&gt;"",ISNUMBER(M770)),M770,"")</f>
        <v/>
      </c>
    </row>
    <row r="771">
      <c r="A771" s="1" t="n"/>
      <c r="B771" s="17" t="n"/>
      <c r="C771" s="27" t="n"/>
      <c r="D771" s="28" t="n"/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9" t="n"/>
      <c r="N771" s="21" t="n"/>
      <c r="O771" s="12">
        <f>IF(AND(B771="",C771=""),"",IF(NOT(ISNUMBER(B771)),"Needs a date",IF(C771="","Needs a client",IF(COUNTIF(Clients!$B$6:$B$105,C771)=0,"Not on Clients",IF(COUNT(D771:M771)=0,"Nothing measured","")))))</f>
        <v/>
      </c>
      <c r="P771" s="1">
        <f>IF(AND(O771="",ISNUMBER(B771)),INT(B771),0)</f>
        <v/>
      </c>
      <c r="Q771">
        <f>IF(AND(P771&gt;0,C771=Report!$C$5),P771*10000+ROW(),"")</f>
        <v/>
      </c>
      <c r="R771">
        <f>IF(AND(Q771&lt;&gt;"",ISNUMBER(D771)),Q771,"")</f>
        <v/>
      </c>
      <c r="S771">
        <f>IF(AND(Q771&lt;&gt;"",ISNUMBER(E771)),Q771,"")</f>
        <v/>
      </c>
      <c r="T771">
        <f>IF(AND(Q771&lt;&gt;"",ISNUMBER(F771)),Q771,"")</f>
        <v/>
      </c>
      <c r="U771">
        <f>IF(AND(Q771&lt;&gt;"",ISNUMBER(G771)),Q771,"")</f>
        <v/>
      </c>
      <c r="V771">
        <f>IF(AND(Q771&lt;&gt;"",ISNUMBER(H771)),Q771,"")</f>
        <v/>
      </c>
      <c r="W771">
        <f>IF(AND(Q771&lt;&gt;"",ISNUMBER(I771)),Q771,"")</f>
        <v/>
      </c>
      <c r="X771">
        <f>IF(AND(Q771&lt;&gt;"",ISNUMBER(J771)),Q771,"")</f>
        <v/>
      </c>
      <c r="Y771">
        <f>IF(AND(Q771&lt;&gt;"",ISNUMBER(K771)),Q771,"")</f>
        <v/>
      </c>
      <c r="Z771">
        <f>IF(AND(Q771&lt;&gt;"",ISNUMBER(L771)),Q771,"")</f>
        <v/>
      </c>
      <c r="AA771">
        <f>IF(AND(Q771&lt;&gt;"",ISNUMBER(M771)),Q771,"")</f>
        <v/>
      </c>
      <c r="AB771">
        <f>IF(AND(Q771&lt;&gt;"",ISNUMBER(K771)),K771,"")</f>
        <v/>
      </c>
      <c r="AC771">
        <f>IF(AND(Q771&lt;&gt;"",ISNUMBER(L771)),L771,"")</f>
        <v/>
      </c>
      <c r="AD771">
        <f>IF(AND(Q771&lt;&gt;"",ISNUMBER(M771)),M771,"")</f>
        <v/>
      </c>
    </row>
    <row r="772">
      <c r="A772" s="1" t="n"/>
      <c r="B772" s="17" t="n"/>
      <c r="C772" s="27" t="n"/>
      <c r="D772" s="28" t="n"/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9" t="n"/>
      <c r="N772" s="21" t="n"/>
      <c r="O772" s="12">
        <f>IF(AND(B772="",C772=""),"",IF(NOT(ISNUMBER(B772)),"Needs a date",IF(C772="","Needs a client",IF(COUNTIF(Clients!$B$6:$B$105,C772)=0,"Not on Clients",IF(COUNT(D772:M772)=0,"Nothing measured","")))))</f>
        <v/>
      </c>
      <c r="P772" s="1">
        <f>IF(AND(O772="",ISNUMBER(B772)),INT(B772),0)</f>
        <v/>
      </c>
      <c r="Q772">
        <f>IF(AND(P772&gt;0,C772=Report!$C$5),P772*10000+ROW(),"")</f>
        <v/>
      </c>
      <c r="R772">
        <f>IF(AND(Q772&lt;&gt;"",ISNUMBER(D772)),Q772,"")</f>
        <v/>
      </c>
      <c r="S772">
        <f>IF(AND(Q772&lt;&gt;"",ISNUMBER(E772)),Q772,"")</f>
        <v/>
      </c>
      <c r="T772">
        <f>IF(AND(Q772&lt;&gt;"",ISNUMBER(F772)),Q772,"")</f>
        <v/>
      </c>
      <c r="U772">
        <f>IF(AND(Q772&lt;&gt;"",ISNUMBER(G772)),Q772,"")</f>
        <v/>
      </c>
      <c r="V772">
        <f>IF(AND(Q772&lt;&gt;"",ISNUMBER(H772)),Q772,"")</f>
        <v/>
      </c>
      <c r="W772">
        <f>IF(AND(Q772&lt;&gt;"",ISNUMBER(I772)),Q772,"")</f>
        <v/>
      </c>
      <c r="X772">
        <f>IF(AND(Q772&lt;&gt;"",ISNUMBER(J772)),Q772,"")</f>
        <v/>
      </c>
      <c r="Y772">
        <f>IF(AND(Q772&lt;&gt;"",ISNUMBER(K772)),Q772,"")</f>
        <v/>
      </c>
      <c r="Z772">
        <f>IF(AND(Q772&lt;&gt;"",ISNUMBER(L772)),Q772,"")</f>
        <v/>
      </c>
      <c r="AA772">
        <f>IF(AND(Q772&lt;&gt;"",ISNUMBER(M772)),Q772,"")</f>
        <v/>
      </c>
      <c r="AB772">
        <f>IF(AND(Q772&lt;&gt;"",ISNUMBER(K772)),K772,"")</f>
        <v/>
      </c>
      <c r="AC772">
        <f>IF(AND(Q772&lt;&gt;"",ISNUMBER(L772)),L772,"")</f>
        <v/>
      </c>
      <c r="AD772">
        <f>IF(AND(Q772&lt;&gt;"",ISNUMBER(M772)),M772,"")</f>
        <v/>
      </c>
    </row>
    <row r="773">
      <c r="A773" s="1" t="n"/>
      <c r="B773" s="17" t="n"/>
      <c r="C773" s="27" t="n"/>
      <c r="D773" s="28" t="n"/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9" t="n"/>
      <c r="N773" s="21" t="n"/>
      <c r="O773" s="12">
        <f>IF(AND(B773="",C773=""),"",IF(NOT(ISNUMBER(B773)),"Needs a date",IF(C773="","Needs a client",IF(COUNTIF(Clients!$B$6:$B$105,C773)=0,"Not on Clients",IF(COUNT(D773:M773)=0,"Nothing measured","")))))</f>
        <v/>
      </c>
      <c r="P773" s="1">
        <f>IF(AND(O773="",ISNUMBER(B773)),INT(B773),0)</f>
        <v/>
      </c>
      <c r="Q773">
        <f>IF(AND(P773&gt;0,C773=Report!$C$5),P773*10000+ROW(),"")</f>
        <v/>
      </c>
      <c r="R773">
        <f>IF(AND(Q773&lt;&gt;"",ISNUMBER(D773)),Q773,"")</f>
        <v/>
      </c>
      <c r="S773">
        <f>IF(AND(Q773&lt;&gt;"",ISNUMBER(E773)),Q773,"")</f>
        <v/>
      </c>
      <c r="T773">
        <f>IF(AND(Q773&lt;&gt;"",ISNUMBER(F773)),Q773,"")</f>
        <v/>
      </c>
      <c r="U773">
        <f>IF(AND(Q773&lt;&gt;"",ISNUMBER(G773)),Q773,"")</f>
        <v/>
      </c>
      <c r="V773">
        <f>IF(AND(Q773&lt;&gt;"",ISNUMBER(H773)),Q773,"")</f>
        <v/>
      </c>
      <c r="W773">
        <f>IF(AND(Q773&lt;&gt;"",ISNUMBER(I773)),Q773,"")</f>
        <v/>
      </c>
      <c r="X773">
        <f>IF(AND(Q773&lt;&gt;"",ISNUMBER(J773)),Q773,"")</f>
        <v/>
      </c>
      <c r="Y773">
        <f>IF(AND(Q773&lt;&gt;"",ISNUMBER(K773)),Q773,"")</f>
        <v/>
      </c>
      <c r="Z773">
        <f>IF(AND(Q773&lt;&gt;"",ISNUMBER(L773)),Q773,"")</f>
        <v/>
      </c>
      <c r="AA773">
        <f>IF(AND(Q773&lt;&gt;"",ISNUMBER(M773)),Q773,"")</f>
        <v/>
      </c>
      <c r="AB773">
        <f>IF(AND(Q773&lt;&gt;"",ISNUMBER(K773)),K773,"")</f>
        <v/>
      </c>
      <c r="AC773">
        <f>IF(AND(Q773&lt;&gt;"",ISNUMBER(L773)),L773,"")</f>
        <v/>
      </c>
      <c r="AD773">
        <f>IF(AND(Q773&lt;&gt;"",ISNUMBER(M773)),M773,"")</f>
        <v/>
      </c>
    </row>
    <row r="774">
      <c r="A774" s="1" t="n"/>
      <c r="B774" s="17" t="n"/>
      <c r="C774" s="27" t="n"/>
      <c r="D774" s="28" t="n"/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9" t="n"/>
      <c r="N774" s="21" t="n"/>
      <c r="O774" s="12">
        <f>IF(AND(B774="",C774=""),"",IF(NOT(ISNUMBER(B774)),"Needs a date",IF(C774="","Needs a client",IF(COUNTIF(Clients!$B$6:$B$105,C774)=0,"Not on Clients",IF(COUNT(D774:M774)=0,"Nothing measured","")))))</f>
        <v/>
      </c>
      <c r="P774" s="1">
        <f>IF(AND(O774="",ISNUMBER(B774)),INT(B774),0)</f>
        <v/>
      </c>
      <c r="Q774">
        <f>IF(AND(P774&gt;0,C774=Report!$C$5),P774*10000+ROW(),"")</f>
        <v/>
      </c>
      <c r="R774">
        <f>IF(AND(Q774&lt;&gt;"",ISNUMBER(D774)),Q774,"")</f>
        <v/>
      </c>
      <c r="S774">
        <f>IF(AND(Q774&lt;&gt;"",ISNUMBER(E774)),Q774,"")</f>
        <v/>
      </c>
      <c r="T774">
        <f>IF(AND(Q774&lt;&gt;"",ISNUMBER(F774)),Q774,"")</f>
        <v/>
      </c>
      <c r="U774">
        <f>IF(AND(Q774&lt;&gt;"",ISNUMBER(G774)),Q774,"")</f>
        <v/>
      </c>
      <c r="V774">
        <f>IF(AND(Q774&lt;&gt;"",ISNUMBER(H774)),Q774,"")</f>
        <v/>
      </c>
      <c r="W774">
        <f>IF(AND(Q774&lt;&gt;"",ISNUMBER(I774)),Q774,"")</f>
        <v/>
      </c>
      <c r="X774">
        <f>IF(AND(Q774&lt;&gt;"",ISNUMBER(J774)),Q774,"")</f>
        <v/>
      </c>
      <c r="Y774">
        <f>IF(AND(Q774&lt;&gt;"",ISNUMBER(K774)),Q774,"")</f>
        <v/>
      </c>
      <c r="Z774">
        <f>IF(AND(Q774&lt;&gt;"",ISNUMBER(L774)),Q774,"")</f>
        <v/>
      </c>
      <c r="AA774">
        <f>IF(AND(Q774&lt;&gt;"",ISNUMBER(M774)),Q774,"")</f>
        <v/>
      </c>
      <c r="AB774">
        <f>IF(AND(Q774&lt;&gt;"",ISNUMBER(K774)),K774,"")</f>
        <v/>
      </c>
      <c r="AC774">
        <f>IF(AND(Q774&lt;&gt;"",ISNUMBER(L774)),L774,"")</f>
        <v/>
      </c>
      <c r="AD774">
        <f>IF(AND(Q774&lt;&gt;"",ISNUMBER(M774)),M774,"")</f>
        <v/>
      </c>
    </row>
    <row r="775">
      <c r="A775" s="1" t="n"/>
      <c r="B775" s="17" t="n"/>
      <c r="C775" s="27" t="n"/>
      <c r="D775" s="28" t="n"/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9" t="n"/>
      <c r="N775" s="21" t="n"/>
      <c r="O775" s="12">
        <f>IF(AND(B775="",C775=""),"",IF(NOT(ISNUMBER(B775)),"Needs a date",IF(C775="","Needs a client",IF(COUNTIF(Clients!$B$6:$B$105,C775)=0,"Not on Clients",IF(COUNT(D775:M775)=0,"Nothing measured","")))))</f>
        <v/>
      </c>
      <c r="P775" s="1">
        <f>IF(AND(O775="",ISNUMBER(B775)),INT(B775),0)</f>
        <v/>
      </c>
      <c r="Q775">
        <f>IF(AND(P775&gt;0,C775=Report!$C$5),P775*10000+ROW(),"")</f>
        <v/>
      </c>
      <c r="R775">
        <f>IF(AND(Q775&lt;&gt;"",ISNUMBER(D775)),Q775,"")</f>
        <v/>
      </c>
      <c r="S775">
        <f>IF(AND(Q775&lt;&gt;"",ISNUMBER(E775)),Q775,"")</f>
        <v/>
      </c>
      <c r="T775">
        <f>IF(AND(Q775&lt;&gt;"",ISNUMBER(F775)),Q775,"")</f>
        <v/>
      </c>
      <c r="U775">
        <f>IF(AND(Q775&lt;&gt;"",ISNUMBER(G775)),Q775,"")</f>
        <v/>
      </c>
      <c r="V775">
        <f>IF(AND(Q775&lt;&gt;"",ISNUMBER(H775)),Q775,"")</f>
        <v/>
      </c>
      <c r="W775">
        <f>IF(AND(Q775&lt;&gt;"",ISNUMBER(I775)),Q775,"")</f>
        <v/>
      </c>
      <c r="X775">
        <f>IF(AND(Q775&lt;&gt;"",ISNUMBER(J775)),Q775,"")</f>
        <v/>
      </c>
      <c r="Y775">
        <f>IF(AND(Q775&lt;&gt;"",ISNUMBER(K775)),Q775,"")</f>
        <v/>
      </c>
      <c r="Z775">
        <f>IF(AND(Q775&lt;&gt;"",ISNUMBER(L775)),Q775,"")</f>
        <v/>
      </c>
      <c r="AA775">
        <f>IF(AND(Q775&lt;&gt;"",ISNUMBER(M775)),Q775,"")</f>
        <v/>
      </c>
      <c r="AB775">
        <f>IF(AND(Q775&lt;&gt;"",ISNUMBER(K775)),K775,"")</f>
        <v/>
      </c>
      <c r="AC775">
        <f>IF(AND(Q775&lt;&gt;"",ISNUMBER(L775)),L775,"")</f>
        <v/>
      </c>
      <c r="AD775">
        <f>IF(AND(Q775&lt;&gt;"",ISNUMBER(M775)),M775,"")</f>
        <v/>
      </c>
    </row>
    <row r="776">
      <c r="A776" s="1" t="n"/>
      <c r="B776" s="17" t="n"/>
      <c r="C776" s="27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9" t="n"/>
      <c r="N776" s="21" t="n"/>
      <c r="O776" s="12">
        <f>IF(AND(B776="",C776=""),"",IF(NOT(ISNUMBER(B776)),"Needs a date",IF(C776="","Needs a client",IF(COUNTIF(Clients!$B$6:$B$105,C776)=0,"Not on Clients",IF(COUNT(D776:M776)=0,"Nothing measured","")))))</f>
        <v/>
      </c>
      <c r="P776" s="1">
        <f>IF(AND(O776="",ISNUMBER(B776)),INT(B776),0)</f>
        <v/>
      </c>
      <c r="Q776">
        <f>IF(AND(P776&gt;0,C776=Report!$C$5),P776*10000+ROW(),"")</f>
        <v/>
      </c>
      <c r="R776">
        <f>IF(AND(Q776&lt;&gt;"",ISNUMBER(D776)),Q776,"")</f>
        <v/>
      </c>
      <c r="S776">
        <f>IF(AND(Q776&lt;&gt;"",ISNUMBER(E776)),Q776,"")</f>
        <v/>
      </c>
      <c r="T776">
        <f>IF(AND(Q776&lt;&gt;"",ISNUMBER(F776)),Q776,"")</f>
        <v/>
      </c>
      <c r="U776">
        <f>IF(AND(Q776&lt;&gt;"",ISNUMBER(G776)),Q776,"")</f>
        <v/>
      </c>
      <c r="V776">
        <f>IF(AND(Q776&lt;&gt;"",ISNUMBER(H776)),Q776,"")</f>
        <v/>
      </c>
      <c r="W776">
        <f>IF(AND(Q776&lt;&gt;"",ISNUMBER(I776)),Q776,"")</f>
        <v/>
      </c>
      <c r="X776">
        <f>IF(AND(Q776&lt;&gt;"",ISNUMBER(J776)),Q776,"")</f>
        <v/>
      </c>
      <c r="Y776">
        <f>IF(AND(Q776&lt;&gt;"",ISNUMBER(K776)),Q776,"")</f>
        <v/>
      </c>
      <c r="Z776">
        <f>IF(AND(Q776&lt;&gt;"",ISNUMBER(L776)),Q776,"")</f>
        <v/>
      </c>
      <c r="AA776">
        <f>IF(AND(Q776&lt;&gt;"",ISNUMBER(M776)),Q776,"")</f>
        <v/>
      </c>
      <c r="AB776">
        <f>IF(AND(Q776&lt;&gt;"",ISNUMBER(K776)),K776,"")</f>
        <v/>
      </c>
      <c r="AC776">
        <f>IF(AND(Q776&lt;&gt;"",ISNUMBER(L776)),L776,"")</f>
        <v/>
      </c>
      <c r="AD776">
        <f>IF(AND(Q776&lt;&gt;"",ISNUMBER(M776)),M776,"")</f>
        <v/>
      </c>
    </row>
    <row r="777">
      <c r="A777" s="1" t="n"/>
      <c r="B777" s="17" t="n"/>
      <c r="C777" s="27" t="n"/>
      <c r="D777" s="28" t="n"/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9" t="n"/>
      <c r="N777" s="21" t="n"/>
      <c r="O777" s="12">
        <f>IF(AND(B777="",C777=""),"",IF(NOT(ISNUMBER(B777)),"Needs a date",IF(C777="","Needs a client",IF(COUNTIF(Clients!$B$6:$B$105,C777)=0,"Not on Clients",IF(COUNT(D777:M777)=0,"Nothing measured","")))))</f>
        <v/>
      </c>
      <c r="P777" s="1">
        <f>IF(AND(O777="",ISNUMBER(B777)),INT(B777),0)</f>
        <v/>
      </c>
      <c r="Q777">
        <f>IF(AND(P777&gt;0,C777=Report!$C$5),P777*10000+ROW(),"")</f>
        <v/>
      </c>
      <c r="R777">
        <f>IF(AND(Q777&lt;&gt;"",ISNUMBER(D777)),Q777,"")</f>
        <v/>
      </c>
      <c r="S777">
        <f>IF(AND(Q777&lt;&gt;"",ISNUMBER(E777)),Q777,"")</f>
        <v/>
      </c>
      <c r="T777">
        <f>IF(AND(Q777&lt;&gt;"",ISNUMBER(F777)),Q777,"")</f>
        <v/>
      </c>
      <c r="U777">
        <f>IF(AND(Q777&lt;&gt;"",ISNUMBER(G777)),Q777,"")</f>
        <v/>
      </c>
      <c r="V777">
        <f>IF(AND(Q777&lt;&gt;"",ISNUMBER(H777)),Q777,"")</f>
        <v/>
      </c>
      <c r="W777">
        <f>IF(AND(Q777&lt;&gt;"",ISNUMBER(I777)),Q777,"")</f>
        <v/>
      </c>
      <c r="X777">
        <f>IF(AND(Q777&lt;&gt;"",ISNUMBER(J777)),Q777,"")</f>
        <v/>
      </c>
      <c r="Y777">
        <f>IF(AND(Q777&lt;&gt;"",ISNUMBER(K777)),Q777,"")</f>
        <v/>
      </c>
      <c r="Z777">
        <f>IF(AND(Q777&lt;&gt;"",ISNUMBER(L777)),Q777,"")</f>
        <v/>
      </c>
      <c r="AA777">
        <f>IF(AND(Q777&lt;&gt;"",ISNUMBER(M777)),Q777,"")</f>
        <v/>
      </c>
      <c r="AB777">
        <f>IF(AND(Q777&lt;&gt;"",ISNUMBER(K777)),K777,"")</f>
        <v/>
      </c>
      <c r="AC777">
        <f>IF(AND(Q777&lt;&gt;"",ISNUMBER(L777)),L777,"")</f>
        <v/>
      </c>
      <c r="AD777">
        <f>IF(AND(Q777&lt;&gt;"",ISNUMBER(M777)),M777,"")</f>
        <v/>
      </c>
    </row>
    <row r="778">
      <c r="A778" s="1" t="n"/>
      <c r="B778" s="17" t="n"/>
      <c r="C778" s="27" t="n"/>
      <c r="D778" s="2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9" t="n"/>
      <c r="N778" s="21" t="n"/>
      <c r="O778" s="12">
        <f>IF(AND(B778="",C778=""),"",IF(NOT(ISNUMBER(B778)),"Needs a date",IF(C778="","Needs a client",IF(COUNTIF(Clients!$B$6:$B$105,C778)=0,"Not on Clients",IF(COUNT(D778:M778)=0,"Nothing measured","")))))</f>
        <v/>
      </c>
      <c r="P778" s="1">
        <f>IF(AND(O778="",ISNUMBER(B778)),INT(B778),0)</f>
        <v/>
      </c>
      <c r="Q778">
        <f>IF(AND(P778&gt;0,C778=Report!$C$5),P778*10000+ROW(),"")</f>
        <v/>
      </c>
      <c r="R778">
        <f>IF(AND(Q778&lt;&gt;"",ISNUMBER(D778)),Q778,"")</f>
        <v/>
      </c>
      <c r="S778">
        <f>IF(AND(Q778&lt;&gt;"",ISNUMBER(E778)),Q778,"")</f>
        <v/>
      </c>
      <c r="T778">
        <f>IF(AND(Q778&lt;&gt;"",ISNUMBER(F778)),Q778,"")</f>
        <v/>
      </c>
      <c r="U778">
        <f>IF(AND(Q778&lt;&gt;"",ISNUMBER(G778)),Q778,"")</f>
        <v/>
      </c>
      <c r="V778">
        <f>IF(AND(Q778&lt;&gt;"",ISNUMBER(H778)),Q778,"")</f>
        <v/>
      </c>
      <c r="W778">
        <f>IF(AND(Q778&lt;&gt;"",ISNUMBER(I778)),Q778,"")</f>
        <v/>
      </c>
      <c r="X778">
        <f>IF(AND(Q778&lt;&gt;"",ISNUMBER(J778)),Q778,"")</f>
        <v/>
      </c>
      <c r="Y778">
        <f>IF(AND(Q778&lt;&gt;"",ISNUMBER(K778)),Q778,"")</f>
        <v/>
      </c>
      <c r="Z778">
        <f>IF(AND(Q778&lt;&gt;"",ISNUMBER(L778)),Q778,"")</f>
        <v/>
      </c>
      <c r="AA778">
        <f>IF(AND(Q778&lt;&gt;"",ISNUMBER(M778)),Q778,"")</f>
        <v/>
      </c>
      <c r="AB778">
        <f>IF(AND(Q778&lt;&gt;"",ISNUMBER(K778)),K778,"")</f>
        <v/>
      </c>
      <c r="AC778">
        <f>IF(AND(Q778&lt;&gt;"",ISNUMBER(L778)),L778,"")</f>
        <v/>
      </c>
      <c r="AD778">
        <f>IF(AND(Q778&lt;&gt;"",ISNUMBER(M778)),M778,"")</f>
        <v/>
      </c>
    </row>
    <row r="779">
      <c r="A779" s="1" t="n"/>
      <c r="B779" s="17" t="n"/>
      <c r="C779" s="27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9" t="n"/>
      <c r="N779" s="21" t="n"/>
      <c r="O779" s="12">
        <f>IF(AND(B779="",C779=""),"",IF(NOT(ISNUMBER(B779)),"Needs a date",IF(C779="","Needs a client",IF(COUNTIF(Clients!$B$6:$B$105,C779)=0,"Not on Clients",IF(COUNT(D779:M779)=0,"Nothing measured","")))))</f>
        <v/>
      </c>
      <c r="P779" s="1">
        <f>IF(AND(O779="",ISNUMBER(B779)),INT(B779),0)</f>
        <v/>
      </c>
      <c r="Q779">
        <f>IF(AND(P779&gt;0,C779=Report!$C$5),P779*10000+ROW(),"")</f>
        <v/>
      </c>
      <c r="R779">
        <f>IF(AND(Q779&lt;&gt;"",ISNUMBER(D779)),Q779,"")</f>
        <v/>
      </c>
      <c r="S779">
        <f>IF(AND(Q779&lt;&gt;"",ISNUMBER(E779)),Q779,"")</f>
        <v/>
      </c>
      <c r="T779">
        <f>IF(AND(Q779&lt;&gt;"",ISNUMBER(F779)),Q779,"")</f>
        <v/>
      </c>
      <c r="U779">
        <f>IF(AND(Q779&lt;&gt;"",ISNUMBER(G779)),Q779,"")</f>
        <v/>
      </c>
      <c r="V779">
        <f>IF(AND(Q779&lt;&gt;"",ISNUMBER(H779)),Q779,"")</f>
        <v/>
      </c>
      <c r="W779">
        <f>IF(AND(Q779&lt;&gt;"",ISNUMBER(I779)),Q779,"")</f>
        <v/>
      </c>
      <c r="X779">
        <f>IF(AND(Q779&lt;&gt;"",ISNUMBER(J779)),Q779,"")</f>
        <v/>
      </c>
      <c r="Y779">
        <f>IF(AND(Q779&lt;&gt;"",ISNUMBER(K779)),Q779,"")</f>
        <v/>
      </c>
      <c r="Z779">
        <f>IF(AND(Q779&lt;&gt;"",ISNUMBER(L779)),Q779,"")</f>
        <v/>
      </c>
      <c r="AA779">
        <f>IF(AND(Q779&lt;&gt;"",ISNUMBER(M779)),Q779,"")</f>
        <v/>
      </c>
      <c r="AB779">
        <f>IF(AND(Q779&lt;&gt;"",ISNUMBER(K779)),K779,"")</f>
        <v/>
      </c>
      <c r="AC779">
        <f>IF(AND(Q779&lt;&gt;"",ISNUMBER(L779)),L779,"")</f>
        <v/>
      </c>
      <c r="AD779">
        <f>IF(AND(Q779&lt;&gt;"",ISNUMBER(M779)),M779,"")</f>
        <v/>
      </c>
    </row>
    <row r="780">
      <c r="A780" s="1" t="n"/>
      <c r="B780" s="17" t="n"/>
      <c r="C780" s="27" t="n"/>
      <c r="D780" s="28" t="n"/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9" t="n"/>
      <c r="N780" s="21" t="n"/>
      <c r="O780" s="12">
        <f>IF(AND(B780="",C780=""),"",IF(NOT(ISNUMBER(B780)),"Needs a date",IF(C780="","Needs a client",IF(COUNTIF(Clients!$B$6:$B$105,C780)=0,"Not on Clients",IF(COUNT(D780:M780)=0,"Nothing measured","")))))</f>
        <v/>
      </c>
      <c r="P780" s="1">
        <f>IF(AND(O780="",ISNUMBER(B780)),INT(B780),0)</f>
        <v/>
      </c>
      <c r="Q780">
        <f>IF(AND(P780&gt;0,C780=Report!$C$5),P780*10000+ROW(),"")</f>
        <v/>
      </c>
      <c r="R780">
        <f>IF(AND(Q780&lt;&gt;"",ISNUMBER(D780)),Q780,"")</f>
        <v/>
      </c>
      <c r="S780">
        <f>IF(AND(Q780&lt;&gt;"",ISNUMBER(E780)),Q780,"")</f>
        <v/>
      </c>
      <c r="T780">
        <f>IF(AND(Q780&lt;&gt;"",ISNUMBER(F780)),Q780,"")</f>
        <v/>
      </c>
      <c r="U780">
        <f>IF(AND(Q780&lt;&gt;"",ISNUMBER(G780)),Q780,"")</f>
        <v/>
      </c>
      <c r="V780">
        <f>IF(AND(Q780&lt;&gt;"",ISNUMBER(H780)),Q780,"")</f>
        <v/>
      </c>
      <c r="W780">
        <f>IF(AND(Q780&lt;&gt;"",ISNUMBER(I780)),Q780,"")</f>
        <v/>
      </c>
      <c r="X780">
        <f>IF(AND(Q780&lt;&gt;"",ISNUMBER(J780)),Q780,"")</f>
        <v/>
      </c>
      <c r="Y780">
        <f>IF(AND(Q780&lt;&gt;"",ISNUMBER(K780)),Q780,"")</f>
        <v/>
      </c>
      <c r="Z780">
        <f>IF(AND(Q780&lt;&gt;"",ISNUMBER(L780)),Q780,"")</f>
        <v/>
      </c>
      <c r="AA780">
        <f>IF(AND(Q780&lt;&gt;"",ISNUMBER(M780)),Q780,"")</f>
        <v/>
      </c>
      <c r="AB780">
        <f>IF(AND(Q780&lt;&gt;"",ISNUMBER(K780)),K780,"")</f>
        <v/>
      </c>
      <c r="AC780">
        <f>IF(AND(Q780&lt;&gt;"",ISNUMBER(L780)),L780,"")</f>
        <v/>
      </c>
      <c r="AD780">
        <f>IF(AND(Q780&lt;&gt;"",ISNUMBER(M780)),M780,"")</f>
        <v/>
      </c>
    </row>
    <row r="781">
      <c r="A781" s="1" t="n"/>
      <c r="B781" s="17" t="n"/>
      <c r="C781" s="27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9" t="n"/>
      <c r="N781" s="21" t="n"/>
      <c r="O781" s="12">
        <f>IF(AND(B781="",C781=""),"",IF(NOT(ISNUMBER(B781)),"Needs a date",IF(C781="","Needs a client",IF(COUNTIF(Clients!$B$6:$B$105,C781)=0,"Not on Clients",IF(COUNT(D781:M781)=0,"Nothing measured","")))))</f>
        <v/>
      </c>
      <c r="P781" s="1">
        <f>IF(AND(O781="",ISNUMBER(B781)),INT(B781),0)</f>
        <v/>
      </c>
      <c r="Q781">
        <f>IF(AND(P781&gt;0,C781=Report!$C$5),P781*10000+ROW(),"")</f>
        <v/>
      </c>
      <c r="R781">
        <f>IF(AND(Q781&lt;&gt;"",ISNUMBER(D781)),Q781,"")</f>
        <v/>
      </c>
      <c r="S781">
        <f>IF(AND(Q781&lt;&gt;"",ISNUMBER(E781)),Q781,"")</f>
        <v/>
      </c>
      <c r="T781">
        <f>IF(AND(Q781&lt;&gt;"",ISNUMBER(F781)),Q781,"")</f>
        <v/>
      </c>
      <c r="U781">
        <f>IF(AND(Q781&lt;&gt;"",ISNUMBER(G781)),Q781,"")</f>
        <v/>
      </c>
      <c r="V781">
        <f>IF(AND(Q781&lt;&gt;"",ISNUMBER(H781)),Q781,"")</f>
        <v/>
      </c>
      <c r="W781">
        <f>IF(AND(Q781&lt;&gt;"",ISNUMBER(I781)),Q781,"")</f>
        <v/>
      </c>
      <c r="X781">
        <f>IF(AND(Q781&lt;&gt;"",ISNUMBER(J781)),Q781,"")</f>
        <v/>
      </c>
      <c r="Y781">
        <f>IF(AND(Q781&lt;&gt;"",ISNUMBER(K781)),Q781,"")</f>
        <v/>
      </c>
      <c r="Z781">
        <f>IF(AND(Q781&lt;&gt;"",ISNUMBER(L781)),Q781,"")</f>
        <v/>
      </c>
      <c r="AA781">
        <f>IF(AND(Q781&lt;&gt;"",ISNUMBER(M781)),Q781,"")</f>
        <v/>
      </c>
      <c r="AB781">
        <f>IF(AND(Q781&lt;&gt;"",ISNUMBER(K781)),K781,"")</f>
        <v/>
      </c>
      <c r="AC781">
        <f>IF(AND(Q781&lt;&gt;"",ISNUMBER(L781)),L781,"")</f>
        <v/>
      </c>
      <c r="AD781">
        <f>IF(AND(Q781&lt;&gt;"",ISNUMBER(M781)),M781,"")</f>
        <v/>
      </c>
    </row>
    <row r="782">
      <c r="A782" s="1" t="n"/>
      <c r="B782" s="17" t="n"/>
      <c r="C782" s="27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9" t="n"/>
      <c r="N782" s="21" t="n"/>
      <c r="O782" s="12">
        <f>IF(AND(B782="",C782=""),"",IF(NOT(ISNUMBER(B782)),"Needs a date",IF(C782="","Needs a client",IF(COUNTIF(Clients!$B$6:$B$105,C782)=0,"Not on Clients",IF(COUNT(D782:M782)=0,"Nothing measured","")))))</f>
        <v/>
      </c>
      <c r="P782" s="1">
        <f>IF(AND(O782="",ISNUMBER(B782)),INT(B782),0)</f>
        <v/>
      </c>
      <c r="Q782">
        <f>IF(AND(P782&gt;0,C782=Report!$C$5),P782*10000+ROW(),"")</f>
        <v/>
      </c>
      <c r="R782">
        <f>IF(AND(Q782&lt;&gt;"",ISNUMBER(D782)),Q782,"")</f>
        <v/>
      </c>
      <c r="S782">
        <f>IF(AND(Q782&lt;&gt;"",ISNUMBER(E782)),Q782,"")</f>
        <v/>
      </c>
      <c r="T782">
        <f>IF(AND(Q782&lt;&gt;"",ISNUMBER(F782)),Q782,"")</f>
        <v/>
      </c>
      <c r="U782">
        <f>IF(AND(Q782&lt;&gt;"",ISNUMBER(G782)),Q782,"")</f>
        <v/>
      </c>
      <c r="V782">
        <f>IF(AND(Q782&lt;&gt;"",ISNUMBER(H782)),Q782,"")</f>
        <v/>
      </c>
      <c r="W782">
        <f>IF(AND(Q782&lt;&gt;"",ISNUMBER(I782)),Q782,"")</f>
        <v/>
      </c>
      <c r="X782">
        <f>IF(AND(Q782&lt;&gt;"",ISNUMBER(J782)),Q782,"")</f>
        <v/>
      </c>
      <c r="Y782">
        <f>IF(AND(Q782&lt;&gt;"",ISNUMBER(K782)),Q782,"")</f>
        <v/>
      </c>
      <c r="Z782">
        <f>IF(AND(Q782&lt;&gt;"",ISNUMBER(L782)),Q782,"")</f>
        <v/>
      </c>
      <c r="AA782">
        <f>IF(AND(Q782&lt;&gt;"",ISNUMBER(M782)),Q782,"")</f>
        <v/>
      </c>
      <c r="AB782">
        <f>IF(AND(Q782&lt;&gt;"",ISNUMBER(K782)),K782,"")</f>
        <v/>
      </c>
      <c r="AC782">
        <f>IF(AND(Q782&lt;&gt;"",ISNUMBER(L782)),L782,"")</f>
        <v/>
      </c>
      <c r="AD782">
        <f>IF(AND(Q782&lt;&gt;"",ISNUMBER(M782)),M782,"")</f>
        <v/>
      </c>
    </row>
    <row r="783">
      <c r="A783" s="1" t="n"/>
      <c r="B783" s="17" t="n"/>
      <c r="C783" s="27" t="n"/>
      <c r="D783" s="28" t="n"/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9" t="n"/>
      <c r="N783" s="21" t="n"/>
      <c r="O783" s="12">
        <f>IF(AND(B783="",C783=""),"",IF(NOT(ISNUMBER(B783)),"Needs a date",IF(C783="","Needs a client",IF(COUNTIF(Clients!$B$6:$B$105,C783)=0,"Not on Clients",IF(COUNT(D783:M783)=0,"Nothing measured","")))))</f>
        <v/>
      </c>
      <c r="P783" s="1">
        <f>IF(AND(O783="",ISNUMBER(B783)),INT(B783),0)</f>
        <v/>
      </c>
      <c r="Q783">
        <f>IF(AND(P783&gt;0,C783=Report!$C$5),P783*10000+ROW(),"")</f>
        <v/>
      </c>
      <c r="R783">
        <f>IF(AND(Q783&lt;&gt;"",ISNUMBER(D783)),Q783,"")</f>
        <v/>
      </c>
      <c r="S783">
        <f>IF(AND(Q783&lt;&gt;"",ISNUMBER(E783)),Q783,"")</f>
        <v/>
      </c>
      <c r="T783">
        <f>IF(AND(Q783&lt;&gt;"",ISNUMBER(F783)),Q783,"")</f>
        <v/>
      </c>
      <c r="U783">
        <f>IF(AND(Q783&lt;&gt;"",ISNUMBER(G783)),Q783,"")</f>
        <v/>
      </c>
      <c r="V783">
        <f>IF(AND(Q783&lt;&gt;"",ISNUMBER(H783)),Q783,"")</f>
        <v/>
      </c>
      <c r="W783">
        <f>IF(AND(Q783&lt;&gt;"",ISNUMBER(I783)),Q783,"")</f>
        <v/>
      </c>
      <c r="X783">
        <f>IF(AND(Q783&lt;&gt;"",ISNUMBER(J783)),Q783,"")</f>
        <v/>
      </c>
      <c r="Y783">
        <f>IF(AND(Q783&lt;&gt;"",ISNUMBER(K783)),Q783,"")</f>
        <v/>
      </c>
      <c r="Z783">
        <f>IF(AND(Q783&lt;&gt;"",ISNUMBER(L783)),Q783,"")</f>
        <v/>
      </c>
      <c r="AA783">
        <f>IF(AND(Q783&lt;&gt;"",ISNUMBER(M783)),Q783,"")</f>
        <v/>
      </c>
      <c r="AB783">
        <f>IF(AND(Q783&lt;&gt;"",ISNUMBER(K783)),K783,"")</f>
        <v/>
      </c>
      <c r="AC783">
        <f>IF(AND(Q783&lt;&gt;"",ISNUMBER(L783)),L783,"")</f>
        <v/>
      </c>
      <c r="AD783">
        <f>IF(AND(Q783&lt;&gt;"",ISNUMBER(M783)),M783,"")</f>
        <v/>
      </c>
    </row>
    <row r="784">
      <c r="A784" s="1" t="n"/>
      <c r="B784" s="17" t="n"/>
      <c r="C784" s="27" t="n"/>
      <c r="D784" s="28" t="n"/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9" t="n"/>
      <c r="N784" s="21" t="n"/>
      <c r="O784" s="12">
        <f>IF(AND(B784="",C784=""),"",IF(NOT(ISNUMBER(B784)),"Needs a date",IF(C784="","Needs a client",IF(COUNTIF(Clients!$B$6:$B$105,C784)=0,"Not on Clients",IF(COUNT(D784:M784)=0,"Nothing measured","")))))</f>
        <v/>
      </c>
      <c r="P784" s="1">
        <f>IF(AND(O784="",ISNUMBER(B784)),INT(B784),0)</f>
        <v/>
      </c>
      <c r="Q784">
        <f>IF(AND(P784&gt;0,C784=Report!$C$5),P784*10000+ROW(),"")</f>
        <v/>
      </c>
      <c r="R784">
        <f>IF(AND(Q784&lt;&gt;"",ISNUMBER(D784)),Q784,"")</f>
        <v/>
      </c>
      <c r="S784">
        <f>IF(AND(Q784&lt;&gt;"",ISNUMBER(E784)),Q784,"")</f>
        <v/>
      </c>
      <c r="T784">
        <f>IF(AND(Q784&lt;&gt;"",ISNUMBER(F784)),Q784,"")</f>
        <v/>
      </c>
      <c r="U784">
        <f>IF(AND(Q784&lt;&gt;"",ISNUMBER(G784)),Q784,"")</f>
        <v/>
      </c>
      <c r="V784">
        <f>IF(AND(Q784&lt;&gt;"",ISNUMBER(H784)),Q784,"")</f>
        <v/>
      </c>
      <c r="W784">
        <f>IF(AND(Q784&lt;&gt;"",ISNUMBER(I784)),Q784,"")</f>
        <v/>
      </c>
      <c r="X784">
        <f>IF(AND(Q784&lt;&gt;"",ISNUMBER(J784)),Q784,"")</f>
        <v/>
      </c>
      <c r="Y784">
        <f>IF(AND(Q784&lt;&gt;"",ISNUMBER(K784)),Q784,"")</f>
        <v/>
      </c>
      <c r="Z784">
        <f>IF(AND(Q784&lt;&gt;"",ISNUMBER(L784)),Q784,"")</f>
        <v/>
      </c>
      <c r="AA784">
        <f>IF(AND(Q784&lt;&gt;"",ISNUMBER(M784)),Q784,"")</f>
        <v/>
      </c>
      <c r="AB784">
        <f>IF(AND(Q784&lt;&gt;"",ISNUMBER(K784)),K784,"")</f>
        <v/>
      </c>
      <c r="AC784">
        <f>IF(AND(Q784&lt;&gt;"",ISNUMBER(L784)),L784,"")</f>
        <v/>
      </c>
      <c r="AD784">
        <f>IF(AND(Q784&lt;&gt;"",ISNUMBER(M784)),M784,"")</f>
        <v/>
      </c>
    </row>
    <row r="785">
      <c r="A785" s="1" t="n"/>
      <c r="B785" s="17" t="n"/>
      <c r="C785" s="27" t="n"/>
      <c r="D785" s="28" t="n"/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9" t="n"/>
      <c r="N785" s="21" t="n"/>
      <c r="O785" s="12">
        <f>IF(AND(B785="",C785=""),"",IF(NOT(ISNUMBER(B785)),"Needs a date",IF(C785="","Needs a client",IF(COUNTIF(Clients!$B$6:$B$105,C785)=0,"Not on Clients",IF(COUNT(D785:M785)=0,"Nothing measured","")))))</f>
        <v/>
      </c>
      <c r="P785" s="1">
        <f>IF(AND(O785="",ISNUMBER(B785)),INT(B785),0)</f>
        <v/>
      </c>
      <c r="Q785">
        <f>IF(AND(P785&gt;0,C785=Report!$C$5),P785*10000+ROW(),"")</f>
        <v/>
      </c>
      <c r="R785">
        <f>IF(AND(Q785&lt;&gt;"",ISNUMBER(D785)),Q785,"")</f>
        <v/>
      </c>
      <c r="S785">
        <f>IF(AND(Q785&lt;&gt;"",ISNUMBER(E785)),Q785,"")</f>
        <v/>
      </c>
      <c r="T785">
        <f>IF(AND(Q785&lt;&gt;"",ISNUMBER(F785)),Q785,"")</f>
        <v/>
      </c>
      <c r="U785">
        <f>IF(AND(Q785&lt;&gt;"",ISNUMBER(G785)),Q785,"")</f>
        <v/>
      </c>
      <c r="V785">
        <f>IF(AND(Q785&lt;&gt;"",ISNUMBER(H785)),Q785,"")</f>
        <v/>
      </c>
      <c r="W785">
        <f>IF(AND(Q785&lt;&gt;"",ISNUMBER(I785)),Q785,"")</f>
        <v/>
      </c>
      <c r="X785">
        <f>IF(AND(Q785&lt;&gt;"",ISNUMBER(J785)),Q785,"")</f>
        <v/>
      </c>
      <c r="Y785">
        <f>IF(AND(Q785&lt;&gt;"",ISNUMBER(K785)),Q785,"")</f>
        <v/>
      </c>
      <c r="Z785">
        <f>IF(AND(Q785&lt;&gt;"",ISNUMBER(L785)),Q785,"")</f>
        <v/>
      </c>
      <c r="AA785">
        <f>IF(AND(Q785&lt;&gt;"",ISNUMBER(M785)),Q785,"")</f>
        <v/>
      </c>
      <c r="AB785">
        <f>IF(AND(Q785&lt;&gt;"",ISNUMBER(K785)),K785,"")</f>
        <v/>
      </c>
      <c r="AC785">
        <f>IF(AND(Q785&lt;&gt;"",ISNUMBER(L785)),L785,"")</f>
        <v/>
      </c>
      <c r="AD785">
        <f>IF(AND(Q785&lt;&gt;"",ISNUMBER(M785)),M785,"")</f>
        <v/>
      </c>
    </row>
    <row r="786">
      <c r="A786" s="1" t="n"/>
      <c r="B786" s="17" t="n"/>
      <c r="C786" s="27" t="n"/>
      <c r="D786" s="28" t="n"/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9" t="n"/>
      <c r="N786" s="21" t="n"/>
      <c r="O786" s="12">
        <f>IF(AND(B786="",C786=""),"",IF(NOT(ISNUMBER(B786)),"Needs a date",IF(C786="","Needs a client",IF(COUNTIF(Clients!$B$6:$B$105,C786)=0,"Not on Clients",IF(COUNT(D786:M786)=0,"Nothing measured","")))))</f>
        <v/>
      </c>
      <c r="P786" s="1">
        <f>IF(AND(O786="",ISNUMBER(B786)),INT(B786),0)</f>
        <v/>
      </c>
      <c r="Q786">
        <f>IF(AND(P786&gt;0,C786=Report!$C$5),P786*10000+ROW(),"")</f>
        <v/>
      </c>
      <c r="R786">
        <f>IF(AND(Q786&lt;&gt;"",ISNUMBER(D786)),Q786,"")</f>
        <v/>
      </c>
      <c r="S786">
        <f>IF(AND(Q786&lt;&gt;"",ISNUMBER(E786)),Q786,"")</f>
        <v/>
      </c>
      <c r="T786">
        <f>IF(AND(Q786&lt;&gt;"",ISNUMBER(F786)),Q786,"")</f>
        <v/>
      </c>
      <c r="U786">
        <f>IF(AND(Q786&lt;&gt;"",ISNUMBER(G786)),Q786,"")</f>
        <v/>
      </c>
      <c r="V786">
        <f>IF(AND(Q786&lt;&gt;"",ISNUMBER(H786)),Q786,"")</f>
        <v/>
      </c>
      <c r="W786">
        <f>IF(AND(Q786&lt;&gt;"",ISNUMBER(I786)),Q786,"")</f>
        <v/>
      </c>
      <c r="X786">
        <f>IF(AND(Q786&lt;&gt;"",ISNUMBER(J786)),Q786,"")</f>
        <v/>
      </c>
      <c r="Y786">
        <f>IF(AND(Q786&lt;&gt;"",ISNUMBER(K786)),Q786,"")</f>
        <v/>
      </c>
      <c r="Z786">
        <f>IF(AND(Q786&lt;&gt;"",ISNUMBER(L786)),Q786,"")</f>
        <v/>
      </c>
      <c r="AA786">
        <f>IF(AND(Q786&lt;&gt;"",ISNUMBER(M786)),Q786,"")</f>
        <v/>
      </c>
      <c r="AB786">
        <f>IF(AND(Q786&lt;&gt;"",ISNUMBER(K786)),K786,"")</f>
        <v/>
      </c>
      <c r="AC786">
        <f>IF(AND(Q786&lt;&gt;"",ISNUMBER(L786)),L786,"")</f>
        <v/>
      </c>
      <c r="AD786">
        <f>IF(AND(Q786&lt;&gt;"",ISNUMBER(M786)),M786,"")</f>
        <v/>
      </c>
    </row>
    <row r="787">
      <c r="A787" s="1" t="n"/>
      <c r="B787" s="17" t="n"/>
      <c r="C787" s="27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9" t="n"/>
      <c r="N787" s="21" t="n"/>
      <c r="O787" s="12">
        <f>IF(AND(B787="",C787=""),"",IF(NOT(ISNUMBER(B787)),"Needs a date",IF(C787="","Needs a client",IF(COUNTIF(Clients!$B$6:$B$105,C787)=0,"Not on Clients",IF(COUNT(D787:M787)=0,"Nothing measured","")))))</f>
        <v/>
      </c>
      <c r="P787" s="1">
        <f>IF(AND(O787="",ISNUMBER(B787)),INT(B787),0)</f>
        <v/>
      </c>
      <c r="Q787">
        <f>IF(AND(P787&gt;0,C787=Report!$C$5),P787*10000+ROW(),"")</f>
        <v/>
      </c>
      <c r="R787">
        <f>IF(AND(Q787&lt;&gt;"",ISNUMBER(D787)),Q787,"")</f>
        <v/>
      </c>
      <c r="S787">
        <f>IF(AND(Q787&lt;&gt;"",ISNUMBER(E787)),Q787,"")</f>
        <v/>
      </c>
      <c r="T787">
        <f>IF(AND(Q787&lt;&gt;"",ISNUMBER(F787)),Q787,"")</f>
        <v/>
      </c>
      <c r="U787">
        <f>IF(AND(Q787&lt;&gt;"",ISNUMBER(G787)),Q787,"")</f>
        <v/>
      </c>
      <c r="V787">
        <f>IF(AND(Q787&lt;&gt;"",ISNUMBER(H787)),Q787,"")</f>
        <v/>
      </c>
      <c r="W787">
        <f>IF(AND(Q787&lt;&gt;"",ISNUMBER(I787)),Q787,"")</f>
        <v/>
      </c>
      <c r="X787">
        <f>IF(AND(Q787&lt;&gt;"",ISNUMBER(J787)),Q787,"")</f>
        <v/>
      </c>
      <c r="Y787">
        <f>IF(AND(Q787&lt;&gt;"",ISNUMBER(K787)),Q787,"")</f>
        <v/>
      </c>
      <c r="Z787">
        <f>IF(AND(Q787&lt;&gt;"",ISNUMBER(L787)),Q787,"")</f>
        <v/>
      </c>
      <c r="AA787">
        <f>IF(AND(Q787&lt;&gt;"",ISNUMBER(M787)),Q787,"")</f>
        <v/>
      </c>
      <c r="AB787">
        <f>IF(AND(Q787&lt;&gt;"",ISNUMBER(K787)),K787,"")</f>
        <v/>
      </c>
      <c r="AC787">
        <f>IF(AND(Q787&lt;&gt;"",ISNUMBER(L787)),L787,"")</f>
        <v/>
      </c>
      <c r="AD787">
        <f>IF(AND(Q787&lt;&gt;"",ISNUMBER(M787)),M787,"")</f>
        <v/>
      </c>
    </row>
    <row r="788">
      <c r="A788" s="1" t="n"/>
      <c r="B788" s="17" t="n"/>
      <c r="C788" s="27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9" t="n"/>
      <c r="N788" s="21" t="n"/>
      <c r="O788" s="12">
        <f>IF(AND(B788="",C788=""),"",IF(NOT(ISNUMBER(B788)),"Needs a date",IF(C788="","Needs a client",IF(COUNTIF(Clients!$B$6:$B$105,C788)=0,"Not on Clients",IF(COUNT(D788:M788)=0,"Nothing measured","")))))</f>
        <v/>
      </c>
      <c r="P788" s="1">
        <f>IF(AND(O788="",ISNUMBER(B788)),INT(B788),0)</f>
        <v/>
      </c>
      <c r="Q788">
        <f>IF(AND(P788&gt;0,C788=Report!$C$5),P788*10000+ROW(),"")</f>
        <v/>
      </c>
      <c r="R788">
        <f>IF(AND(Q788&lt;&gt;"",ISNUMBER(D788)),Q788,"")</f>
        <v/>
      </c>
      <c r="S788">
        <f>IF(AND(Q788&lt;&gt;"",ISNUMBER(E788)),Q788,"")</f>
        <v/>
      </c>
      <c r="T788">
        <f>IF(AND(Q788&lt;&gt;"",ISNUMBER(F788)),Q788,"")</f>
        <v/>
      </c>
      <c r="U788">
        <f>IF(AND(Q788&lt;&gt;"",ISNUMBER(G788)),Q788,"")</f>
        <v/>
      </c>
      <c r="V788">
        <f>IF(AND(Q788&lt;&gt;"",ISNUMBER(H788)),Q788,"")</f>
        <v/>
      </c>
      <c r="W788">
        <f>IF(AND(Q788&lt;&gt;"",ISNUMBER(I788)),Q788,"")</f>
        <v/>
      </c>
      <c r="X788">
        <f>IF(AND(Q788&lt;&gt;"",ISNUMBER(J788)),Q788,"")</f>
        <v/>
      </c>
      <c r="Y788">
        <f>IF(AND(Q788&lt;&gt;"",ISNUMBER(K788)),Q788,"")</f>
        <v/>
      </c>
      <c r="Z788">
        <f>IF(AND(Q788&lt;&gt;"",ISNUMBER(L788)),Q788,"")</f>
        <v/>
      </c>
      <c r="AA788">
        <f>IF(AND(Q788&lt;&gt;"",ISNUMBER(M788)),Q788,"")</f>
        <v/>
      </c>
      <c r="AB788">
        <f>IF(AND(Q788&lt;&gt;"",ISNUMBER(K788)),K788,"")</f>
        <v/>
      </c>
      <c r="AC788">
        <f>IF(AND(Q788&lt;&gt;"",ISNUMBER(L788)),L788,"")</f>
        <v/>
      </c>
      <c r="AD788">
        <f>IF(AND(Q788&lt;&gt;"",ISNUMBER(M788)),M788,"")</f>
        <v/>
      </c>
    </row>
    <row r="789">
      <c r="A789" s="1" t="n"/>
      <c r="B789" s="17" t="n"/>
      <c r="C789" s="27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9" t="n"/>
      <c r="N789" s="21" t="n"/>
      <c r="O789" s="12">
        <f>IF(AND(B789="",C789=""),"",IF(NOT(ISNUMBER(B789)),"Needs a date",IF(C789="","Needs a client",IF(COUNTIF(Clients!$B$6:$B$105,C789)=0,"Not on Clients",IF(COUNT(D789:M789)=0,"Nothing measured","")))))</f>
        <v/>
      </c>
      <c r="P789" s="1">
        <f>IF(AND(O789="",ISNUMBER(B789)),INT(B789),0)</f>
        <v/>
      </c>
      <c r="Q789">
        <f>IF(AND(P789&gt;0,C789=Report!$C$5),P789*10000+ROW(),"")</f>
        <v/>
      </c>
      <c r="R789">
        <f>IF(AND(Q789&lt;&gt;"",ISNUMBER(D789)),Q789,"")</f>
        <v/>
      </c>
      <c r="S789">
        <f>IF(AND(Q789&lt;&gt;"",ISNUMBER(E789)),Q789,"")</f>
        <v/>
      </c>
      <c r="T789">
        <f>IF(AND(Q789&lt;&gt;"",ISNUMBER(F789)),Q789,"")</f>
        <v/>
      </c>
      <c r="U789">
        <f>IF(AND(Q789&lt;&gt;"",ISNUMBER(G789)),Q789,"")</f>
        <v/>
      </c>
      <c r="V789">
        <f>IF(AND(Q789&lt;&gt;"",ISNUMBER(H789)),Q789,"")</f>
        <v/>
      </c>
      <c r="W789">
        <f>IF(AND(Q789&lt;&gt;"",ISNUMBER(I789)),Q789,"")</f>
        <v/>
      </c>
      <c r="X789">
        <f>IF(AND(Q789&lt;&gt;"",ISNUMBER(J789)),Q789,"")</f>
        <v/>
      </c>
      <c r="Y789">
        <f>IF(AND(Q789&lt;&gt;"",ISNUMBER(K789)),Q789,"")</f>
        <v/>
      </c>
      <c r="Z789">
        <f>IF(AND(Q789&lt;&gt;"",ISNUMBER(L789)),Q789,"")</f>
        <v/>
      </c>
      <c r="AA789">
        <f>IF(AND(Q789&lt;&gt;"",ISNUMBER(M789)),Q789,"")</f>
        <v/>
      </c>
      <c r="AB789">
        <f>IF(AND(Q789&lt;&gt;"",ISNUMBER(K789)),K789,"")</f>
        <v/>
      </c>
      <c r="AC789">
        <f>IF(AND(Q789&lt;&gt;"",ISNUMBER(L789)),L789,"")</f>
        <v/>
      </c>
      <c r="AD789">
        <f>IF(AND(Q789&lt;&gt;"",ISNUMBER(M789)),M789,"")</f>
        <v/>
      </c>
    </row>
    <row r="790">
      <c r="A790" s="1" t="n"/>
      <c r="B790" s="17" t="n"/>
      <c r="C790" s="27" t="n"/>
      <c r="D790" s="28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9" t="n"/>
      <c r="N790" s="21" t="n"/>
      <c r="O790" s="12">
        <f>IF(AND(B790="",C790=""),"",IF(NOT(ISNUMBER(B790)),"Needs a date",IF(C790="","Needs a client",IF(COUNTIF(Clients!$B$6:$B$105,C790)=0,"Not on Clients",IF(COUNT(D790:M790)=0,"Nothing measured","")))))</f>
        <v/>
      </c>
      <c r="P790" s="1">
        <f>IF(AND(O790="",ISNUMBER(B790)),INT(B790),0)</f>
        <v/>
      </c>
      <c r="Q790">
        <f>IF(AND(P790&gt;0,C790=Report!$C$5),P790*10000+ROW(),"")</f>
        <v/>
      </c>
      <c r="R790">
        <f>IF(AND(Q790&lt;&gt;"",ISNUMBER(D790)),Q790,"")</f>
        <v/>
      </c>
      <c r="S790">
        <f>IF(AND(Q790&lt;&gt;"",ISNUMBER(E790)),Q790,"")</f>
        <v/>
      </c>
      <c r="T790">
        <f>IF(AND(Q790&lt;&gt;"",ISNUMBER(F790)),Q790,"")</f>
        <v/>
      </c>
      <c r="U790">
        <f>IF(AND(Q790&lt;&gt;"",ISNUMBER(G790)),Q790,"")</f>
        <v/>
      </c>
      <c r="V790">
        <f>IF(AND(Q790&lt;&gt;"",ISNUMBER(H790)),Q790,"")</f>
        <v/>
      </c>
      <c r="W790">
        <f>IF(AND(Q790&lt;&gt;"",ISNUMBER(I790)),Q790,"")</f>
        <v/>
      </c>
      <c r="X790">
        <f>IF(AND(Q790&lt;&gt;"",ISNUMBER(J790)),Q790,"")</f>
        <v/>
      </c>
      <c r="Y790">
        <f>IF(AND(Q790&lt;&gt;"",ISNUMBER(K790)),Q790,"")</f>
        <v/>
      </c>
      <c r="Z790">
        <f>IF(AND(Q790&lt;&gt;"",ISNUMBER(L790)),Q790,"")</f>
        <v/>
      </c>
      <c r="AA790">
        <f>IF(AND(Q790&lt;&gt;"",ISNUMBER(M790)),Q790,"")</f>
        <v/>
      </c>
      <c r="AB790">
        <f>IF(AND(Q790&lt;&gt;"",ISNUMBER(K790)),K790,"")</f>
        <v/>
      </c>
      <c r="AC790">
        <f>IF(AND(Q790&lt;&gt;"",ISNUMBER(L790)),L790,"")</f>
        <v/>
      </c>
      <c r="AD790">
        <f>IF(AND(Q790&lt;&gt;"",ISNUMBER(M790)),M790,"")</f>
        <v/>
      </c>
    </row>
    <row r="791">
      <c r="A791" s="1" t="n"/>
      <c r="B791" s="17" t="n"/>
      <c r="C791" s="27" t="n"/>
      <c r="D791" s="28" t="n"/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9" t="n"/>
      <c r="N791" s="21" t="n"/>
      <c r="O791" s="12">
        <f>IF(AND(B791="",C791=""),"",IF(NOT(ISNUMBER(B791)),"Needs a date",IF(C791="","Needs a client",IF(COUNTIF(Clients!$B$6:$B$105,C791)=0,"Not on Clients",IF(COUNT(D791:M791)=0,"Nothing measured","")))))</f>
        <v/>
      </c>
      <c r="P791" s="1">
        <f>IF(AND(O791="",ISNUMBER(B791)),INT(B791),0)</f>
        <v/>
      </c>
      <c r="Q791">
        <f>IF(AND(P791&gt;0,C791=Report!$C$5),P791*10000+ROW(),"")</f>
        <v/>
      </c>
      <c r="R791">
        <f>IF(AND(Q791&lt;&gt;"",ISNUMBER(D791)),Q791,"")</f>
        <v/>
      </c>
      <c r="S791">
        <f>IF(AND(Q791&lt;&gt;"",ISNUMBER(E791)),Q791,"")</f>
        <v/>
      </c>
      <c r="T791">
        <f>IF(AND(Q791&lt;&gt;"",ISNUMBER(F791)),Q791,"")</f>
        <v/>
      </c>
      <c r="U791">
        <f>IF(AND(Q791&lt;&gt;"",ISNUMBER(G791)),Q791,"")</f>
        <v/>
      </c>
      <c r="V791">
        <f>IF(AND(Q791&lt;&gt;"",ISNUMBER(H791)),Q791,"")</f>
        <v/>
      </c>
      <c r="W791">
        <f>IF(AND(Q791&lt;&gt;"",ISNUMBER(I791)),Q791,"")</f>
        <v/>
      </c>
      <c r="X791">
        <f>IF(AND(Q791&lt;&gt;"",ISNUMBER(J791)),Q791,"")</f>
        <v/>
      </c>
      <c r="Y791">
        <f>IF(AND(Q791&lt;&gt;"",ISNUMBER(K791)),Q791,"")</f>
        <v/>
      </c>
      <c r="Z791">
        <f>IF(AND(Q791&lt;&gt;"",ISNUMBER(L791)),Q791,"")</f>
        <v/>
      </c>
      <c r="AA791">
        <f>IF(AND(Q791&lt;&gt;"",ISNUMBER(M791)),Q791,"")</f>
        <v/>
      </c>
      <c r="AB791">
        <f>IF(AND(Q791&lt;&gt;"",ISNUMBER(K791)),K791,"")</f>
        <v/>
      </c>
      <c r="AC791">
        <f>IF(AND(Q791&lt;&gt;"",ISNUMBER(L791)),L791,"")</f>
        <v/>
      </c>
      <c r="AD791">
        <f>IF(AND(Q791&lt;&gt;"",ISNUMBER(M791)),M791,"")</f>
        <v/>
      </c>
    </row>
    <row r="792">
      <c r="A792" s="1" t="n"/>
      <c r="B792" s="17" t="n"/>
      <c r="C792" s="27" t="n"/>
      <c r="D792" s="28" t="n"/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9" t="n"/>
      <c r="N792" s="21" t="n"/>
      <c r="O792" s="12">
        <f>IF(AND(B792="",C792=""),"",IF(NOT(ISNUMBER(B792)),"Needs a date",IF(C792="","Needs a client",IF(COUNTIF(Clients!$B$6:$B$105,C792)=0,"Not on Clients",IF(COUNT(D792:M792)=0,"Nothing measured","")))))</f>
        <v/>
      </c>
      <c r="P792" s="1">
        <f>IF(AND(O792="",ISNUMBER(B792)),INT(B792),0)</f>
        <v/>
      </c>
      <c r="Q792">
        <f>IF(AND(P792&gt;0,C792=Report!$C$5),P792*10000+ROW(),"")</f>
        <v/>
      </c>
      <c r="R792">
        <f>IF(AND(Q792&lt;&gt;"",ISNUMBER(D792)),Q792,"")</f>
        <v/>
      </c>
      <c r="S792">
        <f>IF(AND(Q792&lt;&gt;"",ISNUMBER(E792)),Q792,"")</f>
        <v/>
      </c>
      <c r="T792">
        <f>IF(AND(Q792&lt;&gt;"",ISNUMBER(F792)),Q792,"")</f>
        <v/>
      </c>
      <c r="U792">
        <f>IF(AND(Q792&lt;&gt;"",ISNUMBER(G792)),Q792,"")</f>
        <v/>
      </c>
      <c r="V792">
        <f>IF(AND(Q792&lt;&gt;"",ISNUMBER(H792)),Q792,"")</f>
        <v/>
      </c>
      <c r="W792">
        <f>IF(AND(Q792&lt;&gt;"",ISNUMBER(I792)),Q792,"")</f>
        <v/>
      </c>
      <c r="X792">
        <f>IF(AND(Q792&lt;&gt;"",ISNUMBER(J792)),Q792,"")</f>
        <v/>
      </c>
      <c r="Y792">
        <f>IF(AND(Q792&lt;&gt;"",ISNUMBER(K792)),Q792,"")</f>
        <v/>
      </c>
      <c r="Z792">
        <f>IF(AND(Q792&lt;&gt;"",ISNUMBER(L792)),Q792,"")</f>
        <v/>
      </c>
      <c r="AA792">
        <f>IF(AND(Q792&lt;&gt;"",ISNUMBER(M792)),Q792,"")</f>
        <v/>
      </c>
      <c r="AB792">
        <f>IF(AND(Q792&lt;&gt;"",ISNUMBER(K792)),K792,"")</f>
        <v/>
      </c>
      <c r="AC792">
        <f>IF(AND(Q792&lt;&gt;"",ISNUMBER(L792)),L792,"")</f>
        <v/>
      </c>
      <c r="AD792">
        <f>IF(AND(Q792&lt;&gt;"",ISNUMBER(M792)),M792,"")</f>
        <v/>
      </c>
    </row>
    <row r="793">
      <c r="A793" s="1" t="n"/>
      <c r="B793" s="17" t="n"/>
      <c r="C793" s="27" t="n"/>
      <c r="D793" s="28" t="n"/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9" t="n"/>
      <c r="N793" s="21" t="n"/>
      <c r="O793" s="12">
        <f>IF(AND(B793="",C793=""),"",IF(NOT(ISNUMBER(B793)),"Needs a date",IF(C793="","Needs a client",IF(COUNTIF(Clients!$B$6:$B$105,C793)=0,"Not on Clients",IF(COUNT(D793:M793)=0,"Nothing measured","")))))</f>
        <v/>
      </c>
      <c r="P793" s="1">
        <f>IF(AND(O793="",ISNUMBER(B793)),INT(B793),0)</f>
        <v/>
      </c>
      <c r="Q793">
        <f>IF(AND(P793&gt;0,C793=Report!$C$5),P793*10000+ROW(),"")</f>
        <v/>
      </c>
      <c r="R793">
        <f>IF(AND(Q793&lt;&gt;"",ISNUMBER(D793)),Q793,"")</f>
        <v/>
      </c>
      <c r="S793">
        <f>IF(AND(Q793&lt;&gt;"",ISNUMBER(E793)),Q793,"")</f>
        <v/>
      </c>
      <c r="T793">
        <f>IF(AND(Q793&lt;&gt;"",ISNUMBER(F793)),Q793,"")</f>
        <v/>
      </c>
      <c r="U793">
        <f>IF(AND(Q793&lt;&gt;"",ISNUMBER(G793)),Q793,"")</f>
        <v/>
      </c>
      <c r="V793">
        <f>IF(AND(Q793&lt;&gt;"",ISNUMBER(H793)),Q793,"")</f>
        <v/>
      </c>
      <c r="W793">
        <f>IF(AND(Q793&lt;&gt;"",ISNUMBER(I793)),Q793,"")</f>
        <v/>
      </c>
      <c r="X793">
        <f>IF(AND(Q793&lt;&gt;"",ISNUMBER(J793)),Q793,"")</f>
        <v/>
      </c>
      <c r="Y793">
        <f>IF(AND(Q793&lt;&gt;"",ISNUMBER(K793)),Q793,"")</f>
        <v/>
      </c>
      <c r="Z793">
        <f>IF(AND(Q793&lt;&gt;"",ISNUMBER(L793)),Q793,"")</f>
        <v/>
      </c>
      <c r="AA793">
        <f>IF(AND(Q793&lt;&gt;"",ISNUMBER(M793)),Q793,"")</f>
        <v/>
      </c>
      <c r="AB793">
        <f>IF(AND(Q793&lt;&gt;"",ISNUMBER(K793)),K793,"")</f>
        <v/>
      </c>
      <c r="AC793">
        <f>IF(AND(Q793&lt;&gt;"",ISNUMBER(L793)),L793,"")</f>
        <v/>
      </c>
      <c r="AD793">
        <f>IF(AND(Q793&lt;&gt;"",ISNUMBER(M793)),M793,"")</f>
        <v/>
      </c>
    </row>
    <row r="794">
      <c r="A794" s="1" t="n"/>
      <c r="B794" s="17" t="n"/>
      <c r="C794" s="27" t="n"/>
      <c r="D794" s="28" t="n"/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9" t="n"/>
      <c r="N794" s="21" t="n"/>
      <c r="O794" s="12">
        <f>IF(AND(B794="",C794=""),"",IF(NOT(ISNUMBER(B794)),"Needs a date",IF(C794="","Needs a client",IF(COUNTIF(Clients!$B$6:$B$105,C794)=0,"Not on Clients",IF(COUNT(D794:M794)=0,"Nothing measured","")))))</f>
        <v/>
      </c>
      <c r="P794" s="1">
        <f>IF(AND(O794="",ISNUMBER(B794)),INT(B794),0)</f>
        <v/>
      </c>
      <c r="Q794">
        <f>IF(AND(P794&gt;0,C794=Report!$C$5),P794*10000+ROW(),"")</f>
        <v/>
      </c>
      <c r="R794">
        <f>IF(AND(Q794&lt;&gt;"",ISNUMBER(D794)),Q794,"")</f>
        <v/>
      </c>
      <c r="S794">
        <f>IF(AND(Q794&lt;&gt;"",ISNUMBER(E794)),Q794,"")</f>
        <v/>
      </c>
      <c r="T794">
        <f>IF(AND(Q794&lt;&gt;"",ISNUMBER(F794)),Q794,"")</f>
        <v/>
      </c>
      <c r="U794">
        <f>IF(AND(Q794&lt;&gt;"",ISNUMBER(G794)),Q794,"")</f>
        <v/>
      </c>
      <c r="V794">
        <f>IF(AND(Q794&lt;&gt;"",ISNUMBER(H794)),Q794,"")</f>
        <v/>
      </c>
      <c r="W794">
        <f>IF(AND(Q794&lt;&gt;"",ISNUMBER(I794)),Q794,"")</f>
        <v/>
      </c>
      <c r="X794">
        <f>IF(AND(Q794&lt;&gt;"",ISNUMBER(J794)),Q794,"")</f>
        <v/>
      </c>
      <c r="Y794">
        <f>IF(AND(Q794&lt;&gt;"",ISNUMBER(K794)),Q794,"")</f>
        <v/>
      </c>
      <c r="Z794">
        <f>IF(AND(Q794&lt;&gt;"",ISNUMBER(L794)),Q794,"")</f>
        <v/>
      </c>
      <c r="AA794">
        <f>IF(AND(Q794&lt;&gt;"",ISNUMBER(M794)),Q794,"")</f>
        <v/>
      </c>
      <c r="AB794">
        <f>IF(AND(Q794&lt;&gt;"",ISNUMBER(K794)),K794,"")</f>
        <v/>
      </c>
      <c r="AC794">
        <f>IF(AND(Q794&lt;&gt;"",ISNUMBER(L794)),L794,"")</f>
        <v/>
      </c>
      <c r="AD794">
        <f>IF(AND(Q794&lt;&gt;"",ISNUMBER(M794)),M794,"")</f>
        <v/>
      </c>
    </row>
    <row r="795">
      <c r="A795" s="1" t="n"/>
      <c r="B795" s="17" t="n"/>
      <c r="C795" s="27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9" t="n"/>
      <c r="N795" s="21" t="n"/>
      <c r="O795" s="12">
        <f>IF(AND(B795="",C795=""),"",IF(NOT(ISNUMBER(B795)),"Needs a date",IF(C795="","Needs a client",IF(COUNTIF(Clients!$B$6:$B$105,C795)=0,"Not on Clients",IF(COUNT(D795:M795)=0,"Nothing measured","")))))</f>
        <v/>
      </c>
      <c r="P795" s="1">
        <f>IF(AND(O795="",ISNUMBER(B795)),INT(B795),0)</f>
        <v/>
      </c>
      <c r="Q795">
        <f>IF(AND(P795&gt;0,C795=Report!$C$5),P795*10000+ROW(),"")</f>
        <v/>
      </c>
      <c r="R795">
        <f>IF(AND(Q795&lt;&gt;"",ISNUMBER(D795)),Q795,"")</f>
        <v/>
      </c>
      <c r="S795">
        <f>IF(AND(Q795&lt;&gt;"",ISNUMBER(E795)),Q795,"")</f>
        <v/>
      </c>
      <c r="T795">
        <f>IF(AND(Q795&lt;&gt;"",ISNUMBER(F795)),Q795,"")</f>
        <v/>
      </c>
      <c r="U795">
        <f>IF(AND(Q795&lt;&gt;"",ISNUMBER(G795)),Q795,"")</f>
        <v/>
      </c>
      <c r="V795">
        <f>IF(AND(Q795&lt;&gt;"",ISNUMBER(H795)),Q795,"")</f>
        <v/>
      </c>
      <c r="W795">
        <f>IF(AND(Q795&lt;&gt;"",ISNUMBER(I795)),Q795,"")</f>
        <v/>
      </c>
      <c r="X795">
        <f>IF(AND(Q795&lt;&gt;"",ISNUMBER(J795)),Q795,"")</f>
        <v/>
      </c>
      <c r="Y795">
        <f>IF(AND(Q795&lt;&gt;"",ISNUMBER(K795)),Q795,"")</f>
        <v/>
      </c>
      <c r="Z795">
        <f>IF(AND(Q795&lt;&gt;"",ISNUMBER(L795)),Q795,"")</f>
        <v/>
      </c>
      <c r="AA795">
        <f>IF(AND(Q795&lt;&gt;"",ISNUMBER(M795)),Q795,"")</f>
        <v/>
      </c>
      <c r="AB795">
        <f>IF(AND(Q795&lt;&gt;"",ISNUMBER(K795)),K795,"")</f>
        <v/>
      </c>
      <c r="AC795">
        <f>IF(AND(Q795&lt;&gt;"",ISNUMBER(L795)),L795,"")</f>
        <v/>
      </c>
      <c r="AD795">
        <f>IF(AND(Q795&lt;&gt;"",ISNUMBER(M795)),M795,"")</f>
        <v/>
      </c>
    </row>
    <row r="796">
      <c r="A796" s="1" t="n"/>
      <c r="B796" s="17" t="n"/>
      <c r="C796" s="27" t="n"/>
      <c r="D796" s="28" t="n"/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9" t="n"/>
      <c r="N796" s="21" t="n"/>
      <c r="O796" s="12">
        <f>IF(AND(B796="",C796=""),"",IF(NOT(ISNUMBER(B796)),"Needs a date",IF(C796="","Needs a client",IF(COUNTIF(Clients!$B$6:$B$105,C796)=0,"Not on Clients",IF(COUNT(D796:M796)=0,"Nothing measured","")))))</f>
        <v/>
      </c>
      <c r="P796" s="1">
        <f>IF(AND(O796="",ISNUMBER(B796)),INT(B796),0)</f>
        <v/>
      </c>
      <c r="Q796">
        <f>IF(AND(P796&gt;0,C796=Report!$C$5),P796*10000+ROW(),"")</f>
        <v/>
      </c>
      <c r="R796">
        <f>IF(AND(Q796&lt;&gt;"",ISNUMBER(D796)),Q796,"")</f>
        <v/>
      </c>
      <c r="S796">
        <f>IF(AND(Q796&lt;&gt;"",ISNUMBER(E796)),Q796,"")</f>
        <v/>
      </c>
      <c r="T796">
        <f>IF(AND(Q796&lt;&gt;"",ISNUMBER(F796)),Q796,"")</f>
        <v/>
      </c>
      <c r="U796">
        <f>IF(AND(Q796&lt;&gt;"",ISNUMBER(G796)),Q796,"")</f>
        <v/>
      </c>
      <c r="V796">
        <f>IF(AND(Q796&lt;&gt;"",ISNUMBER(H796)),Q796,"")</f>
        <v/>
      </c>
      <c r="W796">
        <f>IF(AND(Q796&lt;&gt;"",ISNUMBER(I796)),Q796,"")</f>
        <v/>
      </c>
      <c r="X796">
        <f>IF(AND(Q796&lt;&gt;"",ISNUMBER(J796)),Q796,"")</f>
        <v/>
      </c>
      <c r="Y796">
        <f>IF(AND(Q796&lt;&gt;"",ISNUMBER(K796)),Q796,"")</f>
        <v/>
      </c>
      <c r="Z796">
        <f>IF(AND(Q796&lt;&gt;"",ISNUMBER(L796)),Q796,"")</f>
        <v/>
      </c>
      <c r="AA796">
        <f>IF(AND(Q796&lt;&gt;"",ISNUMBER(M796)),Q796,"")</f>
        <v/>
      </c>
      <c r="AB796">
        <f>IF(AND(Q796&lt;&gt;"",ISNUMBER(K796)),K796,"")</f>
        <v/>
      </c>
      <c r="AC796">
        <f>IF(AND(Q796&lt;&gt;"",ISNUMBER(L796)),L796,"")</f>
        <v/>
      </c>
      <c r="AD796">
        <f>IF(AND(Q796&lt;&gt;"",ISNUMBER(M796)),M796,"")</f>
        <v/>
      </c>
    </row>
    <row r="797">
      <c r="A797" s="1" t="n"/>
      <c r="B797" s="17" t="n"/>
      <c r="C797" s="27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9" t="n"/>
      <c r="N797" s="21" t="n"/>
      <c r="O797" s="12">
        <f>IF(AND(B797="",C797=""),"",IF(NOT(ISNUMBER(B797)),"Needs a date",IF(C797="","Needs a client",IF(COUNTIF(Clients!$B$6:$B$105,C797)=0,"Not on Clients",IF(COUNT(D797:M797)=0,"Nothing measured","")))))</f>
        <v/>
      </c>
      <c r="P797" s="1">
        <f>IF(AND(O797="",ISNUMBER(B797)),INT(B797),0)</f>
        <v/>
      </c>
      <c r="Q797">
        <f>IF(AND(P797&gt;0,C797=Report!$C$5),P797*10000+ROW(),"")</f>
        <v/>
      </c>
      <c r="R797">
        <f>IF(AND(Q797&lt;&gt;"",ISNUMBER(D797)),Q797,"")</f>
        <v/>
      </c>
      <c r="S797">
        <f>IF(AND(Q797&lt;&gt;"",ISNUMBER(E797)),Q797,"")</f>
        <v/>
      </c>
      <c r="T797">
        <f>IF(AND(Q797&lt;&gt;"",ISNUMBER(F797)),Q797,"")</f>
        <v/>
      </c>
      <c r="U797">
        <f>IF(AND(Q797&lt;&gt;"",ISNUMBER(G797)),Q797,"")</f>
        <v/>
      </c>
      <c r="V797">
        <f>IF(AND(Q797&lt;&gt;"",ISNUMBER(H797)),Q797,"")</f>
        <v/>
      </c>
      <c r="W797">
        <f>IF(AND(Q797&lt;&gt;"",ISNUMBER(I797)),Q797,"")</f>
        <v/>
      </c>
      <c r="X797">
        <f>IF(AND(Q797&lt;&gt;"",ISNUMBER(J797)),Q797,"")</f>
        <v/>
      </c>
      <c r="Y797">
        <f>IF(AND(Q797&lt;&gt;"",ISNUMBER(K797)),Q797,"")</f>
        <v/>
      </c>
      <c r="Z797">
        <f>IF(AND(Q797&lt;&gt;"",ISNUMBER(L797)),Q797,"")</f>
        <v/>
      </c>
      <c r="AA797">
        <f>IF(AND(Q797&lt;&gt;"",ISNUMBER(M797)),Q797,"")</f>
        <v/>
      </c>
      <c r="AB797">
        <f>IF(AND(Q797&lt;&gt;"",ISNUMBER(K797)),K797,"")</f>
        <v/>
      </c>
      <c r="AC797">
        <f>IF(AND(Q797&lt;&gt;"",ISNUMBER(L797)),L797,"")</f>
        <v/>
      </c>
      <c r="AD797">
        <f>IF(AND(Q797&lt;&gt;"",ISNUMBER(M797)),M797,"")</f>
        <v/>
      </c>
    </row>
    <row r="798">
      <c r="A798" s="1" t="n"/>
      <c r="B798" s="17" t="n"/>
      <c r="C798" s="27" t="n"/>
      <c r="D798" s="28" t="n"/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9" t="n"/>
      <c r="N798" s="21" t="n"/>
      <c r="O798" s="12">
        <f>IF(AND(B798="",C798=""),"",IF(NOT(ISNUMBER(B798)),"Needs a date",IF(C798="","Needs a client",IF(COUNTIF(Clients!$B$6:$B$105,C798)=0,"Not on Clients",IF(COUNT(D798:M798)=0,"Nothing measured","")))))</f>
        <v/>
      </c>
      <c r="P798" s="1">
        <f>IF(AND(O798="",ISNUMBER(B798)),INT(B798),0)</f>
        <v/>
      </c>
      <c r="Q798">
        <f>IF(AND(P798&gt;0,C798=Report!$C$5),P798*10000+ROW(),"")</f>
        <v/>
      </c>
      <c r="R798">
        <f>IF(AND(Q798&lt;&gt;"",ISNUMBER(D798)),Q798,"")</f>
        <v/>
      </c>
      <c r="S798">
        <f>IF(AND(Q798&lt;&gt;"",ISNUMBER(E798)),Q798,"")</f>
        <v/>
      </c>
      <c r="T798">
        <f>IF(AND(Q798&lt;&gt;"",ISNUMBER(F798)),Q798,"")</f>
        <v/>
      </c>
      <c r="U798">
        <f>IF(AND(Q798&lt;&gt;"",ISNUMBER(G798)),Q798,"")</f>
        <v/>
      </c>
      <c r="V798">
        <f>IF(AND(Q798&lt;&gt;"",ISNUMBER(H798)),Q798,"")</f>
        <v/>
      </c>
      <c r="W798">
        <f>IF(AND(Q798&lt;&gt;"",ISNUMBER(I798)),Q798,"")</f>
        <v/>
      </c>
      <c r="X798">
        <f>IF(AND(Q798&lt;&gt;"",ISNUMBER(J798)),Q798,"")</f>
        <v/>
      </c>
      <c r="Y798">
        <f>IF(AND(Q798&lt;&gt;"",ISNUMBER(K798)),Q798,"")</f>
        <v/>
      </c>
      <c r="Z798">
        <f>IF(AND(Q798&lt;&gt;"",ISNUMBER(L798)),Q798,"")</f>
        <v/>
      </c>
      <c r="AA798">
        <f>IF(AND(Q798&lt;&gt;"",ISNUMBER(M798)),Q798,"")</f>
        <v/>
      </c>
      <c r="AB798">
        <f>IF(AND(Q798&lt;&gt;"",ISNUMBER(K798)),K798,"")</f>
        <v/>
      </c>
      <c r="AC798">
        <f>IF(AND(Q798&lt;&gt;"",ISNUMBER(L798)),L798,"")</f>
        <v/>
      </c>
      <c r="AD798">
        <f>IF(AND(Q798&lt;&gt;"",ISNUMBER(M798)),M798,"")</f>
        <v/>
      </c>
    </row>
    <row r="799">
      <c r="A799" s="1" t="n"/>
      <c r="B799" s="17" t="n"/>
      <c r="C799" s="27" t="n"/>
      <c r="D799" s="28" t="n"/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9" t="n"/>
      <c r="N799" s="21" t="n"/>
      <c r="O799" s="12">
        <f>IF(AND(B799="",C799=""),"",IF(NOT(ISNUMBER(B799)),"Needs a date",IF(C799="","Needs a client",IF(COUNTIF(Clients!$B$6:$B$105,C799)=0,"Not on Clients",IF(COUNT(D799:M799)=0,"Nothing measured","")))))</f>
        <v/>
      </c>
      <c r="P799" s="1">
        <f>IF(AND(O799="",ISNUMBER(B799)),INT(B799),0)</f>
        <v/>
      </c>
      <c r="Q799">
        <f>IF(AND(P799&gt;0,C799=Report!$C$5),P799*10000+ROW(),"")</f>
        <v/>
      </c>
      <c r="R799">
        <f>IF(AND(Q799&lt;&gt;"",ISNUMBER(D799)),Q799,"")</f>
        <v/>
      </c>
      <c r="S799">
        <f>IF(AND(Q799&lt;&gt;"",ISNUMBER(E799)),Q799,"")</f>
        <v/>
      </c>
      <c r="T799">
        <f>IF(AND(Q799&lt;&gt;"",ISNUMBER(F799)),Q799,"")</f>
        <v/>
      </c>
      <c r="U799">
        <f>IF(AND(Q799&lt;&gt;"",ISNUMBER(G799)),Q799,"")</f>
        <v/>
      </c>
      <c r="V799">
        <f>IF(AND(Q799&lt;&gt;"",ISNUMBER(H799)),Q799,"")</f>
        <v/>
      </c>
      <c r="W799">
        <f>IF(AND(Q799&lt;&gt;"",ISNUMBER(I799)),Q799,"")</f>
        <v/>
      </c>
      <c r="X799">
        <f>IF(AND(Q799&lt;&gt;"",ISNUMBER(J799)),Q799,"")</f>
        <v/>
      </c>
      <c r="Y799">
        <f>IF(AND(Q799&lt;&gt;"",ISNUMBER(K799)),Q799,"")</f>
        <v/>
      </c>
      <c r="Z799">
        <f>IF(AND(Q799&lt;&gt;"",ISNUMBER(L799)),Q799,"")</f>
        <v/>
      </c>
      <c r="AA799">
        <f>IF(AND(Q799&lt;&gt;"",ISNUMBER(M799)),Q799,"")</f>
        <v/>
      </c>
      <c r="AB799">
        <f>IF(AND(Q799&lt;&gt;"",ISNUMBER(K799)),K799,"")</f>
        <v/>
      </c>
      <c r="AC799">
        <f>IF(AND(Q799&lt;&gt;"",ISNUMBER(L799)),L799,"")</f>
        <v/>
      </c>
      <c r="AD799">
        <f>IF(AND(Q799&lt;&gt;"",ISNUMBER(M799)),M799,"")</f>
        <v/>
      </c>
    </row>
    <row r="800">
      <c r="A800" s="1" t="n"/>
      <c r="B800" s="17" t="n"/>
      <c r="C800" s="27" t="n"/>
      <c r="D800" s="28" t="n"/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9" t="n"/>
      <c r="N800" s="21" t="n"/>
      <c r="O800" s="12">
        <f>IF(AND(B800="",C800=""),"",IF(NOT(ISNUMBER(B800)),"Needs a date",IF(C800="","Needs a client",IF(COUNTIF(Clients!$B$6:$B$105,C800)=0,"Not on Clients",IF(COUNT(D800:M800)=0,"Nothing measured","")))))</f>
        <v/>
      </c>
      <c r="P800" s="1">
        <f>IF(AND(O800="",ISNUMBER(B800)),INT(B800),0)</f>
        <v/>
      </c>
      <c r="Q800">
        <f>IF(AND(P800&gt;0,C800=Report!$C$5),P800*10000+ROW(),"")</f>
        <v/>
      </c>
      <c r="R800">
        <f>IF(AND(Q800&lt;&gt;"",ISNUMBER(D800)),Q800,"")</f>
        <v/>
      </c>
      <c r="S800">
        <f>IF(AND(Q800&lt;&gt;"",ISNUMBER(E800)),Q800,"")</f>
        <v/>
      </c>
      <c r="T800">
        <f>IF(AND(Q800&lt;&gt;"",ISNUMBER(F800)),Q800,"")</f>
        <v/>
      </c>
      <c r="U800">
        <f>IF(AND(Q800&lt;&gt;"",ISNUMBER(G800)),Q800,"")</f>
        <v/>
      </c>
      <c r="V800">
        <f>IF(AND(Q800&lt;&gt;"",ISNUMBER(H800)),Q800,"")</f>
        <v/>
      </c>
      <c r="W800">
        <f>IF(AND(Q800&lt;&gt;"",ISNUMBER(I800)),Q800,"")</f>
        <v/>
      </c>
      <c r="X800">
        <f>IF(AND(Q800&lt;&gt;"",ISNUMBER(J800)),Q800,"")</f>
        <v/>
      </c>
      <c r="Y800">
        <f>IF(AND(Q800&lt;&gt;"",ISNUMBER(K800)),Q800,"")</f>
        <v/>
      </c>
      <c r="Z800">
        <f>IF(AND(Q800&lt;&gt;"",ISNUMBER(L800)),Q800,"")</f>
        <v/>
      </c>
      <c r="AA800">
        <f>IF(AND(Q800&lt;&gt;"",ISNUMBER(M800)),Q800,"")</f>
        <v/>
      </c>
      <c r="AB800">
        <f>IF(AND(Q800&lt;&gt;"",ISNUMBER(K800)),K800,"")</f>
        <v/>
      </c>
      <c r="AC800">
        <f>IF(AND(Q800&lt;&gt;"",ISNUMBER(L800)),L800,"")</f>
        <v/>
      </c>
      <c r="AD800">
        <f>IF(AND(Q800&lt;&gt;"",ISNUMBER(M800)),M800,"")</f>
        <v/>
      </c>
    </row>
    <row r="801">
      <c r="A801" s="1" t="n"/>
      <c r="B801" s="17" t="n"/>
      <c r="C801" s="27" t="n"/>
      <c r="D801" s="28" t="n"/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9" t="n"/>
      <c r="N801" s="21" t="n"/>
      <c r="O801" s="12">
        <f>IF(AND(B801="",C801=""),"",IF(NOT(ISNUMBER(B801)),"Needs a date",IF(C801="","Needs a client",IF(COUNTIF(Clients!$B$6:$B$105,C801)=0,"Not on Clients",IF(COUNT(D801:M801)=0,"Nothing measured","")))))</f>
        <v/>
      </c>
      <c r="P801" s="1">
        <f>IF(AND(O801="",ISNUMBER(B801)),INT(B801),0)</f>
        <v/>
      </c>
      <c r="Q801">
        <f>IF(AND(P801&gt;0,C801=Report!$C$5),P801*10000+ROW(),"")</f>
        <v/>
      </c>
      <c r="R801">
        <f>IF(AND(Q801&lt;&gt;"",ISNUMBER(D801)),Q801,"")</f>
        <v/>
      </c>
      <c r="S801">
        <f>IF(AND(Q801&lt;&gt;"",ISNUMBER(E801)),Q801,"")</f>
        <v/>
      </c>
      <c r="T801">
        <f>IF(AND(Q801&lt;&gt;"",ISNUMBER(F801)),Q801,"")</f>
        <v/>
      </c>
      <c r="U801">
        <f>IF(AND(Q801&lt;&gt;"",ISNUMBER(G801)),Q801,"")</f>
        <v/>
      </c>
      <c r="V801">
        <f>IF(AND(Q801&lt;&gt;"",ISNUMBER(H801)),Q801,"")</f>
        <v/>
      </c>
      <c r="W801">
        <f>IF(AND(Q801&lt;&gt;"",ISNUMBER(I801)),Q801,"")</f>
        <v/>
      </c>
      <c r="X801">
        <f>IF(AND(Q801&lt;&gt;"",ISNUMBER(J801)),Q801,"")</f>
        <v/>
      </c>
      <c r="Y801">
        <f>IF(AND(Q801&lt;&gt;"",ISNUMBER(K801)),Q801,"")</f>
        <v/>
      </c>
      <c r="Z801">
        <f>IF(AND(Q801&lt;&gt;"",ISNUMBER(L801)),Q801,"")</f>
        <v/>
      </c>
      <c r="AA801">
        <f>IF(AND(Q801&lt;&gt;"",ISNUMBER(M801)),Q801,"")</f>
        <v/>
      </c>
      <c r="AB801">
        <f>IF(AND(Q801&lt;&gt;"",ISNUMBER(K801)),K801,"")</f>
        <v/>
      </c>
      <c r="AC801">
        <f>IF(AND(Q801&lt;&gt;"",ISNUMBER(L801)),L801,"")</f>
        <v/>
      </c>
      <c r="AD801">
        <f>IF(AND(Q801&lt;&gt;"",ISNUMBER(M801)),M801,"")</f>
        <v/>
      </c>
    </row>
    <row r="802">
      <c r="A802" s="1" t="n"/>
      <c r="B802" s="17" t="n"/>
      <c r="C802" s="27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9" t="n"/>
      <c r="N802" s="21" t="n"/>
      <c r="O802" s="12">
        <f>IF(AND(B802="",C802=""),"",IF(NOT(ISNUMBER(B802)),"Needs a date",IF(C802="","Needs a client",IF(COUNTIF(Clients!$B$6:$B$105,C802)=0,"Not on Clients",IF(COUNT(D802:M802)=0,"Nothing measured","")))))</f>
        <v/>
      </c>
      <c r="P802" s="1">
        <f>IF(AND(O802="",ISNUMBER(B802)),INT(B802),0)</f>
        <v/>
      </c>
      <c r="Q802">
        <f>IF(AND(P802&gt;0,C802=Report!$C$5),P802*10000+ROW(),"")</f>
        <v/>
      </c>
      <c r="R802">
        <f>IF(AND(Q802&lt;&gt;"",ISNUMBER(D802)),Q802,"")</f>
        <v/>
      </c>
      <c r="S802">
        <f>IF(AND(Q802&lt;&gt;"",ISNUMBER(E802)),Q802,"")</f>
        <v/>
      </c>
      <c r="T802">
        <f>IF(AND(Q802&lt;&gt;"",ISNUMBER(F802)),Q802,"")</f>
        <v/>
      </c>
      <c r="U802">
        <f>IF(AND(Q802&lt;&gt;"",ISNUMBER(G802)),Q802,"")</f>
        <v/>
      </c>
      <c r="V802">
        <f>IF(AND(Q802&lt;&gt;"",ISNUMBER(H802)),Q802,"")</f>
        <v/>
      </c>
      <c r="W802">
        <f>IF(AND(Q802&lt;&gt;"",ISNUMBER(I802)),Q802,"")</f>
        <v/>
      </c>
      <c r="X802">
        <f>IF(AND(Q802&lt;&gt;"",ISNUMBER(J802)),Q802,"")</f>
        <v/>
      </c>
      <c r="Y802">
        <f>IF(AND(Q802&lt;&gt;"",ISNUMBER(K802)),Q802,"")</f>
        <v/>
      </c>
      <c r="Z802">
        <f>IF(AND(Q802&lt;&gt;"",ISNUMBER(L802)),Q802,"")</f>
        <v/>
      </c>
      <c r="AA802">
        <f>IF(AND(Q802&lt;&gt;"",ISNUMBER(M802)),Q802,"")</f>
        <v/>
      </c>
      <c r="AB802">
        <f>IF(AND(Q802&lt;&gt;"",ISNUMBER(K802)),K802,"")</f>
        <v/>
      </c>
      <c r="AC802">
        <f>IF(AND(Q802&lt;&gt;"",ISNUMBER(L802)),L802,"")</f>
        <v/>
      </c>
      <c r="AD802">
        <f>IF(AND(Q802&lt;&gt;"",ISNUMBER(M802)),M802,"")</f>
        <v/>
      </c>
    </row>
    <row r="803">
      <c r="A803" s="1" t="n"/>
      <c r="B803" s="17" t="n"/>
      <c r="C803" s="27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9" t="n"/>
      <c r="N803" s="21" t="n"/>
      <c r="O803" s="12">
        <f>IF(AND(B803="",C803=""),"",IF(NOT(ISNUMBER(B803)),"Needs a date",IF(C803="","Needs a client",IF(COUNTIF(Clients!$B$6:$B$105,C803)=0,"Not on Clients",IF(COUNT(D803:M803)=0,"Nothing measured","")))))</f>
        <v/>
      </c>
      <c r="P803" s="1">
        <f>IF(AND(O803="",ISNUMBER(B803)),INT(B803),0)</f>
        <v/>
      </c>
      <c r="Q803">
        <f>IF(AND(P803&gt;0,C803=Report!$C$5),P803*10000+ROW(),"")</f>
        <v/>
      </c>
      <c r="R803">
        <f>IF(AND(Q803&lt;&gt;"",ISNUMBER(D803)),Q803,"")</f>
        <v/>
      </c>
      <c r="S803">
        <f>IF(AND(Q803&lt;&gt;"",ISNUMBER(E803)),Q803,"")</f>
        <v/>
      </c>
      <c r="T803">
        <f>IF(AND(Q803&lt;&gt;"",ISNUMBER(F803)),Q803,"")</f>
        <v/>
      </c>
      <c r="U803">
        <f>IF(AND(Q803&lt;&gt;"",ISNUMBER(G803)),Q803,"")</f>
        <v/>
      </c>
      <c r="V803">
        <f>IF(AND(Q803&lt;&gt;"",ISNUMBER(H803)),Q803,"")</f>
        <v/>
      </c>
      <c r="W803">
        <f>IF(AND(Q803&lt;&gt;"",ISNUMBER(I803)),Q803,"")</f>
        <v/>
      </c>
      <c r="X803">
        <f>IF(AND(Q803&lt;&gt;"",ISNUMBER(J803)),Q803,"")</f>
        <v/>
      </c>
      <c r="Y803">
        <f>IF(AND(Q803&lt;&gt;"",ISNUMBER(K803)),Q803,"")</f>
        <v/>
      </c>
      <c r="Z803">
        <f>IF(AND(Q803&lt;&gt;"",ISNUMBER(L803)),Q803,"")</f>
        <v/>
      </c>
      <c r="AA803">
        <f>IF(AND(Q803&lt;&gt;"",ISNUMBER(M803)),Q803,"")</f>
        <v/>
      </c>
      <c r="AB803">
        <f>IF(AND(Q803&lt;&gt;"",ISNUMBER(K803)),K803,"")</f>
        <v/>
      </c>
      <c r="AC803">
        <f>IF(AND(Q803&lt;&gt;"",ISNUMBER(L803)),L803,"")</f>
        <v/>
      </c>
      <c r="AD803">
        <f>IF(AND(Q803&lt;&gt;"",ISNUMBER(M803)),M803,"")</f>
        <v/>
      </c>
    </row>
    <row r="804">
      <c r="A804" s="1" t="n"/>
      <c r="B804" s="17" t="n"/>
      <c r="C804" s="27" t="n"/>
      <c r="D804" s="2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9" t="n"/>
      <c r="N804" s="21" t="n"/>
      <c r="O804" s="12">
        <f>IF(AND(B804="",C804=""),"",IF(NOT(ISNUMBER(B804)),"Needs a date",IF(C804="","Needs a client",IF(COUNTIF(Clients!$B$6:$B$105,C804)=0,"Not on Clients",IF(COUNT(D804:M804)=0,"Nothing measured","")))))</f>
        <v/>
      </c>
      <c r="P804" s="1">
        <f>IF(AND(O804="",ISNUMBER(B804)),INT(B804),0)</f>
        <v/>
      </c>
      <c r="Q804">
        <f>IF(AND(P804&gt;0,C804=Report!$C$5),P804*10000+ROW(),"")</f>
        <v/>
      </c>
      <c r="R804">
        <f>IF(AND(Q804&lt;&gt;"",ISNUMBER(D804)),Q804,"")</f>
        <v/>
      </c>
      <c r="S804">
        <f>IF(AND(Q804&lt;&gt;"",ISNUMBER(E804)),Q804,"")</f>
        <v/>
      </c>
      <c r="T804">
        <f>IF(AND(Q804&lt;&gt;"",ISNUMBER(F804)),Q804,"")</f>
        <v/>
      </c>
      <c r="U804">
        <f>IF(AND(Q804&lt;&gt;"",ISNUMBER(G804)),Q804,"")</f>
        <v/>
      </c>
      <c r="V804">
        <f>IF(AND(Q804&lt;&gt;"",ISNUMBER(H804)),Q804,"")</f>
        <v/>
      </c>
      <c r="W804">
        <f>IF(AND(Q804&lt;&gt;"",ISNUMBER(I804)),Q804,"")</f>
        <v/>
      </c>
      <c r="X804">
        <f>IF(AND(Q804&lt;&gt;"",ISNUMBER(J804)),Q804,"")</f>
        <v/>
      </c>
      <c r="Y804">
        <f>IF(AND(Q804&lt;&gt;"",ISNUMBER(K804)),Q804,"")</f>
        <v/>
      </c>
      <c r="Z804">
        <f>IF(AND(Q804&lt;&gt;"",ISNUMBER(L804)),Q804,"")</f>
        <v/>
      </c>
      <c r="AA804">
        <f>IF(AND(Q804&lt;&gt;"",ISNUMBER(M804)),Q804,"")</f>
        <v/>
      </c>
      <c r="AB804">
        <f>IF(AND(Q804&lt;&gt;"",ISNUMBER(K804)),K804,"")</f>
        <v/>
      </c>
      <c r="AC804">
        <f>IF(AND(Q804&lt;&gt;"",ISNUMBER(L804)),L804,"")</f>
        <v/>
      </c>
      <c r="AD804">
        <f>IF(AND(Q804&lt;&gt;"",ISNUMBER(M804)),M804,"")</f>
        <v/>
      </c>
    </row>
    <row r="805">
      <c r="A805" s="1" t="n"/>
      <c r="B805" s="17" t="n"/>
      <c r="C805" s="27" t="n"/>
      <c r="D805" s="28" t="n"/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9" t="n"/>
      <c r="N805" s="21" t="n"/>
      <c r="O805" s="12">
        <f>IF(AND(B805="",C805=""),"",IF(NOT(ISNUMBER(B805)),"Needs a date",IF(C805="","Needs a client",IF(COUNTIF(Clients!$B$6:$B$105,C805)=0,"Not on Clients",IF(COUNT(D805:M805)=0,"Nothing measured","")))))</f>
        <v/>
      </c>
      <c r="P805" s="1">
        <f>IF(AND(O805="",ISNUMBER(B805)),INT(B805),0)</f>
        <v/>
      </c>
      <c r="Q805">
        <f>IF(AND(P805&gt;0,C805=Report!$C$5),P805*10000+ROW(),"")</f>
        <v/>
      </c>
      <c r="R805">
        <f>IF(AND(Q805&lt;&gt;"",ISNUMBER(D805)),Q805,"")</f>
        <v/>
      </c>
      <c r="S805">
        <f>IF(AND(Q805&lt;&gt;"",ISNUMBER(E805)),Q805,"")</f>
        <v/>
      </c>
      <c r="T805">
        <f>IF(AND(Q805&lt;&gt;"",ISNUMBER(F805)),Q805,"")</f>
        <v/>
      </c>
      <c r="U805">
        <f>IF(AND(Q805&lt;&gt;"",ISNUMBER(G805)),Q805,"")</f>
        <v/>
      </c>
      <c r="V805">
        <f>IF(AND(Q805&lt;&gt;"",ISNUMBER(H805)),Q805,"")</f>
        <v/>
      </c>
      <c r="W805">
        <f>IF(AND(Q805&lt;&gt;"",ISNUMBER(I805)),Q805,"")</f>
        <v/>
      </c>
      <c r="X805">
        <f>IF(AND(Q805&lt;&gt;"",ISNUMBER(J805)),Q805,"")</f>
        <v/>
      </c>
      <c r="Y805">
        <f>IF(AND(Q805&lt;&gt;"",ISNUMBER(K805)),Q805,"")</f>
        <v/>
      </c>
      <c r="Z805">
        <f>IF(AND(Q805&lt;&gt;"",ISNUMBER(L805)),Q805,"")</f>
        <v/>
      </c>
      <c r="AA805">
        <f>IF(AND(Q805&lt;&gt;"",ISNUMBER(M805)),Q805,"")</f>
        <v/>
      </c>
      <c r="AB805">
        <f>IF(AND(Q805&lt;&gt;"",ISNUMBER(K805)),K805,"")</f>
        <v/>
      </c>
      <c r="AC805">
        <f>IF(AND(Q805&lt;&gt;"",ISNUMBER(L805)),L805,"")</f>
        <v/>
      </c>
      <c r="AD805">
        <f>IF(AND(Q805&lt;&gt;"",ISNUMBER(M805)),M805,"")</f>
        <v/>
      </c>
    </row>
    <row r="806">
      <c r="A806" s="1" t="n"/>
      <c r="B806" s="17" t="n"/>
      <c r="C806" s="27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9" t="n"/>
      <c r="N806" s="21" t="n"/>
      <c r="O806" s="12">
        <f>IF(AND(B806="",C806=""),"",IF(NOT(ISNUMBER(B806)),"Needs a date",IF(C806="","Needs a client",IF(COUNTIF(Clients!$B$6:$B$105,C806)=0,"Not on Clients",IF(COUNT(D806:M806)=0,"Nothing measured","")))))</f>
        <v/>
      </c>
      <c r="P806" s="1">
        <f>IF(AND(O806="",ISNUMBER(B806)),INT(B806),0)</f>
        <v/>
      </c>
      <c r="Q806">
        <f>IF(AND(P806&gt;0,C806=Report!$C$5),P806*10000+ROW(),"")</f>
        <v/>
      </c>
      <c r="R806">
        <f>IF(AND(Q806&lt;&gt;"",ISNUMBER(D806)),Q806,"")</f>
        <v/>
      </c>
      <c r="S806">
        <f>IF(AND(Q806&lt;&gt;"",ISNUMBER(E806)),Q806,"")</f>
        <v/>
      </c>
      <c r="T806">
        <f>IF(AND(Q806&lt;&gt;"",ISNUMBER(F806)),Q806,"")</f>
        <v/>
      </c>
      <c r="U806">
        <f>IF(AND(Q806&lt;&gt;"",ISNUMBER(G806)),Q806,"")</f>
        <v/>
      </c>
      <c r="V806">
        <f>IF(AND(Q806&lt;&gt;"",ISNUMBER(H806)),Q806,"")</f>
        <v/>
      </c>
      <c r="W806">
        <f>IF(AND(Q806&lt;&gt;"",ISNUMBER(I806)),Q806,"")</f>
        <v/>
      </c>
      <c r="X806">
        <f>IF(AND(Q806&lt;&gt;"",ISNUMBER(J806)),Q806,"")</f>
        <v/>
      </c>
      <c r="Y806">
        <f>IF(AND(Q806&lt;&gt;"",ISNUMBER(K806)),Q806,"")</f>
        <v/>
      </c>
      <c r="Z806">
        <f>IF(AND(Q806&lt;&gt;"",ISNUMBER(L806)),Q806,"")</f>
        <v/>
      </c>
      <c r="AA806">
        <f>IF(AND(Q806&lt;&gt;"",ISNUMBER(M806)),Q806,"")</f>
        <v/>
      </c>
      <c r="AB806">
        <f>IF(AND(Q806&lt;&gt;"",ISNUMBER(K806)),K806,"")</f>
        <v/>
      </c>
      <c r="AC806">
        <f>IF(AND(Q806&lt;&gt;"",ISNUMBER(L806)),L806,"")</f>
        <v/>
      </c>
      <c r="AD806">
        <f>IF(AND(Q806&lt;&gt;"",ISNUMBER(M806)),M806,"")</f>
        <v/>
      </c>
    </row>
    <row r="807">
      <c r="A807" s="1" t="n"/>
      <c r="B807" s="17" t="n"/>
      <c r="C807" s="27" t="n"/>
      <c r="D807" s="2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9" t="n"/>
      <c r="N807" s="21" t="n"/>
      <c r="O807" s="12">
        <f>IF(AND(B807="",C807=""),"",IF(NOT(ISNUMBER(B807)),"Needs a date",IF(C807="","Needs a client",IF(COUNTIF(Clients!$B$6:$B$105,C807)=0,"Not on Clients",IF(COUNT(D807:M807)=0,"Nothing measured","")))))</f>
        <v/>
      </c>
      <c r="P807" s="1">
        <f>IF(AND(O807="",ISNUMBER(B807)),INT(B807),0)</f>
        <v/>
      </c>
      <c r="Q807">
        <f>IF(AND(P807&gt;0,C807=Report!$C$5),P807*10000+ROW(),"")</f>
        <v/>
      </c>
      <c r="R807">
        <f>IF(AND(Q807&lt;&gt;"",ISNUMBER(D807)),Q807,"")</f>
        <v/>
      </c>
      <c r="S807">
        <f>IF(AND(Q807&lt;&gt;"",ISNUMBER(E807)),Q807,"")</f>
        <v/>
      </c>
      <c r="T807">
        <f>IF(AND(Q807&lt;&gt;"",ISNUMBER(F807)),Q807,"")</f>
        <v/>
      </c>
      <c r="U807">
        <f>IF(AND(Q807&lt;&gt;"",ISNUMBER(G807)),Q807,"")</f>
        <v/>
      </c>
      <c r="V807">
        <f>IF(AND(Q807&lt;&gt;"",ISNUMBER(H807)),Q807,"")</f>
        <v/>
      </c>
      <c r="W807">
        <f>IF(AND(Q807&lt;&gt;"",ISNUMBER(I807)),Q807,"")</f>
        <v/>
      </c>
      <c r="X807">
        <f>IF(AND(Q807&lt;&gt;"",ISNUMBER(J807)),Q807,"")</f>
        <v/>
      </c>
      <c r="Y807">
        <f>IF(AND(Q807&lt;&gt;"",ISNUMBER(K807)),Q807,"")</f>
        <v/>
      </c>
      <c r="Z807">
        <f>IF(AND(Q807&lt;&gt;"",ISNUMBER(L807)),Q807,"")</f>
        <v/>
      </c>
      <c r="AA807">
        <f>IF(AND(Q807&lt;&gt;"",ISNUMBER(M807)),Q807,"")</f>
        <v/>
      </c>
      <c r="AB807">
        <f>IF(AND(Q807&lt;&gt;"",ISNUMBER(K807)),K807,"")</f>
        <v/>
      </c>
      <c r="AC807">
        <f>IF(AND(Q807&lt;&gt;"",ISNUMBER(L807)),L807,"")</f>
        <v/>
      </c>
      <c r="AD807">
        <f>IF(AND(Q807&lt;&gt;"",ISNUMBER(M807)),M807,"")</f>
        <v/>
      </c>
    </row>
    <row r="808">
      <c r="A808" s="1" t="n"/>
      <c r="B808" s="17" t="n"/>
      <c r="C808" s="27" t="n"/>
      <c r="D808" s="2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9" t="n"/>
      <c r="N808" s="21" t="n"/>
      <c r="O808" s="12">
        <f>IF(AND(B808="",C808=""),"",IF(NOT(ISNUMBER(B808)),"Needs a date",IF(C808="","Needs a client",IF(COUNTIF(Clients!$B$6:$B$105,C808)=0,"Not on Clients",IF(COUNT(D808:M808)=0,"Nothing measured","")))))</f>
        <v/>
      </c>
      <c r="P808" s="1">
        <f>IF(AND(O808="",ISNUMBER(B808)),INT(B808),0)</f>
        <v/>
      </c>
      <c r="Q808">
        <f>IF(AND(P808&gt;0,C808=Report!$C$5),P808*10000+ROW(),"")</f>
        <v/>
      </c>
      <c r="R808">
        <f>IF(AND(Q808&lt;&gt;"",ISNUMBER(D808)),Q808,"")</f>
        <v/>
      </c>
      <c r="S808">
        <f>IF(AND(Q808&lt;&gt;"",ISNUMBER(E808)),Q808,"")</f>
        <v/>
      </c>
      <c r="T808">
        <f>IF(AND(Q808&lt;&gt;"",ISNUMBER(F808)),Q808,"")</f>
        <v/>
      </c>
      <c r="U808">
        <f>IF(AND(Q808&lt;&gt;"",ISNUMBER(G808)),Q808,"")</f>
        <v/>
      </c>
      <c r="V808">
        <f>IF(AND(Q808&lt;&gt;"",ISNUMBER(H808)),Q808,"")</f>
        <v/>
      </c>
      <c r="W808">
        <f>IF(AND(Q808&lt;&gt;"",ISNUMBER(I808)),Q808,"")</f>
        <v/>
      </c>
      <c r="X808">
        <f>IF(AND(Q808&lt;&gt;"",ISNUMBER(J808)),Q808,"")</f>
        <v/>
      </c>
      <c r="Y808">
        <f>IF(AND(Q808&lt;&gt;"",ISNUMBER(K808)),Q808,"")</f>
        <v/>
      </c>
      <c r="Z808">
        <f>IF(AND(Q808&lt;&gt;"",ISNUMBER(L808)),Q808,"")</f>
        <v/>
      </c>
      <c r="AA808">
        <f>IF(AND(Q808&lt;&gt;"",ISNUMBER(M808)),Q808,"")</f>
        <v/>
      </c>
      <c r="AB808">
        <f>IF(AND(Q808&lt;&gt;"",ISNUMBER(K808)),K808,"")</f>
        <v/>
      </c>
      <c r="AC808">
        <f>IF(AND(Q808&lt;&gt;"",ISNUMBER(L808)),L808,"")</f>
        <v/>
      </c>
      <c r="AD808">
        <f>IF(AND(Q808&lt;&gt;"",ISNUMBER(M808)),M808,"")</f>
        <v/>
      </c>
    </row>
    <row r="809">
      <c r="A809" s="1" t="n"/>
      <c r="B809" s="17" t="n"/>
      <c r="C809" s="27" t="n"/>
      <c r="D809" s="28" t="n"/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9" t="n"/>
      <c r="N809" s="21" t="n"/>
      <c r="O809" s="12">
        <f>IF(AND(B809="",C809=""),"",IF(NOT(ISNUMBER(B809)),"Needs a date",IF(C809="","Needs a client",IF(COUNTIF(Clients!$B$6:$B$105,C809)=0,"Not on Clients",IF(COUNT(D809:M809)=0,"Nothing measured","")))))</f>
        <v/>
      </c>
      <c r="P809" s="1">
        <f>IF(AND(O809="",ISNUMBER(B809)),INT(B809),0)</f>
        <v/>
      </c>
      <c r="Q809">
        <f>IF(AND(P809&gt;0,C809=Report!$C$5),P809*10000+ROW(),"")</f>
        <v/>
      </c>
      <c r="R809">
        <f>IF(AND(Q809&lt;&gt;"",ISNUMBER(D809)),Q809,"")</f>
        <v/>
      </c>
      <c r="S809">
        <f>IF(AND(Q809&lt;&gt;"",ISNUMBER(E809)),Q809,"")</f>
        <v/>
      </c>
      <c r="T809">
        <f>IF(AND(Q809&lt;&gt;"",ISNUMBER(F809)),Q809,"")</f>
        <v/>
      </c>
      <c r="U809">
        <f>IF(AND(Q809&lt;&gt;"",ISNUMBER(G809)),Q809,"")</f>
        <v/>
      </c>
      <c r="V809">
        <f>IF(AND(Q809&lt;&gt;"",ISNUMBER(H809)),Q809,"")</f>
        <v/>
      </c>
      <c r="W809">
        <f>IF(AND(Q809&lt;&gt;"",ISNUMBER(I809)),Q809,"")</f>
        <v/>
      </c>
      <c r="X809">
        <f>IF(AND(Q809&lt;&gt;"",ISNUMBER(J809)),Q809,"")</f>
        <v/>
      </c>
      <c r="Y809">
        <f>IF(AND(Q809&lt;&gt;"",ISNUMBER(K809)),Q809,"")</f>
        <v/>
      </c>
      <c r="Z809">
        <f>IF(AND(Q809&lt;&gt;"",ISNUMBER(L809)),Q809,"")</f>
        <v/>
      </c>
      <c r="AA809">
        <f>IF(AND(Q809&lt;&gt;"",ISNUMBER(M809)),Q809,"")</f>
        <v/>
      </c>
      <c r="AB809">
        <f>IF(AND(Q809&lt;&gt;"",ISNUMBER(K809)),K809,"")</f>
        <v/>
      </c>
      <c r="AC809">
        <f>IF(AND(Q809&lt;&gt;"",ISNUMBER(L809)),L809,"")</f>
        <v/>
      </c>
      <c r="AD809">
        <f>IF(AND(Q809&lt;&gt;"",ISNUMBER(M809)),M809,"")</f>
        <v/>
      </c>
    </row>
    <row r="810">
      <c r="A810" s="1" t="n"/>
      <c r="B810" s="17" t="n"/>
      <c r="C810" s="27" t="n"/>
      <c r="D810" s="28" t="n"/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9" t="n"/>
      <c r="N810" s="21" t="n"/>
      <c r="O810" s="12">
        <f>IF(AND(B810="",C810=""),"",IF(NOT(ISNUMBER(B810)),"Needs a date",IF(C810="","Needs a client",IF(COUNTIF(Clients!$B$6:$B$105,C810)=0,"Not on Clients",IF(COUNT(D810:M810)=0,"Nothing measured","")))))</f>
        <v/>
      </c>
      <c r="P810" s="1">
        <f>IF(AND(O810="",ISNUMBER(B810)),INT(B810),0)</f>
        <v/>
      </c>
      <c r="Q810">
        <f>IF(AND(P810&gt;0,C810=Report!$C$5),P810*10000+ROW(),"")</f>
        <v/>
      </c>
      <c r="R810">
        <f>IF(AND(Q810&lt;&gt;"",ISNUMBER(D810)),Q810,"")</f>
        <v/>
      </c>
      <c r="S810">
        <f>IF(AND(Q810&lt;&gt;"",ISNUMBER(E810)),Q810,"")</f>
        <v/>
      </c>
      <c r="T810">
        <f>IF(AND(Q810&lt;&gt;"",ISNUMBER(F810)),Q810,"")</f>
        <v/>
      </c>
      <c r="U810">
        <f>IF(AND(Q810&lt;&gt;"",ISNUMBER(G810)),Q810,"")</f>
        <v/>
      </c>
      <c r="V810">
        <f>IF(AND(Q810&lt;&gt;"",ISNUMBER(H810)),Q810,"")</f>
        <v/>
      </c>
      <c r="W810">
        <f>IF(AND(Q810&lt;&gt;"",ISNUMBER(I810)),Q810,"")</f>
        <v/>
      </c>
      <c r="X810">
        <f>IF(AND(Q810&lt;&gt;"",ISNUMBER(J810)),Q810,"")</f>
        <v/>
      </c>
      <c r="Y810">
        <f>IF(AND(Q810&lt;&gt;"",ISNUMBER(K810)),Q810,"")</f>
        <v/>
      </c>
      <c r="Z810">
        <f>IF(AND(Q810&lt;&gt;"",ISNUMBER(L810)),Q810,"")</f>
        <v/>
      </c>
      <c r="AA810">
        <f>IF(AND(Q810&lt;&gt;"",ISNUMBER(M810)),Q810,"")</f>
        <v/>
      </c>
      <c r="AB810">
        <f>IF(AND(Q810&lt;&gt;"",ISNUMBER(K810)),K810,"")</f>
        <v/>
      </c>
      <c r="AC810">
        <f>IF(AND(Q810&lt;&gt;"",ISNUMBER(L810)),L810,"")</f>
        <v/>
      </c>
      <c r="AD810">
        <f>IF(AND(Q810&lt;&gt;"",ISNUMBER(M810)),M810,"")</f>
        <v/>
      </c>
    </row>
    <row r="811">
      <c r="A811" s="1" t="n"/>
      <c r="B811" s="17" t="n"/>
      <c r="C811" s="27" t="n"/>
      <c r="D811" s="28" t="n"/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9" t="n"/>
      <c r="N811" s="21" t="n"/>
      <c r="O811" s="12">
        <f>IF(AND(B811="",C811=""),"",IF(NOT(ISNUMBER(B811)),"Needs a date",IF(C811="","Needs a client",IF(COUNTIF(Clients!$B$6:$B$105,C811)=0,"Not on Clients",IF(COUNT(D811:M811)=0,"Nothing measured","")))))</f>
        <v/>
      </c>
      <c r="P811" s="1">
        <f>IF(AND(O811="",ISNUMBER(B811)),INT(B811),0)</f>
        <v/>
      </c>
      <c r="Q811">
        <f>IF(AND(P811&gt;0,C811=Report!$C$5),P811*10000+ROW(),"")</f>
        <v/>
      </c>
      <c r="R811">
        <f>IF(AND(Q811&lt;&gt;"",ISNUMBER(D811)),Q811,"")</f>
        <v/>
      </c>
      <c r="S811">
        <f>IF(AND(Q811&lt;&gt;"",ISNUMBER(E811)),Q811,"")</f>
        <v/>
      </c>
      <c r="T811">
        <f>IF(AND(Q811&lt;&gt;"",ISNUMBER(F811)),Q811,"")</f>
        <v/>
      </c>
      <c r="U811">
        <f>IF(AND(Q811&lt;&gt;"",ISNUMBER(G811)),Q811,"")</f>
        <v/>
      </c>
      <c r="V811">
        <f>IF(AND(Q811&lt;&gt;"",ISNUMBER(H811)),Q811,"")</f>
        <v/>
      </c>
      <c r="W811">
        <f>IF(AND(Q811&lt;&gt;"",ISNUMBER(I811)),Q811,"")</f>
        <v/>
      </c>
      <c r="X811">
        <f>IF(AND(Q811&lt;&gt;"",ISNUMBER(J811)),Q811,"")</f>
        <v/>
      </c>
      <c r="Y811">
        <f>IF(AND(Q811&lt;&gt;"",ISNUMBER(K811)),Q811,"")</f>
        <v/>
      </c>
      <c r="Z811">
        <f>IF(AND(Q811&lt;&gt;"",ISNUMBER(L811)),Q811,"")</f>
        <v/>
      </c>
      <c r="AA811">
        <f>IF(AND(Q811&lt;&gt;"",ISNUMBER(M811)),Q811,"")</f>
        <v/>
      </c>
      <c r="AB811">
        <f>IF(AND(Q811&lt;&gt;"",ISNUMBER(K811)),K811,"")</f>
        <v/>
      </c>
      <c r="AC811">
        <f>IF(AND(Q811&lt;&gt;"",ISNUMBER(L811)),L811,"")</f>
        <v/>
      </c>
      <c r="AD811">
        <f>IF(AND(Q811&lt;&gt;"",ISNUMBER(M811)),M811,"")</f>
        <v/>
      </c>
    </row>
    <row r="812">
      <c r="A812" s="1" t="n"/>
      <c r="B812" s="17" t="n"/>
      <c r="C812" s="27" t="n"/>
      <c r="D812" s="2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9" t="n"/>
      <c r="N812" s="21" t="n"/>
      <c r="O812" s="12">
        <f>IF(AND(B812="",C812=""),"",IF(NOT(ISNUMBER(B812)),"Needs a date",IF(C812="","Needs a client",IF(COUNTIF(Clients!$B$6:$B$105,C812)=0,"Not on Clients",IF(COUNT(D812:M812)=0,"Nothing measured","")))))</f>
        <v/>
      </c>
      <c r="P812" s="1">
        <f>IF(AND(O812="",ISNUMBER(B812)),INT(B812),0)</f>
        <v/>
      </c>
      <c r="Q812">
        <f>IF(AND(P812&gt;0,C812=Report!$C$5),P812*10000+ROW(),"")</f>
        <v/>
      </c>
      <c r="R812">
        <f>IF(AND(Q812&lt;&gt;"",ISNUMBER(D812)),Q812,"")</f>
        <v/>
      </c>
      <c r="S812">
        <f>IF(AND(Q812&lt;&gt;"",ISNUMBER(E812)),Q812,"")</f>
        <v/>
      </c>
      <c r="T812">
        <f>IF(AND(Q812&lt;&gt;"",ISNUMBER(F812)),Q812,"")</f>
        <v/>
      </c>
      <c r="U812">
        <f>IF(AND(Q812&lt;&gt;"",ISNUMBER(G812)),Q812,"")</f>
        <v/>
      </c>
      <c r="V812">
        <f>IF(AND(Q812&lt;&gt;"",ISNUMBER(H812)),Q812,"")</f>
        <v/>
      </c>
      <c r="W812">
        <f>IF(AND(Q812&lt;&gt;"",ISNUMBER(I812)),Q812,"")</f>
        <v/>
      </c>
      <c r="X812">
        <f>IF(AND(Q812&lt;&gt;"",ISNUMBER(J812)),Q812,"")</f>
        <v/>
      </c>
      <c r="Y812">
        <f>IF(AND(Q812&lt;&gt;"",ISNUMBER(K812)),Q812,"")</f>
        <v/>
      </c>
      <c r="Z812">
        <f>IF(AND(Q812&lt;&gt;"",ISNUMBER(L812)),Q812,"")</f>
        <v/>
      </c>
      <c r="AA812">
        <f>IF(AND(Q812&lt;&gt;"",ISNUMBER(M812)),Q812,"")</f>
        <v/>
      </c>
      <c r="AB812">
        <f>IF(AND(Q812&lt;&gt;"",ISNUMBER(K812)),K812,"")</f>
        <v/>
      </c>
      <c r="AC812">
        <f>IF(AND(Q812&lt;&gt;"",ISNUMBER(L812)),L812,"")</f>
        <v/>
      </c>
      <c r="AD812">
        <f>IF(AND(Q812&lt;&gt;"",ISNUMBER(M812)),M812,"")</f>
        <v/>
      </c>
    </row>
    <row r="813">
      <c r="A813" s="1" t="n"/>
      <c r="B813" s="17" t="n"/>
      <c r="C813" s="27" t="n"/>
      <c r="D813" s="28" t="n"/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9" t="n"/>
      <c r="N813" s="21" t="n"/>
      <c r="O813" s="12">
        <f>IF(AND(B813="",C813=""),"",IF(NOT(ISNUMBER(B813)),"Needs a date",IF(C813="","Needs a client",IF(COUNTIF(Clients!$B$6:$B$105,C813)=0,"Not on Clients",IF(COUNT(D813:M813)=0,"Nothing measured","")))))</f>
        <v/>
      </c>
      <c r="P813" s="1">
        <f>IF(AND(O813="",ISNUMBER(B813)),INT(B813),0)</f>
        <v/>
      </c>
      <c r="Q813">
        <f>IF(AND(P813&gt;0,C813=Report!$C$5),P813*10000+ROW(),"")</f>
        <v/>
      </c>
      <c r="R813">
        <f>IF(AND(Q813&lt;&gt;"",ISNUMBER(D813)),Q813,"")</f>
        <v/>
      </c>
      <c r="S813">
        <f>IF(AND(Q813&lt;&gt;"",ISNUMBER(E813)),Q813,"")</f>
        <v/>
      </c>
      <c r="T813">
        <f>IF(AND(Q813&lt;&gt;"",ISNUMBER(F813)),Q813,"")</f>
        <v/>
      </c>
      <c r="U813">
        <f>IF(AND(Q813&lt;&gt;"",ISNUMBER(G813)),Q813,"")</f>
        <v/>
      </c>
      <c r="V813">
        <f>IF(AND(Q813&lt;&gt;"",ISNUMBER(H813)),Q813,"")</f>
        <v/>
      </c>
      <c r="W813">
        <f>IF(AND(Q813&lt;&gt;"",ISNUMBER(I813)),Q813,"")</f>
        <v/>
      </c>
      <c r="X813">
        <f>IF(AND(Q813&lt;&gt;"",ISNUMBER(J813)),Q813,"")</f>
        <v/>
      </c>
      <c r="Y813">
        <f>IF(AND(Q813&lt;&gt;"",ISNUMBER(K813)),Q813,"")</f>
        <v/>
      </c>
      <c r="Z813">
        <f>IF(AND(Q813&lt;&gt;"",ISNUMBER(L813)),Q813,"")</f>
        <v/>
      </c>
      <c r="AA813">
        <f>IF(AND(Q813&lt;&gt;"",ISNUMBER(M813)),Q813,"")</f>
        <v/>
      </c>
      <c r="AB813">
        <f>IF(AND(Q813&lt;&gt;"",ISNUMBER(K813)),K813,"")</f>
        <v/>
      </c>
      <c r="AC813">
        <f>IF(AND(Q813&lt;&gt;"",ISNUMBER(L813)),L813,"")</f>
        <v/>
      </c>
      <c r="AD813">
        <f>IF(AND(Q813&lt;&gt;"",ISNUMBER(M813)),M813,"")</f>
        <v/>
      </c>
    </row>
    <row r="814">
      <c r="A814" s="1" t="n"/>
      <c r="B814" s="17" t="n"/>
      <c r="C814" s="27" t="n"/>
      <c r="D814" s="28" t="n"/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9" t="n"/>
      <c r="N814" s="21" t="n"/>
      <c r="O814" s="12">
        <f>IF(AND(B814="",C814=""),"",IF(NOT(ISNUMBER(B814)),"Needs a date",IF(C814="","Needs a client",IF(COUNTIF(Clients!$B$6:$B$105,C814)=0,"Not on Clients",IF(COUNT(D814:M814)=0,"Nothing measured","")))))</f>
        <v/>
      </c>
      <c r="P814" s="1">
        <f>IF(AND(O814="",ISNUMBER(B814)),INT(B814),0)</f>
        <v/>
      </c>
      <c r="Q814">
        <f>IF(AND(P814&gt;0,C814=Report!$C$5),P814*10000+ROW(),"")</f>
        <v/>
      </c>
      <c r="R814">
        <f>IF(AND(Q814&lt;&gt;"",ISNUMBER(D814)),Q814,"")</f>
        <v/>
      </c>
      <c r="S814">
        <f>IF(AND(Q814&lt;&gt;"",ISNUMBER(E814)),Q814,"")</f>
        <v/>
      </c>
      <c r="T814">
        <f>IF(AND(Q814&lt;&gt;"",ISNUMBER(F814)),Q814,"")</f>
        <v/>
      </c>
      <c r="U814">
        <f>IF(AND(Q814&lt;&gt;"",ISNUMBER(G814)),Q814,"")</f>
        <v/>
      </c>
      <c r="V814">
        <f>IF(AND(Q814&lt;&gt;"",ISNUMBER(H814)),Q814,"")</f>
        <v/>
      </c>
      <c r="W814">
        <f>IF(AND(Q814&lt;&gt;"",ISNUMBER(I814)),Q814,"")</f>
        <v/>
      </c>
      <c r="X814">
        <f>IF(AND(Q814&lt;&gt;"",ISNUMBER(J814)),Q814,"")</f>
        <v/>
      </c>
      <c r="Y814">
        <f>IF(AND(Q814&lt;&gt;"",ISNUMBER(K814)),Q814,"")</f>
        <v/>
      </c>
      <c r="Z814">
        <f>IF(AND(Q814&lt;&gt;"",ISNUMBER(L814)),Q814,"")</f>
        <v/>
      </c>
      <c r="AA814">
        <f>IF(AND(Q814&lt;&gt;"",ISNUMBER(M814)),Q814,"")</f>
        <v/>
      </c>
      <c r="AB814">
        <f>IF(AND(Q814&lt;&gt;"",ISNUMBER(K814)),K814,"")</f>
        <v/>
      </c>
      <c r="AC814">
        <f>IF(AND(Q814&lt;&gt;"",ISNUMBER(L814)),L814,"")</f>
        <v/>
      </c>
      <c r="AD814">
        <f>IF(AND(Q814&lt;&gt;"",ISNUMBER(M814)),M814,"")</f>
        <v/>
      </c>
    </row>
    <row r="815">
      <c r="A815" s="1" t="n"/>
      <c r="B815" s="17" t="n"/>
      <c r="C815" s="27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9" t="n"/>
      <c r="N815" s="21" t="n"/>
      <c r="O815" s="12">
        <f>IF(AND(B815="",C815=""),"",IF(NOT(ISNUMBER(B815)),"Needs a date",IF(C815="","Needs a client",IF(COUNTIF(Clients!$B$6:$B$105,C815)=0,"Not on Clients",IF(COUNT(D815:M815)=0,"Nothing measured","")))))</f>
        <v/>
      </c>
      <c r="P815" s="1">
        <f>IF(AND(O815="",ISNUMBER(B815)),INT(B815),0)</f>
        <v/>
      </c>
      <c r="Q815">
        <f>IF(AND(P815&gt;0,C815=Report!$C$5),P815*10000+ROW(),"")</f>
        <v/>
      </c>
      <c r="R815">
        <f>IF(AND(Q815&lt;&gt;"",ISNUMBER(D815)),Q815,"")</f>
        <v/>
      </c>
      <c r="S815">
        <f>IF(AND(Q815&lt;&gt;"",ISNUMBER(E815)),Q815,"")</f>
        <v/>
      </c>
      <c r="T815">
        <f>IF(AND(Q815&lt;&gt;"",ISNUMBER(F815)),Q815,"")</f>
        <v/>
      </c>
      <c r="U815">
        <f>IF(AND(Q815&lt;&gt;"",ISNUMBER(G815)),Q815,"")</f>
        <v/>
      </c>
      <c r="V815">
        <f>IF(AND(Q815&lt;&gt;"",ISNUMBER(H815)),Q815,"")</f>
        <v/>
      </c>
      <c r="W815">
        <f>IF(AND(Q815&lt;&gt;"",ISNUMBER(I815)),Q815,"")</f>
        <v/>
      </c>
      <c r="X815">
        <f>IF(AND(Q815&lt;&gt;"",ISNUMBER(J815)),Q815,"")</f>
        <v/>
      </c>
      <c r="Y815">
        <f>IF(AND(Q815&lt;&gt;"",ISNUMBER(K815)),Q815,"")</f>
        <v/>
      </c>
      <c r="Z815">
        <f>IF(AND(Q815&lt;&gt;"",ISNUMBER(L815)),Q815,"")</f>
        <v/>
      </c>
      <c r="AA815">
        <f>IF(AND(Q815&lt;&gt;"",ISNUMBER(M815)),Q815,"")</f>
        <v/>
      </c>
      <c r="AB815">
        <f>IF(AND(Q815&lt;&gt;"",ISNUMBER(K815)),K815,"")</f>
        <v/>
      </c>
      <c r="AC815">
        <f>IF(AND(Q815&lt;&gt;"",ISNUMBER(L815)),L815,"")</f>
        <v/>
      </c>
      <c r="AD815">
        <f>IF(AND(Q815&lt;&gt;"",ISNUMBER(M815)),M815,"")</f>
        <v/>
      </c>
    </row>
    <row r="816">
      <c r="A816" s="1" t="n"/>
      <c r="B816" s="17" t="n"/>
      <c r="C816" s="27" t="n"/>
      <c r="D816" s="2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9" t="n"/>
      <c r="N816" s="21" t="n"/>
      <c r="O816" s="12">
        <f>IF(AND(B816="",C816=""),"",IF(NOT(ISNUMBER(B816)),"Needs a date",IF(C816="","Needs a client",IF(COUNTIF(Clients!$B$6:$B$105,C816)=0,"Not on Clients",IF(COUNT(D816:M816)=0,"Nothing measured","")))))</f>
        <v/>
      </c>
      <c r="P816" s="1">
        <f>IF(AND(O816="",ISNUMBER(B816)),INT(B816),0)</f>
        <v/>
      </c>
      <c r="Q816">
        <f>IF(AND(P816&gt;0,C816=Report!$C$5),P816*10000+ROW(),"")</f>
        <v/>
      </c>
      <c r="R816">
        <f>IF(AND(Q816&lt;&gt;"",ISNUMBER(D816)),Q816,"")</f>
        <v/>
      </c>
      <c r="S816">
        <f>IF(AND(Q816&lt;&gt;"",ISNUMBER(E816)),Q816,"")</f>
        <v/>
      </c>
      <c r="T816">
        <f>IF(AND(Q816&lt;&gt;"",ISNUMBER(F816)),Q816,"")</f>
        <v/>
      </c>
      <c r="U816">
        <f>IF(AND(Q816&lt;&gt;"",ISNUMBER(G816)),Q816,"")</f>
        <v/>
      </c>
      <c r="V816">
        <f>IF(AND(Q816&lt;&gt;"",ISNUMBER(H816)),Q816,"")</f>
        <v/>
      </c>
      <c r="W816">
        <f>IF(AND(Q816&lt;&gt;"",ISNUMBER(I816)),Q816,"")</f>
        <v/>
      </c>
      <c r="X816">
        <f>IF(AND(Q816&lt;&gt;"",ISNUMBER(J816)),Q816,"")</f>
        <v/>
      </c>
      <c r="Y816">
        <f>IF(AND(Q816&lt;&gt;"",ISNUMBER(K816)),Q816,"")</f>
        <v/>
      </c>
      <c r="Z816">
        <f>IF(AND(Q816&lt;&gt;"",ISNUMBER(L816)),Q816,"")</f>
        <v/>
      </c>
      <c r="AA816">
        <f>IF(AND(Q816&lt;&gt;"",ISNUMBER(M816)),Q816,"")</f>
        <v/>
      </c>
      <c r="AB816">
        <f>IF(AND(Q816&lt;&gt;"",ISNUMBER(K816)),K816,"")</f>
        <v/>
      </c>
      <c r="AC816">
        <f>IF(AND(Q816&lt;&gt;"",ISNUMBER(L816)),L816,"")</f>
        <v/>
      </c>
      <c r="AD816">
        <f>IF(AND(Q816&lt;&gt;"",ISNUMBER(M816)),M816,"")</f>
        <v/>
      </c>
    </row>
    <row r="817">
      <c r="A817" s="1" t="n"/>
      <c r="B817" s="17" t="n"/>
      <c r="C817" s="27" t="n"/>
      <c r="D817" s="2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9" t="n"/>
      <c r="N817" s="21" t="n"/>
      <c r="O817" s="12">
        <f>IF(AND(B817="",C817=""),"",IF(NOT(ISNUMBER(B817)),"Needs a date",IF(C817="","Needs a client",IF(COUNTIF(Clients!$B$6:$B$105,C817)=0,"Not on Clients",IF(COUNT(D817:M817)=0,"Nothing measured","")))))</f>
        <v/>
      </c>
      <c r="P817" s="1">
        <f>IF(AND(O817="",ISNUMBER(B817)),INT(B817),0)</f>
        <v/>
      </c>
      <c r="Q817">
        <f>IF(AND(P817&gt;0,C817=Report!$C$5),P817*10000+ROW(),"")</f>
        <v/>
      </c>
      <c r="R817">
        <f>IF(AND(Q817&lt;&gt;"",ISNUMBER(D817)),Q817,"")</f>
        <v/>
      </c>
      <c r="S817">
        <f>IF(AND(Q817&lt;&gt;"",ISNUMBER(E817)),Q817,"")</f>
        <v/>
      </c>
      <c r="T817">
        <f>IF(AND(Q817&lt;&gt;"",ISNUMBER(F817)),Q817,"")</f>
        <v/>
      </c>
      <c r="U817">
        <f>IF(AND(Q817&lt;&gt;"",ISNUMBER(G817)),Q817,"")</f>
        <v/>
      </c>
      <c r="V817">
        <f>IF(AND(Q817&lt;&gt;"",ISNUMBER(H817)),Q817,"")</f>
        <v/>
      </c>
      <c r="W817">
        <f>IF(AND(Q817&lt;&gt;"",ISNUMBER(I817)),Q817,"")</f>
        <v/>
      </c>
      <c r="X817">
        <f>IF(AND(Q817&lt;&gt;"",ISNUMBER(J817)),Q817,"")</f>
        <v/>
      </c>
      <c r="Y817">
        <f>IF(AND(Q817&lt;&gt;"",ISNUMBER(K817)),Q817,"")</f>
        <v/>
      </c>
      <c r="Z817">
        <f>IF(AND(Q817&lt;&gt;"",ISNUMBER(L817)),Q817,"")</f>
        <v/>
      </c>
      <c r="AA817">
        <f>IF(AND(Q817&lt;&gt;"",ISNUMBER(M817)),Q817,"")</f>
        <v/>
      </c>
      <c r="AB817">
        <f>IF(AND(Q817&lt;&gt;"",ISNUMBER(K817)),K817,"")</f>
        <v/>
      </c>
      <c r="AC817">
        <f>IF(AND(Q817&lt;&gt;"",ISNUMBER(L817)),L817,"")</f>
        <v/>
      </c>
      <c r="AD817">
        <f>IF(AND(Q817&lt;&gt;"",ISNUMBER(M817)),M817,"")</f>
        <v/>
      </c>
    </row>
    <row r="818">
      <c r="A818" s="1" t="n"/>
      <c r="B818" s="17" t="n"/>
      <c r="C818" s="27" t="n"/>
      <c r="D818" s="28" t="n"/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9" t="n"/>
      <c r="N818" s="21" t="n"/>
      <c r="O818" s="12">
        <f>IF(AND(B818="",C818=""),"",IF(NOT(ISNUMBER(B818)),"Needs a date",IF(C818="","Needs a client",IF(COUNTIF(Clients!$B$6:$B$105,C818)=0,"Not on Clients",IF(COUNT(D818:M818)=0,"Nothing measured","")))))</f>
        <v/>
      </c>
      <c r="P818" s="1">
        <f>IF(AND(O818="",ISNUMBER(B818)),INT(B818),0)</f>
        <v/>
      </c>
      <c r="Q818">
        <f>IF(AND(P818&gt;0,C818=Report!$C$5),P818*10000+ROW(),"")</f>
        <v/>
      </c>
      <c r="R818">
        <f>IF(AND(Q818&lt;&gt;"",ISNUMBER(D818)),Q818,"")</f>
        <v/>
      </c>
      <c r="S818">
        <f>IF(AND(Q818&lt;&gt;"",ISNUMBER(E818)),Q818,"")</f>
        <v/>
      </c>
      <c r="T818">
        <f>IF(AND(Q818&lt;&gt;"",ISNUMBER(F818)),Q818,"")</f>
        <v/>
      </c>
      <c r="U818">
        <f>IF(AND(Q818&lt;&gt;"",ISNUMBER(G818)),Q818,"")</f>
        <v/>
      </c>
      <c r="V818">
        <f>IF(AND(Q818&lt;&gt;"",ISNUMBER(H818)),Q818,"")</f>
        <v/>
      </c>
      <c r="W818">
        <f>IF(AND(Q818&lt;&gt;"",ISNUMBER(I818)),Q818,"")</f>
        <v/>
      </c>
      <c r="X818">
        <f>IF(AND(Q818&lt;&gt;"",ISNUMBER(J818)),Q818,"")</f>
        <v/>
      </c>
      <c r="Y818">
        <f>IF(AND(Q818&lt;&gt;"",ISNUMBER(K818)),Q818,"")</f>
        <v/>
      </c>
      <c r="Z818">
        <f>IF(AND(Q818&lt;&gt;"",ISNUMBER(L818)),Q818,"")</f>
        <v/>
      </c>
      <c r="AA818">
        <f>IF(AND(Q818&lt;&gt;"",ISNUMBER(M818)),Q818,"")</f>
        <v/>
      </c>
      <c r="AB818">
        <f>IF(AND(Q818&lt;&gt;"",ISNUMBER(K818)),K818,"")</f>
        <v/>
      </c>
      <c r="AC818">
        <f>IF(AND(Q818&lt;&gt;"",ISNUMBER(L818)),L818,"")</f>
        <v/>
      </c>
      <c r="AD818">
        <f>IF(AND(Q818&lt;&gt;"",ISNUMBER(M818)),M818,"")</f>
        <v/>
      </c>
    </row>
    <row r="819">
      <c r="A819" s="1" t="n"/>
      <c r="B819" s="17" t="n"/>
      <c r="C819" s="27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9" t="n"/>
      <c r="N819" s="21" t="n"/>
      <c r="O819" s="12">
        <f>IF(AND(B819="",C819=""),"",IF(NOT(ISNUMBER(B819)),"Needs a date",IF(C819="","Needs a client",IF(COUNTIF(Clients!$B$6:$B$105,C819)=0,"Not on Clients",IF(COUNT(D819:M819)=0,"Nothing measured","")))))</f>
        <v/>
      </c>
      <c r="P819" s="1">
        <f>IF(AND(O819="",ISNUMBER(B819)),INT(B819),0)</f>
        <v/>
      </c>
      <c r="Q819">
        <f>IF(AND(P819&gt;0,C819=Report!$C$5),P819*10000+ROW(),"")</f>
        <v/>
      </c>
      <c r="R819">
        <f>IF(AND(Q819&lt;&gt;"",ISNUMBER(D819)),Q819,"")</f>
        <v/>
      </c>
      <c r="S819">
        <f>IF(AND(Q819&lt;&gt;"",ISNUMBER(E819)),Q819,"")</f>
        <v/>
      </c>
      <c r="T819">
        <f>IF(AND(Q819&lt;&gt;"",ISNUMBER(F819)),Q819,"")</f>
        <v/>
      </c>
      <c r="U819">
        <f>IF(AND(Q819&lt;&gt;"",ISNUMBER(G819)),Q819,"")</f>
        <v/>
      </c>
      <c r="V819">
        <f>IF(AND(Q819&lt;&gt;"",ISNUMBER(H819)),Q819,"")</f>
        <v/>
      </c>
      <c r="W819">
        <f>IF(AND(Q819&lt;&gt;"",ISNUMBER(I819)),Q819,"")</f>
        <v/>
      </c>
      <c r="X819">
        <f>IF(AND(Q819&lt;&gt;"",ISNUMBER(J819)),Q819,"")</f>
        <v/>
      </c>
      <c r="Y819">
        <f>IF(AND(Q819&lt;&gt;"",ISNUMBER(K819)),Q819,"")</f>
        <v/>
      </c>
      <c r="Z819">
        <f>IF(AND(Q819&lt;&gt;"",ISNUMBER(L819)),Q819,"")</f>
        <v/>
      </c>
      <c r="AA819">
        <f>IF(AND(Q819&lt;&gt;"",ISNUMBER(M819)),Q819,"")</f>
        <v/>
      </c>
      <c r="AB819">
        <f>IF(AND(Q819&lt;&gt;"",ISNUMBER(K819)),K819,"")</f>
        <v/>
      </c>
      <c r="AC819">
        <f>IF(AND(Q819&lt;&gt;"",ISNUMBER(L819)),L819,"")</f>
        <v/>
      </c>
      <c r="AD819">
        <f>IF(AND(Q819&lt;&gt;"",ISNUMBER(M819)),M819,"")</f>
        <v/>
      </c>
    </row>
    <row r="820">
      <c r="A820" s="1" t="n"/>
      <c r="B820" s="17" t="n"/>
      <c r="C820" s="27" t="n"/>
      <c r="D820" s="28" t="n"/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9" t="n"/>
      <c r="N820" s="21" t="n"/>
      <c r="O820" s="12">
        <f>IF(AND(B820="",C820=""),"",IF(NOT(ISNUMBER(B820)),"Needs a date",IF(C820="","Needs a client",IF(COUNTIF(Clients!$B$6:$B$105,C820)=0,"Not on Clients",IF(COUNT(D820:M820)=0,"Nothing measured","")))))</f>
        <v/>
      </c>
      <c r="P820" s="1">
        <f>IF(AND(O820="",ISNUMBER(B820)),INT(B820),0)</f>
        <v/>
      </c>
      <c r="Q820">
        <f>IF(AND(P820&gt;0,C820=Report!$C$5),P820*10000+ROW(),"")</f>
        <v/>
      </c>
      <c r="R820">
        <f>IF(AND(Q820&lt;&gt;"",ISNUMBER(D820)),Q820,"")</f>
        <v/>
      </c>
      <c r="S820">
        <f>IF(AND(Q820&lt;&gt;"",ISNUMBER(E820)),Q820,"")</f>
        <v/>
      </c>
      <c r="T820">
        <f>IF(AND(Q820&lt;&gt;"",ISNUMBER(F820)),Q820,"")</f>
        <v/>
      </c>
      <c r="U820">
        <f>IF(AND(Q820&lt;&gt;"",ISNUMBER(G820)),Q820,"")</f>
        <v/>
      </c>
      <c r="V820">
        <f>IF(AND(Q820&lt;&gt;"",ISNUMBER(H820)),Q820,"")</f>
        <v/>
      </c>
      <c r="W820">
        <f>IF(AND(Q820&lt;&gt;"",ISNUMBER(I820)),Q820,"")</f>
        <v/>
      </c>
      <c r="X820">
        <f>IF(AND(Q820&lt;&gt;"",ISNUMBER(J820)),Q820,"")</f>
        <v/>
      </c>
      <c r="Y820">
        <f>IF(AND(Q820&lt;&gt;"",ISNUMBER(K820)),Q820,"")</f>
        <v/>
      </c>
      <c r="Z820">
        <f>IF(AND(Q820&lt;&gt;"",ISNUMBER(L820)),Q820,"")</f>
        <v/>
      </c>
      <c r="AA820">
        <f>IF(AND(Q820&lt;&gt;"",ISNUMBER(M820)),Q820,"")</f>
        <v/>
      </c>
      <c r="AB820">
        <f>IF(AND(Q820&lt;&gt;"",ISNUMBER(K820)),K820,"")</f>
        <v/>
      </c>
      <c r="AC820">
        <f>IF(AND(Q820&lt;&gt;"",ISNUMBER(L820)),L820,"")</f>
        <v/>
      </c>
      <c r="AD820">
        <f>IF(AND(Q820&lt;&gt;"",ISNUMBER(M820)),M820,"")</f>
        <v/>
      </c>
    </row>
    <row r="821">
      <c r="A821" s="1" t="n"/>
      <c r="B821" s="17" t="n"/>
      <c r="C821" s="27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9" t="n"/>
      <c r="N821" s="21" t="n"/>
      <c r="O821" s="12">
        <f>IF(AND(B821="",C821=""),"",IF(NOT(ISNUMBER(B821)),"Needs a date",IF(C821="","Needs a client",IF(COUNTIF(Clients!$B$6:$B$105,C821)=0,"Not on Clients",IF(COUNT(D821:M821)=0,"Nothing measured","")))))</f>
        <v/>
      </c>
      <c r="P821" s="1">
        <f>IF(AND(O821="",ISNUMBER(B821)),INT(B821),0)</f>
        <v/>
      </c>
      <c r="Q821">
        <f>IF(AND(P821&gt;0,C821=Report!$C$5),P821*10000+ROW(),"")</f>
        <v/>
      </c>
      <c r="R821">
        <f>IF(AND(Q821&lt;&gt;"",ISNUMBER(D821)),Q821,"")</f>
        <v/>
      </c>
      <c r="S821">
        <f>IF(AND(Q821&lt;&gt;"",ISNUMBER(E821)),Q821,"")</f>
        <v/>
      </c>
      <c r="T821">
        <f>IF(AND(Q821&lt;&gt;"",ISNUMBER(F821)),Q821,"")</f>
        <v/>
      </c>
      <c r="U821">
        <f>IF(AND(Q821&lt;&gt;"",ISNUMBER(G821)),Q821,"")</f>
        <v/>
      </c>
      <c r="V821">
        <f>IF(AND(Q821&lt;&gt;"",ISNUMBER(H821)),Q821,"")</f>
        <v/>
      </c>
      <c r="W821">
        <f>IF(AND(Q821&lt;&gt;"",ISNUMBER(I821)),Q821,"")</f>
        <v/>
      </c>
      <c r="X821">
        <f>IF(AND(Q821&lt;&gt;"",ISNUMBER(J821)),Q821,"")</f>
        <v/>
      </c>
      <c r="Y821">
        <f>IF(AND(Q821&lt;&gt;"",ISNUMBER(K821)),Q821,"")</f>
        <v/>
      </c>
      <c r="Z821">
        <f>IF(AND(Q821&lt;&gt;"",ISNUMBER(L821)),Q821,"")</f>
        <v/>
      </c>
      <c r="AA821">
        <f>IF(AND(Q821&lt;&gt;"",ISNUMBER(M821)),Q821,"")</f>
        <v/>
      </c>
      <c r="AB821">
        <f>IF(AND(Q821&lt;&gt;"",ISNUMBER(K821)),K821,"")</f>
        <v/>
      </c>
      <c r="AC821">
        <f>IF(AND(Q821&lt;&gt;"",ISNUMBER(L821)),L821,"")</f>
        <v/>
      </c>
      <c r="AD821">
        <f>IF(AND(Q821&lt;&gt;"",ISNUMBER(M821)),M821,"")</f>
        <v/>
      </c>
    </row>
    <row r="822">
      <c r="A822" s="1" t="n"/>
      <c r="B822" s="17" t="n"/>
      <c r="C822" s="27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9" t="n"/>
      <c r="N822" s="21" t="n"/>
      <c r="O822" s="12">
        <f>IF(AND(B822="",C822=""),"",IF(NOT(ISNUMBER(B822)),"Needs a date",IF(C822="","Needs a client",IF(COUNTIF(Clients!$B$6:$B$105,C822)=0,"Not on Clients",IF(COUNT(D822:M822)=0,"Nothing measured","")))))</f>
        <v/>
      </c>
      <c r="P822" s="1">
        <f>IF(AND(O822="",ISNUMBER(B822)),INT(B822),0)</f>
        <v/>
      </c>
      <c r="Q822">
        <f>IF(AND(P822&gt;0,C822=Report!$C$5),P822*10000+ROW(),"")</f>
        <v/>
      </c>
      <c r="R822">
        <f>IF(AND(Q822&lt;&gt;"",ISNUMBER(D822)),Q822,"")</f>
        <v/>
      </c>
      <c r="S822">
        <f>IF(AND(Q822&lt;&gt;"",ISNUMBER(E822)),Q822,"")</f>
        <v/>
      </c>
      <c r="T822">
        <f>IF(AND(Q822&lt;&gt;"",ISNUMBER(F822)),Q822,"")</f>
        <v/>
      </c>
      <c r="U822">
        <f>IF(AND(Q822&lt;&gt;"",ISNUMBER(G822)),Q822,"")</f>
        <v/>
      </c>
      <c r="V822">
        <f>IF(AND(Q822&lt;&gt;"",ISNUMBER(H822)),Q822,"")</f>
        <v/>
      </c>
      <c r="W822">
        <f>IF(AND(Q822&lt;&gt;"",ISNUMBER(I822)),Q822,"")</f>
        <v/>
      </c>
      <c r="X822">
        <f>IF(AND(Q822&lt;&gt;"",ISNUMBER(J822)),Q822,"")</f>
        <v/>
      </c>
      <c r="Y822">
        <f>IF(AND(Q822&lt;&gt;"",ISNUMBER(K822)),Q822,"")</f>
        <v/>
      </c>
      <c r="Z822">
        <f>IF(AND(Q822&lt;&gt;"",ISNUMBER(L822)),Q822,"")</f>
        <v/>
      </c>
      <c r="AA822">
        <f>IF(AND(Q822&lt;&gt;"",ISNUMBER(M822)),Q822,"")</f>
        <v/>
      </c>
      <c r="AB822">
        <f>IF(AND(Q822&lt;&gt;"",ISNUMBER(K822)),K822,"")</f>
        <v/>
      </c>
      <c r="AC822">
        <f>IF(AND(Q822&lt;&gt;"",ISNUMBER(L822)),L822,"")</f>
        <v/>
      </c>
      <c r="AD822">
        <f>IF(AND(Q822&lt;&gt;"",ISNUMBER(M822)),M822,"")</f>
        <v/>
      </c>
    </row>
    <row r="823">
      <c r="A823" s="1" t="n"/>
      <c r="B823" s="17" t="n"/>
      <c r="C823" s="27" t="n"/>
      <c r="D823" s="28" t="n"/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9" t="n"/>
      <c r="N823" s="21" t="n"/>
      <c r="O823" s="12">
        <f>IF(AND(B823="",C823=""),"",IF(NOT(ISNUMBER(B823)),"Needs a date",IF(C823="","Needs a client",IF(COUNTIF(Clients!$B$6:$B$105,C823)=0,"Not on Clients",IF(COUNT(D823:M823)=0,"Nothing measured","")))))</f>
        <v/>
      </c>
      <c r="P823" s="1">
        <f>IF(AND(O823="",ISNUMBER(B823)),INT(B823),0)</f>
        <v/>
      </c>
      <c r="Q823">
        <f>IF(AND(P823&gt;0,C823=Report!$C$5),P823*10000+ROW(),"")</f>
        <v/>
      </c>
      <c r="R823">
        <f>IF(AND(Q823&lt;&gt;"",ISNUMBER(D823)),Q823,"")</f>
        <v/>
      </c>
      <c r="S823">
        <f>IF(AND(Q823&lt;&gt;"",ISNUMBER(E823)),Q823,"")</f>
        <v/>
      </c>
      <c r="T823">
        <f>IF(AND(Q823&lt;&gt;"",ISNUMBER(F823)),Q823,"")</f>
        <v/>
      </c>
      <c r="U823">
        <f>IF(AND(Q823&lt;&gt;"",ISNUMBER(G823)),Q823,"")</f>
        <v/>
      </c>
      <c r="V823">
        <f>IF(AND(Q823&lt;&gt;"",ISNUMBER(H823)),Q823,"")</f>
        <v/>
      </c>
      <c r="W823">
        <f>IF(AND(Q823&lt;&gt;"",ISNUMBER(I823)),Q823,"")</f>
        <v/>
      </c>
      <c r="X823">
        <f>IF(AND(Q823&lt;&gt;"",ISNUMBER(J823)),Q823,"")</f>
        <v/>
      </c>
      <c r="Y823">
        <f>IF(AND(Q823&lt;&gt;"",ISNUMBER(K823)),Q823,"")</f>
        <v/>
      </c>
      <c r="Z823">
        <f>IF(AND(Q823&lt;&gt;"",ISNUMBER(L823)),Q823,"")</f>
        <v/>
      </c>
      <c r="AA823">
        <f>IF(AND(Q823&lt;&gt;"",ISNUMBER(M823)),Q823,"")</f>
        <v/>
      </c>
      <c r="AB823">
        <f>IF(AND(Q823&lt;&gt;"",ISNUMBER(K823)),K823,"")</f>
        <v/>
      </c>
      <c r="AC823">
        <f>IF(AND(Q823&lt;&gt;"",ISNUMBER(L823)),L823,"")</f>
        <v/>
      </c>
      <c r="AD823">
        <f>IF(AND(Q823&lt;&gt;"",ISNUMBER(M823)),M823,"")</f>
        <v/>
      </c>
    </row>
    <row r="824">
      <c r="A824" s="1" t="n"/>
      <c r="B824" s="17" t="n"/>
      <c r="C824" s="27" t="n"/>
      <c r="D824" s="28" t="n"/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9" t="n"/>
      <c r="N824" s="21" t="n"/>
      <c r="O824" s="12">
        <f>IF(AND(B824="",C824=""),"",IF(NOT(ISNUMBER(B824)),"Needs a date",IF(C824="","Needs a client",IF(COUNTIF(Clients!$B$6:$B$105,C824)=0,"Not on Clients",IF(COUNT(D824:M824)=0,"Nothing measured","")))))</f>
        <v/>
      </c>
      <c r="P824" s="1">
        <f>IF(AND(O824="",ISNUMBER(B824)),INT(B824),0)</f>
        <v/>
      </c>
      <c r="Q824">
        <f>IF(AND(P824&gt;0,C824=Report!$C$5),P824*10000+ROW(),"")</f>
        <v/>
      </c>
      <c r="R824">
        <f>IF(AND(Q824&lt;&gt;"",ISNUMBER(D824)),Q824,"")</f>
        <v/>
      </c>
      <c r="S824">
        <f>IF(AND(Q824&lt;&gt;"",ISNUMBER(E824)),Q824,"")</f>
        <v/>
      </c>
      <c r="T824">
        <f>IF(AND(Q824&lt;&gt;"",ISNUMBER(F824)),Q824,"")</f>
        <v/>
      </c>
      <c r="U824">
        <f>IF(AND(Q824&lt;&gt;"",ISNUMBER(G824)),Q824,"")</f>
        <v/>
      </c>
      <c r="V824">
        <f>IF(AND(Q824&lt;&gt;"",ISNUMBER(H824)),Q824,"")</f>
        <v/>
      </c>
      <c r="W824">
        <f>IF(AND(Q824&lt;&gt;"",ISNUMBER(I824)),Q824,"")</f>
        <v/>
      </c>
      <c r="X824">
        <f>IF(AND(Q824&lt;&gt;"",ISNUMBER(J824)),Q824,"")</f>
        <v/>
      </c>
      <c r="Y824">
        <f>IF(AND(Q824&lt;&gt;"",ISNUMBER(K824)),Q824,"")</f>
        <v/>
      </c>
      <c r="Z824">
        <f>IF(AND(Q824&lt;&gt;"",ISNUMBER(L824)),Q824,"")</f>
        <v/>
      </c>
      <c r="AA824">
        <f>IF(AND(Q824&lt;&gt;"",ISNUMBER(M824)),Q824,"")</f>
        <v/>
      </c>
      <c r="AB824">
        <f>IF(AND(Q824&lt;&gt;"",ISNUMBER(K824)),K824,"")</f>
        <v/>
      </c>
      <c r="AC824">
        <f>IF(AND(Q824&lt;&gt;"",ISNUMBER(L824)),L824,"")</f>
        <v/>
      </c>
      <c r="AD824">
        <f>IF(AND(Q824&lt;&gt;"",ISNUMBER(M824)),M824,"")</f>
        <v/>
      </c>
    </row>
    <row r="825">
      <c r="A825" s="1" t="n"/>
      <c r="B825" s="17" t="n"/>
      <c r="C825" s="27" t="n"/>
      <c r="D825" s="28" t="n"/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9" t="n"/>
      <c r="N825" s="21" t="n"/>
      <c r="O825" s="12">
        <f>IF(AND(B825="",C825=""),"",IF(NOT(ISNUMBER(B825)),"Needs a date",IF(C825="","Needs a client",IF(COUNTIF(Clients!$B$6:$B$105,C825)=0,"Not on Clients",IF(COUNT(D825:M825)=0,"Nothing measured","")))))</f>
        <v/>
      </c>
      <c r="P825" s="1">
        <f>IF(AND(O825="",ISNUMBER(B825)),INT(B825),0)</f>
        <v/>
      </c>
      <c r="Q825">
        <f>IF(AND(P825&gt;0,C825=Report!$C$5),P825*10000+ROW(),"")</f>
        <v/>
      </c>
      <c r="R825">
        <f>IF(AND(Q825&lt;&gt;"",ISNUMBER(D825)),Q825,"")</f>
        <v/>
      </c>
      <c r="S825">
        <f>IF(AND(Q825&lt;&gt;"",ISNUMBER(E825)),Q825,"")</f>
        <v/>
      </c>
      <c r="T825">
        <f>IF(AND(Q825&lt;&gt;"",ISNUMBER(F825)),Q825,"")</f>
        <v/>
      </c>
      <c r="U825">
        <f>IF(AND(Q825&lt;&gt;"",ISNUMBER(G825)),Q825,"")</f>
        <v/>
      </c>
      <c r="V825">
        <f>IF(AND(Q825&lt;&gt;"",ISNUMBER(H825)),Q825,"")</f>
        <v/>
      </c>
      <c r="W825">
        <f>IF(AND(Q825&lt;&gt;"",ISNUMBER(I825)),Q825,"")</f>
        <v/>
      </c>
      <c r="X825">
        <f>IF(AND(Q825&lt;&gt;"",ISNUMBER(J825)),Q825,"")</f>
        <v/>
      </c>
      <c r="Y825">
        <f>IF(AND(Q825&lt;&gt;"",ISNUMBER(K825)),Q825,"")</f>
        <v/>
      </c>
      <c r="Z825">
        <f>IF(AND(Q825&lt;&gt;"",ISNUMBER(L825)),Q825,"")</f>
        <v/>
      </c>
      <c r="AA825">
        <f>IF(AND(Q825&lt;&gt;"",ISNUMBER(M825)),Q825,"")</f>
        <v/>
      </c>
      <c r="AB825">
        <f>IF(AND(Q825&lt;&gt;"",ISNUMBER(K825)),K825,"")</f>
        <v/>
      </c>
      <c r="AC825">
        <f>IF(AND(Q825&lt;&gt;"",ISNUMBER(L825)),L825,"")</f>
        <v/>
      </c>
      <c r="AD825">
        <f>IF(AND(Q825&lt;&gt;"",ISNUMBER(M825)),M825,"")</f>
        <v/>
      </c>
    </row>
    <row r="826">
      <c r="A826" s="1" t="n"/>
      <c r="B826" s="17" t="n"/>
      <c r="C826" s="27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9" t="n"/>
      <c r="N826" s="21" t="n"/>
      <c r="O826" s="12">
        <f>IF(AND(B826="",C826=""),"",IF(NOT(ISNUMBER(B826)),"Needs a date",IF(C826="","Needs a client",IF(COUNTIF(Clients!$B$6:$B$105,C826)=0,"Not on Clients",IF(COUNT(D826:M826)=0,"Nothing measured","")))))</f>
        <v/>
      </c>
      <c r="P826" s="1">
        <f>IF(AND(O826="",ISNUMBER(B826)),INT(B826),0)</f>
        <v/>
      </c>
      <c r="Q826">
        <f>IF(AND(P826&gt;0,C826=Report!$C$5),P826*10000+ROW(),"")</f>
        <v/>
      </c>
      <c r="R826">
        <f>IF(AND(Q826&lt;&gt;"",ISNUMBER(D826)),Q826,"")</f>
        <v/>
      </c>
      <c r="S826">
        <f>IF(AND(Q826&lt;&gt;"",ISNUMBER(E826)),Q826,"")</f>
        <v/>
      </c>
      <c r="T826">
        <f>IF(AND(Q826&lt;&gt;"",ISNUMBER(F826)),Q826,"")</f>
        <v/>
      </c>
      <c r="U826">
        <f>IF(AND(Q826&lt;&gt;"",ISNUMBER(G826)),Q826,"")</f>
        <v/>
      </c>
      <c r="V826">
        <f>IF(AND(Q826&lt;&gt;"",ISNUMBER(H826)),Q826,"")</f>
        <v/>
      </c>
      <c r="W826">
        <f>IF(AND(Q826&lt;&gt;"",ISNUMBER(I826)),Q826,"")</f>
        <v/>
      </c>
      <c r="X826">
        <f>IF(AND(Q826&lt;&gt;"",ISNUMBER(J826)),Q826,"")</f>
        <v/>
      </c>
      <c r="Y826">
        <f>IF(AND(Q826&lt;&gt;"",ISNUMBER(K826)),Q826,"")</f>
        <v/>
      </c>
      <c r="Z826">
        <f>IF(AND(Q826&lt;&gt;"",ISNUMBER(L826)),Q826,"")</f>
        <v/>
      </c>
      <c r="AA826">
        <f>IF(AND(Q826&lt;&gt;"",ISNUMBER(M826)),Q826,"")</f>
        <v/>
      </c>
      <c r="AB826">
        <f>IF(AND(Q826&lt;&gt;"",ISNUMBER(K826)),K826,"")</f>
        <v/>
      </c>
      <c r="AC826">
        <f>IF(AND(Q826&lt;&gt;"",ISNUMBER(L826)),L826,"")</f>
        <v/>
      </c>
      <c r="AD826">
        <f>IF(AND(Q826&lt;&gt;"",ISNUMBER(M826)),M826,"")</f>
        <v/>
      </c>
    </row>
    <row r="827">
      <c r="A827" s="1" t="n"/>
      <c r="B827" s="17" t="n"/>
      <c r="C827" s="27" t="n"/>
      <c r="D827" s="28" t="n"/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9" t="n"/>
      <c r="N827" s="21" t="n"/>
      <c r="O827" s="12">
        <f>IF(AND(B827="",C827=""),"",IF(NOT(ISNUMBER(B827)),"Needs a date",IF(C827="","Needs a client",IF(COUNTIF(Clients!$B$6:$B$105,C827)=0,"Not on Clients",IF(COUNT(D827:M827)=0,"Nothing measured","")))))</f>
        <v/>
      </c>
      <c r="P827" s="1">
        <f>IF(AND(O827="",ISNUMBER(B827)),INT(B827),0)</f>
        <v/>
      </c>
      <c r="Q827">
        <f>IF(AND(P827&gt;0,C827=Report!$C$5),P827*10000+ROW(),"")</f>
        <v/>
      </c>
      <c r="R827">
        <f>IF(AND(Q827&lt;&gt;"",ISNUMBER(D827)),Q827,"")</f>
        <v/>
      </c>
      <c r="S827">
        <f>IF(AND(Q827&lt;&gt;"",ISNUMBER(E827)),Q827,"")</f>
        <v/>
      </c>
      <c r="T827">
        <f>IF(AND(Q827&lt;&gt;"",ISNUMBER(F827)),Q827,"")</f>
        <v/>
      </c>
      <c r="U827">
        <f>IF(AND(Q827&lt;&gt;"",ISNUMBER(G827)),Q827,"")</f>
        <v/>
      </c>
      <c r="V827">
        <f>IF(AND(Q827&lt;&gt;"",ISNUMBER(H827)),Q827,"")</f>
        <v/>
      </c>
      <c r="W827">
        <f>IF(AND(Q827&lt;&gt;"",ISNUMBER(I827)),Q827,"")</f>
        <v/>
      </c>
      <c r="X827">
        <f>IF(AND(Q827&lt;&gt;"",ISNUMBER(J827)),Q827,"")</f>
        <v/>
      </c>
      <c r="Y827">
        <f>IF(AND(Q827&lt;&gt;"",ISNUMBER(K827)),Q827,"")</f>
        <v/>
      </c>
      <c r="Z827">
        <f>IF(AND(Q827&lt;&gt;"",ISNUMBER(L827)),Q827,"")</f>
        <v/>
      </c>
      <c r="AA827">
        <f>IF(AND(Q827&lt;&gt;"",ISNUMBER(M827)),Q827,"")</f>
        <v/>
      </c>
      <c r="AB827">
        <f>IF(AND(Q827&lt;&gt;"",ISNUMBER(K827)),K827,"")</f>
        <v/>
      </c>
      <c r="AC827">
        <f>IF(AND(Q827&lt;&gt;"",ISNUMBER(L827)),L827,"")</f>
        <v/>
      </c>
      <c r="AD827">
        <f>IF(AND(Q827&lt;&gt;"",ISNUMBER(M827)),M827,"")</f>
        <v/>
      </c>
    </row>
    <row r="828">
      <c r="A828" s="1" t="n"/>
      <c r="B828" s="17" t="n"/>
      <c r="C828" s="27" t="n"/>
      <c r="D828" s="2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9" t="n"/>
      <c r="N828" s="21" t="n"/>
      <c r="O828" s="12">
        <f>IF(AND(B828="",C828=""),"",IF(NOT(ISNUMBER(B828)),"Needs a date",IF(C828="","Needs a client",IF(COUNTIF(Clients!$B$6:$B$105,C828)=0,"Not on Clients",IF(COUNT(D828:M828)=0,"Nothing measured","")))))</f>
        <v/>
      </c>
      <c r="P828" s="1">
        <f>IF(AND(O828="",ISNUMBER(B828)),INT(B828),0)</f>
        <v/>
      </c>
      <c r="Q828">
        <f>IF(AND(P828&gt;0,C828=Report!$C$5),P828*10000+ROW(),"")</f>
        <v/>
      </c>
      <c r="R828">
        <f>IF(AND(Q828&lt;&gt;"",ISNUMBER(D828)),Q828,"")</f>
        <v/>
      </c>
      <c r="S828">
        <f>IF(AND(Q828&lt;&gt;"",ISNUMBER(E828)),Q828,"")</f>
        <v/>
      </c>
      <c r="T828">
        <f>IF(AND(Q828&lt;&gt;"",ISNUMBER(F828)),Q828,"")</f>
        <v/>
      </c>
      <c r="U828">
        <f>IF(AND(Q828&lt;&gt;"",ISNUMBER(G828)),Q828,"")</f>
        <v/>
      </c>
      <c r="V828">
        <f>IF(AND(Q828&lt;&gt;"",ISNUMBER(H828)),Q828,"")</f>
        <v/>
      </c>
      <c r="W828">
        <f>IF(AND(Q828&lt;&gt;"",ISNUMBER(I828)),Q828,"")</f>
        <v/>
      </c>
      <c r="X828">
        <f>IF(AND(Q828&lt;&gt;"",ISNUMBER(J828)),Q828,"")</f>
        <v/>
      </c>
      <c r="Y828">
        <f>IF(AND(Q828&lt;&gt;"",ISNUMBER(K828)),Q828,"")</f>
        <v/>
      </c>
      <c r="Z828">
        <f>IF(AND(Q828&lt;&gt;"",ISNUMBER(L828)),Q828,"")</f>
        <v/>
      </c>
      <c r="AA828">
        <f>IF(AND(Q828&lt;&gt;"",ISNUMBER(M828)),Q828,"")</f>
        <v/>
      </c>
      <c r="AB828">
        <f>IF(AND(Q828&lt;&gt;"",ISNUMBER(K828)),K828,"")</f>
        <v/>
      </c>
      <c r="AC828">
        <f>IF(AND(Q828&lt;&gt;"",ISNUMBER(L828)),L828,"")</f>
        <v/>
      </c>
      <c r="AD828">
        <f>IF(AND(Q828&lt;&gt;"",ISNUMBER(M828)),M828,"")</f>
        <v/>
      </c>
    </row>
    <row r="829">
      <c r="A829" s="1" t="n"/>
      <c r="B829" s="17" t="n"/>
      <c r="C829" s="27" t="n"/>
      <c r="D829" s="28" t="n"/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9" t="n"/>
      <c r="N829" s="21" t="n"/>
      <c r="O829" s="12">
        <f>IF(AND(B829="",C829=""),"",IF(NOT(ISNUMBER(B829)),"Needs a date",IF(C829="","Needs a client",IF(COUNTIF(Clients!$B$6:$B$105,C829)=0,"Not on Clients",IF(COUNT(D829:M829)=0,"Nothing measured","")))))</f>
        <v/>
      </c>
      <c r="P829" s="1">
        <f>IF(AND(O829="",ISNUMBER(B829)),INT(B829),0)</f>
        <v/>
      </c>
      <c r="Q829">
        <f>IF(AND(P829&gt;0,C829=Report!$C$5),P829*10000+ROW(),"")</f>
        <v/>
      </c>
      <c r="R829">
        <f>IF(AND(Q829&lt;&gt;"",ISNUMBER(D829)),Q829,"")</f>
        <v/>
      </c>
      <c r="S829">
        <f>IF(AND(Q829&lt;&gt;"",ISNUMBER(E829)),Q829,"")</f>
        <v/>
      </c>
      <c r="T829">
        <f>IF(AND(Q829&lt;&gt;"",ISNUMBER(F829)),Q829,"")</f>
        <v/>
      </c>
      <c r="U829">
        <f>IF(AND(Q829&lt;&gt;"",ISNUMBER(G829)),Q829,"")</f>
        <v/>
      </c>
      <c r="V829">
        <f>IF(AND(Q829&lt;&gt;"",ISNUMBER(H829)),Q829,"")</f>
        <v/>
      </c>
      <c r="W829">
        <f>IF(AND(Q829&lt;&gt;"",ISNUMBER(I829)),Q829,"")</f>
        <v/>
      </c>
      <c r="X829">
        <f>IF(AND(Q829&lt;&gt;"",ISNUMBER(J829)),Q829,"")</f>
        <v/>
      </c>
      <c r="Y829">
        <f>IF(AND(Q829&lt;&gt;"",ISNUMBER(K829)),Q829,"")</f>
        <v/>
      </c>
      <c r="Z829">
        <f>IF(AND(Q829&lt;&gt;"",ISNUMBER(L829)),Q829,"")</f>
        <v/>
      </c>
      <c r="AA829">
        <f>IF(AND(Q829&lt;&gt;"",ISNUMBER(M829)),Q829,"")</f>
        <v/>
      </c>
      <c r="AB829">
        <f>IF(AND(Q829&lt;&gt;"",ISNUMBER(K829)),K829,"")</f>
        <v/>
      </c>
      <c r="AC829">
        <f>IF(AND(Q829&lt;&gt;"",ISNUMBER(L829)),L829,"")</f>
        <v/>
      </c>
      <c r="AD829">
        <f>IF(AND(Q829&lt;&gt;"",ISNUMBER(M829)),M829,"")</f>
        <v/>
      </c>
    </row>
    <row r="830">
      <c r="A830" s="1" t="n"/>
      <c r="B830" s="17" t="n"/>
      <c r="C830" s="27" t="n"/>
      <c r="D830" s="28" t="n"/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9" t="n"/>
      <c r="N830" s="21" t="n"/>
      <c r="O830" s="12">
        <f>IF(AND(B830="",C830=""),"",IF(NOT(ISNUMBER(B830)),"Needs a date",IF(C830="","Needs a client",IF(COUNTIF(Clients!$B$6:$B$105,C830)=0,"Not on Clients",IF(COUNT(D830:M830)=0,"Nothing measured","")))))</f>
        <v/>
      </c>
      <c r="P830" s="1">
        <f>IF(AND(O830="",ISNUMBER(B830)),INT(B830),0)</f>
        <v/>
      </c>
      <c r="Q830">
        <f>IF(AND(P830&gt;0,C830=Report!$C$5),P830*10000+ROW(),"")</f>
        <v/>
      </c>
      <c r="R830">
        <f>IF(AND(Q830&lt;&gt;"",ISNUMBER(D830)),Q830,"")</f>
        <v/>
      </c>
      <c r="S830">
        <f>IF(AND(Q830&lt;&gt;"",ISNUMBER(E830)),Q830,"")</f>
        <v/>
      </c>
      <c r="T830">
        <f>IF(AND(Q830&lt;&gt;"",ISNUMBER(F830)),Q830,"")</f>
        <v/>
      </c>
      <c r="U830">
        <f>IF(AND(Q830&lt;&gt;"",ISNUMBER(G830)),Q830,"")</f>
        <v/>
      </c>
      <c r="V830">
        <f>IF(AND(Q830&lt;&gt;"",ISNUMBER(H830)),Q830,"")</f>
        <v/>
      </c>
      <c r="W830">
        <f>IF(AND(Q830&lt;&gt;"",ISNUMBER(I830)),Q830,"")</f>
        <v/>
      </c>
      <c r="X830">
        <f>IF(AND(Q830&lt;&gt;"",ISNUMBER(J830)),Q830,"")</f>
        <v/>
      </c>
      <c r="Y830">
        <f>IF(AND(Q830&lt;&gt;"",ISNUMBER(K830)),Q830,"")</f>
        <v/>
      </c>
      <c r="Z830">
        <f>IF(AND(Q830&lt;&gt;"",ISNUMBER(L830)),Q830,"")</f>
        <v/>
      </c>
      <c r="AA830">
        <f>IF(AND(Q830&lt;&gt;"",ISNUMBER(M830)),Q830,"")</f>
        <v/>
      </c>
      <c r="AB830">
        <f>IF(AND(Q830&lt;&gt;"",ISNUMBER(K830)),K830,"")</f>
        <v/>
      </c>
      <c r="AC830">
        <f>IF(AND(Q830&lt;&gt;"",ISNUMBER(L830)),L830,"")</f>
        <v/>
      </c>
      <c r="AD830">
        <f>IF(AND(Q830&lt;&gt;"",ISNUMBER(M830)),M830,"")</f>
        <v/>
      </c>
    </row>
    <row r="831">
      <c r="A831" s="1" t="n"/>
      <c r="B831" s="17" t="n"/>
      <c r="C831" s="27" t="n"/>
      <c r="D831" s="2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9" t="n"/>
      <c r="N831" s="21" t="n"/>
      <c r="O831" s="12">
        <f>IF(AND(B831="",C831=""),"",IF(NOT(ISNUMBER(B831)),"Needs a date",IF(C831="","Needs a client",IF(COUNTIF(Clients!$B$6:$B$105,C831)=0,"Not on Clients",IF(COUNT(D831:M831)=0,"Nothing measured","")))))</f>
        <v/>
      </c>
      <c r="P831" s="1">
        <f>IF(AND(O831="",ISNUMBER(B831)),INT(B831),0)</f>
        <v/>
      </c>
      <c r="Q831">
        <f>IF(AND(P831&gt;0,C831=Report!$C$5),P831*10000+ROW(),"")</f>
        <v/>
      </c>
      <c r="R831">
        <f>IF(AND(Q831&lt;&gt;"",ISNUMBER(D831)),Q831,"")</f>
        <v/>
      </c>
      <c r="S831">
        <f>IF(AND(Q831&lt;&gt;"",ISNUMBER(E831)),Q831,"")</f>
        <v/>
      </c>
      <c r="T831">
        <f>IF(AND(Q831&lt;&gt;"",ISNUMBER(F831)),Q831,"")</f>
        <v/>
      </c>
      <c r="U831">
        <f>IF(AND(Q831&lt;&gt;"",ISNUMBER(G831)),Q831,"")</f>
        <v/>
      </c>
      <c r="V831">
        <f>IF(AND(Q831&lt;&gt;"",ISNUMBER(H831)),Q831,"")</f>
        <v/>
      </c>
      <c r="W831">
        <f>IF(AND(Q831&lt;&gt;"",ISNUMBER(I831)),Q831,"")</f>
        <v/>
      </c>
      <c r="X831">
        <f>IF(AND(Q831&lt;&gt;"",ISNUMBER(J831)),Q831,"")</f>
        <v/>
      </c>
      <c r="Y831">
        <f>IF(AND(Q831&lt;&gt;"",ISNUMBER(K831)),Q831,"")</f>
        <v/>
      </c>
      <c r="Z831">
        <f>IF(AND(Q831&lt;&gt;"",ISNUMBER(L831)),Q831,"")</f>
        <v/>
      </c>
      <c r="AA831">
        <f>IF(AND(Q831&lt;&gt;"",ISNUMBER(M831)),Q831,"")</f>
        <v/>
      </c>
      <c r="AB831">
        <f>IF(AND(Q831&lt;&gt;"",ISNUMBER(K831)),K831,"")</f>
        <v/>
      </c>
      <c r="AC831">
        <f>IF(AND(Q831&lt;&gt;"",ISNUMBER(L831)),L831,"")</f>
        <v/>
      </c>
      <c r="AD831">
        <f>IF(AND(Q831&lt;&gt;"",ISNUMBER(M831)),M831,"")</f>
        <v/>
      </c>
    </row>
    <row r="832">
      <c r="A832" s="1" t="n"/>
      <c r="B832" s="17" t="n"/>
      <c r="C832" s="27" t="n"/>
      <c r="D832" s="2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9" t="n"/>
      <c r="N832" s="21" t="n"/>
      <c r="O832" s="12">
        <f>IF(AND(B832="",C832=""),"",IF(NOT(ISNUMBER(B832)),"Needs a date",IF(C832="","Needs a client",IF(COUNTIF(Clients!$B$6:$B$105,C832)=0,"Not on Clients",IF(COUNT(D832:M832)=0,"Nothing measured","")))))</f>
        <v/>
      </c>
      <c r="P832" s="1">
        <f>IF(AND(O832="",ISNUMBER(B832)),INT(B832),0)</f>
        <v/>
      </c>
      <c r="Q832">
        <f>IF(AND(P832&gt;0,C832=Report!$C$5),P832*10000+ROW(),"")</f>
        <v/>
      </c>
      <c r="R832">
        <f>IF(AND(Q832&lt;&gt;"",ISNUMBER(D832)),Q832,"")</f>
        <v/>
      </c>
      <c r="S832">
        <f>IF(AND(Q832&lt;&gt;"",ISNUMBER(E832)),Q832,"")</f>
        <v/>
      </c>
      <c r="T832">
        <f>IF(AND(Q832&lt;&gt;"",ISNUMBER(F832)),Q832,"")</f>
        <v/>
      </c>
      <c r="U832">
        <f>IF(AND(Q832&lt;&gt;"",ISNUMBER(G832)),Q832,"")</f>
        <v/>
      </c>
      <c r="V832">
        <f>IF(AND(Q832&lt;&gt;"",ISNUMBER(H832)),Q832,"")</f>
        <v/>
      </c>
      <c r="W832">
        <f>IF(AND(Q832&lt;&gt;"",ISNUMBER(I832)),Q832,"")</f>
        <v/>
      </c>
      <c r="X832">
        <f>IF(AND(Q832&lt;&gt;"",ISNUMBER(J832)),Q832,"")</f>
        <v/>
      </c>
      <c r="Y832">
        <f>IF(AND(Q832&lt;&gt;"",ISNUMBER(K832)),Q832,"")</f>
        <v/>
      </c>
      <c r="Z832">
        <f>IF(AND(Q832&lt;&gt;"",ISNUMBER(L832)),Q832,"")</f>
        <v/>
      </c>
      <c r="AA832">
        <f>IF(AND(Q832&lt;&gt;"",ISNUMBER(M832)),Q832,"")</f>
        <v/>
      </c>
      <c r="AB832">
        <f>IF(AND(Q832&lt;&gt;"",ISNUMBER(K832)),K832,"")</f>
        <v/>
      </c>
      <c r="AC832">
        <f>IF(AND(Q832&lt;&gt;"",ISNUMBER(L832)),L832,"")</f>
        <v/>
      </c>
      <c r="AD832">
        <f>IF(AND(Q832&lt;&gt;"",ISNUMBER(M832)),M832,"")</f>
        <v/>
      </c>
    </row>
    <row r="833">
      <c r="A833" s="1" t="n"/>
      <c r="B833" s="17" t="n"/>
      <c r="C833" s="27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9" t="n"/>
      <c r="N833" s="21" t="n"/>
      <c r="O833" s="12">
        <f>IF(AND(B833="",C833=""),"",IF(NOT(ISNUMBER(B833)),"Needs a date",IF(C833="","Needs a client",IF(COUNTIF(Clients!$B$6:$B$105,C833)=0,"Not on Clients",IF(COUNT(D833:M833)=0,"Nothing measured","")))))</f>
        <v/>
      </c>
      <c r="P833" s="1">
        <f>IF(AND(O833="",ISNUMBER(B833)),INT(B833),0)</f>
        <v/>
      </c>
      <c r="Q833">
        <f>IF(AND(P833&gt;0,C833=Report!$C$5),P833*10000+ROW(),"")</f>
        <v/>
      </c>
      <c r="R833">
        <f>IF(AND(Q833&lt;&gt;"",ISNUMBER(D833)),Q833,"")</f>
        <v/>
      </c>
      <c r="S833">
        <f>IF(AND(Q833&lt;&gt;"",ISNUMBER(E833)),Q833,"")</f>
        <v/>
      </c>
      <c r="T833">
        <f>IF(AND(Q833&lt;&gt;"",ISNUMBER(F833)),Q833,"")</f>
        <v/>
      </c>
      <c r="U833">
        <f>IF(AND(Q833&lt;&gt;"",ISNUMBER(G833)),Q833,"")</f>
        <v/>
      </c>
      <c r="V833">
        <f>IF(AND(Q833&lt;&gt;"",ISNUMBER(H833)),Q833,"")</f>
        <v/>
      </c>
      <c r="W833">
        <f>IF(AND(Q833&lt;&gt;"",ISNUMBER(I833)),Q833,"")</f>
        <v/>
      </c>
      <c r="X833">
        <f>IF(AND(Q833&lt;&gt;"",ISNUMBER(J833)),Q833,"")</f>
        <v/>
      </c>
      <c r="Y833">
        <f>IF(AND(Q833&lt;&gt;"",ISNUMBER(K833)),Q833,"")</f>
        <v/>
      </c>
      <c r="Z833">
        <f>IF(AND(Q833&lt;&gt;"",ISNUMBER(L833)),Q833,"")</f>
        <v/>
      </c>
      <c r="AA833">
        <f>IF(AND(Q833&lt;&gt;"",ISNUMBER(M833)),Q833,"")</f>
        <v/>
      </c>
      <c r="AB833">
        <f>IF(AND(Q833&lt;&gt;"",ISNUMBER(K833)),K833,"")</f>
        <v/>
      </c>
      <c r="AC833">
        <f>IF(AND(Q833&lt;&gt;"",ISNUMBER(L833)),L833,"")</f>
        <v/>
      </c>
      <c r="AD833">
        <f>IF(AND(Q833&lt;&gt;"",ISNUMBER(M833)),M833,"")</f>
        <v/>
      </c>
    </row>
    <row r="834">
      <c r="A834" s="1" t="n"/>
      <c r="B834" s="17" t="n"/>
      <c r="C834" s="27" t="n"/>
      <c r="D834" s="28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9" t="n"/>
      <c r="N834" s="21" t="n"/>
      <c r="O834" s="12">
        <f>IF(AND(B834="",C834=""),"",IF(NOT(ISNUMBER(B834)),"Needs a date",IF(C834="","Needs a client",IF(COUNTIF(Clients!$B$6:$B$105,C834)=0,"Not on Clients",IF(COUNT(D834:M834)=0,"Nothing measured","")))))</f>
        <v/>
      </c>
      <c r="P834" s="1">
        <f>IF(AND(O834="",ISNUMBER(B834)),INT(B834),0)</f>
        <v/>
      </c>
      <c r="Q834">
        <f>IF(AND(P834&gt;0,C834=Report!$C$5),P834*10000+ROW(),"")</f>
        <v/>
      </c>
      <c r="R834">
        <f>IF(AND(Q834&lt;&gt;"",ISNUMBER(D834)),Q834,"")</f>
        <v/>
      </c>
      <c r="S834">
        <f>IF(AND(Q834&lt;&gt;"",ISNUMBER(E834)),Q834,"")</f>
        <v/>
      </c>
      <c r="T834">
        <f>IF(AND(Q834&lt;&gt;"",ISNUMBER(F834)),Q834,"")</f>
        <v/>
      </c>
      <c r="U834">
        <f>IF(AND(Q834&lt;&gt;"",ISNUMBER(G834)),Q834,"")</f>
        <v/>
      </c>
      <c r="V834">
        <f>IF(AND(Q834&lt;&gt;"",ISNUMBER(H834)),Q834,"")</f>
        <v/>
      </c>
      <c r="W834">
        <f>IF(AND(Q834&lt;&gt;"",ISNUMBER(I834)),Q834,"")</f>
        <v/>
      </c>
      <c r="X834">
        <f>IF(AND(Q834&lt;&gt;"",ISNUMBER(J834)),Q834,"")</f>
        <v/>
      </c>
      <c r="Y834">
        <f>IF(AND(Q834&lt;&gt;"",ISNUMBER(K834)),Q834,"")</f>
        <v/>
      </c>
      <c r="Z834">
        <f>IF(AND(Q834&lt;&gt;"",ISNUMBER(L834)),Q834,"")</f>
        <v/>
      </c>
      <c r="AA834">
        <f>IF(AND(Q834&lt;&gt;"",ISNUMBER(M834)),Q834,"")</f>
        <v/>
      </c>
      <c r="AB834">
        <f>IF(AND(Q834&lt;&gt;"",ISNUMBER(K834)),K834,"")</f>
        <v/>
      </c>
      <c r="AC834">
        <f>IF(AND(Q834&lt;&gt;"",ISNUMBER(L834)),L834,"")</f>
        <v/>
      </c>
      <c r="AD834">
        <f>IF(AND(Q834&lt;&gt;"",ISNUMBER(M834)),M834,"")</f>
        <v/>
      </c>
    </row>
    <row r="835">
      <c r="A835" s="1" t="n"/>
      <c r="B835" s="17" t="n"/>
      <c r="C835" s="27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9" t="n"/>
      <c r="N835" s="21" t="n"/>
      <c r="O835" s="12">
        <f>IF(AND(B835="",C835=""),"",IF(NOT(ISNUMBER(B835)),"Needs a date",IF(C835="","Needs a client",IF(COUNTIF(Clients!$B$6:$B$105,C835)=0,"Not on Clients",IF(COUNT(D835:M835)=0,"Nothing measured","")))))</f>
        <v/>
      </c>
      <c r="P835" s="1">
        <f>IF(AND(O835="",ISNUMBER(B835)),INT(B835),0)</f>
        <v/>
      </c>
      <c r="Q835">
        <f>IF(AND(P835&gt;0,C835=Report!$C$5),P835*10000+ROW(),"")</f>
        <v/>
      </c>
      <c r="R835">
        <f>IF(AND(Q835&lt;&gt;"",ISNUMBER(D835)),Q835,"")</f>
        <v/>
      </c>
      <c r="S835">
        <f>IF(AND(Q835&lt;&gt;"",ISNUMBER(E835)),Q835,"")</f>
        <v/>
      </c>
      <c r="T835">
        <f>IF(AND(Q835&lt;&gt;"",ISNUMBER(F835)),Q835,"")</f>
        <v/>
      </c>
      <c r="U835">
        <f>IF(AND(Q835&lt;&gt;"",ISNUMBER(G835)),Q835,"")</f>
        <v/>
      </c>
      <c r="V835">
        <f>IF(AND(Q835&lt;&gt;"",ISNUMBER(H835)),Q835,"")</f>
        <v/>
      </c>
      <c r="W835">
        <f>IF(AND(Q835&lt;&gt;"",ISNUMBER(I835)),Q835,"")</f>
        <v/>
      </c>
      <c r="X835">
        <f>IF(AND(Q835&lt;&gt;"",ISNUMBER(J835)),Q835,"")</f>
        <v/>
      </c>
      <c r="Y835">
        <f>IF(AND(Q835&lt;&gt;"",ISNUMBER(K835)),Q835,"")</f>
        <v/>
      </c>
      <c r="Z835">
        <f>IF(AND(Q835&lt;&gt;"",ISNUMBER(L835)),Q835,"")</f>
        <v/>
      </c>
      <c r="AA835">
        <f>IF(AND(Q835&lt;&gt;"",ISNUMBER(M835)),Q835,"")</f>
        <v/>
      </c>
      <c r="AB835">
        <f>IF(AND(Q835&lt;&gt;"",ISNUMBER(K835)),K835,"")</f>
        <v/>
      </c>
      <c r="AC835">
        <f>IF(AND(Q835&lt;&gt;"",ISNUMBER(L835)),L835,"")</f>
        <v/>
      </c>
      <c r="AD835">
        <f>IF(AND(Q835&lt;&gt;"",ISNUMBER(M835)),M835,"")</f>
        <v/>
      </c>
    </row>
    <row r="836">
      <c r="A836" s="1" t="n"/>
      <c r="B836" s="17" t="n"/>
      <c r="C836" s="27" t="n"/>
      <c r="D836" s="28" t="n"/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9" t="n"/>
      <c r="N836" s="21" t="n"/>
      <c r="O836" s="12">
        <f>IF(AND(B836="",C836=""),"",IF(NOT(ISNUMBER(B836)),"Needs a date",IF(C836="","Needs a client",IF(COUNTIF(Clients!$B$6:$B$105,C836)=0,"Not on Clients",IF(COUNT(D836:M836)=0,"Nothing measured","")))))</f>
        <v/>
      </c>
      <c r="P836" s="1">
        <f>IF(AND(O836="",ISNUMBER(B836)),INT(B836),0)</f>
        <v/>
      </c>
      <c r="Q836">
        <f>IF(AND(P836&gt;0,C836=Report!$C$5),P836*10000+ROW(),"")</f>
        <v/>
      </c>
      <c r="R836">
        <f>IF(AND(Q836&lt;&gt;"",ISNUMBER(D836)),Q836,"")</f>
        <v/>
      </c>
      <c r="S836">
        <f>IF(AND(Q836&lt;&gt;"",ISNUMBER(E836)),Q836,"")</f>
        <v/>
      </c>
      <c r="T836">
        <f>IF(AND(Q836&lt;&gt;"",ISNUMBER(F836)),Q836,"")</f>
        <v/>
      </c>
      <c r="U836">
        <f>IF(AND(Q836&lt;&gt;"",ISNUMBER(G836)),Q836,"")</f>
        <v/>
      </c>
      <c r="V836">
        <f>IF(AND(Q836&lt;&gt;"",ISNUMBER(H836)),Q836,"")</f>
        <v/>
      </c>
      <c r="W836">
        <f>IF(AND(Q836&lt;&gt;"",ISNUMBER(I836)),Q836,"")</f>
        <v/>
      </c>
      <c r="X836">
        <f>IF(AND(Q836&lt;&gt;"",ISNUMBER(J836)),Q836,"")</f>
        <v/>
      </c>
      <c r="Y836">
        <f>IF(AND(Q836&lt;&gt;"",ISNUMBER(K836)),Q836,"")</f>
        <v/>
      </c>
      <c r="Z836">
        <f>IF(AND(Q836&lt;&gt;"",ISNUMBER(L836)),Q836,"")</f>
        <v/>
      </c>
      <c r="AA836">
        <f>IF(AND(Q836&lt;&gt;"",ISNUMBER(M836)),Q836,"")</f>
        <v/>
      </c>
      <c r="AB836">
        <f>IF(AND(Q836&lt;&gt;"",ISNUMBER(K836)),K836,"")</f>
        <v/>
      </c>
      <c r="AC836">
        <f>IF(AND(Q836&lt;&gt;"",ISNUMBER(L836)),L836,"")</f>
        <v/>
      </c>
      <c r="AD836">
        <f>IF(AND(Q836&lt;&gt;"",ISNUMBER(M836)),M836,"")</f>
        <v/>
      </c>
    </row>
    <row r="837">
      <c r="A837" s="1" t="n"/>
      <c r="B837" s="17" t="n"/>
      <c r="C837" s="27" t="n"/>
      <c r="D837" s="28" t="n"/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9" t="n"/>
      <c r="N837" s="21" t="n"/>
      <c r="O837" s="12">
        <f>IF(AND(B837="",C837=""),"",IF(NOT(ISNUMBER(B837)),"Needs a date",IF(C837="","Needs a client",IF(COUNTIF(Clients!$B$6:$B$105,C837)=0,"Not on Clients",IF(COUNT(D837:M837)=0,"Nothing measured","")))))</f>
        <v/>
      </c>
      <c r="P837" s="1">
        <f>IF(AND(O837="",ISNUMBER(B837)),INT(B837),0)</f>
        <v/>
      </c>
      <c r="Q837">
        <f>IF(AND(P837&gt;0,C837=Report!$C$5),P837*10000+ROW(),"")</f>
        <v/>
      </c>
      <c r="R837">
        <f>IF(AND(Q837&lt;&gt;"",ISNUMBER(D837)),Q837,"")</f>
        <v/>
      </c>
      <c r="S837">
        <f>IF(AND(Q837&lt;&gt;"",ISNUMBER(E837)),Q837,"")</f>
        <v/>
      </c>
      <c r="T837">
        <f>IF(AND(Q837&lt;&gt;"",ISNUMBER(F837)),Q837,"")</f>
        <v/>
      </c>
      <c r="U837">
        <f>IF(AND(Q837&lt;&gt;"",ISNUMBER(G837)),Q837,"")</f>
        <v/>
      </c>
      <c r="V837">
        <f>IF(AND(Q837&lt;&gt;"",ISNUMBER(H837)),Q837,"")</f>
        <v/>
      </c>
      <c r="W837">
        <f>IF(AND(Q837&lt;&gt;"",ISNUMBER(I837)),Q837,"")</f>
        <v/>
      </c>
      <c r="X837">
        <f>IF(AND(Q837&lt;&gt;"",ISNUMBER(J837)),Q837,"")</f>
        <v/>
      </c>
      <c r="Y837">
        <f>IF(AND(Q837&lt;&gt;"",ISNUMBER(K837)),Q837,"")</f>
        <v/>
      </c>
      <c r="Z837">
        <f>IF(AND(Q837&lt;&gt;"",ISNUMBER(L837)),Q837,"")</f>
        <v/>
      </c>
      <c r="AA837">
        <f>IF(AND(Q837&lt;&gt;"",ISNUMBER(M837)),Q837,"")</f>
        <v/>
      </c>
      <c r="AB837">
        <f>IF(AND(Q837&lt;&gt;"",ISNUMBER(K837)),K837,"")</f>
        <v/>
      </c>
      <c r="AC837">
        <f>IF(AND(Q837&lt;&gt;"",ISNUMBER(L837)),L837,"")</f>
        <v/>
      </c>
      <c r="AD837">
        <f>IF(AND(Q837&lt;&gt;"",ISNUMBER(M837)),M837,"")</f>
        <v/>
      </c>
    </row>
    <row r="838">
      <c r="A838" s="1" t="n"/>
      <c r="B838" s="17" t="n"/>
      <c r="C838" s="27" t="n"/>
      <c r="D838" s="28" t="n"/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9" t="n"/>
      <c r="N838" s="21" t="n"/>
      <c r="O838" s="12">
        <f>IF(AND(B838="",C838=""),"",IF(NOT(ISNUMBER(B838)),"Needs a date",IF(C838="","Needs a client",IF(COUNTIF(Clients!$B$6:$B$105,C838)=0,"Not on Clients",IF(COUNT(D838:M838)=0,"Nothing measured","")))))</f>
        <v/>
      </c>
      <c r="P838" s="1">
        <f>IF(AND(O838="",ISNUMBER(B838)),INT(B838),0)</f>
        <v/>
      </c>
      <c r="Q838">
        <f>IF(AND(P838&gt;0,C838=Report!$C$5),P838*10000+ROW(),"")</f>
        <v/>
      </c>
      <c r="R838">
        <f>IF(AND(Q838&lt;&gt;"",ISNUMBER(D838)),Q838,"")</f>
        <v/>
      </c>
      <c r="S838">
        <f>IF(AND(Q838&lt;&gt;"",ISNUMBER(E838)),Q838,"")</f>
        <v/>
      </c>
      <c r="T838">
        <f>IF(AND(Q838&lt;&gt;"",ISNUMBER(F838)),Q838,"")</f>
        <v/>
      </c>
      <c r="U838">
        <f>IF(AND(Q838&lt;&gt;"",ISNUMBER(G838)),Q838,"")</f>
        <v/>
      </c>
      <c r="V838">
        <f>IF(AND(Q838&lt;&gt;"",ISNUMBER(H838)),Q838,"")</f>
        <v/>
      </c>
      <c r="W838">
        <f>IF(AND(Q838&lt;&gt;"",ISNUMBER(I838)),Q838,"")</f>
        <v/>
      </c>
      <c r="X838">
        <f>IF(AND(Q838&lt;&gt;"",ISNUMBER(J838)),Q838,"")</f>
        <v/>
      </c>
      <c r="Y838">
        <f>IF(AND(Q838&lt;&gt;"",ISNUMBER(K838)),Q838,"")</f>
        <v/>
      </c>
      <c r="Z838">
        <f>IF(AND(Q838&lt;&gt;"",ISNUMBER(L838)),Q838,"")</f>
        <v/>
      </c>
      <c r="AA838">
        <f>IF(AND(Q838&lt;&gt;"",ISNUMBER(M838)),Q838,"")</f>
        <v/>
      </c>
      <c r="AB838">
        <f>IF(AND(Q838&lt;&gt;"",ISNUMBER(K838)),K838,"")</f>
        <v/>
      </c>
      <c r="AC838">
        <f>IF(AND(Q838&lt;&gt;"",ISNUMBER(L838)),L838,"")</f>
        <v/>
      </c>
      <c r="AD838">
        <f>IF(AND(Q838&lt;&gt;"",ISNUMBER(M838)),M838,"")</f>
        <v/>
      </c>
    </row>
    <row r="839">
      <c r="A839" s="1" t="n"/>
      <c r="B839" s="17" t="n"/>
      <c r="C839" s="27" t="n"/>
      <c r="D839" s="28" t="n"/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9" t="n"/>
      <c r="N839" s="21" t="n"/>
      <c r="O839" s="12">
        <f>IF(AND(B839="",C839=""),"",IF(NOT(ISNUMBER(B839)),"Needs a date",IF(C839="","Needs a client",IF(COUNTIF(Clients!$B$6:$B$105,C839)=0,"Not on Clients",IF(COUNT(D839:M839)=0,"Nothing measured","")))))</f>
        <v/>
      </c>
      <c r="P839" s="1">
        <f>IF(AND(O839="",ISNUMBER(B839)),INT(B839),0)</f>
        <v/>
      </c>
      <c r="Q839">
        <f>IF(AND(P839&gt;0,C839=Report!$C$5),P839*10000+ROW(),"")</f>
        <v/>
      </c>
      <c r="R839">
        <f>IF(AND(Q839&lt;&gt;"",ISNUMBER(D839)),Q839,"")</f>
        <v/>
      </c>
      <c r="S839">
        <f>IF(AND(Q839&lt;&gt;"",ISNUMBER(E839)),Q839,"")</f>
        <v/>
      </c>
      <c r="T839">
        <f>IF(AND(Q839&lt;&gt;"",ISNUMBER(F839)),Q839,"")</f>
        <v/>
      </c>
      <c r="U839">
        <f>IF(AND(Q839&lt;&gt;"",ISNUMBER(G839)),Q839,"")</f>
        <v/>
      </c>
      <c r="V839">
        <f>IF(AND(Q839&lt;&gt;"",ISNUMBER(H839)),Q839,"")</f>
        <v/>
      </c>
      <c r="W839">
        <f>IF(AND(Q839&lt;&gt;"",ISNUMBER(I839)),Q839,"")</f>
        <v/>
      </c>
      <c r="X839">
        <f>IF(AND(Q839&lt;&gt;"",ISNUMBER(J839)),Q839,"")</f>
        <v/>
      </c>
      <c r="Y839">
        <f>IF(AND(Q839&lt;&gt;"",ISNUMBER(K839)),Q839,"")</f>
        <v/>
      </c>
      <c r="Z839">
        <f>IF(AND(Q839&lt;&gt;"",ISNUMBER(L839)),Q839,"")</f>
        <v/>
      </c>
      <c r="AA839">
        <f>IF(AND(Q839&lt;&gt;"",ISNUMBER(M839)),Q839,"")</f>
        <v/>
      </c>
      <c r="AB839">
        <f>IF(AND(Q839&lt;&gt;"",ISNUMBER(K839)),K839,"")</f>
        <v/>
      </c>
      <c r="AC839">
        <f>IF(AND(Q839&lt;&gt;"",ISNUMBER(L839)),L839,"")</f>
        <v/>
      </c>
      <c r="AD839">
        <f>IF(AND(Q839&lt;&gt;"",ISNUMBER(M839)),M839,"")</f>
        <v/>
      </c>
    </row>
    <row r="840">
      <c r="A840" s="1" t="n"/>
      <c r="B840" s="17" t="n"/>
      <c r="C840" s="27" t="n"/>
      <c r="D840" s="2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9" t="n"/>
      <c r="N840" s="21" t="n"/>
      <c r="O840" s="12">
        <f>IF(AND(B840="",C840=""),"",IF(NOT(ISNUMBER(B840)),"Needs a date",IF(C840="","Needs a client",IF(COUNTIF(Clients!$B$6:$B$105,C840)=0,"Not on Clients",IF(COUNT(D840:M840)=0,"Nothing measured","")))))</f>
        <v/>
      </c>
      <c r="P840" s="1">
        <f>IF(AND(O840="",ISNUMBER(B840)),INT(B840),0)</f>
        <v/>
      </c>
      <c r="Q840">
        <f>IF(AND(P840&gt;0,C840=Report!$C$5),P840*10000+ROW(),"")</f>
        <v/>
      </c>
      <c r="R840">
        <f>IF(AND(Q840&lt;&gt;"",ISNUMBER(D840)),Q840,"")</f>
        <v/>
      </c>
      <c r="S840">
        <f>IF(AND(Q840&lt;&gt;"",ISNUMBER(E840)),Q840,"")</f>
        <v/>
      </c>
      <c r="T840">
        <f>IF(AND(Q840&lt;&gt;"",ISNUMBER(F840)),Q840,"")</f>
        <v/>
      </c>
      <c r="U840">
        <f>IF(AND(Q840&lt;&gt;"",ISNUMBER(G840)),Q840,"")</f>
        <v/>
      </c>
      <c r="V840">
        <f>IF(AND(Q840&lt;&gt;"",ISNUMBER(H840)),Q840,"")</f>
        <v/>
      </c>
      <c r="W840">
        <f>IF(AND(Q840&lt;&gt;"",ISNUMBER(I840)),Q840,"")</f>
        <v/>
      </c>
      <c r="X840">
        <f>IF(AND(Q840&lt;&gt;"",ISNUMBER(J840)),Q840,"")</f>
        <v/>
      </c>
      <c r="Y840">
        <f>IF(AND(Q840&lt;&gt;"",ISNUMBER(K840)),Q840,"")</f>
        <v/>
      </c>
      <c r="Z840">
        <f>IF(AND(Q840&lt;&gt;"",ISNUMBER(L840)),Q840,"")</f>
        <v/>
      </c>
      <c r="AA840">
        <f>IF(AND(Q840&lt;&gt;"",ISNUMBER(M840)),Q840,"")</f>
        <v/>
      </c>
      <c r="AB840">
        <f>IF(AND(Q840&lt;&gt;"",ISNUMBER(K840)),K840,"")</f>
        <v/>
      </c>
      <c r="AC840">
        <f>IF(AND(Q840&lt;&gt;"",ISNUMBER(L840)),L840,"")</f>
        <v/>
      </c>
      <c r="AD840">
        <f>IF(AND(Q840&lt;&gt;"",ISNUMBER(M840)),M840,"")</f>
        <v/>
      </c>
    </row>
    <row r="841">
      <c r="A841" s="1" t="n"/>
      <c r="B841" s="17" t="n"/>
      <c r="C841" s="27" t="n"/>
      <c r="D841" s="28" t="n"/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9" t="n"/>
      <c r="N841" s="21" t="n"/>
      <c r="O841" s="12">
        <f>IF(AND(B841="",C841=""),"",IF(NOT(ISNUMBER(B841)),"Needs a date",IF(C841="","Needs a client",IF(COUNTIF(Clients!$B$6:$B$105,C841)=0,"Not on Clients",IF(COUNT(D841:M841)=0,"Nothing measured","")))))</f>
        <v/>
      </c>
      <c r="P841" s="1">
        <f>IF(AND(O841="",ISNUMBER(B841)),INT(B841),0)</f>
        <v/>
      </c>
      <c r="Q841">
        <f>IF(AND(P841&gt;0,C841=Report!$C$5),P841*10000+ROW(),"")</f>
        <v/>
      </c>
      <c r="R841">
        <f>IF(AND(Q841&lt;&gt;"",ISNUMBER(D841)),Q841,"")</f>
        <v/>
      </c>
      <c r="S841">
        <f>IF(AND(Q841&lt;&gt;"",ISNUMBER(E841)),Q841,"")</f>
        <v/>
      </c>
      <c r="T841">
        <f>IF(AND(Q841&lt;&gt;"",ISNUMBER(F841)),Q841,"")</f>
        <v/>
      </c>
      <c r="U841">
        <f>IF(AND(Q841&lt;&gt;"",ISNUMBER(G841)),Q841,"")</f>
        <v/>
      </c>
      <c r="V841">
        <f>IF(AND(Q841&lt;&gt;"",ISNUMBER(H841)),Q841,"")</f>
        <v/>
      </c>
      <c r="W841">
        <f>IF(AND(Q841&lt;&gt;"",ISNUMBER(I841)),Q841,"")</f>
        <v/>
      </c>
      <c r="X841">
        <f>IF(AND(Q841&lt;&gt;"",ISNUMBER(J841)),Q841,"")</f>
        <v/>
      </c>
      <c r="Y841">
        <f>IF(AND(Q841&lt;&gt;"",ISNUMBER(K841)),Q841,"")</f>
        <v/>
      </c>
      <c r="Z841">
        <f>IF(AND(Q841&lt;&gt;"",ISNUMBER(L841)),Q841,"")</f>
        <v/>
      </c>
      <c r="AA841">
        <f>IF(AND(Q841&lt;&gt;"",ISNUMBER(M841)),Q841,"")</f>
        <v/>
      </c>
      <c r="AB841">
        <f>IF(AND(Q841&lt;&gt;"",ISNUMBER(K841)),K841,"")</f>
        <v/>
      </c>
      <c r="AC841">
        <f>IF(AND(Q841&lt;&gt;"",ISNUMBER(L841)),L841,"")</f>
        <v/>
      </c>
      <c r="AD841">
        <f>IF(AND(Q841&lt;&gt;"",ISNUMBER(M841)),M841,"")</f>
        <v/>
      </c>
    </row>
    <row r="842">
      <c r="A842" s="1" t="n"/>
      <c r="B842" s="17" t="n"/>
      <c r="C842" s="27" t="n"/>
      <c r="D842" s="28" t="n"/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9" t="n"/>
      <c r="N842" s="21" t="n"/>
      <c r="O842" s="12">
        <f>IF(AND(B842="",C842=""),"",IF(NOT(ISNUMBER(B842)),"Needs a date",IF(C842="","Needs a client",IF(COUNTIF(Clients!$B$6:$B$105,C842)=0,"Not on Clients",IF(COUNT(D842:M842)=0,"Nothing measured","")))))</f>
        <v/>
      </c>
      <c r="P842" s="1">
        <f>IF(AND(O842="",ISNUMBER(B842)),INT(B842),0)</f>
        <v/>
      </c>
      <c r="Q842">
        <f>IF(AND(P842&gt;0,C842=Report!$C$5),P842*10000+ROW(),"")</f>
        <v/>
      </c>
      <c r="R842">
        <f>IF(AND(Q842&lt;&gt;"",ISNUMBER(D842)),Q842,"")</f>
        <v/>
      </c>
      <c r="S842">
        <f>IF(AND(Q842&lt;&gt;"",ISNUMBER(E842)),Q842,"")</f>
        <v/>
      </c>
      <c r="T842">
        <f>IF(AND(Q842&lt;&gt;"",ISNUMBER(F842)),Q842,"")</f>
        <v/>
      </c>
      <c r="U842">
        <f>IF(AND(Q842&lt;&gt;"",ISNUMBER(G842)),Q842,"")</f>
        <v/>
      </c>
      <c r="V842">
        <f>IF(AND(Q842&lt;&gt;"",ISNUMBER(H842)),Q842,"")</f>
        <v/>
      </c>
      <c r="W842">
        <f>IF(AND(Q842&lt;&gt;"",ISNUMBER(I842)),Q842,"")</f>
        <v/>
      </c>
      <c r="X842">
        <f>IF(AND(Q842&lt;&gt;"",ISNUMBER(J842)),Q842,"")</f>
        <v/>
      </c>
      <c r="Y842">
        <f>IF(AND(Q842&lt;&gt;"",ISNUMBER(K842)),Q842,"")</f>
        <v/>
      </c>
      <c r="Z842">
        <f>IF(AND(Q842&lt;&gt;"",ISNUMBER(L842)),Q842,"")</f>
        <v/>
      </c>
      <c r="AA842">
        <f>IF(AND(Q842&lt;&gt;"",ISNUMBER(M842)),Q842,"")</f>
        <v/>
      </c>
      <c r="AB842">
        <f>IF(AND(Q842&lt;&gt;"",ISNUMBER(K842)),K842,"")</f>
        <v/>
      </c>
      <c r="AC842">
        <f>IF(AND(Q842&lt;&gt;"",ISNUMBER(L842)),L842,"")</f>
        <v/>
      </c>
      <c r="AD842">
        <f>IF(AND(Q842&lt;&gt;"",ISNUMBER(M842)),M842,"")</f>
        <v/>
      </c>
    </row>
    <row r="843">
      <c r="A843" s="1" t="n"/>
      <c r="B843" s="17" t="n"/>
      <c r="C843" s="27" t="n"/>
      <c r="D843" s="28" t="n"/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9" t="n"/>
      <c r="N843" s="21" t="n"/>
      <c r="O843" s="12">
        <f>IF(AND(B843="",C843=""),"",IF(NOT(ISNUMBER(B843)),"Needs a date",IF(C843="","Needs a client",IF(COUNTIF(Clients!$B$6:$B$105,C843)=0,"Not on Clients",IF(COUNT(D843:M843)=0,"Nothing measured","")))))</f>
        <v/>
      </c>
      <c r="P843" s="1">
        <f>IF(AND(O843="",ISNUMBER(B843)),INT(B843),0)</f>
        <v/>
      </c>
      <c r="Q843">
        <f>IF(AND(P843&gt;0,C843=Report!$C$5),P843*10000+ROW(),"")</f>
        <v/>
      </c>
      <c r="R843">
        <f>IF(AND(Q843&lt;&gt;"",ISNUMBER(D843)),Q843,"")</f>
        <v/>
      </c>
      <c r="S843">
        <f>IF(AND(Q843&lt;&gt;"",ISNUMBER(E843)),Q843,"")</f>
        <v/>
      </c>
      <c r="T843">
        <f>IF(AND(Q843&lt;&gt;"",ISNUMBER(F843)),Q843,"")</f>
        <v/>
      </c>
      <c r="U843">
        <f>IF(AND(Q843&lt;&gt;"",ISNUMBER(G843)),Q843,"")</f>
        <v/>
      </c>
      <c r="V843">
        <f>IF(AND(Q843&lt;&gt;"",ISNUMBER(H843)),Q843,"")</f>
        <v/>
      </c>
      <c r="W843">
        <f>IF(AND(Q843&lt;&gt;"",ISNUMBER(I843)),Q843,"")</f>
        <v/>
      </c>
      <c r="X843">
        <f>IF(AND(Q843&lt;&gt;"",ISNUMBER(J843)),Q843,"")</f>
        <v/>
      </c>
      <c r="Y843">
        <f>IF(AND(Q843&lt;&gt;"",ISNUMBER(K843)),Q843,"")</f>
        <v/>
      </c>
      <c r="Z843">
        <f>IF(AND(Q843&lt;&gt;"",ISNUMBER(L843)),Q843,"")</f>
        <v/>
      </c>
      <c r="AA843">
        <f>IF(AND(Q843&lt;&gt;"",ISNUMBER(M843)),Q843,"")</f>
        <v/>
      </c>
      <c r="AB843">
        <f>IF(AND(Q843&lt;&gt;"",ISNUMBER(K843)),K843,"")</f>
        <v/>
      </c>
      <c r="AC843">
        <f>IF(AND(Q843&lt;&gt;"",ISNUMBER(L843)),L843,"")</f>
        <v/>
      </c>
      <c r="AD843">
        <f>IF(AND(Q843&lt;&gt;"",ISNUMBER(M843)),M843,"")</f>
        <v/>
      </c>
    </row>
    <row r="844">
      <c r="A844" s="1" t="n"/>
      <c r="B844" s="17" t="n"/>
      <c r="C844" s="27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9" t="n"/>
      <c r="N844" s="21" t="n"/>
      <c r="O844" s="12">
        <f>IF(AND(B844="",C844=""),"",IF(NOT(ISNUMBER(B844)),"Needs a date",IF(C844="","Needs a client",IF(COUNTIF(Clients!$B$6:$B$105,C844)=0,"Not on Clients",IF(COUNT(D844:M844)=0,"Nothing measured","")))))</f>
        <v/>
      </c>
      <c r="P844" s="1">
        <f>IF(AND(O844="",ISNUMBER(B844)),INT(B844),0)</f>
        <v/>
      </c>
      <c r="Q844">
        <f>IF(AND(P844&gt;0,C844=Report!$C$5),P844*10000+ROW(),"")</f>
        <v/>
      </c>
      <c r="R844">
        <f>IF(AND(Q844&lt;&gt;"",ISNUMBER(D844)),Q844,"")</f>
        <v/>
      </c>
      <c r="S844">
        <f>IF(AND(Q844&lt;&gt;"",ISNUMBER(E844)),Q844,"")</f>
        <v/>
      </c>
      <c r="T844">
        <f>IF(AND(Q844&lt;&gt;"",ISNUMBER(F844)),Q844,"")</f>
        <v/>
      </c>
      <c r="U844">
        <f>IF(AND(Q844&lt;&gt;"",ISNUMBER(G844)),Q844,"")</f>
        <v/>
      </c>
      <c r="V844">
        <f>IF(AND(Q844&lt;&gt;"",ISNUMBER(H844)),Q844,"")</f>
        <v/>
      </c>
      <c r="W844">
        <f>IF(AND(Q844&lt;&gt;"",ISNUMBER(I844)),Q844,"")</f>
        <v/>
      </c>
      <c r="X844">
        <f>IF(AND(Q844&lt;&gt;"",ISNUMBER(J844)),Q844,"")</f>
        <v/>
      </c>
      <c r="Y844">
        <f>IF(AND(Q844&lt;&gt;"",ISNUMBER(K844)),Q844,"")</f>
        <v/>
      </c>
      <c r="Z844">
        <f>IF(AND(Q844&lt;&gt;"",ISNUMBER(L844)),Q844,"")</f>
        <v/>
      </c>
      <c r="AA844">
        <f>IF(AND(Q844&lt;&gt;"",ISNUMBER(M844)),Q844,"")</f>
        <v/>
      </c>
      <c r="AB844">
        <f>IF(AND(Q844&lt;&gt;"",ISNUMBER(K844)),K844,"")</f>
        <v/>
      </c>
      <c r="AC844">
        <f>IF(AND(Q844&lt;&gt;"",ISNUMBER(L844)),L844,"")</f>
        <v/>
      </c>
      <c r="AD844">
        <f>IF(AND(Q844&lt;&gt;"",ISNUMBER(M844)),M844,"")</f>
        <v/>
      </c>
    </row>
    <row r="845">
      <c r="A845" s="1" t="n"/>
      <c r="B845" s="17" t="n"/>
      <c r="C845" s="27" t="n"/>
      <c r="D845" s="28" t="n"/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9" t="n"/>
      <c r="N845" s="21" t="n"/>
      <c r="O845" s="12">
        <f>IF(AND(B845="",C845=""),"",IF(NOT(ISNUMBER(B845)),"Needs a date",IF(C845="","Needs a client",IF(COUNTIF(Clients!$B$6:$B$105,C845)=0,"Not on Clients",IF(COUNT(D845:M845)=0,"Nothing measured","")))))</f>
        <v/>
      </c>
      <c r="P845" s="1">
        <f>IF(AND(O845="",ISNUMBER(B845)),INT(B845),0)</f>
        <v/>
      </c>
      <c r="Q845">
        <f>IF(AND(P845&gt;0,C845=Report!$C$5),P845*10000+ROW(),"")</f>
        <v/>
      </c>
      <c r="R845">
        <f>IF(AND(Q845&lt;&gt;"",ISNUMBER(D845)),Q845,"")</f>
        <v/>
      </c>
      <c r="S845">
        <f>IF(AND(Q845&lt;&gt;"",ISNUMBER(E845)),Q845,"")</f>
        <v/>
      </c>
      <c r="T845">
        <f>IF(AND(Q845&lt;&gt;"",ISNUMBER(F845)),Q845,"")</f>
        <v/>
      </c>
      <c r="U845">
        <f>IF(AND(Q845&lt;&gt;"",ISNUMBER(G845)),Q845,"")</f>
        <v/>
      </c>
      <c r="V845">
        <f>IF(AND(Q845&lt;&gt;"",ISNUMBER(H845)),Q845,"")</f>
        <v/>
      </c>
      <c r="W845">
        <f>IF(AND(Q845&lt;&gt;"",ISNUMBER(I845)),Q845,"")</f>
        <v/>
      </c>
      <c r="X845">
        <f>IF(AND(Q845&lt;&gt;"",ISNUMBER(J845)),Q845,"")</f>
        <v/>
      </c>
      <c r="Y845">
        <f>IF(AND(Q845&lt;&gt;"",ISNUMBER(K845)),Q845,"")</f>
        <v/>
      </c>
      <c r="Z845">
        <f>IF(AND(Q845&lt;&gt;"",ISNUMBER(L845)),Q845,"")</f>
        <v/>
      </c>
      <c r="AA845">
        <f>IF(AND(Q845&lt;&gt;"",ISNUMBER(M845)),Q845,"")</f>
        <v/>
      </c>
      <c r="AB845">
        <f>IF(AND(Q845&lt;&gt;"",ISNUMBER(K845)),K845,"")</f>
        <v/>
      </c>
      <c r="AC845">
        <f>IF(AND(Q845&lt;&gt;"",ISNUMBER(L845)),L845,"")</f>
        <v/>
      </c>
      <c r="AD845">
        <f>IF(AND(Q845&lt;&gt;"",ISNUMBER(M845)),M845,"")</f>
        <v/>
      </c>
    </row>
    <row r="846">
      <c r="A846" s="1" t="n"/>
      <c r="B846" s="17" t="n"/>
      <c r="C846" s="27" t="n"/>
      <c r="D846" s="28" t="n"/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9" t="n"/>
      <c r="N846" s="21" t="n"/>
      <c r="O846" s="12">
        <f>IF(AND(B846="",C846=""),"",IF(NOT(ISNUMBER(B846)),"Needs a date",IF(C846="","Needs a client",IF(COUNTIF(Clients!$B$6:$B$105,C846)=0,"Not on Clients",IF(COUNT(D846:M846)=0,"Nothing measured","")))))</f>
        <v/>
      </c>
      <c r="P846" s="1">
        <f>IF(AND(O846="",ISNUMBER(B846)),INT(B846),0)</f>
        <v/>
      </c>
      <c r="Q846">
        <f>IF(AND(P846&gt;0,C846=Report!$C$5),P846*10000+ROW(),"")</f>
        <v/>
      </c>
      <c r="R846">
        <f>IF(AND(Q846&lt;&gt;"",ISNUMBER(D846)),Q846,"")</f>
        <v/>
      </c>
      <c r="S846">
        <f>IF(AND(Q846&lt;&gt;"",ISNUMBER(E846)),Q846,"")</f>
        <v/>
      </c>
      <c r="T846">
        <f>IF(AND(Q846&lt;&gt;"",ISNUMBER(F846)),Q846,"")</f>
        <v/>
      </c>
      <c r="U846">
        <f>IF(AND(Q846&lt;&gt;"",ISNUMBER(G846)),Q846,"")</f>
        <v/>
      </c>
      <c r="V846">
        <f>IF(AND(Q846&lt;&gt;"",ISNUMBER(H846)),Q846,"")</f>
        <v/>
      </c>
      <c r="W846">
        <f>IF(AND(Q846&lt;&gt;"",ISNUMBER(I846)),Q846,"")</f>
        <v/>
      </c>
      <c r="X846">
        <f>IF(AND(Q846&lt;&gt;"",ISNUMBER(J846)),Q846,"")</f>
        <v/>
      </c>
      <c r="Y846">
        <f>IF(AND(Q846&lt;&gt;"",ISNUMBER(K846)),Q846,"")</f>
        <v/>
      </c>
      <c r="Z846">
        <f>IF(AND(Q846&lt;&gt;"",ISNUMBER(L846)),Q846,"")</f>
        <v/>
      </c>
      <c r="AA846">
        <f>IF(AND(Q846&lt;&gt;"",ISNUMBER(M846)),Q846,"")</f>
        <v/>
      </c>
      <c r="AB846">
        <f>IF(AND(Q846&lt;&gt;"",ISNUMBER(K846)),K846,"")</f>
        <v/>
      </c>
      <c r="AC846">
        <f>IF(AND(Q846&lt;&gt;"",ISNUMBER(L846)),L846,"")</f>
        <v/>
      </c>
      <c r="AD846">
        <f>IF(AND(Q846&lt;&gt;"",ISNUMBER(M846)),M846,"")</f>
        <v/>
      </c>
    </row>
    <row r="847">
      <c r="A847" s="1" t="n"/>
      <c r="B847" s="17" t="n"/>
      <c r="C847" s="27" t="n"/>
      <c r="D847" s="2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9" t="n"/>
      <c r="N847" s="21" t="n"/>
      <c r="O847" s="12">
        <f>IF(AND(B847="",C847=""),"",IF(NOT(ISNUMBER(B847)),"Needs a date",IF(C847="","Needs a client",IF(COUNTIF(Clients!$B$6:$B$105,C847)=0,"Not on Clients",IF(COUNT(D847:M847)=0,"Nothing measured","")))))</f>
        <v/>
      </c>
      <c r="P847" s="1">
        <f>IF(AND(O847="",ISNUMBER(B847)),INT(B847),0)</f>
        <v/>
      </c>
      <c r="Q847">
        <f>IF(AND(P847&gt;0,C847=Report!$C$5),P847*10000+ROW(),"")</f>
        <v/>
      </c>
      <c r="R847">
        <f>IF(AND(Q847&lt;&gt;"",ISNUMBER(D847)),Q847,"")</f>
        <v/>
      </c>
      <c r="S847">
        <f>IF(AND(Q847&lt;&gt;"",ISNUMBER(E847)),Q847,"")</f>
        <v/>
      </c>
      <c r="T847">
        <f>IF(AND(Q847&lt;&gt;"",ISNUMBER(F847)),Q847,"")</f>
        <v/>
      </c>
      <c r="U847">
        <f>IF(AND(Q847&lt;&gt;"",ISNUMBER(G847)),Q847,"")</f>
        <v/>
      </c>
      <c r="V847">
        <f>IF(AND(Q847&lt;&gt;"",ISNUMBER(H847)),Q847,"")</f>
        <v/>
      </c>
      <c r="W847">
        <f>IF(AND(Q847&lt;&gt;"",ISNUMBER(I847)),Q847,"")</f>
        <v/>
      </c>
      <c r="X847">
        <f>IF(AND(Q847&lt;&gt;"",ISNUMBER(J847)),Q847,"")</f>
        <v/>
      </c>
      <c r="Y847">
        <f>IF(AND(Q847&lt;&gt;"",ISNUMBER(K847)),Q847,"")</f>
        <v/>
      </c>
      <c r="Z847">
        <f>IF(AND(Q847&lt;&gt;"",ISNUMBER(L847)),Q847,"")</f>
        <v/>
      </c>
      <c r="AA847">
        <f>IF(AND(Q847&lt;&gt;"",ISNUMBER(M847)),Q847,"")</f>
        <v/>
      </c>
      <c r="AB847">
        <f>IF(AND(Q847&lt;&gt;"",ISNUMBER(K847)),K847,"")</f>
        <v/>
      </c>
      <c r="AC847">
        <f>IF(AND(Q847&lt;&gt;"",ISNUMBER(L847)),L847,"")</f>
        <v/>
      </c>
      <c r="AD847">
        <f>IF(AND(Q847&lt;&gt;"",ISNUMBER(M847)),M847,"")</f>
        <v/>
      </c>
    </row>
    <row r="848">
      <c r="A848" s="1" t="n"/>
      <c r="B848" s="17" t="n"/>
      <c r="C848" s="27" t="n"/>
      <c r="D848" s="2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9" t="n"/>
      <c r="N848" s="21" t="n"/>
      <c r="O848" s="12">
        <f>IF(AND(B848="",C848=""),"",IF(NOT(ISNUMBER(B848)),"Needs a date",IF(C848="","Needs a client",IF(COUNTIF(Clients!$B$6:$B$105,C848)=0,"Not on Clients",IF(COUNT(D848:M848)=0,"Nothing measured","")))))</f>
        <v/>
      </c>
      <c r="P848" s="1">
        <f>IF(AND(O848="",ISNUMBER(B848)),INT(B848),0)</f>
        <v/>
      </c>
      <c r="Q848">
        <f>IF(AND(P848&gt;0,C848=Report!$C$5),P848*10000+ROW(),"")</f>
        <v/>
      </c>
      <c r="R848">
        <f>IF(AND(Q848&lt;&gt;"",ISNUMBER(D848)),Q848,"")</f>
        <v/>
      </c>
      <c r="S848">
        <f>IF(AND(Q848&lt;&gt;"",ISNUMBER(E848)),Q848,"")</f>
        <v/>
      </c>
      <c r="T848">
        <f>IF(AND(Q848&lt;&gt;"",ISNUMBER(F848)),Q848,"")</f>
        <v/>
      </c>
      <c r="U848">
        <f>IF(AND(Q848&lt;&gt;"",ISNUMBER(G848)),Q848,"")</f>
        <v/>
      </c>
      <c r="V848">
        <f>IF(AND(Q848&lt;&gt;"",ISNUMBER(H848)),Q848,"")</f>
        <v/>
      </c>
      <c r="W848">
        <f>IF(AND(Q848&lt;&gt;"",ISNUMBER(I848)),Q848,"")</f>
        <v/>
      </c>
      <c r="X848">
        <f>IF(AND(Q848&lt;&gt;"",ISNUMBER(J848)),Q848,"")</f>
        <v/>
      </c>
      <c r="Y848">
        <f>IF(AND(Q848&lt;&gt;"",ISNUMBER(K848)),Q848,"")</f>
        <v/>
      </c>
      <c r="Z848">
        <f>IF(AND(Q848&lt;&gt;"",ISNUMBER(L848)),Q848,"")</f>
        <v/>
      </c>
      <c r="AA848">
        <f>IF(AND(Q848&lt;&gt;"",ISNUMBER(M848)),Q848,"")</f>
        <v/>
      </c>
      <c r="AB848">
        <f>IF(AND(Q848&lt;&gt;"",ISNUMBER(K848)),K848,"")</f>
        <v/>
      </c>
      <c r="AC848">
        <f>IF(AND(Q848&lt;&gt;"",ISNUMBER(L848)),L848,"")</f>
        <v/>
      </c>
      <c r="AD848">
        <f>IF(AND(Q848&lt;&gt;"",ISNUMBER(M848)),M848,"")</f>
        <v/>
      </c>
    </row>
    <row r="849">
      <c r="A849" s="1" t="n"/>
      <c r="B849" s="17" t="n"/>
      <c r="C849" s="27" t="n"/>
      <c r="D849" s="2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9" t="n"/>
      <c r="N849" s="21" t="n"/>
      <c r="O849" s="12">
        <f>IF(AND(B849="",C849=""),"",IF(NOT(ISNUMBER(B849)),"Needs a date",IF(C849="","Needs a client",IF(COUNTIF(Clients!$B$6:$B$105,C849)=0,"Not on Clients",IF(COUNT(D849:M849)=0,"Nothing measured","")))))</f>
        <v/>
      </c>
      <c r="P849" s="1">
        <f>IF(AND(O849="",ISNUMBER(B849)),INT(B849),0)</f>
        <v/>
      </c>
      <c r="Q849">
        <f>IF(AND(P849&gt;0,C849=Report!$C$5),P849*10000+ROW(),"")</f>
        <v/>
      </c>
      <c r="R849">
        <f>IF(AND(Q849&lt;&gt;"",ISNUMBER(D849)),Q849,"")</f>
        <v/>
      </c>
      <c r="S849">
        <f>IF(AND(Q849&lt;&gt;"",ISNUMBER(E849)),Q849,"")</f>
        <v/>
      </c>
      <c r="T849">
        <f>IF(AND(Q849&lt;&gt;"",ISNUMBER(F849)),Q849,"")</f>
        <v/>
      </c>
      <c r="U849">
        <f>IF(AND(Q849&lt;&gt;"",ISNUMBER(G849)),Q849,"")</f>
        <v/>
      </c>
      <c r="V849">
        <f>IF(AND(Q849&lt;&gt;"",ISNUMBER(H849)),Q849,"")</f>
        <v/>
      </c>
      <c r="W849">
        <f>IF(AND(Q849&lt;&gt;"",ISNUMBER(I849)),Q849,"")</f>
        <v/>
      </c>
      <c r="X849">
        <f>IF(AND(Q849&lt;&gt;"",ISNUMBER(J849)),Q849,"")</f>
        <v/>
      </c>
      <c r="Y849">
        <f>IF(AND(Q849&lt;&gt;"",ISNUMBER(K849)),Q849,"")</f>
        <v/>
      </c>
      <c r="Z849">
        <f>IF(AND(Q849&lt;&gt;"",ISNUMBER(L849)),Q849,"")</f>
        <v/>
      </c>
      <c r="AA849">
        <f>IF(AND(Q849&lt;&gt;"",ISNUMBER(M849)),Q849,"")</f>
        <v/>
      </c>
      <c r="AB849">
        <f>IF(AND(Q849&lt;&gt;"",ISNUMBER(K849)),K849,"")</f>
        <v/>
      </c>
      <c r="AC849">
        <f>IF(AND(Q849&lt;&gt;"",ISNUMBER(L849)),L849,"")</f>
        <v/>
      </c>
      <c r="AD849">
        <f>IF(AND(Q849&lt;&gt;"",ISNUMBER(M849)),M849,"")</f>
        <v/>
      </c>
    </row>
    <row r="850">
      <c r="A850" s="1" t="n"/>
      <c r="B850" s="17" t="n"/>
      <c r="C850" s="27" t="n"/>
      <c r="D850" s="28" t="n"/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9" t="n"/>
      <c r="N850" s="21" t="n"/>
      <c r="O850" s="12">
        <f>IF(AND(B850="",C850=""),"",IF(NOT(ISNUMBER(B850)),"Needs a date",IF(C850="","Needs a client",IF(COUNTIF(Clients!$B$6:$B$105,C850)=0,"Not on Clients",IF(COUNT(D850:M850)=0,"Nothing measured","")))))</f>
        <v/>
      </c>
      <c r="P850" s="1">
        <f>IF(AND(O850="",ISNUMBER(B850)),INT(B850),0)</f>
        <v/>
      </c>
      <c r="Q850">
        <f>IF(AND(P850&gt;0,C850=Report!$C$5),P850*10000+ROW(),"")</f>
        <v/>
      </c>
      <c r="R850">
        <f>IF(AND(Q850&lt;&gt;"",ISNUMBER(D850)),Q850,"")</f>
        <v/>
      </c>
      <c r="S850">
        <f>IF(AND(Q850&lt;&gt;"",ISNUMBER(E850)),Q850,"")</f>
        <v/>
      </c>
      <c r="T850">
        <f>IF(AND(Q850&lt;&gt;"",ISNUMBER(F850)),Q850,"")</f>
        <v/>
      </c>
      <c r="U850">
        <f>IF(AND(Q850&lt;&gt;"",ISNUMBER(G850)),Q850,"")</f>
        <v/>
      </c>
      <c r="V850">
        <f>IF(AND(Q850&lt;&gt;"",ISNUMBER(H850)),Q850,"")</f>
        <v/>
      </c>
      <c r="W850">
        <f>IF(AND(Q850&lt;&gt;"",ISNUMBER(I850)),Q850,"")</f>
        <v/>
      </c>
      <c r="X850">
        <f>IF(AND(Q850&lt;&gt;"",ISNUMBER(J850)),Q850,"")</f>
        <v/>
      </c>
      <c r="Y850">
        <f>IF(AND(Q850&lt;&gt;"",ISNUMBER(K850)),Q850,"")</f>
        <v/>
      </c>
      <c r="Z850">
        <f>IF(AND(Q850&lt;&gt;"",ISNUMBER(L850)),Q850,"")</f>
        <v/>
      </c>
      <c r="AA850">
        <f>IF(AND(Q850&lt;&gt;"",ISNUMBER(M850)),Q850,"")</f>
        <v/>
      </c>
      <c r="AB850">
        <f>IF(AND(Q850&lt;&gt;"",ISNUMBER(K850)),K850,"")</f>
        <v/>
      </c>
      <c r="AC850">
        <f>IF(AND(Q850&lt;&gt;"",ISNUMBER(L850)),L850,"")</f>
        <v/>
      </c>
      <c r="AD850">
        <f>IF(AND(Q850&lt;&gt;"",ISNUMBER(M850)),M850,"")</f>
        <v/>
      </c>
    </row>
    <row r="851">
      <c r="A851" s="1" t="n"/>
      <c r="B851" s="17" t="n"/>
      <c r="C851" s="27" t="n"/>
      <c r="D851" s="2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9" t="n"/>
      <c r="N851" s="21" t="n"/>
      <c r="O851" s="12">
        <f>IF(AND(B851="",C851=""),"",IF(NOT(ISNUMBER(B851)),"Needs a date",IF(C851="","Needs a client",IF(COUNTIF(Clients!$B$6:$B$105,C851)=0,"Not on Clients",IF(COUNT(D851:M851)=0,"Nothing measured","")))))</f>
        <v/>
      </c>
      <c r="P851" s="1">
        <f>IF(AND(O851="",ISNUMBER(B851)),INT(B851),0)</f>
        <v/>
      </c>
      <c r="Q851">
        <f>IF(AND(P851&gt;0,C851=Report!$C$5),P851*10000+ROW(),"")</f>
        <v/>
      </c>
      <c r="R851">
        <f>IF(AND(Q851&lt;&gt;"",ISNUMBER(D851)),Q851,"")</f>
        <v/>
      </c>
      <c r="S851">
        <f>IF(AND(Q851&lt;&gt;"",ISNUMBER(E851)),Q851,"")</f>
        <v/>
      </c>
      <c r="T851">
        <f>IF(AND(Q851&lt;&gt;"",ISNUMBER(F851)),Q851,"")</f>
        <v/>
      </c>
      <c r="U851">
        <f>IF(AND(Q851&lt;&gt;"",ISNUMBER(G851)),Q851,"")</f>
        <v/>
      </c>
      <c r="V851">
        <f>IF(AND(Q851&lt;&gt;"",ISNUMBER(H851)),Q851,"")</f>
        <v/>
      </c>
      <c r="W851">
        <f>IF(AND(Q851&lt;&gt;"",ISNUMBER(I851)),Q851,"")</f>
        <v/>
      </c>
      <c r="X851">
        <f>IF(AND(Q851&lt;&gt;"",ISNUMBER(J851)),Q851,"")</f>
        <v/>
      </c>
      <c r="Y851">
        <f>IF(AND(Q851&lt;&gt;"",ISNUMBER(K851)),Q851,"")</f>
        <v/>
      </c>
      <c r="Z851">
        <f>IF(AND(Q851&lt;&gt;"",ISNUMBER(L851)),Q851,"")</f>
        <v/>
      </c>
      <c r="AA851">
        <f>IF(AND(Q851&lt;&gt;"",ISNUMBER(M851)),Q851,"")</f>
        <v/>
      </c>
      <c r="AB851">
        <f>IF(AND(Q851&lt;&gt;"",ISNUMBER(K851)),K851,"")</f>
        <v/>
      </c>
      <c r="AC851">
        <f>IF(AND(Q851&lt;&gt;"",ISNUMBER(L851)),L851,"")</f>
        <v/>
      </c>
      <c r="AD851">
        <f>IF(AND(Q851&lt;&gt;"",ISNUMBER(M851)),M851,"")</f>
        <v/>
      </c>
    </row>
    <row r="852">
      <c r="A852" s="1" t="n"/>
      <c r="B852" s="17" t="n"/>
      <c r="C852" s="27" t="n"/>
      <c r="D852" s="28" t="n"/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9" t="n"/>
      <c r="N852" s="21" t="n"/>
      <c r="O852" s="12">
        <f>IF(AND(B852="",C852=""),"",IF(NOT(ISNUMBER(B852)),"Needs a date",IF(C852="","Needs a client",IF(COUNTIF(Clients!$B$6:$B$105,C852)=0,"Not on Clients",IF(COUNT(D852:M852)=0,"Nothing measured","")))))</f>
        <v/>
      </c>
      <c r="P852" s="1">
        <f>IF(AND(O852="",ISNUMBER(B852)),INT(B852),0)</f>
        <v/>
      </c>
      <c r="Q852">
        <f>IF(AND(P852&gt;0,C852=Report!$C$5),P852*10000+ROW(),"")</f>
        <v/>
      </c>
      <c r="R852">
        <f>IF(AND(Q852&lt;&gt;"",ISNUMBER(D852)),Q852,"")</f>
        <v/>
      </c>
      <c r="S852">
        <f>IF(AND(Q852&lt;&gt;"",ISNUMBER(E852)),Q852,"")</f>
        <v/>
      </c>
      <c r="T852">
        <f>IF(AND(Q852&lt;&gt;"",ISNUMBER(F852)),Q852,"")</f>
        <v/>
      </c>
      <c r="U852">
        <f>IF(AND(Q852&lt;&gt;"",ISNUMBER(G852)),Q852,"")</f>
        <v/>
      </c>
      <c r="V852">
        <f>IF(AND(Q852&lt;&gt;"",ISNUMBER(H852)),Q852,"")</f>
        <v/>
      </c>
      <c r="W852">
        <f>IF(AND(Q852&lt;&gt;"",ISNUMBER(I852)),Q852,"")</f>
        <v/>
      </c>
      <c r="X852">
        <f>IF(AND(Q852&lt;&gt;"",ISNUMBER(J852)),Q852,"")</f>
        <v/>
      </c>
      <c r="Y852">
        <f>IF(AND(Q852&lt;&gt;"",ISNUMBER(K852)),Q852,"")</f>
        <v/>
      </c>
      <c r="Z852">
        <f>IF(AND(Q852&lt;&gt;"",ISNUMBER(L852)),Q852,"")</f>
        <v/>
      </c>
      <c r="AA852">
        <f>IF(AND(Q852&lt;&gt;"",ISNUMBER(M852)),Q852,"")</f>
        <v/>
      </c>
      <c r="AB852">
        <f>IF(AND(Q852&lt;&gt;"",ISNUMBER(K852)),K852,"")</f>
        <v/>
      </c>
      <c r="AC852">
        <f>IF(AND(Q852&lt;&gt;"",ISNUMBER(L852)),L852,"")</f>
        <v/>
      </c>
      <c r="AD852">
        <f>IF(AND(Q852&lt;&gt;"",ISNUMBER(M852)),M852,"")</f>
        <v/>
      </c>
    </row>
    <row r="853">
      <c r="A853" s="1" t="n"/>
      <c r="B853" s="17" t="n"/>
      <c r="C853" s="27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9" t="n"/>
      <c r="N853" s="21" t="n"/>
      <c r="O853" s="12">
        <f>IF(AND(B853="",C853=""),"",IF(NOT(ISNUMBER(B853)),"Needs a date",IF(C853="","Needs a client",IF(COUNTIF(Clients!$B$6:$B$105,C853)=0,"Not on Clients",IF(COUNT(D853:M853)=0,"Nothing measured","")))))</f>
        <v/>
      </c>
      <c r="P853" s="1">
        <f>IF(AND(O853="",ISNUMBER(B853)),INT(B853),0)</f>
        <v/>
      </c>
      <c r="Q853">
        <f>IF(AND(P853&gt;0,C853=Report!$C$5),P853*10000+ROW(),"")</f>
        <v/>
      </c>
      <c r="R853">
        <f>IF(AND(Q853&lt;&gt;"",ISNUMBER(D853)),Q853,"")</f>
        <v/>
      </c>
      <c r="S853">
        <f>IF(AND(Q853&lt;&gt;"",ISNUMBER(E853)),Q853,"")</f>
        <v/>
      </c>
      <c r="T853">
        <f>IF(AND(Q853&lt;&gt;"",ISNUMBER(F853)),Q853,"")</f>
        <v/>
      </c>
      <c r="U853">
        <f>IF(AND(Q853&lt;&gt;"",ISNUMBER(G853)),Q853,"")</f>
        <v/>
      </c>
      <c r="V853">
        <f>IF(AND(Q853&lt;&gt;"",ISNUMBER(H853)),Q853,"")</f>
        <v/>
      </c>
      <c r="W853">
        <f>IF(AND(Q853&lt;&gt;"",ISNUMBER(I853)),Q853,"")</f>
        <v/>
      </c>
      <c r="X853">
        <f>IF(AND(Q853&lt;&gt;"",ISNUMBER(J853)),Q853,"")</f>
        <v/>
      </c>
      <c r="Y853">
        <f>IF(AND(Q853&lt;&gt;"",ISNUMBER(K853)),Q853,"")</f>
        <v/>
      </c>
      <c r="Z853">
        <f>IF(AND(Q853&lt;&gt;"",ISNUMBER(L853)),Q853,"")</f>
        <v/>
      </c>
      <c r="AA853">
        <f>IF(AND(Q853&lt;&gt;"",ISNUMBER(M853)),Q853,"")</f>
        <v/>
      </c>
      <c r="AB853">
        <f>IF(AND(Q853&lt;&gt;"",ISNUMBER(K853)),K853,"")</f>
        <v/>
      </c>
      <c r="AC853">
        <f>IF(AND(Q853&lt;&gt;"",ISNUMBER(L853)),L853,"")</f>
        <v/>
      </c>
      <c r="AD853">
        <f>IF(AND(Q853&lt;&gt;"",ISNUMBER(M853)),M853,"")</f>
        <v/>
      </c>
    </row>
    <row r="854">
      <c r="A854" s="1" t="n"/>
      <c r="B854" s="17" t="n"/>
      <c r="C854" s="27" t="n"/>
      <c r="D854" s="28" t="n"/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9" t="n"/>
      <c r="N854" s="21" t="n"/>
      <c r="O854" s="12">
        <f>IF(AND(B854="",C854=""),"",IF(NOT(ISNUMBER(B854)),"Needs a date",IF(C854="","Needs a client",IF(COUNTIF(Clients!$B$6:$B$105,C854)=0,"Not on Clients",IF(COUNT(D854:M854)=0,"Nothing measured","")))))</f>
        <v/>
      </c>
      <c r="P854" s="1">
        <f>IF(AND(O854="",ISNUMBER(B854)),INT(B854),0)</f>
        <v/>
      </c>
      <c r="Q854">
        <f>IF(AND(P854&gt;0,C854=Report!$C$5),P854*10000+ROW(),"")</f>
        <v/>
      </c>
      <c r="R854">
        <f>IF(AND(Q854&lt;&gt;"",ISNUMBER(D854)),Q854,"")</f>
        <v/>
      </c>
      <c r="S854">
        <f>IF(AND(Q854&lt;&gt;"",ISNUMBER(E854)),Q854,"")</f>
        <v/>
      </c>
      <c r="T854">
        <f>IF(AND(Q854&lt;&gt;"",ISNUMBER(F854)),Q854,"")</f>
        <v/>
      </c>
      <c r="U854">
        <f>IF(AND(Q854&lt;&gt;"",ISNUMBER(G854)),Q854,"")</f>
        <v/>
      </c>
      <c r="V854">
        <f>IF(AND(Q854&lt;&gt;"",ISNUMBER(H854)),Q854,"")</f>
        <v/>
      </c>
      <c r="W854">
        <f>IF(AND(Q854&lt;&gt;"",ISNUMBER(I854)),Q854,"")</f>
        <v/>
      </c>
      <c r="X854">
        <f>IF(AND(Q854&lt;&gt;"",ISNUMBER(J854)),Q854,"")</f>
        <v/>
      </c>
      <c r="Y854">
        <f>IF(AND(Q854&lt;&gt;"",ISNUMBER(K854)),Q854,"")</f>
        <v/>
      </c>
      <c r="Z854">
        <f>IF(AND(Q854&lt;&gt;"",ISNUMBER(L854)),Q854,"")</f>
        <v/>
      </c>
      <c r="AA854">
        <f>IF(AND(Q854&lt;&gt;"",ISNUMBER(M854)),Q854,"")</f>
        <v/>
      </c>
      <c r="AB854">
        <f>IF(AND(Q854&lt;&gt;"",ISNUMBER(K854)),K854,"")</f>
        <v/>
      </c>
      <c r="AC854">
        <f>IF(AND(Q854&lt;&gt;"",ISNUMBER(L854)),L854,"")</f>
        <v/>
      </c>
      <c r="AD854">
        <f>IF(AND(Q854&lt;&gt;"",ISNUMBER(M854)),M854,"")</f>
        <v/>
      </c>
    </row>
    <row r="855">
      <c r="A855" s="1" t="n"/>
      <c r="B855" s="17" t="n"/>
      <c r="C855" s="27" t="n"/>
      <c r="D855" s="2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9" t="n"/>
      <c r="N855" s="21" t="n"/>
      <c r="O855" s="12">
        <f>IF(AND(B855="",C855=""),"",IF(NOT(ISNUMBER(B855)),"Needs a date",IF(C855="","Needs a client",IF(COUNTIF(Clients!$B$6:$B$105,C855)=0,"Not on Clients",IF(COUNT(D855:M855)=0,"Nothing measured","")))))</f>
        <v/>
      </c>
      <c r="P855" s="1">
        <f>IF(AND(O855="",ISNUMBER(B855)),INT(B855),0)</f>
        <v/>
      </c>
      <c r="Q855">
        <f>IF(AND(P855&gt;0,C855=Report!$C$5),P855*10000+ROW(),"")</f>
        <v/>
      </c>
      <c r="R855">
        <f>IF(AND(Q855&lt;&gt;"",ISNUMBER(D855)),Q855,"")</f>
        <v/>
      </c>
      <c r="S855">
        <f>IF(AND(Q855&lt;&gt;"",ISNUMBER(E855)),Q855,"")</f>
        <v/>
      </c>
      <c r="T855">
        <f>IF(AND(Q855&lt;&gt;"",ISNUMBER(F855)),Q855,"")</f>
        <v/>
      </c>
      <c r="U855">
        <f>IF(AND(Q855&lt;&gt;"",ISNUMBER(G855)),Q855,"")</f>
        <v/>
      </c>
      <c r="V855">
        <f>IF(AND(Q855&lt;&gt;"",ISNUMBER(H855)),Q855,"")</f>
        <v/>
      </c>
      <c r="W855">
        <f>IF(AND(Q855&lt;&gt;"",ISNUMBER(I855)),Q855,"")</f>
        <v/>
      </c>
      <c r="X855">
        <f>IF(AND(Q855&lt;&gt;"",ISNUMBER(J855)),Q855,"")</f>
        <v/>
      </c>
      <c r="Y855">
        <f>IF(AND(Q855&lt;&gt;"",ISNUMBER(K855)),Q855,"")</f>
        <v/>
      </c>
      <c r="Z855">
        <f>IF(AND(Q855&lt;&gt;"",ISNUMBER(L855)),Q855,"")</f>
        <v/>
      </c>
      <c r="AA855">
        <f>IF(AND(Q855&lt;&gt;"",ISNUMBER(M855)),Q855,"")</f>
        <v/>
      </c>
      <c r="AB855">
        <f>IF(AND(Q855&lt;&gt;"",ISNUMBER(K855)),K855,"")</f>
        <v/>
      </c>
      <c r="AC855">
        <f>IF(AND(Q855&lt;&gt;"",ISNUMBER(L855)),L855,"")</f>
        <v/>
      </c>
      <c r="AD855">
        <f>IF(AND(Q855&lt;&gt;"",ISNUMBER(M855)),M855,"")</f>
        <v/>
      </c>
    </row>
    <row r="856">
      <c r="A856" s="1" t="n"/>
      <c r="B856" s="17" t="n"/>
      <c r="C856" s="27" t="n"/>
      <c r="D856" s="28" t="n"/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9" t="n"/>
      <c r="N856" s="21" t="n"/>
      <c r="O856" s="12">
        <f>IF(AND(B856="",C856=""),"",IF(NOT(ISNUMBER(B856)),"Needs a date",IF(C856="","Needs a client",IF(COUNTIF(Clients!$B$6:$B$105,C856)=0,"Not on Clients",IF(COUNT(D856:M856)=0,"Nothing measured","")))))</f>
        <v/>
      </c>
      <c r="P856" s="1">
        <f>IF(AND(O856="",ISNUMBER(B856)),INT(B856),0)</f>
        <v/>
      </c>
      <c r="Q856">
        <f>IF(AND(P856&gt;0,C856=Report!$C$5),P856*10000+ROW(),"")</f>
        <v/>
      </c>
      <c r="R856">
        <f>IF(AND(Q856&lt;&gt;"",ISNUMBER(D856)),Q856,"")</f>
        <v/>
      </c>
      <c r="S856">
        <f>IF(AND(Q856&lt;&gt;"",ISNUMBER(E856)),Q856,"")</f>
        <v/>
      </c>
      <c r="T856">
        <f>IF(AND(Q856&lt;&gt;"",ISNUMBER(F856)),Q856,"")</f>
        <v/>
      </c>
      <c r="U856">
        <f>IF(AND(Q856&lt;&gt;"",ISNUMBER(G856)),Q856,"")</f>
        <v/>
      </c>
      <c r="V856">
        <f>IF(AND(Q856&lt;&gt;"",ISNUMBER(H856)),Q856,"")</f>
        <v/>
      </c>
      <c r="W856">
        <f>IF(AND(Q856&lt;&gt;"",ISNUMBER(I856)),Q856,"")</f>
        <v/>
      </c>
      <c r="X856">
        <f>IF(AND(Q856&lt;&gt;"",ISNUMBER(J856)),Q856,"")</f>
        <v/>
      </c>
      <c r="Y856">
        <f>IF(AND(Q856&lt;&gt;"",ISNUMBER(K856)),Q856,"")</f>
        <v/>
      </c>
      <c r="Z856">
        <f>IF(AND(Q856&lt;&gt;"",ISNUMBER(L856)),Q856,"")</f>
        <v/>
      </c>
      <c r="AA856">
        <f>IF(AND(Q856&lt;&gt;"",ISNUMBER(M856)),Q856,"")</f>
        <v/>
      </c>
      <c r="AB856">
        <f>IF(AND(Q856&lt;&gt;"",ISNUMBER(K856)),K856,"")</f>
        <v/>
      </c>
      <c r="AC856">
        <f>IF(AND(Q856&lt;&gt;"",ISNUMBER(L856)),L856,"")</f>
        <v/>
      </c>
      <c r="AD856">
        <f>IF(AND(Q856&lt;&gt;"",ISNUMBER(M856)),M856,"")</f>
        <v/>
      </c>
    </row>
    <row r="857">
      <c r="A857" s="1" t="n"/>
      <c r="B857" s="17" t="n"/>
      <c r="C857" s="27" t="n"/>
      <c r="D857" s="28" t="n"/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9" t="n"/>
      <c r="N857" s="21" t="n"/>
      <c r="O857" s="12">
        <f>IF(AND(B857="",C857=""),"",IF(NOT(ISNUMBER(B857)),"Needs a date",IF(C857="","Needs a client",IF(COUNTIF(Clients!$B$6:$B$105,C857)=0,"Not on Clients",IF(COUNT(D857:M857)=0,"Nothing measured","")))))</f>
        <v/>
      </c>
      <c r="P857" s="1">
        <f>IF(AND(O857="",ISNUMBER(B857)),INT(B857),0)</f>
        <v/>
      </c>
      <c r="Q857">
        <f>IF(AND(P857&gt;0,C857=Report!$C$5),P857*10000+ROW(),"")</f>
        <v/>
      </c>
      <c r="R857">
        <f>IF(AND(Q857&lt;&gt;"",ISNUMBER(D857)),Q857,"")</f>
        <v/>
      </c>
      <c r="S857">
        <f>IF(AND(Q857&lt;&gt;"",ISNUMBER(E857)),Q857,"")</f>
        <v/>
      </c>
      <c r="T857">
        <f>IF(AND(Q857&lt;&gt;"",ISNUMBER(F857)),Q857,"")</f>
        <v/>
      </c>
      <c r="U857">
        <f>IF(AND(Q857&lt;&gt;"",ISNUMBER(G857)),Q857,"")</f>
        <v/>
      </c>
      <c r="V857">
        <f>IF(AND(Q857&lt;&gt;"",ISNUMBER(H857)),Q857,"")</f>
        <v/>
      </c>
      <c r="W857">
        <f>IF(AND(Q857&lt;&gt;"",ISNUMBER(I857)),Q857,"")</f>
        <v/>
      </c>
      <c r="X857">
        <f>IF(AND(Q857&lt;&gt;"",ISNUMBER(J857)),Q857,"")</f>
        <v/>
      </c>
      <c r="Y857">
        <f>IF(AND(Q857&lt;&gt;"",ISNUMBER(K857)),Q857,"")</f>
        <v/>
      </c>
      <c r="Z857">
        <f>IF(AND(Q857&lt;&gt;"",ISNUMBER(L857)),Q857,"")</f>
        <v/>
      </c>
      <c r="AA857">
        <f>IF(AND(Q857&lt;&gt;"",ISNUMBER(M857)),Q857,"")</f>
        <v/>
      </c>
      <c r="AB857">
        <f>IF(AND(Q857&lt;&gt;"",ISNUMBER(K857)),K857,"")</f>
        <v/>
      </c>
      <c r="AC857">
        <f>IF(AND(Q857&lt;&gt;"",ISNUMBER(L857)),L857,"")</f>
        <v/>
      </c>
      <c r="AD857">
        <f>IF(AND(Q857&lt;&gt;"",ISNUMBER(M857)),M857,"")</f>
        <v/>
      </c>
    </row>
    <row r="858">
      <c r="A858" s="1" t="n"/>
      <c r="B858" s="17" t="n"/>
      <c r="C858" s="27" t="n"/>
      <c r="D858" s="2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9" t="n"/>
      <c r="N858" s="21" t="n"/>
      <c r="O858" s="12">
        <f>IF(AND(B858="",C858=""),"",IF(NOT(ISNUMBER(B858)),"Needs a date",IF(C858="","Needs a client",IF(COUNTIF(Clients!$B$6:$B$105,C858)=0,"Not on Clients",IF(COUNT(D858:M858)=0,"Nothing measured","")))))</f>
        <v/>
      </c>
      <c r="P858" s="1">
        <f>IF(AND(O858="",ISNUMBER(B858)),INT(B858),0)</f>
        <v/>
      </c>
      <c r="Q858">
        <f>IF(AND(P858&gt;0,C858=Report!$C$5),P858*10000+ROW(),"")</f>
        <v/>
      </c>
      <c r="R858">
        <f>IF(AND(Q858&lt;&gt;"",ISNUMBER(D858)),Q858,"")</f>
        <v/>
      </c>
      <c r="S858">
        <f>IF(AND(Q858&lt;&gt;"",ISNUMBER(E858)),Q858,"")</f>
        <v/>
      </c>
      <c r="T858">
        <f>IF(AND(Q858&lt;&gt;"",ISNUMBER(F858)),Q858,"")</f>
        <v/>
      </c>
      <c r="U858">
        <f>IF(AND(Q858&lt;&gt;"",ISNUMBER(G858)),Q858,"")</f>
        <v/>
      </c>
      <c r="V858">
        <f>IF(AND(Q858&lt;&gt;"",ISNUMBER(H858)),Q858,"")</f>
        <v/>
      </c>
      <c r="W858">
        <f>IF(AND(Q858&lt;&gt;"",ISNUMBER(I858)),Q858,"")</f>
        <v/>
      </c>
      <c r="X858">
        <f>IF(AND(Q858&lt;&gt;"",ISNUMBER(J858)),Q858,"")</f>
        <v/>
      </c>
      <c r="Y858">
        <f>IF(AND(Q858&lt;&gt;"",ISNUMBER(K858)),Q858,"")</f>
        <v/>
      </c>
      <c r="Z858">
        <f>IF(AND(Q858&lt;&gt;"",ISNUMBER(L858)),Q858,"")</f>
        <v/>
      </c>
      <c r="AA858">
        <f>IF(AND(Q858&lt;&gt;"",ISNUMBER(M858)),Q858,"")</f>
        <v/>
      </c>
      <c r="AB858">
        <f>IF(AND(Q858&lt;&gt;"",ISNUMBER(K858)),K858,"")</f>
        <v/>
      </c>
      <c r="AC858">
        <f>IF(AND(Q858&lt;&gt;"",ISNUMBER(L858)),L858,"")</f>
        <v/>
      </c>
      <c r="AD858">
        <f>IF(AND(Q858&lt;&gt;"",ISNUMBER(M858)),M858,"")</f>
        <v/>
      </c>
    </row>
    <row r="859">
      <c r="A859" s="1" t="n"/>
      <c r="B859" s="17" t="n"/>
      <c r="C859" s="27" t="n"/>
      <c r="D859" s="28" t="n"/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9" t="n"/>
      <c r="N859" s="21" t="n"/>
      <c r="O859" s="12">
        <f>IF(AND(B859="",C859=""),"",IF(NOT(ISNUMBER(B859)),"Needs a date",IF(C859="","Needs a client",IF(COUNTIF(Clients!$B$6:$B$105,C859)=0,"Not on Clients",IF(COUNT(D859:M859)=0,"Nothing measured","")))))</f>
        <v/>
      </c>
      <c r="P859" s="1">
        <f>IF(AND(O859="",ISNUMBER(B859)),INT(B859),0)</f>
        <v/>
      </c>
      <c r="Q859">
        <f>IF(AND(P859&gt;0,C859=Report!$C$5),P859*10000+ROW(),"")</f>
        <v/>
      </c>
      <c r="R859">
        <f>IF(AND(Q859&lt;&gt;"",ISNUMBER(D859)),Q859,"")</f>
        <v/>
      </c>
      <c r="S859">
        <f>IF(AND(Q859&lt;&gt;"",ISNUMBER(E859)),Q859,"")</f>
        <v/>
      </c>
      <c r="T859">
        <f>IF(AND(Q859&lt;&gt;"",ISNUMBER(F859)),Q859,"")</f>
        <v/>
      </c>
      <c r="U859">
        <f>IF(AND(Q859&lt;&gt;"",ISNUMBER(G859)),Q859,"")</f>
        <v/>
      </c>
      <c r="V859">
        <f>IF(AND(Q859&lt;&gt;"",ISNUMBER(H859)),Q859,"")</f>
        <v/>
      </c>
      <c r="W859">
        <f>IF(AND(Q859&lt;&gt;"",ISNUMBER(I859)),Q859,"")</f>
        <v/>
      </c>
      <c r="X859">
        <f>IF(AND(Q859&lt;&gt;"",ISNUMBER(J859)),Q859,"")</f>
        <v/>
      </c>
      <c r="Y859">
        <f>IF(AND(Q859&lt;&gt;"",ISNUMBER(K859)),Q859,"")</f>
        <v/>
      </c>
      <c r="Z859">
        <f>IF(AND(Q859&lt;&gt;"",ISNUMBER(L859)),Q859,"")</f>
        <v/>
      </c>
      <c r="AA859">
        <f>IF(AND(Q859&lt;&gt;"",ISNUMBER(M859)),Q859,"")</f>
        <v/>
      </c>
      <c r="AB859">
        <f>IF(AND(Q859&lt;&gt;"",ISNUMBER(K859)),K859,"")</f>
        <v/>
      </c>
      <c r="AC859">
        <f>IF(AND(Q859&lt;&gt;"",ISNUMBER(L859)),L859,"")</f>
        <v/>
      </c>
      <c r="AD859">
        <f>IF(AND(Q859&lt;&gt;"",ISNUMBER(M859)),M859,"")</f>
        <v/>
      </c>
    </row>
    <row r="860">
      <c r="A860" s="1" t="n"/>
      <c r="B860" s="17" t="n"/>
      <c r="C860" s="27" t="n"/>
      <c r="D860" s="2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9" t="n"/>
      <c r="N860" s="21" t="n"/>
      <c r="O860" s="12">
        <f>IF(AND(B860="",C860=""),"",IF(NOT(ISNUMBER(B860)),"Needs a date",IF(C860="","Needs a client",IF(COUNTIF(Clients!$B$6:$B$105,C860)=0,"Not on Clients",IF(COUNT(D860:M860)=0,"Nothing measured","")))))</f>
        <v/>
      </c>
      <c r="P860" s="1">
        <f>IF(AND(O860="",ISNUMBER(B860)),INT(B860),0)</f>
        <v/>
      </c>
      <c r="Q860">
        <f>IF(AND(P860&gt;0,C860=Report!$C$5),P860*10000+ROW(),"")</f>
        <v/>
      </c>
      <c r="R860">
        <f>IF(AND(Q860&lt;&gt;"",ISNUMBER(D860)),Q860,"")</f>
        <v/>
      </c>
      <c r="S860">
        <f>IF(AND(Q860&lt;&gt;"",ISNUMBER(E860)),Q860,"")</f>
        <v/>
      </c>
      <c r="T860">
        <f>IF(AND(Q860&lt;&gt;"",ISNUMBER(F860)),Q860,"")</f>
        <v/>
      </c>
      <c r="U860">
        <f>IF(AND(Q860&lt;&gt;"",ISNUMBER(G860)),Q860,"")</f>
        <v/>
      </c>
      <c r="V860">
        <f>IF(AND(Q860&lt;&gt;"",ISNUMBER(H860)),Q860,"")</f>
        <v/>
      </c>
      <c r="W860">
        <f>IF(AND(Q860&lt;&gt;"",ISNUMBER(I860)),Q860,"")</f>
        <v/>
      </c>
      <c r="X860">
        <f>IF(AND(Q860&lt;&gt;"",ISNUMBER(J860)),Q860,"")</f>
        <v/>
      </c>
      <c r="Y860">
        <f>IF(AND(Q860&lt;&gt;"",ISNUMBER(K860)),Q860,"")</f>
        <v/>
      </c>
      <c r="Z860">
        <f>IF(AND(Q860&lt;&gt;"",ISNUMBER(L860)),Q860,"")</f>
        <v/>
      </c>
      <c r="AA860">
        <f>IF(AND(Q860&lt;&gt;"",ISNUMBER(M860)),Q860,"")</f>
        <v/>
      </c>
      <c r="AB860">
        <f>IF(AND(Q860&lt;&gt;"",ISNUMBER(K860)),K860,"")</f>
        <v/>
      </c>
      <c r="AC860">
        <f>IF(AND(Q860&lt;&gt;"",ISNUMBER(L860)),L860,"")</f>
        <v/>
      </c>
      <c r="AD860">
        <f>IF(AND(Q860&lt;&gt;"",ISNUMBER(M860)),M860,"")</f>
        <v/>
      </c>
    </row>
    <row r="861">
      <c r="A861" s="1" t="n"/>
      <c r="B861" s="17" t="n"/>
      <c r="C861" s="27" t="n"/>
      <c r="D861" s="28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9" t="n"/>
      <c r="N861" s="21" t="n"/>
      <c r="O861" s="12">
        <f>IF(AND(B861="",C861=""),"",IF(NOT(ISNUMBER(B861)),"Needs a date",IF(C861="","Needs a client",IF(COUNTIF(Clients!$B$6:$B$105,C861)=0,"Not on Clients",IF(COUNT(D861:M861)=0,"Nothing measured","")))))</f>
        <v/>
      </c>
      <c r="P861" s="1">
        <f>IF(AND(O861="",ISNUMBER(B861)),INT(B861),0)</f>
        <v/>
      </c>
      <c r="Q861">
        <f>IF(AND(P861&gt;0,C861=Report!$C$5),P861*10000+ROW(),"")</f>
        <v/>
      </c>
      <c r="R861">
        <f>IF(AND(Q861&lt;&gt;"",ISNUMBER(D861)),Q861,"")</f>
        <v/>
      </c>
      <c r="S861">
        <f>IF(AND(Q861&lt;&gt;"",ISNUMBER(E861)),Q861,"")</f>
        <v/>
      </c>
      <c r="T861">
        <f>IF(AND(Q861&lt;&gt;"",ISNUMBER(F861)),Q861,"")</f>
        <v/>
      </c>
      <c r="U861">
        <f>IF(AND(Q861&lt;&gt;"",ISNUMBER(G861)),Q861,"")</f>
        <v/>
      </c>
      <c r="V861">
        <f>IF(AND(Q861&lt;&gt;"",ISNUMBER(H861)),Q861,"")</f>
        <v/>
      </c>
      <c r="W861">
        <f>IF(AND(Q861&lt;&gt;"",ISNUMBER(I861)),Q861,"")</f>
        <v/>
      </c>
      <c r="X861">
        <f>IF(AND(Q861&lt;&gt;"",ISNUMBER(J861)),Q861,"")</f>
        <v/>
      </c>
      <c r="Y861">
        <f>IF(AND(Q861&lt;&gt;"",ISNUMBER(K861)),Q861,"")</f>
        <v/>
      </c>
      <c r="Z861">
        <f>IF(AND(Q861&lt;&gt;"",ISNUMBER(L861)),Q861,"")</f>
        <v/>
      </c>
      <c r="AA861">
        <f>IF(AND(Q861&lt;&gt;"",ISNUMBER(M861)),Q861,"")</f>
        <v/>
      </c>
      <c r="AB861">
        <f>IF(AND(Q861&lt;&gt;"",ISNUMBER(K861)),K861,"")</f>
        <v/>
      </c>
      <c r="AC861">
        <f>IF(AND(Q861&lt;&gt;"",ISNUMBER(L861)),L861,"")</f>
        <v/>
      </c>
      <c r="AD861">
        <f>IF(AND(Q861&lt;&gt;"",ISNUMBER(M861)),M861,"")</f>
        <v/>
      </c>
    </row>
    <row r="862">
      <c r="A862" s="1" t="n"/>
      <c r="B862" s="17" t="n"/>
      <c r="C862" s="27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9" t="n"/>
      <c r="N862" s="21" t="n"/>
      <c r="O862" s="12">
        <f>IF(AND(B862="",C862=""),"",IF(NOT(ISNUMBER(B862)),"Needs a date",IF(C862="","Needs a client",IF(COUNTIF(Clients!$B$6:$B$105,C862)=0,"Not on Clients",IF(COUNT(D862:M862)=0,"Nothing measured","")))))</f>
        <v/>
      </c>
      <c r="P862" s="1">
        <f>IF(AND(O862="",ISNUMBER(B862)),INT(B862),0)</f>
        <v/>
      </c>
      <c r="Q862">
        <f>IF(AND(P862&gt;0,C862=Report!$C$5),P862*10000+ROW(),"")</f>
        <v/>
      </c>
      <c r="R862">
        <f>IF(AND(Q862&lt;&gt;"",ISNUMBER(D862)),Q862,"")</f>
        <v/>
      </c>
      <c r="S862">
        <f>IF(AND(Q862&lt;&gt;"",ISNUMBER(E862)),Q862,"")</f>
        <v/>
      </c>
      <c r="T862">
        <f>IF(AND(Q862&lt;&gt;"",ISNUMBER(F862)),Q862,"")</f>
        <v/>
      </c>
      <c r="U862">
        <f>IF(AND(Q862&lt;&gt;"",ISNUMBER(G862)),Q862,"")</f>
        <v/>
      </c>
      <c r="V862">
        <f>IF(AND(Q862&lt;&gt;"",ISNUMBER(H862)),Q862,"")</f>
        <v/>
      </c>
      <c r="W862">
        <f>IF(AND(Q862&lt;&gt;"",ISNUMBER(I862)),Q862,"")</f>
        <v/>
      </c>
      <c r="X862">
        <f>IF(AND(Q862&lt;&gt;"",ISNUMBER(J862)),Q862,"")</f>
        <v/>
      </c>
      <c r="Y862">
        <f>IF(AND(Q862&lt;&gt;"",ISNUMBER(K862)),Q862,"")</f>
        <v/>
      </c>
      <c r="Z862">
        <f>IF(AND(Q862&lt;&gt;"",ISNUMBER(L862)),Q862,"")</f>
        <v/>
      </c>
      <c r="AA862">
        <f>IF(AND(Q862&lt;&gt;"",ISNUMBER(M862)),Q862,"")</f>
        <v/>
      </c>
      <c r="AB862">
        <f>IF(AND(Q862&lt;&gt;"",ISNUMBER(K862)),K862,"")</f>
        <v/>
      </c>
      <c r="AC862">
        <f>IF(AND(Q862&lt;&gt;"",ISNUMBER(L862)),L862,"")</f>
        <v/>
      </c>
      <c r="AD862">
        <f>IF(AND(Q862&lt;&gt;"",ISNUMBER(M862)),M862,"")</f>
        <v/>
      </c>
    </row>
    <row r="863">
      <c r="A863" s="1" t="n"/>
      <c r="B863" s="17" t="n"/>
      <c r="C863" s="27" t="n"/>
      <c r="D863" s="2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9" t="n"/>
      <c r="N863" s="21" t="n"/>
      <c r="O863" s="12">
        <f>IF(AND(B863="",C863=""),"",IF(NOT(ISNUMBER(B863)),"Needs a date",IF(C863="","Needs a client",IF(COUNTIF(Clients!$B$6:$B$105,C863)=0,"Not on Clients",IF(COUNT(D863:M863)=0,"Nothing measured","")))))</f>
        <v/>
      </c>
      <c r="P863" s="1">
        <f>IF(AND(O863="",ISNUMBER(B863)),INT(B863),0)</f>
        <v/>
      </c>
      <c r="Q863">
        <f>IF(AND(P863&gt;0,C863=Report!$C$5),P863*10000+ROW(),"")</f>
        <v/>
      </c>
      <c r="R863">
        <f>IF(AND(Q863&lt;&gt;"",ISNUMBER(D863)),Q863,"")</f>
        <v/>
      </c>
      <c r="S863">
        <f>IF(AND(Q863&lt;&gt;"",ISNUMBER(E863)),Q863,"")</f>
        <v/>
      </c>
      <c r="T863">
        <f>IF(AND(Q863&lt;&gt;"",ISNUMBER(F863)),Q863,"")</f>
        <v/>
      </c>
      <c r="U863">
        <f>IF(AND(Q863&lt;&gt;"",ISNUMBER(G863)),Q863,"")</f>
        <v/>
      </c>
      <c r="V863">
        <f>IF(AND(Q863&lt;&gt;"",ISNUMBER(H863)),Q863,"")</f>
        <v/>
      </c>
      <c r="W863">
        <f>IF(AND(Q863&lt;&gt;"",ISNUMBER(I863)),Q863,"")</f>
        <v/>
      </c>
      <c r="X863">
        <f>IF(AND(Q863&lt;&gt;"",ISNUMBER(J863)),Q863,"")</f>
        <v/>
      </c>
      <c r="Y863">
        <f>IF(AND(Q863&lt;&gt;"",ISNUMBER(K863)),Q863,"")</f>
        <v/>
      </c>
      <c r="Z863">
        <f>IF(AND(Q863&lt;&gt;"",ISNUMBER(L863)),Q863,"")</f>
        <v/>
      </c>
      <c r="AA863">
        <f>IF(AND(Q863&lt;&gt;"",ISNUMBER(M863)),Q863,"")</f>
        <v/>
      </c>
      <c r="AB863">
        <f>IF(AND(Q863&lt;&gt;"",ISNUMBER(K863)),K863,"")</f>
        <v/>
      </c>
      <c r="AC863">
        <f>IF(AND(Q863&lt;&gt;"",ISNUMBER(L863)),L863,"")</f>
        <v/>
      </c>
      <c r="AD863">
        <f>IF(AND(Q863&lt;&gt;"",ISNUMBER(M863)),M863,"")</f>
        <v/>
      </c>
    </row>
    <row r="864">
      <c r="A864" s="1" t="n"/>
      <c r="B864" s="17" t="n"/>
      <c r="C864" s="27" t="n"/>
      <c r="D864" s="28" t="n"/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9" t="n"/>
      <c r="N864" s="21" t="n"/>
      <c r="O864" s="12">
        <f>IF(AND(B864="",C864=""),"",IF(NOT(ISNUMBER(B864)),"Needs a date",IF(C864="","Needs a client",IF(COUNTIF(Clients!$B$6:$B$105,C864)=0,"Not on Clients",IF(COUNT(D864:M864)=0,"Nothing measured","")))))</f>
        <v/>
      </c>
      <c r="P864" s="1">
        <f>IF(AND(O864="",ISNUMBER(B864)),INT(B864),0)</f>
        <v/>
      </c>
      <c r="Q864">
        <f>IF(AND(P864&gt;0,C864=Report!$C$5),P864*10000+ROW(),"")</f>
        <v/>
      </c>
      <c r="R864">
        <f>IF(AND(Q864&lt;&gt;"",ISNUMBER(D864)),Q864,"")</f>
        <v/>
      </c>
      <c r="S864">
        <f>IF(AND(Q864&lt;&gt;"",ISNUMBER(E864)),Q864,"")</f>
        <v/>
      </c>
      <c r="T864">
        <f>IF(AND(Q864&lt;&gt;"",ISNUMBER(F864)),Q864,"")</f>
        <v/>
      </c>
      <c r="U864">
        <f>IF(AND(Q864&lt;&gt;"",ISNUMBER(G864)),Q864,"")</f>
        <v/>
      </c>
      <c r="V864">
        <f>IF(AND(Q864&lt;&gt;"",ISNUMBER(H864)),Q864,"")</f>
        <v/>
      </c>
      <c r="W864">
        <f>IF(AND(Q864&lt;&gt;"",ISNUMBER(I864)),Q864,"")</f>
        <v/>
      </c>
      <c r="X864">
        <f>IF(AND(Q864&lt;&gt;"",ISNUMBER(J864)),Q864,"")</f>
        <v/>
      </c>
      <c r="Y864">
        <f>IF(AND(Q864&lt;&gt;"",ISNUMBER(K864)),Q864,"")</f>
        <v/>
      </c>
      <c r="Z864">
        <f>IF(AND(Q864&lt;&gt;"",ISNUMBER(L864)),Q864,"")</f>
        <v/>
      </c>
      <c r="AA864">
        <f>IF(AND(Q864&lt;&gt;"",ISNUMBER(M864)),Q864,"")</f>
        <v/>
      </c>
      <c r="AB864">
        <f>IF(AND(Q864&lt;&gt;"",ISNUMBER(K864)),K864,"")</f>
        <v/>
      </c>
      <c r="AC864">
        <f>IF(AND(Q864&lt;&gt;"",ISNUMBER(L864)),L864,"")</f>
        <v/>
      </c>
      <c r="AD864">
        <f>IF(AND(Q864&lt;&gt;"",ISNUMBER(M864)),M864,"")</f>
        <v/>
      </c>
    </row>
    <row r="865">
      <c r="A865" s="1" t="n"/>
      <c r="B865" s="17" t="n"/>
      <c r="C865" s="27" t="n"/>
      <c r="D865" s="2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9" t="n"/>
      <c r="N865" s="21" t="n"/>
      <c r="O865" s="12">
        <f>IF(AND(B865="",C865=""),"",IF(NOT(ISNUMBER(B865)),"Needs a date",IF(C865="","Needs a client",IF(COUNTIF(Clients!$B$6:$B$105,C865)=0,"Not on Clients",IF(COUNT(D865:M865)=0,"Nothing measured","")))))</f>
        <v/>
      </c>
      <c r="P865" s="1">
        <f>IF(AND(O865="",ISNUMBER(B865)),INT(B865),0)</f>
        <v/>
      </c>
      <c r="Q865">
        <f>IF(AND(P865&gt;0,C865=Report!$C$5),P865*10000+ROW(),"")</f>
        <v/>
      </c>
      <c r="R865">
        <f>IF(AND(Q865&lt;&gt;"",ISNUMBER(D865)),Q865,"")</f>
        <v/>
      </c>
      <c r="S865">
        <f>IF(AND(Q865&lt;&gt;"",ISNUMBER(E865)),Q865,"")</f>
        <v/>
      </c>
      <c r="T865">
        <f>IF(AND(Q865&lt;&gt;"",ISNUMBER(F865)),Q865,"")</f>
        <v/>
      </c>
      <c r="U865">
        <f>IF(AND(Q865&lt;&gt;"",ISNUMBER(G865)),Q865,"")</f>
        <v/>
      </c>
      <c r="V865">
        <f>IF(AND(Q865&lt;&gt;"",ISNUMBER(H865)),Q865,"")</f>
        <v/>
      </c>
      <c r="W865">
        <f>IF(AND(Q865&lt;&gt;"",ISNUMBER(I865)),Q865,"")</f>
        <v/>
      </c>
      <c r="X865">
        <f>IF(AND(Q865&lt;&gt;"",ISNUMBER(J865)),Q865,"")</f>
        <v/>
      </c>
      <c r="Y865">
        <f>IF(AND(Q865&lt;&gt;"",ISNUMBER(K865)),Q865,"")</f>
        <v/>
      </c>
      <c r="Z865">
        <f>IF(AND(Q865&lt;&gt;"",ISNUMBER(L865)),Q865,"")</f>
        <v/>
      </c>
      <c r="AA865">
        <f>IF(AND(Q865&lt;&gt;"",ISNUMBER(M865)),Q865,"")</f>
        <v/>
      </c>
      <c r="AB865">
        <f>IF(AND(Q865&lt;&gt;"",ISNUMBER(K865)),K865,"")</f>
        <v/>
      </c>
      <c r="AC865">
        <f>IF(AND(Q865&lt;&gt;"",ISNUMBER(L865)),L865,"")</f>
        <v/>
      </c>
      <c r="AD865">
        <f>IF(AND(Q865&lt;&gt;"",ISNUMBER(M865)),M865,"")</f>
        <v/>
      </c>
    </row>
    <row r="866">
      <c r="A866" s="1" t="n"/>
      <c r="B866" s="17" t="n"/>
      <c r="C866" s="27" t="n"/>
      <c r="D866" s="2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9" t="n"/>
      <c r="N866" s="21" t="n"/>
      <c r="O866" s="12">
        <f>IF(AND(B866="",C866=""),"",IF(NOT(ISNUMBER(B866)),"Needs a date",IF(C866="","Needs a client",IF(COUNTIF(Clients!$B$6:$B$105,C866)=0,"Not on Clients",IF(COUNT(D866:M866)=0,"Nothing measured","")))))</f>
        <v/>
      </c>
      <c r="P866" s="1">
        <f>IF(AND(O866="",ISNUMBER(B866)),INT(B866),0)</f>
        <v/>
      </c>
      <c r="Q866">
        <f>IF(AND(P866&gt;0,C866=Report!$C$5),P866*10000+ROW(),"")</f>
        <v/>
      </c>
      <c r="R866">
        <f>IF(AND(Q866&lt;&gt;"",ISNUMBER(D866)),Q866,"")</f>
        <v/>
      </c>
      <c r="S866">
        <f>IF(AND(Q866&lt;&gt;"",ISNUMBER(E866)),Q866,"")</f>
        <v/>
      </c>
      <c r="T866">
        <f>IF(AND(Q866&lt;&gt;"",ISNUMBER(F866)),Q866,"")</f>
        <v/>
      </c>
      <c r="U866">
        <f>IF(AND(Q866&lt;&gt;"",ISNUMBER(G866)),Q866,"")</f>
        <v/>
      </c>
      <c r="V866">
        <f>IF(AND(Q866&lt;&gt;"",ISNUMBER(H866)),Q866,"")</f>
        <v/>
      </c>
      <c r="W866">
        <f>IF(AND(Q866&lt;&gt;"",ISNUMBER(I866)),Q866,"")</f>
        <v/>
      </c>
      <c r="X866">
        <f>IF(AND(Q866&lt;&gt;"",ISNUMBER(J866)),Q866,"")</f>
        <v/>
      </c>
      <c r="Y866">
        <f>IF(AND(Q866&lt;&gt;"",ISNUMBER(K866)),Q866,"")</f>
        <v/>
      </c>
      <c r="Z866">
        <f>IF(AND(Q866&lt;&gt;"",ISNUMBER(L866)),Q866,"")</f>
        <v/>
      </c>
      <c r="AA866">
        <f>IF(AND(Q866&lt;&gt;"",ISNUMBER(M866)),Q866,"")</f>
        <v/>
      </c>
      <c r="AB866">
        <f>IF(AND(Q866&lt;&gt;"",ISNUMBER(K866)),K866,"")</f>
        <v/>
      </c>
      <c r="AC866">
        <f>IF(AND(Q866&lt;&gt;"",ISNUMBER(L866)),L866,"")</f>
        <v/>
      </c>
      <c r="AD866">
        <f>IF(AND(Q866&lt;&gt;"",ISNUMBER(M866)),M866,"")</f>
        <v/>
      </c>
    </row>
    <row r="867">
      <c r="A867" s="1" t="n"/>
      <c r="B867" s="17" t="n"/>
      <c r="C867" s="27" t="n"/>
      <c r="D867" s="28" t="n"/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9" t="n"/>
      <c r="N867" s="21" t="n"/>
      <c r="O867" s="12">
        <f>IF(AND(B867="",C867=""),"",IF(NOT(ISNUMBER(B867)),"Needs a date",IF(C867="","Needs a client",IF(COUNTIF(Clients!$B$6:$B$105,C867)=0,"Not on Clients",IF(COUNT(D867:M867)=0,"Nothing measured","")))))</f>
        <v/>
      </c>
      <c r="P867" s="1">
        <f>IF(AND(O867="",ISNUMBER(B867)),INT(B867),0)</f>
        <v/>
      </c>
      <c r="Q867">
        <f>IF(AND(P867&gt;0,C867=Report!$C$5),P867*10000+ROW(),"")</f>
        <v/>
      </c>
      <c r="R867">
        <f>IF(AND(Q867&lt;&gt;"",ISNUMBER(D867)),Q867,"")</f>
        <v/>
      </c>
      <c r="S867">
        <f>IF(AND(Q867&lt;&gt;"",ISNUMBER(E867)),Q867,"")</f>
        <v/>
      </c>
      <c r="T867">
        <f>IF(AND(Q867&lt;&gt;"",ISNUMBER(F867)),Q867,"")</f>
        <v/>
      </c>
      <c r="U867">
        <f>IF(AND(Q867&lt;&gt;"",ISNUMBER(G867)),Q867,"")</f>
        <v/>
      </c>
      <c r="V867">
        <f>IF(AND(Q867&lt;&gt;"",ISNUMBER(H867)),Q867,"")</f>
        <v/>
      </c>
      <c r="W867">
        <f>IF(AND(Q867&lt;&gt;"",ISNUMBER(I867)),Q867,"")</f>
        <v/>
      </c>
      <c r="X867">
        <f>IF(AND(Q867&lt;&gt;"",ISNUMBER(J867)),Q867,"")</f>
        <v/>
      </c>
      <c r="Y867">
        <f>IF(AND(Q867&lt;&gt;"",ISNUMBER(K867)),Q867,"")</f>
        <v/>
      </c>
      <c r="Z867">
        <f>IF(AND(Q867&lt;&gt;"",ISNUMBER(L867)),Q867,"")</f>
        <v/>
      </c>
      <c r="AA867">
        <f>IF(AND(Q867&lt;&gt;"",ISNUMBER(M867)),Q867,"")</f>
        <v/>
      </c>
      <c r="AB867">
        <f>IF(AND(Q867&lt;&gt;"",ISNUMBER(K867)),K867,"")</f>
        <v/>
      </c>
      <c r="AC867">
        <f>IF(AND(Q867&lt;&gt;"",ISNUMBER(L867)),L867,"")</f>
        <v/>
      </c>
      <c r="AD867">
        <f>IF(AND(Q867&lt;&gt;"",ISNUMBER(M867)),M867,"")</f>
        <v/>
      </c>
    </row>
    <row r="868">
      <c r="A868" s="1" t="n"/>
      <c r="B868" s="17" t="n"/>
      <c r="C868" s="27" t="n"/>
      <c r="D868" s="2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9" t="n"/>
      <c r="N868" s="21" t="n"/>
      <c r="O868" s="12">
        <f>IF(AND(B868="",C868=""),"",IF(NOT(ISNUMBER(B868)),"Needs a date",IF(C868="","Needs a client",IF(COUNTIF(Clients!$B$6:$B$105,C868)=0,"Not on Clients",IF(COUNT(D868:M868)=0,"Nothing measured","")))))</f>
        <v/>
      </c>
      <c r="P868" s="1">
        <f>IF(AND(O868="",ISNUMBER(B868)),INT(B868),0)</f>
        <v/>
      </c>
      <c r="Q868">
        <f>IF(AND(P868&gt;0,C868=Report!$C$5),P868*10000+ROW(),"")</f>
        <v/>
      </c>
      <c r="R868">
        <f>IF(AND(Q868&lt;&gt;"",ISNUMBER(D868)),Q868,"")</f>
        <v/>
      </c>
      <c r="S868">
        <f>IF(AND(Q868&lt;&gt;"",ISNUMBER(E868)),Q868,"")</f>
        <v/>
      </c>
      <c r="T868">
        <f>IF(AND(Q868&lt;&gt;"",ISNUMBER(F868)),Q868,"")</f>
        <v/>
      </c>
      <c r="U868">
        <f>IF(AND(Q868&lt;&gt;"",ISNUMBER(G868)),Q868,"")</f>
        <v/>
      </c>
      <c r="V868">
        <f>IF(AND(Q868&lt;&gt;"",ISNUMBER(H868)),Q868,"")</f>
        <v/>
      </c>
      <c r="W868">
        <f>IF(AND(Q868&lt;&gt;"",ISNUMBER(I868)),Q868,"")</f>
        <v/>
      </c>
      <c r="X868">
        <f>IF(AND(Q868&lt;&gt;"",ISNUMBER(J868)),Q868,"")</f>
        <v/>
      </c>
      <c r="Y868">
        <f>IF(AND(Q868&lt;&gt;"",ISNUMBER(K868)),Q868,"")</f>
        <v/>
      </c>
      <c r="Z868">
        <f>IF(AND(Q868&lt;&gt;"",ISNUMBER(L868)),Q868,"")</f>
        <v/>
      </c>
      <c r="AA868">
        <f>IF(AND(Q868&lt;&gt;"",ISNUMBER(M868)),Q868,"")</f>
        <v/>
      </c>
      <c r="AB868">
        <f>IF(AND(Q868&lt;&gt;"",ISNUMBER(K868)),K868,"")</f>
        <v/>
      </c>
      <c r="AC868">
        <f>IF(AND(Q868&lt;&gt;"",ISNUMBER(L868)),L868,"")</f>
        <v/>
      </c>
      <c r="AD868">
        <f>IF(AND(Q868&lt;&gt;"",ISNUMBER(M868)),M868,"")</f>
        <v/>
      </c>
    </row>
    <row r="869">
      <c r="A869" s="1" t="n"/>
      <c r="B869" s="17" t="n"/>
      <c r="C869" s="27" t="n"/>
      <c r="D869" s="28" t="n"/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9" t="n"/>
      <c r="N869" s="21" t="n"/>
      <c r="O869" s="12">
        <f>IF(AND(B869="",C869=""),"",IF(NOT(ISNUMBER(B869)),"Needs a date",IF(C869="","Needs a client",IF(COUNTIF(Clients!$B$6:$B$105,C869)=0,"Not on Clients",IF(COUNT(D869:M869)=0,"Nothing measured","")))))</f>
        <v/>
      </c>
      <c r="P869" s="1">
        <f>IF(AND(O869="",ISNUMBER(B869)),INT(B869),0)</f>
        <v/>
      </c>
      <c r="Q869">
        <f>IF(AND(P869&gt;0,C869=Report!$C$5),P869*10000+ROW(),"")</f>
        <v/>
      </c>
      <c r="R869">
        <f>IF(AND(Q869&lt;&gt;"",ISNUMBER(D869)),Q869,"")</f>
        <v/>
      </c>
      <c r="S869">
        <f>IF(AND(Q869&lt;&gt;"",ISNUMBER(E869)),Q869,"")</f>
        <v/>
      </c>
      <c r="T869">
        <f>IF(AND(Q869&lt;&gt;"",ISNUMBER(F869)),Q869,"")</f>
        <v/>
      </c>
      <c r="U869">
        <f>IF(AND(Q869&lt;&gt;"",ISNUMBER(G869)),Q869,"")</f>
        <v/>
      </c>
      <c r="V869">
        <f>IF(AND(Q869&lt;&gt;"",ISNUMBER(H869)),Q869,"")</f>
        <v/>
      </c>
      <c r="W869">
        <f>IF(AND(Q869&lt;&gt;"",ISNUMBER(I869)),Q869,"")</f>
        <v/>
      </c>
      <c r="X869">
        <f>IF(AND(Q869&lt;&gt;"",ISNUMBER(J869)),Q869,"")</f>
        <v/>
      </c>
      <c r="Y869">
        <f>IF(AND(Q869&lt;&gt;"",ISNUMBER(K869)),Q869,"")</f>
        <v/>
      </c>
      <c r="Z869">
        <f>IF(AND(Q869&lt;&gt;"",ISNUMBER(L869)),Q869,"")</f>
        <v/>
      </c>
      <c r="AA869">
        <f>IF(AND(Q869&lt;&gt;"",ISNUMBER(M869)),Q869,"")</f>
        <v/>
      </c>
      <c r="AB869">
        <f>IF(AND(Q869&lt;&gt;"",ISNUMBER(K869)),K869,"")</f>
        <v/>
      </c>
      <c r="AC869">
        <f>IF(AND(Q869&lt;&gt;"",ISNUMBER(L869)),L869,"")</f>
        <v/>
      </c>
      <c r="AD869">
        <f>IF(AND(Q869&lt;&gt;"",ISNUMBER(M869)),M869,"")</f>
        <v/>
      </c>
    </row>
    <row r="870">
      <c r="A870" s="1" t="n"/>
      <c r="B870" s="17" t="n"/>
      <c r="C870" s="27" t="n"/>
      <c r="D870" s="2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9" t="n"/>
      <c r="N870" s="21" t="n"/>
      <c r="O870" s="12">
        <f>IF(AND(B870="",C870=""),"",IF(NOT(ISNUMBER(B870)),"Needs a date",IF(C870="","Needs a client",IF(COUNTIF(Clients!$B$6:$B$105,C870)=0,"Not on Clients",IF(COUNT(D870:M870)=0,"Nothing measured","")))))</f>
        <v/>
      </c>
      <c r="P870" s="1">
        <f>IF(AND(O870="",ISNUMBER(B870)),INT(B870),0)</f>
        <v/>
      </c>
      <c r="Q870">
        <f>IF(AND(P870&gt;0,C870=Report!$C$5),P870*10000+ROW(),"")</f>
        <v/>
      </c>
      <c r="R870">
        <f>IF(AND(Q870&lt;&gt;"",ISNUMBER(D870)),Q870,"")</f>
        <v/>
      </c>
      <c r="S870">
        <f>IF(AND(Q870&lt;&gt;"",ISNUMBER(E870)),Q870,"")</f>
        <v/>
      </c>
      <c r="T870">
        <f>IF(AND(Q870&lt;&gt;"",ISNUMBER(F870)),Q870,"")</f>
        <v/>
      </c>
      <c r="U870">
        <f>IF(AND(Q870&lt;&gt;"",ISNUMBER(G870)),Q870,"")</f>
        <v/>
      </c>
      <c r="V870">
        <f>IF(AND(Q870&lt;&gt;"",ISNUMBER(H870)),Q870,"")</f>
        <v/>
      </c>
      <c r="W870">
        <f>IF(AND(Q870&lt;&gt;"",ISNUMBER(I870)),Q870,"")</f>
        <v/>
      </c>
      <c r="X870">
        <f>IF(AND(Q870&lt;&gt;"",ISNUMBER(J870)),Q870,"")</f>
        <v/>
      </c>
      <c r="Y870">
        <f>IF(AND(Q870&lt;&gt;"",ISNUMBER(K870)),Q870,"")</f>
        <v/>
      </c>
      <c r="Z870">
        <f>IF(AND(Q870&lt;&gt;"",ISNUMBER(L870)),Q870,"")</f>
        <v/>
      </c>
      <c r="AA870">
        <f>IF(AND(Q870&lt;&gt;"",ISNUMBER(M870)),Q870,"")</f>
        <v/>
      </c>
      <c r="AB870">
        <f>IF(AND(Q870&lt;&gt;"",ISNUMBER(K870)),K870,"")</f>
        <v/>
      </c>
      <c r="AC870">
        <f>IF(AND(Q870&lt;&gt;"",ISNUMBER(L870)),L870,"")</f>
        <v/>
      </c>
      <c r="AD870">
        <f>IF(AND(Q870&lt;&gt;"",ISNUMBER(M870)),M870,"")</f>
        <v/>
      </c>
    </row>
    <row r="871">
      <c r="A871" s="1" t="n"/>
      <c r="B871" s="17" t="n"/>
      <c r="C871" s="27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9" t="n"/>
      <c r="N871" s="21" t="n"/>
      <c r="O871" s="12">
        <f>IF(AND(B871="",C871=""),"",IF(NOT(ISNUMBER(B871)),"Needs a date",IF(C871="","Needs a client",IF(COUNTIF(Clients!$B$6:$B$105,C871)=0,"Not on Clients",IF(COUNT(D871:M871)=0,"Nothing measured","")))))</f>
        <v/>
      </c>
      <c r="P871" s="1">
        <f>IF(AND(O871="",ISNUMBER(B871)),INT(B871),0)</f>
        <v/>
      </c>
      <c r="Q871">
        <f>IF(AND(P871&gt;0,C871=Report!$C$5),P871*10000+ROW(),"")</f>
        <v/>
      </c>
      <c r="R871">
        <f>IF(AND(Q871&lt;&gt;"",ISNUMBER(D871)),Q871,"")</f>
        <v/>
      </c>
      <c r="S871">
        <f>IF(AND(Q871&lt;&gt;"",ISNUMBER(E871)),Q871,"")</f>
        <v/>
      </c>
      <c r="T871">
        <f>IF(AND(Q871&lt;&gt;"",ISNUMBER(F871)),Q871,"")</f>
        <v/>
      </c>
      <c r="U871">
        <f>IF(AND(Q871&lt;&gt;"",ISNUMBER(G871)),Q871,"")</f>
        <v/>
      </c>
      <c r="V871">
        <f>IF(AND(Q871&lt;&gt;"",ISNUMBER(H871)),Q871,"")</f>
        <v/>
      </c>
      <c r="W871">
        <f>IF(AND(Q871&lt;&gt;"",ISNUMBER(I871)),Q871,"")</f>
        <v/>
      </c>
      <c r="X871">
        <f>IF(AND(Q871&lt;&gt;"",ISNUMBER(J871)),Q871,"")</f>
        <v/>
      </c>
      <c r="Y871">
        <f>IF(AND(Q871&lt;&gt;"",ISNUMBER(K871)),Q871,"")</f>
        <v/>
      </c>
      <c r="Z871">
        <f>IF(AND(Q871&lt;&gt;"",ISNUMBER(L871)),Q871,"")</f>
        <v/>
      </c>
      <c r="AA871">
        <f>IF(AND(Q871&lt;&gt;"",ISNUMBER(M871)),Q871,"")</f>
        <v/>
      </c>
      <c r="AB871">
        <f>IF(AND(Q871&lt;&gt;"",ISNUMBER(K871)),K871,"")</f>
        <v/>
      </c>
      <c r="AC871">
        <f>IF(AND(Q871&lt;&gt;"",ISNUMBER(L871)),L871,"")</f>
        <v/>
      </c>
      <c r="AD871">
        <f>IF(AND(Q871&lt;&gt;"",ISNUMBER(M871)),M871,"")</f>
        <v/>
      </c>
    </row>
    <row r="872">
      <c r="A872" s="1" t="n"/>
      <c r="B872" s="17" t="n"/>
      <c r="C872" s="27" t="n"/>
      <c r="D872" s="2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9" t="n"/>
      <c r="N872" s="21" t="n"/>
      <c r="O872" s="12">
        <f>IF(AND(B872="",C872=""),"",IF(NOT(ISNUMBER(B872)),"Needs a date",IF(C872="","Needs a client",IF(COUNTIF(Clients!$B$6:$B$105,C872)=0,"Not on Clients",IF(COUNT(D872:M872)=0,"Nothing measured","")))))</f>
        <v/>
      </c>
      <c r="P872" s="1">
        <f>IF(AND(O872="",ISNUMBER(B872)),INT(B872),0)</f>
        <v/>
      </c>
      <c r="Q872">
        <f>IF(AND(P872&gt;0,C872=Report!$C$5),P872*10000+ROW(),"")</f>
        <v/>
      </c>
      <c r="R872">
        <f>IF(AND(Q872&lt;&gt;"",ISNUMBER(D872)),Q872,"")</f>
        <v/>
      </c>
      <c r="S872">
        <f>IF(AND(Q872&lt;&gt;"",ISNUMBER(E872)),Q872,"")</f>
        <v/>
      </c>
      <c r="T872">
        <f>IF(AND(Q872&lt;&gt;"",ISNUMBER(F872)),Q872,"")</f>
        <v/>
      </c>
      <c r="U872">
        <f>IF(AND(Q872&lt;&gt;"",ISNUMBER(G872)),Q872,"")</f>
        <v/>
      </c>
      <c r="V872">
        <f>IF(AND(Q872&lt;&gt;"",ISNUMBER(H872)),Q872,"")</f>
        <v/>
      </c>
      <c r="W872">
        <f>IF(AND(Q872&lt;&gt;"",ISNUMBER(I872)),Q872,"")</f>
        <v/>
      </c>
      <c r="X872">
        <f>IF(AND(Q872&lt;&gt;"",ISNUMBER(J872)),Q872,"")</f>
        <v/>
      </c>
      <c r="Y872">
        <f>IF(AND(Q872&lt;&gt;"",ISNUMBER(K872)),Q872,"")</f>
        <v/>
      </c>
      <c r="Z872">
        <f>IF(AND(Q872&lt;&gt;"",ISNUMBER(L872)),Q872,"")</f>
        <v/>
      </c>
      <c r="AA872">
        <f>IF(AND(Q872&lt;&gt;"",ISNUMBER(M872)),Q872,"")</f>
        <v/>
      </c>
      <c r="AB872">
        <f>IF(AND(Q872&lt;&gt;"",ISNUMBER(K872)),K872,"")</f>
        <v/>
      </c>
      <c r="AC872">
        <f>IF(AND(Q872&lt;&gt;"",ISNUMBER(L872)),L872,"")</f>
        <v/>
      </c>
      <c r="AD872">
        <f>IF(AND(Q872&lt;&gt;"",ISNUMBER(M872)),M872,"")</f>
        <v/>
      </c>
    </row>
    <row r="873">
      <c r="A873" s="1" t="n"/>
      <c r="B873" s="17" t="n"/>
      <c r="C873" s="27" t="n"/>
      <c r="D873" s="2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9" t="n"/>
      <c r="N873" s="21" t="n"/>
      <c r="O873" s="12">
        <f>IF(AND(B873="",C873=""),"",IF(NOT(ISNUMBER(B873)),"Needs a date",IF(C873="","Needs a client",IF(COUNTIF(Clients!$B$6:$B$105,C873)=0,"Not on Clients",IF(COUNT(D873:M873)=0,"Nothing measured","")))))</f>
        <v/>
      </c>
      <c r="P873" s="1">
        <f>IF(AND(O873="",ISNUMBER(B873)),INT(B873),0)</f>
        <v/>
      </c>
      <c r="Q873">
        <f>IF(AND(P873&gt;0,C873=Report!$C$5),P873*10000+ROW(),"")</f>
        <v/>
      </c>
      <c r="R873">
        <f>IF(AND(Q873&lt;&gt;"",ISNUMBER(D873)),Q873,"")</f>
        <v/>
      </c>
      <c r="S873">
        <f>IF(AND(Q873&lt;&gt;"",ISNUMBER(E873)),Q873,"")</f>
        <v/>
      </c>
      <c r="T873">
        <f>IF(AND(Q873&lt;&gt;"",ISNUMBER(F873)),Q873,"")</f>
        <v/>
      </c>
      <c r="U873">
        <f>IF(AND(Q873&lt;&gt;"",ISNUMBER(G873)),Q873,"")</f>
        <v/>
      </c>
      <c r="V873">
        <f>IF(AND(Q873&lt;&gt;"",ISNUMBER(H873)),Q873,"")</f>
        <v/>
      </c>
      <c r="W873">
        <f>IF(AND(Q873&lt;&gt;"",ISNUMBER(I873)),Q873,"")</f>
        <v/>
      </c>
      <c r="X873">
        <f>IF(AND(Q873&lt;&gt;"",ISNUMBER(J873)),Q873,"")</f>
        <v/>
      </c>
      <c r="Y873">
        <f>IF(AND(Q873&lt;&gt;"",ISNUMBER(K873)),Q873,"")</f>
        <v/>
      </c>
      <c r="Z873">
        <f>IF(AND(Q873&lt;&gt;"",ISNUMBER(L873)),Q873,"")</f>
        <v/>
      </c>
      <c r="AA873">
        <f>IF(AND(Q873&lt;&gt;"",ISNUMBER(M873)),Q873,"")</f>
        <v/>
      </c>
      <c r="AB873">
        <f>IF(AND(Q873&lt;&gt;"",ISNUMBER(K873)),K873,"")</f>
        <v/>
      </c>
      <c r="AC873">
        <f>IF(AND(Q873&lt;&gt;"",ISNUMBER(L873)),L873,"")</f>
        <v/>
      </c>
      <c r="AD873">
        <f>IF(AND(Q873&lt;&gt;"",ISNUMBER(M873)),M873,"")</f>
        <v/>
      </c>
    </row>
    <row r="874">
      <c r="A874" s="1" t="n"/>
      <c r="B874" s="17" t="n"/>
      <c r="C874" s="27" t="n"/>
      <c r="D874" s="2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9" t="n"/>
      <c r="N874" s="21" t="n"/>
      <c r="O874" s="12">
        <f>IF(AND(B874="",C874=""),"",IF(NOT(ISNUMBER(B874)),"Needs a date",IF(C874="","Needs a client",IF(COUNTIF(Clients!$B$6:$B$105,C874)=0,"Not on Clients",IF(COUNT(D874:M874)=0,"Nothing measured","")))))</f>
        <v/>
      </c>
      <c r="P874" s="1">
        <f>IF(AND(O874="",ISNUMBER(B874)),INT(B874),0)</f>
        <v/>
      </c>
      <c r="Q874">
        <f>IF(AND(P874&gt;0,C874=Report!$C$5),P874*10000+ROW(),"")</f>
        <v/>
      </c>
      <c r="R874">
        <f>IF(AND(Q874&lt;&gt;"",ISNUMBER(D874)),Q874,"")</f>
        <v/>
      </c>
      <c r="S874">
        <f>IF(AND(Q874&lt;&gt;"",ISNUMBER(E874)),Q874,"")</f>
        <v/>
      </c>
      <c r="T874">
        <f>IF(AND(Q874&lt;&gt;"",ISNUMBER(F874)),Q874,"")</f>
        <v/>
      </c>
      <c r="U874">
        <f>IF(AND(Q874&lt;&gt;"",ISNUMBER(G874)),Q874,"")</f>
        <v/>
      </c>
      <c r="V874">
        <f>IF(AND(Q874&lt;&gt;"",ISNUMBER(H874)),Q874,"")</f>
        <v/>
      </c>
      <c r="W874">
        <f>IF(AND(Q874&lt;&gt;"",ISNUMBER(I874)),Q874,"")</f>
        <v/>
      </c>
      <c r="X874">
        <f>IF(AND(Q874&lt;&gt;"",ISNUMBER(J874)),Q874,"")</f>
        <v/>
      </c>
      <c r="Y874">
        <f>IF(AND(Q874&lt;&gt;"",ISNUMBER(K874)),Q874,"")</f>
        <v/>
      </c>
      <c r="Z874">
        <f>IF(AND(Q874&lt;&gt;"",ISNUMBER(L874)),Q874,"")</f>
        <v/>
      </c>
      <c r="AA874">
        <f>IF(AND(Q874&lt;&gt;"",ISNUMBER(M874)),Q874,"")</f>
        <v/>
      </c>
      <c r="AB874">
        <f>IF(AND(Q874&lt;&gt;"",ISNUMBER(K874)),K874,"")</f>
        <v/>
      </c>
      <c r="AC874">
        <f>IF(AND(Q874&lt;&gt;"",ISNUMBER(L874)),L874,"")</f>
        <v/>
      </c>
      <c r="AD874">
        <f>IF(AND(Q874&lt;&gt;"",ISNUMBER(M874)),M874,"")</f>
        <v/>
      </c>
    </row>
    <row r="875">
      <c r="A875" s="1" t="n"/>
      <c r="B875" s="17" t="n"/>
      <c r="C875" s="27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9" t="n"/>
      <c r="N875" s="21" t="n"/>
      <c r="O875" s="12">
        <f>IF(AND(B875="",C875=""),"",IF(NOT(ISNUMBER(B875)),"Needs a date",IF(C875="","Needs a client",IF(COUNTIF(Clients!$B$6:$B$105,C875)=0,"Not on Clients",IF(COUNT(D875:M875)=0,"Nothing measured","")))))</f>
        <v/>
      </c>
      <c r="P875" s="1">
        <f>IF(AND(O875="",ISNUMBER(B875)),INT(B875),0)</f>
        <v/>
      </c>
      <c r="Q875">
        <f>IF(AND(P875&gt;0,C875=Report!$C$5),P875*10000+ROW(),"")</f>
        <v/>
      </c>
      <c r="R875">
        <f>IF(AND(Q875&lt;&gt;"",ISNUMBER(D875)),Q875,"")</f>
        <v/>
      </c>
      <c r="S875">
        <f>IF(AND(Q875&lt;&gt;"",ISNUMBER(E875)),Q875,"")</f>
        <v/>
      </c>
      <c r="T875">
        <f>IF(AND(Q875&lt;&gt;"",ISNUMBER(F875)),Q875,"")</f>
        <v/>
      </c>
      <c r="U875">
        <f>IF(AND(Q875&lt;&gt;"",ISNUMBER(G875)),Q875,"")</f>
        <v/>
      </c>
      <c r="V875">
        <f>IF(AND(Q875&lt;&gt;"",ISNUMBER(H875)),Q875,"")</f>
        <v/>
      </c>
      <c r="W875">
        <f>IF(AND(Q875&lt;&gt;"",ISNUMBER(I875)),Q875,"")</f>
        <v/>
      </c>
      <c r="X875">
        <f>IF(AND(Q875&lt;&gt;"",ISNUMBER(J875)),Q875,"")</f>
        <v/>
      </c>
      <c r="Y875">
        <f>IF(AND(Q875&lt;&gt;"",ISNUMBER(K875)),Q875,"")</f>
        <v/>
      </c>
      <c r="Z875">
        <f>IF(AND(Q875&lt;&gt;"",ISNUMBER(L875)),Q875,"")</f>
        <v/>
      </c>
      <c r="AA875">
        <f>IF(AND(Q875&lt;&gt;"",ISNUMBER(M875)),Q875,"")</f>
        <v/>
      </c>
      <c r="AB875">
        <f>IF(AND(Q875&lt;&gt;"",ISNUMBER(K875)),K875,"")</f>
        <v/>
      </c>
      <c r="AC875">
        <f>IF(AND(Q875&lt;&gt;"",ISNUMBER(L875)),L875,"")</f>
        <v/>
      </c>
      <c r="AD875">
        <f>IF(AND(Q875&lt;&gt;"",ISNUMBER(M875)),M875,"")</f>
        <v/>
      </c>
    </row>
    <row r="876">
      <c r="A876" s="1" t="n"/>
      <c r="B876" s="17" t="n"/>
      <c r="C876" s="27" t="n"/>
      <c r="D876" s="28" t="n"/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9" t="n"/>
      <c r="N876" s="21" t="n"/>
      <c r="O876" s="12">
        <f>IF(AND(B876="",C876=""),"",IF(NOT(ISNUMBER(B876)),"Needs a date",IF(C876="","Needs a client",IF(COUNTIF(Clients!$B$6:$B$105,C876)=0,"Not on Clients",IF(COUNT(D876:M876)=0,"Nothing measured","")))))</f>
        <v/>
      </c>
      <c r="P876" s="1">
        <f>IF(AND(O876="",ISNUMBER(B876)),INT(B876),0)</f>
        <v/>
      </c>
      <c r="Q876">
        <f>IF(AND(P876&gt;0,C876=Report!$C$5),P876*10000+ROW(),"")</f>
        <v/>
      </c>
      <c r="R876">
        <f>IF(AND(Q876&lt;&gt;"",ISNUMBER(D876)),Q876,"")</f>
        <v/>
      </c>
      <c r="S876">
        <f>IF(AND(Q876&lt;&gt;"",ISNUMBER(E876)),Q876,"")</f>
        <v/>
      </c>
      <c r="T876">
        <f>IF(AND(Q876&lt;&gt;"",ISNUMBER(F876)),Q876,"")</f>
        <v/>
      </c>
      <c r="U876">
        <f>IF(AND(Q876&lt;&gt;"",ISNUMBER(G876)),Q876,"")</f>
        <v/>
      </c>
      <c r="V876">
        <f>IF(AND(Q876&lt;&gt;"",ISNUMBER(H876)),Q876,"")</f>
        <v/>
      </c>
      <c r="W876">
        <f>IF(AND(Q876&lt;&gt;"",ISNUMBER(I876)),Q876,"")</f>
        <v/>
      </c>
      <c r="X876">
        <f>IF(AND(Q876&lt;&gt;"",ISNUMBER(J876)),Q876,"")</f>
        <v/>
      </c>
      <c r="Y876">
        <f>IF(AND(Q876&lt;&gt;"",ISNUMBER(K876)),Q876,"")</f>
        <v/>
      </c>
      <c r="Z876">
        <f>IF(AND(Q876&lt;&gt;"",ISNUMBER(L876)),Q876,"")</f>
        <v/>
      </c>
      <c r="AA876">
        <f>IF(AND(Q876&lt;&gt;"",ISNUMBER(M876)),Q876,"")</f>
        <v/>
      </c>
      <c r="AB876">
        <f>IF(AND(Q876&lt;&gt;"",ISNUMBER(K876)),K876,"")</f>
        <v/>
      </c>
      <c r="AC876">
        <f>IF(AND(Q876&lt;&gt;"",ISNUMBER(L876)),L876,"")</f>
        <v/>
      </c>
      <c r="AD876">
        <f>IF(AND(Q876&lt;&gt;"",ISNUMBER(M876)),M876,"")</f>
        <v/>
      </c>
    </row>
    <row r="877">
      <c r="A877" s="1" t="n"/>
      <c r="B877" s="17" t="n"/>
      <c r="C877" s="27" t="n"/>
      <c r="D877" s="28" t="n"/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9" t="n"/>
      <c r="N877" s="21" t="n"/>
      <c r="O877" s="12">
        <f>IF(AND(B877="",C877=""),"",IF(NOT(ISNUMBER(B877)),"Needs a date",IF(C877="","Needs a client",IF(COUNTIF(Clients!$B$6:$B$105,C877)=0,"Not on Clients",IF(COUNT(D877:M877)=0,"Nothing measured","")))))</f>
        <v/>
      </c>
      <c r="P877" s="1">
        <f>IF(AND(O877="",ISNUMBER(B877)),INT(B877),0)</f>
        <v/>
      </c>
      <c r="Q877">
        <f>IF(AND(P877&gt;0,C877=Report!$C$5),P877*10000+ROW(),"")</f>
        <v/>
      </c>
      <c r="R877">
        <f>IF(AND(Q877&lt;&gt;"",ISNUMBER(D877)),Q877,"")</f>
        <v/>
      </c>
      <c r="S877">
        <f>IF(AND(Q877&lt;&gt;"",ISNUMBER(E877)),Q877,"")</f>
        <v/>
      </c>
      <c r="T877">
        <f>IF(AND(Q877&lt;&gt;"",ISNUMBER(F877)),Q877,"")</f>
        <v/>
      </c>
      <c r="U877">
        <f>IF(AND(Q877&lt;&gt;"",ISNUMBER(G877)),Q877,"")</f>
        <v/>
      </c>
      <c r="V877">
        <f>IF(AND(Q877&lt;&gt;"",ISNUMBER(H877)),Q877,"")</f>
        <v/>
      </c>
      <c r="W877">
        <f>IF(AND(Q877&lt;&gt;"",ISNUMBER(I877)),Q877,"")</f>
        <v/>
      </c>
      <c r="X877">
        <f>IF(AND(Q877&lt;&gt;"",ISNUMBER(J877)),Q877,"")</f>
        <v/>
      </c>
      <c r="Y877">
        <f>IF(AND(Q877&lt;&gt;"",ISNUMBER(K877)),Q877,"")</f>
        <v/>
      </c>
      <c r="Z877">
        <f>IF(AND(Q877&lt;&gt;"",ISNUMBER(L877)),Q877,"")</f>
        <v/>
      </c>
      <c r="AA877">
        <f>IF(AND(Q877&lt;&gt;"",ISNUMBER(M877)),Q877,"")</f>
        <v/>
      </c>
      <c r="AB877">
        <f>IF(AND(Q877&lt;&gt;"",ISNUMBER(K877)),K877,"")</f>
        <v/>
      </c>
      <c r="AC877">
        <f>IF(AND(Q877&lt;&gt;"",ISNUMBER(L877)),L877,"")</f>
        <v/>
      </c>
      <c r="AD877">
        <f>IF(AND(Q877&lt;&gt;"",ISNUMBER(M877)),M877,"")</f>
        <v/>
      </c>
    </row>
    <row r="878">
      <c r="A878" s="1" t="n"/>
      <c r="B878" s="17" t="n"/>
      <c r="C878" s="27" t="n"/>
      <c r="D878" s="28" t="n"/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9" t="n"/>
      <c r="N878" s="21" t="n"/>
      <c r="O878" s="12">
        <f>IF(AND(B878="",C878=""),"",IF(NOT(ISNUMBER(B878)),"Needs a date",IF(C878="","Needs a client",IF(COUNTIF(Clients!$B$6:$B$105,C878)=0,"Not on Clients",IF(COUNT(D878:M878)=0,"Nothing measured","")))))</f>
        <v/>
      </c>
      <c r="P878" s="1">
        <f>IF(AND(O878="",ISNUMBER(B878)),INT(B878),0)</f>
        <v/>
      </c>
      <c r="Q878">
        <f>IF(AND(P878&gt;0,C878=Report!$C$5),P878*10000+ROW(),"")</f>
        <v/>
      </c>
      <c r="R878">
        <f>IF(AND(Q878&lt;&gt;"",ISNUMBER(D878)),Q878,"")</f>
        <v/>
      </c>
      <c r="S878">
        <f>IF(AND(Q878&lt;&gt;"",ISNUMBER(E878)),Q878,"")</f>
        <v/>
      </c>
      <c r="T878">
        <f>IF(AND(Q878&lt;&gt;"",ISNUMBER(F878)),Q878,"")</f>
        <v/>
      </c>
      <c r="U878">
        <f>IF(AND(Q878&lt;&gt;"",ISNUMBER(G878)),Q878,"")</f>
        <v/>
      </c>
      <c r="V878">
        <f>IF(AND(Q878&lt;&gt;"",ISNUMBER(H878)),Q878,"")</f>
        <v/>
      </c>
      <c r="W878">
        <f>IF(AND(Q878&lt;&gt;"",ISNUMBER(I878)),Q878,"")</f>
        <v/>
      </c>
      <c r="X878">
        <f>IF(AND(Q878&lt;&gt;"",ISNUMBER(J878)),Q878,"")</f>
        <v/>
      </c>
      <c r="Y878">
        <f>IF(AND(Q878&lt;&gt;"",ISNUMBER(K878)),Q878,"")</f>
        <v/>
      </c>
      <c r="Z878">
        <f>IF(AND(Q878&lt;&gt;"",ISNUMBER(L878)),Q878,"")</f>
        <v/>
      </c>
      <c r="AA878">
        <f>IF(AND(Q878&lt;&gt;"",ISNUMBER(M878)),Q878,"")</f>
        <v/>
      </c>
      <c r="AB878">
        <f>IF(AND(Q878&lt;&gt;"",ISNUMBER(K878)),K878,"")</f>
        <v/>
      </c>
      <c r="AC878">
        <f>IF(AND(Q878&lt;&gt;"",ISNUMBER(L878)),L878,"")</f>
        <v/>
      </c>
      <c r="AD878">
        <f>IF(AND(Q878&lt;&gt;"",ISNUMBER(M878)),M878,"")</f>
        <v/>
      </c>
    </row>
    <row r="879">
      <c r="A879" s="1" t="n"/>
      <c r="B879" s="17" t="n"/>
      <c r="C879" s="27" t="n"/>
      <c r="D879" s="2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9" t="n"/>
      <c r="N879" s="21" t="n"/>
      <c r="O879" s="12">
        <f>IF(AND(B879="",C879=""),"",IF(NOT(ISNUMBER(B879)),"Needs a date",IF(C879="","Needs a client",IF(COUNTIF(Clients!$B$6:$B$105,C879)=0,"Not on Clients",IF(COUNT(D879:M879)=0,"Nothing measured","")))))</f>
        <v/>
      </c>
      <c r="P879" s="1">
        <f>IF(AND(O879="",ISNUMBER(B879)),INT(B879),0)</f>
        <v/>
      </c>
      <c r="Q879">
        <f>IF(AND(P879&gt;0,C879=Report!$C$5),P879*10000+ROW(),"")</f>
        <v/>
      </c>
      <c r="R879">
        <f>IF(AND(Q879&lt;&gt;"",ISNUMBER(D879)),Q879,"")</f>
        <v/>
      </c>
      <c r="S879">
        <f>IF(AND(Q879&lt;&gt;"",ISNUMBER(E879)),Q879,"")</f>
        <v/>
      </c>
      <c r="T879">
        <f>IF(AND(Q879&lt;&gt;"",ISNUMBER(F879)),Q879,"")</f>
        <v/>
      </c>
      <c r="U879">
        <f>IF(AND(Q879&lt;&gt;"",ISNUMBER(G879)),Q879,"")</f>
        <v/>
      </c>
      <c r="V879">
        <f>IF(AND(Q879&lt;&gt;"",ISNUMBER(H879)),Q879,"")</f>
        <v/>
      </c>
      <c r="W879">
        <f>IF(AND(Q879&lt;&gt;"",ISNUMBER(I879)),Q879,"")</f>
        <v/>
      </c>
      <c r="X879">
        <f>IF(AND(Q879&lt;&gt;"",ISNUMBER(J879)),Q879,"")</f>
        <v/>
      </c>
      <c r="Y879">
        <f>IF(AND(Q879&lt;&gt;"",ISNUMBER(K879)),Q879,"")</f>
        <v/>
      </c>
      <c r="Z879">
        <f>IF(AND(Q879&lt;&gt;"",ISNUMBER(L879)),Q879,"")</f>
        <v/>
      </c>
      <c r="AA879">
        <f>IF(AND(Q879&lt;&gt;"",ISNUMBER(M879)),Q879,"")</f>
        <v/>
      </c>
      <c r="AB879">
        <f>IF(AND(Q879&lt;&gt;"",ISNUMBER(K879)),K879,"")</f>
        <v/>
      </c>
      <c r="AC879">
        <f>IF(AND(Q879&lt;&gt;"",ISNUMBER(L879)),L879,"")</f>
        <v/>
      </c>
      <c r="AD879">
        <f>IF(AND(Q879&lt;&gt;"",ISNUMBER(M879)),M879,"")</f>
        <v/>
      </c>
    </row>
    <row r="880">
      <c r="A880" s="1" t="n"/>
      <c r="B880" s="17" t="n"/>
      <c r="C880" s="27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9" t="n"/>
      <c r="N880" s="21" t="n"/>
      <c r="O880" s="12">
        <f>IF(AND(B880="",C880=""),"",IF(NOT(ISNUMBER(B880)),"Needs a date",IF(C880="","Needs a client",IF(COUNTIF(Clients!$B$6:$B$105,C880)=0,"Not on Clients",IF(COUNT(D880:M880)=0,"Nothing measured","")))))</f>
        <v/>
      </c>
      <c r="P880" s="1">
        <f>IF(AND(O880="",ISNUMBER(B880)),INT(B880),0)</f>
        <v/>
      </c>
      <c r="Q880">
        <f>IF(AND(P880&gt;0,C880=Report!$C$5),P880*10000+ROW(),"")</f>
        <v/>
      </c>
      <c r="R880">
        <f>IF(AND(Q880&lt;&gt;"",ISNUMBER(D880)),Q880,"")</f>
        <v/>
      </c>
      <c r="S880">
        <f>IF(AND(Q880&lt;&gt;"",ISNUMBER(E880)),Q880,"")</f>
        <v/>
      </c>
      <c r="T880">
        <f>IF(AND(Q880&lt;&gt;"",ISNUMBER(F880)),Q880,"")</f>
        <v/>
      </c>
      <c r="U880">
        <f>IF(AND(Q880&lt;&gt;"",ISNUMBER(G880)),Q880,"")</f>
        <v/>
      </c>
      <c r="V880">
        <f>IF(AND(Q880&lt;&gt;"",ISNUMBER(H880)),Q880,"")</f>
        <v/>
      </c>
      <c r="W880">
        <f>IF(AND(Q880&lt;&gt;"",ISNUMBER(I880)),Q880,"")</f>
        <v/>
      </c>
      <c r="X880">
        <f>IF(AND(Q880&lt;&gt;"",ISNUMBER(J880)),Q880,"")</f>
        <v/>
      </c>
      <c r="Y880">
        <f>IF(AND(Q880&lt;&gt;"",ISNUMBER(K880)),Q880,"")</f>
        <v/>
      </c>
      <c r="Z880">
        <f>IF(AND(Q880&lt;&gt;"",ISNUMBER(L880)),Q880,"")</f>
        <v/>
      </c>
      <c r="AA880">
        <f>IF(AND(Q880&lt;&gt;"",ISNUMBER(M880)),Q880,"")</f>
        <v/>
      </c>
      <c r="AB880">
        <f>IF(AND(Q880&lt;&gt;"",ISNUMBER(K880)),K880,"")</f>
        <v/>
      </c>
      <c r="AC880">
        <f>IF(AND(Q880&lt;&gt;"",ISNUMBER(L880)),L880,"")</f>
        <v/>
      </c>
      <c r="AD880">
        <f>IF(AND(Q880&lt;&gt;"",ISNUMBER(M880)),M880,"")</f>
        <v/>
      </c>
    </row>
    <row r="881">
      <c r="A881" s="1" t="n"/>
      <c r="B881" s="17" t="n"/>
      <c r="C881" s="27" t="n"/>
      <c r="D881" s="28" t="n"/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9" t="n"/>
      <c r="N881" s="21" t="n"/>
      <c r="O881" s="12">
        <f>IF(AND(B881="",C881=""),"",IF(NOT(ISNUMBER(B881)),"Needs a date",IF(C881="","Needs a client",IF(COUNTIF(Clients!$B$6:$B$105,C881)=0,"Not on Clients",IF(COUNT(D881:M881)=0,"Nothing measured","")))))</f>
        <v/>
      </c>
      <c r="P881" s="1">
        <f>IF(AND(O881="",ISNUMBER(B881)),INT(B881),0)</f>
        <v/>
      </c>
      <c r="Q881">
        <f>IF(AND(P881&gt;0,C881=Report!$C$5),P881*10000+ROW(),"")</f>
        <v/>
      </c>
      <c r="R881">
        <f>IF(AND(Q881&lt;&gt;"",ISNUMBER(D881)),Q881,"")</f>
        <v/>
      </c>
      <c r="S881">
        <f>IF(AND(Q881&lt;&gt;"",ISNUMBER(E881)),Q881,"")</f>
        <v/>
      </c>
      <c r="T881">
        <f>IF(AND(Q881&lt;&gt;"",ISNUMBER(F881)),Q881,"")</f>
        <v/>
      </c>
      <c r="U881">
        <f>IF(AND(Q881&lt;&gt;"",ISNUMBER(G881)),Q881,"")</f>
        <v/>
      </c>
      <c r="V881">
        <f>IF(AND(Q881&lt;&gt;"",ISNUMBER(H881)),Q881,"")</f>
        <v/>
      </c>
      <c r="W881">
        <f>IF(AND(Q881&lt;&gt;"",ISNUMBER(I881)),Q881,"")</f>
        <v/>
      </c>
      <c r="X881">
        <f>IF(AND(Q881&lt;&gt;"",ISNUMBER(J881)),Q881,"")</f>
        <v/>
      </c>
      <c r="Y881">
        <f>IF(AND(Q881&lt;&gt;"",ISNUMBER(K881)),Q881,"")</f>
        <v/>
      </c>
      <c r="Z881">
        <f>IF(AND(Q881&lt;&gt;"",ISNUMBER(L881)),Q881,"")</f>
        <v/>
      </c>
      <c r="AA881">
        <f>IF(AND(Q881&lt;&gt;"",ISNUMBER(M881)),Q881,"")</f>
        <v/>
      </c>
      <c r="AB881">
        <f>IF(AND(Q881&lt;&gt;"",ISNUMBER(K881)),K881,"")</f>
        <v/>
      </c>
      <c r="AC881">
        <f>IF(AND(Q881&lt;&gt;"",ISNUMBER(L881)),L881,"")</f>
        <v/>
      </c>
      <c r="AD881">
        <f>IF(AND(Q881&lt;&gt;"",ISNUMBER(M881)),M881,"")</f>
        <v/>
      </c>
    </row>
    <row r="882">
      <c r="A882" s="1" t="n"/>
      <c r="B882" s="17" t="n"/>
      <c r="C882" s="27" t="n"/>
      <c r="D882" s="2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9" t="n"/>
      <c r="N882" s="21" t="n"/>
      <c r="O882" s="12">
        <f>IF(AND(B882="",C882=""),"",IF(NOT(ISNUMBER(B882)),"Needs a date",IF(C882="","Needs a client",IF(COUNTIF(Clients!$B$6:$B$105,C882)=0,"Not on Clients",IF(COUNT(D882:M882)=0,"Nothing measured","")))))</f>
        <v/>
      </c>
      <c r="P882" s="1">
        <f>IF(AND(O882="",ISNUMBER(B882)),INT(B882),0)</f>
        <v/>
      </c>
      <c r="Q882">
        <f>IF(AND(P882&gt;0,C882=Report!$C$5),P882*10000+ROW(),"")</f>
        <v/>
      </c>
      <c r="R882">
        <f>IF(AND(Q882&lt;&gt;"",ISNUMBER(D882)),Q882,"")</f>
        <v/>
      </c>
      <c r="S882">
        <f>IF(AND(Q882&lt;&gt;"",ISNUMBER(E882)),Q882,"")</f>
        <v/>
      </c>
      <c r="T882">
        <f>IF(AND(Q882&lt;&gt;"",ISNUMBER(F882)),Q882,"")</f>
        <v/>
      </c>
      <c r="U882">
        <f>IF(AND(Q882&lt;&gt;"",ISNUMBER(G882)),Q882,"")</f>
        <v/>
      </c>
      <c r="V882">
        <f>IF(AND(Q882&lt;&gt;"",ISNUMBER(H882)),Q882,"")</f>
        <v/>
      </c>
      <c r="W882">
        <f>IF(AND(Q882&lt;&gt;"",ISNUMBER(I882)),Q882,"")</f>
        <v/>
      </c>
      <c r="X882">
        <f>IF(AND(Q882&lt;&gt;"",ISNUMBER(J882)),Q882,"")</f>
        <v/>
      </c>
      <c r="Y882">
        <f>IF(AND(Q882&lt;&gt;"",ISNUMBER(K882)),Q882,"")</f>
        <v/>
      </c>
      <c r="Z882">
        <f>IF(AND(Q882&lt;&gt;"",ISNUMBER(L882)),Q882,"")</f>
        <v/>
      </c>
      <c r="AA882">
        <f>IF(AND(Q882&lt;&gt;"",ISNUMBER(M882)),Q882,"")</f>
        <v/>
      </c>
      <c r="AB882">
        <f>IF(AND(Q882&lt;&gt;"",ISNUMBER(K882)),K882,"")</f>
        <v/>
      </c>
      <c r="AC882">
        <f>IF(AND(Q882&lt;&gt;"",ISNUMBER(L882)),L882,"")</f>
        <v/>
      </c>
      <c r="AD882">
        <f>IF(AND(Q882&lt;&gt;"",ISNUMBER(M882)),M882,"")</f>
        <v/>
      </c>
    </row>
    <row r="883">
      <c r="A883" s="1" t="n"/>
      <c r="B883" s="17" t="n"/>
      <c r="C883" s="27" t="n"/>
      <c r="D883" s="2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9" t="n"/>
      <c r="N883" s="21" t="n"/>
      <c r="O883" s="12">
        <f>IF(AND(B883="",C883=""),"",IF(NOT(ISNUMBER(B883)),"Needs a date",IF(C883="","Needs a client",IF(COUNTIF(Clients!$B$6:$B$105,C883)=0,"Not on Clients",IF(COUNT(D883:M883)=0,"Nothing measured","")))))</f>
        <v/>
      </c>
      <c r="P883" s="1">
        <f>IF(AND(O883="",ISNUMBER(B883)),INT(B883),0)</f>
        <v/>
      </c>
      <c r="Q883">
        <f>IF(AND(P883&gt;0,C883=Report!$C$5),P883*10000+ROW(),"")</f>
        <v/>
      </c>
      <c r="R883">
        <f>IF(AND(Q883&lt;&gt;"",ISNUMBER(D883)),Q883,"")</f>
        <v/>
      </c>
      <c r="S883">
        <f>IF(AND(Q883&lt;&gt;"",ISNUMBER(E883)),Q883,"")</f>
        <v/>
      </c>
      <c r="T883">
        <f>IF(AND(Q883&lt;&gt;"",ISNUMBER(F883)),Q883,"")</f>
        <v/>
      </c>
      <c r="U883">
        <f>IF(AND(Q883&lt;&gt;"",ISNUMBER(G883)),Q883,"")</f>
        <v/>
      </c>
      <c r="V883">
        <f>IF(AND(Q883&lt;&gt;"",ISNUMBER(H883)),Q883,"")</f>
        <v/>
      </c>
      <c r="W883">
        <f>IF(AND(Q883&lt;&gt;"",ISNUMBER(I883)),Q883,"")</f>
        <v/>
      </c>
      <c r="X883">
        <f>IF(AND(Q883&lt;&gt;"",ISNUMBER(J883)),Q883,"")</f>
        <v/>
      </c>
      <c r="Y883">
        <f>IF(AND(Q883&lt;&gt;"",ISNUMBER(K883)),Q883,"")</f>
        <v/>
      </c>
      <c r="Z883">
        <f>IF(AND(Q883&lt;&gt;"",ISNUMBER(L883)),Q883,"")</f>
        <v/>
      </c>
      <c r="AA883">
        <f>IF(AND(Q883&lt;&gt;"",ISNUMBER(M883)),Q883,"")</f>
        <v/>
      </c>
      <c r="AB883">
        <f>IF(AND(Q883&lt;&gt;"",ISNUMBER(K883)),K883,"")</f>
        <v/>
      </c>
      <c r="AC883">
        <f>IF(AND(Q883&lt;&gt;"",ISNUMBER(L883)),L883,"")</f>
        <v/>
      </c>
      <c r="AD883">
        <f>IF(AND(Q883&lt;&gt;"",ISNUMBER(M883)),M883,"")</f>
        <v/>
      </c>
    </row>
    <row r="884">
      <c r="A884" s="1" t="n"/>
      <c r="B884" s="17" t="n"/>
      <c r="C884" s="27" t="n"/>
      <c r="D884" s="2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9" t="n"/>
      <c r="N884" s="21" t="n"/>
      <c r="O884" s="12">
        <f>IF(AND(B884="",C884=""),"",IF(NOT(ISNUMBER(B884)),"Needs a date",IF(C884="","Needs a client",IF(COUNTIF(Clients!$B$6:$B$105,C884)=0,"Not on Clients",IF(COUNT(D884:M884)=0,"Nothing measured","")))))</f>
        <v/>
      </c>
      <c r="P884" s="1">
        <f>IF(AND(O884="",ISNUMBER(B884)),INT(B884),0)</f>
        <v/>
      </c>
      <c r="Q884">
        <f>IF(AND(P884&gt;0,C884=Report!$C$5),P884*10000+ROW(),"")</f>
        <v/>
      </c>
      <c r="R884">
        <f>IF(AND(Q884&lt;&gt;"",ISNUMBER(D884)),Q884,"")</f>
        <v/>
      </c>
      <c r="S884">
        <f>IF(AND(Q884&lt;&gt;"",ISNUMBER(E884)),Q884,"")</f>
        <v/>
      </c>
      <c r="T884">
        <f>IF(AND(Q884&lt;&gt;"",ISNUMBER(F884)),Q884,"")</f>
        <v/>
      </c>
      <c r="U884">
        <f>IF(AND(Q884&lt;&gt;"",ISNUMBER(G884)),Q884,"")</f>
        <v/>
      </c>
      <c r="V884">
        <f>IF(AND(Q884&lt;&gt;"",ISNUMBER(H884)),Q884,"")</f>
        <v/>
      </c>
      <c r="W884">
        <f>IF(AND(Q884&lt;&gt;"",ISNUMBER(I884)),Q884,"")</f>
        <v/>
      </c>
      <c r="X884">
        <f>IF(AND(Q884&lt;&gt;"",ISNUMBER(J884)),Q884,"")</f>
        <v/>
      </c>
      <c r="Y884">
        <f>IF(AND(Q884&lt;&gt;"",ISNUMBER(K884)),Q884,"")</f>
        <v/>
      </c>
      <c r="Z884">
        <f>IF(AND(Q884&lt;&gt;"",ISNUMBER(L884)),Q884,"")</f>
        <v/>
      </c>
      <c r="AA884">
        <f>IF(AND(Q884&lt;&gt;"",ISNUMBER(M884)),Q884,"")</f>
        <v/>
      </c>
      <c r="AB884">
        <f>IF(AND(Q884&lt;&gt;"",ISNUMBER(K884)),K884,"")</f>
        <v/>
      </c>
      <c r="AC884">
        <f>IF(AND(Q884&lt;&gt;"",ISNUMBER(L884)),L884,"")</f>
        <v/>
      </c>
      <c r="AD884">
        <f>IF(AND(Q884&lt;&gt;"",ISNUMBER(M884)),M884,"")</f>
        <v/>
      </c>
    </row>
    <row r="885">
      <c r="A885" s="1" t="n"/>
      <c r="B885" s="17" t="n"/>
      <c r="C885" s="27" t="n"/>
      <c r="D885" s="2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9" t="n"/>
      <c r="N885" s="21" t="n"/>
      <c r="O885" s="12">
        <f>IF(AND(B885="",C885=""),"",IF(NOT(ISNUMBER(B885)),"Needs a date",IF(C885="","Needs a client",IF(COUNTIF(Clients!$B$6:$B$105,C885)=0,"Not on Clients",IF(COUNT(D885:M885)=0,"Nothing measured","")))))</f>
        <v/>
      </c>
      <c r="P885" s="1">
        <f>IF(AND(O885="",ISNUMBER(B885)),INT(B885),0)</f>
        <v/>
      </c>
      <c r="Q885">
        <f>IF(AND(P885&gt;0,C885=Report!$C$5),P885*10000+ROW(),"")</f>
        <v/>
      </c>
      <c r="R885">
        <f>IF(AND(Q885&lt;&gt;"",ISNUMBER(D885)),Q885,"")</f>
        <v/>
      </c>
      <c r="S885">
        <f>IF(AND(Q885&lt;&gt;"",ISNUMBER(E885)),Q885,"")</f>
        <v/>
      </c>
      <c r="T885">
        <f>IF(AND(Q885&lt;&gt;"",ISNUMBER(F885)),Q885,"")</f>
        <v/>
      </c>
      <c r="U885">
        <f>IF(AND(Q885&lt;&gt;"",ISNUMBER(G885)),Q885,"")</f>
        <v/>
      </c>
      <c r="V885">
        <f>IF(AND(Q885&lt;&gt;"",ISNUMBER(H885)),Q885,"")</f>
        <v/>
      </c>
      <c r="W885">
        <f>IF(AND(Q885&lt;&gt;"",ISNUMBER(I885)),Q885,"")</f>
        <v/>
      </c>
      <c r="X885">
        <f>IF(AND(Q885&lt;&gt;"",ISNUMBER(J885)),Q885,"")</f>
        <v/>
      </c>
      <c r="Y885">
        <f>IF(AND(Q885&lt;&gt;"",ISNUMBER(K885)),Q885,"")</f>
        <v/>
      </c>
      <c r="Z885">
        <f>IF(AND(Q885&lt;&gt;"",ISNUMBER(L885)),Q885,"")</f>
        <v/>
      </c>
      <c r="AA885">
        <f>IF(AND(Q885&lt;&gt;"",ISNUMBER(M885)),Q885,"")</f>
        <v/>
      </c>
      <c r="AB885">
        <f>IF(AND(Q885&lt;&gt;"",ISNUMBER(K885)),K885,"")</f>
        <v/>
      </c>
      <c r="AC885">
        <f>IF(AND(Q885&lt;&gt;"",ISNUMBER(L885)),L885,"")</f>
        <v/>
      </c>
      <c r="AD885">
        <f>IF(AND(Q885&lt;&gt;"",ISNUMBER(M885)),M885,"")</f>
        <v/>
      </c>
    </row>
    <row r="886">
      <c r="A886" s="1" t="n"/>
      <c r="B886" s="17" t="n"/>
      <c r="C886" s="27" t="n"/>
      <c r="D886" s="2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9" t="n"/>
      <c r="N886" s="21" t="n"/>
      <c r="O886" s="12">
        <f>IF(AND(B886="",C886=""),"",IF(NOT(ISNUMBER(B886)),"Needs a date",IF(C886="","Needs a client",IF(COUNTIF(Clients!$B$6:$B$105,C886)=0,"Not on Clients",IF(COUNT(D886:M886)=0,"Nothing measured","")))))</f>
        <v/>
      </c>
      <c r="P886" s="1">
        <f>IF(AND(O886="",ISNUMBER(B886)),INT(B886),0)</f>
        <v/>
      </c>
      <c r="Q886">
        <f>IF(AND(P886&gt;0,C886=Report!$C$5),P886*10000+ROW(),"")</f>
        <v/>
      </c>
      <c r="R886">
        <f>IF(AND(Q886&lt;&gt;"",ISNUMBER(D886)),Q886,"")</f>
        <v/>
      </c>
      <c r="S886">
        <f>IF(AND(Q886&lt;&gt;"",ISNUMBER(E886)),Q886,"")</f>
        <v/>
      </c>
      <c r="T886">
        <f>IF(AND(Q886&lt;&gt;"",ISNUMBER(F886)),Q886,"")</f>
        <v/>
      </c>
      <c r="U886">
        <f>IF(AND(Q886&lt;&gt;"",ISNUMBER(G886)),Q886,"")</f>
        <v/>
      </c>
      <c r="V886">
        <f>IF(AND(Q886&lt;&gt;"",ISNUMBER(H886)),Q886,"")</f>
        <v/>
      </c>
      <c r="W886">
        <f>IF(AND(Q886&lt;&gt;"",ISNUMBER(I886)),Q886,"")</f>
        <v/>
      </c>
      <c r="X886">
        <f>IF(AND(Q886&lt;&gt;"",ISNUMBER(J886)),Q886,"")</f>
        <v/>
      </c>
      <c r="Y886">
        <f>IF(AND(Q886&lt;&gt;"",ISNUMBER(K886)),Q886,"")</f>
        <v/>
      </c>
      <c r="Z886">
        <f>IF(AND(Q886&lt;&gt;"",ISNUMBER(L886)),Q886,"")</f>
        <v/>
      </c>
      <c r="AA886">
        <f>IF(AND(Q886&lt;&gt;"",ISNUMBER(M886)),Q886,"")</f>
        <v/>
      </c>
      <c r="AB886">
        <f>IF(AND(Q886&lt;&gt;"",ISNUMBER(K886)),K886,"")</f>
        <v/>
      </c>
      <c r="AC886">
        <f>IF(AND(Q886&lt;&gt;"",ISNUMBER(L886)),L886,"")</f>
        <v/>
      </c>
      <c r="AD886">
        <f>IF(AND(Q886&lt;&gt;"",ISNUMBER(M886)),M886,"")</f>
        <v/>
      </c>
    </row>
    <row r="887">
      <c r="A887" s="1" t="n"/>
      <c r="B887" s="17" t="n"/>
      <c r="C887" s="27" t="n"/>
      <c r="D887" s="2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9" t="n"/>
      <c r="N887" s="21" t="n"/>
      <c r="O887" s="12">
        <f>IF(AND(B887="",C887=""),"",IF(NOT(ISNUMBER(B887)),"Needs a date",IF(C887="","Needs a client",IF(COUNTIF(Clients!$B$6:$B$105,C887)=0,"Not on Clients",IF(COUNT(D887:M887)=0,"Nothing measured","")))))</f>
        <v/>
      </c>
      <c r="P887" s="1">
        <f>IF(AND(O887="",ISNUMBER(B887)),INT(B887),0)</f>
        <v/>
      </c>
      <c r="Q887">
        <f>IF(AND(P887&gt;0,C887=Report!$C$5),P887*10000+ROW(),"")</f>
        <v/>
      </c>
      <c r="R887">
        <f>IF(AND(Q887&lt;&gt;"",ISNUMBER(D887)),Q887,"")</f>
        <v/>
      </c>
      <c r="S887">
        <f>IF(AND(Q887&lt;&gt;"",ISNUMBER(E887)),Q887,"")</f>
        <v/>
      </c>
      <c r="T887">
        <f>IF(AND(Q887&lt;&gt;"",ISNUMBER(F887)),Q887,"")</f>
        <v/>
      </c>
      <c r="U887">
        <f>IF(AND(Q887&lt;&gt;"",ISNUMBER(G887)),Q887,"")</f>
        <v/>
      </c>
      <c r="V887">
        <f>IF(AND(Q887&lt;&gt;"",ISNUMBER(H887)),Q887,"")</f>
        <v/>
      </c>
      <c r="W887">
        <f>IF(AND(Q887&lt;&gt;"",ISNUMBER(I887)),Q887,"")</f>
        <v/>
      </c>
      <c r="X887">
        <f>IF(AND(Q887&lt;&gt;"",ISNUMBER(J887)),Q887,"")</f>
        <v/>
      </c>
      <c r="Y887">
        <f>IF(AND(Q887&lt;&gt;"",ISNUMBER(K887)),Q887,"")</f>
        <v/>
      </c>
      <c r="Z887">
        <f>IF(AND(Q887&lt;&gt;"",ISNUMBER(L887)),Q887,"")</f>
        <v/>
      </c>
      <c r="AA887">
        <f>IF(AND(Q887&lt;&gt;"",ISNUMBER(M887)),Q887,"")</f>
        <v/>
      </c>
      <c r="AB887">
        <f>IF(AND(Q887&lt;&gt;"",ISNUMBER(K887)),K887,"")</f>
        <v/>
      </c>
      <c r="AC887">
        <f>IF(AND(Q887&lt;&gt;"",ISNUMBER(L887)),L887,"")</f>
        <v/>
      </c>
      <c r="AD887">
        <f>IF(AND(Q887&lt;&gt;"",ISNUMBER(M887)),M887,"")</f>
        <v/>
      </c>
    </row>
    <row r="888">
      <c r="A888" s="1" t="n"/>
      <c r="B888" s="17" t="n"/>
      <c r="C888" s="27" t="n"/>
      <c r="D888" s="28" t="n"/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9" t="n"/>
      <c r="N888" s="21" t="n"/>
      <c r="O888" s="12">
        <f>IF(AND(B888="",C888=""),"",IF(NOT(ISNUMBER(B888)),"Needs a date",IF(C888="","Needs a client",IF(COUNTIF(Clients!$B$6:$B$105,C888)=0,"Not on Clients",IF(COUNT(D888:M888)=0,"Nothing measured","")))))</f>
        <v/>
      </c>
      <c r="P888" s="1">
        <f>IF(AND(O888="",ISNUMBER(B888)),INT(B888),0)</f>
        <v/>
      </c>
      <c r="Q888">
        <f>IF(AND(P888&gt;0,C888=Report!$C$5),P888*10000+ROW(),"")</f>
        <v/>
      </c>
      <c r="R888">
        <f>IF(AND(Q888&lt;&gt;"",ISNUMBER(D888)),Q888,"")</f>
        <v/>
      </c>
      <c r="S888">
        <f>IF(AND(Q888&lt;&gt;"",ISNUMBER(E888)),Q888,"")</f>
        <v/>
      </c>
      <c r="T888">
        <f>IF(AND(Q888&lt;&gt;"",ISNUMBER(F888)),Q888,"")</f>
        <v/>
      </c>
      <c r="U888">
        <f>IF(AND(Q888&lt;&gt;"",ISNUMBER(G888)),Q888,"")</f>
        <v/>
      </c>
      <c r="V888">
        <f>IF(AND(Q888&lt;&gt;"",ISNUMBER(H888)),Q888,"")</f>
        <v/>
      </c>
      <c r="W888">
        <f>IF(AND(Q888&lt;&gt;"",ISNUMBER(I888)),Q888,"")</f>
        <v/>
      </c>
      <c r="X888">
        <f>IF(AND(Q888&lt;&gt;"",ISNUMBER(J888)),Q888,"")</f>
        <v/>
      </c>
      <c r="Y888">
        <f>IF(AND(Q888&lt;&gt;"",ISNUMBER(K888)),Q888,"")</f>
        <v/>
      </c>
      <c r="Z888">
        <f>IF(AND(Q888&lt;&gt;"",ISNUMBER(L888)),Q888,"")</f>
        <v/>
      </c>
      <c r="AA888">
        <f>IF(AND(Q888&lt;&gt;"",ISNUMBER(M888)),Q888,"")</f>
        <v/>
      </c>
      <c r="AB888">
        <f>IF(AND(Q888&lt;&gt;"",ISNUMBER(K888)),K888,"")</f>
        <v/>
      </c>
      <c r="AC888">
        <f>IF(AND(Q888&lt;&gt;"",ISNUMBER(L888)),L888,"")</f>
        <v/>
      </c>
      <c r="AD888">
        <f>IF(AND(Q888&lt;&gt;"",ISNUMBER(M888)),M888,"")</f>
        <v/>
      </c>
    </row>
    <row r="889">
      <c r="A889" s="1" t="n"/>
      <c r="B889" s="17" t="n"/>
      <c r="C889" s="27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9" t="n"/>
      <c r="N889" s="21" t="n"/>
      <c r="O889" s="12">
        <f>IF(AND(B889="",C889=""),"",IF(NOT(ISNUMBER(B889)),"Needs a date",IF(C889="","Needs a client",IF(COUNTIF(Clients!$B$6:$B$105,C889)=0,"Not on Clients",IF(COUNT(D889:M889)=0,"Nothing measured","")))))</f>
        <v/>
      </c>
      <c r="P889" s="1">
        <f>IF(AND(O889="",ISNUMBER(B889)),INT(B889),0)</f>
        <v/>
      </c>
      <c r="Q889">
        <f>IF(AND(P889&gt;0,C889=Report!$C$5),P889*10000+ROW(),"")</f>
        <v/>
      </c>
      <c r="R889">
        <f>IF(AND(Q889&lt;&gt;"",ISNUMBER(D889)),Q889,"")</f>
        <v/>
      </c>
      <c r="S889">
        <f>IF(AND(Q889&lt;&gt;"",ISNUMBER(E889)),Q889,"")</f>
        <v/>
      </c>
      <c r="T889">
        <f>IF(AND(Q889&lt;&gt;"",ISNUMBER(F889)),Q889,"")</f>
        <v/>
      </c>
      <c r="U889">
        <f>IF(AND(Q889&lt;&gt;"",ISNUMBER(G889)),Q889,"")</f>
        <v/>
      </c>
      <c r="V889">
        <f>IF(AND(Q889&lt;&gt;"",ISNUMBER(H889)),Q889,"")</f>
        <v/>
      </c>
      <c r="W889">
        <f>IF(AND(Q889&lt;&gt;"",ISNUMBER(I889)),Q889,"")</f>
        <v/>
      </c>
      <c r="X889">
        <f>IF(AND(Q889&lt;&gt;"",ISNUMBER(J889)),Q889,"")</f>
        <v/>
      </c>
      <c r="Y889">
        <f>IF(AND(Q889&lt;&gt;"",ISNUMBER(K889)),Q889,"")</f>
        <v/>
      </c>
      <c r="Z889">
        <f>IF(AND(Q889&lt;&gt;"",ISNUMBER(L889)),Q889,"")</f>
        <v/>
      </c>
      <c r="AA889">
        <f>IF(AND(Q889&lt;&gt;"",ISNUMBER(M889)),Q889,"")</f>
        <v/>
      </c>
      <c r="AB889">
        <f>IF(AND(Q889&lt;&gt;"",ISNUMBER(K889)),K889,"")</f>
        <v/>
      </c>
      <c r="AC889">
        <f>IF(AND(Q889&lt;&gt;"",ISNUMBER(L889)),L889,"")</f>
        <v/>
      </c>
      <c r="AD889">
        <f>IF(AND(Q889&lt;&gt;"",ISNUMBER(M889)),M889,"")</f>
        <v/>
      </c>
    </row>
    <row r="890">
      <c r="A890" s="1" t="n"/>
      <c r="B890" s="17" t="n"/>
      <c r="C890" s="27" t="n"/>
      <c r="D890" s="28" t="n"/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9" t="n"/>
      <c r="N890" s="21" t="n"/>
      <c r="O890" s="12">
        <f>IF(AND(B890="",C890=""),"",IF(NOT(ISNUMBER(B890)),"Needs a date",IF(C890="","Needs a client",IF(COUNTIF(Clients!$B$6:$B$105,C890)=0,"Not on Clients",IF(COUNT(D890:M890)=0,"Nothing measured","")))))</f>
        <v/>
      </c>
      <c r="P890" s="1">
        <f>IF(AND(O890="",ISNUMBER(B890)),INT(B890),0)</f>
        <v/>
      </c>
      <c r="Q890">
        <f>IF(AND(P890&gt;0,C890=Report!$C$5),P890*10000+ROW(),"")</f>
        <v/>
      </c>
      <c r="R890">
        <f>IF(AND(Q890&lt;&gt;"",ISNUMBER(D890)),Q890,"")</f>
        <v/>
      </c>
      <c r="S890">
        <f>IF(AND(Q890&lt;&gt;"",ISNUMBER(E890)),Q890,"")</f>
        <v/>
      </c>
      <c r="T890">
        <f>IF(AND(Q890&lt;&gt;"",ISNUMBER(F890)),Q890,"")</f>
        <v/>
      </c>
      <c r="U890">
        <f>IF(AND(Q890&lt;&gt;"",ISNUMBER(G890)),Q890,"")</f>
        <v/>
      </c>
      <c r="V890">
        <f>IF(AND(Q890&lt;&gt;"",ISNUMBER(H890)),Q890,"")</f>
        <v/>
      </c>
      <c r="W890">
        <f>IF(AND(Q890&lt;&gt;"",ISNUMBER(I890)),Q890,"")</f>
        <v/>
      </c>
      <c r="X890">
        <f>IF(AND(Q890&lt;&gt;"",ISNUMBER(J890)),Q890,"")</f>
        <v/>
      </c>
      <c r="Y890">
        <f>IF(AND(Q890&lt;&gt;"",ISNUMBER(K890)),Q890,"")</f>
        <v/>
      </c>
      <c r="Z890">
        <f>IF(AND(Q890&lt;&gt;"",ISNUMBER(L890)),Q890,"")</f>
        <v/>
      </c>
      <c r="AA890">
        <f>IF(AND(Q890&lt;&gt;"",ISNUMBER(M890)),Q890,"")</f>
        <v/>
      </c>
      <c r="AB890">
        <f>IF(AND(Q890&lt;&gt;"",ISNUMBER(K890)),K890,"")</f>
        <v/>
      </c>
      <c r="AC890">
        <f>IF(AND(Q890&lt;&gt;"",ISNUMBER(L890)),L890,"")</f>
        <v/>
      </c>
      <c r="AD890">
        <f>IF(AND(Q890&lt;&gt;"",ISNUMBER(M890)),M890,"")</f>
        <v/>
      </c>
    </row>
    <row r="891">
      <c r="A891" s="1" t="n"/>
      <c r="B891" s="17" t="n"/>
      <c r="C891" s="27" t="n"/>
      <c r="D891" s="28" t="n"/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9" t="n"/>
      <c r="N891" s="21" t="n"/>
      <c r="O891" s="12">
        <f>IF(AND(B891="",C891=""),"",IF(NOT(ISNUMBER(B891)),"Needs a date",IF(C891="","Needs a client",IF(COUNTIF(Clients!$B$6:$B$105,C891)=0,"Not on Clients",IF(COUNT(D891:M891)=0,"Nothing measured","")))))</f>
        <v/>
      </c>
      <c r="P891" s="1">
        <f>IF(AND(O891="",ISNUMBER(B891)),INT(B891),0)</f>
        <v/>
      </c>
      <c r="Q891">
        <f>IF(AND(P891&gt;0,C891=Report!$C$5),P891*10000+ROW(),"")</f>
        <v/>
      </c>
      <c r="R891">
        <f>IF(AND(Q891&lt;&gt;"",ISNUMBER(D891)),Q891,"")</f>
        <v/>
      </c>
      <c r="S891">
        <f>IF(AND(Q891&lt;&gt;"",ISNUMBER(E891)),Q891,"")</f>
        <v/>
      </c>
      <c r="T891">
        <f>IF(AND(Q891&lt;&gt;"",ISNUMBER(F891)),Q891,"")</f>
        <v/>
      </c>
      <c r="U891">
        <f>IF(AND(Q891&lt;&gt;"",ISNUMBER(G891)),Q891,"")</f>
        <v/>
      </c>
      <c r="V891">
        <f>IF(AND(Q891&lt;&gt;"",ISNUMBER(H891)),Q891,"")</f>
        <v/>
      </c>
      <c r="W891">
        <f>IF(AND(Q891&lt;&gt;"",ISNUMBER(I891)),Q891,"")</f>
        <v/>
      </c>
      <c r="X891">
        <f>IF(AND(Q891&lt;&gt;"",ISNUMBER(J891)),Q891,"")</f>
        <v/>
      </c>
      <c r="Y891">
        <f>IF(AND(Q891&lt;&gt;"",ISNUMBER(K891)),Q891,"")</f>
        <v/>
      </c>
      <c r="Z891">
        <f>IF(AND(Q891&lt;&gt;"",ISNUMBER(L891)),Q891,"")</f>
        <v/>
      </c>
      <c r="AA891">
        <f>IF(AND(Q891&lt;&gt;"",ISNUMBER(M891)),Q891,"")</f>
        <v/>
      </c>
      <c r="AB891">
        <f>IF(AND(Q891&lt;&gt;"",ISNUMBER(K891)),K891,"")</f>
        <v/>
      </c>
      <c r="AC891">
        <f>IF(AND(Q891&lt;&gt;"",ISNUMBER(L891)),L891,"")</f>
        <v/>
      </c>
      <c r="AD891">
        <f>IF(AND(Q891&lt;&gt;"",ISNUMBER(M891)),M891,"")</f>
        <v/>
      </c>
    </row>
    <row r="892">
      <c r="A892" s="1" t="n"/>
      <c r="B892" s="17" t="n"/>
      <c r="C892" s="27" t="n"/>
      <c r="D892" s="2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9" t="n"/>
      <c r="N892" s="21" t="n"/>
      <c r="O892" s="12">
        <f>IF(AND(B892="",C892=""),"",IF(NOT(ISNUMBER(B892)),"Needs a date",IF(C892="","Needs a client",IF(COUNTIF(Clients!$B$6:$B$105,C892)=0,"Not on Clients",IF(COUNT(D892:M892)=0,"Nothing measured","")))))</f>
        <v/>
      </c>
      <c r="P892" s="1">
        <f>IF(AND(O892="",ISNUMBER(B892)),INT(B892),0)</f>
        <v/>
      </c>
      <c r="Q892">
        <f>IF(AND(P892&gt;0,C892=Report!$C$5),P892*10000+ROW(),"")</f>
        <v/>
      </c>
      <c r="R892">
        <f>IF(AND(Q892&lt;&gt;"",ISNUMBER(D892)),Q892,"")</f>
        <v/>
      </c>
      <c r="S892">
        <f>IF(AND(Q892&lt;&gt;"",ISNUMBER(E892)),Q892,"")</f>
        <v/>
      </c>
      <c r="T892">
        <f>IF(AND(Q892&lt;&gt;"",ISNUMBER(F892)),Q892,"")</f>
        <v/>
      </c>
      <c r="U892">
        <f>IF(AND(Q892&lt;&gt;"",ISNUMBER(G892)),Q892,"")</f>
        <v/>
      </c>
      <c r="V892">
        <f>IF(AND(Q892&lt;&gt;"",ISNUMBER(H892)),Q892,"")</f>
        <v/>
      </c>
      <c r="W892">
        <f>IF(AND(Q892&lt;&gt;"",ISNUMBER(I892)),Q892,"")</f>
        <v/>
      </c>
      <c r="X892">
        <f>IF(AND(Q892&lt;&gt;"",ISNUMBER(J892)),Q892,"")</f>
        <v/>
      </c>
      <c r="Y892">
        <f>IF(AND(Q892&lt;&gt;"",ISNUMBER(K892)),Q892,"")</f>
        <v/>
      </c>
      <c r="Z892">
        <f>IF(AND(Q892&lt;&gt;"",ISNUMBER(L892)),Q892,"")</f>
        <v/>
      </c>
      <c r="AA892">
        <f>IF(AND(Q892&lt;&gt;"",ISNUMBER(M892)),Q892,"")</f>
        <v/>
      </c>
      <c r="AB892">
        <f>IF(AND(Q892&lt;&gt;"",ISNUMBER(K892)),K892,"")</f>
        <v/>
      </c>
      <c r="AC892">
        <f>IF(AND(Q892&lt;&gt;"",ISNUMBER(L892)),L892,"")</f>
        <v/>
      </c>
      <c r="AD892">
        <f>IF(AND(Q892&lt;&gt;"",ISNUMBER(M892)),M892,"")</f>
        <v/>
      </c>
    </row>
    <row r="893">
      <c r="A893" s="1" t="n"/>
      <c r="B893" s="17" t="n"/>
      <c r="C893" s="27" t="n"/>
      <c r="D893" s="28" t="n"/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9" t="n"/>
      <c r="N893" s="21" t="n"/>
      <c r="O893" s="12">
        <f>IF(AND(B893="",C893=""),"",IF(NOT(ISNUMBER(B893)),"Needs a date",IF(C893="","Needs a client",IF(COUNTIF(Clients!$B$6:$B$105,C893)=0,"Not on Clients",IF(COUNT(D893:M893)=0,"Nothing measured","")))))</f>
        <v/>
      </c>
      <c r="P893" s="1">
        <f>IF(AND(O893="",ISNUMBER(B893)),INT(B893),0)</f>
        <v/>
      </c>
      <c r="Q893">
        <f>IF(AND(P893&gt;0,C893=Report!$C$5),P893*10000+ROW(),"")</f>
        <v/>
      </c>
      <c r="R893">
        <f>IF(AND(Q893&lt;&gt;"",ISNUMBER(D893)),Q893,"")</f>
        <v/>
      </c>
      <c r="S893">
        <f>IF(AND(Q893&lt;&gt;"",ISNUMBER(E893)),Q893,"")</f>
        <v/>
      </c>
      <c r="T893">
        <f>IF(AND(Q893&lt;&gt;"",ISNUMBER(F893)),Q893,"")</f>
        <v/>
      </c>
      <c r="U893">
        <f>IF(AND(Q893&lt;&gt;"",ISNUMBER(G893)),Q893,"")</f>
        <v/>
      </c>
      <c r="V893">
        <f>IF(AND(Q893&lt;&gt;"",ISNUMBER(H893)),Q893,"")</f>
        <v/>
      </c>
      <c r="W893">
        <f>IF(AND(Q893&lt;&gt;"",ISNUMBER(I893)),Q893,"")</f>
        <v/>
      </c>
      <c r="X893">
        <f>IF(AND(Q893&lt;&gt;"",ISNUMBER(J893)),Q893,"")</f>
        <v/>
      </c>
      <c r="Y893">
        <f>IF(AND(Q893&lt;&gt;"",ISNUMBER(K893)),Q893,"")</f>
        <v/>
      </c>
      <c r="Z893">
        <f>IF(AND(Q893&lt;&gt;"",ISNUMBER(L893)),Q893,"")</f>
        <v/>
      </c>
      <c r="AA893">
        <f>IF(AND(Q893&lt;&gt;"",ISNUMBER(M893)),Q893,"")</f>
        <v/>
      </c>
      <c r="AB893">
        <f>IF(AND(Q893&lt;&gt;"",ISNUMBER(K893)),K893,"")</f>
        <v/>
      </c>
      <c r="AC893">
        <f>IF(AND(Q893&lt;&gt;"",ISNUMBER(L893)),L893,"")</f>
        <v/>
      </c>
      <c r="AD893">
        <f>IF(AND(Q893&lt;&gt;"",ISNUMBER(M893)),M893,"")</f>
        <v/>
      </c>
    </row>
    <row r="894">
      <c r="A894" s="1" t="n"/>
      <c r="B894" s="17" t="n"/>
      <c r="C894" s="27" t="n"/>
      <c r="D894" s="28" t="n"/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9" t="n"/>
      <c r="N894" s="21" t="n"/>
      <c r="O894" s="12">
        <f>IF(AND(B894="",C894=""),"",IF(NOT(ISNUMBER(B894)),"Needs a date",IF(C894="","Needs a client",IF(COUNTIF(Clients!$B$6:$B$105,C894)=0,"Not on Clients",IF(COUNT(D894:M894)=0,"Nothing measured","")))))</f>
        <v/>
      </c>
      <c r="P894" s="1">
        <f>IF(AND(O894="",ISNUMBER(B894)),INT(B894),0)</f>
        <v/>
      </c>
      <c r="Q894">
        <f>IF(AND(P894&gt;0,C894=Report!$C$5),P894*10000+ROW(),"")</f>
        <v/>
      </c>
      <c r="R894">
        <f>IF(AND(Q894&lt;&gt;"",ISNUMBER(D894)),Q894,"")</f>
        <v/>
      </c>
      <c r="S894">
        <f>IF(AND(Q894&lt;&gt;"",ISNUMBER(E894)),Q894,"")</f>
        <v/>
      </c>
      <c r="T894">
        <f>IF(AND(Q894&lt;&gt;"",ISNUMBER(F894)),Q894,"")</f>
        <v/>
      </c>
      <c r="U894">
        <f>IF(AND(Q894&lt;&gt;"",ISNUMBER(G894)),Q894,"")</f>
        <v/>
      </c>
      <c r="V894">
        <f>IF(AND(Q894&lt;&gt;"",ISNUMBER(H894)),Q894,"")</f>
        <v/>
      </c>
      <c r="W894">
        <f>IF(AND(Q894&lt;&gt;"",ISNUMBER(I894)),Q894,"")</f>
        <v/>
      </c>
      <c r="X894">
        <f>IF(AND(Q894&lt;&gt;"",ISNUMBER(J894)),Q894,"")</f>
        <v/>
      </c>
      <c r="Y894">
        <f>IF(AND(Q894&lt;&gt;"",ISNUMBER(K894)),Q894,"")</f>
        <v/>
      </c>
      <c r="Z894">
        <f>IF(AND(Q894&lt;&gt;"",ISNUMBER(L894)),Q894,"")</f>
        <v/>
      </c>
      <c r="AA894">
        <f>IF(AND(Q894&lt;&gt;"",ISNUMBER(M894)),Q894,"")</f>
        <v/>
      </c>
      <c r="AB894">
        <f>IF(AND(Q894&lt;&gt;"",ISNUMBER(K894)),K894,"")</f>
        <v/>
      </c>
      <c r="AC894">
        <f>IF(AND(Q894&lt;&gt;"",ISNUMBER(L894)),L894,"")</f>
        <v/>
      </c>
      <c r="AD894">
        <f>IF(AND(Q894&lt;&gt;"",ISNUMBER(M894)),M894,"")</f>
        <v/>
      </c>
    </row>
    <row r="895">
      <c r="A895" s="1" t="n"/>
      <c r="B895" s="17" t="n"/>
      <c r="C895" s="27" t="n"/>
      <c r="D895" s="2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9" t="n"/>
      <c r="N895" s="21" t="n"/>
      <c r="O895" s="12">
        <f>IF(AND(B895="",C895=""),"",IF(NOT(ISNUMBER(B895)),"Needs a date",IF(C895="","Needs a client",IF(COUNTIF(Clients!$B$6:$B$105,C895)=0,"Not on Clients",IF(COUNT(D895:M895)=0,"Nothing measured","")))))</f>
        <v/>
      </c>
      <c r="P895" s="1">
        <f>IF(AND(O895="",ISNUMBER(B895)),INT(B895),0)</f>
        <v/>
      </c>
      <c r="Q895">
        <f>IF(AND(P895&gt;0,C895=Report!$C$5),P895*10000+ROW(),"")</f>
        <v/>
      </c>
      <c r="R895">
        <f>IF(AND(Q895&lt;&gt;"",ISNUMBER(D895)),Q895,"")</f>
        <v/>
      </c>
      <c r="S895">
        <f>IF(AND(Q895&lt;&gt;"",ISNUMBER(E895)),Q895,"")</f>
        <v/>
      </c>
      <c r="T895">
        <f>IF(AND(Q895&lt;&gt;"",ISNUMBER(F895)),Q895,"")</f>
        <v/>
      </c>
      <c r="U895">
        <f>IF(AND(Q895&lt;&gt;"",ISNUMBER(G895)),Q895,"")</f>
        <v/>
      </c>
      <c r="V895">
        <f>IF(AND(Q895&lt;&gt;"",ISNUMBER(H895)),Q895,"")</f>
        <v/>
      </c>
      <c r="W895">
        <f>IF(AND(Q895&lt;&gt;"",ISNUMBER(I895)),Q895,"")</f>
        <v/>
      </c>
      <c r="X895">
        <f>IF(AND(Q895&lt;&gt;"",ISNUMBER(J895)),Q895,"")</f>
        <v/>
      </c>
      <c r="Y895">
        <f>IF(AND(Q895&lt;&gt;"",ISNUMBER(K895)),Q895,"")</f>
        <v/>
      </c>
      <c r="Z895">
        <f>IF(AND(Q895&lt;&gt;"",ISNUMBER(L895)),Q895,"")</f>
        <v/>
      </c>
      <c r="AA895">
        <f>IF(AND(Q895&lt;&gt;"",ISNUMBER(M895)),Q895,"")</f>
        <v/>
      </c>
      <c r="AB895">
        <f>IF(AND(Q895&lt;&gt;"",ISNUMBER(K895)),K895,"")</f>
        <v/>
      </c>
      <c r="AC895">
        <f>IF(AND(Q895&lt;&gt;"",ISNUMBER(L895)),L895,"")</f>
        <v/>
      </c>
      <c r="AD895">
        <f>IF(AND(Q895&lt;&gt;"",ISNUMBER(M895)),M895,"")</f>
        <v/>
      </c>
    </row>
    <row r="896">
      <c r="A896" s="1" t="n"/>
      <c r="B896" s="17" t="n"/>
      <c r="C896" s="27" t="n"/>
      <c r="D896" s="28" t="n"/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9" t="n"/>
      <c r="N896" s="21" t="n"/>
      <c r="O896" s="12">
        <f>IF(AND(B896="",C896=""),"",IF(NOT(ISNUMBER(B896)),"Needs a date",IF(C896="","Needs a client",IF(COUNTIF(Clients!$B$6:$B$105,C896)=0,"Not on Clients",IF(COUNT(D896:M896)=0,"Nothing measured","")))))</f>
        <v/>
      </c>
      <c r="P896" s="1">
        <f>IF(AND(O896="",ISNUMBER(B896)),INT(B896),0)</f>
        <v/>
      </c>
      <c r="Q896">
        <f>IF(AND(P896&gt;0,C896=Report!$C$5),P896*10000+ROW(),"")</f>
        <v/>
      </c>
      <c r="R896">
        <f>IF(AND(Q896&lt;&gt;"",ISNUMBER(D896)),Q896,"")</f>
        <v/>
      </c>
      <c r="S896">
        <f>IF(AND(Q896&lt;&gt;"",ISNUMBER(E896)),Q896,"")</f>
        <v/>
      </c>
      <c r="T896">
        <f>IF(AND(Q896&lt;&gt;"",ISNUMBER(F896)),Q896,"")</f>
        <v/>
      </c>
      <c r="U896">
        <f>IF(AND(Q896&lt;&gt;"",ISNUMBER(G896)),Q896,"")</f>
        <v/>
      </c>
      <c r="V896">
        <f>IF(AND(Q896&lt;&gt;"",ISNUMBER(H896)),Q896,"")</f>
        <v/>
      </c>
      <c r="W896">
        <f>IF(AND(Q896&lt;&gt;"",ISNUMBER(I896)),Q896,"")</f>
        <v/>
      </c>
      <c r="X896">
        <f>IF(AND(Q896&lt;&gt;"",ISNUMBER(J896)),Q896,"")</f>
        <v/>
      </c>
      <c r="Y896">
        <f>IF(AND(Q896&lt;&gt;"",ISNUMBER(K896)),Q896,"")</f>
        <v/>
      </c>
      <c r="Z896">
        <f>IF(AND(Q896&lt;&gt;"",ISNUMBER(L896)),Q896,"")</f>
        <v/>
      </c>
      <c r="AA896">
        <f>IF(AND(Q896&lt;&gt;"",ISNUMBER(M896)),Q896,"")</f>
        <v/>
      </c>
      <c r="AB896">
        <f>IF(AND(Q896&lt;&gt;"",ISNUMBER(K896)),K896,"")</f>
        <v/>
      </c>
      <c r="AC896">
        <f>IF(AND(Q896&lt;&gt;"",ISNUMBER(L896)),L896,"")</f>
        <v/>
      </c>
      <c r="AD896">
        <f>IF(AND(Q896&lt;&gt;"",ISNUMBER(M896)),M896,"")</f>
        <v/>
      </c>
    </row>
    <row r="897">
      <c r="A897" s="1" t="n"/>
      <c r="B897" s="17" t="n"/>
      <c r="C897" s="27" t="n"/>
      <c r="D897" s="2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9" t="n"/>
      <c r="N897" s="21" t="n"/>
      <c r="O897" s="12">
        <f>IF(AND(B897="",C897=""),"",IF(NOT(ISNUMBER(B897)),"Needs a date",IF(C897="","Needs a client",IF(COUNTIF(Clients!$B$6:$B$105,C897)=0,"Not on Clients",IF(COUNT(D897:M897)=0,"Nothing measured","")))))</f>
        <v/>
      </c>
      <c r="P897" s="1">
        <f>IF(AND(O897="",ISNUMBER(B897)),INT(B897),0)</f>
        <v/>
      </c>
      <c r="Q897">
        <f>IF(AND(P897&gt;0,C897=Report!$C$5),P897*10000+ROW(),"")</f>
        <v/>
      </c>
      <c r="R897">
        <f>IF(AND(Q897&lt;&gt;"",ISNUMBER(D897)),Q897,"")</f>
        <v/>
      </c>
      <c r="S897">
        <f>IF(AND(Q897&lt;&gt;"",ISNUMBER(E897)),Q897,"")</f>
        <v/>
      </c>
      <c r="T897">
        <f>IF(AND(Q897&lt;&gt;"",ISNUMBER(F897)),Q897,"")</f>
        <v/>
      </c>
      <c r="U897">
        <f>IF(AND(Q897&lt;&gt;"",ISNUMBER(G897)),Q897,"")</f>
        <v/>
      </c>
      <c r="V897">
        <f>IF(AND(Q897&lt;&gt;"",ISNUMBER(H897)),Q897,"")</f>
        <v/>
      </c>
      <c r="W897">
        <f>IF(AND(Q897&lt;&gt;"",ISNUMBER(I897)),Q897,"")</f>
        <v/>
      </c>
      <c r="X897">
        <f>IF(AND(Q897&lt;&gt;"",ISNUMBER(J897)),Q897,"")</f>
        <v/>
      </c>
      <c r="Y897">
        <f>IF(AND(Q897&lt;&gt;"",ISNUMBER(K897)),Q897,"")</f>
        <v/>
      </c>
      <c r="Z897">
        <f>IF(AND(Q897&lt;&gt;"",ISNUMBER(L897)),Q897,"")</f>
        <v/>
      </c>
      <c r="AA897">
        <f>IF(AND(Q897&lt;&gt;"",ISNUMBER(M897)),Q897,"")</f>
        <v/>
      </c>
      <c r="AB897">
        <f>IF(AND(Q897&lt;&gt;"",ISNUMBER(K897)),K897,"")</f>
        <v/>
      </c>
      <c r="AC897">
        <f>IF(AND(Q897&lt;&gt;"",ISNUMBER(L897)),L897,"")</f>
        <v/>
      </c>
      <c r="AD897">
        <f>IF(AND(Q897&lt;&gt;"",ISNUMBER(M897)),M897,"")</f>
        <v/>
      </c>
    </row>
    <row r="898">
      <c r="A898" s="1" t="n"/>
      <c r="B898" s="17" t="n"/>
      <c r="C898" s="27" t="n"/>
      <c r="D898" s="2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9" t="n"/>
      <c r="N898" s="21" t="n"/>
      <c r="O898" s="12">
        <f>IF(AND(B898="",C898=""),"",IF(NOT(ISNUMBER(B898)),"Needs a date",IF(C898="","Needs a client",IF(COUNTIF(Clients!$B$6:$B$105,C898)=0,"Not on Clients",IF(COUNT(D898:M898)=0,"Nothing measured","")))))</f>
        <v/>
      </c>
      <c r="P898" s="1">
        <f>IF(AND(O898="",ISNUMBER(B898)),INT(B898),0)</f>
        <v/>
      </c>
      <c r="Q898">
        <f>IF(AND(P898&gt;0,C898=Report!$C$5),P898*10000+ROW(),"")</f>
        <v/>
      </c>
      <c r="R898">
        <f>IF(AND(Q898&lt;&gt;"",ISNUMBER(D898)),Q898,"")</f>
        <v/>
      </c>
      <c r="S898">
        <f>IF(AND(Q898&lt;&gt;"",ISNUMBER(E898)),Q898,"")</f>
        <v/>
      </c>
      <c r="T898">
        <f>IF(AND(Q898&lt;&gt;"",ISNUMBER(F898)),Q898,"")</f>
        <v/>
      </c>
      <c r="U898">
        <f>IF(AND(Q898&lt;&gt;"",ISNUMBER(G898)),Q898,"")</f>
        <v/>
      </c>
      <c r="V898">
        <f>IF(AND(Q898&lt;&gt;"",ISNUMBER(H898)),Q898,"")</f>
        <v/>
      </c>
      <c r="W898">
        <f>IF(AND(Q898&lt;&gt;"",ISNUMBER(I898)),Q898,"")</f>
        <v/>
      </c>
      <c r="X898">
        <f>IF(AND(Q898&lt;&gt;"",ISNUMBER(J898)),Q898,"")</f>
        <v/>
      </c>
      <c r="Y898">
        <f>IF(AND(Q898&lt;&gt;"",ISNUMBER(K898)),Q898,"")</f>
        <v/>
      </c>
      <c r="Z898">
        <f>IF(AND(Q898&lt;&gt;"",ISNUMBER(L898)),Q898,"")</f>
        <v/>
      </c>
      <c r="AA898">
        <f>IF(AND(Q898&lt;&gt;"",ISNUMBER(M898)),Q898,"")</f>
        <v/>
      </c>
      <c r="AB898">
        <f>IF(AND(Q898&lt;&gt;"",ISNUMBER(K898)),K898,"")</f>
        <v/>
      </c>
      <c r="AC898">
        <f>IF(AND(Q898&lt;&gt;"",ISNUMBER(L898)),L898,"")</f>
        <v/>
      </c>
      <c r="AD898">
        <f>IF(AND(Q898&lt;&gt;"",ISNUMBER(M898)),M898,"")</f>
        <v/>
      </c>
    </row>
    <row r="899">
      <c r="A899" s="1" t="n"/>
      <c r="B899" s="17" t="n"/>
      <c r="C899" s="27" t="n"/>
      <c r="D899" s="2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9" t="n"/>
      <c r="N899" s="21" t="n"/>
      <c r="O899" s="12">
        <f>IF(AND(B899="",C899=""),"",IF(NOT(ISNUMBER(B899)),"Needs a date",IF(C899="","Needs a client",IF(COUNTIF(Clients!$B$6:$B$105,C899)=0,"Not on Clients",IF(COUNT(D899:M899)=0,"Nothing measured","")))))</f>
        <v/>
      </c>
      <c r="P899" s="1">
        <f>IF(AND(O899="",ISNUMBER(B899)),INT(B899),0)</f>
        <v/>
      </c>
      <c r="Q899">
        <f>IF(AND(P899&gt;0,C899=Report!$C$5),P899*10000+ROW(),"")</f>
        <v/>
      </c>
      <c r="R899">
        <f>IF(AND(Q899&lt;&gt;"",ISNUMBER(D899)),Q899,"")</f>
        <v/>
      </c>
      <c r="S899">
        <f>IF(AND(Q899&lt;&gt;"",ISNUMBER(E899)),Q899,"")</f>
        <v/>
      </c>
      <c r="T899">
        <f>IF(AND(Q899&lt;&gt;"",ISNUMBER(F899)),Q899,"")</f>
        <v/>
      </c>
      <c r="U899">
        <f>IF(AND(Q899&lt;&gt;"",ISNUMBER(G899)),Q899,"")</f>
        <v/>
      </c>
      <c r="V899">
        <f>IF(AND(Q899&lt;&gt;"",ISNUMBER(H899)),Q899,"")</f>
        <v/>
      </c>
      <c r="W899">
        <f>IF(AND(Q899&lt;&gt;"",ISNUMBER(I899)),Q899,"")</f>
        <v/>
      </c>
      <c r="X899">
        <f>IF(AND(Q899&lt;&gt;"",ISNUMBER(J899)),Q899,"")</f>
        <v/>
      </c>
      <c r="Y899">
        <f>IF(AND(Q899&lt;&gt;"",ISNUMBER(K899)),Q899,"")</f>
        <v/>
      </c>
      <c r="Z899">
        <f>IF(AND(Q899&lt;&gt;"",ISNUMBER(L899)),Q899,"")</f>
        <v/>
      </c>
      <c r="AA899">
        <f>IF(AND(Q899&lt;&gt;"",ISNUMBER(M899)),Q899,"")</f>
        <v/>
      </c>
      <c r="AB899">
        <f>IF(AND(Q899&lt;&gt;"",ISNUMBER(K899)),K899,"")</f>
        <v/>
      </c>
      <c r="AC899">
        <f>IF(AND(Q899&lt;&gt;"",ISNUMBER(L899)),L899,"")</f>
        <v/>
      </c>
      <c r="AD899">
        <f>IF(AND(Q899&lt;&gt;"",ISNUMBER(M899)),M899,"")</f>
        <v/>
      </c>
    </row>
    <row r="900">
      <c r="A900" s="1" t="n"/>
      <c r="B900" s="17" t="n"/>
      <c r="C900" s="27" t="n"/>
      <c r="D900" s="28" t="n"/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9" t="n"/>
      <c r="N900" s="21" t="n"/>
      <c r="O900" s="12">
        <f>IF(AND(B900="",C900=""),"",IF(NOT(ISNUMBER(B900)),"Needs a date",IF(C900="","Needs a client",IF(COUNTIF(Clients!$B$6:$B$105,C900)=0,"Not on Clients",IF(COUNT(D900:M900)=0,"Nothing measured","")))))</f>
        <v/>
      </c>
      <c r="P900" s="1">
        <f>IF(AND(O900="",ISNUMBER(B900)),INT(B900),0)</f>
        <v/>
      </c>
      <c r="Q900">
        <f>IF(AND(P900&gt;0,C900=Report!$C$5),P900*10000+ROW(),"")</f>
        <v/>
      </c>
      <c r="R900">
        <f>IF(AND(Q900&lt;&gt;"",ISNUMBER(D900)),Q900,"")</f>
        <v/>
      </c>
      <c r="S900">
        <f>IF(AND(Q900&lt;&gt;"",ISNUMBER(E900)),Q900,"")</f>
        <v/>
      </c>
      <c r="T900">
        <f>IF(AND(Q900&lt;&gt;"",ISNUMBER(F900)),Q900,"")</f>
        <v/>
      </c>
      <c r="U900">
        <f>IF(AND(Q900&lt;&gt;"",ISNUMBER(G900)),Q900,"")</f>
        <v/>
      </c>
      <c r="V900">
        <f>IF(AND(Q900&lt;&gt;"",ISNUMBER(H900)),Q900,"")</f>
        <v/>
      </c>
      <c r="W900">
        <f>IF(AND(Q900&lt;&gt;"",ISNUMBER(I900)),Q900,"")</f>
        <v/>
      </c>
      <c r="X900">
        <f>IF(AND(Q900&lt;&gt;"",ISNUMBER(J900)),Q900,"")</f>
        <v/>
      </c>
      <c r="Y900">
        <f>IF(AND(Q900&lt;&gt;"",ISNUMBER(K900)),Q900,"")</f>
        <v/>
      </c>
      <c r="Z900">
        <f>IF(AND(Q900&lt;&gt;"",ISNUMBER(L900)),Q900,"")</f>
        <v/>
      </c>
      <c r="AA900">
        <f>IF(AND(Q900&lt;&gt;"",ISNUMBER(M900)),Q900,"")</f>
        <v/>
      </c>
      <c r="AB900">
        <f>IF(AND(Q900&lt;&gt;"",ISNUMBER(K900)),K900,"")</f>
        <v/>
      </c>
      <c r="AC900">
        <f>IF(AND(Q900&lt;&gt;"",ISNUMBER(L900)),L900,"")</f>
        <v/>
      </c>
      <c r="AD900">
        <f>IF(AND(Q900&lt;&gt;"",ISNUMBER(M900)),M900,"")</f>
        <v/>
      </c>
    </row>
    <row r="901">
      <c r="A901" s="1" t="n"/>
      <c r="B901" s="17" t="n"/>
      <c r="C901" s="27" t="n"/>
      <c r="D901" s="28" t="n"/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9" t="n"/>
      <c r="N901" s="21" t="n"/>
      <c r="O901" s="12">
        <f>IF(AND(B901="",C901=""),"",IF(NOT(ISNUMBER(B901)),"Needs a date",IF(C901="","Needs a client",IF(COUNTIF(Clients!$B$6:$B$105,C901)=0,"Not on Clients",IF(COUNT(D901:M901)=0,"Nothing measured","")))))</f>
        <v/>
      </c>
      <c r="P901" s="1">
        <f>IF(AND(O901="",ISNUMBER(B901)),INT(B901),0)</f>
        <v/>
      </c>
      <c r="Q901">
        <f>IF(AND(P901&gt;0,C901=Report!$C$5),P901*10000+ROW(),"")</f>
        <v/>
      </c>
      <c r="R901">
        <f>IF(AND(Q901&lt;&gt;"",ISNUMBER(D901)),Q901,"")</f>
        <v/>
      </c>
      <c r="S901">
        <f>IF(AND(Q901&lt;&gt;"",ISNUMBER(E901)),Q901,"")</f>
        <v/>
      </c>
      <c r="T901">
        <f>IF(AND(Q901&lt;&gt;"",ISNUMBER(F901)),Q901,"")</f>
        <v/>
      </c>
      <c r="U901">
        <f>IF(AND(Q901&lt;&gt;"",ISNUMBER(G901)),Q901,"")</f>
        <v/>
      </c>
      <c r="V901">
        <f>IF(AND(Q901&lt;&gt;"",ISNUMBER(H901)),Q901,"")</f>
        <v/>
      </c>
      <c r="W901">
        <f>IF(AND(Q901&lt;&gt;"",ISNUMBER(I901)),Q901,"")</f>
        <v/>
      </c>
      <c r="X901">
        <f>IF(AND(Q901&lt;&gt;"",ISNUMBER(J901)),Q901,"")</f>
        <v/>
      </c>
      <c r="Y901">
        <f>IF(AND(Q901&lt;&gt;"",ISNUMBER(K901)),Q901,"")</f>
        <v/>
      </c>
      <c r="Z901">
        <f>IF(AND(Q901&lt;&gt;"",ISNUMBER(L901)),Q901,"")</f>
        <v/>
      </c>
      <c r="AA901">
        <f>IF(AND(Q901&lt;&gt;"",ISNUMBER(M901)),Q901,"")</f>
        <v/>
      </c>
      <c r="AB901">
        <f>IF(AND(Q901&lt;&gt;"",ISNUMBER(K901)),K901,"")</f>
        <v/>
      </c>
      <c r="AC901">
        <f>IF(AND(Q901&lt;&gt;"",ISNUMBER(L901)),L901,"")</f>
        <v/>
      </c>
      <c r="AD901">
        <f>IF(AND(Q901&lt;&gt;"",ISNUMBER(M901)),M901,"")</f>
        <v/>
      </c>
    </row>
    <row r="902">
      <c r="A902" s="1" t="n"/>
      <c r="B902" s="17" t="n"/>
      <c r="C902" s="27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9" t="n"/>
      <c r="N902" s="21" t="n"/>
      <c r="O902" s="12">
        <f>IF(AND(B902="",C902=""),"",IF(NOT(ISNUMBER(B902)),"Needs a date",IF(C902="","Needs a client",IF(COUNTIF(Clients!$B$6:$B$105,C902)=0,"Not on Clients",IF(COUNT(D902:M902)=0,"Nothing measured","")))))</f>
        <v/>
      </c>
      <c r="P902" s="1">
        <f>IF(AND(O902="",ISNUMBER(B902)),INT(B902),0)</f>
        <v/>
      </c>
      <c r="Q902">
        <f>IF(AND(P902&gt;0,C902=Report!$C$5),P902*10000+ROW(),"")</f>
        <v/>
      </c>
      <c r="R902">
        <f>IF(AND(Q902&lt;&gt;"",ISNUMBER(D902)),Q902,"")</f>
        <v/>
      </c>
      <c r="S902">
        <f>IF(AND(Q902&lt;&gt;"",ISNUMBER(E902)),Q902,"")</f>
        <v/>
      </c>
      <c r="T902">
        <f>IF(AND(Q902&lt;&gt;"",ISNUMBER(F902)),Q902,"")</f>
        <v/>
      </c>
      <c r="U902">
        <f>IF(AND(Q902&lt;&gt;"",ISNUMBER(G902)),Q902,"")</f>
        <v/>
      </c>
      <c r="V902">
        <f>IF(AND(Q902&lt;&gt;"",ISNUMBER(H902)),Q902,"")</f>
        <v/>
      </c>
      <c r="W902">
        <f>IF(AND(Q902&lt;&gt;"",ISNUMBER(I902)),Q902,"")</f>
        <v/>
      </c>
      <c r="X902">
        <f>IF(AND(Q902&lt;&gt;"",ISNUMBER(J902)),Q902,"")</f>
        <v/>
      </c>
      <c r="Y902">
        <f>IF(AND(Q902&lt;&gt;"",ISNUMBER(K902)),Q902,"")</f>
        <v/>
      </c>
      <c r="Z902">
        <f>IF(AND(Q902&lt;&gt;"",ISNUMBER(L902)),Q902,"")</f>
        <v/>
      </c>
      <c r="AA902">
        <f>IF(AND(Q902&lt;&gt;"",ISNUMBER(M902)),Q902,"")</f>
        <v/>
      </c>
      <c r="AB902">
        <f>IF(AND(Q902&lt;&gt;"",ISNUMBER(K902)),K902,"")</f>
        <v/>
      </c>
      <c r="AC902">
        <f>IF(AND(Q902&lt;&gt;"",ISNUMBER(L902)),L902,"")</f>
        <v/>
      </c>
      <c r="AD902">
        <f>IF(AND(Q902&lt;&gt;"",ISNUMBER(M902)),M902,"")</f>
        <v/>
      </c>
    </row>
    <row r="903">
      <c r="A903" s="1" t="n"/>
      <c r="B903" s="17" t="n"/>
      <c r="C903" s="27" t="n"/>
      <c r="D903" s="28" t="n"/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9" t="n"/>
      <c r="N903" s="21" t="n"/>
      <c r="O903" s="12">
        <f>IF(AND(B903="",C903=""),"",IF(NOT(ISNUMBER(B903)),"Needs a date",IF(C903="","Needs a client",IF(COUNTIF(Clients!$B$6:$B$105,C903)=0,"Not on Clients",IF(COUNT(D903:M903)=0,"Nothing measured","")))))</f>
        <v/>
      </c>
      <c r="P903" s="1">
        <f>IF(AND(O903="",ISNUMBER(B903)),INT(B903),0)</f>
        <v/>
      </c>
      <c r="Q903">
        <f>IF(AND(P903&gt;0,C903=Report!$C$5),P903*10000+ROW(),"")</f>
        <v/>
      </c>
      <c r="R903">
        <f>IF(AND(Q903&lt;&gt;"",ISNUMBER(D903)),Q903,"")</f>
        <v/>
      </c>
      <c r="S903">
        <f>IF(AND(Q903&lt;&gt;"",ISNUMBER(E903)),Q903,"")</f>
        <v/>
      </c>
      <c r="T903">
        <f>IF(AND(Q903&lt;&gt;"",ISNUMBER(F903)),Q903,"")</f>
        <v/>
      </c>
      <c r="U903">
        <f>IF(AND(Q903&lt;&gt;"",ISNUMBER(G903)),Q903,"")</f>
        <v/>
      </c>
      <c r="V903">
        <f>IF(AND(Q903&lt;&gt;"",ISNUMBER(H903)),Q903,"")</f>
        <v/>
      </c>
      <c r="W903">
        <f>IF(AND(Q903&lt;&gt;"",ISNUMBER(I903)),Q903,"")</f>
        <v/>
      </c>
      <c r="X903">
        <f>IF(AND(Q903&lt;&gt;"",ISNUMBER(J903)),Q903,"")</f>
        <v/>
      </c>
      <c r="Y903">
        <f>IF(AND(Q903&lt;&gt;"",ISNUMBER(K903)),Q903,"")</f>
        <v/>
      </c>
      <c r="Z903">
        <f>IF(AND(Q903&lt;&gt;"",ISNUMBER(L903)),Q903,"")</f>
        <v/>
      </c>
      <c r="AA903">
        <f>IF(AND(Q903&lt;&gt;"",ISNUMBER(M903)),Q903,"")</f>
        <v/>
      </c>
      <c r="AB903">
        <f>IF(AND(Q903&lt;&gt;"",ISNUMBER(K903)),K903,"")</f>
        <v/>
      </c>
      <c r="AC903">
        <f>IF(AND(Q903&lt;&gt;"",ISNUMBER(L903)),L903,"")</f>
        <v/>
      </c>
      <c r="AD903">
        <f>IF(AND(Q903&lt;&gt;"",ISNUMBER(M903)),M903,"")</f>
        <v/>
      </c>
    </row>
    <row r="904">
      <c r="A904" s="1" t="n"/>
      <c r="B904" s="17" t="n"/>
      <c r="C904" s="27" t="n"/>
      <c r="D904" s="28" t="n"/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9" t="n"/>
      <c r="N904" s="21" t="n"/>
      <c r="O904" s="12">
        <f>IF(AND(B904="",C904=""),"",IF(NOT(ISNUMBER(B904)),"Needs a date",IF(C904="","Needs a client",IF(COUNTIF(Clients!$B$6:$B$105,C904)=0,"Not on Clients",IF(COUNT(D904:M904)=0,"Nothing measured","")))))</f>
        <v/>
      </c>
      <c r="P904" s="1">
        <f>IF(AND(O904="",ISNUMBER(B904)),INT(B904),0)</f>
        <v/>
      </c>
      <c r="Q904">
        <f>IF(AND(P904&gt;0,C904=Report!$C$5),P904*10000+ROW(),"")</f>
        <v/>
      </c>
      <c r="R904">
        <f>IF(AND(Q904&lt;&gt;"",ISNUMBER(D904)),Q904,"")</f>
        <v/>
      </c>
      <c r="S904">
        <f>IF(AND(Q904&lt;&gt;"",ISNUMBER(E904)),Q904,"")</f>
        <v/>
      </c>
      <c r="T904">
        <f>IF(AND(Q904&lt;&gt;"",ISNUMBER(F904)),Q904,"")</f>
        <v/>
      </c>
      <c r="U904">
        <f>IF(AND(Q904&lt;&gt;"",ISNUMBER(G904)),Q904,"")</f>
        <v/>
      </c>
      <c r="V904">
        <f>IF(AND(Q904&lt;&gt;"",ISNUMBER(H904)),Q904,"")</f>
        <v/>
      </c>
      <c r="W904">
        <f>IF(AND(Q904&lt;&gt;"",ISNUMBER(I904)),Q904,"")</f>
        <v/>
      </c>
      <c r="X904">
        <f>IF(AND(Q904&lt;&gt;"",ISNUMBER(J904)),Q904,"")</f>
        <v/>
      </c>
      <c r="Y904">
        <f>IF(AND(Q904&lt;&gt;"",ISNUMBER(K904)),Q904,"")</f>
        <v/>
      </c>
      <c r="Z904">
        <f>IF(AND(Q904&lt;&gt;"",ISNUMBER(L904)),Q904,"")</f>
        <v/>
      </c>
      <c r="AA904">
        <f>IF(AND(Q904&lt;&gt;"",ISNUMBER(M904)),Q904,"")</f>
        <v/>
      </c>
      <c r="AB904">
        <f>IF(AND(Q904&lt;&gt;"",ISNUMBER(K904)),K904,"")</f>
        <v/>
      </c>
      <c r="AC904">
        <f>IF(AND(Q904&lt;&gt;"",ISNUMBER(L904)),L904,"")</f>
        <v/>
      </c>
      <c r="AD904">
        <f>IF(AND(Q904&lt;&gt;"",ISNUMBER(M904)),M904,"")</f>
        <v/>
      </c>
    </row>
    <row r="905">
      <c r="A905" s="1" t="n"/>
      <c r="B905" s="17" t="n"/>
      <c r="C905" s="27" t="n"/>
      <c r="D905" s="2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9" t="n"/>
      <c r="N905" s="21" t="n"/>
      <c r="O905" s="12">
        <f>IF(AND(B905="",C905=""),"",IF(NOT(ISNUMBER(B905)),"Needs a date",IF(C905="","Needs a client",IF(COUNTIF(Clients!$B$6:$B$105,C905)=0,"Not on Clients",IF(COUNT(D905:M905)=0,"Nothing measured","")))))</f>
        <v/>
      </c>
      <c r="P905" s="1">
        <f>IF(AND(O905="",ISNUMBER(B905)),INT(B905),0)</f>
        <v/>
      </c>
      <c r="Q905">
        <f>IF(AND(P905&gt;0,C905=Report!$C$5),P905*10000+ROW(),"")</f>
        <v/>
      </c>
      <c r="R905">
        <f>IF(AND(Q905&lt;&gt;"",ISNUMBER(D905)),Q905,"")</f>
        <v/>
      </c>
      <c r="S905">
        <f>IF(AND(Q905&lt;&gt;"",ISNUMBER(E905)),Q905,"")</f>
        <v/>
      </c>
      <c r="T905">
        <f>IF(AND(Q905&lt;&gt;"",ISNUMBER(F905)),Q905,"")</f>
        <v/>
      </c>
      <c r="U905">
        <f>IF(AND(Q905&lt;&gt;"",ISNUMBER(G905)),Q905,"")</f>
        <v/>
      </c>
      <c r="V905">
        <f>IF(AND(Q905&lt;&gt;"",ISNUMBER(H905)),Q905,"")</f>
        <v/>
      </c>
      <c r="W905">
        <f>IF(AND(Q905&lt;&gt;"",ISNUMBER(I905)),Q905,"")</f>
        <v/>
      </c>
      <c r="X905">
        <f>IF(AND(Q905&lt;&gt;"",ISNUMBER(J905)),Q905,"")</f>
        <v/>
      </c>
      <c r="Y905">
        <f>IF(AND(Q905&lt;&gt;"",ISNUMBER(K905)),Q905,"")</f>
        <v/>
      </c>
      <c r="Z905">
        <f>IF(AND(Q905&lt;&gt;"",ISNUMBER(L905)),Q905,"")</f>
        <v/>
      </c>
      <c r="AA905">
        <f>IF(AND(Q905&lt;&gt;"",ISNUMBER(M905)),Q905,"")</f>
        <v/>
      </c>
      <c r="AB905">
        <f>IF(AND(Q905&lt;&gt;"",ISNUMBER(K905)),K905,"")</f>
        <v/>
      </c>
      <c r="AC905">
        <f>IF(AND(Q905&lt;&gt;"",ISNUMBER(L905)),L905,"")</f>
        <v/>
      </c>
      <c r="AD905">
        <f>IF(AND(Q905&lt;&gt;"",ISNUMBER(M905)),M905,"")</f>
        <v/>
      </c>
    </row>
    <row r="906">
      <c r="A906" s="1" t="n"/>
      <c r="B906" s="17" t="n"/>
      <c r="C906" s="27" t="n"/>
      <c r="D906" s="2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9" t="n"/>
      <c r="N906" s="21" t="n"/>
      <c r="O906" s="12">
        <f>IF(AND(B906="",C906=""),"",IF(NOT(ISNUMBER(B906)),"Needs a date",IF(C906="","Needs a client",IF(COUNTIF(Clients!$B$6:$B$105,C906)=0,"Not on Clients",IF(COUNT(D906:M906)=0,"Nothing measured","")))))</f>
        <v/>
      </c>
      <c r="P906" s="1">
        <f>IF(AND(O906="",ISNUMBER(B906)),INT(B906),0)</f>
        <v/>
      </c>
      <c r="Q906">
        <f>IF(AND(P906&gt;0,C906=Report!$C$5),P906*10000+ROW(),"")</f>
        <v/>
      </c>
      <c r="R906">
        <f>IF(AND(Q906&lt;&gt;"",ISNUMBER(D906)),Q906,"")</f>
        <v/>
      </c>
      <c r="S906">
        <f>IF(AND(Q906&lt;&gt;"",ISNUMBER(E906)),Q906,"")</f>
        <v/>
      </c>
      <c r="T906">
        <f>IF(AND(Q906&lt;&gt;"",ISNUMBER(F906)),Q906,"")</f>
        <v/>
      </c>
      <c r="U906">
        <f>IF(AND(Q906&lt;&gt;"",ISNUMBER(G906)),Q906,"")</f>
        <v/>
      </c>
      <c r="V906">
        <f>IF(AND(Q906&lt;&gt;"",ISNUMBER(H906)),Q906,"")</f>
        <v/>
      </c>
      <c r="W906">
        <f>IF(AND(Q906&lt;&gt;"",ISNUMBER(I906)),Q906,"")</f>
        <v/>
      </c>
      <c r="X906">
        <f>IF(AND(Q906&lt;&gt;"",ISNUMBER(J906)),Q906,"")</f>
        <v/>
      </c>
      <c r="Y906">
        <f>IF(AND(Q906&lt;&gt;"",ISNUMBER(K906)),Q906,"")</f>
        <v/>
      </c>
      <c r="Z906">
        <f>IF(AND(Q906&lt;&gt;"",ISNUMBER(L906)),Q906,"")</f>
        <v/>
      </c>
      <c r="AA906">
        <f>IF(AND(Q906&lt;&gt;"",ISNUMBER(M906)),Q906,"")</f>
        <v/>
      </c>
      <c r="AB906">
        <f>IF(AND(Q906&lt;&gt;"",ISNUMBER(K906)),K906,"")</f>
        <v/>
      </c>
      <c r="AC906">
        <f>IF(AND(Q906&lt;&gt;"",ISNUMBER(L906)),L906,"")</f>
        <v/>
      </c>
      <c r="AD906">
        <f>IF(AND(Q906&lt;&gt;"",ISNUMBER(M906)),M906,"")</f>
        <v/>
      </c>
    </row>
    <row r="907">
      <c r="A907" s="1" t="n"/>
      <c r="B907" s="17" t="n"/>
      <c r="C907" s="27" t="n"/>
      <c r="D907" s="28" t="n"/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9" t="n"/>
      <c r="N907" s="21" t="n"/>
      <c r="O907" s="12">
        <f>IF(AND(B907="",C907=""),"",IF(NOT(ISNUMBER(B907)),"Needs a date",IF(C907="","Needs a client",IF(COUNTIF(Clients!$B$6:$B$105,C907)=0,"Not on Clients",IF(COUNT(D907:M907)=0,"Nothing measured","")))))</f>
        <v/>
      </c>
      <c r="P907" s="1">
        <f>IF(AND(O907="",ISNUMBER(B907)),INT(B907),0)</f>
        <v/>
      </c>
      <c r="Q907">
        <f>IF(AND(P907&gt;0,C907=Report!$C$5),P907*10000+ROW(),"")</f>
        <v/>
      </c>
      <c r="R907">
        <f>IF(AND(Q907&lt;&gt;"",ISNUMBER(D907)),Q907,"")</f>
        <v/>
      </c>
      <c r="S907">
        <f>IF(AND(Q907&lt;&gt;"",ISNUMBER(E907)),Q907,"")</f>
        <v/>
      </c>
      <c r="T907">
        <f>IF(AND(Q907&lt;&gt;"",ISNUMBER(F907)),Q907,"")</f>
        <v/>
      </c>
      <c r="U907">
        <f>IF(AND(Q907&lt;&gt;"",ISNUMBER(G907)),Q907,"")</f>
        <v/>
      </c>
      <c r="V907">
        <f>IF(AND(Q907&lt;&gt;"",ISNUMBER(H907)),Q907,"")</f>
        <v/>
      </c>
      <c r="W907">
        <f>IF(AND(Q907&lt;&gt;"",ISNUMBER(I907)),Q907,"")</f>
        <v/>
      </c>
      <c r="X907">
        <f>IF(AND(Q907&lt;&gt;"",ISNUMBER(J907)),Q907,"")</f>
        <v/>
      </c>
      <c r="Y907">
        <f>IF(AND(Q907&lt;&gt;"",ISNUMBER(K907)),Q907,"")</f>
        <v/>
      </c>
      <c r="Z907">
        <f>IF(AND(Q907&lt;&gt;"",ISNUMBER(L907)),Q907,"")</f>
        <v/>
      </c>
      <c r="AA907">
        <f>IF(AND(Q907&lt;&gt;"",ISNUMBER(M907)),Q907,"")</f>
        <v/>
      </c>
      <c r="AB907">
        <f>IF(AND(Q907&lt;&gt;"",ISNUMBER(K907)),K907,"")</f>
        <v/>
      </c>
      <c r="AC907">
        <f>IF(AND(Q907&lt;&gt;"",ISNUMBER(L907)),L907,"")</f>
        <v/>
      </c>
      <c r="AD907">
        <f>IF(AND(Q907&lt;&gt;"",ISNUMBER(M907)),M907,"")</f>
        <v/>
      </c>
    </row>
    <row r="908">
      <c r="A908" s="1" t="n"/>
      <c r="B908" s="17" t="n"/>
      <c r="C908" s="27" t="n"/>
      <c r="D908" s="28" t="n"/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9" t="n"/>
      <c r="N908" s="21" t="n"/>
      <c r="O908" s="12">
        <f>IF(AND(B908="",C908=""),"",IF(NOT(ISNUMBER(B908)),"Needs a date",IF(C908="","Needs a client",IF(COUNTIF(Clients!$B$6:$B$105,C908)=0,"Not on Clients",IF(COUNT(D908:M908)=0,"Nothing measured","")))))</f>
        <v/>
      </c>
      <c r="P908" s="1">
        <f>IF(AND(O908="",ISNUMBER(B908)),INT(B908),0)</f>
        <v/>
      </c>
      <c r="Q908">
        <f>IF(AND(P908&gt;0,C908=Report!$C$5),P908*10000+ROW(),"")</f>
        <v/>
      </c>
      <c r="R908">
        <f>IF(AND(Q908&lt;&gt;"",ISNUMBER(D908)),Q908,"")</f>
        <v/>
      </c>
      <c r="S908">
        <f>IF(AND(Q908&lt;&gt;"",ISNUMBER(E908)),Q908,"")</f>
        <v/>
      </c>
      <c r="T908">
        <f>IF(AND(Q908&lt;&gt;"",ISNUMBER(F908)),Q908,"")</f>
        <v/>
      </c>
      <c r="U908">
        <f>IF(AND(Q908&lt;&gt;"",ISNUMBER(G908)),Q908,"")</f>
        <v/>
      </c>
      <c r="V908">
        <f>IF(AND(Q908&lt;&gt;"",ISNUMBER(H908)),Q908,"")</f>
        <v/>
      </c>
      <c r="W908">
        <f>IF(AND(Q908&lt;&gt;"",ISNUMBER(I908)),Q908,"")</f>
        <v/>
      </c>
      <c r="X908">
        <f>IF(AND(Q908&lt;&gt;"",ISNUMBER(J908)),Q908,"")</f>
        <v/>
      </c>
      <c r="Y908">
        <f>IF(AND(Q908&lt;&gt;"",ISNUMBER(K908)),Q908,"")</f>
        <v/>
      </c>
      <c r="Z908">
        <f>IF(AND(Q908&lt;&gt;"",ISNUMBER(L908)),Q908,"")</f>
        <v/>
      </c>
      <c r="AA908">
        <f>IF(AND(Q908&lt;&gt;"",ISNUMBER(M908)),Q908,"")</f>
        <v/>
      </c>
      <c r="AB908">
        <f>IF(AND(Q908&lt;&gt;"",ISNUMBER(K908)),K908,"")</f>
        <v/>
      </c>
      <c r="AC908">
        <f>IF(AND(Q908&lt;&gt;"",ISNUMBER(L908)),L908,"")</f>
        <v/>
      </c>
      <c r="AD908">
        <f>IF(AND(Q908&lt;&gt;"",ISNUMBER(M908)),M908,"")</f>
        <v/>
      </c>
    </row>
    <row r="909">
      <c r="A909" s="1" t="n"/>
      <c r="B909" s="17" t="n"/>
      <c r="C909" s="27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9" t="n"/>
      <c r="N909" s="21" t="n"/>
      <c r="O909" s="12">
        <f>IF(AND(B909="",C909=""),"",IF(NOT(ISNUMBER(B909)),"Needs a date",IF(C909="","Needs a client",IF(COUNTIF(Clients!$B$6:$B$105,C909)=0,"Not on Clients",IF(COUNT(D909:M909)=0,"Nothing measured","")))))</f>
        <v/>
      </c>
      <c r="P909" s="1">
        <f>IF(AND(O909="",ISNUMBER(B909)),INT(B909),0)</f>
        <v/>
      </c>
      <c r="Q909">
        <f>IF(AND(P909&gt;0,C909=Report!$C$5),P909*10000+ROW(),"")</f>
        <v/>
      </c>
      <c r="R909">
        <f>IF(AND(Q909&lt;&gt;"",ISNUMBER(D909)),Q909,"")</f>
        <v/>
      </c>
      <c r="S909">
        <f>IF(AND(Q909&lt;&gt;"",ISNUMBER(E909)),Q909,"")</f>
        <v/>
      </c>
      <c r="T909">
        <f>IF(AND(Q909&lt;&gt;"",ISNUMBER(F909)),Q909,"")</f>
        <v/>
      </c>
      <c r="U909">
        <f>IF(AND(Q909&lt;&gt;"",ISNUMBER(G909)),Q909,"")</f>
        <v/>
      </c>
      <c r="V909">
        <f>IF(AND(Q909&lt;&gt;"",ISNUMBER(H909)),Q909,"")</f>
        <v/>
      </c>
      <c r="W909">
        <f>IF(AND(Q909&lt;&gt;"",ISNUMBER(I909)),Q909,"")</f>
        <v/>
      </c>
      <c r="X909">
        <f>IF(AND(Q909&lt;&gt;"",ISNUMBER(J909)),Q909,"")</f>
        <v/>
      </c>
      <c r="Y909">
        <f>IF(AND(Q909&lt;&gt;"",ISNUMBER(K909)),Q909,"")</f>
        <v/>
      </c>
      <c r="Z909">
        <f>IF(AND(Q909&lt;&gt;"",ISNUMBER(L909)),Q909,"")</f>
        <v/>
      </c>
      <c r="AA909">
        <f>IF(AND(Q909&lt;&gt;"",ISNUMBER(M909)),Q909,"")</f>
        <v/>
      </c>
      <c r="AB909">
        <f>IF(AND(Q909&lt;&gt;"",ISNUMBER(K909)),K909,"")</f>
        <v/>
      </c>
      <c r="AC909">
        <f>IF(AND(Q909&lt;&gt;"",ISNUMBER(L909)),L909,"")</f>
        <v/>
      </c>
      <c r="AD909">
        <f>IF(AND(Q909&lt;&gt;"",ISNUMBER(M909)),M909,"")</f>
        <v/>
      </c>
    </row>
    <row r="910">
      <c r="A910" s="1" t="n"/>
      <c r="B910" s="17" t="n"/>
      <c r="C910" s="27" t="n"/>
      <c r="D910" s="28" t="n"/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9" t="n"/>
      <c r="N910" s="21" t="n"/>
      <c r="O910" s="12">
        <f>IF(AND(B910="",C910=""),"",IF(NOT(ISNUMBER(B910)),"Needs a date",IF(C910="","Needs a client",IF(COUNTIF(Clients!$B$6:$B$105,C910)=0,"Not on Clients",IF(COUNT(D910:M910)=0,"Nothing measured","")))))</f>
        <v/>
      </c>
      <c r="P910" s="1">
        <f>IF(AND(O910="",ISNUMBER(B910)),INT(B910),0)</f>
        <v/>
      </c>
      <c r="Q910">
        <f>IF(AND(P910&gt;0,C910=Report!$C$5),P910*10000+ROW(),"")</f>
        <v/>
      </c>
      <c r="R910">
        <f>IF(AND(Q910&lt;&gt;"",ISNUMBER(D910)),Q910,"")</f>
        <v/>
      </c>
      <c r="S910">
        <f>IF(AND(Q910&lt;&gt;"",ISNUMBER(E910)),Q910,"")</f>
        <v/>
      </c>
      <c r="T910">
        <f>IF(AND(Q910&lt;&gt;"",ISNUMBER(F910)),Q910,"")</f>
        <v/>
      </c>
      <c r="U910">
        <f>IF(AND(Q910&lt;&gt;"",ISNUMBER(G910)),Q910,"")</f>
        <v/>
      </c>
      <c r="V910">
        <f>IF(AND(Q910&lt;&gt;"",ISNUMBER(H910)),Q910,"")</f>
        <v/>
      </c>
      <c r="W910">
        <f>IF(AND(Q910&lt;&gt;"",ISNUMBER(I910)),Q910,"")</f>
        <v/>
      </c>
      <c r="X910">
        <f>IF(AND(Q910&lt;&gt;"",ISNUMBER(J910)),Q910,"")</f>
        <v/>
      </c>
      <c r="Y910">
        <f>IF(AND(Q910&lt;&gt;"",ISNUMBER(K910)),Q910,"")</f>
        <v/>
      </c>
      <c r="Z910">
        <f>IF(AND(Q910&lt;&gt;"",ISNUMBER(L910)),Q910,"")</f>
        <v/>
      </c>
      <c r="AA910">
        <f>IF(AND(Q910&lt;&gt;"",ISNUMBER(M910)),Q910,"")</f>
        <v/>
      </c>
      <c r="AB910">
        <f>IF(AND(Q910&lt;&gt;"",ISNUMBER(K910)),K910,"")</f>
        <v/>
      </c>
      <c r="AC910">
        <f>IF(AND(Q910&lt;&gt;"",ISNUMBER(L910)),L910,"")</f>
        <v/>
      </c>
      <c r="AD910">
        <f>IF(AND(Q910&lt;&gt;"",ISNUMBER(M910)),M910,"")</f>
        <v/>
      </c>
    </row>
    <row r="911">
      <c r="A911" s="1" t="n"/>
      <c r="B911" s="17" t="n"/>
      <c r="C911" s="27" t="n"/>
      <c r="D911" s="2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9" t="n"/>
      <c r="N911" s="21" t="n"/>
      <c r="O911" s="12">
        <f>IF(AND(B911="",C911=""),"",IF(NOT(ISNUMBER(B911)),"Needs a date",IF(C911="","Needs a client",IF(COUNTIF(Clients!$B$6:$B$105,C911)=0,"Not on Clients",IF(COUNT(D911:M911)=0,"Nothing measured","")))))</f>
        <v/>
      </c>
      <c r="P911" s="1">
        <f>IF(AND(O911="",ISNUMBER(B911)),INT(B911),0)</f>
        <v/>
      </c>
      <c r="Q911">
        <f>IF(AND(P911&gt;0,C911=Report!$C$5),P911*10000+ROW(),"")</f>
        <v/>
      </c>
      <c r="R911">
        <f>IF(AND(Q911&lt;&gt;"",ISNUMBER(D911)),Q911,"")</f>
        <v/>
      </c>
      <c r="S911">
        <f>IF(AND(Q911&lt;&gt;"",ISNUMBER(E911)),Q911,"")</f>
        <v/>
      </c>
      <c r="T911">
        <f>IF(AND(Q911&lt;&gt;"",ISNUMBER(F911)),Q911,"")</f>
        <v/>
      </c>
      <c r="U911">
        <f>IF(AND(Q911&lt;&gt;"",ISNUMBER(G911)),Q911,"")</f>
        <v/>
      </c>
      <c r="V911">
        <f>IF(AND(Q911&lt;&gt;"",ISNUMBER(H911)),Q911,"")</f>
        <v/>
      </c>
      <c r="W911">
        <f>IF(AND(Q911&lt;&gt;"",ISNUMBER(I911)),Q911,"")</f>
        <v/>
      </c>
      <c r="X911">
        <f>IF(AND(Q911&lt;&gt;"",ISNUMBER(J911)),Q911,"")</f>
        <v/>
      </c>
      <c r="Y911">
        <f>IF(AND(Q911&lt;&gt;"",ISNUMBER(K911)),Q911,"")</f>
        <v/>
      </c>
      <c r="Z911">
        <f>IF(AND(Q911&lt;&gt;"",ISNUMBER(L911)),Q911,"")</f>
        <v/>
      </c>
      <c r="AA911">
        <f>IF(AND(Q911&lt;&gt;"",ISNUMBER(M911)),Q911,"")</f>
        <v/>
      </c>
      <c r="AB911">
        <f>IF(AND(Q911&lt;&gt;"",ISNUMBER(K911)),K911,"")</f>
        <v/>
      </c>
      <c r="AC911">
        <f>IF(AND(Q911&lt;&gt;"",ISNUMBER(L911)),L911,"")</f>
        <v/>
      </c>
      <c r="AD911">
        <f>IF(AND(Q911&lt;&gt;"",ISNUMBER(M911)),M911,"")</f>
        <v/>
      </c>
    </row>
    <row r="912">
      <c r="A912" s="1" t="n"/>
      <c r="B912" s="17" t="n"/>
      <c r="C912" s="27" t="n"/>
      <c r="D912" s="28" t="n"/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9" t="n"/>
      <c r="N912" s="21" t="n"/>
      <c r="O912" s="12">
        <f>IF(AND(B912="",C912=""),"",IF(NOT(ISNUMBER(B912)),"Needs a date",IF(C912="","Needs a client",IF(COUNTIF(Clients!$B$6:$B$105,C912)=0,"Not on Clients",IF(COUNT(D912:M912)=0,"Nothing measured","")))))</f>
        <v/>
      </c>
      <c r="P912" s="1">
        <f>IF(AND(O912="",ISNUMBER(B912)),INT(B912),0)</f>
        <v/>
      </c>
      <c r="Q912">
        <f>IF(AND(P912&gt;0,C912=Report!$C$5),P912*10000+ROW(),"")</f>
        <v/>
      </c>
      <c r="R912">
        <f>IF(AND(Q912&lt;&gt;"",ISNUMBER(D912)),Q912,"")</f>
        <v/>
      </c>
      <c r="S912">
        <f>IF(AND(Q912&lt;&gt;"",ISNUMBER(E912)),Q912,"")</f>
        <v/>
      </c>
      <c r="T912">
        <f>IF(AND(Q912&lt;&gt;"",ISNUMBER(F912)),Q912,"")</f>
        <v/>
      </c>
      <c r="U912">
        <f>IF(AND(Q912&lt;&gt;"",ISNUMBER(G912)),Q912,"")</f>
        <v/>
      </c>
      <c r="V912">
        <f>IF(AND(Q912&lt;&gt;"",ISNUMBER(H912)),Q912,"")</f>
        <v/>
      </c>
      <c r="W912">
        <f>IF(AND(Q912&lt;&gt;"",ISNUMBER(I912)),Q912,"")</f>
        <v/>
      </c>
      <c r="X912">
        <f>IF(AND(Q912&lt;&gt;"",ISNUMBER(J912)),Q912,"")</f>
        <v/>
      </c>
      <c r="Y912">
        <f>IF(AND(Q912&lt;&gt;"",ISNUMBER(K912)),Q912,"")</f>
        <v/>
      </c>
      <c r="Z912">
        <f>IF(AND(Q912&lt;&gt;"",ISNUMBER(L912)),Q912,"")</f>
        <v/>
      </c>
      <c r="AA912">
        <f>IF(AND(Q912&lt;&gt;"",ISNUMBER(M912)),Q912,"")</f>
        <v/>
      </c>
      <c r="AB912">
        <f>IF(AND(Q912&lt;&gt;"",ISNUMBER(K912)),K912,"")</f>
        <v/>
      </c>
      <c r="AC912">
        <f>IF(AND(Q912&lt;&gt;"",ISNUMBER(L912)),L912,"")</f>
        <v/>
      </c>
      <c r="AD912">
        <f>IF(AND(Q912&lt;&gt;"",ISNUMBER(M912)),M912,"")</f>
        <v/>
      </c>
    </row>
    <row r="913">
      <c r="A913" s="1" t="n"/>
      <c r="B913" s="17" t="n"/>
      <c r="C913" s="27" t="n"/>
      <c r="D913" s="2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9" t="n"/>
      <c r="N913" s="21" t="n"/>
      <c r="O913" s="12">
        <f>IF(AND(B913="",C913=""),"",IF(NOT(ISNUMBER(B913)),"Needs a date",IF(C913="","Needs a client",IF(COUNTIF(Clients!$B$6:$B$105,C913)=0,"Not on Clients",IF(COUNT(D913:M913)=0,"Nothing measured","")))))</f>
        <v/>
      </c>
      <c r="P913" s="1">
        <f>IF(AND(O913="",ISNUMBER(B913)),INT(B913),0)</f>
        <v/>
      </c>
      <c r="Q913">
        <f>IF(AND(P913&gt;0,C913=Report!$C$5),P913*10000+ROW(),"")</f>
        <v/>
      </c>
      <c r="R913">
        <f>IF(AND(Q913&lt;&gt;"",ISNUMBER(D913)),Q913,"")</f>
        <v/>
      </c>
      <c r="S913">
        <f>IF(AND(Q913&lt;&gt;"",ISNUMBER(E913)),Q913,"")</f>
        <v/>
      </c>
      <c r="T913">
        <f>IF(AND(Q913&lt;&gt;"",ISNUMBER(F913)),Q913,"")</f>
        <v/>
      </c>
      <c r="U913">
        <f>IF(AND(Q913&lt;&gt;"",ISNUMBER(G913)),Q913,"")</f>
        <v/>
      </c>
      <c r="V913">
        <f>IF(AND(Q913&lt;&gt;"",ISNUMBER(H913)),Q913,"")</f>
        <v/>
      </c>
      <c r="W913">
        <f>IF(AND(Q913&lt;&gt;"",ISNUMBER(I913)),Q913,"")</f>
        <v/>
      </c>
      <c r="X913">
        <f>IF(AND(Q913&lt;&gt;"",ISNUMBER(J913)),Q913,"")</f>
        <v/>
      </c>
      <c r="Y913">
        <f>IF(AND(Q913&lt;&gt;"",ISNUMBER(K913)),Q913,"")</f>
        <v/>
      </c>
      <c r="Z913">
        <f>IF(AND(Q913&lt;&gt;"",ISNUMBER(L913)),Q913,"")</f>
        <v/>
      </c>
      <c r="AA913">
        <f>IF(AND(Q913&lt;&gt;"",ISNUMBER(M913)),Q913,"")</f>
        <v/>
      </c>
      <c r="AB913">
        <f>IF(AND(Q913&lt;&gt;"",ISNUMBER(K913)),K913,"")</f>
        <v/>
      </c>
      <c r="AC913">
        <f>IF(AND(Q913&lt;&gt;"",ISNUMBER(L913)),L913,"")</f>
        <v/>
      </c>
      <c r="AD913">
        <f>IF(AND(Q913&lt;&gt;"",ISNUMBER(M913)),M913,"")</f>
        <v/>
      </c>
    </row>
    <row r="914">
      <c r="A914" s="1" t="n"/>
      <c r="B914" s="17" t="n"/>
      <c r="C914" s="27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9" t="n"/>
      <c r="N914" s="21" t="n"/>
      <c r="O914" s="12">
        <f>IF(AND(B914="",C914=""),"",IF(NOT(ISNUMBER(B914)),"Needs a date",IF(C914="","Needs a client",IF(COUNTIF(Clients!$B$6:$B$105,C914)=0,"Not on Clients",IF(COUNT(D914:M914)=0,"Nothing measured","")))))</f>
        <v/>
      </c>
      <c r="P914" s="1">
        <f>IF(AND(O914="",ISNUMBER(B914)),INT(B914),0)</f>
        <v/>
      </c>
      <c r="Q914">
        <f>IF(AND(P914&gt;0,C914=Report!$C$5),P914*10000+ROW(),"")</f>
        <v/>
      </c>
      <c r="R914">
        <f>IF(AND(Q914&lt;&gt;"",ISNUMBER(D914)),Q914,"")</f>
        <v/>
      </c>
      <c r="S914">
        <f>IF(AND(Q914&lt;&gt;"",ISNUMBER(E914)),Q914,"")</f>
        <v/>
      </c>
      <c r="T914">
        <f>IF(AND(Q914&lt;&gt;"",ISNUMBER(F914)),Q914,"")</f>
        <v/>
      </c>
      <c r="U914">
        <f>IF(AND(Q914&lt;&gt;"",ISNUMBER(G914)),Q914,"")</f>
        <v/>
      </c>
      <c r="V914">
        <f>IF(AND(Q914&lt;&gt;"",ISNUMBER(H914)),Q914,"")</f>
        <v/>
      </c>
      <c r="W914">
        <f>IF(AND(Q914&lt;&gt;"",ISNUMBER(I914)),Q914,"")</f>
        <v/>
      </c>
      <c r="X914">
        <f>IF(AND(Q914&lt;&gt;"",ISNUMBER(J914)),Q914,"")</f>
        <v/>
      </c>
      <c r="Y914">
        <f>IF(AND(Q914&lt;&gt;"",ISNUMBER(K914)),Q914,"")</f>
        <v/>
      </c>
      <c r="Z914">
        <f>IF(AND(Q914&lt;&gt;"",ISNUMBER(L914)),Q914,"")</f>
        <v/>
      </c>
      <c r="AA914">
        <f>IF(AND(Q914&lt;&gt;"",ISNUMBER(M914)),Q914,"")</f>
        <v/>
      </c>
      <c r="AB914">
        <f>IF(AND(Q914&lt;&gt;"",ISNUMBER(K914)),K914,"")</f>
        <v/>
      </c>
      <c r="AC914">
        <f>IF(AND(Q914&lt;&gt;"",ISNUMBER(L914)),L914,"")</f>
        <v/>
      </c>
      <c r="AD914">
        <f>IF(AND(Q914&lt;&gt;"",ISNUMBER(M914)),M914,"")</f>
        <v/>
      </c>
    </row>
    <row r="915">
      <c r="A915" s="1" t="n"/>
      <c r="B915" s="17" t="n"/>
      <c r="C915" s="27" t="n"/>
      <c r="D915" s="28" t="n"/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9" t="n"/>
      <c r="N915" s="21" t="n"/>
      <c r="O915" s="12">
        <f>IF(AND(B915="",C915=""),"",IF(NOT(ISNUMBER(B915)),"Needs a date",IF(C915="","Needs a client",IF(COUNTIF(Clients!$B$6:$B$105,C915)=0,"Not on Clients",IF(COUNT(D915:M915)=0,"Nothing measured","")))))</f>
        <v/>
      </c>
      <c r="P915" s="1">
        <f>IF(AND(O915="",ISNUMBER(B915)),INT(B915),0)</f>
        <v/>
      </c>
      <c r="Q915">
        <f>IF(AND(P915&gt;0,C915=Report!$C$5),P915*10000+ROW(),"")</f>
        <v/>
      </c>
      <c r="R915">
        <f>IF(AND(Q915&lt;&gt;"",ISNUMBER(D915)),Q915,"")</f>
        <v/>
      </c>
      <c r="S915">
        <f>IF(AND(Q915&lt;&gt;"",ISNUMBER(E915)),Q915,"")</f>
        <v/>
      </c>
      <c r="T915">
        <f>IF(AND(Q915&lt;&gt;"",ISNUMBER(F915)),Q915,"")</f>
        <v/>
      </c>
      <c r="U915">
        <f>IF(AND(Q915&lt;&gt;"",ISNUMBER(G915)),Q915,"")</f>
        <v/>
      </c>
      <c r="V915">
        <f>IF(AND(Q915&lt;&gt;"",ISNUMBER(H915)),Q915,"")</f>
        <v/>
      </c>
      <c r="W915">
        <f>IF(AND(Q915&lt;&gt;"",ISNUMBER(I915)),Q915,"")</f>
        <v/>
      </c>
      <c r="X915">
        <f>IF(AND(Q915&lt;&gt;"",ISNUMBER(J915)),Q915,"")</f>
        <v/>
      </c>
      <c r="Y915">
        <f>IF(AND(Q915&lt;&gt;"",ISNUMBER(K915)),Q915,"")</f>
        <v/>
      </c>
      <c r="Z915">
        <f>IF(AND(Q915&lt;&gt;"",ISNUMBER(L915)),Q915,"")</f>
        <v/>
      </c>
      <c r="AA915">
        <f>IF(AND(Q915&lt;&gt;"",ISNUMBER(M915)),Q915,"")</f>
        <v/>
      </c>
      <c r="AB915">
        <f>IF(AND(Q915&lt;&gt;"",ISNUMBER(K915)),K915,"")</f>
        <v/>
      </c>
      <c r="AC915">
        <f>IF(AND(Q915&lt;&gt;"",ISNUMBER(L915)),L915,"")</f>
        <v/>
      </c>
      <c r="AD915">
        <f>IF(AND(Q915&lt;&gt;"",ISNUMBER(M915)),M915,"")</f>
        <v/>
      </c>
    </row>
    <row r="916">
      <c r="A916" s="1" t="n"/>
      <c r="B916" s="17" t="n"/>
      <c r="C916" s="27" t="n"/>
      <c r="D916" s="28" t="n"/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9" t="n"/>
      <c r="N916" s="21" t="n"/>
      <c r="O916" s="12">
        <f>IF(AND(B916="",C916=""),"",IF(NOT(ISNUMBER(B916)),"Needs a date",IF(C916="","Needs a client",IF(COUNTIF(Clients!$B$6:$B$105,C916)=0,"Not on Clients",IF(COUNT(D916:M916)=0,"Nothing measured","")))))</f>
        <v/>
      </c>
      <c r="P916" s="1">
        <f>IF(AND(O916="",ISNUMBER(B916)),INT(B916),0)</f>
        <v/>
      </c>
      <c r="Q916">
        <f>IF(AND(P916&gt;0,C916=Report!$C$5),P916*10000+ROW(),"")</f>
        <v/>
      </c>
      <c r="R916">
        <f>IF(AND(Q916&lt;&gt;"",ISNUMBER(D916)),Q916,"")</f>
        <v/>
      </c>
      <c r="S916">
        <f>IF(AND(Q916&lt;&gt;"",ISNUMBER(E916)),Q916,"")</f>
        <v/>
      </c>
      <c r="T916">
        <f>IF(AND(Q916&lt;&gt;"",ISNUMBER(F916)),Q916,"")</f>
        <v/>
      </c>
      <c r="U916">
        <f>IF(AND(Q916&lt;&gt;"",ISNUMBER(G916)),Q916,"")</f>
        <v/>
      </c>
      <c r="V916">
        <f>IF(AND(Q916&lt;&gt;"",ISNUMBER(H916)),Q916,"")</f>
        <v/>
      </c>
      <c r="W916">
        <f>IF(AND(Q916&lt;&gt;"",ISNUMBER(I916)),Q916,"")</f>
        <v/>
      </c>
      <c r="X916">
        <f>IF(AND(Q916&lt;&gt;"",ISNUMBER(J916)),Q916,"")</f>
        <v/>
      </c>
      <c r="Y916">
        <f>IF(AND(Q916&lt;&gt;"",ISNUMBER(K916)),Q916,"")</f>
        <v/>
      </c>
      <c r="Z916">
        <f>IF(AND(Q916&lt;&gt;"",ISNUMBER(L916)),Q916,"")</f>
        <v/>
      </c>
      <c r="AA916">
        <f>IF(AND(Q916&lt;&gt;"",ISNUMBER(M916)),Q916,"")</f>
        <v/>
      </c>
      <c r="AB916">
        <f>IF(AND(Q916&lt;&gt;"",ISNUMBER(K916)),K916,"")</f>
        <v/>
      </c>
      <c r="AC916">
        <f>IF(AND(Q916&lt;&gt;"",ISNUMBER(L916)),L916,"")</f>
        <v/>
      </c>
      <c r="AD916">
        <f>IF(AND(Q916&lt;&gt;"",ISNUMBER(M916)),M916,"")</f>
        <v/>
      </c>
    </row>
    <row r="917">
      <c r="A917" s="1" t="n"/>
      <c r="B917" s="17" t="n"/>
      <c r="C917" s="27" t="n"/>
      <c r="D917" s="28" t="n"/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9" t="n"/>
      <c r="N917" s="21" t="n"/>
      <c r="O917" s="12">
        <f>IF(AND(B917="",C917=""),"",IF(NOT(ISNUMBER(B917)),"Needs a date",IF(C917="","Needs a client",IF(COUNTIF(Clients!$B$6:$B$105,C917)=0,"Not on Clients",IF(COUNT(D917:M917)=0,"Nothing measured","")))))</f>
        <v/>
      </c>
      <c r="P917" s="1">
        <f>IF(AND(O917="",ISNUMBER(B917)),INT(B917),0)</f>
        <v/>
      </c>
      <c r="Q917">
        <f>IF(AND(P917&gt;0,C917=Report!$C$5),P917*10000+ROW(),"")</f>
        <v/>
      </c>
      <c r="R917">
        <f>IF(AND(Q917&lt;&gt;"",ISNUMBER(D917)),Q917,"")</f>
        <v/>
      </c>
      <c r="S917">
        <f>IF(AND(Q917&lt;&gt;"",ISNUMBER(E917)),Q917,"")</f>
        <v/>
      </c>
      <c r="T917">
        <f>IF(AND(Q917&lt;&gt;"",ISNUMBER(F917)),Q917,"")</f>
        <v/>
      </c>
      <c r="U917">
        <f>IF(AND(Q917&lt;&gt;"",ISNUMBER(G917)),Q917,"")</f>
        <v/>
      </c>
      <c r="V917">
        <f>IF(AND(Q917&lt;&gt;"",ISNUMBER(H917)),Q917,"")</f>
        <v/>
      </c>
      <c r="W917">
        <f>IF(AND(Q917&lt;&gt;"",ISNUMBER(I917)),Q917,"")</f>
        <v/>
      </c>
      <c r="X917">
        <f>IF(AND(Q917&lt;&gt;"",ISNUMBER(J917)),Q917,"")</f>
        <v/>
      </c>
      <c r="Y917">
        <f>IF(AND(Q917&lt;&gt;"",ISNUMBER(K917)),Q917,"")</f>
        <v/>
      </c>
      <c r="Z917">
        <f>IF(AND(Q917&lt;&gt;"",ISNUMBER(L917)),Q917,"")</f>
        <v/>
      </c>
      <c r="AA917">
        <f>IF(AND(Q917&lt;&gt;"",ISNUMBER(M917)),Q917,"")</f>
        <v/>
      </c>
      <c r="AB917">
        <f>IF(AND(Q917&lt;&gt;"",ISNUMBER(K917)),K917,"")</f>
        <v/>
      </c>
      <c r="AC917">
        <f>IF(AND(Q917&lt;&gt;"",ISNUMBER(L917)),L917,"")</f>
        <v/>
      </c>
      <c r="AD917">
        <f>IF(AND(Q917&lt;&gt;"",ISNUMBER(M917)),M917,"")</f>
        <v/>
      </c>
    </row>
    <row r="918">
      <c r="A918" s="1" t="n"/>
      <c r="B918" s="17" t="n"/>
      <c r="C918" s="27" t="n"/>
      <c r="D918" s="28" t="n"/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9" t="n"/>
      <c r="N918" s="21" t="n"/>
      <c r="O918" s="12">
        <f>IF(AND(B918="",C918=""),"",IF(NOT(ISNUMBER(B918)),"Needs a date",IF(C918="","Needs a client",IF(COUNTIF(Clients!$B$6:$B$105,C918)=0,"Not on Clients",IF(COUNT(D918:M918)=0,"Nothing measured","")))))</f>
        <v/>
      </c>
      <c r="P918" s="1">
        <f>IF(AND(O918="",ISNUMBER(B918)),INT(B918),0)</f>
        <v/>
      </c>
      <c r="Q918">
        <f>IF(AND(P918&gt;0,C918=Report!$C$5),P918*10000+ROW(),"")</f>
        <v/>
      </c>
      <c r="R918">
        <f>IF(AND(Q918&lt;&gt;"",ISNUMBER(D918)),Q918,"")</f>
        <v/>
      </c>
      <c r="S918">
        <f>IF(AND(Q918&lt;&gt;"",ISNUMBER(E918)),Q918,"")</f>
        <v/>
      </c>
      <c r="T918">
        <f>IF(AND(Q918&lt;&gt;"",ISNUMBER(F918)),Q918,"")</f>
        <v/>
      </c>
      <c r="U918">
        <f>IF(AND(Q918&lt;&gt;"",ISNUMBER(G918)),Q918,"")</f>
        <v/>
      </c>
      <c r="V918">
        <f>IF(AND(Q918&lt;&gt;"",ISNUMBER(H918)),Q918,"")</f>
        <v/>
      </c>
      <c r="W918">
        <f>IF(AND(Q918&lt;&gt;"",ISNUMBER(I918)),Q918,"")</f>
        <v/>
      </c>
      <c r="X918">
        <f>IF(AND(Q918&lt;&gt;"",ISNUMBER(J918)),Q918,"")</f>
        <v/>
      </c>
      <c r="Y918">
        <f>IF(AND(Q918&lt;&gt;"",ISNUMBER(K918)),Q918,"")</f>
        <v/>
      </c>
      <c r="Z918">
        <f>IF(AND(Q918&lt;&gt;"",ISNUMBER(L918)),Q918,"")</f>
        <v/>
      </c>
      <c r="AA918">
        <f>IF(AND(Q918&lt;&gt;"",ISNUMBER(M918)),Q918,"")</f>
        <v/>
      </c>
      <c r="AB918">
        <f>IF(AND(Q918&lt;&gt;"",ISNUMBER(K918)),K918,"")</f>
        <v/>
      </c>
      <c r="AC918">
        <f>IF(AND(Q918&lt;&gt;"",ISNUMBER(L918)),L918,"")</f>
        <v/>
      </c>
      <c r="AD918">
        <f>IF(AND(Q918&lt;&gt;"",ISNUMBER(M918)),M918,"")</f>
        <v/>
      </c>
    </row>
    <row r="919">
      <c r="A919" s="1" t="n"/>
      <c r="B919" s="17" t="n"/>
      <c r="C919" s="27" t="n"/>
      <c r="D919" s="2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9" t="n"/>
      <c r="N919" s="21" t="n"/>
      <c r="O919" s="12">
        <f>IF(AND(B919="",C919=""),"",IF(NOT(ISNUMBER(B919)),"Needs a date",IF(C919="","Needs a client",IF(COUNTIF(Clients!$B$6:$B$105,C919)=0,"Not on Clients",IF(COUNT(D919:M919)=0,"Nothing measured","")))))</f>
        <v/>
      </c>
      <c r="P919" s="1">
        <f>IF(AND(O919="",ISNUMBER(B919)),INT(B919),0)</f>
        <v/>
      </c>
      <c r="Q919">
        <f>IF(AND(P919&gt;0,C919=Report!$C$5),P919*10000+ROW(),"")</f>
        <v/>
      </c>
      <c r="R919">
        <f>IF(AND(Q919&lt;&gt;"",ISNUMBER(D919)),Q919,"")</f>
        <v/>
      </c>
      <c r="S919">
        <f>IF(AND(Q919&lt;&gt;"",ISNUMBER(E919)),Q919,"")</f>
        <v/>
      </c>
      <c r="T919">
        <f>IF(AND(Q919&lt;&gt;"",ISNUMBER(F919)),Q919,"")</f>
        <v/>
      </c>
      <c r="U919">
        <f>IF(AND(Q919&lt;&gt;"",ISNUMBER(G919)),Q919,"")</f>
        <v/>
      </c>
      <c r="V919">
        <f>IF(AND(Q919&lt;&gt;"",ISNUMBER(H919)),Q919,"")</f>
        <v/>
      </c>
      <c r="W919">
        <f>IF(AND(Q919&lt;&gt;"",ISNUMBER(I919)),Q919,"")</f>
        <v/>
      </c>
      <c r="X919">
        <f>IF(AND(Q919&lt;&gt;"",ISNUMBER(J919)),Q919,"")</f>
        <v/>
      </c>
      <c r="Y919">
        <f>IF(AND(Q919&lt;&gt;"",ISNUMBER(K919)),Q919,"")</f>
        <v/>
      </c>
      <c r="Z919">
        <f>IF(AND(Q919&lt;&gt;"",ISNUMBER(L919)),Q919,"")</f>
        <v/>
      </c>
      <c r="AA919">
        <f>IF(AND(Q919&lt;&gt;"",ISNUMBER(M919)),Q919,"")</f>
        <v/>
      </c>
      <c r="AB919">
        <f>IF(AND(Q919&lt;&gt;"",ISNUMBER(K919)),K919,"")</f>
        <v/>
      </c>
      <c r="AC919">
        <f>IF(AND(Q919&lt;&gt;"",ISNUMBER(L919)),L919,"")</f>
        <v/>
      </c>
      <c r="AD919">
        <f>IF(AND(Q919&lt;&gt;"",ISNUMBER(M919)),M919,"")</f>
        <v/>
      </c>
    </row>
    <row r="920">
      <c r="A920" s="1" t="n"/>
      <c r="B920" s="17" t="n"/>
      <c r="C920" s="27" t="n"/>
      <c r="D920" s="28" t="n"/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9" t="n"/>
      <c r="N920" s="21" t="n"/>
      <c r="O920" s="12">
        <f>IF(AND(B920="",C920=""),"",IF(NOT(ISNUMBER(B920)),"Needs a date",IF(C920="","Needs a client",IF(COUNTIF(Clients!$B$6:$B$105,C920)=0,"Not on Clients",IF(COUNT(D920:M920)=0,"Nothing measured","")))))</f>
        <v/>
      </c>
      <c r="P920" s="1">
        <f>IF(AND(O920="",ISNUMBER(B920)),INT(B920),0)</f>
        <v/>
      </c>
      <c r="Q920">
        <f>IF(AND(P920&gt;0,C920=Report!$C$5),P920*10000+ROW(),"")</f>
        <v/>
      </c>
      <c r="R920">
        <f>IF(AND(Q920&lt;&gt;"",ISNUMBER(D920)),Q920,"")</f>
        <v/>
      </c>
      <c r="S920">
        <f>IF(AND(Q920&lt;&gt;"",ISNUMBER(E920)),Q920,"")</f>
        <v/>
      </c>
      <c r="T920">
        <f>IF(AND(Q920&lt;&gt;"",ISNUMBER(F920)),Q920,"")</f>
        <v/>
      </c>
      <c r="U920">
        <f>IF(AND(Q920&lt;&gt;"",ISNUMBER(G920)),Q920,"")</f>
        <v/>
      </c>
      <c r="V920">
        <f>IF(AND(Q920&lt;&gt;"",ISNUMBER(H920)),Q920,"")</f>
        <v/>
      </c>
      <c r="W920">
        <f>IF(AND(Q920&lt;&gt;"",ISNUMBER(I920)),Q920,"")</f>
        <v/>
      </c>
      <c r="X920">
        <f>IF(AND(Q920&lt;&gt;"",ISNUMBER(J920)),Q920,"")</f>
        <v/>
      </c>
      <c r="Y920">
        <f>IF(AND(Q920&lt;&gt;"",ISNUMBER(K920)),Q920,"")</f>
        <v/>
      </c>
      <c r="Z920">
        <f>IF(AND(Q920&lt;&gt;"",ISNUMBER(L920)),Q920,"")</f>
        <v/>
      </c>
      <c r="AA920">
        <f>IF(AND(Q920&lt;&gt;"",ISNUMBER(M920)),Q920,"")</f>
        <v/>
      </c>
      <c r="AB920">
        <f>IF(AND(Q920&lt;&gt;"",ISNUMBER(K920)),K920,"")</f>
        <v/>
      </c>
      <c r="AC920">
        <f>IF(AND(Q920&lt;&gt;"",ISNUMBER(L920)),L920,"")</f>
        <v/>
      </c>
      <c r="AD920">
        <f>IF(AND(Q920&lt;&gt;"",ISNUMBER(M920)),M920,"")</f>
        <v/>
      </c>
    </row>
    <row r="921">
      <c r="A921" s="1" t="n"/>
      <c r="B921" s="17" t="n"/>
      <c r="C921" s="27" t="n"/>
      <c r="D921" s="28" t="n"/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9" t="n"/>
      <c r="N921" s="21" t="n"/>
      <c r="O921" s="12">
        <f>IF(AND(B921="",C921=""),"",IF(NOT(ISNUMBER(B921)),"Needs a date",IF(C921="","Needs a client",IF(COUNTIF(Clients!$B$6:$B$105,C921)=0,"Not on Clients",IF(COUNT(D921:M921)=0,"Nothing measured","")))))</f>
        <v/>
      </c>
      <c r="P921" s="1">
        <f>IF(AND(O921="",ISNUMBER(B921)),INT(B921),0)</f>
        <v/>
      </c>
      <c r="Q921">
        <f>IF(AND(P921&gt;0,C921=Report!$C$5),P921*10000+ROW(),"")</f>
        <v/>
      </c>
      <c r="R921">
        <f>IF(AND(Q921&lt;&gt;"",ISNUMBER(D921)),Q921,"")</f>
        <v/>
      </c>
      <c r="S921">
        <f>IF(AND(Q921&lt;&gt;"",ISNUMBER(E921)),Q921,"")</f>
        <v/>
      </c>
      <c r="T921">
        <f>IF(AND(Q921&lt;&gt;"",ISNUMBER(F921)),Q921,"")</f>
        <v/>
      </c>
      <c r="U921">
        <f>IF(AND(Q921&lt;&gt;"",ISNUMBER(G921)),Q921,"")</f>
        <v/>
      </c>
      <c r="V921">
        <f>IF(AND(Q921&lt;&gt;"",ISNUMBER(H921)),Q921,"")</f>
        <v/>
      </c>
      <c r="W921">
        <f>IF(AND(Q921&lt;&gt;"",ISNUMBER(I921)),Q921,"")</f>
        <v/>
      </c>
      <c r="X921">
        <f>IF(AND(Q921&lt;&gt;"",ISNUMBER(J921)),Q921,"")</f>
        <v/>
      </c>
      <c r="Y921">
        <f>IF(AND(Q921&lt;&gt;"",ISNUMBER(K921)),Q921,"")</f>
        <v/>
      </c>
      <c r="Z921">
        <f>IF(AND(Q921&lt;&gt;"",ISNUMBER(L921)),Q921,"")</f>
        <v/>
      </c>
      <c r="AA921">
        <f>IF(AND(Q921&lt;&gt;"",ISNUMBER(M921)),Q921,"")</f>
        <v/>
      </c>
      <c r="AB921">
        <f>IF(AND(Q921&lt;&gt;"",ISNUMBER(K921)),K921,"")</f>
        <v/>
      </c>
      <c r="AC921">
        <f>IF(AND(Q921&lt;&gt;"",ISNUMBER(L921)),L921,"")</f>
        <v/>
      </c>
      <c r="AD921">
        <f>IF(AND(Q921&lt;&gt;"",ISNUMBER(M921)),M921,"")</f>
        <v/>
      </c>
    </row>
    <row r="922">
      <c r="A922" s="1" t="n"/>
      <c r="B922" s="17" t="n"/>
      <c r="C922" s="27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9" t="n"/>
      <c r="N922" s="21" t="n"/>
      <c r="O922" s="12">
        <f>IF(AND(B922="",C922=""),"",IF(NOT(ISNUMBER(B922)),"Needs a date",IF(C922="","Needs a client",IF(COUNTIF(Clients!$B$6:$B$105,C922)=0,"Not on Clients",IF(COUNT(D922:M922)=0,"Nothing measured","")))))</f>
        <v/>
      </c>
      <c r="P922" s="1">
        <f>IF(AND(O922="",ISNUMBER(B922)),INT(B922),0)</f>
        <v/>
      </c>
      <c r="Q922">
        <f>IF(AND(P922&gt;0,C922=Report!$C$5),P922*10000+ROW(),"")</f>
        <v/>
      </c>
      <c r="R922">
        <f>IF(AND(Q922&lt;&gt;"",ISNUMBER(D922)),Q922,"")</f>
        <v/>
      </c>
      <c r="S922">
        <f>IF(AND(Q922&lt;&gt;"",ISNUMBER(E922)),Q922,"")</f>
        <v/>
      </c>
      <c r="T922">
        <f>IF(AND(Q922&lt;&gt;"",ISNUMBER(F922)),Q922,"")</f>
        <v/>
      </c>
      <c r="U922">
        <f>IF(AND(Q922&lt;&gt;"",ISNUMBER(G922)),Q922,"")</f>
        <v/>
      </c>
      <c r="V922">
        <f>IF(AND(Q922&lt;&gt;"",ISNUMBER(H922)),Q922,"")</f>
        <v/>
      </c>
      <c r="W922">
        <f>IF(AND(Q922&lt;&gt;"",ISNUMBER(I922)),Q922,"")</f>
        <v/>
      </c>
      <c r="X922">
        <f>IF(AND(Q922&lt;&gt;"",ISNUMBER(J922)),Q922,"")</f>
        <v/>
      </c>
      <c r="Y922">
        <f>IF(AND(Q922&lt;&gt;"",ISNUMBER(K922)),Q922,"")</f>
        <v/>
      </c>
      <c r="Z922">
        <f>IF(AND(Q922&lt;&gt;"",ISNUMBER(L922)),Q922,"")</f>
        <v/>
      </c>
      <c r="AA922">
        <f>IF(AND(Q922&lt;&gt;"",ISNUMBER(M922)),Q922,"")</f>
        <v/>
      </c>
      <c r="AB922">
        <f>IF(AND(Q922&lt;&gt;"",ISNUMBER(K922)),K922,"")</f>
        <v/>
      </c>
      <c r="AC922">
        <f>IF(AND(Q922&lt;&gt;"",ISNUMBER(L922)),L922,"")</f>
        <v/>
      </c>
      <c r="AD922">
        <f>IF(AND(Q922&lt;&gt;"",ISNUMBER(M922)),M922,"")</f>
        <v/>
      </c>
    </row>
    <row r="923">
      <c r="A923" s="1" t="n"/>
      <c r="B923" s="17" t="n"/>
      <c r="C923" s="27" t="n"/>
      <c r="D923" s="2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9" t="n"/>
      <c r="N923" s="21" t="n"/>
      <c r="O923" s="12">
        <f>IF(AND(B923="",C923=""),"",IF(NOT(ISNUMBER(B923)),"Needs a date",IF(C923="","Needs a client",IF(COUNTIF(Clients!$B$6:$B$105,C923)=0,"Not on Clients",IF(COUNT(D923:M923)=0,"Nothing measured","")))))</f>
        <v/>
      </c>
      <c r="P923" s="1">
        <f>IF(AND(O923="",ISNUMBER(B923)),INT(B923),0)</f>
        <v/>
      </c>
      <c r="Q923">
        <f>IF(AND(P923&gt;0,C923=Report!$C$5),P923*10000+ROW(),"")</f>
        <v/>
      </c>
      <c r="R923">
        <f>IF(AND(Q923&lt;&gt;"",ISNUMBER(D923)),Q923,"")</f>
        <v/>
      </c>
      <c r="S923">
        <f>IF(AND(Q923&lt;&gt;"",ISNUMBER(E923)),Q923,"")</f>
        <v/>
      </c>
      <c r="T923">
        <f>IF(AND(Q923&lt;&gt;"",ISNUMBER(F923)),Q923,"")</f>
        <v/>
      </c>
      <c r="U923">
        <f>IF(AND(Q923&lt;&gt;"",ISNUMBER(G923)),Q923,"")</f>
        <v/>
      </c>
      <c r="V923">
        <f>IF(AND(Q923&lt;&gt;"",ISNUMBER(H923)),Q923,"")</f>
        <v/>
      </c>
      <c r="W923">
        <f>IF(AND(Q923&lt;&gt;"",ISNUMBER(I923)),Q923,"")</f>
        <v/>
      </c>
      <c r="X923">
        <f>IF(AND(Q923&lt;&gt;"",ISNUMBER(J923)),Q923,"")</f>
        <v/>
      </c>
      <c r="Y923">
        <f>IF(AND(Q923&lt;&gt;"",ISNUMBER(K923)),Q923,"")</f>
        <v/>
      </c>
      <c r="Z923">
        <f>IF(AND(Q923&lt;&gt;"",ISNUMBER(L923)),Q923,"")</f>
        <v/>
      </c>
      <c r="AA923">
        <f>IF(AND(Q923&lt;&gt;"",ISNUMBER(M923)),Q923,"")</f>
        <v/>
      </c>
      <c r="AB923">
        <f>IF(AND(Q923&lt;&gt;"",ISNUMBER(K923)),K923,"")</f>
        <v/>
      </c>
      <c r="AC923">
        <f>IF(AND(Q923&lt;&gt;"",ISNUMBER(L923)),L923,"")</f>
        <v/>
      </c>
      <c r="AD923">
        <f>IF(AND(Q923&lt;&gt;"",ISNUMBER(M923)),M923,"")</f>
        <v/>
      </c>
    </row>
    <row r="924">
      <c r="A924" s="1" t="n"/>
      <c r="B924" s="17" t="n"/>
      <c r="C924" s="27" t="n"/>
      <c r="D924" s="28" t="n"/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9" t="n"/>
      <c r="N924" s="21" t="n"/>
      <c r="O924" s="12">
        <f>IF(AND(B924="",C924=""),"",IF(NOT(ISNUMBER(B924)),"Needs a date",IF(C924="","Needs a client",IF(COUNTIF(Clients!$B$6:$B$105,C924)=0,"Not on Clients",IF(COUNT(D924:M924)=0,"Nothing measured","")))))</f>
        <v/>
      </c>
      <c r="P924" s="1">
        <f>IF(AND(O924="",ISNUMBER(B924)),INT(B924),0)</f>
        <v/>
      </c>
      <c r="Q924">
        <f>IF(AND(P924&gt;0,C924=Report!$C$5),P924*10000+ROW(),"")</f>
        <v/>
      </c>
      <c r="R924">
        <f>IF(AND(Q924&lt;&gt;"",ISNUMBER(D924)),Q924,"")</f>
        <v/>
      </c>
      <c r="S924">
        <f>IF(AND(Q924&lt;&gt;"",ISNUMBER(E924)),Q924,"")</f>
        <v/>
      </c>
      <c r="T924">
        <f>IF(AND(Q924&lt;&gt;"",ISNUMBER(F924)),Q924,"")</f>
        <v/>
      </c>
      <c r="U924">
        <f>IF(AND(Q924&lt;&gt;"",ISNUMBER(G924)),Q924,"")</f>
        <v/>
      </c>
      <c r="V924">
        <f>IF(AND(Q924&lt;&gt;"",ISNUMBER(H924)),Q924,"")</f>
        <v/>
      </c>
      <c r="W924">
        <f>IF(AND(Q924&lt;&gt;"",ISNUMBER(I924)),Q924,"")</f>
        <v/>
      </c>
      <c r="X924">
        <f>IF(AND(Q924&lt;&gt;"",ISNUMBER(J924)),Q924,"")</f>
        <v/>
      </c>
      <c r="Y924">
        <f>IF(AND(Q924&lt;&gt;"",ISNUMBER(K924)),Q924,"")</f>
        <v/>
      </c>
      <c r="Z924">
        <f>IF(AND(Q924&lt;&gt;"",ISNUMBER(L924)),Q924,"")</f>
        <v/>
      </c>
      <c r="AA924">
        <f>IF(AND(Q924&lt;&gt;"",ISNUMBER(M924)),Q924,"")</f>
        <v/>
      </c>
      <c r="AB924">
        <f>IF(AND(Q924&lt;&gt;"",ISNUMBER(K924)),K924,"")</f>
        <v/>
      </c>
      <c r="AC924">
        <f>IF(AND(Q924&lt;&gt;"",ISNUMBER(L924)),L924,"")</f>
        <v/>
      </c>
      <c r="AD924">
        <f>IF(AND(Q924&lt;&gt;"",ISNUMBER(M924)),M924,"")</f>
        <v/>
      </c>
    </row>
    <row r="925">
      <c r="A925" s="1" t="n"/>
      <c r="B925" s="17" t="n"/>
      <c r="C925" s="27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9" t="n"/>
      <c r="N925" s="21" t="n"/>
      <c r="O925" s="12">
        <f>IF(AND(B925="",C925=""),"",IF(NOT(ISNUMBER(B925)),"Needs a date",IF(C925="","Needs a client",IF(COUNTIF(Clients!$B$6:$B$105,C925)=0,"Not on Clients",IF(COUNT(D925:M925)=0,"Nothing measured","")))))</f>
        <v/>
      </c>
      <c r="P925" s="1">
        <f>IF(AND(O925="",ISNUMBER(B925)),INT(B925),0)</f>
        <v/>
      </c>
      <c r="Q925">
        <f>IF(AND(P925&gt;0,C925=Report!$C$5),P925*10000+ROW(),"")</f>
        <v/>
      </c>
      <c r="R925">
        <f>IF(AND(Q925&lt;&gt;"",ISNUMBER(D925)),Q925,"")</f>
        <v/>
      </c>
      <c r="S925">
        <f>IF(AND(Q925&lt;&gt;"",ISNUMBER(E925)),Q925,"")</f>
        <v/>
      </c>
      <c r="T925">
        <f>IF(AND(Q925&lt;&gt;"",ISNUMBER(F925)),Q925,"")</f>
        <v/>
      </c>
      <c r="U925">
        <f>IF(AND(Q925&lt;&gt;"",ISNUMBER(G925)),Q925,"")</f>
        <v/>
      </c>
      <c r="V925">
        <f>IF(AND(Q925&lt;&gt;"",ISNUMBER(H925)),Q925,"")</f>
        <v/>
      </c>
      <c r="W925">
        <f>IF(AND(Q925&lt;&gt;"",ISNUMBER(I925)),Q925,"")</f>
        <v/>
      </c>
      <c r="X925">
        <f>IF(AND(Q925&lt;&gt;"",ISNUMBER(J925)),Q925,"")</f>
        <v/>
      </c>
      <c r="Y925">
        <f>IF(AND(Q925&lt;&gt;"",ISNUMBER(K925)),Q925,"")</f>
        <v/>
      </c>
      <c r="Z925">
        <f>IF(AND(Q925&lt;&gt;"",ISNUMBER(L925)),Q925,"")</f>
        <v/>
      </c>
      <c r="AA925">
        <f>IF(AND(Q925&lt;&gt;"",ISNUMBER(M925)),Q925,"")</f>
        <v/>
      </c>
      <c r="AB925">
        <f>IF(AND(Q925&lt;&gt;"",ISNUMBER(K925)),K925,"")</f>
        <v/>
      </c>
      <c r="AC925">
        <f>IF(AND(Q925&lt;&gt;"",ISNUMBER(L925)),L925,"")</f>
        <v/>
      </c>
      <c r="AD925">
        <f>IF(AND(Q925&lt;&gt;"",ISNUMBER(M925)),M925,"")</f>
        <v/>
      </c>
    </row>
    <row r="926">
      <c r="A926" s="1" t="n"/>
      <c r="B926" s="17" t="n"/>
      <c r="C926" s="27" t="n"/>
      <c r="D926" s="2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9" t="n"/>
      <c r="N926" s="21" t="n"/>
      <c r="O926" s="12">
        <f>IF(AND(B926="",C926=""),"",IF(NOT(ISNUMBER(B926)),"Needs a date",IF(C926="","Needs a client",IF(COUNTIF(Clients!$B$6:$B$105,C926)=0,"Not on Clients",IF(COUNT(D926:M926)=0,"Nothing measured","")))))</f>
        <v/>
      </c>
      <c r="P926" s="1">
        <f>IF(AND(O926="",ISNUMBER(B926)),INT(B926),0)</f>
        <v/>
      </c>
      <c r="Q926">
        <f>IF(AND(P926&gt;0,C926=Report!$C$5),P926*10000+ROW(),"")</f>
        <v/>
      </c>
      <c r="R926">
        <f>IF(AND(Q926&lt;&gt;"",ISNUMBER(D926)),Q926,"")</f>
        <v/>
      </c>
      <c r="S926">
        <f>IF(AND(Q926&lt;&gt;"",ISNUMBER(E926)),Q926,"")</f>
        <v/>
      </c>
      <c r="T926">
        <f>IF(AND(Q926&lt;&gt;"",ISNUMBER(F926)),Q926,"")</f>
        <v/>
      </c>
      <c r="U926">
        <f>IF(AND(Q926&lt;&gt;"",ISNUMBER(G926)),Q926,"")</f>
        <v/>
      </c>
      <c r="V926">
        <f>IF(AND(Q926&lt;&gt;"",ISNUMBER(H926)),Q926,"")</f>
        <v/>
      </c>
      <c r="W926">
        <f>IF(AND(Q926&lt;&gt;"",ISNUMBER(I926)),Q926,"")</f>
        <v/>
      </c>
      <c r="X926">
        <f>IF(AND(Q926&lt;&gt;"",ISNUMBER(J926)),Q926,"")</f>
        <v/>
      </c>
      <c r="Y926">
        <f>IF(AND(Q926&lt;&gt;"",ISNUMBER(K926)),Q926,"")</f>
        <v/>
      </c>
      <c r="Z926">
        <f>IF(AND(Q926&lt;&gt;"",ISNUMBER(L926)),Q926,"")</f>
        <v/>
      </c>
      <c r="AA926">
        <f>IF(AND(Q926&lt;&gt;"",ISNUMBER(M926)),Q926,"")</f>
        <v/>
      </c>
      <c r="AB926">
        <f>IF(AND(Q926&lt;&gt;"",ISNUMBER(K926)),K926,"")</f>
        <v/>
      </c>
      <c r="AC926">
        <f>IF(AND(Q926&lt;&gt;"",ISNUMBER(L926)),L926,"")</f>
        <v/>
      </c>
      <c r="AD926">
        <f>IF(AND(Q926&lt;&gt;"",ISNUMBER(M926)),M926,"")</f>
        <v/>
      </c>
    </row>
    <row r="927">
      <c r="A927" s="1" t="n"/>
      <c r="B927" s="17" t="n"/>
      <c r="C927" s="27" t="n"/>
      <c r="D927" s="2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9" t="n"/>
      <c r="N927" s="21" t="n"/>
      <c r="O927" s="12">
        <f>IF(AND(B927="",C927=""),"",IF(NOT(ISNUMBER(B927)),"Needs a date",IF(C927="","Needs a client",IF(COUNTIF(Clients!$B$6:$B$105,C927)=0,"Not on Clients",IF(COUNT(D927:M927)=0,"Nothing measured","")))))</f>
        <v/>
      </c>
      <c r="P927" s="1">
        <f>IF(AND(O927="",ISNUMBER(B927)),INT(B927),0)</f>
        <v/>
      </c>
      <c r="Q927">
        <f>IF(AND(P927&gt;0,C927=Report!$C$5),P927*10000+ROW(),"")</f>
        <v/>
      </c>
      <c r="R927">
        <f>IF(AND(Q927&lt;&gt;"",ISNUMBER(D927)),Q927,"")</f>
        <v/>
      </c>
      <c r="S927">
        <f>IF(AND(Q927&lt;&gt;"",ISNUMBER(E927)),Q927,"")</f>
        <v/>
      </c>
      <c r="T927">
        <f>IF(AND(Q927&lt;&gt;"",ISNUMBER(F927)),Q927,"")</f>
        <v/>
      </c>
      <c r="U927">
        <f>IF(AND(Q927&lt;&gt;"",ISNUMBER(G927)),Q927,"")</f>
        <v/>
      </c>
      <c r="V927">
        <f>IF(AND(Q927&lt;&gt;"",ISNUMBER(H927)),Q927,"")</f>
        <v/>
      </c>
      <c r="W927">
        <f>IF(AND(Q927&lt;&gt;"",ISNUMBER(I927)),Q927,"")</f>
        <v/>
      </c>
      <c r="X927">
        <f>IF(AND(Q927&lt;&gt;"",ISNUMBER(J927)),Q927,"")</f>
        <v/>
      </c>
      <c r="Y927">
        <f>IF(AND(Q927&lt;&gt;"",ISNUMBER(K927)),Q927,"")</f>
        <v/>
      </c>
      <c r="Z927">
        <f>IF(AND(Q927&lt;&gt;"",ISNUMBER(L927)),Q927,"")</f>
        <v/>
      </c>
      <c r="AA927">
        <f>IF(AND(Q927&lt;&gt;"",ISNUMBER(M927)),Q927,"")</f>
        <v/>
      </c>
      <c r="AB927">
        <f>IF(AND(Q927&lt;&gt;"",ISNUMBER(K927)),K927,"")</f>
        <v/>
      </c>
      <c r="AC927">
        <f>IF(AND(Q927&lt;&gt;"",ISNUMBER(L927)),L927,"")</f>
        <v/>
      </c>
      <c r="AD927">
        <f>IF(AND(Q927&lt;&gt;"",ISNUMBER(M927)),M927,"")</f>
        <v/>
      </c>
    </row>
    <row r="928">
      <c r="A928" s="1" t="n"/>
      <c r="B928" s="17" t="n"/>
      <c r="C928" s="27" t="n"/>
      <c r="D928" s="28" t="n"/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9" t="n"/>
      <c r="N928" s="21" t="n"/>
      <c r="O928" s="12">
        <f>IF(AND(B928="",C928=""),"",IF(NOT(ISNUMBER(B928)),"Needs a date",IF(C928="","Needs a client",IF(COUNTIF(Clients!$B$6:$B$105,C928)=0,"Not on Clients",IF(COUNT(D928:M928)=0,"Nothing measured","")))))</f>
        <v/>
      </c>
      <c r="P928" s="1">
        <f>IF(AND(O928="",ISNUMBER(B928)),INT(B928),0)</f>
        <v/>
      </c>
      <c r="Q928">
        <f>IF(AND(P928&gt;0,C928=Report!$C$5),P928*10000+ROW(),"")</f>
        <v/>
      </c>
      <c r="R928">
        <f>IF(AND(Q928&lt;&gt;"",ISNUMBER(D928)),Q928,"")</f>
        <v/>
      </c>
      <c r="S928">
        <f>IF(AND(Q928&lt;&gt;"",ISNUMBER(E928)),Q928,"")</f>
        <v/>
      </c>
      <c r="T928">
        <f>IF(AND(Q928&lt;&gt;"",ISNUMBER(F928)),Q928,"")</f>
        <v/>
      </c>
      <c r="U928">
        <f>IF(AND(Q928&lt;&gt;"",ISNUMBER(G928)),Q928,"")</f>
        <v/>
      </c>
      <c r="V928">
        <f>IF(AND(Q928&lt;&gt;"",ISNUMBER(H928)),Q928,"")</f>
        <v/>
      </c>
      <c r="W928">
        <f>IF(AND(Q928&lt;&gt;"",ISNUMBER(I928)),Q928,"")</f>
        <v/>
      </c>
      <c r="X928">
        <f>IF(AND(Q928&lt;&gt;"",ISNUMBER(J928)),Q928,"")</f>
        <v/>
      </c>
      <c r="Y928">
        <f>IF(AND(Q928&lt;&gt;"",ISNUMBER(K928)),Q928,"")</f>
        <v/>
      </c>
      <c r="Z928">
        <f>IF(AND(Q928&lt;&gt;"",ISNUMBER(L928)),Q928,"")</f>
        <v/>
      </c>
      <c r="AA928">
        <f>IF(AND(Q928&lt;&gt;"",ISNUMBER(M928)),Q928,"")</f>
        <v/>
      </c>
      <c r="AB928">
        <f>IF(AND(Q928&lt;&gt;"",ISNUMBER(K928)),K928,"")</f>
        <v/>
      </c>
      <c r="AC928">
        <f>IF(AND(Q928&lt;&gt;"",ISNUMBER(L928)),L928,"")</f>
        <v/>
      </c>
      <c r="AD928">
        <f>IF(AND(Q928&lt;&gt;"",ISNUMBER(M928)),M928,"")</f>
        <v/>
      </c>
    </row>
    <row r="929">
      <c r="A929" s="1" t="n"/>
      <c r="B929" s="17" t="n"/>
      <c r="C929" s="27" t="n"/>
      <c r="D929" s="28" t="n"/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9" t="n"/>
      <c r="N929" s="21" t="n"/>
      <c r="O929" s="12">
        <f>IF(AND(B929="",C929=""),"",IF(NOT(ISNUMBER(B929)),"Needs a date",IF(C929="","Needs a client",IF(COUNTIF(Clients!$B$6:$B$105,C929)=0,"Not on Clients",IF(COUNT(D929:M929)=0,"Nothing measured","")))))</f>
        <v/>
      </c>
      <c r="P929" s="1">
        <f>IF(AND(O929="",ISNUMBER(B929)),INT(B929),0)</f>
        <v/>
      </c>
      <c r="Q929">
        <f>IF(AND(P929&gt;0,C929=Report!$C$5),P929*10000+ROW(),"")</f>
        <v/>
      </c>
      <c r="R929">
        <f>IF(AND(Q929&lt;&gt;"",ISNUMBER(D929)),Q929,"")</f>
        <v/>
      </c>
      <c r="S929">
        <f>IF(AND(Q929&lt;&gt;"",ISNUMBER(E929)),Q929,"")</f>
        <v/>
      </c>
      <c r="T929">
        <f>IF(AND(Q929&lt;&gt;"",ISNUMBER(F929)),Q929,"")</f>
        <v/>
      </c>
      <c r="U929">
        <f>IF(AND(Q929&lt;&gt;"",ISNUMBER(G929)),Q929,"")</f>
        <v/>
      </c>
      <c r="V929">
        <f>IF(AND(Q929&lt;&gt;"",ISNUMBER(H929)),Q929,"")</f>
        <v/>
      </c>
      <c r="W929">
        <f>IF(AND(Q929&lt;&gt;"",ISNUMBER(I929)),Q929,"")</f>
        <v/>
      </c>
      <c r="X929">
        <f>IF(AND(Q929&lt;&gt;"",ISNUMBER(J929)),Q929,"")</f>
        <v/>
      </c>
      <c r="Y929">
        <f>IF(AND(Q929&lt;&gt;"",ISNUMBER(K929)),Q929,"")</f>
        <v/>
      </c>
      <c r="Z929">
        <f>IF(AND(Q929&lt;&gt;"",ISNUMBER(L929)),Q929,"")</f>
        <v/>
      </c>
      <c r="AA929">
        <f>IF(AND(Q929&lt;&gt;"",ISNUMBER(M929)),Q929,"")</f>
        <v/>
      </c>
      <c r="AB929">
        <f>IF(AND(Q929&lt;&gt;"",ISNUMBER(K929)),K929,"")</f>
        <v/>
      </c>
      <c r="AC929">
        <f>IF(AND(Q929&lt;&gt;"",ISNUMBER(L929)),L929,"")</f>
        <v/>
      </c>
      <c r="AD929">
        <f>IF(AND(Q929&lt;&gt;"",ISNUMBER(M929)),M929,"")</f>
        <v/>
      </c>
    </row>
    <row r="930">
      <c r="A930" s="1" t="n"/>
      <c r="B930" s="17" t="n"/>
      <c r="C930" s="27" t="n"/>
      <c r="D930" s="2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9" t="n"/>
      <c r="N930" s="21" t="n"/>
      <c r="O930" s="12">
        <f>IF(AND(B930="",C930=""),"",IF(NOT(ISNUMBER(B930)),"Needs a date",IF(C930="","Needs a client",IF(COUNTIF(Clients!$B$6:$B$105,C930)=0,"Not on Clients",IF(COUNT(D930:M930)=0,"Nothing measured","")))))</f>
        <v/>
      </c>
      <c r="P930" s="1">
        <f>IF(AND(O930="",ISNUMBER(B930)),INT(B930),0)</f>
        <v/>
      </c>
      <c r="Q930">
        <f>IF(AND(P930&gt;0,C930=Report!$C$5),P930*10000+ROW(),"")</f>
        <v/>
      </c>
      <c r="R930">
        <f>IF(AND(Q930&lt;&gt;"",ISNUMBER(D930)),Q930,"")</f>
        <v/>
      </c>
      <c r="S930">
        <f>IF(AND(Q930&lt;&gt;"",ISNUMBER(E930)),Q930,"")</f>
        <v/>
      </c>
      <c r="T930">
        <f>IF(AND(Q930&lt;&gt;"",ISNUMBER(F930)),Q930,"")</f>
        <v/>
      </c>
      <c r="U930">
        <f>IF(AND(Q930&lt;&gt;"",ISNUMBER(G930)),Q930,"")</f>
        <v/>
      </c>
      <c r="V930">
        <f>IF(AND(Q930&lt;&gt;"",ISNUMBER(H930)),Q930,"")</f>
        <v/>
      </c>
      <c r="W930">
        <f>IF(AND(Q930&lt;&gt;"",ISNUMBER(I930)),Q930,"")</f>
        <v/>
      </c>
      <c r="X930">
        <f>IF(AND(Q930&lt;&gt;"",ISNUMBER(J930)),Q930,"")</f>
        <v/>
      </c>
      <c r="Y930">
        <f>IF(AND(Q930&lt;&gt;"",ISNUMBER(K930)),Q930,"")</f>
        <v/>
      </c>
      <c r="Z930">
        <f>IF(AND(Q930&lt;&gt;"",ISNUMBER(L930)),Q930,"")</f>
        <v/>
      </c>
      <c r="AA930">
        <f>IF(AND(Q930&lt;&gt;"",ISNUMBER(M930)),Q930,"")</f>
        <v/>
      </c>
      <c r="AB930">
        <f>IF(AND(Q930&lt;&gt;"",ISNUMBER(K930)),K930,"")</f>
        <v/>
      </c>
      <c r="AC930">
        <f>IF(AND(Q930&lt;&gt;"",ISNUMBER(L930)),L930,"")</f>
        <v/>
      </c>
      <c r="AD930">
        <f>IF(AND(Q930&lt;&gt;"",ISNUMBER(M930)),M930,"")</f>
        <v/>
      </c>
    </row>
    <row r="931">
      <c r="A931" s="1" t="n"/>
      <c r="B931" s="17" t="n"/>
      <c r="C931" s="27" t="n"/>
      <c r="D931" s="28" t="n"/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9" t="n"/>
      <c r="N931" s="21" t="n"/>
      <c r="O931" s="12">
        <f>IF(AND(B931="",C931=""),"",IF(NOT(ISNUMBER(B931)),"Needs a date",IF(C931="","Needs a client",IF(COUNTIF(Clients!$B$6:$B$105,C931)=0,"Not on Clients",IF(COUNT(D931:M931)=0,"Nothing measured","")))))</f>
        <v/>
      </c>
      <c r="P931" s="1">
        <f>IF(AND(O931="",ISNUMBER(B931)),INT(B931),0)</f>
        <v/>
      </c>
      <c r="Q931">
        <f>IF(AND(P931&gt;0,C931=Report!$C$5),P931*10000+ROW(),"")</f>
        <v/>
      </c>
      <c r="R931">
        <f>IF(AND(Q931&lt;&gt;"",ISNUMBER(D931)),Q931,"")</f>
        <v/>
      </c>
      <c r="S931">
        <f>IF(AND(Q931&lt;&gt;"",ISNUMBER(E931)),Q931,"")</f>
        <v/>
      </c>
      <c r="T931">
        <f>IF(AND(Q931&lt;&gt;"",ISNUMBER(F931)),Q931,"")</f>
        <v/>
      </c>
      <c r="U931">
        <f>IF(AND(Q931&lt;&gt;"",ISNUMBER(G931)),Q931,"")</f>
        <v/>
      </c>
      <c r="V931">
        <f>IF(AND(Q931&lt;&gt;"",ISNUMBER(H931)),Q931,"")</f>
        <v/>
      </c>
      <c r="W931">
        <f>IF(AND(Q931&lt;&gt;"",ISNUMBER(I931)),Q931,"")</f>
        <v/>
      </c>
      <c r="X931">
        <f>IF(AND(Q931&lt;&gt;"",ISNUMBER(J931)),Q931,"")</f>
        <v/>
      </c>
      <c r="Y931">
        <f>IF(AND(Q931&lt;&gt;"",ISNUMBER(K931)),Q931,"")</f>
        <v/>
      </c>
      <c r="Z931">
        <f>IF(AND(Q931&lt;&gt;"",ISNUMBER(L931)),Q931,"")</f>
        <v/>
      </c>
      <c r="AA931">
        <f>IF(AND(Q931&lt;&gt;"",ISNUMBER(M931)),Q931,"")</f>
        <v/>
      </c>
      <c r="AB931">
        <f>IF(AND(Q931&lt;&gt;"",ISNUMBER(K931)),K931,"")</f>
        <v/>
      </c>
      <c r="AC931">
        <f>IF(AND(Q931&lt;&gt;"",ISNUMBER(L931)),L931,"")</f>
        <v/>
      </c>
      <c r="AD931">
        <f>IF(AND(Q931&lt;&gt;"",ISNUMBER(M931)),M931,"")</f>
        <v/>
      </c>
    </row>
    <row r="932">
      <c r="A932" s="1" t="n"/>
      <c r="B932" s="17" t="n"/>
      <c r="C932" s="27" t="n"/>
      <c r="D932" s="2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9" t="n"/>
      <c r="N932" s="21" t="n"/>
      <c r="O932" s="12">
        <f>IF(AND(B932="",C932=""),"",IF(NOT(ISNUMBER(B932)),"Needs a date",IF(C932="","Needs a client",IF(COUNTIF(Clients!$B$6:$B$105,C932)=0,"Not on Clients",IF(COUNT(D932:M932)=0,"Nothing measured","")))))</f>
        <v/>
      </c>
      <c r="P932" s="1">
        <f>IF(AND(O932="",ISNUMBER(B932)),INT(B932),0)</f>
        <v/>
      </c>
      <c r="Q932">
        <f>IF(AND(P932&gt;0,C932=Report!$C$5),P932*10000+ROW(),"")</f>
        <v/>
      </c>
      <c r="R932">
        <f>IF(AND(Q932&lt;&gt;"",ISNUMBER(D932)),Q932,"")</f>
        <v/>
      </c>
      <c r="S932">
        <f>IF(AND(Q932&lt;&gt;"",ISNUMBER(E932)),Q932,"")</f>
        <v/>
      </c>
      <c r="T932">
        <f>IF(AND(Q932&lt;&gt;"",ISNUMBER(F932)),Q932,"")</f>
        <v/>
      </c>
      <c r="U932">
        <f>IF(AND(Q932&lt;&gt;"",ISNUMBER(G932)),Q932,"")</f>
        <v/>
      </c>
      <c r="V932">
        <f>IF(AND(Q932&lt;&gt;"",ISNUMBER(H932)),Q932,"")</f>
        <v/>
      </c>
      <c r="W932">
        <f>IF(AND(Q932&lt;&gt;"",ISNUMBER(I932)),Q932,"")</f>
        <v/>
      </c>
      <c r="X932">
        <f>IF(AND(Q932&lt;&gt;"",ISNUMBER(J932)),Q932,"")</f>
        <v/>
      </c>
      <c r="Y932">
        <f>IF(AND(Q932&lt;&gt;"",ISNUMBER(K932)),Q932,"")</f>
        <v/>
      </c>
      <c r="Z932">
        <f>IF(AND(Q932&lt;&gt;"",ISNUMBER(L932)),Q932,"")</f>
        <v/>
      </c>
      <c r="AA932">
        <f>IF(AND(Q932&lt;&gt;"",ISNUMBER(M932)),Q932,"")</f>
        <v/>
      </c>
      <c r="AB932">
        <f>IF(AND(Q932&lt;&gt;"",ISNUMBER(K932)),K932,"")</f>
        <v/>
      </c>
      <c r="AC932">
        <f>IF(AND(Q932&lt;&gt;"",ISNUMBER(L932)),L932,"")</f>
        <v/>
      </c>
      <c r="AD932">
        <f>IF(AND(Q932&lt;&gt;"",ISNUMBER(M932)),M932,"")</f>
        <v/>
      </c>
    </row>
    <row r="933">
      <c r="A933" s="1" t="n"/>
      <c r="B933" s="17" t="n"/>
      <c r="C933" s="27" t="n"/>
      <c r="D933" s="28" t="n"/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9" t="n"/>
      <c r="N933" s="21" t="n"/>
      <c r="O933" s="12">
        <f>IF(AND(B933="",C933=""),"",IF(NOT(ISNUMBER(B933)),"Needs a date",IF(C933="","Needs a client",IF(COUNTIF(Clients!$B$6:$B$105,C933)=0,"Not on Clients",IF(COUNT(D933:M933)=0,"Nothing measured","")))))</f>
        <v/>
      </c>
      <c r="P933" s="1">
        <f>IF(AND(O933="",ISNUMBER(B933)),INT(B933),0)</f>
        <v/>
      </c>
      <c r="Q933">
        <f>IF(AND(P933&gt;0,C933=Report!$C$5),P933*10000+ROW(),"")</f>
        <v/>
      </c>
      <c r="R933">
        <f>IF(AND(Q933&lt;&gt;"",ISNUMBER(D933)),Q933,"")</f>
        <v/>
      </c>
      <c r="S933">
        <f>IF(AND(Q933&lt;&gt;"",ISNUMBER(E933)),Q933,"")</f>
        <v/>
      </c>
      <c r="T933">
        <f>IF(AND(Q933&lt;&gt;"",ISNUMBER(F933)),Q933,"")</f>
        <v/>
      </c>
      <c r="U933">
        <f>IF(AND(Q933&lt;&gt;"",ISNUMBER(G933)),Q933,"")</f>
        <v/>
      </c>
      <c r="V933">
        <f>IF(AND(Q933&lt;&gt;"",ISNUMBER(H933)),Q933,"")</f>
        <v/>
      </c>
      <c r="W933">
        <f>IF(AND(Q933&lt;&gt;"",ISNUMBER(I933)),Q933,"")</f>
        <v/>
      </c>
      <c r="X933">
        <f>IF(AND(Q933&lt;&gt;"",ISNUMBER(J933)),Q933,"")</f>
        <v/>
      </c>
      <c r="Y933">
        <f>IF(AND(Q933&lt;&gt;"",ISNUMBER(K933)),Q933,"")</f>
        <v/>
      </c>
      <c r="Z933">
        <f>IF(AND(Q933&lt;&gt;"",ISNUMBER(L933)),Q933,"")</f>
        <v/>
      </c>
      <c r="AA933">
        <f>IF(AND(Q933&lt;&gt;"",ISNUMBER(M933)),Q933,"")</f>
        <v/>
      </c>
      <c r="AB933">
        <f>IF(AND(Q933&lt;&gt;"",ISNUMBER(K933)),K933,"")</f>
        <v/>
      </c>
      <c r="AC933">
        <f>IF(AND(Q933&lt;&gt;"",ISNUMBER(L933)),L933,"")</f>
        <v/>
      </c>
      <c r="AD933">
        <f>IF(AND(Q933&lt;&gt;"",ISNUMBER(M933)),M933,"")</f>
        <v/>
      </c>
    </row>
    <row r="934">
      <c r="A934" s="1" t="n"/>
      <c r="B934" s="17" t="n"/>
      <c r="C934" s="27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9" t="n"/>
      <c r="N934" s="21" t="n"/>
      <c r="O934" s="12">
        <f>IF(AND(B934="",C934=""),"",IF(NOT(ISNUMBER(B934)),"Needs a date",IF(C934="","Needs a client",IF(COUNTIF(Clients!$B$6:$B$105,C934)=0,"Not on Clients",IF(COUNT(D934:M934)=0,"Nothing measured","")))))</f>
        <v/>
      </c>
      <c r="P934" s="1">
        <f>IF(AND(O934="",ISNUMBER(B934)),INT(B934),0)</f>
        <v/>
      </c>
      <c r="Q934">
        <f>IF(AND(P934&gt;0,C934=Report!$C$5),P934*10000+ROW(),"")</f>
        <v/>
      </c>
      <c r="R934">
        <f>IF(AND(Q934&lt;&gt;"",ISNUMBER(D934)),Q934,"")</f>
        <v/>
      </c>
      <c r="S934">
        <f>IF(AND(Q934&lt;&gt;"",ISNUMBER(E934)),Q934,"")</f>
        <v/>
      </c>
      <c r="T934">
        <f>IF(AND(Q934&lt;&gt;"",ISNUMBER(F934)),Q934,"")</f>
        <v/>
      </c>
      <c r="U934">
        <f>IF(AND(Q934&lt;&gt;"",ISNUMBER(G934)),Q934,"")</f>
        <v/>
      </c>
      <c r="V934">
        <f>IF(AND(Q934&lt;&gt;"",ISNUMBER(H934)),Q934,"")</f>
        <v/>
      </c>
      <c r="W934">
        <f>IF(AND(Q934&lt;&gt;"",ISNUMBER(I934)),Q934,"")</f>
        <v/>
      </c>
      <c r="X934">
        <f>IF(AND(Q934&lt;&gt;"",ISNUMBER(J934)),Q934,"")</f>
        <v/>
      </c>
      <c r="Y934">
        <f>IF(AND(Q934&lt;&gt;"",ISNUMBER(K934)),Q934,"")</f>
        <v/>
      </c>
      <c r="Z934">
        <f>IF(AND(Q934&lt;&gt;"",ISNUMBER(L934)),Q934,"")</f>
        <v/>
      </c>
      <c r="AA934">
        <f>IF(AND(Q934&lt;&gt;"",ISNUMBER(M934)),Q934,"")</f>
        <v/>
      </c>
      <c r="AB934">
        <f>IF(AND(Q934&lt;&gt;"",ISNUMBER(K934)),K934,"")</f>
        <v/>
      </c>
      <c r="AC934">
        <f>IF(AND(Q934&lt;&gt;"",ISNUMBER(L934)),L934,"")</f>
        <v/>
      </c>
      <c r="AD934">
        <f>IF(AND(Q934&lt;&gt;"",ISNUMBER(M934)),M934,"")</f>
        <v/>
      </c>
    </row>
    <row r="935">
      <c r="A935" s="1" t="n"/>
      <c r="B935" s="17" t="n"/>
      <c r="C935" s="27" t="n"/>
      <c r="D935" s="2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9" t="n"/>
      <c r="N935" s="21" t="n"/>
      <c r="O935" s="12">
        <f>IF(AND(B935="",C935=""),"",IF(NOT(ISNUMBER(B935)),"Needs a date",IF(C935="","Needs a client",IF(COUNTIF(Clients!$B$6:$B$105,C935)=0,"Not on Clients",IF(COUNT(D935:M935)=0,"Nothing measured","")))))</f>
        <v/>
      </c>
      <c r="P935" s="1">
        <f>IF(AND(O935="",ISNUMBER(B935)),INT(B935),0)</f>
        <v/>
      </c>
      <c r="Q935">
        <f>IF(AND(P935&gt;0,C935=Report!$C$5),P935*10000+ROW(),"")</f>
        <v/>
      </c>
      <c r="R935">
        <f>IF(AND(Q935&lt;&gt;"",ISNUMBER(D935)),Q935,"")</f>
        <v/>
      </c>
      <c r="S935">
        <f>IF(AND(Q935&lt;&gt;"",ISNUMBER(E935)),Q935,"")</f>
        <v/>
      </c>
      <c r="T935">
        <f>IF(AND(Q935&lt;&gt;"",ISNUMBER(F935)),Q935,"")</f>
        <v/>
      </c>
      <c r="U935">
        <f>IF(AND(Q935&lt;&gt;"",ISNUMBER(G935)),Q935,"")</f>
        <v/>
      </c>
      <c r="V935">
        <f>IF(AND(Q935&lt;&gt;"",ISNUMBER(H935)),Q935,"")</f>
        <v/>
      </c>
      <c r="W935">
        <f>IF(AND(Q935&lt;&gt;"",ISNUMBER(I935)),Q935,"")</f>
        <v/>
      </c>
      <c r="X935">
        <f>IF(AND(Q935&lt;&gt;"",ISNUMBER(J935)),Q935,"")</f>
        <v/>
      </c>
      <c r="Y935">
        <f>IF(AND(Q935&lt;&gt;"",ISNUMBER(K935)),Q935,"")</f>
        <v/>
      </c>
      <c r="Z935">
        <f>IF(AND(Q935&lt;&gt;"",ISNUMBER(L935)),Q935,"")</f>
        <v/>
      </c>
      <c r="AA935">
        <f>IF(AND(Q935&lt;&gt;"",ISNUMBER(M935)),Q935,"")</f>
        <v/>
      </c>
      <c r="AB935">
        <f>IF(AND(Q935&lt;&gt;"",ISNUMBER(K935)),K935,"")</f>
        <v/>
      </c>
      <c r="AC935">
        <f>IF(AND(Q935&lt;&gt;"",ISNUMBER(L935)),L935,"")</f>
        <v/>
      </c>
      <c r="AD935">
        <f>IF(AND(Q935&lt;&gt;"",ISNUMBER(M935)),M935,"")</f>
        <v/>
      </c>
    </row>
    <row r="936">
      <c r="A936" s="1" t="n"/>
      <c r="B936" s="17" t="n"/>
      <c r="C936" s="27" t="n"/>
      <c r="D936" s="2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9" t="n"/>
      <c r="N936" s="21" t="n"/>
      <c r="O936" s="12">
        <f>IF(AND(B936="",C936=""),"",IF(NOT(ISNUMBER(B936)),"Needs a date",IF(C936="","Needs a client",IF(COUNTIF(Clients!$B$6:$B$105,C936)=0,"Not on Clients",IF(COUNT(D936:M936)=0,"Nothing measured","")))))</f>
        <v/>
      </c>
      <c r="P936" s="1">
        <f>IF(AND(O936="",ISNUMBER(B936)),INT(B936),0)</f>
        <v/>
      </c>
      <c r="Q936">
        <f>IF(AND(P936&gt;0,C936=Report!$C$5),P936*10000+ROW(),"")</f>
        <v/>
      </c>
      <c r="R936">
        <f>IF(AND(Q936&lt;&gt;"",ISNUMBER(D936)),Q936,"")</f>
        <v/>
      </c>
      <c r="S936">
        <f>IF(AND(Q936&lt;&gt;"",ISNUMBER(E936)),Q936,"")</f>
        <v/>
      </c>
      <c r="T936">
        <f>IF(AND(Q936&lt;&gt;"",ISNUMBER(F936)),Q936,"")</f>
        <v/>
      </c>
      <c r="U936">
        <f>IF(AND(Q936&lt;&gt;"",ISNUMBER(G936)),Q936,"")</f>
        <v/>
      </c>
      <c r="V936">
        <f>IF(AND(Q936&lt;&gt;"",ISNUMBER(H936)),Q936,"")</f>
        <v/>
      </c>
      <c r="W936">
        <f>IF(AND(Q936&lt;&gt;"",ISNUMBER(I936)),Q936,"")</f>
        <v/>
      </c>
      <c r="X936">
        <f>IF(AND(Q936&lt;&gt;"",ISNUMBER(J936)),Q936,"")</f>
        <v/>
      </c>
      <c r="Y936">
        <f>IF(AND(Q936&lt;&gt;"",ISNUMBER(K936)),Q936,"")</f>
        <v/>
      </c>
      <c r="Z936">
        <f>IF(AND(Q936&lt;&gt;"",ISNUMBER(L936)),Q936,"")</f>
        <v/>
      </c>
      <c r="AA936">
        <f>IF(AND(Q936&lt;&gt;"",ISNUMBER(M936)),Q936,"")</f>
        <v/>
      </c>
      <c r="AB936">
        <f>IF(AND(Q936&lt;&gt;"",ISNUMBER(K936)),K936,"")</f>
        <v/>
      </c>
      <c r="AC936">
        <f>IF(AND(Q936&lt;&gt;"",ISNUMBER(L936)),L936,"")</f>
        <v/>
      </c>
      <c r="AD936">
        <f>IF(AND(Q936&lt;&gt;"",ISNUMBER(M936)),M936,"")</f>
        <v/>
      </c>
    </row>
    <row r="937">
      <c r="A937" s="1" t="n"/>
      <c r="B937" s="17" t="n"/>
      <c r="C937" s="27" t="n"/>
      <c r="D937" s="28" t="n"/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9" t="n"/>
      <c r="N937" s="21" t="n"/>
      <c r="O937" s="12">
        <f>IF(AND(B937="",C937=""),"",IF(NOT(ISNUMBER(B937)),"Needs a date",IF(C937="","Needs a client",IF(COUNTIF(Clients!$B$6:$B$105,C937)=0,"Not on Clients",IF(COUNT(D937:M937)=0,"Nothing measured","")))))</f>
        <v/>
      </c>
      <c r="P937" s="1">
        <f>IF(AND(O937="",ISNUMBER(B937)),INT(B937),0)</f>
        <v/>
      </c>
      <c r="Q937">
        <f>IF(AND(P937&gt;0,C937=Report!$C$5),P937*10000+ROW(),"")</f>
        <v/>
      </c>
      <c r="R937">
        <f>IF(AND(Q937&lt;&gt;"",ISNUMBER(D937)),Q937,"")</f>
        <v/>
      </c>
      <c r="S937">
        <f>IF(AND(Q937&lt;&gt;"",ISNUMBER(E937)),Q937,"")</f>
        <v/>
      </c>
      <c r="T937">
        <f>IF(AND(Q937&lt;&gt;"",ISNUMBER(F937)),Q937,"")</f>
        <v/>
      </c>
      <c r="U937">
        <f>IF(AND(Q937&lt;&gt;"",ISNUMBER(G937)),Q937,"")</f>
        <v/>
      </c>
      <c r="V937">
        <f>IF(AND(Q937&lt;&gt;"",ISNUMBER(H937)),Q937,"")</f>
        <v/>
      </c>
      <c r="W937">
        <f>IF(AND(Q937&lt;&gt;"",ISNUMBER(I937)),Q937,"")</f>
        <v/>
      </c>
      <c r="X937">
        <f>IF(AND(Q937&lt;&gt;"",ISNUMBER(J937)),Q937,"")</f>
        <v/>
      </c>
      <c r="Y937">
        <f>IF(AND(Q937&lt;&gt;"",ISNUMBER(K937)),Q937,"")</f>
        <v/>
      </c>
      <c r="Z937">
        <f>IF(AND(Q937&lt;&gt;"",ISNUMBER(L937)),Q937,"")</f>
        <v/>
      </c>
      <c r="AA937">
        <f>IF(AND(Q937&lt;&gt;"",ISNUMBER(M937)),Q937,"")</f>
        <v/>
      </c>
      <c r="AB937">
        <f>IF(AND(Q937&lt;&gt;"",ISNUMBER(K937)),K937,"")</f>
        <v/>
      </c>
      <c r="AC937">
        <f>IF(AND(Q937&lt;&gt;"",ISNUMBER(L937)),L937,"")</f>
        <v/>
      </c>
      <c r="AD937">
        <f>IF(AND(Q937&lt;&gt;"",ISNUMBER(M937)),M937,"")</f>
        <v/>
      </c>
    </row>
    <row r="938">
      <c r="A938" s="1" t="n"/>
      <c r="B938" s="17" t="n"/>
      <c r="C938" s="27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9" t="n"/>
      <c r="N938" s="21" t="n"/>
      <c r="O938" s="12">
        <f>IF(AND(B938="",C938=""),"",IF(NOT(ISNUMBER(B938)),"Needs a date",IF(C938="","Needs a client",IF(COUNTIF(Clients!$B$6:$B$105,C938)=0,"Not on Clients",IF(COUNT(D938:M938)=0,"Nothing measured","")))))</f>
        <v/>
      </c>
      <c r="P938" s="1">
        <f>IF(AND(O938="",ISNUMBER(B938)),INT(B938),0)</f>
        <v/>
      </c>
      <c r="Q938">
        <f>IF(AND(P938&gt;0,C938=Report!$C$5),P938*10000+ROW(),"")</f>
        <v/>
      </c>
      <c r="R938">
        <f>IF(AND(Q938&lt;&gt;"",ISNUMBER(D938)),Q938,"")</f>
        <v/>
      </c>
      <c r="S938">
        <f>IF(AND(Q938&lt;&gt;"",ISNUMBER(E938)),Q938,"")</f>
        <v/>
      </c>
      <c r="T938">
        <f>IF(AND(Q938&lt;&gt;"",ISNUMBER(F938)),Q938,"")</f>
        <v/>
      </c>
      <c r="U938">
        <f>IF(AND(Q938&lt;&gt;"",ISNUMBER(G938)),Q938,"")</f>
        <v/>
      </c>
      <c r="V938">
        <f>IF(AND(Q938&lt;&gt;"",ISNUMBER(H938)),Q938,"")</f>
        <v/>
      </c>
      <c r="W938">
        <f>IF(AND(Q938&lt;&gt;"",ISNUMBER(I938)),Q938,"")</f>
        <v/>
      </c>
      <c r="X938">
        <f>IF(AND(Q938&lt;&gt;"",ISNUMBER(J938)),Q938,"")</f>
        <v/>
      </c>
      <c r="Y938">
        <f>IF(AND(Q938&lt;&gt;"",ISNUMBER(K938)),Q938,"")</f>
        <v/>
      </c>
      <c r="Z938">
        <f>IF(AND(Q938&lt;&gt;"",ISNUMBER(L938)),Q938,"")</f>
        <v/>
      </c>
      <c r="AA938">
        <f>IF(AND(Q938&lt;&gt;"",ISNUMBER(M938)),Q938,"")</f>
        <v/>
      </c>
      <c r="AB938">
        <f>IF(AND(Q938&lt;&gt;"",ISNUMBER(K938)),K938,"")</f>
        <v/>
      </c>
      <c r="AC938">
        <f>IF(AND(Q938&lt;&gt;"",ISNUMBER(L938)),L938,"")</f>
        <v/>
      </c>
      <c r="AD938">
        <f>IF(AND(Q938&lt;&gt;"",ISNUMBER(M938)),M938,"")</f>
        <v/>
      </c>
    </row>
    <row r="939">
      <c r="A939" s="1" t="n"/>
      <c r="B939" s="17" t="n"/>
      <c r="C939" s="27" t="n"/>
      <c r="D939" s="2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9" t="n"/>
      <c r="N939" s="21" t="n"/>
      <c r="O939" s="12">
        <f>IF(AND(B939="",C939=""),"",IF(NOT(ISNUMBER(B939)),"Needs a date",IF(C939="","Needs a client",IF(COUNTIF(Clients!$B$6:$B$105,C939)=0,"Not on Clients",IF(COUNT(D939:M939)=0,"Nothing measured","")))))</f>
        <v/>
      </c>
      <c r="P939" s="1">
        <f>IF(AND(O939="",ISNUMBER(B939)),INT(B939),0)</f>
        <v/>
      </c>
      <c r="Q939">
        <f>IF(AND(P939&gt;0,C939=Report!$C$5),P939*10000+ROW(),"")</f>
        <v/>
      </c>
      <c r="R939">
        <f>IF(AND(Q939&lt;&gt;"",ISNUMBER(D939)),Q939,"")</f>
        <v/>
      </c>
      <c r="S939">
        <f>IF(AND(Q939&lt;&gt;"",ISNUMBER(E939)),Q939,"")</f>
        <v/>
      </c>
      <c r="T939">
        <f>IF(AND(Q939&lt;&gt;"",ISNUMBER(F939)),Q939,"")</f>
        <v/>
      </c>
      <c r="U939">
        <f>IF(AND(Q939&lt;&gt;"",ISNUMBER(G939)),Q939,"")</f>
        <v/>
      </c>
      <c r="V939">
        <f>IF(AND(Q939&lt;&gt;"",ISNUMBER(H939)),Q939,"")</f>
        <v/>
      </c>
      <c r="W939">
        <f>IF(AND(Q939&lt;&gt;"",ISNUMBER(I939)),Q939,"")</f>
        <v/>
      </c>
      <c r="X939">
        <f>IF(AND(Q939&lt;&gt;"",ISNUMBER(J939)),Q939,"")</f>
        <v/>
      </c>
      <c r="Y939">
        <f>IF(AND(Q939&lt;&gt;"",ISNUMBER(K939)),Q939,"")</f>
        <v/>
      </c>
      <c r="Z939">
        <f>IF(AND(Q939&lt;&gt;"",ISNUMBER(L939)),Q939,"")</f>
        <v/>
      </c>
      <c r="AA939">
        <f>IF(AND(Q939&lt;&gt;"",ISNUMBER(M939)),Q939,"")</f>
        <v/>
      </c>
      <c r="AB939">
        <f>IF(AND(Q939&lt;&gt;"",ISNUMBER(K939)),K939,"")</f>
        <v/>
      </c>
      <c r="AC939">
        <f>IF(AND(Q939&lt;&gt;"",ISNUMBER(L939)),L939,"")</f>
        <v/>
      </c>
      <c r="AD939">
        <f>IF(AND(Q939&lt;&gt;"",ISNUMBER(M939)),M939,"")</f>
        <v/>
      </c>
    </row>
    <row r="940">
      <c r="A940" s="1" t="n"/>
      <c r="B940" s="17" t="n"/>
      <c r="C940" s="27" t="n"/>
      <c r="D940" s="28" t="n"/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9" t="n"/>
      <c r="N940" s="21" t="n"/>
      <c r="O940" s="12">
        <f>IF(AND(B940="",C940=""),"",IF(NOT(ISNUMBER(B940)),"Needs a date",IF(C940="","Needs a client",IF(COUNTIF(Clients!$B$6:$B$105,C940)=0,"Not on Clients",IF(COUNT(D940:M940)=0,"Nothing measured","")))))</f>
        <v/>
      </c>
      <c r="P940" s="1">
        <f>IF(AND(O940="",ISNUMBER(B940)),INT(B940),0)</f>
        <v/>
      </c>
      <c r="Q940">
        <f>IF(AND(P940&gt;0,C940=Report!$C$5),P940*10000+ROW(),"")</f>
        <v/>
      </c>
      <c r="R940">
        <f>IF(AND(Q940&lt;&gt;"",ISNUMBER(D940)),Q940,"")</f>
        <v/>
      </c>
      <c r="S940">
        <f>IF(AND(Q940&lt;&gt;"",ISNUMBER(E940)),Q940,"")</f>
        <v/>
      </c>
      <c r="T940">
        <f>IF(AND(Q940&lt;&gt;"",ISNUMBER(F940)),Q940,"")</f>
        <v/>
      </c>
      <c r="U940">
        <f>IF(AND(Q940&lt;&gt;"",ISNUMBER(G940)),Q940,"")</f>
        <v/>
      </c>
      <c r="V940">
        <f>IF(AND(Q940&lt;&gt;"",ISNUMBER(H940)),Q940,"")</f>
        <v/>
      </c>
      <c r="W940">
        <f>IF(AND(Q940&lt;&gt;"",ISNUMBER(I940)),Q940,"")</f>
        <v/>
      </c>
      <c r="X940">
        <f>IF(AND(Q940&lt;&gt;"",ISNUMBER(J940)),Q940,"")</f>
        <v/>
      </c>
      <c r="Y940">
        <f>IF(AND(Q940&lt;&gt;"",ISNUMBER(K940)),Q940,"")</f>
        <v/>
      </c>
      <c r="Z940">
        <f>IF(AND(Q940&lt;&gt;"",ISNUMBER(L940)),Q940,"")</f>
        <v/>
      </c>
      <c r="AA940">
        <f>IF(AND(Q940&lt;&gt;"",ISNUMBER(M940)),Q940,"")</f>
        <v/>
      </c>
      <c r="AB940">
        <f>IF(AND(Q940&lt;&gt;"",ISNUMBER(K940)),K940,"")</f>
        <v/>
      </c>
      <c r="AC940">
        <f>IF(AND(Q940&lt;&gt;"",ISNUMBER(L940)),L940,"")</f>
        <v/>
      </c>
      <c r="AD940">
        <f>IF(AND(Q940&lt;&gt;"",ISNUMBER(M940)),M940,"")</f>
        <v/>
      </c>
    </row>
    <row r="941">
      <c r="A941" s="1" t="n"/>
      <c r="B941" s="17" t="n"/>
      <c r="C941" s="27" t="n"/>
      <c r="D941" s="28" t="n"/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9" t="n"/>
      <c r="N941" s="21" t="n"/>
      <c r="O941" s="12">
        <f>IF(AND(B941="",C941=""),"",IF(NOT(ISNUMBER(B941)),"Needs a date",IF(C941="","Needs a client",IF(COUNTIF(Clients!$B$6:$B$105,C941)=0,"Not on Clients",IF(COUNT(D941:M941)=0,"Nothing measured","")))))</f>
        <v/>
      </c>
      <c r="P941" s="1">
        <f>IF(AND(O941="",ISNUMBER(B941)),INT(B941),0)</f>
        <v/>
      </c>
      <c r="Q941">
        <f>IF(AND(P941&gt;0,C941=Report!$C$5),P941*10000+ROW(),"")</f>
        <v/>
      </c>
      <c r="R941">
        <f>IF(AND(Q941&lt;&gt;"",ISNUMBER(D941)),Q941,"")</f>
        <v/>
      </c>
      <c r="S941">
        <f>IF(AND(Q941&lt;&gt;"",ISNUMBER(E941)),Q941,"")</f>
        <v/>
      </c>
      <c r="T941">
        <f>IF(AND(Q941&lt;&gt;"",ISNUMBER(F941)),Q941,"")</f>
        <v/>
      </c>
      <c r="U941">
        <f>IF(AND(Q941&lt;&gt;"",ISNUMBER(G941)),Q941,"")</f>
        <v/>
      </c>
      <c r="V941">
        <f>IF(AND(Q941&lt;&gt;"",ISNUMBER(H941)),Q941,"")</f>
        <v/>
      </c>
      <c r="W941">
        <f>IF(AND(Q941&lt;&gt;"",ISNUMBER(I941)),Q941,"")</f>
        <v/>
      </c>
      <c r="X941">
        <f>IF(AND(Q941&lt;&gt;"",ISNUMBER(J941)),Q941,"")</f>
        <v/>
      </c>
      <c r="Y941">
        <f>IF(AND(Q941&lt;&gt;"",ISNUMBER(K941)),Q941,"")</f>
        <v/>
      </c>
      <c r="Z941">
        <f>IF(AND(Q941&lt;&gt;"",ISNUMBER(L941)),Q941,"")</f>
        <v/>
      </c>
      <c r="AA941">
        <f>IF(AND(Q941&lt;&gt;"",ISNUMBER(M941)),Q941,"")</f>
        <v/>
      </c>
      <c r="AB941">
        <f>IF(AND(Q941&lt;&gt;"",ISNUMBER(K941)),K941,"")</f>
        <v/>
      </c>
      <c r="AC941">
        <f>IF(AND(Q941&lt;&gt;"",ISNUMBER(L941)),L941,"")</f>
        <v/>
      </c>
      <c r="AD941">
        <f>IF(AND(Q941&lt;&gt;"",ISNUMBER(M941)),M941,"")</f>
        <v/>
      </c>
    </row>
    <row r="942">
      <c r="A942" s="1" t="n"/>
      <c r="B942" s="17" t="n"/>
      <c r="C942" s="27" t="n"/>
      <c r="D942" s="28" t="n"/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9" t="n"/>
      <c r="N942" s="21" t="n"/>
      <c r="O942" s="12">
        <f>IF(AND(B942="",C942=""),"",IF(NOT(ISNUMBER(B942)),"Needs a date",IF(C942="","Needs a client",IF(COUNTIF(Clients!$B$6:$B$105,C942)=0,"Not on Clients",IF(COUNT(D942:M942)=0,"Nothing measured","")))))</f>
        <v/>
      </c>
      <c r="P942" s="1">
        <f>IF(AND(O942="",ISNUMBER(B942)),INT(B942),0)</f>
        <v/>
      </c>
      <c r="Q942">
        <f>IF(AND(P942&gt;0,C942=Report!$C$5),P942*10000+ROW(),"")</f>
        <v/>
      </c>
      <c r="R942">
        <f>IF(AND(Q942&lt;&gt;"",ISNUMBER(D942)),Q942,"")</f>
        <v/>
      </c>
      <c r="S942">
        <f>IF(AND(Q942&lt;&gt;"",ISNUMBER(E942)),Q942,"")</f>
        <v/>
      </c>
      <c r="T942">
        <f>IF(AND(Q942&lt;&gt;"",ISNUMBER(F942)),Q942,"")</f>
        <v/>
      </c>
      <c r="U942">
        <f>IF(AND(Q942&lt;&gt;"",ISNUMBER(G942)),Q942,"")</f>
        <v/>
      </c>
      <c r="V942">
        <f>IF(AND(Q942&lt;&gt;"",ISNUMBER(H942)),Q942,"")</f>
        <v/>
      </c>
      <c r="W942">
        <f>IF(AND(Q942&lt;&gt;"",ISNUMBER(I942)),Q942,"")</f>
        <v/>
      </c>
      <c r="X942">
        <f>IF(AND(Q942&lt;&gt;"",ISNUMBER(J942)),Q942,"")</f>
        <v/>
      </c>
      <c r="Y942">
        <f>IF(AND(Q942&lt;&gt;"",ISNUMBER(K942)),Q942,"")</f>
        <v/>
      </c>
      <c r="Z942">
        <f>IF(AND(Q942&lt;&gt;"",ISNUMBER(L942)),Q942,"")</f>
        <v/>
      </c>
      <c r="AA942">
        <f>IF(AND(Q942&lt;&gt;"",ISNUMBER(M942)),Q942,"")</f>
        <v/>
      </c>
      <c r="AB942">
        <f>IF(AND(Q942&lt;&gt;"",ISNUMBER(K942)),K942,"")</f>
        <v/>
      </c>
      <c r="AC942">
        <f>IF(AND(Q942&lt;&gt;"",ISNUMBER(L942)),L942,"")</f>
        <v/>
      </c>
      <c r="AD942">
        <f>IF(AND(Q942&lt;&gt;"",ISNUMBER(M942)),M942,"")</f>
        <v/>
      </c>
    </row>
    <row r="943">
      <c r="A943" s="1" t="n"/>
      <c r="B943" s="17" t="n"/>
      <c r="C943" s="27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9" t="n"/>
      <c r="N943" s="21" t="n"/>
      <c r="O943" s="12">
        <f>IF(AND(B943="",C943=""),"",IF(NOT(ISNUMBER(B943)),"Needs a date",IF(C943="","Needs a client",IF(COUNTIF(Clients!$B$6:$B$105,C943)=0,"Not on Clients",IF(COUNT(D943:M943)=0,"Nothing measured","")))))</f>
        <v/>
      </c>
      <c r="P943" s="1">
        <f>IF(AND(O943="",ISNUMBER(B943)),INT(B943),0)</f>
        <v/>
      </c>
      <c r="Q943">
        <f>IF(AND(P943&gt;0,C943=Report!$C$5),P943*10000+ROW(),"")</f>
        <v/>
      </c>
      <c r="R943">
        <f>IF(AND(Q943&lt;&gt;"",ISNUMBER(D943)),Q943,"")</f>
        <v/>
      </c>
      <c r="S943">
        <f>IF(AND(Q943&lt;&gt;"",ISNUMBER(E943)),Q943,"")</f>
        <v/>
      </c>
      <c r="T943">
        <f>IF(AND(Q943&lt;&gt;"",ISNUMBER(F943)),Q943,"")</f>
        <v/>
      </c>
      <c r="U943">
        <f>IF(AND(Q943&lt;&gt;"",ISNUMBER(G943)),Q943,"")</f>
        <v/>
      </c>
      <c r="V943">
        <f>IF(AND(Q943&lt;&gt;"",ISNUMBER(H943)),Q943,"")</f>
        <v/>
      </c>
      <c r="W943">
        <f>IF(AND(Q943&lt;&gt;"",ISNUMBER(I943)),Q943,"")</f>
        <v/>
      </c>
      <c r="X943">
        <f>IF(AND(Q943&lt;&gt;"",ISNUMBER(J943)),Q943,"")</f>
        <v/>
      </c>
      <c r="Y943">
        <f>IF(AND(Q943&lt;&gt;"",ISNUMBER(K943)),Q943,"")</f>
        <v/>
      </c>
      <c r="Z943">
        <f>IF(AND(Q943&lt;&gt;"",ISNUMBER(L943)),Q943,"")</f>
        <v/>
      </c>
      <c r="AA943">
        <f>IF(AND(Q943&lt;&gt;"",ISNUMBER(M943)),Q943,"")</f>
        <v/>
      </c>
      <c r="AB943">
        <f>IF(AND(Q943&lt;&gt;"",ISNUMBER(K943)),K943,"")</f>
        <v/>
      </c>
      <c r="AC943">
        <f>IF(AND(Q943&lt;&gt;"",ISNUMBER(L943)),L943,"")</f>
        <v/>
      </c>
      <c r="AD943">
        <f>IF(AND(Q943&lt;&gt;"",ISNUMBER(M943)),M943,"")</f>
        <v/>
      </c>
    </row>
    <row r="944">
      <c r="A944" s="1" t="n"/>
      <c r="B944" s="17" t="n"/>
      <c r="C944" s="27" t="n"/>
      <c r="D944" s="28" t="n"/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9" t="n"/>
      <c r="N944" s="21" t="n"/>
      <c r="O944" s="12">
        <f>IF(AND(B944="",C944=""),"",IF(NOT(ISNUMBER(B944)),"Needs a date",IF(C944="","Needs a client",IF(COUNTIF(Clients!$B$6:$B$105,C944)=0,"Not on Clients",IF(COUNT(D944:M944)=0,"Nothing measured","")))))</f>
        <v/>
      </c>
      <c r="P944" s="1">
        <f>IF(AND(O944="",ISNUMBER(B944)),INT(B944),0)</f>
        <v/>
      </c>
      <c r="Q944">
        <f>IF(AND(P944&gt;0,C944=Report!$C$5),P944*10000+ROW(),"")</f>
        <v/>
      </c>
      <c r="R944">
        <f>IF(AND(Q944&lt;&gt;"",ISNUMBER(D944)),Q944,"")</f>
        <v/>
      </c>
      <c r="S944">
        <f>IF(AND(Q944&lt;&gt;"",ISNUMBER(E944)),Q944,"")</f>
        <v/>
      </c>
      <c r="T944">
        <f>IF(AND(Q944&lt;&gt;"",ISNUMBER(F944)),Q944,"")</f>
        <v/>
      </c>
      <c r="U944">
        <f>IF(AND(Q944&lt;&gt;"",ISNUMBER(G944)),Q944,"")</f>
        <v/>
      </c>
      <c r="V944">
        <f>IF(AND(Q944&lt;&gt;"",ISNUMBER(H944)),Q944,"")</f>
        <v/>
      </c>
      <c r="W944">
        <f>IF(AND(Q944&lt;&gt;"",ISNUMBER(I944)),Q944,"")</f>
        <v/>
      </c>
      <c r="X944">
        <f>IF(AND(Q944&lt;&gt;"",ISNUMBER(J944)),Q944,"")</f>
        <v/>
      </c>
      <c r="Y944">
        <f>IF(AND(Q944&lt;&gt;"",ISNUMBER(K944)),Q944,"")</f>
        <v/>
      </c>
      <c r="Z944">
        <f>IF(AND(Q944&lt;&gt;"",ISNUMBER(L944)),Q944,"")</f>
        <v/>
      </c>
      <c r="AA944">
        <f>IF(AND(Q944&lt;&gt;"",ISNUMBER(M944)),Q944,"")</f>
        <v/>
      </c>
      <c r="AB944">
        <f>IF(AND(Q944&lt;&gt;"",ISNUMBER(K944)),K944,"")</f>
        <v/>
      </c>
      <c r="AC944">
        <f>IF(AND(Q944&lt;&gt;"",ISNUMBER(L944)),L944,"")</f>
        <v/>
      </c>
      <c r="AD944">
        <f>IF(AND(Q944&lt;&gt;"",ISNUMBER(M944)),M944,"")</f>
        <v/>
      </c>
    </row>
    <row r="945">
      <c r="A945" s="1" t="n"/>
      <c r="B945" s="17" t="n"/>
      <c r="C945" s="27" t="n"/>
      <c r="D945" s="28" t="n"/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9" t="n"/>
      <c r="N945" s="21" t="n"/>
      <c r="O945" s="12">
        <f>IF(AND(B945="",C945=""),"",IF(NOT(ISNUMBER(B945)),"Needs a date",IF(C945="","Needs a client",IF(COUNTIF(Clients!$B$6:$B$105,C945)=0,"Not on Clients",IF(COUNT(D945:M945)=0,"Nothing measured","")))))</f>
        <v/>
      </c>
      <c r="P945" s="1">
        <f>IF(AND(O945="",ISNUMBER(B945)),INT(B945),0)</f>
        <v/>
      </c>
      <c r="Q945">
        <f>IF(AND(P945&gt;0,C945=Report!$C$5),P945*10000+ROW(),"")</f>
        <v/>
      </c>
      <c r="R945">
        <f>IF(AND(Q945&lt;&gt;"",ISNUMBER(D945)),Q945,"")</f>
        <v/>
      </c>
      <c r="S945">
        <f>IF(AND(Q945&lt;&gt;"",ISNUMBER(E945)),Q945,"")</f>
        <v/>
      </c>
      <c r="T945">
        <f>IF(AND(Q945&lt;&gt;"",ISNUMBER(F945)),Q945,"")</f>
        <v/>
      </c>
      <c r="U945">
        <f>IF(AND(Q945&lt;&gt;"",ISNUMBER(G945)),Q945,"")</f>
        <v/>
      </c>
      <c r="V945">
        <f>IF(AND(Q945&lt;&gt;"",ISNUMBER(H945)),Q945,"")</f>
        <v/>
      </c>
      <c r="W945">
        <f>IF(AND(Q945&lt;&gt;"",ISNUMBER(I945)),Q945,"")</f>
        <v/>
      </c>
      <c r="X945">
        <f>IF(AND(Q945&lt;&gt;"",ISNUMBER(J945)),Q945,"")</f>
        <v/>
      </c>
      <c r="Y945">
        <f>IF(AND(Q945&lt;&gt;"",ISNUMBER(K945)),Q945,"")</f>
        <v/>
      </c>
      <c r="Z945">
        <f>IF(AND(Q945&lt;&gt;"",ISNUMBER(L945)),Q945,"")</f>
        <v/>
      </c>
      <c r="AA945">
        <f>IF(AND(Q945&lt;&gt;"",ISNUMBER(M945)),Q945,"")</f>
        <v/>
      </c>
      <c r="AB945">
        <f>IF(AND(Q945&lt;&gt;"",ISNUMBER(K945)),K945,"")</f>
        <v/>
      </c>
      <c r="AC945">
        <f>IF(AND(Q945&lt;&gt;"",ISNUMBER(L945)),L945,"")</f>
        <v/>
      </c>
      <c r="AD945">
        <f>IF(AND(Q945&lt;&gt;"",ISNUMBER(M945)),M945,"")</f>
        <v/>
      </c>
    </row>
    <row r="946">
      <c r="A946" s="1" t="n"/>
      <c r="B946" s="17" t="n"/>
      <c r="C946" s="27" t="n"/>
      <c r="D946" s="28" t="n"/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9" t="n"/>
      <c r="N946" s="21" t="n"/>
      <c r="O946" s="12">
        <f>IF(AND(B946="",C946=""),"",IF(NOT(ISNUMBER(B946)),"Needs a date",IF(C946="","Needs a client",IF(COUNTIF(Clients!$B$6:$B$105,C946)=0,"Not on Clients",IF(COUNT(D946:M946)=0,"Nothing measured","")))))</f>
        <v/>
      </c>
      <c r="P946" s="1">
        <f>IF(AND(O946="",ISNUMBER(B946)),INT(B946),0)</f>
        <v/>
      </c>
      <c r="Q946">
        <f>IF(AND(P946&gt;0,C946=Report!$C$5),P946*10000+ROW(),"")</f>
        <v/>
      </c>
      <c r="R946">
        <f>IF(AND(Q946&lt;&gt;"",ISNUMBER(D946)),Q946,"")</f>
        <v/>
      </c>
      <c r="S946">
        <f>IF(AND(Q946&lt;&gt;"",ISNUMBER(E946)),Q946,"")</f>
        <v/>
      </c>
      <c r="T946">
        <f>IF(AND(Q946&lt;&gt;"",ISNUMBER(F946)),Q946,"")</f>
        <v/>
      </c>
      <c r="U946">
        <f>IF(AND(Q946&lt;&gt;"",ISNUMBER(G946)),Q946,"")</f>
        <v/>
      </c>
      <c r="V946">
        <f>IF(AND(Q946&lt;&gt;"",ISNUMBER(H946)),Q946,"")</f>
        <v/>
      </c>
      <c r="W946">
        <f>IF(AND(Q946&lt;&gt;"",ISNUMBER(I946)),Q946,"")</f>
        <v/>
      </c>
      <c r="X946">
        <f>IF(AND(Q946&lt;&gt;"",ISNUMBER(J946)),Q946,"")</f>
        <v/>
      </c>
      <c r="Y946">
        <f>IF(AND(Q946&lt;&gt;"",ISNUMBER(K946)),Q946,"")</f>
        <v/>
      </c>
      <c r="Z946">
        <f>IF(AND(Q946&lt;&gt;"",ISNUMBER(L946)),Q946,"")</f>
        <v/>
      </c>
      <c r="AA946">
        <f>IF(AND(Q946&lt;&gt;"",ISNUMBER(M946)),Q946,"")</f>
        <v/>
      </c>
      <c r="AB946">
        <f>IF(AND(Q946&lt;&gt;"",ISNUMBER(K946)),K946,"")</f>
        <v/>
      </c>
      <c r="AC946">
        <f>IF(AND(Q946&lt;&gt;"",ISNUMBER(L946)),L946,"")</f>
        <v/>
      </c>
      <c r="AD946">
        <f>IF(AND(Q946&lt;&gt;"",ISNUMBER(M946)),M946,"")</f>
        <v/>
      </c>
    </row>
    <row r="947">
      <c r="A947" s="1" t="n"/>
      <c r="B947" s="17" t="n"/>
      <c r="C947" s="27" t="n"/>
      <c r="D947" s="28" t="n"/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9" t="n"/>
      <c r="N947" s="21" t="n"/>
      <c r="O947" s="12">
        <f>IF(AND(B947="",C947=""),"",IF(NOT(ISNUMBER(B947)),"Needs a date",IF(C947="","Needs a client",IF(COUNTIF(Clients!$B$6:$B$105,C947)=0,"Not on Clients",IF(COUNT(D947:M947)=0,"Nothing measured","")))))</f>
        <v/>
      </c>
      <c r="P947" s="1">
        <f>IF(AND(O947="",ISNUMBER(B947)),INT(B947),0)</f>
        <v/>
      </c>
      <c r="Q947">
        <f>IF(AND(P947&gt;0,C947=Report!$C$5),P947*10000+ROW(),"")</f>
        <v/>
      </c>
      <c r="R947">
        <f>IF(AND(Q947&lt;&gt;"",ISNUMBER(D947)),Q947,"")</f>
        <v/>
      </c>
      <c r="S947">
        <f>IF(AND(Q947&lt;&gt;"",ISNUMBER(E947)),Q947,"")</f>
        <v/>
      </c>
      <c r="T947">
        <f>IF(AND(Q947&lt;&gt;"",ISNUMBER(F947)),Q947,"")</f>
        <v/>
      </c>
      <c r="U947">
        <f>IF(AND(Q947&lt;&gt;"",ISNUMBER(G947)),Q947,"")</f>
        <v/>
      </c>
      <c r="V947">
        <f>IF(AND(Q947&lt;&gt;"",ISNUMBER(H947)),Q947,"")</f>
        <v/>
      </c>
      <c r="W947">
        <f>IF(AND(Q947&lt;&gt;"",ISNUMBER(I947)),Q947,"")</f>
        <v/>
      </c>
      <c r="X947">
        <f>IF(AND(Q947&lt;&gt;"",ISNUMBER(J947)),Q947,"")</f>
        <v/>
      </c>
      <c r="Y947">
        <f>IF(AND(Q947&lt;&gt;"",ISNUMBER(K947)),Q947,"")</f>
        <v/>
      </c>
      <c r="Z947">
        <f>IF(AND(Q947&lt;&gt;"",ISNUMBER(L947)),Q947,"")</f>
        <v/>
      </c>
      <c r="AA947">
        <f>IF(AND(Q947&lt;&gt;"",ISNUMBER(M947)),Q947,"")</f>
        <v/>
      </c>
      <c r="AB947">
        <f>IF(AND(Q947&lt;&gt;"",ISNUMBER(K947)),K947,"")</f>
        <v/>
      </c>
      <c r="AC947">
        <f>IF(AND(Q947&lt;&gt;"",ISNUMBER(L947)),L947,"")</f>
        <v/>
      </c>
      <c r="AD947">
        <f>IF(AND(Q947&lt;&gt;"",ISNUMBER(M947)),M947,"")</f>
        <v/>
      </c>
    </row>
    <row r="948">
      <c r="A948" s="1" t="n"/>
      <c r="B948" s="17" t="n"/>
      <c r="C948" s="27" t="n"/>
      <c r="D948" s="2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9" t="n"/>
      <c r="N948" s="21" t="n"/>
      <c r="O948" s="12">
        <f>IF(AND(B948="",C948=""),"",IF(NOT(ISNUMBER(B948)),"Needs a date",IF(C948="","Needs a client",IF(COUNTIF(Clients!$B$6:$B$105,C948)=0,"Not on Clients",IF(COUNT(D948:M948)=0,"Nothing measured","")))))</f>
        <v/>
      </c>
      <c r="P948" s="1">
        <f>IF(AND(O948="",ISNUMBER(B948)),INT(B948),0)</f>
        <v/>
      </c>
      <c r="Q948">
        <f>IF(AND(P948&gt;0,C948=Report!$C$5),P948*10000+ROW(),"")</f>
        <v/>
      </c>
      <c r="R948">
        <f>IF(AND(Q948&lt;&gt;"",ISNUMBER(D948)),Q948,"")</f>
        <v/>
      </c>
      <c r="S948">
        <f>IF(AND(Q948&lt;&gt;"",ISNUMBER(E948)),Q948,"")</f>
        <v/>
      </c>
      <c r="T948">
        <f>IF(AND(Q948&lt;&gt;"",ISNUMBER(F948)),Q948,"")</f>
        <v/>
      </c>
      <c r="U948">
        <f>IF(AND(Q948&lt;&gt;"",ISNUMBER(G948)),Q948,"")</f>
        <v/>
      </c>
      <c r="V948">
        <f>IF(AND(Q948&lt;&gt;"",ISNUMBER(H948)),Q948,"")</f>
        <v/>
      </c>
      <c r="W948">
        <f>IF(AND(Q948&lt;&gt;"",ISNUMBER(I948)),Q948,"")</f>
        <v/>
      </c>
      <c r="X948">
        <f>IF(AND(Q948&lt;&gt;"",ISNUMBER(J948)),Q948,"")</f>
        <v/>
      </c>
      <c r="Y948">
        <f>IF(AND(Q948&lt;&gt;"",ISNUMBER(K948)),Q948,"")</f>
        <v/>
      </c>
      <c r="Z948">
        <f>IF(AND(Q948&lt;&gt;"",ISNUMBER(L948)),Q948,"")</f>
        <v/>
      </c>
      <c r="AA948">
        <f>IF(AND(Q948&lt;&gt;"",ISNUMBER(M948)),Q948,"")</f>
        <v/>
      </c>
      <c r="AB948">
        <f>IF(AND(Q948&lt;&gt;"",ISNUMBER(K948)),K948,"")</f>
        <v/>
      </c>
      <c r="AC948">
        <f>IF(AND(Q948&lt;&gt;"",ISNUMBER(L948)),L948,"")</f>
        <v/>
      </c>
      <c r="AD948">
        <f>IF(AND(Q948&lt;&gt;"",ISNUMBER(M948)),M948,"")</f>
        <v/>
      </c>
    </row>
    <row r="949">
      <c r="A949" s="1" t="n"/>
      <c r="B949" s="17" t="n"/>
      <c r="C949" s="27" t="n"/>
      <c r="D949" s="2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9" t="n"/>
      <c r="N949" s="21" t="n"/>
      <c r="O949" s="12">
        <f>IF(AND(B949="",C949=""),"",IF(NOT(ISNUMBER(B949)),"Needs a date",IF(C949="","Needs a client",IF(COUNTIF(Clients!$B$6:$B$105,C949)=0,"Not on Clients",IF(COUNT(D949:M949)=0,"Nothing measured","")))))</f>
        <v/>
      </c>
      <c r="P949" s="1">
        <f>IF(AND(O949="",ISNUMBER(B949)),INT(B949),0)</f>
        <v/>
      </c>
      <c r="Q949">
        <f>IF(AND(P949&gt;0,C949=Report!$C$5),P949*10000+ROW(),"")</f>
        <v/>
      </c>
      <c r="R949">
        <f>IF(AND(Q949&lt;&gt;"",ISNUMBER(D949)),Q949,"")</f>
        <v/>
      </c>
      <c r="S949">
        <f>IF(AND(Q949&lt;&gt;"",ISNUMBER(E949)),Q949,"")</f>
        <v/>
      </c>
      <c r="T949">
        <f>IF(AND(Q949&lt;&gt;"",ISNUMBER(F949)),Q949,"")</f>
        <v/>
      </c>
      <c r="U949">
        <f>IF(AND(Q949&lt;&gt;"",ISNUMBER(G949)),Q949,"")</f>
        <v/>
      </c>
      <c r="V949">
        <f>IF(AND(Q949&lt;&gt;"",ISNUMBER(H949)),Q949,"")</f>
        <v/>
      </c>
      <c r="W949">
        <f>IF(AND(Q949&lt;&gt;"",ISNUMBER(I949)),Q949,"")</f>
        <v/>
      </c>
      <c r="X949">
        <f>IF(AND(Q949&lt;&gt;"",ISNUMBER(J949)),Q949,"")</f>
        <v/>
      </c>
      <c r="Y949">
        <f>IF(AND(Q949&lt;&gt;"",ISNUMBER(K949)),Q949,"")</f>
        <v/>
      </c>
      <c r="Z949">
        <f>IF(AND(Q949&lt;&gt;"",ISNUMBER(L949)),Q949,"")</f>
        <v/>
      </c>
      <c r="AA949">
        <f>IF(AND(Q949&lt;&gt;"",ISNUMBER(M949)),Q949,"")</f>
        <v/>
      </c>
      <c r="AB949">
        <f>IF(AND(Q949&lt;&gt;"",ISNUMBER(K949)),K949,"")</f>
        <v/>
      </c>
      <c r="AC949">
        <f>IF(AND(Q949&lt;&gt;"",ISNUMBER(L949)),L949,"")</f>
        <v/>
      </c>
      <c r="AD949">
        <f>IF(AND(Q949&lt;&gt;"",ISNUMBER(M949)),M949,"")</f>
        <v/>
      </c>
    </row>
    <row r="950">
      <c r="A950" s="1" t="n"/>
      <c r="B950" s="17" t="n"/>
      <c r="C950" s="27" t="n"/>
      <c r="D950" s="28" t="n"/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9" t="n"/>
      <c r="N950" s="21" t="n"/>
      <c r="O950" s="12">
        <f>IF(AND(B950="",C950=""),"",IF(NOT(ISNUMBER(B950)),"Needs a date",IF(C950="","Needs a client",IF(COUNTIF(Clients!$B$6:$B$105,C950)=0,"Not on Clients",IF(COUNT(D950:M950)=0,"Nothing measured","")))))</f>
        <v/>
      </c>
      <c r="P950" s="1">
        <f>IF(AND(O950="",ISNUMBER(B950)),INT(B950),0)</f>
        <v/>
      </c>
      <c r="Q950">
        <f>IF(AND(P950&gt;0,C950=Report!$C$5),P950*10000+ROW(),"")</f>
        <v/>
      </c>
      <c r="R950">
        <f>IF(AND(Q950&lt;&gt;"",ISNUMBER(D950)),Q950,"")</f>
        <v/>
      </c>
      <c r="S950">
        <f>IF(AND(Q950&lt;&gt;"",ISNUMBER(E950)),Q950,"")</f>
        <v/>
      </c>
      <c r="T950">
        <f>IF(AND(Q950&lt;&gt;"",ISNUMBER(F950)),Q950,"")</f>
        <v/>
      </c>
      <c r="U950">
        <f>IF(AND(Q950&lt;&gt;"",ISNUMBER(G950)),Q950,"")</f>
        <v/>
      </c>
      <c r="V950">
        <f>IF(AND(Q950&lt;&gt;"",ISNUMBER(H950)),Q950,"")</f>
        <v/>
      </c>
      <c r="W950">
        <f>IF(AND(Q950&lt;&gt;"",ISNUMBER(I950)),Q950,"")</f>
        <v/>
      </c>
      <c r="X950">
        <f>IF(AND(Q950&lt;&gt;"",ISNUMBER(J950)),Q950,"")</f>
        <v/>
      </c>
      <c r="Y950">
        <f>IF(AND(Q950&lt;&gt;"",ISNUMBER(K950)),Q950,"")</f>
        <v/>
      </c>
      <c r="Z950">
        <f>IF(AND(Q950&lt;&gt;"",ISNUMBER(L950)),Q950,"")</f>
        <v/>
      </c>
      <c r="AA950">
        <f>IF(AND(Q950&lt;&gt;"",ISNUMBER(M950)),Q950,"")</f>
        <v/>
      </c>
      <c r="AB950">
        <f>IF(AND(Q950&lt;&gt;"",ISNUMBER(K950)),K950,"")</f>
        <v/>
      </c>
      <c r="AC950">
        <f>IF(AND(Q950&lt;&gt;"",ISNUMBER(L950)),L950,"")</f>
        <v/>
      </c>
      <c r="AD950">
        <f>IF(AND(Q950&lt;&gt;"",ISNUMBER(M950)),M950,"")</f>
        <v/>
      </c>
    </row>
    <row r="951">
      <c r="A951" s="1" t="n"/>
      <c r="B951" s="17" t="n"/>
      <c r="C951" s="27" t="n"/>
      <c r="D951" s="28" t="n"/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9" t="n"/>
      <c r="N951" s="21" t="n"/>
      <c r="O951" s="12">
        <f>IF(AND(B951="",C951=""),"",IF(NOT(ISNUMBER(B951)),"Needs a date",IF(C951="","Needs a client",IF(COUNTIF(Clients!$B$6:$B$105,C951)=0,"Not on Clients",IF(COUNT(D951:M951)=0,"Nothing measured","")))))</f>
        <v/>
      </c>
      <c r="P951" s="1">
        <f>IF(AND(O951="",ISNUMBER(B951)),INT(B951),0)</f>
        <v/>
      </c>
      <c r="Q951">
        <f>IF(AND(P951&gt;0,C951=Report!$C$5),P951*10000+ROW(),"")</f>
        <v/>
      </c>
      <c r="R951">
        <f>IF(AND(Q951&lt;&gt;"",ISNUMBER(D951)),Q951,"")</f>
        <v/>
      </c>
      <c r="S951">
        <f>IF(AND(Q951&lt;&gt;"",ISNUMBER(E951)),Q951,"")</f>
        <v/>
      </c>
      <c r="T951">
        <f>IF(AND(Q951&lt;&gt;"",ISNUMBER(F951)),Q951,"")</f>
        <v/>
      </c>
      <c r="U951">
        <f>IF(AND(Q951&lt;&gt;"",ISNUMBER(G951)),Q951,"")</f>
        <v/>
      </c>
      <c r="V951">
        <f>IF(AND(Q951&lt;&gt;"",ISNUMBER(H951)),Q951,"")</f>
        <v/>
      </c>
      <c r="W951">
        <f>IF(AND(Q951&lt;&gt;"",ISNUMBER(I951)),Q951,"")</f>
        <v/>
      </c>
      <c r="X951">
        <f>IF(AND(Q951&lt;&gt;"",ISNUMBER(J951)),Q951,"")</f>
        <v/>
      </c>
      <c r="Y951">
        <f>IF(AND(Q951&lt;&gt;"",ISNUMBER(K951)),Q951,"")</f>
        <v/>
      </c>
      <c r="Z951">
        <f>IF(AND(Q951&lt;&gt;"",ISNUMBER(L951)),Q951,"")</f>
        <v/>
      </c>
      <c r="AA951">
        <f>IF(AND(Q951&lt;&gt;"",ISNUMBER(M951)),Q951,"")</f>
        <v/>
      </c>
      <c r="AB951">
        <f>IF(AND(Q951&lt;&gt;"",ISNUMBER(K951)),K951,"")</f>
        <v/>
      </c>
      <c r="AC951">
        <f>IF(AND(Q951&lt;&gt;"",ISNUMBER(L951)),L951,"")</f>
        <v/>
      </c>
      <c r="AD951">
        <f>IF(AND(Q951&lt;&gt;"",ISNUMBER(M951)),M951,"")</f>
        <v/>
      </c>
    </row>
    <row r="952">
      <c r="A952" s="1" t="n"/>
      <c r="B952" s="17" t="n"/>
      <c r="C952" s="27" t="n"/>
      <c r="D952" s="28" t="n"/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9" t="n"/>
      <c r="N952" s="21" t="n"/>
      <c r="O952" s="12">
        <f>IF(AND(B952="",C952=""),"",IF(NOT(ISNUMBER(B952)),"Needs a date",IF(C952="","Needs a client",IF(COUNTIF(Clients!$B$6:$B$105,C952)=0,"Not on Clients",IF(COUNT(D952:M952)=0,"Nothing measured","")))))</f>
        <v/>
      </c>
      <c r="P952" s="1">
        <f>IF(AND(O952="",ISNUMBER(B952)),INT(B952),0)</f>
        <v/>
      </c>
      <c r="Q952">
        <f>IF(AND(P952&gt;0,C952=Report!$C$5),P952*10000+ROW(),"")</f>
        <v/>
      </c>
      <c r="R952">
        <f>IF(AND(Q952&lt;&gt;"",ISNUMBER(D952)),Q952,"")</f>
        <v/>
      </c>
      <c r="S952">
        <f>IF(AND(Q952&lt;&gt;"",ISNUMBER(E952)),Q952,"")</f>
        <v/>
      </c>
      <c r="T952">
        <f>IF(AND(Q952&lt;&gt;"",ISNUMBER(F952)),Q952,"")</f>
        <v/>
      </c>
      <c r="U952">
        <f>IF(AND(Q952&lt;&gt;"",ISNUMBER(G952)),Q952,"")</f>
        <v/>
      </c>
      <c r="V952">
        <f>IF(AND(Q952&lt;&gt;"",ISNUMBER(H952)),Q952,"")</f>
        <v/>
      </c>
      <c r="W952">
        <f>IF(AND(Q952&lt;&gt;"",ISNUMBER(I952)),Q952,"")</f>
        <v/>
      </c>
      <c r="X952">
        <f>IF(AND(Q952&lt;&gt;"",ISNUMBER(J952)),Q952,"")</f>
        <v/>
      </c>
      <c r="Y952">
        <f>IF(AND(Q952&lt;&gt;"",ISNUMBER(K952)),Q952,"")</f>
        <v/>
      </c>
      <c r="Z952">
        <f>IF(AND(Q952&lt;&gt;"",ISNUMBER(L952)),Q952,"")</f>
        <v/>
      </c>
      <c r="AA952">
        <f>IF(AND(Q952&lt;&gt;"",ISNUMBER(M952)),Q952,"")</f>
        <v/>
      </c>
      <c r="AB952">
        <f>IF(AND(Q952&lt;&gt;"",ISNUMBER(K952)),K952,"")</f>
        <v/>
      </c>
      <c r="AC952">
        <f>IF(AND(Q952&lt;&gt;"",ISNUMBER(L952)),L952,"")</f>
        <v/>
      </c>
      <c r="AD952">
        <f>IF(AND(Q952&lt;&gt;"",ISNUMBER(M952)),M952,"")</f>
        <v/>
      </c>
    </row>
    <row r="953">
      <c r="A953" s="1" t="n"/>
      <c r="B953" s="17" t="n"/>
      <c r="C953" s="27" t="n"/>
      <c r="D953" s="28" t="n"/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9" t="n"/>
      <c r="N953" s="21" t="n"/>
      <c r="O953" s="12">
        <f>IF(AND(B953="",C953=""),"",IF(NOT(ISNUMBER(B953)),"Needs a date",IF(C953="","Needs a client",IF(COUNTIF(Clients!$B$6:$B$105,C953)=0,"Not on Clients",IF(COUNT(D953:M953)=0,"Nothing measured","")))))</f>
        <v/>
      </c>
      <c r="P953" s="1">
        <f>IF(AND(O953="",ISNUMBER(B953)),INT(B953),0)</f>
        <v/>
      </c>
      <c r="Q953">
        <f>IF(AND(P953&gt;0,C953=Report!$C$5),P953*10000+ROW(),"")</f>
        <v/>
      </c>
      <c r="R953">
        <f>IF(AND(Q953&lt;&gt;"",ISNUMBER(D953)),Q953,"")</f>
        <v/>
      </c>
      <c r="S953">
        <f>IF(AND(Q953&lt;&gt;"",ISNUMBER(E953)),Q953,"")</f>
        <v/>
      </c>
      <c r="T953">
        <f>IF(AND(Q953&lt;&gt;"",ISNUMBER(F953)),Q953,"")</f>
        <v/>
      </c>
      <c r="U953">
        <f>IF(AND(Q953&lt;&gt;"",ISNUMBER(G953)),Q953,"")</f>
        <v/>
      </c>
      <c r="V953">
        <f>IF(AND(Q953&lt;&gt;"",ISNUMBER(H953)),Q953,"")</f>
        <v/>
      </c>
      <c r="W953">
        <f>IF(AND(Q953&lt;&gt;"",ISNUMBER(I953)),Q953,"")</f>
        <v/>
      </c>
      <c r="X953">
        <f>IF(AND(Q953&lt;&gt;"",ISNUMBER(J953)),Q953,"")</f>
        <v/>
      </c>
      <c r="Y953">
        <f>IF(AND(Q953&lt;&gt;"",ISNUMBER(K953)),Q953,"")</f>
        <v/>
      </c>
      <c r="Z953">
        <f>IF(AND(Q953&lt;&gt;"",ISNUMBER(L953)),Q953,"")</f>
        <v/>
      </c>
      <c r="AA953">
        <f>IF(AND(Q953&lt;&gt;"",ISNUMBER(M953)),Q953,"")</f>
        <v/>
      </c>
      <c r="AB953">
        <f>IF(AND(Q953&lt;&gt;"",ISNUMBER(K953)),K953,"")</f>
        <v/>
      </c>
      <c r="AC953">
        <f>IF(AND(Q953&lt;&gt;"",ISNUMBER(L953)),L953,"")</f>
        <v/>
      </c>
      <c r="AD953">
        <f>IF(AND(Q953&lt;&gt;"",ISNUMBER(M953)),M953,"")</f>
        <v/>
      </c>
    </row>
    <row r="954">
      <c r="A954" s="1" t="n"/>
      <c r="B954" s="17" t="n"/>
      <c r="C954" s="27" t="n"/>
      <c r="D954" s="28" t="n"/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9" t="n"/>
      <c r="N954" s="21" t="n"/>
      <c r="O954" s="12">
        <f>IF(AND(B954="",C954=""),"",IF(NOT(ISNUMBER(B954)),"Needs a date",IF(C954="","Needs a client",IF(COUNTIF(Clients!$B$6:$B$105,C954)=0,"Not on Clients",IF(COUNT(D954:M954)=0,"Nothing measured","")))))</f>
        <v/>
      </c>
      <c r="P954" s="1">
        <f>IF(AND(O954="",ISNUMBER(B954)),INT(B954),0)</f>
        <v/>
      </c>
      <c r="Q954">
        <f>IF(AND(P954&gt;0,C954=Report!$C$5),P954*10000+ROW(),"")</f>
        <v/>
      </c>
      <c r="R954">
        <f>IF(AND(Q954&lt;&gt;"",ISNUMBER(D954)),Q954,"")</f>
        <v/>
      </c>
      <c r="S954">
        <f>IF(AND(Q954&lt;&gt;"",ISNUMBER(E954)),Q954,"")</f>
        <v/>
      </c>
      <c r="T954">
        <f>IF(AND(Q954&lt;&gt;"",ISNUMBER(F954)),Q954,"")</f>
        <v/>
      </c>
      <c r="U954">
        <f>IF(AND(Q954&lt;&gt;"",ISNUMBER(G954)),Q954,"")</f>
        <v/>
      </c>
      <c r="V954">
        <f>IF(AND(Q954&lt;&gt;"",ISNUMBER(H954)),Q954,"")</f>
        <v/>
      </c>
      <c r="W954">
        <f>IF(AND(Q954&lt;&gt;"",ISNUMBER(I954)),Q954,"")</f>
        <v/>
      </c>
      <c r="X954">
        <f>IF(AND(Q954&lt;&gt;"",ISNUMBER(J954)),Q954,"")</f>
        <v/>
      </c>
      <c r="Y954">
        <f>IF(AND(Q954&lt;&gt;"",ISNUMBER(K954)),Q954,"")</f>
        <v/>
      </c>
      <c r="Z954">
        <f>IF(AND(Q954&lt;&gt;"",ISNUMBER(L954)),Q954,"")</f>
        <v/>
      </c>
      <c r="AA954">
        <f>IF(AND(Q954&lt;&gt;"",ISNUMBER(M954)),Q954,"")</f>
        <v/>
      </c>
      <c r="AB954">
        <f>IF(AND(Q954&lt;&gt;"",ISNUMBER(K954)),K954,"")</f>
        <v/>
      </c>
      <c r="AC954">
        <f>IF(AND(Q954&lt;&gt;"",ISNUMBER(L954)),L954,"")</f>
        <v/>
      </c>
      <c r="AD954">
        <f>IF(AND(Q954&lt;&gt;"",ISNUMBER(M954)),M954,"")</f>
        <v/>
      </c>
    </row>
    <row r="955">
      <c r="A955" s="1" t="n"/>
      <c r="B955" s="17" t="n"/>
      <c r="C955" s="27" t="n"/>
      <c r="D955" s="28" t="n"/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9" t="n"/>
      <c r="N955" s="21" t="n"/>
      <c r="O955" s="12">
        <f>IF(AND(B955="",C955=""),"",IF(NOT(ISNUMBER(B955)),"Needs a date",IF(C955="","Needs a client",IF(COUNTIF(Clients!$B$6:$B$105,C955)=0,"Not on Clients",IF(COUNT(D955:M955)=0,"Nothing measured","")))))</f>
        <v/>
      </c>
      <c r="P955" s="1">
        <f>IF(AND(O955="",ISNUMBER(B955)),INT(B955),0)</f>
        <v/>
      </c>
      <c r="Q955">
        <f>IF(AND(P955&gt;0,C955=Report!$C$5),P955*10000+ROW(),"")</f>
        <v/>
      </c>
      <c r="R955">
        <f>IF(AND(Q955&lt;&gt;"",ISNUMBER(D955)),Q955,"")</f>
        <v/>
      </c>
      <c r="S955">
        <f>IF(AND(Q955&lt;&gt;"",ISNUMBER(E955)),Q955,"")</f>
        <v/>
      </c>
      <c r="T955">
        <f>IF(AND(Q955&lt;&gt;"",ISNUMBER(F955)),Q955,"")</f>
        <v/>
      </c>
      <c r="U955">
        <f>IF(AND(Q955&lt;&gt;"",ISNUMBER(G955)),Q955,"")</f>
        <v/>
      </c>
      <c r="V955">
        <f>IF(AND(Q955&lt;&gt;"",ISNUMBER(H955)),Q955,"")</f>
        <v/>
      </c>
      <c r="W955">
        <f>IF(AND(Q955&lt;&gt;"",ISNUMBER(I955)),Q955,"")</f>
        <v/>
      </c>
      <c r="X955">
        <f>IF(AND(Q955&lt;&gt;"",ISNUMBER(J955)),Q955,"")</f>
        <v/>
      </c>
      <c r="Y955">
        <f>IF(AND(Q955&lt;&gt;"",ISNUMBER(K955)),Q955,"")</f>
        <v/>
      </c>
      <c r="Z955">
        <f>IF(AND(Q955&lt;&gt;"",ISNUMBER(L955)),Q955,"")</f>
        <v/>
      </c>
      <c r="AA955">
        <f>IF(AND(Q955&lt;&gt;"",ISNUMBER(M955)),Q955,"")</f>
        <v/>
      </c>
      <c r="AB955">
        <f>IF(AND(Q955&lt;&gt;"",ISNUMBER(K955)),K955,"")</f>
        <v/>
      </c>
      <c r="AC955">
        <f>IF(AND(Q955&lt;&gt;"",ISNUMBER(L955)),L955,"")</f>
        <v/>
      </c>
      <c r="AD955">
        <f>IF(AND(Q955&lt;&gt;"",ISNUMBER(M955)),M955,"")</f>
        <v/>
      </c>
    </row>
    <row r="956">
      <c r="A956" s="1" t="n"/>
      <c r="B956" s="17" t="n"/>
      <c r="C956" s="27" t="n"/>
      <c r="D956" s="28" t="n"/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9" t="n"/>
      <c r="N956" s="21" t="n"/>
      <c r="O956" s="12">
        <f>IF(AND(B956="",C956=""),"",IF(NOT(ISNUMBER(B956)),"Needs a date",IF(C956="","Needs a client",IF(COUNTIF(Clients!$B$6:$B$105,C956)=0,"Not on Clients",IF(COUNT(D956:M956)=0,"Nothing measured","")))))</f>
        <v/>
      </c>
      <c r="P956" s="1">
        <f>IF(AND(O956="",ISNUMBER(B956)),INT(B956),0)</f>
        <v/>
      </c>
      <c r="Q956">
        <f>IF(AND(P956&gt;0,C956=Report!$C$5),P956*10000+ROW(),"")</f>
        <v/>
      </c>
      <c r="R956">
        <f>IF(AND(Q956&lt;&gt;"",ISNUMBER(D956)),Q956,"")</f>
        <v/>
      </c>
      <c r="S956">
        <f>IF(AND(Q956&lt;&gt;"",ISNUMBER(E956)),Q956,"")</f>
        <v/>
      </c>
      <c r="T956">
        <f>IF(AND(Q956&lt;&gt;"",ISNUMBER(F956)),Q956,"")</f>
        <v/>
      </c>
      <c r="U956">
        <f>IF(AND(Q956&lt;&gt;"",ISNUMBER(G956)),Q956,"")</f>
        <v/>
      </c>
      <c r="V956">
        <f>IF(AND(Q956&lt;&gt;"",ISNUMBER(H956)),Q956,"")</f>
        <v/>
      </c>
      <c r="W956">
        <f>IF(AND(Q956&lt;&gt;"",ISNUMBER(I956)),Q956,"")</f>
        <v/>
      </c>
      <c r="X956">
        <f>IF(AND(Q956&lt;&gt;"",ISNUMBER(J956)),Q956,"")</f>
        <v/>
      </c>
      <c r="Y956">
        <f>IF(AND(Q956&lt;&gt;"",ISNUMBER(K956)),Q956,"")</f>
        <v/>
      </c>
      <c r="Z956">
        <f>IF(AND(Q956&lt;&gt;"",ISNUMBER(L956)),Q956,"")</f>
        <v/>
      </c>
      <c r="AA956">
        <f>IF(AND(Q956&lt;&gt;"",ISNUMBER(M956)),Q956,"")</f>
        <v/>
      </c>
      <c r="AB956">
        <f>IF(AND(Q956&lt;&gt;"",ISNUMBER(K956)),K956,"")</f>
        <v/>
      </c>
      <c r="AC956">
        <f>IF(AND(Q956&lt;&gt;"",ISNUMBER(L956)),L956,"")</f>
        <v/>
      </c>
      <c r="AD956">
        <f>IF(AND(Q956&lt;&gt;"",ISNUMBER(M956)),M956,"")</f>
        <v/>
      </c>
    </row>
    <row r="957">
      <c r="A957" s="1" t="n"/>
      <c r="B957" s="17" t="n"/>
      <c r="C957" s="27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9" t="n"/>
      <c r="N957" s="21" t="n"/>
      <c r="O957" s="12">
        <f>IF(AND(B957="",C957=""),"",IF(NOT(ISNUMBER(B957)),"Needs a date",IF(C957="","Needs a client",IF(COUNTIF(Clients!$B$6:$B$105,C957)=0,"Not on Clients",IF(COUNT(D957:M957)=0,"Nothing measured","")))))</f>
        <v/>
      </c>
      <c r="P957" s="1">
        <f>IF(AND(O957="",ISNUMBER(B957)),INT(B957),0)</f>
        <v/>
      </c>
      <c r="Q957">
        <f>IF(AND(P957&gt;0,C957=Report!$C$5),P957*10000+ROW(),"")</f>
        <v/>
      </c>
      <c r="R957">
        <f>IF(AND(Q957&lt;&gt;"",ISNUMBER(D957)),Q957,"")</f>
        <v/>
      </c>
      <c r="S957">
        <f>IF(AND(Q957&lt;&gt;"",ISNUMBER(E957)),Q957,"")</f>
        <v/>
      </c>
      <c r="T957">
        <f>IF(AND(Q957&lt;&gt;"",ISNUMBER(F957)),Q957,"")</f>
        <v/>
      </c>
      <c r="U957">
        <f>IF(AND(Q957&lt;&gt;"",ISNUMBER(G957)),Q957,"")</f>
        <v/>
      </c>
      <c r="V957">
        <f>IF(AND(Q957&lt;&gt;"",ISNUMBER(H957)),Q957,"")</f>
        <v/>
      </c>
      <c r="W957">
        <f>IF(AND(Q957&lt;&gt;"",ISNUMBER(I957)),Q957,"")</f>
        <v/>
      </c>
      <c r="X957">
        <f>IF(AND(Q957&lt;&gt;"",ISNUMBER(J957)),Q957,"")</f>
        <v/>
      </c>
      <c r="Y957">
        <f>IF(AND(Q957&lt;&gt;"",ISNUMBER(K957)),Q957,"")</f>
        <v/>
      </c>
      <c r="Z957">
        <f>IF(AND(Q957&lt;&gt;"",ISNUMBER(L957)),Q957,"")</f>
        <v/>
      </c>
      <c r="AA957">
        <f>IF(AND(Q957&lt;&gt;"",ISNUMBER(M957)),Q957,"")</f>
        <v/>
      </c>
      <c r="AB957">
        <f>IF(AND(Q957&lt;&gt;"",ISNUMBER(K957)),K957,"")</f>
        <v/>
      </c>
      <c r="AC957">
        <f>IF(AND(Q957&lt;&gt;"",ISNUMBER(L957)),L957,"")</f>
        <v/>
      </c>
      <c r="AD957">
        <f>IF(AND(Q957&lt;&gt;"",ISNUMBER(M957)),M957,"")</f>
        <v/>
      </c>
    </row>
    <row r="958">
      <c r="A958" s="1" t="n"/>
      <c r="B958" s="17" t="n"/>
      <c r="C958" s="27" t="n"/>
      <c r="D958" s="28" t="n"/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9" t="n"/>
      <c r="N958" s="21" t="n"/>
      <c r="O958" s="12">
        <f>IF(AND(B958="",C958=""),"",IF(NOT(ISNUMBER(B958)),"Needs a date",IF(C958="","Needs a client",IF(COUNTIF(Clients!$B$6:$B$105,C958)=0,"Not on Clients",IF(COUNT(D958:M958)=0,"Nothing measured","")))))</f>
        <v/>
      </c>
      <c r="P958" s="1">
        <f>IF(AND(O958="",ISNUMBER(B958)),INT(B958),0)</f>
        <v/>
      </c>
      <c r="Q958">
        <f>IF(AND(P958&gt;0,C958=Report!$C$5),P958*10000+ROW(),"")</f>
        <v/>
      </c>
      <c r="R958">
        <f>IF(AND(Q958&lt;&gt;"",ISNUMBER(D958)),Q958,"")</f>
        <v/>
      </c>
      <c r="S958">
        <f>IF(AND(Q958&lt;&gt;"",ISNUMBER(E958)),Q958,"")</f>
        <v/>
      </c>
      <c r="T958">
        <f>IF(AND(Q958&lt;&gt;"",ISNUMBER(F958)),Q958,"")</f>
        <v/>
      </c>
      <c r="U958">
        <f>IF(AND(Q958&lt;&gt;"",ISNUMBER(G958)),Q958,"")</f>
        <v/>
      </c>
      <c r="V958">
        <f>IF(AND(Q958&lt;&gt;"",ISNUMBER(H958)),Q958,"")</f>
        <v/>
      </c>
      <c r="W958">
        <f>IF(AND(Q958&lt;&gt;"",ISNUMBER(I958)),Q958,"")</f>
        <v/>
      </c>
      <c r="X958">
        <f>IF(AND(Q958&lt;&gt;"",ISNUMBER(J958)),Q958,"")</f>
        <v/>
      </c>
      <c r="Y958">
        <f>IF(AND(Q958&lt;&gt;"",ISNUMBER(K958)),Q958,"")</f>
        <v/>
      </c>
      <c r="Z958">
        <f>IF(AND(Q958&lt;&gt;"",ISNUMBER(L958)),Q958,"")</f>
        <v/>
      </c>
      <c r="AA958">
        <f>IF(AND(Q958&lt;&gt;"",ISNUMBER(M958)),Q958,"")</f>
        <v/>
      </c>
      <c r="AB958">
        <f>IF(AND(Q958&lt;&gt;"",ISNUMBER(K958)),K958,"")</f>
        <v/>
      </c>
      <c r="AC958">
        <f>IF(AND(Q958&lt;&gt;"",ISNUMBER(L958)),L958,"")</f>
        <v/>
      </c>
      <c r="AD958">
        <f>IF(AND(Q958&lt;&gt;"",ISNUMBER(M958)),M958,"")</f>
        <v/>
      </c>
    </row>
    <row r="959">
      <c r="A959" s="1" t="n"/>
      <c r="B959" s="17" t="n"/>
      <c r="C959" s="27" t="n"/>
      <c r="D959" s="28" t="n"/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9" t="n"/>
      <c r="N959" s="21" t="n"/>
      <c r="O959" s="12">
        <f>IF(AND(B959="",C959=""),"",IF(NOT(ISNUMBER(B959)),"Needs a date",IF(C959="","Needs a client",IF(COUNTIF(Clients!$B$6:$B$105,C959)=0,"Not on Clients",IF(COUNT(D959:M959)=0,"Nothing measured","")))))</f>
        <v/>
      </c>
      <c r="P959" s="1">
        <f>IF(AND(O959="",ISNUMBER(B959)),INT(B959),0)</f>
        <v/>
      </c>
      <c r="Q959">
        <f>IF(AND(P959&gt;0,C959=Report!$C$5),P959*10000+ROW(),"")</f>
        <v/>
      </c>
      <c r="R959">
        <f>IF(AND(Q959&lt;&gt;"",ISNUMBER(D959)),Q959,"")</f>
        <v/>
      </c>
      <c r="S959">
        <f>IF(AND(Q959&lt;&gt;"",ISNUMBER(E959)),Q959,"")</f>
        <v/>
      </c>
      <c r="T959">
        <f>IF(AND(Q959&lt;&gt;"",ISNUMBER(F959)),Q959,"")</f>
        <v/>
      </c>
      <c r="U959">
        <f>IF(AND(Q959&lt;&gt;"",ISNUMBER(G959)),Q959,"")</f>
        <v/>
      </c>
      <c r="V959">
        <f>IF(AND(Q959&lt;&gt;"",ISNUMBER(H959)),Q959,"")</f>
        <v/>
      </c>
      <c r="W959">
        <f>IF(AND(Q959&lt;&gt;"",ISNUMBER(I959)),Q959,"")</f>
        <v/>
      </c>
      <c r="X959">
        <f>IF(AND(Q959&lt;&gt;"",ISNUMBER(J959)),Q959,"")</f>
        <v/>
      </c>
      <c r="Y959">
        <f>IF(AND(Q959&lt;&gt;"",ISNUMBER(K959)),Q959,"")</f>
        <v/>
      </c>
      <c r="Z959">
        <f>IF(AND(Q959&lt;&gt;"",ISNUMBER(L959)),Q959,"")</f>
        <v/>
      </c>
      <c r="AA959">
        <f>IF(AND(Q959&lt;&gt;"",ISNUMBER(M959)),Q959,"")</f>
        <v/>
      </c>
      <c r="AB959">
        <f>IF(AND(Q959&lt;&gt;"",ISNUMBER(K959)),K959,"")</f>
        <v/>
      </c>
      <c r="AC959">
        <f>IF(AND(Q959&lt;&gt;"",ISNUMBER(L959)),L959,"")</f>
        <v/>
      </c>
      <c r="AD959">
        <f>IF(AND(Q959&lt;&gt;"",ISNUMBER(M959)),M959,"")</f>
        <v/>
      </c>
    </row>
    <row r="960">
      <c r="A960" s="1" t="n"/>
      <c r="B960" s="17" t="n"/>
      <c r="C960" s="27" t="n"/>
      <c r="D960" s="28" t="n"/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9" t="n"/>
      <c r="N960" s="21" t="n"/>
      <c r="O960" s="12">
        <f>IF(AND(B960="",C960=""),"",IF(NOT(ISNUMBER(B960)),"Needs a date",IF(C960="","Needs a client",IF(COUNTIF(Clients!$B$6:$B$105,C960)=0,"Not on Clients",IF(COUNT(D960:M960)=0,"Nothing measured","")))))</f>
        <v/>
      </c>
      <c r="P960" s="1">
        <f>IF(AND(O960="",ISNUMBER(B960)),INT(B960),0)</f>
        <v/>
      </c>
      <c r="Q960">
        <f>IF(AND(P960&gt;0,C960=Report!$C$5),P960*10000+ROW(),"")</f>
        <v/>
      </c>
      <c r="R960">
        <f>IF(AND(Q960&lt;&gt;"",ISNUMBER(D960)),Q960,"")</f>
        <v/>
      </c>
      <c r="S960">
        <f>IF(AND(Q960&lt;&gt;"",ISNUMBER(E960)),Q960,"")</f>
        <v/>
      </c>
      <c r="T960">
        <f>IF(AND(Q960&lt;&gt;"",ISNUMBER(F960)),Q960,"")</f>
        <v/>
      </c>
      <c r="U960">
        <f>IF(AND(Q960&lt;&gt;"",ISNUMBER(G960)),Q960,"")</f>
        <v/>
      </c>
      <c r="V960">
        <f>IF(AND(Q960&lt;&gt;"",ISNUMBER(H960)),Q960,"")</f>
        <v/>
      </c>
      <c r="W960">
        <f>IF(AND(Q960&lt;&gt;"",ISNUMBER(I960)),Q960,"")</f>
        <v/>
      </c>
      <c r="X960">
        <f>IF(AND(Q960&lt;&gt;"",ISNUMBER(J960)),Q960,"")</f>
        <v/>
      </c>
      <c r="Y960">
        <f>IF(AND(Q960&lt;&gt;"",ISNUMBER(K960)),Q960,"")</f>
        <v/>
      </c>
      <c r="Z960">
        <f>IF(AND(Q960&lt;&gt;"",ISNUMBER(L960)),Q960,"")</f>
        <v/>
      </c>
      <c r="AA960">
        <f>IF(AND(Q960&lt;&gt;"",ISNUMBER(M960)),Q960,"")</f>
        <v/>
      </c>
      <c r="AB960">
        <f>IF(AND(Q960&lt;&gt;"",ISNUMBER(K960)),K960,"")</f>
        <v/>
      </c>
      <c r="AC960">
        <f>IF(AND(Q960&lt;&gt;"",ISNUMBER(L960)),L960,"")</f>
        <v/>
      </c>
      <c r="AD960">
        <f>IF(AND(Q960&lt;&gt;"",ISNUMBER(M960)),M960,"")</f>
        <v/>
      </c>
    </row>
    <row r="961">
      <c r="A961" s="1" t="n"/>
      <c r="B961" s="17" t="n"/>
      <c r="C961" s="27" t="n"/>
      <c r="D961" s="28" t="n"/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9" t="n"/>
      <c r="N961" s="21" t="n"/>
      <c r="O961" s="12">
        <f>IF(AND(B961="",C961=""),"",IF(NOT(ISNUMBER(B961)),"Needs a date",IF(C961="","Needs a client",IF(COUNTIF(Clients!$B$6:$B$105,C961)=0,"Not on Clients",IF(COUNT(D961:M961)=0,"Nothing measured","")))))</f>
        <v/>
      </c>
      <c r="P961" s="1">
        <f>IF(AND(O961="",ISNUMBER(B961)),INT(B961),0)</f>
        <v/>
      </c>
      <c r="Q961">
        <f>IF(AND(P961&gt;0,C961=Report!$C$5),P961*10000+ROW(),"")</f>
        <v/>
      </c>
      <c r="R961">
        <f>IF(AND(Q961&lt;&gt;"",ISNUMBER(D961)),Q961,"")</f>
        <v/>
      </c>
      <c r="S961">
        <f>IF(AND(Q961&lt;&gt;"",ISNUMBER(E961)),Q961,"")</f>
        <v/>
      </c>
      <c r="T961">
        <f>IF(AND(Q961&lt;&gt;"",ISNUMBER(F961)),Q961,"")</f>
        <v/>
      </c>
      <c r="U961">
        <f>IF(AND(Q961&lt;&gt;"",ISNUMBER(G961)),Q961,"")</f>
        <v/>
      </c>
      <c r="V961">
        <f>IF(AND(Q961&lt;&gt;"",ISNUMBER(H961)),Q961,"")</f>
        <v/>
      </c>
      <c r="W961">
        <f>IF(AND(Q961&lt;&gt;"",ISNUMBER(I961)),Q961,"")</f>
        <v/>
      </c>
      <c r="X961">
        <f>IF(AND(Q961&lt;&gt;"",ISNUMBER(J961)),Q961,"")</f>
        <v/>
      </c>
      <c r="Y961">
        <f>IF(AND(Q961&lt;&gt;"",ISNUMBER(K961)),Q961,"")</f>
        <v/>
      </c>
      <c r="Z961">
        <f>IF(AND(Q961&lt;&gt;"",ISNUMBER(L961)),Q961,"")</f>
        <v/>
      </c>
      <c r="AA961">
        <f>IF(AND(Q961&lt;&gt;"",ISNUMBER(M961)),Q961,"")</f>
        <v/>
      </c>
      <c r="AB961">
        <f>IF(AND(Q961&lt;&gt;"",ISNUMBER(K961)),K961,"")</f>
        <v/>
      </c>
      <c r="AC961">
        <f>IF(AND(Q961&lt;&gt;"",ISNUMBER(L961)),L961,"")</f>
        <v/>
      </c>
      <c r="AD961">
        <f>IF(AND(Q961&lt;&gt;"",ISNUMBER(M961)),M961,"")</f>
        <v/>
      </c>
    </row>
    <row r="962">
      <c r="A962" s="1" t="n"/>
      <c r="B962" s="17" t="n"/>
      <c r="C962" s="27" t="n"/>
      <c r="D962" s="28" t="n"/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9" t="n"/>
      <c r="N962" s="21" t="n"/>
      <c r="O962" s="12">
        <f>IF(AND(B962="",C962=""),"",IF(NOT(ISNUMBER(B962)),"Needs a date",IF(C962="","Needs a client",IF(COUNTIF(Clients!$B$6:$B$105,C962)=0,"Not on Clients",IF(COUNT(D962:M962)=0,"Nothing measured","")))))</f>
        <v/>
      </c>
      <c r="P962" s="1">
        <f>IF(AND(O962="",ISNUMBER(B962)),INT(B962),0)</f>
        <v/>
      </c>
      <c r="Q962">
        <f>IF(AND(P962&gt;0,C962=Report!$C$5),P962*10000+ROW(),"")</f>
        <v/>
      </c>
      <c r="R962">
        <f>IF(AND(Q962&lt;&gt;"",ISNUMBER(D962)),Q962,"")</f>
        <v/>
      </c>
      <c r="S962">
        <f>IF(AND(Q962&lt;&gt;"",ISNUMBER(E962)),Q962,"")</f>
        <v/>
      </c>
      <c r="T962">
        <f>IF(AND(Q962&lt;&gt;"",ISNUMBER(F962)),Q962,"")</f>
        <v/>
      </c>
      <c r="U962">
        <f>IF(AND(Q962&lt;&gt;"",ISNUMBER(G962)),Q962,"")</f>
        <v/>
      </c>
      <c r="V962">
        <f>IF(AND(Q962&lt;&gt;"",ISNUMBER(H962)),Q962,"")</f>
        <v/>
      </c>
      <c r="W962">
        <f>IF(AND(Q962&lt;&gt;"",ISNUMBER(I962)),Q962,"")</f>
        <v/>
      </c>
      <c r="X962">
        <f>IF(AND(Q962&lt;&gt;"",ISNUMBER(J962)),Q962,"")</f>
        <v/>
      </c>
      <c r="Y962">
        <f>IF(AND(Q962&lt;&gt;"",ISNUMBER(K962)),Q962,"")</f>
        <v/>
      </c>
      <c r="Z962">
        <f>IF(AND(Q962&lt;&gt;"",ISNUMBER(L962)),Q962,"")</f>
        <v/>
      </c>
      <c r="AA962">
        <f>IF(AND(Q962&lt;&gt;"",ISNUMBER(M962)),Q962,"")</f>
        <v/>
      </c>
      <c r="AB962">
        <f>IF(AND(Q962&lt;&gt;"",ISNUMBER(K962)),K962,"")</f>
        <v/>
      </c>
      <c r="AC962">
        <f>IF(AND(Q962&lt;&gt;"",ISNUMBER(L962)),L962,"")</f>
        <v/>
      </c>
      <c r="AD962">
        <f>IF(AND(Q962&lt;&gt;"",ISNUMBER(M962)),M962,"")</f>
        <v/>
      </c>
    </row>
    <row r="963">
      <c r="A963" s="1" t="n"/>
      <c r="B963" s="17" t="n"/>
      <c r="C963" s="27" t="n"/>
      <c r="D963" s="28" t="n"/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9" t="n"/>
      <c r="N963" s="21" t="n"/>
      <c r="O963" s="12">
        <f>IF(AND(B963="",C963=""),"",IF(NOT(ISNUMBER(B963)),"Needs a date",IF(C963="","Needs a client",IF(COUNTIF(Clients!$B$6:$B$105,C963)=0,"Not on Clients",IF(COUNT(D963:M963)=0,"Nothing measured","")))))</f>
        <v/>
      </c>
      <c r="P963" s="1">
        <f>IF(AND(O963="",ISNUMBER(B963)),INT(B963),0)</f>
        <v/>
      </c>
      <c r="Q963">
        <f>IF(AND(P963&gt;0,C963=Report!$C$5),P963*10000+ROW(),"")</f>
        <v/>
      </c>
      <c r="R963">
        <f>IF(AND(Q963&lt;&gt;"",ISNUMBER(D963)),Q963,"")</f>
        <v/>
      </c>
      <c r="S963">
        <f>IF(AND(Q963&lt;&gt;"",ISNUMBER(E963)),Q963,"")</f>
        <v/>
      </c>
      <c r="T963">
        <f>IF(AND(Q963&lt;&gt;"",ISNUMBER(F963)),Q963,"")</f>
        <v/>
      </c>
      <c r="U963">
        <f>IF(AND(Q963&lt;&gt;"",ISNUMBER(G963)),Q963,"")</f>
        <v/>
      </c>
      <c r="V963">
        <f>IF(AND(Q963&lt;&gt;"",ISNUMBER(H963)),Q963,"")</f>
        <v/>
      </c>
      <c r="W963">
        <f>IF(AND(Q963&lt;&gt;"",ISNUMBER(I963)),Q963,"")</f>
        <v/>
      </c>
      <c r="X963">
        <f>IF(AND(Q963&lt;&gt;"",ISNUMBER(J963)),Q963,"")</f>
        <v/>
      </c>
      <c r="Y963">
        <f>IF(AND(Q963&lt;&gt;"",ISNUMBER(K963)),Q963,"")</f>
        <v/>
      </c>
      <c r="Z963">
        <f>IF(AND(Q963&lt;&gt;"",ISNUMBER(L963)),Q963,"")</f>
        <v/>
      </c>
      <c r="AA963">
        <f>IF(AND(Q963&lt;&gt;"",ISNUMBER(M963)),Q963,"")</f>
        <v/>
      </c>
      <c r="AB963">
        <f>IF(AND(Q963&lt;&gt;"",ISNUMBER(K963)),K963,"")</f>
        <v/>
      </c>
      <c r="AC963">
        <f>IF(AND(Q963&lt;&gt;"",ISNUMBER(L963)),L963,"")</f>
        <v/>
      </c>
      <c r="AD963">
        <f>IF(AND(Q963&lt;&gt;"",ISNUMBER(M963)),M963,"")</f>
        <v/>
      </c>
    </row>
    <row r="964">
      <c r="A964" s="1" t="n"/>
      <c r="B964" s="17" t="n"/>
      <c r="C964" s="27" t="n"/>
      <c r="D964" s="28" t="n"/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9" t="n"/>
      <c r="N964" s="21" t="n"/>
      <c r="O964" s="12">
        <f>IF(AND(B964="",C964=""),"",IF(NOT(ISNUMBER(B964)),"Needs a date",IF(C964="","Needs a client",IF(COUNTIF(Clients!$B$6:$B$105,C964)=0,"Not on Clients",IF(COUNT(D964:M964)=0,"Nothing measured","")))))</f>
        <v/>
      </c>
      <c r="P964" s="1">
        <f>IF(AND(O964="",ISNUMBER(B964)),INT(B964),0)</f>
        <v/>
      </c>
      <c r="Q964">
        <f>IF(AND(P964&gt;0,C964=Report!$C$5),P964*10000+ROW(),"")</f>
        <v/>
      </c>
      <c r="R964">
        <f>IF(AND(Q964&lt;&gt;"",ISNUMBER(D964)),Q964,"")</f>
        <v/>
      </c>
      <c r="S964">
        <f>IF(AND(Q964&lt;&gt;"",ISNUMBER(E964)),Q964,"")</f>
        <v/>
      </c>
      <c r="T964">
        <f>IF(AND(Q964&lt;&gt;"",ISNUMBER(F964)),Q964,"")</f>
        <v/>
      </c>
      <c r="U964">
        <f>IF(AND(Q964&lt;&gt;"",ISNUMBER(G964)),Q964,"")</f>
        <v/>
      </c>
      <c r="V964">
        <f>IF(AND(Q964&lt;&gt;"",ISNUMBER(H964)),Q964,"")</f>
        <v/>
      </c>
      <c r="W964">
        <f>IF(AND(Q964&lt;&gt;"",ISNUMBER(I964)),Q964,"")</f>
        <v/>
      </c>
      <c r="X964">
        <f>IF(AND(Q964&lt;&gt;"",ISNUMBER(J964)),Q964,"")</f>
        <v/>
      </c>
      <c r="Y964">
        <f>IF(AND(Q964&lt;&gt;"",ISNUMBER(K964)),Q964,"")</f>
        <v/>
      </c>
      <c r="Z964">
        <f>IF(AND(Q964&lt;&gt;"",ISNUMBER(L964)),Q964,"")</f>
        <v/>
      </c>
      <c r="AA964">
        <f>IF(AND(Q964&lt;&gt;"",ISNUMBER(M964)),Q964,"")</f>
        <v/>
      </c>
      <c r="AB964">
        <f>IF(AND(Q964&lt;&gt;"",ISNUMBER(K964)),K964,"")</f>
        <v/>
      </c>
      <c r="AC964">
        <f>IF(AND(Q964&lt;&gt;"",ISNUMBER(L964)),L964,"")</f>
        <v/>
      </c>
      <c r="AD964">
        <f>IF(AND(Q964&lt;&gt;"",ISNUMBER(M964)),M964,"")</f>
        <v/>
      </c>
    </row>
    <row r="965">
      <c r="A965" s="1" t="n"/>
      <c r="B965" s="17" t="n"/>
      <c r="C965" s="27" t="n"/>
      <c r="D965" s="28" t="n"/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9" t="n"/>
      <c r="N965" s="21" t="n"/>
      <c r="O965" s="12">
        <f>IF(AND(B965="",C965=""),"",IF(NOT(ISNUMBER(B965)),"Needs a date",IF(C965="","Needs a client",IF(COUNTIF(Clients!$B$6:$B$105,C965)=0,"Not on Clients",IF(COUNT(D965:M965)=0,"Nothing measured","")))))</f>
        <v/>
      </c>
      <c r="P965" s="1">
        <f>IF(AND(O965="",ISNUMBER(B965)),INT(B965),0)</f>
        <v/>
      </c>
      <c r="Q965">
        <f>IF(AND(P965&gt;0,C965=Report!$C$5),P965*10000+ROW(),"")</f>
        <v/>
      </c>
      <c r="R965">
        <f>IF(AND(Q965&lt;&gt;"",ISNUMBER(D965)),Q965,"")</f>
        <v/>
      </c>
      <c r="S965">
        <f>IF(AND(Q965&lt;&gt;"",ISNUMBER(E965)),Q965,"")</f>
        <v/>
      </c>
      <c r="T965">
        <f>IF(AND(Q965&lt;&gt;"",ISNUMBER(F965)),Q965,"")</f>
        <v/>
      </c>
      <c r="U965">
        <f>IF(AND(Q965&lt;&gt;"",ISNUMBER(G965)),Q965,"")</f>
        <v/>
      </c>
      <c r="V965">
        <f>IF(AND(Q965&lt;&gt;"",ISNUMBER(H965)),Q965,"")</f>
        <v/>
      </c>
      <c r="W965">
        <f>IF(AND(Q965&lt;&gt;"",ISNUMBER(I965)),Q965,"")</f>
        <v/>
      </c>
      <c r="X965">
        <f>IF(AND(Q965&lt;&gt;"",ISNUMBER(J965)),Q965,"")</f>
        <v/>
      </c>
      <c r="Y965">
        <f>IF(AND(Q965&lt;&gt;"",ISNUMBER(K965)),Q965,"")</f>
        <v/>
      </c>
      <c r="Z965">
        <f>IF(AND(Q965&lt;&gt;"",ISNUMBER(L965)),Q965,"")</f>
        <v/>
      </c>
      <c r="AA965">
        <f>IF(AND(Q965&lt;&gt;"",ISNUMBER(M965)),Q965,"")</f>
        <v/>
      </c>
      <c r="AB965">
        <f>IF(AND(Q965&lt;&gt;"",ISNUMBER(K965)),K965,"")</f>
        <v/>
      </c>
      <c r="AC965">
        <f>IF(AND(Q965&lt;&gt;"",ISNUMBER(L965)),L965,"")</f>
        <v/>
      </c>
      <c r="AD965">
        <f>IF(AND(Q965&lt;&gt;"",ISNUMBER(M965)),M965,"")</f>
        <v/>
      </c>
    </row>
    <row r="966">
      <c r="A966" s="1" t="n"/>
      <c r="B966" s="17" t="n"/>
      <c r="C966" s="27" t="n"/>
      <c r="D966" s="28" t="n"/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9" t="n"/>
      <c r="N966" s="21" t="n"/>
      <c r="O966" s="12">
        <f>IF(AND(B966="",C966=""),"",IF(NOT(ISNUMBER(B966)),"Needs a date",IF(C966="","Needs a client",IF(COUNTIF(Clients!$B$6:$B$105,C966)=0,"Not on Clients",IF(COUNT(D966:M966)=0,"Nothing measured","")))))</f>
        <v/>
      </c>
      <c r="P966" s="1">
        <f>IF(AND(O966="",ISNUMBER(B966)),INT(B966),0)</f>
        <v/>
      </c>
      <c r="Q966">
        <f>IF(AND(P966&gt;0,C966=Report!$C$5),P966*10000+ROW(),"")</f>
        <v/>
      </c>
      <c r="R966">
        <f>IF(AND(Q966&lt;&gt;"",ISNUMBER(D966)),Q966,"")</f>
        <v/>
      </c>
      <c r="S966">
        <f>IF(AND(Q966&lt;&gt;"",ISNUMBER(E966)),Q966,"")</f>
        <v/>
      </c>
      <c r="T966">
        <f>IF(AND(Q966&lt;&gt;"",ISNUMBER(F966)),Q966,"")</f>
        <v/>
      </c>
      <c r="U966">
        <f>IF(AND(Q966&lt;&gt;"",ISNUMBER(G966)),Q966,"")</f>
        <v/>
      </c>
      <c r="V966">
        <f>IF(AND(Q966&lt;&gt;"",ISNUMBER(H966)),Q966,"")</f>
        <v/>
      </c>
      <c r="W966">
        <f>IF(AND(Q966&lt;&gt;"",ISNUMBER(I966)),Q966,"")</f>
        <v/>
      </c>
      <c r="X966">
        <f>IF(AND(Q966&lt;&gt;"",ISNUMBER(J966)),Q966,"")</f>
        <v/>
      </c>
      <c r="Y966">
        <f>IF(AND(Q966&lt;&gt;"",ISNUMBER(K966)),Q966,"")</f>
        <v/>
      </c>
      <c r="Z966">
        <f>IF(AND(Q966&lt;&gt;"",ISNUMBER(L966)),Q966,"")</f>
        <v/>
      </c>
      <c r="AA966">
        <f>IF(AND(Q966&lt;&gt;"",ISNUMBER(M966)),Q966,"")</f>
        <v/>
      </c>
      <c r="AB966">
        <f>IF(AND(Q966&lt;&gt;"",ISNUMBER(K966)),K966,"")</f>
        <v/>
      </c>
      <c r="AC966">
        <f>IF(AND(Q966&lt;&gt;"",ISNUMBER(L966)),L966,"")</f>
        <v/>
      </c>
      <c r="AD966">
        <f>IF(AND(Q966&lt;&gt;"",ISNUMBER(M966)),M966,"")</f>
        <v/>
      </c>
    </row>
    <row r="967">
      <c r="A967" s="1" t="n"/>
      <c r="B967" s="17" t="n"/>
      <c r="C967" s="27" t="n"/>
      <c r="D967" s="28" t="n"/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9" t="n"/>
      <c r="N967" s="21" t="n"/>
      <c r="O967" s="12">
        <f>IF(AND(B967="",C967=""),"",IF(NOT(ISNUMBER(B967)),"Needs a date",IF(C967="","Needs a client",IF(COUNTIF(Clients!$B$6:$B$105,C967)=0,"Not on Clients",IF(COUNT(D967:M967)=0,"Nothing measured","")))))</f>
        <v/>
      </c>
      <c r="P967" s="1">
        <f>IF(AND(O967="",ISNUMBER(B967)),INT(B967),0)</f>
        <v/>
      </c>
      <c r="Q967">
        <f>IF(AND(P967&gt;0,C967=Report!$C$5),P967*10000+ROW(),"")</f>
        <v/>
      </c>
      <c r="R967">
        <f>IF(AND(Q967&lt;&gt;"",ISNUMBER(D967)),Q967,"")</f>
        <v/>
      </c>
      <c r="S967">
        <f>IF(AND(Q967&lt;&gt;"",ISNUMBER(E967)),Q967,"")</f>
        <v/>
      </c>
      <c r="T967">
        <f>IF(AND(Q967&lt;&gt;"",ISNUMBER(F967)),Q967,"")</f>
        <v/>
      </c>
      <c r="U967">
        <f>IF(AND(Q967&lt;&gt;"",ISNUMBER(G967)),Q967,"")</f>
        <v/>
      </c>
      <c r="V967">
        <f>IF(AND(Q967&lt;&gt;"",ISNUMBER(H967)),Q967,"")</f>
        <v/>
      </c>
      <c r="W967">
        <f>IF(AND(Q967&lt;&gt;"",ISNUMBER(I967)),Q967,"")</f>
        <v/>
      </c>
      <c r="X967">
        <f>IF(AND(Q967&lt;&gt;"",ISNUMBER(J967)),Q967,"")</f>
        <v/>
      </c>
      <c r="Y967">
        <f>IF(AND(Q967&lt;&gt;"",ISNUMBER(K967)),Q967,"")</f>
        <v/>
      </c>
      <c r="Z967">
        <f>IF(AND(Q967&lt;&gt;"",ISNUMBER(L967)),Q967,"")</f>
        <v/>
      </c>
      <c r="AA967">
        <f>IF(AND(Q967&lt;&gt;"",ISNUMBER(M967)),Q967,"")</f>
        <v/>
      </c>
      <c r="AB967">
        <f>IF(AND(Q967&lt;&gt;"",ISNUMBER(K967)),K967,"")</f>
        <v/>
      </c>
      <c r="AC967">
        <f>IF(AND(Q967&lt;&gt;"",ISNUMBER(L967)),L967,"")</f>
        <v/>
      </c>
      <c r="AD967">
        <f>IF(AND(Q967&lt;&gt;"",ISNUMBER(M967)),M967,"")</f>
        <v/>
      </c>
    </row>
    <row r="968">
      <c r="A968" s="1" t="n"/>
      <c r="B968" s="17" t="n"/>
      <c r="C968" s="27" t="n"/>
      <c r="D968" s="28" t="n"/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9" t="n"/>
      <c r="N968" s="21" t="n"/>
      <c r="O968" s="12">
        <f>IF(AND(B968="",C968=""),"",IF(NOT(ISNUMBER(B968)),"Needs a date",IF(C968="","Needs a client",IF(COUNTIF(Clients!$B$6:$B$105,C968)=0,"Not on Clients",IF(COUNT(D968:M968)=0,"Nothing measured","")))))</f>
        <v/>
      </c>
      <c r="P968" s="1">
        <f>IF(AND(O968="",ISNUMBER(B968)),INT(B968),0)</f>
        <v/>
      </c>
      <c r="Q968">
        <f>IF(AND(P968&gt;0,C968=Report!$C$5),P968*10000+ROW(),"")</f>
        <v/>
      </c>
      <c r="R968">
        <f>IF(AND(Q968&lt;&gt;"",ISNUMBER(D968)),Q968,"")</f>
        <v/>
      </c>
      <c r="S968">
        <f>IF(AND(Q968&lt;&gt;"",ISNUMBER(E968)),Q968,"")</f>
        <v/>
      </c>
      <c r="T968">
        <f>IF(AND(Q968&lt;&gt;"",ISNUMBER(F968)),Q968,"")</f>
        <v/>
      </c>
      <c r="U968">
        <f>IF(AND(Q968&lt;&gt;"",ISNUMBER(G968)),Q968,"")</f>
        <v/>
      </c>
      <c r="V968">
        <f>IF(AND(Q968&lt;&gt;"",ISNUMBER(H968)),Q968,"")</f>
        <v/>
      </c>
      <c r="W968">
        <f>IF(AND(Q968&lt;&gt;"",ISNUMBER(I968)),Q968,"")</f>
        <v/>
      </c>
      <c r="X968">
        <f>IF(AND(Q968&lt;&gt;"",ISNUMBER(J968)),Q968,"")</f>
        <v/>
      </c>
      <c r="Y968">
        <f>IF(AND(Q968&lt;&gt;"",ISNUMBER(K968)),Q968,"")</f>
        <v/>
      </c>
      <c r="Z968">
        <f>IF(AND(Q968&lt;&gt;"",ISNUMBER(L968)),Q968,"")</f>
        <v/>
      </c>
      <c r="AA968">
        <f>IF(AND(Q968&lt;&gt;"",ISNUMBER(M968)),Q968,"")</f>
        <v/>
      </c>
      <c r="AB968">
        <f>IF(AND(Q968&lt;&gt;"",ISNUMBER(K968)),K968,"")</f>
        <v/>
      </c>
      <c r="AC968">
        <f>IF(AND(Q968&lt;&gt;"",ISNUMBER(L968)),L968,"")</f>
        <v/>
      </c>
      <c r="AD968">
        <f>IF(AND(Q968&lt;&gt;"",ISNUMBER(M968)),M968,"")</f>
        <v/>
      </c>
    </row>
    <row r="969">
      <c r="A969" s="1" t="n"/>
      <c r="B969" s="17" t="n"/>
      <c r="C969" s="27" t="n"/>
      <c r="D969" s="28" t="n"/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9" t="n"/>
      <c r="N969" s="21" t="n"/>
      <c r="O969" s="12">
        <f>IF(AND(B969="",C969=""),"",IF(NOT(ISNUMBER(B969)),"Needs a date",IF(C969="","Needs a client",IF(COUNTIF(Clients!$B$6:$B$105,C969)=0,"Not on Clients",IF(COUNT(D969:M969)=0,"Nothing measured","")))))</f>
        <v/>
      </c>
      <c r="P969" s="1">
        <f>IF(AND(O969="",ISNUMBER(B969)),INT(B969),0)</f>
        <v/>
      </c>
      <c r="Q969">
        <f>IF(AND(P969&gt;0,C969=Report!$C$5),P969*10000+ROW(),"")</f>
        <v/>
      </c>
      <c r="R969">
        <f>IF(AND(Q969&lt;&gt;"",ISNUMBER(D969)),Q969,"")</f>
        <v/>
      </c>
      <c r="S969">
        <f>IF(AND(Q969&lt;&gt;"",ISNUMBER(E969)),Q969,"")</f>
        <v/>
      </c>
      <c r="T969">
        <f>IF(AND(Q969&lt;&gt;"",ISNUMBER(F969)),Q969,"")</f>
        <v/>
      </c>
      <c r="U969">
        <f>IF(AND(Q969&lt;&gt;"",ISNUMBER(G969)),Q969,"")</f>
        <v/>
      </c>
      <c r="V969">
        <f>IF(AND(Q969&lt;&gt;"",ISNUMBER(H969)),Q969,"")</f>
        <v/>
      </c>
      <c r="W969">
        <f>IF(AND(Q969&lt;&gt;"",ISNUMBER(I969)),Q969,"")</f>
        <v/>
      </c>
      <c r="X969">
        <f>IF(AND(Q969&lt;&gt;"",ISNUMBER(J969)),Q969,"")</f>
        <v/>
      </c>
      <c r="Y969">
        <f>IF(AND(Q969&lt;&gt;"",ISNUMBER(K969)),Q969,"")</f>
        <v/>
      </c>
      <c r="Z969">
        <f>IF(AND(Q969&lt;&gt;"",ISNUMBER(L969)),Q969,"")</f>
        <v/>
      </c>
      <c r="AA969">
        <f>IF(AND(Q969&lt;&gt;"",ISNUMBER(M969)),Q969,"")</f>
        <v/>
      </c>
      <c r="AB969">
        <f>IF(AND(Q969&lt;&gt;"",ISNUMBER(K969)),K969,"")</f>
        <v/>
      </c>
      <c r="AC969">
        <f>IF(AND(Q969&lt;&gt;"",ISNUMBER(L969)),L969,"")</f>
        <v/>
      </c>
      <c r="AD969">
        <f>IF(AND(Q969&lt;&gt;"",ISNUMBER(M969)),M969,"")</f>
        <v/>
      </c>
    </row>
    <row r="970">
      <c r="A970" s="1" t="n"/>
      <c r="B970" s="17" t="n"/>
      <c r="C970" s="27" t="n"/>
      <c r="D970" s="28" t="n"/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9" t="n"/>
      <c r="N970" s="21" t="n"/>
      <c r="O970" s="12">
        <f>IF(AND(B970="",C970=""),"",IF(NOT(ISNUMBER(B970)),"Needs a date",IF(C970="","Needs a client",IF(COUNTIF(Clients!$B$6:$B$105,C970)=0,"Not on Clients",IF(COUNT(D970:M970)=0,"Nothing measured","")))))</f>
        <v/>
      </c>
      <c r="P970" s="1">
        <f>IF(AND(O970="",ISNUMBER(B970)),INT(B970),0)</f>
        <v/>
      </c>
      <c r="Q970">
        <f>IF(AND(P970&gt;0,C970=Report!$C$5),P970*10000+ROW(),"")</f>
        <v/>
      </c>
      <c r="R970">
        <f>IF(AND(Q970&lt;&gt;"",ISNUMBER(D970)),Q970,"")</f>
        <v/>
      </c>
      <c r="S970">
        <f>IF(AND(Q970&lt;&gt;"",ISNUMBER(E970)),Q970,"")</f>
        <v/>
      </c>
      <c r="T970">
        <f>IF(AND(Q970&lt;&gt;"",ISNUMBER(F970)),Q970,"")</f>
        <v/>
      </c>
      <c r="U970">
        <f>IF(AND(Q970&lt;&gt;"",ISNUMBER(G970)),Q970,"")</f>
        <v/>
      </c>
      <c r="V970">
        <f>IF(AND(Q970&lt;&gt;"",ISNUMBER(H970)),Q970,"")</f>
        <v/>
      </c>
      <c r="W970">
        <f>IF(AND(Q970&lt;&gt;"",ISNUMBER(I970)),Q970,"")</f>
        <v/>
      </c>
      <c r="X970">
        <f>IF(AND(Q970&lt;&gt;"",ISNUMBER(J970)),Q970,"")</f>
        <v/>
      </c>
      <c r="Y970">
        <f>IF(AND(Q970&lt;&gt;"",ISNUMBER(K970)),Q970,"")</f>
        <v/>
      </c>
      <c r="Z970">
        <f>IF(AND(Q970&lt;&gt;"",ISNUMBER(L970)),Q970,"")</f>
        <v/>
      </c>
      <c r="AA970">
        <f>IF(AND(Q970&lt;&gt;"",ISNUMBER(M970)),Q970,"")</f>
        <v/>
      </c>
      <c r="AB970">
        <f>IF(AND(Q970&lt;&gt;"",ISNUMBER(K970)),K970,"")</f>
        <v/>
      </c>
      <c r="AC970">
        <f>IF(AND(Q970&lt;&gt;"",ISNUMBER(L970)),L970,"")</f>
        <v/>
      </c>
      <c r="AD970">
        <f>IF(AND(Q970&lt;&gt;"",ISNUMBER(M970)),M970,"")</f>
        <v/>
      </c>
    </row>
    <row r="971">
      <c r="A971" s="1" t="n"/>
      <c r="B971" s="17" t="n"/>
      <c r="C971" s="27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9" t="n"/>
      <c r="N971" s="21" t="n"/>
      <c r="O971" s="12">
        <f>IF(AND(B971="",C971=""),"",IF(NOT(ISNUMBER(B971)),"Needs a date",IF(C971="","Needs a client",IF(COUNTIF(Clients!$B$6:$B$105,C971)=0,"Not on Clients",IF(COUNT(D971:M971)=0,"Nothing measured","")))))</f>
        <v/>
      </c>
      <c r="P971" s="1">
        <f>IF(AND(O971="",ISNUMBER(B971)),INT(B971),0)</f>
        <v/>
      </c>
      <c r="Q971">
        <f>IF(AND(P971&gt;0,C971=Report!$C$5),P971*10000+ROW(),"")</f>
        <v/>
      </c>
      <c r="R971">
        <f>IF(AND(Q971&lt;&gt;"",ISNUMBER(D971)),Q971,"")</f>
        <v/>
      </c>
      <c r="S971">
        <f>IF(AND(Q971&lt;&gt;"",ISNUMBER(E971)),Q971,"")</f>
        <v/>
      </c>
      <c r="T971">
        <f>IF(AND(Q971&lt;&gt;"",ISNUMBER(F971)),Q971,"")</f>
        <v/>
      </c>
      <c r="U971">
        <f>IF(AND(Q971&lt;&gt;"",ISNUMBER(G971)),Q971,"")</f>
        <v/>
      </c>
      <c r="V971">
        <f>IF(AND(Q971&lt;&gt;"",ISNUMBER(H971)),Q971,"")</f>
        <v/>
      </c>
      <c r="W971">
        <f>IF(AND(Q971&lt;&gt;"",ISNUMBER(I971)),Q971,"")</f>
        <v/>
      </c>
      <c r="X971">
        <f>IF(AND(Q971&lt;&gt;"",ISNUMBER(J971)),Q971,"")</f>
        <v/>
      </c>
      <c r="Y971">
        <f>IF(AND(Q971&lt;&gt;"",ISNUMBER(K971)),Q971,"")</f>
        <v/>
      </c>
      <c r="Z971">
        <f>IF(AND(Q971&lt;&gt;"",ISNUMBER(L971)),Q971,"")</f>
        <v/>
      </c>
      <c r="AA971">
        <f>IF(AND(Q971&lt;&gt;"",ISNUMBER(M971)),Q971,"")</f>
        <v/>
      </c>
      <c r="AB971">
        <f>IF(AND(Q971&lt;&gt;"",ISNUMBER(K971)),K971,"")</f>
        <v/>
      </c>
      <c r="AC971">
        <f>IF(AND(Q971&lt;&gt;"",ISNUMBER(L971)),L971,"")</f>
        <v/>
      </c>
      <c r="AD971">
        <f>IF(AND(Q971&lt;&gt;"",ISNUMBER(M971)),M971,"")</f>
        <v/>
      </c>
    </row>
    <row r="972">
      <c r="A972" s="1" t="n"/>
      <c r="B972" s="17" t="n"/>
      <c r="C972" s="27" t="n"/>
      <c r="D972" s="28" t="n"/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9" t="n"/>
      <c r="N972" s="21" t="n"/>
      <c r="O972" s="12">
        <f>IF(AND(B972="",C972=""),"",IF(NOT(ISNUMBER(B972)),"Needs a date",IF(C972="","Needs a client",IF(COUNTIF(Clients!$B$6:$B$105,C972)=0,"Not on Clients",IF(COUNT(D972:M972)=0,"Nothing measured","")))))</f>
        <v/>
      </c>
      <c r="P972" s="1">
        <f>IF(AND(O972="",ISNUMBER(B972)),INT(B972),0)</f>
        <v/>
      </c>
      <c r="Q972">
        <f>IF(AND(P972&gt;0,C972=Report!$C$5),P972*10000+ROW(),"")</f>
        <v/>
      </c>
      <c r="R972">
        <f>IF(AND(Q972&lt;&gt;"",ISNUMBER(D972)),Q972,"")</f>
        <v/>
      </c>
      <c r="S972">
        <f>IF(AND(Q972&lt;&gt;"",ISNUMBER(E972)),Q972,"")</f>
        <v/>
      </c>
      <c r="T972">
        <f>IF(AND(Q972&lt;&gt;"",ISNUMBER(F972)),Q972,"")</f>
        <v/>
      </c>
      <c r="U972">
        <f>IF(AND(Q972&lt;&gt;"",ISNUMBER(G972)),Q972,"")</f>
        <v/>
      </c>
      <c r="V972">
        <f>IF(AND(Q972&lt;&gt;"",ISNUMBER(H972)),Q972,"")</f>
        <v/>
      </c>
      <c r="W972">
        <f>IF(AND(Q972&lt;&gt;"",ISNUMBER(I972)),Q972,"")</f>
        <v/>
      </c>
      <c r="X972">
        <f>IF(AND(Q972&lt;&gt;"",ISNUMBER(J972)),Q972,"")</f>
        <v/>
      </c>
      <c r="Y972">
        <f>IF(AND(Q972&lt;&gt;"",ISNUMBER(K972)),Q972,"")</f>
        <v/>
      </c>
      <c r="Z972">
        <f>IF(AND(Q972&lt;&gt;"",ISNUMBER(L972)),Q972,"")</f>
        <v/>
      </c>
      <c r="AA972">
        <f>IF(AND(Q972&lt;&gt;"",ISNUMBER(M972)),Q972,"")</f>
        <v/>
      </c>
      <c r="AB972">
        <f>IF(AND(Q972&lt;&gt;"",ISNUMBER(K972)),K972,"")</f>
        <v/>
      </c>
      <c r="AC972">
        <f>IF(AND(Q972&lt;&gt;"",ISNUMBER(L972)),L972,"")</f>
        <v/>
      </c>
      <c r="AD972">
        <f>IF(AND(Q972&lt;&gt;"",ISNUMBER(M972)),M972,"")</f>
        <v/>
      </c>
    </row>
    <row r="973">
      <c r="A973" s="1" t="n"/>
      <c r="B973" s="17" t="n"/>
      <c r="C973" s="27" t="n"/>
      <c r="D973" s="28" t="n"/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9" t="n"/>
      <c r="N973" s="21" t="n"/>
      <c r="O973" s="12">
        <f>IF(AND(B973="",C973=""),"",IF(NOT(ISNUMBER(B973)),"Needs a date",IF(C973="","Needs a client",IF(COUNTIF(Clients!$B$6:$B$105,C973)=0,"Not on Clients",IF(COUNT(D973:M973)=0,"Nothing measured","")))))</f>
        <v/>
      </c>
      <c r="P973" s="1">
        <f>IF(AND(O973="",ISNUMBER(B973)),INT(B973),0)</f>
        <v/>
      </c>
      <c r="Q973">
        <f>IF(AND(P973&gt;0,C973=Report!$C$5),P973*10000+ROW(),"")</f>
        <v/>
      </c>
      <c r="R973">
        <f>IF(AND(Q973&lt;&gt;"",ISNUMBER(D973)),Q973,"")</f>
        <v/>
      </c>
      <c r="S973">
        <f>IF(AND(Q973&lt;&gt;"",ISNUMBER(E973)),Q973,"")</f>
        <v/>
      </c>
      <c r="T973">
        <f>IF(AND(Q973&lt;&gt;"",ISNUMBER(F973)),Q973,"")</f>
        <v/>
      </c>
      <c r="U973">
        <f>IF(AND(Q973&lt;&gt;"",ISNUMBER(G973)),Q973,"")</f>
        <v/>
      </c>
      <c r="V973">
        <f>IF(AND(Q973&lt;&gt;"",ISNUMBER(H973)),Q973,"")</f>
        <v/>
      </c>
      <c r="W973">
        <f>IF(AND(Q973&lt;&gt;"",ISNUMBER(I973)),Q973,"")</f>
        <v/>
      </c>
      <c r="X973">
        <f>IF(AND(Q973&lt;&gt;"",ISNUMBER(J973)),Q973,"")</f>
        <v/>
      </c>
      <c r="Y973">
        <f>IF(AND(Q973&lt;&gt;"",ISNUMBER(K973)),Q973,"")</f>
        <v/>
      </c>
      <c r="Z973">
        <f>IF(AND(Q973&lt;&gt;"",ISNUMBER(L973)),Q973,"")</f>
        <v/>
      </c>
      <c r="AA973">
        <f>IF(AND(Q973&lt;&gt;"",ISNUMBER(M973)),Q973,"")</f>
        <v/>
      </c>
      <c r="AB973">
        <f>IF(AND(Q973&lt;&gt;"",ISNUMBER(K973)),K973,"")</f>
        <v/>
      </c>
      <c r="AC973">
        <f>IF(AND(Q973&lt;&gt;"",ISNUMBER(L973)),L973,"")</f>
        <v/>
      </c>
      <c r="AD973">
        <f>IF(AND(Q973&lt;&gt;"",ISNUMBER(M973)),M973,"")</f>
        <v/>
      </c>
    </row>
    <row r="974">
      <c r="A974" s="1" t="n"/>
      <c r="B974" s="17" t="n"/>
      <c r="C974" s="27" t="n"/>
      <c r="D974" s="28" t="n"/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9" t="n"/>
      <c r="N974" s="21" t="n"/>
      <c r="O974" s="12">
        <f>IF(AND(B974="",C974=""),"",IF(NOT(ISNUMBER(B974)),"Needs a date",IF(C974="","Needs a client",IF(COUNTIF(Clients!$B$6:$B$105,C974)=0,"Not on Clients",IF(COUNT(D974:M974)=0,"Nothing measured","")))))</f>
        <v/>
      </c>
      <c r="P974" s="1">
        <f>IF(AND(O974="",ISNUMBER(B974)),INT(B974),0)</f>
        <v/>
      </c>
      <c r="Q974">
        <f>IF(AND(P974&gt;0,C974=Report!$C$5),P974*10000+ROW(),"")</f>
        <v/>
      </c>
      <c r="R974">
        <f>IF(AND(Q974&lt;&gt;"",ISNUMBER(D974)),Q974,"")</f>
        <v/>
      </c>
      <c r="S974">
        <f>IF(AND(Q974&lt;&gt;"",ISNUMBER(E974)),Q974,"")</f>
        <v/>
      </c>
      <c r="T974">
        <f>IF(AND(Q974&lt;&gt;"",ISNUMBER(F974)),Q974,"")</f>
        <v/>
      </c>
      <c r="U974">
        <f>IF(AND(Q974&lt;&gt;"",ISNUMBER(G974)),Q974,"")</f>
        <v/>
      </c>
      <c r="V974">
        <f>IF(AND(Q974&lt;&gt;"",ISNUMBER(H974)),Q974,"")</f>
        <v/>
      </c>
      <c r="W974">
        <f>IF(AND(Q974&lt;&gt;"",ISNUMBER(I974)),Q974,"")</f>
        <v/>
      </c>
      <c r="X974">
        <f>IF(AND(Q974&lt;&gt;"",ISNUMBER(J974)),Q974,"")</f>
        <v/>
      </c>
      <c r="Y974">
        <f>IF(AND(Q974&lt;&gt;"",ISNUMBER(K974)),Q974,"")</f>
        <v/>
      </c>
      <c r="Z974">
        <f>IF(AND(Q974&lt;&gt;"",ISNUMBER(L974)),Q974,"")</f>
        <v/>
      </c>
      <c r="AA974">
        <f>IF(AND(Q974&lt;&gt;"",ISNUMBER(M974)),Q974,"")</f>
        <v/>
      </c>
      <c r="AB974">
        <f>IF(AND(Q974&lt;&gt;"",ISNUMBER(K974)),K974,"")</f>
        <v/>
      </c>
      <c r="AC974">
        <f>IF(AND(Q974&lt;&gt;"",ISNUMBER(L974)),L974,"")</f>
        <v/>
      </c>
      <c r="AD974">
        <f>IF(AND(Q974&lt;&gt;"",ISNUMBER(M974)),M974,"")</f>
        <v/>
      </c>
    </row>
    <row r="975">
      <c r="A975" s="1" t="n"/>
      <c r="B975" s="17" t="n"/>
      <c r="C975" s="27" t="n"/>
      <c r="D975" s="28" t="n"/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9" t="n"/>
      <c r="N975" s="21" t="n"/>
      <c r="O975" s="12">
        <f>IF(AND(B975="",C975=""),"",IF(NOT(ISNUMBER(B975)),"Needs a date",IF(C975="","Needs a client",IF(COUNTIF(Clients!$B$6:$B$105,C975)=0,"Not on Clients",IF(COUNT(D975:M975)=0,"Nothing measured","")))))</f>
        <v/>
      </c>
      <c r="P975" s="1">
        <f>IF(AND(O975="",ISNUMBER(B975)),INT(B975),0)</f>
        <v/>
      </c>
      <c r="Q975">
        <f>IF(AND(P975&gt;0,C975=Report!$C$5),P975*10000+ROW(),"")</f>
        <v/>
      </c>
      <c r="R975">
        <f>IF(AND(Q975&lt;&gt;"",ISNUMBER(D975)),Q975,"")</f>
        <v/>
      </c>
      <c r="S975">
        <f>IF(AND(Q975&lt;&gt;"",ISNUMBER(E975)),Q975,"")</f>
        <v/>
      </c>
      <c r="T975">
        <f>IF(AND(Q975&lt;&gt;"",ISNUMBER(F975)),Q975,"")</f>
        <v/>
      </c>
      <c r="U975">
        <f>IF(AND(Q975&lt;&gt;"",ISNUMBER(G975)),Q975,"")</f>
        <v/>
      </c>
      <c r="V975">
        <f>IF(AND(Q975&lt;&gt;"",ISNUMBER(H975)),Q975,"")</f>
        <v/>
      </c>
      <c r="W975">
        <f>IF(AND(Q975&lt;&gt;"",ISNUMBER(I975)),Q975,"")</f>
        <v/>
      </c>
      <c r="X975">
        <f>IF(AND(Q975&lt;&gt;"",ISNUMBER(J975)),Q975,"")</f>
        <v/>
      </c>
      <c r="Y975">
        <f>IF(AND(Q975&lt;&gt;"",ISNUMBER(K975)),Q975,"")</f>
        <v/>
      </c>
      <c r="Z975">
        <f>IF(AND(Q975&lt;&gt;"",ISNUMBER(L975)),Q975,"")</f>
        <v/>
      </c>
      <c r="AA975">
        <f>IF(AND(Q975&lt;&gt;"",ISNUMBER(M975)),Q975,"")</f>
        <v/>
      </c>
      <c r="AB975">
        <f>IF(AND(Q975&lt;&gt;"",ISNUMBER(K975)),K975,"")</f>
        <v/>
      </c>
      <c r="AC975">
        <f>IF(AND(Q975&lt;&gt;"",ISNUMBER(L975)),L975,"")</f>
        <v/>
      </c>
      <c r="AD975">
        <f>IF(AND(Q975&lt;&gt;"",ISNUMBER(M975)),M975,"")</f>
        <v/>
      </c>
    </row>
    <row r="976">
      <c r="A976" s="1" t="n"/>
      <c r="B976" s="17" t="n"/>
      <c r="C976" s="27" t="n"/>
      <c r="D976" s="28" t="n"/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9" t="n"/>
      <c r="N976" s="21" t="n"/>
      <c r="O976" s="12">
        <f>IF(AND(B976="",C976=""),"",IF(NOT(ISNUMBER(B976)),"Needs a date",IF(C976="","Needs a client",IF(COUNTIF(Clients!$B$6:$B$105,C976)=0,"Not on Clients",IF(COUNT(D976:M976)=0,"Nothing measured","")))))</f>
        <v/>
      </c>
      <c r="P976" s="1">
        <f>IF(AND(O976="",ISNUMBER(B976)),INT(B976),0)</f>
        <v/>
      </c>
      <c r="Q976">
        <f>IF(AND(P976&gt;0,C976=Report!$C$5),P976*10000+ROW(),"")</f>
        <v/>
      </c>
      <c r="R976">
        <f>IF(AND(Q976&lt;&gt;"",ISNUMBER(D976)),Q976,"")</f>
        <v/>
      </c>
      <c r="S976">
        <f>IF(AND(Q976&lt;&gt;"",ISNUMBER(E976)),Q976,"")</f>
        <v/>
      </c>
      <c r="T976">
        <f>IF(AND(Q976&lt;&gt;"",ISNUMBER(F976)),Q976,"")</f>
        <v/>
      </c>
      <c r="U976">
        <f>IF(AND(Q976&lt;&gt;"",ISNUMBER(G976)),Q976,"")</f>
        <v/>
      </c>
      <c r="V976">
        <f>IF(AND(Q976&lt;&gt;"",ISNUMBER(H976)),Q976,"")</f>
        <v/>
      </c>
      <c r="W976">
        <f>IF(AND(Q976&lt;&gt;"",ISNUMBER(I976)),Q976,"")</f>
        <v/>
      </c>
      <c r="X976">
        <f>IF(AND(Q976&lt;&gt;"",ISNUMBER(J976)),Q976,"")</f>
        <v/>
      </c>
      <c r="Y976">
        <f>IF(AND(Q976&lt;&gt;"",ISNUMBER(K976)),Q976,"")</f>
        <v/>
      </c>
      <c r="Z976">
        <f>IF(AND(Q976&lt;&gt;"",ISNUMBER(L976)),Q976,"")</f>
        <v/>
      </c>
      <c r="AA976">
        <f>IF(AND(Q976&lt;&gt;"",ISNUMBER(M976)),Q976,"")</f>
        <v/>
      </c>
      <c r="AB976">
        <f>IF(AND(Q976&lt;&gt;"",ISNUMBER(K976)),K976,"")</f>
        <v/>
      </c>
      <c r="AC976">
        <f>IF(AND(Q976&lt;&gt;"",ISNUMBER(L976)),L976,"")</f>
        <v/>
      </c>
      <c r="AD976">
        <f>IF(AND(Q976&lt;&gt;"",ISNUMBER(M976)),M976,"")</f>
        <v/>
      </c>
    </row>
    <row r="977">
      <c r="A977" s="1" t="n"/>
      <c r="B977" s="17" t="n"/>
      <c r="C977" s="27" t="n"/>
      <c r="D977" s="28" t="n"/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9" t="n"/>
      <c r="N977" s="21" t="n"/>
      <c r="O977" s="12">
        <f>IF(AND(B977="",C977=""),"",IF(NOT(ISNUMBER(B977)),"Needs a date",IF(C977="","Needs a client",IF(COUNTIF(Clients!$B$6:$B$105,C977)=0,"Not on Clients",IF(COUNT(D977:M977)=0,"Nothing measured","")))))</f>
        <v/>
      </c>
      <c r="P977" s="1">
        <f>IF(AND(O977="",ISNUMBER(B977)),INT(B977),0)</f>
        <v/>
      </c>
      <c r="Q977">
        <f>IF(AND(P977&gt;0,C977=Report!$C$5),P977*10000+ROW(),"")</f>
        <v/>
      </c>
      <c r="R977">
        <f>IF(AND(Q977&lt;&gt;"",ISNUMBER(D977)),Q977,"")</f>
        <v/>
      </c>
      <c r="S977">
        <f>IF(AND(Q977&lt;&gt;"",ISNUMBER(E977)),Q977,"")</f>
        <v/>
      </c>
      <c r="T977">
        <f>IF(AND(Q977&lt;&gt;"",ISNUMBER(F977)),Q977,"")</f>
        <v/>
      </c>
      <c r="U977">
        <f>IF(AND(Q977&lt;&gt;"",ISNUMBER(G977)),Q977,"")</f>
        <v/>
      </c>
      <c r="V977">
        <f>IF(AND(Q977&lt;&gt;"",ISNUMBER(H977)),Q977,"")</f>
        <v/>
      </c>
      <c r="W977">
        <f>IF(AND(Q977&lt;&gt;"",ISNUMBER(I977)),Q977,"")</f>
        <v/>
      </c>
      <c r="X977">
        <f>IF(AND(Q977&lt;&gt;"",ISNUMBER(J977)),Q977,"")</f>
        <v/>
      </c>
      <c r="Y977">
        <f>IF(AND(Q977&lt;&gt;"",ISNUMBER(K977)),Q977,"")</f>
        <v/>
      </c>
      <c r="Z977">
        <f>IF(AND(Q977&lt;&gt;"",ISNUMBER(L977)),Q977,"")</f>
        <v/>
      </c>
      <c r="AA977">
        <f>IF(AND(Q977&lt;&gt;"",ISNUMBER(M977)),Q977,"")</f>
        <v/>
      </c>
      <c r="AB977">
        <f>IF(AND(Q977&lt;&gt;"",ISNUMBER(K977)),K977,"")</f>
        <v/>
      </c>
      <c r="AC977">
        <f>IF(AND(Q977&lt;&gt;"",ISNUMBER(L977)),L977,"")</f>
        <v/>
      </c>
      <c r="AD977">
        <f>IF(AND(Q977&lt;&gt;"",ISNUMBER(M977)),M977,"")</f>
        <v/>
      </c>
    </row>
    <row r="978">
      <c r="A978" s="1" t="n"/>
      <c r="B978" s="17" t="n"/>
      <c r="C978" s="27" t="n"/>
      <c r="D978" s="28" t="n"/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9" t="n"/>
      <c r="N978" s="21" t="n"/>
      <c r="O978" s="12">
        <f>IF(AND(B978="",C978=""),"",IF(NOT(ISNUMBER(B978)),"Needs a date",IF(C978="","Needs a client",IF(COUNTIF(Clients!$B$6:$B$105,C978)=0,"Not on Clients",IF(COUNT(D978:M978)=0,"Nothing measured","")))))</f>
        <v/>
      </c>
      <c r="P978" s="1">
        <f>IF(AND(O978="",ISNUMBER(B978)),INT(B978),0)</f>
        <v/>
      </c>
      <c r="Q978">
        <f>IF(AND(P978&gt;0,C978=Report!$C$5),P978*10000+ROW(),"")</f>
        <v/>
      </c>
      <c r="R978">
        <f>IF(AND(Q978&lt;&gt;"",ISNUMBER(D978)),Q978,"")</f>
        <v/>
      </c>
      <c r="S978">
        <f>IF(AND(Q978&lt;&gt;"",ISNUMBER(E978)),Q978,"")</f>
        <v/>
      </c>
      <c r="T978">
        <f>IF(AND(Q978&lt;&gt;"",ISNUMBER(F978)),Q978,"")</f>
        <v/>
      </c>
      <c r="U978">
        <f>IF(AND(Q978&lt;&gt;"",ISNUMBER(G978)),Q978,"")</f>
        <v/>
      </c>
      <c r="V978">
        <f>IF(AND(Q978&lt;&gt;"",ISNUMBER(H978)),Q978,"")</f>
        <v/>
      </c>
      <c r="W978">
        <f>IF(AND(Q978&lt;&gt;"",ISNUMBER(I978)),Q978,"")</f>
        <v/>
      </c>
      <c r="X978">
        <f>IF(AND(Q978&lt;&gt;"",ISNUMBER(J978)),Q978,"")</f>
        <v/>
      </c>
      <c r="Y978">
        <f>IF(AND(Q978&lt;&gt;"",ISNUMBER(K978)),Q978,"")</f>
        <v/>
      </c>
      <c r="Z978">
        <f>IF(AND(Q978&lt;&gt;"",ISNUMBER(L978)),Q978,"")</f>
        <v/>
      </c>
      <c r="AA978">
        <f>IF(AND(Q978&lt;&gt;"",ISNUMBER(M978)),Q978,"")</f>
        <v/>
      </c>
      <c r="AB978">
        <f>IF(AND(Q978&lt;&gt;"",ISNUMBER(K978)),K978,"")</f>
        <v/>
      </c>
      <c r="AC978">
        <f>IF(AND(Q978&lt;&gt;"",ISNUMBER(L978)),L978,"")</f>
        <v/>
      </c>
      <c r="AD978">
        <f>IF(AND(Q978&lt;&gt;"",ISNUMBER(M978)),M978,"")</f>
        <v/>
      </c>
    </row>
    <row r="979">
      <c r="A979" s="1" t="n"/>
      <c r="B979" s="17" t="n"/>
      <c r="C979" s="27" t="n"/>
      <c r="D979" s="28" t="n"/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9" t="n"/>
      <c r="N979" s="21" t="n"/>
      <c r="O979" s="12">
        <f>IF(AND(B979="",C979=""),"",IF(NOT(ISNUMBER(B979)),"Needs a date",IF(C979="","Needs a client",IF(COUNTIF(Clients!$B$6:$B$105,C979)=0,"Not on Clients",IF(COUNT(D979:M979)=0,"Nothing measured","")))))</f>
        <v/>
      </c>
      <c r="P979" s="1">
        <f>IF(AND(O979="",ISNUMBER(B979)),INT(B979),0)</f>
        <v/>
      </c>
      <c r="Q979">
        <f>IF(AND(P979&gt;0,C979=Report!$C$5),P979*10000+ROW(),"")</f>
        <v/>
      </c>
      <c r="R979">
        <f>IF(AND(Q979&lt;&gt;"",ISNUMBER(D979)),Q979,"")</f>
        <v/>
      </c>
      <c r="S979">
        <f>IF(AND(Q979&lt;&gt;"",ISNUMBER(E979)),Q979,"")</f>
        <v/>
      </c>
      <c r="T979">
        <f>IF(AND(Q979&lt;&gt;"",ISNUMBER(F979)),Q979,"")</f>
        <v/>
      </c>
      <c r="U979">
        <f>IF(AND(Q979&lt;&gt;"",ISNUMBER(G979)),Q979,"")</f>
        <v/>
      </c>
      <c r="V979">
        <f>IF(AND(Q979&lt;&gt;"",ISNUMBER(H979)),Q979,"")</f>
        <v/>
      </c>
      <c r="W979">
        <f>IF(AND(Q979&lt;&gt;"",ISNUMBER(I979)),Q979,"")</f>
        <v/>
      </c>
      <c r="X979">
        <f>IF(AND(Q979&lt;&gt;"",ISNUMBER(J979)),Q979,"")</f>
        <v/>
      </c>
      <c r="Y979">
        <f>IF(AND(Q979&lt;&gt;"",ISNUMBER(K979)),Q979,"")</f>
        <v/>
      </c>
      <c r="Z979">
        <f>IF(AND(Q979&lt;&gt;"",ISNUMBER(L979)),Q979,"")</f>
        <v/>
      </c>
      <c r="AA979">
        <f>IF(AND(Q979&lt;&gt;"",ISNUMBER(M979)),Q979,"")</f>
        <v/>
      </c>
      <c r="AB979">
        <f>IF(AND(Q979&lt;&gt;"",ISNUMBER(K979)),K979,"")</f>
        <v/>
      </c>
      <c r="AC979">
        <f>IF(AND(Q979&lt;&gt;"",ISNUMBER(L979)),L979,"")</f>
        <v/>
      </c>
      <c r="AD979">
        <f>IF(AND(Q979&lt;&gt;"",ISNUMBER(M979)),M979,"")</f>
        <v/>
      </c>
    </row>
    <row r="980">
      <c r="A980" s="1" t="n"/>
      <c r="B980" s="17" t="n"/>
      <c r="C980" s="27" t="n"/>
      <c r="D980" s="28" t="n"/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9" t="n"/>
      <c r="N980" s="21" t="n"/>
      <c r="O980" s="12">
        <f>IF(AND(B980="",C980=""),"",IF(NOT(ISNUMBER(B980)),"Needs a date",IF(C980="","Needs a client",IF(COUNTIF(Clients!$B$6:$B$105,C980)=0,"Not on Clients",IF(COUNT(D980:M980)=0,"Nothing measured","")))))</f>
        <v/>
      </c>
      <c r="P980" s="1">
        <f>IF(AND(O980="",ISNUMBER(B980)),INT(B980),0)</f>
        <v/>
      </c>
      <c r="Q980">
        <f>IF(AND(P980&gt;0,C980=Report!$C$5),P980*10000+ROW(),"")</f>
        <v/>
      </c>
      <c r="R980">
        <f>IF(AND(Q980&lt;&gt;"",ISNUMBER(D980)),Q980,"")</f>
        <v/>
      </c>
      <c r="S980">
        <f>IF(AND(Q980&lt;&gt;"",ISNUMBER(E980)),Q980,"")</f>
        <v/>
      </c>
      <c r="T980">
        <f>IF(AND(Q980&lt;&gt;"",ISNUMBER(F980)),Q980,"")</f>
        <v/>
      </c>
      <c r="U980">
        <f>IF(AND(Q980&lt;&gt;"",ISNUMBER(G980)),Q980,"")</f>
        <v/>
      </c>
      <c r="V980">
        <f>IF(AND(Q980&lt;&gt;"",ISNUMBER(H980)),Q980,"")</f>
        <v/>
      </c>
      <c r="W980">
        <f>IF(AND(Q980&lt;&gt;"",ISNUMBER(I980)),Q980,"")</f>
        <v/>
      </c>
      <c r="X980">
        <f>IF(AND(Q980&lt;&gt;"",ISNUMBER(J980)),Q980,"")</f>
        <v/>
      </c>
      <c r="Y980">
        <f>IF(AND(Q980&lt;&gt;"",ISNUMBER(K980)),Q980,"")</f>
        <v/>
      </c>
      <c r="Z980">
        <f>IF(AND(Q980&lt;&gt;"",ISNUMBER(L980)),Q980,"")</f>
        <v/>
      </c>
      <c r="AA980">
        <f>IF(AND(Q980&lt;&gt;"",ISNUMBER(M980)),Q980,"")</f>
        <v/>
      </c>
      <c r="AB980">
        <f>IF(AND(Q980&lt;&gt;"",ISNUMBER(K980)),K980,"")</f>
        <v/>
      </c>
      <c r="AC980">
        <f>IF(AND(Q980&lt;&gt;"",ISNUMBER(L980)),L980,"")</f>
        <v/>
      </c>
      <c r="AD980">
        <f>IF(AND(Q980&lt;&gt;"",ISNUMBER(M980)),M980,"")</f>
        <v/>
      </c>
    </row>
    <row r="981">
      <c r="A981" s="1" t="n"/>
      <c r="B981" s="17" t="n"/>
      <c r="C981" s="27" t="n"/>
      <c r="D981" s="28" t="n"/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9" t="n"/>
      <c r="N981" s="21" t="n"/>
      <c r="O981" s="12">
        <f>IF(AND(B981="",C981=""),"",IF(NOT(ISNUMBER(B981)),"Needs a date",IF(C981="","Needs a client",IF(COUNTIF(Clients!$B$6:$B$105,C981)=0,"Not on Clients",IF(COUNT(D981:M981)=0,"Nothing measured","")))))</f>
        <v/>
      </c>
      <c r="P981" s="1">
        <f>IF(AND(O981="",ISNUMBER(B981)),INT(B981),0)</f>
        <v/>
      </c>
      <c r="Q981">
        <f>IF(AND(P981&gt;0,C981=Report!$C$5),P981*10000+ROW(),"")</f>
        <v/>
      </c>
      <c r="R981">
        <f>IF(AND(Q981&lt;&gt;"",ISNUMBER(D981)),Q981,"")</f>
        <v/>
      </c>
      <c r="S981">
        <f>IF(AND(Q981&lt;&gt;"",ISNUMBER(E981)),Q981,"")</f>
        <v/>
      </c>
      <c r="T981">
        <f>IF(AND(Q981&lt;&gt;"",ISNUMBER(F981)),Q981,"")</f>
        <v/>
      </c>
      <c r="U981">
        <f>IF(AND(Q981&lt;&gt;"",ISNUMBER(G981)),Q981,"")</f>
        <v/>
      </c>
      <c r="V981">
        <f>IF(AND(Q981&lt;&gt;"",ISNUMBER(H981)),Q981,"")</f>
        <v/>
      </c>
      <c r="W981">
        <f>IF(AND(Q981&lt;&gt;"",ISNUMBER(I981)),Q981,"")</f>
        <v/>
      </c>
      <c r="X981">
        <f>IF(AND(Q981&lt;&gt;"",ISNUMBER(J981)),Q981,"")</f>
        <v/>
      </c>
      <c r="Y981">
        <f>IF(AND(Q981&lt;&gt;"",ISNUMBER(K981)),Q981,"")</f>
        <v/>
      </c>
      <c r="Z981">
        <f>IF(AND(Q981&lt;&gt;"",ISNUMBER(L981)),Q981,"")</f>
        <v/>
      </c>
      <c r="AA981">
        <f>IF(AND(Q981&lt;&gt;"",ISNUMBER(M981)),Q981,"")</f>
        <v/>
      </c>
      <c r="AB981">
        <f>IF(AND(Q981&lt;&gt;"",ISNUMBER(K981)),K981,"")</f>
        <v/>
      </c>
      <c r="AC981">
        <f>IF(AND(Q981&lt;&gt;"",ISNUMBER(L981)),L981,"")</f>
        <v/>
      </c>
      <c r="AD981">
        <f>IF(AND(Q981&lt;&gt;"",ISNUMBER(M981)),M981,"")</f>
        <v/>
      </c>
    </row>
    <row r="982">
      <c r="A982" s="1" t="n"/>
      <c r="B982" s="17" t="n"/>
      <c r="C982" s="27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9" t="n"/>
      <c r="N982" s="21" t="n"/>
      <c r="O982" s="12">
        <f>IF(AND(B982="",C982=""),"",IF(NOT(ISNUMBER(B982)),"Needs a date",IF(C982="","Needs a client",IF(COUNTIF(Clients!$B$6:$B$105,C982)=0,"Not on Clients",IF(COUNT(D982:M982)=0,"Nothing measured","")))))</f>
        <v/>
      </c>
      <c r="P982" s="1">
        <f>IF(AND(O982="",ISNUMBER(B982)),INT(B982),0)</f>
        <v/>
      </c>
      <c r="Q982">
        <f>IF(AND(P982&gt;0,C982=Report!$C$5),P982*10000+ROW(),"")</f>
        <v/>
      </c>
      <c r="R982">
        <f>IF(AND(Q982&lt;&gt;"",ISNUMBER(D982)),Q982,"")</f>
        <v/>
      </c>
      <c r="S982">
        <f>IF(AND(Q982&lt;&gt;"",ISNUMBER(E982)),Q982,"")</f>
        <v/>
      </c>
      <c r="T982">
        <f>IF(AND(Q982&lt;&gt;"",ISNUMBER(F982)),Q982,"")</f>
        <v/>
      </c>
      <c r="U982">
        <f>IF(AND(Q982&lt;&gt;"",ISNUMBER(G982)),Q982,"")</f>
        <v/>
      </c>
      <c r="V982">
        <f>IF(AND(Q982&lt;&gt;"",ISNUMBER(H982)),Q982,"")</f>
        <v/>
      </c>
      <c r="W982">
        <f>IF(AND(Q982&lt;&gt;"",ISNUMBER(I982)),Q982,"")</f>
        <v/>
      </c>
      <c r="X982">
        <f>IF(AND(Q982&lt;&gt;"",ISNUMBER(J982)),Q982,"")</f>
        <v/>
      </c>
      <c r="Y982">
        <f>IF(AND(Q982&lt;&gt;"",ISNUMBER(K982)),Q982,"")</f>
        <v/>
      </c>
      <c r="Z982">
        <f>IF(AND(Q982&lt;&gt;"",ISNUMBER(L982)),Q982,"")</f>
        <v/>
      </c>
      <c r="AA982">
        <f>IF(AND(Q982&lt;&gt;"",ISNUMBER(M982)),Q982,"")</f>
        <v/>
      </c>
      <c r="AB982">
        <f>IF(AND(Q982&lt;&gt;"",ISNUMBER(K982)),K982,"")</f>
        <v/>
      </c>
      <c r="AC982">
        <f>IF(AND(Q982&lt;&gt;"",ISNUMBER(L982)),L982,"")</f>
        <v/>
      </c>
      <c r="AD982">
        <f>IF(AND(Q982&lt;&gt;"",ISNUMBER(M982)),M982,"")</f>
        <v/>
      </c>
    </row>
    <row r="983">
      <c r="A983" s="1" t="n"/>
      <c r="B983" s="17" t="n"/>
      <c r="C983" s="27" t="n"/>
      <c r="D983" s="28" t="n"/>
      <c r="E983" s="28" t="n"/>
      <c r="F983" s="28" t="n"/>
      <c r="G983" s="28" t="n"/>
      <c r="H983" s="28" t="n"/>
      <c r="I983" s="28" t="n"/>
      <c r="J983" s="28" t="n"/>
      <c r="K983" s="28" t="n"/>
      <c r="L983" s="28" t="n"/>
      <c r="M983" s="29" t="n"/>
      <c r="N983" s="21" t="n"/>
      <c r="O983" s="12">
        <f>IF(AND(B983="",C983=""),"",IF(NOT(ISNUMBER(B983)),"Needs a date",IF(C983="","Needs a client",IF(COUNTIF(Clients!$B$6:$B$105,C983)=0,"Not on Clients",IF(COUNT(D983:M983)=0,"Nothing measured","")))))</f>
        <v/>
      </c>
      <c r="P983" s="1">
        <f>IF(AND(O983="",ISNUMBER(B983)),INT(B983),0)</f>
        <v/>
      </c>
      <c r="Q983">
        <f>IF(AND(P983&gt;0,C983=Report!$C$5),P983*10000+ROW(),"")</f>
        <v/>
      </c>
      <c r="R983">
        <f>IF(AND(Q983&lt;&gt;"",ISNUMBER(D983)),Q983,"")</f>
        <v/>
      </c>
      <c r="S983">
        <f>IF(AND(Q983&lt;&gt;"",ISNUMBER(E983)),Q983,"")</f>
        <v/>
      </c>
      <c r="T983">
        <f>IF(AND(Q983&lt;&gt;"",ISNUMBER(F983)),Q983,"")</f>
        <v/>
      </c>
      <c r="U983">
        <f>IF(AND(Q983&lt;&gt;"",ISNUMBER(G983)),Q983,"")</f>
        <v/>
      </c>
      <c r="V983">
        <f>IF(AND(Q983&lt;&gt;"",ISNUMBER(H983)),Q983,"")</f>
        <v/>
      </c>
      <c r="W983">
        <f>IF(AND(Q983&lt;&gt;"",ISNUMBER(I983)),Q983,"")</f>
        <v/>
      </c>
      <c r="X983">
        <f>IF(AND(Q983&lt;&gt;"",ISNUMBER(J983)),Q983,"")</f>
        <v/>
      </c>
      <c r="Y983">
        <f>IF(AND(Q983&lt;&gt;"",ISNUMBER(K983)),Q983,"")</f>
        <v/>
      </c>
      <c r="Z983">
        <f>IF(AND(Q983&lt;&gt;"",ISNUMBER(L983)),Q983,"")</f>
        <v/>
      </c>
      <c r="AA983">
        <f>IF(AND(Q983&lt;&gt;"",ISNUMBER(M983)),Q983,"")</f>
        <v/>
      </c>
      <c r="AB983">
        <f>IF(AND(Q983&lt;&gt;"",ISNUMBER(K983)),K983,"")</f>
        <v/>
      </c>
      <c r="AC983">
        <f>IF(AND(Q983&lt;&gt;"",ISNUMBER(L983)),L983,"")</f>
        <v/>
      </c>
      <c r="AD983">
        <f>IF(AND(Q983&lt;&gt;"",ISNUMBER(M983)),M983,"")</f>
        <v/>
      </c>
    </row>
    <row r="984">
      <c r="A984" s="1" t="n"/>
      <c r="B984" s="17" t="n"/>
      <c r="C984" s="27" t="n"/>
      <c r="D984" s="28" t="n"/>
      <c r="E984" s="28" t="n"/>
      <c r="F984" s="28" t="n"/>
      <c r="G984" s="28" t="n"/>
      <c r="H984" s="28" t="n"/>
      <c r="I984" s="28" t="n"/>
      <c r="J984" s="28" t="n"/>
      <c r="K984" s="28" t="n"/>
      <c r="L984" s="28" t="n"/>
      <c r="M984" s="29" t="n"/>
      <c r="N984" s="21" t="n"/>
      <c r="O984" s="12">
        <f>IF(AND(B984="",C984=""),"",IF(NOT(ISNUMBER(B984)),"Needs a date",IF(C984="","Needs a client",IF(COUNTIF(Clients!$B$6:$B$105,C984)=0,"Not on Clients",IF(COUNT(D984:M984)=0,"Nothing measured","")))))</f>
        <v/>
      </c>
      <c r="P984" s="1">
        <f>IF(AND(O984="",ISNUMBER(B984)),INT(B984),0)</f>
        <v/>
      </c>
      <c r="Q984">
        <f>IF(AND(P984&gt;0,C984=Report!$C$5),P984*10000+ROW(),"")</f>
        <v/>
      </c>
      <c r="R984">
        <f>IF(AND(Q984&lt;&gt;"",ISNUMBER(D984)),Q984,"")</f>
        <v/>
      </c>
      <c r="S984">
        <f>IF(AND(Q984&lt;&gt;"",ISNUMBER(E984)),Q984,"")</f>
        <v/>
      </c>
      <c r="T984">
        <f>IF(AND(Q984&lt;&gt;"",ISNUMBER(F984)),Q984,"")</f>
        <v/>
      </c>
      <c r="U984">
        <f>IF(AND(Q984&lt;&gt;"",ISNUMBER(G984)),Q984,"")</f>
        <v/>
      </c>
      <c r="V984">
        <f>IF(AND(Q984&lt;&gt;"",ISNUMBER(H984)),Q984,"")</f>
        <v/>
      </c>
      <c r="W984">
        <f>IF(AND(Q984&lt;&gt;"",ISNUMBER(I984)),Q984,"")</f>
        <v/>
      </c>
      <c r="X984">
        <f>IF(AND(Q984&lt;&gt;"",ISNUMBER(J984)),Q984,"")</f>
        <v/>
      </c>
      <c r="Y984">
        <f>IF(AND(Q984&lt;&gt;"",ISNUMBER(K984)),Q984,"")</f>
        <v/>
      </c>
      <c r="Z984">
        <f>IF(AND(Q984&lt;&gt;"",ISNUMBER(L984)),Q984,"")</f>
        <v/>
      </c>
      <c r="AA984">
        <f>IF(AND(Q984&lt;&gt;"",ISNUMBER(M984)),Q984,"")</f>
        <v/>
      </c>
      <c r="AB984">
        <f>IF(AND(Q984&lt;&gt;"",ISNUMBER(K984)),K984,"")</f>
        <v/>
      </c>
      <c r="AC984">
        <f>IF(AND(Q984&lt;&gt;"",ISNUMBER(L984)),L984,"")</f>
        <v/>
      </c>
      <c r="AD984">
        <f>IF(AND(Q984&lt;&gt;"",ISNUMBER(M984)),M984,"")</f>
        <v/>
      </c>
    </row>
    <row r="985">
      <c r="A985" s="1" t="n"/>
      <c r="B985" s="17" t="n"/>
      <c r="C985" s="27" t="n"/>
      <c r="D985" s="28" t="n"/>
      <c r="E985" s="28" t="n"/>
      <c r="F985" s="28" t="n"/>
      <c r="G985" s="28" t="n"/>
      <c r="H985" s="28" t="n"/>
      <c r="I985" s="28" t="n"/>
      <c r="J985" s="28" t="n"/>
      <c r="K985" s="28" t="n"/>
      <c r="L985" s="28" t="n"/>
      <c r="M985" s="29" t="n"/>
      <c r="N985" s="21" t="n"/>
      <c r="O985" s="12">
        <f>IF(AND(B985="",C985=""),"",IF(NOT(ISNUMBER(B985)),"Needs a date",IF(C985="","Needs a client",IF(COUNTIF(Clients!$B$6:$B$105,C985)=0,"Not on Clients",IF(COUNT(D985:M985)=0,"Nothing measured","")))))</f>
        <v/>
      </c>
      <c r="P985" s="1">
        <f>IF(AND(O985="",ISNUMBER(B985)),INT(B985),0)</f>
        <v/>
      </c>
      <c r="Q985">
        <f>IF(AND(P985&gt;0,C985=Report!$C$5),P985*10000+ROW(),"")</f>
        <v/>
      </c>
      <c r="R985">
        <f>IF(AND(Q985&lt;&gt;"",ISNUMBER(D985)),Q985,"")</f>
        <v/>
      </c>
      <c r="S985">
        <f>IF(AND(Q985&lt;&gt;"",ISNUMBER(E985)),Q985,"")</f>
        <v/>
      </c>
      <c r="T985">
        <f>IF(AND(Q985&lt;&gt;"",ISNUMBER(F985)),Q985,"")</f>
        <v/>
      </c>
      <c r="U985">
        <f>IF(AND(Q985&lt;&gt;"",ISNUMBER(G985)),Q985,"")</f>
        <v/>
      </c>
      <c r="V985">
        <f>IF(AND(Q985&lt;&gt;"",ISNUMBER(H985)),Q985,"")</f>
        <v/>
      </c>
      <c r="W985">
        <f>IF(AND(Q985&lt;&gt;"",ISNUMBER(I985)),Q985,"")</f>
        <v/>
      </c>
      <c r="X985">
        <f>IF(AND(Q985&lt;&gt;"",ISNUMBER(J985)),Q985,"")</f>
        <v/>
      </c>
      <c r="Y985">
        <f>IF(AND(Q985&lt;&gt;"",ISNUMBER(K985)),Q985,"")</f>
        <v/>
      </c>
      <c r="Z985">
        <f>IF(AND(Q985&lt;&gt;"",ISNUMBER(L985)),Q985,"")</f>
        <v/>
      </c>
      <c r="AA985">
        <f>IF(AND(Q985&lt;&gt;"",ISNUMBER(M985)),Q985,"")</f>
        <v/>
      </c>
      <c r="AB985">
        <f>IF(AND(Q985&lt;&gt;"",ISNUMBER(K985)),K985,"")</f>
        <v/>
      </c>
      <c r="AC985">
        <f>IF(AND(Q985&lt;&gt;"",ISNUMBER(L985)),L985,"")</f>
        <v/>
      </c>
      <c r="AD985">
        <f>IF(AND(Q985&lt;&gt;"",ISNUMBER(M985)),M985,"")</f>
        <v/>
      </c>
    </row>
    <row r="986">
      <c r="A986" s="1" t="n"/>
      <c r="B986" s="17" t="n"/>
      <c r="C986" s="27" t="n"/>
      <c r="D986" s="28" t="n"/>
      <c r="E986" s="28" t="n"/>
      <c r="F986" s="28" t="n"/>
      <c r="G986" s="28" t="n"/>
      <c r="H986" s="28" t="n"/>
      <c r="I986" s="28" t="n"/>
      <c r="J986" s="28" t="n"/>
      <c r="K986" s="28" t="n"/>
      <c r="L986" s="28" t="n"/>
      <c r="M986" s="29" t="n"/>
      <c r="N986" s="21" t="n"/>
      <c r="O986" s="12">
        <f>IF(AND(B986="",C986=""),"",IF(NOT(ISNUMBER(B986)),"Needs a date",IF(C986="","Needs a client",IF(COUNTIF(Clients!$B$6:$B$105,C986)=0,"Not on Clients",IF(COUNT(D986:M986)=0,"Nothing measured","")))))</f>
        <v/>
      </c>
      <c r="P986" s="1">
        <f>IF(AND(O986="",ISNUMBER(B986)),INT(B986),0)</f>
        <v/>
      </c>
      <c r="Q986">
        <f>IF(AND(P986&gt;0,C986=Report!$C$5),P986*10000+ROW(),"")</f>
        <v/>
      </c>
      <c r="R986">
        <f>IF(AND(Q986&lt;&gt;"",ISNUMBER(D986)),Q986,"")</f>
        <v/>
      </c>
      <c r="S986">
        <f>IF(AND(Q986&lt;&gt;"",ISNUMBER(E986)),Q986,"")</f>
        <v/>
      </c>
      <c r="T986">
        <f>IF(AND(Q986&lt;&gt;"",ISNUMBER(F986)),Q986,"")</f>
        <v/>
      </c>
      <c r="U986">
        <f>IF(AND(Q986&lt;&gt;"",ISNUMBER(G986)),Q986,"")</f>
        <v/>
      </c>
      <c r="V986">
        <f>IF(AND(Q986&lt;&gt;"",ISNUMBER(H986)),Q986,"")</f>
        <v/>
      </c>
      <c r="W986">
        <f>IF(AND(Q986&lt;&gt;"",ISNUMBER(I986)),Q986,"")</f>
        <v/>
      </c>
      <c r="X986">
        <f>IF(AND(Q986&lt;&gt;"",ISNUMBER(J986)),Q986,"")</f>
        <v/>
      </c>
      <c r="Y986">
        <f>IF(AND(Q986&lt;&gt;"",ISNUMBER(K986)),Q986,"")</f>
        <v/>
      </c>
      <c r="Z986">
        <f>IF(AND(Q986&lt;&gt;"",ISNUMBER(L986)),Q986,"")</f>
        <v/>
      </c>
      <c r="AA986">
        <f>IF(AND(Q986&lt;&gt;"",ISNUMBER(M986)),Q986,"")</f>
        <v/>
      </c>
      <c r="AB986">
        <f>IF(AND(Q986&lt;&gt;"",ISNUMBER(K986)),K986,"")</f>
        <v/>
      </c>
      <c r="AC986">
        <f>IF(AND(Q986&lt;&gt;"",ISNUMBER(L986)),L986,"")</f>
        <v/>
      </c>
      <c r="AD986">
        <f>IF(AND(Q986&lt;&gt;"",ISNUMBER(M986)),M986,"")</f>
        <v/>
      </c>
    </row>
    <row r="987">
      <c r="A987" s="1" t="n"/>
      <c r="B987" s="17" t="n"/>
      <c r="C987" s="27" t="n"/>
      <c r="D987" s="28" t="n"/>
      <c r="E987" s="28" t="n"/>
      <c r="F987" s="28" t="n"/>
      <c r="G987" s="28" t="n"/>
      <c r="H987" s="28" t="n"/>
      <c r="I987" s="28" t="n"/>
      <c r="J987" s="28" t="n"/>
      <c r="K987" s="28" t="n"/>
      <c r="L987" s="28" t="n"/>
      <c r="M987" s="29" t="n"/>
      <c r="N987" s="21" t="n"/>
      <c r="O987" s="12">
        <f>IF(AND(B987="",C987=""),"",IF(NOT(ISNUMBER(B987)),"Needs a date",IF(C987="","Needs a client",IF(COUNTIF(Clients!$B$6:$B$105,C987)=0,"Not on Clients",IF(COUNT(D987:M987)=0,"Nothing measured","")))))</f>
        <v/>
      </c>
      <c r="P987" s="1">
        <f>IF(AND(O987="",ISNUMBER(B987)),INT(B987),0)</f>
        <v/>
      </c>
      <c r="Q987">
        <f>IF(AND(P987&gt;0,C987=Report!$C$5),P987*10000+ROW(),"")</f>
        <v/>
      </c>
      <c r="R987">
        <f>IF(AND(Q987&lt;&gt;"",ISNUMBER(D987)),Q987,"")</f>
        <v/>
      </c>
      <c r="S987">
        <f>IF(AND(Q987&lt;&gt;"",ISNUMBER(E987)),Q987,"")</f>
        <v/>
      </c>
      <c r="T987">
        <f>IF(AND(Q987&lt;&gt;"",ISNUMBER(F987)),Q987,"")</f>
        <v/>
      </c>
      <c r="U987">
        <f>IF(AND(Q987&lt;&gt;"",ISNUMBER(G987)),Q987,"")</f>
        <v/>
      </c>
      <c r="V987">
        <f>IF(AND(Q987&lt;&gt;"",ISNUMBER(H987)),Q987,"")</f>
        <v/>
      </c>
      <c r="W987">
        <f>IF(AND(Q987&lt;&gt;"",ISNUMBER(I987)),Q987,"")</f>
        <v/>
      </c>
      <c r="X987">
        <f>IF(AND(Q987&lt;&gt;"",ISNUMBER(J987)),Q987,"")</f>
        <v/>
      </c>
      <c r="Y987">
        <f>IF(AND(Q987&lt;&gt;"",ISNUMBER(K987)),Q987,"")</f>
        <v/>
      </c>
      <c r="Z987">
        <f>IF(AND(Q987&lt;&gt;"",ISNUMBER(L987)),Q987,"")</f>
        <v/>
      </c>
      <c r="AA987">
        <f>IF(AND(Q987&lt;&gt;"",ISNUMBER(M987)),Q987,"")</f>
        <v/>
      </c>
      <c r="AB987">
        <f>IF(AND(Q987&lt;&gt;"",ISNUMBER(K987)),K987,"")</f>
        <v/>
      </c>
      <c r="AC987">
        <f>IF(AND(Q987&lt;&gt;"",ISNUMBER(L987)),L987,"")</f>
        <v/>
      </c>
      <c r="AD987">
        <f>IF(AND(Q987&lt;&gt;"",ISNUMBER(M987)),M987,"")</f>
        <v/>
      </c>
    </row>
    <row r="988">
      <c r="A988" s="1" t="n"/>
      <c r="B988" s="17" t="n"/>
      <c r="C988" s="27" t="n"/>
      <c r="D988" s="28" t="n"/>
      <c r="E988" s="28" t="n"/>
      <c r="F988" s="28" t="n"/>
      <c r="G988" s="28" t="n"/>
      <c r="H988" s="28" t="n"/>
      <c r="I988" s="28" t="n"/>
      <c r="J988" s="28" t="n"/>
      <c r="K988" s="28" t="n"/>
      <c r="L988" s="28" t="n"/>
      <c r="M988" s="29" t="n"/>
      <c r="N988" s="21" t="n"/>
      <c r="O988" s="12">
        <f>IF(AND(B988="",C988=""),"",IF(NOT(ISNUMBER(B988)),"Needs a date",IF(C988="","Needs a client",IF(COUNTIF(Clients!$B$6:$B$105,C988)=0,"Not on Clients",IF(COUNT(D988:M988)=0,"Nothing measured","")))))</f>
        <v/>
      </c>
      <c r="P988" s="1">
        <f>IF(AND(O988="",ISNUMBER(B988)),INT(B988),0)</f>
        <v/>
      </c>
      <c r="Q988">
        <f>IF(AND(P988&gt;0,C988=Report!$C$5),P988*10000+ROW(),"")</f>
        <v/>
      </c>
      <c r="R988">
        <f>IF(AND(Q988&lt;&gt;"",ISNUMBER(D988)),Q988,"")</f>
        <v/>
      </c>
      <c r="S988">
        <f>IF(AND(Q988&lt;&gt;"",ISNUMBER(E988)),Q988,"")</f>
        <v/>
      </c>
      <c r="T988">
        <f>IF(AND(Q988&lt;&gt;"",ISNUMBER(F988)),Q988,"")</f>
        <v/>
      </c>
      <c r="U988">
        <f>IF(AND(Q988&lt;&gt;"",ISNUMBER(G988)),Q988,"")</f>
        <v/>
      </c>
      <c r="V988">
        <f>IF(AND(Q988&lt;&gt;"",ISNUMBER(H988)),Q988,"")</f>
        <v/>
      </c>
      <c r="W988">
        <f>IF(AND(Q988&lt;&gt;"",ISNUMBER(I988)),Q988,"")</f>
        <v/>
      </c>
      <c r="X988">
        <f>IF(AND(Q988&lt;&gt;"",ISNUMBER(J988)),Q988,"")</f>
        <v/>
      </c>
      <c r="Y988">
        <f>IF(AND(Q988&lt;&gt;"",ISNUMBER(K988)),Q988,"")</f>
        <v/>
      </c>
      <c r="Z988">
        <f>IF(AND(Q988&lt;&gt;"",ISNUMBER(L988)),Q988,"")</f>
        <v/>
      </c>
      <c r="AA988">
        <f>IF(AND(Q988&lt;&gt;"",ISNUMBER(M988)),Q988,"")</f>
        <v/>
      </c>
      <c r="AB988">
        <f>IF(AND(Q988&lt;&gt;"",ISNUMBER(K988)),K988,"")</f>
        <v/>
      </c>
      <c r="AC988">
        <f>IF(AND(Q988&lt;&gt;"",ISNUMBER(L988)),L988,"")</f>
        <v/>
      </c>
      <c r="AD988">
        <f>IF(AND(Q988&lt;&gt;"",ISNUMBER(M988)),M988,"")</f>
        <v/>
      </c>
    </row>
    <row r="989">
      <c r="A989" s="1" t="n"/>
      <c r="B989" s="17" t="n"/>
      <c r="C989" s="27" t="n"/>
      <c r="D989" s="28" t="n"/>
      <c r="E989" s="28" t="n"/>
      <c r="F989" s="28" t="n"/>
      <c r="G989" s="28" t="n"/>
      <c r="H989" s="28" t="n"/>
      <c r="I989" s="28" t="n"/>
      <c r="J989" s="28" t="n"/>
      <c r="K989" s="28" t="n"/>
      <c r="L989" s="28" t="n"/>
      <c r="M989" s="29" t="n"/>
      <c r="N989" s="21" t="n"/>
      <c r="O989" s="12">
        <f>IF(AND(B989="",C989=""),"",IF(NOT(ISNUMBER(B989)),"Needs a date",IF(C989="","Needs a client",IF(COUNTIF(Clients!$B$6:$B$105,C989)=0,"Not on Clients",IF(COUNT(D989:M989)=0,"Nothing measured","")))))</f>
        <v/>
      </c>
      <c r="P989" s="1">
        <f>IF(AND(O989="",ISNUMBER(B989)),INT(B989),0)</f>
        <v/>
      </c>
      <c r="Q989">
        <f>IF(AND(P989&gt;0,C989=Report!$C$5),P989*10000+ROW(),"")</f>
        <v/>
      </c>
      <c r="R989">
        <f>IF(AND(Q989&lt;&gt;"",ISNUMBER(D989)),Q989,"")</f>
        <v/>
      </c>
      <c r="S989">
        <f>IF(AND(Q989&lt;&gt;"",ISNUMBER(E989)),Q989,"")</f>
        <v/>
      </c>
      <c r="T989">
        <f>IF(AND(Q989&lt;&gt;"",ISNUMBER(F989)),Q989,"")</f>
        <v/>
      </c>
      <c r="U989">
        <f>IF(AND(Q989&lt;&gt;"",ISNUMBER(G989)),Q989,"")</f>
        <v/>
      </c>
      <c r="V989">
        <f>IF(AND(Q989&lt;&gt;"",ISNUMBER(H989)),Q989,"")</f>
        <v/>
      </c>
      <c r="W989">
        <f>IF(AND(Q989&lt;&gt;"",ISNUMBER(I989)),Q989,"")</f>
        <v/>
      </c>
      <c r="X989">
        <f>IF(AND(Q989&lt;&gt;"",ISNUMBER(J989)),Q989,"")</f>
        <v/>
      </c>
      <c r="Y989">
        <f>IF(AND(Q989&lt;&gt;"",ISNUMBER(K989)),Q989,"")</f>
        <v/>
      </c>
      <c r="Z989">
        <f>IF(AND(Q989&lt;&gt;"",ISNUMBER(L989)),Q989,"")</f>
        <v/>
      </c>
      <c r="AA989">
        <f>IF(AND(Q989&lt;&gt;"",ISNUMBER(M989)),Q989,"")</f>
        <v/>
      </c>
      <c r="AB989">
        <f>IF(AND(Q989&lt;&gt;"",ISNUMBER(K989)),K989,"")</f>
        <v/>
      </c>
      <c r="AC989">
        <f>IF(AND(Q989&lt;&gt;"",ISNUMBER(L989)),L989,"")</f>
        <v/>
      </c>
      <c r="AD989">
        <f>IF(AND(Q989&lt;&gt;"",ISNUMBER(M989)),M989,"")</f>
        <v/>
      </c>
    </row>
    <row r="990">
      <c r="A990" s="1" t="n"/>
      <c r="B990" s="17" t="n"/>
      <c r="C990" s="27" t="n"/>
      <c r="D990" s="28" t="n"/>
      <c r="E990" s="28" t="n"/>
      <c r="F990" s="28" t="n"/>
      <c r="G990" s="28" t="n"/>
      <c r="H990" s="28" t="n"/>
      <c r="I990" s="28" t="n"/>
      <c r="J990" s="28" t="n"/>
      <c r="K990" s="28" t="n"/>
      <c r="L990" s="28" t="n"/>
      <c r="M990" s="29" t="n"/>
      <c r="N990" s="21" t="n"/>
      <c r="O990" s="12">
        <f>IF(AND(B990="",C990=""),"",IF(NOT(ISNUMBER(B990)),"Needs a date",IF(C990="","Needs a client",IF(COUNTIF(Clients!$B$6:$B$105,C990)=0,"Not on Clients",IF(COUNT(D990:M990)=0,"Nothing measured","")))))</f>
        <v/>
      </c>
      <c r="P990" s="1">
        <f>IF(AND(O990="",ISNUMBER(B990)),INT(B990),0)</f>
        <v/>
      </c>
      <c r="Q990">
        <f>IF(AND(P990&gt;0,C990=Report!$C$5),P990*10000+ROW(),"")</f>
        <v/>
      </c>
      <c r="R990">
        <f>IF(AND(Q990&lt;&gt;"",ISNUMBER(D990)),Q990,"")</f>
        <v/>
      </c>
      <c r="S990">
        <f>IF(AND(Q990&lt;&gt;"",ISNUMBER(E990)),Q990,"")</f>
        <v/>
      </c>
      <c r="T990">
        <f>IF(AND(Q990&lt;&gt;"",ISNUMBER(F990)),Q990,"")</f>
        <v/>
      </c>
      <c r="U990">
        <f>IF(AND(Q990&lt;&gt;"",ISNUMBER(G990)),Q990,"")</f>
        <v/>
      </c>
      <c r="V990">
        <f>IF(AND(Q990&lt;&gt;"",ISNUMBER(H990)),Q990,"")</f>
        <v/>
      </c>
      <c r="W990">
        <f>IF(AND(Q990&lt;&gt;"",ISNUMBER(I990)),Q990,"")</f>
        <v/>
      </c>
      <c r="X990">
        <f>IF(AND(Q990&lt;&gt;"",ISNUMBER(J990)),Q990,"")</f>
        <v/>
      </c>
      <c r="Y990">
        <f>IF(AND(Q990&lt;&gt;"",ISNUMBER(K990)),Q990,"")</f>
        <v/>
      </c>
      <c r="Z990">
        <f>IF(AND(Q990&lt;&gt;"",ISNUMBER(L990)),Q990,"")</f>
        <v/>
      </c>
      <c r="AA990">
        <f>IF(AND(Q990&lt;&gt;"",ISNUMBER(M990)),Q990,"")</f>
        <v/>
      </c>
      <c r="AB990">
        <f>IF(AND(Q990&lt;&gt;"",ISNUMBER(K990)),K990,"")</f>
        <v/>
      </c>
      <c r="AC990">
        <f>IF(AND(Q990&lt;&gt;"",ISNUMBER(L990)),L990,"")</f>
        <v/>
      </c>
      <c r="AD990">
        <f>IF(AND(Q990&lt;&gt;"",ISNUMBER(M990)),M990,"")</f>
        <v/>
      </c>
    </row>
    <row r="991">
      <c r="A991" s="1" t="n"/>
      <c r="B991" s="17" t="n"/>
      <c r="C991" s="27" t="n"/>
      <c r="D991" s="28" t="n"/>
      <c r="E991" s="28" t="n"/>
      <c r="F991" s="28" t="n"/>
      <c r="G991" s="28" t="n"/>
      <c r="H991" s="28" t="n"/>
      <c r="I991" s="28" t="n"/>
      <c r="J991" s="28" t="n"/>
      <c r="K991" s="28" t="n"/>
      <c r="L991" s="28" t="n"/>
      <c r="M991" s="29" t="n"/>
      <c r="N991" s="21" t="n"/>
      <c r="O991" s="12">
        <f>IF(AND(B991="",C991=""),"",IF(NOT(ISNUMBER(B991)),"Needs a date",IF(C991="","Needs a client",IF(COUNTIF(Clients!$B$6:$B$105,C991)=0,"Not on Clients",IF(COUNT(D991:M991)=0,"Nothing measured","")))))</f>
        <v/>
      </c>
      <c r="P991" s="1">
        <f>IF(AND(O991="",ISNUMBER(B991)),INT(B991),0)</f>
        <v/>
      </c>
      <c r="Q991">
        <f>IF(AND(P991&gt;0,C991=Report!$C$5),P991*10000+ROW(),"")</f>
        <v/>
      </c>
      <c r="R991">
        <f>IF(AND(Q991&lt;&gt;"",ISNUMBER(D991)),Q991,"")</f>
        <v/>
      </c>
      <c r="S991">
        <f>IF(AND(Q991&lt;&gt;"",ISNUMBER(E991)),Q991,"")</f>
        <v/>
      </c>
      <c r="T991">
        <f>IF(AND(Q991&lt;&gt;"",ISNUMBER(F991)),Q991,"")</f>
        <v/>
      </c>
      <c r="U991">
        <f>IF(AND(Q991&lt;&gt;"",ISNUMBER(G991)),Q991,"")</f>
        <v/>
      </c>
      <c r="V991">
        <f>IF(AND(Q991&lt;&gt;"",ISNUMBER(H991)),Q991,"")</f>
        <v/>
      </c>
      <c r="W991">
        <f>IF(AND(Q991&lt;&gt;"",ISNUMBER(I991)),Q991,"")</f>
        <v/>
      </c>
      <c r="X991">
        <f>IF(AND(Q991&lt;&gt;"",ISNUMBER(J991)),Q991,"")</f>
        <v/>
      </c>
      <c r="Y991">
        <f>IF(AND(Q991&lt;&gt;"",ISNUMBER(K991)),Q991,"")</f>
        <v/>
      </c>
      <c r="Z991">
        <f>IF(AND(Q991&lt;&gt;"",ISNUMBER(L991)),Q991,"")</f>
        <v/>
      </c>
      <c r="AA991">
        <f>IF(AND(Q991&lt;&gt;"",ISNUMBER(M991)),Q991,"")</f>
        <v/>
      </c>
      <c r="AB991">
        <f>IF(AND(Q991&lt;&gt;"",ISNUMBER(K991)),K991,"")</f>
        <v/>
      </c>
      <c r="AC991">
        <f>IF(AND(Q991&lt;&gt;"",ISNUMBER(L991)),L991,"")</f>
        <v/>
      </c>
      <c r="AD991">
        <f>IF(AND(Q991&lt;&gt;"",ISNUMBER(M991)),M991,"")</f>
        <v/>
      </c>
    </row>
    <row r="992">
      <c r="A992" s="1" t="n"/>
      <c r="B992" s="17" t="n"/>
      <c r="C992" s="27" t="n"/>
      <c r="D992" s="28" t="n"/>
      <c r="E992" s="28" t="n"/>
      <c r="F992" s="28" t="n"/>
      <c r="G992" s="28" t="n"/>
      <c r="H992" s="28" t="n"/>
      <c r="I992" s="28" t="n"/>
      <c r="J992" s="28" t="n"/>
      <c r="K992" s="28" t="n"/>
      <c r="L992" s="28" t="n"/>
      <c r="M992" s="29" t="n"/>
      <c r="N992" s="21" t="n"/>
      <c r="O992" s="12">
        <f>IF(AND(B992="",C992=""),"",IF(NOT(ISNUMBER(B992)),"Needs a date",IF(C992="","Needs a client",IF(COUNTIF(Clients!$B$6:$B$105,C992)=0,"Not on Clients",IF(COUNT(D992:M992)=0,"Nothing measured","")))))</f>
        <v/>
      </c>
      <c r="P992" s="1">
        <f>IF(AND(O992="",ISNUMBER(B992)),INT(B992),0)</f>
        <v/>
      </c>
      <c r="Q992">
        <f>IF(AND(P992&gt;0,C992=Report!$C$5),P992*10000+ROW(),"")</f>
        <v/>
      </c>
      <c r="R992">
        <f>IF(AND(Q992&lt;&gt;"",ISNUMBER(D992)),Q992,"")</f>
        <v/>
      </c>
      <c r="S992">
        <f>IF(AND(Q992&lt;&gt;"",ISNUMBER(E992)),Q992,"")</f>
        <v/>
      </c>
      <c r="T992">
        <f>IF(AND(Q992&lt;&gt;"",ISNUMBER(F992)),Q992,"")</f>
        <v/>
      </c>
      <c r="U992">
        <f>IF(AND(Q992&lt;&gt;"",ISNUMBER(G992)),Q992,"")</f>
        <v/>
      </c>
      <c r="V992">
        <f>IF(AND(Q992&lt;&gt;"",ISNUMBER(H992)),Q992,"")</f>
        <v/>
      </c>
      <c r="W992">
        <f>IF(AND(Q992&lt;&gt;"",ISNUMBER(I992)),Q992,"")</f>
        <v/>
      </c>
      <c r="X992">
        <f>IF(AND(Q992&lt;&gt;"",ISNUMBER(J992)),Q992,"")</f>
        <v/>
      </c>
      <c r="Y992">
        <f>IF(AND(Q992&lt;&gt;"",ISNUMBER(K992)),Q992,"")</f>
        <v/>
      </c>
      <c r="Z992">
        <f>IF(AND(Q992&lt;&gt;"",ISNUMBER(L992)),Q992,"")</f>
        <v/>
      </c>
      <c r="AA992">
        <f>IF(AND(Q992&lt;&gt;"",ISNUMBER(M992)),Q992,"")</f>
        <v/>
      </c>
      <c r="AB992">
        <f>IF(AND(Q992&lt;&gt;"",ISNUMBER(K992)),K992,"")</f>
        <v/>
      </c>
      <c r="AC992">
        <f>IF(AND(Q992&lt;&gt;"",ISNUMBER(L992)),L992,"")</f>
        <v/>
      </c>
      <c r="AD992">
        <f>IF(AND(Q992&lt;&gt;"",ISNUMBER(M992)),M992,"")</f>
        <v/>
      </c>
    </row>
    <row r="993">
      <c r="A993" s="1" t="n"/>
      <c r="B993" s="17" t="n"/>
      <c r="C993" s="27" t="n"/>
      <c r="D993" s="28" t="n"/>
      <c r="E993" s="28" t="n"/>
      <c r="F993" s="28" t="n"/>
      <c r="G993" s="28" t="n"/>
      <c r="H993" s="28" t="n"/>
      <c r="I993" s="28" t="n"/>
      <c r="J993" s="28" t="n"/>
      <c r="K993" s="28" t="n"/>
      <c r="L993" s="28" t="n"/>
      <c r="M993" s="29" t="n"/>
      <c r="N993" s="21" t="n"/>
      <c r="O993" s="12">
        <f>IF(AND(B993="",C993=""),"",IF(NOT(ISNUMBER(B993)),"Needs a date",IF(C993="","Needs a client",IF(COUNTIF(Clients!$B$6:$B$105,C993)=0,"Not on Clients",IF(COUNT(D993:M993)=0,"Nothing measured","")))))</f>
        <v/>
      </c>
      <c r="P993" s="1">
        <f>IF(AND(O993="",ISNUMBER(B993)),INT(B993),0)</f>
        <v/>
      </c>
      <c r="Q993">
        <f>IF(AND(P993&gt;0,C993=Report!$C$5),P993*10000+ROW(),"")</f>
        <v/>
      </c>
      <c r="R993">
        <f>IF(AND(Q993&lt;&gt;"",ISNUMBER(D993)),Q993,"")</f>
        <v/>
      </c>
      <c r="S993">
        <f>IF(AND(Q993&lt;&gt;"",ISNUMBER(E993)),Q993,"")</f>
        <v/>
      </c>
      <c r="T993">
        <f>IF(AND(Q993&lt;&gt;"",ISNUMBER(F993)),Q993,"")</f>
        <v/>
      </c>
      <c r="U993">
        <f>IF(AND(Q993&lt;&gt;"",ISNUMBER(G993)),Q993,"")</f>
        <v/>
      </c>
      <c r="V993">
        <f>IF(AND(Q993&lt;&gt;"",ISNUMBER(H993)),Q993,"")</f>
        <v/>
      </c>
      <c r="W993">
        <f>IF(AND(Q993&lt;&gt;"",ISNUMBER(I993)),Q993,"")</f>
        <v/>
      </c>
      <c r="X993">
        <f>IF(AND(Q993&lt;&gt;"",ISNUMBER(J993)),Q993,"")</f>
        <v/>
      </c>
      <c r="Y993">
        <f>IF(AND(Q993&lt;&gt;"",ISNUMBER(K993)),Q993,"")</f>
        <v/>
      </c>
      <c r="Z993">
        <f>IF(AND(Q993&lt;&gt;"",ISNUMBER(L993)),Q993,"")</f>
        <v/>
      </c>
      <c r="AA993">
        <f>IF(AND(Q993&lt;&gt;"",ISNUMBER(M993)),Q993,"")</f>
        <v/>
      </c>
      <c r="AB993">
        <f>IF(AND(Q993&lt;&gt;"",ISNUMBER(K993)),K993,"")</f>
        <v/>
      </c>
      <c r="AC993">
        <f>IF(AND(Q993&lt;&gt;"",ISNUMBER(L993)),L993,"")</f>
        <v/>
      </c>
      <c r="AD993">
        <f>IF(AND(Q993&lt;&gt;"",ISNUMBER(M993)),M993,"")</f>
        <v/>
      </c>
    </row>
    <row r="994">
      <c r="A994" s="1" t="n"/>
      <c r="B994" s="17" t="n"/>
      <c r="C994" s="27" t="n"/>
      <c r="D994" s="28" t="n"/>
      <c r="E994" s="28" t="n"/>
      <c r="F994" s="28" t="n"/>
      <c r="G994" s="28" t="n"/>
      <c r="H994" s="28" t="n"/>
      <c r="I994" s="28" t="n"/>
      <c r="J994" s="28" t="n"/>
      <c r="K994" s="28" t="n"/>
      <c r="L994" s="28" t="n"/>
      <c r="M994" s="29" t="n"/>
      <c r="N994" s="21" t="n"/>
      <c r="O994" s="12">
        <f>IF(AND(B994="",C994=""),"",IF(NOT(ISNUMBER(B994)),"Needs a date",IF(C994="","Needs a client",IF(COUNTIF(Clients!$B$6:$B$105,C994)=0,"Not on Clients",IF(COUNT(D994:M994)=0,"Nothing measured","")))))</f>
        <v/>
      </c>
      <c r="P994" s="1">
        <f>IF(AND(O994="",ISNUMBER(B994)),INT(B994),0)</f>
        <v/>
      </c>
      <c r="Q994">
        <f>IF(AND(P994&gt;0,C994=Report!$C$5),P994*10000+ROW(),"")</f>
        <v/>
      </c>
      <c r="R994">
        <f>IF(AND(Q994&lt;&gt;"",ISNUMBER(D994)),Q994,"")</f>
        <v/>
      </c>
      <c r="S994">
        <f>IF(AND(Q994&lt;&gt;"",ISNUMBER(E994)),Q994,"")</f>
        <v/>
      </c>
      <c r="T994">
        <f>IF(AND(Q994&lt;&gt;"",ISNUMBER(F994)),Q994,"")</f>
        <v/>
      </c>
      <c r="U994">
        <f>IF(AND(Q994&lt;&gt;"",ISNUMBER(G994)),Q994,"")</f>
        <v/>
      </c>
      <c r="V994">
        <f>IF(AND(Q994&lt;&gt;"",ISNUMBER(H994)),Q994,"")</f>
        <v/>
      </c>
      <c r="W994">
        <f>IF(AND(Q994&lt;&gt;"",ISNUMBER(I994)),Q994,"")</f>
        <v/>
      </c>
      <c r="X994">
        <f>IF(AND(Q994&lt;&gt;"",ISNUMBER(J994)),Q994,"")</f>
        <v/>
      </c>
      <c r="Y994">
        <f>IF(AND(Q994&lt;&gt;"",ISNUMBER(K994)),Q994,"")</f>
        <v/>
      </c>
      <c r="Z994">
        <f>IF(AND(Q994&lt;&gt;"",ISNUMBER(L994)),Q994,"")</f>
        <v/>
      </c>
      <c r="AA994">
        <f>IF(AND(Q994&lt;&gt;"",ISNUMBER(M994)),Q994,"")</f>
        <v/>
      </c>
      <c r="AB994">
        <f>IF(AND(Q994&lt;&gt;"",ISNUMBER(K994)),K994,"")</f>
        <v/>
      </c>
      <c r="AC994">
        <f>IF(AND(Q994&lt;&gt;"",ISNUMBER(L994)),L994,"")</f>
        <v/>
      </c>
      <c r="AD994">
        <f>IF(AND(Q994&lt;&gt;"",ISNUMBER(M994)),M994,"")</f>
        <v/>
      </c>
    </row>
    <row r="995">
      <c r="A995" s="1" t="n"/>
      <c r="B995" s="17" t="n"/>
      <c r="C995" s="27" t="n"/>
      <c r="D995" s="28" t="n"/>
      <c r="E995" s="28" t="n"/>
      <c r="F995" s="28" t="n"/>
      <c r="G995" s="28" t="n"/>
      <c r="H995" s="28" t="n"/>
      <c r="I995" s="28" t="n"/>
      <c r="J995" s="28" t="n"/>
      <c r="K995" s="28" t="n"/>
      <c r="L995" s="28" t="n"/>
      <c r="M995" s="29" t="n"/>
      <c r="N995" s="21" t="n"/>
      <c r="O995" s="12">
        <f>IF(AND(B995="",C995=""),"",IF(NOT(ISNUMBER(B995)),"Needs a date",IF(C995="","Needs a client",IF(COUNTIF(Clients!$B$6:$B$105,C995)=0,"Not on Clients",IF(COUNT(D995:M995)=0,"Nothing measured","")))))</f>
        <v/>
      </c>
      <c r="P995" s="1">
        <f>IF(AND(O995="",ISNUMBER(B995)),INT(B995),0)</f>
        <v/>
      </c>
      <c r="Q995">
        <f>IF(AND(P995&gt;0,C995=Report!$C$5),P995*10000+ROW(),"")</f>
        <v/>
      </c>
      <c r="R995">
        <f>IF(AND(Q995&lt;&gt;"",ISNUMBER(D995)),Q995,"")</f>
        <v/>
      </c>
      <c r="S995">
        <f>IF(AND(Q995&lt;&gt;"",ISNUMBER(E995)),Q995,"")</f>
        <v/>
      </c>
      <c r="T995">
        <f>IF(AND(Q995&lt;&gt;"",ISNUMBER(F995)),Q995,"")</f>
        <v/>
      </c>
      <c r="U995">
        <f>IF(AND(Q995&lt;&gt;"",ISNUMBER(G995)),Q995,"")</f>
        <v/>
      </c>
      <c r="V995">
        <f>IF(AND(Q995&lt;&gt;"",ISNUMBER(H995)),Q995,"")</f>
        <v/>
      </c>
      <c r="W995">
        <f>IF(AND(Q995&lt;&gt;"",ISNUMBER(I995)),Q995,"")</f>
        <v/>
      </c>
      <c r="X995">
        <f>IF(AND(Q995&lt;&gt;"",ISNUMBER(J995)),Q995,"")</f>
        <v/>
      </c>
      <c r="Y995">
        <f>IF(AND(Q995&lt;&gt;"",ISNUMBER(K995)),Q995,"")</f>
        <v/>
      </c>
      <c r="Z995">
        <f>IF(AND(Q995&lt;&gt;"",ISNUMBER(L995)),Q995,"")</f>
        <v/>
      </c>
      <c r="AA995">
        <f>IF(AND(Q995&lt;&gt;"",ISNUMBER(M995)),Q995,"")</f>
        <v/>
      </c>
      <c r="AB995">
        <f>IF(AND(Q995&lt;&gt;"",ISNUMBER(K995)),K995,"")</f>
        <v/>
      </c>
      <c r="AC995">
        <f>IF(AND(Q995&lt;&gt;"",ISNUMBER(L995)),L995,"")</f>
        <v/>
      </c>
      <c r="AD995">
        <f>IF(AND(Q995&lt;&gt;"",ISNUMBER(M995)),M995,"")</f>
        <v/>
      </c>
    </row>
    <row r="996">
      <c r="A996" s="1" t="n"/>
      <c r="B996" s="17" t="n"/>
      <c r="C996" s="27" t="n"/>
      <c r="D996" s="28" t="n"/>
      <c r="E996" s="28" t="n"/>
      <c r="F996" s="28" t="n"/>
      <c r="G996" s="28" t="n"/>
      <c r="H996" s="28" t="n"/>
      <c r="I996" s="28" t="n"/>
      <c r="J996" s="28" t="n"/>
      <c r="K996" s="28" t="n"/>
      <c r="L996" s="28" t="n"/>
      <c r="M996" s="29" t="n"/>
      <c r="N996" s="21" t="n"/>
      <c r="O996" s="12">
        <f>IF(AND(B996="",C996=""),"",IF(NOT(ISNUMBER(B996)),"Needs a date",IF(C996="","Needs a client",IF(COUNTIF(Clients!$B$6:$B$105,C996)=0,"Not on Clients",IF(COUNT(D996:M996)=0,"Nothing measured","")))))</f>
        <v/>
      </c>
      <c r="P996" s="1">
        <f>IF(AND(O996="",ISNUMBER(B996)),INT(B996),0)</f>
        <v/>
      </c>
      <c r="Q996">
        <f>IF(AND(P996&gt;0,C996=Report!$C$5),P996*10000+ROW(),"")</f>
        <v/>
      </c>
      <c r="R996">
        <f>IF(AND(Q996&lt;&gt;"",ISNUMBER(D996)),Q996,"")</f>
        <v/>
      </c>
      <c r="S996">
        <f>IF(AND(Q996&lt;&gt;"",ISNUMBER(E996)),Q996,"")</f>
        <v/>
      </c>
      <c r="T996">
        <f>IF(AND(Q996&lt;&gt;"",ISNUMBER(F996)),Q996,"")</f>
        <v/>
      </c>
      <c r="U996">
        <f>IF(AND(Q996&lt;&gt;"",ISNUMBER(G996)),Q996,"")</f>
        <v/>
      </c>
      <c r="V996">
        <f>IF(AND(Q996&lt;&gt;"",ISNUMBER(H996)),Q996,"")</f>
        <v/>
      </c>
      <c r="W996">
        <f>IF(AND(Q996&lt;&gt;"",ISNUMBER(I996)),Q996,"")</f>
        <v/>
      </c>
      <c r="X996">
        <f>IF(AND(Q996&lt;&gt;"",ISNUMBER(J996)),Q996,"")</f>
        <v/>
      </c>
      <c r="Y996">
        <f>IF(AND(Q996&lt;&gt;"",ISNUMBER(K996)),Q996,"")</f>
        <v/>
      </c>
      <c r="Z996">
        <f>IF(AND(Q996&lt;&gt;"",ISNUMBER(L996)),Q996,"")</f>
        <v/>
      </c>
      <c r="AA996">
        <f>IF(AND(Q996&lt;&gt;"",ISNUMBER(M996)),Q996,"")</f>
        <v/>
      </c>
      <c r="AB996">
        <f>IF(AND(Q996&lt;&gt;"",ISNUMBER(K996)),K996,"")</f>
        <v/>
      </c>
      <c r="AC996">
        <f>IF(AND(Q996&lt;&gt;"",ISNUMBER(L996)),L996,"")</f>
        <v/>
      </c>
      <c r="AD996">
        <f>IF(AND(Q996&lt;&gt;"",ISNUMBER(M996)),M996,"")</f>
        <v/>
      </c>
    </row>
    <row r="997">
      <c r="A997" s="1" t="n"/>
      <c r="B997" s="17" t="n"/>
      <c r="C997" s="27" t="n"/>
      <c r="D997" s="28" t="n"/>
      <c r="E997" s="28" t="n"/>
      <c r="F997" s="28" t="n"/>
      <c r="G997" s="28" t="n"/>
      <c r="H997" s="28" t="n"/>
      <c r="I997" s="28" t="n"/>
      <c r="J997" s="28" t="n"/>
      <c r="K997" s="28" t="n"/>
      <c r="L997" s="28" t="n"/>
      <c r="M997" s="29" t="n"/>
      <c r="N997" s="21" t="n"/>
      <c r="O997" s="12">
        <f>IF(AND(B997="",C997=""),"",IF(NOT(ISNUMBER(B997)),"Needs a date",IF(C997="","Needs a client",IF(COUNTIF(Clients!$B$6:$B$105,C997)=0,"Not on Clients",IF(COUNT(D997:M997)=0,"Nothing measured","")))))</f>
        <v/>
      </c>
      <c r="P997" s="1">
        <f>IF(AND(O997="",ISNUMBER(B997)),INT(B997),0)</f>
        <v/>
      </c>
      <c r="Q997">
        <f>IF(AND(P997&gt;0,C997=Report!$C$5),P997*10000+ROW(),"")</f>
        <v/>
      </c>
      <c r="R997">
        <f>IF(AND(Q997&lt;&gt;"",ISNUMBER(D997)),Q997,"")</f>
        <v/>
      </c>
      <c r="S997">
        <f>IF(AND(Q997&lt;&gt;"",ISNUMBER(E997)),Q997,"")</f>
        <v/>
      </c>
      <c r="T997">
        <f>IF(AND(Q997&lt;&gt;"",ISNUMBER(F997)),Q997,"")</f>
        <v/>
      </c>
      <c r="U997">
        <f>IF(AND(Q997&lt;&gt;"",ISNUMBER(G997)),Q997,"")</f>
        <v/>
      </c>
      <c r="V997">
        <f>IF(AND(Q997&lt;&gt;"",ISNUMBER(H997)),Q997,"")</f>
        <v/>
      </c>
      <c r="W997">
        <f>IF(AND(Q997&lt;&gt;"",ISNUMBER(I997)),Q997,"")</f>
        <v/>
      </c>
      <c r="X997">
        <f>IF(AND(Q997&lt;&gt;"",ISNUMBER(J997)),Q997,"")</f>
        <v/>
      </c>
      <c r="Y997">
        <f>IF(AND(Q997&lt;&gt;"",ISNUMBER(K997)),Q997,"")</f>
        <v/>
      </c>
      <c r="Z997">
        <f>IF(AND(Q997&lt;&gt;"",ISNUMBER(L997)),Q997,"")</f>
        <v/>
      </c>
      <c r="AA997">
        <f>IF(AND(Q997&lt;&gt;"",ISNUMBER(M997)),Q997,"")</f>
        <v/>
      </c>
      <c r="AB997">
        <f>IF(AND(Q997&lt;&gt;"",ISNUMBER(K997)),K997,"")</f>
        <v/>
      </c>
      <c r="AC997">
        <f>IF(AND(Q997&lt;&gt;"",ISNUMBER(L997)),L997,"")</f>
        <v/>
      </c>
      <c r="AD997">
        <f>IF(AND(Q997&lt;&gt;"",ISNUMBER(M997)),M997,"")</f>
        <v/>
      </c>
    </row>
    <row r="998">
      <c r="A998" s="1" t="n"/>
      <c r="B998" s="17" t="n"/>
      <c r="C998" s="27" t="n"/>
      <c r="D998" s="28" t="n"/>
      <c r="E998" s="28" t="n"/>
      <c r="F998" s="28" t="n"/>
      <c r="G998" s="28" t="n"/>
      <c r="H998" s="28" t="n"/>
      <c r="I998" s="28" t="n"/>
      <c r="J998" s="28" t="n"/>
      <c r="K998" s="28" t="n"/>
      <c r="L998" s="28" t="n"/>
      <c r="M998" s="29" t="n"/>
      <c r="N998" s="21" t="n"/>
      <c r="O998" s="12">
        <f>IF(AND(B998="",C998=""),"",IF(NOT(ISNUMBER(B998)),"Needs a date",IF(C998="","Needs a client",IF(COUNTIF(Clients!$B$6:$B$105,C998)=0,"Not on Clients",IF(COUNT(D998:M998)=0,"Nothing measured","")))))</f>
        <v/>
      </c>
      <c r="P998" s="1">
        <f>IF(AND(O998="",ISNUMBER(B998)),INT(B998),0)</f>
        <v/>
      </c>
      <c r="Q998">
        <f>IF(AND(P998&gt;0,C998=Report!$C$5),P998*10000+ROW(),"")</f>
        <v/>
      </c>
      <c r="R998">
        <f>IF(AND(Q998&lt;&gt;"",ISNUMBER(D998)),Q998,"")</f>
        <v/>
      </c>
      <c r="S998">
        <f>IF(AND(Q998&lt;&gt;"",ISNUMBER(E998)),Q998,"")</f>
        <v/>
      </c>
      <c r="T998">
        <f>IF(AND(Q998&lt;&gt;"",ISNUMBER(F998)),Q998,"")</f>
        <v/>
      </c>
      <c r="U998">
        <f>IF(AND(Q998&lt;&gt;"",ISNUMBER(G998)),Q998,"")</f>
        <v/>
      </c>
      <c r="V998">
        <f>IF(AND(Q998&lt;&gt;"",ISNUMBER(H998)),Q998,"")</f>
        <v/>
      </c>
      <c r="W998">
        <f>IF(AND(Q998&lt;&gt;"",ISNUMBER(I998)),Q998,"")</f>
        <v/>
      </c>
      <c r="X998">
        <f>IF(AND(Q998&lt;&gt;"",ISNUMBER(J998)),Q998,"")</f>
        <v/>
      </c>
      <c r="Y998">
        <f>IF(AND(Q998&lt;&gt;"",ISNUMBER(K998)),Q998,"")</f>
        <v/>
      </c>
      <c r="Z998">
        <f>IF(AND(Q998&lt;&gt;"",ISNUMBER(L998)),Q998,"")</f>
        <v/>
      </c>
      <c r="AA998">
        <f>IF(AND(Q998&lt;&gt;"",ISNUMBER(M998)),Q998,"")</f>
        <v/>
      </c>
      <c r="AB998">
        <f>IF(AND(Q998&lt;&gt;"",ISNUMBER(K998)),K998,"")</f>
        <v/>
      </c>
      <c r="AC998">
        <f>IF(AND(Q998&lt;&gt;"",ISNUMBER(L998)),L998,"")</f>
        <v/>
      </c>
      <c r="AD998">
        <f>IF(AND(Q998&lt;&gt;"",ISNUMBER(M998)),M998,"")</f>
        <v/>
      </c>
    </row>
    <row r="999">
      <c r="A999" s="1" t="n"/>
      <c r="B999" s="17" t="n"/>
      <c r="C999" s="27" t="n"/>
      <c r="D999" s="28" t="n"/>
      <c r="E999" s="28" t="n"/>
      <c r="F999" s="28" t="n"/>
      <c r="G999" s="28" t="n"/>
      <c r="H999" s="28" t="n"/>
      <c r="I999" s="28" t="n"/>
      <c r="J999" s="28" t="n"/>
      <c r="K999" s="28" t="n"/>
      <c r="L999" s="28" t="n"/>
      <c r="M999" s="29" t="n"/>
      <c r="N999" s="21" t="n"/>
      <c r="O999" s="12">
        <f>IF(AND(B999="",C999=""),"",IF(NOT(ISNUMBER(B999)),"Needs a date",IF(C999="","Needs a client",IF(COUNTIF(Clients!$B$6:$B$105,C999)=0,"Not on Clients",IF(COUNT(D999:M999)=0,"Nothing measured","")))))</f>
        <v/>
      </c>
      <c r="P999" s="1">
        <f>IF(AND(O999="",ISNUMBER(B999)),INT(B999),0)</f>
        <v/>
      </c>
      <c r="Q999">
        <f>IF(AND(P999&gt;0,C999=Report!$C$5),P999*10000+ROW(),"")</f>
        <v/>
      </c>
      <c r="R999">
        <f>IF(AND(Q999&lt;&gt;"",ISNUMBER(D999)),Q999,"")</f>
        <v/>
      </c>
      <c r="S999">
        <f>IF(AND(Q999&lt;&gt;"",ISNUMBER(E999)),Q999,"")</f>
        <v/>
      </c>
      <c r="T999">
        <f>IF(AND(Q999&lt;&gt;"",ISNUMBER(F999)),Q999,"")</f>
        <v/>
      </c>
      <c r="U999">
        <f>IF(AND(Q999&lt;&gt;"",ISNUMBER(G999)),Q999,"")</f>
        <v/>
      </c>
      <c r="V999">
        <f>IF(AND(Q999&lt;&gt;"",ISNUMBER(H999)),Q999,"")</f>
        <v/>
      </c>
      <c r="W999">
        <f>IF(AND(Q999&lt;&gt;"",ISNUMBER(I999)),Q999,"")</f>
        <v/>
      </c>
      <c r="X999">
        <f>IF(AND(Q999&lt;&gt;"",ISNUMBER(J999)),Q999,"")</f>
        <v/>
      </c>
      <c r="Y999">
        <f>IF(AND(Q999&lt;&gt;"",ISNUMBER(K999)),Q999,"")</f>
        <v/>
      </c>
      <c r="Z999">
        <f>IF(AND(Q999&lt;&gt;"",ISNUMBER(L999)),Q999,"")</f>
        <v/>
      </c>
      <c r="AA999">
        <f>IF(AND(Q999&lt;&gt;"",ISNUMBER(M999)),Q999,"")</f>
        <v/>
      </c>
      <c r="AB999">
        <f>IF(AND(Q999&lt;&gt;"",ISNUMBER(K999)),K999,"")</f>
        <v/>
      </c>
      <c r="AC999">
        <f>IF(AND(Q999&lt;&gt;"",ISNUMBER(L999)),L999,"")</f>
        <v/>
      </c>
      <c r="AD999">
        <f>IF(AND(Q999&lt;&gt;"",ISNUMBER(M999)),M999,"")</f>
        <v/>
      </c>
    </row>
    <row r="1000">
      <c r="A1000" s="1" t="n"/>
      <c r="B1000" s="17" t="n"/>
      <c r="C1000" s="27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  <c r="L1000" s="28" t="n"/>
      <c r="M1000" s="29" t="n"/>
      <c r="N1000" s="21" t="n"/>
      <c r="O1000" s="12">
        <f>IF(AND(B1000="",C1000=""),"",IF(NOT(ISNUMBER(B1000)),"Needs a date",IF(C1000="","Needs a client",IF(COUNTIF(Clients!$B$6:$B$105,C1000)=0,"Not on Clients",IF(COUNT(D1000:M1000)=0,"Nothing measured","")))))</f>
        <v/>
      </c>
      <c r="P1000" s="1">
        <f>IF(AND(O1000="",ISNUMBER(B1000)),INT(B1000),0)</f>
        <v/>
      </c>
      <c r="Q1000">
        <f>IF(AND(P1000&gt;0,C1000=Report!$C$5),P1000*10000+ROW(),"")</f>
        <v/>
      </c>
      <c r="R1000">
        <f>IF(AND(Q1000&lt;&gt;"",ISNUMBER(D1000)),Q1000,"")</f>
        <v/>
      </c>
      <c r="S1000">
        <f>IF(AND(Q1000&lt;&gt;"",ISNUMBER(E1000)),Q1000,"")</f>
        <v/>
      </c>
      <c r="T1000">
        <f>IF(AND(Q1000&lt;&gt;"",ISNUMBER(F1000)),Q1000,"")</f>
        <v/>
      </c>
      <c r="U1000">
        <f>IF(AND(Q1000&lt;&gt;"",ISNUMBER(G1000)),Q1000,"")</f>
        <v/>
      </c>
      <c r="V1000">
        <f>IF(AND(Q1000&lt;&gt;"",ISNUMBER(H1000)),Q1000,"")</f>
        <v/>
      </c>
      <c r="W1000">
        <f>IF(AND(Q1000&lt;&gt;"",ISNUMBER(I1000)),Q1000,"")</f>
        <v/>
      </c>
      <c r="X1000">
        <f>IF(AND(Q1000&lt;&gt;"",ISNUMBER(J1000)),Q1000,"")</f>
        <v/>
      </c>
      <c r="Y1000">
        <f>IF(AND(Q1000&lt;&gt;"",ISNUMBER(K1000)),Q1000,"")</f>
        <v/>
      </c>
      <c r="Z1000">
        <f>IF(AND(Q1000&lt;&gt;"",ISNUMBER(L1000)),Q1000,"")</f>
        <v/>
      </c>
      <c r="AA1000">
        <f>IF(AND(Q1000&lt;&gt;"",ISNUMBER(M1000)),Q1000,"")</f>
        <v/>
      </c>
      <c r="AB1000">
        <f>IF(AND(Q1000&lt;&gt;"",ISNUMBER(K1000)),K1000,"")</f>
        <v/>
      </c>
      <c r="AC1000">
        <f>IF(AND(Q1000&lt;&gt;"",ISNUMBER(L1000)),L1000,"")</f>
        <v/>
      </c>
      <c r="AD1000">
        <f>IF(AND(Q1000&lt;&gt;"",ISNUMBER(M1000)),M1000,"")</f>
        <v/>
      </c>
    </row>
    <row r="1001">
      <c r="A1001" s="1" t="n"/>
      <c r="B1001" s="17" t="n"/>
      <c r="C1001" s="27" t="n"/>
      <c r="D1001" s="28" t="n"/>
      <c r="E1001" s="28" t="n"/>
      <c r="F1001" s="28" t="n"/>
      <c r="G1001" s="28" t="n"/>
      <c r="H1001" s="28" t="n"/>
      <c r="I1001" s="28" t="n"/>
      <c r="J1001" s="28" t="n"/>
      <c r="K1001" s="28" t="n"/>
      <c r="L1001" s="28" t="n"/>
      <c r="M1001" s="29" t="n"/>
      <c r="N1001" s="21" t="n"/>
      <c r="O1001" s="12">
        <f>IF(AND(B1001="",C1001=""),"",IF(NOT(ISNUMBER(B1001)),"Needs a date",IF(C1001="","Needs a client",IF(COUNTIF(Clients!$B$6:$B$105,C1001)=0,"Not on Clients",IF(COUNT(D1001:M1001)=0,"Nothing measured","")))))</f>
        <v/>
      </c>
      <c r="P1001" s="1">
        <f>IF(AND(O1001="",ISNUMBER(B1001)),INT(B1001),0)</f>
        <v/>
      </c>
      <c r="Q1001">
        <f>IF(AND(P1001&gt;0,C1001=Report!$C$5),P1001*10000+ROW(),"")</f>
        <v/>
      </c>
      <c r="R1001">
        <f>IF(AND(Q1001&lt;&gt;"",ISNUMBER(D1001)),Q1001,"")</f>
        <v/>
      </c>
      <c r="S1001">
        <f>IF(AND(Q1001&lt;&gt;"",ISNUMBER(E1001)),Q1001,"")</f>
        <v/>
      </c>
      <c r="T1001">
        <f>IF(AND(Q1001&lt;&gt;"",ISNUMBER(F1001)),Q1001,"")</f>
        <v/>
      </c>
      <c r="U1001">
        <f>IF(AND(Q1001&lt;&gt;"",ISNUMBER(G1001)),Q1001,"")</f>
        <v/>
      </c>
      <c r="V1001">
        <f>IF(AND(Q1001&lt;&gt;"",ISNUMBER(H1001)),Q1001,"")</f>
        <v/>
      </c>
      <c r="W1001">
        <f>IF(AND(Q1001&lt;&gt;"",ISNUMBER(I1001)),Q1001,"")</f>
        <v/>
      </c>
      <c r="X1001">
        <f>IF(AND(Q1001&lt;&gt;"",ISNUMBER(J1001)),Q1001,"")</f>
        <v/>
      </c>
      <c r="Y1001">
        <f>IF(AND(Q1001&lt;&gt;"",ISNUMBER(K1001)),Q1001,"")</f>
        <v/>
      </c>
      <c r="Z1001">
        <f>IF(AND(Q1001&lt;&gt;"",ISNUMBER(L1001)),Q1001,"")</f>
        <v/>
      </c>
      <c r="AA1001">
        <f>IF(AND(Q1001&lt;&gt;"",ISNUMBER(M1001)),Q1001,"")</f>
        <v/>
      </c>
      <c r="AB1001">
        <f>IF(AND(Q1001&lt;&gt;"",ISNUMBER(K1001)),K1001,"")</f>
        <v/>
      </c>
      <c r="AC1001">
        <f>IF(AND(Q1001&lt;&gt;"",ISNUMBER(L1001)),L1001,"")</f>
        <v/>
      </c>
      <c r="AD1001">
        <f>IF(AND(Q1001&lt;&gt;"",ISNUMBER(M1001)),M1001,"")</f>
        <v/>
      </c>
    </row>
    <row r="1002">
      <c r="A1002" s="1" t="n"/>
      <c r="B1002" s="17" t="n"/>
      <c r="C1002" s="27" t="n"/>
      <c r="D1002" s="28" t="n"/>
      <c r="E1002" s="28" t="n"/>
      <c r="F1002" s="28" t="n"/>
      <c r="G1002" s="28" t="n"/>
      <c r="H1002" s="28" t="n"/>
      <c r="I1002" s="28" t="n"/>
      <c r="J1002" s="28" t="n"/>
      <c r="K1002" s="28" t="n"/>
      <c r="L1002" s="28" t="n"/>
      <c r="M1002" s="29" t="n"/>
      <c r="N1002" s="21" t="n"/>
      <c r="O1002" s="12">
        <f>IF(AND(B1002="",C1002=""),"",IF(NOT(ISNUMBER(B1002)),"Needs a date",IF(C1002="","Needs a client",IF(COUNTIF(Clients!$B$6:$B$105,C1002)=0,"Not on Clients",IF(COUNT(D1002:M1002)=0,"Nothing measured","")))))</f>
        <v/>
      </c>
      <c r="P1002" s="1">
        <f>IF(AND(O1002="",ISNUMBER(B1002)),INT(B1002),0)</f>
        <v/>
      </c>
      <c r="Q1002">
        <f>IF(AND(P1002&gt;0,C1002=Report!$C$5),P1002*10000+ROW(),"")</f>
        <v/>
      </c>
      <c r="R1002">
        <f>IF(AND(Q1002&lt;&gt;"",ISNUMBER(D1002)),Q1002,"")</f>
        <v/>
      </c>
      <c r="S1002">
        <f>IF(AND(Q1002&lt;&gt;"",ISNUMBER(E1002)),Q1002,"")</f>
        <v/>
      </c>
      <c r="T1002">
        <f>IF(AND(Q1002&lt;&gt;"",ISNUMBER(F1002)),Q1002,"")</f>
        <v/>
      </c>
      <c r="U1002">
        <f>IF(AND(Q1002&lt;&gt;"",ISNUMBER(G1002)),Q1002,"")</f>
        <v/>
      </c>
      <c r="V1002">
        <f>IF(AND(Q1002&lt;&gt;"",ISNUMBER(H1002)),Q1002,"")</f>
        <v/>
      </c>
      <c r="W1002">
        <f>IF(AND(Q1002&lt;&gt;"",ISNUMBER(I1002)),Q1002,"")</f>
        <v/>
      </c>
      <c r="X1002">
        <f>IF(AND(Q1002&lt;&gt;"",ISNUMBER(J1002)),Q1002,"")</f>
        <v/>
      </c>
      <c r="Y1002">
        <f>IF(AND(Q1002&lt;&gt;"",ISNUMBER(K1002)),Q1002,"")</f>
        <v/>
      </c>
      <c r="Z1002">
        <f>IF(AND(Q1002&lt;&gt;"",ISNUMBER(L1002)),Q1002,"")</f>
        <v/>
      </c>
      <c r="AA1002">
        <f>IF(AND(Q1002&lt;&gt;"",ISNUMBER(M1002)),Q1002,"")</f>
        <v/>
      </c>
      <c r="AB1002">
        <f>IF(AND(Q1002&lt;&gt;"",ISNUMBER(K1002)),K1002,"")</f>
        <v/>
      </c>
      <c r="AC1002">
        <f>IF(AND(Q1002&lt;&gt;"",ISNUMBER(L1002)),L1002,"")</f>
        <v/>
      </c>
      <c r="AD1002">
        <f>IF(AND(Q1002&lt;&gt;"",ISNUMBER(M1002)),M1002,"")</f>
        <v/>
      </c>
    </row>
    <row r="1003">
      <c r="A1003" s="1" t="n"/>
      <c r="B1003" s="17" t="n"/>
      <c r="C1003" s="27" t="n"/>
      <c r="D1003" s="28" t="n"/>
      <c r="E1003" s="28" t="n"/>
      <c r="F1003" s="28" t="n"/>
      <c r="G1003" s="28" t="n"/>
      <c r="H1003" s="28" t="n"/>
      <c r="I1003" s="28" t="n"/>
      <c r="J1003" s="28" t="n"/>
      <c r="K1003" s="28" t="n"/>
      <c r="L1003" s="28" t="n"/>
      <c r="M1003" s="29" t="n"/>
      <c r="N1003" s="21" t="n"/>
      <c r="O1003" s="12">
        <f>IF(AND(B1003="",C1003=""),"",IF(NOT(ISNUMBER(B1003)),"Needs a date",IF(C1003="","Needs a client",IF(COUNTIF(Clients!$B$6:$B$105,C1003)=0,"Not on Clients",IF(COUNT(D1003:M1003)=0,"Nothing measured","")))))</f>
        <v/>
      </c>
      <c r="P1003" s="1">
        <f>IF(AND(O1003="",ISNUMBER(B1003)),INT(B1003),0)</f>
        <v/>
      </c>
      <c r="Q1003">
        <f>IF(AND(P1003&gt;0,C1003=Report!$C$5),P1003*10000+ROW(),"")</f>
        <v/>
      </c>
      <c r="R1003">
        <f>IF(AND(Q1003&lt;&gt;"",ISNUMBER(D1003)),Q1003,"")</f>
        <v/>
      </c>
      <c r="S1003">
        <f>IF(AND(Q1003&lt;&gt;"",ISNUMBER(E1003)),Q1003,"")</f>
        <v/>
      </c>
      <c r="T1003">
        <f>IF(AND(Q1003&lt;&gt;"",ISNUMBER(F1003)),Q1003,"")</f>
        <v/>
      </c>
      <c r="U1003">
        <f>IF(AND(Q1003&lt;&gt;"",ISNUMBER(G1003)),Q1003,"")</f>
        <v/>
      </c>
      <c r="V1003">
        <f>IF(AND(Q1003&lt;&gt;"",ISNUMBER(H1003)),Q1003,"")</f>
        <v/>
      </c>
      <c r="W1003">
        <f>IF(AND(Q1003&lt;&gt;"",ISNUMBER(I1003)),Q1003,"")</f>
        <v/>
      </c>
      <c r="X1003">
        <f>IF(AND(Q1003&lt;&gt;"",ISNUMBER(J1003)),Q1003,"")</f>
        <v/>
      </c>
      <c r="Y1003">
        <f>IF(AND(Q1003&lt;&gt;"",ISNUMBER(K1003)),Q1003,"")</f>
        <v/>
      </c>
      <c r="Z1003">
        <f>IF(AND(Q1003&lt;&gt;"",ISNUMBER(L1003)),Q1003,"")</f>
        <v/>
      </c>
      <c r="AA1003">
        <f>IF(AND(Q1003&lt;&gt;"",ISNUMBER(M1003)),Q1003,"")</f>
        <v/>
      </c>
      <c r="AB1003">
        <f>IF(AND(Q1003&lt;&gt;"",ISNUMBER(K1003)),K1003,"")</f>
        <v/>
      </c>
      <c r="AC1003">
        <f>IF(AND(Q1003&lt;&gt;"",ISNUMBER(L1003)),L1003,"")</f>
        <v/>
      </c>
      <c r="AD1003">
        <f>IF(AND(Q1003&lt;&gt;"",ISNUMBER(M1003)),M1003,"")</f>
        <v/>
      </c>
    </row>
    <row r="1004">
      <c r="A1004" s="1" t="n"/>
      <c r="B1004" s="17" t="n"/>
      <c r="C1004" s="27" t="n"/>
      <c r="D1004" s="28" t="n"/>
      <c r="E1004" s="28" t="n"/>
      <c r="F1004" s="28" t="n"/>
      <c r="G1004" s="28" t="n"/>
      <c r="H1004" s="28" t="n"/>
      <c r="I1004" s="28" t="n"/>
      <c r="J1004" s="28" t="n"/>
      <c r="K1004" s="28" t="n"/>
      <c r="L1004" s="28" t="n"/>
      <c r="M1004" s="29" t="n"/>
      <c r="N1004" s="21" t="n"/>
      <c r="O1004" s="12">
        <f>IF(AND(B1004="",C1004=""),"",IF(NOT(ISNUMBER(B1004)),"Needs a date",IF(C1004="","Needs a client",IF(COUNTIF(Clients!$B$6:$B$105,C1004)=0,"Not on Clients",IF(COUNT(D1004:M1004)=0,"Nothing measured","")))))</f>
        <v/>
      </c>
      <c r="P1004" s="1">
        <f>IF(AND(O1004="",ISNUMBER(B1004)),INT(B1004),0)</f>
        <v/>
      </c>
      <c r="Q1004">
        <f>IF(AND(P1004&gt;0,C1004=Report!$C$5),P1004*10000+ROW(),"")</f>
        <v/>
      </c>
      <c r="R1004">
        <f>IF(AND(Q1004&lt;&gt;"",ISNUMBER(D1004)),Q1004,"")</f>
        <v/>
      </c>
      <c r="S1004">
        <f>IF(AND(Q1004&lt;&gt;"",ISNUMBER(E1004)),Q1004,"")</f>
        <v/>
      </c>
      <c r="T1004">
        <f>IF(AND(Q1004&lt;&gt;"",ISNUMBER(F1004)),Q1004,"")</f>
        <v/>
      </c>
      <c r="U1004">
        <f>IF(AND(Q1004&lt;&gt;"",ISNUMBER(G1004)),Q1004,"")</f>
        <v/>
      </c>
      <c r="V1004">
        <f>IF(AND(Q1004&lt;&gt;"",ISNUMBER(H1004)),Q1004,"")</f>
        <v/>
      </c>
      <c r="W1004">
        <f>IF(AND(Q1004&lt;&gt;"",ISNUMBER(I1004)),Q1004,"")</f>
        <v/>
      </c>
      <c r="X1004">
        <f>IF(AND(Q1004&lt;&gt;"",ISNUMBER(J1004)),Q1004,"")</f>
        <v/>
      </c>
      <c r="Y1004">
        <f>IF(AND(Q1004&lt;&gt;"",ISNUMBER(K1004)),Q1004,"")</f>
        <v/>
      </c>
      <c r="Z1004">
        <f>IF(AND(Q1004&lt;&gt;"",ISNUMBER(L1004)),Q1004,"")</f>
        <v/>
      </c>
      <c r="AA1004">
        <f>IF(AND(Q1004&lt;&gt;"",ISNUMBER(M1004)),Q1004,"")</f>
        <v/>
      </c>
      <c r="AB1004">
        <f>IF(AND(Q1004&lt;&gt;"",ISNUMBER(K1004)),K1004,"")</f>
        <v/>
      </c>
      <c r="AC1004">
        <f>IF(AND(Q1004&lt;&gt;"",ISNUMBER(L1004)),L1004,"")</f>
        <v/>
      </c>
      <c r="AD1004">
        <f>IF(AND(Q1004&lt;&gt;"",ISNUMBER(M1004)),M1004,"")</f>
        <v/>
      </c>
    </row>
    <row r="1005">
      <c r="A1005" s="1" t="n"/>
      <c r="B1005" s="17" t="n"/>
      <c r="C1005" s="27" t="n"/>
      <c r="D1005" s="28" t="n"/>
      <c r="E1005" s="28" t="n"/>
      <c r="F1005" s="28" t="n"/>
      <c r="G1005" s="28" t="n"/>
      <c r="H1005" s="28" t="n"/>
      <c r="I1005" s="28" t="n"/>
      <c r="J1005" s="28" t="n"/>
      <c r="K1005" s="28" t="n"/>
      <c r="L1005" s="28" t="n"/>
      <c r="M1005" s="29" t="n"/>
      <c r="N1005" s="21" t="n"/>
      <c r="O1005" s="12">
        <f>IF(AND(B1005="",C1005=""),"",IF(NOT(ISNUMBER(B1005)),"Needs a date",IF(C1005="","Needs a client",IF(COUNTIF(Clients!$B$6:$B$105,C1005)=0,"Not on Clients",IF(COUNT(D1005:M1005)=0,"Nothing measured","")))))</f>
        <v/>
      </c>
      <c r="P1005" s="1">
        <f>IF(AND(O1005="",ISNUMBER(B1005)),INT(B1005),0)</f>
        <v/>
      </c>
      <c r="Q1005">
        <f>IF(AND(P1005&gt;0,C1005=Report!$C$5),P1005*10000+ROW(),"")</f>
        <v/>
      </c>
      <c r="R1005">
        <f>IF(AND(Q1005&lt;&gt;"",ISNUMBER(D1005)),Q1005,"")</f>
        <v/>
      </c>
      <c r="S1005">
        <f>IF(AND(Q1005&lt;&gt;"",ISNUMBER(E1005)),Q1005,"")</f>
        <v/>
      </c>
      <c r="T1005">
        <f>IF(AND(Q1005&lt;&gt;"",ISNUMBER(F1005)),Q1005,"")</f>
        <v/>
      </c>
      <c r="U1005">
        <f>IF(AND(Q1005&lt;&gt;"",ISNUMBER(G1005)),Q1005,"")</f>
        <v/>
      </c>
      <c r="V1005">
        <f>IF(AND(Q1005&lt;&gt;"",ISNUMBER(H1005)),Q1005,"")</f>
        <v/>
      </c>
      <c r="W1005">
        <f>IF(AND(Q1005&lt;&gt;"",ISNUMBER(I1005)),Q1005,"")</f>
        <v/>
      </c>
      <c r="X1005">
        <f>IF(AND(Q1005&lt;&gt;"",ISNUMBER(J1005)),Q1005,"")</f>
        <v/>
      </c>
      <c r="Y1005">
        <f>IF(AND(Q1005&lt;&gt;"",ISNUMBER(K1005)),Q1005,"")</f>
        <v/>
      </c>
      <c r="Z1005">
        <f>IF(AND(Q1005&lt;&gt;"",ISNUMBER(L1005)),Q1005,"")</f>
        <v/>
      </c>
      <c r="AA1005">
        <f>IF(AND(Q1005&lt;&gt;"",ISNUMBER(M1005)),Q1005,"")</f>
        <v/>
      </c>
      <c r="AB1005">
        <f>IF(AND(Q1005&lt;&gt;"",ISNUMBER(K1005)),K1005,"")</f>
        <v/>
      </c>
      <c r="AC1005">
        <f>IF(AND(Q1005&lt;&gt;"",ISNUMBER(L1005)),L1005,"")</f>
        <v/>
      </c>
      <c r="AD1005">
        <f>IF(AND(Q1005&lt;&gt;"",ISNUMBER(M1005)),M1005,"")</f>
        <v/>
      </c>
    </row>
    <row r="1006">
      <c r="A1006" s="1" t="n"/>
      <c r="B1006" s="17" t="n"/>
      <c r="C1006" s="27" t="n"/>
      <c r="D1006" s="28" t="n"/>
      <c r="E1006" s="28" t="n"/>
      <c r="F1006" s="28" t="n"/>
      <c r="G1006" s="28" t="n"/>
      <c r="H1006" s="28" t="n"/>
      <c r="I1006" s="28" t="n"/>
      <c r="J1006" s="28" t="n"/>
      <c r="K1006" s="28" t="n"/>
      <c r="L1006" s="28" t="n"/>
      <c r="M1006" s="29" t="n"/>
      <c r="N1006" s="21" t="n"/>
      <c r="O1006" s="12">
        <f>IF(AND(B1006="",C1006=""),"",IF(NOT(ISNUMBER(B1006)),"Needs a date",IF(C1006="","Needs a client",IF(COUNTIF(Clients!$B$6:$B$105,C1006)=0,"Not on Clients",IF(COUNT(D1006:M1006)=0,"Nothing measured","")))))</f>
        <v/>
      </c>
      <c r="P1006" s="1">
        <f>IF(AND(O1006="",ISNUMBER(B1006)),INT(B1006),0)</f>
        <v/>
      </c>
      <c r="Q1006">
        <f>IF(AND(P1006&gt;0,C1006=Report!$C$5),P1006*10000+ROW(),"")</f>
        <v/>
      </c>
      <c r="R1006">
        <f>IF(AND(Q1006&lt;&gt;"",ISNUMBER(D1006)),Q1006,"")</f>
        <v/>
      </c>
      <c r="S1006">
        <f>IF(AND(Q1006&lt;&gt;"",ISNUMBER(E1006)),Q1006,"")</f>
        <v/>
      </c>
      <c r="T1006">
        <f>IF(AND(Q1006&lt;&gt;"",ISNUMBER(F1006)),Q1006,"")</f>
        <v/>
      </c>
      <c r="U1006">
        <f>IF(AND(Q1006&lt;&gt;"",ISNUMBER(G1006)),Q1006,"")</f>
        <v/>
      </c>
      <c r="V1006">
        <f>IF(AND(Q1006&lt;&gt;"",ISNUMBER(H1006)),Q1006,"")</f>
        <v/>
      </c>
      <c r="W1006">
        <f>IF(AND(Q1006&lt;&gt;"",ISNUMBER(I1006)),Q1006,"")</f>
        <v/>
      </c>
      <c r="X1006">
        <f>IF(AND(Q1006&lt;&gt;"",ISNUMBER(J1006)),Q1006,"")</f>
        <v/>
      </c>
      <c r="Y1006">
        <f>IF(AND(Q1006&lt;&gt;"",ISNUMBER(K1006)),Q1006,"")</f>
        <v/>
      </c>
      <c r="Z1006">
        <f>IF(AND(Q1006&lt;&gt;"",ISNUMBER(L1006)),Q1006,"")</f>
        <v/>
      </c>
      <c r="AA1006">
        <f>IF(AND(Q1006&lt;&gt;"",ISNUMBER(M1006)),Q1006,"")</f>
        <v/>
      </c>
      <c r="AB1006">
        <f>IF(AND(Q1006&lt;&gt;"",ISNUMBER(K1006)),K1006,"")</f>
        <v/>
      </c>
      <c r="AC1006">
        <f>IF(AND(Q1006&lt;&gt;"",ISNUMBER(L1006)),L1006,"")</f>
        <v/>
      </c>
      <c r="AD1006">
        <f>IF(AND(Q1006&lt;&gt;"",ISNUMBER(M1006)),M1006,"")</f>
        <v/>
      </c>
    </row>
    <row r="1007">
      <c r="A1007" s="1" t="n"/>
      <c r="B1007" s="17" t="n"/>
      <c r="C1007" s="27" t="n"/>
      <c r="D1007" s="28" t="n"/>
      <c r="E1007" s="28" t="n"/>
      <c r="F1007" s="28" t="n"/>
      <c r="G1007" s="28" t="n"/>
      <c r="H1007" s="28" t="n"/>
      <c r="I1007" s="28" t="n"/>
      <c r="J1007" s="28" t="n"/>
      <c r="K1007" s="28" t="n"/>
      <c r="L1007" s="28" t="n"/>
      <c r="M1007" s="29" t="n"/>
      <c r="N1007" s="21" t="n"/>
      <c r="O1007" s="12">
        <f>IF(AND(B1007="",C1007=""),"",IF(NOT(ISNUMBER(B1007)),"Needs a date",IF(C1007="","Needs a client",IF(COUNTIF(Clients!$B$6:$B$105,C1007)=0,"Not on Clients",IF(COUNT(D1007:M1007)=0,"Nothing measured","")))))</f>
        <v/>
      </c>
      <c r="P1007" s="1">
        <f>IF(AND(O1007="",ISNUMBER(B1007)),INT(B1007),0)</f>
        <v/>
      </c>
      <c r="Q1007">
        <f>IF(AND(P1007&gt;0,C1007=Report!$C$5),P1007*10000+ROW(),"")</f>
        <v/>
      </c>
      <c r="R1007">
        <f>IF(AND(Q1007&lt;&gt;"",ISNUMBER(D1007)),Q1007,"")</f>
        <v/>
      </c>
      <c r="S1007">
        <f>IF(AND(Q1007&lt;&gt;"",ISNUMBER(E1007)),Q1007,"")</f>
        <v/>
      </c>
      <c r="T1007">
        <f>IF(AND(Q1007&lt;&gt;"",ISNUMBER(F1007)),Q1007,"")</f>
        <v/>
      </c>
      <c r="U1007">
        <f>IF(AND(Q1007&lt;&gt;"",ISNUMBER(G1007)),Q1007,"")</f>
        <v/>
      </c>
      <c r="V1007">
        <f>IF(AND(Q1007&lt;&gt;"",ISNUMBER(H1007)),Q1007,"")</f>
        <v/>
      </c>
      <c r="W1007">
        <f>IF(AND(Q1007&lt;&gt;"",ISNUMBER(I1007)),Q1007,"")</f>
        <v/>
      </c>
      <c r="X1007">
        <f>IF(AND(Q1007&lt;&gt;"",ISNUMBER(J1007)),Q1007,"")</f>
        <v/>
      </c>
      <c r="Y1007">
        <f>IF(AND(Q1007&lt;&gt;"",ISNUMBER(K1007)),Q1007,"")</f>
        <v/>
      </c>
      <c r="Z1007">
        <f>IF(AND(Q1007&lt;&gt;"",ISNUMBER(L1007)),Q1007,"")</f>
        <v/>
      </c>
      <c r="AA1007">
        <f>IF(AND(Q1007&lt;&gt;"",ISNUMBER(M1007)),Q1007,"")</f>
        <v/>
      </c>
      <c r="AB1007">
        <f>IF(AND(Q1007&lt;&gt;"",ISNUMBER(K1007)),K1007,"")</f>
        <v/>
      </c>
      <c r="AC1007">
        <f>IF(AND(Q1007&lt;&gt;"",ISNUMBER(L1007)),L1007,"")</f>
        <v/>
      </c>
      <c r="AD1007">
        <f>IF(AND(Q1007&lt;&gt;"",ISNUMBER(M1007)),M1007,"")</f>
        <v/>
      </c>
    </row>
    <row r="1008">
      <c r="A1008" s="1" t="n"/>
      <c r="B1008" s="17" t="n"/>
      <c r="C1008" s="27" t="n"/>
      <c r="D1008" s="28" t="n"/>
      <c r="E1008" s="28" t="n"/>
      <c r="F1008" s="28" t="n"/>
      <c r="G1008" s="28" t="n"/>
      <c r="H1008" s="28" t="n"/>
      <c r="I1008" s="28" t="n"/>
      <c r="J1008" s="28" t="n"/>
      <c r="K1008" s="28" t="n"/>
      <c r="L1008" s="28" t="n"/>
      <c r="M1008" s="29" t="n"/>
      <c r="N1008" s="21" t="n"/>
      <c r="O1008" s="12">
        <f>IF(AND(B1008="",C1008=""),"",IF(NOT(ISNUMBER(B1008)),"Needs a date",IF(C1008="","Needs a client",IF(COUNTIF(Clients!$B$6:$B$105,C1008)=0,"Not on Clients",IF(COUNT(D1008:M1008)=0,"Nothing measured","")))))</f>
        <v/>
      </c>
      <c r="P1008" s="1">
        <f>IF(AND(O1008="",ISNUMBER(B1008)),INT(B1008),0)</f>
        <v/>
      </c>
      <c r="Q1008">
        <f>IF(AND(P1008&gt;0,C1008=Report!$C$5),P1008*10000+ROW(),"")</f>
        <v/>
      </c>
      <c r="R1008">
        <f>IF(AND(Q1008&lt;&gt;"",ISNUMBER(D1008)),Q1008,"")</f>
        <v/>
      </c>
      <c r="S1008">
        <f>IF(AND(Q1008&lt;&gt;"",ISNUMBER(E1008)),Q1008,"")</f>
        <v/>
      </c>
      <c r="T1008">
        <f>IF(AND(Q1008&lt;&gt;"",ISNUMBER(F1008)),Q1008,"")</f>
        <v/>
      </c>
      <c r="U1008">
        <f>IF(AND(Q1008&lt;&gt;"",ISNUMBER(G1008)),Q1008,"")</f>
        <v/>
      </c>
      <c r="V1008">
        <f>IF(AND(Q1008&lt;&gt;"",ISNUMBER(H1008)),Q1008,"")</f>
        <v/>
      </c>
      <c r="W1008">
        <f>IF(AND(Q1008&lt;&gt;"",ISNUMBER(I1008)),Q1008,"")</f>
        <v/>
      </c>
      <c r="X1008">
        <f>IF(AND(Q1008&lt;&gt;"",ISNUMBER(J1008)),Q1008,"")</f>
        <v/>
      </c>
      <c r="Y1008">
        <f>IF(AND(Q1008&lt;&gt;"",ISNUMBER(K1008)),Q1008,"")</f>
        <v/>
      </c>
      <c r="Z1008">
        <f>IF(AND(Q1008&lt;&gt;"",ISNUMBER(L1008)),Q1008,"")</f>
        <v/>
      </c>
      <c r="AA1008">
        <f>IF(AND(Q1008&lt;&gt;"",ISNUMBER(M1008)),Q1008,"")</f>
        <v/>
      </c>
      <c r="AB1008">
        <f>IF(AND(Q1008&lt;&gt;"",ISNUMBER(K1008)),K1008,"")</f>
        <v/>
      </c>
      <c r="AC1008">
        <f>IF(AND(Q1008&lt;&gt;"",ISNUMBER(L1008)),L1008,"")</f>
        <v/>
      </c>
      <c r="AD1008">
        <f>IF(AND(Q1008&lt;&gt;"",ISNUMBER(M1008)),M1008,"")</f>
        <v/>
      </c>
    </row>
    <row r="1009">
      <c r="A1009" s="1" t="n"/>
      <c r="B1009" s="17" t="n"/>
      <c r="C1009" s="27" t="n"/>
      <c r="D1009" s="28" t="n"/>
      <c r="E1009" s="28" t="n"/>
      <c r="F1009" s="28" t="n"/>
      <c r="G1009" s="28" t="n"/>
      <c r="H1009" s="28" t="n"/>
      <c r="I1009" s="28" t="n"/>
      <c r="J1009" s="28" t="n"/>
      <c r="K1009" s="28" t="n"/>
      <c r="L1009" s="28" t="n"/>
      <c r="M1009" s="29" t="n"/>
      <c r="N1009" s="21" t="n"/>
      <c r="O1009" s="12">
        <f>IF(AND(B1009="",C1009=""),"",IF(NOT(ISNUMBER(B1009)),"Needs a date",IF(C1009="","Needs a client",IF(COUNTIF(Clients!$B$6:$B$105,C1009)=0,"Not on Clients",IF(COUNT(D1009:M1009)=0,"Nothing measured","")))))</f>
        <v/>
      </c>
      <c r="P1009" s="1">
        <f>IF(AND(O1009="",ISNUMBER(B1009)),INT(B1009),0)</f>
        <v/>
      </c>
      <c r="Q1009">
        <f>IF(AND(P1009&gt;0,C1009=Report!$C$5),P1009*10000+ROW(),"")</f>
        <v/>
      </c>
      <c r="R1009">
        <f>IF(AND(Q1009&lt;&gt;"",ISNUMBER(D1009)),Q1009,"")</f>
        <v/>
      </c>
      <c r="S1009">
        <f>IF(AND(Q1009&lt;&gt;"",ISNUMBER(E1009)),Q1009,"")</f>
        <v/>
      </c>
      <c r="T1009">
        <f>IF(AND(Q1009&lt;&gt;"",ISNUMBER(F1009)),Q1009,"")</f>
        <v/>
      </c>
      <c r="U1009">
        <f>IF(AND(Q1009&lt;&gt;"",ISNUMBER(G1009)),Q1009,"")</f>
        <v/>
      </c>
      <c r="V1009">
        <f>IF(AND(Q1009&lt;&gt;"",ISNUMBER(H1009)),Q1009,"")</f>
        <v/>
      </c>
      <c r="W1009">
        <f>IF(AND(Q1009&lt;&gt;"",ISNUMBER(I1009)),Q1009,"")</f>
        <v/>
      </c>
      <c r="X1009">
        <f>IF(AND(Q1009&lt;&gt;"",ISNUMBER(J1009)),Q1009,"")</f>
        <v/>
      </c>
      <c r="Y1009">
        <f>IF(AND(Q1009&lt;&gt;"",ISNUMBER(K1009)),Q1009,"")</f>
        <v/>
      </c>
      <c r="Z1009">
        <f>IF(AND(Q1009&lt;&gt;"",ISNUMBER(L1009)),Q1009,"")</f>
        <v/>
      </c>
      <c r="AA1009">
        <f>IF(AND(Q1009&lt;&gt;"",ISNUMBER(M1009)),Q1009,"")</f>
        <v/>
      </c>
      <c r="AB1009">
        <f>IF(AND(Q1009&lt;&gt;"",ISNUMBER(K1009)),K1009,"")</f>
        <v/>
      </c>
      <c r="AC1009">
        <f>IF(AND(Q1009&lt;&gt;"",ISNUMBER(L1009)),L1009,"")</f>
        <v/>
      </c>
      <c r="AD1009">
        <f>IF(AND(Q1009&lt;&gt;"",ISNUMBER(M1009)),M1009,"")</f>
        <v/>
      </c>
    </row>
    <row r="1010">
      <c r="A1010" s="1" t="n"/>
      <c r="B1010" s="17" t="n"/>
      <c r="C1010" s="27" t="n"/>
      <c r="D1010" s="28" t="n"/>
      <c r="E1010" s="28" t="n"/>
      <c r="F1010" s="28" t="n"/>
      <c r="G1010" s="28" t="n"/>
      <c r="H1010" s="28" t="n"/>
      <c r="I1010" s="28" t="n"/>
      <c r="J1010" s="28" t="n"/>
      <c r="K1010" s="28" t="n"/>
      <c r="L1010" s="28" t="n"/>
      <c r="M1010" s="29" t="n"/>
      <c r="N1010" s="21" t="n"/>
      <c r="O1010" s="12">
        <f>IF(AND(B1010="",C1010=""),"",IF(NOT(ISNUMBER(B1010)),"Needs a date",IF(C1010="","Needs a client",IF(COUNTIF(Clients!$B$6:$B$105,C1010)=0,"Not on Clients",IF(COUNT(D1010:M1010)=0,"Nothing measured","")))))</f>
        <v/>
      </c>
      <c r="P1010" s="1">
        <f>IF(AND(O1010="",ISNUMBER(B1010)),INT(B1010),0)</f>
        <v/>
      </c>
      <c r="Q1010">
        <f>IF(AND(P1010&gt;0,C1010=Report!$C$5),P1010*10000+ROW(),"")</f>
        <v/>
      </c>
      <c r="R1010">
        <f>IF(AND(Q1010&lt;&gt;"",ISNUMBER(D1010)),Q1010,"")</f>
        <v/>
      </c>
      <c r="S1010">
        <f>IF(AND(Q1010&lt;&gt;"",ISNUMBER(E1010)),Q1010,"")</f>
        <v/>
      </c>
      <c r="T1010">
        <f>IF(AND(Q1010&lt;&gt;"",ISNUMBER(F1010)),Q1010,"")</f>
        <v/>
      </c>
      <c r="U1010">
        <f>IF(AND(Q1010&lt;&gt;"",ISNUMBER(G1010)),Q1010,"")</f>
        <v/>
      </c>
      <c r="V1010">
        <f>IF(AND(Q1010&lt;&gt;"",ISNUMBER(H1010)),Q1010,"")</f>
        <v/>
      </c>
      <c r="W1010">
        <f>IF(AND(Q1010&lt;&gt;"",ISNUMBER(I1010)),Q1010,"")</f>
        <v/>
      </c>
      <c r="X1010">
        <f>IF(AND(Q1010&lt;&gt;"",ISNUMBER(J1010)),Q1010,"")</f>
        <v/>
      </c>
      <c r="Y1010">
        <f>IF(AND(Q1010&lt;&gt;"",ISNUMBER(K1010)),Q1010,"")</f>
        <v/>
      </c>
      <c r="Z1010">
        <f>IF(AND(Q1010&lt;&gt;"",ISNUMBER(L1010)),Q1010,"")</f>
        <v/>
      </c>
      <c r="AA1010">
        <f>IF(AND(Q1010&lt;&gt;"",ISNUMBER(M1010)),Q1010,"")</f>
        <v/>
      </c>
      <c r="AB1010">
        <f>IF(AND(Q1010&lt;&gt;"",ISNUMBER(K1010)),K1010,"")</f>
        <v/>
      </c>
      <c r="AC1010">
        <f>IF(AND(Q1010&lt;&gt;"",ISNUMBER(L1010)),L1010,"")</f>
        <v/>
      </c>
      <c r="AD1010">
        <f>IF(AND(Q1010&lt;&gt;"",ISNUMBER(M1010)),M1010,"")</f>
        <v/>
      </c>
    </row>
    <row r="1011">
      <c r="A1011" s="1" t="n"/>
      <c r="B1011" s="17" t="n"/>
      <c r="C1011" s="27" t="n"/>
      <c r="D1011" s="28" t="n"/>
      <c r="E1011" s="28" t="n"/>
      <c r="F1011" s="28" t="n"/>
      <c r="G1011" s="28" t="n"/>
      <c r="H1011" s="28" t="n"/>
      <c r="I1011" s="28" t="n"/>
      <c r="J1011" s="28" t="n"/>
      <c r="K1011" s="28" t="n"/>
      <c r="L1011" s="28" t="n"/>
      <c r="M1011" s="29" t="n"/>
      <c r="N1011" s="21" t="n"/>
      <c r="O1011" s="12">
        <f>IF(AND(B1011="",C1011=""),"",IF(NOT(ISNUMBER(B1011)),"Needs a date",IF(C1011="","Needs a client",IF(COUNTIF(Clients!$B$6:$B$105,C1011)=0,"Not on Clients",IF(COUNT(D1011:M1011)=0,"Nothing measured","")))))</f>
        <v/>
      </c>
      <c r="P1011" s="1">
        <f>IF(AND(O1011="",ISNUMBER(B1011)),INT(B1011),0)</f>
        <v/>
      </c>
      <c r="Q1011">
        <f>IF(AND(P1011&gt;0,C1011=Report!$C$5),P1011*10000+ROW(),"")</f>
        <v/>
      </c>
      <c r="R1011">
        <f>IF(AND(Q1011&lt;&gt;"",ISNUMBER(D1011)),Q1011,"")</f>
        <v/>
      </c>
      <c r="S1011">
        <f>IF(AND(Q1011&lt;&gt;"",ISNUMBER(E1011)),Q1011,"")</f>
        <v/>
      </c>
      <c r="T1011">
        <f>IF(AND(Q1011&lt;&gt;"",ISNUMBER(F1011)),Q1011,"")</f>
        <v/>
      </c>
      <c r="U1011">
        <f>IF(AND(Q1011&lt;&gt;"",ISNUMBER(G1011)),Q1011,"")</f>
        <v/>
      </c>
      <c r="V1011">
        <f>IF(AND(Q1011&lt;&gt;"",ISNUMBER(H1011)),Q1011,"")</f>
        <v/>
      </c>
      <c r="W1011">
        <f>IF(AND(Q1011&lt;&gt;"",ISNUMBER(I1011)),Q1011,"")</f>
        <v/>
      </c>
      <c r="X1011">
        <f>IF(AND(Q1011&lt;&gt;"",ISNUMBER(J1011)),Q1011,"")</f>
        <v/>
      </c>
      <c r="Y1011">
        <f>IF(AND(Q1011&lt;&gt;"",ISNUMBER(K1011)),Q1011,"")</f>
        <v/>
      </c>
      <c r="Z1011">
        <f>IF(AND(Q1011&lt;&gt;"",ISNUMBER(L1011)),Q1011,"")</f>
        <v/>
      </c>
      <c r="AA1011">
        <f>IF(AND(Q1011&lt;&gt;"",ISNUMBER(M1011)),Q1011,"")</f>
        <v/>
      </c>
      <c r="AB1011">
        <f>IF(AND(Q1011&lt;&gt;"",ISNUMBER(K1011)),K1011,"")</f>
        <v/>
      </c>
      <c r="AC1011">
        <f>IF(AND(Q1011&lt;&gt;"",ISNUMBER(L1011)),L1011,"")</f>
        <v/>
      </c>
      <c r="AD1011">
        <f>IF(AND(Q1011&lt;&gt;"",ISNUMBER(M1011)),M1011,"")</f>
        <v/>
      </c>
    </row>
    <row r="1012">
      <c r="A1012" s="1" t="n"/>
      <c r="B1012" s="17" t="n"/>
      <c r="C1012" s="27" t="n"/>
      <c r="D1012" s="28" t="n"/>
      <c r="E1012" s="28" t="n"/>
      <c r="F1012" s="28" t="n"/>
      <c r="G1012" s="28" t="n"/>
      <c r="H1012" s="28" t="n"/>
      <c r="I1012" s="28" t="n"/>
      <c r="J1012" s="28" t="n"/>
      <c r="K1012" s="28" t="n"/>
      <c r="L1012" s="28" t="n"/>
      <c r="M1012" s="29" t="n"/>
      <c r="N1012" s="21" t="n"/>
      <c r="O1012" s="12">
        <f>IF(AND(B1012="",C1012=""),"",IF(NOT(ISNUMBER(B1012)),"Needs a date",IF(C1012="","Needs a client",IF(COUNTIF(Clients!$B$6:$B$105,C1012)=0,"Not on Clients",IF(COUNT(D1012:M1012)=0,"Nothing measured","")))))</f>
        <v/>
      </c>
      <c r="P1012" s="1">
        <f>IF(AND(O1012="",ISNUMBER(B1012)),INT(B1012),0)</f>
        <v/>
      </c>
      <c r="Q1012">
        <f>IF(AND(P1012&gt;0,C1012=Report!$C$5),P1012*10000+ROW(),"")</f>
        <v/>
      </c>
      <c r="R1012">
        <f>IF(AND(Q1012&lt;&gt;"",ISNUMBER(D1012)),Q1012,"")</f>
        <v/>
      </c>
      <c r="S1012">
        <f>IF(AND(Q1012&lt;&gt;"",ISNUMBER(E1012)),Q1012,"")</f>
        <v/>
      </c>
      <c r="T1012">
        <f>IF(AND(Q1012&lt;&gt;"",ISNUMBER(F1012)),Q1012,"")</f>
        <v/>
      </c>
      <c r="U1012">
        <f>IF(AND(Q1012&lt;&gt;"",ISNUMBER(G1012)),Q1012,"")</f>
        <v/>
      </c>
      <c r="V1012">
        <f>IF(AND(Q1012&lt;&gt;"",ISNUMBER(H1012)),Q1012,"")</f>
        <v/>
      </c>
      <c r="W1012">
        <f>IF(AND(Q1012&lt;&gt;"",ISNUMBER(I1012)),Q1012,"")</f>
        <v/>
      </c>
      <c r="X1012">
        <f>IF(AND(Q1012&lt;&gt;"",ISNUMBER(J1012)),Q1012,"")</f>
        <v/>
      </c>
      <c r="Y1012">
        <f>IF(AND(Q1012&lt;&gt;"",ISNUMBER(K1012)),Q1012,"")</f>
        <v/>
      </c>
      <c r="Z1012">
        <f>IF(AND(Q1012&lt;&gt;"",ISNUMBER(L1012)),Q1012,"")</f>
        <v/>
      </c>
      <c r="AA1012">
        <f>IF(AND(Q1012&lt;&gt;"",ISNUMBER(M1012)),Q1012,"")</f>
        <v/>
      </c>
      <c r="AB1012">
        <f>IF(AND(Q1012&lt;&gt;"",ISNUMBER(K1012)),K1012,"")</f>
        <v/>
      </c>
      <c r="AC1012">
        <f>IF(AND(Q1012&lt;&gt;"",ISNUMBER(L1012)),L1012,"")</f>
        <v/>
      </c>
      <c r="AD1012">
        <f>IF(AND(Q1012&lt;&gt;"",ISNUMBER(M1012)),M1012,"")</f>
        <v/>
      </c>
    </row>
    <row r="1013">
      <c r="A1013" s="1" t="n"/>
      <c r="B1013" s="17" t="n"/>
      <c r="C1013" s="27" t="n"/>
      <c r="D1013" s="28" t="n"/>
      <c r="E1013" s="28" t="n"/>
      <c r="F1013" s="28" t="n"/>
      <c r="G1013" s="28" t="n"/>
      <c r="H1013" s="28" t="n"/>
      <c r="I1013" s="28" t="n"/>
      <c r="J1013" s="28" t="n"/>
      <c r="K1013" s="28" t="n"/>
      <c r="L1013" s="28" t="n"/>
      <c r="M1013" s="29" t="n"/>
      <c r="N1013" s="21" t="n"/>
      <c r="O1013" s="12">
        <f>IF(AND(B1013="",C1013=""),"",IF(NOT(ISNUMBER(B1013)),"Needs a date",IF(C1013="","Needs a client",IF(COUNTIF(Clients!$B$6:$B$105,C1013)=0,"Not on Clients",IF(COUNT(D1013:M1013)=0,"Nothing measured","")))))</f>
        <v/>
      </c>
      <c r="P1013" s="1">
        <f>IF(AND(O1013="",ISNUMBER(B1013)),INT(B1013),0)</f>
        <v/>
      </c>
      <c r="Q1013">
        <f>IF(AND(P1013&gt;0,C1013=Report!$C$5),P1013*10000+ROW(),"")</f>
        <v/>
      </c>
      <c r="R1013">
        <f>IF(AND(Q1013&lt;&gt;"",ISNUMBER(D1013)),Q1013,"")</f>
        <v/>
      </c>
      <c r="S1013">
        <f>IF(AND(Q1013&lt;&gt;"",ISNUMBER(E1013)),Q1013,"")</f>
        <v/>
      </c>
      <c r="T1013">
        <f>IF(AND(Q1013&lt;&gt;"",ISNUMBER(F1013)),Q1013,"")</f>
        <v/>
      </c>
      <c r="U1013">
        <f>IF(AND(Q1013&lt;&gt;"",ISNUMBER(G1013)),Q1013,"")</f>
        <v/>
      </c>
      <c r="V1013">
        <f>IF(AND(Q1013&lt;&gt;"",ISNUMBER(H1013)),Q1013,"")</f>
        <v/>
      </c>
      <c r="W1013">
        <f>IF(AND(Q1013&lt;&gt;"",ISNUMBER(I1013)),Q1013,"")</f>
        <v/>
      </c>
      <c r="X1013">
        <f>IF(AND(Q1013&lt;&gt;"",ISNUMBER(J1013)),Q1013,"")</f>
        <v/>
      </c>
      <c r="Y1013">
        <f>IF(AND(Q1013&lt;&gt;"",ISNUMBER(K1013)),Q1013,"")</f>
        <v/>
      </c>
      <c r="Z1013">
        <f>IF(AND(Q1013&lt;&gt;"",ISNUMBER(L1013)),Q1013,"")</f>
        <v/>
      </c>
      <c r="AA1013">
        <f>IF(AND(Q1013&lt;&gt;"",ISNUMBER(M1013)),Q1013,"")</f>
        <v/>
      </c>
      <c r="AB1013">
        <f>IF(AND(Q1013&lt;&gt;"",ISNUMBER(K1013)),K1013,"")</f>
        <v/>
      </c>
      <c r="AC1013">
        <f>IF(AND(Q1013&lt;&gt;"",ISNUMBER(L1013)),L1013,"")</f>
        <v/>
      </c>
      <c r="AD1013">
        <f>IF(AND(Q1013&lt;&gt;"",ISNUMBER(M1013)),M1013,"")</f>
        <v/>
      </c>
    </row>
    <row r="1014">
      <c r="A1014" s="1" t="n"/>
      <c r="B1014" s="17" t="n"/>
      <c r="C1014" s="27" t="n"/>
      <c r="D1014" s="28" t="n"/>
      <c r="E1014" s="28" t="n"/>
      <c r="F1014" s="28" t="n"/>
      <c r="G1014" s="28" t="n"/>
      <c r="H1014" s="28" t="n"/>
      <c r="I1014" s="28" t="n"/>
      <c r="J1014" s="28" t="n"/>
      <c r="K1014" s="28" t="n"/>
      <c r="L1014" s="28" t="n"/>
      <c r="M1014" s="29" t="n"/>
      <c r="N1014" s="21" t="n"/>
      <c r="O1014" s="12">
        <f>IF(AND(B1014="",C1014=""),"",IF(NOT(ISNUMBER(B1014)),"Needs a date",IF(C1014="","Needs a client",IF(COUNTIF(Clients!$B$6:$B$105,C1014)=0,"Not on Clients",IF(COUNT(D1014:M1014)=0,"Nothing measured","")))))</f>
        <v/>
      </c>
      <c r="P1014" s="1">
        <f>IF(AND(O1014="",ISNUMBER(B1014)),INT(B1014),0)</f>
        <v/>
      </c>
      <c r="Q1014">
        <f>IF(AND(P1014&gt;0,C1014=Report!$C$5),P1014*10000+ROW(),"")</f>
        <v/>
      </c>
      <c r="R1014">
        <f>IF(AND(Q1014&lt;&gt;"",ISNUMBER(D1014)),Q1014,"")</f>
        <v/>
      </c>
      <c r="S1014">
        <f>IF(AND(Q1014&lt;&gt;"",ISNUMBER(E1014)),Q1014,"")</f>
        <v/>
      </c>
      <c r="T1014">
        <f>IF(AND(Q1014&lt;&gt;"",ISNUMBER(F1014)),Q1014,"")</f>
        <v/>
      </c>
      <c r="U1014">
        <f>IF(AND(Q1014&lt;&gt;"",ISNUMBER(G1014)),Q1014,"")</f>
        <v/>
      </c>
      <c r="V1014">
        <f>IF(AND(Q1014&lt;&gt;"",ISNUMBER(H1014)),Q1014,"")</f>
        <v/>
      </c>
      <c r="W1014">
        <f>IF(AND(Q1014&lt;&gt;"",ISNUMBER(I1014)),Q1014,"")</f>
        <v/>
      </c>
      <c r="X1014">
        <f>IF(AND(Q1014&lt;&gt;"",ISNUMBER(J1014)),Q1014,"")</f>
        <v/>
      </c>
      <c r="Y1014">
        <f>IF(AND(Q1014&lt;&gt;"",ISNUMBER(K1014)),Q1014,"")</f>
        <v/>
      </c>
      <c r="Z1014">
        <f>IF(AND(Q1014&lt;&gt;"",ISNUMBER(L1014)),Q1014,"")</f>
        <v/>
      </c>
      <c r="AA1014">
        <f>IF(AND(Q1014&lt;&gt;"",ISNUMBER(M1014)),Q1014,"")</f>
        <v/>
      </c>
      <c r="AB1014">
        <f>IF(AND(Q1014&lt;&gt;"",ISNUMBER(K1014)),K1014,"")</f>
        <v/>
      </c>
      <c r="AC1014">
        <f>IF(AND(Q1014&lt;&gt;"",ISNUMBER(L1014)),L1014,"")</f>
        <v/>
      </c>
      <c r="AD1014">
        <f>IF(AND(Q1014&lt;&gt;"",ISNUMBER(M1014)),M1014,"")</f>
        <v/>
      </c>
    </row>
    <row r="1015">
      <c r="A1015" s="1" t="n"/>
      <c r="B1015" s="17" t="n"/>
      <c r="C1015" s="27" t="n"/>
      <c r="D1015" s="28" t="n"/>
      <c r="E1015" s="28" t="n"/>
      <c r="F1015" s="28" t="n"/>
      <c r="G1015" s="28" t="n"/>
      <c r="H1015" s="28" t="n"/>
      <c r="I1015" s="28" t="n"/>
      <c r="J1015" s="28" t="n"/>
      <c r="K1015" s="28" t="n"/>
      <c r="L1015" s="28" t="n"/>
      <c r="M1015" s="29" t="n"/>
      <c r="N1015" s="21" t="n"/>
      <c r="O1015" s="12">
        <f>IF(AND(B1015="",C1015=""),"",IF(NOT(ISNUMBER(B1015)),"Needs a date",IF(C1015="","Needs a client",IF(COUNTIF(Clients!$B$6:$B$105,C1015)=0,"Not on Clients",IF(COUNT(D1015:M1015)=0,"Nothing measured","")))))</f>
        <v/>
      </c>
      <c r="P1015" s="1">
        <f>IF(AND(O1015="",ISNUMBER(B1015)),INT(B1015),0)</f>
        <v/>
      </c>
      <c r="Q1015">
        <f>IF(AND(P1015&gt;0,C1015=Report!$C$5),P1015*10000+ROW(),"")</f>
        <v/>
      </c>
      <c r="R1015">
        <f>IF(AND(Q1015&lt;&gt;"",ISNUMBER(D1015)),Q1015,"")</f>
        <v/>
      </c>
      <c r="S1015">
        <f>IF(AND(Q1015&lt;&gt;"",ISNUMBER(E1015)),Q1015,"")</f>
        <v/>
      </c>
      <c r="T1015">
        <f>IF(AND(Q1015&lt;&gt;"",ISNUMBER(F1015)),Q1015,"")</f>
        <v/>
      </c>
      <c r="U1015">
        <f>IF(AND(Q1015&lt;&gt;"",ISNUMBER(G1015)),Q1015,"")</f>
        <v/>
      </c>
      <c r="V1015">
        <f>IF(AND(Q1015&lt;&gt;"",ISNUMBER(H1015)),Q1015,"")</f>
        <v/>
      </c>
      <c r="W1015">
        <f>IF(AND(Q1015&lt;&gt;"",ISNUMBER(I1015)),Q1015,"")</f>
        <v/>
      </c>
      <c r="X1015">
        <f>IF(AND(Q1015&lt;&gt;"",ISNUMBER(J1015)),Q1015,"")</f>
        <v/>
      </c>
      <c r="Y1015">
        <f>IF(AND(Q1015&lt;&gt;"",ISNUMBER(K1015)),Q1015,"")</f>
        <v/>
      </c>
      <c r="Z1015">
        <f>IF(AND(Q1015&lt;&gt;"",ISNUMBER(L1015)),Q1015,"")</f>
        <v/>
      </c>
      <c r="AA1015">
        <f>IF(AND(Q1015&lt;&gt;"",ISNUMBER(M1015)),Q1015,"")</f>
        <v/>
      </c>
      <c r="AB1015">
        <f>IF(AND(Q1015&lt;&gt;"",ISNUMBER(K1015)),K1015,"")</f>
        <v/>
      </c>
      <c r="AC1015">
        <f>IF(AND(Q1015&lt;&gt;"",ISNUMBER(L1015)),L1015,"")</f>
        <v/>
      </c>
      <c r="AD1015">
        <f>IF(AND(Q1015&lt;&gt;"",ISNUMBER(M1015)),M1015,"")</f>
        <v/>
      </c>
    </row>
    <row r="1016">
      <c r="A1016" s="1" t="n"/>
      <c r="B1016" s="17" t="n"/>
      <c r="C1016" s="27" t="n"/>
      <c r="D1016" s="28" t="n"/>
      <c r="E1016" s="28" t="n"/>
      <c r="F1016" s="28" t="n"/>
      <c r="G1016" s="28" t="n"/>
      <c r="H1016" s="28" t="n"/>
      <c r="I1016" s="28" t="n"/>
      <c r="J1016" s="28" t="n"/>
      <c r="K1016" s="28" t="n"/>
      <c r="L1016" s="28" t="n"/>
      <c r="M1016" s="29" t="n"/>
      <c r="N1016" s="21" t="n"/>
      <c r="O1016" s="12">
        <f>IF(AND(B1016="",C1016=""),"",IF(NOT(ISNUMBER(B1016)),"Needs a date",IF(C1016="","Needs a client",IF(COUNTIF(Clients!$B$6:$B$105,C1016)=0,"Not on Clients",IF(COUNT(D1016:M1016)=0,"Nothing measured","")))))</f>
        <v/>
      </c>
      <c r="P1016" s="1">
        <f>IF(AND(O1016="",ISNUMBER(B1016)),INT(B1016),0)</f>
        <v/>
      </c>
      <c r="Q1016">
        <f>IF(AND(P1016&gt;0,C1016=Report!$C$5),P1016*10000+ROW(),"")</f>
        <v/>
      </c>
      <c r="R1016">
        <f>IF(AND(Q1016&lt;&gt;"",ISNUMBER(D1016)),Q1016,"")</f>
        <v/>
      </c>
      <c r="S1016">
        <f>IF(AND(Q1016&lt;&gt;"",ISNUMBER(E1016)),Q1016,"")</f>
        <v/>
      </c>
      <c r="T1016">
        <f>IF(AND(Q1016&lt;&gt;"",ISNUMBER(F1016)),Q1016,"")</f>
        <v/>
      </c>
      <c r="U1016">
        <f>IF(AND(Q1016&lt;&gt;"",ISNUMBER(G1016)),Q1016,"")</f>
        <v/>
      </c>
      <c r="V1016">
        <f>IF(AND(Q1016&lt;&gt;"",ISNUMBER(H1016)),Q1016,"")</f>
        <v/>
      </c>
      <c r="W1016">
        <f>IF(AND(Q1016&lt;&gt;"",ISNUMBER(I1016)),Q1016,"")</f>
        <v/>
      </c>
      <c r="X1016">
        <f>IF(AND(Q1016&lt;&gt;"",ISNUMBER(J1016)),Q1016,"")</f>
        <v/>
      </c>
      <c r="Y1016">
        <f>IF(AND(Q1016&lt;&gt;"",ISNUMBER(K1016)),Q1016,"")</f>
        <v/>
      </c>
      <c r="Z1016">
        <f>IF(AND(Q1016&lt;&gt;"",ISNUMBER(L1016)),Q1016,"")</f>
        <v/>
      </c>
      <c r="AA1016">
        <f>IF(AND(Q1016&lt;&gt;"",ISNUMBER(M1016)),Q1016,"")</f>
        <v/>
      </c>
      <c r="AB1016">
        <f>IF(AND(Q1016&lt;&gt;"",ISNUMBER(K1016)),K1016,"")</f>
        <v/>
      </c>
      <c r="AC1016">
        <f>IF(AND(Q1016&lt;&gt;"",ISNUMBER(L1016)),L1016,"")</f>
        <v/>
      </c>
      <c r="AD1016">
        <f>IF(AND(Q1016&lt;&gt;"",ISNUMBER(M1016)),M1016,"")</f>
        <v/>
      </c>
    </row>
    <row r="1017">
      <c r="A1017" s="1" t="n"/>
      <c r="B1017" s="17" t="n"/>
      <c r="C1017" s="27" t="n"/>
      <c r="D1017" s="28" t="n"/>
      <c r="E1017" s="28" t="n"/>
      <c r="F1017" s="28" t="n"/>
      <c r="G1017" s="28" t="n"/>
      <c r="H1017" s="28" t="n"/>
      <c r="I1017" s="28" t="n"/>
      <c r="J1017" s="28" t="n"/>
      <c r="K1017" s="28" t="n"/>
      <c r="L1017" s="28" t="n"/>
      <c r="M1017" s="29" t="n"/>
      <c r="N1017" s="21" t="n"/>
      <c r="O1017" s="12">
        <f>IF(AND(B1017="",C1017=""),"",IF(NOT(ISNUMBER(B1017)),"Needs a date",IF(C1017="","Needs a client",IF(COUNTIF(Clients!$B$6:$B$105,C1017)=0,"Not on Clients",IF(COUNT(D1017:M1017)=0,"Nothing measured","")))))</f>
        <v/>
      </c>
      <c r="P1017" s="1">
        <f>IF(AND(O1017="",ISNUMBER(B1017)),INT(B1017),0)</f>
        <v/>
      </c>
      <c r="Q1017">
        <f>IF(AND(P1017&gt;0,C1017=Report!$C$5),P1017*10000+ROW(),"")</f>
        <v/>
      </c>
      <c r="R1017">
        <f>IF(AND(Q1017&lt;&gt;"",ISNUMBER(D1017)),Q1017,"")</f>
        <v/>
      </c>
      <c r="S1017">
        <f>IF(AND(Q1017&lt;&gt;"",ISNUMBER(E1017)),Q1017,"")</f>
        <v/>
      </c>
      <c r="T1017">
        <f>IF(AND(Q1017&lt;&gt;"",ISNUMBER(F1017)),Q1017,"")</f>
        <v/>
      </c>
      <c r="U1017">
        <f>IF(AND(Q1017&lt;&gt;"",ISNUMBER(G1017)),Q1017,"")</f>
        <v/>
      </c>
      <c r="V1017">
        <f>IF(AND(Q1017&lt;&gt;"",ISNUMBER(H1017)),Q1017,"")</f>
        <v/>
      </c>
      <c r="W1017">
        <f>IF(AND(Q1017&lt;&gt;"",ISNUMBER(I1017)),Q1017,"")</f>
        <v/>
      </c>
      <c r="X1017">
        <f>IF(AND(Q1017&lt;&gt;"",ISNUMBER(J1017)),Q1017,"")</f>
        <v/>
      </c>
      <c r="Y1017">
        <f>IF(AND(Q1017&lt;&gt;"",ISNUMBER(K1017)),Q1017,"")</f>
        <v/>
      </c>
      <c r="Z1017">
        <f>IF(AND(Q1017&lt;&gt;"",ISNUMBER(L1017)),Q1017,"")</f>
        <v/>
      </c>
      <c r="AA1017">
        <f>IF(AND(Q1017&lt;&gt;"",ISNUMBER(M1017)),Q1017,"")</f>
        <v/>
      </c>
      <c r="AB1017">
        <f>IF(AND(Q1017&lt;&gt;"",ISNUMBER(K1017)),K1017,"")</f>
        <v/>
      </c>
      <c r="AC1017">
        <f>IF(AND(Q1017&lt;&gt;"",ISNUMBER(L1017)),L1017,"")</f>
        <v/>
      </c>
      <c r="AD1017">
        <f>IF(AND(Q1017&lt;&gt;"",ISNUMBER(M1017)),M1017,"")</f>
        <v/>
      </c>
    </row>
    <row r="1018">
      <c r="A1018" s="1" t="n"/>
      <c r="B1018" s="17" t="n"/>
      <c r="C1018" s="27" t="n"/>
      <c r="D1018" s="28" t="n"/>
      <c r="E1018" s="28" t="n"/>
      <c r="F1018" s="28" t="n"/>
      <c r="G1018" s="28" t="n"/>
      <c r="H1018" s="28" t="n"/>
      <c r="I1018" s="28" t="n"/>
      <c r="J1018" s="28" t="n"/>
      <c r="K1018" s="28" t="n"/>
      <c r="L1018" s="28" t="n"/>
      <c r="M1018" s="29" t="n"/>
      <c r="N1018" s="21" t="n"/>
      <c r="O1018" s="12">
        <f>IF(AND(B1018="",C1018=""),"",IF(NOT(ISNUMBER(B1018)),"Needs a date",IF(C1018="","Needs a client",IF(COUNTIF(Clients!$B$6:$B$105,C1018)=0,"Not on Clients",IF(COUNT(D1018:M1018)=0,"Nothing measured","")))))</f>
        <v/>
      </c>
      <c r="P1018" s="1">
        <f>IF(AND(O1018="",ISNUMBER(B1018)),INT(B1018),0)</f>
        <v/>
      </c>
      <c r="Q1018">
        <f>IF(AND(P1018&gt;0,C1018=Report!$C$5),P1018*10000+ROW(),"")</f>
        <v/>
      </c>
      <c r="R1018">
        <f>IF(AND(Q1018&lt;&gt;"",ISNUMBER(D1018)),Q1018,"")</f>
        <v/>
      </c>
      <c r="S1018">
        <f>IF(AND(Q1018&lt;&gt;"",ISNUMBER(E1018)),Q1018,"")</f>
        <v/>
      </c>
      <c r="T1018">
        <f>IF(AND(Q1018&lt;&gt;"",ISNUMBER(F1018)),Q1018,"")</f>
        <v/>
      </c>
      <c r="U1018">
        <f>IF(AND(Q1018&lt;&gt;"",ISNUMBER(G1018)),Q1018,"")</f>
        <v/>
      </c>
      <c r="V1018">
        <f>IF(AND(Q1018&lt;&gt;"",ISNUMBER(H1018)),Q1018,"")</f>
        <v/>
      </c>
      <c r="W1018">
        <f>IF(AND(Q1018&lt;&gt;"",ISNUMBER(I1018)),Q1018,"")</f>
        <v/>
      </c>
      <c r="X1018">
        <f>IF(AND(Q1018&lt;&gt;"",ISNUMBER(J1018)),Q1018,"")</f>
        <v/>
      </c>
      <c r="Y1018">
        <f>IF(AND(Q1018&lt;&gt;"",ISNUMBER(K1018)),Q1018,"")</f>
        <v/>
      </c>
      <c r="Z1018">
        <f>IF(AND(Q1018&lt;&gt;"",ISNUMBER(L1018)),Q1018,"")</f>
        <v/>
      </c>
      <c r="AA1018">
        <f>IF(AND(Q1018&lt;&gt;"",ISNUMBER(M1018)),Q1018,"")</f>
        <v/>
      </c>
      <c r="AB1018">
        <f>IF(AND(Q1018&lt;&gt;"",ISNUMBER(K1018)),K1018,"")</f>
        <v/>
      </c>
      <c r="AC1018">
        <f>IF(AND(Q1018&lt;&gt;"",ISNUMBER(L1018)),L1018,"")</f>
        <v/>
      </c>
      <c r="AD1018">
        <f>IF(AND(Q1018&lt;&gt;"",ISNUMBER(M1018)),M1018,"")</f>
        <v/>
      </c>
    </row>
    <row r="1019">
      <c r="A1019" s="1" t="n"/>
      <c r="B1019" s="17" t="n"/>
      <c r="C1019" s="27" t="n"/>
      <c r="D1019" s="28" t="n"/>
      <c r="E1019" s="28" t="n"/>
      <c r="F1019" s="28" t="n"/>
      <c r="G1019" s="28" t="n"/>
      <c r="H1019" s="28" t="n"/>
      <c r="I1019" s="28" t="n"/>
      <c r="J1019" s="28" t="n"/>
      <c r="K1019" s="28" t="n"/>
      <c r="L1019" s="28" t="n"/>
      <c r="M1019" s="29" t="n"/>
      <c r="N1019" s="21" t="n"/>
      <c r="O1019" s="12">
        <f>IF(AND(B1019="",C1019=""),"",IF(NOT(ISNUMBER(B1019)),"Needs a date",IF(C1019="","Needs a client",IF(COUNTIF(Clients!$B$6:$B$105,C1019)=0,"Not on Clients",IF(COUNT(D1019:M1019)=0,"Nothing measured","")))))</f>
        <v/>
      </c>
      <c r="P1019" s="1">
        <f>IF(AND(O1019="",ISNUMBER(B1019)),INT(B1019),0)</f>
        <v/>
      </c>
      <c r="Q1019">
        <f>IF(AND(P1019&gt;0,C1019=Report!$C$5),P1019*10000+ROW(),"")</f>
        <v/>
      </c>
      <c r="R1019">
        <f>IF(AND(Q1019&lt;&gt;"",ISNUMBER(D1019)),Q1019,"")</f>
        <v/>
      </c>
      <c r="S1019">
        <f>IF(AND(Q1019&lt;&gt;"",ISNUMBER(E1019)),Q1019,"")</f>
        <v/>
      </c>
      <c r="T1019">
        <f>IF(AND(Q1019&lt;&gt;"",ISNUMBER(F1019)),Q1019,"")</f>
        <v/>
      </c>
      <c r="U1019">
        <f>IF(AND(Q1019&lt;&gt;"",ISNUMBER(G1019)),Q1019,"")</f>
        <v/>
      </c>
      <c r="V1019">
        <f>IF(AND(Q1019&lt;&gt;"",ISNUMBER(H1019)),Q1019,"")</f>
        <v/>
      </c>
      <c r="W1019">
        <f>IF(AND(Q1019&lt;&gt;"",ISNUMBER(I1019)),Q1019,"")</f>
        <v/>
      </c>
      <c r="X1019">
        <f>IF(AND(Q1019&lt;&gt;"",ISNUMBER(J1019)),Q1019,"")</f>
        <v/>
      </c>
      <c r="Y1019">
        <f>IF(AND(Q1019&lt;&gt;"",ISNUMBER(K1019)),Q1019,"")</f>
        <v/>
      </c>
      <c r="Z1019">
        <f>IF(AND(Q1019&lt;&gt;"",ISNUMBER(L1019)),Q1019,"")</f>
        <v/>
      </c>
      <c r="AA1019">
        <f>IF(AND(Q1019&lt;&gt;"",ISNUMBER(M1019)),Q1019,"")</f>
        <v/>
      </c>
      <c r="AB1019">
        <f>IF(AND(Q1019&lt;&gt;"",ISNUMBER(K1019)),K1019,"")</f>
        <v/>
      </c>
      <c r="AC1019">
        <f>IF(AND(Q1019&lt;&gt;"",ISNUMBER(L1019)),L1019,"")</f>
        <v/>
      </c>
      <c r="AD1019">
        <f>IF(AND(Q1019&lt;&gt;"",ISNUMBER(M1019)),M1019,"")</f>
        <v/>
      </c>
    </row>
    <row r="1020">
      <c r="A1020" s="1" t="n"/>
      <c r="B1020" s="17" t="n"/>
      <c r="C1020" s="27" t="n"/>
      <c r="D1020" s="28" t="n"/>
      <c r="E1020" s="28" t="n"/>
      <c r="F1020" s="28" t="n"/>
      <c r="G1020" s="28" t="n"/>
      <c r="H1020" s="28" t="n"/>
      <c r="I1020" s="28" t="n"/>
      <c r="J1020" s="28" t="n"/>
      <c r="K1020" s="28" t="n"/>
      <c r="L1020" s="28" t="n"/>
      <c r="M1020" s="29" t="n"/>
      <c r="N1020" s="21" t="n"/>
      <c r="O1020" s="12">
        <f>IF(AND(B1020="",C1020=""),"",IF(NOT(ISNUMBER(B1020)),"Needs a date",IF(C1020="","Needs a client",IF(COUNTIF(Clients!$B$6:$B$105,C1020)=0,"Not on Clients",IF(COUNT(D1020:M1020)=0,"Nothing measured","")))))</f>
        <v/>
      </c>
      <c r="P1020" s="1">
        <f>IF(AND(O1020="",ISNUMBER(B1020)),INT(B1020),0)</f>
        <v/>
      </c>
      <c r="Q1020">
        <f>IF(AND(P1020&gt;0,C1020=Report!$C$5),P1020*10000+ROW(),"")</f>
        <v/>
      </c>
      <c r="R1020">
        <f>IF(AND(Q1020&lt;&gt;"",ISNUMBER(D1020)),Q1020,"")</f>
        <v/>
      </c>
      <c r="S1020">
        <f>IF(AND(Q1020&lt;&gt;"",ISNUMBER(E1020)),Q1020,"")</f>
        <v/>
      </c>
      <c r="T1020">
        <f>IF(AND(Q1020&lt;&gt;"",ISNUMBER(F1020)),Q1020,"")</f>
        <v/>
      </c>
      <c r="U1020">
        <f>IF(AND(Q1020&lt;&gt;"",ISNUMBER(G1020)),Q1020,"")</f>
        <v/>
      </c>
      <c r="V1020">
        <f>IF(AND(Q1020&lt;&gt;"",ISNUMBER(H1020)),Q1020,"")</f>
        <v/>
      </c>
      <c r="W1020">
        <f>IF(AND(Q1020&lt;&gt;"",ISNUMBER(I1020)),Q1020,"")</f>
        <v/>
      </c>
      <c r="X1020">
        <f>IF(AND(Q1020&lt;&gt;"",ISNUMBER(J1020)),Q1020,"")</f>
        <v/>
      </c>
      <c r="Y1020">
        <f>IF(AND(Q1020&lt;&gt;"",ISNUMBER(K1020)),Q1020,"")</f>
        <v/>
      </c>
      <c r="Z1020">
        <f>IF(AND(Q1020&lt;&gt;"",ISNUMBER(L1020)),Q1020,"")</f>
        <v/>
      </c>
      <c r="AA1020">
        <f>IF(AND(Q1020&lt;&gt;"",ISNUMBER(M1020)),Q1020,"")</f>
        <v/>
      </c>
      <c r="AB1020">
        <f>IF(AND(Q1020&lt;&gt;"",ISNUMBER(K1020)),K1020,"")</f>
        <v/>
      </c>
      <c r="AC1020">
        <f>IF(AND(Q1020&lt;&gt;"",ISNUMBER(L1020)),L1020,"")</f>
        <v/>
      </c>
      <c r="AD1020">
        <f>IF(AND(Q1020&lt;&gt;"",ISNUMBER(M1020)),M1020,"")</f>
        <v/>
      </c>
    </row>
    <row r="1021">
      <c r="A1021" s="1" t="n"/>
      <c r="B1021" s="17" t="n"/>
      <c r="C1021" s="27" t="n"/>
      <c r="D1021" s="28" t="n"/>
      <c r="E1021" s="28" t="n"/>
      <c r="F1021" s="28" t="n"/>
      <c r="G1021" s="28" t="n"/>
      <c r="H1021" s="28" t="n"/>
      <c r="I1021" s="28" t="n"/>
      <c r="J1021" s="28" t="n"/>
      <c r="K1021" s="28" t="n"/>
      <c r="L1021" s="28" t="n"/>
      <c r="M1021" s="29" t="n"/>
      <c r="N1021" s="21" t="n"/>
      <c r="O1021" s="12">
        <f>IF(AND(B1021="",C1021=""),"",IF(NOT(ISNUMBER(B1021)),"Needs a date",IF(C1021="","Needs a client",IF(COUNTIF(Clients!$B$6:$B$105,C1021)=0,"Not on Clients",IF(COUNT(D1021:M1021)=0,"Nothing measured","")))))</f>
        <v/>
      </c>
      <c r="P1021" s="1">
        <f>IF(AND(O1021="",ISNUMBER(B1021)),INT(B1021),0)</f>
        <v/>
      </c>
      <c r="Q1021">
        <f>IF(AND(P1021&gt;0,C1021=Report!$C$5),P1021*10000+ROW(),"")</f>
        <v/>
      </c>
      <c r="R1021">
        <f>IF(AND(Q1021&lt;&gt;"",ISNUMBER(D1021)),Q1021,"")</f>
        <v/>
      </c>
      <c r="S1021">
        <f>IF(AND(Q1021&lt;&gt;"",ISNUMBER(E1021)),Q1021,"")</f>
        <v/>
      </c>
      <c r="T1021">
        <f>IF(AND(Q1021&lt;&gt;"",ISNUMBER(F1021)),Q1021,"")</f>
        <v/>
      </c>
      <c r="U1021">
        <f>IF(AND(Q1021&lt;&gt;"",ISNUMBER(G1021)),Q1021,"")</f>
        <v/>
      </c>
      <c r="V1021">
        <f>IF(AND(Q1021&lt;&gt;"",ISNUMBER(H1021)),Q1021,"")</f>
        <v/>
      </c>
      <c r="W1021">
        <f>IF(AND(Q1021&lt;&gt;"",ISNUMBER(I1021)),Q1021,"")</f>
        <v/>
      </c>
      <c r="X1021">
        <f>IF(AND(Q1021&lt;&gt;"",ISNUMBER(J1021)),Q1021,"")</f>
        <v/>
      </c>
      <c r="Y1021">
        <f>IF(AND(Q1021&lt;&gt;"",ISNUMBER(K1021)),Q1021,"")</f>
        <v/>
      </c>
      <c r="Z1021">
        <f>IF(AND(Q1021&lt;&gt;"",ISNUMBER(L1021)),Q1021,"")</f>
        <v/>
      </c>
      <c r="AA1021">
        <f>IF(AND(Q1021&lt;&gt;"",ISNUMBER(M1021)),Q1021,"")</f>
        <v/>
      </c>
      <c r="AB1021">
        <f>IF(AND(Q1021&lt;&gt;"",ISNUMBER(K1021)),K1021,"")</f>
        <v/>
      </c>
      <c r="AC1021">
        <f>IF(AND(Q1021&lt;&gt;"",ISNUMBER(L1021)),L1021,"")</f>
        <v/>
      </c>
      <c r="AD1021">
        <f>IF(AND(Q1021&lt;&gt;"",ISNUMBER(M1021)),M1021,"")</f>
        <v/>
      </c>
    </row>
    <row r="1022">
      <c r="A1022" s="1" t="n"/>
      <c r="B1022" s="17" t="n"/>
      <c r="C1022" s="27" t="n"/>
      <c r="D1022" s="28" t="n"/>
      <c r="E1022" s="28" t="n"/>
      <c r="F1022" s="28" t="n"/>
      <c r="G1022" s="28" t="n"/>
      <c r="H1022" s="28" t="n"/>
      <c r="I1022" s="28" t="n"/>
      <c r="J1022" s="28" t="n"/>
      <c r="K1022" s="28" t="n"/>
      <c r="L1022" s="28" t="n"/>
      <c r="M1022" s="29" t="n"/>
      <c r="N1022" s="21" t="n"/>
      <c r="O1022" s="12">
        <f>IF(AND(B1022="",C1022=""),"",IF(NOT(ISNUMBER(B1022)),"Needs a date",IF(C1022="","Needs a client",IF(COUNTIF(Clients!$B$6:$B$105,C1022)=0,"Not on Clients",IF(COUNT(D1022:M1022)=0,"Nothing measured","")))))</f>
        <v/>
      </c>
      <c r="P1022" s="1">
        <f>IF(AND(O1022="",ISNUMBER(B1022)),INT(B1022),0)</f>
        <v/>
      </c>
      <c r="Q1022">
        <f>IF(AND(P1022&gt;0,C1022=Report!$C$5),P1022*10000+ROW(),"")</f>
        <v/>
      </c>
      <c r="R1022">
        <f>IF(AND(Q1022&lt;&gt;"",ISNUMBER(D1022)),Q1022,"")</f>
        <v/>
      </c>
      <c r="S1022">
        <f>IF(AND(Q1022&lt;&gt;"",ISNUMBER(E1022)),Q1022,"")</f>
        <v/>
      </c>
      <c r="T1022">
        <f>IF(AND(Q1022&lt;&gt;"",ISNUMBER(F1022)),Q1022,"")</f>
        <v/>
      </c>
      <c r="U1022">
        <f>IF(AND(Q1022&lt;&gt;"",ISNUMBER(G1022)),Q1022,"")</f>
        <v/>
      </c>
      <c r="V1022">
        <f>IF(AND(Q1022&lt;&gt;"",ISNUMBER(H1022)),Q1022,"")</f>
        <v/>
      </c>
      <c r="W1022">
        <f>IF(AND(Q1022&lt;&gt;"",ISNUMBER(I1022)),Q1022,"")</f>
        <v/>
      </c>
      <c r="X1022">
        <f>IF(AND(Q1022&lt;&gt;"",ISNUMBER(J1022)),Q1022,"")</f>
        <v/>
      </c>
      <c r="Y1022">
        <f>IF(AND(Q1022&lt;&gt;"",ISNUMBER(K1022)),Q1022,"")</f>
        <v/>
      </c>
      <c r="Z1022">
        <f>IF(AND(Q1022&lt;&gt;"",ISNUMBER(L1022)),Q1022,"")</f>
        <v/>
      </c>
      <c r="AA1022">
        <f>IF(AND(Q1022&lt;&gt;"",ISNUMBER(M1022)),Q1022,"")</f>
        <v/>
      </c>
      <c r="AB1022">
        <f>IF(AND(Q1022&lt;&gt;"",ISNUMBER(K1022)),K1022,"")</f>
        <v/>
      </c>
      <c r="AC1022">
        <f>IF(AND(Q1022&lt;&gt;"",ISNUMBER(L1022)),L1022,"")</f>
        <v/>
      </c>
      <c r="AD1022">
        <f>IF(AND(Q1022&lt;&gt;"",ISNUMBER(M1022)),M1022,"")</f>
        <v/>
      </c>
    </row>
    <row r="1023">
      <c r="A1023" s="1" t="n"/>
      <c r="B1023" s="17" t="n"/>
      <c r="C1023" s="27" t="n"/>
      <c r="D1023" s="28" t="n"/>
      <c r="E1023" s="28" t="n"/>
      <c r="F1023" s="28" t="n"/>
      <c r="G1023" s="28" t="n"/>
      <c r="H1023" s="28" t="n"/>
      <c r="I1023" s="28" t="n"/>
      <c r="J1023" s="28" t="n"/>
      <c r="K1023" s="28" t="n"/>
      <c r="L1023" s="28" t="n"/>
      <c r="M1023" s="29" t="n"/>
      <c r="N1023" s="21" t="n"/>
      <c r="O1023" s="12">
        <f>IF(AND(B1023="",C1023=""),"",IF(NOT(ISNUMBER(B1023)),"Needs a date",IF(C1023="","Needs a client",IF(COUNTIF(Clients!$B$6:$B$105,C1023)=0,"Not on Clients",IF(COUNT(D1023:M1023)=0,"Nothing measured","")))))</f>
        <v/>
      </c>
      <c r="P1023" s="1">
        <f>IF(AND(O1023="",ISNUMBER(B1023)),INT(B1023),0)</f>
        <v/>
      </c>
      <c r="Q1023">
        <f>IF(AND(P1023&gt;0,C1023=Report!$C$5),P1023*10000+ROW(),"")</f>
        <v/>
      </c>
      <c r="R1023">
        <f>IF(AND(Q1023&lt;&gt;"",ISNUMBER(D1023)),Q1023,"")</f>
        <v/>
      </c>
      <c r="S1023">
        <f>IF(AND(Q1023&lt;&gt;"",ISNUMBER(E1023)),Q1023,"")</f>
        <v/>
      </c>
      <c r="T1023">
        <f>IF(AND(Q1023&lt;&gt;"",ISNUMBER(F1023)),Q1023,"")</f>
        <v/>
      </c>
      <c r="U1023">
        <f>IF(AND(Q1023&lt;&gt;"",ISNUMBER(G1023)),Q1023,"")</f>
        <v/>
      </c>
      <c r="V1023">
        <f>IF(AND(Q1023&lt;&gt;"",ISNUMBER(H1023)),Q1023,"")</f>
        <v/>
      </c>
      <c r="W1023">
        <f>IF(AND(Q1023&lt;&gt;"",ISNUMBER(I1023)),Q1023,"")</f>
        <v/>
      </c>
      <c r="X1023">
        <f>IF(AND(Q1023&lt;&gt;"",ISNUMBER(J1023)),Q1023,"")</f>
        <v/>
      </c>
      <c r="Y1023">
        <f>IF(AND(Q1023&lt;&gt;"",ISNUMBER(K1023)),Q1023,"")</f>
        <v/>
      </c>
      <c r="Z1023">
        <f>IF(AND(Q1023&lt;&gt;"",ISNUMBER(L1023)),Q1023,"")</f>
        <v/>
      </c>
      <c r="AA1023">
        <f>IF(AND(Q1023&lt;&gt;"",ISNUMBER(M1023)),Q1023,"")</f>
        <v/>
      </c>
      <c r="AB1023">
        <f>IF(AND(Q1023&lt;&gt;"",ISNUMBER(K1023)),K1023,"")</f>
        <v/>
      </c>
      <c r="AC1023">
        <f>IF(AND(Q1023&lt;&gt;"",ISNUMBER(L1023)),L1023,"")</f>
        <v/>
      </c>
      <c r="AD1023">
        <f>IF(AND(Q1023&lt;&gt;"",ISNUMBER(M1023)),M1023,"")</f>
        <v/>
      </c>
    </row>
    <row r="1024">
      <c r="A1024" s="1" t="n"/>
      <c r="B1024" s="17" t="n"/>
      <c r="C1024" s="27" t="n"/>
      <c r="D1024" s="28" t="n"/>
      <c r="E1024" s="28" t="n"/>
      <c r="F1024" s="28" t="n"/>
      <c r="G1024" s="28" t="n"/>
      <c r="H1024" s="28" t="n"/>
      <c r="I1024" s="28" t="n"/>
      <c r="J1024" s="28" t="n"/>
      <c r="K1024" s="28" t="n"/>
      <c r="L1024" s="28" t="n"/>
      <c r="M1024" s="29" t="n"/>
      <c r="N1024" s="21" t="n"/>
      <c r="O1024" s="12">
        <f>IF(AND(B1024="",C1024=""),"",IF(NOT(ISNUMBER(B1024)),"Needs a date",IF(C1024="","Needs a client",IF(COUNTIF(Clients!$B$6:$B$105,C1024)=0,"Not on Clients",IF(COUNT(D1024:M1024)=0,"Nothing measured","")))))</f>
        <v/>
      </c>
      <c r="P1024" s="1">
        <f>IF(AND(O1024="",ISNUMBER(B1024)),INT(B1024),0)</f>
        <v/>
      </c>
      <c r="Q1024">
        <f>IF(AND(P1024&gt;0,C1024=Report!$C$5),P1024*10000+ROW(),"")</f>
        <v/>
      </c>
      <c r="R1024">
        <f>IF(AND(Q1024&lt;&gt;"",ISNUMBER(D1024)),Q1024,"")</f>
        <v/>
      </c>
      <c r="S1024">
        <f>IF(AND(Q1024&lt;&gt;"",ISNUMBER(E1024)),Q1024,"")</f>
        <v/>
      </c>
      <c r="T1024">
        <f>IF(AND(Q1024&lt;&gt;"",ISNUMBER(F1024)),Q1024,"")</f>
        <v/>
      </c>
      <c r="U1024">
        <f>IF(AND(Q1024&lt;&gt;"",ISNUMBER(G1024)),Q1024,"")</f>
        <v/>
      </c>
      <c r="V1024">
        <f>IF(AND(Q1024&lt;&gt;"",ISNUMBER(H1024)),Q1024,"")</f>
        <v/>
      </c>
      <c r="W1024">
        <f>IF(AND(Q1024&lt;&gt;"",ISNUMBER(I1024)),Q1024,"")</f>
        <v/>
      </c>
      <c r="X1024">
        <f>IF(AND(Q1024&lt;&gt;"",ISNUMBER(J1024)),Q1024,"")</f>
        <v/>
      </c>
      <c r="Y1024">
        <f>IF(AND(Q1024&lt;&gt;"",ISNUMBER(K1024)),Q1024,"")</f>
        <v/>
      </c>
      <c r="Z1024">
        <f>IF(AND(Q1024&lt;&gt;"",ISNUMBER(L1024)),Q1024,"")</f>
        <v/>
      </c>
      <c r="AA1024">
        <f>IF(AND(Q1024&lt;&gt;"",ISNUMBER(M1024)),Q1024,"")</f>
        <v/>
      </c>
      <c r="AB1024">
        <f>IF(AND(Q1024&lt;&gt;"",ISNUMBER(K1024)),K1024,"")</f>
        <v/>
      </c>
      <c r="AC1024">
        <f>IF(AND(Q1024&lt;&gt;"",ISNUMBER(L1024)),L1024,"")</f>
        <v/>
      </c>
      <c r="AD1024">
        <f>IF(AND(Q1024&lt;&gt;"",ISNUMBER(M1024)),M1024,"")</f>
        <v/>
      </c>
    </row>
    <row r="1025">
      <c r="A1025" s="1" t="n"/>
      <c r="B1025" s="17" t="n"/>
      <c r="C1025" s="27" t="n"/>
      <c r="D1025" s="28" t="n"/>
      <c r="E1025" s="28" t="n"/>
      <c r="F1025" s="28" t="n"/>
      <c r="G1025" s="28" t="n"/>
      <c r="H1025" s="28" t="n"/>
      <c r="I1025" s="28" t="n"/>
      <c r="J1025" s="28" t="n"/>
      <c r="K1025" s="28" t="n"/>
      <c r="L1025" s="28" t="n"/>
      <c r="M1025" s="29" t="n"/>
      <c r="N1025" s="21" t="n"/>
      <c r="O1025" s="12">
        <f>IF(AND(B1025="",C1025=""),"",IF(NOT(ISNUMBER(B1025)),"Needs a date",IF(C1025="","Needs a client",IF(COUNTIF(Clients!$B$6:$B$105,C1025)=0,"Not on Clients",IF(COUNT(D1025:M1025)=0,"Nothing measured","")))))</f>
        <v/>
      </c>
      <c r="P1025" s="1">
        <f>IF(AND(O1025="",ISNUMBER(B1025)),INT(B1025),0)</f>
        <v/>
      </c>
      <c r="Q1025">
        <f>IF(AND(P1025&gt;0,C1025=Report!$C$5),P1025*10000+ROW(),"")</f>
        <v/>
      </c>
      <c r="R1025">
        <f>IF(AND(Q1025&lt;&gt;"",ISNUMBER(D1025)),Q1025,"")</f>
        <v/>
      </c>
      <c r="S1025">
        <f>IF(AND(Q1025&lt;&gt;"",ISNUMBER(E1025)),Q1025,"")</f>
        <v/>
      </c>
      <c r="T1025">
        <f>IF(AND(Q1025&lt;&gt;"",ISNUMBER(F1025)),Q1025,"")</f>
        <v/>
      </c>
      <c r="U1025">
        <f>IF(AND(Q1025&lt;&gt;"",ISNUMBER(G1025)),Q1025,"")</f>
        <v/>
      </c>
      <c r="V1025">
        <f>IF(AND(Q1025&lt;&gt;"",ISNUMBER(H1025)),Q1025,"")</f>
        <v/>
      </c>
      <c r="W1025">
        <f>IF(AND(Q1025&lt;&gt;"",ISNUMBER(I1025)),Q1025,"")</f>
        <v/>
      </c>
      <c r="X1025">
        <f>IF(AND(Q1025&lt;&gt;"",ISNUMBER(J1025)),Q1025,"")</f>
        <v/>
      </c>
      <c r="Y1025">
        <f>IF(AND(Q1025&lt;&gt;"",ISNUMBER(K1025)),Q1025,"")</f>
        <v/>
      </c>
      <c r="Z1025">
        <f>IF(AND(Q1025&lt;&gt;"",ISNUMBER(L1025)),Q1025,"")</f>
        <v/>
      </c>
      <c r="AA1025">
        <f>IF(AND(Q1025&lt;&gt;"",ISNUMBER(M1025)),Q1025,"")</f>
        <v/>
      </c>
      <c r="AB1025">
        <f>IF(AND(Q1025&lt;&gt;"",ISNUMBER(K1025)),K1025,"")</f>
        <v/>
      </c>
      <c r="AC1025">
        <f>IF(AND(Q1025&lt;&gt;"",ISNUMBER(L1025)),L1025,"")</f>
        <v/>
      </c>
      <c r="AD1025">
        <f>IF(AND(Q1025&lt;&gt;"",ISNUMBER(M1025)),M1025,"")</f>
        <v/>
      </c>
    </row>
    <row r="1026">
      <c r="A1026" s="1" t="n"/>
      <c r="B1026" s="17" t="n"/>
      <c r="C1026" s="27" t="n"/>
      <c r="D1026" s="28" t="n"/>
      <c r="E1026" s="28" t="n"/>
      <c r="F1026" s="28" t="n"/>
      <c r="G1026" s="28" t="n"/>
      <c r="H1026" s="28" t="n"/>
      <c r="I1026" s="28" t="n"/>
      <c r="J1026" s="28" t="n"/>
      <c r="K1026" s="28" t="n"/>
      <c r="L1026" s="28" t="n"/>
      <c r="M1026" s="29" t="n"/>
      <c r="N1026" s="21" t="n"/>
      <c r="O1026" s="12">
        <f>IF(AND(B1026="",C1026=""),"",IF(NOT(ISNUMBER(B1026)),"Needs a date",IF(C1026="","Needs a client",IF(COUNTIF(Clients!$B$6:$B$105,C1026)=0,"Not on Clients",IF(COUNT(D1026:M1026)=0,"Nothing measured","")))))</f>
        <v/>
      </c>
      <c r="P1026" s="1">
        <f>IF(AND(O1026="",ISNUMBER(B1026)),INT(B1026),0)</f>
        <v/>
      </c>
      <c r="Q1026">
        <f>IF(AND(P1026&gt;0,C1026=Report!$C$5),P1026*10000+ROW(),"")</f>
        <v/>
      </c>
      <c r="R1026">
        <f>IF(AND(Q1026&lt;&gt;"",ISNUMBER(D1026)),Q1026,"")</f>
        <v/>
      </c>
      <c r="S1026">
        <f>IF(AND(Q1026&lt;&gt;"",ISNUMBER(E1026)),Q1026,"")</f>
        <v/>
      </c>
      <c r="T1026">
        <f>IF(AND(Q1026&lt;&gt;"",ISNUMBER(F1026)),Q1026,"")</f>
        <v/>
      </c>
      <c r="U1026">
        <f>IF(AND(Q1026&lt;&gt;"",ISNUMBER(G1026)),Q1026,"")</f>
        <v/>
      </c>
      <c r="V1026">
        <f>IF(AND(Q1026&lt;&gt;"",ISNUMBER(H1026)),Q1026,"")</f>
        <v/>
      </c>
      <c r="W1026">
        <f>IF(AND(Q1026&lt;&gt;"",ISNUMBER(I1026)),Q1026,"")</f>
        <v/>
      </c>
      <c r="X1026">
        <f>IF(AND(Q1026&lt;&gt;"",ISNUMBER(J1026)),Q1026,"")</f>
        <v/>
      </c>
      <c r="Y1026">
        <f>IF(AND(Q1026&lt;&gt;"",ISNUMBER(K1026)),Q1026,"")</f>
        <v/>
      </c>
      <c r="Z1026">
        <f>IF(AND(Q1026&lt;&gt;"",ISNUMBER(L1026)),Q1026,"")</f>
        <v/>
      </c>
      <c r="AA1026">
        <f>IF(AND(Q1026&lt;&gt;"",ISNUMBER(M1026)),Q1026,"")</f>
        <v/>
      </c>
      <c r="AB1026">
        <f>IF(AND(Q1026&lt;&gt;"",ISNUMBER(K1026)),K1026,"")</f>
        <v/>
      </c>
      <c r="AC1026">
        <f>IF(AND(Q1026&lt;&gt;"",ISNUMBER(L1026)),L1026,"")</f>
        <v/>
      </c>
      <c r="AD1026">
        <f>IF(AND(Q1026&lt;&gt;"",ISNUMBER(M1026)),M1026,"")</f>
        <v/>
      </c>
    </row>
    <row r="1027">
      <c r="A1027" s="1" t="n"/>
      <c r="B1027" s="17" t="n"/>
      <c r="C1027" s="27" t="n"/>
      <c r="D1027" s="28" t="n"/>
      <c r="E1027" s="28" t="n"/>
      <c r="F1027" s="28" t="n"/>
      <c r="G1027" s="28" t="n"/>
      <c r="H1027" s="28" t="n"/>
      <c r="I1027" s="28" t="n"/>
      <c r="J1027" s="28" t="n"/>
      <c r="K1027" s="28" t="n"/>
      <c r="L1027" s="28" t="n"/>
      <c r="M1027" s="29" t="n"/>
      <c r="N1027" s="21" t="n"/>
      <c r="O1027" s="12">
        <f>IF(AND(B1027="",C1027=""),"",IF(NOT(ISNUMBER(B1027)),"Needs a date",IF(C1027="","Needs a client",IF(COUNTIF(Clients!$B$6:$B$105,C1027)=0,"Not on Clients",IF(COUNT(D1027:M1027)=0,"Nothing measured","")))))</f>
        <v/>
      </c>
      <c r="P1027" s="1">
        <f>IF(AND(O1027="",ISNUMBER(B1027)),INT(B1027),0)</f>
        <v/>
      </c>
      <c r="Q1027">
        <f>IF(AND(P1027&gt;0,C1027=Report!$C$5),P1027*10000+ROW(),"")</f>
        <v/>
      </c>
      <c r="R1027">
        <f>IF(AND(Q1027&lt;&gt;"",ISNUMBER(D1027)),Q1027,"")</f>
        <v/>
      </c>
      <c r="S1027">
        <f>IF(AND(Q1027&lt;&gt;"",ISNUMBER(E1027)),Q1027,"")</f>
        <v/>
      </c>
      <c r="T1027">
        <f>IF(AND(Q1027&lt;&gt;"",ISNUMBER(F1027)),Q1027,"")</f>
        <v/>
      </c>
      <c r="U1027">
        <f>IF(AND(Q1027&lt;&gt;"",ISNUMBER(G1027)),Q1027,"")</f>
        <v/>
      </c>
      <c r="V1027">
        <f>IF(AND(Q1027&lt;&gt;"",ISNUMBER(H1027)),Q1027,"")</f>
        <v/>
      </c>
      <c r="W1027">
        <f>IF(AND(Q1027&lt;&gt;"",ISNUMBER(I1027)),Q1027,"")</f>
        <v/>
      </c>
      <c r="X1027">
        <f>IF(AND(Q1027&lt;&gt;"",ISNUMBER(J1027)),Q1027,"")</f>
        <v/>
      </c>
      <c r="Y1027">
        <f>IF(AND(Q1027&lt;&gt;"",ISNUMBER(K1027)),Q1027,"")</f>
        <v/>
      </c>
      <c r="Z1027">
        <f>IF(AND(Q1027&lt;&gt;"",ISNUMBER(L1027)),Q1027,"")</f>
        <v/>
      </c>
      <c r="AA1027">
        <f>IF(AND(Q1027&lt;&gt;"",ISNUMBER(M1027)),Q1027,"")</f>
        <v/>
      </c>
      <c r="AB1027">
        <f>IF(AND(Q1027&lt;&gt;"",ISNUMBER(K1027)),K1027,"")</f>
        <v/>
      </c>
      <c r="AC1027">
        <f>IF(AND(Q1027&lt;&gt;"",ISNUMBER(L1027)),L1027,"")</f>
        <v/>
      </c>
      <c r="AD1027">
        <f>IF(AND(Q1027&lt;&gt;"",ISNUMBER(M1027)),M1027,"")</f>
        <v/>
      </c>
    </row>
    <row r="1028">
      <c r="A1028" s="1" t="n"/>
      <c r="B1028" s="17" t="n"/>
      <c r="C1028" s="27" t="n"/>
      <c r="D1028" s="28" t="n"/>
      <c r="E1028" s="28" t="n"/>
      <c r="F1028" s="28" t="n"/>
      <c r="G1028" s="28" t="n"/>
      <c r="H1028" s="28" t="n"/>
      <c r="I1028" s="28" t="n"/>
      <c r="J1028" s="28" t="n"/>
      <c r="K1028" s="28" t="n"/>
      <c r="L1028" s="28" t="n"/>
      <c r="M1028" s="29" t="n"/>
      <c r="N1028" s="21" t="n"/>
      <c r="O1028" s="12">
        <f>IF(AND(B1028="",C1028=""),"",IF(NOT(ISNUMBER(B1028)),"Needs a date",IF(C1028="","Needs a client",IF(COUNTIF(Clients!$B$6:$B$105,C1028)=0,"Not on Clients",IF(COUNT(D1028:M1028)=0,"Nothing measured","")))))</f>
        <v/>
      </c>
      <c r="P1028" s="1">
        <f>IF(AND(O1028="",ISNUMBER(B1028)),INT(B1028),0)</f>
        <v/>
      </c>
      <c r="Q1028">
        <f>IF(AND(P1028&gt;0,C1028=Report!$C$5),P1028*10000+ROW(),"")</f>
        <v/>
      </c>
      <c r="R1028">
        <f>IF(AND(Q1028&lt;&gt;"",ISNUMBER(D1028)),Q1028,"")</f>
        <v/>
      </c>
      <c r="S1028">
        <f>IF(AND(Q1028&lt;&gt;"",ISNUMBER(E1028)),Q1028,"")</f>
        <v/>
      </c>
      <c r="T1028">
        <f>IF(AND(Q1028&lt;&gt;"",ISNUMBER(F1028)),Q1028,"")</f>
        <v/>
      </c>
      <c r="U1028">
        <f>IF(AND(Q1028&lt;&gt;"",ISNUMBER(G1028)),Q1028,"")</f>
        <v/>
      </c>
      <c r="V1028">
        <f>IF(AND(Q1028&lt;&gt;"",ISNUMBER(H1028)),Q1028,"")</f>
        <v/>
      </c>
      <c r="W1028">
        <f>IF(AND(Q1028&lt;&gt;"",ISNUMBER(I1028)),Q1028,"")</f>
        <v/>
      </c>
      <c r="X1028">
        <f>IF(AND(Q1028&lt;&gt;"",ISNUMBER(J1028)),Q1028,"")</f>
        <v/>
      </c>
      <c r="Y1028">
        <f>IF(AND(Q1028&lt;&gt;"",ISNUMBER(K1028)),Q1028,"")</f>
        <v/>
      </c>
      <c r="Z1028">
        <f>IF(AND(Q1028&lt;&gt;"",ISNUMBER(L1028)),Q1028,"")</f>
        <v/>
      </c>
      <c r="AA1028">
        <f>IF(AND(Q1028&lt;&gt;"",ISNUMBER(M1028)),Q1028,"")</f>
        <v/>
      </c>
      <c r="AB1028">
        <f>IF(AND(Q1028&lt;&gt;"",ISNUMBER(K1028)),K1028,"")</f>
        <v/>
      </c>
      <c r="AC1028">
        <f>IF(AND(Q1028&lt;&gt;"",ISNUMBER(L1028)),L1028,"")</f>
        <v/>
      </c>
      <c r="AD1028">
        <f>IF(AND(Q1028&lt;&gt;"",ISNUMBER(M1028)),M1028,"")</f>
        <v/>
      </c>
    </row>
    <row r="1029">
      <c r="A1029" s="1" t="n"/>
      <c r="B1029" s="17" t="n"/>
      <c r="C1029" s="27" t="n"/>
      <c r="D1029" s="28" t="n"/>
      <c r="E1029" s="28" t="n"/>
      <c r="F1029" s="28" t="n"/>
      <c r="G1029" s="28" t="n"/>
      <c r="H1029" s="28" t="n"/>
      <c r="I1029" s="28" t="n"/>
      <c r="J1029" s="28" t="n"/>
      <c r="K1029" s="28" t="n"/>
      <c r="L1029" s="28" t="n"/>
      <c r="M1029" s="29" t="n"/>
      <c r="N1029" s="21" t="n"/>
      <c r="O1029" s="12">
        <f>IF(AND(B1029="",C1029=""),"",IF(NOT(ISNUMBER(B1029)),"Needs a date",IF(C1029="","Needs a client",IF(COUNTIF(Clients!$B$6:$B$105,C1029)=0,"Not on Clients",IF(COUNT(D1029:M1029)=0,"Nothing measured","")))))</f>
        <v/>
      </c>
      <c r="P1029" s="1">
        <f>IF(AND(O1029="",ISNUMBER(B1029)),INT(B1029),0)</f>
        <v/>
      </c>
      <c r="Q1029">
        <f>IF(AND(P1029&gt;0,C1029=Report!$C$5),P1029*10000+ROW(),"")</f>
        <v/>
      </c>
      <c r="R1029">
        <f>IF(AND(Q1029&lt;&gt;"",ISNUMBER(D1029)),Q1029,"")</f>
        <v/>
      </c>
      <c r="S1029">
        <f>IF(AND(Q1029&lt;&gt;"",ISNUMBER(E1029)),Q1029,"")</f>
        <v/>
      </c>
      <c r="T1029">
        <f>IF(AND(Q1029&lt;&gt;"",ISNUMBER(F1029)),Q1029,"")</f>
        <v/>
      </c>
      <c r="U1029">
        <f>IF(AND(Q1029&lt;&gt;"",ISNUMBER(G1029)),Q1029,"")</f>
        <v/>
      </c>
      <c r="V1029">
        <f>IF(AND(Q1029&lt;&gt;"",ISNUMBER(H1029)),Q1029,"")</f>
        <v/>
      </c>
      <c r="W1029">
        <f>IF(AND(Q1029&lt;&gt;"",ISNUMBER(I1029)),Q1029,"")</f>
        <v/>
      </c>
      <c r="X1029">
        <f>IF(AND(Q1029&lt;&gt;"",ISNUMBER(J1029)),Q1029,"")</f>
        <v/>
      </c>
      <c r="Y1029">
        <f>IF(AND(Q1029&lt;&gt;"",ISNUMBER(K1029)),Q1029,"")</f>
        <v/>
      </c>
      <c r="Z1029">
        <f>IF(AND(Q1029&lt;&gt;"",ISNUMBER(L1029)),Q1029,"")</f>
        <v/>
      </c>
      <c r="AA1029">
        <f>IF(AND(Q1029&lt;&gt;"",ISNUMBER(M1029)),Q1029,"")</f>
        <v/>
      </c>
      <c r="AB1029">
        <f>IF(AND(Q1029&lt;&gt;"",ISNUMBER(K1029)),K1029,"")</f>
        <v/>
      </c>
      <c r="AC1029">
        <f>IF(AND(Q1029&lt;&gt;"",ISNUMBER(L1029)),L1029,"")</f>
        <v/>
      </c>
      <c r="AD1029">
        <f>IF(AND(Q1029&lt;&gt;"",ISNUMBER(M1029)),M1029,"")</f>
        <v/>
      </c>
    </row>
    <row r="1030">
      <c r="A1030" s="1" t="n"/>
      <c r="B1030" s="17" t="n"/>
      <c r="C1030" s="27" t="n"/>
      <c r="D1030" s="28" t="n"/>
      <c r="E1030" s="28" t="n"/>
      <c r="F1030" s="28" t="n"/>
      <c r="G1030" s="28" t="n"/>
      <c r="H1030" s="28" t="n"/>
      <c r="I1030" s="28" t="n"/>
      <c r="J1030" s="28" t="n"/>
      <c r="K1030" s="28" t="n"/>
      <c r="L1030" s="28" t="n"/>
      <c r="M1030" s="29" t="n"/>
      <c r="N1030" s="21" t="n"/>
      <c r="O1030" s="12">
        <f>IF(AND(B1030="",C1030=""),"",IF(NOT(ISNUMBER(B1030)),"Needs a date",IF(C1030="","Needs a client",IF(COUNTIF(Clients!$B$6:$B$105,C1030)=0,"Not on Clients",IF(COUNT(D1030:M1030)=0,"Nothing measured","")))))</f>
        <v/>
      </c>
      <c r="P1030" s="1">
        <f>IF(AND(O1030="",ISNUMBER(B1030)),INT(B1030),0)</f>
        <v/>
      </c>
      <c r="Q1030">
        <f>IF(AND(P1030&gt;0,C1030=Report!$C$5),P1030*10000+ROW(),"")</f>
        <v/>
      </c>
      <c r="R1030">
        <f>IF(AND(Q1030&lt;&gt;"",ISNUMBER(D1030)),Q1030,"")</f>
        <v/>
      </c>
      <c r="S1030">
        <f>IF(AND(Q1030&lt;&gt;"",ISNUMBER(E1030)),Q1030,"")</f>
        <v/>
      </c>
      <c r="T1030">
        <f>IF(AND(Q1030&lt;&gt;"",ISNUMBER(F1030)),Q1030,"")</f>
        <v/>
      </c>
      <c r="U1030">
        <f>IF(AND(Q1030&lt;&gt;"",ISNUMBER(G1030)),Q1030,"")</f>
        <v/>
      </c>
      <c r="V1030">
        <f>IF(AND(Q1030&lt;&gt;"",ISNUMBER(H1030)),Q1030,"")</f>
        <v/>
      </c>
      <c r="W1030">
        <f>IF(AND(Q1030&lt;&gt;"",ISNUMBER(I1030)),Q1030,"")</f>
        <v/>
      </c>
      <c r="X1030">
        <f>IF(AND(Q1030&lt;&gt;"",ISNUMBER(J1030)),Q1030,"")</f>
        <v/>
      </c>
      <c r="Y1030">
        <f>IF(AND(Q1030&lt;&gt;"",ISNUMBER(K1030)),Q1030,"")</f>
        <v/>
      </c>
      <c r="Z1030">
        <f>IF(AND(Q1030&lt;&gt;"",ISNUMBER(L1030)),Q1030,"")</f>
        <v/>
      </c>
      <c r="AA1030">
        <f>IF(AND(Q1030&lt;&gt;"",ISNUMBER(M1030)),Q1030,"")</f>
        <v/>
      </c>
      <c r="AB1030">
        <f>IF(AND(Q1030&lt;&gt;"",ISNUMBER(K1030)),K1030,"")</f>
        <v/>
      </c>
      <c r="AC1030">
        <f>IF(AND(Q1030&lt;&gt;"",ISNUMBER(L1030)),L1030,"")</f>
        <v/>
      </c>
      <c r="AD1030">
        <f>IF(AND(Q1030&lt;&gt;"",ISNUMBER(M1030)),M1030,"")</f>
        <v/>
      </c>
    </row>
    <row r="1031">
      <c r="A1031" s="1" t="n"/>
      <c r="B1031" s="17" t="n"/>
      <c r="C1031" s="27" t="n"/>
      <c r="D1031" s="28" t="n"/>
      <c r="E1031" s="28" t="n"/>
      <c r="F1031" s="28" t="n"/>
      <c r="G1031" s="28" t="n"/>
      <c r="H1031" s="28" t="n"/>
      <c r="I1031" s="28" t="n"/>
      <c r="J1031" s="28" t="n"/>
      <c r="K1031" s="28" t="n"/>
      <c r="L1031" s="28" t="n"/>
      <c r="M1031" s="29" t="n"/>
      <c r="N1031" s="21" t="n"/>
      <c r="O1031" s="12">
        <f>IF(AND(B1031="",C1031=""),"",IF(NOT(ISNUMBER(B1031)),"Needs a date",IF(C1031="","Needs a client",IF(COUNTIF(Clients!$B$6:$B$105,C1031)=0,"Not on Clients",IF(COUNT(D1031:M1031)=0,"Nothing measured","")))))</f>
        <v/>
      </c>
      <c r="P1031" s="1">
        <f>IF(AND(O1031="",ISNUMBER(B1031)),INT(B1031),0)</f>
        <v/>
      </c>
      <c r="Q1031">
        <f>IF(AND(P1031&gt;0,C1031=Report!$C$5),P1031*10000+ROW(),"")</f>
        <v/>
      </c>
      <c r="R1031">
        <f>IF(AND(Q1031&lt;&gt;"",ISNUMBER(D1031)),Q1031,"")</f>
        <v/>
      </c>
      <c r="S1031">
        <f>IF(AND(Q1031&lt;&gt;"",ISNUMBER(E1031)),Q1031,"")</f>
        <v/>
      </c>
      <c r="T1031">
        <f>IF(AND(Q1031&lt;&gt;"",ISNUMBER(F1031)),Q1031,"")</f>
        <v/>
      </c>
      <c r="U1031">
        <f>IF(AND(Q1031&lt;&gt;"",ISNUMBER(G1031)),Q1031,"")</f>
        <v/>
      </c>
      <c r="V1031">
        <f>IF(AND(Q1031&lt;&gt;"",ISNUMBER(H1031)),Q1031,"")</f>
        <v/>
      </c>
      <c r="W1031">
        <f>IF(AND(Q1031&lt;&gt;"",ISNUMBER(I1031)),Q1031,"")</f>
        <v/>
      </c>
      <c r="X1031">
        <f>IF(AND(Q1031&lt;&gt;"",ISNUMBER(J1031)),Q1031,"")</f>
        <v/>
      </c>
      <c r="Y1031">
        <f>IF(AND(Q1031&lt;&gt;"",ISNUMBER(K1031)),Q1031,"")</f>
        <v/>
      </c>
      <c r="Z1031">
        <f>IF(AND(Q1031&lt;&gt;"",ISNUMBER(L1031)),Q1031,"")</f>
        <v/>
      </c>
      <c r="AA1031">
        <f>IF(AND(Q1031&lt;&gt;"",ISNUMBER(M1031)),Q1031,"")</f>
        <v/>
      </c>
      <c r="AB1031">
        <f>IF(AND(Q1031&lt;&gt;"",ISNUMBER(K1031)),K1031,"")</f>
        <v/>
      </c>
      <c r="AC1031">
        <f>IF(AND(Q1031&lt;&gt;"",ISNUMBER(L1031)),L1031,"")</f>
        <v/>
      </c>
      <c r="AD1031">
        <f>IF(AND(Q1031&lt;&gt;"",ISNUMBER(M1031)),M1031,"")</f>
        <v/>
      </c>
    </row>
    <row r="1032">
      <c r="A1032" s="1" t="n"/>
      <c r="B1032" s="17" t="n"/>
      <c r="C1032" s="27" t="n"/>
      <c r="D1032" s="28" t="n"/>
      <c r="E1032" s="28" t="n"/>
      <c r="F1032" s="28" t="n"/>
      <c r="G1032" s="28" t="n"/>
      <c r="H1032" s="28" t="n"/>
      <c r="I1032" s="28" t="n"/>
      <c r="J1032" s="28" t="n"/>
      <c r="K1032" s="28" t="n"/>
      <c r="L1032" s="28" t="n"/>
      <c r="M1032" s="29" t="n"/>
      <c r="N1032" s="21" t="n"/>
      <c r="O1032" s="12">
        <f>IF(AND(B1032="",C1032=""),"",IF(NOT(ISNUMBER(B1032)),"Needs a date",IF(C1032="","Needs a client",IF(COUNTIF(Clients!$B$6:$B$105,C1032)=0,"Not on Clients",IF(COUNT(D1032:M1032)=0,"Nothing measured","")))))</f>
        <v/>
      </c>
      <c r="P1032" s="1">
        <f>IF(AND(O1032="",ISNUMBER(B1032)),INT(B1032),0)</f>
        <v/>
      </c>
      <c r="Q1032">
        <f>IF(AND(P1032&gt;0,C1032=Report!$C$5),P1032*10000+ROW(),"")</f>
        <v/>
      </c>
      <c r="R1032">
        <f>IF(AND(Q1032&lt;&gt;"",ISNUMBER(D1032)),Q1032,"")</f>
        <v/>
      </c>
      <c r="S1032">
        <f>IF(AND(Q1032&lt;&gt;"",ISNUMBER(E1032)),Q1032,"")</f>
        <v/>
      </c>
      <c r="T1032">
        <f>IF(AND(Q1032&lt;&gt;"",ISNUMBER(F1032)),Q1032,"")</f>
        <v/>
      </c>
      <c r="U1032">
        <f>IF(AND(Q1032&lt;&gt;"",ISNUMBER(G1032)),Q1032,"")</f>
        <v/>
      </c>
      <c r="V1032">
        <f>IF(AND(Q1032&lt;&gt;"",ISNUMBER(H1032)),Q1032,"")</f>
        <v/>
      </c>
      <c r="W1032">
        <f>IF(AND(Q1032&lt;&gt;"",ISNUMBER(I1032)),Q1032,"")</f>
        <v/>
      </c>
      <c r="X1032">
        <f>IF(AND(Q1032&lt;&gt;"",ISNUMBER(J1032)),Q1032,"")</f>
        <v/>
      </c>
      <c r="Y1032">
        <f>IF(AND(Q1032&lt;&gt;"",ISNUMBER(K1032)),Q1032,"")</f>
        <v/>
      </c>
      <c r="Z1032">
        <f>IF(AND(Q1032&lt;&gt;"",ISNUMBER(L1032)),Q1032,"")</f>
        <v/>
      </c>
      <c r="AA1032">
        <f>IF(AND(Q1032&lt;&gt;"",ISNUMBER(M1032)),Q1032,"")</f>
        <v/>
      </c>
      <c r="AB1032">
        <f>IF(AND(Q1032&lt;&gt;"",ISNUMBER(K1032)),K1032,"")</f>
        <v/>
      </c>
      <c r="AC1032">
        <f>IF(AND(Q1032&lt;&gt;"",ISNUMBER(L1032)),L1032,"")</f>
        <v/>
      </c>
      <c r="AD1032">
        <f>IF(AND(Q1032&lt;&gt;"",ISNUMBER(M1032)),M1032,"")</f>
        <v/>
      </c>
    </row>
    <row r="1033">
      <c r="A1033" s="1" t="n"/>
      <c r="B1033" s="17" t="n"/>
      <c r="C1033" s="27" t="n"/>
      <c r="D1033" s="28" t="n"/>
      <c r="E1033" s="28" t="n"/>
      <c r="F1033" s="28" t="n"/>
      <c r="G1033" s="28" t="n"/>
      <c r="H1033" s="28" t="n"/>
      <c r="I1033" s="28" t="n"/>
      <c r="J1033" s="28" t="n"/>
      <c r="K1033" s="28" t="n"/>
      <c r="L1033" s="28" t="n"/>
      <c r="M1033" s="29" t="n"/>
      <c r="N1033" s="21" t="n"/>
      <c r="O1033" s="12">
        <f>IF(AND(B1033="",C1033=""),"",IF(NOT(ISNUMBER(B1033)),"Needs a date",IF(C1033="","Needs a client",IF(COUNTIF(Clients!$B$6:$B$105,C1033)=0,"Not on Clients",IF(COUNT(D1033:M1033)=0,"Nothing measured","")))))</f>
        <v/>
      </c>
      <c r="P1033" s="1">
        <f>IF(AND(O1033="",ISNUMBER(B1033)),INT(B1033),0)</f>
        <v/>
      </c>
      <c r="Q1033">
        <f>IF(AND(P1033&gt;0,C1033=Report!$C$5),P1033*10000+ROW(),"")</f>
        <v/>
      </c>
      <c r="R1033">
        <f>IF(AND(Q1033&lt;&gt;"",ISNUMBER(D1033)),Q1033,"")</f>
        <v/>
      </c>
      <c r="S1033">
        <f>IF(AND(Q1033&lt;&gt;"",ISNUMBER(E1033)),Q1033,"")</f>
        <v/>
      </c>
      <c r="T1033">
        <f>IF(AND(Q1033&lt;&gt;"",ISNUMBER(F1033)),Q1033,"")</f>
        <v/>
      </c>
      <c r="U1033">
        <f>IF(AND(Q1033&lt;&gt;"",ISNUMBER(G1033)),Q1033,"")</f>
        <v/>
      </c>
      <c r="V1033">
        <f>IF(AND(Q1033&lt;&gt;"",ISNUMBER(H1033)),Q1033,"")</f>
        <v/>
      </c>
      <c r="W1033">
        <f>IF(AND(Q1033&lt;&gt;"",ISNUMBER(I1033)),Q1033,"")</f>
        <v/>
      </c>
      <c r="X1033">
        <f>IF(AND(Q1033&lt;&gt;"",ISNUMBER(J1033)),Q1033,"")</f>
        <v/>
      </c>
      <c r="Y1033">
        <f>IF(AND(Q1033&lt;&gt;"",ISNUMBER(K1033)),Q1033,"")</f>
        <v/>
      </c>
      <c r="Z1033">
        <f>IF(AND(Q1033&lt;&gt;"",ISNUMBER(L1033)),Q1033,"")</f>
        <v/>
      </c>
      <c r="AA1033">
        <f>IF(AND(Q1033&lt;&gt;"",ISNUMBER(M1033)),Q1033,"")</f>
        <v/>
      </c>
      <c r="AB1033">
        <f>IF(AND(Q1033&lt;&gt;"",ISNUMBER(K1033)),K1033,"")</f>
        <v/>
      </c>
      <c r="AC1033">
        <f>IF(AND(Q1033&lt;&gt;"",ISNUMBER(L1033)),L1033,"")</f>
        <v/>
      </c>
      <c r="AD1033">
        <f>IF(AND(Q1033&lt;&gt;"",ISNUMBER(M1033)),M1033,"")</f>
        <v/>
      </c>
    </row>
    <row r="1034">
      <c r="A1034" s="1" t="n"/>
      <c r="B1034" s="17" t="n"/>
      <c r="C1034" s="27" t="n"/>
      <c r="D1034" s="28" t="n"/>
      <c r="E1034" s="28" t="n"/>
      <c r="F1034" s="28" t="n"/>
      <c r="G1034" s="28" t="n"/>
      <c r="H1034" s="28" t="n"/>
      <c r="I1034" s="28" t="n"/>
      <c r="J1034" s="28" t="n"/>
      <c r="K1034" s="28" t="n"/>
      <c r="L1034" s="28" t="n"/>
      <c r="M1034" s="29" t="n"/>
      <c r="N1034" s="21" t="n"/>
      <c r="O1034" s="12">
        <f>IF(AND(B1034="",C1034=""),"",IF(NOT(ISNUMBER(B1034)),"Needs a date",IF(C1034="","Needs a client",IF(COUNTIF(Clients!$B$6:$B$105,C1034)=0,"Not on Clients",IF(COUNT(D1034:M1034)=0,"Nothing measured","")))))</f>
        <v/>
      </c>
      <c r="P1034" s="1">
        <f>IF(AND(O1034="",ISNUMBER(B1034)),INT(B1034),0)</f>
        <v/>
      </c>
      <c r="Q1034">
        <f>IF(AND(P1034&gt;0,C1034=Report!$C$5),P1034*10000+ROW(),"")</f>
        <v/>
      </c>
      <c r="R1034">
        <f>IF(AND(Q1034&lt;&gt;"",ISNUMBER(D1034)),Q1034,"")</f>
        <v/>
      </c>
      <c r="S1034">
        <f>IF(AND(Q1034&lt;&gt;"",ISNUMBER(E1034)),Q1034,"")</f>
        <v/>
      </c>
      <c r="T1034">
        <f>IF(AND(Q1034&lt;&gt;"",ISNUMBER(F1034)),Q1034,"")</f>
        <v/>
      </c>
      <c r="U1034">
        <f>IF(AND(Q1034&lt;&gt;"",ISNUMBER(G1034)),Q1034,"")</f>
        <v/>
      </c>
      <c r="V1034">
        <f>IF(AND(Q1034&lt;&gt;"",ISNUMBER(H1034)),Q1034,"")</f>
        <v/>
      </c>
      <c r="W1034">
        <f>IF(AND(Q1034&lt;&gt;"",ISNUMBER(I1034)),Q1034,"")</f>
        <v/>
      </c>
      <c r="X1034">
        <f>IF(AND(Q1034&lt;&gt;"",ISNUMBER(J1034)),Q1034,"")</f>
        <v/>
      </c>
      <c r="Y1034">
        <f>IF(AND(Q1034&lt;&gt;"",ISNUMBER(K1034)),Q1034,"")</f>
        <v/>
      </c>
      <c r="Z1034">
        <f>IF(AND(Q1034&lt;&gt;"",ISNUMBER(L1034)),Q1034,"")</f>
        <v/>
      </c>
      <c r="AA1034">
        <f>IF(AND(Q1034&lt;&gt;"",ISNUMBER(M1034)),Q1034,"")</f>
        <v/>
      </c>
      <c r="AB1034">
        <f>IF(AND(Q1034&lt;&gt;"",ISNUMBER(K1034)),K1034,"")</f>
        <v/>
      </c>
      <c r="AC1034">
        <f>IF(AND(Q1034&lt;&gt;"",ISNUMBER(L1034)),L1034,"")</f>
        <v/>
      </c>
      <c r="AD1034">
        <f>IF(AND(Q1034&lt;&gt;"",ISNUMBER(M1034)),M1034,"")</f>
        <v/>
      </c>
    </row>
    <row r="1035">
      <c r="A1035" s="1" t="n"/>
      <c r="B1035" s="17" t="n"/>
      <c r="C1035" s="27" t="n"/>
      <c r="D1035" s="28" t="n"/>
      <c r="E1035" s="28" t="n"/>
      <c r="F1035" s="28" t="n"/>
      <c r="G1035" s="28" t="n"/>
      <c r="H1035" s="28" t="n"/>
      <c r="I1035" s="28" t="n"/>
      <c r="J1035" s="28" t="n"/>
      <c r="K1035" s="28" t="n"/>
      <c r="L1035" s="28" t="n"/>
      <c r="M1035" s="29" t="n"/>
      <c r="N1035" s="21" t="n"/>
      <c r="O1035" s="12">
        <f>IF(AND(B1035="",C1035=""),"",IF(NOT(ISNUMBER(B1035)),"Needs a date",IF(C1035="","Needs a client",IF(COUNTIF(Clients!$B$6:$B$105,C1035)=0,"Not on Clients",IF(COUNT(D1035:M1035)=0,"Nothing measured","")))))</f>
        <v/>
      </c>
      <c r="P1035" s="1">
        <f>IF(AND(O1035="",ISNUMBER(B1035)),INT(B1035),0)</f>
        <v/>
      </c>
      <c r="Q1035">
        <f>IF(AND(P1035&gt;0,C1035=Report!$C$5),P1035*10000+ROW(),"")</f>
        <v/>
      </c>
      <c r="R1035">
        <f>IF(AND(Q1035&lt;&gt;"",ISNUMBER(D1035)),Q1035,"")</f>
        <v/>
      </c>
      <c r="S1035">
        <f>IF(AND(Q1035&lt;&gt;"",ISNUMBER(E1035)),Q1035,"")</f>
        <v/>
      </c>
      <c r="T1035">
        <f>IF(AND(Q1035&lt;&gt;"",ISNUMBER(F1035)),Q1035,"")</f>
        <v/>
      </c>
      <c r="U1035">
        <f>IF(AND(Q1035&lt;&gt;"",ISNUMBER(G1035)),Q1035,"")</f>
        <v/>
      </c>
      <c r="V1035">
        <f>IF(AND(Q1035&lt;&gt;"",ISNUMBER(H1035)),Q1035,"")</f>
        <v/>
      </c>
      <c r="W1035">
        <f>IF(AND(Q1035&lt;&gt;"",ISNUMBER(I1035)),Q1035,"")</f>
        <v/>
      </c>
      <c r="X1035">
        <f>IF(AND(Q1035&lt;&gt;"",ISNUMBER(J1035)),Q1035,"")</f>
        <v/>
      </c>
      <c r="Y1035">
        <f>IF(AND(Q1035&lt;&gt;"",ISNUMBER(K1035)),Q1035,"")</f>
        <v/>
      </c>
      <c r="Z1035">
        <f>IF(AND(Q1035&lt;&gt;"",ISNUMBER(L1035)),Q1035,"")</f>
        <v/>
      </c>
      <c r="AA1035">
        <f>IF(AND(Q1035&lt;&gt;"",ISNUMBER(M1035)),Q1035,"")</f>
        <v/>
      </c>
      <c r="AB1035">
        <f>IF(AND(Q1035&lt;&gt;"",ISNUMBER(K1035)),K1035,"")</f>
        <v/>
      </c>
      <c r="AC1035">
        <f>IF(AND(Q1035&lt;&gt;"",ISNUMBER(L1035)),L1035,"")</f>
        <v/>
      </c>
      <c r="AD1035">
        <f>IF(AND(Q1035&lt;&gt;"",ISNUMBER(M1035)),M1035,"")</f>
        <v/>
      </c>
    </row>
    <row r="1036">
      <c r="A1036" s="1" t="n"/>
      <c r="B1036" s="17" t="n"/>
      <c r="C1036" s="27" t="n"/>
      <c r="D1036" s="28" t="n"/>
      <c r="E1036" s="28" t="n"/>
      <c r="F1036" s="28" t="n"/>
      <c r="G1036" s="28" t="n"/>
      <c r="H1036" s="28" t="n"/>
      <c r="I1036" s="28" t="n"/>
      <c r="J1036" s="28" t="n"/>
      <c r="K1036" s="28" t="n"/>
      <c r="L1036" s="28" t="n"/>
      <c r="M1036" s="29" t="n"/>
      <c r="N1036" s="21" t="n"/>
      <c r="O1036" s="12">
        <f>IF(AND(B1036="",C1036=""),"",IF(NOT(ISNUMBER(B1036)),"Needs a date",IF(C1036="","Needs a client",IF(COUNTIF(Clients!$B$6:$B$105,C1036)=0,"Not on Clients",IF(COUNT(D1036:M1036)=0,"Nothing measured","")))))</f>
        <v/>
      </c>
      <c r="P1036" s="1">
        <f>IF(AND(O1036="",ISNUMBER(B1036)),INT(B1036),0)</f>
        <v/>
      </c>
      <c r="Q1036">
        <f>IF(AND(P1036&gt;0,C1036=Report!$C$5),P1036*10000+ROW(),"")</f>
        <v/>
      </c>
      <c r="R1036">
        <f>IF(AND(Q1036&lt;&gt;"",ISNUMBER(D1036)),Q1036,"")</f>
        <v/>
      </c>
      <c r="S1036">
        <f>IF(AND(Q1036&lt;&gt;"",ISNUMBER(E1036)),Q1036,"")</f>
        <v/>
      </c>
      <c r="T1036">
        <f>IF(AND(Q1036&lt;&gt;"",ISNUMBER(F1036)),Q1036,"")</f>
        <v/>
      </c>
      <c r="U1036">
        <f>IF(AND(Q1036&lt;&gt;"",ISNUMBER(G1036)),Q1036,"")</f>
        <v/>
      </c>
      <c r="V1036">
        <f>IF(AND(Q1036&lt;&gt;"",ISNUMBER(H1036)),Q1036,"")</f>
        <v/>
      </c>
      <c r="W1036">
        <f>IF(AND(Q1036&lt;&gt;"",ISNUMBER(I1036)),Q1036,"")</f>
        <v/>
      </c>
      <c r="X1036">
        <f>IF(AND(Q1036&lt;&gt;"",ISNUMBER(J1036)),Q1036,"")</f>
        <v/>
      </c>
      <c r="Y1036">
        <f>IF(AND(Q1036&lt;&gt;"",ISNUMBER(K1036)),Q1036,"")</f>
        <v/>
      </c>
      <c r="Z1036">
        <f>IF(AND(Q1036&lt;&gt;"",ISNUMBER(L1036)),Q1036,"")</f>
        <v/>
      </c>
      <c r="AA1036">
        <f>IF(AND(Q1036&lt;&gt;"",ISNUMBER(M1036)),Q1036,"")</f>
        <v/>
      </c>
      <c r="AB1036">
        <f>IF(AND(Q1036&lt;&gt;"",ISNUMBER(K1036)),K1036,"")</f>
        <v/>
      </c>
      <c r="AC1036">
        <f>IF(AND(Q1036&lt;&gt;"",ISNUMBER(L1036)),L1036,"")</f>
        <v/>
      </c>
      <c r="AD1036">
        <f>IF(AND(Q1036&lt;&gt;"",ISNUMBER(M1036)),M1036,"")</f>
        <v/>
      </c>
    </row>
    <row r="1037">
      <c r="A1037" s="1" t="n"/>
      <c r="B1037" s="17" t="n"/>
      <c r="C1037" s="27" t="n"/>
      <c r="D1037" s="28" t="n"/>
      <c r="E1037" s="28" t="n"/>
      <c r="F1037" s="28" t="n"/>
      <c r="G1037" s="28" t="n"/>
      <c r="H1037" s="28" t="n"/>
      <c r="I1037" s="28" t="n"/>
      <c r="J1037" s="28" t="n"/>
      <c r="K1037" s="28" t="n"/>
      <c r="L1037" s="28" t="n"/>
      <c r="M1037" s="29" t="n"/>
      <c r="N1037" s="21" t="n"/>
      <c r="O1037" s="12">
        <f>IF(AND(B1037="",C1037=""),"",IF(NOT(ISNUMBER(B1037)),"Needs a date",IF(C1037="","Needs a client",IF(COUNTIF(Clients!$B$6:$B$105,C1037)=0,"Not on Clients",IF(COUNT(D1037:M1037)=0,"Nothing measured","")))))</f>
        <v/>
      </c>
      <c r="P1037" s="1">
        <f>IF(AND(O1037="",ISNUMBER(B1037)),INT(B1037),0)</f>
        <v/>
      </c>
      <c r="Q1037">
        <f>IF(AND(P1037&gt;0,C1037=Report!$C$5),P1037*10000+ROW(),"")</f>
        <v/>
      </c>
      <c r="R1037">
        <f>IF(AND(Q1037&lt;&gt;"",ISNUMBER(D1037)),Q1037,"")</f>
        <v/>
      </c>
      <c r="S1037">
        <f>IF(AND(Q1037&lt;&gt;"",ISNUMBER(E1037)),Q1037,"")</f>
        <v/>
      </c>
      <c r="T1037">
        <f>IF(AND(Q1037&lt;&gt;"",ISNUMBER(F1037)),Q1037,"")</f>
        <v/>
      </c>
      <c r="U1037">
        <f>IF(AND(Q1037&lt;&gt;"",ISNUMBER(G1037)),Q1037,"")</f>
        <v/>
      </c>
      <c r="V1037">
        <f>IF(AND(Q1037&lt;&gt;"",ISNUMBER(H1037)),Q1037,"")</f>
        <v/>
      </c>
      <c r="W1037">
        <f>IF(AND(Q1037&lt;&gt;"",ISNUMBER(I1037)),Q1037,"")</f>
        <v/>
      </c>
      <c r="X1037">
        <f>IF(AND(Q1037&lt;&gt;"",ISNUMBER(J1037)),Q1037,"")</f>
        <v/>
      </c>
      <c r="Y1037">
        <f>IF(AND(Q1037&lt;&gt;"",ISNUMBER(K1037)),Q1037,"")</f>
        <v/>
      </c>
      <c r="Z1037">
        <f>IF(AND(Q1037&lt;&gt;"",ISNUMBER(L1037)),Q1037,"")</f>
        <v/>
      </c>
      <c r="AA1037">
        <f>IF(AND(Q1037&lt;&gt;"",ISNUMBER(M1037)),Q1037,"")</f>
        <v/>
      </c>
      <c r="AB1037">
        <f>IF(AND(Q1037&lt;&gt;"",ISNUMBER(K1037)),K1037,"")</f>
        <v/>
      </c>
      <c r="AC1037">
        <f>IF(AND(Q1037&lt;&gt;"",ISNUMBER(L1037)),L1037,"")</f>
        <v/>
      </c>
      <c r="AD1037">
        <f>IF(AND(Q1037&lt;&gt;"",ISNUMBER(M1037)),M1037,"")</f>
        <v/>
      </c>
    </row>
    <row r="1038">
      <c r="A1038" s="1" t="n"/>
      <c r="B1038" s="17" t="n"/>
      <c r="C1038" s="27" t="n"/>
      <c r="D1038" s="28" t="n"/>
      <c r="E1038" s="28" t="n"/>
      <c r="F1038" s="28" t="n"/>
      <c r="G1038" s="28" t="n"/>
      <c r="H1038" s="28" t="n"/>
      <c r="I1038" s="28" t="n"/>
      <c r="J1038" s="28" t="n"/>
      <c r="K1038" s="28" t="n"/>
      <c r="L1038" s="28" t="n"/>
      <c r="M1038" s="29" t="n"/>
      <c r="N1038" s="21" t="n"/>
      <c r="O1038" s="12">
        <f>IF(AND(B1038="",C1038=""),"",IF(NOT(ISNUMBER(B1038)),"Needs a date",IF(C1038="","Needs a client",IF(COUNTIF(Clients!$B$6:$B$105,C1038)=0,"Not on Clients",IF(COUNT(D1038:M1038)=0,"Nothing measured","")))))</f>
        <v/>
      </c>
      <c r="P1038" s="1">
        <f>IF(AND(O1038="",ISNUMBER(B1038)),INT(B1038),0)</f>
        <v/>
      </c>
      <c r="Q1038">
        <f>IF(AND(P1038&gt;0,C1038=Report!$C$5),P1038*10000+ROW(),"")</f>
        <v/>
      </c>
      <c r="R1038">
        <f>IF(AND(Q1038&lt;&gt;"",ISNUMBER(D1038)),Q1038,"")</f>
        <v/>
      </c>
      <c r="S1038">
        <f>IF(AND(Q1038&lt;&gt;"",ISNUMBER(E1038)),Q1038,"")</f>
        <v/>
      </c>
      <c r="T1038">
        <f>IF(AND(Q1038&lt;&gt;"",ISNUMBER(F1038)),Q1038,"")</f>
        <v/>
      </c>
      <c r="U1038">
        <f>IF(AND(Q1038&lt;&gt;"",ISNUMBER(G1038)),Q1038,"")</f>
        <v/>
      </c>
      <c r="V1038">
        <f>IF(AND(Q1038&lt;&gt;"",ISNUMBER(H1038)),Q1038,"")</f>
        <v/>
      </c>
      <c r="W1038">
        <f>IF(AND(Q1038&lt;&gt;"",ISNUMBER(I1038)),Q1038,"")</f>
        <v/>
      </c>
      <c r="X1038">
        <f>IF(AND(Q1038&lt;&gt;"",ISNUMBER(J1038)),Q1038,"")</f>
        <v/>
      </c>
      <c r="Y1038">
        <f>IF(AND(Q1038&lt;&gt;"",ISNUMBER(K1038)),Q1038,"")</f>
        <v/>
      </c>
      <c r="Z1038">
        <f>IF(AND(Q1038&lt;&gt;"",ISNUMBER(L1038)),Q1038,"")</f>
        <v/>
      </c>
      <c r="AA1038">
        <f>IF(AND(Q1038&lt;&gt;"",ISNUMBER(M1038)),Q1038,"")</f>
        <v/>
      </c>
      <c r="AB1038">
        <f>IF(AND(Q1038&lt;&gt;"",ISNUMBER(K1038)),K1038,"")</f>
        <v/>
      </c>
      <c r="AC1038">
        <f>IF(AND(Q1038&lt;&gt;"",ISNUMBER(L1038)),L1038,"")</f>
        <v/>
      </c>
      <c r="AD1038">
        <f>IF(AND(Q1038&lt;&gt;"",ISNUMBER(M1038)),M1038,"")</f>
        <v/>
      </c>
    </row>
    <row r="1039">
      <c r="A1039" s="1" t="n"/>
      <c r="B1039" s="17" t="n"/>
      <c r="C1039" s="27" t="n"/>
      <c r="D1039" s="28" t="n"/>
      <c r="E1039" s="28" t="n"/>
      <c r="F1039" s="28" t="n"/>
      <c r="G1039" s="28" t="n"/>
      <c r="H1039" s="28" t="n"/>
      <c r="I1039" s="28" t="n"/>
      <c r="J1039" s="28" t="n"/>
      <c r="K1039" s="28" t="n"/>
      <c r="L1039" s="28" t="n"/>
      <c r="M1039" s="29" t="n"/>
      <c r="N1039" s="21" t="n"/>
      <c r="O1039" s="12">
        <f>IF(AND(B1039="",C1039=""),"",IF(NOT(ISNUMBER(B1039)),"Needs a date",IF(C1039="","Needs a client",IF(COUNTIF(Clients!$B$6:$B$105,C1039)=0,"Not on Clients",IF(COUNT(D1039:M1039)=0,"Nothing measured","")))))</f>
        <v/>
      </c>
      <c r="P1039" s="1">
        <f>IF(AND(O1039="",ISNUMBER(B1039)),INT(B1039),0)</f>
        <v/>
      </c>
      <c r="Q1039">
        <f>IF(AND(P1039&gt;0,C1039=Report!$C$5),P1039*10000+ROW(),"")</f>
        <v/>
      </c>
      <c r="R1039">
        <f>IF(AND(Q1039&lt;&gt;"",ISNUMBER(D1039)),Q1039,"")</f>
        <v/>
      </c>
      <c r="S1039">
        <f>IF(AND(Q1039&lt;&gt;"",ISNUMBER(E1039)),Q1039,"")</f>
        <v/>
      </c>
      <c r="T1039">
        <f>IF(AND(Q1039&lt;&gt;"",ISNUMBER(F1039)),Q1039,"")</f>
        <v/>
      </c>
      <c r="U1039">
        <f>IF(AND(Q1039&lt;&gt;"",ISNUMBER(G1039)),Q1039,"")</f>
        <v/>
      </c>
      <c r="V1039">
        <f>IF(AND(Q1039&lt;&gt;"",ISNUMBER(H1039)),Q1039,"")</f>
        <v/>
      </c>
      <c r="W1039">
        <f>IF(AND(Q1039&lt;&gt;"",ISNUMBER(I1039)),Q1039,"")</f>
        <v/>
      </c>
      <c r="X1039">
        <f>IF(AND(Q1039&lt;&gt;"",ISNUMBER(J1039)),Q1039,"")</f>
        <v/>
      </c>
      <c r="Y1039">
        <f>IF(AND(Q1039&lt;&gt;"",ISNUMBER(K1039)),Q1039,"")</f>
        <v/>
      </c>
      <c r="Z1039">
        <f>IF(AND(Q1039&lt;&gt;"",ISNUMBER(L1039)),Q1039,"")</f>
        <v/>
      </c>
      <c r="AA1039">
        <f>IF(AND(Q1039&lt;&gt;"",ISNUMBER(M1039)),Q1039,"")</f>
        <v/>
      </c>
      <c r="AB1039">
        <f>IF(AND(Q1039&lt;&gt;"",ISNUMBER(K1039)),K1039,"")</f>
        <v/>
      </c>
      <c r="AC1039">
        <f>IF(AND(Q1039&lt;&gt;"",ISNUMBER(L1039)),L1039,"")</f>
        <v/>
      </c>
      <c r="AD1039">
        <f>IF(AND(Q1039&lt;&gt;"",ISNUMBER(M1039)),M1039,"")</f>
        <v/>
      </c>
    </row>
    <row r="1040">
      <c r="A1040" s="1" t="n"/>
      <c r="B1040" s="17" t="n"/>
      <c r="C1040" s="27" t="n"/>
      <c r="D1040" s="28" t="n"/>
      <c r="E1040" s="28" t="n"/>
      <c r="F1040" s="28" t="n"/>
      <c r="G1040" s="28" t="n"/>
      <c r="H1040" s="28" t="n"/>
      <c r="I1040" s="28" t="n"/>
      <c r="J1040" s="28" t="n"/>
      <c r="K1040" s="28" t="n"/>
      <c r="L1040" s="28" t="n"/>
      <c r="M1040" s="29" t="n"/>
      <c r="N1040" s="21" t="n"/>
      <c r="O1040" s="12">
        <f>IF(AND(B1040="",C1040=""),"",IF(NOT(ISNUMBER(B1040)),"Needs a date",IF(C1040="","Needs a client",IF(COUNTIF(Clients!$B$6:$B$105,C1040)=0,"Not on Clients",IF(COUNT(D1040:M1040)=0,"Nothing measured","")))))</f>
        <v/>
      </c>
      <c r="P1040" s="1">
        <f>IF(AND(O1040="",ISNUMBER(B1040)),INT(B1040),0)</f>
        <v/>
      </c>
      <c r="Q1040">
        <f>IF(AND(P1040&gt;0,C1040=Report!$C$5),P1040*10000+ROW(),"")</f>
        <v/>
      </c>
      <c r="R1040">
        <f>IF(AND(Q1040&lt;&gt;"",ISNUMBER(D1040)),Q1040,"")</f>
        <v/>
      </c>
      <c r="S1040">
        <f>IF(AND(Q1040&lt;&gt;"",ISNUMBER(E1040)),Q1040,"")</f>
        <v/>
      </c>
      <c r="T1040">
        <f>IF(AND(Q1040&lt;&gt;"",ISNUMBER(F1040)),Q1040,"")</f>
        <v/>
      </c>
      <c r="U1040">
        <f>IF(AND(Q1040&lt;&gt;"",ISNUMBER(G1040)),Q1040,"")</f>
        <v/>
      </c>
      <c r="V1040">
        <f>IF(AND(Q1040&lt;&gt;"",ISNUMBER(H1040)),Q1040,"")</f>
        <v/>
      </c>
      <c r="W1040">
        <f>IF(AND(Q1040&lt;&gt;"",ISNUMBER(I1040)),Q1040,"")</f>
        <v/>
      </c>
      <c r="X1040">
        <f>IF(AND(Q1040&lt;&gt;"",ISNUMBER(J1040)),Q1040,"")</f>
        <v/>
      </c>
      <c r="Y1040">
        <f>IF(AND(Q1040&lt;&gt;"",ISNUMBER(K1040)),Q1040,"")</f>
        <v/>
      </c>
      <c r="Z1040">
        <f>IF(AND(Q1040&lt;&gt;"",ISNUMBER(L1040)),Q1040,"")</f>
        <v/>
      </c>
      <c r="AA1040">
        <f>IF(AND(Q1040&lt;&gt;"",ISNUMBER(M1040)),Q1040,"")</f>
        <v/>
      </c>
      <c r="AB1040">
        <f>IF(AND(Q1040&lt;&gt;"",ISNUMBER(K1040)),K1040,"")</f>
        <v/>
      </c>
      <c r="AC1040">
        <f>IF(AND(Q1040&lt;&gt;"",ISNUMBER(L1040)),L1040,"")</f>
        <v/>
      </c>
      <c r="AD1040">
        <f>IF(AND(Q1040&lt;&gt;"",ISNUMBER(M1040)),M1040,"")</f>
        <v/>
      </c>
    </row>
    <row r="1041">
      <c r="A1041" s="1" t="n"/>
      <c r="B1041" s="17" t="n"/>
      <c r="C1041" s="27" t="n"/>
      <c r="D1041" s="28" t="n"/>
      <c r="E1041" s="28" t="n"/>
      <c r="F1041" s="28" t="n"/>
      <c r="G1041" s="28" t="n"/>
      <c r="H1041" s="28" t="n"/>
      <c r="I1041" s="28" t="n"/>
      <c r="J1041" s="28" t="n"/>
      <c r="K1041" s="28" t="n"/>
      <c r="L1041" s="28" t="n"/>
      <c r="M1041" s="29" t="n"/>
      <c r="N1041" s="21" t="n"/>
      <c r="O1041" s="12">
        <f>IF(AND(B1041="",C1041=""),"",IF(NOT(ISNUMBER(B1041)),"Needs a date",IF(C1041="","Needs a client",IF(COUNTIF(Clients!$B$6:$B$105,C1041)=0,"Not on Clients",IF(COUNT(D1041:M1041)=0,"Nothing measured","")))))</f>
        <v/>
      </c>
      <c r="P1041" s="1">
        <f>IF(AND(O1041="",ISNUMBER(B1041)),INT(B1041),0)</f>
        <v/>
      </c>
      <c r="Q1041">
        <f>IF(AND(P1041&gt;0,C1041=Report!$C$5),P1041*10000+ROW(),"")</f>
        <v/>
      </c>
      <c r="R1041">
        <f>IF(AND(Q1041&lt;&gt;"",ISNUMBER(D1041)),Q1041,"")</f>
        <v/>
      </c>
      <c r="S1041">
        <f>IF(AND(Q1041&lt;&gt;"",ISNUMBER(E1041)),Q1041,"")</f>
        <v/>
      </c>
      <c r="T1041">
        <f>IF(AND(Q1041&lt;&gt;"",ISNUMBER(F1041)),Q1041,"")</f>
        <v/>
      </c>
      <c r="U1041">
        <f>IF(AND(Q1041&lt;&gt;"",ISNUMBER(G1041)),Q1041,"")</f>
        <v/>
      </c>
      <c r="V1041">
        <f>IF(AND(Q1041&lt;&gt;"",ISNUMBER(H1041)),Q1041,"")</f>
        <v/>
      </c>
      <c r="W1041">
        <f>IF(AND(Q1041&lt;&gt;"",ISNUMBER(I1041)),Q1041,"")</f>
        <v/>
      </c>
      <c r="X1041">
        <f>IF(AND(Q1041&lt;&gt;"",ISNUMBER(J1041)),Q1041,"")</f>
        <v/>
      </c>
      <c r="Y1041">
        <f>IF(AND(Q1041&lt;&gt;"",ISNUMBER(K1041)),Q1041,"")</f>
        <v/>
      </c>
      <c r="Z1041">
        <f>IF(AND(Q1041&lt;&gt;"",ISNUMBER(L1041)),Q1041,"")</f>
        <v/>
      </c>
      <c r="AA1041">
        <f>IF(AND(Q1041&lt;&gt;"",ISNUMBER(M1041)),Q1041,"")</f>
        <v/>
      </c>
      <c r="AB1041">
        <f>IF(AND(Q1041&lt;&gt;"",ISNUMBER(K1041)),K1041,"")</f>
        <v/>
      </c>
      <c r="AC1041">
        <f>IF(AND(Q1041&lt;&gt;"",ISNUMBER(L1041)),L1041,"")</f>
        <v/>
      </c>
      <c r="AD1041">
        <f>IF(AND(Q1041&lt;&gt;"",ISNUMBER(M1041)),M1041,"")</f>
        <v/>
      </c>
    </row>
    <row r="1042">
      <c r="A1042" s="1" t="n"/>
      <c r="B1042" s="17" t="n"/>
      <c r="C1042" s="27" t="n"/>
      <c r="D1042" s="28" t="n"/>
      <c r="E1042" s="28" t="n"/>
      <c r="F1042" s="28" t="n"/>
      <c r="G1042" s="28" t="n"/>
      <c r="H1042" s="28" t="n"/>
      <c r="I1042" s="28" t="n"/>
      <c r="J1042" s="28" t="n"/>
      <c r="K1042" s="28" t="n"/>
      <c r="L1042" s="28" t="n"/>
      <c r="M1042" s="29" t="n"/>
      <c r="N1042" s="21" t="n"/>
      <c r="O1042" s="12">
        <f>IF(AND(B1042="",C1042=""),"",IF(NOT(ISNUMBER(B1042)),"Needs a date",IF(C1042="","Needs a client",IF(COUNTIF(Clients!$B$6:$B$105,C1042)=0,"Not on Clients",IF(COUNT(D1042:M1042)=0,"Nothing measured","")))))</f>
        <v/>
      </c>
      <c r="P1042" s="1">
        <f>IF(AND(O1042="",ISNUMBER(B1042)),INT(B1042),0)</f>
        <v/>
      </c>
      <c r="Q1042">
        <f>IF(AND(P1042&gt;0,C1042=Report!$C$5),P1042*10000+ROW(),"")</f>
        <v/>
      </c>
      <c r="R1042">
        <f>IF(AND(Q1042&lt;&gt;"",ISNUMBER(D1042)),Q1042,"")</f>
        <v/>
      </c>
      <c r="S1042">
        <f>IF(AND(Q1042&lt;&gt;"",ISNUMBER(E1042)),Q1042,"")</f>
        <v/>
      </c>
      <c r="T1042">
        <f>IF(AND(Q1042&lt;&gt;"",ISNUMBER(F1042)),Q1042,"")</f>
        <v/>
      </c>
      <c r="U1042">
        <f>IF(AND(Q1042&lt;&gt;"",ISNUMBER(G1042)),Q1042,"")</f>
        <v/>
      </c>
      <c r="V1042">
        <f>IF(AND(Q1042&lt;&gt;"",ISNUMBER(H1042)),Q1042,"")</f>
        <v/>
      </c>
      <c r="W1042">
        <f>IF(AND(Q1042&lt;&gt;"",ISNUMBER(I1042)),Q1042,"")</f>
        <v/>
      </c>
      <c r="X1042">
        <f>IF(AND(Q1042&lt;&gt;"",ISNUMBER(J1042)),Q1042,"")</f>
        <v/>
      </c>
      <c r="Y1042">
        <f>IF(AND(Q1042&lt;&gt;"",ISNUMBER(K1042)),Q1042,"")</f>
        <v/>
      </c>
      <c r="Z1042">
        <f>IF(AND(Q1042&lt;&gt;"",ISNUMBER(L1042)),Q1042,"")</f>
        <v/>
      </c>
      <c r="AA1042">
        <f>IF(AND(Q1042&lt;&gt;"",ISNUMBER(M1042)),Q1042,"")</f>
        <v/>
      </c>
      <c r="AB1042">
        <f>IF(AND(Q1042&lt;&gt;"",ISNUMBER(K1042)),K1042,"")</f>
        <v/>
      </c>
      <c r="AC1042">
        <f>IF(AND(Q1042&lt;&gt;"",ISNUMBER(L1042)),L1042,"")</f>
        <v/>
      </c>
      <c r="AD1042">
        <f>IF(AND(Q1042&lt;&gt;"",ISNUMBER(M1042)),M1042,"")</f>
        <v/>
      </c>
    </row>
    <row r="1043">
      <c r="A1043" s="1" t="n"/>
      <c r="B1043" s="17" t="n"/>
      <c r="C1043" s="27" t="n"/>
      <c r="D1043" s="28" t="n"/>
      <c r="E1043" s="28" t="n"/>
      <c r="F1043" s="28" t="n"/>
      <c r="G1043" s="28" t="n"/>
      <c r="H1043" s="28" t="n"/>
      <c r="I1043" s="28" t="n"/>
      <c r="J1043" s="28" t="n"/>
      <c r="K1043" s="28" t="n"/>
      <c r="L1043" s="28" t="n"/>
      <c r="M1043" s="29" t="n"/>
      <c r="N1043" s="21" t="n"/>
      <c r="O1043" s="12">
        <f>IF(AND(B1043="",C1043=""),"",IF(NOT(ISNUMBER(B1043)),"Needs a date",IF(C1043="","Needs a client",IF(COUNTIF(Clients!$B$6:$B$105,C1043)=0,"Not on Clients",IF(COUNT(D1043:M1043)=0,"Nothing measured","")))))</f>
        <v/>
      </c>
      <c r="P1043" s="1">
        <f>IF(AND(O1043="",ISNUMBER(B1043)),INT(B1043),0)</f>
        <v/>
      </c>
      <c r="Q1043">
        <f>IF(AND(P1043&gt;0,C1043=Report!$C$5),P1043*10000+ROW(),"")</f>
        <v/>
      </c>
      <c r="R1043">
        <f>IF(AND(Q1043&lt;&gt;"",ISNUMBER(D1043)),Q1043,"")</f>
        <v/>
      </c>
      <c r="S1043">
        <f>IF(AND(Q1043&lt;&gt;"",ISNUMBER(E1043)),Q1043,"")</f>
        <v/>
      </c>
      <c r="T1043">
        <f>IF(AND(Q1043&lt;&gt;"",ISNUMBER(F1043)),Q1043,"")</f>
        <v/>
      </c>
      <c r="U1043">
        <f>IF(AND(Q1043&lt;&gt;"",ISNUMBER(G1043)),Q1043,"")</f>
        <v/>
      </c>
      <c r="V1043">
        <f>IF(AND(Q1043&lt;&gt;"",ISNUMBER(H1043)),Q1043,"")</f>
        <v/>
      </c>
      <c r="W1043">
        <f>IF(AND(Q1043&lt;&gt;"",ISNUMBER(I1043)),Q1043,"")</f>
        <v/>
      </c>
      <c r="X1043">
        <f>IF(AND(Q1043&lt;&gt;"",ISNUMBER(J1043)),Q1043,"")</f>
        <v/>
      </c>
      <c r="Y1043">
        <f>IF(AND(Q1043&lt;&gt;"",ISNUMBER(K1043)),Q1043,"")</f>
        <v/>
      </c>
      <c r="Z1043">
        <f>IF(AND(Q1043&lt;&gt;"",ISNUMBER(L1043)),Q1043,"")</f>
        <v/>
      </c>
      <c r="AA1043">
        <f>IF(AND(Q1043&lt;&gt;"",ISNUMBER(M1043)),Q1043,"")</f>
        <v/>
      </c>
      <c r="AB1043">
        <f>IF(AND(Q1043&lt;&gt;"",ISNUMBER(K1043)),K1043,"")</f>
        <v/>
      </c>
      <c r="AC1043">
        <f>IF(AND(Q1043&lt;&gt;"",ISNUMBER(L1043)),L1043,"")</f>
        <v/>
      </c>
      <c r="AD1043">
        <f>IF(AND(Q1043&lt;&gt;"",ISNUMBER(M1043)),M1043,"")</f>
        <v/>
      </c>
    </row>
    <row r="1044">
      <c r="A1044" s="1" t="n"/>
      <c r="B1044" s="17" t="n"/>
      <c r="C1044" s="27" t="n"/>
      <c r="D1044" s="28" t="n"/>
      <c r="E1044" s="28" t="n"/>
      <c r="F1044" s="28" t="n"/>
      <c r="G1044" s="28" t="n"/>
      <c r="H1044" s="28" t="n"/>
      <c r="I1044" s="28" t="n"/>
      <c r="J1044" s="28" t="n"/>
      <c r="K1044" s="28" t="n"/>
      <c r="L1044" s="28" t="n"/>
      <c r="M1044" s="29" t="n"/>
      <c r="N1044" s="21" t="n"/>
      <c r="O1044" s="12">
        <f>IF(AND(B1044="",C1044=""),"",IF(NOT(ISNUMBER(B1044)),"Needs a date",IF(C1044="","Needs a client",IF(COUNTIF(Clients!$B$6:$B$105,C1044)=0,"Not on Clients",IF(COUNT(D1044:M1044)=0,"Nothing measured","")))))</f>
        <v/>
      </c>
      <c r="P1044" s="1">
        <f>IF(AND(O1044="",ISNUMBER(B1044)),INT(B1044),0)</f>
        <v/>
      </c>
      <c r="Q1044">
        <f>IF(AND(P1044&gt;0,C1044=Report!$C$5),P1044*10000+ROW(),"")</f>
        <v/>
      </c>
      <c r="R1044">
        <f>IF(AND(Q1044&lt;&gt;"",ISNUMBER(D1044)),Q1044,"")</f>
        <v/>
      </c>
      <c r="S1044">
        <f>IF(AND(Q1044&lt;&gt;"",ISNUMBER(E1044)),Q1044,"")</f>
        <v/>
      </c>
      <c r="T1044">
        <f>IF(AND(Q1044&lt;&gt;"",ISNUMBER(F1044)),Q1044,"")</f>
        <v/>
      </c>
      <c r="U1044">
        <f>IF(AND(Q1044&lt;&gt;"",ISNUMBER(G1044)),Q1044,"")</f>
        <v/>
      </c>
      <c r="V1044">
        <f>IF(AND(Q1044&lt;&gt;"",ISNUMBER(H1044)),Q1044,"")</f>
        <v/>
      </c>
      <c r="W1044">
        <f>IF(AND(Q1044&lt;&gt;"",ISNUMBER(I1044)),Q1044,"")</f>
        <v/>
      </c>
      <c r="X1044">
        <f>IF(AND(Q1044&lt;&gt;"",ISNUMBER(J1044)),Q1044,"")</f>
        <v/>
      </c>
      <c r="Y1044">
        <f>IF(AND(Q1044&lt;&gt;"",ISNUMBER(K1044)),Q1044,"")</f>
        <v/>
      </c>
      <c r="Z1044">
        <f>IF(AND(Q1044&lt;&gt;"",ISNUMBER(L1044)),Q1044,"")</f>
        <v/>
      </c>
      <c r="AA1044">
        <f>IF(AND(Q1044&lt;&gt;"",ISNUMBER(M1044)),Q1044,"")</f>
        <v/>
      </c>
      <c r="AB1044">
        <f>IF(AND(Q1044&lt;&gt;"",ISNUMBER(K1044)),K1044,"")</f>
        <v/>
      </c>
      <c r="AC1044">
        <f>IF(AND(Q1044&lt;&gt;"",ISNUMBER(L1044)),L1044,"")</f>
        <v/>
      </c>
      <c r="AD1044">
        <f>IF(AND(Q1044&lt;&gt;"",ISNUMBER(M1044)),M1044,"")</f>
        <v/>
      </c>
    </row>
    <row r="1045">
      <c r="A1045" s="1" t="n"/>
      <c r="B1045" s="17" t="n"/>
      <c r="C1045" s="27" t="n"/>
      <c r="D1045" s="28" t="n"/>
      <c r="E1045" s="28" t="n"/>
      <c r="F1045" s="28" t="n"/>
      <c r="G1045" s="28" t="n"/>
      <c r="H1045" s="28" t="n"/>
      <c r="I1045" s="28" t="n"/>
      <c r="J1045" s="28" t="n"/>
      <c r="K1045" s="28" t="n"/>
      <c r="L1045" s="28" t="n"/>
      <c r="M1045" s="29" t="n"/>
      <c r="N1045" s="21" t="n"/>
      <c r="O1045" s="12">
        <f>IF(AND(B1045="",C1045=""),"",IF(NOT(ISNUMBER(B1045)),"Needs a date",IF(C1045="","Needs a client",IF(COUNTIF(Clients!$B$6:$B$105,C1045)=0,"Not on Clients",IF(COUNT(D1045:M1045)=0,"Nothing measured","")))))</f>
        <v/>
      </c>
      <c r="P1045" s="1">
        <f>IF(AND(O1045="",ISNUMBER(B1045)),INT(B1045),0)</f>
        <v/>
      </c>
      <c r="Q1045">
        <f>IF(AND(P1045&gt;0,C1045=Report!$C$5),P1045*10000+ROW(),"")</f>
        <v/>
      </c>
      <c r="R1045">
        <f>IF(AND(Q1045&lt;&gt;"",ISNUMBER(D1045)),Q1045,"")</f>
        <v/>
      </c>
      <c r="S1045">
        <f>IF(AND(Q1045&lt;&gt;"",ISNUMBER(E1045)),Q1045,"")</f>
        <v/>
      </c>
      <c r="T1045">
        <f>IF(AND(Q1045&lt;&gt;"",ISNUMBER(F1045)),Q1045,"")</f>
        <v/>
      </c>
      <c r="U1045">
        <f>IF(AND(Q1045&lt;&gt;"",ISNUMBER(G1045)),Q1045,"")</f>
        <v/>
      </c>
      <c r="V1045">
        <f>IF(AND(Q1045&lt;&gt;"",ISNUMBER(H1045)),Q1045,"")</f>
        <v/>
      </c>
      <c r="W1045">
        <f>IF(AND(Q1045&lt;&gt;"",ISNUMBER(I1045)),Q1045,"")</f>
        <v/>
      </c>
      <c r="X1045">
        <f>IF(AND(Q1045&lt;&gt;"",ISNUMBER(J1045)),Q1045,"")</f>
        <v/>
      </c>
      <c r="Y1045">
        <f>IF(AND(Q1045&lt;&gt;"",ISNUMBER(K1045)),Q1045,"")</f>
        <v/>
      </c>
      <c r="Z1045">
        <f>IF(AND(Q1045&lt;&gt;"",ISNUMBER(L1045)),Q1045,"")</f>
        <v/>
      </c>
      <c r="AA1045">
        <f>IF(AND(Q1045&lt;&gt;"",ISNUMBER(M1045)),Q1045,"")</f>
        <v/>
      </c>
      <c r="AB1045">
        <f>IF(AND(Q1045&lt;&gt;"",ISNUMBER(K1045)),K1045,"")</f>
        <v/>
      </c>
      <c r="AC1045">
        <f>IF(AND(Q1045&lt;&gt;"",ISNUMBER(L1045)),L1045,"")</f>
        <v/>
      </c>
      <c r="AD1045">
        <f>IF(AND(Q1045&lt;&gt;"",ISNUMBER(M1045)),M1045,"")</f>
        <v/>
      </c>
    </row>
    <row r="1046">
      <c r="A1046" s="1" t="n"/>
      <c r="B1046" s="17" t="n"/>
      <c r="C1046" s="27" t="n"/>
      <c r="D1046" s="28" t="n"/>
      <c r="E1046" s="28" t="n"/>
      <c r="F1046" s="28" t="n"/>
      <c r="G1046" s="28" t="n"/>
      <c r="H1046" s="28" t="n"/>
      <c r="I1046" s="28" t="n"/>
      <c r="J1046" s="28" t="n"/>
      <c r="K1046" s="28" t="n"/>
      <c r="L1046" s="28" t="n"/>
      <c r="M1046" s="29" t="n"/>
      <c r="N1046" s="21" t="n"/>
      <c r="O1046" s="12">
        <f>IF(AND(B1046="",C1046=""),"",IF(NOT(ISNUMBER(B1046)),"Needs a date",IF(C1046="","Needs a client",IF(COUNTIF(Clients!$B$6:$B$105,C1046)=0,"Not on Clients",IF(COUNT(D1046:M1046)=0,"Nothing measured","")))))</f>
        <v/>
      </c>
      <c r="P1046" s="1">
        <f>IF(AND(O1046="",ISNUMBER(B1046)),INT(B1046),0)</f>
        <v/>
      </c>
      <c r="Q1046">
        <f>IF(AND(P1046&gt;0,C1046=Report!$C$5),P1046*10000+ROW(),"")</f>
        <v/>
      </c>
      <c r="R1046">
        <f>IF(AND(Q1046&lt;&gt;"",ISNUMBER(D1046)),Q1046,"")</f>
        <v/>
      </c>
      <c r="S1046">
        <f>IF(AND(Q1046&lt;&gt;"",ISNUMBER(E1046)),Q1046,"")</f>
        <v/>
      </c>
      <c r="T1046">
        <f>IF(AND(Q1046&lt;&gt;"",ISNUMBER(F1046)),Q1046,"")</f>
        <v/>
      </c>
      <c r="U1046">
        <f>IF(AND(Q1046&lt;&gt;"",ISNUMBER(G1046)),Q1046,"")</f>
        <v/>
      </c>
      <c r="V1046">
        <f>IF(AND(Q1046&lt;&gt;"",ISNUMBER(H1046)),Q1046,"")</f>
        <v/>
      </c>
      <c r="W1046">
        <f>IF(AND(Q1046&lt;&gt;"",ISNUMBER(I1046)),Q1046,"")</f>
        <v/>
      </c>
      <c r="X1046">
        <f>IF(AND(Q1046&lt;&gt;"",ISNUMBER(J1046)),Q1046,"")</f>
        <v/>
      </c>
      <c r="Y1046">
        <f>IF(AND(Q1046&lt;&gt;"",ISNUMBER(K1046)),Q1046,"")</f>
        <v/>
      </c>
      <c r="Z1046">
        <f>IF(AND(Q1046&lt;&gt;"",ISNUMBER(L1046)),Q1046,"")</f>
        <v/>
      </c>
      <c r="AA1046">
        <f>IF(AND(Q1046&lt;&gt;"",ISNUMBER(M1046)),Q1046,"")</f>
        <v/>
      </c>
      <c r="AB1046">
        <f>IF(AND(Q1046&lt;&gt;"",ISNUMBER(K1046)),K1046,"")</f>
        <v/>
      </c>
      <c r="AC1046">
        <f>IF(AND(Q1046&lt;&gt;"",ISNUMBER(L1046)),L1046,"")</f>
        <v/>
      </c>
      <c r="AD1046">
        <f>IF(AND(Q1046&lt;&gt;"",ISNUMBER(M1046)),M1046,"")</f>
        <v/>
      </c>
    </row>
    <row r="1047">
      <c r="A1047" s="1" t="n"/>
      <c r="B1047" s="17" t="n"/>
      <c r="C1047" s="27" t="n"/>
      <c r="D1047" s="28" t="n"/>
      <c r="E1047" s="28" t="n"/>
      <c r="F1047" s="28" t="n"/>
      <c r="G1047" s="28" t="n"/>
      <c r="H1047" s="28" t="n"/>
      <c r="I1047" s="28" t="n"/>
      <c r="J1047" s="28" t="n"/>
      <c r="K1047" s="28" t="n"/>
      <c r="L1047" s="28" t="n"/>
      <c r="M1047" s="29" t="n"/>
      <c r="N1047" s="21" t="n"/>
      <c r="O1047" s="12">
        <f>IF(AND(B1047="",C1047=""),"",IF(NOT(ISNUMBER(B1047)),"Needs a date",IF(C1047="","Needs a client",IF(COUNTIF(Clients!$B$6:$B$105,C1047)=0,"Not on Clients",IF(COUNT(D1047:M1047)=0,"Nothing measured","")))))</f>
        <v/>
      </c>
      <c r="P1047" s="1">
        <f>IF(AND(O1047="",ISNUMBER(B1047)),INT(B1047),0)</f>
        <v/>
      </c>
      <c r="Q1047">
        <f>IF(AND(P1047&gt;0,C1047=Report!$C$5),P1047*10000+ROW(),"")</f>
        <v/>
      </c>
      <c r="R1047">
        <f>IF(AND(Q1047&lt;&gt;"",ISNUMBER(D1047)),Q1047,"")</f>
        <v/>
      </c>
      <c r="S1047">
        <f>IF(AND(Q1047&lt;&gt;"",ISNUMBER(E1047)),Q1047,"")</f>
        <v/>
      </c>
      <c r="T1047">
        <f>IF(AND(Q1047&lt;&gt;"",ISNUMBER(F1047)),Q1047,"")</f>
        <v/>
      </c>
      <c r="U1047">
        <f>IF(AND(Q1047&lt;&gt;"",ISNUMBER(G1047)),Q1047,"")</f>
        <v/>
      </c>
      <c r="V1047">
        <f>IF(AND(Q1047&lt;&gt;"",ISNUMBER(H1047)),Q1047,"")</f>
        <v/>
      </c>
      <c r="W1047">
        <f>IF(AND(Q1047&lt;&gt;"",ISNUMBER(I1047)),Q1047,"")</f>
        <v/>
      </c>
      <c r="X1047">
        <f>IF(AND(Q1047&lt;&gt;"",ISNUMBER(J1047)),Q1047,"")</f>
        <v/>
      </c>
      <c r="Y1047">
        <f>IF(AND(Q1047&lt;&gt;"",ISNUMBER(K1047)),Q1047,"")</f>
        <v/>
      </c>
      <c r="Z1047">
        <f>IF(AND(Q1047&lt;&gt;"",ISNUMBER(L1047)),Q1047,"")</f>
        <v/>
      </c>
      <c r="AA1047">
        <f>IF(AND(Q1047&lt;&gt;"",ISNUMBER(M1047)),Q1047,"")</f>
        <v/>
      </c>
      <c r="AB1047">
        <f>IF(AND(Q1047&lt;&gt;"",ISNUMBER(K1047)),K1047,"")</f>
        <v/>
      </c>
      <c r="AC1047">
        <f>IF(AND(Q1047&lt;&gt;"",ISNUMBER(L1047)),L1047,"")</f>
        <v/>
      </c>
      <c r="AD1047">
        <f>IF(AND(Q1047&lt;&gt;"",ISNUMBER(M1047)),M1047,"")</f>
        <v/>
      </c>
    </row>
    <row r="1048">
      <c r="A1048" s="1" t="n"/>
      <c r="B1048" s="17" t="n"/>
      <c r="C1048" s="27" t="n"/>
      <c r="D1048" s="28" t="n"/>
      <c r="E1048" s="28" t="n"/>
      <c r="F1048" s="28" t="n"/>
      <c r="G1048" s="28" t="n"/>
      <c r="H1048" s="28" t="n"/>
      <c r="I1048" s="28" t="n"/>
      <c r="J1048" s="28" t="n"/>
      <c r="K1048" s="28" t="n"/>
      <c r="L1048" s="28" t="n"/>
      <c r="M1048" s="29" t="n"/>
      <c r="N1048" s="21" t="n"/>
      <c r="O1048" s="12">
        <f>IF(AND(B1048="",C1048=""),"",IF(NOT(ISNUMBER(B1048)),"Needs a date",IF(C1048="","Needs a client",IF(COUNTIF(Clients!$B$6:$B$105,C1048)=0,"Not on Clients",IF(COUNT(D1048:M1048)=0,"Nothing measured","")))))</f>
        <v/>
      </c>
      <c r="P1048" s="1">
        <f>IF(AND(O1048="",ISNUMBER(B1048)),INT(B1048),0)</f>
        <v/>
      </c>
      <c r="Q1048">
        <f>IF(AND(P1048&gt;0,C1048=Report!$C$5),P1048*10000+ROW(),"")</f>
        <v/>
      </c>
      <c r="R1048">
        <f>IF(AND(Q1048&lt;&gt;"",ISNUMBER(D1048)),Q1048,"")</f>
        <v/>
      </c>
      <c r="S1048">
        <f>IF(AND(Q1048&lt;&gt;"",ISNUMBER(E1048)),Q1048,"")</f>
        <v/>
      </c>
      <c r="T1048">
        <f>IF(AND(Q1048&lt;&gt;"",ISNUMBER(F1048)),Q1048,"")</f>
        <v/>
      </c>
      <c r="U1048">
        <f>IF(AND(Q1048&lt;&gt;"",ISNUMBER(G1048)),Q1048,"")</f>
        <v/>
      </c>
      <c r="V1048">
        <f>IF(AND(Q1048&lt;&gt;"",ISNUMBER(H1048)),Q1048,"")</f>
        <v/>
      </c>
      <c r="W1048">
        <f>IF(AND(Q1048&lt;&gt;"",ISNUMBER(I1048)),Q1048,"")</f>
        <v/>
      </c>
      <c r="X1048">
        <f>IF(AND(Q1048&lt;&gt;"",ISNUMBER(J1048)),Q1048,"")</f>
        <v/>
      </c>
      <c r="Y1048">
        <f>IF(AND(Q1048&lt;&gt;"",ISNUMBER(K1048)),Q1048,"")</f>
        <v/>
      </c>
      <c r="Z1048">
        <f>IF(AND(Q1048&lt;&gt;"",ISNUMBER(L1048)),Q1048,"")</f>
        <v/>
      </c>
      <c r="AA1048">
        <f>IF(AND(Q1048&lt;&gt;"",ISNUMBER(M1048)),Q1048,"")</f>
        <v/>
      </c>
      <c r="AB1048">
        <f>IF(AND(Q1048&lt;&gt;"",ISNUMBER(K1048)),K1048,"")</f>
        <v/>
      </c>
      <c r="AC1048">
        <f>IF(AND(Q1048&lt;&gt;"",ISNUMBER(L1048)),L1048,"")</f>
        <v/>
      </c>
      <c r="AD1048">
        <f>IF(AND(Q1048&lt;&gt;"",ISNUMBER(M1048)),M1048,"")</f>
        <v/>
      </c>
    </row>
    <row r="1049">
      <c r="A1049" s="1" t="n"/>
      <c r="B1049" s="17" t="n"/>
      <c r="C1049" s="27" t="n"/>
      <c r="D1049" s="28" t="n"/>
      <c r="E1049" s="28" t="n"/>
      <c r="F1049" s="28" t="n"/>
      <c r="G1049" s="28" t="n"/>
      <c r="H1049" s="28" t="n"/>
      <c r="I1049" s="28" t="n"/>
      <c r="J1049" s="28" t="n"/>
      <c r="K1049" s="28" t="n"/>
      <c r="L1049" s="28" t="n"/>
      <c r="M1049" s="29" t="n"/>
      <c r="N1049" s="21" t="n"/>
      <c r="O1049" s="12">
        <f>IF(AND(B1049="",C1049=""),"",IF(NOT(ISNUMBER(B1049)),"Needs a date",IF(C1049="","Needs a client",IF(COUNTIF(Clients!$B$6:$B$105,C1049)=0,"Not on Clients",IF(COUNT(D1049:M1049)=0,"Nothing measured","")))))</f>
        <v/>
      </c>
      <c r="P1049" s="1">
        <f>IF(AND(O1049="",ISNUMBER(B1049)),INT(B1049),0)</f>
        <v/>
      </c>
      <c r="Q1049">
        <f>IF(AND(P1049&gt;0,C1049=Report!$C$5),P1049*10000+ROW(),"")</f>
        <v/>
      </c>
      <c r="R1049">
        <f>IF(AND(Q1049&lt;&gt;"",ISNUMBER(D1049)),Q1049,"")</f>
        <v/>
      </c>
      <c r="S1049">
        <f>IF(AND(Q1049&lt;&gt;"",ISNUMBER(E1049)),Q1049,"")</f>
        <v/>
      </c>
      <c r="T1049">
        <f>IF(AND(Q1049&lt;&gt;"",ISNUMBER(F1049)),Q1049,"")</f>
        <v/>
      </c>
      <c r="U1049">
        <f>IF(AND(Q1049&lt;&gt;"",ISNUMBER(G1049)),Q1049,"")</f>
        <v/>
      </c>
      <c r="V1049">
        <f>IF(AND(Q1049&lt;&gt;"",ISNUMBER(H1049)),Q1049,"")</f>
        <v/>
      </c>
      <c r="W1049">
        <f>IF(AND(Q1049&lt;&gt;"",ISNUMBER(I1049)),Q1049,"")</f>
        <v/>
      </c>
      <c r="X1049">
        <f>IF(AND(Q1049&lt;&gt;"",ISNUMBER(J1049)),Q1049,"")</f>
        <v/>
      </c>
      <c r="Y1049">
        <f>IF(AND(Q1049&lt;&gt;"",ISNUMBER(K1049)),Q1049,"")</f>
        <v/>
      </c>
      <c r="Z1049">
        <f>IF(AND(Q1049&lt;&gt;"",ISNUMBER(L1049)),Q1049,"")</f>
        <v/>
      </c>
      <c r="AA1049">
        <f>IF(AND(Q1049&lt;&gt;"",ISNUMBER(M1049)),Q1049,"")</f>
        <v/>
      </c>
      <c r="AB1049">
        <f>IF(AND(Q1049&lt;&gt;"",ISNUMBER(K1049)),K1049,"")</f>
        <v/>
      </c>
      <c r="AC1049">
        <f>IF(AND(Q1049&lt;&gt;"",ISNUMBER(L1049)),L1049,"")</f>
        <v/>
      </c>
      <c r="AD1049">
        <f>IF(AND(Q1049&lt;&gt;"",ISNUMBER(M1049)),M1049,"")</f>
        <v/>
      </c>
    </row>
    <row r="1050">
      <c r="A1050" s="1" t="n"/>
      <c r="B1050" s="17" t="n"/>
      <c r="C1050" s="27" t="n"/>
      <c r="D1050" s="28" t="n"/>
      <c r="E1050" s="28" t="n"/>
      <c r="F1050" s="28" t="n"/>
      <c r="G1050" s="28" t="n"/>
      <c r="H1050" s="28" t="n"/>
      <c r="I1050" s="28" t="n"/>
      <c r="J1050" s="28" t="n"/>
      <c r="K1050" s="28" t="n"/>
      <c r="L1050" s="28" t="n"/>
      <c r="M1050" s="29" t="n"/>
      <c r="N1050" s="21" t="n"/>
      <c r="O1050" s="12">
        <f>IF(AND(B1050="",C1050=""),"",IF(NOT(ISNUMBER(B1050)),"Needs a date",IF(C1050="","Needs a client",IF(COUNTIF(Clients!$B$6:$B$105,C1050)=0,"Not on Clients",IF(COUNT(D1050:M1050)=0,"Nothing measured","")))))</f>
        <v/>
      </c>
      <c r="P1050" s="1">
        <f>IF(AND(O1050="",ISNUMBER(B1050)),INT(B1050),0)</f>
        <v/>
      </c>
      <c r="Q1050">
        <f>IF(AND(P1050&gt;0,C1050=Report!$C$5),P1050*10000+ROW(),"")</f>
        <v/>
      </c>
      <c r="R1050">
        <f>IF(AND(Q1050&lt;&gt;"",ISNUMBER(D1050)),Q1050,"")</f>
        <v/>
      </c>
      <c r="S1050">
        <f>IF(AND(Q1050&lt;&gt;"",ISNUMBER(E1050)),Q1050,"")</f>
        <v/>
      </c>
      <c r="T1050">
        <f>IF(AND(Q1050&lt;&gt;"",ISNUMBER(F1050)),Q1050,"")</f>
        <v/>
      </c>
      <c r="U1050">
        <f>IF(AND(Q1050&lt;&gt;"",ISNUMBER(G1050)),Q1050,"")</f>
        <v/>
      </c>
      <c r="V1050">
        <f>IF(AND(Q1050&lt;&gt;"",ISNUMBER(H1050)),Q1050,"")</f>
        <v/>
      </c>
      <c r="W1050">
        <f>IF(AND(Q1050&lt;&gt;"",ISNUMBER(I1050)),Q1050,"")</f>
        <v/>
      </c>
      <c r="X1050">
        <f>IF(AND(Q1050&lt;&gt;"",ISNUMBER(J1050)),Q1050,"")</f>
        <v/>
      </c>
      <c r="Y1050">
        <f>IF(AND(Q1050&lt;&gt;"",ISNUMBER(K1050)),Q1050,"")</f>
        <v/>
      </c>
      <c r="Z1050">
        <f>IF(AND(Q1050&lt;&gt;"",ISNUMBER(L1050)),Q1050,"")</f>
        <v/>
      </c>
      <c r="AA1050">
        <f>IF(AND(Q1050&lt;&gt;"",ISNUMBER(M1050)),Q1050,"")</f>
        <v/>
      </c>
      <c r="AB1050">
        <f>IF(AND(Q1050&lt;&gt;"",ISNUMBER(K1050)),K1050,"")</f>
        <v/>
      </c>
      <c r="AC1050">
        <f>IF(AND(Q1050&lt;&gt;"",ISNUMBER(L1050)),L1050,"")</f>
        <v/>
      </c>
      <c r="AD1050">
        <f>IF(AND(Q1050&lt;&gt;"",ISNUMBER(M1050)),M1050,"")</f>
        <v/>
      </c>
    </row>
    <row r="1051">
      <c r="A1051" s="1" t="n"/>
      <c r="B1051" s="17" t="n"/>
      <c r="C1051" s="27" t="n"/>
      <c r="D1051" s="28" t="n"/>
      <c r="E1051" s="28" t="n"/>
      <c r="F1051" s="28" t="n"/>
      <c r="G1051" s="28" t="n"/>
      <c r="H1051" s="28" t="n"/>
      <c r="I1051" s="28" t="n"/>
      <c r="J1051" s="28" t="n"/>
      <c r="K1051" s="28" t="n"/>
      <c r="L1051" s="28" t="n"/>
      <c r="M1051" s="29" t="n"/>
      <c r="N1051" s="21" t="n"/>
      <c r="O1051" s="12">
        <f>IF(AND(B1051="",C1051=""),"",IF(NOT(ISNUMBER(B1051)),"Needs a date",IF(C1051="","Needs a client",IF(COUNTIF(Clients!$B$6:$B$105,C1051)=0,"Not on Clients",IF(COUNT(D1051:M1051)=0,"Nothing measured","")))))</f>
        <v/>
      </c>
      <c r="P1051" s="1">
        <f>IF(AND(O1051="",ISNUMBER(B1051)),INT(B1051),0)</f>
        <v/>
      </c>
      <c r="Q1051">
        <f>IF(AND(P1051&gt;0,C1051=Report!$C$5),P1051*10000+ROW(),"")</f>
        <v/>
      </c>
      <c r="R1051">
        <f>IF(AND(Q1051&lt;&gt;"",ISNUMBER(D1051)),Q1051,"")</f>
        <v/>
      </c>
      <c r="S1051">
        <f>IF(AND(Q1051&lt;&gt;"",ISNUMBER(E1051)),Q1051,"")</f>
        <v/>
      </c>
      <c r="T1051">
        <f>IF(AND(Q1051&lt;&gt;"",ISNUMBER(F1051)),Q1051,"")</f>
        <v/>
      </c>
      <c r="U1051">
        <f>IF(AND(Q1051&lt;&gt;"",ISNUMBER(G1051)),Q1051,"")</f>
        <v/>
      </c>
      <c r="V1051">
        <f>IF(AND(Q1051&lt;&gt;"",ISNUMBER(H1051)),Q1051,"")</f>
        <v/>
      </c>
      <c r="W1051">
        <f>IF(AND(Q1051&lt;&gt;"",ISNUMBER(I1051)),Q1051,"")</f>
        <v/>
      </c>
      <c r="X1051">
        <f>IF(AND(Q1051&lt;&gt;"",ISNUMBER(J1051)),Q1051,"")</f>
        <v/>
      </c>
      <c r="Y1051">
        <f>IF(AND(Q1051&lt;&gt;"",ISNUMBER(K1051)),Q1051,"")</f>
        <v/>
      </c>
      <c r="Z1051">
        <f>IF(AND(Q1051&lt;&gt;"",ISNUMBER(L1051)),Q1051,"")</f>
        <v/>
      </c>
      <c r="AA1051">
        <f>IF(AND(Q1051&lt;&gt;"",ISNUMBER(M1051)),Q1051,"")</f>
        <v/>
      </c>
      <c r="AB1051">
        <f>IF(AND(Q1051&lt;&gt;"",ISNUMBER(K1051)),K1051,"")</f>
        <v/>
      </c>
      <c r="AC1051">
        <f>IF(AND(Q1051&lt;&gt;"",ISNUMBER(L1051)),L1051,"")</f>
        <v/>
      </c>
      <c r="AD1051">
        <f>IF(AND(Q1051&lt;&gt;"",ISNUMBER(M1051)),M1051,"")</f>
        <v/>
      </c>
    </row>
    <row r="1052">
      <c r="A1052" s="1" t="n"/>
      <c r="B1052" s="17" t="n"/>
      <c r="C1052" s="27" t="n"/>
      <c r="D1052" s="28" t="n"/>
      <c r="E1052" s="28" t="n"/>
      <c r="F1052" s="28" t="n"/>
      <c r="G1052" s="28" t="n"/>
      <c r="H1052" s="28" t="n"/>
      <c r="I1052" s="28" t="n"/>
      <c r="J1052" s="28" t="n"/>
      <c r="K1052" s="28" t="n"/>
      <c r="L1052" s="28" t="n"/>
      <c r="M1052" s="29" t="n"/>
      <c r="N1052" s="21" t="n"/>
      <c r="O1052" s="12">
        <f>IF(AND(B1052="",C1052=""),"",IF(NOT(ISNUMBER(B1052)),"Needs a date",IF(C1052="","Needs a client",IF(COUNTIF(Clients!$B$6:$B$105,C1052)=0,"Not on Clients",IF(COUNT(D1052:M1052)=0,"Nothing measured","")))))</f>
        <v/>
      </c>
      <c r="P1052" s="1">
        <f>IF(AND(O1052="",ISNUMBER(B1052)),INT(B1052),0)</f>
        <v/>
      </c>
      <c r="Q1052">
        <f>IF(AND(P1052&gt;0,C1052=Report!$C$5),P1052*10000+ROW(),"")</f>
        <v/>
      </c>
      <c r="R1052">
        <f>IF(AND(Q1052&lt;&gt;"",ISNUMBER(D1052)),Q1052,"")</f>
        <v/>
      </c>
      <c r="S1052">
        <f>IF(AND(Q1052&lt;&gt;"",ISNUMBER(E1052)),Q1052,"")</f>
        <v/>
      </c>
      <c r="T1052">
        <f>IF(AND(Q1052&lt;&gt;"",ISNUMBER(F1052)),Q1052,"")</f>
        <v/>
      </c>
      <c r="U1052">
        <f>IF(AND(Q1052&lt;&gt;"",ISNUMBER(G1052)),Q1052,"")</f>
        <v/>
      </c>
      <c r="V1052">
        <f>IF(AND(Q1052&lt;&gt;"",ISNUMBER(H1052)),Q1052,"")</f>
        <v/>
      </c>
      <c r="W1052">
        <f>IF(AND(Q1052&lt;&gt;"",ISNUMBER(I1052)),Q1052,"")</f>
        <v/>
      </c>
      <c r="X1052">
        <f>IF(AND(Q1052&lt;&gt;"",ISNUMBER(J1052)),Q1052,"")</f>
        <v/>
      </c>
      <c r="Y1052">
        <f>IF(AND(Q1052&lt;&gt;"",ISNUMBER(K1052)),Q1052,"")</f>
        <v/>
      </c>
      <c r="Z1052">
        <f>IF(AND(Q1052&lt;&gt;"",ISNUMBER(L1052)),Q1052,"")</f>
        <v/>
      </c>
      <c r="AA1052">
        <f>IF(AND(Q1052&lt;&gt;"",ISNUMBER(M1052)),Q1052,"")</f>
        <v/>
      </c>
      <c r="AB1052">
        <f>IF(AND(Q1052&lt;&gt;"",ISNUMBER(K1052)),K1052,"")</f>
        <v/>
      </c>
      <c r="AC1052">
        <f>IF(AND(Q1052&lt;&gt;"",ISNUMBER(L1052)),L1052,"")</f>
        <v/>
      </c>
      <c r="AD1052">
        <f>IF(AND(Q1052&lt;&gt;"",ISNUMBER(M1052)),M1052,"")</f>
        <v/>
      </c>
    </row>
    <row r="1053">
      <c r="A1053" s="1" t="n"/>
      <c r="B1053" s="17" t="n"/>
      <c r="C1053" s="27" t="n"/>
      <c r="D1053" s="28" t="n"/>
      <c r="E1053" s="28" t="n"/>
      <c r="F1053" s="28" t="n"/>
      <c r="G1053" s="28" t="n"/>
      <c r="H1053" s="28" t="n"/>
      <c r="I1053" s="28" t="n"/>
      <c r="J1053" s="28" t="n"/>
      <c r="K1053" s="28" t="n"/>
      <c r="L1053" s="28" t="n"/>
      <c r="M1053" s="29" t="n"/>
      <c r="N1053" s="21" t="n"/>
      <c r="O1053" s="12">
        <f>IF(AND(B1053="",C1053=""),"",IF(NOT(ISNUMBER(B1053)),"Needs a date",IF(C1053="","Needs a client",IF(COUNTIF(Clients!$B$6:$B$105,C1053)=0,"Not on Clients",IF(COUNT(D1053:M1053)=0,"Nothing measured","")))))</f>
        <v/>
      </c>
      <c r="P1053" s="1">
        <f>IF(AND(O1053="",ISNUMBER(B1053)),INT(B1053),0)</f>
        <v/>
      </c>
      <c r="Q1053">
        <f>IF(AND(P1053&gt;0,C1053=Report!$C$5),P1053*10000+ROW(),"")</f>
        <v/>
      </c>
      <c r="R1053">
        <f>IF(AND(Q1053&lt;&gt;"",ISNUMBER(D1053)),Q1053,"")</f>
        <v/>
      </c>
      <c r="S1053">
        <f>IF(AND(Q1053&lt;&gt;"",ISNUMBER(E1053)),Q1053,"")</f>
        <v/>
      </c>
      <c r="T1053">
        <f>IF(AND(Q1053&lt;&gt;"",ISNUMBER(F1053)),Q1053,"")</f>
        <v/>
      </c>
      <c r="U1053">
        <f>IF(AND(Q1053&lt;&gt;"",ISNUMBER(G1053)),Q1053,"")</f>
        <v/>
      </c>
      <c r="V1053">
        <f>IF(AND(Q1053&lt;&gt;"",ISNUMBER(H1053)),Q1053,"")</f>
        <v/>
      </c>
      <c r="W1053">
        <f>IF(AND(Q1053&lt;&gt;"",ISNUMBER(I1053)),Q1053,"")</f>
        <v/>
      </c>
      <c r="X1053">
        <f>IF(AND(Q1053&lt;&gt;"",ISNUMBER(J1053)),Q1053,"")</f>
        <v/>
      </c>
      <c r="Y1053">
        <f>IF(AND(Q1053&lt;&gt;"",ISNUMBER(K1053)),Q1053,"")</f>
        <v/>
      </c>
      <c r="Z1053">
        <f>IF(AND(Q1053&lt;&gt;"",ISNUMBER(L1053)),Q1053,"")</f>
        <v/>
      </c>
      <c r="AA1053">
        <f>IF(AND(Q1053&lt;&gt;"",ISNUMBER(M1053)),Q1053,"")</f>
        <v/>
      </c>
      <c r="AB1053">
        <f>IF(AND(Q1053&lt;&gt;"",ISNUMBER(K1053)),K1053,"")</f>
        <v/>
      </c>
      <c r="AC1053">
        <f>IF(AND(Q1053&lt;&gt;"",ISNUMBER(L1053)),L1053,"")</f>
        <v/>
      </c>
      <c r="AD1053">
        <f>IF(AND(Q1053&lt;&gt;"",ISNUMBER(M1053)),M1053,"")</f>
        <v/>
      </c>
    </row>
    <row r="1054">
      <c r="A1054" s="1" t="n"/>
      <c r="B1054" s="17" t="n"/>
      <c r="C1054" s="27" t="n"/>
      <c r="D1054" s="28" t="n"/>
      <c r="E1054" s="28" t="n"/>
      <c r="F1054" s="28" t="n"/>
      <c r="G1054" s="28" t="n"/>
      <c r="H1054" s="28" t="n"/>
      <c r="I1054" s="28" t="n"/>
      <c r="J1054" s="28" t="n"/>
      <c r="K1054" s="28" t="n"/>
      <c r="L1054" s="28" t="n"/>
      <c r="M1054" s="29" t="n"/>
      <c r="N1054" s="21" t="n"/>
      <c r="O1054" s="12">
        <f>IF(AND(B1054="",C1054=""),"",IF(NOT(ISNUMBER(B1054)),"Needs a date",IF(C1054="","Needs a client",IF(COUNTIF(Clients!$B$6:$B$105,C1054)=0,"Not on Clients",IF(COUNT(D1054:M1054)=0,"Nothing measured","")))))</f>
        <v/>
      </c>
      <c r="P1054" s="1">
        <f>IF(AND(O1054="",ISNUMBER(B1054)),INT(B1054),0)</f>
        <v/>
      </c>
      <c r="Q1054">
        <f>IF(AND(P1054&gt;0,C1054=Report!$C$5),P1054*10000+ROW(),"")</f>
        <v/>
      </c>
      <c r="R1054">
        <f>IF(AND(Q1054&lt;&gt;"",ISNUMBER(D1054)),Q1054,"")</f>
        <v/>
      </c>
      <c r="S1054">
        <f>IF(AND(Q1054&lt;&gt;"",ISNUMBER(E1054)),Q1054,"")</f>
        <v/>
      </c>
      <c r="T1054">
        <f>IF(AND(Q1054&lt;&gt;"",ISNUMBER(F1054)),Q1054,"")</f>
        <v/>
      </c>
      <c r="U1054">
        <f>IF(AND(Q1054&lt;&gt;"",ISNUMBER(G1054)),Q1054,"")</f>
        <v/>
      </c>
      <c r="V1054">
        <f>IF(AND(Q1054&lt;&gt;"",ISNUMBER(H1054)),Q1054,"")</f>
        <v/>
      </c>
      <c r="W1054">
        <f>IF(AND(Q1054&lt;&gt;"",ISNUMBER(I1054)),Q1054,"")</f>
        <v/>
      </c>
      <c r="X1054">
        <f>IF(AND(Q1054&lt;&gt;"",ISNUMBER(J1054)),Q1054,"")</f>
        <v/>
      </c>
      <c r="Y1054">
        <f>IF(AND(Q1054&lt;&gt;"",ISNUMBER(K1054)),Q1054,"")</f>
        <v/>
      </c>
      <c r="Z1054">
        <f>IF(AND(Q1054&lt;&gt;"",ISNUMBER(L1054)),Q1054,"")</f>
        <v/>
      </c>
      <c r="AA1054">
        <f>IF(AND(Q1054&lt;&gt;"",ISNUMBER(M1054)),Q1054,"")</f>
        <v/>
      </c>
      <c r="AB1054">
        <f>IF(AND(Q1054&lt;&gt;"",ISNUMBER(K1054)),K1054,"")</f>
        <v/>
      </c>
      <c r="AC1054">
        <f>IF(AND(Q1054&lt;&gt;"",ISNUMBER(L1054)),L1054,"")</f>
        <v/>
      </c>
      <c r="AD1054">
        <f>IF(AND(Q1054&lt;&gt;"",ISNUMBER(M1054)),M1054,"")</f>
        <v/>
      </c>
    </row>
    <row r="1055">
      <c r="A1055" s="1" t="n"/>
      <c r="B1055" s="17" t="n"/>
      <c r="C1055" s="27" t="n"/>
      <c r="D1055" s="28" t="n"/>
      <c r="E1055" s="28" t="n"/>
      <c r="F1055" s="28" t="n"/>
      <c r="G1055" s="28" t="n"/>
      <c r="H1055" s="28" t="n"/>
      <c r="I1055" s="28" t="n"/>
      <c r="J1055" s="28" t="n"/>
      <c r="K1055" s="28" t="n"/>
      <c r="L1055" s="28" t="n"/>
      <c r="M1055" s="29" t="n"/>
      <c r="N1055" s="21" t="n"/>
      <c r="O1055" s="12">
        <f>IF(AND(B1055="",C1055=""),"",IF(NOT(ISNUMBER(B1055)),"Needs a date",IF(C1055="","Needs a client",IF(COUNTIF(Clients!$B$6:$B$105,C1055)=0,"Not on Clients",IF(COUNT(D1055:M1055)=0,"Nothing measured","")))))</f>
        <v/>
      </c>
      <c r="P1055" s="1">
        <f>IF(AND(O1055="",ISNUMBER(B1055)),INT(B1055),0)</f>
        <v/>
      </c>
      <c r="Q1055">
        <f>IF(AND(P1055&gt;0,C1055=Report!$C$5),P1055*10000+ROW(),"")</f>
        <v/>
      </c>
      <c r="R1055">
        <f>IF(AND(Q1055&lt;&gt;"",ISNUMBER(D1055)),Q1055,"")</f>
        <v/>
      </c>
      <c r="S1055">
        <f>IF(AND(Q1055&lt;&gt;"",ISNUMBER(E1055)),Q1055,"")</f>
        <v/>
      </c>
      <c r="T1055">
        <f>IF(AND(Q1055&lt;&gt;"",ISNUMBER(F1055)),Q1055,"")</f>
        <v/>
      </c>
      <c r="U1055">
        <f>IF(AND(Q1055&lt;&gt;"",ISNUMBER(G1055)),Q1055,"")</f>
        <v/>
      </c>
      <c r="V1055">
        <f>IF(AND(Q1055&lt;&gt;"",ISNUMBER(H1055)),Q1055,"")</f>
        <v/>
      </c>
      <c r="W1055">
        <f>IF(AND(Q1055&lt;&gt;"",ISNUMBER(I1055)),Q1055,"")</f>
        <v/>
      </c>
      <c r="X1055">
        <f>IF(AND(Q1055&lt;&gt;"",ISNUMBER(J1055)),Q1055,"")</f>
        <v/>
      </c>
      <c r="Y1055">
        <f>IF(AND(Q1055&lt;&gt;"",ISNUMBER(K1055)),Q1055,"")</f>
        <v/>
      </c>
      <c r="Z1055">
        <f>IF(AND(Q1055&lt;&gt;"",ISNUMBER(L1055)),Q1055,"")</f>
        <v/>
      </c>
      <c r="AA1055">
        <f>IF(AND(Q1055&lt;&gt;"",ISNUMBER(M1055)),Q1055,"")</f>
        <v/>
      </c>
      <c r="AB1055">
        <f>IF(AND(Q1055&lt;&gt;"",ISNUMBER(K1055)),K1055,"")</f>
        <v/>
      </c>
      <c r="AC1055">
        <f>IF(AND(Q1055&lt;&gt;"",ISNUMBER(L1055)),L1055,"")</f>
        <v/>
      </c>
      <c r="AD1055">
        <f>IF(AND(Q1055&lt;&gt;"",ISNUMBER(M1055)),M1055,"")</f>
        <v/>
      </c>
    </row>
    <row r="1056">
      <c r="A1056" s="1" t="n"/>
      <c r="B1056" s="17" t="n"/>
      <c r="C1056" s="27" t="n"/>
      <c r="D1056" s="28" t="n"/>
      <c r="E1056" s="28" t="n"/>
      <c r="F1056" s="28" t="n"/>
      <c r="G1056" s="28" t="n"/>
      <c r="H1056" s="28" t="n"/>
      <c r="I1056" s="28" t="n"/>
      <c r="J1056" s="28" t="n"/>
      <c r="K1056" s="28" t="n"/>
      <c r="L1056" s="28" t="n"/>
      <c r="M1056" s="29" t="n"/>
      <c r="N1056" s="21" t="n"/>
      <c r="O1056" s="12">
        <f>IF(AND(B1056="",C1056=""),"",IF(NOT(ISNUMBER(B1056)),"Needs a date",IF(C1056="","Needs a client",IF(COUNTIF(Clients!$B$6:$B$105,C1056)=0,"Not on Clients",IF(COUNT(D1056:M1056)=0,"Nothing measured","")))))</f>
        <v/>
      </c>
      <c r="P1056" s="1">
        <f>IF(AND(O1056="",ISNUMBER(B1056)),INT(B1056),0)</f>
        <v/>
      </c>
      <c r="Q1056">
        <f>IF(AND(P1056&gt;0,C1056=Report!$C$5),P1056*10000+ROW(),"")</f>
        <v/>
      </c>
      <c r="R1056">
        <f>IF(AND(Q1056&lt;&gt;"",ISNUMBER(D1056)),Q1056,"")</f>
        <v/>
      </c>
      <c r="S1056">
        <f>IF(AND(Q1056&lt;&gt;"",ISNUMBER(E1056)),Q1056,"")</f>
        <v/>
      </c>
      <c r="T1056">
        <f>IF(AND(Q1056&lt;&gt;"",ISNUMBER(F1056)),Q1056,"")</f>
        <v/>
      </c>
      <c r="U1056">
        <f>IF(AND(Q1056&lt;&gt;"",ISNUMBER(G1056)),Q1056,"")</f>
        <v/>
      </c>
      <c r="V1056">
        <f>IF(AND(Q1056&lt;&gt;"",ISNUMBER(H1056)),Q1056,"")</f>
        <v/>
      </c>
      <c r="W1056">
        <f>IF(AND(Q1056&lt;&gt;"",ISNUMBER(I1056)),Q1056,"")</f>
        <v/>
      </c>
      <c r="X1056">
        <f>IF(AND(Q1056&lt;&gt;"",ISNUMBER(J1056)),Q1056,"")</f>
        <v/>
      </c>
      <c r="Y1056">
        <f>IF(AND(Q1056&lt;&gt;"",ISNUMBER(K1056)),Q1056,"")</f>
        <v/>
      </c>
      <c r="Z1056">
        <f>IF(AND(Q1056&lt;&gt;"",ISNUMBER(L1056)),Q1056,"")</f>
        <v/>
      </c>
      <c r="AA1056">
        <f>IF(AND(Q1056&lt;&gt;"",ISNUMBER(M1056)),Q1056,"")</f>
        <v/>
      </c>
      <c r="AB1056">
        <f>IF(AND(Q1056&lt;&gt;"",ISNUMBER(K1056)),K1056,"")</f>
        <v/>
      </c>
      <c r="AC1056">
        <f>IF(AND(Q1056&lt;&gt;"",ISNUMBER(L1056)),L1056,"")</f>
        <v/>
      </c>
      <c r="AD1056">
        <f>IF(AND(Q1056&lt;&gt;"",ISNUMBER(M1056)),M1056,"")</f>
        <v/>
      </c>
    </row>
    <row r="1057">
      <c r="A1057" s="1" t="n"/>
      <c r="B1057" s="17" t="n"/>
      <c r="C1057" s="27" t="n"/>
      <c r="D1057" s="28" t="n"/>
      <c r="E1057" s="28" t="n"/>
      <c r="F1057" s="28" t="n"/>
      <c r="G1057" s="28" t="n"/>
      <c r="H1057" s="28" t="n"/>
      <c r="I1057" s="28" t="n"/>
      <c r="J1057" s="28" t="n"/>
      <c r="K1057" s="28" t="n"/>
      <c r="L1057" s="28" t="n"/>
      <c r="M1057" s="29" t="n"/>
      <c r="N1057" s="21" t="n"/>
      <c r="O1057" s="12">
        <f>IF(AND(B1057="",C1057=""),"",IF(NOT(ISNUMBER(B1057)),"Needs a date",IF(C1057="","Needs a client",IF(COUNTIF(Clients!$B$6:$B$105,C1057)=0,"Not on Clients",IF(COUNT(D1057:M1057)=0,"Nothing measured","")))))</f>
        <v/>
      </c>
      <c r="P1057" s="1">
        <f>IF(AND(O1057="",ISNUMBER(B1057)),INT(B1057),0)</f>
        <v/>
      </c>
      <c r="Q1057">
        <f>IF(AND(P1057&gt;0,C1057=Report!$C$5),P1057*10000+ROW(),"")</f>
        <v/>
      </c>
      <c r="R1057">
        <f>IF(AND(Q1057&lt;&gt;"",ISNUMBER(D1057)),Q1057,"")</f>
        <v/>
      </c>
      <c r="S1057">
        <f>IF(AND(Q1057&lt;&gt;"",ISNUMBER(E1057)),Q1057,"")</f>
        <v/>
      </c>
      <c r="T1057">
        <f>IF(AND(Q1057&lt;&gt;"",ISNUMBER(F1057)),Q1057,"")</f>
        <v/>
      </c>
      <c r="U1057">
        <f>IF(AND(Q1057&lt;&gt;"",ISNUMBER(G1057)),Q1057,"")</f>
        <v/>
      </c>
      <c r="V1057">
        <f>IF(AND(Q1057&lt;&gt;"",ISNUMBER(H1057)),Q1057,"")</f>
        <v/>
      </c>
      <c r="W1057">
        <f>IF(AND(Q1057&lt;&gt;"",ISNUMBER(I1057)),Q1057,"")</f>
        <v/>
      </c>
      <c r="X1057">
        <f>IF(AND(Q1057&lt;&gt;"",ISNUMBER(J1057)),Q1057,"")</f>
        <v/>
      </c>
      <c r="Y1057">
        <f>IF(AND(Q1057&lt;&gt;"",ISNUMBER(K1057)),Q1057,"")</f>
        <v/>
      </c>
      <c r="Z1057">
        <f>IF(AND(Q1057&lt;&gt;"",ISNUMBER(L1057)),Q1057,"")</f>
        <v/>
      </c>
      <c r="AA1057">
        <f>IF(AND(Q1057&lt;&gt;"",ISNUMBER(M1057)),Q1057,"")</f>
        <v/>
      </c>
      <c r="AB1057">
        <f>IF(AND(Q1057&lt;&gt;"",ISNUMBER(K1057)),K1057,"")</f>
        <v/>
      </c>
      <c r="AC1057">
        <f>IF(AND(Q1057&lt;&gt;"",ISNUMBER(L1057)),L1057,"")</f>
        <v/>
      </c>
      <c r="AD1057">
        <f>IF(AND(Q1057&lt;&gt;"",ISNUMBER(M1057)),M1057,"")</f>
        <v/>
      </c>
    </row>
    <row r="1058">
      <c r="A1058" s="1" t="n"/>
      <c r="B1058" s="17" t="n"/>
      <c r="C1058" s="27" t="n"/>
      <c r="D1058" s="28" t="n"/>
      <c r="E1058" s="28" t="n"/>
      <c r="F1058" s="28" t="n"/>
      <c r="G1058" s="28" t="n"/>
      <c r="H1058" s="28" t="n"/>
      <c r="I1058" s="28" t="n"/>
      <c r="J1058" s="28" t="n"/>
      <c r="K1058" s="28" t="n"/>
      <c r="L1058" s="28" t="n"/>
      <c r="M1058" s="29" t="n"/>
      <c r="N1058" s="21" t="n"/>
      <c r="O1058" s="12">
        <f>IF(AND(B1058="",C1058=""),"",IF(NOT(ISNUMBER(B1058)),"Needs a date",IF(C1058="","Needs a client",IF(COUNTIF(Clients!$B$6:$B$105,C1058)=0,"Not on Clients",IF(COUNT(D1058:M1058)=0,"Nothing measured","")))))</f>
        <v/>
      </c>
      <c r="P1058" s="1">
        <f>IF(AND(O1058="",ISNUMBER(B1058)),INT(B1058),0)</f>
        <v/>
      </c>
      <c r="Q1058">
        <f>IF(AND(P1058&gt;0,C1058=Report!$C$5),P1058*10000+ROW(),"")</f>
        <v/>
      </c>
      <c r="R1058">
        <f>IF(AND(Q1058&lt;&gt;"",ISNUMBER(D1058)),Q1058,"")</f>
        <v/>
      </c>
      <c r="S1058">
        <f>IF(AND(Q1058&lt;&gt;"",ISNUMBER(E1058)),Q1058,"")</f>
        <v/>
      </c>
      <c r="T1058">
        <f>IF(AND(Q1058&lt;&gt;"",ISNUMBER(F1058)),Q1058,"")</f>
        <v/>
      </c>
      <c r="U1058">
        <f>IF(AND(Q1058&lt;&gt;"",ISNUMBER(G1058)),Q1058,"")</f>
        <v/>
      </c>
      <c r="V1058">
        <f>IF(AND(Q1058&lt;&gt;"",ISNUMBER(H1058)),Q1058,"")</f>
        <v/>
      </c>
      <c r="W1058">
        <f>IF(AND(Q1058&lt;&gt;"",ISNUMBER(I1058)),Q1058,"")</f>
        <v/>
      </c>
      <c r="X1058">
        <f>IF(AND(Q1058&lt;&gt;"",ISNUMBER(J1058)),Q1058,"")</f>
        <v/>
      </c>
      <c r="Y1058">
        <f>IF(AND(Q1058&lt;&gt;"",ISNUMBER(K1058)),Q1058,"")</f>
        <v/>
      </c>
      <c r="Z1058">
        <f>IF(AND(Q1058&lt;&gt;"",ISNUMBER(L1058)),Q1058,"")</f>
        <v/>
      </c>
      <c r="AA1058">
        <f>IF(AND(Q1058&lt;&gt;"",ISNUMBER(M1058)),Q1058,"")</f>
        <v/>
      </c>
      <c r="AB1058">
        <f>IF(AND(Q1058&lt;&gt;"",ISNUMBER(K1058)),K1058,"")</f>
        <v/>
      </c>
      <c r="AC1058">
        <f>IF(AND(Q1058&lt;&gt;"",ISNUMBER(L1058)),L1058,"")</f>
        <v/>
      </c>
      <c r="AD1058">
        <f>IF(AND(Q1058&lt;&gt;"",ISNUMBER(M1058)),M1058,"")</f>
        <v/>
      </c>
    </row>
    <row r="1059">
      <c r="A1059" s="1" t="n"/>
      <c r="B1059" s="17" t="n"/>
      <c r="C1059" s="27" t="n"/>
      <c r="D1059" s="28" t="n"/>
      <c r="E1059" s="28" t="n"/>
      <c r="F1059" s="28" t="n"/>
      <c r="G1059" s="28" t="n"/>
      <c r="H1059" s="28" t="n"/>
      <c r="I1059" s="28" t="n"/>
      <c r="J1059" s="28" t="n"/>
      <c r="K1059" s="28" t="n"/>
      <c r="L1059" s="28" t="n"/>
      <c r="M1059" s="29" t="n"/>
      <c r="N1059" s="21" t="n"/>
      <c r="O1059" s="12">
        <f>IF(AND(B1059="",C1059=""),"",IF(NOT(ISNUMBER(B1059)),"Needs a date",IF(C1059="","Needs a client",IF(COUNTIF(Clients!$B$6:$B$105,C1059)=0,"Not on Clients",IF(COUNT(D1059:M1059)=0,"Nothing measured","")))))</f>
        <v/>
      </c>
      <c r="P1059" s="1">
        <f>IF(AND(O1059="",ISNUMBER(B1059)),INT(B1059),0)</f>
        <v/>
      </c>
      <c r="Q1059">
        <f>IF(AND(P1059&gt;0,C1059=Report!$C$5),P1059*10000+ROW(),"")</f>
        <v/>
      </c>
      <c r="R1059">
        <f>IF(AND(Q1059&lt;&gt;"",ISNUMBER(D1059)),Q1059,"")</f>
        <v/>
      </c>
      <c r="S1059">
        <f>IF(AND(Q1059&lt;&gt;"",ISNUMBER(E1059)),Q1059,"")</f>
        <v/>
      </c>
      <c r="T1059">
        <f>IF(AND(Q1059&lt;&gt;"",ISNUMBER(F1059)),Q1059,"")</f>
        <v/>
      </c>
      <c r="U1059">
        <f>IF(AND(Q1059&lt;&gt;"",ISNUMBER(G1059)),Q1059,"")</f>
        <v/>
      </c>
      <c r="V1059">
        <f>IF(AND(Q1059&lt;&gt;"",ISNUMBER(H1059)),Q1059,"")</f>
        <v/>
      </c>
      <c r="W1059">
        <f>IF(AND(Q1059&lt;&gt;"",ISNUMBER(I1059)),Q1059,"")</f>
        <v/>
      </c>
      <c r="X1059">
        <f>IF(AND(Q1059&lt;&gt;"",ISNUMBER(J1059)),Q1059,"")</f>
        <v/>
      </c>
      <c r="Y1059">
        <f>IF(AND(Q1059&lt;&gt;"",ISNUMBER(K1059)),Q1059,"")</f>
        <v/>
      </c>
      <c r="Z1059">
        <f>IF(AND(Q1059&lt;&gt;"",ISNUMBER(L1059)),Q1059,"")</f>
        <v/>
      </c>
      <c r="AA1059">
        <f>IF(AND(Q1059&lt;&gt;"",ISNUMBER(M1059)),Q1059,"")</f>
        <v/>
      </c>
      <c r="AB1059">
        <f>IF(AND(Q1059&lt;&gt;"",ISNUMBER(K1059)),K1059,"")</f>
        <v/>
      </c>
      <c r="AC1059">
        <f>IF(AND(Q1059&lt;&gt;"",ISNUMBER(L1059)),L1059,"")</f>
        <v/>
      </c>
      <c r="AD1059">
        <f>IF(AND(Q1059&lt;&gt;"",ISNUMBER(M1059)),M1059,"")</f>
        <v/>
      </c>
    </row>
    <row r="1060">
      <c r="A1060" s="1" t="n"/>
      <c r="B1060" s="17" t="n"/>
      <c r="C1060" s="27" t="n"/>
      <c r="D1060" s="28" t="n"/>
      <c r="E1060" s="28" t="n"/>
      <c r="F1060" s="28" t="n"/>
      <c r="G1060" s="28" t="n"/>
      <c r="H1060" s="28" t="n"/>
      <c r="I1060" s="28" t="n"/>
      <c r="J1060" s="28" t="n"/>
      <c r="K1060" s="28" t="n"/>
      <c r="L1060" s="28" t="n"/>
      <c r="M1060" s="29" t="n"/>
      <c r="N1060" s="21" t="n"/>
      <c r="O1060" s="12">
        <f>IF(AND(B1060="",C1060=""),"",IF(NOT(ISNUMBER(B1060)),"Needs a date",IF(C1060="","Needs a client",IF(COUNTIF(Clients!$B$6:$B$105,C1060)=0,"Not on Clients",IF(COUNT(D1060:M1060)=0,"Nothing measured","")))))</f>
        <v/>
      </c>
      <c r="P1060" s="1">
        <f>IF(AND(O1060="",ISNUMBER(B1060)),INT(B1060),0)</f>
        <v/>
      </c>
      <c r="Q1060">
        <f>IF(AND(P1060&gt;0,C1060=Report!$C$5),P1060*10000+ROW(),"")</f>
        <v/>
      </c>
      <c r="R1060">
        <f>IF(AND(Q1060&lt;&gt;"",ISNUMBER(D1060)),Q1060,"")</f>
        <v/>
      </c>
      <c r="S1060">
        <f>IF(AND(Q1060&lt;&gt;"",ISNUMBER(E1060)),Q1060,"")</f>
        <v/>
      </c>
      <c r="T1060">
        <f>IF(AND(Q1060&lt;&gt;"",ISNUMBER(F1060)),Q1060,"")</f>
        <v/>
      </c>
      <c r="U1060">
        <f>IF(AND(Q1060&lt;&gt;"",ISNUMBER(G1060)),Q1060,"")</f>
        <v/>
      </c>
      <c r="V1060">
        <f>IF(AND(Q1060&lt;&gt;"",ISNUMBER(H1060)),Q1060,"")</f>
        <v/>
      </c>
      <c r="W1060">
        <f>IF(AND(Q1060&lt;&gt;"",ISNUMBER(I1060)),Q1060,"")</f>
        <v/>
      </c>
      <c r="X1060">
        <f>IF(AND(Q1060&lt;&gt;"",ISNUMBER(J1060)),Q1060,"")</f>
        <v/>
      </c>
      <c r="Y1060">
        <f>IF(AND(Q1060&lt;&gt;"",ISNUMBER(K1060)),Q1060,"")</f>
        <v/>
      </c>
      <c r="Z1060">
        <f>IF(AND(Q1060&lt;&gt;"",ISNUMBER(L1060)),Q1060,"")</f>
        <v/>
      </c>
      <c r="AA1060">
        <f>IF(AND(Q1060&lt;&gt;"",ISNUMBER(M1060)),Q1060,"")</f>
        <v/>
      </c>
      <c r="AB1060">
        <f>IF(AND(Q1060&lt;&gt;"",ISNUMBER(K1060)),K1060,"")</f>
        <v/>
      </c>
      <c r="AC1060">
        <f>IF(AND(Q1060&lt;&gt;"",ISNUMBER(L1060)),L1060,"")</f>
        <v/>
      </c>
      <c r="AD1060">
        <f>IF(AND(Q1060&lt;&gt;"",ISNUMBER(M1060)),M1060,"")</f>
        <v/>
      </c>
    </row>
    <row r="1061">
      <c r="A1061" s="1" t="n"/>
      <c r="B1061" s="17" t="n"/>
      <c r="C1061" s="27" t="n"/>
      <c r="D1061" s="28" t="n"/>
      <c r="E1061" s="28" t="n"/>
      <c r="F1061" s="28" t="n"/>
      <c r="G1061" s="28" t="n"/>
      <c r="H1061" s="28" t="n"/>
      <c r="I1061" s="28" t="n"/>
      <c r="J1061" s="28" t="n"/>
      <c r="K1061" s="28" t="n"/>
      <c r="L1061" s="28" t="n"/>
      <c r="M1061" s="29" t="n"/>
      <c r="N1061" s="21" t="n"/>
      <c r="O1061" s="12">
        <f>IF(AND(B1061="",C1061=""),"",IF(NOT(ISNUMBER(B1061)),"Needs a date",IF(C1061="","Needs a client",IF(COUNTIF(Clients!$B$6:$B$105,C1061)=0,"Not on Clients",IF(COUNT(D1061:M1061)=0,"Nothing measured","")))))</f>
        <v/>
      </c>
      <c r="P1061" s="1">
        <f>IF(AND(O1061="",ISNUMBER(B1061)),INT(B1061),0)</f>
        <v/>
      </c>
      <c r="Q1061">
        <f>IF(AND(P1061&gt;0,C1061=Report!$C$5),P1061*10000+ROW(),"")</f>
        <v/>
      </c>
      <c r="R1061">
        <f>IF(AND(Q1061&lt;&gt;"",ISNUMBER(D1061)),Q1061,"")</f>
        <v/>
      </c>
      <c r="S1061">
        <f>IF(AND(Q1061&lt;&gt;"",ISNUMBER(E1061)),Q1061,"")</f>
        <v/>
      </c>
      <c r="T1061">
        <f>IF(AND(Q1061&lt;&gt;"",ISNUMBER(F1061)),Q1061,"")</f>
        <v/>
      </c>
      <c r="U1061">
        <f>IF(AND(Q1061&lt;&gt;"",ISNUMBER(G1061)),Q1061,"")</f>
        <v/>
      </c>
      <c r="V1061">
        <f>IF(AND(Q1061&lt;&gt;"",ISNUMBER(H1061)),Q1061,"")</f>
        <v/>
      </c>
      <c r="W1061">
        <f>IF(AND(Q1061&lt;&gt;"",ISNUMBER(I1061)),Q1061,"")</f>
        <v/>
      </c>
      <c r="X1061">
        <f>IF(AND(Q1061&lt;&gt;"",ISNUMBER(J1061)),Q1061,"")</f>
        <v/>
      </c>
      <c r="Y1061">
        <f>IF(AND(Q1061&lt;&gt;"",ISNUMBER(K1061)),Q1061,"")</f>
        <v/>
      </c>
      <c r="Z1061">
        <f>IF(AND(Q1061&lt;&gt;"",ISNUMBER(L1061)),Q1061,"")</f>
        <v/>
      </c>
      <c r="AA1061">
        <f>IF(AND(Q1061&lt;&gt;"",ISNUMBER(M1061)),Q1061,"")</f>
        <v/>
      </c>
      <c r="AB1061">
        <f>IF(AND(Q1061&lt;&gt;"",ISNUMBER(K1061)),K1061,"")</f>
        <v/>
      </c>
      <c r="AC1061">
        <f>IF(AND(Q1061&lt;&gt;"",ISNUMBER(L1061)),L1061,"")</f>
        <v/>
      </c>
      <c r="AD1061">
        <f>IF(AND(Q1061&lt;&gt;"",ISNUMBER(M1061)),M1061,"")</f>
        <v/>
      </c>
    </row>
    <row r="1062">
      <c r="A1062" s="1" t="n"/>
      <c r="B1062" s="17" t="n"/>
      <c r="C1062" s="27" t="n"/>
      <c r="D1062" s="28" t="n"/>
      <c r="E1062" s="28" t="n"/>
      <c r="F1062" s="28" t="n"/>
      <c r="G1062" s="28" t="n"/>
      <c r="H1062" s="28" t="n"/>
      <c r="I1062" s="28" t="n"/>
      <c r="J1062" s="28" t="n"/>
      <c r="K1062" s="28" t="n"/>
      <c r="L1062" s="28" t="n"/>
      <c r="M1062" s="29" t="n"/>
      <c r="N1062" s="21" t="n"/>
      <c r="O1062" s="12">
        <f>IF(AND(B1062="",C1062=""),"",IF(NOT(ISNUMBER(B1062)),"Needs a date",IF(C1062="","Needs a client",IF(COUNTIF(Clients!$B$6:$B$105,C1062)=0,"Not on Clients",IF(COUNT(D1062:M1062)=0,"Nothing measured","")))))</f>
        <v/>
      </c>
      <c r="P1062" s="1">
        <f>IF(AND(O1062="",ISNUMBER(B1062)),INT(B1062),0)</f>
        <v/>
      </c>
      <c r="Q1062">
        <f>IF(AND(P1062&gt;0,C1062=Report!$C$5),P1062*10000+ROW(),"")</f>
        <v/>
      </c>
      <c r="R1062">
        <f>IF(AND(Q1062&lt;&gt;"",ISNUMBER(D1062)),Q1062,"")</f>
        <v/>
      </c>
      <c r="S1062">
        <f>IF(AND(Q1062&lt;&gt;"",ISNUMBER(E1062)),Q1062,"")</f>
        <v/>
      </c>
      <c r="T1062">
        <f>IF(AND(Q1062&lt;&gt;"",ISNUMBER(F1062)),Q1062,"")</f>
        <v/>
      </c>
      <c r="U1062">
        <f>IF(AND(Q1062&lt;&gt;"",ISNUMBER(G1062)),Q1062,"")</f>
        <v/>
      </c>
      <c r="V1062">
        <f>IF(AND(Q1062&lt;&gt;"",ISNUMBER(H1062)),Q1062,"")</f>
        <v/>
      </c>
      <c r="W1062">
        <f>IF(AND(Q1062&lt;&gt;"",ISNUMBER(I1062)),Q1062,"")</f>
        <v/>
      </c>
      <c r="X1062">
        <f>IF(AND(Q1062&lt;&gt;"",ISNUMBER(J1062)),Q1062,"")</f>
        <v/>
      </c>
      <c r="Y1062">
        <f>IF(AND(Q1062&lt;&gt;"",ISNUMBER(K1062)),Q1062,"")</f>
        <v/>
      </c>
      <c r="Z1062">
        <f>IF(AND(Q1062&lt;&gt;"",ISNUMBER(L1062)),Q1062,"")</f>
        <v/>
      </c>
      <c r="AA1062">
        <f>IF(AND(Q1062&lt;&gt;"",ISNUMBER(M1062)),Q1062,"")</f>
        <v/>
      </c>
      <c r="AB1062">
        <f>IF(AND(Q1062&lt;&gt;"",ISNUMBER(K1062)),K1062,"")</f>
        <v/>
      </c>
      <c r="AC1062">
        <f>IF(AND(Q1062&lt;&gt;"",ISNUMBER(L1062)),L1062,"")</f>
        <v/>
      </c>
      <c r="AD1062">
        <f>IF(AND(Q1062&lt;&gt;"",ISNUMBER(M1062)),M1062,"")</f>
        <v/>
      </c>
    </row>
    <row r="1063">
      <c r="A1063" s="1" t="n"/>
      <c r="B1063" s="17" t="n"/>
      <c r="C1063" s="27" t="n"/>
      <c r="D1063" s="28" t="n"/>
      <c r="E1063" s="28" t="n"/>
      <c r="F1063" s="28" t="n"/>
      <c r="G1063" s="28" t="n"/>
      <c r="H1063" s="28" t="n"/>
      <c r="I1063" s="28" t="n"/>
      <c r="J1063" s="28" t="n"/>
      <c r="K1063" s="28" t="n"/>
      <c r="L1063" s="28" t="n"/>
      <c r="M1063" s="29" t="n"/>
      <c r="N1063" s="21" t="n"/>
      <c r="O1063" s="12">
        <f>IF(AND(B1063="",C1063=""),"",IF(NOT(ISNUMBER(B1063)),"Needs a date",IF(C1063="","Needs a client",IF(COUNTIF(Clients!$B$6:$B$105,C1063)=0,"Not on Clients",IF(COUNT(D1063:M1063)=0,"Nothing measured","")))))</f>
        <v/>
      </c>
      <c r="P1063" s="1">
        <f>IF(AND(O1063="",ISNUMBER(B1063)),INT(B1063),0)</f>
        <v/>
      </c>
      <c r="Q1063">
        <f>IF(AND(P1063&gt;0,C1063=Report!$C$5),P1063*10000+ROW(),"")</f>
        <v/>
      </c>
      <c r="R1063">
        <f>IF(AND(Q1063&lt;&gt;"",ISNUMBER(D1063)),Q1063,"")</f>
        <v/>
      </c>
      <c r="S1063">
        <f>IF(AND(Q1063&lt;&gt;"",ISNUMBER(E1063)),Q1063,"")</f>
        <v/>
      </c>
      <c r="T1063">
        <f>IF(AND(Q1063&lt;&gt;"",ISNUMBER(F1063)),Q1063,"")</f>
        <v/>
      </c>
      <c r="U1063">
        <f>IF(AND(Q1063&lt;&gt;"",ISNUMBER(G1063)),Q1063,"")</f>
        <v/>
      </c>
      <c r="V1063">
        <f>IF(AND(Q1063&lt;&gt;"",ISNUMBER(H1063)),Q1063,"")</f>
        <v/>
      </c>
      <c r="W1063">
        <f>IF(AND(Q1063&lt;&gt;"",ISNUMBER(I1063)),Q1063,"")</f>
        <v/>
      </c>
      <c r="X1063">
        <f>IF(AND(Q1063&lt;&gt;"",ISNUMBER(J1063)),Q1063,"")</f>
        <v/>
      </c>
      <c r="Y1063">
        <f>IF(AND(Q1063&lt;&gt;"",ISNUMBER(K1063)),Q1063,"")</f>
        <v/>
      </c>
      <c r="Z1063">
        <f>IF(AND(Q1063&lt;&gt;"",ISNUMBER(L1063)),Q1063,"")</f>
        <v/>
      </c>
      <c r="AA1063">
        <f>IF(AND(Q1063&lt;&gt;"",ISNUMBER(M1063)),Q1063,"")</f>
        <v/>
      </c>
      <c r="AB1063">
        <f>IF(AND(Q1063&lt;&gt;"",ISNUMBER(K1063)),K1063,"")</f>
        <v/>
      </c>
      <c r="AC1063">
        <f>IF(AND(Q1063&lt;&gt;"",ISNUMBER(L1063)),L1063,"")</f>
        <v/>
      </c>
      <c r="AD1063">
        <f>IF(AND(Q1063&lt;&gt;"",ISNUMBER(M1063)),M1063,"")</f>
        <v/>
      </c>
    </row>
    <row r="1064">
      <c r="A1064" s="1" t="n"/>
      <c r="B1064" s="17" t="n"/>
      <c r="C1064" s="27" t="n"/>
      <c r="D1064" s="28" t="n"/>
      <c r="E1064" s="28" t="n"/>
      <c r="F1064" s="28" t="n"/>
      <c r="G1064" s="28" t="n"/>
      <c r="H1064" s="28" t="n"/>
      <c r="I1064" s="28" t="n"/>
      <c r="J1064" s="28" t="n"/>
      <c r="K1064" s="28" t="n"/>
      <c r="L1064" s="28" t="n"/>
      <c r="M1064" s="29" t="n"/>
      <c r="N1064" s="21" t="n"/>
      <c r="O1064" s="12">
        <f>IF(AND(B1064="",C1064=""),"",IF(NOT(ISNUMBER(B1064)),"Needs a date",IF(C1064="","Needs a client",IF(COUNTIF(Clients!$B$6:$B$105,C1064)=0,"Not on Clients",IF(COUNT(D1064:M1064)=0,"Nothing measured","")))))</f>
        <v/>
      </c>
      <c r="P1064" s="1">
        <f>IF(AND(O1064="",ISNUMBER(B1064)),INT(B1064),0)</f>
        <v/>
      </c>
      <c r="Q1064">
        <f>IF(AND(P1064&gt;0,C1064=Report!$C$5),P1064*10000+ROW(),"")</f>
        <v/>
      </c>
      <c r="R1064">
        <f>IF(AND(Q1064&lt;&gt;"",ISNUMBER(D1064)),Q1064,"")</f>
        <v/>
      </c>
      <c r="S1064">
        <f>IF(AND(Q1064&lt;&gt;"",ISNUMBER(E1064)),Q1064,"")</f>
        <v/>
      </c>
      <c r="T1064">
        <f>IF(AND(Q1064&lt;&gt;"",ISNUMBER(F1064)),Q1064,"")</f>
        <v/>
      </c>
      <c r="U1064">
        <f>IF(AND(Q1064&lt;&gt;"",ISNUMBER(G1064)),Q1064,"")</f>
        <v/>
      </c>
      <c r="V1064">
        <f>IF(AND(Q1064&lt;&gt;"",ISNUMBER(H1064)),Q1064,"")</f>
        <v/>
      </c>
      <c r="W1064">
        <f>IF(AND(Q1064&lt;&gt;"",ISNUMBER(I1064)),Q1064,"")</f>
        <v/>
      </c>
      <c r="X1064">
        <f>IF(AND(Q1064&lt;&gt;"",ISNUMBER(J1064)),Q1064,"")</f>
        <v/>
      </c>
      <c r="Y1064">
        <f>IF(AND(Q1064&lt;&gt;"",ISNUMBER(K1064)),Q1064,"")</f>
        <v/>
      </c>
      <c r="Z1064">
        <f>IF(AND(Q1064&lt;&gt;"",ISNUMBER(L1064)),Q1064,"")</f>
        <v/>
      </c>
      <c r="AA1064">
        <f>IF(AND(Q1064&lt;&gt;"",ISNUMBER(M1064)),Q1064,"")</f>
        <v/>
      </c>
      <c r="AB1064">
        <f>IF(AND(Q1064&lt;&gt;"",ISNUMBER(K1064)),K1064,"")</f>
        <v/>
      </c>
      <c r="AC1064">
        <f>IF(AND(Q1064&lt;&gt;"",ISNUMBER(L1064)),L1064,"")</f>
        <v/>
      </c>
      <c r="AD1064">
        <f>IF(AND(Q1064&lt;&gt;"",ISNUMBER(M1064)),M1064,"")</f>
        <v/>
      </c>
    </row>
    <row r="1065">
      <c r="A1065" s="1" t="n"/>
      <c r="B1065" s="17" t="n"/>
      <c r="C1065" s="27" t="n"/>
      <c r="D1065" s="28" t="n"/>
      <c r="E1065" s="28" t="n"/>
      <c r="F1065" s="28" t="n"/>
      <c r="G1065" s="28" t="n"/>
      <c r="H1065" s="28" t="n"/>
      <c r="I1065" s="28" t="n"/>
      <c r="J1065" s="28" t="n"/>
      <c r="K1065" s="28" t="n"/>
      <c r="L1065" s="28" t="n"/>
      <c r="M1065" s="29" t="n"/>
      <c r="N1065" s="21" t="n"/>
      <c r="O1065" s="12">
        <f>IF(AND(B1065="",C1065=""),"",IF(NOT(ISNUMBER(B1065)),"Needs a date",IF(C1065="","Needs a client",IF(COUNTIF(Clients!$B$6:$B$105,C1065)=0,"Not on Clients",IF(COUNT(D1065:M1065)=0,"Nothing measured","")))))</f>
        <v/>
      </c>
      <c r="P1065" s="1">
        <f>IF(AND(O1065="",ISNUMBER(B1065)),INT(B1065),0)</f>
        <v/>
      </c>
      <c r="Q1065">
        <f>IF(AND(P1065&gt;0,C1065=Report!$C$5),P1065*10000+ROW(),"")</f>
        <v/>
      </c>
      <c r="R1065">
        <f>IF(AND(Q1065&lt;&gt;"",ISNUMBER(D1065)),Q1065,"")</f>
        <v/>
      </c>
      <c r="S1065">
        <f>IF(AND(Q1065&lt;&gt;"",ISNUMBER(E1065)),Q1065,"")</f>
        <v/>
      </c>
      <c r="T1065">
        <f>IF(AND(Q1065&lt;&gt;"",ISNUMBER(F1065)),Q1065,"")</f>
        <v/>
      </c>
      <c r="U1065">
        <f>IF(AND(Q1065&lt;&gt;"",ISNUMBER(G1065)),Q1065,"")</f>
        <v/>
      </c>
      <c r="V1065">
        <f>IF(AND(Q1065&lt;&gt;"",ISNUMBER(H1065)),Q1065,"")</f>
        <v/>
      </c>
      <c r="W1065">
        <f>IF(AND(Q1065&lt;&gt;"",ISNUMBER(I1065)),Q1065,"")</f>
        <v/>
      </c>
      <c r="X1065">
        <f>IF(AND(Q1065&lt;&gt;"",ISNUMBER(J1065)),Q1065,"")</f>
        <v/>
      </c>
      <c r="Y1065">
        <f>IF(AND(Q1065&lt;&gt;"",ISNUMBER(K1065)),Q1065,"")</f>
        <v/>
      </c>
      <c r="Z1065">
        <f>IF(AND(Q1065&lt;&gt;"",ISNUMBER(L1065)),Q1065,"")</f>
        <v/>
      </c>
      <c r="AA1065">
        <f>IF(AND(Q1065&lt;&gt;"",ISNUMBER(M1065)),Q1065,"")</f>
        <v/>
      </c>
      <c r="AB1065">
        <f>IF(AND(Q1065&lt;&gt;"",ISNUMBER(K1065)),K1065,"")</f>
        <v/>
      </c>
      <c r="AC1065">
        <f>IF(AND(Q1065&lt;&gt;"",ISNUMBER(L1065)),L1065,"")</f>
        <v/>
      </c>
      <c r="AD1065">
        <f>IF(AND(Q1065&lt;&gt;"",ISNUMBER(M1065)),M1065,"")</f>
        <v/>
      </c>
    </row>
    <row r="1066">
      <c r="A1066" s="1" t="n"/>
      <c r="B1066" s="17" t="n"/>
      <c r="C1066" s="27" t="n"/>
      <c r="D1066" s="28" t="n"/>
      <c r="E1066" s="28" t="n"/>
      <c r="F1066" s="28" t="n"/>
      <c r="G1066" s="28" t="n"/>
      <c r="H1066" s="28" t="n"/>
      <c r="I1066" s="28" t="n"/>
      <c r="J1066" s="28" t="n"/>
      <c r="K1066" s="28" t="n"/>
      <c r="L1066" s="28" t="n"/>
      <c r="M1066" s="29" t="n"/>
      <c r="N1066" s="21" t="n"/>
      <c r="O1066" s="12">
        <f>IF(AND(B1066="",C1066=""),"",IF(NOT(ISNUMBER(B1066)),"Needs a date",IF(C1066="","Needs a client",IF(COUNTIF(Clients!$B$6:$B$105,C1066)=0,"Not on Clients",IF(COUNT(D1066:M1066)=0,"Nothing measured","")))))</f>
        <v/>
      </c>
      <c r="P1066" s="1">
        <f>IF(AND(O1066="",ISNUMBER(B1066)),INT(B1066),0)</f>
        <v/>
      </c>
      <c r="Q1066">
        <f>IF(AND(P1066&gt;0,C1066=Report!$C$5),P1066*10000+ROW(),"")</f>
        <v/>
      </c>
      <c r="R1066">
        <f>IF(AND(Q1066&lt;&gt;"",ISNUMBER(D1066)),Q1066,"")</f>
        <v/>
      </c>
      <c r="S1066">
        <f>IF(AND(Q1066&lt;&gt;"",ISNUMBER(E1066)),Q1066,"")</f>
        <v/>
      </c>
      <c r="T1066">
        <f>IF(AND(Q1066&lt;&gt;"",ISNUMBER(F1066)),Q1066,"")</f>
        <v/>
      </c>
      <c r="U1066">
        <f>IF(AND(Q1066&lt;&gt;"",ISNUMBER(G1066)),Q1066,"")</f>
        <v/>
      </c>
      <c r="V1066">
        <f>IF(AND(Q1066&lt;&gt;"",ISNUMBER(H1066)),Q1066,"")</f>
        <v/>
      </c>
      <c r="W1066">
        <f>IF(AND(Q1066&lt;&gt;"",ISNUMBER(I1066)),Q1066,"")</f>
        <v/>
      </c>
      <c r="X1066">
        <f>IF(AND(Q1066&lt;&gt;"",ISNUMBER(J1066)),Q1066,"")</f>
        <v/>
      </c>
      <c r="Y1066">
        <f>IF(AND(Q1066&lt;&gt;"",ISNUMBER(K1066)),Q1066,"")</f>
        <v/>
      </c>
      <c r="Z1066">
        <f>IF(AND(Q1066&lt;&gt;"",ISNUMBER(L1066)),Q1066,"")</f>
        <v/>
      </c>
      <c r="AA1066">
        <f>IF(AND(Q1066&lt;&gt;"",ISNUMBER(M1066)),Q1066,"")</f>
        <v/>
      </c>
      <c r="AB1066">
        <f>IF(AND(Q1066&lt;&gt;"",ISNUMBER(K1066)),K1066,"")</f>
        <v/>
      </c>
      <c r="AC1066">
        <f>IF(AND(Q1066&lt;&gt;"",ISNUMBER(L1066)),L1066,"")</f>
        <v/>
      </c>
      <c r="AD1066">
        <f>IF(AND(Q1066&lt;&gt;"",ISNUMBER(M1066)),M1066,"")</f>
        <v/>
      </c>
    </row>
    <row r="1067">
      <c r="A1067" s="1" t="n"/>
      <c r="B1067" s="17" t="n"/>
      <c r="C1067" s="27" t="n"/>
      <c r="D1067" s="28" t="n"/>
      <c r="E1067" s="28" t="n"/>
      <c r="F1067" s="28" t="n"/>
      <c r="G1067" s="28" t="n"/>
      <c r="H1067" s="28" t="n"/>
      <c r="I1067" s="28" t="n"/>
      <c r="J1067" s="28" t="n"/>
      <c r="K1067" s="28" t="n"/>
      <c r="L1067" s="28" t="n"/>
      <c r="M1067" s="29" t="n"/>
      <c r="N1067" s="21" t="n"/>
      <c r="O1067" s="12">
        <f>IF(AND(B1067="",C1067=""),"",IF(NOT(ISNUMBER(B1067)),"Needs a date",IF(C1067="","Needs a client",IF(COUNTIF(Clients!$B$6:$B$105,C1067)=0,"Not on Clients",IF(COUNT(D1067:M1067)=0,"Nothing measured","")))))</f>
        <v/>
      </c>
      <c r="P1067" s="1">
        <f>IF(AND(O1067="",ISNUMBER(B1067)),INT(B1067),0)</f>
        <v/>
      </c>
      <c r="Q1067">
        <f>IF(AND(P1067&gt;0,C1067=Report!$C$5),P1067*10000+ROW(),"")</f>
        <v/>
      </c>
      <c r="R1067">
        <f>IF(AND(Q1067&lt;&gt;"",ISNUMBER(D1067)),Q1067,"")</f>
        <v/>
      </c>
      <c r="S1067">
        <f>IF(AND(Q1067&lt;&gt;"",ISNUMBER(E1067)),Q1067,"")</f>
        <v/>
      </c>
      <c r="T1067">
        <f>IF(AND(Q1067&lt;&gt;"",ISNUMBER(F1067)),Q1067,"")</f>
        <v/>
      </c>
      <c r="U1067">
        <f>IF(AND(Q1067&lt;&gt;"",ISNUMBER(G1067)),Q1067,"")</f>
        <v/>
      </c>
      <c r="V1067">
        <f>IF(AND(Q1067&lt;&gt;"",ISNUMBER(H1067)),Q1067,"")</f>
        <v/>
      </c>
      <c r="W1067">
        <f>IF(AND(Q1067&lt;&gt;"",ISNUMBER(I1067)),Q1067,"")</f>
        <v/>
      </c>
      <c r="X1067">
        <f>IF(AND(Q1067&lt;&gt;"",ISNUMBER(J1067)),Q1067,"")</f>
        <v/>
      </c>
      <c r="Y1067">
        <f>IF(AND(Q1067&lt;&gt;"",ISNUMBER(K1067)),Q1067,"")</f>
        <v/>
      </c>
      <c r="Z1067">
        <f>IF(AND(Q1067&lt;&gt;"",ISNUMBER(L1067)),Q1067,"")</f>
        <v/>
      </c>
      <c r="AA1067">
        <f>IF(AND(Q1067&lt;&gt;"",ISNUMBER(M1067)),Q1067,"")</f>
        <v/>
      </c>
      <c r="AB1067">
        <f>IF(AND(Q1067&lt;&gt;"",ISNUMBER(K1067)),K1067,"")</f>
        <v/>
      </c>
      <c r="AC1067">
        <f>IF(AND(Q1067&lt;&gt;"",ISNUMBER(L1067)),L1067,"")</f>
        <v/>
      </c>
      <c r="AD1067">
        <f>IF(AND(Q1067&lt;&gt;"",ISNUMBER(M1067)),M1067,"")</f>
        <v/>
      </c>
    </row>
    <row r="1068">
      <c r="A1068" s="1" t="n"/>
      <c r="B1068" s="17" t="n"/>
      <c r="C1068" s="27" t="n"/>
      <c r="D1068" s="28" t="n"/>
      <c r="E1068" s="28" t="n"/>
      <c r="F1068" s="28" t="n"/>
      <c r="G1068" s="28" t="n"/>
      <c r="H1068" s="28" t="n"/>
      <c r="I1068" s="28" t="n"/>
      <c r="J1068" s="28" t="n"/>
      <c r="K1068" s="28" t="n"/>
      <c r="L1068" s="28" t="n"/>
      <c r="M1068" s="29" t="n"/>
      <c r="N1068" s="21" t="n"/>
      <c r="O1068" s="12">
        <f>IF(AND(B1068="",C1068=""),"",IF(NOT(ISNUMBER(B1068)),"Needs a date",IF(C1068="","Needs a client",IF(COUNTIF(Clients!$B$6:$B$105,C1068)=0,"Not on Clients",IF(COUNT(D1068:M1068)=0,"Nothing measured","")))))</f>
        <v/>
      </c>
      <c r="P1068" s="1">
        <f>IF(AND(O1068="",ISNUMBER(B1068)),INT(B1068),0)</f>
        <v/>
      </c>
      <c r="Q1068">
        <f>IF(AND(P1068&gt;0,C1068=Report!$C$5),P1068*10000+ROW(),"")</f>
        <v/>
      </c>
      <c r="R1068">
        <f>IF(AND(Q1068&lt;&gt;"",ISNUMBER(D1068)),Q1068,"")</f>
        <v/>
      </c>
      <c r="S1068">
        <f>IF(AND(Q1068&lt;&gt;"",ISNUMBER(E1068)),Q1068,"")</f>
        <v/>
      </c>
      <c r="T1068">
        <f>IF(AND(Q1068&lt;&gt;"",ISNUMBER(F1068)),Q1068,"")</f>
        <v/>
      </c>
      <c r="U1068">
        <f>IF(AND(Q1068&lt;&gt;"",ISNUMBER(G1068)),Q1068,"")</f>
        <v/>
      </c>
      <c r="V1068">
        <f>IF(AND(Q1068&lt;&gt;"",ISNUMBER(H1068)),Q1068,"")</f>
        <v/>
      </c>
      <c r="W1068">
        <f>IF(AND(Q1068&lt;&gt;"",ISNUMBER(I1068)),Q1068,"")</f>
        <v/>
      </c>
      <c r="X1068">
        <f>IF(AND(Q1068&lt;&gt;"",ISNUMBER(J1068)),Q1068,"")</f>
        <v/>
      </c>
      <c r="Y1068">
        <f>IF(AND(Q1068&lt;&gt;"",ISNUMBER(K1068)),Q1068,"")</f>
        <v/>
      </c>
      <c r="Z1068">
        <f>IF(AND(Q1068&lt;&gt;"",ISNUMBER(L1068)),Q1068,"")</f>
        <v/>
      </c>
      <c r="AA1068">
        <f>IF(AND(Q1068&lt;&gt;"",ISNUMBER(M1068)),Q1068,"")</f>
        <v/>
      </c>
      <c r="AB1068">
        <f>IF(AND(Q1068&lt;&gt;"",ISNUMBER(K1068)),K1068,"")</f>
        <v/>
      </c>
      <c r="AC1068">
        <f>IF(AND(Q1068&lt;&gt;"",ISNUMBER(L1068)),L1068,"")</f>
        <v/>
      </c>
      <c r="AD1068">
        <f>IF(AND(Q1068&lt;&gt;"",ISNUMBER(M1068)),M1068,"")</f>
        <v/>
      </c>
    </row>
    <row r="1069">
      <c r="A1069" s="1" t="n"/>
      <c r="B1069" s="17" t="n"/>
      <c r="C1069" s="27" t="n"/>
      <c r="D1069" s="28" t="n"/>
      <c r="E1069" s="28" t="n"/>
      <c r="F1069" s="28" t="n"/>
      <c r="G1069" s="28" t="n"/>
      <c r="H1069" s="28" t="n"/>
      <c r="I1069" s="28" t="n"/>
      <c r="J1069" s="28" t="n"/>
      <c r="K1069" s="28" t="n"/>
      <c r="L1069" s="28" t="n"/>
      <c r="M1069" s="29" t="n"/>
      <c r="N1069" s="21" t="n"/>
      <c r="O1069" s="12">
        <f>IF(AND(B1069="",C1069=""),"",IF(NOT(ISNUMBER(B1069)),"Needs a date",IF(C1069="","Needs a client",IF(COUNTIF(Clients!$B$6:$B$105,C1069)=0,"Not on Clients",IF(COUNT(D1069:M1069)=0,"Nothing measured","")))))</f>
        <v/>
      </c>
      <c r="P1069" s="1">
        <f>IF(AND(O1069="",ISNUMBER(B1069)),INT(B1069),0)</f>
        <v/>
      </c>
      <c r="Q1069">
        <f>IF(AND(P1069&gt;0,C1069=Report!$C$5),P1069*10000+ROW(),"")</f>
        <v/>
      </c>
      <c r="R1069">
        <f>IF(AND(Q1069&lt;&gt;"",ISNUMBER(D1069)),Q1069,"")</f>
        <v/>
      </c>
      <c r="S1069">
        <f>IF(AND(Q1069&lt;&gt;"",ISNUMBER(E1069)),Q1069,"")</f>
        <v/>
      </c>
      <c r="T1069">
        <f>IF(AND(Q1069&lt;&gt;"",ISNUMBER(F1069)),Q1069,"")</f>
        <v/>
      </c>
      <c r="U1069">
        <f>IF(AND(Q1069&lt;&gt;"",ISNUMBER(G1069)),Q1069,"")</f>
        <v/>
      </c>
      <c r="V1069">
        <f>IF(AND(Q1069&lt;&gt;"",ISNUMBER(H1069)),Q1069,"")</f>
        <v/>
      </c>
      <c r="W1069">
        <f>IF(AND(Q1069&lt;&gt;"",ISNUMBER(I1069)),Q1069,"")</f>
        <v/>
      </c>
      <c r="X1069">
        <f>IF(AND(Q1069&lt;&gt;"",ISNUMBER(J1069)),Q1069,"")</f>
        <v/>
      </c>
      <c r="Y1069">
        <f>IF(AND(Q1069&lt;&gt;"",ISNUMBER(K1069)),Q1069,"")</f>
        <v/>
      </c>
      <c r="Z1069">
        <f>IF(AND(Q1069&lt;&gt;"",ISNUMBER(L1069)),Q1069,"")</f>
        <v/>
      </c>
      <c r="AA1069">
        <f>IF(AND(Q1069&lt;&gt;"",ISNUMBER(M1069)),Q1069,"")</f>
        <v/>
      </c>
      <c r="AB1069">
        <f>IF(AND(Q1069&lt;&gt;"",ISNUMBER(K1069)),K1069,"")</f>
        <v/>
      </c>
      <c r="AC1069">
        <f>IF(AND(Q1069&lt;&gt;"",ISNUMBER(L1069)),L1069,"")</f>
        <v/>
      </c>
      <c r="AD1069">
        <f>IF(AND(Q1069&lt;&gt;"",ISNUMBER(M1069)),M1069,"")</f>
        <v/>
      </c>
    </row>
    <row r="1070">
      <c r="A1070" s="1" t="n"/>
      <c r="B1070" s="17" t="n"/>
      <c r="C1070" s="27" t="n"/>
      <c r="D1070" s="28" t="n"/>
      <c r="E1070" s="28" t="n"/>
      <c r="F1070" s="28" t="n"/>
      <c r="G1070" s="28" t="n"/>
      <c r="H1070" s="28" t="n"/>
      <c r="I1070" s="28" t="n"/>
      <c r="J1070" s="28" t="n"/>
      <c r="K1070" s="28" t="n"/>
      <c r="L1070" s="28" t="n"/>
      <c r="M1070" s="29" t="n"/>
      <c r="N1070" s="21" t="n"/>
      <c r="O1070" s="12">
        <f>IF(AND(B1070="",C1070=""),"",IF(NOT(ISNUMBER(B1070)),"Needs a date",IF(C1070="","Needs a client",IF(COUNTIF(Clients!$B$6:$B$105,C1070)=0,"Not on Clients",IF(COUNT(D1070:M1070)=0,"Nothing measured","")))))</f>
        <v/>
      </c>
      <c r="P1070" s="1">
        <f>IF(AND(O1070="",ISNUMBER(B1070)),INT(B1070),0)</f>
        <v/>
      </c>
      <c r="Q1070">
        <f>IF(AND(P1070&gt;0,C1070=Report!$C$5),P1070*10000+ROW(),"")</f>
        <v/>
      </c>
      <c r="R1070">
        <f>IF(AND(Q1070&lt;&gt;"",ISNUMBER(D1070)),Q1070,"")</f>
        <v/>
      </c>
      <c r="S1070">
        <f>IF(AND(Q1070&lt;&gt;"",ISNUMBER(E1070)),Q1070,"")</f>
        <v/>
      </c>
      <c r="T1070">
        <f>IF(AND(Q1070&lt;&gt;"",ISNUMBER(F1070)),Q1070,"")</f>
        <v/>
      </c>
      <c r="U1070">
        <f>IF(AND(Q1070&lt;&gt;"",ISNUMBER(G1070)),Q1070,"")</f>
        <v/>
      </c>
      <c r="V1070">
        <f>IF(AND(Q1070&lt;&gt;"",ISNUMBER(H1070)),Q1070,"")</f>
        <v/>
      </c>
      <c r="W1070">
        <f>IF(AND(Q1070&lt;&gt;"",ISNUMBER(I1070)),Q1070,"")</f>
        <v/>
      </c>
      <c r="X1070">
        <f>IF(AND(Q1070&lt;&gt;"",ISNUMBER(J1070)),Q1070,"")</f>
        <v/>
      </c>
      <c r="Y1070">
        <f>IF(AND(Q1070&lt;&gt;"",ISNUMBER(K1070)),Q1070,"")</f>
        <v/>
      </c>
      <c r="Z1070">
        <f>IF(AND(Q1070&lt;&gt;"",ISNUMBER(L1070)),Q1070,"")</f>
        <v/>
      </c>
      <c r="AA1070">
        <f>IF(AND(Q1070&lt;&gt;"",ISNUMBER(M1070)),Q1070,"")</f>
        <v/>
      </c>
      <c r="AB1070">
        <f>IF(AND(Q1070&lt;&gt;"",ISNUMBER(K1070)),K1070,"")</f>
        <v/>
      </c>
      <c r="AC1070">
        <f>IF(AND(Q1070&lt;&gt;"",ISNUMBER(L1070)),L1070,"")</f>
        <v/>
      </c>
      <c r="AD1070">
        <f>IF(AND(Q1070&lt;&gt;"",ISNUMBER(M1070)),M1070,"")</f>
        <v/>
      </c>
    </row>
    <row r="1071">
      <c r="A1071" s="1" t="n"/>
      <c r="B1071" s="17" t="n"/>
      <c r="C1071" s="27" t="n"/>
      <c r="D1071" s="28" t="n"/>
      <c r="E1071" s="28" t="n"/>
      <c r="F1071" s="28" t="n"/>
      <c r="G1071" s="28" t="n"/>
      <c r="H1071" s="28" t="n"/>
      <c r="I1071" s="28" t="n"/>
      <c r="J1071" s="28" t="n"/>
      <c r="K1071" s="28" t="n"/>
      <c r="L1071" s="28" t="n"/>
      <c r="M1071" s="29" t="n"/>
      <c r="N1071" s="21" t="n"/>
      <c r="O1071" s="12">
        <f>IF(AND(B1071="",C1071=""),"",IF(NOT(ISNUMBER(B1071)),"Needs a date",IF(C1071="","Needs a client",IF(COUNTIF(Clients!$B$6:$B$105,C1071)=0,"Not on Clients",IF(COUNT(D1071:M1071)=0,"Nothing measured","")))))</f>
        <v/>
      </c>
      <c r="P1071" s="1">
        <f>IF(AND(O1071="",ISNUMBER(B1071)),INT(B1071),0)</f>
        <v/>
      </c>
      <c r="Q1071">
        <f>IF(AND(P1071&gt;0,C1071=Report!$C$5),P1071*10000+ROW(),"")</f>
        <v/>
      </c>
      <c r="R1071">
        <f>IF(AND(Q1071&lt;&gt;"",ISNUMBER(D1071)),Q1071,"")</f>
        <v/>
      </c>
      <c r="S1071">
        <f>IF(AND(Q1071&lt;&gt;"",ISNUMBER(E1071)),Q1071,"")</f>
        <v/>
      </c>
      <c r="T1071">
        <f>IF(AND(Q1071&lt;&gt;"",ISNUMBER(F1071)),Q1071,"")</f>
        <v/>
      </c>
      <c r="U1071">
        <f>IF(AND(Q1071&lt;&gt;"",ISNUMBER(G1071)),Q1071,"")</f>
        <v/>
      </c>
      <c r="V1071">
        <f>IF(AND(Q1071&lt;&gt;"",ISNUMBER(H1071)),Q1071,"")</f>
        <v/>
      </c>
      <c r="W1071">
        <f>IF(AND(Q1071&lt;&gt;"",ISNUMBER(I1071)),Q1071,"")</f>
        <v/>
      </c>
      <c r="X1071">
        <f>IF(AND(Q1071&lt;&gt;"",ISNUMBER(J1071)),Q1071,"")</f>
        <v/>
      </c>
      <c r="Y1071">
        <f>IF(AND(Q1071&lt;&gt;"",ISNUMBER(K1071)),Q1071,"")</f>
        <v/>
      </c>
      <c r="Z1071">
        <f>IF(AND(Q1071&lt;&gt;"",ISNUMBER(L1071)),Q1071,"")</f>
        <v/>
      </c>
      <c r="AA1071">
        <f>IF(AND(Q1071&lt;&gt;"",ISNUMBER(M1071)),Q1071,"")</f>
        <v/>
      </c>
      <c r="AB1071">
        <f>IF(AND(Q1071&lt;&gt;"",ISNUMBER(K1071)),K1071,"")</f>
        <v/>
      </c>
      <c r="AC1071">
        <f>IF(AND(Q1071&lt;&gt;"",ISNUMBER(L1071)),L1071,"")</f>
        <v/>
      </c>
      <c r="AD1071">
        <f>IF(AND(Q1071&lt;&gt;"",ISNUMBER(M1071)),M1071,"")</f>
        <v/>
      </c>
    </row>
    <row r="1072">
      <c r="A1072" s="1" t="n"/>
      <c r="B1072" s="17" t="n"/>
      <c r="C1072" s="27" t="n"/>
      <c r="D1072" s="28" t="n"/>
      <c r="E1072" s="28" t="n"/>
      <c r="F1072" s="28" t="n"/>
      <c r="G1072" s="28" t="n"/>
      <c r="H1072" s="28" t="n"/>
      <c r="I1072" s="28" t="n"/>
      <c r="J1072" s="28" t="n"/>
      <c r="K1072" s="28" t="n"/>
      <c r="L1072" s="28" t="n"/>
      <c r="M1072" s="29" t="n"/>
      <c r="N1072" s="21" t="n"/>
      <c r="O1072" s="12">
        <f>IF(AND(B1072="",C1072=""),"",IF(NOT(ISNUMBER(B1072)),"Needs a date",IF(C1072="","Needs a client",IF(COUNTIF(Clients!$B$6:$B$105,C1072)=0,"Not on Clients",IF(COUNT(D1072:M1072)=0,"Nothing measured","")))))</f>
        <v/>
      </c>
      <c r="P1072" s="1">
        <f>IF(AND(O1072="",ISNUMBER(B1072)),INT(B1072),0)</f>
        <v/>
      </c>
      <c r="Q1072">
        <f>IF(AND(P1072&gt;0,C1072=Report!$C$5),P1072*10000+ROW(),"")</f>
        <v/>
      </c>
      <c r="R1072">
        <f>IF(AND(Q1072&lt;&gt;"",ISNUMBER(D1072)),Q1072,"")</f>
        <v/>
      </c>
      <c r="S1072">
        <f>IF(AND(Q1072&lt;&gt;"",ISNUMBER(E1072)),Q1072,"")</f>
        <v/>
      </c>
      <c r="T1072">
        <f>IF(AND(Q1072&lt;&gt;"",ISNUMBER(F1072)),Q1072,"")</f>
        <v/>
      </c>
      <c r="U1072">
        <f>IF(AND(Q1072&lt;&gt;"",ISNUMBER(G1072)),Q1072,"")</f>
        <v/>
      </c>
      <c r="V1072">
        <f>IF(AND(Q1072&lt;&gt;"",ISNUMBER(H1072)),Q1072,"")</f>
        <v/>
      </c>
      <c r="W1072">
        <f>IF(AND(Q1072&lt;&gt;"",ISNUMBER(I1072)),Q1072,"")</f>
        <v/>
      </c>
      <c r="X1072">
        <f>IF(AND(Q1072&lt;&gt;"",ISNUMBER(J1072)),Q1072,"")</f>
        <v/>
      </c>
      <c r="Y1072">
        <f>IF(AND(Q1072&lt;&gt;"",ISNUMBER(K1072)),Q1072,"")</f>
        <v/>
      </c>
      <c r="Z1072">
        <f>IF(AND(Q1072&lt;&gt;"",ISNUMBER(L1072)),Q1072,"")</f>
        <v/>
      </c>
      <c r="AA1072">
        <f>IF(AND(Q1072&lt;&gt;"",ISNUMBER(M1072)),Q1072,"")</f>
        <v/>
      </c>
      <c r="AB1072">
        <f>IF(AND(Q1072&lt;&gt;"",ISNUMBER(K1072)),K1072,"")</f>
        <v/>
      </c>
      <c r="AC1072">
        <f>IF(AND(Q1072&lt;&gt;"",ISNUMBER(L1072)),L1072,"")</f>
        <v/>
      </c>
      <c r="AD1072">
        <f>IF(AND(Q1072&lt;&gt;"",ISNUMBER(M1072)),M1072,"")</f>
        <v/>
      </c>
    </row>
    <row r="1073">
      <c r="A1073" s="1" t="n"/>
      <c r="B1073" s="17" t="n"/>
      <c r="C1073" s="27" t="n"/>
      <c r="D1073" s="28" t="n"/>
      <c r="E1073" s="28" t="n"/>
      <c r="F1073" s="28" t="n"/>
      <c r="G1073" s="28" t="n"/>
      <c r="H1073" s="28" t="n"/>
      <c r="I1073" s="28" t="n"/>
      <c r="J1073" s="28" t="n"/>
      <c r="K1073" s="28" t="n"/>
      <c r="L1073" s="28" t="n"/>
      <c r="M1073" s="29" t="n"/>
      <c r="N1073" s="21" t="n"/>
      <c r="O1073" s="12">
        <f>IF(AND(B1073="",C1073=""),"",IF(NOT(ISNUMBER(B1073)),"Needs a date",IF(C1073="","Needs a client",IF(COUNTIF(Clients!$B$6:$B$105,C1073)=0,"Not on Clients",IF(COUNT(D1073:M1073)=0,"Nothing measured","")))))</f>
        <v/>
      </c>
      <c r="P1073" s="1">
        <f>IF(AND(O1073="",ISNUMBER(B1073)),INT(B1073),0)</f>
        <v/>
      </c>
      <c r="Q1073">
        <f>IF(AND(P1073&gt;0,C1073=Report!$C$5),P1073*10000+ROW(),"")</f>
        <v/>
      </c>
      <c r="R1073">
        <f>IF(AND(Q1073&lt;&gt;"",ISNUMBER(D1073)),Q1073,"")</f>
        <v/>
      </c>
      <c r="S1073">
        <f>IF(AND(Q1073&lt;&gt;"",ISNUMBER(E1073)),Q1073,"")</f>
        <v/>
      </c>
      <c r="T1073">
        <f>IF(AND(Q1073&lt;&gt;"",ISNUMBER(F1073)),Q1073,"")</f>
        <v/>
      </c>
      <c r="U1073">
        <f>IF(AND(Q1073&lt;&gt;"",ISNUMBER(G1073)),Q1073,"")</f>
        <v/>
      </c>
      <c r="V1073">
        <f>IF(AND(Q1073&lt;&gt;"",ISNUMBER(H1073)),Q1073,"")</f>
        <v/>
      </c>
      <c r="W1073">
        <f>IF(AND(Q1073&lt;&gt;"",ISNUMBER(I1073)),Q1073,"")</f>
        <v/>
      </c>
      <c r="X1073">
        <f>IF(AND(Q1073&lt;&gt;"",ISNUMBER(J1073)),Q1073,"")</f>
        <v/>
      </c>
      <c r="Y1073">
        <f>IF(AND(Q1073&lt;&gt;"",ISNUMBER(K1073)),Q1073,"")</f>
        <v/>
      </c>
      <c r="Z1073">
        <f>IF(AND(Q1073&lt;&gt;"",ISNUMBER(L1073)),Q1073,"")</f>
        <v/>
      </c>
      <c r="AA1073">
        <f>IF(AND(Q1073&lt;&gt;"",ISNUMBER(M1073)),Q1073,"")</f>
        <v/>
      </c>
      <c r="AB1073">
        <f>IF(AND(Q1073&lt;&gt;"",ISNUMBER(K1073)),K1073,"")</f>
        <v/>
      </c>
      <c r="AC1073">
        <f>IF(AND(Q1073&lt;&gt;"",ISNUMBER(L1073)),L1073,"")</f>
        <v/>
      </c>
      <c r="AD1073">
        <f>IF(AND(Q1073&lt;&gt;"",ISNUMBER(M1073)),M1073,"")</f>
        <v/>
      </c>
    </row>
    <row r="1074">
      <c r="A1074" s="1" t="n"/>
      <c r="B1074" s="17" t="n"/>
      <c r="C1074" s="27" t="n"/>
      <c r="D1074" s="28" t="n"/>
      <c r="E1074" s="28" t="n"/>
      <c r="F1074" s="28" t="n"/>
      <c r="G1074" s="28" t="n"/>
      <c r="H1074" s="28" t="n"/>
      <c r="I1074" s="28" t="n"/>
      <c r="J1074" s="28" t="n"/>
      <c r="K1074" s="28" t="n"/>
      <c r="L1074" s="28" t="n"/>
      <c r="M1074" s="29" t="n"/>
      <c r="N1074" s="21" t="n"/>
      <c r="O1074" s="12">
        <f>IF(AND(B1074="",C1074=""),"",IF(NOT(ISNUMBER(B1074)),"Needs a date",IF(C1074="","Needs a client",IF(COUNTIF(Clients!$B$6:$B$105,C1074)=0,"Not on Clients",IF(COUNT(D1074:M1074)=0,"Nothing measured","")))))</f>
        <v/>
      </c>
      <c r="P1074" s="1">
        <f>IF(AND(O1074="",ISNUMBER(B1074)),INT(B1074),0)</f>
        <v/>
      </c>
      <c r="Q1074">
        <f>IF(AND(P1074&gt;0,C1074=Report!$C$5),P1074*10000+ROW(),"")</f>
        <v/>
      </c>
      <c r="R1074">
        <f>IF(AND(Q1074&lt;&gt;"",ISNUMBER(D1074)),Q1074,"")</f>
        <v/>
      </c>
      <c r="S1074">
        <f>IF(AND(Q1074&lt;&gt;"",ISNUMBER(E1074)),Q1074,"")</f>
        <v/>
      </c>
      <c r="T1074">
        <f>IF(AND(Q1074&lt;&gt;"",ISNUMBER(F1074)),Q1074,"")</f>
        <v/>
      </c>
      <c r="U1074">
        <f>IF(AND(Q1074&lt;&gt;"",ISNUMBER(G1074)),Q1074,"")</f>
        <v/>
      </c>
      <c r="V1074">
        <f>IF(AND(Q1074&lt;&gt;"",ISNUMBER(H1074)),Q1074,"")</f>
        <v/>
      </c>
      <c r="W1074">
        <f>IF(AND(Q1074&lt;&gt;"",ISNUMBER(I1074)),Q1074,"")</f>
        <v/>
      </c>
      <c r="X1074">
        <f>IF(AND(Q1074&lt;&gt;"",ISNUMBER(J1074)),Q1074,"")</f>
        <v/>
      </c>
      <c r="Y1074">
        <f>IF(AND(Q1074&lt;&gt;"",ISNUMBER(K1074)),Q1074,"")</f>
        <v/>
      </c>
      <c r="Z1074">
        <f>IF(AND(Q1074&lt;&gt;"",ISNUMBER(L1074)),Q1074,"")</f>
        <v/>
      </c>
      <c r="AA1074">
        <f>IF(AND(Q1074&lt;&gt;"",ISNUMBER(M1074)),Q1074,"")</f>
        <v/>
      </c>
      <c r="AB1074">
        <f>IF(AND(Q1074&lt;&gt;"",ISNUMBER(K1074)),K1074,"")</f>
        <v/>
      </c>
      <c r="AC1074">
        <f>IF(AND(Q1074&lt;&gt;"",ISNUMBER(L1074)),L1074,"")</f>
        <v/>
      </c>
      <c r="AD1074">
        <f>IF(AND(Q1074&lt;&gt;"",ISNUMBER(M1074)),M1074,"")</f>
        <v/>
      </c>
    </row>
    <row r="1075">
      <c r="A1075" s="1" t="n"/>
      <c r="B1075" s="17" t="n"/>
      <c r="C1075" s="27" t="n"/>
      <c r="D1075" s="28" t="n"/>
      <c r="E1075" s="28" t="n"/>
      <c r="F1075" s="28" t="n"/>
      <c r="G1075" s="28" t="n"/>
      <c r="H1075" s="28" t="n"/>
      <c r="I1075" s="28" t="n"/>
      <c r="J1075" s="28" t="n"/>
      <c r="K1075" s="28" t="n"/>
      <c r="L1075" s="28" t="n"/>
      <c r="M1075" s="29" t="n"/>
      <c r="N1075" s="21" t="n"/>
      <c r="O1075" s="12">
        <f>IF(AND(B1075="",C1075=""),"",IF(NOT(ISNUMBER(B1075)),"Needs a date",IF(C1075="","Needs a client",IF(COUNTIF(Clients!$B$6:$B$105,C1075)=0,"Not on Clients",IF(COUNT(D1075:M1075)=0,"Nothing measured","")))))</f>
        <v/>
      </c>
      <c r="P1075" s="1">
        <f>IF(AND(O1075="",ISNUMBER(B1075)),INT(B1075),0)</f>
        <v/>
      </c>
      <c r="Q1075">
        <f>IF(AND(P1075&gt;0,C1075=Report!$C$5),P1075*10000+ROW(),"")</f>
        <v/>
      </c>
      <c r="R1075">
        <f>IF(AND(Q1075&lt;&gt;"",ISNUMBER(D1075)),Q1075,"")</f>
        <v/>
      </c>
      <c r="S1075">
        <f>IF(AND(Q1075&lt;&gt;"",ISNUMBER(E1075)),Q1075,"")</f>
        <v/>
      </c>
      <c r="T1075">
        <f>IF(AND(Q1075&lt;&gt;"",ISNUMBER(F1075)),Q1075,"")</f>
        <v/>
      </c>
      <c r="U1075">
        <f>IF(AND(Q1075&lt;&gt;"",ISNUMBER(G1075)),Q1075,"")</f>
        <v/>
      </c>
      <c r="V1075">
        <f>IF(AND(Q1075&lt;&gt;"",ISNUMBER(H1075)),Q1075,"")</f>
        <v/>
      </c>
      <c r="W1075">
        <f>IF(AND(Q1075&lt;&gt;"",ISNUMBER(I1075)),Q1075,"")</f>
        <v/>
      </c>
      <c r="X1075">
        <f>IF(AND(Q1075&lt;&gt;"",ISNUMBER(J1075)),Q1075,"")</f>
        <v/>
      </c>
      <c r="Y1075">
        <f>IF(AND(Q1075&lt;&gt;"",ISNUMBER(K1075)),Q1075,"")</f>
        <v/>
      </c>
      <c r="Z1075">
        <f>IF(AND(Q1075&lt;&gt;"",ISNUMBER(L1075)),Q1075,"")</f>
        <v/>
      </c>
      <c r="AA1075">
        <f>IF(AND(Q1075&lt;&gt;"",ISNUMBER(M1075)),Q1075,"")</f>
        <v/>
      </c>
      <c r="AB1075">
        <f>IF(AND(Q1075&lt;&gt;"",ISNUMBER(K1075)),K1075,"")</f>
        <v/>
      </c>
      <c r="AC1075">
        <f>IF(AND(Q1075&lt;&gt;"",ISNUMBER(L1075)),L1075,"")</f>
        <v/>
      </c>
      <c r="AD1075">
        <f>IF(AND(Q1075&lt;&gt;"",ISNUMBER(M1075)),M1075,"")</f>
        <v/>
      </c>
    </row>
    <row r="1076">
      <c r="A1076" s="1" t="n"/>
      <c r="B1076" s="17" t="n"/>
      <c r="C1076" s="27" t="n"/>
      <c r="D1076" s="28" t="n"/>
      <c r="E1076" s="28" t="n"/>
      <c r="F1076" s="28" t="n"/>
      <c r="G1076" s="28" t="n"/>
      <c r="H1076" s="28" t="n"/>
      <c r="I1076" s="28" t="n"/>
      <c r="J1076" s="28" t="n"/>
      <c r="K1076" s="28" t="n"/>
      <c r="L1076" s="28" t="n"/>
      <c r="M1076" s="29" t="n"/>
      <c r="N1076" s="21" t="n"/>
      <c r="O1076" s="12">
        <f>IF(AND(B1076="",C1076=""),"",IF(NOT(ISNUMBER(B1076)),"Needs a date",IF(C1076="","Needs a client",IF(COUNTIF(Clients!$B$6:$B$105,C1076)=0,"Not on Clients",IF(COUNT(D1076:M1076)=0,"Nothing measured","")))))</f>
        <v/>
      </c>
      <c r="P1076" s="1">
        <f>IF(AND(O1076="",ISNUMBER(B1076)),INT(B1076),0)</f>
        <v/>
      </c>
      <c r="Q1076">
        <f>IF(AND(P1076&gt;0,C1076=Report!$C$5),P1076*10000+ROW(),"")</f>
        <v/>
      </c>
      <c r="R1076">
        <f>IF(AND(Q1076&lt;&gt;"",ISNUMBER(D1076)),Q1076,"")</f>
        <v/>
      </c>
      <c r="S1076">
        <f>IF(AND(Q1076&lt;&gt;"",ISNUMBER(E1076)),Q1076,"")</f>
        <v/>
      </c>
      <c r="T1076">
        <f>IF(AND(Q1076&lt;&gt;"",ISNUMBER(F1076)),Q1076,"")</f>
        <v/>
      </c>
      <c r="U1076">
        <f>IF(AND(Q1076&lt;&gt;"",ISNUMBER(G1076)),Q1076,"")</f>
        <v/>
      </c>
      <c r="V1076">
        <f>IF(AND(Q1076&lt;&gt;"",ISNUMBER(H1076)),Q1076,"")</f>
        <v/>
      </c>
      <c r="W1076">
        <f>IF(AND(Q1076&lt;&gt;"",ISNUMBER(I1076)),Q1076,"")</f>
        <v/>
      </c>
      <c r="X1076">
        <f>IF(AND(Q1076&lt;&gt;"",ISNUMBER(J1076)),Q1076,"")</f>
        <v/>
      </c>
      <c r="Y1076">
        <f>IF(AND(Q1076&lt;&gt;"",ISNUMBER(K1076)),Q1076,"")</f>
        <v/>
      </c>
      <c r="Z1076">
        <f>IF(AND(Q1076&lt;&gt;"",ISNUMBER(L1076)),Q1076,"")</f>
        <v/>
      </c>
      <c r="AA1076">
        <f>IF(AND(Q1076&lt;&gt;"",ISNUMBER(M1076)),Q1076,"")</f>
        <v/>
      </c>
      <c r="AB1076">
        <f>IF(AND(Q1076&lt;&gt;"",ISNUMBER(K1076)),K1076,"")</f>
        <v/>
      </c>
      <c r="AC1076">
        <f>IF(AND(Q1076&lt;&gt;"",ISNUMBER(L1076)),L1076,"")</f>
        <v/>
      </c>
      <c r="AD1076">
        <f>IF(AND(Q1076&lt;&gt;"",ISNUMBER(M1076)),M1076,"")</f>
        <v/>
      </c>
    </row>
    <row r="1077">
      <c r="A1077" s="1" t="n"/>
      <c r="B1077" s="17" t="n"/>
      <c r="C1077" s="27" t="n"/>
      <c r="D1077" s="28" t="n"/>
      <c r="E1077" s="28" t="n"/>
      <c r="F1077" s="28" t="n"/>
      <c r="G1077" s="28" t="n"/>
      <c r="H1077" s="28" t="n"/>
      <c r="I1077" s="28" t="n"/>
      <c r="J1077" s="28" t="n"/>
      <c r="K1077" s="28" t="n"/>
      <c r="L1077" s="28" t="n"/>
      <c r="M1077" s="29" t="n"/>
      <c r="N1077" s="21" t="n"/>
      <c r="O1077" s="12">
        <f>IF(AND(B1077="",C1077=""),"",IF(NOT(ISNUMBER(B1077)),"Needs a date",IF(C1077="","Needs a client",IF(COUNTIF(Clients!$B$6:$B$105,C1077)=0,"Not on Clients",IF(COUNT(D1077:M1077)=0,"Nothing measured","")))))</f>
        <v/>
      </c>
      <c r="P1077" s="1">
        <f>IF(AND(O1077="",ISNUMBER(B1077)),INT(B1077),0)</f>
        <v/>
      </c>
      <c r="Q1077">
        <f>IF(AND(P1077&gt;0,C1077=Report!$C$5),P1077*10000+ROW(),"")</f>
        <v/>
      </c>
      <c r="R1077">
        <f>IF(AND(Q1077&lt;&gt;"",ISNUMBER(D1077)),Q1077,"")</f>
        <v/>
      </c>
      <c r="S1077">
        <f>IF(AND(Q1077&lt;&gt;"",ISNUMBER(E1077)),Q1077,"")</f>
        <v/>
      </c>
      <c r="T1077">
        <f>IF(AND(Q1077&lt;&gt;"",ISNUMBER(F1077)),Q1077,"")</f>
        <v/>
      </c>
      <c r="U1077">
        <f>IF(AND(Q1077&lt;&gt;"",ISNUMBER(G1077)),Q1077,"")</f>
        <v/>
      </c>
      <c r="V1077">
        <f>IF(AND(Q1077&lt;&gt;"",ISNUMBER(H1077)),Q1077,"")</f>
        <v/>
      </c>
      <c r="W1077">
        <f>IF(AND(Q1077&lt;&gt;"",ISNUMBER(I1077)),Q1077,"")</f>
        <v/>
      </c>
      <c r="X1077">
        <f>IF(AND(Q1077&lt;&gt;"",ISNUMBER(J1077)),Q1077,"")</f>
        <v/>
      </c>
      <c r="Y1077">
        <f>IF(AND(Q1077&lt;&gt;"",ISNUMBER(K1077)),Q1077,"")</f>
        <v/>
      </c>
      <c r="Z1077">
        <f>IF(AND(Q1077&lt;&gt;"",ISNUMBER(L1077)),Q1077,"")</f>
        <v/>
      </c>
      <c r="AA1077">
        <f>IF(AND(Q1077&lt;&gt;"",ISNUMBER(M1077)),Q1077,"")</f>
        <v/>
      </c>
      <c r="AB1077">
        <f>IF(AND(Q1077&lt;&gt;"",ISNUMBER(K1077)),K1077,"")</f>
        <v/>
      </c>
      <c r="AC1077">
        <f>IF(AND(Q1077&lt;&gt;"",ISNUMBER(L1077)),L1077,"")</f>
        <v/>
      </c>
      <c r="AD1077">
        <f>IF(AND(Q1077&lt;&gt;"",ISNUMBER(M1077)),M1077,"")</f>
        <v/>
      </c>
    </row>
    <row r="1078">
      <c r="A1078" s="1" t="n"/>
      <c r="B1078" s="17" t="n"/>
      <c r="C1078" s="27" t="n"/>
      <c r="D1078" s="28" t="n"/>
      <c r="E1078" s="28" t="n"/>
      <c r="F1078" s="28" t="n"/>
      <c r="G1078" s="28" t="n"/>
      <c r="H1078" s="28" t="n"/>
      <c r="I1078" s="28" t="n"/>
      <c r="J1078" s="28" t="n"/>
      <c r="K1078" s="28" t="n"/>
      <c r="L1078" s="28" t="n"/>
      <c r="M1078" s="29" t="n"/>
      <c r="N1078" s="21" t="n"/>
      <c r="O1078" s="12">
        <f>IF(AND(B1078="",C1078=""),"",IF(NOT(ISNUMBER(B1078)),"Needs a date",IF(C1078="","Needs a client",IF(COUNTIF(Clients!$B$6:$B$105,C1078)=0,"Not on Clients",IF(COUNT(D1078:M1078)=0,"Nothing measured","")))))</f>
        <v/>
      </c>
      <c r="P1078" s="1">
        <f>IF(AND(O1078="",ISNUMBER(B1078)),INT(B1078),0)</f>
        <v/>
      </c>
      <c r="Q1078">
        <f>IF(AND(P1078&gt;0,C1078=Report!$C$5),P1078*10000+ROW(),"")</f>
        <v/>
      </c>
      <c r="R1078">
        <f>IF(AND(Q1078&lt;&gt;"",ISNUMBER(D1078)),Q1078,"")</f>
        <v/>
      </c>
      <c r="S1078">
        <f>IF(AND(Q1078&lt;&gt;"",ISNUMBER(E1078)),Q1078,"")</f>
        <v/>
      </c>
      <c r="T1078">
        <f>IF(AND(Q1078&lt;&gt;"",ISNUMBER(F1078)),Q1078,"")</f>
        <v/>
      </c>
      <c r="U1078">
        <f>IF(AND(Q1078&lt;&gt;"",ISNUMBER(G1078)),Q1078,"")</f>
        <v/>
      </c>
      <c r="V1078">
        <f>IF(AND(Q1078&lt;&gt;"",ISNUMBER(H1078)),Q1078,"")</f>
        <v/>
      </c>
      <c r="W1078">
        <f>IF(AND(Q1078&lt;&gt;"",ISNUMBER(I1078)),Q1078,"")</f>
        <v/>
      </c>
      <c r="X1078">
        <f>IF(AND(Q1078&lt;&gt;"",ISNUMBER(J1078)),Q1078,"")</f>
        <v/>
      </c>
      <c r="Y1078">
        <f>IF(AND(Q1078&lt;&gt;"",ISNUMBER(K1078)),Q1078,"")</f>
        <v/>
      </c>
      <c r="Z1078">
        <f>IF(AND(Q1078&lt;&gt;"",ISNUMBER(L1078)),Q1078,"")</f>
        <v/>
      </c>
      <c r="AA1078">
        <f>IF(AND(Q1078&lt;&gt;"",ISNUMBER(M1078)),Q1078,"")</f>
        <v/>
      </c>
      <c r="AB1078">
        <f>IF(AND(Q1078&lt;&gt;"",ISNUMBER(K1078)),K1078,"")</f>
        <v/>
      </c>
      <c r="AC1078">
        <f>IF(AND(Q1078&lt;&gt;"",ISNUMBER(L1078)),L1078,"")</f>
        <v/>
      </c>
      <c r="AD1078">
        <f>IF(AND(Q1078&lt;&gt;"",ISNUMBER(M1078)),M1078,"")</f>
        <v/>
      </c>
    </row>
    <row r="1079">
      <c r="A1079" s="1" t="n"/>
      <c r="B1079" s="17" t="n"/>
      <c r="C1079" s="27" t="n"/>
      <c r="D1079" s="28" t="n"/>
      <c r="E1079" s="28" t="n"/>
      <c r="F1079" s="28" t="n"/>
      <c r="G1079" s="28" t="n"/>
      <c r="H1079" s="28" t="n"/>
      <c r="I1079" s="28" t="n"/>
      <c r="J1079" s="28" t="n"/>
      <c r="K1079" s="28" t="n"/>
      <c r="L1079" s="28" t="n"/>
      <c r="M1079" s="29" t="n"/>
      <c r="N1079" s="21" t="n"/>
      <c r="O1079" s="12">
        <f>IF(AND(B1079="",C1079=""),"",IF(NOT(ISNUMBER(B1079)),"Needs a date",IF(C1079="","Needs a client",IF(COUNTIF(Clients!$B$6:$B$105,C1079)=0,"Not on Clients",IF(COUNT(D1079:M1079)=0,"Nothing measured","")))))</f>
        <v/>
      </c>
      <c r="P1079" s="1">
        <f>IF(AND(O1079="",ISNUMBER(B1079)),INT(B1079),0)</f>
        <v/>
      </c>
      <c r="Q1079">
        <f>IF(AND(P1079&gt;0,C1079=Report!$C$5),P1079*10000+ROW(),"")</f>
        <v/>
      </c>
      <c r="R1079">
        <f>IF(AND(Q1079&lt;&gt;"",ISNUMBER(D1079)),Q1079,"")</f>
        <v/>
      </c>
      <c r="S1079">
        <f>IF(AND(Q1079&lt;&gt;"",ISNUMBER(E1079)),Q1079,"")</f>
        <v/>
      </c>
      <c r="T1079">
        <f>IF(AND(Q1079&lt;&gt;"",ISNUMBER(F1079)),Q1079,"")</f>
        <v/>
      </c>
      <c r="U1079">
        <f>IF(AND(Q1079&lt;&gt;"",ISNUMBER(G1079)),Q1079,"")</f>
        <v/>
      </c>
      <c r="V1079">
        <f>IF(AND(Q1079&lt;&gt;"",ISNUMBER(H1079)),Q1079,"")</f>
        <v/>
      </c>
      <c r="W1079">
        <f>IF(AND(Q1079&lt;&gt;"",ISNUMBER(I1079)),Q1079,"")</f>
        <v/>
      </c>
      <c r="X1079">
        <f>IF(AND(Q1079&lt;&gt;"",ISNUMBER(J1079)),Q1079,"")</f>
        <v/>
      </c>
      <c r="Y1079">
        <f>IF(AND(Q1079&lt;&gt;"",ISNUMBER(K1079)),Q1079,"")</f>
        <v/>
      </c>
      <c r="Z1079">
        <f>IF(AND(Q1079&lt;&gt;"",ISNUMBER(L1079)),Q1079,"")</f>
        <v/>
      </c>
      <c r="AA1079">
        <f>IF(AND(Q1079&lt;&gt;"",ISNUMBER(M1079)),Q1079,"")</f>
        <v/>
      </c>
      <c r="AB1079">
        <f>IF(AND(Q1079&lt;&gt;"",ISNUMBER(K1079)),K1079,"")</f>
        <v/>
      </c>
      <c r="AC1079">
        <f>IF(AND(Q1079&lt;&gt;"",ISNUMBER(L1079)),L1079,"")</f>
        <v/>
      </c>
      <c r="AD1079">
        <f>IF(AND(Q1079&lt;&gt;"",ISNUMBER(M1079)),M1079,"")</f>
        <v/>
      </c>
    </row>
    <row r="1080">
      <c r="A1080" s="1" t="n"/>
      <c r="B1080" s="17" t="n"/>
      <c r="C1080" s="27" t="n"/>
      <c r="D1080" s="28" t="n"/>
      <c r="E1080" s="28" t="n"/>
      <c r="F1080" s="28" t="n"/>
      <c r="G1080" s="28" t="n"/>
      <c r="H1080" s="28" t="n"/>
      <c r="I1080" s="28" t="n"/>
      <c r="J1080" s="28" t="n"/>
      <c r="K1080" s="28" t="n"/>
      <c r="L1080" s="28" t="n"/>
      <c r="M1080" s="29" t="n"/>
      <c r="N1080" s="21" t="n"/>
      <c r="O1080" s="12">
        <f>IF(AND(B1080="",C1080=""),"",IF(NOT(ISNUMBER(B1080)),"Needs a date",IF(C1080="","Needs a client",IF(COUNTIF(Clients!$B$6:$B$105,C1080)=0,"Not on Clients",IF(COUNT(D1080:M1080)=0,"Nothing measured","")))))</f>
        <v/>
      </c>
      <c r="P1080" s="1">
        <f>IF(AND(O1080="",ISNUMBER(B1080)),INT(B1080),0)</f>
        <v/>
      </c>
      <c r="Q1080">
        <f>IF(AND(P1080&gt;0,C1080=Report!$C$5),P1080*10000+ROW(),"")</f>
        <v/>
      </c>
      <c r="R1080">
        <f>IF(AND(Q1080&lt;&gt;"",ISNUMBER(D1080)),Q1080,"")</f>
        <v/>
      </c>
      <c r="S1080">
        <f>IF(AND(Q1080&lt;&gt;"",ISNUMBER(E1080)),Q1080,"")</f>
        <v/>
      </c>
      <c r="T1080">
        <f>IF(AND(Q1080&lt;&gt;"",ISNUMBER(F1080)),Q1080,"")</f>
        <v/>
      </c>
      <c r="U1080">
        <f>IF(AND(Q1080&lt;&gt;"",ISNUMBER(G1080)),Q1080,"")</f>
        <v/>
      </c>
      <c r="V1080">
        <f>IF(AND(Q1080&lt;&gt;"",ISNUMBER(H1080)),Q1080,"")</f>
        <v/>
      </c>
      <c r="W1080">
        <f>IF(AND(Q1080&lt;&gt;"",ISNUMBER(I1080)),Q1080,"")</f>
        <v/>
      </c>
      <c r="X1080">
        <f>IF(AND(Q1080&lt;&gt;"",ISNUMBER(J1080)),Q1080,"")</f>
        <v/>
      </c>
      <c r="Y1080">
        <f>IF(AND(Q1080&lt;&gt;"",ISNUMBER(K1080)),Q1080,"")</f>
        <v/>
      </c>
      <c r="Z1080">
        <f>IF(AND(Q1080&lt;&gt;"",ISNUMBER(L1080)),Q1080,"")</f>
        <v/>
      </c>
      <c r="AA1080">
        <f>IF(AND(Q1080&lt;&gt;"",ISNUMBER(M1080)),Q1080,"")</f>
        <v/>
      </c>
      <c r="AB1080">
        <f>IF(AND(Q1080&lt;&gt;"",ISNUMBER(K1080)),K1080,"")</f>
        <v/>
      </c>
      <c r="AC1080">
        <f>IF(AND(Q1080&lt;&gt;"",ISNUMBER(L1080)),L1080,"")</f>
        <v/>
      </c>
      <c r="AD1080">
        <f>IF(AND(Q1080&lt;&gt;"",ISNUMBER(M1080)),M1080,"")</f>
        <v/>
      </c>
    </row>
    <row r="1081">
      <c r="A1081" s="1" t="n"/>
      <c r="B1081" s="17" t="n"/>
      <c r="C1081" s="27" t="n"/>
      <c r="D1081" s="28" t="n"/>
      <c r="E1081" s="28" t="n"/>
      <c r="F1081" s="28" t="n"/>
      <c r="G1081" s="28" t="n"/>
      <c r="H1081" s="28" t="n"/>
      <c r="I1081" s="28" t="n"/>
      <c r="J1081" s="28" t="n"/>
      <c r="K1081" s="28" t="n"/>
      <c r="L1081" s="28" t="n"/>
      <c r="M1081" s="29" t="n"/>
      <c r="N1081" s="21" t="n"/>
      <c r="O1081" s="12">
        <f>IF(AND(B1081="",C1081=""),"",IF(NOT(ISNUMBER(B1081)),"Needs a date",IF(C1081="","Needs a client",IF(COUNTIF(Clients!$B$6:$B$105,C1081)=0,"Not on Clients",IF(COUNT(D1081:M1081)=0,"Nothing measured","")))))</f>
        <v/>
      </c>
      <c r="P1081" s="1">
        <f>IF(AND(O1081="",ISNUMBER(B1081)),INT(B1081),0)</f>
        <v/>
      </c>
      <c r="Q1081">
        <f>IF(AND(P1081&gt;0,C1081=Report!$C$5),P1081*10000+ROW(),"")</f>
        <v/>
      </c>
      <c r="R1081">
        <f>IF(AND(Q1081&lt;&gt;"",ISNUMBER(D1081)),Q1081,"")</f>
        <v/>
      </c>
      <c r="S1081">
        <f>IF(AND(Q1081&lt;&gt;"",ISNUMBER(E1081)),Q1081,"")</f>
        <v/>
      </c>
      <c r="T1081">
        <f>IF(AND(Q1081&lt;&gt;"",ISNUMBER(F1081)),Q1081,"")</f>
        <v/>
      </c>
      <c r="U1081">
        <f>IF(AND(Q1081&lt;&gt;"",ISNUMBER(G1081)),Q1081,"")</f>
        <v/>
      </c>
      <c r="V1081">
        <f>IF(AND(Q1081&lt;&gt;"",ISNUMBER(H1081)),Q1081,"")</f>
        <v/>
      </c>
      <c r="W1081">
        <f>IF(AND(Q1081&lt;&gt;"",ISNUMBER(I1081)),Q1081,"")</f>
        <v/>
      </c>
      <c r="X1081">
        <f>IF(AND(Q1081&lt;&gt;"",ISNUMBER(J1081)),Q1081,"")</f>
        <v/>
      </c>
      <c r="Y1081">
        <f>IF(AND(Q1081&lt;&gt;"",ISNUMBER(K1081)),Q1081,"")</f>
        <v/>
      </c>
      <c r="Z1081">
        <f>IF(AND(Q1081&lt;&gt;"",ISNUMBER(L1081)),Q1081,"")</f>
        <v/>
      </c>
      <c r="AA1081">
        <f>IF(AND(Q1081&lt;&gt;"",ISNUMBER(M1081)),Q1081,"")</f>
        <v/>
      </c>
      <c r="AB1081">
        <f>IF(AND(Q1081&lt;&gt;"",ISNUMBER(K1081)),K1081,"")</f>
        <v/>
      </c>
      <c r="AC1081">
        <f>IF(AND(Q1081&lt;&gt;"",ISNUMBER(L1081)),L1081,"")</f>
        <v/>
      </c>
      <c r="AD1081">
        <f>IF(AND(Q1081&lt;&gt;"",ISNUMBER(M1081)),M1081,"")</f>
        <v/>
      </c>
    </row>
    <row r="1082">
      <c r="A1082" s="1" t="n"/>
      <c r="B1082" s="17" t="n"/>
      <c r="C1082" s="27" t="n"/>
      <c r="D1082" s="28" t="n"/>
      <c r="E1082" s="28" t="n"/>
      <c r="F1082" s="28" t="n"/>
      <c r="G1082" s="28" t="n"/>
      <c r="H1082" s="28" t="n"/>
      <c r="I1082" s="28" t="n"/>
      <c r="J1082" s="28" t="n"/>
      <c r="K1082" s="28" t="n"/>
      <c r="L1082" s="28" t="n"/>
      <c r="M1082" s="29" t="n"/>
      <c r="N1082" s="21" t="n"/>
      <c r="O1082" s="12">
        <f>IF(AND(B1082="",C1082=""),"",IF(NOT(ISNUMBER(B1082)),"Needs a date",IF(C1082="","Needs a client",IF(COUNTIF(Clients!$B$6:$B$105,C1082)=0,"Not on Clients",IF(COUNT(D1082:M1082)=0,"Nothing measured","")))))</f>
        <v/>
      </c>
      <c r="P1082" s="1">
        <f>IF(AND(O1082="",ISNUMBER(B1082)),INT(B1082),0)</f>
        <v/>
      </c>
      <c r="Q1082">
        <f>IF(AND(P1082&gt;0,C1082=Report!$C$5),P1082*10000+ROW(),"")</f>
        <v/>
      </c>
      <c r="R1082">
        <f>IF(AND(Q1082&lt;&gt;"",ISNUMBER(D1082)),Q1082,"")</f>
        <v/>
      </c>
      <c r="S1082">
        <f>IF(AND(Q1082&lt;&gt;"",ISNUMBER(E1082)),Q1082,"")</f>
        <v/>
      </c>
      <c r="T1082">
        <f>IF(AND(Q1082&lt;&gt;"",ISNUMBER(F1082)),Q1082,"")</f>
        <v/>
      </c>
      <c r="U1082">
        <f>IF(AND(Q1082&lt;&gt;"",ISNUMBER(G1082)),Q1082,"")</f>
        <v/>
      </c>
      <c r="V1082">
        <f>IF(AND(Q1082&lt;&gt;"",ISNUMBER(H1082)),Q1082,"")</f>
        <v/>
      </c>
      <c r="W1082">
        <f>IF(AND(Q1082&lt;&gt;"",ISNUMBER(I1082)),Q1082,"")</f>
        <v/>
      </c>
      <c r="X1082">
        <f>IF(AND(Q1082&lt;&gt;"",ISNUMBER(J1082)),Q1082,"")</f>
        <v/>
      </c>
      <c r="Y1082">
        <f>IF(AND(Q1082&lt;&gt;"",ISNUMBER(K1082)),Q1082,"")</f>
        <v/>
      </c>
      <c r="Z1082">
        <f>IF(AND(Q1082&lt;&gt;"",ISNUMBER(L1082)),Q1082,"")</f>
        <v/>
      </c>
      <c r="AA1082">
        <f>IF(AND(Q1082&lt;&gt;"",ISNUMBER(M1082)),Q1082,"")</f>
        <v/>
      </c>
      <c r="AB1082">
        <f>IF(AND(Q1082&lt;&gt;"",ISNUMBER(K1082)),K1082,"")</f>
        <v/>
      </c>
      <c r="AC1082">
        <f>IF(AND(Q1082&lt;&gt;"",ISNUMBER(L1082)),L1082,"")</f>
        <v/>
      </c>
      <c r="AD1082">
        <f>IF(AND(Q1082&lt;&gt;"",ISNUMBER(M1082)),M1082,"")</f>
        <v/>
      </c>
    </row>
    <row r="1083">
      <c r="A1083" s="1" t="n"/>
      <c r="B1083" s="17" t="n"/>
      <c r="C1083" s="27" t="n"/>
      <c r="D1083" s="28" t="n"/>
      <c r="E1083" s="28" t="n"/>
      <c r="F1083" s="28" t="n"/>
      <c r="G1083" s="28" t="n"/>
      <c r="H1083" s="28" t="n"/>
      <c r="I1083" s="28" t="n"/>
      <c r="J1083" s="28" t="n"/>
      <c r="K1083" s="28" t="n"/>
      <c r="L1083" s="28" t="n"/>
      <c r="M1083" s="29" t="n"/>
      <c r="N1083" s="21" t="n"/>
      <c r="O1083" s="12">
        <f>IF(AND(B1083="",C1083=""),"",IF(NOT(ISNUMBER(B1083)),"Needs a date",IF(C1083="","Needs a client",IF(COUNTIF(Clients!$B$6:$B$105,C1083)=0,"Not on Clients",IF(COUNT(D1083:M1083)=0,"Nothing measured","")))))</f>
        <v/>
      </c>
      <c r="P1083" s="1">
        <f>IF(AND(O1083="",ISNUMBER(B1083)),INT(B1083),0)</f>
        <v/>
      </c>
      <c r="Q1083">
        <f>IF(AND(P1083&gt;0,C1083=Report!$C$5),P1083*10000+ROW(),"")</f>
        <v/>
      </c>
      <c r="R1083">
        <f>IF(AND(Q1083&lt;&gt;"",ISNUMBER(D1083)),Q1083,"")</f>
        <v/>
      </c>
      <c r="S1083">
        <f>IF(AND(Q1083&lt;&gt;"",ISNUMBER(E1083)),Q1083,"")</f>
        <v/>
      </c>
      <c r="T1083">
        <f>IF(AND(Q1083&lt;&gt;"",ISNUMBER(F1083)),Q1083,"")</f>
        <v/>
      </c>
      <c r="U1083">
        <f>IF(AND(Q1083&lt;&gt;"",ISNUMBER(G1083)),Q1083,"")</f>
        <v/>
      </c>
      <c r="V1083">
        <f>IF(AND(Q1083&lt;&gt;"",ISNUMBER(H1083)),Q1083,"")</f>
        <v/>
      </c>
      <c r="W1083">
        <f>IF(AND(Q1083&lt;&gt;"",ISNUMBER(I1083)),Q1083,"")</f>
        <v/>
      </c>
      <c r="X1083">
        <f>IF(AND(Q1083&lt;&gt;"",ISNUMBER(J1083)),Q1083,"")</f>
        <v/>
      </c>
      <c r="Y1083">
        <f>IF(AND(Q1083&lt;&gt;"",ISNUMBER(K1083)),Q1083,"")</f>
        <v/>
      </c>
      <c r="Z1083">
        <f>IF(AND(Q1083&lt;&gt;"",ISNUMBER(L1083)),Q1083,"")</f>
        <v/>
      </c>
      <c r="AA1083">
        <f>IF(AND(Q1083&lt;&gt;"",ISNUMBER(M1083)),Q1083,"")</f>
        <v/>
      </c>
      <c r="AB1083">
        <f>IF(AND(Q1083&lt;&gt;"",ISNUMBER(K1083)),K1083,"")</f>
        <v/>
      </c>
      <c r="AC1083">
        <f>IF(AND(Q1083&lt;&gt;"",ISNUMBER(L1083)),L1083,"")</f>
        <v/>
      </c>
      <c r="AD1083">
        <f>IF(AND(Q1083&lt;&gt;"",ISNUMBER(M1083)),M1083,"")</f>
        <v/>
      </c>
    </row>
    <row r="1084">
      <c r="A1084" s="1" t="n"/>
      <c r="B1084" s="17" t="n"/>
      <c r="C1084" s="27" t="n"/>
      <c r="D1084" s="28" t="n"/>
      <c r="E1084" s="28" t="n"/>
      <c r="F1084" s="28" t="n"/>
      <c r="G1084" s="28" t="n"/>
      <c r="H1084" s="28" t="n"/>
      <c r="I1084" s="28" t="n"/>
      <c r="J1084" s="28" t="n"/>
      <c r="K1084" s="28" t="n"/>
      <c r="L1084" s="28" t="n"/>
      <c r="M1084" s="29" t="n"/>
      <c r="N1084" s="21" t="n"/>
      <c r="O1084" s="12">
        <f>IF(AND(B1084="",C1084=""),"",IF(NOT(ISNUMBER(B1084)),"Needs a date",IF(C1084="","Needs a client",IF(COUNTIF(Clients!$B$6:$B$105,C1084)=0,"Not on Clients",IF(COUNT(D1084:M1084)=0,"Nothing measured","")))))</f>
        <v/>
      </c>
      <c r="P1084" s="1">
        <f>IF(AND(O1084="",ISNUMBER(B1084)),INT(B1084),0)</f>
        <v/>
      </c>
      <c r="Q1084">
        <f>IF(AND(P1084&gt;0,C1084=Report!$C$5),P1084*10000+ROW(),"")</f>
        <v/>
      </c>
      <c r="R1084">
        <f>IF(AND(Q1084&lt;&gt;"",ISNUMBER(D1084)),Q1084,"")</f>
        <v/>
      </c>
      <c r="S1084">
        <f>IF(AND(Q1084&lt;&gt;"",ISNUMBER(E1084)),Q1084,"")</f>
        <v/>
      </c>
      <c r="T1084">
        <f>IF(AND(Q1084&lt;&gt;"",ISNUMBER(F1084)),Q1084,"")</f>
        <v/>
      </c>
      <c r="U1084">
        <f>IF(AND(Q1084&lt;&gt;"",ISNUMBER(G1084)),Q1084,"")</f>
        <v/>
      </c>
      <c r="V1084">
        <f>IF(AND(Q1084&lt;&gt;"",ISNUMBER(H1084)),Q1084,"")</f>
        <v/>
      </c>
      <c r="W1084">
        <f>IF(AND(Q1084&lt;&gt;"",ISNUMBER(I1084)),Q1084,"")</f>
        <v/>
      </c>
      <c r="X1084">
        <f>IF(AND(Q1084&lt;&gt;"",ISNUMBER(J1084)),Q1084,"")</f>
        <v/>
      </c>
      <c r="Y1084">
        <f>IF(AND(Q1084&lt;&gt;"",ISNUMBER(K1084)),Q1084,"")</f>
        <v/>
      </c>
      <c r="Z1084">
        <f>IF(AND(Q1084&lt;&gt;"",ISNUMBER(L1084)),Q1084,"")</f>
        <v/>
      </c>
      <c r="AA1084">
        <f>IF(AND(Q1084&lt;&gt;"",ISNUMBER(M1084)),Q1084,"")</f>
        <v/>
      </c>
      <c r="AB1084">
        <f>IF(AND(Q1084&lt;&gt;"",ISNUMBER(K1084)),K1084,"")</f>
        <v/>
      </c>
      <c r="AC1084">
        <f>IF(AND(Q1084&lt;&gt;"",ISNUMBER(L1084)),L1084,"")</f>
        <v/>
      </c>
      <c r="AD1084">
        <f>IF(AND(Q1084&lt;&gt;"",ISNUMBER(M1084)),M1084,"")</f>
        <v/>
      </c>
    </row>
    <row r="1085">
      <c r="A1085" s="1" t="n"/>
      <c r="B1085" s="17" t="n"/>
      <c r="C1085" s="27" t="n"/>
      <c r="D1085" s="28" t="n"/>
      <c r="E1085" s="28" t="n"/>
      <c r="F1085" s="28" t="n"/>
      <c r="G1085" s="28" t="n"/>
      <c r="H1085" s="28" t="n"/>
      <c r="I1085" s="28" t="n"/>
      <c r="J1085" s="28" t="n"/>
      <c r="K1085" s="28" t="n"/>
      <c r="L1085" s="28" t="n"/>
      <c r="M1085" s="29" t="n"/>
      <c r="N1085" s="21" t="n"/>
      <c r="O1085" s="12">
        <f>IF(AND(B1085="",C1085=""),"",IF(NOT(ISNUMBER(B1085)),"Needs a date",IF(C1085="","Needs a client",IF(COUNTIF(Clients!$B$6:$B$105,C1085)=0,"Not on Clients",IF(COUNT(D1085:M1085)=0,"Nothing measured","")))))</f>
        <v/>
      </c>
      <c r="P1085" s="1">
        <f>IF(AND(O1085="",ISNUMBER(B1085)),INT(B1085),0)</f>
        <v/>
      </c>
      <c r="Q1085">
        <f>IF(AND(P1085&gt;0,C1085=Report!$C$5),P1085*10000+ROW(),"")</f>
        <v/>
      </c>
      <c r="R1085">
        <f>IF(AND(Q1085&lt;&gt;"",ISNUMBER(D1085)),Q1085,"")</f>
        <v/>
      </c>
      <c r="S1085">
        <f>IF(AND(Q1085&lt;&gt;"",ISNUMBER(E1085)),Q1085,"")</f>
        <v/>
      </c>
      <c r="T1085">
        <f>IF(AND(Q1085&lt;&gt;"",ISNUMBER(F1085)),Q1085,"")</f>
        <v/>
      </c>
      <c r="U1085">
        <f>IF(AND(Q1085&lt;&gt;"",ISNUMBER(G1085)),Q1085,"")</f>
        <v/>
      </c>
      <c r="V1085">
        <f>IF(AND(Q1085&lt;&gt;"",ISNUMBER(H1085)),Q1085,"")</f>
        <v/>
      </c>
      <c r="W1085">
        <f>IF(AND(Q1085&lt;&gt;"",ISNUMBER(I1085)),Q1085,"")</f>
        <v/>
      </c>
      <c r="X1085">
        <f>IF(AND(Q1085&lt;&gt;"",ISNUMBER(J1085)),Q1085,"")</f>
        <v/>
      </c>
      <c r="Y1085">
        <f>IF(AND(Q1085&lt;&gt;"",ISNUMBER(K1085)),Q1085,"")</f>
        <v/>
      </c>
      <c r="Z1085">
        <f>IF(AND(Q1085&lt;&gt;"",ISNUMBER(L1085)),Q1085,"")</f>
        <v/>
      </c>
      <c r="AA1085">
        <f>IF(AND(Q1085&lt;&gt;"",ISNUMBER(M1085)),Q1085,"")</f>
        <v/>
      </c>
      <c r="AB1085">
        <f>IF(AND(Q1085&lt;&gt;"",ISNUMBER(K1085)),K1085,"")</f>
        <v/>
      </c>
      <c r="AC1085">
        <f>IF(AND(Q1085&lt;&gt;"",ISNUMBER(L1085)),L1085,"")</f>
        <v/>
      </c>
      <c r="AD1085">
        <f>IF(AND(Q1085&lt;&gt;"",ISNUMBER(M1085)),M1085,"")</f>
        <v/>
      </c>
    </row>
    <row r="1086">
      <c r="A1086" s="1" t="n"/>
      <c r="B1086" s="17" t="n"/>
      <c r="C1086" s="27" t="n"/>
      <c r="D1086" s="28" t="n"/>
      <c r="E1086" s="28" t="n"/>
      <c r="F1086" s="28" t="n"/>
      <c r="G1086" s="28" t="n"/>
      <c r="H1086" s="28" t="n"/>
      <c r="I1086" s="28" t="n"/>
      <c r="J1086" s="28" t="n"/>
      <c r="K1086" s="28" t="n"/>
      <c r="L1086" s="28" t="n"/>
      <c r="M1086" s="29" t="n"/>
      <c r="N1086" s="21" t="n"/>
      <c r="O1086" s="12">
        <f>IF(AND(B1086="",C1086=""),"",IF(NOT(ISNUMBER(B1086)),"Needs a date",IF(C1086="","Needs a client",IF(COUNTIF(Clients!$B$6:$B$105,C1086)=0,"Not on Clients",IF(COUNT(D1086:M1086)=0,"Nothing measured","")))))</f>
        <v/>
      </c>
      <c r="P1086" s="1">
        <f>IF(AND(O1086="",ISNUMBER(B1086)),INT(B1086),0)</f>
        <v/>
      </c>
      <c r="Q1086">
        <f>IF(AND(P1086&gt;0,C1086=Report!$C$5),P1086*10000+ROW(),"")</f>
        <v/>
      </c>
      <c r="R1086">
        <f>IF(AND(Q1086&lt;&gt;"",ISNUMBER(D1086)),Q1086,"")</f>
        <v/>
      </c>
      <c r="S1086">
        <f>IF(AND(Q1086&lt;&gt;"",ISNUMBER(E1086)),Q1086,"")</f>
        <v/>
      </c>
      <c r="T1086">
        <f>IF(AND(Q1086&lt;&gt;"",ISNUMBER(F1086)),Q1086,"")</f>
        <v/>
      </c>
      <c r="U1086">
        <f>IF(AND(Q1086&lt;&gt;"",ISNUMBER(G1086)),Q1086,"")</f>
        <v/>
      </c>
      <c r="V1086">
        <f>IF(AND(Q1086&lt;&gt;"",ISNUMBER(H1086)),Q1086,"")</f>
        <v/>
      </c>
      <c r="W1086">
        <f>IF(AND(Q1086&lt;&gt;"",ISNUMBER(I1086)),Q1086,"")</f>
        <v/>
      </c>
      <c r="X1086">
        <f>IF(AND(Q1086&lt;&gt;"",ISNUMBER(J1086)),Q1086,"")</f>
        <v/>
      </c>
      <c r="Y1086">
        <f>IF(AND(Q1086&lt;&gt;"",ISNUMBER(K1086)),Q1086,"")</f>
        <v/>
      </c>
      <c r="Z1086">
        <f>IF(AND(Q1086&lt;&gt;"",ISNUMBER(L1086)),Q1086,"")</f>
        <v/>
      </c>
      <c r="AA1086">
        <f>IF(AND(Q1086&lt;&gt;"",ISNUMBER(M1086)),Q1086,"")</f>
        <v/>
      </c>
      <c r="AB1086">
        <f>IF(AND(Q1086&lt;&gt;"",ISNUMBER(K1086)),K1086,"")</f>
        <v/>
      </c>
      <c r="AC1086">
        <f>IF(AND(Q1086&lt;&gt;"",ISNUMBER(L1086)),L1086,"")</f>
        <v/>
      </c>
      <c r="AD1086">
        <f>IF(AND(Q1086&lt;&gt;"",ISNUMBER(M1086)),M1086,"")</f>
        <v/>
      </c>
    </row>
    <row r="1087">
      <c r="A1087" s="1" t="n"/>
      <c r="B1087" s="17" t="n"/>
      <c r="C1087" s="27" t="n"/>
      <c r="D1087" s="28" t="n"/>
      <c r="E1087" s="28" t="n"/>
      <c r="F1087" s="28" t="n"/>
      <c r="G1087" s="28" t="n"/>
      <c r="H1087" s="28" t="n"/>
      <c r="I1087" s="28" t="n"/>
      <c r="J1087" s="28" t="n"/>
      <c r="K1087" s="28" t="n"/>
      <c r="L1087" s="28" t="n"/>
      <c r="M1087" s="29" t="n"/>
      <c r="N1087" s="21" t="n"/>
      <c r="O1087" s="12">
        <f>IF(AND(B1087="",C1087=""),"",IF(NOT(ISNUMBER(B1087)),"Needs a date",IF(C1087="","Needs a client",IF(COUNTIF(Clients!$B$6:$B$105,C1087)=0,"Not on Clients",IF(COUNT(D1087:M1087)=0,"Nothing measured","")))))</f>
        <v/>
      </c>
      <c r="P1087" s="1">
        <f>IF(AND(O1087="",ISNUMBER(B1087)),INT(B1087),0)</f>
        <v/>
      </c>
      <c r="Q1087">
        <f>IF(AND(P1087&gt;0,C1087=Report!$C$5),P1087*10000+ROW(),"")</f>
        <v/>
      </c>
      <c r="R1087">
        <f>IF(AND(Q1087&lt;&gt;"",ISNUMBER(D1087)),Q1087,"")</f>
        <v/>
      </c>
      <c r="S1087">
        <f>IF(AND(Q1087&lt;&gt;"",ISNUMBER(E1087)),Q1087,"")</f>
        <v/>
      </c>
      <c r="T1087">
        <f>IF(AND(Q1087&lt;&gt;"",ISNUMBER(F1087)),Q1087,"")</f>
        <v/>
      </c>
      <c r="U1087">
        <f>IF(AND(Q1087&lt;&gt;"",ISNUMBER(G1087)),Q1087,"")</f>
        <v/>
      </c>
      <c r="V1087">
        <f>IF(AND(Q1087&lt;&gt;"",ISNUMBER(H1087)),Q1087,"")</f>
        <v/>
      </c>
      <c r="W1087">
        <f>IF(AND(Q1087&lt;&gt;"",ISNUMBER(I1087)),Q1087,"")</f>
        <v/>
      </c>
      <c r="X1087">
        <f>IF(AND(Q1087&lt;&gt;"",ISNUMBER(J1087)),Q1087,"")</f>
        <v/>
      </c>
      <c r="Y1087">
        <f>IF(AND(Q1087&lt;&gt;"",ISNUMBER(K1087)),Q1087,"")</f>
        <v/>
      </c>
      <c r="Z1087">
        <f>IF(AND(Q1087&lt;&gt;"",ISNUMBER(L1087)),Q1087,"")</f>
        <v/>
      </c>
      <c r="AA1087">
        <f>IF(AND(Q1087&lt;&gt;"",ISNUMBER(M1087)),Q1087,"")</f>
        <v/>
      </c>
      <c r="AB1087">
        <f>IF(AND(Q1087&lt;&gt;"",ISNUMBER(K1087)),K1087,"")</f>
        <v/>
      </c>
      <c r="AC1087">
        <f>IF(AND(Q1087&lt;&gt;"",ISNUMBER(L1087)),L1087,"")</f>
        <v/>
      </c>
      <c r="AD1087">
        <f>IF(AND(Q1087&lt;&gt;"",ISNUMBER(M1087)),M1087,"")</f>
        <v/>
      </c>
    </row>
    <row r="1088">
      <c r="A1088" s="1" t="n"/>
      <c r="B1088" s="17" t="n"/>
      <c r="C1088" s="27" t="n"/>
      <c r="D1088" s="28" t="n"/>
      <c r="E1088" s="28" t="n"/>
      <c r="F1088" s="28" t="n"/>
      <c r="G1088" s="28" t="n"/>
      <c r="H1088" s="28" t="n"/>
      <c r="I1088" s="28" t="n"/>
      <c r="J1088" s="28" t="n"/>
      <c r="K1088" s="28" t="n"/>
      <c r="L1088" s="28" t="n"/>
      <c r="M1088" s="29" t="n"/>
      <c r="N1088" s="21" t="n"/>
      <c r="O1088" s="12">
        <f>IF(AND(B1088="",C1088=""),"",IF(NOT(ISNUMBER(B1088)),"Needs a date",IF(C1088="","Needs a client",IF(COUNTIF(Clients!$B$6:$B$105,C1088)=0,"Not on Clients",IF(COUNT(D1088:M1088)=0,"Nothing measured","")))))</f>
        <v/>
      </c>
      <c r="P1088" s="1">
        <f>IF(AND(O1088="",ISNUMBER(B1088)),INT(B1088),0)</f>
        <v/>
      </c>
      <c r="Q1088">
        <f>IF(AND(P1088&gt;0,C1088=Report!$C$5),P1088*10000+ROW(),"")</f>
        <v/>
      </c>
      <c r="R1088">
        <f>IF(AND(Q1088&lt;&gt;"",ISNUMBER(D1088)),Q1088,"")</f>
        <v/>
      </c>
      <c r="S1088">
        <f>IF(AND(Q1088&lt;&gt;"",ISNUMBER(E1088)),Q1088,"")</f>
        <v/>
      </c>
      <c r="T1088">
        <f>IF(AND(Q1088&lt;&gt;"",ISNUMBER(F1088)),Q1088,"")</f>
        <v/>
      </c>
      <c r="U1088">
        <f>IF(AND(Q1088&lt;&gt;"",ISNUMBER(G1088)),Q1088,"")</f>
        <v/>
      </c>
      <c r="V1088">
        <f>IF(AND(Q1088&lt;&gt;"",ISNUMBER(H1088)),Q1088,"")</f>
        <v/>
      </c>
      <c r="W1088">
        <f>IF(AND(Q1088&lt;&gt;"",ISNUMBER(I1088)),Q1088,"")</f>
        <v/>
      </c>
      <c r="X1088">
        <f>IF(AND(Q1088&lt;&gt;"",ISNUMBER(J1088)),Q1088,"")</f>
        <v/>
      </c>
      <c r="Y1088">
        <f>IF(AND(Q1088&lt;&gt;"",ISNUMBER(K1088)),Q1088,"")</f>
        <v/>
      </c>
      <c r="Z1088">
        <f>IF(AND(Q1088&lt;&gt;"",ISNUMBER(L1088)),Q1088,"")</f>
        <v/>
      </c>
      <c r="AA1088">
        <f>IF(AND(Q1088&lt;&gt;"",ISNUMBER(M1088)),Q1088,"")</f>
        <v/>
      </c>
      <c r="AB1088">
        <f>IF(AND(Q1088&lt;&gt;"",ISNUMBER(K1088)),K1088,"")</f>
        <v/>
      </c>
      <c r="AC1088">
        <f>IF(AND(Q1088&lt;&gt;"",ISNUMBER(L1088)),L1088,"")</f>
        <v/>
      </c>
      <c r="AD1088">
        <f>IF(AND(Q1088&lt;&gt;"",ISNUMBER(M1088)),M1088,"")</f>
        <v/>
      </c>
    </row>
    <row r="1089">
      <c r="A1089" s="1" t="n"/>
      <c r="B1089" s="17" t="n"/>
      <c r="C1089" s="27" t="n"/>
      <c r="D1089" s="28" t="n"/>
      <c r="E1089" s="28" t="n"/>
      <c r="F1089" s="28" t="n"/>
      <c r="G1089" s="28" t="n"/>
      <c r="H1089" s="28" t="n"/>
      <c r="I1089" s="28" t="n"/>
      <c r="J1089" s="28" t="n"/>
      <c r="K1089" s="28" t="n"/>
      <c r="L1089" s="28" t="n"/>
      <c r="M1089" s="29" t="n"/>
      <c r="N1089" s="21" t="n"/>
      <c r="O1089" s="12">
        <f>IF(AND(B1089="",C1089=""),"",IF(NOT(ISNUMBER(B1089)),"Needs a date",IF(C1089="","Needs a client",IF(COUNTIF(Clients!$B$6:$B$105,C1089)=0,"Not on Clients",IF(COUNT(D1089:M1089)=0,"Nothing measured","")))))</f>
        <v/>
      </c>
      <c r="P1089" s="1">
        <f>IF(AND(O1089="",ISNUMBER(B1089)),INT(B1089),0)</f>
        <v/>
      </c>
      <c r="Q1089">
        <f>IF(AND(P1089&gt;0,C1089=Report!$C$5),P1089*10000+ROW(),"")</f>
        <v/>
      </c>
      <c r="R1089">
        <f>IF(AND(Q1089&lt;&gt;"",ISNUMBER(D1089)),Q1089,"")</f>
        <v/>
      </c>
      <c r="S1089">
        <f>IF(AND(Q1089&lt;&gt;"",ISNUMBER(E1089)),Q1089,"")</f>
        <v/>
      </c>
      <c r="T1089">
        <f>IF(AND(Q1089&lt;&gt;"",ISNUMBER(F1089)),Q1089,"")</f>
        <v/>
      </c>
      <c r="U1089">
        <f>IF(AND(Q1089&lt;&gt;"",ISNUMBER(G1089)),Q1089,"")</f>
        <v/>
      </c>
      <c r="V1089">
        <f>IF(AND(Q1089&lt;&gt;"",ISNUMBER(H1089)),Q1089,"")</f>
        <v/>
      </c>
      <c r="W1089">
        <f>IF(AND(Q1089&lt;&gt;"",ISNUMBER(I1089)),Q1089,"")</f>
        <v/>
      </c>
      <c r="X1089">
        <f>IF(AND(Q1089&lt;&gt;"",ISNUMBER(J1089)),Q1089,"")</f>
        <v/>
      </c>
      <c r="Y1089">
        <f>IF(AND(Q1089&lt;&gt;"",ISNUMBER(K1089)),Q1089,"")</f>
        <v/>
      </c>
      <c r="Z1089">
        <f>IF(AND(Q1089&lt;&gt;"",ISNUMBER(L1089)),Q1089,"")</f>
        <v/>
      </c>
      <c r="AA1089">
        <f>IF(AND(Q1089&lt;&gt;"",ISNUMBER(M1089)),Q1089,"")</f>
        <v/>
      </c>
      <c r="AB1089">
        <f>IF(AND(Q1089&lt;&gt;"",ISNUMBER(K1089)),K1089,"")</f>
        <v/>
      </c>
      <c r="AC1089">
        <f>IF(AND(Q1089&lt;&gt;"",ISNUMBER(L1089)),L1089,"")</f>
        <v/>
      </c>
      <c r="AD1089">
        <f>IF(AND(Q1089&lt;&gt;"",ISNUMBER(M1089)),M1089,"")</f>
        <v/>
      </c>
    </row>
    <row r="1090">
      <c r="A1090" s="1" t="n"/>
      <c r="B1090" s="17" t="n"/>
      <c r="C1090" s="27" t="n"/>
      <c r="D1090" s="28" t="n"/>
      <c r="E1090" s="28" t="n"/>
      <c r="F1090" s="28" t="n"/>
      <c r="G1090" s="28" t="n"/>
      <c r="H1090" s="28" t="n"/>
      <c r="I1090" s="28" t="n"/>
      <c r="J1090" s="28" t="n"/>
      <c r="K1090" s="28" t="n"/>
      <c r="L1090" s="28" t="n"/>
      <c r="M1090" s="29" t="n"/>
      <c r="N1090" s="21" t="n"/>
      <c r="O1090" s="12">
        <f>IF(AND(B1090="",C1090=""),"",IF(NOT(ISNUMBER(B1090)),"Needs a date",IF(C1090="","Needs a client",IF(COUNTIF(Clients!$B$6:$B$105,C1090)=0,"Not on Clients",IF(COUNT(D1090:M1090)=0,"Nothing measured","")))))</f>
        <v/>
      </c>
      <c r="P1090" s="1">
        <f>IF(AND(O1090="",ISNUMBER(B1090)),INT(B1090),0)</f>
        <v/>
      </c>
      <c r="Q1090">
        <f>IF(AND(P1090&gt;0,C1090=Report!$C$5),P1090*10000+ROW(),"")</f>
        <v/>
      </c>
      <c r="R1090">
        <f>IF(AND(Q1090&lt;&gt;"",ISNUMBER(D1090)),Q1090,"")</f>
        <v/>
      </c>
      <c r="S1090">
        <f>IF(AND(Q1090&lt;&gt;"",ISNUMBER(E1090)),Q1090,"")</f>
        <v/>
      </c>
      <c r="T1090">
        <f>IF(AND(Q1090&lt;&gt;"",ISNUMBER(F1090)),Q1090,"")</f>
        <v/>
      </c>
      <c r="U1090">
        <f>IF(AND(Q1090&lt;&gt;"",ISNUMBER(G1090)),Q1090,"")</f>
        <v/>
      </c>
      <c r="V1090">
        <f>IF(AND(Q1090&lt;&gt;"",ISNUMBER(H1090)),Q1090,"")</f>
        <v/>
      </c>
      <c r="W1090">
        <f>IF(AND(Q1090&lt;&gt;"",ISNUMBER(I1090)),Q1090,"")</f>
        <v/>
      </c>
      <c r="X1090">
        <f>IF(AND(Q1090&lt;&gt;"",ISNUMBER(J1090)),Q1090,"")</f>
        <v/>
      </c>
      <c r="Y1090">
        <f>IF(AND(Q1090&lt;&gt;"",ISNUMBER(K1090)),Q1090,"")</f>
        <v/>
      </c>
      <c r="Z1090">
        <f>IF(AND(Q1090&lt;&gt;"",ISNUMBER(L1090)),Q1090,"")</f>
        <v/>
      </c>
      <c r="AA1090">
        <f>IF(AND(Q1090&lt;&gt;"",ISNUMBER(M1090)),Q1090,"")</f>
        <v/>
      </c>
      <c r="AB1090">
        <f>IF(AND(Q1090&lt;&gt;"",ISNUMBER(K1090)),K1090,"")</f>
        <v/>
      </c>
      <c r="AC1090">
        <f>IF(AND(Q1090&lt;&gt;"",ISNUMBER(L1090)),L1090,"")</f>
        <v/>
      </c>
      <c r="AD1090">
        <f>IF(AND(Q1090&lt;&gt;"",ISNUMBER(M1090)),M1090,"")</f>
        <v/>
      </c>
    </row>
    <row r="1091">
      <c r="A1091" s="1" t="n"/>
      <c r="B1091" s="17" t="n"/>
      <c r="C1091" s="27" t="n"/>
      <c r="D1091" s="28" t="n"/>
      <c r="E1091" s="28" t="n"/>
      <c r="F1091" s="28" t="n"/>
      <c r="G1091" s="28" t="n"/>
      <c r="H1091" s="28" t="n"/>
      <c r="I1091" s="28" t="n"/>
      <c r="J1091" s="28" t="n"/>
      <c r="K1091" s="28" t="n"/>
      <c r="L1091" s="28" t="n"/>
      <c r="M1091" s="29" t="n"/>
      <c r="N1091" s="21" t="n"/>
      <c r="O1091" s="12">
        <f>IF(AND(B1091="",C1091=""),"",IF(NOT(ISNUMBER(B1091)),"Needs a date",IF(C1091="","Needs a client",IF(COUNTIF(Clients!$B$6:$B$105,C1091)=0,"Not on Clients",IF(COUNT(D1091:M1091)=0,"Nothing measured","")))))</f>
        <v/>
      </c>
      <c r="P1091" s="1">
        <f>IF(AND(O1091="",ISNUMBER(B1091)),INT(B1091),0)</f>
        <v/>
      </c>
      <c r="Q1091">
        <f>IF(AND(P1091&gt;0,C1091=Report!$C$5),P1091*10000+ROW(),"")</f>
        <v/>
      </c>
      <c r="R1091">
        <f>IF(AND(Q1091&lt;&gt;"",ISNUMBER(D1091)),Q1091,"")</f>
        <v/>
      </c>
      <c r="S1091">
        <f>IF(AND(Q1091&lt;&gt;"",ISNUMBER(E1091)),Q1091,"")</f>
        <v/>
      </c>
      <c r="T1091">
        <f>IF(AND(Q1091&lt;&gt;"",ISNUMBER(F1091)),Q1091,"")</f>
        <v/>
      </c>
      <c r="U1091">
        <f>IF(AND(Q1091&lt;&gt;"",ISNUMBER(G1091)),Q1091,"")</f>
        <v/>
      </c>
      <c r="V1091">
        <f>IF(AND(Q1091&lt;&gt;"",ISNUMBER(H1091)),Q1091,"")</f>
        <v/>
      </c>
      <c r="W1091">
        <f>IF(AND(Q1091&lt;&gt;"",ISNUMBER(I1091)),Q1091,"")</f>
        <v/>
      </c>
      <c r="X1091">
        <f>IF(AND(Q1091&lt;&gt;"",ISNUMBER(J1091)),Q1091,"")</f>
        <v/>
      </c>
      <c r="Y1091">
        <f>IF(AND(Q1091&lt;&gt;"",ISNUMBER(K1091)),Q1091,"")</f>
        <v/>
      </c>
      <c r="Z1091">
        <f>IF(AND(Q1091&lt;&gt;"",ISNUMBER(L1091)),Q1091,"")</f>
        <v/>
      </c>
      <c r="AA1091">
        <f>IF(AND(Q1091&lt;&gt;"",ISNUMBER(M1091)),Q1091,"")</f>
        <v/>
      </c>
      <c r="AB1091">
        <f>IF(AND(Q1091&lt;&gt;"",ISNUMBER(K1091)),K1091,"")</f>
        <v/>
      </c>
      <c r="AC1091">
        <f>IF(AND(Q1091&lt;&gt;"",ISNUMBER(L1091)),L1091,"")</f>
        <v/>
      </c>
      <c r="AD1091">
        <f>IF(AND(Q1091&lt;&gt;"",ISNUMBER(M1091)),M1091,"")</f>
        <v/>
      </c>
    </row>
    <row r="1092">
      <c r="A1092" s="1" t="n"/>
      <c r="B1092" s="17" t="n"/>
      <c r="C1092" s="27" t="n"/>
      <c r="D1092" s="28" t="n"/>
      <c r="E1092" s="28" t="n"/>
      <c r="F1092" s="28" t="n"/>
      <c r="G1092" s="28" t="n"/>
      <c r="H1092" s="28" t="n"/>
      <c r="I1092" s="28" t="n"/>
      <c r="J1092" s="28" t="n"/>
      <c r="K1092" s="28" t="n"/>
      <c r="L1092" s="28" t="n"/>
      <c r="M1092" s="29" t="n"/>
      <c r="N1092" s="21" t="n"/>
      <c r="O1092" s="12">
        <f>IF(AND(B1092="",C1092=""),"",IF(NOT(ISNUMBER(B1092)),"Needs a date",IF(C1092="","Needs a client",IF(COUNTIF(Clients!$B$6:$B$105,C1092)=0,"Not on Clients",IF(COUNT(D1092:M1092)=0,"Nothing measured","")))))</f>
        <v/>
      </c>
      <c r="P1092" s="1">
        <f>IF(AND(O1092="",ISNUMBER(B1092)),INT(B1092),0)</f>
        <v/>
      </c>
      <c r="Q1092">
        <f>IF(AND(P1092&gt;0,C1092=Report!$C$5),P1092*10000+ROW(),"")</f>
        <v/>
      </c>
      <c r="R1092">
        <f>IF(AND(Q1092&lt;&gt;"",ISNUMBER(D1092)),Q1092,"")</f>
        <v/>
      </c>
      <c r="S1092">
        <f>IF(AND(Q1092&lt;&gt;"",ISNUMBER(E1092)),Q1092,"")</f>
        <v/>
      </c>
      <c r="T1092">
        <f>IF(AND(Q1092&lt;&gt;"",ISNUMBER(F1092)),Q1092,"")</f>
        <v/>
      </c>
      <c r="U1092">
        <f>IF(AND(Q1092&lt;&gt;"",ISNUMBER(G1092)),Q1092,"")</f>
        <v/>
      </c>
      <c r="V1092">
        <f>IF(AND(Q1092&lt;&gt;"",ISNUMBER(H1092)),Q1092,"")</f>
        <v/>
      </c>
      <c r="W1092">
        <f>IF(AND(Q1092&lt;&gt;"",ISNUMBER(I1092)),Q1092,"")</f>
        <v/>
      </c>
      <c r="X1092">
        <f>IF(AND(Q1092&lt;&gt;"",ISNUMBER(J1092)),Q1092,"")</f>
        <v/>
      </c>
      <c r="Y1092">
        <f>IF(AND(Q1092&lt;&gt;"",ISNUMBER(K1092)),Q1092,"")</f>
        <v/>
      </c>
      <c r="Z1092">
        <f>IF(AND(Q1092&lt;&gt;"",ISNUMBER(L1092)),Q1092,"")</f>
        <v/>
      </c>
      <c r="AA1092">
        <f>IF(AND(Q1092&lt;&gt;"",ISNUMBER(M1092)),Q1092,"")</f>
        <v/>
      </c>
      <c r="AB1092">
        <f>IF(AND(Q1092&lt;&gt;"",ISNUMBER(K1092)),K1092,"")</f>
        <v/>
      </c>
      <c r="AC1092">
        <f>IF(AND(Q1092&lt;&gt;"",ISNUMBER(L1092)),L1092,"")</f>
        <v/>
      </c>
      <c r="AD1092">
        <f>IF(AND(Q1092&lt;&gt;"",ISNUMBER(M1092)),M1092,"")</f>
        <v/>
      </c>
    </row>
    <row r="1093">
      <c r="A1093" s="1" t="n"/>
      <c r="B1093" s="17" t="n"/>
      <c r="C1093" s="27" t="n"/>
      <c r="D1093" s="28" t="n"/>
      <c r="E1093" s="28" t="n"/>
      <c r="F1093" s="28" t="n"/>
      <c r="G1093" s="28" t="n"/>
      <c r="H1093" s="28" t="n"/>
      <c r="I1093" s="28" t="n"/>
      <c r="J1093" s="28" t="n"/>
      <c r="K1093" s="28" t="n"/>
      <c r="L1093" s="28" t="n"/>
      <c r="M1093" s="29" t="n"/>
      <c r="N1093" s="21" t="n"/>
      <c r="O1093" s="12">
        <f>IF(AND(B1093="",C1093=""),"",IF(NOT(ISNUMBER(B1093)),"Needs a date",IF(C1093="","Needs a client",IF(COUNTIF(Clients!$B$6:$B$105,C1093)=0,"Not on Clients",IF(COUNT(D1093:M1093)=0,"Nothing measured","")))))</f>
        <v/>
      </c>
      <c r="P1093" s="1">
        <f>IF(AND(O1093="",ISNUMBER(B1093)),INT(B1093),0)</f>
        <v/>
      </c>
      <c r="Q1093">
        <f>IF(AND(P1093&gt;0,C1093=Report!$C$5),P1093*10000+ROW(),"")</f>
        <v/>
      </c>
      <c r="R1093">
        <f>IF(AND(Q1093&lt;&gt;"",ISNUMBER(D1093)),Q1093,"")</f>
        <v/>
      </c>
      <c r="S1093">
        <f>IF(AND(Q1093&lt;&gt;"",ISNUMBER(E1093)),Q1093,"")</f>
        <v/>
      </c>
      <c r="T1093">
        <f>IF(AND(Q1093&lt;&gt;"",ISNUMBER(F1093)),Q1093,"")</f>
        <v/>
      </c>
      <c r="U1093">
        <f>IF(AND(Q1093&lt;&gt;"",ISNUMBER(G1093)),Q1093,"")</f>
        <v/>
      </c>
      <c r="V1093">
        <f>IF(AND(Q1093&lt;&gt;"",ISNUMBER(H1093)),Q1093,"")</f>
        <v/>
      </c>
      <c r="W1093">
        <f>IF(AND(Q1093&lt;&gt;"",ISNUMBER(I1093)),Q1093,"")</f>
        <v/>
      </c>
      <c r="X1093">
        <f>IF(AND(Q1093&lt;&gt;"",ISNUMBER(J1093)),Q1093,"")</f>
        <v/>
      </c>
      <c r="Y1093">
        <f>IF(AND(Q1093&lt;&gt;"",ISNUMBER(K1093)),Q1093,"")</f>
        <v/>
      </c>
      <c r="Z1093">
        <f>IF(AND(Q1093&lt;&gt;"",ISNUMBER(L1093)),Q1093,"")</f>
        <v/>
      </c>
      <c r="AA1093">
        <f>IF(AND(Q1093&lt;&gt;"",ISNUMBER(M1093)),Q1093,"")</f>
        <v/>
      </c>
      <c r="AB1093">
        <f>IF(AND(Q1093&lt;&gt;"",ISNUMBER(K1093)),K1093,"")</f>
        <v/>
      </c>
      <c r="AC1093">
        <f>IF(AND(Q1093&lt;&gt;"",ISNUMBER(L1093)),L1093,"")</f>
        <v/>
      </c>
      <c r="AD1093">
        <f>IF(AND(Q1093&lt;&gt;"",ISNUMBER(M1093)),M1093,"")</f>
        <v/>
      </c>
    </row>
    <row r="1094">
      <c r="A1094" s="1" t="n"/>
      <c r="B1094" s="17" t="n"/>
      <c r="C1094" s="27" t="n"/>
      <c r="D1094" s="28" t="n"/>
      <c r="E1094" s="28" t="n"/>
      <c r="F1094" s="28" t="n"/>
      <c r="G1094" s="28" t="n"/>
      <c r="H1094" s="28" t="n"/>
      <c r="I1094" s="28" t="n"/>
      <c r="J1094" s="28" t="n"/>
      <c r="K1094" s="28" t="n"/>
      <c r="L1094" s="28" t="n"/>
      <c r="M1094" s="29" t="n"/>
      <c r="N1094" s="21" t="n"/>
      <c r="O1094" s="12">
        <f>IF(AND(B1094="",C1094=""),"",IF(NOT(ISNUMBER(B1094)),"Needs a date",IF(C1094="","Needs a client",IF(COUNTIF(Clients!$B$6:$B$105,C1094)=0,"Not on Clients",IF(COUNT(D1094:M1094)=0,"Nothing measured","")))))</f>
        <v/>
      </c>
      <c r="P1094" s="1">
        <f>IF(AND(O1094="",ISNUMBER(B1094)),INT(B1094),0)</f>
        <v/>
      </c>
      <c r="Q1094">
        <f>IF(AND(P1094&gt;0,C1094=Report!$C$5),P1094*10000+ROW(),"")</f>
        <v/>
      </c>
      <c r="R1094">
        <f>IF(AND(Q1094&lt;&gt;"",ISNUMBER(D1094)),Q1094,"")</f>
        <v/>
      </c>
      <c r="S1094">
        <f>IF(AND(Q1094&lt;&gt;"",ISNUMBER(E1094)),Q1094,"")</f>
        <v/>
      </c>
      <c r="T1094">
        <f>IF(AND(Q1094&lt;&gt;"",ISNUMBER(F1094)),Q1094,"")</f>
        <v/>
      </c>
      <c r="U1094">
        <f>IF(AND(Q1094&lt;&gt;"",ISNUMBER(G1094)),Q1094,"")</f>
        <v/>
      </c>
      <c r="V1094">
        <f>IF(AND(Q1094&lt;&gt;"",ISNUMBER(H1094)),Q1094,"")</f>
        <v/>
      </c>
      <c r="W1094">
        <f>IF(AND(Q1094&lt;&gt;"",ISNUMBER(I1094)),Q1094,"")</f>
        <v/>
      </c>
      <c r="X1094">
        <f>IF(AND(Q1094&lt;&gt;"",ISNUMBER(J1094)),Q1094,"")</f>
        <v/>
      </c>
      <c r="Y1094">
        <f>IF(AND(Q1094&lt;&gt;"",ISNUMBER(K1094)),Q1094,"")</f>
        <v/>
      </c>
      <c r="Z1094">
        <f>IF(AND(Q1094&lt;&gt;"",ISNUMBER(L1094)),Q1094,"")</f>
        <v/>
      </c>
      <c r="AA1094">
        <f>IF(AND(Q1094&lt;&gt;"",ISNUMBER(M1094)),Q1094,"")</f>
        <v/>
      </c>
      <c r="AB1094">
        <f>IF(AND(Q1094&lt;&gt;"",ISNUMBER(K1094)),K1094,"")</f>
        <v/>
      </c>
      <c r="AC1094">
        <f>IF(AND(Q1094&lt;&gt;"",ISNUMBER(L1094)),L1094,"")</f>
        <v/>
      </c>
      <c r="AD1094">
        <f>IF(AND(Q1094&lt;&gt;"",ISNUMBER(M1094)),M1094,"")</f>
        <v/>
      </c>
    </row>
    <row r="1095">
      <c r="A1095" s="1" t="n"/>
      <c r="B1095" s="17" t="n"/>
      <c r="C1095" s="27" t="n"/>
      <c r="D1095" s="28" t="n"/>
      <c r="E1095" s="28" t="n"/>
      <c r="F1095" s="28" t="n"/>
      <c r="G1095" s="28" t="n"/>
      <c r="H1095" s="28" t="n"/>
      <c r="I1095" s="28" t="n"/>
      <c r="J1095" s="28" t="n"/>
      <c r="K1095" s="28" t="n"/>
      <c r="L1095" s="28" t="n"/>
      <c r="M1095" s="29" t="n"/>
      <c r="N1095" s="21" t="n"/>
      <c r="O1095" s="12">
        <f>IF(AND(B1095="",C1095=""),"",IF(NOT(ISNUMBER(B1095)),"Needs a date",IF(C1095="","Needs a client",IF(COUNTIF(Clients!$B$6:$B$105,C1095)=0,"Not on Clients",IF(COUNT(D1095:M1095)=0,"Nothing measured","")))))</f>
        <v/>
      </c>
      <c r="P1095" s="1">
        <f>IF(AND(O1095="",ISNUMBER(B1095)),INT(B1095),0)</f>
        <v/>
      </c>
      <c r="Q1095">
        <f>IF(AND(P1095&gt;0,C1095=Report!$C$5),P1095*10000+ROW(),"")</f>
        <v/>
      </c>
      <c r="R1095">
        <f>IF(AND(Q1095&lt;&gt;"",ISNUMBER(D1095)),Q1095,"")</f>
        <v/>
      </c>
      <c r="S1095">
        <f>IF(AND(Q1095&lt;&gt;"",ISNUMBER(E1095)),Q1095,"")</f>
        <v/>
      </c>
      <c r="T1095">
        <f>IF(AND(Q1095&lt;&gt;"",ISNUMBER(F1095)),Q1095,"")</f>
        <v/>
      </c>
      <c r="U1095">
        <f>IF(AND(Q1095&lt;&gt;"",ISNUMBER(G1095)),Q1095,"")</f>
        <v/>
      </c>
      <c r="V1095">
        <f>IF(AND(Q1095&lt;&gt;"",ISNUMBER(H1095)),Q1095,"")</f>
        <v/>
      </c>
      <c r="W1095">
        <f>IF(AND(Q1095&lt;&gt;"",ISNUMBER(I1095)),Q1095,"")</f>
        <v/>
      </c>
      <c r="X1095">
        <f>IF(AND(Q1095&lt;&gt;"",ISNUMBER(J1095)),Q1095,"")</f>
        <v/>
      </c>
      <c r="Y1095">
        <f>IF(AND(Q1095&lt;&gt;"",ISNUMBER(K1095)),Q1095,"")</f>
        <v/>
      </c>
      <c r="Z1095">
        <f>IF(AND(Q1095&lt;&gt;"",ISNUMBER(L1095)),Q1095,"")</f>
        <v/>
      </c>
      <c r="AA1095">
        <f>IF(AND(Q1095&lt;&gt;"",ISNUMBER(M1095)),Q1095,"")</f>
        <v/>
      </c>
      <c r="AB1095">
        <f>IF(AND(Q1095&lt;&gt;"",ISNUMBER(K1095)),K1095,"")</f>
        <v/>
      </c>
      <c r="AC1095">
        <f>IF(AND(Q1095&lt;&gt;"",ISNUMBER(L1095)),L1095,"")</f>
        <v/>
      </c>
      <c r="AD1095">
        <f>IF(AND(Q1095&lt;&gt;"",ISNUMBER(M1095)),M1095,"")</f>
        <v/>
      </c>
    </row>
    <row r="1096">
      <c r="A1096" s="1" t="n"/>
      <c r="B1096" s="17" t="n"/>
      <c r="C1096" s="27" t="n"/>
      <c r="D1096" s="28" t="n"/>
      <c r="E1096" s="28" t="n"/>
      <c r="F1096" s="28" t="n"/>
      <c r="G1096" s="28" t="n"/>
      <c r="H1096" s="28" t="n"/>
      <c r="I1096" s="28" t="n"/>
      <c r="J1096" s="28" t="n"/>
      <c r="K1096" s="28" t="n"/>
      <c r="L1096" s="28" t="n"/>
      <c r="M1096" s="29" t="n"/>
      <c r="N1096" s="21" t="n"/>
      <c r="O1096" s="12">
        <f>IF(AND(B1096="",C1096=""),"",IF(NOT(ISNUMBER(B1096)),"Needs a date",IF(C1096="","Needs a client",IF(COUNTIF(Clients!$B$6:$B$105,C1096)=0,"Not on Clients",IF(COUNT(D1096:M1096)=0,"Nothing measured","")))))</f>
        <v/>
      </c>
      <c r="P1096" s="1">
        <f>IF(AND(O1096="",ISNUMBER(B1096)),INT(B1096),0)</f>
        <v/>
      </c>
      <c r="Q1096">
        <f>IF(AND(P1096&gt;0,C1096=Report!$C$5),P1096*10000+ROW(),"")</f>
        <v/>
      </c>
      <c r="R1096">
        <f>IF(AND(Q1096&lt;&gt;"",ISNUMBER(D1096)),Q1096,"")</f>
        <v/>
      </c>
      <c r="S1096">
        <f>IF(AND(Q1096&lt;&gt;"",ISNUMBER(E1096)),Q1096,"")</f>
        <v/>
      </c>
      <c r="T1096">
        <f>IF(AND(Q1096&lt;&gt;"",ISNUMBER(F1096)),Q1096,"")</f>
        <v/>
      </c>
      <c r="U1096">
        <f>IF(AND(Q1096&lt;&gt;"",ISNUMBER(G1096)),Q1096,"")</f>
        <v/>
      </c>
      <c r="V1096">
        <f>IF(AND(Q1096&lt;&gt;"",ISNUMBER(H1096)),Q1096,"")</f>
        <v/>
      </c>
      <c r="W1096">
        <f>IF(AND(Q1096&lt;&gt;"",ISNUMBER(I1096)),Q1096,"")</f>
        <v/>
      </c>
      <c r="X1096">
        <f>IF(AND(Q1096&lt;&gt;"",ISNUMBER(J1096)),Q1096,"")</f>
        <v/>
      </c>
      <c r="Y1096">
        <f>IF(AND(Q1096&lt;&gt;"",ISNUMBER(K1096)),Q1096,"")</f>
        <v/>
      </c>
      <c r="Z1096">
        <f>IF(AND(Q1096&lt;&gt;"",ISNUMBER(L1096)),Q1096,"")</f>
        <v/>
      </c>
      <c r="AA1096">
        <f>IF(AND(Q1096&lt;&gt;"",ISNUMBER(M1096)),Q1096,"")</f>
        <v/>
      </c>
      <c r="AB1096">
        <f>IF(AND(Q1096&lt;&gt;"",ISNUMBER(K1096)),K1096,"")</f>
        <v/>
      </c>
      <c r="AC1096">
        <f>IF(AND(Q1096&lt;&gt;"",ISNUMBER(L1096)),L1096,"")</f>
        <v/>
      </c>
      <c r="AD1096">
        <f>IF(AND(Q1096&lt;&gt;"",ISNUMBER(M1096)),M1096,"")</f>
        <v/>
      </c>
    </row>
    <row r="1097">
      <c r="A1097" s="1" t="n"/>
      <c r="B1097" s="17" t="n"/>
      <c r="C1097" s="27" t="n"/>
      <c r="D1097" s="28" t="n"/>
      <c r="E1097" s="28" t="n"/>
      <c r="F1097" s="28" t="n"/>
      <c r="G1097" s="28" t="n"/>
      <c r="H1097" s="28" t="n"/>
      <c r="I1097" s="28" t="n"/>
      <c r="J1097" s="28" t="n"/>
      <c r="K1097" s="28" t="n"/>
      <c r="L1097" s="28" t="n"/>
      <c r="M1097" s="29" t="n"/>
      <c r="N1097" s="21" t="n"/>
      <c r="O1097" s="12">
        <f>IF(AND(B1097="",C1097=""),"",IF(NOT(ISNUMBER(B1097)),"Needs a date",IF(C1097="","Needs a client",IF(COUNTIF(Clients!$B$6:$B$105,C1097)=0,"Not on Clients",IF(COUNT(D1097:M1097)=0,"Nothing measured","")))))</f>
        <v/>
      </c>
      <c r="P1097" s="1">
        <f>IF(AND(O1097="",ISNUMBER(B1097)),INT(B1097),0)</f>
        <v/>
      </c>
      <c r="Q1097">
        <f>IF(AND(P1097&gt;0,C1097=Report!$C$5),P1097*10000+ROW(),"")</f>
        <v/>
      </c>
      <c r="R1097">
        <f>IF(AND(Q1097&lt;&gt;"",ISNUMBER(D1097)),Q1097,"")</f>
        <v/>
      </c>
      <c r="S1097">
        <f>IF(AND(Q1097&lt;&gt;"",ISNUMBER(E1097)),Q1097,"")</f>
        <v/>
      </c>
      <c r="T1097">
        <f>IF(AND(Q1097&lt;&gt;"",ISNUMBER(F1097)),Q1097,"")</f>
        <v/>
      </c>
      <c r="U1097">
        <f>IF(AND(Q1097&lt;&gt;"",ISNUMBER(G1097)),Q1097,"")</f>
        <v/>
      </c>
      <c r="V1097">
        <f>IF(AND(Q1097&lt;&gt;"",ISNUMBER(H1097)),Q1097,"")</f>
        <v/>
      </c>
      <c r="W1097">
        <f>IF(AND(Q1097&lt;&gt;"",ISNUMBER(I1097)),Q1097,"")</f>
        <v/>
      </c>
      <c r="X1097">
        <f>IF(AND(Q1097&lt;&gt;"",ISNUMBER(J1097)),Q1097,"")</f>
        <v/>
      </c>
      <c r="Y1097">
        <f>IF(AND(Q1097&lt;&gt;"",ISNUMBER(K1097)),Q1097,"")</f>
        <v/>
      </c>
      <c r="Z1097">
        <f>IF(AND(Q1097&lt;&gt;"",ISNUMBER(L1097)),Q1097,"")</f>
        <v/>
      </c>
      <c r="AA1097">
        <f>IF(AND(Q1097&lt;&gt;"",ISNUMBER(M1097)),Q1097,"")</f>
        <v/>
      </c>
      <c r="AB1097">
        <f>IF(AND(Q1097&lt;&gt;"",ISNUMBER(K1097)),K1097,"")</f>
        <v/>
      </c>
      <c r="AC1097">
        <f>IF(AND(Q1097&lt;&gt;"",ISNUMBER(L1097)),L1097,"")</f>
        <v/>
      </c>
      <c r="AD1097">
        <f>IF(AND(Q1097&lt;&gt;"",ISNUMBER(M1097)),M1097,"")</f>
        <v/>
      </c>
    </row>
    <row r="1098">
      <c r="A1098" s="1" t="n"/>
      <c r="B1098" s="17" t="n"/>
      <c r="C1098" s="27" t="n"/>
      <c r="D1098" s="28" t="n"/>
      <c r="E1098" s="28" t="n"/>
      <c r="F1098" s="28" t="n"/>
      <c r="G1098" s="28" t="n"/>
      <c r="H1098" s="28" t="n"/>
      <c r="I1098" s="28" t="n"/>
      <c r="J1098" s="28" t="n"/>
      <c r="K1098" s="28" t="n"/>
      <c r="L1098" s="28" t="n"/>
      <c r="M1098" s="29" t="n"/>
      <c r="N1098" s="21" t="n"/>
      <c r="O1098" s="12">
        <f>IF(AND(B1098="",C1098=""),"",IF(NOT(ISNUMBER(B1098)),"Needs a date",IF(C1098="","Needs a client",IF(COUNTIF(Clients!$B$6:$B$105,C1098)=0,"Not on Clients",IF(COUNT(D1098:M1098)=0,"Nothing measured","")))))</f>
        <v/>
      </c>
      <c r="P1098" s="1">
        <f>IF(AND(O1098="",ISNUMBER(B1098)),INT(B1098),0)</f>
        <v/>
      </c>
      <c r="Q1098">
        <f>IF(AND(P1098&gt;0,C1098=Report!$C$5),P1098*10000+ROW(),"")</f>
        <v/>
      </c>
      <c r="R1098">
        <f>IF(AND(Q1098&lt;&gt;"",ISNUMBER(D1098)),Q1098,"")</f>
        <v/>
      </c>
      <c r="S1098">
        <f>IF(AND(Q1098&lt;&gt;"",ISNUMBER(E1098)),Q1098,"")</f>
        <v/>
      </c>
      <c r="T1098">
        <f>IF(AND(Q1098&lt;&gt;"",ISNUMBER(F1098)),Q1098,"")</f>
        <v/>
      </c>
      <c r="U1098">
        <f>IF(AND(Q1098&lt;&gt;"",ISNUMBER(G1098)),Q1098,"")</f>
        <v/>
      </c>
      <c r="V1098">
        <f>IF(AND(Q1098&lt;&gt;"",ISNUMBER(H1098)),Q1098,"")</f>
        <v/>
      </c>
      <c r="W1098">
        <f>IF(AND(Q1098&lt;&gt;"",ISNUMBER(I1098)),Q1098,"")</f>
        <v/>
      </c>
      <c r="X1098">
        <f>IF(AND(Q1098&lt;&gt;"",ISNUMBER(J1098)),Q1098,"")</f>
        <v/>
      </c>
      <c r="Y1098">
        <f>IF(AND(Q1098&lt;&gt;"",ISNUMBER(K1098)),Q1098,"")</f>
        <v/>
      </c>
      <c r="Z1098">
        <f>IF(AND(Q1098&lt;&gt;"",ISNUMBER(L1098)),Q1098,"")</f>
        <v/>
      </c>
      <c r="AA1098">
        <f>IF(AND(Q1098&lt;&gt;"",ISNUMBER(M1098)),Q1098,"")</f>
        <v/>
      </c>
      <c r="AB1098">
        <f>IF(AND(Q1098&lt;&gt;"",ISNUMBER(K1098)),K1098,"")</f>
        <v/>
      </c>
      <c r="AC1098">
        <f>IF(AND(Q1098&lt;&gt;"",ISNUMBER(L1098)),L1098,"")</f>
        <v/>
      </c>
      <c r="AD1098">
        <f>IF(AND(Q1098&lt;&gt;"",ISNUMBER(M1098)),M1098,"")</f>
        <v/>
      </c>
    </row>
    <row r="1099">
      <c r="A1099" s="1" t="n"/>
      <c r="B1099" s="17" t="n"/>
      <c r="C1099" s="27" t="n"/>
      <c r="D1099" s="28" t="n"/>
      <c r="E1099" s="28" t="n"/>
      <c r="F1099" s="28" t="n"/>
      <c r="G1099" s="28" t="n"/>
      <c r="H1099" s="28" t="n"/>
      <c r="I1099" s="28" t="n"/>
      <c r="J1099" s="28" t="n"/>
      <c r="K1099" s="28" t="n"/>
      <c r="L1099" s="28" t="n"/>
      <c r="M1099" s="29" t="n"/>
      <c r="N1099" s="21" t="n"/>
      <c r="O1099" s="12">
        <f>IF(AND(B1099="",C1099=""),"",IF(NOT(ISNUMBER(B1099)),"Needs a date",IF(C1099="","Needs a client",IF(COUNTIF(Clients!$B$6:$B$105,C1099)=0,"Not on Clients",IF(COUNT(D1099:M1099)=0,"Nothing measured","")))))</f>
        <v/>
      </c>
      <c r="P1099" s="1">
        <f>IF(AND(O1099="",ISNUMBER(B1099)),INT(B1099),0)</f>
        <v/>
      </c>
      <c r="Q1099">
        <f>IF(AND(P1099&gt;0,C1099=Report!$C$5),P1099*10000+ROW(),"")</f>
        <v/>
      </c>
      <c r="R1099">
        <f>IF(AND(Q1099&lt;&gt;"",ISNUMBER(D1099)),Q1099,"")</f>
        <v/>
      </c>
      <c r="S1099">
        <f>IF(AND(Q1099&lt;&gt;"",ISNUMBER(E1099)),Q1099,"")</f>
        <v/>
      </c>
      <c r="T1099">
        <f>IF(AND(Q1099&lt;&gt;"",ISNUMBER(F1099)),Q1099,"")</f>
        <v/>
      </c>
      <c r="U1099">
        <f>IF(AND(Q1099&lt;&gt;"",ISNUMBER(G1099)),Q1099,"")</f>
        <v/>
      </c>
      <c r="V1099">
        <f>IF(AND(Q1099&lt;&gt;"",ISNUMBER(H1099)),Q1099,"")</f>
        <v/>
      </c>
      <c r="W1099">
        <f>IF(AND(Q1099&lt;&gt;"",ISNUMBER(I1099)),Q1099,"")</f>
        <v/>
      </c>
      <c r="X1099">
        <f>IF(AND(Q1099&lt;&gt;"",ISNUMBER(J1099)),Q1099,"")</f>
        <v/>
      </c>
      <c r="Y1099">
        <f>IF(AND(Q1099&lt;&gt;"",ISNUMBER(K1099)),Q1099,"")</f>
        <v/>
      </c>
      <c r="Z1099">
        <f>IF(AND(Q1099&lt;&gt;"",ISNUMBER(L1099)),Q1099,"")</f>
        <v/>
      </c>
      <c r="AA1099">
        <f>IF(AND(Q1099&lt;&gt;"",ISNUMBER(M1099)),Q1099,"")</f>
        <v/>
      </c>
      <c r="AB1099">
        <f>IF(AND(Q1099&lt;&gt;"",ISNUMBER(K1099)),K1099,"")</f>
        <v/>
      </c>
      <c r="AC1099">
        <f>IF(AND(Q1099&lt;&gt;"",ISNUMBER(L1099)),L1099,"")</f>
        <v/>
      </c>
      <c r="AD1099">
        <f>IF(AND(Q1099&lt;&gt;"",ISNUMBER(M1099)),M1099,"")</f>
        <v/>
      </c>
    </row>
    <row r="1100">
      <c r="A1100" s="1" t="n"/>
      <c r="B1100" s="17" t="n"/>
      <c r="C1100" s="27" t="n"/>
      <c r="D1100" s="28" t="n"/>
      <c r="E1100" s="28" t="n"/>
      <c r="F1100" s="28" t="n"/>
      <c r="G1100" s="28" t="n"/>
      <c r="H1100" s="28" t="n"/>
      <c r="I1100" s="28" t="n"/>
      <c r="J1100" s="28" t="n"/>
      <c r="K1100" s="28" t="n"/>
      <c r="L1100" s="28" t="n"/>
      <c r="M1100" s="29" t="n"/>
      <c r="N1100" s="21" t="n"/>
      <c r="O1100" s="12">
        <f>IF(AND(B1100="",C1100=""),"",IF(NOT(ISNUMBER(B1100)),"Needs a date",IF(C1100="","Needs a client",IF(COUNTIF(Clients!$B$6:$B$105,C1100)=0,"Not on Clients",IF(COUNT(D1100:M1100)=0,"Nothing measured","")))))</f>
        <v/>
      </c>
      <c r="P1100" s="1">
        <f>IF(AND(O1100="",ISNUMBER(B1100)),INT(B1100),0)</f>
        <v/>
      </c>
      <c r="Q1100">
        <f>IF(AND(P1100&gt;0,C1100=Report!$C$5),P1100*10000+ROW(),"")</f>
        <v/>
      </c>
      <c r="R1100">
        <f>IF(AND(Q1100&lt;&gt;"",ISNUMBER(D1100)),Q1100,"")</f>
        <v/>
      </c>
      <c r="S1100">
        <f>IF(AND(Q1100&lt;&gt;"",ISNUMBER(E1100)),Q1100,"")</f>
        <v/>
      </c>
      <c r="T1100">
        <f>IF(AND(Q1100&lt;&gt;"",ISNUMBER(F1100)),Q1100,"")</f>
        <v/>
      </c>
      <c r="U1100">
        <f>IF(AND(Q1100&lt;&gt;"",ISNUMBER(G1100)),Q1100,"")</f>
        <v/>
      </c>
      <c r="V1100">
        <f>IF(AND(Q1100&lt;&gt;"",ISNUMBER(H1100)),Q1100,"")</f>
        <v/>
      </c>
      <c r="W1100">
        <f>IF(AND(Q1100&lt;&gt;"",ISNUMBER(I1100)),Q1100,"")</f>
        <v/>
      </c>
      <c r="X1100">
        <f>IF(AND(Q1100&lt;&gt;"",ISNUMBER(J1100)),Q1100,"")</f>
        <v/>
      </c>
      <c r="Y1100">
        <f>IF(AND(Q1100&lt;&gt;"",ISNUMBER(K1100)),Q1100,"")</f>
        <v/>
      </c>
      <c r="Z1100">
        <f>IF(AND(Q1100&lt;&gt;"",ISNUMBER(L1100)),Q1100,"")</f>
        <v/>
      </c>
      <c r="AA1100">
        <f>IF(AND(Q1100&lt;&gt;"",ISNUMBER(M1100)),Q1100,"")</f>
        <v/>
      </c>
      <c r="AB1100">
        <f>IF(AND(Q1100&lt;&gt;"",ISNUMBER(K1100)),K1100,"")</f>
        <v/>
      </c>
      <c r="AC1100">
        <f>IF(AND(Q1100&lt;&gt;"",ISNUMBER(L1100)),L1100,"")</f>
        <v/>
      </c>
      <c r="AD1100">
        <f>IF(AND(Q1100&lt;&gt;"",ISNUMBER(M1100)),M1100,"")</f>
        <v/>
      </c>
    </row>
    <row r="1101">
      <c r="A1101" s="1" t="n"/>
      <c r="B1101" s="17" t="n"/>
      <c r="C1101" s="27" t="n"/>
      <c r="D1101" s="28" t="n"/>
      <c r="E1101" s="28" t="n"/>
      <c r="F1101" s="28" t="n"/>
      <c r="G1101" s="28" t="n"/>
      <c r="H1101" s="28" t="n"/>
      <c r="I1101" s="28" t="n"/>
      <c r="J1101" s="28" t="n"/>
      <c r="K1101" s="28" t="n"/>
      <c r="L1101" s="28" t="n"/>
      <c r="M1101" s="29" t="n"/>
      <c r="N1101" s="21" t="n"/>
      <c r="O1101" s="12">
        <f>IF(AND(B1101="",C1101=""),"",IF(NOT(ISNUMBER(B1101)),"Needs a date",IF(C1101="","Needs a client",IF(COUNTIF(Clients!$B$6:$B$105,C1101)=0,"Not on Clients",IF(COUNT(D1101:M1101)=0,"Nothing measured","")))))</f>
        <v/>
      </c>
      <c r="P1101" s="1">
        <f>IF(AND(O1101="",ISNUMBER(B1101)),INT(B1101),0)</f>
        <v/>
      </c>
      <c r="Q1101">
        <f>IF(AND(P1101&gt;0,C1101=Report!$C$5),P1101*10000+ROW(),"")</f>
        <v/>
      </c>
      <c r="R1101">
        <f>IF(AND(Q1101&lt;&gt;"",ISNUMBER(D1101)),Q1101,"")</f>
        <v/>
      </c>
      <c r="S1101">
        <f>IF(AND(Q1101&lt;&gt;"",ISNUMBER(E1101)),Q1101,"")</f>
        <v/>
      </c>
      <c r="T1101">
        <f>IF(AND(Q1101&lt;&gt;"",ISNUMBER(F1101)),Q1101,"")</f>
        <v/>
      </c>
      <c r="U1101">
        <f>IF(AND(Q1101&lt;&gt;"",ISNUMBER(G1101)),Q1101,"")</f>
        <v/>
      </c>
      <c r="V1101">
        <f>IF(AND(Q1101&lt;&gt;"",ISNUMBER(H1101)),Q1101,"")</f>
        <v/>
      </c>
      <c r="W1101">
        <f>IF(AND(Q1101&lt;&gt;"",ISNUMBER(I1101)),Q1101,"")</f>
        <v/>
      </c>
      <c r="X1101">
        <f>IF(AND(Q1101&lt;&gt;"",ISNUMBER(J1101)),Q1101,"")</f>
        <v/>
      </c>
      <c r="Y1101">
        <f>IF(AND(Q1101&lt;&gt;"",ISNUMBER(K1101)),Q1101,"")</f>
        <v/>
      </c>
      <c r="Z1101">
        <f>IF(AND(Q1101&lt;&gt;"",ISNUMBER(L1101)),Q1101,"")</f>
        <v/>
      </c>
      <c r="AA1101">
        <f>IF(AND(Q1101&lt;&gt;"",ISNUMBER(M1101)),Q1101,"")</f>
        <v/>
      </c>
      <c r="AB1101">
        <f>IF(AND(Q1101&lt;&gt;"",ISNUMBER(K1101)),K1101,"")</f>
        <v/>
      </c>
      <c r="AC1101">
        <f>IF(AND(Q1101&lt;&gt;"",ISNUMBER(L1101)),L1101,"")</f>
        <v/>
      </c>
      <c r="AD1101">
        <f>IF(AND(Q1101&lt;&gt;"",ISNUMBER(M1101)),M1101,"")</f>
        <v/>
      </c>
    </row>
    <row r="1102">
      <c r="A1102" s="1" t="n"/>
      <c r="B1102" s="17" t="n"/>
      <c r="C1102" s="27" t="n"/>
      <c r="D1102" s="28" t="n"/>
      <c r="E1102" s="28" t="n"/>
      <c r="F1102" s="28" t="n"/>
      <c r="G1102" s="28" t="n"/>
      <c r="H1102" s="28" t="n"/>
      <c r="I1102" s="28" t="n"/>
      <c r="J1102" s="28" t="n"/>
      <c r="K1102" s="28" t="n"/>
      <c r="L1102" s="28" t="n"/>
      <c r="M1102" s="29" t="n"/>
      <c r="N1102" s="21" t="n"/>
      <c r="O1102" s="12">
        <f>IF(AND(B1102="",C1102=""),"",IF(NOT(ISNUMBER(B1102)),"Needs a date",IF(C1102="","Needs a client",IF(COUNTIF(Clients!$B$6:$B$105,C1102)=0,"Not on Clients",IF(COUNT(D1102:M1102)=0,"Nothing measured","")))))</f>
        <v/>
      </c>
      <c r="P1102" s="1">
        <f>IF(AND(O1102="",ISNUMBER(B1102)),INT(B1102),0)</f>
        <v/>
      </c>
      <c r="Q1102">
        <f>IF(AND(P1102&gt;0,C1102=Report!$C$5),P1102*10000+ROW(),"")</f>
        <v/>
      </c>
      <c r="R1102">
        <f>IF(AND(Q1102&lt;&gt;"",ISNUMBER(D1102)),Q1102,"")</f>
        <v/>
      </c>
      <c r="S1102">
        <f>IF(AND(Q1102&lt;&gt;"",ISNUMBER(E1102)),Q1102,"")</f>
        <v/>
      </c>
      <c r="T1102">
        <f>IF(AND(Q1102&lt;&gt;"",ISNUMBER(F1102)),Q1102,"")</f>
        <v/>
      </c>
      <c r="U1102">
        <f>IF(AND(Q1102&lt;&gt;"",ISNUMBER(G1102)),Q1102,"")</f>
        <v/>
      </c>
      <c r="V1102">
        <f>IF(AND(Q1102&lt;&gt;"",ISNUMBER(H1102)),Q1102,"")</f>
        <v/>
      </c>
      <c r="W1102">
        <f>IF(AND(Q1102&lt;&gt;"",ISNUMBER(I1102)),Q1102,"")</f>
        <v/>
      </c>
      <c r="X1102">
        <f>IF(AND(Q1102&lt;&gt;"",ISNUMBER(J1102)),Q1102,"")</f>
        <v/>
      </c>
      <c r="Y1102">
        <f>IF(AND(Q1102&lt;&gt;"",ISNUMBER(K1102)),Q1102,"")</f>
        <v/>
      </c>
      <c r="Z1102">
        <f>IF(AND(Q1102&lt;&gt;"",ISNUMBER(L1102)),Q1102,"")</f>
        <v/>
      </c>
      <c r="AA1102">
        <f>IF(AND(Q1102&lt;&gt;"",ISNUMBER(M1102)),Q1102,"")</f>
        <v/>
      </c>
      <c r="AB1102">
        <f>IF(AND(Q1102&lt;&gt;"",ISNUMBER(K1102)),K1102,"")</f>
        <v/>
      </c>
      <c r="AC1102">
        <f>IF(AND(Q1102&lt;&gt;"",ISNUMBER(L1102)),L1102,"")</f>
        <v/>
      </c>
      <c r="AD1102">
        <f>IF(AND(Q1102&lt;&gt;"",ISNUMBER(M1102)),M1102,"")</f>
        <v/>
      </c>
    </row>
    <row r="1103">
      <c r="A1103" s="1" t="n"/>
      <c r="B1103" s="17" t="n"/>
      <c r="C1103" s="27" t="n"/>
      <c r="D1103" s="28" t="n"/>
      <c r="E1103" s="28" t="n"/>
      <c r="F1103" s="28" t="n"/>
      <c r="G1103" s="28" t="n"/>
      <c r="H1103" s="28" t="n"/>
      <c r="I1103" s="28" t="n"/>
      <c r="J1103" s="28" t="n"/>
      <c r="K1103" s="28" t="n"/>
      <c r="L1103" s="28" t="n"/>
      <c r="M1103" s="29" t="n"/>
      <c r="N1103" s="21" t="n"/>
      <c r="O1103" s="12">
        <f>IF(AND(B1103="",C1103=""),"",IF(NOT(ISNUMBER(B1103)),"Needs a date",IF(C1103="","Needs a client",IF(COUNTIF(Clients!$B$6:$B$105,C1103)=0,"Not on Clients",IF(COUNT(D1103:M1103)=0,"Nothing measured","")))))</f>
        <v/>
      </c>
      <c r="P1103" s="1">
        <f>IF(AND(O1103="",ISNUMBER(B1103)),INT(B1103),0)</f>
        <v/>
      </c>
      <c r="Q1103">
        <f>IF(AND(P1103&gt;0,C1103=Report!$C$5),P1103*10000+ROW(),"")</f>
        <v/>
      </c>
      <c r="R1103">
        <f>IF(AND(Q1103&lt;&gt;"",ISNUMBER(D1103)),Q1103,"")</f>
        <v/>
      </c>
      <c r="S1103">
        <f>IF(AND(Q1103&lt;&gt;"",ISNUMBER(E1103)),Q1103,"")</f>
        <v/>
      </c>
      <c r="T1103">
        <f>IF(AND(Q1103&lt;&gt;"",ISNUMBER(F1103)),Q1103,"")</f>
        <v/>
      </c>
      <c r="U1103">
        <f>IF(AND(Q1103&lt;&gt;"",ISNUMBER(G1103)),Q1103,"")</f>
        <v/>
      </c>
      <c r="V1103">
        <f>IF(AND(Q1103&lt;&gt;"",ISNUMBER(H1103)),Q1103,"")</f>
        <v/>
      </c>
      <c r="W1103">
        <f>IF(AND(Q1103&lt;&gt;"",ISNUMBER(I1103)),Q1103,"")</f>
        <v/>
      </c>
      <c r="X1103">
        <f>IF(AND(Q1103&lt;&gt;"",ISNUMBER(J1103)),Q1103,"")</f>
        <v/>
      </c>
      <c r="Y1103">
        <f>IF(AND(Q1103&lt;&gt;"",ISNUMBER(K1103)),Q1103,"")</f>
        <v/>
      </c>
      <c r="Z1103">
        <f>IF(AND(Q1103&lt;&gt;"",ISNUMBER(L1103)),Q1103,"")</f>
        <v/>
      </c>
      <c r="AA1103">
        <f>IF(AND(Q1103&lt;&gt;"",ISNUMBER(M1103)),Q1103,"")</f>
        <v/>
      </c>
      <c r="AB1103">
        <f>IF(AND(Q1103&lt;&gt;"",ISNUMBER(K1103)),K1103,"")</f>
        <v/>
      </c>
      <c r="AC1103">
        <f>IF(AND(Q1103&lt;&gt;"",ISNUMBER(L1103)),L1103,"")</f>
        <v/>
      </c>
      <c r="AD1103">
        <f>IF(AND(Q1103&lt;&gt;"",ISNUMBER(M1103)),M1103,"")</f>
        <v/>
      </c>
    </row>
    <row r="1104">
      <c r="A1104" s="1" t="n"/>
      <c r="B1104" s="17" t="n"/>
      <c r="C1104" s="27" t="n"/>
      <c r="D1104" s="28" t="n"/>
      <c r="E1104" s="28" t="n"/>
      <c r="F1104" s="28" t="n"/>
      <c r="G1104" s="28" t="n"/>
      <c r="H1104" s="28" t="n"/>
      <c r="I1104" s="28" t="n"/>
      <c r="J1104" s="28" t="n"/>
      <c r="K1104" s="28" t="n"/>
      <c r="L1104" s="28" t="n"/>
      <c r="M1104" s="29" t="n"/>
      <c r="N1104" s="21" t="n"/>
      <c r="O1104" s="12">
        <f>IF(AND(B1104="",C1104=""),"",IF(NOT(ISNUMBER(B1104)),"Needs a date",IF(C1104="","Needs a client",IF(COUNTIF(Clients!$B$6:$B$105,C1104)=0,"Not on Clients",IF(COUNT(D1104:M1104)=0,"Nothing measured","")))))</f>
        <v/>
      </c>
      <c r="P1104" s="1">
        <f>IF(AND(O1104="",ISNUMBER(B1104)),INT(B1104),0)</f>
        <v/>
      </c>
      <c r="Q1104">
        <f>IF(AND(P1104&gt;0,C1104=Report!$C$5),P1104*10000+ROW(),"")</f>
        <v/>
      </c>
      <c r="R1104">
        <f>IF(AND(Q1104&lt;&gt;"",ISNUMBER(D1104)),Q1104,"")</f>
        <v/>
      </c>
      <c r="S1104">
        <f>IF(AND(Q1104&lt;&gt;"",ISNUMBER(E1104)),Q1104,"")</f>
        <v/>
      </c>
      <c r="T1104">
        <f>IF(AND(Q1104&lt;&gt;"",ISNUMBER(F1104)),Q1104,"")</f>
        <v/>
      </c>
      <c r="U1104">
        <f>IF(AND(Q1104&lt;&gt;"",ISNUMBER(G1104)),Q1104,"")</f>
        <v/>
      </c>
      <c r="V1104">
        <f>IF(AND(Q1104&lt;&gt;"",ISNUMBER(H1104)),Q1104,"")</f>
        <v/>
      </c>
      <c r="W1104">
        <f>IF(AND(Q1104&lt;&gt;"",ISNUMBER(I1104)),Q1104,"")</f>
        <v/>
      </c>
      <c r="X1104">
        <f>IF(AND(Q1104&lt;&gt;"",ISNUMBER(J1104)),Q1104,"")</f>
        <v/>
      </c>
      <c r="Y1104">
        <f>IF(AND(Q1104&lt;&gt;"",ISNUMBER(K1104)),Q1104,"")</f>
        <v/>
      </c>
      <c r="Z1104">
        <f>IF(AND(Q1104&lt;&gt;"",ISNUMBER(L1104)),Q1104,"")</f>
        <v/>
      </c>
      <c r="AA1104">
        <f>IF(AND(Q1104&lt;&gt;"",ISNUMBER(M1104)),Q1104,"")</f>
        <v/>
      </c>
      <c r="AB1104">
        <f>IF(AND(Q1104&lt;&gt;"",ISNUMBER(K1104)),K1104,"")</f>
        <v/>
      </c>
      <c r="AC1104">
        <f>IF(AND(Q1104&lt;&gt;"",ISNUMBER(L1104)),L1104,"")</f>
        <v/>
      </c>
      <c r="AD1104">
        <f>IF(AND(Q1104&lt;&gt;"",ISNUMBER(M1104)),M1104,"")</f>
        <v/>
      </c>
    </row>
    <row r="1105">
      <c r="A1105" s="1" t="n"/>
      <c r="B1105" s="17" t="n"/>
      <c r="C1105" s="27" t="n"/>
      <c r="D1105" s="28" t="n"/>
      <c r="E1105" s="28" t="n"/>
      <c r="F1105" s="28" t="n"/>
      <c r="G1105" s="28" t="n"/>
      <c r="H1105" s="28" t="n"/>
      <c r="I1105" s="28" t="n"/>
      <c r="J1105" s="28" t="n"/>
      <c r="K1105" s="28" t="n"/>
      <c r="L1105" s="28" t="n"/>
      <c r="M1105" s="29" t="n"/>
      <c r="N1105" s="21" t="n"/>
      <c r="O1105" s="12">
        <f>IF(AND(B1105="",C1105=""),"",IF(NOT(ISNUMBER(B1105)),"Needs a date",IF(C1105="","Needs a client",IF(COUNTIF(Clients!$B$6:$B$105,C1105)=0,"Not on Clients",IF(COUNT(D1105:M1105)=0,"Nothing measured","")))))</f>
        <v/>
      </c>
      <c r="P1105" s="1">
        <f>IF(AND(O1105="",ISNUMBER(B1105)),INT(B1105),0)</f>
        <v/>
      </c>
      <c r="Q1105">
        <f>IF(AND(P1105&gt;0,C1105=Report!$C$5),P1105*10000+ROW(),"")</f>
        <v/>
      </c>
      <c r="R1105">
        <f>IF(AND(Q1105&lt;&gt;"",ISNUMBER(D1105)),Q1105,"")</f>
        <v/>
      </c>
      <c r="S1105">
        <f>IF(AND(Q1105&lt;&gt;"",ISNUMBER(E1105)),Q1105,"")</f>
        <v/>
      </c>
      <c r="T1105">
        <f>IF(AND(Q1105&lt;&gt;"",ISNUMBER(F1105)),Q1105,"")</f>
        <v/>
      </c>
      <c r="U1105">
        <f>IF(AND(Q1105&lt;&gt;"",ISNUMBER(G1105)),Q1105,"")</f>
        <v/>
      </c>
      <c r="V1105">
        <f>IF(AND(Q1105&lt;&gt;"",ISNUMBER(H1105)),Q1105,"")</f>
        <v/>
      </c>
      <c r="W1105">
        <f>IF(AND(Q1105&lt;&gt;"",ISNUMBER(I1105)),Q1105,"")</f>
        <v/>
      </c>
      <c r="X1105">
        <f>IF(AND(Q1105&lt;&gt;"",ISNUMBER(J1105)),Q1105,"")</f>
        <v/>
      </c>
      <c r="Y1105">
        <f>IF(AND(Q1105&lt;&gt;"",ISNUMBER(K1105)),Q1105,"")</f>
        <v/>
      </c>
      <c r="Z1105">
        <f>IF(AND(Q1105&lt;&gt;"",ISNUMBER(L1105)),Q1105,"")</f>
        <v/>
      </c>
      <c r="AA1105">
        <f>IF(AND(Q1105&lt;&gt;"",ISNUMBER(M1105)),Q1105,"")</f>
        <v/>
      </c>
      <c r="AB1105">
        <f>IF(AND(Q1105&lt;&gt;"",ISNUMBER(K1105)),K1105,"")</f>
        <v/>
      </c>
      <c r="AC1105">
        <f>IF(AND(Q1105&lt;&gt;"",ISNUMBER(L1105)),L1105,"")</f>
        <v/>
      </c>
      <c r="AD1105">
        <f>IF(AND(Q1105&lt;&gt;"",ISNUMBER(M1105)),M1105,"")</f>
        <v/>
      </c>
    </row>
    <row r="1106">
      <c r="A1106" s="1" t="n"/>
      <c r="B1106" s="17" t="n"/>
      <c r="C1106" s="27" t="n"/>
      <c r="D1106" s="28" t="n"/>
      <c r="E1106" s="28" t="n"/>
      <c r="F1106" s="28" t="n"/>
      <c r="G1106" s="28" t="n"/>
      <c r="H1106" s="28" t="n"/>
      <c r="I1106" s="28" t="n"/>
      <c r="J1106" s="28" t="n"/>
      <c r="K1106" s="28" t="n"/>
      <c r="L1106" s="28" t="n"/>
      <c r="M1106" s="29" t="n"/>
      <c r="N1106" s="21" t="n"/>
      <c r="O1106" s="12">
        <f>IF(AND(B1106="",C1106=""),"",IF(NOT(ISNUMBER(B1106)),"Needs a date",IF(C1106="","Needs a client",IF(COUNTIF(Clients!$B$6:$B$105,C1106)=0,"Not on Clients",IF(COUNT(D1106:M1106)=0,"Nothing measured","")))))</f>
        <v/>
      </c>
      <c r="P1106" s="1">
        <f>IF(AND(O1106="",ISNUMBER(B1106)),INT(B1106),0)</f>
        <v/>
      </c>
      <c r="Q1106">
        <f>IF(AND(P1106&gt;0,C1106=Report!$C$5),P1106*10000+ROW(),"")</f>
        <v/>
      </c>
      <c r="R1106">
        <f>IF(AND(Q1106&lt;&gt;"",ISNUMBER(D1106)),Q1106,"")</f>
        <v/>
      </c>
      <c r="S1106">
        <f>IF(AND(Q1106&lt;&gt;"",ISNUMBER(E1106)),Q1106,"")</f>
        <v/>
      </c>
      <c r="T1106">
        <f>IF(AND(Q1106&lt;&gt;"",ISNUMBER(F1106)),Q1106,"")</f>
        <v/>
      </c>
      <c r="U1106">
        <f>IF(AND(Q1106&lt;&gt;"",ISNUMBER(G1106)),Q1106,"")</f>
        <v/>
      </c>
      <c r="V1106">
        <f>IF(AND(Q1106&lt;&gt;"",ISNUMBER(H1106)),Q1106,"")</f>
        <v/>
      </c>
      <c r="W1106">
        <f>IF(AND(Q1106&lt;&gt;"",ISNUMBER(I1106)),Q1106,"")</f>
        <v/>
      </c>
      <c r="X1106">
        <f>IF(AND(Q1106&lt;&gt;"",ISNUMBER(J1106)),Q1106,"")</f>
        <v/>
      </c>
      <c r="Y1106">
        <f>IF(AND(Q1106&lt;&gt;"",ISNUMBER(K1106)),Q1106,"")</f>
        <v/>
      </c>
      <c r="Z1106">
        <f>IF(AND(Q1106&lt;&gt;"",ISNUMBER(L1106)),Q1106,"")</f>
        <v/>
      </c>
      <c r="AA1106">
        <f>IF(AND(Q1106&lt;&gt;"",ISNUMBER(M1106)),Q1106,"")</f>
        <v/>
      </c>
      <c r="AB1106">
        <f>IF(AND(Q1106&lt;&gt;"",ISNUMBER(K1106)),K1106,"")</f>
        <v/>
      </c>
      <c r="AC1106">
        <f>IF(AND(Q1106&lt;&gt;"",ISNUMBER(L1106)),L1106,"")</f>
        <v/>
      </c>
      <c r="AD1106">
        <f>IF(AND(Q1106&lt;&gt;"",ISNUMBER(M1106)),M1106,"")</f>
        <v/>
      </c>
    </row>
    <row r="1107">
      <c r="A1107" s="1" t="n"/>
      <c r="B1107" s="17" t="n"/>
      <c r="C1107" s="27" t="n"/>
      <c r="D1107" s="28" t="n"/>
      <c r="E1107" s="28" t="n"/>
      <c r="F1107" s="28" t="n"/>
      <c r="G1107" s="28" t="n"/>
      <c r="H1107" s="28" t="n"/>
      <c r="I1107" s="28" t="n"/>
      <c r="J1107" s="28" t="n"/>
      <c r="K1107" s="28" t="n"/>
      <c r="L1107" s="28" t="n"/>
      <c r="M1107" s="29" t="n"/>
      <c r="N1107" s="21" t="n"/>
      <c r="O1107" s="12">
        <f>IF(AND(B1107="",C1107=""),"",IF(NOT(ISNUMBER(B1107)),"Needs a date",IF(C1107="","Needs a client",IF(COUNTIF(Clients!$B$6:$B$105,C1107)=0,"Not on Clients",IF(COUNT(D1107:M1107)=0,"Nothing measured","")))))</f>
        <v/>
      </c>
      <c r="P1107" s="1">
        <f>IF(AND(O1107="",ISNUMBER(B1107)),INT(B1107),0)</f>
        <v/>
      </c>
      <c r="Q1107">
        <f>IF(AND(P1107&gt;0,C1107=Report!$C$5),P1107*10000+ROW(),"")</f>
        <v/>
      </c>
      <c r="R1107">
        <f>IF(AND(Q1107&lt;&gt;"",ISNUMBER(D1107)),Q1107,"")</f>
        <v/>
      </c>
      <c r="S1107">
        <f>IF(AND(Q1107&lt;&gt;"",ISNUMBER(E1107)),Q1107,"")</f>
        <v/>
      </c>
      <c r="T1107">
        <f>IF(AND(Q1107&lt;&gt;"",ISNUMBER(F1107)),Q1107,"")</f>
        <v/>
      </c>
      <c r="U1107">
        <f>IF(AND(Q1107&lt;&gt;"",ISNUMBER(G1107)),Q1107,"")</f>
        <v/>
      </c>
      <c r="V1107">
        <f>IF(AND(Q1107&lt;&gt;"",ISNUMBER(H1107)),Q1107,"")</f>
        <v/>
      </c>
      <c r="W1107">
        <f>IF(AND(Q1107&lt;&gt;"",ISNUMBER(I1107)),Q1107,"")</f>
        <v/>
      </c>
      <c r="X1107">
        <f>IF(AND(Q1107&lt;&gt;"",ISNUMBER(J1107)),Q1107,"")</f>
        <v/>
      </c>
      <c r="Y1107">
        <f>IF(AND(Q1107&lt;&gt;"",ISNUMBER(K1107)),Q1107,"")</f>
        <v/>
      </c>
      <c r="Z1107">
        <f>IF(AND(Q1107&lt;&gt;"",ISNUMBER(L1107)),Q1107,"")</f>
        <v/>
      </c>
      <c r="AA1107">
        <f>IF(AND(Q1107&lt;&gt;"",ISNUMBER(M1107)),Q1107,"")</f>
        <v/>
      </c>
      <c r="AB1107">
        <f>IF(AND(Q1107&lt;&gt;"",ISNUMBER(K1107)),K1107,"")</f>
        <v/>
      </c>
      <c r="AC1107">
        <f>IF(AND(Q1107&lt;&gt;"",ISNUMBER(L1107)),L1107,"")</f>
        <v/>
      </c>
      <c r="AD1107">
        <f>IF(AND(Q1107&lt;&gt;"",ISNUMBER(M1107)),M1107,"")</f>
        <v/>
      </c>
    </row>
    <row r="1108">
      <c r="A1108" s="1" t="n"/>
      <c r="B1108" s="17" t="n"/>
      <c r="C1108" s="27" t="n"/>
      <c r="D1108" s="28" t="n"/>
      <c r="E1108" s="28" t="n"/>
      <c r="F1108" s="28" t="n"/>
      <c r="G1108" s="28" t="n"/>
      <c r="H1108" s="28" t="n"/>
      <c r="I1108" s="28" t="n"/>
      <c r="J1108" s="28" t="n"/>
      <c r="K1108" s="28" t="n"/>
      <c r="L1108" s="28" t="n"/>
      <c r="M1108" s="29" t="n"/>
      <c r="N1108" s="21" t="n"/>
      <c r="O1108" s="12">
        <f>IF(AND(B1108="",C1108=""),"",IF(NOT(ISNUMBER(B1108)),"Needs a date",IF(C1108="","Needs a client",IF(COUNTIF(Clients!$B$6:$B$105,C1108)=0,"Not on Clients",IF(COUNT(D1108:M1108)=0,"Nothing measured","")))))</f>
        <v/>
      </c>
      <c r="P1108" s="1">
        <f>IF(AND(O1108="",ISNUMBER(B1108)),INT(B1108),0)</f>
        <v/>
      </c>
      <c r="Q1108">
        <f>IF(AND(P1108&gt;0,C1108=Report!$C$5),P1108*10000+ROW(),"")</f>
        <v/>
      </c>
      <c r="R1108">
        <f>IF(AND(Q1108&lt;&gt;"",ISNUMBER(D1108)),Q1108,"")</f>
        <v/>
      </c>
      <c r="S1108">
        <f>IF(AND(Q1108&lt;&gt;"",ISNUMBER(E1108)),Q1108,"")</f>
        <v/>
      </c>
      <c r="T1108">
        <f>IF(AND(Q1108&lt;&gt;"",ISNUMBER(F1108)),Q1108,"")</f>
        <v/>
      </c>
      <c r="U1108">
        <f>IF(AND(Q1108&lt;&gt;"",ISNUMBER(G1108)),Q1108,"")</f>
        <v/>
      </c>
      <c r="V1108">
        <f>IF(AND(Q1108&lt;&gt;"",ISNUMBER(H1108)),Q1108,"")</f>
        <v/>
      </c>
      <c r="W1108">
        <f>IF(AND(Q1108&lt;&gt;"",ISNUMBER(I1108)),Q1108,"")</f>
        <v/>
      </c>
      <c r="X1108">
        <f>IF(AND(Q1108&lt;&gt;"",ISNUMBER(J1108)),Q1108,"")</f>
        <v/>
      </c>
      <c r="Y1108">
        <f>IF(AND(Q1108&lt;&gt;"",ISNUMBER(K1108)),Q1108,"")</f>
        <v/>
      </c>
      <c r="Z1108">
        <f>IF(AND(Q1108&lt;&gt;"",ISNUMBER(L1108)),Q1108,"")</f>
        <v/>
      </c>
      <c r="AA1108">
        <f>IF(AND(Q1108&lt;&gt;"",ISNUMBER(M1108)),Q1108,"")</f>
        <v/>
      </c>
      <c r="AB1108">
        <f>IF(AND(Q1108&lt;&gt;"",ISNUMBER(K1108)),K1108,"")</f>
        <v/>
      </c>
      <c r="AC1108">
        <f>IF(AND(Q1108&lt;&gt;"",ISNUMBER(L1108)),L1108,"")</f>
        <v/>
      </c>
      <c r="AD1108">
        <f>IF(AND(Q1108&lt;&gt;"",ISNUMBER(M1108)),M1108,"")</f>
        <v/>
      </c>
    </row>
    <row r="1109">
      <c r="A1109" s="1" t="n"/>
      <c r="B1109" s="17" t="n"/>
      <c r="C1109" s="27" t="n"/>
      <c r="D1109" s="28" t="n"/>
      <c r="E1109" s="28" t="n"/>
      <c r="F1109" s="28" t="n"/>
      <c r="G1109" s="28" t="n"/>
      <c r="H1109" s="28" t="n"/>
      <c r="I1109" s="28" t="n"/>
      <c r="J1109" s="28" t="n"/>
      <c r="K1109" s="28" t="n"/>
      <c r="L1109" s="28" t="n"/>
      <c r="M1109" s="29" t="n"/>
      <c r="N1109" s="21" t="n"/>
      <c r="O1109" s="12">
        <f>IF(AND(B1109="",C1109=""),"",IF(NOT(ISNUMBER(B1109)),"Needs a date",IF(C1109="","Needs a client",IF(COUNTIF(Clients!$B$6:$B$105,C1109)=0,"Not on Clients",IF(COUNT(D1109:M1109)=0,"Nothing measured","")))))</f>
        <v/>
      </c>
      <c r="P1109" s="1">
        <f>IF(AND(O1109="",ISNUMBER(B1109)),INT(B1109),0)</f>
        <v/>
      </c>
      <c r="Q1109">
        <f>IF(AND(P1109&gt;0,C1109=Report!$C$5),P1109*10000+ROW(),"")</f>
        <v/>
      </c>
      <c r="R1109">
        <f>IF(AND(Q1109&lt;&gt;"",ISNUMBER(D1109)),Q1109,"")</f>
        <v/>
      </c>
      <c r="S1109">
        <f>IF(AND(Q1109&lt;&gt;"",ISNUMBER(E1109)),Q1109,"")</f>
        <v/>
      </c>
      <c r="T1109">
        <f>IF(AND(Q1109&lt;&gt;"",ISNUMBER(F1109)),Q1109,"")</f>
        <v/>
      </c>
      <c r="U1109">
        <f>IF(AND(Q1109&lt;&gt;"",ISNUMBER(G1109)),Q1109,"")</f>
        <v/>
      </c>
      <c r="V1109">
        <f>IF(AND(Q1109&lt;&gt;"",ISNUMBER(H1109)),Q1109,"")</f>
        <v/>
      </c>
      <c r="W1109">
        <f>IF(AND(Q1109&lt;&gt;"",ISNUMBER(I1109)),Q1109,"")</f>
        <v/>
      </c>
      <c r="X1109">
        <f>IF(AND(Q1109&lt;&gt;"",ISNUMBER(J1109)),Q1109,"")</f>
        <v/>
      </c>
      <c r="Y1109">
        <f>IF(AND(Q1109&lt;&gt;"",ISNUMBER(K1109)),Q1109,"")</f>
        <v/>
      </c>
      <c r="Z1109">
        <f>IF(AND(Q1109&lt;&gt;"",ISNUMBER(L1109)),Q1109,"")</f>
        <v/>
      </c>
      <c r="AA1109">
        <f>IF(AND(Q1109&lt;&gt;"",ISNUMBER(M1109)),Q1109,"")</f>
        <v/>
      </c>
      <c r="AB1109">
        <f>IF(AND(Q1109&lt;&gt;"",ISNUMBER(K1109)),K1109,"")</f>
        <v/>
      </c>
      <c r="AC1109">
        <f>IF(AND(Q1109&lt;&gt;"",ISNUMBER(L1109)),L1109,"")</f>
        <v/>
      </c>
      <c r="AD1109">
        <f>IF(AND(Q1109&lt;&gt;"",ISNUMBER(M1109)),M1109,"")</f>
        <v/>
      </c>
    </row>
    <row r="1110">
      <c r="A1110" s="1" t="n"/>
      <c r="B1110" s="17" t="n"/>
      <c r="C1110" s="27" t="n"/>
      <c r="D1110" s="28" t="n"/>
      <c r="E1110" s="28" t="n"/>
      <c r="F1110" s="28" t="n"/>
      <c r="G1110" s="28" t="n"/>
      <c r="H1110" s="28" t="n"/>
      <c r="I1110" s="28" t="n"/>
      <c r="J1110" s="28" t="n"/>
      <c r="K1110" s="28" t="n"/>
      <c r="L1110" s="28" t="n"/>
      <c r="M1110" s="29" t="n"/>
      <c r="N1110" s="21" t="n"/>
      <c r="O1110" s="12">
        <f>IF(AND(B1110="",C1110=""),"",IF(NOT(ISNUMBER(B1110)),"Needs a date",IF(C1110="","Needs a client",IF(COUNTIF(Clients!$B$6:$B$105,C1110)=0,"Not on Clients",IF(COUNT(D1110:M1110)=0,"Nothing measured","")))))</f>
        <v/>
      </c>
      <c r="P1110" s="1">
        <f>IF(AND(O1110="",ISNUMBER(B1110)),INT(B1110),0)</f>
        <v/>
      </c>
      <c r="Q1110">
        <f>IF(AND(P1110&gt;0,C1110=Report!$C$5),P1110*10000+ROW(),"")</f>
        <v/>
      </c>
      <c r="R1110">
        <f>IF(AND(Q1110&lt;&gt;"",ISNUMBER(D1110)),Q1110,"")</f>
        <v/>
      </c>
      <c r="S1110">
        <f>IF(AND(Q1110&lt;&gt;"",ISNUMBER(E1110)),Q1110,"")</f>
        <v/>
      </c>
      <c r="T1110">
        <f>IF(AND(Q1110&lt;&gt;"",ISNUMBER(F1110)),Q1110,"")</f>
        <v/>
      </c>
      <c r="U1110">
        <f>IF(AND(Q1110&lt;&gt;"",ISNUMBER(G1110)),Q1110,"")</f>
        <v/>
      </c>
      <c r="V1110">
        <f>IF(AND(Q1110&lt;&gt;"",ISNUMBER(H1110)),Q1110,"")</f>
        <v/>
      </c>
      <c r="W1110">
        <f>IF(AND(Q1110&lt;&gt;"",ISNUMBER(I1110)),Q1110,"")</f>
        <v/>
      </c>
      <c r="X1110">
        <f>IF(AND(Q1110&lt;&gt;"",ISNUMBER(J1110)),Q1110,"")</f>
        <v/>
      </c>
      <c r="Y1110">
        <f>IF(AND(Q1110&lt;&gt;"",ISNUMBER(K1110)),Q1110,"")</f>
        <v/>
      </c>
      <c r="Z1110">
        <f>IF(AND(Q1110&lt;&gt;"",ISNUMBER(L1110)),Q1110,"")</f>
        <v/>
      </c>
      <c r="AA1110">
        <f>IF(AND(Q1110&lt;&gt;"",ISNUMBER(M1110)),Q1110,"")</f>
        <v/>
      </c>
      <c r="AB1110">
        <f>IF(AND(Q1110&lt;&gt;"",ISNUMBER(K1110)),K1110,"")</f>
        <v/>
      </c>
      <c r="AC1110">
        <f>IF(AND(Q1110&lt;&gt;"",ISNUMBER(L1110)),L1110,"")</f>
        <v/>
      </c>
      <c r="AD1110">
        <f>IF(AND(Q1110&lt;&gt;"",ISNUMBER(M1110)),M1110,"")</f>
        <v/>
      </c>
    </row>
    <row r="1111">
      <c r="A1111" s="1" t="n"/>
      <c r="B1111" s="17" t="n"/>
      <c r="C1111" s="27" t="n"/>
      <c r="D1111" s="28" t="n"/>
      <c r="E1111" s="28" t="n"/>
      <c r="F1111" s="28" t="n"/>
      <c r="G1111" s="28" t="n"/>
      <c r="H1111" s="28" t="n"/>
      <c r="I1111" s="28" t="n"/>
      <c r="J1111" s="28" t="n"/>
      <c r="K1111" s="28" t="n"/>
      <c r="L1111" s="28" t="n"/>
      <c r="M1111" s="29" t="n"/>
      <c r="N1111" s="21" t="n"/>
      <c r="O1111" s="12">
        <f>IF(AND(B1111="",C1111=""),"",IF(NOT(ISNUMBER(B1111)),"Needs a date",IF(C1111="","Needs a client",IF(COUNTIF(Clients!$B$6:$B$105,C1111)=0,"Not on Clients",IF(COUNT(D1111:M1111)=0,"Nothing measured","")))))</f>
        <v/>
      </c>
      <c r="P1111" s="1">
        <f>IF(AND(O1111="",ISNUMBER(B1111)),INT(B1111),0)</f>
        <v/>
      </c>
      <c r="Q1111">
        <f>IF(AND(P1111&gt;0,C1111=Report!$C$5),P1111*10000+ROW(),"")</f>
        <v/>
      </c>
      <c r="R1111">
        <f>IF(AND(Q1111&lt;&gt;"",ISNUMBER(D1111)),Q1111,"")</f>
        <v/>
      </c>
      <c r="S1111">
        <f>IF(AND(Q1111&lt;&gt;"",ISNUMBER(E1111)),Q1111,"")</f>
        <v/>
      </c>
      <c r="T1111">
        <f>IF(AND(Q1111&lt;&gt;"",ISNUMBER(F1111)),Q1111,"")</f>
        <v/>
      </c>
      <c r="U1111">
        <f>IF(AND(Q1111&lt;&gt;"",ISNUMBER(G1111)),Q1111,"")</f>
        <v/>
      </c>
      <c r="V1111">
        <f>IF(AND(Q1111&lt;&gt;"",ISNUMBER(H1111)),Q1111,"")</f>
        <v/>
      </c>
      <c r="W1111">
        <f>IF(AND(Q1111&lt;&gt;"",ISNUMBER(I1111)),Q1111,"")</f>
        <v/>
      </c>
      <c r="X1111">
        <f>IF(AND(Q1111&lt;&gt;"",ISNUMBER(J1111)),Q1111,"")</f>
        <v/>
      </c>
      <c r="Y1111">
        <f>IF(AND(Q1111&lt;&gt;"",ISNUMBER(K1111)),Q1111,"")</f>
        <v/>
      </c>
      <c r="Z1111">
        <f>IF(AND(Q1111&lt;&gt;"",ISNUMBER(L1111)),Q1111,"")</f>
        <v/>
      </c>
      <c r="AA1111">
        <f>IF(AND(Q1111&lt;&gt;"",ISNUMBER(M1111)),Q1111,"")</f>
        <v/>
      </c>
      <c r="AB1111">
        <f>IF(AND(Q1111&lt;&gt;"",ISNUMBER(K1111)),K1111,"")</f>
        <v/>
      </c>
      <c r="AC1111">
        <f>IF(AND(Q1111&lt;&gt;"",ISNUMBER(L1111)),L1111,"")</f>
        <v/>
      </c>
      <c r="AD1111">
        <f>IF(AND(Q1111&lt;&gt;"",ISNUMBER(M1111)),M1111,"")</f>
        <v/>
      </c>
    </row>
    <row r="1112">
      <c r="A1112" s="1" t="n"/>
      <c r="B1112" s="17" t="n"/>
      <c r="C1112" s="27" t="n"/>
      <c r="D1112" s="28" t="n"/>
      <c r="E1112" s="28" t="n"/>
      <c r="F1112" s="28" t="n"/>
      <c r="G1112" s="28" t="n"/>
      <c r="H1112" s="28" t="n"/>
      <c r="I1112" s="28" t="n"/>
      <c r="J1112" s="28" t="n"/>
      <c r="K1112" s="28" t="n"/>
      <c r="L1112" s="28" t="n"/>
      <c r="M1112" s="29" t="n"/>
      <c r="N1112" s="21" t="n"/>
      <c r="O1112" s="12">
        <f>IF(AND(B1112="",C1112=""),"",IF(NOT(ISNUMBER(B1112)),"Needs a date",IF(C1112="","Needs a client",IF(COUNTIF(Clients!$B$6:$B$105,C1112)=0,"Not on Clients",IF(COUNT(D1112:M1112)=0,"Nothing measured","")))))</f>
        <v/>
      </c>
      <c r="P1112" s="1">
        <f>IF(AND(O1112="",ISNUMBER(B1112)),INT(B1112),0)</f>
        <v/>
      </c>
      <c r="Q1112">
        <f>IF(AND(P1112&gt;0,C1112=Report!$C$5),P1112*10000+ROW(),"")</f>
        <v/>
      </c>
      <c r="R1112">
        <f>IF(AND(Q1112&lt;&gt;"",ISNUMBER(D1112)),Q1112,"")</f>
        <v/>
      </c>
      <c r="S1112">
        <f>IF(AND(Q1112&lt;&gt;"",ISNUMBER(E1112)),Q1112,"")</f>
        <v/>
      </c>
      <c r="T1112">
        <f>IF(AND(Q1112&lt;&gt;"",ISNUMBER(F1112)),Q1112,"")</f>
        <v/>
      </c>
      <c r="U1112">
        <f>IF(AND(Q1112&lt;&gt;"",ISNUMBER(G1112)),Q1112,"")</f>
        <v/>
      </c>
      <c r="V1112">
        <f>IF(AND(Q1112&lt;&gt;"",ISNUMBER(H1112)),Q1112,"")</f>
        <v/>
      </c>
      <c r="W1112">
        <f>IF(AND(Q1112&lt;&gt;"",ISNUMBER(I1112)),Q1112,"")</f>
        <v/>
      </c>
      <c r="X1112">
        <f>IF(AND(Q1112&lt;&gt;"",ISNUMBER(J1112)),Q1112,"")</f>
        <v/>
      </c>
      <c r="Y1112">
        <f>IF(AND(Q1112&lt;&gt;"",ISNUMBER(K1112)),Q1112,"")</f>
        <v/>
      </c>
      <c r="Z1112">
        <f>IF(AND(Q1112&lt;&gt;"",ISNUMBER(L1112)),Q1112,"")</f>
        <v/>
      </c>
      <c r="AA1112">
        <f>IF(AND(Q1112&lt;&gt;"",ISNUMBER(M1112)),Q1112,"")</f>
        <v/>
      </c>
      <c r="AB1112">
        <f>IF(AND(Q1112&lt;&gt;"",ISNUMBER(K1112)),K1112,"")</f>
        <v/>
      </c>
      <c r="AC1112">
        <f>IF(AND(Q1112&lt;&gt;"",ISNUMBER(L1112)),L1112,"")</f>
        <v/>
      </c>
      <c r="AD1112">
        <f>IF(AND(Q1112&lt;&gt;"",ISNUMBER(M1112)),M1112,"")</f>
        <v/>
      </c>
    </row>
    <row r="1113">
      <c r="A1113" s="1" t="n"/>
      <c r="B1113" s="17" t="n"/>
      <c r="C1113" s="27" t="n"/>
      <c r="D1113" s="28" t="n"/>
      <c r="E1113" s="28" t="n"/>
      <c r="F1113" s="28" t="n"/>
      <c r="G1113" s="28" t="n"/>
      <c r="H1113" s="28" t="n"/>
      <c r="I1113" s="28" t="n"/>
      <c r="J1113" s="28" t="n"/>
      <c r="K1113" s="28" t="n"/>
      <c r="L1113" s="28" t="n"/>
      <c r="M1113" s="29" t="n"/>
      <c r="N1113" s="21" t="n"/>
      <c r="O1113" s="12">
        <f>IF(AND(B1113="",C1113=""),"",IF(NOT(ISNUMBER(B1113)),"Needs a date",IF(C1113="","Needs a client",IF(COUNTIF(Clients!$B$6:$B$105,C1113)=0,"Not on Clients",IF(COUNT(D1113:M1113)=0,"Nothing measured","")))))</f>
        <v/>
      </c>
      <c r="P1113" s="1">
        <f>IF(AND(O1113="",ISNUMBER(B1113)),INT(B1113),0)</f>
        <v/>
      </c>
      <c r="Q1113">
        <f>IF(AND(P1113&gt;0,C1113=Report!$C$5),P1113*10000+ROW(),"")</f>
        <v/>
      </c>
      <c r="R1113">
        <f>IF(AND(Q1113&lt;&gt;"",ISNUMBER(D1113)),Q1113,"")</f>
        <v/>
      </c>
      <c r="S1113">
        <f>IF(AND(Q1113&lt;&gt;"",ISNUMBER(E1113)),Q1113,"")</f>
        <v/>
      </c>
      <c r="T1113">
        <f>IF(AND(Q1113&lt;&gt;"",ISNUMBER(F1113)),Q1113,"")</f>
        <v/>
      </c>
      <c r="U1113">
        <f>IF(AND(Q1113&lt;&gt;"",ISNUMBER(G1113)),Q1113,"")</f>
        <v/>
      </c>
      <c r="V1113">
        <f>IF(AND(Q1113&lt;&gt;"",ISNUMBER(H1113)),Q1113,"")</f>
        <v/>
      </c>
      <c r="W1113">
        <f>IF(AND(Q1113&lt;&gt;"",ISNUMBER(I1113)),Q1113,"")</f>
        <v/>
      </c>
      <c r="X1113">
        <f>IF(AND(Q1113&lt;&gt;"",ISNUMBER(J1113)),Q1113,"")</f>
        <v/>
      </c>
      <c r="Y1113">
        <f>IF(AND(Q1113&lt;&gt;"",ISNUMBER(K1113)),Q1113,"")</f>
        <v/>
      </c>
      <c r="Z1113">
        <f>IF(AND(Q1113&lt;&gt;"",ISNUMBER(L1113)),Q1113,"")</f>
        <v/>
      </c>
      <c r="AA1113">
        <f>IF(AND(Q1113&lt;&gt;"",ISNUMBER(M1113)),Q1113,"")</f>
        <v/>
      </c>
      <c r="AB1113">
        <f>IF(AND(Q1113&lt;&gt;"",ISNUMBER(K1113)),K1113,"")</f>
        <v/>
      </c>
      <c r="AC1113">
        <f>IF(AND(Q1113&lt;&gt;"",ISNUMBER(L1113)),L1113,"")</f>
        <v/>
      </c>
      <c r="AD1113">
        <f>IF(AND(Q1113&lt;&gt;"",ISNUMBER(M1113)),M1113,"")</f>
        <v/>
      </c>
    </row>
    <row r="1114">
      <c r="A1114" s="1" t="n"/>
      <c r="B1114" s="17" t="n"/>
      <c r="C1114" s="27" t="n"/>
      <c r="D1114" s="28" t="n"/>
      <c r="E1114" s="28" t="n"/>
      <c r="F1114" s="28" t="n"/>
      <c r="G1114" s="28" t="n"/>
      <c r="H1114" s="28" t="n"/>
      <c r="I1114" s="28" t="n"/>
      <c r="J1114" s="28" t="n"/>
      <c r="K1114" s="28" t="n"/>
      <c r="L1114" s="28" t="n"/>
      <c r="M1114" s="29" t="n"/>
      <c r="N1114" s="21" t="n"/>
      <c r="O1114" s="12">
        <f>IF(AND(B1114="",C1114=""),"",IF(NOT(ISNUMBER(B1114)),"Needs a date",IF(C1114="","Needs a client",IF(COUNTIF(Clients!$B$6:$B$105,C1114)=0,"Not on Clients",IF(COUNT(D1114:M1114)=0,"Nothing measured","")))))</f>
        <v/>
      </c>
      <c r="P1114" s="1">
        <f>IF(AND(O1114="",ISNUMBER(B1114)),INT(B1114),0)</f>
        <v/>
      </c>
      <c r="Q1114">
        <f>IF(AND(P1114&gt;0,C1114=Report!$C$5),P1114*10000+ROW(),"")</f>
        <v/>
      </c>
      <c r="R1114">
        <f>IF(AND(Q1114&lt;&gt;"",ISNUMBER(D1114)),Q1114,"")</f>
        <v/>
      </c>
      <c r="S1114">
        <f>IF(AND(Q1114&lt;&gt;"",ISNUMBER(E1114)),Q1114,"")</f>
        <v/>
      </c>
      <c r="T1114">
        <f>IF(AND(Q1114&lt;&gt;"",ISNUMBER(F1114)),Q1114,"")</f>
        <v/>
      </c>
      <c r="U1114">
        <f>IF(AND(Q1114&lt;&gt;"",ISNUMBER(G1114)),Q1114,"")</f>
        <v/>
      </c>
      <c r="V1114">
        <f>IF(AND(Q1114&lt;&gt;"",ISNUMBER(H1114)),Q1114,"")</f>
        <v/>
      </c>
      <c r="W1114">
        <f>IF(AND(Q1114&lt;&gt;"",ISNUMBER(I1114)),Q1114,"")</f>
        <v/>
      </c>
      <c r="X1114">
        <f>IF(AND(Q1114&lt;&gt;"",ISNUMBER(J1114)),Q1114,"")</f>
        <v/>
      </c>
      <c r="Y1114">
        <f>IF(AND(Q1114&lt;&gt;"",ISNUMBER(K1114)),Q1114,"")</f>
        <v/>
      </c>
      <c r="Z1114">
        <f>IF(AND(Q1114&lt;&gt;"",ISNUMBER(L1114)),Q1114,"")</f>
        <v/>
      </c>
      <c r="AA1114">
        <f>IF(AND(Q1114&lt;&gt;"",ISNUMBER(M1114)),Q1114,"")</f>
        <v/>
      </c>
      <c r="AB1114">
        <f>IF(AND(Q1114&lt;&gt;"",ISNUMBER(K1114)),K1114,"")</f>
        <v/>
      </c>
      <c r="AC1114">
        <f>IF(AND(Q1114&lt;&gt;"",ISNUMBER(L1114)),L1114,"")</f>
        <v/>
      </c>
      <c r="AD1114">
        <f>IF(AND(Q1114&lt;&gt;"",ISNUMBER(M1114)),M1114,"")</f>
        <v/>
      </c>
    </row>
    <row r="1115">
      <c r="A1115" s="1" t="n"/>
      <c r="B1115" s="17" t="n"/>
      <c r="C1115" s="27" t="n"/>
      <c r="D1115" s="28" t="n"/>
      <c r="E1115" s="28" t="n"/>
      <c r="F1115" s="28" t="n"/>
      <c r="G1115" s="28" t="n"/>
      <c r="H1115" s="28" t="n"/>
      <c r="I1115" s="28" t="n"/>
      <c r="J1115" s="28" t="n"/>
      <c r="K1115" s="28" t="n"/>
      <c r="L1115" s="28" t="n"/>
      <c r="M1115" s="29" t="n"/>
      <c r="N1115" s="21" t="n"/>
      <c r="O1115" s="12">
        <f>IF(AND(B1115="",C1115=""),"",IF(NOT(ISNUMBER(B1115)),"Needs a date",IF(C1115="","Needs a client",IF(COUNTIF(Clients!$B$6:$B$105,C1115)=0,"Not on Clients",IF(COUNT(D1115:M1115)=0,"Nothing measured","")))))</f>
        <v/>
      </c>
      <c r="P1115" s="1">
        <f>IF(AND(O1115="",ISNUMBER(B1115)),INT(B1115),0)</f>
        <v/>
      </c>
      <c r="Q1115">
        <f>IF(AND(P1115&gt;0,C1115=Report!$C$5),P1115*10000+ROW(),"")</f>
        <v/>
      </c>
      <c r="R1115">
        <f>IF(AND(Q1115&lt;&gt;"",ISNUMBER(D1115)),Q1115,"")</f>
        <v/>
      </c>
      <c r="S1115">
        <f>IF(AND(Q1115&lt;&gt;"",ISNUMBER(E1115)),Q1115,"")</f>
        <v/>
      </c>
      <c r="T1115">
        <f>IF(AND(Q1115&lt;&gt;"",ISNUMBER(F1115)),Q1115,"")</f>
        <v/>
      </c>
      <c r="U1115">
        <f>IF(AND(Q1115&lt;&gt;"",ISNUMBER(G1115)),Q1115,"")</f>
        <v/>
      </c>
      <c r="V1115">
        <f>IF(AND(Q1115&lt;&gt;"",ISNUMBER(H1115)),Q1115,"")</f>
        <v/>
      </c>
      <c r="W1115">
        <f>IF(AND(Q1115&lt;&gt;"",ISNUMBER(I1115)),Q1115,"")</f>
        <v/>
      </c>
      <c r="X1115">
        <f>IF(AND(Q1115&lt;&gt;"",ISNUMBER(J1115)),Q1115,"")</f>
        <v/>
      </c>
      <c r="Y1115">
        <f>IF(AND(Q1115&lt;&gt;"",ISNUMBER(K1115)),Q1115,"")</f>
        <v/>
      </c>
      <c r="Z1115">
        <f>IF(AND(Q1115&lt;&gt;"",ISNUMBER(L1115)),Q1115,"")</f>
        <v/>
      </c>
      <c r="AA1115">
        <f>IF(AND(Q1115&lt;&gt;"",ISNUMBER(M1115)),Q1115,"")</f>
        <v/>
      </c>
      <c r="AB1115">
        <f>IF(AND(Q1115&lt;&gt;"",ISNUMBER(K1115)),K1115,"")</f>
        <v/>
      </c>
      <c r="AC1115">
        <f>IF(AND(Q1115&lt;&gt;"",ISNUMBER(L1115)),L1115,"")</f>
        <v/>
      </c>
      <c r="AD1115">
        <f>IF(AND(Q1115&lt;&gt;"",ISNUMBER(M1115)),M1115,"")</f>
        <v/>
      </c>
    </row>
    <row r="1116">
      <c r="A1116" s="1" t="n"/>
      <c r="B1116" s="17" t="n"/>
      <c r="C1116" s="27" t="n"/>
      <c r="D1116" s="28" t="n"/>
      <c r="E1116" s="28" t="n"/>
      <c r="F1116" s="28" t="n"/>
      <c r="G1116" s="28" t="n"/>
      <c r="H1116" s="28" t="n"/>
      <c r="I1116" s="28" t="n"/>
      <c r="J1116" s="28" t="n"/>
      <c r="K1116" s="28" t="n"/>
      <c r="L1116" s="28" t="n"/>
      <c r="M1116" s="29" t="n"/>
      <c r="N1116" s="21" t="n"/>
      <c r="O1116" s="12">
        <f>IF(AND(B1116="",C1116=""),"",IF(NOT(ISNUMBER(B1116)),"Needs a date",IF(C1116="","Needs a client",IF(COUNTIF(Clients!$B$6:$B$105,C1116)=0,"Not on Clients",IF(COUNT(D1116:M1116)=0,"Nothing measured","")))))</f>
        <v/>
      </c>
      <c r="P1116" s="1">
        <f>IF(AND(O1116="",ISNUMBER(B1116)),INT(B1116),0)</f>
        <v/>
      </c>
      <c r="Q1116">
        <f>IF(AND(P1116&gt;0,C1116=Report!$C$5),P1116*10000+ROW(),"")</f>
        <v/>
      </c>
      <c r="R1116">
        <f>IF(AND(Q1116&lt;&gt;"",ISNUMBER(D1116)),Q1116,"")</f>
        <v/>
      </c>
      <c r="S1116">
        <f>IF(AND(Q1116&lt;&gt;"",ISNUMBER(E1116)),Q1116,"")</f>
        <v/>
      </c>
      <c r="T1116">
        <f>IF(AND(Q1116&lt;&gt;"",ISNUMBER(F1116)),Q1116,"")</f>
        <v/>
      </c>
      <c r="U1116">
        <f>IF(AND(Q1116&lt;&gt;"",ISNUMBER(G1116)),Q1116,"")</f>
        <v/>
      </c>
      <c r="V1116">
        <f>IF(AND(Q1116&lt;&gt;"",ISNUMBER(H1116)),Q1116,"")</f>
        <v/>
      </c>
      <c r="W1116">
        <f>IF(AND(Q1116&lt;&gt;"",ISNUMBER(I1116)),Q1116,"")</f>
        <v/>
      </c>
      <c r="X1116">
        <f>IF(AND(Q1116&lt;&gt;"",ISNUMBER(J1116)),Q1116,"")</f>
        <v/>
      </c>
      <c r="Y1116">
        <f>IF(AND(Q1116&lt;&gt;"",ISNUMBER(K1116)),Q1116,"")</f>
        <v/>
      </c>
      <c r="Z1116">
        <f>IF(AND(Q1116&lt;&gt;"",ISNUMBER(L1116)),Q1116,"")</f>
        <v/>
      </c>
      <c r="AA1116">
        <f>IF(AND(Q1116&lt;&gt;"",ISNUMBER(M1116)),Q1116,"")</f>
        <v/>
      </c>
      <c r="AB1116">
        <f>IF(AND(Q1116&lt;&gt;"",ISNUMBER(K1116)),K1116,"")</f>
        <v/>
      </c>
      <c r="AC1116">
        <f>IF(AND(Q1116&lt;&gt;"",ISNUMBER(L1116)),L1116,"")</f>
        <v/>
      </c>
      <c r="AD1116">
        <f>IF(AND(Q1116&lt;&gt;"",ISNUMBER(M1116)),M1116,"")</f>
        <v/>
      </c>
    </row>
    <row r="1117">
      <c r="A1117" s="1" t="n"/>
      <c r="B1117" s="17" t="n"/>
      <c r="C1117" s="27" t="n"/>
      <c r="D1117" s="28" t="n"/>
      <c r="E1117" s="28" t="n"/>
      <c r="F1117" s="28" t="n"/>
      <c r="G1117" s="28" t="n"/>
      <c r="H1117" s="28" t="n"/>
      <c r="I1117" s="28" t="n"/>
      <c r="J1117" s="28" t="n"/>
      <c r="K1117" s="28" t="n"/>
      <c r="L1117" s="28" t="n"/>
      <c r="M1117" s="29" t="n"/>
      <c r="N1117" s="21" t="n"/>
      <c r="O1117" s="12">
        <f>IF(AND(B1117="",C1117=""),"",IF(NOT(ISNUMBER(B1117)),"Needs a date",IF(C1117="","Needs a client",IF(COUNTIF(Clients!$B$6:$B$105,C1117)=0,"Not on Clients",IF(COUNT(D1117:M1117)=0,"Nothing measured","")))))</f>
        <v/>
      </c>
      <c r="P1117" s="1">
        <f>IF(AND(O1117="",ISNUMBER(B1117)),INT(B1117),0)</f>
        <v/>
      </c>
      <c r="Q1117">
        <f>IF(AND(P1117&gt;0,C1117=Report!$C$5),P1117*10000+ROW(),"")</f>
        <v/>
      </c>
      <c r="R1117">
        <f>IF(AND(Q1117&lt;&gt;"",ISNUMBER(D1117)),Q1117,"")</f>
        <v/>
      </c>
      <c r="S1117">
        <f>IF(AND(Q1117&lt;&gt;"",ISNUMBER(E1117)),Q1117,"")</f>
        <v/>
      </c>
      <c r="T1117">
        <f>IF(AND(Q1117&lt;&gt;"",ISNUMBER(F1117)),Q1117,"")</f>
        <v/>
      </c>
      <c r="U1117">
        <f>IF(AND(Q1117&lt;&gt;"",ISNUMBER(G1117)),Q1117,"")</f>
        <v/>
      </c>
      <c r="V1117">
        <f>IF(AND(Q1117&lt;&gt;"",ISNUMBER(H1117)),Q1117,"")</f>
        <v/>
      </c>
      <c r="W1117">
        <f>IF(AND(Q1117&lt;&gt;"",ISNUMBER(I1117)),Q1117,"")</f>
        <v/>
      </c>
      <c r="X1117">
        <f>IF(AND(Q1117&lt;&gt;"",ISNUMBER(J1117)),Q1117,"")</f>
        <v/>
      </c>
      <c r="Y1117">
        <f>IF(AND(Q1117&lt;&gt;"",ISNUMBER(K1117)),Q1117,"")</f>
        <v/>
      </c>
      <c r="Z1117">
        <f>IF(AND(Q1117&lt;&gt;"",ISNUMBER(L1117)),Q1117,"")</f>
        <v/>
      </c>
      <c r="AA1117">
        <f>IF(AND(Q1117&lt;&gt;"",ISNUMBER(M1117)),Q1117,"")</f>
        <v/>
      </c>
      <c r="AB1117">
        <f>IF(AND(Q1117&lt;&gt;"",ISNUMBER(K1117)),K1117,"")</f>
        <v/>
      </c>
      <c r="AC1117">
        <f>IF(AND(Q1117&lt;&gt;"",ISNUMBER(L1117)),L1117,"")</f>
        <v/>
      </c>
      <c r="AD1117">
        <f>IF(AND(Q1117&lt;&gt;"",ISNUMBER(M1117)),M1117,"")</f>
        <v/>
      </c>
    </row>
    <row r="1118">
      <c r="A1118" s="1" t="n"/>
      <c r="B1118" s="17" t="n"/>
      <c r="C1118" s="27" t="n"/>
      <c r="D1118" s="28" t="n"/>
      <c r="E1118" s="28" t="n"/>
      <c r="F1118" s="28" t="n"/>
      <c r="G1118" s="28" t="n"/>
      <c r="H1118" s="28" t="n"/>
      <c r="I1118" s="28" t="n"/>
      <c r="J1118" s="28" t="n"/>
      <c r="K1118" s="28" t="n"/>
      <c r="L1118" s="28" t="n"/>
      <c r="M1118" s="29" t="n"/>
      <c r="N1118" s="21" t="n"/>
      <c r="O1118" s="12">
        <f>IF(AND(B1118="",C1118=""),"",IF(NOT(ISNUMBER(B1118)),"Needs a date",IF(C1118="","Needs a client",IF(COUNTIF(Clients!$B$6:$B$105,C1118)=0,"Not on Clients",IF(COUNT(D1118:M1118)=0,"Nothing measured","")))))</f>
        <v/>
      </c>
      <c r="P1118" s="1">
        <f>IF(AND(O1118="",ISNUMBER(B1118)),INT(B1118),0)</f>
        <v/>
      </c>
      <c r="Q1118">
        <f>IF(AND(P1118&gt;0,C1118=Report!$C$5),P1118*10000+ROW(),"")</f>
        <v/>
      </c>
      <c r="R1118">
        <f>IF(AND(Q1118&lt;&gt;"",ISNUMBER(D1118)),Q1118,"")</f>
        <v/>
      </c>
      <c r="S1118">
        <f>IF(AND(Q1118&lt;&gt;"",ISNUMBER(E1118)),Q1118,"")</f>
        <v/>
      </c>
      <c r="T1118">
        <f>IF(AND(Q1118&lt;&gt;"",ISNUMBER(F1118)),Q1118,"")</f>
        <v/>
      </c>
      <c r="U1118">
        <f>IF(AND(Q1118&lt;&gt;"",ISNUMBER(G1118)),Q1118,"")</f>
        <v/>
      </c>
      <c r="V1118">
        <f>IF(AND(Q1118&lt;&gt;"",ISNUMBER(H1118)),Q1118,"")</f>
        <v/>
      </c>
      <c r="W1118">
        <f>IF(AND(Q1118&lt;&gt;"",ISNUMBER(I1118)),Q1118,"")</f>
        <v/>
      </c>
      <c r="X1118">
        <f>IF(AND(Q1118&lt;&gt;"",ISNUMBER(J1118)),Q1118,"")</f>
        <v/>
      </c>
      <c r="Y1118">
        <f>IF(AND(Q1118&lt;&gt;"",ISNUMBER(K1118)),Q1118,"")</f>
        <v/>
      </c>
      <c r="Z1118">
        <f>IF(AND(Q1118&lt;&gt;"",ISNUMBER(L1118)),Q1118,"")</f>
        <v/>
      </c>
      <c r="AA1118">
        <f>IF(AND(Q1118&lt;&gt;"",ISNUMBER(M1118)),Q1118,"")</f>
        <v/>
      </c>
      <c r="AB1118">
        <f>IF(AND(Q1118&lt;&gt;"",ISNUMBER(K1118)),K1118,"")</f>
        <v/>
      </c>
      <c r="AC1118">
        <f>IF(AND(Q1118&lt;&gt;"",ISNUMBER(L1118)),L1118,"")</f>
        <v/>
      </c>
      <c r="AD1118">
        <f>IF(AND(Q1118&lt;&gt;"",ISNUMBER(M1118)),M1118,"")</f>
        <v/>
      </c>
    </row>
    <row r="1119">
      <c r="A1119" s="1" t="n"/>
      <c r="B1119" s="17" t="n"/>
      <c r="C1119" s="27" t="n"/>
      <c r="D1119" s="28" t="n"/>
      <c r="E1119" s="28" t="n"/>
      <c r="F1119" s="28" t="n"/>
      <c r="G1119" s="28" t="n"/>
      <c r="H1119" s="28" t="n"/>
      <c r="I1119" s="28" t="n"/>
      <c r="J1119" s="28" t="n"/>
      <c r="K1119" s="28" t="n"/>
      <c r="L1119" s="28" t="n"/>
      <c r="M1119" s="29" t="n"/>
      <c r="N1119" s="21" t="n"/>
      <c r="O1119" s="12">
        <f>IF(AND(B1119="",C1119=""),"",IF(NOT(ISNUMBER(B1119)),"Needs a date",IF(C1119="","Needs a client",IF(COUNTIF(Clients!$B$6:$B$105,C1119)=0,"Not on Clients",IF(COUNT(D1119:M1119)=0,"Nothing measured","")))))</f>
        <v/>
      </c>
      <c r="P1119" s="1">
        <f>IF(AND(O1119="",ISNUMBER(B1119)),INT(B1119),0)</f>
        <v/>
      </c>
      <c r="Q1119">
        <f>IF(AND(P1119&gt;0,C1119=Report!$C$5),P1119*10000+ROW(),"")</f>
        <v/>
      </c>
      <c r="R1119">
        <f>IF(AND(Q1119&lt;&gt;"",ISNUMBER(D1119)),Q1119,"")</f>
        <v/>
      </c>
      <c r="S1119">
        <f>IF(AND(Q1119&lt;&gt;"",ISNUMBER(E1119)),Q1119,"")</f>
        <v/>
      </c>
      <c r="T1119">
        <f>IF(AND(Q1119&lt;&gt;"",ISNUMBER(F1119)),Q1119,"")</f>
        <v/>
      </c>
      <c r="U1119">
        <f>IF(AND(Q1119&lt;&gt;"",ISNUMBER(G1119)),Q1119,"")</f>
        <v/>
      </c>
      <c r="V1119">
        <f>IF(AND(Q1119&lt;&gt;"",ISNUMBER(H1119)),Q1119,"")</f>
        <v/>
      </c>
      <c r="W1119">
        <f>IF(AND(Q1119&lt;&gt;"",ISNUMBER(I1119)),Q1119,"")</f>
        <v/>
      </c>
      <c r="X1119">
        <f>IF(AND(Q1119&lt;&gt;"",ISNUMBER(J1119)),Q1119,"")</f>
        <v/>
      </c>
      <c r="Y1119">
        <f>IF(AND(Q1119&lt;&gt;"",ISNUMBER(K1119)),Q1119,"")</f>
        <v/>
      </c>
      <c r="Z1119">
        <f>IF(AND(Q1119&lt;&gt;"",ISNUMBER(L1119)),Q1119,"")</f>
        <v/>
      </c>
      <c r="AA1119">
        <f>IF(AND(Q1119&lt;&gt;"",ISNUMBER(M1119)),Q1119,"")</f>
        <v/>
      </c>
      <c r="AB1119">
        <f>IF(AND(Q1119&lt;&gt;"",ISNUMBER(K1119)),K1119,"")</f>
        <v/>
      </c>
      <c r="AC1119">
        <f>IF(AND(Q1119&lt;&gt;"",ISNUMBER(L1119)),L1119,"")</f>
        <v/>
      </c>
      <c r="AD1119">
        <f>IF(AND(Q1119&lt;&gt;"",ISNUMBER(M1119)),M1119,"")</f>
        <v/>
      </c>
    </row>
    <row r="1120">
      <c r="A1120" s="1" t="n"/>
      <c r="B1120" s="17" t="n"/>
      <c r="C1120" s="27" t="n"/>
      <c r="D1120" s="28" t="n"/>
      <c r="E1120" s="28" t="n"/>
      <c r="F1120" s="28" t="n"/>
      <c r="G1120" s="28" t="n"/>
      <c r="H1120" s="28" t="n"/>
      <c r="I1120" s="28" t="n"/>
      <c r="J1120" s="28" t="n"/>
      <c r="K1120" s="28" t="n"/>
      <c r="L1120" s="28" t="n"/>
      <c r="M1120" s="29" t="n"/>
      <c r="N1120" s="21" t="n"/>
      <c r="O1120" s="12">
        <f>IF(AND(B1120="",C1120=""),"",IF(NOT(ISNUMBER(B1120)),"Needs a date",IF(C1120="","Needs a client",IF(COUNTIF(Clients!$B$6:$B$105,C1120)=0,"Not on Clients",IF(COUNT(D1120:M1120)=0,"Nothing measured","")))))</f>
        <v/>
      </c>
      <c r="P1120" s="1">
        <f>IF(AND(O1120="",ISNUMBER(B1120)),INT(B1120),0)</f>
        <v/>
      </c>
      <c r="Q1120">
        <f>IF(AND(P1120&gt;0,C1120=Report!$C$5),P1120*10000+ROW(),"")</f>
        <v/>
      </c>
      <c r="R1120">
        <f>IF(AND(Q1120&lt;&gt;"",ISNUMBER(D1120)),Q1120,"")</f>
        <v/>
      </c>
      <c r="S1120">
        <f>IF(AND(Q1120&lt;&gt;"",ISNUMBER(E1120)),Q1120,"")</f>
        <v/>
      </c>
      <c r="T1120">
        <f>IF(AND(Q1120&lt;&gt;"",ISNUMBER(F1120)),Q1120,"")</f>
        <v/>
      </c>
      <c r="U1120">
        <f>IF(AND(Q1120&lt;&gt;"",ISNUMBER(G1120)),Q1120,"")</f>
        <v/>
      </c>
      <c r="V1120">
        <f>IF(AND(Q1120&lt;&gt;"",ISNUMBER(H1120)),Q1120,"")</f>
        <v/>
      </c>
      <c r="W1120">
        <f>IF(AND(Q1120&lt;&gt;"",ISNUMBER(I1120)),Q1120,"")</f>
        <v/>
      </c>
      <c r="X1120">
        <f>IF(AND(Q1120&lt;&gt;"",ISNUMBER(J1120)),Q1120,"")</f>
        <v/>
      </c>
      <c r="Y1120">
        <f>IF(AND(Q1120&lt;&gt;"",ISNUMBER(K1120)),Q1120,"")</f>
        <v/>
      </c>
      <c r="Z1120">
        <f>IF(AND(Q1120&lt;&gt;"",ISNUMBER(L1120)),Q1120,"")</f>
        <v/>
      </c>
      <c r="AA1120">
        <f>IF(AND(Q1120&lt;&gt;"",ISNUMBER(M1120)),Q1120,"")</f>
        <v/>
      </c>
      <c r="AB1120">
        <f>IF(AND(Q1120&lt;&gt;"",ISNUMBER(K1120)),K1120,"")</f>
        <v/>
      </c>
      <c r="AC1120">
        <f>IF(AND(Q1120&lt;&gt;"",ISNUMBER(L1120)),L1120,"")</f>
        <v/>
      </c>
      <c r="AD1120">
        <f>IF(AND(Q1120&lt;&gt;"",ISNUMBER(M1120)),M1120,"")</f>
        <v/>
      </c>
    </row>
    <row r="1121">
      <c r="A1121" s="1" t="n"/>
      <c r="B1121" s="17" t="n"/>
      <c r="C1121" s="27" t="n"/>
      <c r="D1121" s="28" t="n"/>
      <c r="E1121" s="28" t="n"/>
      <c r="F1121" s="28" t="n"/>
      <c r="G1121" s="28" t="n"/>
      <c r="H1121" s="28" t="n"/>
      <c r="I1121" s="28" t="n"/>
      <c r="J1121" s="28" t="n"/>
      <c r="K1121" s="28" t="n"/>
      <c r="L1121" s="28" t="n"/>
      <c r="M1121" s="29" t="n"/>
      <c r="N1121" s="21" t="n"/>
      <c r="O1121" s="12">
        <f>IF(AND(B1121="",C1121=""),"",IF(NOT(ISNUMBER(B1121)),"Needs a date",IF(C1121="","Needs a client",IF(COUNTIF(Clients!$B$6:$B$105,C1121)=0,"Not on Clients",IF(COUNT(D1121:M1121)=0,"Nothing measured","")))))</f>
        <v/>
      </c>
      <c r="P1121" s="1">
        <f>IF(AND(O1121="",ISNUMBER(B1121)),INT(B1121),0)</f>
        <v/>
      </c>
      <c r="Q1121">
        <f>IF(AND(P1121&gt;0,C1121=Report!$C$5),P1121*10000+ROW(),"")</f>
        <v/>
      </c>
      <c r="R1121">
        <f>IF(AND(Q1121&lt;&gt;"",ISNUMBER(D1121)),Q1121,"")</f>
        <v/>
      </c>
      <c r="S1121">
        <f>IF(AND(Q1121&lt;&gt;"",ISNUMBER(E1121)),Q1121,"")</f>
        <v/>
      </c>
      <c r="T1121">
        <f>IF(AND(Q1121&lt;&gt;"",ISNUMBER(F1121)),Q1121,"")</f>
        <v/>
      </c>
      <c r="U1121">
        <f>IF(AND(Q1121&lt;&gt;"",ISNUMBER(G1121)),Q1121,"")</f>
        <v/>
      </c>
      <c r="V1121">
        <f>IF(AND(Q1121&lt;&gt;"",ISNUMBER(H1121)),Q1121,"")</f>
        <v/>
      </c>
      <c r="W1121">
        <f>IF(AND(Q1121&lt;&gt;"",ISNUMBER(I1121)),Q1121,"")</f>
        <v/>
      </c>
      <c r="X1121">
        <f>IF(AND(Q1121&lt;&gt;"",ISNUMBER(J1121)),Q1121,"")</f>
        <v/>
      </c>
      <c r="Y1121">
        <f>IF(AND(Q1121&lt;&gt;"",ISNUMBER(K1121)),Q1121,"")</f>
        <v/>
      </c>
      <c r="Z1121">
        <f>IF(AND(Q1121&lt;&gt;"",ISNUMBER(L1121)),Q1121,"")</f>
        <v/>
      </c>
      <c r="AA1121">
        <f>IF(AND(Q1121&lt;&gt;"",ISNUMBER(M1121)),Q1121,"")</f>
        <v/>
      </c>
      <c r="AB1121">
        <f>IF(AND(Q1121&lt;&gt;"",ISNUMBER(K1121)),K1121,"")</f>
        <v/>
      </c>
      <c r="AC1121">
        <f>IF(AND(Q1121&lt;&gt;"",ISNUMBER(L1121)),L1121,"")</f>
        <v/>
      </c>
      <c r="AD1121">
        <f>IF(AND(Q1121&lt;&gt;"",ISNUMBER(M1121)),M1121,"")</f>
        <v/>
      </c>
    </row>
    <row r="1122">
      <c r="A1122" s="1" t="n"/>
      <c r="B1122" s="17" t="n"/>
      <c r="C1122" s="27" t="n"/>
      <c r="D1122" s="28" t="n"/>
      <c r="E1122" s="28" t="n"/>
      <c r="F1122" s="28" t="n"/>
      <c r="G1122" s="28" t="n"/>
      <c r="H1122" s="28" t="n"/>
      <c r="I1122" s="28" t="n"/>
      <c r="J1122" s="28" t="n"/>
      <c r="K1122" s="28" t="n"/>
      <c r="L1122" s="28" t="n"/>
      <c r="M1122" s="29" t="n"/>
      <c r="N1122" s="21" t="n"/>
      <c r="O1122" s="12">
        <f>IF(AND(B1122="",C1122=""),"",IF(NOT(ISNUMBER(B1122)),"Needs a date",IF(C1122="","Needs a client",IF(COUNTIF(Clients!$B$6:$B$105,C1122)=0,"Not on Clients",IF(COUNT(D1122:M1122)=0,"Nothing measured","")))))</f>
        <v/>
      </c>
      <c r="P1122" s="1">
        <f>IF(AND(O1122="",ISNUMBER(B1122)),INT(B1122),0)</f>
        <v/>
      </c>
      <c r="Q1122">
        <f>IF(AND(P1122&gt;0,C1122=Report!$C$5),P1122*10000+ROW(),"")</f>
        <v/>
      </c>
      <c r="R1122">
        <f>IF(AND(Q1122&lt;&gt;"",ISNUMBER(D1122)),Q1122,"")</f>
        <v/>
      </c>
      <c r="S1122">
        <f>IF(AND(Q1122&lt;&gt;"",ISNUMBER(E1122)),Q1122,"")</f>
        <v/>
      </c>
      <c r="T1122">
        <f>IF(AND(Q1122&lt;&gt;"",ISNUMBER(F1122)),Q1122,"")</f>
        <v/>
      </c>
      <c r="U1122">
        <f>IF(AND(Q1122&lt;&gt;"",ISNUMBER(G1122)),Q1122,"")</f>
        <v/>
      </c>
      <c r="V1122">
        <f>IF(AND(Q1122&lt;&gt;"",ISNUMBER(H1122)),Q1122,"")</f>
        <v/>
      </c>
      <c r="W1122">
        <f>IF(AND(Q1122&lt;&gt;"",ISNUMBER(I1122)),Q1122,"")</f>
        <v/>
      </c>
      <c r="X1122">
        <f>IF(AND(Q1122&lt;&gt;"",ISNUMBER(J1122)),Q1122,"")</f>
        <v/>
      </c>
      <c r="Y1122">
        <f>IF(AND(Q1122&lt;&gt;"",ISNUMBER(K1122)),Q1122,"")</f>
        <v/>
      </c>
      <c r="Z1122">
        <f>IF(AND(Q1122&lt;&gt;"",ISNUMBER(L1122)),Q1122,"")</f>
        <v/>
      </c>
      <c r="AA1122">
        <f>IF(AND(Q1122&lt;&gt;"",ISNUMBER(M1122)),Q1122,"")</f>
        <v/>
      </c>
      <c r="AB1122">
        <f>IF(AND(Q1122&lt;&gt;"",ISNUMBER(K1122)),K1122,"")</f>
        <v/>
      </c>
      <c r="AC1122">
        <f>IF(AND(Q1122&lt;&gt;"",ISNUMBER(L1122)),L1122,"")</f>
        <v/>
      </c>
      <c r="AD1122">
        <f>IF(AND(Q1122&lt;&gt;"",ISNUMBER(M1122)),M1122,"")</f>
        <v/>
      </c>
    </row>
    <row r="1123">
      <c r="A1123" s="1" t="n"/>
      <c r="B1123" s="17" t="n"/>
      <c r="C1123" s="27" t="n"/>
      <c r="D1123" s="28" t="n"/>
      <c r="E1123" s="28" t="n"/>
      <c r="F1123" s="28" t="n"/>
      <c r="G1123" s="28" t="n"/>
      <c r="H1123" s="28" t="n"/>
      <c r="I1123" s="28" t="n"/>
      <c r="J1123" s="28" t="n"/>
      <c r="K1123" s="28" t="n"/>
      <c r="L1123" s="28" t="n"/>
      <c r="M1123" s="29" t="n"/>
      <c r="N1123" s="21" t="n"/>
      <c r="O1123" s="12">
        <f>IF(AND(B1123="",C1123=""),"",IF(NOT(ISNUMBER(B1123)),"Needs a date",IF(C1123="","Needs a client",IF(COUNTIF(Clients!$B$6:$B$105,C1123)=0,"Not on Clients",IF(COUNT(D1123:M1123)=0,"Nothing measured","")))))</f>
        <v/>
      </c>
      <c r="P1123" s="1">
        <f>IF(AND(O1123="",ISNUMBER(B1123)),INT(B1123),0)</f>
        <v/>
      </c>
      <c r="Q1123">
        <f>IF(AND(P1123&gt;0,C1123=Report!$C$5),P1123*10000+ROW(),"")</f>
        <v/>
      </c>
      <c r="R1123">
        <f>IF(AND(Q1123&lt;&gt;"",ISNUMBER(D1123)),Q1123,"")</f>
        <v/>
      </c>
      <c r="S1123">
        <f>IF(AND(Q1123&lt;&gt;"",ISNUMBER(E1123)),Q1123,"")</f>
        <v/>
      </c>
      <c r="T1123">
        <f>IF(AND(Q1123&lt;&gt;"",ISNUMBER(F1123)),Q1123,"")</f>
        <v/>
      </c>
      <c r="U1123">
        <f>IF(AND(Q1123&lt;&gt;"",ISNUMBER(G1123)),Q1123,"")</f>
        <v/>
      </c>
      <c r="V1123">
        <f>IF(AND(Q1123&lt;&gt;"",ISNUMBER(H1123)),Q1123,"")</f>
        <v/>
      </c>
      <c r="W1123">
        <f>IF(AND(Q1123&lt;&gt;"",ISNUMBER(I1123)),Q1123,"")</f>
        <v/>
      </c>
      <c r="X1123">
        <f>IF(AND(Q1123&lt;&gt;"",ISNUMBER(J1123)),Q1123,"")</f>
        <v/>
      </c>
      <c r="Y1123">
        <f>IF(AND(Q1123&lt;&gt;"",ISNUMBER(K1123)),Q1123,"")</f>
        <v/>
      </c>
      <c r="Z1123">
        <f>IF(AND(Q1123&lt;&gt;"",ISNUMBER(L1123)),Q1123,"")</f>
        <v/>
      </c>
      <c r="AA1123">
        <f>IF(AND(Q1123&lt;&gt;"",ISNUMBER(M1123)),Q1123,"")</f>
        <v/>
      </c>
      <c r="AB1123">
        <f>IF(AND(Q1123&lt;&gt;"",ISNUMBER(K1123)),K1123,"")</f>
        <v/>
      </c>
      <c r="AC1123">
        <f>IF(AND(Q1123&lt;&gt;"",ISNUMBER(L1123)),L1123,"")</f>
        <v/>
      </c>
      <c r="AD1123">
        <f>IF(AND(Q1123&lt;&gt;"",ISNUMBER(M1123)),M1123,"")</f>
        <v/>
      </c>
    </row>
    <row r="1124">
      <c r="A1124" s="1" t="n"/>
      <c r="B1124" s="17" t="n"/>
      <c r="C1124" s="27" t="n"/>
      <c r="D1124" s="28" t="n"/>
      <c r="E1124" s="28" t="n"/>
      <c r="F1124" s="28" t="n"/>
      <c r="G1124" s="28" t="n"/>
      <c r="H1124" s="28" t="n"/>
      <c r="I1124" s="28" t="n"/>
      <c r="J1124" s="28" t="n"/>
      <c r="K1124" s="28" t="n"/>
      <c r="L1124" s="28" t="n"/>
      <c r="M1124" s="29" t="n"/>
      <c r="N1124" s="21" t="n"/>
      <c r="O1124" s="12">
        <f>IF(AND(B1124="",C1124=""),"",IF(NOT(ISNUMBER(B1124)),"Needs a date",IF(C1124="","Needs a client",IF(COUNTIF(Clients!$B$6:$B$105,C1124)=0,"Not on Clients",IF(COUNT(D1124:M1124)=0,"Nothing measured","")))))</f>
        <v/>
      </c>
      <c r="P1124" s="1">
        <f>IF(AND(O1124="",ISNUMBER(B1124)),INT(B1124),0)</f>
        <v/>
      </c>
      <c r="Q1124">
        <f>IF(AND(P1124&gt;0,C1124=Report!$C$5),P1124*10000+ROW(),"")</f>
        <v/>
      </c>
      <c r="R1124">
        <f>IF(AND(Q1124&lt;&gt;"",ISNUMBER(D1124)),Q1124,"")</f>
        <v/>
      </c>
      <c r="S1124">
        <f>IF(AND(Q1124&lt;&gt;"",ISNUMBER(E1124)),Q1124,"")</f>
        <v/>
      </c>
      <c r="T1124">
        <f>IF(AND(Q1124&lt;&gt;"",ISNUMBER(F1124)),Q1124,"")</f>
        <v/>
      </c>
      <c r="U1124">
        <f>IF(AND(Q1124&lt;&gt;"",ISNUMBER(G1124)),Q1124,"")</f>
        <v/>
      </c>
      <c r="V1124">
        <f>IF(AND(Q1124&lt;&gt;"",ISNUMBER(H1124)),Q1124,"")</f>
        <v/>
      </c>
      <c r="W1124">
        <f>IF(AND(Q1124&lt;&gt;"",ISNUMBER(I1124)),Q1124,"")</f>
        <v/>
      </c>
      <c r="X1124">
        <f>IF(AND(Q1124&lt;&gt;"",ISNUMBER(J1124)),Q1124,"")</f>
        <v/>
      </c>
      <c r="Y1124">
        <f>IF(AND(Q1124&lt;&gt;"",ISNUMBER(K1124)),Q1124,"")</f>
        <v/>
      </c>
      <c r="Z1124">
        <f>IF(AND(Q1124&lt;&gt;"",ISNUMBER(L1124)),Q1124,"")</f>
        <v/>
      </c>
      <c r="AA1124">
        <f>IF(AND(Q1124&lt;&gt;"",ISNUMBER(M1124)),Q1124,"")</f>
        <v/>
      </c>
      <c r="AB1124">
        <f>IF(AND(Q1124&lt;&gt;"",ISNUMBER(K1124)),K1124,"")</f>
        <v/>
      </c>
      <c r="AC1124">
        <f>IF(AND(Q1124&lt;&gt;"",ISNUMBER(L1124)),L1124,"")</f>
        <v/>
      </c>
      <c r="AD1124">
        <f>IF(AND(Q1124&lt;&gt;"",ISNUMBER(M1124)),M1124,"")</f>
        <v/>
      </c>
    </row>
    <row r="1125">
      <c r="A1125" s="1" t="n"/>
      <c r="B1125" s="17" t="n"/>
      <c r="C1125" s="27" t="n"/>
      <c r="D1125" s="28" t="n"/>
      <c r="E1125" s="28" t="n"/>
      <c r="F1125" s="28" t="n"/>
      <c r="G1125" s="28" t="n"/>
      <c r="H1125" s="28" t="n"/>
      <c r="I1125" s="28" t="n"/>
      <c r="J1125" s="28" t="n"/>
      <c r="K1125" s="28" t="n"/>
      <c r="L1125" s="28" t="n"/>
      <c r="M1125" s="29" t="n"/>
      <c r="N1125" s="21" t="n"/>
      <c r="O1125" s="12">
        <f>IF(AND(B1125="",C1125=""),"",IF(NOT(ISNUMBER(B1125)),"Needs a date",IF(C1125="","Needs a client",IF(COUNTIF(Clients!$B$6:$B$105,C1125)=0,"Not on Clients",IF(COUNT(D1125:M1125)=0,"Nothing measured","")))))</f>
        <v/>
      </c>
      <c r="P1125" s="1">
        <f>IF(AND(O1125="",ISNUMBER(B1125)),INT(B1125),0)</f>
        <v/>
      </c>
      <c r="Q1125">
        <f>IF(AND(P1125&gt;0,C1125=Report!$C$5),P1125*10000+ROW(),"")</f>
        <v/>
      </c>
      <c r="R1125">
        <f>IF(AND(Q1125&lt;&gt;"",ISNUMBER(D1125)),Q1125,"")</f>
        <v/>
      </c>
      <c r="S1125">
        <f>IF(AND(Q1125&lt;&gt;"",ISNUMBER(E1125)),Q1125,"")</f>
        <v/>
      </c>
      <c r="T1125">
        <f>IF(AND(Q1125&lt;&gt;"",ISNUMBER(F1125)),Q1125,"")</f>
        <v/>
      </c>
      <c r="U1125">
        <f>IF(AND(Q1125&lt;&gt;"",ISNUMBER(G1125)),Q1125,"")</f>
        <v/>
      </c>
      <c r="V1125">
        <f>IF(AND(Q1125&lt;&gt;"",ISNUMBER(H1125)),Q1125,"")</f>
        <v/>
      </c>
      <c r="W1125">
        <f>IF(AND(Q1125&lt;&gt;"",ISNUMBER(I1125)),Q1125,"")</f>
        <v/>
      </c>
      <c r="X1125">
        <f>IF(AND(Q1125&lt;&gt;"",ISNUMBER(J1125)),Q1125,"")</f>
        <v/>
      </c>
      <c r="Y1125">
        <f>IF(AND(Q1125&lt;&gt;"",ISNUMBER(K1125)),Q1125,"")</f>
        <v/>
      </c>
      <c r="Z1125">
        <f>IF(AND(Q1125&lt;&gt;"",ISNUMBER(L1125)),Q1125,"")</f>
        <v/>
      </c>
      <c r="AA1125">
        <f>IF(AND(Q1125&lt;&gt;"",ISNUMBER(M1125)),Q1125,"")</f>
        <v/>
      </c>
      <c r="AB1125">
        <f>IF(AND(Q1125&lt;&gt;"",ISNUMBER(K1125)),K1125,"")</f>
        <v/>
      </c>
      <c r="AC1125">
        <f>IF(AND(Q1125&lt;&gt;"",ISNUMBER(L1125)),L1125,"")</f>
        <v/>
      </c>
      <c r="AD1125">
        <f>IF(AND(Q1125&lt;&gt;"",ISNUMBER(M1125)),M1125,"")</f>
        <v/>
      </c>
    </row>
    <row r="1126">
      <c r="A1126" s="1" t="n"/>
      <c r="B1126" s="17" t="n"/>
      <c r="C1126" s="27" t="n"/>
      <c r="D1126" s="28" t="n"/>
      <c r="E1126" s="28" t="n"/>
      <c r="F1126" s="28" t="n"/>
      <c r="G1126" s="28" t="n"/>
      <c r="H1126" s="28" t="n"/>
      <c r="I1126" s="28" t="n"/>
      <c r="J1126" s="28" t="n"/>
      <c r="K1126" s="28" t="n"/>
      <c r="L1126" s="28" t="n"/>
      <c r="M1126" s="29" t="n"/>
      <c r="N1126" s="21" t="n"/>
      <c r="O1126" s="12">
        <f>IF(AND(B1126="",C1126=""),"",IF(NOT(ISNUMBER(B1126)),"Needs a date",IF(C1126="","Needs a client",IF(COUNTIF(Clients!$B$6:$B$105,C1126)=0,"Not on Clients",IF(COUNT(D1126:M1126)=0,"Nothing measured","")))))</f>
        <v/>
      </c>
      <c r="P1126" s="1">
        <f>IF(AND(O1126="",ISNUMBER(B1126)),INT(B1126),0)</f>
        <v/>
      </c>
      <c r="Q1126">
        <f>IF(AND(P1126&gt;0,C1126=Report!$C$5),P1126*10000+ROW(),"")</f>
        <v/>
      </c>
      <c r="R1126">
        <f>IF(AND(Q1126&lt;&gt;"",ISNUMBER(D1126)),Q1126,"")</f>
        <v/>
      </c>
      <c r="S1126">
        <f>IF(AND(Q1126&lt;&gt;"",ISNUMBER(E1126)),Q1126,"")</f>
        <v/>
      </c>
      <c r="T1126">
        <f>IF(AND(Q1126&lt;&gt;"",ISNUMBER(F1126)),Q1126,"")</f>
        <v/>
      </c>
      <c r="U1126">
        <f>IF(AND(Q1126&lt;&gt;"",ISNUMBER(G1126)),Q1126,"")</f>
        <v/>
      </c>
      <c r="V1126">
        <f>IF(AND(Q1126&lt;&gt;"",ISNUMBER(H1126)),Q1126,"")</f>
        <v/>
      </c>
      <c r="W1126">
        <f>IF(AND(Q1126&lt;&gt;"",ISNUMBER(I1126)),Q1126,"")</f>
        <v/>
      </c>
      <c r="X1126">
        <f>IF(AND(Q1126&lt;&gt;"",ISNUMBER(J1126)),Q1126,"")</f>
        <v/>
      </c>
      <c r="Y1126">
        <f>IF(AND(Q1126&lt;&gt;"",ISNUMBER(K1126)),Q1126,"")</f>
        <v/>
      </c>
      <c r="Z1126">
        <f>IF(AND(Q1126&lt;&gt;"",ISNUMBER(L1126)),Q1126,"")</f>
        <v/>
      </c>
      <c r="AA1126">
        <f>IF(AND(Q1126&lt;&gt;"",ISNUMBER(M1126)),Q1126,"")</f>
        <v/>
      </c>
      <c r="AB1126">
        <f>IF(AND(Q1126&lt;&gt;"",ISNUMBER(K1126)),K1126,"")</f>
        <v/>
      </c>
      <c r="AC1126">
        <f>IF(AND(Q1126&lt;&gt;"",ISNUMBER(L1126)),L1126,"")</f>
        <v/>
      </c>
      <c r="AD1126">
        <f>IF(AND(Q1126&lt;&gt;"",ISNUMBER(M1126)),M1126,"")</f>
        <v/>
      </c>
    </row>
    <row r="1127">
      <c r="A1127" s="1" t="n"/>
      <c r="B1127" s="17" t="n"/>
      <c r="C1127" s="27" t="n"/>
      <c r="D1127" s="28" t="n"/>
      <c r="E1127" s="28" t="n"/>
      <c r="F1127" s="28" t="n"/>
      <c r="G1127" s="28" t="n"/>
      <c r="H1127" s="28" t="n"/>
      <c r="I1127" s="28" t="n"/>
      <c r="J1127" s="28" t="n"/>
      <c r="K1127" s="28" t="n"/>
      <c r="L1127" s="28" t="n"/>
      <c r="M1127" s="29" t="n"/>
      <c r="N1127" s="21" t="n"/>
      <c r="O1127" s="12">
        <f>IF(AND(B1127="",C1127=""),"",IF(NOT(ISNUMBER(B1127)),"Needs a date",IF(C1127="","Needs a client",IF(COUNTIF(Clients!$B$6:$B$105,C1127)=0,"Not on Clients",IF(COUNT(D1127:M1127)=0,"Nothing measured","")))))</f>
        <v/>
      </c>
      <c r="P1127" s="1">
        <f>IF(AND(O1127="",ISNUMBER(B1127)),INT(B1127),0)</f>
        <v/>
      </c>
      <c r="Q1127">
        <f>IF(AND(P1127&gt;0,C1127=Report!$C$5),P1127*10000+ROW(),"")</f>
        <v/>
      </c>
      <c r="R1127">
        <f>IF(AND(Q1127&lt;&gt;"",ISNUMBER(D1127)),Q1127,"")</f>
        <v/>
      </c>
      <c r="S1127">
        <f>IF(AND(Q1127&lt;&gt;"",ISNUMBER(E1127)),Q1127,"")</f>
        <v/>
      </c>
      <c r="T1127">
        <f>IF(AND(Q1127&lt;&gt;"",ISNUMBER(F1127)),Q1127,"")</f>
        <v/>
      </c>
      <c r="U1127">
        <f>IF(AND(Q1127&lt;&gt;"",ISNUMBER(G1127)),Q1127,"")</f>
        <v/>
      </c>
      <c r="V1127">
        <f>IF(AND(Q1127&lt;&gt;"",ISNUMBER(H1127)),Q1127,"")</f>
        <v/>
      </c>
      <c r="W1127">
        <f>IF(AND(Q1127&lt;&gt;"",ISNUMBER(I1127)),Q1127,"")</f>
        <v/>
      </c>
      <c r="X1127">
        <f>IF(AND(Q1127&lt;&gt;"",ISNUMBER(J1127)),Q1127,"")</f>
        <v/>
      </c>
      <c r="Y1127">
        <f>IF(AND(Q1127&lt;&gt;"",ISNUMBER(K1127)),Q1127,"")</f>
        <v/>
      </c>
      <c r="Z1127">
        <f>IF(AND(Q1127&lt;&gt;"",ISNUMBER(L1127)),Q1127,"")</f>
        <v/>
      </c>
      <c r="AA1127">
        <f>IF(AND(Q1127&lt;&gt;"",ISNUMBER(M1127)),Q1127,"")</f>
        <v/>
      </c>
      <c r="AB1127">
        <f>IF(AND(Q1127&lt;&gt;"",ISNUMBER(K1127)),K1127,"")</f>
        <v/>
      </c>
      <c r="AC1127">
        <f>IF(AND(Q1127&lt;&gt;"",ISNUMBER(L1127)),L1127,"")</f>
        <v/>
      </c>
      <c r="AD1127">
        <f>IF(AND(Q1127&lt;&gt;"",ISNUMBER(M1127)),M1127,"")</f>
        <v/>
      </c>
    </row>
    <row r="1128">
      <c r="A1128" s="1" t="n"/>
      <c r="B1128" s="17" t="n"/>
      <c r="C1128" s="27" t="n"/>
      <c r="D1128" s="28" t="n"/>
      <c r="E1128" s="28" t="n"/>
      <c r="F1128" s="28" t="n"/>
      <c r="G1128" s="28" t="n"/>
      <c r="H1128" s="28" t="n"/>
      <c r="I1128" s="28" t="n"/>
      <c r="J1128" s="28" t="n"/>
      <c r="K1128" s="28" t="n"/>
      <c r="L1128" s="28" t="n"/>
      <c r="M1128" s="29" t="n"/>
      <c r="N1128" s="21" t="n"/>
      <c r="O1128" s="12">
        <f>IF(AND(B1128="",C1128=""),"",IF(NOT(ISNUMBER(B1128)),"Needs a date",IF(C1128="","Needs a client",IF(COUNTIF(Clients!$B$6:$B$105,C1128)=0,"Not on Clients",IF(COUNT(D1128:M1128)=0,"Nothing measured","")))))</f>
        <v/>
      </c>
      <c r="P1128" s="1">
        <f>IF(AND(O1128="",ISNUMBER(B1128)),INT(B1128),0)</f>
        <v/>
      </c>
      <c r="Q1128">
        <f>IF(AND(P1128&gt;0,C1128=Report!$C$5),P1128*10000+ROW(),"")</f>
        <v/>
      </c>
      <c r="R1128">
        <f>IF(AND(Q1128&lt;&gt;"",ISNUMBER(D1128)),Q1128,"")</f>
        <v/>
      </c>
      <c r="S1128">
        <f>IF(AND(Q1128&lt;&gt;"",ISNUMBER(E1128)),Q1128,"")</f>
        <v/>
      </c>
      <c r="T1128">
        <f>IF(AND(Q1128&lt;&gt;"",ISNUMBER(F1128)),Q1128,"")</f>
        <v/>
      </c>
      <c r="U1128">
        <f>IF(AND(Q1128&lt;&gt;"",ISNUMBER(G1128)),Q1128,"")</f>
        <v/>
      </c>
      <c r="V1128">
        <f>IF(AND(Q1128&lt;&gt;"",ISNUMBER(H1128)),Q1128,"")</f>
        <v/>
      </c>
      <c r="W1128">
        <f>IF(AND(Q1128&lt;&gt;"",ISNUMBER(I1128)),Q1128,"")</f>
        <v/>
      </c>
      <c r="X1128">
        <f>IF(AND(Q1128&lt;&gt;"",ISNUMBER(J1128)),Q1128,"")</f>
        <v/>
      </c>
      <c r="Y1128">
        <f>IF(AND(Q1128&lt;&gt;"",ISNUMBER(K1128)),Q1128,"")</f>
        <v/>
      </c>
      <c r="Z1128">
        <f>IF(AND(Q1128&lt;&gt;"",ISNUMBER(L1128)),Q1128,"")</f>
        <v/>
      </c>
      <c r="AA1128">
        <f>IF(AND(Q1128&lt;&gt;"",ISNUMBER(M1128)),Q1128,"")</f>
        <v/>
      </c>
      <c r="AB1128">
        <f>IF(AND(Q1128&lt;&gt;"",ISNUMBER(K1128)),K1128,"")</f>
        <v/>
      </c>
      <c r="AC1128">
        <f>IF(AND(Q1128&lt;&gt;"",ISNUMBER(L1128)),L1128,"")</f>
        <v/>
      </c>
      <c r="AD1128">
        <f>IF(AND(Q1128&lt;&gt;"",ISNUMBER(M1128)),M1128,"")</f>
        <v/>
      </c>
    </row>
    <row r="1129">
      <c r="A1129" s="1" t="n"/>
      <c r="B1129" s="17" t="n"/>
      <c r="C1129" s="27" t="n"/>
      <c r="D1129" s="28" t="n"/>
      <c r="E1129" s="28" t="n"/>
      <c r="F1129" s="28" t="n"/>
      <c r="G1129" s="28" t="n"/>
      <c r="H1129" s="28" t="n"/>
      <c r="I1129" s="28" t="n"/>
      <c r="J1129" s="28" t="n"/>
      <c r="K1129" s="28" t="n"/>
      <c r="L1129" s="28" t="n"/>
      <c r="M1129" s="29" t="n"/>
      <c r="N1129" s="21" t="n"/>
      <c r="O1129" s="12">
        <f>IF(AND(B1129="",C1129=""),"",IF(NOT(ISNUMBER(B1129)),"Needs a date",IF(C1129="","Needs a client",IF(COUNTIF(Clients!$B$6:$B$105,C1129)=0,"Not on Clients",IF(COUNT(D1129:M1129)=0,"Nothing measured","")))))</f>
        <v/>
      </c>
      <c r="P1129" s="1">
        <f>IF(AND(O1129="",ISNUMBER(B1129)),INT(B1129),0)</f>
        <v/>
      </c>
      <c r="Q1129">
        <f>IF(AND(P1129&gt;0,C1129=Report!$C$5),P1129*10000+ROW(),"")</f>
        <v/>
      </c>
      <c r="R1129">
        <f>IF(AND(Q1129&lt;&gt;"",ISNUMBER(D1129)),Q1129,"")</f>
        <v/>
      </c>
      <c r="S1129">
        <f>IF(AND(Q1129&lt;&gt;"",ISNUMBER(E1129)),Q1129,"")</f>
        <v/>
      </c>
      <c r="T1129">
        <f>IF(AND(Q1129&lt;&gt;"",ISNUMBER(F1129)),Q1129,"")</f>
        <v/>
      </c>
      <c r="U1129">
        <f>IF(AND(Q1129&lt;&gt;"",ISNUMBER(G1129)),Q1129,"")</f>
        <v/>
      </c>
      <c r="V1129">
        <f>IF(AND(Q1129&lt;&gt;"",ISNUMBER(H1129)),Q1129,"")</f>
        <v/>
      </c>
      <c r="W1129">
        <f>IF(AND(Q1129&lt;&gt;"",ISNUMBER(I1129)),Q1129,"")</f>
        <v/>
      </c>
      <c r="X1129">
        <f>IF(AND(Q1129&lt;&gt;"",ISNUMBER(J1129)),Q1129,"")</f>
        <v/>
      </c>
      <c r="Y1129">
        <f>IF(AND(Q1129&lt;&gt;"",ISNUMBER(K1129)),Q1129,"")</f>
        <v/>
      </c>
      <c r="Z1129">
        <f>IF(AND(Q1129&lt;&gt;"",ISNUMBER(L1129)),Q1129,"")</f>
        <v/>
      </c>
      <c r="AA1129">
        <f>IF(AND(Q1129&lt;&gt;"",ISNUMBER(M1129)),Q1129,"")</f>
        <v/>
      </c>
      <c r="AB1129">
        <f>IF(AND(Q1129&lt;&gt;"",ISNUMBER(K1129)),K1129,"")</f>
        <v/>
      </c>
      <c r="AC1129">
        <f>IF(AND(Q1129&lt;&gt;"",ISNUMBER(L1129)),L1129,"")</f>
        <v/>
      </c>
      <c r="AD1129">
        <f>IF(AND(Q1129&lt;&gt;"",ISNUMBER(M1129)),M1129,"")</f>
        <v/>
      </c>
    </row>
    <row r="1130">
      <c r="A1130" s="1" t="n"/>
      <c r="B1130" s="17" t="n"/>
      <c r="C1130" s="27" t="n"/>
      <c r="D1130" s="28" t="n"/>
      <c r="E1130" s="28" t="n"/>
      <c r="F1130" s="28" t="n"/>
      <c r="G1130" s="28" t="n"/>
      <c r="H1130" s="28" t="n"/>
      <c r="I1130" s="28" t="n"/>
      <c r="J1130" s="28" t="n"/>
      <c r="K1130" s="28" t="n"/>
      <c r="L1130" s="28" t="n"/>
      <c r="M1130" s="29" t="n"/>
      <c r="N1130" s="21" t="n"/>
      <c r="O1130" s="12">
        <f>IF(AND(B1130="",C1130=""),"",IF(NOT(ISNUMBER(B1130)),"Needs a date",IF(C1130="","Needs a client",IF(COUNTIF(Clients!$B$6:$B$105,C1130)=0,"Not on Clients",IF(COUNT(D1130:M1130)=0,"Nothing measured","")))))</f>
        <v/>
      </c>
      <c r="P1130" s="1">
        <f>IF(AND(O1130="",ISNUMBER(B1130)),INT(B1130),0)</f>
        <v/>
      </c>
      <c r="Q1130">
        <f>IF(AND(P1130&gt;0,C1130=Report!$C$5),P1130*10000+ROW(),"")</f>
        <v/>
      </c>
      <c r="R1130">
        <f>IF(AND(Q1130&lt;&gt;"",ISNUMBER(D1130)),Q1130,"")</f>
        <v/>
      </c>
      <c r="S1130">
        <f>IF(AND(Q1130&lt;&gt;"",ISNUMBER(E1130)),Q1130,"")</f>
        <v/>
      </c>
      <c r="T1130">
        <f>IF(AND(Q1130&lt;&gt;"",ISNUMBER(F1130)),Q1130,"")</f>
        <v/>
      </c>
      <c r="U1130">
        <f>IF(AND(Q1130&lt;&gt;"",ISNUMBER(G1130)),Q1130,"")</f>
        <v/>
      </c>
      <c r="V1130">
        <f>IF(AND(Q1130&lt;&gt;"",ISNUMBER(H1130)),Q1130,"")</f>
        <v/>
      </c>
      <c r="W1130">
        <f>IF(AND(Q1130&lt;&gt;"",ISNUMBER(I1130)),Q1130,"")</f>
        <v/>
      </c>
      <c r="X1130">
        <f>IF(AND(Q1130&lt;&gt;"",ISNUMBER(J1130)),Q1130,"")</f>
        <v/>
      </c>
      <c r="Y1130">
        <f>IF(AND(Q1130&lt;&gt;"",ISNUMBER(K1130)),Q1130,"")</f>
        <v/>
      </c>
      <c r="Z1130">
        <f>IF(AND(Q1130&lt;&gt;"",ISNUMBER(L1130)),Q1130,"")</f>
        <v/>
      </c>
      <c r="AA1130">
        <f>IF(AND(Q1130&lt;&gt;"",ISNUMBER(M1130)),Q1130,"")</f>
        <v/>
      </c>
      <c r="AB1130">
        <f>IF(AND(Q1130&lt;&gt;"",ISNUMBER(K1130)),K1130,"")</f>
        <v/>
      </c>
      <c r="AC1130">
        <f>IF(AND(Q1130&lt;&gt;"",ISNUMBER(L1130)),L1130,"")</f>
        <v/>
      </c>
      <c r="AD1130">
        <f>IF(AND(Q1130&lt;&gt;"",ISNUMBER(M1130)),M1130,"")</f>
        <v/>
      </c>
    </row>
    <row r="1131">
      <c r="A1131" s="1" t="n"/>
      <c r="B1131" s="17" t="n"/>
      <c r="C1131" s="27" t="n"/>
      <c r="D1131" s="28" t="n"/>
      <c r="E1131" s="28" t="n"/>
      <c r="F1131" s="28" t="n"/>
      <c r="G1131" s="28" t="n"/>
      <c r="H1131" s="28" t="n"/>
      <c r="I1131" s="28" t="n"/>
      <c r="J1131" s="28" t="n"/>
      <c r="K1131" s="28" t="n"/>
      <c r="L1131" s="28" t="n"/>
      <c r="M1131" s="29" t="n"/>
      <c r="N1131" s="21" t="n"/>
      <c r="O1131" s="12">
        <f>IF(AND(B1131="",C1131=""),"",IF(NOT(ISNUMBER(B1131)),"Needs a date",IF(C1131="","Needs a client",IF(COUNTIF(Clients!$B$6:$B$105,C1131)=0,"Not on Clients",IF(COUNT(D1131:M1131)=0,"Nothing measured","")))))</f>
        <v/>
      </c>
      <c r="P1131" s="1">
        <f>IF(AND(O1131="",ISNUMBER(B1131)),INT(B1131),0)</f>
        <v/>
      </c>
      <c r="Q1131">
        <f>IF(AND(P1131&gt;0,C1131=Report!$C$5),P1131*10000+ROW(),"")</f>
        <v/>
      </c>
      <c r="R1131">
        <f>IF(AND(Q1131&lt;&gt;"",ISNUMBER(D1131)),Q1131,"")</f>
        <v/>
      </c>
      <c r="S1131">
        <f>IF(AND(Q1131&lt;&gt;"",ISNUMBER(E1131)),Q1131,"")</f>
        <v/>
      </c>
      <c r="T1131">
        <f>IF(AND(Q1131&lt;&gt;"",ISNUMBER(F1131)),Q1131,"")</f>
        <v/>
      </c>
      <c r="U1131">
        <f>IF(AND(Q1131&lt;&gt;"",ISNUMBER(G1131)),Q1131,"")</f>
        <v/>
      </c>
      <c r="V1131">
        <f>IF(AND(Q1131&lt;&gt;"",ISNUMBER(H1131)),Q1131,"")</f>
        <v/>
      </c>
      <c r="W1131">
        <f>IF(AND(Q1131&lt;&gt;"",ISNUMBER(I1131)),Q1131,"")</f>
        <v/>
      </c>
      <c r="X1131">
        <f>IF(AND(Q1131&lt;&gt;"",ISNUMBER(J1131)),Q1131,"")</f>
        <v/>
      </c>
      <c r="Y1131">
        <f>IF(AND(Q1131&lt;&gt;"",ISNUMBER(K1131)),Q1131,"")</f>
        <v/>
      </c>
      <c r="Z1131">
        <f>IF(AND(Q1131&lt;&gt;"",ISNUMBER(L1131)),Q1131,"")</f>
        <v/>
      </c>
      <c r="AA1131">
        <f>IF(AND(Q1131&lt;&gt;"",ISNUMBER(M1131)),Q1131,"")</f>
        <v/>
      </c>
      <c r="AB1131">
        <f>IF(AND(Q1131&lt;&gt;"",ISNUMBER(K1131)),K1131,"")</f>
        <v/>
      </c>
      <c r="AC1131">
        <f>IF(AND(Q1131&lt;&gt;"",ISNUMBER(L1131)),L1131,"")</f>
        <v/>
      </c>
      <c r="AD1131">
        <f>IF(AND(Q1131&lt;&gt;"",ISNUMBER(M1131)),M1131,"")</f>
        <v/>
      </c>
    </row>
    <row r="1132">
      <c r="A1132" s="1" t="n"/>
      <c r="B1132" s="17" t="n"/>
      <c r="C1132" s="27" t="n"/>
      <c r="D1132" s="28" t="n"/>
      <c r="E1132" s="28" t="n"/>
      <c r="F1132" s="28" t="n"/>
      <c r="G1132" s="28" t="n"/>
      <c r="H1132" s="28" t="n"/>
      <c r="I1132" s="28" t="n"/>
      <c r="J1132" s="28" t="n"/>
      <c r="K1132" s="28" t="n"/>
      <c r="L1132" s="28" t="n"/>
      <c r="M1132" s="29" t="n"/>
      <c r="N1132" s="21" t="n"/>
      <c r="O1132" s="12">
        <f>IF(AND(B1132="",C1132=""),"",IF(NOT(ISNUMBER(B1132)),"Needs a date",IF(C1132="","Needs a client",IF(COUNTIF(Clients!$B$6:$B$105,C1132)=0,"Not on Clients",IF(COUNT(D1132:M1132)=0,"Nothing measured","")))))</f>
        <v/>
      </c>
      <c r="P1132" s="1">
        <f>IF(AND(O1132="",ISNUMBER(B1132)),INT(B1132),0)</f>
        <v/>
      </c>
      <c r="Q1132">
        <f>IF(AND(P1132&gt;0,C1132=Report!$C$5),P1132*10000+ROW(),"")</f>
        <v/>
      </c>
      <c r="R1132">
        <f>IF(AND(Q1132&lt;&gt;"",ISNUMBER(D1132)),Q1132,"")</f>
        <v/>
      </c>
      <c r="S1132">
        <f>IF(AND(Q1132&lt;&gt;"",ISNUMBER(E1132)),Q1132,"")</f>
        <v/>
      </c>
      <c r="T1132">
        <f>IF(AND(Q1132&lt;&gt;"",ISNUMBER(F1132)),Q1132,"")</f>
        <v/>
      </c>
      <c r="U1132">
        <f>IF(AND(Q1132&lt;&gt;"",ISNUMBER(G1132)),Q1132,"")</f>
        <v/>
      </c>
      <c r="V1132">
        <f>IF(AND(Q1132&lt;&gt;"",ISNUMBER(H1132)),Q1132,"")</f>
        <v/>
      </c>
      <c r="W1132">
        <f>IF(AND(Q1132&lt;&gt;"",ISNUMBER(I1132)),Q1132,"")</f>
        <v/>
      </c>
      <c r="X1132">
        <f>IF(AND(Q1132&lt;&gt;"",ISNUMBER(J1132)),Q1132,"")</f>
        <v/>
      </c>
      <c r="Y1132">
        <f>IF(AND(Q1132&lt;&gt;"",ISNUMBER(K1132)),Q1132,"")</f>
        <v/>
      </c>
      <c r="Z1132">
        <f>IF(AND(Q1132&lt;&gt;"",ISNUMBER(L1132)),Q1132,"")</f>
        <v/>
      </c>
      <c r="AA1132">
        <f>IF(AND(Q1132&lt;&gt;"",ISNUMBER(M1132)),Q1132,"")</f>
        <v/>
      </c>
      <c r="AB1132">
        <f>IF(AND(Q1132&lt;&gt;"",ISNUMBER(K1132)),K1132,"")</f>
        <v/>
      </c>
      <c r="AC1132">
        <f>IF(AND(Q1132&lt;&gt;"",ISNUMBER(L1132)),L1132,"")</f>
        <v/>
      </c>
      <c r="AD1132">
        <f>IF(AND(Q1132&lt;&gt;"",ISNUMBER(M1132)),M1132,"")</f>
        <v/>
      </c>
    </row>
    <row r="1133">
      <c r="A1133" s="1" t="n"/>
      <c r="B1133" s="17" t="n"/>
      <c r="C1133" s="27" t="n"/>
      <c r="D1133" s="28" t="n"/>
      <c r="E1133" s="28" t="n"/>
      <c r="F1133" s="28" t="n"/>
      <c r="G1133" s="28" t="n"/>
      <c r="H1133" s="28" t="n"/>
      <c r="I1133" s="28" t="n"/>
      <c r="J1133" s="28" t="n"/>
      <c r="K1133" s="28" t="n"/>
      <c r="L1133" s="28" t="n"/>
      <c r="M1133" s="29" t="n"/>
      <c r="N1133" s="21" t="n"/>
      <c r="O1133" s="12">
        <f>IF(AND(B1133="",C1133=""),"",IF(NOT(ISNUMBER(B1133)),"Needs a date",IF(C1133="","Needs a client",IF(COUNTIF(Clients!$B$6:$B$105,C1133)=0,"Not on Clients",IF(COUNT(D1133:M1133)=0,"Nothing measured","")))))</f>
        <v/>
      </c>
      <c r="P1133" s="1">
        <f>IF(AND(O1133="",ISNUMBER(B1133)),INT(B1133),0)</f>
        <v/>
      </c>
      <c r="Q1133">
        <f>IF(AND(P1133&gt;0,C1133=Report!$C$5),P1133*10000+ROW(),"")</f>
        <v/>
      </c>
      <c r="R1133">
        <f>IF(AND(Q1133&lt;&gt;"",ISNUMBER(D1133)),Q1133,"")</f>
        <v/>
      </c>
      <c r="S1133">
        <f>IF(AND(Q1133&lt;&gt;"",ISNUMBER(E1133)),Q1133,"")</f>
        <v/>
      </c>
      <c r="T1133">
        <f>IF(AND(Q1133&lt;&gt;"",ISNUMBER(F1133)),Q1133,"")</f>
        <v/>
      </c>
      <c r="U1133">
        <f>IF(AND(Q1133&lt;&gt;"",ISNUMBER(G1133)),Q1133,"")</f>
        <v/>
      </c>
      <c r="V1133">
        <f>IF(AND(Q1133&lt;&gt;"",ISNUMBER(H1133)),Q1133,"")</f>
        <v/>
      </c>
      <c r="W1133">
        <f>IF(AND(Q1133&lt;&gt;"",ISNUMBER(I1133)),Q1133,"")</f>
        <v/>
      </c>
      <c r="X1133">
        <f>IF(AND(Q1133&lt;&gt;"",ISNUMBER(J1133)),Q1133,"")</f>
        <v/>
      </c>
      <c r="Y1133">
        <f>IF(AND(Q1133&lt;&gt;"",ISNUMBER(K1133)),Q1133,"")</f>
        <v/>
      </c>
      <c r="Z1133">
        <f>IF(AND(Q1133&lt;&gt;"",ISNUMBER(L1133)),Q1133,"")</f>
        <v/>
      </c>
      <c r="AA1133">
        <f>IF(AND(Q1133&lt;&gt;"",ISNUMBER(M1133)),Q1133,"")</f>
        <v/>
      </c>
      <c r="AB1133">
        <f>IF(AND(Q1133&lt;&gt;"",ISNUMBER(K1133)),K1133,"")</f>
        <v/>
      </c>
      <c r="AC1133">
        <f>IF(AND(Q1133&lt;&gt;"",ISNUMBER(L1133)),L1133,"")</f>
        <v/>
      </c>
      <c r="AD1133">
        <f>IF(AND(Q1133&lt;&gt;"",ISNUMBER(M1133)),M1133,"")</f>
        <v/>
      </c>
    </row>
    <row r="1134">
      <c r="A1134" s="1" t="n"/>
      <c r="B1134" s="17" t="n"/>
      <c r="C1134" s="27" t="n"/>
      <c r="D1134" s="28" t="n"/>
      <c r="E1134" s="28" t="n"/>
      <c r="F1134" s="28" t="n"/>
      <c r="G1134" s="28" t="n"/>
      <c r="H1134" s="28" t="n"/>
      <c r="I1134" s="28" t="n"/>
      <c r="J1134" s="28" t="n"/>
      <c r="K1134" s="28" t="n"/>
      <c r="L1134" s="28" t="n"/>
      <c r="M1134" s="29" t="n"/>
      <c r="N1134" s="21" t="n"/>
      <c r="O1134" s="12">
        <f>IF(AND(B1134="",C1134=""),"",IF(NOT(ISNUMBER(B1134)),"Needs a date",IF(C1134="","Needs a client",IF(COUNTIF(Clients!$B$6:$B$105,C1134)=0,"Not on Clients",IF(COUNT(D1134:M1134)=0,"Nothing measured","")))))</f>
        <v/>
      </c>
      <c r="P1134" s="1">
        <f>IF(AND(O1134="",ISNUMBER(B1134)),INT(B1134),0)</f>
        <v/>
      </c>
      <c r="Q1134">
        <f>IF(AND(P1134&gt;0,C1134=Report!$C$5),P1134*10000+ROW(),"")</f>
        <v/>
      </c>
      <c r="R1134">
        <f>IF(AND(Q1134&lt;&gt;"",ISNUMBER(D1134)),Q1134,"")</f>
        <v/>
      </c>
      <c r="S1134">
        <f>IF(AND(Q1134&lt;&gt;"",ISNUMBER(E1134)),Q1134,"")</f>
        <v/>
      </c>
      <c r="T1134">
        <f>IF(AND(Q1134&lt;&gt;"",ISNUMBER(F1134)),Q1134,"")</f>
        <v/>
      </c>
      <c r="U1134">
        <f>IF(AND(Q1134&lt;&gt;"",ISNUMBER(G1134)),Q1134,"")</f>
        <v/>
      </c>
      <c r="V1134">
        <f>IF(AND(Q1134&lt;&gt;"",ISNUMBER(H1134)),Q1134,"")</f>
        <v/>
      </c>
      <c r="W1134">
        <f>IF(AND(Q1134&lt;&gt;"",ISNUMBER(I1134)),Q1134,"")</f>
        <v/>
      </c>
      <c r="X1134">
        <f>IF(AND(Q1134&lt;&gt;"",ISNUMBER(J1134)),Q1134,"")</f>
        <v/>
      </c>
      <c r="Y1134">
        <f>IF(AND(Q1134&lt;&gt;"",ISNUMBER(K1134)),Q1134,"")</f>
        <v/>
      </c>
      <c r="Z1134">
        <f>IF(AND(Q1134&lt;&gt;"",ISNUMBER(L1134)),Q1134,"")</f>
        <v/>
      </c>
      <c r="AA1134">
        <f>IF(AND(Q1134&lt;&gt;"",ISNUMBER(M1134)),Q1134,"")</f>
        <v/>
      </c>
      <c r="AB1134">
        <f>IF(AND(Q1134&lt;&gt;"",ISNUMBER(K1134)),K1134,"")</f>
        <v/>
      </c>
      <c r="AC1134">
        <f>IF(AND(Q1134&lt;&gt;"",ISNUMBER(L1134)),L1134,"")</f>
        <v/>
      </c>
      <c r="AD1134">
        <f>IF(AND(Q1134&lt;&gt;"",ISNUMBER(M1134)),M1134,"")</f>
        <v/>
      </c>
    </row>
    <row r="1135">
      <c r="A1135" s="1" t="n"/>
      <c r="B1135" s="17" t="n"/>
      <c r="C1135" s="27" t="n"/>
      <c r="D1135" s="28" t="n"/>
      <c r="E1135" s="28" t="n"/>
      <c r="F1135" s="28" t="n"/>
      <c r="G1135" s="28" t="n"/>
      <c r="H1135" s="28" t="n"/>
      <c r="I1135" s="28" t="n"/>
      <c r="J1135" s="28" t="n"/>
      <c r="K1135" s="28" t="n"/>
      <c r="L1135" s="28" t="n"/>
      <c r="M1135" s="29" t="n"/>
      <c r="N1135" s="21" t="n"/>
      <c r="O1135" s="12">
        <f>IF(AND(B1135="",C1135=""),"",IF(NOT(ISNUMBER(B1135)),"Needs a date",IF(C1135="","Needs a client",IF(COUNTIF(Clients!$B$6:$B$105,C1135)=0,"Not on Clients",IF(COUNT(D1135:M1135)=0,"Nothing measured","")))))</f>
        <v/>
      </c>
      <c r="P1135" s="1">
        <f>IF(AND(O1135="",ISNUMBER(B1135)),INT(B1135),0)</f>
        <v/>
      </c>
      <c r="Q1135">
        <f>IF(AND(P1135&gt;0,C1135=Report!$C$5),P1135*10000+ROW(),"")</f>
        <v/>
      </c>
      <c r="R1135">
        <f>IF(AND(Q1135&lt;&gt;"",ISNUMBER(D1135)),Q1135,"")</f>
        <v/>
      </c>
      <c r="S1135">
        <f>IF(AND(Q1135&lt;&gt;"",ISNUMBER(E1135)),Q1135,"")</f>
        <v/>
      </c>
      <c r="T1135">
        <f>IF(AND(Q1135&lt;&gt;"",ISNUMBER(F1135)),Q1135,"")</f>
        <v/>
      </c>
      <c r="U1135">
        <f>IF(AND(Q1135&lt;&gt;"",ISNUMBER(G1135)),Q1135,"")</f>
        <v/>
      </c>
      <c r="V1135">
        <f>IF(AND(Q1135&lt;&gt;"",ISNUMBER(H1135)),Q1135,"")</f>
        <v/>
      </c>
      <c r="W1135">
        <f>IF(AND(Q1135&lt;&gt;"",ISNUMBER(I1135)),Q1135,"")</f>
        <v/>
      </c>
      <c r="X1135">
        <f>IF(AND(Q1135&lt;&gt;"",ISNUMBER(J1135)),Q1135,"")</f>
        <v/>
      </c>
      <c r="Y1135">
        <f>IF(AND(Q1135&lt;&gt;"",ISNUMBER(K1135)),Q1135,"")</f>
        <v/>
      </c>
      <c r="Z1135">
        <f>IF(AND(Q1135&lt;&gt;"",ISNUMBER(L1135)),Q1135,"")</f>
        <v/>
      </c>
      <c r="AA1135">
        <f>IF(AND(Q1135&lt;&gt;"",ISNUMBER(M1135)),Q1135,"")</f>
        <v/>
      </c>
      <c r="AB1135">
        <f>IF(AND(Q1135&lt;&gt;"",ISNUMBER(K1135)),K1135,"")</f>
        <v/>
      </c>
      <c r="AC1135">
        <f>IF(AND(Q1135&lt;&gt;"",ISNUMBER(L1135)),L1135,"")</f>
        <v/>
      </c>
      <c r="AD1135">
        <f>IF(AND(Q1135&lt;&gt;"",ISNUMBER(M1135)),M1135,"")</f>
        <v/>
      </c>
    </row>
    <row r="1136">
      <c r="A1136" s="1" t="n"/>
      <c r="B1136" s="17" t="n"/>
      <c r="C1136" s="27" t="n"/>
      <c r="D1136" s="28" t="n"/>
      <c r="E1136" s="28" t="n"/>
      <c r="F1136" s="28" t="n"/>
      <c r="G1136" s="28" t="n"/>
      <c r="H1136" s="28" t="n"/>
      <c r="I1136" s="28" t="n"/>
      <c r="J1136" s="28" t="n"/>
      <c r="K1136" s="28" t="n"/>
      <c r="L1136" s="28" t="n"/>
      <c r="M1136" s="29" t="n"/>
      <c r="N1136" s="21" t="n"/>
      <c r="O1136" s="12">
        <f>IF(AND(B1136="",C1136=""),"",IF(NOT(ISNUMBER(B1136)),"Needs a date",IF(C1136="","Needs a client",IF(COUNTIF(Clients!$B$6:$B$105,C1136)=0,"Not on Clients",IF(COUNT(D1136:M1136)=0,"Nothing measured","")))))</f>
        <v/>
      </c>
      <c r="P1136" s="1">
        <f>IF(AND(O1136="",ISNUMBER(B1136)),INT(B1136),0)</f>
        <v/>
      </c>
      <c r="Q1136">
        <f>IF(AND(P1136&gt;0,C1136=Report!$C$5),P1136*10000+ROW(),"")</f>
        <v/>
      </c>
      <c r="R1136">
        <f>IF(AND(Q1136&lt;&gt;"",ISNUMBER(D1136)),Q1136,"")</f>
        <v/>
      </c>
      <c r="S1136">
        <f>IF(AND(Q1136&lt;&gt;"",ISNUMBER(E1136)),Q1136,"")</f>
        <v/>
      </c>
      <c r="T1136">
        <f>IF(AND(Q1136&lt;&gt;"",ISNUMBER(F1136)),Q1136,"")</f>
        <v/>
      </c>
      <c r="U1136">
        <f>IF(AND(Q1136&lt;&gt;"",ISNUMBER(G1136)),Q1136,"")</f>
        <v/>
      </c>
      <c r="V1136">
        <f>IF(AND(Q1136&lt;&gt;"",ISNUMBER(H1136)),Q1136,"")</f>
        <v/>
      </c>
      <c r="W1136">
        <f>IF(AND(Q1136&lt;&gt;"",ISNUMBER(I1136)),Q1136,"")</f>
        <v/>
      </c>
      <c r="X1136">
        <f>IF(AND(Q1136&lt;&gt;"",ISNUMBER(J1136)),Q1136,"")</f>
        <v/>
      </c>
      <c r="Y1136">
        <f>IF(AND(Q1136&lt;&gt;"",ISNUMBER(K1136)),Q1136,"")</f>
        <v/>
      </c>
      <c r="Z1136">
        <f>IF(AND(Q1136&lt;&gt;"",ISNUMBER(L1136)),Q1136,"")</f>
        <v/>
      </c>
      <c r="AA1136">
        <f>IF(AND(Q1136&lt;&gt;"",ISNUMBER(M1136)),Q1136,"")</f>
        <v/>
      </c>
      <c r="AB1136">
        <f>IF(AND(Q1136&lt;&gt;"",ISNUMBER(K1136)),K1136,"")</f>
        <v/>
      </c>
      <c r="AC1136">
        <f>IF(AND(Q1136&lt;&gt;"",ISNUMBER(L1136)),L1136,"")</f>
        <v/>
      </c>
      <c r="AD1136">
        <f>IF(AND(Q1136&lt;&gt;"",ISNUMBER(M1136)),M1136,"")</f>
        <v/>
      </c>
    </row>
    <row r="1137">
      <c r="A1137" s="1" t="n"/>
      <c r="B1137" s="17" t="n"/>
      <c r="C1137" s="27" t="n"/>
      <c r="D1137" s="28" t="n"/>
      <c r="E1137" s="28" t="n"/>
      <c r="F1137" s="28" t="n"/>
      <c r="G1137" s="28" t="n"/>
      <c r="H1137" s="28" t="n"/>
      <c r="I1137" s="28" t="n"/>
      <c r="J1137" s="28" t="n"/>
      <c r="K1137" s="28" t="n"/>
      <c r="L1137" s="28" t="n"/>
      <c r="M1137" s="29" t="n"/>
      <c r="N1137" s="21" t="n"/>
      <c r="O1137" s="12">
        <f>IF(AND(B1137="",C1137=""),"",IF(NOT(ISNUMBER(B1137)),"Needs a date",IF(C1137="","Needs a client",IF(COUNTIF(Clients!$B$6:$B$105,C1137)=0,"Not on Clients",IF(COUNT(D1137:M1137)=0,"Nothing measured","")))))</f>
        <v/>
      </c>
      <c r="P1137" s="1">
        <f>IF(AND(O1137="",ISNUMBER(B1137)),INT(B1137),0)</f>
        <v/>
      </c>
      <c r="Q1137">
        <f>IF(AND(P1137&gt;0,C1137=Report!$C$5),P1137*10000+ROW(),"")</f>
        <v/>
      </c>
      <c r="R1137">
        <f>IF(AND(Q1137&lt;&gt;"",ISNUMBER(D1137)),Q1137,"")</f>
        <v/>
      </c>
      <c r="S1137">
        <f>IF(AND(Q1137&lt;&gt;"",ISNUMBER(E1137)),Q1137,"")</f>
        <v/>
      </c>
      <c r="T1137">
        <f>IF(AND(Q1137&lt;&gt;"",ISNUMBER(F1137)),Q1137,"")</f>
        <v/>
      </c>
      <c r="U1137">
        <f>IF(AND(Q1137&lt;&gt;"",ISNUMBER(G1137)),Q1137,"")</f>
        <v/>
      </c>
      <c r="V1137">
        <f>IF(AND(Q1137&lt;&gt;"",ISNUMBER(H1137)),Q1137,"")</f>
        <v/>
      </c>
      <c r="W1137">
        <f>IF(AND(Q1137&lt;&gt;"",ISNUMBER(I1137)),Q1137,"")</f>
        <v/>
      </c>
      <c r="X1137">
        <f>IF(AND(Q1137&lt;&gt;"",ISNUMBER(J1137)),Q1137,"")</f>
        <v/>
      </c>
      <c r="Y1137">
        <f>IF(AND(Q1137&lt;&gt;"",ISNUMBER(K1137)),Q1137,"")</f>
        <v/>
      </c>
      <c r="Z1137">
        <f>IF(AND(Q1137&lt;&gt;"",ISNUMBER(L1137)),Q1137,"")</f>
        <v/>
      </c>
      <c r="AA1137">
        <f>IF(AND(Q1137&lt;&gt;"",ISNUMBER(M1137)),Q1137,"")</f>
        <v/>
      </c>
      <c r="AB1137">
        <f>IF(AND(Q1137&lt;&gt;"",ISNUMBER(K1137)),K1137,"")</f>
        <v/>
      </c>
      <c r="AC1137">
        <f>IF(AND(Q1137&lt;&gt;"",ISNUMBER(L1137)),L1137,"")</f>
        <v/>
      </c>
      <c r="AD1137">
        <f>IF(AND(Q1137&lt;&gt;"",ISNUMBER(M1137)),M1137,"")</f>
        <v/>
      </c>
    </row>
    <row r="1138">
      <c r="A1138" s="1" t="n"/>
      <c r="B1138" s="17" t="n"/>
      <c r="C1138" s="27" t="n"/>
      <c r="D1138" s="28" t="n"/>
      <c r="E1138" s="28" t="n"/>
      <c r="F1138" s="28" t="n"/>
      <c r="G1138" s="28" t="n"/>
      <c r="H1138" s="28" t="n"/>
      <c r="I1138" s="28" t="n"/>
      <c r="J1138" s="28" t="n"/>
      <c r="K1138" s="28" t="n"/>
      <c r="L1138" s="28" t="n"/>
      <c r="M1138" s="29" t="n"/>
      <c r="N1138" s="21" t="n"/>
      <c r="O1138" s="12">
        <f>IF(AND(B1138="",C1138=""),"",IF(NOT(ISNUMBER(B1138)),"Needs a date",IF(C1138="","Needs a client",IF(COUNTIF(Clients!$B$6:$B$105,C1138)=0,"Not on Clients",IF(COUNT(D1138:M1138)=0,"Nothing measured","")))))</f>
        <v/>
      </c>
      <c r="P1138" s="1">
        <f>IF(AND(O1138="",ISNUMBER(B1138)),INT(B1138),0)</f>
        <v/>
      </c>
      <c r="Q1138">
        <f>IF(AND(P1138&gt;0,C1138=Report!$C$5),P1138*10000+ROW(),"")</f>
        <v/>
      </c>
      <c r="R1138">
        <f>IF(AND(Q1138&lt;&gt;"",ISNUMBER(D1138)),Q1138,"")</f>
        <v/>
      </c>
      <c r="S1138">
        <f>IF(AND(Q1138&lt;&gt;"",ISNUMBER(E1138)),Q1138,"")</f>
        <v/>
      </c>
      <c r="T1138">
        <f>IF(AND(Q1138&lt;&gt;"",ISNUMBER(F1138)),Q1138,"")</f>
        <v/>
      </c>
      <c r="U1138">
        <f>IF(AND(Q1138&lt;&gt;"",ISNUMBER(G1138)),Q1138,"")</f>
        <v/>
      </c>
      <c r="V1138">
        <f>IF(AND(Q1138&lt;&gt;"",ISNUMBER(H1138)),Q1138,"")</f>
        <v/>
      </c>
      <c r="W1138">
        <f>IF(AND(Q1138&lt;&gt;"",ISNUMBER(I1138)),Q1138,"")</f>
        <v/>
      </c>
      <c r="X1138">
        <f>IF(AND(Q1138&lt;&gt;"",ISNUMBER(J1138)),Q1138,"")</f>
        <v/>
      </c>
      <c r="Y1138">
        <f>IF(AND(Q1138&lt;&gt;"",ISNUMBER(K1138)),Q1138,"")</f>
        <v/>
      </c>
      <c r="Z1138">
        <f>IF(AND(Q1138&lt;&gt;"",ISNUMBER(L1138)),Q1138,"")</f>
        <v/>
      </c>
      <c r="AA1138">
        <f>IF(AND(Q1138&lt;&gt;"",ISNUMBER(M1138)),Q1138,"")</f>
        <v/>
      </c>
      <c r="AB1138">
        <f>IF(AND(Q1138&lt;&gt;"",ISNUMBER(K1138)),K1138,"")</f>
        <v/>
      </c>
      <c r="AC1138">
        <f>IF(AND(Q1138&lt;&gt;"",ISNUMBER(L1138)),L1138,"")</f>
        <v/>
      </c>
      <c r="AD1138">
        <f>IF(AND(Q1138&lt;&gt;"",ISNUMBER(M1138)),M1138,"")</f>
        <v/>
      </c>
    </row>
    <row r="1139">
      <c r="A1139" s="1" t="n"/>
      <c r="B1139" s="17" t="n"/>
      <c r="C1139" s="27" t="n"/>
      <c r="D1139" s="28" t="n"/>
      <c r="E1139" s="28" t="n"/>
      <c r="F1139" s="28" t="n"/>
      <c r="G1139" s="28" t="n"/>
      <c r="H1139" s="28" t="n"/>
      <c r="I1139" s="28" t="n"/>
      <c r="J1139" s="28" t="n"/>
      <c r="K1139" s="28" t="n"/>
      <c r="L1139" s="28" t="n"/>
      <c r="M1139" s="29" t="n"/>
      <c r="N1139" s="21" t="n"/>
      <c r="O1139" s="12">
        <f>IF(AND(B1139="",C1139=""),"",IF(NOT(ISNUMBER(B1139)),"Needs a date",IF(C1139="","Needs a client",IF(COUNTIF(Clients!$B$6:$B$105,C1139)=0,"Not on Clients",IF(COUNT(D1139:M1139)=0,"Nothing measured","")))))</f>
        <v/>
      </c>
      <c r="P1139" s="1">
        <f>IF(AND(O1139="",ISNUMBER(B1139)),INT(B1139),0)</f>
        <v/>
      </c>
      <c r="Q1139">
        <f>IF(AND(P1139&gt;0,C1139=Report!$C$5),P1139*10000+ROW(),"")</f>
        <v/>
      </c>
      <c r="R1139">
        <f>IF(AND(Q1139&lt;&gt;"",ISNUMBER(D1139)),Q1139,"")</f>
        <v/>
      </c>
      <c r="S1139">
        <f>IF(AND(Q1139&lt;&gt;"",ISNUMBER(E1139)),Q1139,"")</f>
        <v/>
      </c>
      <c r="T1139">
        <f>IF(AND(Q1139&lt;&gt;"",ISNUMBER(F1139)),Q1139,"")</f>
        <v/>
      </c>
      <c r="U1139">
        <f>IF(AND(Q1139&lt;&gt;"",ISNUMBER(G1139)),Q1139,"")</f>
        <v/>
      </c>
      <c r="V1139">
        <f>IF(AND(Q1139&lt;&gt;"",ISNUMBER(H1139)),Q1139,"")</f>
        <v/>
      </c>
      <c r="W1139">
        <f>IF(AND(Q1139&lt;&gt;"",ISNUMBER(I1139)),Q1139,"")</f>
        <v/>
      </c>
      <c r="X1139">
        <f>IF(AND(Q1139&lt;&gt;"",ISNUMBER(J1139)),Q1139,"")</f>
        <v/>
      </c>
      <c r="Y1139">
        <f>IF(AND(Q1139&lt;&gt;"",ISNUMBER(K1139)),Q1139,"")</f>
        <v/>
      </c>
      <c r="Z1139">
        <f>IF(AND(Q1139&lt;&gt;"",ISNUMBER(L1139)),Q1139,"")</f>
        <v/>
      </c>
      <c r="AA1139">
        <f>IF(AND(Q1139&lt;&gt;"",ISNUMBER(M1139)),Q1139,"")</f>
        <v/>
      </c>
      <c r="AB1139">
        <f>IF(AND(Q1139&lt;&gt;"",ISNUMBER(K1139)),K1139,"")</f>
        <v/>
      </c>
      <c r="AC1139">
        <f>IF(AND(Q1139&lt;&gt;"",ISNUMBER(L1139)),L1139,"")</f>
        <v/>
      </c>
      <c r="AD1139">
        <f>IF(AND(Q1139&lt;&gt;"",ISNUMBER(M1139)),M1139,"")</f>
        <v/>
      </c>
    </row>
    <row r="1140">
      <c r="A1140" s="1" t="n"/>
      <c r="B1140" s="17" t="n"/>
      <c r="C1140" s="27" t="n"/>
      <c r="D1140" s="28" t="n"/>
      <c r="E1140" s="28" t="n"/>
      <c r="F1140" s="28" t="n"/>
      <c r="G1140" s="28" t="n"/>
      <c r="H1140" s="28" t="n"/>
      <c r="I1140" s="28" t="n"/>
      <c r="J1140" s="28" t="n"/>
      <c r="K1140" s="28" t="n"/>
      <c r="L1140" s="28" t="n"/>
      <c r="M1140" s="29" t="n"/>
      <c r="N1140" s="21" t="n"/>
      <c r="O1140" s="12">
        <f>IF(AND(B1140="",C1140=""),"",IF(NOT(ISNUMBER(B1140)),"Needs a date",IF(C1140="","Needs a client",IF(COUNTIF(Clients!$B$6:$B$105,C1140)=0,"Not on Clients",IF(COUNT(D1140:M1140)=0,"Nothing measured","")))))</f>
        <v/>
      </c>
      <c r="P1140" s="1">
        <f>IF(AND(O1140="",ISNUMBER(B1140)),INT(B1140),0)</f>
        <v/>
      </c>
      <c r="Q1140">
        <f>IF(AND(P1140&gt;0,C1140=Report!$C$5),P1140*10000+ROW(),"")</f>
        <v/>
      </c>
      <c r="R1140">
        <f>IF(AND(Q1140&lt;&gt;"",ISNUMBER(D1140)),Q1140,"")</f>
        <v/>
      </c>
      <c r="S1140">
        <f>IF(AND(Q1140&lt;&gt;"",ISNUMBER(E1140)),Q1140,"")</f>
        <v/>
      </c>
      <c r="T1140">
        <f>IF(AND(Q1140&lt;&gt;"",ISNUMBER(F1140)),Q1140,"")</f>
        <v/>
      </c>
      <c r="U1140">
        <f>IF(AND(Q1140&lt;&gt;"",ISNUMBER(G1140)),Q1140,"")</f>
        <v/>
      </c>
      <c r="V1140">
        <f>IF(AND(Q1140&lt;&gt;"",ISNUMBER(H1140)),Q1140,"")</f>
        <v/>
      </c>
      <c r="W1140">
        <f>IF(AND(Q1140&lt;&gt;"",ISNUMBER(I1140)),Q1140,"")</f>
        <v/>
      </c>
      <c r="X1140">
        <f>IF(AND(Q1140&lt;&gt;"",ISNUMBER(J1140)),Q1140,"")</f>
        <v/>
      </c>
      <c r="Y1140">
        <f>IF(AND(Q1140&lt;&gt;"",ISNUMBER(K1140)),Q1140,"")</f>
        <v/>
      </c>
      <c r="Z1140">
        <f>IF(AND(Q1140&lt;&gt;"",ISNUMBER(L1140)),Q1140,"")</f>
        <v/>
      </c>
      <c r="AA1140">
        <f>IF(AND(Q1140&lt;&gt;"",ISNUMBER(M1140)),Q1140,"")</f>
        <v/>
      </c>
      <c r="AB1140">
        <f>IF(AND(Q1140&lt;&gt;"",ISNUMBER(K1140)),K1140,"")</f>
        <v/>
      </c>
      <c r="AC1140">
        <f>IF(AND(Q1140&lt;&gt;"",ISNUMBER(L1140)),L1140,"")</f>
        <v/>
      </c>
      <c r="AD1140">
        <f>IF(AND(Q1140&lt;&gt;"",ISNUMBER(M1140)),M1140,"")</f>
        <v/>
      </c>
    </row>
    <row r="1141">
      <c r="A1141" s="1" t="n"/>
      <c r="B1141" s="17" t="n"/>
      <c r="C1141" s="27" t="n"/>
      <c r="D1141" s="28" t="n"/>
      <c r="E1141" s="28" t="n"/>
      <c r="F1141" s="28" t="n"/>
      <c r="G1141" s="28" t="n"/>
      <c r="H1141" s="28" t="n"/>
      <c r="I1141" s="28" t="n"/>
      <c r="J1141" s="28" t="n"/>
      <c r="K1141" s="28" t="n"/>
      <c r="L1141" s="28" t="n"/>
      <c r="M1141" s="29" t="n"/>
      <c r="N1141" s="21" t="n"/>
      <c r="O1141" s="12">
        <f>IF(AND(B1141="",C1141=""),"",IF(NOT(ISNUMBER(B1141)),"Needs a date",IF(C1141="","Needs a client",IF(COUNTIF(Clients!$B$6:$B$105,C1141)=0,"Not on Clients",IF(COUNT(D1141:M1141)=0,"Nothing measured","")))))</f>
        <v/>
      </c>
      <c r="P1141" s="1">
        <f>IF(AND(O1141="",ISNUMBER(B1141)),INT(B1141),0)</f>
        <v/>
      </c>
      <c r="Q1141">
        <f>IF(AND(P1141&gt;0,C1141=Report!$C$5),P1141*10000+ROW(),"")</f>
        <v/>
      </c>
      <c r="R1141">
        <f>IF(AND(Q1141&lt;&gt;"",ISNUMBER(D1141)),Q1141,"")</f>
        <v/>
      </c>
      <c r="S1141">
        <f>IF(AND(Q1141&lt;&gt;"",ISNUMBER(E1141)),Q1141,"")</f>
        <v/>
      </c>
      <c r="T1141">
        <f>IF(AND(Q1141&lt;&gt;"",ISNUMBER(F1141)),Q1141,"")</f>
        <v/>
      </c>
      <c r="U1141">
        <f>IF(AND(Q1141&lt;&gt;"",ISNUMBER(G1141)),Q1141,"")</f>
        <v/>
      </c>
      <c r="V1141">
        <f>IF(AND(Q1141&lt;&gt;"",ISNUMBER(H1141)),Q1141,"")</f>
        <v/>
      </c>
      <c r="W1141">
        <f>IF(AND(Q1141&lt;&gt;"",ISNUMBER(I1141)),Q1141,"")</f>
        <v/>
      </c>
      <c r="X1141">
        <f>IF(AND(Q1141&lt;&gt;"",ISNUMBER(J1141)),Q1141,"")</f>
        <v/>
      </c>
      <c r="Y1141">
        <f>IF(AND(Q1141&lt;&gt;"",ISNUMBER(K1141)),Q1141,"")</f>
        <v/>
      </c>
      <c r="Z1141">
        <f>IF(AND(Q1141&lt;&gt;"",ISNUMBER(L1141)),Q1141,"")</f>
        <v/>
      </c>
      <c r="AA1141">
        <f>IF(AND(Q1141&lt;&gt;"",ISNUMBER(M1141)),Q1141,"")</f>
        <v/>
      </c>
      <c r="AB1141">
        <f>IF(AND(Q1141&lt;&gt;"",ISNUMBER(K1141)),K1141,"")</f>
        <v/>
      </c>
      <c r="AC1141">
        <f>IF(AND(Q1141&lt;&gt;"",ISNUMBER(L1141)),L1141,"")</f>
        <v/>
      </c>
      <c r="AD1141">
        <f>IF(AND(Q1141&lt;&gt;"",ISNUMBER(M1141)),M1141,"")</f>
        <v/>
      </c>
    </row>
    <row r="1142">
      <c r="A1142" s="1" t="n"/>
      <c r="B1142" s="17" t="n"/>
      <c r="C1142" s="27" t="n"/>
      <c r="D1142" s="28" t="n"/>
      <c r="E1142" s="28" t="n"/>
      <c r="F1142" s="28" t="n"/>
      <c r="G1142" s="28" t="n"/>
      <c r="H1142" s="28" t="n"/>
      <c r="I1142" s="28" t="n"/>
      <c r="J1142" s="28" t="n"/>
      <c r="K1142" s="28" t="n"/>
      <c r="L1142" s="28" t="n"/>
      <c r="M1142" s="29" t="n"/>
      <c r="N1142" s="21" t="n"/>
      <c r="O1142" s="12">
        <f>IF(AND(B1142="",C1142=""),"",IF(NOT(ISNUMBER(B1142)),"Needs a date",IF(C1142="","Needs a client",IF(COUNTIF(Clients!$B$6:$B$105,C1142)=0,"Not on Clients",IF(COUNT(D1142:M1142)=0,"Nothing measured","")))))</f>
        <v/>
      </c>
      <c r="P1142" s="1">
        <f>IF(AND(O1142="",ISNUMBER(B1142)),INT(B1142),0)</f>
        <v/>
      </c>
      <c r="Q1142">
        <f>IF(AND(P1142&gt;0,C1142=Report!$C$5),P1142*10000+ROW(),"")</f>
        <v/>
      </c>
      <c r="R1142">
        <f>IF(AND(Q1142&lt;&gt;"",ISNUMBER(D1142)),Q1142,"")</f>
        <v/>
      </c>
      <c r="S1142">
        <f>IF(AND(Q1142&lt;&gt;"",ISNUMBER(E1142)),Q1142,"")</f>
        <v/>
      </c>
      <c r="T1142">
        <f>IF(AND(Q1142&lt;&gt;"",ISNUMBER(F1142)),Q1142,"")</f>
        <v/>
      </c>
      <c r="U1142">
        <f>IF(AND(Q1142&lt;&gt;"",ISNUMBER(G1142)),Q1142,"")</f>
        <v/>
      </c>
      <c r="V1142">
        <f>IF(AND(Q1142&lt;&gt;"",ISNUMBER(H1142)),Q1142,"")</f>
        <v/>
      </c>
      <c r="W1142">
        <f>IF(AND(Q1142&lt;&gt;"",ISNUMBER(I1142)),Q1142,"")</f>
        <v/>
      </c>
      <c r="X1142">
        <f>IF(AND(Q1142&lt;&gt;"",ISNUMBER(J1142)),Q1142,"")</f>
        <v/>
      </c>
      <c r="Y1142">
        <f>IF(AND(Q1142&lt;&gt;"",ISNUMBER(K1142)),Q1142,"")</f>
        <v/>
      </c>
      <c r="Z1142">
        <f>IF(AND(Q1142&lt;&gt;"",ISNUMBER(L1142)),Q1142,"")</f>
        <v/>
      </c>
      <c r="AA1142">
        <f>IF(AND(Q1142&lt;&gt;"",ISNUMBER(M1142)),Q1142,"")</f>
        <v/>
      </c>
      <c r="AB1142">
        <f>IF(AND(Q1142&lt;&gt;"",ISNUMBER(K1142)),K1142,"")</f>
        <v/>
      </c>
      <c r="AC1142">
        <f>IF(AND(Q1142&lt;&gt;"",ISNUMBER(L1142)),L1142,"")</f>
        <v/>
      </c>
      <c r="AD1142">
        <f>IF(AND(Q1142&lt;&gt;"",ISNUMBER(M1142)),M1142,"")</f>
        <v/>
      </c>
    </row>
    <row r="1143">
      <c r="A1143" s="1" t="n"/>
      <c r="B1143" s="17" t="n"/>
      <c r="C1143" s="27" t="n"/>
      <c r="D1143" s="28" t="n"/>
      <c r="E1143" s="28" t="n"/>
      <c r="F1143" s="28" t="n"/>
      <c r="G1143" s="28" t="n"/>
      <c r="H1143" s="28" t="n"/>
      <c r="I1143" s="28" t="n"/>
      <c r="J1143" s="28" t="n"/>
      <c r="K1143" s="28" t="n"/>
      <c r="L1143" s="28" t="n"/>
      <c r="M1143" s="29" t="n"/>
      <c r="N1143" s="21" t="n"/>
      <c r="O1143" s="12">
        <f>IF(AND(B1143="",C1143=""),"",IF(NOT(ISNUMBER(B1143)),"Needs a date",IF(C1143="","Needs a client",IF(COUNTIF(Clients!$B$6:$B$105,C1143)=0,"Not on Clients",IF(COUNT(D1143:M1143)=0,"Nothing measured","")))))</f>
        <v/>
      </c>
      <c r="P1143" s="1">
        <f>IF(AND(O1143="",ISNUMBER(B1143)),INT(B1143),0)</f>
        <v/>
      </c>
      <c r="Q1143">
        <f>IF(AND(P1143&gt;0,C1143=Report!$C$5),P1143*10000+ROW(),"")</f>
        <v/>
      </c>
      <c r="R1143">
        <f>IF(AND(Q1143&lt;&gt;"",ISNUMBER(D1143)),Q1143,"")</f>
        <v/>
      </c>
      <c r="S1143">
        <f>IF(AND(Q1143&lt;&gt;"",ISNUMBER(E1143)),Q1143,"")</f>
        <v/>
      </c>
      <c r="T1143">
        <f>IF(AND(Q1143&lt;&gt;"",ISNUMBER(F1143)),Q1143,"")</f>
        <v/>
      </c>
      <c r="U1143">
        <f>IF(AND(Q1143&lt;&gt;"",ISNUMBER(G1143)),Q1143,"")</f>
        <v/>
      </c>
      <c r="V1143">
        <f>IF(AND(Q1143&lt;&gt;"",ISNUMBER(H1143)),Q1143,"")</f>
        <v/>
      </c>
      <c r="W1143">
        <f>IF(AND(Q1143&lt;&gt;"",ISNUMBER(I1143)),Q1143,"")</f>
        <v/>
      </c>
      <c r="X1143">
        <f>IF(AND(Q1143&lt;&gt;"",ISNUMBER(J1143)),Q1143,"")</f>
        <v/>
      </c>
      <c r="Y1143">
        <f>IF(AND(Q1143&lt;&gt;"",ISNUMBER(K1143)),Q1143,"")</f>
        <v/>
      </c>
      <c r="Z1143">
        <f>IF(AND(Q1143&lt;&gt;"",ISNUMBER(L1143)),Q1143,"")</f>
        <v/>
      </c>
      <c r="AA1143">
        <f>IF(AND(Q1143&lt;&gt;"",ISNUMBER(M1143)),Q1143,"")</f>
        <v/>
      </c>
      <c r="AB1143">
        <f>IF(AND(Q1143&lt;&gt;"",ISNUMBER(K1143)),K1143,"")</f>
        <v/>
      </c>
      <c r="AC1143">
        <f>IF(AND(Q1143&lt;&gt;"",ISNUMBER(L1143)),L1143,"")</f>
        <v/>
      </c>
      <c r="AD1143">
        <f>IF(AND(Q1143&lt;&gt;"",ISNUMBER(M1143)),M1143,"")</f>
        <v/>
      </c>
    </row>
    <row r="1144">
      <c r="A1144" s="1" t="n"/>
      <c r="B1144" s="17" t="n"/>
      <c r="C1144" s="27" t="n"/>
      <c r="D1144" s="28" t="n"/>
      <c r="E1144" s="28" t="n"/>
      <c r="F1144" s="28" t="n"/>
      <c r="G1144" s="28" t="n"/>
      <c r="H1144" s="28" t="n"/>
      <c r="I1144" s="28" t="n"/>
      <c r="J1144" s="28" t="n"/>
      <c r="K1144" s="28" t="n"/>
      <c r="L1144" s="28" t="n"/>
      <c r="M1144" s="29" t="n"/>
      <c r="N1144" s="21" t="n"/>
      <c r="O1144" s="12">
        <f>IF(AND(B1144="",C1144=""),"",IF(NOT(ISNUMBER(B1144)),"Needs a date",IF(C1144="","Needs a client",IF(COUNTIF(Clients!$B$6:$B$105,C1144)=0,"Not on Clients",IF(COUNT(D1144:M1144)=0,"Nothing measured","")))))</f>
        <v/>
      </c>
      <c r="P1144" s="1">
        <f>IF(AND(O1144="",ISNUMBER(B1144)),INT(B1144),0)</f>
        <v/>
      </c>
      <c r="Q1144">
        <f>IF(AND(P1144&gt;0,C1144=Report!$C$5),P1144*10000+ROW(),"")</f>
        <v/>
      </c>
      <c r="R1144">
        <f>IF(AND(Q1144&lt;&gt;"",ISNUMBER(D1144)),Q1144,"")</f>
        <v/>
      </c>
      <c r="S1144">
        <f>IF(AND(Q1144&lt;&gt;"",ISNUMBER(E1144)),Q1144,"")</f>
        <v/>
      </c>
      <c r="T1144">
        <f>IF(AND(Q1144&lt;&gt;"",ISNUMBER(F1144)),Q1144,"")</f>
        <v/>
      </c>
      <c r="U1144">
        <f>IF(AND(Q1144&lt;&gt;"",ISNUMBER(G1144)),Q1144,"")</f>
        <v/>
      </c>
      <c r="V1144">
        <f>IF(AND(Q1144&lt;&gt;"",ISNUMBER(H1144)),Q1144,"")</f>
        <v/>
      </c>
      <c r="W1144">
        <f>IF(AND(Q1144&lt;&gt;"",ISNUMBER(I1144)),Q1144,"")</f>
        <v/>
      </c>
      <c r="X1144">
        <f>IF(AND(Q1144&lt;&gt;"",ISNUMBER(J1144)),Q1144,"")</f>
        <v/>
      </c>
      <c r="Y1144">
        <f>IF(AND(Q1144&lt;&gt;"",ISNUMBER(K1144)),Q1144,"")</f>
        <v/>
      </c>
      <c r="Z1144">
        <f>IF(AND(Q1144&lt;&gt;"",ISNUMBER(L1144)),Q1144,"")</f>
        <v/>
      </c>
      <c r="AA1144">
        <f>IF(AND(Q1144&lt;&gt;"",ISNUMBER(M1144)),Q1144,"")</f>
        <v/>
      </c>
      <c r="AB1144">
        <f>IF(AND(Q1144&lt;&gt;"",ISNUMBER(K1144)),K1144,"")</f>
        <v/>
      </c>
      <c r="AC1144">
        <f>IF(AND(Q1144&lt;&gt;"",ISNUMBER(L1144)),L1144,"")</f>
        <v/>
      </c>
      <c r="AD1144">
        <f>IF(AND(Q1144&lt;&gt;"",ISNUMBER(M1144)),M1144,"")</f>
        <v/>
      </c>
    </row>
    <row r="1145">
      <c r="A1145" s="1" t="n"/>
      <c r="B1145" s="17" t="n"/>
      <c r="C1145" s="27" t="n"/>
      <c r="D1145" s="28" t="n"/>
      <c r="E1145" s="28" t="n"/>
      <c r="F1145" s="28" t="n"/>
      <c r="G1145" s="28" t="n"/>
      <c r="H1145" s="28" t="n"/>
      <c r="I1145" s="28" t="n"/>
      <c r="J1145" s="28" t="n"/>
      <c r="K1145" s="28" t="n"/>
      <c r="L1145" s="28" t="n"/>
      <c r="M1145" s="29" t="n"/>
      <c r="N1145" s="21" t="n"/>
      <c r="O1145" s="12">
        <f>IF(AND(B1145="",C1145=""),"",IF(NOT(ISNUMBER(B1145)),"Needs a date",IF(C1145="","Needs a client",IF(COUNTIF(Clients!$B$6:$B$105,C1145)=0,"Not on Clients",IF(COUNT(D1145:M1145)=0,"Nothing measured","")))))</f>
        <v/>
      </c>
      <c r="P1145" s="1">
        <f>IF(AND(O1145="",ISNUMBER(B1145)),INT(B1145),0)</f>
        <v/>
      </c>
      <c r="Q1145">
        <f>IF(AND(P1145&gt;0,C1145=Report!$C$5),P1145*10000+ROW(),"")</f>
        <v/>
      </c>
      <c r="R1145">
        <f>IF(AND(Q1145&lt;&gt;"",ISNUMBER(D1145)),Q1145,"")</f>
        <v/>
      </c>
      <c r="S1145">
        <f>IF(AND(Q1145&lt;&gt;"",ISNUMBER(E1145)),Q1145,"")</f>
        <v/>
      </c>
      <c r="T1145">
        <f>IF(AND(Q1145&lt;&gt;"",ISNUMBER(F1145)),Q1145,"")</f>
        <v/>
      </c>
      <c r="U1145">
        <f>IF(AND(Q1145&lt;&gt;"",ISNUMBER(G1145)),Q1145,"")</f>
        <v/>
      </c>
      <c r="V1145">
        <f>IF(AND(Q1145&lt;&gt;"",ISNUMBER(H1145)),Q1145,"")</f>
        <v/>
      </c>
      <c r="W1145">
        <f>IF(AND(Q1145&lt;&gt;"",ISNUMBER(I1145)),Q1145,"")</f>
        <v/>
      </c>
      <c r="X1145">
        <f>IF(AND(Q1145&lt;&gt;"",ISNUMBER(J1145)),Q1145,"")</f>
        <v/>
      </c>
      <c r="Y1145">
        <f>IF(AND(Q1145&lt;&gt;"",ISNUMBER(K1145)),Q1145,"")</f>
        <v/>
      </c>
      <c r="Z1145">
        <f>IF(AND(Q1145&lt;&gt;"",ISNUMBER(L1145)),Q1145,"")</f>
        <v/>
      </c>
      <c r="AA1145">
        <f>IF(AND(Q1145&lt;&gt;"",ISNUMBER(M1145)),Q1145,"")</f>
        <v/>
      </c>
      <c r="AB1145">
        <f>IF(AND(Q1145&lt;&gt;"",ISNUMBER(K1145)),K1145,"")</f>
        <v/>
      </c>
      <c r="AC1145">
        <f>IF(AND(Q1145&lt;&gt;"",ISNUMBER(L1145)),L1145,"")</f>
        <v/>
      </c>
      <c r="AD1145">
        <f>IF(AND(Q1145&lt;&gt;"",ISNUMBER(M1145)),M1145,"")</f>
        <v/>
      </c>
    </row>
    <row r="1146">
      <c r="A1146" s="1" t="n"/>
      <c r="B1146" s="17" t="n"/>
      <c r="C1146" s="27" t="n"/>
      <c r="D1146" s="28" t="n"/>
      <c r="E1146" s="28" t="n"/>
      <c r="F1146" s="28" t="n"/>
      <c r="G1146" s="28" t="n"/>
      <c r="H1146" s="28" t="n"/>
      <c r="I1146" s="28" t="n"/>
      <c r="J1146" s="28" t="n"/>
      <c r="K1146" s="28" t="n"/>
      <c r="L1146" s="28" t="n"/>
      <c r="M1146" s="29" t="n"/>
      <c r="N1146" s="21" t="n"/>
      <c r="O1146" s="12">
        <f>IF(AND(B1146="",C1146=""),"",IF(NOT(ISNUMBER(B1146)),"Needs a date",IF(C1146="","Needs a client",IF(COUNTIF(Clients!$B$6:$B$105,C1146)=0,"Not on Clients",IF(COUNT(D1146:M1146)=0,"Nothing measured","")))))</f>
        <v/>
      </c>
      <c r="P1146" s="1">
        <f>IF(AND(O1146="",ISNUMBER(B1146)),INT(B1146),0)</f>
        <v/>
      </c>
      <c r="Q1146">
        <f>IF(AND(P1146&gt;0,C1146=Report!$C$5),P1146*10000+ROW(),"")</f>
        <v/>
      </c>
      <c r="R1146">
        <f>IF(AND(Q1146&lt;&gt;"",ISNUMBER(D1146)),Q1146,"")</f>
        <v/>
      </c>
      <c r="S1146">
        <f>IF(AND(Q1146&lt;&gt;"",ISNUMBER(E1146)),Q1146,"")</f>
        <v/>
      </c>
      <c r="T1146">
        <f>IF(AND(Q1146&lt;&gt;"",ISNUMBER(F1146)),Q1146,"")</f>
        <v/>
      </c>
      <c r="U1146">
        <f>IF(AND(Q1146&lt;&gt;"",ISNUMBER(G1146)),Q1146,"")</f>
        <v/>
      </c>
      <c r="V1146">
        <f>IF(AND(Q1146&lt;&gt;"",ISNUMBER(H1146)),Q1146,"")</f>
        <v/>
      </c>
      <c r="W1146">
        <f>IF(AND(Q1146&lt;&gt;"",ISNUMBER(I1146)),Q1146,"")</f>
        <v/>
      </c>
      <c r="X1146">
        <f>IF(AND(Q1146&lt;&gt;"",ISNUMBER(J1146)),Q1146,"")</f>
        <v/>
      </c>
      <c r="Y1146">
        <f>IF(AND(Q1146&lt;&gt;"",ISNUMBER(K1146)),Q1146,"")</f>
        <v/>
      </c>
      <c r="Z1146">
        <f>IF(AND(Q1146&lt;&gt;"",ISNUMBER(L1146)),Q1146,"")</f>
        <v/>
      </c>
      <c r="AA1146">
        <f>IF(AND(Q1146&lt;&gt;"",ISNUMBER(M1146)),Q1146,"")</f>
        <v/>
      </c>
      <c r="AB1146">
        <f>IF(AND(Q1146&lt;&gt;"",ISNUMBER(K1146)),K1146,"")</f>
        <v/>
      </c>
      <c r="AC1146">
        <f>IF(AND(Q1146&lt;&gt;"",ISNUMBER(L1146)),L1146,"")</f>
        <v/>
      </c>
      <c r="AD1146">
        <f>IF(AND(Q1146&lt;&gt;"",ISNUMBER(M1146)),M1146,"")</f>
        <v/>
      </c>
    </row>
    <row r="1147">
      <c r="A1147" s="1" t="n"/>
      <c r="B1147" s="17" t="n"/>
      <c r="C1147" s="27" t="n"/>
      <c r="D1147" s="28" t="n"/>
      <c r="E1147" s="28" t="n"/>
      <c r="F1147" s="28" t="n"/>
      <c r="G1147" s="28" t="n"/>
      <c r="H1147" s="28" t="n"/>
      <c r="I1147" s="28" t="n"/>
      <c r="J1147" s="28" t="n"/>
      <c r="K1147" s="28" t="n"/>
      <c r="L1147" s="28" t="n"/>
      <c r="M1147" s="29" t="n"/>
      <c r="N1147" s="21" t="n"/>
      <c r="O1147" s="12">
        <f>IF(AND(B1147="",C1147=""),"",IF(NOT(ISNUMBER(B1147)),"Needs a date",IF(C1147="","Needs a client",IF(COUNTIF(Clients!$B$6:$B$105,C1147)=0,"Not on Clients",IF(COUNT(D1147:M1147)=0,"Nothing measured","")))))</f>
        <v/>
      </c>
      <c r="P1147" s="1">
        <f>IF(AND(O1147="",ISNUMBER(B1147)),INT(B1147),0)</f>
        <v/>
      </c>
      <c r="Q1147">
        <f>IF(AND(P1147&gt;0,C1147=Report!$C$5),P1147*10000+ROW(),"")</f>
        <v/>
      </c>
      <c r="R1147">
        <f>IF(AND(Q1147&lt;&gt;"",ISNUMBER(D1147)),Q1147,"")</f>
        <v/>
      </c>
      <c r="S1147">
        <f>IF(AND(Q1147&lt;&gt;"",ISNUMBER(E1147)),Q1147,"")</f>
        <v/>
      </c>
      <c r="T1147">
        <f>IF(AND(Q1147&lt;&gt;"",ISNUMBER(F1147)),Q1147,"")</f>
        <v/>
      </c>
      <c r="U1147">
        <f>IF(AND(Q1147&lt;&gt;"",ISNUMBER(G1147)),Q1147,"")</f>
        <v/>
      </c>
      <c r="V1147">
        <f>IF(AND(Q1147&lt;&gt;"",ISNUMBER(H1147)),Q1147,"")</f>
        <v/>
      </c>
      <c r="W1147">
        <f>IF(AND(Q1147&lt;&gt;"",ISNUMBER(I1147)),Q1147,"")</f>
        <v/>
      </c>
      <c r="X1147">
        <f>IF(AND(Q1147&lt;&gt;"",ISNUMBER(J1147)),Q1147,"")</f>
        <v/>
      </c>
      <c r="Y1147">
        <f>IF(AND(Q1147&lt;&gt;"",ISNUMBER(K1147)),Q1147,"")</f>
        <v/>
      </c>
      <c r="Z1147">
        <f>IF(AND(Q1147&lt;&gt;"",ISNUMBER(L1147)),Q1147,"")</f>
        <v/>
      </c>
      <c r="AA1147">
        <f>IF(AND(Q1147&lt;&gt;"",ISNUMBER(M1147)),Q1147,"")</f>
        <v/>
      </c>
      <c r="AB1147">
        <f>IF(AND(Q1147&lt;&gt;"",ISNUMBER(K1147)),K1147,"")</f>
        <v/>
      </c>
      <c r="AC1147">
        <f>IF(AND(Q1147&lt;&gt;"",ISNUMBER(L1147)),L1147,"")</f>
        <v/>
      </c>
      <c r="AD1147">
        <f>IF(AND(Q1147&lt;&gt;"",ISNUMBER(M1147)),M1147,"")</f>
        <v/>
      </c>
    </row>
    <row r="1148">
      <c r="A1148" s="1" t="n"/>
      <c r="B1148" s="17" t="n"/>
      <c r="C1148" s="27" t="n"/>
      <c r="D1148" s="28" t="n"/>
      <c r="E1148" s="28" t="n"/>
      <c r="F1148" s="28" t="n"/>
      <c r="G1148" s="28" t="n"/>
      <c r="H1148" s="28" t="n"/>
      <c r="I1148" s="28" t="n"/>
      <c r="J1148" s="28" t="n"/>
      <c r="K1148" s="28" t="n"/>
      <c r="L1148" s="28" t="n"/>
      <c r="M1148" s="29" t="n"/>
      <c r="N1148" s="21" t="n"/>
      <c r="O1148" s="12">
        <f>IF(AND(B1148="",C1148=""),"",IF(NOT(ISNUMBER(B1148)),"Needs a date",IF(C1148="","Needs a client",IF(COUNTIF(Clients!$B$6:$B$105,C1148)=0,"Not on Clients",IF(COUNT(D1148:M1148)=0,"Nothing measured","")))))</f>
        <v/>
      </c>
      <c r="P1148" s="1">
        <f>IF(AND(O1148="",ISNUMBER(B1148)),INT(B1148),0)</f>
        <v/>
      </c>
      <c r="Q1148">
        <f>IF(AND(P1148&gt;0,C1148=Report!$C$5),P1148*10000+ROW(),"")</f>
        <v/>
      </c>
      <c r="R1148">
        <f>IF(AND(Q1148&lt;&gt;"",ISNUMBER(D1148)),Q1148,"")</f>
        <v/>
      </c>
      <c r="S1148">
        <f>IF(AND(Q1148&lt;&gt;"",ISNUMBER(E1148)),Q1148,"")</f>
        <v/>
      </c>
      <c r="T1148">
        <f>IF(AND(Q1148&lt;&gt;"",ISNUMBER(F1148)),Q1148,"")</f>
        <v/>
      </c>
      <c r="U1148">
        <f>IF(AND(Q1148&lt;&gt;"",ISNUMBER(G1148)),Q1148,"")</f>
        <v/>
      </c>
      <c r="V1148">
        <f>IF(AND(Q1148&lt;&gt;"",ISNUMBER(H1148)),Q1148,"")</f>
        <v/>
      </c>
      <c r="W1148">
        <f>IF(AND(Q1148&lt;&gt;"",ISNUMBER(I1148)),Q1148,"")</f>
        <v/>
      </c>
      <c r="X1148">
        <f>IF(AND(Q1148&lt;&gt;"",ISNUMBER(J1148)),Q1148,"")</f>
        <v/>
      </c>
      <c r="Y1148">
        <f>IF(AND(Q1148&lt;&gt;"",ISNUMBER(K1148)),Q1148,"")</f>
        <v/>
      </c>
      <c r="Z1148">
        <f>IF(AND(Q1148&lt;&gt;"",ISNUMBER(L1148)),Q1148,"")</f>
        <v/>
      </c>
      <c r="AA1148">
        <f>IF(AND(Q1148&lt;&gt;"",ISNUMBER(M1148)),Q1148,"")</f>
        <v/>
      </c>
      <c r="AB1148">
        <f>IF(AND(Q1148&lt;&gt;"",ISNUMBER(K1148)),K1148,"")</f>
        <v/>
      </c>
      <c r="AC1148">
        <f>IF(AND(Q1148&lt;&gt;"",ISNUMBER(L1148)),L1148,"")</f>
        <v/>
      </c>
      <c r="AD1148">
        <f>IF(AND(Q1148&lt;&gt;"",ISNUMBER(M1148)),M1148,"")</f>
        <v/>
      </c>
    </row>
    <row r="1149">
      <c r="A1149" s="1" t="n"/>
      <c r="B1149" s="17" t="n"/>
      <c r="C1149" s="27" t="n"/>
      <c r="D1149" s="28" t="n"/>
      <c r="E1149" s="28" t="n"/>
      <c r="F1149" s="28" t="n"/>
      <c r="G1149" s="28" t="n"/>
      <c r="H1149" s="28" t="n"/>
      <c r="I1149" s="28" t="n"/>
      <c r="J1149" s="28" t="n"/>
      <c r="K1149" s="28" t="n"/>
      <c r="L1149" s="28" t="n"/>
      <c r="M1149" s="29" t="n"/>
      <c r="N1149" s="21" t="n"/>
      <c r="O1149" s="12">
        <f>IF(AND(B1149="",C1149=""),"",IF(NOT(ISNUMBER(B1149)),"Needs a date",IF(C1149="","Needs a client",IF(COUNTIF(Clients!$B$6:$B$105,C1149)=0,"Not on Clients",IF(COUNT(D1149:M1149)=0,"Nothing measured","")))))</f>
        <v/>
      </c>
      <c r="P1149" s="1">
        <f>IF(AND(O1149="",ISNUMBER(B1149)),INT(B1149),0)</f>
        <v/>
      </c>
      <c r="Q1149">
        <f>IF(AND(P1149&gt;0,C1149=Report!$C$5),P1149*10000+ROW(),"")</f>
        <v/>
      </c>
      <c r="R1149">
        <f>IF(AND(Q1149&lt;&gt;"",ISNUMBER(D1149)),Q1149,"")</f>
        <v/>
      </c>
      <c r="S1149">
        <f>IF(AND(Q1149&lt;&gt;"",ISNUMBER(E1149)),Q1149,"")</f>
        <v/>
      </c>
      <c r="T1149">
        <f>IF(AND(Q1149&lt;&gt;"",ISNUMBER(F1149)),Q1149,"")</f>
        <v/>
      </c>
      <c r="U1149">
        <f>IF(AND(Q1149&lt;&gt;"",ISNUMBER(G1149)),Q1149,"")</f>
        <v/>
      </c>
      <c r="V1149">
        <f>IF(AND(Q1149&lt;&gt;"",ISNUMBER(H1149)),Q1149,"")</f>
        <v/>
      </c>
      <c r="W1149">
        <f>IF(AND(Q1149&lt;&gt;"",ISNUMBER(I1149)),Q1149,"")</f>
        <v/>
      </c>
      <c r="X1149">
        <f>IF(AND(Q1149&lt;&gt;"",ISNUMBER(J1149)),Q1149,"")</f>
        <v/>
      </c>
      <c r="Y1149">
        <f>IF(AND(Q1149&lt;&gt;"",ISNUMBER(K1149)),Q1149,"")</f>
        <v/>
      </c>
      <c r="Z1149">
        <f>IF(AND(Q1149&lt;&gt;"",ISNUMBER(L1149)),Q1149,"")</f>
        <v/>
      </c>
      <c r="AA1149">
        <f>IF(AND(Q1149&lt;&gt;"",ISNUMBER(M1149)),Q1149,"")</f>
        <v/>
      </c>
      <c r="AB1149">
        <f>IF(AND(Q1149&lt;&gt;"",ISNUMBER(K1149)),K1149,"")</f>
        <v/>
      </c>
      <c r="AC1149">
        <f>IF(AND(Q1149&lt;&gt;"",ISNUMBER(L1149)),L1149,"")</f>
        <v/>
      </c>
      <c r="AD1149">
        <f>IF(AND(Q1149&lt;&gt;"",ISNUMBER(M1149)),M1149,"")</f>
        <v/>
      </c>
    </row>
    <row r="1150">
      <c r="A1150" s="1" t="n"/>
      <c r="B1150" s="17" t="n"/>
      <c r="C1150" s="27" t="n"/>
      <c r="D1150" s="28" t="n"/>
      <c r="E1150" s="28" t="n"/>
      <c r="F1150" s="28" t="n"/>
      <c r="G1150" s="28" t="n"/>
      <c r="H1150" s="28" t="n"/>
      <c r="I1150" s="28" t="n"/>
      <c r="J1150" s="28" t="n"/>
      <c r="K1150" s="28" t="n"/>
      <c r="L1150" s="28" t="n"/>
      <c r="M1150" s="29" t="n"/>
      <c r="N1150" s="21" t="n"/>
      <c r="O1150" s="12">
        <f>IF(AND(B1150="",C1150=""),"",IF(NOT(ISNUMBER(B1150)),"Needs a date",IF(C1150="","Needs a client",IF(COUNTIF(Clients!$B$6:$B$105,C1150)=0,"Not on Clients",IF(COUNT(D1150:M1150)=0,"Nothing measured","")))))</f>
        <v/>
      </c>
      <c r="P1150" s="1">
        <f>IF(AND(O1150="",ISNUMBER(B1150)),INT(B1150),0)</f>
        <v/>
      </c>
      <c r="Q1150">
        <f>IF(AND(P1150&gt;0,C1150=Report!$C$5),P1150*10000+ROW(),"")</f>
        <v/>
      </c>
      <c r="R1150">
        <f>IF(AND(Q1150&lt;&gt;"",ISNUMBER(D1150)),Q1150,"")</f>
        <v/>
      </c>
      <c r="S1150">
        <f>IF(AND(Q1150&lt;&gt;"",ISNUMBER(E1150)),Q1150,"")</f>
        <v/>
      </c>
      <c r="T1150">
        <f>IF(AND(Q1150&lt;&gt;"",ISNUMBER(F1150)),Q1150,"")</f>
        <v/>
      </c>
      <c r="U1150">
        <f>IF(AND(Q1150&lt;&gt;"",ISNUMBER(G1150)),Q1150,"")</f>
        <v/>
      </c>
      <c r="V1150">
        <f>IF(AND(Q1150&lt;&gt;"",ISNUMBER(H1150)),Q1150,"")</f>
        <v/>
      </c>
      <c r="W1150">
        <f>IF(AND(Q1150&lt;&gt;"",ISNUMBER(I1150)),Q1150,"")</f>
        <v/>
      </c>
      <c r="X1150">
        <f>IF(AND(Q1150&lt;&gt;"",ISNUMBER(J1150)),Q1150,"")</f>
        <v/>
      </c>
      <c r="Y1150">
        <f>IF(AND(Q1150&lt;&gt;"",ISNUMBER(K1150)),Q1150,"")</f>
        <v/>
      </c>
      <c r="Z1150">
        <f>IF(AND(Q1150&lt;&gt;"",ISNUMBER(L1150)),Q1150,"")</f>
        <v/>
      </c>
      <c r="AA1150">
        <f>IF(AND(Q1150&lt;&gt;"",ISNUMBER(M1150)),Q1150,"")</f>
        <v/>
      </c>
      <c r="AB1150">
        <f>IF(AND(Q1150&lt;&gt;"",ISNUMBER(K1150)),K1150,"")</f>
        <v/>
      </c>
      <c r="AC1150">
        <f>IF(AND(Q1150&lt;&gt;"",ISNUMBER(L1150)),L1150,"")</f>
        <v/>
      </c>
      <c r="AD1150">
        <f>IF(AND(Q1150&lt;&gt;"",ISNUMBER(M1150)),M1150,"")</f>
        <v/>
      </c>
    </row>
    <row r="1151">
      <c r="A1151" s="1" t="n"/>
      <c r="B1151" s="17" t="n"/>
      <c r="C1151" s="27" t="n"/>
      <c r="D1151" s="28" t="n"/>
      <c r="E1151" s="28" t="n"/>
      <c r="F1151" s="28" t="n"/>
      <c r="G1151" s="28" t="n"/>
      <c r="H1151" s="28" t="n"/>
      <c r="I1151" s="28" t="n"/>
      <c r="J1151" s="28" t="n"/>
      <c r="K1151" s="28" t="n"/>
      <c r="L1151" s="28" t="n"/>
      <c r="M1151" s="29" t="n"/>
      <c r="N1151" s="21" t="n"/>
      <c r="O1151" s="12">
        <f>IF(AND(B1151="",C1151=""),"",IF(NOT(ISNUMBER(B1151)),"Needs a date",IF(C1151="","Needs a client",IF(COUNTIF(Clients!$B$6:$B$105,C1151)=0,"Not on Clients",IF(COUNT(D1151:M1151)=0,"Nothing measured","")))))</f>
        <v/>
      </c>
      <c r="P1151" s="1">
        <f>IF(AND(O1151="",ISNUMBER(B1151)),INT(B1151),0)</f>
        <v/>
      </c>
      <c r="Q1151">
        <f>IF(AND(P1151&gt;0,C1151=Report!$C$5),P1151*10000+ROW(),"")</f>
        <v/>
      </c>
      <c r="R1151">
        <f>IF(AND(Q1151&lt;&gt;"",ISNUMBER(D1151)),Q1151,"")</f>
        <v/>
      </c>
      <c r="S1151">
        <f>IF(AND(Q1151&lt;&gt;"",ISNUMBER(E1151)),Q1151,"")</f>
        <v/>
      </c>
      <c r="T1151">
        <f>IF(AND(Q1151&lt;&gt;"",ISNUMBER(F1151)),Q1151,"")</f>
        <v/>
      </c>
      <c r="U1151">
        <f>IF(AND(Q1151&lt;&gt;"",ISNUMBER(G1151)),Q1151,"")</f>
        <v/>
      </c>
      <c r="V1151">
        <f>IF(AND(Q1151&lt;&gt;"",ISNUMBER(H1151)),Q1151,"")</f>
        <v/>
      </c>
      <c r="W1151">
        <f>IF(AND(Q1151&lt;&gt;"",ISNUMBER(I1151)),Q1151,"")</f>
        <v/>
      </c>
      <c r="X1151">
        <f>IF(AND(Q1151&lt;&gt;"",ISNUMBER(J1151)),Q1151,"")</f>
        <v/>
      </c>
      <c r="Y1151">
        <f>IF(AND(Q1151&lt;&gt;"",ISNUMBER(K1151)),Q1151,"")</f>
        <v/>
      </c>
      <c r="Z1151">
        <f>IF(AND(Q1151&lt;&gt;"",ISNUMBER(L1151)),Q1151,"")</f>
        <v/>
      </c>
      <c r="AA1151">
        <f>IF(AND(Q1151&lt;&gt;"",ISNUMBER(M1151)),Q1151,"")</f>
        <v/>
      </c>
      <c r="AB1151">
        <f>IF(AND(Q1151&lt;&gt;"",ISNUMBER(K1151)),K1151,"")</f>
        <v/>
      </c>
      <c r="AC1151">
        <f>IF(AND(Q1151&lt;&gt;"",ISNUMBER(L1151)),L1151,"")</f>
        <v/>
      </c>
      <c r="AD1151">
        <f>IF(AND(Q1151&lt;&gt;"",ISNUMBER(M1151)),M1151,"")</f>
        <v/>
      </c>
    </row>
    <row r="1152">
      <c r="A1152" s="1" t="n"/>
      <c r="B1152" s="17" t="n"/>
      <c r="C1152" s="27" t="n"/>
      <c r="D1152" s="28" t="n"/>
      <c r="E1152" s="28" t="n"/>
      <c r="F1152" s="28" t="n"/>
      <c r="G1152" s="28" t="n"/>
      <c r="H1152" s="28" t="n"/>
      <c r="I1152" s="28" t="n"/>
      <c r="J1152" s="28" t="n"/>
      <c r="K1152" s="28" t="n"/>
      <c r="L1152" s="28" t="n"/>
      <c r="M1152" s="29" t="n"/>
      <c r="N1152" s="21" t="n"/>
      <c r="O1152" s="12">
        <f>IF(AND(B1152="",C1152=""),"",IF(NOT(ISNUMBER(B1152)),"Needs a date",IF(C1152="","Needs a client",IF(COUNTIF(Clients!$B$6:$B$105,C1152)=0,"Not on Clients",IF(COUNT(D1152:M1152)=0,"Nothing measured","")))))</f>
        <v/>
      </c>
      <c r="P1152" s="1">
        <f>IF(AND(O1152="",ISNUMBER(B1152)),INT(B1152),0)</f>
        <v/>
      </c>
      <c r="Q1152">
        <f>IF(AND(P1152&gt;0,C1152=Report!$C$5),P1152*10000+ROW(),"")</f>
        <v/>
      </c>
      <c r="R1152">
        <f>IF(AND(Q1152&lt;&gt;"",ISNUMBER(D1152)),Q1152,"")</f>
        <v/>
      </c>
      <c r="S1152">
        <f>IF(AND(Q1152&lt;&gt;"",ISNUMBER(E1152)),Q1152,"")</f>
        <v/>
      </c>
      <c r="T1152">
        <f>IF(AND(Q1152&lt;&gt;"",ISNUMBER(F1152)),Q1152,"")</f>
        <v/>
      </c>
      <c r="U1152">
        <f>IF(AND(Q1152&lt;&gt;"",ISNUMBER(G1152)),Q1152,"")</f>
        <v/>
      </c>
      <c r="V1152">
        <f>IF(AND(Q1152&lt;&gt;"",ISNUMBER(H1152)),Q1152,"")</f>
        <v/>
      </c>
      <c r="W1152">
        <f>IF(AND(Q1152&lt;&gt;"",ISNUMBER(I1152)),Q1152,"")</f>
        <v/>
      </c>
      <c r="X1152">
        <f>IF(AND(Q1152&lt;&gt;"",ISNUMBER(J1152)),Q1152,"")</f>
        <v/>
      </c>
      <c r="Y1152">
        <f>IF(AND(Q1152&lt;&gt;"",ISNUMBER(K1152)),Q1152,"")</f>
        <v/>
      </c>
      <c r="Z1152">
        <f>IF(AND(Q1152&lt;&gt;"",ISNUMBER(L1152)),Q1152,"")</f>
        <v/>
      </c>
      <c r="AA1152">
        <f>IF(AND(Q1152&lt;&gt;"",ISNUMBER(M1152)),Q1152,"")</f>
        <v/>
      </c>
      <c r="AB1152">
        <f>IF(AND(Q1152&lt;&gt;"",ISNUMBER(K1152)),K1152,"")</f>
        <v/>
      </c>
      <c r="AC1152">
        <f>IF(AND(Q1152&lt;&gt;"",ISNUMBER(L1152)),L1152,"")</f>
        <v/>
      </c>
      <c r="AD1152">
        <f>IF(AND(Q1152&lt;&gt;"",ISNUMBER(M1152)),M1152,"")</f>
        <v/>
      </c>
    </row>
    <row r="1153">
      <c r="A1153" s="1" t="n"/>
      <c r="B1153" s="17" t="n"/>
      <c r="C1153" s="27" t="n"/>
      <c r="D1153" s="28" t="n"/>
      <c r="E1153" s="28" t="n"/>
      <c r="F1153" s="28" t="n"/>
      <c r="G1153" s="28" t="n"/>
      <c r="H1153" s="28" t="n"/>
      <c r="I1153" s="28" t="n"/>
      <c r="J1153" s="28" t="n"/>
      <c r="K1153" s="28" t="n"/>
      <c r="L1153" s="28" t="n"/>
      <c r="M1153" s="29" t="n"/>
      <c r="N1153" s="21" t="n"/>
      <c r="O1153" s="12">
        <f>IF(AND(B1153="",C1153=""),"",IF(NOT(ISNUMBER(B1153)),"Needs a date",IF(C1153="","Needs a client",IF(COUNTIF(Clients!$B$6:$B$105,C1153)=0,"Not on Clients",IF(COUNT(D1153:M1153)=0,"Nothing measured","")))))</f>
        <v/>
      </c>
      <c r="P1153" s="1">
        <f>IF(AND(O1153="",ISNUMBER(B1153)),INT(B1153),0)</f>
        <v/>
      </c>
      <c r="Q1153">
        <f>IF(AND(P1153&gt;0,C1153=Report!$C$5),P1153*10000+ROW(),"")</f>
        <v/>
      </c>
      <c r="R1153">
        <f>IF(AND(Q1153&lt;&gt;"",ISNUMBER(D1153)),Q1153,"")</f>
        <v/>
      </c>
      <c r="S1153">
        <f>IF(AND(Q1153&lt;&gt;"",ISNUMBER(E1153)),Q1153,"")</f>
        <v/>
      </c>
      <c r="T1153">
        <f>IF(AND(Q1153&lt;&gt;"",ISNUMBER(F1153)),Q1153,"")</f>
        <v/>
      </c>
      <c r="U1153">
        <f>IF(AND(Q1153&lt;&gt;"",ISNUMBER(G1153)),Q1153,"")</f>
        <v/>
      </c>
      <c r="V1153">
        <f>IF(AND(Q1153&lt;&gt;"",ISNUMBER(H1153)),Q1153,"")</f>
        <v/>
      </c>
      <c r="W1153">
        <f>IF(AND(Q1153&lt;&gt;"",ISNUMBER(I1153)),Q1153,"")</f>
        <v/>
      </c>
      <c r="X1153">
        <f>IF(AND(Q1153&lt;&gt;"",ISNUMBER(J1153)),Q1153,"")</f>
        <v/>
      </c>
      <c r="Y1153">
        <f>IF(AND(Q1153&lt;&gt;"",ISNUMBER(K1153)),Q1153,"")</f>
        <v/>
      </c>
      <c r="Z1153">
        <f>IF(AND(Q1153&lt;&gt;"",ISNUMBER(L1153)),Q1153,"")</f>
        <v/>
      </c>
      <c r="AA1153">
        <f>IF(AND(Q1153&lt;&gt;"",ISNUMBER(M1153)),Q1153,"")</f>
        <v/>
      </c>
      <c r="AB1153">
        <f>IF(AND(Q1153&lt;&gt;"",ISNUMBER(K1153)),K1153,"")</f>
        <v/>
      </c>
      <c r="AC1153">
        <f>IF(AND(Q1153&lt;&gt;"",ISNUMBER(L1153)),L1153,"")</f>
        <v/>
      </c>
      <c r="AD1153">
        <f>IF(AND(Q1153&lt;&gt;"",ISNUMBER(M1153)),M1153,"")</f>
        <v/>
      </c>
    </row>
    <row r="1154">
      <c r="A1154" s="1" t="n"/>
      <c r="B1154" s="17" t="n"/>
      <c r="C1154" s="27" t="n"/>
      <c r="D1154" s="28" t="n"/>
      <c r="E1154" s="28" t="n"/>
      <c r="F1154" s="28" t="n"/>
      <c r="G1154" s="28" t="n"/>
      <c r="H1154" s="28" t="n"/>
      <c r="I1154" s="28" t="n"/>
      <c r="J1154" s="28" t="n"/>
      <c r="K1154" s="28" t="n"/>
      <c r="L1154" s="28" t="n"/>
      <c r="M1154" s="29" t="n"/>
      <c r="N1154" s="21" t="n"/>
      <c r="O1154" s="12">
        <f>IF(AND(B1154="",C1154=""),"",IF(NOT(ISNUMBER(B1154)),"Needs a date",IF(C1154="","Needs a client",IF(COUNTIF(Clients!$B$6:$B$105,C1154)=0,"Not on Clients",IF(COUNT(D1154:M1154)=0,"Nothing measured","")))))</f>
        <v/>
      </c>
      <c r="P1154" s="1">
        <f>IF(AND(O1154="",ISNUMBER(B1154)),INT(B1154),0)</f>
        <v/>
      </c>
      <c r="Q1154">
        <f>IF(AND(P1154&gt;0,C1154=Report!$C$5),P1154*10000+ROW(),"")</f>
        <v/>
      </c>
      <c r="R1154">
        <f>IF(AND(Q1154&lt;&gt;"",ISNUMBER(D1154)),Q1154,"")</f>
        <v/>
      </c>
      <c r="S1154">
        <f>IF(AND(Q1154&lt;&gt;"",ISNUMBER(E1154)),Q1154,"")</f>
        <v/>
      </c>
      <c r="T1154">
        <f>IF(AND(Q1154&lt;&gt;"",ISNUMBER(F1154)),Q1154,"")</f>
        <v/>
      </c>
      <c r="U1154">
        <f>IF(AND(Q1154&lt;&gt;"",ISNUMBER(G1154)),Q1154,"")</f>
        <v/>
      </c>
      <c r="V1154">
        <f>IF(AND(Q1154&lt;&gt;"",ISNUMBER(H1154)),Q1154,"")</f>
        <v/>
      </c>
      <c r="W1154">
        <f>IF(AND(Q1154&lt;&gt;"",ISNUMBER(I1154)),Q1154,"")</f>
        <v/>
      </c>
      <c r="X1154">
        <f>IF(AND(Q1154&lt;&gt;"",ISNUMBER(J1154)),Q1154,"")</f>
        <v/>
      </c>
      <c r="Y1154">
        <f>IF(AND(Q1154&lt;&gt;"",ISNUMBER(K1154)),Q1154,"")</f>
        <v/>
      </c>
      <c r="Z1154">
        <f>IF(AND(Q1154&lt;&gt;"",ISNUMBER(L1154)),Q1154,"")</f>
        <v/>
      </c>
      <c r="AA1154">
        <f>IF(AND(Q1154&lt;&gt;"",ISNUMBER(M1154)),Q1154,"")</f>
        <v/>
      </c>
      <c r="AB1154">
        <f>IF(AND(Q1154&lt;&gt;"",ISNUMBER(K1154)),K1154,"")</f>
        <v/>
      </c>
      <c r="AC1154">
        <f>IF(AND(Q1154&lt;&gt;"",ISNUMBER(L1154)),L1154,"")</f>
        <v/>
      </c>
      <c r="AD1154">
        <f>IF(AND(Q1154&lt;&gt;"",ISNUMBER(M1154)),M1154,"")</f>
        <v/>
      </c>
    </row>
    <row r="1155">
      <c r="A1155" s="1" t="n"/>
      <c r="B1155" s="17" t="n"/>
      <c r="C1155" s="27" t="n"/>
      <c r="D1155" s="28" t="n"/>
      <c r="E1155" s="28" t="n"/>
      <c r="F1155" s="28" t="n"/>
      <c r="G1155" s="28" t="n"/>
      <c r="H1155" s="28" t="n"/>
      <c r="I1155" s="28" t="n"/>
      <c r="J1155" s="28" t="n"/>
      <c r="K1155" s="28" t="n"/>
      <c r="L1155" s="28" t="n"/>
      <c r="M1155" s="29" t="n"/>
      <c r="N1155" s="21" t="n"/>
      <c r="O1155" s="12">
        <f>IF(AND(B1155="",C1155=""),"",IF(NOT(ISNUMBER(B1155)),"Needs a date",IF(C1155="","Needs a client",IF(COUNTIF(Clients!$B$6:$B$105,C1155)=0,"Not on Clients",IF(COUNT(D1155:M1155)=0,"Nothing measured","")))))</f>
        <v/>
      </c>
      <c r="P1155" s="1">
        <f>IF(AND(O1155="",ISNUMBER(B1155)),INT(B1155),0)</f>
        <v/>
      </c>
      <c r="Q1155">
        <f>IF(AND(P1155&gt;0,C1155=Report!$C$5),P1155*10000+ROW(),"")</f>
        <v/>
      </c>
      <c r="R1155">
        <f>IF(AND(Q1155&lt;&gt;"",ISNUMBER(D1155)),Q1155,"")</f>
        <v/>
      </c>
      <c r="S1155">
        <f>IF(AND(Q1155&lt;&gt;"",ISNUMBER(E1155)),Q1155,"")</f>
        <v/>
      </c>
      <c r="T1155">
        <f>IF(AND(Q1155&lt;&gt;"",ISNUMBER(F1155)),Q1155,"")</f>
        <v/>
      </c>
      <c r="U1155">
        <f>IF(AND(Q1155&lt;&gt;"",ISNUMBER(G1155)),Q1155,"")</f>
        <v/>
      </c>
      <c r="V1155">
        <f>IF(AND(Q1155&lt;&gt;"",ISNUMBER(H1155)),Q1155,"")</f>
        <v/>
      </c>
      <c r="W1155">
        <f>IF(AND(Q1155&lt;&gt;"",ISNUMBER(I1155)),Q1155,"")</f>
        <v/>
      </c>
      <c r="X1155">
        <f>IF(AND(Q1155&lt;&gt;"",ISNUMBER(J1155)),Q1155,"")</f>
        <v/>
      </c>
      <c r="Y1155">
        <f>IF(AND(Q1155&lt;&gt;"",ISNUMBER(K1155)),Q1155,"")</f>
        <v/>
      </c>
      <c r="Z1155">
        <f>IF(AND(Q1155&lt;&gt;"",ISNUMBER(L1155)),Q1155,"")</f>
        <v/>
      </c>
      <c r="AA1155">
        <f>IF(AND(Q1155&lt;&gt;"",ISNUMBER(M1155)),Q1155,"")</f>
        <v/>
      </c>
      <c r="AB1155">
        <f>IF(AND(Q1155&lt;&gt;"",ISNUMBER(K1155)),K1155,"")</f>
        <v/>
      </c>
      <c r="AC1155">
        <f>IF(AND(Q1155&lt;&gt;"",ISNUMBER(L1155)),L1155,"")</f>
        <v/>
      </c>
      <c r="AD1155">
        <f>IF(AND(Q1155&lt;&gt;"",ISNUMBER(M1155)),M1155,"")</f>
        <v/>
      </c>
    </row>
    <row r="1156">
      <c r="A1156" s="1" t="n"/>
      <c r="B1156" s="17" t="n"/>
      <c r="C1156" s="27" t="n"/>
      <c r="D1156" s="28" t="n"/>
      <c r="E1156" s="28" t="n"/>
      <c r="F1156" s="28" t="n"/>
      <c r="G1156" s="28" t="n"/>
      <c r="H1156" s="28" t="n"/>
      <c r="I1156" s="28" t="n"/>
      <c r="J1156" s="28" t="n"/>
      <c r="K1156" s="28" t="n"/>
      <c r="L1156" s="28" t="n"/>
      <c r="M1156" s="29" t="n"/>
      <c r="N1156" s="21" t="n"/>
      <c r="O1156" s="12">
        <f>IF(AND(B1156="",C1156=""),"",IF(NOT(ISNUMBER(B1156)),"Needs a date",IF(C1156="","Needs a client",IF(COUNTIF(Clients!$B$6:$B$105,C1156)=0,"Not on Clients",IF(COUNT(D1156:M1156)=0,"Nothing measured","")))))</f>
        <v/>
      </c>
      <c r="P1156" s="1">
        <f>IF(AND(O1156="",ISNUMBER(B1156)),INT(B1156),0)</f>
        <v/>
      </c>
      <c r="Q1156">
        <f>IF(AND(P1156&gt;0,C1156=Report!$C$5),P1156*10000+ROW(),"")</f>
        <v/>
      </c>
      <c r="R1156">
        <f>IF(AND(Q1156&lt;&gt;"",ISNUMBER(D1156)),Q1156,"")</f>
        <v/>
      </c>
      <c r="S1156">
        <f>IF(AND(Q1156&lt;&gt;"",ISNUMBER(E1156)),Q1156,"")</f>
        <v/>
      </c>
      <c r="T1156">
        <f>IF(AND(Q1156&lt;&gt;"",ISNUMBER(F1156)),Q1156,"")</f>
        <v/>
      </c>
      <c r="U1156">
        <f>IF(AND(Q1156&lt;&gt;"",ISNUMBER(G1156)),Q1156,"")</f>
        <v/>
      </c>
      <c r="V1156">
        <f>IF(AND(Q1156&lt;&gt;"",ISNUMBER(H1156)),Q1156,"")</f>
        <v/>
      </c>
      <c r="W1156">
        <f>IF(AND(Q1156&lt;&gt;"",ISNUMBER(I1156)),Q1156,"")</f>
        <v/>
      </c>
      <c r="X1156">
        <f>IF(AND(Q1156&lt;&gt;"",ISNUMBER(J1156)),Q1156,"")</f>
        <v/>
      </c>
      <c r="Y1156">
        <f>IF(AND(Q1156&lt;&gt;"",ISNUMBER(K1156)),Q1156,"")</f>
        <v/>
      </c>
      <c r="Z1156">
        <f>IF(AND(Q1156&lt;&gt;"",ISNUMBER(L1156)),Q1156,"")</f>
        <v/>
      </c>
      <c r="AA1156">
        <f>IF(AND(Q1156&lt;&gt;"",ISNUMBER(M1156)),Q1156,"")</f>
        <v/>
      </c>
      <c r="AB1156">
        <f>IF(AND(Q1156&lt;&gt;"",ISNUMBER(K1156)),K1156,"")</f>
        <v/>
      </c>
      <c r="AC1156">
        <f>IF(AND(Q1156&lt;&gt;"",ISNUMBER(L1156)),L1156,"")</f>
        <v/>
      </c>
      <c r="AD1156">
        <f>IF(AND(Q1156&lt;&gt;"",ISNUMBER(M1156)),M1156,"")</f>
        <v/>
      </c>
    </row>
    <row r="1157">
      <c r="A1157" s="1" t="n"/>
      <c r="B1157" s="17" t="n"/>
      <c r="C1157" s="27" t="n"/>
      <c r="D1157" s="28" t="n"/>
      <c r="E1157" s="28" t="n"/>
      <c r="F1157" s="28" t="n"/>
      <c r="G1157" s="28" t="n"/>
      <c r="H1157" s="28" t="n"/>
      <c r="I1157" s="28" t="n"/>
      <c r="J1157" s="28" t="n"/>
      <c r="K1157" s="28" t="n"/>
      <c r="L1157" s="28" t="n"/>
      <c r="M1157" s="29" t="n"/>
      <c r="N1157" s="21" t="n"/>
      <c r="O1157" s="12">
        <f>IF(AND(B1157="",C1157=""),"",IF(NOT(ISNUMBER(B1157)),"Needs a date",IF(C1157="","Needs a client",IF(COUNTIF(Clients!$B$6:$B$105,C1157)=0,"Not on Clients",IF(COUNT(D1157:M1157)=0,"Nothing measured","")))))</f>
        <v/>
      </c>
      <c r="P1157" s="1">
        <f>IF(AND(O1157="",ISNUMBER(B1157)),INT(B1157),0)</f>
        <v/>
      </c>
      <c r="Q1157">
        <f>IF(AND(P1157&gt;0,C1157=Report!$C$5),P1157*10000+ROW(),"")</f>
        <v/>
      </c>
      <c r="R1157">
        <f>IF(AND(Q1157&lt;&gt;"",ISNUMBER(D1157)),Q1157,"")</f>
        <v/>
      </c>
      <c r="S1157">
        <f>IF(AND(Q1157&lt;&gt;"",ISNUMBER(E1157)),Q1157,"")</f>
        <v/>
      </c>
      <c r="T1157">
        <f>IF(AND(Q1157&lt;&gt;"",ISNUMBER(F1157)),Q1157,"")</f>
        <v/>
      </c>
      <c r="U1157">
        <f>IF(AND(Q1157&lt;&gt;"",ISNUMBER(G1157)),Q1157,"")</f>
        <v/>
      </c>
      <c r="V1157">
        <f>IF(AND(Q1157&lt;&gt;"",ISNUMBER(H1157)),Q1157,"")</f>
        <v/>
      </c>
      <c r="W1157">
        <f>IF(AND(Q1157&lt;&gt;"",ISNUMBER(I1157)),Q1157,"")</f>
        <v/>
      </c>
      <c r="X1157">
        <f>IF(AND(Q1157&lt;&gt;"",ISNUMBER(J1157)),Q1157,"")</f>
        <v/>
      </c>
      <c r="Y1157">
        <f>IF(AND(Q1157&lt;&gt;"",ISNUMBER(K1157)),Q1157,"")</f>
        <v/>
      </c>
      <c r="Z1157">
        <f>IF(AND(Q1157&lt;&gt;"",ISNUMBER(L1157)),Q1157,"")</f>
        <v/>
      </c>
      <c r="AA1157">
        <f>IF(AND(Q1157&lt;&gt;"",ISNUMBER(M1157)),Q1157,"")</f>
        <v/>
      </c>
      <c r="AB1157">
        <f>IF(AND(Q1157&lt;&gt;"",ISNUMBER(K1157)),K1157,"")</f>
        <v/>
      </c>
      <c r="AC1157">
        <f>IF(AND(Q1157&lt;&gt;"",ISNUMBER(L1157)),L1157,"")</f>
        <v/>
      </c>
      <c r="AD1157">
        <f>IF(AND(Q1157&lt;&gt;"",ISNUMBER(M1157)),M1157,"")</f>
        <v/>
      </c>
    </row>
    <row r="1158">
      <c r="A1158" s="1" t="n"/>
      <c r="B1158" s="17" t="n"/>
      <c r="C1158" s="27" t="n"/>
      <c r="D1158" s="28" t="n"/>
      <c r="E1158" s="28" t="n"/>
      <c r="F1158" s="28" t="n"/>
      <c r="G1158" s="28" t="n"/>
      <c r="H1158" s="28" t="n"/>
      <c r="I1158" s="28" t="n"/>
      <c r="J1158" s="28" t="n"/>
      <c r="K1158" s="28" t="n"/>
      <c r="L1158" s="28" t="n"/>
      <c r="M1158" s="29" t="n"/>
      <c r="N1158" s="21" t="n"/>
      <c r="O1158" s="12">
        <f>IF(AND(B1158="",C1158=""),"",IF(NOT(ISNUMBER(B1158)),"Needs a date",IF(C1158="","Needs a client",IF(COUNTIF(Clients!$B$6:$B$105,C1158)=0,"Not on Clients",IF(COUNT(D1158:M1158)=0,"Nothing measured","")))))</f>
        <v/>
      </c>
      <c r="P1158" s="1">
        <f>IF(AND(O1158="",ISNUMBER(B1158)),INT(B1158),0)</f>
        <v/>
      </c>
      <c r="Q1158">
        <f>IF(AND(P1158&gt;0,C1158=Report!$C$5),P1158*10000+ROW(),"")</f>
        <v/>
      </c>
      <c r="R1158">
        <f>IF(AND(Q1158&lt;&gt;"",ISNUMBER(D1158)),Q1158,"")</f>
        <v/>
      </c>
      <c r="S1158">
        <f>IF(AND(Q1158&lt;&gt;"",ISNUMBER(E1158)),Q1158,"")</f>
        <v/>
      </c>
      <c r="T1158">
        <f>IF(AND(Q1158&lt;&gt;"",ISNUMBER(F1158)),Q1158,"")</f>
        <v/>
      </c>
      <c r="U1158">
        <f>IF(AND(Q1158&lt;&gt;"",ISNUMBER(G1158)),Q1158,"")</f>
        <v/>
      </c>
      <c r="V1158">
        <f>IF(AND(Q1158&lt;&gt;"",ISNUMBER(H1158)),Q1158,"")</f>
        <v/>
      </c>
      <c r="W1158">
        <f>IF(AND(Q1158&lt;&gt;"",ISNUMBER(I1158)),Q1158,"")</f>
        <v/>
      </c>
      <c r="X1158">
        <f>IF(AND(Q1158&lt;&gt;"",ISNUMBER(J1158)),Q1158,"")</f>
        <v/>
      </c>
      <c r="Y1158">
        <f>IF(AND(Q1158&lt;&gt;"",ISNUMBER(K1158)),Q1158,"")</f>
        <v/>
      </c>
      <c r="Z1158">
        <f>IF(AND(Q1158&lt;&gt;"",ISNUMBER(L1158)),Q1158,"")</f>
        <v/>
      </c>
      <c r="AA1158">
        <f>IF(AND(Q1158&lt;&gt;"",ISNUMBER(M1158)),Q1158,"")</f>
        <v/>
      </c>
      <c r="AB1158">
        <f>IF(AND(Q1158&lt;&gt;"",ISNUMBER(K1158)),K1158,"")</f>
        <v/>
      </c>
      <c r="AC1158">
        <f>IF(AND(Q1158&lt;&gt;"",ISNUMBER(L1158)),L1158,"")</f>
        <v/>
      </c>
      <c r="AD1158">
        <f>IF(AND(Q1158&lt;&gt;"",ISNUMBER(M1158)),M1158,"")</f>
        <v/>
      </c>
    </row>
    <row r="1159">
      <c r="A1159" s="1" t="n"/>
      <c r="B1159" s="17" t="n"/>
      <c r="C1159" s="27" t="n"/>
      <c r="D1159" s="28" t="n"/>
      <c r="E1159" s="28" t="n"/>
      <c r="F1159" s="28" t="n"/>
      <c r="G1159" s="28" t="n"/>
      <c r="H1159" s="28" t="n"/>
      <c r="I1159" s="28" t="n"/>
      <c r="J1159" s="28" t="n"/>
      <c r="K1159" s="28" t="n"/>
      <c r="L1159" s="28" t="n"/>
      <c r="M1159" s="29" t="n"/>
      <c r="N1159" s="21" t="n"/>
      <c r="O1159" s="12">
        <f>IF(AND(B1159="",C1159=""),"",IF(NOT(ISNUMBER(B1159)),"Needs a date",IF(C1159="","Needs a client",IF(COUNTIF(Clients!$B$6:$B$105,C1159)=0,"Not on Clients",IF(COUNT(D1159:M1159)=0,"Nothing measured","")))))</f>
        <v/>
      </c>
      <c r="P1159" s="1">
        <f>IF(AND(O1159="",ISNUMBER(B1159)),INT(B1159),0)</f>
        <v/>
      </c>
      <c r="Q1159">
        <f>IF(AND(P1159&gt;0,C1159=Report!$C$5),P1159*10000+ROW(),"")</f>
        <v/>
      </c>
      <c r="R1159">
        <f>IF(AND(Q1159&lt;&gt;"",ISNUMBER(D1159)),Q1159,"")</f>
        <v/>
      </c>
      <c r="S1159">
        <f>IF(AND(Q1159&lt;&gt;"",ISNUMBER(E1159)),Q1159,"")</f>
        <v/>
      </c>
      <c r="T1159">
        <f>IF(AND(Q1159&lt;&gt;"",ISNUMBER(F1159)),Q1159,"")</f>
        <v/>
      </c>
      <c r="U1159">
        <f>IF(AND(Q1159&lt;&gt;"",ISNUMBER(G1159)),Q1159,"")</f>
        <v/>
      </c>
      <c r="V1159">
        <f>IF(AND(Q1159&lt;&gt;"",ISNUMBER(H1159)),Q1159,"")</f>
        <v/>
      </c>
      <c r="W1159">
        <f>IF(AND(Q1159&lt;&gt;"",ISNUMBER(I1159)),Q1159,"")</f>
        <v/>
      </c>
      <c r="X1159">
        <f>IF(AND(Q1159&lt;&gt;"",ISNUMBER(J1159)),Q1159,"")</f>
        <v/>
      </c>
      <c r="Y1159">
        <f>IF(AND(Q1159&lt;&gt;"",ISNUMBER(K1159)),Q1159,"")</f>
        <v/>
      </c>
      <c r="Z1159">
        <f>IF(AND(Q1159&lt;&gt;"",ISNUMBER(L1159)),Q1159,"")</f>
        <v/>
      </c>
      <c r="AA1159">
        <f>IF(AND(Q1159&lt;&gt;"",ISNUMBER(M1159)),Q1159,"")</f>
        <v/>
      </c>
      <c r="AB1159">
        <f>IF(AND(Q1159&lt;&gt;"",ISNUMBER(K1159)),K1159,"")</f>
        <v/>
      </c>
      <c r="AC1159">
        <f>IF(AND(Q1159&lt;&gt;"",ISNUMBER(L1159)),L1159,"")</f>
        <v/>
      </c>
      <c r="AD1159">
        <f>IF(AND(Q1159&lt;&gt;"",ISNUMBER(M1159)),M1159,"")</f>
        <v/>
      </c>
    </row>
    <row r="1160">
      <c r="A1160" s="1" t="n"/>
      <c r="B1160" s="17" t="n"/>
      <c r="C1160" s="27" t="n"/>
      <c r="D1160" s="28" t="n"/>
      <c r="E1160" s="28" t="n"/>
      <c r="F1160" s="28" t="n"/>
      <c r="G1160" s="28" t="n"/>
      <c r="H1160" s="28" t="n"/>
      <c r="I1160" s="28" t="n"/>
      <c r="J1160" s="28" t="n"/>
      <c r="K1160" s="28" t="n"/>
      <c r="L1160" s="28" t="n"/>
      <c r="M1160" s="29" t="n"/>
      <c r="N1160" s="21" t="n"/>
      <c r="O1160" s="12">
        <f>IF(AND(B1160="",C1160=""),"",IF(NOT(ISNUMBER(B1160)),"Needs a date",IF(C1160="","Needs a client",IF(COUNTIF(Clients!$B$6:$B$105,C1160)=0,"Not on Clients",IF(COUNT(D1160:M1160)=0,"Nothing measured","")))))</f>
        <v/>
      </c>
      <c r="P1160" s="1">
        <f>IF(AND(O1160="",ISNUMBER(B1160)),INT(B1160),0)</f>
        <v/>
      </c>
      <c r="Q1160">
        <f>IF(AND(P1160&gt;0,C1160=Report!$C$5),P1160*10000+ROW(),"")</f>
        <v/>
      </c>
      <c r="R1160">
        <f>IF(AND(Q1160&lt;&gt;"",ISNUMBER(D1160)),Q1160,"")</f>
        <v/>
      </c>
      <c r="S1160">
        <f>IF(AND(Q1160&lt;&gt;"",ISNUMBER(E1160)),Q1160,"")</f>
        <v/>
      </c>
      <c r="T1160">
        <f>IF(AND(Q1160&lt;&gt;"",ISNUMBER(F1160)),Q1160,"")</f>
        <v/>
      </c>
      <c r="U1160">
        <f>IF(AND(Q1160&lt;&gt;"",ISNUMBER(G1160)),Q1160,"")</f>
        <v/>
      </c>
      <c r="V1160">
        <f>IF(AND(Q1160&lt;&gt;"",ISNUMBER(H1160)),Q1160,"")</f>
        <v/>
      </c>
      <c r="W1160">
        <f>IF(AND(Q1160&lt;&gt;"",ISNUMBER(I1160)),Q1160,"")</f>
        <v/>
      </c>
      <c r="X1160">
        <f>IF(AND(Q1160&lt;&gt;"",ISNUMBER(J1160)),Q1160,"")</f>
        <v/>
      </c>
      <c r="Y1160">
        <f>IF(AND(Q1160&lt;&gt;"",ISNUMBER(K1160)),Q1160,"")</f>
        <v/>
      </c>
      <c r="Z1160">
        <f>IF(AND(Q1160&lt;&gt;"",ISNUMBER(L1160)),Q1160,"")</f>
        <v/>
      </c>
      <c r="AA1160">
        <f>IF(AND(Q1160&lt;&gt;"",ISNUMBER(M1160)),Q1160,"")</f>
        <v/>
      </c>
      <c r="AB1160">
        <f>IF(AND(Q1160&lt;&gt;"",ISNUMBER(K1160)),K1160,"")</f>
        <v/>
      </c>
      <c r="AC1160">
        <f>IF(AND(Q1160&lt;&gt;"",ISNUMBER(L1160)),L1160,"")</f>
        <v/>
      </c>
      <c r="AD1160">
        <f>IF(AND(Q1160&lt;&gt;"",ISNUMBER(M1160)),M1160,"")</f>
        <v/>
      </c>
    </row>
    <row r="1161">
      <c r="A1161" s="1" t="n"/>
      <c r="B1161" s="17" t="n"/>
      <c r="C1161" s="27" t="n"/>
      <c r="D1161" s="28" t="n"/>
      <c r="E1161" s="28" t="n"/>
      <c r="F1161" s="28" t="n"/>
      <c r="G1161" s="28" t="n"/>
      <c r="H1161" s="28" t="n"/>
      <c r="I1161" s="28" t="n"/>
      <c r="J1161" s="28" t="n"/>
      <c r="K1161" s="28" t="n"/>
      <c r="L1161" s="28" t="n"/>
      <c r="M1161" s="29" t="n"/>
      <c r="N1161" s="21" t="n"/>
      <c r="O1161" s="12">
        <f>IF(AND(B1161="",C1161=""),"",IF(NOT(ISNUMBER(B1161)),"Needs a date",IF(C1161="","Needs a client",IF(COUNTIF(Clients!$B$6:$B$105,C1161)=0,"Not on Clients",IF(COUNT(D1161:M1161)=0,"Nothing measured","")))))</f>
        <v/>
      </c>
      <c r="P1161" s="1">
        <f>IF(AND(O1161="",ISNUMBER(B1161)),INT(B1161),0)</f>
        <v/>
      </c>
      <c r="Q1161">
        <f>IF(AND(P1161&gt;0,C1161=Report!$C$5),P1161*10000+ROW(),"")</f>
        <v/>
      </c>
      <c r="R1161">
        <f>IF(AND(Q1161&lt;&gt;"",ISNUMBER(D1161)),Q1161,"")</f>
        <v/>
      </c>
      <c r="S1161">
        <f>IF(AND(Q1161&lt;&gt;"",ISNUMBER(E1161)),Q1161,"")</f>
        <v/>
      </c>
      <c r="T1161">
        <f>IF(AND(Q1161&lt;&gt;"",ISNUMBER(F1161)),Q1161,"")</f>
        <v/>
      </c>
      <c r="U1161">
        <f>IF(AND(Q1161&lt;&gt;"",ISNUMBER(G1161)),Q1161,"")</f>
        <v/>
      </c>
      <c r="V1161">
        <f>IF(AND(Q1161&lt;&gt;"",ISNUMBER(H1161)),Q1161,"")</f>
        <v/>
      </c>
      <c r="W1161">
        <f>IF(AND(Q1161&lt;&gt;"",ISNUMBER(I1161)),Q1161,"")</f>
        <v/>
      </c>
      <c r="X1161">
        <f>IF(AND(Q1161&lt;&gt;"",ISNUMBER(J1161)),Q1161,"")</f>
        <v/>
      </c>
      <c r="Y1161">
        <f>IF(AND(Q1161&lt;&gt;"",ISNUMBER(K1161)),Q1161,"")</f>
        <v/>
      </c>
      <c r="Z1161">
        <f>IF(AND(Q1161&lt;&gt;"",ISNUMBER(L1161)),Q1161,"")</f>
        <v/>
      </c>
      <c r="AA1161">
        <f>IF(AND(Q1161&lt;&gt;"",ISNUMBER(M1161)),Q1161,"")</f>
        <v/>
      </c>
      <c r="AB1161">
        <f>IF(AND(Q1161&lt;&gt;"",ISNUMBER(K1161)),K1161,"")</f>
        <v/>
      </c>
      <c r="AC1161">
        <f>IF(AND(Q1161&lt;&gt;"",ISNUMBER(L1161)),L1161,"")</f>
        <v/>
      </c>
      <c r="AD1161">
        <f>IF(AND(Q1161&lt;&gt;"",ISNUMBER(M1161)),M1161,"")</f>
        <v/>
      </c>
    </row>
    <row r="1162">
      <c r="A1162" s="1" t="n"/>
      <c r="B1162" s="17" t="n"/>
      <c r="C1162" s="27" t="n"/>
      <c r="D1162" s="28" t="n"/>
      <c r="E1162" s="28" t="n"/>
      <c r="F1162" s="28" t="n"/>
      <c r="G1162" s="28" t="n"/>
      <c r="H1162" s="28" t="n"/>
      <c r="I1162" s="28" t="n"/>
      <c r="J1162" s="28" t="n"/>
      <c r="K1162" s="28" t="n"/>
      <c r="L1162" s="28" t="n"/>
      <c r="M1162" s="29" t="n"/>
      <c r="N1162" s="21" t="n"/>
      <c r="O1162" s="12">
        <f>IF(AND(B1162="",C1162=""),"",IF(NOT(ISNUMBER(B1162)),"Needs a date",IF(C1162="","Needs a client",IF(COUNTIF(Clients!$B$6:$B$105,C1162)=0,"Not on Clients",IF(COUNT(D1162:M1162)=0,"Nothing measured","")))))</f>
        <v/>
      </c>
      <c r="P1162" s="1">
        <f>IF(AND(O1162="",ISNUMBER(B1162)),INT(B1162),0)</f>
        <v/>
      </c>
      <c r="Q1162">
        <f>IF(AND(P1162&gt;0,C1162=Report!$C$5),P1162*10000+ROW(),"")</f>
        <v/>
      </c>
      <c r="R1162">
        <f>IF(AND(Q1162&lt;&gt;"",ISNUMBER(D1162)),Q1162,"")</f>
        <v/>
      </c>
      <c r="S1162">
        <f>IF(AND(Q1162&lt;&gt;"",ISNUMBER(E1162)),Q1162,"")</f>
        <v/>
      </c>
      <c r="T1162">
        <f>IF(AND(Q1162&lt;&gt;"",ISNUMBER(F1162)),Q1162,"")</f>
        <v/>
      </c>
      <c r="U1162">
        <f>IF(AND(Q1162&lt;&gt;"",ISNUMBER(G1162)),Q1162,"")</f>
        <v/>
      </c>
      <c r="V1162">
        <f>IF(AND(Q1162&lt;&gt;"",ISNUMBER(H1162)),Q1162,"")</f>
        <v/>
      </c>
      <c r="W1162">
        <f>IF(AND(Q1162&lt;&gt;"",ISNUMBER(I1162)),Q1162,"")</f>
        <v/>
      </c>
      <c r="X1162">
        <f>IF(AND(Q1162&lt;&gt;"",ISNUMBER(J1162)),Q1162,"")</f>
        <v/>
      </c>
      <c r="Y1162">
        <f>IF(AND(Q1162&lt;&gt;"",ISNUMBER(K1162)),Q1162,"")</f>
        <v/>
      </c>
      <c r="Z1162">
        <f>IF(AND(Q1162&lt;&gt;"",ISNUMBER(L1162)),Q1162,"")</f>
        <v/>
      </c>
      <c r="AA1162">
        <f>IF(AND(Q1162&lt;&gt;"",ISNUMBER(M1162)),Q1162,"")</f>
        <v/>
      </c>
      <c r="AB1162">
        <f>IF(AND(Q1162&lt;&gt;"",ISNUMBER(K1162)),K1162,"")</f>
        <v/>
      </c>
      <c r="AC1162">
        <f>IF(AND(Q1162&lt;&gt;"",ISNUMBER(L1162)),L1162,"")</f>
        <v/>
      </c>
      <c r="AD1162">
        <f>IF(AND(Q1162&lt;&gt;"",ISNUMBER(M1162)),M1162,"")</f>
        <v/>
      </c>
    </row>
    <row r="1163">
      <c r="A1163" s="1" t="n"/>
      <c r="B1163" s="17" t="n"/>
      <c r="C1163" s="27" t="n"/>
      <c r="D1163" s="28" t="n"/>
      <c r="E1163" s="28" t="n"/>
      <c r="F1163" s="28" t="n"/>
      <c r="G1163" s="28" t="n"/>
      <c r="H1163" s="28" t="n"/>
      <c r="I1163" s="28" t="n"/>
      <c r="J1163" s="28" t="n"/>
      <c r="K1163" s="28" t="n"/>
      <c r="L1163" s="28" t="n"/>
      <c r="M1163" s="29" t="n"/>
      <c r="N1163" s="21" t="n"/>
      <c r="O1163" s="12">
        <f>IF(AND(B1163="",C1163=""),"",IF(NOT(ISNUMBER(B1163)),"Needs a date",IF(C1163="","Needs a client",IF(COUNTIF(Clients!$B$6:$B$105,C1163)=0,"Not on Clients",IF(COUNT(D1163:M1163)=0,"Nothing measured","")))))</f>
        <v/>
      </c>
      <c r="P1163" s="1">
        <f>IF(AND(O1163="",ISNUMBER(B1163)),INT(B1163),0)</f>
        <v/>
      </c>
      <c r="Q1163">
        <f>IF(AND(P1163&gt;0,C1163=Report!$C$5),P1163*10000+ROW(),"")</f>
        <v/>
      </c>
      <c r="R1163">
        <f>IF(AND(Q1163&lt;&gt;"",ISNUMBER(D1163)),Q1163,"")</f>
        <v/>
      </c>
      <c r="S1163">
        <f>IF(AND(Q1163&lt;&gt;"",ISNUMBER(E1163)),Q1163,"")</f>
        <v/>
      </c>
      <c r="T1163">
        <f>IF(AND(Q1163&lt;&gt;"",ISNUMBER(F1163)),Q1163,"")</f>
        <v/>
      </c>
      <c r="U1163">
        <f>IF(AND(Q1163&lt;&gt;"",ISNUMBER(G1163)),Q1163,"")</f>
        <v/>
      </c>
      <c r="V1163">
        <f>IF(AND(Q1163&lt;&gt;"",ISNUMBER(H1163)),Q1163,"")</f>
        <v/>
      </c>
      <c r="W1163">
        <f>IF(AND(Q1163&lt;&gt;"",ISNUMBER(I1163)),Q1163,"")</f>
        <v/>
      </c>
      <c r="X1163">
        <f>IF(AND(Q1163&lt;&gt;"",ISNUMBER(J1163)),Q1163,"")</f>
        <v/>
      </c>
      <c r="Y1163">
        <f>IF(AND(Q1163&lt;&gt;"",ISNUMBER(K1163)),Q1163,"")</f>
        <v/>
      </c>
      <c r="Z1163">
        <f>IF(AND(Q1163&lt;&gt;"",ISNUMBER(L1163)),Q1163,"")</f>
        <v/>
      </c>
      <c r="AA1163">
        <f>IF(AND(Q1163&lt;&gt;"",ISNUMBER(M1163)),Q1163,"")</f>
        <v/>
      </c>
      <c r="AB1163">
        <f>IF(AND(Q1163&lt;&gt;"",ISNUMBER(K1163)),K1163,"")</f>
        <v/>
      </c>
      <c r="AC1163">
        <f>IF(AND(Q1163&lt;&gt;"",ISNUMBER(L1163)),L1163,"")</f>
        <v/>
      </c>
      <c r="AD1163">
        <f>IF(AND(Q1163&lt;&gt;"",ISNUMBER(M1163)),M1163,"")</f>
        <v/>
      </c>
    </row>
    <row r="1164">
      <c r="A1164" s="1" t="n"/>
      <c r="B1164" s="17" t="n"/>
      <c r="C1164" s="27" t="n"/>
      <c r="D1164" s="28" t="n"/>
      <c r="E1164" s="28" t="n"/>
      <c r="F1164" s="28" t="n"/>
      <c r="G1164" s="28" t="n"/>
      <c r="H1164" s="28" t="n"/>
      <c r="I1164" s="28" t="n"/>
      <c r="J1164" s="28" t="n"/>
      <c r="K1164" s="28" t="n"/>
      <c r="L1164" s="28" t="n"/>
      <c r="M1164" s="29" t="n"/>
      <c r="N1164" s="21" t="n"/>
      <c r="O1164" s="12">
        <f>IF(AND(B1164="",C1164=""),"",IF(NOT(ISNUMBER(B1164)),"Needs a date",IF(C1164="","Needs a client",IF(COUNTIF(Clients!$B$6:$B$105,C1164)=0,"Not on Clients",IF(COUNT(D1164:M1164)=0,"Nothing measured","")))))</f>
        <v/>
      </c>
      <c r="P1164" s="1">
        <f>IF(AND(O1164="",ISNUMBER(B1164)),INT(B1164),0)</f>
        <v/>
      </c>
      <c r="Q1164">
        <f>IF(AND(P1164&gt;0,C1164=Report!$C$5),P1164*10000+ROW(),"")</f>
        <v/>
      </c>
      <c r="R1164">
        <f>IF(AND(Q1164&lt;&gt;"",ISNUMBER(D1164)),Q1164,"")</f>
        <v/>
      </c>
      <c r="S1164">
        <f>IF(AND(Q1164&lt;&gt;"",ISNUMBER(E1164)),Q1164,"")</f>
        <v/>
      </c>
      <c r="T1164">
        <f>IF(AND(Q1164&lt;&gt;"",ISNUMBER(F1164)),Q1164,"")</f>
        <v/>
      </c>
      <c r="U1164">
        <f>IF(AND(Q1164&lt;&gt;"",ISNUMBER(G1164)),Q1164,"")</f>
        <v/>
      </c>
      <c r="V1164">
        <f>IF(AND(Q1164&lt;&gt;"",ISNUMBER(H1164)),Q1164,"")</f>
        <v/>
      </c>
      <c r="W1164">
        <f>IF(AND(Q1164&lt;&gt;"",ISNUMBER(I1164)),Q1164,"")</f>
        <v/>
      </c>
      <c r="X1164">
        <f>IF(AND(Q1164&lt;&gt;"",ISNUMBER(J1164)),Q1164,"")</f>
        <v/>
      </c>
      <c r="Y1164">
        <f>IF(AND(Q1164&lt;&gt;"",ISNUMBER(K1164)),Q1164,"")</f>
        <v/>
      </c>
      <c r="Z1164">
        <f>IF(AND(Q1164&lt;&gt;"",ISNUMBER(L1164)),Q1164,"")</f>
        <v/>
      </c>
      <c r="AA1164">
        <f>IF(AND(Q1164&lt;&gt;"",ISNUMBER(M1164)),Q1164,"")</f>
        <v/>
      </c>
      <c r="AB1164">
        <f>IF(AND(Q1164&lt;&gt;"",ISNUMBER(K1164)),K1164,"")</f>
        <v/>
      </c>
      <c r="AC1164">
        <f>IF(AND(Q1164&lt;&gt;"",ISNUMBER(L1164)),L1164,"")</f>
        <v/>
      </c>
      <c r="AD1164">
        <f>IF(AND(Q1164&lt;&gt;"",ISNUMBER(M1164)),M1164,"")</f>
        <v/>
      </c>
    </row>
    <row r="1165">
      <c r="A1165" s="1" t="n"/>
      <c r="B1165" s="17" t="n"/>
      <c r="C1165" s="27" t="n"/>
      <c r="D1165" s="28" t="n"/>
      <c r="E1165" s="28" t="n"/>
      <c r="F1165" s="28" t="n"/>
      <c r="G1165" s="28" t="n"/>
      <c r="H1165" s="28" t="n"/>
      <c r="I1165" s="28" t="n"/>
      <c r="J1165" s="28" t="n"/>
      <c r="K1165" s="28" t="n"/>
      <c r="L1165" s="28" t="n"/>
      <c r="M1165" s="29" t="n"/>
      <c r="N1165" s="21" t="n"/>
      <c r="O1165" s="12">
        <f>IF(AND(B1165="",C1165=""),"",IF(NOT(ISNUMBER(B1165)),"Needs a date",IF(C1165="","Needs a client",IF(COUNTIF(Clients!$B$6:$B$105,C1165)=0,"Not on Clients",IF(COUNT(D1165:M1165)=0,"Nothing measured","")))))</f>
        <v/>
      </c>
      <c r="P1165" s="1">
        <f>IF(AND(O1165="",ISNUMBER(B1165)),INT(B1165),0)</f>
        <v/>
      </c>
      <c r="Q1165">
        <f>IF(AND(P1165&gt;0,C1165=Report!$C$5),P1165*10000+ROW(),"")</f>
        <v/>
      </c>
      <c r="R1165">
        <f>IF(AND(Q1165&lt;&gt;"",ISNUMBER(D1165)),Q1165,"")</f>
        <v/>
      </c>
      <c r="S1165">
        <f>IF(AND(Q1165&lt;&gt;"",ISNUMBER(E1165)),Q1165,"")</f>
        <v/>
      </c>
      <c r="T1165">
        <f>IF(AND(Q1165&lt;&gt;"",ISNUMBER(F1165)),Q1165,"")</f>
        <v/>
      </c>
      <c r="U1165">
        <f>IF(AND(Q1165&lt;&gt;"",ISNUMBER(G1165)),Q1165,"")</f>
        <v/>
      </c>
      <c r="V1165">
        <f>IF(AND(Q1165&lt;&gt;"",ISNUMBER(H1165)),Q1165,"")</f>
        <v/>
      </c>
      <c r="W1165">
        <f>IF(AND(Q1165&lt;&gt;"",ISNUMBER(I1165)),Q1165,"")</f>
        <v/>
      </c>
      <c r="X1165">
        <f>IF(AND(Q1165&lt;&gt;"",ISNUMBER(J1165)),Q1165,"")</f>
        <v/>
      </c>
      <c r="Y1165">
        <f>IF(AND(Q1165&lt;&gt;"",ISNUMBER(K1165)),Q1165,"")</f>
        <v/>
      </c>
      <c r="Z1165">
        <f>IF(AND(Q1165&lt;&gt;"",ISNUMBER(L1165)),Q1165,"")</f>
        <v/>
      </c>
      <c r="AA1165">
        <f>IF(AND(Q1165&lt;&gt;"",ISNUMBER(M1165)),Q1165,"")</f>
        <v/>
      </c>
      <c r="AB1165">
        <f>IF(AND(Q1165&lt;&gt;"",ISNUMBER(K1165)),K1165,"")</f>
        <v/>
      </c>
      <c r="AC1165">
        <f>IF(AND(Q1165&lt;&gt;"",ISNUMBER(L1165)),L1165,"")</f>
        <v/>
      </c>
      <c r="AD1165">
        <f>IF(AND(Q1165&lt;&gt;"",ISNUMBER(M1165)),M1165,"")</f>
        <v/>
      </c>
    </row>
    <row r="1166">
      <c r="A1166" s="1" t="n"/>
      <c r="B1166" s="17" t="n"/>
      <c r="C1166" s="27" t="n"/>
      <c r="D1166" s="28" t="n"/>
      <c r="E1166" s="28" t="n"/>
      <c r="F1166" s="28" t="n"/>
      <c r="G1166" s="28" t="n"/>
      <c r="H1166" s="28" t="n"/>
      <c r="I1166" s="28" t="n"/>
      <c r="J1166" s="28" t="n"/>
      <c r="K1166" s="28" t="n"/>
      <c r="L1166" s="28" t="n"/>
      <c r="M1166" s="29" t="n"/>
      <c r="N1166" s="21" t="n"/>
      <c r="O1166" s="12">
        <f>IF(AND(B1166="",C1166=""),"",IF(NOT(ISNUMBER(B1166)),"Needs a date",IF(C1166="","Needs a client",IF(COUNTIF(Clients!$B$6:$B$105,C1166)=0,"Not on Clients",IF(COUNT(D1166:M1166)=0,"Nothing measured","")))))</f>
        <v/>
      </c>
      <c r="P1166" s="1">
        <f>IF(AND(O1166="",ISNUMBER(B1166)),INT(B1166),0)</f>
        <v/>
      </c>
      <c r="Q1166">
        <f>IF(AND(P1166&gt;0,C1166=Report!$C$5),P1166*10000+ROW(),"")</f>
        <v/>
      </c>
      <c r="R1166">
        <f>IF(AND(Q1166&lt;&gt;"",ISNUMBER(D1166)),Q1166,"")</f>
        <v/>
      </c>
      <c r="S1166">
        <f>IF(AND(Q1166&lt;&gt;"",ISNUMBER(E1166)),Q1166,"")</f>
        <v/>
      </c>
      <c r="T1166">
        <f>IF(AND(Q1166&lt;&gt;"",ISNUMBER(F1166)),Q1166,"")</f>
        <v/>
      </c>
      <c r="U1166">
        <f>IF(AND(Q1166&lt;&gt;"",ISNUMBER(G1166)),Q1166,"")</f>
        <v/>
      </c>
      <c r="V1166">
        <f>IF(AND(Q1166&lt;&gt;"",ISNUMBER(H1166)),Q1166,"")</f>
        <v/>
      </c>
      <c r="W1166">
        <f>IF(AND(Q1166&lt;&gt;"",ISNUMBER(I1166)),Q1166,"")</f>
        <v/>
      </c>
      <c r="X1166">
        <f>IF(AND(Q1166&lt;&gt;"",ISNUMBER(J1166)),Q1166,"")</f>
        <v/>
      </c>
      <c r="Y1166">
        <f>IF(AND(Q1166&lt;&gt;"",ISNUMBER(K1166)),Q1166,"")</f>
        <v/>
      </c>
      <c r="Z1166">
        <f>IF(AND(Q1166&lt;&gt;"",ISNUMBER(L1166)),Q1166,"")</f>
        <v/>
      </c>
      <c r="AA1166">
        <f>IF(AND(Q1166&lt;&gt;"",ISNUMBER(M1166)),Q1166,"")</f>
        <v/>
      </c>
      <c r="AB1166">
        <f>IF(AND(Q1166&lt;&gt;"",ISNUMBER(K1166)),K1166,"")</f>
        <v/>
      </c>
      <c r="AC1166">
        <f>IF(AND(Q1166&lt;&gt;"",ISNUMBER(L1166)),L1166,"")</f>
        <v/>
      </c>
      <c r="AD1166">
        <f>IF(AND(Q1166&lt;&gt;"",ISNUMBER(M1166)),M1166,"")</f>
        <v/>
      </c>
    </row>
    <row r="1167">
      <c r="A1167" s="1" t="n"/>
      <c r="B1167" s="17" t="n"/>
      <c r="C1167" s="27" t="n"/>
      <c r="D1167" s="28" t="n"/>
      <c r="E1167" s="28" t="n"/>
      <c r="F1167" s="28" t="n"/>
      <c r="G1167" s="28" t="n"/>
      <c r="H1167" s="28" t="n"/>
      <c r="I1167" s="28" t="n"/>
      <c r="J1167" s="28" t="n"/>
      <c r="K1167" s="28" t="n"/>
      <c r="L1167" s="28" t="n"/>
      <c r="M1167" s="29" t="n"/>
      <c r="N1167" s="21" t="n"/>
      <c r="O1167" s="12">
        <f>IF(AND(B1167="",C1167=""),"",IF(NOT(ISNUMBER(B1167)),"Needs a date",IF(C1167="","Needs a client",IF(COUNTIF(Clients!$B$6:$B$105,C1167)=0,"Not on Clients",IF(COUNT(D1167:M1167)=0,"Nothing measured","")))))</f>
        <v/>
      </c>
      <c r="P1167" s="1">
        <f>IF(AND(O1167="",ISNUMBER(B1167)),INT(B1167),0)</f>
        <v/>
      </c>
      <c r="Q1167">
        <f>IF(AND(P1167&gt;0,C1167=Report!$C$5),P1167*10000+ROW(),"")</f>
        <v/>
      </c>
      <c r="R1167">
        <f>IF(AND(Q1167&lt;&gt;"",ISNUMBER(D1167)),Q1167,"")</f>
        <v/>
      </c>
      <c r="S1167">
        <f>IF(AND(Q1167&lt;&gt;"",ISNUMBER(E1167)),Q1167,"")</f>
        <v/>
      </c>
      <c r="T1167">
        <f>IF(AND(Q1167&lt;&gt;"",ISNUMBER(F1167)),Q1167,"")</f>
        <v/>
      </c>
      <c r="U1167">
        <f>IF(AND(Q1167&lt;&gt;"",ISNUMBER(G1167)),Q1167,"")</f>
        <v/>
      </c>
      <c r="V1167">
        <f>IF(AND(Q1167&lt;&gt;"",ISNUMBER(H1167)),Q1167,"")</f>
        <v/>
      </c>
      <c r="W1167">
        <f>IF(AND(Q1167&lt;&gt;"",ISNUMBER(I1167)),Q1167,"")</f>
        <v/>
      </c>
      <c r="X1167">
        <f>IF(AND(Q1167&lt;&gt;"",ISNUMBER(J1167)),Q1167,"")</f>
        <v/>
      </c>
      <c r="Y1167">
        <f>IF(AND(Q1167&lt;&gt;"",ISNUMBER(K1167)),Q1167,"")</f>
        <v/>
      </c>
      <c r="Z1167">
        <f>IF(AND(Q1167&lt;&gt;"",ISNUMBER(L1167)),Q1167,"")</f>
        <v/>
      </c>
      <c r="AA1167">
        <f>IF(AND(Q1167&lt;&gt;"",ISNUMBER(M1167)),Q1167,"")</f>
        <v/>
      </c>
      <c r="AB1167">
        <f>IF(AND(Q1167&lt;&gt;"",ISNUMBER(K1167)),K1167,"")</f>
        <v/>
      </c>
      <c r="AC1167">
        <f>IF(AND(Q1167&lt;&gt;"",ISNUMBER(L1167)),L1167,"")</f>
        <v/>
      </c>
      <c r="AD1167">
        <f>IF(AND(Q1167&lt;&gt;"",ISNUMBER(M1167)),M1167,"")</f>
        <v/>
      </c>
    </row>
    <row r="1168">
      <c r="A1168" s="1" t="n"/>
      <c r="B1168" s="17" t="n"/>
      <c r="C1168" s="27" t="n"/>
      <c r="D1168" s="28" t="n"/>
      <c r="E1168" s="28" t="n"/>
      <c r="F1168" s="28" t="n"/>
      <c r="G1168" s="28" t="n"/>
      <c r="H1168" s="28" t="n"/>
      <c r="I1168" s="28" t="n"/>
      <c r="J1168" s="28" t="n"/>
      <c r="K1168" s="28" t="n"/>
      <c r="L1168" s="28" t="n"/>
      <c r="M1168" s="29" t="n"/>
      <c r="N1168" s="21" t="n"/>
      <c r="O1168" s="12">
        <f>IF(AND(B1168="",C1168=""),"",IF(NOT(ISNUMBER(B1168)),"Needs a date",IF(C1168="","Needs a client",IF(COUNTIF(Clients!$B$6:$B$105,C1168)=0,"Not on Clients",IF(COUNT(D1168:M1168)=0,"Nothing measured","")))))</f>
        <v/>
      </c>
      <c r="P1168" s="1">
        <f>IF(AND(O1168="",ISNUMBER(B1168)),INT(B1168),0)</f>
        <v/>
      </c>
      <c r="Q1168">
        <f>IF(AND(P1168&gt;0,C1168=Report!$C$5),P1168*10000+ROW(),"")</f>
        <v/>
      </c>
      <c r="R1168">
        <f>IF(AND(Q1168&lt;&gt;"",ISNUMBER(D1168)),Q1168,"")</f>
        <v/>
      </c>
      <c r="S1168">
        <f>IF(AND(Q1168&lt;&gt;"",ISNUMBER(E1168)),Q1168,"")</f>
        <v/>
      </c>
      <c r="T1168">
        <f>IF(AND(Q1168&lt;&gt;"",ISNUMBER(F1168)),Q1168,"")</f>
        <v/>
      </c>
      <c r="U1168">
        <f>IF(AND(Q1168&lt;&gt;"",ISNUMBER(G1168)),Q1168,"")</f>
        <v/>
      </c>
      <c r="V1168">
        <f>IF(AND(Q1168&lt;&gt;"",ISNUMBER(H1168)),Q1168,"")</f>
        <v/>
      </c>
      <c r="W1168">
        <f>IF(AND(Q1168&lt;&gt;"",ISNUMBER(I1168)),Q1168,"")</f>
        <v/>
      </c>
      <c r="X1168">
        <f>IF(AND(Q1168&lt;&gt;"",ISNUMBER(J1168)),Q1168,"")</f>
        <v/>
      </c>
      <c r="Y1168">
        <f>IF(AND(Q1168&lt;&gt;"",ISNUMBER(K1168)),Q1168,"")</f>
        <v/>
      </c>
      <c r="Z1168">
        <f>IF(AND(Q1168&lt;&gt;"",ISNUMBER(L1168)),Q1168,"")</f>
        <v/>
      </c>
      <c r="AA1168">
        <f>IF(AND(Q1168&lt;&gt;"",ISNUMBER(M1168)),Q1168,"")</f>
        <v/>
      </c>
      <c r="AB1168">
        <f>IF(AND(Q1168&lt;&gt;"",ISNUMBER(K1168)),K1168,"")</f>
        <v/>
      </c>
      <c r="AC1168">
        <f>IF(AND(Q1168&lt;&gt;"",ISNUMBER(L1168)),L1168,"")</f>
        <v/>
      </c>
      <c r="AD1168">
        <f>IF(AND(Q1168&lt;&gt;"",ISNUMBER(M1168)),M1168,"")</f>
        <v/>
      </c>
    </row>
    <row r="1169">
      <c r="A1169" s="1" t="n"/>
      <c r="B1169" s="17" t="n"/>
      <c r="C1169" s="27" t="n"/>
      <c r="D1169" s="28" t="n"/>
      <c r="E1169" s="28" t="n"/>
      <c r="F1169" s="28" t="n"/>
      <c r="G1169" s="28" t="n"/>
      <c r="H1169" s="28" t="n"/>
      <c r="I1169" s="28" t="n"/>
      <c r="J1169" s="28" t="n"/>
      <c r="K1169" s="28" t="n"/>
      <c r="L1169" s="28" t="n"/>
      <c r="M1169" s="29" t="n"/>
      <c r="N1169" s="21" t="n"/>
      <c r="O1169" s="12">
        <f>IF(AND(B1169="",C1169=""),"",IF(NOT(ISNUMBER(B1169)),"Needs a date",IF(C1169="","Needs a client",IF(COUNTIF(Clients!$B$6:$B$105,C1169)=0,"Not on Clients",IF(COUNT(D1169:M1169)=0,"Nothing measured","")))))</f>
        <v/>
      </c>
      <c r="P1169" s="1">
        <f>IF(AND(O1169="",ISNUMBER(B1169)),INT(B1169),0)</f>
        <v/>
      </c>
      <c r="Q1169">
        <f>IF(AND(P1169&gt;0,C1169=Report!$C$5),P1169*10000+ROW(),"")</f>
        <v/>
      </c>
      <c r="R1169">
        <f>IF(AND(Q1169&lt;&gt;"",ISNUMBER(D1169)),Q1169,"")</f>
        <v/>
      </c>
      <c r="S1169">
        <f>IF(AND(Q1169&lt;&gt;"",ISNUMBER(E1169)),Q1169,"")</f>
        <v/>
      </c>
      <c r="T1169">
        <f>IF(AND(Q1169&lt;&gt;"",ISNUMBER(F1169)),Q1169,"")</f>
        <v/>
      </c>
      <c r="U1169">
        <f>IF(AND(Q1169&lt;&gt;"",ISNUMBER(G1169)),Q1169,"")</f>
        <v/>
      </c>
      <c r="V1169">
        <f>IF(AND(Q1169&lt;&gt;"",ISNUMBER(H1169)),Q1169,"")</f>
        <v/>
      </c>
      <c r="W1169">
        <f>IF(AND(Q1169&lt;&gt;"",ISNUMBER(I1169)),Q1169,"")</f>
        <v/>
      </c>
      <c r="X1169">
        <f>IF(AND(Q1169&lt;&gt;"",ISNUMBER(J1169)),Q1169,"")</f>
        <v/>
      </c>
      <c r="Y1169">
        <f>IF(AND(Q1169&lt;&gt;"",ISNUMBER(K1169)),Q1169,"")</f>
        <v/>
      </c>
      <c r="Z1169">
        <f>IF(AND(Q1169&lt;&gt;"",ISNUMBER(L1169)),Q1169,"")</f>
        <v/>
      </c>
      <c r="AA1169">
        <f>IF(AND(Q1169&lt;&gt;"",ISNUMBER(M1169)),Q1169,"")</f>
        <v/>
      </c>
      <c r="AB1169">
        <f>IF(AND(Q1169&lt;&gt;"",ISNUMBER(K1169)),K1169,"")</f>
        <v/>
      </c>
      <c r="AC1169">
        <f>IF(AND(Q1169&lt;&gt;"",ISNUMBER(L1169)),L1169,"")</f>
        <v/>
      </c>
      <c r="AD1169">
        <f>IF(AND(Q1169&lt;&gt;"",ISNUMBER(M1169)),M1169,"")</f>
        <v/>
      </c>
    </row>
    <row r="1170">
      <c r="A1170" s="1" t="n"/>
      <c r="B1170" s="17" t="n"/>
      <c r="C1170" s="27" t="n"/>
      <c r="D1170" s="28" t="n"/>
      <c r="E1170" s="28" t="n"/>
      <c r="F1170" s="28" t="n"/>
      <c r="G1170" s="28" t="n"/>
      <c r="H1170" s="28" t="n"/>
      <c r="I1170" s="28" t="n"/>
      <c r="J1170" s="28" t="n"/>
      <c r="K1170" s="28" t="n"/>
      <c r="L1170" s="28" t="n"/>
      <c r="M1170" s="29" t="n"/>
      <c r="N1170" s="21" t="n"/>
      <c r="O1170" s="12">
        <f>IF(AND(B1170="",C1170=""),"",IF(NOT(ISNUMBER(B1170)),"Needs a date",IF(C1170="","Needs a client",IF(COUNTIF(Clients!$B$6:$B$105,C1170)=0,"Not on Clients",IF(COUNT(D1170:M1170)=0,"Nothing measured","")))))</f>
        <v/>
      </c>
      <c r="P1170" s="1">
        <f>IF(AND(O1170="",ISNUMBER(B1170)),INT(B1170),0)</f>
        <v/>
      </c>
      <c r="Q1170">
        <f>IF(AND(P1170&gt;0,C1170=Report!$C$5),P1170*10000+ROW(),"")</f>
        <v/>
      </c>
      <c r="R1170">
        <f>IF(AND(Q1170&lt;&gt;"",ISNUMBER(D1170)),Q1170,"")</f>
        <v/>
      </c>
      <c r="S1170">
        <f>IF(AND(Q1170&lt;&gt;"",ISNUMBER(E1170)),Q1170,"")</f>
        <v/>
      </c>
      <c r="T1170">
        <f>IF(AND(Q1170&lt;&gt;"",ISNUMBER(F1170)),Q1170,"")</f>
        <v/>
      </c>
      <c r="U1170">
        <f>IF(AND(Q1170&lt;&gt;"",ISNUMBER(G1170)),Q1170,"")</f>
        <v/>
      </c>
      <c r="V1170">
        <f>IF(AND(Q1170&lt;&gt;"",ISNUMBER(H1170)),Q1170,"")</f>
        <v/>
      </c>
      <c r="W1170">
        <f>IF(AND(Q1170&lt;&gt;"",ISNUMBER(I1170)),Q1170,"")</f>
        <v/>
      </c>
      <c r="X1170">
        <f>IF(AND(Q1170&lt;&gt;"",ISNUMBER(J1170)),Q1170,"")</f>
        <v/>
      </c>
      <c r="Y1170">
        <f>IF(AND(Q1170&lt;&gt;"",ISNUMBER(K1170)),Q1170,"")</f>
        <v/>
      </c>
      <c r="Z1170">
        <f>IF(AND(Q1170&lt;&gt;"",ISNUMBER(L1170)),Q1170,"")</f>
        <v/>
      </c>
      <c r="AA1170">
        <f>IF(AND(Q1170&lt;&gt;"",ISNUMBER(M1170)),Q1170,"")</f>
        <v/>
      </c>
      <c r="AB1170">
        <f>IF(AND(Q1170&lt;&gt;"",ISNUMBER(K1170)),K1170,"")</f>
        <v/>
      </c>
      <c r="AC1170">
        <f>IF(AND(Q1170&lt;&gt;"",ISNUMBER(L1170)),L1170,"")</f>
        <v/>
      </c>
      <c r="AD1170">
        <f>IF(AND(Q1170&lt;&gt;"",ISNUMBER(M1170)),M1170,"")</f>
        <v/>
      </c>
    </row>
    <row r="1171">
      <c r="A1171" s="1" t="n"/>
      <c r="B1171" s="17" t="n"/>
      <c r="C1171" s="27" t="n"/>
      <c r="D1171" s="28" t="n"/>
      <c r="E1171" s="28" t="n"/>
      <c r="F1171" s="28" t="n"/>
      <c r="G1171" s="28" t="n"/>
      <c r="H1171" s="28" t="n"/>
      <c r="I1171" s="28" t="n"/>
      <c r="J1171" s="28" t="n"/>
      <c r="K1171" s="28" t="n"/>
      <c r="L1171" s="28" t="n"/>
      <c r="M1171" s="29" t="n"/>
      <c r="N1171" s="21" t="n"/>
      <c r="O1171" s="12">
        <f>IF(AND(B1171="",C1171=""),"",IF(NOT(ISNUMBER(B1171)),"Needs a date",IF(C1171="","Needs a client",IF(COUNTIF(Clients!$B$6:$B$105,C1171)=0,"Not on Clients",IF(COUNT(D1171:M1171)=0,"Nothing measured","")))))</f>
        <v/>
      </c>
      <c r="P1171" s="1">
        <f>IF(AND(O1171="",ISNUMBER(B1171)),INT(B1171),0)</f>
        <v/>
      </c>
      <c r="Q1171">
        <f>IF(AND(P1171&gt;0,C1171=Report!$C$5),P1171*10000+ROW(),"")</f>
        <v/>
      </c>
      <c r="R1171">
        <f>IF(AND(Q1171&lt;&gt;"",ISNUMBER(D1171)),Q1171,"")</f>
        <v/>
      </c>
      <c r="S1171">
        <f>IF(AND(Q1171&lt;&gt;"",ISNUMBER(E1171)),Q1171,"")</f>
        <v/>
      </c>
      <c r="T1171">
        <f>IF(AND(Q1171&lt;&gt;"",ISNUMBER(F1171)),Q1171,"")</f>
        <v/>
      </c>
      <c r="U1171">
        <f>IF(AND(Q1171&lt;&gt;"",ISNUMBER(G1171)),Q1171,"")</f>
        <v/>
      </c>
      <c r="V1171">
        <f>IF(AND(Q1171&lt;&gt;"",ISNUMBER(H1171)),Q1171,"")</f>
        <v/>
      </c>
      <c r="W1171">
        <f>IF(AND(Q1171&lt;&gt;"",ISNUMBER(I1171)),Q1171,"")</f>
        <v/>
      </c>
      <c r="X1171">
        <f>IF(AND(Q1171&lt;&gt;"",ISNUMBER(J1171)),Q1171,"")</f>
        <v/>
      </c>
      <c r="Y1171">
        <f>IF(AND(Q1171&lt;&gt;"",ISNUMBER(K1171)),Q1171,"")</f>
        <v/>
      </c>
      <c r="Z1171">
        <f>IF(AND(Q1171&lt;&gt;"",ISNUMBER(L1171)),Q1171,"")</f>
        <v/>
      </c>
      <c r="AA1171">
        <f>IF(AND(Q1171&lt;&gt;"",ISNUMBER(M1171)),Q1171,"")</f>
        <v/>
      </c>
      <c r="AB1171">
        <f>IF(AND(Q1171&lt;&gt;"",ISNUMBER(K1171)),K1171,"")</f>
        <v/>
      </c>
      <c r="AC1171">
        <f>IF(AND(Q1171&lt;&gt;"",ISNUMBER(L1171)),L1171,"")</f>
        <v/>
      </c>
      <c r="AD1171">
        <f>IF(AND(Q1171&lt;&gt;"",ISNUMBER(M1171)),M1171,"")</f>
        <v/>
      </c>
    </row>
    <row r="1172">
      <c r="A1172" s="1" t="n"/>
      <c r="B1172" s="17" t="n"/>
      <c r="C1172" s="27" t="n"/>
      <c r="D1172" s="28" t="n"/>
      <c r="E1172" s="28" t="n"/>
      <c r="F1172" s="28" t="n"/>
      <c r="G1172" s="28" t="n"/>
      <c r="H1172" s="28" t="n"/>
      <c r="I1172" s="28" t="n"/>
      <c r="J1172" s="28" t="n"/>
      <c r="K1172" s="28" t="n"/>
      <c r="L1172" s="28" t="n"/>
      <c r="M1172" s="29" t="n"/>
      <c r="N1172" s="21" t="n"/>
      <c r="O1172" s="12">
        <f>IF(AND(B1172="",C1172=""),"",IF(NOT(ISNUMBER(B1172)),"Needs a date",IF(C1172="","Needs a client",IF(COUNTIF(Clients!$B$6:$B$105,C1172)=0,"Not on Clients",IF(COUNT(D1172:M1172)=0,"Nothing measured","")))))</f>
        <v/>
      </c>
      <c r="P1172" s="1">
        <f>IF(AND(O1172="",ISNUMBER(B1172)),INT(B1172),0)</f>
        <v/>
      </c>
      <c r="Q1172">
        <f>IF(AND(P1172&gt;0,C1172=Report!$C$5),P1172*10000+ROW(),"")</f>
        <v/>
      </c>
      <c r="R1172">
        <f>IF(AND(Q1172&lt;&gt;"",ISNUMBER(D1172)),Q1172,"")</f>
        <v/>
      </c>
      <c r="S1172">
        <f>IF(AND(Q1172&lt;&gt;"",ISNUMBER(E1172)),Q1172,"")</f>
        <v/>
      </c>
      <c r="T1172">
        <f>IF(AND(Q1172&lt;&gt;"",ISNUMBER(F1172)),Q1172,"")</f>
        <v/>
      </c>
      <c r="U1172">
        <f>IF(AND(Q1172&lt;&gt;"",ISNUMBER(G1172)),Q1172,"")</f>
        <v/>
      </c>
      <c r="V1172">
        <f>IF(AND(Q1172&lt;&gt;"",ISNUMBER(H1172)),Q1172,"")</f>
        <v/>
      </c>
      <c r="W1172">
        <f>IF(AND(Q1172&lt;&gt;"",ISNUMBER(I1172)),Q1172,"")</f>
        <v/>
      </c>
      <c r="X1172">
        <f>IF(AND(Q1172&lt;&gt;"",ISNUMBER(J1172)),Q1172,"")</f>
        <v/>
      </c>
      <c r="Y1172">
        <f>IF(AND(Q1172&lt;&gt;"",ISNUMBER(K1172)),Q1172,"")</f>
        <v/>
      </c>
      <c r="Z1172">
        <f>IF(AND(Q1172&lt;&gt;"",ISNUMBER(L1172)),Q1172,"")</f>
        <v/>
      </c>
      <c r="AA1172">
        <f>IF(AND(Q1172&lt;&gt;"",ISNUMBER(M1172)),Q1172,"")</f>
        <v/>
      </c>
      <c r="AB1172">
        <f>IF(AND(Q1172&lt;&gt;"",ISNUMBER(K1172)),K1172,"")</f>
        <v/>
      </c>
      <c r="AC1172">
        <f>IF(AND(Q1172&lt;&gt;"",ISNUMBER(L1172)),L1172,"")</f>
        <v/>
      </c>
      <c r="AD1172">
        <f>IF(AND(Q1172&lt;&gt;"",ISNUMBER(M1172)),M1172,"")</f>
        <v/>
      </c>
    </row>
    <row r="1173">
      <c r="A1173" s="1" t="n"/>
      <c r="B1173" s="17" t="n"/>
      <c r="C1173" s="27" t="n"/>
      <c r="D1173" s="28" t="n"/>
      <c r="E1173" s="28" t="n"/>
      <c r="F1173" s="28" t="n"/>
      <c r="G1173" s="28" t="n"/>
      <c r="H1173" s="28" t="n"/>
      <c r="I1173" s="28" t="n"/>
      <c r="J1173" s="28" t="n"/>
      <c r="K1173" s="28" t="n"/>
      <c r="L1173" s="28" t="n"/>
      <c r="M1173" s="29" t="n"/>
      <c r="N1173" s="21" t="n"/>
      <c r="O1173" s="12">
        <f>IF(AND(B1173="",C1173=""),"",IF(NOT(ISNUMBER(B1173)),"Needs a date",IF(C1173="","Needs a client",IF(COUNTIF(Clients!$B$6:$B$105,C1173)=0,"Not on Clients",IF(COUNT(D1173:M1173)=0,"Nothing measured","")))))</f>
        <v/>
      </c>
      <c r="P1173" s="1">
        <f>IF(AND(O1173="",ISNUMBER(B1173)),INT(B1173),0)</f>
        <v/>
      </c>
      <c r="Q1173">
        <f>IF(AND(P1173&gt;0,C1173=Report!$C$5),P1173*10000+ROW(),"")</f>
        <v/>
      </c>
      <c r="R1173">
        <f>IF(AND(Q1173&lt;&gt;"",ISNUMBER(D1173)),Q1173,"")</f>
        <v/>
      </c>
      <c r="S1173">
        <f>IF(AND(Q1173&lt;&gt;"",ISNUMBER(E1173)),Q1173,"")</f>
        <v/>
      </c>
      <c r="T1173">
        <f>IF(AND(Q1173&lt;&gt;"",ISNUMBER(F1173)),Q1173,"")</f>
        <v/>
      </c>
      <c r="U1173">
        <f>IF(AND(Q1173&lt;&gt;"",ISNUMBER(G1173)),Q1173,"")</f>
        <v/>
      </c>
      <c r="V1173">
        <f>IF(AND(Q1173&lt;&gt;"",ISNUMBER(H1173)),Q1173,"")</f>
        <v/>
      </c>
      <c r="W1173">
        <f>IF(AND(Q1173&lt;&gt;"",ISNUMBER(I1173)),Q1173,"")</f>
        <v/>
      </c>
      <c r="X1173">
        <f>IF(AND(Q1173&lt;&gt;"",ISNUMBER(J1173)),Q1173,"")</f>
        <v/>
      </c>
      <c r="Y1173">
        <f>IF(AND(Q1173&lt;&gt;"",ISNUMBER(K1173)),Q1173,"")</f>
        <v/>
      </c>
      <c r="Z1173">
        <f>IF(AND(Q1173&lt;&gt;"",ISNUMBER(L1173)),Q1173,"")</f>
        <v/>
      </c>
      <c r="AA1173">
        <f>IF(AND(Q1173&lt;&gt;"",ISNUMBER(M1173)),Q1173,"")</f>
        <v/>
      </c>
      <c r="AB1173">
        <f>IF(AND(Q1173&lt;&gt;"",ISNUMBER(K1173)),K1173,"")</f>
        <v/>
      </c>
      <c r="AC1173">
        <f>IF(AND(Q1173&lt;&gt;"",ISNUMBER(L1173)),L1173,"")</f>
        <v/>
      </c>
      <c r="AD1173">
        <f>IF(AND(Q1173&lt;&gt;"",ISNUMBER(M1173)),M1173,"")</f>
        <v/>
      </c>
    </row>
    <row r="1174">
      <c r="A1174" s="1" t="n"/>
      <c r="B1174" s="17" t="n"/>
      <c r="C1174" s="27" t="n"/>
      <c r="D1174" s="28" t="n"/>
      <c r="E1174" s="28" t="n"/>
      <c r="F1174" s="28" t="n"/>
      <c r="G1174" s="28" t="n"/>
      <c r="H1174" s="28" t="n"/>
      <c r="I1174" s="28" t="n"/>
      <c r="J1174" s="28" t="n"/>
      <c r="K1174" s="28" t="n"/>
      <c r="L1174" s="28" t="n"/>
      <c r="M1174" s="29" t="n"/>
      <c r="N1174" s="21" t="n"/>
      <c r="O1174" s="12">
        <f>IF(AND(B1174="",C1174=""),"",IF(NOT(ISNUMBER(B1174)),"Needs a date",IF(C1174="","Needs a client",IF(COUNTIF(Clients!$B$6:$B$105,C1174)=0,"Not on Clients",IF(COUNT(D1174:M1174)=0,"Nothing measured","")))))</f>
        <v/>
      </c>
      <c r="P1174" s="1">
        <f>IF(AND(O1174="",ISNUMBER(B1174)),INT(B1174),0)</f>
        <v/>
      </c>
      <c r="Q1174">
        <f>IF(AND(P1174&gt;0,C1174=Report!$C$5),P1174*10000+ROW(),"")</f>
        <v/>
      </c>
      <c r="R1174">
        <f>IF(AND(Q1174&lt;&gt;"",ISNUMBER(D1174)),Q1174,"")</f>
        <v/>
      </c>
      <c r="S1174">
        <f>IF(AND(Q1174&lt;&gt;"",ISNUMBER(E1174)),Q1174,"")</f>
        <v/>
      </c>
      <c r="T1174">
        <f>IF(AND(Q1174&lt;&gt;"",ISNUMBER(F1174)),Q1174,"")</f>
        <v/>
      </c>
      <c r="U1174">
        <f>IF(AND(Q1174&lt;&gt;"",ISNUMBER(G1174)),Q1174,"")</f>
        <v/>
      </c>
      <c r="V1174">
        <f>IF(AND(Q1174&lt;&gt;"",ISNUMBER(H1174)),Q1174,"")</f>
        <v/>
      </c>
      <c r="W1174">
        <f>IF(AND(Q1174&lt;&gt;"",ISNUMBER(I1174)),Q1174,"")</f>
        <v/>
      </c>
      <c r="X1174">
        <f>IF(AND(Q1174&lt;&gt;"",ISNUMBER(J1174)),Q1174,"")</f>
        <v/>
      </c>
      <c r="Y1174">
        <f>IF(AND(Q1174&lt;&gt;"",ISNUMBER(K1174)),Q1174,"")</f>
        <v/>
      </c>
      <c r="Z1174">
        <f>IF(AND(Q1174&lt;&gt;"",ISNUMBER(L1174)),Q1174,"")</f>
        <v/>
      </c>
      <c r="AA1174">
        <f>IF(AND(Q1174&lt;&gt;"",ISNUMBER(M1174)),Q1174,"")</f>
        <v/>
      </c>
      <c r="AB1174">
        <f>IF(AND(Q1174&lt;&gt;"",ISNUMBER(K1174)),K1174,"")</f>
        <v/>
      </c>
      <c r="AC1174">
        <f>IF(AND(Q1174&lt;&gt;"",ISNUMBER(L1174)),L1174,"")</f>
        <v/>
      </c>
      <c r="AD1174">
        <f>IF(AND(Q1174&lt;&gt;"",ISNUMBER(M1174)),M1174,"")</f>
        <v/>
      </c>
    </row>
    <row r="1175">
      <c r="A1175" s="1" t="n"/>
      <c r="B1175" s="17" t="n"/>
      <c r="C1175" s="27" t="n"/>
      <c r="D1175" s="28" t="n"/>
      <c r="E1175" s="28" t="n"/>
      <c r="F1175" s="28" t="n"/>
      <c r="G1175" s="28" t="n"/>
      <c r="H1175" s="28" t="n"/>
      <c r="I1175" s="28" t="n"/>
      <c r="J1175" s="28" t="n"/>
      <c r="K1175" s="28" t="n"/>
      <c r="L1175" s="28" t="n"/>
      <c r="M1175" s="29" t="n"/>
      <c r="N1175" s="21" t="n"/>
      <c r="O1175" s="12">
        <f>IF(AND(B1175="",C1175=""),"",IF(NOT(ISNUMBER(B1175)),"Needs a date",IF(C1175="","Needs a client",IF(COUNTIF(Clients!$B$6:$B$105,C1175)=0,"Not on Clients",IF(COUNT(D1175:M1175)=0,"Nothing measured","")))))</f>
        <v/>
      </c>
      <c r="P1175" s="1">
        <f>IF(AND(O1175="",ISNUMBER(B1175)),INT(B1175),0)</f>
        <v/>
      </c>
      <c r="Q1175">
        <f>IF(AND(P1175&gt;0,C1175=Report!$C$5),P1175*10000+ROW(),"")</f>
        <v/>
      </c>
      <c r="R1175">
        <f>IF(AND(Q1175&lt;&gt;"",ISNUMBER(D1175)),Q1175,"")</f>
        <v/>
      </c>
      <c r="S1175">
        <f>IF(AND(Q1175&lt;&gt;"",ISNUMBER(E1175)),Q1175,"")</f>
        <v/>
      </c>
      <c r="T1175">
        <f>IF(AND(Q1175&lt;&gt;"",ISNUMBER(F1175)),Q1175,"")</f>
        <v/>
      </c>
      <c r="U1175">
        <f>IF(AND(Q1175&lt;&gt;"",ISNUMBER(G1175)),Q1175,"")</f>
        <v/>
      </c>
      <c r="V1175">
        <f>IF(AND(Q1175&lt;&gt;"",ISNUMBER(H1175)),Q1175,"")</f>
        <v/>
      </c>
      <c r="W1175">
        <f>IF(AND(Q1175&lt;&gt;"",ISNUMBER(I1175)),Q1175,"")</f>
        <v/>
      </c>
      <c r="X1175">
        <f>IF(AND(Q1175&lt;&gt;"",ISNUMBER(J1175)),Q1175,"")</f>
        <v/>
      </c>
      <c r="Y1175">
        <f>IF(AND(Q1175&lt;&gt;"",ISNUMBER(K1175)),Q1175,"")</f>
        <v/>
      </c>
      <c r="Z1175">
        <f>IF(AND(Q1175&lt;&gt;"",ISNUMBER(L1175)),Q1175,"")</f>
        <v/>
      </c>
      <c r="AA1175">
        <f>IF(AND(Q1175&lt;&gt;"",ISNUMBER(M1175)),Q1175,"")</f>
        <v/>
      </c>
      <c r="AB1175">
        <f>IF(AND(Q1175&lt;&gt;"",ISNUMBER(K1175)),K1175,"")</f>
        <v/>
      </c>
      <c r="AC1175">
        <f>IF(AND(Q1175&lt;&gt;"",ISNUMBER(L1175)),L1175,"")</f>
        <v/>
      </c>
      <c r="AD1175">
        <f>IF(AND(Q1175&lt;&gt;"",ISNUMBER(M1175)),M1175,"")</f>
        <v/>
      </c>
    </row>
    <row r="1176">
      <c r="A1176" s="1" t="n"/>
      <c r="B1176" s="17" t="n"/>
      <c r="C1176" s="27" t="n"/>
      <c r="D1176" s="28" t="n"/>
      <c r="E1176" s="28" t="n"/>
      <c r="F1176" s="28" t="n"/>
      <c r="G1176" s="28" t="n"/>
      <c r="H1176" s="28" t="n"/>
      <c r="I1176" s="28" t="n"/>
      <c r="J1176" s="28" t="n"/>
      <c r="K1176" s="28" t="n"/>
      <c r="L1176" s="28" t="n"/>
      <c r="M1176" s="29" t="n"/>
      <c r="N1176" s="21" t="n"/>
      <c r="O1176" s="12">
        <f>IF(AND(B1176="",C1176=""),"",IF(NOT(ISNUMBER(B1176)),"Needs a date",IF(C1176="","Needs a client",IF(COUNTIF(Clients!$B$6:$B$105,C1176)=0,"Not on Clients",IF(COUNT(D1176:M1176)=0,"Nothing measured","")))))</f>
        <v/>
      </c>
      <c r="P1176" s="1">
        <f>IF(AND(O1176="",ISNUMBER(B1176)),INT(B1176),0)</f>
        <v/>
      </c>
      <c r="Q1176">
        <f>IF(AND(P1176&gt;0,C1176=Report!$C$5),P1176*10000+ROW(),"")</f>
        <v/>
      </c>
      <c r="R1176">
        <f>IF(AND(Q1176&lt;&gt;"",ISNUMBER(D1176)),Q1176,"")</f>
        <v/>
      </c>
      <c r="S1176">
        <f>IF(AND(Q1176&lt;&gt;"",ISNUMBER(E1176)),Q1176,"")</f>
        <v/>
      </c>
      <c r="T1176">
        <f>IF(AND(Q1176&lt;&gt;"",ISNUMBER(F1176)),Q1176,"")</f>
        <v/>
      </c>
      <c r="U1176">
        <f>IF(AND(Q1176&lt;&gt;"",ISNUMBER(G1176)),Q1176,"")</f>
        <v/>
      </c>
      <c r="V1176">
        <f>IF(AND(Q1176&lt;&gt;"",ISNUMBER(H1176)),Q1176,"")</f>
        <v/>
      </c>
      <c r="W1176">
        <f>IF(AND(Q1176&lt;&gt;"",ISNUMBER(I1176)),Q1176,"")</f>
        <v/>
      </c>
      <c r="X1176">
        <f>IF(AND(Q1176&lt;&gt;"",ISNUMBER(J1176)),Q1176,"")</f>
        <v/>
      </c>
      <c r="Y1176">
        <f>IF(AND(Q1176&lt;&gt;"",ISNUMBER(K1176)),Q1176,"")</f>
        <v/>
      </c>
      <c r="Z1176">
        <f>IF(AND(Q1176&lt;&gt;"",ISNUMBER(L1176)),Q1176,"")</f>
        <v/>
      </c>
      <c r="AA1176">
        <f>IF(AND(Q1176&lt;&gt;"",ISNUMBER(M1176)),Q1176,"")</f>
        <v/>
      </c>
      <c r="AB1176">
        <f>IF(AND(Q1176&lt;&gt;"",ISNUMBER(K1176)),K1176,"")</f>
        <v/>
      </c>
      <c r="AC1176">
        <f>IF(AND(Q1176&lt;&gt;"",ISNUMBER(L1176)),L1176,"")</f>
        <v/>
      </c>
      <c r="AD1176">
        <f>IF(AND(Q1176&lt;&gt;"",ISNUMBER(M1176)),M1176,"")</f>
        <v/>
      </c>
    </row>
    <row r="1177">
      <c r="A1177" s="1" t="n"/>
      <c r="B1177" s="17" t="n"/>
      <c r="C1177" s="27" t="n"/>
      <c r="D1177" s="28" t="n"/>
      <c r="E1177" s="28" t="n"/>
      <c r="F1177" s="28" t="n"/>
      <c r="G1177" s="28" t="n"/>
      <c r="H1177" s="28" t="n"/>
      <c r="I1177" s="28" t="n"/>
      <c r="J1177" s="28" t="n"/>
      <c r="K1177" s="28" t="n"/>
      <c r="L1177" s="28" t="n"/>
      <c r="M1177" s="29" t="n"/>
      <c r="N1177" s="21" t="n"/>
      <c r="O1177" s="12">
        <f>IF(AND(B1177="",C1177=""),"",IF(NOT(ISNUMBER(B1177)),"Needs a date",IF(C1177="","Needs a client",IF(COUNTIF(Clients!$B$6:$B$105,C1177)=0,"Not on Clients",IF(COUNT(D1177:M1177)=0,"Nothing measured","")))))</f>
        <v/>
      </c>
      <c r="P1177" s="1">
        <f>IF(AND(O1177="",ISNUMBER(B1177)),INT(B1177),0)</f>
        <v/>
      </c>
      <c r="Q1177">
        <f>IF(AND(P1177&gt;0,C1177=Report!$C$5),P1177*10000+ROW(),"")</f>
        <v/>
      </c>
      <c r="R1177">
        <f>IF(AND(Q1177&lt;&gt;"",ISNUMBER(D1177)),Q1177,"")</f>
        <v/>
      </c>
      <c r="S1177">
        <f>IF(AND(Q1177&lt;&gt;"",ISNUMBER(E1177)),Q1177,"")</f>
        <v/>
      </c>
      <c r="T1177">
        <f>IF(AND(Q1177&lt;&gt;"",ISNUMBER(F1177)),Q1177,"")</f>
        <v/>
      </c>
      <c r="U1177">
        <f>IF(AND(Q1177&lt;&gt;"",ISNUMBER(G1177)),Q1177,"")</f>
        <v/>
      </c>
      <c r="V1177">
        <f>IF(AND(Q1177&lt;&gt;"",ISNUMBER(H1177)),Q1177,"")</f>
        <v/>
      </c>
      <c r="W1177">
        <f>IF(AND(Q1177&lt;&gt;"",ISNUMBER(I1177)),Q1177,"")</f>
        <v/>
      </c>
      <c r="X1177">
        <f>IF(AND(Q1177&lt;&gt;"",ISNUMBER(J1177)),Q1177,"")</f>
        <v/>
      </c>
      <c r="Y1177">
        <f>IF(AND(Q1177&lt;&gt;"",ISNUMBER(K1177)),Q1177,"")</f>
        <v/>
      </c>
      <c r="Z1177">
        <f>IF(AND(Q1177&lt;&gt;"",ISNUMBER(L1177)),Q1177,"")</f>
        <v/>
      </c>
      <c r="AA1177">
        <f>IF(AND(Q1177&lt;&gt;"",ISNUMBER(M1177)),Q1177,"")</f>
        <v/>
      </c>
      <c r="AB1177">
        <f>IF(AND(Q1177&lt;&gt;"",ISNUMBER(K1177)),K1177,"")</f>
        <v/>
      </c>
      <c r="AC1177">
        <f>IF(AND(Q1177&lt;&gt;"",ISNUMBER(L1177)),L1177,"")</f>
        <v/>
      </c>
      <c r="AD1177">
        <f>IF(AND(Q1177&lt;&gt;"",ISNUMBER(M1177)),M1177,"")</f>
        <v/>
      </c>
    </row>
    <row r="1178">
      <c r="A1178" s="1" t="n"/>
      <c r="B1178" s="17" t="n"/>
      <c r="C1178" s="27" t="n"/>
      <c r="D1178" s="28" t="n"/>
      <c r="E1178" s="28" t="n"/>
      <c r="F1178" s="28" t="n"/>
      <c r="G1178" s="28" t="n"/>
      <c r="H1178" s="28" t="n"/>
      <c r="I1178" s="28" t="n"/>
      <c r="J1178" s="28" t="n"/>
      <c r="K1178" s="28" t="n"/>
      <c r="L1178" s="28" t="n"/>
      <c r="M1178" s="29" t="n"/>
      <c r="N1178" s="21" t="n"/>
      <c r="O1178" s="12">
        <f>IF(AND(B1178="",C1178=""),"",IF(NOT(ISNUMBER(B1178)),"Needs a date",IF(C1178="","Needs a client",IF(COUNTIF(Clients!$B$6:$B$105,C1178)=0,"Not on Clients",IF(COUNT(D1178:M1178)=0,"Nothing measured","")))))</f>
        <v/>
      </c>
      <c r="P1178" s="1">
        <f>IF(AND(O1178="",ISNUMBER(B1178)),INT(B1178),0)</f>
        <v/>
      </c>
      <c r="Q1178">
        <f>IF(AND(P1178&gt;0,C1178=Report!$C$5),P1178*10000+ROW(),"")</f>
        <v/>
      </c>
      <c r="R1178">
        <f>IF(AND(Q1178&lt;&gt;"",ISNUMBER(D1178)),Q1178,"")</f>
        <v/>
      </c>
      <c r="S1178">
        <f>IF(AND(Q1178&lt;&gt;"",ISNUMBER(E1178)),Q1178,"")</f>
        <v/>
      </c>
      <c r="T1178">
        <f>IF(AND(Q1178&lt;&gt;"",ISNUMBER(F1178)),Q1178,"")</f>
        <v/>
      </c>
      <c r="U1178">
        <f>IF(AND(Q1178&lt;&gt;"",ISNUMBER(G1178)),Q1178,"")</f>
        <v/>
      </c>
      <c r="V1178">
        <f>IF(AND(Q1178&lt;&gt;"",ISNUMBER(H1178)),Q1178,"")</f>
        <v/>
      </c>
      <c r="W1178">
        <f>IF(AND(Q1178&lt;&gt;"",ISNUMBER(I1178)),Q1178,"")</f>
        <v/>
      </c>
      <c r="X1178">
        <f>IF(AND(Q1178&lt;&gt;"",ISNUMBER(J1178)),Q1178,"")</f>
        <v/>
      </c>
      <c r="Y1178">
        <f>IF(AND(Q1178&lt;&gt;"",ISNUMBER(K1178)),Q1178,"")</f>
        <v/>
      </c>
      <c r="Z1178">
        <f>IF(AND(Q1178&lt;&gt;"",ISNUMBER(L1178)),Q1178,"")</f>
        <v/>
      </c>
      <c r="AA1178">
        <f>IF(AND(Q1178&lt;&gt;"",ISNUMBER(M1178)),Q1178,"")</f>
        <v/>
      </c>
      <c r="AB1178">
        <f>IF(AND(Q1178&lt;&gt;"",ISNUMBER(K1178)),K1178,"")</f>
        <v/>
      </c>
      <c r="AC1178">
        <f>IF(AND(Q1178&lt;&gt;"",ISNUMBER(L1178)),L1178,"")</f>
        <v/>
      </c>
      <c r="AD1178">
        <f>IF(AND(Q1178&lt;&gt;"",ISNUMBER(M1178)),M1178,"")</f>
        <v/>
      </c>
    </row>
    <row r="1179">
      <c r="A1179" s="1" t="n"/>
      <c r="B1179" s="17" t="n"/>
      <c r="C1179" s="27" t="n"/>
      <c r="D1179" s="28" t="n"/>
      <c r="E1179" s="28" t="n"/>
      <c r="F1179" s="28" t="n"/>
      <c r="G1179" s="28" t="n"/>
      <c r="H1179" s="28" t="n"/>
      <c r="I1179" s="28" t="n"/>
      <c r="J1179" s="28" t="n"/>
      <c r="K1179" s="28" t="n"/>
      <c r="L1179" s="28" t="n"/>
      <c r="M1179" s="29" t="n"/>
      <c r="N1179" s="21" t="n"/>
      <c r="O1179" s="12">
        <f>IF(AND(B1179="",C1179=""),"",IF(NOT(ISNUMBER(B1179)),"Needs a date",IF(C1179="","Needs a client",IF(COUNTIF(Clients!$B$6:$B$105,C1179)=0,"Not on Clients",IF(COUNT(D1179:M1179)=0,"Nothing measured","")))))</f>
        <v/>
      </c>
      <c r="P1179" s="1">
        <f>IF(AND(O1179="",ISNUMBER(B1179)),INT(B1179),0)</f>
        <v/>
      </c>
      <c r="Q1179">
        <f>IF(AND(P1179&gt;0,C1179=Report!$C$5),P1179*10000+ROW(),"")</f>
        <v/>
      </c>
      <c r="R1179">
        <f>IF(AND(Q1179&lt;&gt;"",ISNUMBER(D1179)),Q1179,"")</f>
        <v/>
      </c>
      <c r="S1179">
        <f>IF(AND(Q1179&lt;&gt;"",ISNUMBER(E1179)),Q1179,"")</f>
        <v/>
      </c>
      <c r="T1179">
        <f>IF(AND(Q1179&lt;&gt;"",ISNUMBER(F1179)),Q1179,"")</f>
        <v/>
      </c>
      <c r="U1179">
        <f>IF(AND(Q1179&lt;&gt;"",ISNUMBER(G1179)),Q1179,"")</f>
        <v/>
      </c>
      <c r="V1179">
        <f>IF(AND(Q1179&lt;&gt;"",ISNUMBER(H1179)),Q1179,"")</f>
        <v/>
      </c>
      <c r="W1179">
        <f>IF(AND(Q1179&lt;&gt;"",ISNUMBER(I1179)),Q1179,"")</f>
        <v/>
      </c>
      <c r="X1179">
        <f>IF(AND(Q1179&lt;&gt;"",ISNUMBER(J1179)),Q1179,"")</f>
        <v/>
      </c>
      <c r="Y1179">
        <f>IF(AND(Q1179&lt;&gt;"",ISNUMBER(K1179)),Q1179,"")</f>
        <v/>
      </c>
      <c r="Z1179">
        <f>IF(AND(Q1179&lt;&gt;"",ISNUMBER(L1179)),Q1179,"")</f>
        <v/>
      </c>
      <c r="AA1179">
        <f>IF(AND(Q1179&lt;&gt;"",ISNUMBER(M1179)),Q1179,"")</f>
        <v/>
      </c>
      <c r="AB1179">
        <f>IF(AND(Q1179&lt;&gt;"",ISNUMBER(K1179)),K1179,"")</f>
        <v/>
      </c>
      <c r="AC1179">
        <f>IF(AND(Q1179&lt;&gt;"",ISNUMBER(L1179)),L1179,"")</f>
        <v/>
      </c>
      <c r="AD1179">
        <f>IF(AND(Q1179&lt;&gt;"",ISNUMBER(M1179)),M1179,"")</f>
        <v/>
      </c>
    </row>
    <row r="1180">
      <c r="A1180" s="1" t="n"/>
      <c r="B1180" s="17" t="n"/>
      <c r="C1180" s="27" t="n"/>
      <c r="D1180" s="28" t="n"/>
      <c r="E1180" s="28" t="n"/>
      <c r="F1180" s="28" t="n"/>
      <c r="G1180" s="28" t="n"/>
      <c r="H1180" s="28" t="n"/>
      <c r="I1180" s="28" t="n"/>
      <c r="J1180" s="28" t="n"/>
      <c r="K1180" s="28" t="n"/>
      <c r="L1180" s="28" t="n"/>
      <c r="M1180" s="29" t="n"/>
      <c r="N1180" s="21" t="n"/>
      <c r="O1180" s="12">
        <f>IF(AND(B1180="",C1180=""),"",IF(NOT(ISNUMBER(B1180)),"Needs a date",IF(C1180="","Needs a client",IF(COUNTIF(Clients!$B$6:$B$105,C1180)=0,"Not on Clients",IF(COUNT(D1180:M1180)=0,"Nothing measured","")))))</f>
        <v/>
      </c>
      <c r="P1180" s="1">
        <f>IF(AND(O1180="",ISNUMBER(B1180)),INT(B1180),0)</f>
        <v/>
      </c>
      <c r="Q1180">
        <f>IF(AND(P1180&gt;0,C1180=Report!$C$5),P1180*10000+ROW(),"")</f>
        <v/>
      </c>
      <c r="R1180">
        <f>IF(AND(Q1180&lt;&gt;"",ISNUMBER(D1180)),Q1180,"")</f>
        <v/>
      </c>
      <c r="S1180">
        <f>IF(AND(Q1180&lt;&gt;"",ISNUMBER(E1180)),Q1180,"")</f>
        <v/>
      </c>
      <c r="T1180">
        <f>IF(AND(Q1180&lt;&gt;"",ISNUMBER(F1180)),Q1180,"")</f>
        <v/>
      </c>
      <c r="U1180">
        <f>IF(AND(Q1180&lt;&gt;"",ISNUMBER(G1180)),Q1180,"")</f>
        <v/>
      </c>
      <c r="V1180">
        <f>IF(AND(Q1180&lt;&gt;"",ISNUMBER(H1180)),Q1180,"")</f>
        <v/>
      </c>
      <c r="W1180">
        <f>IF(AND(Q1180&lt;&gt;"",ISNUMBER(I1180)),Q1180,"")</f>
        <v/>
      </c>
      <c r="X1180">
        <f>IF(AND(Q1180&lt;&gt;"",ISNUMBER(J1180)),Q1180,"")</f>
        <v/>
      </c>
      <c r="Y1180">
        <f>IF(AND(Q1180&lt;&gt;"",ISNUMBER(K1180)),Q1180,"")</f>
        <v/>
      </c>
      <c r="Z1180">
        <f>IF(AND(Q1180&lt;&gt;"",ISNUMBER(L1180)),Q1180,"")</f>
        <v/>
      </c>
      <c r="AA1180">
        <f>IF(AND(Q1180&lt;&gt;"",ISNUMBER(M1180)),Q1180,"")</f>
        <v/>
      </c>
      <c r="AB1180">
        <f>IF(AND(Q1180&lt;&gt;"",ISNUMBER(K1180)),K1180,"")</f>
        <v/>
      </c>
      <c r="AC1180">
        <f>IF(AND(Q1180&lt;&gt;"",ISNUMBER(L1180)),L1180,"")</f>
        <v/>
      </c>
      <c r="AD1180">
        <f>IF(AND(Q1180&lt;&gt;"",ISNUMBER(M1180)),M1180,"")</f>
        <v/>
      </c>
    </row>
    <row r="1181">
      <c r="A1181" s="1" t="n"/>
      <c r="B1181" s="17" t="n"/>
      <c r="C1181" s="27" t="n"/>
      <c r="D1181" s="28" t="n"/>
      <c r="E1181" s="28" t="n"/>
      <c r="F1181" s="28" t="n"/>
      <c r="G1181" s="28" t="n"/>
      <c r="H1181" s="28" t="n"/>
      <c r="I1181" s="28" t="n"/>
      <c r="J1181" s="28" t="n"/>
      <c r="K1181" s="28" t="n"/>
      <c r="L1181" s="28" t="n"/>
      <c r="M1181" s="29" t="n"/>
      <c r="N1181" s="21" t="n"/>
      <c r="O1181" s="12">
        <f>IF(AND(B1181="",C1181=""),"",IF(NOT(ISNUMBER(B1181)),"Needs a date",IF(C1181="","Needs a client",IF(COUNTIF(Clients!$B$6:$B$105,C1181)=0,"Not on Clients",IF(COUNT(D1181:M1181)=0,"Nothing measured","")))))</f>
        <v/>
      </c>
      <c r="P1181" s="1">
        <f>IF(AND(O1181="",ISNUMBER(B1181)),INT(B1181),0)</f>
        <v/>
      </c>
      <c r="Q1181">
        <f>IF(AND(P1181&gt;0,C1181=Report!$C$5),P1181*10000+ROW(),"")</f>
        <v/>
      </c>
      <c r="R1181">
        <f>IF(AND(Q1181&lt;&gt;"",ISNUMBER(D1181)),Q1181,"")</f>
        <v/>
      </c>
      <c r="S1181">
        <f>IF(AND(Q1181&lt;&gt;"",ISNUMBER(E1181)),Q1181,"")</f>
        <v/>
      </c>
      <c r="T1181">
        <f>IF(AND(Q1181&lt;&gt;"",ISNUMBER(F1181)),Q1181,"")</f>
        <v/>
      </c>
      <c r="U1181">
        <f>IF(AND(Q1181&lt;&gt;"",ISNUMBER(G1181)),Q1181,"")</f>
        <v/>
      </c>
      <c r="V1181">
        <f>IF(AND(Q1181&lt;&gt;"",ISNUMBER(H1181)),Q1181,"")</f>
        <v/>
      </c>
      <c r="W1181">
        <f>IF(AND(Q1181&lt;&gt;"",ISNUMBER(I1181)),Q1181,"")</f>
        <v/>
      </c>
      <c r="X1181">
        <f>IF(AND(Q1181&lt;&gt;"",ISNUMBER(J1181)),Q1181,"")</f>
        <v/>
      </c>
      <c r="Y1181">
        <f>IF(AND(Q1181&lt;&gt;"",ISNUMBER(K1181)),Q1181,"")</f>
        <v/>
      </c>
      <c r="Z1181">
        <f>IF(AND(Q1181&lt;&gt;"",ISNUMBER(L1181)),Q1181,"")</f>
        <v/>
      </c>
      <c r="AA1181">
        <f>IF(AND(Q1181&lt;&gt;"",ISNUMBER(M1181)),Q1181,"")</f>
        <v/>
      </c>
      <c r="AB1181">
        <f>IF(AND(Q1181&lt;&gt;"",ISNUMBER(K1181)),K1181,"")</f>
        <v/>
      </c>
      <c r="AC1181">
        <f>IF(AND(Q1181&lt;&gt;"",ISNUMBER(L1181)),L1181,"")</f>
        <v/>
      </c>
      <c r="AD1181">
        <f>IF(AND(Q1181&lt;&gt;"",ISNUMBER(M1181)),M1181,"")</f>
        <v/>
      </c>
    </row>
    <row r="1182">
      <c r="A1182" s="1" t="n"/>
      <c r="B1182" s="17" t="n"/>
      <c r="C1182" s="27" t="n"/>
      <c r="D1182" s="28" t="n"/>
      <c r="E1182" s="28" t="n"/>
      <c r="F1182" s="28" t="n"/>
      <c r="G1182" s="28" t="n"/>
      <c r="H1182" s="28" t="n"/>
      <c r="I1182" s="28" t="n"/>
      <c r="J1182" s="28" t="n"/>
      <c r="K1182" s="28" t="n"/>
      <c r="L1182" s="28" t="n"/>
      <c r="M1182" s="29" t="n"/>
      <c r="N1182" s="21" t="n"/>
      <c r="O1182" s="12">
        <f>IF(AND(B1182="",C1182=""),"",IF(NOT(ISNUMBER(B1182)),"Needs a date",IF(C1182="","Needs a client",IF(COUNTIF(Clients!$B$6:$B$105,C1182)=0,"Not on Clients",IF(COUNT(D1182:M1182)=0,"Nothing measured","")))))</f>
        <v/>
      </c>
      <c r="P1182" s="1">
        <f>IF(AND(O1182="",ISNUMBER(B1182)),INT(B1182),0)</f>
        <v/>
      </c>
      <c r="Q1182">
        <f>IF(AND(P1182&gt;0,C1182=Report!$C$5),P1182*10000+ROW(),"")</f>
        <v/>
      </c>
      <c r="R1182">
        <f>IF(AND(Q1182&lt;&gt;"",ISNUMBER(D1182)),Q1182,"")</f>
        <v/>
      </c>
      <c r="S1182">
        <f>IF(AND(Q1182&lt;&gt;"",ISNUMBER(E1182)),Q1182,"")</f>
        <v/>
      </c>
      <c r="T1182">
        <f>IF(AND(Q1182&lt;&gt;"",ISNUMBER(F1182)),Q1182,"")</f>
        <v/>
      </c>
      <c r="U1182">
        <f>IF(AND(Q1182&lt;&gt;"",ISNUMBER(G1182)),Q1182,"")</f>
        <v/>
      </c>
      <c r="V1182">
        <f>IF(AND(Q1182&lt;&gt;"",ISNUMBER(H1182)),Q1182,"")</f>
        <v/>
      </c>
      <c r="W1182">
        <f>IF(AND(Q1182&lt;&gt;"",ISNUMBER(I1182)),Q1182,"")</f>
        <v/>
      </c>
      <c r="X1182">
        <f>IF(AND(Q1182&lt;&gt;"",ISNUMBER(J1182)),Q1182,"")</f>
        <v/>
      </c>
      <c r="Y1182">
        <f>IF(AND(Q1182&lt;&gt;"",ISNUMBER(K1182)),Q1182,"")</f>
        <v/>
      </c>
      <c r="Z1182">
        <f>IF(AND(Q1182&lt;&gt;"",ISNUMBER(L1182)),Q1182,"")</f>
        <v/>
      </c>
      <c r="AA1182">
        <f>IF(AND(Q1182&lt;&gt;"",ISNUMBER(M1182)),Q1182,"")</f>
        <v/>
      </c>
      <c r="AB1182">
        <f>IF(AND(Q1182&lt;&gt;"",ISNUMBER(K1182)),K1182,"")</f>
        <v/>
      </c>
      <c r="AC1182">
        <f>IF(AND(Q1182&lt;&gt;"",ISNUMBER(L1182)),L1182,"")</f>
        <v/>
      </c>
      <c r="AD1182">
        <f>IF(AND(Q1182&lt;&gt;"",ISNUMBER(M1182)),M1182,"")</f>
        <v/>
      </c>
    </row>
    <row r="1183">
      <c r="A1183" s="1" t="n"/>
      <c r="B1183" s="17" t="n"/>
      <c r="C1183" s="27" t="n"/>
      <c r="D1183" s="28" t="n"/>
      <c r="E1183" s="28" t="n"/>
      <c r="F1183" s="28" t="n"/>
      <c r="G1183" s="28" t="n"/>
      <c r="H1183" s="28" t="n"/>
      <c r="I1183" s="28" t="n"/>
      <c r="J1183" s="28" t="n"/>
      <c r="K1183" s="28" t="n"/>
      <c r="L1183" s="28" t="n"/>
      <c r="M1183" s="29" t="n"/>
      <c r="N1183" s="21" t="n"/>
      <c r="O1183" s="12">
        <f>IF(AND(B1183="",C1183=""),"",IF(NOT(ISNUMBER(B1183)),"Needs a date",IF(C1183="","Needs a client",IF(COUNTIF(Clients!$B$6:$B$105,C1183)=0,"Not on Clients",IF(COUNT(D1183:M1183)=0,"Nothing measured","")))))</f>
        <v/>
      </c>
      <c r="P1183" s="1">
        <f>IF(AND(O1183="",ISNUMBER(B1183)),INT(B1183),0)</f>
        <v/>
      </c>
      <c r="Q1183">
        <f>IF(AND(P1183&gt;0,C1183=Report!$C$5),P1183*10000+ROW(),"")</f>
        <v/>
      </c>
      <c r="R1183">
        <f>IF(AND(Q1183&lt;&gt;"",ISNUMBER(D1183)),Q1183,"")</f>
        <v/>
      </c>
      <c r="S1183">
        <f>IF(AND(Q1183&lt;&gt;"",ISNUMBER(E1183)),Q1183,"")</f>
        <v/>
      </c>
      <c r="T1183">
        <f>IF(AND(Q1183&lt;&gt;"",ISNUMBER(F1183)),Q1183,"")</f>
        <v/>
      </c>
      <c r="U1183">
        <f>IF(AND(Q1183&lt;&gt;"",ISNUMBER(G1183)),Q1183,"")</f>
        <v/>
      </c>
      <c r="V1183">
        <f>IF(AND(Q1183&lt;&gt;"",ISNUMBER(H1183)),Q1183,"")</f>
        <v/>
      </c>
      <c r="W1183">
        <f>IF(AND(Q1183&lt;&gt;"",ISNUMBER(I1183)),Q1183,"")</f>
        <v/>
      </c>
      <c r="X1183">
        <f>IF(AND(Q1183&lt;&gt;"",ISNUMBER(J1183)),Q1183,"")</f>
        <v/>
      </c>
      <c r="Y1183">
        <f>IF(AND(Q1183&lt;&gt;"",ISNUMBER(K1183)),Q1183,"")</f>
        <v/>
      </c>
      <c r="Z1183">
        <f>IF(AND(Q1183&lt;&gt;"",ISNUMBER(L1183)),Q1183,"")</f>
        <v/>
      </c>
      <c r="AA1183">
        <f>IF(AND(Q1183&lt;&gt;"",ISNUMBER(M1183)),Q1183,"")</f>
        <v/>
      </c>
      <c r="AB1183">
        <f>IF(AND(Q1183&lt;&gt;"",ISNUMBER(K1183)),K1183,"")</f>
        <v/>
      </c>
      <c r="AC1183">
        <f>IF(AND(Q1183&lt;&gt;"",ISNUMBER(L1183)),L1183,"")</f>
        <v/>
      </c>
      <c r="AD1183">
        <f>IF(AND(Q1183&lt;&gt;"",ISNUMBER(M1183)),M1183,"")</f>
        <v/>
      </c>
    </row>
    <row r="1184">
      <c r="A1184" s="1" t="n"/>
      <c r="B1184" s="17" t="n"/>
      <c r="C1184" s="27" t="n"/>
      <c r="D1184" s="28" t="n"/>
      <c r="E1184" s="28" t="n"/>
      <c r="F1184" s="28" t="n"/>
      <c r="G1184" s="28" t="n"/>
      <c r="H1184" s="28" t="n"/>
      <c r="I1184" s="28" t="n"/>
      <c r="J1184" s="28" t="n"/>
      <c r="K1184" s="28" t="n"/>
      <c r="L1184" s="28" t="n"/>
      <c r="M1184" s="29" t="n"/>
      <c r="N1184" s="21" t="n"/>
      <c r="O1184" s="12">
        <f>IF(AND(B1184="",C1184=""),"",IF(NOT(ISNUMBER(B1184)),"Needs a date",IF(C1184="","Needs a client",IF(COUNTIF(Clients!$B$6:$B$105,C1184)=0,"Not on Clients",IF(COUNT(D1184:M1184)=0,"Nothing measured","")))))</f>
        <v/>
      </c>
      <c r="P1184" s="1">
        <f>IF(AND(O1184="",ISNUMBER(B1184)),INT(B1184),0)</f>
        <v/>
      </c>
      <c r="Q1184">
        <f>IF(AND(P1184&gt;0,C1184=Report!$C$5),P1184*10000+ROW(),"")</f>
        <v/>
      </c>
      <c r="R1184">
        <f>IF(AND(Q1184&lt;&gt;"",ISNUMBER(D1184)),Q1184,"")</f>
        <v/>
      </c>
      <c r="S1184">
        <f>IF(AND(Q1184&lt;&gt;"",ISNUMBER(E1184)),Q1184,"")</f>
        <v/>
      </c>
      <c r="T1184">
        <f>IF(AND(Q1184&lt;&gt;"",ISNUMBER(F1184)),Q1184,"")</f>
        <v/>
      </c>
      <c r="U1184">
        <f>IF(AND(Q1184&lt;&gt;"",ISNUMBER(G1184)),Q1184,"")</f>
        <v/>
      </c>
      <c r="V1184">
        <f>IF(AND(Q1184&lt;&gt;"",ISNUMBER(H1184)),Q1184,"")</f>
        <v/>
      </c>
      <c r="W1184">
        <f>IF(AND(Q1184&lt;&gt;"",ISNUMBER(I1184)),Q1184,"")</f>
        <v/>
      </c>
      <c r="X1184">
        <f>IF(AND(Q1184&lt;&gt;"",ISNUMBER(J1184)),Q1184,"")</f>
        <v/>
      </c>
      <c r="Y1184">
        <f>IF(AND(Q1184&lt;&gt;"",ISNUMBER(K1184)),Q1184,"")</f>
        <v/>
      </c>
      <c r="Z1184">
        <f>IF(AND(Q1184&lt;&gt;"",ISNUMBER(L1184)),Q1184,"")</f>
        <v/>
      </c>
      <c r="AA1184">
        <f>IF(AND(Q1184&lt;&gt;"",ISNUMBER(M1184)),Q1184,"")</f>
        <v/>
      </c>
      <c r="AB1184">
        <f>IF(AND(Q1184&lt;&gt;"",ISNUMBER(K1184)),K1184,"")</f>
        <v/>
      </c>
      <c r="AC1184">
        <f>IF(AND(Q1184&lt;&gt;"",ISNUMBER(L1184)),L1184,"")</f>
        <v/>
      </c>
      <c r="AD1184">
        <f>IF(AND(Q1184&lt;&gt;"",ISNUMBER(M1184)),M1184,"")</f>
        <v/>
      </c>
    </row>
    <row r="1185">
      <c r="A1185" s="1" t="n"/>
      <c r="B1185" s="17" t="n"/>
      <c r="C1185" s="27" t="n"/>
      <c r="D1185" s="28" t="n"/>
      <c r="E1185" s="28" t="n"/>
      <c r="F1185" s="28" t="n"/>
      <c r="G1185" s="28" t="n"/>
      <c r="H1185" s="28" t="n"/>
      <c r="I1185" s="28" t="n"/>
      <c r="J1185" s="28" t="n"/>
      <c r="K1185" s="28" t="n"/>
      <c r="L1185" s="28" t="n"/>
      <c r="M1185" s="29" t="n"/>
      <c r="N1185" s="21" t="n"/>
      <c r="O1185" s="12">
        <f>IF(AND(B1185="",C1185=""),"",IF(NOT(ISNUMBER(B1185)),"Needs a date",IF(C1185="","Needs a client",IF(COUNTIF(Clients!$B$6:$B$105,C1185)=0,"Not on Clients",IF(COUNT(D1185:M1185)=0,"Nothing measured","")))))</f>
        <v/>
      </c>
      <c r="P1185" s="1">
        <f>IF(AND(O1185="",ISNUMBER(B1185)),INT(B1185),0)</f>
        <v/>
      </c>
      <c r="Q1185">
        <f>IF(AND(P1185&gt;0,C1185=Report!$C$5),P1185*10000+ROW(),"")</f>
        <v/>
      </c>
      <c r="R1185">
        <f>IF(AND(Q1185&lt;&gt;"",ISNUMBER(D1185)),Q1185,"")</f>
        <v/>
      </c>
      <c r="S1185">
        <f>IF(AND(Q1185&lt;&gt;"",ISNUMBER(E1185)),Q1185,"")</f>
        <v/>
      </c>
      <c r="T1185">
        <f>IF(AND(Q1185&lt;&gt;"",ISNUMBER(F1185)),Q1185,"")</f>
        <v/>
      </c>
      <c r="U1185">
        <f>IF(AND(Q1185&lt;&gt;"",ISNUMBER(G1185)),Q1185,"")</f>
        <v/>
      </c>
      <c r="V1185">
        <f>IF(AND(Q1185&lt;&gt;"",ISNUMBER(H1185)),Q1185,"")</f>
        <v/>
      </c>
      <c r="W1185">
        <f>IF(AND(Q1185&lt;&gt;"",ISNUMBER(I1185)),Q1185,"")</f>
        <v/>
      </c>
      <c r="X1185">
        <f>IF(AND(Q1185&lt;&gt;"",ISNUMBER(J1185)),Q1185,"")</f>
        <v/>
      </c>
      <c r="Y1185">
        <f>IF(AND(Q1185&lt;&gt;"",ISNUMBER(K1185)),Q1185,"")</f>
        <v/>
      </c>
      <c r="Z1185">
        <f>IF(AND(Q1185&lt;&gt;"",ISNUMBER(L1185)),Q1185,"")</f>
        <v/>
      </c>
      <c r="AA1185">
        <f>IF(AND(Q1185&lt;&gt;"",ISNUMBER(M1185)),Q1185,"")</f>
        <v/>
      </c>
      <c r="AB1185">
        <f>IF(AND(Q1185&lt;&gt;"",ISNUMBER(K1185)),K1185,"")</f>
        <v/>
      </c>
      <c r="AC1185">
        <f>IF(AND(Q1185&lt;&gt;"",ISNUMBER(L1185)),L1185,"")</f>
        <v/>
      </c>
      <c r="AD1185">
        <f>IF(AND(Q1185&lt;&gt;"",ISNUMBER(M1185)),M1185,"")</f>
        <v/>
      </c>
    </row>
    <row r="1186">
      <c r="A1186" s="1" t="n"/>
      <c r="B1186" s="17" t="n"/>
      <c r="C1186" s="27" t="n"/>
      <c r="D1186" s="28" t="n"/>
      <c r="E1186" s="28" t="n"/>
      <c r="F1186" s="28" t="n"/>
      <c r="G1186" s="28" t="n"/>
      <c r="H1186" s="28" t="n"/>
      <c r="I1186" s="28" t="n"/>
      <c r="J1186" s="28" t="n"/>
      <c r="K1186" s="28" t="n"/>
      <c r="L1186" s="28" t="n"/>
      <c r="M1186" s="29" t="n"/>
      <c r="N1186" s="21" t="n"/>
      <c r="O1186" s="12">
        <f>IF(AND(B1186="",C1186=""),"",IF(NOT(ISNUMBER(B1186)),"Needs a date",IF(C1186="","Needs a client",IF(COUNTIF(Clients!$B$6:$B$105,C1186)=0,"Not on Clients",IF(COUNT(D1186:M1186)=0,"Nothing measured","")))))</f>
        <v/>
      </c>
      <c r="P1186" s="1">
        <f>IF(AND(O1186="",ISNUMBER(B1186)),INT(B1186),0)</f>
        <v/>
      </c>
      <c r="Q1186">
        <f>IF(AND(P1186&gt;0,C1186=Report!$C$5),P1186*10000+ROW(),"")</f>
        <v/>
      </c>
      <c r="R1186">
        <f>IF(AND(Q1186&lt;&gt;"",ISNUMBER(D1186)),Q1186,"")</f>
        <v/>
      </c>
      <c r="S1186">
        <f>IF(AND(Q1186&lt;&gt;"",ISNUMBER(E1186)),Q1186,"")</f>
        <v/>
      </c>
      <c r="T1186">
        <f>IF(AND(Q1186&lt;&gt;"",ISNUMBER(F1186)),Q1186,"")</f>
        <v/>
      </c>
      <c r="U1186">
        <f>IF(AND(Q1186&lt;&gt;"",ISNUMBER(G1186)),Q1186,"")</f>
        <v/>
      </c>
      <c r="V1186">
        <f>IF(AND(Q1186&lt;&gt;"",ISNUMBER(H1186)),Q1186,"")</f>
        <v/>
      </c>
      <c r="W1186">
        <f>IF(AND(Q1186&lt;&gt;"",ISNUMBER(I1186)),Q1186,"")</f>
        <v/>
      </c>
      <c r="X1186">
        <f>IF(AND(Q1186&lt;&gt;"",ISNUMBER(J1186)),Q1186,"")</f>
        <v/>
      </c>
      <c r="Y1186">
        <f>IF(AND(Q1186&lt;&gt;"",ISNUMBER(K1186)),Q1186,"")</f>
        <v/>
      </c>
      <c r="Z1186">
        <f>IF(AND(Q1186&lt;&gt;"",ISNUMBER(L1186)),Q1186,"")</f>
        <v/>
      </c>
      <c r="AA1186">
        <f>IF(AND(Q1186&lt;&gt;"",ISNUMBER(M1186)),Q1186,"")</f>
        <v/>
      </c>
      <c r="AB1186">
        <f>IF(AND(Q1186&lt;&gt;"",ISNUMBER(K1186)),K1186,"")</f>
        <v/>
      </c>
      <c r="AC1186">
        <f>IF(AND(Q1186&lt;&gt;"",ISNUMBER(L1186)),L1186,"")</f>
        <v/>
      </c>
      <c r="AD1186">
        <f>IF(AND(Q1186&lt;&gt;"",ISNUMBER(M1186)),M1186,"")</f>
        <v/>
      </c>
    </row>
    <row r="1187">
      <c r="A1187" s="1" t="n"/>
      <c r="B1187" s="17" t="n"/>
      <c r="C1187" s="27" t="n"/>
      <c r="D1187" s="28" t="n"/>
      <c r="E1187" s="28" t="n"/>
      <c r="F1187" s="28" t="n"/>
      <c r="G1187" s="28" t="n"/>
      <c r="H1187" s="28" t="n"/>
      <c r="I1187" s="28" t="n"/>
      <c r="J1187" s="28" t="n"/>
      <c r="K1187" s="28" t="n"/>
      <c r="L1187" s="28" t="n"/>
      <c r="M1187" s="29" t="n"/>
      <c r="N1187" s="21" t="n"/>
      <c r="O1187" s="12">
        <f>IF(AND(B1187="",C1187=""),"",IF(NOT(ISNUMBER(B1187)),"Needs a date",IF(C1187="","Needs a client",IF(COUNTIF(Clients!$B$6:$B$105,C1187)=0,"Not on Clients",IF(COUNT(D1187:M1187)=0,"Nothing measured","")))))</f>
        <v/>
      </c>
      <c r="P1187" s="1">
        <f>IF(AND(O1187="",ISNUMBER(B1187)),INT(B1187),0)</f>
        <v/>
      </c>
      <c r="Q1187">
        <f>IF(AND(P1187&gt;0,C1187=Report!$C$5),P1187*10000+ROW(),"")</f>
        <v/>
      </c>
      <c r="R1187">
        <f>IF(AND(Q1187&lt;&gt;"",ISNUMBER(D1187)),Q1187,"")</f>
        <v/>
      </c>
      <c r="S1187">
        <f>IF(AND(Q1187&lt;&gt;"",ISNUMBER(E1187)),Q1187,"")</f>
        <v/>
      </c>
      <c r="T1187">
        <f>IF(AND(Q1187&lt;&gt;"",ISNUMBER(F1187)),Q1187,"")</f>
        <v/>
      </c>
      <c r="U1187">
        <f>IF(AND(Q1187&lt;&gt;"",ISNUMBER(G1187)),Q1187,"")</f>
        <v/>
      </c>
      <c r="V1187">
        <f>IF(AND(Q1187&lt;&gt;"",ISNUMBER(H1187)),Q1187,"")</f>
        <v/>
      </c>
      <c r="W1187">
        <f>IF(AND(Q1187&lt;&gt;"",ISNUMBER(I1187)),Q1187,"")</f>
        <v/>
      </c>
      <c r="X1187">
        <f>IF(AND(Q1187&lt;&gt;"",ISNUMBER(J1187)),Q1187,"")</f>
        <v/>
      </c>
      <c r="Y1187">
        <f>IF(AND(Q1187&lt;&gt;"",ISNUMBER(K1187)),Q1187,"")</f>
        <v/>
      </c>
      <c r="Z1187">
        <f>IF(AND(Q1187&lt;&gt;"",ISNUMBER(L1187)),Q1187,"")</f>
        <v/>
      </c>
      <c r="AA1187">
        <f>IF(AND(Q1187&lt;&gt;"",ISNUMBER(M1187)),Q1187,"")</f>
        <v/>
      </c>
      <c r="AB1187">
        <f>IF(AND(Q1187&lt;&gt;"",ISNUMBER(K1187)),K1187,"")</f>
        <v/>
      </c>
      <c r="AC1187">
        <f>IF(AND(Q1187&lt;&gt;"",ISNUMBER(L1187)),L1187,"")</f>
        <v/>
      </c>
      <c r="AD1187">
        <f>IF(AND(Q1187&lt;&gt;"",ISNUMBER(M1187)),M1187,"")</f>
        <v/>
      </c>
    </row>
    <row r="1188">
      <c r="A1188" s="1" t="n"/>
      <c r="B1188" s="17" t="n"/>
      <c r="C1188" s="27" t="n"/>
      <c r="D1188" s="28" t="n"/>
      <c r="E1188" s="28" t="n"/>
      <c r="F1188" s="28" t="n"/>
      <c r="G1188" s="28" t="n"/>
      <c r="H1188" s="28" t="n"/>
      <c r="I1188" s="28" t="n"/>
      <c r="J1188" s="28" t="n"/>
      <c r="K1188" s="28" t="n"/>
      <c r="L1188" s="28" t="n"/>
      <c r="M1188" s="29" t="n"/>
      <c r="N1188" s="21" t="n"/>
      <c r="O1188" s="12">
        <f>IF(AND(B1188="",C1188=""),"",IF(NOT(ISNUMBER(B1188)),"Needs a date",IF(C1188="","Needs a client",IF(COUNTIF(Clients!$B$6:$B$105,C1188)=0,"Not on Clients",IF(COUNT(D1188:M1188)=0,"Nothing measured","")))))</f>
        <v/>
      </c>
      <c r="P1188" s="1">
        <f>IF(AND(O1188="",ISNUMBER(B1188)),INT(B1188),0)</f>
        <v/>
      </c>
      <c r="Q1188">
        <f>IF(AND(P1188&gt;0,C1188=Report!$C$5),P1188*10000+ROW(),"")</f>
        <v/>
      </c>
      <c r="R1188">
        <f>IF(AND(Q1188&lt;&gt;"",ISNUMBER(D1188)),Q1188,"")</f>
        <v/>
      </c>
      <c r="S1188">
        <f>IF(AND(Q1188&lt;&gt;"",ISNUMBER(E1188)),Q1188,"")</f>
        <v/>
      </c>
      <c r="T1188">
        <f>IF(AND(Q1188&lt;&gt;"",ISNUMBER(F1188)),Q1188,"")</f>
        <v/>
      </c>
      <c r="U1188">
        <f>IF(AND(Q1188&lt;&gt;"",ISNUMBER(G1188)),Q1188,"")</f>
        <v/>
      </c>
      <c r="V1188">
        <f>IF(AND(Q1188&lt;&gt;"",ISNUMBER(H1188)),Q1188,"")</f>
        <v/>
      </c>
      <c r="W1188">
        <f>IF(AND(Q1188&lt;&gt;"",ISNUMBER(I1188)),Q1188,"")</f>
        <v/>
      </c>
      <c r="X1188">
        <f>IF(AND(Q1188&lt;&gt;"",ISNUMBER(J1188)),Q1188,"")</f>
        <v/>
      </c>
      <c r="Y1188">
        <f>IF(AND(Q1188&lt;&gt;"",ISNUMBER(K1188)),Q1188,"")</f>
        <v/>
      </c>
      <c r="Z1188">
        <f>IF(AND(Q1188&lt;&gt;"",ISNUMBER(L1188)),Q1188,"")</f>
        <v/>
      </c>
      <c r="AA1188">
        <f>IF(AND(Q1188&lt;&gt;"",ISNUMBER(M1188)),Q1188,"")</f>
        <v/>
      </c>
      <c r="AB1188">
        <f>IF(AND(Q1188&lt;&gt;"",ISNUMBER(K1188)),K1188,"")</f>
        <v/>
      </c>
      <c r="AC1188">
        <f>IF(AND(Q1188&lt;&gt;"",ISNUMBER(L1188)),L1188,"")</f>
        <v/>
      </c>
      <c r="AD1188">
        <f>IF(AND(Q1188&lt;&gt;"",ISNUMBER(M1188)),M1188,"")</f>
        <v/>
      </c>
    </row>
    <row r="1189">
      <c r="A1189" s="1" t="n"/>
      <c r="B1189" s="17" t="n"/>
      <c r="C1189" s="27" t="n"/>
      <c r="D1189" s="28" t="n"/>
      <c r="E1189" s="28" t="n"/>
      <c r="F1189" s="28" t="n"/>
      <c r="G1189" s="28" t="n"/>
      <c r="H1189" s="28" t="n"/>
      <c r="I1189" s="28" t="n"/>
      <c r="J1189" s="28" t="n"/>
      <c r="K1189" s="28" t="n"/>
      <c r="L1189" s="28" t="n"/>
      <c r="M1189" s="29" t="n"/>
      <c r="N1189" s="21" t="n"/>
      <c r="O1189" s="12">
        <f>IF(AND(B1189="",C1189=""),"",IF(NOT(ISNUMBER(B1189)),"Needs a date",IF(C1189="","Needs a client",IF(COUNTIF(Clients!$B$6:$B$105,C1189)=0,"Not on Clients",IF(COUNT(D1189:M1189)=0,"Nothing measured","")))))</f>
        <v/>
      </c>
      <c r="P1189" s="1">
        <f>IF(AND(O1189="",ISNUMBER(B1189)),INT(B1189),0)</f>
        <v/>
      </c>
      <c r="Q1189">
        <f>IF(AND(P1189&gt;0,C1189=Report!$C$5),P1189*10000+ROW(),"")</f>
        <v/>
      </c>
      <c r="R1189">
        <f>IF(AND(Q1189&lt;&gt;"",ISNUMBER(D1189)),Q1189,"")</f>
        <v/>
      </c>
      <c r="S1189">
        <f>IF(AND(Q1189&lt;&gt;"",ISNUMBER(E1189)),Q1189,"")</f>
        <v/>
      </c>
      <c r="T1189">
        <f>IF(AND(Q1189&lt;&gt;"",ISNUMBER(F1189)),Q1189,"")</f>
        <v/>
      </c>
      <c r="U1189">
        <f>IF(AND(Q1189&lt;&gt;"",ISNUMBER(G1189)),Q1189,"")</f>
        <v/>
      </c>
      <c r="V1189">
        <f>IF(AND(Q1189&lt;&gt;"",ISNUMBER(H1189)),Q1189,"")</f>
        <v/>
      </c>
      <c r="W1189">
        <f>IF(AND(Q1189&lt;&gt;"",ISNUMBER(I1189)),Q1189,"")</f>
        <v/>
      </c>
      <c r="X1189">
        <f>IF(AND(Q1189&lt;&gt;"",ISNUMBER(J1189)),Q1189,"")</f>
        <v/>
      </c>
      <c r="Y1189">
        <f>IF(AND(Q1189&lt;&gt;"",ISNUMBER(K1189)),Q1189,"")</f>
        <v/>
      </c>
      <c r="Z1189">
        <f>IF(AND(Q1189&lt;&gt;"",ISNUMBER(L1189)),Q1189,"")</f>
        <v/>
      </c>
      <c r="AA1189">
        <f>IF(AND(Q1189&lt;&gt;"",ISNUMBER(M1189)),Q1189,"")</f>
        <v/>
      </c>
      <c r="AB1189">
        <f>IF(AND(Q1189&lt;&gt;"",ISNUMBER(K1189)),K1189,"")</f>
        <v/>
      </c>
      <c r="AC1189">
        <f>IF(AND(Q1189&lt;&gt;"",ISNUMBER(L1189)),L1189,"")</f>
        <v/>
      </c>
      <c r="AD1189">
        <f>IF(AND(Q1189&lt;&gt;"",ISNUMBER(M1189)),M1189,"")</f>
        <v/>
      </c>
    </row>
    <row r="1190">
      <c r="A1190" s="1" t="n"/>
      <c r="B1190" s="17" t="n"/>
      <c r="C1190" s="27" t="n"/>
      <c r="D1190" s="28" t="n"/>
      <c r="E1190" s="28" t="n"/>
      <c r="F1190" s="28" t="n"/>
      <c r="G1190" s="28" t="n"/>
      <c r="H1190" s="28" t="n"/>
      <c r="I1190" s="28" t="n"/>
      <c r="J1190" s="28" t="n"/>
      <c r="K1190" s="28" t="n"/>
      <c r="L1190" s="28" t="n"/>
      <c r="M1190" s="29" t="n"/>
      <c r="N1190" s="21" t="n"/>
      <c r="O1190" s="12">
        <f>IF(AND(B1190="",C1190=""),"",IF(NOT(ISNUMBER(B1190)),"Needs a date",IF(C1190="","Needs a client",IF(COUNTIF(Clients!$B$6:$B$105,C1190)=0,"Not on Clients",IF(COUNT(D1190:M1190)=0,"Nothing measured","")))))</f>
        <v/>
      </c>
      <c r="P1190" s="1">
        <f>IF(AND(O1190="",ISNUMBER(B1190)),INT(B1190),0)</f>
        <v/>
      </c>
      <c r="Q1190">
        <f>IF(AND(P1190&gt;0,C1190=Report!$C$5),P1190*10000+ROW(),"")</f>
        <v/>
      </c>
      <c r="R1190">
        <f>IF(AND(Q1190&lt;&gt;"",ISNUMBER(D1190)),Q1190,"")</f>
        <v/>
      </c>
      <c r="S1190">
        <f>IF(AND(Q1190&lt;&gt;"",ISNUMBER(E1190)),Q1190,"")</f>
        <v/>
      </c>
      <c r="T1190">
        <f>IF(AND(Q1190&lt;&gt;"",ISNUMBER(F1190)),Q1190,"")</f>
        <v/>
      </c>
      <c r="U1190">
        <f>IF(AND(Q1190&lt;&gt;"",ISNUMBER(G1190)),Q1190,"")</f>
        <v/>
      </c>
      <c r="V1190">
        <f>IF(AND(Q1190&lt;&gt;"",ISNUMBER(H1190)),Q1190,"")</f>
        <v/>
      </c>
      <c r="W1190">
        <f>IF(AND(Q1190&lt;&gt;"",ISNUMBER(I1190)),Q1190,"")</f>
        <v/>
      </c>
      <c r="X1190">
        <f>IF(AND(Q1190&lt;&gt;"",ISNUMBER(J1190)),Q1190,"")</f>
        <v/>
      </c>
      <c r="Y1190">
        <f>IF(AND(Q1190&lt;&gt;"",ISNUMBER(K1190)),Q1190,"")</f>
        <v/>
      </c>
      <c r="Z1190">
        <f>IF(AND(Q1190&lt;&gt;"",ISNUMBER(L1190)),Q1190,"")</f>
        <v/>
      </c>
      <c r="AA1190">
        <f>IF(AND(Q1190&lt;&gt;"",ISNUMBER(M1190)),Q1190,"")</f>
        <v/>
      </c>
      <c r="AB1190">
        <f>IF(AND(Q1190&lt;&gt;"",ISNUMBER(K1190)),K1190,"")</f>
        <v/>
      </c>
      <c r="AC1190">
        <f>IF(AND(Q1190&lt;&gt;"",ISNUMBER(L1190)),L1190,"")</f>
        <v/>
      </c>
      <c r="AD1190">
        <f>IF(AND(Q1190&lt;&gt;"",ISNUMBER(M1190)),M1190,"")</f>
        <v/>
      </c>
    </row>
    <row r="1191">
      <c r="A1191" s="1" t="n"/>
      <c r="B1191" s="17" t="n"/>
      <c r="C1191" s="27" t="n"/>
      <c r="D1191" s="28" t="n"/>
      <c r="E1191" s="28" t="n"/>
      <c r="F1191" s="28" t="n"/>
      <c r="G1191" s="28" t="n"/>
      <c r="H1191" s="28" t="n"/>
      <c r="I1191" s="28" t="n"/>
      <c r="J1191" s="28" t="n"/>
      <c r="K1191" s="28" t="n"/>
      <c r="L1191" s="28" t="n"/>
      <c r="M1191" s="29" t="n"/>
      <c r="N1191" s="21" t="n"/>
      <c r="O1191" s="12">
        <f>IF(AND(B1191="",C1191=""),"",IF(NOT(ISNUMBER(B1191)),"Needs a date",IF(C1191="","Needs a client",IF(COUNTIF(Clients!$B$6:$B$105,C1191)=0,"Not on Clients",IF(COUNT(D1191:M1191)=0,"Nothing measured","")))))</f>
        <v/>
      </c>
      <c r="P1191" s="1">
        <f>IF(AND(O1191="",ISNUMBER(B1191)),INT(B1191),0)</f>
        <v/>
      </c>
      <c r="Q1191">
        <f>IF(AND(P1191&gt;0,C1191=Report!$C$5),P1191*10000+ROW(),"")</f>
        <v/>
      </c>
      <c r="R1191">
        <f>IF(AND(Q1191&lt;&gt;"",ISNUMBER(D1191)),Q1191,"")</f>
        <v/>
      </c>
      <c r="S1191">
        <f>IF(AND(Q1191&lt;&gt;"",ISNUMBER(E1191)),Q1191,"")</f>
        <v/>
      </c>
      <c r="T1191">
        <f>IF(AND(Q1191&lt;&gt;"",ISNUMBER(F1191)),Q1191,"")</f>
        <v/>
      </c>
      <c r="U1191">
        <f>IF(AND(Q1191&lt;&gt;"",ISNUMBER(G1191)),Q1191,"")</f>
        <v/>
      </c>
      <c r="V1191">
        <f>IF(AND(Q1191&lt;&gt;"",ISNUMBER(H1191)),Q1191,"")</f>
        <v/>
      </c>
      <c r="W1191">
        <f>IF(AND(Q1191&lt;&gt;"",ISNUMBER(I1191)),Q1191,"")</f>
        <v/>
      </c>
      <c r="X1191">
        <f>IF(AND(Q1191&lt;&gt;"",ISNUMBER(J1191)),Q1191,"")</f>
        <v/>
      </c>
      <c r="Y1191">
        <f>IF(AND(Q1191&lt;&gt;"",ISNUMBER(K1191)),Q1191,"")</f>
        <v/>
      </c>
      <c r="Z1191">
        <f>IF(AND(Q1191&lt;&gt;"",ISNUMBER(L1191)),Q1191,"")</f>
        <v/>
      </c>
      <c r="AA1191">
        <f>IF(AND(Q1191&lt;&gt;"",ISNUMBER(M1191)),Q1191,"")</f>
        <v/>
      </c>
      <c r="AB1191">
        <f>IF(AND(Q1191&lt;&gt;"",ISNUMBER(K1191)),K1191,"")</f>
        <v/>
      </c>
      <c r="AC1191">
        <f>IF(AND(Q1191&lt;&gt;"",ISNUMBER(L1191)),L1191,"")</f>
        <v/>
      </c>
      <c r="AD1191">
        <f>IF(AND(Q1191&lt;&gt;"",ISNUMBER(M1191)),M1191,"")</f>
        <v/>
      </c>
    </row>
    <row r="1192">
      <c r="A1192" s="1" t="n"/>
      <c r="B1192" s="17" t="n"/>
      <c r="C1192" s="27" t="n"/>
      <c r="D1192" s="28" t="n"/>
      <c r="E1192" s="28" t="n"/>
      <c r="F1192" s="28" t="n"/>
      <c r="G1192" s="28" t="n"/>
      <c r="H1192" s="28" t="n"/>
      <c r="I1192" s="28" t="n"/>
      <c r="J1192" s="28" t="n"/>
      <c r="K1192" s="28" t="n"/>
      <c r="L1192" s="28" t="n"/>
      <c r="M1192" s="29" t="n"/>
      <c r="N1192" s="21" t="n"/>
      <c r="O1192" s="12">
        <f>IF(AND(B1192="",C1192=""),"",IF(NOT(ISNUMBER(B1192)),"Needs a date",IF(C1192="","Needs a client",IF(COUNTIF(Clients!$B$6:$B$105,C1192)=0,"Not on Clients",IF(COUNT(D1192:M1192)=0,"Nothing measured","")))))</f>
        <v/>
      </c>
      <c r="P1192" s="1">
        <f>IF(AND(O1192="",ISNUMBER(B1192)),INT(B1192),0)</f>
        <v/>
      </c>
      <c r="Q1192">
        <f>IF(AND(P1192&gt;0,C1192=Report!$C$5),P1192*10000+ROW(),"")</f>
        <v/>
      </c>
      <c r="R1192">
        <f>IF(AND(Q1192&lt;&gt;"",ISNUMBER(D1192)),Q1192,"")</f>
        <v/>
      </c>
      <c r="S1192">
        <f>IF(AND(Q1192&lt;&gt;"",ISNUMBER(E1192)),Q1192,"")</f>
        <v/>
      </c>
      <c r="T1192">
        <f>IF(AND(Q1192&lt;&gt;"",ISNUMBER(F1192)),Q1192,"")</f>
        <v/>
      </c>
      <c r="U1192">
        <f>IF(AND(Q1192&lt;&gt;"",ISNUMBER(G1192)),Q1192,"")</f>
        <v/>
      </c>
      <c r="V1192">
        <f>IF(AND(Q1192&lt;&gt;"",ISNUMBER(H1192)),Q1192,"")</f>
        <v/>
      </c>
      <c r="W1192">
        <f>IF(AND(Q1192&lt;&gt;"",ISNUMBER(I1192)),Q1192,"")</f>
        <v/>
      </c>
      <c r="X1192">
        <f>IF(AND(Q1192&lt;&gt;"",ISNUMBER(J1192)),Q1192,"")</f>
        <v/>
      </c>
      <c r="Y1192">
        <f>IF(AND(Q1192&lt;&gt;"",ISNUMBER(K1192)),Q1192,"")</f>
        <v/>
      </c>
      <c r="Z1192">
        <f>IF(AND(Q1192&lt;&gt;"",ISNUMBER(L1192)),Q1192,"")</f>
        <v/>
      </c>
      <c r="AA1192">
        <f>IF(AND(Q1192&lt;&gt;"",ISNUMBER(M1192)),Q1192,"")</f>
        <v/>
      </c>
      <c r="AB1192">
        <f>IF(AND(Q1192&lt;&gt;"",ISNUMBER(K1192)),K1192,"")</f>
        <v/>
      </c>
      <c r="AC1192">
        <f>IF(AND(Q1192&lt;&gt;"",ISNUMBER(L1192)),L1192,"")</f>
        <v/>
      </c>
      <c r="AD1192">
        <f>IF(AND(Q1192&lt;&gt;"",ISNUMBER(M1192)),M1192,"")</f>
        <v/>
      </c>
    </row>
    <row r="1193">
      <c r="A1193" s="1" t="n"/>
      <c r="B1193" s="17" t="n"/>
      <c r="C1193" s="27" t="n"/>
      <c r="D1193" s="28" t="n"/>
      <c r="E1193" s="28" t="n"/>
      <c r="F1193" s="28" t="n"/>
      <c r="G1193" s="28" t="n"/>
      <c r="H1193" s="28" t="n"/>
      <c r="I1193" s="28" t="n"/>
      <c r="J1193" s="28" t="n"/>
      <c r="K1193" s="28" t="n"/>
      <c r="L1193" s="28" t="n"/>
      <c r="M1193" s="29" t="n"/>
      <c r="N1193" s="21" t="n"/>
      <c r="O1193" s="12">
        <f>IF(AND(B1193="",C1193=""),"",IF(NOT(ISNUMBER(B1193)),"Needs a date",IF(C1193="","Needs a client",IF(COUNTIF(Clients!$B$6:$B$105,C1193)=0,"Not on Clients",IF(COUNT(D1193:M1193)=0,"Nothing measured","")))))</f>
        <v/>
      </c>
      <c r="P1193" s="1">
        <f>IF(AND(O1193="",ISNUMBER(B1193)),INT(B1193),0)</f>
        <v/>
      </c>
      <c r="Q1193">
        <f>IF(AND(P1193&gt;0,C1193=Report!$C$5),P1193*10000+ROW(),"")</f>
        <v/>
      </c>
      <c r="R1193">
        <f>IF(AND(Q1193&lt;&gt;"",ISNUMBER(D1193)),Q1193,"")</f>
        <v/>
      </c>
      <c r="S1193">
        <f>IF(AND(Q1193&lt;&gt;"",ISNUMBER(E1193)),Q1193,"")</f>
        <v/>
      </c>
      <c r="T1193">
        <f>IF(AND(Q1193&lt;&gt;"",ISNUMBER(F1193)),Q1193,"")</f>
        <v/>
      </c>
      <c r="U1193">
        <f>IF(AND(Q1193&lt;&gt;"",ISNUMBER(G1193)),Q1193,"")</f>
        <v/>
      </c>
      <c r="V1193">
        <f>IF(AND(Q1193&lt;&gt;"",ISNUMBER(H1193)),Q1193,"")</f>
        <v/>
      </c>
      <c r="W1193">
        <f>IF(AND(Q1193&lt;&gt;"",ISNUMBER(I1193)),Q1193,"")</f>
        <v/>
      </c>
      <c r="X1193">
        <f>IF(AND(Q1193&lt;&gt;"",ISNUMBER(J1193)),Q1193,"")</f>
        <v/>
      </c>
      <c r="Y1193">
        <f>IF(AND(Q1193&lt;&gt;"",ISNUMBER(K1193)),Q1193,"")</f>
        <v/>
      </c>
      <c r="Z1193">
        <f>IF(AND(Q1193&lt;&gt;"",ISNUMBER(L1193)),Q1193,"")</f>
        <v/>
      </c>
      <c r="AA1193">
        <f>IF(AND(Q1193&lt;&gt;"",ISNUMBER(M1193)),Q1193,"")</f>
        <v/>
      </c>
      <c r="AB1193">
        <f>IF(AND(Q1193&lt;&gt;"",ISNUMBER(K1193)),K1193,"")</f>
        <v/>
      </c>
      <c r="AC1193">
        <f>IF(AND(Q1193&lt;&gt;"",ISNUMBER(L1193)),L1193,"")</f>
        <v/>
      </c>
      <c r="AD1193">
        <f>IF(AND(Q1193&lt;&gt;"",ISNUMBER(M1193)),M1193,"")</f>
        <v/>
      </c>
    </row>
    <row r="1194">
      <c r="A1194" s="1" t="n"/>
      <c r="B1194" s="17" t="n"/>
      <c r="C1194" s="27" t="n"/>
      <c r="D1194" s="28" t="n"/>
      <c r="E1194" s="28" t="n"/>
      <c r="F1194" s="28" t="n"/>
      <c r="G1194" s="28" t="n"/>
      <c r="H1194" s="28" t="n"/>
      <c r="I1194" s="28" t="n"/>
      <c r="J1194" s="28" t="n"/>
      <c r="K1194" s="28" t="n"/>
      <c r="L1194" s="28" t="n"/>
      <c r="M1194" s="29" t="n"/>
      <c r="N1194" s="21" t="n"/>
      <c r="O1194" s="12">
        <f>IF(AND(B1194="",C1194=""),"",IF(NOT(ISNUMBER(B1194)),"Needs a date",IF(C1194="","Needs a client",IF(COUNTIF(Clients!$B$6:$B$105,C1194)=0,"Not on Clients",IF(COUNT(D1194:M1194)=0,"Nothing measured","")))))</f>
        <v/>
      </c>
      <c r="P1194" s="1">
        <f>IF(AND(O1194="",ISNUMBER(B1194)),INT(B1194),0)</f>
        <v/>
      </c>
      <c r="Q1194">
        <f>IF(AND(P1194&gt;0,C1194=Report!$C$5),P1194*10000+ROW(),"")</f>
        <v/>
      </c>
      <c r="R1194">
        <f>IF(AND(Q1194&lt;&gt;"",ISNUMBER(D1194)),Q1194,"")</f>
        <v/>
      </c>
      <c r="S1194">
        <f>IF(AND(Q1194&lt;&gt;"",ISNUMBER(E1194)),Q1194,"")</f>
        <v/>
      </c>
      <c r="T1194">
        <f>IF(AND(Q1194&lt;&gt;"",ISNUMBER(F1194)),Q1194,"")</f>
        <v/>
      </c>
      <c r="U1194">
        <f>IF(AND(Q1194&lt;&gt;"",ISNUMBER(G1194)),Q1194,"")</f>
        <v/>
      </c>
      <c r="V1194">
        <f>IF(AND(Q1194&lt;&gt;"",ISNUMBER(H1194)),Q1194,"")</f>
        <v/>
      </c>
      <c r="W1194">
        <f>IF(AND(Q1194&lt;&gt;"",ISNUMBER(I1194)),Q1194,"")</f>
        <v/>
      </c>
      <c r="X1194">
        <f>IF(AND(Q1194&lt;&gt;"",ISNUMBER(J1194)),Q1194,"")</f>
        <v/>
      </c>
      <c r="Y1194">
        <f>IF(AND(Q1194&lt;&gt;"",ISNUMBER(K1194)),Q1194,"")</f>
        <v/>
      </c>
      <c r="Z1194">
        <f>IF(AND(Q1194&lt;&gt;"",ISNUMBER(L1194)),Q1194,"")</f>
        <v/>
      </c>
      <c r="AA1194">
        <f>IF(AND(Q1194&lt;&gt;"",ISNUMBER(M1194)),Q1194,"")</f>
        <v/>
      </c>
      <c r="AB1194">
        <f>IF(AND(Q1194&lt;&gt;"",ISNUMBER(K1194)),K1194,"")</f>
        <v/>
      </c>
      <c r="AC1194">
        <f>IF(AND(Q1194&lt;&gt;"",ISNUMBER(L1194)),L1194,"")</f>
        <v/>
      </c>
      <c r="AD1194">
        <f>IF(AND(Q1194&lt;&gt;"",ISNUMBER(M1194)),M1194,"")</f>
        <v/>
      </c>
    </row>
    <row r="1195">
      <c r="A1195" s="1" t="n"/>
      <c r="B1195" s="17" t="n"/>
      <c r="C1195" s="27" t="n"/>
      <c r="D1195" s="28" t="n"/>
      <c r="E1195" s="28" t="n"/>
      <c r="F1195" s="28" t="n"/>
      <c r="G1195" s="28" t="n"/>
      <c r="H1195" s="28" t="n"/>
      <c r="I1195" s="28" t="n"/>
      <c r="J1195" s="28" t="n"/>
      <c r="K1195" s="28" t="n"/>
      <c r="L1195" s="28" t="n"/>
      <c r="M1195" s="29" t="n"/>
      <c r="N1195" s="21" t="n"/>
      <c r="O1195" s="12">
        <f>IF(AND(B1195="",C1195=""),"",IF(NOT(ISNUMBER(B1195)),"Needs a date",IF(C1195="","Needs a client",IF(COUNTIF(Clients!$B$6:$B$105,C1195)=0,"Not on Clients",IF(COUNT(D1195:M1195)=0,"Nothing measured","")))))</f>
        <v/>
      </c>
      <c r="P1195" s="1">
        <f>IF(AND(O1195="",ISNUMBER(B1195)),INT(B1195),0)</f>
        <v/>
      </c>
      <c r="Q1195">
        <f>IF(AND(P1195&gt;0,C1195=Report!$C$5),P1195*10000+ROW(),"")</f>
        <v/>
      </c>
      <c r="R1195">
        <f>IF(AND(Q1195&lt;&gt;"",ISNUMBER(D1195)),Q1195,"")</f>
        <v/>
      </c>
      <c r="S1195">
        <f>IF(AND(Q1195&lt;&gt;"",ISNUMBER(E1195)),Q1195,"")</f>
        <v/>
      </c>
      <c r="T1195">
        <f>IF(AND(Q1195&lt;&gt;"",ISNUMBER(F1195)),Q1195,"")</f>
        <v/>
      </c>
      <c r="U1195">
        <f>IF(AND(Q1195&lt;&gt;"",ISNUMBER(G1195)),Q1195,"")</f>
        <v/>
      </c>
      <c r="V1195">
        <f>IF(AND(Q1195&lt;&gt;"",ISNUMBER(H1195)),Q1195,"")</f>
        <v/>
      </c>
      <c r="W1195">
        <f>IF(AND(Q1195&lt;&gt;"",ISNUMBER(I1195)),Q1195,"")</f>
        <v/>
      </c>
      <c r="X1195">
        <f>IF(AND(Q1195&lt;&gt;"",ISNUMBER(J1195)),Q1195,"")</f>
        <v/>
      </c>
      <c r="Y1195">
        <f>IF(AND(Q1195&lt;&gt;"",ISNUMBER(K1195)),Q1195,"")</f>
        <v/>
      </c>
      <c r="Z1195">
        <f>IF(AND(Q1195&lt;&gt;"",ISNUMBER(L1195)),Q1195,"")</f>
        <v/>
      </c>
      <c r="AA1195">
        <f>IF(AND(Q1195&lt;&gt;"",ISNUMBER(M1195)),Q1195,"")</f>
        <v/>
      </c>
      <c r="AB1195">
        <f>IF(AND(Q1195&lt;&gt;"",ISNUMBER(K1195)),K1195,"")</f>
        <v/>
      </c>
      <c r="AC1195">
        <f>IF(AND(Q1195&lt;&gt;"",ISNUMBER(L1195)),L1195,"")</f>
        <v/>
      </c>
      <c r="AD1195">
        <f>IF(AND(Q1195&lt;&gt;"",ISNUMBER(M1195)),M1195,"")</f>
        <v/>
      </c>
    </row>
    <row r="1196">
      <c r="A1196" s="1" t="n"/>
      <c r="B1196" s="17" t="n"/>
      <c r="C1196" s="27" t="n"/>
      <c r="D1196" s="28" t="n"/>
      <c r="E1196" s="28" t="n"/>
      <c r="F1196" s="28" t="n"/>
      <c r="G1196" s="28" t="n"/>
      <c r="H1196" s="28" t="n"/>
      <c r="I1196" s="28" t="n"/>
      <c r="J1196" s="28" t="n"/>
      <c r="K1196" s="28" t="n"/>
      <c r="L1196" s="28" t="n"/>
      <c r="M1196" s="29" t="n"/>
      <c r="N1196" s="21" t="n"/>
      <c r="O1196" s="12">
        <f>IF(AND(B1196="",C1196=""),"",IF(NOT(ISNUMBER(B1196)),"Needs a date",IF(C1196="","Needs a client",IF(COUNTIF(Clients!$B$6:$B$105,C1196)=0,"Not on Clients",IF(COUNT(D1196:M1196)=0,"Nothing measured","")))))</f>
        <v/>
      </c>
      <c r="P1196" s="1">
        <f>IF(AND(O1196="",ISNUMBER(B1196)),INT(B1196),0)</f>
        <v/>
      </c>
      <c r="Q1196">
        <f>IF(AND(P1196&gt;0,C1196=Report!$C$5),P1196*10000+ROW(),"")</f>
        <v/>
      </c>
      <c r="R1196">
        <f>IF(AND(Q1196&lt;&gt;"",ISNUMBER(D1196)),Q1196,"")</f>
        <v/>
      </c>
      <c r="S1196">
        <f>IF(AND(Q1196&lt;&gt;"",ISNUMBER(E1196)),Q1196,"")</f>
        <v/>
      </c>
      <c r="T1196">
        <f>IF(AND(Q1196&lt;&gt;"",ISNUMBER(F1196)),Q1196,"")</f>
        <v/>
      </c>
      <c r="U1196">
        <f>IF(AND(Q1196&lt;&gt;"",ISNUMBER(G1196)),Q1196,"")</f>
        <v/>
      </c>
      <c r="V1196">
        <f>IF(AND(Q1196&lt;&gt;"",ISNUMBER(H1196)),Q1196,"")</f>
        <v/>
      </c>
      <c r="W1196">
        <f>IF(AND(Q1196&lt;&gt;"",ISNUMBER(I1196)),Q1196,"")</f>
        <v/>
      </c>
      <c r="X1196">
        <f>IF(AND(Q1196&lt;&gt;"",ISNUMBER(J1196)),Q1196,"")</f>
        <v/>
      </c>
      <c r="Y1196">
        <f>IF(AND(Q1196&lt;&gt;"",ISNUMBER(K1196)),Q1196,"")</f>
        <v/>
      </c>
      <c r="Z1196">
        <f>IF(AND(Q1196&lt;&gt;"",ISNUMBER(L1196)),Q1196,"")</f>
        <v/>
      </c>
      <c r="AA1196">
        <f>IF(AND(Q1196&lt;&gt;"",ISNUMBER(M1196)),Q1196,"")</f>
        <v/>
      </c>
      <c r="AB1196">
        <f>IF(AND(Q1196&lt;&gt;"",ISNUMBER(K1196)),K1196,"")</f>
        <v/>
      </c>
      <c r="AC1196">
        <f>IF(AND(Q1196&lt;&gt;"",ISNUMBER(L1196)),L1196,"")</f>
        <v/>
      </c>
      <c r="AD1196">
        <f>IF(AND(Q1196&lt;&gt;"",ISNUMBER(M1196)),M1196,"")</f>
        <v/>
      </c>
    </row>
    <row r="1197">
      <c r="A1197" s="1" t="n"/>
      <c r="B1197" s="17" t="n"/>
      <c r="C1197" s="27" t="n"/>
      <c r="D1197" s="28" t="n"/>
      <c r="E1197" s="28" t="n"/>
      <c r="F1197" s="28" t="n"/>
      <c r="G1197" s="28" t="n"/>
      <c r="H1197" s="28" t="n"/>
      <c r="I1197" s="28" t="n"/>
      <c r="J1197" s="28" t="n"/>
      <c r="K1197" s="28" t="n"/>
      <c r="L1197" s="28" t="n"/>
      <c r="M1197" s="29" t="n"/>
      <c r="N1197" s="21" t="n"/>
      <c r="O1197" s="12">
        <f>IF(AND(B1197="",C1197=""),"",IF(NOT(ISNUMBER(B1197)),"Needs a date",IF(C1197="","Needs a client",IF(COUNTIF(Clients!$B$6:$B$105,C1197)=0,"Not on Clients",IF(COUNT(D1197:M1197)=0,"Nothing measured","")))))</f>
        <v/>
      </c>
      <c r="P1197" s="1">
        <f>IF(AND(O1197="",ISNUMBER(B1197)),INT(B1197),0)</f>
        <v/>
      </c>
      <c r="Q1197">
        <f>IF(AND(P1197&gt;0,C1197=Report!$C$5),P1197*10000+ROW(),"")</f>
        <v/>
      </c>
      <c r="R1197">
        <f>IF(AND(Q1197&lt;&gt;"",ISNUMBER(D1197)),Q1197,"")</f>
        <v/>
      </c>
      <c r="S1197">
        <f>IF(AND(Q1197&lt;&gt;"",ISNUMBER(E1197)),Q1197,"")</f>
        <v/>
      </c>
      <c r="T1197">
        <f>IF(AND(Q1197&lt;&gt;"",ISNUMBER(F1197)),Q1197,"")</f>
        <v/>
      </c>
      <c r="U1197">
        <f>IF(AND(Q1197&lt;&gt;"",ISNUMBER(G1197)),Q1197,"")</f>
        <v/>
      </c>
      <c r="V1197">
        <f>IF(AND(Q1197&lt;&gt;"",ISNUMBER(H1197)),Q1197,"")</f>
        <v/>
      </c>
      <c r="W1197">
        <f>IF(AND(Q1197&lt;&gt;"",ISNUMBER(I1197)),Q1197,"")</f>
        <v/>
      </c>
      <c r="X1197">
        <f>IF(AND(Q1197&lt;&gt;"",ISNUMBER(J1197)),Q1197,"")</f>
        <v/>
      </c>
      <c r="Y1197">
        <f>IF(AND(Q1197&lt;&gt;"",ISNUMBER(K1197)),Q1197,"")</f>
        <v/>
      </c>
      <c r="Z1197">
        <f>IF(AND(Q1197&lt;&gt;"",ISNUMBER(L1197)),Q1197,"")</f>
        <v/>
      </c>
      <c r="AA1197">
        <f>IF(AND(Q1197&lt;&gt;"",ISNUMBER(M1197)),Q1197,"")</f>
        <v/>
      </c>
      <c r="AB1197">
        <f>IF(AND(Q1197&lt;&gt;"",ISNUMBER(K1197)),K1197,"")</f>
        <v/>
      </c>
      <c r="AC1197">
        <f>IF(AND(Q1197&lt;&gt;"",ISNUMBER(L1197)),L1197,"")</f>
        <v/>
      </c>
      <c r="AD1197">
        <f>IF(AND(Q1197&lt;&gt;"",ISNUMBER(M1197)),M1197,"")</f>
        <v/>
      </c>
    </row>
    <row r="1198">
      <c r="A1198" s="1" t="n"/>
      <c r="B1198" s="17" t="n"/>
      <c r="C1198" s="27" t="n"/>
      <c r="D1198" s="28" t="n"/>
      <c r="E1198" s="28" t="n"/>
      <c r="F1198" s="28" t="n"/>
      <c r="G1198" s="28" t="n"/>
      <c r="H1198" s="28" t="n"/>
      <c r="I1198" s="28" t="n"/>
      <c r="J1198" s="28" t="n"/>
      <c r="K1198" s="28" t="n"/>
      <c r="L1198" s="28" t="n"/>
      <c r="M1198" s="29" t="n"/>
      <c r="N1198" s="21" t="n"/>
      <c r="O1198" s="12">
        <f>IF(AND(B1198="",C1198=""),"",IF(NOT(ISNUMBER(B1198)),"Needs a date",IF(C1198="","Needs a client",IF(COUNTIF(Clients!$B$6:$B$105,C1198)=0,"Not on Clients",IF(COUNT(D1198:M1198)=0,"Nothing measured","")))))</f>
        <v/>
      </c>
      <c r="P1198" s="1">
        <f>IF(AND(O1198="",ISNUMBER(B1198)),INT(B1198),0)</f>
        <v/>
      </c>
      <c r="Q1198">
        <f>IF(AND(P1198&gt;0,C1198=Report!$C$5),P1198*10000+ROW(),"")</f>
        <v/>
      </c>
      <c r="R1198">
        <f>IF(AND(Q1198&lt;&gt;"",ISNUMBER(D1198)),Q1198,"")</f>
        <v/>
      </c>
      <c r="S1198">
        <f>IF(AND(Q1198&lt;&gt;"",ISNUMBER(E1198)),Q1198,"")</f>
        <v/>
      </c>
      <c r="T1198">
        <f>IF(AND(Q1198&lt;&gt;"",ISNUMBER(F1198)),Q1198,"")</f>
        <v/>
      </c>
      <c r="U1198">
        <f>IF(AND(Q1198&lt;&gt;"",ISNUMBER(G1198)),Q1198,"")</f>
        <v/>
      </c>
      <c r="V1198">
        <f>IF(AND(Q1198&lt;&gt;"",ISNUMBER(H1198)),Q1198,"")</f>
        <v/>
      </c>
      <c r="W1198">
        <f>IF(AND(Q1198&lt;&gt;"",ISNUMBER(I1198)),Q1198,"")</f>
        <v/>
      </c>
      <c r="X1198">
        <f>IF(AND(Q1198&lt;&gt;"",ISNUMBER(J1198)),Q1198,"")</f>
        <v/>
      </c>
      <c r="Y1198">
        <f>IF(AND(Q1198&lt;&gt;"",ISNUMBER(K1198)),Q1198,"")</f>
        <v/>
      </c>
      <c r="Z1198">
        <f>IF(AND(Q1198&lt;&gt;"",ISNUMBER(L1198)),Q1198,"")</f>
        <v/>
      </c>
      <c r="AA1198">
        <f>IF(AND(Q1198&lt;&gt;"",ISNUMBER(M1198)),Q1198,"")</f>
        <v/>
      </c>
      <c r="AB1198">
        <f>IF(AND(Q1198&lt;&gt;"",ISNUMBER(K1198)),K1198,"")</f>
        <v/>
      </c>
      <c r="AC1198">
        <f>IF(AND(Q1198&lt;&gt;"",ISNUMBER(L1198)),L1198,"")</f>
        <v/>
      </c>
      <c r="AD1198">
        <f>IF(AND(Q1198&lt;&gt;"",ISNUMBER(M1198)),M1198,"")</f>
        <v/>
      </c>
    </row>
    <row r="1199">
      <c r="A1199" s="1" t="n"/>
      <c r="B1199" s="17" t="n"/>
      <c r="C1199" s="27" t="n"/>
      <c r="D1199" s="28" t="n"/>
      <c r="E1199" s="28" t="n"/>
      <c r="F1199" s="28" t="n"/>
      <c r="G1199" s="28" t="n"/>
      <c r="H1199" s="28" t="n"/>
      <c r="I1199" s="28" t="n"/>
      <c r="J1199" s="28" t="n"/>
      <c r="K1199" s="28" t="n"/>
      <c r="L1199" s="28" t="n"/>
      <c r="M1199" s="29" t="n"/>
      <c r="N1199" s="21" t="n"/>
      <c r="O1199" s="12">
        <f>IF(AND(B1199="",C1199=""),"",IF(NOT(ISNUMBER(B1199)),"Needs a date",IF(C1199="","Needs a client",IF(COUNTIF(Clients!$B$6:$B$105,C1199)=0,"Not on Clients",IF(COUNT(D1199:M1199)=0,"Nothing measured","")))))</f>
        <v/>
      </c>
      <c r="P1199" s="1">
        <f>IF(AND(O1199="",ISNUMBER(B1199)),INT(B1199),0)</f>
        <v/>
      </c>
      <c r="Q1199">
        <f>IF(AND(P1199&gt;0,C1199=Report!$C$5),P1199*10000+ROW(),"")</f>
        <v/>
      </c>
      <c r="R1199">
        <f>IF(AND(Q1199&lt;&gt;"",ISNUMBER(D1199)),Q1199,"")</f>
        <v/>
      </c>
      <c r="S1199">
        <f>IF(AND(Q1199&lt;&gt;"",ISNUMBER(E1199)),Q1199,"")</f>
        <v/>
      </c>
      <c r="T1199">
        <f>IF(AND(Q1199&lt;&gt;"",ISNUMBER(F1199)),Q1199,"")</f>
        <v/>
      </c>
      <c r="U1199">
        <f>IF(AND(Q1199&lt;&gt;"",ISNUMBER(G1199)),Q1199,"")</f>
        <v/>
      </c>
      <c r="V1199">
        <f>IF(AND(Q1199&lt;&gt;"",ISNUMBER(H1199)),Q1199,"")</f>
        <v/>
      </c>
      <c r="W1199">
        <f>IF(AND(Q1199&lt;&gt;"",ISNUMBER(I1199)),Q1199,"")</f>
        <v/>
      </c>
      <c r="X1199">
        <f>IF(AND(Q1199&lt;&gt;"",ISNUMBER(J1199)),Q1199,"")</f>
        <v/>
      </c>
      <c r="Y1199">
        <f>IF(AND(Q1199&lt;&gt;"",ISNUMBER(K1199)),Q1199,"")</f>
        <v/>
      </c>
      <c r="Z1199">
        <f>IF(AND(Q1199&lt;&gt;"",ISNUMBER(L1199)),Q1199,"")</f>
        <v/>
      </c>
      <c r="AA1199">
        <f>IF(AND(Q1199&lt;&gt;"",ISNUMBER(M1199)),Q1199,"")</f>
        <v/>
      </c>
      <c r="AB1199">
        <f>IF(AND(Q1199&lt;&gt;"",ISNUMBER(K1199)),K1199,"")</f>
        <v/>
      </c>
      <c r="AC1199">
        <f>IF(AND(Q1199&lt;&gt;"",ISNUMBER(L1199)),L1199,"")</f>
        <v/>
      </c>
      <c r="AD1199">
        <f>IF(AND(Q1199&lt;&gt;"",ISNUMBER(M1199)),M1199,"")</f>
        <v/>
      </c>
    </row>
    <row r="1200">
      <c r="A1200" s="1" t="n"/>
      <c r="B1200" s="17" t="n"/>
      <c r="C1200" s="27" t="n"/>
      <c r="D1200" s="28" t="n"/>
      <c r="E1200" s="28" t="n"/>
      <c r="F1200" s="28" t="n"/>
      <c r="G1200" s="28" t="n"/>
      <c r="H1200" s="28" t="n"/>
      <c r="I1200" s="28" t="n"/>
      <c r="J1200" s="28" t="n"/>
      <c r="K1200" s="28" t="n"/>
      <c r="L1200" s="28" t="n"/>
      <c r="M1200" s="29" t="n"/>
      <c r="N1200" s="21" t="n"/>
      <c r="O1200" s="12">
        <f>IF(AND(B1200="",C1200=""),"",IF(NOT(ISNUMBER(B1200)),"Needs a date",IF(C1200="","Needs a client",IF(COUNTIF(Clients!$B$6:$B$105,C1200)=0,"Not on Clients",IF(COUNT(D1200:M1200)=0,"Nothing measured","")))))</f>
        <v/>
      </c>
      <c r="P1200" s="1">
        <f>IF(AND(O1200="",ISNUMBER(B1200)),INT(B1200),0)</f>
        <v/>
      </c>
      <c r="Q1200">
        <f>IF(AND(P1200&gt;0,C1200=Report!$C$5),P1200*10000+ROW(),"")</f>
        <v/>
      </c>
      <c r="R1200">
        <f>IF(AND(Q1200&lt;&gt;"",ISNUMBER(D1200)),Q1200,"")</f>
        <v/>
      </c>
      <c r="S1200">
        <f>IF(AND(Q1200&lt;&gt;"",ISNUMBER(E1200)),Q1200,"")</f>
        <v/>
      </c>
      <c r="T1200">
        <f>IF(AND(Q1200&lt;&gt;"",ISNUMBER(F1200)),Q1200,"")</f>
        <v/>
      </c>
      <c r="U1200">
        <f>IF(AND(Q1200&lt;&gt;"",ISNUMBER(G1200)),Q1200,"")</f>
        <v/>
      </c>
      <c r="V1200">
        <f>IF(AND(Q1200&lt;&gt;"",ISNUMBER(H1200)),Q1200,"")</f>
        <v/>
      </c>
      <c r="W1200">
        <f>IF(AND(Q1200&lt;&gt;"",ISNUMBER(I1200)),Q1200,"")</f>
        <v/>
      </c>
      <c r="X1200">
        <f>IF(AND(Q1200&lt;&gt;"",ISNUMBER(J1200)),Q1200,"")</f>
        <v/>
      </c>
      <c r="Y1200">
        <f>IF(AND(Q1200&lt;&gt;"",ISNUMBER(K1200)),Q1200,"")</f>
        <v/>
      </c>
      <c r="Z1200">
        <f>IF(AND(Q1200&lt;&gt;"",ISNUMBER(L1200)),Q1200,"")</f>
        <v/>
      </c>
      <c r="AA1200">
        <f>IF(AND(Q1200&lt;&gt;"",ISNUMBER(M1200)),Q1200,"")</f>
        <v/>
      </c>
      <c r="AB1200">
        <f>IF(AND(Q1200&lt;&gt;"",ISNUMBER(K1200)),K1200,"")</f>
        <v/>
      </c>
      <c r="AC1200">
        <f>IF(AND(Q1200&lt;&gt;"",ISNUMBER(L1200)),L1200,"")</f>
        <v/>
      </c>
      <c r="AD1200">
        <f>IF(AND(Q1200&lt;&gt;"",ISNUMBER(M1200)),M1200,"")</f>
        <v/>
      </c>
    </row>
    <row r="1201">
      <c r="A1201" s="1" t="n"/>
      <c r="B1201" s="17" t="n"/>
      <c r="C1201" s="27" t="n"/>
      <c r="D1201" s="28" t="n"/>
      <c r="E1201" s="28" t="n"/>
      <c r="F1201" s="28" t="n"/>
      <c r="G1201" s="28" t="n"/>
      <c r="H1201" s="28" t="n"/>
      <c r="I1201" s="28" t="n"/>
      <c r="J1201" s="28" t="n"/>
      <c r="K1201" s="28" t="n"/>
      <c r="L1201" s="28" t="n"/>
      <c r="M1201" s="29" t="n"/>
      <c r="N1201" s="21" t="n"/>
      <c r="O1201" s="12">
        <f>IF(AND(B1201="",C1201=""),"",IF(NOT(ISNUMBER(B1201)),"Needs a date",IF(C1201="","Needs a client",IF(COUNTIF(Clients!$B$6:$B$105,C1201)=0,"Not on Clients",IF(COUNT(D1201:M1201)=0,"Nothing measured","")))))</f>
        <v/>
      </c>
      <c r="P1201" s="1">
        <f>IF(AND(O1201="",ISNUMBER(B1201)),INT(B1201),0)</f>
        <v/>
      </c>
      <c r="Q1201">
        <f>IF(AND(P1201&gt;0,C1201=Report!$C$5),P1201*10000+ROW(),"")</f>
        <v/>
      </c>
      <c r="R1201">
        <f>IF(AND(Q1201&lt;&gt;"",ISNUMBER(D1201)),Q1201,"")</f>
        <v/>
      </c>
      <c r="S1201">
        <f>IF(AND(Q1201&lt;&gt;"",ISNUMBER(E1201)),Q1201,"")</f>
        <v/>
      </c>
      <c r="T1201">
        <f>IF(AND(Q1201&lt;&gt;"",ISNUMBER(F1201)),Q1201,"")</f>
        <v/>
      </c>
      <c r="U1201">
        <f>IF(AND(Q1201&lt;&gt;"",ISNUMBER(G1201)),Q1201,"")</f>
        <v/>
      </c>
      <c r="V1201">
        <f>IF(AND(Q1201&lt;&gt;"",ISNUMBER(H1201)),Q1201,"")</f>
        <v/>
      </c>
      <c r="W1201">
        <f>IF(AND(Q1201&lt;&gt;"",ISNUMBER(I1201)),Q1201,"")</f>
        <v/>
      </c>
      <c r="X1201">
        <f>IF(AND(Q1201&lt;&gt;"",ISNUMBER(J1201)),Q1201,"")</f>
        <v/>
      </c>
      <c r="Y1201">
        <f>IF(AND(Q1201&lt;&gt;"",ISNUMBER(K1201)),Q1201,"")</f>
        <v/>
      </c>
      <c r="Z1201">
        <f>IF(AND(Q1201&lt;&gt;"",ISNUMBER(L1201)),Q1201,"")</f>
        <v/>
      </c>
      <c r="AA1201">
        <f>IF(AND(Q1201&lt;&gt;"",ISNUMBER(M1201)),Q1201,"")</f>
        <v/>
      </c>
      <c r="AB1201">
        <f>IF(AND(Q1201&lt;&gt;"",ISNUMBER(K1201)),K1201,"")</f>
        <v/>
      </c>
      <c r="AC1201">
        <f>IF(AND(Q1201&lt;&gt;"",ISNUMBER(L1201)),L1201,"")</f>
        <v/>
      </c>
      <c r="AD1201">
        <f>IF(AND(Q1201&lt;&gt;"",ISNUMBER(M1201)),M1201,"")</f>
        <v/>
      </c>
    </row>
    <row r="1202">
      <c r="A1202" s="1" t="n"/>
      <c r="B1202" s="17" t="n"/>
      <c r="C1202" s="27" t="n"/>
      <c r="D1202" s="28" t="n"/>
      <c r="E1202" s="28" t="n"/>
      <c r="F1202" s="28" t="n"/>
      <c r="G1202" s="28" t="n"/>
      <c r="H1202" s="28" t="n"/>
      <c r="I1202" s="28" t="n"/>
      <c r="J1202" s="28" t="n"/>
      <c r="K1202" s="28" t="n"/>
      <c r="L1202" s="28" t="n"/>
      <c r="M1202" s="29" t="n"/>
      <c r="N1202" s="21" t="n"/>
      <c r="O1202" s="12">
        <f>IF(AND(B1202="",C1202=""),"",IF(NOT(ISNUMBER(B1202)),"Needs a date",IF(C1202="","Needs a client",IF(COUNTIF(Clients!$B$6:$B$105,C1202)=0,"Not on Clients",IF(COUNT(D1202:M1202)=0,"Nothing measured","")))))</f>
        <v/>
      </c>
      <c r="P1202" s="1">
        <f>IF(AND(O1202="",ISNUMBER(B1202)),INT(B1202),0)</f>
        <v/>
      </c>
      <c r="Q1202">
        <f>IF(AND(P1202&gt;0,C1202=Report!$C$5),P1202*10000+ROW(),"")</f>
        <v/>
      </c>
      <c r="R1202">
        <f>IF(AND(Q1202&lt;&gt;"",ISNUMBER(D1202)),Q1202,"")</f>
        <v/>
      </c>
      <c r="S1202">
        <f>IF(AND(Q1202&lt;&gt;"",ISNUMBER(E1202)),Q1202,"")</f>
        <v/>
      </c>
      <c r="T1202">
        <f>IF(AND(Q1202&lt;&gt;"",ISNUMBER(F1202)),Q1202,"")</f>
        <v/>
      </c>
      <c r="U1202">
        <f>IF(AND(Q1202&lt;&gt;"",ISNUMBER(G1202)),Q1202,"")</f>
        <v/>
      </c>
      <c r="V1202">
        <f>IF(AND(Q1202&lt;&gt;"",ISNUMBER(H1202)),Q1202,"")</f>
        <v/>
      </c>
      <c r="W1202">
        <f>IF(AND(Q1202&lt;&gt;"",ISNUMBER(I1202)),Q1202,"")</f>
        <v/>
      </c>
      <c r="X1202">
        <f>IF(AND(Q1202&lt;&gt;"",ISNUMBER(J1202)),Q1202,"")</f>
        <v/>
      </c>
      <c r="Y1202">
        <f>IF(AND(Q1202&lt;&gt;"",ISNUMBER(K1202)),Q1202,"")</f>
        <v/>
      </c>
      <c r="Z1202">
        <f>IF(AND(Q1202&lt;&gt;"",ISNUMBER(L1202)),Q1202,"")</f>
        <v/>
      </c>
      <c r="AA1202">
        <f>IF(AND(Q1202&lt;&gt;"",ISNUMBER(M1202)),Q1202,"")</f>
        <v/>
      </c>
      <c r="AB1202">
        <f>IF(AND(Q1202&lt;&gt;"",ISNUMBER(K1202)),K1202,"")</f>
        <v/>
      </c>
      <c r="AC1202">
        <f>IF(AND(Q1202&lt;&gt;"",ISNUMBER(L1202)),L1202,"")</f>
        <v/>
      </c>
      <c r="AD1202">
        <f>IF(AND(Q1202&lt;&gt;"",ISNUMBER(M1202)),M1202,"")</f>
        <v/>
      </c>
    </row>
    <row r="1203">
      <c r="A1203" s="1" t="n"/>
      <c r="B1203" s="17" t="n"/>
      <c r="C1203" s="27" t="n"/>
      <c r="D1203" s="28" t="n"/>
      <c r="E1203" s="28" t="n"/>
      <c r="F1203" s="28" t="n"/>
      <c r="G1203" s="28" t="n"/>
      <c r="H1203" s="28" t="n"/>
      <c r="I1203" s="28" t="n"/>
      <c r="J1203" s="28" t="n"/>
      <c r="K1203" s="28" t="n"/>
      <c r="L1203" s="28" t="n"/>
      <c r="M1203" s="29" t="n"/>
      <c r="N1203" s="21" t="n"/>
      <c r="O1203" s="12">
        <f>IF(AND(B1203="",C1203=""),"",IF(NOT(ISNUMBER(B1203)),"Needs a date",IF(C1203="","Needs a client",IF(COUNTIF(Clients!$B$6:$B$105,C1203)=0,"Not on Clients",IF(COUNT(D1203:M1203)=0,"Nothing measured","")))))</f>
        <v/>
      </c>
      <c r="P1203" s="1">
        <f>IF(AND(O1203="",ISNUMBER(B1203)),INT(B1203),0)</f>
        <v/>
      </c>
      <c r="Q1203">
        <f>IF(AND(P1203&gt;0,C1203=Report!$C$5),P1203*10000+ROW(),"")</f>
        <v/>
      </c>
      <c r="R1203">
        <f>IF(AND(Q1203&lt;&gt;"",ISNUMBER(D1203)),Q1203,"")</f>
        <v/>
      </c>
      <c r="S1203">
        <f>IF(AND(Q1203&lt;&gt;"",ISNUMBER(E1203)),Q1203,"")</f>
        <v/>
      </c>
      <c r="T1203">
        <f>IF(AND(Q1203&lt;&gt;"",ISNUMBER(F1203)),Q1203,"")</f>
        <v/>
      </c>
      <c r="U1203">
        <f>IF(AND(Q1203&lt;&gt;"",ISNUMBER(G1203)),Q1203,"")</f>
        <v/>
      </c>
      <c r="V1203">
        <f>IF(AND(Q1203&lt;&gt;"",ISNUMBER(H1203)),Q1203,"")</f>
        <v/>
      </c>
      <c r="W1203">
        <f>IF(AND(Q1203&lt;&gt;"",ISNUMBER(I1203)),Q1203,"")</f>
        <v/>
      </c>
      <c r="X1203">
        <f>IF(AND(Q1203&lt;&gt;"",ISNUMBER(J1203)),Q1203,"")</f>
        <v/>
      </c>
      <c r="Y1203">
        <f>IF(AND(Q1203&lt;&gt;"",ISNUMBER(K1203)),Q1203,"")</f>
        <v/>
      </c>
      <c r="Z1203">
        <f>IF(AND(Q1203&lt;&gt;"",ISNUMBER(L1203)),Q1203,"")</f>
        <v/>
      </c>
      <c r="AA1203">
        <f>IF(AND(Q1203&lt;&gt;"",ISNUMBER(M1203)),Q1203,"")</f>
        <v/>
      </c>
      <c r="AB1203">
        <f>IF(AND(Q1203&lt;&gt;"",ISNUMBER(K1203)),K1203,"")</f>
        <v/>
      </c>
      <c r="AC1203">
        <f>IF(AND(Q1203&lt;&gt;"",ISNUMBER(L1203)),L1203,"")</f>
        <v/>
      </c>
      <c r="AD1203">
        <f>IF(AND(Q1203&lt;&gt;"",ISNUMBER(M1203)),M1203,"")</f>
        <v/>
      </c>
    </row>
    <row r="1204">
      <c r="A1204" s="1" t="n"/>
      <c r="B1204" s="17" t="n"/>
      <c r="C1204" s="27" t="n"/>
      <c r="D1204" s="28" t="n"/>
      <c r="E1204" s="28" t="n"/>
      <c r="F1204" s="28" t="n"/>
      <c r="G1204" s="28" t="n"/>
      <c r="H1204" s="28" t="n"/>
      <c r="I1204" s="28" t="n"/>
      <c r="J1204" s="28" t="n"/>
      <c r="K1204" s="28" t="n"/>
      <c r="L1204" s="28" t="n"/>
      <c r="M1204" s="29" t="n"/>
      <c r="N1204" s="21" t="n"/>
      <c r="O1204" s="12">
        <f>IF(AND(B1204="",C1204=""),"",IF(NOT(ISNUMBER(B1204)),"Needs a date",IF(C1204="","Needs a client",IF(COUNTIF(Clients!$B$6:$B$105,C1204)=0,"Not on Clients",IF(COUNT(D1204:M1204)=0,"Nothing measured","")))))</f>
        <v/>
      </c>
      <c r="P1204" s="1">
        <f>IF(AND(O1204="",ISNUMBER(B1204)),INT(B1204),0)</f>
        <v/>
      </c>
      <c r="Q1204">
        <f>IF(AND(P1204&gt;0,C1204=Report!$C$5),P1204*10000+ROW(),"")</f>
        <v/>
      </c>
      <c r="R1204">
        <f>IF(AND(Q1204&lt;&gt;"",ISNUMBER(D1204)),Q1204,"")</f>
        <v/>
      </c>
      <c r="S1204">
        <f>IF(AND(Q1204&lt;&gt;"",ISNUMBER(E1204)),Q1204,"")</f>
        <v/>
      </c>
      <c r="T1204">
        <f>IF(AND(Q1204&lt;&gt;"",ISNUMBER(F1204)),Q1204,"")</f>
        <v/>
      </c>
      <c r="U1204">
        <f>IF(AND(Q1204&lt;&gt;"",ISNUMBER(G1204)),Q1204,"")</f>
        <v/>
      </c>
      <c r="V1204">
        <f>IF(AND(Q1204&lt;&gt;"",ISNUMBER(H1204)),Q1204,"")</f>
        <v/>
      </c>
      <c r="W1204">
        <f>IF(AND(Q1204&lt;&gt;"",ISNUMBER(I1204)),Q1204,"")</f>
        <v/>
      </c>
      <c r="X1204">
        <f>IF(AND(Q1204&lt;&gt;"",ISNUMBER(J1204)),Q1204,"")</f>
        <v/>
      </c>
      <c r="Y1204">
        <f>IF(AND(Q1204&lt;&gt;"",ISNUMBER(K1204)),Q1204,"")</f>
        <v/>
      </c>
      <c r="Z1204">
        <f>IF(AND(Q1204&lt;&gt;"",ISNUMBER(L1204)),Q1204,"")</f>
        <v/>
      </c>
      <c r="AA1204">
        <f>IF(AND(Q1204&lt;&gt;"",ISNUMBER(M1204)),Q1204,"")</f>
        <v/>
      </c>
      <c r="AB1204">
        <f>IF(AND(Q1204&lt;&gt;"",ISNUMBER(K1204)),K1204,"")</f>
        <v/>
      </c>
      <c r="AC1204">
        <f>IF(AND(Q1204&lt;&gt;"",ISNUMBER(L1204)),L1204,"")</f>
        <v/>
      </c>
      <c r="AD1204">
        <f>IF(AND(Q1204&lt;&gt;"",ISNUMBER(M1204)),M1204,"")</f>
        <v/>
      </c>
    </row>
    <row r="1205">
      <c r="A1205" s="1" t="n"/>
      <c r="B1205" s="17" t="n"/>
      <c r="C1205" s="27" t="n"/>
      <c r="D1205" s="28" t="n"/>
      <c r="E1205" s="28" t="n"/>
      <c r="F1205" s="28" t="n"/>
      <c r="G1205" s="28" t="n"/>
      <c r="H1205" s="28" t="n"/>
      <c r="I1205" s="28" t="n"/>
      <c r="J1205" s="28" t="n"/>
      <c r="K1205" s="28" t="n"/>
      <c r="L1205" s="28" t="n"/>
      <c r="M1205" s="29" t="n"/>
      <c r="N1205" s="21" t="n"/>
      <c r="O1205" s="12">
        <f>IF(AND(B1205="",C1205=""),"",IF(NOT(ISNUMBER(B1205)),"Needs a date",IF(C1205="","Needs a client",IF(COUNTIF(Clients!$B$6:$B$105,C1205)=0,"Not on Clients",IF(COUNT(D1205:M1205)=0,"Nothing measured","")))))</f>
        <v/>
      </c>
      <c r="P1205" s="1">
        <f>IF(AND(O1205="",ISNUMBER(B1205)),INT(B1205),0)</f>
        <v/>
      </c>
      <c r="Q1205">
        <f>IF(AND(P1205&gt;0,C1205=Report!$C$5),P1205*10000+ROW(),"")</f>
        <v/>
      </c>
      <c r="R1205">
        <f>IF(AND(Q1205&lt;&gt;"",ISNUMBER(D1205)),Q1205,"")</f>
        <v/>
      </c>
      <c r="S1205">
        <f>IF(AND(Q1205&lt;&gt;"",ISNUMBER(E1205)),Q1205,"")</f>
        <v/>
      </c>
      <c r="T1205">
        <f>IF(AND(Q1205&lt;&gt;"",ISNUMBER(F1205)),Q1205,"")</f>
        <v/>
      </c>
      <c r="U1205">
        <f>IF(AND(Q1205&lt;&gt;"",ISNUMBER(G1205)),Q1205,"")</f>
        <v/>
      </c>
      <c r="V1205">
        <f>IF(AND(Q1205&lt;&gt;"",ISNUMBER(H1205)),Q1205,"")</f>
        <v/>
      </c>
      <c r="W1205">
        <f>IF(AND(Q1205&lt;&gt;"",ISNUMBER(I1205)),Q1205,"")</f>
        <v/>
      </c>
      <c r="X1205">
        <f>IF(AND(Q1205&lt;&gt;"",ISNUMBER(J1205)),Q1205,"")</f>
        <v/>
      </c>
      <c r="Y1205">
        <f>IF(AND(Q1205&lt;&gt;"",ISNUMBER(K1205)),Q1205,"")</f>
        <v/>
      </c>
      <c r="Z1205">
        <f>IF(AND(Q1205&lt;&gt;"",ISNUMBER(L1205)),Q1205,"")</f>
        <v/>
      </c>
      <c r="AA1205">
        <f>IF(AND(Q1205&lt;&gt;"",ISNUMBER(M1205)),Q1205,"")</f>
        <v/>
      </c>
      <c r="AB1205">
        <f>IF(AND(Q1205&lt;&gt;"",ISNUMBER(K1205)),K1205,"")</f>
        <v/>
      </c>
      <c r="AC1205">
        <f>IF(AND(Q1205&lt;&gt;"",ISNUMBER(L1205)),L1205,"")</f>
        <v/>
      </c>
      <c r="AD1205">
        <f>IF(AND(Q1205&lt;&gt;"",ISNUMBER(M1205)),M1205,"")</f>
        <v/>
      </c>
    </row>
    <row r="1206">
      <c r="A1206" s="1" t="n"/>
      <c r="B1206" s="17" t="n"/>
      <c r="C1206" s="27" t="n"/>
      <c r="D1206" s="28" t="n"/>
      <c r="E1206" s="28" t="n"/>
      <c r="F1206" s="28" t="n"/>
      <c r="G1206" s="28" t="n"/>
      <c r="H1206" s="28" t="n"/>
      <c r="I1206" s="28" t="n"/>
      <c r="J1206" s="28" t="n"/>
      <c r="K1206" s="28" t="n"/>
      <c r="L1206" s="28" t="n"/>
      <c r="M1206" s="29" t="n"/>
      <c r="N1206" s="21" t="n"/>
      <c r="O1206" s="12">
        <f>IF(AND(B1206="",C1206=""),"",IF(NOT(ISNUMBER(B1206)),"Needs a date",IF(C1206="","Needs a client",IF(COUNTIF(Clients!$B$6:$B$105,C1206)=0,"Not on Clients",IF(COUNT(D1206:M1206)=0,"Nothing measured","")))))</f>
        <v/>
      </c>
      <c r="P1206" s="1">
        <f>IF(AND(O1206="",ISNUMBER(B1206)),INT(B1206),0)</f>
        <v/>
      </c>
      <c r="Q1206">
        <f>IF(AND(P1206&gt;0,C1206=Report!$C$5),P1206*10000+ROW(),"")</f>
        <v/>
      </c>
      <c r="R1206">
        <f>IF(AND(Q1206&lt;&gt;"",ISNUMBER(D1206)),Q1206,"")</f>
        <v/>
      </c>
      <c r="S1206">
        <f>IF(AND(Q1206&lt;&gt;"",ISNUMBER(E1206)),Q1206,"")</f>
        <v/>
      </c>
      <c r="T1206">
        <f>IF(AND(Q1206&lt;&gt;"",ISNUMBER(F1206)),Q1206,"")</f>
        <v/>
      </c>
      <c r="U1206">
        <f>IF(AND(Q1206&lt;&gt;"",ISNUMBER(G1206)),Q1206,"")</f>
        <v/>
      </c>
      <c r="V1206">
        <f>IF(AND(Q1206&lt;&gt;"",ISNUMBER(H1206)),Q1206,"")</f>
        <v/>
      </c>
      <c r="W1206">
        <f>IF(AND(Q1206&lt;&gt;"",ISNUMBER(I1206)),Q1206,"")</f>
        <v/>
      </c>
      <c r="X1206">
        <f>IF(AND(Q1206&lt;&gt;"",ISNUMBER(J1206)),Q1206,"")</f>
        <v/>
      </c>
      <c r="Y1206">
        <f>IF(AND(Q1206&lt;&gt;"",ISNUMBER(K1206)),Q1206,"")</f>
        <v/>
      </c>
      <c r="Z1206">
        <f>IF(AND(Q1206&lt;&gt;"",ISNUMBER(L1206)),Q1206,"")</f>
        <v/>
      </c>
      <c r="AA1206">
        <f>IF(AND(Q1206&lt;&gt;"",ISNUMBER(M1206)),Q1206,"")</f>
        <v/>
      </c>
      <c r="AB1206">
        <f>IF(AND(Q1206&lt;&gt;"",ISNUMBER(K1206)),K1206,"")</f>
        <v/>
      </c>
      <c r="AC1206">
        <f>IF(AND(Q1206&lt;&gt;"",ISNUMBER(L1206)),L1206,"")</f>
        <v/>
      </c>
      <c r="AD1206">
        <f>IF(AND(Q1206&lt;&gt;"",ISNUMBER(M1206)),M1206,"")</f>
        <v/>
      </c>
    </row>
    <row r="1207">
      <c r="A1207" s="1" t="n"/>
      <c r="B1207" s="17" t="n"/>
      <c r="C1207" s="27" t="n"/>
      <c r="D1207" s="28" t="n"/>
      <c r="E1207" s="28" t="n"/>
      <c r="F1207" s="28" t="n"/>
      <c r="G1207" s="28" t="n"/>
      <c r="H1207" s="28" t="n"/>
      <c r="I1207" s="28" t="n"/>
      <c r="J1207" s="28" t="n"/>
      <c r="K1207" s="28" t="n"/>
      <c r="L1207" s="28" t="n"/>
      <c r="M1207" s="29" t="n"/>
      <c r="N1207" s="21" t="n"/>
      <c r="O1207" s="12">
        <f>IF(AND(B1207="",C1207=""),"",IF(NOT(ISNUMBER(B1207)),"Needs a date",IF(C1207="","Needs a client",IF(COUNTIF(Clients!$B$6:$B$105,C1207)=0,"Not on Clients",IF(COUNT(D1207:M1207)=0,"Nothing measured","")))))</f>
        <v/>
      </c>
      <c r="P1207" s="1">
        <f>IF(AND(O1207="",ISNUMBER(B1207)),INT(B1207),0)</f>
        <v/>
      </c>
      <c r="Q1207">
        <f>IF(AND(P1207&gt;0,C1207=Report!$C$5),P1207*10000+ROW(),"")</f>
        <v/>
      </c>
      <c r="R1207">
        <f>IF(AND(Q1207&lt;&gt;"",ISNUMBER(D1207)),Q1207,"")</f>
        <v/>
      </c>
      <c r="S1207">
        <f>IF(AND(Q1207&lt;&gt;"",ISNUMBER(E1207)),Q1207,"")</f>
        <v/>
      </c>
      <c r="T1207">
        <f>IF(AND(Q1207&lt;&gt;"",ISNUMBER(F1207)),Q1207,"")</f>
        <v/>
      </c>
      <c r="U1207">
        <f>IF(AND(Q1207&lt;&gt;"",ISNUMBER(G1207)),Q1207,"")</f>
        <v/>
      </c>
      <c r="V1207">
        <f>IF(AND(Q1207&lt;&gt;"",ISNUMBER(H1207)),Q1207,"")</f>
        <v/>
      </c>
      <c r="W1207">
        <f>IF(AND(Q1207&lt;&gt;"",ISNUMBER(I1207)),Q1207,"")</f>
        <v/>
      </c>
      <c r="X1207">
        <f>IF(AND(Q1207&lt;&gt;"",ISNUMBER(J1207)),Q1207,"")</f>
        <v/>
      </c>
      <c r="Y1207">
        <f>IF(AND(Q1207&lt;&gt;"",ISNUMBER(K1207)),Q1207,"")</f>
        <v/>
      </c>
      <c r="Z1207">
        <f>IF(AND(Q1207&lt;&gt;"",ISNUMBER(L1207)),Q1207,"")</f>
        <v/>
      </c>
      <c r="AA1207">
        <f>IF(AND(Q1207&lt;&gt;"",ISNUMBER(M1207)),Q1207,"")</f>
        <v/>
      </c>
      <c r="AB1207">
        <f>IF(AND(Q1207&lt;&gt;"",ISNUMBER(K1207)),K1207,"")</f>
        <v/>
      </c>
      <c r="AC1207">
        <f>IF(AND(Q1207&lt;&gt;"",ISNUMBER(L1207)),L1207,"")</f>
        <v/>
      </c>
      <c r="AD1207">
        <f>IF(AND(Q1207&lt;&gt;"",ISNUMBER(M1207)),M1207,"")</f>
        <v/>
      </c>
    </row>
    <row r="1208">
      <c r="A1208" s="1" t="n"/>
      <c r="B1208" s="17" t="n"/>
      <c r="C1208" s="27" t="n"/>
      <c r="D1208" s="28" t="n"/>
      <c r="E1208" s="28" t="n"/>
      <c r="F1208" s="28" t="n"/>
      <c r="G1208" s="28" t="n"/>
      <c r="H1208" s="28" t="n"/>
      <c r="I1208" s="28" t="n"/>
      <c r="J1208" s="28" t="n"/>
      <c r="K1208" s="28" t="n"/>
      <c r="L1208" s="28" t="n"/>
      <c r="M1208" s="29" t="n"/>
      <c r="N1208" s="21" t="n"/>
      <c r="O1208" s="12">
        <f>IF(AND(B1208="",C1208=""),"",IF(NOT(ISNUMBER(B1208)),"Needs a date",IF(C1208="","Needs a client",IF(COUNTIF(Clients!$B$6:$B$105,C1208)=0,"Not on Clients",IF(COUNT(D1208:M1208)=0,"Nothing measured","")))))</f>
        <v/>
      </c>
      <c r="P1208" s="1">
        <f>IF(AND(O1208="",ISNUMBER(B1208)),INT(B1208),0)</f>
        <v/>
      </c>
      <c r="Q1208">
        <f>IF(AND(P1208&gt;0,C1208=Report!$C$5),P1208*10000+ROW(),"")</f>
        <v/>
      </c>
      <c r="R1208">
        <f>IF(AND(Q1208&lt;&gt;"",ISNUMBER(D1208)),Q1208,"")</f>
        <v/>
      </c>
      <c r="S1208">
        <f>IF(AND(Q1208&lt;&gt;"",ISNUMBER(E1208)),Q1208,"")</f>
        <v/>
      </c>
      <c r="T1208">
        <f>IF(AND(Q1208&lt;&gt;"",ISNUMBER(F1208)),Q1208,"")</f>
        <v/>
      </c>
      <c r="U1208">
        <f>IF(AND(Q1208&lt;&gt;"",ISNUMBER(G1208)),Q1208,"")</f>
        <v/>
      </c>
      <c r="V1208">
        <f>IF(AND(Q1208&lt;&gt;"",ISNUMBER(H1208)),Q1208,"")</f>
        <v/>
      </c>
      <c r="W1208">
        <f>IF(AND(Q1208&lt;&gt;"",ISNUMBER(I1208)),Q1208,"")</f>
        <v/>
      </c>
      <c r="X1208">
        <f>IF(AND(Q1208&lt;&gt;"",ISNUMBER(J1208)),Q1208,"")</f>
        <v/>
      </c>
      <c r="Y1208">
        <f>IF(AND(Q1208&lt;&gt;"",ISNUMBER(K1208)),Q1208,"")</f>
        <v/>
      </c>
      <c r="Z1208">
        <f>IF(AND(Q1208&lt;&gt;"",ISNUMBER(L1208)),Q1208,"")</f>
        <v/>
      </c>
      <c r="AA1208">
        <f>IF(AND(Q1208&lt;&gt;"",ISNUMBER(M1208)),Q1208,"")</f>
        <v/>
      </c>
      <c r="AB1208">
        <f>IF(AND(Q1208&lt;&gt;"",ISNUMBER(K1208)),K1208,"")</f>
        <v/>
      </c>
      <c r="AC1208">
        <f>IF(AND(Q1208&lt;&gt;"",ISNUMBER(L1208)),L1208,"")</f>
        <v/>
      </c>
      <c r="AD1208">
        <f>IF(AND(Q1208&lt;&gt;"",ISNUMBER(M1208)),M1208,"")</f>
        <v/>
      </c>
    </row>
    <row r="1209">
      <c r="A1209" s="1" t="n"/>
      <c r="B1209" s="17" t="n"/>
      <c r="C1209" s="27" t="n"/>
      <c r="D1209" s="28" t="n"/>
      <c r="E1209" s="28" t="n"/>
      <c r="F1209" s="28" t="n"/>
      <c r="G1209" s="28" t="n"/>
      <c r="H1209" s="28" t="n"/>
      <c r="I1209" s="28" t="n"/>
      <c r="J1209" s="28" t="n"/>
      <c r="K1209" s="28" t="n"/>
      <c r="L1209" s="28" t="n"/>
      <c r="M1209" s="29" t="n"/>
      <c r="N1209" s="21" t="n"/>
      <c r="O1209" s="12">
        <f>IF(AND(B1209="",C1209=""),"",IF(NOT(ISNUMBER(B1209)),"Needs a date",IF(C1209="","Needs a client",IF(COUNTIF(Clients!$B$6:$B$105,C1209)=0,"Not on Clients",IF(COUNT(D1209:M1209)=0,"Nothing measured","")))))</f>
        <v/>
      </c>
      <c r="P1209" s="1">
        <f>IF(AND(O1209="",ISNUMBER(B1209)),INT(B1209),0)</f>
        <v/>
      </c>
      <c r="Q1209">
        <f>IF(AND(P1209&gt;0,C1209=Report!$C$5),P1209*10000+ROW(),"")</f>
        <v/>
      </c>
      <c r="R1209">
        <f>IF(AND(Q1209&lt;&gt;"",ISNUMBER(D1209)),Q1209,"")</f>
        <v/>
      </c>
      <c r="S1209">
        <f>IF(AND(Q1209&lt;&gt;"",ISNUMBER(E1209)),Q1209,"")</f>
        <v/>
      </c>
      <c r="T1209">
        <f>IF(AND(Q1209&lt;&gt;"",ISNUMBER(F1209)),Q1209,"")</f>
        <v/>
      </c>
      <c r="U1209">
        <f>IF(AND(Q1209&lt;&gt;"",ISNUMBER(G1209)),Q1209,"")</f>
        <v/>
      </c>
      <c r="V1209">
        <f>IF(AND(Q1209&lt;&gt;"",ISNUMBER(H1209)),Q1209,"")</f>
        <v/>
      </c>
      <c r="W1209">
        <f>IF(AND(Q1209&lt;&gt;"",ISNUMBER(I1209)),Q1209,"")</f>
        <v/>
      </c>
      <c r="X1209">
        <f>IF(AND(Q1209&lt;&gt;"",ISNUMBER(J1209)),Q1209,"")</f>
        <v/>
      </c>
      <c r="Y1209">
        <f>IF(AND(Q1209&lt;&gt;"",ISNUMBER(K1209)),Q1209,"")</f>
        <v/>
      </c>
      <c r="Z1209">
        <f>IF(AND(Q1209&lt;&gt;"",ISNUMBER(L1209)),Q1209,"")</f>
        <v/>
      </c>
      <c r="AA1209">
        <f>IF(AND(Q1209&lt;&gt;"",ISNUMBER(M1209)),Q1209,"")</f>
        <v/>
      </c>
      <c r="AB1209">
        <f>IF(AND(Q1209&lt;&gt;"",ISNUMBER(K1209)),K1209,"")</f>
        <v/>
      </c>
      <c r="AC1209">
        <f>IF(AND(Q1209&lt;&gt;"",ISNUMBER(L1209)),L1209,"")</f>
        <v/>
      </c>
      <c r="AD1209">
        <f>IF(AND(Q1209&lt;&gt;"",ISNUMBER(M1209)),M1209,"")</f>
        <v/>
      </c>
    </row>
    <row r="1210">
      <c r="A1210" s="1" t="n"/>
      <c r="B1210" s="17" t="n"/>
      <c r="C1210" s="27" t="n"/>
      <c r="D1210" s="28" t="n"/>
      <c r="E1210" s="28" t="n"/>
      <c r="F1210" s="28" t="n"/>
      <c r="G1210" s="28" t="n"/>
      <c r="H1210" s="28" t="n"/>
      <c r="I1210" s="28" t="n"/>
      <c r="J1210" s="28" t="n"/>
      <c r="K1210" s="28" t="n"/>
      <c r="L1210" s="28" t="n"/>
      <c r="M1210" s="29" t="n"/>
      <c r="N1210" s="21" t="n"/>
      <c r="O1210" s="12">
        <f>IF(AND(B1210="",C1210=""),"",IF(NOT(ISNUMBER(B1210)),"Needs a date",IF(C1210="","Needs a client",IF(COUNTIF(Clients!$B$6:$B$105,C1210)=0,"Not on Clients",IF(COUNT(D1210:M1210)=0,"Nothing measured","")))))</f>
        <v/>
      </c>
      <c r="P1210" s="1">
        <f>IF(AND(O1210="",ISNUMBER(B1210)),INT(B1210),0)</f>
        <v/>
      </c>
      <c r="Q1210">
        <f>IF(AND(P1210&gt;0,C1210=Report!$C$5),P1210*10000+ROW(),"")</f>
        <v/>
      </c>
      <c r="R1210">
        <f>IF(AND(Q1210&lt;&gt;"",ISNUMBER(D1210)),Q1210,"")</f>
        <v/>
      </c>
      <c r="S1210">
        <f>IF(AND(Q1210&lt;&gt;"",ISNUMBER(E1210)),Q1210,"")</f>
        <v/>
      </c>
      <c r="T1210">
        <f>IF(AND(Q1210&lt;&gt;"",ISNUMBER(F1210)),Q1210,"")</f>
        <v/>
      </c>
      <c r="U1210">
        <f>IF(AND(Q1210&lt;&gt;"",ISNUMBER(G1210)),Q1210,"")</f>
        <v/>
      </c>
      <c r="V1210">
        <f>IF(AND(Q1210&lt;&gt;"",ISNUMBER(H1210)),Q1210,"")</f>
        <v/>
      </c>
      <c r="W1210">
        <f>IF(AND(Q1210&lt;&gt;"",ISNUMBER(I1210)),Q1210,"")</f>
        <v/>
      </c>
      <c r="X1210">
        <f>IF(AND(Q1210&lt;&gt;"",ISNUMBER(J1210)),Q1210,"")</f>
        <v/>
      </c>
      <c r="Y1210">
        <f>IF(AND(Q1210&lt;&gt;"",ISNUMBER(K1210)),Q1210,"")</f>
        <v/>
      </c>
      <c r="Z1210">
        <f>IF(AND(Q1210&lt;&gt;"",ISNUMBER(L1210)),Q1210,"")</f>
        <v/>
      </c>
      <c r="AA1210">
        <f>IF(AND(Q1210&lt;&gt;"",ISNUMBER(M1210)),Q1210,"")</f>
        <v/>
      </c>
      <c r="AB1210">
        <f>IF(AND(Q1210&lt;&gt;"",ISNUMBER(K1210)),K1210,"")</f>
        <v/>
      </c>
      <c r="AC1210">
        <f>IF(AND(Q1210&lt;&gt;"",ISNUMBER(L1210)),L1210,"")</f>
        <v/>
      </c>
      <c r="AD1210">
        <f>IF(AND(Q1210&lt;&gt;"",ISNUMBER(M1210)),M1210,"")</f>
        <v/>
      </c>
    </row>
    <row r="1211">
      <c r="A1211" s="1" t="n"/>
      <c r="B1211" s="17" t="n"/>
      <c r="C1211" s="27" t="n"/>
      <c r="D1211" s="28" t="n"/>
      <c r="E1211" s="28" t="n"/>
      <c r="F1211" s="28" t="n"/>
      <c r="G1211" s="28" t="n"/>
      <c r="H1211" s="28" t="n"/>
      <c r="I1211" s="28" t="n"/>
      <c r="J1211" s="28" t="n"/>
      <c r="K1211" s="28" t="n"/>
      <c r="L1211" s="28" t="n"/>
      <c r="M1211" s="29" t="n"/>
      <c r="N1211" s="21" t="n"/>
      <c r="O1211" s="12">
        <f>IF(AND(B1211="",C1211=""),"",IF(NOT(ISNUMBER(B1211)),"Needs a date",IF(C1211="","Needs a client",IF(COUNTIF(Clients!$B$6:$B$105,C1211)=0,"Not on Clients",IF(COUNT(D1211:M1211)=0,"Nothing measured","")))))</f>
        <v/>
      </c>
      <c r="P1211" s="1">
        <f>IF(AND(O1211="",ISNUMBER(B1211)),INT(B1211),0)</f>
        <v/>
      </c>
      <c r="Q1211">
        <f>IF(AND(P1211&gt;0,C1211=Report!$C$5),P1211*10000+ROW(),"")</f>
        <v/>
      </c>
      <c r="R1211">
        <f>IF(AND(Q1211&lt;&gt;"",ISNUMBER(D1211)),Q1211,"")</f>
        <v/>
      </c>
      <c r="S1211">
        <f>IF(AND(Q1211&lt;&gt;"",ISNUMBER(E1211)),Q1211,"")</f>
        <v/>
      </c>
      <c r="T1211">
        <f>IF(AND(Q1211&lt;&gt;"",ISNUMBER(F1211)),Q1211,"")</f>
        <v/>
      </c>
      <c r="U1211">
        <f>IF(AND(Q1211&lt;&gt;"",ISNUMBER(G1211)),Q1211,"")</f>
        <v/>
      </c>
      <c r="V1211">
        <f>IF(AND(Q1211&lt;&gt;"",ISNUMBER(H1211)),Q1211,"")</f>
        <v/>
      </c>
      <c r="W1211">
        <f>IF(AND(Q1211&lt;&gt;"",ISNUMBER(I1211)),Q1211,"")</f>
        <v/>
      </c>
      <c r="X1211">
        <f>IF(AND(Q1211&lt;&gt;"",ISNUMBER(J1211)),Q1211,"")</f>
        <v/>
      </c>
      <c r="Y1211">
        <f>IF(AND(Q1211&lt;&gt;"",ISNUMBER(K1211)),Q1211,"")</f>
        <v/>
      </c>
      <c r="Z1211">
        <f>IF(AND(Q1211&lt;&gt;"",ISNUMBER(L1211)),Q1211,"")</f>
        <v/>
      </c>
      <c r="AA1211">
        <f>IF(AND(Q1211&lt;&gt;"",ISNUMBER(M1211)),Q1211,"")</f>
        <v/>
      </c>
      <c r="AB1211">
        <f>IF(AND(Q1211&lt;&gt;"",ISNUMBER(K1211)),K1211,"")</f>
        <v/>
      </c>
      <c r="AC1211">
        <f>IF(AND(Q1211&lt;&gt;"",ISNUMBER(L1211)),L1211,"")</f>
        <v/>
      </c>
      <c r="AD1211">
        <f>IF(AND(Q1211&lt;&gt;"",ISNUMBER(M1211)),M1211,"")</f>
        <v/>
      </c>
    </row>
    <row r="1212">
      <c r="A1212" s="1" t="n"/>
      <c r="B1212" s="17" t="n"/>
      <c r="C1212" s="27" t="n"/>
      <c r="D1212" s="28" t="n"/>
      <c r="E1212" s="28" t="n"/>
      <c r="F1212" s="28" t="n"/>
      <c r="G1212" s="28" t="n"/>
      <c r="H1212" s="28" t="n"/>
      <c r="I1212" s="28" t="n"/>
      <c r="J1212" s="28" t="n"/>
      <c r="K1212" s="28" t="n"/>
      <c r="L1212" s="28" t="n"/>
      <c r="M1212" s="29" t="n"/>
      <c r="N1212" s="21" t="n"/>
      <c r="O1212" s="12">
        <f>IF(AND(B1212="",C1212=""),"",IF(NOT(ISNUMBER(B1212)),"Needs a date",IF(C1212="","Needs a client",IF(COUNTIF(Clients!$B$6:$B$105,C1212)=0,"Not on Clients",IF(COUNT(D1212:M1212)=0,"Nothing measured","")))))</f>
        <v/>
      </c>
      <c r="P1212" s="1">
        <f>IF(AND(O1212="",ISNUMBER(B1212)),INT(B1212),0)</f>
        <v/>
      </c>
      <c r="Q1212">
        <f>IF(AND(P1212&gt;0,C1212=Report!$C$5),P1212*10000+ROW(),"")</f>
        <v/>
      </c>
      <c r="R1212">
        <f>IF(AND(Q1212&lt;&gt;"",ISNUMBER(D1212)),Q1212,"")</f>
        <v/>
      </c>
      <c r="S1212">
        <f>IF(AND(Q1212&lt;&gt;"",ISNUMBER(E1212)),Q1212,"")</f>
        <v/>
      </c>
      <c r="T1212">
        <f>IF(AND(Q1212&lt;&gt;"",ISNUMBER(F1212)),Q1212,"")</f>
        <v/>
      </c>
      <c r="U1212">
        <f>IF(AND(Q1212&lt;&gt;"",ISNUMBER(G1212)),Q1212,"")</f>
        <v/>
      </c>
      <c r="V1212">
        <f>IF(AND(Q1212&lt;&gt;"",ISNUMBER(H1212)),Q1212,"")</f>
        <v/>
      </c>
      <c r="W1212">
        <f>IF(AND(Q1212&lt;&gt;"",ISNUMBER(I1212)),Q1212,"")</f>
        <v/>
      </c>
      <c r="X1212">
        <f>IF(AND(Q1212&lt;&gt;"",ISNUMBER(J1212)),Q1212,"")</f>
        <v/>
      </c>
      <c r="Y1212">
        <f>IF(AND(Q1212&lt;&gt;"",ISNUMBER(K1212)),Q1212,"")</f>
        <v/>
      </c>
      <c r="Z1212">
        <f>IF(AND(Q1212&lt;&gt;"",ISNUMBER(L1212)),Q1212,"")</f>
        <v/>
      </c>
      <c r="AA1212">
        <f>IF(AND(Q1212&lt;&gt;"",ISNUMBER(M1212)),Q1212,"")</f>
        <v/>
      </c>
      <c r="AB1212">
        <f>IF(AND(Q1212&lt;&gt;"",ISNUMBER(K1212)),K1212,"")</f>
        <v/>
      </c>
      <c r="AC1212">
        <f>IF(AND(Q1212&lt;&gt;"",ISNUMBER(L1212)),L1212,"")</f>
        <v/>
      </c>
      <c r="AD1212">
        <f>IF(AND(Q1212&lt;&gt;"",ISNUMBER(M1212)),M1212,"")</f>
        <v/>
      </c>
    </row>
    <row r="1213">
      <c r="A1213" s="1" t="n"/>
      <c r="B1213" s="17" t="n"/>
      <c r="C1213" s="27" t="n"/>
      <c r="D1213" s="28" t="n"/>
      <c r="E1213" s="28" t="n"/>
      <c r="F1213" s="28" t="n"/>
      <c r="G1213" s="28" t="n"/>
      <c r="H1213" s="28" t="n"/>
      <c r="I1213" s="28" t="n"/>
      <c r="J1213" s="28" t="n"/>
      <c r="K1213" s="28" t="n"/>
      <c r="L1213" s="28" t="n"/>
      <c r="M1213" s="29" t="n"/>
      <c r="N1213" s="21" t="n"/>
      <c r="O1213" s="12">
        <f>IF(AND(B1213="",C1213=""),"",IF(NOT(ISNUMBER(B1213)),"Needs a date",IF(C1213="","Needs a client",IF(COUNTIF(Clients!$B$6:$B$105,C1213)=0,"Not on Clients",IF(COUNT(D1213:M1213)=0,"Nothing measured","")))))</f>
        <v/>
      </c>
      <c r="P1213" s="1">
        <f>IF(AND(O1213="",ISNUMBER(B1213)),INT(B1213),0)</f>
        <v/>
      </c>
      <c r="Q1213">
        <f>IF(AND(P1213&gt;0,C1213=Report!$C$5),P1213*10000+ROW(),"")</f>
        <v/>
      </c>
      <c r="R1213">
        <f>IF(AND(Q1213&lt;&gt;"",ISNUMBER(D1213)),Q1213,"")</f>
        <v/>
      </c>
      <c r="S1213">
        <f>IF(AND(Q1213&lt;&gt;"",ISNUMBER(E1213)),Q1213,"")</f>
        <v/>
      </c>
      <c r="T1213">
        <f>IF(AND(Q1213&lt;&gt;"",ISNUMBER(F1213)),Q1213,"")</f>
        <v/>
      </c>
      <c r="U1213">
        <f>IF(AND(Q1213&lt;&gt;"",ISNUMBER(G1213)),Q1213,"")</f>
        <v/>
      </c>
      <c r="V1213">
        <f>IF(AND(Q1213&lt;&gt;"",ISNUMBER(H1213)),Q1213,"")</f>
        <v/>
      </c>
      <c r="W1213">
        <f>IF(AND(Q1213&lt;&gt;"",ISNUMBER(I1213)),Q1213,"")</f>
        <v/>
      </c>
      <c r="X1213">
        <f>IF(AND(Q1213&lt;&gt;"",ISNUMBER(J1213)),Q1213,"")</f>
        <v/>
      </c>
      <c r="Y1213">
        <f>IF(AND(Q1213&lt;&gt;"",ISNUMBER(K1213)),Q1213,"")</f>
        <v/>
      </c>
      <c r="Z1213">
        <f>IF(AND(Q1213&lt;&gt;"",ISNUMBER(L1213)),Q1213,"")</f>
        <v/>
      </c>
      <c r="AA1213">
        <f>IF(AND(Q1213&lt;&gt;"",ISNUMBER(M1213)),Q1213,"")</f>
        <v/>
      </c>
      <c r="AB1213">
        <f>IF(AND(Q1213&lt;&gt;"",ISNUMBER(K1213)),K1213,"")</f>
        <v/>
      </c>
      <c r="AC1213">
        <f>IF(AND(Q1213&lt;&gt;"",ISNUMBER(L1213)),L1213,"")</f>
        <v/>
      </c>
      <c r="AD1213">
        <f>IF(AND(Q1213&lt;&gt;"",ISNUMBER(M1213)),M1213,"")</f>
        <v/>
      </c>
    </row>
    <row r="1214">
      <c r="A1214" s="1" t="n"/>
      <c r="B1214" s="17" t="n"/>
      <c r="C1214" s="27" t="n"/>
      <c r="D1214" s="28" t="n"/>
      <c r="E1214" s="28" t="n"/>
      <c r="F1214" s="28" t="n"/>
      <c r="G1214" s="28" t="n"/>
      <c r="H1214" s="28" t="n"/>
      <c r="I1214" s="28" t="n"/>
      <c r="J1214" s="28" t="n"/>
      <c r="K1214" s="28" t="n"/>
      <c r="L1214" s="28" t="n"/>
      <c r="M1214" s="29" t="n"/>
      <c r="N1214" s="21" t="n"/>
      <c r="O1214" s="12">
        <f>IF(AND(B1214="",C1214=""),"",IF(NOT(ISNUMBER(B1214)),"Needs a date",IF(C1214="","Needs a client",IF(COUNTIF(Clients!$B$6:$B$105,C1214)=0,"Not on Clients",IF(COUNT(D1214:M1214)=0,"Nothing measured","")))))</f>
        <v/>
      </c>
      <c r="P1214" s="1">
        <f>IF(AND(O1214="",ISNUMBER(B1214)),INT(B1214),0)</f>
        <v/>
      </c>
      <c r="Q1214">
        <f>IF(AND(P1214&gt;0,C1214=Report!$C$5),P1214*10000+ROW(),"")</f>
        <v/>
      </c>
      <c r="R1214">
        <f>IF(AND(Q1214&lt;&gt;"",ISNUMBER(D1214)),Q1214,"")</f>
        <v/>
      </c>
      <c r="S1214">
        <f>IF(AND(Q1214&lt;&gt;"",ISNUMBER(E1214)),Q1214,"")</f>
        <v/>
      </c>
      <c r="T1214">
        <f>IF(AND(Q1214&lt;&gt;"",ISNUMBER(F1214)),Q1214,"")</f>
        <v/>
      </c>
      <c r="U1214">
        <f>IF(AND(Q1214&lt;&gt;"",ISNUMBER(G1214)),Q1214,"")</f>
        <v/>
      </c>
      <c r="V1214">
        <f>IF(AND(Q1214&lt;&gt;"",ISNUMBER(H1214)),Q1214,"")</f>
        <v/>
      </c>
      <c r="W1214">
        <f>IF(AND(Q1214&lt;&gt;"",ISNUMBER(I1214)),Q1214,"")</f>
        <v/>
      </c>
      <c r="X1214">
        <f>IF(AND(Q1214&lt;&gt;"",ISNUMBER(J1214)),Q1214,"")</f>
        <v/>
      </c>
      <c r="Y1214">
        <f>IF(AND(Q1214&lt;&gt;"",ISNUMBER(K1214)),Q1214,"")</f>
        <v/>
      </c>
      <c r="Z1214">
        <f>IF(AND(Q1214&lt;&gt;"",ISNUMBER(L1214)),Q1214,"")</f>
        <v/>
      </c>
      <c r="AA1214">
        <f>IF(AND(Q1214&lt;&gt;"",ISNUMBER(M1214)),Q1214,"")</f>
        <v/>
      </c>
      <c r="AB1214">
        <f>IF(AND(Q1214&lt;&gt;"",ISNUMBER(K1214)),K1214,"")</f>
        <v/>
      </c>
      <c r="AC1214">
        <f>IF(AND(Q1214&lt;&gt;"",ISNUMBER(L1214)),L1214,"")</f>
        <v/>
      </c>
      <c r="AD1214">
        <f>IF(AND(Q1214&lt;&gt;"",ISNUMBER(M1214)),M1214,"")</f>
        <v/>
      </c>
    </row>
    <row r="1215">
      <c r="A1215" s="1" t="n"/>
      <c r="B1215" s="17" t="n"/>
      <c r="C1215" s="27" t="n"/>
      <c r="D1215" s="28" t="n"/>
      <c r="E1215" s="28" t="n"/>
      <c r="F1215" s="28" t="n"/>
      <c r="G1215" s="28" t="n"/>
      <c r="H1215" s="28" t="n"/>
      <c r="I1215" s="28" t="n"/>
      <c r="J1215" s="28" t="n"/>
      <c r="K1215" s="28" t="n"/>
      <c r="L1215" s="28" t="n"/>
      <c r="M1215" s="29" t="n"/>
      <c r="N1215" s="21" t="n"/>
      <c r="O1215" s="12">
        <f>IF(AND(B1215="",C1215=""),"",IF(NOT(ISNUMBER(B1215)),"Needs a date",IF(C1215="","Needs a client",IF(COUNTIF(Clients!$B$6:$B$105,C1215)=0,"Not on Clients",IF(COUNT(D1215:M1215)=0,"Nothing measured","")))))</f>
        <v/>
      </c>
      <c r="P1215" s="1">
        <f>IF(AND(O1215="",ISNUMBER(B1215)),INT(B1215),0)</f>
        <v/>
      </c>
      <c r="Q1215">
        <f>IF(AND(P1215&gt;0,C1215=Report!$C$5),P1215*10000+ROW(),"")</f>
        <v/>
      </c>
      <c r="R1215">
        <f>IF(AND(Q1215&lt;&gt;"",ISNUMBER(D1215)),Q1215,"")</f>
        <v/>
      </c>
      <c r="S1215">
        <f>IF(AND(Q1215&lt;&gt;"",ISNUMBER(E1215)),Q1215,"")</f>
        <v/>
      </c>
      <c r="T1215">
        <f>IF(AND(Q1215&lt;&gt;"",ISNUMBER(F1215)),Q1215,"")</f>
        <v/>
      </c>
      <c r="U1215">
        <f>IF(AND(Q1215&lt;&gt;"",ISNUMBER(G1215)),Q1215,"")</f>
        <v/>
      </c>
      <c r="V1215">
        <f>IF(AND(Q1215&lt;&gt;"",ISNUMBER(H1215)),Q1215,"")</f>
        <v/>
      </c>
      <c r="W1215">
        <f>IF(AND(Q1215&lt;&gt;"",ISNUMBER(I1215)),Q1215,"")</f>
        <v/>
      </c>
      <c r="X1215">
        <f>IF(AND(Q1215&lt;&gt;"",ISNUMBER(J1215)),Q1215,"")</f>
        <v/>
      </c>
      <c r="Y1215">
        <f>IF(AND(Q1215&lt;&gt;"",ISNUMBER(K1215)),Q1215,"")</f>
        <v/>
      </c>
      <c r="Z1215">
        <f>IF(AND(Q1215&lt;&gt;"",ISNUMBER(L1215)),Q1215,"")</f>
        <v/>
      </c>
      <c r="AA1215">
        <f>IF(AND(Q1215&lt;&gt;"",ISNUMBER(M1215)),Q1215,"")</f>
        <v/>
      </c>
      <c r="AB1215">
        <f>IF(AND(Q1215&lt;&gt;"",ISNUMBER(K1215)),K1215,"")</f>
        <v/>
      </c>
      <c r="AC1215">
        <f>IF(AND(Q1215&lt;&gt;"",ISNUMBER(L1215)),L1215,"")</f>
        <v/>
      </c>
      <c r="AD1215">
        <f>IF(AND(Q1215&lt;&gt;"",ISNUMBER(M1215)),M1215,"")</f>
        <v/>
      </c>
    </row>
    <row r="1216">
      <c r="A1216" s="1" t="n"/>
      <c r="B1216" s="17" t="n"/>
      <c r="C1216" s="27" t="n"/>
      <c r="D1216" s="28" t="n"/>
      <c r="E1216" s="28" t="n"/>
      <c r="F1216" s="28" t="n"/>
      <c r="G1216" s="28" t="n"/>
      <c r="H1216" s="28" t="n"/>
      <c r="I1216" s="28" t="n"/>
      <c r="J1216" s="28" t="n"/>
      <c r="K1216" s="28" t="n"/>
      <c r="L1216" s="28" t="n"/>
      <c r="M1216" s="29" t="n"/>
      <c r="N1216" s="21" t="n"/>
      <c r="O1216" s="12">
        <f>IF(AND(B1216="",C1216=""),"",IF(NOT(ISNUMBER(B1216)),"Needs a date",IF(C1216="","Needs a client",IF(COUNTIF(Clients!$B$6:$B$105,C1216)=0,"Not on Clients",IF(COUNT(D1216:M1216)=0,"Nothing measured","")))))</f>
        <v/>
      </c>
      <c r="P1216" s="1">
        <f>IF(AND(O1216="",ISNUMBER(B1216)),INT(B1216),0)</f>
        <v/>
      </c>
      <c r="Q1216">
        <f>IF(AND(P1216&gt;0,C1216=Report!$C$5),P1216*10000+ROW(),"")</f>
        <v/>
      </c>
      <c r="R1216">
        <f>IF(AND(Q1216&lt;&gt;"",ISNUMBER(D1216)),Q1216,"")</f>
        <v/>
      </c>
      <c r="S1216">
        <f>IF(AND(Q1216&lt;&gt;"",ISNUMBER(E1216)),Q1216,"")</f>
        <v/>
      </c>
      <c r="T1216">
        <f>IF(AND(Q1216&lt;&gt;"",ISNUMBER(F1216)),Q1216,"")</f>
        <v/>
      </c>
      <c r="U1216">
        <f>IF(AND(Q1216&lt;&gt;"",ISNUMBER(G1216)),Q1216,"")</f>
        <v/>
      </c>
      <c r="V1216">
        <f>IF(AND(Q1216&lt;&gt;"",ISNUMBER(H1216)),Q1216,"")</f>
        <v/>
      </c>
      <c r="W1216">
        <f>IF(AND(Q1216&lt;&gt;"",ISNUMBER(I1216)),Q1216,"")</f>
        <v/>
      </c>
      <c r="X1216">
        <f>IF(AND(Q1216&lt;&gt;"",ISNUMBER(J1216)),Q1216,"")</f>
        <v/>
      </c>
      <c r="Y1216">
        <f>IF(AND(Q1216&lt;&gt;"",ISNUMBER(K1216)),Q1216,"")</f>
        <v/>
      </c>
      <c r="Z1216">
        <f>IF(AND(Q1216&lt;&gt;"",ISNUMBER(L1216)),Q1216,"")</f>
        <v/>
      </c>
      <c r="AA1216">
        <f>IF(AND(Q1216&lt;&gt;"",ISNUMBER(M1216)),Q1216,"")</f>
        <v/>
      </c>
      <c r="AB1216">
        <f>IF(AND(Q1216&lt;&gt;"",ISNUMBER(K1216)),K1216,"")</f>
        <v/>
      </c>
      <c r="AC1216">
        <f>IF(AND(Q1216&lt;&gt;"",ISNUMBER(L1216)),L1216,"")</f>
        <v/>
      </c>
      <c r="AD1216">
        <f>IF(AND(Q1216&lt;&gt;"",ISNUMBER(M1216)),M1216,"")</f>
        <v/>
      </c>
    </row>
    <row r="1217">
      <c r="A1217" s="1" t="n"/>
      <c r="B1217" s="17" t="n"/>
      <c r="C1217" s="27" t="n"/>
      <c r="D1217" s="28" t="n"/>
      <c r="E1217" s="28" t="n"/>
      <c r="F1217" s="28" t="n"/>
      <c r="G1217" s="28" t="n"/>
      <c r="H1217" s="28" t="n"/>
      <c r="I1217" s="28" t="n"/>
      <c r="J1217" s="28" t="n"/>
      <c r="K1217" s="28" t="n"/>
      <c r="L1217" s="28" t="n"/>
      <c r="M1217" s="29" t="n"/>
      <c r="N1217" s="21" t="n"/>
      <c r="O1217" s="12">
        <f>IF(AND(B1217="",C1217=""),"",IF(NOT(ISNUMBER(B1217)),"Needs a date",IF(C1217="","Needs a client",IF(COUNTIF(Clients!$B$6:$B$105,C1217)=0,"Not on Clients",IF(COUNT(D1217:M1217)=0,"Nothing measured","")))))</f>
        <v/>
      </c>
      <c r="P1217" s="1">
        <f>IF(AND(O1217="",ISNUMBER(B1217)),INT(B1217),0)</f>
        <v/>
      </c>
      <c r="Q1217">
        <f>IF(AND(P1217&gt;0,C1217=Report!$C$5),P1217*10000+ROW(),"")</f>
        <v/>
      </c>
      <c r="R1217">
        <f>IF(AND(Q1217&lt;&gt;"",ISNUMBER(D1217)),Q1217,"")</f>
        <v/>
      </c>
      <c r="S1217">
        <f>IF(AND(Q1217&lt;&gt;"",ISNUMBER(E1217)),Q1217,"")</f>
        <v/>
      </c>
      <c r="T1217">
        <f>IF(AND(Q1217&lt;&gt;"",ISNUMBER(F1217)),Q1217,"")</f>
        <v/>
      </c>
      <c r="U1217">
        <f>IF(AND(Q1217&lt;&gt;"",ISNUMBER(G1217)),Q1217,"")</f>
        <v/>
      </c>
      <c r="V1217">
        <f>IF(AND(Q1217&lt;&gt;"",ISNUMBER(H1217)),Q1217,"")</f>
        <v/>
      </c>
      <c r="W1217">
        <f>IF(AND(Q1217&lt;&gt;"",ISNUMBER(I1217)),Q1217,"")</f>
        <v/>
      </c>
      <c r="X1217">
        <f>IF(AND(Q1217&lt;&gt;"",ISNUMBER(J1217)),Q1217,"")</f>
        <v/>
      </c>
      <c r="Y1217">
        <f>IF(AND(Q1217&lt;&gt;"",ISNUMBER(K1217)),Q1217,"")</f>
        <v/>
      </c>
      <c r="Z1217">
        <f>IF(AND(Q1217&lt;&gt;"",ISNUMBER(L1217)),Q1217,"")</f>
        <v/>
      </c>
      <c r="AA1217">
        <f>IF(AND(Q1217&lt;&gt;"",ISNUMBER(M1217)),Q1217,"")</f>
        <v/>
      </c>
      <c r="AB1217">
        <f>IF(AND(Q1217&lt;&gt;"",ISNUMBER(K1217)),K1217,"")</f>
        <v/>
      </c>
      <c r="AC1217">
        <f>IF(AND(Q1217&lt;&gt;"",ISNUMBER(L1217)),L1217,"")</f>
        <v/>
      </c>
      <c r="AD1217">
        <f>IF(AND(Q1217&lt;&gt;"",ISNUMBER(M1217)),M1217,"")</f>
        <v/>
      </c>
    </row>
    <row r="1218">
      <c r="A1218" s="1" t="n"/>
      <c r="B1218" s="17" t="n"/>
      <c r="C1218" s="27" t="n"/>
      <c r="D1218" s="28" t="n"/>
      <c r="E1218" s="28" t="n"/>
      <c r="F1218" s="28" t="n"/>
      <c r="G1218" s="28" t="n"/>
      <c r="H1218" s="28" t="n"/>
      <c r="I1218" s="28" t="n"/>
      <c r="J1218" s="28" t="n"/>
      <c r="K1218" s="28" t="n"/>
      <c r="L1218" s="28" t="n"/>
      <c r="M1218" s="29" t="n"/>
      <c r="N1218" s="21" t="n"/>
      <c r="O1218" s="12">
        <f>IF(AND(B1218="",C1218=""),"",IF(NOT(ISNUMBER(B1218)),"Needs a date",IF(C1218="","Needs a client",IF(COUNTIF(Clients!$B$6:$B$105,C1218)=0,"Not on Clients",IF(COUNT(D1218:M1218)=0,"Nothing measured","")))))</f>
        <v/>
      </c>
      <c r="P1218" s="1">
        <f>IF(AND(O1218="",ISNUMBER(B1218)),INT(B1218),0)</f>
        <v/>
      </c>
      <c r="Q1218">
        <f>IF(AND(P1218&gt;0,C1218=Report!$C$5),P1218*10000+ROW(),"")</f>
        <v/>
      </c>
      <c r="R1218">
        <f>IF(AND(Q1218&lt;&gt;"",ISNUMBER(D1218)),Q1218,"")</f>
        <v/>
      </c>
      <c r="S1218">
        <f>IF(AND(Q1218&lt;&gt;"",ISNUMBER(E1218)),Q1218,"")</f>
        <v/>
      </c>
      <c r="T1218">
        <f>IF(AND(Q1218&lt;&gt;"",ISNUMBER(F1218)),Q1218,"")</f>
        <v/>
      </c>
      <c r="U1218">
        <f>IF(AND(Q1218&lt;&gt;"",ISNUMBER(G1218)),Q1218,"")</f>
        <v/>
      </c>
      <c r="V1218">
        <f>IF(AND(Q1218&lt;&gt;"",ISNUMBER(H1218)),Q1218,"")</f>
        <v/>
      </c>
      <c r="W1218">
        <f>IF(AND(Q1218&lt;&gt;"",ISNUMBER(I1218)),Q1218,"")</f>
        <v/>
      </c>
      <c r="X1218">
        <f>IF(AND(Q1218&lt;&gt;"",ISNUMBER(J1218)),Q1218,"")</f>
        <v/>
      </c>
      <c r="Y1218">
        <f>IF(AND(Q1218&lt;&gt;"",ISNUMBER(K1218)),Q1218,"")</f>
        <v/>
      </c>
      <c r="Z1218">
        <f>IF(AND(Q1218&lt;&gt;"",ISNUMBER(L1218)),Q1218,"")</f>
        <v/>
      </c>
      <c r="AA1218">
        <f>IF(AND(Q1218&lt;&gt;"",ISNUMBER(M1218)),Q1218,"")</f>
        <v/>
      </c>
      <c r="AB1218">
        <f>IF(AND(Q1218&lt;&gt;"",ISNUMBER(K1218)),K1218,"")</f>
        <v/>
      </c>
      <c r="AC1218">
        <f>IF(AND(Q1218&lt;&gt;"",ISNUMBER(L1218)),L1218,"")</f>
        <v/>
      </c>
      <c r="AD1218">
        <f>IF(AND(Q1218&lt;&gt;"",ISNUMBER(M1218)),M1218,"")</f>
        <v/>
      </c>
    </row>
    <row r="1219">
      <c r="A1219" s="1" t="n"/>
      <c r="B1219" s="17" t="n"/>
      <c r="C1219" s="27" t="n"/>
      <c r="D1219" s="28" t="n"/>
      <c r="E1219" s="28" t="n"/>
      <c r="F1219" s="28" t="n"/>
      <c r="G1219" s="28" t="n"/>
      <c r="H1219" s="28" t="n"/>
      <c r="I1219" s="28" t="n"/>
      <c r="J1219" s="28" t="n"/>
      <c r="K1219" s="28" t="n"/>
      <c r="L1219" s="28" t="n"/>
      <c r="M1219" s="29" t="n"/>
      <c r="N1219" s="21" t="n"/>
      <c r="O1219" s="12">
        <f>IF(AND(B1219="",C1219=""),"",IF(NOT(ISNUMBER(B1219)),"Needs a date",IF(C1219="","Needs a client",IF(COUNTIF(Clients!$B$6:$B$105,C1219)=0,"Not on Clients",IF(COUNT(D1219:M1219)=0,"Nothing measured","")))))</f>
        <v/>
      </c>
      <c r="P1219" s="1">
        <f>IF(AND(O1219="",ISNUMBER(B1219)),INT(B1219),0)</f>
        <v/>
      </c>
      <c r="Q1219">
        <f>IF(AND(P1219&gt;0,C1219=Report!$C$5),P1219*10000+ROW(),"")</f>
        <v/>
      </c>
      <c r="R1219">
        <f>IF(AND(Q1219&lt;&gt;"",ISNUMBER(D1219)),Q1219,"")</f>
        <v/>
      </c>
      <c r="S1219">
        <f>IF(AND(Q1219&lt;&gt;"",ISNUMBER(E1219)),Q1219,"")</f>
        <v/>
      </c>
      <c r="T1219">
        <f>IF(AND(Q1219&lt;&gt;"",ISNUMBER(F1219)),Q1219,"")</f>
        <v/>
      </c>
      <c r="U1219">
        <f>IF(AND(Q1219&lt;&gt;"",ISNUMBER(G1219)),Q1219,"")</f>
        <v/>
      </c>
      <c r="V1219">
        <f>IF(AND(Q1219&lt;&gt;"",ISNUMBER(H1219)),Q1219,"")</f>
        <v/>
      </c>
      <c r="W1219">
        <f>IF(AND(Q1219&lt;&gt;"",ISNUMBER(I1219)),Q1219,"")</f>
        <v/>
      </c>
      <c r="X1219">
        <f>IF(AND(Q1219&lt;&gt;"",ISNUMBER(J1219)),Q1219,"")</f>
        <v/>
      </c>
      <c r="Y1219">
        <f>IF(AND(Q1219&lt;&gt;"",ISNUMBER(K1219)),Q1219,"")</f>
        <v/>
      </c>
      <c r="Z1219">
        <f>IF(AND(Q1219&lt;&gt;"",ISNUMBER(L1219)),Q1219,"")</f>
        <v/>
      </c>
      <c r="AA1219">
        <f>IF(AND(Q1219&lt;&gt;"",ISNUMBER(M1219)),Q1219,"")</f>
        <v/>
      </c>
      <c r="AB1219">
        <f>IF(AND(Q1219&lt;&gt;"",ISNUMBER(K1219)),K1219,"")</f>
        <v/>
      </c>
      <c r="AC1219">
        <f>IF(AND(Q1219&lt;&gt;"",ISNUMBER(L1219)),L1219,"")</f>
        <v/>
      </c>
      <c r="AD1219">
        <f>IF(AND(Q1219&lt;&gt;"",ISNUMBER(M1219)),M1219,"")</f>
        <v/>
      </c>
    </row>
    <row r="1220">
      <c r="A1220" s="1" t="n"/>
      <c r="B1220" s="17" t="n"/>
      <c r="C1220" s="27" t="n"/>
      <c r="D1220" s="28" t="n"/>
      <c r="E1220" s="28" t="n"/>
      <c r="F1220" s="28" t="n"/>
      <c r="G1220" s="28" t="n"/>
      <c r="H1220" s="28" t="n"/>
      <c r="I1220" s="28" t="n"/>
      <c r="J1220" s="28" t="n"/>
      <c r="K1220" s="28" t="n"/>
      <c r="L1220" s="28" t="n"/>
      <c r="M1220" s="29" t="n"/>
      <c r="N1220" s="21" t="n"/>
      <c r="O1220" s="12">
        <f>IF(AND(B1220="",C1220=""),"",IF(NOT(ISNUMBER(B1220)),"Needs a date",IF(C1220="","Needs a client",IF(COUNTIF(Clients!$B$6:$B$105,C1220)=0,"Not on Clients",IF(COUNT(D1220:M1220)=0,"Nothing measured","")))))</f>
        <v/>
      </c>
      <c r="P1220" s="1">
        <f>IF(AND(O1220="",ISNUMBER(B1220)),INT(B1220),0)</f>
        <v/>
      </c>
      <c r="Q1220">
        <f>IF(AND(P1220&gt;0,C1220=Report!$C$5),P1220*10000+ROW(),"")</f>
        <v/>
      </c>
      <c r="R1220">
        <f>IF(AND(Q1220&lt;&gt;"",ISNUMBER(D1220)),Q1220,"")</f>
        <v/>
      </c>
      <c r="S1220">
        <f>IF(AND(Q1220&lt;&gt;"",ISNUMBER(E1220)),Q1220,"")</f>
        <v/>
      </c>
      <c r="T1220">
        <f>IF(AND(Q1220&lt;&gt;"",ISNUMBER(F1220)),Q1220,"")</f>
        <v/>
      </c>
      <c r="U1220">
        <f>IF(AND(Q1220&lt;&gt;"",ISNUMBER(G1220)),Q1220,"")</f>
        <v/>
      </c>
      <c r="V1220">
        <f>IF(AND(Q1220&lt;&gt;"",ISNUMBER(H1220)),Q1220,"")</f>
        <v/>
      </c>
      <c r="W1220">
        <f>IF(AND(Q1220&lt;&gt;"",ISNUMBER(I1220)),Q1220,"")</f>
        <v/>
      </c>
      <c r="X1220">
        <f>IF(AND(Q1220&lt;&gt;"",ISNUMBER(J1220)),Q1220,"")</f>
        <v/>
      </c>
      <c r="Y1220">
        <f>IF(AND(Q1220&lt;&gt;"",ISNUMBER(K1220)),Q1220,"")</f>
        <v/>
      </c>
      <c r="Z1220">
        <f>IF(AND(Q1220&lt;&gt;"",ISNUMBER(L1220)),Q1220,"")</f>
        <v/>
      </c>
      <c r="AA1220">
        <f>IF(AND(Q1220&lt;&gt;"",ISNUMBER(M1220)),Q1220,"")</f>
        <v/>
      </c>
      <c r="AB1220">
        <f>IF(AND(Q1220&lt;&gt;"",ISNUMBER(K1220)),K1220,"")</f>
        <v/>
      </c>
      <c r="AC1220">
        <f>IF(AND(Q1220&lt;&gt;"",ISNUMBER(L1220)),L1220,"")</f>
        <v/>
      </c>
      <c r="AD1220">
        <f>IF(AND(Q1220&lt;&gt;"",ISNUMBER(M1220)),M1220,"")</f>
        <v/>
      </c>
    </row>
    <row r="1221">
      <c r="A1221" s="1" t="n"/>
      <c r="B1221" s="17" t="n"/>
      <c r="C1221" s="27" t="n"/>
      <c r="D1221" s="28" t="n"/>
      <c r="E1221" s="28" t="n"/>
      <c r="F1221" s="28" t="n"/>
      <c r="G1221" s="28" t="n"/>
      <c r="H1221" s="28" t="n"/>
      <c r="I1221" s="28" t="n"/>
      <c r="J1221" s="28" t="n"/>
      <c r="K1221" s="28" t="n"/>
      <c r="L1221" s="28" t="n"/>
      <c r="M1221" s="29" t="n"/>
      <c r="N1221" s="21" t="n"/>
      <c r="O1221" s="12">
        <f>IF(AND(B1221="",C1221=""),"",IF(NOT(ISNUMBER(B1221)),"Needs a date",IF(C1221="","Needs a client",IF(COUNTIF(Clients!$B$6:$B$105,C1221)=0,"Not on Clients",IF(COUNT(D1221:M1221)=0,"Nothing measured","")))))</f>
        <v/>
      </c>
      <c r="P1221" s="1">
        <f>IF(AND(O1221="",ISNUMBER(B1221)),INT(B1221),0)</f>
        <v/>
      </c>
      <c r="Q1221">
        <f>IF(AND(P1221&gt;0,C1221=Report!$C$5),P1221*10000+ROW(),"")</f>
        <v/>
      </c>
      <c r="R1221">
        <f>IF(AND(Q1221&lt;&gt;"",ISNUMBER(D1221)),Q1221,"")</f>
        <v/>
      </c>
      <c r="S1221">
        <f>IF(AND(Q1221&lt;&gt;"",ISNUMBER(E1221)),Q1221,"")</f>
        <v/>
      </c>
      <c r="T1221">
        <f>IF(AND(Q1221&lt;&gt;"",ISNUMBER(F1221)),Q1221,"")</f>
        <v/>
      </c>
      <c r="U1221">
        <f>IF(AND(Q1221&lt;&gt;"",ISNUMBER(G1221)),Q1221,"")</f>
        <v/>
      </c>
      <c r="V1221">
        <f>IF(AND(Q1221&lt;&gt;"",ISNUMBER(H1221)),Q1221,"")</f>
        <v/>
      </c>
      <c r="W1221">
        <f>IF(AND(Q1221&lt;&gt;"",ISNUMBER(I1221)),Q1221,"")</f>
        <v/>
      </c>
      <c r="X1221">
        <f>IF(AND(Q1221&lt;&gt;"",ISNUMBER(J1221)),Q1221,"")</f>
        <v/>
      </c>
      <c r="Y1221">
        <f>IF(AND(Q1221&lt;&gt;"",ISNUMBER(K1221)),Q1221,"")</f>
        <v/>
      </c>
      <c r="Z1221">
        <f>IF(AND(Q1221&lt;&gt;"",ISNUMBER(L1221)),Q1221,"")</f>
        <v/>
      </c>
      <c r="AA1221">
        <f>IF(AND(Q1221&lt;&gt;"",ISNUMBER(M1221)),Q1221,"")</f>
        <v/>
      </c>
      <c r="AB1221">
        <f>IF(AND(Q1221&lt;&gt;"",ISNUMBER(K1221)),K1221,"")</f>
        <v/>
      </c>
      <c r="AC1221">
        <f>IF(AND(Q1221&lt;&gt;"",ISNUMBER(L1221)),L1221,"")</f>
        <v/>
      </c>
      <c r="AD1221">
        <f>IF(AND(Q1221&lt;&gt;"",ISNUMBER(M1221)),M1221,"")</f>
        <v/>
      </c>
    </row>
    <row r="1222">
      <c r="A1222" s="1" t="n"/>
      <c r="B1222" s="17" t="n"/>
      <c r="C1222" s="27" t="n"/>
      <c r="D1222" s="28" t="n"/>
      <c r="E1222" s="28" t="n"/>
      <c r="F1222" s="28" t="n"/>
      <c r="G1222" s="28" t="n"/>
      <c r="H1222" s="28" t="n"/>
      <c r="I1222" s="28" t="n"/>
      <c r="J1222" s="28" t="n"/>
      <c r="K1222" s="28" t="n"/>
      <c r="L1222" s="28" t="n"/>
      <c r="M1222" s="29" t="n"/>
      <c r="N1222" s="21" t="n"/>
      <c r="O1222" s="12">
        <f>IF(AND(B1222="",C1222=""),"",IF(NOT(ISNUMBER(B1222)),"Needs a date",IF(C1222="","Needs a client",IF(COUNTIF(Clients!$B$6:$B$105,C1222)=0,"Not on Clients",IF(COUNT(D1222:M1222)=0,"Nothing measured","")))))</f>
        <v/>
      </c>
      <c r="P1222" s="1">
        <f>IF(AND(O1222="",ISNUMBER(B1222)),INT(B1222),0)</f>
        <v/>
      </c>
      <c r="Q1222">
        <f>IF(AND(P1222&gt;0,C1222=Report!$C$5),P1222*10000+ROW(),"")</f>
        <v/>
      </c>
      <c r="R1222">
        <f>IF(AND(Q1222&lt;&gt;"",ISNUMBER(D1222)),Q1222,"")</f>
        <v/>
      </c>
      <c r="S1222">
        <f>IF(AND(Q1222&lt;&gt;"",ISNUMBER(E1222)),Q1222,"")</f>
        <v/>
      </c>
      <c r="T1222">
        <f>IF(AND(Q1222&lt;&gt;"",ISNUMBER(F1222)),Q1222,"")</f>
        <v/>
      </c>
      <c r="U1222">
        <f>IF(AND(Q1222&lt;&gt;"",ISNUMBER(G1222)),Q1222,"")</f>
        <v/>
      </c>
      <c r="V1222">
        <f>IF(AND(Q1222&lt;&gt;"",ISNUMBER(H1222)),Q1222,"")</f>
        <v/>
      </c>
      <c r="W1222">
        <f>IF(AND(Q1222&lt;&gt;"",ISNUMBER(I1222)),Q1222,"")</f>
        <v/>
      </c>
      <c r="X1222">
        <f>IF(AND(Q1222&lt;&gt;"",ISNUMBER(J1222)),Q1222,"")</f>
        <v/>
      </c>
      <c r="Y1222">
        <f>IF(AND(Q1222&lt;&gt;"",ISNUMBER(K1222)),Q1222,"")</f>
        <v/>
      </c>
      <c r="Z1222">
        <f>IF(AND(Q1222&lt;&gt;"",ISNUMBER(L1222)),Q1222,"")</f>
        <v/>
      </c>
      <c r="AA1222">
        <f>IF(AND(Q1222&lt;&gt;"",ISNUMBER(M1222)),Q1222,"")</f>
        <v/>
      </c>
      <c r="AB1222">
        <f>IF(AND(Q1222&lt;&gt;"",ISNUMBER(K1222)),K1222,"")</f>
        <v/>
      </c>
      <c r="AC1222">
        <f>IF(AND(Q1222&lt;&gt;"",ISNUMBER(L1222)),L1222,"")</f>
        <v/>
      </c>
      <c r="AD1222">
        <f>IF(AND(Q1222&lt;&gt;"",ISNUMBER(M1222)),M1222,"")</f>
        <v/>
      </c>
    </row>
    <row r="1223">
      <c r="A1223" s="1" t="n"/>
      <c r="B1223" s="17" t="n"/>
      <c r="C1223" s="27" t="n"/>
      <c r="D1223" s="28" t="n"/>
      <c r="E1223" s="28" t="n"/>
      <c r="F1223" s="28" t="n"/>
      <c r="G1223" s="28" t="n"/>
      <c r="H1223" s="28" t="n"/>
      <c r="I1223" s="28" t="n"/>
      <c r="J1223" s="28" t="n"/>
      <c r="K1223" s="28" t="n"/>
      <c r="L1223" s="28" t="n"/>
      <c r="M1223" s="29" t="n"/>
      <c r="N1223" s="21" t="n"/>
      <c r="O1223" s="12">
        <f>IF(AND(B1223="",C1223=""),"",IF(NOT(ISNUMBER(B1223)),"Needs a date",IF(C1223="","Needs a client",IF(COUNTIF(Clients!$B$6:$B$105,C1223)=0,"Not on Clients",IF(COUNT(D1223:M1223)=0,"Nothing measured","")))))</f>
        <v/>
      </c>
      <c r="P1223" s="1">
        <f>IF(AND(O1223="",ISNUMBER(B1223)),INT(B1223),0)</f>
        <v/>
      </c>
      <c r="Q1223">
        <f>IF(AND(P1223&gt;0,C1223=Report!$C$5),P1223*10000+ROW(),"")</f>
        <v/>
      </c>
      <c r="R1223">
        <f>IF(AND(Q1223&lt;&gt;"",ISNUMBER(D1223)),Q1223,"")</f>
        <v/>
      </c>
      <c r="S1223">
        <f>IF(AND(Q1223&lt;&gt;"",ISNUMBER(E1223)),Q1223,"")</f>
        <v/>
      </c>
      <c r="T1223">
        <f>IF(AND(Q1223&lt;&gt;"",ISNUMBER(F1223)),Q1223,"")</f>
        <v/>
      </c>
      <c r="U1223">
        <f>IF(AND(Q1223&lt;&gt;"",ISNUMBER(G1223)),Q1223,"")</f>
        <v/>
      </c>
      <c r="V1223">
        <f>IF(AND(Q1223&lt;&gt;"",ISNUMBER(H1223)),Q1223,"")</f>
        <v/>
      </c>
      <c r="W1223">
        <f>IF(AND(Q1223&lt;&gt;"",ISNUMBER(I1223)),Q1223,"")</f>
        <v/>
      </c>
      <c r="X1223">
        <f>IF(AND(Q1223&lt;&gt;"",ISNUMBER(J1223)),Q1223,"")</f>
        <v/>
      </c>
      <c r="Y1223">
        <f>IF(AND(Q1223&lt;&gt;"",ISNUMBER(K1223)),Q1223,"")</f>
        <v/>
      </c>
      <c r="Z1223">
        <f>IF(AND(Q1223&lt;&gt;"",ISNUMBER(L1223)),Q1223,"")</f>
        <v/>
      </c>
      <c r="AA1223">
        <f>IF(AND(Q1223&lt;&gt;"",ISNUMBER(M1223)),Q1223,"")</f>
        <v/>
      </c>
      <c r="AB1223">
        <f>IF(AND(Q1223&lt;&gt;"",ISNUMBER(K1223)),K1223,"")</f>
        <v/>
      </c>
      <c r="AC1223">
        <f>IF(AND(Q1223&lt;&gt;"",ISNUMBER(L1223)),L1223,"")</f>
        <v/>
      </c>
      <c r="AD1223">
        <f>IF(AND(Q1223&lt;&gt;"",ISNUMBER(M1223)),M1223,"")</f>
        <v/>
      </c>
    </row>
    <row r="1224">
      <c r="A1224" s="1" t="n"/>
      <c r="B1224" s="17" t="n"/>
      <c r="C1224" s="27" t="n"/>
      <c r="D1224" s="28" t="n"/>
      <c r="E1224" s="28" t="n"/>
      <c r="F1224" s="28" t="n"/>
      <c r="G1224" s="28" t="n"/>
      <c r="H1224" s="28" t="n"/>
      <c r="I1224" s="28" t="n"/>
      <c r="J1224" s="28" t="n"/>
      <c r="K1224" s="28" t="n"/>
      <c r="L1224" s="28" t="n"/>
      <c r="M1224" s="29" t="n"/>
      <c r="N1224" s="21" t="n"/>
      <c r="O1224" s="12">
        <f>IF(AND(B1224="",C1224=""),"",IF(NOT(ISNUMBER(B1224)),"Needs a date",IF(C1224="","Needs a client",IF(COUNTIF(Clients!$B$6:$B$105,C1224)=0,"Not on Clients",IF(COUNT(D1224:M1224)=0,"Nothing measured","")))))</f>
        <v/>
      </c>
      <c r="P1224" s="1">
        <f>IF(AND(O1224="",ISNUMBER(B1224)),INT(B1224),0)</f>
        <v/>
      </c>
      <c r="Q1224">
        <f>IF(AND(P1224&gt;0,C1224=Report!$C$5),P1224*10000+ROW(),"")</f>
        <v/>
      </c>
      <c r="R1224">
        <f>IF(AND(Q1224&lt;&gt;"",ISNUMBER(D1224)),Q1224,"")</f>
        <v/>
      </c>
      <c r="S1224">
        <f>IF(AND(Q1224&lt;&gt;"",ISNUMBER(E1224)),Q1224,"")</f>
        <v/>
      </c>
      <c r="T1224">
        <f>IF(AND(Q1224&lt;&gt;"",ISNUMBER(F1224)),Q1224,"")</f>
        <v/>
      </c>
      <c r="U1224">
        <f>IF(AND(Q1224&lt;&gt;"",ISNUMBER(G1224)),Q1224,"")</f>
        <v/>
      </c>
      <c r="V1224">
        <f>IF(AND(Q1224&lt;&gt;"",ISNUMBER(H1224)),Q1224,"")</f>
        <v/>
      </c>
      <c r="W1224">
        <f>IF(AND(Q1224&lt;&gt;"",ISNUMBER(I1224)),Q1224,"")</f>
        <v/>
      </c>
      <c r="X1224">
        <f>IF(AND(Q1224&lt;&gt;"",ISNUMBER(J1224)),Q1224,"")</f>
        <v/>
      </c>
      <c r="Y1224">
        <f>IF(AND(Q1224&lt;&gt;"",ISNUMBER(K1224)),Q1224,"")</f>
        <v/>
      </c>
      <c r="Z1224">
        <f>IF(AND(Q1224&lt;&gt;"",ISNUMBER(L1224)),Q1224,"")</f>
        <v/>
      </c>
      <c r="AA1224">
        <f>IF(AND(Q1224&lt;&gt;"",ISNUMBER(M1224)),Q1224,"")</f>
        <v/>
      </c>
      <c r="AB1224">
        <f>IF(AND(Q1224&lt;&gt;"",ISNUMBER(K1224)),K1224,"")</f>
        <v/>
      </c>
      <c r="AC1224">
        <f>IF(AND(Q1224&lt;&gt;"",ISNUMBER(L1224)),L1224,"")</f>
        <v/>
      </c>
      <c r="AD1224">
        <f>IF(AND(Q1224&lt;&gt;"",ISNUMBER(M1224)),M1224,"")</f>
        <v/>
      </c>
    </row>
    <row r="1225">
      <c r="A1225" s="1" t="n"/>
      <c r="B1225" s="17" t="n"/>
      <c r="C1225" s="27" t="n"/>
      <c r="D1225" s="28" t="n"/>
      <c r="E1225" s="28" t="n"/>
      <c r="F1225" s="28" t="n"/>
      <c r="G1225" s="28" t="n"/>
      <c r="H1225" s="28" t="n"/>
      <c r="I1225" s="28" t="n"/>
      <c r="J1225" s="28" t="n"/>
      <c r="K1225" s="28" t="n"/>
      <c r="L1225" s="28" t="n"/>
      <c r="M1225" s="29" t="n"/>
      <c r="N1225" s="21" t="n"/>
      <c r="O1225" s="12">
        <f>IF(AND(B1225="",C1225=""),"",IF(NOT(ISNUMBER(B1225)),"Needs a date",IF(C1225="","Needs a client",IF(COUNTIF(Clients!$B$6:$B$105,C1225)=0,"Not on Clients",IF(COUNT(D1225:M1225)=0,"Nothing measured","")))))</f>
        <v/>
      </c>
      <c r="P1225" s="1">
        <f>IF(AND(O1225="",ISNUMBER(B1225)),INT(B1225),0)</f>
        <v/>
      </c>
      <c r="Q1225">
        <f>IF(AND(P1225&gt;0,C1225=Report!$C$5),P1225*10000+ROW(),"")</f>
        <v/>
      </c>
      <c r="R1225">
        <f>IF(AND(Q1225&lt;&gt;"",ISNUMBER(D1225)),Q1225,"")</f>
        <v/>
      </c>
      <c r="S1225">
        <f>IF(AND(Q1225&lt;&gt;"",ISNUMBER(E1225)),Q1225,"")</f>
        <v/>
      </c>
      <c r="T1225">
        <f>IF(AND(Q1225&lt;&gt;"",ISNUMBER(F1225)),Q1225,"")</f>
        <v/>
      </c>
      <c r="U1225">
        <f>IF(AND(Q1225&lt;&gt;"",ISNUMBER(G1225)),Q1225,"")</f>
        <v/>
      </c>
      <c r="V1225">
        <f>IF(AND(Q1225&lt;&gt;"",ISNUMBER(H1225)),Q1225,"")</f>
        <v/>
      </c>
      <c r="W1225">
        <f>IF(AND(Q1225&lt;&gt;"",ISNUMBER(I1225)),Q1225,"")</f>
        <v/>
      </c>
      <c r="X1225">
        <f>IF(AND(Q1225&lt;&gt;"",ISNUMBER(J1225)),Q1225,"")</f>
        <v/>
      </c>
      <c r="Y1225">
        <f>IF(AND(Q1225&lt;&gt;"",ISNUMBER(K1225)),Q1225,"")</f>
        <v/>
      </c>
      <c r="Z1225">
        <f>IF(AND(Q1225&lt;&gt;"",ISNUMBER(L1225)),Q1225,"")</f>
        <v/>
      </c>
      <c r="AA1225">
        <f>IF(AND(Q1225&lt;&gt;"",ISNUMBER(M1225)),Q1225,"")</f>
        <v/>
      </c>
      <c r="AB1225">
        <f>IF(AND(Q1225&lt;&gt;"",ISNUMBER(K1225)),K1225,"")</f>
        <v/>
      </c>
      <c r="AC1225">
        <f>IF(AND(Q1225&lt;&gt;"",ISNUMBER(L1225)),L1225,"")</f>
        <v/>
      </c>
      <c r="AD1225">
        <f>IF(AND(Q1225&lt;&gt;"",ISNUMBER(M1225)),M1225,"")</f>
        <v/>
      </c>
    </row>
    <row r="1226">
      <c r="A1226" s="1" t="n"/>
      <c r="B1226" s="17" t="n"/>
      <c r="C1226" s="27" t="n"/>
      <c r="D1226" s="28" t="n"/>
      <c r="E1226" s="28" t="n"/>
      <c r="F1226" s="28" t="n"/>
      <c r="G1226" s="28" t="n"/>
      <c r="H1226" s="28" t="n"/>
      <c r="I1226" s="28" t="n"/>
      <c r="J1226" s="28" t="n"/>
      <c r="K1226" s="28" t="n"/>
      <c r="L1226" s="28" t="n"/>
      <c r="M1226" s="29" t="n"/>
      <c r="N1226" s="21" t="n"/>
      <c r="O1226" s="12">
        <f>IF(AND(B1226="",C1226=""),"",IF(NOT(ISNUMBER(B1226)),"Needs a date",IF(C1226="","Needs a client",IF(COUNTIF(Clients!$B$6:$B$105,C1226)=0,"Not on Clients",IF(COUNT(D1226:M1226)=0,"Nothing measured","")))))</f>
        <v/>
      </c>
      <c r="P1226" s="1">
        <f>IF(AND(O1226="",ISNUMBER(B1226)),INT(B1226),0)</f>
        <v/>
      </c>
      <c r="Q1226">
        <f>IF(AND(P1226&gt;0,C1226=Report!$C$5),P1226*10000+ROW(),"")</f>
        <v/>
      </c>
      <c r="R1226">
        <f>IF(AND(Q1226&lt;&gt;"",ISNUMBER(D1226)),Q1226,"")</f>
        <v/>
      </c>
      <c r="S1226">
        <f>IF(AND(Q1226&lt;&gt;"",ISNUMBER(E1226)),Q1226,"")</f>
        <v/>
      </c>
      <c r="T1226">
        <f>IF(AND(Q1226&lt;&gt;"",ISNUMBER(F1226)),Q1226,"")</f>
        <v/>
      </c>
      <c r="U1226">
        <f>IF(AND(Q1226&lt;&gt;"",ISNUMBER(G1226)),Q1226,"")</f>
        <v/>
      </c>
      <c r="V1226">
        <f>IF(AND(Q1226&lt;&gt;"",ISNUMBER(H1226)),Q1226,"")</f>
        <v/>
      </c>
      <c r="W1226">
        <f>IF(AND(Q1226&lt;&gt;"",ISNUMBER(I1226)),Q1226,"")</f>
        <v/>
      </c>
      <c r="X1226">
        <f>IF(AND(Q1226&lt;&gt;"",ISNUMBER(J1226)),Q1226,"")</f>
        <v/>
      </c>
      <c r="Y1226">
        <f>IF(AND(Q1226&lt;&gt;"",ISNUMBER(K1226)),Q1226,"")</f>
        <v/>
      </c>
      <c r="Z1226">
        <f>IF(AND(Q1226&lt;&gt;"",ISNUMBER(L1226)),Q1226,"")</f>
        <v/>
      </c>
      <c r="AA1226">
        <f>IF(AND(Q1226&lt;&gt;"",ISNUMBER(M1226)),Q1226,"")</f>
        <v/>
      </c>
      <c r="AB1226">
        <f>IF(AND(Q1226&lt;&gt;"",ISNUMBER(K1226)),K1226,"")</f>
        <v/>
      </c>
      <c r="AC1226">
        <f>IF(AND(Q1226&lt;&gt;"",ISNUMBER(L1226)),L1226,"")</f>
        <v/>
      </c>
      <c r="AD1226">
        <f>IF(AND(Q1226&lt;&gt;"",ISNUMBER(M1226)),M1226,"")</f>
        <v/>
      </c>
    </row>
    <row r="1227">
      <c r="A1227" s="1" t="n"/>
      <c r="B1227" s="17" t="n"/>
      <c r="C1227" s="27" t="n"/>
      <c r="D1227" s="28" t="n"/>
      <c r="E1227" s="28" t="n"/>
      <c r="F1227" s="28" t="n"/>
      <c r="G1227" s="28" t="n"/>
      <c r="H1227" s="28" t="n"/>
      <c r="I1227" s="28" t="n"/>
      <c r="J1227" s="28" t="n"/>
      <c r="K1227" s="28" t="n"/>
      <c r="L1227" s="28" t="n"/>
      <c r="M1227" s="29" t="n"/>
      <c r="N1227" s="21" t="n"/>
      <c r="O1227" s="12">
        <f>IF(AND(B1227="",C1227=""),"",IF(NOT(ISNUMBER(B1227)),"Needs a date",IF(C1227="","Needs a client",IF(COUNTIF(Clients!$B$6:$B$105,C1227)=0,"Not on Clients",IF(COUNT(D1227:M1227)=0,"Nothing measured","")))))</f>
        <v/>
      </c>
      <c r="P1227" s="1">
        <f>IF(AND(O1227="",ISNUMBER(B1227)),INT(B1227),0)</f>
        <v/>
      </c>
      <c r="Q1227">
        <f>IF(AND(P1227&gt;0,C1227=Report!$C$5),P1227*10000+ROW(),"")</f>
        <v/>
      </c>
      <c r="R1227">
        <f>IF(AND(Q1227&lt;&gt;"",ISNUMBER(D1227)),Q1227,"")</f>
        <v/>
      </c>
      <c r="S1227">
        <f>IF(AND(Q1227&lt;&gt;"",ISNUMBER(E1227)),Q1227,"")</f>
        <v/>
      </c>
      <c r="T1227">
        <f>IF(AND(Q1227&lt;&gt;"",ISNUMBER(F1227)),Q1227,"")</f>
        <v/>
      </c>
      <c r="U1227">
        <f>IF(AND(Q1227&lt;&gt;"",ISNUMBER(G1227)),Q1227,"")</f>
        <v/>
      </c>
      <c r="V1227">
        <f>IF(AND(Q1227&lt;&gt;"",ISNUMBER(H1227)),Q1227,"")</f>
        <v/>
      </c>
      <c r="W1227">
        <f>IF(AND(Q1227&lt;&gt;"",ISNUMBER(I1227)),Q1227,"")</f>
        <v/>
      </c>
      <c r="X1227">
        <f>IF(AND(Q1227&lt;&gt;"",ISNUMBER(J1227)),Q1227,"")</f>
        <v/>
      </c>
      <c r="Y1227">
        <f>IF(AND(Q1227&lt;&gt;"",ISNUMBER(K1227)),Q1227,"")</f>
        <v/>
      </c>
      <c r="Z1227">
        <f>IF(AND(Q1227&lt;&gt;"",ISNUMBER(L1227)),Q1227,"")</f>
        <v/>
      </c>
      <c r="AA1227">
        <f>IF(AND(Q1227&lt;&gt;"",ISNUMBER(M1227)),Q1227,"")</f>
        <v/>
      </c>
      <c r="AB1227">
        <f>IF(AND(Q1227&lt;&gt;"",ISNUMBER(K1227)),K1227,"")</f>
        <v/>
      </c>
      <c r="AC1227">
        <f>IF(AND(Q1227&lt;&gt;"",ISNUMBER(L1227)),L1227,"")</f>
        <v/>
      </c>
      <c r="AD1227">
        <f>IF(AND(Q1227&lt;&gt;"",ISNUMBER(M1227)),M1227,"")</f>
        <v/>
      </c>
    </row>
    <row r="1228">
      <c r="A1228" s="1" t="n"/>
      <c r="B1228" s="17" t="n"/>
      <c r="C1228" s="27" t="n"/>
      <c r="D1228" s="28" t="n"/>
      <c r="E1228" s="28" t="n"/>
      <c r="F1228" s="28" t="n"/>
      <c r="G1228" s="28" t="n"/>
      <c r="H1228" s="28" t="n"/>
      <c r="I1228" s="28" t="n"/>
      <c r="J1228" s="28" t="n"/>
      <c r="K1228" s="28" t="n"/>
      <c r="L1228" s="28" t="n"/>
      <c r="M1228" s="29" t="n"/>
      <c r="N1228" s="21" t="n"/>
      <c r="O1228" s="12">
        <f>IF(AND(B1228="",C1228=""),"",IF(NOT(ISNUMBER(B1228)),"Needs a date",IF(C1228="","Needs a client",IF(COUNTIF(Clients!$B$6:$B$105,C1228)=0,"Not on Clients",IF(COUNT(D1228:M1228)=0,"Nothing measured","")))))</f>
        <v/>
      </c>
      <c r="P1228" s="1">
        <f>IF(AND(O1228="",ISNUMBER(B1228)),INT(B1228),0)</f>
        <v/>
      </c>
      <c r="Q1228">
        <f>IF(AND(P1228&gt;0,C1228=Report!$C$5),P1228*10000+ROW(),"")</f>
        <v/>
      </c>
      <c r="R1228">
        <f>IF(AND(Q1228&lt;&gt;"",ISNUMBER(D1228)),Q1228,"")</f>
        <v/>
      </c>
      <c r="S1228">
        <f>IF(AND(Q1228&lt;&gt;"",ISNUMBER(E1228)),Q1228,"")</f>
        <v/>
      </c>
      <c r="T1228">
        <f>IF(AND(Q1228&lt;&gt;"",ISNUMBER(F1228)),Q1228,"")</f>
        <v/>
      </c>
      <c r="U1228">
        <f>IF(AND(Q1228&lt;&gt;"",ISNUMBER(G1228)),Q1228,"")</f>
        <v/>
      </c>
      <c r="V1228">
        <f>IF(AND(Q1228&lt;&gt;"",ISNUMBER(H1228)),Q1228,"")</f>
        <v/>
      </c>
      <c r="W1228">
        <f>IF(AND(Q1228&lt;&gt;"",ISNUMBER(I1228)),Q1228,"")</f>
        <v/>
      </c>
      <c r="X1228">
        <f>IF(AND(Q1228&lt;&gt;"",ISNUMBER(J1228)),Q1228,"")</f>
        <v/>
      </c>
      <c r="Y1228">
        <f>IF(AND(Q1228&lt;&gt;"",ISNUMBER(K1228)),Q1228,"")</f>
        <v/>
      </c>
      <c r="Z1228">
        <f>IF(AND(Q1228&lt;&gt;"",ISNUMBER(L1228)),Q1228,"")</f>
        <v/>
      </c>
      <c r="AA1228">
        <f>IF(AND(Q1228&lt;&gt;"",ISNUMBER(M1228)),Q1228,"")</f>
        <v/>
      </c>
      <c r="AB1228">
        <f>IF(AND(Q1228&lt;&gt;"",ISNUMBER(K1228)),K1228,"")</f>
        <v/>
      </c>
      <c r="AC1228">
        <f>IF(AND(Q1228&lt;&gt;"",ISNUMBER(L1228)),L1228,"")</f>
        <v/>
      </c>
      <c r="AD1228">
        <f>IF(AND(Q1228&lt;&gt;"",ISNUMBER(M1228)),M1228,"")</f>
        <v/>
      </c>
    </row>
    <row r="1229">
      <c r="A1229" s="1" t="n"/>
      <c r="B1229" s="17" t="n"/>
      <c r="C1229" s="27" t="n"/>
      <c r="D1229" s="2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9" t="n"/>
      <c r="N1229" s="21" t="n"/>
      <c r="O1229" s="12">
        <f>IF(AND(B1229="",C1229=""),"",IF(NOT(ISNUMBER(B1229)),"Needs a date",IF(C1229="","Needs a client",IF(COUNTIF(Clients!$B$6:$B$105,C1229)=0,"Not on Clients",IF(COUNT(D1229:M1229)=0,"Nothing measured","")))))</f>
        <v/>
      </c>
      <c r="P1229" s="1">
        <f>IF(AND(O1229="",ISNUMBER(B1229)),INT(B1229),0)</f>
        <v/>
      </c>
      <c r="Q1229">
        <f>IF(AND(P1229&gt;0,C1229=Report!$C$5),P1229*10000+ROW(),"")</f>
        <v/>
      </c>
      <c r="R1229">
        <f>IF(AND(Q1229&lt;&gt;"",ISNUMBER(D1229)),Q1229,"")</f>
        <v/>
      </c>
      <c r="S1229">
        <f>IF(AND(Q1229&lt;&gt;"",ISNUMBER(E1229)),Q1229,"")</f>
        <v/>
      </c>
      <c r="T1229">
        <f>IF(AND(Q1229&lt;&gt;"",ISNUMBER(F1229)),Q1229,"")</f>
        <v/>
      </c>
      <c r="U1229">
        <f>IF(AND(Q1229&lt;&gt;"",ISNUMBER(G1229)),Q1229,"")</f>
        <v/>
      </c>
      <c r="V1229">
        <f>IF(AND(Q1229&lt;&gt;"",ISNUMBER(H1229)),Q1229,"")</f>
        <v/>
      </c>
      <c r="W1229">
        <f>IF(AND(Q1229&lt;&gt;"",ISNUMBER(I1229)),Q1229,"")</f>
        <v/>
      </c>
      <c r="X1229">
        <f>IF(AND(Q1229&lt;&gt;"",ISNUMBER(J1229)),Q1229,"")</f>
        <v/>
      </c>
      <c r="Y1229">
        <f>IF(AND(Q1229&lt;&gt;"",ISNUMBER(K1229)),Q1229,"")</f>
        <v/>
      </c>
      <c r="Z1229">
        <f>IF(AND(Q1229&lt;&gt;"",ISNUMBER(L1229)),Q1229,"")</f>
        <v/>
      </c>
      <c r="AA1229">
        <f>IF(AND(Q1229&lt;&gt;"",ISNUMBER(M1229)),Q1229,"")</f>
        <v/>
      </c>
      <c r="AB1229">
        <f>IF(AND(Q1229&lt;&gt;"",ISNUMBER(K1229)),K1229,"")</f>
        <v/>
      </c>
      <c r="AC1229">
        <f>IF(AND(Q1229&lt;&gt;"",ISNUMBER(L1229)),L1229,"")</f>
        <v/>
      </c>
      <c r="AD1229">
        <f>IF(AND(Q1229&lt;&gt;"",ISNUMBER(M1229)),M1229,"")</f>
        <v/>
      </c>
    </row>
    <row r="1230">
      <c r="A1230" s="1" t="n"/>
      <c r="B1230" s="17" t="n"/>
      <c r="C1230" s="27" t="n"/>
      <c r="D1230" s="28" t="n"/>
      <c r="E1230" s="28" t="n"/>
      <c r="F1230" s="28" t="n"/>
      <c r="G1230" s="28" t="n"/>
      <c r="H1230" s="28" t="n"/>
      <c r="I1230" s="28" t="n"/>
      <c r="J1230" s="28" t="n"/>
      <c r="K1230" s="28" t="n"/>
      <c r="L1230" s="28" t="n"/>
      <c r="M1230" s="29" t="n"/>
      <c r="N1230" s="21" t="n"/>
      <c r="O1230" s="12">
        <f>IF(AND(B1230="",C1230=""),"",IF(NOT(ISNUMBER(B1230)),"Needs a date",IF(C1230="","Needs a client",IF(COUNTIF(Clients!$B$6:$B$105,C1230)=0,"Not on Clients",IF(COUNT(D1230:M1230)=0,"Nothing measured","")))))</f>
        <v/>
      </c>
      <c r="P1230" s="1">
        <f>IF(AND(O1230="",ISNUMBER(B1230)),INT(B1230),0)</f>
        <v/>
      </c>
      <c r="Q1230">
        <f>IF(AND(P1230&gt;0,C1230=Report!$C$5),P1230*10000+ROW(),"")</f>
        <v/>
      </c>
      <c r="R1230">
        <f>IF(AND(Q1230&lt;&gt;"",ISNUMBER(D1230)),Q1230,"")</f>
        <v/>
      </c>
      <c r="S1230">
        <f>IF(AND(Q1230&lt;&gt;"",ISNUMBER(E1230)),Q1230,"")</f>
        <v/>
      </c>
      <c r="T1230">
        <f>IF(AND(Q1230&lt;&gt;"",ISNUMBER(F1230)),Q1230,"")</f>
        <v/>
      </c>
      <c r="U1230">
        <f>IF(AND(Q1230&lt;&gt;"",ISNUMBER(G1230)),Q1230,"")</f>
        <v/>
      </c>
      <c r="V1230">
        <f>IF(AND(Q1230&lt;&gt;"",ISNUMBER(H1230)),Q1230,"")</f>
        <v/>
      </c>
      <c r="W1230">
        <f>IF(AND(Q1230&lt;&gt;"",ISNUMBER(I1230)),Q1230,"")</f>
        <v/>
      </c>
      <c r="X1230">
        <f>IF(AND(Q1230&lt;&gt;"",ISNUMBER(J1230)),Q1230,"")</f>
        <v/>
      </c>
      <c r="Y1230">
        <f>IF(AND(Q1230&lt;&gt;"",ISNUMBER(K1230)),Q1230,"")</f>
        <v/>
      </c>
      <c r="Z1230">
        <f>IF(AND(Q1230&lt;&gt;"",ISNUMBER(L1230)),Q1230,"")</f>
        <v/>
      </c>
      <c r="AA1230">
        <f>IF(AND(Q1230&lt;&gt;"",ISNUMBER(M1230)),Q1230,"")</f>
        <v/>
      </c>
      <c r="AB1230">
        <f>IF(AND(Q1230&lt;&gt;"",ISNUMBER(K1230)),K1230,"")</f>
        <v/>
      </c>
      <c r="AC1230">
        <f>IF(AND(Q1230&lt;&gt;"",ISNUMBER(L1230)),L1230,"")</f>
        <v/>
      </c>
      <c r="AD1230">
        <f>IF(AND(Q1230&lt;&gt;"",ISNUMBER(M1230)),M1230,"")</f>
        <v/>
      </c>
    </row>
    <row r="1231">
      <c r="A1231" s="1" t="n"/>
      <c r="B1231" s="17" t="n"/>
      <c r="C1231" s="27" t="n"/>
      <c r="D1231" s="28" t="n"/>
      <c r="E1231" s="28" t="n"/>
      <c r="F1231" s="28" t="n"/>
      <c r="G1231" s="28" t="n"/>
      <c r="H1231" s="28" t="n"/>
      <c r="I1231" s="28" t="n"/>
      <c r="J1231" s="28" t="n"/>
      <c r="K1231" s="28" t="n"/>
      <c r="L1231" s="28" t="n"/>
      <c r="M1231" s="29" t="n"/>
      <c r="N1231" s="21" t="n"/>
      <c r="O1231" s="12">
        <f>IF(AND(B1231="",C1231=""),"",IF(NOT(ISNUMBER(B1231)),"Needs a date",IF(C1231="","Needs a client",IF(COUNTIF(Clients!$B$6:$B$105,C1231)=0,"Not on Clients",IF(COUNT(D1231:M1231)=0,"Nothing measured","")))))</f>
        <v/>
      </c>
      <c r="P1231" s="1">
        <f>IF(AND(O1231="",ISNUMBER(B1231)),INT(B1231),0)</f>
        <v/>
      </c>
      <c r="Q1231">
        <f>IF(AND(P1231&gt;0,C1231=Report!$C$5),P1231*10000+ROW(),"")</f>
        <v/>
      </c>
      <c r="R1231">
        <f>IF(AND(Q1231&lt;&gt;"",ISNUMBER(D1231)),Q1231,"")</f>
        <v/>
      </c>
      <c r="S1231">
        <f>IF(AND(Q1231&lt;&gt;"",ISNUMBER(E1231)),Q1231,"")</f>
        <v/>
      </c>
      <c r="T1231">
        <f>IF(AND(Q1231&lt;&gt;"",ISNUMBER(F1231)),Q1231,"")</f>
        <v/>
      </c>
      <c r="U1231">
        <f>IF(AND(Q1231&lt;&gt;"",ISNUMBER(G1231)),Q1231,"")</f>
        <v/>
      </c>
      <c r="V1231">
        <f>IF(AND(Q1231&lt;&gt;"",ISNUMBER(H1231)),Q1231,"")</f>
        <v/>
      </c>
      <c r="W1231">
        <f>IF(AND(Q1231&lt;&gt;"",ISNUMBER(I1231)),Q1231,"")</f>
        <v/>
      </c>
      <c r="X1231">
        <f>IF(AND(Q1231&lt;&gt;"",ISNUMBER(J1231)),Q1231,"")</f>
        <v/>
      </c>
      <c r="Y1231">
        <f>IF(AND(Q1231&lt;&gt;"",ISNUMBER(K1231)),Q1231,"")</f>
        <v/>
      </c>
      <c r="Z1231">
        <f>IF(AND(Q1231&lt;&gt;"",ISNUMBER(L1231)),Q1231,"")</f>
        <v/>
      </c>
      <c r="AA1231">
        <f>IF(AND(Q1231&lt;&gt;"",ISNUMBER(M1231)),Q1231,"")</f>
        <v/>
      </c>
      <c r="AB1231">
        <f>IF(AND(Q1231&lt;&gt;"",ISNUMBER(K1231)),K1231,"")</f>
        <v/>
      </c>
      <c r="AC1231">
        <f>IF(AND(Q1231&lt;&gt;"",ISNUMBER(L1231)),L1231,"")</f>
        <v/>
      </c>
      <c r="AD1231">
        <f>IF(AND(Q1231&lt;&gt;"",ISNUMBER(M1231)),M1231,"")</f>
        <v/>
      </c>
    </row>
    <row r="1232">
      <c r="A1232" s="1" t="n"/>
      <c r="B1232" s="17" t="n"/>
      <c r="C1232" s="27" t="n"/>
      <c r="D1232" s="28" t="n"/>
      <c r="E1232" s="28" t="n"/>
      <c r="F1232" s="28" t="n"/>
      <c r="G1232" s="28" t="n"/>
      <c r="H1232" s="28" t="n"/>
      <c r="I1232" s="28" t="n"/>
      <c r="J1232" s="28" t="n"/>
      <c r="K1232" s="28" t="n"/>
      <c r="L1232" s="28" t="n"/>
      <c r="M1232" s="29" t="n"/>
      <c r="N1232" s="21" t="n"/>
      <c r="O1232" s="12">
        <f>IF(AND(B1232="",C1232=""),"",IF(NOT(ISNUMBER(B1232)),"Needs a date",IF(C1232="","Needs a client",IF(COUNTIF(Clients!$B$6:$B$105,C1232)=0,"Not on Clients",IF(COUNT(D1232:M1232)=0,"Nothing measured","")))))</f>
        <v/>
      </c>
      <c r="P1232" s="1">
        <f>IF(AND(O1232="",ISNUMBER(B1232)),INT(B1232),0)</f>
        <v/>
      </c>
      <c r="Q1232">
        <f>IF(AND(P1232&gt;0,C1232=Report!$C$5),P1232*10000+ROW(),"")</f>
        <v/>
      </c>
      <c r="R1232">
        <f>IF(AND(Q1232&lt;&gt;"",ISNUMBER(D1232)),Q1232,"")</f>
        <v/>
      </c>
      <c r="S1232">
        <f>IF(AND(Q1232&lt;&gt;"",ISNUMBER(E1232)),Q1232,"")</f>
        <v/>
      </c>
      <c r="T1232">
        <f>IF(AND(Q1232&lt;&gt;"",ISNUMBER(F1232)),Q1232,"")</f>
        <v/>
      </c>
      <c r="U1232">
        <f>IF(AND(Q1232&lt;&gt;"",ISNUMBER(G1232)),Q1232,"")</f>
        <v/>
      </c>
      <c r="V1232">
        <f>IF(AND(Q1232&lt;&gt;"",ISNUMBER(H1232)),Q1232,"")</f>
        <v/>
      </c>
      <c r="W1232">
        <f>IF(AND(Q1232&lt;&gt;"",ISNUMBER(I1232)),Q1232,"")</f>
        <v/>
      </c>
      <c r="X1232">
        <f>IF(AND(Q1232&lt;&gt;"",ISNUMBER(J1232)),Q1232,"")</f>
        <v/>
      </c>
      <c r="Y1232">
        <f>IF(AND(Q1232&lt;&gt;"",ISNUMBER(K1232)),Q1232,"")</f>
        <v/>
      </c>
      <c r="Z1232">
        <f>IF(AND(Q1232&lt;&gt;"",ISNUMBER(L1232)),Q1232,"")</f>
        <v/>
      </c>
      <c r="AA1232">
        <f>IF(AND(Q1232&lt;&gt;"",ISNUMBER(M1232)),Q1232,"")</f>
        <v/>
      </c>
      <c r="AB1232">
        <f>IF(AND(Q1232&lt;&gt;"",ISNUMBER(K1232)),K1232,"")</f>
        <v/>
      </c>
      <c r="AC1232">
        <f>IF(AND(Q1232&lt;&gt;"",ISNUMBER(L1232)),L1232,"")</f>
        <v/>
      </c>
      <c r="AD1232">
        <f>IF(AND(Q1232&lt;&gt;"",ISNUMBER(M1232)),M1232,"")</f>
        <v/>
      </c>
    </row>
    <row r="1233">
      <c r="A1233" s="1" t="n"/>
      <c r="B1233" s="17" t="n"/>
      <c r="C1233" s="27" t="n"/>
      <c r="D1233" s="28" t="n"/>
      <c r="E1233" s="28" t="n"/>
      <c r="F1233" s="28" t="n"/>
      <c r="G1233" s="28" t="n"/>
      <c r="H1233" s="28" t="n"/>
      <c r="I1233" s="28" t="n"/>
      <c r="J1233" s="28" t="n"/>
      <c r="K1233" s="28" t="n"/>
      <c r="L1233" s="28" t="n"/>
      <c r="M1233" s="29" t="n"/>
      <c r="N1233" s="21" t="n"/>
      <c r="O1233" s="12">
        <f>IF(AND(B1233="",C1233=""),"",IF(NOT(ISNUMBER(B1233)),"Needs a date",IF(C1233="","Needs a client",IF(COUNTIF(Clients!$B$6:$B$105,C1233)=0,"Not on Clients",IF(COUNT(D1233:M1233)=0,"Nothing measured","")))))</f>
        <v/>
      </c>
      <c r="P1233" s="1">
        <f>IF(AND(O1233="",ISNUMBER(B1233)),INT(B1233),0)</f>
        <v/>
      </c>
      <c r="Q1233">
        <f>IF(AND(P1233&gt;0,C1233=Report!$C$5),P1233*10000+ROW(),"")</f>
        <v/>
      </c>
      <c r="R1233">
        <f>IF(AND(Q1233&lt;&gt;"",ISNUMBER(D1233)),Q1233,"")</f>
        <v/>
      </c>
      <c r="S1233">
        <f>IF(AND(Q1233&lt;&gt;"",ISNUMBER(E1233)),Q1233,"")</f>
        <v/>
      </c>
      <c r="T1233">
        <f>IF(AND(Q1233&lt;&gt;"",ISNUMBER(F1233)),Q1233,"")</f>
        <v/>
      </c>
      <c r="U1233">
        <f>IF(AND(Q1233&lt;&gt;"",ISNUMBER(G1233)),Q1233,"")</f>
        <v/>
      </c>
      <c r="V1233">
        <f>IF(AND(Q1233&lt;&gt;"",ISNUMBER(H1233)),Q1233,"")</f>
        <v/>
      </c>
      <c r="W1233">
        <f>IF(AND(Q1233&lt;&gt;"",ISNUMBER(I1233)),Q1233,"")</f>
        <v/>
      </c>
      <c r="X1233">
        <f>IF(AND(Q1233&lt;&gt;"",ISNUMBER(J1233)),Q1233,"")</f>
        <v/>
      </c>
      <c r="Y1233">
        <f>IF(AND(Q1233&lt;&gt;"",ISNUMBER(K1233)),Q1233,"")</f>
        <v/>
      </c>
      <c r="Z1233">
        <f>IF(AND(Q1233&lt;&gt;"",ISNUMBER(L1233)),Q1233,"")</f>
        <v/>
      </c>
      <c r="AA1233">
        <f>IF(AND(Q1233&lt;&gt;"",ISNUMBER(M1233)),Q1233,"")</f>
        <v/>
      </c>
      <c r="AB1233">
        <f>IF(AND(Q1233&lt;&gt;"",ISNUMBER(K1233)),K1233,"")</f>
        <v/>
      </c>
      <c r="AC1233">
        <f>IF(AND(Q1233&lt;&gt;"",ISNUMBER(L1233)),L1233,"")</f>
        <v/>
      </c>
      <c r="AD1233">
        <f>IF(AND(Q1233&lt;&gt;"",ISNUMBER(M1233)),M1233,"")</f>
        <v/>
      </c>
    </row>
    <row r="1234">
      <c r="A1234" s="1" t="n"/>
      <c r="B1234" s="17" t="n"/>
      <c r="C1234" s="27" t="n"/>
      <c r="D1234" s="28" t="n"/>
      <c r="E1234" s="28" t="n"/>
      <c r="F1234" s="28" t="n"/>
      <c r="G1234" s="28" t="n"/>
      <c r="H1234" s="28" t="n"/>
      <c r="I1234" s="28" t="n"/>
      <c r="J1234" s="28" t="n"/>
      <c r="K1234" s="28" t="n"/>
      <c r="L1234" s="28" t="n"/>
      <c r="M1234" s="29" t="n"/>
      <c r="N1234" s="21" t="n"/>
      <c r="O1234" s="12">
        <f>IF(AND(B1234="",C1234=""),"",IF(NOT(ISNUMBER(B1234)),"Needs a date",IF(C1234="","Needs a client",IF(COUNTIF(Clients!$B$6:$B$105,C1234)=0,"Not on Clients",IF(COUNT(D1234:M1234)=0,"Nothing measured","")))))</f>
        <v/>
      </c>
      <c r="P1234" s="1">
        <f>IF(AND(O1234="",ISNUMBER(B1234)),INT(B1234),0)</f>
        <v/>
      </c>
      <c r="Q1234">
        <f>IF(AND(P1234&gt;0,C1234=Report!$C$5),P1234*10000+ROW(),"")</f>
        <v/>
      </c>
      <c r="R1234">
        <f>IF(AND(Q1234&lt;&gt;"",ISNUMBER(D1234)),Q1234,"")</f>
        <v/>
      </c>
      <c r="S1234">
        <f>IF(AND(Q1234&lt;&gt;"",ISNUMBER(E1234)),Q1234,"")</f>
        <v/>
      </c>
      <c r="T1234">
        <f>IF(AND(Q1234&lt;&gt;"",ISNUMBER(F1234)),Q1234,"")</f>
        <v/>
      </c>
      <c r="U1234">
        <f>IF(AND(Q1234&lt;&gt;"",ISNUMBER(G1234)),Q1234,"")</f>
        <v/>
      </c>
      <c r="V1234">
        <f>IF(AND(Q1234&lt;&gt;"",ISNUMBER(H1234)),Q1234,"")</f>
        <v/>
      </c>
      <c r="W1234">
        <f>IF(AND(Q1234&lt;&gt;"",ISNUMBER(I1234)),Q1234,"")</f>
        <v/>
      </c>
      <c r="X1234">
        <f>IF(AND(Q1234&lt;&gt;"",ISNUMBER(J1234)),Q1234,"")</f>
        <v/>
      </c>
      <c r="Y1234">
        <f>IF(AND(Q1234&lt;&gt;"",ISNUMBER(K1234)),Q1234,"")</f>
        <v/>
      </c>
      <c r="Z1234">
        <f>IF(AND(Q1234&lt;&gt;"",ISNUMBER(L1234)),Q1234,"")</f>
        <v/>
      </c>
      <c r="AA1234">
        <f>IF(AND(Q1234&lt;&gt;"",ISNUMBER(M1234)),Q1234,"")</f>
        <v/>
      </c>
      <c r="AB1234">
        <f>IF(AND(Q1234&lt;&gt;"",ISNUMBER(K1234)),K1234,"")</f>
        <v/>
      </c>
      <c r="AC1234">
        <f>IF(AND(Q1234&lt;&gt;"",ISNUMBER(L1234)),L1234,"")</f>
        <v/>
      </c>
      <c r="AD1234">
        <f>IF(AND(Q1234&lt;&gt;"",ISNUMBER(M1234)),M1234,"")</f>
        <v/>
      </c>
    </row>
    <row r="1235">
      <c r="A1235" s="1" t="n"/>
      <c r="B1235" s="17" t="n"/>
      <c r="C1235" s="27" t="n"/>
      <c r="D1235" s="28" t="n"/>
      <c r="E1235" s="28" t="n"/>
      <c r="F1235" s="28" t="n"/>
      <c r="G1235" s="28" t="n"/>
      <c r="H1235" s="28" t="n"/>
      <c r="I1235" s="28" t="n"/>
      <c r="J1235" s="28" t="n"/>
      <c r="K1235" s="28" t="n"/>
      <c r="L1235" s="28" t="n"/>
      <c r="M1235" s="29" t="n"/>
      <c r="N1235" s="21" t="n"/>
      <c r="O1235" s="12">
        <f>IF(AND(B1235="",C1235=""),"",IF(NOT(ISNUMBER(B1235)),"Needs a date",IF(C1235="","Needs a client",IF(COUNTIF(Clients!$B$6:$B$105,C1235)=0,"Not on Clients",IF(COUNT(D1235:M1235)=0,"Nothing measured","")))))</f>
        <v/>
      </c>
      <c r="P1235" s="1">
        <f>IF(AND(O1235="",ISNUMBER(B1235)),INT(B1235),0)</f>
        <v/>
      </c>
      <c r="Q1235">
        <f>IF(AND(P1235&gt;0,C1235=Report!$C$5),P1235*10000+ROW(),"")</f>
        <v/>
      </c>
      <c r="R1235">
        <f>IF(AND(Q1235&lt;&gt;"",ISNUMBER(D1235)),Q1235,"")</f>
        <v/>
      </c>
      <c r="S1235">
        <f>IF(AND(Q1235&lt;&gt;"",ISNUMBER(E1235)),Q1235,"")</f>
        <v/>
      </c>
      <c r="T1235">
        <f>IF(AND(Q1235&lt;&gt;"",ISNUMBER(F1235)),Q1235,"")</f>
        <v/>
      </c>
      <c r="U1235">
        <f>IF(AND(Q1235&lt;&gt;"",ISNUMBER(G1235)),Q1235,"")</f>
        <v/>
      </c>
      <c r="V1235">
        <f>IF(AND(Q1235&lt;&gt;"",ISNUMBER(H1235)),Q1235,"")</f>
        <v/>
      </c>
      <c r="W1235">
        <f>IF(AND(Q1235&lt;&gt;"",ISNUMBER(I1235)),Q1235,"")</f>
        <v/>
      </c>
      <c r="X1235">
        <f>IF(AND(Q1235&lt;&gt;"",ISNUMBER(J1235)),Q1235,"")</f>
        <v/>
      </c>
      <c r="Y1235">
        <f>IF(AND(Q1235&lt;&gt;"",ISNUMBER(K1235)),Q1235,"")</f>
        <v/>
      </c>
      <c r="Z1235">
        <f>IF(AND(Q1235&lt;&gt;"",ISNUMBER(L1235)),Q1235,"")</f>
        <v/>
      </c>
      <c r="AA1235">
        <f>IF(AND(Q1235&lt;&gt;"",ISNUMBER(M1235)),Q1235,"")</f>
        <v/>
      </c>
      <c r="AB1235">
        <f>IF(AND(Q1235&lt;&gt;"",ISNUMBER(K1235)),K1235,"")</f>
        <v/>
      </c>
      <c r="AC1235">
        <f>IF(AND(Q1235&lt;&gt;"",ISNUMBER(L1235)),L1235,"")</f>
        <v/>
      </c>
      <c r="AD1235">
        <f>IF(AND(Q1235&lt;&gt;"",ISNUMBER(M1235)),M1235,"")</f>
        <v/>
      </c>
    </row>
    <row r="1236">
      <c r="A1236" s="1" t="n"/>
      <c r="B1236" s="17" t="n"/>
      <c r="C1236" s="27" t="n"/>
      <c r="D1236" s="28" t="n"/>
      <c r="E1236" s="28" t="n"/>
      <c r="F1236" s="28" t="n"/>
      <c r="G1236" s="28" t="n"/>
      <c r="H1236" s="28" t="n"/>
      <c r="I1236" s="28" t="n"/>
      <c r="J1236" s="28" t="n"/>
      <c r="K1236" s="28" t="n"/>
      <c r="L1236" s="28" t="n"/>
      <c r="M1236" s="29" t="n"/>
      <c r="N1236" s="21" t="n"/>
      <c r="O1236" s="12">
        <f>IF(AND(B1236="",C1236=""),"",IF(NOT(ISNUMBER(B1236)),"Needs a date",IF(C1236="","Needs a client",IF(COUNTIF(Clients!$B$6:$B$105,C1236)=0,"Not on Clients",IF(COUNT(D1236:M1236)=0,"Nothing measured","")))))</f>
        <v/>
      </c>
      <c r="P1236" s="1">
        <f>IF(AND(O1236="",ISNUMBER(B1236)),INT(B1236),0)</f>
        <v/>
      </c>
      <c r="Q1236">
        <f>IF(AND(P1236&gt;0,C1236=Report!$C$5),P1236*10000+ROW(),"")</f>
        <v/>
      </c>
      <c r="R1236">
        <f>IF(AND(Q1236&lt;&gt;"",ISNUMBER(D1236)),Q1236,"")</f>
        <v/>
      </c>
      <c r="S1236">
        <f>IF(AND(Q1236&lt;&gt;"",ISNUMBER(E1236)),Q1236,"")</f>
        <v/>
      </c>
      <c r="T1236">
        <f>IF(AND(Q1236&lt;&gt;"",ISNUMBER(F1236)),Q1236,"")</f>
        <v/>
      </c>
      <c r="U1236">
        <f>IF(AND(Q1236&lt;&gt;"",ISNUMBER(G1236)),Q1236,"")</f>
        <v/>
      </c>
      <c r="V1236">
        <f>IF(AND(Q1236&lt;&gt;"",ISNUMBER(H1236)),Q1236,"")</f>
        <v/>
      </c>
      <c r="W1236">
        <f>IF(AND(Q1236&lt;&gt;"",ISNUMBER(I1236)),Q1236,"")</f>
        <v/>
      </c>
      <c r="X1236">
        <f>IF(AND(Q1236&lt;&gt;"",ISNUMBER(J1236)),Q1236,"")</f>
        <v/>
      </c>
      <c r="Y1236">
        <f>IF(AND(Q1236&lt;&gt;"",ISNUMBER(K1236)),Q1236,"")</f>
        <v/>
      </c>
      <c r="Z1236">
        <f>IF(AND(Q1236&lt;&gt;"",ISNUMBER(L1236)),Q1236,"")</f>
        <v/>
      </c>
      <c r="AA1236">
        <f>IF(AND(Q1236&lt;&gt;"",ISNUMBER(M1236)),Q1236,"")</f>
        <v/>
      </c>
      <c r="AB1236">
        <f>IF(AND(Q1236&lt;&gt;"",ISNUMBER(K1236)),K1236,"")</f>
        <v/>
      </c>
      <c r="AC1236">
        <f>IF(AND(Q1236&lt;&gt;"",ISNUMBER(L1236)),L1236,"")</f>
        <v/>
      </c>
      <c r="AD1236">
        <f>IF(AND(Q1236&lt;&gt;"",ISNUMBER(M1236)),M1236,"")</f>
        <v/>
      </c>
    </row>
    <row r="1237">
      <c r="A1237" s="1" t="n"/>
      <c r="B1237" s="17" t="n"/>
      <c r="C1237" s="27" t="n"/>
      <c r="D1237" s="28" t="n"/>
      <c r="E1237" s="28" t="n"/>
      <c r="F1237" s="28" t="n"/>
      <c r="G1237" s="28" t="n"/>
      <c r="H1237" s="28" t="n"/>
      <c r="I1237" s="28" t="n"/>
      <c r="J1237" s="28" t="n"/>
      <c r="K1237" s="28" t="n"/>
      <c r="L1237" s="28" t="n"/>
      <c r="M1237" s="29" t="n"/>
      <c r="N1237" s="21" t="n"/>
      <c r="O1237" s="12">
        <f>IF(AND(B1237="",C1237=""),"",IF(NOT(ISNUMBER(B1237)),"Needs a date",IF(C1237="","Needs a client",IF(COUNTIF(Clients!$B$6:$B$105,C1237)=0,"Not on Clients",IF(COUNT(D1237:M1237)=0,"Nothing measured","")))))</f>
        <v/>
      </c>
      <c r="P1237" s="1">
        <f>IF(AND(O1237="",ISNUMBER(B1237)),INT(B1237),0)</f>
        <v/>
      </c>
      <c r="Q1237">
        <f>IF(AND(P1237&gt;0,C1237=Report!$C$5),P1237*10000+ROW(),"")</f>
        <v/>
      </c>
      <c r="R1237">
        <f>IF(AND(Q1237&lt;&gt;"",ISNUMBER(D1237)),Q1237,"")</f>
        <v/>
      </c>
      <c r="S1237">
        <f>IF(AND(Q1237&lt;&gt;"",ISNUMBER(E1237)),Q1237,"")</f>
        <v/>
      </c>
      <c r="T1237">
        <f>IF(AND(Q1237&lt;&gt;"",ISNUMBER(F1237)),Q1237,"")</f>
        <v/>
      </c>
      <c r="U1237">
        <f>IF(AND(Q1237&lt;&gt;"",ISNUMBER(G1237)),Q1237,"")</f>
        <v/>
      </c>
      <c r="V1237">
        <f>IF(AND(Q1237&lt;&gt;"",ISNUMBER(H1237)),Q1237,"")</f>
        <v/>
      </c>
      <c r="W1237">
        <f>IF(AND(Q1237&lt;&gt;"",ISNUMBER(I1237)),Q1237,"")</f>
        <v/>
      </c>
      <c r="X1237">
        <f>IF(AND(Q1237&lt;&gt;"",ISNUMBER(J1237)),Q1237,"")</f>
        <v/>
      </c>
      <c r="Y1237">
        <f>IF(AND(Q1237&lt;&gt;"",ISNUMBER(K1237)),Q1237,"")</f>
        <v/>
      </c>
      <c r="Z1237">
        <f>IF(AND(Q1237&lt;&gt;"",ISNUMBER(L1237)),Q1237,"")</f>
        <v/>
      </c>
      <c r="AA1237">
        <f>IF(AND(Q1237&lt;&gt;"",ISNUMBER(M1237)),Q1237,"")</f>
        <v/>
      </c>
      <c r="AB1237">
        <f>IF(AND(Q1237&lt;&gt;"",ISNUMBER(K1237)),K1237,"")</f>
        <v/>
      </c>
      <c r="AC1237">
        <f>IF(AND(Q1237&lt;&gt;"",ISNUMBER(L1237)),L1237,"")</f>
        <v/>
      </c>
      <c r="AD1237">
        <f>IF(AND(Q1237&lt;&gt;"",ISNUMBER(M1237)),M1237,"")</f>
        <v/>
      </c>
    </row>
    <row r="1238">
      <c r="A1238" s="1" t="n"/>
      <c r="B1238" s="17" t="n"/>
      <c r="C1238" s="27" t="n"/>
      <c r="D1238" s="28" t="n"/>
      <c r="E1238" s="28" t="n"/>
      <c r="F1238" s="28" t="n"/>
      <c r="G1238" s="28" t="n"/>
      <c r="H1238" s="28" t="n"/>
      <c r="I1238" s="28" t="n"/>
      <c r="J1238" s="28" t="n"/>
      <c r="K1238" s="28" t="n"/>
      <c r="L1238" s="28" t="n"/>
      <c r="M1238" s="29" t="n"/>
      <c r="N1238" s="21" t="n"/>
      <c r="O1238" s="12">
        <f>IF(AND(B1238="",C1238=""),"",IF(NOT(ISNUMBER(B1238)),"Needs a date",IF(C1238="","Needs a client",IF(COUNTIF(Clients!$B$6:$B$105,C1238)=0,"Not on Clients",IF(COUNT(D1238:M1238)=0,"Nothing measured","")))))</f>
        <v/>
      </c>
      <c r="P1238" s="1">
        <f>IF(AND(O1238="",ISNUMBER(B1238)),INT(B1238),0)</f>
        <v/>
      </c>
      <c r="Q1238">
        <f>IF(AND(P1238&gt;0,C1238=Report!$C$5),P1238*10000+ROW(),"")</f>
        <v/>
      </c>
      <c r="R1238">
        <f>IF(AND(Q1238&lt;&gt;"",ISNUMBER(D1238)),Q1238,"")</f>
        <v/>
      </c>
      <c r="S1238">
        <f>IF(AND(Q1238&lt;&gt;"",ISNUMBER(E1238)),Q1238,"")</f>
        <v/>
      </c>
      <c r="T1238">
        <f>IF(AND(Q1238&lt;&gt;"",ISNUMBER(F1238)),Q1238,"")</f>
        <v/>
      </c>
      <c r="U1238">
        <f>IF(AND(Q1238&lt;&gt;"",ISNUMBER(G1238)),Q1238,"")</f>
        <v/>
      </c>
      <c r="V1238">
        <f>IF(AND(Q1238&lt;&gt;"",ISNUMBER(H1238)),Q1238,"")</f>
        <v/>
      </c>
      <c r="W1238">
        <f>IF(AND(Q1238&lt;&gt;"",ISNUMBER(I1238)),Q1238,"")</f>
        <v/>
      </c>
      <c r="X1238">
        <f>IF(AND(Q1238&lt;&gt;"",ISNUMBER(J1238)),Q1238,"")</f>
        <v/>
      </c>
      <c r="Y1238">
        <f>IF(AND(Q1238&lt;&gt;"",ISNUMBER(K1238)),Q1238,"")</f>
        <v/>
      </c>
      <c r="Z1238">
        <f>IF(AND(Q1238&lt;&gt;"",ISNUMBER(L1238)),Q1238,"")</f>
        <v/>
      </c>
      <c r="AA1238">
        <f>IF(AND(Q1238&lt;&gt;"",ISNUMBER(M1238)),Q1238,"")</f>
        <v/>
      </c>
      <c r="AB1238">
        <f>IF(AND(Q1238&lt;&gt;"",ISNUMBER(K1238)),K1238,"")</f>
        <v/>
      </c>
      <c r="AC1238">
        <f>IF(AND(Q1238&lt;&gt;"",ISNUMBER(L1238)),L1238,"")</f>
        <v/>
      </c>
      <c r="AD1238">
        <f>IF(AND(Q1238&lt;&gt;"",ISNUMBER(M1238)),M1238,"")</f>
        <v/>
      </c>
    </row>
    <row r="1239">
      <c r="A1239" s="1" t="n"/>
      <c r="B1239" s="17" t="n"/>
      <c r="C1239" s="27" t="n"/>
      <c r="D1239" s="28" t="n"/>
      <c r="E1239" s="28" t="n"/>
      <c r="F1239" s="28" t="n"/>
      <c r="G1239" s="28" t="n"/>
      <c r="H1239" s="28" t="n"/>
      <c r="I1239" s="28" t="n"/>
      <c r="J1239" s="28" t="n"/>
      <c r="K1239" s="28" t="n"/>
      <c r="L1239" s="28" t="n"/>
      <c r="M1239" s="29" t="n"/>
      <c r="N1239" s="21" t="n"/>
      <c r="O1239" s="12">
        <f>IF(AND(B1239="",C1239=""),"",IF(NOT(ISNUMBER(B1239)),"Needs a date",IF(C1239="","Needs a client",IF(COUNTIF(Clients!$B$6:$B$105,C1239)=0,"Not on Clients",IF(COUNT(D1239:M1239)=0,"Nothing measured","")))))</f>
        <v/>
      </c>
      <c r="P1239" s="1">
        <f>IF(AND(O1239="",ISNUMBER(B1239)),INT(B1239),0)</f>
        <v/>
      </c>
      <c r="Q1239">
        <f>IF(AND(P1239&gt;0,C1239=Report!$C$5),P1239*10000+ROW(),"")</f>
        <v/>
      </c>
      <c r="R1239">
        <f>IF(AND(Q1239&lt;&gt;"",ISNUMBER(D1239)),Q1239,"")</f>
        <v/>
      </c>
      <c r="S1239">
        <f>IF(AND(Q1239&lt;&gt;"",ISNUMBER(E1239)),Q1239,"")</f>
        <v/>
      </c>
      <c r="T1239">
        <f>IF(AND(Q1239&lt;&gt;"",ISNUMBER(F1239)),Q1239,"")</f>
        <v/>
      </c>
      <c r="U1239">
        <f>IF(AND(Q1239&lt;&gt;"",ISNUMBER(G1239)),Q1239,"")</f>
        <v/>
      </c>
      <c r="V1239">
        <f>IF(AND(Q1239&lt;&gt;"",ISNUMBER(H1239)),Q1239,"")</f>
        <v/>
      </c>
      <c r="W1239">
        <f>IF(AND(Q1239&lt;&gt;"",ISNUMBER(I1239)),Q1239,"")</f>
        <v/>
      </c>
      <c r="X1239">
        <f>IF(AND(Q1239&lt;&gt;"",ISNUMBER(J1239)),Q1239,"")</f>
        <v/>
      </c>
      <c r="Y1239">
        <f>IF(AND(Q1239&lt;&gt;"",ISNUMBER(K1239)),Q1239,"")</f>
        <v/>
      </c>
      <c r="Z1239">
        <f>IF(AND(Q1239&lt;&gt;"",ISNUMBER(L1239)),Q1239,"")</f>
        <v/>
      </c>
      <c r="AA1239">
        <f>IF(AND(Q1239&lt;&gt;"",ISNUMBER(M1239)),Q1239,"")</f>
        <v/>
      </c>
      <c r="AB1239">
        <f>IF(AND(Q1239&lt;&gt;"",ISNUMBER(K1239)),K1239,"")</f>
        <v/>
      </c>
      <c r="AC1239">
        <f>IF(AND(Q1239&lt;&gt;"",ISNUMBER(L1239)),L1239,"")</f>
        <v/>
      </c>
      <c r="AD1239">
        <f>IF(AND(Q1239&lt;&gt;"",ISNUMBER(M1239)),M1239,"")</f>
        <v/>
      </c>
    </row>
    <row r="1240">
      <c r="A1240" s="1" t="n"/>
      <c r="B1240" s="17" t="n"/>
      <c r="C1240" s="27" t="n"/>
      <c r="D1240" s="28" t="n"/>
      <c r="E1240" s="28" t="n"/>
      <c r="F1240" s="28" t="n"/>
      <c r="G1240" s="28" t="n"/>
      <c r="H1240" s="28" t="n"/>
      <c r="I1240" s="28" t="n"/>
      <c r="J1240" s="28" t="n"/>
      <c r="K1240" s="28" t="n"/>
      <c r="L1240" s="28" t="n"/>
      <c r="M1240" s="29" t="n"/>
      <c r="N1240" s="21" t="n"/>
      <c r="O1240" s="12">
        <f>IF(AND(B1240="",C1240=""),"",IF(NOT(ISNUMBER(B1240)),"Needs a date",IF(C1240="","Needs a client",IF(COUNTIF(Clients!$B$6:$B$105,C1240)=0,"Not on Clients",IF(COUNT(D1240:M1240)=0,"Nothing measured","")))))</f>
        <v/>
      </c>
      <c r="P1240" s="1">
        <f>IF(AND(O1240="",ISNUMBER(B1240)),INT(B1240),0)</f>
        <v/>
      </c>
      <c r="Q1240">
        <f>IF(AND(P1240&gt;0,C1240=Report!$C$5),P1240*10000+ROW(),"")</f>
        <v/>
      </c>
      <c r="R1240">
        <f>IF(AND(Q1240&lt;&gt;"",ISNUMBER(D1240)),Q1240,"")</f>
        <v/>
      </c>
      <c r="S1240">
        <f>IF(AND(Q1240&lt;&gt;"",ISNUMBER(E1240)),Q1240,"")</f>
        <v/>
      </c>
      <c r="T1240">
        <f>IF(AND(Q1240&lt;&gt;"",ISNUMBER(F1240)),Q1240,"")</f>
        <v/>
      </c>
      <c r="U1240">
        <f>IF(AND(Q1240&lt;&gt;"",ISNUMBER(G1240)),Q1240,"")</f>
        <v/>
      </c>
      <c r="V1240">
        <f>IF(AND(Q1240&lt;&gt;"",ISNUMBER(H1240)),Q1240,"")</f>
        <v/>
      </c>
      <c r="W1240">
        <f>IF(AND(Q1240&lt;&gt;"",ISNUMBER(I1240)),Q1240,"")</f>
        <v/>
      </c>
      <c r="X1240">
        <f>IF(AND(Q1240&lt;&gt;"",ISNUMBER(J1240)),Q1240,"")</f>
        <v/>
      </c>
      <c r="Y1240">
        <f>IF(AND(Q1240&lt;&gt;"",ISNUMBER(K1240)),Q1240,"")</f>
        <v/>
      </c>
      <c r="Z1240">
        <f>IF(AND(Q1240&lt;&gt;"",ISNUMBER(L1240)),Q1240,"")</f>
        <v/>
      </c>
      <c r="AA1240">
        <f>IF(AND(Q1240&lt;&gt;"",ISNUMBER(M1240)),Q1240,"")</f>
        <v/>
      </c>
      <c r="AB1240">
        <f>IF(AND(Q1240&lt;&gt;"",ISNUMBER(K1240)),K1240,"")</f>
        <v/>
      </c>
      <c r="AC1240">
        <f>IF(AND(Q1240&lt;&gt;"",ISNUMBER(L1240)),L1240,"")</f>
        <v/>
      </c>
      <c r="AD1240">
        <f>IF(AND(Q1240&lt;&gt;"",ISNUMBER(M1240)),M1240,"")</f>
        <v/>
      </c>
    </row>
    <row r="1241">
      <c r="A1241" s="1" t="n"/>
      <c r="B1241" s="17" t="n"/>
      <c r="C1241" s="27" t="n"/>
      <c r="D1241" s="28" t="n"/>
      <c r="E1241" s="28" t="n"/>
      <c r="F1241" s="28" t="n"/>
      <c r="G1241" s="28" t="n"/>
      <c r="H1241" s="28" t="n"/>
      <c r="I1241" s="28" t="n"/>
      <c r="J1241" s="28" t="n"/>
      <c r="K1241" s="28" t="n"/>
      <c r="L1241" s="28" t="n"/>
      <c r="M1241" s="29" t="n"/>
      <c r="N1241" s="21" t="n"/>
      <c r="O1241" s="12">
        <f>IF(AND(B1241="",C1241=""),"",IF(NOT(ISNUMBER(B1241)),"Needs a date",IF(C1241="","Needs a client",IF(COUNTIF(Clients!$B$6:$B$105,C1241)=0,"Not on Clients",IF(COUNT(D1241:M1241)=0,"Nothing measured","")))))</f>
        <v/>
      </c>
      <c r="P1241" s="1">
        <f>IF(AND(O1241="",ISNUMBER(B1241)),INT(B1241),0)</f>
        <v/>
      </c>
      <c r="Q1241">
        <f>IF(AND(P1241&gt;0,C1241=Report!$C$5),P1241*10000+ROW(),"")</f>
        <v/>
      </c>
      <c r="R1241">
        <f>IF(AND(Q1241&lt;&gt;"",ISNUMBER(D1241)),Q1241,"")</f>
        <v/>
      </c>
      <c r="S1241">
        <f>IF(AND(Q1241&lt;&gt;"",ISNUMBER(E1241)),Q1241,"")</f>
        <v/>
      </c>
      <c r="T1241">
        <f>IF(AND(Q1241&lt;&gt;"",ISNUMBER(F1241)),Q1241,"")</f>
        <v/>
      </c>
      <c r="U1241">
        <f>IF(AND(Q1241&lt;&gt;"",ISNUMBER(G1241)),Q1241,"")</f>
        <v/>
      </c>
      <c r="V1241">
        <f>IF(AND(Q1241&lt;&gt;"",ISNUMBER(H1241)),Q1241,"")</f>
        <v/>
      </c>
      <c r="W1241">
        <f>IF(AND(Q1241&lt;&gt;"",ISNUMBER(I1241)),Q1241,"")</f>
        <v/>
      </c>
      <c r="X1241">
        <f>IF(AND(Q1241&lt;&gt;"",ISNUMBER(J1241)),Q1241,"")</f>
        <v/>
      </c>
      <c r="Y1241">
        <f>IF(AND(Q1241&lt;&gt;"",ISNUMBER(K1241)),Q1241,"")</f>
        <v/>
      </c>
      <c r="Z1241">
        <f>IF(AND(Q1241&lt;&gt;"",ISNUMBER(L1241)),Q1241,"")</f>
        <v/>
      </c>
      <c r="AA1241">
        <f>IF(AND(Q1241&lt;&gt;"",ISNUMBER(M1241)),Q1241,"")</f>
        <v/>
      </c>
      <c r="AB1241">
        <f>IF(AND(Q1241&lt;&gt;"",ISNUMBER(K1241)),K1241,"")</f>
        <v/>
      </c>
      <c r="AC1241">
        <f>IF(AND(Q1241&lt;&gt;"",ISNUMBER(L1241)),L1241,"")</f>
        <v/>
      </c>
      <c r="AD1241">
        <f>IF(AND(Q1241&lt;&gt;"",ISNUMBER(M1241)),M1241,"")</f>
        <v/>
      </c>
    </row>
    <row r="1242">
      <c r="A1242" s="1" t="n"/>
      <c r="B1242" s="17" t="n"/>
      <c r="C1242" s="27" t="n"/>
      <c r="D1242" s="28" t="n"/>
      <c r="E1242" s="28" t="n"/>
      <c r="F1242" s="28" t="n"/>
      <c r="G1242" s="28" t="n"/>
      <c r="H1242" s="28" t="n"/>
      <c r="I1242" s="28" t="n"/>
      <c r="J1242" s="28" t="n"/>
      <c r="K1242" s="28" t="n"/>
      <c r="L1242" s="28" t="n"/>
      <c r="M1242" s="29" t="n"/>
      <c r="N1242" s="21" t="n"/>
      <c r="O1242" s="12">
        <f>IF(AND(B1242="",C1242=""),"",IF(NOT(ISNUMBER(B1242)),"Needs a date",IF(C1242="","Needs a client",IF(COUNTIF(Clients!$B$6:$B$105,C1242)=0,"Not on Clients",IF(COUNT(D1242:M1242)=0,"Nothing measured","")))))</f>
        <v/>
      </c>
      <c r="P1242" s="1">
        <f>IF(AND(O1242="",ISNUMBER(B1242)),INT(B1242),0)</f>
        <v/>
      </c>
      <c r="Q1242">
        <f>IF(AND(P1242&gt;0,C1242=Report!$C$5),P1242*10000+ROW(),"")</f>
        <v/>
      </c>
      <c r="R1242">
        <f>IF(AND(Q1242&lt;&gt;"",ISNUMBER(D1242)),Q1242,"")</f>
        <v/>
      </c>
      <c r="S1242">
        <f>IF(AND(Q1242&lt;&gt;"",ISNUMBER(E1242)),Q1242,"")</f>
        <v/>
      </c>
      <c r="T1242">
        <f>IF(AND(Q1242&lt;&gt;"",ISNUMBER(F1242)),Q1242,"")</f>
        <v/>
      </c>
      <c r="U1242">
        <f>IF(AND(Q1242&lt;&gt;"",ISNUMBER(G1242)),Q1242,"")</f>
        <v/>
      </c>
      <c r="V1242">
        <f>IF(AND(Q1242&lt;&gt;"",ISNUMBER(H1242)),Q1242,"")</f>
        <v/>
      </c>
      <c r="W1242">
        <f>IF(AND(Q1242&lt;&gt;"",ISNUMBER(I1242)),Q1242,"")</f>
        <v/>
      </c>
      <c r="X1242">
        <f>IF(AND(Q1242&lt;&gt;"",ISNUMBER(J1242)),Q1242,"")</f>
        <v/>
      </c>
      <c r="Y1242">
        <f>IF(AND(Q1242&lt;&gt;"",ISNUMBER(K1242)),Q1242,"")</f>
        <v/>
      </c>
      <c r="Z1242">
        <f>IF(AND(Q1242&lt;&gt;"",ISNUMBER(L1242)),Q1242,"")</f>
        <v/>
      </c>
      <c r="AA1242">
        <f>IF(AND(Q1242&lt;&gt;"",ISNUMBER(M1242)),Q1242,"")</f>
        <v/>
      </c>
      <c r="AB1242">
        <f>IF(AND(Q1242&lt;&gt;"",ISNUMBER(K1242)),K1242,"")</f>
        <v/>
      </c>
      <c r="AC1242">
        <f>IF(AND(Q1242&lt;&gt;"",ISNUMBER(L1242)),L1242,"")</f>
        <v/>
      </c>
      <c r="AD1242">
        <f>IF(AND(Q1242&lt;&gt;"",ISNUMBER(M1242)),M1242,"")</f>
        <v/>
      </c>
    </row>
    <row r="1243">
      <c r="A1243" s="1" t="n"/>
      <c r="B1243" s="17" t="n"/>
      <c r="C1243" s="27" t="n"/>
      <c r="D1243" s="28" t="n"/>
      <c r="E1243" s="28" t="n"/>
      <c r="F1243" s="28" t="n"/>
      <c r="G1243" s="28" t="n"/>
      <c r="H1243" s="28" t="n"/>
      <c r="I1243" s="28" t="n"/>
      <c r="J1243" s="28" t="n"/>
      <c r="K1243" s="28" t="n"/>
      <c r="L1243" s="28" t="n"/>
      <c r="M1243" s="29" t="n"/>
      <c r="N1243" s="21" t="n"/>
      <c r="O1243" s="12">
        <f>IF(AND(B1243="",C1243=""),"",IF(NOT(ISNUMBER(B1243)),"Needs a date",IF(C1243="","Needs a client",IF(COUNTIF(Clients!$B$6:$B$105,C1243)=0,"Not on Clients",IF(COUNT(D1243:M1243)=0,"Nothing measured","")))))</f>
        <v/>
      </c>
      <c r="P1243" s="1">
        <f>IF(AND(O1243="",ISNUMBER(B1243)),INT(B1243),0)</f>
        <v/>
      </c>
      <c r="Q1243">
        <f>IF(AND(P1243&gt;0,C1243=Report!$C$5),P1243*10000+ROW(),"")</f>
        <v/>
      </c>
      <c r="R1243">
        <f>IF(AND(Q1243&lt;&gt;"",ISNUMBER(D1243)),Q1243,"")</f>
        <v/>
      </c>
      <c r="S1243">
        <f>IF(AND(Q1243&lt;&gt;"",ISNUMBER(E1243)),Q1243,"")</f>
        <v/>
      </c>
      <c r="T1243">
        <f>IF(AND(Q1243&lt;&gt;"",ISNUMBER(F1243)),Q1243,"")</f>
        <v/>
      </c>
      <c r="U1243">
        <f>IF(AND(Q1243&lt;&gt;"",ISNUMBER(G1243)),Q1243,"")</f>
        <v/>
      </c>
      <c r="V1243">
        <f>IF(AND(Q1243&lt;&gt;"",ISNUMBER(H1243)),Q1243,"")</f>
        <v/>
      </c>
      <c r="W1243">
        <f>IF(AND(Q1243&lt;&gt;"",ISNUMBER(I1243)),Q1243,"")</f>
        <v/>
      </c>
      <c r="X1243">
        <f>IF(AND(Q1243&lt;&gt;"",ISNUMBER(J1243)),Q1243,"")</f>
        <v/>
      </c>
      <c r="Y1243">
        <f>IF(AND(Q1243&lt;&gt;"",ISNUMBER(K1243)),Q1243,"")</f>
        <v/>
      </c>
      <c r="Z1243">
        <f>IF(AND(Q1243&lt;&gt;"",ISNUMBER(L1243)),Q1243,"")</f>
        <v/>
      </c>
      <c r="AA1243">
        <f>IF(AND(Q1243&lt;&gt;"",ISNUMBER(M1243)),Q1243,"")</f>
        <v/>
      </c>
      <c r="AB1243">
        <f>IF(AND(Q1243&lt;&gt;"",ISNUMBER(K1243)),K1243,"")</f>
        <v/>
      </c>
      <c r="AC1243">
        <f>IF(AND(Q1243&lt;&gt;"",ISNUMBER(L1243)),L1243,"")</f>
        <v/>
      </c>
      <c r="AD1243">
        <f>IF(AND(Q1243&lt;&gt;"",ISNUMBER(M1243)),M1243,"")</f>
        <v/>
      </c>
    </row>
    <row r="1244">
      <c r="A1244" s="1" t="n"/>
      <c r="B1244" s="17" t="n"/>
      <c r="C1244" s="27" t="n"/>
      <c r="D1244" s="28" t="n"/>
      <c r="E1244" s="28" t="n"/>
      <c r="F1244" s="28" t="n"/>
      <c r="G1244" s="28" t="n"/>
      <c r="H1244" s="28" t="n"/>
      <c r="I1244" s="28" t="n"/>
      <c r="J1244" s="28" t="n"/>
      <c r="K1244" s="28" t="n"/>
      <c r="L1244" s="28" t="n"/>
      <c r="M1244" s="29" t="n"/>
      <c r="N1244" s="21" t="n"/>
      <c r="O1244" s="12">
        <f>IF(AND(B1244="",C1244=""),"",IF(NOT(ISNUMBER(B1244)),"Needs a date",IF(C1244="","Needs a client",IF(COUNTIF(Clients!$B$6:$B$105,C1244)=0,"Not on Clients",IF(COUNT(D1244:M1244)=0,"Nothing measured","")))))</f>
        <v/>
      </c>
      <c r="P1244" s="1">
        <f>IF(AND(O1244="",ISNUMBER(B1244)),INT(B1244),0)</f>
        <v/>
      </c>
      <c r="Q1244">
        <f>IF(AND(P1244&gt;0,C1244=Report!$C$5),P1244*10000+ROW(),"")</f>
        <v/>
      </c>
      <c r="R1244">
        <f>IF(AND(Q1244&lt;&gt;"",ISNUMBER(D1244)),Q1244,"")</f>
        <v/>
      </c>
      <c r="S1244">
        <f>IF(AND(Q1244&lt;&gt;"",ISNUMBER(E1244)),Q1244,"")</f>
        <v/>
      </c>
      <c r="T1244">
        <f>IF(AND(Q1244&lt;&gt;"",ISNUMBER(F1244)),Q1244,"")</f>
        <v/>
      </c>
      <c r="U1244">
        <f>IF(AND(Q1244&lt;&gt;"",ISNUMBER(G1244)),Q1244,"")</f>
        <v/>
      </c>
      <c r="V1244">
        <f>IF(AND(Q1244&lt;&gt;"",ISNUMBER(H1244)),Q1244,"")</f>
        <v/>
      </c>
      <c r="W1244">
        <f>IF(AND(Q1244&lt;&gt;"",ISNUMBER(I1244)),Q1244,"")</f>
        <v/>
      </c>
      <c r="X1244">
        <f>IF(AND(Q1244&lt;&gt;"",ISNUMBER(J1244)),Q1244,"")</f>
        <v/>
      </c>
      <c r="Y1244">
        <f>IF(AND(Q1244&lt;&gt;"",ISNUMBER(K1244)),Q1244,"")</f>
        <v/>
      </c>
      <c r="Z1244">
        <f>IF(AND(Q1244&lt;&gt;"",ISNUMBER(L1244)),Q1244,"")</f>
        <v/>
      </c>
      <c r="AA1244">
        <f>IF(AND(Q1244&lt;&gt;"",ISNUMBER(M1244)),Q1244,"")</f>
        <v/>
      </c>
      <c r="AB1244">
        <f>IF(AND(Q1244&lt;&gt;"",ISNUMBER(K1244)),K1244,"")</f>
        <v/>
      </c>
      <c r="AC1244">
        <f>IF(AND(Q1244&lt;&gt;"",ISNUMBER(L1244)),L1244,"")</f>
        <v/>
      </c>
      <c r="AD1244">
        <f>IF(AND(Q1244&lt;&gt;"",ISNUMBER(M1244)),M1244,"")</f>
        <v/>
      </c>
    </row>
    <row r="1245">
      <c r="A1245" s="1" t="n"/>
      <c r="B1245" s="17" t="n"/>
      <c r="C1245" s="27" t="n"/>
      <c r="D1245" s="28" t="n"/>
      <c r="E1245" s="28" t="n"/>
      <c r="F1245" s="28" t="n"/>
      <c r="G1245" s="28" t="n"/>
      <c r="H1245" s="28" t="n"/>
      <c r="I1245" s="28" t="n"/>
      <c r="J1245" s="28" t="n"/>
      <c r="K1245" s="28" t="n"/>
      <c r="L1245" s="28" t="n"/>
      <c r="M1245" s="29" t="n"/>
      <c r="N1245" s="21" t="n"/>
      <c r="O1245" s="12">
        <f>IF(AND(B1245="",C1245=""),"",IF(NOT(ISNUMBER(B1245)),"Needs a date",IF(C1245="","Needs a client",IF(COUNTIF(Clients!$B$6:$B$105,C1245)=0,"Not on Clients",IF(COUNT(D1245:M1245)=0,"Nothing measured","")))))</f>
        <v/>
      </c>
      <c r="P1245" s="1">
        <f>IF(AND(O1245="",ISNUMBER(B1245)),INT(B1245),0)</f>
        <v/>
      </c>
      <c r="Q1245">
        <f>IF(AND(P1245&gt;0,C1245=Report!$C$5),P1245*10000+ROW(),"")</f>
        <v/>
      </c>
      <c r="R1245">
        <f>IF(AND(Q1245&lt;&gt;"",ISNUMBER(D1245)),Q1245,"")</f>
        <v/>
      </c>
      <c r="S1245">
        <f>IF(AND(Q1245&lt;&gt;"",ISNUMBER(E1245)),Q1245,"")</f>
        <v/>
      </c>
      <c r="T1245">
        <f>IF(AND(Q1245&lt;&gt;"",ISNUMBER(F1245)),Q1245,"")</f>
        <v/>
      </c>
      <c r="U1245">
        <f>IF(AND(Q1245&lt;&gt;"",ISNUMBER(G1245)),Q1245,"")</f>
        <v/>
      </c>
      <c r="V1245">
        <f>IF(AND(Q1245&lt;&gt;"",ISNUMBER(H1245)),Q1245,"")</f>
        <v/>
      </c>
      <c r="W1245">
        <f>IF(AND(Q1245&lt;&gt;"",ISNUMBER(I1245)),Q1245,"")</f>
        <v/>
      </c>
      <c r="X1245">
        <f>IF(AND(Q1245&lt;&gt;"",ISNUMBER(J1245)),Q1245,"")</f>
        <v/>
      </c>
      <c r="Y1245">
        <f>IF(AND(Q1245&lt;&gt;"",ISNUMBER(K1245)),Q1245,"")</f>
        <v/>
      </c>
      <c r="Z1245">
        <f>IF(AND(Q1245&lt;&gt;"",ISNUMBER(L1245)),Q1245,"")</f>
        <v/>
      </c>
      <c r="AA1245">
        <f>IF(AND(Q1245&lt;&gt;"",ISNUMBER(M1245)),Q1245,"")</f>
        <v/>
      </c>
      <c r="AB1245">
        <f>IF(AND(Q1245&lt;&gt;"",ISNUMBER(K1245)),K1245,"")</f>
        <v/>
      </c>
      <c r="AC1245">
        <f>IF(AND(Q1245&lt;&gt;"",ISNUMBER(L1245)),L1245,"")</f>
        <v/>
      </c>
      <c r="AD1245">
        <f>IF(AND(Q1245&lt;&gt;"",ISNUMBER(M1245)),M1245,"")</f>
        <v/>
      </c>
    </row>
    <row r="1246">
      <c r="A1246" s="1" t="n"/>
      <c r="B1246" s="17" t="n"/>
      <c r="C1246" s="27" t="n"/>
      <c r="D1246" s="28" t="n"/>
      <c r="E1246" s="28" t="n"/>
      <c r="F1246" s="28" t="n"/>
      <c r="G1246" s="28" t="n"/>
      <c r="H1246" s="28" t="n"/>
      <c r="I1246" s="28" t="n"/>
      <c r="J1246" s="28" t="n"/>
      <c r="K1246" s="28" t="n"/>
      <c r="L1246" s="28" t="n"/>
      <c r="M1246" s="29" t="n"/>
      <c r="N1246" s="21" t="n"/>
      <c r="O1246" s="12">
        <f>IF(AND(B1246="",C1246=""),"",IF(NOT(ISNUMBER(B1246)),"Needs a date",IF(C1246="","Needs a client",IF(COUNTIF(Clients!$B$6:$B$105,C1246)=0,"Not on Clients",IF(COUNT(D1246:M1246)=0,"Nothing measured","")))))</f>
        <v/>
      </c>
      <c r="P1246" s="1">
        <f>IF(AND(O1246="",ISNUMBER(B1246)),INT(B1246),0)</f>
        <v/>
      </c>
      <c r="Q1246">
        <f>IF(AND(P1246&gt;0,C1246=Report!$C$5),P1246*10000+ROW(),"")</f>
        <v/>
      </c>
      <c r="R1246">
        <f>IF(AND(Q1246&lt;&gt;"",ISNUMBER(D1246)),Q1246,"")</f>
        <v/>
      </c>
      <c r="S1246">
        <f>IF(AND(Q1246&lt;&gt;"",ISNUMBER(E1246)),Q1246,"")</f>
        <v/>
      </c>
      <c r="T1246">
        <f>IF(AND(Q1246&lt;&gt;"",ISNUMBER(F1246)),Q1246,"")</f>
        <v/>
      </c>
      <c r="U1246">
        <f>IF(AND(Q1246&lt;&gt;"",ISNUMBER(G1246)),Q1246,"")</f>
        <v/>
      </c>
      <c r="V1246">
        <f>IF(AND(Q1246&lt;&gt;"",ISNUMBER(H1246)),Q1246,"")</f>
        <v/>
      </c>
      <c r="W1246">
        <f>IF(AND(Q1246&lt;&gt;"",ISNUMBER(I1246)),Q1246,"")</f>
        <v/>
      </c>
      <c r="X1246">
        <f>IF(AND(Q1246&lt;&gt;"",ISNUMBER(J1246)),Q1246,"")</f>
        <v/>
      </c>
      <c r="Y1246">
        <f>IF(AND(Q1246&lt;&gt;"",ISNUMBER(K1246)),Q1246,"")</f>
        <v/>
      </c>
      <c r="Z1246">
        <f>IF(AND(Q1246&lt;&gt;"",ISNUMBER(L1246)),Q1246,"")</f>
        <v/>
      </c>
      <c r="AA1246">
        <f>IF(AND(Q1246&lt;&gt;"",ISNUMBER(M1246)),Q1246,"")</f>
        <v/>
      </c>
      <c r="AB1246">
        <f>IF(AND(Q1246&lt;&gt;"",ISNUMBER(K1246)),K1246,"")</f>
        <v/>
      </c>
      <c r="AC1246">
        <f>IF(AND(Q1246&lt;&gt;"",ISNUMBER(L1246)),L1246,"")</f>
        <v/>
      </c>
      <c r="AD1246">
        <f>IF(AND(Q1246&lt;&gt;"",ISNUMBER(M1246)),M1246,"")</f>
        <v/>
      </c>
    </row>
    <row r="1247">
      <c r="A1247" s="1" t="n"/>
      <c r="B1247" s="17" t="n"/>
      <c r="C1247" s="27" t="n"/>
      <c r="D1247" s="28" t="n"/>
      <c r="E1247" s="28" t="n"/>
      <c r="F1247" s="28" t="n"/>
      <c r="G1247" s="28" t="n"/>
      <c r="H1247" s="28" t="n"/>
      <c r="I1247" s="28" t="n"/>
      <c r="J1247" s="28" t="n"/>
      <c r="K1247" s="28" t="n"/>
      <c r="L1247" s="28" t="n"/>
      <c r="M1247" s="29" t="n"/>
      <c r="N1247" s="21" t="n"/>
      <c r="O1247" s="12">
        <f>IF(AND(B1247="",C1247=""),"",IF(NOT(ISNUMBER(B1247)),"Needs a date",IF(C1247="","Needs a client",IF(COUNTIF(Clients!$B$6:$B$105,C1247)=0,"Not on Clients",IF(COUNT(D1247:M1247)=0,"Nothing measured","")))))</f>
        <v/>
      </c>
      <c r="P1247" s="1">
        <f>IF(AND(O1247="",ISNUMBER(B1247)),INT(B1247),0)</f>
        <v/>
      </c>
      <c r="Q1247">
        <f>IF(AND(P1247&gt;0,C1247=Report!$C$5),P1247*10000+ROW(),"")</f>
        <v/>
      </c>
      <c r="R1247">
        <f>IF(AND(Q1247&lt;&gt;"",ISNUMBER(D1247)),Q1247,"")</f>
        <v/>
      </c>
      <c r="S1247">
        <f>IF(AND(Q1247&lt;&gt;"",ISNUMBER(E1247)),Q1247,"")</f>
        <v/>
      </c>
      <c r="T1247">
        <f>IF(AND(Q1247&lt;&gt;"",ISNUMBER(F1247)),Q1247,"")</f>
        <v/>
      </c>
      <c r="U1247">
        <f>IF(AND(Q1247&lt;&gt;"",ISNUMBER(G1247)),Q1247,"")</f>
        <v/>
      </c>
      <c r="V1247">
        <f>IF(AND(Q1247&lt;&gt;"",ISNUMBER(H1247)),Q1247,"")</f>
        <v/>
      </c>
      <c r="W1247">
        <f>IF(AND(Q1247&lt;&gt;"",ISNUMBER(I1247)),Q1247,"")</f>
        <v/>
      </c>
      <c r="X1247">
        <f>IF(AND(Q1247&lt;&gt;"",ISNUMBER(J1247)),Q1247,"")</f>
        <v/>
      </c>
      <c r="Y1247">
        <f>IF(AND(Q1247&lt;&gt;"",ISNUMBER(K1247)),Q1247,"")</f>
        <v/>
      </c>
      <c r="Z1247">
        <f>IF(AND(Q1247&lt;&gt;"",ISNUMBER(L1247)),Q1247,"")</f>
        <v/>
      </c>
      <c r="AA1247">
        <f>IF(AND(Q1247&lt;&gt;"",ISNUMBER(M1247)),Q1247,"")</f>
        <v/>
      </c>
      <c r="AB1247">
        <f>IF(AND(Q1247&lt;&gt;"",ISNUMBER(K1247)),K1247,"")</f>
        <v/>
      </c>
      <c r="AC1247">
        <f>IF(AND(Q1247&lt;&gt;"",ISNUMBER(L1247)),L1247,"")</f>
        <v/>
      </c>
      <c r="AD1247">
        <f>IF(AND(Q1247&lt;&gt;"",ISNUMBER(M1247)),M1247,"")</f>
        <v/>
      </c>
    </row>
    <row r="1248">
      <c r="A1248" s="1" t="n"/>
      <c r="B1248" s="17" t="n"/>
      <c r="C1248" s="27" t="n"/>
      <c r="D1248" s="28" t="n"/>
      <c r="E1248" s="28" t="n"/>
      <c r="F1248" s="28" t="n"/>
      <c r="G1248" s="28" t="n"/>
      <c r="H1248" s="28" t="n"/>
      <c r="I1248" s="28" t="n"/>
      <c r="J1248" s="28" t="n"/>
      <c r="K1248" s="28" t="n"/>
      <c r="L1248" s="28" t="n"/>
      <c r="M1248" s="29" t="n"/>
      <c r="N1248" s="21" t="n"/>
      <c r="O1248" s="12">
        <f>IF(AND(B1248="",C1248=""),"",IF(NOT(ISNUMBER(B1248)),"Needs a date",IF(C1248="","Needs a client",IF(COUNTIF(Clients!$B$6:$B$105,C1248)=0,"Not on Clients",IF(COUNT(D1248:M1248)=0,"Nothing measured","")))))</f>
        <v/>
      </c>
      <c r="P1248" s="1">
        <f>IF(AND(O1248="",ISNUMBER(B1248)),INT(B1248),0)</f>
        <v/>
      </c>
      <c r="Q1248">
        <f>IF(AND(P1248&gt;0,C1248=Report!$C$5),P1248*10000+ROW(),"")</f>
        <v/>
      </c>
      <c r="R1248">
        <f>IF(AND(Q1248&lt;&gt;"",ISNUMBER(D1248)),Q1248,"")</f>
        <v/>
      </c>
      <c r="S1248">
        <f>IF(AND(Q1248&lt;&gt;"",ISNUMBER(E1248)),Q1248,"")</f>
        <v/>
      </c>
      <c r="T1248">
        <f>IF(AND(Q1248&lt;&gt;"",ISNUMBER(F1248)),Q1248,"")</f>
        <v/>
      </c>
      <c r="U1248">
        <f>IF(AND(Q1248&lt;&gt;"",ISNUMBER(G1248)),Q1248,"")</f>
        <v/>
      </c>
      <c r="V1248">
        <f>IF(AND(Q1248&lt;&gt;"",ISNUMBER(H1248)),Q1248,"")</f>
        <v/>
      </c>
      <c r="W1248">
        <f>IF(AND(Q1248&lt;&gt;"",ISNUMBER(I1248)),Q1248,"")</f>
        <v/>
      </c>
      <c r="X1248">
        <f>IF(AND(Q1248&lt;&gt;"",ISNUMBER(J1248)),Q1248,"")</f>
        <v/>
      </c>
      <c r="Y1248">
        <f>IF(AND(Q1248&lt;&gt;"",ISNUMBER(K1248)),Q1248,"")</f>
        <v/>
      </c>
      <c r="Z1248">
        <f>IF(AND(Q1248&lt;&gt;"",ISNUMBER(L1248)),Q1248,"")</f>
        <v/>
      </c>
      <c r="AA1248">
        <f>IF(AND(Q1248&lt;&gt;"",ISNUMBER(M1248)),Q1248,"")</f>
        <v/>
      </c>
      <c r="AB1248">
        <f>IF(AND(Q1248&lt;&gt;"",ISNUMBER(K1248)),K1248,"")</f>
        <v/>
      </c>
      <c r="AC1248">
        <f>IF(AND(Q1248&lt;&gt;"",ISNUMBER(L1248)),L1248,"")</f>
        <v/>
      </c>
      <c r="AD1248">
        <f>IF(AND(Q1248&lt;&gt;"",ISNUMBER(M1248)),M1248,"")</f>
        <v/>
      </c>
    </row>
    <row r="1249">
      <c r="A1249" s="1" t="n"/>
      <c r="B1249" s="17" t="n"/>
      <c r="C1249" s="27" t="n"/>
      <c r="D1249" s="28" t="n"/>
      <c r="E1249" s="28" t="n"/>
      <c r="F1249" s="28" t="n"/>
      <c r="G1249" s="28" t="n"/>
      <c r="H1249" s="28" t="n"/>
      <c r="I1249" s="28" t="n"/>
      <c r="J1249" s="28" t="n"/>
      <c r="K1249" s="28" t="n"/>
      <c r="L1249" s="28" t="n"/>
      <c r="M1249" s="29" t="n"/>
      <c r="N1249" s="21" t="n"/>
      <c r="O1249" s="12">
        <f>IF(AND(B1249="",C1249=""),"",IF(NOT(ISNUMBER(B1249)),"Needs a date",IF(C1249="","Needs a client",IF(COUNTIF(Clients!$B$6:$B$105,C1249)=0,"Not on Clients",IF(COUNT(D1249:M1249)=0,"Nothing measured","")))))</f>
        <v/>
      </c>
      <c r="P1249" s="1">
        <f>IF(AND(O1249="",ISNUMBER(B1249)),INT(B1249),0)</f>
        <v/>
      </c>
      <c r="Q1249">
        <f>IF(AND(P1249&gt;0,C1249=Report!$C$5),P1249*10000+ROW(),"")</f>
        <v/>
      </c>
      <c r="R1249">
        <f>IF(AND(Q1249&lt;&gt;"",ISNUMBER(D1249)),Q1249,"")</f>
        <v/>
      </c>
      <c r="S1249">
        <f>IF(AND(Q1249&lt;&gt;"",ISNUMBER(E1249)),Q1249,"")</f>
        <v/>
      </c>
      <c r="T1249">
        <f>IF(AND(Q1249&lt;&gt;"",ISNUMBER(F1249)),Q1249,"")</f>
        <v/>
      </c>
      <c r="U1249">
        <f>IF(AND(Q1249&lt;&gt;"",ISNUMBER(G1249)),Q1249,"")</f>
        <v/>
      </c>
      <c r="V1249">
        <f>IF(AND(Q1249&lt;&gt;"",ISNUMBER(H1249)),Q1249,"")</f>
        <v/>
      </c>
      <c r="W1249">
        <f>IF(AND(Q1249&lt;&gt;"",ISNUMBER(I1249)),Q1249,"")</f>
        <v/>
      </c>
      <c r="X1249">
        <f>IF(AND(Q1249&lt;&gt;"",ISNUMBER(J1249)),Q1249,"")</f>
        <v/>
      </c>
      <c r="Y1249">
        <f>IF(AND(Q1249&lt;&gt;"",ISNUMBER(K1249)),Q1249,"")</f>
        <v/>
      </c>
      <c r="Z1249">
        <f>IF(AND(Q1249&lt;&gt;"",ISNUMBER(L1249)),Q1249,"")</f>
        <v/>
      </c>
      <c r="AA1249">
        <f>IF(AND(Q1249&lt;&gt;"",ISNUMBER(M1249)),Q1249,"")</f>
        <v/>
      </c>
      <c r="AB1249">
        <f>IF(AND(Q1249&lt;&gt;"",ISNUMBER(K1249)),K1249,"")</f>
        <v/>
      </c>
      <c r="AC1249">
        <f>IF(AND(Q1249&lt;&gt;"",ISNUMBER(L1249)),L1249,"")</f>
        <v/>
      </c>
      <c r="AD1249">
        <f>IF(AND(Q1249&lt;&gt;"",ISNUMBER(M1249)),M1249,"")</f>
        <v/>
      </c>
    </row>
    <row r="1250">
      <c r="A1250" s="1" t="n"/>
      <c r="B1250" s="17" t="n"/>
      <c r="C1250" s="27" t="n"/>
      <c r="D1250" s="28" t="n"/>
      <c r="E1250" s="28" t="n"/>
      <c r="F1250" s="28" t="n"/>
      <c r="G1250" s="28" t="n"/>
      <c r="H1250" s="28" t="n"/>
      <c r="I1250" s="28" t="n"/>
      <c r="J1250" s="28" t="n"/>
      <c r="K1250" s="28" t="n"/>
      <c r="L1250" s="28" t="n"/>
      <c r="M1250" s="29" t="n"/>
      <c r="N1250" s="21" t="n"/>
      <c r="O1250" s="12">
        <f>IF(AND(B1250="",C1250=""),"",IF(NOT(ISNUMBER(B1250)),"Needs a date",IF(C1250="","Needs a client",IF(COUNTIF(Clients!$B$6:$B$105,C1250)=0,"Not on Clients",IF(COUNT(D1250:M1250)=0,"Nothing measured","")))))</f>
        <v/>
      </c>
      <c r="P1250" s="1">
        <f>IF(AND(O1250="",ISNUMBER(B1250)),INT(B1250),0)</f>
        <v/>
      </c>
      <c r="Q1250">
        <f>IF(AND(P1250&gt;0,C1250=Report!$C$5),P1250*10000+ROW(),"")</f>
        <v/>
      </c>
      <c r="R1250">
        <f>IF(AND(Q1250&lt;&gt;"",ISNUMBER(D1250)),Q1250,"")</f>
        <v/>
      </c>
      <c r="S1250">
        <f>IF(AND(Q1250&lt;&gt;"",ISNUMBER(E1250)),Q1250,"")</f>
        <v/>
      </c>
      <c r="T1250">
        <f>IF(AND(Q1250&lt;&gt;"",ISNUMBER(F1250)),Q1250,"")</f>
        <v/>
      </c>
      <c r="U1250">
        <f>IF(AND(Q1250&lt;&gt;"",ISNUMBER(G1250)),Q1250,"")</f>
        <v/>
      </c>
      <c r="V1250">
        <f>IF(AND(Q1250&lt;&gt;"",ISNUMBER(H1250)),Q1250,"")</f>
        <v/>
      </c>
      <c r="W1250">
        <f>IF(AND(Q1250&lt;&gt;"",ISNUMBER(I1250)),Q1250,"")</f>
        <v/>
      </c>
      <c r="X1250">
        <f>IF(AND(Q1250&lt;&gt;"",ISNUMBER(J1250)),Q1250,"")</f>
        <v/>
      </c>
      <c r="Y1250">
        <f>IF(AND(Q1250&lt;&gt;"",ISNUMBER(K1250)),Q1250,"")</f>
        <v/>
      </c>
      <c r="Z1250">
        <f>IF(AND(Q1250&lt;&gt;"",ISNUMBER(L1250)),Q1250,"")</f>
        <v/>
      </c>
      <c r="AA1250">
        <f>IF(AND(Q1250&lt;&gt;"",ISNUMBER(M1250)),Q1250,"")</f>
        <v/>
      </c>
      <c r="AB1250">
        <f>IF(AND(Q1250&lt;&gt;"",ISNUMBER(K1250)),K1250,"")</f>
        <v/>
      </c>
      <c r="AC1250">
        <f>IF(AND(Q1250&lt;&gt;"",ISNUMBER(L1250)),L1250,"")</f>
        <v/>
      </c>
      <c r="AD1250">
        <f>IF(AND(Q1250&lt;&gt;"",ISNUMBER(M1250)),M1250,"")</f>
        <v/>
      </c>
    </row>
    <row r="1251">
      <c r="A1251" s="1" t="n"/>
      <c r="B1251" s="17" t="n"/>
      <c r="C1251" s="27" t="n"/>
      <c r="D1251" s="28" t="n"/>
      <c r="E1251" s="28" t="n"/>
      <c r="F1251" s="28" t="n"/>
      <c r="G1251" s="28" t="n"/>
      <c r="H1251" s="28" t="n"/>
      <c r="I1251" s="28" t="n"/>
      <c r="J1251" s="28" t="n"/>
      <c r="K1251" s="28" t="n"/>
      <c r="L1251" s="28" t="n"/>
      <c r="M1251" s="29" t="n"/>
      <c r="N1251" s="21" t="n"/>
      <c r="O1251" s="12">
        <f>IF(AND(B1251="",C1251=""),"",IF(NOT(ISNUMBER(B1251)),"Needs a date",IF(C1251="","Needs a client",IF(COUNTIF(Clients!$B$6:$B$105,C1251)=0,"Not on Clients",IF(COUNT(D1251:M1251)=0,"Nothing measured","")))))</f>
        <v/>
      </c>
      <c r="P1251" s="1">
        <f>IF(AND(O1251="",ISNUMBER(B1251)),INT(B1251),0)</f>
        <v/>
      </c>
      <c r="Q1251">
        <f>IF(AND(P1251&gt;0,C1251=Report!$C$5),P1251*10000+ROW(),"")</f>
        <v/>
      </c>
      <c r="R1251">
        <f>IF(AND(Q1251&lt;&gt;"",ISNUMBER(D1251)),Q1251,"")</f>
        <v/>
      </c>
      <c r="S1251">
        <f>IF(AND(Q1251&lt;&gt;"",ISNUMBER(E1251)),Q1251,"")</f>
        <v/>
      </c>
      <c r="T1251">
        <f>IF(AND(Q1251&lt;&gt;"",ISNUMBER(F1251)),Q1251,"")</f>
        <v/>
      </c>
      <c r="U1251">
        <f>IF(AND(Q1251&lt;&gt;"",ISNUMBER(G1251)),Q1251,"")</f>
        <v/>
      </c>
      <c r="V1251">
        <f>IF(AND(Q1251&lt;&gt;"",ISNUMBER(H1251)),Q1251,"")</f>
        <v/>
      </c>
      <c r="W1251">
        <f>IF(AND(Q1251&lt;&gt;"",ISNUMBER(I1251)),Q1251,"")</f>
        <v/>
      </c>
      <c r="X1251">
        <f>IF(AND(Q1251&lt;&gt;"",ISNUMBER(J1251)),Q1251,"")</f>
        <v/>
      </c>
      <c r="Y1251">
        <f>IF(AND(Q1251&lt;&gt;"",ISNUMBER(K1251)),Q1251,"")</f>
        <v/>
      </c>
      <c r="Z1251">
        <f>IF(AND(Q1251&lt;&gt;"",ISNUMBER(L1251)),Q1251,"")</f>
        <v/>
      </c>
      <c r="AA1251">
        <f>IF(AND(Q1251&lt;&gt;"",ISNUMBER(M1251)),Q1251,"")</f>
        <v/>
      </c>
      <c r="AB1251">
        <f>IF(AND(Q1251&lt;&gt;"",ISNUMBER(K1251)),K1251,"")</f>
        <v/>
      </c>
      <c r="AC1251">
        <f>IF(AND(Q1251&lt;&gt;"",ISNUMBER(L1251)),L1251,"")</f>
        <v/>
      </c>
      <c r="AD1251">
        <f>IF(AND(Q1251&lt;&gt;"",ISNUMBER(M1251)),M1251,"")</f>
        <v/>
      </c>
    </row>
    <row r="1252">
      <c r="A1252" s="1" t="n"/>
      <c r="B1252" s="17" t="n"/>
      <c r="C1252" s="27" t="n"/>
      <c r="D1252" s="28" t="n"/>
      <c r="E1252" s="28" t="n"/>
      <c r="F1252" s="28" t="n"/>
      <c r="G1252" s="28" t="n"/>
      <c r="H1252" s="28" t="n"/>
      <c r="I1252" s="28" t="n"/>
      <c r="J1252" s="28" t="n"/>
      <c r="K1252" s="28" t="n"/>
      <c r="L1252" s="28" t="n"/>
      <c r="M1252" s="29" t="n"/>
      <c r="N1252" s="21" t="n"/>
      <c r="O1252" s="12">
        <f>IF(AND(B1252="",C1252=""),"",IF(NOT(ISNUMBER(B1252)),"Needs a date",IF(C1252="","Needs a client",IF(COUNTIF(Clients!$B$6:$B$105,C1252)=0,"Not on Clients",IF(COUNT(D1252:M1252)=0,"Nothing measured","")))))</f>
        <v/>
      </c>
      <c r="P1252" s="1">
        <f>IF(AND(O1252="",ISNUMBER(B1252)),INT(B1252),0)</f>
        <v/>
      </c>
      <c r="Q1252">
        <f>IF(AND(P1252&gt;0,C1252=Report!$C$5),P1252*10000+ROW(),"")</f>
        <v/>
      </c>
      <c r="R1252">
        <f>IF(AND(Q1252&lt;&gt;"",ISNUMBER(D1252)),Q1252,"")</f>
        <v/>
      </c>
      <c r="S1252">
        <f>IF(AND(Q1252&lt;&gt;"",ISNUMBER(E1252)),Q1252,"")</f>
        <v/>
      </c>
      <c r="T1252">
        <f>IF(AND(Q1252&lt;&gt;"",ISNUMBER(F1252)),Q1252,"")</f>
        <v/>
      </c>
      <c r="U1252">
        <f>IF(AND(Q1252&lt;&gt;"",ISNUMBER(G1252)),Q1252,"")</f>
        <v/>
      </c>
      <c r="V1252">
        <f>IF(AND(Q1252&lt;&gt;"",ISNUMBER(H1252)),Q1252,"")</f>
        <v/>
      </c>
      <c r="W1252">
        <f>IF(AND(Q1252&lt;&gt;"",ISNUMBER(I1252)),Q1252,"")</f>
        <v/>
      </c>
      <c r="X1252">
        <f>IF(AND(Q1252&lt;&gt;"",ISNUMBER(J1252)),Q1252,"")</f>
        <v/>
      </c>
      <c r="Y1252">
        <f>IF(AND(Q1252&lt;&gt;"",ISNUMBER(K1252)),Q1252,"")</f>
        <v/>
      </c>
      <c r="Z1252">
        <f>IF(AND(Q1252&lt;&gt;"",ISNUMBER(L1252)),Q1252,"")</f>
        <v/>
      </c>
      <c r="AA1252">
        <f>IF(AND(Q1252&lt;&gt;"",ISNUMBER(M1252)),Q1252,"")</f>
        <v/>
      </c>
      <c r="AB1252">
        <f>IF(AND(Q1252&lt;&gt;"",ISNUMBER(K1252)),K1252,"")</f>
        <v/>
      </c>
      <c r="AC1252">
        <f>IF(AND(Q1252&lt;&gt;"",ISNUMBER(L1252)),L1252,"")</f>
        <v/>
      </c>
      <c r="AD1252">
        <f>IF(AND(Q1252&lt;&gt;"",ISNUMBER(M1252)),M1252,"")</f>
        <v/>
      </c>
    </row>
    <row r="1253">
      <c r="A1253" s="1" t="n"/>
      <c r="B1253" s="17" t="n"/>
      <c r="C1253" s="27" t="n"/>
      <c r="D1253" s="28" t="n"/>
      <c r="E1253" s="28" t="n"/>
      <c r="F1253" s="28" t="n"/>
      <c r="G1253" s="28" t="n"/>
      <c r="H1253" s="28" t="n"/>
      <c r="I1253" s="28" t="n"/>
      <c r="J1253" s="28" t="n"/>
      <c r="K1253" s="28" t="n"/>
      <c r="L1253" s="28" t="n"/>
      <c r="M1253" s="29" t="n"/>
      <c r="N1253" s="21" t="n"/>
      <c r="O1253" s="12">
        <f>IF(AND(B1253="",C1253=""),"",IF(NOT(ISNUMBER(B1253)),"Needs a date",IF(C1253="","Needs a client",IF(COUNTIF(Clients!$B$6:$B$105,C1253)=0,"Not on Clients",IF(COUNT(D1253:M1253)=0,"Nothing measured","")))))</f>
        <v/>
      </c>
      <c r="P1253" s="1">
        <f>IF(AND(O1253="",ISNUMBER(B1253)),INT(B1253),0)</f>
        <v/>
      </c>
      <c r="Q1253">
        <f>IF(AND(P1253&gt;0,C1253=Report!$C$5),P1253*10000+ROW(),"")</f>
        <v/>
      </c>
      <c r="R1253">
        <f>IF(AND(Q1253&lt;&gt;"",ISNUMBER(D1253)),Q1253,"")</f>
        <v/>
      </c>
      <c r="S1253">
        <f>IF(AND(Q1253&lt;&gt;"",ISNUMBER(E1253)),Q1253,"")</f>
        <v/>
      </c>
      <c r="T1253">
        <f>IF(AND(Q1253&lt;&gt;"",ISNUMBER(F1253)),Q1253,"")</f>
        <v/>
      </c>
      <c r="U1253">
        <f>IF(AND(Q1253&lt;&gt;"",ISNUMBER(G1253)),Q1253,"")</f>
        <v/>
      </c>
      <c r="V1253">
        <f>IF(AND(Q1253&lt;&gt;"",ISNUMBER(H1253)),Q1253,"")</f>
        <v/>
      </c>
      <c r="W1253">
        <f>IF(AND(Q1253&lt;&gt;"",ISNUMBER(I1253)),Q1253,"")</f>
        <v/>
      </c>
      <c r="X1253">
        <f>IF(AND(Q1253&lt;&gt;"",ISNUMBER(J1253)),Q1253,"")</f>
        <v/>
      </c>
      <c r="Y1253">
        <f>IF(AND(Q1253&lt;&gt;"",ISNUMBER(K1253)),Q1253,"")</f>
        <v/>
      </c>
      <c r="Z1253">
        <f>IF(AND(Q1253&lt;&gt;"",ISNUMBER(L1253)),Q1253,"")</f>
        <v/>
      </c>
      <c r="AA1253">
        <f>IF(AND(Q1253&lt;&gt;"",ISNUMBER(M1253)),Q1253,"")</f>
        <v/>
      </c>
      <c r="AB1253">
        <f>IF(AND(Q1253&lt;&gt;"",ISNUMBER(K1253)),K1253,"")</f>
        <v/>
      </c>
      <c r="AC1253">
        <f>IF(AND(Q1253&lt;&gt;"",ISNUMBER(L1253)),L1253,"")</f>
        <v/>
      </c>
      <c r="AD1253">
        <f>IF(AND(Q1253&lt;&gt;"",ISNUMBER(M1253)),M1253,"")</f>
        <v/>
      </c>
    </row>
    <row r="1254">
      <c r="A1254" s="1" t="n"/>
      <c r="B1254" s="17" t="n"/>
      <c r="C1254" s="27" t="n"/>
      <c r="D1254" s="28" t="n"/>
      <c r="E1254" s="28" t="n"/>
      <c r="F1254" s="28" t="n"/>
      <c r="G1254" s="28" t="n"/>
      <c r="H1254" s="28" t="n"/>
      <c r="I1254" s="28" t="n"/>
      <c r="J1254" s="28" t="n"/>
      <c r="K1254" s="28" t="n"/>
      <c r="L1254" s="28" t="n"/>
      <c r="M1254" s="29" t="n"/>
      <c r="N1254" s="21" t="n"/>
      <c r="O1254" s="12">
        <f>IF(AND(B1254="",C1254=""),"",IF(NOT(ISNUMBER(B1254)),"Needs a date",IF(C1254="","Needs a client",IF(COUNTIF(Clients!$B$6:$B$105,C1254)=0,"Not on Clients",IF(COUNT(D1254:M1254)=0,"Nothing measured","")))))</f>
        <v/>
      </c>
      <c r="P1254" s="1">
        <f>IF(AND(O1254="",ISNUMBER(B1254)),INT(B1254),0)</f>
        <v/>
      </c>
      <c r="Q1254">
        <f>IF(AND(P1254&gt;0,C1254=Report!$C$5),P1254*10000+ROW(),"")</f>
        <v/>
      </c>
      <c r="R1254">
        <f>IF(AND(Q1254&lt;&gt;"",ISNUMBER(D1254)),Q1254,"")</f>
        <v/>
      </c>
      <c r="S1254">
        <f>IF(AND(Q1254&lt;&gt;"",ISNUMBER(E1254)),Q1254,"")</f>
        <v/>
      </c>
      <c r="T1254">
        <f>IF(AND(Q1254&lt;&gt;"",ISNUMBER(F1254)),Q1254,"")</f>
        <v/>
      </c>
      <c r="U1254">
        <f>IF(AND(Q1254&lt;&gt;"",ISNUMBER(G1254)),Q1254,"")</f>
        <v/>
      </c>
      <c r="V1254">
        <f>IF(AND(Q1254&lt;&gt;"",ISNUMBER(H1254)),Q1254,"")</f>
        <v/>
      </c>
      <c r="W1254">
        <f>IF(AND(Q1254&lt;&gt;"",ISNUMBER(I1254)),Q1254,"")</f>
        <v/>
      </c>
      <c r="X1254">
        <f>IF(AND(Q1254&lt;&gt;"",ISNUMBER(J1254)),Q1254,"")</f>
        <v/>
      </c>
      <c r="Y1254">
        <f>IF(AND(Q1254&lt;&gt;"",ISNUMBER(K1254)),Q1254,"")</f>
        <v/>
      </c>
      <c r="Z1254">
        <f>IF(AND(Q1254&lt;&gt;"",ISNUMBER(L1254)),Q1254,"")</f>
        <v/>
      </c>
      <c r="AA1254">
        <f>IF(AND(Q1254&lt;&gt;"",ISNUMBER(M1254)),Q1254,"")</f>
        <v/>
      </c>
      <c r="AB1254">
        <f>IF(AND(Q1254&lt;&gt;"",ISNUMBER(K1254)),K1254,"")</f>
        <v/>
      </c>
      <c r="AC1254">
        <f>IF(AND(Q1254&lt;&gt;"",ISNUMBER(L1254)),L1254,"")</f>
        <v/>
      </c>
      <c r="AD1254">
        <f>IF(AND(Q1254&lt;&gt;"",ISNUMBER(M1254)),M1254,"")</f>
        <v/>
      </c>
    </row>
    <row r="1255">
      <c r="A1255" s="1" t="n"/>
      <c r="B1255" s="17" t="n"/>
      <c r="C1255" s="27" t="n"/>
      <c r="D1255" s="28" t="n"/>
      <c r="E1255" s="28" t="n"/>
      <c r="F1255" s="28" t="n"/>
      <c r="G1255" s="28" t="n"/>
      <c r="H1255" s="28" t="n"/>
      <c r="I1255" s="28" t="n"/>
      <c r="J1255" s="28" t="n"/>
      <c r="K1255" s="28" t="n"/>
      <c r="L1255" s="28" t="n"/>
      <c r="M1255" s="29" t="n"/>
      <c r="N1255" s="21" t="n"/>
      <c r="O1255" s="12">
        <f>IF(AND(B1255="",C1255=""),"",IF(NOT(ISNUMBER(B1255)),"Needs a date",IF(C1255="","Needs a client",IF(COUNTIF(Clients!$B$6:$B$105,C1255)=0,"Not on Clients",IF(COUNT(D1255:M1255)=0,"Nothing measured","")))))</f>
        <v/>
      </c>
      <c r="P1255" s="1">
        <f>IF(AND(O1255="",ISNUMBER(B1255)),INT(B1255),0)</f>
        <v/>
      </c>
      <c r="Q1255">
        <f>IF(AND(P1255&gt;0,C1255=Report!$C$5),P1255*10000+ROW(),"")</f>
        <v/>
      </c>
      <c r="R1255">
        <f>IF(AND(Q1255&lt;&gt;"",ISNUMBER(D1255)),Q1255,"")</f>
        <v/>
      </c>
      <c r="S1255">
        <f>IF(AND(Q1255&lt;&gt;"",ISNUMBER(E1255)),Q1255,"")</f>
        <v/>
      </c>
      <c r="T1255">
        <f>IF(AND(Q1255&lt;&gt;"",ISNUMBER(F1255)),Q1255,"")</f>
        <v/>
      </c>
      <c r="U1255">
        <f>IF(AND(Q1255&lt;&gt;"",ISNUMBER(G1255)),Q1255,"")</f>
        <v/>
      </c>
      <c r="V1255">
        <f>IF(AND(Q1255&lt;&gt;"",ISNUMBER(H1255)),Q1255,"")</f>
        <v/>
      </c>
      <c r="W1255">
        <f>IF(AND(Q1255&lt;&gt;"",ISNUMBER(I1255)),Q1255,"")</f>
        <v/>
      </c>
      <c r="X1255">
        <f>IF(AND(Q1255&lt;&gt;"",ISNUMBER(J1255)),Q1255,"")</f>
        <v/>
      </c>
      <c r="Y1255">
        <f>IF(AND(Q1255&lt;&gt;"",ISNUMBER(K1255)),Q1255,"")</f>
        <v/>
      </c>
      <c r="Z1255">
        <f>IF(AND(Q1255&lt;&gt;"",ISNUMBER(L1255)),Q1255,"")</f>
        <v/>
      </c>
      <c r="AA1255">
        <f>IF(AND(Q1255&lt;&gt;"",ISNUMBER(M1255)),Q1255,"")</f>
        <v/>
      </c>
      <c r="AB1255">
        <f>IF(AND(Q1255&lt;&gt;"",ISNUMBER(K1255)),K1255,"")</f>
        <v/>
      </c>
      <c r="AC1255">
        <f>IF(AND(Q1255&lt;&gt;"",ISNUMBER(L1255)),L1255,"")</f>
        <v/>
      </c>
      <c r="AD1255">
        <f>IF(AND(Q1255&lt;&gt;"",ISNUMBER(M1255)),M1255,"")</f>
        <v/>
      </c>
    </row>
    <row r="1256">
      <c r="A1256" s="1" t="n"/>
      <c r="B1256" s="17" t="n"/>
      <c r="C1256" s="27" t="n"/>
      <c r="D1256" s="28" t="n"/>
      <c r="E1256" s="28" t="n"/>
      <c r="F1256" s="28" t="n"/>
      <c r="G1256" s="28" t="n"/>
      <c r="H1256" s="28" t="n"/>
      <c r="I1256" s="28" t="n"/>
      <c r="J1256" s="28" t="n"/>
      <c r="K1256" s="28" t="n"/>
      <c r="L1256" s="28" t="n"/>
      <c r="M1256" s="29" t="n"/>
      <c r="N1256" s="21" t="n"/>
      <c r="O1256" s="12">
        <f>IF(AND(B1256="",C1256=""),"",IF(NOT(ISNUMBER(B1256)),"Needs a date",IF(C1256="","Needs a client",IF(COUNTIF(Clients!$B$6:$B$105,C1256)=0,"Not on Clients",IF(COUNT(D1256:M1256)=0,"Nothing measured","")))))</f>
        <v/>
      </c>
      <c r="P1256" s="1">
        <f>IF(AND(O1256="",ISNUMBER(B1256)),INT(B1256),0)</f>
        <v/>
      </c>
      <c r="Q1256">
        <f>IF(AND(P1256&gt;0,C1256=Report!$C$5),P1256*10000+ROW(),"")</f>
        <v/>
      </c>
      <c r="R1256">
        <f>IF(AND(Q1256&lt;&gt;"",ISNUMBER(D1256)),Q1256,"")</f>
        <v/>
      </c>
      <c r="S1256">
        <f>IF(AND(Q1256&lt;&gt;"",ISNUMBER(E1256)),Q1256,"")</f>
        <v/>
      </c>
      <c r="T1256">
        <f>IF(AND(Q1256&lt;&gt;"",ISNUMBER(F1256)),Q1256,"")</f>
        <v/>
      </c>
      <c r="U1256">
        <f>IF(AND(Q1256&lt;&gt;"",ISNUMBER(G1256)),Q1256,"")</f>
        <v/>
      </c>
      <c r="V1256">
        <f>IF(AND(Q1256&lt;&gt;"",ISNUMBER(H1256)),Q1256,"")</f>
        <v/>
      </c>
      <c r="W1256">
        <f>IF(AND(Q1256&lt;&gt;"",ISNUMBER(I1256)),Q1256,"")</f>
        <v/>
      </c>
      <c r="X1256">
        <f>IF(AND(Q1256&lt;&gt;"",ISNUMBER(J1256)),Q1256,"")</f>
        <v/>
      </c>
      <c r="Y1256">
        <f>IF(AND(Q1256&lt;&gt;"",ISNUMBER(K1256)),Q1256,"")</f>
        <v/>
      </c>
      <c r="Z1256">
        <f>IF(AND(Q1256&lt;&gt;"",ISNUMBER(L1256)),Q1256,"")</f>
        <v/>
      </c>
      <c r="AA1256">
        <f>IF(AND(Q1256&lt;&gt;"",ISNUMBER(M1256)),Q1256,"")</f>
        <v/>
      </c>
      <c r="AB1256">
        <f>IF(AND(Q1256&lt;&gt;"",ISNUMBER(K1256)),K1256,"")</f>
        <v/>
      </c>
      <c r="AC1256">
        <f>IF(AND(Q1256&lt;&gt;"",ISNUMBER(L1256)),L1256,"")</f>
        <v/>
      </c>
      <c r="AD1256">
        <f>IF(AND(Q1256&lt;&gt;"",ISNUMBER(M1256)),M1256,"")</f>
        <v/>
      </c>
    </row>
    <row r="1257">
      <c r="A1257" s="1" t="n"/>
      <c r="B1257" s="17" t="n"/>
      <c r="C1257" s="27" t="n"/>
      <c r="D1257" s="28" t="n"/>
      <c r="E1257" s="28" t="n"/>
      <c r="F1257" s="28" t="n"/>
      <c r="G1257" s="28" t="n"/>
      <c r="H1257" s="28" t="n"/>
      <c r="I1257" s="28" t="n"/>
      <c r="J1257" s="28" t="n"/>
      <c r="K1257" s="28" t="n"/>
      <c r="L1257" s="28" t="n"/>
      <c r="M1257" s="29" t="n"/>
      <c r="N1257" s="21" t="n"/>
      <c r="O1257" s="12">
        <f>IF(AND(B1257="",C1257=""),"",IF(NOT(ISNUMBER(B1257)),"Needs a date",IF(C1257="","Needs a client",IF(COUNTIF(Clients!$B$6:$B$105,C1257)=0,"Not on Clients",IF(COUNT(D1257:M1257)=0,"Nothing measured","")))))</f>
        <v/>
      </c>
      <c r="P1257" s="1">
        <f>IF(AND(O1257="",ISNUMBER(B1257)),INT(B1257),0)</f>
        <v/>
      </c>
      <c r="Q1257">
        <f>IF(AND(P1257&gt;0,C1257=Report!$C$5),P1257*10000+ROW(),"")</f>
        <v/>
      </c>
      <c r="R1257">
        <f>IF(AND(Q1257&lt;&gt;"",ISNUMBER(D1257)),Q1257,"")</f>
        <v/>
      </c>
      <c r="S1257">
        <f>IF(AND(Q1257&lt;&gt;"",ISNUMBER(E1257)),Q1257,"")</f>
        <v/>
      </c>
      <c r="T1257">
        <f>IF(AND(Q1257&lt;&gt;"",ISNUMBER(F1257)),Q1257,"")</f>
        <v/>
      </c>
      <c r="U1257">
        <f>IF(AND(Q1257&lt;&gt;"",ISNUMBER(G1257)),Q1257,"")</f>
        <v/>
      </c>
      <c r="V1257">
        <f>IF(AND(Q1257&lt;&gt;"",ISNUMBER(H1257)),Q1257,"")</f>
        <v/>
      </c>
      <c r="W1257">
        <f>IF(AND(Q1257&lt;&gt;"",ISNUMBER(I1257)),Q1257,"")</f>
        <v/>
      </c>
      <c r="X1257">
        <f>IF(AND(Q1257&lt;&gt;"",ISNUMBER(J1257)),Q1257,"")</f>
        <v/>
      </c>
      <c r="Y1257">
        <f>IF(AND(Q1257&lt;&gt;"",ISNUMBER(K1257)),Q1257,"")</f>
        <v/>
      </c>
      <c r="Z1257">
        <f>IF(AND(Q1257&lt;&gt;"",ISNUMBER(L1257)),Q1257,"")</f>
        <v/>
      </c>
      <c r="AA1257">
        <f>IF(AND(Q1257&lt;&gt;"",ISNUMBER(M1257)),Q1257,"")</f>
        <v/>
      </c>
      <c r="AB1257">
        <f>IF(AND(Q1257&lt;&gt;"",ISNUMBER(K1257)),K1257,"")</f>
        <v/>
      </c>
      <c r="AC1257">
        <f>IF(AND(Q1257&lt;&gt;"",ISNUMBER(L1257)),L1257,"")</f>
        <v/>
      </c>
      <c r="AD1257">
        <f>IF(AND(Q1257&lt;&gt;"",ISNUMBER(M1257)),M1257,"")</f>
        <v/>
      </c>
    </row>
    <row r="1258">
      <c r="A1258" s="1" t="n"/>
      <c r="B1258" s="17" t="n"/>
      <c r="C1258" s="27" t="n"/>
      <c r="D1258" s="28" t="n"/>
      <c r="E1258" s="28" t="n"/>
      <c r="F1258" s="28" t="n"/>
      <c r="G1258" s="28" t="n"/>
      <c r="H1258" s="28" t="n"/>
      <c r="I1258" s="28" t="n"/>
      <c r="J1258" s="28" t="n"/>
      <c r="K1258" s="28" t="n"/>
      <c r="L1258" s="28" t="n"/>
      <c r="M1258" s="29" t="n"/>
      <c r="N1258" s="21" t="n"/>
      <c r="O1258" s="12">
        <f>IF(AND(B1258="",C1258=""),"",IF(NOT(ISNUMBER(B1258)),"Needs a date",IF(C1258="","Needs a client",IF(COUNTIF(Clients!$B$6:$B$105,C1258)=0,"Not on Clients",IF(COUNT(D1258:M1258)=0,"Nothing measured","")))))</f>
        <v/>
      </c>
      <c r="P1258" s="1">
        <f>IF(AND(O1258="",ISNUMBER(B1258)),INT(B1258),0)</f>
        <v/>
      </c>
      <c r="Q1258">
        <f>IF(AND(P1258&gt;0,C1258=Report!$C$5),P1258*10000+ROW(),"")</f>
        <v/>
      </c>
      <c r="R1258">
        <f>IF(AND(Q1258&lt;&gt;"",ISNUMBER(D1258)),Q1258,"")</f>
        <v/>
      </c>
      <c r="S1258">
        <f>IF(AND(Q1258&lt;&gt;"",ISNUMBER(E1258)),Q1258,"")</f>
        <v/>
      </c>
      <c r="T1258">
        <f>IF(AND(Q1258&lt;&gt;"",ISNUMBER(F1258)),Q1258,"")</f>
        <v/>
      </c>
      <c r="U1258">
        <f>IF(AND(Q1258&lt;&gt;"",ISNUMBER(G1258)),Q1258,"")</f>
        <v/>
      </c>
      <c r="V1258">
        <f>IF(AND(Q1258&lt;&gt;"",ISNUMBER(H1258)),Q1258,"")</f>
        <v/>
      </c>
      <c r="W1258">
        <f>IF(AND(Q1258&lt;&gt;"",ISNUMBER(I1258)),Q1258,"")</f>
        <v/>
      </c>
      <c r="X1258">
        <f>IF(AND(Q1258&lt;&gt;"",ISNUMBER(J1258)),Q1258,"")</f>
        <v/>
      </c>
      <c r="Y1258">
        <f>IF(AND(Q1258&lt;&gt;"",ISNUMBER(K1258)),Q1258,"")</f>
        <v/>
      </c>
      <c r="Z1258">
        <f>IF(AND(Q1258&lt;&gt;"",ISNUMBER(L1258)),Q1258,"")</f>
        <v/>
      </c>
      <c r="AA1258">
        <f>IF(AND(Q1258&lt;&gt;"",ISNUMBER(M1258)),Q1258,"")</f>
        <v/>
      </c>
      <c r="AB1258">
        <f>IF(AND(Q1258&lt;&gt;"",ISNUMBER(K1258)),K1258,"")</f>
        <v/>
      </c>
      <c r="AC1258">
        <f>IF(AND(Q1258&lt;&gt;"",ISNUMBER(L1258)),L1258,"")</f>
        <v/>
      </c>
      <c r="AD1258">
        <f>IF(AND(Q1258&lt;&gt;"",ISNUMBER(M1258)),M1258,"")</f>
        <v/>
      </c>
    </row>
    <row r="1259">
      <c r="A1259" s="1" t="n"/>
      <c r="B1259" s="17" t="n"/>
      <c r="C1259" s="27" t="n"/>
      <c r="D1259" s="28" t="n"/>
      <c r="E1259" s="28" t="n"/>
      <c r="F1259" s="28" t="n"/>
      <c r="G1259" s="28" t="n"/>
      <c r="H1259" s="28" t="n"/>
      <c r="I1259" s="28" t="n"/>
      <c r="J1259" s="28" t="n"/>
      <c r="K1259" s="28" t="n"/>
      <c r="L1259" s="28" t="n"/>
      <c r="M1259" s="29" t="n"/>
      <c r="N1259" s="21" t="n"/>
      <c r="O1259" s="12">
        <f>IF(AND(B1259="",C1259=""),"",IF(NOT(ISNUMBER(B1259)),"Needs a date",IF(C1259="","Needs a client",IF(COUNTIF(Clients!$B$6:$B$105,C1259)=0,"Not on Clients",IF(COUNT(D1259:M1259)=0,"Nothing measured","")))))</f>
        <v/>
      </c>
      <c r="P1259" s="1">
        <f>IF(AND(O1259="",ISNUMBER(B1259)),INT(B1259),0)</f>
        <v/>
      </c>
      <c r="Q1259">
        <f>IF(AND(P1259&gt;0,C1259=Report!$C$5),P1259*10000+ROW(),"")</f>
        <v/>
      </c>
      <c r="R1259">
        <f>IF(AND(Q1259&lt;&gt;"",ISNUMBER(D1259)),Q1259,"")</f>
        <v/>
      </c>
      <c r="S1259">
        <f>IF(AND(Q1259&lt;&gt;"",ISNUMBER(E1259)),Q1259,"")</f>
        <v/>
      </c>
      <c r="T1259">
        <f>IF(AND(Q1259&lt;&gt;"",ISNUMBER(F1259)),Q1259,"")</f>
        <v/>
      </c>
      <c r="U1259">
        <f>IF(AND(Q1259&lt;&gt;"",ISNUMBER(G1259)),Q1259,"")</f>
        <v/>
      </c>
      <c r="V1259">
        <f>IF(AND(Q1259&lt;&gt;"",ISNUMBER(H1259)),Q1259,"")</f>
        <v/>
      </c>
      <c r="W1259">
        <f>IF(AND(Q1259&lt;&gt;"",ISNUMBER(I1259)),Q1259,"")</f>
        <v/>
      </c>
      <c r="X1259">
        <f>IF(AND(Q1259&lt;&gt;"",ISNUMBER(J1259)),Q1259,"")</f>
        <v/>
      </c>
      <c r="Y1259">
        <f>IF(AND(Q1259&lt;&gt;"",ISNUMBER(K1259)),Q1259,"")</f>
        <v/>
      </c>
      <c r="Z1259">
        <f>IF(AND(Q1259&lt;&gt;"",ISNUMBER(L1259)),Q1259,"")</f>
        <v/>
      </c>
      <c r="AA1259">
        <f>IF(AND(Q1259&lt;&gt;"",ISNUMBER(M1259)),Q1259,"")</f>
        <v/>
      </c>
      <c r="AB1259">
        <f>IF(AND(Q1259&lt;&gt;"",ISNUMBER(K1259)),K1259,"")</f>
        <v/>
      </c>
      <c r="AC1259">
        <f>IF(AND(Q1259&lt;&gt;"",ISNUMBER(L1259)),L1259,"")</f>
        <v/>
      </c>
      <c r="AD1259">
        <f>IF(AND(Q1259&lt;&gt;"",ISNUMBER(M1259)),M1259,"")</f>
        <v/>
      </c>
    </row>
    <row r="1260">
      <c r="A1260" s="1" t="n"/>
      <c r="B1260" s="17" t="n"/>
      <c r="C1260" s="27" t="n"/>
      <c r="D1260" s="28" t="n"/>
      <c r="E1260" s="28" t="n"/>
      <c r="F1260" s="28" t="n"/>
      <c r="G1260" s="28" t="n"/>
      <c r="H1260" s="28" t="n"/>
      <c r="I1260" s="28" t="n"/>
      <c r="J1260" s="28" t="n"/>
      <c r="K1260" s="28" t="n"/>
      <c r="L1260" s="28" t="n"/>
      <c r="M1260" s="29" t="n"/>
      <c r="N1260" s="21" t="n"/>
      <c r="O1260" s="12">
        <f>IF(AND(B1260="",C1260=""),"",IF(NOT(ISNUMBER(B1260)),"Needs a date",IF(C1260="","Needs a client",IF(COUNTIF(Clients!$B$6:$B$105,C1260)=0,"Not on Clients",IF(COUNT(D1260:M1260)=0,"Nothing measured","")))))</f>
        <v/>
      </c>
      <c r="P1260" s="1">
        <f>IF(AND(O1260="",ISNUMBER(B1260)),INT(B1260),0)</f>
        <v/>
      </c>
      <c r="Q1260">
        <f>IF(AND(P1260&gt;0,C1260=Report!$C$5),P1260*10000+ROW(),"")</f>
        <v/>
      </c>
      <c r="R1260">
        <f>IF(AND(Q1260&lt;&gt;"",ISNUMBER(D1260)),Q1260,"")</f>
        <v/>
      </c>
      <c r="S1260">
        <f>IF(AND(Q1260&lt;&gt;"",ISNUMBER(E1260)),Q1260,"")</f>
        <v/>
      </c>
      <c r="T1260">
        <f>IF(AND(Q1260&lt;&gt;"",ISNUMBER(F1260)),Q1260,"")</f>
        <v/>
      </c>
      <c r="U1260">
        <f>IF(AND(Q1260&lt;&gt;"",ISNUMBER(G1260)),Q1260,"")</f>
        <v/>
      </c>
      <c r="V1260">
        <f>IF(AND(Q1260&lt;&gt;"",ISNUMBER(H1260)),Q1260,"")</f>
        <v/>
      </c>
      <c r="W1260">
        <f>IF(AND(Q1260&lt;&gt;"",ISNUMBER(I1260)),Q1260,"")</f>
        <v/>
      </c>
      <c r="X1260">
        <f>IF(AND(Q1260&lt;&gt;"",ISNUMBER(J1260)),Q1260,"")</f>
        <v/>
      </c>
      <c r="Y1260">
        <f>IF(AND(Q1260&lt;&gt;"",ISNUMBER(K1260)),Q1260,"")</f>
        <v/>
      </c>
      <c r="Z1260">
        <f>IF(AND(Q1260&lt;&gt;"",ISNUMBER(L1260)),Q1260,"")</f>
        <v/>
      </c>
      <c r="AA1260">
        <f>IF(AND(Q1260&lt;&gt;"",ISNUMBER(M1260)),Q1260,"")</f>
        <v/>
      </c>
      <c r="AB1260">
        <f>IF(AND(Q1260&lt;&gt;"",ISNUMBER(K1260)),K1260,"")</f>
        <v/>
      </c>
      <c r="AC1260">
        <f>IF(AND(Q1260&lt;&gt;"",ISNUMBER(L1260)),L1260,"")</f>
        <v/>
      </c>
      <c r="AD1260">
        <f>IF(AND(Q1260&lt;&gt;"",ISNUMBER(M1260)),M1260,"")</f>
        <v/>
      </c>
    </row>
    <row r="1261">
      <c r="A1261" s="1" t="n"/>
      <c r="B1261" s="17" t="n"/>
      <c r="C1261" s="27" t="n"/>
      <c r="D1261" s="28" t="n"/>
      <c r="E1261" s="28" t="n"/>
      <c r="F1261" s="28" t="n"/>
      <c r="G1261" s="28" t="n"/>
      <c r="H1261" s="28" t="n"/>
      <c r="I1261" s="28" t="n"/>
      <c r="J1261" s="28" t="n"/>
      <c r="K1261" s="28" t="n"/>
      <c r="L1261" s="28" t="n"/>
      <c r="M1261" s="29" t="n"/>
      <c r="N1261" s="21" t="n"/>
      <c r="O1261" s="12">
        <f>IF(AND(B1261="",C1261=""),"",IF(NOT(ISNUMBER(B1261)),"Needs a date",IF(C1261="","Needs a client",IF(COUNTIF(Clients!$B$6:$B$105,C1261)=0,"Not on Clients",IF(COUNT(D1261:M1261)=0,"Nothing measured","")))))</f>
        <v/>
      </c>
      <c r="P1261" s="1">
        <f>IF(AND(O1261="",ISNUMBER(B1261)),INT(B1261),0)</f>
        <v/>
      </c>
      <c r="Q1261">
        <f>IF(AND(P1261&gt;0,C1261=Report!$C$5),P1261*10000+ROW(),"")</f>
        <v/>
      </c>
      <c r="R1261">
        <f>IF(AND(Q1261&lt;&gt;"",ISNUMBER(D1261)),Q1261,"")</f>
        <v/>
      </c>
      <c r="S1261">
        <f>IF(AND(Q1261&lt;&gt;"",ISNUMBER(E1261)),Q1261,"")</f>
        <v/>
      </c>
      <c r="T1261">
        <f>IF(AND(Q1261&lt;&gt;"",ISNUMBER(F1261)),Q1261,"")</f>
        <v/>
      </c>
      <c r="U1261">
        <f>IF(AND(Q1261&lt;&gt;"",ISNUMBER(G1261)),Q1261,"")</f>
        <v/>
      </c>
      <c r="V1261">
        <f>IF(AND(Q1261&lt;&gt;"",ISNUMBER(H1261)),Q1261,"")</f>
        <v/>
      </c>
      <c r="W1261">
        <f>IF(AND(Q1261&lt;&gt;"",ISNUMBER(I1261)),Q1261,"")</f>
        <v/>
      </c>
      <c r="X1261">
        <f>IF(AND(Q1261&lt;&gt;"",ISNUMBER(J1261)),Q1261,"")</f>
        <v/>
      </c>
      <c r="Y1261">
        <f>IF(AND(Q1261&lt;&gt;"",ISNUMBER(K1261)),Q1261,"")</f>
        <v/>
      </c>
      <c r="Z1261">
        <f>IF(AND(Q1261&lt;&gt;"",ISNUMBER(L1261)),Q1261,"")</f>
        <v/>
      </c>
      <c r="AA1261">
        <f>IF(AND(Q1261&lt;&gt;"",ISNUMBER(M1261)),Q1261,"")</f>
        <v/>
      </c>
      <c r="AB1261">
        <f>IF(AND(Q1261&lt;&gt;"",ISNUMBER(K1261)),K1261,"")</f>
        <v/>
      </c>
      <c r="AC1261">
        <f>IF(AND(Q1261&lt;&gt;"",ISNUMBER(L1261)),L1261,"")</f>
        <v/>
      </c>
      <c r="AD1261">
        <f>IF(AND(Q1261&lt;&gt;"",ISNUMBER(M1261)),M1261,"")</f>
        <v/>
      </c>
    </row>
    <row r="1262">
      <c r="A1262" s="1" t="n"/>
      <c r="B1262" s="17" t="n"/>
      <c r="C1262" s="27" t="n"/>
      <c r="D1262" s="28" t="n"/>
      <c r="E1262" s="28" t="n"/>
      <c r="F1262" s="28" t="n"/>
      <c r="G1262" s="28" t="n"/>
      <c r="H1262" s="28" t="n"/>
      <c r="I1262" s="28" t="n"/>
      <c r="J1262" s="28" t="n"/>
      <c r="K1262" s="28" t="n"/>
      <c r="L1262" s="28" t="n"/>
      <c r="M1262" s="29" t="n"/>
      <c r="N1262" s="21" t="n"/>
      <c r="O1262" s="12">
        <f>IF(AND(B1262="",C1262=""),"",IF(NOT(ISNUMBER(B1262)),"Needs a date",IF(C1262="","Needs a client",IF(COUNTIF(Clients!$B$6:$B$105,C1262)=0,"Not on Clients",IF(COUNT(D1262:M1262)=0,"Nothing measured","")))))</f>
        <v/>
      </c>
      <c r="P1262" s="1">
        <f>IF(AND(O1262="",ISNUMBER(B1262)),INT(B1262),0)</f>
        <v/>
      </c>
      <c r="Q1262">
        <f>IF(AND(P1262&gt;0,C1262=Report!$C$5),P1262*10000+ROW(),"")</f>
        <v/>
      </c>
      <c r="R1262">
        <f>IF(AND(Q1262&lt;&gt;"",ISNUMBER(D1262)),Q1262,"")</f>
        <v/>
      </c>
      <c r="S1262">
        <f>IF(AND(Q1262&lt;&gt;"",ISNUMBER(E1262)),Q1262,"")</f>
        <v/>
      </c>
      <c r="T1262">
        <f>IF(AND(Q1262&lt;&gt;"",ISNUMBER(F1262)),Q1262,"")</f>
        <v/>
      </c>
      <c r="U1262">
        <f>IF(AND(Q1262&lt;&gt;"",ISNUMBER(G1262)),Q1262,"")</f>
        <v/>
      </c>
      <c r="V1262">
        <f>IF(AND(Q1262&lt;&gt;"",ISNUMBER(H1262)),Q1262,"")</f>
        <v/>
      </c>
      <c r="W1262">
        <f>IF(AND(Q1262&lt;&gt;"",ISNUMBER(I1262)),Q1262,"")</f>
        <v/>
      </c>
      <c r="X1262">
        <f>IF(AND(Q1262&lt;&gt;"",ISNUMBER(J1262)),Q1262,"")</f>
        <v/>
      </c>
      <c r="Y1262">
        <f>IF(AND(Q1262&lt;&gt;"",ISNUMBER(K1262)),Q1262,"")</f>
        <v/>
      </c>
      <c r="Z1262">
        <f>IF(AND(Q1262&lt;&gt;"",ISNUMBER(L1262)),Q1262,"")</f>
        <v/>
      </c>
      <c r="AA1262">
        <f>IF(AND(Q1262&lt;&gt;"",ISNUMBER(M1262)),Q1262,"")</f>
        <v/>
      </c>
      <c r="AB1262">
        <f>IF(AND(Q1262&lt;&gt;"",ISNUMBER(K1262)),K1262,"")</f>
        <v/>
      </c>
      <c r="AC1262">
        <f>IF(AND(Q1262&lt;&gt;"",ISNUMBER(L1262)),L1262,"")</f>
        <v/>
      </c>
      <c r="AD1262">
        <f>IF(AND(Q1262&lt;&gt;"",ISNUMBER(M1262)),M1262,"")</f>
        <v/>
      </c>
    </row>
    <row r="1263">
      <c r="A1263" s="1" t="n"/>
      <c r="B1263" s="17" t="n"/>
      <c r="C1263" s="27" t="n"/>
      <c r="D1263" s="28" t="n"/>
      <c r="E1263" s="28" t="n"/>
      <c r="F1263" s="28" t="n"/>
      <c r="G1263" s="28" t="n"/>
      <c r="H1263" s="28" t="n"/>
      <c r="I1263" s="28" t="n"/>
      <c r="J1263" s="28" t="n"/>
      <c r="K1263" s="28" t="n"/>
      <c r="L1263" s="28" t="n"/>
      <c r="M1263" s="29" t="n"/>
      <c r="N1263" s="21" t="n"/>
      <c r="O1263" s="12">
        <f>IF(AND(B1263="",C1263=""),"",IF(NOT(ISNUMBER(B1263)),"Needs a date",IF(C1263="","Needs a client",IF(COUNTIF(Clients!$B$6:$B$105,C1263)=0,"Not on Clients",IF(COUNT(D1263:M1263)=0,"Nothing measured","")))))</f>
        <v/>
      </c>
      <c r="P1263" s="1">
        <f>IF(AND(O1263="",ISNUMBER(B1263)),INT(B1263),0)</f>
        <v/>
      </c>
      <c r="Q1263">
        <f>IF(AND(P1263&gt;0,C1263=Report!$C$5),P1263*10000+ROW(),"")</f>
        <v/>
      </c>
      <c r="R1263">
        <f>IF(AND(Q1263&lt;&gt;"",ISNUMBER(D1263)),Q1263,"")</f>
        <v/>
      </c>
      <c r="S1263">
        <f>IF(AND(Q1263&lt;&gt;"",ISNUMBER(E1263)),Q1263,"")</f>
        <v/>
      </c>
      <c r="T1263">
        <f>IF(AND(Q1263&lt;&gt;"",ISNUMBER(F1263)),Q1263,"")</f>
        <v/>
      </c>
      <c r="U1263">
        <f>IF(AND(Q1263&lt;&gt;"",ISNUMBER(G1263)),Q1263,"")</f>
        <v/>
      </c>
      <c r="V1263">
        <f>IF(AND(Q1263&lt;&gt;"",ISNUMBER(H1263)),Q1263,"")</f>
        <v/>
      </c>
      <c r="W1263">
        <f>IF(AND(Q1263&lt;&gt;"",ISNUMBER(I1263)),Q1263,"")</f>
        <v/>
      </c>
      <c r="X1263">
        <f>IF(AND(Q1263&lt;&gt;"",ISNUMBER(J1263)),Q1263,"")</f>
        <v/>
      </c>
      <c r="Y1263">
        <f>IF(AND(Q1263&lt;&gt;"",ISNUMBER(K1263)),Q1263,"")</f>
        <v/>
      </c>
      <c r="Z1263">
        <f>IF(AND(Q1263&lt;&gt;"",ISNUMBER(L1263)),Q1263,"")</f>
        <v/>
      </c>
      <c r="AA1263">
        <f>IF(AND(Q1263&lt;&gt;"",ISNUMBER(M1263)),Q1263,"")</f>
        <v/>
      </c>
      <c r="AB1263">
        <f>IF(AND(Q1263&lt;&gt;"",ISNUMBER(K1263)),K1263,"")</f>
        <v/>
      </c>
      <c r="AC1263">
        <f>IF(AND(Q1263&lt;&gt;"",ISNUMBER(L1263)),L1263,"")</f>
        <v/>
      </c>
      <c r="AD1263">
        <f>IF(AND(Q1263&lt;&gt;"",ISNUMBER(M1263)),M1263,"")</f>
        <v/>
      </c>
    </row>
    <row r="1264">
      <c r="A1264" s="1" t="n"/>
      <c r="B1264" s="17" t="n"/>
      <c r="C1264" s="27" t="n"/>
      <c r="D1264" s="28" t="n"/>
      <c r="E1264" s="28" t="n"/>
      <c r="F1264" s="28" t="n"/>
      <c r="G1264" s="28" t="n"/>
      <c r="H1264" s="28" t="n"/>
      <c r="I1264" s="28" t="n"/>
      <c r="J1264" s="28" t="n"/>
      <c r="K1264" s="28" t="n"/>
      <c r="L1264" s="28" t="n"/>
      <c r="M1264" s="29" t="n"/>
      <c r="N1264" s="21" t="n"/>
      <c r="O1264" s="12">
        <f>IF(AND(B1264="",C1264=""),"",IF(NOT(ISNUMBER(B1264)),"Needs a date",IF(C1264="","Needs a client",IF(COUNTIF(Clients!$B$6:$B$105,C1264)=0,"Not on Clients",IF(COUNT(D1264:M1264)=0,"Nothing measured","")))))</f>
        <v/>
      </c>
      <c r="P1264" s="1">
        <f>IF(AND(O1264="",ISNUMBER(B1264)),INT(B1264),0)</f>
        <v/>
      </c>
      <c r="Q1264">
        <f>IF(AND(P1264&gt;0,C1264=Report!$C$5),P1264*10000+ROW(),"")</f>
        <v/>
      </c>
      <c r="R1264">
        <f>IF(AND(Q1264&lt;&gt;"",ISNUMBER(D1264)),Q1264,"")</f>
        <v/>
      </c>
      <c r="S1264">
        <f>IF(AND(Q1264&lt;&gt;"",ISNUMBER(E1264)),Q1264,"")</f>
        <v/>
      </c>
      <c r="T1264">
        <f>IF(AND(Q1264&lt;&gt;"",ISNUMBER(F1264)),Q1264,"")</f>
        <v/>
      </c>
      <c r="U1264">
        <f>IF(AND(Q1264&lt;&gt;"",ISNUMBER(G1264)),Q1264,"")</f>
        <v/>
      </c>
      <c r="V1264">
        <f>IF(AND(Q1264&lt;&gt;"",ISNUMBER(H1264)),Q1264,"")</f>
        <v/>
      </c>
      <c r="W1264">
        <f>IF(AND(Q1264&lt;&gt;"",ISNUMBER(I1264)),Q1264,"")</f>
        <v/>
      </c>
      <c r="X1264">
        <f>IF(AND(Q1264&lt;&gt;"",ISNUMBER(J1264)),Q1264,"")</f>
        <v/>
      </c>
      <c r="Y1264">
        <f>IF(AND(Q1264&lt;&gt;"",ISNUMBER(K1264)),Q1264,"")</f>
        <v/>
      </c>
      <c r="Z1264">
        <f>IF(AND(Q1264&lt;&gt;"",ISNUMBER(L1264)),Q1264,"")</f>
        <v/>
      </c>
      <c r="AA1264">
        <f>IF(AND(Q1264&lt;&gt;"",ISNUMBER(M1264)),Q1264,"")</f>
        <v/>
      </c>
      <c r="AB1264">
        <f>IF(AND(Q1264&lt;&gt;"",ISNUMBER(K1264)),K1264,"")</f>
        <v/>
      </c>
      <c r="AC1264">
        <f>IF(AND(Q1264&lt;&gt;"",ISNUMBER(L1264)),L1264,"")</f>
        <v/>
      </c>
      <c r="AD1264">
        <f>IF(AND(Q1264&lt;&gt;"",ISNUMBER(M1264)),M1264,"")</f>
        <v/>
      </c>
    </row>
    <row r="1265">
      <c r="A1265" s="1" t="n"/>
      <c r="B1265" s="17" t="n"/>
      <c r="C1265" s="27" t="n"/>
      <c r="D1265" s="28" t="n"/>
      <c r="E1265" s="28" t="n"/>
      <c r="F1265" s="28" t="n"/>
      <c r="G1265" s="28" t="n"/>
      <c r="H1265" s="28" t="n"/>
      <c r="I1265" s="28" t="n"/>
      <c r="J1265" s="28" t="n"/>
      <c r="K1265" s="28" t="n"/>
      <c r="L1265" s="28" t="n"/>
      <c r="M1265" s="29" t="n"/>
      <c r="N1265" s="21" t="n"/>
      <c r="O1265" s="12">
        <f>IF(AND(B1265="",C1265=""),"",IF(NOT(ISNUMBER(B1265)),"Needs a date",IF(C1265="","Needs a client",IF(COUNTIF(Clients!$B$6:$B$105,C1265)=0,"Not on Clients",IF(COUNT(D1265:M1265)=0,"Nothing measured","")))))</f>
        <v/>
      </c>
      <c r="P1265" s="1">
        <f>IF(AND(O1265="",ISNUMBER(B1265)),INT(B1265),0)</f>
        <v/>
      </c>
      <c r="Q1265">
        <f>IF(AND(P1265&gt;0,C1265=Report!$C$5),P1265*10000+ROW(),"")</f>
        <v/>
      </c>
      <c r="R1265">
        <f>IF(AND(Q1265&lt;&gt;"",ISNUMBER(D1265)),Q1265,"")</f>
        <v/>
      </c>
      <c r="S1265">
        <f>IF(AND(Q1265&lt;&gt;"",ISNUMBER(E1265)),Q1265,"")</f>
        <v/>
      </c>
      <c r="T1265">
        <f>IF(AND(Q1265&lt;&gt;"",ISNUMBER(F1265)),Q1265,"")</f>
        <v/>
      </c>
      <c r="U1265">
        <f>IF(AND(Q1265&lt;&gt;"",ISNUMBER(G1265)),Q1265,"")</f>
        <v/>
      </c>
      <c r="V1265">
        <f>IF(AND(Q1265&lt;&gt;"",ISNUMBER(H1265)),Q1265,"")</f>
        <v/>
      </c>
      <c r="W1265">
        <f>IF(AND(Q1265&lt;&gt;"",ISNUMBER(I1265)),Q1265,"")</f>
        <v/>
      </c>
      <c r="X1265">
        <f>IF(AND(Q1265&lt;&gt;"",ISNUMBER(J1265)),Q1265,"")</f>
        <v/>
      </c>
      <c r="Y1265">
        <f>IF(AND(Q1265&lt;&gt;"",ISNUMBER(K1265)),Q1265,"")</f>
        <v/>
      </c>
      <c r="Z1265">
        <f>IF(AND(Q1265&lt;&gt;"",ISNUMBER(L1265)),Q1265,"")</f>
        <v/>
      </c>
      <c r="AA1265">
        <f>IF(AND(Q1265&lt;&gt;"",ISNUMBER(M1265)),Q1265,"")</f>
        <v/>
      </c>
      <c r="AB1265">
        <f>IF(AND(Q1265&lt;&gt;"",ISNUMBER(K1265)),K1265,"")</f>
        <v/>
      </c>
      <c r="AC1265">
        <f>IF(AND(Q1265&lt;&gt;"",ISNUMBER(L1265)),L1265,"")</f>
        <v/>
      </c>
      <c r="AD1265">
        <f>IF(AND(Q1265&lt;&gt;"",ISNUMBER(M1265)),M1265,"")</f>
        <v/>
      </c>
    </row>
    <row r="1266">
      <c r="A1266" s="1" t="n"/>
      <c r="B1266" s="17" t="n"/>
      <c r="C1266" s="27" t="n"/>
      <c r="D1266" s="28" t="n"/>
      <c r="E1266" s="28" t="n"/>
      <c r="F1266" s="28" t="n"/>
      <c r="G1266" s="28" t="n"/>
      <c r="H1266" s="28" t="n"/>
      <c r="I1266" s="28" t="n"/>
      <c r="J1266" s="28" t="n"/>
      <c r="K1266" s="28" t="n"/>
      <c r="L1266" s="28" t="n"/>
      <c r="M1266" s="29" t="n"/>
      <c r="N1266" s="21" t="n"/>
      <c r="O1266" s="12">
        <f>IF(AND(B1266="",C1266=""),"",IF(NOT(ISNUMBER(B1266)),"Needs a date",IF(C1266="","Needs a client",IF(COUNTIF(Clients!$B$6:$B$105,C1266)=0,"Not on Clients",IF(COUNT(D1266:M1266)=0,"Nothing measured","")))))</f>
        <v/>
      </c>
      <c r="P1266" s="1">
        <f>IF(AND(O1266="",ISNUMBER(B1266)),INT(B1266),0)</f>
        <v/>
      </c>
      <c r="Q1266">
        <f>IF(AND(P1266&gt;0,C1266=Report!$C$5),P1266*10000+ROW(),"")</f>
        <v/>
      </c>
      <c r="R1266">
        <f>IF(AND(Q1266&lt;&gt;"",ISNUMBER(D1266)),Q1266,"")</f>
        <v/>
      </c>
      <c r="S1266">
        <f>IF(AND(Q1266&lt;&gt;"",ISNUMBER(E1266)),Q1266,"")</f>
        <v/>
      </c>
      <c r="T1266">
        <f>IF(AND(Q1266&lt;&gt;"",ISNUMBER(F1266)),Q1266,"")</f>
        <v/>
      </c>
      <c r="U1266">
        <f>IF(AND(Q1266&lt;&gt;"",ISNUMBER(G1266)),Q1266,"")</f>
        <v/>
      </c>
      <c r="V1266">
        <f>IF(AND(Q1266&lt;&gt;"",ISNUMBER(H1266)),Q1266,"")</f>
        <v/>
      </c>
      <c r="W1266">
        <f>IF(AND(Q1266&lt;&gt;"",ISNUMBER(I1266)),Q1266,"")</f>
        <v/>
      </c>
      <c r="X1266">
        <f>IF(AND(Q1266&lt;&gt;"",ISNUMBER(J1266)),Q1266,"")</f>
        <v/>
      </c>
      <c r="Y1266">
        <f>IF(AND(Q1266&lt;&gt;"",ISNUMBER(K1266)),Q1266,"")</f>
        <v/>
      </c>
      <c r="Z1266">
        <f>IF(AND(Q1266&lt;&gt;"",ISNUMBER(L1266)),Q1266,"")</f>
        <v/>
      </c>
      <c r="AA1266">
        <f>IF(AND(Q1266&lt;&gt;"",ISNUMBER(M1266)),Q1266,"")</f>
        <v/>
      </c>
      <c r="AB1266">
        <f>IF(AND(Q1266&lt;&gt;"",ISNUMBER(K1266)),K1266,"")</f>
        <v/>
      </c>
      <c r="AC1266">
        <f>IF(AND(Q1266&lt;&gt;"",ISNUMBER(L1266)),L1266,"")</f>
        <v/>
      </c>
      <c r="AD1266">
        <f>IF(AND(Q1266&lt;&gt;"",ISNUMBER(M1266)),M1266,"")</f>
        <v/>
      </c>
    </row>
    <row r="1267">
      <c r="A1267" s="1" t="n"/>
      <c r="B1267" s="17" t="n"/>
      <c r="C1267" s="27" t="n"/>
      <c r="D1267" s="28" t="n"/>
      <c r="E1267" s="28" t="n"/>
      <c r="F1267" s="28" t="n"/>
      <c r="G1267" s="28" t="n"/>
      <c r="H1267" s="28" t="n"/>
      <c r="I1267" s="28" t="n"/>
      <c r="J1267" s="28" t="n"/>
      <c r="K1267" s="28" t="n"/>
      <c r="L1267" s="28" t="n"/>
      <c r="M1267" s="29" t="n"/>
      <c r="N1267" s="21" t="n"/>
      <c r="O1267" s="12">
        <f>IF(AND(B1267="",C1267=""),"",IF(NOT(ISNUMBER(B1267)),"Needs a date",IF(C1267="","Needs a client",IF(COUNTIF(Clients!$B$6:$B$105,C1267)=0,"Not on Clients",IF(COUNT(D1267:M1267)=0,"Nothing measured","")))))</f>
        <v/>
      </c>
      <c r="P1267" s="1">
        <f>IF(AND(O1267="",ISNUMBER(B1267)),INT(B1267),0)</f>
        <v/>
      </c>
      <c r="Q1267">
        <f>IF(AND(P1267&gt;0,C1267=Report!$C$5),P1267*10000+ROW(),"")</f>
        <v/>
      </c>
      <c r="R1267">
        <f>IF(AND(Q1267&lt;&gt;"",ISNUMBER(D1267)),Q1267,"")</f>
        <v/>
      </c>
      <c r="S1267">
        <f>IF(AND(Q1267&lt;&gt;"",ISNUMBER(E1267)),Q1267,"")</f>
        <v/>
      </c>
      <c r="T1267">
        <f>IF(AND(Q1267&lt;&gt;"",ISNUMBER(F1267)),Q1267,"")</f>
        <v/>
      </c>
      <c r="U1267">
        <f>IF(AND(Q1267&lt;&gt;"",ISNUMBER(G1267)),Q1267,"")</f>
        <v/>
      </c>
      <c r="V1267">
        <f>IF(AND(Q1267&lt;&gt;"",ISNUMBER(H1267)),Q1267,"")</f>
        <v/>
      </c>
      <c r="W1267">
        <f>IF(AND(Q1267&lt;&gt;"",ISNUMBER(I1267)),Q1267,"")</f>
        <v/>
      </c>
      <c r="X1267">
        <f>IF(AND(Q1267&lt;&gt;"",ISNUMBER(J1267)),Q1267,"")</f>
        <v/>
      </c>
      <c r="Y1267">
        <f>IF(AND(Q1267&lt;&gt;"",ISNUMBER(K1267)),Q1267,"")</f>
        <v/>
      </c>
      <c r="Z1267">
        <f>IF(AND(Q1267&lt;&gt;"",ISNUMBER(L1267)),Q1267,"")</f>
        <v/>
      </c>
      <c r="AA1267">
        <f>IF(AND(Q1267&lt;&gt;"",ISNUMBER(M1267)),Q1267,"")</f>
        <v/>
      </c>
      <c r="AB1267">
        <f>IF(AND(Q1267&lt;&gt;"",ISNUMBER(K1267)),K1267,"")</f>
        <v/>
      </c>
      <c r="AC1267">
        <f>IF(AND(Q1267&lt;&gt;"",ISNUMBER(L1267)),L1267,"")</f>
        <v/>
      </c>
      <c r="AD1267">
        <f>IF(AND(Q1267&lt;&gt;"",ISNUMBER(M1267)),M1267,"")</f>
        <v/>
      </c>
    </row>
    <row r="1268">
      <c r="A1268" s="1" t="n"/>
      <c r="B1268" s="17" t="n"/>
      <c r="C1268" s="27" t="n"/>
      <c r="D1268" s="28" t="n"/>
      <c r="E1268" s="28" t="n"/>
      <c r="F1268" s="28" t="n"/>
      <c r="G1268" s="28" t="n"/>
      <c r="H1268" s="28" t="n"/>
      <c r="I1268" s="28" t="n"/>
      <c r="J1268" s="28" t="n"/>
      <c r="K1268" s="28" t="n"/>
      <c r="L1268" s="28" t="n"/>
      <c r="M1268" s="29" t="n"/>
      <c r="N1268" s="21" t="n"/>
      <c r="O1268" s="12">
        <f>IF(AND(B1268="",C1268=""),"",IF(NOT(ISNUMBER(B1268)),"Needs a date",IF(C1268="","Needs a client",IF(COUNTIF(Clients!$B$6:$B$105,C1268)=0,"Not on Clients",IF(COUNT(D1268:M1268)=0,"Nothing measured","")))))</f>
        <v/>
      </c>
      <c r="P1268" s="1">
        <f>IF(AND(O1268="",ISNUMBER(B1268)),INT(B1268),0)</f>
        <v/>
      </c>
      <c r="Q1268">
        <f>IF(AND(P1268&gt;0,C1268=Report!$C$5),P1268*10000+ROW(),"")</f>
        <v/>
      </c>
      <c r="R1268">
        <f>IF(AND(Q1268&lt;&gt;"",ISNUMBER(D1268)),Q1268,"")</f>
        <v/>
      </c>
      <c r="S1268">
        <f>IF(AND(Q1268&lt;&gt;"",ISNUMBER(E1268)),Q1268,"")</f>
        <v/>
      </c>
      <c r="T1268">
        <f>IF(AND(Q1268&lt;&gt;"",ISNUMBER(F1268)),Q1268,"")</f>
        <v/>
      </c>
      <c r="U1268">
        <f>IF(AND(Q1268&lt;&gt;"",ISNUMBER(G1268)),Q1268,"")</f>
        <v/>
      </c>
      <c r="V1268">
        <f>IF(AND(Q1268&lt;&gt;"",ISNUMBER(H1268)),Q1268,"")</f>
        <v/>
      </c>
      <c r="W1268">
        <f>IF(AND(Q1268&lt;&gt;"",ISNUMBER(I1268)),Q1268,"")</f>
        <v/>
      </c>
      <c r="X1268">
        <f>IF(AND(Q1268&lt;&gt;"",ISNUMBER(J1268)),Q1268,"")</f>
        <v/>
      </c>
      <c r="Y1268">
        <f>IF(AND(Q1268&lt;&gt;"",ISNUMBER(K1268)),Q1268,"")</f>
        <v/>
      </c>
      <c r="Z1268">
        <f>IF(AND(Q1268&lt;&gt;"",ISNUMBER(L1268)),Q1268,"")</f>
        <v/>
      </c>
      <c r="AA1268">
        <f>IF(AND(Q1268&lt;&gt;"",ISNUMBER(M1268)),Q1268,"")</f>
        <v/>
      </c>
      <c r="AB1268">
        <f>IF(AND(Q1268&lt;&gt;"",ISNUMBER(K1268)),K1268,"")</f>
        <v/>
      </c>
      <c r="AC1268">
        <f>IF(AND(Q1268&lt;&gt;"",ISNUMBER(L1268)),L1268,"")</f>
        <v/>
      </c>
      <c r="AD1268">
        <f>IF(AND(Q1268&lt;&gt;"",ISNUMBER(M1268)),M1268,"")</f>
        <v/>
      </c>
    </row>
    <row r="1269">
      <c r="A1269" s="1" t="n"/>
      <c r="B1269" s="17" t="n"/>
      <c r="C1269" s="27" t="n"/>
      <c r="D1269" s="28" t="n"/>
      <c r="E1269" s="28" t="n"/>
      <c r="F1269" s="28" t="n"/>
      <c r="G1269" s="28" t="n"/>
      <c r="H1269" s="28" t="n"/>
      <c r="I1269" s="28" t="n"/>
      <c r="J1269" s="28" t="n"/>
      <c r="K1269" s="28" t="n"/>
      <c r="L1269" s="28" t="n"/>
      <c r="M1269" s="29" t="n"/>
      <c r="N1269" s="21" t="n"/>
      <c r="O1269" s="12">
        <f>IF(AND(B1269="",C1269=""),"",IF(NOT(ISNUMBER(B1269)),"Needs a date",IF(C1269="","Needs a client",IF(COUNTIF(Clients!$B$6:$B$105,C1269)=0,"Not on Clients",IF(COUNT(D1269:M1269)=0,"Nothing measured","")))))</f>
        <v/>
      </c>
      <c r="P1269" s="1">
        <f>IF(AND(O1269="",ISNUMBER(B1269)),INT(B1269),0)</f>
        <v/>
      </c>
      <c r="Q1269">
        <f>IF(AND(P1269&gt;0,C1269=Report!$C$5),P1269*10000+ROW(),"")</f>
        <v/>
      </c>
      <c r="R1269">
        <f>IF(AND(Q1269&lt;&gt;"",ISNUMBER(D1269)),Q1269,"")</f>
        <v/>
      </c>
      <c r="S1269">
        <f>IF(AND(Q1269&lt;&gt;"",ISNUMBER(E1269)),Q1269,"")</f>
        <v/>
      </c>
      <c r="T1269">
        <f>IF(AND(Q1269&lt;&gt;"",ISNUMBER(F1269)),Q1269,"")</f>
        <v/>
      </c>
      <c r="U1269">
        <f>IF(AND(Q1269&lt;&gt;"",ISNUMBER(G1269)),Q1269,"")</f>
        <v/>
      </c>
      <c r="V1269">
        <f>IF(AND(Q1269&lt;&gt;"",ISNUMBER(H1269)),Q1269,"")</f>
        <v/>
      </c>
      <c r="W1269">
        <f>IF(AND(Q1269&lt;&gt;"",ISNUMBER(I1269)),Q1269,"")</f>
        <v/>
      </c>
      <c r="X1269">
        <f>IF(AND(Q1269&lt;&gt;"",ISNUMBER(J1269)),Q1269,"")</f>
        <v/>
      </c>
      <c r="Y1269">
        <f>IF(AND(Q1269&lt;&gt;"",ISNUMBER(K1269)),Q1269,"")</f>
        <v/>
      </c>
      <c r="Z1269">
        <f>IF(AND(Q1269&lt;&gt;"",ISNUMBER(L1269)),Q1269,"")</f>
        <v/>
      </c>
      <c r="AA1269">
        <f>IF(AND(Q1269&lt;&gt;"",ISNUMBER(M1269)),Q1269,"")</f>
        <v/>
      </c>
      <c r="AB1269">
        <f>IF(AND(Q1269&lt;&gt;"",ISNUMBER(K1269)),K1269,"")</f>
        <v/>
      </c>
      <c r="AC1269">
        <f>IF(AND(Q1269&lt;&gt;"",ISNUMBER(L1269)),L1269,"")</f>
        <v/>
      </c>
      <c r="AD1269">
        <f>IF(AND(Q1269&lt;&gt;"",ISNUMBER(M1269)),M1269,"")</f>
        <v/>
      </c>
    </row>
    <row r="1270">
      <c r="A1270" s="1" t="n"/>
      <c r="B1270" s="17" t="n"/>
      <c r="C1270" s="27" t="n"/>
      <c r="D1270" s="28" t="n"/>
      <c r="E1270" s="28" t="n"/>
      <c r="F1270" s="28" t="n"/>
      <c r="G1270" s="28" t="n"/>
      <c r="H1270" s="28" t="n"/>
      <c r="I1270" s="28" t="n"/>
      <c r="J1270" s="28" t="n"/>
      <c r="K1270" s="28" t="n"/>
      <c r="L1270" s="28" t="n"/>
      <c r="M1270" s="29" t="n"/>
      <c r="N1270" s="21" t="n"/>
      <c r="O1270" s="12">
        <f>IF(AND(B1270="",C1270=""),"",IF(NOT(ISNUMBER(B1270)),"Needs a date",IF(C1270="","Needs a client",IF(COUNTIF(Clients!$B$6:$B$105,C1270)=0,"Not on Clients",IF(COUNT(D1270:M1270)=0,"Nothing measured","")))))</f>
        <v/>
      </c>
      <c r="P1270" s="1">
        <f>IF(AND(O1270="",ISNUMBER(B1270)),INT(B1270),0)</f>
        <v/>
      </c>
      <c r="Q1270">
        <f>IF(AND(P1270&gt;0,C1270=Report!$C$5),P1270*10000+ROW(),"")</f>
        <v/>
      </c>
      <c r="R1270">
        <f>IF(AND(Q1270&lt;&gt;"",ISNUMBER(D1270)),Q1270,"")</f>
        <v/>
      </c>
      <c r="S1270">
        <f>IF(AND(Q1270&lt;&gt;"",ISNUMBER(E1270)),Q1270,"")</f>
        <v/>
      </c>
      <c r="T1270">
        <f>IF(AND(Q1270&lt;&gt;"",ISNUMBER(F1270)),Q1270,"")</f>
        <v/>
      </c>
      <c r="U1270">
        <f>IF(AND(Q1270&lt;&gt;"",ISNUMBER(G1270)),Q1270,"")</f>
        <v/>
      </c>
      <c r="V1270">
        <f>IF(AND(Q1270&lt;&gt;"",ISNUMBER(H1270)),Q1270,"")</f>
        <v/>
      </c>
      <c r="W1270">
        <f>IF(AND(Q1270&lt;&gt;"",ISNUMBER(I1270)),Q1270,"")</f>
        <v/>
      </c>
      <c r="X1270">
        <f>IF(AND(Q1270&lt;&gt;"",ISNUMBER(J1270)),Q1270,"")</f>
        <v/>
      </c>
      <c r="Y1270">
        <f>IF(AND(Q1270&lt;&gt;"",ISNUMBER(K1270)),Q1270,"")</f>
        <v/>
      </c>
      <c r="Z1270">
        <f>IF(AND(Q1270&lt;&gt;"",ISNUMBER(L1270)),Q1270,"")</f>
        <v/>
      </c>
      <c r="AA1270">
        <f>IF(AND(Q1270&lt;&gt;"",ISNUMBER(M1270)),Q1270,"")</f>
        <v/>
      </c>
      <c r="AB1270">
        <f>IF(AND(Q1270&lt;&gt;"",ISNUMBER(K1270)),K1270,"")</f>
        <v/>
      </c>
      <c r="AC1270">
        <f>IF(AND(Q1270&lt;&gt;"",ISNUMBER(L1270)),L1270,"")</f>
        <v/>
      </c>
      <c r="AD1270">
        <f>IF(AND(Q1270&lt;&gt;"",ISNUMBER(M1270)),M1270,"")</f>
        <v/>
      </c>
    </row>
    <row r="1271">
      <c r="A1271" s="1" t="n"/>
      <c r="B1271" s="17" t="n"/>
      <c r="C1271" s="27" t="n"/>
      <c r="D1271" s="28" t="n"/>
      <c r="E1271" s="28" t="n"/>
      <c r="F1271" s="28" t="n"/>
      <c r="G1271" s="28" t="n"/>
      <c r="H1271" s="28" t="n"/>
      <c r="I1271" s="28" t="n"/>
      <c r="J1271" s="28" t="n"/>
      <c r="K1271" s="28" t="n"/>
      <c r="L1271" s="28" t="n"/>
      <c r="M1271" s="29" t="n"/>
      <c r="N1271" s="21" t="n"/>
      <c r="O1271" s="12">
        <f>IF(AND(B1271="",C1271=""),"",IF(NOT(ISNUMBER(B1271)),"Needs a date",IF(C1271="","Needs a client",IF(COUNTIF(Clients!$B$6:$B$105,C1271)=0,"Not on Clients",IF(COUNT(D1271:M1271)=0,"Nothing measured","")))))</f>
        <v/>
      </c>
      <c r="P1271" s="1">
        <f>IF(AND(O1271="",ISNUMBER(B1271)),INT(B1271),0)</f>
        <v/>
      </c>
      <c r="Q1271">
        <f>IF(AND(P1271&gt;0,C1271=Report!$C$5),P1271*10000+ROW(),"")</f>
        <v/>
      </c>
      <c r="R1271">
        <f>IF(AND(Q1271&lt;&gt;"",ISNUMBER(D1271)),Q1271,"")</f>
        <v/>
      </c>
      <c r="S1271">
        <f>IF(AND(Q1271&lt;&gt;"",ISNUMBER(E1271)),Q1271,"")</f>
        <v/>
      </c>
      <c r="T1271">
        <f>IF(AND(Q1271&lt;&gt;"",ISNUMBER(F1271)),Q1271,"")</f>
        <v/>
      </c>
      <c r="U1271">
        <f>IF(AND(Q1271&lt;&gt;"",ISNUMBER(G1271)),Q1271,"")</f>
        <v/>
      </c>
      <c r="V1271">
        <f>IF(AND(Q1271&lt;&gt;"",ISNUMBER(H1271)),Q1271,"")</f>
        <v/>
      </c>
      <c r="W1271">
        <f>IF(AND(Q1271&lt;&gt;"",ISNUMBER(I1271)),Q1271,"")</f>
        <v/>
      </c>
      <c r="X1271">
        <f>IF(AND(Q1271&lt;&gt;"",ISNUMBER(J1271)),Q1271,"")</f>
        <v/>
      </c>
      <c r="Y1271">
        <f>IF(AND(Q1271&lt;&gt;"",ISNUMBER(K1271)),Q1271,"")</f>
        <v/>
      </c>
      <c r="Z1271">
        <f>IF(AND(Q1271&lt;&gt;"",ISNUMBER(L1271)),Q1271,"")</f>
        <v/>
      </c>
      <c r="AA1271">
        <f>IF(AND(Q1271&lt;&gt;"",ISNUMBER(M1271)),Q1271,"")</f>
        <v/>
      </c>
      <c r="AB1271">
        <f>IF(AND(Q1271&lt;&gt;"",ISNUMBER(K1271)),K1271,"")</f>
        <v/>
      </c>
      <c r="AC1271">
        <f>IF(AND(Q1271&lt;&gt;"",ISNUMBER(L1271)),L1271,"")</f>
        <v/>
      </c>
      <c r="AD1271">
        <f>IF(AND(Q1271&lt;&gt;"",ISNUMBER(M1271)),M1271,"")</f>
        <v/>
      </c>
    </row>
    <row r="1272">
      <c r="A1272" s="1" t="n"/>
      <c r="B1272" s="17" t="n"/>
      <c r="C1272" s="27" t="n"/>
      <c r="D1272" s="28" t="n"/>
      <c r="E1272" s="28" t="n"/>
      <c r="F1272" s="28" t="n"/>
      <c r="G1272" s="28" t="n"/>
      <c r="H1272" s="28" t="n"/>
      <c r="I1272" s="28" t="n"/>
      <c r="J1272" s="28" t="n"/>
      <c r="K1272" s="28" t="n"/>
      <c r="L1272" s="28" t="n"/>
      <c r="M1272" s="29" t="n"/>
      <c r="N1272" s="21" t="n"/>
      <c r="O1272" s="12">
        <f>IF(AND(B1272="",C1272=""),"",IF(NOT(ISNUMBER(B1272)),"Needs a date",IF(C1272="","Needs a client",IF(COUNTIF(Clients!$B$6:$B$105,C1272)=0,"Not on Clients",IF(COUNT(D1272:M1272)=0,"Nothing measured","")))))</f>
        <v/>
      </c>
      <c r="P1272" s="1">
        <f>IF(AND(O1272="",ISNUMBER(B1272)),INT(B1272),0)</f>
        <v/>
      </c>
      <c r="Q1272">
        <f>IF(AND(P1272&gt;0,C1272=Report!$C$5),P1272*10000+ROW(),"")</f>
        <v/>
      </c>
      <c r="R1272">
        <f>IF(AND(Q1272&lt;&gt;"",ISNUMBER(D1272)),Q1272,"")</f>
        <v/>
      </c>
      <c r="S1272">
        <f>IF(AND(Q1272&lt;&gt;"",ISNUMBER(E1272)),Q1272,"")</f>
        <v/>
      </c>
      <c r="T1272">
        <f>IF(AND(Q1272&lt;&gt;"",ISNUMBER(F1272)),Q1272,"")</f>
        <v/>
      </c>
      <c r="U1272">
        <f>IF(AND(Q1272&lt;&gt;"",ISNUMBER(G1272)),Q1272,"")</f>
        <v/>
      </c>
      <c r="V1272">
        <f>IF(AND(Q1272&lt;&gt;"",ISNUMBER(H1272)),Q1272,"")</f>
        <v/>
      </c>
      <c r="W1272">
        <f>IF(AND(Q1272&lt;&gt;"",ISNUMBER(I1272)),Q1272,"")</f>
        <v/>
      </c>
      <c r="X1272">
        <f>IF(AND(Q1272&lt;&gt;"",ISNUMBER(J1272)),Q1272,"")</f>
        <v/>
      </c>
      <c r="Y1272">
        <f>IF(AND(Q1272&lt;&gt;"",ISNUMBER(K1272)),Q1272,"")</f>
        <v/>
      </c>
      <c r="Z1272">
        <f>IF(AND(Q1272&lt;&gt;"",ISNUMBER(L1272)),Q1272,"")</f>
        <v/>
      </c>
      <c r="AA1272">
        <f>IF(AND(Q1272&lt;&gt;"",ISNUMBER(M1272)),Q1272,"")</f>
        <v/>
      </c>
      <c r="AB1272">
        <f>IF(AND(Q1272&lt;&gt;"",ISNUMBER(K1272)),K1272,"")</f>
        <v/>
      </c>
      <c r="AC1272">
        <f>IF(AND(Q1272&lt;&gt;"",ISNUMBER(L1272)),L1272,"")</f>
        <v/>
      </c>
      <c r="AD1272">
        <f>IF(AND(Q1272&lt;&gt;"",ISNUMBER(M1272)),M1272,"")</f>
        <v/>
      </c>
    </row>
    <row r="1273">
      <c r="A1273" s="1" t="n"/>
      <c r="B1273" s="17" t="n"/>
      <c r="C1273" s="27" t="n"/>
      <c r="D1273" s="28" t="n"/>
      <c r="E1273" s="28" t="n"/>
      <c r="F1273" s="28" t="n"/>
      <c r="G1273" s="28" t="n"/>
      <c r="H1273" s="28" t="n"/>
      <c r="I1273" s="28" t="n"/>
      <c r="J1273" s="28" t="n"/>
      <c r="K1273" s="28" t="n"/>
      <c r="L1273" s="28" t="n"/>
      <c r="M1273" s="29" t="n"/>
      <c r="N1273" s="21" t="n"/>
      <c r="O1273" s="12">
        <f>IF(AND(B1273="",C1273=""),"",IF(NOT(ISNUMBER(B1273)),"Needs a date",IF(C1273="","Needs a client",IF(COUNTIF(Clients!$B$6:$B$105,C1273)=0,"Not on Clients",IF(COUNT(D1273:M1273)=0,"Nothing measured","")))))</f>
        <v/>
      </c>
      <c r="P1273" s="1">
        <f>IF(AND(O1273="",ISNUMBER(B1273)),INT(B1273),0)</f>
        <v/>
      </c>
      <c r="Q1273">
        <f>IF(AND(P1273&gt;0,C1273=Report!$C$5),P1273*10000+ROW(),"")</f>
        <v/>
      </c>
      <c r="R1273">
        <f>IF(AND(Q1273&lt;&gt;"",ISNUMBER(D1273)),Q1273,"")</f>
        <v/>
      </c>
      <c r="S1273">
        <f>IF(AND(Q1273&lt;&gt;"",ISNUMBER(E1273)),Q1273,"")</f>
        <v/>
      </c>
      <c r="T1273">
        <f>IF(AND(Q1273&lt;&gt;"",ISNUMBER(F1273)),Q1273,"")</f>
        <v/>
      </c>
      <c r="U1273">
        <f>IF(AND(Q1273&lt;&gt;"",ISNUMBER(G1273)),Q1273,"")</f>
        <v/>
      </c>
      <c r="V1273">
        <f>IF(AND(Q1273&lt;&gt;"",ISNUMBER(H1273)),Q1273,"")</f>
        <v/>
      </c>
      <c r="W1273">
        <f>IF(AND(Q1273&lt;&gt;"",ISNUMBER(I1273)),Q1273,"")</f>
        <v/>
      </c>
      <c r="X1273">
        <f>IF(AND(Q1273&lt;&gt;"",ISNUMBER(J1273)),Q1273,"")</f>
        <v/>
      </c>
      <c r="Y1273">
        <f>IF(AND(Q1273&lt;&gt;"",ISNUMBER(K1273)),Q1273,"")</f>
        <v/>
      </c>
      <c r="Z1273">
        <f>IF(AND(Q1273&lt;&gt;"",ISNUMBER(L1273)),Q1273,"")</f>
        <v/>
      </c>
      <c r="AA1273">
        <f>IF(AND(Q1273&lt;&gt;"",ISNUMBER(M1273)),Q1273,"")</f>
        <v/>
      </c>
      <c r="AB1273">
        <f>IF(AND(Q1273&lt;&gt;"",ISNUMBER(K1273)),K1273,"")</f>
        <v/>
      </c>
      <c r="AC1273">
        <f>IF(AND(Q1273&lt;&gt;"",ISNUMBER(L1273)),L1273,"")</f>
        <v/>
      </c>
      <c r="AD1273">
        <f>IF(AND(Q1273&lt;&gt;"",ISNUMBER(M1273)),M1273,"")</f>
        <v/>
      </c>
    </row>
    <row r="1274">
      <c r="A1274" s="1" t="n"/>
      <c r="B1274" s="17" t="n"/>
      <c r="C1274" s="27" t="n"/>
      <c r="D1274" s="28" t="n"/>
      <c r="E1274" s="28" t="n"/>
      <c r="F1274" s="28" t="n"/>
      <c r="G1274" s="28" t="n"/>
      <c r="H1274" s="28" t="n"/>
      <c r="I1274" s="28" t="n"/>
      <c r="J1274" s="28" t="n"/>
      <c r="K1274" s="28" t="n"/>
      <c r="L1274" s="28" t="n"/>
      <c r="M1274" s="29" t="n"/>
      <c r="N1274" s="21" t="n"/>
      <c r="O1274" s="12">
        <f>IF(AND(B1274="",C1274=""),"",IF(NOT(ISNUMBER(B1274)),"Needs a date",IF(C1274="","Needs a client",IF(COUNTIF(Clients!$B$6:$B$105,C1274)=0,"Not on Clients",IF(COUNT(D1274:M1274)=0,"Nothing measured","")))))</f>
        <v/>
      </c>
      <c r="P1274" s="1">
        <f>IF(AND(O1274="",ISNUMBER(B1274)),INT(B1274),0)</f>
        <v/>
      </c>
      <c r="Q1274">
        <f>IF(AND(P1274&gt;0,C1274=Report!$C$5),P1274*10000+ROW(),"")</f>
        <v/>
      </c>
      <c r="R1274">
        <f>IF(AND(Q1274&lt;&gt;"",ISNUMBER(D1274)),Q1274,"")</f>
        <v/>
      </c>
      <c r="S1274">
        <f>IF(AND(Q1274&lt;&gt;"",ISNUMBER(E1274)),Q1274,"")</f>
        <v/>
      </c>
      <c r="T1274">
        <f>IF(AND(Q1274&lt;&gt;"",ISNUMBER(F1274)),Q1274,"")</f>
        <v/>
      </c>
      <c r="U1274">
        <f>IF(AND(Q1274&lt;&gt;"",ISNUMBER(G1274)),Q1274,"")</f>
        <v/>
      </c>
      <c r="V1274">
        <f>IF(AND(Q1274&lt;&gt;"",ISNUMBER(H1274)),Q1274,"")</f>
        <v/>
      </c>
      <c r="W1274">
        <f>IF(AND(Q1274&lt;&gt;"",ISNUMBER(I1274)),Q1274,"")</f>
        <v/>
      </c>
      <c r="X1274">
        <f>IF(AND(Q1274&lt;&gt;"",ISNUMBER(J1274)),Q1274,"")</f>
        <v/>
      </c>
      <c r="Y1274">
        <f>IF(AND(Q1274&lt;&gt;"",ISNUMBER(K1274)),Q1274,"")</f>
        <v/>
      </c>
      <c r="Z1274">
        <f>IF(AND(Q1274&lt;&gt;"",ISNUMBER(L1274)),Q1274,"")</f>
        <v/>
      </c>
      <c r="AA1274">
        <f>IF(AND(Q1274&lt;&gt;"",ISNUMBER(M1274)),Q1274,"")</f>
        <v/>
      </c>
      <c r="AB1274">
        <f>IF(AND(Q1274&lt;&gt;"",ISNUMBER(K1274)),K1274,"")</f>
        <v/>
      </c>
      <c r="AC1274">
        <f>IF(AND(Q1274&lt;&gt;"",ISNUMBER(L1274)),L1274,"")</f>
        <v/>
      </c>
      <c r="AD1274">
        <f>IF(AND(Q1274&lt;&gt;"",ISNUMBER(M1274)),M1274,"")</f>
        <v/>
      </c>
    </row>
    <row r="1275">
      <c r="A1275" s="1" t="n"/>
      <c r="B1275" s="17" t="n"/>
      <c r="C1275" s="27" t="n"/>
      <c r="D1275" s="28" t="n"/>
      <c r="E1275" s="28" t="n"/>
      <c r="F1275" s="28" t="n"/>
      <c r="G1275" s="28" t="n"/>
      <c r="H1275" s="28" t="n"/>
      <c r="I1275" s="28" t="n"/>
      <c r="J1275" s="28" t="n"/>
      <c r="K1275" s="28" t="n"/>
      <c r="L1275" s="28" t="n"/>
      <c r="M1275" s="29" t="n"/>
      <c r="N1275" s="21" t="n"/>
      <c r="O1275" s="12">
        <f>IF(AND(B1275="",C1275=""),"",IF(NOT(ISNUMBER(B1275)),"Needs a date",IF(C1275="","Needs a client",IF(COUNTIF(Clients!$B$6:$B$105,C1275)=0,"Not on Clients",IF(COUNT(D1275:M1275)=0,"Nothing measured","")))))</f>
        <v/>
      </c>
      <c r="P1275" s="1">
        <f>IF(AND(O1275="",ISNUMBER(B1275)),INT(B1275),0)</f>
        <v/>
      </c>
      <c r="Q1275">
        <f>IF(AND(P1275&gt;0,C1275=Report!$C$5),P1275*10000+ROW(),"")</f>
        <v/>
      </c>
      <c r="R1275">
        <f>IF(AND(Q1275&lt;&gt;"",ISNUMBER(D1275)),Q1275,"")</f>
        <v/>
      </c>
      <c r="S1275">
        <f>IF(AND(Q1275&lt;&gt;"",ISNUMBER(E1275)),Q1275,"")</f>
        <v/>
      </c>
      <c r="T1275">
        <f>IF(AND(Q1275&lt;&gt;"",ISNUMBER(F1275)),Q1275,"")</f>
        <v/>
      </c>
      <c r="U1275">
        <f>IF(AND(Q1275&lt;&gt;"",ISNUMBER(G1275)),Q1275,"")</f>
        <v/>
      </c>
      <c r="V1275">
        <f>IF(AND(Q1275&lt;&gt;"",ISNUMBER(H1275)),Q1275,"")</f>
        <v/>
      </c>
      <c r="W1275">
        <f>IF(AND(Q1275&lt;&gt;"",ISNUMBER(I1275)),Q1275,"")</f>
        <v/>
      </c>
      <c r="X1275">
        <f>IF(AND(Q1275&lt;&gt;"",ISNUMBER(J1275)),Q1275,"")</f>
        <v/>
      </c>
      <c r="Y1275">
        <f>IF(AND(Q1275&lt;&gt;"",ISNUMBER(K1275)),Q1275,"")</f>
        <v/>
      </c>
      <c r="Z1275">
        <f>IF(AND(Q1275&lt;&gt;"",ISNUMBER(L1275)),Q1275,"")</f>
        <v/>
      </c>
      <c r="AA1275">
        <f>IF(AND(Q1275&lt;&gt;"",ISNUMBER(M1275)),Q1275,"")</f>
        <v/>
      </c>
      <c r="AB1275">
        <f>IF(AND(Q1275&lt;&gt;"",ISNUMBER(K1275)),K1275,"")</f>
        <v/>
      </c>
      <c r="AC1275">
        <f>IF(AND(Q1275&lt;&gt;"",ISNUMBER(L1275)),L1275,"")</f>
        <v/>
      </c>
      <c r="AD1275">
        <f>IF(AND(Q1275&lt;&gt;"",ISNUMBER(M1275)),M1275,"")</f>
        <v/>
      </c>
    </row>
    <row r="1276">
      <c r="A1276" s="1" t="n"/>
      <c r="B1276" s="17" t="n"/>
      <c r="C1276" s="27" t="n"/>
      <c r="D1276" s="28" t="n"/>
      <c r="E1276" s="28" t="n"/>
      <c r="F1276" s="28" t="n"/>
      <c r="G1276" s="28" t="n"/>
      <c r="H1276" s="28" t="n"/>
      <c r="I1276" s="28" t="n"/>
      <c r="J1276" s="28" t="n"/>
      <c r="K1276" s="28" t="n"/>
      <c r="L1276" s="28" t="n"/>
      <c r="M1276" s="29" t="n"/>
      <c r="N1276" s="21" t="n"/>
      <c r="O1276" s="12">
        <f>IF(AND(B1276="",C1276=""),"",IF(NOT(ISNUMBER(B1276)),"Needs a date",IF(C1276="","Needs a client",IF(COUNTIF(Clients!$B$6:$B$105,C1276)=0,"Not on Clients",IF(COUNT(D1276:M1276)=0,"Nothing measured","")))))</f>
        <v/>
      </c>
      <c r="P1276" s="1">
        <f>IF(AND(O1276="",ISNUMBER(B1276)),INT(B1276),0)</f>
        <v/>
      </c>
      <c r="Q1276">
        <f>IF(AND(P1276&gt;0,C1276=Report!$C$5),P1276*10000+ROW(),"")</f>
        <v/>
      </c>
      <c r="R1276">
        <f>IF(AND(Q1276&lt;&gt;"",ISNUMBER(D1276)),Q1276,"")</f>
        <v/>
      </c>
      <c r="S1276">
        <f>IF(AND(Q1276&lt;&gt;"",ISNUMBER(E1276)),Q1276,"")</f>
        <v/>
      </c>
      <c r="T1276">
        <f>IF(AND(Q1276&lt;&gt;"",ISNUMBER(F1276)),Q1276,"")</f>
        <v/>
      </c>
      <c r="U1276">
        <f>IF(AND(Q1276&lt;&gt;"",ISNUMBER(G1276)),Q1276,"")</f>
        <v/>
      </c>
      <c r="V1276">
        <f>IF(AND(Q1276&lt;&gt;"",ISNUMBER(H1276)),Q1276,"")</f>
        <v/>
      </c>
      <c r="W1276">
        <f>IF(AND(Q1276&lt;&gt;"",ISNUMBER(I1276)),Q1276,"")</f>
        <v/>
      </c>
      <c r="X1276">
        <f>IF(AND(Q1276&lt;&gt;"",ISNUMBER(J1276)),Q1276,"")</f>
        <v/>
      </c>
      <c r="Y1276">
        <f>IF(AND(Q1276&lt;&gt;"",ISNUMBER(K1276)),Q1276,"")</f>
        <v/>
      </c>
      <c r="Z1276">
        <f>IF(AND(Q1276&lt;&gt;"",ISNUMBER(L1276)),Q1276,"")</f>
        <v/>
      </c>
      <c r="AA1276">
        <f>IF(AND(Q1276&lt;&gt;"",ISNUMBER(M1276)),Q1276,"")</f>
        <v/>
      </c>
      <c r="AB1276">
        <f>IF(AND(Q1276&lt;&gt;"",ISNUMBER(K1276)),K1276,"")</f>
        <v/>
      </c>
      <c r="AC1276">
        <f>IF(AND(Q1276&lt;&gt;"",ISNUMBER(L1276)),L1276,"")</f>
        <v/>
      </c>
      <c r="AD1276">
        <f>IF(AND(Q1276&lt;&gt;"",ISNUMBER(M1276)),M1276,"")</f>
        <v/>
      </c>
    </row>
    <row r="1277">
      <c r="A1277" s="1" t="n"/>
      <c r="B1277" s="17" t="n"/>
      <c r="C1277" s="27" t="n"/>
      <c r="D1277" s="28" t="n"/>
      <c r="E1277" s="28" t="n"/>
      <c r="F1277" s="28" t="n"/>
      <c r="G1277" s="28" t="n"/>
      <c r="H1277" s="28" t="n"/>
      <c r="I1277" s="28" t="n"/>
      <c r="J1277" s="28" t="n"/>
      <c r="K1277" s="28" t="n"/>
      <c r="L1277" s="28" t="n"/>
      <c r="M1277" s="29" t="n"/>
      <c r="N1277" s="21" t="n"/>
      <c r="O1277" s="12">
        <f>IF(AND(B1277="",C1277=""),"",IF(NOT(ISNUMBER(B1277)),"Needs a date",IF(C1277="","Needs a client",IF(COUNTIF(Clients!$B$6:$B$105,C1277)=0,"Not on Clients",IF(COUNT(D1277:M1277)=0,"Nothing measured","")))))</f>
        <v/>
      </c>
      <c r="P1277" s="1">
        <f>IF(AND(O1277="",ISNUMBER(B1277)),INT(B1277),0)</f>
        <v/>
      </c>
      <c r="Q1277">
        <f>IF(AND(P1277&gt;0,C1277=Report!$C$5),P1277*10000+ROW(),"")</f>
        <v/>
      </c>
      <c r="R1277">
        <f>IF(AND(Q1277&lt;&gt;"",ISNUMBER(D1277)),Q1277,"")</f>
        <v/>
      </c>
      <c r="S1277">
        <f>IF(AND(Q1277&lt;&gt;"",ISNUMBER(E1277)),Q1277,"")</f>
        <v/>
      </c>
      <c r="T1277">
        <f>IF(AND(Q1277&lt;&gt;"",ISNUMBER(F1277)),Q1277,"")</f>
        <v/>
      </c>
      <c r="U1277">
        <f>IF(AND(Q1277&lt;&gt;"",ISNUMBER(G1277)),Q1277,"")</f>
        <v/>
      </c>
      <c r="V1277">
        <f>IF(AND(Q1277&lt;&gt;"",ISNUMBER(H1277)),Q1277,"")</f>
        <v/>
      </c>
      <c r="W1277">
        <f>IF(AND(Q1277&lt;&gt;"",ISNUMBER(I1277)),Q1277,"")</f>
        <v/>
      </c>
      <c r="X1277">
        <f>IF(AND(Q1277&lt;&gt;"",ISNUMBER(J1277)),Q1277,"")</f>
        <v/>
      </c>
      <c r="Y1277">
        <f>IF(AND(Q1277&lt;&gt;"",ISNUMBER(K1277)),Q1277,"")</f>
        <v/>
      </c>
      <c r="Z1277">
        <f>IF(AND(Q1277&lt;&gt;"",ISNUMBER(L1277)),Q1277,"")</f>
        <v/>
      </c>
      <c r="AA1277">
        <f>IF(AND(Q1277&lt;&gt;"",ISNUMBER(M1277)),Q1277,"")</f>
        <v/>
      </c>
      <c r="AB1277">
        <f>IF(AND(Q1277&lt;&gt;"",ISNUMBER(K1277)),K1277,"")</f>
        <v/>
      </c>
      <c r="AC1277">
        <f>IF(AND(Q1277&lt;&gt;"",ISNUMBER(L1277)),L1277,"")</f>
        <v/>
      </c>
      <c r="AD1277">
        <f>IF(AND(Q1277&lt;&gt;"",ISNUMBER(M1277)),M1277,"")</f>
        <v/>
      </c>
    </row>
    <row r="1278">
      <c r="A1278" s="1" t="n"/>
      <c r="B1278" s="17" t="n"/>
      <c r="C1278" s="27" t="n"/>
      <c r="D1278" s="28" t="n"/>
      <c r="E1278" s="28" t="n"/>
      <c r="F1278" s="28" t="n"/>
      <c r="G1278" s="28" t="n"/>
      <c r="H1278" s="28" t="n"/>
      <c r="I1278" s="28" t="n"/>
      <c r="J1278" s="28" t="n"/>
      <c r="K1278" s="28" t="n"/>
      <c r="L1278" s="28" t="n"/>
      <c r="M1278" s="29" t="n"/>
      <c r="N1278" s="21" t="n"/>
      <c r="O1278" s="12">
        <f>IF(AND(B1278="",C1278=""),"",IF(NOT(ISNUMBER(B1278)),"Needs a date",IF(C1278="","Needs a client",IF(COUNTIF(Clients!$B$6:$B$105,C1278)=0,"Not on Clients",IF(COUNT(D1278:M1278)=0,"Nothing measured","")))))</f>
        <v/>
      </c>
      <c r="P1278" s="1">
        <f>IF(AND(O1278="",ISNUMBER(B1278)),INT(B1278),0)</f>
        <v/>
      </c>
      <c r="Q1278">
        <f>IF(AND(P1278&gt;0,C1278=Report!$C$5),P1278*10000+ROW(),"")</f>
        <v/>
      </c>
      <c r="R1278">
        <f>IF(AND(Q1278&lt;&gt;"",ISNUMBER(D1278)),Q1278,"")</f>
        <v/>
      </c>
      <c r="S1278">
        <f>IF(AND(Q1278&lt;&gt;"",ISNUMBER(E1278)),Q1278,"")</f>
        <v/>
      </c>
      <c r="T1278">
        <f>IF(AND(Q1278&lt;&gt;"",ISNUMBER(F1278)),Q1278,"")</f>
        <v/>
      </c>
      <c r="U1278">
        <f>IF(AND(Q1278&lt;&gt;"",ISNUMBER(G1278)),Q1278,"")</f>
        <v/>
      </c>
      <c r="V1278">
        <f>IF(AND(Q1278&lt;&gt;"",ISNUMBER(H1278)),Q1278,"")</f>
        <v/>
      </c>
      <c r="W1278">
        <f>IF(AND(Q1278&lt;&gt;"",ISNUMBER(I1278)),Q1278,"")</f>
        <v/>
      </c>
      <c r="X1278">
        <f>IF(AND(Q1278&lt;&gt;"",ISNUMBER(J1278)),Q1278,"")</f>
        <v/>
      </c>
      <c r="Y1278">
        <f>IF(AND(Q1278&lt;&gt;"",ISNUMBER(K1278)),Q1278,"")</f>
        <v/>
      </c>
      <c r="Z1278">
        <f>IF(AND(Q1278&lt;&gt;"",ISNUMBER(L1278)),Q1278,"")</f>
        <v/>
      </c>
      <c r="AA1278">
        <f>IF(AND(Q1278&lt;&gt;"",ISNUMBER(M1278)),Q1278,"")</f>
        <v/>
      </c>
      <c r="AB1278">
        <f>IF(AND(Q1278&lt;&gt;"",ISNUMBER(K1278)),K1278,"")</f>
        <v/>
      </c>
      <c r="AC1278">
        <f>IF(AND(Q1278&lt;&gt;"",ISNUMBER(L1278)),L1278,"")</f>
        <v/>
      </c>
      <c r="AD1278">
        <f>IF(AND(Q1278&lt;&gt;"",ISNUMBER(M1278)),M1278,"")</f>
        <v/>
      </c>
    </row>
    <row r="1279">
      <c r="A1279" s="1" t="n"/>
      <c r="B1279" s="17" t="n"/>
      <c r="C1279" s="27" t="n"/>
      <c r="D1279" s="28" t="n"/>
      <c r="E1279" s="28" t="n"/>
      <c r="F1279" s="28" t="n"/>
      <c r="G1279" s="28" t="n"/>
      <c r="H1279" s="28" t="n"/>
      <c r="I1279" s="28" t="n"/>
      <c r="J1279" s="28" t="n"/>
      <c r="K1279" s="28" t="n"/>
      <c r="L1279" s="28" t="n"/>
      <c r="M1279" s="29" t="n"/>
      <c r="N1279" s="21" t="n"/>
      <c r="O1279" s="12">
        <f>IF(AND(B1279="",C1279=""),"",IF(NOT(ISNUMBER(B1279)),"Needs a date",IF(C1279="","Needs a client",IF(COUNTIF(Clients!$B$6:$B$105,C1279)=0,"Not on Clients",IF(COUNT(D1279:M1279)=0,"Nothing measured","")))))</f>
        <v/>
      </c>
      <c r="P1279" s="1">
        <f>IF(AND(O1279="",ISNUMBER(B1279)),INT(B1279),0)</f>
        <v/>
      </c>
      <c r="Q1279">
        <f>IF(AND(P1279&gt;0,C1279=Report!$C$5),P1279*10000+ROW(),"")</f>
        <v/>
      </c>
      <c r="R1279">
        <f>IF(AND(Q1279&lt;&gt;"",ISNUMBER(D1279)),Q1279,"")</f>
        <v/>
      </c>
      <c r="S1279">
        <f>IF(AND(Q1279&lt;&gt;"",ISNUMBER(E1279)),Q1279,"")</f>
        <v/>
      </c>
      <c r="T1279">
        <f>IF(AND(Q1279&lt;&gt;"",ISNUMBER(F1279)),Q1279,"")</f>
        <v/>
      </c>
      <c r="U1279">
        <f>IF(AND(Q1279&lt;&gt;"",ISNUMBER(G1279)),Q1279,"")</f>
        <v/>
      </c>
      <c r="V1279">
        <f>IF(AND(Q1279&lt;&gt;"",ISNUMBER(H1279)),Q1279,"")</f>
        <v/>
      </c>
      <c r="W1279">
        <f>IF(AND(Q1279&lt;&gt;"",ISNUMBER(I1279)),Q1279,"")</f>
        <v/>
      </c>
      <c r="X1279">
        <f>IF(AND(Q1279&lt;&gt;"",ISNUMBER(J1279)),Q1279,"")</f>
        <v/>
      </c>
      <c r="Y1279">
        <f>IF(AND(Q1279&lt;&gt;"",ISNUMBER(K1279)),Q1279,"")</f>
        <v/>
      </c>
      <c r="Z1279">
        <f>IF(AND(Q1279&lt;&gt;"",ISNUMBER(L1279)),Q1279,"")</f>
        <v/>
      </c>
      <c r="AA1279">
        <f>IF(AND(Q1279&lt;&gt;"",ISNUMBER(M1279)),Q1279,"")</f>
        <v/>
      </c>
      <c r="AB1279">
        <f>IF(AND(Q1279&lt;&gt;"",ISNUMBER(K1279)),K1279,"")</f>
        <v/>
      </c>
      <c r="AC1279">
        <f>IF(AND(Q1279&lt;&gt;"",ISNUMBER(L1279)),L1279,"")</f>
        <v/>
      </c>
      <c r="AD1279">
        <f>IF(AND(Q1279&lt;&gt;"",ISNUMBER(M1279)),M1279,"")</f>
        <v/>
      </c>
    </row>
    <row r="1280">
      <c r="A1280" s="1" t="n"/>
      <c r="B1280" s="17" t="n"/>
      <c r="C1280" s="27" t="n"/>
      <c r="D1280" s="28" t="n"/>
      <c r="E1280" s="28" t="n"/>
      <c r="F1280" s="28" t="n"/>
      <c r="G1280" s="28" t="n"/>
      <c r="H1280" s="28" t="n"/>
      <c r="I1280" s="28" t="n"/>
      <c r="J1280" s="28" t="n"/>
      <c r="K1280" s="28" t="n"/>
      <c r="L1280" s="28" t="n"/>
      <c r="M1280" s="29" t="n"/>
      <c r="N1280" s="21" t="n"/>
      <c r="O1280" s="12">
        <f>IF(AND(B1280="",C1280=""),"",IF(NOT(ISNUMBER(B1280)),"Needs a date",IF(C1280="","Needs a client",IF(COUNTIF(Clients!$B$6:$B$105,C1280)=0,"Not on Clients",IF(COUNT(D1280:M1280)=0,"Nothing measured","")))))</f>
        <v/>
      </c>
      <c r="P1280" s="1">
        <f>IF(AND(O1280="",ISNUMBER(B1280)),INT(B1280),0)</f>
        <v/>
      </c>
      <c r="Q1280">
        <f>IF(AND(P1280&gt;0,C1280=Report!$C$5),P1280*10000+ROW(),"")</f>
        <v/>
      </c>
      <c r="R1280">
        <f>IF(AND(Q1280&lt;&gt;"",ISNUMBER(D1280)),Q1280,"")</f>
        <v/>
      </c>
      <c r="S1280">
        <f>IF(AND(Q1280&lt;&gt;"",ISNUMBER(E1280)),Q1280,"")</f>
        <v/>
      </c>
      <c r="T1280">
        <f>IF(AND(Q1280&lt;&gt;"",ISNUMBER(F1280)),Q1280,"")</f>
        <v/>
      </c>
      <c r="U1280">
        <f>IF(AND(Q1280&lt;&gt;"",ISNUMBER(G1280)),Q1280,"")</f>
        <v/>
      </c>
      <c r="V1280">
        <f>IF(AND(Q1280&lt;&gt;"",ISNUMBER(H1280)),Q1280,"")</f>
        <v/>
      </c>
      <c r="W1280">
        <f>IF(AND(Q1280&lt;&gt;"",ISNUMBER(I1280)),Q1280,"")</f>
        <v/>
      </c>
      <c r="X1280">
        <f>IF(AND(Q1280&lt;&gt;"",ISNUMBER(J1280)),Q1280,"")</f>
        <v/>
      </c>
      <c r="Y1280">
        <f>IF(AND(Q1280&lt;&gt;"",ISNUMBER(K1280)),Q1280,"")</f>
        <v/>
      </c>
      <c r="Z1280">
        <f>IF(AND(Q1280&lt;&gt;"",ISNUMBER(L1280)),Q1280,"")</f>
        <v/>
      </c>
      <c r="AA1280">
        <f>IF(AND(Q1280&lt;&gt;"",ISNUMBER(M1280)),Q1280,"")</f>
        <v/>
      </c>
      <c r="AB1280">
        <f>IF(AND(Q1280&lt;&gt;"",ISNUMBER(K1280)),K1280,"")</f>
        <v/>
      </c>
      <c r="AC1280">
        <f>IF(AND(Q1280&lt;&gt;"",ISNUMBER(L1280)),L1280,"")</f>
        <v/>
      </c>
      <c r="AD1280">
        <f>IF(AND(Q1280&lt;&gt;"",ISNUMBER(M1280)),M1280,"")</f>
        <v/>
      </c>
    </row>
    <row r="1281">
      <c r="A1281" s="1" t="n"/>
      <c r="B1281" s="17" t="n"/>
      <c r="C1281" s="27" t="n"/>
      <c r="D1281" s="28" t="n"/>
      <c r="E1281" s="28" t="n"/>
      <c r="F1281" s="28" t="n"/>
      <c r="G1281" s="28" t="n"/>
      <c r="H1281" s="28" t="n"/>
      <c r="I1281" s="28" t="n"/>
      <c r="J1281" s="28" t="n"/>
      <c r="K1281" s="28" t="n"/>
      <c r="L1281" s="28" t="n"/>
      <c r="M1281" s="29" t="n"/>
      <c r="N1281" s="21" t="n"/>
      <c r="O1281" s="12">
        <f>IF(AND(B1281="",C1281=""),"",IF(NOT(ISNUMBER(B1281)),"Needs a date",IF(C1281="","Needs a client",IF(COUNTIF(Clients!$B$6:$B$105,C1281)=0,"Not on Clients",IF(COUNT(D1281:M1281)=0,"Nothing measured","")))))</f>
        <v/>
      </c>
      <c r="P1281" s="1">
        <f>IF(AND(O1281="",ISNUMBER(B1281)),INT(B1281),0)</f>
        <v/>
      </c>
      <c r="Q1281">
        <f>IF(AND(P1281&gt;0,C1281=Report!$C$5),P1281*10000+ROW(),"")</f>
        <v/>
      </c>
      <c r="R1281">
        <f>IF(AND(Q1281&lt;&gt;"",ISNUMBER(D1281)),Q1281,"")</f>
        <v/>
      </c>
      <c r="S1281">
        <f>IF(AND(Q1281&lt;&gt;"",ISNUMBER(E1281)),Q1281,"")</f>
        <v/>
      </c>
      <c r="T1281">
        <f>IF(AND(Q1281&lt;&gt;"",ISNUMBER(F1281)),Q1281,"")</f>
        <v/>
      </c>
      <c r="U1281">
        <f>IF(AND(Q1281&lt;&gt;"",ISNUMBER(G1281)),Q1281,"")</f>
        <v/>
      </c>
      <c r="V1281">
        <f>IF(AND(Q1281&lt;&gt;"",ISNUMBER(H1281)),Q1281,"")</f>
        <v/>
      </c>
      <c r="W1281">
        <f>IF(AND(Q1281&lt;&gt;"",ISNUMBER(I1281)),Q1281,"")</f>
        <v/>
      </c>
      <c r="X1281">
        <f>IF(AND(Q1281&lt;&gt;"",ISNUMBER(J1281)),Q1281,"")</f>
        <v/>
      </c>
      <c r="Y1281">
        <f>IF(AND(Q1281&lt;&gt;"",ISNUMBER(K1281)),Q1281,"")</f>
        <v/>
      </c>
      <c r="Z1281">
        <f>IF(AND(Q1281&lt;&gt;"",ISNUMBER(L1281)),Q1281,"")</f>
        <v/>
      </c>
      <c r="AA1281">
        <f>IF(AND(Q1281&lt;&gt;"",ISNUMBER(M1281)),Q1281,"")</f>
        <v/>
      </c>
      <c r="AB1281">
        <f>IF(AND(Q1281&lt;&gt;"",ISNUMBER(K1281)),K1281,"")</f>
        <v/>
      </c>
      <c r="AC1281">
        <f>IF(AND(Q1281&lt;&gt;"",ISNUMBER(L1281)),L1281,"")</f>
        <v/>
      </c>
      <c r="AD1281">
        <f>IF(AND(Q1281&lt;&gt;"",ISNUMBER(M1281)),M1281,"")</f>
        <v/>
      </c>
    </row>
    <row r="1282">
      <c r="A1282" s="1" t="n"/>
      <c r="B1282" s="17" t="n"/>
      <c r="C1282" s="27" t="n"/>
      <c r="D1282" s="28" t="n"/>
      <c r="E1282" s="28" t="n"/>
      <c r="F1282" s="28" t="n"/>
      <c r="G1282" s="28" t="n"/>
      <c r="H1282" s="28" t="n"/>
      <c r="I1282" s="28" t="n"/>
      <c r="J1282" s="28" t="n"/>
      <c r="K1282" s="28" t="n"/>
      <c r="L1282" s="28" t="n"/>
      <c r="M1282" s="29" t="n"/>
      <c r="N1282" s="21" t="n"/>
      <c r="O1282" s="12">
        <f>IF(AND(B1282="",C1282=""),"",IF(NOT(ISNUMBER(B1282)),"Needs a date",IF(C1282="","Needs a client",IF(COUNTIF(Clients!$B$6:$B$105,C1282)=0,"Not on Clients",IF(COUNT(D1282:M1282)=0,"Nothing measured","")))))</f>
        <v/>
      </c>
      <c r="P1282" s="1">
        <f>IF(AND(O1282="",ISNUMBER(B1282)),INT(B1282),0)</f>
        <v/>
      </c>
      <c r="Q1282">
        <f>IF(AND(P1282&gt;0,C1282=Report!$C$5),P1282*10000+ROW(),"")</f>
        <v/>
      </c>
      <c r="R1282">
        <f>IF(AND(Q1282&lt;&gt;"",ISNUMBER(D1282)),Q1282,"")</f>
        <v/>
      </c>
      <c r="S1282">
        <f>IF(AND(Q1282&lt;&gt;"",ISNUMBER(E1282)),Q1282,"")</f>
        <v/>
      </c>
      <c r="T1282">
        <f>IF(AND(Q1282&lt;&gt;"",ISNUMBER(F1282)),Q1282,"")</f>
        <v/>
      </c>
      <c r="U1282">
        <f>IF(AND(Q1282&lt;&gt;"",ISNUMBER(G1282)),Q1282,"")</f>
        <v/>
      </c>
      <c r="V1282">
        <f>IF(AND(Q1282&lt;&gt;"",ISNUMBER(H1282)),Q1282,"")</f>
        <v/>
      </c>
      <c r="W1282">
        <f>IF(AND(Q1282&lt;&gt;"",ISNUMBER(I1282)),Q1282,"")</f>
        <v/>
      </c>
      <c r="X1282">
        <f>IF(AND(Q1282&lt;&gt;"",ISNUMBER(J1282)),Q1282,"")</f>
        <v/>
      </c>
      <c r="Y1282">
        <f>IF(AND(Q1282&lt;&gt;"",ISNUMBER(K1282)),Q1282,"")</f>
        <v/>
      </c>
      <c r="Z1282">
        <f>IF(AND(Q1282&lt;&gt;"",ISNUMBER(L1282)),Q1282,"")</f>
        <v/>
      </c>
      <c r="AA1282">
        <f>IF(AND(Q1282&lt;&gt;"",ISNUMBER(M1282)),Q1282,"")</f>
        <v/>
      </c>
      <c r="AB1282">
        <f>IF(AND(Q1282&lt;&gt;"",ISNUMBER(K1282)),K1282,"")</f>
        <v/>
      </c>
      <c r="AC1282">
        <f>IF(AND(Q1282&lt;&gt;"",ISNUMBER(L1282)),L1282,"")</f>
        <v/>
      </c>
      <c r="AD1282">
        <f>IF(AND(Q1282&lt;&gt;"",ISNUMBER(M1282)),M1282,"")</f>
        <v/>
      </c>
    </row>
    <row r="1283">
      <c r="A1283" s="1" t="n"/>
      <c r="B1283" s="17" t="n"/>
      <c r="C1283" s="27" t="n"/>
      <c r="D1283" s="28" t="n"/>
      <c r="E1283" s="28" t="n"/>
      <c r="F1283" s="28" t="n"/>
      <c r="G1283" s="28" t="n"/>
      <c r="H1283" s="28" t="n"/>
      <c r="I1283" s="28" t="n"/>
      <c r="J1283" s="28" t="n"/>
      <c r="K1283" s="28" t="n"/>
      <c r="L1283" s="28" t="n"/>
      <c r="M1283" s="29" t="n"/>
      <c r="N1283" s="21" t="n"/>
      <c r="O1283" s="12">
        <f>IF(AND(B1283="",C1283=""),"",IF(NOT(ISNUMBER(B1283)),"Needs a date",IF(C1283="","Needs a client",IF(COUNTIF(Clients!$B$6:$B$105,C1283)=0,"Not on Clients",IF(COUNT(D1283:M1283)=0,"Nothing measured","")))))</f>
        <v/>
      </c>
      <c r="P1283" s="1">
        <f>IF(AND(O1283="",ISNUMBER(B1283)),INT(B1283),0)</f>
        <v/>
      </c>
      <c r="Q1283">
        <f>IF(AND(P1283&gt;0,C1283=Report!$C$5),P1283*10000+ROW(),"")</f>
        <v/>
      </c>
      <c r="R1283">
        <f>IF(AND(Q1283&lt;&gt;"",ISNUMBER(D1283)),Q1283,"")</f>
        <v/>
      </c>
      <c r="S1283">
        <f>IF(AND(Q1283&lt;&gt;"",ISNUMBER(E1283)),Q1283,"")</f>
        <v/>
      </c>
      <c r="T1283">
        <f>IF(AND(Q1283&lt;&gt;"",ISNUMBER(F1283)),Q1283,"")</f>
        <v/>
      </c>
      <c r="U1283">
        <f>IF(AND(Q1283&lt;&gt;"",ISNUMBER(G1283)),Q1283,"")</f>
        <v/>
      </c>
      <c r="V1283">
        <f>IF(AND(Q1283&lt;&gt;"",ISNUMBER(H1283)),Q1283,"")</f>
        <v/>
      </c>
      <c r="W1283">
        <f>IF(AND(Q1283&lt;&gt;"",ISNUMBER(I1283)),Q1283,"")</f>
        <v/>
      </c>
      <c r="X1283">
        <f>IF(AND(Q1283&lt;&gt;"",ISNUMBER(J1283)),Q1283,"")</f>
        <v/>
      </c>
      <c r="Y1283">
        <f>IF(AND(Q1283&lt;&gt;"",ISNUMBER(K1283)),Q1283,"")</f>
        <v/>
      </c>
      <c r="Z1283">
        <f>IF(AND(Q1283&lt;&gt;"",ISNUMBER(L1283)),Q1283,"")</f>
        <v/>
      </c>
      <c r="AA1283">
        <f>IF(AND(Q1283&lt;&gt;"",ISNUMBER(M1283)),Q1283,"")</f>
        <v/>
      </c>
      <c r="AB1283">
        <f>IF(AND(Q1283&lt;&gt;"",ISNUMBER(K1283)),K1283,"")</f>
        <v/>
      </c>
      <c r="AC1283">
        <f>IF(AND(Q1283&lt;&gt;"",ISNUMBER(L1283)),L1283,"")</f>
        <v/>
      </c>
      <c r="AD1283">
        <f>IF(AND(Q1283&lt;&gt;"",ISNUMBER(M1283)),M1283,"")</f>
        <v/>
      </c>
    </row>
    <row r="1284">
      <c r="A1284" s="1" t="n"/>
      <c r="B1284" s="17" t="n"/>
      <c r="C1284" s="27" t="n"/>
      <c r="D1284" s="28" t="n"/>
      <c r="E1284" s="28" t="n"/>
      <c r="F1284" s="28" t="n"/>
      <c r="G1284" s="28" t="n"/>
      <c r="H1284" s="28" t="n"/>
      <c r="I1284" s="28" t="n"/>
      <c r="J1284" s="28" t="n"/>
      <c r="K1284" s="28" t="n"/>
      <c r="L1284" s="28" t="n"/>
      <c r="M1284" s="29" t="n"/>
      <c r="N1284" s="21" t="n"/>
      <c r="O1284" s="12">
        <f>IF(AND(B1284="",C1284=""),"",IF(NOT(ISNUMBER(B1284)),"Needs a date",IF(C1284="","Needs a client",IF(COUNTIF(Clients!$B$6:$B$105,C1284)=0,"Not on Clients",IF(COUNT(D1284:M1284)=0,"Nothing measured","")))))</f>
        <v/>
      </c>
      <c r="P1284" s="1">
        <f>IF(AND(O1284="",ISNUMBER(B1284)),INT(B1284),0)</f>
        <v/>
      </c>
      <c r="Q1284">
        <f>IF(AND(P1284&gt;0,C1284=Report!$C$5),P1284*10000+ROW(),"")</f>
        <v/>
      </c>
      <c r="R1284">
        <f>IF(AND(Q1284&lt;&gt;"",ISNUMBER(D1284)),Q1284,"")</f>
        <v/>
      </c>
      <c r="S1284">
        <f>IF(AND(Q1284&lt;&gt;"",ISNUMBER(E1284)),Q1284,"")</f>
        <v/>
      </c>
      <c r="T1284">
        <f>IF(AND(Q1284&lt;&gt;"",ISNUMBER(F1284)),Q1284,"")</f>
        <v/>
      </c>
      <c r="U1284">
        <f>IF(AND(Q1284&lt;&gt;"",ISNUMBER(G1284)),Q1284,"")</f>
        <v/>
      </c>
      <c r="V1284">
        <f>IF(AND(Q1284&lt;&gt;"",ISNUMBER(H1284)),Q1284,"")</f>
        <v/>
      </c>
      <c r="W1284">
        <f>IF(AND(Q1284&lt;&gt;"",ISNUMBER(I1284)),Q1284,"")</f>
        <v/>
      </c>
      <c r="X1284">
        <f>IF(AND(Q1284&lt;&gt;"",ISNUMBER(J1284)),Q1284,"")</f>
        <v/>
      </c>
      <c r="Y1284">
        <f>IF(AND(Q1284&lt;&gt;"",ISNUMBER(K1284)),Q1284,"")</f>
        <v/>
      </c>
      <c r="Z1284">
        <f>IF(AND(Q1284&lt;&gt;"",ISNUMBER(L1284)),Q1284,"")</f>
        <v/>
      </c>
      <c r="AA1284">
        <f>IF(AND(Q1284&lt;&gt;"",ISNUMBER(M1284)),Q1284,"")</f>
        <v/>
      </c>
      <c r="AB1284">
        <f>IF(AND(Q1284&lt;&gt;"",ISNUMBER(K1284)),K1284,"")</f>
        <v/>
      </c>
      <c r="AC1284">
        <f>IF(AND(Q1284&lt;&gt;"",ISNUMBER(L1284)),L1284,"")</f>
        <v/>
      </c>
      <c r="AD1284">
        <f>IF(AND(Q1284&lt;&gt;"",ISNUMBER(M1284)),M1284,"")</f>
        <v/>
      </c>
    </row>
    <row r="1285">
      <c r="A1285" s="1" t="n"/>
      <c r="B1285" s="17" t="n"/>
      <c r="C1285" s="27" t="n"/>
      <c r="D1285" s="28" t="n"/>
      <c r="E1285" s="28" t="n"/>
      <c r="F1285" s="28" t="n"/>
      <c r="G1285" s="28" t="n"/>
      <c r="H1285" s="28" t="n"/>
      <c r="I1285" s="28" t="n"/>
      <c r="J1285" s="28" t="n"/>
      <c r="K1285" s="28" t="n"/>
      <c r="L1285" s="28" t="n"/>
      <c r="M1285" s="29" t="n"/>
      <c r="N1285" s="21" t="n"/>
      <c r="O1285" s="12">
        <f>IF(AND(B1285="",C1285=""),"",IF(NOT(ISNUMBER(B1285)),"Needs a date",IF(C1285="","Needs a client",IF(COUNTIF(Clients!$B$6:$B$105,C1285)=0,"Not on Clients",IF(COUNT(D1285:M1285)=0,"Nothing measured","")))))</f>
        <v/>
      </c>
      <c r="P1285" s="1">
        <f>IF(AND(O1285="",ISNUMBER(B1285)),INT(B1285),0)</f>
        <v/>
      </c>
      <c r="Q1285">
        <f>IF(AND(P1285&gt;0,C1285=Report!$C$5),P1285*10000+ROW(),"")</f>
        <v/>
      </c>
      <c r="R1285">
        <f>IF(AND(Q1285&lt;&gt;"",ISNUMBER(D1285)),Q1285,"")</f>
        <v/>
      </c>
      <c r="S1285">
        <f>IF(AND(Q1285&lt;&gt;"",ISNUMBER(E1285)),Q1285,"")</f>
        <v/>
      </c>
      <c r="T1285">
        <f>IF(AND(Q1285&lt;&gt;"",ISNUMBER(F1285)),Q1285,"")</f>
        <v/>
      </c>
      <c r="U1285">
        <f>IF(AND(Q1285&lt;&gt;"",ISNUMBER(G1285)),Q1285,"")</f>
        <v/>
      </c>
      <c r="V1285">
        <f>IF(AND(Q1285&lt;&gt;"",ISNUMBER(H1285)),Q1285,"")</f>
        <v/>
      </c>
      <c r="W1285">
        <f>IF(AND(Q1285&lt;&gt;"",ISNUMBER(I1285)),Q1285,"")</f>
        <v/>
      </c>
      <c r="X1285">
        <f>IF(AND(Q1285&lt;&gt;"",ISNUMBER(J1285)),Q1285,"")</f>
        <v/>
      </c>
      <c r="Y1285">
        <f>IF(AND(Q1285&lt;&gt;"",ISNUMBER(K1285)),Q1285,"")</f>
        <v/>
      </c>
      <c r="Z1285">
        <f>IF(AND(Q1285&lt;&gt;"",ISNUMBER(L1285)),Q1285,"")</f>
        <v/>
      </c>
      <c r="AA1285">
        <f>IF(AND(Q1285&lt;&gt;"",ISNUMBER(M1285)),Q1285,"")</f>
        <v/>
      </c>
      <c r="AB1285">
        <f>IF(AND(Q1285&lt;&gt;"",ISNUMBER(K1285)),K1285,"")</f>
        <v/>
      </c>
      <c r="AC1285">
        <f>IF(AND(Q1285&lt;&gt;"",ISNUMBER(L1285)),L1285,"")</f>
        <v/>
      </c>
      <c r="AD1285">
        <f>IF(AND(Q1285&lt;&gt;"",ISNUMBER(M1285)),M1285,"")</f>
        <v/>
      </c>
    </row>
    <row r="1286">
      <c r="A1286" s="1" t="n"/>
      <c r="B1286" s="17" t="n"/>
      <c r="C1286" s="27" t="n"/>
      <c r="D1286" s="28" t="n"/>
      <c r="E1286" s="28" t="n"/>
      <c r="F1286" s="28" t="n"/>
      <c r="G1286" s="28" t="n"/>
      <c r="H1286" s="28" t="n"/>
      <c r="I1286" s="28" t="n"/>
      <c r="J1286" s="28" t="n"/>
      <c r="K1286" s="28" t="n"/>
      <c r="L1286" s="28" t="n"/>
      <c r="M1286" s="29" t="n"/>
      <c r="N1286" s="21" t="n"/>
      <c r="O1286" s="12">
        <f>IF(AND(B1286="",C1286=""),"",IF(NOT(ISNUMBER(B1286)),"Needs a date",IF(C1286="","Needs a client",IF(COUNTIF(Clients!$B$6:$B$105,C1286)=0,"Not on Clients",IF(COUNT(D1286:M1286)=0,"Nothing measured","")))))</f>
        <v/>
      </c>
      <c r="P1286" s="1">
        <f>IF(AND(O1286="",ISNUMBER(B1286)),INT(B1286),0)</f>
        <v/>
      </c>
      <c r="Q1286">
        <f>IF(AND(P1286&gt;0,C1286=Report!$C$5),P1286*10000+ROW(),"")</f>
        <v/>
      </c>
      <c r="R1286">
        <f>IF(AND(Q1286&lt;&gt;"",ISNUMBER(D1286)),Q1286,"")</f>
        <v/>
      </c>
      <c r="S1286">
        <f>IF(AND(Q1286&lt;&gt;"",ISNUMBER(E1286)),Q1286,"")</f>
        <v/>
      </c>
      <c r="T1286">
        <f>IF(AND(Q1286&lt;&gt;"",ISNUMBER(F1286)),Q1286,"")</f>
        <v/>
      </c>
      <c r="U1286">
        <f>IF(AND(Q1286&lt;&gt;"",ISNUMBER(G1286)),Q1286,"")</f>
        <v/>
      </c>
      <c r="V1286">
        <f>IF(AND(Q1286&lt;&gt;"",ISNUMBER(H1286)),Q1286,"")</f>
        <v/>
      </c>
      <c r="W1286">
        <f>IF(AND(Q1286&lt;&gt;"",ISNUMBER(I1286)),Q1286,"")</f>
        <v/>
      </c>
      <c r="X1286">
        <f>IF(AND(Q1286&lt;&gt;"",ISNUMBER(J1286)),Q1286,"")</f>
        <v/>
      </c>
      <c r="Y1286">
        <f>IF(AND(Q1286&lt;&gt;"",ISNUMBER(K1286)),Q1286,"")</f>
        <v/>
      </c>
      <c r="Z1286">
        <f>IF(AND(Q1286&lt;&gt;"",ISNUMBER(L1286)),Q1286,"")</f>
        <v/>
      </c>
      <c r="AA1286">
        <f>IF(AND(Q1286&lt;&gt;"",ISNUMBER(M1286)),Q1286,"")</f>
        <v/>
      </c>
      <c r="AB1286">
        <f>IF(AND(Q1286&lt;&gt;"",ISNUMBER(K1286)),K1286,"")</f>
        <v/>
      </c>
      <c r="AC1286">
        <f>IF(AND(Q1286&lt;&gt;"",ISNUMBER(L1286)),L1286,"")</f>
        <v/>
      </c>
      <c r="AD1286">
        <f>IF(AND(Q1286&lt;&gt;"",ISNUMBER(M1286)),M1286,"")</f>
        <v/>
      </c>
    </row>
    <row r="1287">
      <c r="A1287" s="1" t="n"/>
      <c r="B1287" s="17" t="n"/>
      <c r="C1287" s="27" t="n"/>
      <c r="D1287" s="28" t="n"/>
      <c r="E1287" s="28" t="n"/>
      <c r="F1287" s="28" t="n"/>
      <c r="G1287" s="28" t="n"/>
      <c r="H1287" s="28" t="n"/>
      <c r="I1287" s="28" t="n"/>
      <c r="J1287" s="28" t="n"/>
      <c r="K1287" s="28" t="n"/>
      <c r="L1287" s="28" t="n"/>
      <c r="M1287" s="29" t="n"/>
      <c r="N1287" s="21" t="n"/>
      <c r="O1287" s="12">
        <f>IF(AND(B1287="",C1287=""),"",IF(NOT(ISNUMBER(B1287)),"Needs a date",IF(C1287="","Needs a client",IF(COUNTIF(Clients!$B$6:$B$105,C1287)=0,"Not on Clients",IF(COUNT(D1287:M1287)=0,"Nothing measured","")))))</f>
        <v/>
      </c>
      <c r="P1287" s="1">
        <f>IF(AND(O1287="",ISNUMBER(B1287)),INT(B1287),0)</f>
        <v/>
      </c>
      <c r="Q1287">
        <f>IF(AND(P1287&gt;0,C1287=Report!$C$5),P1287*10000+ROW(),"")</f>
        <v/>
      </c>
      <c r="R1287">
        <f>IF(AND(Q1287&lt;&gt;"",ISNUMBER(D1287)),Q1287,"")</f>
        <v/>
      </c>
      <c r="S1287">
        <f>IF(AND(Q1287&lt;&gt;"",ISNUMBER(E1287)),Q1287,"")</f>
        <v/>
      </c>
      <c r="T1287">
        <f>IF(AND(Q1287&lt;&gt;"",ISNUMBER(F1287)),Q1287,"")</f>
        <v/>
      </c>
      <c r="U1287">
        <f>IF(AND(Q1287&lt;&gt;"",ISNUMBER(G1287)),Q1287,"")</f>
        <v/>
      </c>
      <c r="V1287">
        <f>IF(AND(Q1287&lt;&gt;"",ISNUMBER(H1287)),Q1287,"")</f>
        <v/>
      </c>
      <c r="W1287">
        <f>IF(AND(Q1287&lt;&gt;"",ISNUMBER(I1287)),Q1287,"")</f>
        <v/>
      </c>
      <c r="X1287">
        <f>IF(AND(Q1287&lt;&gt;"",ISNUMBER(J1287)),Q1287,"")</f>
        <v/>
      </c>
      <c r="Y1287">
        <f>IF(AND(Q1287&lt;&gt;"",ISNUMBER(K1287)),Q1287,"")</f>
        <v/>
      </c>
      <c r="Z1287">
        <f>IF(AND(Q1287&lt;&gt;"",ISNUMBER(L1287)),Q1287,"")</f>
        <v/>
      </c>
      <c r="AA1287">
        <f>IF(AND(Q1287&lt;&gt;"",ISNUMBER(M1287)),Q1287,"")</f>
        <v/>
      </c>
      <c r="AB1287">
        <f>IF(AND(Q1287&lt;&gt;"",ISNUMBER(K1287)),K1287,"")</f>
        <v/>
      </c>
      <c r="AC1287">
        <f>IF(AND(Q1287&lt;&gt;"",ISNUMBER(L1287)),L1287,"")</f>
        <v/>
      </c>
      <c r="AD1287">
        <f>IF(AND(Q1287&lt;&gt;"",ISNUMBER(M1287)),M1287,"")</f>
        <v/>
      </c>
    </row>
    <row r="1288">
      <c r="A1288" s="1" t="n"/>
      <c r="B1288" s="17" t="n"/>
      <c r="C1288" s="27" t="n"/>
      <c r="D1288" s="28" t="n"/>
      <c r="E1288" s="28" t="n"/>
      <c r="F1288" s="28" t="n"/>
      <c r="G1288" s="28" t="n"/>
      <c r="H1288" s="28" t="n"/>
      <c r="I1288" s="28" t="n"/>
      <c r="J1288" s="28" t="n"/>
      <c r="K1288" s="28" t="n"/>
      <c r="L1288" s="28" t="n"/>
      <c r="M1288" s="29" t="n"/>
      <c r="N1288" s="21" t="n"/>
      <c r="O1288" s="12">
        <f>IF(AND(B1288="",C1288=""),"",IF(NOT(ISNUMBER(B1288)),"Needs a date",IF(C1288="","Needs a client",IF(COUNTIF(Clients!$B$6:$B$105,C1288)=0,"Not on Clients",IF(COUNT(D1288:M1288)=0,"Nothing measured","")))))</f>
        <v/>
      </c>
      <c r="P1288" s="1">
        <f>IF(AND(O1288="",ISNUMBER(B1288)),INT(B1288),0)</f>
        <v/>
      </c>
      <c r="Q1288">
        <f>IF(AND(P1288&gt;0,C1288=Report!$C$5),P1288*10000+ROW(),"")</f>
        <v/>
      </c>
      <c r="R1288">
        <f>IF(AND(Q1288&lt;&gt;"",ISNUMBER(D1288)),Q1288,"")</f>
        <v/>
      </c>
      <c r="S1288">
        <f>IF(AND(Q1288&lt;&gt;"",ISNUMBER(E1288)),Q1288,"")</f>
        <v/>
      </c>
      <c r="T1288">
        <f>IF(AND(Q1288&lt;&gt;"",ISNUMBER(F1288)),Q1288,"")</f>
        <v/>
      </c>
      <c r="U1288">
        <f>IF(AND(Q1288&lt;&gt;"",ISNUMBER(G1288)),Q1288,"")</f>
        <v/>
      </c>
      <c r="V1288">
        <f>IF(AND(Q1288&lt;&gt;"",ISNUMBER(H1288)),Q1288,"")</f>
        <v/>
      </c>
      <c r="W1288">
        <f>IF(AND(Q1288&lt;&gt;"",ISNUMBER(I1288)),Q1288,"")</f>
        <v/>
      </c>
      <c r="X1288">
        <f>IF(AND(Q1288&lt;&gt;"",ISNUMBER(J1288)),Q1288,"")</f>
        <v/>
      </c>
      <c r="Y1288">
        <f>IF(AND(Q1288&lt;&gt;"",ISNUMBER(K1288)),Q1288,"")</f>
        <v/>
      </c>
      <c r="Z1288">
        <f>IF(AND(Q1288&lt;&gt;"",ISNUMBER(L1288)),Q1288,"")</f>
        <v/>
      </c>
      <c r="AA1288">
        <f>IF(AND(Q1288&lt;&gt;"",ISNUMBER(M1288)),Q1288,"")</f>
        <v/>
      </c>
      <c r="AB1288">
        <f>IF(AND(Q1288&lt;&gt;"",ISNUMBER(K1288)),K1288,"")</f>
        <v/>
      </c>
      <c r="AC1288">
        <f>IF(AND(Q1288&lt;&gt;"",ISNUMBER(L1288)),L1288,"")</f>
        <v/>
      </c>
      <c r="AD1288">
        <f>IF(AND(Q1288&lt;&gt;"",ISNUMBER(M1288)),M1288,"")</f>
        <v/>
      </c>
    </row>
    <row r="1289">
      <c r="A1289" s="1" t="n"/>
      <c r="B1289" s="17" t="n"/>
      <c r="C1289" s="27" t="n"/>
      <c r="D1289" s="28" t="n"/>
      <c r="E1289" s="28" t="n"/>
      <c r="F1289" s="28" t="n"/>
      <c r="G1289" s="28" t="n"/>
      <c r="H1289" s="28" t="n"/>
      <c r="I1289" s="28" t="n"/>
      <c r="J1289" s="28" t="n"/>
      <c r="K1289" s="28" t="n"/>
      <c r="L1289" s="28" t="n"/>
      <c r="M1289" s="29" t="n"/>
      <c r="N1289" s="21" t="n"/>
      <c r="O1289" s="12">
        <f>IF(AND(B1289="",C1289=""),"",IF(NOT(ISNUMBER(B1289)),"Needs a date",IF(C1289="","Needs a client",IF(COUNTIF(Clients!$B$6:$B$105,C1289)=0,"Not on Clients",IF(COUNT(D1289:M1289)=0,"Nothing measured","")))))</f>
        <v/>
      </c>
      <c r="P1289" s="1">
        <f>IF(AND(O1289="",ISNUMBER(B1289)),INT(B1289),0)</f>
        <v/>
      </c>
      <c r="Q1289">
        <f>IF(AND(P1289&gt;0,C1289=Report!$C$5),P1289*10000+ROW(),"")</f>
        <v/>
      </c>
      <c r="R1289">
        <f>IF(AND(Q1289&lt;&gt;"",ISNUMBER(D1289)),Q1289,"")</f>
        <v/>
      </c>
      <c r="S1289">
        <f>IF(AND(Q1289&lt;&gt;"",ISNUMBER(E1289)),Q1289,"")</f>
        <v/>
      </c>
      <c r="T1289">
        <f>IF(AND(Q1289&lt;&gt;"",ISNUMBER(F1289)),Q1289,"")</f>
        <v/>
      </c>
      <c r="U1289">
        <f>IF(AND(Q1289&lt;&gt;"",ISNUMBER(G1289)),Q1289,"")</f>
        <v/>
      </c>
      <c r="V1289">
        <f>IF(AND(Q1289&lt;&gt;"",ISNUMBER(H1289)),Q1289,"")</f>
        <v/>
      </c>
      <c r="W1289">
        <f>IF(AND(Q1289&lt;&gt;"",ISNUMBER(I1289)),Q1289,"")</f>
        <v/>
      </c>
      <c r="X1289">
        <f>IF(AND(Q1289&lt;&gt;"",ISNUMBER(J1289)),Q1289,"")</f>
        <v/>
      </c>
      <c r="Y1289">
        <f>IF(AND(Q1289&lt;&gt;"",ISNUMBER(K1289)),Q1289,"")</f>
        <v/>
      </c>
      <c r="Z1289">
        <f>IF(AND(Q1289&lt;&gt;"",ISNUMBER(L1289)),Q1289,"")</f>
        <v/>
      </c>
      <c r="AA1289">
        <f>IF(AND(Q1289&lt;&gt;"",ISNUMBER(M1289)),Q1289,"")</f>
        <v/>
      </c>
      <c r="AB1289">
        <f>IF(AND(Q1289&lt;&gt;"",ISNUMBER(K1289)),K1289,"")</f>
        <v/>
      </c>
      <c r="AC1289">
        <f>IF(AND(Q1289&lt;&gt;"",ISNUMBER(L1289)),L1289,"")</f>
        <v/>
      </c>
      <c r="AD1289">
        <f>IF(AND(Q1289&lt;&gt;"",ISNUMBER(M1289)),M1289,"")</f>
        <v/>
      </c>
    </row>
    <row r="1290">
      <c r="A1290" s="1" t="n"/>
      <c r="B1290" s="17" t="n"/>
      <c r="C1290" s="27" t="n"/>
      <c r="D1290" s="28" t="n"/>
      <c r="E1290" s="28" t="n"/>
      <c r="F1290" s="28" t="n"/>
      <c r="G1290" s="28" t="n"/>
      <c r="H1290" s="28" t="n"/>
      <c r="I1290" s="28" t="n"/>
      <c r="J1290" s="28" t="n"/>
      <c r="K1290" s="28" t="n"/>
      <c r="L1290" s="28" t="n"/>
      <c r="M1290" s="29" t="n"/>
      <c r="N1290" s="21" t="n"/>
      <c r="O1290" s="12">
        <f>IF(AND(B1290="",C1290=""),"",IF(NOT(ISNUMBER(B1290)),"Needs a date",IF(C1290="","Needs a client",IF(COUNTIF(Clients!$B$6:$B$105,C1290)=0,"Not on Clients",IF(COUNT(D1290:M1290)=0,"Nothing measured","")))))</f>
        <v/>
      </c>
      <c r="P1290" s="1">
        <f>IF(AND(O1290="",ISNUMBER(B1290)),INT(B1290),0)</f>
        <v/>
      </c>
      <c r="Q1290">
        <f>IF(AND(P1290&gt;0,C1290=Report!$C$5),P1290*10000+ROW(),"")</f>
        <v/>
      </c>
      <c r="R1290">
        <f>IF(AND(Q1290&lt;&gt;"",ISNUMBER(D1290)),Q1290,"")</f>
        <v/>
      </c>
      <c r="S1290">
        <f>IF(AND(Q1290&lt;&gt;"",ISNUMBER(E1290)),Q1290,"")</f>
        <v/>
      </c>
      <c r="T1290">
        <f>IF(AND(Q1290&lt;&gt;"",ISNUMBER(F1290)),Q1290,"")</f>
        <v/>
      </c>
      <c r="U1290">
        <f>IF(AND(Q1290&lt;&gt;"",ISNUMBER(G1290)),Q1290,"")</f>
        <v/>
      </c>
      <c r="V1290">
        <f>IF(AND(Q1290&lt;&gt;"",ISNUMBER(H1290)),Q1290,"")</f>
        <v/>
      </c>
      <c r="W1290">
        <f>IF(AND(Q1290&lt;&gt;"",ISNUMBER(I1290)),Q1290,"")</f>
        <v/>
      </c>
      <c r="X1290">
        <f>IF(AND(Q1290&lt;&gt;"",ISNUMBER(J1290)),Q1290,"")</f>
        <v/>
      </c>
      <c r="Y1290">
        <f>IF(AND(Q1290&lt;&gt;"",ISNUMBER(K1290)),Q1290,"")</f>
        <v/>
      </c>
      <c r="Z1290">
        <f>IF(AND(Q1290&lt;&gt;"",ISNUMBER(L1290)),Q1290,"")</f>
        <v/>
      </c>
      <c r="AA1290">
        <f>IF(AND(Q1290&lt;&gt;"",ISNUMBER(M1290)),Q1290,"")</f>
        <v/>
      </c>
      <c r="AB1290">
        <f>IF(AND(Q1290&lt;&gt;"",ISNUMBER(K1290)),K1290,"")</f>
        <v/>
      </c>
      <c r="AC1290">
        <f>IF(AND(Q1290&lt;&gt;"",ISNUMBER(L1290)),L1290,"")</f>
        <v/>
      </c>
      <c r="AD1290">
        <f>IF(AND(Q1290&lt;&gt;"",ISNUMBER(M1290)),M1290,"")</f>
        <v/>
      </c>
    </row>
    <row r="1291">
      <c r="A1291" s="1" t="n"/>
      <c r="B1291" s="17" t="n"/>
      <c r="C1291" s="27" t="n"/>
      <c r="D1291" s="28" t="n"/>
      <c r="E1291" s="28" t="n"/>
      <c r="F1291" s="28" t="n"/>
      <c r="G1291" s="28" t="n"/>
      <c r="H1291" s="28" t="n"/>
      <c r="I1291" s="28" t="n"/>
      <c r="J1291" s="28" t="n"/>
      <c r="K1291" s="28" t="n"/>
      <c r="L1291" s="28" t="n"/>
      <c r="M1291" s="29" t="n"/>
      <c r="N1291" s="21" t="n"/>
      <c r="O1291" s="12">
        <f>IF(AND(B1291="",C1291=""),"",IF(NOT(ISNUMBER(B1291)),"Needs a date",IF(C1291="","Needs a client",IF(COUNTIF(Clients!$B$6:$B$105,C1291)=0,"Not on Clients",IF(COUNT(D1291:M1291)=0,"Nothing measured","")))))</f>
        <v/>
      </c>
      <c r="P1291" s="1">
        <f>IF(AND(O1291="",ISNUMBER(B1291)),INT(B1291),0)</f>
        <v/>
      </c>
      <c r="Q1291">
        <f>IF(AND(P1291&gt;0,C1291=Report!$C$5),P1291*10000+ROW(),"")</f>
        <v/>
      </c>
      <c r="R1291">
        <f>IF(AND(Q1291&lt;&gt;"",ISNUMBER(D1291)),Q1291,"")</f>
        <v/>
      </c>
      <c r="S1291">
        <f>IF(AND(Q1291&lt;&gt;"",ISNUMBER(E1291)),Q1291,"")</f>
        <v/>
      </c>
      <c r="T1291">
        <f>IF(AND(Q1291&lt;&gt;"",ISNUMBER(F1291)),Q1291,"")</f>
        <v/>
      </c>
      <c r="U1291">
        <f>IF(AND(Q1291&lt;&gt;"",ISNUMBER(G1291)),Q1291,"")</f>
        <v/>
      </c>
      <c r="V1291">
        <f>IF(AND(Q1291&lt;&gt;"",ISNUMBER(H1291)),Q1291,"")</f>
        <v/>
      </c>
      <c r="W1291">
        <f>IF(AND(Q1291&lt;&gt;"",ISNUMBER(I1291)),Q1291,"")</f>
        <v/>
      </c>
      <c r="X1291">
        <f>IF(AND(Q1291&lt;&gt;"",ISNUMBER(J1291)),Q1291,"")</f>
        <v/>
      </c>
      <c r="Y1291">
        <f>IF(AND(Q1291&lt;&gt;"",ISNUMBER(K1291)),Q1291,"")</f>
        <v/>
      </c>
      <c r="Z1291">
        <f>IF(AND(Q1291&lt;&gt;"",ISNUMBER(L1291)),Q1291,"")</f>
        <v/>
      </c>
      <c r="AA1291">
        <f>IF(AND(Q1291&lt;&gt;"",ISNUMBER(M1291)),Q1291,"")</f>
        <v/>
      </c>
      <c r="AB1291">
        <f>IF(AND(Q1291&lt;&gt;"",ISNUMBER(K1291)),K1291,"")</f>
        <v/>
      </c>
      <c r="AC1291">
        <f>IF(AND(Q1291&lt;&gt;"",ISNUMBER(L1291)),L1291,"")</f>
        <v/>
      </c>
      <c r="AD1291">
        <f>IF(AND(Q1291&lt;&gt;"",ISNUMBER(M1291)),M1291,"")</f>
        <v/>
      </c>
    </row>
    <row r="1292">
      <c r="A1292" s="1" t="n"/>
      <c r="B1292" s="17" t="n"/>
      <c r="C1292" s="27" t="n"/>
      <c r="D1292" s="28" t="n"/>
      <c r="E1292" s="28" t="n"/>
      <c r="F1292" s="28" t="n"/>
      <c r="G1292" s="28" t="n"/>
      <c r="H1292" s="28" t="n"/>
      <c r="I1292" s="28" t="n"/>
      <c r="J1292" s="28" t="n"/>
      <c r="K1292" s="28" t="n"/>
      <c r="L1292" s="28" t="n"/>
      <c r="M1292" s="29" t="n"/>
      <c r="N1292" s="21" t="n"/>
      <c r="O1292" s="12">
        <f>IF(AND(B1292="",C1292=""),"",IF(NOT(ISNUMBER(B1292)),"Needs a date",IF(C1292="","Needs a client",IF(COUNTIF(Clients!$B$6:$B$105,C1292)=0,"Not on Clients",IF(COUNT(D1292:M1292)=0,"Nothing measured","")))))</f>
        <v/>
      </c>
      <c r="P1292" s="1">
        <f>IF(AND(O1292="",ISNUMBER(B1292)),INT(B1292),0)</f>
        <v/>
      </c>
      <c r="Q1292">
        <f>IF(AND(P1292&gt;0,C1292=Report!$C$5),P1292*10000+ROW(),"")</f>
        <v/>
      </c>
      <c r="R1292">
        <f>IF(AND(Q1292&lt;&gt;"",ISNUMBER(D1292)),Q1292,"")</f>
        <v/>
      </c>
      <c r="S1292">
        <f>IF(AND(Q1292&lt;&gt;"",ISNUMBER(E1292)),Q1292,"")</f>
        <v/>
      </c>
      <c r="T1292">
        <f>IF(AND(Q1292&lt;&gt;"",ISNUMBER(F1292)),Q1292,"")</f>
        <v/>
      </c>
      <c r="U1292">
        <f>IF(AND(Q1292&lt;&gt;"",ISNUMBER(G1292)),Q1292,"")</f>
        <v/>
      </c>
      <c r="V1292">
        <f>IF(AND(Q1292&lt;&gt;"",ISNUMBER(H1292)),Q1292,"")</f>
        <v/>
      </c>
      <c r="W1292">
        <f>IF(AND(Q1292&lt;&gt;"",ISNUMBER(I1292)),Q1292,"")</f>
        <v/>
      </c>
      <c r="X1292">
        <f>IF(AND(Q1292&lt;&gt;"",ISNUMBER(J1292)),Q1292,"")</f>
        <v/>
      </c>
      <c r="Y1292">
        <f>IF(AND(Q1292&lt;&gt;"",ISNUMBER(K1292)),Q1292,"")</f>
        <v/>
      </c>
      <c r="Z1292">
        <f>IF(AND(Q1292&lt;&gt;"",ISNUMBER(L1292)),Q1292,"")</f>
        <v/>
      </c>
      <c r="AA1292">
        <f>IF(AND(Q1292&lt;&gt;"",ISNUMBER(M1292)),Q1292,"")</f>
        <v/>
      </c>
      <c r="AB1292">
        <f>IF(AND(Q1292&lt;&gt;"",ISNUMBER(K1292)),K1292,"")</f>
        <v/>
      </c>
      <c r="AC1292">
        <f>IF(AND(Q1292&lt;&gt;"",ISNUMBER(L1292)),L1292,"")</f>
        <v/>
      </c>
      <c r="AD1292">
        <f>IF(AND(Q1292&lt;&gt;"",ISNUMBER(M1292)),M1292,"")</f>
        <v/>
      </c>
    </row>
    <row r="1293">
      <c r="A1293" s="1" t="n"/>
      <c r="B1293" s="17" t="n"/>
      <c r="C1293" s="27" t="n"/>
      <c r="D1293" s="28" t="n"/>
      <c r="E1293" s="28" t="n"/>
      <c r="F1293" s="28" t="n"/>
      <c r="G1293" s="28" t="n"/>
      <c r="H1293" s="28" t="n"/>
      <c r="I1293" s="28" t="n"/>
      <c r="J1293" s="28" t="n"/>
      <c r="K1293" s="28" t="n"/>
      <c r="L1293" s="28" t="n"/>
      <c r="M1293" s="29" t="n"/>
      <c r="N1293" s="21" t="n"/>
      <c r="O1293" s="12">
        <f>IF(AND(B1293="",C1293=""),"",IF(NOT(ISNUMBER(B1293)),"Needs a date",IF(C1293="","Needs a client",IF(COUNTIF(Clients!$B$6:$B$105,C1293)=0,"Not on Clients",IF(COUNT(D1293:M1293)=0,"Nothing measured","")))))</f>
        <v/>
      </c>
      <c r="P1293" s="1">
        <f>IF(AND(O1293="",ISNUMBER(B1293)),INT(B1293),0)</f>
        <v/>
      </c>
      <c r="Q1293">
        <f>IF(AND(P1293&gt;0,C1293=Report!$C$5),P1293*10000+ROW(),"")</f>
        <v/>
      </c>
      <c r="R1293">
        <f>IF(AND(Q1293&lt;&gt;"",ISNUMBER(D1293)),Q1293,"")</f>
        <v/>
      </c>
      <c r="S1293">
        <f>IF(AND(Q1293&lt;&gt;"",ISNUMBER(E1293)),Q1293,"")</f>
        <v/>
      </c>
      <c r="T1293">
        <f>IF(AND(Q1293&lt;&gt;"",ISNUMBER(F1293)),Q1293,"")</f>
        <v/>
      </c>
      <c r="U1293">
        <f>IF(AND(Q1293&lt;&gt;"",ISNUMBER(G1293)),Q1293,"")</f>
        <v/>
      </c>
      <c r="V1293">
        <f>IF(AND(Q1293&lt;&gt;"",ISNUMBER(H1293)),Q1293,"")</f>
        <v/>
      </c>
      <c r="W1293">
        <f>IF(AND(Q1293&lt;&gt;"",ISNUMBER(I1293)),Q1293,"")</f>
        <v/>
      </c>
      <c r="X1293">
        <f>IF(AND(Q1293&lt;&gt;"",ISNUMBER(J1293)),Q1293,"")</f>
        <v/>
      </c>
      <c r="Y1293">
        <f>IF(AND(Q1293&lt;&gt;"",ISNUMBER(K1293)),Q1293,"")</f>
        <v/>
      </c>
      <c r="Z1293">
        <f>IF(AND(Q1293&lt;&gt;"",ISNUMBER(L1293)),Q1293,"")</f>
        <v/>
      </c>
      <c r="AA1293">
        <f>IF(AND(Q1293&lt;&gt;"",ISNUMBER(M1293)),Q1293,"")</f>
        <v/>
      </c>
      <c r="AB1293">
        <f>IF(AND(Q1293&lt;&gt;"",ISNUMBER(K1293)),K1293,"")</f>
        <v/>
      </c>
      <c r="AC1293">
        <f>IF(AND(Q1293&lt;&gt;"",ISNUMBER(L1293)),L1293,"")</f>
        <v/>
      </c>
      <c r="AD1293">
        <f>IF(AND(Q1293&lt;&gt;"",ISNUMBER(M1293)),M1293,"")</f>
        <v/>
      </c>
    </row>
    <row r="1294">
      <c r="A1294" s="1" t="n"/>
      <c r="B1294" s="17" t="n"/>
      <c r="C1294" s="27" t="n"/>
      <c r="D1294" s="28" t="n"/>
      <c r="E1294" s="28" t="n"/>
      <c r="F1294" s="28" t="n"/>
      <c r="G1294" s="28" t="n"/>
      <c r="H1294" s="28" t="n"/>
      <c r="I1294" s="28" t="n"/>
      <c r="J1294" s="28" t="n"/>
      <c r="K1294" s="28" t="n"/>
      <c r="L1294" s="28" t="n"/>
      <c r="M1294" s="29" t="n"/>
      <c r="N1294" s="21" t="n"/>
      <c r="O1294" s="12">
        <f>IF(AND(B1294="",C1294=""),"",IF(NOT(ISNUMBER(B1294)),"Needs a date",IF(C1294="","Needs a client",IF(COUNTIF(Clients!$B$6:$B$105,C1294)=0,"Not on Clients",IF(COUNT(D1294:M1294)=0,"Nothing measured","")))))</f>
        <v/>
      </c>
      <c r="P1294" s="1">
        <f>IF(AND(O1294="",ISNUMBER(B1294)),INT(B1294),0)</f>
        <v/>
      </c>
      <c r="Q1294">
        <f>IF(AND(P1294&gt;0,C1294=Report!$C$5),P1294*10000+ROW(),"")</f>
        <v/>
      </c>
      <c r="R1294">
        <f>IF(AND(Q1294&lt;&gt;"",ISNUMBER(D1294)),Q1294,"")</f>
        <v/>
      </c>
      <c r="S1294">
        <f>IF(AND(Q1294&lt;&gt;"",ISNUMBER(E1294)),Q1294,"")</f>
        <v/>
      </c>
      <c r="T1294">
        <f>IF(AND(Q1294&lt;&gt;"",ISNUMBER(F1294)),Q1294,"")</f>
        <v/>
      </c>
      <c r="U1294">
        <f>IF(AND(Q1294&lt;&gt;"",ISNUMBER(G1294)),Q1294,"")</f>
        <v/>
      </c>
      <c r="V1294">
        <f>IF(AND(Q1294&lt;&gt;"",ISNUMBER(H1294)),Q1294,"")</f>
        <v/>
      </c>
      <c r="W1294">
        <f>IF(AND(Q1294&lt;&gt;"",ISNUMBER(I1294)),Q1294,"")</f>
        <v/>
      </c>
      <c r="X1294">
        <f>IF(AND(Q1294&lt;&gt;"",ISNUMBER(J1294)),Q1294,"")</f>
        <v/>
      </c>
      <c r="Y1294">
        <f>IF(AND(Q1294&lt;&gt;"",ISNUMBER(K1294)),Q1294,"")</f>
        <v/>
      </c>
      <c r="Z1294">
        <f>IF(AND(Q1294&lt;&gt;"",ISNUMBER(L1294)),Q1294,"")</f>
        <v/>
      </c>
      <c r="AA1294">
        <f>IF(AND(Q1294&lt;&gt;"",ISNUMBER(M1294)),Q1294,"")</f>
        <v/>
      </c>
      <c r="AB1294">
        <f>IF(AND(Q1294&lt;&gt;"",ISNUMBER(K1294)),K1294,"")</f>
        <v/>
      </c>
      <c r="AC1294">
        <f>IF(AND(Q1294&lt;&gt;"",ISNUMBER(L1294)),L1294,"")</f>
        <v/>
      </c>
      <c r="AD1294">
        <f>IF(AND(Q1294&lt;&gt;"",ISNUMBER(M1294)),M1294,"")</f>
        <v/>
      </c>
    </row>
    <row r="1295">
      <c r="A1295" s="1" t="n"/>
      <c r="B1295" s="17" t="n"/>
      <c r="C1295" s="27" t="n"/>
      <c r="D1295" s="28" t="n"/>
      <c r="E1295" s="28" t="n"/>
      <c r="F1295" s="28" t="n"/>
      <c r="G1295" s="28" t="n"/>
      <c r="H1295" s="28" t="n"/>
      <c r="I1295" s="28" t="n"/>
      <c r="J1295" s="28" t="n"/>
      <c r="K1295" s="28" t="n"/>
      <c r="L1295" s="28" t="n"/>
      <c r="M1295" s="29" t="n"/>
      <c r="N1295" s="21" t="n"/>
      <c r="O1295" s="12">
        <f>IF(AND(B1295="",C1295=""),"",IF(NOT(ISNUMBER(B1295)),"Needs a date",IF(C1295="","Needs a client",IF(COUNTIF(Clients!$B$6:$B$105,C1295)=0,"Not on Clients",IF(COUNT(D1295:M1295)=0,"Nothing measured","")))))</f>
        <v/>
      </c>
      <c r="P1295" s="1">
        <f>IF(AND(O1295="",ISNUMBER(B1295)),INT(B1295),0)</f>
        <v/>
      </c>
      <c r="Q1295">
        <f>IF(AND(P1295&gt;0,C1295=Report!$C$5),P1295*10000+ROW(),"")</f>
        <v/>
      </c>
      <c r="R1295">
        <f>IF(AND(Q1295&lt;&gt;"",ISNUMBER(D1295)),Q1295,"")</f>
        <v/>
      </c>
      <c r="S1295">
        <f>IF(AND(Q1295&lt;&gt;"",ISNUMBER(E1295)),Q1295,"")</f>
        <v/>
      </c>
      <c r="T1295">
        <f>IF(AND(Q1295&lt;&gt;"",ISNUMBER(F1295)),Q1295,"")</f>
        <v/>
      </c>
      <c r="U1295">
        <f>IF(AND(Q1295&lt;&gt;"",ISNUMBER(G1295)),Q1295,"")</f>
        <v/>
      </c>
      <c r="V1295">
        <f>IF(AND(Q1295&lt;&gt;"",ISNUMBER(H1295)),Q1295,"")</f>
        <v/>
      </c>
      <c r="W1295">
        <f>IF(AND(Q1295&lt;&gt;"",ISNUMBER(I1295)),Q1295,"")</f>
        <v/>
      </c>
      <c r="X1295">
        <f>IF(AND(Q1295&lt;&gt;"",ISNUMBER(J1295)),Q1295,"")</f>
        <v/>
      </c>
      <c r="Y1295">
        <f>IF(AND(Q1295&lt;&gt;"",ISNUMBER(K1295)),Q1295,"")</f>
        <v/>
      </c>
      <c r="Z1295">
        <f>IF(AND(Q1295&lt;&gt;"",ISNUMBER(L1295)),Q1295,"")</f>
        <v/>
      </c>
      <c r="AA1295">
        <f>IF(AND(Q1295&lt;&gt;"",ISNUMBER(M1295)),Q1295,"")</f>
        <v/>
      </c>
      <c r="AB1295">
        <f>IF(AND(Q1295&lt;&gt;"",ISNUMBER(K1295)),K1295,"")</f>
        <v/>
      </c>
      <c r="AC1295">
        <f>IF(AND(Q1295&lt;&gt;"",ISNUMBER(L1295)),L1295,"")</f>
        <v/>
      </c>
      <c r="AD1295">
        <f>IF(AND(Q1295&lt;&gt;"",ISNUMBER(M1295)),M1295,"")</f>
        <v/>
      </c>
    </row>
    <row r="1296">
      <c r="A1296" s="1" t="n"/>
      <c r="B1296" s="17" t="n"/>
      <c r="C1296" s="27" t="n"/>
      <c r="D1296" s="28" t="n"/>
      <c r="E1296" s="28" t="n"/>
      <c r="F1296" s="28" t="n"/>
      <c r="G1296" s="28" t="n"/>
      <c r="H1296" s="28" t="n"/>
      <c r="I1296" s="28" t="n"/>
      <c r="J1296" s="28" t="n"/>
      <c r="K1296" s="28" t="n"/>
      <c r="L1296" s="28" t="n"/>
      <c r="M1296" s="29" t="n"/>
      <c r="N1296" s="21" t="n"/>
      <c r="O1296" s="12">
        <f>IF(AND(B1296="",C1296=""),"",IF(NOT(ISNUMBER(B1296)),"Needs a date",IF(C1296="","Needs a client",IF(COUNTIF(Clients!$B$6:$B$105,C1296)=0,"Not on Clients",IF(COUNT(D1296:M1296)=0,"Nothing measured","")))))</f>
        <v/>
      </c>
      <c r="P1296" s="1">
        <f>IF(AND(O1296="",ISNUMBER(B1296)),INT(B1296),0)</f>
        <v/>
      </c>
      <c r="Q1296">
        <f>IF(AND(P1296&gt;0,C1296=Report!$C$5),P1296*10000+ROW(),"")</f>
        <v/>
      </c>
      <c r="R1296">
        <f>IF(AND(Q1296&lt;&gt;"",ISNUMBER(D1296)),Q1296,"")</f>
        <v/>
      </c>
      <c r="S1296">
        <f>IF(AND(Q1296&lt;&gt;"",ISNUMBER(E1296)),Q1296,"")</f>
        <v/>
      </c>
      <c r="T1296">
        <f>IF(AND(Q1296&lt;&gt;"",ISNUMBER(F1296)),Q1296,"")</f>
        <v/>
      </c>
      <c r="U1296">
        <f>IF(AND(Q1296&lt;&gt;"",ISNUMBER(G1296)),Q1296,"")</f>
        <v/>
      </c>
      <c r="V1296">
        <f>IF(AND(Q1296&lt;&gt;"",ISNUMBER(H1296)),Q1296,"")</f>
        <v/>
      </c>
      <c r="W1296">
        <f>IF(AND(Q1296&lt;&gt;"",ISNUMBER(I1296)),Q1296,"")</f>
        <v/>
      </c>
      <c r="X1296">
        <f>IF(AND(Q1296&lt;&gt;"",ISNUMBER(J1296)),Q1296,"")</f>
        <v/>
      </c>
      <c r="Y1296">
        <f>IF(AND(Q1296&lt;&gt;"",ISNUMBER(K1296)),Q1296,"")</f>
        <v/>
      </c>
      <c r="Z1296">
        <f>IF(AND(Q1296&lt;&gt;"",ISNUMBER(L1296)),Q1296,"")</f>
        <v/>
      </c>
      <c r="AA1296">
        <f>IF(AND(Q1296&lt;&gt;"",ISNUMBER(M1296)),Q1296,"")</f>
        <v/>
      </c>
      <c r="AB1296">
        <f>IF(AND(Q1296&lt;&gt;"",ISNUMBER(K1296)),K1296,"")</f>
        <v/>
      </c>
      <c r="AC1296">
        <f>IF(AND(Q1296&lt;&gt;"",ISNUMBER(L1296)),L1296,"")</f>
        <v/>
      </c>
      <c r="AD1296">
        <f>IF(AND(Q1296&lt;&gt;"",ISNUMBER(M1296)),M1296,"")</f>
        <v/>
      </c>
    </row>
    <row r="1297">
      <c r="A1297" s="1" t="n"/>
      <c r="B1297" s="17" t="n"/>
      <c r="C1297" s="27" t="n"/>
      <c r="D1297" s="28" t="n"/>
      <c r="E1297" s="28" t="n"/>
      <c r="F1297" s="28" t="n"/>
      <c r="G1297" s="28" t="n"/>
      <c r="H1297" s="28" t="n"/>
      <c r="I1297" s="28" t="n"/>
      <c r="J1297" s="28" t="n"/>
      <c r="K1297" s="28" t="n"/>
      <c r="L1297" s="28" t="n"/>
      <c r="M1297" s="29" t="n"/>
      <c r="N1297" s="21" t="n"/>
      <c r="O1297" s="12">
        <f>IF(AND(B1297="",C1297=""),"",IF(NOT(ISNUMBER(B1297)),"Needs a date",IF(C1297="","Needs a client",IF(COUNTIF(Clients!$B$6:$B$105,C1297)=0,"Not on Clients",IF(COUNT(D1297:M1297)=0,"Nothing measured","")))))</f>
        <v/>
      </c>
      <c r="P1297" s="1">
        <f>IF(AND(O1297="",ISNUMBER(B1297)),INT(B1297),0)</f>
        <v/>
      </c>
      <c r="Q1297">
        <f>IF(AND(P1297&gt;0,C1297=Report!$C$5),P1297*10000+ROW(),"")</f>
        <v/>
      </c>
      <c r="R1297">
        <f>IF(AND(Q1297&lt;&gt;"",ISNUMBER(D1297)),Q1297,"")</f>
        <v/>
      </c>
      <c r="S1297">
        <f>IF(AND(Q1297&lt;&gt;"",ISNUMBER(E1297)),Q1297,"")</f>
        <v/>
      </c>
      <c r="T1297">
        <f>IF(AND(Q1297&lt;&gt;"",ISNUMBER(F1297)),Q1297,"")</f>
        <v/>
      </c>
      <c r="U1297">
        <f>IF(AND(Q1297&lt;&gt;"",ISNUMBER(G1297)),Q1297,"")</f>
        <v/>
      </c>
      <c r="V1297">
        <f>IF(AND(Q1297&lt;&gt;"",ISNUMBER(H1297)),Q1297,"")</f>
        <v/>
      </c>
      <c r="W1297">
        <f>IF(AND(Q1297&lt;&gt;"",ISNUMBER(I1297)),Q1297,"")</f>
        <v/>
      </c>
      <c r="X1297">
        <f>IF(AND(Q1297&lt;&gt;"",ISNUMBER(J1297)),Q1297,"")</f>
        <v/>
      </c>
      <c r="Y1297">
        <f>IF(AND(Q1297&lt;&gt;"",ISNUMBER(K1297)),Q1297,"")</f>
        <v/>
      </c>
      <c r="Z1297">
        <f>IF(AND(Q1297&lt;&gt;"",ISNUMBER(L1297)),Q1297,"")</f>
        <v/>
      </c>
      <c r="AA1297">
        <f>IF(AND(Q1297&lt;&gt;"",ISNUMBER(M1297)),Q1297,"")</f>
        <v/>
      </c>
      <c r="AB1297">
        <f>IF(AND(Q1297&lt;&gt;"",ISNUMBER(K1297)),K1297,"")</f>
        <v/>
      </c>
      <c r="AC1297">
        <f>IF(AND(Q1297&lt;&gt;"",ISNUMBER(L1297)),L1297,"")</f>
        <v/>
      </c>
      <c r="AD1297">
        <f>IF(AND(Q1297&lt;&gt;"",ISNUMBER(M1297)),M1297,"")</f>
        <v/>
      </c>
    </row>
    <row r="1298">
      <c r="A1298" s="1" t="n"/>
      <c r="B1298" s="17" t="n"/>
      <c r="C1298" s="27" t="n"/>
      <c r="D1298" s="28" t="n"/>
      <c r="E1298" s="28" t="n"/>
      <c r="F1298" s="28" t="n"/>
      <c r="G1298" s="28" t="n"/>
      <c r="H1298" s="28" t="n"/>
      <c r="I1298" s="28" t="n"/>
      <c r="J1298" s="28" t="n"/>
      <c r="K1298" s="28" t="n"/>
      <c r="L1298" s="28" t="n"/>
      <c r="M1298" s="29" t="n"/>
      <c r="N1298" s="21" t="n"/>
      <c r="O1298" s="12">
        <f>IF(AND(B1298="",C1298=""),"",IF(NOT(ISNUMBER(B1298)),"Needs a date",IF(C1298="","Needs a client",IF(COUNTIF(Clients!$B$6:$B$105,C1298)=0,"Not on Clients",IF(COUNT(D1298:M1298)=0,"Nothing measured","")))))</f>
        <v/>
      </c>
      <c r="P1298" s="1">
        <f>IF(AND(O1298="",ISNUMBER(B1298)),INT(B1298),0)</f>
        <v/>
      </c>
      <c r="Q1298">
        <f>IF(AND(P1298&gt;0,C1298=Report!$C$5),P1298*10000+ROW(),"")</f>
        <v/>
      </c>
      <c r="R1298">
        <f>IF(AND(Q1298&lt;&gt;"",ISNUMBER(D1298)),Q1298,"")</f>
        <v/>
      </c>
      <c r="S1298">
        <f>IF(AND(Q1298&lt;&gt;"",ISNUMBER(E1298)),Q1298,"")</f>
        <v/>
      </c>
      <c r="T1298">
        <f>IF(AND(Q1298&lt;&gt;"",ISNUMBER(F1298)),Q1298,"")</f>
        <v/>
      </c>
      <c r="U1298">
        <f>IF(AND(Q1298&lt;&gt;"",ISNUMBER(G1298)),Q1298,"")</f>
        <v/>
      </c>
      <c r="V1298">
        <f>IF(AND(Q1298&lt;&gt;"",ISNUMBER(H1298)),Q1298,"")</f>
        <v/>
      </c>
      <c r="W1298">
        <f>IF(AND(Q1298&lt;&gt;"",ISNUMBER(I1298)),Q1298,"")</f>
        <v/>
      </c>
      <c r="X1298">
        <f>IF(AND(Q1298&lt;&gt;"",ISNUMBER(J1298)),Q1298,"")</f>
        <v/>
      </c>
      <c r="Y1298">
        <f>IF(AND(Q1298&lt;&gt;"",ISNUMBER(K1298)),Q1298,"")</f>
        <v/>
      </c>
      <c r="Z1298">
        <f>IF(AND(Q1298&lt;&gt;"",ISNUMBER(L1298)),Q1298,"")</f>
        <v/>
      </c>
      <c r="AA1298">
        <f>IF(AND(Q1298&lt;&gt;"",ISNUMBER(M1298)),Q1298,"")</f>
        <v/>
      </c>
      <c r="AB1298">
        <f>IF(AND(Q1298&lt;&gt;"",ISNUMBER(K1298)),K1298,"")</f>
        <v/>
      </c>
      <c r="AC1298">
        <f>IF(AND(Q1298&lt;&gt;"",ISNUMBER(L1298)),L1298,"")</f>
        <v/>
      </c>
      <c r="AD1298">
        <f>IF(AND(Q1298&lt;&gt;"",ISNUMBER(M1298)),M1298,"")</f>
        <v/>
      </c>
    </row>
    <row r="1299">
      <c r="A1299" s="1" t="n"/>
      <c r="B1299" s="17" t="n"/>
      <c r="C1299" s="27" t="n"/>
      <c r="D1299" s="28" t="n"/>
      <c r="E1299" s="28" t="n"/>
      <c r="F1299" s="28" t="n"/>
      <c r="G1299" s="28" t="n"/>
      <c r="H1299" s="28" t="n"/>
      <c r="I1299" s="28" t="n"/>
      <c r="J1299" s="28" t="n"/>
      <c r="K1299" s="28" t="n"/>
      <c r="L1299" s="28" t="n"/>
      <c r="M1299" s="29" t="n"/>
      <c r="N1299" s="21" t="n"/>
      <c r="O1299" s="12">
        <f>IF(AND(B1299="",C1299=""),"",IF(NOT(ISNUMBER(B1299)),"Needs a date",IF(C1299="","Needs a client",IF(COUNTIF(Clients!$B$6:$B$105,C1299)=0,"Not on Clients",IF(COUNT(D1299:M1299)=0,"Nothing measured","")))))</f>
        <v/>
      </c>
      <c r="P1299" s="1">
        <f>IF(AND(O1299="",ISNUMBER(B1299)),INT(B1299),0)</f>
        <v/>
      </c>
      <c r="Q1299">
        <f>IF(AND(P1299&gt;0,C1299=Report!$C$5),P1299*10000+ROW(),"")</f>
        <v/>
      </c>
      <c r="R1299">
        <f>IF(AND(Q1299&lt;&gt;"",ISNUMBER(D1299)),Q1299,"")</f>
        <v/>
      </c>
      <c r="S1299">
        <f>IF(AND(Q1299&lt;&gt;"",ISNUMBER(E1299)),Q1299,"")</f>
        <v/>
      </c>
      <c r="T1299">
        <f>IF(AND(Q1299&lt;&gt;"",ISNUMBER(F1299)),Q1299,"")</f>
        <v/>
      </c>
      <c r="U1299">
        <f>IF(AND(Q1299&lt;&gt;"",ISNUMBER(G1299)),Q1299,"")</f>
        <v/>
      </c>
      <c r="V1299">
        <f>IF(AND(Q1299&lt;&gt;"",ISNUMBER(H1299)),Q1299,"")</f>
        <v/>
      </c>
      <c r="W1299">
        <f>IF(AND(Q1299&lt;&gt;"",ISNUMBER(I1299)),Q1299,"")</f>
        <v/>
      </c>
      <c r="X1299">
        <f>IF(AND(Q1299&lt;&gt;"",ISNUMBER(J1299)),Q1299,"")</f>
        <v/>
      </c>
      <c r="Y1299">
        <f>IF(AND(Q1299&lt;&gt;"",ISNUMBER(K1299)),Q1299,"")</f>
        <v/>
      </c>
      <c r="Z1299">
        <f>IF(AND(Q1299&lt;&gt;"",ISNUMBER(L1299)),Q1299,"")</f>
        <v/>
      </c>
      <c r="AA1299">
        <f>IF(AND(Q1299&lt;&gt;"",ISNUMBER(M1299)),Q1299,"")</f>
        <v/>
      </c>
      <c r="AB1299">
        <f>IF(AND(Q1299&lt;&gt;"",ISNUMBER(K1299)),K1299,"")</f>
        <v/>
      </c>
      <c r="AC1299">
        <f>IF(AND(Q1299&lt;&gt;"",ISNUMBER(L1299)),L1299,"")</f>
        <v/>
      </c>
      <c r="AD1299">
        <f>IF(AND(Q1299&lt;&gt;"",ISNUMBER(M1299)),M1299,"")</f>
        <v/>
      </c>
    </row>
    <row r="1300">
      <c r="A1300" s="1" t="n"/>
      <c r="B1300" s="17" t="n"/>
      <c r="C1300" s="27" t="n"/>
      <c r="D1300" s="28" t="n"/>
      <c r="E1300" s="28" t="n"/>
      <c r="F1300" s="28" t="n"/>
      <c r="G1300" s="28" t="n"/>
      <c r="H1300" s="28" t="n"/>
      <c r="I1300" s="28" t="n"/>
      <c r="J1300" s="28" t="n"/>
      <c r="K1300" s="28" t="n"/>
      <c r="L1300" s="28" t="n"/>
      <c r="M1300" s="29" t="n"/>
      <c r="N1300" s="21" t="n"/>
      <c r="O1300" s="12">
        <f>IF(AND(B1300="",C1300=""),"",IF(NOT(ISNUMBER(B1300)),"Needs a date",IF(C1300="","Needs a client",IF(COUNTIF(Clients!$B$6:$B$105,C1300)=0,"Not on Clients",IF(COUNT(D1300:M1300)=0,"Nothing measured","")))))</f>
        <v/>
      </c>
      <c r="P1300" s="1">
        <f>IF(AND(O1300="",ISNUMBER(B1300)),INT(B1300),0)</f>
        <v/>
      </c>
      <c r="Q1300">
        <f>IF(AND(P1300&gt;0,C1300=Report!$C$5),P1300*10000+ROW(),"")</f>
        <v/>
      </c>
      <c r="R1300">
        <f>IF(AND(Q1300&lt;&gt;"",ISNUMBER(D1300)),Q1300,"")</f>
        <v/>
      </c>
      <c r="S1300">
        <f>IF(AND(Q1300&lt;&gt;"",ISNUMBER(E1300)),Q1300,"")</f>
        <v/>
      </c>
      <c r="T1300">
        <f>IF(AND(Q1300&lt;&gt;"",ISNUMBER(F1300)),Q1300,"")</f>
        <v/>
      </c>
      <c r="U1300">
        <f>IF(AND(Q1300&lt;&gt;"",ISNUMBER(G1300)),Q1300,"")</f>
        <v/>
      </c>
      <c r="V1300">
        <f>IF(AND(Q1300&lt;&gt;"",ISNUMBER(H1300)),Q1300,"")</f>
        <v/>
      </c>
      <c r="W1300">
        <f>IF(AND(Q1300&lt;&gt;"",ISNUMBER(I1300)),Q1300,"")</f>
        <v/>
      </c>
      <c r="X1300">
        <f>IF(AND(Q1300&lt;&gt;"",ISNUMBER(J1300)),Q1300,"")</f>
        <v/>
      </c>
      <c r="Y1300">
        <f>IF(AND(Q1300&lt;&gt;"",ISNUMBER(K1300)),Q1300,"")</f>
        <v/>
      </c>
      <c r="Z1300">
        <f>IF(AND(Q1300&lt;&gt;"",ISNUMBER(L1300)),Q1300,"")</f>
        <v/>
      </c>
      <c r="AA1300">
        <f>IF(AND(Q1300&lt;&gt;"",ISNUMBER(M1300)),Q1300,"")</f>
        <v/>
      </c>
      <c r="AB1300">
        <f>IF(AND(Q1300&lt;&gt;"",ISNUMBER(K1300)),K1300,"")</f>
        <v/>
      </c>
      <c r="AC1300">
        <f>IF(AND(Q1300&lt;&gt;"",ISNUMBER(L1300)),L1300,"")</f>
        <v/>
      </c>
      <c r="AD1300">
        <f>IF(AND(Q1300&lt;&gt;"",ISNUMBER(M1300)),M1300,"")</f>
        <v/>
      </c>
    </row>
    <row r="1301">
      <c r="A1301" s="1" t="n"/>
      <c r="B1301" s="17" t="n"/>
      <c r="C1301" s="27" t="n"/>
      <c r="D1301" s="28" t="n"/>
      <c r="E1301" s="28" t="n"/>
      <c r="F1301" s="28" t="n"/>
      <c r="G1301" s="28" t="n"/>
      <c r="H1301" s="28" t="n"/>
      <c r="I1301" s="28" t="n"/>
      <c r="J1301" s="28" t="n"/>
      <c r="K1301" s="28" t="n"/>
      <c r="L1301" s="28" t="n"/>
      <c r="M1301" s="29" t="n"/>
      <c r="N1301" s="21" t="n"/>
      <c r="O1301" s="12">
        <f>IF(AND(B1301="",C1301=""),"",IF(NOT(ISNUMBER(B1301)),"Needs a date",IF(C1301="","Needs a client",IF(COUNTIF(Clients!$B$6:$B$105,C1301)=0,"Not on Clients",IF(COUNT(D1301:M1301)=0,"Nothing measured","")))))</f>
        <v/>
      </c>
      <c r="P1301" s="1">
        <f>IF(AND(O1301="",ISNUMBER(B1301)),INT(B1301),0)</f>
        <v/>
      </c>
      <c r="Q1301">
        <f>IF(AND(P1301&gt;0,C1301=Report!$C$5),P1301*10000+ROW(),"")</f>
        <v/>
      </c>
      <c r="R1301">
        <f>IF(AND(Q1301&lt;&gt;"",ISNUMBER(D1301)),Q1301,"")</f>
        <v/>
      </c>
      <c r="S1301">
        <f>IF(AND(Q1301&lt;&gt;"",ISNUMBER(E1301)),Q1301,"")</f>
        <v/>
      </c>
      <c r="T1301">
        <f>IF(AND(Q1301&lt;&gt;"",ISNUMBER(F1301)),Q1301,"")</f>
        <v/>
      </c>
      <c r="U1301">
        <f>IF(AND(Q1301&lt;&gt;"",ISNUMBER(G1301)),Q1301,"")</f>
        <v/>
      </c>
      <c r="V1301">
        <f>IF(AND(Q1301&lt;&gt;"",ISNUMBER(H1301)),Q1301,"")</f>
        <v/>
      </c>
      <c r="W1301">
        <f>IF(AND(Q1301&lt;&gt;"",ISNUMBER(I1301)),Q1301,"")</f>
        <v/>
      </c>
      <c r="X1301">
        <f>IF(AND(Q1301&lt;&gt;"",ISNUMBER(J1301)),Q1301,"")</f>
        <v/>
      </c>
      <c r="Y1301">
        <f>IF(AND(Q1301&lt;&gt;"",ISNUMBER(K1301)),Q1301,"")</f>
        <v/>
      </c>
      <c r="Z1301">
        <f>IF(AND(Q1301&lt;&gt;"",ISNUMBER(L1301)),Q1301,"")</f>
        <v/>
      </c>
      <c r="AA1301">
        <f>IF(AND(Q1301&lt;&gt;"",ISNUMBER(M1301)),Q1301,"")</f>
        <v/>
      </c>
      <c r="AB1301">
        <f>IF(AND(Q1301&lt;&gt;"",ISNUMBER(K1301)),K1301,"")</f>
        <v/>
      </c>
      <c r="AC1301">
        <f>IF(AND(Q1301&lt;&gt;"",ISNUMBER(L1301)),L1301,"")</f>
        <v/>
      </c>
      <c r="AD1301">
        <f>IF(AND(Q1301&lt;&gt;"",ISNUMBER(M1301)),M1301,"")</f>
        <v/>
      </c>
    </row>
    <row r="1302">
      <c r="A1302" s="1" t="n"/>
      <c r="B1302" s="17" t="n"/>
      <c r="C1302" s="27" t="n"/>
      <c r="D1302" s="28" t="n"/>
      <c r="E1302" s="28" t="n"/>
      <c r="F1302" s="28" t="n"/>
      <c r="G1302" s="28" t="n"/>
      <c r="H1302" s="28" t="n"/>
      <c r="I1302" s="28" t="n"/>
      <c r="J1302" s="28" t="n"/>
      <c r="K1302" s="28" t="n"/>
      <c r="L1302" s="28" t="n"/>
      <c r="M1302" s="29" t="n"/>
      <c r="N1302" s="21" t="n"/>
      <c r="O1302" s="12">
        <f>IF(AND(B1302="",C1302=""),"",IF(NOT(ISNUMBER(B1302)),"Needs a date",IF(C1302="","Needs a client",IF(COUNTIF(Clients!$B$6:$B$105,C1302)=0,"Not on Clients",IF(COUNT(D1302:M1302)=0,"Nothing measured","")))))</f>
        <v/>
      </c>
      <c r="P1302" s="1">
        <f>IF(AND(O1302="",ISNUMBER(B1302)),INT(B1302),0)</f>
        <v/>
      </c>
      <c r="Q1302">
        <f>IF(AND(P1302&gt;0,C1302=Report!$C$5),P1302*10000+ROW(),"")</f>
        <v/>
      </c>
      <c r="R1302">
        <f>IF(AND(Q1302&lt;&gt;"",ISNUMBER(D1302)),Q1302,"")</f>
        <v/>
      </c>
      <c r="S1302">
        <f>IF(AND(Q1302&lt;&gt;"",ISNUMBER(E1302)),Q1302,"")</f>
        <v/>
      </c>
      <c r="T1302">
        <f>IF(AND(Q1302&lt;&gt;"",ISNUMBER(F1302)),Q1302,"")</f>
        <v/>
      </c>
      <c r="U1302">
        <f>IF(AND(Q1302&lt;&gt;"",ISNUMBER(G1302)),Q1302,"")</f>
        <v/>
      </c>
      <c r="V1302">
        <f>IF(AND(Q1302&lt;&gt;"",ISNUMBER(H1302)),Q1302,"")</f>
        <v/>
      </c>
      <c r="W1302">
        <f>IF(AND(Q1302&lt;&gt;"",ISNUMBER(I1302)),Q1302,"")</f>
        <v/>
      </c>
      <c r="X1302">
        <f>IF(AND(Q1302&lt;&gt;"",ISNUMBER(J1302)),Q1302,"")</f>
        <v/>
      </c>
      <c r="Y1302">
        <f>IF(AND(Q1302&lt;&gt;"",ISNUMBER(K1302)),Q1302,"")</f>
        <v/>
      </c>
      <c r="Z1302">
        <f>IF(AND(Q1302&lt;&gt;"",ISNUMBER(L1302)),Q1302,"")</f>
        <v/>
      </c>
      <c r="AA1302">
        <f>IF(AND(Q1302&lt;&gt;"",ISNUMBER(M1302)),Q1302,"")</f>
        <v/>
      </c>
      <c r="AB1302">
        <f>IF(AND(Q1302&lt;&gt;"",ISNUMBER(K1302)),K1302,"")</f>
        <v/>
      </c>
      <c r="AC1302">
        <f>IF(AND(Q1302&lt;&gt;"",ISNUMBER(L1302)),L1302,"")</f>
        <v/>
      </c>
      <c r="AD1302">
        <f>IF(AND(Q1302&lt;&gt;"",ISNUMBER(M1302)),M1302,"")</f>
        <v/>
      </c>
    </row>
    <row r="1303">
      <c r="A1303" s="1" t="n"/>
      <c r="B1303" s="17" t="n"/>
      <c r="C1303" s="27" t="n"/>
      <c r="D1303" s="28" t="n"/>
      <c r="E1303" s="28" t="n"/>
      <c r="F1303" s="28" t="n"/>
      <c r="G1303" s="28" t="n"/>
      <c r="H1303" s="28" t="n"/>
      <c r="I1303" s="28" t="n"/>
      <c r="J1303" s="28" t="n"/>
      <c r="K1303" s="28" t="n"/>
      <c r="L1303" s="28" t="n"/>
      <c r="M1303" s="29" t="n"/>
      <c r="N1303" s="21" t="n"/>
      <c r="O1303" s="12">
        <f>IF(AND(B1303="",C1303=""),"",IF(NOT(ISNUMBER(B1303)),"Needs a date",IF(C1303="","Needs a client",IF(COUNTIF(Clients!$B$6:$B$105,C1303)=0,"Not on Clients",IF(COUNT(D1303:M1303)=0,"Nothing measured","")))))</f>
        <v/>
      </c>
      <c r="P1303" s="1">
        <f>IF(AND(O1303="",ISNUMBER(B1303)),INT(B1303),0)</f>
        <v/>
      </c>
      <c r="Q1303">
        <f>IF(AND(P1303&gt;0,C1303=Report!$C$5),P1303*10000+ROW(),"")</f>
        <v/>
      </c>
      <c r="R1303">
        <f>IF(AND(Q1303&lt;&gt;"",ISNUMBER(D1303)),Q1303,"")</f>
        <v/>
      </c>
      <c r="S1303">
        <f>IF(AND(Q1303&lt;&gt;"",ISNUMBER(E1303)),Q1303,"")</f>
        <v/>
      </c>
      <c r="T1303">
        <f>IF(AND(Q1303&lt;&gt;"",ISNUMBER(F1303)),Q1303,"")</f>
        <v/>
      </c>
      <c r="U1303">
        <f>IF(AND(Q1303&lt;&gt;"",ISNUMBER(G1303)),Q1303,"")</f>
        <v/>
      </c>
      <c r="V1303">
        <f>IF(AND(Q1303&lt;&gt;"",ISNUMBER(H1303)),Q1303,"")</f>
        <v/>
      </c>
      <c r="W1303">
        <f>IF(AND(Q1303&lt;&gt;"",ISNUMBER(I1303)),Q1303,"")</f>
        <v/>
      </c>
      <c r="X1303">
        <f>IF(AND(Q1303&lt;&gt;"",ISNUMBER(J1303)),Q1303,"")</f>
        <v/>
      </c>
      <c r="Y1303">
        <f>IF(AND(Q1303&lt;&gt;"",ISNUMBER(K1303)),Q1303,"")</f>
        <v/>
      </c>
      <c r="Z1303">
        <f>IF(AND(Q1303&lt;&gt;"",ISNUMBER(L1303)),Q1303,"")</f>
        <v/>
      </c>
      <c r="AA1303">
        <f>IF(AND(Q1303&lt;&gt;"",ISNUMBER(M1303)),Q1303,"")</f>
        <v/>
      </c>
      <c r="AB1303">
        <f>IF(AND(Q1303&lt;&gt;"",ISNUMBER(K1303)),K1303,"")</f>
        <v/>
      </c>
      <c r="AC1303">
        <f>IF(AND(Q1303&lt;&gt;"",ISNUMBER(L1303)),L1303,"")</f>
        <v/>
      </c>
      <c r="AD1303">
        <f>IF(AND(Q1303&lt;&gt;"",ISNUMBER(M1303)),M1303,"")</f>
        <v/>
      </c>
    </row>
    <row r="1304">
      <c r="A1304" s="1" t="n"/>
      <c r="B1304" s="17" t="n"/>
      <c r="C1304" s="27" t="n"/>
      <c r="D1304" s="28" t="n"/>
      <c r="E1304" s="28" t="n"/>
      <c r="F1304" s="28" t="n"/>
      <c r="G1304" s="28" t="n"/>
      <c r="H1304" s="28" t="n"/>
      <c r="I1304" s="28" t="n"/>
      <c r="J1304" s="28" t="n"/>
      <c r="K1304" s="28" t="n"/>
      <c r="L1304" s="28" t="n"/>
      <c r="M1304" s="29" t="n"/>
      <c r="N1304" s="21" t="n"/>
      <c r="O1304" s="12">
        <f>IF(AND(B1304="",C1304=""),"",IF(NOT(ISNUMBER(B1304)),"Needs a date",IF(C1304="","Needs a client",IF(COUNTIF(Clients!$B$6:$B$105,C1304)=0,"Not on Clients",IF(COUNT(D1304:M1304)=0,"Nothing measured","")))))</f>
        <v/>
      </c>
      <c r="P1304" s="1">
        <f>IF(AND(O1304="",ISNUMBER(B1304)),INT(B1304),0)</f>
        <v/>
      </c>
      <c r="Q1304">
        <f>IF(AND(P1304&gt;0,C1304=Report!$C$5),P1304*10000+ROW(),"")</f>
        <v/>
      </c>
      <c r="R1304">
        <f>IF(AND(Q1304&lt;&gt;"",ISNUMBER(D1304)),Q1304,"")</f>
        <v/>
      </c>
      <c r="S1304">
        <f>IF(AND(Q1304&lt;&gt;"",ISNUMBER(E1304)),Q1304,"")</f>
        <v/>
      </c>
      <c r="T1304">
        <f>IF(AND(Q1304&lt;&gt;"",ISNUMBER(F1304)),Q1304,"")</f>
        <v/>
      </c>
      <c r="U1304">
        <f>IF(AND(Q1304&lt;&gt;"",ISNUMBER(G1304)),Q1304,"")</f>
        <v/>
      </c>
      <c r="V1304">
        <f>IF(AND(Q1304&lt;&gt;"",ISNUMBER(H1304)),Q1304,"")</f>
        <v/>
      </c>
      <c r="W1304">
        <f>IF(AND(Q1304&lt;&gt;"",ISNUMBER(I1304)),Q1304,"")</f>
        <v/>
      </c>
      <c r="X1304">
        <f>IF(AND(Q1304&lt;&gt;"",ISNUMBER(J1304)),Q1304,"")</f>
        <v/>
      </c>
      <c r="Y1304">
        <f>IF(AND(Q1304&lt;&gt;"",ISNUMBER(K1304)),Q1304,"")</f>
        <v/>
      </c>
      <c r="Z1304">
        <f>IF(AND(Q1304&lt;&gt;"",ISNUMBER(L1304)),Q1304,"")</f>
        <v/>
      </c>
      <c r="AA1304">
        <f>IF(AND(Q1304&lt;&gt;"",ISNUMBER(M1304)),Q1304,"")</f>
        <v/>
      </c>
      <c r="AB1304">
        <f>IF(AND(Q1304&lt;&gt;"",ISNUMBER(K1304)),K1304,"")</f>
        <v/>
      </c>
      <c r="AC1304">
        <f>IF(AND(Q1304&lt;&gt;"",ISNUMBER(L1304)),L1304,"")</f>
        <v/>
      </c>
      <c r="AD1304">
        <f>IF(AND(Q1304&lt;&gt;"",ISNUMBER(M1304)),M1304,"")</f>
        <v/>
      </c>
    </row>
    <row r="1305">
      <c r="A1305" s="1" t="n"/>
      <c r="B1305" s="17" t="n"/>
      <c r="C1305" s="27" t="n"/>
      <c r="D1305" s="28" t="n"/>
      <c r="E1305" s="28" t="n"/>
      <c r="F1305" s="28" t="n"/>
      <c r="G1305" s="28" t="n"/>
      <c r="H1305" s="28" t="n"/>
      <c r="I1305" s="28" t="n"/>
      <c r="J1305" s="28" t="n"/>
      <c r="K1305" s="28" t="n"/>
      <c r="L1305" s="28" t="n"/>
      <c r="M1305" s="29" t="n"/>
      <c r="N1305" s="21" t="n"/>
      <c r="O1305" s="12">
        <f>IF(AND(B1305="",C1305=""),"",IF(NOT(ISNUMBER(B1305)),"Needs a date",IF(C1305="","Needs a client",IF(COUNTIF(Clients!$B$6:$B$105,C1305)=0,"Not on Clients",IF(COUNT(D1305:M1305)=0,"Nothing measured","")))))</f>
        <v/>
      </c>
      <c r="P1305" s="1">
        <f>IF(AND(O1305="",ISNUMBER(B1305)),INT(B1305),0)</f>
        <v/>
      </c>
      <c r="Q1305">
        <f>IF(AND(P1305&gt;0,C1305=Report!$C$5),P1305*10000+ROW(),"")</f>
        <v/>
      </c>
      <c r="R1305">
        <f>IF(AND(Q1305&lt;&gt;"",ISNUMBER(D1305)),Q1305,"")</f>
        <v/>
      </c>
      <c r="S1305">
        <f>IF(AND(Q1305&lt;&gt;"",ISNUMBER(E1305)),Q1305,"")</f>
        <v/>
      </c>
      <c r="T1305">
        <f>IF(AND(Q1305&lt;&gt;"",ISNUMBER(F1305)),Q1305,"")</f>
        <v/>
      </c>
      <c r="U1305">
        <f>IF(AND(Q1305&lt;&gt;"",ISNUMBER(G1305)),Q1305,"")</f>
        <v/>
      </c>
      <c r="V1305">
        <f>IF(AND(Q1305&lt;&gt;"",ISNUMBER(H1305)),Q1305,"")</f>
        <v/>
      </c>
      <c r="W1305">
        <f>IF(AND(Q1305&lt;&gt;"",ISNUMBER(I1305)),Q1305,"")</f>
        <v/>
      </c>
      <c r="X1305">
        <f>IF(AND(Q1305&lt;&gt;"",ISNUMBER(J1305)),Q1305,"")</f>
        <v/>
      </c>
      <c r="Y1305">
        <f>IF(AND(Q1305&lt;&gt;"",ISNUMBER(K1305)),Q1305,"")</f>
        <v/>
      </c>
      <c r="Z1305">
        <f>IF(AND(Q1305&lt;&gt;"",ISNUMBER(L1305)),Q1305,"")</f>
        <v/>
      </c>
      <c r="AA1305">
        <f>IF(AND(Q1305&lt;&gt;"",ISNUMBER(M1305)),Q1305,"")</f>
        <v/>
      </c>
      <c r="AB1305">
        <f>IF(AND(Q1305&lt;&gt;"",ISNUMBER(K1305)),K1305,"")</f>
        <v/>
      </c>
      <c r="AC1305">
        <f>IF(AND(Q1305&lt;&gt;"",ISNUMBER(L1305)),L1305,"")</f>
        <v/>
      </c>
      <c r="AD1305">
        <f>IF(AND(Q1305&lt;&gt;"",ISNUMBER(M1305)),M1305,"")</f>
        <v/>
      </c>
    </row>
    <row r="1306">
      <c r="A1306" s="1" t="n"/>
      <c r="B1306" s="17" t="n"/>
      <c r="C1306" s="27" t="n"/>
      <c r="D1306" s="28" t="n"/>
      <c r="E1306" s="28" t="n"/>
      <c r="F1306" s="28" t="n"/>
      <c r="G1306" s="28" t="n"/>
      <c r="H1306" s="28" t="n"/>
      <c r="I1306" s="28" t="n"/>
      <c r="J1306" s="28" t="n"/>
      <c r="K1306" s="28" t="n"/>
      <c r="L1306" s="28" t="n"/>
      <c r="M1306" s="29" t="n"/>
      <c r="N1306" s="21" t="n"/>
      <c r="O1306" s="12">
        <f>IF(AND(B1306="",C1306=""),"",IF(NOT(ISNUMBER(B1306)),"Needs a date",IF(C1306="","Needs a client",IF(COUNTIF(Clients!$B$6:$B$105,C1306)=0,"Not on Clients",IF(COUNT(D1306:M1306)=0,"Nothing measured","")))))</f>
        <v/>
      </c>
      <c r="P1306" s="1">
        <f>IF(AND(O1306="",ISNUMBER(B1306)),INT(B1306),0)</f>
        <v/>
      </c>
      <c r="Q1306">
        <f>IF(AND(P1306&gt;0,C1306=Report!$C$5),P1306*10000+ROW(),"")</f>
        <v/>
      </c>
      <c r="R1306">
        <f>IF(AND(Q1306&lt;&gt;"",ISNUMBER(D1306)),Q1306,"")</f>
        <v/>
      </c>
      <c r="S1306">
        <f>IF(AND(Q1306&lt;&gt;"",ISNUMBER(E1306)),Q1306,"")</f>
        <v/>
      </c>
      <c r="T1306">
        <f>IF(AND(Q1306&lt;&gt;"",ISNUMBER(F1306)),Q1306,"")</f>
        <v/>
      </c>
      <c r="U1306">
        <f>IF(AND(Q1306&lt;&gt;"",ISNUMBER(G1306)),Q1306,"")</f>
        <v/>
      </c>
      <c r="V1306">
        <f>IF(AND(Q1306&lt;&gt;"",ISNUMBER(H1306)),Q1306,"")</f>
        <v/>
      </c>
      <c r="W1306">
        <f>IF(AND(Q1306&lt;&gt;"",ISNUMBER(I1306)),Q1306,"")</f>
        <v/>
      </c>
      <c r="X1306">
        <f>IF(AND(Q1306&lt;&gt;"",ISNUMBER(J1306)),Q1306,"")</f>
        <v/>
      </c>
      <c r="Y1306">
        <f>IF(AND(Q1306&lt;&gt;"",ISNUMBER(K1306)),Q1306,"")</f>
        <v/>
      </c>
      <c r="Z1306">
        <f>IF(AND(Q1306&lt;&gt;"",ISNUMBER(L1306)),Q1306,"")</f>
        <v/>
      </c>
      <c r="AA1306">
        <f>IF(AND(Q1306&lt;&gt;"",ISNUMBER(M1306)),Q1306,"")</f>
        <v/>
      </c>
      <c r="AB1306">
        <f>IF(AND(Q1306&lt;&gt;"",ISNUMBER(K1306)),K1306,"")</f>
        <v/>
      </c>
      <c r="AC1306">
        <f>IF(AND(Q1306&lt;&gt;"",ISNUMBER(L1306)),L1306,"")</f>
        <v/>
      </c>
      <c r="AD1306">
        <f>IF(AND(Q1306&lt;&gt;"",ISNUMBER(M1306)),M1306,"")</f>
        <v/>
      </c>
    </row>
    <row r="1307">
      <c r="A1307" s="1" t="n"/>
      <c r="B1307" s="17" t="n"/>
      <c r="C1307" s="27" t="n"/>
      <c r="D1307" s="28" t="n"/>
      <c r="E1307" s="28" t="n"/>
      <c r="F1307" s="28" t="n"/>
      <c r="G1307" s="28" t="n"/>
      <c r="H1307" s="28" t="n"/>
      <c r="I1307" s="28" t="n"/>
      <c r="J1307" s="28" t="n"/>
      <c r="K1307" s="28" t="n"/>
      <c r="L1307" s="28" t="n"/>
      <c r="M1307" s="29" t="n"/>
      <c r="N1307" s="21" t="n"/>
      <c r="O1307" s="12">
        <f>IF(AND(B1307="",C1307=""),"",IF(NOT(ISNUMBER(B1307)),"Needs a date",IF(C1307="","Needs a client",IF(COUNTIF(Clients!$B$6:$B$105,C1307)=0,"Not on Clients",IF(COUNT(D1307:M1307)=0,"Nothing measured","")))))</f>
        <v/>
      </c>
      <c r="P1307" s="1">
        <f>IF(AND(O1307="",ISNUMBER(B1307)),INT(B1307),0)</f>
        <v/>
      </c>
      <c r="Q1307">
        <f>IF(AND(P1307&gt;0,C1307=Report!$C$5),P1307*10000+ROW(),"")</f>
        <v/>
      </c>
      <c r="R1307">
        <f>IF(AND(Q1307&lt;&gt;"",ISNUMBER(D1307)),Q1307,"")</f>
        <v/>
      </c>
      <c r="S1307">
        <f>IF(AND(Q1307&lt;&gt;"",ISNUMBER(E1307)),Q1307,"")</f>
        <v/>
      </c>
      <c r="T1307">
        <f>IF(AND(Q1307&lt;&gt;"",ISNUMBER(F1307)),Q1307,"")</f>
        <v/>
      </c>
      <c r="U1307">
        <f>IF(AND(Q1307&lt;&gt;"",ISNUMBER(G1307)),Q1307,"")</f>
        <v/>
      </c>
      <c r="V1307">
        <f>IF(AND(Q1307&lt;&gt;"",ISNUMBER(H1307)),Q1307,"")</f>
        <v/>
      </c>
      <c r="W1307">
        <f>IF(AND(Q1307&lt;&gt;"",ISNUMBER(I1307)),Q1307,"")</f>
        <v/>
      </c>
      <c r="X1307">
        <f>IF(AND(Q1307&lt;&gt;"",ISNUMBER(J1307)),Q1307,"")</f>
        <v/>
      </c>
      <c r="Y1307">
        <f>IF(AND(Q1307&lt;&gt;"",ISNUMBER(K1307)),Q1307,"")</f>
        <v/>
      </c>
      <c r="Z1307">
        <f>IF(AND(Q1307&lt;&gt;"",ISNUMBER(L1307)),Q1307,"")</f>
        <v/>
      </c>
      <c r="AA1307">
        <f>IF(AND(Q1307&lt;&gt;"",ISNUMBER(M1307)),Q1307,"")</f>
        <v/>
      </c>
      <c r="AB1307">
        <f>IF(AND(Q1307&lt;&gt;"",ISNUMBER(K1307)),K1307,"")</f>
        <v/>
      </c>
      <c r="AC1307">
        <f>IF(AND(Q1307&lt;&gt;"",ISNUMBER(L1307)),L1307,"")</f>
        <v/>
      </c>
      <c r="AD1307">
        <f>IF(AND(Q1307&lt;&gt;"",ISNUMBER(M1307)),M1307,"")</f>
        <v/>
      </c>
    </row>
    <row r="1308">
      <c r="A1308" s="1" t="n"/>
      <c r="B1308" s="17" t="n"/>
      <c r="C1308" s="27" t="n"/>
      <c r="D1308" s="28" t="n"/>
      <c r="E1308" s="28" t="n"/>
      <c r="F1308" s="28" t="n"/>
      <c r="G1308" s="28" t="n"/>
      <c r="H1308" s="28" t="n"/>
      <c r="I1308" s="28" t="n"/>
      <c r="J1308" s="28" t="n"/>
      <c r="K1308" s="28" t="n"/>
      <c r="L1308" s="28" t="n"/>
      <c r="M1308" s="29" t="n"/>
      <c r="N1308" s="21" t="n"/>
      <c r="O1308" s="12">
        <f>IF(AND(B1308="",C1308=""),"",IF(NOT(ISNUMBER(B1308)),"Needs a date",IF(C1308="","Needs a client",IF(COUNTIF(Clients!$B$6:$B$105,C1308)=0,"Not on Clients",IF(COUNT(D1308:M1308)=0,"Nothing measured","")))))</f>
        <v/>
      </c>
      <c r="P1308" s="1">
        <f>IF(AND(O1308="",ISNUMBER(B1308)),INT(B1308),0)</f>
        <v/>
      </c>
      <c r="Q1308">
        <f>IF(AND(P1308&gt;0,C1308=Report!$C$5),P1308*10000+ROW(),"")</f>
        <v/>
      </c>
      <c r="R1308">
        <f>IF(AND(Q1308&lt;&gt;"",ISNUMBER(D1308)),Q1308,"")</f>
        <v/>
      </c>
      <c r="S1308">
        <f>IF(AND(Q1308&lt;&gt;"",ISNUMBER(E1308)),Q1308,"")</f>
        <v/>
      </c>
      <c r="T1308">
        <f>IF(AND(Q1308&lt;&gt;"",ISNUMBER(F1308)),Q1308,"")</f>
        <v/>
      </c>
      <c r="U1308">
        <f>IF(AND(Q1308&lt;&gt;"",ISNUMBER(G1308)),Q1308,"")</f>
        <v/>
      </c>
      <c r="V1308">
        <f>IF(AND(Q1308&lt;&gt;"",ISNUMBER(H1308)),Q1308,"")</f>
        <v/>
      </c>
      <c r="W1308">
        <f>IF(AND(Q1308&lt;&gt;"",ISNUMBER(I1308)),Q1308,"")</f>
        <v/>
      </c>
      <c r="X1308">
        <f>IF(AND(Q1308&lt;&gt;"",ISNUMBER(J1308)),Q1308,"")</f>
        <v/>
      </c>
      <c r="Y1308">
        <f>IF(AND(Q1308&lt;&gt;"",ISNUMBER(K1308)),Q1308,"")</f>
        <v/>
      </c>
      <c r="Z1308">
        <f>IF(AND(Q1308&lt;&gt;"",ISNUMBER(L1308)),Q1308,"")</f>
        <v/>
      </c>
      <c r="AA1308">
        <f>IF(AND(Q1308&lt;&gt;"",ISNUMBER(M1308)),Q1308,"")</f>
        <v/>
      </c>
      <c r="AB1308">
        <f>IF(AND(Q1308&lt;&gt;"",ISNUMBER(K1308)),K1308,"")</f>
        <v/>
      </c>
      <c r="AC1308">
        <f>IF(AND(Q1308&lt;&gt;"",ISNUMBER(L1308)),L1308,"")</f>
        <v/>
      </c>
      <c r="AD1308">
        <f>IF(AND(Q1308&lt;&gt;"",ISNUMBER(M1308)),M1308,"")</f>
        <v/>
      </c>
    </row>
    <row r="1309">
      <c r="A1309" s="1" t="n"/>
      <c r="B1309" s="17" t="n"/>
      <c r="C1309" s="27" t="n"/>
      <c r="D1309" s="28" t="n"/>
      <c r="E1309" s="28" t="n"/>
      <c r="F1309" s="28" t="n"/>
      <c r="G1309" s="28" t="n"/>
      <c r="H1309" s="28" t="n"/>
      <c r="I1309" s="28" t="n"/>
      <c r="J1309" s="28" t="n"/>
      <c r="K1309" s="28" t="n"/>
      <c r="L1309" s="28" t="n"/>
      <c r="M1309" s="29" t="n"/>
      <c r="N1309" s="21" t="n"/>
      <c r="O1309" s="12">
        <f>IF(AND(B1309="",C1309=""),"",IF(NOT(ISNUMBER(B1309)),"Needs a date",IF(C1309="","Needs a client",IF(COUNTIF(Clients!$B$6:$B$105,C1309)=0,"Not on Clients",IF(COUNT(D1309:M1309)=0,"Nothing measured","")))))</f>
        <v/>
      </c>
      <c r="P1309" s="1">
        <f>IF(AND(O1309="",ISNUMBER(B1309)),INT(B1309),0)</f>
        <v/>
      </c>
      <c r="Q1309">
        <f>IF(AND(P1309&gt;0,C1309=Report!$C$5),P1309*10000+ROW(),"")</f>
        <v/>
      </c>
      <c r="R1309">
        <f>IF(AND(Q1309&lt;&gt;"",ISNUMBER(D1309)),Q1309,"")</f>
        <v/>
      </c>
      <c r="S1309">
        <f>IF(AND(Q1309&lt;&gt;"",ISNUMBER(E1309)),Q1309,"")</f>
        <v/>
      </c>
      <c r="T1309">
        <f>IF(AND(Q1309&lt;&gt;"",ISNUMBER(F1309)),Q1309,"")</f>
        <v/>
      </c>
      <c r="U1309">
        <f>IF(AND(Q1309&lt;&gt;"",ISNUMBER(G1309)),Q1309,"")</f>
        <v/>
      </c>
      <c r="V1309">
        <f>IF(AND(Q1309&lt;&gt;"",ISNUMBER(H1309)),Q1309,"")</f>
        <v/>
      </c>
      <c r="W1309">
        <f>IF(AND(Q1309&lt;&gt;"",ISNUMBER(I1309)),Q1309,"")</f>
        <v/>
      </c>
      <c r="X1309">
        <f>IF(AND(Q1309&lt;&gt;"",ISNUMBER(J1309)),Q1309,"")</f>
        <v/>
      </c>
      <c r="Y1309">
        <f>IF(AND(Q1309&lt;&gt;"",ISNUMBER(K1309)),Q1309,"")</f>
        <v/>
      </c>
      <c r="Z1309">
        <f>IF(AND(Q1309&lt;&gt;"",ISNUMBER(L1309)),Q1309,"")</f>
        <v/>
      </c>
      <c r="AA1309">
        <f>IF(AND(Q1309&lt;&gt;"",ISNUMBER(M1309)),Q1309,"")</f>
        <v/>
      </c>
      <c r="AB1309">
        <f>IF(AND(Q1309&lt;&gt;"",ISNUMBER(K1309)),K1309,"")</f>
        <v/>
      </c>
      <c r="AC1309">
        <f>IF(AND(Q1309&lt;&gt;"",ISNUMBER(L1309)),L1309,"")</f>
        <v/>
      </c>
      <c r="AD1309">
        <f>IF(AND(Q1309&lt;&gt;"",ISNUMBER(M1309)),M1309,"")</f>
        <v/>
      </c>
    </row>
    <row r="1310">
      <c r="A1310" s="1" t="n"/>
      <c r="B1310" s="17" t="n"/>
      <c r="C1310" s="27" t="n"/>
      <c r="D1310" s="28" t="n"/>
      <c r="E1310" s="28" t="n"/>
      <c r="F1310" s="28" t="n"/>
      <c r="G1310" s="28" t="n"/>
      <c r="H1310" s="28" t="n"/>
      <c r="I1310" s="28" t="n"/>
      <c r="J1310" s="28" t="n"/>
      <c r="K1310" s="28" t="n"/>
      <c r="L1310" s="28" t="n"/>
      <c r="M1310" s="29" t="n"/>
      <c r="N1310" s="21" t="n"/>
      <c r="O1310" s="12">
        <f>IF(AND(B1310="",C1310=""),"",IF(NOT(ISNUMBER(B1310)),"Needs a date",IF(C1310="","Needs a client",IF(COUNTIF(Clients!$B$6:$B$105,C1310)=0,"Not on Clients",IF(COUNT(D1310:M1310)=0,"Nothing measured","")))))</f>
        <v/>
      </c>
      <c r="P1310" s="1">
        <f>IF(AND(O1310="",ISNUMBER(B1310)),INT(B1310),0)</f>
        <v/>
      </c>
      <c r="Q1310">
        <f>IF(AND(P1310&gt;0,C1310=Report!$C$5),P1310*10000+ROW(),"")</f>
        <v/>
      </c>
      <c r="R1310">
        <f>IF(AND(Q1310&lt;&gt;"",ISNUMBER(D1310)),Q1310,"")</f>
        <v/>
      </c>
      <c r="S1310">
        <f>IF(AND(Q1310&lt;&gt;"",ISNUMBER(E1310)),Q1310,"")</f>
        <v/>
      </c>
      <c r="T1310">
        <f>IF(AND(Q1310&lt;&gt;"",ISNUMBER(F1310)),Q1310,"")</f>
        <v/>
      </c>
      <c r="U1310">
        <f>IF(AND(Q1310&lt;&gt;"",ISNUMBER(G1310)),Q1310,"")</f>
        <v/>
      </c>
      <c r="V1310">
        <f>IF(AND(Q1310&lt;&gt;"",ISNUMBER(H1310)),Q1310,"")</f>
        <v/>
      </c>
      <c r="W1310">
        <f>IF(AND(Q1310&lt;&gt;"",ISNUMBER(I1310)),Q1310,"")</f>
        <v/>
      </c>
      <c r="X1310">
        <f>IF(AND(Q1310&lt;&gt;"",ISNUMBER(J1310)),Q1310,"")</f>
        <v/>
      </c>
      <c r="Y1310">
        <f>IF(AND(Q1310&lt;&gt;"",ISNUMBER(K1310)),Q1310,"")</f>
        <v/>
      </c>
      <c r="Z1310">
        <f>IF(AND(Q1310&lt;&gt;"",ISNUMBER(L1310)),Q1310,"")</f>
        <v/>
      </c>
      <c r="AA1310">
        <f>IF(AND(Q1310&lt;&gt;"",ISNUMBER(M1310)),Q1310,"")</f>
        <v/>
      </c>
      <c r="AB1310">
        <f>IF(AND(Q1310&lt;&gt;"",ISNUMBER(K1310)),K1310,"")</f>
        <v/>
      </c>
      <c r="AC1310">
        <f>IF(AND(Q1310&lt;&gt;"",ISNUMBER(L1310)),L1310,"")</f>
        <v/>
      </c>
      <c r="AD1310">
        <f>IF(AND(Q1310&lt;&gt;"",ISNUMBER(M1310)),M1310,"")</f>
        <v/>
      </c>
    </row>
    <row r="1311">
      <c r="A1311" s="1" t="n"/>
      <c r="B1311" s="17" t="n"/>
      <c r="C1311" s="27" t="n"/>
      <c r="D1311" s="28" t="n"/>
      <c r="E1311" s="28" t="n"/>
      <c r="F1311" s="28" t="n"/>
      <c r="G1311" s="28" t="n"/>
      <c r="H1311" s="28" t="n"/>
      <c r="I1311" s="28" t="n"/>
      <c r="J1311" s="28" t="n"/>
      <c r="K1311" s="28" t="n"/>
      <c r="L1311" s="28" t="n"/>
      <c r="M1311" s="29" t="n"/>
      <c r="N1311" s="21" t="n"/>
      <c r="O1311" s="12">
        <f>IF(AND(B1311="",C1311=""),"",IF(NOT(ISNUMBER(B1311)),"Needs a date",IF(C1311="","Needs a client",IF(COUNTIF(Clients!$B$6:$B$105,C1311)=0,"Not on Clients",IF(COUNT(D1311:M1311)=0,"Nothing measured","")))))</f>
        <v/>
      </c>
      <c r="P1311" s="1">
        <f>IF(AND(O1311="",ISNUMBER(B1311)),INT(B1311),0)</f>
        <v/>
      </c>
      <c r="Q1311">
        <f>IF(AND(P1311&gt;0,C1311=Report!$C$5),P1311*10000+ROW(),"")</f>
        <v/>
      </c>
      <c r="R1311">
        <f>IF(AND(Q1311&lt;&gt;"",ISNUMBER(D1311)),Q1311,"")</f>
        <v/>
      </c>
      <c r="S1311">
        <f>IF(AND(Q1311&lt;&gt;"",ISNUMBER(E1311)),Q1311,"")</f>
        <v/>
      </c>
      <c r="T1311">
        <f>IF(AND(Q1311&lt;&gt;"",ISNUMBER(F1311)),Q1311,"")</f>
        <v/>
      </c>
      <c r="U1311">
        <f>IF(AND(Q1311&lt;&gt;"",ISNUMBER(G1311)),Q1311,"")</f>
        <v/>
      </c>
      <c r="V1311">
        <f>IF(AND(Q1311&lt;&gt;"",ISNUMBER(H1311)),Q1311,"")</f>
        <v/>
      </c>
      <c r="W1311">
        <f>IF(AND(Q1311&lt;&gt;"",ISNUMBER(I1311)),Q1311,"")</f>
        <v/>
      </c>
      <c r="X1311">
        <f>IF(AND(Q1311&lt;&gt;"",ISNUMBER(J1311)),Q1311,"")</f>
        <v/>
      </c>
      <c r="Y1311">
        <f>IF(AND(Q1311&lt;&gt;"",ISNUMBER(K1311)),Q1311,"")</f>
        <v/>
      </c>
      <c r="Z1311">
        <f>IF(AND(Q1311&lt;&gt;"",ISNUMBER(L1311)),Q1311,"")</f>
        <v/>
      </c>
      <c r="AA1311">
        <f>IF(AND(Q1311&lt;&gt;"",ISNUMBER(M1311)),Q1311,"")</f>
        <v/>
      </c>
      <c r="AB1311">
        <f>IF(AND(Q1311&lt;&gt;"",ISNUMBER(K1311)),K1311,"")</f>
        <v/>
      </c>
      <c r="AC1311">
        <f>IF(AND(Q1311&lt;&gt;"",ISNUMBER(L1311)),L1311,"")</f>
        <v/>
      </c>
      <c r="AD1311">
        <f>IF(AND(Q1311&lt;&gt;"",ISNUMBER(M1311)),M1311,"")</f>
        <v/>
      </c>
    </row>
    <row r="1312">
      <c r="A1312" s="1" t="n"/>
      <c r="B1312" s="17" t="n"/>
      <c r="C1312" s="27" t="n"/>
      <c r="D1312" s="28" t="n"/>
      <c r="E1312" s="28" t="n"/>
      <c r="F1312" s="28" t="n"/>
      <c r="G1312" s="28" t="n"/>
      <c r="H1312" s="28" t="n"/>
      <c r="I1312" s="28" t="n"/>
      <c r="J1312" s="28" t="n"/>
      <c r="K1312" s="28" t="n"/>
      <c r="L1312" s="28" t="n"/>
      <c r="M1312" s="29" t="n"/>
      <c r="N1312" s="21" t="n"/>
      <c r="O1312" s="12">
        <f>IF(AND(B1312="",C1312=""),"",IF(NOT(ISNUMBER(B1312)),"Needs a date",IF(C1312="","Needs a client",IF(COUNTIF(Clients!$B$6:$B$105,C1312)=0,"Not on Clients",IF(COUNT(D1312:M1312)=0,"Nothing measured","")))))</f>
        <v/>
      </c>
      <c r="P1312" s="1">
        <f>IF(AND(O1312="",ISNUMBER(B1312)),INT(B1312),0)</f>
        <v/>
      </c>
      <c r="Q1312">
        <f>IF(AND(P1312&gt;0,C1312=Report!$C$5),P1312*10000+ROW(),"")</f>
        <v/>
      </c>
      <c r="R1312">
        <f>IF(AND(Q1312&lt;&gt;"",ISNUMBER(D1312)),Q1312,"")</f>
        <v/>
      </c>
      <c r="S1312">
        <f>IF(AND(Q1312&lt;&gt;"",ISNUMBER(E1312)),Q1312,"")</f>
        <v/>
      </c>
      <c r="T1312">
        <f>IF(AND(Q1312&lt;&gt;"",ISNUMBER(F1312)),Q1312,"")</f>
        <v/>
      </c>
      <c r="U1312">
        <f>IF(AND(Q1312&lt;&gt;"",ISNUMBER(G1312)),Q1312,"")</f>
        <v/>
      </c>
      <c r="V1312">
        <f>IF(AND(Q1312&lt;&gt;"",ISNUMBER(H1312)),Q1312,"")</f>
        <v/>
      </c>
      <c r="W1312">
        <f>IF(AND(Q1312&lt;&gt;"",ISNUMBER(I1312)),Q1312,"")</f>
        <v/>
      </c>
      <c r="X1312">
        <f>IF(AND(Q1312&lt;&gt;"",ISNUMBER(J1312)),Q1312,"")</f>
        <v/>
      </c>
      <c r="Y1312">
        <f>IF(AND(Q1312&lt;&gt;"",ISNUMBER(K1312)),Q1312,"")</f>
        <v/>
      </c>
      <c r="Z1312">
        <f>IF(AND(Q1312&lt;&gt;"",ISNUMBER(L1312)),Q1312,"")</f>
        <v/>
      </c>
      <c r="AA1312">
        <f>IF(AND(Q1312&lt;&gt;"",ISNUMBER(M1312)),Q1312,"")</f>
        <v/>
      </c>
      <c r="AB1312">
        <f>IF(AND(Q1312&lt;&gt;"",ISNUMBER(K1312)),K1312,"")</f>
        <v/>
      </c>
      <c r="AC1312">
        <f>IF(AND(Q1312&lt;&gt;"",ISNUMBER(L1312)),L1312,"")</f>
        <v/>
      </c>
      <c r="AD1312">
        <f>IF(AND(Q1312&lt;&gt;"",ISNUMBER(M1312)),M1312,"")</f>
        <v/>
      </c>
    </row>
    <row r="1313">
      <c r="A1313" s="1" t="n"/>
      <c r="B1313" s="17" t="n"/>
      <c r="C1313" s="27" t="n"/>
      <c r="D1313" s="28" t="n"/>
      <c r="E1313" s="28" t="n"/>
      <c r="F1313" s="28" t="n"/>
      <c r="G1313" s="28" t="n"/>
      <c r="H1313" s="28" t="n"/>
      <c r="I1313" s="28" t="n"/>
      <c r="J1313" s="28" t="n"/>
      <c r="K1313" s="28" t="n"/>
      <c r="L1313" s="28" t="n"/>
      <c r="M1313" s="29" t="n"/>
      <c r="N1313" s="21" t="n"/>
      <c r="O1313" s="12">
        <f>IF(AND(B1313="",C1313=""),"",IF(NOT(ISNUMBER(B1313)),"Needs a date",IF(C1313="","Needs a client",IF(COUNTIF(Clients!$B$6:$B$105,C1313)=0,"Not on Clients",IF(COUNT(D1313:M1313)=0,"Nothing measured","")))))</f>
        <v/>
      </c>
      <c r="P1313" s="1">
        <f>IF(AND(O1313="",ISNUMBER(B1313)),INT(B1313),0)</f>
        <v/>
      </c>
      <c r="Q1313">
        <f>IF(AND(P1313&gt;0,C1313=Report!$C$5),P1313*10000+ROW(),"")</f>
        <v/>
      </c>
      <c r="R1313">
        <f>IF(AND(Q1313&lt;&gt;"",ISNUMBER(D1313)),Q1313,"")</f>
        <v/>
      </c>
      <c r="S1313">
        <f>IF(AND(Q1313&lt;&gt;"",ISNUMBER(E1313)),Q1313,"")</f>
        <v/>
      </c>
      <c r="T1313">
        <f>IF(AND(Q1313&lt;&gt;"",ISNUMBER(F1313)),Q1313,"")</f>
        <v/>
      </c>
      <c r="U1313">
        <f>IF(AND(Q1313&lt;&gt;"",ISNUMBER(G1313)),Q1313,"")</f>
        <v/>
      </c>
      <c r="V1313">
        <f>IF(AND(Q1313&lt;&gt;"",ISNUMBER(H1313)),Q1313,"")</f>
        <v/>
      </c>
      <c r="W1313">
        <f>IF(AND(Q1313&lt;&gt;"",ISNUMBER(I1313)),Q1313,"")</f>
        <v/>
      </c>
      <c r="X1313">
        <f>IF(AND(Q1313&lt;&gt;"",ISNUMBER(J1313)),Q1313,"")</f>
        <v/>
      </c>
      <c r="Y1313">
        <f>IF(AND(Q1313&lt;&gt;"",ISNUMBER(K1313)),Q1313,"")</f>
        <v/>
      </c>
      <c r="Z1313">
        <f>IF(AND(Q1313&lt;&gt;"",ISNUMBER(L1313)),Q1313,"")</f>
        <v/>
      </c>
      <c r="AA1313">
        <f>IF(AND(Q1313&lt;&gt;"",ISNUMBER(M1313)),Q1313,"")</f>
        <v/>
      </c>
      <c r="AB1313">
        <f>IF(AND(Q1313&lt;&gt;"",ISNUMBER(K1313)),K1313,"")</f>
        <v/>
      </c>
      <c r="AC1313">
        <f>IF(AND(Q1313&lt;&gt;"",ISNUMBER(L1313)),L1313,"")</f>
        <v/>
      </c>
      <c r="AD1313">
        <f>IF(AND(Q1313&lt;&gt;"",ISNUMBER(M1313)),M1313,"")</f>
        <v/>
      </c>
    </row>
    <row r="1314">
      <c r="A1314" s="1" t="n"/>
      <c r="B1314" s="17" t="n"/>
      <c r="C1314" s="27" t="n"/>
      <c r="D1314" s="28" t="n"/>
      <c r="E1314" s="28" t="n"/>
      <c r="F1314" s="28" t="n"/>
      <c r="G1314" s="28" t="n"/>
      <c r="H1314" s="28" t="n"/>
      <c r="I1314" s="28" t="n"/>
      <c r="J1314" s="28" t="n"/>
      <c r="K1314" s="28" t="n"/>
      <c r="L1314" s="28" t="n"/>
      <c r="M1314" s="29" t="n"/>
      <c r="N1314" s="21" t="n"/>
      <c r="O1314" s="12">
        <f>IF(AND(B1314="",C1314=""),"",IF(NOT(ISNUMBER(B1314)),"Needs a date",IF(C1314="","Needs a client",IF(COUNTIF(Clients!$B$6:$B$105,C1314)=0,"Not on Clients",IF(COUNT(D1314:M1314)=0,"Nothing measured","")))))</f>
        <v/>
      </c>
      <c r="P1314" s="1">
        <f>IF(AND(O1314="",ISNUMBER(B1314)),INT(B1314),0)</f>
        <v/>
      </c>
      <c r="Q1314">
        <f>IF(AND(P1314&gt;0,C1314=Report!$C$5),P1314*10000+ROW(),"")</f>
        <v/>
      </c>
      <c r="R1314">
        <f>IF(AND(Q1314&lt;&gt;"",ISNUMBER(D1314)),Q1314,"")</f>
        <v/>
      </c>
      <c r="S1314">
        <f>IF(AND(Q1314&lt;&gt;"",ISNUMBER(E1314)),Q1314,"")</f>
        <v/>
      </c>
      <c r="T1314">
        <f>IF(AND(Q1314&lt;&gt;"",ISNUMBER(F1314)),Q1314,"")</f>
        <v/>
      </c>
      <c r="U1314">
        <f>IF(AND(Q1314&lt;&gt;"",ISNUMBER(G1314)),Q1314,"")</f>
        <v/>
      </c>
      <c r="V1314">
        <f>IF(AND(Q1314&lt;&gt;"",ISNUMBER(H1314)),Q1314,"")</f>
        <v/>
      </c>
      <c r="W1314">
        <f>IF(AND(Q1314&lt;&gt;"",ISNUMBER(I1314)),Q1314,"")</f>
        <v/>
      </c>
      <c r="X1314">
        <f>IF(AND(Q1314&lt;&gt;"",ISNUMBER(J1314)),Q1314,"")</f>
        <v/>
      </c>
      <c r="Y1314">
        <f>IF(AND(Q1314&lt;&gt;"",ISNUMBER(K1314)),Q1314,"")</f>
        <v/>
      </c>
      <c r="Z1314">
        <f>IF(AND(Q1314&lt;&gt;"",ISNUMBER(L1314)),Q1314,"")</f>
        <v/>
      </c>
      <c r="AA1314">
        <f>IF(AND(Q1314&lt;&gt;"",ISNUMBER(M1314)),Q1314,"")</f>
        <v/>
      </c>
      <c r="AB1314">
        <f>IF(AND(Q1314&lt;&gt;"",ISNUMBER(K1314)),K1314,"")</f>
        <v/>
      </c>
      <c r="AC1314">
        <f>IF(AND(Q1314&lt;&gt;"",ISNUMBER(L1314)),L1314,"")</f>
        <v/>
      </c>
      <c r="AD1314">
        <f>IF(AND(Q1314&lt;&gt;"",ISNUMBER(M1314)),M1314,"")</f>
        <v/>
      </c>
    </row>
    <row r="1315">
      <c r="A1315" s="1" t="n"/>
      <c r="B1315" s="17" t="n"/>
      <c r="C1315" s="27" t="n"/>
      <c r="D1315" s="28" t="n"/>
      <c r="E1315" s="28" t="n"/>
      <c r="F1315" s="28" t="n"/>
      <c r="G1315" s="28" t="n"/>
      <c r="H1315" s="28" t="n"/>
      <c r="I1315" s="28" t="n"/>
      <c r="J1315" s="28" t="n"/>
      <c r="K1315" s="28" t="n"/>
      <c r="L1315" s="28" t="n"/>
      <c r="M1315" s="29" t="n"/>
      <c r="N1315" s="21" t="n"/>
      <c r="O1315" s="12">
        <f>IF(AND(B1315="",C1315=""),"",IF(NOT(ISNUMBER(B1315)),"Needs a date",IF(C1315="","Needs a client",IF(COUNTIF(Clients!$B$6:$B$105,C1315)=0,"Not on Clients",IF(COUNT(D1315:M1315)=0,"Nothing measured","")))))</f>
        <v/>
      </c>
      <c r="P1315" s="1">
        <f>IF(AND(O1315="",ISNUMBER(B1315)),INT(B1315),0)</f>
        <v/>
      </c>
      <c r="Q1315">
        <f>IF(AND(P1315&gt;0,C1315=Report!$C$5),P1315*10000+ROW(),"")</f>
        <v/>
      </c>
      <c r="R1315">
        <f>IF(AND(Q1315&lt;&gt;"",ISNUMBER(D1315)),Q1315,"")</f>
        <v/>
      </c>
      <c r="S1315">
        <f>IF(AND(Q1315&lt;&gt;"",ISNUMBER(E1315)),Q1315,"")</f>
        <v/>
      </c>
      <c r="T1315">
        <f>IF(AND(Q1315&lt;&gt;"",ISNUMBER(F1315)),Q1315,"")</f>
        <v/>
      </c>
      <c r="U1315">
        <f>IF(AND(Q1315&lt;&gt;"",ISNUMBER(G1315)),Q1315,"")</f>
        <v/>
      </c>
      <c r="V1315">
        <f>IF(AND(Q1315&lt;&gt;"",ISNUMBER(H1315)),Q1315,"")</f>
        <v/>
      </c>
      <c r="W1315">
        <f>IF(AND(Q1315&lt;&gt;"",ISNUMBER(I1315)),Q1315,"")</f>
        <v/>
      </c>
      <c r="X1315">
        <f>IF(AND(Q1315&lt;&gt;"",ISNUMBER(J1315)),Q1315,"")</f>
        <v/>
      </c>
      <c r="Y1315">
        <f>IF(AND(Q1315&lt;&gt;"",ISNUMBER(K1315)),Q1315,"")</f>
        <v/>
      </c>
      <c r="Z1315">
        <f>IF(AND(Q1315&lt;&gt;"",ISNUMBER(L1315)),Q1315,"")</f>
        <v/>
      </c>
      <c r="AA1315">
        <f>IF(AND(Q1315&lt;&gt;"",ISNUMBER(M1315)),Q1315,"")</f>
        <v/>
      </c>
      <c r="AB1315">
        <f>IF(AND(Q1315&lt;&gt;"",ISNUMBER(K1315)),K1315,"")</f>
        <v/>
      </c>
      <c r="AC1315">
        <f>IF(AND(Q1315&lt;&gt;"",ISNUMBER(L1315)),L1315,"")</f>
        <v/>
      </c>
      <c r="AD1315">
        <f>IF(AND(Q1315&lt;&gt;"",ISNUMBER(M1315)),M1315,"")</f>
        <v/>
      </c>
    </row>
    <row r="1316">
      <c r="A1316" s="1" t="n"/>
      <c r="B1316" s="17" t="n"/>
      <c r="C1316" s="27" t="n"/>
      <c r="D1316" s="28" t="n"/>
      <c r="E1316" s="28" t="n"/>
      <c r="F1316" s="28" t="n"/>
      <c r="G1316" s="28" t="n"/>
      <c r="H1316" s="28" t="n"/>
      <c r="I1316" s="28" t="n"/>
      <c r="J1316" s="28" t="n"/>
      <c r="K1316" s="28" t="n"/>
      <c r="L1316" s="28" t="n"/>
      <c r="M1316" s="29" t="n"/>
      <c r="N1316" s="21" t="n"/>
      <c r="O1316" s="12">
        <f>IF(AND(B1316="",C1316=""),"",IF(NOT(ISNUMBER(B1316)),"Needs a date",IF(C1316="","Needs a client",IF(COUNTIF(Clients!$B$6:$B$105,C1316)=0,"Not on Clients",IF(COUNT(D1316:M1316)=0,"Nothing measured","")))))</f>
        <v/>
      </c>
      <c r="P1316" s="1">
        <f>IF(AND(O1316="",ISNUMBER(B1316)),INT(B1316),0)</f>
        <v/>
      </c>
      <c r="Q1316">
        <f>IF(AND(P1316&gt;0,C1316=Report!$C$5),P1316*10000+ROW(),"")</f>
        <v/>
      </c>
      <c r="R1316">
        <f>IF(AND(Q1316&lt;&gt;"",ISNUMBER(D1316)),Q1316,"")</f>
        <v/>
      </c>
      <c r="S1316">
        <f>IF(AND(Q1316&lt;&gt;"",ISNUMBER(E1316)),Q1316,"")</f>
        <v/>
      </c>
      <c r="T1316">
        <f>IF(AND(Q1316&lt;&gt;"",ISNUMBER(F1316)),Q1316,"")</f>
        <v/>
      </c>
      <c r="U1316">
        <f>IF(AND(Q1316&lt;&gt;"",ISNUMBER(G1316)),Q1316,"")</f>
        <v/>
      </c>
      <c r="V1316">
        <f>IF(AND(Q1316&lt;&gt;"",ISNUMBER(H1316)),Q1316,"")</f>
        <v/>
      </c>
      <c r="W1316">
        <f>IF(AND(Q1316&lt;&gt;"",ISNUMBER(I1316)),Q1316,"")</f>
        <v/>
      </c>
      <c r="X1316">
        <f>IF(AND(Q1316&lt;&gt;"",ISNUMBER(J1316)),Q1316,"")</f>
        <v/>
      </c>
      <c r="Y1316">
        <f>IF(AND(Q1316&lt;&gt;"",ISNUMBER(K1316)),Q1316,"")</f>
        <v/>
      </c>
      <c r="Z1316">
        <f>IF(AND(Q1316&lt;&gt;"",ISNUMBER(L1316)),Q1316,"")</f>
        <v/>
      </c>
      <c r="AA1316">
        <f>IF(AND(Q1316&lt;&gt;"",ISNUMBER(M1316)),Q1316,"")</f>
        <v/>
      </c>
      <c r="AB1316">
        <f>IF(AND(Q1316&lt;&gt;"",ISNUMBER(K1316)),K1316,"")</f>
        <v/>
      </c>
      <c r="AC1316">
        <f>IF(AND(Q1316&lt;&gt;"",ISNUMBER(L1316)),L1316,"")</f>
        <v/>
      </c>
      <c r="AD1316">
        <f>IF(AND(Q1316&lt;&gt;"",ISNUMBER(M1316)),M1316,"")</f>
        <v/>
      </c>
    </row>
    <row r="1317">
      <c r="A1317" s="1" t="n"/>
      <c r="B1317" s="17" t="n"/>
      <c r="C1317" s="27" t="n"/>
      <c r="D1317" s="28" t="n"/>
      <c r="E1317" s="28" t="n"/>
      <c r="F1317" s="28" t="n"/>
      <c r="G1317" s="28" t="n"/>
      <c r="H1317" s="28" t="n"/>
      <c r="I1317" s="28" t="n"/>
      <c r="J1317" s="28" t="n"/>
      <c r="K1317" s="28" t="n"/>
      <c r="L1317" s="28" t="n"/>
      <c r="M1317" s="29" t="n"/>
      <c r="N1317" s="21" t="n"/>
      <c r="O1317" s="12">
        <f>IF(AND(B1317="",C1317=""),"",IF(NOT(ISNUMBER(B1317)),"Needs a date",IF(C1317="","Needs a client",IF(COUNTIF(Clients!$B$6:$B$105,C1317)=0,"Not on Clients",IF(COUNT(D1317:M1317)=0,"Nothing measured","")))))</f>
        <v/>
      </c>
      <c r="P1317" s="1">
        <f>IF(AND(O1317="",ISNUMBER(B1317)),INT(B1317),0)</f>
        <v/>
      </c>
      <c r="Q1317">
        <f>IF(AND(P1317&gt;0,C1317=Report!$C$5),P1317*10000+ROW(),"")</f>
        <v/>
      </c>
      <c r="R1317">
        <f>IF(AND(Q1317&lt;&gt;"",ISNUMBER(D1317)),Q1317,"")</f>
        <v/>
      </c>
      <c r="S1317">
        <f>IF(AND(Q1317&lt;&gt;"",ISNUMBER(E1317)),Q1317,"")</f>
        <v/>
      </c>
      <c r="T1317">
        <f>IF(AND(Q1317&lt;&gt;"",ISNUMBER(F1317)),Q1317,"")</f>
        <v/>
      </c>
      <c r="U1317">
        <f>IF(AND(Q1317&lt;&gt;"",ISNUMBER(G1317)),Q1317,"")</f>
        <v/>
      </c>
      <c r="V1317">
        <f>IF(AND(Q1317&lt;&gt;"",ISNUMBER(H1317)),Q1317,"")</f>
        <v/>
      </c>
      <c r="W1317">
        <f>IF(AND(Q1317&lt;&gt;"",ISNUMBER(I1317)),Q1317,"")</f>
        <v/>
      </c>
      <c r="X1317">
        <f>IF(AND(Q1317&lt;&gt;"",ISNUMBER(J1317)),Q1317,"")</f>
        <v/>
      </c>
      <c r="Y1317">
        <f>IF(AND(Q1317&lt;&gt;"",ISNUMBER(K1317)),Q1317,"")</f>
        <v/>
      </c>
      <c r="Z1317">
        <f>IF(AND(Q1317&lt;&gt;"",ISNUMBER(L1317)),Q1317,"")</f>
        <v/>
      </c>
      <c r="AA1317">
        <f>IF(AND(Q1317&lt;&gt;"",ISNUMBER(M1317)),Q1317,"")</f>
        <v/>
      </c>
      <c r="AB1317">
        <f>IF(AND(Q1317&lt;&gt;"",ISNUMBER(K1317)),K1317,"")</f>
        <v/>
      </c>
      <c r="AC1317">
        <f>IF(AND(Q1317&lt;&gt;"",ISNUMBER(L1317)),L1317,"")</f>
        <v/>
      </c>
      <c r="AD1317">
        <f>IF(AND(Q1317&lt;&gt;"",ISNUMBER(M1317)),M1317,"")</f>
        <v/>
      </c>
    </row>
    <row r="1318">
      <c r="A1318" s="1" t="n"/>
      <c r="B1318" s="17" t="n"/>
      <c r="C1318" s="27" t="n"/>
      <c r="D1318" s="28" t="n"/>
      <c r="E1318" s="28" t="n"/>
      <c r="F1318" s="28" t="n"/>
      <c r="G1318" s="28" t="n"/>
      <c r="H1318" s="28" t="n"/>
      <c r="I1318" s="28" t="n"/>
      <c r="J1318" s="28" t="n"/>
      <c r="K1318" s="28" t="n"/>
      <c r="L1318" s="28" t="n"/>
      <c r="M1318" s="29" t="n"/>
      <c r="N1318" s="21" t="n"/>
      <c r="O1318" s="12">
        <f>IF(AND(B1318="",C1318=""),"",IF(NOT(ISNUMBER(B1318)),"Needs a date",IF(C1318="","Needs a client",IF(COUNTIF(Clients!$B$6:$B$105,C1318)=0,"Not on Clients",IF(COUNT(D1318:M1318)=0,"Nothing measured","")))))</f>
        <v/>
      </c>
      <c r="P1318" s="1">
        <f>IF(AND(O1318="",ISNUMBER(B1318)),INT(B1318),0)</f>
        <v/>
      </c>
      <c r="Q1318">
        <f>IF(AND(P1318&gt;0,C1318=Report!$C$5),P1318*10000+ROW(),"")</f>
        <v/>
      </c>
      <c r="R1318">
        <f>IF(AND(Q1318&lt;&gt;"",ISNUMBER(D1318)),Q1318,"")</f>
        <v/>
      </c>
      <c r="S1318">
        <f>IF(AND(Q1318&lt;&gt;"",ISNUMBER(E1318)),Q1318,"")</f>
        <v/>
      </c>
      <c r="T1318">
        <f>IF(AND(Q1318&lt;&gt;"",ISNUMBER(F1318)),Q1318,"")</f>
        <v/>
      </c>
      <c r="U1318">
        <f>IF(AND(Q1318&lt;&gt;"",ISNUMBER(G1318)),Q1318,"")</f>
        <v/>
      </c>
      <c r="V1318">
        <f>IF(AND(Q1318&lt;&gt;"",ISNUMBER(H1318)),Q1318,"")</f>
        <v/>
      </c>
      <c r="W1318">
        <f>IF(AND(Q1318&lt;&gt;"",ISNUMBER(I1318)),Q1318,"")</f>
        <v/>
      </c>
      <c r="X1318">
        <f>IF(AND(Q1318&lt;&gt;"",ISNUMBER(J1318)),Q1318,"")</f>
        <v/>
      </c>
      <c r="Y1318">
        <f>IF(AND(Q1318&lt;&gt;"",ISNUMBER(K1318)),Q1318,"")</f>
        <v/>
      </c>
      <c r="Z1318">
        <f>IF(AND(Q1318&lt;&gt;"",ISNUMBER(L1318)),Q1318,"")</f>
        <v/>
      </c>
      <c r="AA1318">
        <f>IF(AND(Q1318&lt;&gt;"",ISNUMBER(M1318)),Q1318,"")</f>
        <v/>
      </c>
      <c r="AB1318">
        <f>IF(AND(Q1318&lt;&gt;"",ISNUMBER(K1318)),K1318,"")</f>
        <v/>
      </c>
      <c r="AC1318">
        <f>IF(AND(Q1318&lt;&gt;"",ISNUMBER(L1318)),L1318,"")</f>
        <v/>
      </c>
      <c r="AD1318">
        <f>IF(AND(Q1318&lt;&gt;"",ISNUMBER(M1318)),M1318,"")</f>
        <v/>
      </c>
    </row>
    <row r="1319">
      <c r="A1319" s="1" t="n"/>
      <c r="B1319" s="17" t="n"/>
      <c r="C1319" s="27" t="n"/>
      <c r="D1319" s="28" t="n"/>
      <c r="E1319" s="28" t="n"/>
      <c r="F1319" s="28" t="n"/>
      <c r="G1319" s="28" t="n"/>
      <c r="H1319" s="28" t="n"/>
      <c r="I1319" s="28" t="n"/>
      <c r="J1319" s="28" t="n"/>
      <c r="K1319" s="28" t="n"/>
      <c r="L1319" s="28" t="n"/>
      <c r="M1319" s="29" t="n"/>
      <c r="N1319" s="21" t="n"/>
      <c r="O1319" s="12">
        <f>IF(AND(B1319="",C1319=""),"",IF(NOT(ISNUMBER(B1319)),"Needs a date",IF(C1319="","Needs a client",IF(COUNTIF(Clients!$B$6:$B$105,C1319)=0,"Not on Clients",IF(COUNT(D1319:M1319)=0,"Nothing measured","")))))</f>
        <v/>
      </c>
      <c r="P1319" s="1">
        <f>IF(AND(O1319="",ISNUMBER(B1319)),INT(B1319),0)</f>
        <v/>
      </c>
      <c r="Q1319">
        <f>IF(AND(P1319&gt;0,C1319=Report!$C$5),P1319*10000+ROW(),"")</f>
        <v/>
      </c>
      <c r="R1319">
        <f>IF(AND(Q1319&lt;&gt;"",ISNUMBER(D1319)),Q1319,"")</f>
        <v/>
      </c>
      <c r="S1319">
        <f>IF(AND(Q1319&lt;&gt;"",ISNUMBER(E1319)),Q1319,"")</f>
        <v/>
      </c>
      <c r="T1319">
        <f>IF(AND(Q1319&lt;&gt;"",ISNUMBER(F1319)),Q1319,"")</f>
        <v/>
      </c>
      <c r="U1319">
        <f>IF(AND(Q1319&lt;&gt;"",ISNUMBER(G1319)),Q1319,"")</f>
        <v/>
      </c>
      <c r="V1319">
        <f>IF(AND(Q1319&lt;&gt;"",ISNUMBER(H1319)),Q1319,"")</f>
        <v/>
      </c>
      <c r="W1319">
        <f>IF(AND(Q1319&lt;&gt;"",ISNUMBER(I1319)),Q1319,"")</f>
        <v/>
      </c>
      <c r="X1319">
        <f>IF(AND(Q1319&lt;&gt;"",ISNUMBER(J1319)),Q1319,"")</f>
        <v/>
      </c>
      <c r="Y1319">
        <f>IF(AND(Q1319&lt;&gt;"",ISNUMBER(K1319)),Q1319,"")</f>
        <v/>
      </c>
      <c r="Z1319">
        <f>IF(AND(Q1319&lt;&gt;"",ISNUMBER(L1319)),Q1319,"")</f>
        <v/>
      </c>
      <c r="AA1319">
        <f>IF(AND(Q1319&lt;&gt;"",ISNUMBER(M1319)),Q1319,"")</f>
        <v/>
      </c>
      <c r="AB1319">
        <f>IF(AND(Q1319&lt;&gt;"",ISNUMBER(K1319)),K1319,"")</f>
        <v/>
      </c>
      <c r="AC1319">
        <f>IF(AND(Q1319&lt;&gt;"",ISNUMBER(L1319)),L1319,"")</f>
        <v/>
      </c>
      <c r="AD1319">
        <f>IF(AND(Q1319&lt;&gt;"",ISNUMBER(M1319)),M1319,"")</f>
        <v/>
      </c>
    </row>
    <row r="1320">
      <c r="A1320" s="1" t="n"/>
      <c r="B1320" s="17" t="n"/>
      <c r="C1320" s="27" t="n"/>
      <c r="D1320" s="28" t="n"/>
      <c r="E1320" s="28" t="n"/>
      <c r="F1320" s="28" t="n"/>
      <c r="G1320" s="28" t="n"/>
      <c r="H1320" s="28" t="n"/>
      <c r="I1320" s="28" t="n"/>
      <c r="J1320" s="28" t="n"/>
      <c r="K1320" s="28" t="n"/>
      <c r="L1320" s="28" t="n"/>
      <c r="M1320" s="29" t="n"/>
      <c r="N1320" s="21" t="n"/>
      <c r="O1320" s="12">
        <f>IF(AND(B1320="",C1320=""),"",IF(NOT(ISNUMBER(B1320)),"Needs a date",IF(C1320="","Needs a client",IF(COUNTIF(Clients!$B$6:$B$105,C1320)=0,"Not on Clients",IF(COUNT(D1320:M1320)=0,"Nothing measured","")))))</f>
        <v/>
      </c>
      <c r="P1320" s="1">
        <f>IF(AND(O1320="",ISNUMBER(B1320)),INT(B1320),0)</f>
        <v/>
      </c>
      <c r="Q1320">
        <f>IF(AND(P1320&gt;0,C1320=Report!$C$5),P1320*10000+ROW(),"")</f>
        <v/>
      </c>
      <c r="R1320">
        <f>IF(AND(Q1320&lt;&gt;"",ISNUMBER(D1320)),Q1320,"")</f>
        <v/>
      </c>
      <c r="S1320">
        <f>IF(AND(Q1320&lt;&gt;"",ISNUMBER(E1320)),Q1320,"")</f>
        <v/>
      </c>
      <c r="T1320">
        <f>IF(AND(Q1320&lt;&gt;"",ISNUMBER(F1320)),Q1320,"")</f>
        <v/>
      </c>
      <c r="U1320">
        <f>IF(AND(Q1320&lt;&gt;"",ISNUMBER(G1320)),Q1320,"")</f>
        <v/>
      </c>
      <c r="V1320">
        <f>IF(AND(Q1320&lt;&gt;"",ISNUMBER(H1320)),Q1320,"")</f>
        <v/>
      </c>
      <c r="W1320">
        <f>IF(AND(Q1320&lt;&gt;"",ISNUMBER(I1320)),Q1320,"")</f>
        <v/>
      </c>
      <c r="X1320">
        <f>IF(AND(Q1320&lt;&gt;"",ISNUMBER(J1320)),Q1320,"")</f>
        <v/>
      </c>
      <c r="Y1320">
        <f>IF(AND(Q1320&lt;&gt;"",ISNUMBER(K1320)),Q1320,"")</f>
        <v/>
      </c>
      <c r="Z1320">
        <f>IF(AND(Q1320&lt;&gt;"",ISNUMBER(L1320)),Q1320,"")</f>
        <v/>
      </c>
      <c r="AA1320">
        <f>IF(AND(Q1320&lt;&gt;"",ISNUMBER(M1320)),Q1320,"")</f>
        <v/>
      </c>
      <c r="AB1320">
        <f>IF(AND(Q1320&lt;&gt;"",ISNUMBER(K1320)),K1320,"")</f>
        <v/>
      </c>
      <c r="AC1320">
        <f>IF(AND(Q1320&lt;&gt;"",ISNUMBER(L1320)),L1320,"")</f>
        <v/>
      </c>
      <c r="AD1320">
        <f>IF(AND(Q1320&lt;&gt;"",ISNUMBER(M1320)),M1320,"")</f>
        <v/>
      </c>
    </row>
    <row r="1321">
      <c r="A1321" s="1" t="n"/>
      <c r="B1321" s="17" t="n"/>
      <c r="C1321" s="27" t="n"/>
      <c r="D1321" s="28" t="n"/>
      <c r="E1321" s="28" t="n"/>
      <c r="F1321" s="28" t="n"/>
      <c r="G1321" s="28" t="n"/>
      <c r="H1321" s="28" t="n"/>
      <c r="I1321" s="28" t="n"/>
      <c r="J1321" s="28" t="n"/>
      <c r="K1321" s="28" t="n"/>
      <c r="L1321" s="28" t="n"/>
      <c r="M1321" s="29" t="n"/>
      <c r="N1321" s="21" t="n"/>
      <c r="O1321" s="12">
        <f>IF(AND(B1321="",C1321=""),"",IF(NOT(ISNUMBER(B1321)),"Needs a date",IF(C1321="","Needs a client",IF(COUNTIF(Clients!$B$6:$B$105,C1321)=0,"Not on Clients",IF(COUNT(D1321:M1321)=0,"Nothing measured","")))))</f>
        <v/>
      </c>
      <c r="P1321" s="1">
        <f>IF(AND(O1321="",ISNUMBER(B1321)),INT(B1321),0)</f>
        <v/>
      </c>
      <c r="Q1321">
        <f>IF(AND(P1321&gt;0,C1321=Report!$C$5),P1321*10000+ROW(),"")</f>
        <v/>
      </c>
      <c r="R1321">
        <f>IF(AND(Q1321&lt;&gt;"",ISNUMBER(D1321)),Q1321,"")</f>
        <v/>
      </c>
      <c r="S1321">
        <f>IF(AND(Q1321&lt;&gt;"",ISNUMBER(E1321)),Q1321,"")</f>
        <v/>
      </c>
      <c r="T1321">
        <f>IF(AND(Q1321&lt;&gt;"",ISNUMBER(F1321)),Q1321,"")</f>
        <v/>
      </c>
      <c r="U1321">
        <f>IF(AND(Q1321&lt;&gt;"",ISNUMBER(G1321)),Q1321,"")</f>
        <v/>
      </c>
      <c r="V1321">
        <f>IF(AND(Q1321&lt;&gt;"",ISNUMBER(H1321)),Q1321,"")</f>
        <v/>
      </c>
      <c r="W1321">
        <f>IF(AND(Q1321&lt;&gt;"",ISNUMBER(I1321)),Q1321,"")</f>
        <v/>
      </c>
      <c r="X1321">
        <f>IF(AND(Q1321&lt;&gt;"",ISNUMBER(J1321)),Q1321,"")</f>
        <v/>
      </c>
      <c r="Y1321">
        <f>IF(AND(Q1321&lt;&gt;"",ISNUMBER(K1321)),Q1321,"")</f>
        <v/>
      </c>
      <c r="Z1321">
        <f>IF(AND(Q1321&lt;&gt;"",ISNUMBER(L1321)),Q1321,"")</f>
        <v/>
      </c>
      <c r="AA1321">
        <f>IF(AND(Q1321&lt;&gt;"",ISNUMBER(M1321)),Q1321,"")</f>
        <v/>
      </c>
      <c r="AB1321">
        <f>IF(AND(Q1321&lt;&gt;"",ISNUMBER(K1321)),K1321,"")</f>
        <v/>
      </c>
      <c r="AC1321">
        <f>IF(AND(Q1321&lt;&gt;"",ISNUMBER(L1321)),L1321,"")</f>
        <v/>
      </c>
      <c r="AD1321">
        <f>IF(AND(Q1321&lt;&gt;"",ISNUMBER(M1321)),M1321,"")</f>
        <v/>
      </c>
    </row>
    <row r="1322">
      <c r="A1322" s="1" t="n"/>
      <c r="B1322" s="17" t="n"/>
      <c r="C1322" s="27" t="n"/>
      <c r="D1322" s="28" t="n"/>
      <c r="E1322" s="28" t="n"/>
      <c r="F1322" s="28" t="n"/>
      <c r="G1322" s="28" t="n"/>
      <c r="H1322" s="28" t="n"/>
      <c r="I1322" s="28" t="n"/>
      <c r="J1322" s="28" t="n"/>
      <c r="K1322" s="28" t="n"/>
      <c r="L1322" s="28" t="n"/>
      <c r="M1322" s="29" t="n"/>
      <c r="N1322" s="21" t="n"/>
      <c r="O1322" s="12">
        <f>IF(AND(B1322="",C1322=""),"",IF(NOT(ISNUMBER(B1322)),"Needs a date",IF(C1322="","Needs a client",IF(COUNTIF(Clients!$B$6:$B$105,C1322)=0,"Not on Clients",IF(COUNT(D1322:M1322)=0,"Nothing measured","")))))</f>
        <v/>
      </c>
      <c r="P1322" s="1">
        <f>IF(AND(O1322="",ISNUMBER(B1322)),INT(B1322),0)</f>
        <v/>
      </c>
      <c r="Q1322">
        <f>IF(AND(P1322&gt;0,C1322=Report!$C$5),P1322*10000+ROW(),"")</f>
        <v/>
      </c>
      <c r="R1322">
        <f>IF(AND(Q1322&lt;&gt;"",ISNUMBER(D1322)),Q1322,"")</f>
        <v/>
      </c>
      <c r="S1322">
        <f>IF(AND(Q1322&lt;&gt;"",ISNUMBER(E1322)),Q1322,"")</f>
        <v/>
      </c>
      <c r="T1322">
        <f>IF(AND(Q1322&lt;&gt;"",ISNUMBER(F1322)),Q1322,"")</f>
        <v/>
      </c>
      <c r="U1322">
        <f>IF(AND(Q1322&lt;&gt;"",ISNUMBER(G1322)),Q1322,"")</f>
        <v/>
      </c>
      <c r="V1322">
        <f>IF(AND(Q1322&lt;&gt;"",ISNUMBER(H1322)),Q1322,"")</f>
        <v/>
      </c>
      <c r="W1322">
        <f>IF(AND(Q1322&lt;&gt;"",ISNUMBER(I1322)),Q1322,"")</f>
        <v/>
      </c>
      <c r="X1322">
        <f>IF(AND(Q1322&lt;&gt;"",ISNUMBER(J1322)),Q1322,"")</f>
        <v/>
      </c>
      <c r="Y1322">
        <f>IF(AND(Q1322&lt;&gt;"",ISNUMBER(K1322)),Q1322,"")</f>
        <v/>
      </c>
      <c r="Z1322">
        <f>IF(AND(Q1322&lt;&gt;"",ISNUMBER(L1322)),Q1322,"")</f>
        <v/>
      </c>
      <c r="AA1322">
        <f>IF(AND(Q1322&lt;&gt;"",ISNUMBER(M1322)),Q1322,"")</f>
        <v/>
      </c>
      <c r="AB1322">
        <f>IF(AND(Q1322&lt;&gt;"",ISNUMBER(K1322)),K1322,"")</f>
        <v/>
      </c>
      <c r="AC1322">
        <f>IF(AND(Q1322&lt;&gt;"",ISNUMBER(L1322)),L1322,"")</f>
        <v/>
      </c>
      <c r="AD1322">
        <f>IF(AND(Q1322&lt;&gt;"",ISNUMBER(M1322)),M1322,"")</f>
        <v/>
      </c>
    </row>
    <row r="1323">
      <c r="A1323" s="1" t="n"/>
      <c r="B1323" s="17" t="n"/>
      <c r="C1323" s="27" t="n"/>
      <c r="D1323" s="28" t="n"/>
      <c r="E1323" s="28" t="n"/>
      <c r="F1323" s="28" t="n"/>
      <c r="G1323" s="28" t="n"/>
      <c r="H1323" s="28" t="n"/>
      <c r="I1323" s="28" t="n"/>
      <c r="J1323" s="28" t="n"/>
      <c r="K1323" s="28" t="n"/>
      <c r="L1323" s="28" t="n"/>
      <c r="M1323" s="29" t="n"/>
      <c r="N1323" s="21" t="n"/>
      <c r="O1323" s="12">
        <f>IF(AND(B1323="",C1323=""),"",IF(NOT(ISNUMBER(B1323)),"Needs a date",IF(C1323="","Needs a client",IF(COUNTIF(Clients!$B$6:$B$105,C1323)=0,"Not on Clients",IF(COUNT(D1323:M1323)=0,"Nothing measured","")))))</f>
        <v/>
      </c>
      <c r="P1323" s="1">
        <f>IF(AND(O1323="",ISNUMBER(B1323)),INT(B1323),0)</f>
        <v/>
      </c>
      <c r="Q1323">
        <f>IF(AND(P1323&gt;0,C1323=Report!$C$5),P1323*10000+ROW(),"")</f>
        <v/>
      </c>
      <c r="R1323">
        <f>IF(AND(Q1323&lt;&gt;"",ISNUMBER(D1323)),Q1323,"")</f>
        <v/>
      </c>
      <c r="S1323">
        <f>IF(AND(Q1323&lt;&gt;"",ISNUMBER(E1323)),Q1323,"")</f>
        <v/>
      </c>
      <c r="T1323">
        <f>IF(AND(Q1323&lt;&gt;"",ISNUMBER(F1323)),Q1323,"")</f>
        <v/>
      </c>
      <c r="U1323">
        <f>IF(AND(Q1323&lt;&gt;"",ISNUMBER(G1323)),Q1323,"")</f>
        <v/>
      </c>
      <c r="V1323">
        <f>IF(AND(Q1323&lt;&gt;"",ISNUMBER(H1323)),Q1323,"")</f>
        <v/>
      </c>
      <c r="W1323">
        <f>IF(AND(Q1323&lt;&gt;"",ISNUMBER(I1323)),Q1323,"")</f>
        <v/>
      </c>
      <c r="X1323">
        <f>IF(AND(Q1323&lt;&gt;"",ISNUMBER(J1323)),Q1323,"")</f>
        <v/>
      </c>
      <c r="Y1323">
        <f>IF(AND(Q1323&lt;&gt;"",ISNUMBER(K1323)),Q1323,"")</f>
        <v/>
      </c>
      <c r="Z1323">
        <f>IF(AND(Q1323&lt;&gt;"",ISNUMBER(L1323)),Q1323,"")</f>
        <v/>
      </c>
      <c r="AA1323">
        <f>IF(AND(Q1323&lt;&gt;"",ISNUMBER(M1323)),Q1323,"")</f>
        <v/>
      </c>
      <c r="AB1323">
        <f>IF(AND(Q1323&lt;&gt;"",ISNUMBER(K1323)),K1323,"")</f>
        <v/>
      </c>
      <c r="AC1323">
        <f>IF(AND(Q1323&lt;&gt;"",ISNUMBER(L1323)),L1323,"")</f>
        <v/>
      </c>
      <c r="AD1323">
        <f>IF(AND(Q1323&lt;&gt;"",ISNUMBER(M1323)),M1323,"")</f>
        <v/>
      </c>
    </row>
    <row r="1324">
      <c r="A1324" s="1" t="n"/>
      <c r="B1324" s="17" t="n"/>
      <c r="C1324" s="27" t="n"/>
      <c r="D1324" s="28" t="n"/>
      <c r="E1324" s="28" t="n"/>
      <c r="F1324" s="28" t="n"/>
      <c r="G1324" s="28" t="n"/>
      <c r="H1324" s="28" t="n"/>
      <c r="I1324" s="28" t="n"/>
      <c r="J1324" s="28" t="n"/>
      <c r="K1324" s="28" t="n"/>
      <c r="L1324" s="28" t="n"/>
      <c r="M1324" s="29" t="n"/>
      <c r="N1324" s="21" t="n"/>
      <c r="O1324" s="12">
        <f>IF(AND(B1324="",C1324=""),"",IF(NOT(ISNUMBER(B1324)),"Needs a date",IF(C1324="","Needs a client",IF(COUNTIF(Clients!$B$6:$B$105,C1324)=0,"Not on Clients",IF(COUNT(D1324:M1324)=0,"Nothing measured","")))))</f>
        <v/>
      </c>
      <c r="P1324" s="1">
        <f>IF(AND(O1324="",ISNUMBER(B1324)),INT(B1324),0)</f>
        <v/>
      </c>
      <c r="Q1324">
        <f>IF(AND(P1324&gt;0,C1324=Report!$C$5),P1324*10000+ROW(),"")</f>
        <v/>
      </c>
      <c r="R1324">
        <f>IF(AND(Q1324&lt;&gt;"",ISNUMBER(D1324)),Q1324,"")</f>
        <v/>
      </c>
      <c r="S1324">
        <f>IF(AND(Q1324&lt;&gt;"",ISNUMBER(E1324)),Q1324,"")</f>
        <v/>
      </c>
      <c r="T1324">
        <f>IF(AND(Q1324&lt;&gt;"",ISNUMBER(F1324)),Q1324,"")</f>
        <v/>
      </c>
      <c r="U1324">
        <f>IF(AND(Q1324&lt;&gt;"",ISNUMBER(G1324)),Q1324,"")</f>
        <v/>
      </c>
      <c r="V1324">
        <f>IF(AND(Q1324&lt;&gt;"",ISNUMBER(H1324)),Q1324,"")</f>
        <v/>
      </c>
      <c r="W1324">
        <f>IF(AND(Q1324&lt;&gt;"",ISNUMBER(I1324)),Q1324,"")</f>
        <v/>
      </c>
      <c r="X1324">
        <f>IF(AND(Q1324&lt;&gt;"",ISNUMBER(J1324)),Q1324,"")</f>
        <v/>
      </c>
      <c r="Y1324">
        <f>IF(AND(Q1324&lt;&gt;"",ISNUMBER(K1324)),Q1324,"")</f>
        <v/>
      </c>
      <c r="Z1324">
        <f>IF(AND(Q1324&lt;&gt;"",ISNUMBER(L1324)),Q1324,"")</f>
        <v/>
      </c>
      <c r="AA1324">
        <f>IF(AND(Q1324&lt;&gt;"",ISNUMBER(M1324)),Q1324,"")</f>
        <v/>
      </c>
      <c r="AB1324">
        <f>IF(AND(Q1324&lt;&gt;"",ISNUMBER(K1324)),K1324,"")</f>
        <v/>
      </c>
      <c r="AC1324">
        <f>IF(AND(Q1324&lt;&gt;"",ISNUMBER(L1324)),L1324,"")</f>
        <v/>
      </c>
      <c r="AD1324">
        <f>IF(AND(Q1324&lt;&gt;"",ISNUMBER(M1324)),M1324,"")</f>
        <v/>
      </c>
    </row>
    <row r="1325">
      <c r="A1325" s="1" t="n"/>
      <c r="B1325" s="17" t="n"/>
      <c r="C1325" s="27" t="n"/>
      <c r="D1325" s="28" t="n"/>
      <c r="E1325" s="28" t="n"/>
      <c r="F1325" s="28" t="n"/>
      <c r="G1325" s="28" t="n"/>
      <c r="H1325" s="28" t="n"/>
      <c r="I1325" s="28" t="n"/>
      <c r="J1325" s="28" t="n"/>
      <c r="K1325" s="28" t="n"/>
      <c r="L1325" s="28" t="n"/>
      <c r="M1325" s="29" t="n"/>
      <c r="N1325" s="21" t="n"/>
      <c r="O1325" s="12">
        <f>IF(AND(B1325="",C1325=""),"",IF(NOT(ISNUMBER(B1325)),"Needs a date",IF(C1325="","Needs a client",IF(COUNTIF(Clients!$B$6:$B$105,C1325)=0,"Not on Clients",IF(COUNT(D1325:M1325)=0,"Nothing measured","")))))</f>
        <v/>
      </c>
      <c r="P1325" s="1">
        <f>IF(AND(O1325="",ISNUMBER(B1325)),INT(B1325),0)</f>
        <v/>
      </c>
      <c r="Q1325">
        <f>IF(AND(P1325&gt;0,C1325=Report!$C$5),P1325*10000+ROW(),"")</f>
        <v/>
      </c>
      <c r="R1325">
        <f>IF(AND(Q1325&lt;&gt;"",ISNUMBER(D1325)),Q1325,"")</f>
        <v/>
      </c>
      <c r="S1325">
        <f>IF(AND(Q1325&lt;&gt;"",ISNUMBER(E1325)),Q1325,"")</f>
        <v/>
      </c>
      <c r="T1325">
        <f>IF(AND(Q1325&lt;&gt;"",ISNUMBER(F1325)),Q1325,"")</f>
        <v/>
      </c>
      <c r="U1325">
        <f>IF(AND(Q1325&lt;&gt;"",ISNUMBER(G1325)),Q1325,"")</f>
        <v/>
      </c>
      <c r="V1325">
        <f>IF(AND(Q1325&lt;&gt;"",ISNUMBER(H1325)),Q1325,"")</f>
        <v/>
      </c>
      <c r="W1325">
        <f>IF(AND(Q1325&lt;&gt;"",ISNUMBER(I1325)),Q1325,"")</f>
        <v/>
      </c>
      <c r="X1325">
        <f>IF(AND(Q1325&lt;&gt;"",ISNUMBER(J1325)),Q1325,"")</f>
        <v/>
      </c>
      <c r="Y1325">
        <f>IF(AND(Q1325&lt;&gt;"",ISNUMBER(K1325)),Q1325,"")</f>
        <v/>
      </c>
      <c r="Z1325">
        <f>IF(AND(Q1325&lt;&gt;"",ISNUMBER(L1325)),Q1325,"")</f>
        <v/>
      </c>
      <c r="AA1325">
        <f>IF(AND(Q1325&lt;&gt;"",ISNUMBER(M1325)),Q1325,"")</f>
        <v/>
      </c>
      <c r="AB1325">
        <f>IF(AND(Q1325&lt;&gt;"",ISNUMBER(K1325)),K1325,"")</f>
        <v/>
      </c>
      <c r="AC1325">
        <f>IF(AND(Q1325&lt;&gt;"",ISNUMBER(L1325)),L1325,"")</f>
        <v/>
      </c>
      <c r="AD1325">
        <f>IF(AND(Q1325&lt;&gt;"",ISNUMBER(M1325)),M1325,"")</f>
        <v/>
      </c>
    </row>
    <row r="1326">
      <c r="A1326" s="1" t="n"/>
      <c r="B1326" s="17" t="n"/>
      <c r="C1326" s="27" t="n"/>
      <c r="D1326" s="28" t="n"/>
      <c r="E1326" s="28" t="n"/>
      <c r="F1326" s="28" t="n"/>
      <c r="G1326" s="28" t="n"/>
      <c r="H1326" s="28" t="n"/>
      <c r="I1326" s="28" t="n"/>
      <c r="J1326" s="28" t="n"/>
      <c r="K1326" s="28" t="n"/>
      <c r="L1326" s="28" t="n"/>
      <c r="M1326" s="29" t="n"/>
      <c r="N1326" s="21" t="n"/>
      <c r="O1326" s="12">
        <f>IF(AND(B1326="",C1326=""),"",IF(NOT(ISNUMBER(B1326)),"Needs a date",IF(C1326="","Needs a client",IF(COUNTIF(Clients!$B$6:$B$105,C1326)=0,"Not on Clients",IF(COUNT(D1326:M1326)=0,"Nothing measured","")))))</f>
        <v/>
      </c>
      <c r="P1326" s="1">
        <f>IF(AND(O1326="",ISNUMBER(B1326)),INT(B1326),0)</f>
        <v/>
      </c>
      <c r="Q1326">
        <f>IF(AND(P1326&gt;0,C1326=Report!$C$5),P1326*10000+ROW(),"")</f>
        <v/>
      </c>
      <c r="R1326">
        <f>IF(AND(Q1326&lt;&gt;"",ISNUMBER(D1326)),Q1326,"")</f>
        <v/>
      </c>
      <c r="S1326">
        <f>IF(AND(Q1326&lt;&gt;"",ISNUMBER(E1326)),Q1326,"")</f>
        <v/>
      </c>
      <c r="T1326">
        <f>IF(AND(Q1326&lt;&gt;"",ISNUMBER(F1326)),Q1326,"")</f>
        <v/>
      </c>
      <c r="U1326">
        <f>IF(AND(Q1326&lt;&gt;"",ISNUMBER(G1326)),Q1326,"")</f>
        <v/>
      </c>
      <c r="V1326">
        <f>IF(AND(Q1326&lt;&gt;"",ISNUMBER(H1326)),Q1326,"")</f>
        <v/>
      </c>
      <c r="W1326">
        <f>IF(AND(Q1326&lt;&gt;"",ISNUMBER(I1326)),Q1326,"")</f>
        <v/>
      </c>
      <c r="X1326">
        <f>IF(AND(Q1326&lt;&gt;"",ISNUMBER(J1326)),Q1326,"")</f>
        <v/>
      </c>
      <c r="Y1326">
        <f>IF(AND(Q1326&lt;&gt;"",ISNUMBER(K1326)),Q1326,"")</f>
        <v/>
      </c>
      <c r="Z1326">
        <f>IF(AND(Q1326&lt;&gt;"",ISNUMBER(L1326)),Q1326,"")</f>
        <v/>
      </c>
      <c r="AA1326">
        <f>IF(AND(Q1326&lt;&gt;"",ISNUMBER(M1326)),Q1326,"")</f>
        <v/>
      </c>
      <c r="AB1326">
        <f>IF(AND(Q1326&lt;&gt;"",ISNUMBER(K1326)),K1326,"")</f>
        <v/>
      </c>
      <c r="AC1326">
        <f>IF(AND(Q1326&lt;&gt;"",ISNUMBER(L1326)),L1326,"")</f>
        <v/>
      </c>
      <c r="AD1326">
        <f>IF(AND(Q1326&lt;&gt;"",ISNUMBER(M1326)),M1326,"")</f>
        <v/>
      </c>
    </row>
    <row r="1327">
      <c r="A1327" s="1" t="n"/>
      <c r="B1327" s="17" t="n"/>
      <c r="C1327" s="27" t="n"/>
      <c r="D1327" s="28" t="n"/>
      <c r="E1327" s="28" t="n"/>
      <c r="F1327" s="28" t="n"/>
      <c r="G1327" s="28" t="n"/>
      <c r="H1327" s="28" t="n"/>
      <c r="I1327" s="28" t="n"/>
      <c r="J1327" s="28" t="n"/>
      <c r="K1327" s="28" t="n"/>
      <c r="L1327" s="28" t="n"/>
      <c r="M1327" s="29" t="n"/>
      <c r="N1327" s="21" t="n"/>
      <c r="O1327" s="12">
        <f>IF(AND(B1327="",C1327=""),"",IF(NOT(ISNUMBER(B1327)),"Needs a date",IF(C1327="","Needs a client",IF(COUNTIF(Clients!$B$6:$B$105,C1327)=0,"Not on Clients",IF(COUNT(D1327:M1327)=0,"Nothing measured","")))))</f>
        <v/>
      </c>
      <c r="P1327" s="1">
        <f>IF(AND(O1327="",ISNUMBER(B1327)),INT(B1327),0)</f>
        <v/>
      </c>
      <c r="Q1327">
        <f>IF(AND(P1327&gt;0,C1327=Report!$C$5),P1327*10000+ROW(),"")</f>
        <v/>
      </c>
      <c r="R1327">
        <f>IF(AND(Q1327&lt;&gt;"",ISNUMBER(D1327)),Q1327,"")</f>
        <v/>
      </c>
      <c r="S1327">
        <f>IF(AND(Q1327&lt;&gt;"",ISNUMBER(E1327)),Q1327,"")</f>
        <v/>
      </c>
      <c r="T1327">
        <f>IF(AND(Q1327&lt;&gt;"",ISNUMBER(F1327)),Q1327,"")</f>
        <v/>
      </c>
      <c r="U1327">
        <f>IF(AND(Q1327&lt;&gt;"",ISNUMBER(G1327)),Q1327,"")</f>
        <v/>
      </c>
      <c r="V1327">
        <f>IF(AND(Q1327&lt;&gt;"",ISNUMBER(H1327)),Q1327,"")</f>
        <v/>
      </c>
      <c r="W1327">
        <f>IF(AND(Q1327&lt;&gt;"",ISNUMBER(I1327)),Q1327,"")</f>
        <v/>
      </c>
      <c r="X1327">
        <f>IF(AND(Q1327&lt;&gt;"",ISNUMBER(J1327)),Q1327,"")</f>
        <v/>
      </c>
      <c r="Y1327">
        <f>IF(AND(Q1327&lt;&gt;"",ISNUMBER(K1327)),Q1327,"")</f>
        <v/>
      </c>
      <c r="Z1327">
        <f>IF(AND(Q1327&lt;&gt;"",ISNUMBER(L1327)),Q1327,"")</f>
        <v/>
      </c>
      <c r="AA1327">
        <f>IF(AND(Q1327&lt;&gt;"",ISNUMBER(M1327)),Q1327,"")</f>
        <v/>
      </c>
      <c r="AB1327">
        <f>IF(AND(Q1327&lt;&gt;"",ISNUMBER(K1327)),K1327,"")</f>
        <v/>
      </c>
      <c r="AC1327">
        <f>IF(AND(Q1327&lt;&gt;"",ISNUMBER(L1327)),L1327,"")</f>
        <v/>
      </c>
      <c r="AD1327">
        <f>IF(AND(Q1327&lt;&gt;"",ISNUMBER(M1327)),M1327,"")</f>
        <v/>
      </c>
    </row>
    <row r="1328">
      <c r="A1328" s="1" t="n"/>
      <c r="B1328" s="17" t="n"/>
      <c r="C1328" s="27" t="n"/>
      <c r="D1328" s="28" t="n"/>
      <c r="E1328" s="28" t="n"/>
      <c r="F1328" s="28" t="n"/>
      <c r="G1328" s="28" t="n"/>
      <c r="H1328" s="28" t="n"/>
      <c r="I1328" s="28" t="n"/>
      <c r="J1328" s="28" t="n"/>
      <c r="K1328" s="28" t="n"/>
      <c r="L1328" s="28" t="n"/>
      <c r="M1328" s="29" t="n"/>
      <c r="N1328" s="21" t="n"/>
      <c r="O1328" s="12">
        <f>IF(AND(B1328="",C1328=""),"",IF(NOT(ISNUMBER(B1328)),"Needs a date",IF(C1328="","Needs a client",IF(COUNTIF(Clients!$B$6:$B$105,C1328)=0,"Not on Clients",IF(COUNT(D1328:M1328)=0,"Nothing measured","")))))</f>
        <v/>
      </c>
      <c r="P1328" s="1">
        <f>IF(AND(O1328="",ISNUMBER(B1328)),INT(B1328),0)</f>
        <v/>
      </c>
      <c r="Q1328">
        <f>IF(AND(P1328&gt;0,C1328=Report!$C$5),P1328*10000+ROW(),"")</f>
        <v/>
      </c>
      <c r="R1328">
        <f>IF(AND(Q1328&lt;&gt;"",ISNUMBER(D1328)),Q1328,"")</f>
        <v/>
      </c>
      <c r="S1328">
        <f>IF(AND(Q1328&lt;&gt;"",ISNUMBER(E1328)),Q1328,"")</f>
        <v/>
      </c>
      <c r="T1328">
        <f>IF(AND(Q1328&lt;&gt;"",ISNUMBER(F1328)),Q1328,"")</f>
        <v/>
      </c>
      <c r="U1328">
        <f>IF(AND(Q1328&lt;&gt;"",ISNUMBER(G1328)),Q1328,"")</f>
        <v/>
      </c>
      <c r="V1328">
        <f>IF(AND(Q1328&lt;&gt;"",ISNUMBER(H1328)),Q1328,"")</f>
        <v/>
      </c>
      <c r="W1328">
        <f>IF(AND(Q1328&lt;&gt;"",ISNUMBER(I1328)),Q1328,"")</f>
        <v/>
      </c>
      <c r="X1328">
        <f>IF(AND(Q1328&lt;&gt;"",ISNUMBER(J1328)),Q1328,"")</f>
        <v/>
      </c>
      <c r="Y1328">
        <f>IF(AND(Q1328&lt;&gt;"",ISNUMBER(K1328)),Q1328,"")</f>
        <v/>
      </c>
      <c r="Z1328">
        <f>IF(AND(Q1328&lt;&gt;"",ISNUMBER(L1328)),Q1328,"")</f>
        <v/>
      </c>
      <c r="AA1328">
        <f>IF(AND(Q1328&lt;&gt;"",ISNUMBER(M1328)),Q1328,"")</f>
        <v/>
      </c>
      <c r="AB1328">
        <f>IF(AND(Q1328&lt;&gt;"",ISNUMBER(K1328)),K1328,"")</f>
        <v/>
      </c>
      <c r="AC1328">
        <f>IF(AND(Q1328&lt;&gt;"",ISNUMBER(L1328)),L1328,"")</f>
        <v/>
      </c>
      <c r="AD1328">
        <f>IF(AND(Q1328&lt;&gt;"",ISNUMBER(M1328)),M1328,"")</f>
        <v/>
      </c>
    </row>
    <row r="1329">
      <c r="A1329" s="1" t="n"/>
      <c r="B1329" s="17" t="n"/>
      <c r="C1329" s="27" t="n"/>
      <c r="D1329" s="28" t="n"/>
      <c r="E1329" s="28" t="n"/>
      <c r="F1329" s="28" t="n"/>
      <c r="G1329" s="28" t="n"/>
      <c r="H1329" s="28" t="n"/>
      <c r="I1329" s="28" t="n"/>
      <c r="J1329" s="28" t="n"/>
      <c r="K1329" s="28" t="n"/>
      <c r="L1329" s="28" t="n"/>
      <c r="M1329" s="29" t="n"/>
      <c r="N1329" s="21" t="n"/>
      <c r="O1329" s="12">
        <f>IF(AND(B1329="",C1329=""),"",IF(NOT(ISNUMBER(B1329)),"Needs a date",IF(C1329="","Needs a client",IF(COUNTIF(Clients!$B$6:$B$105,C1329)=0,"Not on Clients",IF(COUNT(D1329:M1329)=0,"Nothing measured","")))))</f>
        <v/>
      </c>
      <c r="P1329" s="1">
        <f>IF(AND(O1329="",ISNUMBER(B1329)),INT(B1329),0)</f>
        <v/>
      </c>
      <c r="Q1329">
        <f>IF(AND(P1329&gt;0,C1329=Report!$C$5),P1329*10000+ROW(),"")</f>
        <v/>
      </c>
      <c r="R1329">
        <f>IF(AND(Q1329&lt;&gt;"",ISNUMBER(D1329)),Q1329,"")</f>
        <v/>
      </c>
      <c r="S1329">
        <f>IF(AND(Q1329&lt;&gt;"",ISNUMBER(E1329)),Q1329,"")</f>
        <v/>
      </c>
      <c r="T1329">
        <f>IF(AND(Q1329&lt;&gt;"",ISNUMBER(F1329)),Q1329,"")</f>
        <v/>
      </c>
      <c r="U1329">
        <f>IF(AND(Q1329&lt;&gt;"",ISNUMBER(G1329)),Q1329,"")</f>
        <v/>
      </c>
      <c r="V1329">
        <f>IF(AND(Q1329&lt;&gt;"",ISNUMBER(H1329)),Q1329,"")</f>
        <v/>
      </c>
      <c r="W1329">
        <f>IF(AND(Q1329&lt;&gt;"",ISNUMBER(I1329)),Q1329,"")</f>
        <v/>
      </c>
      <c r="X1329">
        <f>IF(AND(Q1329&lt;&gt;"",ISNUMBER(J1329)),Q1329,"")</f>
        <v/>
      </c>
      <c r="Y1329">
        <f>IF(AND(Q1329&lt;&gt;"",ISNUMBER(K1329)),Q1329,"")</f>
        <v/>
      </c>
      <c r="Z1329">
        <f>IF(AND(Q1329&lt;&gt;"",ISNUMBER(L1329)),Q1329,"")</f>
        <v/>
      </c>
      <c r="AA1329">
        <f>IF(AND(Q1329&lt;&gt;"",ISNUMBER(M1329)),Q1329,"")</f>
        <v/>
      </c>
      <c r="AB1329">
        <f>IF(AND(Q1329&lt;&gt;"",ISNUMBER(K1329)),K1329,"")</f>
        <v/>
      </c>
      <c r="AC1329">
        <f>IF(AND(Q1329&lt;&gt;"",ISNUMBER(L1329)),L1329,"")</f>
        <v/>
      </c>
      <c r="AD1329">
        <f>IF(AND(Q1329&lt;&gt;"",ISNUMBER(M1329)),M1329,"")</f>
        <v/>
      </c>
    </row>
    <row r="1330">
      <c r="A1330" s="1" t="n"/>
      <c r="B1330" s="17" t="n"/>
      <c r="C1330" s="27" t="n"/>
      <c r="D1330" s="28" t="n"/>
      <c r="E1330" s="28" t="n"/>
      <c r="F1330" s="28" t="n"/>
      <c r="G1330" s="28" t="n"/>
      <c r="H1330" s="28" t="n"/>
      <c r="I1330" s="28" t="n"/>
      <c r="J1330" s="28" t="n"/>
      <c r="K1330" s="28" t="n"/>
      <c r="L1330" s="28" t="n"/>
      <c r="M1330" s="29" t="n"/>
      <c r="N1330" s="21" t="n"/>
      <c r="O1330" s="12">
        <f>IF(AND(B1330="",C1330=""),"",IF(NOT(ISNUMBER(B1330)),"Needs a date",IF(C1330="","Needs a client",IF(COUNTIF(Clients!$B$6:$B$105,C1330)=0,"Not on Clients",IF(COUNT(D1330:M1330)=0,"Nothing measured","")))))</f>
        <v/>
      </c>
      <c r="P1330" s="1">
        <f>IF(AND(O1330="",ISNUMBER(B1330)),INT(B1330),0)</f>
        <v/>
      </c>
      <c r="Q1330">
        <f>IF(AND(P1330&gt;0,C1330=Report!$C$5),P1330*10000+ROW(),"")</f>
        <v/>
      </c>
      <c r="R1330">
        <f>IF(AND(Q1330&lt;&gt;"",ISNUMBER(D1330)),Q1330,"")</f>
        <v/>
      </c>
      <c r="S1330">
        <f>IF(AND(Q1330&lt;&gt;"",ISNUMBER(E1330)),Q1330,"")</f>
        <v/>
      </c>
      <c r="T1330">
        <f>IF(AND(Q1330&lt;&gt;"",ISNUMBER(F1330)),Q1330,"")</f>
        <v/>
      </c>
      <c r="U1330">
        <f>IF(AND(Q1330&lt;&gt;"",ISNUMBER(G1330)),Q1330,"")</f>
        <v/>
      </c>
      <c r="V1330">
        <f>IF(AND(Q1330&lt;&gt;"",ISNUMBER(H1330)),Q1330,"")</f>
        <v/>
      </c>
      <c r="W1330">
        <f>IF(AND(Q1330&lt;&gt;"",ISNUMBER(I1330)),Q1330,"")</f>
        <v/>
      </c>
      <c r="X1330">
        <f>IF(AND(Q1330&lt;&gt;"",ISNUMBER(J1330)),Q1330,"")</f>
        <v/>
      </c>
      <c r="Y1330">
        <f>IF(AND(Q1330&lt;&gt;"",ISNUMBER(K1330)),Q1330,"")</f>
        <v/>
      </c>
      <c r="Z1330">
        <f>IF(AND(Q1330&lt;&gt;"",ISNUMBER(L1330)),Q1330,"")</f>
        <v/>
      </c>
      <c r="AA1330">
        <f>IF(AND(Q1330&lt;&gt;"",ISNUMBER(M1330)),Q1330,"")</f>
        <v/>
      </c>
      <c r="AB1330">
        <f>IF(AND(Q1330&lt;&gt;"",ISNUMBER(K1330)),K1330,"")</f>
        <v/>
      </c>
      <c r="AC1330">
        <f>IF(AND(Q1330&lt;&gt;"",ISNUMBER(L1330)),L1330,"")</f>
        <v/>
      </c>
      <c r="AD1330">
        <f>IF(AND(Q1330&lt;&gt;"",ISNUMBER(M1330)),M1330,"")</f>
        <v/>
      </c>
    </row>
    <row r="1331">
      <c r="A1331" s="1" t="n"/>
      <c r="B1331" s="17" t="n"/>
      <c r="C1331" s="27" t="n"/>
      <c r="D1331" s="28" t="n"/>
      <c r="E1331" s="28" t="n"/>
      <c r="F1331" s="28" t="n"/>
      <c r="G1331" s="28" t="n"/>
      <c r="H1331" s="28" t="n"/>
      <c r="I1331" s="28" t="n"/>
      <c r="J1331" s="28" t="n"/>
      <c r="K1331" s="28" t="n"/>
      <c r="L1331" s="28" t="n"/>
      <c r="M1331" s="29" t="n"/>
      <c r="N1331" s="21" t="n"/>
      <c r="O1331" s="12">
        <f>IF(AND(B1331="",C1331=""),"",IF(NOT(ISNUMBER(B1331)),"Needs a date",IF(C1331="","Needs a client",IF(COUNTIF(Clients!$B$6:$B$105,C1331)=0,"Not on Clients",IF(COUNT(D1331:M1331)=0,"Nothing measured","")))))</f>
        <v/>
      </c>
      <c r="P1331" s="1">
        <f>IF(AND(O1331="",ISNUMBER(B1331)),INT(B1331),0)</f>
        <v/>
      </c>
      <c r="Q1331">
        <f>IF(AND(P1331&gt;0,C1331=Report!$C$5),P1331*10000+ROW(),"")</f>
        <v/>
      </c>
      <c r="R1331">
        <f>IF(AND(Q1331&lt;&gt;"",ISNUMBER(D1331)),Q1331,"")</f>
        <v/>
      </c>
      <c r="S1331">
        <f>IF(AND(Q1331&lt;&gt;"",ISNUMBER(E1331)),Q1331,"")</f>
        <v/>
      </c>
      <c r="T1331">
        <f>IF(AND(Q1331&lt;&gt;"",ISNUMBER(F1331)),Q1331,"")</f>
        <v/>
      </c>
      <c r="U1331">
        <f>IF(AND(Q1331&lt;&gt;"",ISNUMBER(G1331)),Q1331,"")</f>
        <v/>
      </c>
      <c r="V1331">
        <f>IF(AND(Q1331&lt;&gt;"",ISNUMBER(H1331)),Q1331,"")</f>
        <v/>
      </c>
      <c r="W1331">
        <f>IF(AND(Q1331&lt;&gt;"",ISNUMBER(I1331)),Q1331,"")</f>
        <v/>
      </c>
      <c r="X1331">
        <f>IF(AND(Q1331&lt;&gt;"",ISNUMBER(J1331)),Q1331,"")</f>
        <v/>
      </c>
      <c r="Y1331">
        <f>IF(AND(Q1331&lt;&gt;"",ISNUMBER(K1331)),Q1331,"")</f>
        <v/>
      </c>
      <c r="Z1331">
        <f>IF(AND(Q1331&lt;&gt;"",ISNUMBER(L1331)),Q1331,"")</f>
        <v/>
      </c>
      <c r="AA1331">
        <f>IF(AND(Q1331&lt;&gt;"",ISNUMBER(M1331)),Q1331,"")</f>
        <v/>
      </c>
      <c r="AB1331">
        <f>IF(AND(Q1331&lt;&gt;"",ISNUMBER(K1331)),K1331,"")</f>
        <v/>
      </c>
      <c r="AC1331">
        <f>IF(AND(Q1331&lt;&gt;"",ISNUMBER(L1331)),L1331,"")</f>
        <v/>
      </c>
      <c r="AD1331">
        <f>IF(AND(Q1331&lt;&gt;"",ISNUMBER(M1331)),M1331,"")</f>
        <v/>
      </c>
    </row>
    <row r="1332">
      <c r="A1332" s="1" t="n"/>
      <c r="B1332" s="17" t="n"/>
      <c r="C1332" s="27" t="n"/>
      <c r="D1332" s="28" t="n"/>
      <c r="E1332" s="28" t="n"/>
      <c r="F1332" s="28" t="n"/>
      <c r="G1332" s="28" t="n"/>
      <c r="H1332" s="28" t="n"/>
      <c r="I1332" s="28" t="n"/>
      <c r="J1332" s="28" t="n"/>
      <c r="K1332" s="28" t="n"/>
      <c r="L1332" s="28" t="n"/>
      <c r="M1332" s="29" t="n"/>
      <c r="N1332" s="21" t="n"/>
      <c r="O1332" s="12">
        <f>IF(AND(B1332="",C1332=""),"",IF(NOT(ISNUMBER(B1332)),"Needs a date",IF(C1332="","Needs a client",IF(COUNTIF(Clients!$B$6:$B$105,C1332)=0,"Not on Clients",IF(COUNT(D1332:M1332)=0,"Nothing measured","")))))</f>
        <v/>
      </c>
      <c r="P1332" s="1">
        <f>IF(AND(O1332="",ISNUMBER(B1332)),INT(B1332),0)</f>
        <v/>
      </c>
      <c r="Q1332">
        <f>IF(AND(P1332&gt;0,C1332=Report!$C$5),P1332*10000+ROW(),"")</f>
        <v/>
      </c>
      <c r="R1332">
        <f>IF(AND(Q1332&lt;&gt;"",ISNUMBER(D1332)),Q1332,"")</f>
        <v/>
      </c>
      <c r="S1332">
        <f>IF(AND(Q1332&lt;&gt;"",ISNUMBER(E1332)),Q1332,"")</f>
        <v/>
      </c>
      <c r="T1332">
        <f>IF(AND(Q1332&lt;&gt;"",ISNUMBER(F1332)),Q1332,"")</f>
        <v/>
      </c>
      <c r="U1332">
        <f>IF(AND(Q1332&lt;&gt;"",ISNUMBER(G1332)),Q1332,"")</f>
        <v/>
      </c>
      <c r="V1332">
        <f>IF(AND(Q1332&lt;&gt;"",ISNUMBER(H1332)),Q1332,"")</f>
        <v/>
      </c>
      <c r="W1332">
        <f>IF(AND(Q1332&lt;&gt;"",ISNUMBER(I1332)),Q1332,"")</f>
        <v/>
      </c>
      <c r="X1332">
        <f>IF(AND(Q1332&lt;&gt;"",ISNUMBER(J1332)),Q1332,"")</f>
        <v/>
      </c>
      <c r="Y1332">
        <f>IF(AND(Q1332&lt;&gt;"",ISNUMBER(K1332)),Q1332,"")</f>
        <v/>
      </c>
      <c r="Z1332">
        <f>IF(AND(Q1332&lt;&gt;"",ISNUMBER(L1332)),Q1332,"")</f>
        <v/>
      </c>
      <c r="AA1332">
        <f>IF(AND(Q1332&lt;&gt;"",ISNUMBER(M1332)),Q1332,"")</f>
        <v/>
      </c>
      <c r="AB1332">
        <f>IF(AND(Q1332&lt;&gt;"",ISNUMBER(K1332)),K1332,"")</f>
        <v/>
      </c>
      <c r="AC1332">
        <f>IF(AND(Q1332&lt;&gt;"",ISNUMBER(L1332)),L1332,"")</f>
        <v/>
      </c>
      <c r="AD1332">
        <f>IF(AND(Q1332&lt;&gt;"",ISNUMBER(M1332)),M1332,"")</f>
        <v/>
      </c>
    </row>
    <row r="1333">
      <c r="A1333" s="1" t="n"/>
      <c r="B1333" s="17" t="n"/>
      <c r="C1333" s="27" t="n"/>
      <c r="D1333" s="28" t="n"/>
      <c r="E1333" s="28" t="n"/>
      <c r="F1333" s="28" t="n"/>
      <c r="G1333" s="28" t="n"/>
      <c r="H1333" s="28" t="n"/>
      <c r="I1333" s="28" t="n"/>
      <c r="J1333" s="28" t="n"/>
      <c r="K1333" s="28" t="n"/>
      <c r="L1333" s="28" t="n"/>
      <c r="M1333" s="29" t="n"/>
      <c r="N1333" s="21" t="n"/>
      <c r="O1333" s="12">
        <f>IF(AND(B1333="",C1333=""),"",IF(NOT(ISNUMBER(B1333)),"Needs a date",IF(C1333="","Needs a client",IF(COUNTIF(Clients!$B$6:$B$105,C1333)=0,"Not on Clients",IF(COUNT(D1333:M1333)=0,"Nothing measured","")))))</f>
        <v/>
      </c>
      <c r="P1333" s="1">
        <f>IF(AND(O1333="",ISNUMBER(B1333)),INT(B1333),0)</f>
        <v/>
      </c>
      <c r="Q1333">
        <f>IF(AND(P1333&gt;0,C1333=Report!$C$5),P1333*10000+ROW(),"")</f>
        <v/>
      </c>
      <c r="R1333">
        <f>IF(AND(Q1333&lt;&gt;"",ISNUMBER(D1333)),Q1333,"")</f>
        <v/>
      </c>
      <c r="S1333">
        <f>IF(AND(Q1333&lt;&gt;"",ISNUMBER(E1333)),Q1333,"")</f>
        <v/>
      </c>
      <c r="T1333">
        <f>IF(AND(Q1333&lt;&gt;"",ISNUMBER(F1333)),Q1333,"")</f>
        <v/>
      </c>
      <c r="U1333">
        <f>IF(AND(Q1333&lt;&gt;"",ISNUMBER(G1333)),Q1333,"")</f>
        <v/>
      </c>
      <c r="V1333">
        <f>IF(AND(Q1333&lt;&gt;"",ISNUMBER(H1333)),Q1333,"")</f>
        <v/>
      </c>
      <c r="W1333">
        <f>IF(AND(Q1333&lt;&gt;"",ISNUMBER(I1333)),Q1333,"")</f>
        <v/>
      </c>
      <c r="X1333">
        <f>IF(AND(Q1333&lt;&gt;"",ISNUMBER(J1333)),Q1333,"")</f>
        <v/>
      </c>
      <c r="Y1333">
        <f>IF(AND(Q1333&lt;&gt;"",ISNUMBER(K1333)),Q1333,"")</f>
        <v/>
      </c>
      <c r="Z1333">
        <f>IF(AND(Q1333&lt;&gt;"",ISNUMBER(L1333)),Q1333,"")</f>
        <v/>
      </c>
      <c r="AA1333">
        <f>IF(AND(Q1333&lt;&gt;"",ISNUMBER(M1333)),Q1333,"")</f>
        <v/>
      </c>
      <c r="AB1333">
        <f>IF(AND(Q1333&lt;&gt;"",ISNUMBER(K1333)),K1333,"")</f>
        <v/>
      </c>
      <c r="AC1333">
        <f>IF(AND(Q1333&lt;&gt;"",ISNUMBER(L1333)),L1333,"")</f>
        <v/>
      </c>
      <c r="AD1333">
        <f>IF(AND(Q1333&lt;&gt;"",ISNUMBER(M1333)),M1333,"")</f>
        <v/>
      </c>
    </row>
    <row r="1334">
      <c r="A1334" s="1" t="n"/>
      <c r="B1334" s="17" t="n"/>
      <c r="C1334" s="27" t="n"/>
      <c r="D1334" s="28" t="n"/>
      <c r="E1334" s="28" t="n"/>
      <c r="F1334" s="28" t="n"/>
      <c r="G1334" s="28" t="n"/>
      <c r="H1334" s="28" t="n"/>
      <c r="I1334" s="28" t="n"/>
      <c r="J1334" s="28" t="n"/>
      <c r="K1334" s="28" t="n"/>
      <c r="L1334" s="28" t="n"/>
      <c r="M1334" s="29" t="n"/>
      <c r="N1334" s="21" t="n"/>
      <c r="O1334" s="12">
        <f>IF(AND(B1334="",C1334=""),"",IF(NOT(ISNUMBER(B1334)),"Needs a date",IF(C1334="","Needs a client",IF(COUNTIF(Clients!$B$6:$B$105,C1334)=0,"Not on Clients",IF(COUNT(D1334:M1334)=0,"Nothing measured","")))))</f>
        <v/>
      </c>
      <c r="P1334" s="1">
        <f>IF(AND(O1334="",ISNUMBER(B1334)),INT(B1334),0)</f>
        <v/>
      </c>
      <c r="Q1334">
        <f>IF(AND(P1334&gt;0,C1334=Report!$C$5),P1334*10000+ROW(),"")</f>
        <v/>
      </c>
      <c r="R1334">
        <f>IF(AND(Q1334&lt;&gt;"",ISNUMBER(D1334)),Q1334,"")</f>
        <v/>
      </c>
      <c r="S1334">
        <f>IF(AND(Q1334&lt;&gt;"",ISNUMBER(E1334)),Q1334,"")</f>
        <v/>
      </c>
      <c r="T1334">
        <f>IF(AND(Q1334&lt;&gt;"",ISNUMBER(F1334)),Q1334,"")</f>
        <v/>
      </c>
      <c r="U1334">
        <f>IF(AND(Q1334&lt;&gt;"",ISNUMBER(G1334)),Q1334,"")</f>
        <v/>
      </c>
      <c r="V1334">
        <f>IF(AND(Q1334&lt;&gt;"",ISNUMBER(H1334)),Q1334,"")</f>
        <v/>
      </c>
      <c r="W1334">
        <f>IF(AND(Q1334&lt;&gt;"",ISNUMBER(I1334)),Q1334,"")</f>
        <v/>
      </c>
      <c r="X1334">
        <f>IF(AND(Q1334&lt;&gt;"",ISNUMBER(J1334)),Q1334,"")</f>
        <v/>
      </c>
      <c r="Y1334">
        <f>IF(AND(Q1334&lt;&gt;"",ISNUMBER(K1334)),Q1334,"")</f>
        <v/>
      </c>
      <c r="Z1334">
        <f>IF(AND(Q1334&lt;&gt;"",ISNUMBER(L1334)),Q1334,"")</f>
        <v/>
      </c>
      <c r="AA1334">
        <f>IF(AND(Q1334&lt;&gt;"",ISNUMBER(M1334)),Q1334,"")</f>
        <v/>
      </c>
      <c r="AB1334">
        <f>IF(AND(Q1334&lt;&gt;"",ISNUMBER(K1334)),K1334,"")</f>
        <v/>
      </c>
      <c r="AC1334">
        <f>IF(AND(Q1334&lt;&gt;"",ISNUMBER(L1334)),L1334,"")</f>
        <v/>
      </c>
      <c r="AD1334">
        <f>IF(AND(Q1334&lt;&gt;"",ISNUMBER(M1334)),M1334,"")</f>
        <v/>
      </c>
    </row>
    <row r="1335">
      <c r="A1335" s="1" t="n"/>
      <c r="B1335" s="17" t="n"/>
      <c r="C1335" s="27" t="n"/>
      <c r="D1335" s="28" t="n"/>
      <c r="E1335" s="28" t="n"/>
      <c r="F1335" s="28" t="n"/>
      <c r="G1335" s="28" t="n"/>
      <c r="H1335" s="28" t="n"/>
      <c r="I1335" s="28" t="n"/>
      <c r="J1335" s="28" t="n"/>
      <c r="K1335" s="28" t="n"/>
      <c r="L1335" s="28" t="n"/>
      <c r="M1335" s="29" t="n"/>
      <c r="N1335" s="21" t="n"/>
      <c r="O1335" s="12">
        <f>IF(AND(B1335="",C1335=""),"",IF(NOT(ISNUMBER(B1335)),"Needs a date",IF(C1335="","Needs a client",IF(COUNTIF(Clients!$B$6:$B$105,C1335)=0,"Not on Clients",IF(COUNT(D1335:M1335)=0,"Nothing measured","")))))</f>
        <v/>
      </c>
      <c r="P1335" s="1">
        <f>IF(AND(O1335="",ISNUMBER(B1335)),INT(B1335),0)</f>
        <v/>
      </c>
      <c r="Q1335">
        <f>IF(AND(P1335&gt;0,C1335=Report!$C$5),P1335*10000+ROW(),"")</f>
        <v/>
      </c>
      <c r="R1335">
        <f>IF(AND(Q1335&lt;&gt;"",ISNUMBER(D1335)),Q1335,"")</f>
        <v/>
      </c>
      <c r="S1335">
        <f>IF(AND(Q1335&lt;&gt;"",ISNUMBER(E1335)),Q1335,"")</f>
        <v/>
      </c>
      <c r="T1335">
        <f>IF(AND(Q1335&lt;&gt;"",ISNUMBER(F1335)),Q1335,"")</f>
        <v/>
      </c>
      <c r="U1335">
        <f>IF(AND(Q1335&lt;&gt;"",ISNUMBER(G1335)),Q1335,"")</f>
        <v/>
      </c>
      <c r="V1335">
        <f>IF(AND(Q1335&lt;&gt;"",ISNUMBER(H1335)),Q1335,"")</f>
        <v/>
      </c>
      <c r="W1335">
        <f>IF(AND(Q1335&lt;&gt;"",ISNUMBER(I1335)),Q1335,"")</f>
        <v/>
      </c>
      <c r="X1335">
        <f>IF(AND(Q1335&lt;&gt;"",ISNUMBER(J1335)),Q1335,"")</f>
        <v/>
      </c>
      <c r="Y1335">
        <f>IF(AND(Q1335&lt;&gt;"",ISNUMBER(K1335)),Q1335,"")</f>
        <v/>
      </c>
      <c r="Z1335">
        <f>IF(AND(Q1335&lt;&gt;"",ISNUMBER(L1335)),Q1335,"")</f>
        <v/>
      </c>
      <c r="AA1335">
        <f>IF(AND(Q1335&lt;&gt;"",ISNUMBER(M1335)),Q1335,"")</f>
        <v/>
      </c>
      <c r="AB1335">
        <f>IF(AND(Q1335&lt;&gt;"",ISNUMBER(K1335)),K1335,"")</f>
        <v/>
      </c>
      <c r="AC1335">
        <f>IF(AND(Q1335&lt;&gt;"",ISNUMBER(L1335)),L1335,"")</f>
        <v/>
      </c>
      <c r="AD1335">
        <f>IF(AND(Q1335&lt;&gt;"",ISNUMBER(M1335)),M1335,"")</f>
        <v/>
      </c>
    </row>
    <row r="1336">
      <c r="A1336" s="1" t="n"/>
      <c r="B1336" s="17" t="n"/>
      <c r="C1336" s="27" t="n"/>
      <c r="D1336" s="28" t="n"/>
      <c r="E1336" s="28" t="n"/>
      <c r="F1336" s="28" t="n"/>
      <c r="G1336" s="28" t="n"/>
      <c r="H1336" s="28" t="n"/>
      <c r="I1336" s="28" t="n"/>
      <c r="J1336" s="28" t="n"/>
      <c r="K1336" s="28" t="n"/>
      <c r="L1336" s="28" t="n"/>
      <c r="M1336" s="29" t="n"/>
      <c r="N1336" s="21" t="n"/>
      <c r="O1336" s="12">
        <f>IF(AND(B1336="",C1336=""),"",IF(NOT(ISNUMBER(B1336)),"Needs a date",IF(C1336="","Needs a client",IF(COUNTIF(Clients!$B$6:$B$105,C1336)=0,"Not on Clients",IF(COUNT(D1336:M1336)=0,"Nothing measured","")))))</f>
        <v/>
      </c>
      <c r="P1336" s="1">
        <f>IF(AND(O1336="",ISNUMBER(B1336)),INT(B1336),0)</f>
        <v/>
      </c>
      <c r="Q1336">
        <f>IF(AND(P1336&gt;0,C1336=Report!$C$5),P1336*10000+ROW(),"")</f>
        <v/>
      </c>
      <c r="R1336">
        <f>IF(AND(Q1336&lt;&gt;"",ISNUMBER(D1336)),Q1336,"")</f>
        <v/>
      </c>
      <c r="S1336">
        <f>IF(AND(Q1336&lt;&gt;"",ISNUMBER(E1336)),Q1336,"")</f>
        <v/>
      </c>
      <c r="T1336">
        <f>IF(AND(Q1336&lt;&gt;"",ISNUMBER(F1336)),Q1336,"")</f>
        <v/>
      </c>
      <c r="U1336">
        <f>IF(AND(Q1336&lt;&gt;"",ISNUMBER(G1336)),Q1336,"")</f>
        <v/>
      </c>
      <c r="V1336">
        <f>IF(AND(Q1336&lt;&gt;"",ISNUMBER(H1336)),Q1336,"")</f>
        <v/>
      </c>
      <c r="W1336">
        <f>IF(AND(Q1336&lt;&gt;"",ISNUMBER(I1336)),Q1336,"")</f>
        <v/>
      </c>
      <c r="X1336">
        <f>IF(AND(Q1336&lt;&gt;"",ISNUMBER(J1336)),Q1336,"")</f>
        <v/>
      </c>
      <c r="Y1336">
        <f>IF(AND(Q1336&lt;&gt;"",ISNUMBER(K1336)),Q1336,"")</f>
        <v/>
      </c>
      <c r="Z1336">
        <f>IF(AND(Q1336&lt;&gt;"",ISNUMBER(L1336)),Q1336,"")</f>
        <v/>
      </c>
      <c r="AA1336">
        <f>IF(AND(Q1336&lt;&gt;"",ISNUMBER(M1336)),Q1336,"")</f>
        <v/>
      </c>
      <c r="AB1336">
        <f>IF(AND(Q1336&lt;&gt;"",ISNUMBER(K1336)),K1336,"")</f>
        <v/>
      </c>
      <c r="AC1336">
        <f>IF(AND(Q1336&lt;&gt;"",ISNUMBER(L1336)),L1336,"")</f>
        <v/>
      </c>
      <c r="AD1336">
        <f>IF(AND(Q1336&lt;&gt;"",ISNUMBER(M1336)),M1336,"")</f>
        <v/>
      </c>
    </row>
    <row r="1337">
      <c r="A1337" s="1" t="n"/>
      <c r="B1337" s="17" t="n"/>
      <c r="C1337" s="27" t="n"/>
      <c r="D1337" s="28" t="n"/>
      <c r="E1337" s="28" t="n"/>
      <c r="F1337" s="28" t="n"/>
      <c r="G1337" s="28" t="n"/>
      <c r="H1337" s="28" t="n"/>
      <c r="I1337" s="28" t="n"/>
      <c r="J1337" s="28" t="n"/>
      <c r="K1337" s="28" t="n"/>
      <c r="L1337" s="28" t="n"/>
      <c r="M1337" s="29" t="n"/>
      <c r="N1337" s="21" t="n"/>
      <c r="O1337" s="12">
        <f>IF(AND(B1337="",C1337=""),"",IF(NOT(ISNUMBER(B1337)),"Needs a date",IF(C1337="","Needs a client",IF(COUNTIF(Clients!$B$6:$B$105,C1337)=0,"Not on Clients",IF(COUNT(D1337:M1337)=0,"Nothing measured","")))))</f>
        <v/>
      </c>
      <c r="P1337" s="1">
        <f>IF(AND(O1337="",ISNUMBER(B1337)),INT(B1337),0)</f>
        <v/>
      </c>
      <c r="Q1337">
        <f>IF(AND(P1337&gt;0,C1337=Report!$C$5),P1337*10000+ROW(),"")</f>
        <v/>
      </c>
      <c r="R1337">
        <f>IF(AND(Q1337&lt;&gt;"",ISNUMBER(D1337)),Q1337,"")</f>
        <v/>
      </c>
      <c r="S1337">
        <f>IF(AND(Q1337&lt;&gt;"",ISNUMBER(E1337)),Q1337,"")</f>
        <v/>
      </c>
      <c r="T1337">
        <f>IF(AND(Q1337&lt;&gt;"",ISNUMBER(F1337)),Q1337,"")</f>
        <v/>
      </c>
      <c r="U1337">
        <f>IF(AND(Q1337&lt;&gt;"",ISNUMBER(G1337)),Q1337,"")</f>
        <v/>
      </c>
      <c r="V1337">
        <f>IF(AND(Q1337&lt;&gt;"",ISNUMBER(H1337)),Q1337,"")</f>
        <v/>
      </c>
      <c r="W1337">
        <f>IF(AND(Q1337&lt;&gt;"",ISNUMBER(I1337)),Q1337,"")</f>
        <v/>
      </c>
      <c r="X1337">
        <f>IF(AND(Q1337&lt;&gt;"",ISNUMBER(J1337)),Q1337,"")</f>
        <v/>
      </c>
      <c r="Y1337">
        <f>IF(AND(Q1337&lt;&gt;"",ISNUMBER(K1337)),Q1337,"")</f>
        <v/>
      </c>
      <c r="Z1337">
        <f>IF(AND(Q1337&lt;&gt;"",ISNUMBER(L1337)),Q1337,"")</f>
        <v/>
      </c>
      <c r="AA1337">
        <f>IF(AND(Q1337&lt;&gt;"",ISNUMBER(M1337)),Q1337,"")</f>
        <v/>
      </c>
      <c r="AB1337">
        <f>IF(AND(Q1337&lt;&gt;"",ISNUMBER(K1337)),K1337,"")</f>
        <v/>
      </c>
      <c r="AC1337">
        <f>IF(AND(Q1337&lt;&gt;"",ISNUMBER(L1337)),L1337,"")</f>
        <v/>
      </c>
      <c r="AD1337">
        <f>IF(AND(Q1337&lt;&gt;"",ISNUMBER(M1337)),M1337,"")</f>
        <v/>
      </c>
    </row>
    <row r="1338">
      <c r="A1338" s="1" t="n"/>
      <c r="B1338" s="17" t="n"/>
      <c r="C1338" s="27" t="n"/>
      <c r="D1338" s="28" t="n"/>
      <c r="E1338" s="28" t="n"/>
      <c r="F1338" s="28" t="n"/>
      <c r="G1338" s="28" t="n"/>
      <c r="H1338" s="28" t="n"/>
      <c r="I1338" s="28" t="n"/>
      <c r="J1338" s="28" t="n"/>
      <c r="K1338" s="28" t="n"/>
      <c r="L1338" s="28" t="n"/>
      <c r="M1338" s="29" t="n"/>
      <c r="N1338" s="21" t="n"/>
      <c r="O1338" s="12">
        <f>IF(AND(B1338="",C1338=""),"",IF(NOT(ISNUMBER(B1338)),"Needs a date",IF(C1338="","Needs a client",IF(COUNTIF(Clients!$B$6:$B$105,C1338)=0,"Not on Clients",IF(COUNT(D1338:M1338)=0,"Nothing measured","")))))</f>
        <v/>
      </c>
      <c r="P1338" s="1">
        <f>IF(AND(O1338="",ISNUMBER(B1338)),INT(B1338),0)</f>
        <v/>
      </c>
      <c r="Q1338">
        <f>IF(AND(P1338&gt;0,C1338=Report!$C$5),P1338*10000+ROW(),"")</f>
        <v/>
      </c>
      <c r="R1338">
        <f>IF(AND(Q1338&lt;&gt;"",ISNUMBER(D1338)),Q1338,"")</f>
        <v/>
      </c>
      <c r="S1338">
        <f>IF(AND(Q1338&lt;&gt;"",ISNUMBER(E1338)),Q1338,"")</f>
        <v/>
      </c>
      <c r="T1338">
        <f>IF(AND(Q1338&lt;&gt;"",ISNUMBER(F1338)),Q1338,"")</f>
        <v/>
      </c>
      <c r="U1338">
        <f>IF(AND(Q1338&lt;&gt;"",ISNUMBER(G1338)),Q1338,"")</f>
        <v/>
      </c>
      <c r="V1338">
        <f>IF(AND(Q1338&lt;&gt;"",ISNUMBER(H1338)),Q1338,"")</f>
        <v/>
      </c>
      <c r="W1338">
        <f>IF(AND(Q1338&lt;&gt;"",ISNUMBER(I1338)),Q1338,"")</f>
        <v/>
      </c>
      <c r="X1338">
        <f>IF(AND(Q1338&lt;&gt;"",ISNUMBER(J1338)),Q1338,"")</f>
        <v/>
      </c>
      <c r="Y1338">
        <f>IF(AND(Q1338&lt;&gt;"",ISNUMBER(K1338)),Q1338,"")</f>
        <v/>
      </c>
      <c r="Z1338">
        <f>IF(AND(Q1338&lt;&gt;"",ISNUMBER(L1338)),Q1338,"")</f>
        <v/>
      </c>
      <c r="AA1338">
        <f>IF(AND(Q1338&lt;&gt;"",ISNUMBER(M1338)),Q1338,"")</f>
        <v/>
      </c>
      <c r="AB1338">
        <f>IF(AND(Q1338&lt;&gt;"",ISNUMBER(K1338)),K1338,"")</f>
        <v/>
      </c>
      <c r="AC1338">
        <f>IF(AND(Q1338&lt;&gt;"",ISNUMBER(L1338)),L1338,"")</f>
        <v/>
      </c>
      <c r="AD1338">
        <f>IF(AND(Q1338&lt;&gt;"",ISNUMBER(M1338)),M1338,"")</f>
        <v/>
      </c>
    </row>
    <row r="1339">
      <c r="A1339" s="1" t="n"/>
      <c r="B1339" s="17" t="n"/>
      <c r="C1339" s="27" t="n"/>
      <c r="D1339" s="28" t="n"/>
      <c r="E1339" s="28" t="n"/>
      <c r="F1339" s="28" t="n"/>
      <c r="G1339" s="28" t="n"/>
      <c r="H1339" s="28" t="n"/>
      <c r="I1339" s="28" t="n"/>
      <c r="J1339" s="28" t="n"/>
      <c r="K1339" s="28" t="n"/>
      <c r="L1339" s="28" t="n"/>
      <c r="M1339" s="29" t="n"/>
      <c r="N1339" s="21" t="n"/>
      <c r="O1339" s="12">
        <f>IF(AND(B1339="",C1339=""),"",IF(NOT(ISNUMBER(B1339)),"Needs a date",IF(C1339="","Needs a client",IF(COUNTIF(Clients!$B$6:$B$105,C1339)=0,"Not on Clients",IF(COUNT(D1339:M1339)=0,"Nothing measured","")))))</f>
        <v/>
      </c>
      <c r="P1339" s="1">
        <f>IF(AND(O1339="",ISNUMBER(B1339)),INT(B1339),0)</f>
        <v/>
      </c>
      <c r="Q1339">
        <f>IF(AND(P1339&gt;0,C1339=Report!$C$5),P1339*10000+ROW(),"")</f>
        <v/>
      </c>
      <c r="R1339">
        <f>IF(AND(Q1339&lt;&gt;"",ISNUMBER(D1339)),Q1339,"")</f>
        <v/>
      </c>
      <c r="S1339">
        <f>IF(AND(Q1339&lt;&gt;"",ISNUMBER(E1339)),Q1339,"")</f>
        <v/>
      </c>
      <c r="T1339">
        <f>IF(AND(Q1339&lt;&gt;"",ISNUMBER(F1339)),Q1339,"")</f>
        <v/>
      </c>
      <c r="U1339">
        <f>IF(AND(Q1339&lt;&gt;"",ISNUMBER(G1339)),Q1339,"")</f>
        <v/>
      </c>
      <c r="V1339">
        <f>IF(AND(Q1339&lt;&gt;"",ISNUMBER(H1339)),Q1339,"")</f>
        <v/>
      </c>
      <c r="W1339">
        <f>IF(AND(Q1339&lt;&gt;"",ISNUMBER(I1339)),Q1339,"")</f>
        <v/>
      </c>
      <c r="X1339">
        <f>IF(AND(Q1339&lt;&gt;"",ISNUMBER(J1339)),Q1339,"")</f>
        <v/>
      </c>
      <c r="Y1339">
        <f>IF(AND(Q1339&lt;&gt;"",ISNUMBER(K1339)),Q1339,"")</f>
        <v/>
      </c>
      <c r="Z1339">
        <f>IF(AND(Q1339&lt;&gt;"",ISNUMBER(L1339)),Q1339,"")</f>
        <v/>
      </c>
      <c r="AA1339">
        <f>IF(AND(Q1339&lt;&gt;"",ISNUMBER(M1339)),Q1339,"")</f>
        <v/>
      </c>
      <c r="AB1339">
        <f>IF(AND(Q1339&lt;&gt;"",ISNUMBER(K1339)),K1339,"")</f>
        <v/>
      </c>
      <c r="AC1339">
        <f>IF(AND(Q1339&lt;&gt;"",ISNUMBER(L1339)),L1339,"")</f>
        <v/>
      </c>
      <c r="AD1339">
        <f>IF(AND(Q1339&lt;&gt;"",ISNUMBER(M1339)),M1339,"")</f>
        <v/>
      </c>
    </row>
    <row r="1340">
      <c r="A1340" s="1" t="n"/>
      <c r="B1340" s="17" t="n"/>
      <c r="C1340" s="27" t="n"/>
      <c r="D1340" s="28" t="n"/>
      <c r="E1340" s="28" t="n"/>
      <c r="F1340" s="28" t="n"/>
      <c r="G1340" s="28" t="n"/>
      <c r="H1340" s="28" t="n"/>
      <c r="I1340" s="28" t="n"/>
      <c r="J1340" s="28" t="n"/>
      <c r="K1340" s="28" t="n"/>
      <c r="L1340" s="28" t="n"/>
      <c r="M1340" s="29" t="n"/>
      <c r="N1340" s="21" t="n"/>
      <c r="O1340" s="12">
        <f>IF(AND(B1340="",C1340=""),"",IF(NOT(ISNUMBER(B1340)),"Needs a date",IF(C1340="","Needs a client",IF(COUNTIF(Clients!$B$6:$B$105,C1340)=0,"Not on Clients",IF(COUNT(D1340:M1340)=0,"Nothing measured","")))))</f>
        <v/>
      </c>
      <c r="P1340" s="1">
        <f>IF(AND(O1340="",ISNUMBER(B1340)),INT(B1340),0)</f>
        <v/>
      </c>
      <c r="Q1340">
        <f>IF(AND(P1340&gt;0,C1340=Report!$C$5),P1340*10000+ROW(),"")</f>
        <v/>
      </c>
      <c r="R1340">
        <f>IF(AND(Q1340&lt;&gt;"",ISNUMBER(D1340)),Q1340,"")</f>
        <v/>
      </c>
      <c r="S1340">
        <f>IF(AND(Q1340&lt;&gt;"",ISNUMBER(E1340)),Q1340,"")</f>
        <v/>
      </c>
      <c r="T1340">
        <f>IF(AND(Q1340&lt;&gt;"",ISNUMBER(F1340)),Q1340,"")</f>
        <v/>
      </c>
      <c r="U1340">
        <f>IF(AND(Q1340&lt;&gt;"",ISNUMBER(G1340)),Q1340,"")</f>
        <v/>
      </c>
      <c r="V1340">
        <f>IF(AND(Q1340&lt;&gt;"",ISNUMBER(H1340)),Q1340,"")</f>
        <v/>
      </c>
      <c r="W1340">
        <f>IF(AND(Q1340&lt;&gt;"",ISNUMBER(I1340)),Q1340,"")</f>
        <v/>
      </c>
      <c r="X1340">
        <f>IF(AND(Q1340&lt;&gt;"",ISNUMBER(J1340)),Q1340,"")</f>
        <v/>
      </c>
      <c r="Y1340">
        <f>IF(AND(Q1340&lt;&gt;"",ISNUMBER(K1340)),Q1340,"")</f>
        <v/>
      </c>
      <c r="Z1340">
        <f>IF(AND(Q1340&lt;&gt;"",ISNUMBER(L1340)),Q1340,"")</f>
        <v/>
      </c>
      <c r="AA1340">
        <f>IF(AND(Q1340&lt;&gt;"",ISNUMBER(M1340)),Q1340,"")</f>
        <v/>
      </c>
      <c r="AB1340">
        <f>IF(AND(Q1340&lt;&gt;"",ISNUMBER(K1340)),K1340,"")</f>
        <v/>
      </c>
      <c r="AC1340">
        <f>IF(AND(Q1340&lt;&gt;"",ISNUMBER(L1340)),L1340,"")</f>
        <v/>
      </c>
      <c r="AD1340">
        <f>IF(AND(Q1340&lt;&gt;"",ISNUMBER(M1340)),M1340,"")</f>
        <v/>
      </c>
    </row>
    <row r="1341">
      <c r="A1341" s="1" t="n"/>
      <c r="B1341" s="17" t="n"/>
      <c r="C1341" s="27" t="n"/>
      <c r="D1341" s="28" t="n"/>
      <c r="E1341" s="28" t="n"/>
      <c r="F1341" s="28" t="n"/>
      <c r="G1341" s="28" t="n"/>
      <c r="H1341" s="28" t="n"/>
      <c r="I1341" s="28" t="n"/>
      <c r="J1341" s="28" t="n"/>
      <c r="K1341" s="28" t="n"/>
      <c r="L1341" s="28" t="n"/>
      <c r="M1341" s="29" t="n"/>
      <c r="N1341" s="21" t="n"/>
      <c r="O1341" s="12">
        <f>IF(AND(B1341="",C1341=""),"",IF(NOT(ISNUMBER(B1341)),"Needs a date",IF(C1341="","Needs a client",IF(COUNTIF(Clients!$B$6:$B$105,C1341)=0,"Not on Clients",IF(COUNT(D1341:M1341)=0,"Nothing measured","")))))</f>
        <v/>
      </c>
      <c r="P1341" s="1">
        <f>IF(AND(O1341="",ISNUMBER(B1341)),INT(B1341),0)</f>
        <v/>
      </c>
      <c r="Q1341">
        <f>IF(AND(P1341&gt;0,C1341=Report!$C$5),P1341*10000+ROW(),"")</f>
        <v/>
      </c>
      <c r="R1341">
        <f>IF(AND(Q1341&lt;&gt;"",ISNUMBER(D1341)),Q1341,"")</f>
        <v/>
      </c>
      <c r="S1341">
        <f>IF(AND(Q1341&lt;&gt;"",ISNUMBER(E1341)),Q1341,"")</f>
        <v/>
      </c>
      <c r="T1341">
        <f>IF(AND(Q1341&lt;&gt;"",ISNUMBER(F1341)),Q1341,"")</f>
        <v/>
      </c>
      <c r="U1341">
        <f>IF(AND(Q1341&lt;&gt;"",ISNUMBER(G1341)),Q1341,"")</f>
        <v/>
      </c>
      <c r="V1341">
        <f>IF(AND(Q1341&lt;&gt;"",ISNUMBER(H1341)),Q1341,"")</f>
        <v/>
      </c>
      <c r="W1341">
        <f>IF(AND(Q1341&lt;&gt;"",ISNUMBER(I1341)),Q1341,"")</f>
        <v/>
      </c>
      <c r="X1341">
        <f>IF(AND(Q1341&lt;&gt;"",ISNUMBER(J1341)),Q1341,"")</f>
        <v/>
      </c>
      <c r="Y1341">
        <f>IF(AND(Q1341&lt;&gt;"",ISNUMBER(K1341)),Q1341,"")</f>
        <v/>
      </c>
      <c r="Z1341">
        <f>IF(AND(Q1341&lt;&gt;"",ISNUMBER(L1341)),Q1341,"")</f>
        <v/>
      </c>
      <c r="AA1341">
        <f>IF(AND(Q1341&lt;&gt;"",ISNUMBER(M1341)),Q1341,"")</f>
        <v/>
      </c>
      <c r="AB1341">
        <f>IF(AND(Q1341&lt;&gt;"",ISNUMBER(K1341)),K1341,"")</f>
        <v/>
      </c>
      <c r="AC1341">
        <f>IF(AND(Q1341&lt;&gt;"",ISNUMBER(L1341)),L1341,"")</f>
        <v/>
      </c>
      <c r="AD1341">
        <f>IF(AND(Q1341&lt;&gt;"",ISNUMBER(M1341)),M1341,"")</f>
        <v/>
      </c>
    </row>
    <row r="1342">
      <c r="A1342" s="1" t="n"/>
      <c r="B1342" s="17" t="n"/>
      <c r="C1342" s="27" t="n"/>
      <c r="D1342" s="28" t="n"/>
      <c r="E1342" s="28" t="n"/>
      <c r="F1342" s="28" t="n"/>
      <c r="G1342" s="28" t="n"/>
      <c r="H1342" s="28" t="n"/>
      <c r="I1342" s="28" t="n"/>
      <c r="J1342" s="28" t="n"/>
      <c r="K1342" s="28" t="n"/>
      <c r="L1342" s="28" t="n"/>
      <c r="M1342" s="29" t="n"/>
      <c r="N1342" s="21" t="n"/>
      <c r="O1342" s="12">
        <f>IF(AND(B1342="",C1342=""),"",IF(NOT(ISNUMBER(B1342)),"Needs a date",IF(C1342="","Needs a client",IF(COUNTIF(Clients!$B$6:$B$105,C1342)=0,"Not on Clients",IF(COUNT(D1342:M1342)=0,"Nothing measured","")))))</f>
        <v/>
      </c>
      <c r="P1342" s="1">
        <f>IF(AND(O1342="",ISNUMBER(B1342)),INT(B1342),0)</f>
        <v/>
      </c>
      <c r="Q1342">
        <f>IF(AND(P1342&gt;0,C1342=Report!$C$5),P1342*10000+ROW(),"")</f>
        <v/>
      </c>
      <c r="R1342">
        <f>IF(AND(Q1342&lt;&gt;"",ISNUMBER(D1342)),Q1342,"")</f>
        <v/>
      </c>
      <c r="S1342">
        <f>IF(AND(Q1342&lt;&gt;"",ISNUMBER(E1342)),Q1342,"")</f>
        <v/>
      </c>
      <c r="T1342">
        <f>IF(AND(Q1342&lt;&gt;"",ISNUMBER(F1342)),Q1342,"")</f>
        <v/>
      </c>
      <c r="U1342">
        <f>IF(AND(Q1342&lt;&gt;"",ISNUMBER(G1342)),Q1342,"")</f>
        <v/>
      </c>
      <c r="V1342">
        <f>IF(AND(Q1342&lt;&gt;"",ISNUMBER(H1342)),Q1342,"")</f>
        <v/>
      </c>
      <c r="W1342">
        <f>IF(AND(Q1342&lt;&gt;"",ISNUMBER(I1342)),Q1342,"")</f>
        <v/>
      </c>
      <c r="X1342">
        <f>IF(AND(Q1342&lt;&gt;"",ISNUMBER(J1342)),Q1342,"")</f>
        <v/>
      </c>
      <c r="Y1342">
        <f>IF(AND(Q1342&lt;&gt;"",ISNUMBER(K1342)),Q1342,"")</f>
        <v/>
      </c>
      <c r="Z1342">
        <f>IF(AND(Q1342&lt;&gt;"",ISNUMBER(L1342)),Q1342,"")</f>
        <v/>
      </c>
      <c r="AA1342">
        <f>IF(AND(Q1342&lt;&gt;"",ISNUMBER(M1342)),Q1342,"")</f>
        <v/>
      </c>
      <c r="AB1342">
        <f>IF(AND(Q1342&lt;&gt;"",ISNUMBER(K1342)),K1342,"")</f>
        <v/>
      </c>
      <c r="AC1342">
        <f>IF(AND(Q1342&lt;&gt;"",ISNUMBER(L1342)),L1342,"")</f>
        <v/>
      </c>
      <c r="AD1342">
        <f>IF(AND(Q1342&lt;&gt;"",ISNUMBER(M1342)),M1342,"")</f>
        <v/>
      </c>
    </row>
    <row r="1343">
      <c r="A1343" s="1" t="n"/>
      <c r="B1343" s="17" t="n"/>
      <c r="C1343" s="27" t="n"/>
      <c r="D1343" s="28" t="n"/>
      <c r="E1343" s="28" t="n"/>
      <c r="F1343" s="28" t="n"/>
      <c r="G1343" s="28" t="n"/>
      <c r="H1343" s="28" t="n"/>
      <c r="I1343" s="28" t="n"/>
      <c r="J1343" s="28" t="n"/>
      <c r="K1343" s="28" t="n"/>
      <c r="L1343" s="28" t="n"/>
      <c r="M1343" s="29" t="n"/>
      <c r="N1343" s="21" t="n"/>
      <c r="O1343" s="12">
        <f>IF(AND(B1343="",C1343=""),"",IF(NOT(ISNUMBER(B1343)),"Needs a date",IF(C1343="","Needs a client",IF(COUNTIF(Clients!$B$6:$B$105,C1343)=0,"Not on Clients",IF(COUNT(D1343:M1343)=0,"Nothing measured","")))))</f>
        <v/>
      </c>
      <c r="P1343" s="1">
        <f>IF(AND(O1343="",ISNUMBER(B1343)),INT(B1343),0)</f>
        <v/>
      </c>
      <c r="Q1343">
        <f>IF(AND(P1343&gt;0,C1343=Report!$C$5),P1343*10000+ROW(),"")</f>
        <v/>
      </c>
      <c r="R1343">
        <f>IF(AND(Q1343&lt;&gt;"",ISNUMBER(D1343)),Q1343,"")</f>
        <v/>
      </c>
      <c r="S1343">
        <f>IF(AND(Q1343&lt;&gt;"",ISNUMBER(E1343)),Q1343,"")</f>
        <v/>
      </c>
      <c r="T1343">
        <f>IF(AND(Q1343&lt;&gt;"",ISNUMBER(F1343)),Q1343,"")</f>
        <v/>
      </c>
      <c r="U1343">
        <f>IF(AND(Q1343&lt;&gt;"",ISNUMBER(G1343)),Q1343,"")</f>
        <v/>
      </c>
      <c r="V1343">
        <f>IF(AND(Q1343&lt;&gt;"",ISNUMBER(H1343)),Q1343,"")</f>
        <v/>
      </c>
      <c r="W1343">
        <f>IF(AND(Q1343&lt;&gt;"",ISNUMBER(I1343)),Q1343,"")</f>
        <v/>
      </c>
      <c r="X1343">
        <f>IF(AND(Q1343&lt;&gt;"",ISNUMBER(J1343)),Q1343,"")</f>
        <v/>
      </c>
      <c r="Y1343">
        <f>IF(AND(Q1343&lt;&gt;"",ISNUMBER(K1343)),Q1343,"")</f>
        <v/>
      </c>
      <c r="Z1343">
        <f>IF(AND(Q1343&lt;&gt;"",ISNUMBER(L1343)),Q1343,"")</f>
        <v/>
      </c>
      <c r="AA1343">
        <f>IF(AND(Q1343&lt;&gt;"",ISNUMBER(M1343)),Q1343,"")</f>
        <v/>
      </c>
      <c r="AB1343">
        <f>IF(AND(Q1343&lt;&gt;"",ISNUMBER(K1343)),K1343,"")</f>
        <v/>
      </c>
      <c r="AC1343">
        <f>IF(AND(Q1343&lt;&gt;"",ISNUMBER(L1343)),L1343,"")</f>
        <v/>
      </c>
      <c r="AD1343">
        <f>IF(AND(Q1343&lt;&gt;"",ISNUMBER(M1343)),M1343,"")</f>
        <v/>
      </c>
    </row>
    <row r="1344">
      <c r="A1344" s="1" t="n"/>
      <c r="B1344" s="17" t="n"/>
      <c r="C1344" s="27" t="n"/>
      <c r="D1344" s="28" t="n"/>
      <c r="E1344" s="28" t="n"/>
      <c r="F1344" s="28" t="n"/>
      <c r="G1344" s="28" t="n"/>
      <c r="H1344" s="28" t="n"/>
      <c r="I1344" s="28" t="n"/>
      <c r="J1344" s="28" t="n"/>
      <c r="K1344" s="28" t="n"/>
      <c r="L1344" s="28" t="n"/>
      <c r="M1344" s="29" t="n"/>
      <c r="N1344" s="21" t="n"/>
      <c r="O1344" s="12">
        <f>IF(AND(B1344="",C1344=""),"",IF(NOT(ISNUMBER(B1344)),"Needs a date",IF(C1344="","Needs a client",IF(COUNTIF(Clients!$B$6:$B$105,C1344)=0,"Not on Clients",IF(COUNT(D1344:M1344)=0,"Nothing measured","")))))</f>
        <v/>
      </c>
      <c r="P1344" s="1">
        <f>IF(AND(O1344="",ISNUMBER(B1344)),INT(B1344),0)</f>
        <v/>
      </c>
      <c r="Q1344">
        <f>IF(AND(P1344&gt;0,C1344=Report!$C$5),P1344*10000+ROW(),"")</f>
        <v/>
      </c>
      <c r="R1344">
        <f>IF(AND(Q1344&lt;&gt;"",ISNUMBER(D1344)),Q1344,"")</f>
        <v/>
      </c>
      <c r="S1344">
        <f>IF(AND(Q1344&lt;&gt;"",ISNUMBER(E1344)),Q1344,"")</f>
        <v/>
      </c>
      <c r="T1344">
        <f>IF(AND(Q1344&lt;&gt;"",ISNUMBER(F1344)),Q1344,"")</f>
        <v/>
      </c>
      <c r="U1344">
        <f>IF(AND(Q1344&lt;&gt;"",ISNUMBER(G1344)),Q1344,"")</f>
        <v/>
      </c>
      <c r="V1344">
        <f>IF(AND(Q1344&lt;&gt;"",ISNUMBER(H1344)),Q1344,"")</f>
        <v/>
      </c>
      <c r="W1344">
        <f>IF(AND(Q1344&lt;&gt;"",ISNUMBER(I1344)),Q1344,"")</f>
        <v/>
      </c>
      <c r="X1344">
        <f>IF(AND(Q1344&lt;&gt;"",ISNUMBER(J1344)),Q1344,"")</f>
        <v/>
      </c>
      <c r="Y1344">
        <f>IF(AND(Q1344&lt;&gt;"",ISNUMBER(K1344)),Q1344,"")</f>
        <v/>
      </c>
      <c r="Z1344">
        <f>IF(AND(Q1344&lt;&gt;"",ISNUMBER(L1344)),Q1344,"")</f>
        <v/>
      </c>
      <c r="AA1344">
        <f>IF(AND(Q1344&lt;&gt;"",ISNUMBER(M1344)),Q1344,"")</f>
        <v/>
      </c>
      <c r="AB1344">
        <f>IF(AND(Q1344&lt;&gt;"",ISNUMBER(K1344)),K1344,"")</f>
        <v/>
      </c>
      <c r="AC1344">
        <f>IF(AND(Q1344&lt;&gt;"",ISNUMBER(L1344)),L1344,"")</f>
        <v/>
      </c>
      <c r="AD1344">
        <f>IF(AND(Q1344&lt;&gt;"",ISNUMBER(M1344)),M1344,"")</f>
        <v/>
      </c>
    </row>
    <row r="1345">
      <c r="A1345" s="1" t="n"/>
      <c r="B1345" s="17" t="n"/>
      <c r="C1345" s="27" t="n"/>
      <c r="D1345" s="28" t="n"/>
      <c r="E1345" s="28" t="n"/>
      <c r="F1345" s="28" t="n"/>
      <c r="G1345" s="28" t="n"/>
      <c r="H1345" s="28" t="n"/>
      <c r="I1345" s="28" t="n"/>
      <c r="J1345" s="28" t="n"/>
      <c r="K1345" s="28" t="n"/>
      <c r="L1345" s="28" t="n"/>
      <c r="M1345" s="29" t="n"/>
      <c r="N1345" s="21" t="n"/>
      <c r="O1345" s="12">
        <f>IF(AND(B1345="",C1345=""),"",IF(NOT(ISNUMBER(B1345)),"Needs a date",IF(C1345="","Needs a client",IF(COUNTIF(Clients!$B$6:$B$105,C1345)=0,"Not on Clients",IF(COUNT(D1345:M1345)=0,"Nothing measured","")))))</f>
        <v/>
      </c>
      <c r="P1345" s="1">
        <f>IF(AND(O1345="",ISNUMBER(B1345)),INT(B1345),0)</f>
        <v/>
      </c>
      <c r="Q1345">
        <f>IF(AND(P1345&gt;0,C1345=Report!$C$5),P1345*10000+ROW(),"")</f>
        <v/>
      </c>
      <c r="R1345">
        <f>IF(AND(Q1345&lt;&gt;"",ISNUMBER(D1345)),Q1345,"")</f>
        <v/>
      </c>
      <c r="S1345">
        <f>IF(AND(Q1345&lt;&gt;"",ISNUMBER(E1345)),Q1345,"")</f>
        <v/>
      </c>
      <c r="T1345">
        <f>IF(AND(Q1345&lt;&gt;"",ISNUMBER(F1345)),Q1345,"")</f>
        <v/>
      </c>
      <c r="U1345">
        <f>IF(AND(Q1345&lt;&gt;"",ISNUMBER(G1345)),Q1345,"")</f>
        <v/>
      </c>
      <c r="V1345">
        <f>IF(AND(Q1345&lt;&gt;"",ISNUMBER(H1345)),Q1345,"")</f>
        <v/>
      </c>
      <c r="W1345">
        <f>IF(AND(Q1345&lt;&gt;"",ISNUMBER(I1345)),Q1345,"")</f>
        <v/>
      </c>
      <c r="X1345">
        <f>IF(AND(Q1345&lt;&gt;"",ISNUMBER(J1345)),Q1345,"")</f>
        <v/>
      </c>
      <c r="Y1345">
        <f>IF(AND(Q1345&lt;&gt;"",ISNUMBER(K1345)),Q1345,"")</f>
        <v/>
      </c>
      <c r="Z1345">
        <f>IF(AND(Q1345&lt;&gt;"",ISNUMBER(L1345)),Q1345,"")</f>
        <v/>
      </c>
      <c r="AA1345">
        <f>IF(AND(Q1345&lt;&gt;"",ISNUMBER(M1345)),Q1345,"")</f>
        <v/>
      </c>
      <c r="AB1345">
        <f>IF(AND(Q1345&lt;&gt;"",ISNUMBER(K1345)),K1345,"")</f>
        <v/>
      </c>
      <c r="AC1345">
        <f>IF(AND(Q1345&lt;&gt;"",ISNUMBER(L1345)),L1345,"")</f>
        <v/>
      </c>
      <c r="AD1345">
        <f>IF(AND(Q1345&lt;&gt;"",ISNUMBER(M1345)),M1345,"")</f>
        <v/>
      </c>
    </row>
    <row r="1346">
      <c r="A1346" s="1" t="n"/>
      <c r="B1346" s="17" t="n"/>
      <c r="C1346" s="27" t="n"/>
      <c r="D1346" s="28" t="n"/>
      <c r="E1346" s="28" t="n"/>
      <c r="F1346" s="28" t="n"/>
      <c r="G1346" s="28" t="n"/>
      <c r="H1346" s="28" t="n"/>
      <c r="I1346" s="28" t="n"/>
      <c r="J1346" s="28" t="n"/>
      <c r="K1346" s="28" t="n"/>
      <c r="L1346" s="28" t="n"/>
      <c r="M1346" s="29" t="n"/>
      <c r="N1346" s="21" t="n"/>
      <c r="O1346" s="12">
        <f>IF(AND(B1346="",C1346=""),"",IF(NOT(ISNUMBER(B1346)),"Needs a date",IF(C1346="","Needs a client",IF(COUNTIF(Clients!$B$6:$B$105,C1346)=0,"Not on Clients",IF(COUNT(D1346:M1346)=0,"Nothing measured","")))))</f>
        <v/>
      </c>
      <c r="P1346" s="1">
        <f>IF(AND(O1346="",ISNUMBER(B1346)),INT(B1346),0)</f>
        <v/>
      </c>
      <c r="Q1346">
        <f>IF(AND(P1346&gt;0,C1346=Report!$C$5),P1346*10000+ROW(),"")</f>
        <v/>
      </c>
      <c r="R1346">
        <f>IF(AND(Q1346&lt;&gt;"",ISNUMBER(D1346)),Q1346,"")</f>
        <v/>
      </c>
      <c r="S1346">
        <f>IF(AND(Q1346&lt;&gt;"",ISNUMBER(E1346)),Q1346,"")</f>
        <v/>
      </c>
      <c r="T1346">
        <f>IF(AND(Q1346&lt;&gt;"",ISNUMBER(F1346)),Q1346,"")</f>
        <v/>
      </c>
      <c r="U1346">
        <f>IF(AND(Q1346&lt;&gt;"",ISNUMBER(G1346)),Q1346,"")</f>
        <v/>
      </c>
      <c r="V1346">
        <f>IF(AND(Q1346&lt;&gt;"",ISNUMBER(H1346)),Q1346,"")</f>
        <v/>
      </c>
      <c r="W1346">
        <f>IF(AND(Q1346&lt;&gt;"",ISNUMBER(I1346)),Q1346,"")</f>
        <v/>
      </c>
      <c r="X1346">
        <f>IF(AND(Q1346&lt;&gt;"",ISNUMBER(J1346)),Q1346,"")</f>
        <v/>
      </c>
      <c r="Y1346">
        <f>IF(AND(Q1346&lt;&gt;"",ISNUMBER(K1346)),Q1346,"")</f>
        <v/>
      </c>
      <c r="Z1346">
        <f>IF(AND(Q1346&lt;&gt;"",ISNUMBER(L1346)),Q1346,"")</f>
        <v/>
      </c>
      <c r="AA1346">
        <f>IF(AND(Q1346&lt;&gt;"",ISNUMBER(M1346)),Q1346,"")</f>
        <v/>
      </c>
      <c r="AB1346">
        <f>IF(AND(Q1346&lt;&gt;"",ISNUMBER(K1346)),K1346,"")</f>
        <v/>
      </c>
      <c r="AC1346">
        <f>IF(AND(Q1346&lt;&gt;"",ISNUMBER(L1346)),L1346,"")</f>
        <v/>
      </c>
      <c r="AD1346">
        <f>IF(AND(Q1346&lt;&gt;"",ISNUMBER(M1346)),M1346,"")</f>
        <v/>
      </c>
    </row>
    <row r="1347">
      <c r="A1347" s="1" t="n"/>
      <c r="B1347" s="17" t="n"/>
      <c r="C1347" s="27" t="n"/>
      <c r="D1347" s="28" t="n"/>
      <c r="E1347" s="28" t="n"/>
      <c r="F1347" s="28" t="n"/>
      <c r="G1347" s="28" t="n"/>
      <c r="H1347" s="28" t="n"/>
      <c r="I1347" s="28" t="n"/>
      <c r="J1347" s="28" t="n"/>
      <c r="K1347" s="28" t="n"/>
      <c r="L1347" s="28" t="n"/>
      <c r="M1347" s="29" t="n"/>
      <c r="N1347" s="21" t="n"/>
      <c r="O1347" s="12">
        <f>IF(AND(B1347="",C1347=""),"",IF(NOT(ISNUMBER(B1347)),"Needs a date",IF(C1347="","Needs a client",IF(COUNTIF(Clients!$B$6:$B$105,C1347)=0,"Not on Clients",IF(COUNT(D1347:M1347)=0,"Nothing measured","")))))</f>
        <v/>
      </c>
      <c r="P1347" s="1">
        <f>IF(AND(O1347="",ISNUMBER(B1347)),INT(B1347),0)</f>
        <v/>
      </c>
      <c r="Q1347">
        <f>IF(AND(P1347&gt;0,C1347=Report!$C$5),P1347*10000+ROW(),"")</f>
        <v/>
      </c>
      <c r="R1347">
        <f>IF(AND(Q1347&lt;&gt;"",ISNUMBER(D1347)),Q1347,"")</f>
        <v/>
      </c>
      <c r="S1347">
        <f>IF(AND(Q1347&lt;&gt;"",ISNUMBER(E1347)),Q1347,"")</f>
        <v/>
      </c>
      <c r="T1347">
        <f>IF(AND(Q1347&lt;&gt;"",ISNUMBER(F1347)),Q1347,"")</f>
        <v/>
      </c>
      <c r="U1347">
        <f>IF(AND(Q1347&lt;&gt;"",ISNUMBER(G1347)),Q1347,"")</f>
        <v/>
      </c>
      <c r="V1347">
        <f>IF(AND(Q1347&lt;&gt;"",ISNUMBER(H1347)),Q1347,"")</f>
        <v/>
      </c>
      <c r="W1347">
        <f>IF(AND(Q1347&lt;&gt;"",ISNUMBER(I1347)),Q1347,"")</f>
        <v/>
      </c>
      <c r="X1347">
        <f>IF(AND(Q1347&lt;&gt;"",ISNUMBER(J1347)),Q1347,"")</f>
        <v/>
      </c>
      <c r="Y1347">
        <f>IF(AND(Q1347&lt;&gt;"",ISNUMBER(K1347)),Q1347,"")</f>
        <v/>
      </c>
      <c r="Z1347">
        <f>IF(AND(Q1347&lt;&gt;"",ISNUMBER(L1347)),Q1347,"")</f>
        <v/>
      </c>
      <c r="AA1347">
        <f>IF(AND(Q1347&lt;&gt;"",ISNUMBER(M1347)),Q1347,"")</f>
        <v/>
      </c>
      <c r="AB1347">
        <f>IF(AND(Q1347&lt;&gt;"",ISNUMBER(K1347)),K1347,"")</f>
        <v/>
      </c>
      <c r="AC1347">
        <f>IF(AND(Q1347&lt;&gt;"",ISNUMBER(L1347)),L1347,"")</f>
        <v/>
      </c>
      <c r="AD1347">
        <f>IF(AND(Q1347&lt;&gt;"",ISNUMBER(M1347)),M1347,"")</f>
        <v/>
      </c>
    </row>
    <row r="1348">
      <c r="A1348" s="1" t="n"/>
      <c r="B1348" s="17" t="n"/>
      <c r="C1348" s="27" t="n"/>
      <c r="D1348" s="28" t="n"/>
      <c r="E1348" s="28" t="n"/>
      <c r="F1348" s="28" t="n"/>
      <c r="G1348" s="28" t="n"/>
      <c r="H1348" s="28" t="n"/>
      <c r="I1348" s="28" t="n"/>
      <c r="J1348" s="28" t="n"/>
      <c r="K1348" s="28" t="n"/>
      <c r="L1348" s="28" t="n"/>
      <c r="M1348" s="29" t="n"/>
      <c r="N1348" s="21" t="n"/>
      <c r="O1348" s="12">
        <f>IF(AND(B1348="",C1348=""),"",IF(NOT(ISNUMBER(B1348)),"Needs a date",IF(C1348="","Needs a client",IF(COUNTIF(Clients!$B$6:$B$105,C1348)=0,"Not on Clients",IF(COUNT(D1348:M1348)=0,"Nothing measured","")))))</f>
        <v/>
      </c>
      <c r="P1348" s="1">
        <f>IF(AND(O1348="",ISNUMBER(B1348)),INT(B1348),0)</f>
        <v/>
      </c>
      <c r="Q1348">
        <f>IF(AND(P1348&gt;0,C1348=Report!$C$5),P1348*10000+ROW(),"")</f>
        <v/>
      </c>
      <c r="R1348">
        <f>IF(AND(Q1348&lt;&gt;"",ISNUMBER(D1348)),Q1348,"")</f>
        <v/>
      </c>
      <c r="S1348">
        <f>IF(AND(Q1348&lt;&gt;"",ISNUMBER(E1348)),Q1348,"")</f>
        <v/>
      </c>
      <c r="T1348">
        <f>IF(AND(Q1348&lt;&gt;"",ISNUMBER(F1348)),Q1348,"")</f>
        <v/>
      </c>
      <c r="U1348">
        <f>IF(AND(Q1348&lt;&gt;"",ISNUMBER(G1348)),Q1348,"")</f>
        <v/>
      </c>
      <c r="V1348">
        <f>IF(AND(Q1348&lt;&gt;"",ISNUMBER(H1348)),Q1348,"")</f>
        <v/>
      </c>
      <c r="W1348">
        <f>IF(AND(Q1348&lt;&gt;"",ISNUMBER(I1348)),Q1348,"")</f>
        <v/>
      </c>
      <c r="X1348">
        <f>IF(AND(Q1348&lt;&gt;"",ISNUMBER(J1348)),Q1348,"")</f>
        <v/>
      </c>
      <c r="Y1348">
        <f>IF(AND(Q1348&lt;&gt;"",ISNUMBER(K1348)),Q1348,"")</f>
        <v/>
      </c>
      <c r="Z1348">
        <f>IF(AND(Q1348&lt;&gt;"",ISNUMBER(L1348)),Q1348,"")</f>
        <v/>
      </c>
      <c r="AA1348">
        <f>IF(AND(Q1348&lt;&gt;"",ISNUMBER(M1348)),Q1348,"")</f>
        <v/>
      </c>
      <c r="AB1348">
        <f>IF(AND(Q1348&lt;&gt;"",ISNUMBER(K1348)),K1348,"")</f>
        <v/>
      </c>
      <c r="AC1348">
        <f>IF(AND(Q1348&lt;&gt;"",ISNUMBER(L1348)),L1348,"")</f>
        <v/>
      </c>
      <c r="AD1348">
        <f>IF(AND(Q1348&lt;&gt;"",ISNUMBER(M1348)),M1348,"")</f>
        <v/>
      </c>
    </row>
    <row r="1349">
      <c r="A1349" s="1" t="n"/>
      <c r="B1349" s="17" t="n"/>
      <c r="C1349" s="27" t="n"/>
      <c r="D1349" s="28" t="n"/>
      <c r="E1349" s="28" t="n"/>
      <c r="F1349" s="28" t="n"/>
      <c r="G1349" s="28" t="n"/>
      <c r="H1349" s="28" t="n"/>
      <c r="I1349" s="28" t="n"/>
      <c r="J1349" s="28" t="n"/>
      <c r="K1349" s="28" t="n"/>
      <c r="L1349" s="28" t="n"/>
      <c r="M1349" s="29" t="n"/>
      <c r="N1349" s="21" t="n"/>
      <c r="O1349" s="12">
        <f>IF(AND(B1349="",C1349=""),"",IF(NOT(ISNUMBER(B1349)),"Needs a date",IF(C1349="","Needs a client",IF(COUNTIF(Clients!$B$6:$B$105,C1349)=0,"Not on Clients",IF(COUNT(D1349:M1349)=0,"Nothing measured","")))))</f>
        <v/>
      </c>
      <c r="P1349" s="1">
        <f>IF(AND(O1349="",ISNUMBER(B1349)),INT(B1349),0)</f>
        <v/>
      </c>
      <c r="Q1349">
        <f>IF(AND(P1349&gt;0,C1349=Report!$C$5),P1349*10000+ROW(),"")</f>
        <v/>
      </c>
      <c r="R1349">
        <f>IF(AND(Q1349&lt;&gt;"",ISNUMBER(D1349)),Q1349,"")</f>
        <v/>
      </c>
      <c r="S1349">
        <f>IF(AND(Q1349&lt;&gt;"",ISNUMBER(E1349)),Q1349,"")</f>
        <v/>
      </c>
      <c r="T1349">
        <f>IF(AND(Q1349&lt;&gt;"",ISNUMBER(F1349)),Q1349,"")</f>
        <v/>
      </c>
      <c r="U1349">
        <f>IF(AND(Q1349&lt;&gt;"",ISNUMBER(G1349)),Q1349,"")</f>
        <v/>
      </c>
      <c r="V1349">
        <f>IF(AND(Q1349&lt;&gt;"",ISNUMBER(H1349)),Q1349,"")</f>
        <v/>
      </c>
      <c r="W1349">
        <f>IF(AND(Q1349&lt;&gt;"",ISNUMBER(I1349)),Q1349,"")</f>
        <v/>
      </c>
      <c r="X1349">
        <f>IF(AND(Q1349&lt;&gt;"",ISNUMBER(J1349)),Q1349,"")</f>
        <v/>
      </c>
      <c r="Y1349">
        <f>IF(AND(Q1349&lt;&gt;"",ISNUMBER(K1349)),Q1349,"")</f>
        <v/>
      </c>
      <c r="Z1349">
        <f>IF(AND(Q1349&lt;&gt;"",ISNUMBER(L1349)),Q1349,"")</f>
        <v/>
      </c>
      <c r="AA1349">
        <f>IF(AND(Q1349&lt;&gt;"",ISNUMBER(M1349)),Q1349,"")</f>
        <v/>
      </c>
      <c r="AB1349">
        <f>IF(AND(Q1349&lt;&gt;"",ISNUMBER(K1349)),K1349,"")</f>
        <v/>
      </c>
      <c r="AC1349">
        <f>IF(AND(Q1349&lt;&gt;"",ISNUMBER(L1349)),L1349,"")</f>
        <v/>
      </c>
      <c r="AD1349">
        <f>IF(AND(Q1349&lt;&gt;"",ISNUMBER(M1349)),M1349,"")</f>
        <v/>
      </c>
    </row>
    <row r="1350">
      <c r="A1350" s="1" t="n"/>
      <c r="B1350" s="17" t="n"/>
      <c r="C1350" s="27" t="n"/>
      <c r="D1350" s="28" t="n"/>
      <c r="E1350" s="28" t="n"/>
      <c r="F1350" s="28" t="n"/>
      <c r="G1350" s="28" t="n"/>
      <c r="H1350" s="28" t="n"/>
      <c r="I1350" s="28" t="n"/>
      <c r="J1350" s="28" t="n"/>
      <c r="K1350" s="28" t="n"/>
      <c r="L1350" s="28" t="n"/>
      <c r="M1350" s="29" t="n"/>
      <c r="N1350" s="21" t="n"/>
      <c r="O1350" s="12">
        <f>IF(AND(B1350="",C1350=""),"",IF(NOT(ISNUMBER(B1350)),"Needs a date",IF(C1350="","Needs a client",IF(COUNTIF(Clients!$B$6:$B$105,C1350)=0,"Not on Clients",IF(COUNT(D1350:M1350)=0,"Nothing measured","")))))</f>
        <v/>
      </c>
      <c r="P1350" s="1">
        <f>IF(AND(O1350="",ISNUMBER(B1350)),INT(B1350),0)</f>
        <v/>
      </c>
      <c r="Q1350">
        <f>IF(AND(P1350&gt;0,C1350=Report!$C$5),P1350*10000+ROW(),"")</f>
        <v/>
      </c>
      <c r="R1350">
        <f>IF(AND(Q1350&lt;&gt;"",ISNUMBER(D1350)),Q1350,"")</f>
        <v/>
      </c>
      <c r="S1350">
        <f>IF(AND(Q1350&lt;&gt;"",ISNUMBER(E1350)),Q1350,"")</f>
        <v/>
      </c>
      <c r="T1350">
        <f>IF(AND(Q1350&lt;&gt;"",ISNUMBER(F1350)),Q1350,"")</f>
        <v/>
      </c>
      <c r="U1350">
        <f>IF(AND(Q1350&lt;&gt;"",ISNUMBER(G1350)),Q1350,"")</f>
        <v/>
      </c>
      <c r="V1350">
        <f>IF(AND(Q1350&lt;&gt;"",ISNUMBER(H1350)),Q1350,"")</f>
        <v/>
      </c>
      <c r="W1350">
        <f>IF(AND(Q1350&lt;&gt;"",ISNUMBER(I1350)),Q1350,"")</f>
        <v/>
      </c>
      <c r="X1350">
        <f>IF(AND(Q1350&lt;&gt;"",ISNUMBER(J1350)),Q1350,"")</f>
        <v/>
      </c>
      <c r="Y1350">
        <f>IF(AND(Q1350&lt;&gt;"",ISNUMBER(K1350)),Q1350,"")</f>
        <v/>
      </c>
      <c r="Z1350">
        <f>IF(AND(Q1350&lt;&gt;"",ISNUMBER(L1350)),Q1350,"")</f>
        <v/>
      </c>
      <c r="AA1350">
        <f>IF(AND(Q1350&lt;&gt;"",ISNUMBER(M1350)),Q1350,"")</f>
        <v/>
      </c>
      <c r="AB1350">
        <f>IF(AND(Q1350&lt;&gt;"",ISNUMBER(K1350)),K1350,"")</f>
        <v/>
      </c>
      <c r="AC1350">
        <f>IF(AND(Q1350&lt;&gt;"",ISNUMBER(L1350)),L1350,"")</f>
        <v/>
      </c>
      <c r="AD1350">
        <f>IF(AND(Q1350&lt;&gt;"",ISNUMBER(M1350)),M1350,"")</f>
        <v/>
      </c>
    </row>
    <row r="1351">
      <c r="A1351" s="1" t="n"/>
      <c r="B1351" s="17" t="n"/>
      <c r="C1351" s="27" t="n"/>
      <c r="D1351" s="28" t="n"/>
      <c r="E1351" s="28" t="n"/>
      <c r="F1351" s="28" t="n"/>
      <c r="G1351" s="28" t="n"/>
      <c r="H1351" s="28" t="n"/>
      <c r="I1351" s="28" t="n"/>
      <c r="J1351" s="28" t="n"/>
      <c r="K1351" s="28" t="n"/>
      <c r="L1351" s="28" t="n"/>
      <c r="M1351" s="29" t="n"/>
      <c r="N1351" s="21" t="n"/>
      <c r="O1351" s="12">
        <f>IF(AND(B1351="",C1351=""),"",IF(NOT(ISNUMBER(B1351)),"Needs a date",IF(C1351="","Needs a client",IF(COUNTIF(Clients!$B$6:$B$105,C1351)=0,"Not on Clients",IF(COUNT(D1351:M1351)=0,"Nothing measured","")))))</f>
        <v/>
      </c>
      <c r="P1351" s="1">
        <f>IF(AND(O1351="",ISNUMBER(B1351)),INT(B1351),0)</f>
        <v/>
      </c>
      <c r="Q1351">
        <f>IF(AND(P1351&gt;0,C1351=Report!$C$5),P1351*10000+ROW(),"")</f>
        <v/>
      </c>
      <c r="R1351">
        <f>IF(AND(Q1351&lt;&gt;"",ISNUMBER(D1351)),Q1351,"")</f>
        <v/>
      </c>
      <c r="S1351">
        <f>IF(AND(Q1351&lt;&gt;"",ISNUMBER(E1351)),Q1351,"")</f>
        <v/>
      </c>
      <c r="T1351">
        <f>IF(AND(Q1351&lt;&gt;"",ISNUMBER(F1351)),Q1351,"")</f>
        <v/>
      </c>
      <c r="U1351">
        <f>IF(AND(Q1351&lt;&gt;"",ISNUMBER(G1351)),Q1351,"")</f>
        <v/>
      </c>
      <c r="V1351">
        <f>IF(AND(Q1351&lt;&gt;"",ISNUMBER(H1351)),Q1351,"")</f>
        <v/>
      </c>
      <c r="W1351">
        <f>IF(AND(Q1351&lt;&gt;"",ISNUMBER(I1351)),Q1351,"")</f>
        <v/>
      </c>
      <c r="X1351">
        <f>IF(AND(Q1351&lt;&gt;"",ISNUMBER(J1351)),Q1351,"")</f>
        <v/>
      </c>
      <c r="Y1351">
        <f>IF(AND(Q1351&lt;&gt;"",ISNUMBER(K1351)),Q1351,"")</f>
        <v/>
      </c>
      <c r="Z1351">
        <f>IF(AND(Q1351&lt;&gt;"",ISNUMBER(L1351)),Q1351,"")</f>
        <v/>
      </c>
      <c r="AA1351">
        <f>IF(AND(Q1351&lt;&gt;"",ISNUMBER(M1351)),Q1351,"")</f>
        <v/>
      </c>
      <c r="AB1351">
        <f>IF(AND(Q1351&lt;&gt;"",ISNUMBER(K1351)),K1351,"")</f>
        <v/>
      </c>
      <c r="AC1351">
        <f>IF(AND(Q1351&lt;&gt;"",ISNUMBER(L1351)),L1351,"")</f>
        <v/>
      </c>
      <c r="AD1351">
        <f>IF(AND(Q1351&lt;&gt;"",ISNUMBER(M1351)),M1351,"")</f>
        <v/>
      </c>
    </row>
    <row r="1352">
      <c r="A1352" s="1" t="n"/>
      <c r="B1352" s="17" t="n"/>
      <c r="C1352" s="27" t="n"/>
      <c r="D1352" s="28" t="n"/>
      <c r="E1352" s="28" t="n"/>
      <c r="F1352" s="28" t="n"/>
      <c r="G1352" s="28" t="n"/>
      <c r="H1352" s="28" t="n"/>
      <c r="I1352" s="28" t="n"/>
      <c r="J1352" s="28" t="n"/>
      <c r="K1352" s="28" t="n"/>
      <c r="L1352" s="28" t="n"/>
      <c r="M1352" s="29" t="n"/>
      <c r="N1352" s="21" t="n"/>
      <c r="O1352" s="12">
        <f>IF(AND(B1352="",C1352=""),"",IF(NOT(ISNUMBER(B1352)),"Needs a date",IF(C1352="","Needs a client",IF(COUNTIF(Clients!$B$6:$B$105,C1352)=0,"Not on Clients",IF(COUNT(D1352:M1352)=0,"Nothing measured","")))))</f>
        <v/>
      </c>
      <c r="P1352" s="1">
        <f>IF(AND(O1352="",ISNUMBER(B1352)),INT(B1352),0)</f>
        <v/>
      </c>
      <c r="Q1352">
        <f>IF(AND(P1352&gt;0,C1352=Report!$C$5),P1352*10000+ROW(),"")</f>
        <v/>
      </c>
      <c r="R1352">
        <f>IF(AND(Q1352&lt;&gt;"",ISNUMBER(D1352)),Q1352,"")</f>
        <v/>
      </c>
      <c r="S1352">
        <f>IF(AND(Q1352&lt;&gt;"",ISNUMBER(E1352)),Q1352,"")</f>
        <v/>
      </c>
      <c r="T1352">
        <f>IF(AND(Q1352&lt;&gt;"",ISNUMBER(F1352)),Q1352,"")</f>
        <v/>
      </c>
      <c r="U1352">
        <f>IF(AND(Q1352&lt;&gt;"",ISNUMBER(G1352)),Q1352,"")</f>
        <v/>
      </c>
      <c r="V1352">
        <f>IF(AND(Q1352&lt;&gt;"",ISNUMBER(H1352)),Q1352,"")</f>
        <v/>
      </c>
      <c r="W1352">
        <f>IF(AND(Q1352&lt;&gt;"",ISNUMBER(I1352)),Q1352,"")</f>
        <v/>
      </c>
      <c r="X1352">
        <f>IF(AND(Q1352&lt;&gt;"",ISNUMBER(J1352)),Q1352,"")</f>
        <v/>
      </c>
      <c r="Y1352">
        <f>IF(AND(Q1352&lt;&gt;"",ISNUMBER(K1352)),Q1352,"")</f>
        <v/>
      </c>
      <c r="Z1352">
        <f>IF(AND(Q1352&lt;&gt;"",ISNUMBER(L1352)),Q1352,"")</f>
        <v/>
      </c>
      <c r="AA1352">
        <f>IF(AND(Q1352&lt;&gt;"",ISNUMBER(M1352)),Q1352,"")</f>
        <v/>
      </c>
      <c r="AB1352">
        <f>IF(AND(Q1352&lt;&gt;"",ISNUMBER(K1352)),K1352,"")</f>
        <v/>
      </c>
      <c r="AC1352">
        <f>IF(AND(Q1352&lt;&gt;"",ISNUMBER(L1352)),L1352,"")</f>
        <v/>
      </c>
      <c r="AD1352">
        <f>IF(AND(Q1352&lt;&gt;"",ISNUMBER(M1352)),M1352,"")</f>
        <v/>
      </c>
    </row>
    <row r="1353">
      <c r="A1353" s="1" t="n"/>
      <c r="B1353" s="17" t="n"/>
      <c r="C1353" s="27" t="n"/>
      <c r="D1353" s="28" t="n"/>
      <c r="E1353" s="28" t="n"/>
      <c r="F1353" s="28" t="n"/>
      <c r="G1353" s="28" t="n"/>
      <c r="H1353" s="28" t="n"/>
      <c r="I1353" s="28" t="n"/>
      <c r="J1353" s="28" t="n"/>
      <c r="K1353" s="28" t="n"/>
      <c r="L1353" s="28" t="n"/>
      <c r="M1353" s="29" t="n"/>
      <c r="N1353" s="21" t="n"/>
      <c r="O1353" s="12">
        <f>IF(AND(B1353="",C1353=""),"",IF(NOT(ISNUMBER(B1353)),"Needs a date",IF(C1353="","Needs a client",IF(COUNTIF(Clients!$B$6:$B$105,C1353)=0,"Not on Clients",IF(COUNT(D1353:M1353)=0,"Nothing measured","")))))</f>
        <v/>
      </c>
      <c r="P1353" s="1">
        <f>IF(AND(O1353="",ISNUMBER(B1353)),INT(B1353),0)</f>
        <v/>
      </c>
      <c r="Q1353">
        <f>IF(AND(P1353&gt;0,C1353=Report!$C$5),P1353*10000+ROW(),"")</f>
        <v/>
      </c>
      <c r="R1353">
        <f>IF(AND(Q1353&lt;&gt;"",ISNUMBER(D1353)),Q1353,"")</f>
        <v/>
      </c>
      <c r="S1353">
        <f>IF(AND(Q1353&lt;&gt;"",ISNUMBER(E1353)),Q1353,"")</f>
        <v/>
      </c>
      <c r="T1353">
        <f>IF(AND(Q1353&lt;&gt;"",ISNUMBER(F1353)),Q1353,"")</f>
        <v/>
      </c>
      <c r="U1353">
        <f>IF(AND(Q1353&lt;&gt;"",ISNUMBER(G1353)),Q1353,"")</f>
        <v/>
      </c>
      <c r="V1353">
        <f>IF(AND(Q1353&lt;&gt;"",ISNUMBER(H1353)),Q1353,"")</f>
        <v/>
      </c>
      <c r="W1353">
        <f>IF(AND(Q1353&lt;&gt;"",ISNUMBER(I1353)),Q1353,"")</f>
        <v/>
      </c>
      <c r="X1353">
        <f>IF(AND(Q1353&lt;&gt;"",ISNUMBER(J1353)),Q1353,"")</f>
        <v/>
      </c>
      <c r="Y1353">
        <f>IF(AND(Q1353&lt;&gt;"",ISNUMBER(K1353)),Q1353,"")</f>
        <v/>
      </c>
      <c r="Z1353">
        <f>IF(AND(Q1353&lt;&gt;"",ISNUMBER(L1353)),Q1353,"")</f>
        <v/>
      </c>
      <c r="AA1353">
        <f>IF(AND(Q1353&lt;&gt;"",ISNUMBER(M1353)),Q1353,"")</f>
        <v/>
      </c>
      <c r="AB1353">
        <f>IF(AND(Q1353&lt;&gt;"",ISNUMBER(K1353)),K1353,"")</f>
        <v/>
      </c>
      <c r="AC1353">
        <f>IF(AND(Q1353&lt;&gt;"",ISNUMBER(L1353)),L1353,"")</f>
        <v/>
      </c>
      <c r="AD1353">
        <f>IF(AND(Q1353&lt;&gt;"",ISNUMBER(M1353)),M1353,"")</f>
        <v/>
      </c>
    </row>
    <row r="1354">
      <c r="A1354" s="1" t="n"/>
      <c r="B1354" s="17" t="n"/>
      <c r="C1354" s="27" t="n"/>
      <c r="D1354" s="28" t="n"/>
      <c r="E1354" s="28" t="n"/>
      <c r="F1354" s="28" t="n"/>
      <c r="G1354" s="28" t="n"/>
      <c r="H1354" s="28" t="n"/>
      <c r="I1354" s="28" t="n"/>
      <c r="J1354" s="28" t="n"/>
      <c r="K1354" s="28" t="n"/>
      <c r="L1354" s="28" t="n"/>
      <c r="M1354" s="29" t="n"/>
      <c r="N1354" s="21" t="n"/>
      <c r="O1354" s="12">
        <f>IF(AND(B1354="",C1354=""),"",IF(NOT(ISNUMBER(B1354)),"Needs a date",IF(C1354="","Needs a client",IF(COUNTIF(Clients!$B$6:$B$105,C1354)=0,"Not on Clients",IF(COUNT(D1354:M1354)=0,"Nothing measured","")))))</f>
        <v/>
      </c>
      <c r="P1354" s="1">
        <f>IF(AND(O1354="",ISNUMBER(B1354)),INT(B1354),0)</f>
        <v/>
      </c>
      <c r="Q1354">
        <f>IF(AND(P1354&gt;0,C1354=Report!$C$5),P1354*10000+ROW(),"")</f>
        <v/>
      </c>
      <c r="R1354">
        <f>IF(AND(Q1354&lt;&gt;"",ISNUMBER(D1354)),Q1354,"")</f>
        <v/>
      </c>
      <c r="S1354">
        <f>IF(AND(Q1354&lt;&gt;"",ISNUMBER(E1354)),Q1354,"")</f>
        <v/>
      </c>
      <c r="T1354">
        <f>IF(AND(Q1354&lt;&gt;"",ISNUMBER(F1354)),Q1354,"")</f>
        <v/>
      </c>
      <c r="U1354">
        <f>IF(AND(Q1354&lt;&gt;"",ISNUMBER(G1354)),Q1354,"")</f>
        <v/>
      </c>
      <c r="V1354">
        <f>IF(AND(Q1354&lt;&gt;"",ISNUMBER(H1354)),Q1354,"")</f>
        <v/>
      </c>
      <c r="W1354">
        <f>IF(AND(Q1354&lt;&gt;"",ISNUMBER(I1354)),Q1354,"")</f>
        <v/>
      </c>
      <c r="X1354">
        <f>IF(AND(Q1354&lt;&gt;"",ISNUMBER(J1354)),Q1354,"")</f>
        <v/>
      </c>
      <c r="Y1354">
        <f>IF(AND(Q1354&lt;&gt;"",ISNUMBER(K1354)),Q1354,"")</f>
        <v/>
      </c>
      <c r="Z1354">
        <f>IF(AND(Q1354&lt;&gt;"",ISNUMBER(L1354)),Q1354,"")</f>
        <v/>
      </c>
      <c r="AA1354">
        <f>IF(AND(Q1354&lt;&gt;"",ISNUMBER(M1354)),Q1354,"")</f>
        <v/>
      </c>
      <c r="AB1354">
        <f>IF(AND(Q1354&lt;&gt;"",ISNUMBER(K1354)),K1354,"")</f>
        <v/>
      </c>
      <c r="AC1354">
        <f>IF(AND(Q1354&lt;&gt;"",ISNUMBER(L1354)),L1354,"")</f>
        <v/>
      </c>
      <c r="AD1354">
        <f>IF(AND(Q1354&lt;&gt;"",ISNUMBER(M1354)),M1354,"")</f>
        <v/>
      </c>
    </row>
    <row r="1355">
      <c r="A1355" s="1" t="n"/>
      <c r="B1355" s="17" t="n"/>
      <c r="C1355" s="27" t="n"/>
      <c r="D1355" s="28" t="n"/>
      <c r="E1355" s="28" t="n"/>
      <c r="F1355" s="28" t="n"/>
      <c r="G1355" s="28" t="n"/>
      <c r="H1355" s="28" t="n"/>
      <c r="I1355" s="28" t="n"/>
      <c r="J1355" s="28" t="n"/>
      <c r="K1355" s="28" t="n"/>
      <c r="L1355" s="28" t="n"/>
      <c r="M1355" s="29" t="n"/>
      <c r="N1355" s="21" t="n"/>
      <c r="O1355" s="12">
        <f>IF(AND(B1355="",C1355=""),"",IF(NOT(ISNUMBER(B1355)),"Needs a date",IF(C1355="","Needs a client",IF(COUNTIF(Clients!$B$6:$B$105,C1355)=0,"Not on Clients",IF(COUNT(D1355:M1355)=0,"Nothing measured","")))))</f>
        <v/>
      </c>
      <c r="P1355" s="1">
        <f>IF(AND(O1355="",ISNUMBER(B1355)),INT(B1355),0)</f>
        <v/>
      </c>
      <c r="Q1355">
        <f>IF(AND(P1355&gt;0,C1355=Report!$C$5),P1355*10000+ROW(),"")</f>
        <v/>
      </c>
      <c r="R1355">
        <f>IF(AND(Q1355&lt;&gt;"",ISNUMBER(D1355)),Q1355,"")</f>
        <v/>
      </c>
      <c r="S1355">
        <f>IF(AND(Q1355&lt;&gt;"",ISNUMBER(E1355)),Q1355,"")</f>
        <v/>
      </c>
      <c r="T1355">
        <f>IF(AND(Q1355&lt;&gt;"",ISNUMBER(F1355)),Q1355,"")</f>
        <v/>
      </c>
      <c r="U1355">
        <f>IF(AND(Q1355&lt;&gt;"",ISNUMBER(G1355)),Q1355,"")</f>
        <v/>
      </c>
      <c r="V1355">
        <f>IF(AND(Q1355&lt;&gt;"",ISNUMBER(H1355)),Q1355,"")</f>
        <v/>
      </c>
      <c r="W1355">
        <f>IF(AND(Q1355&lt;&gt;"",ISNUMBER(I1355)),Q1355,"")</f>
        <v/>
      </c>
      <c r="X1355">
        <f>IF(AND(Q1355&lt;&gt;"",ISNUMBER(J1355)),Q1355,"")</f>
        <v/>
      </c>
      <c r="Y1355">
        <f>IF(AND(Q1355&lt;&gt;"",ISNUMBER(K1355)),Q1355,"")</f>
        <v/>
      </c>
      <c r="Z1355">
        <f>IF(AND(Q1355&lt;&gt;"",ISNUMBER(L1355)),Q1355,"")</f>
        <v/>
      </c>
      <c r="AA1355">
        <f>IF(AND(Q1355&lt;&gt;"",ISNUMBER(M1355)),Q1355,"")</f>
        <v/>
      </c>
      <c r="AB1355">
        <f>IF(AND(Q1355&lt;&gt;"",ISNUMBER(K1355)),K1355,"")</f>
        <v/>
      </c>
      <c r="AC1355">
        <f>IF(AND(Q1355&lt;&gt;"",ISNUMBER(L1355)),L1355,"")</f>
        <v/>
      </c>
      <c r="AD1355">
        <f>IF(AND(Q1355&lt;&gt;"",ISNUMBER(M1355)),M1355,"")</f>
        <v/>
      </c>
    </row>
    <row r="1356">
      <c r="A1356" s="1" t="n"/>
      <c r="B1356" s="17" t="n"/>
      <c r="C1356" s="27" t="n"/>
      <c r="D1356" s="28" t="n"/>
      <c r="E1356" s="28" t="n"/>
      <c r="F1356" s="28" t="n"/>
      <c r="G1356" s="28" t="n"/>
      <c r="H1356" s="28" t="n"/>
      <c r="I1356" s="28" t="n"/>
      <c r="J1356" s="28" t="n"/>
      <c r="K1356" s="28" t="n"/>
      <c r="L1356" s="28" t="n"/>
      <c r="M1356" s="29" t="n"/>
      <c r="N1356" s="21" t="n"/>
      <c r="O1356" s="12">
        <f>IF(AND(B1356="",C1356=""),"",IF(NOT(ISNUMBER(B1356)),"Needs a date",IF(C1356="","Needs a client",IF(COUNTIF(Clients!$B$6:$B$105,C1356)=0,"Not on Clients",IF(COUNT(D1356:M1356)=0,"Nothing measured","")))))</f>
        <v/>
      </c>
      <c r="P1356" s="1">
        <f>IF(AND(O1356="",ISNUMBER(B1356)),INT(B1356),0)</f>
        <v/>
      </c>
      <c r="Q1356">
        <f>IF(AND(P1356&gt;0,C1356=Report!$C$5),P1356*10000+ROW(),"")</f>
        <v/>
      </c>
      <c r="R1356">
        <f>IF(AND(Q1356&lt;&gt;"",ISNUMBER(D1356)),Q1356,"")</f>
        <v/>
      </c>
      <c r="S1356">
        <f>IF(AND(Q1356&lt;&gt;"",ISNUMBER(E1356)),Q1356,"")</f>
        <v/>
      </c>
      <c r="T1356">
        <f>IF(AND(Q1356&lt;&gt;"",ISNUMBER(F1356)),Q1356,"")</f>
        <v/>
      </c>
      <c r="U1356">
        <f>IF(AND(Q1356&lt;&gt;"",ISNUMBER(G1356)),Q1356,"")</f>
        <v/>
      </c>
      <c r="V1356">
        <f>IF(AND(Q1356&lt;&gt;"",ISNUMBER(H1356)),Q1356,"")</f>
        <v/>
      </c>
      <c r="W1356">
        <f>IF(AND(Q1356&lt;&gt;"",ISNUMBER(I1356)),Q1356,"")</f>
        <v/>
      </c>
      <c r="X1356">
        <f>IF(AND(Q1356&lt;&gt;"",ISNUMBER(J1356)),Q1356,"")</f>
        <v/>
      </c>
      <c r="Y1356">
        <f>IF(AND(Q1356&lt;&gt;"",ISNUMBER(K1356)),Q1356,"")</f>
        <v/>
      </c>
      <c r="Z1356">
        <f>IF(AND(Q1356&lt;&gt;"",ISNUMBER(L1356)),Q1356,"")</f>
        <v/>
      </c>
      <c r="AA1356">
        <f>IF(AND(Q1356&lt;&gt;"",ISNUMBER(M1356)),Q1356,"")</f>
        <v/>
      </c>
      <c r="AB1356">
        <f>IF(AND(Q1356&lt;&gt;"",ISNUMBER(K1356)),K1356,"")</f>
        <v/>
      </c>
      <c r="AC1356">
        <f>IF(AND(Q1356&lt;&gt;"",ISNUMBER(L1356)),L1356,"")</f>
        <v/>
      </c>
      <c r="AD1356">
        <f>IF(AND(Q1356&lt;&gt;"",ISNUMBER(M1356)),M1356,"")</f>
        <v/>
      </c>
    </row>
    <row r="1357">
      <c r="A1357" s="1" t="n"/>
      <c r="B1357" s="17" t="n"/>
      <c r="C1357" s="27" t="n"/>
      <c r="D1357" s="28" t="n"/>
      <c r="E1357" s="28" t="n"/>
      <c r="F1357" s="28" t="n"/>
      <c r="G1357" s="28" t="n"/>
      <c r="H1357" s="28" t="n"/>
      <c r="I1357" s="28" t="n"/>
      <c r="J1357" s="28" t="n"/>
      <c r="K1357" s="28" t="n"/>
      <c r="L1357" s="28" t="n"/>
      <c r="M1357" s="29" t="n"/>
      <c r="N1357" s="21" t="n"/>
      <c r="O1357" s="12">
        <f>IF(AND(B1357="",C1357=""),"",IF(NOT(ISNUMBER(B1357)),"Needs a date",IF(C1357="","Needs a client",IF(COUNTIF(Clients!$B$6:$B$105,C1357)=0,"Not on Clients",IF(COUNT(D1357:M1357)=0,"Nothing measured","")))))</f>
        <v/>
      </c>
      <c r="P1357" s="1">
        <f>IF(AND(O1357="",ISNUMBER(B1357)),INT(B1357),0)</f>
        <v/>
      </c>
      <c r="Q1357">
        <f>IF(AND(P1357&gt;0,C1357=Report!$C$5),P1357*10000+ROW(),"")</f>
        <v/>
      </c>
      <c r="R1357">
        <f>IF(AND(Q1357&lt;&gt;"",ISNUMBER(D1357)),Q1357,"")</f>
        <v/>
      </c>
      <c r="S1357">
        <f>IF(AND(Q1357&lt;&gt;"",ISNUMBER(E1357)),Q1357,"")</f>
        <v/>
      </c>
      <c r="T1357">
        <f>IF(AND(Q1357&lt;&gt;"",ISNUMBER(F1357)),Q1357,"")</f>
        <v/>
      </c>
      <c r="U1357">
        <f>IF(AND(Q1357&lt;&gt;"",ISNUMBER(G1357)),Q1357,"")</f>
        <v/>
      </c>
      <c r="V1357">
        <f>IF(AND(Q1357&lt;&gt;"",ISNUMBER(H1357)),Q1357,"")</f>
        <v/>
      </c>
      <c r="W1357">
        <f>IF(AND(Q1357&lt;&gt;"",ISNUMBER(I1357)),Q1357,"")</f>
        <v/>
      </c>
      <c r="X1357">
        <f>IF(AND(Q1357&lt;&gt;"",ISNUMBER(J1357)),Q1357,"")</f>
        <v/>
      </c>
      <c r="Y1357">
        <f>IF(AND(Q1357&lt;&gt;"",ISNUMBER(K1357)),Q1357,"")</f>
        <v/>
      </c>
      <c r="Z1357">
        <f>IF(AND(Q1357&lt;&gt;"",ISNUMBER(L1357)),Q1357,"")</f>
        <v/>
      </c>
      <c r="AA1357">
        <f>IF(AND(Q1357&lt;&gt;"",ISNUMBER(M1357)),Q1357,"")</f>
        <v/>
      </c>
      <c r="AB1357">
        <f>IF(AND(Q1357&lt;&gt;"",ISNUMBER(K1357)),K1357,"")</f>
        <v/>
      </c>
      <c r="AC1357">
        <f>IF(AND(Q1357&lt;&gt;"",ISNUMBER(L1357)),L1357,"")</f>
        <v/>
      </c>
      <c r="AD1357">
        <f>IF(AND(Q1357&lt;&gt;"",ISNUMBER(M1357)),M1357,"")</f>
        <v/>
      </c>
    </row>
    <row r="1358">
      <c r="A1358" s="1" t="n"/>
      <c r="B1358" s="17" t="n"/>
      <c r="C1358" s="27" t="n"/>
      <c r="D1358" s="28" t="n"/>
      <c r="E1358" s="28" t="n"/>
      <c r="F1358" s="28" t="n"/>
      <c r="G1358" s="28" t="n"/>
      <c r="H1358" s="28" t="n"/>
      <c r="I1358" s="28" t="n"/>
      <c r="J1358" s="28" t="n"/>
      <c r="K1358" s="28" t="n"/>
      <c r="L1358" s="28" t="n"/>
      <c r="M1358" s="29" t="n"/>
      <c r="N1358" s="21" t="n"/>
      <c r="O1358" s="12">
        <f>IF(AND(B1358="",C1358=""),"",IF(NOT(ISNUMBER(B1358)),"Needs a date",IF(C1358="","Needs a client",IF(COUNTIF(Clients!$B$6:$B$105,C1358)=0,"Not on Clients",IF(COUNT(D1358:M1358)=0,"Nothing measured","")))))</f>
        <v/>
      </c>
      <c r="P1358" s="1">
        <f>IF(AND(O1358="",ISNUMBER(B1358)),INT(B1358),0)</f>
        <v/>
      </c>
      <c r="Q1358">
        <f>IF(AND(P1358&gt;0,C1358=Report!$C$5),P1358*10000+ROW(),"")</f>
        <v/>
      </c>
      <c r="R1358">
        <f>IF(AND(Q1358&lt;&gt;"",ISNUMBER(D1358)),Q1358,"")</f>
        <v/>
      </c>
      <c r="S1358">
        <f>IF(AND(Q1358&lt;&gt;"",ISNUMBER(E1358)),Q1358,"")</f>
        <v/>
      </c>
      <c r="T1358">
        <f>IF(AND(Q1358&lt;&gt;"",ISNUMBER(F1358)),Q1358,"")</f>
        <v/>
      </c>
      <c r="U1358">
        <f>IF(AND(Q1358&lt;&gt;"",ISNUMBER(G1358)),Q1358,"")</f>
        <v/>
      </c>
      <c r="V1358">
        <f>IF(AND(Q1358&lt;&gt;"",ISNUMBER(H1358)),Q1358,"")</f>
        <v/>
      </c>
      <c r="W1358">
        <f>IF(AND(Q1358&lt;&gt;"",ISNUMBER(I1358)),Q1358,"")</f>
        <v/>
      </c>
      <c r="X1358">
        <f>IF(AND(Q1358&lt;&gt;"",ISNUMBER(J1358)),Q1358,"")</f>
        <v/>
      </c>
      <c r="Y1358">
        <f>IF(AND(Q1358&lt;&gt;"",ISNUMBER(K1358)),Q1358,"")</f>
        <v/>
      </c>
      <c r="Z1358">
        <f>IF(AND(Q1358&lt;&gt;"",ISNUMBER(L1358)),Q1358,"")</f>
        <v/>
      </c>
      <c r="AA1358">
        <f>IF(AND(Q1358&lt;&gt;"",ISNUMBER(M1358)),Q1358,"")</f>
        <v/>
      </c>
      <c r="AB1358">
        <f>IF(AND(Q1358&lt;&gt;"",ISNUMBER(K1358)),K1358,"")</f>
        <v/>
      </c>
      <c r="AC1358">
        <f>IF(AND(Q1358&lt;&gt;"",ISNUMBER(L1358)),L1358,"")</f>
        <v/>
      </c>
      <c r="AD1358">
        <f>IF(AND(Q1358&lt;&gt;"",ISNUMBER(M1358)),M1358,"")</f>
        <v/>
      </c>
    </row>
    <row r="1359">
      <c r="A1359" s="1" t="n"/>
      <c r="B1359" s="17" t="n"/>
      <c r="C1359" s="27" t="n"/>
      <c r="D1359" s="28" t="n"/>
      <c r="E1359" s="28" t="n"/>
      <c r="F1359" s="28" t="n"/>
      <c r="G1359" s="28" t="n"/>
      <c r="H1359" s="28" t="n"/>
      <c r="I1359" s="28" t="n"/>
      <c r="J1359" s="28" t="n"/>
      <c r="K1359" s="28" t="n"/>
      <c r="L1359" s="28" t="n"/>
      <c r="M1359" s="29" t="n"/>
      <c r="N1359" s="21" t="n"/>
      <c r="O1359" s="12">
        <f>IF(AND(B1359="",C1359=""),"",IF(NOT(ISNUMBER(B1359)),"Needs a date",IF(C1359="","Needs a client",IF(COUNTIF(Clients!$B$6:$B$105,C1359)=0,"Not on Clients",IF(COUNT(D1359:M1359)=0,"Nothing measured","")))))</f>
        <v/>
      </c>
      <c r="P1359" s="1">
        <f>IF(AND(O1359="",ISNUMBER(B1359)),INT(B1359),0)</f>
        <v/>
      </c>
      <c r="Q1359">
        <f>IF(AND(P1359&gt;0,C1359=Report!$C$5),P1359*10000+ROW(),"")</f>
        <v/>
      </c>
      <c r="R1359">
        <f>IF(AND(Q1359&lt;&gt;"",ISNUMBER(D1359)),Q1359,"")</f>
        <v/>
      </c>
      <c r="S1359">
        <f>IF(AND(Q1359&lt;&gt;"",ISNUMBER(E1359)),Q1359,"")</f>
        <v/>
      </c>
      <c r="T1359">
        <f>IF(AND(Q1359&lt;&gt;"",ISNUMBER(F1359)),Q1359,"")</f>
        <v/>
      </c>
      <c r="U1359">
        <f>IF(AND(Q1359&lt;&gt;"",ISNUMBER(G1359)),Q1359,"")</f>
        <v/>
      </c>
      <c r="V1359">
        <f>IF(AND(Q1359&lt;&gt;"",ISNUMBER(H1359)),Q1359,"")</f>
        <v/>
      </c>
      <c r="W1359">
        <f>IF(AND(Q1359&lt;&gt;"",ISNUMBER(I1359)),Q1359,"")</f>
        <v/>
      </c>
      <c r="X1359">
        <f>IF(AND(Q1359&lt;&gt;"",ISNUMBER(J1359)),Q1359,"")</f>
        <v/>
      </c>
      <c r="Y1359">
        <f>IF(AND(Q1359&lt;&gt;"",ISNUMBER(K1359)),Q1359,"")</f>
        <v/>
      </c>
      <c r="Z1359">
        <f>IF(AND(Q1359&lt;&gt;"",ISNUMBER(L1359)),Q1359,"")</f>
        <v/>
      </c>
      <c r="AA1359">
        <f>IF(AND(Q1359&lt;&gt;"",ISNUMBER(M1359)),Q1359,"")</f>
        <v/>
      </c>
      <c r="AB1359">
        <f>IF(AND(Q1359&lt;&gt;"",ISNUMBER(K1359)),K1359,"")</f>
        <v/>
      </c>
      <c r="AC1359">
        <f>IF(AND(Q1359&lt;&gt;"",ISNUMBER(L1359)),L1359,"")</f>
        <v/>
      </c>
      <c r="AD1359">
        <f>IF(AND(Q1359&lt;&gt;"",ISNUMBER(M1359)),M1359,"")</f>
        <v/>
      </c>
    </row>
    <row r="1360">
      <c r="A1360" s="1" t="n"/>
      <c r="B1360" s="17" t="n"/>
      <c r="C1360" s="27" t="n"/>
      <c r="D1360" s="28" t="n"/>
      <c r="E1360" s="28" t="n"/>
      <c r="F1360" s="28" t="n"/>
      <c r="G1360" s="28" t="n"/>
      <c r="H1360" s="28" t="n"/>
      <c r="I1360" s="28" t="n"/>
      <c r="J1360" s="28" t="n"/>
      <c r="K1360" s="28" t="n"/>
      <c r="L1360" s="28" t="n"/>
      <c r="M1360" s="29" t="n"/>
      <c r="N1360" s="21" t="n"/>
      <c r="O1360" s="12">
        <f>IF(AND(B1360="",C1360=""),"",IF(NOT(ISNUMBER(B1360)),"Needs a date",IF(C1360="","Needs a client",IF(COUNTIF(Clients!$B$6:$B$105,C1360)=0,"Not on Clients",IF(COUNT(D1360:M1360)=0,"Nothing measured","")))))</f>
        <v/>
      </c>
      <c r="P1360" s="1">
        <f>IF(AND(O1360="",ISNUMBER(B1360)),INT(B1360),0)</f>
        <v/>
      </c>
      <c r="Q1360">
        <f>IF(AND(P1360&gt;0,C1360=Report!$C$5),P1360*10000+ROW(),"")</f>
        <v/>
      </c>
      <c r="R1360">
        <f>IF(AND(Q1360&lt;&gt;"",ISNUMBER(D1360)),Q1360,"")</f>
        <v/>
      </c>
      <c r="S1360">
        <f>IF(AND(Q1360&lt;&gt;"",ISNUMBER(E1360)),Q1360,"")</f>
        <v/>
      </c>
      <c r="T1360">
        <f>IF(AND(Q1360&lt;&gt;"",ISNUMBER(F1360)),Q1360,"")</f>
        <v/>
      </c>
      <c r="U1360">
        <f>IF(AND(Q1360&lt;&gt;"",ISNUMBER(G1360)),Q1360,"")</f>
        <v/>
      </c>
      <c r="V1360">
        <f>IF(AND(Q1360&lt;&gt;"",ISNUMBER(H1360)),Q1360,"")</f>
        <v/>
      </c>
      <c r="W1360">
        <f>IF(AND(Q1360&lt;&gt;"",ISNUMBER(I1360)),Q1360,"")</f>
        <v/>
      </c>
      <c r="X1360">
        <f>IF(AND(Q1360&lt;&gt;"",ISNUMBER(J1360)),Q1360,"")</f>
        <v/>
      </c>
      <c r="Y1360">
        <f>IF(AND(Q1360&lt;&gt;"",ISNUMBER(K1360)),Q1360,"")</f>
        <v/>
      </c>
      <c r="Z1360">
        <f>IF(AND(Q1360&lt;&gt;"",ISNUMBER(L1360)),Q1360,"")</f>
        <v/>
      </c>
      <c r="AA1360">
        <f>IF(AND(Q1360&lt;&gt;"",ISNUMBER(M1360)),Q1360,"")</f>
        <v/>
      </c>
      <c r="AB1360">
        <f>IF(AND(Q1360&lt;&gt;"",ISNUMBER(K1360)),K1360,"")</f>
        <v/>
      </c>
      <c r="AC1360">
        <f>IF(AND(Q1360&lt;&gt;"",ISNUMBER(L1360)),L1360,"")</f>
        <v/>
      </c>
      <c r="AD1360">
        <f>IF(AND(Q1360&lt;&gt;"",ISNUMBER(M1360)),M1360,"")</f>
        <v/>
      </c>
    </row>
    <row r="1361">
      <c r="A1361" s="1" t="n"/>
      <c r="B1361" s="17" t="n"/>
      <c r="C1361" s="27" t="n"/>
      <c r="D1361" s="28" t="n"/>
      <c r="E1361" s="28" t="n"/>
      <c r="F1361" s="28" t="n"/>
      <c r="G1361" s="28" t="n"/>
      <c r="H1361" s="28" t="n"/>
      <c r="I1361" s="28" t="n"/>
      <c r="J1361" s="28" t="n"/>
      <c r="K1361" s="28" t="n"/>
      <c r="L1361" s="28" t="n"/>
      <c r="M1361" s="29" t="n"/>
      <c r="N1361" s="21" t="n"/>
      <c r="O1361" s="12">
        <f>IF(AND(B1361="",C1361=""),"",IF(NOT(ISNUMBER(B1361)),"Needs a date",IF(C1361="","Needs a client",IF(COUNTIF(Clients!$B$6:$B$105,C1361)=0,"Not on Clients",IF(COUNT(D1361:M1361)=0,"Nothing measured","")))))</f>
        <v/>
      </c>
      <c r="P1361" s="1">
        <f>IF(AND(O1361="",ISNUMBER(B1361)),INT(B1361),0)</f>
        <v/>
      </c>
      <c r="Q1361">
        <f>IF(AND(P1361&gt;0,C1361=Report!$C$5),P1361*10000+ROW(),"")</f>
        <v/>
      </c>
      <c r="R1361">
        <f>IF(AND(Q1361&lt;&gt;"",ISNUMBER(D1361)),Q1361,"")</f>
        <v/>
      </c>
      <c r="S1361">
        <f>IF(AND(Q1361&lt;&gt;"",ISNUMBER(E1361)),Q1361,"")</f>
        <v/>
      </c>
      <c r="T1361">
        <f>IF(AND(Q1361&lt;&gt;"",ISNUMBER(F1361)),Q1361,"")</f>
        <v/>
      </c>
      <c r="U1361">
        <f>IF(AND(Q1361&lt;&gt;"",ISNUMBER(G1361)),Q1361,"")</f>
        <v/>
      </c>
      <c r="V1361">
        <f>IF(AND(Q1361&lt;&gt;"",ISNUMBER(H1361)),Q1361,"")</f>
        <v/>
      </c>
      <c r="W1361">
        <f>IF(AND(Q1361&lt;&gt;"",ISNUMBER(I1361)),Q1361,"")</f>
        <v/>
      </c>
      <c r="X1361">
        <f>IF(AND(Q1361&lt;&gt;"",ISNUMBER(J1361)),Q1361,"")</f>
        <v/>
      </c>
      <c r="Y1361">
        <f>IF(AND(Q1361&lt;&gt;"",ISNUMBER(K1361)),Q1361,"")</f>
        <v/>
      </c>
      <c r="Z1361">
        <f>IF(AND(Q1361&lt;&gt;"",ISNUMBER(L1361)),Q1361,"")</f>
        <v/>
      </c>
      <c r="AA1361">
        <f>IF(AND(Q1361&lt;&gt;"",ISNUMBER(M1361)),Q1361,"")</f>
        <v/>
      </c>
      <c r="AB1361">
        <f>IF(AND(Q1361&lt;&gt;"",ISNUMBER(K1361)),K1361,"")</f>
        <v/>
      </c>
      <c r="AC1361">
        <f>IF(AND(Q1361&lt;&gt;"",ISNUMBER(L1361)),L1361,"")</f>
        <v/>
      </c>
      <c r="AD1361">
        <f>IF(AND(Q1361&lt;&gt;"",ISNUMBER(M1361)),M1361,"")</f>
        <v/>
      </c>
    </row>
    <row r="1362">
      <c r="A1362" s="1" t="n"/>
      <c r="B1362" s="17" t="n"/>
      <c r="C1362" s="27" t="n"/>
      <c r="D1362" s="28" t="n"/>
      <c r="E1362" s="28" t="n"/>
      <c r="F1362" s="28" t="n"/>
      <c r="G1362" s="28" t="n"/>
      <c r="H1362" s="28" t="n"/>
      <c r="I1362" s="28" t="n"/>
      <c r="J1362" s="28" t="n"/>
      <c r="K1362" s="28" t="n"/>
      <c r="L1362" s="28" t="n"/>
      <c r="M1362" s="29" t="n"/>
      <c r="N1362" s="21" t="n"/>
      <c r="O1362" s="12">
        <f>IF(AND(B1362="",C1362=""),"",IF(NOT(ISNUMBER(B1362)),"Needs a date",IF(C1362="","Needs a client",IF(COUNTIF(Clients!$B$6:$B$105,C1362)=0,"Not on Clients",IF(COUNT(D1362:M1362)=0,"Nothing measured","")))))</f>
        <v/>
      </c>
      <c r="P1362" s="1">
        <f>IF(AND(O1362="",ISNUMBER(B1362)),INT(B1362),0)</f>
        <v/>
      </c>
      <c r="Q1362">
        <f>IF(AND(P1362&gt;0,C1362=Report!$C$5),P1362*10000+ROW(),"")</f>
        <v/>
      </c>
      <c r="R1362">
        <f>IF(AND(Q1362&lt;&gt;"",ISNUMBER(D1362)),Q1362,"")</f>
        <v/>
      </c>
      <c r="S1362">
        <f>IF(AND(Q1362&lt;&gt;"",ISNUMBER(E1362)),Q1362,"")</f>
        <v/>
      </c>
      <c r="T1362">
        <f>IF(AND(Q1362&lt;&gt;"",ISNUMBER(F1362)),Q1362,"")</f>
        <v/>
      </c>
      <c r="U1362">
        <f>IF(AND(Q1362&lt;&gt;"",ISNUMBER(G1362)),Q1362,"")</f>
        <v/>
      </c>
      <c r="V1362">
        <f>IF(AND(Q1362&lt;&gt;"",ISNUMBER(H1362)),Q1362,"")</f>
        <v/>
      </c>
      <c r="W1362">
        <f>IF(AND(Q1362&lt;&gt;"",ISNUMBER(I1362)),Q1362,"")</f>
        <v/>
      </c>
      <c r="X1362">
        <f>IF(AND(Q1362&lt;&gt;"",ISNUMBER(J1362)),Q1362,"")</f>
        <v/>
      </c>
      <c r="Y1362">
        <f>IF(AND(Q1362&lt;&gt;"",ISNUMBER(K1362)),Q1362,"")</f>
        <v/>
      </c>
      <c r="Z1362">
        <f>IF(AND(Q1362&lt;&gt;"",ISNUMBER(L1362)),Q1362,"")</f>
        <v/>
      </c>
      <c r="AA1362">
        <f>IF(AND(Q1362&lt;&gt;"",ISNUMBER(M1362)),Q1362,"")</f>
        <v/>
      </c>
      <c r="AB1362">
        <f>IF(AND(Q1362&lt;&gt;"",ISNUMBER(K1362)),K1362,"")</f>
        <v/>
      </c>
      <c r="AC1362">
        <f>IF(AND(Q1362&lt;&gt;"",ISNUMBER(L1362)),L1362,"")</f>
        <v/>
      </c>
      <c r="AD1362">
        <f>IF(AND(Q1362&lt;&gt;"",ISNUMBER(M1362)),M1362,"")</f>
        <v/>
      </c>
    </row>
    <row r="1363">
      <c r="A1363" s="1" t="n"/>
      <c r="B1363" s="17" t="n"/>
      <c r="C1363" s="27" t="n"/>
      <c r="D1363" s="28" t="n"/>
      <c r="E1363" s="28" t="n"/>
      <c r="F1363" s="28" t="n"/>
      <c r="G1363" s="28" t="n"/>
      <c r="H1363" s="28" t="n"/>
      <c r="I1363" s="28" t="n"/>
      <c r="J1363" s="28" t="n"/>
      <c r="K1363" s="28" t="n"/>
      <c r="L1363" s="28" t="n"/>
      <c r="M1363" s="29" t="n"/>
      <c r="N1363" s="21" t="n"/>
      <c r="O1363" s="12">
        <f>IF(AND(B1363="",C1363=""),"",IF(NOT(ISNUMBER(B1363)),"Needs a date",IF(C1363="","Needs a client",IF(COUNTIF(Clients!$B$6:$B$105,C1363)=0,"Not on Clients",IF(COUNT(D1363:M1363)=0,"Nothing measured","")))))</f>
        <v/>
      </c>
      <c r="P1363" s="1">
        <f>IF(AND(O1363="",ISNUMBER(B1363)),INT(B1363),0)</f>
        <v/>
      </c>
      <c r="Q1363">
        <f>IF(AND(P1363&gt;0,C1363=Report!$C$5),P1363*10000+ROW(),"")</f>
        <v/>
      </c>
      <c r="R1363">
        <f>IF(AND(Q1363&lt;&gt;"",ISNUMBER(D1363)),Q1363,"")</f>
        <v/>
      </c>
      <c r="S1363">
        <f>IF(AND(Q1363&lt;&gt;"",ISNUMBER(E1363)),Q1363,"")</f>
        <v/>
      </c>
      <c r="T1363">
        <f>IF(AND(Q1363&lt;&gt;"",ISNUMBER(F1363)),Q1363,"")</f>
        <v/>
      </c>
      <c r="U1363">
        <f>IF(AND(Q1363&lt;&gt;"",ISNUMBER(G1363)),Q1363,"")</f>
        <v/>
      </c>
      <c r="V1363">
        <f>IF(AND(Q1363&lt;&gt;"",ISNUMBER(H1363)),Q1363,"")</f>
        <v/>
      </c>
      <c r="W1363">
        <f>IF(AND(Q1363&lt;&gt;"",ISNUMBER(I1363)),Q1363,"")</f>
        <v/>
      </c>
      <c r="X1363">
        <f>IF(AND(Q1363&lt;&gt;"",ISNUMBER(J1363)),Q1363,"")</f>
        <v/>
      </c>
      <c r="Y1363">
        <f>IF(AND(Q1363&lt;&gt;"",ISNUMBER(K1363)),Q1363,"")</f>
        <v/>
      </c>
      <c r="Z1363">
        <f>IF(AND(Q1363&lt;&gt;"",ISNUMBER(L1363)),Q1363,"")</f>
        <v/>
      </c>
      <c r="AA1363">
        <f>IF(AND(Q1363&lt;&gt;"",ISNUMBER(M1363)),Q1363,"")</f>
        <v/>
      </c>
      <c r="AB1363">
        <f>IF(AND(Q1363&lt;&gt;"",ISNUMBER(K1363)),K1363,"")</f>
        <v/>
      </c>
      <c r="AC1363">
        <f>IF(AND(Q1363&lt;&gt;"",ISNUMBER(L1363)),L1363,"")</f>
        <v/>
      </c>
      <c r="AD1363">
        <f>IF(AND(Q1363&lt;&gt;"",ISNUMBER(M1363)),M1363,"")</f>
        <v/>
      </c>
    </row>
    <row r="1364">
      <c r="A1364" s="1" t="n"/>
      <c r="B1364" s="17" t="n"/>
      <c r="C1364" s="27" t="n"/>
      <c r="D1364" s="28" t="n"/>
      <c r="E1364" s="28" t="n"/>
      <c r="F1364" s="28" t="n"/>
      <c r="G1364" s="28" t="n"/>
      <c r="H1364" s="28" t="n"/>
      <c r="I1364" s="28" t="n"/>
      <c r="J1364" s="28" t="n"/>
      <c r="K1364" s="28" t="n"/>
      <c r="L1364" s="28" t="n"/>
      <c r="M1364" s="29" t="n"/>
      <c r="N1364" s="21" t="n"/>
      <c r="O1364" s="12">
        <f>IF(AND(B1364="",C1364=""),"",IF(NOT(ISNUMBER(B1364)),"Needs a date",IF(C1364="","Needs a client",IF(COUNTIF(Clients!$B$6:$B$105,C1364)=0,"Not on Clients",IF(COUNT(D1364:M1364)=0,"Nothing measured","")))))</f>
        <v/>
      </c>
      <c r="P1364" s="1">
        <f>IF(AND(O1364="",ISNUMBER(B1364)),INT(B1364),0)</f>
        <v/>
      </c>
      <c r="Q1364">
        <f>IF(AND(P1364&gt;0,C1364=Report!$C$5),P1364*10000+ROW(),"")</f>
        <v/>
      </c>
      <c r="R1364">
        <f>IF(AND(Q1364&lt;&gt;"",ISNUMBER(D1364)),Q1364,"")</f>
        <v/>
      </c>
      <c r="S1364">
        <f>IF(AND(Q1364&lt;&gt;"",ISNUMBER(E1364)),Q1364,"")</f>
        <v/>
      </c>
      <c r="T1364">
        <f>IF(AND(Q1364&lt;&gt;"",ISNUMBER(F1364)),Q1364,"")</f>
        <v/>
      </c>
      <c r="U1364">
        <f>IF(AND(Q1364&lt;&gt;"",ISNUMBER(G1364)),Q1364,"")</f>
        <v/>
      </c>
      <c r="V1364">
        <f>IF(AND(Q1364&lt;&gt;"",ISNUMBER(H1364)),Q1364,"")</f>
        <v/>
      </c>
      <c r="W1364">
        <f>IF(AND(Q1364&lt;&gt;"",ISNUMBER(I1364)),Q1364,"")</f>
        <v/>
      </c>
      <c r="X1364">
        <f>IF(AND(Q1364&lt;&gt;"",ISNUMBER(J1364)),Q1364,"")</f>
        <v/>
      </c>
      <c r="Y1364">
        <f>IF(AND(Q1364&lt;&gt;"",ISNUMBER(K1364)),Q1364,"")</f>
        <v/>
      </c>
      <c r="Z1364">
        <f>IF(AND(Q1364&lt;&gt;"",ISNUMBER(L1364)),Q1364,"")</f>
        <v/>
      </c>
      <c r="AA1364">
        <f>IF(AND(Q1364&lt;&gt;"",ISNUMBER(M1364)),Q1364,"")</f>
        <v/>
      </c>
      <c r="AB1364">
        <f>IF(AND(Q1364&lt;&gt;"",ISNUMBER(K1364)),K1364,"")</f>
        <v/>
      </c>
      <c r="AC1364">
        <f>IF(AND(Q1364&lt;&gt;"",ISNUMBER(L1364)),L1364,"")</f>
        <v/>
      </c>
      <c r="AD1364">
        <f>IF(AND(Q1364&lt;&gt;"",ISNUMBER(M1364)),M1364,"")</f>
        <v/>
      </c>
    </row>
    <row r="1365">
      <c r="A1365" s="1" t="n"/>
      <c r="B1365" s="17" t="n"/>
      <c r="C1365" s="27" t="n"/>
      <c r="D1365" s="28" t="n"/>
      <c r="E1365" s="28" t="n"/>
      <c r="F1365" s="28" t="n"/>
      <c r="G1365" s="28" t="n"/>
      <c r="H1365" s="28" t="n"/>
      <c r="I1365" s="28" t="n"/>
      <c r="J1365" s="28" t="n"/>
      <c r="K1365" s="28" t="n"/>
      <c r="L1365" s="28" t="n"/>
      <c r="M1365" s="29" t="n"/>
      <c r="N1365" s="21" t="n"/>
      <c r="O1365" s="12">
        <f>IF(AND(B1365="",C1365=""),"",IF(NOT(ISNUMBER(B1365)),"Needs a date",IF(C1365="","Needs a client",IF(COUNTIF(Clients!$B$6:$B$105,C1365)=0,"Not on Clients",IF(COUNT(D1365:M1365)=0,"Nothing measured","")))))</f>
        <v/>
      </c>
      <c r="P1365" s="1">
        <f>IF(AND(O1365="",ISNUMBER(B1365)),INT(B1365),0)</f>
        <v/>
      </c>
      <c r="Q1365">
        <f>IF(AND(P1365&gt;0,C1365=Report!$C$5),P1365*10000+ROW(),"")</f>
        <v/>
      </c>
      <c r="R1365">
        <f>IF(AND(Q1365&lt;&gt;"",ISNUMBER(D1365)),Q1365,"")</f>
        <v/>
      </c>
      <c r="S1365">
        <f>IF(AND(Q1365&lt;&gt;"",ISNUMBER(E1365)),Q1365,"")</f>
        <v/>
      </c>
      <c r="T1365">
        <f>IF(AND(Q1365&lt;&gt;"",ISNUMBER(F1365)),Q1365,"")</f>
        <v/>
      </c>
      <c r="U1365">
        <f>IF(AND(Q1365&lt;&gt;"",ISNUMBER(G1365)),Q1365,"")</f>
        <v/>
      </c>
      <c r="V1365">
        <f>IF(AND(Q1365&lt;&gt;"",ISNUMBER(H1365)),Q1365,"")</f>
        <v/>
      </c>
      <c r="W1365">
        <f>IF(AND(Q1365&lt;&gt;"",ISNUMBER(I1365)),Q1365,"")</f>
        <v/>
      </c>
      <c r="X1365">
        <f>IF(AND(Q1365&lt;&gt;"",ISNUMBER(J1365)),Q1365,"")</f>
        <v/>
      </c>
      <c r="Y1365">
        <f>IF(AND(Q1365&lt;&gt;"",ISNUMBER(K1365)),Q1365,"")</f>
        <v/>
      </c>
      <c r="Z1365">
        <f>IF(AND(Q1365&lt;&gt;"",ISNUMBER(L1365)),Q1365,"")</f>
        <v/>
      </c>
      <c r="AA1365">
        <f>IF(AND(Q1365&lt;&gt;"",ISNUMBER(M1365)),Q1365,"")</f>
        <v/>
      </c>
      <c r="AB1365">
        <f>IF(AND(Q1365&lt;&gt;"",ISNUMBER(K1365)),K1365,"")</f>
        <v/>
      </c>
      <c r="AC1365">
        <f>IF(AND(Q1365&lt;&gt;"",ISNUMBER(L1365)),L1365,"")</f>
        <v/>
      </c>
      <c r="AD1365">
        <f>IF(AND(Q1365&lt;&gt;"",ISNUMBER(M1365)),M1365,"")</f>
        <v/>
      </c>
    </row>
    <row r="1366">
      <c r="A1366" s="1" t="n"/>
      <c r="B1366" s="17" t="n"/>
      <c r="C1366" s="27" t="n"/>
      <c r="D1366" s="28" t="n"/>
      <c r="E1366" s="28" t="n"/>
      <c r="F1366" s="28" t="n"/>
      <c r="G1366" s="28" t="n"/>
      <c r="H1366" s="28" t="n"/>
      <c r="I1366" s="28" t="n"/>
      <c r="J1366" s="28" t="n"/>
      <c r="K1366" s="28" t="n"/>
      <c r="L1366" s="28" t="n"/>
      <c r="M1366" s="29" t="n"/>
      <c r="N1366" s="21" t="n"/>
      <c r="O1366" s="12">
        <f>IF(AND(B1366="",C1366=""),"",IF(NOT(ISNUMBER(B1366)),"Needs a date",IF(C1366="","Needs a client",IF(COUNTIF(Clients!$B$6:$B$105,C1366)=0,"Not on Clients",IF(COUNT(D1366:M1366)=0,"Nothing measured","")))))</f>
        <v/>
      </c>
      <c r="P1366" s="1">
        <f>IF(AND(O1366="",ISNUMBER(B1366)),INT(B1366),0)</f>
        <v/>
      </c>
      <c r="Q1366">
        <f>IF(AND(P1366&gt;0,C1366=Report!$C$5),P1366*10000+ROW(),"")</f>
        <v/>
      </c>
      <c r="R1366">
        <f>IF(AND(Q1366&lt;&gt;"",ISNUMBER(D1366)),Q1366,"")</f>
        <v/>
      </c>
      <c r="S1366">
        <f>IF(AND(Q1366&lt;&gt;"",ISNUMBER(E1366)),Q1366,"")</f>
        <v/>
      </c>
      <c r="T1366">
        <f>IF(AND(Q1366&lt;&gt;"",ISNUMBER(F1366)),Q1366,"")</f>
        <v/>
      </c>
      <c r="U1366">
        <f>IF(AND(Q1366&lt;&gt;"",ISNUMBER(G1366)),Q1366,"")</f>
        <v/>
      </c>
      <c r="V1366">
        <f>IF(AND(Q1366&lt;&gt;"",ISNUMBER(H1366)),Q1366,"")</f>
        <v/>
      </c>
      <c r="W1366">
        <f>IF(AND(Q1366&lt;&gt;"",ISNUMBER(I1366)),Q1366,"")</f>
        <v/>
      </c>
      <c r="X1366">
        <f>IF(AND(Q1366&lt;&gt;"",ISNUMBER(J1366)),Q1366,"")</f>
        <v/>
      </c>
      <c r="Y1366">
        <f>IF(AND(Q1366&lt;&gt;"",ISNUMBER(K1366)),Q1366,"")</f>
        <v/>
      </c>
      <c r="Z1366">
        <f>IF(AND(Q1366&lt;&gt;"",ISNUMBER(L1366)),Q1366,"")</f>
        <v/>
      </c>
      <c r="AA1366">
        <f>IF(AND(Q1366&lt;&gt;"",ISNUMBER(M1366)),Q1366,"")</f>
        <v/>
      </c>
      <c r="AB1366">
        <f>IF(AND(Q1366&lt;&gt;"",ISNUMBER(K1366)),K1366,"")</f>
        <v/>
      </c>
      <c r="AC1366">
        <f>IF(AND(Q1366&lt;&gt;"",ISNUMBER(L1366)),L1366,"")</f>
        <v/>
      </c>
      <c r="AD1366">
        <f>IF(AND(Q1366&lt;&gt;"",ISNUMBER(M1366)),M1366,"")</f>
        <v/>
      </c>
    </row>
    <row r="1367">
      <c r="A1367" s="1" t="n"/>
      <c r="B1367" s="17" t="n"/>
      <c r="C1367" s="27" t="n"/>
      <c r="D1367" s="28" t="n"/>
      <c r="E1367" s="28" t="n"/>
      <c r="F1367" s="28" t="n"/>
      <c r="G1367" s="28" t="n"/>
      <c r="H1367" s="28" t="n"/>
      <c r="I1367" s="28" t="n"/>
      <c r="J1367" s="28" t="n"/>
      <c r="K1367" s="28" t="n"/>
      <c r="L1367" s="28" t="n"/>
      <c r="M1367" s="29" t="n"/>
      <c r="N1367" s="21" t="n"/>
      <c r="O1367" s="12">
        <f>IF(AND(B1367="",C1367=""),"",IF(NOT(ISNUMBER(B1367)),"Needs a date",IF(C1367="","Needs a client",IF(COUNTIF(Clients!$B$6:$B$105,C1367)=0,"Not on Clients",IF(COUNT(D1367:M1367)=0,"Nothing measured","")))))</f>
        <v/>
      </c>
      <c r="P1367" s="1">
        <f>IF(AND(O1367="",ISNUMBER(B1367)),INT(B1367),0)</f>
        <v/>
      </c>
      <c r="Q1367">
        <f>IF(AND(P1367&gt;0,C1367=Report!$C$5),P1367*10000+ROW(),"")</f>
        <v/>
      </c>
      <c r="R1367">
        <f>IF(AND(Q1367&lt;&gt;"",ISNUMBER(D1367)),Q1367,"")</f>
        <v/>
      </c>
      <c r="S1367">
        <f>IF(AND(Q1367&lt;&gt;"",ISNUMBER(E1367)),Q1367,"")</f>
        <v/>
      </c>
      <c r="T1367">
        <f>IF(AND(Q1367&lt;&gt;"",ISNUMBER(F1367)),Q1367,"")</f>
        <v/>
      </c>
      <c r="U1367">
        <f>IF(AND(Q1367&lt;&gt;"",ISNUMBER(G1367)),Q1367,"")</f>
        <v/>
      </c>
      <c r="V1367">
        <f>IF(AND(Q1367&lt;&gt;"",ISNUMBER(H1367)),Q1367,"")</f>
        <v/>
      </c>
      <c r="W1367">
        <f>IF(AND(Q1367&lt;&gt;"",ISNUMBER(I1367)),Q1367,"")</f>
        <v/>
      </c>
      <c r="X1367">
        <f>IF(AND(Q1367&lt;&gt;"",ISNUMBER(J1367)),Q1367,"")</f>
        <v/>
      </c>
      <c r="Y1367">
        <f>IF(AND(Q1367&lt;&gt;"",ISNUMBER(K1367)),Q1367,"")</f>
        <v/>
      </c>
      <c r="Z1367">
        <f>IF(AND(Q1367&lt;&gt;"",ISNUMBER(L1367)),Q1367,"")</f>
        <v/>
      </c>
      <c r="AA1367">
        <f>IF(AND(Q1367&lt;&gt;"",ISNUMBER(M1367)),Q1367,"")</f>
        <v/>
      </c>
      <c r="AB1367">
        <f>IF(AND(Q1367&lt;&gt;"",ISNUMBER(K1367)),K1367,"")</f>
        <v/>
      </c>
      <c r="AC1367">
        <f>IF(AND(Q1367&lt;&gt;"",ISNUMBER(L1367)),L1367,"")</f>
        <v/>
      </c>
      <c r="AD1367">
        <f>IF(AND(Q1367&lt;&gt;"",ISNUMBER(M1367)),M1367,"")</f>
        <v/>
      </c>
    </row>
    <row r="1368">
      <c r="A1368" s="1" t="n"/>
      <c r="B1368" s="17" t="n"/>
      <c r="C1368" s="27" t="n"/>
      <c r="D1368" s="28" t="n"/>
      <c r="E1368" s="28" t="n"/>
      <c r="F1368" s="28" t="n"/>
      <c r="G1368" s="28" t="n"/>
      <c r="H1368" s="28" t="n"/>
      <c r="I1368" s="28" t="n"/>
      <c r="J1368" s="28" t="n"/>
      <c r="K1368" s="28" t="n"/>
      <c r="L1368" s="28" t="n"/>
      <c r="M1368" s="29" t="n"/>
      <c r="N1368" s="21" t="n"/>
      <c r="O1368" s="12">
        <f>IF(AND(B1368="",C1368=""),"",IF(NOT(ISNUMBER(B1368)),"Needs a date",IF(C1368="","Needs a client",IF(COUNTIF(Clients!$B$6:$B$105,C1368)=0,"Not on Clients",IF(COUNT(D1368:M1368)=0,"Nothing measured","")))))</f>
        <v/>
      </c>
      <c r="P1368" s="1">
        <f>IF(AND(O1368="",ISNUMBER(B1368)),INT(B1368),0)</f>
        <v/>
      </c>
      <c r="Q1368">
        <f>IF(AND(P1368&gt;0,C1368=Report!$C$5),P1368*10000+ROW(),"")</f>
        <v/>
      </c>
      <c r="R1368">
        <f>IF(AND(Q1368&lt;&gt;"",ISNUMBER(D1368)),Q1368,"")</f>
        <v/>
      </c>
      <c r="S1368">
        <f>IF(AND(Q1368&lt;&gt;"",ISNUMBER(E1368)),Q1368,"")</f>
        <v/>
      </c>
      <c r="T1368">
        <f>IF(AND(Q1368&lt;&gt;"",ISNUMBER(F1368)),Q1368,"")</f>
        <v/>
      </c>
      <c r="U1368">
        <f>IF(AND(Q1368&lt;&gt;"",ISNUMBER(G1368)),Q1368,"")</f>
        <v/>
      </c>
      <c r="V1368">
        <f>IF(AND(Q1368&lt;&gt;"",ISNUMBER(H1368)),Q1368,"")</f>
        <v/>
      </c>
      <c r="W1368">
        <f>IF(AND(Q1368&lt;&gt;"",ISNUMBER(I1368)),Q1368,"")</f>
        <v/>
      </c>
      <c r="X1368">
        <f>IF(AND(Q1368&lt;&gt;"",ISNUMBER(J1368)),Q1368,"")</f>
        <v/>
      </c>
      <c r="Y1368">
        <f>IF(AND(Q1368&lt;&gt;"",ISNUMBER(K1368)),Q1368,"")</f>
        <v/>
      </c>
      <c r="Z1368">
        <f>IF(AND(Q1368&lt;&gt;"",ISNUMBER(L1368)),Q1368,"")</f>
        <v/>
      </c>
      <c r="AA1368">
        <f>IF(AND(Q1368&lt;&gt;"",ISNUMBER(M1368)),Q1368,"")</f>
        <v/>
      </c>
      <c r="AB1368">
        <f>IF(AND(Q1368&lt;&gt;"",ISNUMBER(K1368)),K1368,"")</f>
        <v/>
      </c>
      <c r="AC1368">
        <f>IF(AND(Q1368&lt;&gt;"",ISNUMBER(L1368)),L1368,"")</f>
        <v/>
      </c>
      <c r="AD1368">
        <f>IF(AND(Q1368&lt;&gt;"",ISNUMBER(M1368)),M1368,"")</f>
        <v/>
      </c>
    </row>
    <row r="1369">
      <c r="A1369" s="1" t="n"/>
      <c r="B1369" s="17" t="n"/>
      <c r="C1369" s="27" t="n"/>
      <c r="D1369" s="28" t="n"/>
      <c r="E1369" s="28" t="n"/>
      <c r="F1369" s="28" t="n"/>
      <c r="G1369" s="28" t="n"/>
      <c r="H1369" s="28" t="n"/>
      <c r="I1369" s="28" t="n"/>
      <c r="J1369" s="28" t="n"/>
      <c r="K1369" s="28" t="n"/>
      <c r="L1369" s="28" t="n"/>
      <c r="M1369" s="29" t="n"/>
      <c r="N1369" s="21" t="n"/>
      <c r="O1369" s="12">
        <f>IF(AND(B1369="",C1369=""),"",IF(NOT(ISNUMBER(B1369)),"Needs a date",IF(C1369="","Needs a client",IF(COUNTIF(Clients!$B$6:$B$105,C1369)=0,"Not on Clients",IF(COUNT(D1369:M1369)=0,"Nothing measured","")))))</f>
        <v/>
      </c>
      <c r="P1369" s="1">
        <f>IF(AND(O1369="",ISNUMBER(B1369)),INT(B1369),0)</f>
        <v/>
      </c>
      <c r="Q1369">
        <f>IF(AND(P1369&gt;0,C1369=Report!$C$5),P1369*10000+ROW(),"")</f>
        <v/>
      </c>
      <c r="R1369">
        <f>IF(AND(Q1369&lt;&gt;"",ISNUMBER(D1369)),Q1369,"")</f>
        <v/>
      </c>
      <c r="S1369">
        <f>IF(AND(Q1369&lt;&gt;"",ISNUMBER(E1369)),Q1369,"")</f>
        <v/>
      </c>
      <c r="T1369">
        <f>IF(AND(Q1369&lt;&gt;"",ISNUMBER(F1369)),Q1369,"")</f>
        <v/>
      </c>
      <c r="U1369">
        <f>IF(AND(Q1369&lt;&gt;"",ISNUMBER(G1369)),Q1369,"")</f>
        <v/>
      </c>
      <c r="V1369">
        <f>IF(AND(Q1369&lt;&gt;"",ISNUMBER(H1369)),Q1369,"")</f>
        <v/>
      </c>
      <c r="W1369">
        <f>IF(AND(Q1369&lt;&gt;"",ISNUMBER(I1369)),Q1369,"")</f>
        <v/>
      </c>
      <c r="X1369">
        <f>IF(AND(Q1369&lt;&gt;"",ISNUMBER(J1369)),Q1369,"")</f>
        <v/>
      </c>
      <c r="Y1369">
        <f>IF(AND(Q1369&lt;&gt;"",ISNUMBER(K1369)),Q1369,"")</f>
        <v/>
      </c>
      <c r="Z1369">
        <f>IF(AND(Q1369&lt;&gt;"",ISNUMBER(L1369)),Q1369,"")</f>
        <v/>
      </c>
      <c r="AA1369">
        <f>IF(AND(Q1369&lt;&gt;"",ISNUMBER(M1369)),Q1369,"")</f>
        <v/>
      </c>
      <c r="AB1369">
        <f>IF(AND(Q1369&lt;&gt;"",ISNUMBER(K1369)),K1369,"")</f>
        <v/>
      </c>
      <c r="AC1369">
        <f>IF(AND(Q1369&lt;&gt;"",ISNUMBER(L1369)),L1369,"")</f>
        <v/>
      </c>
      <c r="AD1369">
        <f>IF(AND(Q1369&lt;&gt;"",ISNUMBER(M1369)),M1369,"")</f>
        <v/>
      </c>
    </row>
    <row r="1370">
      <c r="A1370" s="1" t="n"/>
      <c r="B1370" s="17" t="n"/>
      <c r="C1370" s="27" t="n"/>
      <c r="D1370" s="28" t="n"/>
      <c r="E1370" s="28" t="n"/>
      <c r="F1370" s="28" t="n"/>
      <c r="G1370" s="28" t="n"/>
      <c r="H1370" s="28" t="n"/>
      <c r="I1370" s="28" t="n"/>
      <c r="J1370" s="28" t="n"/>
      <c r="K1370" s="28" t="n"/>
      <c r="L1370" s="28" t="n"/>
      <c r="M1370" s="29" t="n"/>
      <c r="N1370" s="21" t="n"/>
      <c r="O1370" s="12">
        <f>IF(AND(B1370="",C1370=""),"",IF(NOT(ISNUMBER(B1370)),"Needs a date",IF(C1370="","Needs a client",IF(COUNTIF(Clients!$B$6:$B$105,C1370)=0,"Not on Clients",IF(COUNT(D1370:M1370)=0,"Nothing measured","")))))</f>
        <v/>
      </c>
      <c r="P1370" s="1">
        <f>IF(AND(O1370="",ISNUMBER(B1370)),INT(B1370),0)</f>
        <v/>
      </c>
      <c r="Q1370">
        <f>IF(AND(P1370&gt;0,C1370=Report!$C$5),P1370*10000+ROW(),"")</f>
        <v/>
      </c>
      <c r="R1370">
        <f>IF(AND(Q1370&lt;&gt;"",ISNUMBER(D1370)),Q1370,"")</f>
        <v/>
      </c>
      <c r="S1370">
        <f>IF(AND(Q1370&lt;&gt;"",ISNUMBER(E1370)),Q1370,"")</f>
        <v/>
      </c>
      <c r="T1370">
        <f>IF(AND(Q1370&lt;&gt;"",ISNUMBER(F1370)),Q1370,"")</f>
        <v/>
      </c>
      <c r="U1370">
        <f>IF(AND(Q1370&lt;&gt;"",ISNUMBER(G1370)),Q1370,"")</f>
        <v/>
      </c>
      <c r="V1370">
        <f>IF(AND(Q1370&lt;&gt;"",ISNUMBER(H1370)),Q1370,"")</f>
        <v/>
      </c>
      <c r="W1370">
        <f>IF(AND(Q1370&lt;&gt;"",ISNUMBER(I1370)),Q1370,"")</f>
        <v/>
      </c>
      <c r="X1370">
        <f>IF(AND(Q1370&lt;&gt;"",ISNUMBER(J1370)),Q1370,"")</f>
        <v/>
      </c>
      <c r="Y1370">
        <f>IF(AND(Q1370&lt;&gt;"",ISNUMBER(K1370)),Q1370,"")</f>
        <v/>
      </c>
      <c r="Z1370">
        <f>IF(AND(Q1370&lt;&gt;"",ISNUMBER(L1370)),Q1370,"")</f>
        <v/>
      </c>
      <c r="AA1370">
        <f>IF(AND(Q1370&lt;&gt;"",ISNUMBER(M1370)),Q1370,"")</f>
        <v/>
      </c>
      <c r="AB1370">
        <f>IF(AND(Q1370&lt;&gt;"",ISNUMBER(K1370)),K1370,"")</f>
        <v/>
      </c>
      <c r="AC1370">
        <f>IF(AND(Q1370&lt;&gt;"",ISNUMBER(L1370)),L1370,"")</f>
        <v/>
      </c>
      <c r="AD1370">
        <f>IF(AND(Q1370&lt;&gt;"",ISNUMBER(M1370)),M1370,"")</f>
        <v/>
      </c>
    </row>
    <row r="1371">
      <c r="A1371" s="1" t="n"/>
      <c r="B1371" s="17" t="n"/>
      <c r="C1371" s="27" t="n"/>
      <c r="D1371" s="28" t="n"/>
      <c r="E1371" s="28" t="n"/>
      <c r="F1371" s="28" t="n"/>
      <c r="G1371" s="28" t="n"/>
      <c r="H1371" s="28" t="n"/>
      <c r="I1371" s="28" t="n"/>
      <c r="J1371" s="28" t="n"/>
      <c r="K1371" s="28" t="n"/>
      <c r="L1371" s="28" t="n"/>
      <c r="M1371" s="29" t="n"/>
      <c r="N1371" s="21" t="n"/>
      <c r="O1371" s="12">
        <f>IF(AND(B1371="",C1371=""),"",IF(NOT(ISNUMBER(B1371)),"Needs a date",IF(C1371="","Needs a client",IF(COUNTIF(Clients!$B$6:$B$105,C1371)=0,"Not on Clients",IF(COUNT(D1371:M1371)=0,"Nothing measured","")))))</f>
        <v/>
      </c>
      <c r="P1371" s="1">
        <f>IF(AND(O1371="",ISNUMBER(B1371)),INT(B1371),0)</f>
        <v/>
      </c>
      <c r="Q1371">
        <f>IF(AND(P1371&gt;0,C1371=Report!$C$5),P1371*10000+ROW(),"")</f>
        <v/>
      </c>
      <c r="R1371">
        <f>IF(AND(Q1371&lt;&gt;"",ISNUMBER(D1371)),Q1371,"")</f>
        <v/>
      </c>
      <c r="S1371">
        <f>IF(AND(Q1371&lt;&gt;"",ISNUMBER(E1371)),Q1371,"")</f>
        <v/>
      </c>
      <c r="T1371">
        <f>IF(AND(Q1371&lt;&gt;"",ISNUMBER(F1371)),Q1371,"")</f>
        <v/>
      </c>
      <c r="U1371">
        <f>IF(AND(Q1371&lt;&gt;"",ISNUMBER(G1371)),Q1371,"")</f>
        <v/>
      </c>
      <c r="V1371">
        <f>IF(AND(Q1371&lt;&gt;"",ISNUMBER(H1371)),Q1371,"")</f>
        <v/>
      </c>
      <c r="W1371">
        <f>IF(AND(Q1371&lt;&gt;"",ISNUMBER(I1371)),Q1371,"")</f>
        <v/>
      </c>
      <c r="X1371">
        <f>IF(AND(Q1371&lt;&gt;"",ISNUMBER(J1371)),Q1371,"")</f>
        <v/>
      </c>
      <c r="Y1371">
        <f>IF(AND(Q1371&lt;&gt;"",ISNUMBER(K1371)),Q1371,"")</f>
        <v/>
      </c>
      <c r="Z1371">
        <f>IF(AND(Q1371&lt;&gt;"",ISNUMBER(L1371)),Q1371,"")</f>
        <v/>
      </c>
      <c r="AA1371">
        <f>IF(AND(Q1371&lt;&gt;"",ISNUMBER(M1371)),Q1371,"")</f>
        <v/>
      </c>
      <c r="AB1371">
        <f>IF(AND(Q1371&lt;&gt;"",ISNUMBER(K1371)),K1371,"")</f>
        <v/>
      </c>
      <c r="AC1371">
        <f>IF(AND(Q1371&lt;&gt;"",ISNUMBER(L1371)),L1371,"")</f>
        <v/>
      </c>
      <c r="AD1371">
        <f>IF(AND(Q1371&lt;&gt;"",ISNUMBER(M1371)),M1371,"")</f>
        <v/>
      </c>
    </row>
    <row r="1372">
      <c r="A1372" s="1" t="n"/>
      <c r="B1372" s="17" t="n"/>
      <c r="C1372" s="27" t="n"/>
      <c r="D1372" s="28" t="n"/>
      <c r="E1372" s="28" t="n"/>
      <c r="F1372" s="28" t="n"/>
      <c r="G1372" s="28" t="n"/>
      <c r="H1372" s="28" t="n"/>
      <c r="I1372" s="28" t="n"/>
      <c r="J1372" s="28" t="n"/>
      <c r="K1372" s="28" t="n"/>
      <c r="L1372" s="28" t="n"/>
      <c r="M1372" s="29" t="n"/>
      <c r="N1372" s="21" t="n"/>
      <c r="O1372" s="12">
        <f>IF(AND(B1372="",C1372=""),"",IF(NOT(ISNUMBER(B1372)),"Needs a date",IF(C1372="","Needs a client",IF(COUNTIF(Clients!$B$6:$B$105,C1372)=0,"Not on Clients",IF(COUNT(D1372:M1372)=0,"Nothing measured","")))))</f>
        <v/>
      </c>
      <c r="P1372" s="1">
        <f>IF(AND(O1372="",ISNUMBER(B1372)),INT(B1372),0)</f>
        <v/>
      </c>
      <c r="Q1372">
        <f>IF(AND(P1372&gt;0,C1372=Report!$C$5),P1372*10000+ROW(),"")</f>
        <v/>
      </c>
      <c r="R1372">
        <f>IF(AND(Q1372&lt;&gt;"",ISNUMBER(D1372)),Q1372,"")</f>
        <v/>
      </c>
      <c r="S1372">
        <f>IF(AND(Q1372&lt;&gt;"",ISNUMBER(E1372)),Q1372,"")</f>
        <v/>
      </c>
      <c r="T1372">
        <f>IF(AND(Q1372&lt;&gt;"",ISNUMBER(F1372)),Q1372,"")</f>
        <v/>
      </c>
      <c r="U1372">
        <f>IF(AND(Q1372&lt;&gt;"",ISNUMBER(G1372)),Q1372,"")</f>
        <v/>
      </c>
      <c r="V1372">
        <f>IF(AND(Q1372&lt;&gt;"",ISNUMBER(H1372)),Q1372,"")</f>
        <v/>
      </c>
      <c r="W1372">
        <f>IF(AND(Q1372&lt;&gt;"",ISNUMBER(I1372)),Q1372,"")</f>
        <v/>
      </c>
      <c r="X1372">
        <f>IF(AND(Q1372&lt;&gt;"",ISNUMBER(J1372)),Q1372,"")</f>
        <v/>
      </c>
      <c r="Y1372">
        <f>IF(AND(Q1372&lt;&gt;"",ISNUMBER(K1372)),Q1372,"")</f>
        <v/>
      </c>
      <c r="Z1372">
        <f>IF(AND(Q1372&lt;&gt;"",ISNUMBER(L1372)),Q1372,"")</f>
        <v/>
      </c>
      <c r="AA1372">
        <f>IF(AND(Q1372&lt;&gt;"",ISNUMBER(M1372)),Q1372,"")</f>
        <v/>
      </c>
      <c r="AB1372">
        <f>IF(AND(Q1372&lt;&gt;"",ISNUMBER(K1372)),K1372,"")</f>
        <v/>
      </c>
      <c r="AC1372">
        <f>IF(AND(Q1372&lt;&gt;"",ISNUMBER(L1372)),L1372,"")</f>
        <v/>
      </c>
      <c r="AD1372">
        <f>IF(AND(Q1372&lt;&gt;"",ISNUMBER(M1372)),M1372,"")</f>
        <v/>
      </c>
    </row>
    <row r="1373">
      <c r="A1373" s="1" t="n"/>
      <c r="B1373" s="17" t="n"/>
      <c r="C1373" s="27" t="n"/>
      <c r="D1373" s="28" t="n"/>
      <c r="E1373" s="28" t="n"/>
      <c r="F1373" s="28" t="n"/>
      <c r="G1373" s="28" t="n"/>
      <c r="H1373" s="28" t="n"/>
      <c r="I1373" s="28" t="n"/>
      <c r="J1373" s="28" t="n"/>
      <c r="K1373" s="28" t="n"/>
      <c r="L1373" s="28" t="n"/>
      <c r="M1373" s="29" t="n"/>
      <c r="N1373" s="21" t="n"/>
      <c r="O1373" s="12">
        <f>IF(AND(B1373="",C1373=""),"",IF(NOT(ISNUMBER(B1373)),"Needs a date",IF(C1373="","Needs a client",IF(COUNTIF(Clients!$B$6:$B$105,C1373)=0,"Not on Clients",IF(COUNT(D1373:M1373)=0,"Nothing measured","")))))</f>
        <v/>
      </c>
      <c r="P1373" s="1">
        <f>IF(AND(O1373="",ISNUMBER(B1373)),INT(B1373),0)</f>
        <v/>
      </c>
      <c r="Q1373">
        <f>IF(AND(P1373&gt;0,C1373=Report!$C$5),P1373*10000+ROW(),"")</f>
        <v/>
      </c>
      <c r="R1373">
        <f>IF(AND(Q1373&lt;&gt;"",ISNUMBER(D1373)),Q1373,"")</f>
        <v/>
      </c>
      <c r="S1373">
        <f>IF(AND(Q1373&lt;&gt;"",ISNUMBER(E1373)),Q1373,"")</f>
        <v/>
      </c>
      <c r="T1373">
        <f>IF(AND(Q1373&lt;&gt;"",ISNUMBER(F1373)),Q1373,"")</f>
        <v/>
      </c>
      <c r="U1373">
        <f>IF(AND(Q1373&lt;&gt;"",ISNUMBER(G1373)),Q1373,"")</f>
        <v/>
      </c>
      <c r="V1373">
        <f>IF(AND(Q1373&lt;&gt;"",ISNUMBER(H1373)),Q1373,"")</f>
        <v/>
      </c>
      <c r="W1373">
        <f>IF(AND(Q1373&lt;&gt;"",ISNUMBER(I1373)),Q1373,"")</f>
        <v/>
      </c>
      <c r="X1373">
        <f>IF(AND(Q1373&lt;&gt;"",ISNUMBER(J1373)),Q1373,"")</f>
        <v/>
      </c>
      <c r="Y1373">
        <f>IF(AND(Q1373&lt;&gt;"",ISNUMBER(K1373)),Q1373,"")</f>
        <v/>
      </c>
      <c r="Z1373">
        <f>IF(AND(Q1373&lt;&gt;"",ISNUMBER(L1373)),Q1373,"")</f>
        <v/>
      </c>
      <c r="AA1373">
        <f>IF(AND(Q1373&lt;&gt;"",ISNUMBER(M1373)),Q1373,"")</f>
        <v/>
      </c>
      <c r="AB1373">
        <f>IF(AND(Q1373&lt;&gt;"",ISNUMBER(K1373)),K1373,"")</f>
        <v/>
      </c>
      <c r="AC1373">
        <f>IF(AND(Q1373&lt;&gt;"",ISNUMBER(L1373)),L1373,"")</f>
        <v/>
      </c>
      <c r="AD1373">
        <f>IF(AND(Q1373&lt;&gt;"",ISNUMBER(M1373)),M1373,"")</f>
        <v/>
      </c>
    </row>
    <row r="1374">
      <c r="A1374" s="1" t="n"/>
      <c r="B1374" s="17" t="n"/>
      <c r="C1374" s="27" t="n"/>
      <c r="D1374" s="28" t="n"/>
      <c r="E1374" s="28" t="n"/>
      <c r="F1374" s="28" t="n"/>
      <c r="G1374" s="28" t="n"/>
      <c r="H1374" s="28" t="n"/>
      <c r="I1374" s="28" t="n"/>
      <c r="J1374" s="28" t="n"/>
      <c r="K1374" s="28" t="n"/>
      <c r="L1374" s="28" t="n"/>
      <c r="M1374" s="29" t="n"/>
      <c r="N1374" s="21" t="n"/>
      <c r="O1374" s="12">
        <f>IF(AND(B1374="",C1374=""),"",IF(NOT(ISNUMBER(B1374)),"Needs a date",IF(C1374="","Needs a client",IF(COUNTIF(Clients!$B$6:$B$105,C1374)=0,"Not on Clients",IF(COUNT(D1374:M1374)=0,"Nothing measured","")))))</f>
        <v/>
      </c>
      <c r="P1374" s="1">
        <f>IF(AND(O1374="",ISNUMBER(B1374)),INT(B1374),0)</f>
        <v/>
      </c>
      <c r="Q1374">
        <f>IF(AND(P1374&gt;0,C1374=Report!$C$5),P1374*10000+ROW(),"")</f>
        <v/>
      </c>
      <c r="R1374">
        <f>IF(AND(Q1374&lt;&gt;"",ISNUMBER(D1374)),Q1374,"")</f>
        <v/>
      </c>
      <c r="S1374">
        <f>IF(AND(Q1374&lt;&gt;"",ISNUMBER(E1374)),Q1374,"")</f>
        <v/>
      </c>
      <c r="T1374">
        <f>IF(AND(Q1374&lt;&gt;"",ISNUMBER(F1374)),Q1374,"")</f>
        <v/>
      </c>
      <c r="U1374">
        <f>IF(AND(Q1374&lt;&gt;"",ISNUMBER(G1374)),Q1374,"")</f>
        <v/>
      </c>
      <c r="V1374">
        <f>IF(AND(Q1374&lt;&gt;"",ISNUMBER(H1374)),Q1374,"")</f>
        <v/>
      </c>
      <c r="W1374">
        <f>IF(AND(Q1374&lt;&gt;"",ISNUMBER(I1374)),Q1374,"")</f>
        <v/>
      </c>
      <c r="X1374">
        <f>IF(AND(Q1374&lt;&gt;"",ISNUMBER(J1374)),Q1374,"")</f>
        <v/>
      </c>
      <c r="Y1374">
        <f>IF(AND(Q1374&lt;&gt;"",ISNUMBER(K1374)),Q1374,"")</f>
        <v/>
      </c>
      <c r="Z1374">
        <f>IF(AND(Q1374&lt;&gt;"",ISNUMBER(L1374)),Q1374,"")</f>
        <v/>
      </c>
      <c r="AA1374">
        <f>IF(AND(Q1374&lt;&gt;"",ISNUMBER(M1374)),Q1374,"")</f>
        <v/>
      </c>
      <c r="AB1374">
        <f>IF(AND(Q1374&lt;&gt;"",ISNUMBER(K1374)),K1374,"")</f>
        <v/>
      </c>
      <c r="AC1374">
        <f>IF(AND(Q1374&lt;&gt;"",ISNUMBER(L1374)),L1374,"")</f>
        <v/>
      </c>
      <c r="AD1374">
        <f>IF(AND(Q1374&lt;&gt;"",ISNUMBER(M1374)),M1374,"")</f>
        <v/>
      </c>
    </row>
    <row r="1375">
      <c r="A1375" s="1" t="n"/>
      <c r="B1375" s="17" t="n"/>
      <c r="C1375" s="27" t="n"/>
      <c r="D1375" s="28" t="n"/>
      <c r="E1375" s="28" t="n"/>
      <c r="F1375" s="28" t="n"/>
      <c r="G1375" s="28" t="n"/>
      <c r="H1375" s="28" t="n"/>
      <c r="I1375" s="28" t="n"/>
      <c r="J1375" s="28" t="n"/>
      <c r="K1375" s="28" t="n"/>
      <c r="L1375" s="28" t="n"/>
      <c r="M1375" s="29" t="n"/>
      <c r="N1375" s="21" t="n"/>
      <c r="O1375" s="12">
        <f>IF(AND(B1375="",C1375=""),"",IF(NOT(ISNUMBER(B1375)),"Needs a date",IF(C1375="","Needs a client",IF(COUNTIF(Clients!$B$6:$B$105,C1375)=0,"Not on Clients",IF(COUNT(D1375:M1375)=0,"Nothing measured","")))))</f>
        <v/>
      </c>
      <c r="P1375" s="1">
        <f>IF(AND(O1375="",ISNUMBER(B1375)),INT(B1375),0)</f>
        <v/>
      </c>
      <c r="Q1375">
        <f>IF(AND(P1375&gt;0,C1375=Report!$C$5),P1375*10000+ROW(),"")</f>
        <v/>
      </c>
      <c r="R1375">
        <f>IF(AND(Q1375&lt;&gt;"",ISNUMBER(D1375)),Q1375,"")</f>
        <v/>
      </c>
      <c r="S1375">
        <f>IF(AND(Q1375&lt;&gt;"",ISNUMBER(E1375)),Q1375,"")</f>
        <v/>
      </c>
      <c r="T1375">
        <f>IF(AND(Q1375&lt;&gt;"",ISNUMBER(F1375)),Q1375,"")</f>
        <v/>
      </c>
      <c r="U1375">
        <f>IF(AND(Q1375&lt;&gt;"",ISNUMBER(G1375)),Q1375,"")</f>
        <v/>
      </c>
      <c r="V1375">
        <f>IF(AND(Q1375&lt;&gt;"",ISNUMBER(H1375)),Q1375,"")</f>
        <v/>
      </c>
      <c r="W1375">
        <f>IF(AND(Q1375&lt;&gt;"",ISNUMBER(I1375)),Q1375,"")</f>
        <v/>
      </c>
      <c r="X1375">
        <f>IF(AND(Q1375&lt;&gt;"",ISNUMBER(J1375)),Q1375,"")</f>
        <v/>
      </c>
      <c r="Y1375">
        <f>IF(AND(Q1375&lt;&gt;"",ISNUMBER(K1375)),Q1375,"")</f>
        <v/>
      </c>
      <c r="Z1375">
        <f>IF(AND(Q1375&lt;&gt;"",ISNUMBER(L1375)),Q1375,"")</f>
        <v/>
      </c>
      <c r="AA1375">
        <f>IF(AND(Q1375&lt;&gt;"",ISNUMBER(M1375)),Q1375,"")</f>
        <v/>
      </c>
      <c r="AB1375">
        <f>IF(AND(Q1375&lt;&gt;"",ISNUMBER(K1375)),K1375,"")</f>
        <v/>
      </c>
      <c r="AC1375">
        <f>IF(AND(Q1375&lt;&gt;"",ISNUMBER(L1375)),L1375,"")</f>
        <v/>
      </c>
      <c r="AD1375">
        <f>IF(AND(Q1375&lt;&gt;"",ISNUMBER(M1375)),M1375,"")</f>
        <v/>
      </c>
    </row>
    <row r="1376">
      <c r="A1376" s="1" t="n"/>
      <c r="B1376" s="17" t="n"/>
      <c r="C1376" s="27" t="n"/>
      <c r="D1376" s="28" t="n"/>
      <c r="E1376" s="28" t="n"/>
      <c r="F1376" s="28" t="n"/>
      <c r="G1376" s="28" t="n"/>
      <c r="H1376" s="28" t="n"/>
      <c r="I1376" s="28" t="n"/>
      <c r="J1376" s="28" t="n"/>
      <c r="K1376" s="28" t="n"/>
      <c r="L1376" s="28" t="n"/>
      <c r="M1376" s="29" t="n"/>
      <c r="N1376" s="21" t="n"/>
      <c r="O1376" s="12">
        <f>IF(AND(B1376="",C1376=""),"",IF(NOT(ISNUMBER(B1376)),"Needs a date",IF(C1376="","Needs a client",IF(COUNTIF(Clients!$B$6:$B$105,C1376)=0,"Not on Clients",IF(COUNT(D1376:M1376)=0,"Nothing measured","")))))</f>
        <v/>
      </c>
      <c r="P1376" s="1">
        <f>IF(AND(O1376="",ISNUMBER(B1376)),INT(B1376),0)</f>
        <v/>
      </c>
      <c r="Q1376">
        <f>IF(AND(P1376&gt;0,C1376=Report!$C$5),P1376*10000+ROW(),"")</f>
        <v/>
      </c>
      <c r="R1376">
        <f>IF(AND(Q1376&lt;&gt;"",ISNUMBER(D1376)),Q1376,"")</f>
        <v/>
      </c>
      <c r="S1376">
        <f>IF(AND(Q1376&lt;&gt;"",ISNUMBER(E1376)),Q1376,"")</f>
        <v/>
      </c>
      <c r="T1376">
        <f>IF(AND(Q1376&lt;&gt;"",ISNUMBER(F1376)),Q1376,"")</f>
        <v/>
      </c>
      <c r="U1376">
        <f>IF(AND(Q1376&lt;&gt;"",ISNUMBER(G1376)),Q1376,"")</f>
        <v/>
      </c>
      <c r="V1376">
        <f>IF(AND(Q1376&lt;&gt;"",ISNUMBER(H1376)),Q1376,"")</f>
        <v/>
      </c>
      <c r="W1376">
        <f>IF(AND(Q1376&lt;&gt;"",ISNUMBER(I1376)),Q1376,"")</f>
        <v/>
      </c>
      <c r="X1376">
        <f>IF(AND(Q1376&lt;&gt;"",ISNUMBER(J1376)),Q1376,"")</f>
        <v/>
      </c>
      <c r="Y1376">
        <f>IF(AND(Q1376&lt;&gt;"",ISNUMBER(K1376)),Q1376,"")</f>
        <v/>
      </c>
      <c r="Z1376">
        <f>IF(AND(Q1376&lt;&gt;"",ISNUMBER(L1376)),Q1376,"")</f>
        <v/>
      </c>
      <c r="AA1376">
        <f>IF(AND(Q1376&lt;&gt;"",ISNUMBER(M1376)),Q1376,"")</f>
        <v/>
      </c>
      <c r="AB1376">
        <f>IF(AND(Q1376&lt;&gt;"",ISNUMBER(K1376)),K1376,"")</f>
        <v/>
      </c>
      <c r="AC1376">
        <f>IF(AND(Q1376&lt;&gt;"",ISNUMBER(L1376)),L1376,"")</f>
        <v/>
      </c>
      <c r="AD1376">
        <f>IF(AND(Q1376&lt;&gt;"",ISNUMBER(M1376)),M1376,"")</f>
        <v/>
      </c>
    </row>
    <row r="1377">
      <c r="A1377" s="1" t="n"/>
      <c r="B1377" s="17" t="n"/>
      <c r="C1377" s="27" t="n"/>
      <c r="D1377" s="28" t="n"/>
      <c r="E1377" s="28" t="n"/>
      <c r="F1377" s="28" t="n"/>
      <c r="G1377" s="28" t="n"/>
      <c r="H1377" s="28" t="n"/>
      <c r="I1377" s="28" t="n"/>
      <c r="J1377" s="28" t="n"/>
      <c r="K1377" s="28" t="n"/>
      <c r="L1377" s="28" t="n"/>
      <c r="M1377" s="29" t="n"/>
      <c r="N1377" s="21" t="n"/>
      <c r="O1377" s="12">
        <f>IF(AND(B1377="",C1377=""),"",IF(NOT(ISNUMBER(B1377)),"Needs a date",IF(C1377="","Needs a client",IF(COUNTIF(Clients!$B$6:$B$105,C1377)=0,"Not on Clients",IF(COUNT(D1377:M1377)=0,"Nothing measured","")))))</f>
        <v/>
      </c>
      <c r="P1377" s="1">
        <f>IF(AND(O1377="",ISNUMBER(B1377)),INT(B1377),0)</f>
        <v/>
      </c>
      <c r="Q1377">
        <f>IF(AND(P1377&gt;0,C1377=Report!$C$5),P1377*10000+ROW(),"")</f>
        <v/>
      </c>
      <c r="R1377">
        <f>IF(AND(Q1377&lt;&gt;"",ISNUMBER(D1377)),Q1377,"")</f>
        <v/>
      </c>
      <c r="S1377">
        <f>IF(AND(Q1377&lt;&gt;"",ISNUMBER(E1377)),Q1377,"")</f>
        <v/>
      </c>
      <c r="T1377">
        <f>IF(AND(Q1377&lt;&gt;"",ISNUMBER(F1377)),Q1377,"")</f>
        <v/>
      </c>
      <c r="U1377">
        <f>IF(AND(Q1377&lt;&gt;"",ISNUMBER(G1377)),Q1377,"")</f>
        <v/>
      </c>
      <c r="V1377">
        <f>IF(AND(Q1377&lt;&gt;"",ISNUMBER(H1377)),Q1377,"")</f>
        <v/>
      </c>
      <c r="W1377">
        <f>IF(AND(Q1377&lt;&gt;"",ISNUMBER(I1377)),Q1377,"")</f>
        <v/>
      </c>
      <c r="X1377">
        <f>IF(AND(Q1377&lt;&gt;"",ISNUMBER(J1377)),Q1377,"")</f>
        <v/>
      </c>
      <c r="Y1377">
        <f>IF(AND(Q1377&lt;&gt;"",ISNUMBER(K1377)),Q1377,"")</f>
        <v/>
      </c>
      <c r="Z1377">
        <f>IF(AND(Q1377&lt;&gt;"",ISNUMBER(L1377)),Q1377,"")</f>
        <v/>
      </c>
      <c r="AA1377">
        <f>IF(AND(Q1377&lt;&gt;"",ISNUMBER(M1377)),Q1377,"")</f>
        <v/>
      </c>
      <c r="AB1377">
        <f>IF(AND(Q1377&lt;&gt;"",ISNUMBER(K1377)),K1377,"")</f>
        <v/>
      </c>
      <c r="AC1377">
        <f>IF(AND(Q1377&lt;&gt;"",ISNUMBER(L1377)),L1377,"")</f>
        <v/>
      </c>
      <c r="AD1377">
        <f>IF(AND(Q1377&lt;&gt;"",ISNUMBER(M1377)),M1377,"")</f>
        <v/>
      </c>
    </row>
    <row r="1378">
      <c r="A1378" s="1" t="n"/>
      <c r="B1378" s="17" t="n"/>
      <c r="C1378" s="27" t="n"/>
      <c r="D1378" s="28" t="n"/>
      <c r="E1378" s="28" t="n"/>
      <c r="F1378" s="28" t="n"/>
      <c r="G1378" s="28" t="n"/>
      <c r="H1378" s="28" t="n"/>
      <c r="I1378" s="28" t="n"/>
      <c r="J1378" s="28" t="n"/>
      <c r="K1378" s="28" t="n"/>
      <c r="L1378" s="28" t="n"/>
      <c r="M1378" s="29" t="n"/>
      <c r="N1378" s="21" t="n"/>
      <c r="O1378" s="12">
        <f>IF(AND(B1378="",C1378=""),"",IF(NOT(ISNUMBER(B1378)),"Needs a date",IF(C1378="","Needs a client",IF(COUNTIF(Clients!$B$6:$B$105,C1378)=0,"Not on Clients",IF(COUNT(D1378:M1378)=0,"Nothing measured","")))))</f>
        <v/>
      </c>
      <c r="P1378" s="1">
        <f>IF(AND(O1378="",ISNUMBER(B1378)),INT(B1378),0)</f>
        <v/>
      </c>
      <c r="Q1378">
        <f>IF(AND(P1378&gt;0,C1378=Report!$C$5),P1378*10000+ROW(),"")</f>
        <v/>
      </c>
      <c r="R1378">
        <f>IF(AND(Q1378&lt;&gt;"",ISNUMBER(D1378)),Q1378,"")</f>
        <v/>
      </c>
      <c r="S1378">
        <f>IF(AND(Q1378&lt;&gt;"",ISNUMBER(E1378)),Q1378,"")</f>
        <v/>
      </c>
      <c r="T1378">
        <f>IF(AND(Q1378&lt;&gt;"",ISNUMBER(F1378)),Q1378,"")</f>
        <v/>
      </c>
      <c r="U1378">
        <f>IF(AND(Q1378&lt;&gt;"",ISNUMBER(G1378)),Q1378,"")</f>
        <v/>
      </c>
      <c r="V1378">
        <f>IF(AND(Q1378&lt;&gt;"",ISNUMBER(H1378)),Q1378,"")</f>
        <v/>
      </c>
      <c r="W1378">
        <f>IF(AND(Q1378&lt;&gt;"",ISNUMBER(I1378)),Q1378,"")</f>
        <v/>
      </c>
      <c r="X1378">
        <f>IF(AND(Q1378&lt;&gt;"",ISNUMBER(J1378)),Q1378,"")</f>
        <v/>
      </c>
      <c r="Y1378">
        <f>IF(AND(Q1378&lt;&gt;"",ISNUMBER(K1378)),Q1378,"")</f>
        <v/>
      </c>
      <c r="Z1378">
        <f>IF(AND(Q1378&lt;&gt;"",ISNUMBER(L1378)),Q1378,"")</f>
        <v/>
      </c>
      <c r="AA1378">
        <f>IF(AND(Q1378&lt;&gt;"",ISNUMBER(M1378)),Q1378,"")</f>
        <v/>
      </c>
      <c r="AB1378">
        <f>IF(AND(Q1378&lt;&gt;"",ISNUMBER(K1378)),K1378,"")</f>
        <v/>
      </c>
      <c r="AC1378">
        <f>IF(AND(Q1378&lt;&gt;"",ISNUMBER(L1378)),L1378,"")</f>
        <v/>
      </c>
      <c r="AD1378">
        <f>IF(AND(Q1378&lt;&gt;"",ISNUMBER(M1378)),M1378,"")</f>
        <v/>
      </c>
    </row>
    <row r="1379">
      <c r="A1379" s="1" t="n"/>
      <c r="B1379" s="17" t="n"/>
      <c r="C1379" s="27" t="n"/>
      <c r="D1379" s="28" t="n"/>
      <c r="E1379" s="28" t="n"/>
      <c r="F1379" s="28" t="n"/>
      <c r="G1379" s="28" t="n"/>
      <c r="H1379" s="28" t="n"/>
      <c r="I1379" s="28" t="n"/>
      <c r="J1379" s="28" t="n"/>
      <c r="K1379" s="28" t="n"/>
      <c r="L1379" s="28" t="n"/>
      <c r="M1379" s="29" t="n"/>
      <c r="N1379" s="21" t="n"/>
      <c r="O1379" s="12">
        <f>IF(AND(B1379="",C1379=""),"",IF(NOT(ISNUMBER(B1379)),"Needs a date",IF(C1379="","Needs a client",IF(COUNTIF(Clients!$B$6:$B$105,C1379)=0,"Not on Clients",IF(COUNT(D1379:M1379)=0,"Nothing measured","")))))</f>
        <v/>
      </c>
      <c r="P1379" s="1">
        <f>IF(AND(O1379="",ISNUMBER(B1379)),INT(B1379),0)</f>
        <v/>
      </c>
      <c r="Q1379">
        <f>IF(AND(P1379&gt;0,C1379=Report!$C$5),P1379*10000+ROW(),"")</f>
        <v/>
      </c>
      <c r="R1379">
        <f>IF(AND(Q1379&lt;&gt;"",ISNUMBER(D1379)),Q1379,"")</f>
        <v/>
      </c>
      <c r="S1379">
        <f>IF(AND(Q1379&lt;&gt;"",ISNUMBER(E1379)),Q1379,"")</f>
        <v/>
      </c>
      <c r="T1379">
        <f>IF(AND(Q1379&lt;&gt;"",ISNUMBER(F1379)),Q1379,"")</f>
        <v/>
      </c>
      <c r="U1379">
        <f>IF(AND(Q1379&lt;&gt;"",ISNUMBER(G1379)),Q1379,"")</f>
        <v/>
      </c>
      <c r="V1379">
        <f>IF(AND(Q1379&lt;&gt;"",ISNUMBER(H1379)),Q1379,"")</f>
        <v/>
      </c>
      <c r="W1379">
        <f>IF(AND(Q1379&lt;&gt;"",ISNUMBER(I1379)),Q1379,"")</f>
        <v/>
      </c>
      <c r="X1379">
        <f>IF(AND(Q1379&lt;&gt;"",ISNUMBER(J1379)),Q1379,"")</f>
        <v/>
      </c>
      <c r="Y1379">
        <f>IF(AND(Q1379&lt;&gt;"",ISNUMBER(K1379)),Q1379,"")</f>
        <v/>
      </c>
      <c r="Z1379">
        <f>IF(AND(Q1379&lt;&gt;"",ISNUMBER(L1379)),Q1379,"")</f>
        <v/>
      </c>
      <c r="AA1379">
        <f>IF(AND(Q1379&lt;&gt;"",ISNUMBER(M1379)),Q1379,"")</f>
        <v/>
      </c>
      <c r="AB1379">
        <f>IF(AND(Q1379&lt;&gt;"",ISNUMBER(K1379)),K1379,"")</f>
        <v/>
      </c>
      <c r="AC1379">
        <f>IF(AND(Q1379&lt;&gt;"",ISNUMBER(L1379)),L1379,"")</f>
        <v/>
      </c>
      <c r="AD1379">
        <f>IF(AND(Q1379&lt;&gt;"",ISNUMBER(M1379)),M1379,"")</f>
        <v/>
      </c>
    </row>
    <row r="1380">
      <c r="A1380" s="1" t="n"/>
      <c r="B1380" s="17" t="n"/>
      <c r="C1380" s="27" t="n"/>
      <c r="D1380" s="28" t="n"/>
      <c r="E1380" s="28" t="n"/>
      <c r="F1380" s="28" t="n"/>
      <c r="G1380" s="28" t="n"/>
      <c r="H1380" s="28" t="n"/>
      <c r="I1380" s="28" t="n"/>
      <c r="J1380" s="28" t="n"/>
      <c r="K1380" s="28" t="n"/>
      <c r="L1380" s="28" t="n"/>
      <c r="M1380" s="29" t="n"/>
      <c r="N1380" s="21" t="n"/>
      <c r="O1380" s="12">
        <f>IF(AND(B1380="",C1380=""),"",IF(NOT(ISNUMBER(B1380)),"Needs a date",IF(C1380="","Needs a client",IF(COUNTIF(Clients!$B$6:$B$105,C1380)=0,"Not on Clients",IF(COUNT(D1380:M1380)=0,"Nothing measured","")))))</f>
        <v/>
      </c>
      <c r="P1380" s="1">
        <f>IF(AND(O1380="",ISNUMBER(B1380)),INT(B1380),0)</f>
        <v/>
      </c>
      <c r="Q1380">
        <f>IF(AND(P1380&gt;0,C1380=Report!$C$5),P1380*10000+ROW(),"")</f>
        <v/>
      </c>
      <c r="R1380">
        <f>IF(AND(Q1380&lt;&gt;"",ISNUMBER(D1380)),Q1380,"")</f>
        <v/>
      </c>
      <c r="S1380">
        <f>IF(AND(Q1380&lt;&gt;"",ISNUMBER(E1380)),Q1380,"")</f>
        <v/>
      </c>
      <c r="T1380">
        <f>IF(AND(Q1380&lt;&gt;"",ISNUMBER(F1380)),Q1380,"")</f>
        <v/>
      </c>
      <c r="U1380">
        <f>IF(AND(Q1380&lt;&gt;"",ISNUMBER(G1380)),Q1380,"")</f>
        <v/>
      </c>
      <c r="V1380">
        <f>IF(AND(Q1380&lt;&gt;"",ISNUMBER(H1380)),Q1380,"")</f>
        <v/>
      </c>
      <c r="W1380">
        <f>IF(AND(Q1380&lt;&gt;"",ISNUMBER(I1380)),Q1380,"")</f>
        <v/>
      </c>
      <c r="X1380">
        <f>IF(AND(Q1380&lt;&gt;"",ISNUMBER(J1380)),Q1380,"")</f>
        <v/>
      </c>
      <c r="Y1380">
        <f>IF(AND(Q1380&lt;&gt;"",ISNUMBER(K1380)),Q1380,"")</f>
        <v/>
      </c>
      <c r="Z1380">
        <f>IF(AND(Q1380&lt;&gt;"",ISNUMBER(L1380)),Q1380,"")</f>
        <v/>
      </c>
      <c r="AA1380">
        <f>IF(AND(Q1380&lt;&gt;"",ISNUMBER(M1380)),Q1380,"")</f>
        <v/>
      </c>
      <c r="AB1380">
        <f>IF(AND(Q1380&lt;&gt;"",ISNUMBER(K1380)),K1380,"")</f>
        <v/>
      </c>
      <c r="AC1380">
        <f>IF(AND(Q1380&lt;&gt;"",ISNUMBER(L1380)),L1380,"")</f>
        <v/>
      </c>
      <c r="AD1380">
        <f>IF(AND(Q1380&lt;&gt;"",ISNUMBER(M1380)),M1380,"")</f>
        <v/>
      </c>
    </row>
    <row r="1381">
      <c r="A1381" s="1" t="n"/>
      <c r="B1381" s="17" t="n"/>
      <c r="C1381" s="27" t="n"/>
      <c r="D1381" s="28" t="n"/>
      <c r="E1381" s="28" t="n"/>
      <c r="F1381" s="28" t="n"/>
      <c r="G1381" s="28" t="n"/>
      <c r="H1381" s="28" t="n"/>
      <c r="I1381" s="28" t="n"/>
      <c r="J1381" s="28" t="n"/>
      <c r="K1381" s="28" t="n"/>
      <c r="L1381" s="28" t="n"/>
      <c r="M1381" s="29" t="n"/>
      <c r="N1381" s="21" t="n"/>
      <c r="O1381" s="12">
        <f>IF(AND(B1381="",C1381=""),"",IF(NOT(ISNUMBER(B1381)),"Needs a date",IF(C1381="","Needs a client",IF(COUNTIF(Clients!$B$6:$B$105,C1381)=0,"Not on Clients",IF(COUNT(D1381:M1381)=0,"Nothing measured","")))))</f>
        <v/>
      </c>
      <c r="P1381" s="1">
        <f>IF(AND(O1381="",ISNUMBER(B1381)),INT(B1381),0)</f>
        <v/>
      </c>
      <c r="Q1381">
        <f>IF(AND(P1381&gt;0,C1381=Report!$C$5),P1381*10000+ROW(),"")</f>
        <v/>
      </c>
      <c r="R1381">
        <f>IF(AND(Q1381&lt;&gt;"",ISNUMBER(D1381)),Q1381,"")</f>
        <v/>
      </c>
      <c r="S1381">
        <f>IF(AND(Q1381&lt;&gt;"",ISNUMBER(E1381)),Q1381,"")</f>
        <v/>
      </c>
      <c r="T1381">
        <f>IF(AND(Q1381&lt;&gt;"",ISNUMBER(F1381)),Q1381,"")</f>
        <v/>
      </c>
      <c r="U1381">
        <f>IF(AND(Q1381&lt;&gt;"",ISNUMBER(G1381)),Q1381,"")</f>
        <v/>
      </c>
      <c r="V1381">
        <f>IF(AND(Q1381&lt;&gt;"",ISNUMBER(H1381)),Q1381,"")</f>
        <v/>
      </c>
      <c r="W1381">
        <f>IF(AND(Q1381&lt;&gt;"",ISNUMBER(I1381)),Q1381,"")</f>
        <v/>
      </c>
      <c r="X1381">
        <f>IF(AND(Q1381&lt;&gt;"",ISNUMBER(J1381)),Q1381,"")</f>
        <v/>
      </c>
      <c r="Y1381">
        <f>IF(AND(Q1381&lt;&gt;"",ISNUMBER(K1381)),Q1381,"")</f>
        <v/>
      </c>
      <c r="Z1381">
        <f>IF(AND(Q1381&lt;&gt;"",ISNUMBER(L1381)),Q1381,"")</f>
        <v/>
      </c>
      <c r="AA1381">
        <f>IF(AND(Q1381&lt;&gt;"",ISNUMBER(M1381)),Q1381,"")</f>
        <v/>
      </c>
      <c r="AB1381">
        <f>IF(AND(Q1381&lt;&gt;"",ISNUMBER(K1381)),K1381,"")</f>
        <v/>
      </c>
      <c r="AC1381">
        <f>IF(AND(Q1381&lt;&gt;"",ISNUMBER(L1381)),L1381,"")</f>
        <v/>
      </c>
      <c r="AD1381">
        <f>IF(AND(Q1381&lt;&gt;"",ISNUMBER(M1381)),M1381,"")</f>
        <v/>
      </c>
    </row>
    <row r="1382">
      <c r="A1382" s="1" t="n"/>
      <c r="B1382" s="17" t="n"/>
      <c r="C1382" s="27" t="n"/>
      <c r="D1382" s="28" t="n"/>
      <c r="E1382" s="28" t="n"/>
      <c r="F1382" s="28" t="n"/>
      <c r="G1382" s="28" t="n"/>
      <c r="H1382" s="28" t="n"/>
      <c r="I1382" s="28" t="n"/>
      <c r="J1382" s="28" t="n"/>
      <c r="K1382" s="28" t="n"/>
      <c r="L1382" s="28" t="n"/>
      <c r="M1382" s="29" t="n"/>
      <c r="N1382" s="21" t="n"/>
      <c r="O1382" s="12">
        <f>IF(AND(B1382="",C1382=""),"",IF(NOT(ISNUMBER(B1382)),"Needs a date",IF(C1382="","Needs a client",IF(COUNTIF(Clients!$B$6:$B$105,C1382)=0,"Not on Clients",IF(COUNT(D1382:M1382)=0,"Nothing measured","")))))</f>
        <v/>
      </c>
      <c r="P1382" s="1">
        <f>IF(AND(O1382="",ISNUMBER(B1382)),INT(B1382),0)</f>
        <v/>
      </c>
      <c r="Q1382">
        <f>IF(AND(P1382&gt;0,C1382=Report!$C$5),P1382*10000+ROW(),"")</f>
        <v/>
      </c>
      <c r="R1382">
        <f>IF(AND(Q1382&lt;&gt;"",ISNUMBER(D1382)),Q1382,"")</f>
        <v/>
      </c>
      <c r="S1382">
        <f>IF(AND(Q1382&lt;&gt;"",ISNUMBER(E1382)),Q1382,"")</f>
        <v/>
      </c>
      <c r="T1382">
        <f>IF(AND(Q1382&lt;&gt;"",ISNUMBER(F1382)),Q1382,"")</f>
        <v/>
      </c>
      <c r="U1382">
        <f>IF(AND(Q1382&lt;&gt;"",ISNUMBER(G1382)),Q1382,"")</f>
        <v/>
      </c>
      <c r="V1382">
        <f>IF(AND(Q1382&lt;&gt;"",ISNUMBER(H1382)),Q1382,"")</f>
        <v/>
      </c>
      <c r="W1382">
        <f>IF(AND(Q1382&lt;&gt;"",ISNUMBER(I1382)),Q1382,"")</f>
        <v/>
      </c>
      <c r="X1382">
        <f>IF(AND(Q1382&lt;&gt;"",ISNUMBER(J1382)),Q1382,"")</f>
        <v/>
      </c>
      <c r="Y1382">
        <f>IF(AND(Q1382&lt;&gt;"",ISNUMBER(K1382)),Q1382,"")</f>
        <v/>
      </c>
      <c r="Z1382">
        <f>IF(AND(Q1382&lt;&gt;"",ISNUMBER(L1382)),Q1382,"")</f>
        <v/>
      </c>
      <c r="AA1382">
        <f>IF(AND(Q1382&lt;&gt;"",ISNUMBER(M1382)),Q1382,"")</f>
        <v/>
      </c>
      <c r="AB1382">
        <f>IF(AND(Q1382&lt;&gt;"",ISNUMBER(K1382)),K1382,"")</f>
        <v/>
      </c>
      <c r="AC1382">
        <f>IF(AND(Q1382&lt;&gt;"",ISNUMBER(L1382)),L1382,"")</f>
        <v/>
      </c>
      <c r="AD1382">
        <f>IF(AND(Q1382&lt;&gt;"",ISNUMBER(M1382)),M1382,"")</f>
        <v/>
      </c>
    </row>
    <row r="1383">
      <c r="A1383" s="1" t="n"/>
      <c r="B1383" s="17" t="n"/>
      <c r="C1383" s="27" t="n"/>
      <c r="D1383" s="28" t="n"/>
      <c r="E1383" s="28" t="n"/>
      <c r="F1383" s="28" t="n"/>
      <c r="G1383" s="28" t="n"/>
      <c r="H1383" s="28" t="n"/>
      <c r="I1383" s="28" t="n"/>
      <c r="J1383" s="28" t="n"/>
      <c r="K1383" s="28" t="n"/>
      <c r="L1383" s="28" t="n"/>
      <c r="M1383" s="29" t="n"/>
      <c r="N1383" s="21" t="n"/>
      <c r="O1383" s="12">
        <f>IF(AND(B1383="",C1383=""),"",IF(NOT(ISNUMBER(B1383)),"Needs a date",IF(C1383="","Needs a client",IF(COUNTIF(Clients!$B$6:$B$105,C1383)=0,"Not on Clients",IF(COUNT(D1383:M1383)=0,"Nothing measured","")))))</f>
        <v/>
      </c>
      <c r="P1383" s="1">
        <f>IF(AND(O1383="",ISNUMBER(B1383)),INT(B1383),0)</f>
        <v/>
      </c>
      <c r="Q1383">
        <f>IF(AND(P1383&gt;0,C1383=Report!$C$5),P1383*10000+ROW(),"")</f>
        <v/>
      </c>
      <c r="R1383">
        <f>IF(AND(Q1383&lt;&gt;"",ISNUMBER(D1383)),Q1383,"")</f>
        <v/>
      </c>
      <c r="S1383">
        <f>IF(AND(Q1383&lt;&gt;"",ISNUMBER(E1383)),Q1383,"")</f>
        <v/>
      </c>
      <c r="T1383">
        <f>IF(AND(Q1383&lt;&gt;"",ISNUMBER(F1383)),Q1383,"")</f>
        <v/>
      </c>
      <c r="U1383">
        <f>IF(AND(Q1383&lt;&gt;"",ISNUMBER(G1383)),Q1383,"")</f>
        <v/>
      </c>
      <c r="V1383">
        <f>IF(AND(Q1383&lt;&gt;"",ISNUMBER(H1383)),Q1383,"")</f>
        <v/>
      </c>
      <c r="W1383">
        <f>IF(AND(Q1383&lt;&gt;"",ISNUMBER(I1383)),Q1383,"")</f>
        <v/>
      </c>
      <c r="X1383">
        <f>IF(AND(Q1383&lt;&gt;"",ISNUMBER(J1383)),Q1383,"")</f>
        <v/>
      </c>
      <c r="Y1383">
        <f>IF(AND(Q1383&lt;&gt;"",ISNUMBER(K1383)),Q1383,"")</f>
        <v/>
      </c>
      <c r="Z1383">
        <f>IF(AND(Q1383&lt;&gt;"",ISNUMBER(L1383)),Q1383,"")</f>
        <v/>
      </c>
      <c r="AA1383">
        <f>IF(AND(Q1383&lt;&gt;"",ISNUMBER(M1383)),Q1383,"")</f>
        <v/>
      </c>
      <c r="AB1383">
        <f>IF(AND(Q1383&lt;&gt;"",ISNUMBER(K1383)),K1383,"")</f>
        <v/>
      </c>
      <c r="AC1383">
        <f>IF(AND(Q1383&lt;&gt;"",ISNUMBER(L1383)),L1383,"")</f>
        <v/>
      </c>
      <c r="AD1383">
        <f>IF(AND(Q1383&lt;&gt;"",ISNUMBER(M1383)),M1383,"")</f>
        <v/>
      </c>
    </row>
    <row r="1384">
      <c r="A1384" s="1" t="n"/>
      <c r="B1384" s="17" t="n"/>
      <c r="C1384" s="27" t="n"/>
      <c r="D1384" s="28" t="n"/>
      <c r="E1384" s="28" t="n"/>
      <c r="F1384" s="28" t="n"/>
      <c r="G1384" s="28" t="n"/>
      <c r="H1384" s="28" t="n"/>
      <c r="I1384" s="28" t="n"/>
      <c r="J1384" s="28" t="n"/>
      <c r="K1384" s="28" t="n"/>
      <c r="L1384" s="28" t="n"/>
      <c r="M1384" s="29" t="n"/>
      <c r="N1384" s="21" t="n"/>
      <c r="O1384" s="12">
        <f>IF(AND(B1384="",C1384=""),"",IF(NOT(ISNUMBER(B1384)),"Needs a date",IF(C1384="","Needs a client",IF(COUNTIF(Clients!$B$6:$B$105,C1384)=0,"Not on Clients",IF(COUNT(D1384:M1384)=0,"Nothing measured","")))))</f>
        <v/>
      </c>
      <c r="P1384" s="1">
        <f>IF(AND(O1384="",ISNUMBER(B1384)),INT(B1384),0)</f>
        <v/>
      </c>
      <c r="Q1384">
        <f>IF(AND(P1384&gt;0,C1384=Report!$C$5),P1384*10000+ROW(),"")</f>
        <v/>
      </c>
      <c r="R1384">
        <f>IF(AND(Q1384&lt;&gt;"",ISNUMBER(D1384)),Q1384,"")</f>
        <v/>
      </c>
      <c r="S1384">
        <f>IF(AND(Q1384&lt;&gt;"",ISNUMBER(E1384)),Q1384,"")</f>
        <v/>
      </c>
      <c r="T1384">
        <f>IF(AND(Q1384&lt;&gt;"",ISNUMBER(F1384)),Q1384,"")</f>
        <v/>
      </c>
      <c r="U1384">
        <f>IF(AND(Q1384&lt;&gt;"",ISNUMBER(G1384)),Q1384,"")</f>
        <v/>
      </c>
      <c r="V1384">
        <f>IF(AND(Q1384&lt;&gt;"",ISNUMBER(H1384)),Q1384,"")</f>
        <v/>
      </c>
      <c r="W1384">
        <f>IF(AND(Q1384&lt;&gt;"",ISNUMBER(I1384)),Q1384,"")</f>
        <v/>
      </c>
      <c r="X1384">
        <f>IF(AND(Q1384&lt;&gt;"",ISNUMBER(J1384)),Q1384,"")</f>
        <v/>
      </c>
      <c r="Y1384">
        <f>IF(AND(Q1384&lt;&gt;"",ISNUMBER(K1384)),Q1384,"")</f>
        <v/>
      </c>
      <c r="Z1384">
        <f>IF(AND(Q1384&lt;&gt;"",ISNUMBER(L1384)),Q1384,"")</f>
        <v/>
      </c>
      <c r="AA1384">
        <f>IF(AND(Q1384&lt;&gt;"",ISNUMBER(M1384)),Q1384,"")</f>
        <v/>
      </c>
      <c r="AB1384">
        <f>IF(AND(Q1384&lt;&gt;"",ISNUMBER(K1384)),K1384,"")</f>
        <v/>
      </c>
      <c r="AC1384">
        <f>IF(AND(Q1384&lt;&gt;"",ISNUMBER(L1384)),L1384,"")</f>
        <v/>
      </c>
      <c r="AD1384">
        <f>IF(AND(Q1384&lt;&gt;"",ISNUMBER(M1384)),M1384,"")</f>
        <v/>
      </c>
    </row>
    <row r="1385">
      <c r="A1385" s="1" t="n"/>
      <c r="B1385" s="17" t="n"/>
      <c r="C1385" s="27" t="n"/>
      <c r="D1385" s="28" t="n"/>
      <c r="E1385" s="28" t="n"/>
      <c r="F1385" s="28" t="n"/>
      <c r="G1385" s="28" t="n"/>
      <c r="H1385" s="28" t="n"/>
      <c r="I1385" s="28" t="n"/>
      <c r="J1385" s="28" t="n"/>
      <c r="K1385" s="28" t="n"/>
      <c r="L1385" s="28" t="n"/>
      <c r="M1385" s="29" t="n"/>
      <c r="N1385" s="21" t="n"/>
      <c r="O1385" s="12">
        <f>IF(AND(B1385="",C1385=""),"",IF(NOT(ISNUMBER(B1385)),"Needs a date",IF(C1385="","Needs a client",IF(COUNTIF(Clients!$B$6:$B$105,C1385)=0,"Not on Clients",IF(COUNT(D1385:M1385)=0,"Nothing measured","")))))</f>
        <v/>
      </c>
      <c r="P1385" s="1">
        <f>IF(AND(O1385="",ISNUMBER(B1385)),INT(B1385),0)</f>
        <v/>
      </c>
      <c r="Q1385">
        <f>IF(AND(P1385&gt;0,C1385=Report!$C$5),P1385*10000+ROW(),"")</f>
        <v/>
      </c>
      <c r="R1385">
        <f>IF(AND(Q1385&lt;&gt;"",ISNUMBER(D1385)),Q1385,"")</f>
        <v/>
      </c>
      <c r="S1385">
        <f>IF(AND(Q1385&lt;&gt;"",ISNUMBER(E1385)),Q1385,"")</f>
        <v/>
      </c>
      <c r="T1385">
        <f>IF(AND(Q1385&lt;&gt;"",ISNUMBER(F1385)),Q1385,"")</f>
        <v/>
      </c>
      <c r="U1385">
        <f>IF(AND(Q1385&lt;&gt;"",ISNUMBER(G1385)),Q1385,"")</f>
        <v/>
      </c>
      <c r="V1385">
        <f>IF(AND(Q1385&lt;&gt;"",ISNUMBER(H1385)),Q1385,"")</f>
        <v/>
      </c>
      <c r="W1385">
        <f>IF(AND(Q1385&lt;&gt;"",ISNUMBER(I1385)),Q1385,"")</f>
        <v/>
      </c>
      <c r="X1385">
        <f>IF(AND(Q1385&lt;&gt;"",ISNUMBER(J1385)),Q1385,"")</f>
        <v/>
      </c>
      <c r="Y1385">
        <f>IF(AND(Q1385&lt;&gt;"",ISNUMBER(K1385)),Q1385,"")</f>
        <v/>
      </c>
      <c r="Z1385">
        <f>IF(AND(Q1385&lt;&gt;"",ISNUMBER(L1385)),Q1385,"")</f>
        <v/>
      </c>
      <c r="AA1385">
        <f>IF(AND(Q1385&lt;&gt;"",ISNUMBER(M1385)),Q1385,"")</f>
        <v/>
      </c>
      <c r="AB1385">
        <f>IF(AND(Q1385&lt;&gt;"",ISNUMBER(K1385)),K1385,"")</f>
        <v/>
      </c>
      <c r="AC1385">
        <f>IF(AND(Q1385&lt;&gt;"",ISNUMBER(L1385)),L1385,"")</f>
        <v/>
      </c>
      <c r="AD1385">
        <f>IF(AND(Q1385&lt;&gt;"",ISNUMBER(M1385)),M1385,"")</f>
        <v/>
      </c>
    </row>
    <row r="1386">
      <c r="A1386" s="1" t="n"/>
      <c r="B1386" s="17" t="n"/>
      <c r="C1386" s="27" t="n"/>
      <c r="D1386" s="28" t="n"/>
      <c r="E1386" s="28" t="n"/>
      <c r="F1386" s="28" t="n"/>
      <c r="G1386" s="28" t="n"/>
      <c r="H1386" s="28" t="n"/>
      <c r="I1386" s="28" t="n"/>
      <c r="J1386" s="28" t="n"/>
      <c r="K1386" s="28" t="n"/>
      <c r="L1386" s="28" t="n"/>
      <c r="M1386" s="29" t="n"/>
      <c r="N1386" s="21" t="n"/>
      <c r="O1386" s="12">
        <f>IF(AND(B1386="",C1386=""),"",IF(NOT(ISNUMBER(B1386)),"Needs a date",IF(C1386="","Needs a client",IF(COUNTIF(Clients!$B$6:$B$105,C1386)=0,"Not on Clients",IF(COUNT(D1386:M1386)=0,"Nothing measured","")))))</f>
        <v/>
      </c>
      <c r="P1386" s="1">
        <f>IF(AND(O1386="",ISNUMBER(B1386)),INT(B1386),0)</f>
        <v/>
      </c>
      <c r="Q1386">
        <f>IF(AND(P1386&gt;0,C1386=Report!$C$5),P1386*10000+ROW(),"")</f>
        <v/>
      </c>
      <c r="R1386">
        <f>IF(AND(Q1386&lt;&gt;"",ISNUMBER(D1386)),Q1386,"")</f>
        <v/>
      </c>
      <c r="S1386">
        <f>IF(AND(Q1386&lt;&gt;"",ISNUMBER(E1386)),Q1386,"")</f>
        <v/>
      </c>
      <c r="T1386">
        <f>IF(AND(Q1386&lt;&gt;"",ISNUMBER(F1386)),Q1386,"")</f>
        <v/>
      </c>
      <c r="U1386">
        <f>IF(AND(Q1386&lt;&gt;"",ISNUMBER(G1386)),Q1386,"")</f>
        <v/>
      </c>
      <c r="V1386">
        <f>IF(AND(Q1386&lt;&gt;"",ISNUMBER(H1386)),Q1386,"")</f>
        <v/>
      </c>
      <c r="W1386">
        <f>IF(AND(Q1386&lt;&gt;"",ISNUMBER(I1386)),Q1386,"")</f>
        <v/>
      </c>
      <c r="X1386">
        <f>IF(AND(Q1386&lt;&gt;"",ISNUMBER(J1386)),Q1386,"")</f>
        <v/>
      </c>
      <c r="Y1386">
        <f>IF(AND(Q1386&lt;&gt;"",ISNUMBER(K1386)),Q1386,"")</f>
        <v/>
      </c>
      <c r="Z1386">
        <f>IF(AND(Q1386&lt;&gt;"",ISNUMBER(L1386)),Q1386,"")</f>
        <v/>
      </c>
      <c r="AA1386">
        <f>IF(AND(Q1386&lt;&gt;"",ISNUMBER(M1386)),Q1386,"")</f>
        <v/>
      </c>
      <c r="AB1386">
        <f>IF(AND(Q1386&lt;&gt;"",ISNUMBER(K1386)),K1386,"")</f>
        <v/>
      </c>
      <c r="AC1386">
        <f>IF(AND(Q1386&lt;&gt;"",ISNUMBER(L1386)),L1386,"")</f>
        <v/>
      </c>
      <c r="AD1386">
        <f>IF(AND(Q1386&lt;&gt;"",ISNUMBER(M1386)),M1386,"")</f>
        <v/>
      </c>
    </row>
    <row r="1387">
      <c r="A1387" s="1" t="n"/>
      <c r="B1387" s="17" t="n"/>
      <c r="C1387" s="27" t="n"/>
      <c r="D1387" s="28" t="n"/>
      <c r="E1387" s="28" t="n"/>
      <c r="F1387" s="28" t="n"/>
      <c r="G1387" s="28" t="n"/>
      <c r="H1387" s="28" t="n"/>
      <c r="I1387" s="28" t="n"/>
      <c r="J1387" s="28" t="n"/>
      <c r="K1387" s="28" t="n"/>
      <c r="L1387" s="28" t="n"/>
      <c r="M1387" s="29" t="n"/>
      <c r="N1387" s="21" t="n"/>
      <c r="O1387" s="12">
        <f>IF(AND(B1387="",C1387=""),"",IF(NOT(ISNUMBER(B1387)),"Needs a date",IF(C1387="","Needs a client",IF(COUNTIF(Clients!$B$6:$B$105,C1387)=0,"Not on Clients",IF(COUNT(D1387:M1387)=0,"Nothing measured","")))))</f>
        <v/>
      </c>
      <c r="P1387" s="1">
        <f>IF(AND(O1387="",ISNUMBER(B1387)),INT(B1387),0)</f>
        <v/>
      </c>
      <c r="Q1387">
        <f>IF(AND(P1387&gt;0,C1387=Report!$C$5),P1387*10000+ROW(),"")</f>
        <v/>
      </c>
      <c r="R1387">
        <f>IF(AND(Q1387&lt;&gt;"",ISNUMBER(D1387)),Q1387,"")</f>
        <v/>
      </c>
      <c r="S1387">
        <f>IF(AND(Q1387&lt;&gt;"",ISNUMBER(E1387)),Q1387,"")</f>
        <v/>
      </c>
      <c r="T1387">
        <f>IF(AND(Q1387&lt;&gt;"",ISNUMBER(F1387)),Q1387,"")</f>
        <v/>
      </c>
      <c r="U1387">
        <f>IF(AND(Q1387&lt;&gt;"",ISNUMBER(G1387)),Q1387,"")</f>
        <v/>
      </c>
      <c r="V1387">
        <f>IF(AND(Q1387&lt;&gt;"",ISNUMBER(H1387)),Q1387,"")</f>
        <v/>
      </c>
      <c r="W1387">
        <f>IF(AND(Q1387&lt;&gt;"",ISNUMBER(I1387)),Q1387,"")</f>
        <v/>
      </c>
      <c r="X1387">
        <f>IF(AND(Q1387&lt;&gt;"",ISNUMBER(J1387)),Q1387,"")</f>
        <v/>
      </c>
      <c r="Y1387">
        <f>IF(AND(Q1387&lt;&gt;"",ISNUMBER(K1387)),Q1387,"")</f>
        <v/>
      </c>
      <c r="Z1387">
        <f>IF(AND(Q1387&lt;&gt;"",ISNUMBER(L1387)),Q1387,"")</f>
        <v/>
      </c>
      <c r="AA1387">
        <f>IF(AND(Q1387&lt;&gt;"",ISNUMBER(M1387)),Q1387,"")</f>
        <v/>
      </c>
      <c r="AB1387">
        <f>IF(AND(Q1387&lt;&gt;"",ISNUMBER(K1387)),K1387,"")</f>
        <v/>
      </c>
      <c r="AC1387">
        <f>IF(AND(Q1387&lt;&gt;"",ISNUMBER(L1387)),L1387,"")</f>
        <v/>
      </c>
      <c r="AD1387">
        <f>IF(AND(Q1387&lt;&gt;"",ISNUMBER(M1387)),M1387,"")</f>
        <v/>
      </c>
    </row>
    <row r="1388">
      <c r="A1388" s="1" t="n"/>
      <c r="B1388" s="17" t="n"/>
      <c r="C1388" s="27" t="n"/>
      <c r="D1388" s="28" t="n"/>
      <c r="E1388" s="28" t="n"/>
      <c r="F1388" s="28" t="n"/>
      <c r="G1388" s="28" t="n"/>
      <c r="H1388" s="28" t="n"/>
      <c r="I1388" s="28" t="n"/>
      <c r="J1388" s="28" t="n"/>
      <c r="K1388" s="28" t="n"/>
      <c r="L1388" s="28" t="n"/>
      <c r="M1388" s="29" t="n"/>
      <c r="N1388" s="21" t="n"/>
      <c r="O1388" s="12">
        <f>IF(AND(B1388="",C1388=""),"",IF(NOT(ISNUMBER(B1388)),"Needs a date",IF(C1388="","Needs a client",IF(COUNTIF(Clients!$B$6:$B$105,C1388)=0,"Not on Clients",IF(COUNT(D1388:M1388)=0,"Nothing measured","")))))</f>
        <v/>
      </c>
      <c r="P1388" s="1">
        <f>IF(AND(O1388="",ISNUMBER(B1388)),INT(B1388),0)</f>
        <v/>
      </c>
      <c r="Q1388">
        <f>IF(AND(P1388&gt;0,C1388=Report!$C$5),P1388*10000+ROW(),"")</f>
        <v/>
      </c>
      <c r="R1388">
        <f>IF(AND(Q1388&lt;&gt;"",ISNUMBER(D1388)),Q1388,"")</f>
        <v/>
      </c>
      <c r="S1388">
        <f>IF(AND(Q1388&lt;&gt;"",ISNUMBER(E1388)),Q1388,"")</f>
        <v/>
      </c>
      <c r="T1388">
        <f>IF(AND(Q1388&lt;&gt;"",ISNUMBER(F1388)),Q1388,"")</f>
        <v/>
      </c>
      <c r="U1388">
        <f>IF(AND(Q1388&lt;&gt;"",ISNUMBER(G1388)),Q1388,"")</f>
        <v/>
      </c>
      <c r="V1388">
        <f>IF(AND(Q1388&lt;&gt;"",ISNUMBER(H1388)),Q1388,"")</f>
        <v/>
      </c>
      <c r="W1388">
        <f>IF(AND(Q1388&lt;&gt;"",ISNUMBER(I1388)),Q1388,"")</f>
        <v/>
      </c>
      <c r="X1388">
        <f>IF(AND(Q1388&lt;&gt;"",ISNUMBER(J1388)),Q1388,"")</f>
        <v/>
      </c>
      <c r="Y1388">
        <f>IF(AND(Q1388&lt;&gt;"",ISNUMBER(K1388)),Q1388,"")</f>
        <v/>
      </c>
      <c r="Z1388">
        <f>IF(AND(Q1388&lt;&gt;"",ISNUMBER(L1388)),Q1388,"")</f>
        <v/>
      </c>
      <c r="AA1388">
        <f>IF(AND(Q1388&lt;&gt;"",ISNUMBER(M1388)),Q1388,"")</f>
        <v/>
      </c>
      <c r="AB1388">
        <f>IF(AND(Q1388&lt;&gt;"",ISNUMBER(K1388)),K1388,"")</f>
        <v/>
      </c>
      <c r="AC1388">
        <f>IF(AND(Q1388&lt;&gt;"",ISNUMBER(L1388)),L1388,"")</f>
        <v/>
      </c>
      <c r="AD1388">
        <f>IF(AND(Q1388&lt;&gt;"",ISNUMBER(M1388)),M1388,"")</f>
        <v/>
      </c>
    </row>
    <row r="1389">
      <c r="A1389" s="1" t="n"/>
      <c r="B1389" s="17" t="n"/>
      <c r="C1389" s="27" t="n"/>
      <c r="D1389" s="28" t="n"/>
      <c r="E1389" s="28" t="n"/>
      <c r="F1389" s="28" t="n"/>
      <c r="G1389" s="28" t="n"/>
      <c r="H1389" s="28" t="n"/>
      <c r="I1389" s="28" t="n"/>
      <c r="J1389" s="28" t="n"/>
      <c r="K1389" s="28" t="n"/>
      <c r="L1389" s="28" t="n"/>
      <c r="M1389" s="29" t="n"/>
      <c r="N1389" s="21" t="n"/>
      <c r="O1389" s="12">
        <f>IF(AND(B1389="",C1389=""),"",IF(NOT(ISNUMBER(B1389)),"Needs a date",IF(C1389="","Needs a client",IF(COUNTIF(Clients!$B$6:$B$105,C1389)=0,"Not on Clients",IF(COUNT(D1389:M1389)=0,"Nothing measured","")))))</f>
        <v/>
      </c>
      <c r="P1389" s="1">
        <f>IF(AND(O1389="",ISNUMBER(B1389)),INT(B1389),0)</f>
        <v/>
      </c>
      <c r="Q1389">
        <f>IF(AND(P1389&gt;0,C1389=Report!$C$5),P1389*10000+ROW(),"")</f>
        <v/>
      </c>
      <c r="R1389">
        <f>IF(AND(Q1389&lt;&gt;"",ISNUMBER(D1389)),Q1389,"")</f>
        <v/>
      </c>
      <c r="S1389">
        <f>IF(AND(Q1389&lt;&gt;"",ISNUMBER(E1389)),Q1389,"")</f>
        <v/>
      </c>
      <c r="T1389">
        <f>IF(AND(Q1389&lt;&gt;"",ISNUMBER(F1389)),Q1389,"")</f>
        <v/>
      </c>
      <c r="U1389">
        <f>IF(AND(Q1389&lt;&gt;"",ISNUMBER(G1389)),Q1389,"")</f>
        <v/>
      </c>
      <c r="V1389">
        <f>IF(AND(Q1389&lt;&gt;"",ISNUMBER(H1389)),Q1389,"")</f>
        <v/>
      </c>
      <c r="W1389">
        <f>IF(AND(Q1389&lt;&gt;"",ISNUMBER(I1389)),Q1389,"")</f>
        <v/>
      </c>
      <c r="X1389">
        <f>IF(AND(Q1389&lt;&gt;"",ISNUMBER(J1389)),Q1389,"")</f>
        <v/>
      </c>
      <c r="Y1389">
        <f>IF(AND(Q1389&lt;&gt;"",ISNUMBER(K1389)),Q1389,"")</f>
        <v/>
      </c>
      <c r="Z1389">
        <f>IF(AND(Q1389&lt;&gt;"",ISNUMBER(L1389)),Q1389,"")</f>
        <v/>
      </c>
      <c r="AA1389">
        <f>IF(AND(Q1389&lt;&gt;"",ISNUMBER(M1389)),Q1389,"")</f>
        <v/>
      </c>
      <c r="AB1389">
        <f>IF(AND(Q1389&lt;&gt;"",ISNUMBER(K1389)),K1389,"")</f>
        <v/>
      </c>
      <c r="AC1389">
        <f>IF(AND(Q1389&lt;&gt;"",ISNUMBER(L1389)),L1389,"")</f>
        <v/>
      </c>
      <c r="AD1389">
        <f>IF(AND(Q1389&lt;&gt;"",ISNUMBER(M1389)),M1389,"")</f>
        <v/>
      </c>
    </row>
    <row r="1390">
      <c r="A1390" s="1" t="n"/>
      <c r="B1390" s="17" t="n"/>
      <c r="C1390" s="27" t="n"/>
      <c r="D1390" s="28" t="n"/>
      <c r="E1390" s="28" t="n"/>
      <c r="F1390" s="28" t="n"/>
      <c r="G1390" s="28" t="n"/>
      <c r="H1390" s="28" t="n"/>
      <c r="I1390" s="28" t="n"/>
      <c r="J1390" s="28" t="n"/>
      <c r="K1390" s="28" t="n"/>
      <c r="L1390" s="28" t="n"/>
      <c r="M1390" s="29" t="n"/>
      <c r="N1390" s="21" t="n"/>
      <c r="O1390" s="12">
        <f>IF(AND(B1390="",C1390=""),"",IF(NOT(ISNUMBER(B1390)),"Needs a date",IF(C1390="","Needs a client",IF(COUNTIF(Clients!$B$6:$B$105,C1390)=0,"Not on Clients",IF(COUNT(D1390:M1390)=0,"Nothing measured","")))))</f>
        <v/>
      </c>
      <c r="P1390" s="1">
        <f>IF(AND(O1390="",ISNUMBER(B1390)),INT(B1390),0)</f>
        <v/>
      </c>
      <c r="Q1390">
        <f>IF(AND(P1390&gt;0,C1390=Report!$C$5),P1390*10000+ROW(),"")</f>
        <v/>
      </c>
      <c r="R1390">
        <f>IF(AND(Q1390&lt;&gt;"",ISNUMBER(D1390)),Q1390,"")</f>
        <v/>
      </c>
      <c r="S1390">
        <f>IF(AND(Q1390&lt;&gt;"",ISNUMBER(E1390)),Q1390,"")</f>
        <v/>
      </c>
      <c r="T1390">
        <f>IF(AND(Q1390&lt;&gt;"",ISNUMBER(F1390)),Q1390,"")</f>
        <v/>
      </c>
      <c r="U1390">
        <f>IF(AND(Q1390&lt;&gt;"",ISNUMBER(G1390)),Q1390,"")</f>
        <v/>
      </c>
      <c r="V1390">
        <f>IF(AND(Q1390&lt;&gt;"",ISNUMBER(H1390)),Q1390,"")</f>
        <v/>
      </c>
      <c r="W1390">
        <f>IF(AND(Q1390&lt;&gt;"",ISNUMBER(I1390)),Q1390,"")</f>
        <v/>
      </c>
      <c r="X1390">
        <f>IF(AND(Q1390&lt;&gt;"",ISNUMBER(J1390)),Q1390,"")</f>
        <v/>
      </c>
      <c r="Y1390">
        <f>IF(AND(Q1390&lt;&gt;"",ISNUMBER(K1390)),Q1390,"")</f>
        <v/>
      </c>
      <c r="Z1390">
        <f>IF(AND(Q1390&lt;&gt;"",ISNUMBER(L1390)),Q1390,"")</f>
        <v/>
      </c>
      <c r="AA1390">
        <f>IF(AND(Q1390&lt;&gt;"",ISNUMBER(M1390)),Q1390,"")</f>
        <v/>
      </c>
      <c r="AB1390">
        <f>IF(AND(Q1390&lt;&gt;"",ISNUMBER(K1390)),K1390,"")</f>
        <v/>
      </c>
      <c r="AC1390">
        <f>IF(AND(Q1390&lt;&gt;"",ISNUMBER(L1390)),L1390,"")</f>
        <v/>
      </c>
      <c r="AD1390">
        <f>IF(AND(Q1390&lt;&gt;"",ISNUMBER(M1390)),M1390,"")</f>
        <v/>
      </c>
    </row>
    <row r="1391">
      <c r="A1391" s="1" t="n"/>
      <c r="B1391" s="17" t="n"/>
      <c r="C1391" s="27" t="n"/>
      <c r="D1391" s="28" t="n"/>
      <c r="E1391" s="28" t="n"/>
      <c r="F1391" s="28" t="n"/>
      <c r="G1391" s="28" t="n"/>
      <c r="H1391" s="28" t="n"/>
      <c r="I1391" s="28" t="n"/>
      <c r="J1391" s="28" t="n"/>
      <c r="K1391" s="28" t="n"/>
      <c r="L1391" s="28" t="n"/>
      <c r="M1391" s="29" t="n"/>
      <c r="N1391" s="21" t="n"/>
      <c r="O1391" s="12">
        <f>IF(AND(B1391="",C1391=""),"",IF(NOT(ISNUMBER(B1391)),"Needs a date",IF(C1391="","Needs a client",IF(COUNTIF(Clients!$B$6:$B$105,C1391)=0,"Not on Clients",IF(COUNT(D1391:M1391)=0,"Nothing measured","")))))</f>
        <v/>
      </c>
      <c r="P1391" s="1">
        <f>IF(AND(O1391="",ISNUMBER(B1391)),INT(B1391),0)</f>
        <v/>
      </c>
      <c r="Q1391">
        <f>IF(AND(P1391&gt;0,C1391=Report!$C$5),P1391*10000+ROW(),"")</f>
        <v/>
      </c>
      <c r="R1391">
        <f>IF(AND(Q1391&lt;&gt;"",ISNUMBER(D1391)),Q1391,"")</f>
        <v/>
      </c>
      <c r="S1391">
        <f>IF(AND(Q1391&lt;&gt;"",ISNUMBER(E1391)),Q1391,"")</f>
        <v/>
      </c>
      <c r="T1391">
        <f>IF(AND(Q1391&lt;&gt;"",ISNUMBER(F1391)),Q1391,"")</f>
        <v/>
      </c>
      <c r="U1391">
        <f>IF(AND(Q1391&lt;&gt;"",ISNUMBER(G1391)),Q1391,"")</f>
        <v/>
      </c>
      <c r="V1391">
        <f>IF(AND(Q1391&lt;&gt;"",ISNUMBER(H1391)),Q1391,"")</f>
        <v/>
      </c>
      <c r="W1391">
        <f>IF(AND(Q1391&lt;&gt;"",ISNUMBER(I1391)),Q1391,"")</f>
        <v/>
      </c>
      <c r="X1391">
        <f>IF(AND(Q1391&lt;&gt;"",ISNUMBER(J1391)),Q1391,"")</f>
        <v/>
      </c>
      <c r="Y1391">
        <f>IF(AND(Q1391&lt;&gt;"",ISNUMBER(K1391)),Q1391,"")</f>
        <v/>
      </c>
      <c r="Z1391">
        <f>IF(AND(Q1391&lt;&gt;"",ISNUMBER(L1391)),Q1391,"")</f>
        <v/>
      </c>
      <c r="AA1391">
        <f>IF(AND(Q1391&lt;&gt;"",ISNUMBER(M1391)),Q1391,"")</f>
        <v/>
      </c>
      <c r="AB1391">
        <f>IF(AND(Q1391&lt;&gt;"",ISNUMBER(K1391)),K1391,"")</f>
        <v/>
      </c>
      <c r="AC1391">
        <f>IF(AND(Q1391&lt;&gt;"",ISNUMBER(L1391)),L1391,"")</f>
        <v/>
      </c>
      <c r="AD1391">
        <f>IF(AND(Q1391&lt;&gt;"",ISNUMBER(M1391)),M1391,"")</f>
        <v/>
      </c>
    </row>
    <row r="1392">
      <c r="A1392" s="1" t="n"/>
      <c r="B1392" s="17" t="n"/>
      <c r="C1392" s="27" t="n"/>
      <c r="D1392" s="28" t="n"/>
      <c r="E1392" s="28" t="n"/>
      <c r="F1392" s="28" t="n"/>
      <c r="G1392" s="28" t="n"/>
      <c r="H1392" s="28" t="n"/>
      <c r="I1392" s="28" t="n"/>
      <c r="J1392" s="28" t="n"/>
      <c r="K1392" s="28" t="n"/>
      <c r="L1392" s="28" t="n"/>
      <c r="M1392" s="29" t="n"/>
      <c r="N1392" s="21" t="n"/>
      <c r="O1392" s="12">
        <f>IF(AND(B1392="",C1392=""),"",IF(NOT(ISNUMBER(B1392)),"Needs a date",IF(C1392="","Needs a client",IF(COUNTIF(Clients!$B$6:$B$105,C1392)=0,"Not on Clients",IF(COUNT(D1392:M1392)=0,"Nothing measured","")))))</f>
        <v/>
      </c>
      <c r="P1392" s="1">
        <f>IF(AND(O1392="",ISNUMBER(B1392)),INT(B1392),0)</f>
        <v/>
      </c>
      <c r="Q1392">
        <f>IF(AND(P1392&gt;0,C1392=Report!$C$5),P1392*10000+ROW(),"")</f>
        <v/>
      </c>
      <c r="R1392">
        <f>IF(AND(Q1392&lt;&gt;"",ISNUMBER(D1392)),Q1392,"")</f>
        <v/>
      </c>
      <c r="S1392">
        <f>IF(AND(Q1392&lt;&gt;"",ISNUMBER(E1392)),Q1392,"")</f>
        <v/>
      </c>
      <c r="T1392">
        <f>IF(AND(Q1392&lt;&gt;"",ISNUMBER(F1392)),Q1392,"")</f>
        <v/>
      </c>
      <c r="U1392">
        <f>IF(AND(Q1392&lt;&gt;"",ISNUMBER(G1392)),Q1392,"")</f>
        <v/>
      </c>
      <c r="V1392">
        <f>IF(AND(Q1392&lt;&gt;"",ISNUMBER(H1392)),Q1392,"")</f>
        <v/>
      </c>
      <c r="W1392">
        <f>IF(AND(Q1392&lt;&gt;"",ISNUMBER(I1392)),Q1392,"")</f>
        <v/>
      </c>
      <c r="X1392">
        <f>IF(AND(Q1392&lt;&gt;"",ISNUMBER(J1392)),Q1392,"")</f>
        <v/>
      </c>
      <c r="Y1392">
        <f>IF(AND(Q1392&lt;&gt;"",ISNUMBER(K1392)),Q1392,"")</f>
        <v/>
      </c>
      <c r="Z1392">
        <f>IF(AND(Q1392&lt;&gt;"",ISNUMBER(L1392)),Q1392,"")</f>
        <v/>
      </c>
      <c r="AA1392">
        <f>IF(AND(Q1392&lt;&gt;"",ISNUMBER(M1392)),Q1392,"")</f>
        <v/>
      </c>
      <c r="AB1392">
        <f>IF(AND(Q1392&lt;&gt;"",ISNUMBER(K1392)),K1392,"")</f>
        <v/>
      </c>
      <c r="AC1392">
        <f>IF(AND(Q1392&lt;&gt;"",ISNUMBER(L1392)),L1392,"")</f>
        <v/>
      </c>
      <c r="AD1392">
        <f>IF(AND(Q1392&lt;&gt;"",ISNUMBER(M1392)),M1392,"")</f>
        <v/>
      </c>
    </row>
    <row r="1393">
      <c r="A1393" s="1" t="n"/>
      <c r="B1393" s="17" t="n"/>
      <c r="C1393" s="27" t="n"/>
      <c r="D1393" s="28" t="n"/>
      <c r="E1393" s="28" t="n"/>
      <c r="F1393" s="28" t="n"/>
      <c r="G1393" s="28" t="n"/>
      <c r="H1393" s="28" t="n"/>
      <c r="I1393" s="28" t="n"/>
      <c r="J1393" s="28" t="n"/>
      <c r="K1393" s="28" t="n"/>
      <c r="L1393" s="28" t="n"/>
      <c r="M1393" s="29" t="n"/>
      <c r="N1393" s="21" t="n"/>
      <c r="O1393" s="12">
        <f>IF(AND(B1393="",C1393=""),"",IF(NOT(ISNUMBER(B1393)),"Needs a date",IF(C1393="","Needs a client",IF(COUNTIF(Clients!$B$6:$B$105,C1393)=0,"Not on Clients",IF(COUNT(D1393:M1393)=0,"Nothing measured","")))))</f>
        <v/>
      </c>
      <c r="P1393" s="1">
        <f>IF(AND(O1393="",ISNUMBER(B1393)),INT(B1393),0)</f>
        <v/>
      </c>
      <c r="Q1393">
        <f>IF(AND(P1393&gt;0,C1393=Report!$C$5),P1393*10000+ROW(),"")</f>
        <v/>
      </c>
      <c r="R1393">
        <f>IF(AND(Q1393&lt;&gt;"",ISNUMBER(D1393)),Q1393,"")</f>
        <v/>
      </c>
      <c r="S1393">
        <f>IF(AND(Q1393&lt;&gt;"",ISNUMBER(E1393)),Q1393,"")</f>
        <v/>
      </c>
      <c r="T1393">
        <f>IF(AND(Q1393&lt;&gt;"",ISNUMBER(F1393)),Q1393,"")</f>
        <v/>
      </c>
      <c r="U1393">
        <f>IF(AND(Q1393&lt;&gt;"",ISNUMBER(G1393)),Q1393,"")</f>
        <v/>
      </c>
      <c r="V1393">
        <f>IF(AND(Q1393&lt;&gt;"",ISNUMBER(H1393)),Q1393,"")</f>
        <v/>
      </c>
      <c r="W1393">
        <f>IF(AND(Q1393&lt;&gt;"",ISNUMBER(I1393)),Q1393,"")</f>
        <v/>
      </c>
      <c r="X1393">
        <f>IF(AND(Q1393&lt;&gt;"",ISNUMBER(J1393)),Q1393,"")</f>
        <v/>
      </c>
      <c r="Y1393">
        <f>IF(AND(Q1393&lt;&gt;"",ISNUMBER(K1393)),Q1393,"")</f>
        <v/>
      </c>
      <c r="Z1393">
        <f>IF(AND(Q1393&lt;&gt;"",ISNUMBER(L1393)),Q1393,"")</f>
        <v/>
      </c>
      <c r="AA1393">
        <f>IF(AND(Q1393&lt;&gt;"",ISNUMBER(M1393)),Q1393,"")</f>
        <v/>
      </c>
      <c r="AB1393">
        <f>IF(AND(Q1393&lt;&gt;"",ISNUMBER(K1393)),K1393,"")</f>
        <v/>
      </c>
      <c r="AC1393">
        <f>IF(AND(Q1393&lt;&gt;"",ISNUMBER(L1393)),L1393,"")</f>
        <v/>
      </c>
      <c r="AD1393">
        <f>IF(AND(Q1393&lt;&gt;"",ISNUMBER(M1393)),M1393,"")</f>
        <v/>
      </c>
    </row>
    <row r="1394">
      <c r="A1394" s="1" t="n"/>
      <c r="B1394" s="17" t="n"/>
      <c r="C1394" s="27" t="n"/>
      <c r="D1394" s="28" t="n"/>
      <c r="E1394" s="28" t="n"/>
      <c r="F1394" s="28" t="n"/>
      <c r="G1394" s="28" t="n"/>
      <c r="H1394" s="28" t="n"/>
      <c r="I1394" s="28" t="n"/>
      <c r="J1394" s="28" t="n"/>
      <c r="K1394" s="28" t="n"/>
      <c r="L1394" s="28" t="n"/>
      <c r="M1394" s="29" t="n"/>
      <c r="N1394" s="21" t="n"/>
      <c r="O1394" s="12">
        <f>IF(AND(B1394="",C1394=""),"",IF(NOT(ISNUMBER(B1394)),"Needs a date",IF(C1394="","Needs a client",IF(COUNTIF(Clients!$B$6:$B$105,C1394)=0,"Not on Clients",IF(COUNT(D1394:M1394)=0,"Nothing measured","")))))</f>
        <v/>
      </c>
      <c r="P1394" s="1">
        <f>IF(AND(O1394="",ISNUMBER(B1394)),INT(B1394),0)</f>
        <v/>
      </c>
      <c r="Q1394">
        <f>IF(AND(P1394&gt;0,C1394=Report!$C$5),P1394*10000+ROW(),"")</f>
        <v/>
      </c>
      <c r="R1394">
        <f>IF(AND(Q1394&lt;&gt;"",ISNUMBER(D1394)),Q1394,"")</f>
        <v/>
      </c>
      <c r="S1394">
        <f>IF(AND(Q1394&lt;&gt;"",ISNUMBER(E1394)),Q1394,"")</f>
        <v/>
      </c>
      <c r="T1394">
        <f>IF(AND(Q1394&lt;&gt;"",ISNUMBER(F1394)),Q1394,"")</f>
        <v/>
      </c>
      <c r="U1394">
        <f>IF(AND(Q1394&lt;&gt;"",ISNUMBER(G1394)),Q1394,"")</f>
        <v/>
      </c>
      <c r="V1394">
        <f>IF(AND(Q1394&lt;&gt;"",ISNUMBER(H1394)),Q1394,"")</f>
        <v/>
      </c>
      <c r="W1394">
        <f>IF(AND(Q1394&lt;&gt;"",ISNUMBER(I1394)),Q1394,"")</f>
        <v/>
      </c>
      <c r="X1394">
        <f>IF(AND(Q1394&lt;&gt;"",ISNUMBER(J1394)),Q1394,"")</f>
        <v/>
      </c>
      <c r="Y1394">
        <f>IF(AND(Q1394&lt;&gt;"",ISNUMBER(K1394)),Q1394,"")</f>
        <v/>
      </c>
      <c r="Z1394">
        <f>IF(AND(Q1394&lt;&gt;"",ISNUMBER(L1394)),Q1394,"")</f>
        <v/>
      </c>
      <c r="AA1394">
        <f>IF(AND(Q1394&lt;&gt;"",ISNUMBER(M1394)),Q1394,"")</f>
        <v/>
      </c>
      <c r="AB1394">
        <f>IF(AND(Q1394&lt;&gt;"",ISNUMBER(K1394)),K1394,"")</f>
        <v/>
      </c>
      <c r="AC1394">
        <f>IF(AND(Q1394&lt;&gt;"",ISNUMBER(L1394)),L1394,"")</f>
        <v/>
      </c>
      <c r="AD1394">
        <f>IF(AND(Q1394&lt;&gt;"",ISNUMBER(M1394)),M1394,"")</f>
        <v/>
      </c>
    </row>
    <row r="1395">
      <c r="A1395" s="1" t="n"/>
      <c r="B1395" s="17" t="n"/>
      <c r="C1395" s="27" t="n"/>
      <c r="D1395" s="28" t="n"/>
      <c r="E1395" s="28" t="n"/>
      <c r="F1395" s="28" t="n"/>
      <c r="G1395" s="28" t="n"/>
      <c r="H1395" s="28" t="n"/>
      <c r="I1395" s="28" t="n"/>
      <c r="J1395" s="28" t="n"/>
      <c r="K1395" s="28" t="n"/>
      <c r="L1395" s="28" t="n"/>
      <c r="M1395" s="29" t="n"/>
      <c r="N1395" s="21" t="n"/>
      <c r="O1395" s="12">
        <f>IF(AND(B1395="",C1395=""),"",IF(NOT(ISNUMBER(B1395)),"Needs a date",IF(C1395="","Needs a client",IF(COUNTIF(Clients!$B$6:$B$105,C1395)=0,"Not on Clients",IF(COUNT(D1395:M1395)=0,"Nothing measured","")))))</f>
        <v/>
      </c>
      <c r="P1395" s="1">
        <f>IF(AND(O1395="",ISNUMBER(B1395)),INT(B1395),0)</f>
        <v/>
      </c>
      <c r="Q1395">
        <f>IF(AND(P1395&gt;0,C1395=Report!$C$5),P1395*10000+ROW(),"")</f>
        <v/>
      </c>
      <c r="R1395">
        <f>IF(AND(Q1395&lt;&gt;"",ISNUMBER(D1395)),Q1395,"")</f>
        <v/>
      </c>
      <c r="S1395">
        <f>IF(AND(Q1395&lt;&gt;"",ISNUMBER(E1395)),Q1395,"")</f>
        <v/>
      </c>
      <c r="T1395">
        <f>IF(AND(Q1395&lt;&gt;"",ISNUMBER(F1395)),Q1395,"")</f>
        <v/>
      </c>
      <c r="U1395">
        <f>IF(AND(Q1395&lt;&gt;"",ISNUMBER(G1395)),Q1395,"")</f>
        <v/>
      </c>
      <c r="V1395">
        <f>IF(AND(Q1395&lt;&gt;"",ISNUMBER(H1395)),Q1395,"")</f>
        <v/>
      </c>
      <c r="W1395">
        <f>IF(AND(Q1395&lt;&gt;"",ISNUMBER(I1395)),Q1395,"")</f>
        <v/>
      </c>
      <c r="X1395">
        <f>IF(AND(Q1395&lt;&gt;"",ISNUMBER(J1395)),Q1395,"")</f>
        <v/>
      </c>
      <c r="Y1395">
        <f>IF(AND(Q1395&lt;&gt;"",ISNUMBER(K1395)),Q1395,"")</f>
        <v/>
      </c>
      <c r="Z1395">
        <f>IF(AND(Q1395&lt;&gt;"",ISNUMBER(L1395)),Q1395,"")</f>
        <v/>
      </c>
      <c r="AA1395">
        <f>IF(AND(Q1395&lt;&gt;"",ISNUMBER(M1395)),Q1395,"")</f>
        <v/>
      </c>
      <c r="AB1395">
        <f>IF(AND(Q1395&lt;&gt;"",ISNUMBER(K1395)),K1395,"")</f>
        <v/>
      </c>
      <c r="AC1395">
        <f>IF(AND(Q1395&lt;&gt;"",ISNUMBER(L1395)),L1395,"")</f>
        <v/>
      </c>
      <c r="AD1395">
        <f>IF(AND(Q1395&lt;&gt;"",ISNUMBER(M1395)),M1395,"")</f>
        <v/>
      </c>
    </row>
    <row r="1396">
      <c r="A1396" s="1" t="n"/>
      <c r="B1396" s="17" t="n"/>
      <c r="C1396" s="27" t="n"/>
      <c r="D1396" s="28" t="n"/>
      <c r="E1396" s="28" t="n"/>
      <c r="F1396" s="28" t="n"/>
      <c r="G1396" s="28" t="n"/>
      <c r="H1396" s="28" t="n"/>
      <c r="I1396" s="28" t="n"/>
      <c r="J1396" s="28" t="n"/>
      <c r="K1396" s="28" t="n"/>
      <c r="L1396" s="28" t="n"/>
      <c r="M1396" s="29" t="n"/>
      <c r="N1396" s="21" t="n"/>
      <c r="O1396" s="12">
        <f>IF(AND(B1396="",C1396=""),"",IF(NOT(ISNUMBER(B1396)),"Needs a date",IF(C1396="","Needs a client",IF(COUNTIF(Clients!$B$6:$B$105,C1396)=0,"Not on Clients",IF(COUNT(D1396:M1396)=0,"Nothing measured","")))))</f>
        <v/>
      </c>
      <c r="P1396" s="1">
        <f>IF(AND(O1396="",ISNUMBER(B1396)),INT(B1396),0)</f>
        <v/>
      </c>
      <c r="Q1396">
        <f>IF(AND(P1396&gt;0,C1396=Report!$C$5),P1396*10000+ROW(),"")</f>
        <v/>
      </c>
      <c r="R1396">
        <f>IF(AND(Q1396&lt;&gt;"",ISNUMBER(D1396)),Q1396,"")</f>
        <v/>
      </c>
      <c r="S1396">
        <f>IF(AND(Q1396&lt;&gt;"",ISNUMBER(E1396)),Q1396,"")</f>
        <v/>
      </c>
      <c r="T1396">
        <f>IF(AND(Q1396&lt;&gt;"",ISNUMBER(F1396)),Q1396,"")</f>
        <v/>
      </c>
      <c r="U1396">
        <f>IF(AND(Q1396&lt;&gt;"",ISNUMBER(G1396)),Q1396,"")</f>
        <v/>
      </c>
      <c r="V1396">
        <f>IF(AND(Q1396&lt;&gt;"",ISNUMBER(H1396)),Q1396,"")</f>
        <v/>
      </c>
      <c r="W1396">
        <f>IF(AND(Q1396&lt;&gt;"",ISNUMBER(I1396)),Q1396,"")</f>
        <v/>
      </c>
      <c r="X1396">
        <f>IF(AND(Q1396&lt;&gt;"",ISNUMBER(J1396)),Q1396,"")</f>
        <v/>
      </c>
      <c r="Y1396">
        <f>IF(AND(Q1396&lt;&gt;"",ISNUMBER(K1396)),Q1396,"")</f>
        <v/>
      </c>
      <c r="Z1396">
        <f>IF(AND(Q1396&lt;&gt;"",ISNUMBER(L1396)),Q1396,"")</f>
        <v/>
      </c>
      <c r="AA1396">
        <f>IF(AND(Q1396&lt;&gt;"",ISNUMBER(M1396)),Q1396,"")</f>
        <v/>
      </c>
      <c r="AB1396">
        <f>IF(AND(Q1396&lt;&gt;"",ISNUMBER(K1396)),K1396,"")</f>
        <v/>
      </c>
      <c r="AC1396">
        <f>IF(AND(Q1396&lt;&gt;"",ISNUMBER(L1396)),L1396,"")</f>
        <v/>
      </c>
      <c r="AD1396">
        <f>IF(AND(Q1396&lt;&gt;"",ISNUMBER(M1396)),M1396,"")</f>
        <v/>
      </c>
    </row>
    <row r="1397">
      <c r="A1397" s="1" t="n"/>
      <c r="B1397" s="17" t="n"/>
      <c r="C1397" s="27" t="n"/>
      <c r="D1397" s="28" t="n"/>
      <c r="E1397" s="28" t="n"/>
      <c r="F1397" s="28" t="n"/>
      <c r="G1397" s="28" t="n"/>
      <c r="H1397" s="28" t="n"/>
      <c r="I1397" s="28" t="n"/>
      <c r="J1397" s="28" t="n"/>
      <c r="K1397" s="28" t="n"/>
      <c r="L1397" s="28" t="n"/>
      <c r="M1397" s="29" t="n"/>
      <c r="N1397" s="21" t="n"/>
      <c r="O1397" s="12">
        <f>IF(AND(B1397="",C1397=""),"",IF(NOT(ISNUMBER(B1397)),"Needs a date",IF(C1397="","Needs a client",IF(COUNTIF(Clients!$B$6:$B$105,C1397)=0,"Not on Clients",IF(COUNT(D1397:M1397)=0,"Nothing measured","")))))</f>
        <v/>
      </c>
      <c r="P1397" s="1">
        <f>IF(AND(O1397="",ISNUMBER(B1397)),INT(B1397),0)</f>
        <v/>
      </c>
      <c r="Q1397">
        <f>IF(AND(P1397&gt;0,C1397=Report!$C$5),P1397*10000+ROW(),"")</f>
        <v/>
      </c>
      <c r="R1397">
        <f>IF(AND(Q1397&lt;&gt;"",ISNUMBER(D1397)),Q1397,"")</f>
        <v/>
      </c>
      <c r="S1397">
        <f>IF(AND(Q1397&lt;&gt;"",ISNUMBER(E1397)),Q1397,"")</f>
        <v/>
      </c>
      <c r="T1397">
        <f>IF(AND(Q1397&lt;&gt;"",ISNUMBER(F1397)),Q1397,"")</f>
        <v/>
      </c>
      <c r="U1397">
        <f>IF(AND(Q1397&lt;&gt;"",ISNUMBER(G1397)),Q1397,"")</f>
        <v/>
      </c>
      <c r="V1397">
        <f>IF(AND(Q1397&lt;&gt;"",ISNUMBER(H1397)),Q1397,"")</f>
        <v/>
      </c>
      <c r="W1397">
        <f>IF(AND(Q1397&lt;&gt;"",ISNUMBER(I1397)),Q1397,"")</f>
        <v/>
      </c>
      <c r="X1397">
        <f>IF(AND(Q1397&lt;&gt;"",ISNUMBER(J1397)),Q1397,"")</f>
        <v/>
      </c>
      <c r="Y1397">
        <f>IF(AND(Q1397&lt;&gt;"",ISNUMBER(K1397)),Q1397,"")</f>
        <v/>
      </c>
      <c r="Z1397">
        <f>IF(AND(Q1397&lt;&gt;"",ISNUMBER(L1397)),Q1397,"")</f>
        <v/>
      </c>
      <c r="AA1397">
        <f>IF(AND(Q1397&lt;&gt;"",ISNUMBER(M1397)),Q1397,"")</f>
        <v/>
      </c>
      <c r="AB1397">
        <f>IF(AND(Q1397&lt;&gt;"",ISNUMBER(K1397)),K1397,"")</f>
        <v/>
      </c>
      <c r="AC1397">
        <f>IF(AND(Q1397&lt;&gt;"",ISNUMBER(L1397)),L1397,"")</f>
        <v/>
      </c>
      <c r="AD1397">
        <f>IF(AND(Q1397&lt;&gt;"",ISNUMBER(M1397)),M1397,"")</f>
        <v/>
      </c>
    </row>
    <row r="1398">
      <c r="A1398" s="1" t="n"/>
      <c r="B1398" s="17" t="n"/>
      <c r="C1398" s="27" t="n"/>
      <c r="D1398" s="28" t="n"/>
      <c r="E1398" s="28" t="n"/>
      <c r="F1398" s="28" t="n"/>
      <c r="G1398" s="28" t="n"/>
      <c r="H1398" s="28" t="n"/>
      <c r="I1398" s="28" t="n"/>
      <c r="J1398" s="28" t="n"/>
      <c r="K1398" s="28" t="n"/>
      <c r="L1398" s="28" t="n"/>
      <c r="M1398" s="29" t="n"/>
      <c r="N1398" s="21" t="n"/>
      <c r="O1398" s="12">
        <f>IF(AND(B1398="",C1398=""),"",IF(NOT(ISNUMBER(B1398)),"Needs a date",IF(C1398="","Needs a client",IF(COUNTIF(Clients!$B$6:$B$105,C1398)=0,"Not on Clients",IF(COUNT(D1398:M1398)=0,"Nothing measured","")))))</f>
        <v/>
      </c>
      <c r="P1398" s="1">
        <f>IF(AND(O1398="",ISNUMBER(B1398)),INT(B1398),0)</f>
        <v/>
      </c>
      <c r="Q1398">
        <f>IF(AND(P1398&gt;0,C1398=Report!$C$5),P1398*10000+ROW(),"")</f>
        <v/>
      </c>
      <c r="R1398">
        <f>IF(AND(Q1398&lt;&gt;"",ISNUMBER(D1398)),Q1398,"")</f>
        <v/>
      </c>
      <c r="S1398">
        <f>IF(AND(Q1398&lt;&gt;"",ISNUMBER(E1398)),Q1398,"")</f>
        <v/>
      </c>
      <c r="T1398">
        <f>IF(AND(Q1398&lt;&gt;"",ISNUMBER(F1398)),Q1398,"")</f>
        <v/>
      </c>
      <c r="U1398">
        <f>IF(AND(Q1398&lt;&gt;"",ISNUMBER(G1398)),Q1398,"")</f>
        <v/>
      </c>
      <c r="V1398">
        <f>IF(AND(Q1398&lt;&gt;"",ISNUMBER(H1398)),Q1398,"")</f>
        <v/>
      </c>
      <c r="W1398">
        <f>IF(AND(Q1398&lt;&gt;"",ISNUMBER(I1398)),Q1398,"")</f>
        <v/>
      </c>
      <c r="X1398">
        <f>IF(AND(Q1398&lt;&gt;"",ISNUMBER(J1398)),Q1398,"")</f>
        <v/>
      </c>
      <c r="Y1398">
        <f>IF(AND(Q1398&lt;&gt;"",ISNUMBER(K1398)),Q1398,"")</f>
        <v/>
      </c>
      <c r="Z1398">
        <f>IF(AND(Q1398&lt;&gt;"",ISNUMBER(L1398)),Q1398,"")</f>
        <v/>
      </c>
      <c r="AA1398">
        <f>IF(AND(Q1398&lt;&gt;"",ISNUMBER(M1398)),Q1398,"")</f>
        <v/>
      </c>
      <c r="AB1398">
        <f>IF(AND(Q1398&lt;&gt;"",ISNUMBER(K1398)),K1398,"")</f>
        <v/>
      </c>
      <c r="AC1398">
        <f>IF(AND(Q1398&lt;&gt;"",ISNUMBER(L1398)),L1398,"")</f>
        <v/>
      </c>
      <c r="AD1398">
        <f>IF(AND(Q1398&lt;&gt;"",ISNUMBER(M1398)),M1398,"")</f>
        <v/>
      </c>
    </row>
    <row r="1399">
      <c r="A1399" s="1" t="n"/>
      <c r="B1399" s="17" t="n"/>
      <c r="C1399" s="27" t="n"/>
      <c r="D1399" s="28" t="n"/>
      <c r="E1399" s="28" t="n"/>
      <c r="F1399" s="28" t="n"/>
      <c r="G1399" s="28" t="n"/>
      <c r="H1399" s="28" t="n"/>
      <c r="I1399" s="28" t="n"/>
      <c r="J1399" s="28" t="n"/>
      <c r="K1399" s="28" t="n"/>
      <c r="L1399" s="28" t="n"/>
      <c r="M1399" s="29" t="n"/>
      <c r="N1399" s="21" t="n"/>
      <c r="O1399" s="12">
        <f>IF(AND(B1399="",C1399=""),"",IF(NOT(ISNUMBER(B1399)),"Needs a date",IF(C1399="","Needs a client",IF(COUNTIF(Clients!$B$6:$B$105,C1399)=0,"Not on Clients",IF(COUNT(D1399:M1399)=0,"Nothing measured","")))))</f>
        <v/>
      </c>
      <c r="P1399" s="1">
        <f>IF(AND(O1399="",ISNUMBER(B1399)),INT(B1399),0)</f>
        <v/>
      </c>
      <c r="Q1399">
        <f>IF(AND(P1399&gt;0,C1399=Report!$C$5),P1399*10000+ROW(),"")</f>
        <v/>
      </c>
      <c r="R1399">
        <f>IF(AND(Q1399&lt;&gt;"",ISNUMBER(D1399)),Q1399,"")</f>
        <v/>
      </c>
      <c r="S1399">
        <f>IF(AND(Q1399&lt;&gt;"",ISNUMBER(E1399)),Q1399,"")</f>
        <v/>
      </c>
      <c r="T1399">
        <f>IF(AND(Q1399&lt;&gt;"",ISNUMBER(F1399)),Q1399,"")</f>
        <v/>
      </c>
      <c r="U1399">
        <f>IF(AND(Q1399&lt;&gt;"",ISNUMBER(G1399)),Q1399,"")</f>
        <v/>
      </c>
      <c r="V1399">
        <f>IF(AND(Q1399&lt;&gt;"",ISNUMBER(H1399)),Q1399,"")</f>
        <v/>
      </c>
      <c r="W1399">
        <f>IF(AND(Q1399&lt;&gt;"",ISNUMBER(I1399)),Q1399,"")</f>
        <v/>
      </c>
      <c r="X1399">
        <f>IF(AND(Q1399&lt;&gt;"",ISNUMBER(J1399)),Q1399,"")</f>
        <v/>
      </c>
      <c r="Y1399">
        <f>IF(AND(Q1399&lt;&gt;"",ISNUMBER(K1399)),Q1399,"")</f>
        <v/>
      </c>
      <c r="Z1399">
        <f>IF(AND(Q1399&lt;&gt;"",ISNUMBER(L1399)),Q1399,"")</f>
        <v/>
      </c>
      <c r="AA1399">
        <f>IF(AND(Q1399&lt;&gt;"",ISNUMBER(M1399)),Q1399,"")</f>
        <v/>
      </c>
      <c r="AB1399">
        <f>IF(AND(Q1399&lt;&gt;"",ISNUMBER(K1399)),K1399,"")</f>
        <v/>
      </c>
      <c r="AC1399">
        <f>IF(AND(Q1399&lt;&gt;"",ISNUMBER(L1399)),L1399,"")</f>
        <v/>
      </c>
      <c r="AD1399">
        <f>IF(AND(Q1399&lt;&gt;"",ISNUMBER(M1399)),M1399,"")</f>
        <v/>
      </c>
    </row>
    <row r="1400">
      <c r="A1400" s="1" t="n"/>
      <c r="B1400" s="17" t="n"/>
      <c r="C1400" s="27" t="n"/>
      <c r="D1400" s="28" t="n"/>
      <c r="E1400" s="28" t="n"/>
      <c r="F1400" s="28" t="n"/>
      <c r="G1400" s="28" t="n"/>
      <c r="H1400" s="28" t="n"/>
      <c r="I1400" s="28" t="n"/>
      <c r="J1400" s="28" t="n"/>
      <c r="K1400" s="28" t="n"/>
      <c r="L1400" s="28" t="n"/>
      <c r="M1400" s="29" t="n"/>
      <c r="N1400" s="21" t="n"/>
      <c r="O1400" s="12">
        <f>IF(AND(B1400="",C1400=""),"",IF(NOT(ISNUMBER(B1400)),"Needs a date",IF(C1400="","Needs a client",IF(COUNTIF(Clients!$B$6:$B$105,C1400)=0,"Not on Clients",IF(COUNT(D1400:M1400)=0,"Nothing measured","")))))</f>
        <v/>
      </c>
      <c r="P1400" s="1">
        <f>IF(AND(O1400="",ISNUMBER(B1400)),INT(B1400),0)</f>
        <v/>
      </c>
      <c r="Q1400">
        <f>IF(AND(P1400&gt;0,C1400=Report!$C$5),P1400*10000+ROW(),"")</f>
        <v/>
      </c>
      <c r="R1400">
        <f>IF(AND(Q1400&lt;&gt;"",ISNUMBER(D1400)),Q1400,"")</f>
        <v/>
      </c>
      <c r="S1400">
        <f>IF(AND(Q1400&lt;&gt;"",ISNUMBER(E1400)),Q1400,"")</f>
        <v/>
      </c>
      <c r="T1400">
        <f>IF(AND(Q1400&lt;&gt;"",ISNUMBER(F1400)),Q1400,"")</f>
        <v/>
      </c>
      <c r="U1400">
        <f>IF(AND(Q1400&lt;&gt;"",ISNUMBER(G1400)),Q1400,"")</f>
        <v/>
      </c>
      <c r="V1400">
        <f>IF(AND(Q1400&lt;&gt;"",ISNUMBER(H1400)),Q1400,"")</f>
        <v/>
      </c>
      <c r="W1400">
        <f>IF(AND(Q1400&lt;&gt;"",ISNUMBER(I1400)),Q1400,"")</f>
        <v/>
      </c>
      <c r="X1400">
        <f>IF(AND(Q1400&lt;&gt;"",ISNUMBER(J1400)),Q1400,"")</f>
        <v/>
      </c>
      <c r="Y1400">
        <f>IF(AND(Q1400&lt;&gt;"",ISNUMBER(K1400)),Q1400,"")</f>
        <v/>
      </c>
      <c r="Z1400">
        <f>IF(AND(Q1400&lt;&gt;"",ISNUMBER(L1400)),Q1400,"")</f>
        <v/>
      </c>
      <c r="AA1400">
        <f>IF(AND(Q1400&lt;&gt;"",ISNUMBER(M1400)),Q1400,"")</f>
        <v/>
      </c>
      <c r="AB1400">
        <f>IF(AND(Q1400&lt;&gt;"",ISNUMBER(K1400)),K1400,"")</f>
        <v/>
      </c>
      <c r="AC1400">
        <f>IF(AND(Q1400&lt;&gt;"",ISNUMBER(L1400)),L1400,"")</f>
        <v/>
      </c>
      <c r="AD1400">
        <f>IF(AND(Q1400&lt;&gt;"",ISNUMBER(M1400)),M1400,"")</f>
        <v/>
      </c>
    </row>
    <row r="1401">
      <c r="A1401" s="1" t="n"/>
      <c r="B1401" s="17" t="n"/>
      <c r="C1401" s="27" t="n"/>
      <c r="D1401" s="28" t="n"/>
      <c r="E1401" s="28" t="n"/>
      <c r="F1401" s="28" t="n"/>
      <c r="G1401" s="28" t="n"/>
      <c r="H1401" s="28" t="n"/>
      <c r="I1401" s="28" t="n"/>
      <c r="J1401" s="28" t="n"/>
      <c r="K1401" s="28" t="n"/>
      <c r="L1401" s="28" t="n"/>
      <c r="M1401" s="29" t="n"/>
      <c r="N1401" s="21" t="n"/>
      <c r="O1401" s="12">
        <f>IF(AND(B1401="",C1401=""),"",IF(NOT(ISNUMBER(B1401)),"Needs a date",IF(C1401="","Needs a client",IF(COUNTIF(Clients!$B$6:$B$105,C1401)=0,"Not on Clients",IF(COUNT(D1401:M1401)=0,"Nothing measured","")))))</f>
        <v/>
      </c>
      <c r="P1401" s="1">
        <f>IF(AND(O1401="",ISNUMBER(B1401)),INT(B1401),0)</f>
        <v/>
      </c>
      <c r="Q1401">
        <f>IF(AND(P1401&gt;0,C1401=Report!$C$5),P1401*10000+ROW(),"")</f>
        <v/>
      </c>
      <c r="R1401">
        <f>IF(AND(Q1401&lt;&gt;"",ISNUMBER(D1401)),Q1401,"")</f>
        <v/>
      </c>
      <c r="S1401">
        <f>IF(AND(Q1401&lt;&gt;"",ISNUMBER(E1401)),Q1401,"")</f>
        <v/>
      </c>
      <c r="T1401">
        <f>IF(AND(Q1401&lt;&gt;"",ISNUMBER(F1401)),Q1401,"")</f>
        <v/>
      </c>
      <c r="U1401">
        <f>IF(AND(Q1401&lt;&gt;"",ISNUMBER(G1401)),Q1401,"")</f>
        <v/>
      </c>
      <c r="V1401">
        <f>IF(AND(Q1401&lt;&gt;"",ISNUMBER(H1401)),Q1401,"")</f>
        <v/>
      </c>
      <c r="W1401">
        <f>IF(AND(Q1401&lt;&gt;"",ISNUMBER(I1401)),Q1401,"")</f>
        <v/>
      </c>
      <c r="X1401">
        <f>IF(AND(Q1401&lt;&gt;"",ISNUMBER(J1401)),Q1401,"")</f>
        <v/>
      </c>
      <c r="Y1401">
        <f>IF(AND(Q1401&lt;&gt;"",ISNUMBER(K1401)),Q1401,"")</f>
        <v/>
      </c>
      <c r="Z1401">
        <f>IF(AND(Q1401&lt;&gt;"",ISNUMBER(L1401)),Q1401,"")</f>
        <v/>
      </c>
      <c r="AA1401">
        <f>IF(AND(Q1401&lt;&gt;"",ISNUMBER(M1401)),Q1401,"")</f>
        <v/>
      </c>
      <c r="AB1401">
        <f>IF(AND(Q1401&lt;&gt;"",ISNUMBER(K1401)),K1401,"")</f>
        <v/>
      </c>
      <c r="AC1401">
        <f>IF(AND(Q1401&lt;&gt;"",ISNUMBER(L1401)),L1401,"")</f>
        <v/>
      </c>
      <c r="AD1401">
        <f>IF(AND(Q1401&lt;&gt;"",ISNUMBER(M1401)),M1401,"")</f>
        <v/>
      </c>
    </row>
    <row r="1402">
      <c r="A1402" s="1" t="n"/>
      <c r="B1402" s="17" t="n"/>
      <c r="C1402" s="27" t="n"/>
      <c r="D1402" s="28" t="n"/>
      <c r="E1402" s="28" t="n"/>
      <c r="F1402" s="28" t="n"/>
      <c r="G1402" s="28" t="n"/>
      <c r="H1402" s="28" t="n"/>
      <c r="I1402" s="28" t="n"/>
      <c r="J1402" s="28" t="n"/>
      <c r="K1402" s="28" t="n"/>
      <c r="L1402" s="28" t="n"/>
      <c r="M1402" s="29" t="n"/>
      <c r="N1402" s="21" t="n"/>
      <c r="O1402" s="12">
        <f>IF(AND(B1402="",C1402=""),"",IF(NOT(ISNUMBER(B1402)),"Needs a date",IF(C1402="","Needs a client",IF(COUNTIF(Clients!$B$6:$B$105,C1402)=0,"Not on Clients",IF(COUNT(D1402:M1402)=0,"Nothing measured","")))))</f>
        <v/>
      </c>
      <c r="P1402" s="1">
        <f>IF(AND(O1402="",ISNUMBER(B1402)),INT(B1402),0)</f>
        <v/>
      </c>
      <c r="Q1402">
        <f>IF(AND(P1402&gt;0,C1402=Report!$C$5),P1402*10000+ROW(),"")</f>
        <v/>
      </c>
      <c r="R1402">
        <f>IF(AND(Q1402&lt;&gt;"",ISNUMBER(D1402)),Q1402,"")</f>
        <v/>
      </c>
      <c r="S1402">
        <f>IF(AND(Q1402&lt;&gt;"",ISNUMBER(E1402)),Q1402,"")</f>
        <v/>
      </c>
      <c r="T1402">
        <f>IF(AND(Q1402&lt;&gt;"",ISNUMBER(F1402)),Q1402,"")</f>
        <v/>
      </c>
      <c r="U1402">
        <f>IF(AND(Q1402&lt;&gt;"",ISNUMBER(G1402)),Q1402,"")</f>
        <v/>
      </c>
      <c r="V1402">
        <f>IF(AND(Q1402&lt;&gt;"",ISNUMBER(H1402)),Q1402,"")</f>
        <v/>
      </c>
      <c r="W1402">
        <f>IF(AND(Q1402&lt;&gt;"",ISNUMBER(I1402)),Q1402,"")</f>
        <v/>
      </c>
      <c r="X1402">
        <f>IF(AND(Q1402&lt;&gt;"",ISNUMBER(J1402)),Q1402,"")</f>
        <v/>
      </c>
      <c r="Y1402">
        <f>IF(AND(Q1402&lt;&gt;"",ISNUMBER(K1402)),Q1402,"")</f>
        <v/>
      </c>
      <c r="Z1402">
        <f>IF(AND(Q1402&lt;&gt;"",ISNUMBER(L1402)),Q1402,"")</f>
        <v/>
      </c>
      <c r="AA1402">
        <f>IF(AND(Q1402&lt;&gt;"",ISNUMBER(M1402)),Q1402,"")</f>
        <v/>
      </c>
      <c r="AB1402">
        <f>IF(AND(Q1402&lt;&gt;"",ISNUMBER(K1402)),K1402,"")</f>
        <v/>
      </c>
      <c r="AC1402">
        <f>IF(AND(Q1402&lt;&gt;"",ISNUMBER(L1402)),L1402,"")</f>
        <v/>
      </c>
      <c r="AD1402">
        <f>IF(AND(Q1402&lt;&gt;"",ISNUMBER(M1402)),M1402,"")</f>
        <v/>
      </c>
    </row>
    <row r="1403">
      <c r="A1403" s="1" t="n"/>
      <c r="B1403" s="17" t="n"/>
      <c r="C1403" s="27" t="n"/>
      <c r="D1403" s="28" t="n"/>
      <c r="E1403" s="28" t="n"/>
      <c r="F1403" s="28" t="n"/>
      <c r="G1403" s="28" t="n"/>
      <c r="H1403" s="28" t="n"/>
      <c r="I1403" s="28" t="n"/>
      <c r="J1403" s="28" t="n"/>
      <c r="K1403" s="28" t="n"/>
      <c r="L1403" s="28" t="n"/>
      <c r="M1403" s="29" t="n"/>
      <c r="N1403" s="21" t="n"/>
      <c r="O1403" s="12">
        <f>IF(AND(B1403="",C1403=""),"",IF(NOT(ISNUMBER(B1403)),"Needs a date",IF(C1403="","Needs a client",IF(COUNTIF(Clients!$B$6:$B$105,C1403)=0,"Not on Clients",IF(COUNT(D1403:M1403)=0,"Nothing measured","")))))</f>
        <v/>
      </c>
      <c r="P1403" s="1">
        <f>IF(AND(O1403="",ISNUMBER(B1403)),INT(B1403),0)</f>
        <v/>
      </c>
      <c r="Q1403">
        <f>IF(AND(P1403&gt;0,C1403=Report!$C$5),P1403*10000+ROW(),"")</f>
        <v/>
      </c>
      <c r="R1403">
        <f>IF(AND(Q1403&lt;&gt;"",ISNUMBER(D1403)),Q1403,"")</f>
        <v/>
      </c>
      <c r="S1403">
        <f>IF(AND(Q1403&lt;&gt;"",ISNUMBER(E1403)),Q1403,"")</f>
        <v/>
      </c>
      <c r="T1403">
        <f>IF(AND(Q1403&lt;&gt;"",ISNUMBER(F1403)),Q1403,"")</f>
        <v/>
      </c>
      <c r="U1403">
        <f>IF(AND(Q1403&lt;&gt;"",ISNUMBER(G1403)),Q1403,"")</f>
        <v/>
      </c>
      <c r="V1403">
        <f>IF(AND(Q1403&lt;&gt;"",ISNUMBER(H1403)),Q1403,"")</f>
        <v/>
      </c>
      <c r="W1403">
        <f>IF(AND(Q1403&lt;&gt;"",ISNUMBER(I1403)),Q1403,"")</f>
        <v/>
      </c>
      <c r="X1403">
        <f>IF(AND(Q1403&lt;&gt;"",ISNUMBER(J1403)),Q1403,"")</f>
        <v/>
      </c>
      <c r="Y1403">
        <f>IF(AND(Q1403&lt;&gt;"",ISNUMBER(K1403)),Q1403,"")</f>
        <v/>
      </c>
      <c r="Z1403">
        <f>IF(AND(Q1403&lt;&gt;"",ISNUMBER(L1403)),Q1403,"")</f>
        <v/>
      </c>
      <c r="AA1403">
        <f>IF(AND(Q1403&lt;&gt;"",ISNUMBER(M1403)),Q1403,"")</f>
        <v/>
      </c>
      <c r="AB1403">
        <f>IF(AND(Q1403&lt;&gt;"",ISNUMBER(K1403)),K1403,"")</f>
        <v/>
      </c>
      <c r="AC1403">
        <f>IF(AND(Q1403&lt;&gt;"",ISNUMBER(L1403)),L1403,"")</f>
        <v/>
      </c>
      <c r="AD1403">
        <f>IF(AND(Q1403&lt;&gt;"",ISNUMBER(M1403)),M1403,"")</f>
        <v/>
      </c>
    </row>
    <row r="1404">
      <c r="A1404" s="1" t="n"/>
      <c r="B1404" s="17" t="n"/>
      <c r="C1404" s="27" t="n"/>
      <c r="D1404" s="28" t="n"/>
      <c r="E1404" s="28" t="n"/>
      <c r="F1404" s="28" t="n"/>
      <c r="G1404" s="28" t="n"/>
      <c r="H1404" s="28" t="n"/>
      <c r="I1404" s="28" t="n"/>
      <c r="J1404" s="28" t="n"/>
      <c r="K1404" s="28" t="n"/>
      <c r="L1404" s="28" t="n"/>
      <c r="M1404" s="29" t="n"/>
      <c r="N1404" s="21" t="n"/>
      <c r="O1404" s="12">
        <f>IF(AND(B1404="",C1404=""),"",IF(NOT(ISNUMBER(B1404)),"Needs a date",IF(C1404="","Needs a client",IF(COUNTIF(Clients!$B$6:$B$105,C1404)=0,"Not on Clients",IF(COUNT(D1404:M1404)=0,"Nothing measured","")))))</f>
        <v/>
      </c>
      <c r="P1404" s="1">
        <f>IF(AND(O1404="",ISNUMBER(B1404)),INT(B1404),0)</f>
        <v/>
      </c>
      <c r="Q1404">
        <f>IF(AND(P1404&gt;0,C1404=Report!$C$5),P1404*10000+ROW(),"")</f>
        <v/>
      </c>
      <c r="R1404">
        <f>IF(AND(Q1404&lt;&gt;"",ISNUMBER(D1404)),Q1404,"")</f>
        <v/>
      </c>
      <c r="S1404">
        <f>IF(AND(Q1404&lt;&gt;"",ISNUMBER(E1404)),Q1404,"")</f>
        <v/>
      </c>
      <c r="T1404">
        <f>IF(AND(Q1404&lt;&gt;"",ISNUMBER(F1404)),Q1404,"")</f>
        <v/>
      </c>
      <c r="U1404">
        <f>IF(AND(Q1404&lt;&gt;"",ISNUMBER(G1404)),Q1404,"")</f>
        <v/>
      </c>
      <c r="V1404">
        <f>IF(AND(Q1404&lt;&gt;"",ISNUMBER(H1404)),Q1404,"")</f>
        <v/>
      </c>
      <c r="W1404">
        <f>IF(AND(Q1404&lt;&gt;"",ISNUMBER(I1404)),Q1404,"")</f>
        <v/>
      </c>
      <c r="X1404">
        <f>IF(AND(Q1404&lt;&gt;"",ISNUMBER(J1404)),Q1404,"")</f>
        <v/>
      </c>
      <c r="Y1404">
        <f>IF(AND(Q1404&lt;&gt;"",ISNUMBER(K1404)),Q1404,"")</f>
        <v/>
      </c>
      <c r="Z1404">
        <f>IF(AND(Q1404&lt;&gt;"",ISNUMBER(L1404)),Q1404,"")</f>
        <v/>
      </c>
      <c r="AA1404">
        <f>IF(AND(Q1404&lt;&gt;"",ISNUMBER(M1404)),Q1404,"")</f>
        <v/>
      </c>
      <c r="AB1404">
        <f>IF(AND(Q1404&lt;&gt;"",ISNUMBER(K1404)),K1404,"")</f>
        <v/>
      </c>
      <c r="AC1404">
        <f>IF(AND(Q1404&lt;&gt;"",ISNUMBER(L1404)),L1404,"")</f>
        <v/>
      </c>
      <c r="AD1404">
        <f>IF(AND(Q1404&lt;&gt;"",ISNUMBER(M1404)),M1404,"")</f>
        <v/>
      </c>
    </row>
    <row r="1405">
      <c r="A1405" s="1" t="n"/>
      <c r="B1405" s="17" t="n"/>
      <c r="C1405" s="27" t="n"/>
      <c r="D1405" s="28" t="n"/>
      <c r="E1405" s="28" t="n"/>
      <c r="F1405" s="28" t="n"/>
      <c r="G1405" s="28" t="n"/>
      <c r="H1405" s="28" t="n"/>
      <c r="I1405" s="28" t="n"/>
      <c r="J1405" s="28" t="n"/>
      <c r="K1405" s="28" t="n"/>
      <c r="L1405" s="28" t="n"/>
      <c r="M1405" s="29" t="n"/>
      <c r="N1405" s="21" t="n"/>
      <c r="O1405" s="12">
        <f>IF(AND(B1405="",C1405=""),"",IF(NOT(ISNUMBER(B1405)),"Needs a date",IF(C1405="","Needs a client",IF(COUNTIF(Clients!$B$6:$B$105,C1405)=0,"Not on Clients",IF(COUNT(D1405:M1405)=0,"Nothing measured","")))))</f>
        <v/>
      </c>
      <c r="P1405" s="1">
        <f>IF(AND(O1405="",ISNUMBER(B1405)),INT(B1405),0)</f>
        <v/>
      </c>
      <c r="Q1405">
        <f>IF(AND(P1405&gt;0,C1405=Report!$C$5),P1405*10000+ROW(),"")</f>
        <v/>
      </c>
      <c r="R1405">
        <f>IF(AND(Q1405&lt;&gt;"",ISNUMBER(D1405)),Q1405,"")</f>
        <v/>
      </c>
      <c r="S1405">
        <f>IF(AND(Q1405&lt;&gt;"",ISNUMBER(E1405)),Q1405,"")</f>
        <v/>
      </c>
      <c r="T1405">
        <f>IF(AND(Q1405&lt;&gt;"",ISNUMBER(F1405)),Q1405,"")</f>
        <v/>
      </c>
      <c r="U1405">
        <f>IF(AND(Q1405&lt;&gt;"",ISNUMBER(G1405)),Q1405,"")</f>
        <v/>
      </c>
      <c r="V1405">
        <f>IF(AND(Q1405&lt;&gt;"",ISNUMBER(H1405)),Q1405,"")</f>
        <v/>
      </c>
      <c r="W1405">
        <f>IF(AND(Q1405&lt;&gt;"",ISNUMBER(I1405)),Q1405,"")</f>
        <v/>
      </c>
      <c r="X1405">
        <f>IF(AND(Q1405&lt;&gt;"",ISNUMBER(J1405)),Q1405,"")</f>
        <v/>
      </c>
      <c r="Y1405">
        <f>IF(AND(Q1405&lt;&gt;"",ISNUMBER(K1405)),Q1405,"")</f>
        <v/>
      </c>
      <c r="Z1405">
        <f>IF(AND(Q1405&lt;&gt;"",ISNUMBER(L1405)),Q1405,"")</f>
        <v/>
      </c>
      <c r="AA1405">
        <f>IF(AND(Q1405&lt;&gt;"",ISNUMBER(M1405)),Q1405,"")</f>
        <v/>
      </c>
      <c r="AB1405">
        <f>IF(AND(Q1405&lt;&gt;"",ISNUMBER(K1405)),K1405,"")</f>
        <v/>
      </c>
      <c r="AC1405">
        <f>IF(AND(Q1405&lt;&gt;"",ISNUMBER(L1405)),L1405,"")</f>
        <v/>
      </c>
      <c r="AD1405">
        <f>IF(AND(Q1405&lt;&gt;"",ISNUMBER(M1405)),M1405,"")</f>
        <v/>
      </c>
    </row>
    <row r="1406">
      <c r="A1406" s="1" t="n"/>
      <c r="B1406" s="17" t="n"/>
      <c r="C1406" s="27" t="n"/>
      <c r="D1406" s="28" t="n"/>
      <c r="E1406" s="28" t="n"/>
      <c r="F1406" s="28" t="n"/>
      <c r="G1406" s="28" t="n"/>
      <c r="H1406" s="28" t="n"/>
      <c r="I1406" s="28" t="n"/>
      <c r="J1406" s="28" t="n"/>
      <c r="K1406" s="28" t="n"/>
      <c r="L1406" s="28" t="n"/>
      <c r="M1406" s="29" t="n"/>
      <c r="N1406" s="21" t="n"/>
      <c r="O1406" s="12">
        <f>IF(AND(B1406="",C1406=""),"",IF(NOT(ISNUMBER(B1406)),"Needs a date",IF(C1406="","Needs a client",IF(COUNTIF(Clients!$B$6:$B$105,C1406)=0,"Not on Clients",IF(COUNT(D1406:M1406)=0,"Nothing measured","")))))</f>
        <v/>
      </c>
      <c r="P1406" s="1">
        <f>IF(AND(O1406="",ISNUMBER(B1406)),INT(B1406),0)</f>
        <v/>
      </c>
      <c r="Q1406">
        <f>IF(AND(P1406&gt;0,C1406=Report!$C$5),P1406*10000+ROW(),"")</f>
        <v/>
      </c>
      <c r="R1406">
        <f>IF(AND(Q1406&lt;&gt;"",ISNUMBER(D1406)),Q1406,"")</f>
        <v/>
      </c>
      <c r="S1406">
        <f>IF(AND(Q1406&lt;&gt;"",ISNUMBER(E1406)),Q1406,"")</f>
        <v/>
      </c>
      <c r="T1406">
        <f>IF(AND(Q1406&lt;&gt;"",ISNUMBER(F1406)),Q1406,"")</f>
        <v/>
      </c>
      <c r="U1406">
        <f>IF(AND(Q1406&lt;&gt;"",ISNUMBER(G1406)),Q1406,"")</f>
        <v/>
      </c>
      <c r="V1406">
        <f>IF(AND(Q1406&lt;&gt;"",ISNUMBER(H1406)),Q1406,"")</f>
        <v/>
      </c>
      <c r="W1406">
        <f>IF(AND(Q1406&lt;&gt;"",ISNUMBER(I1406)),Q1406,"")</f>
        <v/>
      </c>
      <c r="X1406">
        <f>IF(AND(Q1406&lt;&gt;"",ISNUMBER(J1406)),Q1406,"")</f>
        <v/>
      </c>
      <c r="Y1406">
        <f>IF(AND(Q1406&lt;&gt;"",ISNUMBER(K1406)),Q1406,"")</f>
        <v/>
      </c>
      <c r="Z1406">
        <f>IF(AND(Q1406&lt;&gt;"",ISNUMBER(L1406)),Q1406,"")</f>
        <v/>
      </c>
      <c r="AA1406">
        <f>IF(AND(Q1406&lt;&gt;"",ISNUMBER(M1406)),Q1406,"")</f>
        <v/>
      </c>
      <c r="AB1406">
        <f>IF(AND(Q1406&lt;&gt;"",ISNUMBER(K1406)),K1406,"")</f>
        <v/>
      </c>
      <c r="AC1406">
        <f>IF(AND(Q1406&lt;&gt;"",ISNUMBER(L1406)),L1406,"")</f>
        <v/>
      </c>
      <c r="AD1406">
        <f>IF(AND(Q1406&lt;&gt;"",ISNUMBER(M1406)),M1406,"")</f>
        <v/>
      </c>
    </row>
    <row r="1407">
      <c r="A1407" s="1" t="n"/>
      <c r="B1407" s="17" t="n"/>
      <c r="C1407" s="27" t="n"/>
      <c r="D1407" s="28" t="n"/>
      <c r="E1407" s="28" t="n"/>
      <c r="F1407" s="28" t="n"/>
      <c r="G1407" s="28" t="n"/>
      <c r="H1407" s="28" t="n"/>
      <c r="I1407" s="28" t="n"/>
      <c r="J1407" s="28" t="n"/>
      <c r="K1407" s="28" t="n"/>
      <c r="L1407" s="28" t="n"/>
      <c r="M1407" s="29" t="n"/>
      <c r="N1407" s="21" t="n"/>
      <c r="O1407" s="12">
        <f>IF(AND(B1407="",C1407=""),"",IF(NOT(ISNUMBER(B1407)),"Needs a date",IF(C1407="","Needs a client",IF(COUNTIF(Clients!$B$6:$B$105,C1407)=0,"Not on Clients",IF(COUNT(D1407:M1407)=0,"Nothing measured","")))))</f>
        <v/>
      </c>
      <c r="P1407" s="1">
        <f>IF(AND(O1407="",ISNUMBER(B1407)),INT(B1407),0)</f>
        <v/>
      </c>
      <c r="Q1407">
        <f>IF(AND(P1407&gt;0,C1407=Report!$C$5),P1407*10000+ROW(),"")</f>
        <v/>
      </c>
      <c r="R1407">
        <f>IF(AND(Q1407&lt;&gt;"",ISNUMBER(D1407)),Q1407,"")</f>
        <v/>
      </c>
      <c r="S1407">
        <f>IF(AND(Q1407&lt;&gt;"",ISNUMBER(E1407)),Q1407,"")</f>
        <v/>
      </c>
      <c r="T1407">
        <f>IF(AND(Q1407&lt;&gt;"",ISNUMBER(F1407)),Q1407,"")</f>
        <v/>
      </c>
      <c r="U1407">
        <f>IF(AND(Q1407&lt;&gt;"",ISNUMBER(G1407)),Q1407,"")</f>
        <v/>
      </c>
      <c r="V1407">
        <f>IF(AND(Q1407&lt;&gt;"",ISNUMBER(H1407)),Q1407,"")</f>
        <v/>
      </c>
      <c r="W1407">
        <f>IF(AND(Q1407&lt;&gt;"",ISNUMBER(I1407)),Q1407,"")</f>
        <v/>
      </c>
      <c r="X1407">
        <f>IF(AND(Q1407&lt;&gt;"",ISNUMBER(J1407)),Q1407,"")</f>
        <v/>
      </c>
      <c r="Y1407">
        <f>IF(AND(Q1407&lt;&gt;"",ISNUMBER(K1407)),Q1407,"")</f>
        <v/>
      </c>
      <c r="Z1407">
        <f>IF(AND(Q1407&lt;&gt;"",ISNUMBER(L1407)),Q1407,"")</f>
        <v/>
      </c>
      <c r="AA1407">
        <f>IF(AND(Q1407&lt;&gt;"",ISNUMBER(M1407)),Q1407,"")</f>
        <v/>
      </c>
      <c r="AB1407">
        <f>IF(AND(Q1407&lt;&gt;"",ISNUMBER(K1407)),K1407,"")</f>
        <v/>
      </c>
      <c r="AC1407">
        <f>IF(AND(Q1407&lt;&gt;"",ISNUMBER(L1407)),L1407,"")</f>
        <v/>
      </c>
      <c r="AD1407">
        <f>IF(AND(Q1407&lt;&gt;"",ISNUMBER(M1407)),M1407,"")</f>
        <v/>
      </c>
    </row>
    <row r="1408">
      <c r="A1408" s="1" t="n"/>
      <c r="B1408" s="17" t="n"/>
      <c r="C1408" s="27" t="n"/>
      <c r="D1408" s="28" t="n"/>
      <c r="E1408" s="28" t="n"/>
      <c r="F1408" s="28" t="n"/>
      <c r="G1408" s="28" t="n"/>
      <c r="H1408" s="28" t="n"/>
      <c r="I1408" s="28" t="n"/>
      <c r="J1408" s="28" t="n"/>
      <c r="K1408" s="28" t="n"/>
      <c r="L1408" s="28" t="n"/>
      <c r="M1408" s="29" t="n"/>
      <c r="N1408" s="21" t="n"/>
      <c r="O1408" s="12">
        <f>IF(AND(B1408="",C1408=""),"",IF(NOT(ISNUMBER(B1408)),"Needs a date",IF(C1408="","Needs a client",IF(COUNTIF(Clients!$B$6:$B$105,C1408)=0,"Not on Clients",IF(COUNT(D1408:M1408)=0,"Nothing measured","")))))</f>
        <v/>
      </c>
      <c r="P1408" s="1">
        <f>IF(AND(O1408="",ISNUMBER(B1408)),INT(B1408),0)</f>
        <v/>
      </c>
      <c r="Q1408">
        <f>IF(AND(P1408&gt;0,C1408=Report!$C$5),P1408*10000+ROW(),"")</f>
        <v/>
      </c>
      <c r="R1408">
        <f>IF(AND(Q1408&lt;&gt;"",ISNUMBER(D1408)),Q1408,"")</f>
        <v/>
      </c>
      <c r="S1408">
        <f>IF(AND(Q1408&lt;&gt;"",ISNUMBER(E1408)),Q1408,"")</f>
        <v/>
      </c>
      <c r="T1408">
        <f>IF(AND(Q1408&lt;&gt;"",ISNUMBER(F1408)),Q1408,"")</f>
        <v/>
      </c>
      <c r="U1408">
        <f>IF(AND(Q1408&lt;&gt;"",ISNUMBER(G1408)),Q1408,"")</f>
        <v/>
      </c>
      <c r="V1408">
        <f>IF(AND(Q1408&lt;&gt;"",ISNUMBER(H1408)),Q1408,"")</f>
        <v/>
      </c>
      <c r="W1408">
        <f>IF(AND(Q1408&lt;&gt;"",ISNUMBER(I1408)),Q1408,"")</f>
        <v/>
      </c>
      <c r="X1408">
        <f>IF(AND(Q1408&lt;&gt;"",ISNUMBER(J1408)),Q1408,"")</f>
        <v/>
      </c>
      <c r="Y1408">
        <f>IF(AND(Q1408&lt;&gt;"",ISNUMBER(K1408)),Q1408,"")</f>
        <v/>
      </c>
      <c r="Z1408">
        <f>IF(AND(Q1408&lt;&gt;"",ISNUMBER(L1408)),Q1408,"")</f>
        <v/>
      </c>
      <c r="AA1408">
        <f>IF(AND(Q1408&lt;&gt;"",ISNUMBER(M1408)),Q1408,"")</f>
        <v/>
      </c>
      <c r="AB1408">
        <f>IF(AND(Q1408&lt;&gt;"",ISNUMBER(K1408)),K1408,"")</f>
        <v/>
      </c>
      <c r="AC1408">
        <f>IF(AND(Q1408&lt;&gt;"",ISNUMBER(L1408)),L1408,"")</f>
        <v/>
      </c>
      <c r="AD1408">
        <f>IF(AND(Q1408&lt;&gt;"",ISNUMBER(M1408)),M1408,"")</f>
        <v/>
      </c>
    </row>
    <row r="1409">
      <c r="A1409" s="1" t="n"/>
      <c r="B1409" s="17" t="n"/>
      <c r="C1409" s="27" t="n"/>
      <c r="D1409" s="28" t="n"/>
      <c r="E1409" s="28" t="n"/>
      <c r="F1409" s="28" t="n"/>
      <c r="G1409" s="28" t="n"/>
      <c r="H1409" s="28" t="n"/>
      <c r="I1409" s="28" t="n"/>
      <c r="J1409" s="28" t="n"/>
      <c r="K1409" s="28" t="n"/>
      <c r="L1409" s="28" t="n"/>
      <c r="M1409" s="29" t="n"/>
      <c r="N1409" s="21" t="n"/>
      <c r="O1409" s="12">
        <f>IF(AND(B1409="",C1409=""),"",IF(NOT(ISNUMBER(B1409)),"Needs a date",IF(C1409="","Needs a client",IF(COUNTIF(Clients!$B$6:$B$105,C1409)=0,"Not on Clients",IF(COUNT(D1409:M1409)=0,"Nothing measured","")))))</f>
        <v/>
      </c>
      <c r="P1409" s="1">
        <f>IF(AND(O1409="",ISNUMBER(B1409)),INT(B1409),0)</f>
        <v/>
      </c>
      <c r="Q1409">
        <f>IF(AND(P1409&gt;0,C1409=Report!$C$5),P1409*10000+ROW(),"")</f>
        <v/>
      </c>
      <c r="R1409">
        <f>IF(AND(Q1409&lt;&gt;"",ISNUMBER(D1409)),Q1409,"")</f>
        <v/>
      </c>
      <c r="S1409">
        <f>IF(AND(Q1409&lt;&gt;"",ISNUMBER(E1409)),Q1409,"")</f>
        <v/>
      </c>
      <c r="T1409">
        <f>IF(AND(Q1409&lt;&gt;"",ISNUMBER(F1409)),Q1409,"")</f>
        <v/>
      </c>
      <c r="U1409">
        <f>IF(AND(Q1409&lt;&gt;"",ISNUMBER(G1409)),Q1409,"")</f>
        <v/>
      </c>
      <c r="V1409">
        <f>IF(AND(Q1409&lt;&gt;"",ISNUMBER(H1409)),Q1409,"")</f>
        <v/>
      </c>
      <c r="W1409">
        <f>IF(AND(Q1409&lt;&gt;"",ISNUMBER(I1409)),Q1409,"")</f>
        <v/>
      </c>
      <c r="X1409">
        <f>IF(AND(Q1409&lt;&gt;"",ISNUMBER(J1409)),Q1409,"")</f>
        <v/>
      </c>
      <c r="Y1409">
        <f>IF(AND(Q1409&lt;&gt;"",ISNUMBER(K1409)),Q1409,"")</f>
        <v/>
      </c>
      <c r="Z1409">
        <f>IF(AND(Q1409&lt;&gt;"",ISNUMBER(L1409)),Q1409,"")</f>
        <v/>
      </c>
      <c r="AA1409">
        <f>IF(AND(Q1409&lt;&gt;"",ISNUMBER(M1409)),Q1409,"")</f>
        <v/>
      </c>
      <c r="AB1409">
        <f>IF(AND(Q1409&lt;&gt;"",ISNUMBER(K1409)),K1409,"")</f>
        <v/>
      </c>
      <c r="AC1409">
        <f>IF(AND(Q1409&lt;&gt;"",ISNUMBER(L1409)),L1409,"")</f>
        <v/>
      </c>
      <c r="AD1409">
        <f>IF(AND(Q1409&lt;&gt;"",ISNUMBER(M1409)),M1409,"")</f>
        <v/>
      </c>
    </row>
    <row r="1410">
      <c r="A1410" s="1" t="n"/>
      <c r="B1410" s="17" t="n"/>
      <c r="C1410" s="27" t="n"/>
      <c r="D1410" s="28" t="n"/>
      <c r="E1410" s="28" t="n"/>
      <c r="F1410" s="28" t="n"/>
      <c r="G1410" s="28" t="n"/>
      <c r="H1410" s="28" t="n"/>
      <c r="I1410" s="28" t="n"/>
      <c r="J1410" s="28" t="n"/>
      <c r="K1410" s="28" t="n"/>
      <c r="L1410" s="28" t="n"/>
      <c r="M1410" s="29" t="n"/>
      <c r="N1410" s="21" t="n"/>
      <c r="O1410" s="12">
        <f>IF(AND(B1410="",C1410=""),"",IF(NOT(ISNUMBER(B1410)),"Needs a date",IF(C1410="","Needs a client",IF(COUNTIF(Clients!$B$6:$B$105,C1410)=0,"Not on Clients",IF(COUNT(D1410:M1410)=0,"Nothing measured","")))))</f>
        <v/>
      </c>
      <c r="P1410" s="1">
        <f>IF(AND(O1410="",ISNUMBER(B1410)),INT(B1410),0)</f>
        <v/>
      </c>
      <c r="Q1410">
        <f>IF(AND(P1410&gt;0,C1410=Report!$C$5),P1410*10000+ROW(),"")</f>
        <v/>
      </c>
      <c r="R1410">
        <f>IF(AND(Q1410&lt;&gt;"",ISNUMBER(D1410)),Q1410,"")</f>
        <v/>
      </c>
      <c r="S1410">
        <f>IF(AND(Q1410&lt;&gt;"",ISNUMBER(E1410)),Q1410,"")</f>
        <v/>
      </c>
      <c r="T1410">
        <f>IF(AND(Q1410&lt;&gt;"",ISNUMBER(F1410)),Q1410,"")</f>
        <v/>
      </c>
      <c r="U1410">
        <f>IF(AND(Q1410&lt;&gt;"",ISNUMBER(G1410)),Q1410,"")</f>
        <v/>
      </c>
      <c r="V1410">
        <f>IF(AND(Q1410&lt;&gt;"",ISNUMBER(H1410)),Q1410,"")</f>
        <v/>
      </c>
      <c r="W1410">
        <f>IF(AND(Q1410&lt;&gt;"",ISNUMBER(I1410)),Q1410,"")</f>
        <v/>
      </c>
      <c r="X1410">
        <f>IF(AND(Q1410&lt;&gt;"",ISNUMBER(J1410)),Q1410,"")</f>
        <v/>
      </c>
      <c r="Y1410">
        <f>IF(AND(Q1410&lt;&gt;"",ISNUMBER(K1410)),Q1410,"")</f>
        <v/>
      </c>
      <c r="Z1410">
        <f>IF(AND(Q1410&lt;&gt;"",ISNUMBER(L1410)),Q1410,"")</f>
        <v/>
      </c>
      <c r="AA1410">
        <f>IF(AND(Q1410&lt;&gt;"",ISNUMBER(M1410)),Q1410,"")</f>
        <v/>
      </c>
      <c r="AB1410">
        <f>IF(AND(Q1410&lt;&gt;"",ISNUMBER(K1410)),K1410,"")</f>
        <v/>
      </c>
      <c r="AC1410">
        <f>IF(AND(Q1410&lt;&gt;"",ISNUMBER(L1410)),L1410,"")</f>
        <v/>
      </c>
      <c r="AD1410">
        <f>IF(AND(Q1410&lt;&gt;"",ISNUMBER(M1410)),M1410,"")</f>
        <v/>
      </c>
    </row>
    <row r="1411">
      <c r="A1411" s="1" t="n"/>
      <c r="B1411" s="17" t="n"/>
      <c r="C1411" s="27" t="n"/>
      <c r="D1411" s="28" t="n"/>
      <c r="E1411" s="28" t="n"/>
      <c r="F1411" s="28" t="n"/>
      <c r="G1411" s="28" t="n"/>
      <c r="H1411" s="28" t="n"/>
      <c r="I1411" s="28" t="n"/>
      <c r="J1411" s="28" t="n"/>
      <c r="K1411" s="28" t="n"/>
      <c r="L1411" s="28" t="n"/>
      <c r="M1411" s="29" t="n"/>
      <c r="N1411" s="21" t="n"/>
      <c r="O1411" s="12">
        <f>IF(AND(B1411="",C1411=""),"",IF(NOT(ISNUMBER(B1411)),"Needs a date",IF(C1411="","Needs a client",IF(COUNTIF(Clients!$B$6:$B$105,C1411)=0,"Not on Clients",IF(COUNT(D1411:M1411)=0,"Nothing measured","")))))</f>
        <v/>
      </c>
      <c r="P1411" s="1">
        <f>IF(AND(O1411="",ISNUMBER(B1411)),INT(B1411),0)</f>
        <v/>
      </c>
      <c r="Q1411">
        <f>IF(AND(P1411&gt;0,C1411=Report!$C$5),P1411*10000+ROW(),"")</f>
        <v/>
      </c>
      <c r="R1411">
        <f>IF(AND(Q1411&lt;&gt;"",ISNUMBER(D1411)),Q1411,"")</f>
        <v/>
      </c>
      <c r="S1411">
        <f>IF(AND(Q1411&lt;&gt;"",ISNUMBER(E1411)),Q1411,"")</f>
        <v/>
      </c>
      <c r="T1411">
        <f>IF(AND(Q1411&lt;&gt;"",ISNUMBER(F1411)),Q1411,"")</f>
        <v/>
      </c>
      <c r="U1411">
        <f>IF(AND(Q1411&lt;&gt;"",ISNUMBER(G1411)),Q1411,"")</f>
        <v/>
      </c>
      <c r="V1411">
        <f>IF(AND(Q1411&lt;&gt;"",ISNUMBER(H1411)),Q1411,"")</f>
        <v/>
      </c>
      <c r="W1411">
        <f>IF(AND(Q1411&lt;&gt;"",ISNUMBER(I1411)),Q1411,"")</f>
        <v/>
      </c>
      <c r="X1411">
        <f>IF(AND(Q1411&lt;&gt;"",ISNUMBER(J1411)),Q1411,"")</f>
        <v/>
      </c>
      <c r="Y1411">
        <f>IF(AND(Q1411&lt;&gt;"",ISNUMBER(K1411)),Q1411,"")</f>
        <v/>
      </c>
      <c r="Z1411">
        <f>IF(AND(Q1411&lt;&gt;"",ISNUMBER(L1411)),Q1411,"")</f>
        <v/>
      </c>
      <c r="AA1411">
        <f>IF(AND(Q1411&lt;&gt;"",ISNUMBER(M1411)),Q1411,"")</f>
        <v/>
      </c>
      <c r="AB1411">
        <f>IF(AND(Q1411&lt;&gt;"",ISNUMBER(K1411)),K1411,"")</f>
        <v/>
      </c>
      <c r="AC1411">
        <f>IF(AND(Q1411&lt;&gt;"",ISNUMBER(L1411)),L1411,"")</f>
        <v/>
      </c>
      <c r="AD1411">
        <f>IF(AND(Q1411&lt;&gt;"",ISNUMBER(M1411)),M1411,"")</f>
        <v/>
      </c>
    </row>
    <row r="1412">
      <c r="A1412" s="1" t="n"/>
      <c r="B1412" s="17" t="n"/>
      <c r="C1412" s="27" t="n"/>
      <c r="D1412" s="28" t="n"/>
      <c r="E1412" s="28" t="n"/>
      <c r="F1412" s="28" t="n"/>
      <c r="G1412" s="28" t="n"/>
      <c r="H1412" s="28" t="n"/>
      <c r="I1412" s="28" t="n"/>
      <c r="J1412" s="28" t="n"/>
      <c r="K1412" s="28" t="n"/>
      <c r="L1412" s="28" t="n"/>
      <c r="M1412" s="29" t="n"/>
      <c r="N1412" s="21" t="n"/>
      <c r="O1412" s="12">
        <f>IF(AND(B1412="",C1412=""),"",IF(NOT(ISNUMBER(B1412)),"Needs a date",IF(C1412="","Needs a client",IF(COUNTIF(Clients!$B$6:$B$105,C1412)=0,"Not on Clients",IF(COUNT(D1412:M1412)=0,"Nothing measured","")))))</f>
        <v/>
      </c>
      <c r="P1412" s="1">
        <f>IF(AND(O1412="",ISNUMBER(B1412)),INT(B1412),0)</f>
        <v/>
      </c>
      <c r="Q1412">
        <f>IF(AND(P1412&gt;0,C1412=Report!$C$5),P1412*10000+ROW(),"")</f>
        <v/>
      </c>
      <c r="R1412">
        <f>IF(AND(Q1412&lt;&gt;"",ISNUMBER(D1412)),Q1412,"")</f>
        <v/>
      </c>
      <c r="S1412">
        <f>IF(AND(Q1412&lt;&gt;"",ISNUMBER(E1412)),Q1412,"")</f>
        <v/>
      </c>
      <c r="T1412">
        <f>IF(AND(Q1412&lt;&gt;"",ISNUMBER(F1412)),Q1412,"")</f>
        <v/>
      </c>
      <c r="U1412">
        <f>IF(AND(Q1412&lt;&gt;"",ISNUMBER(G1412)),Q1412,"")</f>
        <v/>
      </c>
      <c r="V1412">
        <f>IF(AND(Q1412&lt;&gt;"",ISNUMBER(H1412)),Q1412,"")</f>
        <v/>
      </c>
      <c r="W1412">
        <f>IF(AND(Q1412&lt;&gt;"",ISNUMBER(I1412)),Q1412,"")</f>
        <v/>
      </c>
      <c r="X1412">
        <f>IF(AND(Q1412&lt;&gt;"",ISNUMBER(J1412)),Q1412,"")</f>
        <v/>
      </c>
      <c r="Y1412">
        <f>IF(AND(Q1412&lt;&gt;"",ISNUMBER(K1412)),Q1412,"")</f>
        <v/>
      </c>
      <c r="Z1412">
        <f>IF(AND(Q1412&lt;&gt;"",ISNUMBER(L1412)),Q1412,"")</f>
        <v/>
      </c>
      <c r="AA1412">
        <f>IF(AND(Q1412&lt;&gt;"",ISNUMBER(M1412)),Q1412,"")</f>
        <v/>
      </c>
      <c r="AB1412">
        <f>IF(AND(Q1412&lt;&gt;"",ISNUMBER(K1412)),K1412,"")</f>
        <v/>
      </c>
      <c r="AC1412">
        <f>IF(AND(Q1412&lt;&gt;"",ISNUMBER(L1412)),L1412,"")</f>
        <v/>
      </c>
      <c r="AD1412">
        <f>IF(AND(Q1412&lt;&gt;"",ISNUMBER(M1412)),M1412,"")</f>
        <v/>
      </c>
    </row>
    <row r="1413">
      <c r="A1413" s="1" t="n"/>
      <c r="B1413" s="17" t="n"/>
      <c r="C1413" s="27" t="n"/>
      <c r="D1413" s="28" t="n"/>
      <c r="E1413" s="28" t="n"/>
      <c r="F1413" s="28" t="n"/>
      <c r="G1413" s="28" t="n"/>
      <c r="H1413" s="28" t="n"/>
      <c r="I1413" s="28" t="n"/>
      <c r="J1413" s="28" t="n"/>
      <c r="K1413" s="28" t="n"/>
      <c r="L1413" s="28" t="n"/>
      <c r="M1413" s="29" t="n"/>
      <c r="N1413" s="21" t="n"/>
      <c r="O1413" s="12">
        <f>IF(AND(B1413="",C1413=""),"",IF(NOT(ISNUMBER(B1413)),"Needs a date",IF(C1413="","Needs a client",IF(COUNTIF(Clients!$B$6:$B$105,C1413)=0,"Not on Clients",IF(COUNT(D1413:M1413)=0,"Nothing measured","")))))</f>
        <v/>
      </c>
      <c r="P1413" s="1">
        <f>IF(AND(O1413="",ISNUMBER(B1413)),INT(B1413),0)</f>
        <v/>
      </c>
      <c r="Q1413">
        <f>IF(AND(P1413&gt;0,C1413=Report!$C$5),P1413*10000+ROW(),"")</f>
        <v/>
      </c>
      <c r="R1413">
        <f>IF(AND(Q1413&lt;&gt;"",ISNUMBER(D1413)),Q1413,"")</f>
        <v/>
      </c>
      <c r="S1413">
        <f>IF(AND(Q1413&lt;&gt;"",ISNUMBER(E1413)),Q1413,"")</f>
        <v/>
      </c>
      <c r="T1413">
        <f>IF(AND(Q1413&lt;&gt;"",ISNUMBER(F1413)),Q1413,"")</f>
        <v/>
      </c>
      <c r="U1413">
        <f>IF(AND(Q1413&lt;&gt;"",ISNUMBER(G1413)),Q1413,"")</f>
        <v/>
      </c>
      <c r="V1413">
        <f>IF(AND(Q1413&lt;&gt;"",ISNUMBER(H1413)),Q1413,"")</f>
        <v/>
      </c>
      <c r="W1413">
        <f>IF(AND(Q1413&lt;&gt;"",ISNUMBER(I1413)),Q1413,"")</f>
        <v/>
      </c>
      <c r="X1413">
        <f>IF(AND(Q1413&lt;&gt;"",ISNUMBER(J1413)),Q1413,"")</f>
        <v/>
      </c>
      <c r="Y1413">
        <f>IF(AND(Q1413&lt;&gt;"",ISNUMBER(K1413)),Q1413,"")</f>
        <v/>
      </c>
      <c r="Z1413">
        <f>IF(AND(Q1413&lt;&gt;"",ISNUMBER(L1413)),Q1413,"")</f>
        <v/>
      </c>
      <c r="AA1413">
        <f>IF(AND(Q1413&lt;&gt;"",ISNUMBER(M1413)),Q1413,"")</f>
        <v/>
      </c>
      <c r="AB1413">
        <f>IF(AND(Q1413&lt;&gt;"",ISNUMBER(K1413)),K1413,"")</f>
        <v/>
      </c>
      <c r="AC1413">
        <f>IF(AND(Q1413&lt;&gt;"",ISNUMBER(L1413)),L1413,"")</f>
        <v/>
      </c>
      <c r="AD1413">
        <f>IF(AND(Q1413&lt;&gt;"",ISNUMBER(M1413)),M1413,"")</f>
        <v/>
      </c>
    </row>
    <row r="1414">
      <c r="A1414" s="1" t="n"/>
      <c r="B1414" s="17" t="n"/>
      <c r="C1414" s="27" t="n"/>
      <c r="D1414" s="28" t="n"/>
      <c r="E1414" s="28" t="n"/>
      <c r="F1414" s="28" t="n"/>
      <c r="G1414" s="28" t="n"/>
      <c r="H1414" s="28" t="n"/>
      <c r="I1414" s="28" t="n"/>
      <c r="J1414" s="28" t="n"/>
      <c r="K1414" s="28" t="n"/>
      <c r="L1414" s="28" t="n"/>
      <c r="M1414" s="29" t="n"/>
      <c r="N1414" s="21" t="n"/>
      <c r="O1414" s="12">
        <f>IF(AND(B1414="",C1414=""),"",IF(NOT(ISNUMBER(B1414)),"Needs a date",IF(C1414="","Needs a client",IF(COUNTIF(Clients!$B$6:$B$105,C1414)=0,"Not on Clients",IF(COUNT(D1414:M1414)=0,"Nothing measured","")))))</f>
        <v/>
      </c>
      <c r="P1414" s="1">
        <f>IF(AND(O1414="",ISNUMBER(B1414)),INT(B1414),0)</f>
        <v/>
      </c>
      <c r="Q1414">
        <f>IF(AND(P1414&gt;0,C1414=Report!$C$5),P1414*10000+ROW(),"")</f>
        <v/>
      </c>
      <c r="R1414">
        <f>IF(AND(Q1414&lt;&gt;"",ISNUMBER(D1414)),Q1414,"")</f>
        <v/>
      </c>
      <c r="S1414">
        <f>IF(AND(Q1414&lt;&gt;"",ISNUMBER(E1414)),Q1414,"")</f>
        <v/>
      </c>
      <c r="T1414">
        <f>IF(AND(Q1414&lt;&gt;"",ISNUMBER(F1414)),Q1414,"")</f>
        <v/>
      </c>
      <c r="U1414">
        <f>IF(AND(Q1414&lt;&gt;"",ISNUMBER(G1414)),Q1414,"")</f>
        <v/>
      </c>
      <c r="V1414">
        <f>IF(AND(Q1414&lt;&gt;"",ISNUMBER(H1414)),Q1414,"")</f>
        <v/>
      </c>
      <c r="W1414">
        <f>IF(AND(Q1414&lt;&gt;"",ISNUMBER(I1414)),Q1414,"")</f>
        <v/>
      </c>
      <c r="X1414">
        <f>IF(AND(Q1414&lt;&gt;"",ISNUMBER(J1414)),Q1414,"")</f>
        <v/>
      </c>
      <c r="Y1414">
        <f>IF(AND(Q1414&lt;&gt;"",ISNUMBER(K1414)),Q1414,"")</f>
        <v/>
      </c>
      <c r="Z1414">
        <f>IF(AND(Q1414&lt;&gt;"",ISNUMBER(L1414)),Q1414,"")</f>
        <v/>
      </c>
      <c r="AA1414">
        <f>IF(AND(Q1414&lt;&gt;"",ISNUMBER(M1414)),Q1414,"")</f>
        <v/>
      </c>
      <c r="AB1414">
        <f>IF(AND(Q1414&lt;&gt;"",ISNUMBER(K1414)),K1414,"")</f>
        <v/>
      </c>
      <c r="AC1414">
        <f>IF(AND(Q1414&lt;&gt;"",ISNUMBER(L1414)),L1414,"")</f>
        <v/>
      </c>
      <c r="AD1414">
        <f>IF(AND(Q1414&lt;&gt;"",ISNUMBER(M1414)),M1414,"")</f>
        <v/>
      </c>
    </row>
    <row r="1415">
      <c r="A1415" s="1" t="n"/>
      <c r="B1415" s="17" t="n"/>
      <c r="C1415" s="27" t="n"/>
      <c r="D1415" s="28" t="n"/>
      <c r="E1415" s="28" t="n"/>
      <c r="F1415" s="28" t="n"/>
      <c r="G1415" s="28" t="n"/>
      <c r="H1415" s="28" t="n"/>
      <c r="I1415" s="28" t="n"/>
      <c r="J1415" s="28" t="n"/>
      <c r="K1415" s="28" t="n"/>
      <c r="L1415" s="28" t="n"/>
      <c r="M1415" s="29" t="n"/>
      <c r="N1415" s="21" t="n"/>
      <c r="O1415" s="12">
        <f>IF(AND(B1415="",C1415=""),"",IF(NOT(ISNUMBER(B1415)),"Needs a date",IF(C1415="","Needs a client",IF(COUNTIF(Clients!$B$6:$B$105,C1415)=0,"Not on Clients",IF(COUNT(D1415:M1415)=0,"Nothing measured","")))))</f>
        <v/>
      </c>
      <c r="P1415" s="1">
        <f>IF(AND(O1415="",ISNUMBER(B1415)),INT(B1415),0)</f>
        <v/>
      </c>
      <c r="Q1415">
        <f>IF(AND(P1415&gt;0,C1415=Report!$C$5),P1415*10000+ROW(),"")</f>
        <v/>
      </c>
      <c r="R1415">
        <f>IF(AND(Q1415&lt;&gt;"",ISNUMBER(D1415)),Q1415,"")</f>
        <v/>
      </c>
      <c r="S1415">
        <f>IF(AND(Q1415&lt;&gt;"",ISNUMBER(E1415)),Q1415,"")</f>
        <v/>
      </c>
      <c r="T1415">
        <f>IF(AND(Q1415&lt;&gt;"",ISNUMBER(F1415)),Q1415,"")</f>
        <v/>
      </c>
      <c r="U1415">
        <f>IF(AND(Q1415&lt;&gt;"",ISNUMBER(G1415)),Q1415,"")</f>
        <v/>
      </c>
      <c r="V1415">
        <f>IF(AND(Q1415&lt;&gt;"",ISNUMBER(H1415)),Q1415,"")</f>
        <v/>
      </c>
      <c r="W1415">
        <f>IF(AND(Q1415&lt;&gt;"",ISNUMBER(I1415)),Q1415,"")</f>
        <v/>
      </c>
      <c r="X1415">
        <f>IF(AND(Q1415&lt;&gt;"",ISNUMBER(J1415)),Q1415,"")</f>
        <v/>
      </c>
      <c r="Y1415">
        <f>IF(AND(Q1415&lt;&gt;"",ISNUMBER(K1415)),Q1415,"")</f>
        <v/>
      </c>
      <c r="Z1415">
        <f>IF(AND(Q1415&lt;&gt;"",ISNUMBER(L1415)),Q1415,"")</f>
        <v/>
      </c>
      <c r="AA1415">
        <f>IF(AND(Q1415&lt;&gt;"",ISNUMBER(M1415)),Q1415,"")</f>
        <v/>
      </c>
      <c r="AB1415">
        <f>IF(AND(Q1415&lt;&gt;"",ISNUMBER(K1415)),K1415,"")</f>
        <v/>
      </c>
      <c r="AC1415">
        <f>IF(AND(Q1415&lt;&gt;"",ISNUMBER(L1415)),L1415,"")</f>
        <v/>
      </c>
      <c r="AD1415">
        <f>IF(AND(Q1415&lt;&gt;"",ISNUMBER(M1415)),M1415,"")</f>
        <v/>
      </c>
    </row>
    <row r="1416">
      <c r="A1416" s="1" t="n"/>
      <c r="B1416" s="17" t="n"/>
      <c r="C1416" s="27" t="n"/>
      <c r="D1416" s="28" t="n"/>
      <c r="E1416" s="28" t="n"/>
      <c r="F1416" s="28" t="n"/>
      <c r="G1416" s="28" t="n"/>
      <c r="H1416" s="28" t="n"/>
      <c r="I1416" s="28" t="n"/>
      <c r="J1416" s="28" t="n"/>
      <c r="K1416" s="28" t="n"/>
      <c r="L1416" s="28" t="n"/>
      <c r="M1416" s="29" t="n"/>
      <c r="N1416" s="21" t="n"/>
      <c r="O1416" s="12">
        <f>IF(AND(B1416="",C1416=""),"",IF(NOT(ISNUMBER(B1416)),"Needs a date",IF(C1416="","Needs a client",IF(COUNTIF(Clients!$B$6:$B$105,C1416)=0,"Not on Clients",IF(COUNT(D1416:M1416)=0,"Nothing measured","")))))</f>
        <v/>
      </c>
      <c r="P1416" s="1">
        <f>IF(AND(O1416="",ISNUMBER(B1416)),INT(B1416),0)</f>
        <v/>
      </c>
      <c r="Q1416">
        <f>IF(AND(P1416&gt;0,C1416=Report!$C$5),P1416*10000+ROW(),"")</f>
        <v/>
      </c>
      <c r="R1416">
        <f>IF(AND(Q1416&lt;&gt;"",ISNUMBER(D1416)),Q1416,"")</f>
        <v/>
      </c>
      <c r="S1416">
        <f>IF(AND(Q1416&lt;&gt;"",ISNUMBER(E1416)),Q1416,"")</f>
        <v/>
      </c>
      <c r="T1416">
        <f>IF(AND(Q1416&lt;&gt;"",ISNUMBER(F1416)),Q1416,"")</f>
        <v/>
      </c>
      <c r="U1416">
        <f>IF(AND(Q1416&lt;&gt;"",ISNUMBER(G1416)),Q1416,"")</f>
        <v/>
      </c>
      <c r="V1416">
        <f>IF(AND(Q1416&lt;&gt;"",ISNUMBER(H1416)),Q1416,"")</f>
        <v/>
      </c>
      <c r="W1416">
        <f>IF(AND(Q1416&lt;&gt;"",ISNUMBER(I1416)),Q1416,"")</f>
        <v/>
      </c>
      <c r="X1416">
        <f>IF(AND(Q1416&lt;&gt;"",ISNUMBER(J1416)),Q1416,"")</f>
        <v/>
      </c>
      <c r="Y1416">
        <f>IF(AND(Q1416&lt;&gt;"",ISNUMBER(K1416)),Q1416,"")</f>
        <v/>
      </c>
      <c r="Z1416">
        <f>IF(AND(Q1416&lt;&gt;"",ISNUMBER(L1416)),Q1416,"")</f>
        <v/>
      </c>
      <c r="AA1416">
        <f>IF(AND(Q1416&lt;&gt;"",ISNUMBER(M1416)),Q1416,"")</f>
        <v/>
      </c>
      <c r="AB1416">
        <f>IF(AND(Q1416&lt;&gt;"",ISNUMBER(K1416)),K1416,"")</f>
        <v/>
      </c>
      <c r="AC1416">
        <f>IF(AND(Q1416&lt;&gt;"",ISNUMBER(L1416)),L1416,"")</f>
        <v/>
      </c>
      <c r="AD1416">
        <f>IF(AND(Q1416&lt;&gt;"",ISNUMBER(M1416)),M1416,"")</f>
        <v/>
      </c>
    </row>
    <row r="1417">
      <c r="A1417" s="1" t="n"/>
      <c r="B1417" s="17" t="n"/>
      <c r="C1417" s="27" t="n"/>
      <c r="D1417" s="28" t="n"/>
      <c r="E1417" s="28" t="n"/>
      <c r="F1417" s="28" t="n"/>
      <c r="G1417" s="28" t="n"/>
      <c r="H1417" s="28" t="n"/>
      <c r="I1417" s="28" t="n"/>
      <c r="J1417" s="28" t="n"/>
      <c r="K1417" s="28" t="n"/>
      <c r="L1417" s="28" t="n"/>
      <c r="M1417" s="29" t="n"/>
      <c r="N1417" s="21" t="n"/>
      <c r="O1417" s="12">
        <f>IF(AND(B1417="",C1417=""),"",IF(NOT(ISNUMBER(B1417)),"Needs a date",IF(C1417="","Needs a client",IF(COUNTIF(Clients!$B$6:$B$105,C1417)=0,"Not on Clients",IF(COUNT(D1417:M1417)=0,"Nothing measured","")))))</f>
        <v/>
      </c>
      <c r="P1417" s="1">
        <f>IF(AND(O1417="",ISNUMBER(B1417)),INT(B1417),0)</f>
        <v/>
      </c>
      <c r="Q1417">
        <f>IF(AND(P1417&gt;0,C1417=Report!$C$5),P1417*10000+ROW(),"")</f>
        <v/>
      </c>
      <c r="R1417">
        <f>IF(AND(Q1417&lt;&gt;"",ISNUMBER(D1417)),Q1417,"")</f>
        <v/>
      </c>
      <c r="S1417">
        <f>IF(AND(Q1417&lt;&gt;"",ISNUMBER(E1417)),Q1417,"")</f>
        <v/>
      </c>
      <c r="T1417">
        <f>IF(AND(Q1417&lt;&gt;"",ISNUMBER(F1417)),Q1417,"")</f>
        <v/>
      </c>
      <c r="U1417">
        <f>IF(AND(Q1417&lt;&gt;"",ISNUMBER(G1417)),Q1417,"")</f>
        <v/>
      </c>
      <c r="V1417">
        <f>IF(AND(Q1417&lt;&gt;"",ISNUMBER(H1417)),Q1417,"")</f>
        <v/>
      </c>
      <c r="W1417">
        <f>IF(AND(Q1417&lt;&gt;"",ISNUMBER(I1417)),Q1417,"")</f>
        <v/>
      </c>
      <c r="X1417">
        <f>IF(AND(Q1417&lt;&gt;"",ISNUMBER(J1417)),Q1417,"")</f>
        <v/>
      </c>
      <c r="Y1417">
        <f>IF(AND(Q1417&lt;&gt;"",ISNUMBER(K1417)),Q1417,"")</f>
        <v/>
      </c>
      <c r="Z1417">
        <f>IF(AND(Q1417&lt;&gt;"",ISNUMBER(L1417)),Q1417,"")</f>
        <v/>
      </c>
      <c r="AA1417">
        <f>IF(AND(Q1417&lt;&gt;"",ISNUMBER(M1417)),Q1417,"")</f>
        <v/>
      </c>
      <c r="AB1417">
        <f>IF(AND(Q1417&lt;&gt;"",ISNUMBER(K1417)),K1417,"")</f>
        <v/>
      </c>
      <c r="AC1417">
        <f>IF(AND(Q1417&lt;&gt;"",ISNUMBER(L1417)),L1417,"")</f>
        <v/>
      </c>
      <c r="AD1417">
        <f>IF(AND(Q1417&lt;&gt;"",ISNUMBER(M1417)),M1417,"")</f>
        <v/>
      </c>
    </row>
    <row r="1418">
      <c r="A1418" s="1" t="n"/>
      <c r="B1418" s="17" t="n"/>
      <c r="C1418" s="27" t="n"/>
      <c r="D1418" s="28" t="n"/>
      <c r="E1418" s="28" t="n"/>
      <c r="F1418" s="28" t="n"/>
      <c r="G1418" s="28" t="n"/>
      <c r="H1418" s="28" t="n"/>
      <c r="I1418" s="28" t="n"/>
      <c r="J1418" s="28" t="n"/>
      <c r="K1418" s="28" t="n"/>
      <c r="L1418" s="28" t="n"/>
      <c r="M1418" s="29" t="n"/>
      <c r="N1418" s="21" t="n"/>
      <c r="O1418" s="12">
        <f>IF(AND(B1418="",C1418=""),"",IF(NOT(ISNUMBER(B1418)),"Needs a date",IF(C1418="","Needs a client",IF(COUNTIF(Clients!$B$6:$B$105,C1418)=0,"Not on Clients",IF(COUNT(D1418:M1418)=0,"Nothing measured","")))))</f>
        <v/>
      </c>
      <c r="P1418" s="1">
        <f>IF(AND(O1418="",ISNUMBER(B1418)),INT(B1418),0)</f>
        <v/>
      </c>
      <c r="Q1418">
        <f>IF(AND(P1418&gt;0,C1418=Report!$C$5),P1418*10000+ROW(),"")</f>
        <v/>
      </c>
      <c r="R1418">
        <f>IF(AND(Q1418&lt;&gt;"",ISNUMBER(D1418)),Q1418,"")</f>
        <v/>
      </c>
      <c r="S1418">
        <f>IF(AND(Q1418&lt;&gt;"",ISNUMBER(E1418)),Q1418,"")</f>
        <v/>
      </c>
      <c r="T1418">
        <f>IF(AND(Q1418&lt;&gt;"",ISNUMBER(F1418)),Q1418,"")</f>
        <v/>
      </c>
      <c r="U1418">
        <f>IF(AND(Q1418&lt;&gt;"",ISNUMBER(G1418)),Q1418,"")</f>
        <v/>
      </c>
      <c r="V1418">
        <f>IF(AND(Q1418&lt;&gt;"",ISNUMBER(H1418)),Q1418,"")</f>
        <v/>
      </c>
      <c r="W1418">
        <f>IF(AND(Q1418&lt;&gt;"",ISNUMBER(I1418)),Q1418,"")</f>
        <v/>
      </c>
      <c r="X1418">
        <f>IF(AND(Q1418&lt;&gt;"",ISNUMBER(J1418)),Q1418,"")</f>
        <v/>
      </c>
      <c r="Y1418">
        <f>IF(AND(Q1418&lt;&gt;"",ISNUMBER(K1418)),Q1418,"")</f>
        <v/>
      </c>
      <c r="Z1418">
        <f>IF(AND(Q1418&lt;&gt;"",ISNUMBER(L1418)),Q1418,"")</f>
        <v/>
      </c>
      <c r="AA1418">
        <f>IF(AND(Q1418&lt;&gt;"",ISNUMBER(M1418)),Q1418,"")</f>
        <v/>
      </c>
      <c r="AB1418">
        <f>IF(AND(Q1418&lt;&gt;"",ISNUMBER(K1418)),K1418,"")</f>
        <v/>
      </c>
      <c r="AC1418">
        <f>IF(AND(Q1418&lt;&gt;"",ISNUMBER(L1418)),L1418,"")</f>
        <v/>
      </c>
      <c r="AD1418">
        <f>IF(AND(Q1418&lt;&gt;"",ISNUMBER(M1418)),M1418,"")</f>
        <v/>
      </c>
    </row>
    <row r="1419">
      <c r="A1419" s="1" t="n"/>
      <c r="B1419" s="17" t="n"/>
      <c r="C1419" s="27" t="n"/>
      <c r="D1419" s="28" t="n"/>
      <c r="E1419" s="28" t="n"/>
      <c r="F1419" s="28" t="n"/>
      <c r="G1419" s="28" t="n"/>
      <c r="H1419" s="28" t="n"/>
      <c r="I1419" s="28" t="n"/>
      <c r="J1419" s="28" t="n"/>
      <c r="K1419" s="28" t="n"/>
      <c r="L1419" s="28" t="n"/>
      <c r="M1419" s="29" t="n"/>
      <c r="N1419" s="21" t="n"/>
      <c r="O1419" s="12">
        <f>IF(AND(B1419="",C1419=""),"",IF(NOT(ISNUMBER(B1419)),"Needs a date",IF(C1419="","Needs a client",IF(COUNTIF(Clients!$B$6:$B$105,C1419)=0,"Not on Clients",IF(COUNT(D1419:M1419)=0,"Nothing measured","")))))</f>
        <v/>
      </c>
      <c r="P1419" s="1">
        <f>IF(AND(O1419="",ISNUMBER(B1419)),INT(B1419),0)</f>
        <v/>
      </c>
      <c r="Q1419">
        <f>IF(AND(P1419&gt;0,C1419=Report!$C$5),P1419*10000+ROW(),"")</f>
        <v/>
      </c>
      <c r="R1419">
        <f>IF(AND(Q1419&lt;&gt;"",ISNUMBER(D1419)),Q1419,"")</f>
        <v/>
      </c>
      <c r="S1419">
        <f>IF(AND(Q1419&lt;&gt;"",ISNUMBER(E1419)),Q1419,"")</f>
        <v/>
      </c>
      <c r="T1419">
        <f>IF(AND(Q1419&lt;&gt;"",ISNUMBER(F1419)),Q1419,"")</f>
        <v/>
      </c>
      <c r="U1419">
        <f>IF(AND(Q1419&lt;&gt;"",ISNUMBER(G1419)),Q1419,"")</f>
        <v/>
      </c>
      <c r="V1419">
        <f>IF(AND(Q1419&lt;&gt;"",ISNUMBER(H1419)),Q1419,"")</f>
        <v/>
      </c>
      <c r="W1419">
        <f>IF(AND(Q1419&lt;&gt;"",ISNUMBER(I1419)),Q1419,"")</f>
        <v/>
      </c>
      <c r="X1419">
        <f>IF(AND(Q1419&lt;&gt;"",ISNUMBER(J1419)),Q1419,"")</f>
        <v/>
      </c>
      <c r="Y1419">
        <f>IF(AND(Q1419&lt;&gt;"",ISNUMBER(K1419)),Q1419,"")</f>
        <v/>
      </c>
      <c r="Z1419">
        <f>IF(AND(Q1419&lt;&gt;"",ISNUMBER(L1419)),Q1419,"")</f>
        <v/>
      </c>
      <c r="AA1419">
        <f>IF(AND(Q1419&lt;&gt;"",ISNUMBER(M1419)),Q1419,"")</f>
        <v/>
      </c>
      <c r="AB1419">
        <f>IF(AND(Q1419&lt;&gt;"",ISNUMBER(K1419)),K1419,"")</f>
        <v/>
      </c>
      <c r="AC1419">
        <f>IF(AND(Q1419&lt;&gt;"",ISNUMBER(L1419)),L1419,"")</f>
        <v/>
      </c>
      <c r="AD1419">
        <f>IF(AND(Q1419&lt;&gt;"",ISNUMBER(M1419)),M1419,"")</f>
        <v/>
      </c>
    </row>
    <row r="1420">
      <c r="A1420" s="1" t="n"/>
      <c r="B1420" s="17" t="n"/>
      <c r="C1420" s="27" t="n"/>
      <c r="D1420" s="28" t="n"/>
      <c r="E1420" s="28" t="n"/>
      <c r="F1420" s="28" t="n"/>
      <c r="G1420" s="28" t="n"/>
      <c r="H1420" s="28" t="n"/>
      <c r="I1420" s="28" t="n"/>
      <c r="J1420" s="28" t="n"/>
      <c r="K1420" s="28" t="n"/>
      <c r="L1420" s="28" t="n"/>
      <c r="M1420" s="29" t="n"/>
      <c r="N1420" s="21" t="n"/>
      <c r="O1420" s="12">
        <f>IF(AND(B1420="",C1420=""),"",IF(NOT(ISNUMBER(B1420)),"Needs a date",IF(C1420="","Needs a client",IF(COUNTIF(Clients!$B$6:$B$105,C1420)=0,"Not on Clients",IF(COUNT(D1420:M1420)=0,"Nothing measured","")))))</f>
        <v/>
      </c>
      <c r="P1420" s="1">
        <f>IF(AND(O1420="",ISNUMBER(B1420)),INT(B1420),0)</f>
        <v/>
      </c>
      <c r="Q1420">
        <f>IF(AND(P1420&gt;0,C1420=Report!$C$5),P1420*10000+ROW(),"")</f>
        <v/>
      </c>
      <c r="R1420">
        <f>IF(AND(Q1420&lt;&gt;"",ISNUMBER(D1420)),Q1420,"")</f>
        <v/>
      </c>
      <c r="S1420">
        <f>IF(AND(Q1420&lt;&gt;"",ISNUMBER(E1420)),Q1420,"")</f>
        <v/>
      </c>
      <c r="T1420">
        <f>IF(AND(Q1420&lt;&gt;"",ISNUMBER(F1420)),Q1420,"")</f>
        <v/>
      </c>
      <c r="U1420">
        <f>IF(AND(Q1420&lt;&gt;"",ISNUMBER(G1420)),Q1420,"")</f>
        <v/>
      </c>
      <c r="V1420">
        <f>IF(AND(Q1420&lt;&gt;"",ISNUMBER(H1420)),Q1420,"")</f>
        <v/>
      </c>
      <c r="W1420">
        <f>IF(AND(Q1420&lt;&gt;"",ISNUMBER(I1420)),Q1420,"")</f>
        <v/>
      </c>
      <c r="X1420">
        <f>IF(AND(Q1420&lt;&gt;"",ISNUMBER(J1420)),Q1420,"")</f>
        <v/>
      </c>
      <c r="Y1420">
        <f>IF(AND(Q1420&lt;&gt;"",ISNUMBER(K1420)),Q1420,"")</f>
        <v/>
      </c>
      <c r="Z1420">
        <f>IF(AND(Q1420&lt;&gt;"",ISNUMBER(L1420)),Q1420,"")</f>
        <v/>
      </c>
      <c r="AA1420">
        <f>IF(AND(Q1420&lt;&gt;"",ISNUMBER(M1420)),Q1420,"")</f>
        <v/>
      </c>
      <c r="AB1420">
        <f>IF(AND(Q1420&lt;&gt;"",ISNUMBER(K1420)),K1420,"")</f>
        <v/>
      </c>
      <c r="AC1420">
        <f>IF(AND(Q1420&lt;&gt;"",ISNUMBER(L1420)),L1420,"")</f>
        <v/>
      </c>
      <c r="AD1420">
        <f>IF(AND(Q1420&lt;&gt;"",ISNUMBER(M1420)),M1420,"")</f>
        <v/>
      </c>
    </row>
    <row r="1421">
      <c r="A1421" s="1" t="n"/>
      <c r="B1421" s="17" t="n"/>
      <c r="C1421" s="27" t="n"/>
      <c r="D1421" s="28" t="n"/>
      <c r="E1421" s="28" t="n"/>
      <c r="F1421" s="28" t="n"/>
      <c r="G1421" s="28" t="n"/>
      <c r="H1421" s="28" t="n"/>
      <c r="I1421" s="28" t="n"/>
      <c r="J1421" s="28" t="n"/>
      <c r="K1421" s="28" t="n"/>
      <c r="L1421" s="28" t="n"/>
      <c r="M1421" s="29" t="n"/>
      <c r="N1421" s="21" t="n"/>
      <c r="O1421" s="12">
        <f>IF(AND(B1421="",C1421=""),"",IF(NOT(ISNUMBER(B1421)),"Needs a date",IF(C1421="","Needs a client",IF(COUNTIF(Clients!$B$6:$B$105,C1421)=0,"Not on Clients",IF(COUNT(D1421:M1421)=0,"Nothing measured","")))))</f>
        <v/>
      </c>
      <c r="P1421" s="1">
        <f>IF(AND(O1421="",ISNUMBER(B1421)),INT(B1421),0)</f>
        <v/>
      </c>
      <c r="Q1421">
        <f>IF(AND(P1421&gt;0,C1421=Report!$C$5),P1421*10000+ROW(),"")</f>
        <v/>
      </c>
      <c r="R1421">
        <f>IF(AND(Q1421&lt;&gt;"",ISNUMBER(D1421)),Q1421,"")</f>
        <v/>
      </c>
      <c r="S1421">
        <f>IF(AND(Q1421&lt;&gt;"",ISNUMBER(E1421)),Q1421,"")</f>
        <v/>
      </c>
      <c r="T1421">
        <f>IF(AND(Q1421&lt;&gt;"",ISNUMBER(F1421)),Q1421,"")</f>
        <v/>
      </c>
      <c r="U1421">
        <f>IF(AND(Q1421&lt;&gt;"",ISNUMBER(G1421)),Q1421,"")</f>
        <v/>
      </c>
      <c r="V1421">
        <f>IF(AND(Q1421&lt;&gt;"",ISNUMBER(H1421)),Q1421,"")</f>
        <v/>
      </c>
      <c r="W1421">
        <f>IF(AND(Q1421&lt;&gt;"",ISNUMBER(I1421)),Q1421,"")</f>
        <v/>
      </c>
      <c r="X1421">
        <f>IF(AND(Q1421&lt;&gt;"",ISNUMBER(J1421)),Q1421,"")</f>
        <v/>
      </c>
      <c r="Y1421">
        <f>IF(AND(Q1421&lt;&gt;"",ISNUMBER(K1421)),Q1421,"")</f>
        <v/>
      </c>
      <c r="Z1421">
        <f>IF(AND(Q1421&lt;&gt;"",ISNUMBER(L1421)),Q1421,"")</f>
        <v/>
      </c>
      <c r="AA1421">
        <f>IF(AND(Q1421&lt;&gt;"",ISNUMBER(M1421)),Q1421,"")</f>
        <v/>
      </c>
      <c r="AB1421">
        <f>IF(AND(Q1421&lt;&gt;"",ISNUMBER(K1421)),K1421,"")</f>
        <v/>
      </c>
      <c r="AC1421">
        <f>IF(AND(Q1421&lt;&gt;"",ISNUMBER(L1421)),L1421,"")</f>
        <v/>
      </c>
      <c r="AD1421">
        <f>IF(AND(Q1421&lt;&gt;"",ISNUMBER(M1421)),M1421,"")</f>
        <v/>
      </c>
    </row>
    <row r="1422">
      <c r="A1422" s="1" t="n"/>
      <c r="B1422" s="17" t="n"/>
      <c r="C1422" s="27" t="n"/>
      <c r="D1422" s="28" t="n"/>
      <c r="E1422" s="28" t="n"/>
      <c r="F1422" s="28" t="n"/>
      <c r="G1422" s="28" t="n"/>
      <c r="H1422" s="28" t="n"/>
      <c r="I1422" s="28" t="n"/>
      <c r="J1422" s="28" t="n"/>
      <c r="K1422" s="28" t="n"/>
      <c r="L1422" s="28" t="n"/>
      <c r="M1422" s="29" t="n"/>
      <c r="N1422" s="21" t="n"/>
      <c r="O1422" s="12">
        <f>IF(AND(B1422="",C1422=""),"",IF(NOT(ISNUMBER(B1422)),"Needs a date",IF(C1422="","Needs a client",IF(COUNTIF(Clients!$B$6:$B$105,C1422)=0,"Not on Clients",IF(COUNT(D1422:M1422)=0,"Nothing measured","")))))</f>
        <v/>
      </c>
      <c r="P1422" s="1">
        <f>IF(AND(O1422="",ISNUMBER(B1422)),INT(B1422),0)</f>
        <v/>
      </c>
      <c r="Q1422">
        <f>IF(AND(P1422&gt;0,C1422=Report!$C$5),P1422*10000+ROW(),"")</f>
        <v/>
      </c>
      <c r="R1422">
        <f>IF(AND(Q1422&lt;&gt;"",ISNUMBER(D1422)),Q1422,"")</f>
        <v/>
      </c>
      <c r="S1422">
        <f>IF(AND(Q1422&lt;&gt;"",ISNUMBER(E1422)),Q1422,"")</f>
        <v/>
      </c>
      <c r="T1422">
        <f>IF(AND(Q1422&lt;&gt;"",ISNUMBER(F1422)),Q1422,"")</f>
        <v/>
      </c>
      <c r="U1422">
        <f>IF(AND(Q1422&lt;&gt;"",ISNUMBER(G1422)),Q1422,"")</f>
        <v/>
      </c>
      <c r="V1422">
        <f>IF(AND(Q1422&lt;&gt;"",ISNUMBER(H1422)),Q1422,"")</f>
        <v/>
      </c>
      <c r="W1422">
        <f>IF(AND(Q1422&lt;&gt;"",ISNUMBER(I1422)),Q1422,"")</f>
        <v/>
      </c>
      <c r="X1422">
        <f>IF(AND(Q1422&lt;&gt;"",ISNUMBER(J1422)),Q1422,"")</f>
        <v/>
      </c>
      <c r="Y1422">
        <f>IF(AND(Q1422&lt;&gt;"",ISNUMBER(K1422)),Q1422,"")</f>
        <v/>
      </c>
      <c r="Z1422">
        <f>IF(AND(Q1422&lt;&gt;"",ISNUMBER(L1422)),Q1422,"")</f>
        <v/>
      </c>
      <c r="AA1422">
        <f>IF(AND(Q1422&lt;&gt;"",ISNUMBER(M1422)),Q1422,"")</f>
        <v/>
      </c>
      <c r="AB1422">
        <f>IF(AND(Q1422&lt;&gt;"",ISNUMBER(K1422)),K1422,"")</f>
        <v/>
      </c>
      <c r="AC1422">
        <f>IF(AND(Q1422&lt;&gt;"",ISNUMBER(L1422)),L1422,"")</f>
        <v/>
      </c>
      <c r="AD1422">
        <f>IF(AND(Q1422&lt;&gt;"",ISNUMBER(M1422)),M1422,"")</f>
        <v/>
      </c>
    </row>
    <row r="1423">
      <c r="A1423" s="1" t="n"/>
      <c r="B1423" s="17" t="n"/>
      <c r="C1423" s="27" t="n"/>
      <c r="D1423" s="28" t="n"/>
      <c r="E1423" s="28" t="n"/>
      <c r="F1423" s="28" t="n"/>
      <c r="G1423" s="28" t="n"/>
      <c r="H1423" s="28" t="n"/>
      <c r="I1423" s="28" t="n"/>
      <c r="J1423" s="28" t="n"/>
      <c r="K1423" s="28" t="n"/>
      <c r="L1423" s="28" t="n"/>
      <c r="M1423" s="29" t="n"/>
      <c r="N1423" s="21" t="n"/>
      <c r="O1423" s="12">
        <f>IF(AND(B1423="",C1423=""),"",IF(NOT(ISNUMBER(B1423)),"Needs a date",IF(C1423="","Needs a client",IF(COUNTIF(Clients!$B$6:$B$105,C1423)=0,"Not on Clients",IF(COUNT(D1423:M1423)=0,"Nothing measured","")))))</f>
        <v/>
      </c>
      <c r="P1423" s="1">
        <f>IF(AND(O1423="",ISNUMBER(B1423)),INT(B1423),0)</f>
        <v/>
      </c>
      <c r="Q1423">
        <f>IF(AND(P1423&gt;0,C1423=Report!$C$5),P1423*10000+ROW(),"")</f>
        <v/>
      </c>
      <c r="R1423">
        <f>IF(AND(Q1423&lt;&gt;"",ISNUMBER(D1423)),Q1423,"")</f>
        <v/>
      </c>
      <c r="S1423">
        <f>IF(AND(Q1423&lt;&gt;"",ISNUMBER(E1423)),Q1423,"")</f>
        <v/>
      </c>
      <c r="T1423">
        <f>IF(AND(Q1423&lt;&gt;"",ISNUMBER(F1423)),Q1423,"")</f>
        <v/>
      </c>
      <c r="U1423">
        <f>IF(AND(Q1423&lt;&gt;"",ISNUMBER(G1423)),Q1423,"")</f>
        <v/>
      </c>
      <c r="V1423">
        <f>IF(AND(Q1423&lt;&gt;"",ISNUMBER(H1423)),Q1423,"")</f>
        <v/>
      </c>
      <c r="W1423">
        <f>IF(AND(Q1423&lt;&gt;"",ISNUMBER(I1423)),Q1423,"")</f>
        <v/>
      </c>
      <c r="X1423">
        <f>IF(AND(Q1423&lt;&gt;"",ISNUMBER(J1423)),Q1423,"")</f>
        <v/>
      </c>
      <c r="Y1423">
        <f>IF(AND(Q1423&lt;&gt;"",ISNUMBER(K1423)),Q1423,"")</f>
        <v/>
      </c>
      <c r="Z1423">
        <f>IF(AND(Q1423&lt;&gt;"",ISNUMBER(L1423)),Q1423,"")</f>
        <v/>
      </c>
      <c r="AA1423">
        <f>IF(AND(Q1423&lt;&gt;"",ISNUMBER(M1423)),Q1423,"")</f>
        <v/>
      </c>
      <c r="AB1423">
        <f>IF(AND(Q1423&lt;&gt;"",ISNUMBER(K1423)),K1423,"")</f>
        <v/>
      </c>
      <c r="AC1423">
        <f>IF(AND(Q1423&lt;&gt;"",ISNUMBER(L1423)),L1423,"")</f>
        <v/>
      </c>
      <c r="AD1423">
        <f>IF(AND(Q1423&lt;&gt;"",ISNUMBER(M1423)),M1423,"")</f>
        <v/>
      </c>
    </row>
    <row r="1424">
      <c r="A1424" s="1" t="n"/>
      <c r="B1424" s="17" t="n"/>
      <c r="C1424" s="27" t="n"/>
      <c r="D1424" s="28" t="n"/>
      <c r="E1424" s="28" t="n"/>
      <c r="F1424" s="28" t="n"/>
      <c r="G1424" s="28" t="n"/>
      <c r="H1424" s="28" t="n"/>
      <c r="I1424" s="28" t="n"/>
      <c r="J1424" s="28" t="n"/>
      <c r="K1424" s="28" t="n"/>
      <c r="L1424" s="28" t="n"/>
      <c r="M1424" s="29" t="n"/>
      <c r="N1424" s="21" t="n"/>
      <c r="O1424" s="12">
        <f>IF(AND(B1424="",C1424=""),"",IF(NOT(ISNUMBER(B1424)),"Needs a date",IF(C1424="","Needs a client",IF(COUNTIF(Clients!$B$6:$B$105,C1424)=0,"Not on Clients",IF(COUNT(D1424:M1424)=0,"Nothing measured","")))))</f>
        <v/>
      </c>
      <c r="P1424" s="1">
        <f>IF(AND(O1424="",ISNUMBER(B1424)),INT(B1424),0)</f>
        <v/>
      </c>
      <c r="Q1424">
        <f>IF(AND(P1424&gt;0,C1424=Report!$C$5),P1424*10000+ROW(),"")</f>
        <v/>
      </c>
      <c r="R1424">
        <f>IF(AND(Q1424&lt;&gt;"",ISNUMBER(D1424)),Q1424,"")</f>
        <v/>
      </c>
      <c r="S1424">
        <f>IF(AND(Q1424&lt;&gt;"",ISNUMBER(E1424)),Q1424,"")</f>
        <v/>
      </c>
      <c r="T1424">
        <f>IF(AND(Q1424&lt;&gt;"",ISNUMBER(F1424)),Q1424,"")</f>
        <v/>
      </c>
      <c r="U1424">
        <f>IF(AND(Q1424&lt;&gt;"",ISNUMBER(G1424)),Q1424,"")</f>
        <v/>
      </c>
      <c r="V1424">
        <f>IF(AND(Q1424&lt;&gt;"",ISNUMBER(H1424)),Q1424,"")</f>
        <v/>
      </c>
      <c r="W1424">
        <f>IF(AND(Q1424&lt;&gt;"",ISNUMBER(I1424)),Q1424,"")</f>
        <v/>
      </c>
      <c r="X1424">
        <f>IF(AND(Q1424&lt;&gt;"",ISNUMBER(J1424)),Q1424,"")</f>
        <v/>
      </c>
      <c r="Y1424">
        <f>IF(AND(Q1424&lt;&gt;"",ISNUMBER(K1424)),Q1424,"")</f>
        <v/>
      </c>
      <c r="Z1424">
        <f>IF(AND(Q1424&lt;&gt;"",ISNUMBER(L1424)),Q1424,"")</f>
        <v/>
      </c>
      <c r="AA1424">
        <f>IF(AND(Q1424&lt;&gt;"",ISNUMBER(M1424)),Q1424,"")</f>
        <v/>
      </c>
      <c r="AB1424">
        <f>IF(AND(Q1424&lt;&gt;"",ISNUMBER(K1424)),K1424,"")</f>
        <v/>
      </c>
      <c r="AC1424">
        <f>IF(AND(Q1424&lt;&gt;"",ISNUMBER(L1424)),L1424,"")</f>
        <v/>
      </c>
      <c r="AD1424">
        <f>IF(AND(Q1424&lt;&gt;"",ISNUMBER(M1424)),M1424,"")</f>
        <v/>
      </c>
    </row>
    <row r="1425">
      <c r="A1425" s="1" t="n"/>
      <c r="B1425" s="17" t="n"/>
      <c r="C1425" s="27" t="n"/>
      <c r="D1425" s="28" t="n"/>
      <c r="E1425" s="28" t="n"/>
      <c r="F1425" s="28" t="n"/>
      <c r="G1425" s="28" t="n"/>
      <c r="H1425" s="28" t="n"/>
      <c r="I1425" s="28" t="n"/>
      <c r="J1425" s="28" t="n"/>
      <c r="K1425" s="28" t="n"/>
      <c r="L1425" s="28" t="n"/>
      <c r="M1425" s="29" t="n"/>
      <c r="N1425" s="21" t="n"/>
      <c r="O1425" s="12">
        <f>IF(AND(B1425="",C1425=""),"",IF(NOT(ISNUMBER(B1425)),"Needs a date",IF(C1425="","Needs a client",IF(COUNTIF(Clients!$B$6:$B$105,C1425)=0,"Not on Clients",IF(COUNT(D1425:M1425)=0,"Nothing measured","")))))</f>
        <v/>
      </c>
      <c r="P1425" s="1">
        <f>IF(AND(O1425="",ISNUMBER(B1425)),INT(B1425),0)</f>
        <v/>
      </c>
      <c r="Q1425">
        <f>IF(AND(P1425&gt;0,C1425=Report!$C$5),P1425*10000+ROW(),"")</f>
        <v/>
      </c>
      <c r="R1425">
        <f>IF(AND(Q1425&lt;&gt;"",ISNUMBER(D1425)),Q1425,"")</f>
        <v/>
      </c>
      <c r="S1425">
        <f>IF(AND(Q1425&lt;&gt;"",ISNUMBER(E1425)),Q1425,"")</f>
        <v/>
      </c>
      <c r="T1425">
        <f>IF(AND(Q1425&lt;&gt;"",ISNUMBER(F1425)),Q1425,"")</f>
        <v/>
      </c>
      <c r="U1425">
        <f>IF(AND(Q1425&lt;&gt;"",ISNUMBER(G1425)),Q1425,"")</f>
        <v/>
      </c>
      <c r="V1425">
        <f>IF(AND(Q1425&lt;&gt;"",ISNUMBER(H1425)),Q1425,"")</f>
        <v/>
      </c>
      <c r="W1425">
        <f>IF(AND(Q1425&lt;&gt;"",ISNUMBER(I1425)),Q1425,"")</f>
        <v/>
      </c>
      <c r="X1425">
        <f>IF(AND(Q1425&lt;&gt;"",ISNUMBER(J1425)),Q1425,"")</f>
        <v/>
      </c>
      <c r="Y1425">
        <f>IF(AND(Q1425&lt;&gt;"",ISNUMBER(K1425)),Q1425,"")</f>
        <v/>
      </c>
      <c r="Z1425">
        <f>IF(AND(Q1425&lt;&gt;"",ISNUMBER(L1425)),Q1425,"")</f>
        <v/>
      </c>
      <c r="AA1425">
        <f>IF(AND(Q1425&lt;&gt;"",ISNUMBER(M1425)),Q1425,"")</f>
        <v/>
      </c>
      <c r="AB1425">
        <f>IF(AND(Q1425&lt;&gt;"",ISNUMBER(K1425)),K1425,"")</f>
        <v/>
      </c>
      <c r="AC1425">
        <f>IF(AND(Q1425&lt;&gt;"",ISNUMBER(L1425)),L1425,"")</f>
        <v/>
      </c>
      <c r="AD1425">
        <f>IF(AND(Q1425&lt;&gt;"",ISNUMBER(M1425)),M1425,"")</f>
        <v/>
      </c>
    </row>
    <row r="1426">
      <c r="A1426" s="1" t="n"/>
      <c r="B1426" s="17" t="n"/>
      <c r="C1426" s="27" t="n"/>
      <c r="D1426" s="28" t="n"/>
      <c r="E1426" s="28" t="n"/>
      <c r="F1426" s="28" t="n"/>
      <c r="G1426" s="28" t="n"/>
      <c r="H1426" s="28" t="n"/>
      <c r="I1426" s="28" t="n"/>
      <c r="J1426" s="28" t="n"/>
      <c r="K1426" s="28" t="n"/>
      <c r="L1426" s="28" t="n"/>
      <c r="M1426" s="29" t="n"/>
      <c r="N1426" s="21" t="n"/>
      <c r="O1426" s="12">
        <f>IF(AND(B1426="",C1426=""),"",IF(NOT(ISNUMBER(B1426)),"Needs a date",IF(C1426="","Needs a client",IF(COUNTIF(Clients!$B$6:$B$105,C1426)=0,"Not on Clients",IF(COUNT(D1426:M1426)=0,"Nothing measured","")))))</f>
        <v/>
      </c>
      <c r="P1426" s="1">
        <f>IF(AND(O1426="",ISNUMBER(B1426)),INT(B1426),0)</f>
        <v/>
      </c>
      <c r="Q1426">
        <f>IF(AND(P1426&gt;0,C1426=Report!$C$5),P1426*10000+ROW(),"")</f>
        <v/>
      </c>
      <c r="R1426">
        <f>IF(AND(Q1426&lt;&gt;"",ISNUMBER(D1426)),Q1426,"")</f>
        <v/>
      </c>
      <c r="S1426">
        <f>IF(AND(Q1426&lt;&gt;"",ISNUMBER(E1426)),Q1426,"")</f>
        <v/>
      </c>
      <c r="T1426">
        <f>IF(AND(Q1426&lt;&gt;"",ISNUMBER(F1426)),Q1426,"")</f>
        <v/>
      </c>
      <c r="U1426">
        <f>IF(AND(Q1426&lt;&gt;"",ISNUMBER(G1426)),Q1426,"")</f>
        <v/>
      </c>
      <c r="V1426">
        <f>IF(AND(Q1426&lt;&gt;"",ISNUMBER(H1426)),Q1426,"")</f>
        <v/>
      </c>
      <c r="W1426">
        <f>IF(AND(Q1426&lt;&gt;"",ISNUMBER(I1426)),Q1426,"")</f>
        <v/>
      </c>
      <c r="X1426">
        <f>IF(AND(Q1426&lt;&gt;"",ISNUMBER(J1426)),Q1426,"")</f>
        <v/>
      </c>
      <c r="Y1426">
        <f>IF(AND(Q1426&lt;&gt;"",ISNUMBER(K1426)),Q1426,"")</f>
        <v/>
      </c>
      <c r="Z1426">
        <f>IF(AND(Q1426&lt;&gt;"",ISNUMBER(L1426)),Q1426,"")</f>
        <v/>
      </c>
      <c r="AA1426">
        <f>IF(AND(Q1426&lt;&gt;"",ISNUMBER(M1426)),Q1426,"")</f>
        <v/>
      </c>
      <c r="AB1426">
        <f>IF(AND(Q1426&lt;&gt;"",ISNUMBER(K1426)),K1426,"")</f>
        <v/>
      </c>
      <c r="AC1426">
        <f>IF(AND(Q1426&lt;&gt;"",ISNUMBER(L1426)),L1426,"")</f>
        <v/>
      </c>
      <c r="AD1426">
        <f>IF(AND(Q1426&lt;&gt;"",ISNUMBER(M1426)),M1426,"")</f>
        <v/>
      </c>
    </row>
    <row r="1427">
      <c r="A1427" s="1" t="n"/>
      <c r="B1427" s="17" t="n"/>
      <c r="C1427" s="27" t="n"/>
      <c r="D1427" s="28" t="n"/>
      <c r="E1427" s="28" t="n"/>
      <c r="F1427" s="28" t="n"/>
      <c r="G1427" s="28" t="n"/>
      <c r="H1427" s="28" t="n"/>
      <c r="I1427" s="28" t="n"/>
      <c r="J1427" s="28" t="n"/>
      <c r="K1427" s="28" t="n"/>
      <c r="L1427" s="28" t="n"/>
      <c r="M1427" s="29" t="n"/>
      <c r="N1427" s="21" t="n"/>
      <c r="O1427" s="12">
        <f>IF(AND(B1427="",C1427=""),"",IF(NOT(ISNUMBER(B1427)),"Needs a date",IF(C1427="","Needs a client",IF(COUNTIF(Clients!$B$6:$B$105,C1427)=0,"Not on Clients",IF(COUNT(D1427:M1427)=0,"Nothing measured","")))))</f>
        <v/>
      </c>
      <c r="P1427" s="1">
        <f>IF(AND(O1427="",ISNUMBER(B1427)),INT(B1427),0)</f>
        <v/>
      </c>
      <c r="Q1427">
        <f>IF(AND(P1427&gt;0,C1427=Report!$C$5),P1427*10000+ROW(),"")</f>
        <v/>
      </c>
      <c r="R1427">
        <f>IF(AND(Q1427&lt;&gt;"",ISNUMBER(D1427)),Q1427,"")</f>
        <v/>
      </c>
      <c r="S1427">
        <f>IF(AND(Q1427&lt;&gt;"",ISNUMBER(E1427)),Q1427,"")</f>
        <v/>
      </c>
      <c r="T1427">
        <f>IF(AND(Q1427&lt;&gt;"",ISNUMBER(F1427)),Q1427,"")</f>
        <v/>
      </c>
      <c r="U1427">
        <f>IF(AND(Q1427&lt;&gt;"",ISNUMBER(G1427)),Q1427,"")</f>
        <v/>
      </c>
      <c r="V1427">
        <f>IF(AND(Q1427&lt;&gt;"",ISNUMBER(H1427)),Q1427,"")</f>
        <v/>
      </c>
      <c r="W1427">
        <f>IF(AND(Q1427&lt;&gt;"",ISNUMBER(I1427)),Q1427,"")</f>
        <v/>
      </c>
      <c r="X1427">
        <f>IF(AND(Q1427&lt;&gt;"",ISNUMBER(J1427)),Q1427,"")</f>
        <v/>
      </c>
      <c r="Y1427">
        <f>IF(AND(Q1427&lt;&gt;"",ISNUMBER(K1427)),Q1427,"")</f>
        <v/>
      </c>
      <c r="Z1427">
        <f>IF(AND(Q1427&lt;&gt;"",ISNUMBER(L1427)),Q1427,"")</f>
        <v/>
      </c>
      <c r="AA1427">
        <f>IF(AND(Q1427&lt;&gt;"",ISNUMBER(M1427)),Q1427,"")</f>
        <v/>
      </c>
      <c r="AB1427">
        <f>IF(AND(Q1427&lt;&gt;"",ISNUMBER(K1427)),K1427,"")</f>
        <v/>
      </c>
      <c r="AC1427">
        <f>IF(AND(Q1427&lt;&gt;"",ISNUMBER(L1427)),L1427,"")</f>
        <v/>
      </c>
      <c r="AD1427">
        <f>IF(AND(Q1427&lt;&gt;"",ISNUMBER(M1427)),M1427,"")</f>
        <v/>
      </c>
    </row>
    <row r="1428">
      <c r="A1428" s="1" t="n"/>
      <c r="B1428" s="17" t="n"/>
      <c r="C1428" s="27" t="n"/>
      <c r="D1428" s="28" t="n"/>
      <c r="E1428" s="28" t="n"/>
      <c r="F1428" s="28" t="n"/>
      <c r="G1428" s="28" t="n"/>
      <c r="H1428" s="28" t="n"/>
      <c r="I1428" s="28" t="n"/>
      <c r="J1428" s="28" t="n"/>
      <c r="K1428" s="28" t="n"/>
      <c r="L1428" s="28" t="n"/>
      <c r="M1428" s="29" t="n"/>
      <c r="N1428" s="21" t="n"/>
      <c r="O1428" s="12">
        <f>IF(AND(B1428="",C1428=""),"",IF(NOT(ISNUMBER(B1428)),"Needs a date",IF(C1428="","Needs a client",IF(COUNTIF(Clients!$B$6:$B$105,C1428)=0,"Not on Clients",IF(COUNT(D1428:M1428)=0,"Nothing measured","")))))</f>
        <v/>
      </c>
      <c r="P1428" s="1">
        <f>IF(AND(O1428="",ISNUMBER(B1428)),INT(B1428),0)</f>
        <v/>
      </c>
      <c r="Q1428">
        <f>IF(AND(P1428&gt;0,C1428=Report!$C$5),P1428*10000+ROW(),"")</f>
        <v/>
      </c>
      <c r="R1428">
        <f>IF(AND(Q1428&lt;&gt;"",ISNUMBER(D1428)),Q1428,"")</f>
        <v/>
      </c>
      <c r="S1428">
        <f>IF(AND(Q1428&lt;&gt;"",ISNUMBER(E1428)),Q1428,"")</f>
        <v/>
      </c>
      <c r="T1428">
        <f>IF(AND(Q1428&lt;&gt;"",ISNUMBER(F1428)),Q1428,"")</f>
        <v/>
      </c>
      <c r="U1428">
        <f>IF(AND(Q1428&lt;&gt;"",ISNUMBER(G1428)),Q1428,"")</f>
        <v/>
      </c>
      <c r="V1428">
        <f>IF(AND(Q1428&lt;&gt;"",ISNUMBER(H1428)),Q1428,"")</f>
        <v/>
      </c>
      <c r="W1428">
        <f>IF(AND(Q1428&lt;&gt;"",ISNUMBER(I1428)),Q1428,"")</f>
        <v/>
      </c>
      <c r="X1428">
        <f>IF(AND(Q1428&lt;&gt;"",ISNUMBER(J1428)),Q1428,"")</f>
        <v/>
      </c>
      <c r="Y1428">
        <f>IF(AND(Q1428&lt;&gt;"",ISNUMBER(K1428)),Q1428,"")</f>
        <v/>
      </c>
      <c r="Z1428">
        <f>IF(AND(Q1428&lt;&gt;"",ISNUMBER(L1428)),Q1428,"")</f>
        <v/>
      </c>
      <c r="AA1428">
        <f>IF(AND(Q1428&lt;&gt;"",ISNUMBER(M1428)),Q1428,"")</f>
        <v/>
      </c>
      <c r="AB1428">
        <f>IF(AND(Q1428&lt;&gt;"",ISNUMBER(K1428)),K1428,"")</f>
        <v/>
      </c>
      <c r="AC1428">
        <f>IF(AND(Q1428&lt;&gt;"",ISNUMBER(L1428)),L1428,"")</f>
        <v/>
      </c>
      <c r="AD1428">
        <f>IF(AND(Q1428&lt;&gt;"",ISNUMBER(M1428)),M1428,"")</f>
        <v/>
      </c>
    </row>
    <row r="1429">
      <c r="A1429" s="1" t="n"/>
      <c r="B1429" s="17" t="n"/>
      <c r="C1429" s="27" t="n"/>
      <c r="D1429" s="28" t="n"/>
      <c r="E1429" s="28" t="n"/>
      <c r="F1429" s="28" t="n"/>
      <c r="G1429" s="28" t="n"/>
      <c r="H1429" s="28" t="n"/>
      <c r="I1429" s="28" t="n"/>
      <c r="J1429" s="28" t="n"/>
      <c r="K1429" s="28" t="n"/>
      <c r="L1429" s="28" t="n"/>
      <c r="M1429" s="29" t="n"/>
      <c r="N1429" s="21" t="n"/>
      <c r="O1429" s="12">
        <f>IF(AND(B1429="",C1429=""),"",IF(NOT(ISNUMBER(B1429)),"Needs a date",IF(C1429="","Needs a client",IF(COUNTIF(Clients!$B$6:$B$105,C1429)=0,"Not on Clients",IF(COUNT(D1429:M1429)=0,"Nothing measured","")))))</f>
        <v/>
      </c>
      <c r="P1429" s="1">
        <f>IF(AND(O1429="",ISNUMBER(B1429)),INT(B1429),0)</f>
        <v/>
      </c>
      <c r="Q1429">
        <f>IF(AND(P1429&gt;0,C1429=Report!$C$5),P1429*10000+ROW(),"")</f>
        <v/>
      </c>
      <c r="R1429">
        <f>IF(AND(Q1429&lt;&gt;"",ISNUMBER(D1429)),Q1429,"")</f>
        <v/>
      </c>
      <c r="S1429">
        <f>IF(AND(Q1429&lt;&gt;"",ISNUMBER(E1429)),Q1429,"")</f>
        <v/>
      </c>
      <c r="T1429">
        <f>IF(AND(Q1429&lt;&gt;"",ISNUMBER(F1429)),Q1429,"")</f>
        <v/>
      </c>
      <c r="U1429">
        <f>IF(AND(Q1429&lt;&gt;"",ISNUMBER(G1429)),Q1429,"")</f>
        <v/>
      </c>
      <c r="V1429">
        <f>IF(AND(Q1429&lt;&gt;"",ISNUMBER(H1429)),Q1429,"")</f>
        <v/>
      </c>
      <c r="W1429">
        <f>IF(AND(Q1429&lt;&gt;"",ISNUMBER(I1429)),Q1429,"")</f>
        <v/>
      </c>
      <c r="X1429">
        <f>IF(AND(Q1429&lt;&gt;"",ISNUMBER(J1429)),Q1429,"")</f>
        <v/>
      </c>
      <c r="Y1429">
        <f>IF(AND(Q1429&lt;&gt;"",ISNUMBER(K1429)),Q1429,"")</f>
        <v/>
      </c>
      <c r="Z1429">
        <f>IF(AND(Q1429&lt;&gt;"",ISNUMBER(L1429)),Q1429,"")</f>
        <v/>
      </c>
      <c r="AA1429">
        <f>IF(AND(Q1429&lt;&gt;"",ISNUMBER(M1429)),Q1429,"")</f>
        <v/>
      </c>
      <c r="AB1429">
        <f>IF(AND(Q1429&lt;&gt;"",ISNUMBER(K1429)),K1429,"")</f>
        <v/>
      </c>
      <c r="AC1429">
        <f>IF(AND(Q1429&lt;&gt;"",ISNUMBER(L1429)),L1429,"")</f>
        <v/>
      </c>
      <c r="AD1429">
        <f>IF(AND(Q1429&lt;&gt;"",ISNUMBER(M1429)),M1429,"")</f>
        <v/>
      </c>
    </row>
    <row r="1430">
      <c r="A1430" s="1" t="n"/>
      <c r="B1430" s="17" t="n"/>
      <c r="C1430" s="27" t="n"/>
      <c r="D1430" s="28" t="n"/>
      <c r="E1430" s="28" t="n"/>
      <c r="F1430" s="28" t="n"/>
      <c r="G1430" s="28" t="n"/>
      <c r="H1430" s="28" t="n"/>
      <c r="I1430" s="28" t="n"/>
      <c r="J1430" s="28" t="n"/>
      <c r="K1430" s="28" t="n"/>
      <c r="L1430" s="28" t="n"/>
      <c r="M1430" s="29" t="n"/>
      <c r="N1430" s="21" t="n"/>
      <c r="O1430" s="12">
        <f>IF(AND(B1430="",C1430=""),"",IF(NOT(ISNUMBER(B1430)),"Needs a date",IF(C1430="","Needs a client",IF(COUNTIF(Clients!$B$6:$B$105,C1430)=0,"Not on Clients",IF(COUNT(D1430:M1430)=0,"Nothing measured","")))))</f>
        <v/>
      </c>
      <c r="P1430" s="1">
        <f>IF(AND(O1430="",ISNUMBER(B1430)),INT(B1430),0)</f>
        <v/>
      </c>
      <c r="Q1430">
        <f>IF(AND(P1430&gt;0,C1430=Report!$C$5),P1430*10000+ROW(),"")</f>
        <v/>
      </c>
      <c r="R1430">
        <f>IF(AND(Q1430&lt;&gt;"",ISNUMBER(D1430)),Q1430,"")</f>
        <v/>
      </c>
      <c r="S1430">
        <f>IF(AND(Q1430&lt;&gt;"",ISNUMBER(E1430)),Q1430,"")</f>
        <v/>
      </c>
      <c r="T1430">
        <f>IF(AND(Q1430&lt;&gt;"",ISNUMBER(F1430)),Q1430,"")</f>
        <v/>
      </c>
      <c r="U1430">
        <f>IF(AND(Q1430&lt;&gt;"",ISNUMBER(G1430)),Q1430,"")</f>
        <v/>
      </c>
      <c r="V1430">
        <f>IF(AND(Q1430&lt;&gt;"",ISNUMBER(H1430)),Q1430,"")</f>
        <v/>
      </c>
      <c r="W1430">
        <f>IF(AND(Q1430&lt;&gt;"",ISNUMBER(I1430)),Q1430,"")</f>
        <v/>
      </c>
      <c r="X1430">
        <f>IF(AND(Q1430&lt;&gt;"",ISNUMBER(J1430)),Q1430,"")</f>
        <v/>
      </c>
      <c r="Y1430">
        <f>IF(AND(Q1430&lt;&gt;"",ISNUMBER(K1430)),Q1430,"")</f>
        <v/>
      </c>
      <c r="Z1430">
        <f>IF(AND(Q1430&lt;&gt;"",ISNUMBER(L1430)),Q1430,"")</f>
        <v/>
      </c>
      <c r="AA1430">
        <f>IF(AND(Q1430&lt;&gt;"",ISNUMBER(M1430)),Q1430,"")</f>
        <v/>
      </c>
      <c r="AB1430">
        <f>IF(AND(Q1430&lt;&gt;"",ISNUMBER(K1430)),K1430,"")</f>
        <v/>
      </c>
      <c r="AC1430">
        <f>IF(AND(Q1430&lt;&gt;"",ISNUMBER(L1430)),L1430,"")</f>
        <v/>
      </c>
      <c r="AD1430">
        <f>IF(AND(Q1430&lt;&gt;"",ISNUMBER(M1430)),M1430,"")</f>
        <v/>
      </c>
    </row>
    <row r="1431">
      <c r="A1431" s="1" t="n"/>
      <c r="B1431" s="17" t="n"/>
      <c r="C1431" s="27" t="n"/>
      <c r="D1431" s="28" t="n"/>
      <c r="E1431" s="28" t="n"/>
      <c r="F1431" s="28" t="n"/>
      <c r="G1431" s="28" t="n"/>
      <c r="H1431" s="28" t="n"/>
      <c r="I1431" s="28" t="n"/>
      <c r="J1431" s="28" t="n"/>
      <c r="K1431" s="28" t="n"/>
      <c r="L1431" s="28" t="n"/>
      <c r="M1431" s="29" t="n"/>
      <c r="N1431" s="21" t="n"/>
      <c r="O1431" s="12">
        <f>IF(AND(B1431="",C1431=""),"",IF(NOT(ISNUMBER(B1431)),"Needs a date",IF(C1431="","Needs a client",IF(COUNTIF(Clients!$B$6:$B$105,C1431)=0,"Not on Clients",IF(COUNT(D1431:M1431)=0,"Nothing measured","")))))</f>
        <v/>
      </c>
      <c r="P1431" s="1">
        <f>IF(AND(O1431="",ISNUMBER(B1431)),INT(B1431),0)</f>
        <v/>
      </c>
      <c r="Q1431">
        <f>IF(AND(P1431&gt;0,C1431=Report!$C$5),P1431*10000+ROW(),"")</f>
        <v/>
      </c>
      <c r="R1431">
        <f>IF(AND(Q1431&lt;&gt;"",ISNUMBER(D1431)),Q1431,"")</f>
        <v/>
      </c>
      <c r="S1431">
        <f>IF(AND(Q1431&lt;&gt;"",ISNUMBER(E1431)),Q1431,"")</f>
        <v/>
      </c>
      <c r="T1431">
        <f>IF(AND(Q1431&lt;&gt;"",ISNUMBER(F1431)),Q1431,"")</f>
        <v/>
      </c>
      <c r="U1431">
        <f>IF(AND(Q1431&lt;&gt;"",ISNUMBER(G1431)),Q1431,"")</f>
        <v/>
      </c>
      <c r="V1431">
        <f>IF(AND(Q1431&lt;&gt;"",ISNUMBER(H1431)),Q1431,"")</f>
        <v/>
      </c>
      <c r="W1431">
        <f>IF(AND(Q1431&lt;&gt;"",ISNUMBER(I1431)),Q1431,"")</f>
        <v/>
      </c>
      <c r="X1431">
        <f>IF(AND(Q1431&lt;&gt;"",ISNUMBER(J1431)),Q1431,"")</f>
        <v/>
      </c>
      <c r="Y1431">
        <f>IF(AND(Q1431&lt;&gt;"",ISNUMBER(K1431)),Q1431,"")</f>
        <v/>
      </c>
      <c r="Z1431">
        <f>IF(AND(Q1431&lt;&gt;"",ISNUMBER(L1431)),Q1431,"")</f>
        <v/>
      </c>
      <c r="AA1431">
        <f>IF(AND(Q1431&lt;&gt;"",ISNUMBER(M1431)),Q1431,"")</f>
        <v/>
      </c>
      <c r="AB1431">
        <f>IF(AND(Q1431&lt;&gt;"",ISNUMBER(K1431)),K1431,"")</f>
        <v/>
      </c>
      <c r="AC1431">
        <f>IF(AND(Q1431&lt;&gt;"",ISNUMBER(L1431)),L1431,"")</f>
        <v/>
      </c>
      <c r="AD1431">
        <f>IF(AND(Q1431&lt;&gt;"",ISNUMBER(M1431)),M1431,"")</f>
        <v/>
      </c>
    </row>
    <row r="1432">
      <c r="A1432" s="1" t="n"/>
      <c r="B1432" s="17" t="n"/>
      <c r="C1432" s="27" t="n"/>
      <c r="D1432" s="28" t="n"/>
      <c r="E1432" s="28" t="n"/>
      <c r="F1432" s="28" t="n"/>
      <c r="G1432" s="28" t="n"/>
      <c r="H1432" s="28" t="n"/>
      <c r="I1432" s="28" t="n"/>
      <c r="J1432" s="28" t="n"/>
      <c r="K1432" s="28" t="n"/>
      <c r="L1432" s="28" t="n"/>
      <c r="M1432" s="29" t="n"/>
      <c r="N1432" s="21" t="n"/>
      <c r="O1432" s="12">
        <f>IF(AND(B1432="",C1432=""),"",IF(NOT(ISNUMBER(B1432)),"Needs a date",IF(C1432="","Needs a client",IF(COUNTIF(Clients!$B$6:$B$105,C1432)=0,"Not on Clients",IF(COUNT(D1432:M1432)=0,"Nothing measured","")))))</f>
        <v/>
      </c>
      <c r="P1432" s="1">
        <f>IF(AND(O1432="",ISNUMBER(B1432)),INT(B1432),0)</f>
        <v/>
      </c>
      <c r="Q1432">
        <f>IF(AND(P1432&gt;0,C1432=Report!$C$5),P1432*10000+ROW(),"")</f>
        <v/>
      </c>
      <c r="R1432">
        <f>IF(AND(Q1432&lt;&gt;"",ISNUMBER(D1432)),Q1432,"")</f>
        <v/>
      </c>
      <c r="S1432">
        <f>IF(AND(Q1432&lt;&gt;"",ISNUMBER(E1432)),Q1432,"")</f>
        <v/>
      </c>
      <c r="T1432">
        <f>IF(AND(Q1432&lt;&gt;"",ISNUMBER(F1432)),Q1432,"")</f>
        <v/>
      </c>
      <c r="U1432">
        <f>IF(AND(Q1432&lt;&gt;"",ISNUMBER(G1432)),Q1432,"")</f>
        <v/>
      </c>
      <c r="V1432">
        <f>IF(AND(Q1432&lt;&gt;"",ISNUMBER(H1432)),Q1432,"")</f>
        <v/>
      </c>
      <c r="W1432">
        <f>IF(AND(Q1432&lt;&gt;"",ISNUMBER(I1432)),Q1432,"")</f>
        <v/>
      </c>
      <c r="X1432">
        <f>IF(AND(Q1432&lt;&gt;"",ISNUMBER(J1432)),Q1432,"")</f>
        <v/>
      </c>
      <c r="Y1432">
        <f>IF(AND(Q1432&lt;&gt;"",ISNUMBER(K1432)),Q1432,"")</f>
        <v/>
      </c>
      <c r="Z1432">
        <f>IF(AND(Q1432&lt;&gt;"",ISNUMBER(L1432)),Q1432,"")</f>
        <v/>
      </c>
      <c r="AA1432">
        <f>IF(AND(Q1432&lt;&gt;"",ISNUMBER(M1432)),Q1432,"")</f>
        <v/>
      </c>
      <c r="AB1432">
        <f>IF(AND(Q1432&lt;&gt;"",ISNUMBER(K1432)),K1432,"")</f>
        <v/>
      </c>
      <c r="AC1432">
        <f>IF(AND(Q1432&lt;&gt;"",ISNUMBER(L1432)),L1432,"")</f>
        <v/>
      </c>
      <c r="AD1432">
        <f>IF(AND(Q1432&lt;&gt;"",ISNUMBER(M1432)),M1432,"")</f>
        <v/>
      </c>
    </row>
    <row r="1433">
      <c r="A1433" s="1" t="n"/>
      <c r="B1433" s="17" t="n"/>
      <c r="C1433" s="27" t="n"/>
      <c r="D1433" s="28" t="n"/>
      <c r="E1433" s="28" t="n"/>
      <c r="F1433" s="28" t="n"/>
      <c r="G1433" s="28" t="n"/>
      <c r="H1433" s="28" t="n"/>
      <c r="I1433" s="28" t="n"/>
      <c r="J1433" s="28" t="n"/>
      <c r="K1433" s="28" t="n"/>
      <c r="L1433" s="28" t="n"/>
      <c r="M1433" s="29" t="n"/>
      <c r="N1433" s="21" t="n"/>
      <c r="O1433" s="12">
        <f>IF(AND(B1433="",C1433=""),"",IF(NOT(ISNUMBER(B1433)),"Needs a date",IF(C1433="","Needs a client",IF(COUNTIF(Clients!$B$6:$B$105,C1433)=0,"Not on Clients",IF(COUNT(D1433:M1433)=0,"Nothing measured","")))))</f>
        <v/>
      </c>
      <c r="P1433" s="1">
        <f>IF(AND(O1433="",ISNUMBER(B1433)),INT(B1433),0)</f>
        <v/>
      </c>
      <c r="Q1433">
        <f>IF(AND(P1433&gt;0,C1433=Report!$C$5),P1433*10000+ROW(),"")</f>
        <v/>
      </c>
      <c r="R1433">
        <f>IF(AND(Q1433&lt;&gt;"",ISNUMBER(D1433)),Q1433,"")</f>
        <v/>
      </c>
      <c r="S1433">
        <f>IF(AND(Q1433&lt;&gt;"",ISNUMBER(E1433)),Q1433,"")</f>
        <v/>
      </c>
      <c r="T1433">
        <f>IF(AND(Q1433&lt;&gt;"",ISNUMBER(F1433)),Q1433,"")</f>
        <v/>
      </c>
      <c r="U1433">
        <f>IF(AND(Q1433&lt;&gt;"",ISNUMBER(G1433)),Q1433,"")</f>
        <v/>
      </c>
      <c r="V1433">
        <f>IF(AND(Q1433&lt;&gt;"",ISNUMBER(H1433)),Q1433,"")</f>
        <v/>
      </c>
      <c r="W1433">
        <f>IF(AND(Q1433&lt;&gt;"",ISNUMBER(I1433)),Q1433,"")</f>
        <v/>
      </c>
      <c r="X1433">
        <f>IF(AND(Q1433&lt;&gt;"",ISNUMBER(J1433)),Q1433,"")</f>
        <v/>
      </c>
      <c r="Y1433">
        <f>IF(AND(Q1433&lt;&gt;"",ISNUMBER(K1433)),Q1433,"")</f>
        <v/>
      </c>
      <c r="Z1433">
        <f>IF(AND(Q1433&lt;&gt;"",ISNUMBER(L1433)),Q1433,"")</f>
        <v/>
      </c>
      <c r="AA1433">
        <f>IF(AND(Q1433&lt;&gt;"",ISNUMBER(M1433)),Q1433,"")</f>
        <v/>
      </c>
      <c r="AB1433">
        <f>IF(AND(Q1433&lt;&gt;"",ISNUMBER(K1433)),K1433,"")</f>
        <v/>
      </c>
      <c r="AC1433">
        <f>IF(AND(Q1433&lt;&gt;"",ISNUMBER(L1433)),L1433,"")</f>
        <v/>
      </c>
      <c r="AD1433">
        <f>IF(AND(Q1433&lt;&gt;"",ISNUMBER(M1433)),M1433,"")</f>
        <v/>
      </c>
    </row>
    <row r="1434">
      <c r="A1434" s="1" t="n"/>
      <c r="B1434" s="17" t="n"/>
      <c r="C1434" s="27" t="n"/>
      <c r="D1434" s="28" t="n"/>
      <c r="E1434" s="28" t="n"/>
      <c r="F1434" s="28" t="n"/>
      <c r="G1434" s="28" t="n"/>
      <c r="H1434" s="28" t="n"/>
      <c r="I1434" s="28" t="n"/>
      <c r="J1434" s="28" t="n"/>
      <c r="K1434" s="28" t="n"/>
      <c r="L1434" s="28" t="n"/>
      <c r="M1434" s="29" t="n"/>
      <c r="N1434" s="21" t="n"/>
      <c r="O1434" s="12">
        <f>IF(AND(B1434="",C1434=""),"",IF(NOT(ISNUMBER(B1434)),"Needs a date",IF(C1434="","Needs a client",IF(COUNTIF(Clients!$B$6:$B$105,C1434)=0,"Not on Clients",IF(COUNT(D1434:M1434)=0,"Nothing measured","")))))</f>
        <v/>
      </c>
      <c r="P1434" s="1">
        <f>IF(AND(O1434="",ISNUMBER(B1434)),INT(B1434),0)</f>
        <v/>
      </c>
      <c r="Q1434">
        <f>IF(AND(P1434&gt;0,C1434=Report!$C$5),P1434*10000+ROW(),"")</f>
        <v/>
      </c>
      <c r="R1434">
        <f>IF(AND(Q1434&lt;&gt;"",ISNUMBER(D1434)),Q1434,"")</f>
        <v/>
      </c>
      <c r="S1434">
        <f>IF(AND(Q1434&lt;&gt;"",ISNUMBER(E1434)),Q1434,"")</f>
        <v/>
      </c>
      <c r="T1434">
        <f>IF(AND(Q1434&lt;&gt;"",ISNUMBER(F1434)),Q1434,"")</f>
        <v/>
      </c>
      <c r="U1434">
        <f>IF(AND(Q1434&lt;&gt;"",ISNUMBER(G1434)),Q1434,"")</f>
        <v/>
      </c>
      <c r="V1434">
        <f>IF(AND(Q1434&lt;&gt;"",ISNUMBER(H1434)),Q1434,"")</f>
        <v/>
      </c>
      <c r="W1434">
        <f>IF(AND(Q1434&lt;&gt;"",ISNUMBER(I1434)),Q1434,"")</f>
        <v/>
      </c>
      <c r="X1434">
        <f>IF(AND(Q1434&lt;&gt;"",ISNUMBER(J1434)),Q1434,"")</f>
        <v/>
      </c>
      <c r="Y1434">
        <f>IF(AND(Q1434&lt;&gt;"",ISNUMBER(K1434)),Q1434,"")</f>
        <v/>
      </c>
      <c r="Z1434">
        <f>IF(AND(Q1434&lt;&gt;"",ISNUMBER(L1434)),Q1434,"")</f>
        <v/>
      </c>
      <c r="AA1434">
        <f>IF(AND(Q1434&lt;&gt;"",ISNUMBER(M1434)),Q1434,"")</f>
        <v/>
      </c>
      <c r="AB1434">
        <f>IF(AND(Q1434&lt;&gt;"",ISNUMBER(K1434)),K1434,"")</f>
        <v/>
      </c>
      <c r="AC1434">
        <f>IF(AND(Q1434&lt;&gt;"",ISNUMBER(L1434)),L1434,"")</f>
        <v/>
      </c>
      <c r="AD1434">
        <f>IF(AND(Q1434&lt;&gt;"",ISNUMBER(M1434)),M1434,"")</f>
        <v/>
      </c>
    </row>
    <row r="1435">
      <c r="A1435" s="1" t="n"/>
      <c r="B1435" s="17" t="n"/>
      <c r="C1435" s="27" t="n"/>
      <c r="D1435" s="28" t="n"/>
      <c r="E1435" s="28" t="n"/>
      <c r="F1435" s="28" t="n"/>
      <c r="G1435" s="28" t="n"/>
      <c r="H1435" s="28" t="n"/>
      <c r="I1435" s="28" t="n"/>
      <c r="J1435" s="28" t="n"/>
      <c r="K1435" s="28" t="n"/>
      <c r="L1435" s="28" t="n"/>
      <c r="M1435" s="29" t="n"/>
      <c r="N1435" s="21" t="n"/>
      <c r="O1435" s="12">
        <f>IF(AND(B1435="",C1435=""),"",IF(NOT(ISNUMBER(B1435)),"Needs a date",IF(C1435="","Needs a client",IF(COUNTIF(Clients!$B$6:$B$105,C1435)=0,"Not on Clients",IF(COUNT(D1435:M1435)=0,"Nothing measured","")))))</f>
        <v/>
      </c>
      <c r="P1435" s="1">
        <f>IF(AND(O1435="",ISNUMBER(B1435)),INT(B1435),0)</f>
        <v/>
      </c>
      <c r="Q1435">
        <f>IF(AND(P1435&gt;0,C1435=Report!$C$5),P1435*10000+ROW(),"")</f>
        <v/>
      </c>
      <c r="R1435">
        <f>IF(AND(Q1435&lt;&gt;"",ISNUMBER(D1435)),Q1435,"")</f>
        <v/>
      </c>
      <c r="S1435">
        <f>IF(AND(Q1435&lt;&gt;"",ISNUMBER(E1435)),Q1435,"")</f>
        <v/>
      </c>
      <c r="T1435">
        <f>IF(AND(Q1435&lt;&gt;"",ISNUMBER(F1435)),Q1435,"")</f>
        <v/>
      </c>
      <c r="U1435">
        <f>IF(AND(Q1435&lt;&gt;"",ISNUMBER(G1435)),Q1435,"")</f>
        <v/>
      </c>
      <c r="V1435">
        <f>IF(AND(Q1435&lt;&gt;"",ISNUMBER(H1435)),Q1435,"")</f>
        <v/>
      </c>
      <c r="W1435">
        <f>IF(AND(Q1435&lt;&gt;"",ISNUMBER(I1435)),Q1435,"")</f>
        <v/>
      </c>
      <c r="X1435">
        <f>IF(AND(Q1435&lt;&gt;"",ISNUMBER(J1435)),Q1435,"")</f>
        <v/>
      </c>
      <c r="Y1435">
        <f>IF(AND(Q1435&lt;&gt;"",ISNUMBER(K1435)),Q1435,"")</f>
        <v/>
      </c>
      <c r="Z1435">
        <f>IF(AND(Q1435&lt;&gt;"",ISNUMBER(L1435)),Q1435,"")</f>
        <v/>
      </c>
      <c r="AA1435">
        <f>IF(AND(Q1435&lt;&gt;"",ISNUMBER(M1435)),Q1435,"")</f>
        <v/>
      </c>
      <c r="AB1435">
        <f>IF(AND(Q1435&lt;&gt;"",ISNUMBER(K1435)),K1435,"")</f>
        <v/>
      </c>
      <c r="AC1435">
        <f>IF(AND(Q1435&lt;&gt;"",ISNUMBER(L1435)),L1435,"")</f>
        <v/>
      </c>
      <c r="AD1435">
        <f>IF(AND(Q1435&lt;&gt;"",ISNUMBER(M1435)),M1435,"")</f>
        <v/>
      </c>
    </row>
    <row r="1436">
      <c r="A1436" s="1" t="n"/>
      <c r="B1436" s="17" t="n"/>
      <c r="C1436" s="27" t="n"/>
      <c r="D1436" s="28" t="n"/>
      <c r="E1436" s="28" t="n"/>
      <c r="F1436" s="28" t="n"/>
      <c r="G1436" s="28" t="n"/>
      <c r="H1436" s="28" t="n"/>
      <c r="I1436" s="28" t="n"/>
      <c r="J1436" s="28" t="n"/>
      <c r="K1436" s="28" t="n"/>
      <c r="L1436" s="28" t="n"/>
      <c r="M1436" s="29" t="n"/>
      <c r="N1436" s="21" t="n"/>
      <c r="O1436" s="12">
        <f>IF(AND(B1436="",C1436=""),"",IF(NOT(ISNUMBER(B1436)),"Needs a date",IF(C1436="","Needs a client",IF(COUNTIF(Clients!$B$6:$B$105,C1436)=0,"Not on Clients",IF(COUNT(D1436:M1436)=0,"Nothing measured","")))))</f>
        <v/>
      </c>
      <c r="P1436" s="1">
        <f>IF(AND(O1436="",ISNUMBER(B1436)),INT(B1436),0)</f>
        <v/>
      </c>
      <c r="Q1436">
        <f>IF(AND(P1436&gt;0,C1436=Report!$C$5),P1436*10000+ROW(),"")</f>
        <v/>
      </c>
      <c r="R1436">
        <f>IF(AND(Q1436&lt;&gt;"",ISNUMBER(D1436)),Q1436,"")</f>
        <v/>
      </c>
      <c r="S1436">
        <f>IF(AND(Q1436&lt;&gt;"",ISNUMBER(E1436)),Q1436,"")</f>
        <v/>
      </c>
      <c r="T1436">
        <f>IF(AND(Q1436&lt;&gt;"",ISNUMBER(F1436)),Q1436,"")</f>
        <v/>
      </c>
      <c r="U1436">
        <f>IF(AND(Q1436&lt;&gt;"",ISNUMBER(G1436)),Q1436,"")</f>
        <v/>
      </c>
      <c r="V1436">
        <f>IF(AND(Q1436&lt;&gt;"",ISNUMBER(H1436)),Q1436,"")</f>
        <v/>
      </c>
      <c r="W1436">
        <f>IF(AND(Q1436&lt;&gt;"",ISNUMBER(I1436)),Q1436,"")</f>
        <v/>
      </c>
      <c r="X1436">
        <f>IF(AND(Q1436&lt;&gt;"",ISNUMBER(J1436)),Q1436,"")</f>
        <v/>
      </c>
      <c r="Y1436">
        <f>IF(AND(Q1436&lt;&gt;"",ISNUMBER(K1436)),Q1436,"")</f>
        <v/>
      </c>
      <c r="Z1436">
        <f>IF(AND(Q1436&lt;&gt;"",ISNUMBER(L1436)),Q1436,"")</f>
        <v/>
      </c>
      <c r="AA1436">
        <f>IF(AND(Q1436&lt;&gt;"",ISNUMBER(M1436)),Q1436,"")</f>
        <v/>
      </c>
      <c r="AB1436">
        <f>IF(AND(Q1436&lt;&gt;"",ISNUMBER(K1436)),K1436,"")</f>
        <v/>
      </c>
      <c r="AC1436">
        <f>IF(AND(Q1436&lt;&gt;"",ISNUMBER(L1436)),L1436,"")</f>
        <v/>
      </c>
      <c r="AD1436">
        <f>IF(AND(Q1436&lt;&gt;"",ISNUMBER(M1436)),M1436,"")</f>
        <v/>
      </c>
    </row>
    <row r="1437">
      <c r="A1437" s="1" t="n"/>
      <c r="B1437" s="17" t="n"/>
      <c r="C1437" s="27" t="n"/>
      <c r="D1437" s="28" t="n"/>
      <c r="E1437" s="28" t="n"/>
      <c r="F1437" s="28" t="n"/>
      <c r="G1437" s="28" t="n"/>
      <c r="H1437" s="28" t="n"/>
      <c r="I1437" s="28" t="n"/>
      <c r="J1437" s="28" t="n"/>
      <c r="K1437" s="28" t="n"/>
      <c r="L1437" s="28" t="n"/>
      <c r="M1437" s="29" t="n"/>
      <c r="N1437" s="21" t="n"/>
      <c r="O1437" s="12">
        <f>IF(AND(B1437="",C1437=""),"",IF(NOT(ISNUMBER(B1437)),"Needs a date",IF(C1437="","Needs a client",IF(COUNTIF(Clients!$B$6:$B$105,C1437)=0,"Not on Clients",IF(COUNT(D1437:M1437)=0,"Nothing measured","")))))</f>
        <v/>
      </c>
      <c r="P1437" s="1">
        <f>IF(AND(O1437="",ISNUMBER(B1437)),INT(B1437),0)</f>
        <v/>
      </c>
      <c r="Q1437">
        <f>IF(AND(P1437&gt;0,C1437=Report!$C$5),P1437*10000+ROW(),"")</f>
        <v/>
      </c>
      <c r="R1437">
        <f>IF(AND(Q1437&lt;&gt;"",ISNUMBER(D1437)),Q1437,"")</f>
        <v/>
      </c>
      <c r="S1437">
        <f>IF(AND(Q1437&lt;&gt;"",ISNUMBER(E1437)),Q1437,"")</f>
        <v/>
      </c>
      <c r="T1437">
        <f>IF(AND(Q1437&lt;&gt;"",ISNUMBER(F1437)),Q1437,"")</f>
        <v/>
      </c>
      <c r="U1437">
        <f>IF(AND(Q1437&lt;&gt;"",ISNUMBER(G1437)),Q1437,"")</f>
        <v/>
      </c>
      <c r="V1437">
        <f>IF(AND(Q1437&lt;&gt;"",ISNUMBER(H1437)),Q1437,"")</f>
        <v/>
      </c>
      <c r="W1437">
        <f>IF(AND(Q1437&lt;&gt;"",ISNUMBER(I1437)),Q1437,"")</f>
        <v/>
      </c>
      <c r="X1437">
        <f>IF(AND(Q1437&lt;&gt;"",ISNUMBER(J1437)),Q1437,"")</f>
        <v/>
      </c>
      <c r="Y1437">
        <f>IF(AND(Q1437&lt;&gt;"",ISNUMBER(K1437)),Q1437,"")</f>
        <v/>
      </c>
      <c r="Z1437">
        <f>IF(AND(Q1437&lt;&gt;"",ISNUMBER(L1437)),Q1437,"")</f>
        <v/>
      </c>
      <c r="AA1437">
        <f>IF(AND(Q1437&lt;&gt;"",ISNUMBER(M1437)),Q1437,"")</f>
        <v/>
      </c>
      <c r="AB1437">
        <f>IF(AND(Q1437&lt;&gt;"",ISNUMBER(K1437)),K1437,"")</f>
        <v/>
      </c>
      <c r="AC1437">
        <f>IF(AND(Q1437&lt;&gt;"",ISNUMBER(L1437)),L1437,"")</f>
        <v/>
      </c>
      <c r="AD1437">
        <f>IF(AND(Q1437&lt;&gt;"",ISNUMBER(M1437)),M1437,"")</f>
        <v/>
      </c>
    </row>
    <row r="1438">
      <c r="A1438" s="1" t="n"/>
      <c r="B1438" s="17" t="n"/>
      <c r="C1438" s="27" t="n"/>
      <c r="D1438" s="28" t="n"/>
      <c r="E1438" s="28" t="n"/>
      <c r="F1438" s="28" t="n"/>
      <c r="G1438" s="28" t="n"/>
      <c r="H1438" s="28" t="n"/>
      <c r="I1438" s="28" t="n"/>
      <c r="J1438" s="28" t="n"/>
      <c r="K1438" s="28" t="n"/>
      <c r="L1438" s="28" t="n"/>
      <c r="M1438" s="29" t="n"/>
      <c r="N1438" s="21" t="n"/>
      <c r="O1438" s="12">
        <f>IF(AND(B1438="",C1438=""),"",IF(NOT(ISNUMBER(B1438)),"Needs a date",IF(C1438="","Needs a client",IF(COUNTIF(Clients!$B$6:$B$105,C1438)=0,"Not on Clients",IF(COUNT(D1438:M1438)=0,"Nothing measured","")))))</f>
        <v/>
      </c>
      <c r="P1438" s="1">
        <f>IF(AND(O1438="",ISNUMBER(B1438)),INT(B1438),0)</f>
        <v/>
      </c>
      <c r="Q1438">
        <f>IF(AND(P1438&gt;0,C1438=Report!$C$5),P1438*10000+ROW(),"")</f>
        <v/>
      </c>
      <c r="R1438">
        <f>IF(AND(Q1438&lt;&gt;"",ISNUMBER(D1438)),Q1438,"")</f>
        <v/>
      </c>
      <c r="S1438">
        <f>IF(AND(Q1438&lt;&gt;"",ISNUMBER(E1438)),Q1438,"")</f>
        <v/>
      </c>
      <c r="T1438">
        <f>IF(AND(Q1438&lt;&gt;"",ISNUMBER(F1438)),Q1438,"")</f>
        <v/>
      </c>
      <c r="U1438">
        <f>IF(AND(Q1438&lt;&gt;"",ISNUMBER(G1438)),Q1438,"")</f>
        <v/>
      </c>
      <c r="V1438">
        <f>IF(AND(Q1438&lt;&gt;"",ISNUMBER(H1438)),Q1438,"")</f>
        <v/>
      </c>
      <c r="W1438">
        <f>IF(AND(Q1438&lt;&gt;"",ISNUMBER(I1438)),Q1438,"")</f>
        <v/>
      </c>
      <c r="X1438">
        <f>IF(AND(Q1438&lt;&gt;"",ISNUMBER(J1438)),Q1438,"")</f>
        <v/>
      </c>
      <c r="Y1438">
        <f>IF(AND(Q1438&lt;&gt;"",ISNUMBER(K1438)),Q1438,"")</f>
        <v/>
      </c>
      <c r="Z1438">
        <f>IF(AND(Q1438&lt;&gt;"",ISNUMBER(L1438)),Q1438,"")</f>
        <v/>
      </c>
      <c r="AA1438">
        <f>IF(AND(Q1438&lt;&gt;"",ISNUMBER(M1438)),Q1438,"")</f>
        <v/>
      </c>
      <c r="AB1438">
        <f>IF(AND(Q1438&lt;&gt;"",ISNUMBER(K1438)),K1438,"")</f>
        <v/>
      </c>
      <c r="AC1438">
        <f>IF(AND(Q1438&lt;&gt;"",ISNUMBER(L1438)),L1438,"")</f>
        <v/>
      </c>
      <c r="AD1438">
        <f>IF(AND(Q1438&lt;&gt;"",ISNUMBER(M1438)),M1438,"")</f>
        <v/>
      </c>
    </row>
    <row r="1439">
      <c r="A1439" s="1" t="n"/>
      <c r="B1439" s="17" t="n"/>
      <c r="C1439" s="27" t="n"/>
      <c r="D1439" s="28" t="n"/>
      <c r="E1439" s="28" t="n"/>
      <c r="F1439" s="28" t="n"/>
      <c r="G1439" s="28" t="n"/>
      <c r="H1439" s="28" t="n"/>
      <c r="I1439" s="28" t="n"/>
      <c r="J1439" s="28" t="n"/>
      <c r="K1439" s="28" t="n"/>
      <c r="L1439" s="28" t="n"/>
      <c r="M1439" s="29" t="n"/>
      <c r="N1439" s="21" t="n"/>
      <c r="O1439" s="12">
        <f>IF(AND(B1439="",C1439=""),"",IF(NOT(ISNUMBER(B1439)),"Needs a date",IF(C1439="","Needs a client",IF(COUNTIF(Clients!$B$6:$B$105,C1439)=0,"Not on Clients",IF(COUNT(D1439:M1439)=0,"Nothing measured","")))))</f>
        <v/>
      </c>
      <c r="P1439" s="1">
        <f>IF(AND(O1439="",ISNUMBER(B1439)),INT(B1439),0)</f>
        <v/>
      </c>
      <c r="Q1439">
        <f>IF(AND(P1439&gt;0,C1439=Report!$C$5),P1439*10000+ROW(),"")</f>
        <v/>
      </c>
      <c r="R1439">
        <f>IF(AND(Q1439&lt;&gt;"",ISNUMBER(D1439)),Q1439,"")</f>
        <v/>
      </c>
      <c r="S1439">
        <f>IF(AND(Q1439&lt;&gt;"",ISNUMBER(E1439)),Q1439,"")</f>
        <v/>
      </c>
      <c r="T1439">
        <f>IF(AND(Q1439&lt;&gt;"",ISNUMBER(F1439)),Q1439,"")</f>
        <v/>
      </c>
      <c r="U1439">
        <f>IF(AND(Q1439&lt;&gt;"",ISNUMBER(G1439)),Q1439,"")</f>
        <v/>
      </c>
      <c r="V1439">
        <f>IF(AND(Q1439&lt;&gt;"",ISNUMBER(H1439)),Q1439,"")</f>
        <v/>
      </c>
      <c r="W1439">
        <f>IF(AND(Q1439&lt;&gt;"",ISNUMBER(I1439)),Q1439,"")</f>
        <v/>
      </c>
      <c r="X1439">
        <f>IF(AND(Q1439&lt;&gt;"",ISNUMBER(J1439)),Q1439,"")</f>
        <v/>
      </c>
      <c r="Y1439">
        <f>IF(AND(Q1439&lt;&gt;"",ISNUMBER(K1439)),Q1439,"")</f>
        <v/>
      </c>
      <c r="Z1439">
        <f>IF(AND(Q1439&lt;&gt;"",ISNUMBER(L1439)),Q1439,"")</f>
        <v/>
      </c>
      <c r="AA1439">
        <f>IF(AND(Q1439&lt;&gt;"",ISNUMBER(M1439)),Q1439,"")</f>
        <v/>
      </c>
      <c r="AB1439">
        <f>IF(AND(Q1439&lt;&gt;"",ISNUMBER(K1439)),K1439,"")</f>
        <v/>
      </c>
      <c r="AC1439">
        <f>IF(AND(Q1439&lt;&gt;"",ISNUMBER(L1439)),L1439,"")</f>
        <v/>
      </c>
      <c r="AD1439">
        <f>IF(AND(Q1439&lt;&gt;"",ISNUMBER(M1439)),M1439,"")</f>
        <v/>
      </c>
    </row>
    <row r="1440">
      <c r="A1440" s="1" t="n"/>
      <c r="B1440" s="17" t="n"/>
      <c r="C1440" s="27" t="n"/>
      <c r="D1440" s="28" t="n"/>
      <c r="E1440" s="28" t="n"/>
      <c r="F1440" s="28" t="n"/>
      <c r="G1440" s="28" t="n"/>
      <c r="H1440" s="28" t="n"/>
      <c r="I1440" s="28" t="n"/>
      <c r="J1440" s="28" t="n"/>
      <c r="K1440" s="28" t="n"/>
      <c r="L1440" s="28" t="n"/>
      <c r="M1440" s="29" t="n"/>
      <c r="N1440" s="21" t="n"/>
      <c r="O1440" s="12">
        <f>IF(AND(B1440="",C1440=""),"",IF(NOT(ISNUMBER(B1440)),"Needs a date",IF(C1440="","Needs a client",IF(COUNTIF(Clients!$B$6:$B$105,C1440)=0,"Not on Clients",IF(COUNT(D1440:M1440)=0,"Nothing measured","")))))</f>
        <v/>
      </c>
      <c r="P1440" s="1">
        <f>IF(AND(O1440="",ISNUMBER(B1440)),INT(B1440),0)</f>
        <v/>
      </c>
      <c r="Q1440">
        <f>IF(AND(P1440&gt;0,C1440=Report!$C$5),P1440*10000+ROW(),"")</f>
        <v/>
      </c>
      <c r="R1440">
        <f>IF(AND(Q1440&lt;&gt;"",ISNUMBER(D1440)),Q1440,"")</f>
        <v/>
      </c>
      <c r="S1440">
        <f>IF(AND(Q1440&lt;&gt;"",ISNUMBER(E1440)),Q1440,"")</f>
        <v/>
      </c>
      <c r="T1440">
        <f>IF(AND(Q1440&lt;&gt;"",ISNUMBER(F1440)),Q1440,"")</f>
        <v/>
      </c>
      <c r="U1440">
        <f>IF(AND(Q1440&lt;&gt;"",ISNUMBER(G1440)),Q1440,"")</f>
        <v/>
      </c>
      <c r="V1440">
        <f>IF(AND(Q1440&lt;&gt;"",ISNUMBER(H1440)),Q1440,"")</f>
        <v/>
      </c>
      <c r="W1440">
        <f>IF(AND(Q1440&lt;&gt;"",ISNUMBER(I1440)),Q1440,"")</f>
        <v/>
      </c>
      <c r="X1440">
        <f>IF(AND(Q1440&lt;&gt;"",ISNUMBER(J1440)),Q1440,"")</f>
        <v/>
      </c>
      <c r="Y1440">
        <f>IF(AND(Q1440&lt;&gt;"",ISNUMBER(K1440)),Q1440,"")</f>
        <v/>
      </c>
      <c r="Z1440">
        <f>IF(AND(Q1440&lt;&gt;"",ISNUMBER(L1440)),Q1440,"")</f>
        <v/>
      </c>
      <c r="AA1440">
        <f>IF(AND(Q1440&lt;&gt;"",ISNUMBER(M1440)),Q1440,"")</f>
        <v/>
      </c>
      <c r="AB1440">
        <f>IF(AND(Q1440&lt;&gt;"",ISNUMBER(K1440)),K1440,"")</f>
        <v/>
      </c>
      <c r="AC1440">
        <f>IF(AND(Q1440&lt;&gt;"",ISNUMBER(L1440)),L1440,"")</f>
        <v/>
      </c>
      <c r="AD1440">
        <f>IF(AND(Q1440&lt;&gt;"",ISNUMBER(M1440)),M1440,"")</f>
        <v/>
      </c>
    </row>
    <row r="1441">
      <c r="A1441" s="1" t="n"/>
      <c r="B1441" s="17" t="n"/>
      <c r="C1441" s="27" t="n"/>
      <c r="D1441" s="28" t="n"/>
      <c r="E1441" s="28" t="n"/>
      <c r="F1441" s="28" t="n"/>
      <c r="G1441" s="28" t="n"/>
      <c r="H1441" s="28" t="n"/>
      <c r="I1441" s="28" t="n"/>
      <c r="J1441" s="28" t="n"/>
      <c r="K1441" s="28" t="n"/>
      <c r="L1441" s="28" t="n"/>
      <c r="M1441" s="29" t="n"/>
      <c r="N1441" s="21" t="n"/>
      <c r="O1441" s="12">
        <f>IF(AND(B1441="",C1441=""),"",IF(NOT(ISNUMBER(B1441)),"Needs a date",IF(C1441="","Needs a client",IF(COUNTIF(Clients!$B$6:$B$105,C1441)=0,"Not on Clients",IF(COUNT(D1441:M1441)=0,"Nothing measured","")))))</f>
        <v/>
      </c>
      <c r="P1441" s="1">
        <f>IF(AND(O1441="",ISNUMBER(B1441)),INT(B1441),0)</f>
        <v/>
      </c>
      <c r="Q1441">
        <f>IF(AND(P1441&gt;0,C1441=Report!$C$5),P1441*10000+ROW(),"")</f>
        <v/>
      </c>
      <c r="R1441">
        <f>IF(AND(Q1441&lt;&gt;"",ISNUMBER(D1441)),Q1441,"")</f>
        <v/>
      </c>
      <c r="S1441">
        <f>IF(AND(Q1441&lt;&gt;"",ISNUMBER(E1441)),Q1441,"")</f>
        <v/>
      </c>
      <c r="T1441">
        <f>IF(AND(Q1441&lt;&gt;"",ISNUMBER(F1441)),Q1441,"")</f>
        <v/>
      </c>
      <c r="U1441">
        <f>IF(AND(Q1441&lt;&gt;"",ISNUMBER(G1441)),Q1441,"")</f>
        <v/>
      </c>
      <c r="V1441">
        <f>IF(AND(Q1441&lt;&gt;"",ISNUMBER(H1441)),Q1441,"")</f>
        <v/>
      </c>
      <c r="W1441">
        <f>IF(AND(Q1441&lt;&gt;"",ISNUMBER(I1441)),Q1441,"")</f>
        <v/>
      </c>
      <c r="X1441">
        <f>IF(AND(Q1441&lt;&gt;"",ISNUMBER(J1441)),Q1441,"")</f>
        <v/>
      </c>
      <c r="Y1441">
        <f>IF(AND(Q1441&lt;&gt;"",ISNUMBER(K1441)),Q1441,"")</f>
        <v/>
      </c>
      <c r="Z1441">
        <f>IF(AND(Q1441&lt;&gt;"",ISNUMBER(L1441)),Q1441,"")</f>
        <v/>
      </c>
      <c r="AA1441">
        <f>IF(AND(Q1441&lt;&gt;"",ISNUMBER(M1441)),Q1441,"")</f>
        <v/>
      </c>
      <c r="AB1441">
        <f>IF(AND(Q1441&lt;&gt;"",ISNUMBER(K1441)),K1441,"")</f>
        <v/>
      </c>
      <c r="AC1441">
        <f>IF(AND(Q1441&lt;&gt;"",ISNUMBER(L1441)),L1441,"")</f>
        <v/>
      </c>
      <c r="AD1441">
        <f>IF(AND(Q1441&lt;&gt;"",ISNUMBER(M1441)),M1441,"")</f>
        <v/>
      </c>
    </row>
    <row r="1442">
      <c r="A1442" s="1" t="n"/>
      <c r="B1442" s="17" t="n"/>
      <c r="C1442" s="27" t="n"/>
      <c r="D1442" s="28" t="n"/>
      <c r="E1442" s="28" t="n"/>
      <c r="F1442" s="28" t="n"/>
      <c r="G1442" s="28" t="n"/>
      <c r="H1442" s="28" t="n"/>
      <c r="I1442" s="28" t="n"/>
      <c r="J1442" s="28" t="n"/>
      <c r="K1442" s="28" t="n"/>
      <c r="L1442" s="28" t="n"/>
      <c r="M1442" s="29" t="n"/>
      <c r="N1442" s="21" t="n"/>
      <c r="O1442" s="12">
        <f>IF(AND(B1442="",C1442=""),"",IF(NOT(ISNUMBER(B1442)),"Needs a date",IF(C1442="","Needs a client",IF(COUNTIF(Clients!$B$6:$B$105,C1442)=0,"Not on Clients",IF(COUNT(D1442:M1442)=0,"Nothing measured","")))))</f>
        <v/>
      </c>
      <c r="P1442" s="1">
        <f>IF(AND(O1442="",ISNUMBER(B1442)),INT(B1442),0)</f>
        <v/>
      </c>
      <c r="Q1442">
        <f>IF(AND(P1442&gt;0,C1442=Report!$C$5),P1442*10000+ROW(),"")</f>
        <v/>
      </c>
      <c r="R1442">
        <f>IF(AND(Q1442&lt;&gt;"",ISNUMBER(D1442)),Q1442,"")</f>
        <v/>
      </c>
      <c r="S1442">
        <f>IF(AND(Q1442&lt;&gt;"",ISNUMBER(E1442)),Q1442,"")</f>
        <v/>
      </c>
      <c r="T1442">
        <f>IF(AND(Q1442&lt;&gt;"",ISNUMBER(F1442)),Q1442,"")</f>
        <v/>
      </c>
      <c r="U1442">
        <f>IF(AND(Q1442&lt;&gt;"",ISNUMBER(G1442)),Q1442,"")</f>
        <v/>
      </c>
      <c r="V1442">
        <f>IF(AND(Q1442&lt;&gt;"",ISNUMBER(H1442)),Q1442,"")</f>
        <v/>
      </c>
      <c r="W1442">
        <f>IF(AND(Q1442&lt;&gt;"",ISNUMBER(I1442)),Q1442,"")</f>
        <v/>
      </c>
      <c r="X1442">
        <f>IF(AND(Q1442&lt;&gt;"",ISNUMBER(J1442)),Q1442,"")</f>
        <v/>
      </c>
      <c r="Y1442">
        <f>IF(AND(Q1442&lt;&gt;"",ISNUMBER(K1442)),Q1442,"")</f>
        <v/>
      </c>
      <c r="Z1442">
        <f>IF(AND(Q1442&lt;&gt;"",ISNUMBER(L1442)),Q1442,"")</f>
        <v/>
      </c>
      <c r="AA1442">
        <f>IF(AND(Q1442&lt;&gt;"",ISNUMBER(M1442)),Q1442,"")</f>
        <v/>
      </c>
      <c r="AB1442">
        <f>IF(AND(Q1442&lt;&gt;"",ISNUMBER(K1442)),K1442,"")</f>
        <v/>
      </c>
      <c r="AC1442">
        <f>IF(AND(Q1442&lt;&gt;"",ISNUMBER(L1442)),L1442,"")</f>
        <v/>
      </c>
      <c r="AD1442">
        <f>IF(AND(Q1442&lt;&gt;"",ISNUMBER(M1442)),M1442,"")</f>
        <v/>
      </c>
    </row>
    <row r="1443">
      <c r="A1443" s="1" t="n"/>
      <c r="B1443" s="17" t="n"/>
      <c r="C1443" s="27" t="n"/>
      <c r="D1443" s="28" t="n"/>
      <c r="E1443" s="28" t="n"/>
      <c r="F1443" s="28" t="n"/>
      <c r="G1443" s="28" t="n"/>
      <c r="H1443" s="28" t="n"/>
      <c r="I1443" s="28" t="n"/>
      <c r="J1443" s="28" t="n"/>
      <c r="K1443" s="28" t="n"/>
      <c r="L1443" s="28" t="n"/>
      <c r="M1443" s="29" t="n"/>
      <c r="N1443" s="21" t="n"/>
      <c r="O1443" s="12">
        <f>IF(AND(B1443="",C1443=""),"",IF(NOT(ISNUMBER(B1443)),"Needs a date",IF(C1443="","Needs a client",IF(COUNTIF(Clients!$B$6:$B$105,C1443)=0,"Not on Clients",IF(COUNT(D1443:M1443)=0,"Nothing measured","")))))</f>
        <v/>
      </c>
      <c r="P1443" s="1">
        <f>IF(AND(O1443="",ISNUMBER(B1443)),INT(B1443),0)</f>
        <v/>
      </c>
      <c r="Q1443">
        <f>IF(AND(P1443&gt;0,C1443=Report!$C$5),P1443*10000+ROW(),"")</f>
        <v/>
      </c>
      <c r="R1443">
        <f>IF(AND(Q1443&lt;&gt;"",ISNUMBER(D1443)),Q1443,"")</f>
        <v/>
      </c>
      <c r="S1443">
        <f>IF(AND(Q1443&lt;&gt;"",ISNUMBER(E1443)),Q1443,"")</f>
        <v/>
      </c>
      <c r="T1443">
        <f>IF(AND(Q1443&lt;&gt;"",ISNUMBER(F1443)),Q1443,"")</f>
        <v/>
      </c>
      <c r="U1443">
        <f>IF(AND(Q1443&lt;&gt;"",ISNUMBER(G1443)),Q1443,"")</f>
        <v/>
      </c>
      <c r="V1443">
        <f>IF(AND(Q1443&lt;&gt;"",ISNUMBER(H1443)),Q1443,"")</f>
        <v/>
      </c>
      <c r="W1443">
        <f>IF(AND(Q1443&lt;&gt;"",ISNUMBER(I1443)),Q1443,"")</f>
        <v/>
      </c>
      <c r="X1443">
        <f>IF(AND(Q1443&lt;&gt;"",ISNUMBER(J1443)),Q1443,"")</f>
        <v/>
      </c>
      <c r="Y1443">
        <f>IF(AND(Q1443&lt;&gt;"",ISNUMBER(K1443)),Q1443,"")</f>
        <v/>
      </c>
      <c r="Z1443">
        <f>IF(AND(Q1443&lt;&gt;"",ISNUMBER(L1443)),Q1443,"")</f>
        <v/>
      </c>
      <c r="AA1443">
        <f>IF(AND(Q1443&lt;&gt;"",ISNUMBER(M1443)),Q1443,"")</f>
        <v/>
      </c>
      <c r="AB1443">
        <f>IF(AND(Q1443&lt;&gt;"",ISNUMBER(K1443)),K1443,"")</f>
        <v/>
      </c>
      <c r="AC1443">
        <f>IF(AND(Q1443&lt;&gt;"",ISNUMBER(L1443)),L1443,"")</f>
        <v/>
      </c>
      <c r="AD1443">
        <f>IF(AND(Q1443&lt;&gt;"",ISNUMBER(M1443)),M1443,"")</f>
        <v/>
      </c>
    </row>
    <row r="1444">
      <c r="A1444" s="1" t="n"/>
      <c r="B1444" s="17" t="n"/>
      <c r="C1444" s="27" t="n"/>
      <c r="D1444" s="28" t="n"/>
      <c r="E1444" s="28" t="n"/>
      <c r="F1444" s="28" t="n"/>
      <c r="G1444" s="28" t="n"/>
      <c r="H1444" s="28" t="n"/>
      <c r="I1444" s="28" t="n"/>
      <c r="J1444" s="28" t="n"/>
      <c r="K1444" s="28" t="n"/>
      <c r="L1444" s="28" t="n"/>
      <c r="M1444" s="29" t="n"/>
      <c r="N1444" s="21" t="n"/>
      <c r="O1444" s="12">
        <f>IF(AND(B1444="",C1444=""),"",IF(NOT(ISNUMBER(B1444)),"Needs a date",IF(C1444="","Needs a client",IF(COUNTIF(Clients!$B$6:$B$105,C1444)=0,"Not on Clients",IF(COUNT(D1444:M1444)=0,"Nothing measured","")))))</f>
        <v/>
      </c>
      <c r="P1444" s="1">
        <f>IF(AND(O1444="",ISNUMBER(B1444)),INT(B1444),0)</f>
        <v/>
      </c>
      <c r="Q1444">
        <f>IF(AND(P1444&gt;0,C1444=Report!$C$5),P1444*10000+ROW(),"")</f>
        <v/>
      </c>
      <c r="R1444">
        <f>IF(AND(Q1444&lt;&gt;"",ISNUMBER(D1444)),Q1444,"")</f>
        <v/>
      </c>
      <c r="S1444">
        <f>IF(AND(Q1444&lt;&gt;"",ISNUMBER(E1444)),Q1444,"")</f>
        <v/>
      </c>
      <c r="T1444">
        <f>IF(AND(Q1444&lt;&gt;"",ISNUMBER(F1444)),Q1444,"")</f>
        <v/>
      </c>
      <c r="U1444">
        <f>IF(AND(Q1444&lt;&gt;"",ISNUMBER(G1444)),Q1444,"")</f>
        <v/>
      </c>
      <c r="V1444">
        <f>IF(AND(Q1444&lt;&gt;"",ISNUMBER(H1444)),Q1444,"")</f>
        <v/>
      </c>
      <c r="W1444">
        <f>IF(AND(Q1444&lt;&gt;"",ISNUMBER(I1444)),Q1444,"")</f>
        <v/>
      </c>
      <c r="X1444">
        <f>IF(AND(Q1444&lt;&gt;"",ISNUMBER(J1444)),Q1444,"")</f>
        <v/>
      </c>
      <c r="Y1444">
        <f>IF(AND(Q1444&lt;&gt;"",ISNUMBER(K1444)),Q1444,"")</f>
        <v/>
      </c>
      <c r="Z1444">
        <f>IF(AND(Q1444&lt;&gt;"",ISNUMBER(L1444)),Q1444,"")</f>
        <v/>
      </c>
      <c r="AA1444">
        <f>IF(AND(Q1444&lt;&gt;"",ISNUMBER(M1444)),Q1444,"")</f>
        <v/>
      </c>
      <c r="AB1444">
        <f>IF(AND(Q1444&lt;&gt;"",ISNUMBER(K1444)),K1444,"")</f>
        <v/>
      </c>
      <c r="AC1444">
        <f>IF(AND(Q1444&lt;&gt;"",ISNUMBER(L1444)),L1444,"")</f>
        <v/>
      </c>
      <c r="AD1444">
        <f>IF(AND(Q1444&lt;&gt;"",ISNUMBER(M1444)),M1444,"")</f>
        <v/>
      </c>
    </row>
    <row r="1445">
      <c r="A1445" s="1" t="n"/>
      <c r="B1445" s="17" t="n"/>
      <c r="C1445" s="27" t="n"/>
      <c r="D1445" s="28" t="n"/>
      <c r="E1445" s="28" t="n"/>
      <c r="F1445" s="28" t="n"/>
      <c r="G1445" s="28" t="n"/>
      <c r="H1445" s="28" t="n"/>
      <c r="I1445" s="28" t="n"/>
      <c r="J1445" s="28" t="n"/>
      <c r="K1445" s="28" t="n"/>
      <c r="L1445" s="28" t="n"/>
      <c r="M1445" s="29" t="n"/>
      <c r="N1445" s="21" t="n"/>
      <c r="O1445" s="12">
        <f>IF(AND(B1445="",C1445=""),"",IF(NOT(ISNUMBER(B1445)),"Needs a date",IF(C1445="","Needs a client",IF(COUNTIF(Clients!$B$6:$B$105,C1445)=0,"Not on Clients",IF(COUNT(D1445:M1445)=0,"Nothing measured","")))))</f>
        <v/>
      </c>
      <c r="P1445" s="1">
        <f>IF(AND(O1445="",ISNUMBER(B1445)),INT(B1445),0)</f>
        <v/>
      </c>
      <c r="Q1445">
        <f>IF(AND(P1445&gt;0,C1445=Report!$C$5),P1445*10000+ROW(),"")</f>
        <v/>
      </c>
      <c r="R1445">
        <f>IF(AND(Q1445&lt;&gt;"",ISNUMBER(D1445)),Q1445,"")</f>
        <v/>
      </c>
      <c r="S1445">
        <f>IF(AND(Q1445&lt;&gt;"",ISNUMBER(E1445)),Q1445,"")</f>
        <v/>
      </c>
      <c r="T1445">
        <f>IF(AND(Q1445&lt;&gt;"",ISNUMBER(F1445)),Q1445,"")</f>
        <v/>
      </c>
      <c r="U1445">
        <f>IF(AND(Q1445&lt;&gt;"",ISNUMBER(G1445)),Q1445,"")</f>
        <v/>
      </c>
      <c r="V1445">
        <f>IF(AND(Q1445&lt;&gt;"",ISNUMBER(H1445)),Q1445,"")</f>
        <v/>
      </c>
      <c r="W1445">
        <f>IF(AND(Q1445&lt;&gt;"",ISNUMBER(I1445)),Q1445,"")</f>
        <v/>
      </c>
      <c r="X1445">
        <f>IF(AND(Q1445&lt;&gt;"",ISNUMBER(J1445)),Q1445,"")</f>
        <v/>
      </c>
      <c r="Y1445">
        <f>IF(AND(Q1445&lt;&gt;"",ISNUMBER(K1445)),Q1445,"")</f>
        <v/>
      </c>
      <c r="Z1445">
        <f>IF(AND(Q1445&lt;&gt;"",ISNUMBER(L1445)),Q1445,"")</f>
        <v/>
      </c>
      <c r="AA1445">
        <f>IF(AND(Q1445&lt;&gt;"",ISNUMBER(M1445)),Q1445,"")</f>
        <v/>
      </c>
      <c r="AB1445">
        <f>IF(AND(Q1445&lt;&gt;"",ISNUMBER(K1445)),K1445,"")</f>
        <v/>
      </c>
      <c r="AC1445">
        <f>IF(AND(Q1445&lt;&gt;"",ISNUMBER(L1445)),L1445,"")</f>
        <v/>
      </c>
      <c r="AD1445">
        <f>IF(AND(Q1445&lt;&gt;"",ISNUMBER(M1445)),M1445,"")</f>
        <v/>
      </c>
    </row>
    <row r="1446">
      <c r="A1446" s="1" t="n"/>
      <c r="B1446" s="17" t="n"/>
      <c r="C1446" s="27" t="n"/>
      <c r="D1446" s="28" t="n"/>
      <c r="E1446" s="28" t="n"/>
      <c r="F1446" s="28" t="n"/>
      <c r="G1446" s="28" t="n"/>
      <c r="H1446" s="28" t="n"/>
      <c r="I1446" s="28" t="n"/>
      <c r="J1446" s="28" t="n"/>
      <c r="K1446" s="28" t="n"/>
      <c r="L1446" s="28" t="n"/>
      <c r="M1446" s="29" t="n"/>
      <c r="N1446" s="21" t="n"/>
      <c r="O1446" s="12">
        <f>IF(AND(B1446="",C1446=""),"",IF(NOT(ISNUMBER(B1446)),"Needs a date",IF(C1446="","Needs a client",IF(COUNTIF(Clients!$B$6:$B$105,C1446)=0,"Not on Clients",IF(COUNT(D1446:M1446)=0,"Nothing measured","")))))</f>
        <v/>
      </c>
      <c r="P1446" s="1">
        <f>IF(AND(O1446="",ISNUMBER(B1446)),INT(B1446),0)</f>
        <v/>
      </c>
      <c r="Q1446">
        <f>IF(AND(P1446&gt;0,C1446=Report!$C$5),P1446*10000+ROW(),"")</f>
        <v/>
      </c>
      <c r="R1446">
        <f>IF(AND(Q1446&lt;&gt;"",ISNUMBER(D1446)),Q1446,"")</f>
        <v/>
      </c>
      <c r="S1446">
        <f>IF(AND(Q1446&lt;&gt;"",ISNUMBER(E1446)),Q1446,"")</f>
        <v/>
      </c>
      <c r="T1446">
        <f>IF(AND(Q1446&lt;&gt;"",ISNUMBER(F1446)),Q1446,"")</f>
        <v/>
      </c>
      <c r="U1446">
        <f>IF(AND(Q1446&lt;&gt;"",ISNUMBER(G1446)),Q1446,"")</f>
        <v/>
      </c>
      <c r="V1446">
        <f>IF(AND(Q1446&lt;&gt;"",ISNUMBER(H1446)),Q1446,"")</f>
        <v/>
      </c>
      <c r="W1446">
        <f>IF(AND(Q1446&lt;&gt;"",ISNUMBER(I1446)),Q1446,"")</f>
        <v/>
      </c>
      <c r="X1446">
        <f>IF(AND(Q1446&lt;&gt;"",ISNUMBER(J1446)),Q1446,"")</f>
        <v/>
      </c>
      <c r="Y1446">
        <f>IF(AND(Q1446&lt;&gt;"",ISNUMBER(K1446)),Q1446,"")</f>
        <v/>
      </c>
      <c r="Z1446">
        <f>IF(AND(Q1446&lt;&gt;"",ISNUMBER(L1446)),Q1446,"")</f>
        <v/>
      </c>
      <c r="AA1446">
        <f>IF(AND(Q1446&lt;&gt;"",ISNUMBER(M1446)),Q1446,"")</f>
        <v/>
      </c>
      <c r="AB1446">
        <f>IF(AND(Q1446&lt;&gt;"",ISNUMBER(K1446)),K1446,"")</f>
        <v/>
      </c>
      <c r="AC1446">
        <f>IF(AND(Q1446&lt;&gt;"",ISNUMBER(L1446)),L1446,"")</f>
        <v/>
      </c>
      <c r="AD1446">
        <f>IF(AND(Q1446&lt;&gt;"",ISNUMBER(M1446)),M1446,"")</f>
        <v/>
      </c>
    </row>
    <row r="1447">
      <c r="A1447" s="1" t="n"/>
      <c r="B1447" s="17" t="n"/>
      <c r="C1447" s="27" t="n"/>
      <c r="D1447" s="28" t="n"/>
      <c r="E1447" s="28" t="n"/>
      <c r="F1447" s="28" t="n"/>
      <c r="G1447" s="28" t="n"/>
      <c r="H1447" s="28" t="n"/>
      <c r="I1447" s="28" t="n"/>
      <c r="J1447" s="28" t="n"/>
      <c r="K1447" s="28" t="n"/>
      <c r="L1447" s="28" t="n"/>
      <c r="M1447" s="29" t="n"/>
      <c r="N1447" s="21" t="n"/>
      <c r="O1447" s="12">
        <f>IF(AND(B1447="",C1447=""),"",IF(NOT(ISNUMBER(B1447)),"Needs a date",IF(C1447="","Needs a client",IF(COUNTIF(Clients!$B$6:$B$105,C1447)=0,"Not on Clients",IF(COUNT(D1447:M1447)=0,"Nothing measured","")))))</f>
        <v/>
      </c>
      <c r="P1447" s="1">
        <f>IF(AND(O1447="",ISNUMBER(B1447)),INT(B1447),0)</f>
        <v/>
      </c>
      <c r="Q1447">
        <f>IF(AND(P1447&gt;0,C1447=Report!$C$5),P1447*10000+ROW(),"")</f>
        <v/>
      </c>
      <c r="R1447">
        <f>IF(AND(Q1447&lt;&gt;"",ISNUMBER(D1447)),Q1447,"")</f>
        <v/>
      </c>
      <c r="S1447">
        <f>IF(AND(Q1447&lt;&gt;"",ISNUMBER(E1447)),Q1447,"")</f>
        <v/>
      </c>
      <c r="T1447">
        <f>IF(AND(Q1447&lt;&gt;"",ISNUMBER(F1447)),Q1447,"")</f>
        <v/>
      </c>
      <c r="U1447">
        <f>IF(AND(Q1447&lt;&gt;"",ISNUMBER(G1447)),Q1447,"")</f>
        <v/>
      </c>
      <c r="V1447">
        <f>IF(AND(Q1447&lt;&gt;"",ISNUMBER(H1447)),Q1447,"")</f>
        <v/>
      </c>
      <c r="W1447">
        <f>IF(AND(Q1447&lt;&gt;"",ISNUMBER(I1447)),Q1447,"")</f>
        <v/>
      </c>
      <c r="X1447">
        <f>IF(AND(Q1447&lt;&gt;"",ISNUMBER(J1447)),Q1447,"")</f>
        <v/>
      </c>
      <c r="Y1447">
        <f>IF(AND(Q1447&lt;&gt;"",ISNUMBER(K1447)),Q1447,"")</f>
        <v/>
      </c>
      <c r="Z1447">
        <f>IF(AND(Q1447&lt;&gt;"",ISNUMBER(L1447)),Q1447,"")</f>
        <v/>
      </c>
      <c r="AA1447">
        <f>IF(AND(Q1447&lt;&gt;"",ISNUMBER(M1447)),Q1447,"")</f>
        <v/>
      </c>
      <c r="AB1447">
        <f>IF(AND(Q1447&lt;&gt;"",ISNUMBER(K1447)),K1447,"")</f>
        <v/>
      </c>
      <c r="AC1447">
        <f>IF(AND(Q1447&lt;&gt;"",ISNUMBER(L1447)),L1447,"")</f>
        <v/>
      </c>
      <c r="AD1447">
        <f>IF(AND(Q1447&lt;&gt;"",ISNUMBER(M1447)),M1447,"")</f>
        <v/>
      </c>
    </row>
    <row r="1448">
      <c r="A1448" s="1" t="n"/>
      <c r="B1448" s="17" t="n"/>
      <c r="C1448" s="27" t="n"/>
      <c r="D1448" s="28" t="n"/>
      <c r="E1448" s="28" t="n"/>
      <c r="F1448" s="28" t="n"/>
      <c r="G1448" s="28" t="n"/>
      <c r="H1448" s="28" t="n"/>
      <c r="I1448" s="28" t="n"/>
      <c r="J1448" s="28" t="n"/>
      <c r="K1448" s="28" t="n"/>
      <c r="L1448" s="28" t="n"/>
      <c r="M1448" s="29" t="n"/>
      <c r="N1448" s="21" t="n"/>
      <c r="O1448" s="12">
        <f>IF(AND(B1448="",C1448=""),"",IF(NOT(ISNUMBER(B1448)),"Needs a date",IF(C1448="","Needs a client",IF(COUNTIF(Clients!$B$6:$B$105,C1448)=0,"Not on Clients",IF(COUNT(D1448:M1448)=0,"Nothing measured","")))))</f>
        <v/>
      </c>
      <c r="P1448" s="1">
        <f>IF(AND(O1448="",ISNUMBER(B1448)),INT(B1448),0)</f>
        <v/>
      </c>
      <c r="Q1448">
        <f>IF(AND(P1448&gt;0,C1448=Report!$C$5),P1448*10000+ROW(),"")</f>
        <v/>
      </c>
      <c r="R1448">
        <f>IF(AND(Q1448&lt;&gt;"",ISNUMBER(D1448)),Q1448,"")</f>
        <v/>
      </c>
      <c r="S1448">
        <f>IF(AND(Q1448&lt;&gt;"",ISNUMBER(E1448)),Q1448,"")</f>
        <v/>
      </c>
      <c r="T1448">
        <f>IF(AND(Q1448&lt;&gt;"",ISNUMBER(F1448)),Q1448,"")</f>
        <v/>
      </c>
      <c r="U1448">
        <f>IF(AND(Q1448&lt;&gt;"",ISNUMBER(G1448)),Q1448,"")</f>
        <v/>
      </c>
      <c r="V1448">
        <f>IF(AND(Q1448&lt;&gt;"",ISNUMBER(H1448)),Q1448,"")</f>
        <v/>
      </c>
      <c r="W1448">
        <f>IF(AND(Q1448&lt;&gt;"",ISNUMBER(I1448)),Q1448,"")</f>
        <v/>
      </c>
      <c r="X1448">
        <f>IF(AND(Q1448&lt;&gt;"",ISNUMBER(J1448)),Q1448,"")</f>
        <v/>
      </c>
      <c r="Y1448">
        <f>IF(AND(Q1448&lt;&gt;"",ISNUMBER(K1448)),Q1448,"")</f>
        <v/>
      </c>
      <c r="Z1448">
        <f>IF(AND(Q1448&lt;&gt;"",ISNUMBER(L1448)),Q1448,"")</f>
        <v/>
      </c>
      <c r="AA1448">
        <f>IF(AND(Q1448&lt;&gt;"",ISNUMBER(M1448)),Q1448,"")</f>
        <v/>
      </c>
      <c r="AB1448">
        <f>IF(AND(Q1448&lt;&gt;"",ISNUMBER(K1448)),K1448,"")</f>
        <v/>
      </c>
      <c r="AC1448">
        <f>IF(AND(Q1448&lt;&gt;"",ISNUMBER(L1448)),L1448,"")</f>
        <v/>
      </c>
      <c r="AD1448">
        <f>IF(AND(Q1448&lt;&gt;"",ISNUMBER(M1448)),M1448,"")</f>
        <v/>
      </c>
    </row>
    <row r="1449">
      <c r="A1449" s="1" t="n"/>
      <c r="B1449" s="17" t="n"/>
      <c r="C1449" s="27" t="n"/>
      <c r="D1449" s="28" t="n"/>
      <c r="E1449" s="28" t="n"/>
      <c r="F1449" s="28" t="n"/>
      <c r="G1449" s="28" t="n"/>
      <c r="H1449" s="28" t="n"/>
      <c r="I1449" s="28" t="n"/>
      <c r="J1449" s="28" t="n"/>
      <c r="K1449" s="28" t="n"/>
      <c r="L1449" s="28" t="n"/>
      <c r="M1449" s="29" t="n"/>
      <c r="N1449" s="21" t="n"/>
      <c r="O1449" s="12">
        <f>IF(AND(B1449="",C1449=""),"",IF(NOT(ISNUMBER(B1449)),"Needs a date",IF(C1449="","Needs a client",IF(COUNTIF(Clients!$B$6:$B$105,C1449)=0,"Not on Clients",IF(COUNT(D1449:M1449)=0,"Nothing measured","")))))</f>
        <v/>
      </c>
      <c r="P1449" s="1">
        <f>IF(AND(O1449="",ISNUMBER(B1449)),INT(B1449),0)</f>
        <v/>
      </c>
      <c r="Q1449">
        <f>IF(AND(P1449&gt;0,C1449=Report!$C$5),P1449*10000+ROW(),"")</f>
        <v/>
      </c>
      <c r="R1449">
        <f>IF(AND(Q1449&lt;&gt;"",ISNUMBER(D1449)),Q1449,"")</f>
        <v/>
      </c>
      <c r="S1449">
        <f>IF(AND(Q1449&lt;&gt;"",ISNUMBER(E1449)),Q1449,"")</f>
        <v/>
      </c>
      <c r="T1449">
        <f>IF(AND(Q1449&lt;&gt;"",ISNUMBER(F1449)),Q1449,"")</f>
        <v/>
      </c>
      <c r="U1449">
        <f>IF(AND(Q1449&lt;&gt;"",ISNUMBER(G1449)),Q1449,"")</f>
        <v/>
      </c>
      <c r="V1449">
        <f>IF(AND(Q1449&lt;&gt;"",ISNUMBER(H1449)),Q1449,"")</f>
        <v/>
      </c>
      <c r="W1449">
        <f>IF(AND(Q1449&lt;&gt;"",ISNUMBER(I1449)),Q1449,"")</f>
        <v/>
      </c>
      <c r="X1449">
        <f>IF(AND(Q1449&lt;&gt;"",ISNUMBER(J1449)),Q1449,"")</f>
        <v/>
      </c>
      <c r="Y1449">
        <f>IF(AND(Q1449&lt;&gt;"",ISNUMBER(K1449)),Q1449,"")</f>
        <v/>
      </c>
      <c r="Z1449">
        <f>IF(AND(Q1449&lt;&gt;"",ISNUMBER(L1449)),Q1449,"")</f>
        <v/>
      </c>
      <c r="AA1449">
        <f>IF(AND(Q1449&lt;&gt;"",ISNUMBER(M1449)),Q1449,"")</f>
        <v/>
      </c>
      <c r="AB1449">
        <f>IF(AND(Q1449&lt;&gt;"",ISNUMBER(K1449)),K1449,"")</f>
        <v/>
      </c>
      <c r="AC1449">
        <f>IF(AND(Q1449&lt;&gt;"",ISNUMBER(L1449)),L1449,"")</f>
        <v/>
      </c>
      <c r="AD1449">
        <f>IF(AND(Q1449&lt;&gt;"",ISNUMBER(M1449)),M1449,"")</f>
        <v/>
      </c>
    </row>
    <row r="1450">
      <c r="A1450" s="1" t="n"/>
      <c r="B1450" s="17" t="n"/>
      <c r="C1450" s="27" t="n"/>
      <c r="D1450" s="28" t="n"/>
      <c r="E1450" s="28" t="n"/>
      <c r="F1450" s="28" t="n"/>
      <c r="G1450" s="28" t="n"/>
      <c r="H1450" s="28" t="n"/>
      <c r="I1450" s="28" t="n"/>
      <c r="J1450" s="28" t="n"/>
      <c r="K1450" s="28" t="n"/>
      <c r="L1450" s="28" t="n"/>
      <c r="M1450" s="29" t="n"/>
      <c r="N1450" s="21" t="n"/>
      <c r="O1450" s="12">
        <f>IF(AND(B1450="",C1450=""),"",IF(NOT(ISNUMBER(B1450)),"Needs a date",IF(C1450="","Needs a client",IF(COUNTIF(Clients!$B$6:$B$105,C1450)=0,"Not on Clients",IF(COUNT(D1450:M1450)=0,"Nothing measured","")))))</f>
        <v/>
      </c>
      <c r="P1450" s="1">
        <f>IF(AND(O1450="",ISNUMBER(B1450)),INT(B1450),0)</f>
        <v/>
      </c>
      <c r="Q1450">
        <f>IF(AND(P1450&gt;0,C1450=Report!$C$5),P1450*10000+ROW(),"")</f>
        <v/>
      </c>
      <c r="R1450">
        <f>IF(AND(Q1450&lt;&gt;"",ISNUMBER(D1450)),Q1450,"")</f>
        <v/>
      </c>
      <c r="S1450">
        <f>IF(AND(Q1450&lt;&gt;"",ISNUMBER(E1450)),Q1450,"")</f>
        <v/>
      </c>
      <c r="T1450">
        <f>IF(AND(Q1450&lt;&gt;"",ISNUMBER(F1450)),Q1450,"")</f>
        <v/>
      </c>
      <c r="U1450">
        <f>IF(AND(Q1450&lt;&gt;"",ISNUMBER(G1450)),Q1450,"")</f>
        <v/>
      </c>
      <c r="V1450">
        <f>IF(AND(Q1450&lt;&gt;"",ISNUMBER(H1450)),Q1450,"")</f>
        <v/>
      </c>
      <c r="W1450">
        <f>IF(AND(Q1450&lt;&gt;"",ISNUMBER(I1450)),Q1450,"")</f>
        <v/>
      </c>
      <c r="X1450">
        <f>IF(AND(Q1450&lt;&gt;"",ISNUMBER(J1450)),Q1450,"")</f>
        <v/>
      </c>
      <c r="Y1450">
        <f>IF(AND(Q1450&lt;&gt;"",ISNUMBER(K1450)),Q1450,"")</f>
        <v/>
      </c>
      <c r="Z1450">
        <f>IF(AND(Q1450&lt;&gt;"",ISNUMBER(L1450)),Q1450,"")</f>
        <v/>
      </c>
      <c r="AA1450">
        <f>IF(AND(Q1450&lt;&gt;"",ISNUMBER(M1450)),Q1450,"")</f>
        <v/>
      </c>
      <c r="AB1450">
        <f>IF(AND(Q1450&lt;&gt;"",ISNUMBER(K1450)),K1450,"")</f>
        <v/>
      </c>
      <c r="AC1450">
        <f>IF(AND(Q1450&lt;&gt;"",ISNUMBER(L1450)),L1450,"")</f>
        <v/>
      </c>
      <c r="AD1450">
        <f>IF(AND(Q1450&lt;&gt;"",ISNUMBER(M1450)),M1450,"")</f>
        <v/>
      </c>
    </row>
    <row r="1451">
      <c r="A1451" s="1" t="n"/>
      <c r="B1451" s="17" t="n"/>
      <c r="C1451" s="27" t="n"/>
      <c r="D1451" s="28" t="n"/>
      <c r="E1451" s="28" t="n"/>
      <c r="F1451" s="28" t="n"/>
      <c r="G1451" s="28" t="n"/>
      <c r="H1451" s="28" t="n"/>
      <c r="I1451" s="28" t="n"/>
      <c r="J1451" s="28" t="n"/>
      <c r="K1451" s="28" t="n"/>
      <c r="L1451" s="28" t="n"/>
      <c r="M1451" s="29" t="n"/>
      <c r="N1451" s="21" t="n"/>
      <c r="O1451" s="12">
        <f>IF(AND(B1451="",C1451=""),"",IF(NOT(ISNUMBER(B1451)),"Needs a date",IF(C1451="","Needs a client",IF(COUNTIF(Clients!$B$6:$B$105,C1451)=0,"Not on Clients",IF(COUNT(D1451:M1451)=0,"Nothing measured","")))))</f>
        <v/>
      </c>
      <c r="P1451" s="1">
        <f>IF(AND(O1451="",ISNUMBER(B1451)),INT(B1451),0)</f>
        <v/>
      </c>
      <c r="Q1451">
        <f>IF(AND(P1451&gt;0,C1451=Report!$C$5),P1451*10000+ROW(),"")</f>
        <v/>
      </c>
      <c r="R1451">
        <f>IF(AND(Q1451&lt;&gt;"",ISNUMBER(D1451)),Q1451,"")</f>
        <v/>
      </c>
      <c r="S1451">
        <f>IF(AND(Q1451&lt;&gt;"",ISNUMBER(E1451)),Q1451,"")</f>
        <v/>
      </c>
      <c r="T1451">
        <f>IF(AND(Q1451&lt;&gt;"",ISNUMBER(F1451)),Q1451,"")</f>
        <v/>
      </c>
      <c r="U1451">
        <f>IF(AND(Q1451&lt;&gt;"",ISNUMBER(G1451)),Q1451,"")</f>
        <v/>
      </c>
      <c r="V1451">
        <f>IF(AND(Q1451&lt;&gt;"",ISNUMBER(H1451)),Q1451,"")</f>
        <v/>
      </c>
      <c r="W1451">
        <f>IF(AND(Q1451&lt;&gt;"",ISNUMBER(I1451)),Q1451,"")</f>
        <v/>
      </c>
      <c r="X1451">
        <f>IF(AND(Q1451&lt;&gt;"",ISNUMBER(J1451)),Q1451,"")</f>
        <v/>
      </c>
      <c r="Y1451">
        <f>IF(AND(Q1451&lt;&gt;"",ISNUMBER(K1451)),Q1451,"")</f>
        <v/>
      </c>
      <c r="Z1451">
        <f>IF(AND(Q1451&lt;&gt;"",ISNUMBER(L1451)),Q1451,"")</f>
        <v/>
      </c>
      <c r="AA1451">
        <f>IF(AND(Q1451&lt;&gt;"",ISNUMBER(M1451)),Q1451,"")</f>
        <v/>
      </c>
      <c r="AB1451">
        <f>IF(AND(Q1451&lt;&gt;"",ISNUMBER(K1451)),K1451,"")</f>
        <v/>
      </c>
      <c r="AC1451">
        <f>IF(AND(Q1451&lt;&gt;"",ISNUMBER(L1451)),L1451,"")</f>
        <v/>
      </c>
      <c r="AD1451">
        <f>IF(AND(Q1451&lt;&gt;"",ISNUMBER(M1451)),M1451,"")</f>
        <v/>
      </c>
    </row>
    <row r="1452">
      <c r="A1452" s="1" t="n"/>
      <c r="B1452" s="17" t="n"/>
      <c r="C1452" s="27" t="n"/>
      <c r="D1452" s="28" t="n"/>
      <c r="E1452" s="28" t="n"/>
      <c r="F1452" s="28" t="n"/>
      <c r="G1452" s="28" t="n"/>
      <c r="H1452" s="28" t="n"/>
      <c r="I1452" s="28" t="n"/>
      <c r="J1452" s="28" t="n"/>
      <c r="K1452" s="28" t="n"/>
      <c r="L1452" s="28" t="n"/>
      <c r="M1452" s="29" t="n"/>
      <c r="N1452" s="21" t="n"/>
      <c r="O1452" s="12">
        <f>IF(AND(B1452="",C1452=""),"",IF(NOT(ISNUMBER(B1452)),"Needs a date",IF(C1452="","Needs a client",IF(COUNTIF(Clients!$B$6:$B$105,C1452)=0,"Not on Clients",IF(COUNT(D1452:M1452)=0,"Nothing measured","")))))</f>
        <v/>
      </c>
      <c r="P1452" s="1">
        <f>IF(AND(O1452="",ISNUMBER(B1452)),INT(B1452),0)</f>
        <v/>
      </c>
      <c r="Q1452">
        <f>IF(AND(P1452&gt;0,C1452=Report!$C$5),P1452*10000+ROW(),"")</f>
        <v/>
      </c>
      <c r="R1452">
        <f>IF(AND(Q1452&lt;&gt;"",ISNUMBER(D1452)),Q1452,"")</f>
        <v/>
      </c>
      <c r="S1452">
        <f>IF(AND(Q1452&lt;&gt;"",ISNUMBER(E1452)),Q1452,"")</f>
        <v/>
      </c>
      <c r="T1452">
        <f>IF(AND(Q1452&lt;&gt;"",ISNUMBER(F1452)),Q1452,"")</f>
        <v/>
      </c>
      <c r="U1452">
        <f>IF(AND(Q1452&lt;&gt;"",ISNUMBER(G1452)),Q1452,"")</f>
        <v/>
      </c>
      <c r="V1452">
        <f>IF(AND(Q1452&lt;&gt;"",ISNUMBER(H1452)),Q1452,"")</f>
        <v/>
      </c>
      <c r="W1452">
        <f>IF(AND(Q1452&lt;&gt;"",ISNUMBER(I1452)),Q1452,"")</f>
        <v/>
      </c>
      <c r="X1452">
        <f>IF(AND(Q1452&lt;&gt;"",ISNUMBER(J1452)),Q1452,"")</f>
        <v/>
      </c>
      <c r="Y1452">
        <f>IF(AND(Q1452&lt;&gt;"",ISNUMBER(K1452)),Q1452,"")</f>
        <v/>
      </c>
      <c r="Z1452">
        <f>IF(AND(Q1452&lt;&gt;"",ISNUMBER(L1452)),Q1452,"")</f>
        <v/>
      </c>
      <c r="AA1452">
        <f>IF(AND(Q1452&lt;&gt;"",ISNUMBER(M1452)),Q1452,"")</f>
        <v/>
      </c>
      <c r="AB1452">
        <f>IF(AND(Q1452&lt;&gt;"",ISNUMBER(K1452)),K1452,"")</f>
        <v/>
      </c>
      <c r="AC1452">
        <f>IF(AND(Q1452&lt;&gt;"",ISNUMBER(L1452)),L1452,"")</f>
        <v/>
      </c>
      <c r="AD1452">
        <f>IF(AND(Q1452&lt;&gt;"",ISNUMBER(M1452)),M1452,"")</f>
        <v/>
      </c>
    </row>
    <row r="1453">
      <c r="A1453" s="1" t="n"/>
      <c r="B1453" s="17" t="n"/>
      <c r="C1453" s="27" t="n"/>
      <c r="D1453" s="28" t="n"/>
      <c r="E1453" s="28" t="n"/>
      <c r="F1453" s="28" t="n"/>
      <c r="G1453" s="28" t="n"/>
      <c r="H1453" s="28" t="n"/>
      <c r="I1453" s="28" t="n"/>
      <c r="J1453" s="28" t="n"/>
      <c r="K1453" s="28" t="n"/>
      <c r="L1453" s="28" t="n"/>
      <c r="M1453" s="29" t="n"/>
      <c r="N1453" s="21" t="n"/>
      <c r="O1453" s="12">
        <f>IF(AND(B1453="",C1453=""),"",IF(NOT(ISNUMBER(B1453)),"Needs a date",IF(C1453="","Needs a client",IF(COUNTIF(Clients!$B$6:$B$105,C1453)=0,"Not on Clients",IF(COUNT(D1453:M1453)=0,"Nothing measured","")))))</f>
        <v/>
      </c>
      <c r="P1453" s="1">
        <f>IF(AND(O1453="",ISNUMBER(B1453)),INT(B1453),0)</f>
        <v/>
      </c>
      <c r="Q1453">
        <f>IF(AND(P1453&gt;0,C1453=Report!$C$5),P1453*10000+ROW(),"")</f>
        <v/>
      </c>
      <c r="R1453">
        <f>IF(AND(Q1453&lt;&gt;"",ISNUMBER(D1453)),Q1453,"")</f>
        <v/>
      </c>
      <c r="S1453">
        <f>IF(AND(Q1453&lt;&gt;"",ISNUMBER(E1453)),Q1453,"")</f>
        <v/>
      </c>
      <c r="T1453">
        <f>IF(AND(Q1453&lt;&gt;"",ISNUMBER(F1453)),Q1453,"")</f>
        <v/>
      </c>
      <c r="U1453">
        <f>IF(AND(Q1453&lt;&gt;"",ISNUMBER(G1453)),Q1453,"")</f>
        <v/>
      </c>
      <c r="V1453">
        <f>IF(AND(Q1453&lt;&gt;"",ISNUMBER(H1453)),Q1453,"")</f>
        <v/>
      </c>
      <c r="W1453">
        <f>IF(AND(Q1453&lt;&gt;"",ISNUMBER(I1453)),Q1453,"")</f>
        <v/>
      </c>
      <c r="X1453">
        <f>IF(AND(Q1453&lt;&gt;"",ISNUMBER(J1453)),Q1453,"")</f>
        <v/>
      </c>
      <c r="Y1453">
        <f>IF(AND(Q1453&lt;&gt;"",ISNUMBER(K1453)),Q1453,"")</f>
        <v/>
      </c>
      <c r="Z1453">
        <f>IF(AND(Q1453&lt;&gt;"",ISNUMBER(L1453)),Q1453,"")</f>
        <v/>
      </c>
      <c r="AA1453">
        <f>IF(AND(Q1453&lt;&gt;"",ISNUMBER(M1453)),Q1453,"")</f>
        <v/>
      </c>
      <c r="AB1453">
        <f>IF(AND(Q1453&lt;&gt;"",ISNUMBER(K1453)),K1453,"")</f>
        <v/>
      </c>
      <c r="AC1453">
        <f>IF(AND(Q1453&lt;&gt;"",ISNUMBER(L1453)),L1453,"")</f>
        <v/>
      </c>
      <c r="AD1453">
        <f>IF(AND(Q1453&lt;&gt;"",ISNUMBER(M1453)),M1453,"")</f>
        <v/>
      </c>
    </row>
    <row r="1454">
      <c r="A1454" s="1" t="n"/>
      <c r="B1454" s="17" t="n"/>
      <c r="C1454" s="27" t="n"/>
      <c r="D1454" s="28" t="n"/>
      <c r="E1454" s="28" t="n"/>
      <c r="F1454" s="28" t="n"/>
      <c r="G1454" s="28" t="n"/>
      <c r="H1454" s="28" t="n"/>
      <c r="I1454" s="28" t="n"/>
      <c r="J1454" s="28" t="n"/>
      <c r="K1454" s="28" t="n"/>
      <c r="L1454" s="28" t="n"/>
      <c r="M1454" s="29" t="n"/>
      <c r="N1454" s="21" t="n"/>
      <c r="O1454" s="12">
        <f>IF(AND(B1454="",C1454=""),"",IF(NOT(ISNUMBER(B1454)),"Needs a date",IF(C1454="","Needs a client",IF(COUNTIF(Clients!$B$6:$B$105,C1454)=0,"Not on Clients",IF(COUNT(D1454:M1454)=0,"Nothing measured","")))))</f>
        <v/>
      </c>
      <c r="P1454" s="1">
        <f>IF(AND(O1454="",ISNUMBER(B1454)),INT(B1454),0)</f>
        <v/>
      </c>
      <c r="Q1454">
        <f>IF(AND(P1454&gt;0,C1454=Report!$C$5),P1454*10000+ROW(),"")</f>
        <v/>
      </c>
      <c r="R1454">
        <f>IF(AND(Q1454&lt;&gt;"",ISNUMBER(D1454)),Q1454,"")</f>
        <v/>
      </c>
      <c r="S1454">
        <f>IF(AND(Q1454&lt;&gt;"",ISNUMBER(E1454)),Q1454,"")</f>
        <v/>
      </c>
      <c r="T1454">
        <f>IF(AND(Q1454&lt;&gt;"",ISNUMBER(F1454)),Q1454,"")</f>
        <v/>
      </c>
      <c r="U1454">
        <f>IF(AND(Q1454&lt;&gt;"",ISNUMBER(G1454)),Q1454,"")</f>
        <v/>
      </c>
      <c r="V1454">
        <f>IF(AND(Q1454&lt;&gt;"",ISNUMBER(H1454)),Q1454,"")</f>
        <v/>
      </c>
      <c r="W1454">
        <f>IF(AND(Q1454&lt;&gt;"",ISNUMBER(I1454)),Q1454,"")</f>
        <v/>
      </c>
      <c r="X1454">
        <f>IF(AND(Q1454&lt;&gt;"",ISNUMBER(J1454)),Q1454,"")</f>
        <v/>
      </c>
      <c r="Y1454">
        <f>IF(AND(Q1454&lt;&gt;"",ISNUMBER(K1454)),Q1454,"")</f>
        <v/>
      </c>
      <c r="Z1454">
        <f>IF(AND(Q1454&lt;&gt;"",ISNUMBER(L1454)),Q1454,"")</f>
        <v/>
      </c>
      <c r="AA1454">
        <f>IF(AND(Q1454&lt;&gt;"",ISNUMBER(M1454)),Q1454,"")</f>
        <v/>
      </c>
      <c r="AB1454">
        <f>IF(AND(Q1454&lt;&gt;"",ISNUMBER(K1454)),K1454,"")</f>
        <v/>
      </c>
      <c r="AC1454">
        <f>IF(AND(Q1454&lt;&gt;"",ISNUMBER(L1454)),L1454,"")</f>
        <v/>
      </c>
      <c r="AD1454">
        <f>IF(AND(Q1454&lt;&gt;"",ISNUMBER(M1454)),M1454,"")</f>
        <v/>
      </c>
    </row>
    <row r="1455">
      <c r="A1455" s="1" t="n"/>
      <c r="B1455" s="17" t="n"/>
      <c r="C1455" s="27" t="n"/>
      <c r="D1455" s="28" t="n"/>
      <c r="E1455" s="28" t="n"/>
      <c r="F1455" s="28" t="n"/>
      <c r="G1455" s="28" t="n"/>
      <c r="H1455" s="28" t="n"/>
      <c r="I1455" s="28" t="n"/>
      <c r="J1455" s="28" t="n"/>
      <c r="K1455" s="28" t="n"/>
      <c r="L1455" s="28" t="n"/>
      <c r="M1455" s="29" t="n"/>
      <c r="N1455" s="21" t="n"/>
      <c r="O1455" s="12">
        <f>IF(AND(B1455="",C1455=""),"",IF(NOT(ISNUMBER(B1455)),"Needs a date",IF(C1455="","Needs a client",IF(COUNTIF(Clients!$B$6:$B$105,C1455)=0,"Not on Clients",IF(COUNT(D1455:M1455)=0,"Nothing measured","")))))</f>
        <v/>
      </c>
      <c r="P1455" s="1">
        <f>IF(AND(O1455="",ISNUMBER(B1455)),INT(B1455),0)</f>
        <v/>
      </c>
      <c r="Q1455">
        <f>IF(AND(P1455&gt;0,C1455=Report!$C$5),P1455*10000+ROW(),"")</f>
        <v/>
      </c>
      <c r="R1455">
        <f>IF(AND(Q1455&lt;&gt;"",ISNUMBER(D1455)),Q1455,"")</f>
        <v/>
      </c>
      <c r="S1455">
        <f>IF(AND(Q1455&lt;&gt;"",ISNUMBER(E1455)),Q1455,"")</f>
        <v/>
      </c>
      <c r="T1455">
        <f>IF(AND(Q1455&lt;&gt;"",ISNUMBER(F1455)),Q1455,"")</f>
        <v/>
      </c>
      <c r="U1455">
        <f>IF(AND(Q1455&lt;&gt;"",ISNUMBER(G1455)),Q1455,"")</f>
        <v/>
      </c>
      <c r="V1455">
        <f>IF(AND(Q1455&lt;&gt;"",ISNUMBER(H1455)),Q1455,"")</f>
        <v/>
      </c>
      <c r="W1455">
        <f>IF(AND(Q1455&lt;&gt;"",ISNUMBER(I1455)),Q1455,"")</f>
        <v/>
      </c>
      <c r="X1455">
        <f>IF(AND(Q1455&lt;&gt;"",ISNUMBER(J1455)),Q1455,"")</f>
        <v/>
      </c>
      <c r="Y1455">
        <f>IF(AND(Q1455&lt;&gt;"",ISNUMBER(K1455)),Q1455,"")</f>
        <v/>
      </c>
      <c r="Z1455">
        <f>IF(AND(Q1455&lt;&gt;"",ISNUMBER(L1455)),Q1455,"")</f>
        <v/>
      </c>
      <c r="AA1455">
        <f>IF(AND(Q1455&lt;&gt;"",ISNUMBER(M1455)),Q1455,"")</f>
        <v/>
      </c>
      <c r="AB1455">
        <f>IF(AND(Q1455&lt;&gt;"",ISNUMBER(K1455)),K1455,"")</f>
        <v/>
      </c>
      <c r="AC1455">
        <f>IF(AND(Q1455&lt;&gt;"",ISNUMBER(L1455)),L1455,"")</f>
        <v/>
      </c>
      <c r="AD1455">
        <f>IF(AND(Q1455&lt;&gt;"",ISNUMBER(M1455)),M1455,"")</f>
        <v/>
      </c>
    </row>
    <row r="1456">
      <c r="A1456" s="1" t="n"/>
      <c r="B1456" s="17" t="n"/>
      <c r="C1456" s="27" t="n"/>
      <c r="D1456" s="28" t="n"/>
      <c r="E1456" s="28" t="n"/>
      <c r="F1456" s="28" t="n"/>
      <c r="G1456" s="28" t="n"/>
      <c r="H1456" s="28" t="n"/>
      <c r="I1456" s="28" t="n"/>
      <c r="J1456" s="28" t="n"/>
      <c r="K1456" s="28" t="n"/>
      <c r="L1456" s="28" t="n"/>
      <c r="M1456" s="29" t="n"/>
      <c r="N1456" s="21" t="n"/>
      <c r="O1456" s="12">
        <f>IF(AND(B1456="",C1456=""),"",IF(NOT(ISNUMBER(B1456)),"Needs a date",IF(C1456="","Needs a client",IF(COUNTIF(Clients!$B$6:$B$105,C1456)=0,"Not on Clients",IF(COUNT(D1456:M1456)=0,"Nothing measured","")))))</f>
        <v/>
      </c>
      <c r="P1456" s="1">
        <f>IF(AND(O1456="",ISNUMBER(B1456)),INT(B1456),0)</f>
        <v/>
      </c>
      <c r="Q1456">
        <f>IF(AND(P1456&gt;0,C1456=Report!$C$5),P1456*10000+ROW(),"")</f>
        <v/>
      </c>
      <c r="R1456">
        <f>IF(AND(Q1456&lt;&gt;"",ISNUMBER(D1456)),Q1456,"")</f>
        <v/>
      </c>
      <c r="S1456">
        <f>IF(AND(Q1456&lt;&gt;"",ISNUMBER(E1456)),Q1456,"")</f>
        <v/>
      </c>
      <c r="T1456">
        <f>IF(AND(Q1456&lt;&gt;"",ISNUMBER(F1456)),Q1456,"")</f>
        <v/>
      </c>
      <c r="U1456">
        <f>IF(AND(Q1456&lt;&gt;"",ISNUMBER(G1456)),Q1456,"")</f>
        <v/>
      </c>
      <c r="V1456">
        <f>IF(AND(Q1456&lt;&gt;"",ISNUMBER(H1456)),Q1456,"")</f>
        <v/>
      </c>
      <c r="W1456">
        <f>IF(AND(Q1456&lt;&gt;"",ISNUMBER(I1456)),Q1456,"")</f>
        <v/>
      </c>
      <c r="X1456">
        <f>IF(AND(Q1456&lt;&gt;"",ISNUMBER(J1456)),Q1456,"")</f>
        <v/>
      </c>
      <c r="Y1456">
        <f>IF(AND(Q1456&lt;&gt;"",ISNUMBER(K1456)),Q1456,"")</f>
        <v/>
      </c>
      <c r="Z1456">
        <f>IF(AND(Q1456&lt;&gt;"",ISNUMBER(L1456)),Q1456,"")</f>
        <v/>
      </c>
      <c r="AA1456">
        <f>IF(AND(Q1456&lt;&gt;"",ISNUMBER(M1456)),Q1456,"")</f>
        <v/>
      </c>
      <c r="AB1456">
        <f>IF(AND(Q1456&lt;&gt;"",ISNUMBER(K1456)),K1456,"")</f>
        <v/>
      </c>
      <c r="AC1456">
        <f>IF(AND(Q1456&lt;&gt;"",ISNUMBER(L1456)),L1456,"")</f>
        <v/>
      </c>
      <c r="AD1456">
        <f>IF(AND(Q1456&lt;&gt;"",ISNUMBER(M1456)),M1456,"")</f>
        <v/>
      </c>
    </row>
    <row r="1457">
      <c r="A1457" s="1" t="n"/>
      <c r="B1457" s="17" t="n"/>
      <c r="C1457" s="27" t="n"/>
      <c r="D1457" s="28" t="n"/>
      <c r="E1457" s="28" t="n"/>
      <c r="F1457" s="28" t="n"/>
      <c r="G1457" s="28" t="n"/>
      <c r="H1457" s="28" t="n"/>
      <c r="I1457" s="28" t="n"/>
      <c r="J1457" s="28" t="n"/>
      <c r="K1457" s="28" t="n"/>
      <c r="L1457" s="28" t="n"/>
      <c r="M1457" s="29" t="n"/>
      <c r="N1457" s="21" t="n"/>
      <c r="O1457" s="12">
        <f>IF(AND(B1457="",C1457=""),"",IF(NOT(ISNUMBER(B1457)),"Needs a date",IF(C1457="","Needs a client",IF(COUNTIF(Clients!$B$6:$B$105,C1457)=0,"Not on Clients",IF(COUNT(D1457:M1457)=0,"Nothing measured","")))))</f>
        <v/>
      </c>
      <c r="P1457" s="1">
        <f>IF(AND(O1457="",ISNUMBER(B1457)),INT(B1457),0)</f>
        <v/>
      </c>
      <c r="Q1457">
        <f>IF(AND(P1457&gt;0,C1457=Report!$C$5),P1457*10000+ROW(),"")</f>
        <v/>
      </c>
      <c r="R1457">
        <f>IF(AND(Q1457&lt;&gt;"",ISNUMBER(D1457)),Q1457,"")</f>
        <v/>
      </c>
      <c r="S1457">
        <f>IF(AND(Q1457&lt;&gt;"",ISNUMBER(E1457)),Q1457,"")</f>
        <v/>
      </c>
      <c r="T1457">
        <f>IF(AND(Q1457&lt;&gt;"",ISNUMBER(F1457)),Q1457,"")</f>
        <v/>
      </c>
      <c r="U1457">
        <f>IF(AND(Q1457&lt;&gt;"",ISNUMBER(G1457)),Q1457,"")</f>
        <v/>
      </c>
      <c r="V1457">
        <f>IF(AND(Q1457&lt;&gt;"",ISNUMBER(H1457)),Q1457,"")</f>
        <v/>
      </c>
      <c r="W1457">
        <f>IF(AND(Q1457&lt;&gt;"",ISNUMBER(I1457)),Q1457,"")</f>
        <v/>
      </c>
      <c r="X1457">
        <f>IF(AND(Q1457&lt;&gt;"",ISNUMBER(J1457)),Q1457,"")</f>
        <v/>
      </c>
      <c r="Y1457">
        <f>IF(AND(Q1457&lt;&gt;"",ISNUMBER(K1457)),Q1457,"")</f>
        <v/>
      </c>
      <c r="Z1457">
        <f>IF(AND(Q1457&lt;&gt;"",ISNUMBER(L1457)),Q1457,"")</f>
        <v/>
      </c>
      <c r="AA1457">
        <f>IF(AND(Q1457&lt;&gt;"",ISNUMBER(M1457)),Q1457,"")</f>
        <v/>
      </c>
      <c r="AB1457">
        <f>IF(AND(Q1457&lt;&gt;"",ISNUMBER(K1457)),K1457,"")</f>
        <v/>
      </c>
      <c r="AC1457">
        <f>IF(AND(Q1457&lt;&gt;"",ISNUMBER(L1457)),L1457,"")</f>
        <v/>
      </c>
      <c r="AD1457">
        <f>IF(AND(Q1457&lt;&gt;"",ISNUMBER(M1457)),M1457,"")</f>
        <v/>
      </c>
    </row>
    <row r="1458">
      <c r="A1458" s="1" t="n"/>
      <c r="B1458" s="17" t="n"/>
      <c r="C1458" s="27" t="n"/>
      <c r="D1458" s="28" t="n"/>
      <c r="E1458" s="28" t="n"/>
      <c r="F1458" s="28" t="n"/>
      <c r="G1458" s="28" t="n"/>
      <c r="H1458" s="28" t="n"/>
      <c r="I1458" s="28" t="n"/>
      <c r="J1458" s="28" t="n"/>
      <c r="K1458" s="28" t="n"/>
      <c r="L1458" s="28" t="n"/>
      <c r="M1458" s="29" t="n"/>
      <c r="N1458" s="21" t="n"/>
      <c r="O1458" s="12">
        <f>IF(AND(B1458="",C1458=""),"",IF(NOT(ISNUMBER(B1458)),"Needs a date",IF(C1458="","Needs a client",IF(COUNTIF(Clients!$B$6:$B$105,C1458)=0,"Not on Clients",IF(COUNT(D1458:M1458)=0,"Nothing measured","")))))</f>
        <v/>
      </c>
      <c r="P1458" s="1">
        <f>IF(AND(O1458="",ISNUMBER(B1458)),INT(B1458),0)</f>
        <v/>
      </c>
      <c r="Q1458">
        <f>IF(AND(P1458&gt;0,C1458=Report!$C$5),P1458*10000+ROW(),"")</f>
        <v/>
      </c>
      <c r="R1458">
        <f>IF(AND(Q1458&lt;&gt;"",ISNUMBER(D1458)),Q1458,"")</f>
        <v/>
      </c>
      <c r="S1458">
        <f>IF(AND(Q1458&lt;&gt;"",ISNUMBER(E1458)),Q1458,"")</f>
        <v/>
      </c>
      <c r="T1458">
        <f>IF(AND(Q1458&lt;&gt;"",ISNUMBER(F1458)),Q1458,"")</f>
        <v/>
      </c>
      <c r="U1458">
        <f>IF(AND(Q1458&lt;&gt;"",ISNUMBER(G1458)),Q1458,"")</f>
        <v/>
      </c>
      <c r="V1458">
        <f>IF(AND(Q1458&lt;&gt;"",ISNUMBER(H1458)),Q1458,"")</f>
        <v/>
      </c>
      <c r="W1458">
        <f>IF(AND(Q1458&lt;&gt;"",ISNUMBER(I1458)),Q1458,"")</f>
        <v/>
      </c>
      <c r="X1458">
        <f>IF(AND(Q1458&lt;&gt;"",ISNUMBER(J1458)),Q1458,"")</f>
        <v/>
      </c>
      <c r="Y1458">
        <f>IF(AND(Q1458&lt;&gt;"",ISNUMBER(K1458)),Q1458,"")</f>
        <v/>
      </c>
      <c r="Z1458">
        <f>IF(AND(Q1458&lt;&gt;"",ISNUMBER(L1458)),Q1458,"")</f>
        <v/>
      </c>
      <c r="AA1458">
        <f>IF(AND(Q1458&lt;&gt;"",ISNUMBER(M1458)),Q1458,"")</f>
        <v/>
      </c>
      <c r="AB1458">
        <f>IF(AND(Q1458&lt;&gt;"",ISNUMBER(K1458)),K1458,"")</f>
        <v/>
      </c>
      <c r="AC1458">
        <f>IF(AND(Q1458&lt;&gt;"",ISNUMBER(L1458)),L1458,"")</f>
        <v/>
      </c>
      <c r="AD1458">
        <f>IF(AND(Q1458&lt;&gt;"",ISNUMBER(M1458)),M1458,"")</f>
        <v/>
      </c>
    </row>
    <row r="1459">
      <c r="A1459" s="1" t="n"/>
      <c r="B1459" s="17" t="n"/>
      <c r="C1459" s="27" t="n"/>
      <c r="D1459" s="28" t="n"/>
      <c r="E1459" s="28" t="n"/>
      <c r="F1459" s="28" t="n"/>
      <c r="G1459" s="28" t="n"/>
      <c r="H1459" s="28" t="n"/>
      <c r="I1459" s="28" t="n"/>
      <c r="J1459" s="28" t="n"/>
      <c r="K1459" s="28" t="n"/>
      <c r="L1459" s="28" t="n"/>
      <c r="M1459" s="29" t="n"/>
      <c r="N1459" s="21" t="n"/>
      <c r="O1459" s="12">
        <f>IF(AND(B1459="",C1459=""),"",IF(NOT(ISNUMBER(B1459)),"Needs a date",IF(C1459="","Needs a client",IF(COUNTIF(Clients!$B$6:$B$105,C1459)=0,"Not on Clients",IF(COUNT(D1459:M1459)=0,"Nothing measured","")))))</f>
        <v/>
      </c>
      <c r="P1459" s="1">
        <f>IF(AND(O1459="",ISNUMBER(B1459)),INT(B1459),0)</f>
        <v/>
      </c>
      <c r="Q1459">
        <f>IF(AND(P1459&gt;0,C1459=Report!$C$5),P1459*10000+ROW(),"")</f>
        <v/>
      </c>
      <c r="R1459">
        <f>IF(AND(Q1459&lt;&gt;"",ISNUMBER(D1459)),Q1459,"")</f>
        <v/>
      </c>
      <c r="S1459">
        <f>IF(AND(Q1459&lt;&gt;"",ISNUMBER(E1459)),Q1459,"")</f>
        <v/>
      </c>
      <c r="T1459">
        <f>IF(AND(Q1459&lt;&gt;"",ISNUMBER(F1459)),Q1459,"")</f>
        <v/>
      </c>
      <c r="U1459">
        <f>IF(AND(Q1459&lt;&gt;"",ISNUMBER(G1459)),Q1459,"")</f>
        <v/>
      </c>
      <c r="V1459">
        <f>IF(AND(Q1459&lt;&gt;"",ISNUMBER(H1459)),Q1459,"")</f>
        <v/>
      </c>
      <c r="W1459">
        <f>IF(AND(Q1459&lt;&gt;"",ISNUMBER(I1459)),Q1459,"")</f>
        <v/>
      </c>
      <c r="X1459">
        <f>IF(AND(Q1459&lt;&gt;"",ISNUMBER(J1459)),Q1459,"")</f>
        <v/>
      </c>
      <c r="Y1459">
        <f>IF(AND(Q1459&lt;&gt;"",ISNUMBER(K1459)),Q1459,"")</f>
        <v/>
      </c>
      <c r="Z1459">
        <f>IF(AND(Q1459&lt;&gt;"",ISNUMBER(L1459)),Q1459,"")</f>
        <v/>
      </c>
      <c r="AA1459">
        <f>IF(AND(Q1459&lt;&gt;"",ISNUMBER(M1459)),Q1459,"")</f>
        <v/>
      </c>
      <c r="AB1459">
        <f>IF(AND(Q1459&lt;&gt;"",ISNUMBER(K1459)),K1459,"")</f>
        <v/>
      </c>
      <c r="AC1459">
        <f>IF(AND(Q1459&lt;&gt;"",ISNUMBER(L1459)),L1459,"")</f>
        <v/>
      </c>
      <c r="AD1459">
        <f>IF(AND(Q1459&lt;&gt;"",ISNUMBER(M1459)),M1459,"")</f>
        <v/>
      </c>
    </row>
    <row r="1460">
      <c r="A1460" s="1" t="n"/>
      <c r="B1460" s="17" t="n"/>
      <c r="C1460" s="27" t="n"/>
      <c r="D1460" s="28" t="n"/>
      <c r="E1460" s="28" t="n"/>
      <c r="F1460" s="28" t="n"/>
      <c r="G1460" s="28" t="n"/>
      <c r="H1460" s="28" t="n"/>
      <c r="I1460" s="28" t="n"/>
      <c r="J1460" s="28" t="n"/>
      <c r="K1460" s="28" t="n"/>
      <c r="L1460" s="28" t="n"/>
      <c r="M1460" s="29" t="n"/>
      <c r="N1460" s="21" t="n"/>
      <c r="O1460" s="12">
        <f>IF(AND(B1460="",C1460=""),"",IF(NOT(ISNUMBER(B1460)),"Needs a date",IF(C1460="","Needs a client",IF(COUNTIF(Clients!$B$6:$B$105,C1460)=0,"Not on Clients",IF(COUNT(D1460:M1460)=0,"Nothing measured","")))))</f>
        <v/>
      </c>
      <c r="P1460" s="1">
        <f>IF(AND(O1460="",ISNUMBER(B1460)),INT(B1460),0)</f>
        <v/>
      </c>
      <c r="Q1460">
        <f>IF(AND(P1460&gt;0,C1460=Report!$C$5),P1460*10000+ROW(),"")</f>
        <v/>
      </c>
      <c r="R1460">
        <f>IF(AND(Q1460&lt;&gt;"",ISNUMBER(D1460)),Q1460,"")</f>
        <v/>
      </c>
      <c r="S1460">
        <f>IF(AND(Q1460&lt;&gt;"",ISNUMBER(E1460)),Q1460,"")</f>
        <v/>
      </c>
      <c r="T1460">
        <f>IF(AND(Q1460&lt;&gt;"",ISNUMBER(F1460)),Q1460,"")</f>
        <v/>
      </c>
      <c r="U1460">
        <f>IF(AND(Q1460&lt;&gt;"",ISNUMBER(G1460)),Q1460,"")</f>
        <v/>
      </c>
      <c r="V1460">
        <f>IF(AND(Q1460&lt;&gt;"",ISNUMBER(H1460)),Q1460,"")</f>
        <v/>
      </c>
      <c r="W1460">
        <f>IF(AND(Q1460&lt;&gt;"",ISNUMBER(I1460)),Q1460,"")</f>
        <v/>
      </c>
      <c r="X1460">
        <f>IF(AND(Q1460&lt;&gt;"",ISNUMBER(J1460)),Q1460,"")</f>
        <v/>
      </c>
      <c r="Y1460">
        <f>IF(AND(Q1460&lt;&gt;"",ISNUMBER(K1460)),Q1460,"")</f>
        <v/>
      </c>
      <c r="Z1460">
        <f>IF(AND(Q1460&lt;&gt;"",ISNUMBER(L1460)),Q1460,"")</f>
        <v/>
      </c>
      <c r="AA1460">
        <f>IF(AND(Q1460&lt;&gt;"",ISNUMBER(M1460)),Q1460,"")</f>
        <v/>
      </c>
      <c r="AB1460">
        <f>IF(AND(Q1460&lt;&gt;"",ISNUMBER(K1460)),K1460,"")</f>
        <v/>
      </c>
      <c r="AC1460">
        <f>IF(AND(Q1460&lt;&gt;"",ISNUMBER(L1460)),L1460,"")</f>
        <v/>
      </c>
      <c r="AD1460">
        <f>IF(AND(Q1460&lt;&gt;"",ISNUMBER(M1460)),M1460,"")</f>
        <v/>
      </c>
    </row>
    <row r="1461">
      <c r="A1461" s="1" t="n"/>
      <c r="B1461" s="17" t="n"/>
      <c r="C1461" s="27" t="n"/>
      <c r="D1461" s="28" t="n"/>
      <c r="E1461" s="28" t="n"/>
      <c r="F1461" s="28" t="n"/>
      <c r="G1461" s="28" t="n"/>
      <c r="H1461" s="28" t="n"/>
      <c r="I1461" s="28" t="n"/>
      <c r="J1461" s="28" t="n"/>
      <c r="K1461" s="28" t="n"/>
      <c r="L1461" s="28" t="n"/>
      <c r="M1461" s="29" t="n"/>
      <c r="N1461" s="21" t="n"/>
      <c r="O1461" s="12">
        <f>IF(AND(B1461="",C1461=""),"",IF(NOT(ISNUMBER(B1461)),"Needs a date",IF(C1461="","Needs a client",IF(COUNTIF(Clients!$B$6:$B$105,C1461)=0,"Not on Clients",IF(COUNT(D1461:M1461)=0,"Nothing measured","")))))</f>
        <v/>
      </c>
      <c r="P1461" s="1">
        <f>IF(AND(O1461="",ISNUMBER(B1461)),INT(B1461),0)</f>
        <v/>
      </c>
      <c r="Q1461">
        <f>IF(AND(P1461&gt;0,C1461=Report!$C$5),P1461*10000+ROW(),"")</f>
        <v/>
      </c>
      <c r="R1461">
        <f>IF(AND(Q1461&lt;&gt;"",ISNUMBER(D1461)),Q1461,"")</f>
        <v/>
      </c>
      <c r="S1461">
        <f>IF(AND(Q1461&lt;&gt;"",ISNUMBER(E1461)),Q1461,"")</f>
        <v/>
      </c>
      <c r="T1461">
        <f>IF(AND(Q1461&lt;&gt;"",ISNUMBER(F1461)),Q1461,"")</f>
        <v/>
      </c>
      <c r="U1461">
        <f>IF(AND(Q1461&lt;&gt;"",ISNUMBER(G1461)),Q1461,"")</f>
        <v/>
      </c>
      <c r="V1461">
        <f>IF(AND(Q1461&lt;&gt;"",ISNUMBER(H1461)),Q1461,"")</f>
        <v/>
      </c>
      <c r="W1461">
        <f>IF(AND(Q1461&lt;&gt;"",ISNUMBER(I1461)),Q1461,"")</f>
        <v/>
      </c>
      <c r="X1461">
        <f>IF(AND(Q1461&lt;&gt;"",ISNUMBER(J1461)),Q1461,"")</f>
        <v/>
      </c>
      <c r="Y1461">
        <f>IF(AND(Q1461&lt;&gt;"",ISNUMBER(K1461)),Q1461,"")</f>
        <v/>
      </c>
      <c r="Z1461">
        <f>IF(AND(Q1461&lt;&gt;"",ISNUMBER(L1461)),Q1461,"")</f>
        <v/>
      </c>
      <c r="AA1461">
        <f>IF(AND(Q1461&lt;&gt;"",ISNUMBER(M1461)),Q1461,"")</f>
        <v/>
      </c>
      <c r="AB1461">
        <f>IF(AND(Q1461&lt;&gt;"",ISNUMBER(K1461)),K1461,"")</f>
        <v/>
      </c>
      <c r="AC1461">
        <f>IF(AND(Q1461&lt;&gt;"",ISNUMBER(L1461)),L1461,"")</f>
        <v/>
      </c>
      <c r="AD1461">
        <f>IF(AND(Q1461&lt;&gt;"",ISNUMBER(M1461)),M1461,"")</f>
        <v/>
      </c>
    </row>
    <row r="1462">
      <c r="A1462" s="1" t="n"/>
      <c r="B1462" s="17" t="n"/>
      <c r="C1462" s="27" t="n"/>
      <c r="D1462" s="28" t="n"/>
      <c r="E1462" s="28" t="n"/>
      <c r="F1462" s="28" t="n"/>
      <c r="G1462" s="28" t="n"/>
      <c r="H1462" s="28" t="n"/>
      <c r="I1462" s="28" t="n"/>
      <c r="J1462" s="28" t="n"/>
      <c r="K1462" s="28" t="n"/>
      <c r="L1462" s="28" t="n"/>
      <c r="M1462" s="29" t="n"/>
      <c r="N1462" s="21" t="n"/>
      <c r="O1462" s="12">
        <f>IF(AND(B1462="",C1462=""),"",IF(NOT(ISNUMBER(B1462)),"Needs a date",IF(C1462="","Needs a client",IF(COUNTIF(Clients!$B$6:$B$105,C1462)=0,"Not on Clients",IF(COUNT(D1462:M1462)=0,"Nothing measured","")))))</f>
        <v/>
      </c>
      <c r="P1462" s="1">
        <f>IF(AND(O1462="",ISNUMBER(B1462)),INT(B1462),0)</f>
        <v/>
      </c>
      <c r="Q1462">
        <f>IF(AND(P1462&gt;0,C1462=Report!$C$5),P1462*10000+ROW(),"")</f>
        <v/>
      </c>
      <c r="R1462">
        <f>IF(AND(Q1462&lt;&gt;"",ISNUMBER(D1462)),Q1462,"")</f>
        <v/>
      </c>
      <c r="S1462">
        <f>IF(AND(Q1462&lt;&gt;"",ISNUMBER(E1462)),Q1462,"")</f>
        <v/>
      </c>
      <c r="T1462">
        <f>IF(AND(Q1462&lt;&gt;"",ISNUMBER(F1462)),Q1462,"")</f>
        <v/>
      </c>
      <c r="U1462">
        <f>IF(AND(Q1462&lt;&gt;"",ISNUMBER(G1462)),Q1462,"")</f>
        <v/>
      </c>
      <c r="V1462">
        <f>IF(AND(Q1462&lt;&gt;"",ISNUMBER(H1462)),Q1462,"")</f>
        <v/>
      </c>
      <c r="W1462">
        <f>IF(AND(Q1462&lt;&gt;"",ISNUMBER(I1462)),Q1462,"")</f>
        <v/>
      </c>
      <c r="X1462">
        <f>IF(AND(Q1462&lt;&gt;"",ISNUMBER(J1462)),Q1462,"")</f>
        <v/>
      </c>
      <c r="Y1462">
        <f>IF(AND(Q1462&lt;&gt;"",ISNUMBER(K1462)),Q1462,"")</f>
        <v/>
      </c>
      <c r="Z1462">
        <f>IF(AND(Q1462&lt;&gt;"",ISNUMBER(L1462)),Q1462,"")</f>
        <v/>
      </c>
      <c r="AA1462">
        <f>IF(AND(Q1462&lt;&gt;"",ISNUMBER(M1462)),Q1462,"")</f>
        <v/>
      </c>
      <c r="AB1462">
        <f>IF(AND(Q1462&lt;&gt;"",ISNUMBER(K1462)),K1462,"")</f>
        <v/>
      </c>
      <c r="AC1462">
        <f>IF(AND(Q1462&lt;&gt;"",ISNUMBER(L1462)),L1462,"")</f>
        <v/>
      </c>
      <c r="AD1462">
        <f>IF(AND(Q1462&lt;&gt;"",ISNUMBER(M1462)),M1462,"")</f>
        <v/>
      </c>
    </row>
    <row r="1463">
      <c r="A1463" s="1" t="n"/>
      <c r="B1463" s="17" t="n"/>
      <c r="C1463" s="27" t="n"/>
      <c r="D1463" s="28" t="n"/>
      <c r="E1463" s="28" t="n"/>
      <c r="F1463" s="28" t="n"/>
      <c r="G1463" s="28" t="n"/>
      <c r="H1463" s="28" t="n"/>
      <c r="I1463" s="28" t="n"/>
      <c r="J1463" s="28" t="n"/>
      <c r="K1463" s="28" t="n"/>
      <c r="L1463" s="28" t="n"/>
      <c r="M1463" s="29" t="n"/>
      <c r="N1463" s="21" t="n"/>
      <c r="O1463" s="12">
        <f>IF(AND(B1463="",C1463=""),"",IF(NOT(ISNUMBER(B1463)),"Needs a date",IF(C1463="","Needs a client",IF(COUNTIF(Clients!$B$6:$B$105,C1463)=0,"Not on Clients",IF(COUNT(D1463:M1463)=0,"Nothing measured","")))))</f>
        <v/>
      </c>
      <c r="P1463" s="1">
        <f>IF(AND(O1463="",ISNUMBER(B1463)),INT(B1463),0)</f>
        <v/>
      </c>
      <c r="Q1463">
        <f>IF(AND(P1463&gt;0,C1463=Report!$C$5),P1463*10000+ROW(),"")</f>
        <v/>
      </c>
      <c r="R1463">
        <f>IF(AND(Q1463&lt;&gt;"",ISNUMBER(D1463)),Q1463,"")</f>
        <v/>
      </c>
      <c r="S1463">
        <f>IF(AND(Q1463&lt;&gt;"",ISNUMBER(E1463)),Q1463,"")</f>
        <v/>
      </c>
      <c r="T1463">
        <f>IF(AND(Q1463&lt;&gt;"",ISNUMBER(F1463)),Q1463,"")</f>
        <v/>
      </c>
      <c r="U1463">
        <f>IF(AND(Q1463&lt;&gt;"",ISNUMBER(G1463)),Q1463,"")</f>
        <v/>
      </c>
      <c r="V1463">
        <f>IF(AND(Q1463&lt;&gt;"",ISNUMBER(H1463)),Q1463,"")</f>
        <v/>
      </c>
      <c r="W1463">
        <f>IF(AND(Q1463&lt;&gt;"",ISNUMBER(I1463)),Q1463,"")</f>
        <v/>
      </c>
      <c r="X1463">
        <f>IF(AND(Q1463&lt;&gt;"",ISNUMBER(J1463)),Q1463,"")</f>
        <v/>
      </c>
      <c r="Y1463">
        <f>IF(AND(Q1463&lt;&gt;"",ISNUMBER(K1463)),Q1463,"")</f>
        <v/>
      </c>
      <c r="Z1463">
        <f>IF(AND(Q1463&lt;&gt;"",ISNUMBER(L1463)),Q1463,"")</f>
        <v/>
      </c>
      <c r="AA1463">
        <f>IF(AND(Q1463&lt;&gt;"",ISNUMBER(M1463)),Q1463,"")</f>
        <v/>
      </c>
      <c r="AB1463">
        <f>IF(AND(Q1463&lt;&gt;"",ISNUMBER(K1463)),K1463,"")</f>
        <v/>
      </c>
      <c r="AC1463">
        <f>IF(AND(Q1463&lt;&gt;"",ISNUMBER(L1463)),L1463,"")</f>
        <v/>
      </c>
      <c r="AD1463">
        <f>IF(AND(Q1463&lt;&gt;"",ISNUMBER(M1463)),M1463,"")</f>
        <v/>
      </c>
    </row>
    <row r="1464">
      <c r="A1464" s="1" t="n"/>
      <c r="B1464" s="17" t="n"/>
      <c r="C1464" s="27" t="n"/>
      <c r="D1464" s="28" t="n"/>
      <c r="E1464" s="28" t="n"/>
      <c r="F1464" s="28" t="n"/>
      <c r="G1464" s="28" t="n"/>
      <c r="H1464" s="28" t="n"/>
      <c r="I1464" s="28" t="n"/>
      <c r="J1464" s="28" t="n"/>
      <c r="K1464" s="28" t="n"/>
      <c r="L1464" s="28" t="n"/>
      <c r="M1464" s="29" t="n"/>
      <c r="N1464" s="21" t="n"/>
      <c r="O1464" s="12">
        <f>IF(AND(B1464="",C1464=""),"",IF(NOT(ISNUMBER(B1464)),"Needs a date",IF(C1464="","Needs a client",IF(COUNTIF(Clients!$B$6:$B$105,C1464)=0,"Not on Clients",IF(COUNT(D1464:M1464)=0,"Nothing measured","")))))</f>
        <v/>
      </c>
      <c r="P1464" s="1">
        <f>IF(AND(O1464="",ISNUMBER(B1464)),INT(B1464),0)</f>
        <v/>
      </c>
      <c r="Q1464">
        <f>IF(AND(P1464&gt;0,C1464=Report!$C$5),P1464*10000+ROW(),"")</f>
        <v/>
      </c>
      <c r="R1464">
        <f>IF(AND(Q1464&lt;&gt;"",ISNUMBER(D1464)),Q1464,"")</f>
        <v/>
      </c>
      <c r="S1464">
        <f>IF(AND(Q1464&lt;&gt;"",ISNUMBER(E1464)),Q1464,"")</f>
        <v/>
      </c>
      <c r="T1464">
        <f>IF(AND(Q1464&lt;&gt;"",ISNUMBER(F1464)),Q1464,"")</f>
        <v/>
      </c>
      <c r="U1464">
        <f>IF(AND(Q1464&lt;&gt;"",ISNUMBER(G1464)),Q1464,"")</f>
        <v/>
      </c>
      <c r="V1464">
        <f>IF(AND(Q1464&lt;&gt;"",ISNUMBER(H1464)),Q1464,"")</f>
        <v/>
      </c>
      <c r="W1464">
        <f>IF(AND(Q1464&lt;&gt;"",ISNUMBER(I1464)),Q1464,"")</f>
        <v/>
      </c>
      <c r="X1464">
        <f>IF(AND(Q1464&lt;&gt;"",ISNUMBER(J1464)),Q1464,"")</f>
        <v/>
      </c>
      <c r="Y1464">
        <f>IF(AND(Q1464&lt;&gt;"",ISNUMBER(K1464)),Q1464,"")</f>
        <v/>
      </c>
      <c r="Z1464">
        <f>IF(AND(Q1464&lt;&gt;"",ISNUMBER(L1464)),Q1464,"")</f>
        <v/>
      </c>
      <c r="AA1464">
        <f>IF(AND(Q1464&lt;&gt;"",ISNUMBER(M1464)),Q1464,"")</f>
        <v/>
      </c>
      <c r="AB1464">
        <f>IF(AND(Q1464&lt;&gt;"",ISNUMBER(K1464)),K1464,"")</f>
        <v/>
      </c>
      <c r="AC1464">
        <f>IF(AND(Q1464&lt;&gt;"",ISNUMBER(L1464)),L1464,"")</f>
        <v/>
      </c>
      <c r="AD1464">
        <f>IF(AND(Q1464&lt;&gt;"",ISNUMBER(M1464)),M1464,"")</f>
        <v/>
      </c>
    </row>
    <row r="1465">
      <c r="A1465" s="1" t="n"/>
      <c r="B1465" s="17" t="n"/>
      <c r="C1465" s="27" t="n"/>
      <c r="D1465" s="28" t="n"/>
      <c r="E1465" s="28" t="n"/>
      <c r="F1465" s="28" t="n"/>
      <c r="G1465" s="28" t="n"/>
      <c r="H1465" s="28" t="n"/>
      <c r="I1465" s="28" t="n"/>
      <c r="J1465" s="28" t="n"/>
      <c r="K1465" s="28" t="n"/>
      <c r="L1465" s="28" t="n"/>
      <c r="M1465" s="29" t="n"/>
      <c r="N1465" s="21" t="n"/>
      <c r="O1465" s="12">
        <f>IF(AND(B1465="",C1465=""),"",IF(NOT(ISNUMBER(B1465)),"Needs a date",IF(C1465="","Needs a client",IF(COUNTIF(Clients!$B$6:$B$105,C1465)=0,"Not on Clients",IF(COUNT(D1465:M1465)=0,"Nothing measured","")))))</f>
        <v/>
      </c>
      <c r="P1465" s="1">
        <f>IF(AND(O1465="",ISNUMBER(B1465)),INT(B1465),0)</f>
        <v/>
      </c>
      <c r="Q1465">
        <f>IF(AND(P1465&gt;0,C1465=Report!$C$5),P1465*10000+ROW(),"")</f>
        <v/>
      </c>
      <c r="R1465">
        <f>IF(AND(Q1465&lt;&gt;"",ISNUMBER(D1465)),Q1465,"")</f>
        <v/>
      </c>
      <c r="S1465">
        <f>IF(AND(Q1465&lt;&gt;"",ISNUMBER(E1465)),Q1465,"")</f>
        <v/>
      </c>
      <c r="T1465">
        <f>IF(AND(Q1465&lt;&gt;"",ISNUMBER(F1465)),Q1465,"")</f>
        <v/>
      </c>
      <c r="U1465">
        <f>IF(AND(Q1465&lt;&gt;"",ISNUMBER(G1465)),Q1465,"")</f>
        <v/>
      </c>
      <c r="V1465">
        <f>IF(AND(Q1465&lt;&gt;"",ISNUMBER(H1465)),Q1465,"")</f>
        <v/>
      </c>
      <c r="W1465">
        <f>IF(AND(Q1465&lt;&gt;"",ISNUMBER(I1465)),Q1465,"")</f>
        <v/>
      </c>
      <c r="X1465">
        <f>IF(AND(Q1465&lt;&gt;"",ISNUMBER(J1465)),Q1465,"")</f>
        <v/>
      </c>
      <c r="Y1465">
        <f>IF(AND(Q1465&lt;&gt;"",ISNUMBER(K1465)),Q1465,"")</f>
        <v/>
      </c>
      <c r="Z1465">
        <f>IF(AND(Q1465&lt;&gt;"",ISNUMBER(L1465)),Q1465,"")</f>
        <v/>
      </c>
      <c r="AA1465">
        <f>IF(AND(Q1465&lt;&gt;"",ISNUMBER(M1465)),Q1465,"")</f>
        <v/>
      </c>
      <c r="AB1465">
        <f>IF(AND(Q1465&lt;&gt;"",ISNUMBER(K1465)),K1465,"")</f>
        <v/>
      </c>
      <c r="AC1465">
        <f>IF(AND(Q1465&lt;&gt;"",ISNUMBER(L1465)),L1465,"")</f>
        <v/>
      </c>
      <c r="AD1465">
        <f>IF(AND(Q1465&lt;&gt;"",ISNUMBER(M1465)),M1465,"")</f>
        <v/>
      </c>
    </row>
    <row r="1466">
      <c r="A1466" s="1" t="n"/>
      <c r="B1466" s="17" t="n"/>
      <c r="C1466" s="27" t="n"/>
      <c r="D1466" s="28" t="n"/>
      <c r="E1466" s="28" t="n"/>
      <c r="F1466" s="28" t="n"/>
      <c r="G1466" s="28" t="n"/>
      <c r="H1466" s="28" t="n"/>
      <c r="I1466" s="28" t="n"/>
      <c r="J1466" s="28" t="n"/>
      <c r="K1466" s="28" t="n"/>
      <c r="L1466" s="28" t="n"/>
      <c r="M1466" s="29" t="n"/>
      <c r="N1466" s="21" t="n"/>
      <c r="O1466" s="12">
        <f>IF(AND(B1466="",C1466=""),"",IF(NOT(ISNUMBER(B1466)),"Needs a date",IF(C1466="","Needs a client",IF(COUNTIF(Clients!$B$6:$B$105,C1466)=0,"Not on Clients",IF(COUNT(D1466:M1466)=0,"Nothing measured","")))))</f>
        <v/>
      </c>
      <c r="P1466" s="1">
        <f>IF(AND(O1466="",ISNUMBER(B1466)),INT(B1466),0)</f>
        <v/>
      </c>
      <c r="Q1466">
        <f>IF(AND(P1466&gt;0,C1466=Report!$C$5),P1466*10000+ROW(),"")</f>
        <v/>
      </c>
      <c r="R1466">
        <f>IF(AND(Q1466&lt;&gt;"",ISNUMBER(D1466)),Q1466,"")</f>
        <v/>
      </c>
      <c r="S1466">
        <f>IF(AND(Q1466&lt;&gt;"",ISNUMBER(E1466)),Q1466,"")</f>
        <v/>
      </c>
      <c r="T1466">
        <f>IF(AND(Q1466&lt;&gt;"",ISNUMBER(F1466)),Q1466,"")</f>
        <v/>
      </c>
      <c r="U1466">
        <f>IF(AND(Q1466&lt;&gt;"",ISNUMBER(G1466)),Q1466,"")</f>
        <v/>
      </c>
      <c r="V1466">
        <f>IF(AND(Q1466&lt;&gt;"",ISNUMBER(H1466)),Q1466,"")</f>
        <v/>
      </c>
      <c r="W1466">
        <f>IF(AND(Q1466&lt;&gt;"",ISNUMBER(I1466)),Q1466,"")</f>
        <v/>
      </c>
      <c r="X1466">
        <f>IF(AND(Q1466&lt;&gt;"",ISNUMBER(J1466)),Q1466,"")</f>
        <v/>
      </c>
      <c r="Y1466">
        <f>IF(AND(Q1466&lt;&gt;"",ISNUMBER(K1466)),Q1466,"")</f>
        <v/>
      </c>
      <c r="Z1466">
        <f>IF(AND(Q1466&lt;&gt;"",ISNUMBER(L1466)),Q1466,"")</f>
        <v/>
      </c>
      <c r="AA1466">
        <f>IF(AND(Q1466&lt;&gt;"",ISNUMBER(M1466)),Q1466,"")</f>
        <v/>
      </c>
      <c r="AB1466">
        <f>IF(AND(Q1466&lt;&gt;"",ISNUMBER(K1466)),K1466,"")</f>
        <v/>
      </c>
      <c r="AC1466">
        <f>IF(AND(Q1466&lt;&gt;"",ISNUMBER(L1466)),L1466,"")</f>
        <v/>
      </c>
      <c r="AD1466">
        <f>IF(AND(Q1466&lt;&gt;"",ISNUMBER(M1466)),M1466,"")</f>
        <v/>
      </c>
    </row>
    <row r="1467">
      <c r="A1467" s="1" t="n"/>
      <c r="B1467" s="17" t="n"/>
      <c r="C1467" s="27" t="n"/>
      <c r="D1467" s="28" t="n"/>
      <c r="E1467" s="28" t="n"/>
      <c r="F1467" s="28" t="n"/>
      <c r="G1467" s="28" t="n"/>
      <c r="H1467" s="28" t="n"/>
      <c r="I1467" s="28" t="n"/>
      <c r="J1467" s="28" t="n"/>
      <c r="K1467" s="28" t="n"/>
      <c r="L1467" s="28" t="n"/>
      <c r="M1467" s="29" t="n"/>
      <c r="N1467" s="21" t="n"/>
      <c r="O1467" s="12">
        <f>IF(AND(B1467="",C1467=""),"",IF(NOT(ISNUMBER(B1467)),"Needs a date",IF(C1467="","Needs a client",IF(COUNTIF(Clients!$B$6:$B$105,C1467)=0,"Not on Clients",IF(COUNT(D1467:M1467)=0,"Nothing measured","")))))</f>
        <v/>
      </c>
      <c r="P1467" s="1">
        <f>IF(AND(O1467="",ISNUMBER(B1467)),INT(B1467),0)</f>
        <v/>
      </c>
      <c r="Q1467">
        <f>IF(AND(P1467&gt;0,C1467=Report!$C$5),P1467*10000+ROW(),"")</f>
        <v/>
      </c>
      <c r="R1467">
        <f>IF(AND(Q1467&lt;&gt;"",ISNUMBER(D1467)),Q1467,"")</f>
        <v/>
      </c>
      <c r="S1467">
        <f>IF(AND(Q1467&lt;&gt;"",ISNUMBER(E1467)),Q1467,"")</f>
        <v/>
      </c>
      <c r="T1467">
        <f>IF(AND(Q1467&lt;&gt;"",ISNUMBER(F1467)),Q1467,"")</f>
        <v/>
      </c>
      <c r="U1467">
        <f>IF(AND(Q1467&lt;&gt;"",ISNUMBER(G1467)),Q1467,"")</f>
        <v/>
      </c>
      <c r="V1467">
        <f>IF(AND(Q1467&lt;&gt;"",ISNUMBER(H1467)),Q1467,"")</f>
        <v/>
      </c>
      <c r="W1467">
        <f>IF(AND(Q1467&lt;&gt;"",ISNUMBER(I1467)),Q1467,"")</f>
        <v/>
      </c>
      <c r="X1467">
        <f>IF(AND(Q1467&lt;&gt;"",ISNUMBER(J1467)),Q1467,"")</f>
        <v/>
      </c>
      <c r="Y1467">
        <f>IF(AND(Q1467&lt;&gt;"",ISNUMBER(K1467)),Q1467,"")</f>
        <v/>
      </c>
      <c r="Z1467">
        <f>IF(AND(Q1467&lt;&gt;"",ISNUMBER(L1467)),Q1467,"")</f>
        <v/>
      </c>
      <c r="AA1467">
        <f>IF(AND(Q1467&lt;&gt;"",ISNUMBER(M1467)),Q1467,"")</f>
        <v/>
      </c>
      <c r="AB1467">
        <f>IF(AND(Q1467&lt;&gt;"",ISNUMBER(K1467)),K1467,"")</f>
        <v/>
      </c>
      <c r="AC1467">
        <f>IF(AND(Q1467&lt;&gt;"",ISNUMBER(L1467)),L1467,"")</f>
        <v/>
      </c>
      <c r="AD1467">
        <f>IF(AND(Q1467&lt;&gt;"",ISNUMBER(M1467)),M1467,"")</f>
        <v/>
      </c>
    </row>
    <row r="1468">
      <c r="A1468" s="1" t="n"/>
      <c r="B1468" s="17" t="n"/>
      <c r="C1468" s="27" t="n"/>
      <c r="D1468" s="28" t="n"/>
      <c r="E1468" s="28" t="n"/>
      <c r="F1468" s="28" t="n"/>
      <c r="G1468" s="28" t="n"/>
      <c r="H1468" s="28" t="n"/>
      <c r="I1468" s="28" t="n"/>
      <c r="J1468" s="28" t="n"/>
      <c r="K1468" s="28" t="n"/>
      <c r="L1468" s="28" t="n"/>
      <c r="M1468" s="29" t="n"/>
      <c r="N1468" s="21" t="n"/>
      <c r="O1468" s="12">
        <f>IF(AND(B1468="",C1468=""),"",IF(NOT(ISNUMBER(B1468)),"Needs a date",IF(C1468="","Needs a client",IF(COUNTIF(Clients!$B$6:$B$105,C1468)=0,"Not on Clients",IF(COUNT(D1468:M1468)=0,"Nothing measured","")))))</f>
        <v/>
      </c>
      <c r="P1468" s="1">
        <f>IF(AND(O1468="",ISNUMBER(B1468)),INT(B1468),0)</f>
        <v/>
      </c>
      <c r="Q1468">
        <f>IF(AND(P1468&gt;0,C1468=Report!$C$5),P1468*10000+ROW(),"")</f>
        <v/>
      </c>
      <c r="R1468">
        <f>IF(AND(Q1468&lt;&gt;"",ISNUMBER(D1468)),Q1468,"")</f>
        <v/>
      </c>
      <c r="S1468">
        <f>IF(AND(Q1468&lt;&gt;"",ISNUMBER(E1468)),Q1468,"")</f>
        <v/>
      </c>
      <c r="T1468">
        <f>IF(AND(Q1468&lt;&gt;"",ISNUMBER(F1468)),Q1468,"")</f>
        <v/>
      </c>
      <c r="U1468">
        <f>IF(AND(Q1468&lt;&gt;"",ISNUMBER(G1468)),Q1468,"")</f>
        <v/>
      </c>
      <c r="V1468">
        <f>IF(AND(Q1468&lt;&gt;"",ISNUMBER(H1468)),Q1468,"")</f>
        <v/>
      </c>
      <c r="W1468">
        <f>IF(AND(Q1468&lt;&gt;"",ISNUMBER(I1468)),Q1468,"")</f>
        <v/>
      </c>
      <c r="X1468">
        <f>IF(AND(Q1468&lt;&gt;"",ISNUMBER(J1468)),Q1468,"")</f>
        <v/>
      </c>
      <c r="Y1468">
        <f>IF(AND(Q1468&lt;&gt;"",ISNUMBER(K1468)),Q1468,"")</f>
        <v/>
      </c>
      <c r="Z1468">
        <f>IF(AND(Q1468&lt;&gt;"",ISNUMBER(L1468)),Q1468,"")</f>
        <v/>
      </c>
      <c r="AA1468">
        <f>IF(AND(Q1468&lt;&gt;"",ISNUMBER(M1468)),Q1468,"")</f>
        <v/>
      </c>
      <c r="AB1468">
        <f>IF(AND(Q1468&lt;&gt;"",ISNUMBER(K1468)),K1468,"")</f>
        <v/>
      </c>
      <c r="AC1468">
        <f>IF(AND(Q1468&lt;&gt;"",ISNUMBER(L1468)),L1468,"")</f>
        <v/>
      </c>
      <c r="AD1468">
        <f>IF(AND(Q1468&lt;&gt;"",ISNUMBER(M1468)),M1468,"")</f>
        <v/>
      </c>
    </row>
    <row r="1469">
      <c r="A1469" s="1" t="n"/>
      <c r="B1469" s="17" t="n"/>
      <c r="C1469" s="27" t="n"/>
      <c r="D1469" s="28" t="n"/>
      <c r="E1469" s="28" t="n"/>
      <c r="F1469" s="28" t="n"/>
      <c r="G1469" s="28" t="n"/>
      <c r="H1469" s="28" t="n"/>
      <c r="I1469" s="28" t="n"/>
      <c r="J1469" s="28" t="n"/>
      <c r="K1469" s="28" t="n"/>
      <c r="L1469" s="28" t="n"/>
      <c r="M1469" s="29" t="n"/>
      <c r="N1469" s="21" t="n"/>
      <c r="O1469" s="12">
        <f>IF(AND(B1469="",C1469=""),"",IF(NOT(ISNUMBER(B1469)),"Needs a date",IF(C1469="","Needs a client",IF(COUNTIF(Clients!$B$6:$B$105,C1469)=0,"Not on Clients",IF(COUNT(D1469:M1469)=0,"Nothing measured","")))))</f>
        <v/>
      </c>
      <c r="P1469" s="1">
        <f>IF(AND(O1469="",ISNUMBER(B1469)),INT(B1469),0)</f>
        <v/>
      </c>
      <c r="Q1469">
        <f>IF(AND(P1469&gt;0,C1469=Report!$C$5),P1469*10000+ROW(),"")</f>
        <v/>
      </c>
      <c r="R1469">
        <f>IF(AND(Q1469&lt;&gt;"",ISNUMBER(D1469)),Q1469,"")</f>
        <v/>
      </c>
      <c r="S1469">
        <f>IF(AND(Q1469&lt;&gt;"",ISNUMBER(E1469)),Q1469,"")</f>
        <v/>
      </c>
      <c r="T1469">
        <f>IF(AND(Q1469&lt;&gt;"",ISNUMBER(F1469)),Q1469,"")</f>
        <v/>
      </c>
      <c r="U1469">
        <f>IF(AND(Q1469&lt;&gt;"",ISNUMBER(G1469)),Q1469,"")</f>
        <v/>
      </c>
      <c r="V1469">
        <f>IF(AND(Q1469&lt;&gt;"",ISNUMBER(H1469)),Q1469,"")</f>
        <v/>
      </c>
      <c r="W1469">
        <f>IF(AND(Q1469&lt;&gt;"",ISNUMBER(I1469)),Q1469,"")</f>
        <v/>
      </c>
      <c r="X1469">
        <f>IF(AND(Q1469&lt;&gt;"",ISNUMBER(J1469)),Q1469,"")</f>
        <v/>
      </c>
      <c r="Y1469">
        <f>IF(AND(Q1469&lt;&gt;"",ISNUMBER(K1469)),Q1469,"")</f>
        <v/>
      </c>
      <c r="Z1469">
        <f>IF(AND(Q1469&lt;&gt;"",ISNUMBER(L1469)),Q1469,"")</f>
        <v/>
      </c>
      <c r="AA1469">
        <f>IF(AND(Q1469&lt;&gt;"",ISNUMBER(M1469)),Q1469,"")</f>
        <v/>
      </c>
      <c r="AB1469">
        <f>IF(AND(Q1469&lt;&gt;"",ISNUMBER(K1469)),K1469,"")</f>
        <v/>
      </c>
      <c r="AC1469">
        <f>IF(AND(Q1469&lt;&gt;"",ISNUMBER(L1469)),L1469,"")</f>
        <v/>
      </c>
      <c r="AD1469">
        <f>IF(AND(Q1469&lt;&gt;"",ISNUMBER(M1469)),M1469,"")</f>
        <v/>
      </c>
    </row>
    <row r="1470">
      <c r="A1470" s="1" t="n"/>
      <c r="B1470" s="17" t="n"/>
      <c r="C1470" s="27" t="n"/>
      <c r="D1470" s="28" t="n"/>
      <c r="E1470" s="28" t="n"/>
      <c r="F1470" s="28" t="n"/>
      <c r="G1470" s="28" t="n"/>
      <c r="H1470" s="28" t="n"/>
      <c r="I1470" s="28" t="n"/>
      <c r="J1470" s="28" t="n"/>
      <c r="K1470" s="28" t="n"/>
      <c r="L1470" s="28" t="n"/>
      <c r="M1470" s="29" t="n"/>
      <c r="N1470" s="21" t="n"/>
      <c r="O1470" s="12">
        <f>IF(AND(B1470="",C1470=""),"",IF(NOT(ISNUMBER(B1470)),"Needs a date",IF(C1470="","Needs a client",IF(COUNTIF(Clients!$B$6:$B$105,C1470)=0,"Not on Clients",IF(COUNT(D1470:M1470)=0,"Nothing measured","")))))</f>
        <v/>
      </c>
      <c r="P1470" s="1">
        <f>IF(AND(O1470="",ISNUMBER(B1470)),INT(B1470),0)</f>
        <v/>
      </c>
      <c r="Q1470">
        <f>IF(AND(P1470&gt;0,C1470=Report!$C$5),P1470*10000+ROW(),"")</f>
        <v/>
      </c>
      <c r="R1470">
        <f>IF(AND(Q1470&lt;&gt;"",ISNUMBER(D1470)),Q1470,"")</f>
        <v/>
      </c>
      <c r="S1470">
        <f>IF(AND(Q1470&lt;&gt;"",ISNUMBER(E1470)),Q1470,"")</f>
        <v/>
      </c>
      <c r="T1470">
        <f>IF(AND(Q1470&lt;&gt;"",ISNUMBER(F1470)),Q1470,"")</f>
        <v/>
      </c>
      <c r="U1470">
        <f>IF(AND(Q1470&lt;&gt;"",ISNUMBER(G1470)),Q1470,"")</f>
        <v/>
      </c>
      <c r="V1470">
        <f>IF(AND(Q1470&lt;&gt;"",ISNUMBER(H1470)),Q1470,"")</f>
        <v/>
      </c>
      <c r="W1470">
        <f>IF(AND(Q1470&lt;&gt;"",ISNUMBER(I1470)),Q1470,"")</f>
        <v/>
      </c>
      <c r="X1470">
        <f>IF(AND(Q1470&lt;&gt;"",ISNUMBER(J1470)),Q1470,"")</f>
        <v/>
      </c>
      <c r="Y1470">
        <f>IF(AND(Q1470&lt;&gt;"",ISNUMBER(K1470)),Q1470,"")</f>
        <v/>
      </c>
      <c r="Z1470">
        <f>IF(AND(Q1470&lt;&gt;"",ISNUMBER(L1470)),Q1470,"")</f>
        <v/>
      </c>
      <c r="AA1470">
        <f>IF(AND(Q1470&lt;&gt;"",ISNUMBER(M1470)),Q1470,"")</f>
        <v/>
      </c>
      <c r="AB1470">
        <f>IF(AND(Q1470&lt;&gt;"",ISNUMBER(K1470)),K1470,"")</f>
        <v/>
      </c>
      <c r="AC1470">
        <f>IF(AND(Q1470&lt;&gt;"",ISNUMBER(L1470)),L1470,"")</f>
        <v/>
      </c>
      <c r="AD1470">
        <f>IF(AND(Q1470&lt;&gt;"",ISNUMBER(M1470)),M1470,"")</f>
        <v/>
      </c>
    </row>
    <row r="1471">
      <c r="A1471" s="1" t="n"/>
      <c r="B1471" s="17" t="n"/>
      <c r="C1471" s="27" t="n"/>
      <c r="D1471" s="28" t="n"/>
      <c r="E1471" s="28" t="n"/>
      <c r="F1471" s="28" t="n"/>
      <c r="G1471" s="28" t="n"/>
      <c r="H1471" s="28" t="n"/>
      <c r="I1471" s="28" t="n"/>
      <c r="J1471" s="28" t="n"/>
      <c r="K1471" s="28" t="n"/>
      <c r="L1471" s="28" t="n"/>
      <c r="M1471" s="29" t="n"/>
      <c r="N1471" s="21" t="n"/>
      <c r="O1471" s="12">
        <f>IF(AND(B1471="",C1471=""),"",IF(NOT(ISNUMBER(B1471)),"Needs a date",IF(C1471="","Needs a client",IF(COUNTIF(Clients!$B$6:$B$105,C1471)=0,"Not on Clients",IF(COUNT(D1471:M1471)=0,"Nothing measured","")))))</f>
        <v/>
      </c>
      <c r="P1471" s="1">
        <f>IF(AND(O1471="",ISNUMBER(B1471)),INT(B1471),0)</f>
        <v/>
      </c>
      <c r="Q1471">
        <f>IF(AND(P1471&gt;0,C1471=Report!$C$5),P1471*10000+ROW(),"")</f>
        <v/>
      </c>
      <c r="R1471">
        <f>IF(AND(Q1471&lt;&gt;"",ISNUMBER(D1471)),Q1471,"")</f>
        <v/>
      </c>
      <c r="S1471">
        <f>IF(AND(Q1471&lt;&gt;"",ISNUMBER(E1471)),Q1471,"")</f>
        <v/>
      </c>
      <c r="T1471">
        <f>IF(AND(Q1471&lt;&gt;"",ISNUMBER(F1471)),Q1471,"")</f>
        <v/>
      </c>
      <c r="U1471">
        <f>IF(AND(Q1471&lt;&gt;"",ISNUMBER(G1471)),Q1471,"")</f>
        <v/>
      </c>
      <c r="V1471">
        <f>IF(AND(Q1471&lt;&gt;"",ISNUMBER(H1471)),Q1471,"")</f>
        <v/>
      </c>
      <c r="W1471">
        <f>IF(AND(Q1471&lt;&gt;"",ISNUMBER(I1471)),Q1471,"")</f>
        <v/>
      </c>
      <c r="X1471">
        <f>IF(AND(Q1471&lt;&gt;"",ISNUMBER(J1471)),Q1471,"")</f>
        <v/>
      </c>
      <c r="Y1471">
        <f>IF(AND(Q1471&lt;&gt;"",ISNUMBER(K1471)),Q1471,"")</f>
        <v/>
      </c>
      <c r="Z1471">
        <f>IF(AND(Q1471&lt;&gt;"",ISNUMBER(L1471)),Q1471,"")</f>
        <v/>
      </c>
      <c r="AA1471">
        <f>IF(AND(Q1471&lt;&gt;"",ISNUMBER(M1471)),Q1471,"")</f>
        <v/>
      </c>
      <c r="AB1471">
        <f>IF(AND(Q1471&lt;&gt;"",ISNUMBER(K1471)),K1471,"")</f>
        <v/>
      </c>
      <c r="AC1471">
        <f>IF(AND(Q1471&lt;&gt;"",ISNUMBER(L1471)),L1471,"")</f>
        <v/>
      </c>
      <c r="AD1471">
        <f>IF(AND(Q1471&lt;&gt;"",ISNUMBER(M1471)),M1471,"")</f>
        <v/>
      </c>
    </row>
    <row r="1472">
      <c r="A1472" s="1" t="n"/>
      <c r="B1472" s="17" t="n"/>
      <c r="C1472" s="27" t="n"/>
      <c r="D1472" s="28" t="n"/>
      <c r="E1472" s="28" t="n"/>
      <c r="F1472" s="28" t="n"/>
      <c r="G1472" s="28" t="n"/>
      <c r="H1472" s="28" t="n"/>
      <c r="I1472" s="28" t="n"/>
      <c r="J1472" s="28" t="n"/>
      <c r="K1472" s="28" t="n"/>
      <c r="L1472" s="28" t="n"/>
      <c r="M1472" s="29" t="n"/>
      <c r="N1472" s="21" t="n"/>
      <c r="O1472" s="12">
        <f>IF(AND(B1472="",C1472=""),"",IF(NOT(ISNUMBER(B1472)),"Needs a date",IF(C1472="","Needs a client",IF(COUNTIF(Clients!$B$6:$B$105,C1472)=0,"Not on Clients",IF(COUNT(D1472:M1472)=0,"Nothing measured","")))))</f>
        <v/>
      </c>
      <c r="P1472" s="1">
        <f>IF(AND(O1472="",ISNUMBER(B1472)),INT(B1472),0)</f>
        <v/>
      </c>
      <c r="Q1472">
        <f>IF(AND(P1472&gt;0,C1472=Report!$C$5),P1472*10000+ROW(),"")</f>
        <v/>
      </c>
      <c r="R1472">
        <f>IF(AND(Q1472&lt;&gt;"",ISNUMBER(D1472)),Q1472,"")</f>
        <v/>
      </c>
      <c r="S1472">
        <f>IF(AND(Q1472&lt;&gt;"",ISNUMBER(E1472)),Q1472,"")</f>
        <v/>
      </c>
      <c r="T1472">
        <f>IF(AND(Q1472&lt;&gt;"",ISNUMBER(F1472)),Q1472,"")</f>
        <v/>
      </c>
      <c r="U1472">
        <f>IF(AND(Q1472&lt;&gt;"",ISNUMBER(G1472)),Q1472,"")</f>
        <v/>
      </c>
      <c r="V1472">
        <f>IF(AND(Q1472&lt;&gt;"",ISNUMBER(H1472)),Q1472,"")</f>
        <v/>
      </c>
      <c r="W1472">
        <f>IF(AND(Q1472&lt;&gt;"",ISNUMBER(I1472)),Q1472,"")</f>
        <v/>
      </c>
      <c r="X1472">
        <f>IF(AND(Q1472&lt;&gt;"",ISNUMBER(J1472)),Q1472,"")</f>
        <v/>
      </c>
      <c r="Y1472">
        <f>IF(AND(Q1472&lt;&gt;"",ISNUMBER(K1472)),Q1472,"")</f>
        <v/>
      </c>
      <c r="Z1472">
        <f>IF(AND(Q1472&lt;&gt;"",ISNUMBER(L1472)),Q1472,"")</f>
        <v/>
      </c>
      <c r="AA1472">
        <f>IF(AND(Q1472&lt;&gt;"",ISNUMBER(M1472)),Q1472,"")</f>
        <v/>
      </c>
      <c r="AB1472">
        <f>IF(AND(Q1472&lt;&gt;"",ISNUMBER(K1472)),K1472,"")</f>
        <v/>
      </c>
      <c r="AC1472">
        <f>IF(AND(Q1472&lt;&gt;"",ISNUMBER(L1472)),L1472,"")</f>
        <v/>
      </c>
      <c r="AD1472">
        <f>IF(AND(Q1472&lt;&gt;"",ISNUMBER(M1472)),M1472,"")</f>
        <v/>
      </c>
    </row>
    <row r="1473">
      <c r="A1473" s="1" t="n"/>
      <c r="B1473" s="17" t="n"/>
      <c r="C1473" s="27" t="n"/>
      <c r="D1473" s="28" t="n"/>
      <c r="E1473" s="28" t="n"/>
      <c r="F1473" s="28" t="n"/>
      <c r="G1473" s="28" t="n"/>
      <c r="H1473" s="28" t="n"/>
      <c r="I1473" s="28" t="n"/>
      <c r="J1473" s="28" t="n"/>
      <c r="K1473" s="28" t="n"/>
      <c r="L1473" s="28" t="n"/>
      <c r="M1473" s="29" t="n"/>
      <c r="N1473" s="21" t="n"/>
      <c r="O1473" s="12">
        <f>IF(AND(B1473="",C1473=""),"",IF(NOT(ISNUMBER(B1473)),"Needs a date",IF(C1473="","Needs a client",IF(COUNTIF(Clients!$B$6:$B$105,C1473)=0,"Not on Clients",IF(COUNT(D1473:M1473)=0,"Nothing measured","")))))</f>
        <v/>
      </c>
      <c r="P1473" s="1">
        <f>IF(AND(O1473="",ISNUMBER(B1473)),INT(B1473),0)</f>
        <v/>
      </c>
      <c r="Q1473">
        <f>IF(AND(P1473&gt;0,C1473=Report!$C$5),P1473*10000+ROW(),"")</f>
        <v/>
      </c>
      <c r="R1473">
        <f>IF(AND(Q1473&lt;&gt;"",ISNUMBER(D1473)),Q1473,"")</f>
        <v/>
      </c>
      <c r="S1473">
        <f>IF(AND(Q1473&lt;&gt;"",ISNUMBER(E1473)),Q1473,"")</f>
        <v/>
      </c>
      <c r="T1473">
        <f>IF(AND(Q1473&lt;&gt;"",ISNUMBER(F1473)),Q1473,"")</f>
        <v/>
      </c>
      <c r="U1473">
        <f>IF(AND(Q1473&lt;&gt;"",ISNUMBER(G1473)),Q1473,"")</f>
        <v/>
      </c>
      <c r="V1473">
        <f>IF(AND(Q1473&lt;&gt;"",ISNUMBER(H1473)),Q1473,"")</f>
        <v/>
      </c>
      <c r="W1473">
        <f>IF(AND(Q1473&lt;&gt;"",ISNUMBER(I1473)),Q1473,"")</f>
        <v/>
      </c>
      <c r="X1473">
        <f>IF(AND(Q1473&lt;&gt;"",ISNUMBER(J1473)),Q1473,"")</f>
        <v/>
      </c>
      <c r="Y1473">
        <f>IF(AND(Q1473&lt;&gt;"",ISNUMBER(K1473)),Q1473,"")</f>
        <v/>
      </c>
      <c r="Z1473">
        <f>IF(AND(Q1473&lt;&gt;"",ISNUMBER(L1473)),Q1473,"")</f>
        <v/>
      </c>
      <c r="AA1473">
        <f>IF(AND(Q1473&lt;&gt;"",ISNUMBER(M1473)),Q1473,"")</f>
        <v/>
      </c>
      <c r="AB1473">
        <f>IF(AND(Q1473&lt;&gt;"",ISNUMBER(K1473)),K1473,"")</f>
        <v/>
      </c>
      <c r="AC1473">
        <f>IF(AND(Q1473&lt;&gt;"",ISNUMBER(L1473)),L1473,"")</f>
        <v/>
      </c>
      <c r="AD1473">
        <f>IF(AND(Q1473&lt;&gt;"",ISNUMBER(M1473)),M1473,"")</f>
        <v/>
      </c>
    </row>
    <row r="1474">
      <c r="A1474" s="1" t="n"/>
      <c r="B1474" s="17" t="n"/>
      <c r="C1474" s="27" t="n"/>
      <c r="D1474" s="28" t="n"/>
      <c r="E1474" s="28" t="n"/>
      <c r="F1474" s="28" t="n"/>
      <c r="G1474" s="28" t="n"/>
      <c r="H1474" s="28" t="n"/>
      <c r="I1474" s="28" t="n"/>
      <c r="J1474" s="28" t="n"/>
      <c r="K1474" s="28" t="n"/>
      <c r="L1474" s="28" t="n"/>
      <c r="M1474" s="29" t="n"/>
      <c r="N1474" s="21" t="n"/>
      <c r="O1474" s="12">
        <f>IF(AND(B1474="",C1474=""),"",IF(NOT(ISNUMBER(B1474)),"Needs a date",IF(C1474="","Needs a client",IF(COUNTIF(Clients!$B$6:$B$105,C1474)=0,"Not on Clients",IF(COUNT(D1474:M1474)=0,"Nothing measured","")))))</f>
        <v/>
      </c>
      <c r="P1474" s="1">
        <f>IF(AND(O1474="",ISNUMBER(B1474)),INT(B1474),0)</f>
        <v/>
      </c>
      <c r="Q1474">
        <f>IF(AND(P1474&gt;0,C1474=Report!$C$5),P1474*10000+ROW(),"")</f>
        <v/>
      </c>
      <c r="R1474">
        <f>IF(AND(Q1474&lt;&gt;"",ISNUMBER(D1474)),Q1474,"")</f>
        <v/>
      </c>
      <c r="S1474">
        <f>IF(AND(Q1474&lt;&gt;"",ISNUMBER(E1474)),Q1474,"")</f>
        <v/>
      </c>
      <c r="T1474">
        <f>IF(AND(Q1474&lt;&gt;"",ISNUMBER(F1474)),Q1474,"")</f>
        <v/>
      </c>
      <c r="U1474">
        <f>IF(AND(Q1474&lt;&gt;"",ISNUMBER(G1474)),Q1474,"")</f>
        <v/>
      </c>
      <c r="V1474">
        <f>IF(AND(Q1474&lt;&gt;"",ISNUMBER(H1474)),Q1474,"")</f>
        <v/>
      </c>
      <c r="W1474">
        <f>IF(AND(Q1474&lt;&gt;"",ISNUMBER(I1474)),Q1474,"")</f>
        <v/>
      </c>
      <c r="X1474">
        <f>IF(AND(Q1474&lt;&gt;"",ISNUMBER(J1474)),Q1474,"")</f>
        <v/>
      </c>
      <c r="Y1474">
        <f>IF(AND(Q1474&lt;&gt;"",ISNUMBER(K1474)),Q1474,"")</f>
        <v/>
      </c>
      <c r="Z1474">
        <f>IF(AND(Q1474&lt;&gt;"",ISNUMBER(L1474)),Q1474,"")</f>
        <v/>
      </c>
      <c r="AA1474">
        <f>IF(AND(Q1474&lt;&gt;"",ISNUMBER(M1474)),Q1474,"")</f>
        <v/>
      </c>
      <c r="AB1474">
        <f>IF(AND(Q1474&lt;&gt;"",ISNUMBER(K1474)),K1474,"")</f>
        <v/>
      </c>
      <c r="AC1474">
        <f>IF(AND(Q1474&lt;&gt;"",ISNUMBER(L1474)),L1474,"")</f>
        <v/>
      </c>
      <c r="AD1474">
        <f>IF(AND(Q1474&lt;&gt;"",ISNUMBER(M1474)),M1474,"")</f>
        <v/>
      </c>
    </row>
    <row r="1475">
      <c r="A1475" s="1" t="n"/>
      <c r="B1475" s="17" t="n"/>
      <c r="C1475" s="27" t="n"/>
      <c r="D1475" s="28" t="n"/>
      <c r="E1475" s="28" t="n"/>
      <c r="F1475" s="28" t="n"/>
      <c r="G1475" s="28" t="n"/>
      <c r="H1475" s="28" t="n"/>
      <c r="I1475" s="28" t="n"/>
      <c r="J1475" s="28" t="n"/>
      <c r="K1475" s="28" t="n"/>
      <c r="L1475" s="28" t="n"/>
      <c r="M1475" s="29" t="n"/>
      <c r="N1475" s="21" t="n"/>
      <c r="O1475" s="12">
        <f>IF(AND(B1475="",C1475=""),"",IF(NOT(ISNUMBER(B1475)),"Needs a date",IF(C1475="","Needs a client",IF(COUNTIF(Clients!$B$6:$B$105,C1475)=0,"Not on Clients",IF(COUNT(D1475:M1475)=0,"Nothing measured","")))))</f>
        <v/>
      </c>
      <c r="P1475" s="1">
        <f>IF(AND(O1475="",ISNUMBER(B1475)),INT(B1475),0)</f>
        <v/>
      </c>
      <c r="Q1475">
        <f>IF(AND(P1475&gt;0,C1475=Report!$C$5),P1475*10000+ROW(),"")</f>
        <v/>
      </c>
      <c r="R1475">
        <f>IF(AND(Q1475&lt;&gt;"",ISNUMBER(D1475)),Q1475,"")</f>
        <v/>
      </c>
      <c r="S1475">
        <f>IF(AND(Q1475&lt;&gt;"",ISNUMBER(E1475)),Q1475,"")</f>
        <v/>
      </c>
      <c r="T1475">
        <f>IF(AND(Q1475&lt;&gt;"",ISNUMBER(F1475)),Q1475,"")</f>
        <v/>
      </c>
      <c r="U1475">
        <f>IF(AND(Q1475&lt;&gt;"",ISNUMBER(G1475)),Q1475,"")</f>
        <v/>
      </c>
      <c r="V1475">
        <f>IF(AND(Q1475&lt;&gt;"",ISNUMBER(H1475)),Q1475,"")</f>
        <v/>
      </c>
      <c r="W1475">
        <f>IF(AND(Q1475&lt;&gt;"",ISNUMBER(I1475)),Q1475,"")</f>
        <v/>
      </c>
      <c r="X1475">
        <f>IF(AND(Q1475&lt;&gt;"",ISNUMBER(J1475)),Q1475,"")</f>
        <v/>
      </c>
      <c r="Y1475">
        <f>IF(AND(Q1475&lt;&gt;"",ISNUMBER(K1475)),Q1475,"")</f>
        <v/>
      </c>
      <c r="Z1475">
        <f>IF(AND(Q1475&lt;&gt;"",ISNUMBER(L1475)),Q1475,"")</f>
        <v/>
      </c>
      <c r="AA1475">
        <f>IF(AND(Q1475&lt;&gt;"",ISNUMBER(M1475)),Q1475,"")</f>
        <v/>
      </c>
      <c r="AB1475">
        <f>IF(AND(Q1475&lt;&gt;"",ISNUMBER(K1475)),K1475,"")</f>
        <v/>
      </c>
      <c r="AC1475">
        <f>IF(AND(Q1475&lt;&gt;"",ISNUMBER(L1475)),L1475,"")</f>
        <v/>
      </c>
      <c r="AD1475">
        <f>IF(AND(Q1475&lt;&gt;"",ISNUMBER(M1475)),M1475,"")</f>
        <v/>
      </c>
    </row>
    <row r="1476">
      <c r="A1476" s="1" t="n"/>
      <c r="B1476" s="17" t="n"/>
      <c r="C1476" s="27" t="n"/>
      <c r="D1476" s="28" t="n"/>
      <c r="E1476" s="28" t="n"/>
      <c r="F1476" s="28" t="n"/>
      <c r="G1476" s="28" t="n"/>
      <c r="H1476" s="28" t="n"/>
      <c r="I1476" s="28" t="n"/>
      <c r="J1476" s="28" t="n"/>
      <c r="K1476" s="28" t="n"/>
      <c r="L1476" s="28" t="n"/>
      <c r="M1476" s="29" t="n"/>
      <c r="N1476" s="21" t="n"/>
      <c r="O1476" s="12">
        <f>IF(AND(B1476="",C1476=""),"",IF(NOT(ISNUMBER(B1476)),"Needs a date",IF(C1476="","Needs a client",IF(COUNTIF(Clients!$B$6:$B$105,C1476)=0,"Not on Clients",IF(COUNT(D1476:M1476)=0,"Nothing measured","")))))</f>
        <v/>
      </c>
      <c r="P1476" s="1">
        <f>IF(AND(O1476="",ISNUMBER(B1476)),INT(B1476),0)</f>
        <v/>
      </c>
      <c r="Q1476">
        <f>IF(AND(P1476&gt;0,C1476=Report!$C$5),P1476*10000+ROW(),"")</f>
        <v/>
      </c>
      <c r="R1476">
        <f>IF(AND(Q1476&lt;&gt;"",ISNUMBER(D1476)),Q1476,"")</f>
        <v/>
      </c>
      <c r="S1476">
        <f>IF(AND(Q1476&lt;&gt;"",ISNUMBER(E1476)),Q1476,"")</f>
        <v/>
      </c>
      <c r="T1476">
        <f>IF(AND(Q1476&lt;&gt;"",ISNUMBER(F1476)),Q1476,"")</f>
        <v/>
      </c>
      <c r="U1476">
        <f>IF(AND(Q1476&lt;&gt;"",ISNUMBER(G1476)),Q1476,"")</f>
        <v/>
      </c>
      <c r="V1476">
        <f>IF(AND(Q1476&lt;&gt;"",ISNUMBER(H1476)),Q1476,"")</f>
        <v/>
      </c>
      <c r="W1476">
        <f>IF(AND(Q1476&lt;&gt;"",ISNUMBER(I1476)),Q1476,"")</f>
        <v/>
      </c>
      <c r="X1476">
        <f>IF(AND(Q1476&lt;&gt;"",ISNUMBER(J1476)),Q1476,"")</f>
        <v/>
      </c>
      <c r="Y1476">
        <f>IF(AND(Q1476&lt;&gt;"",ISNUMBER(K1476)),Q1476,"")</f>
        <v/>
      </c>
      <c r="Z1476">
        <f>IF(AND(Q1476&lt;&gt;"",ISNUMBER(L1476)),Q1476,"")</f>
        <v/>
      </c>
      <c r="AA1476">
        <f>IF(AND(Q1476&lt;&gt;"",ISNUMBER(M1476)),Q1476,"")</f>
        <v/>
      </c>
      <c r="AB1476">
        <f>IF(AND(Q1476&lt;&gt;"",ISNUMBER(K1476)),K1476,"")</f>
        <v/>
      </c>
      <c r="AC1476">
        <f>IF(AND(Q1476&lt;&gt;"",ISNUMBER(L1476)),L1476,"")</f>
        <v/>
      </c>
      <c r="AD1476">
        <f>IF(AND(Q1476&lt;&gt;"",ISNUMBER(M1476)),M1476,"")</f>
        <v/>
      </c>
    </row>
    <row r="1477">
      <c r="A1477" s="1" t="n"/>
      <c r="B1477" s="17" t="n"/>
      <c r="C1477" s="27" t="n"/>
      <c r="D1477" s="28" t="n"/>
      <c r="E1477" s="28" t="n"/>
      <c r="F1477" s="28" t="n"/>
      <c r="G1477" s="28" t="n"/>
      <c r="H1477" s="28" t="n"/>
      <c r="I1477" s="28" t="n"/>
      <c r="J1477" s="28" t="n"/>
      <c r="K1477" s="28" t="n"/>
      <c r="L1477" s="28" t="n"/>
      <c r="M1477" s="29" t="n"/>
      <c r="N1477" s="21" t="n"/>
      <c r="O1477" s="12">
        <f>IF(AND(B1477="",C1477=""),"",IF(NOT(ISNUMBER(B1477)),"Needs a date",IF(C1477="","Needs a client",IF(COUNTIF(Clients!$B$6:$B$105,C1477)=0,"Not on Clients",IF(COUNT(D1477:M1477)=0,"Nothing measured","")))))</f>
        <v/>
      </c>
      <c r="P1477" s="1">
        <f>IF(AND(O1477="",ISNUMBER(B1477)),INT(B1477),0)</f>
        <v/>
      </c>
      <c r="Q1477">
        <f>IF(AND(P1477&gt;0,C1477=Report!$C$5),P1477*10000+ROW(),"")</f>
        <v/>
      </c>
      <c r="R1477">
        <f>IF(AND(Q1477&lt;&gt;"",ISNUMBER(D1477)),Q1477,"")</f>
        <v/>
      </c>
      <c r="S1477">
        <f>IF(AND(Q1477&lt;&gt;"",ISNUMBER(E1477)),Q1477,"")</f>
        <v/>
      </c>
      <c r="T1477">
        <f>IF(AND(Q1477&lt;&gt;"",ISNUMBER(F1477)),Q1477,"")</f>
        <v/>
      </c>
      <c r="U1477">
        <f>IF(AND(Q1477&lt;&gt;"",ISNUMBER(G1477)),Q1477,"")</f>
        <v/>
      </c>
      <c r="V1477">
        <f>IF(AND(Q1477&lt;&gt;"",ISNUMBER(H1477)),Q1477,"")</f>
        <v/>
      </c>
      <c r="W1477">
        <f>IF(AND(Q1477&lt;&gt;"",ISNUMBER(I1477)),Q1477,"")</f>
        <v/>
      </c>
      <c r="X1477">
        <f>IF(AND(Q1477&lt;&gt;"",ISNUMBER(J1477)),Q1477,"")</f>
        <v/>
      </c>
      <c r="Y1477">
        <f>IF(AND(Q1477&lt;&gt;"",ISNUMBER(K1477)),Q1477,"")</f>
        <v/>
      </c>
      <c r="Z1477">
        <f>IF(AND(Q1477&lt;&gt;"",ISNUMBER(L1477)),Q1477,"")</f>
        <v/>
      </c>
      <c r="AA1477">
        <f>IF(AND(Q1477&lt;&gt;"",ISNUMBER(M1477)),Q1477,"")</f>
        <v/>
      </c>
      <c r="AB1477">
        <f>IF(AND(Q1477&lt;&gt;"",ISNUMBER(K1477)),K1477,"")</f>
        <v/>
      </c>
      <c r="AC1477">
        <f>IF(AND(Q1477&lt;&gt;"",ISNUMBER(L1477)),L1477,"")</f>
        <v/>
      </c>
      <c r="AD1477">
        <f>IF(AND(Q1477&lt;&gt;"",ISNUMBER(M1477)),M1477,"")</f>
        <v/>
      </c>
    </row>
    <row r="1478">
      <c r="A1478" s="1" t="n"/>
      <c r="B1478" s="17" t="n"/>
      <c r="C1478" s="27" t="n"/>
      <c r="D1478" s="28" t="n"/>
      <c r="E1478" s="28" t="n"/>
      <c r="F1478" s="28" t="n"/>
      <c r="G1478" s="28" t="n"/>
      <c r="H1478" s="28" t="n"/>
      <c r="I1478" s="28" t="n"/>
      <c r="J1478" s="28" t="n"/>
      <c r="K1478" s="28" t="n"/>
      <c r="L1478" s="28" t="n"/>
      <c r="M1478" s="29" t="n"/>
      <c r="N1478" s="21" t="n"/>
      <c r="O1478" s="12">
        <f>IF(AND(B1478="",C1478=""),"",IF(NOT(ISNUMBER(B1478)),"Needs a date",IF(C1478="","Needs a client",IF(COUNTIF(Clients!$B$6:$B$105,C1478)=0,"Not on Clients",IF(COUNT(D1478:M1478)=0,"Nothing measured","")))))</f>
        <v/>
      </c>
      <c r="P1478" s="1">
        <f>IF(AND(O1478="",ISNUMBER(B1478)),INT(B1478),0)</f>
        <v/>
      </c>
      <c r="Q1478">
        <f>IF(AND(P1478&gt;0,C1478=Report!$C$5),P1478*10000+ROW(),"")</f>
        <v/>
      </c>
      <c r="R1478">
        <f>IF(AND(Q1478&lt;&gt;"",ISNUMBER(D1478)),Q1478,"")</f>
        <v/>
      </c>
      <c r="S1478">
        <f>IF(AND(Q1478&lt;&gt;"",ISNUMBER(E1478)),Q1478,"")</f>
        <v/>
      </c>
      <c r="T1478">
        <f>IF(AND(Q1478&lt;&gt;"",ISNUMBER(F1478)),Q1478,"")</f>
        <v/>
      </c>
      <c r="U1478">
        <f>IF(AND(Q1478&lt;&gt;"",ISNUMBER(G1478)),Q1478,"")</f>
        <v/>
      </c>
      <c r="V1478">
        <f>IF(AND(Q1478&lt;&gt;"",ISNUMBER(H1478)),Q1478,"")</f>
        <v/>
      </c>
      <c r="W1478">
        <f>IF(AND(Q1478&lt;&gt;"",ISNUMBER(I1478)),Q1478,"")</f>
        <v/>
      </c>
      <c r="X1478">
        <f>IF(AND(Q1478&lt;&gt;"",ISNUMBER(J1478)),Q1478,"")</f>
        <v/>
      </c>
      <c r="Y1478">
        <f>IF(AND(Q1478&lt;&gt;"",ISNUMBER(K1478)),Q1478,"")</f>
        <v/>
      </c>
      <c r="Z1478">
        <f>IF(AND(Q1478&lt;&gt;"",ISNUMBER(L1478)),Q1478,"")</f>
        <v/>
      </c>
      <c r="AA1478">
        <f>IF(AND(Q1478&lt;&gt;"",ISNUMBER(M1478)),Q1478,"")</f>
        <v/>
      </c>
      <c r="AB1478">
        <f>IF(AND(Q1478&lt;&gt;"",ISNUMBER(K1478)),K1478,"")</f>
        <v/>
      </c>
      <c r="AC1478">
        <f>IF(AND(Q1478&lt;&gt;"",ISNUMBER(L1478)),L1478,"")</f>
        <v/>
      </c>
      <c r="AD1478">
        <f>IF(AND(Q1478&lt;&gt;"",ISNUMBER(M1478)),M1478,"")</f>
        <v/>
      </c>
    </row>
    <row r="1479">
      <c r="A1479" s="1" t="n"/>
      <c r="B1479" s="17" t="n"/>
      <c r="C1479" s="27" t="n"/>
      <c r="D1479" s="28" t="n"/>
      <c r="E1479" s="28" t="n"/>
      <c r="F1479" s="28" t="n"/>
      <c r="G1479" s="28" t="n"/>
      <c r="H1479" s="28" t="n"/>
      <c r="I1479" s="28" t="n"/>
      <c r="J1479" s="28" t="n"/>
      <c r="K1479" s="28" t="n"/>
      <c r="L1479" s="28" t="n"/>
      <c r="M1479" s="29" t="n"/>
      <c r="N1479" s="21" t="n"/>
      <c r="O1479" s="12">
        <f>IF(AND(B1479="",C1479=""),"",IF(NOT(ISNUMBER(B1479)),"Needs a date",IF(C1479="","Needs a client",IF(COUNTIF(Clients!$B$6:$B$105,C1479)=0,"Not on Clients",IF(COUNT(D1479:M1479)=0,"Nothing measured","")))))</f>
        <v/>
      </c>
      <c r="P1479" s="1">
        <f>IF(AND(O1479="",ISNUMBER(B1479)),INT(B1479),0)</f>
        <v/>
      </c>
      <c r="Q1479">
        <f>IF(AND(P1479&gt;0,C1479=Report!$C$5),P1479*10000+ROW(),"")</f>
        <v/>
      </c>
      <c r="R1479">
        <f>IF(AND(Q1479&lt;&gt;"",ISNUMBER(D1479)),Q1479,"")</f>
        <v/>
      </c>
      <c r="S1479">
        <f>IF(AND(Q1479&lt;&gt;"",ISNUMBER(E1479)),Q1479,"")</f>
        <v/>
      </c>
      <c r="T1479">
        <f>IF(AND(Q1479&lt;&gt;"",ISNUMBER(F1479)),Q1479,"")</f>
        <v/>
      </c>
      <c r="U1479">
        <f>IF(AND(Q1479&lt;&gt;"",ISNUMBER(G1479)),Q1479,"")</f>
        <v/>
      </c>
      <c r="V1479">
        <f>IF(AND(Q1479&lt;&gt;"",ISNUMBER(H1479)),Q1479,"")</f>
        <v/>
      </c>
      <c r="W1479">
        <f>IF(AND(Q1479&lt;&gt;"",ISNUMBER(I1479)),Q1479,"")</f>
        <v/>
      </c>
      <c r="X1479">
        <f>IF(AND(Q1479&lt;&gt;"",ISNUMBER(J1479)),Q1479,"")</f>
        <v/>
      </c>
      <c r="Y1479">
        <f>IF(AND(Q1479&lt;&gt;"",ISNUMBER(K1479)),Q1479,"")</f>
        <v/>
      </c>
      <c r="Z1479">
        <f>IF(AND(Q1479&lt;&gt;"",ISNUMBER(L1479)),Q1479,"")</f>
        <v/>
      </c>
      <c r="AA1479">
        <f>IF(AND(Q1479&lt;&gt;"",ISNUMBER(M1479)),Q1479,"")</f>
        <v/>
      </c>
      <c r="AB1479">
        <f>IF(AND(Q1479&lt;&gt;"",ISNUMBER(K1479)),K1479,"")</f>
        <v/>
      </c>
      <c r="AC1479">
        <f>IF(AND(Q1479&lt;&gt;"",ISNUMBER(L1479)),L1479,"")</f>
        <v/>
      </c>
      <c r="AD1479">
        <f>IF(AND(Q1479&lt;&gt;"",ISNUMBER(M1479)),M1479,"")</f>
        <v/>
      </c>
    </row>
    <row r="1480">
      <c r="A1480" s="1" t="n"/>
      <c r="B1480" s="17" t="n"/>
      <c r="C1480" s="27" t="n"/>
      <c r="D1480" s="28" t="n"/>
      <c r="E1480" s="28" t="n"/>
      <c r="F1480" s="28" t="n"/>
      <c r="G1480" s="28" t="n"/>
      <c r="H1480" s="28" t="n"/>
      <c r="I1480" s="28" t="n"/>
      <c r="J1480" s="28" t="n"/>
      <c r="K1480" s="28" t="n"/>
      <c r="L1480" s="28" t="n"/>
      <c r="M1480" s="29" t="n"/>
      <c r="N1480" s="21" t="n"/>
      <c r="O1480" s="12">
        <f>IF(AND(B1480="",C1480=""),"",IF(NOT(ISNUMBER(B1480)),"Needs a date",IF(C1480="","Needs a client",IF(COUNTIF(Clients!$B$6:$B$105,C1480)=0,"Not on Clients",IF(COUNT(D1480:M1480)=0,"Nothing measured","")))))</f>
        <v/>
      </c>
      <c r="P1480" s="1">
        <f>IF(AND(O1480="",ISNUMBER(B1480)),INT(B1480),0)</f>
        <v/>
      </c>
      <c r="Q1480">
        <f>IF(AND(P1480&gt;0,C1480=Report!$C$5),P1480*10000+ROW(),"")</f>
        <v/>
      </c>
      <c r="R1480">
        <f>IF(AND(Q1480&lt;&gt;"",ISNUMBER(D1480)),Q1480,"")</f>
        <v/>
      </c>
      <c r="S1480">
        <f>IF(AND(Q1480&lt;&gt;"",ISNUMBER(E1480)),Q1480,"")</f>
        <v/>
      </c>
      <c r="T1480">
        <f>IF(AND(Q1480&lt;&gt;"",ISNUMBER(F1480)),Q1480,"")</f>
        <v/>
      </c>
      <c r="U1480">
        <f>IF(AND(Q1480&lt;&gt;"",ISNUMBER(G1480)),Q1480,"")</f>
        <v/>
      </c>
      <c r="V1480">
        <f>IF(AND(Q1480&lt;&gt;"",ISNUMBER(H1480)),Q1480,"")</f>
        <v/>
      </c>
      <c r="W1480">
        <f>IF(AND(Q1480&lt;&gt;"",ISNUMBER(I1480)),Q1480,"")</f>
        <v/>
      </c>
      <c r="X1480">
        <f>IF(AND(Q1480&lt;&gt;"",ISNUMBER(J1480)),Q1480,"")</f>
        <v/>
      </c>
      <c r="Y1480">
        <f>IF(AND(Q1480&lt;&gt;"",ISNUMBER(K1480)),Q1480,"")</f>
        <v/>
      </c>
      <c r="Z1480">
        <f>IF(AND(Q1480&lt;&gt;"",ISNUMBER(L1480)),Q1480,"")</f>
        <v/>
      </c>
      <c r="AA1480">
        <f>IF(AND(Q1480&lt;&gt;"",ISNUMBER(M1480)),Q1480,"")</f>
        <v/>
      </c>
      <c r="AB1480">
        <f>IF(AND(Q1480&lt;&gt;"",ISNUMBER(K1480)),K1480,"")</f>
        <v/>
      </c>
      <c r="AC1480">
        <f>IF(AND(Q1480&lt;&gt;"",ISNUMBER(L1480)),L1480,"")</f>
        <v/>
      </c>
      <c r="AD1480">
        <f>IF(AND(Q1480&lt;&gt;"",ISNUMBER(M1480)),M1480,"")</f>
        <v/>
      </c>
    </row>
    <row r="1481">
      <c r="A1481" s="1" t="n"/>
      <c r="B1481" s="17" t="n"/>
      <c r="C1481" s="27" t="n"/>
      <c r="D1481" s="28" t="n"/>
      <c r="E1481" s="28" t="n"/>
      <c r="F1481" s="28" t="n"/>
      <c r="G1481" s="28" t="n"/>
      <c r="H1481" s="28" t="n"/>
      <c r="I1481" s="28" t="n"/>
      <c r="J1481" s="28" t="n"/>
      <c r="K1481" s="28" t="n"/>
      <c r="L1481" s="28" t="n"/>
      <c r="M1481" s="29" t="n"/>
      <c r="N1481" s="21" t="n"/>
      <c r="O1481" s="12">
        <f>IF(AND(B1481="",C1481=""),"",IF(NOT(ISNUMBER(B1481)),"Needs a date",IF(C1481="","Needs a client",IF(COUNTIF(Clients!$B$6:$B$105,C1481)=0,"Not on Clients",IF(COUNT(D1481:M1481)=0,"Nothing measured","")))))</f>
        <v/>
      </c>
      <c r="P1481" s="1">
        <f>IF(AND(O1481="",ISNUMBER(B1481)),INT(B1481),0)</f>
        <v/>
      </c>
      <c r="Q1481">
        <f>IF(AND(P1481&gt;0,C1481=Report!$C$5),P1481*10000+ROW(),"")</f>
        <v/>
      </c>
      <c r="R1481">
        <f>IF(AND(Q1481&lt;&gt;"",ISNUMBER(D1481)),Q1481,"")</f>
        <v/>
      </c>
      <c r="S1481">
        <f>IF(AND(Q1481&lt;&gt;"",ISNUMBER(E1481)),Q1481,"")</f>
        <v/>
      </c>
      <c r="T1481">
        <f>IF(AND(Q1481&lt;&gt;"",ISNUMBER(F1481)),Q1481,"")</f>
        <v/>
      </c>
      <c r="U1481">
        <f>IF(AND(Q1481&lt;&gt;"",ISNUMBER(G1481)),Q1481,"")</f>
        <v/>
      </c>
      <c r="V1481">
        <f>IF(AND(Q1481&lt;&gt;"",ISNUMBER(H1481)),Q1481,"")</f>
        <v/>
      </c>
      <c r="W1481">
        <f>IF(AND(Q1481&lt;&gt;"",ISNUMBER(I1481)),Q1481,"")</f>
        <v/>
      </c>
      <c r="X1481">
        <f>IF(AND(Q1481&lt;&gt;"",ISNUMBER(J1481)),Q1481,"")</f>
        <v/>
      </c>
      <c r="Y1481">
        <f>IF(AND(Q1481&lt;&gt;"",ISNUMBER(K1481)),Q1481,"")</f>
        <v/>
      </c>
      <c r="Z1481">
        <f>IF(AND(Q1481&lt;&gt;"",ISNUMBER(L1481)),Q1481,"")</f>
        <v/>
      </c>
      <c r="AA1481">
        <f>IF(AND(Q1481&lt;&gt;"",ISNUMBER(M1481)),Q1481,"")</f>
        <v/>
      </c>
      <c r="AB1481">
        <f>IF(AND(Q1481&lt;&gt;"",ISNUMBER(K1481)),K1481,"")</f>
        <v/>
      </c>
      <c r="AC1481">
        <f>IF(AND(Q1481&lt;&gt;"",ISNUMBER(L1481)),L1481,"")</f>
        <v/>
      </c>
      <c r="AD1481">
        <f>IF(AND(Q1481&lt;&gt;"",ISNUMBER(M1481)),M1481,"")</f>
        <v/>
      </c>
    </row>
    <row r="1482">
      <c r="A1482" s="1" t="n"/>
      <c r="B1482" s="17" t="n"/>
      <c r="C1482" s="27" t="n"/>
      <c r="D1482" s="28" t="n"/>
      <c r="E1482" s="28" t="n"/>
      <c r="F1482" s="28" t="n"/>
      <c r="G1482" s="28" t="n"/>
      <c r="H1482" s="28" t="n"/>
      <c r="I1482" s="28" t="n"/>
      <c r="J1482" s="28" t="n"/>
      <c r="K1482" s="28" t="n"/>
      <c r="L1482" s="28" t="n"/>
      <c r="M1482" s="29" t="n"/>
      <c r="N1482" s="21" t="n"/>
      <c r="O1482" s="12">
        <f>IF(AND(B1482="",C1482=""),"",IF(NOT(ISNUMBER(B1482)),"Needs a date",IF(C1482="","Needs a client",IF(COUNTIF(Clients!$B$6:$B$105,C1482)=0,"Not on Clients",IF(COUNT(D1482:M1482)=0,"Nothing measured","")))))</f>
        <v/>
      </c>
      <c r="P1482" s="1">
        <f>IF(AND(O1482="",ISNUMBER(B1482)),INT(B1482),0)</f>
        <v/>
      </c>
      <c r="Q1482">
        <f>IF(AND(P1482&gt;0,C1482=Report!$C$5),P1482*10000+ROW(),"")</f>
        <v/>
      </c>
      <c r="R1482">
        <f>IF(AND(Q1482&lt;&gt;"",ISNUMBER(D1482)),Q1482,"")</f>
        <v/>
      </c>
      <c r="S1482">
        <f>IF(AND(Q1482&lt;&gt;"",ISNUMBER(E1482)),Q1482,"")</f>
        <v/>
      </c>
      <c r="T1482">
        <f>IF(AND(Q1482&lt;&gt;"",ISNUMBER(F1482)),Q1482,"")</f>
        <v/>
      </c>
      <c r="U1482">
        <f>IF(AND(Q1482&lt;&gt;"",ISNUMBER(G1482)),Q1482,"")</f>
        <v/>
      </c>
      <c r="V1482">
        <f>IF(AND(Q1482&lt;&gt;"",ISNUMBER(H1482)),Q1482,"")</f>
        <v/>
      </c>
      <c r="W1482">
        <f>IF(AND(Q1482&lt;&gt;"",ISNUMBER(I1482)),Q1482,"")</f>
        <v/>
      </c>
      <c r="X1482">
        <f>IF(AND(Q1482&lt;&gt;"",ISNUMBER(J1482)),Q1482,"")</f>
        <v/>
      </c>
      <c r="Y1482">
        <f>IF(AND(Q1482&lt;&gt;"",ISNUMBER(K1482)),Q1482,"")</f>
        <v/>
      </c>
      <c r="Z1482">
        <f>IF(AND(Q1482&lt;&gt;"",ISNUMBER(L1482)),Q1482,"")</f>
        <v/>
      </c>
      <c r="AA1482">
        <f>IF(AND(Q1482&lt;&gt;"",ISNUMBER(M1482)),Q1482,"")</f>
        <v/>
      </c>
      <c r="AB1482">
        <f>IF(AND(Q1482&lt;&gt;"",ISNUMBER(K1482)),K1482,"")</f>
        <v/>
      </c>
      <c r="AC1482">
        <f>IF(AND(Q1482&lt;&gt;"",ISNUMBER(L1482)),L1482,"")</f>
        <v/>
      </c>
      <c r="AD1482">
        <f>IF(AND(Q1482&lt;&gt;"",ISNUMBER(M1482)),M1482,"")</f>
        <v/>
      </c>
    </row>
    <row r="1483">
      <c r="A1483" s="1" t="n"/>
      <c r="B1483" s="17" t="n"/>
      <c r="C1483" s="27" t="n"/>
      <c r="D1483" s="28" t="n"/>
      <c r="E1483" s="28" t="n"/>
      <c r="F1483" s="28" t="n"/>
      <c r="G1483" s="28" t="n"/>
      <c r="H1483" s="28" t="n"/>
      <c r="I1483" s="28" t="n"/>
      <c r="J1483" s="28" t="n"/>
      <c r="K1483" s="28" t="n"/>
      <c r="L1483" s="28" t="n"/>
      <c r="M1483" s="29" t="n"/>
      <c r="N1483" s="21" t="n"/>
      <c r="O1483" s="12">
        <f>IF(AND(B1483="",C1483=""),"",IF(NOT(ISNUMBER(B1483)),"Needs a date",IF(C1483="","Needs a client",IF(COUNTIF(Clients!$B$6:$B$105,C1483)=0,"Not on Clients",IF(COUNT(D1483:M1483)=0,"Nothing measured","")))))</f>
        <v/>
      </c>
      <c r="P1483" s="1">
        <f>IF(AND(O1483="",ISNUMBER(B1483)),INT(B1483),0)</f>
        <v/>
      </c>
      <c r="Q1483">
        <f>IF(AND(P1483&gt;0,C1483=Report!$C$5),P1483*10000+ROW(),"")</f>
        <v/>
      </c>
      <c r="R1483">
        <f>IF(AND(Q1483&lt;&gt;"",ISNUMBER(D1483)),Q1483,"")</f>
        <v/>
      </c>
      <c r="S1483">
        <f>IF(AND(Q1483&lt;&gt;"",ISNUMBER(E1483)),Q1483,"")</f>
        <v/>
      </c>
      <c r="T1483">
        <f>IF(AND(Q1483&lt;&gt;"",ISNUMBER(F1483)),Q1483,"")</f>
        <v/>
      </c>
      <c r="U1483">
        <f>IF(AND(Q1483&lt;&gt;"",ISNUMBER(G1483)),Q1483,"")</f>
        <v/>
      </c>
      <c r="V1483">
        <f>IF(AND(Q1483&lt;&gt;"",ISNUMBER(H1483)),Q1483,"")</f>
        <v/>
      </c>
      <c r="W1483">
        <f>IF(AND(Q1483&lt;&gt;"",ISNUMBER(I1483)),Q1483,"")</f>
        <v/>
      </c>
      <c r="X1483">
        <f>IF(AND(Q1483&lt;&gt;"",ISNUMBER(J1483)),Q1483,"")</f>
        <v/>
      </c>
      <c r="Y1483">
        <f>IF(AND(Q1483&lt;&gt;"",ISNUMBER(K1483)),Q1483,"")</f>
        <v/>
      </c>
      <c r="Z1483">
        <f>IF(AND(Q1483&lt;&gt;"",ISNUMBER(L1483)),Q1483,"")</f>
        <v/>
      </c>
      <c r="AA1483">
        <f>IF(AND(Q1483&lt;&gt;"",ISNUMBER(M1483)),Q1483,"")</f>
        <v/>
      </c>
      <c r="AB1483">
        <f>IF(AND(Q1483&lt;&gt;"",ISNUMBER(K1483)),K1483,"")</f>
        <v/>
      </c>
      <c r="AC1483">
        <f>IF(AND(Q1483&lt;&gt;"",ISNUMBER(L1483)),L1483,"")</f>
        <v/>
      </c>
      <c r="AD1483">
        <f>IF(AND(Q1483&lt;&gt;"",ISNUMBER(M1483)),M1483,"")</f>
        <v/>
      </c>
    </row>
    <row r="1484">
      <c r="A1484" s="1" t="n"/>
      <c r="B1484" s="17" t="n"/>
      <c r="C1484" s="27" t="n"/>
      <c r="D1484" s="28" t="n"/>
      <c r="E1484" s="28" t="n"/>
      <c r="F1484" s="28" t="n"/>
      <c r="G1484" s="28" t="n"/>
      <c r="H1484" s="28" t="n"/>
      <c r="I1484" s="28" t="n"/>
      <c r="J1484" s="28" t="n"/>
      <c r="K1484" s="28" t="n"/>
      <c r="L1484" s="28" t="n"/>
      <c r="M1484" s="29" t="n"/>
      <c r="N1484" s="21" t="n"/>
      <c r="O1484" s="12">
        <f>IF(AND(B1484="",C1484=""),"",IF(NOT(ISNUMBER(B1484)),"Needs a date",IF(C1484="","Needs a client",IF(COUNTIF(Clients!$B$6:$B$105,C1484)=0,"Not on Clients",IF(COUNT(D1484:M1484)=0,"Nothing measured","")))))</f>
        <v/>
      </c>
      <c r="P1484" s="1">
        <f>IF(AND(O1484="",ISNUMBER(B1484)),INT(B1484),0)</f>
        <v/>
      </c>
      <c r="Q1484">
        <f>IF(AND(P1484&gt;0,C1484=Report!$C$5),P1484*10000+ROW(),"")</f>
        <v/>
      </c>
      <c r="R1484">
        <f>IF(AND(Q1484&lt;&gt;"",ISNUMBER(D1484)),Q1484,"")</f>
        <v/>
      </c>
      <c r="S1484">
        <f>IF(AND(Q1484&lt;&gt;"",ISNUMBER(E1484)),Q1484,"")</f>
        <v/>
      </c>
      <c r="T1484">
        <f>IF(AND(Q1484&lt;&gt;"",ISNUMBER(F1484)),Q1484,"")</f>
        <v/>
      </c>
      <c r="U1484">
        <f>IF(AND(Q1484&lt;&gt;"",ISNUMBER(G1484)),Q1484,"")</f>
        <v/>
      </c>
      <c r="V1484">
        <f>IF(AND(Q1484&lt;&gt;"",ISNUMBER(H1484)),Q1484,"")</f>
        <v/>
      </c>
      <c r="W1484">
        <f>IF(AND(Q1484&lt;&gt;"",ISNUMBER(I1484)),Q1484,"")</f>
        <v/>
      </c>
      <c r="X1484">
        <f>IF(AND(Q1484&lt;&gt;"",ISNUMBER(J1484)),Q1484,"")</f>
        <v/>
      </c>
      <c r="Y1484">
        <f>IF(AND(Q1484&lt;&gt;"",ISNUMBER(K1484)),Q1484,"")</f>
        <v/>
      </c>
      <c r="Z1484">
        <f>IF(AND(Q1484&lt;&gt;"",ISNUMBER(L1484)),Q1484,"")</f>
        <v/>
      </c>
      <c r="AA1484">
        <f>IF(AND(Q1484&lt;&gt;"",ISNUMBER(M1484)),Q1484,"")</f>
        <v/>
      </c>
      <c r="AB1484">
        <f>IF(AND(Q1484&lt;&gt;"",ISNUMBER(K1484)),K1484,"")</f>
        <v/>
      </c>
      <c r="AC1484">
        <f>IF(AND(Q1484&lt;&gt;"",ISNUMBER(L1484)),L1484,"")</f>
        <v/>
      </c>
      <c r="AD1484">
        <f>IF(AND(Q1484&lt;&gt;"",ISNUMBER(M1484)),M1484,"")</f>
        <v/>
      </c>
    </row>
    <row r="1485">
      <c r="A1485" s="1" t="n"/>
      <c r="B1485" s="17" t="n"/>
      <c r="C1485" s="27" t="n"/>
      <c r="D1485" s="28" t="n"/>
      <c r="E1485" s="28" t="n"/>
      <c r="F1485" s="28" t="n"/>
      <c r="G1485" s="28" t="n"/>
      <c r="H1485" s="28" t="n"/>
      <c r="I1485" s="28" t="n"/>
      <c r="J1485" s="28" t="n"/>
      <c r="K1485" s="28" t="n"/>
      <c r="L1485" s="28" t="n"/>
      <c r="M1485" s="29" t="n"/>
      <c r="N1485" s="21" t="n"/>
      <c r="O1485" s="12">
        <f>IF(AND(B1485="",C1485=""),"",IF(NOT(ISNUMBER(B1485)),"Needs a date",IF(C1485="","Needs a client",IF(COUNTIF(Clients!$B$6:$B$105,C1485)=0,"Not on Clients",IF(COUNT(D1485:M1485)=0,"Nothing measured","")))))</f>
        <v/>
      </c>
      <c r="P1485" s="1">
        <f>IF(AND(O1485="",ISNUMBER(B1485)),INT(B1485),0)</f>
        <v/>
      </c>
      <c r="Q1485">
        <f>IF(AND(P1485&gt;0,C1485=Report!$C$5),P1485*10000+ROW(),"")</f>
        <v/>
      </c>
      <c r="R1485">
        <f>IF(AND(Q1485&lt;&gt;"",ISNUMBER(D1485)),Q1485,"")</f>
        <v/>
      </c>
      <c r="S1485">
        <f>IF(AND(Q1485&lt;&gt;"",ISNUMBER(E1485)),Q1485,"")</f>
        <v/>
      </c>
      <c r="T1485">
        <f>IF(AND(Q1485&lt;&gt;"",ISNUMBER(F1485)),Q1485,"")</f>
        <v/>
      </c>
      <c r="U1485">
        <f>IF(AND(Q1485&lt;&gt;"",ISNUMBER(G1485)),Q1485,"")</f>
        <v/>
      </c>
      <c r="V1485">
        <f>IF(AND(Q1485&lt;&gt;"",ISNUMBER(H1485)),Q1485,"")</f>
        <v/>
      </c>
      <c r="W1485">
        <f>IF(AND(Q1485&lt;&gt;"",ISNUMBER(I1485)),Q1485,"")</f>
        <v/>
      </c>
      <c r="X1485">
        <f>IF(AND(Q1485&lt;&gt;"",ISNUMBER(J1485)),Q1485,"")</f>
        <v/>
      </c>
      <c r="Y1485">
        <f>IF(AND(Q1485&lt;&gt;"",ISNUMBER(K1485)),Q1485,"")</f>
        <v/>
      </c>
      <c r="Z1485">
        <f>IF(AND(Q1485&lt;&gt;"",ISNUMBER(L1485)),Q1485,"")</f>
        <v/>
      </c>
      <c r="AA1485">
        <f>IF(AND(Q1485&lt;&gt;"",ISNUMBER(M1485)),Q1485,"")</f>
        <v/>
      </c>
      <c r="AB1485">
        <f>IF(AND(Q1485&lt;&gt;"",ISNUMBER(K1485)),K1485,"")</f>
        <v/>
      </c>
      <c r="AC1485">
        <f>IF(AND(Q1485&lt;&gt;"",ISNUMBER(L1485)),L1485,"")</f>
        <v/>
      </c>
      <c r="AD1485">
        <f>IF(AND(Q1485&lt;&gt;"",ISNUMBER(M1485)),M1485,"")</f>
        <v/>
      </c>
    </row>
    <row r="1486">
      <c r="A1486" s="1" t="n"/>
      <c r="B1486" s="17" t="n"/>
      <c r="C1486" s="27" t="n"/>
      <c r="D1486" s="28" t="n"/>
      <c r="E1486" s="28" t="n"/>
      <c r="F1486" s="28" t="n"/>
      <c r="G1486" s="28" t="n"/>
      <c r="H1486" s="28" t="n"/>
      <c r="I1486" s="28" t="n"/>
      <c r="J1486" s="28" t="n"/>
      <c r="K1486" s="28" t="n"/>
      <c r="L1486" s="28" t="n"/>
      <c r="M1486" s="29" t="n"/>
      <c r="N1486" s="21" t="n"/>
      <c r="O1486" s="12">
        <f>IF(AND(B1486="",C1486=""),"",IF(NOT(ISNUMBER(B1486)),"Needs a date",IF(C1486="","Needs a client",IF(COUNTIF(Clients!$B$6:$B$105,C1486)=0,"Not on Clients",IF(COUNT(D1486:M1486)=0,"Nothing measured","")))))</f>
        <v/>
      </c>
      <c r="P1486" s="1">
        <f>IF(AND(O1486="",ISNUMBER(B1486)),INT(B1486),0)</f>
        <v/>
      </c>
      <c r="Q1486">
        <f>IF(AND(P1486&gt;0,C1486=Report!$C$5),P1486*10000+ROW(),"")</f>
        <v/>
      </c>
      <c r="R1486">
        <f>IF(AND(Q1486&lt;&gt;"",ISNUMBER(D1486)),Q1486,"")</f>
        <v/>
      </c>
      <c r="S1486">
        <f>IF(AND(Q1486&lt;&gt;"",ISNUMBER(E1486)),Q1486,"")</f>
        <v/>
      </c>
      <c r="T1486">
        <f>IF(AND(Q1486&lt;&gt;"",ISNUMBER(F1486)),Q1486,"")</f>
        <v/>
      </c>
      <c r="U1486">
        <f>IF(AND(Q1486&lt;&gt;"",ISNUMBER(G1486)),Q1486,"")</f>
        <v/>
      </c>
      <c r="V1486">
        <f>IF(AND(Q1486&lt;&gt;"",ISNUMBER(H1486)),Q1486,"")</f>
        <v/>
      </c>
      <c r="W1486">
        <f>IF(AND(Q1486&lt;&gt;"",ISNUMBER(I1486)),Q1486,"")</f>
        <v/>
      </c>
      <c r="X1486">
        <f>IF(AND(Q1486&lt;&gt;"",ISNUMBER(J1486)),Q1486,"")</f>
        <v/>
      </c>
      <c r="Y1486">
        <f>IF(AND(Q1486&lt;&gt;"",ISNUMBER(K1486)),Q1486,"")</f>
        <v/>
      </c>
      <c r="Z1486">
        <f>IF(AND(Q1486&lt;&gt;"",ISNUMBER(L1486)),Q1486,"")</f>
        <v/>
      </c>
      <c r="AA1486">
        <f>IF(AND(Q1486&lt;&gt;"",ISNUMBER(M1486)),Q1486,"")</f>
        <v/>
      </c>
      <c r="AB1486">
        <f>IF(AND(Q1486&lt;&gt;"",ISNUMBER(K1486)),K1486,"")</f>
        <v/>
      </c>
      <c r="AC1486">
        <f>IF(AND(Q1486&lt;&gt;"",ISNUMBER(L1486)),L1486,"")</f>
        <v/>
      </c>
      <c r="AD1486">
        <f>IF(AND(Q1486&lt;&gt;"",ISNUMBER(M1486)),M1486,"")</f>
        <v/>
      </c>
    </row>
    <row r="1487">
      <c r="A1487" s="1" t="n"/>
      <c r="B1487" s="17" t="n"/>
      <c r="C1487" s="27" t="n"/>
      <c r="D1487" s="28" t="n"/>
      <c r="E1487" s="28" t="n"/>
      <c r="F1487" s="28" t="n"/>
      <c r="G1487" s="28" t="n"/>
      <c r="H1487" s="28" t="n"/>
      <c r="I1487" s="28" t="n"/>
      <c r="J1487" s="28" t="n"/>
      <c r="K1487" s="28" t="n"/>
      <c r="L1487" s="28" t="n"/>
      <c r="M1487" s="29" t="n"/>
      <c r="N1487" s="21" t="n"/>
      <c r="O1487" s="12">
        <f>IF(AND(B1487="",C1487=""),"",IF(NOT(ISNUMBER(B1487)),"Needs a date",IF(C1487="","Needs a client",IF(COUNTIF(Clients!$B$6:$B$105,C1487)=0,"Not on Clients",IF(COUNT(D1487:M1487)=0,"Nothing measured","")))))</f>
        <v/>
      </c>
      <c r="P1487" s="1">
        <f>IF(AND(O1487="",ISNUMBER(B1487)),INT(B1487),0)</f>
        <v/>
      </c>
      <c r="Q1487">
        <f>IF(AND(P1487&gt;0,C1487=Report!$C$5),P1487*10000+ROW(),"")</f>
        <v/>
      </c>
      <c r="R1487">
        <f>IF(AND(Q1487&lt;&gt;"",ISNUMBER(D1487)),Q1487,"")</f>
        <v/>
      </c>
      <c r="S1487">
        <f>IF(AND(Q1487&lt;&gt;"",ISNUMBER(E1487)),Q1487,"")</f>
        <v/>
      </c>
      <c r="T1487">
        <f>IF(AND(Q1487&lt;&gt;"",ISNUMBER(F1487)),Q1487,"")</f>
        <v/>
      </c>
      <c r="U1487">
        <f>IF(AND(Q1487&lt;&gt;"",ISNUMBER(G1487)),Q1487,"")</f>
        <v/>
      </c>
      <c r="V1487">
        <f>IF(AND(Q1487&lt;&gt;"",ISNUMBER(H1487)),Q1487,"")</f>
        <v/>
      </c>
      <c r="W1487">
        <f>IF(AND(Q1487&lt;&gt;"",ISNUMBER(I1487)),Q1487,"")</f>
        <v/>
      </c>
      <c r="X1487">
        <f>IF(AND(Q1487&lt;&gt;"",ISNUMBER(J1487)),Q1487,"")</f>
        <v/>
      </c>
      <c r="Y1487">
        <f>IF(AND(Q1487&lt;&gt;"",ISNUMBER(K1487)),Q1487,"")</f>
        <v/>
      </c>
      <c r="Z1487">
        <f>IF(AND(Q1487&lt;&gt;"",ISNUMBER(L1487)),Q1487,"")</f>
        <v/>
      </c>
      <c r="AA1487">
        <f>IF(AND(Q1487&lt;&gt;"",ISNUMBER(M1487)),Q1487,"")</f>
        <v/>
      </c>
      <c r="AB1487">
        <f>IF(AND(Q1487&lt;&gt;"",ISNUMBER(K1487)),K1487,"")</f>
        <v/>
      </c>
      <c r="AC1487">
        <f>IF(AND(Q1487&lt;&gt;"",ISNUMBER(L1487)),L1487,"")</f>
        <v/>
      </c>
      <c r="AD1487">
        <f>IF(AND(Q1487&lt;&gt;"",ISNUMBER(M1487)),M1487,"")</f>
        <v/>
      </c>
    </row>
    <row r="1488">
      <c r="A1488" s="1" t="n"/>
      <c r="B1488" s="17" t="n"/>
      <c r="C1488" s="27" t="n"/>
      <c r="D1488" s="28" t="n"/>
      <c r="E1488" s="28" t="n"/>
      <c r="F1488" s="28" t="n"/>
      <c r="G1488" s="28" t="n"/>
      <c r="H1488" s="28" t="n"/>
      <c r="I1488" s="28" t="n"/>
      <c r="J1488" s="28" t="n"/>
      <c r="K1488" s="28" t="n"/>
      <c r="L1488" s="28" t="n"/>
      <c r="M1488" s="29" t="n"/>
      <c r="N1488" s="21" t="n"/>
      <c r="O1488" s="12">
        <f>IF(AND(B1488="",C1488=""),"",IF(NOT(ISNUMBER(B1488)),"Needs a date",IF(C1488="","Needs a client",IF(COUNTIF(Clients!$B$6:$B$105,C1488)=0,"Not on Clients",IF(COUNT(D1488:M1488)=0,"Nothing measured","")))))</f>
        <v/>
      </c>
      <c r="P1488" s="1">
        <f>IF(AND(O1488="",ISNUMBER(B1488)),INT(B1488),0)</f>
        <v/>
      </c>
      <c r="Q1488">
        <f>IF(AND(P1488&gt;0,C1488=Report!$C$5),P1488*10000+ROW(),"")</f>
        <v/>
      </c>
      <c r="R1488">
        <f>IF(AND(Q1488&lt;&gt;"",ISNUMBER(D1488)),Q1488,"")</f>
        <v/>
      </c>
      <c r="S1488">
        <f>IF(AND(Q1488&lt;&gt;"",ISNUMBER(E1488)),Q1488,"")</f>
        <v/>
      </c>
      <c r="T1488">
        <f>IF(AND(Q1488&lt;&gt;"",ISNUMBER(F1488)),Q1488,"")</f>
        <v/>
      </c>
      <c r="U1488">
        <f>IF(AND(Q1488&lt;&gt;"",ISNUMBER(G1488)),Q1488,"")</f>
        <v/>
      </c>
      <c r="V1488">
        <f>IF(AND(Q1488&lt;&gt;"",ISNUMBER(H1488)),Q1488,"")</f>
        <v/>
      </c>
      <c r="W1488">
        <f>IF(AND(Q1488&lt;&gt;"",ISNUMBER(I1488)),Q1488,"")</f>
        <v/>
      </c>
      <c r="X1488">
        <f>IF(AND(Q1488&lt;&gt;"",ISNUMBER(J1488)),Q1488,"")</f>
        <v/>
      </c>
      <c r="Y1488">
        <f>IF(AND(Q1488&lt;&gt;"",ISNUMBER(K1488)),Q1488,"")</f>
        <v/>
      </c>
      <c r="Z1488">
        <f>IF(AND(Q1488&lt;&gt;"",ISNUMBER(L1488)),Q1488,"")</f>
        <v/>
      </c>
      <c r="AA1488">
        <f>IF(AND(Q1488&lt;&gt;"",ISNUMBER(M1488)),Q1488,"")</f>
        <v/>
      </c>
      <c r="AB1488">
        <f>IF(AND(Q1488&lt;&gt;"",ISNUMBER(K1488)),K1488,"")</f>
        <v/>
      </c>
      <c r="AC1488">
        <f>IF(AND(Q1488&lt;&gt;"",ISNUMBER(L1488)),L1488,"")</f>
        <v/>
      </c>
      <c r="AD1488">
        <f>IF(AND(Q1488&lt;&gt;"",ISNUMBER(M1488)),M1488,"")</f>
        <v/>
      </c>
    </row>
    <row r="1489">
      <c r="A1489" s="1" t="n"/>
      <c r="B1489" s="17" t="n"/>
      <c r="C1489" s="27" t="n"/>
      <c r="D1489" s="28" t="n"/>
      <c r="E1489" s="28" t="n"/>
      <c r="F1489" s="28" t="n"/>
      <c r="G1489" s="28" t="n"/>
      <c r="H1489" s="28" t="n"/>
      <c r="I1489" s="28" t="n"/>
      <c r="J1489" s="28" t="n"/>
      <c r="K1489" s="28" t="n"/>
      <c r="L1489" s="28" t="n"/>
      <c r="M1489" s="29" t="n"/>
      <c r="N1489" s="21" t="n"/>
      <c r="O1489" s="12">
        <f>IF(AND(B1489="",C1489=""),"",IF(NOT(ISNUMBER(B1489)),"Needs a date",IF(C1489="","Needs a client",IF(COUNTIF(Clients!$B$6:$B$105,C1489)=0,"Not on Clients",IF(COUNT(D1489:M1489)=0,"Nothing measured","")))))</f>
        <v/>
      </c>
      <c r="P1489" s="1">
        <f>IF(AND(O1489="",ISNUMBER(B1489)),INT(B1489),0)</f>
        <v/>
      </c>
      <c r="Q1489">
        <f>IF(AND(P1489&gt;0,C1489=Report!$C$5),P1489*10000+ROW(),"")</f>
        <v/>
      </c>
      <c r="R1489">
        <f>IF(AND(Q1489&lt;&gt;"",ISNUMBER(D1489)),Q1489,"")</f>
        <v/>
      </c>
      <c r="S1489">
        <f>IF(AND(Q1489&lt;&gt;"",ISNUMBER(E1489)),Q1489,"")</f>
        <v/>
      </c>
      <c r="T1489">
        <f>IF(AND(Q1489&lt;&gt;"",ISNUMBER(F1489)),Q1489,"")</f>
        <v/>
      </c>
      <c r="U1489">
        <f>IF(AND(Q1489&lt;&gt;"",ISNUMBER(G1489)),Q1489,"")</f>
        <v/>
      </c>
      <c r="V1489">
        <f>IF(AND(Q1489&lt;&gt;"",ISNUMBER(H1489)),Q1489,"")</f>
        <v/>
      </c>
      <c r="W1489">
        <f>IF(AND(Q1489&lt;&gt;"",ISNUMBER(I1489)),Q1489,"")</f>
        <v/>
      </c>
      <c r="X1489">
        <f>IF(AND(Q1489&lt;&gt;"",ISNUMBER(J1489)),Q1489,"")</f>
        <v/>
      </c>
      <c r="Y1489">
        <f>IF(AND(Q1489&lt;&gt;"",ISNUMBER(K1489)),Q1489,"")</f>
        <v/>
      </c>
      <c r="Z1489">
        <f>IF(AND(Q1489&lt;&gt;"",ISNUMBER(L1489)),Q1489,"")</f>
        <v/>
      </c>
      <c r="AA1489">
        <f>IF(AND(Q1489&lt;&gt;"",ISNUMBER(M1489)),Q1489,"")</f>
        <v/>
      </c>
      <c r="AB1489">
        <f>IF(AND(Q1489&lt;&gt;"",ISNUMBER(K1489)),K1489,"")</f>
        <v/>
      </c>
      <c r="AC1489">
        <f>IF(AND(Q1489&lt;&gt;"",ISNUMBER(L1489)),L1489,"")</f>
        <v/>
      </c>
      <c r="AD1489">
        <f>IF(AND(Q1489&lt;&gt;"",ISNUMBER(M1489)),M1489,"")</f>
        <v/>
      </c>
    </row>
    <row r="1490">
      <c r="A1490" s="1" t="n"/>
      <c r="B1490" s="17" t="n"/>
      <c r="C1490" s="27" t="n"/>
      <c r="D1490" s="28" t="n"/>
      <c r="E1490" s="28" t="n"/>
      <c r="F1490" s="28" t="n"/>
      <c r="G1490" s="28" t="n"/>
      <c r="H1490" s="28" t="n"/>
      <c r="I1490" s="28" t="n"/>
      <c r="J1490" s="28" t="n"/>
      <c r="K1490" s="28" t="n"/>
      <c r="L1490" s="28" t="n"/>
      <c r="M1490" s="29" t="n"/>
      <c r="N1490" s="21" t="n"/>
      <c r="O1490" s="12">
        <f>IF(AND(B1490="",C1490=""),"",IF(NOT(ISNUMBER(B1490)),"Needs a date",IF(C1490="","Needs a client",IF(COUNTIF(Clients!$B$6:$B$105,C1490)=0,"Not on Clients",IF(COUNT(D1490:M1490)=0,"Nothing measured","")))))</f>
        <v/>
      </c>
      <c r="P1490" s="1">
        <f>IF(AND(O1490="",ISNUMBER(B1490)),INT(B1490),0)</f>
        <v/>
      </c>
      <c r="Q1490">
        <f>IF(AND(P1490&gt;0,C1490=Report!$C$5),P1490*10000+ROW(),"")</f>
        <v/>
      </c>
      <c r="R1490">
        <f>IF(AND(Q1490&lt;&gt;"",ISNUMBER(D1490)),Q1490,"")</f>
        <v/>
      </c>
      <c r="S1490">
        <f>IF(AND(Q1490&lt;&gt;"",ISNUMBER(E1490)),Q1490,"")</f>
        <v/>
      </c>
      <c r="T1490">
        <f>IF(AND(Q1490&lt;&gt;"",ISNUMBER(F1490)),Q1490,"")</f>
        <v/>
      </c>
      <c r="U1490">
        <f>IF(AND(Q1490&lt;&gt;"",ISNUMBER(G1490)),Q1490,"")</f>
        <v/>
      </c>
      <c r="V1490">
        <f>IF(AND(Q1490&lt;&gt;"",ISNUMBER(H1490)),Q1490,"")</f>
        <v/>
      </c>
      <c r="W1490">
        <f>IF(AND(Q1490&lt;&gt;"",ISNUMBER(I1490)),Q1490,"")</f>
        <v/>
      </c>
      <c r="X1490">
        <f>IF(AND(Q1490&lt;&gt;"",ISNUMBER(J1490)),Q1490,"")</f>
        <v/>
      </c>
      <c r="Y1490">
        <f>IF(AND(Q1490&lt;&gt;"",ISNUMBER(K1490)),Q1490,"")</f>
        <v/>
      </c>
      <c r="Z1490">
        <f>IF(AND(Q1490&lt;&gt;"",ISNUMBER(L1490)),Q1490,"")</f>
        <v/>
      </c>
      <c r="AA1490">
        <f>IF(AND(Q1490&lt;&gt;"",ISNUMBER(M1490)),Q1490,"")</f>
        <v/>
      </c>
      <c r="AB1490">
        <f>IF(AND(Q1490&lt;&gt;"",ISNUMBER(K1490)),K1490,"")</f>
        <v/>
      </c>
      <c r="AC1490">
        <f>IF(AND(Q1490&lt;&gt;"",ISNUMBER(L1490)),L1490,"")</f>
        <v/>
      </c>
      <c r="AD1490">
        <f>IF(AND(Q1490&lt;&gt;"",ISNUMBER(M1490)),M1490,"")</f>
        <v/>
      </c>
    </row>
    <row r="1491">
      <c r="A1491" s="1" t="n"/>
      <c r="B1491" s="17" t="n"/>
      <c r="C1491" s="27" t="n"/>
      <c r="D1491" s="28" t="n"/>
      <c r="E1491" s="28" t="n"/>
      <c r="F1491" s="28" t="n"/>
      <c r="G1491" s="28" t="n"/>
      <c r="H1491" s="28" t="n"/>
      <c r="I1491" s="28" t="n"/>
      <c r="J1491" s="28" t="n"/>
      <c r="K1491" s="28" t="n"/>
      <c r="L1491" s="28" t="n"/>
      <c r="M1491" s="29" t="n"/>
      <c r="N1491" s="21" t="n"/>
      <c r="O1491" s="12">
        <f>IF(AND(B1491="",C1491=""),"",IF(NOT(ISNUMBER(B1491)),"Needs a date",IF(C1491="","Needs a client",IF(COUNTIF(Clients!$B$6:$B$105,C1491)=0,"Not on Clients",IF(COUNT(D1491:M1491)=0,"Nothing measured","")))))</f>
        <v/>
      </c>
      <c r="P1491" s="1">
        <f>IF(AND(O1491="",ISNUMBER(B1491)),INT(B1491),0)</f>
        <v/>
      </c>
      <c r="Q1491">
        <f>IF(AND(P1491&gt;0,C1491=Report!$C$5),P1491*10000+ROW(),"")</f>
        <v/>
      </c>
      <c r="R1491">
        <f>IF(AND(Q1491&lt;&gt;"",ISNUMBER(D1491)),Q1491,"")</f>
        <v/>
      </c>
      <c r="S1491">
        <f>IF(AND(Q1491&lt;&gt;"",ISNUMBER(E1491)),Q1491,"")</f>
        <v/>
      </c>
      <c r="T1491">
        <f>IF(AND(Q1491&lt;&gt;"",ISNUMBER(F1491)),Q1491,"")</f>
        <v/>
      </c>
      <c r="U1491">
        <f>IF(AND(Q1491&lt;&gt;"",ISNUMBER(G1491)),Q1491,"")</f>
        <v/>
      </c>
      <c r="V1491">
        <f>IF(AND(Q1491&lt;&gt;"",ISNUMBER(H1491)),Q1491,"")</f>
        <v/>
      </c>
      <c r="W1491">
        <f>IF(AND(Q1491&lt;&gt;"",ISNUMBER(I1491)),Q1491,"")</f>
        <v/>
      </c>
      <c r="X1491">
        <f>IF(AND(Q1491&lt;&gt;"",ISNUMBER(J1491)),Q1491,"")</f>
        <v/>
      </c>
      <c r="Y1491">
        <f>IF(AND(Q1491&lt;&gt;"",ISNUMBER(K1491)),Q1491,"")</f>
        <v/>
      </c>
      <c r="Z1491">
        <f>IF(AND(Q1491&lt;&gt;"",ISNUMBER(L1491)),Q1491,"")</f>
        <v/>
      </c>
      <c r="AA1491">
        <f>IF(AND(Q1491&lt;&gt;"",ISNUMBER(M1491)),Q1491,"")</f>
        <v/>
      </c>
      <c r="AB1491">
        <f>IF(AND(Q1491&lt;&gt;"",ISNUMBER(K1491)),K1491,"")</f>
        <v/>
      </c>
      <c r="AC1491">
        <f>IF(AND(Q1491&lt;&gt;"",ISNUMBER(L1491)),L1491,"")</f>
        <v/>
      </c>
      <c r="AD1491">
        <f>IF(AND(Q1491&lt;&gt;"",ISNUMBER(M1491)),M1491,"")</f>
        <v/>
      </c>
    </row>
    <row r="1492">
      <c r="A1492" s="1" t="n"/>
      <c r="B1492" s="17" t="n"/>
      <c r="C1492" s="27" t="n"/>
      <c r="D1492" s="28" t="n"/>
      <c r="E1492" s="28" t="n"/>
      <c r="F1492" s="28" t="n"/>
      <c r="G1492" s="28" t="n"/>
      <c r="H1492" s="28" t="n"/>
      <c r="I1492" s="28" t="n"/>
      <c r="J1492" s="28" t="n"/>
      <c r="K1492" s="28" t="n"/>
      <c r="L1492" s="28" t="n"/>
      <c r="M1492" s="29" t="n"/>
      <c r="N1492" s="21" t="n"/>
      <c r="O1492" s="12">
        <f>IF(AND(B1492="",C1492=""),"",IF(NOT(ISNUMBER(B1492)),"Needs a date",IF(C1492="","Needs a client",IF(COUNTIF(Clients!$B$6:$B$105,C1492)=0,"Not on Clients",IF(COUNT(D1492:M1492)=0,"Nothing measured","")))))</f>
        <v/>
      </c>
      <c r="P1492" s="1">
        <f>IF(AND(O1492="",ISNUMBER(B1492)),INT(B1492),0)</f>
        <v/>
      </c>
      <c r="Q1492">
        <f>IF(AND(P1492&gt;0,C1492=Report!$C$5),P1492*10000+ROW(),"")</f>
        <v/>
      </c>
      <c r="R1492">
        <f>IF(AND(Q1492&lt;&gt;"",ISNUMBER(D1492)),Q1492,"")</f>
        <v/>
      </c>
      <c r="S1492">
        <f>IF(AND(Q1492&lt;&gt;"",ISNUMBER(E1492)),Q1492,"")</f>
        <v/>
      </c>
      <c r="T1492">
        <f>IF(AND(Q1492&lt;&gt;"",ISNUMBER(F1492)),Q1492,"")</f>
        <v/>
      </c>
      <c r="U1492">
        <f>IF(AND(Q1492&lt;&gt;"",ISNUMBER(G1492)),Q1492,"")</f>
        <v/>
      </c>
      <c r="V1492">
        <f>IF(AND(Q1492&lt;&gt;"",ISNUMBER(H1492)),Q1492,"")</f>
        <v/>
      </c>
      <c r="W1492">
        <f>IF(AND(Q1492&lt;&gt;"",ISNUMBER(I1492)),Q1492,"")</f>
        <v/>
      </c>
      <c r="X1492">
        <f>IF(AND(Q1492&lt;&gt;"",ISNUMBER(J1492)),Q1492,"")</f>
        <v/>
      </c>
      <c r="Y1492">
        <f>IF(AND(Q1492&lt;&gt;"",ISNUMBER(K1492)),Q1492,"")</f>
        <v/>
      </c>
      <c r="Z1492">
        <f>IF(AND(Q1492&lt;&gt;"",ISNUMBER(L1492)),Q1492,"")</f>
        <v/>
      </c>
      <c r="AA1492">
        <f>IF(AND(Q1492&lt;&gt;"",ISNUMBER(M1492)),Q1492,"")</f>
        <v/>
      </c>
      <c r="AB1492">
        <f>IF(AND(Q1492&lt;&gt;"",ISNUMBER(K1492)),K1492,"")</f>
        <v/>
      </c>
      <c r="AC1492">
        <f>IF(AND(Q1492&lt;&gt;"",ISNUMBER(L1492)),L1492,"")</f>
        <v/>
      </c>
      <c r="AD1492">
        <f>IF(AND(Q1492&lt;&gt;"",ISNUMBER(M1492)),M1492,"")</f>
        <v/>
      </c>
    </row>
    <row r="1493">
      <c r="A1493" s="1" t="n"/>
      <c r="B1493" s="17" t="n"/>
      <c r="C1493" s="27" t="n"/>
      <c r="D1493" s="28" t="n"/>
      <c r="E1493" s="28" t="n"/>
      <c r="F1493" s="28" t="n"/>
      <c r="G1493" s="28" t="n"/>
      <c r="H1493" s="28" t="n"/>
      <c r="I1493" s="28" t="n"/>
      <c r="J1493" s="28" t="n"/>
      <c r="K1493" s="28" t="n"/>
      <c r="L1493" s="28" t="n"/>
      <c r="M1493" s="29" t="n"/>
      <c r="N1493" s="21" t="n"/>
      <c r="O1493" s="12">
        <f>IF(AND(B1493="",C1493=""),"",IF(NOT(ISNUMBER(B1493)),"Needs a date",IF(C1493="","Needs a client",IF(COUNTIF(Clients!$B$6:$B$105,C1493)=0,"Not on Clients",IF(COUNT(D1493:M1493)=0,"Nothing measured","")))))</f>
        <v/>
      </c>
      <c r="P1493" s="1">
        <f>IF(AND(O1493="",ISNUMBER(B1493)),INT(B1493),0)</f>
        <v/>
      </c>
      <c r="Q1493">
        <f>IF(AND(P1493&gt;0,C1493=Report!$C$5),P1493*10000+ROW(),"")</f>
        <v/>
      </c>
      <c r="R1493">
        <f>IF(AND(Q1493&lt;&gt;"",ISNUMBER(D1493)),Q1493,"")</f>
        <v/>
      </c>
      <c r="S1493">
        <f>IF(AND(Q1493&lt;&gt;"",ISNUMBER(E1493)),Q1493,"")</f>
        <v/>
      </c>
      <c r="T1493">
        <f>IF(AND(Q1493&lt;&gt;"",ISNUMBER(F1493)),Q1493,"")</f>
        <v/>
      </c>
      <c r="U1493">
        <f>IF(AND(Q1493&lt;&gt;"",ISNUMBER(G1493)),Q1493,"")</f>
        <v/>
      </c>
      <c r="V1493">
        <f>IF(AND(Q1493&lt;&gt;"",ISNUMBER(H1493)),Q1493,"")</f>
        <v/>
      </c>
      <c r="W1493">
        <f>IF(AND(Q1493&lt;&gt;"",ISNUMBER(I1493)),Q1493,"")</f>
        <v/>
      </c>
      <c r="X1493">
        <f>IF(AND(Q1493&lt;&gt;"",ISNUMBER(J1493)),Q1493,"")</f>
        <v/>
      </c>
      <c r="Y1493">
        <f>IF(AND(Q1493&lt;&gt;"",ISNUMBER(K1493)),Q1493,"")</f>
        <v/>
      </c>
      <c r="Z1493">
        <f>IF(AND(Q1493&lt;&gt;"",ISNUMBER(L1493)),Q1493,"")</f>
        <v/>
      </c>
      <c r="AA1493">
        <f>IF(AND(Q1493&lt;&gt;"",ISNUMBER(M1493)),Q1493,"")</f>
        <v/>
      </c>
      <c r="AB1493">
        <f>IF(AND(Q1493&lt;&gt;"",ISNUMBER(K1493)),K1493,"")</f>
        <v/>
      </c>
      <c r="AC1493">
        <f>IF(AND(Q1493&lt;&gt;"",ISNUMBER(L1493)),L1493,"")</f>
        <v/>
      </c>
      <c r="AD1493">
        <f>IF(AND(Q1493&lt;&gt;"",ISNUMBER(M1493)),M1493,"")</f>
        <v/>
      </c>
    </row>
    <row r="1494">
      <c r="A1494" s="1" t="n"/>
      <c r="B1494" s="17" t="n"/>
      <c r="C1494" s="27" t="n"/>
      <c r="D1494" s="28" t="n"/>
      <c r="E1494" s="28" t="n"/>
      <c r="F1494" s="28" t="n"/>
      <c r="G1494" s="28" t="n"/>
      <c r="H1494" s="28" t="n"/>
      <c r="I1494" s="28" t="n"/>
      <c r="J1494" s="28" t="n"/>
      <c r="K1494" s="28" t="n"/>
      <c r="L1494" s="28" t="n"/>
      <c r="M1494" s="29" t="n"/>
      <c r="N1494" s="21" t="n"/>
      <c r="O1494" s="12">
        <f>IF(AND(B1494="",C1494=""),"",IF(NOT(ISNUMBER(B1494)),"Needs a date",IF(C1494="","Needs a client",IF(COUNTIF(Clients!$B$6:$B$105,C1494)=0,"Not on Clients",IF(COUNT(D1494:M1494)=0,"Nothing measured","")))))</f>
        <v/>
      </c>
      <c r="P1494" s="1">
        <f>IF(AND(O1494="",ISNUMBER(B1494)),INT(B1494),0)</f>
        <v/>
      </c>
      <c r="Q1494">
        <f>IF(AND(P1494&gt;0,C1494=Report!$C$5),P1494*10000+ROW(),"")</f>
        <v/>
      </c>
      <c r="R1494">
        <f>IF(AND(Q1494&lt;&gt;"",ISNUMBER(D1494)),Q1494,"")</f>
        <v/>
      </c>
      <c r="S1494">
        <f>IF(AND(Q1494&lt;&gt;"",ISNUMBER(E1494)),Q1494,"")</f>
        <v/>
      </c>
      <c r="T1494">
        <f>IF(AND(Q1494&lt;&gt;"",ISNUMBER(F1494)),Q1494,"")</f>
        <v/>
      </c>
      <c r="U1494">
        <f>IF(AND(Q1494&lt;&gt;"",ISNUMBER(G1494)),Q1494,"")</f>
        <v/>
      </c>
      <c r="V1494">
        <f>IF(AND(Q1494&lt;&gt;"",ISNUMBER(H1494)),Q1494,"")</f>
        <v/>
      </c>
      <c r="W1494">
        <f>IF(AND(Q1494&lt;&gt;"",ISNUMBER(I1494)),Q1494,"")</f>
        <v/>
      </c>
      <c r="X1494">
        <f>IF(AND(Q1494&lt;&gt;"",ISNUMBER(J1494)),Q1494,"")</f>
        <v/>
      </c>
      <c r="Y1494">
        <f>IF(AND(Q1494&lt;&gt;"",ISNUMBER(K1494)),Q1494,"")</f>
        <v/>
      </c>
      <c r="Z1494">
        <f>IF(AND(Q1494&lt;&gt;"",ISNUMBER(L1494)),Q1494,"")</f>
        <v/>
      </c>
      <c r="AA1494">
        <f>IF(AND(Q1494&lt;&gt;"",ISNUMBER(M1494)),Q1494,"")</f>
        <v/>
      </c>
      <c r="AB1494">
        <f>IF(AND(Q1494&lt;&gt;"",ISNUMBER(K1494)),K1494,"")</f>
        <v/>
      </c>
      <c r="AC1494">
        <f>IF(AND(Q1494&lt;&gt;"",ISNUMBER(L1494)),L1494,"")</f>
        <v/>
      </c>
      <c r="AD1494">
        <f>IF(AND(Q1494&lt;&gt;"",ISNUMBER(M1494)),M1494,"")</f>
        <v/>
      </c>
    </row>
    <row r="1495">
      <c r="A1495" s="1" t="n"/>
      <c r="B1495" s="17" t="n"/>
      <c r="C1495" s="27" t="n"/>
      <c r="D1495" s="28" t="n"/>
      <c r="E1495" s="28" t="n"/>
      <c r="F1495" s="28" t="n"/>
      <c r="G1495" s="28" t="n"/>
      <c r="H1495" s="28" t="n"/>
      <c r="I1495" s="28" t="n"/>
      <c r="J1495" s="28" t="n"/>
      <c r="K1495" s="28" t="n"/>
      <c r="L1495" s="28" t="n"/>
      <c r="M1495" s="29" t="n"/>
      <c r="N1495" s="21" t="n"/>
      <c r="O1495" s="12">
        <f>IF(AND(B1495="",C1495=""),"",IF(NOT(ISNUMBER(B1495)),"Needs a date",IF(C1495="","Needs a client",IF(COUNTIF(Clients!$B$6:$B$105,C1495)=0,"Not on Clients",IF(COUNT(D1495:M1495)=0,"Nothing measured","")))))</f>
        <v/>
      </c>
      <c r="P1495" s="1">
        <f>IF(AND(O1495="",ISNUMBER(B1495)),INT(B1495),0)</f>
        <v/>
      </c>
      <c r="Q1495">
        <f>IF(AND(P1495&gt;0,C1495=Report!$C$5),P1495*10000+ROW(),"")</f>
        <v/>
      </c>
      <c r="R1495">
        <f>IF(AND(Q1495&lt;&gt;"",ISNUMBER(D1495)),Q1495,"")</f>
        <v/>
      </c>
      <c r="S1495">
        <f>IF(AND(Q1495&lt;&gt;"",ISNUMBER(E1495)),Q1495,"")</f>
        <v/>
      </c>
      <c r="T1495">
        <f>IF(AND(Q1495&lt;&gt;"",ISNUMBER(F1495)),Q1495,"")</f>
        <v/>
      </c>
      <c r="U1495">
        <f>IF(AND(Q1495&lt;&gt;"",ISNUMBER(G1495)),Q1495,"")</f>
        <v/>
      </c>
      <c r="V1495">
        <f>IF(AND(Q1495&lt;&gt;"",ISNUMBER(H1495)),Q1495,"")</f>
        <v/>
      </c>
      <c r="W1495">
        <f>IF(AND(Q1495&lt;&gt;"",ISNUMBER(I1495)),Q1495,"")</f>
        <v/>
      </c>
      <c r="X1495">
        <f>IF(AND(Q1495&lt;&gt;"",ISNUMBER(J1495)),Q1495,"")</f>
        <v/>
      </c>
      <c r="Y1495">
        <f>IF(AND(Q1495&lt;&gt;"",ISNUMBER(K1495)),Q1495,"")</f>
        <v/>
      </c>
      <c r="Z1495">
        <f>IF(AND(Q1495&lt;&gt;"",ISNUMBER(L1495)),Q1495,"")</f>
        <v/>
      </c>
      <c r="AA1495">
        <f>IF(AND(Q1495&lt;&gt;"",ISNUMBER(M1495)),Q1495,"")</f>
        <v/>
      </c>
      <c r="AB1495">
        <f>IF(AND(Q1495&lt;&gt;"",ISNUMBER(K1495)),K1495,"")</f>
        <v/>
      </c>
      <c r="AC1495">
        <f>IF(AND(Q1495&lt;&gt;"",ISNUMBER(L1495)),L1495,"")</f>
        <v/>
      </c>
      <c r="AD1495">
        <f>IF(AND(Q1495&lt;&gt;"",ISNUMBER(M1495)),M1495,"")</f>
        <v/>
      </c>
    </row>
    <row r="1496">
      <c r="A1496" s="1" t="n"/>
      <c r="B1496" s="17" t="n"/>
      <c r="C1496" s="27" t="n"/>
      <c r="D1496" s="28" t="n"/>
      <c r="E1496" s="28" t="n"/>
      <c r="F1496" s="28" t="n"/>
      <c r="G1496" s="28" t="n"/>
      <c r="H1496" s="28" t="n"/>
      <c r="I1496" s="28" t="n"/>
      <c r="J1496" s="28" t="n"/>
      <c r="K1496" s="28" t="n"/>
      <c r="L1496" s="28" t="n"/>
      <c r="M1496" s="29" t="n"/>
      <c r="N1496" s="21" t="n"/>
      <c r="O1496" s="12">
        <f>IF(AND(B1496="",C1496=""),"",IF(NOT(ISNUMBER(B1496)),"Needs a date",IF(C1496="","Needs a client",IF(COUNTIF(Clients!$B$6:$B$105,C1496)=0,"Not on Clients",IF(COUNT(D1496:M1496)=0,"Nothing measured","")))))</f>
        <v/>
      </c>
      <c r="P1496" s="1">
        <f>IF(AND(O1496="",ISNUMBER(B1496)),INT(B1496),0)</f>
        <v/>
      </c>
      <c r="Q1496">
        <f>IF(AND(P1496&gt;0,C1496=Report!$C$5),P1496*10000+ROW(),"")</f>
        <v/>
      </c>
      <c r="R1496">
        <f>IF(AND(Q1496&lt;&gt;"",ISNUMBER(D1496)),Q1496,"")</f>
        <v/>
      </c>
      <c r="S1496">
        <f>IF(AND(Q1496&lt;&gt;"",ISNUMBER(E1496)),Q1496,"")</f>
        <v/>
      </c>
      <c r="T1496">
        <f>IF(AND(Q1496&lt;&gt;"",ISNUMBER(F1496)),Q1496,"")</f>
        <v/>
      </c>
      <c r="U1496">
        <f>IF(AND(Q1496&lt;&gt;"",ISNUMBER(G1496)),Q1496,"")</f>
        <v/>
      </c>
      <c r="V1496">
        <f>IF(AND(Q1496&lt;&gt;"",ISNUMBER(H1496)),Q1496,"")</f>
        <v/>
      </c>
      <c r="W1496">
        <f>IF(AND(Q1496&lt;&gt;"",ISNUMBER(I1496)),Q1496,"")</f>
        <v/>
      </c>
      <c r="X1496">
        <f>IF(AND(Q1496&lt;&gt;"",ISNUMBER(J1496)),Q1496,"")</f>
        <v/>
      </c>
      <c r="Y1496">
        <f>IF(AND(Q1496&lt;&gt;"",ISNUMBER(K1496)),Q1496,"")</f>
        <v/>
      </c>
      <c r="Z1496">
        <f>IF(AND(Q1496&lt;&gt;"",ISNUMBER(L1496)),Q1496,"")</f>
        <v/>
      </c>
      <c r="AA1496">
        <f>IF(AND(Q1496&lt;&gt;"",ISNUMBER(M1496)),Q1496,"")</f>
        <v/>
      </c>
      <c r="AB1496">
        <f>IF(AND(Q1496&lt;&gt;"",ISNUMBER(K1496)),K1496,"")</f>
        <v/>
      </c>
      <c r="AC1496">
        <f>IF(AND(Q1496&lt;&gt;"",ISNUMBER(L1496)),L1496,"")</f>
        <v/>
      </c>
      <c r="AD1496">
        <f>IF(AND(Q1496&lt;&gt;"",ISNUMBER(M1496)),M1496,"")</f>
        <v/>
      </c>
    </row>
    <row r="1497">
      <c r="A1497" s="1" t="n"/>
      <c r="B1497" s="17" t="n"/>
      <c r="C1497" s="27" t="n"/>
      <c r="D1497" s="28" t="n"/>
      <c r="E1497" s="28" t="n"/>
      <c r="F1497" s="28" t="n"/>
      <c r="G1497" s="28" t="n"/>
      <c r="H1497" s="28" t="n"/>
      <c r="I1497" s="28" t="n"/>
      <c r="J1497" s="28" t="n"/>
      <c r="K1497" s="28" t="n"/>
      <c r="L1497" s="28" t="n"/>
      <c r="M1497" s="29" t="n"/>
      <c r="N1497" s="21" t="n"/>
      <c r="O1497" s="12">
        <f>IF(AND(B1497="",C1497=""),"",IF(NOT(ISNUMBER(B1497)),"Needs a date",IF(C1497="","Needs a client",IF(COUNTIF(Clients!$B$6:$B$105,C1497)=0,"Not on Clients",IF(COUNT(D1497:M1497)=0,"Nothing measured","")))))</f>
        <v/>
      </c>
      <c r="P1497" s="1">
        <f>IF(AND(O1497="",ISNUMBER(B1497)),INT(B1497),0)</f>
        <v/>
      </c>
      <c r="Q1497">
        <f>IF(AND(P1497&gt;0,C1497=Report!$C$5),P1497*10000+ROW(),"")</f>
        <v/>
      </c>
      <c r="R1497">
        <f>IF(AND(Q1497&lt;&gt;"",ISNUMBER(D1497)),Q1497,"")</f>
        <v/>
      </c>
      <c r="S1497">
        <f>IF(AND(Q1497&lt;&gt;"",ISNUMBER(E1497)),Q1497,"")</f>
        <v/>
      </c>
      <c r="T1497">
        <f>IF(AND(Q1497&lt;&gt;"",ISNUMBER(F1497)),Q1497,"")</f>
        <v/>
      </c>
      <c r="U1497">
        <f>IF(AND(Q1497&lt;&gt;"",ISNUMBER(G1497)),Q1497,"")</f>
        <v/>
      </c>
      <c r="V1497">
        <f>IF(AND(Q1497&lt;&gt;"",ISNUMBER(H1497)),Q1497,"")</f>
        <v/>
      </c>
      <c r="W1497">
        <f>IF(AND(Q1497&lt;&gt;"",ISNUMBER(I1497)),Q1497,"")</f>
        <v/>
      </c>
      <c r="X1497">
        <f>IF(AND(Q1497&lt;&gt;"",ISNUMBER(J1497)),Q1497,"")</f>
        <v/>
      </c>
      <c r="Y1497">
        <f>IF(AND(Q1497&lt;&gt;"",ISNUMBER(K1497)),Q1497,"")</f>
        <v/>
      </c>
      <c r="Z1497">
        <f>IF(AND(Q1497&lt;&gt;"",ISNUMBER(L1497)),Q1497,"")</f>
        <v/>
      </c>
      <c r="AA1497">
        <f>IF(AND(Q1497&lt;&gt;"",ISNUMBER(M1497)),Q1497,"")</f>
        <v/>
      </c>
      <c r="AB1497">
        <f>IF(AND(Q1497&lt;&gt;"",ISNUMBER(K1497)),K1497,"")</f>
        <v/>
      </c>
      <c r="AC1497">
        <f>IF(AND(Q1497&lt;&gt;"",ISNUMBER(L1497)),L1497,"")</f>
        <v/>
      </c>
      <c r="AD1497">
        <f>IF(AND(Q1497&lt;&gt;"",ISNUMBER(M1497)),M1497,"")</f>
        <v/>
      </c>
    </row>
    <row r="1498">
      <c r="A1498" s="1" t="n"/>
      <c r="B1498" s="17" t="n"/>
      <c r="C1498" s="27" t="n"/>
      <c r="D1498" s="28" t="n"/>
      <c r="E1498" s="28" t="n"/>
      <c r="F1498" s="28" t="n"/>
      <c r="G1498" s="28" t="n"/>
      <c r="H1498" s="28" t="n"/>
      <c r="I1498" s="28" t="n"/>
      <c r="J1498" s="28" t="n"/>
      <c r="K1498" s="28" t="n"/>
      <c r="L1498" s="28" t="n"/>
      <c r="M1498" s="29" t="n"/>
      <c r="N1498" s="21" t="n"/>
      <c r="O1498" s="12">
        <f>IF(AND(B1498="",C1498=""),"",IF(NOT(ISNUMBER(B1498)),"Needs a date",IF(C1498="","Needs a client",IF(COUNTIF(Clients!$B$6:$B$105,C1498)=0,"Not on Clients",IF(COUNT(D1498:M1498)=0,"Nothing measured","")))))</f>
        <v/>
      </c>
      <c r="P1498" s="1">
        <f>IF(AND(O1498="",ISNUMBER(B1498)),INT(B1498),0)</f>
        <v/>
      </c>
      <c r="Q1498">
        <f>IF(AND(P1498&gt;0,C1498=Report!$C$5),P1498*10000+ROW(),"")</f>
        <v/>
      </c>
      <c r="R1498">
        <f>IF(AND(Q1498&lt;&gt;"",ISNUMBER(D1498)),Q1498,"")</f>
        <v/>
      </c>
      <c r="S1498">
        <f>IF(AND(Q1498&lt;&gt;"",ISNUMBER(E1498)),Q1498,"")</f>
        <v/>
      </c>
      <c r="T1498">
        <f>IF(AND(Q1498&lt;&gt;"",ISNUMBER(F1498)),Q1498,"")</f>
        <v/>
      </c>
      <c r="U1498">
        <f>IF(AND(Q1498&lt;&gt;"",ISNUMBER(G1498)),Q1498,"")</f>
        <v/>
      </c>
      <c r="V1498">
        <f>IF(AND(Q1498&lt;&gt;"",ISNUMBER(H1498)),Q1498,"")</f>
        <v/>
      </c>
      <c r="W1498">
        <f>IF(AND(Q1498&lt;&gt;"",ISNUMBER(I1498)),Q1498,"")</f>
        <v/>
      </c>
      <c r="X1498">
        <f>IF(AND(Q1498&lt;&gt;"",ISNUMBER(J1498)),Q1498,"")</f>
        <v/>
      </c>
      <c r="Y1498">
        <f>IF(AND(Q1498&lt;&gt;"",ISNUMBER(K1498)),Q1498,"")</f>
        <v/>
      </c>
      <c r="Z1498">
        <f>IF(AND(Q1498&lt;&gt;"",ISNUMBER(L1498)),Q1498,"")</f>
        <v/>
      </c>
      <c r="AA1498">
        <f>IF(AND(Q1498&lt;&gt;"",ISNUMBER(M1498)),Q1498,"")</f>
        <v/>
      </c>
      <c r="AB1498">
        <f>IF(AND(Q1498&lt;&gt;"",ISNUMBER(K1498)),K1498,"")</f>
        <v/>
      </c>
      <c r="AC1498">
        <f>IF(AND(Q1498&lt;&gt;"",ISNUMBER(L1498)),L1498,"")</f>
        <v/>
      </c>
      <c r="AD1498">
        <f>IF(AND(Q1498&lt;&gt;"",ISNUMBER(M1498)),M1498,"")</f>
        <v/>
      </c>
    </row>
    <row r="1499">
      <c r="A1499" s="1" t="n"/>
      <c r="B1499" s="17" t="n"/>
      <c r="C1499" s="27" t="n"/>
      <c r="D1499" s="28" t="n"/>
      <c r="E1499" s="28" t="n"/>
      <c r="F1499" s="28" t="n"/>
      <c r="G1499" s="28" t="n"/>
      <c r="H1499" s="28" t="n"/>
      <c r="I1499" s="28" t="n"/>
      <c r="J1499" s="28" t="n"/>
      <c r="K1499" s="28" t="n"/>
      <c r="L1499" s="28" t="n"/>
      <c r="M1499" s="29" t="n"/>
      <c r="N1499" s="21" t="n"/>
      <c r="O1499" s="12">
        <f>IF(AND(B1499="",C1499=""),"",IF(NOT(ISNUMBER(B1499)),"Needs a date",IF(C1499="","Needs a client",IF(COUNTIF(Clients!$B$6:$B$105,C1499)=0,"Not on Clients",IF(COUNT(D1499:M1499)=0,"Nothing measured","")))))</f>
        <v/>
      </c>
      <c r="P1499" s="1">
        <f>IF(AND(O1499="",ISNUMBER(B1499)),INT(B1499),0)</f>
        <v/>
      </c>
      <c r="Q1499">
        <f>IF(AND(P1499&gt;0,C1499=Report!$C$5),P1499*10000+ROW(),"")</f>
        <v/>
      </c>
      <c r="R1499">
        <f>IF(AND(Q1499&lt;&gt;"",ISNUMBER(D1499)),Q1499,"")</f>
        <v/>
      </c>
      <c r="S1499">
        <f>IF(AND(Q1499&lt;&gt;"",ISNUMBER(E1499)),Q1499,"")</f>
        <v/>
      </c>
      <c r="T1499">
        <f>IF(AND(Q1499&lt;&gt;"",ISNUMBER(F1499)),Q1499,"")</f>
        <v/>
      </c>
      <c r="U1499">
        <f>IF(AND(Q1499&lt;&gt;"",ISNUMBER(G1499)),Q1499,"")</f>
        <v/>
      </c>
      <c r="V1499">
        <f>IF(AND(Q1499&lt;&gt;"",ISNUMBER(H1499)),Q1499,"")</f>
        <v/>
      </c>
      <c r="W1499">
        <f>IF(AND(Q1499&lt;&gt;"",ISNUMBER(I1499)),Q1499,"")</f>
        <v/>
      </c>
      <c r="X1499">
        <f>IF(AND(Q1499&lt;&gt;"",ISNUMBER(J1499)),Q1499,"")</f>
        <v/>
      </c>
      <c r="Y1499">
        <f>IF(AND(Q1499&lt;&gt;"",ISNUMBER(K1499)),Q1499,"")</f>
        <v/>
      </c>
      <c r="Z1499">
        <f>IF(AND(Q1499&lt;&gt;"",ISNUMBER(L1499)),Q1499,"")</f>
        <v/>
      </c>
      <c r="AA1499">
        <f>IF(AND(Q1499&lt;&gt;"",ISNUMBER(M1499)),Q1499,"")</f>
        <v/>
      </c>
      <c r="AB1499">
        <f>IF(AND(Q1499&lt;&gt;"",ISNUMBER(K1499)),K1499,"")</f>
        <v/>
      </c>
      <c r="AC1499">
        <f>IF(AND(Q1499&lt;&gt;"",ISNUMBER(L1499)),L1499,"")</f>
        <v/>
      </c>
      <c r="AD1499">
        <f>IF(AND(Q1499&lt;&gt;"",ISNUMBER(M1499)),M1499,"")</f>
        <v/>
      </c>
    </row>
    <row r="1500">
      <c r="A1500" s="1" t="n"/>
      <c r="B1500" s="17" t="n"/>
      <c r="C1500" s="27" t="n"/>
      <c r="D1500" s="28" t="n"/>
      <c r="E1500" s="28" t="n"/>
      <c r="F1500" s="28" t="n"/>
      <c r="G1500" s="28" t="n"/>
      <c r="H1500" s="28" t="n"/>
      <c r="I1500" s="28" t="n"/>
      <c r="J1500" s="28" t="n"/>
      <c r="K1500" s="28" t="n"/>
      <c r="L1500" s="28" t="n"/>
      <c r="M1500" s="29" t="n"/>
      <c r="N1500" s="21" t="n"/>
      <c r="O1500" s="12">
        <f>IF(AND(B1500="",C1500=""),"",IF(NOT(ISNUMBER(B1500)),"Needs a date",IF(C1500="","Needs a client",IF(COUNTIF(Clients!$B$6:$B$105,C1500)=0,"Not on Clients",IF(COUNT(D1500:M1500)=0,"Nothing measured","")))))</f>
        <v/>
      </c>
      <c r="P1500" s="1">
        <f>IF(AND(O1500="",ISNUMBER(B1500)),INT(B1500),0)</f>
        <v/>
      </c>
      <c r="Q1500">
        <f>IF(AND(P1500&gt;0,C1500=Report!$C$5),P1500*10000+ROW(),"")</f>
        <v/>
      </c>
      <c r="R1500">
        <f>IF(AND(Q1500&lt;&gt;"",ISNUMBER(D1500)),Q1500,"")</f>
        <v/>
      </c>
      <c r="S1500">
        <f>IF(AND(Q1500&lt;&gt;"",ISNUMBER(E1500)),Q1500,"")</f>
        <v/>
      </c>
      <c r="T1500">
        <f>IF(AND(Q1500&lt;&gt;"",ISNUMBER(F1500)),Q1500,"")</f>
        <v/>
      </c>
      <c r="U1500">
        <f>IF(AND(Q1500&lt;&gt;"",ISNUMBER(G1500)),Q1500,"")</f>
        <v/>
      </c>
      <c r="V1500">
        <f>IF(AND(Q1500&lt;&gt;"",ISNUMBER(H1500)),Q1500,"")</f>
        <v/>
      </c>
      <c r="W1500">
        <f>IF(AND(Q1500&lt;&gt;"",ISNUMBER(I1500)),Q1500,"")</f>
        <v/>
      </c>
      <c r="X1500">
        <f>IF(AND(Q1500&lt;&gt;"",ISNUMBER(J1500)),Q1500,"")</f>
        <v/>
      </c>
      <c r="Y1500">
        <f>IF(AND(Q1500&lt;&gt;"",ISNUMBER(K1500)),Q1500,"")</f>
        <v/>
      </c>
      <c r="Z1500">
        <f>IF(AND(Q1500&lt;&gt;"",ISNUMBER(L1500)),Q1500,"")</f>
        <v/>
      </c>
      <c r="AA1500">
        <f>IF(AND(Q1500&lt;&gt;"",ISNUMBER(M1500)),Q1500,"")</f>
        <v/>
      </c>
      <c r="AB1500">
        <f>IF(AND(Q1500&lt;&gt;"",ISNUMBER(K1500)),K1500,"")</f>
        <v/>
      </c>
      <c r="AC1500">
        <f>IF(AND(Q1500&lt;&gt;"",ISNUMBER(L1500)),L1500,"")</f>
        <v/>
      </c>
      <c r="AD1500">
        <f>IF(AND(Q1500&lt;&gt;"",ISNUMBER(M1500)),M1500,"")</f>
        <v/>
      </c>
    </row>
    <row r="1501">
      <c r="A1501" s="1" t="n"/>
      <c r="B1501" s="17" t="n"/>
      <c r="C1501" s="27" t="n"/>
      <c r="D1501" s="28" t="n"/>
      <c r="E1501" s="28" t="n"/>
      <c r="F1501" s="28" t="n"/>
      <c r="G1501" s="28" t="n"/>
      <c r="H1501" s="28" t="n"/>
      <c r="I1501" s="28" t="n"/>
      <c r="J1501" s="28" t="n"/>
      <c r="K1501" s="28" t="n"/>
      <c r="L1501" s="28" t="n"/>
      <c r="M1501" s="29" t="n"/>
      <c r="N1501" s="21" t="n"/>
      <c r="O1501" s="12">
        <f>IF(AND(B1501="",C1501=""),"",IF(NOT(ISNUMBER(B1501)),"Needs a date",IF(C1501="","Needs a client",IF(COUNTIF(Clients!$B$6:$B$105,C1501)=0,"Not on Clients",IF(COUNT(D1501:M1501)=0,"Nothing measured","")))))</f>
        <v/>
      </c>
      <c r="P1501" s="1">
        <f>IF(AND(O1501="",ISNUMBER(B1501)),INT(B1501),0)</f>
        <v/>
      </c>
      <c r="Q1501">
        <f>IF(AND(P1501&gt;0,C1501=Report!$C$5),P1501*10000+ROW(),"")</f>
        <v/>
      </c>
      <c r="R1501">
        <f>IF(AND(Q1501&lt;&gt;"",ISNUMBER(D1501)),Q1501,"")</f>
        <v/>
      </c>
      <c r="S1501">
        <f>IF(AND(Q1501&lt;&gt;"",ISNUMBER(E1501)),Q1501,"")</f>
        <v/>
      </c>
      <c r="T1501">
        <f>IF(AND(Q1501&lt;&gt;"",ISNUMBER(F1501)),Q1501,"")</f>
        <v/>
      </c>
      <c r="U1501">
        <f>IF(AND(Q1501&lt;&gt;"",ISNUMBER(G1501)),Q1501,"")</f>
        <v/>
      </c>
      <c r="V1501">
        <f>IF(AND(Q1501&lt;&gt;"",ISNUMBER(H1501)),Q1501,"")</f>
        <v/>
      </c>
      <c r="W1501">
        <f>IF(AND(Q1501&lt;&gt;"",ISNUMBER(I1501)),Q1501,"")</f>
        <v/>
      </c>
      <c r="X1501">
        <f>IF(AND(Q1501&lt;&gt;"",ISNUMBER(J1501)),Q1501,"")</f>
        <v/>
      </c>
      <c r="Y1501">
        <f>IF(AND(Q1501&lt;&gt;"",ISNUMBER(K1501)),Q1501,"")</f>
        <v/>
      </c>
      <c r="Z1501">
        <f>IF(AND(Q1501&lt;&gt;"",ISNUMBER(L1501)),Q1501,"")</f>
        <v/>
      </c>
      <c r="AA1501">
        <f>IF(AND(Q1501&lt;&gt;"",ISNUMBER(M1501)),Q1501,"")</f>
        <v/>
      </c>
      <c r="AB1501">
        <f>IF(AND(Q1501&lt;&gt;"",ISNUMBER(K1501)),K1501,"")</f>
        <v/>
      </c>
      <c r="AC1501">
        <f>IF(AND(Q1501&lt;&gt;"",ISNUMBER(L1501)),L1501,"")</f>
        <v/>
      </c>
      <c r="AD1501">
        <f>IF(AND(Q1501&lt;&gt;"",ISNUMBER(M1501)),M1501,"")</f>
        <v/>
      </c>
    </row>
    <row r="1502">
      <c r="A1502" s="1" t="n"/>
      <c r="B1502" s="17" t="n"/>
      <c r="C1502" s="27" t="n"/>
      <c r="D1502" s="28" t="n"/>
      <c r="E1502" s="28" t="n"/>
      <c r="F1502" s="28" t="n"/>
      <c r="G1502" s="28" t="n"/>
      <c r="H1502" s="28" t="n"/>
      <c r="I1502" s="28" t="n"/>
      <c r="J1502" s="28" t="n"/>
      <c r="K1502" s="28" t="n"/>
      <c r="L1502" s="28" t="n"/>
      <c r="M1502" s="29" t="n"/>
      <c r="N1502" s="21" t="n"/>
      <c r="O1502" s="12">
        <f>IF(AND(B1502="",C1502=""),"",IF(NOT(ISNUMBER(B1502)),"Needs a date",IF(C1502="","Needs a client",IF(COUNTIF(Clients!$B$6:$B$105,C1502)=0,"Not on Clients",IF(COUNT(D1502:M1502)=0,"Nothing measured","")))))</f>
        <v/>
      </c>
      <c r="P1502" s="1">
        <f>IF(AND(O1502="",ISNUMBER(B1502)),INT(B1502),0)</f>
        <v/>
      </c>
      <c r="Q1502">
        <f>IF(AND(P1502&gt;0,C1502=Report!$C$5),P1502*10000+ROW(),"")</f>
        <v/>
      </c>
      <c r="R1502">
        <f>IF(AND(Q1502&lt;&gt;"",ISNUMBER(D1502)),Q1502,"")</f>
        <v/>
      </c>
      <c r="S1502">
        <f>IF(AND(Q1502&lt;&gt;"",ISNUMBER(E1502)),Q1502,"")</f>
        <v/>
      </c>
      <c r="T1502">
        <f>IF(AND(Q1502&lt;&gt;"",ISNUMBER(F1502)),Q1502,"")</f>
        <v/>
      </c>
      <c r="U1502">
        <f>IF(AND(Q1502&lt;&gt;"",ISNUMBER(G1502)),Q1502,"")</f>
        <v/>
      </c>
      <c r="V1502">
        <f>IF(AND(Q1502&lt;&gt;"",ISNUMBER(H1502)),Q1502,"")</f>
        <v/>
      </c>
      <c r="W1502">
        <f>IF(AND(Q1502&lt;&gt;"",ISNUMBER(I1502)),Q1502,"")</f>
        <v/>
      </c>
      <c r="X1502">
        <f>IF(AND(Q1502&lt;&gt;"",ISNUMBER(J1502)),Q1502,"")</f>
        <v/>
      </c>
      <c r="Y1502">
        <f>IF(AND(Q1502&lt;&gt;"",ISNUMBER(K1502)),Q1502,"")</f>
        <v/>
      </c>
      <c r="Z1502">
        <f>IF(AND(Q1502&lt;&gt;"",ISNUMBER(L1502)),Q1502,"")</f>
        <v/>
      </c>
      <c r="AA1502">
        <f>IF(AND(Q1502&lt;&gt;"",ISNUMBER(M1502)),Q1502,"")</f>
        <v/>
      </c>
      <c r="AB1502">
        <f>IF(AND(Q1502&lt;&gt;"",ISNUMBER(K1502)),K1502,"")</f>
        <v/>
      </c>
      <c r="AC1502">
        <f>IF(AND(Q1502&lt;&gt;"",ISNUMBER(L1502)),L1502,"")</f>
        <v/>
      </c>
      <c r="AD1502">
        <f>IF(AND(Q1502&lt;&gt;"",ISNUMBER(M1502)),M1502,"")</f>
        <v/>
      </c>
    </row>
    <row r="1503">
      <c r="A1503" s="1" t="n"/>
      <c r="B1503" s="17" t="n"/>
      <c r="C1503" s="27" t="n"/>
      <c r="D1503" s="28" t="n"/>
      <c r="E1503" s="28" t="n"/>
      <c r="F1503" s="28" t="n"/>
      <c r="G1503" s="28" t="n"/>
      <c r="H1503" s="28" t="n"/>
      <c r="I1503" s="28" t="n"/>
      <c r="J1503" s="28" t="n"/>
      <c r="K1503" s="28" t="n"/>
      <c r="L1503" s="28" t="n"/>
      <c r="M1503" s="29" t="n"/>
      <c r="N1503" s="21" t="n"/>
      <c r="O1503" s="12">
        <f>IF(AND(B1503="",C1503=""),"",IF(NOT(ISNUMBER(B1503)),"Needs a date",IF(C1503="","Needs a client",IF(COUNTIF(Clients!$B$6:$B$105,C1503)=0,"Not on Clients",IF(COUNT(D1503:M1503)=0,"Nothing measured","")))))</f>
        <v/>
      </c>
      <c r="P1503" s="1">
        <f>IF(AND(O1503="",ISNUMBER(B1503)),INT(B1503),0)</f>
        <v/>
      </c>
      <c r="Q1503">
        <f>IF(AND(P1503&gt;0,C1503=Report!$C$5),P1503*10000+ROW(),"")</f>
        <v/>
      </c>
      <c r="R1503">
        <f>IF(AND(Q1503&lt;&gt;"",ISNUMBER(D1503)),Q1503,"")</f>
        <v/>
      </c>
      <c r="S1503">
        <f>IF(AND(Q1503&lt;&gt;"",ISNUMBER(E1503)),Q1503,"")</f>
        <v/>
      </c>
      <c r="T1503">
        <f>IF(AND(Q1503&lt;&gt;"",ISNUMBER(F1503)),Q1503,"")</f>
        <v/>
      </c>
      <c r="U1503">
        <f>IF(AND(Q1503&lt;&gt;"",ISNUMBER(G1503)),Q1503,"")</f>
        <v/>
      </c>
      <c r="V1503">
        <f>IF(AND(Q1503&lt;&gt;"",ISNUMBER(H1503)),Q1503,"")</f>
        <v/>
      </c>
      <c r="W1503">
        <f>IF(AND(Q1503&lt;&gt;"",ISNUMBER(I1503)),Q1503,"")</f>
        <v/>
      </c>
      <c r="X1503">
        <f>IF(AND(Q1503&lt;&gt;"",ISNUMBER(J1503)),Q1503,"")</f>
        <v/>
      </c>
      <c r="Y1503">
        <f>IF(AND(Q1503&lt;&gt;"",ISNUMBER(K1503)),Q1503,"")</f>
        <v/>
      </c>
      <c r="Z1503">
        <f>IF(AND(Q1503&lt;&gt;"",ISNUMBER(L1503)),Q1503,"")</f>
        <v/>
      </c>
      <c r="AA1503">
        <f>IF(AND(Q1503&lt;&gt;"",ISNUMBER(M1503)),Q1503,"")</f>
        <v/>
      </c>
      <c r="AB1503">
        <f>IF(AND(Q1503&lt;&gt;"",ISNUMBER(K1503)),K1503,"")</f>
        <v/>
      </c>
      <c r="AC1503">
        <f>IF(AND(Q1503&lt;&gt;"",ISNUMBER(L1503)),L1503,"")</f>
        <v/>
      </c>
      <c r="AD1503">
        <f>IF(AND(Q1503&lt;&gt;"",ISNUMBER(M1503)),M1503,"")</f>
        <v/>
      </c>
    </row>
    <row r="1504">
      <c r="A1504" s="1" t="n"/>
      <c r="B1504" s="17" t="n"/>
      <c r="C1504" s="27" t="n"/>
      <c r="D1504" s="28" t="n"/>
      <c r="E1504" s="28" t="n"/>
      <c r="F1504" s="28" t="n"/>
      <c r="G1504" s="28" t="n"/>
      <c r="H1504" s="28" t="n"/>
      <c r="I1504" s="28" t="n"/>
      <c r="J1504" s="28" t="n"/>
      <c r="K1504" s="28" t="n"/>
      <c r="L1504" s="28" t="n"/>
      <c r="M1504" s="29" t="n"/>
      <c r="N1504" s="21" t="n"/>
      <c r="O1504" s="12">
        <f>IF(AND(B1504="",C1504=""),"",IF(NOT(ISNUMBER(B1504)),"Needs a date",IF(C1504="","Needs a client",IF(COUNTIF(Clients!$B$6:$B$105,C1504)=0,"Not on Clients",IF(COUNT(D1504:M1504)=0,"Nothing measured","")))))</f>
        <v/>
      </c>
      <c r="P1504" s="1">
        <f>IF(AND(O1504="",ISNUMBER(B1504)),INT(B1504),0)</f>
        <v/>
      </c>
      <c r="Q1504">
        <f>IF(AND(P1504&gt;0,C1504=Report!$C$5),P1504*10000+ROW(),"")</f>
        <v/>
      </c>
      <c r="R1504">
        <f>IF(AND(Q1504&lt;&gt;"",ISNUMBER(D1504)),Q1504,"")</f>
        <v/>
      </c>
      <c r="S1504">
        <f>IF(AND(Q1504&lt;&gt;"",ISNUMBER(E1504)),Q1504,"")</f>
        <v/>
      </c>
      <c r="T1504">
        <f>IF(AND(Q1504&lt;&gt;"",ISNUMBER(F1504)),Q1504,"")</f>
        <v/>
      </c>
      <c r="U1504">
        <f>IF(AND(Q1504&lt;&gt;"",ISNUMBER(G1504)),Q1504,"")</f>
        <v/>
      </c>
      <c r="V1504">
        <f>IF(AND(Q1504&lt;&gt;"",ISNUMBER(H1504)),Q1504,"")</f>
        <v/>
      </c>
      <c r="W1504">
        <f>IF(AND(Q1504&lt;&gt;"",ISNUMBER(I1504)),Q1504,"")</f>
        <v/>
      </c>
      <c r="X1504">
        <f>IF(AND(Q1504&lt;&gt;"",ISNUMBER(J1504)),Q1504,"")</f>
        <v/>
      </c>
      <c r="Y1504">
        <f>IF(AND(Q1504&lt;&gt;"",ISNUMBER(K1504)),Q1504,"")</f>
        <v/>
      </c>
      <c r="Z1504">
        <f>IF(AND(Q1504&lt;&gt;"",ISNUMBER(L1504)),Q1504,"")</f>
        <v/>
      </c>
      <c r="AA1504">
        <f>IF(AND(Q1504&lt;&gt;"",ISNUMBER(M1504)),Q1504,"")</f>
        <v/>
      </c>
      <c r="AB1504">
        <f>IF(AND(Q1504&lt;&gt;"",ISNUMBER(K1504)),K1504,"")</f>
        <v/>
      </c>
      <c r="AC1504">
        <f>IF(AND(Q1504&lt;&gt;"",ISNUMBER(L1504)),L1504,"")</f>
        <v/>
      </c>
      <c r="AD1504">
        <f>IF(AND(Q1504&lt;&gt;"",ISNUMBER(M1504)),M1504,"")</f>
        <v/>
      </c>
    </row>
    <row r="1505">
      <c r="A1505" s="1" t="n"/>
      <c r="B1505" s="17" t="n"/>
      <c r="C1505" s="27" t="n"/>
      <c r="D1505" s="28" t="n"/>
      <c r="E1505" s="28" t="n"/>
      <c r="F1505" s="28" t="n"/>
      <c r="G1505" s="28" t="n"/>
      <c r="H1505" s="28" t="n"/>
      <c r="I1505" s="28" t="n"/>
      <c r="J1505" s="28" t="n"/>
      <c r="K1505" s="28" t="n"/>
      <c r="L1505" s="28" t="n"/>
      <c r="M1505" s="29" t="n"/>
      <c r="N1505" s="21" t="n"/>
      <c r="O1505" s="12">
        <f>IF(AND(B1505="",C1505=""),"",IF(NOT(ISNUMBER(B1505)),"Needs a date",IF(C1505="","Needs a client",IF(COUNTIF(Clients!$B$6:$B$105,C1505)=0,"Not on Clients",IF(COUNT(D1505:M1505)=0,"Nothing measured","")))))</f>
        <v/>
      </c>
      <c r="P1505" s="1">
        <f>IF(AND(O1505="",ISNUMBER(B1505)),INT(B1505),0)</f>
        <v/>
      </c>
      <c r="Q1505">
        <f>IF(AND(P1505&gt;0,C1505=Report!$C$5),P1505*10000+ROW(),"")</f>
        <v/>
      </c>
      <c r="R1505">
        <f>IF(AND(Q1505&lt;&gt;"",ISNUMBER(D1505)),Q1505,"")</f>
        <v/>
      </c>
      <c r="S1505">
        <f>IF(AND(Q1505&lt;&gt;"",ISNUMBER(E1505)),Q1505,"")</f>
        <v/>
      </c>
      <c r="T1505">
        <f>IF(AND(Q1505&lt;&gt;"",ISNUMBER(F1505)),Q1505,"")</f>
        <v/>
      </c>
      <c r="U1505">
        <f>IF(AND(Q1505&lt;&gt;"",ISNUMBER(G1505)),Q1505,"")</f>
        <v/>
      </c>
      <c r="V1505">
        <f>IF(AND(Q1505&lt;&gt;"",ISNUMBER(H1505)),Q1505,"")</f>
        <v/>
      </c>
      <c r="W1505">
        <f>IF(AND(Q1505&lt;&gt;"",ISNUMBER(I1505)),Q1505,"")</f>
        <v/>
      </c>
      <c r="X1505">
        <f>IF(AND(Q1505&lt;&gt;"",ISNUMBER(J1505)),Q1505,"")</f>
        <v/>
      </c>
      <c r="Y1505">
        <f>IF(AND(Q1505&lt;&gt;"",ISNUMBER(K1505)),Q1505,"")</f>
        <v/>
      </c>
      <c r="Z1505">
        <f>IF(AND(Q1505&lt;&gt;"",ISNUMBER(L1505)),Q1505,"")</f>
        <v/>
      </c>
      <c r="AA1505">
        <f>IF(AND(Q1505&lt;&gt;"",ISNUMBER(M1505)),Q1505,"")</f>
        <v/>
      </c>
      <c r="AB1505">
        <f>IF(AND(Q1505&lt;&gt;"",ISNUMBER(K1505)),K1505,"")</f>
        <v/>
      </c>
      <c r="AC1505">
        <f>IF(AND(Q1505&lt;&gt;"",ISNUMBER(L1505)),L1505,"")</f>
        <v/>
      </c>
      <c r="AD1505">
        <f>IF(AND(Q1505&lt;&gt;"",ISNUMBER(M1505)),M1505,"")</f>
        <v/>
      </c>
    </row>
    <row r="1506">
      <c r="A1506" s="1" t="n"/>
      <c r="B1506" s="1" t="n"/>
      <c r="C1506" s="1" t="n"/>
      <c r="D1506" s="1" t="n"/>
      <c r="E1506" s="1" t="n"/>
      <c r="F1506" s="1" t="n"/>
      <c r="G1506" s="1" t="n"/>
      <c r="H1506" s="1" t="n"/>
      <c r="I1506" s="1" t="n"/>
      <c r="J1506" s="1" t="n"/>
      <c r="K1506" s="1" t="n"/>
      <c r="L1506" s="1" t="n"/>
      <c r="M1506" s="1" t="n"/>
      <c r="N1506" s="1" t="n"/>
      <c r="O1506" s="1" t="n"/>
      <c r="P1506" s="1" t="n"/>
    </row>
  </sheetData>
  <conditionalFormatting sqref="O6:O1505">
    <cfRule type="expression" priority="1" dxfId="0">
      <formula>O6&lt;&gt;""</formula>
    </cfRule>
  </conditionalFormatting>
  <dataValidations count="1">
    <dataValidation sqref="C6:C1505" showDropDown="0" showInputMessage="0" showErrorMessage="0" allowBlank="1" type="list">
      <formula1>=Clients!$B$6:$B$105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30">
        <f>IF(Settings!$C$4="","Progress report",Settings!$C$4)</f>
        <v/>
      </c>
      <c r="C2" s="1" t="n"/>
      <c r="D2" s="1" t="n"/>
      <c r="E2" s="1" t="n"/>
      <c r="F2" s="1" t="n"/>
    </row>
    <row r="3">
      <c r="A3" s="1" t="n"/>
      <c r="B3" s="31">
        <f>"Progress report, "&amp;DAY(TODAY())&amp;" "&amp;CHOOSE(MONTH(TODAY()),"Jan","Feb","Mar","Apr","May","Jun","Jul","Aug","Sep","Oct","Nov","Dec")&amp;" "&amp;YEAR(TODAY())</f>
        <v/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32" t="inlineStr">
        <is>
          <t>Client</t>
        </is>
      </c>
      <c r="C5" s="19" t="inlineStr">
        <is>
          <t>Maya Ortiz</t>
        </is>
      </c>
      <c r="D5" s="33" t="n"/>
      <c r="E5" s="10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34" t="inlineStr">
        <is>
          <t>Goal</t>
        </is>
      </c>
      <c r="C7" s="35">
        <f>IFERROR(IF(INDEX(Clients!$E$6:$E$105,MATCH($C$5,Clients!$B$6:$B$105,0))="","",INDEX(Clients!$E$6:$E$105,MATCH($C$5,Clients!$B$6:$B$105,0))),"")</f>
        <v/>
      </c>
      <c r="F7" s="1" t="n"/>
    </row>
    <row r="8">
      <c r="A8" s="1" t="n"/>
      <c r="B8" s="34" t="inlineStr">
        <is>
          <t>Started</t>
        </is>
      </c>
      <c r="C8" s="36">
        <f>IFERROR(IF(INDEX(Clients!$D$6:$D$105,MATCH($C$5,Clients!$B$6:$B$105,0))="","",INDEX(Clients!$D$6:$D$105,MATCH($C$5,Clients!$B$6:$B$105,0))),"")</f>
        <v/>
      </c>
      <c r="F8" s="1" t="n"/>
    </row>
    <row r="9">
      <c r="A9" s="1" t="n"/>
      <c r="B9" s="34" t="inlineStr">
        <is>
          <t>Sessions attended</t>
        </is>
      </c>
      <c r="C9" s="37">
        <f>IFERROR(INDEX(Clients!$G$6:$G$105,MATCH($C$5,Clients!$B$6:$B$105,0)),"")</f>
        <v/>
      </c>
      <c r="F9" s="1" t="n"/>
    </row>
    <row r="10">
      <c r="A10" s="1" t="n"/>
      <c r="B10" s="34" t="inlineStr">
        <is>
          <t>Attendance</t>
        </is>
      </c>
      <c r="C10" s="38">
        <f>IFERROR(IF(INDEX(Clients!$G$6:$G$105,MATCH($C$5,Clients!$B$6:$B$105,0))+INDEX(Clients!$I$6:$I$105,MATCH($C$5,Clients!$B$6:$B$105,0))=0,"",INDEX(Clients!$G$6:$G$105,MATCH($C$5,Clients!$B$6:$B$105,0))/(INDEX(Clients!$G$6:$G$105,MATCH($C$5,Clients!$B$6:$B$105,0))+INDEX(Clients!$I$6:$I$105,MATCH($C$5,Clients!$B$6:$B$105,0)))),"")</f>
        <v/>
      </c>
      <c r="F10" s="1" t="n"/>
    </row>
    <row r="11">
      <c r="A11" s="1" t="n"/>
      <c r="B11" s="34" t="inlineStr">
        <is>
          <t>Sessions left</t>
        </is>
      </c>
      <c r="C11" s="37">
        <f>IFERROR(IF(INDEX(Clients!$J$6:$J$105,MATCH($C$5,Clients!$B$6:$B$105,0))=0,"",INDEX(Clients!$L$6:$L$105,MATCH($C$5,Clients!$B$6:$B$105,0))),"")</f>
        <v/>
      </c>
      <c r="F11" s="1" t="n"/>
    </row>
    <row r="12">
      <c r="A12" s="1" t="n"/>
      <c r="B12" s="34" t="inlineStr">
        <is>
          <t>Check-ins</t>
        </is>
      </c>
      <c r="C12" s="35">
        <f>IF(COUNT('Check-ins'!$Q$6:$Q$1505)=0,"None yet",IF(COUNT('Check-ins'!$Q$6:$Q$1505)=1,"1, on "&amp;DAY(INT(SMALL('Check-ins'!$Q$6:$Q$1505,1)/10000))&amp;" "&amp;CHOOSE(MONTH(INT(SMALL('Check-ins'!$Q$6:$Q$1505,1)/10000)),"Jan","Feb","Mar","Apr","May","Jun","Jul","Aug","Sep","Oct","Nov","Dec")&amp;" "&amp;YEAR(INT(SMALL('Check-ins'!$Q$6:$Q$1505,1)/10000)),COUNT('Check-ins'!$Q$6:$Q$1505)&amp;", from "&amp;DAY(INT(SMALL('Check-ins'!$Q$6:$Q$1505,1)/10000))&amp;" "&amp;CHOOSE(MONTH(INT(SMALL('Check-ins'!$Q$6:$Q$1505,1)/10000)),"Jan","Feb","Mar","Apr","May","Jun","Jul","Aug","Sep","Oct","Nov","Dec")&amp;" "&amp;YEAR(INT(SMALL('Check-ins'!$Q$6:$Q$1505,1)/10000))&amp;" to "&amp;DAY(INT(LARGE('Check-ins'!$Q$6:$Q$1505,1)/10000))&amp;" "&amp;CHOOSE(MONTH(INT(LARGE('Check-ins'!$Q$6:$Q$1505,1)/10000)),"Jan","Feb","Mar","Apr","May","Jun","Jul","Aug","Sep","Oct","Nov","Dec")&amp;" "&amp;YEAR(INT(LARGE('Check-ins'!$Q$6:$Q$1505,1)/10000))))</f>
        <v/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 ht="30" customHeight="1">
      <c r="A14" s="1" t="n"/>
      <c r="B14" s="9" t="inlineStr">
        <is>
          <t>Measure</t>
        </is>
      </c>
      <c r="C14" s="9" t="inlineStr">
        <is>
          <t>First</t>
        </is>
      </c>
      <c r="D14" s="9" t="inlineStr">
        <is>
          <t>Latest</t>
        </is>
      </c>
      <c r="E14" s="9" t="inlineStr">
        <is>
          <t>Change</t>
        </is>
      </c>
      <c r="F14" s="1" t="n"/>
    </row>
    <row r="15">
      <c r="A15" s="1" t="n"/>
      <c r="B15" s="11">
        <f>'Check-ins'!D5</f>
        <v/>
      </c>
      <c r="C15" s="39">
        <f>IF(COUNT('Check-ins'!$R$6:$R$1505)=0,"",INDEX('Check-ins'!$D$1:$D$1505,MOD(SMALL('Check-ins'!$R$6:$R$1505,1),10000)))</f>
        <v/>
      </c>
      <c r="D15" s="39">
        <f>IF(COUNT('Check-ins'!$R$6:$R$1505)=0,"",INDEX('Check-ins'!$D$1:$D$1505,MOD(LARGE('Check-ins'!$R$6:$R$1505,1),10000)))</f>
        <v/>
      </c>
      <c r="E15" s="40">
        <f>IF(COUNT('Check-ins'!$R$6:$R$1505)&lt;2,"",D15-C15)</f>
        <v/>
      </c>
      <c r="F15" s="1" t="n"/>
    </row>
    <row r="16">
      <c r="A16" s="1" t="n"/>
      <c r="B16" s="11">
        <f>'Check-ins'!E5</f>
        <v/>
      </c>
      <c r="C16" s="39">
        <f>IF(COUNT('Check-ins'!$S$6:$S$1505)=0,"",INDEX('Check-ins'!$E$1:$E$1505,MOD(SMALL('Check-ins'!$S$6:$S$1505,1),10000)))</f>
        <v/>
      </c>
      <c r="D16" s="39">
        <f>IF(COUNT('Check-ins'!$S$6:$S$1505)=0,"",INDEX('Check-ins'!$E$1:$E$1505,MOD(LARGE('Check-ins'!$S$6:$S$1505,1),10000)))</f>
        <v/>
      </c>
      <c r="E16" s="40">
        <f>IF(COUNT('Check-ins'!$S$6:$S$1505)&lt;2,"",D16-C16)</f>
        <v/>
      </c>
      <c r="F16" s="1" t="n"/>
    </row>
    <row r="17">
      <c r="A17" s="1" t="n"/>
      <c r="B17" s="11">
        <f>'Check-ins'!F5</f>
        <v/>
      </c>
      <c r="C17" s="39">
        <f>IF(COUNT('Check-ins'!$T$6:$T$1505)=0,"",INDEX('Check-ins'!$F$1:$F$1505,MOD(SMALL('Check-ins'!$T$6:$T$1505,1),10000)))</f>
        <v/>
      </c>
      <c r="D17" s="39">
        <f>IF(COUNT('Check-ins'!$T$6:$T$1505)=0,"",INDEX('Check-ins'!$F$1:$F$1505,MOD(LARGE('Check-ins'!$T$6:$T$1505,1),10000)))</f>
        <v/>
      </c>
      <c r="E17" s="40">
        <f>IF(COUNT('Check-ins'!$T$6:$T$1505)&lt;2,"",D17-C17)</f>
        <v/>
      </c>
      <c r="F17" s="1" t="n"/>
    </row>
    <row r="18">
      <c r="A18" s="1" t="n"/>
      <c r="B18" s="11">
        <f>'Check-ins'!G5</f>
        <v/>
      </c>
      <c r="C18" s="39">
        <f>IF(COUNT('Check-ins'!$U$6:$U$1505)=0,"",INDEX('Check-ins'!$G$1:$G$1505,MOD(SMALL('Check-ins'!$U$6:$U$1505,1),10000)))</f>
        <v/>
      </c>
      <c r="D18" s="39">
        <f>IF(COUNT('Check-ins'!$U$6:$U$1505)=0,"",INDEX('Check-ins'!$G$1:$G$1505,MOD(LARGE('Check-ins'!$U$6:$U$1505,1),10000)))</f>
        <v/>
      </c>
      <c r="E18" s="40">
        <f>IF(COUNT('Check-ins'!$U$6:$U$1505)&lt;2,"",D18-C18)</f>
        <v/>
      </c>
      <c r="F18" s="1" t="n"/>
    </row>
    <row r="19">
      <c r="A19" s="1" t="n"/>
      <c r="B19" s="11">
        <f>'Check-ins'!H5</f>
        <v/>
      </c>
      <c r="C19" s="39">
        <f>IF(COUNT('Check-ins'!$V$6:$V$1505)=0,"",INDEX('Check-ins'!$H$1:$H$1505,MOD(SMALL('Check-ins'!$V$6:$V$1505,1),10000)))</f>
        <v/>
      </c>
      <c r="D19" s="39">
        <f>IF(COUNT('Check-ins'!$V$6:$V$1505)=0,"",INDEX('Check-ins'!$H$1:$H$1505,MOD(LARGE('Check-ins'!$V$6:$V$1505,1),10000)))</f>
        <v/>
      </c>
      <c r="E19" s="40">
        <f>IF(COUNT('Check-ins'!$V$6:$V$1505)&lt;2,"",D19-C19)</f>
        <v/>
      </c>
      <c r="F19" s="1" t="n"/>
    </row>
    <row r="20">
      <c r="A20" s="1" t="n"/>
      <c r="B20" s="11">
        <f>'Check-ins'!I5</f>
        <v/>
      </c>
      <c r="C20" s="39">
        <f>IF(COUNT('Check-ins'!$W$6:$W$1505)=0,"",INDEX('Check-ins'!$I$1:$I$1505,MOD(SMALL('Check-ins'!$W$6:$W$1505,1),10000)))</f>
        <v/>
      </c>
      <c r="D20" s="39">
        <f>IF(COUNT('Check-ins'!$W$6:$W$1505)=0,"",INDEX('Check-ins'!$I$1:$I$1505,MOD(LARGE('Check-ins'!$W$6:$W$1505,1),10000)))</f>
        <v/>
      </c>
      <c r="E20" s="40">
        <f>IF(COUNT('Check-ins'!$W$6:$W$1505)&lt;2,"",D20-C20)</f>
        <v/>
      </c>
      <c r="F20" s="1" t="n"/>
    </row>
    <row r="21">
      <c r="A21" s="1" t="n"/>
      <c r="B21" s="11">
        <f>'Check-ins'!J5</f>
        <v/>
      </c>
      <c r="C21" s="39">
        <f>IF(COUNT('Check-ins'!$X$6:$X$1505)=0,"",INDEX('Check-ins'!$J$1:$J$1505,MOD(SMALL('Check-ins'!$X$6:$X$1505,1),10000)))</f>
        <v/>
      </c>
      <c r="D21" s="39">
        <f>IF(COUNT('Check-ins'!$X$6:$X$1505)=0,"",INDEX('Check-ins'!$J$1:$J$1505,MOD(LARGE('Check-ins'!$X$6:$X$1505,1),10000)))</f>
        <v/>
      </c>
      <c r="E21" s="40">
        <f>IF(COUNT('Check-ins'!$X$6:$X$1505)&lt;2,"",D21-C21)</f>
        <v/>
      </c>
      <c r="F21" s="1" t="n"/>
    </row>
    <row r="22">
      <c r="A22" s="1" t="n"/>
      <c r="B22" s="1" t="n"/>
      <c r="C22" s="1" t="n"/>
      <c r="D22" s="1" t="n"/>
      <c r="E22" s="1" t="n"/>
      <c r="F22" s="1" t="n"/>
    </row>
    <row r="23" ht="30" customHeight="1">
      <c r="A23" s="1" t="n"/>
      <c r="B23" s="9" t="inlineStr">
        <is>
          <t>Mark</t>
        </is>
      </c>
      <c r="C23" s="9" t="inlineStr">
        <is>
          <t>First</t>
        </is>
      </c>
      <c r="D23" s="9" t="inlineStr">
        <is>
          <t>Best</t>
        </is>
      </c>
      <c r="E23" s="9" t="inlineStr">
        <is>
          <t>Latest</t>
        </is>
      </c>
      <c r="F23" s="1" t="n"/>
    </row>
    <row r="24">
      <c r="A24" s="1" t="n"/>
      <c r="B24" s="11">
        <f>'Check-ins'!K5</f>
        <v/>
      </c>
      <c r="C24" s="41">
        <f>IF(COUNT('Check-ins'!$Y$6:$Y$1505)=0,"",INDEX('Check-ins'!$K$1:$K$1505,MOD(SMALL('Check-ins'!$Y$6:$Y$1505,1),10000)))</f>
        <v/>
      </c>
      <c r="D24" s="42">
        <f>IF(COUNT('Check-ins'!$AB$6:$AB$1505)=0,"",IF(Settings!$D$12="Lower",MIN('Check-ins'!$AB$6:$AB$1505),MAX('Check-ins'!$AB$6:$AB$1505)))</f>
        <v/>
      </c>
      <c r="E24" s="41">
        <f>IF(COUNT('Check-ins'!$Y$6:$Y$1505)=0,"",INDEX('Check-ins'!$K$1:$K$1505,MOD(LARGE('Check-ins'!$Y$6:$Y$1505,1),10000)))</f>
        <v/>
      </c>
      <c r="F24" s="1" t="n"/>
    </row>
    <row r="25">
      <c r="A25" s="1" t="n"/>
      <c r="B25" s="11">
        <f>'Check-ins'!L5</f>
        <v/>
      </c>
      <c r="C25" s="41">
        <f>IF(COUNT('Check-ins'!$Z$6:$Z$1505)=0,"",INDEX('Check-ins'!$L$1:$L$1505,MOD(SMALL('Check-ins'!$Z$6:$Z$1505,1),10000)))</f>
        <v/>
      </c>
      <c r="D25" s="42">
        <f>IF(COUNT('Check-ins'!$AC$6:$AC$1505)=0,"",IF(Settings!$D$13="Lower",MIN('Check-ins'!$AC$6:$AC$1505),MAX('Check-ins'!$AC$6:$AC$1505)))</f>
        <v/>
      </c>
      <c r="E25" s="41">
        <f>IF(COUNT('Check-ins'!$Z$6:$Z$1505)=0,"",INDEX('Check-ins'!$L$1:$L$1505,MOD(LARGE('Check-ins'!$Z$6:$Z$1505,1),10000)))</f>
        <v/>
      </c>
      <c r="F25" s="1" t="n"/>
    </row>
    <row r="26">
      <c r="A26" s="1" t="n"/>
      <c r="B26" s="11">
        <f>'Check-ins'!M5</f>
        <v/>
      </c>
      <c r="C26" s="41">
        <f>IF(COUNT('Check-ins'!$AA$6:$AA$1505)=0,"",INDEX('Check-ins'!$M$1:$M$1505,MOD(SMALL('Check-ins'!$AA$6:$AA$1505,1),10000)))</f>
        <v/>
      </c>
      <c r="D26" s="42">
        <f>IF(COUNT('Check-ins'!$AD$6:$AD$1505)=0,"",IF(Settings!$D$14="Lower",MIN('Check-ins'!$AD$6:$AD$1505),MAX('Check-ins'!$AD$6:$AD$1505)))</f>
        <v/>
      </c>
      <c r="E26" s="41">
        <f>IF(COUNT('Check-ins'!$AA$6:$AA$1505)=0,"",INDEX('Check-ins'!$M$1:$M$1505,MOD(LARGE('Check-ins'!$AA$6:$AA$1505,1),10000)))</f>
        <v/>
      </c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43">
        <f>IF(COUNT('Check-ins'!$R$6:$R$1505)&lt;2,"","Weight at each check-in")</f>
        <v/>
      </c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44">
        <f>IF((MAX(0,COUNT('Check-ins'!$R$6:$R$1505)-12)+1)&gt;COUNT('Check-ins'!$R$6:$R$1505),"",DAY(INT(SMALL('Check-ins'!$R$6:$R$1505,(MAX(0,COUNT('Check-ins'!$R$6:$R$1505)-12)+1))/10000))&amp;" "&amp;CHOOSE(MONTH(INT(SMALL('Check-ins'!$R$6:$R$1505,(MAX(0,COUNT('Check-ins'!$R$6:$R$1505)-12)+1))/10000)),"Jan","Feb","Mar","Apr","May","Jun","Jul","Aug","Sep","Oct","Nov","Dec"))</f>
        <v/>
      </c>
      <c r="C30" s="44">
        <f>IF((MAX(0,COUNT('Check-ins'!$R$6:$R$1505)-12)+1)&gt;COUNT('Check-ins'!$R$6:$R$1505),NA(),INDEX('Check-ins'!$D$1:$D$1505,MOD(SMALL('Check-ins'!$R$6:$R$1505,(MAX(0,COUNT('Check-ins'!$R$6:$R$1505)-12)+1)),10000)))</f>
        <v/>
      </c>
      <c r="D30" s="1" t="n"/>
      <c r="E30" s="1" t="n"/>
      <c r="F30" s="1" t="n"/>
    </row>
    <row r="31">
      <c r="A31" s="1" t="n"/>
      <c r="B31" s="44">
        <f>IF((MAX(0,COUNT('Check-ins'!$R$6:$R$1505)-12)+2)&gt;COUNT('Check-ins'!$R$6:$R$1505),"",DAY(INT(SMALL('Check-ins'!$R$6:$R$1505,(MAX(0,COUNT('Check-ins'!$R$6:$R$1505)-12)+2))/10000))&amp;" "&amp;CHOOSE(MONTH(INT(SMALL('Check-ins'!$R$6:$R$1505,(MAX(0,COUNT('Check-ins'!$R$6:$R$1505)-12)+2))/10000)),"Jan","Feb","Mar","Apr","May","Jun","Jul","Aug","Sep","Oct","Nov","Dec"))</f>
        <v/>
      </c>
      <c r="C31" s="44">
        <f>IF((MAX(0,COUNT('Check-ins'!$R$6:$R$1505)-12)+2)&gt;COUNT('Check-ins'!$R$6:$R$1505),NA(),INDEX('Check-ins'!$D$1:$D$1505,MOD(SMALL('Check-ins'!$R$6:$R$1505,(MAX(0,COUNT('Check-ins'!$R$6:$R$1505)-12)+2)),10000)))</f>
        <v/>
      </c>
      <c r="D31" s="1" t="n"/>
      <c r="E31" s="1" t="n"/>
      <c r="F31" s="1" t="n"/>
    </row>
    <row r="32">
      <c r="A32" s="1" t="n"/>
      <c r="B32" s="44">
        <f>IF((MAX(0,COUNT('Check-ins'!$R$6:$R$1505)-12)+3)&gt;COUNT('Check-ins'!$R$6:$R$1505),"",DAY(INT(SMALL('Check-ins'!$R$6:$R$1505,(MAX(0,COUNT('Check-ins'!$R$6:$R$1505)-12)+3))/10000))&amp;" "&amp;CHOOSE(MONTH(INT(SMALL('Check-ins'!$R$6:$R$1505,(MAX(0,COUNT('Check-ins'!$R$6:$R$1505)-12)+3))/10000)),"Jan","Feb","Mar","Apr","May","Jun","Jul","Aug","Sep","Oct","Nov","Dec"))</f>
        <v/>
      </c>
      <c r="C32" s="44">
        <f>IF((MAX(0,COUNT('Check-ins'!$R$6:$R$1505)-12)+3)&gt;COUNT('Check-ins'!$R$6:$R$1505),NA(),INDEX('Check-ins'!$D$1:$D$1505,MOD(SMALL('Check-ins'!$R$6:$R$1505,(MAX(0,COUNT('Check-ins'!$R$6:$R$1505)-12)+3)),10000)))</f>
        <v/>
      </c>
      <c r="D32" s="1" t="n"/>
      <c r="E32" s="1" t="n"/>
      <c r="F32" s="1" t="n"/>
    </row>
    <row r="33">
      <c r="A33" s="1" t="n"/>
      <c r="B33" s="44">
        <f>IF((MAX(0,COUNT('Check-ins'!$R$6:$R$1505)-12)+4)&gt;COUNT('Check-ins'!$R$6:$R$1505),"",DAY(INT(SMALL('Check-ins'!$R$6:$R$1505,(MAX(0,COUNT('Check-ins'!$R$6:$R$1505)-12)+4))/10000))&amp;" "&amp;CHOOSE(MONTH(INT(SMALL('Check-ins'!$R$6:$R$1505,(MAX(0,COUNT('Check-ins'!$R$6:$R$1505)-12)+4))/10000)),"Jan","Feb","Mar","Apr","May","Jun","Jul","Aug","Sep","Oct","Nov","Dec"))</f>
        <v/>
      </c>
      <c r="C33" s="44">
        <f>IF((MAX(0,COUNT('Check-ins'!$R$6:$R$1505)-12)+4)&gt;COUNT('Check-ins'!$R$6:$R$1505),NA(),INDEX('Check-ins'!$D$1:$D$1505,MOD(SMALL('Check-ins'!$R$6:$R$1505,(MAX(0,COUNT('Check-ins'!$R$6:$R$1505)-12)+4)),10000)))</f>
        <v/>
      </c>
      <c r="D33" s="1" t="n"/>
      <c r="E33" s="1" t="n"/>
      <c r="F33" s="1" t="n"/>
    </row>
    <row r="34">
      <c r="A34" s="1" t="n"/>
      <c r="B34" s="44">
        <f>IF((MAX(0,COUNT('Check-ins'!$R$6:$R$1505)-12)+5)&gt;COUNT('Check-ins'!$R$6:$R$1505),"",DAY(INT(SMALL('Check-ins'!$R$6:$R$1505,(MAX(0,COUNT('Check-ins'!$R$6:$R$1505)-12)+5))/10000))&amp;" "&amp;CHOOSE(MONTH(INT(SMALL('Check-ins'!$R$6:$R$1505,(MAX(0,COUNT('Check-ins'!$R$6:$R$1505)-12)+5))/10000)),"Jan","Feb","Mar","Apr","May","Jun","Jul","Aug","Sep","Oct","Nov","Dec"))</f>
        <v/>
      </c>
      <c r="C34" s="44">
        <f>IF((MAX(0,COUNT('Check-ins'!$R$6:$R$1505)-12)+5)&gt;COUNT('Check-ins'!$R$6:$R$1505),NA(),INDEX('Check-ins'!$D$1:$D$1505,MOD(SMALL('Check-ins'!$R$6:$R$1505,(MAX(0,COUNT('Check-ins'!$R$6:$R$1505)-12)+5)),10000)))</f>
        <v/>
      </c>
      <c r="D34" s="1" t="n"/>
      <c r="E34" s="1" t="n"/>
      <c r="F34" s="1" t="n"/>
    </row>
    <row r="35">
      <c r="A35" s="1" t="n"/>
      <c r="B35" s="44">
        <f>IF((MAX(0,COUNT('Check-ins'!$R$6:$R$1505)-12)+6)&gt;COUNT('Check-ins'!$R$6:$R$1505),"",DAY(INT(SMALL('Check-ins'!$R$6:$R$1505,(MAX(0,COUNT('Check-ins'!$R$6:$R$1505)-12)+6))/10000))&amp;" "&amp;CHOOSE(MONTH(INT(SMALL('Check-ins'!$R$6:$R$1505,(MAX(0,COUNT('Check-ins'!$R$6:$R$1505)-12)+6))/10000)),"Jan","Feb","Mar","Apr","May","Jun","Jul","Aug","Sep","Oct","Nov","Dec"))</f>
        <v/>
      </c>
      <c r="C35" s="44">
        <f>IF((MAX(0,COUNT('Check-ins'!$R$6:$R$1505)-12)+6)&gt;COUNT('Check-ins'!$R$6:$R$1505),NA(),INDEX('Check-ins'!$D$1:$D$1505,MOD(SMALL('Check-ins'!$R$6:$R$1505,(MAX(0,COUNT('Check-ins'!$R$6:$R$1505)-12)+6)),10000)))</f>
        <v/>
      </c>
      <c r="D35" s="1" t="n"/>
      <c r="E35" s="1" t="n"/>
      <c r="F35" s="1" t="n"/>
    </row>
    <row r="36">
      <c r="A36" s="1" t="n"/>
      <c r="B36" s="44">
        <f>IF((MAX(0,COUNT('Check-ins'!$R$6:$R$1505)-12)+7)&gt;COUNT('Check-ins'!$R$6:$R$1505),"",DAY(INT(SMALL('Check-ins'!$R$6:$R$1505,(MAX(0,COUNT('Check-ins'!$R$6:$R$1505)-12)+7))/10000))&amp;" "&amp;CHOOSE(MONTH(INT(SMALL('Check-ins'!$R$6:$R$1505,(MAX(0,COUNT('Check-ins'!$R$6:$R$1505)-12)+7))/10000)),"Jan","Feb","Mar","Apr","May","Jun","Jul","Aug","Sep","Oct","Nov","Dec"))</f>
        <v/>
      </c>
      <c r="C36" s="44">
        <f>IF((MAX(0,COUNT('Check-ins'!$R$6:$R$1505)-12)+7)&gt;COUNT('Check-ins'!$R$6:$R$1505),NA(),INDEX('Check-ins'!$D$1:$D$1505,MOD(SMALL('Check-ins'!$R$6:$R$1505,(MAX(0,COUNT('Check-ins'!$R$6:$R$1505)-12)+7)),10000)))</f>
        <v/>
      </c>
      <c r="D36" s="1" t="n"/>
      <c r="E36" s="1" t="n"/>
      <c r="F36" s="1" t="n"/>
    </row>
    <row r="37">
      <c r="A37" s="1" t="n"/>
      <c r="B37" s="44">
        <f>IF((MAX(0,COUNT('Check-ins'!$R$6:$R$1505)-12)+8)&gt;COUNT('Check-ins'!$R$6:$R$1505),"",DAY(INT(SMALL('Check-ins'!$R$6:$R$1505,(MAX(0,COUNT('Check-ins'!$R$6:$R$1505)-12)+8))/10000))&amp;" "&amp;CHOOSE(MONTH(INT(SMALL('Check-ins'!$R$6:$R$1505,(MAX(0,COUNT('Check-ins'!$R$6:$R$1505)-12)+8))/10000)),"Jan","Feb","Mar","Apr","May","Jun","Jul","Aug","Sep","Oct","Nov","Dec"))</f>
        <v/>
      </c>
      <c r="C37" s="44">
        <f>IF((MAX(0,COUNT('Check-ins'!$R$6:$R$1505)-12)+8)&gt;COUNT('Check-ins'!$R$6:$R$1505),NA(),INDEX('Check-ins'!$D$1:$D$1505,MOD(SMALL('Check-ins'!$R$6:$R$1505,(MAX(0,COUNT('Check-ins'!$R$6:$R$1505)-12)+8)),10000)))</f>
        <v/>
      </c>
      <c r="D37" s="1" t="n"/>
      <c r="E37" s="1" t="n"/>
      <c r="F37" s="1" t="n"/>
    </row>
    <row r="38">
      <c r="A38" s="1" t="n"/>
      <c r="B38" s="44">
        <f>IF((MAX(0,COUNT('Check-ins'!$R$6:$R$1505)-12)+9)&gt;COUNT('Check-ins'!$R$6:$R$1505),"",DAY(INT(SMALL('Check-ins'!$R$6:$R$1505,(MAX(0,COUNT('Check-ins'!$R$6:$R$1505)-12)+9))/10000))&amp;" "&amp;CHOOSE(MONTH(INT(SMALL('Check-ins'!$R$6:$R$1505,(MAX(0,COUNT('Check-ins'!$R$6:$R$1505)-12)+9))/10000)),"Jan","Feb","Mar","Apr","May","Jun","Jul","Aug","Sep","Oct","Nov","Dec"))</f>
        <v/>
      </c>
      <c r="C38" s="44">
        <f>IF((MAX(0,COUNT('Check-ins'!$R$6:$R$1505)-12)+9)&gt;COUNT('Check-ins'!$R$6:$R$1505),NA(),INDEX('Check-ins'!$D$1:$D$1505,MOD(SMALL('Check-ins'!$R$6:$R$1505,(MAX(0,COUNT('Check-ins'!$R$6:$R$1505)-12)+9)),10000)))</f>
        <v/>
      </c>
      <c r="D38" s="1" t="n"/>
      <c r="E38" s="1" t="n"/>
      <c r="F38" s="1" t="n"/>
    </row>
    <row r="39">
      <c r="A39" s="1" t="n"/>
      <c r="B39" s="44">
        <f>IF((MAX(0,COUNT('Check-ins'!$R$6:$R$1505)-12)+10)&gt;COUNT('Check-ins'!$R$6:$R$1505),"",DAY(INT(SMALL('Check-ins'!$R$6:$R$1505,(MAX(0,COUNT('Check-ins'!$R$6:$R$1505)-12)+10))/10000))&amp;" "&amp;CHOOSE(MONTH(INT(SMALL('Check-ins'!$R$6:$R$1505,(MAX(0,COUNT('Check-ins'!$R$6:$R$1505)-12)+10))/10000)),"Jan","Feb","Mar","Apr","May","Jun","Jul","Aug","Sep","Oct","Nov","Dec"))</f>
        <v/>
      </c>
      <c r="C39" s="44">
        <f>IF((MAX(0,COUNT('Check-ins'!$R$6:$R$1505)-12)+10)&gt;COUNT('Check-ins'!$R$6:$R$1505),NA(),INDEX('Check-ins'!$D$1:$D$1505,MOD(SMALL('Check-ins'!$R$6:$R$1505,(MAX(0,COUNT('Check-ins'!$R$6:$R$1505)-12)+10)),10000)))</f>
        <v/>
      </c>
      <c r="D39" s="1" t="n"/>
      <c r="E39" s="1" t="n"/>
      <c r="F39" s="1" t="n"/>
    </row>
    <row r="40">
      <c r="A40" s="1" t="n"/>
      <c r="B40" s="44">
        <f>IF((MAX(0,COUNT('Check-ins'!$R$6:$R$1505)-12)+11)&gt;COUNT('Check-ins'!$R$6:$R$1505),"",DAY(INT(SMALL('Check-ins'!$R$6:$R$1505,(MAX(0,COUNT('Check-ins'!$R$6:$R$1505)-12)+11))/10000))&amp;" "&amp;CHOOSE(MONTH(INT(SMALL('Check-ins'!$R$6:$R$1505,(MAX(0,COUNT('Check-ins'!$R$6:$R$1505)-12)+11))/10000)),"Jan","Feb","Mar","Apr","May","Jun","Jul","Aug","Sep","Oct","Nov","Dec"))</f>
        <v/>
      </c>
      <c r="C40" s="44">
        <f>IF((MAX(0,COUNT('Check-ins'!$R$6:$R$1505)-12)+11)&gt;COUNT('Check-ins'!$R$6:$R$1505),NA(),INDEX('Check-ins'!$D$1:$D$1505,MOD(SMALL('Check-ins'!$R$6:$R$1505,(MAX(0,COUNT('Check-ins'!$R$6:$R$1505)-12)+11)),10000)))</f>
        <v/>
      </c>
      <c r="D40" s="1" t="n"/>
      <c r="E40" s="1" t="n"/>
      <c r="F40" s="1" t="n"/>
    </row>
    <row r="41">
      <c r="A41" s="1" t="n"/>
      <c r="B41" s="44">
        <f>IF((MAX(0,COUNT('Check-ins'!$R$6:$R$1505)-12)+12)&gt;COUNT('Check-ins'!$R$6:$R$1505),"",DAY(INT(SMALL('Check-ins'!$R$6:$R$1505,(MAX(0,COUNT('Check-ins'!$R$6:$R$1505)-12)+12))/10000))&amp;" "&amp;CHOOSE(MONTH(INT(SMALL('Check-ins'!$R$6:$R$1505,(MAX(0,COUNT('Check-ins'!$R$6:$R$1505)-12)+12))/10000)),"Jan","Feb","Mar","Apr","May","Jun","Jul","Aug","Sep","Oct","Nov","Dec"))</f>
        <v/>
      </c>
      <c r="C41" s="44">
        <f>IF((MAX(0,COUNT('Check-ins'!$R$6:$R$1505)-12)+12)&gt;COUNT('Check-ins'!$R$6:$R$1505),NA(),INDEX('Check-ins'!$D$1:$D$1505,MOD(SMALL('Check-ins'!$R$6:$R$1505,(MAX(0,COUNT('Check-ins'!$R$6:$R$1505)-12)+12)),10000)))</f>
        <v/>
      </c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34" t="inlineStr">
        <is>
          <t>Latest note</t>
        </is>
      </c>
      <c r="C43" s="1" t="n"/>
      <c r="D43" s="1" t="n"/>
      <c r="E43" s="1" t="n"/>
      <c r="F43" s="1" t="n"/>
    </row>
    <row r="44">
      <c r="A44" s="1" t="n"/>
      <c r="B44" s="45">
        <f>IF(COUNT('Check-ins'!$Q$6:$Q$1505)=0,"",IF(INDEX('Check-ins'!$N$1:$N$1505,MOD(LARGE('Check-ins'!$Q$6:$Q$1505,1),10000))="","",INDEX('Check-ins'!$N$1:$N$1505,MOD(LARGE('Check-ins'!$Q$6:$Q$1505,1),10000))))</f>
        <v/>
      </c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46" t="inlineStr">
        <is>
          <t>These are the numbers recorded at each check-in. They are not medical advice.</t>
        </is>
      </c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</sheetData>
  <mergeCells count="8">
    <mergeCell ref="C11:E11"/>
    <mergeCell ref="C5:E5"/>
    <mergeCell ref="C8:E8"/>
    <mergeCell ref="C9:E9"/>
    <mergeCell ref="B44:E46"/>
    <mergeCell ref="C7:E7"/>
    <mergeCell ref="C12:E12"/>
    <mergeCell ref="C10:E10"/>
  </mergeCells>
  <dataValidations count="1">
    <dataValidation sqref="C5" showDropDown="0" showInputMessage="0" showErrorMessage="0" allowBlank="1" type="list">
      <formula1>=Clients!$B$6:$B$105</formula1>
    </dataValidation>
  </dataValidations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2" customWidth="1" min="4" max="4"/>
    <col width="5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Your business name for the report, the units, and when a client needs attention.</t>
        </is>
      </c>
      <c r="C3" s="1" t="n"/>
      <c r="D3" s="1" t="n"/>
      <c r="E3" s="1" t="n"/>
      <c r="F3" s="1" t="n"/>
    </row>
    <row r="4">
      <c r="A4" s="1" t="n"/>
      <c r="B4" s="34" t="inlineStr">
        <is>
          <t>Business name</t>
        </is>
      </c>
      <c r="C4" s="27" t="inlineStr">
        <is>
          <t>Northside Strength</t>
        </is>
      </c>
      <c r="D4" s="1" t="n"/>
      <c r="E4" s="31" t="inlineStr">
        <is>
          <t>At the top of the progress report.</t>
        </is>
      </c>
      <c r="F4" s="1" t="n"/>
    </row>
    <row r="5">
      <c r="A5" s="1" t="n"/>
      <c r="B5" s="34" t="inlineStr">
        <is>
          <t>Weight unit</t>
        </is>
      </c>
      <c r="C5" s="20" t="inlineStr">
        <is>
          <t>kg</t>
        </is>
      </c>
      <c r="D5" s="1" t="n"/>
      <c r="E5" s="31" t="inlineStr">
        <is>
          <t>Only a label: type the numbers in this unit.</t>
        </is>
      </c>
      <c r="F5" s="1" t="n"/>
    </row>
    <row r="6">
      <c r="A6" s="1" t="n"/>
      <c r="B6" s="34" t="inlineStr">
        <is>
          <t>Length unit</t>
        </is>
      </c>
      <c r="C6" s="20" t="inlineStr">
        <is>
          <t>cm</t>
        </is>
      </c>
      <c r="D6" s="1" t="n"/>
      <c r="E6" s="31" t="inlineStr">
        <is>
          <t>For waist, hips, chest, arm and thigh.</t>
        </is>
      </c>
      <c r="F6" s="1" t="n"/>
    </row>
    <row r="7">
      <c r="A7" s="1" t="n"/>
      <c r="B7" s="34" t="inlineStr">
        <is>
          <t>Few sessions left, at most</t>
        </is>
      </c>
      <c r="C7" s="25" t="n">
        <v>2</v>
      </c>
      <c r="D7" s="1" t="n"/>
      <c r="E7" s="31" t="inlineStr">
        <is>
          <t>A client shows Few sessions left from this number down.</t>
        </is>
      </c>
      <c r="F7" s="1" t="n"/>
    </row>
    <row r="8">
      <c r="A8" s="1" t="n"/>
      <c r="B8" s="34" t="inlineStr">
        <is>
          <t>Check-in every (weeks)</t>
        </is>
      </c>
      <c r="C8" s="25" t="n">
        <v>4</v>
      </c>
      <c r="D8" s="1" t="n"/>
      <c r="E8" s="31" t="inlineStr">
        <is>
          <t>When the next check-in is due.</t>
        </is>
      </c>
      <c r="F8" s="1" t="n"/>
    </row>
    <row r="9">
      <c r="A9" s="1" t="n"/>
      <c r="B9" s="34" t="inlineStr">
        <is>
          <t>A late cancel uses a session</t>
        </is>
      </c>
      <c r="C9" s="20" t="inlineStr">
        <is>
          <t>Yes</t>
        </is>
      </c>
      <c r="D9" s="1" t="n"/>
      <c r="E9" s="31" t="inlineStr">
        <is>
          <t>Yes or No. A no-show always uses one.</t>
        </is>
      </c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43" t="inlineStr">
        <is>
          <t>Performance marks</t>
        </is>
      </c>
      <c r="C11" s="43" t="inlineStr">
        <is>
          <t>Name</t>
        </is>
      </c>
      <c r="D11" s="43" t="inlineStr">
        <is>
          <t>Better when</t>
        </is>
      </c>
      <c r="E11" s="1" t="n"/>
      <c r="F11" s="1" t="n"/>
    </row>
    <row r="12">
      <c r="A12" s="1" t="n"/>
      <c r="B12" s="1" t="inlineStr">
        <is>
          <t>Mark 1</t>
        </is>
      </c>
      <c r="C12" s="27" t="inlineStr">
        <is>
          <t>Squat (kg)</t>
        </is>
      </c>
      <c r="D12" s="20" t="inlineStr">
        <is>
          <t>Higher</t>
        </is>
      </c>
      <c r="E12" s="31" t="inlineStr">
        <is>
          <t>Any three tests you repeat, such as a lift, a count or a time.</t>
        </is>
      </c>
      <c r="F12" s="1" t="n"/>
    </row>
    <row r="13">
      <c r="A13" s="1" t="n"/>
      <c r="B13" s="1" t="inlineStr">
        <is>
          <t>Mark 2</t>
        </is>
      </c>
      <c r="C13" s="27" t="inlineStr">
        <is>
          <t>Push-ups</t>
        </is>
      </c>
      <c r="D13" s="20" t="inlineStr">
        <is>
          <t>Higher</t>
        </is>
      </c>
      <c r="E13" s="1" t="n"/>
      <c r="F13" s="1" t="n"/>
    </row>
    <row r="14">
      <c r="A14" s="1" t="n"/>
      <c r="B14" s="1" t="inlineStr">
        <is>
          <t>Mark 3</t>
        </is>
      </c>
      <c r="C14" s="27" t="inlineStr">
        <is>
          <t>1 km row (min)</t>
        </is>
      </c>
      <c r="D14" s="20" t="inlineStr">
        <is>
          <t>Lower</t>
        </is>
      </c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</sheetData>
  <dataValidations count="2">
    <dataValidation sqref="C9" showDropDown="0" showInputMessage="0" showErrorMessage="1" allowBlank="1" type="list">
      <formula1>"Yes,No"</formula1>
    </dataValidation>
    <dataValidation sqref="D12:D14" showDropDown="0" showInputMessage="0" showErrorMessage="1" allowBlank="1" type="list">
      <formula1>"Higher,Lower"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8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7" t="inlineStr">
        <is>
          <t>1</t>
        </is>
      </c>
      <c r="C5" s="48" t="inlineStr">
        <is>
          <t>Settings: your business name, your units, and your three performance marks.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7" t="inlineStr">
        <is>
          <t>2</t>
        </is>
      </c>
      <c r="C7" s="48" t="inlineStr">
        <is>
          <t>Clients: each client once, with the day they started and their goal.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7" t="inlineStr">
        <is>
          <t>3</t>
        </is>
      </c>
      <c r="C9" s="48" t="inlineStr">
        <is>
          <t>Packages: each block of sessions a client buys, with what they have paid.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7" t="inlineStr">
        <is>
          <t>4</t>
        </is>
      </c>
      <c r="C11" s="48" t="inlineStr">
        <is>
          <t>Sessions: book them ahead, then pick Attended, No-show, Late cancel or Cancelled.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7" t="inlineStr">
        <is>
          <t>5</t>
        </is>
      </c>
      <c r="C13" s="48" t="inlineStr">
        <is>
          <t>Check-ins and Report: record the measurements, then print the report for the client.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studio and its clients are made up. To remove them, select the yellow cells and press Delete, rather than deleting whole rows.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file records numbers. It gives no health or training advice.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 and any unit.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2026-09-28T21:01:11Z</dcterms:created>
  <dcterms:modified xsi:type="dcterms:W3CDTF">2026-09-28T21:01:17Z</dcterms:modified>
</cp:coreProperties>
</file>