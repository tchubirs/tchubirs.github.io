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plan" sheetId="1" state="visible" r:id="rId1"/>
    <sheet name="Grocery list" sheetId="2" state="visible" r:id="rId2"/>
    <sheet name="Recipes" sheetId="3" state="visible" r:id="rId3"/>
    <sheet name="Ingredients" sheetId="4" state="visible" r:id="rId4"/>
    <sheet name="Pantry" sheetId="5" state="visible" r:id="rId5"/>
    <sheet name="Settings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ddd d mmm"/>
  </numFmts>
  <fonts count="16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1E2A2F"/>
      <sz val="10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15525A"/>
      <sz val="13"/>
    </font>
    <font>
      <name val="Arial"/>
      <b val="1"/>
      <color rgb="0015525A"/>
      <sz val="11"/>
    </font>
    <font>
      <name val="Arial"/>
      <b val="1"/>
      <color rgb="0015525A"/>
      <sz val="10"/>
    </font>
    <font>
      <name val="Arial"/>
      <b val="1"/>
      <color rgb="001F6F78"/>
      <sz val="18"/>
    </font>
    <font>
      <name val="Arial"/>
      <color rgb="001E2A2F"/>
      <sz val="13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FFE2B8"/>
        <bgColor rgb="00FFE2B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164" fontId="3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2" borderId="1" pivotButton="0" quotePrefix="0" xfId="0"/>
    <xf numFmtId="1" fontId="9" fillId="2" borderId="1" applyAlignment="1" pivotButton="0" quotePrefix="0" xfId="0">
      <alignment horizontal="right"/>
    </xf>
    <xf numFmtId="4" fontId="10" fillId="2" borderId="1" applyAlignment="1" pivotButton="0" quotePrefix="0" xfId="0">
      <alignment horizontal="right"/>
    </xf>
    <xf numFmtId="4" fontId="9" fillId="2" borderId="1" applyAlignment="1" pivotButton="0" quotePrefix="0" xfId="0">
      <alignment horizontal="right"/>
    </xf>
    <xf numFmtId="0" fontId="6" fillId="5" borderId="1" applyAlignment="1" pivotButton="0" quotePrefix="0" xfId="0">
      <alignment vertical="center"/>
    </xf>
    <xf numFmtId="0" fontId="0" fillId="0" borderId="1" pivotButton="0" quotePrefix="0" xfId="0"/>
    <xf numFmtId="0" fontId="11" fillId="2" borderId="0" pivotButton="0" quotePrefix="0" xfId="0"/>
    <xf numFmtId="0" fontId="0" fillId="0" borderId="4" pivotButton="0" quotePrefix="0" xfId="0"/>
    <xf numFmtId="0" fontId="3" fillId="2" borderId="1" pivotButton="0" quotePrefix="0" xfId="0"/>
    <xf numFmtId="0" fontId="6" fillId="2" borderId="1" pivotButton="0" quotePrefix="0" xfId="0"/>
    <xf numFmtId="1" fontId="6" fillId="2" borderId="1" applyAlignment="1" pivotButton="0" quotePrefix="0" xfId="0">
      <alignment horizontal="center" vertical="center"/>
    </xf>
    <xf numFmtId="4" fontId="6" fillId="2" borderId="1" pivotButton="0" quotePrefix="0" xfId="0"/>
    <xf numFmtId="164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4" fontId="12" fillId="2" borderId="0" pivotButton="0" quotePrefix="0" xfId="0"/>
    <xf numFmtId="0" fontId="13" fillId="2" borderId="1" pivotButton="0" quotePrefix="0" xfId="0"/>
    <xf numFmtId="1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6" fillId="3" borderId="1" pivotButton="0" quotePrefix="0" xfId="0"/>
    <xf numFmtId="1" fontId="6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4" fontId="6" fillId="3" borderId="1" pivotButton="0" quotePrefix="0" xfId="0"/>
    <xf numFmtId="0" fontId="14" fillId="2" borderId="0" pivotButton="0" quotePrefix="0" xfId="0"/>
    <xf numFmtId="0" fontId="15" fillId="2" borderId="0" pivotButton="0" quotePrefix="0" xfId="0"/>
  </cellXfs>
  <cellStyles count="1">
    <cellStyle name="Normal" xfId="0" builtinId="0" hidden="0"/>
  </cellStyles>
  <dxfs count="7">
    <dxf>
      <font>
        <name val="Arial"/>
        <i val="1"/>
        <color rgb="006B7B80"/>
      </font>
    </dxf>
    <dxf>
      <font>
        <name val="Arial"/>
        <b val="1"/>
        <color rgb="0015525A"/>
      </font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E6F2F2"/>
          <bgColor rgb="00E6F2F2"/>
        </patternFill>
      </fill>
    </dxf>
    <dxf>
      <font>
        <name val="Arial"/>
        <strike val="1"/>
        <color rgb="006B7B80"/>
      </font>
    </dxf>
    <dxf>
      <fill>
        <patternFill patternType="solid">
          <fgColor rgb="00FFE2B8"/>
          <bgColor rgb="00FFE2B8"/>
        </patternFill>
      </fill>
    </dxf>
    <dxf>
      <font>
        <name val="Arial"/>
        <color rgb="00A9B5B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4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Week plan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Pick a recipe for each meal. The grocery list builds itself from this plan.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4" t="inlineStr">
        <is>
          <t>First day</t>
        </is>
      </c>
      <c r="C5" s="5" t="n">
        <v>46293</v>
      </c>
      <c r="D5" s="6" t="inlineStr">
        <is>
          <t>Type the date of the first day. The other days follow.</t>
        </is>
      </c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30" customHeight="1">
      <c r="A7" s="1" t="n"/>
      <c r="B7" s="7" t="inlineStr">
        <is>
          <t>Meal</t>
        </is>
      </c>
      <c r="C7" s="8">
        <f>$C$5+0</f>
        <v/>
      </c>
      <c r="D7" s="8">
        <f>$C$5+1</f>
        <v/>
      </c>
      <c r="E7" s="8">
        <f>$C$5+2</f>
        <v/>
      </c>
      <c r="F7" s="8">
        <f>$C$5+3</f>
        <v/>
      </c>
      <c r="G7" s="8">
        <f>$C$5+4</f>
        <v/>
      </c>
      <c r="H7" s="8">
        <f>$C$5+5</f>
        <v/>
      </c>
      <c r="I7" s="8">
        <f>$C$5+6</f>
        <v/>
      </c>
      <c r="J7" s="1" t="n"/>
    </row>
    <row r="8">
      <c r="A8" s="1" t="n"/>
      <c r="B8" s="9" t="inlineStr">
        <is>
          <t>People</t>
        </is>
      </c>
      <c r="C8" s="10" t="n">
        <v>4</v>
      </c>
      <c r="D8" s="10" t="n">
        <v>4</v>
      </c>
      <c r="E8" s="10" t="n">
        <v>4</v>
      </c>
      <c r="F8" s="10" t="n">
        <v>4</v>
      </c>
      <c r="G8" s="10" t="n">
        <v>4</v>
      </c>
      <c r="H8" s="10" t="n">
        <v>2</v>
      </c>
      <c r="I8" s="10" t="n">
        <v>4</v>
      </c>
      <c r="J8" s="1" t="n"/>
    </row>
    <row r="9" ht="36" customHeight="1">
      <c r="A9" s="1" t="n"/>
      <c r="B9" s="11" t="inlineStr">
        <is>
          <t>Breakfast</t>
        </is>
      </c>
      <c r="C9" s="12" t="inlineStr">
        <is>
          <t>Overnight oats</t>
        </is>
      </c>
      <c r="D9" s="12" t="inlineStr">
        <is>
          <t>Scrambled eggs on toast</t>
        </is>
      </c>
      <c r="E9" s="12" t="inlineStr">
        <is>
          <t>Overnight oats</t>
        </is>
      </c>
      <c r="F9" s="12" t="inlineStr">
        <is>
          <t>Scrambled eggs on toast</t>
        </is>
      </c>
      <c r="G9" s="12" t="inlineStr">
        <is>
          <t>Overnight oats</t>
        </is>
      </c>
      <c r="H9" s="12" t="inlineStr">
        <is>
          <t>Veggie omelette</t>
        </is>
      </c>
      <c r="I9" s="12" t="inlineStr">
        <is>
          <t>Scrambled eggs on toast</t>
        </is>
      </c>
      <c r="J9" s="1" t="n"/>
      <c r="Z9">
        <f>IF(C9="",0,N(C$8))</f>
        <v/>
      </c>
      <c r="AA9">
        <f>IF(D9="",0,N(D$8))</f>
        <v/>
      </c>
      <c r="AB9">
        <f>IF(E9="",0,N(E$8))</f>
        <v/>
      </c>
      <c r="AC9">
        <f>IF(F9="",0,N(F$8))</f>
        <v/>
      </c>
      <c r="AD9">
        <f>IF(G9="",0,N(G$8))</f>
        <v/>
      </c>
      <c r="AE9">
        <f>IF(H9="",0,N(H$8))</f>
        <v/>
      </c>
      <c r="AF9">
        <f>IF(I9="",0,N(I$8))</f>
        <v/>
      </c>
      <c r="AH9">
        <f>IF(C9="","",IF(COUNTIF(Recipes!$B$6:$B$105,C9)&gt;0,"recipe","other"))</f>
        <v/>
      </c>
      <c r="AI9">
        <f>IF(D9="","",IF(COUNTIF(Recipes!$B$6:$B$105,D9)&gt;0,"recipe","other"))</f>
        <v/>
      </c>
      <c r="AJ9">
        <f>IF(E9="","",IF(COUNTIF(Recipes!$B$6:$B$105,E9)&gt;0,"recipe","other"))</f>
        <v/>
      </c>
      <c r="AK9">
        <f>IF(F9="","",IF(COUNTIF(Recipes!$B$6:$B$105,F9)&gt;0,"recipe","other"))</f>
        <v/>
      </c>
      <c r="AL9">
        <f>IF(G9="","",IF(COUNTIF(Recipes!$B$6:$B$105,G9)&gt;0,"recipe","other"))</f>
        <v/>
      </c>
      <c r="AM9">
        <f>IF(H9="","",IF(COUNTIF(Recipes!$B$6:$B$105,H9)&gt;0,"recipe","other"))</f>
        <v/>
      </c>
      <c r="AN9">
        <f>IF(I9="","",IF(COUNTIF(Recipes!$B$6:$B$105,I9)&gt;0,"recipe","other"))</f>
        <v/>
      </c>
    </row>
    <row r="10" ht="36" customHeight="1">
      <c r="A10" s="1" t="n"/>
      <c r="B10" s="11" t="inlineStr">
        <is>
          <t>Lunch</t>
        </is>
      </c>
      <c r="C10" s="12" t="inlineStr">
        <is>
          <t>Lentil soup</t>
        </is>
      </c>
      <c r="D10" s="12" t="inlineStr">
        <is>
          <t>Lentil soup</t>
        </is>
      </c>
      <c r="E10" s="12" t="inlineStr">
        <is>
          <t>Tuna pasta salad</t>
        </is>
      </c>
      <c r="F10" s="12" t="inlineStr">
        <is>
          <t>Chicken Caesar wraps</t>
        </is>
      </c>
      <c r="G10" s="12" t="inlineStr">
        <is>
          <t>Tuna pasta salad</t>
        </is>
      </c>
      <c r="H10" s="12" t="inlineStr">
        <is>
          <t>Leftovers</t>
        </is>
      </c>
      <c r="I10" s="12" t="inlineStr">
        <is>
          <t>Chicken Caesar wraps</t>
        </is>
      </c>
      <c r="J10" s="1" t="n"/>
      <c r="Z10">
        <f>IF(C10="",0,N(C$8))</f>
        <v/>
      </c>
      <c r="AA10">
        <f>IF(D10="",0,N(D$8))</f>
        <v/>
      </c>
      <c r="AB10">
        <f>IF(E10="",0,N(E$8))</f>
        <v/>
      </c>
      <c r="AC10">
        <f>IF(F10="",0,N(F$8))</f>
        <v/>
      </c>
      <c r="AD10">
        <f>IF(G10="",0,N(G$8))</f>
        <v/>
      </c>
      <c r="AE10">
        <f>IF(H10="",0,N(H$8))</f>
        <v/>
      </c>
      <c r="AF10">
        <f>IF(I10="",0,N(I$8))</f>
        <v/>
      </c>
      <c r="AH10">
        <f>IF(C10="","",IF(COUNTIF(Recipes!$B$6:$B$105,C10)&gt;0,"recipe","other"))</f>
        <v/>
      </c>
      <c r="AI10">
        <f>IF(D10="","",IF(COUNTIF(Recipes!$B$6:$B$105,D10)&gt;0,"recipe","other"))</f>
        <v/>
      </c>
      <c r="AJ10">
        <f>IF(E10="","",IF(COUNTIF(Recipes!$B$6:$B$105,E10)&gt;0,"recipe","other"))</f>
        <v/>
      </c>
      <c r="AK10">
        <f>IF(F10="","",IF(COUNTIF(Recipes!$B$6:$B$105,F10)&gt;0,"recipe","other"))</f>
        <v/>
      </c>
      <c r="AL10">
        <f>IF(G10="","",IF(COUNTIF(Recipes!$B$6:$B$105,G10)&gt;0,"recipe","other"))</f>
        <v/>
      </c>
      <c r="AM10">
        <f>IF(H10="","",IF(COUNTIF(Recipes!$B$6:$B$105,H10)&gt;0,"recipe","other"))</f>
        <v/>
      </c>
      <c r="AN10">
        <f>IF(I10="","",IF(COUNTIF(Recipes!$B$6:$B$105,I10)&gt;0,"recipe","other"))</f>
        <v/>
      </c>
    </row>
    <row r="11" ht="36" customHeight="1">
      <c r="A11" s="1" t="n"/>
      <c r="B11" s="11" t="inlineStr">
        <is>
          <t>Dinner</t>
        </is>
      </c>
      <c r="C11" s="12" t="inlineStr">
        <is>
          <t>Chicken stir fry with rice</t>
        </is>
      </c>
      <c r="D11" s="12" t="inlineStr">
        <is>
          <t>Spaghetti bolognese</t>
        </is>
      </c>
      <c r="E11" s="12" t="inlineStr">
        <is>
          <t>Black bean tacos</t>
        </is>
      </c>
      <c r="F11" s="12" t="inlineStr">
        <is>
          <t>Sheet pan salmon and potatoes</t>
        </is>
      </c>
      <c r="G11" s="12" t="inlineStr">
        <is>
          <t>Homemade pizza</t>
        </is>
      </c>
      <c r="H11" s="12" t="inlineStr">
        <is>
          <t>Eating out</t>
        </is>
      </c>
      <c r="I11" s="12" t="inlineStr">
        <is>
          <t>Spaghetti bolognese</t>
        </is>
      </c>
      <c r="J11" s="1" t="n"/>
      <c r="Z11">
        <f>IF(C11="",0,N(C$8))</f>
        <v/>
      </c>
      <c r="AA11">
        <f>IF(D11="",0,N(D$8))</f>
        <v/>
      </c>
      <c r="AB11">
        <f>IF(E11="",0,N(E$8))</f>
        <v/>
      </c>
      <c r="AC11">
        <f>IF(F11="",0,N(F$8))</f>
        <v/>
      </c>
      <c r="AD11">
        <f>IF(G11="",0,N(G$8))</f>
        <v/>
      </c>
      <c r="AE11">
        <f>IF(H11="",0,N(H$8))</f>
        <v/>
      </c>
      <c r="AF11">
        <f>IF(I11="",0,N(I$8))</f>
        <v/>
      </c>
      <c r="AH11">
        <f>IF(C11="","",IF(COUNTIF(Recipes!$B$6:$B$105,C11)&gt;0,"recipe","other"))</f>
        <v/>
      </c>
      <c r="AI11">
        <f>IF(D11="","",IF(COUNTIF(Recipes!$B$6:$B$105,D11)&gt;0,"recipe","other"))</f>
        <v/>
      </c>
      <c r="AJ11">
        <f>IF(E11="","",IF(COUNTIF(Recipes!$B$6:$B$105,E11)&gt;0,"recipe","other"))</f>
        <v/>
      </c>
      <c r="AK11">
        <f>IF(F11="","",IF(COUNTIF(Recipes!$B$6:$B$105,F11)&gt;0,"recipe","other"))</f>
        <v/>
      </c>
      <c r="AL11">
        <f>IF(G11="","",IF(COUNTIF(Recipes!$B$6:$B$105,G11)&gt;0,"recipe","other"))</f>
        <v/>
      </c>
      <c r="AM11">
        <f>IF(H11="","",IF(COUNTIF(Recipes!$B$6:$B$105,H11)&gt;0,"recipe","other"))</f>
        <v/>
      </c>
      <c r="AN11">
        <f>IF(I11="","",IF(COUNTIF(Recipes!$B$6:$B$105,I11)&gt;0,"recipe","other"))</f>
        <v/>
      </c>
    </row>
    <row r="12" ht="36" customHeight="1">
      <c r="A12" s="1" t="n"/>
      <c r="B12" s="11" t="inlineStr">
        <is>
          <t>Snack</t>
        </is>
      </c>
      <c r="C12" s="12" t="inlineStr">
        <is>
          <t>Apple and peanut butter</t>
        </is>
      </c>
      <c r="D12" s="12" t="inlineStr">
        <is>
          <t>Yogurt and berries</t>
        </is>
      </c>
      <c r="E12" s="12" t="inlineStr">
        <is>
          <t>Apple and peanut butter</t>
        </is>
      </c>
      <c r="F12" s="12" t="inlineStr">
        <is>
          <t>Yogurt and berries</t>
        </is>
      </c>
      <c r="G12" s="12" t="n"/>
      <c r="H12" s="12" t="n"/>
      <c r="I12" s="12" t="inlineStr">
        <is>
          <t>Apple and peanut butter</t>
        </is>
      </c>
      <c r="J12" s="1" t="n"/>
      <c r="Z12">
        <f>IF(C12="",0,N(C$8))</f>
        <v/>
      </c>
      <c r="AA12">
        <f>IF(D12="",0,N(D$8))</f>
        <v/>
      </c>
      <c r="AB12">
        <f>IF(E12="",0,N(E$8))</f>
        <v/>
      </c>
      <c r="AC12">
        <f>IF(F12="",0,N(F$8))</f>
        <v/>
      </c>
      <c r="AD12">
        <f>IF(G12="",0,N(G$8))</f>
        <v/>
      </c>
      <c r="AE12">
        <f>IF(H12="",0,N(H$8))</f>
        <v/>
      </c>
      <c r="AF12">
        <f>IF(I12="",0,N(I$8))</f>
        <v/>
      </c>
      <c r="AH12">
        <f>IF(C12="","",IF(COUNTIF(Recipes!$B$6:$B$105,C12)&gt;0,"recipe","other"))</f>
        <v/>
      </c>
      <c r="AI12">
        <f>IF(D12="","",IF(COUNTIF(Recipes!$B$6:$B$105,D12)&gt;0,"recipe","other"))</f>
        <v/>
      </c>
      <c r="AJ12">
        <f>IF(E12="","",IF(COUNTIF(Recipes!$B$6:$B$105,E12)&gt;0,"recipe","other"))</f>
        <v/>
      </c>
      <c r="AK12">
        <f>IF(F12="","",IF(COUNTIF(Recipes!$B$6:$B$105,F12)&gt;0,"recipe","other"))</f>
        <v/>
      </c>
      <c r="AL12">
        <f>IF(G12="","",IF(COUNTIF(Recipes!$B$6:$B$105,G12)&gt;0,"recipe","other"))</f>
        <v/>
      </c>
      <c r="AM12">
        <f>IF(H12="","",IF(COUNTIF(Recipes!$B$6:$B$105,H12)&gt;0,"recipe","other"))</f>
        <v/>
      </c>
      <c r="AN12">
        <f>IF(I12="","",IF(COUNTIF(Recipes!$B$6:$B$105,I12)&gt;0,"recipe","other"))</f>
        <v/>
      </c>
    </row>
    <row r="13" ht="36" customHeight="1">
      <c r="A13" s="1" t="n"/>
      <c r="B13" s="9" t="inlineStr">
        <is>
          <t>Prep notes</t>
        </is>
      </c>
      <c r="C13" s="13" t="inlineStr">
        <is>
          <t>Cook the soup for two days</t>
        </is>
      </c>
      <c r="D13" s="13" t="n"/>
      <c r="E13" s="13" t="inlineStr">
        <is>
          <t>Move the salmon to the fridge</t>
        </is>
      </c>
      <c r="F13" s="13" t="n"/>
      <c r="G13" s="13" t="n"/>
      <c r="H13" s="13" t="n"/>
      <c r="I13" s="13" t="inlineStr">
        <is>
          <t>Plan next week</t>
        </is>
      </c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4" t="inlineStr">
        <is>
          <t>Meals planned</t>
        </is>
      </c>
      <c r="D15" s="14" t="inlineStr">
        <is>
          <t>Recipes to cook</t>
        </is>
      </c>
      <c r="E15" s="14" t="inlineStr">
        <is>
          <t>Items to buy</t>
        </is>
      </c>
      <c r="F15" s="14" t="inlineStr">
        <is>
          <t>Shopping cost</t>
        </is>
      </c>
      <c r="G15" s="14" t="inlineStr">
        <is>
          <t>Per person per day</t>
        </is>
      </c>
      <c r="H15" s="1" t="n"/>
      <c r="I15" s="1" t="n"/>
      <c r="J15" s="1" t="n"/>
    </row>
    <row r="16" ht="34" customHeight="1">
      <c r="A16" s="1" t="n"/>
      <c r="B16" s="1" t="n"/>
      <c r="C16" s="15">
        <f>COUNTIF(C9:I12,"?*")</f>
        <v/>
      </c>
      <c r="D16" s="15">
        <f>COUNTIFS(Recipes!$G$6:$G$105,"&gt;0")</f>
        <v/>
      </c>
      <c r="E16" s="15">
        <f>COUNTIFS(Pantry!$L$6:$L$305,"&gt;0")</f>
        <v/>
      </c>
      <c r="F16" s="16">
        <f>SUM(Pantry!$M$6:$M$305)</f>
        <v/>
      </c>
      <c r="G16" s="17">
        <f>IF(SUM(C8:I8)=0,0,F16/SUM(C8:I8))</f>
        <v/>
      </c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4" t="inlineStr">
        <is>
          <t>Checks</t>
        </is>
      </c>
      <c r="C18" s="18">
        <f>IF(COUNTIFS(Ingredients!$E$6:$E$1005,"Add to Pantry")=0,"Every ingredient is in the Pantry",IF(COUNTIFS(Ingredients!$E$6:$E$1005,"Add to Pantry")=1,"1 ingredient line is not in the Pantry yet, so the list leaves it out",COUNTIFS(Ingredients!$E$6:$E$1005,"Add to Pantry")&amp;" ingredient lines are not in the Pantry yet, so the list leaves them out"))</f>
        <v/>
      </c>
      <c r="D18" s="19" t="n"/>
      <c r="E18" s="19" t="n"/>
      <c r="F18" s="19" t="n"/>
      <c r="G18" s="19" t="n"/>
      <c r="H18" s="19" t="n"/>
      <c r="I18" s="19" t="n"/>
      <c r="J18" s="1" t="n"/>
    </row>
    <row r="19">
      <c r="A19" s="1" t="n"/>
      <c r="B19" s="1" t="n"/>
      <c r="C19" s="18">
        <f>IF(COUNTIFS(Recipes!$G$6:$G$105,"&gt;0",Recipes!$J$6:$J$105,0)=0,"Every planned recipe has its ingredients",IF(COUNTIFS(Recipes!$G$6:$G$105,"&gt;0",Recipes!$J$6:$J$105,0)=1,"1 planned recipe has",COUNTIFS(Recipes!$G$6:$G$105,"&gt;0",Recipes!$J$6:$J$105,0)&amp;" planned recipes have")&amp;" no ingredients yet")</f>
        <v/>
      </c>
      <c r="D19" s="19" t="n"/>
      <c r="E19" s="19" t="n"/>
      <c r="F19" s="19" t="n"/>
      <c r="G19" s="19" t="n"/>
      <c r="H19" s="19" t="n"/>
      <c r="I19" s="19" t="n"/>
      <c r="J19" s="1" t="n"/>
    </row>
    <row r="20">
      <c r="A20" s="1" t="n"/>
      <c r="B20" s="1" t="n"/>
      <c r="C20" s="18">
        <f>IF(COUNTIFS(Pantry!$L$6:$L$305,"&gt;0",Pantry!$G$6:$G$305,"")=0,"Every item on the list has a price",IF(COUNTIFS(Pantry!$L$6:$L$305,"&gt;0",Pantry!$G$6:$G$305,"")=1,"1 item on the list has",COUNTIFS(Pantry!$L$6:$L$305,"&gt;0",Pantry!$G$6:$G$305,"")&amp;" items on the list have")&amp;" no price yet, so the cost is too low")</f>
        <v/>
      </c>
      <c r="D20" s="19" t="n"/>
      <c r="E20" s="19" t="n"/>
      <c r="F20" s="19" t="n"/>
      <c r="G20" s="19" t="n"/>
      <c r="H20" s="19" t="n"/>
      <c r="I20" s="19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20" t="inlineStr">
        <is>
          <t>Cooking this week</t>
        </is>
      </c>
      <c r="D22" s="1" t="n"/>
      <c r="E22" s="1" t="n"/>
      <c r="F22" s="1" t="n"/>
      <c r="G22" s="1" t="n"/>
      <c r="H22" s="1" t="n"/>
      <c r="I22" s="1" t="n"/>
      <c r="J22" s="1" t="n"/>
    </row>
    <row r="23" ht="30" customHeight="1">
      <c r="A23" s="1" t="n"/>
      <c r="B23" s="1" t="n"/>
      <c r="C23" s="7" t="inlineStr">
        <is>
          <t>Recipe</t>
        </is>
      </c>
      <c r="D23" s="21" t="n"/>
      <c r="E23" s="7" t="inlineStr">
        <is>
          <t>Times</t>
        </is>
      </c>
      <c r="F23" s="7" t="inlineStr">
        <is>
          <t>Servings</t>
        </is>
      </c>
      <c r="G23" s="7" t="inlineStr">
        <is>
          <t>Minutes</t>
        </is>
      </c>
      <c r="H23" s="7" t="inlineStr">
        <is>
          <t>Cost per serving</t>
        </is>
      </c>
      <c r="I23" s="1" t="n"/>
      <c r="J23" s="1" t="n"/>
    </row>
    <row r="24">
      <c r="A24" s="1" t="n"/>
      <c r="B24" s="1" t="n"/>
      <c r="C24" s="22">
        <f>IF(AP24="","",INDEX(Recipes!$B$1:$B$105,AP24))</f>
        <v/>
      </c>
      <c r="D24" s="23" t="n"/>
      <c r="E24" s="24">
        <f>IF(AP24="","",INDEX(Recipes!$G$1:$G$105,AP24))</f>
        <v/>
      </c>
      <c r="F24" s="24">
        <f>IF(AP24="","",INDEX(Recipes!$H$1:$H$105,AP24))</f>
        <v/>
      </c>
      <c r="G24" s="24">
        <f>IF(AP24="","",IF(INDEX(Recipes!$E$1:$E$105,AP24)="","",INDEX(Recipes!$E$1:$E$105,AP24)))</f>
        <v/>
      </c>
      <c r="H24" s="25">
        <f>IF(AP24="","",INDEX(Recipes!$I$1:$I$105,AP24))</f>
        <v/>
      </c>
      <c r="I24" s="1" t="n"/>
      <c r="J24" s="1" t="n"/>
      <c r="AP24">
        <f>IFERROR(SMALL(Recipes!$K$6:$K$105,1),"")</f>
        <v/>
      </c>
    </row>
    <row r="25">
      <c r="A25" s="1" t="n"/>
      <c r="B25" s="1" t="n"/>
      <c r="C25" s="22">
        <f>IF(AP25="","",INDEX(Recipes!$B$1:$B$105,AP25))</f>
        <v/>
      </c>
      <c r="D25" s="23" t="n"/>
      <c r="E25" s="24">
        <f>IF(AP25="","",INDEX(Recipes!$G$1:$G$105,AP25))</f>
        <v/>
      </c>
      <c r="F25" s="24">
        <f>IF(AP25="","",INDEX(Recipes!$H$1:$H$105,AP25))</f>
        <v/>
      </c>
      <c r="G25" s="24">
        <f>IF(AP25="","",IF(INDEX(Recipes!$E$1:$E$105,AP25)="","",INDEX(Recipes!$E$1:$E$105,AP25)))</f>
        <v/>
      </c>
      <c r="H25" s="25">
        <f>IF(AP25="","",INDEX(Recipes!$I$1:$I$105,AP25))</f>
        <v/>
      </c>
      <c r="I25" s="1" t="n"/>
      <c r="J25" s="1" t="n"/>
      <c r="AP25">
        <f>IFERROR(SMALL(Recipes!$K$6:$K$105,2),"")</f>
        <v/>
      </c>
    </row>
    <row r="26">
      <c r="A26" s="1" t="n"/>
      <c r="B26" s="1" t="n"/>
      <c r="C26" s="22">
        <f>IF(AP26="","",INDEX(Recipes!$B$1:$B$105,AP26))</f>
        <v/>
      </c>
      <c r="D26" s="23" t="n"/>
      <c r="E26" s="24">
        <f>IF(AP26="","",INDEX(Recipes!$G$1:$G$105,AP26))</f>
        <v/>
      </c>
      <c r="F26" s="24">
        <f>IF(AP26="","",INDEX(Recipes!$H$1:$H$105,AP26))</f>
        <v/>
      </c>
      <c r="G26" s="24">
        <f>IF(AP26="","",IF(INDEX(Recipes!$E$1:$E$105,AP26)="","",INDEX(Recipes!$E$1:$E$105,AP26)))</f>
        <v/>
      </c>
      <c r="H26" s="25">
        <f>IF(AP26="","",INDEX(Recipes!$I$1:$I$105,AP26))</f>
        <v/>
      </c>
      <c r="I26" s="1" t="n"/>
      <c r="J26" s="1" t="n"/>
      <c r="AP26">
        <f>IFERROR(SMALL(Recipes!$K$6:$K$105,3),"")</f>
        <v/>
      </c>
    </row>
    <row r="27">
      <c r="A27" s="1" t="n"/>
      <c r="B27" s="1" t="n"/>
      <c r="C27" s="22">
        <f>IF(AP27="","",INDEX(Recipes!$B$1:$B$105,AP27))</f>
        <v/>
      </c>
      <c r="D27" s="23" t="n"/>
      <c r="E27" s="24">
        <f>IF(AP27="","",INDEX(Recipes!$G$1:$G$105,AP27))</f>
        <v/>
      </c>
      <c r="F27" s="24">
        <f>IF(AP27="","",INDEX(Recipes!$H$1:$H$105,AP27))</f>
        <v/>
      </c>
      <c r="G27" s="24">
        <f>IF(AP27="","",IF(INDEX(Recipes!$E$1:$E$105,AP27)="","",INDEX(Recipes!$E$1:$E$105,AP27)))</f>
        <v/>
      </c>
      <c r="H27" s="25">
        <f>IF(AP27="","",INDEX(Recipes!$I$1:$I$105,AP27))</f>
        <v/>
      </c>
      <c r="I27" s="1" t="n"/>
      <c r="J27" s="1" t="n"/>
      <c r="AP27">
        <f>IFERROR(SMALL(Recipes!$K$6:$K$105,4),"")</f>
        <v/>
      </c>
    </row>
    <row r="28">
      <c r="A28" s="1" t="n"/>
      <c r="B28" s="1" t="n"/>
      <c r="C28" s="22">
        <f>IF(AP28="","",INDEX(Recipes!$B$1:$B$105,AP28))</f>
        <v/>
      </c>
      <c r="D28" s="23" t="n"/>
      <c r="E28" s="24">
        <f>IF(AP28="","",INDEX(Recipes!$G$1:$G$105,AP28))</f>
        <v/>
      </c>
      <c r="F28" s="24">
        <f>IF(AP28="","",INDEX(Recipes!$H$1:$H$105,AP28))</f>
        <v/>
      </c>
      <c r="G28" s="24">
        <f>IF(AP28="","",IF(INDEX(Recipes!$E$1:$E$105,AP28)="","",INDEX(Recipes!$E$1:$E$105,AP28)))</f>
        <v/>
      </c>
      <c r="H28" s="25">
        <f>IF(AP28="","",INDEX(Recipes!$I$1:$I$105,AP28))</f>
        <v/>
      </c>
      <c r="I28" s="1" t="n"/>
      <c r="J28" s="1" t="n"/>
      <c r="AP28">
        <f>IFERROR(SMALL(Recipes!$K$6:$K$105,5),"")</f>
        <v/>
      </c>
    </row>
    <row r="29">
      <c r="A29" s="1" t="n"/>
      <c r="B29" s="1" t="n"/>
      <c r="C29" s="22">
        <f>IF(AP29="","",INDEX(Recipes!$B$1:$B$105,AP29))</f>
        <v/>
      </c>
      <c r="D29" s="23" t="n"/>
      <c r="E29" s="24">
        <f>IF(AP29="","",INDEX(Recipes!$G$1:$G$105,AP29))</f>
        <v/>
      </c>
      <c r="F29" s="24">
        <f>IF(AP29="","",INDEX(Recipes!$H$1:$H$105,AP29))</f>
        <v/>
      </c>
      <c r="G29" s="24">
        <f>IF(AP29="","",IF(INDEX(Recipes!$E$1:$E$105,AP29)="","",INDEX(Recipes!$E$1:$E$105,AP29)))</f>
        <v/>
      </c>
      <c r="H29" s="25">
        <f>IF(AP29="","",INDEX(Recipes!$I$1:$I$105,AP29))</f>
        <v/>
      </c>
      <c r="I29" s="1" t="n"/>
      <c r="J29" s="1" t="n"/>
      <c r="AP29">
        <f>IFERROR(SMALL(Recipes!$K$6:$K$105,6),"")</f>
        <v/>
      </c>
    </row>
    <row r="30">
      <c r="A30" s="1" t="n"/>
      <c r="B30" s="1" t="n"/>
      <c r="C30" s="22">
        <f>IF(AP30="","",INDEX(Recipes!$B$1:$B$105,AP30))</f>
        <v/>
      </c>
      <c r="D30" s="23" t="n"/>
      <c r="E30" s="24">
        <f>IF(AP30="","",INDEX(Recipes!$G$1:$G$105,AP30))</f>
        <v/>
      </c>
      <c r="F30" s="24">
        <f>IF(AP30="","",INDEX(Recipes!$H$1:$H$105,AP30))</f>
        <v/>
      </c>
      <c r="G30" s="24">
        <f>IF(AP30="","",IF(INDEX(Recipes!$E$1:$E$105,AP30)="","",INDEX(Recipes!$E$1:$E$105,AP30)))</f>
        <v/>
      </c>
      <c r="H30" s="25">
        <f>IF(AP30="","",INDEX(Recipes!$I$1:$I$105,AP30))</f>
        <v/>
      </c>
      <c r="I30" s="1" t="n"/>
      <c r="J30" s="1" t="n"/>
      <c r="AP30">
        <f>IFERROR(SMALL(Recipes!$K$6:$K$105,7),"")</f>
        <v/>
      </c>
    </row>
    <row r="31">
      <c r="A31" s="1" t="n"/>
      <c r="B31" s="1" t="n"/>
      <c r="C31" s="22">
        <f>IF(AP31="","",INDEX(Recipes!$B$1:$B$105,AP31))</f>
        <v/>
      </c>
      <c r="D31" s="23" t="n"/>
      <c r="E31" s="24">
        <f>IF(AP31="","",INDEX(Recipes!$G$1:$G$105,AP31))</f>
        <v/>
      </c>
      <c r="F31" s="24">
        <f>IF(AP31="","",INDEX(Recipes!$H$1:$H$105,AP31))</f>
        <v/>
      </c>
      <c r="G31" s="24">
        <f>IF(AP31="","",IF(INDEX(Recipes!$E$1:$E$105,AP31)="","",INDEX(Recipes!$E$1:$E$105,AP31)))</f>
        <v/>
      </c>
      <c r="H31" s="25">
        <f>IF(AP31="","",INDEX(Recipes!$I$1:$I$105,AP31))</f>
        <v/>
      </c>
      <c r="I31" s="1" t="n"/>
      <c r="J31" s="1" t="n"/>
      <c r="AP31">
        <f>IFERROR(SMALL(Recipes!$K$6:$K$105,8),"")</f>
        <v/>
      </c>
    </row>
    <row r="32">
      <c r="A32" s="1" t="n"/>
      <c r="B32" s="1" t="n"/>
      <c r="C32" s="22">
        <f>IF(AP32="","",INDEX(Recipes!$B$1:$B$105,AP32))</f>
        <v/>
      </c>
      <c r="D32" s="23" t="n"/>
      <c r="E32" s="24">
        <f>IF(AP32="","",INDEX(Recipes!$G$1:$G$105,AP32))</f>
        <v/>
      </c>
      <c r="F32" s="24">
        <f>IF(AP32="","",INDEX(Recipes!$H$1:$H$105,AP32))</f>
        <v/>
      </c>
      <c r="G32" s="24">
        <f>IF(AP32="","",IF(INDEX(Recipes!$E$1:$E$105,AP32)="","",INDEX(Recipes!$E$1:$E$105,AP32)))</f>
        <v/>
      </c>
      <c r="H32" s="25">
        <f>IF(AP32="","",INDEX(Recipes!$I$1:$I$105,AP32))</f>
        <v/>
      </c>
      <c r="I32" s="1" t="n"/>
      <c r="J32" s="1" t="n"/>
      <c r="AP32">
        <f>IFERROR(SMALL(Recipes!$K$6:$K$105,9),"")</f>
        <v/>
      </c>
    </row>
    <row r="33">
      <c r="A33" s="1" t="n"/>
      <c r="B33" s="1" t="n"/>
      <c r="C33" s="22">
        <f>IF(AP33="","",INDEX(Recipes!$B$1:$B$105,AP33))</f>
        <v/>
      </c>
      <c r="D33" s="23" t="n"/>
      <c r="E33" s="24">
        <f>IF(AP33="","",INDEX(Recipes!$G$1:$G$105,AP33))</f>
        <v/>
      </c>
      <c r="F33" s="24">
        <f>IF(AP33="","",INDEX(Recipes!$H$1:$H$105,AP33))</f>
        <v/>
      </c>
      <c r="G33" s="24">
        <f>IF(AP33="","",IF(INDEX(Recipes!$E$1:$E$105,AP33)="","",INDEX(Recipes!$E$1:$E$105,AP33)))</f>
        <v/>
      </c>
      <c r="H33" s="25">
        <f>IF(AP33="","",INDEX(Recipes!$I$1:$I$105,AP33))</f>
        <v/>
      </c>
      <c r="I33" s="1" t="n"/>
      <c r="J33" s="1" t="n"/>
      <c r="AP33">
        <f>IFERROR(SMALL(Recipes!$K$6:$K$105,10),"")</f>
        <v/>
      </c>
    </row>
    <row r="34">
      <c r="A34" s="1" t="n"/>
      <c r="B34" s="1" t="n"/>
      <c r="C34" s="22">
        <f>IF(AP34="","",INDEX(Recipes!$B$1:$B$105,AP34))</f>
        <v/>
      </c>
      <c r="D34" s="23" t="n"/>
      <c r="E34" s="24">
        <f>IF(AP34="","",INDEX(Recipes!$G$1:$G$105,AP34))</f>
        <v/>
      </c>
      <c r="F34" s="24">
        <f>IF(AP34="","",INDEX(Recipes!$H$1:$H$105,AP34))</f>
        <v/>
      </c>
      <c r="G34" s="24">
        <f>IF(AP34="","",IF(INDEX(Recipes!$E$1:$E$105,AP34)="","",INDEX(Recipes!$E$1:$E$105,AP34)))</f>
        <v/>
      </c>
      <c r="H34" s="25">
        <f>IF(AP34="","",INDEX(Recipes!$I$1:$I$105,AP34))</f>
        <v/>
      </c>
      <c r="I34" s="1" t="n"/>
      <c r="J34" s="1" t="n"/>
      <c r="AP34">
        <f>IFERROR(SMALL(Recipes!$K$6:$K$105,11),"")</f>
        <v/>
      </c>
    </row>
    <row r="35">
      <c r="A35" s="1" t="n"/>
      <c r="B35" s="1" t="n"/>
      <c r="C35" s="22">
        <f>IF(AP35="","",INDEX(Recipes!$B$1:$B$105,AP35))</f>
        <v/>
      </c>
      <c r="D35" s="23" t="n"/>
      <c r="E35" s="24">
        <f>IF(AP35="","",INDEX(Recipes!$G$1:$G$105,AP35))</f>
        <v/>
      </c>
      <c r="F35" s="24">
        <f>IF(AP35="","",INDEX(Recipes!$H$1:$H$105,AP35))</f>
        <v/>
      </c>
      <c r="G35" s="24">
        <f>IF(AP35="","",IF(INDEX(Recipes!$E$1:$E$105,AP35)="","",INDEX(Recipes!$E$1:$E$105,AP35)))</f>
        <v/>
      </c>
      <c r="H35" s="25">
        <f>IF(AP35="","",INDEX(Recipes!$I$1:$I$105,AP35))</f>
        <v/>
      </c>
      <c r="I35" s="1" t="n"/>
      <c r="J35" s="1" t="n"/>
      <c r="AP35">
        <f>IFERROR(SMALL(Recipes!$K$6:$K$105,12),"")</f>
        <v/>
      </c>
    </row>
    <row r="36">
      <c r="A36" s="1" t="n"/>
      <c r="B36" s="1" t="n"/>
      <c r="C36" s="22">
        <f>IF(AP36="","",INDEX(Recipes!$B$1:$B$105,AP36))</f>
        <v/>
      </c>
      <c r="D36" s="23" t="n"/>
      <c r="E36" s="24">
        <f>IF(AP36="","",INDEX(Recipes!$G$1:$G$105,AP36))</f>
        <v/>
      </c>
      <c r="F36" s="24">
        <f>IF(AP36="","",INDEX(Recipes!$H$1:$H$105,AP36))</f>
        <v/>
      </c>
      <c r="G36" s="24">
        <f>IF(AP36="","",IF(INDEX(Recipes!$E$1:$E$105,AP36)="","",INDEX(Recipes!$E$1:$E$105,AP36)))</f>
        <v/>
      </c>
      <c r="H36" s="25">
        <f>IF(AP36="","",INDEX(Recipes!$I$1:$I$105,AP36))</f>
        <v/>
      </c>
      <c r="I36" s="1" t="n"/>
      <c r="J36" s="1" t="n"/>
      <c r="AP36">
        <f>IFERROR(SMALL(Recipes!$K$6:$K$105,13),"")</f>
        <v/>
      </c>
    </row>
    <row r="37">
      <c r="A37" s="1" t="n"/>
      <c r="B37" s="1" t="n"/>
      <c r="C37" s="22">
        <f>IF(AP37="","",INDEX(Recipes!$B$1:$B$105,AP37))</f>
        <v/>
      </c>
      <c r="D37" s="23" t="n"/>
      <c r="E37" s="24">
        <f>IF(AP37="","",INDEX(Recipes!$G$1:$G$105,AP37))</f>
        <v/>
      </c>
      <c r="F37" s="24">
        <f>IF(AP37="","",INDEX(Recipes!$H$1:$H$105,AP37))</f>
        <v/>
      </c>
      <c r="G37" s="24">
        <f>IF(AP37="","",IF(INDEX(Recipes!$E$1:$E$105,AP37)="","",INDEX(Recipes!$E$1:$E$105,AP37)))</f>
        <v/>
      </c>
      <c r="H37" s="25">
        <f>IF(AP37="","",INDEX(Recipes!$I$1:$I$105,AP37))</f>
        <v/>
      </c>
      <c r="I37" s="1" t="n"/>
      <c r="J37" s="1" t="n"/>
      <c r="AP37">
        <f>IFERROR(SMALL(Recipes!$K$6:$K$105,14),"")</f>
        <v/>
      </c>
    </row>
    <row r="38">
      <c r="A38" s="1" t="n"/>
      <c r="B38" s="1" t="n"/>
      <c r="C38" s="22">
        <f>IF(AP38="","",INDEX(Recipes!$B$1:$B$105,AP38))</f>
        <v/>
      </c>
      <c r="D38" s="23" t="n"/>
      <c r="E38" s="24">
        <f>IF(AP38="","",INDEX(Recipes!$G$1:$G$105,AP38))</f>
        <v/>
      </c>
      <c r="F38" s="24">
        <f>IF(AP38="","",INDEX(Recipes!$H$1:$H$105,AP38))</f>
        <v/>
      </c>
      <c r="G38" s="24">
        <f>IF(AP38="","",IF(INDEX(Recipes!$E$1:$E$105,AP38)="","",INDEX(Recipes!$E$1:$E$105,AP38)))</f>
        <v/>
      </c>
      <c r="H38" s="25">
        <f>IF(AP38="","",INDEX(Recipes!$I$1:$I$105,AP38))</f>
        <v/>
      </c>
      <c r="I38" s="1" t="n"/>
      <c r="J38" s="1" t="n"/>
      <c r="AP38">
        <f>IFERROR(SMALL(Recipes!$K$6:$K$105,15),"")</f>
        <v/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</sheetData>
  <mergeCells count="19">
    <mergeCell ref="C34:D34"/>
    <mergeCell ref="C24:D24"/>
    <mergeCell ref="C30:D30"/>
    <mergeCell ref="C33:D33"/>
    <mergeCell ref="C26:D26"/>
    <mergeCell ref="C19:I19"/>
    <mergeCell ref="C35:D35"/>
    <mergeCell ref="C29:D29"/>
    <mergeCell ref="C18:I18"/>
    <mergeCell ref="C25:D25"/>
    <mergeCell ref="C31:D31"/>
    <mergeCell ref="C27:D27"/>
    <mergeCell ref="C20:I20"/>
    <mergeCell ref="C36:D36"/>
    <mergeCell ref="C23:D23"/>
    <mergeCell ref="C32:D32"/>
    <mergeCell ref="C38:D38"/>
    <mergeCell ref="C37:D37"/>
    <mergeCell ref="C28:D28"/>
  </mergeCells>
  <conditionalFormatting sqref="C9:I12">
    <cfRule type="expression" priority="1" dxfId="0">
      <formula>AH9="other"</formula>
    </cfRule>
  </conditionalFormatting>
  <conditionalFormatting sqref="C7:I7">
    <cfRule type="expression" priority="2" dxfId="1">
      <formula>C7=TODAY()</formula>
    </cfRule>
  </conditionalFormatting>
  <conditionalFormatting sqref="C18">
    <cfRule type="expression" priority="3" dxfId="2">
      <formula>LEFT(C18,5)="Every"</formula>
    </cfRule>
  </conditionalFormatting>
  <conditionalFormatting sqref="C19">
    <cfRule type="expression" priority="4" dxfId="2">
      <formula>LEFT(C19,5)="Every"</formula>
    </cfRule>
  </conditionalFormatting>
  <conditionalFormatting sqref="C20">
    <cfRule type="expression" priority="5" dxfId="2">
      <formula>LEFT(C20,5)="Every"</formula>
    </cfRule>
  </conditionalFormatting>
  <dataValidations count="1">
    <dataValidation sqref="C9:I12" showDropDown="0" showInputMessage="0" showErrorMessage="0" allowBlank="1" type="list">
      <formula1>=Recipes!$B$6:$B$105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7" customWidth="1" min="4" max="4"/>
    <col width="16" customWidth="1" min="5" max="5"/>
    <col width="11" customWidth="1" min="6" max="6"/>
    <col width="8" customWidth="1" min="7" max="7"/>
    <col hidden="1" width="13" customWidth="1" min="9" max="9"/>
    <col hidden="1" width="13" customWidth="1" min="10" max="10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Grocery list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What the week needs, minus what you have at home, in the order of the store.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Week of</t>
        </is>
      </c>
      <c r="C5" s="26">
        <f>'Week plan'!C5</f>
        <v/>
      </c>
      <c r="D5" s="1" t="n"/>
      <c r="E5" s="27" t="inlineStr">
        <is>
          <t>Total</t>
        </is>
      </c>
      <c r="F5" s="28">
        <f>SUM(Pantry!$M$6:$M$305)</f>
        <v/>
      </c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30" customHeight="1">
      <c r="A7" s="1" t="n"/>
      <c r="B7" s="7" t="inlineStr">
        <is>
          <t>Section</t>
        </is>
      </c>
      <c r="C7" s="7" t="inlineStr">
        <is>
          <t>Item</t>
        </is>
      </c>
      <c r="D7" s="7" t="inlineStr">
        <is>
          <t>Buy</t>
        </is>
      </c>
      <c r="E7" s="7" t="inlineStr">
        <is>
          <t>Pack</t>
        </is>
      </c>
      <c r="F7" s="7" t="inlineStr">
        <is>
          <t>Cost</t>
        </is>
      </c>
      <c r="G7" s="7" t="inlineStr">
        <is>
          <t>Got it</t>
        </is>
      </c>
      <c r="H7" s="1" t="n"/>
    </row>
    <row r="8">
      <c r="A8" s="1" t="n"/>
      <c r="B8" s="29">
        <f>IF(J8="","",IF(K8=K7,"",K8))</f>
        <v/>
      </c>
      <c r="C8" s="23">
        <f>IF(J8="","",INDEX(Pantry!$B$6:$B$305,J8))</f>
        <v/>
      </c>
      <c r="D8" s="30">
        <f>IF(J8="","",INDEX(Pantry!$L$6:$L$305,J8))</f>
        <v/>
      </c>
      <c r="E8" s="23">
        <f>IF(J8="","",INDEX(Pantry!$E$6:$E$305,J8)&amp;"")</f>
        <v/>
      </c>
      <c r="F8" s="25">
        <f>IF(J8="","",INDEX(Pantry!$M$6:$M$305,J8))</f>
        <v/>
      </c>
      <c r="G8" s="31" t="n"/>
      <c r="H8" s="1" t="n"/>
      <c r="I8">
        <f>IFERROR(SMALL(Pantry!$O$6:$O$305,1),"")</f>
        <v/>
      </c>
      <c r="J8">
        <f>IF(I8="","",MATCH(I8,Pantry!$O$6:$O$305,0))</f>
        <v/>
      </c>
      <c r="K8">
        <f>IF(J8="","",IF(INDEX(Pantry!$D$6:$D$305,J8)&amp;""="","Other",INDEX(Pantry!$D$6:$D$305,J8)&amp;""))</f>
        <v/>
      </c>
    </row>
    <row r="9">
      <c r="A9" s="1" t="n"/>
      <c r="B9" s="29">
        <f>IF(J9="","",IF(K9=K8,"",K9))</f>
        <v/>
      </c>
      <c r="C9" s="23">
        <f>IF(J9="","",INDEX(Pantry!$B$6:$B$305,J9))</f>
        <v/>
      </c>
      <c r="D9" s="30">
        <f>IF(J9="","",INDEX(Pantry!$L$6:$L$305,J9))</f>
        <v/>
      </c>
      <c r="E9" s="23">
        <f>IF(J9="","",INDEX(Pantry!$E$6:$E$305,J9)&amp;"")</f>
        <v/>
      </c>
      <c r="F9" s="25">
        <f>IF(J9="","",INDEX(Pantry!$M$6:$M$305,J9))</f>
        <v/>
      </c>
      <c r="G9" s="31" t="n"/>
      <c r="H9" s="1" t="n"/>
      <c r="I9">
        <f>IFERROR(SMALL(Pantry!$O$6:$O$305,2),"")</f>
        <v/>
      </c>
      <c r="J9">
        <f>IF(I9="","",MATCH(I9,Pantry!$O$6:$O$305,0))</f>
        <v/>
      </c>
      <c r="K9">
        <f>IF(J9="","",IF(INDEX(Pantry!$D$6:$D$305,J9)&amp;""="","Other",INDEX(Pantry!$D$6:$D$305,J9)&amp;""))</f>
        <v/>
      </c>
    </row>
    <row r="10">
      <c r="A10" s="1" t="n"/>
      <c r="B10" s="29">
        <f>IF(J10="","",IF(K10=K9,"",K10))</f>
        <v/>
      </c>
      <c r="C10" s="23">
        <f>IF(J10="","",INDEX(Pantry!$B$6:$B$305,J10))</f>
        <v/>
      </c>
      <c r="D10" s="30">
        <f>IF(J10="","",INDEX(Pantry!$L$6:$L$305,J10))</f>
        <v/>
      </c>
      <c r="E10" s="23">
        <f>IF(J10="","",INDEX(Pantry!$E$6:$E$305,J10)&amp;"")</f>
        <v/>
      </c>
      <c r="F10" s="25">
        <f>IF(J10="","",INDEX(Pantry!$M$6:$M$305,J10))</f>
        <v/>
      </c>
      <c r="G10" s="31" t="n"/>
      <c r="H10" s="1" t="n"/>
      <c r="I10">
        <f>IFERROR(SMALL(Pantry!$O$6:$O$305,3),"")</f>
        <v/>
      </c>
      <c r="J10">
        <f>IF(I10="","",MATCH(I10,Pantry!$O$6:$O$305,0))</f>
        <v/>
      </c>
      <c r="K10">
        <f>IF(J10="","",IF(INDEX(Pantry!$D$6:$D$305,J10)&amp;""="","Other",INDEX(Pantry!$D$6:$D$305,J10)&amp;""))</f>
        <v/>
      </c>
    </row>
    <row r="11">
      <c r="A11" s="1" t="n"/>
      <c r="B11" s="29">
        <f>IF(J11="","",IF(K11=K10,"",K11))</f>
        <v/>
      </c>
      <c r="C11" s="23">
        <f>IF(J11="","",INDEX(Pantry!$B$6:$B$305,J11))</f>
        <v/>
      </c>
      <c r="D11" s="30">
        <f>IF(J11="","",INDEX(Pantry!$L$6:$L$305,J11))</f>
        <v/>
      </c>
      <c r="E11" s="23">
        <f>IF(J11="","",INDEX(Pantry!$E$6:$E$305,J11)&amp;"")</f>
        <v/>
      </c>
      <c r="F11" s="25">
        <f>IF(J11="","",INDEX(Pantry!$M$6:$M$305,J11))</f>
        <v/>
      </c>
      <c r="G11" s="31" t="n"/>
      <c r="H11" s="1" t="n"/>
      <c r="I11">
        <f>IFERROR(SMALL(Pantry!$O$6:$O$305,4),"")</f>
        <v/>
      </c>
      <c r="J11">
        <f>IF(I11="","",MATCH(I11,Pantry!$O$6:$O$305,0))</f>
        <v/>
      </c>
      <c r="K11">
        <f>IF(J11="","",IF(INDEX(Pantry!$D$6:$D$305,J11)&amp;""="","Other",INDEX(Pantry!$D$6:$D$305,J11)&amp;""))</f>
        <v/>
      </c>
    </row>
    <row r="12">
      <c r="A12" s="1" t="n"/>
      <c r="B12" s="29">
        <f>IF(J12="","",IF(K12=K11,"",K12))</f>
        <v/>
      </c>
      <c r="C12" s="23">
        <f>IF(J12="","",INDEX(Pantry!$B$6:$B$305,J12))</f>
        <v/>
      </c>
      <c r="D12" s="30">
        <f>IF(J12="","",INDEX(Pantry!$L$6:$L$305,J12))</f>
        <v/>
      </c>
      <c r="E12" s="23">
        <f>IF(J12="","",INDEX(Pantry!$E$6:$E$305,J12)&amp;"")</f>
        <v/>
      </c>
      <c r="F12" s="25">
        <f>IF(J12="","",INDEX(Pantry!$M$6:$M$305,J12))</f>
        <v/>
      </c>
      <c r="G12" s="31" t="n"/>
      <c r="H12" s="1" t="n"/>
      <c r="I12">
        <f>IFERROR(SMALL(Pantry!$O$6:$O$305,5),"")</f>
        <v/>
      </c>
      <c r="J12">
        <f>IF(I12="","",MATCH(I12,Pantry!$O$6:$O$305,0))</f>
        <v/>
      </c>
      <c r="K12">
        <f>IF(J12="","",IF(INDEX(Pantry!$D$6:$D$305,J12)&amp;""="","Other",INDEX(Pantry!$D$6:$D$305,J12)&amp;""))</f>
        <v/>
      </c>
    </row>
    <row r="13">
      <c r="A13" s="1" t="n"/>
      <c r="B13" s="29">
        <f>IF(J13="","",IF(K13=K12,"",K13))</f>
        <v/>
      </c>
      <c r="C13" s="23">
        <f>IF(J13="","",INDEX(Pantry!$B$6:$B$305,J13))</f>
        <v/>
      </c>
      <c r="D13" s="30">
        <f>IF(J13="","",INDEX(Pantry!$L$6:$L$305,J13))</f>
        <v/>
      </c>
      <c r="E13" s="23">
        <f>IF(J13="","",INDEX(Pantry!$E$6:$E$305,J13)&amp;"")</f>
        <v/>
      </c>
      <c r="F13" s="25">
        <f>IF(J13="","",INDEX(Pantry!$M$6:$M$305,J13))</f>
        <v/>
      </c>
      <c r="G13" s="31" t="n"/>
      <c r="H13" s="1" t="n"/>
      <c r="I13">
        <f>IFERROR(SMALL(Pantry!$O$6:$O$305,6),"")</f>
        <v/>
      </c>
      <c r="J13">
        <f>IF(I13="","",MATCH(I13,Pantry!$O$6:$O$305,0))</f>
        <v/>
      </c>
      <c r="K13">
        <f>IF(J13="","",IF(INDEX(Pantry!$D$6:$D$305,J13)&amp;""="","Other",INDEX(Pantry!$D$6:$D$305,J13)&amp;""))</f>
        <v/>
      </c>
    </row>
    <row r="14">
      <c r="A14" s="1" t="n"/>
      <c r="B14" s="29">
        <f>IF(J14="","",IF(K14=K13,"",K14))</f>
        <v/>
      </c>
      <c r="C14" s="23">
        <f>IF(J14="","",INDEX(Pantry!$B$6:$B$305,J14))</f>
        <v/>
      </c>
      <c r="D14" s="30">
        <f>IF(J14="","",INDEX(Pantry!$L$6:$L$305,J14))</f>
        <v/>
      </c>
      <c r="E14" s="23">
        <f>IF(J14="","",INDEX(Pantry!$E$6:$E$305,J14)&amp;"")</f>
        <v/>
      </c>
      <c r="F14" s="25">
        <f>IF(J14="","",INDEX(Pantry!$M$6:$M$305,J14))</f>
        <v/>
      </c>
      <c r="G14" s="31" t="n"/>
      <c r="H14" s="1" t="n"/>
      <c r="I14">
        <f>IFERROR(SMALL(Pantry!$O$6:$O$305,7),"")</f>
        <v/>
      </c>
      <c r="J14">
        <f>IF(I14="","",MATCH(I14,Pantry!$O$6:$O$305,0))</f>
        <v/>
      </c>
      <c r="K14">
        <f>IF(J14="","",IF(INDEX(Pantry!$D$6:$D$305,J14)&amp;""="","Other",INDEX(Pantry!$D$6:$D$305,J14)&amp;""))</f>
        <v/>
      </c>
    </row>
    <row r="15">
      <c r="A15" s="1" t="n"/>
      <c r="B15" s="29">
        <f>IF(J15="","",IF(K15=K14,"",K15))</f>
        <v/>
      </c>
      <c r="C15" s="23">
        <f>IF(J15="","",INDEX(Pantry!$B$6:$B$305,J15))</f>
        <v/>
      </c>
      <c r="D15" s="30">
        <f>IF(J15="","",INDEX(Pantry!$L$6:$L$305,J15))</f>
        <v/>
      </c>
      <c r="E15" s="23">
        <f>IF(J15="","",INDEX(Pantry!$E$6:$E$305,J15)&amp;"")</f>
        <v/>
      </c>
      <c r="F15" s="25">
        <f>IF(J15="","",INDEX(Pantry!$M$6:$M$305,J15))</f>
        <v/>
      </c>
      <c r="G15" s="31" t="n"/>
      <c r="H15" s="1" t="n"/>
      <c r="I15">
        <f>IFERROR(SMALL(Pantry!$O$6:$O$305,8),"")</f>
        <v/>
      </c>
      <c r="J15">
        <f>IF(I15="","",MATCH(I15,Pantry!$O$6:$O$305,0))</f>
        <v/>
      </c>
      <c r="K15">
        <f>IF(J15="","",IF(INDEX(Pantry!$D$6:$D$305,J15)&amp;""="","Other",INDEX(Pantry!$D$6:$D$305,J15)&amp;""))</f>
        <v/>
      </c>
    </row>
    <row r="16">
      <c r="A16" s="1" t="n"/>
      <c r="B16" s="29">
        <f>IF(J16="","",IF(K16=K15,"",K16))</f>
        <v/>
      </c>
      <c r="C16" s="23">
        <f>IF(J16="","",INDEX(Pantry!$B$6:$B$305,J16))</f>
        <v/>
      </c>
      <c r="D16" s="30">
        <f>IF(J16="","",INDEX(Pantry!$L$6:$L$305,J16))</f>
        <v/>
      </c>
      <c r="E16" s="23">
        <f>IF(J16="","",INDEX(Pantry!$E$6:$E$305,J16)&amp;"")</f>
        <v/>
      </c>
      <c r="F16" s="25">
        <f>IF(J16="","",INDEX(Pantry!$M$6:$M$305,J16))</f>
        <v/>
      </c>
      <c r="G16" s="31" t="n"/>
      <c r="H16" s="1" t="n"/>
      <c r="I16">
        <f>IFERROR(SMALL(Pantry!$O$6:$O$305,9),"")</f>
        <v/>
      </c>
      <c r="J16">
        <f>IF(I16="","",MATCH(I16,Pantry!$O$6:$O$305,0))</f>
        <v/>
      </c>
      <c r="K16">
        <f>IF(J16="","",IF(INDEX(Pantry!$D$6:$D$305,J16)&amp;""="","Other",INDEX(Pantry!$D$6:$D$305,J16)&amp;""))</f>
        <v/>
      </c>
    </row>
    <row r="17">
      <c r="A17" s="1" t="n"/>
      <c r="B17" s="29">
        <f>IF(J17="","",IF(K17=K16,"",K17))</f>
        <v/>
      </c>
      <c r="C17" s="23">
        <f>IF(J17="","",INDEX(Pantry!$B$6:$B$305,J17))</f>
        <v/>
      </c>
      <c r="D17" s="30">
        <f>IF(J17="","",INDEX(Pantry!$L$6:$L$305,J17))</f>
        <v/>
      </c>
      <c r="E17" s="23">
        <f>IF(J17="","",INDEX(Pantry!$E$6:$E$305,J17)&amp;"")</f>
        <v/>
      </c>
      <c r="F17" s="25">
        <f>IF(J17="","",INDEX(Pantry!$M$6:$M$305,J17))</f>
        <v/>
      </c>
      <c r="G17" s="31" t="n"/>
      <c r="H17" s="1" t="n"/>
      <c r="I17">
        <f>IFERROR(SMALL(Pantry!$O$6:$O$305,10),"")</f>
        <v/>
      </c>
      <c r="J17">
        <f>IF(I17="","",MATCH(I17,Pantry!$O$6:$O$305,0))</f>
        <v/>
      </c>
      <c r="K17">
        <f>IF(J17="","",IF(INDEX(Pantry!$D$6:$D$305,J17)&amp;""="","Other",INDEX(Pantry!$D$6:$D$305,J17)&amp;""))</f>
        <v/>
      </c>
    </row>
    <row r="18">
      <c r="A18" s="1" t="n"/>
      <c r="B18" s="29">
        <f>IF(J18="","",IF(K18=K17,"",K18))</f>
        <v/>
      </c>
      <c r="C18" s="23">
        <f>IF(J18="","",INDEX(Pantry!$B$6:$B$305,J18))</f>
        <v/>
      </c>
      <c r="D18" s="30">
        <f>IF(J18="","",INDEX(Pantry!$L$6:$L$305,J18))</f>
        <v/>
      </c>
      <c r="E18" s="23">
        <f>IF(J18="","",INDEX(Pantry!$E$6:$E$305,J18)&amp;"")</f>
        <v/>
      </c>
      <c r="F18" s="25">
        <f>IF(J18="","",INDEX(Pantry!$M$6:$M$305,J18))</f>
        <v/>
      </c>
      <c r="G18" s="31" t="n"/>
      <c r="H18" s="1" t="n"/>
      <c r="I18">
        <f>IFERROR(SMALL(Pantry!$O$6:$O$305,11),"")</f>
        <v/>
      </c>
      <c r="J18">
        <f>IF(I18="","",MATCH(I18,Pantry!$O$6:$O$305,0))</f>
        <v/>
      </c>
      <c r="K18">
        <f>IF(J18="","",IF(INDEX(Pantry!$D$6:$D$305,J18)&amp;""="","Other",INDEX(Pantry!$D$6:$D$305,J18)&amp;""))</f>
        <v/>
      </c>
    </row>
    <row r="19">
      <c r="A19" s="1" t="n"/>
      <c r="B19" s="29">
        <f>IF(J19="","",IF(K19=K18,"",K19))</f>
        <v/>
      </c>
      <c r="C19" s="23">
        <f>IF(J19="","",INDEX(Pantry!$B$6:$B$305,J19))</f>
        <v/>
      </c>
      <c r="D19" s="30">
        <f>IF(J19="","",INDEX(Pantry!$L$6:$L$305,J19))</f>
        <v/>
      </c>
      <c r="E19" s="23">
        <f>IF(J19="","",INDEX(Pantry!$E$6:$E$305,J19)&amp;"")</f>
        <v/>
      </c>
      <c r="F19" s="25">
        <f>IF(J19="","",INDEX(Pantry!$M$6:$M$305,J19))</f>
        <v/>
      </c>
      <c r="G19" s="31" t="n"/>
      <c r="H19" s="1" t="n"/>
      <c r="I19">
        <f>IFERROR(SMALL(Pantry!$O$6:$O$305,12),"")</f>
        <v/>
      </c>
      <c r="J19">
        <f>IF(I19="","",MATCH(I19,Pantry!$O$6:$O$305,0))</f>
        <v/>
      </c>
      <c r="K19">
        <f>IF(J19="","",IF(INDEX(Pantry!$D$6:$D$305,J19)&amp;""="","Other",INDEX(Pantry!$D$6:$D$305,J19)&amp;""))</f>
        <v/>
      </c>
    </row>
    <row r="20">
      <c r="A20" s="1" t="n"/>
      <c r="B20" s="29">
        <f>IF(J20="","",IF(K20=K19,"",K20))</f>
        <v/>
      </c>
      <c r="C20" s="23">
        <f>IF(J20="","",INDEX(Pantry!$B$6:$B$305,J20))</f>
        <v/>
      </c>
      <c r="D20" s="30">
        <f>IF(J20="","",INDEX(Pantry!$L$6:$L$305,J20))</f>
        <v/>
      </c>
      <c r="E20" s="23">
        <f>IF(J20="","",INDEX(Pantry!$E$6:$E$305,J20)&amp;"")</f>
        <v/>
      </c>
      <c r="F20" s="25">
        <f>IF(J20="","",INDEX(Pantry!$M$6:$M$305,J20))</f>
        <v/>
      </c>
      <c r="G20" s="31" t="n"/>
      <c r="H20" s="1" t="n"/>
      <c r="I20">
        <f>IFERROR(SMALL(Pantry!$O$6:$O$305,13),"")</f>
        <v/>
      </c>
      <c r="J20">
        <f>IF(I20="","",MATCH(I20,Pantry!$O$6:$O$305,0))</f>
        <v/>
      </c>
      <c r="K20">
        <f>IF(J20="","",IF(INDEX(Pantry!$D$6:$D$305,J20)&amp;""="","Other",INDEX(Pantry!$D$6:$D$305,J20)&amp;""))</f>
        <v/>
      </c>
    </row>
    <row r="21">
      <c r="A21" s="1" t="n"/>
      <c r="B21" s="29">
        <f>IF(J21="","",IF(K21=K20,"",K21))</f>
        <v/>
      </c>
      <c r="C21" s="23">
        <f>IF(J21="","",INDEX(Pantry!$B$6:$B$305,J21))</f>
        <v/>
      </c>
      <c r="D21" s="30">
        <f>IF(J21="","",INDEX(Pantry!$L$6:$L$305,J21))</f>
        <v/>
      </c>
      <c r="E21" s="23">
        <f>IF(J21="","",INDEX(Pantry!$E$6:$E$305,J21)&amp;"")</f>
        <v/>
      </c>
      <c r="F21" s="25">
        <f>IF(J21="","",INDEX(Pantry!$M$6:$M$305,J21))</f>
        <v/>
      </c>
      <c r="G21" s="31" t="n"/>
      <c r="H21" s="1" t="n"/>
      <c r="I21">
        <f>IFERROR(SMALL(Pantry!$O$6:$O$305,14),"")</f>
        <v/>
      </c>
      <c r="J21">
        <f>IF(I21="","",MATCH(I21,Pantry!$O$6:$O$305,0))</f>
        <v/>
      </c>
      <c r="K21">
        <f>IF(J21="","",IF(INDEX(Pantry!$D$6:$D$305,J21)&amp;""="","Other",INDEX(Pantry!$D$6:$D$305,J21)&amp;""))</f>
        <v/>
      </c>
    </row>
    <row r="22">
      <c r="A22" s="1" t="n"/>
      <c r="B22" s="29">
        <f>IF(J22="","",IF(K22=K21,"",K22))</f>
        <v/>
      </c>
      <c r="C22" s="23">
        <f>IF(J22="","",INDEX(Pantry!$B$6:$B$305,J22))</f>
        <v/>
      </c>
      <c r="D22" s="30">
        <f>IF(J22="","",INDEX(Pantry!$L$6:$L$305,J22))</f>
        <v/>
      </c>
      <c r="E22" s="23">
        <f>IF(J22="","",INDEX(Pantry!$E$6:$E$305,J22)&amp;"")</f>
        <v/>
      </c>
      <c r="F22" s="25">
        <f>IF(J22="","",INDEX(Pantry!$M$6:$M$305,J22))</f>
        <v/>
      </c>
      <c r="G22" s="31" t="n"/>
      <c r="H22" s="1" t="n"/>
      <c r="I22">
        <f>IFERROR(SMALL(Pantry!$O$6:$O$305,15),"")</f>
        <v/>
      </c>
      <c r="J22">
        <f>IF(I22="","",MATCH(I22,Pantry!$O$6:$O$305,0))</f>
        <v/>
      </c>
      <c r="K22">
        <f>IF(J22="","",IF(INDEX(Pantry!$D$6:$D$305,J22)&amp;""="","Other",INDEX(Pantry!$D$6:$D$305,J22)&amp;""))</f>
        <v/>
      </c>
    </row>
    <row r="23">
      <c r="A23" s="1" t="n"/>
      <c r="B23" s="29">
        <f>IF(J23="","",IF(K23=K22,"",K23))</f>
        <v/>
      </c>
      <c r="C23" s="23">
        <f>IF(J23="","",INDEX(Pantry!$B$6:$B$305,J23))</f>
        <v/>
      </c>
      <c r="D23" s="30">
        <f>IF(J23="","",INDEX(Pantry!$L$6:$L$305,J23))</f>
        <v/>
      </c>
      <c r="E23" s="23">
        <f>IF(J23="","",INDEX(Pantry!$E$6:$E$305,J23)&amp;"")</f>
        <v/>
      </c>
      <c r="F23" s="25">
        <f>IF(J23="","",INDEX(Pantry!$M$6:$M$305,J23))</f>
        <v/>
      </c>
      <c r="G23" s="31" t="n"/>
      <c r="H23" s="1" t="n"/>
      <c r="I23">
        <f>IFERROR(SMALL(Pantry!$O$6:$O$305,16),"")</f>
        <v/>
      </c>
      <c r="J23">
        <f>IF(I23="","",MATCH(I23,Pantry!$O$6:$O$305,0))</f>
        <v/>
      </c>
      <c r="K23">
        <f>IF(J23="","",IF(INDEX(Pantry!$D$6:$D$305,J23)&amp;""="","Other",INDEX(Pantry!$D$6:$D$305,J23)&amp;""))</f>
        <v/>
      </c>
    </row>
    <row r="24">
      <c r="A24" s="1" t="n"/>
      <c r="B24" s="29">
        <f>IF(J24="","",IF(K24=K23,"",K24))</f>
        <v/>
      </c>
      <c r="C24" s="23">
        <f>IF(J24="","",INDEX(Pantry!$B$6:$B$305,J24))</f>
        <v/>
      </c>
      <c r="D24" s="30">
        <f>IF(J24="","",INDEX(Pantry!$L$6:$L$305,J24))</f>
        <v/>
      </c>
      <c r="E24" s="23">
        <f>IF(J24="","",INDEX(Pantry!$E$6:$E$305,J24)&amp;"")</f>
        <v/>
      </c>
      <c r="F24" s="25">
        <f>IF(J24="","",INDEX(Pantry!$M$6:$M$305,J24))</f>
        <v/>
      </c>
      <c r="G24" s="31" t="n"/>
      <c r="H24" s="1" t="n"/>
      <c r="I24">
        <f>IFERROR(SMALL(Pantry!$O$6:$O$305,17),"")</f>
        <v/>
      </c>
      <c r="J24">
        <f>IF(I24="","",MATCH(I24,Pantry!$O$6:$O$305,0))</f>
        <v/>
      </c>
      <c r="K24">
        <f>IF(J24="","",IF(INDEX(Pantry!$D$6:$D$305,J24)&amp;""="","Other",INDEX(Pantry!$D$6:$D$305,J24)&amp;""))</f>
        <v/>
      </c>
    </row>
    <row r="25">
      <c r="A25" s="1" t="n"/>
      <c r="B25" s="29">
        <f>IF(J25="","",IF(K25=K24,"",K25))</f>
        <v/>
      </c>
      <c r="C25" s="23">
        <f>IF(J25="","",INDEX(Pantry!$B$6:$B$305,J25))</f>
        <v/>
      </c>
      <c r="D25" s="30">
        <f>IF(J25="","",INDEX(Pantry!$L$6:$L$305,J25))</f>
        <v/>
      </c>
      <c r="E25" s="23">
        <f>IF(J25="","",INDEX(Pantry!$E$6:$E$305,J25)&amp;"")</f>
        <v/>
      </c>
      <c r="F25" s="25">
        <f>IF(J25="","",INDEX(Pantry!$M$6:$M$305,J25))</f>
        <v/>
      </c>
      <c r="G25" s="31" t="n"/>
      <c r="H25" s="1" t="n"/>
      <c r="I25">
        <f>IFERROR(SMALL(Pantry!$O$6:$O$305,18),"")</f>
        <v/>
      </c>
      <c r="J25">
        <f>IF(I25="","",MATCH(I25,Pantry!$O$6:$O$305,0))</f>
        <v/>
      </c>
      <c r="K25">
        <f>IF(J25="","",IF(INDEX(Pantry!$D$6:$D$305,J25)&amp;""="","Other",INDEX(Pantry!$D$6:$D$305,J25)&amp;""))</f>
        <v/>
      </c>
    </row>
    <row r="26">
      <c r="A26" s="1" t="n"/>
      <c r="B26" s="29">
        <f>IF(J26="","",IF(K26=K25,"",K26))</f>
        <v/>
      </c>
      <c r="C26" s="23">
        <f>IF(J26="","",INDEX(Pantry!$B$6:$B$305,J26))</f>
        <v/>
      </c>
      <c r="D26" s="30">
        <f>IF(J26="","",INDEX(Pantry!$L$6:$L$305,J26))</f>
        <v/>
      </c>
      <c r="E26" s="23">
        <f>IF(J26="","",INDEX(Pantry!$E$6:$E$305,J26)&amp;"")</f>
        <v/>
      </c>
      <c r="F26" s="25">
        <f>IF(J26="","",INDEX(Pantry!$M$6:$M$305,J26))</f>
        <v/>
      </c>
      <c r="G26" s="31" t="n"/>
      <c r="H26" s="1" t="n"/>
      <c r="I26">
        <f>IFERROR(SMALL(Pantry!$O$6:$O$305,19),"")</f>
        <v/>
      </c>
      <c r="J26">
        <f>IF(I26="","",MATCH(I26,Pantry!$O$6:$O$305,0))</f>
        <v/>
      </c>
      <c r="K26">
        <f>IF(J26="","",IF(INDEX(Pantry!$D$6:$D$305,J26)&amp;""="","Other",INDEX(Pantry!$D$6:$D$305,J26)&amp;""))</f>
        <v/>
      </c>
    </row>
    <row r="27">
      <c r="A27" s="1" t="n"/>
      <c r="B27" s="29">
        <f>IF(J27="","",IF(K27=K26,"",K27))</f>
        <v/>
      </c>
      <c r="C27" s="23">
        <f>IF(J27="","",INDEX(Pantry!$B$6:$B$305,J27))</f>
        <v/>
      </c>
      <c r="D27" s="30">
        <f>IF(J27="","",INDEX(Pantry!$L$6:$L$305,J27))</f>
        <v/>
      </c>
      <c r="E27" s="23">
        <f>IF(J27="","",INDEX(Pantry!$E$6:$E$305,J27)&amp;"")</f>
        <v/>
      </c>
      <c r="F27" s="25">
        <f>IF(J27="","",INDEX(Pantry!$M$6:$M$305,J27))</f>
        <v/>
      </c>
      <c r="G27" s="31" t="n"/>
      <c r="H27" s="1" t="n"/>
      <c r="I27">
        <f>IFERROR(SMALL(Pantry!$O$6:$O$305,20),"")</f>
        <v/>
      </c>
      <c r="J27">
        <f>IF(I27="","",MATCH(I27,Pantry!$O$6:$O$305,0))</f>
        <v/>
      </c>
      <c r="K27">
        <f>IF(J27="","",IF(INDEX(Pantry!$D$6:$D$305,J27)&amp;""="","Other",INDEX(Pantry!$D$6:$D$305,J27)&amp;""))</f>
        <v/>
      </c>
    </row>
    <row r="28">
      <c r="A28" s="1" t="n"/>
      <c r="B28" s="29">
        <f>IF(J28="","",IF(K28=K27,"",K28))</f>
        <v/>
      </c>
      <c r="C28" s="23">
        <f>IF(J28="","",INDEX(Pantry!$B$6:$B$305,J28))</f>
        <v/>
      </c>
      <c r="D28" s="30">
        <f>IF(J28="","",INDEX(Pantry!$L$6:$L$305,J28))</f>
        <v/>
      </c>
      <c r="E28" s="23">
        <f>IF(J28="","",INDEX(Pantry!$E$6:$E$305,J28)&amp;"")</f>
        <v/>
      </c>
      <c r="F28" s="25">
        <f>IF(J28="","",INDEX(Pantry!$M$6:$M$305,J28))</f>
        <v/>
      </c>
      <c r="G28" s="31" t="n"/>
      <c r="H28" s="1" t="n"/>
      <c r="I28">
        <f>IFERROR(SMALL(Pantry!$O$6:$O$305,21),"")</f>
        <v/>
      </c>
      <c r="J28">
        <f>IF(I28="","",MATCH(I28,Pantry!$O$6:$O$305,0))</f>
        <v/>
      </c>
      <c r="K28">
        <f>IF(J28="","",IF(INDEX(Pantry!$D$6:$D$305,J28)&amp;""="","Other",INDEX(Pantry!$D$6:$D$305,J28)&amp;""))</f>
        <v/>
      </c>
    </row>
    <row r="29">
      <c r="A29" s="1" t="n"/>
      <c r="B29" s="29">
        <f>IF(J29="","",IF(K29=K28,"",K29))</f>
        <v/>
      </c>
      <c r="C29" s="23">
        <f>IF(J29="","",INDEX(Pantry!$B$6:$B$305,J29))</f>
        <v/>
      </c>
      <c r="D29" s="30">
        <f>IF(J29="","",INDEX(Pantry!$L$6:$L$305,J29))</f>
        <v/>
      </c>
      <c r="E29" s="23">
        <f>IF(J29="","",INDEX(Pantry!$E$6:$E$305,J29)&amp;"")</f>
        <v/>
      </c>
      <c r="F29" s="25">
        <f>IF(J29="","",INDEX(Pantry!$M$6:$M$305,J29))</f>
        <v/>
      </c>
      <c r="G29" s="31" t="n"/>
      <c r="H29" s="1" t="n"/>
      <c r="I29">
        <f>IFERROR(SMALL(Pantry!$O$6:$O$305,22),"")</f>
        <v/>
      </c>
      <c r="J29">
        <f>IF(I29="","",MATCH(I29,Pantry!$O$6:$O$305,0))</f>
        <v/>
      </c>
      <c r="K29">
        <f>IF(J29="","",IF(INDEX(Pantry!$D$6:$D$305,J29)&amp;""="","Other",INDEX(Pantry!$D$6:$D$305,J29)&amp;""))</f>
        <v/>
      </c>
    </row>
    <row r="30">
      <c r="A30" s="1" t="n"/>
      <c r="B30" s="29">
        <f>IF(J30="","",IF(K30=K29,"",K30))</f>
        <v/>
      </c>
      <c r="C30" s="23">
        <f>IF(J30="","",INDEX(Pantry!$B$6:$B$305,J30))</f>
        <v/>
      </c>
      <c r="D30" s="30">
        <f>IF(J30="","",INDEX(Pantry!$L$6:$L$305,J30))</f>
        <v/>
      </c>
      <c r="E30" s="23">
        <f>IF(J30="","",INDEX(Pantry!$E$6:$E$305,J30)&amp;"")</f>
        <v/>
      </c>
      <c r="F30" s="25">
        <f>IF(J30="","",INDEX(Pantry!$M$6:$M$305,J30))</f>
        <v/>
      </c>
      <c r="G30" s="31" t="n"/>
      <c r="H30" s="1" t="n"/>
      <c r="I30">
        <f>IFERROR(SMALL(Pantry!$O$6:$O$305,23),"")</f>
        <v/>
      </c>
      <c r="J30">
        <f>IF(I30="","",MATCH(I30,Pantry!$O$6:$O$305,0))</f>
        <v/>
      </c>
      <c r="K30">
        <f>IF(J30="","",IF(INDEX(Pantry!$D$6:$D$305,J30)&amp;""="","Other",INDEX(Pantry!$D$6:$D$305,J30)&amp;""))</f>
        <v/>
      </c>
    </row>
    <row r="31">
      <c r="A31" s="1" t="n"/>
      <c r="B31" s="29">
        <f>IF(J31="","",IF(K31=K30,"",K31))</f>
        <v/>
      </c>
      <c r="C31" s="23">
        <f>IF(J31="","",INDEX(Pantry!$B$6:$B$305,J31))</f>
        <v/>
      </c>
      <c r="D31" s="30">
        <f>IF(J31="","",INDEX(Pantry!$L$6:$L$305,J31))</f>
        <v/>
      </c>
      <c r="E31" s="23">
        <f>IF(J31="","",INDEX(Pantry!$E$6:$E$305,J31)&amp;"")</f>
        <v/>
      </c>
      <c r="F31" s="25">
        <f>IF(J31="","",INDEX(Pantry!$M$6:$M$305,J31))</f>
        <v/>
      </c>
      <c r="G31" s="31" t="n"/>
      <c r="H31" s="1" t="n"/>
      <c r="I31">
        <f>IFERROR(SMALL(Pantry!$O$6:$O$305,24),"")</f>
        <v/>
      </c>
      <c r="J31">
        <f>IF(I31="","",MATCH(I31,Pantry!$O$6:$O$305,0))</f>
        <v/>
      </c>
      <c r="K31">
        <f>IF(J31="","",IF(INDEX(Pantry!$D$6:$D$305,J31)&amp;""="","Other",INDEX(Pantry!$D$6:$D$305,J31)&amp;""))</f>
        <v/>
      </c>
    </row>
    <row r="32">
      <c r="A32" s="1" t="n"/>
      <c r="B32" s="29">
        <f>IF(J32="","",IF(K32=K31,"",K32))</f>
        <v/>
      </c>
      <c r="C32" s="23">
        <f>IF(J32="","",INDEX(Pantry!$B$6:$B$305,J32))</f>
        <v/>
      </c>
      <c r="D32" s="30">
        <f>IF(J32="","",INDEX(Pantry!$L$6:$L$305,J32))</f>
        <v/>
      </c>
      <c r="E32" s="23">
        <f>IF(J32="","",INDEX(Pantry!$E$6:$E$305,J32)&amp;"")</f>
        <v/>
      </c>
      <c r="F32" s="25">
        <f>IF(J32="","",INDEX(Pantry!$M$6:$M$305,J32))</f>
        <v/>
      </c>
      <c r="G32" s="31" t="n"/>
      <c r="H32" s="1" t="n"/>
      <c r="I32">
        <f>IFERROR(SMALL(Pantry!$O$6:$O$305,25),"")</f>
        <v/>
      </c>
      <c r="J32">
        <f>IF(I32="","",MATCH(I32,Pantry!$O$6:$O$305,0))</f>
        <v/>
      </c>
      <c r="K32">
        <f>IF(J32="","",IF(INDEX(Pantry!$D$6:$D$305,J32)&amp;""="","Other",INDEX(Pantry!$D$6:$D$305,J32)&amp;""))</f>
        <v/>
      </c>
    </row>
    <row r="33">
      <c r="A33" s="1" t="n"/>
      <c r="B33" s="29">
        <f>IF(J33="","",IF(K33=K32,"",K33))</f>
        <v/>
      </c>
      <c r="C33" s="23">
        <f>IF(J33="","",INDEX(Pantry!$B$6:$B$305,J33))</f>
        <v/>
      </c>
      <c r="D33" s="30">
        <f>IF(J33="","",INDEX(Pantry!$L$6:$L$305,J33))</f>
        <v/>
      </c>
      <c r="E33" s="23">
        <f>IF(J33="","",INDEX(Pantry!$E$6:$E$305,J33)&amp;"")</f>
        <v/>
      </c>
      <c r="F33" s="25">
        <f>IF(J33="","",INDEX(Pantry!$M$6:$M$305,J33))</f>
        <v/>
      </c>
      <c r="G33" s="31" t="n"/>
      <c r="H33" s="1" t="n"/>
      <c r="I33">
        <f>IFERROR(SMALL(Pantry!$O$6:$O$305,26),"")</f>
        <v/>
      </c>
      <c r="J33">
        <f>IF(I33="","",MATCH(I33,Pantry!$O$6:$O$305,0))</f>
        <v/>
      </c>
      <c r="K33">
        <f>IF(J33="","",IF(INDEX(Pantry!$D$6:$D$305,J33)&amp;""="","Other",INDEX(Pantry!$D$6:$D$305,J33)&amp;""))</f>
        <v/>
      </c>
    </row>
    <row r="34">
      <c r="A34" s="1" t="n"/>
      <c r="B34" s="29">
        <f>IF(J34="","",IF(K34=K33,"",K34))</f>
        <v/>
      </c>
      <c r="C34" s="23">
        <f>IF(J34="","",INDEX(Pantry!$B$6:$B$305,J34))</f>
        <v/>
      </c>
      <c r="D34" s="30">
        <f>IF(J34="","",INDEX(Pantry!$L$6:$L$305,J34))</f>
        <v/>
      </c>
      <c r="E34" s="23">
        <f>IF(J34="","",INDEX(Pantry!$E$6:$E$305,J34)&amp;"")</f>
        <v/>
      </c>
      <c r="F34" s="25">
        <f>IF(J34="","",INDEX(Pantry!$M$6:$M$305,J34))</f>
        <v/>
      </c>
      <c r="G34" s="31" t="n"/>
      <c r="H34" s="1" t="n"/>
      <c r="I34">
        <f>IFERROR(SMALL(Pantry!$O$6:$O$305,27),"")</f>
        <v/>
      </c>
      <c r="J34">
        <f>IF(I34="","",MATCH(I34,Pantry!$O$6:$O$305,0))</f>
        <v/>
      </c>
      <c r="K34">
        <f>IF(J34="","",IF(INDEX(Pantry!$D$6:$D$305,J34)&amp;""="","Other",INDEX(Pantry!$D$6:$D$305,J34)&amp;""))</f>
        <v/>
      </c>
    </row>
    <row r="35">
      <c r="A35" s="1" t="n"/>
      <c r="B35" s="29">
        <f>IF(J35="","",IF(K35=K34,"",K35))</f>
        <v/>
      </c>
      <c r="C35" s="23">
        <f>IF(J35="","",INDEX(Pantry!$B$6:$B$305,J35))</f>
        <v/>
      </c>
      <c r="D35" s="30">
        <f>IF(J35="","",INDEX(Pantry!$L$6:$L$305,J35))</f>
        <v/>
      </c>
      <c r="E35" s="23">
        <f>IF(J35="","",INDEX(Pantry!$E$6:$E$305,J35)&amp;"")</f>
        <v/>
      </c>
      <c r="F35" s="25">
        <f>IF(J35="","",INDEX(Pantry!$M$6:$M$305,J35))</f>
        <v/>
      </c>
      <c r="G35" s="31" t="n"/>
      <c r="H35" s="1" t="n"/>
      <c r="I35">
        <f>IFERROR(SMALL(Pantry!$O$6:$O$305,28),"")</f>
        <v/>
      </c>
      <c r="J35">
        <f>IF(I35="","",MATCH(I35,Pantry!$O$6:$O$305,0))</f>
        <v/>
      </c>
      <c r="K35">
        <f>IF(J35="","",IF(INDEX(Pantry!$D$6:$D$305,J35)&amp;""="","Other",INDEX(Pantry!$D$6:$D$305,J35)&amp;""))</f>
        <v/>
      </c>
    </row>
    <row r="36">
      <c r="A36" s="1" t="n"/>
      <c r="B36" s="29">
        <f>IF(J36="","",IF(K36=K35,"",K36))</f>
        <v/>
      </c>
      <c r="C36" s="23">
        <f>IF(J36="","",INDEX(Pantry!$B$6:$B$305,J36))</f>
        <v/>
      </c>
      <c r="D36" s="30">
        <f>IF(J36="","",INDEX(Pantry!$L$6:$L$305,J36))</f>
        <v/>
      </c>
      <c r="E36" s="23">
        <f>IF(J36="","",INDEX(Pantry!$E$6:$E$305,J36)&amp;"")</f>
        <v/>
      </c>
      <c r="F36" s="25">
        <f>IF(J36="","",INDEX(Pantry!$M$6:$M$305,J36))</f>
        <v/>
      </c>
      <c r="G36" s="31" t="n"/>
      <c r="H36" s="1" t="n"/>
      <c r="I36">
        <f>IFERROR(SMALL(Pantry!$O$6:$O$305,29),"")</f>
        <v/>
      </c>
      <c r="J36">
        <f>IF(I36="","",MATCH(I36,Pantry!$O$6:$O$305,0))</f>
        <v/>
      </c>
      <c r="K36">
        <f>IF(J36="","",IF(INDEX(Pantry!$D$6:$D$305,J36)&amp;""="","Other",INDEX(Pantry!$D$6:$D$305,J36)&amp;""))</f>
        <v/>
      </c>
    </row>
    <row r="37">
      <c r="A37" s="1" t="n"/>
      <c r="B37" s="29">
        <f>IF(J37="","",IF(K37=K36,"",K37))</f>
        <v/>
      </c>
      <c r="C37" s="23">
        <f>IF(J37="","",INDEX(Pantry!$B$6:$B$305,J37))</f>
        <v/>
      </c>
      <c r="D37" s="30">
        <f>IF(J37="","",INDEX(Pantry!$L$6:$L$305,J37))</f>
        <v/>
      </c>
      <c r="E37" s="23">
        <f>IF(J37="","",INDEX(Pantry!$E$6:$E$305,J37)&amp;"")</f>
        <v/>
      </c>
      <c r="F37" s="25">
        <f>IF(J37="","",INDEX(Pantry!$M$6:$M$305,J37))</f>
        <v/>
      </c>
      <c r="G37" s="31" t="n"/>
      <c r="H37" s="1" t="n"/>
      <c r="I37">
        <f>IFERROR(SMALL(Pantry!$O$6:$O$305,30),"")</f>
        <v/>
      </c>
      <c r="J37">
        <f>IF(I37="","",MATCH(I37,Pantry!$O$6:$O$305,0))</f>
        <v/>
      </c>
      <c r="K37">
        <f>IF(J37="","",IF(INDEX(Pantry!$D$6:$D$305,J37)&amp;""="","Other",INDEX(Pantry!$D$6:$D$305,J37)&amp;""))</f>
        <v/>
      </c>
    </row>
    <row r="38">
      <c r="A38" s="1" t="n"/>
      <c r="B38" s="29">
        <f>IF(J38="","",IF(K38=K37,"",K38))</f>
        <v/>
      </c>
      <c r="C38" s="23">
        <f>IF(J38="","",INDEX(Pantry!$B$6:$B$305,J38))</f>
        <v/>
      </c>
      <c r="D38" s="30">
        <f>IF(J38="","",INDEX(Pantry!$L$6:$L$305,J38))</f>
        <v/>
      </c>
      <c r="E38" s="23">
        <f>IF(J38="","",INDEX(Pantry!$E$6:$E$305,J38)&amp;"")</f>
        <v/>
      </c>
      <c r="F38" s="25">
        <f>IF(J38="","",INDEX(Pantry!$M$6:$M$305,J38))</f>
        <v/>
      </c>
      <c r="G38" s="31" t="n"/>
      <c r="H38" s="1" t="n"/>
      <c r="I38">
        <f>IFERROR(SMALL(Pantry!$O$6:$O$305,31),"")</f>
        <v/>
      </c>
      <c r="J38">
        <f>IF(I38="","",MATCH(I38,Pantry!$O$6:$O$305,0))</f>
        <v/>
      </c>
      <c r="K38">
        <f>IF(J38="","",IF(INDEX(Pantry!$D$6:$D$305,J38)&amp;""="","Other",INDEX(Pantry!$D$6:$D$305,J38)&amp;""))</f>
        <v/>
      </c>
    </row>
    <row r="39">
      <c r="A39" s="1" t="n"/>
      <c r="B39" s="29">
        <f>IF(J39="","",IF(K39=K38,"",K39))</f>
        <v/>
      </c>
      <c r="C39" s="23">
        <f>IF(J39="","",INDEX(Pantry!$B$6:$B$305,J39))</f>
        <v/>
      </c>
      <c r="D39" s="30">
        <f>IF(J39="","",INDEX(Pantry!$L$6:$L$305,J39))</f>
        <v/>
      </c>
      <c r="E39" s="23">
        <f>IF(J39="","",INDEX(Pantry!$E$6:$E$305,J39)&amp;"")</f>
        <v/>
      </c>
      <c r="F39" s="25">
        <f>IF(J39="","",INDEX(Pantry!$M$6:$M$305,J39))</f>
        <v/>
      </c>
      <c r="G39" s="31" t="n"/>
      <c r="H39" s="1" t="n"/>
      <c r="I39">
        <f>IFERROR(SMALL(Pantry!$O$6:$O$305,32),"")</f>
        <v/>
      </c>
      <c r="J39">
        <f>IF(I39="","",MATCH(I39,Pantry!$O$6:$O$305,0))</f>
        <v/>
      </c>
      <c r="K39">
        <f>IF(J39="","",IF(INDEX(Pantry!$D$6:$D$305,J39)&amp;""="","Other",INDEX(Pantry!$D$6:$D$305,J39)&amp;""))</f>
        <v/>
      </c>
    </row>
    <row r="40">
      <c r="A40" s="1" t="n"/>
      <c r="B40" s="29">
        <f>IF(J40="","",IF(K40=K39,"",K40))</f>
        <v/>
      </c>
      <c r="C40" s="23">
        <f>IF(J40="","",INDEX(Pantry!$B$6:$B$305,J40))</f>
        <v/>
      </c>
      <c r="D40" s="30">
        <f>IF(J40="","",INDEX(Pantry!$L$6:$L$305,J40))</f>
        <v/>
      </c>
      <c r="E40" s="23">
        <f>IF(J40="","",INDEX(Pantry!$E$6:$E$305,J40)&amp;"")</f>
        <v/>
      </c>
      <c r="F40" s="25">
        <f>IF(J40="","",INDEX(Pantry!$M$6:$M$305,J40))</f>
        <v/>
      </c>
      <c r="G40" s="31" t="n"/>
      <c r="H40" s="1" t="n"/>
      <c r="I40">
        <f>IFERROR(SMALL(Pantry!$O$6:$O$305,33),"")</f>
        <v/>
      </c>
      <c r="J40">
        <f>IF(I40="","",MATCH(I40,Pantry!$O$6:$O$305,0))</f>
        <v/>
      </c>
      <c r="K40">
        <f>IF(J40="","",IF(INDEX(Pantry!$D$6:$D$305,J40)&amp;""="","Other",INDEX(Pantry!$D$6:$D$305,J40)&amp;""))</f>
        <v/>
      </c>
    </row>
    <row r="41">
      <c r="A41" s="1" t="n"/>
      <c r="B41" s="29">
        <f>IF(J41="","",IF(K41=K40,"",K41))</f>
        <v/>
      </c>
      <c r="C41" s="23">
        <f>IF(J41="","",INDEX(Pantry!$B$6:$B$305,J41))</f>
        <v/>
      </c>
      <c r="D41" s="30">
        <f>IF(J41="","",INDEX(Pantry!$L$6:$L$305,J41))</f>
        <v/>
      </c>
      <c r="E41" s="23">
        <f>IF(J41="","",INDEX(Pantry!$E$6:$E$305,J41)&amp;"")</f>
        <v/>
      </c>
      <c r="F41" s="25">
        <f>IF(J41="","",INDEX(Pantry!$M$6:$M$305,J41))</f>
        <v/>
      </c>
      <c r="G41" s="31" t="n"/>
      <c r="H41" s="1" t="n"/>
      <c r="I41">
        <f>IFERROR(SMALL(Pantry!$O$6:$O$305,34),"")</f>
        <v/>
      </c>
      <c r="J41">
        <f>IF(I41="","",MATCH(I41,Pantry!$O$6:$O$305,0))</f>
        <v/>
      </c>
      <c r="K41">
        <f>IF(J41="","",IF(INDEX(Pantry!$D$6:$D$305,J41)&amp;""="","Other",INDEX(Pantry!$D$6:$D$305,J41)&amp;""))</f>
        <v/>
      </c>
    </row>
    <row r="42">
      <c r="A42" s="1" t="n"/>
      <c r="B42" s="29">
        <f>IF(J42="","",IF(K42=K41,"",K42))</f>
        <v/>
      </c>
      <c r="C42" s="23">
        <f>IF(J42="","",INDEX(Pantry!$B$6:$B$305,J42))</f>
        <v/>
      </c>
      <c r="D42" s="30">
        <f>IF(J42="","",INDEX(Pantry!$L$6:$L$305,J42))</f>
        <v/>
      </c>
      <c r="E42" s="23">
        <f>IF(J42="","",INDEX(Pantry!$E$6:$E$305,J42)&amp;"")</f>
        <v/>
      </c>
      <c r="F42" s="25">
        <f>IF(J42="","",INDEX(Pantry!$M$6:$M$305,J42))</f>
        <v/>
      </c>
      <c r="G42" s="31" t="n"/>
      <c r="H42" s="1" t="n"/>
      <c r="I42">
        <f>IFERROR(SMALL(Pantry!$O$6:$O$305,35),"")</f>
        <v/>
      </c>
      <c r="J42">
        <f>IF(I42="","",MATCH(I42,Pantry!$O$6:$O$305,0))</f>
        <v/>
      </c>
      <c r="K42">
        <f>IF(J42="","",IF(INDEX(Pantry!$D$6:$D$305,J42)&amp;""="","Other",INDEX(Pantry!$D$6:$D$305,J42)&amp;""))</f>
        <v/>
      </c>
    </row>
    <row r="43">
      <c r="A43" s="1" t="n"/>
      <c r="B43" s="29">
        <f>IF(J43="","",IF(K43=K42,"",K43))</f>
        <v/>
      </c>
      <c r="C43" s="23">
        <f>IF(J43="","",INDEX(Pantry!$B$6:$B$305,J43))</f>
        <v/>
      </c>
      <c r="D43" s="30">
        <f>IF(J43="","",INDEX(Pantry!$L$6:$L$305,J43))</f>
        <v/>
      </c>
      <c r="E43" s="23">
        <f>IF(J43="","",INDEX(Pantry!$E$6:$E$305,J43)&amp;"")</f>
        <v/>
      </c>
      <c r="F43" s="25">
        <f>IF(J43="","",INDEX(Pantry!$M$6:$M$305,J43))</f>
        <v/>
      </c>
      <c r="G43" s="31" t="n"/>
      <c r="H43" s="1" t="n"/>
      <c r="I43">
        <f>IFERROR(SMALL(Pantry!$O$6:$O$305,36),"")</f>
        <v/>
      </c>
      <c r="J43">
        <f>IF(I43="","",MATCH(I43,Pantry!$O$6:$O$305,0))</f>
        <v/>
      </c>
      <c r="K43">
        <f>IF(J43="","",IF(INDEX(Pantry!$D$6:$D$305,J43)&amp;""="","Other",INDEX(Pantry!$D$6:$D$305,J43)&amp;""))</f>
        <v/>
      </c>
    </row>
    <row r="44">
      <c r="A44" s="1" t="n"/>
      <c r="B44" s="29">
        <f>IF(J44="","",IF(K44=K43,"",K44))</f>
        <v/>
      </c>
      <c r="C44" s="23">
        <f>IF(J44="","",INDEX(Pantry!$B$6:$B$305,J44))</f>
        <v/>
      </c>
      <c r="D44" s="30">
        <f>IF(J44="","",INDEX(Pantry!$L$6:$L$305,J44))</f>
        <v/>
      </c>
      <c r="E44" s="23">
        <f>IF(J44="","",INDEX(Pantry!$E$6:$E$305,J44)&amp;"")</f>
        <v/>
      </c>
      <c r="F44" s="25">
        <f>IF(J44="","",INDEX(Pantry!$M$6:$M$305,J44))</f>
        <v/>
      </c>
      <c r="G44" s="31" t="n"/>
      <c r="H44" s="1" t="n"/>
      <c r="I44">
        <f>IFERROR(SMALL(Pantry!$O$6:$O$305,37),"")</f>
        <v/>
      </c>
      <c r="J44">
        <f>IF(I44="","",MATCH(I44,Pantry!$O$6:$O$305,0))</f>
        <v/>
      </c>
      <c r="K44">
        <f>IF(J44="","",IF(INDEX(Pantry!$D$6:$D$305,J44)&amp;""="","Other",INDEX(Pantry!$D$6:$D$305,J44)&amp;""))</f>
        <v/>
      </c>
    </row>
    <row r="45">
      <c r="A45" s="1" t="n"/>
      <c r="B45" s="29">
        <f>IF(J45="","",IF(K45=K44,"",K45))</f>
        <v/>
      </c>
      <c r="C45" s="23">
        <f>IF(J45="","",INDEX(Pantry!$B$6:$B$305,J45))</f>
        <v/>
      </c>
      <c r="D45" s="30">
        <f>IF(J45="","",INDEX(Pantry!$L$6:$L$305,J45))</f>
        <v/>
      </c>
      <c r="E45" s="23">
        <f>IF(J45="","",INDEX(Pantry!$E$6:$E$305,J45)&amp;"")</f>
        <v/>
      </c>
      <c r="F45" s="25">
        <f>IF(J45="","",INDEX(Pantry!$M$6:$M$305,J45))</f>
        <v/>
      </c>
      <c r="G45" s="31" t="n"/>
      <c r="H45" s="1" t="n"/>
      <c r="I45">
        <f>IFERROR(SMALL(Pantry!$O$6:$O$305,38),"")</f>
        <v/>
      </c>
      <c r="J45">
        <f>IF(I45="","",MATCH(I45,Pantry!$O$6:$O$305,0))</f>
        <v/>
      </c>
      <c r="K45">
        <f>IF(J45="","",IF(INDEX(Pantry!$D$6:$D$305,J45)&amp;""="","Other",INDEX(Pantry!$D$6:$D$305,J45)&amp;""))</f>
        <v/>
      </c>
    </row>
    <row r="46">
      <c r="A46" s="1" t="n"/>
      <c r="B46" s="29">
        <f>IF(J46="","",IF(K46=K45,"",K46))</f>
        <v/>
      </c>
      <c r="C46" s="23">
        <f>IF(J46="","",INDEX(Pantry!$B$6:$B$305,J46))</f>
        <v/>
      </c>
      <c r="D46" s="30">
        <f>IF(J46="","",INDEX(Pantry!$L$6:$L$305,J46))</f>
        <v/>
      </c>
      <c r="E46" s="23">
        <f>IF(J46="","",INDEX(Pantry!$E$6:$E$305,J46)&amp;"")</f>
        <v/>
      </c>
      <c r="F46" s="25">
        <f>IF(J46="","",INDEX(Pantry!$M$6:$M$305,J46))</f>
        <v/>
      </c>
      <c r="G46" s="31" t="n"/>
      <c r="H46" s="1" t="n"/>
      <c r="I46">
        <f>IFERROR(SMALL(Pantry!$O$6:$O$305,39),"")</f>
        <v/>
      </c>
      <c r="J46">
        <f>IF(I46="","",MATCH(I46,Pantry!$O$6:$O$305,0))</f>
        <v/>
      </c>
      <c r="K46">
        <f>IF(J46="","",IF(INDEX(Pantry!$D$6:$D$305,J46)&amp;""="","Other",INDEX(Pantry!$D$6:$D$305,J46)&amp;""))</f>
        <v/>
      </c>
    </row>
    <row r="47">
      <c r="A47" s="1" t="n"/>
      <c r="B47" s="29">
        <f>IF(J47="","",IF(K47=K46,"",K47))</f>
        <v/>
      </c>
      <c r="C47" s="23">
        <f>IF(J47="","",INDEX(Pantry!$B$6:$B$305,J47))</f>
        <v/>
      </c>
      <c r="D47" s="30">
        <f>IF(J47="","",INDEX(Pantry!$L$6:$L$305,J47))</f>
        <v/>
      </c>
      <c r="E47" s="23">
        <f>IF(J47="","",INDEX(Pantry!$E$6:$E$305,J47)&amp;"")</f>
        <v/>
      </c>
      <c r="F47" s="25">
        <f>IF(J47="","",INDEX(Pantry!$M$6:$M$305,J47))</f>
        <v/>
      </c>
      <c r="G47" s="31" t="n"/>
      <c r="H47" s="1" t="n"/>
      <c r="I47">
        <f>IFERROR(SMALL(Pantry!$O$6:$O$305,40),"")</f>
        <v/>
      </c>
      <c r="J47">
        <f>IF(I47="","",MATCH(I47,Pantry!$O$6:$O$305,0))</f>
        <v/>
      </c>
      <c r="K47">
        <f>IF(J47="","",IF(INDEX(Pantry!$D$6:$D$305,J47)&amp;""="","Other",INDEX(Pantry!$D$6:$D$305,J47)&amp;""))</f>
        <v/>
      </c>
    </row>
    <row r="48">
      <c r="A48" s="1" t="n"/>
      <c r="B48" s="29">
        <f>IF(J48="","",IF(K48=K47,"",K48))</f>
        <v/>
      </c>
      <c r="C48" s="23">
        <f>IF(J48="","",INDEX(Pantry!$B$6:$B$305,J48))</f>
        <v/>
      </c>
      <c r="D48" s="30">
        <f>IF(J48="","",INDEX(Pantry!$L$6:$L$305,J48))</f>
        <v/>
      </c>
      <c r="E48" s="23">
        <f>IF(J48="","",INDEX(Pantry!$E$6:$E$305,J48)&amp;"")</f>
        <v/>
      </c>
      <c r="F48" s="25">
        <f>IF(J48="","",INDEX(Pantry!$M$6:$M$305,J48))</f>
        <v/>
      </c>
      <c r="G48" s="31" t="n"/>
      <c r="H48" s="1" t="n"/>
      <c r="I48">
        <f>IFERROR(SMALL(Pantry!$O$6:$O$305,41),"")</f>
        <v/>
      </c>
      <c r="J48">
        <f>IF(I48="","",MATCH(I48,Pantry!$O$6:$O$305,0))</f>
        <v/>
      </c>
      <c r="K48">
        <f>IF(J48="","",IF(INDEX(Pantry!$D$6:$D$305,J48)&amp;""="","Other",INDEX(Pantry!$D$6:$D$305,J48)&amp;""))</f>
        <v/>
      </c>
    </row>
    <row r="49">
      <c r="A49" s="1" t="n"/>
      <c r="B49" s="29">
        <f>IF(J49="","",IF(K49=K48,"",K49))</f>
        <v/>
      </c>
      <c r="C49" s="23">
        <f>IF(J49="","",INDEX(Pantry!$B$6:$B$305,J49))</f>
        <v/>
      </c>
      <c r="D49" s="30">
        <f>IF(J49="","",INDEX(Pantry!$L$6:$L$305,J49))</f>
        <v/>
      </c>
      <c r="E49" s="23">
        <f>IF(J49="","",INDEX(Pantry!$E$6:$E$305,J49)&amp;"")</f>
        <v/>
      </c>
      <c r="F49" s="25">
        <f>IF(J49="","",INDEX(Pantry!$M$6:$M$305,J49))</f>
        <v/>
      </c>
      <c r="G49" s="31" t="n"/>
      <c r="H49" s="1" t="n"/>
      <c r="I49">
        <f>IFERROR(SMALL(Pantry!$O$6:$O$305,42),"")</f>
        <v/>
      </c>
      <c r="J49">
        <f>IF(I49="","",MATCH(I49,Pantry!$O$6:$O$305,0))</f>
        <v/>
      </c>
      <c r="K49">
        <f>IF(J49="","",IF(INDEX(Pantry!$D$6:$D$305,J49)&amp;""="","Other",INDEX(Pantry!$D$6:$D$305,J49)&amp;""))</f>
        <v/>
      </c>
    </row>
    <row r="50">
      <c r="A50" s="1" t="n"/>
      <c r="B50" s="29">
        <f>IF(J50="","",IF(K50=K49,"",K50))</f>
        <v/>
      </c>
      <c r="C50" s="23">
        <f>IF(J50="","",INDEX(Pantry!$B$6:$B$305,J50))</f>
        <v/>
      </c>
      <c r="D50" s="30">
        <f>IF(J50="","",INDEX(Pantry!$L$6:$L$305,J50))</f>
        <v/>
      </c>
      <c r="E50" s="23">
        <f>IF(J50="","",INDEX(Pantry!$E$6:$E$305,J50)&amp;"")</f>
        <v/>
      </c>
      <c r="F50" s="25">
        <f>IF(J50="","",INDEX(Pantry!$M$6:$M$305,J50))</f>
        <v/>
      </c>
      <c r="G50" s="31" t="n"/>
      <c r="H50" s="1" t="n"/>
      <c r="I50">
        <f>IFERROR(SMALL(Pantry!$O$6:$O$305,43),"")</f>
        <v/>
      </c>
      <c r="J50">
        <f>IF(I50="","",MATCH(I50,Pantry!$O$6:$O$305,0))</f>
        <v/>
      </c>
      <c r="K50">
        <f>IF(J50="","",IF(INDEX(Pantry!$D$6:$D$305,J50)&amp;""="","Other",INDEX(Pantry!$D$6:$D$305,J50)&amp;""))</f>
        <v/>
      </c>
    </row>
    <row r="51">
      <c r="A51" s="1" t="n"/>
      <c r="B51" s="29">
        <f>IF(J51="","",IF(K51=K50,"",K51))</f>
        <v/>
      </c>
      <c r="C51" s="23">
        <f>IF(J51="","",INDEX(Pantry!$B$6:$B$305,J51))</f>
        <v/>
      </c>
      <c r="D51" s="30">
        <f>IF(J51="","",INDEX(Pantry!$L$6:$L$305,J51))</f>
        <v/>
      </c>
      <c r="E51" s="23">
        <f>IF(J51="","",INDEX(Pantry!$E$6:$E$305,J51)&amp;"")</f>
        <v/>
      </c>
      <c r="F51" s="25">
        <f>IF(J51="","",INDEX(Pantry!$M$6:$M$305,J51))</f>
        <v/>
      </c>
      <c r="G51" s="31" t="n"/>
      <c r="H51" s="1" t="n"/>
      <c r="I51">
        <f>IFERROR(SMALL(Pantry!$O$6:$O$305,44),"")</f>
        <v/>
      </c>
      <c r="J51">
        <f>IF(I51="","",MATCH(I51,Pantry!$O$6:$O$305,0))</f>
        <v/>
      </c>
      <c r="K51">
        <f>IF(J51="","",IF(INDEX(Pantry!$D$6:$D$305,J51)&amp;""="","Other",INDEX(Pantry!$D$6:$D$305,J51)&amp;""))</f>
        <v/>
      </c>
    </row>
    <row r="52">
      <c r="A52" s="1" t="n"/>
      <c r="B52" s="29">
        <f>IF(J52="","",IF(K52=K51,"",K52))</f>
        <v/>
      </c>
      <c r="C52" s="23">
        <f>IF(J52="","",INDEX(Pantry!$B$6:$B$305,J52))</f>
        <v/>
      </c>
      <c r="D52" s="30">
        <f>IF(J52="","",INDEX(Pantry!$L$6:$L$305,J52))</f>
        <v/>
      </c>
      <c r="E52" s="23">
        <f>IF(J52="","",INDEX(Pantry!$E$6:$E$305,J52)&amp;"")</f>
        <v/>
      </c>
      <c r="F52" s="25">
        <f>IF(J52="","",INDEX(Pantry!$M$6:$M$305,J52))</f>
        <v/>
      </c>
      <c r="G52" s="31" t="n"/>
      <c r="H52" s="1" t="n"/>
      <c r="I52">
        <f>IFERROR(SMALL(Pantry!$O$6:$O$305,45),"")</f>
        <v/>
      </c>
      <c r="J52">
        <f>IF(I52="","",MATCH(I52,Pantry!$O$6:$O$305,0))</f>
        <v/>
      </c>
      <c r="K52">
        <f>IF(J52="","",IF(INDEX(Pantry!$D$6:$D$305,J52)&amp;""="","Other",INDEX(Pantry!$D$6:$D$305,J52)&amp;""))</f>
        <v/>
      </c>
    </row>
    <row r="53">
      <c r="A53" s="1" t="n"/>
      <c r="B53" s="29">
        <f>IF(J53="","",IF(K53=K52,"",K53))</f>
        <v/>
      </c>
      <c r="C53" s="23">
        <f>IF(J53="","",INDEX(Pantry!$B$6:$B$305,J53))</f>
        <v/>
      </c>
      <c r="D53" s="30">
        <f>IF(J53="","",INDEX(Pantry!$L$6:$L$305,J53))</f>
        <v/>
      </c>
      <c r="E53" s="23">
        <f>IF(J53="","",INDEX(Pantry!$E$6:$E$305,J53)&amp;"")</f>
        <v/>
      </c>
      <c r="F53" s="25">
        <f>IF(J53="","",INDEX(Pantry!$M$6:$M$305,J53))</f>
        <v/>
      </c>
      <c r="G53" s="31" t="n"/>
      <c r="H53" s="1" t="n"/>
      <c r="I53">
        <f>IFERROR(SMALL(Pantry!$O$6:$O$305,46),"")</f>
        <v/>
      </c>
      <c r="J53">
        <f>IF(I53="","",MATCH(I53,Pantry!$O$6:$O$305,0))</f>
        <v/>
      </c>
      <c r="K53">
        <f>IF(J53="","",IF(INDEX(Pantry!$D$6:$D$305,J53)&amp;""="","Other",INDEX(Pantry!$D$6:$D$305,J53)&amp;""))</f>
        <v/>
      </c>
    </row>
    <row r="54">
      <c r="A54" s="1" t="n"/>
      <c r="B54" s="29">
        <f>IF(J54="","",IF(K54=K53,"",K54))</f>
        <v/>
      </c>
      <c r="C54" s="23">
        <f>IF(J54="","",INDEX(Pantry!$B$6:$B$305,J54))</f>
        <v/>
      </c>
      <c r="D54" s="30">
        <f>IF(J54="","",INDEX(Pantry!$L$6:$L$305,J54))</f>
        <v/>
      </c>
      <c r="E54" s="23">
        <f>IF(J54="","",INDEX(Pantry!$E$6:$E$305,J54)&amp;"")</f>
        <v/>
      </c>
      <c r="F54" s="25">
        <f>IF(J54="","",INDEX(Pantry!$M$6:$M$305,J54))</f>
        <v/>
      </c>
      <c r="G54" s="31" t="n"/>
      <c r="H54" s="1" t="n"/>
      <c r="I54">
        <f>IFERROR(SMALL(Pantry!$O$6:$O$305,47),"")</f>
        <v/>
      </c>
      <c r="J54">
        <f>IF(I54="","",MATCH(I54,Pantry!$O$6:$O$305,0))</f>
        <v/>
      </c>
      <c r="K54">
        <f>IF(J54="","",IF(INDEX(Pantry!$D$6:$D$305,J54)&amp;""="","Other",INDEX(Pantry!$D$6:$D$305,J54)&amp;""))</f>
        <v/>
      </c>
    </row>
    <row r="55">
      <c r="A55" s="1" t="n"/>
      <c r="B55" s="29">
        <f>IF(J55="","",IF(K55=K54,"",K55))</f>
        <v/>
      </c>
      <c r="C55" s="23">
        <f>IF(J55="","",INDEX(Pantry!$B$6:$B$305,J55))</f>
        <v/>
      </c>
      <c r="D55" s="30">
        <f>IF(J55="","",INDEX(Pantry!$L$6:$L$305,J55))</f>
        <v/>
      </c>
      <c r="E55" s="23">
        <f>IF(J55="","",INDEX(Pantry!$E$6:$E$305,J55)&amp;"")</f>
        <v/>
      </c>
      <c r="F55" s="25">
        <f>IF(J55="","",INDEX(Pantry!$M$6:$M$305,J55))</f>
        <v/>
      </c>
      <c r="G55" s="31" t="n"/>
      <c r="H55" s="1" t="n"/>
      <c r="I55">
        <f>IFERROR(SMALL(Pantry!$O$6:$O$305,48),"")</f>
        <v/>
      </c>
      <c r="J55">
        <f>IF(I55="","",MATCH(I55,Pantry!$O$6:$O$305,0))</f>
        <v/>
      </c>
      <c r="K55">
        <f>IF(J55="","",IF(INDEX(Pantry!$D$6:$D$305,J55)&amp;""="","Other",INDEX(Pantry!$D$6:$D$305,J55)&amp;""))</f>
        <v/>
      </c>
    </row>
    <row r="56">
      <c r="A56" s="1" t="n"/>
      <c r="B56" s="29">
        <f>IF(J56="","",IF(K56=K55,"",K56))</f>
        <v/>
      </c>
      <c r="C56" s="23">
        <f>IF(J56="","",INDEX(Pantry!$B$6:$B$305,J56))</f>
        <v/>
      </c>
      <c r="D56" s="30">
        <f>IF(J56="","",INDEX(Pantry!$L$6:$L$305,J56))</f>
        <v/>
      </c>
      <c r="E56" s="23">
        <f>IF(J56="","",INDEX(Pantry!$E$6:$E$305,J56)&amp;"")</f>
        <v/>
      </c>
      <c r="F56" s="25">
        <f>IF(J56="","",INDEX(Pantry!$M$6:$M$305,J56))</f>
        <v/>
      </c>
      <c r="G56" s="31" t="n"/>
      <c r="H56" s="1" t="n"/>
      <c r="I56">
        <f>IFERROR(SMALL(Pantry!$O$6:$O$305,49),"")</f>
        <v/>
      </c>
      <c r="J56">
        <f>IF(I56="","",MATCH(I56,Pantry!$O$6:$O$305,0))</f>
        <v/>
      </c>
      <c r="K56">
        <f>IF(J56="","",IF(INDEX(Pantry!$D$6:$D$305,J56)&amp;""="","Other",INDEX(Pantry!$D$6:$D$305,J56)&amp;""))</f>
        <v/>
      </c>
    </row>
    <row r="57">
      <c r="A57" s="1" t="n"/>
      <c r="B57" s="29">
        <f>IF(J57="","",IF(K57=K56,"",K57))</f>
        <v/>
      </c>
      <c r="C57" s="23">
        <f>IF(J57="","",INDEX(Pantry!$B$6:$B$305,J57))</f>
        <v/>
      </c>
      <c r="D57" s="30">
        <f>IF(J57="","",INDEX(Pantry!$L$6:$L$305,J57))</f>
        <v/>
      </c>
      <c r="E57" s="23">
        <f>IF(J57="","",INDEX(Pantry!$E$6:$E$305,J57)&amp;"")</f>
        <v/>
      </c>
      <c r="F57" s="25">
        <f>IF(J57="","",INDEX(Pantry!$M$6:$M$305,J57))</f>
        <v/>
      </c>
      <c r="G57" s="31" t="n"/>
      <c r="H57" s="1" t="n"/>
      <c r="I57">
        <f>IFERROR(SMALL(Pantry!$O$6:$O$305,50),"")</f>
        <v/>
      </c>
      <c r="J57">
        <f>IF(I57="","",MATCH(I57,Pantry!$O$6:$O$305,0))</f>
        <v/>
      </c>
      <c r="K57">
        <f>IF(J57="","",IF(INDEX(Pantry!$D$6:$D$305,J57)&amp;""="","Other",INDEX(Pantry!$D$6:$D$305,J57)&amp;""))</f>
        <v/>
      </c>
    </row>
    <row r="58">
      <c r="A58" s="1" t="n"/>
      <c r="B58" s="29">
        <f>IF(J58="","",IF(K58=K57,"",K58))</f>
        <v/>
      </c>
      <c r="C58" s="23">
        <f>IF(J58="","",INDEX(Pantry!$B$6:$B$305,J58))</f>
        <v/>
      </c>
      <c r="D58" s="30">
        <f>IF(J58="","",INDEX(Pantry!$L$6:$L$305,J58))</f>
        <v/>
      </c>
      <c r="E58" s="23">
        <f>IF(J58="","",INDEX(Pantry!$E$6:$E$305,J58)&amp;"")</f>
        <v/>
      </c>
      <c r="F58" s="25">
        <f>IF(J58="","",INDEX(Pantry!$M$6:$M$305,J58))</f>
        <v/>
      </c>
      <c r="G58" s="31" t="n"/>
      <c r="H58" s="1" t="n"/>
      <c r="I58">
        <f>IFERROR(SMALL(Pantry!$O$6:$O$305,51),"")</f>
        <v/>
      </c>
      <c r="J58">
        <f>IF(I58="","",MATCH(I58,Pantry!$O$6:$O$305,0))</f>
        <v/>
      </c>
      <c r="K58">
        <f>IF(J58="","",IF(INDEX(Pantry!$D$6:$D$305,J58)&amp;""="","Other",INDEX(Pantry!$D$6:$D$305,J58)&amp;""))</f>
        <v/>
      </c>
    </row>
    <row r="59">
      <c r="A59" s="1" t="n"/>
      <c r="B59" s="29">
        <f>IF(J59="","",IF(K59=K58,"",K59))</f>
        <v/>
      </c>
      <c r="C59" s="23">
        <f>IF(J59="","",INDEX(Pantry!$B$6:$B$305,J59))</f>
        <v/>
      </c>
      <c r="D59" s="30">
        <f>IF(J59="","",INDEX(Pantry!$L$6:$L$305,J59))</f>
        <v/>
      </c>
      <c r="E59" s="23">
        <f>IF(J59="","",INDEX(Pantry!$E$6:$E$305,J59)&amp;"")</f>
        <v/>
      </c>
      <c r="F59" s="25">
        <f>IF(J59="","",INDEX(Pantry!$M$6:$M$305,J59))</f>
        <v/>
      </c>
      <c r="G59" s="31" t="n"/>
      <c r="H59" s="1" t="n"/>
      <c r="I59">
        <f>IFERROR(SMALL(Pantry!$O$6:$O$305,52),"")</f>
        <v/>
      </c>
      <c r="J59">
        <f>IF(I59="","",MATCH(I59,Pantry!$O$6:$O$305,0))</f>
        <v/>
      </c>
      <c r="K59">
        <f>IF(J59="","",IF(INDEX(Pantry!$D$6:$D$305,J59)&amp;""="","Other",INDEX(Pantry!$D$6:$D$305,J59)&amp;""))</f>
        <v/>
      </c>
    </row>
    <row r="60">
      <c r="A60" s="1" t="n"/>
      <c r="B60" s="29">
        <f>IF(J60="","",IF(K60=K59,"",K60))</f>
        <v/>
      </c>
      <c r="C60" s="23">
        <f>IF(J60="","",INDEX(Pantry!$B$6:$B$305,J60))</f>
        <v/>
      </c>
      <c r="D60" s="30">
        <f>IF(J60="","",INDEX(Pantry!$L$6:$L$305,J60))</f>
        <v/>
      </c>
      <c r="E60" s="23">
        <f>IF(J60="","",INDEX(Pantry!$E$6:$E$305,J60)&amp;"")</f>
        <v/>
      </c>
      <c r="F60" s="25">
        <f>IF(J60="","",INDEX(Pantry!$M$6:$M$305,J60))</f>
        <v/>
      </c>
      <c r="G60" s="31" t="n"/>
      <c r="H60" s="1" t="n"/>
      <c r="I60">
        <f>IFERROR(SMALL(Pantry!$O$6:$O$305,53),"")</f>
        <v/>
      </c>
      <c r="J60">
        <f>IF(I60="","",MATCH(I60,Pantry!$O$6:$O$305,0))</f>
        <v/>
      </c>
      <c r="K60">
        <f>IF(J60="","",IF(INDEX(Pantry!$D$6:$D$305,J60)&amp;""="","Other",INDEX(Pantry!$D$6:$D$305,J60)&amp;""))</f>
        <v/>
      </c>
    </row>
    <row r="61">
      <c r="A61" s="1" t="n"/>
      <c r="B61" s="29">
        <f>IF(J61="","",IF(K61=K60,"",K61))</f>
        <v/>
      </c>
      <c r="C61" s="23">
        <f>IF(J61="","",INDEX(Pantry!$B$6:$B$305,J61))</f>
        <v/>
      </c>
      <c r="D61" s="30">
        <f>IF(J61="","",INDEX(Pantry!$L$6:$L$305,J61))</f>
        <v/>
      </c>
      <c r="E61" s="23">
        <f>IF(J61="","",INDEX(Pantry!$E$6:$E$305,J61)&amp;"")</f>
        <v/>
      </c>
      <c r="F61" s="25">
        <f>IF(J61="","",INDEX(Pantry!$M$6:$M$305,J61))</f>
        <v/>
      </c>
      <c r="G61" s="31" t="n"/>
      <c r="H61" s="1" t="n"/>
      <c r="I61">
        <f>IFERROR(SMALL(Pantry!$O$6:$O$305,54),"")</f>
        <v/>
      </c>
      <c r="J61">
        <f>IF(I61="","",MATCH(I61,Pantry!$O$6:$O$305,0))</f>
        <v/>
      </c>
      <c r="K61">
        <f>IF(J61="","",IF(INDEX(Pantry!$D$6:$D$305,J61)&amp;""="","Other",INDEX(Pantry!$D$6:$D$305,J61)&amp;""))</f>
        <v/>
      </c>
    </row>
    <row r="62">
      <c r="A62" s="1" t="n"/>
      <c r="B62" s="29">
        <f>IF(J62="","",IF(K62=K61,"",K62))</f>
        <v/>
      </c>
      <c r="C62" s="23">
        <f>IF(J62="","",INDEX(Pantry!$B$6:$B$305,J62))</f>
        <v/>
      </c>
      <c r="D62" s="30">
        <f>IF(J62="","",INDEX(Pantry!$L$6:$L$305,J62))</f>
        <v/>
      </c>
      <c r="E62" s="23">
        <f>IF(J62="","",INDEX(Pantry!$E$6:$E$305,J62)&amp;"")</f>
        <v/>
      </c>
      <c r="F62" s="25">
        <f>IF(J62="","",INDEX(Pantry!$M$6:$M$305,J62))</f>
        <v/>
      </c>
      <c r="G62" s="31" t="n"/>
      <c r="H62" s="1" t="n"/>
      <c r="I62">
        <f>IFERROR(SMALL(Pantry!$O$6:$O$305,55),"")</f>
        <v/>
      </c>
      <c r="J62">
        <f>IF(I62="","",MATCH(I62,Pantry!$O$6:$O$305,0))</f>
        <v/>
      </c>
      <c r="K62">
        <f>IF(J62="","",IF(INDEX(Pantry!$D$6:$D$305,J62)&amp;""="","Other",INDEX(Pantry!$D$6:$D$305,J62)&amp;""))</f>
        <v/>
      </c>
    </row>
    <row r="63">
      <c r="A63" s="1" t="n"/>
      <c r="B63" s="29">
        <f>IF(J63="","",IF(K63=K62,"",K63))</f>
        <v/>
      </c>
      <c r="C63" s="23">
        <f>IF(J63="","",INDEX(Pantry!$B$6:$B$305,J63))</f>
        <v/>
      </c>
      <c r="D63" s="30">
        <f>IF(J63="","",INDEX(Pantry!$L$6:$L$305,J63))</f>
        <v/>
      </c>
      <c r="E63" s="23">
        <f>IF(J63="","",INDEX(Pantry!$E$6:$E$305,J63)&amp;"")</f>
        <v/>
      </c>
      <c r="F63" s="25">
        <f>IF(J63="","",INDEX(Pantry!$M$6:$M$305,J63))</f>
        <v/>
      </c>
      <c r="G63" s="31" t="n"/>
      <c r="H63" s="1" t="n"/>
      <c r="I63">
        <f>IFERROR(SMALL(Pantry!$O$6:$O$305,56),"")</f>
        <v/>
      </c>
      <c r="J63">
        <f>IF(I63="","",MATCH(I63,Pantry!$O$6:$O$305,0))</f>
        <v/>
      </c>
      <c r="K63">
        <f>IF(J63="","",IF(INDEX(Pantry!$D$6:$D$305,J63)&amp;""="","Other",INDEX(Pantry!$D$6:$D$305,J63)&amp;""))</f>
        <v/>
      </c>
    </row>
    <row r="64">
      <c r="A64" s="1" t="n"/>
      <c r="B64" s="29">
        <f>IF(J64="","",IF(K64=K63,"",K64))</f>
        <v/>
      </c>
      <c r="C64" s="23">
        <f>IF(J64="","",INDEX(Pantry!$B$6:$B$305,J64))</f>
        <v/>
      </c>
      <c r="D64" s="30">
        <f>IF(J64="","",INDEX(Pantry!$L$6:$L$305,J64))</f>
        <v/>
      </c>
      <c r="E64" s="23">
        <f>IF(J64="","",INDEX(Pantry!$E$6:$E$305,J64)&amp;"")</f>
        <v/>
      </c>
      <c r="F64" s="25">
        <f>IF(J64="","",INDEX(Pantry!$M$6:$M$305,J64))</f>
        <v/>
      </c>
      <c r="G64" s="31" t="n"/>
      <c r="H64" s="1" t="n"/>
      <c r="I64">
        <f>IFERROR(SMALL(Pantry!$O$6:$O$305,57),"")</f>
        <v/>
      </c>
      <c r="J64">
        <f>IF(I64="","",MATCH(I64,Pantry!$O$6:$O$305,0))</f>
        <v/>
      </c>
      <c r="K64">
        <f>IF(J64="","",IF(INDEX(Pantry!$D$6:$D$305,J64)&amp;""="","Other",INDEX(Pantry!$D$6:$D$305,J64)&amp;""))</f>
        <v/>
      </c>
    </row>
    <row r="65">
      <c r="A65" s="1" t="n"/>
      <c r="B65" s="29">
        <f>IF(J65="","",IF(K65=K64,"",K65))</f>
        <v/>
      </c>
      <c r="C65" s="23">
        <f>IF(J65="","",INDEX(Pantry!$B$6:$B$305,J65))</f>
        <v/>
      </c>
      <c r="D65" s="30">
        <f>IF(J65="","",INDEX(Pantry!$L$6:$L$305,J65))</f>
        <v/>
      </c>
      <c r="E65" s="23">
        <f>IF(J65="","",INDEX(Pantry!$E$6:$E$305,J65)&amp;"")</f>
        <v/>
      </c>
      <c r="F65" s="25">
        <f>IF(J65="","",INDEX(Pantry!$M$6:$M$305,J65))</f>
        <v/>
      </c>
      <c r="G65" s="31" t="n"/>
      <c r="H65" s="1" t="n"/>
      <c r="I65">
        <f>IFERROR(SMALL(Pantry!$O$6:$O$305,58),"")</f>
        <v/>
      </c>
      <c r="J65">
        <f>IF(I65="","",MATCH(I65,Pantry!$O$6:$O$305,0))</f>
        <v/>
      </c>
      <c r="K65">
        <f>IF(J65="","",IF(INDEX(Pantry!$D$6:$D$305,J65)&amp;""="","Other",INDEX(Pantry!$D$6:$D$305,J65)&amp;""))</f>
        <v/>
      </c>
    </row>
    <row r="66">
      <c r="A66" s="1" t="n"/>
      <c r="B66" s="29">
        <f>IF(J66="","",IF(K66=K65,"",K66))</f>
        <v/>
      </c>
      <c r="C66" s="23">
        <f>IF(J66="","",INDEX(Pantry!$B$6:$B$305,J66))</f>
        <v/>
      </c>
      <c r="D66" s="30">
        <f>IF(J66="","",INDEX(Pantry!$L$6:$L$305,J66))</f>
        <v/>
      </c>
      <c r="E66" s="23">
        <f>IF(J66="","",INDEX(Pantry!$E$6:$E$305,J66)&amp;"")</f>
        <v/>
      </c>
      <c r="F66" s="25">
        <f>IF(J66="","",INDEX(Pantry!$M$6:$M$305,J66))</f>
        <v/>
      </c>
      <c r="G66" s="31" t="n"/>
      <c r="H66" s="1" t="n"/>
      <c r="I66">
        <f>IFERROR(SMALL(Pantry!$O$6:$O$305,59),"")</f>
        <v/>
      </c>
      <c r="J66">
        <f>IF(I66="","",MATCH(I66,Pantry!$O$6:$O$305,0))</f>
        <v/>
      </c>
      <c r="K66">
        <f>IF(J66="","",IF(INDEX(Pantry!$D$6:$D$305,J66)&amp;""="","Other",INDEX(Pantry!$D$6:$D$305,J66)&amp;""))</f>
        <v/>
      </c>
    </row>
    <row r="67">
      <c r="A67" s="1" t="n"/>
      <c r="B67" s="29">
        <f>IF(J67="","",IF(K67=K66,"",K67))</f>
        <v/>
      </c>
      <c r="C67" s="23">
        <f>IF(J67="","",INDEX(Pantry!$B$6:$B$305,J67))</f>
        <v/>
      </c>
      <c r="D67" s="30">
        <f>IF(J67="","",INDEX(Pantry!$L$6:$L$305,J67))</f>
        <v/>
      </c>
      <c r="E67" s="23">
        <f>IF(J67="","",INDEX(Pantry!$E$6:$E$305,J67)&amp;"")</f>
        <v/>
      </c>
      <c r="F67" s="25">
        <f>IF(J67="","",INDEX(Pantry!$M$6:$M$305,J67))</f>
        <v/>
      </c>
      <c r="G67" s="31" t="n"/>
      <c r="H67" s="1" t="n"/>
      <c r="I67">
        <f>IFERROR(SMALL(Pantry!$O$6:$O$305,60),"")</f>
        <v/>
      </c>
      <c r="J67">
        <f>IF(I67="","",MATCH(I67,Pantry!$O$6:$O$305,0))</f>
        <v/>
      </c>
      <c r="K67">
        <f>IF(J67="","",IF(INDEX(Pantry!$D$6:$D$305,J67)&amp;""="","Other",INDEX(Pantry!$D$6:$D$305,J67)&amp;""))</f>
        <v/>
      </c>
    </row>
    <row r="68">
      <c r="A68" s="1" t="n"/>
      <c r="B68" s="29">
        <f>IF(J68="","",IF(K68=K67,"",K68))</f>
        <v/>
      </c>
      <c r="C68" s="23">
        <f>IF(J68="","",INDEX(Pantry!$B$6:$B$305,J68))</f>
        <v/>
      </c>
      <c r="D68" s="30">
        <f>IF(J68="","",INDEX(Pantry!$L$6:$L$305,J68))</f>
        <v/>
      </c>
      <c r="E68" s="23">
        <f>IF(J68="","",INDEX(Pantry!$E$6:$E$305,J68)&amp;"")</f>
        <v/>
      </c>
      <c r="F68" s="25">
        <f>IF(J68="","",INDEX(Pantry!$M$6:$M$305,J68))</f>
        <v/>
      </c>
      <c r="G68" s="31" t="n"/>
      <c r="H68" s="1" t="n"/>
      <c r="I68">
        <f>IFERROR(SMALL(Pantry!$O$6:$O$305,61),"")</f>
        <v/>
      </c>
      <c r="J68">
        <f>IF(I68="","",MATCH(I68,Pantry!$O$6:$O$305,0))</f>
        <v/>
      </c>
      <c r="K68">
        <f>IF(J68="","",IF(INDEX(Pantry!$D$6:$D$305,J68)&amp;""="","Other",INDEX(Pantry!$D$6:$D$305,J68)&amp;""))</f>
        <v/>
      </c>
    </row>
    <row r="69">
      <c r="A69" s="1" t="n"/>
      <c r="B69" s="29">
        <f>IF(J69="","",IF(K69=K68,"",K69))</f>
        <v/>
      </c>
      <c r="C69" s="23">
        <f>IF(J69="","",INDEX(Pantry!$B$6:$B$305,J69))</f>
        <v/>
      </c>
      <c r="D69" s="30">
        <f>IF(J69="","",INDEX(Pantry!$L$6:$L$305,J69))</f>
        <v/>
      </c>
      <c r="E69" s="23">
        <f>IF(J69="","",INDEX(Pantry!$E$6:$E$305,J69)&amp;"")</f>
        <v/>
      </c>
      <c r="F69" s="25">
        <f>IF(J69="","",INDEX(Pantry!$M$6:$M$305,J69))</f>
        <v/>
      </c>
      <c r="G69" s="31" t="n"/>
      <c r="H69" s="1" t="n"/>
      <c r="I69">
        <f>IFERROR(SMALL(Pantry!$O$6:$O$305,62),"")</f>
        <v/>
      </c>
      <c r="J69">
        <f>IF(I69="","",MATCH(I69,Pantry!$O$6:$O$305,0))</f>
        <v/>
      </c>
      <c r="K69">
        <f>IF(J69="","",IF(INDEX(Pantry!$D$6:$D$305,J69)&amp;""="","Other",INDEX(Pantry!$D$6:$D$305,J69)&amp;""))</f>
        <v/>
      </c>
    </row>
    <row r="70">
      <c r="A70" s="1" t="n"/>
      <c r="B70" s="29">
        <f>IF(J70="","",IF(K70=K69,"",K70))</f>
        <v/>
      </c>
      <c r="C70" s="23">
        <f>IF(J70="","",INDEX(Pantry!$B$6:$B$305,J70))</f>
        <v/>
      </c>
      <c r="D70" s="30">
        <f>IF(J70="","",INDEX(Pantry!$L$6:$L$305,J70))</f>
        <v/>
      </c>
      <c r="E70" s="23">
        <f>IF(J70="","",INDEX(Pantry!$E$6:$E$305,J70)&amp;"")</f>
        <v/>
      </c>
      <c r="F70" s="25">
        <f>IF(J70="","",INDEX(Pantry!$M$6:$M$305,J70))</f>
        <v/>
      </c>
      <c r="G70" s="31" t="n"/>
      <c r="H70" s="1" t="n"/>
      <c r="I70">
        <f>IFERROR(SMALL(Pantry!$O$6:$O$305,63),"")</f>
        <v/>
      </c>
      <c r="J70">
        <f>IF(I70="","",MATCH(I70,Pantry!$O$6:$O$305,0))</f>
        <v/>
      </c>
      <c r="K70">
        <f>IF(J70="","",IF(INDEX(Pantry!$D$6:$D$305,J70)&amp;""="","Other",INDEX(Pantry!$D$6:$D$305,J70)&amp;""))</f>
        <v/>
      </c>
    </row>
    <row r="71">
      <c r="A71" s="1" t="n"/>
      <c r="B71" s="29">
        <f>IF(J71="","",IF(K71=K70,"",K71))</f>
        <v/>
      </c>
      <c r="C71" s="23">
        <f>IF(J71="","",INDEX(Pantry!$B$6:$B$305,J71))</f>
        <v/>
      </c>
      <c r="D71" s="30">
        <f>IF(J71="","",INDEX(Pantry!$L$6:$L$305,J71))</f>
        <v/>
      </c>
      <c r="E71" s="23">
        <f>IF(J71="","",INDEX(Pantry!$E$6:$E$305,J71)&amp;"")</f>
        <v/>
      </c>
      <c r="F71" s="25">
        <f>IF(J71="","",INDEX(Pantry!$M$6:$M$305,J71))</f>
        <v/>
      </c>
      <c r="G71" s="31" t="n"/>
      <c r="H71" s="1" t="n"/>
      <c r="I71">
        <f>IFERROR(SMALL(Pantry!$O$6:$O$305,64),"")</f>
        <v/>
      </c>
      <c r="J71">
        <f>IF(I71="","",MATCH(I71,Pantry!$O$6:$O$305,0))</f>
        <v/>
      </c>
      <c r="K71">
        <f>IF(J71="","",IF(INDEX(Pantry!$D$6:$D$305,J71)&amp;""="","Other",INDEX(Pantry!$D$6:$D$305,J71)&amp;""))</f>
        <v/>
      </c>
    </row>
    <row r="72">
      <c r="A72" s="1" t="n"/>
      <c r="B72" s="29">
        <f>IF(J72="","",IF(K72=K71,"",K72))</f>
        <v/>
      </c>
      <c r="C72" s="23">
        <f>IF(J72="","",INDEX(Pantry!$B$6:$B$305,J72))</f>
        <v/>
      </c>
      <c r="D72" s="30">
        <f>IF(J72="","",INDEX(Pantry!$L$6:$L$305,J72))</f>
        <v/>
      </c>
      <c r="E72" s="23">
        <f>IF(J72="","",INDEX(Pantry!$E$6:$E$305,J72)&amp;"")</f>
        <v/>
      </c>
      <c r="F72" s="25">
        <f>IF(J72="","",INDEX(Pantry!$M$6:$M$305,J72))</f>
        <v/>
      </c>
      <c r="G72" s="31" t="n"/>
      <c r="H72" s="1" t="n"/>
      <c r="I72">
        <f>IFERROR(SMALL(Pantry!$O$6:$O$305,65),"")</f>
        <v/>
      </c>
      <c r="J72">
        <f>IF(I72="","",MATCH(I72,Pantry!$O$6:$O$305,0))</f>
        <v/>
      </c>
      <c r="K72">
        <f>IF(J72="","",IF(INDEX(Pantry!$D$6:$D$305,J72)&amp;""="","Other",INDEX(Pantry!$D$6:$D$305,J72)&amp;""))</f>
        <v/>
      </c>
    </row>
    <row r="73">
      <c r="A73" s="1" t="n"/>
      <c r="B73" s="29">
        <f>IF(J73="","",IF(K73=K72,"",K73))</f>
        <v/>
      </c>
      <c r="C73" s="23">
        <f>IF(J73="","",INDEX(Pantry!$B$6:$B$305,J73))</f>
        <v/>
      </c>
      <c r="D73" s="30">
        <f>IF(J73="","",INDEX(Pantry!$L$6:$L$305,J73))</f>
        <v/>
      </c>
      <c r="E73" s="23">
        <f>IF(J73="","",INDEX(Pantry!$E$6:$E$305,J73)&amp;"")</f>
        <v/>
      </c>
      <c r="F73" s="25">
        <f>IF(J73="","",INDEX(Pantry!$M$6:$M$305,J73))</f>
        <v/>
      </c>
      <c r="G73" s="31" t="n"/>
      <c r="H73" s="1" t="n"/>
      <c r="I73">
        <f>IFERROR(SMALL(Pantry!$O$6:$O$305,66),"")</f>
        <v/>
      </c>
      <c r="J73">
        <f>IF(I73="","",MATCH(I73,Pantry!$O$6:$O$305,0))</f>
        <v/>
      </c>
      <c r="K73">
        <f>IF(J73="","",IF(INDEX(Pantry!$D$6:$D$305,J73)&amp;""="","Other",INDEX(Pantry!$D$6:$D$305,J73)&amp;""))</f>
        <v/>
      </c>
    </row>
    <row r="74">
      <c r="A74" s="1" t="n"/>
      <c r="B74" s="29">
        <f>IF(J74="","",IF(K74=K73,"",K74))</f>
        <v/>
      </c>
      <c r="C74" s="23">
        <f>IF(J74="","",INDEX(Pantry!$B$6:$B$305,J74))</f>
        <v/>
      </c>
      <c r="D74" s="30">
        <f>IF(J74="","",INDEX(Pantry!$L$6:$L$305,J74))</f>
        <v/>
      </c>
      <c r="E74" s="23">
        <f>IF(J74="","",INDEX(Pantry!$E$6:$E$305,J74)&amp;"")</f>
        <v/>
      </c>
      <c r="F74" s="25">
        <f>IF(J74="","",INDEX(Pantry!$M$6:$M$305,J74))</f>
        <v/>
      </c>
      <c r="G74" s="31" t="n"/>
      <c r="H74" s="1" t="n"/>
      <c r="I74">
        <f>IFERROR(SMALL(Pantry!$O$6:$O$305,67),"")</f>
        <v/>
      </c>
      <c r="J74">
        <f>IF(I74="","",MATCH(I74,Pantry!$O$6:$O$305,0))</f>
        <v/>
      </c>
      <c r="K74">
        <f>IF(J74="","",IF(INDEX(Pantry!$D$6:$D$305,J74)&amp;""="","Other",INDEX(Pantry!$D$6:$D$305,J74)&amp;""))</f>
        <v/>
      </c>
    </row>
    <row r="75">
      <c r="A75" s="1" t="n"/>
      <c r="B75" s="29">
        <f>IF(J75="","",IF(K75=K74,"",K75))</f>
        <v/>
      </c>
      <c r="C75" s="23">
        <f>IF(J75="","",INDEX(Pantry!$B$6:$B$305,J75))</f>
        <v/>
      </c>
      <c r="D75" s="30">
        <f>IF(J75="","",INDEX(Pantry!$L$6:$L$305,J75))</f>
        <v/>
      </c>
      <c r="E75" s="23">
        <f>IF(J75="","",INDEX(Pantry!$E$6:$E$305,J75)&amp;"")</f>
        <v/>
      </c>
      <c r="F75" s="25">
        <f>IF(J75="","",INDEX(Pantry!$M$6:$M$305,J75))</f>
        <v/>
      </c>
      <c r="G75" s="31" t="n"/>
      <c r="H75" s="1" t="n"/>
      <c r="I75">
        <f>IFERROR(SMALL(Pantry!$O$6:$O$305,68),"")</f>
        <v/>
      </c>
      <c r="J75">
        <f>IF(I75="","",MATCH(I75,Pantry!$O$6:$O$305,0))</f>
        <v/>
      </c>
      <c r="K75">
        <f>IF(J75="","",IF(INDEX(Pantry!$D$6:$D$305,J75)&amp;""="","Other",INDEX(Pantry!$D$6:$D$305,J75)&amp;""))</f>
        <v/>
      </c>
    </row>
    <row r="76">
      <c r="A76" s="1" t="n"/>
      <c r="B76" s="29">
        <f>IF(J76="","",IF(K76=K75,"",K76))</f>
        <v/>
      </c>
      <c r="C76" s="23">
        <f>IF(J76="","",INDEX(Pantry!$B$6:$B$305,J76))</f>
        <v/>
      </c>
      <c r="D76" s="30">
        <f>IF(J76="","",INDEX(Pantry!$L$6:$L$305,J76))</f>
        <v/>
      </c>
      <c r="E76" s="23">
        <f>IF(J76="","",INDEX(Pantry!$E$6:$E$305,J76)&amp;"")</f>
        <v/>
      </c>
      <c r="F76" s="25">
        <f>IF(J76="","",INDEX(Pantry!$M$6:$M$305,J76))</f>
        <v/>
      </c>
      <c r="G76" s="31" t="n"/>
      <c r="H76" s="1" t="n"/>
      <c r="I76">
        <f>IFERROR(SMALL(Pantry!$O$6:$O$305,69),"")</f>
        <v/>
      </c>
      <c r="J76">
        <f>IF(I76="","",MATCH(I76,Pantry!$O$6:$O$305,0))</f>
        <v/>
      </c>
      <c r="K76">
        <f>IF(J76="","",IF(INDEX(Pantry!$D$6:$D$305,J76)&amp;""="","Other",INDEX(Pantry!$D$6:$D$305,J76)&amp;""))</f>
        <v/>
      </c>
    </row>
    <row r="77">
      <c r="A77" s="1" t="n"/>
      <c r="B77" s="29">
        <f>IF(J77="","",IF(K77=K76,"",K77))</f>
        <v/>
      </c>
      <c r="C77" s="23">
        <f>IF(J77="","",INDEX(Pantry!$B$6:$B$305,J77))</f>
        <v/>
      </c>
      <c r="D77" s="30">
        <f>IF(J77="","",INDEX(Pantry!$L$6:$L$305,J77))</f>
        <v/>
      </c>
      <c r="E77" s="23">
        <f>IF(J77="","",INDEX(Pantry!$E$6:$E$305,J77)&amp;"")</f>
        <v/>
      </c>
      <c r="F77" s="25">
        <f>IF(J77="","",INDEX(Pantry!$M$6:$M$305,J77))</f>
        <v/>
      </c>
      <c r="G77" s="31" t="n"/>
      <c r="H77" s="1" t="n"/>
      <c r="I77">
        <f>IFERROR(SMALL(Pantry!$O$6:$O$305,70),"")</f>
        <v/>
      </c>
      <c r="J77">
        <f>IF(I77="","",MATCH(I77,Pantry!$O$6:$O$305,0))</f>
        <v/>
      </c>
      <c r="K77">
        <f>IF(J77="","",IF(INDEX(Pantry!$D$6:$D$305,J77)&amp;""="","Other",INDEX(Pantry!$D$6:$D$305,J77)&amp;""))</f>
        <v/>
      </c>
    </row>
    <row r="78">
      <c r="A78" s="1" t="n"/>
      <c r="B78" s="29">
        <f>IF(J78="","",IF(K78=K77,"",K78))</f>
        <v/>
      </c>
      <c r="C78" s="23">
        <f>IF(J78="","",INDEX(Pantry!$B$6:$B$305,J78))</f>
        <v/>
      </c>
      <c r="D78" s="30">
        <f>IF(J78="","",INDEX(Pantry!$L$6:$L$305,J78))</f>
        <v/>
      </c>
      <c r="E78" s="23">
        <f>IF(J78="","",INDEX(Pantry!$E$6:$E$305,J78)&amp;"")</f>
        <v/>
      </c>
      <c r="F78" s="25">
        <f>IF(J78="","",INDEX(Pantry!$M$6:$M$305,J78))</f>
        <v/>
      </c>
      <c r="G78" s="31" t="n"/>
      <c r="H78" s="1" t="n"/>
      <c r="I78">
        <f>IFERROR(SMALL(Pantry!$O$6:$O$305,71),"")</f>
        <v/>
      </c>
      <c r="J78">
        <f>IF(I78="","",MATCH(I78,Pantry!$O$6:$O$305,0))</f>
        <v/>
      </c>
      <c r="K78">
        <f>IF(J78="","",IF(INDEX(Pantry!$D$6:$D$305,J78)&amp;""="","Other",INDEX(Pantry!$D$6:$D$305,J78)&amp;""))</f>
        <v/>
      </c>
    </row>
    <row r="79">
      <c r="A79" s="1" t="n"/>
      <c r="B79" s="29">
        <f>IF(J79="","",IF(K79=K78,"",K79))</f>
        <v/>
      </c>
      <c r="C79" s="23">
        <f>IF(J79="","",INDEX(Pantry!$B$6:$B$305,J79))</f>
        <v/>
      </c>
      <c r="D79" s="30">
        <f>IF(J79="","",INDEX(Pantry!$L$6:$L$305,J79))</f>
        <v/>
      </c>
      <c r="E79" s="23">
        <f>IF(J79="","",INDEX(Pantry!$E$6:$E$305,J79)&amp;"")</f>
        <v/>
      </c>
      <c r="F79" s="25">
        <f>IF(J79="","",INDEX(Pantry!$M$6:$M$305,J79))</f>
        <v/>
      </c>
      <c r="G79" s="31" t="n"/>
      <c r="H79" s="1" t="n"/>
      <c r="I79">
        <f>IFERROR(SMALL(Pantry!$O$6:$O$305,72),"")</f>
        <v/>
      </c>
      <c r="J79">
        <f>IF(I79="","",MATCH(I79,Pantry!$O$6:$O$305,0))</f>
        <v/>
      </c>
      <c r="K79">
        <f>IF(J79="","",IF(INDEX(Pantry!$D$6:$D$305,J79)&amp;""="","Other",INDEX(Pantry!$D$6:$D$305,J79)&amp;""))</f>
        <v/>
      </c>
    </row>
    <row r="80">
      <c r="A80" s="1" t="n"/>
      <c r="B80" s="29">
        <f>IF(J80="","",IF(K80=K79,"",K80))</f>
        <v/>
      </c>
      <c r="C80" s="23">
        <f>IF(J80="","",INDEX(Pantry!$B$6:$B$305,J80))</f>
        <v/>
      </c>
      <c r="D80" s="30">
        <f>IF(J80="","",INDEX(Pantry!$L$6:$L$305,J80))</f>
        <v/>
      </c>
      <c r="E80" s="23">
        <f>IF(J80="","",INDEX(Pantry!$E$6:$E$305,J80)&amp;"")</f>
        <v/>
      </c>
      <c r="F80" s="25">
        <f>IF(J80="","",INDEX(Pantry!$M$6:$M$305,J80))</f>
        <v/>
      </c>
      <c r="G80" s="31" t="n"/>
      <c r="H80" s="1" t="n"/>
      <c r="I80">
        <f>IFERROR(SMALL(Pantry!$O$6:$O$305,73),"")</f>
        <v/>
      </c>
      <c r="J80">
        <f>IF(I80="","",MATCH(I80,Pantry!$O$6:$O$305,0))</f>
        <v/>
      </c>
      <c r="K80">
        <f>IF(J80="","",IF(INDEX(Pantry!$D$6:$D$305,J80)&amp;""="","Other",INDEX(Pantry!$D$6:$D$305,J80)&amp;""))</f>
        <v/>
      </c>
    </row>
    <row r="81">
      <c r="A81" s="1" t="n"/>
      <c r="B81" s="29">
        <f>IF(J81="","",IF(K81=K80,"",K81))</f>
        <v/>
      </c>
      <c r="C81" s="23">
        <f>IF(J81="","",INDEX(Pantry!$B$6:$B$305,J81))</f>
        <v/>
      </c>
      <c r="D81" s="30">
        <f>IF(J81="","",INDEX(Pantry!$L$6:$L$305,J81))</f>
        <v/>
      </c>
      <c r="E81" s="23">
        <f>IF(J81="","",INDEX(Pantry!$E$6:$E$305,J81)&amp;"")</f>
        <v/>
      </c>
      <c r="F81" s="25">
        <f>IF(J81="","",INDEX(Pantry!$M$6:$M$305,J81))</f>
        <v/>
      </c>
      <c r="G81" s="31" t="n"/>
      <c r="H81" s="1" t="n"/>
      <c r="I81">
        <f>IFERROR(SMALL(Pantry!$O$6:$O$305,74),"")</f>
        <v/>
      </c>
      <c r="J81">
        <f>IF(I81="","",MATCH(I81,Pantry!$O$6:$O$305,0))</f>
        <v/>
      </c>
      <c r="K81">
        <f>IF(J81="","",IF(INDEX(Pantry!$D$6:$D$305,J81)&amp;""="","Other",INDEX(Pantry!$D$6:$D$305,J81)&amp;""))</f>
        <v/>
      </c>
    </row>
    <row r="82">
      <c r="A82" s="1" t="n"/>
      <c r="B82" s="29">
        <f>IF(J82="","",IF(K82=K81,"",K82))</f>
        <v/>
      </c>
      <c r="C82" s="23">
        <f>IF(J82="","",INDEX(Pantry!$B$6:$B$305,J82))</f>
        <v/>
      </c>
      <c r="D82" s="30">
        <f>IF(J82="","",INDEX(Pantry!$L$6:$L$305,J82))</f>
        <v/>
      </c>
      <c r="E82" s="23">
        <f>IF(J82="","",INDEX(Pantry!$E$6:$E$305,J82)&amp;"")</f>
        <v/>
      </c>
      <c r="F82" s="25">
        <f>IF(J82="","",INDEX(Pantry!$M$6:$M$305,J82))</f>
        <v/>
      </c>
      <c r="G82" s="31" t="n"/>
      <c r="H82" s="1" t="n"/>
      <c r="I82">
        <f>IFERROR(SMALL(Pantry!$O$6:$O$305,75),"")</f>
        <v/>
      </c>
      <c r="J82">
        <f>IF(I82="","",MATCH(I82,Pantry!$O$6:$O$305,0))</f>
        <v/>
      </c>
      <c r="K82">
        <f>IF(J82="","",IF(INDEX(Pantry!$D$6:$D$305,J82)&amp;""="","Other",INDEX(Pantry!$D$6:$D$305,J82)&amp;""))</f>
        <v/>
      </c>
    </row>
    <row r="83">
      <c r="A83" s="1" t="n"/>
      <c r="B83" s="29">
        <f>IF(J83="","",IF(K83=K82,"",K83))</f>
        <v/>
      </c>
      <c r="C83" s="23">
        <f>IF(J83="","",INDEX(Pantry!$B$6:$B$305,J83))</f>
        <v/>
      </c>
      <c r="D83" s="30">
        <f>IF(J83="","",INDEX(Pantry!$L$6:$L$305,J83))</f>
        <v/>
      </c>
      <c r="E83" s="23">
        <f>IF(J83="","",INDEX(Pantry!$E$6:$E$305,J83)&amp;"")</f>
        <v/>
      </c>
      <c r="F83" s="25">
        <f>IF(J83="","",INDEX(Pantry!$M$6:$M$305,J83))</f>
        <v/>
      </c>
      <c r="G83" s="31" t="n"/>
      <c r="H83" s="1" t="n"/>
      <c r="I83">
        <f>IFERROR(SMALL(Pantry!$O$6:$O$305,76),"")</f>
        <v/>
      </c>
      <c r="J83">
        <f>IF(I83="","",MATCH(I83,Pantry!$O$6:$O$305,0))</f>
        <v/>
      </c>
      <c r="K83">
        <f>IF(J83="","",IF(INDEX(Pantry!$D$6:$D$305,J83)&amp;""="","Other",INDEX(Pantry!$D$6:$D$305,J83)&amp;""))</f>
        <v/>
      </c>
    </row>
    <row r="84">
      <c r="A84" s="1" t="n"/>
      <c r="B84" s="29">
        <f>IF(J84="","",IF(K84=K83,"",K84))</f>
        <v/>
      </c>
      <c r="C84" s="23">
        <f>IF(J84="","",INDEX(Pantry!$B$6:$B$305,J84))</f>
        <v/>
      </c>
      <c r="D84" s="30">
        <f>IF(J84="","",INDEX(Pantry!$L$6:$L$305,J84))</f>
        <v/>
      </c>
      <c r="E84" s="23">
        <f>IF(J84="","",INDEX(Pantry!$E$6:$E$305,J84)&amp;"")</f>
        <v/>
      </c>
      <c r="F84" s="25">
        <f>IF(J84="","",INDEX(Pantry!$M$6:$M$305,J84))</f>
        <v/>
      </c>
      <c r="G84" s="31" t="n"/>
      <c r="H84" s="1" t="n"/>
      <c r="I84">
        <f>IFERROR(SMALL(Pantry!$O$6:$O$305,77),"")</f>
        <v/>
      </c>
      <c r="J84">
        <f>IF(I84="","",MATCH(I84,Pantry!$O$6:$O$305,0))</f>
        <v/>
      </c>
      <c r="K84">
        <f>IF(J84="","",IF(INDEX(Pantry!$D$6:$D$305,J84)&amp;""="","Other",INDEX(Pantry!$D$6:$D$305,J84)&amp;""))</f>
        <v/>
      </c>
    </row>
    <row r="85">
      <c r="A85" s="1" t="n"/>
      <c r="B85" s="29">
        <f>IF(J85="","",IF(K85=K84,"",K85))</f>
        <v/>
      </c>
      <c r="C85" s="23">
        <f>IF(J85="","",INDEX(Pantry!$B$6:$B$305,J85))</f>
        <v/>
      </c>
      <c r="D85" s="30">
        <f>IF(J85="","",INDEX(Pantry!$L$6:$L$305,J85))</f>
        <v/>
      </c>
      <c r="E85" s="23">
        <f>IF(J85="","",INDEX(Pantry!$E$6:$E$305,J85)&amp;"")</f>
        <v/>
      </c>
      <c r="F85" s="25">
        <f>IF(J85="","",INDEX(Pantry!$M$6:$M$305,J85))</f>
        <v/>
      </c>
      <c r="G85" s="31" t="n"/>
      <c r="H85" s="1" t="n"/>
      <c r="I85">
        <f>IFERROR(SMALL(Pantry!$O$6:$O$305,78),"")</f>
        <v/>
      </c>
      <c r="J85">
        <f>IF(I85="","",MATCH(I85,Pantry!$O$6:$O$305,0))</f>
        <v/>
      </c>
      <c r="K85">
        <f>IF(J85="","",IF(INDEX(Pantry!$D$6:$D$305,J85)&amp;""="","Other",INDEX(Pantry!$D$6:$D$305,J85)&amp;""))</f>
        <v/>
      </c>
    </row>
    <row r="86">
      <c r="A86" s="1" t="n"/>
      <c r="B86" s="29">
        <f>IF(J86="","",IF(K86=K85,"",K86))</f>
        <v/>
      </c>
      <c r="C86" s="23">
        <f>IF(J86="","",INDEX(Pantry!$B$6:$B$305,J86))</f>
        <v/>
      </c>
      <c r="D86" s="30">
        <f>IF(J86="","",INDEX(Pantry!$L$6:$L$305,J86))</f>
        <v/>
      </c>
      <c r="E86" s="23">
        <f>IF(J86="","",INDEX(Pantry!$E$6:$E$305,J86)&amp;"")</f>
        <v/>
      </c>
      <c r="F86" s="25">
        <f>IF(J86="","",INDEX(Pantry!$M$6:$M$305,J86))</f>
        <v/>
      </c>
      <c r="G86" s="31" t="n"/>
      <c r="H86" s="1" t="n"/>
      <c r="I86">
        <f>IFERROR(SMALL(Pantry!$O$6:$O$305,79),"")</f>
        <v/>
      </c>
      <c r="J86">
        <f>IF(I86="","",MATCH(I86,Pantry!$O$6:$O$305,0))</f>
        <v/>
      </c>
      <c r="K86">
        <f>IF(J86="","",IF(INDEX(Pantry!$D$6:$D$305,J86)&amp;""="","Other",INDEX(Pantry!$D$6:$D$305,J86)&amp;""))</f>
        <v/>
      </c>
    </row>
    <row r="87">
      <c r="A87" s="1" t="n"/>
      <c r="B87" s="29">
        <f>IF(J87="","",IF(K87=K86,"",K87))</f>
        <v/>
      </c>
      <c r="C87" s="23">
        <f>IF(J87="","",INDEX(Pantry!$B$6:$B$305,J87))</f>
        <v/>
      </c>
      <c r="D87" s="30">
        <f>IF(J87="","",INDEX(Pantry!$L$6:$L$305,J87))</f>
        <v/>
      </c>
      <c r="E87" s="23">
        <f>IF(J87="","",INDEX(Pantry!$E$6:$E$305,J87)&amp;"")</f>
        <v/>
      </c>
      <c r="F87" s="25">
        <f>IF(J87="","",INDEX(Pantry!$M$6:$M$305,J87))</f>
        <v/>
      </c>
      <c r="G87" s="31" t="n"/>
      <c r="H87" s="1" t="n"/>
      <c r="I87">
        <f>IFERROR(SMALL(Pantry!$O$6:$O$305,80),"")</f>
        <v/>
      </c>
      <c r="J87">
        <f>IF(I87="","",MATCH(I87,Pantry!$O$6:$O$305,0))</f>
        <v/>
      </c>
      <c r="K87">
        <f>IF(J87="","",IF(INDEX(Pantry!$D$6:$D$305,J87)&amp;""="","Other",INDEX(Pantry!$D$6:$D$305,J87)&amp;""))</f>
        <v/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6" t="inlineStr">
        <is>
          <t>Type x under Got it as you shop. Clear that column when you start a new week.</t>
        </is>
      </c>
      <c r="C89" s="1" t="n"/>
      <c r="D89" s="1" t="n"/>
      <c r="E89" s="1" t="n"/>
      <c r="F89" s="1" t="n"/>
      <c r="G89" s="1" t="n"/>
      <c r="H89" s="1" t="n"/>
    </row>
  </sheetData>
  <conditionalFormatting sqref="B8:B87">
    <cfRule type="expression" priority="1" dxfId="3">
      <formula>$B8&lt;&gt;""</formula>
    </cfRule>
  </conditionalFormatting>
  <conditionalFormatting sqref="C8:F87">
    <cfRule type="expression" priority="2" dxfId="4">
      <formula>$G8&lt;&gt;""</formula>
    </cfRule>
  </conditionalFormatting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1" customWidth="1" min="3" max="3"/>
    <col width="8" customWidth="1" min="4" max="4"/>
    <col width="9" customWidth="1" min="5" max="5"/>
    <col width="28" customWidth="1" min="6" max="6"/>
    <col width="10" customWidth="1" min="7" max="7"/>
    <col width="10" customWidth="1" min="8" max="8"/>
    <col width="11" customWidth="1" min="9" max="9"/>
    <col width="12" customWidth="1" min="10" max="10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Recipes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One line per recipe. Its ingredients go on the Ingredients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7" t="inlineStr">
        <is>
          <t>Recipe</t>
        </is>
      </c>
      <c r="C5" s="7" t="inlineStr">
        <is>
          <t>Meal</t>
        </is>
      </c>
      <c r="D5" s="7" t="inlineStr">
        <is>
          <t>Serves</t>
        </is>
      </c>
      <c r="E5" s="7" t="inlineStr">
        <is>
          <t>Minutes</t>
        </is>
      </c>
      <c r="F5" s="7" t="inlineStr">
        <is>
          <t>Link or notes</t>
        </is>
      </c>
      <c r="G5" s="7" t="inlineStr">
        <is>
          <t>Times this week</t>
        </is>
      </c>
      <c r="H5" s="7" t="inlineStr">
        <is>
          <t>Servings this week</t>
        </is>
      </c>
      <c r="I5" s="7" t="inlineStr">
        <is>
          <t>Cost per serving</t>
        </is>
      </c>
      <c r="J5" s="7" t="inlineStr">
        <is>
          <t>Ingredients</t>
        </is>
      </c>
      <c r="K5" s="1" t="n"/>
    </row>
    <row r="6">
      <c r="A6" s="1" t="n"/>
      <c r="B6" s="32" t="inlineStr">
        <is>
          <t>Overnight oats</t>
        </is>
      </c>
      <c r="C6" s="33" t="inlineStr">
        <is>
          <t>Breakfast</t>
        </is>
      </c>
      <c r="D6" s="34" t="n">
        <v>1</v>
      </c>
      <c r="E6" s="34" t="n">
        <v>5</v>
      </c>
      <c r="F6" s="33" t="inlineStr">
        <is>
          <t>Make it the night before</t>
        </is>
      </c>
      <c r="G6" s="24">
        <f>IF(B6="","",COUNTIFS('Week plan'!$C$9:$I$12,B6))</f>
        <v/>
      </c>
      <c r="H6" s="24">
        <f>IF(B6="","",SUMIFS('Week plan'!$Z$9:$AF$12,'Week plan'!$C$9:$I$12,B6))</f>
        <v/>
      </c>
      <c r="I6" s="25">
        <f>IF(B6="","",ROUND(SUMIFS(Ingredients!$F$6:$F$1005,Ingredients!$B$6:$B$1005,B6)/IF(N(D6)&gt;0,D6,1),2))</f>
        <v/>
      </c>
      <c r="J6" s="24">
        <f>IF(B6="","",COUNTIFS(Ingredients!$B$6:$B$1005,B6))</f>
        <v/>
      </c>
      <c r="K6" s="1">
        <f>IF(N(G6)&gt;0,ROW(),"")</f>
        <v/>
      </c>
    </row>
    <row r="7">
      <c r="A7" s="1" t="n"/>
      <c r="B7" s="32" t="inlineStr">
        <is>
          <t>Scrambled eggs on toast</t>
        </is>
      </c>
      <c r="C7" s="33" t="inlineStr">
        <is>
          <t>Breakfast</t>
        </is>
      </c>
      <c r="D7" s="34" t="n">
        <v>2</v>
      </c>
      <c r="E7" s="34" t="n">
        <v>10</v>
      </c>
      <c r="F7" s="33" t="n"/>
      <c r="G7" s="24">
        <f>IF(B7="","",COUNTIFS('Week plan'!$C$9:$I$12,B7))</f>
        <v/>
      </c>
      <c r="H7" s="24">
        <f>IF(B7="","",SUMIFS('Week plan'!$Z$9:$AF$12,'Week plan'!$C$9:$I$12,B7))</f>
        <v/>
      </c>
      <c r="I7" s="25">
        <f>IF(B7="","",ROUND(SUMIFS(Ingredients!$F$6:$F$1005,Ingredients!$B$6:$B$1005,B7)/IF(N(D7)&gt;0,D7,1),2))</f>
        <v/>
      </c>
      <c r="J7" s="24">
        <f>IF(B7="","",COUNTIFS(Ingredients!$B$6:$B$1005,B7))</f>
        <v/>
      </c>
      <c r="K7" s="1">
        <f>IF(N(G7)&gt;0,ROW(),"")</f>
        <v/>
      </c>
    </row>
    <row r="8">
      <c r="A8" s="1" t="n"/>
      <c r="B8" s="32" t="inlineStr">
        <is>
          <t>Veggie omelette</t>
        </is>
      </c>
      <c r="C8" s="33" t="inlineStr">
        <is>
          <t>Breakfast</t>
        </is>
      </c>
      <c r="D8" s="34" t="n">
        <v>1</v>
      </c>
      <c r="E8" s="34" t="n">
        <v>15</v>
      </c>
      <c r="F8" s="33" t="n"/>
      <c r="G8" s="24">
        <f>IF(B8="","",COUNTIFS('Week plan'!$C$9:$I$12,B8))</f>
        <v/>
      </c>
      <c r="H8" s="24">
        <f>IF(B8="","",SUMIFS('Week plan'!$Z$9:$AF$12,'Week plan'!$C$9:$I$12,B8))</f>
        <v/>
      </c>
      <c r="I8" s="25">
        <f>IF(B8="","",ROUND(SUMIFS(Ingredients!$F$6:$F$1005,Ingredients!$B$6:$B$1005,B8)/IF(N(D8)&gt;0,D8,1),2))</f>
        <v/>
      </c>
      <c r="J8" s="24">
        <f>IF(B8="","",COUNTIFS(Ingredients!$B$6:$B$1005,B8))</f>
        <v/>
      </c>
      <c r="K8" s="1">
        <f>IF(N(G8)&gt;0,ROW(),"")</f>
        <v/>
      </c>
    </row>
    <row r="9">
      <c r="A9" s="1" t="n"/>
      <c r="B9" s="32" t="inlineStr">
        <is>
          <t>Pancakes</t>
        </is>
      </c>
      <c r="C9" s="33" t="inlineStr">
        <is>
          <t>Breakfast</t>
        </is>
      </c>
      <c r="D9" s="34" t="n">
        <v>4</v>
      </c>
      <c r="E9" s="34" t="n">
        <v>25</v>
      </c>
      <c r="F9" s="33" t="inlineStr">
        <is>
          <t>Weekend breakfast</t>
        </is>
      </c>
      <c r="G9" s="24">
        <f>IF(B9="","",COUNTIFS('Week plan'!$C$9:$I$12,B9))</f>
        <v/>
      </c>
      <c r="H9" s="24">
        <f>IF(B9="","",SUMIFS('Week plan'!$Z$9:$AF$12,'Week plan'!$C$9:$I$12,B9))</f>
        <v/>
      </c>
      <c r="I9" s="25">
        <f>IF(B9="","",ROUND(SUMIFS(Ingredients!$F$6:$F$1005,Ingredients!$B$6:$B$1005,B9)/IF(N(D9)&gt;0,D9,1),2))</f>
        <v/>
      </c>
      <c r="J9" s="24">
        <f>IF(B9="","",COUNTIFS(Ingredients!$B$6:$B$1005,B9))</f>
        <v/>
      </c>
      <c r="K9" s="1">
        <f>IF(N(G9)&gt;0,ROW(),"")</f>
        <v/>
      </c>
    </row>
    <row r="10">
      <c r="A10" s="1" t="n"/>
      <c r="B10" s="32" t="inlineStr">
        <is>
          <t>Chicken stir fry with rice</t>
        </is>
      </c>
      <c r="C10" s="33" t="inlineStr">
        <is>
          <t>Dinner</t>
        </is>
      </c>
      <c r="D10" s="34" t="n">
        <v>4</v>
      </c>
      <c r="E10" s="34" t="n">
        <v>30</v>
      </c>
      <c r="F10" s="33" t="n"/>
      <c r="G10" s="24">
        <f>IF(B10="","",COUNTIFS('Week plan'!$C$9:$I$12,B10))</f>
        <v/>
      </c>
      <c r="H10" s="24">
        <f>IF(B10="","",SUMIFS('Week plan'!$Z$9:$AF$12,'Week plan'!$C$9:$I$12,B10))</f>
        <v/>
      </c>
      <c r="I10" s="25">
        <f>IF(B10="","",ROUND(SUMIFS(Ingredients!$F$6:$F$1005,Ingredients!$B$6:$B$1005,B10)/IF(N(D10)&gt;0,D10,1),2))</f>
        <v/>
      </c>
      <c r="J10" s="24">
        <f>IF(B10="","",COUNTIFS(Ingredients!$B$6:$B$1005,B10))</f>
        <v/>
      </c>
      <c r="K10" s="1">
        <f>IF(N(G10)&gt;0,ROW(),"")</f>
        <v/>
      </c>
    </row>
    <row r="11">
      <c r="A11" s="1" t="n"/>
      <c r="B11" s="32" t="inlineStr">
        <is>
          <t>Spaghetti bolognese</t>
        </is>
      </c>
      <c r="C11" s="33" t="inlineStr">
        <is>
          <t>Dinner</t>
        </is>
      </c>
      <c r="D11" s="34" t="n">
        <v>4</v>
      </c>
      <c r="E11" s="34" t="n">
        <v>45</v>
      </c>
      <c r="F11" s="33" t="inlineStr">
        <is>
          <t>Freezes well</t>
        </is>
      </c>
      <c r="G11" s="24">
        <f>IF(B11="","",COUNTIFS('Week plan'!$C$9:$I$12,B11))</f>
        <v/>
      </c>
      <c r="H11" s="24">
        <f>IF(B11="","",SUMIFS('Week plan'!$Z$9:$AF$12,'Week plan'!$C$9:$I$12,B11))</f>
        <v/>
      </c>
      <c r="I11" s="25">
        <f>IF(B11="","",ROUND(SUMIFS(Ingredients!$F$6:$F$1005,Ingredients!$B$6:$B$1005,B11)/IF(N(D11)&gt;0,D11,1),2))</f>
        <v/>
      </c>
      <c r="J11" s="24">
        <f>IF(B11="","",COUNTIFS(Ingredients!$B$6:$B$1005,B11))</f>
        <v/>
      </c>
      <c r="K11" s="1">
        <f>IF(N(G11)&gt;0,ROW(),"")</f>
        <v/>
      </c>
    </row>
    <row r="12">
      <c r="A12" s="1" t="n"/>
      <c r="B12" s="32" t="inlineStr">
        <is>
          <t>Sheet pan salmon and potatoes</t>
        </is>
      </c>
      <c r="C12" s="33" t="inlineStr">
        <is>
          <t>Dinner</t>
        </is>
      </c>
      <c r="D12" s="34" t="n">
        <v>2</v>
      </c>
      <c r="E12" s="34" t="n">
        <v>35</v>
      </c>
      <c r="F12" s="33" t="n"/>
      <c r="G12" s="24">
        <f>IF(B12="","",COUNTIFS('Week plan'!$C$9:$I$12,B12))</f>
        <v/>
      </c>
      <c r="H12" s="24">
        <f>IF(B12="","",SUMIFS('Week plan'!$Z$9:$AF$12,'Week plan'!$C$9:$I$12,B12))</f>
        <v/>
      </c>
      <c r="I12" s="25">
        <f>IF(B12="","",ROUND(SUMIFS(Ingredients!$F$6:$F$1005,Ingredients!$B$6:$B$1005,B12)/IF(N(D12)&gt;0,D12,1),2))</f>
        <v/>
      </c>
      <c r="J12" s="24">
        <f>IF(B12="","",COUNTIFS(Ingredients!$B$6:$B$1005,B12))</f>
        <v/>
      </c>
      <c r="K12" s="1">
        <f>IF(N(G12)&gt;0,ROW(),"")</f>
        <v/>
      </c>
    </row>
    <row r="13">
      <c r="A13" s="1" t="n"/>
      <c r="B13" s="32" t="inlineStr">
        <is>
          <t>Black bean tacos</t>
        </is>
      </c>
      <c r="C13" s="33" t="inlineStr">
        <is>
          <t>Dinner</t>
        </is>
      </c>
      <c r="D13" s="34" t="n">
        <v>4</v>
      </c>
      <c r="E13" s="34" t="n">
        <v>20</v>
      </c>
      <c r="F13" s="33" t="n"/>
      <c r="G13" s="24">
        <f>IF(B13="","",COUNTIFS('Week plan'!$C$9:$I$12,B13))</f>
        <v/>
      </c>
      <c r="H13" s="24">
        <f>IF(B13="","",SUMIFS('Week plan'!$Z$9:$AF$12,'Week plan'!$C$9:$I$12,B13))</f>
        <v/>
      </c>
      <c r="I13" s="25">
        <f>IF(B13="","",ROUND(SUMIFS(Ingredients!$F$6:$F$1005,Ingredients!$B$6:$B$1005,B13)/IF(N(D13)&gt;0,D13,1),2))</f>
        <v/>
      </c>
      <c r="J13" s="24">
        <f>IF(B13="","",COUNTIFS(Ingredients!$B$6:$B$1005,B13))</f>
        <v/>
      </c>
      <c r="K13" s="1">
        <f>IF(N(G13)&gt;0,ROW(),"")</f>
        <v/>
      </c>
    </row>
    <row r="14">
      <c r="A14" s="1" t="n"/>
      <c r="B14" s="32" t="inlineStr">
        <is>
          <t>Homemade pizza</t>
        </is>
      </c>
      <c r="C14" s="33" t="inlineStr">
        <is>
          <t>Dinner</t>
        </is>
      </c>
      <c r="D14" s="34" t="n">
        <v>4</v>
      </c>
      <c r="E14" s="34" t="n">
        <v>30</v>
      </c>
      <c r="F14" s="33" t="inlineStr">
        <is>
          <t>Friday night</t>
        </is>
      </c>
      <c r="G14" s="24">
        <f>IF(B14="","",COUNTIFS('Week plan'!$C$9:$I$12,B14))</f>
        <v/>
      </c>
      <c r="H14" s="24">
        <f>IF(B14="","",SUMIFS('Week plan'!$Z$9:$AF$12,'Week plan'!$C$9:$I$12,B14))</f>
        <v/>
      </c>
      <c r="I14" s="25">
        <f>IF(B14="","",ROUND(SUMIFS(Ingredients!$F$6:$F$1005,Ingredients!$B$6:$B$1005,B14)/IF(N(D14)&gt;0,D14,1),2))</f>
        <v/>
      </c>
      <c r="J14" s="24">
        <f>IF(B14="","",COUNTIFS(Ingredients!$B$6:$B$1005,B14))</f>
        <v/>
      </c>
      <c r="K14" s="1">
        <f>IF(N(G14)&gt;0,ROW(),"")</f>
        <v/>
      </c>
    </row>
    <row r="15">
      <c r="A15" s="1" t="n"/>
      <c r="B15" s="32" t="inlineStr">
        <is>
          <t>Beef chili</t>
        </is>
      </c>
      <c r="C15" s="33" t="inlineStr">
        <is>
          <t>Dinner</t>
        </is>
      </c>
      <c r="D15" s="34" t="n">
        <v>6</v>
      </c>
      <c r="E15" s="34" t="n">
        <v>60</v>
      </c>
      <c r="F15" s="33" t="inlineStr">
        <is>
          <t>Double it and freeze half</t>
        </is>
      </c>
      <c r="G15" s="24">
        <f>IF(B15="","",COUNTIFS('Week plan'!$C$9:$I$12,B15))</f>
        <v/>
      </c>
      <c r="H15" s="24">
        <f>IF(B15="","",SUMIFS('Week plan'!$Z$9:$AF$12,'Week plan'!$C$9:$I$12,B15))</f>
        <v/>
      </c>
      <c r="I15" s="25">
        <f>IF(B15="","",ROUND(SUMIFS(Ingredients!$F$6:$F$1005,Ingredients!$B$6:$B$1005,B15)/IF(N(D15)&gt;0,D15,1),2))</f>
        <v/>
      </c>
      <c r="J15" s="24">
        <f>IF(B15="","",COUNTIFS(Ingredients!$B$6:$B$1005,B15))</f>
        <v/>
      </c>
      <c r="K15" s="1">
        <f>IF(N(G15)&gt;0,ROW(),"")</f>
        <v/>
      </c>
    </row>
    <row r="16">
      <c r="A16" s="1" t="n"/>
      <c r="B16" s="32" t="inlineStr">
        <is>
          <t>Chicken Caesar wraps</t>
        </is>
      </c>
      <c r="C16" s="33" t="inlineStr">
        <is>
          <t>Lunch</t>
        </is>
      </c>
      <c r="D16" s="34" t="n">
        <v>2</v>
      </c>
      <c r="E16" s="34" t="n">
        <v>15</v>
      </c>
      <c r="F16" s="33" t="n"/>
      <c r="G16" s="24">
        <f>IF(B16="","",COUNTIFS('Week plan'!$C$9:$I$12,B16))</f>
        <v/>
      </c>
      <c r="H16" s="24">
        <f>IF(B16="","",SUMIFS('Week plan'!$Z$9:$AF$12,'Week plan'!$C$9:$I$12,B16))</f>
        <v/>
      </c>
      <c r="I16" s="25">
        <f>IF(B16="","",ROUND(SUMIFS(Ingredients!$F$6:$F$1005,Ingredients!$B$6:$B$1005,B16)/IF(N(D16)&gt;0,D16,1),2))</f>
        <v/>
      </c>
      <c r="J16" s="24">
        <f>IF(B16="","",COUNTIFS(Ingredients!$B$6:$B$1005,B16))</f>
        <v/>
      </c>
      <c r="K16" s="1">
        <f>IF(N(G16)&gt;0,ROW(),"")</f>
        <v/>
      </c>
    </row>
    <row r="17">
      <c r="A17" s="1" t="n"/>
      <c r="B17" s="32" t="inlineStr">
        <is>
          <t>Lentil soup</t>
        </is>
      </c>
      <c r="C17" s="33" t="inlineStr">
        <is>
          <t>Lunch</t>
        </is>
      </c>
      <c r="D17" s="34" t="n">
        <v>6</v>
      </c>
      <c r="E17" s="34" t="n">
        <v>45</v>
      </c>
      <c r="F17" s="33" t="inlineStr">
        <is>
          <t>Freezes well</t>
        </is>
      </c>
      <c r="G17" s="24">
        <f>IF(B17="","",COUNTIFS('Week plan'!$C$9:$I$12,B17))</f>
        <v/>
      </c>
      <c r="H17" s="24">
        <f>IF(B17="","",SUMIFS('Week plan'!$Z$9:$AF$12,'Week plan'!$C$9:$I$12,B17))</f>
        <v/>
      </c>
      <c r="I17" s="25">
        <f>IF(B17="","",ROUND(SUMIFS(Ingredients!$F$6:$F$1005,Ingredients!$B$6:$B$1005,B17)/IF(N(D17)&gt;0,D17,1),2))</f>
        <v/>
      </c>
      <c r="J17" s="24">
        <f>IF(B17="","",COUNTIFS(Ingredients!$B$6:$B$1005,B17))</f>
        <v/>
      </c>
      <c r="K17" s="1">
        <f>IF(N(G17)&gt;0,ROW(),"")</f>
        <v/>
      </c>
    </row>
    <row r="18">
      <c r="A18" s="1" t="n"/>
      <c r="B18" s="32" t="inlineStr">
        <is>
          <t>Tuna pasta salad</t>
        </is>
      </c>
      <c r="C18" s="33" t="inlineStr">
        <is>
          <t>Lunch</t>
        </is>
      </c>
      <c r="D18" s="34" t="n">
        <v>4</v>
      </c>
      <c r="E18" s="34" t="n">
        <v>20</v>
      </c>
      <c r="F18" s="33" t="n"/>
      <c r="G18" s="24">
        <f>IF(B18="","",COUNTIFS('Week plan'!$C$9:$I$12,B18))</f>
        <v/>
      </c>
      <c r="H18" s="24">
        <f>IF(B18="","",SUMIFS('Week plan'!$Z$9:$AF$12,'Week plan'!$C$9:$I$12,B18))</f>
        <v/>
      </c>
      <c r="I18" s="25">
        <f>IF(B18="","",ROUND(SUMIFS(Ingredients!$F$6:$F$1005,Ingredients!$B$6:$B$1005,B18)/IF(N(D18)&gt;0,D18,1),2))</f>
        <v/>
      </c>
      <c r="J18" s="24">
        <f>IF(B18="","",COUNTIFS(Ingredients!$B$6:$B$1005,B18))</f>
        <v/>
      </c>
      <c r="K18" s="1">
        <f>IF(N(G18)&gt;0,ROW(),"")</f>
        <v/>
      </c>
    </row>
    <row r="19">
      <c r="A19" s="1" t="n"/>
      <c r="B19" s="32" t="inlineStr">
        <is>
          <t>Yogurt and berries</t>
        </is>
      </c>
      <c r="C19" s="33" t="inlineStr">
        <is>
          <t>Snack</t>
        </is>
      </c>
      <c r="D19" s="34" t="n">
        <v>1</v>
      </c>
      <c r="E19" s="34" t="n">
        <v>2</v>
      </c>
      <c r="F19" s="33" t="n"/>
      <c r="G19" s="24">
        <f>IF(B19="","",COUNTIFS('Week plan'!$C$9:$I$12,B19))</f>
        <v/>
      </c>
      <c r="H19" s="24">
        <f>IF(B19="","",SUMIFS('Week plan'!$Z$9:$AF$12,'Week plan'!$C$9:$I$12,B19))</f>
        <v/>
      </c>
      <c r="I19" s="25">
        <f>IF(B19="","",ROUND(SUMIFS(Ingredients!$F$6:$F$1005,Ingredients!$B$6:$B$1005,B19)/IF(N(D19)&gt;0,D19,1),2))</f>
        <v/>
      </c>
      <c r="J19" s="24">
        <f>IF(B19="","",COUNTIFS(Ingredients!$B$6:$B$1005,B19))</f>
        <v/>
      </c>
      <c r="K19" s="1">
        <f>IF(N(G19)&gt;0,ROW(),"")</f>
        <v/>
      </c>
    </row>
    <row r="20">
      <c r="A20" s="1" t="n"/>
      <c r="B20" s="32" t="inlineStr">
        <is>
          <t>Apple and peanut butter</t>
        </is>
      </c>
      <c r="C20" s="33" t="inlineStr">
        <is>
          <t>Snack</t>
        </is>
      </c>
      <c r="D20" s="34" t="n">
        <v>1</v>
      </c>
      <c r="E20" s="34" t="n">
        <v>2</v>
      </c>
      <c r="F20" s="33" t="n"/>
      <c r="G20" s="24">
        <f>IF(B20="","",COUNTIFS('Week plan'!$C$9:$I$12,B20))</f>
        <v/>
      </c>
      <c r="H20" s="24">
        <f>IF(B20="","",SUMIFS('Week plan'!$Z$9:$AF$12,'Week plan'!$C$9:$I$12,B20))</f>
        <v/>
      </c>
      <c r="I20" s="25">
        <f>IF(B20="","",ROUND(SUMIFS(Ingredients!$F$6:$F$1005,Ingredients!$B$6:$B$1005,B20)/IF(N(D20)&gt;0,D20,1),2))</f>
        <v/>
      </c>
      <c r="J20" s="24">
        <f>IF(B20="","",COUNTIFS(Ingredients!$B$6:$B$1005,B20))</f>
        <v/>
      </c>
      <c r="K20" s="1">
        <f>IF(N(G20)&gt;0,ROW(),"")</f>
        <v/>
      </c>
    </row>
    <row r="21">
      <c r="A21" s="1" t="n"/>
      <c r="B21" s="32" t="n"/>
      <c r="C21" s="33" t="n"/>
      <c r="D21" s="34" t="n"/>
      <c r="E21" s="34" t="n"/>
      <c r="F21" s="33" t="n"/>
      <c r="G21" s="24">
        <f>IF(B21="","",COUNTIFS('Week plan'!$C$9:$I$12,B21))</f>
        <v/>
      </c>
      <c r="H21" s="24">
        <f>IF(B21="","",SUMIFS('Week plan'!$Z$9:$AF$12,'Week plan'!$C$9:$I$12,B21))</f>
        <v/>
      </c>
      <c r="I21" s="25">
        <f>IF(B21="","",ROUND(SUMIFS(Ingredients!$F$6:$F$1005,Ingredients!$B$6:$B$1005,B21)/IF(N(D21)&gt;0,D21,1),2))</f>
        <v/>
      </c>
      <c r="J21" s="24">
        <f>IF(B21="","",COUNTIFS(Ingredients!$B$6:$B$1005,B21))</f>
        <v/>
      </c>
      <c r="K21" s="1">
        <f>IF(N(G21)&gt;0,ROW(),"")</f>
        <v/>
      </c>
    </row>
    <row r="22">
      <c r="A22" s="1" t="n"/>
      <c r="B22" s="32" t="n"/>
      <c r="C22" s="33" t="n"/>
      <c r="D22" s="34" t="n"/>
      <c r="E22" s="34" t="n"/>
      <c r="F22" s="33" t="n"/>
      <c r="G22" s="24">
        <f>IF(B22="","",COUNTIFS('Week plan'!$C$9:$I$12,B22))</f>
        <v/>
      </c>
      <c r="H22" s="24">
        <f>IF(B22="","",SUMIFS('Week plan'!$Z$9:$AF$12,'Week plan'!$C$9:$I$12,B22))</f>
        <v/>
      </c>
      <c r="I22" s="25">
        <f>IF(B22="","",ROUND(SUMIFS(Ingredients!$F$6:$F$1005,Ingredients!$B$6:$B$1005,B22)/IF(N(D22)&gt;0,D22,1),2))</f>
        <v/>
      </c>
      <c r="J22" s="24">
        <f>IF(B22="","",COUNTIFS(Ingredients!$B$6:$B$1005,B22))</f>
        <v/>
      </c>
      <c r="K22" s="1">
        <f>IF(N(G22)&gt;0,ROW(),"")</f>
        <v/>
      </c>
    </row>
    <row r="23">
      <c r="A23" s="1" t="n"/>
      <c r="B23" s="32" t="n"/>
      <c r="C23" s="33" t="n"/>
      <c r="D23" s="34" t="n"/>
      <c r="E23" s="34" t="n"/>
      <c r="F23" s="33" t="n"/>
      <c r="G23" s="24">
        <f>IF(B23="","",COUNTIFS('Week plan'!$C$9:$I$12,B23))</f>
        <v/>
      </c>
      <c r="H23" s="24">
        <f>IF(B23="","",SUMIFS('Week plan'!$Z$9:$AF$12,'Week plan'!$C$9:$I$12,B23))</f>
        <v/>
      </c>
      <c r="I23" s="25">
        <f>IF(B23="","",ROUND(SUMIFS(Ingredients!$F$6:$F$1005,Ingredients!$B$6:$B$1005,B23)/IF(N(D23)&gt;0,D23,1),2))</f>
        <v/>
      </c>
      <c r="J23" s="24">
        <f>IF(B23="","",COUNTIFS(Ingredients!$B$6:$B$1005,B23))</f>
        <v/>
      </c>
      <c r="K23" s="1">
        <f>IF(N(G23)&gt;0,ROW(),"")</f>
        <v/>
      </c>
    </row>
    <row r="24">
      <c r="A24" s="1" t="n"/>
      <c r="B24" s="32" t="n"/>
      <c r="C24" s="33" t="n"/>
      <c r="D24" s="34" t="n"/>
      <c r="E24" s="34" t="n"/>
      <c r="F24" s="33" t="n"/>
      <c r="G24" s="24">
        <f>IF(B24="","",COUNTIFS('Week plan'!$C$9:$I$12,B24))</f>
        <v/>
      </c>
      <c r="H24" s="24">
        <f>IF(B24="","",SUMIFS('Week plan'!$Z$9:$AF$12,'Week plan'!$C$9:$I$12,B24))</f>
        <v/>
      </c>
      <c r="I24" s="25">
        <f>IF(B24="","",ROUND(SUMIFS(Ingredients!$F$6:$F$1005,Ingredients!$B$6:$B$1005,B24)/IF(N(D24)&gt;0,D24,1),2))</f>
        <v/>
      </c>
      <c r="J24" s="24">
        <f>IF(B24="","",COUNTIFS(Ingredients!$B$6:$B$1005,B24))</f>
        <v/>
      </c>
      <c r="K24" s="1">
        <f>IF(N(G24)&gt;0,ROW(),"")</f>
        <v/>
      </c>
    </row>
    <row r="25">
      <c r="A25" s="1" t="n"/>
      <c r="B25" s="32" t="n"/>
      <c r="C25" s="33" t="n"/>
      <c r="D25" s="34" t="n"/>
      <c r="E25" s="34" t="n"/>
      <c r="F25" s="33" t="n"/>
      <c r="G25" s="24">
        <f>IF(B25="","",COUNTIFS('Week plan'!$C$9:$I$12,B25))</f>
        <v/>
      </c>
      <c r="H25" s="24">
        <f>IF(B25="","",SUMIFS('Week plan'!$Z$9:$AF$12,'Week plan'!$C$9:$I$12,B25))</f>
        <v/>
      </c>
      <c r="I25" s="25">
        <f>IF(B25="","",ROUND(SUMIFS(Ingredients!$F$6:$F$1005,Ingredients!$B$6:$B$1005,B25)/IF(N(D25)&gt;0,D25,1),2))</f>
        <v/>
      </c>
      <c r="J25" s="24">
        <f>IF(B25="","",COUNTIFS(Ingredients!$B$6:$B$1005,B25))</f>
        <v/>
      </c>
      <c r="K25" s="1">
        <f>IF(N(G25)&gt;0,ROW(),"")</f>
        <v/>
      </c>
    </row>
    <row r="26">
      <c r="A26" s="1" t="n"/>
      <c r="B26" s="32" t="n"/>
      <c r="C26" s="33" t="n"/>
      <c r="D26" s="34" t="n"/>
      <c r="E26" s="34" t="n"/>
      <c r="F26" s="33" t="n"/>
      <c r="G26" s="24">
        <f>IF(B26="","",COUNTIFS('Week plan'!$C$9:$I$12,B26))</f>
        <v/>
      </c>
      <c r="H26" s="24">
        <f>IF(B26="","",SUMIFS('Week plan'!$Z$9:$AF$12,'Week plan'!$C$9:$I$12,B26))</f>
        <v/>
      </c>
      <c r="I26" s="25">
        <f>IF(B26="","",ROUND(SUMIFS(Ingredients!$F$6:$F$1005,Ingredients!$B$6:$B$1005,B26)/IF(N(D26)&gt;0,D26,1),2))</f>
        <v/>
      </c>
      <c r="J26" s="24">
        <f>IF(B26="","",COUNTIFS(Ingredients!$B$6:$B$1005,B26))</f>
        <v/>
      </c>
      <c r="K26" s="1">
        <f>IF(N(G26)&gt;0,ROW(),"")</f>
        <v/>
      </c>
    </row>
    <row r="27">
      <c r="A27" s="1" t="n"/>
      <c r="B27" s="32" t="n"/>
      <c r="C27" s="33" t="n"/>
      <c r="D27" s="34" t="n"/>
      <c r="E27" s="34" t="n"/>
      <c r="F27" s="33" t="n"/>
      <c r="G27" s="24">
        <f>IF(B27="","",COUNTIFS('Week plan'!$C$9:$I$12,B27))</f>
        <v/>
      </c>
      <c r="H27" s="24">
        <f>IF(B27="","",SUMIFS('Week plan'!$Z$9:$AF$12,'Week plan'!$C$9:$I$12,B27))</f>
        <v/>
      </c>
      <c r="I27" s="25">
        <f>IF(B27="","",ROUND(SUMIFS(Ingredients!$F$6:$F$1005,Ingredients!$B$6:$B$1005,B27)/IF(N(D27)&gt;0,D27,1),2))</f>
        <v/>
      </c>
      <c r="J27" s="24">
        <f>IF(B27="","",COUNTIFS(Ingredients!$B$6:$B$1005,B27))</f>
        <v/>
      </c>
      <c r="K27" s="1">
        <f>IF(N(G27)&gt;0,ROW(),"")</f>
        <v/>
      </c>
    </row>
    <row r="28">
      <c r="A28" s="1" t="n"/>
      <c r="B28" s="32" t="n"/>
      <c r="C28" s="33" t="n"/>
      <c r="D28" s="34" t="n"/>
      <c r="E28" s="34" t="n"/>
      <c r="F28" s="33" t="n"/>
      <c r="G28" s="24">
        <f>IF(B28="","",COUNTIFS('Week plan'!$C$9:$I$12,B28))</f>
        <v/>
      </c>
      <c r="H28" s="24">
        <f>IF(B28="","",SUMIFS('Week plan'!$Z$9:$AF$12,'Week plan'!$C$9:$I$12,B28))</f>
        <v/>
      </c>
      <c r="I28" s="25">
        <f>IF(B28="","",ROUND(SUMIFS(Ingredients!$F$6:$F$1005,Ingredients!$B$6:$B$1005,B28)/IF(N(D28)&gt;0,D28,1),2))</f>
        <v/>
      </c>
      <c r="J28" s="24">
        <f>IF(B28="","",COUNTIFS(Ingredients!$B$6:$B$1005,B28))</f>
        <v/>
      </c>
      <c r="K28" s="1">
        <f>IF(N(G28)&gt;0,ROW(),"")</f>
        <v/>
      </c>
    </row>
    <row r="29">
      <c r="A29" s="1" t="n"/>
      <c r="B29" s="32" t="n"/>
      <c r="C29" s="33" t="n"/>
      <c r="D29" s="34" t="n"/>
      <c r="E29" s="34" t="n"/>
      <c r="F29" s="33" t="n"/>
      <c r="G29" s="24">
        <f>IF(B29="","",COUNTIFS('Week plan'!$C$9:$I$12,B29))</f>
        <v/>
      </c>
      <c r="H29" s="24">
        <f>IF(B29="","",SUMIFS('Week plan'!$Z$9:$AF$12,'Week plan'!$C$9:$I$12,B29))</f>
        <v/>
      </c>
      <c r="I29" s="25">
        <f>IF(B29="","",ROUND(SUMIFS(Ingredients!$F$6:$F$1005,Ingredients!$B$6:$B$1005,B29)/IF(N(D29)&gt;0,D29,1),2))</f>
        <v/>
      </c>
      <c r="J29" s="24">
        <f>IF(B29="","",COUNTIFS(Ingredients!$B$6:$B$1005,B29))</f>
        <v/>
      </c>
      <c r="K29" s="1">
        <f>IF(N(G29)&gt;0,ROW(),"")</f>
        <v/>
      </c>
    </row>
    <row r="30">
      <c r="A30" s="1" t="n"/>
      <c r="B30" s="32" t="n"/>
      <c r="C30" s="33" t="n"/>
      <c r="D30" s="34" t="n"/>
      <c r="E30" s="34" t="n"/>
      <c r="F30" s="33" t="n"/>
      <c r="G30" s="24">
        <f>IF(B30="","",COUNTIFS('Week plan'!$C$9:$I$12,B30))</f>
        <v/>
      </c>
      <c r="H30" s="24">
        <f>IF(B30="","",SUMIFS('Week plan'!$Z$9:$AF$12,'Week plan'!$C$9:$I$12,B30))</f>
        <v/>
      </c>
      <c r="I30" s="25">
        <f>IF(B30="","",ROUND(SUMIFS(Ingredients!$F$6:$F$1005,Ingredients!$B$6:$B$1005,B30)/IF(N(D30)&gt;0,D30,1),2))</f>
        <v/>
      </c>
      <c r="J30" s="24">
        <f>IF(B30="","",COUNTIFS(Ingredients!$B$6:$B$1005,B30))</f>
        <v/>
      </c>
      <c r="K30" s="1">
        <f>IF(N(G30)&gt;0,ROW(),"")</f>
        <v/>
      </c>
    </row>
    <row r="31">
      <c r="A31" s="1" t="n"/>
      <c r="B31" s="32" t="n"/>
      <c r="C31" s="33" t="n"/>
      <c r="D31" s="34" t="n"/>
      <c r="E31" s="34" t="n"/>
      <c r="F31" s="33" t="n"/>
      <c r="G31" s="24">
        <f>IF(B31="","",COUNTIFS('Week plan'!$C$9:$I$12,B31))</f>
        <v/>
      </c>
      <c r="H31" s="24">
        <f>IF(B31="","",SUMIFS('Week plan'!$Z$9:$AF$12,'Week plan'!$C$9:$I$12,B31))</f>
        <v/>
      </c>
      <c r="I31" s="25">
        <f>IF(B31="","",ROUND(SUMIFS(Ingredients!$F$6:$F$1005,Ingredients!$B$6:$B$1005,B31)/IF(N(D31)&gt;0,D31,1),2))</f>
        <v/>
      </c>
      <c r="J31" s="24">
        <f>IF(B31="","",COUNTIFS(Ingredients!$B$6:$B$1005,B31))</f>
        <v/>
      </c>
      <c r="K31" s="1">
        <f>IF(N(G31)&gt;0,ROW(),"")</f>
        <v/>
      </c>
    </row>
    <row r="32">
      <c r="A32" s="1" t="n"/>
      <c r="B32" s="32" t="n"/>
      <c r="C32" s="33" t="n"/>
      <c r="D32" s="34" t="n"/>
      <c r="E32" s="34" t="n"/>
      <c r="F32" s="33" t="n"/>
      <c r="G32" s="24">
        <f>IF(B32="","",COUNTIFS('Week plan'!$C$9:$I$12,B32))</f>
        <v/>
      </c>
      <c r="H32" s="24">
        <f>IF(B32="","",SUMIFS('Week plan'!$Z$9:$AF$12,'Week plan'!$C$9:$I$12,B32))</f>
        <v/>
      </c>
      <c r="I32" s="25">
        <f>IF(B32="","",ROUND(SUMIFS(Ingredients!$F$6:$F$1005,Ingredients!$B$6:$B$1005,B32)/IF(N(D32)&gt;0,D32,1),2))</f>
        <v/>
      </c>
      <c r="J32" s="24">
        <f>IF(B32="","",COUNTIFS(Ingredients!$B$6:$B$1005,B32))</f>
        <v/>
      </c>
      <c r="K32" s="1">
        <f>IF(N(G32)&gt;0,ROW(),"")</f>
        <v/>
      </c>
    </row>
    <row r="33">
      <c r="A33" s="1" t="n"/>
      <c r="B33" s="32" t="n"/>
      <c r="C33" s="33" t="n"/>
      <c r="D33" s="34" t="n"/>
      <c r="E33" s="34" t="n"/>
      <c r="F33" s="33" t="n"/>
      <c r="G33" s="24">
        <f>IF(B33="","",COUNTIFS('Week plan'!$C$9:$I$12,B33))</f>
        <v/>
      </c>
      <c r="H33" s="24">
        <f>IF(B33="","",SUMIFS('Week plan'!$Z$9:$AF$12,'Week plan'!$C$9:$I$12,B33))</f>
        <v/>
      </c>
      <c r="I33" s="25">
        <f>IF(B33="","",ROUND(SUMIFS(Ingredients!$F$6:$F$1005,Ingredients!$B$6:$B$1005,B33)/IF(N(D33)&gt;0,D33,1),2))</f>
        <v/>
      </c>
      <c r="J33" s="24">
        <f>IF(B33="","",COUNTIFS(Ingredients!$B$6:$B$1005,B33))</f>
        <v/>
      </c>
      <c r="K33" s="1">
        <f>IF(N(G33)&gt;0,ROW(),"")</f>
        <v/>
      </c>
    </row>
    <row r="34">
      <c r="A34" s="1" t="n"/>
      <c r="B34" s="32" t="n"/>
      <c r="C34" s="33" t="n"/>
      <c r="D34" s="34" t="n"/>
      <c r="E34" s="34" t="n"/>
      <c r="F34" s="33" t="n"/>
      <c r="G34" s="24">
        <f>IF(B34="","",COUNTIFS('Week plan'!$C$9:$I$12,B34))</f>
        <v/>
      </c>
      <c r="H34" s="24">
        <f>IF(B34="","",SUMIFS('Week plan'!$Z$9:$AF$12,'Week plan'!$C$9:$I$12,B34))</f>
        <v/>
      </c>
      <c r="I34" s="25">
        <f>IF(B34="","",ROUND(SUMIFS(Ingredients!$F$6:$F$1005,Ingredients!$B$6:$B$1005,B34)/IF(N(D34)&gt;0,D34,1),2))</f>
        <v/>
      </c>
      <c r="J34" s="24">
        <f>IF(B34="","",COUNTIFS(Ingredients!$B$6:$B$1005,B34))</f>
        <v/>
      </c>
      <c r="K34" s="1">
        <f>IF(N(G34)&gt;0,ROW(),"")</f>
        <v/>
      </c>
    </row>
    <row r="35">
      <c r="A35" s="1" t="n"/>
      <c r="B35" s="32" t="n"/>
      <c r="C35" s="33" t="n"/>
      <c r="D35" s="34" t="n"/>
      <c r="E35" s="34" t="n"/>
      <c r="F35" s="33" t="n"/>
      <c r="G35" s="24">
        <f>IF(B35="","",COUNTIFS('Week plan'!$C$9:$I$12,B35))</f>
        <v/>
      </c>
      <c r="H35" s="24">
        <f>IF(B35="","",SUMIFS('Week plan'!$Z$9:$AF$12,'Week plan'!$C$9:$I$12,B35))</f>
        <v/>
      </c>
      <c r="I35" s="25">
        <f>IF(B35="","",ROUND(SUMIFS(Ingredients!$F$6:$F$1005,Ingredients!$B$6:$B$1005,B35)/IF(N(D35)&gt;0,D35,1),2))</f>
        <v/>
      </c>
      <c r="J35" s="24">
        <f>IF(B35="","",COUNTIFS(Ingredients!$B$6:$B$1005,B35))</f>
        <v/>
      </c>
      <c r="K35" s="1">
        <f>IF(N(G35)&gt;0,ROW(),"")</f>
        <v/>
      </c>
    </row>
    <row r="36">
      <c r="A36" s="1" t="n"/>
      <c r="B36" s="32" t="n"/>
      <c r="C36" s="33" t="n"/>
      <c r="D36" s="34" t="n"/>
      <c r="E36" s="34" t="n"/>
      <c r="F36" s="33" t="n"/>
      <c r="G36" s="24">
        <f>IF(B36="","",COUNTIFS('Week plan'!$C$9:$I$12,B36))</f>
        <v/>
      </c>
      <c r="H36" s="24">
        <f>IF(B36="","",SUMIFS('Week plan'!$Z$9:$AF$12,'Week plan'!$C$9:$I$12,B36))</f>
        <v/>
      </c>
      <c r="I36" s="25">
        <f>IF(B36="","",ROUND(SUMIFS(Ingredients!$F$6:$F$1005,Ingredients!$B$6:$B$1005,B36)/IF(N(D36)&gt;0,D36,1),2))</f>
        <v/>
      </c>
      <c r="J36" s="24">
        <f>IF(B36="","",COUNTIFS(Ingredients!$B$6:$B$1005,B36))</f>
        <v/>
      </c>
      <c r="K36" s="1">
        <f>IF(N(G36)&gt;0,ROW(),"")</f>
        <v/>
      </c>
    </row>
    <row r="37">
      <c r="A37" s="1" t="n"/>
      <c r="B37" s="32" t="n"/>
      <c r="C37" s="33" t="n"/>
      <c r="D37" s="34" t="n"/>
      <c r="E37" s="34" t="n"/>
      <c r="F37" s="33" t="n"/>
      <c r="G37" s="24">
        <f>IF(B37="","",COUNTIFS('Week plan'!$C$9:$I$12,B37))</f>
        <v/>
      </c>
      <c r="H37" s="24">
        <f>IF(B37="","",SUMIFS('Week plan'!$Z$9:$AF$12,'Week plan'!$C$9:$I$12,B37))</f>
        <v/>
      </c>
      <c r="I37" s="25">
        <f>IF(B37="","",ROUND(SUMIFS(Ingredients!$F$6:$F$1005,Ingredients!$B$6:$B$1005,B37)/IF(N(D37)&gt;0,D37,1),2))</f>
        <v/>
      </c>
      <c r="J37" s="24">
        <f>IF(B37="","",COUNTIFS(Ingredients!$B$6:$B$1005,B37))</f>
        <v/>
      </c>
      <c r="K37" s="1">
        <f>IF(N(G37)&gt;0,ROW(),"")</f>
        <v/>
      </c>
    </row>
    <row r="38">
      <c r="A38" s="1" t="n"/>
      <c r="B38" s="32" t="n"/>
      <c r="C38" s="33" t="n"/>
      <c r="D38" s="34" t="n"/>
      <c r="E38" s="34" t="n"/>
      <c r="F38" s="33" t="n"/>
      <c r="G38" s="24">
        <f>IF(B38="","",COUNTIFS('Week plan'!$C$9:$I$12,B38))</f>
        <v/>
      </c>
      <c r="H38" s="24">
        <f>IF(B38="","",SUMIFS('Week plan'!$Z$9:$AF$12,'Week plan'!$C$9:$I$12,B38))</f>
        <v/>
      </c>
      <c r="I38" s="25">
        <f>IF(B38="","",ROUND(SUMIFS(Ingredients!$F$6:$F$1005,Ingredients!$B$6:$B$1005,B38)/IF(N(D38)&gt;0,D38,1),2))</f>
        <v/>
      </c>
      <c r="J38" s="24">
        <f>IF(B38="","",COUNTIFS(Ingredients!$B$6:$B$1005,B38))</f>
        <v/>
      </c>
      <c r="K38" s="1">
        <f>IF(N(G38)&gt;0,ROW(),"")</f>
        <v/>
      </c>
    </row>
    <row r="39">
      <c r="A39" s="1" t="n"/>
      <c r="B39" s="32" t="n"/>
      <c r="C39" s="33" t="n"/>
      <c r="D39" s="34" t="n"/>
      <c r="E39" s="34" t="n"/>
      <c r="F39" s="33" t="n"/>
      <c r="G39" s="24">
        <f>IF(B39="","",COUNTIFS('Week plan'!$C$9:$I$12,B39))</f>
        <v/>
      </c>
      <c r="H39" s="24">
        <f>IF(B39="","",SUMIFS('Week plan'!$Z$9:$AF$12,'Week plan'!$C$9:$I$12,B39))</f>
        <v/>
      </c>
      <c r="I39" s="25">
        <f>IF(B39="","",ROUND(SUMIFS(Ingredients!$F$6:$F$1005,Ingredients!$B$6:$B$1005,B39)/IF(N(D39)&gt;0,D39,1),2))</f>
        <v/>
      </c>
      <c r="J39" s="24">
        <f>IF(B39="","",COUNTIFS(Ingredients!$B$6:$B$1005,B39))</f>
        <v/>
      </c>
      <c r="K39" s="1">
        <f>IF(N(G39)&gt;0,ROW(),"")</f>
        <v/>
      </c>
    </row>
    <row r="40">
      <c r="A40" s="1" t="n"/>
      <c r="B40" s="32" t="n"/>
      <c r="C40" s="33" t="n"/>
      <c r="D40" s="34" t="n"/>
      <c r="E40" s="34" t="n"/>
      <c r="F40" s="33" t="n"/>
      <c r="G40" s="24">
        <f>IF(B40="","",COUNTIFS('Week plan'!$C$9:$I$12,B40))</f>
        <v/>
      </c>
      <c r="H40" s="24">
        <f>IF(B40="","",SUMIFS('Week plan'!$Z$9:$AF$12,'Week plan'!$C$9:$I$12,B40))</f>
        <v/>
      </c>
      <c r="I40" s="25">
        <f>IF(B40="","",ROUND(SUMIFS(Ingredients!$F$6:$F$1005,Ingredients!$B$6:$B$1005,B40)/IF(N(D40)&gt;0,D40,1),2))</f>
        <v/>
      </c>
      <c r="J40" s="24">
        <f>IF(B40="","",COUNTIFS(Ingredients!$B$6:$B$1005,B40))</f>
        <v/>
      </c>
      <c r="K40" s="1">
        <f>IF(N(G40)&gt;0,ROW(),"")</f>
        <v/>
      </c>
    </row>
    <row r="41">
      <c r="A41" s="1" t="n"/>
      <c r="B41" s="32" t="n"/>
      <c r="C41" s="33" t="n"/>
      <c r="D41" s="34" t="n"/>
      <c r="E41" s="34" t="n"/>
      <c r="F41" s="33" t="n"/>
      <c r="G41" s="24">
        <f>IF(B41="","",COUNTIFS('Week plan'!$C$9:$I$12,B41))</f>
        <v/>
      </c>
      <c r="H41" s="24">
        <f>IF(B41="","",SUMIFS('Week plan'!$Z$9:$AF$12,'Week plan'!$C$9:$I$12,B41))</f>
        <v/>
      </c>
      <c r="I41" s="25">
        <f>IF(B41="","",ROUND(SUMIFS(Ingredients!$F$6:$F$1005,Ingredients!$B$6:$B$1005,B41)/IF(N(D41)&gt;0,D41,1),2))</f>
        <v/>
      </c>
      <c r="J41" s="24">
        <f>IF(B41="","",COUNTIFS(Ingredients!$B$6:$B$1005,B41))</f>
        <v/>
      </c>
      <c r="K41" s="1">
        <f>IF(N(G41)&gt;0,ROW(),"")</f>
        <v/>
      </c>
    </row>
    <row r="42">
      <c r="A42" s="1" t="n"/>
      <c r="B42" s="32" t="n"/>
      <c r="C42" s="33" t="n"/>
      <c r="D42" s="34" t="n"/>
      <c r="E42" s="34" t="n"/>
      <c r="F42" s="33" t="n"/>
      <c r="G42" s="24">
        <f>IF(B42="","",COUNTIFS('Week plan'!$C$9:$I$12,B42))</f>
        <v/>
      </c>
      <c r="H42" s="24">
        <f>IF(B42="","",SUMIFS('Week plan'!$Z$9:$AF$12,'Week plan'!$C$9:$I$12,B42))</f>
        <v/>
      </c>
      <c r="I42" s="25">
        <f>IF(B42="","",ROUND(SUMIFS(Ingredients!$F$6:$F$1005,Ingredients!$B$6:$B$1005,B42)/IF(N(D42)&gt;0,D42,1),2))</f>
        <v/>
      </c>
      <c r="J42" s="24">
        <f>IF(B42="","",COUNTIFS(Ingredients!$B$6:$B$1005,B42))</f>
        <v/>
      </c>
      <c r="K42" s="1">
        <f>IF(N(G42)&gt;0,ROW(),"")</f>
        <v/>
      </c>
    </row>
    <row r="43">
      <c r="A43" s="1" t="n"/>
      <c r="B43" s="32" t="n"/>
      <c r="C43" s="33" t="n"/>
      <c r="D43" s="34" t="n"/>
      <c r="E43" s="34" t="n"/>
      <c r="F43" s="33" t="n"/>
      <c r="G43" s="24">
        <f>IF(B43="","",COUNTIFS('Week plan'!$C$9:$I$12,B43))</f>
        <v/>
      </c>
      <c r="H43" s="24">
        <f>IF(B43="","",SUMIFS('Week plan'!$Z$9:$AF$12,'Week plan'!$C$9:$I$12,B43))</f>
        <v/>
      </c>
      <c r="I43" s="25">
        <f>IF(B43="","",ROUND(SUMIFS(Ingredients!$F$6:$F$1005,Ingredients!$B$6:$B$1005,B43)/IF(N(D43)&gt;0,D43,1),2))</f>
        <v/>
      </c>
      <c r="J43" s="24">
        <f>IF(B43="","",COUNTIFS(Ingredients!$B$6:$B$1005,B43))</f>
        <v/>
      </c>
      <c r="K43" s="1">
        <f>IF(N(G43)&gt;0,ROW(),"")</f>
        <v/>
      </c>
    </row>
    <row r="44">
      <c r="A44" s="1" t="n"/>
      <c r="B44" s="32" t="n"/>
      <c r="C44" s="33" t="n"/>
      <c r="D44" s="34" t="n"/>
      <c r="E44" s="34" t="n"/>
      <c r="F44" s="33" t="n"/>
      <c r="G44" s="24">
        <f>IF(B44="","",COUNTIFS('Week plan'!$C$9:$I$12,B44))</f>
        <v/>
      </c>
      <c r="H44" s="24">
        <f>IF(B44="","",SUMIFS('Week plan'!$Z$9:$AF$12,'Week plan'!$C$9:$I$12,B44))</f>
        <v/>
      </c>
      <c r="I44" s="25">
        <f>IF(B44="","",ROUND(SUMIFS(Ingredients!$F$6:$F$1005,Ingredients!$B$6:$B$1005,B44)/IF(N(D44)&gt;0,D44,1),2))</f>
        <v/>
      </c>
      <c r="J44" s="24">
        <f>IF(B44="","",COUNTIFS(Ingredients!$B$6:$B$1005,B44))</f>
        <v/>
      </c>
      <c r="K44" s="1">
        <f>IF(N(G44)&gt;0,ROW(),"")</f>
        <v/>
      </c>
    </row>
    <row r="45">
      <c r="A45" s="1" t="n"/>
      <c r="B45" s="32" t="n"/>
      <c r="C45" s="33" t="n"/>
      <c r="D45" s="34" t="n"/>
      <c r="E45" s="34" t="n"/>
      <c r="F45" s="33" t="n"/>
      <c r="G45" s="24">
        <f>IF(B45="","",COUNTIFS('Week plan'!$C$9:$I$12,B45))</f>
        <v/>
      </c>
      <c r="H45" s="24">
        <f>IF(B45="","",SUMIFS('Week plan'!$Z$9:$AF$12,'Week plan'!$C$9:$I$12,B45))</f>
        <v/>
      </c>
      <c r="I45" s="25">
        <f>IF(B45="","",ROUND(SUMIFS(Ingredients!$F$6:$F$1005,Ingredients!$B$6:$B$1005,B45)/IF(N(D45)&gt;0,D45,1),2))</f>
        <v/>
      </c>
      <c r="J45" s="24">
        <f>IF(B45="","",COUNTIFS(Ingredients!$B$6:$B$1005,B45))</f>
        <v/>
      </c>
      <c r="K45" s="1">
        <f>IF(N(G45)&gt;0,ROW(),"")</f>
        <v/>
      </c>
    </row>
    <row r="46">
      <c r="A46" s="1" t="n"/>
      <c r="B46" s="32" t="n"/>
      <c r="C46" s="33" t="n"/>
      <c r="D46" s="34" t="n"/>
      <c r="E46" s="34" t="n"/>
      <c r="F46" s="33" t="n"/>
      <c r="G46" s="24">
        <f>IF(B46="","",COUNTIFS('Week plan'!$C$9:$I$12,B46))</f>
        <v/>
      </c>
      <c r="H46" s="24">
        <f>IF(B46="","",SUMIFS('Week plan'!$Z$9:$AF$12,'Week plan'!$C$9:$I$12,B46))</f>
        <v/>
      </c>
      <c r="I46" s="25">
        <f>IF(B46="","",ROUND(SUMIFS(Ingredients!$F$6:$F$1005,Ingredients!$B$6:$B$1005,B46)/IF(N(D46)&gt;0,D46,1),2))</f>
        <v/>
      </c>
      <c r="J46" s="24">
        <f>IF(B46="","",COUNTIFS(Ingredients!$B$6:$B$1005,B46))</f>
        <v/>
      </c>
      <c r="K46" s="1">
        <f>IF(N(G46)&gt;0,ROW(),"")</f>
        <v/>
      </c>
    </row>
    <row r="47">
      <c r="A47" s="1" t="n"/>
      <c r="B47" s="32" t="n"/>
      <c r="C47" s="33" t="n"/>
      <c r="D47" s="34" t="n"/>
      <c r="E47" s="34" t="n"/>
      <c r="F47" s="33" t="n"/>
      <c r="G47" s="24">
        <f>IF(B47="","",COUNTIFS('Week plan'!$C$9:$I$12,B47))</f>
        <v/>
      </c>
      <c r="H47" s="24">
        <f>IF(B47="","",SUMIFS('Week plan'!$Z$9:$AF$12,'Week plan'!$C$9:$I$12,B47))</f>
        <v/>
      </c>
      <c r="I47" s="25">
        <f>IF(B47="","",ROUND(SUMIFS(Ingredients!$F$6:$F$1005,Ingredients!$B$6:$B$1005,B47)/IF(N(D47)&gt;0,D47,1),2))</f>
        <v/>
      </c>
      <c r="J47" s="24">
        <f>IF(B47="","",COUNTIFS(Ingredients!$B$6:$B$1005,B47))</f>
        <v/>
      </c>
      <c r="K47" s="1">
        <f>IF(N(G47)&gt;0,ROW(),"")</f>
        <v/>
      </c>
    </row>
    <row r="48">
      <c r="A48" s="1" t="n"/>
      <c r="B48" s="32" t="n"/>
      <c r="C48" s="33" t="n"/>
      <c r="D48" s="34" t="n"/>
      <c r="E48" s="34" t="n"/>
      <c r="F48" s="33" t="n"/>
      <c r="G48" s="24">
        <f>IF(B48="","",COUNTIFS('Week plan'!$C$9:$I$12,B48))</f>
        <v/>
      </c>
      <c r="H48" s="24">
        <f>IF(B48="","",SUMIFS('Week plan'!$Z$9:$AF$12,'Week plan'!$C$9:$I$12,B48))</f>
        <v/>
      </c>
      <c r="I48" s="25">
        <f>IF(B48="","",ROUND(SUMIFS(Ingredients!$F$6:$F$1005,Ingredients!$B$6:$B$1005,B48)/IF(N(D48)&gt;0,D48,1),2))</f>
        <v/>
      </c>
      <c r="J48" s="24">
        <f>IF(B48="","",COUNTIFS(Ingredients!$B$6:$B$1005,B48))</f>
        <v/>
      </c>
      <c r="K48" s="1">
        <f>IF(N(G48)&gt;0,ROW(),"")</f>
        <v/>
      </c>
    </row>
    <row r="49">
      <c r="A49" s="1" t="n"/>
      <c r="B49" s="32" t="n"/>
      <c r="C49" s="33" t="n"/>
      <c r="D49" s="34" t="n"/>
      <c r="E49" s="34" t="n"/>
      <c r="F49" s="33" t="n"/>
      <c r="G49" s="24">
        <f>IF(B49="","",COUNTIFS('Week plan'!$C$9:$I$12,B49))</f>
        <v/>
      </c>
      <c r="H49" s="24">
        <f>IF(B49="","",SUMIFS('Week plan'!$Z$9:$AF$12,'Week plan'!$C$9:$I$12,B49))</f>
        <v/>
      </c>
      <c r="I49" s="25">
        <f>IF(B49="","",ROUND(SUMIFS(Ingredients!$F$6:$F$1005,Ingredients!$B$6:$B$1005,B49)/IF(N(D49)&gt;0,D49,1),2))</f>
        <v/>
      </c>
      <c r="J49" s="24">
        <f>IF(B49="","",COUNTIFS(Ingredients!$B$6:$B$1005,B49))</f>
        <v/>
      </c>
      <c r="K49" s="1">
        <f>IF(N(G49)&gt;0,ROW(),"")</f>
        <v/>
      </c>
    </row>
    <row r="50">
      <c r="A50" s="1" t="n"/>
      <c r="B50" s="32" t="n"/>
      <c r="C50" s="33" t="n"/>
      <c r="D50" s="34" t="n"/>
      <c r="E50" s="34" t="n"/>
      <c r="F50" s="33" t="n"/>
      <c r="G50" s="24">
        <f>IF(B50="","",COUNTIFS('Week plan'!$C$9:$I$12,B50))</f>
        <v/>
      </c>
      <c r="H50" s="24">
        <f>IF(B50="","",SUMIFS('Week plan'!$Z$9:$AF$12,'Week plan'!$C$9:$I$12,B50))</f>
        <v/>
      </c>
      <c r="I50" s="25">
        <f>IF(B50="","",ROUND(SUMIFS(Ingredients!$F$6:$F$1005,Ingredients!$B$6:$B$1005,B50)/IF(N(D50)&gt;0,D50,1),2))</f>
        <v/>
      </c>
      <c r="J50" s="24">
        <f>IF(B50="","",COUNTIFS(Ingredients!$B$6:$B$1005,B50))</f>
        <v/>
      </c>
      <c r="K50" s="1">
        <f>IF(N(G50)&gt;0,ROW(),"")</f>
        <v/>
      </c>
    </row>
    <row r="51">
      <c r="A51" s="1" t="n"/>
      <c r="B51" s="32" t="n"/>
      <c r="C51" s="33" t="n"/>
      <c r="D51" s="34" t="n"/>
      <c r="E51" s="34" t="n"/>
      <c r="F51" s="33" t="n"/>
      <c r="G51" s="24">
        <f>IF(B51="","",COUNTIFS('Week plan'!$C$9:$I$12,B51))</f>
        <v/>
      </c>
      <c r="H51" s="24">
        <f>IF(B51="","",SUMIFS('Week plan'!$Z$9:$AF$12,'Week plan'!$C$9:$I$12,B51))</f>
        <v/>
      </c>
      <c r="I51" s="25">
        <f>IF(B51="","",ROUND(SUMIFS(Ingredients!$F$6:$F$1005,Ingredients!$B$6:$B$1005,B51)/IF(N(D51)&gt;0,D51,1),2))</f>
        <v/>
      </c>
      <c r="J51" s="24">
        <f>IF(B51="","",COUNTIFS(Ingredients!$B$6:$B$1005,B51))</f>
        <v/>
      </c>
      <c r="K51" s="1">
        <f>IF(N(G51)&gt;0,ROW(),"")</f>
        <v/>
      </c>
    </row>
    <row r="52">
      <c r="A52" s="1" t="n"/>
      <c r="B52" s="32" t="n"/>
      <c r="C52" s="33" t="n"/>
      <c r="D52" s="34" t="n"/>
      <c r="E52" s="34" t="n"/>
      <c r="F52" s="33" t="n"/>
      <c r="G52" s="24">
        <f>IF(B52="","",COUNTIFS('Week plan'!$C$9:$I$12,B52))</f>
        <v/>
      </c>
      <c r="H52" s="24">
        <f>IF(B52="","",SUMIFS('Week plan'!$Z$9:$AF$12,'Week plan'!$C$9:$I$12,B52))</f>
        <v/>
      </c>
      <c r="I52" s="25">
        <f>IF(B52="","",ROUND(SUMIFS(Ingredients!$F$6:$F$1005,Ingredients!$B$6:$B$1005,B52)/IF(N(D52)&gt;0,D52,1),2))</f>
        <v/>
      </c>
      <c r="J52" s="24">
        <f>IF(B52="","",COUNTIFS(Ingredients!$B$6:$B$1005,B52))</f>
        <v/>
      </c>
      <c r="K52" s="1">
        <f>IF(N(G52)&gt;0,ROW(),"")</f>
        <v/>
      </c>
    </row>
    <row r="53">
      <c r="A53" s="1" t="n"/>
      <c r="B53" s="32" t="n"/>
      <c r="C53" s="33" t="n"/>
      <c r="D53" s="34" t="n"/>
      <c r="E53" s="34" t="n"/>
      <c r="F53" s="33" t="n"/>
      <c r="G53" s="24">
        <f>IF(B53="","",COUNTIFS('Week plan'!$C$9:$I$12,B53))</f>
        <v/>
      </c>
      <c r="H53" s="24">
        <f>IF(B53="","",SUMIFS('Week plan'!$Z$9:$AF$12,'Week plan'!$C$9:$I$12,B53))</f>
        <v/>
      </c>
      <c r="I53" s="25">
        <f>IF(B53="","",ROUND(SUMIFS(Ingredients!$F$6:$F$1005,Ingredients!$B$6:$B$1005,B53)/IF(N(D53)&gt;0,D53,1),2))</f>
        <v/>
      </c>
      <c r="J53" s="24">
        <f>IF(B53="","",COUNTIFS(Ingredients!$B$6:$B$1005,B53))</f>
        <v/>
      </c>
      <c r="K53" s="1">
        <f>IF(N(G53)&gt;0,ROW(),"")</f>
        <v/>
      </c>
    </row>
    <row r="54">
      <c r="A54" s="1" t="n"/>
      <c r="B54" s="32" t="n"/>
      <c r="C54" s="33" t="n"/>
      <c r="D54" s="34" t="n"/>
      <c r="E54" s="34" t="n"/>
      <c r="F54" s="33" t="n"/>
      <c r="G54" s="24">
        <f>IF(B54="","",COUNTIFS('Week plan'!$C$9:$I$12,B54))</f>
        <v/>
      </c>
      <c r="H54" s="24">
        <f>IF(B54="","",SUMIFS('Week plan'!$Z$9:$AF$12,'Week plan'!$C$9:$I$12,B54))</f>
        <v/>
      </c>
      <c r="I54" s="25">
        <f>IF(B54="","",ROUND(SUMIFS(Ingredients!$F$6:$F$1005,Ingredients!$B$6:$B$1005,B54)/IF(N(D54)&gt;0,D54,1),2))</f>
        <v/>
      </c>
      <c r="J54" s="24">
        <f>IF(B54="","",COUNTIFS(Ingredients!$B$6:$B$1005,B54))</f>
        <v/>
      </c>
      <c r="K54" s="1">
        <f>IF(N(G54)&gt;0,ROW(),"")</f>
        <v/>
      </c>
    </row>
    <row r="55">
      <c r="A55" s="1" t="n"/>
      <c r="B55" s="32" t="n"/>
      <c r="C55" s="33" t="n"/>
      <c r="D55" s="34" t="n"/>
      <c r="E55" s="34" t="n"/>
      <c r="F55" s="33" t="n"/>
      <c r="G55" s="24">
        <f>IF(B55="","",COUNTIFS('Week plan'!$C$9:$I$12,B55))</f>
        <v/>
      </c>
      <c r="H55" s="24">
        <f>IF(B55="","",SUMIFS('Week plan'!$Z$9:$AF$12,'Week plan'!$C$9:$I$12,B55))</f>
        <v/>
      </c>
      <c r="I55" s="25">
        <f>IF(B55="","",ROUND(SUMIFS(Ingredients!$F$6:$F$1005,Ingredients!$B$6:$B$1005,B55)/IF(N(D55)&gt;0,D55,1),2))</f>
        <v/>
      </c>
      <c r="J55" s="24">
        <f>IF(B55="","",COUNTIFS(Ingredients!$B$6:$B$1005,B55))</f>
        <v/>
      </c>
      <c r="K55" s="1">
        <f>IF(N(G55)&gt;0,ROW(),"")</f>
        <v/>
      </c>
    </row>
    <row r="56">
      <c r="A56" s="1" t="n"/>
      <c r="B56" s="32" t="n"/>
      <c r="C56" s="33" t="n"/>
      <c r="D56" s="34" t="n"/>
      <c r="E56" s="34" t="n"/>
      <c r="F56" s="33" t="n"/>
      <c r="G56" s="24">
        <f>IF(B56="","",COUNTIFS('Week plan'!$C$9:$I$12,B56))</f>
        <v/>
      </c>
      <c r="H56" s="24">
        <f>IF(B56="","",SUMIFS('Week plan'!$Z$9:$AF$12,'Week plan'!$C$9:$I$12,B56))</f>
        <v/>
      </c>
      <c r="I56" s="25">
        <f>IF(B56="","",ROUND(SUMIFS(Ingredients!$F$6:$F$1005,Ingredients!$B$6:$B$1005,B56)/IF(N(D56)&gt;0,D56,1),2))</f>
        <v/>
      </c>
      <c r="J56" s="24">
        <f>IF(B56="","",COUNTIFS(Ingredients!$B$6:$B$1005,B56))</f>
        <v/>
      </c>
      <c r="K56" s="1">
        <f>IF(N(G56)&gt;0,ROW(),"")</f>
        <v/>
      </c>
    </row>
    <row r="57">
      <c r="A57" s="1" t="n"/>
      <c r="B57" s="32" t="n"/>
      <c r="C57" s="33" t="n"/>
      <c r="D57" s="34" t="n"/>
      <c r="E57" s="34" t="n"/>
      <c r="F57" s="33" t="n"/>
      <c r="G57" s="24">
        <f>IF(B57="","",COUNTIFS('Week plan'!$C$9:$I$12,B57))</f>
        <v/>
      </c>
      <c r="H57" s="24">
        <f>IF(B57="","",SUMIFS('Week plan'!$Z$9:$AF$12,'Week plan'!$C$9:$I$12,B57))</f>
        <v/>
      </c>
      <c r="I57" s="25">
        <f>IF(B57="","",ROUND(SUMIFS(Ingredients!$F$6:$F$1005,Ingredients!$B$6:$B$1005,B57)/IF(N(D57)&gt;0,D57,1),2))</f>
        <v/>
      </c>
      <c r="J57" s="24">
        <f>IF(B57="","",COUNTIFS(Ingredients!$B$6:$B$1005,B57))</f>
        <v/>
      </c>
      <c r="K57" s="1">
        <f>IF(N(G57)&gt;0,ROW(),"")</f>
        <v/>
      </c>
    </row>
    <row r="58">
      <c r="A58" s="1" t="n"/>
      <c r="B58" s="32" t="n"/>
      <c r="C58" s="33" t="n"/>
      <c r="D58" s="34" t="n"/>
      <c r="E58" s="34" t="n"/>
      <c r="F58" s="33" t="n"/>
      <c r="G58" s="24">
        <f>IF(B58="","",COUNTIFS('Week plan'!$C$9:$I$12,B58))</f>
        <v/>
      </c>
      <c r="H58" s="24">
        <f>IF(B58="","",SUMIFS('Week plan'!$Z$9:$AF$12,'Week plan'!$C$9:$I$12,B58))</f>
        <v/>
      </c>
      <c r="I58" s="25">
        <f>IF(B58="","",ROUND(SUMIFS(Ingredients!$F$6:$F$1005,Ingredients!$B$6:$B$1005,B58)/IF(N(D58)&gt;0,D58,1),2))</f>
        <v/>
      </c>
      <c r="J58" s="24">
        <f>IF(B58="","",COUNTIFS(Ingredients!$B$6:$B$1005,B58))</f>
        <v/>
      </c>
      <c r="K58" s="1">
        <f>IF(N(G58)&gt;0,ROW(),"")</f>
        <v/>
      </c>
    </row>
    <row r="59">
      <c r="A59" s="1" t="n"/>
      <c r="B59" s="32" t="n"/>
      <c r="C59" s="33" t="n"/>
      <c r="D59" s="34" t="n"/>
      <c r="E59" s="34" t="n"/>
      <c r="F59" s="33" t="n"/>
      <c r="G59" s="24">
        <f>IF(B59="","",COUNTIFS('Week plan'!$C$9:$I$12,B59))</f>
        <v/>
      </c>
      <c r="H59" s="24">
        <f>IF(B59="","",SUMIFS('Week plan'!$Z$9:$AF$12,'Week plan'!$C$9:$I$12,B59))</f>
        <v/>
      </c>
      <c r="I59" s="25">
        <f>IF(B59="","",ROUND(SUMIFS(Ingredients!$F$6:$F$1005,Ingredients!$B$6:$B$1005,B59)/IF(N(D59)&gt;0,D59,1),2))</f>
        <v/>
      </c>
      <c r="J59" s="24">
        <f>IF(B59="","",COUNTIFS(Ingredients!$B$6:$B$1005,B59))</f>
        <v/>
      </c>
      <c r="K59" s="1">
        <f>IF(N(G59)&gt;0,ROW(),"")</f>
        <v/>
      </c>
    </row>
    <row r="60">
      <c r="A60" s="1" t="n"/>
      <c r="B60" s="32" t="n"/>
      <c r="C60" s="33" t="n"/>
      <c r="D60" s="34" t="n"/>
      <c r="E60" s="34" t="n"/>
      <c r="F60" s="33" t="n"/>
      <c r="G60" s="24">
        <f>IF(B60="","",COUNTIFS('Week plan'!$C$9:$I$12,B60))</f>
        <v/>
      </c>
      <c r="H60" s="24">
        <f>IF(B60="","",SUMIFS('Week plan'!$Z$9:$AF$12,'Week plan'!$C$9:$I$12,B60))</f>
        <v/>
      </c>
      <c r="I60" s="25">
        <f>IF(B60="","",ROUND(SUMIFS(Ingredients!$F$6:$F$1005,Ingredients!$B$6:$B$1005,B60)/IF(N(D60)&gt;0,D60,1),2))</f>
        <v/>
      </c>
      <c r="J60" s="24">
        <f>IF(B60="","",COUNTIFS(Ingredients!$B$6:$B$1005,B60))</f>
        <v/>
      </c>
      <c r="K60" s="1">
        <f>IF(N(G60)&gt;0,ROW(),"")</f>
        <v/>
      </c>
    </row>
    <row r="61">
      <c r="A61" s="1" t="n"/>
      <c r="B61" s="32" t="n"/>
      <c r="C61" s="33" t="n"/>
      <c r="D61" s="34" t="n"/>
      <c r="E61" s="34" t="n"/>
      <c r="F61" s="33" t="n"/>
      <c r="G61" s="24">
        <f>IF(B61="","",COUNTIFS('Week plan'!$C$9:$I$12,B61))</f>
        <v/>
      </c>
      <c r="H61" s="24">
        <f>IF(B61="","",SUMIFS('Week plan'!$Z$9:$AF$12,'Week plan'!$C$9:$I$12,B61))</f>
        <v/>
      </c>
      <c r="I61" s="25">
        <f>IF(B61="","",ROUND(SUMIFS(Ingredients!$F$6:$F$1005,Ingredients!$B$6:$B$1005,B61)/IF(N(D61)&gt;0,D61,1),2))</f>
        <v/>
      </c>
      <c r="J61" s="24">
        <f>IF(B61="","",COUNTIFS(Ingredients!$B$6:$B$1005,B61))</f>
        <v/>
      </c>
      <c r="K61" s="1">
        <f>IF(N(G61)&gt;0,ROW(),"")</f>
        <v/>
      </c>
    </row>
    <row r="62">
      <c r="A62" s="1" t="n"/>
      <c r="B62" s="32" t="n"/>
      <c r="C62" s="33" t="n"/>
      <c r="D62" s="34" t="n"/>
      <c r="E62" s="34" t="n"/>
      <c r="F62" s="33" t="n"/>
      <c r="G62" s="24">
        <f>IF(B62="","",COUNTIFS('Week plan'!$C$9:$I$12,B62))</f>
        <v/>
      </c>
      <c r="H62" s="24">
        <f>IF(B62="","",SUMIFS('Week plan'!$Z$9:$AF$12,'Week plan'!$C$9:$I$12,B62))</f>
        <v/>
      </c>
      <c r="I62" s="25">
        <f>IF(B62="","",ROUND(SUMIFS(Ingredients!$F$6:$F$1005,Ingredients!$B$6:$B$1005,B62)/IF(N(D62)&gt;0,D62,1),2))</f>
        <v/>
      </c>
      <c r="J62" s="24">
        <f>IF(B62="","",COUNTIFS(Ingredients!$B$6:$B$1005,B62))</f>
        <v/>
      </c>
      <c r="K62" s="1">
        <f>IF(N(G62)&gt;0,ROW(),"")</f>
        <v/>
      </c>
    </row>
    <row r="63">
      <c r="A63" s="1" t="n"/>
      <c r="B63" s="32" t="n"/>
      <c r="C63" s="33" t="n"/>
      <c r="D63" s="34" t="n"/>
      <c r="E63" s="34" t="n"/>
      <c r="F63" s="33" t="n"/>
      <c r="G63" s="24">
        <f>IF(B63="","",COUNTIFS('Week plan'!$C$9:$I$12,B63))</f>
        <v/>
      </c>
      <c r="H63" s="24">
        <f>IF(B63="","",SUMIFS('Week plan'!$Z$9:$AF$12,'Week plan'!$C$9:$I$12,B63))</f>
        <v/>
      </c>
      <c r="I63" s="25">
        <f>IF(B63="","",ROUND(SUMIFS(Ingredients!$F$6:$F$1005,Ingredients!$B$6:$B$1005,B63)/IF(N(D63)&gt;0,D63,1),2))</f>
        <v/>
      </c>
      <c r="J63" s="24">
        <f>IF(B63="","",COUNTIFS(Ingredients!$B$6:$B$1005,B63))</f>
        <v/>
      </c>
      <c r="K63" s="1">
        <f>IF(N(G63)&gt;0,ROW(),"")</f>
        <v/>
      </c>
    </row>
    <row r="64">
      <c r="A64" s="1" t="n"/>
      <c r="B64" s="32" t="n"/>
      <c r="C64" s="33" t="n"/>
      <c r="D64" s="34" t="n"/>
      <c r="E64" s="34" t="n"/>
      <c r="F64" s="33" t="n"/>
      <c r="G64" s="24">
        <f>IF(B64="","",COUNTIFS('Week plan'!$C$9:$I$12,B64))</f>
        <v/>
      </c>
      <c r="H64" s="24">
        <f>IF(B64="","",SUMIFS('Week plan'!$Z$9:$AF$12,'Week plan'!$C$9:$I$12,B64))</f>
        <v/>
      </c>
      <c r="I64" s="25">
        <f>IF(B64="","",ROUND(SUMIFS(Ingredients!$F$6:$F$1005,Ingredients!$B$6:$B$1005,B64)/IF(N(D64)&gt;0,D64,1),2))</f>
        <v/>
      </c>
      <c r="J64" s="24">
        <f>IF(B64="","",COUNTIFS(Ingredients!$B$6:$B$1005,B64))</f>
        <v/>
      </c>
      <c r="K64" s="1">
        <f>IF(N(G64)&gt;0,ROW(),"")</f>
        <v/>
      </c>
    </row>
    <row r="65">
      <c r="A65" s="1" t="n"/>
      <c r="B65" s="32" t="n"/>
      <c r="C65" s="33" t="n"/>
      <c r="D65" s="34" t="n"/>
      <c r="E65" s="34" t="n"/>
      <c r="F65" s="33" t="n"/>
      <c r="G65" s="24">
        <f>IF(B65="","",COUNTIFS('Week plan'!$C$9:$I$12,B65))</f>
        <v/>
      </c>
      <c r="H65" s="24">
        <f>IF(B65="","",SUMIFS('Week plan'!$Z$9:$AF$12,'Week plan'!$C$9:$I$12,B65))</f>
        <v/>
      </c>
      <c r="I65" s="25">
        <f>IF(B65="","",ROUND(SUMIFS(Ingredients!$F$6:$F$1005,Ingredients!$B$6:$B$1005,B65)/IF(N(D65)&gt;0,D65,1),2))</f>
        <v/>
      </c>
      <c r="J65" s="24">
        <f>IF(B65="","",COUNTIFS(Ingredients!$B$6:$B$1005,B65))</f>
        <v/>
      </c>
      <c r="K65" s="1">
        <f>IF(N(G65)&gt;0,ROW(),"")</f>
        <v/>
      </c>
    </row>
    <row r="66">
      <c r="A66" s="1" t="n"/>
      <c r="B66" s="32" t="n"/>
      <c r="C66" s="33" t="n"/>
      <c r="D66" s="34" t="n"/>
      <c r="E66" s="34" t="n"/>
      <c r="F66" s="33" t="n"/>
      <c r="G66" s="24">
        <f>IF(B66="","",COUNTIFS('Week plan'!$C$9:$I$12,B66))</f>
        <v/>
      </c>
      <c r="H66" s="24">
        <f>IF(B66="","",SUMIFS('Week plan'!$Z$9:$AF$12,'Week plan'!$C$9:$I$12,B66))</f>
        <v/>
      </c>
      <c r="I66" s="25">
        <f>IF(B66="","",ROUND(SUMIFS(Ingredients!$F$6:$F$1005,Ingredients!$B$6:$B$1005,B66)/IF(N(D66)&gt;0,D66,1),2))</f>
        <v/>
      </c>
      <c r="J66" s="24">
        <f>IF(B66="","",COUNTIFS(Ingredients!$B$6:$B$1005,B66))</f>
        <v/>
      </c>
      <c r="K66" s="1">
        <f>IF(N(G66)&gt;0,ROW(),"")</f>
        <v/>
      </c>
    </row>
    <row r="67">
      <c r="A67" s="1" t="n"/>
      <c r="B67" s="32" t="n"/>
      <c r="C67" s="33" t="n"/>
      <c r="D67" s="34" t="n"/>
      <c r="E67" s="34" t="n"/>
      <c r="F67" s="33" t="n"/>
      <c r="G67" s="24">
        <f>IF(B67="","",COUNTIFS('Week plan'!$C$9:$I$12,B67))</f>
        <v/>
      </c>
      <c r="H67" s="24">
        <f>IF(B67="","",SUMIFS('Week plan'!$Z$9:$AF$12,'Week plan'!$C$9:$I$12,B67))</f>
        <v/>
      </c>
      <c r="I67" s="25">
        <f>IF(B67="","",ROUND(SUMIFS(Ingredients!$F$6:$F$1005,Ingredients!$B$6:$B$1005,B67)/IF(N(D67)&gt;0,D67,1),2))</f>
        <v/>
      </c>
      <c r="J67" s="24">
        <f>IF(B67="","",COUNTIFS(Ingredients!$B$6:$B$1005,B67))</f>
        <v/>
      </c>
      <c r="K67" s="1">
        <f>IF(N(G67)&gt;0,ROW(),"")</f>
        <v/>
      </c>
    </row>
    <row r="68">
      <c r="A68" s="1" t="n"/>
      <c r="B68" s="32" t="n"/>
      <c r="C68" s="33" t="n"/>
      <c r="D68" s="34" t="n"/>
      <c r="E68" s="34" t="n"/>
      <c r="F68" s="33" t="n"/>
      <c r="G68" s="24">
        <f>IF(B68="","",COUNTIFS('Week plan'!$C$9:$I$12,B68))</f>
        <v/>
      </c>
      <c r="H68" s="24">
        <f>IF(B68="","",SUMIFS('Week plan'!$Z$9:$AF$12,'Week plan'!$C$9:$I$12,B68))</f>
        <v/>
      </c>
      <c r="I68" s="25">
        <f>IF(B68="","",ROUND(SUMIFS(Ingredients!$F$6:$F$1005,Ingredients!$B$6:$B$1005,B68)/IF(N(D68)&gt;0,D68,1),2))</f>
        <v/>
      </c>
      <c r="J68" s="24">
        <f>IF(B68="","",COUNTIFS(Ingredients!$B$6:$B$1005,B68))</f>
        <v/>
      </c>
      <c r="K68" s="1">
        <f>IF(N(G68)&gt;0,ROW(),"")</f>
        <v/>
      </c>
    </row>
    <row r="69">
      <c r="A69" s="1" t="n"/>
      <c r="B69" s="32" t="n"/>
      <c r="C69" s="33" t="n"/>
      <c r="D69" s="34" t="n"/>
      <c r="E69" s="34" t="n"/>
      <c r="F69" s="33" t="n"/>
      <c r="G69" s="24">
        <f>IF(B69="","",COUNTIFS('Week plan'!$C$9:$I$12,B69))</f>
        <v/>
      </c>
      <c r="H69" s="24">
        <f>IF(B69="","",SUMIFS('Week plan'!$Z$9:$AF$12,'Week plan'!$C$9:$I$12,B69))</f>
        <v/>
      </c>
      <c r="I69" s="25">
        <f>IF(B69="","",ROUND(SUMIFS(Ingredients!$F$6:$F$1005,Ingredients!$B$6:$B$1005,B69)/IF(N(D69)&gt;0,D69,1),2))</f>
        <v/>
      </c>
      <c r="J69" s="24">
        <f>IF(B69="","",COUNTIFS(Ingredients!$B$6:$B$1005,B69))</f>
        <v/>
      </c>
      <c r="K69" s="1">
        <f>IF(N(G69)&gt;0,ROW(),"")</f>
        <v/>
      </c>
    </row>
    <row r="70">
      <c r="A70" s="1" t="n"/>
      <c r="B70" s="32" t="n"/>
      <c r="C70" s="33" t="n"/>
      <c r="D70" s="34" t="n"/>
      <c r="E70" s="34" t="n"/>
      <c r="F70" s="33" t="n"/>
      <c r="G70" s="24">
        <f>IF(B70="","",COUNTIFS('Week plan'!$C$9:$I$12,B70))</f>
        <v/>
      </c>
      <c r="H70" s="24">
        <f>IF(B70="","",SUMIFS('Week plan'!$Z$9:$AF$12,'Week plan'!$C$9:$I$12,B70))</f>
        <v/>
      </c>
      <c r="I70" s="25">
        <f>IF(B70="","",ROUND(SUMIFS(Ingredients!$F$6:$F$1005,Ingredients!$B$6:$B$1005,B70)/IF(N(D70)&gt;0,D70,1),2))</f>
        <v/>
      </c>
      <c r="J70" s="24">
        <f>IF(B70="","",COUNTIFS(Ingredients!$B$6:$B$1005,B70))</f>
        <v/>
      </c>
      <c r="K70" s="1">
        <f>IF(N(G70)&gt;0,ROW(),"")</f>
        <v/>
      </c>
    </row>
    <row r="71">
      <c r="A71" s="1" t="n"/>
      <c r="B71" s="32" t="n"/>
      <c r="C71" s="33" t="n"/>
      <c r="D71" s="34" t="n"/>
      <c r="E71" s="34" t="n"/>
      <c r="F71" s="33" t="n"/>
      <c r="G71" s="24">
        <f>IF(B71="","",COUNTIFS('Week plan'!$C$9:$I$12,B71))</f>
        <v/>
      </c>
      <c r="H71" s="24">
        <f>IF(B71="","",SUMIFS('Week plan'!$Z$9:$AF$12,'Week plan'!$C$9:$I$12,B71))</f>
        <v/>
      </c>
      <c r="I71" s="25">
        <f>IF(B71="","",ROUND(SUMIFS(Ingredients!$F$6:$F$1005,Ingredients!$B$6:$B$1005,B71)/IF(N(D71)&gt;0,D71,1),2))</f>
        <v/>
      </c>
      <c r="J71" s="24">
        <f>IF(B71="","",COUNTIFS(Ingredients!$B$6:$B$1005,B71))</f>
        <v/>
      </c>
      <c r="K71" s="1">
        <f>IF(N(G71)&gt;0,ROW(),"")</f>
        <v/>
      </c>
    </row>
    <row r="72">
      <c r="A72" s="1" t="n"/>
      <c r="B72" s="32" t="n"/>
      <c r="C72" s="33" t="n"/>
      <c r="D72" s="34" t="n"/>
      <c r="E72" s="34" t="n"/>
      <c r="F72" s="33" t="n"/>
      <c r="G72" s="24">
        <f>IF(B72="","",COUNTIFS('Week plan'!$C$9:$I$12,B72))</f>
        <v/>
      </c>
      <c r="H72" s="24">
        <f>IF(B72="","",SUMIFS('Week plan'!$Z$9:$AF$12,'Week plan'!$C$9:$I$12,B72))</f>
        <v/>
      </c>
      <c r="I72" s="25">
        <f>IF(B72="","",ROUND(SUMIFS(Ingredients!$F$6:$F$1005,Ingredients!$B$6:$B$1005,B72)/IF(N(D72)&gt;0,D72,1),2))</f>
        <v/>
      </c>
      <c r="J72" s="24">
        <f>IF(B72="","",COUNTIFS(Ingredients!$B$6:$B$1005,B72))</f>
        <v/>
      </c>
      <c r="K72" s="1">
        <f>IF(N(G72)&gt;0,ROW(),"")</f>
        <v/>
      </c>
    </row>
    <row r="73">
      <c r="A73" s="1" t="n"/>
      <c r="B73" s="32" t="n"/>
      <c r="C73" s="33" t="n"/>
      <c r="D73" s="34" t="n"/>
      <c r="E73" s="34" t="n"/>
      <c r="F73" s="33" t="n"/>
      <c r="G73" s="24">
        <f>IF(B73="","",COUNTIFS('Week plan'!$C$9:$I$12,B73))</f>
        <v/>
      </c>
      <c r="H73" s="24">
        <f>IF(B73="","",SUMIFS('Week plan'!$Z$9:$AF$12,'Week plan'!$C$9:$I$12,B73))</f>
        <v/>
      </c>
      <c r="I73" s="25">
        <f>IF(B73="","",ROUND(SUMIFS(Ingredients!$F$6:$F$1005,Ingredients!$B$6:$B$1005,B73)/IF(N(D73)&gt;0,D73,1),2))</f>
        <v/>
      </c>
      <c r="J73" s="24">
        <f>IF(B73="","",COUNTIFS(Ingredients!$B$6:$B$1005,B73))</f>
        <v/>
      </c>
      <c r="K73" s="1">
        <f>IF(N(G73)&gt;0,ROW(),"")</f>
        <v/>
      </c>
    </row>
    <row r="74">
      <c r="A74" s="1" t="n"/>
      <c r="B74" s="32" t="n"/>
      <c r="C74" s="33" t="n"/>
      <c r="D74" s="34" t="n"/>
      <c r="E74" s="34" t="n"/>
      <c r="F74" s="33" t="n"/>
      <c r="G74" s="24">
        <f>IF(B74="","",COUNTIFS('Week plan'!$C$9:$I$12,B74))</f>
        <v/>
      </c>
      <c r="H74" s="24">
        <f>IF(B74="","",SUMIFS('Week plan'!$Z$9:$AF$12,'Week plan'!$C$9:$I$12,B74))</f>
        <v/>
      </c>
      <c r="I74" s="25">
        <f>IF(B74="","",ROUND(SUMIFS(Ingredients!$F$6:$F$1005,Ingredients!$B$6:$B$1005,B74)/IF(N(D74)&gt;0,D74,1),2))</f>
        <v/>
      </c>
      <c r="J74" s="24">
        <f>IF(B74="","",COUNTIFS(Ingredients!$B$6:$B$1005,B74))</f>
        <v/>
      </c>
      <c r="K74" s="1">
        <f>IF(N(G74)&gt;0,ROW(),"")</f>
        <v/>
      </c>
    </row>
    <row r="75">
      <c r="A75" s="1" t="n"/>
      <c r="B75" s="32" t="n"/>
      <c r="C75" s="33" t="n"/>
      <c r="D75" s="34" t="n"/>
      <c r="E75" s="34" t="n"/>
      <c r="F75" s="33" t="n"/>
      <c r="G75" s="24">
        <f>IF(B75="","",COUNTIFS('Week plan'!$C$9:$I$12,B75))</f>
        <v/>
      </c>
      <c r="H75" s="24">
        <f>IF(B75="","",SUMIFS('Week plan'!$Z$9:$AF$12,'Week plan'!$C$9:$I$12,B75))</f>
        <v/>
      </c>
      <c r="I75" s="25">
        <f>IF(B75="","",ROUND(SUMIFS(Ingredients!$F$6:$F$1005,Ingredients!$B$6:$B$1005,B75)/IF(N(D75)&gt;0,D75,1),2))</f>
        <v/>
      </c>
      <c r="J75" s="24">
        <f>IF(B75="","",COUNTIFS(Ingredients!$B$6:$B$1005,B75))</f>
        <v/>
      </c>
      <c r="K75" s="1">
        <f>IF(N(G75)&gt;0,ROW(),"")</f>
        <v/>
      </c>
    </row>
    <row r="76">
      <c r="A76" s="1" t="n"/>
      <c r="B76" s="32" t="n"/>
      <c r="C76" s="33" t="n"/>
      <c r="D76" s="34" t="n"/>
      <c r="E76" s="34" t="n"/>
      <c r="F76" s="33" t="n"/>
      <c r="G76" s="24">
        <f>IF(B76="","",COUNTIFS('Week plan'!$C$9:$I$12,B76))</f>
        <v/>
      </c>
      <c r="H76" s="24">
        <f>IF(B76="","",SUMIFS('Week plan'!$Z$9:$AF$12,'Week plan'!$C$9:$I$12,B76))</f>
        <v/>
      </c>
      <c r="I76" s="25">
        <f>IF(B76="","",ROUND(SUMIFS(Ingredients!$F$6:$F$1005,Ingredients!$B$6:$B$1005,B76)/IF(N(D76)&gt;0,D76,1),2))</f>
        <v/>
      </c>
      <c r="J76" s="24">
        <f>IF(B76="","",COUNTIFS(Ingredients!$B$6:$B$1005,B76))</f>
        <v/>
      </c>
      <c r="K76" s="1">
        <f>IF(N(G76)&gt;0,ROW(),"")</f>
        <v/>
      </c>
    </row>
    <row r="77">
      <c r="A77" s="1" t="n"/>
      <c r="B77" s="32" t="n"/>
      <c r="C77" s="33" t="n"/>
      <c r="D77" s="34" t="n"/>
      <c r="E77" s="34" t="n"/>
      <c r="F77" s="33" t="n"/>
      <c r="G77" s="24">
        <f>IF(B77="","",COUNTIFS('Week plan'!$C$9:$I$12,B77))</f>
        <v/>
      </c>
      <c r="H77" s="24">
        <f>IF(B77="","",SUMIFS('Week plan'!$Z$9:$AF$12,'Week plan'!$C$9:$I$12,B77))</f>
        <v/>
      </c>
      <c r="I77" s="25">
        <f>IF(B77="","",ROUND(SUMIFS(Ingredients!$F$6:$F$1005,Ingredients!$B$6:$B$1005,B77)/IF(N(D77)&gt;0,D77,1),2))</f>
        <v/>
      </c>
      <c r="J77" s="24">
        <f>IF(B77="","",COUNTIFS(Ingredients!$B$6:$B$1005,B77))</f>
        <v/>
      </c>
      <c r="K77" s="1">
        <f>IF(N(G77)&gt;0,ROW(),"")</f>
        <v/>
      </c>
    </row>
    <row r="78">
      <c r="A78" s="1" t="n"/>
      <c r="B78" s="32" t="n"/>
      <c r="C78" s="33" t="n"/>
      <c r="D78" s="34" t="n"/>
      <c r="E78" s="34" t="n"/>
      <c r="F78" s="33" t="n"/>
      <c r="G78" s="24">
        <f>IF(B78="","",COUNTIFS('Week plan'!$C$9:$I$12,B78))</f>
        <v/>
      </c>
      <c r="H78" s="24">
        <f>IF(B78="","",SUMIFS('Week plan'!$Z$9:$AF$12,'Week plan'!$C$9:$I$12,B78))</f>
        <v/>
      </c>
      <c r="I78" s="25">
        <f>IF(B78="","",ROUND(SUMIFS(Ingredients!$F$6:$F$1005,Ingredients!$B$6:$B$1005,B78)/IF(N(D78)&gt;0,D78,1),2))</f>
        <v/>
      </c>
      <c r="J78" s="24">
        <f>IF(B78="","",COUNTIFS(Ingredients!$B$6:$B$1005,B78))</f>
        <v/>
      </c>
      <c r="K78" s="1">
        <f>IF(N(G78)&gt;0,ROW(),"")</f>
        <v/>
      </c>
    </row>
    <row r="79">
      <c r="A79" s="1" t="n"/>
      <c r="B79" s="32" t="n"/>
      <c r="C79" s="33" t="n"/>
      <c r="D79" s="34" t="n"/>
      <c r="E79" s="34" t="n"/>
      <c r="F79" s="33" t="n"/>
      <c r="G79" s="24">
        <f>IF(B79="","",COUNTIFS('Week plan'!$C$9:$I$12,B79))</f>
        <v/>
      </c>
      <c r="H79" s="24">
        <f>IF(B79="","",SUMIFS('Week plan'!$Z$9:$AF$12,'Week plan'!$C$9:$I$12,B79))</f>
        <v/>
      </c>
      <c r="I79" s="25">
        <f>IF(B79="","",ROUND(SUMIFS(Ingredients!$F$6:$F$1005,Ingredients!$B$6:$B$1005,B79)/IF(N(D79)&gt;0,D79,1),2))</f>
        <v/>
      </c>
      <c r="J79" s="24">
        <f>IF(B79="","",COUNTIFS(Ingredients!$B$6:$B$1005,B79))</f>
        <v/>
      </c>
      <c r="K79" s="1">
        <f>IF(N(G79)&gt;0,ROW(),"")</f>
        <v/>
      </c>
    </row>
    <row r="80">
      <c r="A80" s="1" t="n"/>
      <c r="B80" s="32" t="n"/>
      <c r="C80" s="33" t="n"/>
      <c r="D80" s="34" t="n"/>
      <c r="E80" s="34" t="n"/>
      <c r="F80" s="33" t="n"/>
      <c r="G80" s="24">
        <f>IF(B80="","",COUNTIFS('Week plan'!$C$9:$I$12,B80))</f>
        <v/>
      </c>
      <c r="H80" s="24">
        <f>IF(B80="","",SUMIFS('Week plan'!$Z$9:$AF$12,'Week plan'!$C$9:$I$12,B80))</f>
        <v/>
      </c>
      <c r="I80" s="25">
        <f>IF(B80="","",ROUND(SUMIFS(Ingredients!$F$6:$F$1005,Ingredients!$B$6:$B$1005,B80)/IF(N(D80)&gt;0,D80,1),2))</f>
        <v/>
      </c>
      <c r="J80" s="24">
        <f>IF(B80="","",COUNTIFS(Ingredients!$B$6:$B$1005,B80))</f>
        <v/>
      </c>
      <c r="K80" s="1">
        <f>IF(N(G80)&gt;0,ROW(),"")</f>
        <v/>
      </c>
    </row>
    <row r="81">
      <c r="A81" s="1" t="n"/>
      <c r="B81" s="32" t="n"/>
      <c r="C81" s="33" t="n"/>
      <c r="D81" s="34" t="n"/>
      <c r="E81" s="34" t="n"/>
      <c r="F81" s="33" t="n"/>
      <c r="G81" s="24">
        <f>IF(B81="","",COUNTIFS('Week plan'!$C$9:$I$12,B81))</f>
        <v/>
      </c>
      <c r="H81" s="24">
        <f>IF(B81="","",SUMIFS('Week plan'!$Z$9:$AF$12,'Week plan'!$C$9:$I$12,B81))</f>
        <v/>
      </c>
      <c r="I81" s="25">
        <f>IF(B81="","",ROUND(SUMIFS(Ingredients!$F$6:$F$1005,Ingredients!$B$6:$B$1005,B81)/IF(N(D81)&gt;0,D81,1),2))</f>
        <v/>
      </c>
      <c r="J81" s="24">
        <f>IF(B81="","",COUNTIFS(Ingredients!$B$6:$B$1005,B81))</f>
        <v/>
      </c>
      <c r="K81" s="1">
        <f>IF(N(G81)&gt;0,ROW(),"")</f>
        <v/>
      </c>
    </row>
    <row r="82">
      <c r="A82" s="1" t="n"/>
      <c r="B82" s="32" t="n"/>
      <c r="C82" s="33" t="n"/>
      <c r="D82" s="34" t="n"/>
      <c r="E82" s="34" t="n"/>
      <c r="F82" s="33" t="n"/>
      <c r="G82" s="24">
        <f>IF(B82="","",COUNTIFS('Week plan'!$C$9:$I$12,B82))</f>
        <v/>
      </c>
      <c r="H82" s="24">
        <f>IF(B82="","",SUMIFS('Week plan'!$Z$9:$AF$12,'Week plan'!$C$9:$I$12,B82))</f>
        <v/>
      </c>
      <c r="I82" s="25">
        <f>IF(B82="","",ROUND(SUMIFS(Ingredients!$F$6:$F$1005,Ingredients!$B$6:$B$1005,B82)/IF(N(D82)&gt;0,D82,1),2))</f>
        <v/>
      </c>
      <c r="J82" s="24">
        <f>IF(B82="","",COUNTIFS(Ingredients!$B$6:$B$1005,B82))</f>
        <v/>
      </c>
      <c r="K82" s="1">
        <f>IF(N(G82)&gt;0,ROW(),"")</f>
        <v/>
      </c>
    </row>
    <row r="83">
      <c r="A83" s="1" t="n"/>
      <c r="B83" s="32" t="n"/>
      <c r="C83" s="33" t="n"/>
      <c r="D83" s="34" t="n"/>
      <c r="E83" s="34" t="n"/>
      <c r="F83" s="33" t="n"/>
      <c r="G83" s="24">
        <f>IF(B83="","",COUNTIFS('Week plan'!$C$9:$I$12,B83))</f>
        <v/>
      </c>
      <c r="H83" s="24">
        <f>IF(B83="","",SUMIFS('Week plan'!$Z$9:$AF$12,'Week plan'!$C$9:$I$12,B83))</f>
        <v/>
      </c>
      <c r="I83" s="25">
        <f>IF(B83="","",ROUND(SUMIFS(Ingredients!$F$6:$F$1005,Ingredients!$B$6:$B$1005,B83)/IF(N(D83)&gt;0,D83,1),2))</f>
        <v/>
      </c>
      <c r="J83" s="24">
        <f>IF(B83="","",COUNTIFS(Ingredients!$B$6:$B$1005,B83))</f>
        <v/>
      </c>
      <c r="K83" s="1">
        <f>IF(N(G83)&gt;0,ROW(),"")</f>
        <v/>
      </c>
    </row>
    <row r="84">
      <c r="A84" s="1" t="n"/>
      <c r="B84" s="32" t="n"/>
      <c r="C84" s="33" t="n"/>
      <c r="D84" s="34" t="n"/>
      <c r="E84" s="34" t="n"/>
      <c r="F84" s="33" t="n"/>
      <c r="G84" s="24">
        <f>IF(B84="","",COUNTIFS('Week plan'!$C$9:$I$12,B84))</f>
        <v/>
      </c>
      <c r="H84" s="24">
        <f>IF(B84="","",SUMIFS('Week plan'!$Z$9:$AF$12,'Week plan'!$C$9:$I$12,B84))</f>
        <v/>
      </c>
      <c r="I84" s="25">
        <f>IF(B84="","",ROUND(SUMIFS(Ingredients!$F$6:$F$1005,Ingredients!$B$6:$B$1005,B84)/IF(N(D84)&gt;0,D84,1),2))</f>
        <v/>
      </c>
      <c r="J84" s="24">
        <f>IF(B84="","",COUNTIFS(Ingredients!$B$6:$B$1005,B84))</f>
        <v/>
      </c>
      <c r="K84" s="1">
        <f>IF(N(G84)&gt;0,ROW(),"")</f>
        <v/>
      </c>
    </row>
    <row r="85">
      <c r="A85" s="1" t="n"/>
      <c r="B85" s="32" t="n"/>
      <c r="C85" s="33" t="n"/>
      <c r="D85" s="34" t="n"/>
      <c r="E85" s="34" t="n"/>
      <c r="F85" s="33" t="n"/>
      <c r="G85" s="24">
        <f>IF(B85="","",COUNTIFS('Week plan'!$C$9:$I$12,B85))</f>
        <v/>
      </c>
      <c r="H85" s="24">
        <f>IF(B85="","",SUMIFS('Week plan'!$Z$9:$AF$12,'Week plan'!$C$9:$I$12,B85))</f>
        <v/>
      </c>
      <c r="I85" s="25">
        <f>IF(B85="","",ROUND(SUMIFS(Ingredients!$F$6:$F$1005,Ingredients!$B$6:$B$1005,B85)/IF(N(D85)&gt;0,D85,1),2))</f>
        <v/>
      </c>
      <c r="J85" s="24">
        <f>IF(B85="","",COUNTIFS(Ingredients!$B$6:$B$1005,B85))</f>
        <v/>
      </c>
      <c r="K85" s="1">
        <f>IF(N(G85)&gt;0,ROW(),"")</f>
        <v/>
      </c>
    </row>
    <row r="86">
      <c r="A86" s="1" t="n"/>
      <c r="B86" s="32" t="n"/>
      <c r="C86" s="33" t="n"/>
      <c r="D86" s="34" t="n"/>
      <c r="E86" s="34" t="n"/>
      <c r="F86" s="33" t="n"/>
      <c r="G86" s="24">
        <f>IF(B86="","",COUNTIFS('Week plan'!$C$9:$I$12,B86))</f>
        <v/>
      </c>
      <c r="H86" s="24">
        <f>IF(B86="","",SUMIFS('Week plan'!$Z$9:$AF$12,'Week plan'!$C$9:$I$12,B86))</f>
        <v/>
      </c>
      <c r="I86" s="25">
        <f>IF(B86="","",ROUND(SUMIFS(Ingredients!$F$6:$F$1005,Ingredients!$B$6:$B$1005,B86)/IF(N(D86)&gt;0,D86,1),2))</f>
        <v/>
      </c>
      <c r="J86" s="24">
        <f>IF(B86="","",COUNTIFS(Ingredients!$B$6:$B$1005,B86))</f>
        <v/>
      </c>
      <c r="K86" s="1">
        <f>IF(N(G86)&gt;0,ROW(),"")</f>
        <v/>
      </c>
    </row>
    <row r="87">
      <c r="A87" s="1" t="n"/>
      <c r="B87" s="32" t="n"/>
      <c r="C87" s="33" t="n"/>
      <c r="D87" s="34" t="n"/>
      <c r="E87" s="34" t="n"/>
      <c r="F87" s="33" t="n"/>
      <c r="G87" s="24">
        <f>IF(B87="","",COUNTIFS('Week plan'!$C$9:$I$12,B87))</f>
        <v/>
      </c>
      <c r="H87" s="24">
        <f>IF(B87="","",SUMIFS('Week plan'!$Z$9:$AF$12,'Week plan'!$C$9:$I$12,B87))</f>
        <v/>
      </c>
      <c r="I87" s="25">
        <f>IF(B87="","",ROUND(SUMIFS(Ingredients!$F$6:$F$1005,Ingredients!$B$6:$B$1005,B87)/IF(N(D87)&gt;0,D87,1),2))</f>
        <v/>
      </c>
      <c r="J87" s="24">
        <f>IF(B87="","",COUNTIFS(Ingredients!$B$6:$B$1005,B87))</f>
        <v/>
      </c>
      <c r="K87" s="1">
        <f>IF(N(G87)&gt;0,ROW(),"")</f>
        <v/>
      </c>
    </row>
    <row r="88">
      <c r="A88" s="1" t="n"/>
      <c r="B88" s="32" t="n"/>
      <c r="C88" s="33" t="n"/>
      <c r="D88" s="34" t="n"/>
      <c r="E88" s="34" t="n"/>
      <c r="F88" s="33" t="n"/>
      <c r="G88" s="24">
        <f>IF(B88="","",COUNTIFS('Week plan'!$C$9:$I$12,B88))</f>
        <v/>
      </c>
      <c r="H88" s="24">
        <f>IF(B88="","",SUMIFS('Week plan'!$Z$9:$AF$12,'Week plan'!$C$9:$I$12,B88))</f>
        <v/>
      </c>
      <c r="I88" s="25">
        <f>IF(B88="","",ROUND(SUMIFS(Ingredients!$F$6:$F$1005,Ingredients!$B$6:$B$1005,B88)/IF(N(D88)&gt;0,D88,1),2))</f>
        <v/>
      </c>
      <c r="J88" s="24">
        <f>IF(B88="","",COUNTIFS(Ingredients!$B$6:$B$1005,B88))</f>
        <v/>
      </c>
      <c r="K88" s="1">
        <f>IF(N(G88)&gt;0,ROW(),"")</f>
        <v/>
      </c>
    </row>
    <row r="89">
      <c r="A89" s="1" t="n"/>
      <c r="B89" s="32" t="n"/>
      <c r="C89" s="33" t="n"/>
      <c r="D89" s="34" t="n"/>
      <c r="E89" s="34" t="n"/>
      <c r="F89" s="33" t="n"/>
      <c r="G89" s="24">
        <f>IF(B89="","",COUNTIFS('Week plan'!$C$9:$I$12,B89))</f>
        <v/>
      </c>
      <c r="H89" s="24">
        <f>IF(B89="","",SUMIFS('Week plan'!$Z$9:$AF$12,'Week plan'!$C$9:$I$12,B89))</f>
        <v/>
      </c>
      <c r="I89" s="25">
        <f>IF(B89="","",ROUND(SUMIFS(Ingredients!$F$6:$F$1005,Ingredients!$B$6:$B$1005,B89)/IF(N(D89)&gt;0,D89,1),2))</f>
        <v/>
      </c>
      <c r="J89" s="24">
        <f>IF(B89="","",COUNTIFS(Ingredients!$B$6:$B$1005,B89))</f>
        <v/>
      </c>
      <c r="K89" s="1">
        <f>IF(N(G89)&gt;0,ROW(),"")</f>
        <v/>
      </c>
    </row>
    <row r="90">
      <c r="A90" s="1" t="n"/>
      <c r="B90" s="32" t="n"/>
      <c r="C90" s="33" t="n"/>
      <c r="D90" s="34" t="n"/>
      <c r="E90" s="34" t="n"/>
      <c r="F90" s="33" t="n"/>
      <c r="G90" s="24">
        <f>IF(B90="","",COUNTIFS('Week plan'!$C$9:$I$12,B90))</f>
        <v/>
      </c>
      <c r="H90" s="24">
        <f>IF(B90="","",SUMIFS('Week plan'!$Z$9:$AF$12,'Week plan'!$C$9:$I$12,B90))</f>
        <v/>
      </c>
      <c r="I90" s="25">
        <f>IF(B90="","",ROUND(SUMIFS(Ingredients!$F$6:$F$1005,Ingredients!$B$6:$B$1005,B90)/IF(N(D90)&gt;0,D90,1),2))</f>
        <v/>
      </c>
      <c r="J90" s="24">
        <f>IF(B90="","",COUNTIFS(Ingredients!$B$6:$B$1005,B90))</f>
        <v/>
      </c>
      <c r="K90" s="1">
        <f>IF(N(G90)&gt;0,ROW(),"")</f>
        <v/>
      </c>
    </row>
    <row r="91">
      <c r="A91" s="1" t="n"/>
      <c r="B91" s="32" t="n"/>
      <c r="C91" s="33" t="n"/>
      <c r="D91" s="34" t="n"/>
      <c r="E91" s="34" t="n"/>
      <c r="F91" s="33" t="n"/>
      <c r="G91" s="24">
        <f>IF(B91="","",COUNTIFS('Week plan'!$C$9:$I$12,B91))</f>
        <v/>
      </c>
      <c r="H91" s="24">
        <f>IF(B91="","",SUMIFS('Week plan'!$Z$9:$AF$12,'Week plan'!$C$9:$I$12,B91))</f>
        <v/>
      </c>
      <c r="I91" s="25">
        <f>IF(B91="","",ROUND(SUMIFS(Ingredients!$F$6:$F$1005,Ingredients!$B$6:$B$1005,B91)/IF(N(D91)&gt;0,D91,1),2))</f>
        <v/>
      </c>
      <c r="J91" s="24">
        <f>IF(B91="","",COUNTIFS(Ingredients!$B$6:$B$1005,B91))</f>
        <v/>
      </c>
      <c r="K91" s="1">
        <f>IF(N(G91)&gt;0,ROW(),"")</f>
        <v/>
      </c>
    </row>
    <row r="92">
      <c r="A92" s="1" t="n"/>
      <c r="B92" s="32" t="n"/>
      <c r="C92" s="33" t="n"/>
      <c r="D92" s="34" t="n"/>
      <c r="E92" s="34" t="n"/>
      <c r="F92" s="33" t="n"/>
      <c r="G92" s="24">
        <f>IF(B92="","",COUNTIFS('Week plan'!$C$9:$I$12,B92))</f>
        <v/>
      </c>
      <c r="H92" s="24">
        <f>IF(B92="","",SUMIFS('Week plan'!$Z$9:$AF$12,'Week plan'!$C$9:$I$12,B92))</f>
        <v/>
      </c>
      <c r="I92" s="25">
        <f>IF(B92="","",ROUND(SUMIFS(Ingredients!$F$6:$F$1005,Ingredients!$B$6:$B$1005,B92)/IF(N(D92)&gt;0,D92,1),2))</f>
        <v/>
      </c>
      <c r="J92" s="24">
        <f>IF(B92="","",COUNTIFS(Ingredients!$B$6:$B$1005,B92))</f>
        <v/>
      </c>
      <c r="K92" s="1">
        <f>IF(N(G92)&gt;0,ROW(),"")</f>
        <v/>
      </c>
    </row>
    <row r="93">
      <c r="A93" s="1" t="n"/>
      <c r="B93" s="32" t="n"/>
      <c r="C93" s="33" t="n"/>
      <c r="D93" s="34" t="n"/>
      <c r="E93" s="34" t="n"/>
      <c r="F93" s="33" t="n"/>
      <c r="G93" s="24">
        <f>IF(B93="","",COUNTIFS('Week plan'!$C$9:$I$12,B93))</f>
        <v/>
      </c>
      <c r="H93" s="24">
        <f>IF(B93="","",SUMIFS('Week plan'!$Z$9:$AF$12,'Week plan'!$C$9:$I$12,B93))</f>
        <v/>
      </c>
      <c r="I93" s="25">
        <f>IF(B93="","",ROUND(SUMIFS(Ingredients!$F$6:$F$1005,Ingredients!$B$6:$B$1005,B93)/IF(N(D93)&gt;0,D93,1),2))</f>
        <v/>
      </c>
      <c r="J93" s="24">
        <f>IF(B93="","",COUNTIFS(Ingredients!$B$6:$B$1005,B93))</f>
        <v/>
      </c>
      <c r="K93" s="1">
        <f>IF(N(G93)&gt;0,ROW(),"")</f>
        <v/>
      </c>
    </row>
    <row r="94">
      <c r="A94" s="1" t="n"/>
      <c r="B94" s="32" t="n"/>
      <c r="C94" s="33" t="n"/>
      <c r="D94" s="34" t="n"/>
      <c r="E94" s="34" t="n"/>
      <c r="F94" s="33" t="n"/>
      <c r="G94" s="24">
        <f>IF(B94="","",COUNTIFS('Week plan'!$C$9:$I$12,B94))</f>
        <v/>
      </c>
      <c r="H94" s="24">
        <f>IF(B94="","",SUMIFS('Week plan'!$Z$9:$AF$12,'Week plan'!$C$9:$I$12,B94))</f>
        <v/>
      </c>
      <c r="I94" s="25">
        <f>IF(B94="","",ROUND(SUMIFS(Ingredients!$F$6:$F$1005,Ingredients!$B$6:$B$1005,B94)/IF(N(D94)&gt;0,D94,1),2))</f>
        <v/>
      </c>
      <c r="J94" s="24">
        <f>IF(B94="","",COUNTIFS(Ingredients!$B$6:$B$1005,B94))</f>
        <v/>
      </c>
      <c r="K94" s="1">
        <f>IF(N(G94)&gt;0,ROW(),"")</f>
        <v/>
      </c>
    </row>
    <row r="95">
      <c r="A95" s="1" t="n"/>
      <c r="B95" s="32" t="n"/>
      <c r="C95" s="33" t="n"/>
      <c r="D95" s="34" t="n"/>
      <c r="E95" s="34" t="n"/>
      <c r="F95" s="33" t="n"/>
      <c r="G95" s="24">
        <f>IF(B95="","",COUNTIFS('Week plan'!$C$9:$I$12,B95))</f>
        <v/>
      </c>
      <c r="H95" s="24">
        <f>IF(B95="","",SUMIFS('Week plan'!$Z$9:$AF$12,'Week plan'!$C$9:$I$12,B95))</f>
        <v/>
      </c>
      <c r="I95" s="25">
        <f>IF(B95="","",ROUND(SUMIFS(Ingredients!$F$6:$F$1005,Ingredients!$B$6:$B$1005,B95)/IF(N(D95)&gt;0,D95,1),2))</f>
        <v/>
      </c>
      <c r="J95" s="24">
        <f>IF(B95="","",COUNTIFS(Ingredients!$B$6:$B$1005,B95))</f>
        <v/>
      </c>
      <c r="K95" s="1">
        <f>IF(N(G95)&gt;0,ROW(),"")</f>
        <v/>
      </c>
    </row>
    <row r="96">
      <c r="A96" s="1" t="n"/>
      <c r="B96" s="32" t="n"/>
      <c r="C96" s="33" t="n"/>
      <c r="D96" s="34" t="n"/>
      <c r="E96" s="34" t="n"/>
      <c r="F96" s="33" t="n"/>
      <c r="G96" s="24">
        <f>IF(B96="","",COUNTIFS('Week plan'!$C$9:$I$12,B96))</f>
        <v/>
      </c>
      <c r="H96" s="24">
        <f>IF(B96="","",SUMIFS('Week plan'!$Z$9:$AF$12,'Week plan'!$C$9:$I$12,B96))</f>
        <v/>
      </c>
      <c r="I96" s="25">
        <f>IF(B96="","",ROUND(SUMIFS(Ingredients!$F$6:$F$1005,Ingredients!$B$6:$B$1005,B96)/IF(N(D96)&gt;0,D96,1),2))</f>
        <v/>
      </c>
      <c r="J96" s="24">
        <f>IF(B96="","",COUNTIFS(Ingredients!$B$6:$B$1005,B96))</f>
        <v/>
      </c>
      <c r="K96" s="1">
        <f>IF(N(G96)&gt;0,ROW(),"")</f>
        <v/>
      </c>
    </row>
    <row r="97">
      <c r="A97" s="1" t="n"/>
      <c r="B97" s="32" t="n"/>
      <c r="C97" s="33" t="n"/>
      <c r="D97" s="34" t="n"/>
      <c r="E97" s="34" t="n"/>
      <c r="F97" s="33" t="n"/>
      <c r="G97" s="24">
        <f>IF(B97="","",COUNTIFS('Week plan'!$C$9:$I$12,B97))</f>
        <v/>
      </c>
      <c r="H97" s="24">
        <f>IF(B97="","",SUMIFS('Week plan'!$Z$9:$AF$12,'Week plan'!$C$9:$I$12,B97))</f>
        <v/>
      </c>
      <c r="I97" s="25">
        <f>IF(B97="","",ROUND(SUMIFS(Ingredients!$F$6:$F$1005,Ingredients!$B$6:$B$1005,B97)/IF(N(D97)&gt;0,D97,1),2))</f>
        <v/>
      </c>
      <c r="J97" s="24">
        <f>IF(B97="","",COUNTIFS(Ingredients!$B$6:$B$1005,B97))</f>
        <v/>
      </c>
      <c r="K97" s="1">
        <f>IF(N(G97)&gt;0,ROW(),"")</f>
        <v/>
      </c>
    </row>
    <row r="98">
      <c r="A98" s="1" t="n"/>
      <c r="B98" s="32" t="n"/>
      <c r="C98" s="33" t="n"/>
      <c r="D98" s="34" t="n"/>
      <c r="E98" s="34" t="n"/>
      <c r="F98" s="33" t="n"/>
      <c r="G98" s="24">
        <f>IF(B98="","",COUNTIFS('Week plan'!$C$9:$I$12,B98))</f>
        <v/>
      </c>
      <c r="H98" s="24">
        <f>IF(B98="","",SUMIFS('Week plan'!$Z$9:$AF$12,'Week plan'!$C$9:$I$12,B98))</f>
        <v/>
      </c>
      <c r="I98" s="25">
        <f>IF(B98="","",ROUND(SUMIFS(Ingredients!$F$6:$F$1005,Ingredients!$B$6:$B$1005,B98)/IF(N(D98)&gt;0,D98,1),2))</f>
        <v/>
      </c>
      <c r="J98" s="24">
        <f>IF(B98="","",COUNTIFS(Ingredients!$B$6:$B$1005,B98))</f>
        <v/>
      </c>
      <c r="K98" s="1">
        <f>IF(N(G98)&gt;0,ROW(),"")</f>
        <v/>
      </c>
    </row>
    <row r="99">
      <c r="A99" s="1" t="n"/>
      <c r="B99" s="32" t="n"/>
      <c r="C99" s="33" t="n"/>
      <c r="D99" s="34" t="n"/>
      <c r="E99" s="34" t="n"/>
      <c r="F99" s="33" t="n"/>
      <c r="G99" s="24">
        <f>IF(B99="","",COUNTIFS('Week plan'!$C$9:$I$12,B99))</f>
        <v/>
      </c>
      <c r="H99" s="24">
        <f>IF(B99="","",SUMIFS('Week plan'!$Z$9:$AF$12,'Week plan'!$C$9:$I$12,B99))</f>
        <v/>
      </c>
      <c r="I99" s="25">
        <f>IF(B99="","",ROUND(SUMIFS(Ingredients!$F$6:$F$1005,Ingredients!$B$6:$B$1005,B99)/IF(N(D99)&gt;0,D99,1),2))</f>
        <v/>
      </c>
      <c r="J99" s="24">
        <f>IF(B99="","",COUNTIFS(Ingredients!$B$6:$B$1005,B99))</f>
        <v/>
      </c>
      <c r="K99" s="1">
        <f>IF(N(G99)&gt;0,ROW(),"")</f>
        <v/>
      </c>
    </row>
    <row r="100">
      <c r="A100" s="1" t="n"/>
      <c r="B100" s="32" t="n"/>
      <c r="C100" s="33" t="n"/>
      <c r="D100" s="34" t="n"/>
      <c r="E100" s="34" t="n"/>
      <c r="F100" s="33" t="n"/>
      <c r="G100" s="24">
        <f>IF(B100="","",COUNTIFS('Week plan'!$C$9:$I$12,B100))</f>
        <v/>
      </c>
      <c r="H100" s="24">
        <f>IF(B100="","",SUMIFS('Week plan'!$Z$9:$AF$12,'Week plan'!$C$9:$I$12,B100))</f>
        <v/>
      </c>
      <c r="I100" s="25">
        <f>IF(B100="","",ROUND(SUMIFS(Ingredients!$F$6:$F$1005,Ingredients!$B$6:$B$1005,B100)/IF(N(D100)&gt;0,D100,1),2))</f>
        <v/>
      </c>
      <c r="J100" s="24">
        <f>IF(B100="","",COUNTIFS(Ingredients!$B$6:$B$1005,B100))</f>
        <v/>
      </c>
      <c r="K100" s="1">
        <f>IF(N(G100)&gt;0,ROW(),"")</f>
        <v/>
      </c>
    </row>
    <row r="101">
      <c r="A101" s="1" t="n"/>
      <c r="B101" s="32" t="n"/>
      <c r="C101" s="33" t="n"/>
      <c r="D101" s="34" t="n"/>
      <c r="E101" s="34" t="n"/>
      <c r="F101" s="33" t="n"/>
      <c r="G101" s="24">
        <f>IF(B101="","",COUNTIFS('Week plan'!$C$9:$I$12,B101))</f>
        <v/>
      </c>
      <c r="H101" s="24">
        <f>IF(B101="","",SUMIFS('Week plan'!$Z$9:$AF$12,'Week plan'!$C$9:$I$12,B101))</f>
        <v/>
      </c>
      <c r="I101" s="25">
        <f>IF(B101="","",ROUND(SUMIFS(Ingredients!$F$6:$F$1005,Ingredients!$B$6:$B$1005,B101)/IF(N(D101)&gt;0,D101,1),2))</f>
        <v/>
      </c>
      <c r="J101" s="24">
        <f>IF(B101="","",COUNTIFS(Ingredients!$B$6:$B$1005,B101))</f>
        <v/>
      </c>
      <c r="K101" s="1">
        <f>IF(N(G101)&gt;0,ROW(),"")</f>
        <v/>
      </c>
    </row>
    <row r="102">
      <c r="A102" s="1" t="n"/>
      <c r="B102" s="32" t="n"/>
      <c r="C102" s="33" t="n"/>
      <c r="D102" s="34" t="n"/>
      <c r="E102" s="34" t="n"/>
      <c r="F102" s="33" t="n"/>
      <c r="G102" s="24">
        <f>IF(B102="","",COUNTIFS('Week plan'!$C$9:$I$12,B102))</f>
        <v/>
      </c>
      <c r="H102" s="24">
        <f>IF(B102="","",SUMIFS('Week plan'!$Z$9:$AF$12,'Week plan'!$C$9:$I$12,B102))</f>
        <v/>
      </c>
      <c r="I102" s="25">
        <f>IF(B102="","",ROUND(SUMIFS(Ingredients!$F$6:$F$1005,Ingredients!$B$6:$B$1005,B102)/IF(N(D102)&gt;0,D102,1),2))</f>
        <v/>
      </c>
      <c r="J102" s="24">
        <f>IF(B102="","",COUNTIFS(Ingredients!$B$6:$B$1005,B102))</f>
        <v/>
      </c>
      <c r="K102" s="1">
        <f>IF(N(G102)&gt;0,ROW(),"")</f>
        <v/>
      </c>
    </row>
    <row r="103">
      <c r="A103" s="1" t="n"/>
      <c r="B103" s="32" t="n"/>
      <c r="C103" s="33" t="n"/>
      <c r="D103" s="34" t="n"/>
      <c r="E103" s="34" t="n"/>
      <c r="F103" s="33" t="n"/>
      <c r="G103" s="24">
        <f>IF(B103="","",COUNTIFS('Week plan'!$C$9:$I$12,B103))</f>
        <v/>
      </c>
      <c r="H103" s="24">
        <f>IF(B103="","",SUMIFS('Week plan'!$Z$9:$AF$12,'Week plan'!$C$9:$I$12,B103))</f>
        <v/>
      </c>
      <c r="I103" s="25">
        <f>IF(B103="","",ROUND(SUMIFS(Ingredients!$F$6:$F$1005,Ingredients!$B$6:$B$1005,B103)/IF(N(D103)&gt;0,D103,1),2))</f>
        <v/>
      </c>
      <c r="J103" s="24">
        <f>IF(B103="","",COUNTIFS(Ingredients!$B$6:$B$1005,B103))</f>
        <v/>
      </c>
      <c r="K103" s="1">
        <f>IF(N(G103)&gt;0,ROW(),"")</f>
        <v/>
      </c>
    </row>
    <row r="104">
      <c r="A104" s="1" t="n"/>
      <c r="B104" s="32" t="n"/>
      <c r="C104" s="33" t="n"/>
      <c r="D104" s="34" t="n"/>
      <c r="E104" s="34" t="n"/>
      <c r="F104" s="33" t="n"/>
      <c r="G104" s="24">
        <f>IF(B104="","",COUNTIFS('Week plan'!$C$9:$I$12,B104))</f>
        <v/>
      </c>
      <c r="H104" s="24">
        <f>IF(B104="","",SUMIFS('Week plan'!$Z$9:$AF$12,'Week plan'!$C$9:$I$12,B104))</f>
        <v/>
      </c>
      <c r="I104" s="25">
        <f>IF(B104="","",ROUND(SUMIFS(Ingredients!$F$6:$F$1005,Ingredients!$B$6:$B$1005,B104)/IF(N(D104)&gt;0,D104,1),2))</f>
        <v/>
      </c>
      <c r="J104" s="24">
        <f>IF(B104="","",COUNTIFS(Ingredients!$B$6:$B$1005,B104))</f>
        <v/>
      </c>
      <c r="K104" s="1">
        <f>IF(N(G104)&gt;0,ROW(),"")</f>
        <v/>
      </c>
    </row>
    <row r="105">
      <c r="A105" s="1" t="n"/>
      <c r="B105" s="32" t="n"/>
      <c r="C105" s="33" t="n"/>
      <c r="D105" s="34" t="n"/>
      <c r="E105" s="34" t="n"/>
      <c r="F105" s="33" t="n"/>
      <c r="G105" s="24">
        <f>IF(B105="","",COUNTIFS('Week plan'!$C$9:$I$12,B105))</f>
        <v/>
      </c>
      <c r="H105" s="24">
        <f>IF(B105="","",SUMIFS('Week plan'!$Z$9:$AF$12,'Week plan'!$C$9:$I$12,B105))</f>
        <v/>
      </c>
      <c r="I105" s="25">
        <f>IF(B105="","",ROUND(SUMIFS(Ingredients!$F$6:$F$1005,Ingredients!$B$6:$B$1005,B105)/IF(N(D105)&gt;0,D105,1),2))</f>
        <v/>
      </c>
      <c r="J105" s="24">
        <f>IF(B105="","",COUNTIFS(Ingredients!$B$6:$B$1005,B105))</f>
        <v/>
      </c>
      <c r="K105" s="1">
        <f>IF(N(G105)&gt;0,ROW(),"")</f>
        <v/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</sheetData>
  <conditionalFormatting sqref="G6:H105">
    <cfRule type="expression" priority="1" dxfId="2">
      <formula>AND($B6&lt;&gt;"",N($G6)&gt;0)</formula>
    </cfRule>
  </conditionalFormatting>
  <conditionalFormatting sqref="J6:J105">
    <cfRule type="expression" priority="2" dxfId="5">
      <formula>AND($B6&lt;&gt;"",N($J6)=0)</formula>
    </cfRule>
  </conditionalFormatting>
  <dataValidations count="1">
    <dataValidation sqref="C6:C105" showDropDown="0" showInputMessage="0" showErrorMessage="0" allowBlank="1" type="list">
      <formula1>"Breakfast,Lunch,Dinner,Snack,Any"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Ingredients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line per ingredient of each recipe, in the unit the Pantry uses.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7" t="inlineStr">
        <is>
          <t>Recipe</t>
        </is>
      </c>
      <c r="C5" s="7" t="inlineStr">
        <is>
          <t>Ingredient</t>
        </is>
      </c>
      <c r="D5" s="7" t="inlineStr">
        <is>
          <t>Quantity</t>
        </is>
      </c>
      <c r="E5" s="7" t="inlineStr">
        <is>
          <t>Unit</t>
        </is>
      </c>
      <c r="F5" s="7" t="inlineStr">
        <is>
          <t>Cost</t>
        </is>
      </c>
      <c r="G5" s="7" t="inlineStr">
        <is>
          <t>This week</t>
        </is>
      </c>
      <c r="H5" s="1" t="n"/>
    </row>
    <row r="6">
      <c r="A6" s="1" t="n"/>
      <c r="B6" s="33" t="inlineStr">
        <is>
          <t>Overnight oats</t>
        </is>
      </c>
      <c r="C6" s="33" t="inlineStr">
        <is>
          <t>Rolled oats</t>
        </is>
      </c>
      <c r="D6" s="31" t="n">
        <v>0.5</v>
      </c>
      <c r="E6" s="35">
        <f>IF(C6="","",IFERROR(INDEX(Pantry!$C$6:$C$305,MATCH(C6,Pantry!$B$6:$B$305,0))&amp;"","Add to Pantry"))</f>
        <v/>
      </c>
      <c r="F6" s="25">
        <f>IF(OR(C6="",E6="Add to Pantry"),"",ROUND(N(D6)*INDEX(Pantry!$N$6:$N$305,MATCH(C6,Pantry!$B$6:$B$305,0)),2))</f>
        <v/>
      </c>
      <c r="G6" s="35">
        <f>IF(OR(B6="",C6=""),"",IFERROR(ROUND(N(D6)*N(INDEX(Recipes!$H$6:$H$105,MATCH(B6,Recipes!$B$6:$B$105,0)))/IF(N(INDEX(Recipes!$D$6:$D$105,MATCH(B6,Recipes!$B$6:$B$105,0)))&gt;0,INDEX(Recipes!$D$6:$D$105,MATCH(B6,Recipes!$B$6:$B$105,0)),1),2),0))</f>
        <v/>
      </c>
      <c r="H6" s="1" t="n"/>
    </row>
    <row r="7">
      <c r="A7" s="1" t="n"/>
      <c r="B7" s="33" t="inlineStr">
        <is>
          <t>Overnight oats</t>
        </is>
      </c>
      <c r="C7" s="33" t="inlineStr">
        <is>
          <t>Milk</t>
        </is>
      </c>
      <c r="D7" s="31" t="n">
        <v>0.5</v>
      </c>
      <c r="E7" s="35">
        <f>IF(C7="","",IFERROR(INDEX(Pantry!$C$6:$C$305,MATCH(C7,Pantry!$B$6:$B$305,0))&amp;"","Add to Pantry"))</f>
        <v/>
      </c>
      <c r="F7" s="25">
        <f>IF(OR(C7="",E7="Add to Pantry"),"",ROUND(N(D7)*INDEX(Pantry!$N$6:$N$305,MATCH(C7,Pantry!$B$6:$B$305,0)),2))</f>
        <v/>
      </c>
      <c r="G7" s="35">
        <f>IF(OR(B7="",C7=""),"",IFERROR(ROUND(N(D7)*N(INDEX(Recipes!$H$6:$H$105,MATCH(B7,Recipes!$B$6:$B$105,0)))/IF(N(INDEX(Recipes!$D$6:$D$105,MATCH(B7,Recipes!$B$6:$B$105,0)))&gt;0,INDEX(Recipes!$D$6:$D$105,MATCH(B7,Recipes!$B$6:$B$105,0)),1),2),0))</f>
        <v/>
      </c>
      <c r="H7" s="1" t="n"/>
    </row>
    <row r="8">
      <c r="A8" s="1" t="n"/>
      <c r="B8" s="33" t="inlineStr">
        <is>
          <t>Overnight oats</t>
        </is>
      </c>
      <c r="C8" s="33" t="inlineStr">
        <is>
          <t>Greek yogurt</t>
        </is>
      </c>
      <c r="D8" s="31" t="n">
        <v>2</v>
      </c>
      <c r="E8" s="35">
        <f>IF(C8="","",IFERROR(INDEX(Pantry!$C$6:$C$305,MATCH(C8,Pantry!$B$6:$B$305,0))&amp;"","Add to Pantry"))</f>
        <v/>
      </c>
      <c r="F8" s="25">
        <f>IF(OR(C8="",E8="Add to Pantry"),"",ROUND(N(D8)*INDEX(Pantry!$N$6:$N$305,MATCH(C8,Pantry!$B$6:$B$305,0)),2))</f>
        <v/>
      </c>
      <c r="G8" s="35">
        <f>IF(OR(B8="",C8=""),"",IFERROR(ROUND(N(D8)*N(INDEX(Recipes!$H$6:$H$105,MATCH(B8,Recipes!$B$6:$B$105,0)))/IF(N(INDEX(Recipes!$D$6:$D$105,MATCH(B8,Recipes!$B$6:$B$105,0)))&gt;0,INDEX(Recipes!$D$6:$D$105,MATCH(B8,Recipes!$B$6:$B$105,0)),1),2),0))</f>
        <v/>
      </c>
      <c r="H8" s="1" t="n"/>
    </row>
    <row r="9">
      <c r="A9" s="1" t="n"/>
      <c r="B9" s="33" t="inlineStr">
        <is>
          <t>Overnight oats</t>
        </is>
      </c>
      <c r="C9" s="33" t="inlineStr">
        <is>
          <t>Frozen berries</t>
        </is>
      </c>
      <c r="D9" s="31" t="n">
        <v>0.5</v>
      </c>
      <c r="E9" s="35">
        <f>IF(C9="","",IFERROR(INDEX(Pantry!$C$6:$C$305,MATCH(C9,Pantry!$B$6:$B$305,0))&amp;"","Add to Pantry"))</f>
        <v/>
      </c>
      <c r="F9" s="25">
        <f>IF(OR(C9="",E9="Add to Pantry"),"",ROUND(N(D9)*INDEX(Pantry!$N$6:$N$305,MATCH(C9,Pantry!$B$6:$B$305,0)),2))</f>
        <v/>
      </c>
      <c r="G9" s="35">
        <f>IF(OR(B9="",C9=""),"",IFERROR(ROUND(N(D9)*N(INDEX(Recipes!$H$6:$H$105,MATCH(B9,Recipes!$B$6:$B$105,0)))/IF(N(INDEX(Recipes!$D$6:$D$105,MATCH(B9,Recipes!$B$6:$B$105,0)))&gt;0,INDEX(Recipes!$D$6:$D$105,MATCH(B9,Recipes!$B$6:$B$105,0)),1),2),0))</f>
        <v/>
      </c>
      <c r="H9" s="1" t="n"/>
    </row>
    <row r="10">
      <c r="A10" s="1" t="n"/>
      <c r="B10" s="33" t="inlineStr">
        <is>
          <t>Overnight oats</t>
        </is>
      </c>
      <c r="C10" s="33" t="inlineStr">
        <is>
          <t>Honey</t>
        </is>
      </c>
      <c r="D10" s="31" t="n">
        <v>1</v>
      </c>
      <c r="E10" s="35">
        <f>IF(C10="","",IFERROR(INDEX(Pantry!$C$6:$C$305,MATCH(C10,Pantry!$B$6:$B$305,0))&amp;"","Add to Pantry"))</f>
        <v/>
      </c>
      <c r="F10" s="25">
        <f>IF(OR(C10="",E10="Add to Pantry"),"",ROUND(N(D10)*INDEX(Pantry!$N$6:$N$305,MATCH(C10,Pantry!$B$6:$B$305,0)),2))</f>
        <v/>
      </c>
      <c r="G10" s="35">
        <f>IF(OR(B10="",C10=""),"",IFERROR(ROUND(N(D10)*N(INDEX(Recipes!$H$6:$H$105,MATCH(B10,Recipes!$B$6:$B$105,0)))/IF(N(INDEX(Recipes!$D$6:$D$105,MATCH(B10,Recipes!$B$6:$B$105,0)))&gt;0,INDEX(Recipes!$D$6:$D$105,MATCH(B10,Recipes!$B$6:$B$105,0)),1),2),0))</f>
        <v/>
      </c>
      <c r="H10" s="1" t="n"/>
    </row>
    <row r="11">
      <c r="A11" s="1" t="n"/>
      <c r="B11" s="33" t="inlineStr">
        <is>
          <t>Scrambled eggs on toast</t>
        </is>
      </c>
      <c r="C11" s="33" t="inlineStr">
        <is>
          <t>Eggs</t>
        </is>
      </c>
      <c r="D11" s="31" t="n">
        <v>4</v>
      </c>
      <c r="E11" s="35">
        <f>IF(C11="","",IFERROR(INDEX(Pantry!$C$6:$C$305,MATCH(C11,Pantry!$B$6:$B$305,0))&amp;"","Add to Pantry"))</f>
        <v/>
      </c>
      <c r="F11" s="25">
        <f>IF(OR(C11="",E11="Add to Pantry"),"",ROUND(N(D11)*INDEX(Pantry!$N$6:$N$305,MATCH(C11,Pantry!$B$6:$B$305,0)),2))</f>
        <v/>
      </c>
      <c r="G11" s="35">
        <f>IF(OR(B11="",C11=""),"",IFERROR(ROUND(N(D11)*N(INDEX(Recipes!$H$6:$H$105,MATCH(B11,Recipes!$B$6:$B$105,0)))/IF(N(INDEX(Recipes!$D$6:$D$105,MATCH(B11,Recipes!$B$6:$B$105,0)))&gt;0,INDEX(Recipes!$D$6:$D$105,MATCH(B11,Recipes!$B$6:$B$105,0)),1),2),0))</f>
        <v/>
      </c>
      <c r="H11" s="1" t="n"/>
    </row>
    <row r="12">
      <c r="A12" s="1" t="n"/>
      <c r="B12" s="33" t="inlineStr">
        <is>
          <t>Scrambled eggs on toast</t>
        </is>
      </c>
      <c r="C12" s="33" t="inlineStr">
        <is>
          <t>Sliced bread</t>
        </is>
      </c>
      <c r="D12" s="31" t="n">
        <v>4</v>
      </c>
      <c r="E12" s="35">
        <f>IF(C12="","",IFERROR(INDEX(Pantry!$C$6:$C$305,MATCH(C12,Pantry!$B$6:$B$305,0))&amp;"","Add to Pantry"))</f>
        <v/>
      </c>
      <c r="F12" s="25">
        <f>IF(OR(C12="",E12="Add to Pantry"),"",ROUND(N(D12)*INDEX(Pantry!$N$6:$N$305,MATCH(C12,Pantry!$B$6:$B$305,0)),2))</f>
        <v/>
      </c>
      <c r="G12" s="35">
        <f>IF(OR(B12="",C12=""),"",IFERROR(ROUND(N(D12)*N(INDEX(Recipes!$H$6:$H$105,MATCH(B12,Recipes!$B$6:$B$105,0)))/IF(N(INDEX(Recipes!$D$6:$D$105,MATCH(B12,Recipes!$B$6:$B$105,0)))&gt;0,INDEX(Recipes!$D$6:$D$105,MATCH(B12,Recipes!$B$6:$B$105,0)),1),2),0))</f>
        <v/>
      </c>
      <c r="H12" s="1" t="n"/>
    </row>
    <row r="13">
      <c r="A13" s="1" t="n"/>
      <c r="B13" s="33" t="inlineStr">
        <is>
          <t>Scrambled eggs on toast</t>
        </is>
      </c>
      <c r="C13" s="33" t="inlineStr">
        <is>
          <t>Butter</t>
        </is>
      </c>
      <c r="D13" s="31" t="n">
        <v>1</v>
      </c>
      <c r="E13" s="35">
        <f>IF(C13="","",IFERROR(INDEX(Pantry!$C$6:$C$305,MATCH(C13,Pantry!$B$6:$B$305,0))&amp;"","Add to Pantry"))</f>
        <v/>
      </c>
      <c r="F13" s="25">
        <f>IF(OR(C13="",E13="Add to Pantry"),"",ROUND(N(D13)*INDEX(Pantry!$N$6:$N$305,MATCH(C13,Pantry!$B$6:$B$305,0)),2))</f>
        <v/>
      </c>
      <c r="G13" s="35">
        <f>IF(OR(B13="",C13=""),"",IFERROR(ROUND(N(D13)*N(INDEX(Recipes!$H$6:$H$105,MATCH(B13,Recipes!$B$6:$B$105,0)))/IF(N(INDEX(Recipes!$D$6:$D$105,MATCH(B13,Recipes!$B$6:$B$105,0)))&gt;0,INDEX(Recipes!$D$6:$D$105,MATCH(B13,Recipes!$B$6:$B$105,0)),1),2),0))</f>
        <v/>
      </c>
      <c r="H13" s="1" t="n"/>
    </row>
    <row r="14">
      <c r="A14" s="1" t="n"/>
      <c r="B14" s="33" t="inlineStr">
        <is>
          <t>Veggie omelette</t>
        </is>
      </c>
      <c r="C14" s="33" t="inlineStr">
        <is>
          <t>Eggs</t>
        </is>
      </c>
      <c r="D14" s="31" t="n">
        <v>3</v>
      </c>
      <c r="E14" s="35">
        <f>IF(C14="","",IFERROR(INDEX(Pantry!$C$6:$C$305,MATCH(C14,Pantry!$B$6:$B$305,0))&amp;"","Add to Pantry"))</f>
        <v/>
      </c>
      <c r="F14" s="25">
        <f>IF(OR(C14="",E14="Add to Pantry"),"",ROUND(N(D14)*INDEX(Pantry!$N$6:$N$305,MATCH(C14,Pantry!$B$6:$B$305,0)),2))</f>
        <v/>
      </c>
      <c r="G14" s="35">
        <f>IF(OR(B14="",C14=""),"",IFERROR(ROUND(N(D14)*N(INDEX(Recipes!$H$6:$H$105,MATCH(B14,Recipes!$B$6:$B$105,0)))/IF(N(INDEX(Recipes!$D$6:$D$105,MATCH(B14,Recipes!$B$6:$B$105,0)))&gt;0,INDEX(Recipes!$D$6:$D$105,MATCH(B14,Recipes!$B$6:$B$105,0)),1),2),0))</f>
        <v/>
      </c>
      <c r="H14" s="1" t="n"/>
    </row>
    <row r="15">
      <c r="A15" s="1" t="n"/>
      <c r="B15" s="33" t="inlineStr">
        <is>
          <t>Veggie omelette</t>
        </is>
      </c>
      <c r="C15" s="33" t="inlineStr">
        <is>
          <t>Bell pepper</t>
        </is>
      </c>
      <c r="D15" s="31" t="n">
        <v>0.5</v>
      </c>
      <c r="E15" s="35">
        <f>IF(C15="","",IFERROR(INDEX(Pantry!$C$6:$C$305,MATCH(C15,Pantry!$B$6:$B$305,0))&amp;"","Add to Pantry"))</f>
        <v/>
      </c>
      <c r="F15" s="25">
        <f>IF(OR(C15="",E15="Add to Pantry"),"",ROUND(N(D15)*INDEX(Pantry!$N$6:$N$305,MATCH(C15,Pantry!$B$6:$B$305,0)),2))</f>
        <v/>
      </c>
      <c r="G15" s="35">
        <f>IF(OR(B15="",C15=""),"",IFERROR(ROUND(N(D15)*N(INDEX(Recipes!$H$6:$H$105,MATCH(B15,Recipes!$B$6:$B$105,0)))/IF(N(INDEX(Recipes!$D$6:$D$105,MATCH(B15,Recipes!$B$6:$B$105,0)))&gt;0,INDEX(Recipes!$D$6:$D$105,MATCH(B15,Recipes!$B$6:$B$105,0)),1),2),0))</f>
        <v/>
      </c>
      <c r="H15" s="1" t="n"/>
    </row>
    <row r="16">
      <c r="A16" s="1" t="n"/>
      <c r="B16" s="33" t="inlineStr">
        <is>
          <t>Veggie omelette</t>
        </is>
      </c>
      <c r="C16" s="33" t="inlineStr">
        <is>
          <t>Spinach</t>
        </is>
      </c>
      <c r="D16" s="31" t="n">
        <v>1</v>
      </c>
      <c r="E16" s="35">
        <f>IF(C16="","",IFERROR(INDEX(Pantry!$C$6:$C$305,MATCH(C16,Pantry!$B$6:$B$305,0))&amp;"","Add to Pantry"))</f>
        <v/>
      </c>
      <c r="F16" s="25">
        <f>IF(OR(C16="",E16="Add to Pantry"),"",ROUND(N(D16)*INDEX(Pantry!$N$6:$N$305,MATCH(C16,Pantry!$B$6:$B$305,0)),2))</f>
        <v/>
      </c>
      <c r="G16" s="35">
        <f>IF(OR(B16="",C16=""),"",IFERROR(ROUND(N(D16)*N(INDEX(Recipes!$H$6:$H$105,MATCH(B16,Recipes!$B$6:$B$105,0)))/IF(N(INDEX(Recipes!$D$6:$D$105,MATCH(B16,Recipes!$B$6:$B$105,0)))&gt;0,INDEX(Recipes!$D$6:$D$105,MATCH(B16,Recipes!$B$6:$B$105,0)),1),2),0))</f>
        <v/>
      </c>
      <c r="H16" s="1" t="n"/>
    </row>
    <row r="17">
      <c r="A17" s="1" t="n"/>
      <c r="B17" s="33" t="inlineStr">
        <is>
          <t>Veggie omelette</t>
        </is>
      </c>
      <c r="C17" s="33" t="inlineStr">
        <is>
          <t>Cheddar</t>
        </is>
      </c>
      <c r="D17" s="31" t="n">
        <v>1</v>
      </c>
      <c r="E17" s="35">
        <f>IF(C17="","",IFERROR(INDEX(Pantry!$C$6:$C$305,MATCH(C17,Pantry!$B$6:$B$305,0))&amp;"","Add to Pantry"))</f>
        <v/>
      </c>
      <c r="F17" s="25">
        <f>IF(OR(C17="",E17="Add to Pantry"),"",ROUND(N(D17)*INDEX(Pantry!$N$6:$N$305,MATCH(C17,Pantry!$B$6:$B$305,0)),2))</f>
        <v/>
      </c>
      <c r="G17" s="35">
        <f>IF(OR(B17="",C17=""),"",IFERROR(ROUND(N(D17)*N(INDEX(Recipes!$H$6:$H$105,MATCH(B17,Recipes!$B$6:$B$105,0)))/IF(N(INDEX(Recipes!$D$6:$D$105,MATCH(B17,Recipes!$B$6:$B$105,0)))&gt;0,INDEX(Recipes!$D$6:$D$105,MATCH(B17,Recipes!$B$6:$B$105,0)),1),2),0))</f>
        <v/>
      </c>
      <c r="H17" s="1" t="n"/>
    </row>
    <row r="18">
      <c r="A18" s="1" t="n"/>
      <c r="B18" s="33" t="inlineStr">
        <is>
          <t>Pancakes</t>
        </is>
      </c>
      <c r="C18" s="33" t="inlineStr">
        <is>
          <t>Flour</t>
        </is>
      </c>
      <c r="D18" s="31" t="n">
        <v>1.5</v>
      </c>
      <c r="E18" s="35">
        <f>IF(C18="","",IFERROR(INDEX(Pantry!$C$6:$C$305,MATCH(C18,Pantry!$B$6:$B$305,0))&amp;"","Add to Pantry"))</f>
        <v/>
      </c>
      <c r="F18" s="25">
        <f>IF(OR(C18="",E18="Add to Pantry"),"",ROUND(N(D18)*INDEX(Pantry!$N$6:$N$305,MATCH(C18,Pantry!$B$6:$B$305,0)),2))</f>
        <v/>
      </c>
      <c r="G18" s="35">
        <f>IF(OR(B18="",C18=""),"",IFERROR(ROUND(N(D18)*N(INDEX(Recipes!$H$6:$H$105,MATCH(B18,Recipes!$B$6:$B$105,0)))/IF(N(INDEX(Recipes!$D$6:$D$105,MATCH(B18,Recipes!$B$6:$B$105,0)))&gt;0,INDEX(Recipes!$D$6:$D$105,MATCH(B18,Recipes!$B$6:$B$105,0)),1),2),0))</f>
        <v/>
      </c>
      <c r="H18" s="1" t="n"/>
    </row>
    <row r="19">
      <c r="A19" s="1" t="n"/>
      <c r="B19" s="33" t="inlineStr">
        <is>
          <t>Pancakes</t>
        </is>
      </c>
      <c r="C19" s="33" t="inlineStr">
        <is>
          <t>Milk</t>
        </is>
      </c>
      <c r="D19" s="31" t="n">
        <v>1.25</v>
      </c>
      <c r="E19" s="35">
        <f>IF(C19="","",IFERROR(INDEX(Pantry!$C$6:$C$305,MATCH(C19,Pantry!$B$6:$B$305,0))&amp;"","Add to Pantry"))</f>
        <v/>
      </c>
      <c r="F19" s="25">
        <f>IF(OR(C19="",E19="Add to Pantry"),"",ROUND(N(D19)*INDEX(Pantry!$N$6:$N$305,MATCH(C19,Pantry!$B$6:$B$305,0)),2))</f>
        <v/>
      </c>
      <c r="G19" s="35">
        <f>IF(OR(B19="",C19=""),"",IFERROR(ROUND(N(D19)*N(INDEX(Recipes!$H$6:$H$105,MATCH(B19,Recipes!$B$6:$B$105,0)))/IF(N(INDEX(Recipes!$D$6:$D$105,MATCH(B19,Recipes!$B$6:$B$105,0)))&gt;0,INDEX(Recipes!$D$6:$D$105,MATCH(B19,Recipes!$B$6:$B$105,0)),1),2),0))</f>
        <v/>
      </c>
      <c r="H19" s="1" t="n"/>
    </row>
    <row r="20">
      <c r="A20" s="1" t="n"/>
      <c r="B20" s="33" t="inlineStr">
        <is>
          <t>Pancakes</t>
        </is>
      </c>
      <c r="C20" s="33" t="inlineStr">
        <is>
          <t>Eggs</t>
        </is>
      </c>
      <c r="D20" s="31" t="n">
        <v>1</v>
      </c>
      <c r="E20" s="35">
        <f>IF(C20="","",IFERROR(INDEX(Pantry!$C$6:$C$305,MATCH(C20,Pantry!$B$6:$B$305,0))&amp;"","Add to Pantry"))</f>
        <v/>
      </c>
      <c r="F20" s="25">
        <f>IF(OR(C20="",E20="Add to Pantry"),"",ROUND(N(D20)*INDEX(Pantry!$N$6:$N$305,MATCH(C20,Pantry!$B$6:$B$305,0)),2))</f>
        <v/>
      </c>
      <c r="G20" s="35">
        <f>IF(OR(B20="",C20=""),"",IFERROR(ROUND(N(D20)*N(INDEX(Recipes!$H$6:$H$105,MATCH(B20,Recipes!$B$6:$B$105,0)))/IF(N(INDEX(Recipes!$D$6:$D$105,MATCH(B20,Recipes!$B$6:$B$105,0)))&gt;0,INDEX(Recipes!$D$6:$D$105,MATCH(B20,Recipes!$B$6:$B$105,0)),1),2),0))</f>
        <v/>
      </c>
      <c r="H20" s="1" t="n"/>
    </row>
    <row r="21">
      <c r="A21" s="1" t="n"/>
      <c r="B21" s="33" t="inlineStr">
        <is>
          <t>Pancakes</t>
        </is>
      </c>
      <c r="C21" s="33" t="inlineStr">
        <is>
          <t>Butter</t>
        </is>
      </c>
      <c r="D21" s="31" t="n">
        <v>2</v>
      </c>
      <c r="E21" s="35">
        <f>IF(C21="","",IFERROR(INDEX(Pantry!$C$6:$C$305,MATCH(C21,Pantry!$B$6:$B$305,0))&amp;"","Add to Pantry"))</f>
        <v/>
      </c>
      <c r="F21" s="25">
        <f>IF(OR(C21="",E21="Add to Pantry"),"",ROUND(N(D21)*INDEX(Pantry!$N$6:$N$305,MATCH(C21,Pantry!$B$6:$B$305,0)),2))</f>
        <v/>
      </c>
      <c r="G21" s="35">
        <f>IF(OR(B21="",C21=""),"",IFERROR(ROUND(N(D21)*N(INDEX(Recipes!$H$6:$H$105,MATCH(B21,Recipes!$B$6:$B$105,0)))/IF(N(INDEX(Recipes!$D$6:$D$105,MATCH(B21,Recipes!$B$6:$B$105,0)))&gt;0,INDEX(Recipes!$D$6:$D$105,MATCH(B21,Recipes!$B$6:$B$105,0)),1),2),0))</f>
        <v/>
      </c>
      <c r="H21" s="1" t="n"/>
    </row>
    <row r="22">
      <c r="A22" s="1" t="n"/>
      <c r="B22" s="33" t="inlineStr">
        <is>
          <t>Pancakes</t>
        </is>
      </c>
      <c r="C22" s="33" t="inlineStr">
        <is>
          <t>Honey</t>
        </is>
      </c>
      <c r="D22" s="31" t="n">
        <v>2</v>
      </c>
      <c r="E22" s="35">
        <f>IF(C22="","",IFERROR(INDEX(Pantry!$C$6:$C$305,MATCH(C22,Pantry!$B$6:$B$305,0))&amp;"","Add to Pantry"))</f>
        <v/>
      </c>
      <c r="F22" s="25">
        <f>IF(OR(C22="",E22="Add to Pantry"),"",ROUND(N(D22)*INDEX(Pantry!$N$6:$N$305,MATCH(C22,Pantry!$B$6:$B$305,0)),2))</f>
        <v/>
      </c>
      <c r="G22" s="35">
        <f>IF(OR(B22="",C22=""),"",IFERROR(ROUND(N(D22)*N(INDEX(Recipes!$H$6:$H$105,MATCH(B22,Recipes!$B$6:$B$105,0)))/IF(N(INDEX(Recipes!$D$6:$D$105,MATCH(B22,Recipes!$B$6:$B$105,0)))&gt;0,INDEX(Recipes!$D$6:$D$105,MATCH(B22,Recipes!$B$6:$B$105,0)),1),2),0))</f>
        <v/>
      </c>
      <c r="H22" s="1" t="n"/>
    </row>
    <row r="23">
      <c r="A23" s="1" t="n"/>
      <c r="B23" s="33" t="inlineStr">
        <is>
          <t>Chicken stir fry with rice</t>
        </is>
      </c>
      <c r="C23" s="33" t="inlineStr">
        <is>
          <t>Chicken breast</t>
        </is>
      </c>
      <c r="D23" s="31" t="n">
        <v>1.5</v>
      </c>
      <c r="E23" s="35">
        <f>IF(C23="","",IFERROR(INDEX(Pantry!$C$6:$C$305,MATCH(C23,Pantry!$B$6:$B$305,0))&amp;"","Add to Pantry"))</f>
        <v/>
      </c>
      <c r="F23" s="25">
        <f>IF(OR(C23="",E23="Add to Pantry"),"",ROUND(N(D23)*INDEX(Pantry!$N$6:$N$305,MATCH(C23,Pantry!$B$6:$B$305,0)),2))</f>
        <v/>
      </c>
      <c r="G23" s="35">
        <f>IF(OR(B23="",C23=""),"",IFERROR(ROUND(N(D23)*N(INDEX(Recipes!$H$6:$H$105,MATCH(B23,Recipes!$B$6:$B$105,0)))/IF(N(INDEX(Recipes!$D$6:$D$105,MATCH(B23,Recipes!$B$6:$B$105,0)))&gt;0,INDEX(Recipes!$D$6:$D$105,MATCH(B23,Recipes!$B$6:$B$105,0)),1),2),0))</f>
        <v/>
      </c>
      <c r="H23" s="1" t="n"/>
    </row>
    <row r="24">
      <c r="A24" s="1" t="n"/>
      <c r="B24" s="33" t="inlineStr">
        <is>
          <t>Chicken stir fry with rice</t>
        </is>
      </c>
      <c r="C24" s="33" t="inlineStr">
        <is>
          <t>Bell pepper</t>
        </is>
      </c>
      <c r="D24" s="31" t="n">
        <v>2</v>
      </c>
      <c r="E24" s="35">
        <f>IF(C24="","",IFERROR(INDEX(Pantry!$C$6:$C$305,MATCH(C24,Pantry!$B$6:$B$305,0))&amp;"","Add to Pantry"))</f>
        <v/>
      </c>
      <c r="F24" s="25">
        <f>IF(OR(C24="",E24="Add to Pantry"),"",ROUND(N(D24)*INDEX(Pantry!$N$6:$N$305,MATCH(C24,Pantry!$B$6:$B$305,0)),2))</f>
        <v/>
      </c>
      <c r="G24" s="35">
        <f>IF(OR(B24="",C24=""),"",IFERROR(ROUND(N(D24)*N(INDEX(Recipes!$H$6:$H$105,MATCH(B24,Recipes!$B$6:$B$105,0)))/IF(N(INDEX(Recipes!$D$6:$D$105,MATCH(B24,Recipes!$B$6:$B$105,0)))&gt;0,INDEX(Recipes!$D$6:$D$105,MATCH(B24,Recipes!$B$6:$B$105,0)),1),2),0))</f>
        <v/>
      </c>
      <c r="H24" s="1" t="n"/>
    </row>
    <row r="25">
      <c r="A25" s="1" t="n"/>
      <c r="B25" s="33" t="inlineStr">
        <is>
          <t>Chicken stir fry with rice</t>
        </is>
      </c>
      <c r="C25" s="33" t="inlineStr">
        <is>
          <t>Broccoli</t>
        </is>
      </c>
      <c r="D25" s="31" t="n">
        <v>1</v>
      </c>
      <c r="E25" s="35">
        <f>IF(C25="","",IFERROR(INDEX(Pantry!$C$6:$C$305,MATCH(C25,Pantry!$B$6:$B$305,0))&amp;"","Add to Pantry"))</f>
        <v/>
      </c>
      <c r="F25" s="25">
        <f>IF(OR(C25="",E25="Add to Pantry"),"",ROUND(N(D25)*INDEX(Pantry!$N$6:$N$305,MATCH(C25,Pantry!$B$6:$B$305,0)),2))</f>
        <v/>
      </c>
      <c r="G25" s="35">
        <f>IF(OR(B25="",C25=""),"",IFERROR(ROUND(N(D25)*N(INDEX(Recipes!$H$6:$H$105,MATCH(B25,Recipes!$B$6:$B$105,0)))/IF(N(INDEX(Recipes!$D$6:$D$105,MATCH(B25,Recipes!$B$6:$B$105,0)))&gt;0,INDEX(Recipes!$D$6:$D$105,MATCH(B25,Recipes!$B$6:$B$105,0)),1),2),0))</f>
        <v/>
      </c>
      <c r="H25" s="1" t="n"/>
    </row>
    <row r="26">
      <c r="A26" s="1" t="n"/>
      <c r="B26" s="33" t="inlineStr">
        <is>
          <t>Chicken stir fry with rice</t>
        </is>
      </c>
      <c r="C26" s="33" t="inlineStr">
        <is>
          <t>Garlic</t>
        </is>
      </c>
      <c r="D26" s="31" t="n">
        <v>3</v>
      </c>
      <c r="E26" s="35">
        <f>IF(C26="","",IFERROR(INDEX(Pantry!$C$6:$C$305,MATCH(C26,Pantry!$B$6:$B$305,0))&amp;"","Add to Pantry"))</f>
        <v/>
      </c>
      <c r="F26" s="25">
        <f>IF(OR(C26="",E26="Add to Pantry"),"",ROUND(N(D26)*INDEX(Pantry!$N$6:$N$305,MATCH(C26,Pantry!$B$6:$B$305,0)),2))</f>
        <v/>
      </c>
      <c r="G26" s="35">
        <f>IF(OR(B26="",C26=""),"",IFERROR(ROUND(N(D26)*N(INDEX(Recipes!$H$6:$H$105,MATCH(B26,Recipes!$B$6:$B$105,0)))/IF(N(INDEX(Recipes!$D$6:$D$105,MATCH(B26,Recipes!$B$6:$B$105,0)))&gt;0,INDEX(Recipes!$D$6:$D$105,MATCH(B26,Recipes!$B$6:$B$105,0)),1),2),0))</f>
        <v/>
      </c>
      <c r="H26" s="1" t="n"/>
    </row>
    <row r="27">
      <c r="A27" s="1" t="n"/>
      <c r="B27" s="33" t="inlineStr">
        <is>
          <t>Chicken stir fry with rice</t>
        </is>
      </c>
      <c r="C27" s="33" t="inlineStr">
        <is>
          <t>Soy sauce</t>
        </is>
      </c>
      <c r="D27" s="31" t="n">
        <v>4</v>
      </c>
      <c r="E27" s="35">
        <f>IF(C27="","",IFERROR(INDEX(Pantry!$C$6:$C$305,MATCH(C27,Pantry!$B$6:$B$305,0))&amp;"","Add to Pantry"))</f>
        <v/>
      </c>
      <c r="F27" s="25">
        <f>IF(OR(C27="",E27="Add to Pantry"),"",ROUND(N(D27)*INDEX(Pantry!$N$6:$N$305,MATCH(C27,Pantry!$B$6:$B$305,0)),2))</f>
        <v/>
      </c>
      <c r="G27" s="35">
        <f>IF(OR(B27="",C27=""),"",IFERROR(ROUND(N(D27)*N(INDEX(Recipes!$H$6:$H$105,MATCH(B27,Recipes!$B$6:$B$105,0)))/IF(N(INDEX(Recipes!$D$6:$D$105,MATCH(B27,Recipes!$B$6:$B$105,0)))&gt;0,INDEX(Recipes!$D$6:$D$105,MATCH(B27,Recipes!$B$6:$B$105,0)),1),2),0))</f>
        <v/>
      </c>
      <c r="H27" s="1" t="n"/>
    </row>
    <row r="28">
      <c r="A28" s="1" t="n"/>
      <c r="B28" s="33" t="inlineStr">
        <is>
          <t>Chicken stir fry with rice</t>
        </is>
      </c>
      <c r="C28" s="33" t="inlineStr">
        <is>
          <t>Rice</t>
        </is>
      </c>
      <c r="D28" s="31" t="n">
        <v>1.5</v>
      </c>
      <c r="E28" s="35">
        <f>IF(C28="","",IFERROR(INDEX(Pantry!$C$6:$C$305,MATCH(C28,Pantry!$B$6:$B$305,0))&amp;"","Add to Pantry"))</f>
        <v/>
      </c>
      <c r="F28" s="25">
        <f>IF(OR(C28="",E28="Add to Pantry"),"",ROUND(N(D28)*INDEX(Pantry!$N$6:$N$305,MATCH(C28,Pantry!$B$6:$B$305,0)),2))</f>
        <v/>
      </c>
      <c r="G28" s="35">
        <f>IF(OR(B28="",C28=""),"",IFERROR(ROUND(N(D28)*N(INDEX(Recipes!$H$6:$H$105,MATCH(B28,Recipes!$B$6:$B$105,0)))/IF(N(INDEX(Recipes!$D$6:$D$105,MATCH(B28,Recipes!$B$6:$B$105,0)))&gt;0,INDEX(Recipes!$D$6:$D$105,MATCH(B28,Recipes!$B$6:$B$105,0)),1),2),0))</f>
        <v/>
      </c>
      <c r="H28" s="1" t="n"/>
    </row>
    <row r="29">
      <c r="A29" s="1" t="n"/>
      <c r="B29" s="33" t="inlineStr">
        <is>
          <t>Chicken stir fry with rice</t>
        </is>
      </c>
      <c r="C29" s="33" t="inlineStr">
        <is>
          <t>Olive oil</t>
        </is>
      </c>
      <c r="D29" s="31" t="n">
        <v>1</v>
      </c>
      <c r="E29" s="35">
        <f>IF(C29="","",IFERROR(INDEX(Pantry!$C$6:$C$305,MATCH(C29,Pantry!$B$6:$B$305,0))&amp;"","Add to Pantry"))</f>
        <v/>
      </c>
      <c r="F29" s="25">
        <f>IF(OR(C29="",E29="Add to Pantry"),"",ROUND(N(D29)*INDEX(Pantry!$N$6:$N$305,MATCH(C29,Pantry!$B$6:$B$305,0)),2))</f>
        <v/>
      </c>
      <c r="G29" s="35">
        <f>IF(OR(B29="",C29=""),"",IFERROR(ROUND(N(D29)*N(INDEX(Recipes!$H$6:$H$105,MATCH(B29,Recipes!$B$6:$B$105,0)))/IF(N(INDEX(Recipes!$D$6:$D$105,MATCH(B29,Recipes!$B$6:$B$105,0)))&gt;0,INDEX(Recipes!$D$6:$D$105,MATCH(B29,Recipes!$B$6:$B$105,0)),1),2),0))</f>
        <v/>
      </c>
      <c r="H29" s="1" t="n"/>
    </row>
    <row r="30">
      <c r="A30" s="1" t="n"/>
      <c r="B30" s="33" t="inlineStr">
        <is>
          <t>Spaghetti bolognese</t>
        </is>
      </c>
      <c r="C30" s="33" t="inlineStr">
        <is>
          <t>Ground beef</t>
        </is>
      </c>
      <c r="D30" s="31" t="n">
        <v>1</v>
      </c>
      <c r="E30" s="35">
        <f>IF(C30="","",IFERROR(INDEX(Pantry!$C$6:$C$305,MATCH(C30,Pantry!$B$6:$B$305,0))&amp;"","Add to Pantry"))</f>
        <v/>
      </c>
      <c r="F30" s="25">
        <f>IF(OR(C30="",E30="Add to Pantry"),"",ROUND(N(D30)*INDEX(Pantry!$N$6:$N$305,MATCH(C30,Pantry!$B$6:$B$305,0)),2))</f>
        <v/>
      </c>
      <c r="G30" s="35">
        <f>IF(OR(B30="",C30=""),"",IFERROR(ROUND(N(D30)*N(INDEX(Recipes!$H$6:$H$105,MATCH(B30,Recipes!$B$6:$B$105,0)))/IF(N(INDEX(Recipes!$D$6:$D$105,MATCH(B30,Recipes!$B$6:$B$105,0)))&gt;0,INDEX(Recipes!$D$6:$D$105,MATCH(B30,Recipes!$B$6:$B$105,0)),1),2),0))</f>
        <v/>
      </c>
      <c r="H30" s="1" t="n"/>
    </row>
    <row r="31">
      <c r="A31" s="1" t="n"/>
      <c r="B31" s="33" t="inlineStr">
        <is>
          <t>Spaghetti bolognese</t>
        </is>
      </c>
      <c r="C31" s="33" t="inlineStr">
        <is>
          <t>Spaghetti</t>
        </is>
      </c>
      <c r="D31" s="31" t="n">
        <v>16</v>
      </c>
      <c r="E31" s="35">
        <f>IF(C31="","",IFERROR(INDEX(Pantry!$C$6:$C$305,MATCH(C31,Pantry!$B$6:$B$305,0))&amp;"","Add to Pantry"))</f>
        <v/>
      </c>
      <c r="F31" s="25">
        <f>IF(OR(C31="",E31="Add to Pantry"),"",ROUND(N(D31)*INDEX(Pantry!$N$6:$N$305,MATCH(C31,Pantry!$B$6:$B$305,0)),2))</f>
        <v/>
      </c>
      <c r="G31" s="35">
        <f>IF(OR(B31="",C31=""),"",IFERROR(ROUND(N(D31)*N(INDEX(Recipes!$H$6:$H$105,MATCH(B31,Recipes!$B$6:$B$105,0)))/IF(N(INDEX(Recipes!$D$6:$D$105,MATCH(B31,Recipes!$B$6:$B$105,0)))&gt;0,INDEX(Recipes!$D$6:$D$105,MATCH(B31,Recipes!$B$6:$B$105,0)),1),2),0))</f>
        <v/>
      </c>
      <c r="H31" s="1" t="n"/>
    </row>
    <row r="32">
      <c r="A32" s="1" t="n"/>
      <c r="B32" s="33" t="inlineStr">
        <is>
          <t>Spaghetti bolognese</t>
        </is>
      </c>
      <c r="C32" s="33" t="inlineStr">
        <is>
          <t>Canned tomatoes</t>
        </is>
      </c>
      <c r="D32" s="31" t="n">
        <v>2</v>
      </c>
      <c r="E32" s="35">
        <f>IF(C32="","",IFERROR(INDEX(Pantry!$C$6:$C$305,MATCH(C32,Pantry!$B$6:$B$305,0))&amp;"","Add to Pantry"))</f>
        <v/>
      </c>
      <c r="F32" s="25">
        <f>IF(OR(C32="",E32="Add to Pantry"),"",ROUND(N(D32)*INDEX(Pantry!$N$6:$N$305,MATCH(C32,Pantry!$B$6:$B$305,0)),2))</f>
        <v/>
      </c>
      <c r="G32" s="35">
        <f>IF(OR(B32="",C32=""),"",IFERROR(ROUND(N(D32)*N(INDEX(Recipes!$H$6:$H$105,MATCH(B32,Recipes!$B$6:$B$105,0)))/IF(N(INDEX(Recipes!$D$6:$D$105,MATCH(B32,Recipes!$B$6:$B$105,0)))&gt;0,INDEX(Recipes!$D$6:$D$105,MATCH(B32,Recipes!$B$6:$B$105,0)),1),2),0))</f>
        <v/>
      </c>
      <c r="H32" s="1" t="n"/>
    </row>
    <row r="33">
      <c r="A33" s="1" t="n"/>
      <c r="B33" s="33" t="inlineStr">
        <is>
          <t>Spaghetti bolognese</t>
        </is>
      </c>
      <c r="C33" s="33" t="inlineStr">
        <is>
          <t>Onion</t>
        </is>
      </c>
      <c r="D33" s="31" t="n">
        <v>1</v>
      </c>
      <c r="E33" s="35">
        <f>IF(C33="","",IFERROR(INDEX(Pantry!$C$6:$C$305,MATCH(C33,Pantry!$B$6:$B$305,0))&amp;"","Add to Pantry"))</f>
        <v/>
      </c>
      <c r="F33" s="25">
        <f>IF(OR(C33="",E33="Add to Pantry"),"",ROUND(N(D33)*INDEX(Pantry!$N$6:$N$305,MATCH(C33,Pantry!$B$6:$B$305,0)),2))</f>
        <v/>
      </c>
      <c r="G33" s="35">
        <f>IF(OR(B33="",C33=""),"",IFERROR(ROUND(N(D33)*N(INDEX(Recipes!$H$6:$H$105,MATCH(B33,Recipes!$B$6:$B$105,0)))/IF(N(INDEX(Recipes!$D$6:$D$105,MATCH(B33,Recipes!$B$6:$B$105,0)))&gt;0,INDEX(Recipes!$D$6:$D$105,MATCH(B33,Recipes!$B$6:$B$105,0)),1),2),0))</f>
        <v/>
      </c>
      <c r="H33" s="1" t="n"/>
    </row>
    <row r="34">
      <c r="A34" s="1" t="n"/>
      <c r="B34" s="33" t="inlineStr">
        <is>
          <t>Spaghetti bolognese</t>
        </is>
      </c>
      <c r="C34" s="33" t="inlineStr">
        <is>
          <t>Garlic</t>
        </is>
      </c>
      <c r="D34" s="31" t="n">
        <v>2</v>
      </c>
      <c r="E34" s="35">
        <f>IF(C34="","",IFERROR(INDEX(Pantry!$C$6:$C$305,MATCH(C34,Pantry!$B$6:$B$305,0))&amp;"","Add to Pantry"))</f>
        <v/>
      </c>
      <c r="F34" s="25">
        <f>IF(OR(C34="",E34="Add to Pantry"),"",ROUND(N(D34)*INDEX(Pantry!$N$6:$N$305,MATCH(C34,Pantry!$B$6:$B$305,0)),2))</f>
        <v/>
      </c>
      <c r="G34" s="35">
        <f>IF(OR(B34="",C34=""),"",IFERROR(ROUND(N(D34)*N(INDEX(Recipes!$H$6:$H$105,MATCH(B34,Recipes!$B$6:$B$105,0)))/IF(N(INDEX(Recipes!$D$6:$D$105,MATCH(B34,Recipes!$B$6:$B$105,0)))&gt;0,INDEX(Recipes!$D$6:$D$105,MATCH(B34,Recipes!$B$6:$B$105,0)),1),2),0))</f>
        <v/>
      </c>
      <c r="H34" s="1" t="n"/>
    </row>
    <row r="35">
      <c r="A35" s="1" t="n"/>
      <c r="B35" s="33" t="inlineStr">
        <is>
          <t>Spaghetti bolognese</t>
        </is>
      </c>
      <c r="C35" s="33" t="inlineStr">
        <is>
          <t>Carrot</t>
        </is>
      </c>
      <c r="D35" s="31" t="n">
        <v>1</v>
      </c>
      <c r="E35" s="35">
        <f>IF(C35="","",IFERROR(INDEX(Pantry!$C$6:$C$305,MATCH(C35,Pantry!$B$6:$B$305,0))&amp;"","Add to Pantry"))</f>
        <v/>
      </c>
      <c r="F35" s="25">
        <f>IF(OR(C35="",E35="Add to Pantry"),"",ROUND(N(D35)*INDEX(Pantry!$N$6:$N$305,MATCH(C35,Pantry!$B$6:$B$305,0)),2))</f>
        <v/>
      </c>
      <c r="G35" s="35">
        <f>IF(OR(B35="",C35=""),"",IFERROR(ROUND(N(D35)*N(INDEX(Recipes!$H$6:$H$105,MATCH(B35,Recipes!$B$6:$B$105,0)))/IF(N(INDEX(Recipes!$D$6:$D$105,MATCH(B35,Recipes!$B$6:$B$105,0)))&gt;0,INDEX(Recipes!$D$6:$D$105,MATCH(B35,Recipes!$B$6:$B$105,0)),1),2),0))</f>
        <v/>
      </c>
      <c r="H35" s="1" t="n"/>
    </row>
    <row r="36">
      <c r="A36" s="1" t="n"/>
      <c r="B36" s="33" t="inlineStr">
        <is>
          <t>Spaghetti bolognese</t>
        </is>
      </c>
      <c r="C36" s="33" t="inlineStr">
        <is>
          <t>Parmesan</t>
        </is>
      </c>
      <c r="D36" s="31" t="n">
        <v>1.5</v>
      </c>
      <c r="E36" s="35">
        <f>IF(C36="","",IFERROR(INDEX(Pantry!$C$6:$C$305,MATCH(C36,Pantry!$B$6:$B$305,0))&amp;"","Add to Pantry"))</f>
        <v/>
      </c>
      <c r="F36" s="25">
        <f>IF(OR(C36="",E36="Add to Pantry"),"",ROUND(N(D36)*INDEX(Pantry!$N$6:$N$305,MATCH(C36,Pantry!$B$6:$B$305,0)),2))</f>
        <v/>
      </c>
      <c r="G36" s="35">
        <f>IF(OR(B36="",C36=""),"",IFERROR(ROUND(N(D36)*N(INDEX(Recipes!$H$6:$H$105,MATCH(B36,Recipes!$B$6:$B$105,0)))/IF(N(INDEX(Recipes!$D$6:$D$105,MATCH(B36,Recipes!$B$6:$B$105,0)))&gt;0,INDEX(Recipes!$D$6:$D$105,MATCH(B36,Recipes!$B$6:$B$105,0)),1),2),0))</f>
        <v/>
      </c>
      <c r="H36" s="1" t="n"/>
    </row>
    <row r="37">
      <c r="A37" s="1" t="n"/>
      <c r="B37" s="33" t="inlineStr">
        <is>
          <t>Spaghetti bolognese</t>
        </is>
      </c>
      <c r="C37" s="33" t="inlineStr">
        <is>
          <t>Olive oil</t>
        </is>
      </c>
      <c r="D37" s="31" t="n">
        <v>1</v>
      </c>
      <c r="E37" s="35">
        <f>IF(C37="","",IFERROR(INDEX(Pantry!$C$6:$C$305,MATCH(C37,Pantry!$B$6:$B$305,0))&amp;"","Add to Pantry"))</f>
        <v/>
      </c>
      <c r="F37" s="25">
        <f>IF(OR(C37="",E37="Add to Pantry"),"",ROUND(N(D37)*INDEX(Pantry!$N$6:$N$305,MATCH(C37,Pantry!$B$6:$B$305,0)),2))</f>
        <v/>
      </c>
      <c r="G37" s="35">
        <f>IF(OR(B37="",C37=""),"",IFERROR(ROUND(N(D37)*N(INDEX(Recipes!$H$6:$H$105,MATCH(B37,Recipes!$B$6:$B$105,0)))/IF(N(INDEX(Recipes!$D$6:$D$105,MATCH(B37,Recipes!$B$6:$B$105,0)))&gt;0,INDEX(Recipes!$D$6:$D$105,MATCH(B37,Recipes!$B$6:$B$105,0)),1),2),0))</f>
        <v/>
      </c>
      <c r="H37" s="1" t="n"/>
    </row>
    <row r="38">
      <c r="A38" s="1" t="n"/>
      <c r="B38" s="33" t="inlineStr">
        <is>
          <t>Sheet pan salmon and potatoes</t>
        </is>
      </c>
      <c r="C38" s="33" t="inlineStr">
        <is>
          <t>Salmon fillet</t>
        </is>
      </c>
      <c r="D38" s="31" t="n">
        <v>2</v>
      </c>
      <c r="E38" s="35">
        <f>IF(C38="","",IFERROR(INDEX(Pantry!$C$6:$C$305,MATCH(C38,Pantry!$B$6:$B$305,0))&amp;"","Add to Pantry"))</f>
        <v/>
      </c>
      <c r="F38" s="25">
        <f>IF(OR(C38="",E38="Add to Pantry"),"",ROUND(N(D38)*INDEX(Pantry!$N$6:$N$305,MATCH(C38,Pantry!$B$6:$B$305,0)),2))</f>
        <v/>
      </c>
      <c r="G38" s="35">
        <f>IF(OR(B38="",C38=""),"",IFERROR(ROUND(N(D38)*N(INDEX(Recipes!$H$6:$H$105,MATCH(B38,Recipes!$B$6:$B$105,0)))/IF(N(INDEX(Recipes!$D$6:$D$105,MATCH(B38,Recipes!$B$6:$B$105,0)))&gt;0,INDEX(Recipes!$D$6:$D$105,MATCH(B38,Recipes!$B$6:$B$105,0)),1),2),0))</f>
        <v/>
      </c>
      <c r="H38" s="1" t="n"/>
    </row>
    <row r="39">
      <c r="A39" s="1" t="n"/>
      <c r="B39" s="33" t="inlineStr">
        <is>
          <t>Sheet pan salmon and potatoes</t>
        </is>
      </c>
      <c r="C39" s="33" t="inlineStr">
        <is>
          <t>Baby potatoes</t>
        </is>
      </c>
      <c r="D39" s="31" t="n">
        <v>1</v>
      </c>
      <c r="E39" s="35">
        <f>IF(C39="","",IFERROR(INDEX(Pantry!$C$6:$C$305,MATCH(C39,Pantry!$B$6:$B$305,0))&amp;"","Add to Pantry"))</f>
        <v/>
      </c>
      <c r="F39" s="25">
        <f>IF(OR(C39="",E39="Add to Pantry"),"",ROUND(N(D39)*INDEX(Pantry!$N$6:$N$305,MATCH(C39,Pantry!$B$6:$B$305,0)),2))</f>
        <v/>
      </c>
      <c r="G39" s="35">
        <f>IF(OR(B39="",C39=""),"",IFERROR(ROUND(N(D39)*N(INDEX(Recipes!$H$6:$H$105,MATCH(B39,Recipes!$B$6:$B$105,0)))/IF(N(INDEX(Recipes!$D$6:$D$105,MATCH(B39,Recipes!$B$6:$B$105,0)))&gt;0,INDEX(Recipes!$D$6:$D$105,MATCH(B39,Recipes!$B$6:$B$105,0)),1),2),0))</f>
        <v/>
      </c>
      <c r="H39" s="1" t="n"/>
    </row>
    <row r="40">
      <c r="A40" s="1" t="n"/>
      <c r="B40" s="33" t="inlineStr">
        <is>
          <t>Sheet pan salmon and potatoes</t>
        </is>
      </c>
      <c r="C40" s="33" t="inlineStr">
        <is>
          <t>Green beans</t>
        </is>
      </c>
      <c r="D40" s="31" t="n">
        <v>0.5</v>
      </c>
      <c r="E40" s="35">
        <f>IF(C40="","",IFERROR(INDEX(Pantry!$C$6:$C$305,MATCH(C40,Pantry!$B$6:$B$305,0))&amp;"","Add to Pantry"))</f>
        <v/>
      </c>
      <c r="F40" s="25">
        <f>IF(OR(C40="",E40="Add to Pantry"),"",ROUND(N(D40)*INDEX(Pantry!$N$6:$N$305,MATCH(C40,Pantry!$B$6:$B$305,0)),2))</f>
        <v/>
      </c>
      <c r="G40" s="35">
        <f>IF(OR(B40="",C40=""),"",IFERROR(ROUND(N(D40)*N(INDEX(Recipes!$H$6:$H$105,MATCH(B40,Recipes!$B$6:$B$105,0)))/IF(N(INDEX(Recipes!$D$6:$D$105,MATCH(B40,Recipes!$B$6:$B$105,0)))&gt;0,INDEX(Recipes!$D$6:$D$105,MATCH(B40,Recipes!$B$6:$B$105,0)),1),2),0))</f>
        <v/>
      </c>
      <c r="H40" s="1" t="n"/>
    </row>
    <row r="41">
      <c r="A41" s="1" t="n"/>
      <c r="B41" s="33" t="inlineStr">
        <is>
          <t>Sheet pan salmon and potatoes</t>
        </is>
      </c>
      <c r="C41" s="33" t="inlineStr">
        <is>
          <t>Lemon</t>
        </is>
      </c>
      <c r="D41" s="31" t="n">
        <v>1</v>
      </c>
      <c r="E41" s="35">
        <f>IF(C41="","",IFERROR(INDEX(Pantry!$C$6:$C$305,MATCH(C41,Pantry!$B$6:$B$305,0))&amp;"","Add to Pantry"))</f>
        <v/>
      </c>
      <c r="F41" s="25">
        <f>IF(OR(C41="",E41="Add to Pantry"),"",ROUND(N(D41)*INDEX(Pantry!$N$6:$N$305,MATCH(C41,Pantry!$B$6:$B$305,0)),2))</f>
        <v/>
      </c>
      <c r="G41" s="35">
        <f>IF(OR(B41="",C41=""),"",IFERROR(ROUND(N(D41)*N(INDEX(Recipes!$H$6:$H$105,MATCH(B41,Recipes!$B$6:$B$105,0)))/IF(N(INDEX(Recipes!$D$6:$D$105,MATCH(B41,Recipes!$B$6:$B$105,0)))&gt;0,INDEX(Recipes!$D$6:$D$105,MATCH(B41,Recipes!$B$6:$B$105,0)),1),2),0))</f>
        <v/>
      </c>
      <c r="H41" s="1" t="n"/>
    </row>
    <row r="42">
      <c r="A42" s="1" t="n"/>
      <c r="B42" s="33" t="inlineStr">
        <is>
          <t>Sheet pan salmon and potatoes</t>
        </is>
      </c>
      <c r="C42" s="33" t="inlineStr">
        <is>
          <t>Olive oil</t>
        </is>
      </c>
      <c r="D42" s="31" t="n">
        <v>2</v>
      </c>
      <c r="E42" s="35">
        <f>IF(C42="","",IFERROR(INDEX(Pantry!$C$6:$C$305,MATCH(C42,Pantry!$B$6:$B$305,0))&amp;"","Add to Pantry"))</f>
        <v/>
      </c>
      <c r="F42" s="25">
        <f>IF(OR(C42="",E42="Add to Pantry"),"",ROUND(N(D42)*INDEX(Pantry!$N$6:$N$305,MATCH(C42,Pantry!$B$6:$B$305,0)),2))</f>
        <v/>
      </c>
      <c r="G42" s="35">
        <f>IF(OR(B42="",C42=""),"",IFERROR(ROUND(N(D42)*N(INDEX(Recipes!$H$6:$H$105,MATCH(B42,Recipes!$B$6:$B$105,0)))/IF(N(INDEX(Recipes!$D$6:$D$105,MATCH(B42,Recipes!$B$6:$B$105,0)))&gt;0,INDEX(Recipes!$D$6:$D$105,MATCH(B42,Recipes!$B$6:$B$105,0)),1),2),0))</f>
        <v/>
      </c>
      <c r="H42" s="1" t="n"/>
    </row>
    <row r="43">
      <c r="A43" s="1" t="n"/>
      <c r="B43" s="33" t="inlineStr">
        <is>
          <t>Black bean tacos</t>
        </is>
      </c>
      <c r="C43" s="33" t="inlineStr">
        <is>
          <t>Black beans</t>
        </is>
      </c>
      <c r="D43" s="31" t="n">
        <v>2</v>
      </c>
      <c r="E43" s="35">
        <f>IF(C43="","",IFERROR(INDEX(Pantry!$C$6:$C$305,MATCH(C43,Pantry!$B$6:$B$305,0))&amp;"","Add to Pantry"))</f>
        <v/>
      </c>
      <c r="F43" s="25">
        <f>IF(OR(C43="",E43="Add to Pantry"),"",ROUND(N(D43)*INDEX(Pantry!$N$6:$N$305,MATCH(C43,Pantry!$B$6:$B$305,0)),2))</f>
        <v/>
      </c>
      <c r="G43" s="35">
        <f>IF(OR(B43="",C43=""),"",IFERROR(ROUND(N(D43)*N(INDEX(Recipes!$H$6:$H$105,MATCH(B43,Recipes!$B$6:$B$105,0)))/IF(N(INDEX(Recipes!$D$6:$D$105,MATCH(B43,Recipes!$B$6:$B$105,0)))&gt;0,INDEX(Recipes!$D$6:$D$105,MATCH(B43,Recipes!$B$6:$B$105,0)),1),2),0))</f>
        <v/>
      </c>
      <c r="H43" s="1" t="n"/>
    </row>
    <row r="44">
      <c r="A44" s="1" t="n"/>
      <c r="B44" s="33" t="inlineStr">
        <is>
          <t>Black bean tacos</t>
        </is>
      </c>
      <c r="C44" s="33" t="inlineStr">
        <is>
          <t>Tortillas</t>
        </is>
      </c>
      <c r="D44" s="31" t="n">
        <v>8</v>
      </c>
      <c r="E44" s="35">
        <f>IF(C44="","",IFERROR(INDEX(Pantry!$C$6:$C$305,MATCH(C44,Pantry!$B$6:$B$305,0))&amp;"","Add to Pantry"))</f>
        <v/>
      </c>
      <c r="F44" s="25">
        <f>IF(OR(C44="",E44="Add to Pantry"),"",ROUND(N(D44)*INDEX(Pantry!$N$6:$N$305,MATCH(C44,Pantry!$B$6:$B$305,0)),2))</f>
        <v/>
      </c>
      <c r="G44" s="35">
        <f>IF(OR(B44="",C44=""),"",IFERROR(ROUND(N(D44)*N(INDEX(Recipes!$H$6:$H$105,MATCH(B44,Recipes!$B$6:$B$105,0)))/IF(N(INDEX(Recipes!$D$6:$D$105,MATCH(B44,Recipes!$B$6:$B$105,0)))&gt;0,INDEX(Recipes!$D$6:$D$105,MATCH(B44,Recipes!$B$6:$B$105,0)),1),2),0))</f>
        <v/>
      </c>
      <c r="H44" s="1" t="n"/>
    </row>
    <row r="45">
      <c r="A45" s="1" t="n"/>
      <c r="B45" s="33" t="inlineStr">
        <is>
          <t>Black bean tacos</t>
        </is>
      </c>
      <c r="C45" s="33" t="inlineStr">
        <is>
          <t>Avocado</t>
        </is>
      </c>
      <c r="D45" s="31" t="n">
        <v>2</v>
      </c>
      <c r="E45" s="35">
        <f>IF(C45="","",IFERROR(INDEX(Pantry!$C$6:$C$305,MATCH(C45,Pantry!$B$6:$B$305,0))&amp;"","Add to Pantry"))</f>
        <v/>
      </c>
      <c r="F45" s="25">
        <f>IF(OR(C45="",E45="Add to Pantry"),"",ROUND(N(D45)*INDEX(Pantry!$N$6:$N$305,MATCH(C45,Pantry!$B$6:$B$305,0)),2))</f>
        <v/>
      </c>
      <c r="G45" s="35">
        <f>IF(OR(B45="",C45=""),"",IFERROR(ROUND(N(D45)*N(INDEX(Recipes!$H$6:$H$105,MATCH(B45,Recipes!$B$6:$B$105,0)))/IF(N(INDEX(Recipes!$D$6:$D$105,MATCH(B45,Recipes!$B$6:$B$105,0)))&gt;0,INDEX(Recipes!$D$6:$D$105,MATCH(B45,Recipes!$B$6:$B$105,0)),1),2),0))</f>
        <v/>
      </c>
      <c r="H45" s="1" t="n"/>
    </row>
    <row r="46">
      <c r="A46" s="1" t="n"/>
      <c r="B46" s="33" t="inlineStr">
        <is>
          <t>Black bean tacos</t>
        </is>
      </c>
      <c r="C46" s="33" t="inlineStr">
        <is>
          <t>Tomato</t>
        </is>
      </c>
      <c r="D46" s="31" t="n">
        <v>2</v>
      </c>
      <c r="E46" s="35">
        <f>IF(C46="","",IFERROR(INDEX(Pantry!$C$6:$C$305,MATCH(C46,Pantry!$B$6:$B$305,0))&amp;"","Add to Pantry"))</f>
        <v/>
      </c>
      <c r="F46" s="25">
        <f>IF(OR(C46="",E46="Add to Pantry"),"",ROUND(N(D46)*INDEX(Pantry!$N$6:$N$305,MATCH(C46,Pantry!$B$6:$B$305,0)),2))</f>
        <v/>
      </c>
      <c r="G46" s="35">
        <f>IF(OR(B46="",C46=""),"",IFERROR(ROUND(N(D46)*N(INDEX(Recipes!$H$6:$H$105,MATCH(B46,Recipes!$B$6:$B$105,0)))/IF(N(INDEX(Recipes!$D$6:$D$105,MATCH(B46,Recipes!$B$6:$B$105,0)))&gt;0,INDEX(Recipes!$D$6:$D$105,MATCH(B46,Recipes!$B$6:$B$105,0)),1),2),0))</f>
        <v/>
      </c>
      <c r="H46" s="1" t="n"/>
    </row>
    <row r="47">
      <c r="A47" s="1" t="n"/>
      <c r="B47" s="33" t="inlineStr">
        <is>
          <t>Black bean tacos</t>
        </is>
      </c>
      <c r="C47" s="33" t="inlineStr">
        <is>
          <t>Cheddar</t>
        </is>
      </c>
      <c r="D47" s="31" t="n">
        <v>3</v>
      </c>
      <c r="E47" s="35">
        <f>IF(C47="","",IFERROR(INDEX(Pantry!$C$6:$C$305,MATCH(C47,Pantry!$B$6:$B$305,0))&amp;"","Add to Pantry"))</f>
        <v/>
      </c>
      <c r="F47" s="25">
        <f>IF(OR(C47="",E47="Add to Pantry"),"",ROUND(N(D47)*INDEX(Pantry!$N$6:$N$305,MATCH(C47,Pantry!$B$6:$B$305,0)),2))</f>
        <v/>
      </c>
      <c r="G47" s="35">
        <f>IF(OR(B47="",C47=""),"",IFERROR(ROUND(N(D47)*N(INDEX(Recipes!$H$6:$H$105,MATCH(B47,Recipes!$B$6:$B$105,0)))/IF(N(INDEX(Recipes!$D$6:$D$105,MATCH(B47,Recipes!$B$6:$B$105,0)))&gt;0,INDEX(Recipes!$D$6:$D$105,MATCH(B47,Recipes!$B$6:$B$105,0)),1),2),0))</f>
        <v/>
      </c>
      <c r="H47" s="1" t="n"/>
    </row>
    <row r="48">
      <c r="A48" s="1" t="n"/>
      <c r="B48" s="33" t="inlineStr">
        <is>
          <t>Black bean tacos</t>
        </is>
      </c>
      <c r="C48" s="33" t="inlineStr">
        <is>
          <t>Lime</t>
        </is>
      </c>
      <c r="D48" s="31" t="n">
        <v>1</v>
      </c>
      <c r="E48" s="35">
        <f>IF(C48="","",IFERROR(INDEX(Pantry!$C$6:$C$305,MATCH(C48,Pantry!$B$6:$B$305,0))&amp;"","Add to Pantry"))</f>
        <v/>
      </c>
      <c r="F48" s="25">
        <f>IF(OR(C48="",E48="Add to Pantry"),"",ROUND(N(D48)*INDEX(Pantry!$N$6:$N$305,MATCH(C48,Pantry!$B$6:$B$305,0)),2))</f>
        <v/>
      </c>
      <c r="G48" s="35">
        <f>IF(OR(B48="",C48=""),"",IFERROR(ROUND(N(D48)*N(INDEX(Recipes!$H$6:$H$105,MATCH(B48,Recipes!$B$6:$B$105,0)))/IF(N(INDEX(Recipes!$D$6:$D$105,MATCH(B48,Recipes!$B$6:$B$105,0)))&gt;0,INDEX(Recipes!$D$6:$D$105,MATCH(B48,Recipes!$B$6:$B$105,0)),1),2),0))</f>
        <v/>
      </c>
      <c r="H48" s="1" t="n"/>
    </row>
    <row r="49">
      <c r="A49" s="1" t="n"/>
      <c r="B49" s="33" t="inlineStr">
        <is>
          <t>Black bean tacos</t>
        </is>
      </c>
      <c r="C49" s="33" t="inlineStr">
        <is>
          <t>Ground cumin</t>
        </is>
      </c>
      <c r="D49" s="31" t="n">
        <v>1</v>
      </c>
      <c r="E49" s="35">
        <f>IF(C49="","",IFERROR(INDEX(Pantry!$C$6:$C$305,MATCH(C49,Pantry!$B$6:$B$305,0))&amp;"","Add to Pantry"))</f>
        <v/>
      </c>
      <c r="F49" s="25">
        <f>IF(OR(C49="",E49="Add to Pantry"),"",ROUND(N(D49)*INDEX(Pantry!$N$6:$N$305,MATCH(C49,Pantry!$B$6:$B$305,0)),2))</f>
        <v/>
      </c>
      <c r="G49" s="35">
        <f>IF(OR(B49="",C49=""),"",IFERROR(ROUND(N(D49)*N(INDEX(Recipes!$H$6:$H$105,MATCH(B49,Recipes!$B$6:$B$105,0)))/IF(N(INDEX(Recipes!$D$6:$D$105,MATCH(B49,Recipes!$B$6:$B$105,0)))&gt;0,INDEX(Recipes!$D$6:$D$105,MATCH(B49,Recipes!$B$6:$B$105,0)),1),2),0))</f>
        <v/>
      </c>
      <c r="H49" s="1" t="n"/>
    </row>
    <row r="50">
      <c r="A50" s="1" t="n"/>
      <c r="B50" s="33" t="inlineStr">
        <is>
          <t>Homemade pizza</t>
        </is>
      </c>
      <c r="C50" s="33" t="inlineStr">
        <is>
          <t>Pizza dough</t>
        </is>
      </c>
      <c r="D50" s="31" t="n">
        <v>2</v>
      </c>
      <c r="E50" s="35">
        <f>IF(C50="","",IFERROR(INDEX(Pantry!$C$6:$C$305,MATCH(C50,Pantry!$B$6:$B$305,0))&amp;"","Add to Pantry"))</f>
        <v/>
      </c>
      <c r="F50" s="25">
        <f>IF(OR(C50="",E50="Add to Pantry"),"",ROUND(N(D50)*INDEX(Pantry!$N$6:$N$305,MATCH(C50,Pantry!$B$6:$B$305,0)),2))</f>
        <v/>
      </c>
      <c r="G50" s="35">
        <f>IF(OR(B50="",C50=""),"",IFERROR(ROUND(N(D50)*N(INDEX(Recipes!$H$6:$H$105,MATCH(B50,Recipes!$B$6:$B$105,0)))/IF(N(INDEX(Recipes!$D$6:$D$105,MATCH(B50,Recipes!$B$6:$B$105,0)))&gt;0,INDEX(Recipes!$D$6:$D$105,MATCH(B50,Recipes!$B$6:$B$105,0)),1),2),0))</f>
        <v/>
      </c>
      <c r="H50" s="1" t="n"/>
    </row>
    <row r="51">
      <c r="A51" s="1" t="n"/>
      <c r="B51" s="33" t="inlineStr">
        <is>
          <t>Homemade pizza</t>
        </is>
      </c>
      <c r="C51" s="33" t="inlineStr">
        <is>
          <t>Pizza sauce</t>
        </is>
      </c>
      <c r="D51" s="31" t="n">
        <v>1</v>
      </c>
      <c r="E51" s="35">
        <f>IF(C51="","",IFERROR(INDEX(Pantry!$C$6:$C$305,MATCH(C51,Pantry!$B$6:$B$305,0))&amp;"","Add to Pantry"))</f>
        <v/>
      </c>
      <c r="F51" s="25">
        <f>IF(OR(C51="",E51="Add to Pantry"),"",ROUND(N(D51)*INDEX(Pantry!$N$6:$N$305,MATCH(C51,Pantry!$B$6:$B$305,0)),2))</f>
        <v/>
      </c>
      <c r="G51" s="35">
        <f>IF(OR(B51="",C51=""),"",IFERROR(ROUND(N(D51)*N(INDEX(Recipes!$H$6:$H$105,MATCH(B51,Recipes!$B$6:$B$105,0)))/IF(N(INDEX(Recipes!$D$6:$D$105,MATCH(B51,Recipes!$B$6:$B$105,0)))&gt;0,INDEX(Recipes!$D$6:$D$105,MATCH(B51,Recipes!$B$6:$B$105,0)),1),2),0))</f>
        <v/>
      </c>
      <c r="H51" s="1" t="n"/>
    </row>
    <row r="52">
      <c r="A52" s="1" t="n"/>
      <c r="B52" s="33" t="inlineStr">
        <is>
          <t>Homemade pizza</t>
        </is>
      </c>
      <c r="C52" s="33" t="inlineStr">
        <is>
          <t>Mozzarella</t>
        </is>
      </c>
      <c r="D52" s="31" t="n">
        <v>8</v>
      </c>
      <c r="E52" s="35">
        <f>IF(C52="","",IFERROR(INDEX(Pantry!$C$6:$C$305,MATCH(C52,Pantry!$B$6:$B$305,0))&amp;"","Add to Pantry"))</f>
        <v/>
      </c>
      <c r="F52" s="25">
        <f>IF(OR(C52="",E52="Add to Pantry"),"",ROUND(N(D52)*INDEX(Pantry!$N$6:$N$305,MATCH(C52,Pantry!$B$6:$B$305,0)),2))</f>
        <v/>
      </c>
      <c r="G52" s="35">
        <f>IF(OR(B52="",C52=""),"",IFERROR(ROUND(N(D52)*N(INDEX(Recipes!$H$6:$H$105,MATCH(B52,Recipes!$B$6:$B$105,0)))/IF(N(INDEX(Recipes!$D$6:$D$105,MATCH(B52,Recipes!$B$6:$B$105,0)))&gt;0,INDEX(Recipes!$D$6:$D$105,MATCH(B52,Recipes!$B$6:$B$105,0)),1),2),0))</f>
        <v/>
      </c>
      <c r="H52" s="1" t="n"/>
    </row>
    <row r="53">
      <c r="A53" s="1" t="n"/>
      <c r="B53" s="33" t="inlineStr">
        <is>
          <t>Homemade pizza</t>
        </is>
      </c>
      <c r="C53" s="33" t="inlineStr">
        <is>
          <t>Pepperoni</t>
        </is>
      </c>
      <c r="D53" s="31" t="n">
        <v>3</v>
      </c>
      <c r="E53" s="35">
        <f>IF(C53="","",IFERROR(INDEX(Pantry!$C$6:$C$305,MATCH(C53,Pantry!$B$6:$B$305,0))&amp;"","Add to Pantry"))</f>
        <v/>
      </c>
      <c r="F53" s="25">
        <f>IF(OR(C53="",E53="Add to Pantry"),"",ROUND(N(D53)*INDEX(Pantry!$N$6:$N$305,MATCH(C53,Pantry!$B$6:$B$305,0)),2))</f>
        <v/>
      </c>
      <c r="G53" s="35">
        <f>IF(OR(B53="",C53=""),"",IFERROR(ROUND(N(D53)*N(INDEX(Recipes!$H$6:$H$105,MATCH(B53,Recipes!$B$6:$B$105,0)))/IF(N(INDEX(Recipes!$D$6:$D$105,MATCH(B53,Recipes!$B$6:$B$105,0)))&gt;0,INDEX(Recipes!$D$6:$D$105,MATCH(B53,Recipes!$B$6:$B$105,0)),1),2),0))</f>
        <v/>
      </c>
      <c r="H53" s="1" t="n"/>
    </row>
    <row r="54">
      <c r="A54" s="1" t="n"/>
      <c r="B54" s="33" t="inlineStr">
        <is>
          <t>Homemade pizza</t>
        </is>
      </c>
      <c r="C54" s="33" t="inlineStr">
        <is>
          <t>Bell pepper</t>
        </is>
      </c>
      <c r="D54" s="31" t="n">
        <v>1</v>
      </c>
      <c r="E54" s="35">
        <f>IF(C54="","",IFERROR(INDEX(Pantry!$C$6:$C$305,MATCH(C54,Pantry!$B$6:$B$305,0))&amp;"","Add to Pantry"))</f>
        <v/>
      </c>
      <c r="F54" s="25">
        <f>IF(OR(C54="",E54="Add to Pantry"),"",ROUND(N(D54)*INDEX(Pantry!$N$6:$N$305,MATCH(C54,Pantry!$B$6:$B$305,0)),2))</f>
        <v/>
      </c>
      <c r="G54" s="35">
        <f>IF(OR(B54="",C54=""),"",IFERROR(ROUND(N(D54)*N(INDEX(Recipes!$H$6:$H$105,MATCH(B54,Recipes!$B$6:$B$105,0)))/IF(N(INDEX(Recipes!$D$6:$D$105,MATCH(B54,Recipes!$B$6:$B$105,0)))&gt;0,INDEX(Recipes!$D$6:$D$105,MATCH(B54,Recipes!$B$6:$B$105,0)),1),2),0))</f>
        <v/>
      </c>
      <c r="H54" s="1" t="n"/>
    </row>
    <row r="55">
      <c r="A55" s="1" t="n"/>
      <c r="B55" s="33" t="inlineStr">
        <is>
          <t>Beef chili</t>
        </is>
      </c>
      <c r="C55" s="33" t="inlineStr">
        <is>
          <t>Ground beef</t>
        </is>
      </c>
      <c r="D55" s="31" t="n">
        <v>1</v>
      </c>
      <c r="E55" s="35">
        <f>IF(C55="","",IFERROR(INDEX(Pantry!$C$6:$C$305,MATCH(C55,Pantry!$B$6:$B$305,0))&amp;"","Add to Pantry"))</f>
        <v/>
      </c>
      <c r="F55" s="25">
        <f>IF(OR(C55="",E55="Add to Pantry"),"",ROUND(N(D55)*INDEX(Pantry!$N$6:$N$305,MATCH(C55,Pantry!$B$6:$B$305,0)),2))</f>
        <v/>
      </c>
      <c r="G55" s="35">
        <f>IF(OR(B55="",C55=""),"",IFERROR(ROUND(N(D55)*N(INDEX(Recipes!$H$6:$H$105,MATCH(B55,Recipes!$B$6:$B$105,0)))/IF(N(INDEX(Recipes!$D$6:$D$105,MATCH(B55,Recipes!$B$6:$B$105,0)))&gt;0,INDEX(Recipes!$D$6:$D$105,MATCH(B55,Recipes!$B$6:$B$105,0)),1),2),0))</f>
        <v/>
      </c>
      <c r="H55" s="1" t="n"/>
    </row>
    <row r="56">
      <c r="A56" s="1" t="n"/>
      <c r="B56" s="33" t="inlineStr">
        <is>
          <t>Beef chili</t>
        </is>
      </c>
      <c r="C56" s="33" t="inlineStr">
        <is>
          <t>Black beans</t>
        </is>
      </c>
      <c r="D56" s="31" t="n">
        <v>2</v>
      </c>
      <c r="E56" s="35">
        <f>IF(C56="","",IFERROR(INDEX(Pantry!$C$6:$C$305,MATCH(C56,Pantry!$B$6:$B$305,0))&amp;"","Add to Pantry"))</f>
        <v/>
      </c>
      <c r="F56" s="25">
        <f>IF(OR(C56="",E56="Add to Pantry"),"",ROUND(N(D56)*INDEX(Pantry!$N$6:$N$305,MATCH(C56,Pantry!$B$6:$B$305,0)),2))</f>
        <v/>
      </c>
      <c r="G56" s="35">
        <f>IF(OR(B56="",C56=""),"",IFERROR(ROUND(N(D56)*N(INDEX(Recipes!$H$6:$H$105,MATCH(B56,Recipes!$B$6:$B$105,0)))/IF(N(INDEX(Recipes!$D$6:$D$105,MATCH(B56,Recipes!$B$6:$B$105,0)))&gt;0,INDEX(Recipes!$D$6:$D$105,MATCH(B56,Recipes!$B$6:$B$105,0)),1),2),0))</f>
        <v/>
      </c>
      <c r="H56" s="1" t="n"/>
    </row>
    <row r="57">
      <c r="A57" s="1" t="n"/>
      <c r="B57" s="33" t="inlineStr">
        <is>
          <t>Beef chili</t>
        </is>
      </c>
      <c r="C57" s="33" t="inlineStr">
        <is>
          <t>Canned tomatoes</t>
        </is>
      </c>
      <c r="D57" s="31" t="n">
        <v>2</v>
      </c>
      <c r="E57" s="35">
        <f>IF(C57="","",IFERROR(INDEX(Pantry!$C$6:$C$305,MATCH(C57,Pantry!$B$6:$B$305,0))&amp;"","Add to Pantry"))</f>
        <v/>
      </c>
      <c r="F57" s="25">
        <f>IF(OR(C57="",E57="Add to Pantry"),"",ROUND(N(D57)*INDEX(Pantry!$N$6:$N$305,MATCH(C57,Pantry!$B$6:$B$305,0)),2))</f>
        <v/>
      </c>
      <c r="G57" s="35">
        <f>IF(OR(B57="",C57=""),"",IFERROR(ROUND(N(D57)*N(INDEX(Recipes!$H$6:$H$105,MATCH(B57,Recipes!$B$6:$B$105,0)))/IF(N(INDEX(Recipes!$D$6:$D$105,MATCH(B57,Recipes!$B$6:$B$105,0)))&gt;0,INDEX(Recipes!$D$6:$D$105,MATCH(B57,Recipes!$B$6:$B$105,0)),1),2),0))</f>
        <v/>
      </c>
      <c r="H57" s="1" t="n"/>
    </row>
    <row r="58">
      <c r="A58" s="1" t="n"/>
      <c r="B58" s="33" t="inlineStr">
        <is>
          <t>Beef chili</t>
        </is>
      </c>
      <c r="C58" s="33" t="inlineStr">
        <is>
          <t>Onion</t>
        </is>
      </c>
      <c r="D58" s="31" t="n">
        <v>1</v>
      </c>
      <c r="E58" s="35">
        <f>IF(C58="","",IFERROR(INDEX(Pantry!$C$6:$C$305,MATCH(C58,Pantry!$B$6:$B$305,0))&amp;"","Add to Pantry"))</f>
        <v/>
      </c>
      <c r="F58" s="25">
        <f>IF(OR(C58="",E58="Add to Pantry"),"",ROUND(N(D58)*INDEX(Pantry!$N$6:$N$305,MATCH(C58,Pantry!$B$6:$B$305,0)),2))</f>
        <v/>
      </c>
      <c r="G58" s="35">
        <f>IF(OR(B58="",C58=""),"",IFERROR(ROUND(N(D58)*N(INDEX(Recipes!$H$6:$H$105,MATCH(B58,Recipes!$B$6:$B$105,0)))/IF(N(INDEX(Recipes!$D$6:$D$105,MATCH(B58,Recipes!$B$6:$B$105,0)))&gt;0,INDEX(Recipes!$D$6:$D$105,MATCH(B58,Recipes!$B$6:$B$105,0)),1),2),0))</f>
        <v/>
      </c>
      <c r="H58" s="1" t="n"/>
    </row>
    <row r="59">
      <c r="A59" s="1" t="n"/>
      <c r="B59" s="33" t="inlineStr">
        <is>
          <t>Beef chili</t>
        </is>
      </c>
      <c r="C59" s="33" t="inlineStr">
        <is>
          <t>Garlic</t>
        </is>
      </c>
      <c r="D59" s="31" t="n">
        <v>2</v>
      </c>
      <c r="E59" s="35">
        <f>IF(C59="","",IFERROR(INDEX(Pantry!$C$6:$C$305,MATCH(C59,Pantry!$B$6:$B$305,0))&amp;"","Add to Pantry"))</f>
        <v/>
      </c>
      <c r="F59" s="25">
        <f>IF(OR(C59="",E59="Add to Pantry"),"",ROUND(N(D59)*INDEX(Pantry!$N$6:$N$305,MATCH(C59,Pantry!$B$6:$B$305,0)),2))</f>
        <v/>
      </c>
      <c r="G59" s="35">
        <f>IF(OR(B59="",C59=""),"",IFERROR(ROUND(N(D59)*N(INDEX(Recipes!$H$6:$H$105,MATCH(B59,Recipes!$B$6:$B$105,0)))/IF(N(INDEX(Recipes!$D$6:$D$105,MATCH(B59,Recipes!$B$6:$B$105,0)))&gt;0,INDEX(Recipes!$D$6:$D$105,MATCH(B59,Recipes!$B$6:$B$105,0)),1),2),0))</f>
        <v/>
      </c>
      <c r="H59" s="1" t="n"/>
    </row>
    <row r="60">
      <c r="A60" s="1" t="n"/>
      <c r="B60" s="33" t="inlineStr">
        <is>
          <t>Beef chili</t>
        </is>
      </c>
      <c r="C60" s="33" t="inlineStr">
        <is>
          <t>Ground cumin</t>
        </is>
      </c>
      <c r="D60" s="31" t="n">
        <v>2</v>
      </c>
      <c r="E60" s="35">
        <f>IF(C60="","",IFERROR(INDEX(Pantry!$C$6:$C$305,MATCH(C60,Pantry!$B$6:$B$305,0))&amp;"","Add to Pantry"))</f>
        <v/>
      </c>
      <c r="F60" s="25">
        <f>IF(OR(C60="",E60="Add to Pantry"),"",ROUND(N(D60)*INDEX(Pantry!$N$6:$N$305,MATCH(C60,Pantry!$B$6:$B$305,0)),2))</f>
        <v/>
      </c>
      <c r="G60" s="35">
        <f>IF(OR(B60="",C60=""),"",IFERROR(ROUND(N(D60)*N(INDEX(Recipes!$H$6:$H$105,MATCH(B60,Recipes!$B$6:$B$105,0)))/IF(N(INDEX(Recipes!$D$6:$D$105,MATCH(B60,Recipes!$B$6:$B$105,0)))&gt;0,INDEX(Recipes!$D$6:$D$105,MATCH(B60,Recipes!$B$6:$B$105,0)),1),2),0))</f>
        <v/>
      </c>
      <c r="H60" s="1" t="n"/>
    </row>
    <row r="61">
      <c r="A61" s="1" t="n"/>
      <c r="B61" s="33" t="inlineStr">
        <is>
          <t>Chicken Caesar wraps</t>
        </is>
      </c>
      <c r="C61" s="33" t="inlineStr">
        <is>
          <t>Chicken breast</t>
        </is>
      </c>
      <c r="D61" s="31" t="n">
        <v>0.5</v>
      </c>
      <c r="E61" s="35">
        <f>IF(C61="","",IFERROR(INDEX(Pantry!$C$6:$C$305,MATCH(C61,Pantry!$B$6:$B$305,0))&amp;"","Add to Pantry"))</f>
        <v/>
      </c>
      <c r="F61" s="25">
        <f>IF(OR(C61="",E61="Add to Pantry"),"",ROUND(N(D61)*INDEX(Pantry!$N$6:$N$305,MATCH(C61,Pantry!$B$6:$B$305,0)),2))</f>
        <v/>
      </c>
      <c r="G61" s="35">
        <f>IF(OR(B61="",C61=""),"",IFERROR(ROUND(N(D61)*N(INDEX(Recipes!$H$6:$H$105,MATCH(B61,Recipes!$B$6:$B$105,0)))/IF(N(INDEX(Recipes!$D$6:$D$105,MATCH(B61,Recipes!$B$6:$B$105,0)))&gt;0,INDEX(Recipes!$D$6:$D$105,MATCH(B61,Recipes!$B$6:$B$105,0)),1),2),0))</f>
        <v/>
      </c>
      <c r="H61" s="1" t="n"/>
    </row>
    <row r="62">
      <c r="A62" s="1" t="n"/>
      <c r="B62" s="33" t="inlineStr">
        <is>
          <t>Chicken Caesar wraps</t>
        </is>
      </c>
      <c r="C62" s="33" t="inlineStr">
        <is>
          <t>Tortillas</t>
        </is>
      </c>
      <c r="D62" s="31" t="n">
        <v>2</v>
      </c>
      <c r="E62" s="35">
        <f>IF(C62="","",IFERROR(INDEX(Pantry!$C$6:$C$305,MATCH(C62,Pantry!$B$6:$B$305,0))&amp;"","Add to Pantry"))</f>
        <v/>
      </c>
      <c r="F62" s="25">
        <f>IF(OR(C62="",E62="Add to Pantry"),"",ROUND(N(D62)*INDEX(Pantry!$N$6:$N$305,MATCH(C62,Pantry!$B$6:$B$305,0)),2))</f>
        <v/>
      </c>
      <c r="G62" s="35">
        <f>IF(OR(B62="",C62=""),"",IFERROR(ROUND(N(D62)*N(INDEX(Recipes!$H$6:$H$105,MATCH(B62,Recipes!$B$6:$B$105,0)))/IF(N(INDEX(Recipes!$D$6:$D$105,MATCH(B62,Recipes!$B$6:$B$105,0)))&gt;0,INDEX(Recipes!$D$6:$D$105,MATCH(B62,Recipes!$B$6:$B$105,0)),1),2),0))</f>
        <v/>
      </c>
      <c r="H62" s="1" t="n"/>
    </row>
    <row r="63">
      <c r="A63" s="1" t="n"/>
      <c r="B63" s="33" t="inlineStr">
        <is>
          <t>Chicken Caesar wraps</t>
        </is>
      </c>
      <c r="C63" s="33" t="inlineStr">
        <is>
          <t>Romaine hearts</t>
        </is>
      </c>
      <c r="D63" s="31" t="n">
        <v>1</v>
      </c>
      <c r="E63" s="35">
        <f>IF(C63="","",IFERROR(INDEX(Pantry!$C$6:$C$305,MATCH(C63,Pantry!$B$6:$B$305,0))&amp;"","Add to Pantry"))</f>
        <v/>
      </c>
      <c r="F63" s="25">
        <f>IF(OR(C63="",E63="Add to Pantry"),"",ROUND(N(D63)*INDEX(Pantry!$N$6:$N$305,MATCH(C63,Pantry!$B$6:$B$305,0)),2))</f>
        <v/>
      </c>
      <c r="G63" s="35">
        <f>IF(OR(B63="",C63=""),"",IFERROR(ROUND(N(D63)*N(INDEX(Recipes!$H$6:$H$105,MATCH(B63,Recipes!$B$6:$B$105,0)))/IF(N(INDEX(Recipes!$D$6:$D$105,MATCH(B63,Recipes!$B$6:$B$105,0)))&gt;0,INDEX(Recipes!$D$6:$D$105,MATCH(B63,Recipes!$B$6:$B$105,0)),1),2),0))</f>
        <v/>
      </c>
      <c r="H63" s="1" t="n"/>
    </row>
    <row r="64">
      <c r="A64" s="1" t="n"/>
      <c r="B64" s="33" t="inlineStr">
        <is>
          <t>Chicken Caesar wraps</t>
        </is>
      </c>
      <c r="C64" s="33" t="inlineStr">
        <is>
          <t>Parmesan</t>
        </is>
      </c>
      <c r="D64" s="31" t="n">
        <v>0.5</v>
      </c>
      <c r="E64" s="35">
        <f>IF(C64="","",IFERROR(INDEX(Pantry!$C$6:$C$305,MATCH(C64,Pantry!$B$6:$B$305,0))&amp;"","Add to Pantry"))</f>
        <v/>
      </c>
      <c r="F64" s="25">
        <f>IF(OR(C64="",E64="Add to Pantry"),"",ROUND(N(D64)*INDEX(Pantry!$N$6:$N$305,MATCH(C64,Pantry!$B$6:$B$305,0)),2))</f>
        <v/>
      </c>
      <c r="G64" s="35">
        <f>IF(OR(B64="",C64=""),"",IFERROR(ROUND(N(D64)*N(INDEX(Recipes!$H$6:$H$105,MATCH(B64,Recipes!$B$6:$B$105,0)))/IF(N(INDEX(Recipes!$D$6:$D$105,MATCH(B64,Recipes!$B$6:$B$105,0)))&gt;0,INDEX(Recipes!$D$6:$D$105,MATCH(B64,Recipes!$B$6:$B$105,0)),1),2),0))</f>
        <v/>
      </c>
      <c r="H64" s="1" t="n"/>
    </row>
    <row r="65">
      <c r="A65" s="1" t="n"/>
      <c r="B65" s="33" t="inlineStr">
        <is>
          <t>Chicken Caesar wraps</t>
        </is>
      </c>
      <c r="C65" s="33" t="inlineStr">
        <is>
          <t>Caesar dressing</t>
        </is>
      </c>
      <c r="D65" s="31" t="n">
        <v>3</v>
      </c>
      <c r="E65" s="35">
        <f>IF(C65="","",IFERROR(INDEX(Pantry!$C$6:$C$305,MATCH(C65,Pantry!$B$6:$B$305,0))&amp;"","Add to Pantry"))</f>
        <v/>
      </c>
      <c r="F65" s="25">
        <f>IF(OR(C65="",E65="Add to Pantry"),"",ROUND(N(D65)*INDEX(Pantry!$N$6:$N$305,MATCH(C65,Pantry!$B$6:$B$305,0)),2))</f>
        <v/>
      </c>
      <c r="G65" s="35">
        <f>IF(OR(B65="",C65=""),"",IFERROR(ROUND(N(D65)*N(INDEX(Recipes!$H$6:$H$105,MATCH(B65,Recipes!$B$6:$B$105,0)))/IF(N(INDEX(Recipes!$D$6:$D$105,MATCH(B65,Recipes!$B$6:$B$105,0)))&gt;0,INDEX(Recipes!$D$6:$D$105,MATCH(B65,Recipes!$B$6:$B$105,0)),1),2),0))</f>
        <v/>
      </c>
      <c r="H65" s="1" t="n"/>
    </row>
    <row r="66">
      <c r="A66" s="1" t="n"/>
      <c r="B66" s="33" t="inlineStr">
        <is>
          <t>Lentil soup</t>
        </is>
      </c>
      <c r="C66" s="33" t="inlineStr">
        <is>
          <t>Red lentils</t>
        </is>
      </c>
      <c r="D66" s="31" t="n">
        <v>1.5</v>
      </c>
      <c r="E66" s="35">
        <f>IF(C66="","",IFERROR(INDEX(Pantry!$C$6:$C$305,MATCH(C66,Pantry!$B$6:$B$305,0))&amp;"","Add to Pantry"))</f>
        <v/>
      </c>
      <c r="F66" s="25">
        <f>IF(OR(C66="",E66="Add to Pantry"),"",ROUND(N(D66)*INDEX(Pantry!$N$6:$N$305,MATCH(C66,Pantry!$B$6:$B$305,0)),2))</f>
        <v/>
      </c>
      <c r="G66" s="35">
        <f>IF(OR(B66="",C66=""),"",IFERROR(ROUND(N(D66)*N(INDEX(Recipes!$H$6:$H$105,MATCH(B66,Recipes!$B$6:$B$105,0)))/IF(N(INDEX(Recipes!$D$6:$D$105,MATCH(B66,Recipes!$B$6:$B$105,0)))&gt;0,INDEX(Recipes!$D$6:$D$105,MATCH(B66,Recipes!$B$6:$B$105,0)),1),2),0))</f>
        <v/>
      </c>
      <c r="H66" s="1" t="n"/>
    </row>
    <row r="67">
      <c r="A67" s="1" t="n"/>
      <c r="B67" s="33" t="inlineStr">
        <is>
          <t>Lentil soup</t>
        </is>
      </c>
      <c r="C67" s="33" t="inlineStr">
        <is>
          <t>Onion</t>
        </is>
      </c>
      <c r="D67" s="31" t="n">
        <v>1</v>
      </c>
      <c r="E67" s="35">
        <f>IF(C67="","",IFERROR(INDEX(Pantry!$C$6:$C$305,MATCH(C67,Pantry!$B$6:$B$305,0))&amp;"","Add to Pantry"))</f>
        <v/>
      </c>
      <c r="F67" s="25">
        <f>IF(OR(C67="",E67="Add to Pantry"),"",ROUND(N(D67)*INDEX(Pantry!$N$6:$N$305,MATCH(C67,Pantry!$B$6:$B$305,0)),2))</f>
        <v/>
      </c>
      <c r="G67" s="35">
        <f>IF(OR(B67="",C67=""),"",IFERROR(ROUND(N(D67)*N(INDEX(Recipes!$H$6:$H$105,MATCH(B67,Recipes!$B$6:$B$105,0)))/IF(N(INDEX(Recipes!$D$6:$D$105,MATCH(B67,Recipes!$B$6:$B$105,0)))&gt;0,INDEX(Recipes!$D$6:$D$105,MATCH(B67,Recipes!$B$6:$B$105,0)),1),2),0))</f>
        <v/>
      </c>
      <c r="H67" s="1" t="n"/>
    </row>
    <row r="68">
      <c r="A68" s="1" t="n"/>
      <c r="B68" s="33" t="inlineStr">
        <is>
          <t>Lentil soup</t>
        </is>
      </c>
      <c r="C68" s="33" t="inlineStr">
        <is>
          <t>Carrot</t>
        </is>
      </c>
      <c r="D68" s="31" t="n">
        <v>2</v>
      </c>
      <c r="E68" s="35">
        <f>IF(C68="","",IFERROR(INDEX(Pantry!$C$6:$C$305,MATCH(C68,Pantry!$B$6:$B$305,0))&amp;"","Add to Pantry"))</f>
        <v/>
      </c>
      <c r="F68" s="25">
        <f>IF(OR(C68="",E68="Add to Pantry"),"",ROUND(N(D68)*INDEX(Pantry!$N$6:$N$305,MATCH(C68,Pantry!$B$6:$B$305,0)),2))</f>
        <v/>
      </c>
      <c r="G68" s="35">
        <f>IF(OR(B68="",C68=""),"",IFERROR(ROUND(N(D68)*N(INDEX(Recipes!$H$6:$H$105,MATCH(B68,Recipes!$B$6:$B$105,0)))/IF(N(INDEX(Recipes!$D$6:$D$105,MATCH(B68,Recipes!$B$6:$B$105,0)))&gt;0,INDEX(Recipes!$D$6:$D$105,MATCH(B68,Recipes!$B$6:$B$105,0)),1),2),0))</f>
        <v/>
      </c>
      <c r="H68" s="1" t="n"/>
    </row>
    <row r="69">
      <c r="A69" s="1" t="n"/>
      <c r="B69" s="33" t="inlineStr">
        <is>
          <t>Lentil soup</t>
        </is>
      </c>
      <c r="C69" s="33" t="inlineStr">
        <is>
          <t>Celery</t>
        </is>
      </c>
      <c r="D69" s="31" t="n">
        <v>2</v>
      </c>
      <c r="E69" s="35">
        <f>IF(C69="","",IFERROR(INDEX(Pantry!$C$6:$C$305,MATCH(C69,Pantry!$B$6:$B$305,0))&amp;"","Add to Pantry"))</f>
        <v/>
      </c>
      <c r="F69" s="25">
        <f>IF(OR(C69="",E69="Add to Pantry"),"",ROUND(N(D69)*INDEX(Pantry!$N$6:$N$305,MATCH(C69,Pantry!$B$6:$B$305,0)),2))</f>
        <v/>
      </c>
      <c r="G69" s="35">
        <f>IF(OR(B69="",C69=""),"",IFERROR(ROUND(N(D69)*N(INDEX(Recipes!$H$6:$H$105,MATCH(B69,Recipes!$B$6:$B$105,0)))/IF(N(INDEX(Recipes!$D$6:$D$105,MATCH(B69,Recipes!$B$6:$B$105,0)))&gt;0,INDEX(Recipes!$D$6:$D$105,MATCH(B69,Recipes!$B$6:$B$105,0)),1),2),0))</f>
        <v/>
      </c>
      <c r="H69" s="1" t="n"/>
    </row>
    <row r="70">
      <c r="A70" s="1" t="n"/>
      <c r="B70" s="33" t="inlineStr">
        <is>
          <t>Lentil soup</t>
        </is>
      </c>
      <c r="C70" s="33" t="inlineStr">
        <is>
          <t>Canned tomatoes</t>
        </is>
      </c>
      <c r="D70" s="31" t="n">
        <v>1</v>
      </c>
      <c r="E70" s="35">
        <f>IF(C70="","",IFERROR(INDEX(Pantry!$C$6:$C$305,MATCH(C70,Pantry!$B$6:$B$305,0))&amp;"","Add to Pantry"))</f>
        <v/>
      </c>
      <c r="F70" s="25">
        <f>IF(OR(C70="",E70="Add to Pantry"),"",ROUND(N(D70)*INDEX(Pantry!$N$6:$N$305,MATCH(C70,Pantry!$B$6:$B$305,0)),2))</f>
        <v/>
      </c>
      <c r="G70" s="35">
        <f>IF(OR(B70="",C70=""),"",IFERROR(ROUND(N(D70)*N(INDEX(Recipes!$H$6:$H$105,MATCH(B70,Recipes!$B$6:$B$105,0)))/IF(N(INDEX(Recipes!$D$6:$D$105,MATCH(B70,Recipes!$B$6:$B$105,0)))&gt;0,INDEX(Recipes!$D$6:$D$105,MATCH(B70,Recipes!$B$6:$B$105,0)),1),2),0))</f>
        <v/>
      </c>
      <c r="H70" s="1" t="n"/>
    </row>
    <row r="71">
      <c r="A71" s="1" t="n"/>
      <c r="B71" s="33" t="inlineStr">
        <is>
          <t>Lentil soup</t>
        </is>
      </c>
      <c r="C71" s="33" t="inlineStr">
        <is>
          <t>Vegetable stock</t>
        </is>
      </c>
      <c r="D71" s="31" t="n">
        <v>6</v>
      </c>
      <c r="E71" s="35">
        <f>IF(C71="","",IFERROR(INDEX(Pantry!$C$6:$C$305,MATCH(C71,Pantry!$B$6:$B$305,0))&amp;"","Add to Pantry"))</f>
        <v/>
      </c>
      <c r="F71" s="25">
        <f>IF(OR(C71="",E71="Add to Pantry"),"",ROUND(N(D71)*INDEX(Pantry!$N$6:$N$305,MATCH(C71,Pantry!$B$6:$B$305,0)),2))</f>
        <v/>
      </c>
      <c r="G71" s="35">
        <f>IF(OR(B71="",C71=""),"",IFERROR(ROUND(N(D71)*N(INDEX(Recipes!$H$6:$H$105,MATCH(B71,Recipes!$B$6:$B$105,0)))/IF(N(INDEX(Recipes!$D$6:$D$105,MATCH(B71,Recipes!$B$6:$B$105,0)))&gt;0,INDEX(Recipes!$D$6:$D$105,MATCH(B71,Recipes!$B$6:$B$105,0)),1),2),0))</f>
        <v/>
      </c>
      <c r="H71" s="1" t="n"/>
    </row>
    <row r="72">
      <c r="A72" s="1" t="n"/>
      <c r="B72" s="33" t="inlineStr">
        <is>
          <t>Lentil soup</t>
        </is>
      </c>
      <c r="C72" s="33" t="inlineStr">
        <is>
          <t>Ground cumin</t>
        </is>
      </c>
      <c r="D72" s="31" t="n">
        <v>2</v>
      </c>
      <c r="E72" s="35">
        <f>IF(C72="","",IFERROR(INDEX(Pantry!$C$6:$C$305,MATCH(C72,Pantry!$B$6:$B$305,0))&amp;"","Add to Pantry"))</f>
        <v/>
      </c>
      <c r="F72" s="25">
        <f>IF(OR(C72="",E72="Add to Pantry"),"",ROUND(N(D72)*INDEX(Pantry!$N$6:$N$305,MATCH(C72,Pantry!$B$6:$B$305,0)),2))</f>
        <v/>
      </c>
      <c r="G72" s="35">
        <f>IF(OR(B72="",C72=""),"",IFERROR(ROUND(N(D72)*N(INDEX(Recipes!$H$6:$H$105,MATCH(B72,Recipes!$B$6:$B$105,0)))/IF(N(INDEX(Recipes!$D$6:$D$105,MATCH(B72,Recipes!$B$6:$B$105,0)))&gt;0,INDEX(Recipes!$D$6:$D$105,MATCH(B72,Recipes!$B$6:$B$105,0)),1),2),0))</f>
        <v/>
      </c>
      <c r="H72" s="1" t="n"/>
    </row>
    <row r="73">
      <c r="A73" s="1" t="n"/>
      <c r="B73" s="33" t="inlineStr">
        <is>
          <t>Lentil soup</t>
        </is>
      </c>
      <c r="C73" s="33" t="inlineStr">
        <is>
          <t>Olive oil</t>
        </is>
      </c>
      <c r="D73" s="31" t="n">
        <v>1</v>
      </c>
      <c r="E73" s="35">
        <f>IF(C73="","",IFERROR(INDEX(Pantry!$C$6:$C$305,MATCH(C73,Pantry!$B$6:$B$305,0))&amp;"","Add to Pantry"))</f>
        <v/>
      </c>
      <c r="F73" s="25">
        <f>IF(OR(C73="",E73="Add to Pantry"),"",ROUND(N(D73)*INDEX(Pantry!$N$6:$N$305,MATCH(C73,Pantry!$B$6:$B$305,0)),2))</f>
        <v/>
      </c>
      <c r="G73" s="35">
        <f>IF(OR(B73="",C73=""),"",IFERROR(ROUND(N(D73)*N(INDEX(Recipes!$H$6:$H$105,MATCH(B73,Recipes!$B$6:$B$105,0)))/IF(N(INDEX(Recipes!$D$6:$D$105,MATCH(B73,Recipes!$B$6:$B$105,0)))&gt;0,INDEX(Recipes!$D$6:$D$105,MATCH(B73,Recipes!$B$6:$B$105,0)),1),2),0))</f>
        <v/>
      </c>
      <c r="H73" s="1" t="n"/>
    </row>
    <row r="74">
      <c r="A74" s="1" t="n"/>
      <c r="B74" s="33" t="inlineStr">
        <is>
          <t>Tuna pasta salad</t>
        </is>
      </c>
      <c r="C74" s="33" t="inlineStr">
        <is>
          <t>Penne</t>
        </is>
      </c>
      <c r="D74" s="31" t="n">
        <v>12</v>
      </c>
      <c r="E74" s="35">
        <f>IF(C74="","",IFERROR(INDEX(Pantry!$C$6:$C$305,MATCH(C74,Pantry!$B$6:$B$305,0))&amp;"","Add to Pantry"))</f>
        <v/>
      </c>
      <c r="F74" s="25">
        <f>IF(OR(C74="",E74="Add to Pantry"),"",ROUND(N(D74)*INDEX(Pantry!$N$6:$N$305,MATCH(C74,Pantry!$B$6:$B$305,0)),2))</f>
        <v/>
      </c>
      <c r="G74" s="35">
        <f>IF(OR(B74="",C74=""),"",IFERROR(ROUND(N(D74)*N(INDEX(Recipes!$H$6:$H$105,MATCH(B74,Recipes!$B$6:$B$105,0)))/IF(N(INDEX(Recipes!$D$6:$D$105,MATCH(B74,Recipes!$B$6:$B$105,0)))&gt;0,INDEX(Recipes!$D$6:$D$105,MATCH(B74,Recipes!$B$6:$B$105,0)),1),2),0))</f>
        <v/>
      </c>
      <c r="H74" s="1" t="n"/>
    </row>
    <row r="75">
      <c r="A75" s="1" t="n"/>
      <c r="B75" s="33" t="inlineStr">
        <is>
          <t>Tuna pasta salad</t>
        </is>
      </c>
      <c r="C75" s="33" t="inlineStr">
        <is>
          <t>Tuna</t>
        </is>
      </c>
      <c r="D75" s="31" t="n">
        <v>2</v>
      </c>
      <c r="E75" s="35">
        <f>IF(C75="","",IFERROR(INDEX(Pantry!$C$6:$C$305,MATCH(C75,Pantry!$B$6:$B$305,0))&amp;"","Add to Pantry"))</f>
        <v/>
      </c>
      <c r="F75" s="25">
        <f>IF(OR(C75="",E75="Add to Pantry"),"",ROUND(N(D75)*INDEX(Pantry!$N$6:$N$305,MATCH(C75,Pantry!$B$6:$B$305,0)),2))</f>
        <v/>
      </c>
      <c r="G75" s="35">
        <f>IF(OR(B75="",C75=""),"",IFERROR(ROUND(N(D75)*N(INDEX(Recipes!$H$6:$H$105,MATCH(B75,Recipes!$B$6:$B$105,0)))/IF(N(INDEX(Recipes!$D$6:$D$105,MATCH(B75,Recipes!$B$6:$B$105,0)))&gt;0,INDEX(Recipes!$D$6:$D$105,MATCH(B75,Recipes!$B$6:$B$105,0)),1),2),0))</f>
        <v/>
      </c>
      <c r="H75" s="1" t="n"/>
    </row>
    <row r="76">
      <c r="A76" s="1" t="n"/>
      <c r="B76" s="33" t="inlineStr">
        <is>
          <t>Tuna pasta salad</t>
        </is>
      </c>
      <c r="C76" s="33" t="inlineStr">
        <is>
          <t>Cucumber</t>
        </is>
      </c>
      <c r="D76" s="31" t="n">
        <v>1</v>
      </c>
      <c r="E76" s="35">
        <f>IF(C76="","",IFERROR(INDEX(Pantry!$C$6:$C$305,MATCH(C76,Pantry!$B$6:$B$305,0))&amp;"","Add to Pantry"))</f>
        <v/>
      </c>
      <c r="F76" s="25">
        <f>IF(OR(C76="",E76="Add to Pantry"),"",ROUND(N(D76)*INDEX(Pantry!$N$6:$N$305,MATCH(C76,Pantry!$B$6:$B$305,0)),2))</f>
        <v/>
      </c>
      <c r="G76" s="35">
        <f>IF(OR(B76="",C76=""),"",IFERROR(ROUND(N(D76)*N(INDEX(Recipes!$H$6:$H$105,MATCH(B76,Recipes!$B$6:$B$105,0)))/IF(N(INDEX(Recipes!$D$6:$D$105,MATCH(B76,Recipes!$B$6:$B$105,0)))&gt;0,INDEX(Recipes!$D$6:$D$105,MATCH(B76,Recipes!$B$6:$B$105,0)),1),2),0))</f>
        <v/>
      </c>
      <c r="H76" s="1" t="n"/>
    </row>
    <row r="77">
      <c r="A77" s="1" t="n"/>
      <c r="B77" s="33" t="inlineStr">
        <is>
          <t>Tuna pasta salad</t>
        </is>
      </c>
      <c r="C77" s="33" t="inlineStr">
        <is>
          <t>Cherry tomatoes</t>
        </is>
      </c>
      <c r="D77" s="31" t="n">
        <v>10</v>
      </c>
      <c r="E77" s="35">
        <f>IF(C77="","",IFERROR(INDEX(Pantry!$C$6:$C$305,MATCH(C77,Pantry!$B$6:$B$305,0))&amp;"","Add to Pantry"))</f>
        <v/>
      </c>
      <c r="F77" s="25">
        <f>IF(OR(C77="",E77="Add to Pantry"),"",ROUND(N(D77)*INDEX(Pantry!$N$6:$N$305,MATCH(C77,Pantry!$B$6:$B$305,0)),2))</f>
        <v/>
      </c>
      <c r="G77" s="35">
        <f>IF(OR(B77="",C77=""),"",IFERROR(ROUND(N(D77)*N(INDEX(Recipes!$H$6:$H$105,MATCH(B77,Recipes!$B$6:$B$105,0)))/IF(N(INDEX(Recipes!$D$6:$D$105,MATCH(B77,Recipes!$B$6:$B$105,0)))&gt;0,INDEX(Recipes!$D$6:$D$105,MATCH(B77,Recipes!$B$6:$B$105,0)),1),2),0))</f>
        <v/>
      </c>
      <c r="H77" s="1" t="n"/>
    </row>
    <row r="78">
      <c r="A78" s="1" t="n"/>
      <c r="B78" s="33" t="inlineStr">
        <is>
          <t>Tuna pasta salad</t>
        </is>
      </c>
      <c r="C78" s="33" t="inlineStr">
        <is>
          <t>Mayonnaise</t>
        </is>
      </c>
      <c r="D78" s="31" t="n">
        <v>4</v>
      </c>
      <c r="E78" s="35">
        <f>IF(C78="","",IFERROR(INDEX(Pantry!$C$6:$C$305,MATCH(C78,Pantry!$B$6:$B$305,0))&amp;"","Add to Pantry"))</f>
        <v/>
      </c>
      <c r="F78" s="25">
        <f>IF(OR(C78="",E78="Add to Pantry"),"",ROUND(N(D78)*INDEX(Pantry!$N$6:$N$305,MATCH(C78,Pantry!$B$6:$B$305,0)),2))</f>
        <v/>
      </c>
      <c r="G78" s="35">
        <f>IF(OR(B78="",C78=""),"",IFERROR(ROUND(N(D78)*N(INDEX(Recipes!$H$6:$H$105,MATCH(B78,Recipes!$B$6:$B$105,0)))/IF(N(INDEX(Recipes!$D$6:$D$105,MATCH(B78,Recipes!$B$6:$B$105,0)))&gt;0,INDEX(Recipes!$D$6:$D$105,MATCH(B78,Recipes!$B$6:$B$105,0)),1),2),0))</f>
        <v/>
      </c>
      <c r="H78" s="1" t="n"/>
    </row>
    <row r="79">
      <c r="A79" s="1" t="n"/>
      <c r="B79" s="33" t="inlineStr">
        <is>
          <t>Yogurt and berries</t>
        </is>
      </c>
      <c r="C79" s="33" t="inlineStr">
        <is>
          <t>Greek yogurt</t>
        </is>
      </c>
      <c r="D79" s="31" t="n">
        <v>5</v>
      </c>
      <c r="E79" s="35">
        <f>IF(C79="","",IFERROR(INDEX(Pantry!$C$6:$C$305,MATCH(C79,Pantry!$B$6:$B$305,0))&amp;"","Add to Pantry"))</f>
        <v/>
      </c>
      <c r="F79" s="25">
        <f>IF(OR(C79="",E79="Add to Pantry"),"",ROUND(N(D79)*INDEX(Pantry!$N$6:$N$305,MATCH(C79,Pantry!$B$6:$B$305,0)),2))</f>
        <v/>
      </c>
      <c r="G79" s="35">
        <f>IF(OR(B79="",C79=""),"",IFERROR(ROUND(N(D79)*N(INDEX(Recipes!$H$6:$H$105,MATCH(B79,Recipes!$B$6:$B$105,0)))/IF(N(INDEX(Recipes!$D$6:$D$105,MATCH(B79,Recipes!$B$6:$B$105,0)))&gt;0,INDEX(Recipes!$D$6:$D$105,MATCH(B79,Recipes!$B$6:$B$105,0)),1),2),0))</f>
        <v/>
      </c>
      <c r="H79" s="1" t="n"/>
    </row>
    <row r="80">
      <c r="A80" s="1" t="n"/>
      <c r="B80" s="33" t="inlineStr">
        <is>
          <t>Yogurt and berries</t>
        </is>
      </c>
      <c r="C80" s="33" t="inlineStr">
        <is>
          <t>Frozen berries</t>
        </is>
      </c>
      <c r="D80" s="31" t="n">
        <v>0.5</v>
      </c>
      <c r="E80" s="35">
        <f>IF(C80="","",IFERROR(INDEX(Pantry!$C$6:$C$305,MATCH(C80,Pantry!$B$6:$B$305,0))&amp;"","Add to Pantry"))</f>
        <v/>
      </c>
      <c r="F80" s="25">
        <f>IF(OR(C80="",E80="Add to Pantry"),"",ROUND(N(D80)*INDEX(Pantry!$N$6:$N$305,MATCH(C80,Pantry!$B$6:$B$305,0)),2))</f>
        <v/>
      </c>
      <c r="G80" s="35">
        <f>IF(OR(B80="",C80=""),"",IFERROR(ROUND(N(D80)*N(INDEX(Recipes!$H$6:$H$105,MATCH(B80,Recipes!$B$6:$B$105,0)))/IF(N(INDEX(Recipes!$D$6:$D$105,MATCH(B80,Recipes!$B$6:$B$105,0)))&gt;0,INDEX(Recipes!$D$6:$D$105,MATCH(B80,Recipes!$B$6:$B$105,0)),1),2),0))</f>
        <v/>
      </c>
      <c r="H80" s="1" t="n"/>
    </row>
    <row r="81">
      <c r="A81" s="1" t="n"/>
      <c r="B81" s="33" t="inlineStr">
        <is>
          <t>Yogurt and berries</t>
        </is>
      </c>
      <c r="C81" s="33" t="inlineStr">
        <is>
          <t>Honey</t>
        </is>
      </c>
      <c r="D81" s="31" t="n">
        <v>1</v>
      </c>
      <c r="E81" s="35">
        <f>IF(C81="","",IFERROR(INDEX(Pantry!$C$6:$C$305,MATCH(C81,Pantry!$B$6:$B$305,0))&amp;"","Add to Pantry"))</f>
        <v/>
      </c>
      <c r="F81" s="25">
        <f>IF(OR(C81="",E81="Add to Pantry"),"",ROUND(N(D81)*INDEX(Pantry!$N$6:$N$305,MATCH(C81,Pantry!$B$6:$B$305,0)),2))</f>
        <v/>
      </c>
      <c r="G81" s="35">
        <f>IF(OR(B81="",C81=""),"",IFERROR(ROUND(N(D81)*N(INDEX(Recipes!$H$6:$H$105,MATCH(B81,Recipes!$B$6:$B$105,0)))/IF(N(INDEX(Recipes!$D$6:$D$105,MATCH(B81,Recipes!$B$6:$B$105,0)))&gt;0,INDEX(Recipes!$D$6:$D$105,MATCH(B81,Recipes!$B$6:$B$105,0)),1),2),0))</f>
        <v/>
      </c>
      <c r="H81" s="1" t="n"/>
    </row>
    <row r="82">
      <c r="A82" s="1" t="n"/>
      <c r="B82" s="33" t="inlineStr">
        <is>
          <t>Apple and peanut butter</t>
        </is>
      </c>
      <c r="C82" s="33" t="inlineStr">
        <is>
          <t>Apple</t>
        </is>
      </c>
      <c r="D82" s="31" t="n">
        <v>1</v>
      </c>
      <c r="E82" s="35">
        <f>IF(C82="","",IFERROR(INDEX(Pantry!$C$6:$C$305,MATCH(C82,Pantry!$B$6:$B$305,0))&amp;"","Add to Pantry"))</f>
        <v/>
      </c>
      <c r="F82" s="25">
        <f>IF(OR(C82="",E82="Add to Pantry"),"",ROUND(N(D82)*INDEX(Pantry!$N$6:$N$305,MATCH(C82,Pantry!$B$6:$B$305,0)),2))</f>
        <v/>
      </c>
      <c r="G82" s="35">
        <f>IF(OR(B82="",C82=""),"",IFERROR(ROUND(N(D82)*N(INDEX(Recipes!$H$6:$H$105,MATCH(B82,Recipes!$B$6:$B$105,0)))/IF(N(INDEX(Recipes!$D$6:$D$105,MATCH(B82,Recipes!$B$6:$B$105,0)))&gt;0,INDEX(Recipes!$D$6:$D$105,MATCH(B82,Recipes!$B$6:$B$105,0)),1),2),0))</f>
        <v/>
      </c>
      <c r="H82" s="1" t="n"/>
    </row>
    <row r="83">
      <c r="A83" s="1" t="n"/>
      <c r="B83" s="33" t="inlineStr">
        <is>
          <t>Apple and peanut butter</t>
        </is>
      </c>
      <c r="C83" s="33" t="inlineStr">
        <is>
          <t>Peanut butter</t>
        </is>
      </c>
      <c r="D83" s="31" t="n">
        <v>2</v>
      </c>
      <c r="E83" s="35">
        <f>IF(C83="","",IFERROR(INDEX(Pantry!$C$6:$C$305,MATCH(C83,Pantry!$B$6:$B$305,0))&amp;"","Add to Pantry"))</f>
        <v/>
      </c>
      <c r="F83" s="25">
        <f>IF(OR(C83="",E83="Add to Pantry"),"",ROUND(N(D83)*INDEX(Pantry!$N$6:$N$305,MATCH(C83,Pantry!$B$6:$B$305,0)),2))</f>
        <v/>
      </c>
      <c r="G83" s="35">
        <f>IF(OR(B83="",C83=""),"",IFERROR(ROUND(N(D83)*N(INDEX(Recipes!$H$6:$H$105,MATCH(B83,Recipes!$B$6:$B$105,0)))/IF(N(INDEX(Recipes!$D$6:$D$105,MATCH(B83,Recipes!$B$6:$B$105,0)))&gt;0,INDEX(Recipes!$D$6:$D$105,MATCH(B83,Recipes!$B$6:$B$105,0)),1),2),0))</f>
        <v/>
      </c>
      <c r="H83" s="1" t="n"/>
    </row>
    <row r="84">
      <c r="A84" s="1" t="n"/>
      <c r="B84" s="33" t="n"/>
      <c r="C84" s="33" t="n"/>
      <c r="D84" s="31" t="n"/>
      <c r="E84" s="35">
        <f>IF(C84="","",IFERROR(INDEX(Pantry!$C$6:$C$305,MATCH(C84,Pantry!$B$6:$B$305,0))&amp;"","Add to Pantry"))</f>
        <v/>
      </c>
      <c r="F84" s="25">
        <f>IF(OR(C84="",E84="Add to Pantry"),"",ROUND(N(D84)*INDEX(Pantry!$N$6:$N$305,MATCH(C84,Pantry!$B$6:$B$305,0)),2))</f>
        <v/>
      </c>
      <c r="G84" s="35">
        <f>IF(OR(B84="",C84=""),"",IFERROR(ROUND(N(D84)*N(INDEX(Recipes!$H$6:$H$105,MATCH(B84,Recipes!$B$6:$B$105,0)))/IF(N(INDEX(Recipes!$D$6:$D$105,MATCH(B84,Recipes!$B$6:$B$105,0)))&gt;0,INDEX(Recipes!$D$6:$D$105,MATCH(B84,Recipes!$B$6:$B$105,0)),1),2),0))</f>
        <v/>
      </c>
      <c r="H84" s="1" t="n"/>
    </row>
    <row r="85">
      <c r="A85" s="1" t="n"/>
      <c r="B85" s="33" t="n"/>
      <c r="C85" s="33" t="n"/>
      <c r="D85" s="31" t="n"/>
      <c r="E85" s="35">
        <f>IF(C85="","",IFERROR(INDEX(Pantry!$C$6:$C$305,MATCH(C85,Pantry!$B$6:$B$305,0))&amp;"","Add to Pantry"))</f>
        <v/>
      </c>
      <c r="F85" s="25">
        <f>IF(OR(C85="",E85="Add to Pantry"),"",ROUND(N(D85)*INDEX(Pantry!$N$6:$N$305,MATCH(C85,Pantry!$B$6:$B$305,0)),2))</f>
        <v/>
      </c>
      <c r="G85" s="35">
        <f>IF(OR(B85="",C85=""),"",IFERROR(ROUND(N(D85)*N(INDEX(Recipes!$H$6:$H$105,MATCH(B85,Recipes!$B$6:$B$105,0)))/IF(N(INDEX(Recipes!$D$6:$D$105,MATCH(B85,Recipes!$B$6:$B$105,0)))&gt;0,INDEX(Recipes!$D$6:$D$105,MATCH(B85,Recipes!$B$6:$B$105,0)),1),2),0))</f>
        <v/>
      </c>
      <c r="H85" s="1" t="n"/>
    </row>
    <row r="86">
      <c r="A86" s="1" t="n"/>
      <c r="B86" s="33" t="n"/>
      <c r="C86" s="33" t="n"/>
      <c r="D86" s="31" t="n"/>
      <c r="E86" s="35">
        <f>IF(C86="","",IFERROR(INDEX(Pantry!$C$6:$C$305,MATCH(C86,Pantry!$B$6:$B$305,0))&amp;"","Add to Pantry"))</f>
        <v/>
      </c>
      <c r="F86" s="25">
        <f>IF(OR(C86="",E86="Add to Pantry"),"",ROUND(N(D86)*INDEX(Pantry!$N$6:$N$305,MATCH(C86,Pantry!$B$6:$B$305,0)),2))</f>
        <v/>
      </c>
      <c r="G86" s="35">
        <f>IF(OR(B86="",C86=""),"",IFERROR(ROUND(N(D86)*N(INDEX(Recipes!$H$6:$H$105,MATCH(B86,Recipes!$B$6:$B$105,0)))/IF(N(INDEX(Recipes!$D$6:$D$105,MATCH(B86,Recipes!$B$6:$B$105,0)))&gt;0,INDEX(Recipes!$D$6:$D$105,MATCH(B86,Recipes!$B$6:$B$105,0)),1),2),0))</f>
        <v/>
      </c>
      <c r="H86" s="1" t="n"/>
    </row>
    <row r="87">
      <c r="A87" s="1" t="n"/>
      <c r="B87" s="33" t="n"/>
      <c r="C87" s="33" t="n"/>
      <c r="D87" s="31" t="n"/>
      <c r="E87" s="35">
        <f>IF(C87="","",IFERROR(INDEX(Pantry!$C$6:$C$305,MATCH(C87,Pantry!$B$6:$B$305,0))&amp;"","Add to Pantry"))</f>
        <v/>
      </c>
      <c r="F87" s="25">
        <f>IF(OR(C87="",E87="Add to Pantry"),"",ROUND(N(D87)*INDEX(Pantry!$N$6:$N$305,MATCH(C87,Pantry!$B$6:$B$305,0)),2))</f>
        <v/>
      </c>
      <c r="G87" s="35">
        <f>IF(OR(B87="",C87=""),"",IFERROR(ROUND(N(D87)*N(INDEX(Recipes!$H$6:$H$105,MATCH(B87,Recipes!$B$6:$B$105,0)))/IF(N(INDEX(Recipes!$D$6:$D$105,MATCH(B87,Recipes!$B$6:$B$105,0)))&gt;0,INDEX(Recipes!$D$6:$D$105,MATCH(B87,Recipes!$B$6:$B$105,0)),1),2),0))</f>
        <v/>
      </c>
      <c r="H87" s="1" t="n"/>
    </row>
    <row r="88">
      <c r="A88" s="1" t="n"/>
      <c r="B88" s="33" t="n"/>
      <c r="C88" s="33" t="n"/>
      <c r="D88" s="31" t="n"/>
      <c r="E88" s="35">
        <f>IF(C88="","",IFERROR(INDEX(Pantry!$C$6:$C$305,MATCH(C88,Pantry!$B$6:$B$305,0))&amp;"","Add to Pantry"))</f>
        <v/>
      </c>
      <c r="F88" s="25">
        <f>IF(OR(C88="",E88="Add to Pantry"),"",ROUND(N(D88)*INDEX(Pantry!$N$6:$N$305,MATCH(C88,Pantry!$B$6:$B$305,0)),2))</f>
        <v/>
      </c>
      <c r="G88" s="35">
        <f>IF(OR(B88="",C88=""),"",IFERROR(ROUND(N(D88)*N(INDEX(Recipes!$H$6:$H$105,MATCH(B88,Recipes!$B$6:$B$105,0)))/IF(N(INDEX(Recipes!$D$6:$D$105,MATCH(B88,Recipes!$B$6:$B$105,0)))&gt;0,INDEX(Recipes!$D$6:$D$105,MATCH(B88,Recipes!$B$6:$B$105,0)),1),2),0))</f>
        <v/>
      </c>
      <c r="H88" s="1" t="n"/>
    </row>
    <row r="89">
      <c r="A89" s="1" t="n"/>
      <c r="B89" s="33" t="n"/>
      <c r="C89" s="33" t="n"/>
      <c r="D89" s="31" t="n"/>
      <c r="E89" s="35">
        <f>IF(C89="","",IFERROR(INDEX(Pantry!$C$6:$C$305,MATCH(C89,Pantry!$B$6:$B$305,0))&amp;"","Add to Pantry"))</f>
        <v/>
      </c>
      <c r="F89" s="25">
        <f>IF(OR(C89="",E89="Add to Pantry"),"",ROUND(N(D89)*INDEX(Pantry!$N$6:$N$305,MATCH(C89,Pantry!$B$6:$B$305,0)),2))</f>
        <v/>
      </c>
      <c r="G89" s="35">
        <f>IF(OR(B89="",C89=""),"",IFERROR(ROUND(N(D89)*N(INDEX(Recipes!$H$6:$H$105,MATCH(B89,Recipes!$B$6:$B$105,0)))/IF(N(INDEX(Recipes!$D$6:$D$105,MATCH(B89,Recipes!$B$6:$B$105,0)))&gt;0,INDEX(Recipes!$D$6:$D$105,MATCH(B89,Recipes!$B$6:$B$105,0)),1),2),0))</f>
        <v/>
      </c>
      <c r="H89" s="1" t="n"/>
    </row>
    <row r="90">
      <c r="A90" s="1" t="n"/>
      <c r="B90" s="33" t="n"/>
      <c r="C90" s="33" t="n"/>
      <c r="D90" s="31" t="n"/>
      <c r="E90" s="35">
        <f>IF(C90="","",IFERROR(INDEX(Pantry!$C$6:$C$305,MATCH(C90,Pantry!$B$6:$B$305,0))&amp;"","Add to Pantry"))</f>
        <v/>
      </c>
      <c r="F90" s="25">
        <f>IF(OR(C90="",E90="Add to Pantry"),"",ROUND(N(D90)*INDEX(Pantry!$N$6:$N$305,MATCH(C90,Pantry!$B$6:$B$305,0)),2))</f>
        <v/>
      </c>
      <c r="G90" s="35">
        <f>IF(OR(B90="",C90=""),"",IFERROR(ROUND(N(D90)*N(INDEX(Recipes!$H$6:$H$105,MATCH(B90,Recipes!$B$6:$B$105,0)))/IF(N(INDEX(Recipes!$D$6:$D$105,MATCH(B90,Recipes!$B$6:$B$105,0)))&gt;0,INDEX(Recipes!$D$6:$D$105,MATCH(B90,Recipes!$B$6:$B$105,0)),1),2),0))</f>
        <v/>
      </c>
      <c r="H90" s="1" t="n"/>
    </row>
    <row r="91">
      <c r="A91" s="1" t="n"/>
      <c r="B91" s="33" t="n"/>
      <c r="C91" s="33" t="n"/>
      <c r="D91" s="31" t="n"/>
      <c r="E91" s="35">
        <f>IF(C91="","",IFERROR(INDEX(Pantry!$C$6:$C$305,MATCH(C91,Pantry!$B$6:$B$305,0))&amp;"","Add to Pantry"))</f>
        <v/>
      </c>
      <c r="F91" s="25">
        <f>IF(OR(C91="",E91="Add to Pantry"),"",ROUND(N(D91)*INDEX(Pantry!$N$6:$N$305,MATCH(C91,Pantry!$B$6:$B$305,0)),2))</f>
        <v/>
      </c>
      <c r="G91" s="35">
        <f>IF(OR(B91="",C91=""),"",IFERROR(ROUND(N(D91)*N(INDEX(Recipes!$H$6:$H$105,MATCH(B91,Recipes!$B$6:$B$105,0)))/IF(N(INDEX(Recipes!$D$6:$D$105,MATCH(B91,Recipes!$B$6:$B$105,0)))&gt;0,INDEX(Recipes!$D$6:$D$105,MATCH(B91,Recipes!$B$6:$B$105,0)),1),2),0))</f>
        <v/>
      </c>
      <c r="H91" s="1" t="n"/>
    </row>
    <row r="92">
      <c r="A92" s="1" t="n"/>
      <c r="B92" s="33" t="n"/>
      <c r="C92" s="33" t="n"/>
      <c r="D92" s="31" t="n"/>
      <c r="E92" s="35">
        <f>IF(C92="","",IFERROR(INDEX(Pantry!$C$6:$C$305,MATCH(C92,Pantry!$B$6:$B$305,0))&amp;"","Add to Pantry"))</f>
        <v/>
      </c>
      <c r="F92" s="25">
        <f>IF(OR(C92="",E92="Add to Pantry"),"",ROUND(N(D92)*INDEX(Pantry!$N$6:$N$305,MATCH(C92,Pantry!$B$6:$B$305,0)),2))</f>
        <v/>
      </c>
      <c r="G92" s="35">
        <f>IF(OR(B92="",C92=""),"",IFERROR(ROUND(N(D92)*N(INDEX(Recipes!$H$6:$H$105,MATCH(B92,Recipes!$B$6:$B$105,0)))/IF(N(INDEX(Recipes!$D$6:$D$105,MATCH(B92,Recipes!$B$6:$B$105,0)))&gt;0,INDEX(Recipes!$D$6:$D$105,MATCH(B92,Recipes!$B$6:$B$105,0)),1),2),0))</f>
        <v/>
      </c>
      <c r="H92" s="1" t="n"/>
    </row>
    <row r="93">
      <c r="A93" s="1" t="n"/>
      <c r="B93" s="33" t="n"/>
      <c r="C93" s="33" t="n"/>
      <c r="D93" s="31" t="n"/>
      <c r="E93" s="35">
        <f>IF(C93="","",IFERROR(INDEX(Pantry!$C$6:$C$305,MATCH(C93,Pantry!$B$6:$B$305,0))&amp;"","Add to Pantry"))</f>
        <v/>
      </c>
      <c r="F93" s="25">
        <f>IF(OR(C93="",E93="Add to Pantry"),"",ROUND(N(D93)*INDEX(Pantry!$N$6:$N$305,MATCH(C93,Pantry!$B$6:$B$305,0)),2))</f>
        <v/>
      </c>
      <c r="G93" s="35">
        <f>IF(OR(B93="",C93=""),"",IFERROR(ROUND(N(D93)*N(INDEX(Recipes!$H$6:$H$105,MATCH(B93,Recipes!$B$6:$B$105,0)))/IF(N(INDEX(Recipes!$D$6:$D$105,MATCH(B93,Recipes!$B$6:$B$105,0)))&gt;0,INDEX(Recipes!$D$6:$D$105,MATCH(B93,Recipes!$B$6:$B$105,0)),1),2),0))</f>
        <v/>
      </c>
      <c r="H93" s="1" t="n"/>
    </row>
    <row r="94">
      <c r="A94" s="1" t="n"/>
      <c r="B94" s="33" t="n"/>
      <c r="C94" s="33" t="n"/>
      <c r="D94" s="31" t="n"/>
      <c r="E94" s="35">
        <f>IF(C94="","",IFERROR(INDEX(Pantry!$C$6:$C$305,MATCH(C94,Pantry!$B$6:$B$305,0))&amp;"","Add to Pantry"))</f>
        <v/>
      </c>
      <c r="F94" s="25">
        <f>IF(OR(C94="",E94="Add to Pantry"),"",ROUND(N(D94)*INDEX(Pantry!$N$6:$N$305,MATCH(C94,Pantry!$B$6:$B$305,0)),2))</f>
        <v/>
      </c>
      <c r="G94" s="35">
        <f>IF(OR(B94="",C94=""),"",IFERROR(ROUND(N(D94)*N(INDEX(Recipes!$H$6:$H$105,MATCH(B94,Recipes!$B$6:$B$105,0)))/IF(N(INDEX(Recipes!$D$6:$D$105,MATCH(B94,Recipes!$B$6:$B$105,0)))&gt;0,INDEX(Recipes!$D$6:$D$105,MATCH(B94,Recipes!$B$6:$B$105,0)),1),2),0))</f>
        <v/>
      </c>
      <c r="H94" s="1" t="n"/>
    </row>
    <row r="95">
      <c r="A95" s="1" t="n"/>
      <c r="B95" s="33" t="n"/>
      <c r="C95" s="33" t="n"/>
      <c r="D95" s="31" t="n"/>
      <c r="E95" s="35">
        <f>IF(C95="","",IFERROR(INDEX(Pantry!$C$6:$C$305,MATCH(C95,Pantry!$B$6:$B$305,0))&amp;"","Add to Pantry"))</f>
        <v/>
      </c>
      <c r="F95" s="25">
        <f>IF(OR(C95="",E95="Add to Pantry"),"",ROUND(N(D95)*INDEX(Pantry!$N$6:$N$305,MATCH(C95,Pantry!$B$6:$B$305,0)),2))</f>
        <v/>
      </c>
      <c r="G95" s="35">
        <f>IF(OR(B95="",C95=""),"",IFERROR(ROUND(N(D95)*N(INDEX(Recipes!$H$6:$H$105,MATCH(B95,Recipes!$B$6:$B$105,0)))/IF(N(INDEX(Recipes!$D$6:$D$105,MATCH(B95,Recipes!$B$6:$B$105,0)))&gt;0,INDEX(Recipes!$D$6:$D$105,MATCH(B95,Recipes!$B$6:$B$105,0)),1),2),0))</f>
        <v/>
      </c>
      <c r="H95" s="1" t="n"/>
    </row>
    <row r="96">
      <c r="A96" s="1" t="n"/>
      <c r="B96" s="33" t="n"/>
      <c r="C96" s="33" t="n"/>
      <c r="D96" s="31" t="n"/>
      <c r="E96" s="35">
        <f>IF(C96="","",IFERROR(INDEX(Pantry!$C$6:$C$305,MATCH(C96,Pantry!$B$6:$B$305,0))&amp;"","Add to Pantry"))</f>
        <v/>
      </c>
      <c r="F96" s="25">
        <f>IF(OR(C96="",E96="Add to Pantry"),"",ROUND(N(D96)*INDEX(Pantry!$N$6:$N$305,MATCH(C96,Pantry!$B$6:$B$305,0)),2))</f>
        <v/>
      </c>
      <c r="G96" s="35">
        <f>IF(OR(B96="",C96=""),"",IFERROR(ROUND(N(D96)*N(INDEX(Recipes!$H$6:$H$105,MATCH(B96,Recipes!$B$6:$B$105,0)))/IF(N(INDEX(Recipes!$D$6:$D$105,MATCH(B96,Recipes!$B$6:$B$105,0)))&gt;0,INDEX(Recipes!$D$6:$D$105,MATCH(B96,Recipes!$B$6:$B$105,0)),1),2),0))</f>
        <v/>
      </c>
      <c r="H96" s="1" t="n"/>
    </row>
    <row r="97">
      <c r="A97" s="1" t="n"/>
      <c r="B97" s="33" t="n"/>
      <c r="C97" s="33" t="n"/>
      <c r="D97" s="31" t="n"/>
      <c r="E97" s="35">
        <f>IF(C97="","",IFERROR(INDEX(Pantry!$C$6:$C$305,MATCH(C97,Pantry!$B$6:$B$305,0))&amp;"","Add to Pantry"))</f>
        <v/>
      </c>
      <c r="F97" s="25">
        <f>IF(OR(C97="",E97="Add to Pantry"),"",ROUND(N(D97)*INDEX(Pantry!$N$6:$N$305,MATCH(C97,Pantry!$B$6:$B$305,0)),2))</f>
        <v/>
      </c>
      <c r="G97" s="35">
        <f>IF(OR(B97="",C97=""),"",IFERROR(ROUND(N(D97)*N(INDEX(Recipes!$H$6:$H$105,MATCH(B97,Recipes!$B$6:$B$105,0)))/IF(N(INDEX(Recipes!$D$6:$D$105,MATCH(B97,Recipes!$B$6:$B$105,0)))&gt;0,INDEX(Recipes!$D$6:$D$105,MATCH(B97,Recipes!$B$6:$B$105,0)),1),2),0))</f>
        <v/>
      </c>
      <c r="H97" s="1" t="n"/>
    </row>
    <row r="98">
      <c r="A98" s="1" t="n"/>
      <c r="B98" s="33" t="n"/>
      <c r="C98" s="33" t="n"/>
      <c r="D98" s="31" t="n"/>
      <c r="E98" s="35">
        <f>IF(C98="","",IFERROR(INDEX(Pantry!$C$6:$C$305,MATCH(C98,Pantry!$B$6:$B$305,0))&amp;"","Add to Pantry"))</f>
        <v/>
      </c>
      <c r="F98" s="25">
        <f>IF(OR(C98="",E98="Add to Pantry"),"",ROUND(N(D98)*INDEX(Pantry!$N$6:$N$305,MATCH(C98,Pantry!$B$6:$B$305,0)),2))</f>
        <v/>
      </c>
      <c r="G98" s="35">
        <f>IF(OR(B98="",C98=""),"",IFERROR(ROUND(N(D98)*N(INDEX(Recipes!$H$6:$H$105,MATCH(B98,Recipes!$B$6:$B$105,0)))/IF(N(INDEX(Recipes!$D$6:$D$105,MATCH(B98,Recipes!$B$6:$B$105,0)))&gt;0,INDEX(Recipes!$D$6:$D$105,MATCH(B98,Recipes!$B$6:$B$105,0)),1),2),0))</f>
        <v/>
      </c>
      <c r="H98" s="1" t="n"/>
    </row>
    <row r="99">
      <c r="A99" s="1" t="n"/>
      <c r="B99" s="33" t="n"/>
      <c r="C99" s="33" t="n"/>
      <c r="D99" s="31" t="n"/>
      <c r="E99" s="35">
        <f>IF(C99="","",IFERROR(INDEX(Pantry!$C$6:$C$305,MATCH(C99,Pantry!$B$6:$B$305,0))&amp;"","Add to Pantry"))</f>
        <v/>
      </c>
      <c r="F99" s="25">
        <f>IF(OR(C99="",E99="Add to Pantry"),"",ROUND(N(D99)*INDEX(Pantry!$N$6:$N$305,MATCH(C99,Pantry!$B$6:$B$305,0)),2))</f>
        <v/>
      </c>
      <c r="G99" s="35">
        <f>IF(OR(B99="",C99=""),"",IFERROR(ROUND(N(D99)*N(INDEX(Recipes!$H$6:$H$105,MATCH(B99,Recipes!$B$6:$B$105,0)))/IF(N(INDEX(Recipes!$D$6:$D$105,MATCH(B99,Recipes!$B$6:$B$105,0)))&gt;0,INDEX(Recipes!$D$6:$D$105,MATCH(B99,Recipes!$B$6:$B$105,0)),1),2),0))</f>
        <v/>
      </c>
      <c r="H99" s="1" t="n"/>
    </row>
    <row r="100">
      <c r="A100" s="1" t="n"/>
      <c r="B100" s="33" t="n"/>
      <c r="C100" s="33" t="n"/>
      <c r="D100" s="31" t="n"/>
      <c r="E100" s="35">
        <f>IF(C100="","",IFERROR(INDEX(Pantry!$C$6:$C$305,MATCH(C100,Pantry!$B$6:$B$305,0))&amp;"","Add to Pantry"))</f>
        <v/>
      </c>
      <c r="F100" s="25">
        <f>IF(OR(C100="",E100="Add to Pantry"),"",ROUND(N(D100)*INDEX(Pantry!$N$6:$N$305,MATCH(C100,Pantry!$B$6:$B$305,0)),2))</f>
        <v/>
      </c>
      <c r="G100" s="35">
        <f>IF(OR(B100="",C100=""),"",IFERROR(ROUND(N(D100)*N(INDEX(Recipes!$H$6:$H$105,MATCH(B100,Recipes!$B$6:$B$105,0)))/IF(N(INDEX(Recipes!$D$6:$D$105,MATCH(B100,Recipes!$B$6:$B$105,0)))&gt;0,INDEX(Recipes!$D$6:$D$105,MATCH(B100,Recipes!$B$6:$B$105,0)),1),2),0))</f>
        <v/>
      </c>
      <c r="H100" s="1" t="n"/>
    </row>
    <row r="101">
      <c r="A101" s="1" t="n"/>
      <c r="B101" s="33" t="n"/>
      <c r="C101" s="33" t="n"/>
      <c r="D101" s="31" t="n"/>
      <c r="E101" s="35">
        <f>IF(C101="","",IFERROR(INDEX(Pantry!$C$6:$C$305,MATCH(C101,Pantry!$B$6:$B$305,0))&amp;"","Add to Pantry"))</f>
        <v/>
      </c>
      <c r="F101" s="25">
        <f>IF(OR(C101="",E101="Add to Pantry"),"",ROUND(N(D101)*INDEX(Pantry!$N$6:$N$305,MATCH(C101,Pantry!$B$6:$B$305,0)),2))</f>
        <v/>
      </c>
      <c r="G101" s="35">
        <f>IF(OR(B101="",C101=""),"",IFERROR(ROUND(N(D101)*N(INDEX(Recipes!$H$6:$H$105,MATCH(B101,Recipes!$B$6:$B$105,0)))/IF(N(INDEX(Recipes!$D$6:$D$105,MATCH(B101,Recipes!$B$6:$B$105,0)))&gt;0,INDEX(Recipes!$D$6:$D$105,MATCH(B101,Recipes!$B$6:$B$105,0)),1),2),0))</f>
        <v/>
      </c>
      <c r="H101" s="1" t="n"/>
    </row>
    <row r="102">
      <c r="A102" s="1" t="n"/>
      <c r="B102" s="33" t="n"/>
      <c r="C102" s="33" t="n"/>
      <c r="D102" s="31" t="n"/>
      <c r="E102" s="35">
        <f>IF(C102="","",IFERROR(INDEX(Pantry!$C$6:$C$305,MATCH(C102,Pantry!$B$6:$B$305,0))&amp;"","Add to Pantry"))</f>
        <v/>
      </c>
      <c r="F102" s="25">
        <f>IF(OR(C102="",E102="Add to Pantry"),"",ROUND(N(D102)*INDEX(Pantry!$N$6:$N$305,MATCH(C102,Pantry!$B$6:$B$305,0)),2))</f>
        <v/>
      </c>
      <c r="G102" s="35">
        <f>IF(OR(B102="",C102=""),"",IFERROR(ROUND(N(D102)*N(INDEX(Recipes!$H$6:$H$105,MATCH(B102,Recipes!$B$6:$B$105,0)))/IF(N(INDEX(Recipes!$D$6:$D$105,MATCH(B102,Recipes!$B$6:$B$105,0)))&gt;0,INDEX(Recipes!$D$6:$D$105,MATCH(B102,Recipes!$B$6:$B$105,0)),1),2),0))</f>
        <v/>
      </c>
      <c r="H102" s="1" t="n"/>
    </row>
    <row r="103">
      <c r="A103" s="1" t="n"/>
      <c r="B103" s="33" t="n"/>
      <c r="C103" s="33" t="n"/>
      <c r="D103" s="31" t="n"/>
      <c r="E103" s="35">
        <f>IF(C103="","",IFERROR(INDEX(Pantry!$C$6:$C$305,MATCH(C103,Pantry!$B$6:$B$305,0))&amp;"","Add to Pantry"))</f>
        <v/>
      </c>
      <c r="F103" s="25">
        <f>IF(OR(C103="",E103="Add to Pantry"),"",ROUND(N(D103)*INDEX(Pantry!$N$6:$N$305,MATCH(C103,Pantry!$B$6:$B$305,0)),2))</f>
        <v/>
      </c>
      <c r="G103" s="35">
        <f>IF(OR(B103="",C103=""),"",IFERROR(ROUND(N(D103)*N(INDEX(Recipes!$H$6:$H$105,MATCH(B103,Recipes!$B$6:$B$105,0)))/IF(N(INDEX(Recipes!$D$6:$D$105,MATCH(B103,Recipes!$B$6:$B$105,0)))&gt;0,INDEX(Recipes!$D$6:$D$105,MATCH(B103,Recipes!$B$6:$B$105,0)),1),2),0))</f>
        <v/>
      </c>
      <c r="H103" s="1" t="n"/>
    </row>
    <row r="104">
      <c r="A104" s="1" t="n"/>
      <c r="B104" s="33" t="n"/>
      <c r="C104" s="33" t="n"/>
      <c r="D104" s="31" t="n"/>
      <c r="E104" s="35">
        <f>IF(C104="","",IFERROR(INDEX(Pantry!$C$6:$C$305,MATCH(C104,Pantry!$B$6:$B$305,0))&amp;"","Add to Pantry"))</f>
        <v/>
      </c>
      <c r="F104" s="25">
        <f>IF(OR(C104="",E104="Add to Pantry"),"",ROUND(N(D104)*INDEX(Pantry!$N$6:$N$305,MATCH(C104,Pantry!$B$6:$B$305,0)),2))</f>
        <v/>
      </c>
      <c r="G104" s="35">
        <f>IF(OR(B104="",C104=""),"",IFERROR(ROUND(N(D104)*N(INDEX(Recipes!$H$6:$H$105,MATCH(B104,Recipes!$B$6:$B$105,0)))/IF(N(INDEX(Recipes!$D$6:$D$105,MATCH(B104,Recipes!$B$6:$B$105,0)))&gt;0,INDEX(Recipes!$D$6:$D$105,MATCH(B104,Recipes!$B$6:$B$105,0)),1),2),0))</f>
        <v/>
      </c>
      <c r="H104" s="1" t="n"/>
    </row>
    <row r="105">
      <c r="A105" s="1" t="n"/>
      <c r="B105" s="33" t="n"/>
      <c r="C105" s="33" t="n"/>
      <c r="D105" s="31" t="n"/>
      <c r="E105" s="35">
        <f>IF(C105="","",IFERROR(INDEX(Pantry!$C$6:$C$305,MATCH(C105,Pantry!$B$6:$B$305,0))&amp;"","Add to Pantry"))</f>
        <v/>
      </c>
      <c r="F105" s="25">
        <f>IF(OR(C105="",E105="Add to Pantry"),"",ROUND(N(D105)*INDEX(Pantry!$N$6:$N$305,MATCH(C105,Pantry!$B$6:$B$305,0)),2))</f>
        <v/>
      </c>
      <c r="G105" s="35">
        <f>IF(OR(B105="",C105=""),"",IFERROR(ROUND(N(D105)*N(INDEX(Recipes!$H$6:$H$105,MATCH(B105,Recipes!$B$6:$B$105,0)))/IF(N(INDEX(Recipes!$D$6:$D$105,MATCH(B105,Recipes!$B$6:$B$105,0)))&gt;0,INDEX(Recipes!$D$6:$D$105,MATCH(B105,Recipes!$B$6:$B$105,0)),1),2),0))</f>
        <v/>
      </c>
      <c r="H105" s="1" t="n"/>
    </row>
    <row r="106">
      <c r="A106" s="1" t="n"/>
      <c r="B106" s="33" t="n"/>
      <c r="C106" s="33" t="n"/>
      <c r="D106" s="31" t="n"/>
      <c r="E106" s="35">
        <f>IF(C106="","",IFERROR(INDEX(Pantry!$C$6:$C$305,MATCH(C106,Pantry!$B$6:$B$305,0))&amp;"","Add to Pantry"))</f>
        <v/>
      </c>
      <c r="F106" s="25">
        <f>IF(OR(C106="",E106="Add to Pantry"),"",ROUND(N(D106)*INDEX(Pantry!$N$6:$N$305,MATCH(C106,Pantry!$B$6:$B$305,0)),2))</f>
        <v/>
      </c>
      <c r="G106" s="35">
        <f>IF(OR(B106="",C106=""),"",IFERROR(ROUND(N(D106)*N(INDEX(Recipes!$H$6:$H$105,MATCH(B106,Recipes!$B$6:$B$105,0)))/IF(N(INDEX(Recipes!$D$6:$D$105,MATCH(B106,Recipes!$B$6:$B$105,0)))&gt;0,INDEX(Recipes!$D$6:$D$105,MATCH(B106,Recipes!$B$6:$B$105,0)),1),2),0))</f>
        <v/>
      </c>
      <c r="H106" s="1" t="n"/>
    </row>
    <row r="107">
      <c r="A107" s="1" t="n"/>
      <c r="B107" s="33" t="n"/>
      <c r="C107" s="33" t="n"/>
      <c r="D107" s="31" t="n"/>
      <c r="E107" s="35">
        <f>IF(C107="","",IFERROR(INDEX(Pantry!$C$6:$C$305,MATCH(C107,Pantry!$B$6:$B$305,0))&amp;"","Add to Pantry"))</f>
        <v/>
      </c>
      <c r="F107" s="25">
        <f>IF(OR(C107="",E107="Add to Pantry"),"",ROUND(N(D107)*INDEX(Pantry!$N$6:$N$305,MATCH(C107,Pantry!$B$6:$B$305,0)),2))</f>
        <v/>
      </c>
      <c r="G107" s="35">
        <f>IF(OR(B107="",C107=""),"",IFERROR(ROUND(N(D107)*N(INDEX(Recipes!$H$6:$H$105,MATCH(B107,Recipes!$B$6:$B$105,0)))/IF(N(INDEX(Recipes!$D$6:$D$105,MATCH(B107,Recipes!$B$6:$B$105,0)))&gt;0,INDEX(Recipes!$D$6:$D$105,MATCH(B107,Recipes!$B$6:$B$105,0)),1),2),0))</f>
        <v/>
      </c>
      <c r="H107" s="1" t="n"/>
    </row>
    <row r="108">
      <c r="A108" s="1" t="n"/>
      <c r="B108" s="33" t="n"/>
      <c r="C108" s="33" t="n"/>
      <c r="D108" s="31" t="n"/>
      <c r="E108" s="35">
        <f>IF(C108="","",IFERROR(INDEX(Pantry!$C$6:$C$305,MATCH(C108,Pantry!$B$6:$B$305,0))&amp;"","Add to Pantry"))</f>
        <v/>
      </c>
      <c r="F108" s="25">
        <f>IF(OR(C108="",E108="Add to Pantry"),"",ROUND(N(D108)*INDEX(Pantry!$N$6:$N$305,MATCH(C108,Pantry!$B$6:$B$305,0)),2))</f>
        <v/>
      </c>
      <c r="G108" s="35">
        <f>IF(OR(B108="",C108=""),"",IFERROR(ROUND(N(D108)*N(INDEX(Recipes!$H$6:$H$105,MATCH(B108,Recipes!$B$6:$B$105,0)))/IF(N(INDEX(Recipes!$D$6:$D$105,MATCH(B108,Recipes!$B$6:$B$105,0)))&gt;0,INDEX(Recipes!$D$6:$D$105,MATCH(B108,Recipes!$B$6:$B$105,0)),1),2),0))</f>
        <v/>
      </c>
      <c r="H108" s="1" t="n"/>
    </row>
    <row r="109">
      <c r="A109" s="1" t="n"/>
      <c r="B109" s="33" t="n"/>
      <c r="C109" s="33" t="n"/>
      <c r="D109" s="31" t="n"/>
      <c r="E109" s="35">
        <f>IF(C109="","",IFERROR(INDEX(Pantry!$C$6:$C$305,MATCH(C109,Pantry!$B$6:$B$305,0))&amp;"","Add to Pantry"))</f>
        <v/>
      </c>
      <c r="F109" s="25">
        <f>IF(OR(C109="",E109="Add to Pantry"),"",ROUND(N(D109)*INDEX(Pantry!$N$6:$N$305,MATCH(C109,Pantry!$B$6:$B$305,0)),2))</f>
        <v/>
      </c>
      <c r="G109" s="35">
        <f>IF(OR(B109="",C109=""),"",IFERROR(ROUND(N(D109)*N(INDEX(Recipes!$H$6:$H$105,MATCH(B109,Recipes!$B$6:$B$105,0)))/IF(N(INDEX(Recipes!$D$6:$D$105,MATCH(B109,Recipes!$B$6:$B$105,0)))&gt;0,INDEX(Recipes!$D$6:$D$105,MATCH(B109,Recipes!$B$6:$B$105,0)),1),2),0))</f>
        <v/>
      </c>
      <c r="H109" s="1" t="n"/>
    </row>
    <row r="110">
      <c r="A110" s="1" t="n"/>
      <c r="B110" s="33" t="n"/>
      <c r="C110" s="33" t="n"/>
      <c r="D110" s="31" t="n"/>
      <c r="E110" s="35">
        <f>IF(C110="","",IFERROR(INDEX(Pantry!$C$6:$C$305,MATCH(C110,Pantry!$B$6:$B$305,0))&amp;"","Add to Pantry"))</f>
        <v/>
      </c>
      <c r="F110" s="25">
        <f>IF(OR(C110="",E110="Add to Pantry"),"",ROUND(N(D110)*INDEX(Pantry!$N$6:$N$305,MATCH(C110,Pantry!$B$6:$B$305,0)),2))</f>
        <v/>
      </c>
      <c r="G110" s="35">
        <f>IF(OR(B110="",C110=""),"",IFERROR(ROUND(N(D110)*N(INDEX(Recipes!$H$6:$H$105,MATCH(B110,Recipes!$B$6:$B$105,0)))/IF(N(INDEX(Recipes!$D$6:$D$105,MATCH(B110,Recipes!$B$6:$B$105,0)))&gt;0,INDEX(Recipes!$D$6:$D$105,MATCH(B110,Recipes!$B$6:$B$105,0)),1),2),0))</f>
        <v/>
      </c>
      <c r="H110" s="1" t="n"/>
    </row>
    <row r="111">
      <c r="A111" s="1" t="n"/>
      <c r="B111" s="33" t="n"/>
      <c r="C111" s="33" t="n"/>
      <c r="D111" s="31" t="n"/>
      <c r="E111" s="35">
        <f>IF(C111="","",IFERROR(INDEX(Pantry!$C$6:$C$305,MATCH(C111,Pantry!$B$6:$B$305,0))&amp;"","Add to Pantry"))</f>
        <v/>
      </c>
      <c r="F111" s="25">
        <f>IF(OR(C111="",E111="Add to Pantry"),"",ROUND(N(D111)*INDEX(Pantry!$N$6:$N$305,MATCH(C111,Pantry!$B$6:$B$305,0)),2))</f>
        <v/>
      </c>
      <c r="G111" s="35">
        <f>IF(OR(B111="",C111=""),"",IFERROR(ROUND(N(D111)*N(INDEX(Recipes!$H$6:$H$105,MATCH(B111,Recipes!$B$6:$B$105,0)))/IF(N(INDEX(Recipes!$D$6:$D$105,MATCH(B111,Recipes!$B$6:$B$105,0)))&gt;0,INDEX(Recipes!$D$6:$D$105,MATCH(B111,Recipes!$B$6:$B$105,0)),1),2),0))</f>
        <v/>
      </c>
      <c r="H111" s="1" t="n"/>
    </row>
    <row r="112">
      <c r="A112" s="1" t="n"/>
      <c r="B112" s="33" t="n"/>
      <c r="C112" s="33" t="n"/>
      <c r="D112" s="31" t="n"/>
      <c r="E112" s="35">
        <f>IF(C112="","",IFERROR(INDEX(Pantry!$C$6:$C$305,MATCH(C112,Pantry!$B$6:$B$305,0))&amp;"","Add to Pantry"))</f>
        <v/>
      </c>
      <c r="F112" s="25">
        <f>IF(OR(C112="",E112="Add to Pantry"),"",ROUND(N(D112)*INDEX(Pantry!$N$6:$N$305,MATCH(C112,Pantry!$B$6:$B$305,0)),2))</f>
        <v/>
      </c>
      <c r="G112" s="35">
        <f>IF(OR(B112="",C112=""),"",IFERROR(ROUND(N(D112)*N(INDEX(Recipes!$H$6:$H$105,MATCH(B112,Recipes!$B$6:$B$105,0)))/IF(N(INDEX(Recipes!$D$6:$D$105,MATCH(B112,Recipes!$B$6:$B$105,0)))&gt;0,INDEX(Recipes!$D$6:$D$105,MATCH(B112,Recipes!$B$6:$B$105,0)),1),2),0))</f>
        <v/>
      </c>
      <c r="H112" s="1" t="n"/>
    </row>
    <row r="113">
      <c r="A113" s="1" t="n"/>
      <c r="B113" s="33" t="n"/>
      <c r="C113" s="33" t="n"/>
      <c r="D113" s="31" t="n"/>
      <c r="E113" s="35">
        <f>IF(C113="","",IFERROR(INDEX(Pantry!$C$6:$C$305,MATCH(C113,Pantry!$B$6:$B$305,0))&amp;"","Add to Pantry"))</f>
        <v/>
      </c>
      <c r="F113" s="25">
        <f>IF(OR(C113="",E113="Add to Pantry"),"",ROUND(N(D113)*INDEX(Pantry!$N$6:$N$305,MATCH(C113,Pantry!$B$6:$B$305,0)),2))</f>
        <v/>
      </c>
      <c r="G113" s="35">
        <f>IF(OR(B113="",C113=""),"",IFERROR(ROUND(N(D113)*N(INDEX(Recipes!$H$6:$H$105,MATCH(B113,Recipes!$B$6:$B$105,0)))/IF(N(INDEX(Recipes!$D$6:$D$105,MATCH(B113,Recipes!$B$6:$B$105,0)))&gt;0,INDEX(Recipes!$D$6:$D$105,MATCH(B113,Recipes!$B$6:$B$105,0)),1),2),0))</f>
        <v/>
      </c>
      <c r="H113" s="1" t="n"/>
    </row>
    <row r="114">
      <c r="A114" s="1" t="n"/>
      <c r="B114" s="33" t="n"/>
      <c r="C114" s="33" t="n"/>
      <c r="D114" s="31" t="n"/>
      <c r="E114" s="35">
        <f>IF(C114="","",IFERROR(INDEX(Pantry!$C$6:$C$305,MATCH(C114,Pantry!$B$6:$B$305,0))&amp;"","Add to Pantry"))</f>
        <v/>
      </c>
      <c r="F114" s="25">
        <f>IF(OR(C114="",E114="Add to Pantry"),"",ROUND(N(D114)*INDEX(Pantry!$N$6:$N$305,MATCH(C114,Pantry!$B$6:$B$305,0)),2))</f>
        <v/>
      </c>
      <c r="G114" s="35">
        <f>IF(OR(B114="",C114=""),"",IFERROR(ROUND(N(D114)*N(INDEX(Recipes!$H$6:$H$105,MATCH(B114,Recipes!$B$6:$B$105,0)))/IF(N(INDEX(Recipes!$D$6:$D$105,MATCH(B114,Recipes!$B$6:$B$105,0)))&gt;0,INDEX(Recipes!$D$6:$D$105,MATCH(B114,Recipes!$B$6:$B$105,0)),1),2),0))</f>
        <v/>
      </c>
      <c r="H114" s="1" t="n"/>
    </row>
    <row r="115">
      <c r="A115" s="1" t="n"/>
      <c r="B115" s="33" t="n"/>
      <c r="C115" s="33" t="n"/>
      <c r="D115" s="31" t="n"/>
      <c r="E115" s="35">
        <f>IF(C115="","",IFERROR(INDEX(Pantry!$C$6:$C$305,MATCH(C115,Pantry!$B$6:$B$305,0))&amp;"","Add to Pantry"))</f>
        <v/>
      </c>
      <c r="F115" s="25">
        <f>IF(OR(C115="",E115="Add to Pantry"),"",ROUND(N(D115)*INDEX(Pantry!$N$6:$N$305,MATCH(C115,Pantry!$B$6:$B$305,0)),2))</f>
        <v/>
      </c>
      <c r="G115" s="35">
        <f>IF(OR(B115="",C115=""),"",IFERROR(ROUND(N(D115)*N(INDEX(Recipes!$H$6:$H$105,MATCH(B115,Recipes!$B$6:$B$105,0)))/IF(N(INDEX(Recipes!$D$6:$D$105,MATCH(B115,Recipes!$B$6:$B$105,0)))&gt;0,INDEX(Recipes!$D$6:$D$105,MATCH(B115,Recipes!$B$6:$B$105,0)),1),2),0))</f>
        <v/>
      </c>
      <c r="H115" s="1" t="n"/>
    </row>
    <row r="116">
      <c r="A116" s="1" t="n"/>
      <c r="B116" s="33" t="n"/>
      <c r="C116" s="33" t="n"/>
      <c r="D116" s="31" t="n"/>
      <c r="E116" s="35">
        <f>IF(C116="","",IFERROR(INDEX(Pantry!$C$6:$C$305,MATCH(C116,Pantry!$B$6:$B$305,0))&amp;"","Add to Pantry"))</f>
        <v/>
      </c>
      <c r="F116" s="25">
        <f>IF(OR(C116="",E116="Add to Pantry"),"",ROUND(N(D116)*INDEX(Pantry!$N$6:$N$305,MATCH(C116,Pantry!$B$6:$B$305,0)),2))</f>
        <v/>
      </c>
      <c r="G116" s="35">
        <f>IF(OR(B116="",C116=""),"",IFERROR(ROUND(N(D116)*N(INDEX(Recipes!$H$6:$H$105,MATCH(B116,Recipes!$B$6:$B$105,0)))/IF(N(INDEX(Recipes!$D$6:$D$105,MATCH(B116,Recipes!$B$6:$B$105,0)))&gt;0,INDEX(Recipes!$D$6:$D$105,MATCH(B116,Recipes!$B$6:$B$105,0)),1),2),0))</f>
        <v/>
      </c>
      <c r="H116" s="1" t="n"/>
    </row>
    <row r="117">
      <c r="A117" s="1" t="n"/>
      <c r="B117" s="33" t="n"/>
      <c r="C117" s="33" t="n"/>
      <c r="D117" s="31" t="n"/>
      <c r="E117" s="35">
        <f>IF(C117="","",IFERROR(INDEX(Pantry!$C$6:$C$305,MATCH(C117,Pantry!$B$6:$B$305,0))&amp;"","Add to Pantry"))</f>
        <v/>
      </c>
      <c r="F117" s="25">
        <f>IF(OR(C117="",E117="Add to Pantry"),"",ROUND(N(D117)*INDEX(Pantry!$N$6:$N$305,MATCH(C117,Pantry!$B$6:$B$305,0)),2))</f>
        <v/>
      </c>
      <c r="G117" s="35">
        <f>IF(OR(B117="",C117=""),"",IFERROR(ROUND(N(D117)*N(INDEX(Recipes!$H$6:$H$105,MATCH(B117,Recipes!$B$6:$B$105,0)))/IF(N(INDEX(Recipes!$D$6:$D$105,MATCH(B117,Recipes!$B$6:$B$105,0)))&gt;0,INDEX(Recipes!$D$6:$D$105,MATCH(B117,Recipes!$B$6:$B$105,0)),1),2),0))</f>
        <v/>
      </c>
      <c r="H117" s="1" t="n"/>
    </row>
    <row r="118">
      <c r="A118" s="1" t="n"/>
      <c r="B118" s="33" t="n"/>
      <c r="C118" s="33" t="n"/>
      <c r="D118" s="31" t="n"/>
      <c r="E118" s="35">
        <f>IF(C118="","",IFERROR(INDEX(Pantry!$C$6:$C$305,MATCH(C118,Pantry!$B$6:$B$305,0))&amp;"","Add to Pantry"))</f>
        <v/>
      </c>
      <c r="F118" s="25">
        <f>IF(OR(C118="",E118="Add to Pantry"),"",ROUND(N(D118)*INDEX(Pantry!$N$6:$N$305,MATCH(C118,Pantry!$B$6:$B$305,0)),2))</f>
        <v/>
      </c>
      <c r="G118" s="35">
        <f>IF(OR(B118="",C118=""),"",IFERROR(ROUND(N(D118)*N(INDEX(Recipes!$H$6:$H$105,MATCH(B118,Recipes!$B$6:$B$105,0)))/IF(N(INDEX(Recipes!$D$6:$D$105,MATCH(B118,Recipes!$B$6:$B$105,0)))&gt;0,INDEX(Recipes!$D$6:$D$105,MATCH(B118,Recipes!$B$6:$B$105,0)),1),2),0))</f>
        <v/>
      </c>
      <c r="H118" s="1" t="n"/>
    </row>
    <row r="119">
      <c r="A119" s="1" t="n"/>
      <c r="B119" s="33" t="n"/>
      <c r="C119" s="33" t="n"/>
      <c r="D119" s="31" t="n"/>
      <c r="E119" s="35">
        <f>IF(C119="","",IFERROR(INDEX(Pantry!$C$6:$C$305,MATCH(C119,Pantry!$B$6:$B$305,0))&amp;"","Add to Pantry"))</f>
        <v/>
      </c>
      <c r="F119" s="25">
        <f>IF(OR(C119="",E119="Add to Pantry"),"",ROUND(N(D119)*INDEX(Pantry!$N$6:$N$305,MATCH(C119,Pantry!$B$6:$B$305,0)),2))</f>
        <v/>
      </c>
      <c r="G119" s="35">
        <f>IF(OR(B119="",C119=""),"",IFERROR(ROUND(N(D119)*N(INDEX(Recipes!$H$6:$H$105,MATCH(B119,Recipes!$B$6:$B$105,0)))/IF(N(INDEX(Recipes!$D$6:$D$105,MATCH(B119,Recipes!$B$6:$B$105,0)))&gt;0,INDEX(Recipes!$D$6:$D$105,MATCH(B119,Recipes!$B$6:$B$105,0)),1),2),0))</f>
        <v/>
      </c>
      <c r="H119" s="1" t="n"/>
    </row>
    <row r="120">
      <c r="A120" s="1" t="n"/>
      <c r="B120" s="33" t="n"/>
      <c r="C120" s="33" t="n"/>
      <c r="D120" s="31" t="n"/>
      <c r="E120" s="35">
        <f>IF(C120="","",IFERROR(INDEX(Pantry!$C$6:$C$305,MATCH(C120,Pantry!$B$6:$B$305,0))&amp;"","Add to Pantry"))</f>
        <v/>
      </c>
      <c r="F120" s="25">
        <f>IF(OR(C120="",E120="Add to Pantry"),"",ROUND(N(D120)*INDEX(Pantry!$N$6:$N$305,MATCH(C120,Pantry!$B$6:$B$305,0)),2))</f>
        <v/>
      </c>
      <c r="G120" s="35">
        <f>IF(OR(B120="",C120=""),"",IFERROR(ROUND(N(D120)*N(INDEX(Recipes!$H$6:$H$105,MATCH(B120,Recipes!$B$6:$B$105,0)))/IF(N(INDEX(Recipes!$D$6:$D$105,MATCH(B120,Recipes!$B$6:$B$105,0)))&gt;0,INDEX(Recipes!$D$6:$D$105,MATCH(B120,Recipes!$B$6:$B$105,0)),1),2),0))</f>
        <v/>
      </c>
      <c r="H120" s="1" t="n"/>
    </row>
    <row r="121">
      <c r="A121" s="1" t="n"/>
      <c r="B121" s="33" t="n"/>
      <c r="C121" s="33" t="n"/>
      <c r="D121" s="31" t="n"/>
      <c r="E121" s="35">
        <f>IF(C121="","",IFERROR(INDEX(Pantry!$C$6:$C$305,MATCH(C121,Pantry!$B$6:$B$305,0))&amp;"","Add to Pantry"))</f>
        <v/>
      </c>
      <c r="F121" s="25">
        <f>IF(OR(C121="",E121="Add to Pantry"),"",ROUND(N(D121)*INDEX(Pantry!$N$6:$N$305,MATCH(C121,Pantry!$B$6:$B$305,0)),2))</f>
        <v/>
      </c>
      <c r="G121" s="35">
        <f>IF(OR(B121="",C121=""),"",IFERROR(ROUND(N(D121)*N(INDEX(Recipes!$H$6:$H$105,MATCH(B121,Recipes!$B$6:$B$105,0)))/IF(N(INDEX(Recipes!$D$6:$D$105,MATCH(B121,Recipes!$B$6:$B$105,0)))&gt;0,INDEX(Recipes!$D$6:$D$105,MATCH(B121,Recipes!$B$6:$B$105,0)),1),2),0))</f>
        <v/>
      </c>
      <c r="H121" s="1" t="n"/>
    </row>
    <row r="122">
      <c r="A122" s="1" t="n"/>
      <c r="B122" s="33" t="n"/>
      <c r="C122" s="33" t="n"/>
      <c r="D122" s="31" t="n"/>
      <c r="E122" s="35">
        <f>IF(C122="","",IFERROR(INDEX(Pantry!$C$6:$C$305,MATCH(C122,Pantry!$B$6:$B$305,0))&amp;"","Add to Pantry"))</f>
        <v/>
      </c>
      <c r="F122" s="25">
        <f>IF(OR(C122="",E122="Add to Pantry"),"",ROUND(N(D122)*INDEX(Pantry!$N$6:$N$305,MATCH(C122,Pantry!$B$6:$B$305,0)),2))</f>
        <v/>
      </c>
      <c r="G122" s="35">
        <f>IF(OR(B122="",C122=""),"",IFERROR(ROUND(N(D122)*N(INDEX(Recipes!$H$6:$H$105,MATCH(B122,Recipes!$B$6:$B$105,0)))/IF(N(INDEX(Recipes!$D$6:$D$105,MATCH(B122,Recipes!$B$6:$B$105,0)))&gt;0,INDEX(Recipes!$D$6:$D$105,MATCH(B122,Recipes!$B$6:$B$105,0)),1),2),0))</f>
        <v/>
      </c>
      <c r="H122" s="1" t="n"/>
    </row>
    <row r="123">
      <c r="A123" s="1" t="n"/>
      <c r="B123" s="33" t="n"/>
      <c r="C123" s="33" t="n"/>
      <c r="D123" s="31" t="n"/>
      <c r="E123" s="35">
        <f>IF(C123="","",IFERROR(INDEX(Pantry!$C$6:$C$305,MATCH(C123,Pantry!$B$6:$B$305,0))&amp;"","Add to Pantry"))</f>
        <v/>
      </c>
      <c r="F123" s="25">
        <f>IF(OR(C123="",E123="Add to Pantry"),"",ROUND(N(D123)*INDEX(Pantry!$N$6:$N$305,MATCH(C123,Pantry!$B$6:$B$305,0)),2))</f>
        <v/>
      </c>
      <c r="G123" s="35">
        <f>IF(OR(B123="",C123=""),"",IFERROR(ROUND(N(D123)*N(INDEX(Recipes!$H$6:$H$105,MATCH(B123,Recipes!$B$6:$B$105,0)))/IF(N(INDEX(Recipes!$D$6:$D$105,MATCH(B123,Recipes!$B$6:$B$105,0)))&gt;0,INDEX(Recipes!$D$6:$D$105,MATCH(B123,Recipes!$B$6:$B$105,0)),1),2),0))</f>
        <v/>
      </c>
      <c r="H123" s="1" t="n"/>
    </row>
    <row r="124">
      <c r="A124" s="1" t="n"/>
      <c r="B124" s="33" t="n"/>
      <c r="C124" s="33" t="n"/>
      <c r="D124" s="31" t="n"/>
      <c r="E124" s="35">
        <f>IF(C124="","",IFERROR(INDEX(Pantry!$C$6:$C$305,MATCH(C124,Pantry!$B$6:$B$305,0))&amp;"","Add to Pantry"))</f>
        <v/>
      </c>
      <c r="F124" s="25">
        <f>IF(OR(C124="",E124="Add to Pantry"),"",ROUND(N(D124)*INDEX(Pantry!$N$6:$N$305,MATCH(C124,Pantry!$B$6:$B$305,0)),2))</f>
        <v/>
      </c>
      <c r="G124" s="35">
        <f>IF(OR(B124="",C124=""),"",IFERROR(ROUND(N(D124)*N(INDEX(Recipes!$H$6:$H$105,MATCH(B124,Recipes!$B$6:$B$105,0)))/IF(N(INDEX(Recipes!$D$6:$D$105,MATCH(B124,Recipes!$B$6:$B$105,0)))&gt;0,INDEX(Recipes!$D$6:$D$105,MATCH(B124,Recipes!$B$6:$B$105,0)),1),2),0))</f>
        <v/>
      </c>
      <c r="H124" s="1" t="n"/>
    </row>
    <row r="125">
      <c r="A125" s="1" t="n"/>
      <c r="B125" s="33" t="n"/>
      <c r="C125" s="33" t="n"/>
      <c r="D125" s="31" t="n"/>
      <c r="E125" s="35">
        <f>IF(C125="","",IFERROR(INDEX(Pantry!$C$6:$C$305,MATCH(C125,Pantry!$B$6:$B$305,0))&amp;"","Add to Pantry"))</f>
        <v/>
      </c>
      <c r="F125" s="25">
        <f>IF(OR(C125="",E125="Add to Pantry"),"",ROUND(N(D125)*INDEX(Pantry!$N$6:$N$305,MATCH(C125,Pantry!$B$6:$B$305,0)),2))</f>
        <v/>
      </c>
      <c r="G125" s="35">
        <f>IF(OR(B125="",C125=""),"",IFERROR(ROUND(N(D125)*N(INDEX(Recipes!$H$6:$H$105,MATCH(B125,Recipes!$B$6:$B$105,0)))/IF(N(INDEX(Recipes!$D$6:$D$105,MATCH(B125,Recipes!$B$6:$B$105,0)))&gt;0,INDEX(Recipes!$D$6:$D$105,MATCH(B125,Recipes!$B$6:$B$105,0)),1),2),0))</f>
        <v/>
      </c>
      <c r="H125" s="1" t="n"/>
    </row>
    <row r="126">
      <c r="A126" s="1" t="n"/>
      <c r="B126" s="33" t="n"/>
      <c r="C126" s="33" t="n"/>
      <c r="D126" s="31" t="n"/>
      <c r="E126" s="35">
        <f>IF(C126="","",IFERROR(INDEX(Pantry!$C$6:$C$305,MATCH(C126,Pantry!$B$6:$B$305,0))&amp;"","Add to Pantry"))</f>
        <v/>
      </c>
      <c r="F126" s="25">
        <f>IF(OR(C126="",E126="Add to Pantry"),"",ROUND(N(D126)*INDEX(Pantry!$N$6:$N$305,MATCH(C126,Pantry!$B$6:$B$305,0)),2))</f>
        <v/>
      </c>
      <c r="G126" s="35">
        <f>IF(OR(B126="",C126=""),"",IFERROR(ROUND(N(D126)*N(INDEX(Recipes!$H$6:$H$105,MATCH(B126,Recipes!$B$6:$B$105,0)))/IF(N(INDEX(Recipes!$D$6:$D$105,MATCH(B126,Recipes!$B$6:$B$105,0)))&gt;0,INDEX(Recipes!$D$6:$D$105,MATCH(B126,Recipes!$B$6:$B$105,0)),1),2),0))</f>
        <v/>
      </c>
      <c r="H126" s="1" t="n"/>
    </row>
    <row r="127">
      <c r="A127" s="1" t="n"/>
      <c r="B127" s="33" t="n"/>
      <c r="C127" s="33" t="n"/>
      <c r="D127" s="31" t="n"/>
      <c r="E127" s="35">
        <f>IF(C127="","",IFERROR(INDEX(Pantry!$C$6:$C$305,MATCH(C127,Pantry!$B$6:$B$305,0))&amp;"","Add to Pantry"))</f>
        <v/>
      </c>
      <c r="F127" s="25">
        <f>IF(OR(C127="",E127="Add to Pantry"),"",ROUND(N(D127)*INDEX(Pantry!$N$6:$N$305,MATCH(C127,Pantry!$B$6:$B$305,0)),2))</f>
        <v/>
      </c>
      <c r="G127" s="35">
        <f>IF(OR(B127="",C127=""),"",IFERROR(ROUND(N(D127)*N(INDEX(Recipes!$H$6:$H$105,MATCH(B127,Recipes!$B$6:$B$105,0)))/IF(N(INDEX(Recipes!$D$6:$D$105,MATCH(B127,Recipes!$B$6:$B$105,0)))&gt;0,INDEX(Recipes!$D$6:$D$105,MATCH(B127,Recipes!$B$6:$B$105,0)),1),2),0))</f>
        <v/>
      </c>
      <c r="H127" s="1" t="n"/>
    </row>
    <row r="128">
      <c r="A128" s="1" t="n"/>
      <c r="B128" s="33" t="n"/>
      <c r="C128" s="33" t="n"/>
      <c r="D128" s="31" t="n"/>
      <c r="E128" s="35">
        <f>IF(C128="","",IFERROR(INDEX(Pantry!$C$6:$C$305,MATCH(C128,Pantry!$B$6:$B$305,0))&amp;"","Add to Pantry"))</f>
        <v/>
      </c>
      <c r="F128" s="25">
        <f>IF(OR(C128="",E128="Add to Pantry"),"",ROUND(N(D128)*INDEX(Pantry!$N$6:$N$305,MATCH(C128,Pantry!$B$6:$B$305,0)),2))</f>
        <v/>
      </c>
      <c r="G128" s="35">
        <f>IF(OR(B128="",C128=""),"",IFERROR(ROUND(N(D128)*N(INDEX(Recipes!$H$6:$H$105,MATCH(B128,Recipes!$B$6:$B$105,0)))/IF(N(INDEX(Recipes!$D$6:$D$105,MATCH(B128,Recipes!$B$6:$B$105,0)))&gt;0,INDEX(Recipes!$D$6:$D$105,MATCH(B128,Recipes!$B$6:$B$105,0)),1),2),0))</f>
        <v/>
      </c>
      <c r="H128" s="1" t="n"/>
    </row>
    <row r="129">
      <c r="A129" s="1" t="n"/>
      <c r="B129" s="33" t="n"/>
      <c r="C129" s="33" t="n"/>
      <c r="D129" s="31" t="n"/>
      <c r="E129" s="35">
        <f>IF(C129="","",IFERROR(INDEX(Pantry!$C$6:$C$305,MATCH(C129,Pantry!$B$6:$B$305,0))&amp;"","Add to Pantry"))</f>
        <v/>
      </c>
      <c r="F129" s="25">
        <f>IF(OR(C129="",E129="Add to Pantry"),"",ROUND(N(D129)*INDEX(Pantry!$N$6:$N$305,MATCH(C129,Pantry!$B$6:$B$305,0)),2))</f>
        <v/>
      </c>
      <c r="G129" s="35">
        <f>IF(OR(B129="",C129=""),"",IFERROR(ROUND(N(D129)*N(INDEX(Recipes!$H$6:$H$105,MATCH(B129,Recipes!$B$6:$B$105,0)))/IF(N(INDEX(Recipes!$D$6:$D$105,MATCH(B129,Recipes!$B$6:$B$105,0)))&gt;0,INDEX(Recipes!$D$6:$D$105,MATCH(B129,Recipes!$B$6:$B$105,0)),1),2),0))</f>
        <v/>
      </c>
      <c r="H129" s="1" t="n"/>
    </row>
    <row r="130">
      <c r="A130" s="1" t="n"/>
      <c r="B130" s="33" t="n"/>
      <c r="C130" s="33" t="n"/>
      <c r="D130" s="31" t="n"/>
      <c r="E130" s="35">
        <f>IF(C130="","",IFERROR(INDEX(Pantry!$C$6:$C$305,MATCH(C130,Pantry!$B$6:$B$305,0))&amp;"","Add to Pantry"))</f>
        <v/>
      </c>
      <c r="F130" s="25">
        <f>IF(OR(C130="",E130="Add to Pantry"),"",ROUND(N(D130)*INDEX(Pantry!$N$6:$N$305,MATCH(C130,Pantry!$B$6:$B$305,0)),2))</f>
        <v/>
      </c>
      <c r="G130" s="35">
        <f>IF(OR(B130="",C130=""),"",IFERROR(ROUND(N(D130)*N(INDEX(Recipes!$H$6:$H$105,MATCH(B130,Recipes!$B$6:$B$105,0)))/IF(N(INDEX(Recipes!$D$6:$D$105,MATCH(B130,Recipes!$B$6:$B$105,0)))&gt;0,INDEX(Recipes!$D$6:$D$105,MATCH(B130,Recipes!$B$6:$B$105,0)),1),2),0))</f>
        <v/>
      </c>
      <c r="H130" s="1" t="n"/>
    </row>
    <row r="131">
      <c r="A131" s="1" t="n"/>
      <c r="B131" s="33" t="n"/>
      <c r="C131" s="33" t="n"/>
      <c r="D131" s="31" t="n"/>
      <c r="E131" s="35">
        <f>IF(C131="","",IFERROR(INDEX(Pantry!$C$6:$C$305,MATCH(C131,Pantry!$B$6:$B$305,0))&amp;"","Add to Pantry"))</f>
        <v/>
      </c>
      <c r="F131" s="25">
        <f>IF(OR(C131="",E131="Add to Pantry"),"",ROUND(N(D131)*INDEX(Pantry!$N$6:$N$305,MATCH(C131,Pantry!$B$6:$B$305,0)),2))</f>
        <v/>
      </c>
      <c r="G131" s="35">
        <f>IF(OR(B131="",C131=""),"",IFERROR(ROUND(N(D131)*N(INDEX(Recipes!$H$6:$H$105,MATCH(B131,Recipes!$B$6:$B$105,0)))/IF(N(INDEX(Recipes!$D$6:$D$105,MATCH(B131,Recipes!$B$6:$B$105,0)))&gt;0,INDEX(Recipes!$D$6:$D$105,MATCH(B131,Recipes!$B$6:$B$105,0)),1),2),0))</f>
        <v/>
      </c>
      <c r="H131" s="1" t="n"/>
    </row>
    <row r="132">
      <c r="A132" s="1" t="n"/>
      <c r="B132" s="33" t="n"/>
      <c r="C132" s="33" t="n"/>
      <c r="D132" s="31" t="n"/>
      <c r="E132" s="35">
        <f>IF(C132="","",IFERROR(INDEX(Pantry!$C$6:$C$305,MATCH(C132,Pantry!$B$6:$B$305,0))&amp;"","Add to Pantry"))</f>
        <v/>
      </c>
      <c r="F132" s="25">
        <f>IF(OR(C132="",E132="Add to Pantry"),"",ROUND(N(D132)*INDEX(Pantry!$N$6:$N$305,MATCH(C132,Pantry!$B$6:$B$305,0)),2))</f>
        <v/>
      </c>
      <c r="G132" s="35">
        <f>IF(OR(B132="",C132=""),"",IFERROR(ROUND(N(D132)*N(INDEX(Recipes!$H$6:$H$105,MATCH(B132,Recipes!$B$6:$B$105,0)))/IF(N(INDEX(Recipes!$D$6:$D$105,MATCH(B132,Recipes!$B$6:$B$105,0)))&gt;0,INDEX(Recipes!$D$6:$D$105,MATCH(B132,Recipes!$B$6:$B$105,0)),1),2),0))</f>
        <v/>
      </c>
      <c r="H132" s="1" t="n"/>
    </row>
    <row r="133">
      <c r="A133" s="1" t="n"/>
      <c r="B133" s="33" t="n"/>
      <c r="C133" s="33" t="n"/>
      <c r="D133" s="31" t="n"/>
      <c r="E133" s="35">
        <f>IF(C133="","",IFERROR(INDEX(Pantry!$C$6:$C$305,MATCH(C133,Pantry!$B$6:$B$305,0))&amp;"","Add to Pantry"))</f>
        <v/>
      </c>
      <c r="F133" s="25">
        <f>IF(OR(C133="",E133="Add to Pantry"),"",ROUND(N(D133)*INDEX(Pantry!$N$6:$N$305,MATCH(C133,Pantry!$B$6:$B$305,0)),2))</f>
        <v/>
      </c>
      <c r="G133" s="35">
        <f>IF(OR(B133="",C133=""),"",IFERROR(ROUND(N(D133)*N(INDEX(Recipes!$H$6:$H$105,MATCH(B133,Recipes!$B$6:$B$105,0)))/IF(N(INDEX(Recipes!$D$6:$D$105,MATCH(B133,Recipes!$B$6:$B$105,0)))&gt;0,INDEX(Recipes!$D$6:$D$105,MATCH(B133,Recipes!$B$6:$B$105,0)),1),2),0))</f>
        <v/>
      </c>
      <c r="H133" s="1" t="n"/>
    </row>
    <row r="134">
      <c r="A134" s="1" t="n"/>
      <c r="B134" s="33" t="n"/>
      <c r="C134" s="33" t="n"/>
      <c r="D134" s="31" t="n"/>
      <c r="E134" s="35">
        <f>IF(C134="","",IFERROR(INDEX(Pantry!$C$6:$C$305,MATCH(C134,Pantry!$B$6:$B$305,0))&amp;"","Add to Pantry"))</f>
        <v/>
      </c>
      <c r="F134" s="25">
        <f>IF(OR(C134="",E134="Add to Pantry"),"",ROUND(N(D134)*INDEX(Pantry!$N$6:$N$305,MATCH(C134,Pantry!$B$6:$B$305,0)),2))</f>
        <v/>
      </c>
      <c r="G134" s="35">
        <f>IF(OR(B134="",C134=""),"",IFERROR(ROUND(N(D134)*N(INDEX(Recipes!$H$6:$H$105,MATCH(B134,Recipes!$B$6:$B$105,0)))/IF(N(INDEX(Recipes!$D$6:$D$105,MATCH(B134,Recipes!$B$6:$B$105,0)))&gt;0,INDEX(Recipes!$D$6:$D$105,MATCH(B134,Recipes!$B$6:$B$105,0)),1),2),0))</f>
        <v/>
      </c>
      <c r="H134" s="1" t="n"/>
    </row>
    <row r="135">
      <c r="A135" s="1" t="n"/>
      <c r="B135" s="33" t="n"/>
      <c r="C135" s="33" t="n"/>
      <c r="D135" s="31" t="n"/>
      <c r="E135" s="35">
        <f>IF(C135="","",IFERROR(INDEX(Pantry!$C$6:$C$305,MATCH(C135,Pantry!$B$6:$B$305,0))&amp;"","Add to Pantry"))</f>
        <v/>
      </c>
      <c r="F135" s="25">
        <f>IF(OR(C135="",E135="Add to Pantry"),"",ROUND(N(D135)*INDEX(Pantry!$N$6:$N$305,MATCH(C135,Pantry!$B$6:$B$305,0)),2))</f>
        <v/>
      </c>
      <c r="G135" s="35">
        <f>IF(OR(B135="",C135=""),"",IFERROR(ROUND(N(D135)*N(INDEX(Recipes!$H$6:$H$105,MATCH(B135,Recipes!$B$6:$B$105,0)))/IF(N(INDEX(Recipes!$D$6:$D$105,MATCH(B135,Recipes!$B$6:$B$105,0)))&gt;0,INDEX(Recipes!$D$6:$D$105,MATCH(B135,Recipes!$B$6:$B$105,0)),1),2),0))</f>
        <v/>
      </c>
      <c r="H135" s="1" t="n"/>
    </row>
    <row r="136">
      <c r="A136" s="1" t="n"/>
      <c r="B136" s="33" t="n"/>
      <c r="C136" s="33" t="n"/>
      <c r="D136" s="31" t="n"/>
      <c r="E136" s="35">
        <f>IF(C136="","",IFERROR(INDEX(Pantry!$C$6:$C$305,MATCH(C136,Pantry!$B$6:$B$305,0))&amp;"","Add to Pantry"))</f>
        <v/>
      </c>
      <c r="F136" s="25">
        <f>IF(OR(C136="",E136="Add to Pantry"),"",ROUND(N(D136)*INDEX(Pantry!$N$6:$N$305,MATCH(C136,Pantry!$B$6:$B$305,0)),2))</f>
        <v/>
      </c>
      <c r="G136" s="35">
        <f>IF(OR(B136="",C136=""),"",IFERROR(ROUND(N(D136)*N(INDEX(Recipes!$H$6:$H$105,MATCH(B136,Recipes!$B$6:$B$105,0)))/IF(N(INDEX(Recipes!$D$6:$D$105,MATCH(B136,Recipes!$B$6:$B$105,0)))&gt;0,INDEX(Recipes!$D$6:$D$105,MATCH(B136,Recipes!$B$6:$B$105,0)),1),2),0))</f>
        <v/>
      </c>
      <c r="H136" s="1" t="n"/>
    </row>
    <row r="137">
      <c r="A137" s="1" t="n"/>
      <c r="B137" s="33" t="n"/>
      <c r="C137" s="33" t="n"/>
      <c r="D137" s="31" t="n"/>
      <c r="E137" s="35">
        <f>IF(C137="","",IFERROR(INDEX(Pantry!$C$6:$C$305,MATCH(C137,Pantry!$B$6:$B$305,0))&amp;"","Add to Pantry"))</f>
        <v/>
      </c>
      <c r="F137" s="25">
        <f>IF(OR(C137="",E137="Add to Pantry"),"",ROUND(N(D137)*INDEX(Pantry!$N$6:$N$305,MATCH(C137,Pantry!$B$6:$B$305,0)),2))</f>
        <v/>
      </c>
      <c r="G137" s="35">
        <f>IF(OR(B137="",C137=""),"",IFERROR(ROUND(N(D137)*N(INDEX(Recipes!$H$6:$H$105,MATCH(B137,Recipes!$B$6:$B$105,0)))/IF(N(INDEX(Recipes!$D$6:$D$105,MATCH(B137,Recipes!$B$6:$B$105,0)))&gt;0,INDEX(Recipes!$D$6:$D$105,MATCH(B137,Recipes!$B$6:$B$105,0)),1),2),0))</f>
        <v/>
      </c>
      <c r="H137" s="1" t="n"/>
    </row>
    <row r="138">
      <c r="A138" s="1" t="n"/>
      <c r="B138" s="33" t="n"/>
      <c r="C138" s="33" t="n"/>
      <c r="D138" s="31" t="n"/>
      <c r="E138" s="35">
        <f>IF(C138="","",IFERROR(INDEX(Pantry!$C$6:$C$305,MATCH(C138,Pantry!$B$6:$B$305,0))&amp;"","Add to Pantry"))</f>
        <v/>
      </c>
      <c r="F138" s="25">
        <f>IF(OR(C138="",E138="Add to Pantry"),"",ROUND(N(D138)*INDEX(Pantry!$N$6:$N$305,MATCH(C138,Pantry!$B$6:$B$305,0)),2))</f>
        <v/>
      </c>
      <c r="G138" s="35">
        <f>IF(OR(B138="",C138=""),"",IFERROR(ROUND(N(D138)*N(INDEX(Recipes!$H$6:$H$105,MATCH(B138,Recipes!$B$6:$B$105,0)))/IF(N(INDEX(Recipes!$D$6:$D$105,MATCH(B138,Recipes!$B$6:$B$105,0)))&gt;0,INDEX(Recipes!$D$6:$D$105,MATCH(B138,Recipes!$B$6:$B$105,0)),1),2),0))</f>
        <v/>
      </c>
      <c r="H138" s="1" t="n"/>
    </row>
    <row r="139">
      <c r="A139" s="1" t="n"/>
      <c r="B139" s="33" t="n"/>
      <c r="C139" s="33" t="n"/>
      <c r="D139" s="31" t="n"/>
      <c r="E139" s="35">
        <f>IF(C139="","",IFERROR(INDEX(Pantry!$C$6:$C$305,MATCH(C139,Pantry!$B$6:$B$305,0))&amp;"","Add to Pantry"))</f>
        <v/>
      </c>
      <c r="F139" s="25">
        <f>IF(OR(C139="",E139="Add to Pantry"),"",ROUND(N(D139)*INDEX(Pantry!$N$6:$N$305,MATCH(C139,Pantry!$B$6:$B$305,0)),2))</f>
        <v/>
      </c>
      <c r="G139" s="35">
        <f>IF(OR(B139="",C139=""),"",IFERROR(ROUND(N(D139)*N(INDEX(Recipes!$H$6:$H$105,MATCH(B139,Recipes!$B$6:$B$105,0)))/IF(N(INDEX(Recipes!$D$6:$D$105,MATCH(B139,Recipes!$B$6:$B$105,0)))&gt;0,INDEX(Recipes!$D$6:$D$105,MATCH(B139,Recipes!$B$6:$B$105,0)),1),2),0))</f>
        <v/>
      </c>
      <c r="H139" s="1" t="n"/>
    </row>
    <row r="140">
      <c r="A140" s="1" t="n"/>
      <c r="B140" s="33" t="n"/>
      <c r="C140" s="33" t="n"/>
      <c r="D140" s="31" t="n"/>
      <c r="E140" s="35">
        <f>IF(C140="","",IFERROR(INDEX(Pantry!$C$6:$C$305,MATCH(C140,Pantry!$B$6:$B$305,0))&amp;"","Add to Pantry"))</f>
        <v/>
      </c>
      <c r="F140" s="25">
        <f>IF(OR(C140="",E140="Add to Pantry"),"",ROUND(N(D140)*INDEX(Pantry!$N$6:$N$305,MATCH(C140,Pantry!$B$6:$B$305,0)),2))</f>
        <v/>
      </c>
      <c r="G140" s="35">
        <f>IF(OR(B140="",C140=""),"",IFERROR(ROUND(N(D140)*N(INDEX(Recipes!$H$6:$H$105,MATCH(B140,Recipes!$B$6:$B$105,0)))/IF(N(INDEX(Recipes!$D$6:$D$105,MATCH(B140,Recipes!$B$6:$B$105,0)))&gt;0,INDEX(Recipes!$D$6:$D$105,MATCH(B140,Recipes!$B$6:$B$105,0)),1),2),0))</f>
        <v/>
      </c>
      <c r="H140" s="1" t="n"/>
    </row>
    <row r="141">
      <c r="A141" s="1" t="n"/>
      <c r="B141" s="33" t="n"/>
      <c r="C141" s="33" t="n"/>
      <c r="D141" s="31" t="n"/>
      <c r="E141" s="35">
        <f>IF(C141="","",IFERROR(INDEX(Pantry!$C$6:$C$305,MATCH(C141,Pantry!$B$6:$B$305,0))&amp;"","Add to Pantry"))</f>
        <v/>
      </c>
      <c r="F141" s="25">
        <f>IF(OR(C141="",E141="Add to Pantry"),"",ROUND(N(D141)*INDEX(Pantry!$N$6:$N$305,MATCH(C141,Pantry!$B$6:$B$305,0)),2))</f>
        <v/>
      </c>
      <c r="G141" s="35">
        <f>IF(OR(B141="",C141=""),"",IFERROR(ROUND(N(D141)*N(INDEX(Recipes!$H$6:$H$105,MATCH(B141,Recipes!$B$6:$B$105,0)))/IF(N(INDEX(Recipes!$D$6:$D$105,MATCH(B141,Recipes!$B$6:$B$105,0)))&gt;0,INDEX(Recipes!$D$6:$D$105,MATCH(B141,Recipes!$B$6:$B$105,0)),1),2),0))</f>
        <v/>
      </c>
      <c r="H141" s="1" t="n"/>
    </row>
    <row r="142">
      <c r="A142" s="1" t="n"/>
      <c r="B142" s="33" t="n"/>
      <c r="C142" s="33" t="n"/>
      <c r="D142" s="31" t="n"/>
      <c r="E142" s="35">
        <f>IF(C142="","",IFERROR(INDEX(Pantry!$C$6:$C$305,MATCH(C142,Pantry!$B$6:$B$305,0))&amp;"","Add to Pantry"))</f>
        <v/>
      </c>
      <c r="F142" s="25">
        <f>IF(OR(C142="",E142="Add to Pantry"),"",ROUND(N(D142)*INDEX(Pantry!$N$6:$N$305,MATCH(C142,Pantry!$B$6:$B$305,0)),2))</f>
        <v/>
      </c>
      <c r="G142" s="35">
        <f>IF(OR(B142="",C142=""),"",IFERROR(ROUND(N(D142)*N(INDEX(Recipes!$H$6:$H$105,MATCH(B142,Recipes!$B$6:$B$105,0)))/IF(N(INDEX(Recipes!$D$6:$D$105,MATCH(B142,Recipes!$B$6:$B$105,0)))&gt;0,INDEX(Recipes!$D$6:$D$105,MATCH(B142,Recipes!$B$6:$B$105,0)),1),2),0))</f>
        <v/>
      </c>
      <c r="H142" s="1" t="n"/>
    </row>
    <row r="143">
      <c r="A143" s="1" t="n"/>
      <c r="B143" s="33" t="n"/>
      <c r="C143" s="33" t="n"/>
      <c r="D143" s="31" t="n"/>
      <c r="E143" s="35">
        <f>IF(C143="","",IFERROR(INDEX(Pantry!$C$6:$C$305,MATCH(C143,Pantry!$B$6:$B$305,0))&amp;"","Add to Pantry"))</f>
        <v/>
      </c>
      <c r="F143" s="25">
        <f>IF(OR(C143="",E143="Add to Pantry"),"",ROUND(N(D143)*INDEX(Pantry!$N$6:$N$305,MATCH(C143,Pantry!$B$6:$B$305,0)),2))</f>
        <v/>
      </c>
      <c r="G143" s="35">
        <f>IF(OR(B143="",C143=""),"",IFERROR(ROUND(N(D143)*N(INDEX(Recipes!$H$6:$H$105,MATCH(B143,Recipes!$B$6:$B$105,0)))/IF(N(INDEX(Recipes!$D$6:$D$105,MATCH(B143,Recipes!$B$6:$B$105,0)))&gt;0,INDEX(Recipes!$D$6:$D$105,MATCH(B143,Recipes!$B$6:$B$105,0)),1),2),0))</f>
        <v/>
      </c>
      <c r="H143" s="1" t="n"/>
    </row>
    <row r="144">
      <c r="A144" s="1" t="n"/>
      <c r="B144" s="33" t="n"/>
      <c r="C144" s="33" t="n"/>
      <c r="D144" s="31" t="n"/>
      <c r="E144" s="35">
        <f>IF(C144="","",IFERROR(INDEX(Pantry!$C$6:$C$305,MATCH(C144,Pantry!$B$6:$B$305,0))&amp;"","Add to Pantry"))</f>
        <v/>
      </c>
      <c r="F144" s="25">
        <f>IF(OR(C144="",E144="Add to Pantry"),"",ROUND(N(D144)*INDEX(Pantry!$N$6:$N$305,MATCH(C144,Pantry!$B$6:$B$305,0)),2))</f>
        <v/>
      </c>
      <c r="G144" s="35">
        <f>IF(OR(B144="",C144=""),"",IFERROR(ROUND(N(D144)*N(INDEX(Recipes!$H$6:$H$105,MATCH(B144,Recipes!$B$6:$B$105,0)))/IF(N(INDEX(Recipes!$D$6:$D$105,MATCH(B144,Recipes!$B$6:$B$105,0)))&gt;0,INDEX(Recipes!$D$6:$D$105,MATCH(B144,Recipes!$B$6:$B$105,0)),1),2),0))</f>
        <v/>
      </c>
      <c r="H144" s="1" t="n"/>
    </row>
    <row r="145">
      <c r="A145" s="1" t="n"/>
      <c r="B145" s="33" t="n"/>
      <c r="C145" s="33" t="n"/>
      <c r="D145" s="31" t="n"/>
      <c r="E145" s="35">
        <f>IF(C145="","",IFERROR(INDEX(Pantry!$C$6:$C$305,MATCH(C145,Pantry!$B$6:$B$305,0))&amp;"","Add to Pantry"))</f>
        <v/>
      </c>
      <c r="F145" s="25">
        <f>IF(OR(C145="",E145="Add to Pantry"),"",ROUND(N(D145)*INDEX(Pantry!$N$6:$N$305,MATCH(C145,Pantry!$B$6:$B$305,0)),2))</f>
        <v/>
      </c>
      <c r="G145" s="35">
        <f>IF(OR(B145="",C145=""),"",IFERROR(ROUND(N(D145)*N(INDEX(Recipes!$H$6:$H$105,MATCH(B145,Recipes!$B$6:$B$105,0)))/IF(N(INDEX(Recipes!$D$6:$D$105,MATCH(B145,Recipes!$B$6:$B$105,0)))&gt;0,INDEX(Recipes!$D$6:$D$105,MATCH(B145,Recipes!$B$6:$B$105,0)),1),2),0))</f>
        <v/>
      </c>
      <c r="H145" s="1" t="n"/>
    </row>
    <row r="146">
      <c r="A146" s="1" t="n"/>
      <c r="B146" s="33" t="n"/>
      <c r="C146" s="33" t="n"/>
      <c r="D146" s="31" t="n"/>
      <c r="E146" s="35">
        <f>IF(C146="","",IFERROR(INDEX(Pantry!$C$6:$C$305,MATCH(C146,Pantry!$B$6:$B$305,0))&amp;"","Add to Pantry"))</f>
        <v/>
      </c>
      <c r="F146" s="25">
        <f>IF(OR(C146="",E146="Add to Pantry"),"",ROUND(N(D146)*INDEX(Pantry!$N$6:$N$305,MATCH(C146,Pantry!$B$6:$B$305,0)),2))</f>
        <v/>
      </c>
      <c r="G146" s="35">
        <f>IF(OR(B146="",C146=""),"",IFERROR(ROUND(N(D146)*N(INDEX(Recipes!$H$6:$H$105,MATCH(B146,Recipes!$B$6:$B$105,0)))/IF(N(INDEX(Recipes!$D$6:$D$105,MATCH(B146,Recipes!$B$6:$B$105,0)))&gt;0,INDEX(Recipes!$D$6:$D$105,MATCH(B146,Recipes!$B$6:$B$105,0)),1),2),0))</f>
        <v/>
      </c>
      <c r="H146" s="1" t="n"/>
    </row>
    <row r="147">
      <c r="A147" s="1" t="n"/>
      <c r="B147" s="33" t="n"/>
      <c r="C147" s="33" t="n"/>
      <c r="D147" s="31" t="n"/>
      <c r="E147" s="35">
        <f>IF(C147="","",IFERROR(INDEX(Pantry!$C$6:$C$305,MATCH(C147,Pantry!$B$6:$B$305,0))&amp;"","Add to Pantry"))</f>
        <v/>
      </c>
      <c r="F147" s="25">
        <f>IF(OR(C147="",E147="Add to Pantry"),"",ROUND(N(D147)*INDEX(Pantry!$N$6:$N$305,MATCH(C147,Pantry!$B$6:$B$305,0)),2))</f>
        <v/>
      </c>
      <c r="G147" s="35">
        <f>IF(OR(B147="",C147=""),"",IFERROR(ROUND(N(D147)*N(INDEX(Recipes!$H$6:$H$105,MATCH(B147,Recipes!$B$6:$B$105,0)))/IF(N(INDEX(Recipes!$D$6:$D$105,MATCH(B147,Recipes!$B$6:$B$105,0)))&gt;0,INDEX(Recipes!$D$6:$D$105,MATCH(B147,Recipes!$B$6:$B$105,0)),1),2),0))</f>
        <v/>
      </c>
      <c r="H147" s="1" t="n"/>
    </row>
    <row r="148">
      <c r="A148" s="1" t="n"/>
      <c r="B148" s="33" t="n"/>
      <c r="C148" s="33" t="n"/>
      <c r="D148" s="31" t="n"/>
      <c r="E148" s="35">
        <f>IF(C148="","",IFERROR(INDEX(Pantry!$C$6:$C$305,MATCH(C148,Pantry!$B$6:$B$305,0))&amp;"","Add to Pantry"))</f>
        <v/>
      </c>
      <c r="F148" s="25">
        <f>IF(OR(C148="",E148="Add to Pantry"),"",ROUND(N(D148)*INDEX(Pantry!$N$6:$N$305,MATCH(C148,Pantry!$B$6:$B$305,0)),2))</f>
        <v/>
      </c>
      <c r="G148" s="35">
        <f>IF(OR(B148="",C148=""),"",IFERROR(ROUND(N(D148)*N(INDEX(Recipes!$H$6:$H$105,MATCH(B148,Recipes!$B$6:$B$105,0)))/IF(N(INDEX(Recipes!$D$6:$D$105,MATCH(B148,Recipes!$B$6:$B$105,0)))&gt;0,INDEX(Recipes!$D$6:$D$105,MATCH(B148,Recipes!$B$6:$B$105,0)),1),2),0))</f>
        <v/>
      </c>
      <c r="H148" s="1" t="n"/>
    </row>
    <row r="149">
      <c r="A149" s="1" t="n"/>
      <c r="B149" s="33" t="n"/>
      <c r="C149" s="33" t="n"/>
      <c r="D149" s="31" t="n"/>
      <c r="E149" s="35">
        <f>IF(C149="","",IFERROR(INDEX(Pantry!$C$6:$C$305,MATCH(C149,Pantry!$B$6:$B$305,0))&amp;"","Add to Pantry"))</f>
        <v/>
      </c>
      <c r="F149" s="25">
        <f>IF(OR(C149="",E149="Add to Pantry"),"",ROUND(N(D149)*INDEX(Pantry!$N$6:$N$305,MATCH(C149,Pantry!$B$6:$B$305,0)),2))</f>
        <v/>
      </c>
      <c r="G149" s="35">
        <f>IF(OR(B149="",C149=""),"",IFERROR(ROUND(N(D149)*N(INDEX(Recipes!$H$6:$H$105,MATCH(B149,Recipes!$B$6:$B$105,0)))/IF(N(INDEX(Recipes!$D$6:$D$105,MATCH(B149,Recipes!$B$6:$B$105,0)))&gt;0,INDEX(Recipes!$D$6:$D$105,MATCH(B149,Recipes!$B$6:$B$105,0)),1),2),0))</f>
        <v/>
      </c>
      <c r="H149" s="1" t="n"/>
    </row>
    <row r="150">
      <c r="A150" s="1" t="n"/>
      <c r="B150" s="33" t="n"/>
      <c r="C150" s="33" t="n"/>
      <c r="D150" s="31" t="n"/>
      <c r="E150" s="35">
        <f>IF(C150="","",IFERROR(INDEX(Pantry!$C$6:$C$305,MATCH(C150,Pantry!$B$6:$B$305,0))&amp;"","Add to Pantry"))</f>
        <v/>
      </c>
      <c r="F150" s="25">
        <f>IF(OR(C150="",E150="Add to Pantry"),"",ROUND(N(D150)*INDEX(Pantry!$N$6:$N$305,MATCH(C150,Pantry!$B$6:$B$305,0)),2))</f>
        <v/>
      </c>
      <c r="G150" s="35">
        <f>IF(OR(B150="",C150=""),"",IFERROR(ROUND(N(D150)*N(INDEX(Recipes!$H$6:$H$105,MATCH(B150,Recipes!$B$6:$B$105,0)))/IF(N(INDEX(Recipes!$D$6:$D$105,MATCH(B150,Recipes!$B$6:$B$105,0)))&gt;0,INDEX(Recipes!$D$6:$D$105,MATCH(B150,Recipes!$B$6:$B$105,0)),1),2),0))</f>
        <v/>
      </c>
      <c r="H150" s="1" t="n"/>
    </row>
    <row r="151">
      <c r="A151" s="1" t="n"/>
      <c r="B151" s="33" t="n"/>
      <c r="C151" s="33" t="n"/>
      <c r="D151" s="31" t="n"/>
      <c r="E151" s="35">
        <f>IF(C151="","",IFERROR(INDEX(Pantry!$C$6:$C$305,MATCH(C151,Pantry!$B$6:$B$305,0))&amp;"","Add to Pantry"))</f>
        <v/>
      </c>
      <c r="F151" s="25">
        <f>IF(OR(C151="",E151="Add to Pantry"),"",ROUND(N(D151)*INDEX(Pantry!$N$6:$N$305,MATCH(C151,Pantry!$B$6:$B$305,0)),2))</f>
        <v/>
      </c>
      <c r="G151" s="35">
        <f>IF(OR(B151="",C151=""),"",IFERROR(ROUND(N(D151)*N(INDEX(Recipes!$H$6:$H$105,MATCH(B151,Recipes!$B$6:$B$105,0)))/IF(N(INDEX(Recipes!$D$6:$D$105,MATCH(B151,Recipes!$B$6:$B$105,0)))&gt;0,INDEX(Recipes!$D$6:$D$105,MATCH(B151,Recipes!$B$6:$B$105,0)),1),2),0))</f>
        <v/>
      </c>
      <c r="H151" s="1" t="n"/>
    </row>
    <row r="152">
      <c r="A152" s="1" t="n"/>
      <c r="B152" s="33" t="n"/>
      <c r="C152" s="33" t="n"/>
      <c r="D152" s="31" t="n"/>
      <c r="E152" s="35">
        <f>IF(C152="","",IFERROR(INDEX(Pantry!$C$6:$C$305,MATCH(C152,Pantry!$B$6:$B$305,0))&amp;"","Add to Pantry"))</f>
        <v/>
      </c>
      <c r="F152" s="25">
        <f>IF(OR(C152="",E152="Add to Pantry"),"",ROUND(N(D152)*INDEX(Pantry!$N$6:$N$305,MATCH(C152,Pantry!$B$6:$B$305,0)),2))</f>
        <v/>
      </c>
      <c r="G152" s="35">
        <f>IF(OR(B152="",C152=""),"",IFERROR(ROUND(N(D152)*N(INDEX(Recipes!$H$6:$H$105,MATCH(B152,Recipes!$B$6:$B$105,0)))/IF(N(INDEX(Recipes!$D$6:$D$105,MATCH(B152,Recipes!$B$6:$B$105,0)))&gt;0,INDEX(Recipes!$D$6:$D$105,MATCH(B152,Recipes!$B$6:$B$105,0)),1),2),0))</f>
        <v/>
      </c>
      <c r="H152" s="1" t="n"/>
    </row>
    <row r="153">
      <c r="A153" s="1" t="n"/>
      <c r="B153" s="33" t="n"/>
      <c r="C153" s="33" t="n"/>
      <c r="D153" s="31" t="n"/>
      <c r="E153" s="35">
        <f>IF(C153="","",IFERROR(INDEX(Pantry!$C$6:$C$305,MATCH(C153,Pantry!$B$6:$B$305,0))&amp;"","Add to Pantry"))</f>
        <v/>
      </c>
      <c r="F153" s="25">
        <f>IF(OR(C153="",E153="Add to Pantry"),"",ROUND(N(D153)*INDEX(Pantry!$N$6:$N$305,MATCH(C153,Pantry!$B$6:$B$305,0)),2))</f>
        <v/>
      </c>
      <c r="G153" s="35">
        <f>IF(OR(B153="",C153=""),"",IFERROR(ROUND(N(D153)*N(INDEX(Recipes!$H$6:$H$105,MATCH(B153,Recipes!$B$6:$B$105,0)))/IF(N(INDEX(Recipes!$D$6:$D$105,MATCH(B153,Recipes!$B$6:$B$105,0)))&gt;0,INDEX(Recipes!$D$6:$D$105,MATCH(B153,Recipes!$B$6:$B$105,0)),1),2),0))</f>
        <v/>
      </c>
      <c r="H153" s="1" t="n"/>
    </row>
    <row r="154">
      <c r="A154" s="1" t="n"/>
      <c r="B154" s="33" t="n"/>
      <c r="C154" s="33" t="n"/>
      <c r="D154" s="31" t="n"/>
      <c r="E154" s="35">
        <f>IF(C154="","",IFERROR(INDEX(Pantry!$C$6:$C$305,MATCH(C154,Pantry!$B$6:$B$305,0))&amp;"","Add to Pantry"))</f>
        <v/>
      </c>
      <c r="F154" s="25">
        <f>IF(OR(C154="",E154="Add to Pantry"),"",ROUND(N(D154)*INDEX(Pantry!$N$6:$N$305,MATCH(C154,Pantry!$B$6:$B$305,0)),2))</f>
        <v/>
      </c>
      <c r="G154" s="35">
        <f>IF(OR(B154="",C154=""),"",IFERROR(ROUND(N(D154)*N(INDEX(Recipes!$H$6:$H$105,MATCH(B154,Recipes!$B$6:$B$105,0)))/IF(N(INDEX(Recipes!$D$6:$D$105,MATCH(B154,Recipes!$B$6:$B$105,0)))&gt;0,INDEX(Recipes!$D$6:$D$105,MATCH(B154,Recipes!$B$6:$B$105,0)),1),2),0))</f>
        <v/>
      </c>
      <c r="H154" s="1" t="n"/>
    </row>
    <row r="155">
      <c r="A155" s="1" t="n"/>
      <c r="B155" s="33" t="n"/>
      <c r="C155" s="33" t="n"/>
      <c r="D155" s="31" t="n"/>
      <c r="E155" s="35">
        <f>IF(C155="","",IFERROR(INDEX(Pantry!$C$6:$C$305,MATCH(C155,Pantry!$B$6:$B$305,0))&amp;"","Add to Pantry"))</f>
        <v/>
      </c>
      <c r="F155" s="25">
        <f>IF(OR(C155="",E155="Add to Pantry"),"",ROUND(N(D155)*INDEX(Pantry!$N$6:$N$305,MATCH(C155,Pantry!$B$6:$B$305,0)),2))</f>
        <v/>
      </c>
      <c r="G155" s="35">
        <f>IF(OR(B155="",C155=""),"",IFERROR(ROUND(N(D155)*N(INDEX(Recipes!$H$6:$H$105,MATCH(B155,Recipes!$B$6:$B$105,0)))/IF(N(INDEX(Recipes!$D$6:$D$105,MATCH(B155,Recipes!$B$6:$B$105,0)))&gt;0,INDEX(Recipes!$D$6:$D$105,MATCH(B155,Recipes!$B$6:$B$105,0)),1),2),0))</f>
        <v/>
      </c>
      <c r="H155" s="1" t="n"/>
    </row>
    <row r="156">
      <c r="A156" s="1" t="n"/>
      <c r="B156" s="33" t="n"/>
      <c r="C156" s="33" t="n"/>
      <c r="D156" s="31" t="n"/>
      <c r="E156" s="35">
        <f>IF(C156="","",IFERROR(INDEX(Pantry!$C$6:$C$305,MATCH(C156,Pantry!$B$6:$B$305,0))&amp;"","Add to Pantry"))</f>
        <v/>
      </c>
      <c r="F156" s="25">
        <f>IF(OR(C156="",E156="Add to Pantry"),"",ROUND(N(D156)*INDEX(Pantry!$N$6:$N$305,MATCH(C156,Pantry!$B$6:$B$305,0)),2))</f>
        <v/>
      </c>
      <c r="G156" s="35">
        <f>IF(OR(B156="",C156=""),"",IFERROR(ROUND(N(D156)*N(INDEX(Recipes!$H$6:$H$105,MATCH(B156,Recipes!$B$6:$B$105,0)))/IF(N(INDEX(Recipes!$D$6:$D$105,MATCH(B156,Recipes!$B$6:$B$105,0)))&gt;0,INDEX(Recipes!$D$6:$D$105,MATCH(B156,Recipes!$B$6:$B$105,0)),1),2),0))</f>
        <v/>
      </c>
      <c r="H156" s="1" t="n"/>
    </row>
    <row r="157">
      <c r="A157" s="1" t="n"/>
      <c r="B157" s="33" t="n"/>
      <c r="C157" s="33" t="n"/>
      <c r="D157" s="31" t="n"/>
      <c r="E157" s="35">
        <f>IF(C157="","",IFERROR(INDEX(Pantry!$C$6:$C$305,MATCH(C157,Pantry!$B$6:$B$305,0))&amp;"","Add to Pantry"))</f>
        <v/>
      </c>
      <c r="F157" s="25">
        <f>IF(OR(C157="",E157="Add to Pantry"),"",ROUND(N(D157)*INDEX(Pantry!$N$6:$N$305,MATCH(C157,Pantry!$B$6:$B$305,0)),2))</f>
        <v/>
      </c>
      <c r="G157" s="35">
        <f>IF(OR(B157="",C157=""),"",IFERROR(ROUND(N(D157)*N(INDEX(Recipes!$H$6:$H$105,MATCH(B157,Recipes!$B$6:$B$105,0)))/IF(N(INDEX(Recipes!$D$6:$D$105,MATCH(B157,Recipes!$B$6:$B$105,0)))&gt;0,INDEX(Recipes!$D$6:$D$105,MATCH(B157,Recipes!$B$6:$B$105,0)),1),2),0))</f>
        <v/>
      </c>
      <c r="H157" s="1" t="n"/>
    </row>
    <row r="158">
      <c r="A158" s="1" t="n"/>
      <c r="B158" s="33" t="n"/>
      <c r="C158" s="33" t="n"/>
      <c r="D158" s="31" t="n"/>
      <c r="E158" s="35">
        <f>IF(C158="","",IFERROR(INDEX(Pantry!$C$6:$C$305,MATCH(C158,Pantry!$B$6:$B$305,0))&amp;"","Add to Pantry"))</f>
        <v/>
      </c>
      <c r="F158" s="25">
        <f>IF(OR(C158="",E158="Add to Pantry"),"",ROUND(N(D158)*INDEX(Pantry!$N$6:$N$305,MATCH(C158,Pantry!$B$6:$B$305,0)),2))</f>
        <v/>
      </c>
      <c r="G158" s="35">
        <f>IF(OR(B158="",C158=""),"",IFERROR(ROUND(N(D158)*N(INDEX(Recipes!$H$6:$H$105,MATCH(B158,Recipes!$B$6:$B$105,0)))/IF(N(INDEX(Recipes!$D$6:$D$105,MATCH(B158,Recipes!$B$6:$B$105,0)))&gt;0,INDEX(Recipes!$D$6:$D$105,MATCH(B158,Recipes!$B$6:$B$105,0)),1),2),0))</f>
        <v/>
      </c>
      <c r="H158" s="1" t="n"/>
    </row>
    <row r="159">
      <c r="A159" s="1" t="n"/>
      <c r="B159" s="33" t="n"/>
      <c r="C159" s="33" t="n"/>
      <c r="D159" s="31" t="n"/>
      <c r="E159" s="35">
        <f>IF(C159="","",IFERROR(INDEX(Pantry!$C$6:$C$305,MATCH(C159,Pantry!$B$6:$B$305,0))&amp;"","Add to Pantry"))</f>
        <v/>
      </c>
      <c r="F159" s="25">
        <f>IF(OR(C159="",E159="Add to Pantry"),"",ROUND(N(D159)*INDEX(Pantry!$N$6:$N$305,MATCH(C159,Pantry!$B$6:$B$305,0)),2))</f>
        <v/>
      </c>
      <c r="G159" s="35">
        <f>IF(OR(B159="",C159=""),"",IFERROR(ROUND(N(D159)*N(INDEX(Recipes!$H$6:$H$105,MATCH(B159,Recipes!$B$6:$B$105,0)))/IF(N(INDEX(Recipes!$D$6:$D$105,MATCH(B159,Recipes!$B$6:$B$105,0)))&gt;0,INDEX(Recipes!$D$6:$D$105,MATCH(B159,Recipes!$B$6:$B$105,0)),1),2),0))</f>
        <v/>
      </c>
      <c r="H159" s="1" t="n"/>
    </row>
    <row r="160">
      <c r="A160" s="1" t="n"/>
      <c r="B160" s="33" t="n"/>
      <c r="C160" s="33" t="n"/>
      <c r="D160" s="31" t="n"/>
      <c r="E160" s="35">
        <f>IF(C160="","",IFERROR(INDEX(Pantry!$C$6:$C$305,MATCH(C160,Pantry!$B$6:$B$305,0))&amp;"","Add to Pantry"))</f>
        <v/>
      </c>
      <c r="F160" s="25">
        <f>IF(OR(C160="",E160="Add to Pantry"),"",ROUND(N(D160)*INDEX(Pantry!$N$6:$N$305,MATCH(C160,Pantry!$B$6:$B$305,0)),2))</f>
        <v/>
      </c>
      <c r="G160" s="35">
        <f>IF(OR(B160="",C160=""),"",IFERROR(ROUND(N(D160)*N(INDEX(Recipes!$H$6:$H$105,MATCH(B160,Recipes!$B$6:$B$105,0)))/IF(N(INDEX(Recipes!$D$6:$D$105,MATCH(B160,Recipes!$B$6:$B$105,0)))&gt;0,INDEX(Recipes!$D$6:$D$105,MATCH(B160,Recipes!$B$6:$B$105,0)),1),2),0))</f>
        <v/>
      </c>
      <c r="H160" s="1" t="n"/>
    </row>
    <row r="161">
      <c r="A161" s="1" t="n"/>
      <c r="B161" s="33" t="n"/>
      <c r="C161" s="33" t="n"/>
      <c r="D161" s="31" t="n"/>
      <c r="E161" s="35">
        <f>IF(C161="","",IFERROR(INDEX(Pantry!$C$6:$C$305,MATCH(C161,Pantry!$B$6:$B$305,0))&amp;"","Add to Pantry"))</f>
        <v/>
      </c>
      <c r="F161" s="25">
        <f>IF(OR(C161="",E161="Add to Pantry"),"",ROUND(N(D161)*INDEX(Pantry!$N$6:$N$305,MATCH(C161,Pantry!$B$6:$B$305,0)),2))</f>
        <v/>
      </c>
      <c r="G161" s="35">
        <f>IF(OR(B161="",C161=""),"",IFERROR(ROUND(N(D161)*N(INDEX(Recipes!$H$6:$H$105,MATCH(B161,Recipes!$B$6:$B$105,0)))/IF(N(INDEX(Recipes!$D$6:$D$105,MATCH(B161,Recipes!$B$6:$B$105,0)))&gt;0,INDEX(Recipes!$D$6:$D$105,MATCH(B161,Recipes!$B$6:$B$105,0)),1),2),0))</f>
        <v/>
      </c>
      <c r="H161" s="1" t="n"/>
    </row>
    <row r="162">
      <c r="A162" s="1" t="n"/>
      <c r="B162" s="33" t="n"/>
      <c r="C162" s="33" t="n"/>
      <c r="D162" s="31" t="n"/>
      <c r="E162" s="35">
        <f>IF(C162="","",IFERROR(INDEX(Pantry!$C$6:$C$305,MATCH(C162,Pantry!$B$6:$B$305,0))&amp;"","Add to Pantry"))</f>
        <v/>
      </c>
      <c r="F162" s="25">
        <f>IF(OR(C162="",E162="Add to Pantry"),"",ROUND(N(D162)*INDEX(Pantry!$N$6:$N$305,MATCH(C162,Pantry!$B$6:$B$305,0)),2))</f>
        <v/>
      </c>
      <c r="G162" s="35">
        <f>IF(OR(B162="",C162=""),"",IFERROR(ROUND(N(D162)*N(INDEX(Recipes!$H$6:$H$105,MATCH(B162,Recipes!$B$6:$B$105,0)))/IF(N(INDEX(Recipes!$D$6:$D$105,MATCH(B162,Recipes!$B$6:$B$105,0)))&gt;0,INDEX(Recipes!$D$6:$D$105,MATCH(B162,Recipes!$B$6:$B$105,0)),1),2),0))</f>
        <v/>
      </c>
      <c r="H162" s="1" t="n"/>
    </row>
    <row r="163">
      <c r="A163" s="1" t="n"/>
      <c r="B163" s="33" t="n"/>
      <c r="C163" s="33" t="n"/>
      <c r="D163" s="31" t="n"/>
      <c r="E163" s="35">
        <f>IF(C163="","",IFERROR(INDEX(Pantry!$C$6:$C$305,MATCH(C163,Pantry!$B$6:$B$305,0))&amp;"","Add to Pantry"))</f>
        <v/>
      </c>
      <c r="F163" s="25">
        <f>IF(OR(C163="",E163="Add to Pantry"),"",ROUND(N(D163)*INDEX(Pantry!$N$6:$N$305,MATCH(C163,Pantry!$B$6:$B$305,0)),2))</f>
        <v/>
      </c>
      <c r="G163" s="35">
        <f>IF(OR(B163="",C163=""),"",IFERROR(ROUND(N(D163)*N(INDEX(Recipes!$H$6:$H$105,MATCH(B163,Recipes!$B$6:$B$105,0)))/IF(N(INDEX(Recipes!$D$6:$D$105,MATCH(B163,Recipes!$B$6:$B$105,0)))&gt;0,INDEX(Recipes!$D$6:$D$105,MATCH(B163,Recipes!$B$6:$B$105,0)),1),2),0))</f>
        <v/>
      </c>
      <c r="H163" s="1" t="n"/>
    </row>
    <row r="164">
      <c r="A164" s="1" t="n"/>
      <c r="B164" s="33" t="n"/>
      <c r="C164" s="33" t="n"/>
      <c r="D164" s="31" t="n"/>
      <c r="E164" s="35">
        <f>IF(C164="","",IFERROR(INDEX(Pantry!$C$6:$C$305,MATCH(C164,Pantry!$B$6:$B$305,0))&amp;"","Add to Pantry"))</f>
        <v/>
      </c>
      <c r="F164" s="25">
        <f>IF(OR(C164="",E164="Add to Pantry"),"",ROUND(N(D164)*INDEX(Pantry!$N$6:$N$305,MATCH(C164,Pantry!$B$6:$B$305,0)),2))</f>
        <v/>
      </c>
      <c r="G164" s="35">
        <f>IF(OR(B164="",C164=""),"",IFERROR(ROUND(N(D164)*N(INDEX(Recipes!$H$6:$H$105,MATCH(B164,Recipes!$B$6:$B$105,0)))/IF(N(INDEX(Recipes!$D$6:$D$105,MATCH(B164,Recipes!$B$6:$B$105,0)))&gt;0,INDEX(Recipes!$D$6:$D$105,MATCH(B164,Recipes!$B$6:$B$105,0)),1),2),0))</f>
        <v/>
      </c>
      <c r="H164" s="1" t="n"/>
    </row>
    <row r="165">
      <c r="A165" s="1" t="n"/>
      <c r="B165" s="33" t="n"/>
      <c r="C165" s="33" t="n"/>
      <c r="D165" s="31" t="n"/>
      <c r="E165" s="35">
        <f>IF(C165="","",IFERROR(INDEX(Pantry!$C$6:$C$305,MATCH(C165,Pantry!$B$6:$B$305,0))&amp;"","Add to Pantry"))</f>
        <v/>
      </c>
      <c r="F165" s="25">
        <f>IF(OR(C165="",E165="Add to Pantry"),"",ROUND(N(D165)*INDEX(Pantry!$N$6:$N$305,MATCH(C165,Pantry!$B$6:$B$305,0)),2))</f>
        <v/>
      </c>
      <c r="G165" s="35">
        <f>IF(OR(B165="",C165=""),"",IFERROR(ROUND(N(D165)*N(INDEX(Recipes!$H$6:$H$105,MATCH(B165,Recipes!$B$6:$B$105,0)))/IF(N(INDEX(Recipes!$D$6:$D$105,MATCH(B165,Recipes!$B$6:$B$105,0)))&gt;0,INDEX(Recipes!$D$6:$D$105,MATCH(B165,Recipes!$B$6:$B$105,0)),1),2),0))</f>
        <v/>
      </c>
      <c r="H165" s="1" t="n"/>
    </row>
    <row r="166">
      <c r="A166" s="1" t="n"/>
      <c r="B166" s="33" t="n"/>
      <c r="C166" s="33" t="n"/>
      <c r="D166" s="31" t="n"/>
      <c r="E166" s="35">
        <f>IF(C166="","",IFERROR(INDEX(Pantry!$C$6:$C$305,MATCH(C166,Pantry!$B$6:$B$305,0))&amp;"","Add to Pantry"))</f>
        <v/>
      </c>
      <c r="F166" s="25">
        <f>IF(OR(C166="",E166="Add to Pantry"),"",ROUND(N(D166)*INDEX(Pantry!$N$6:$N$305,MATCH(C166,Pantry!$B$6:$B$305,0)),2))</f>
        <v/>
      </c>
      <c r="G166" s="35">
        <f>IF(OR(B166="",C166=""),"",IFERROR(ROUND(N(D166)*N(INDEX(Recipes!$H$6:$H$105,MATCH(B166,Recipes!$B$6:$B$105,0)))/IF(N(INDEX(Recipes!$D$6:$D$105,MATCH(B166,Recipes!$B$6:$B$105,0)))&gt;0,INDEX(Recipes!$D$6:$D$105,MATCH(B166,Recipes!$B$6:$B$105,0)),1),2),0))</f>
        <v/>
      </c>
      <c r="H166" s="1" t="n"/>
    </row>
    <row r="167">
      <c r="A167" s="1" t="n"/>
      <c r="B167" s="33" t="n"/>
      <c r="C167" s="33" t="n"/>
      <c r="D167" s="31" t="n"/>
      <c r="E167" s="35">
        <f>IF(C167="","",IFERROR(INDEX(Pantry!$C$6:$C$305,MATCH(C167,Pantry!$B$6:$B$305,0))&amp;"","Add to Pantry"))</f>
        <v/>
      </c>
      <c r="F167" s="25">
        <f>IF(OR(C167="",E167="Add to Pantry"),"",ROUND(N(D167)*INDEX(Pantry!$N$6:$N$305,MATCH(C167,Pantry!$B$6:$B$305,0)),2))</f>
        <v/>
      </c>
      <c r="G167" s="35">
        <f>IF(OR(B167="",C167=""),"",IFERROR(ROUND(N(D167)*N(INDEX(Recipes!$H$6:$H$105,MATCH(B167,Recipes!$B$6:$B$105,0)))/IF(N(INDEX(Recipes!$D$6:$D$105,MATCH(B167,Recipes!$B$6:$B$105,0)))&gt;0,INDEX(Recipes!$D$6:$D$105,MATCH(B167,Recipes!$B$6:$B$105,0)),1),2),0))</f>
        <v/>
      </c>
      <c r="H167" s="1" t="n"/>
    </row>
    <row r="168">
      <c r="A168" s="1" t="n"/>
      <c r="B168" s="33" t="n"/>
      <c r="C168" s="33" t="n"/>
      <c r="D168" s="31" t="n"/>
      <c r="E168" s="35">
        <f>IF(C168="","",IFERROR(INDEX(Pantry!$C$6:$C$305,MATCH(C168,Pantry!$B$6:$B$305,0))&amp;"","Add to Pantry"))</f>
        <v/>
      </c>
      <c r="F168" s="25">
        <f>IF(OR(C168="",E168="Add to Pantry"),"",ROUND(N(D168)*INDEX(Pantry!$N$6:$N$305,MATCH(C168,Pantry!$B$6:$B$305,0)),2))</f>
        <v/>
      </c>
      <c r="G168" s="35">
        <f>IF(OR(B168="",C168=""),"",IFERROR(ROUND(N(D168)*N(INDEX(Recipes!$H$6:$H$105,MATCH(B168,Recipes!$B$6:$B$105,0)))/IF(N(INDEX(Recipes!$D$6:$D$105,MATCH(B168,Recipes!$B$6:$B$105,0)))&gt;0,INDEX(Recipes!$D$6:$D$105,MATCH(B168,Recipes!$B$6:$B$105,0)),1),2),0))</f>
        <v/>
      </c>
      <c r="H168" s="1" t="n"/>
    </row>
    <row r="169">
      <c r="A169" s="1" t="n"/>
      <c r="B169" s="33" t="n"/>
      <c r="C169" s="33" t="n"/>
      <c r="D169" s="31" t="n"/>
      <c r="E169" s="35">
        <f>IF(C169="","",IFERROR(INDEX(Pantry!$C$6:$C$305,MATCH(C169,Pantry!$B$6:$B$305,0))&amp;"","Add to Pantry"))</f>
        <v/>
      </c>
      <c r="F169" s="25">
        <f>IF(OR(C169="",E169="Add to Pantry"),"",ROUND(N(D169)*INDEX(Pantry!$N$6:$N$305,MATCH(C169,Pantry!$B$6:$B$305,0)),2))</f>
        <v/>
      </c>
      <c r="G169" s="35">
        <f>IF(OR(B169="",C169=""),"",IFERROR(ROUND(N(D169)*N(INDEX(Recipes!$H$6:$H$105,MATCH(B169,Recipes!$B$6:$B$105,0)))/IF(N(INDEX(Recipes!$D$6:$D$105,MATCH(B169,Recipes!$B$6:$B$105,0)))&gt;0,INDEX(Recipes!$D$6:$D$105,MATCH(B169,Recipes!$B$6:$B$105,0)),1),2),0))</f>
        <v/>
      </c>
      <c r="H169" s="1" t="n"/>
    </row>
    <row r="170">
      <c r="A170" s="1" t="n"/>
      <c r="B170" s="33" t="n"/>
      <c r="C170" s="33" t="n"/>
      <c r="D170" s="31" t="n"/>
      <c r="E170" s="35">
        <f>IF(C170="","",IFERROR(INDEX(Pantry!$C$6:$C$305,MATCH(C170,Pantry!$B$6:$B$305,0))&amp;"","Add to Pantry"))</f>
        <v/>
      </c>
      <c r="F170" s="25">
        <f>IF(OR(C170="",E170="Add to Pantry"),"",ROUND(N(D170)*INDEX(Pantry!$N$6:$N$305,MATCH(C170,Pantry!$B$6:$B$305,0)),2))</f>
        <v/>
      </c>
      <c r="G170" s="35">
        <f>IF(OR(B170="",C170=""),"",IFERROR(ROUND(N(D170)*N(INDEX(Recipes!$H$6:$H$105,MATCH(B170,Recipes!$B$6:$B$105,0)))/IF(N(INDEX(Recipes!$D$6:$D$105,MATCH(B170,Recipes!$B$6:$B$105,0)))&gt;0,INDEX(Recipes!$D$6:$D$105,MATCH(B170,Recipes!$B$6:$B$105,0)),1),2),0))</f>
        <v/>
      </c>
      <c r="H170" s="1" t="n"/>
    </row>
    <row r="171">
      <c r="A171" s="1" t="n"/>
      <c r="B171" s="33" t="n"/>
      <c r="C171" s="33" t="n"/>
      <c r="D171" s="31" t="n"/>
      <c r="E171" s="35">
        <f>IF(C171="","",IFERROR(INDEX(Pantry!$C$6:$C$305,MATCH(C171,Pantry!$B$6:$B$305,0))&amp;"","Add to Pantry"))</f>
        <v/>
      </c>
      <c r="F171" s="25">
        <f>IF(OR(C171="",E171="Add to Pantry"),"",ROUND(N(D171)*INDEX(Pantry!$N$6:$N$305,MATCH(C171,Pantry!$B$6:$B$305,0)),2))</f>
        <v/>
      </c>
      <c r="G171" s="35">
        <f>IF(OR(B171="",C171=""),"",IFERROR(ROUND(N(D171)*N(INDEX(Recipes!$H$6:$H$105,MATCH(B171,Recipes!$B$6:$B$105,0)))/IF(N(INDEX(Recipes!$D$6:$D$105,MATCH(B171,Recipes!$B$6:$B$105,0)))&gt;0,INDEX(Recipes!$D$6:$D$105,MATCH(B171,Recipes!$B$6:$B$105,0)),1),2),0))</f>
        <v/>
      </c>
      <c r="H171" s="1" t="n"/>
    </row>
    <row r="172">
      <c r="A172" s="1" t="n"/>
      <c r="B172" s="33" t="n"/>
      <c r="C172" s="33" t="n"/>
      <c r="D172" s="31" t="n"/>
      <c r="E172" s="35">
        <f>IF(C172="","",IFERROR(INDEX(Pantry!$C$6:$C$305,MATCH(C172,Pantry!$B$6:$B$305,0))&amp;"","Add to Pantry"))</f>
        <v/>
      </c>
      <c r="F172" s="25">
        <f>IF(OR(C172="",E172="Add to Pantry"),"",ROUND(N(D172)*INDEX(Pantry!$N$6:$N$305,MATCH(C172,Pantry!$B$6:$B$305,0)),2))</f>
        <v/>
      </c>
      <c r="G172" s="35">
        <f>IF(OR(B172="",C172=""),"",IFERROR(ROUND(N(D172)*N(INDEX(Recipes!$H$6:$H$105,MATCH(B172,Recipes!$B$6:$B$105,0)))/IF(N(INDEX(Recipes!$D$6:$D$105,MATCH(B172,Recipes!$B$6:$B$105,0)))&gt;0,INDEX(Recipes!$D$6:$D$105,MATCH(B172,Recipes!$B$6:$B$105,0)),1),2),0))</f>
        <v/>
      </c>
      <c r="H172" s="1" t="n"/>
    </row>
    <row r="173">
      <c r="A173" s="1" t="n"/>
      <c r="B173" s="33" t="n"/>
      <c r="C173" s="33" t="n"/>
      <c r="D173" s="31" t="n"/>
      <c r="E173" s="35">
        <f>IF(C173="","",IFERROR(INDEX(Pantry!$C$6:$C$305,MATCH(C173,Pantry!$B$6:$B$305,0))&amp;"","Add to Pantry"))</f>
        <v/>
      </c>
      <c r="F173" s="25">
        <f>IF(OR(C173="",E173="Add to Pantry"),"",ROUND(N(D173)*INDEX(Pantry!$N$6:$N$305,MATCH(C173,Pantry!$B$6:$B$305,0)),2))</f>
        <v/>
      </c>
      <c r="G173" s="35">
        <f>IF(OR(B173="",C173=""),"",IFERROR(ROUND(N(D173)*N(INDEX(Recipes!$H$6:$H$105,MATCH(B173,Recipes!$B$6:$B$105,0)))/IF(N(INDEX(Recipes!$D$6:$D$105,MATCH(B173,Recipes!$B$6:$B$105,0)))&gt;0,INDEX(Recipes!$D$6:$D$105,MATCH(B173,Recipes!$B$6:$B$105,0)),1),2),0))</f>
        <v/>
      </c>
      <c r="H173" s="1" t="n"/>
    </row>
    <row r="174">
      <c r="A174" s="1" t="n"/>
      <c r="B174" s="33" t="n"/>
      <c r="C174" s="33" t="n"/>
      <c r="D174" s="31" t="n"/>
      <c r="E174" s="35">
        <f>IF(C174="","",IFERROR(INDEX(Pantry!$C$6:$C$305,MATCH(C174,Pantry!$B$6:$B$305,0))&amp;"","Add to Pantry"))</f>
        <v/>
      </c>
      <c r="F174" s="25">
        <f>IF(OR(C174="",E174="Add to Pantry"),"",ROUND(N(D174)*INDEX(Pantry!$N$6:$N$305,MATCH(C174,Pantry!$B$6:$B$305,0)),2))</f>
        <v/>
      </c>
      <c r="G174" s="35">
        <f>IF(OR(B174="",C174=""),"",IFERROR(ROUND(N(D174)*N(INDEX(Recipes!$H$6:$H$105,MATCH(B174,Recipes!$B$6:$B$105,0)))/IF(N(INDEX(Recipes!$D$6:$D$105,MATCH(B174,Recipes!$B$6:$B$105,0)))&gt;0,INDEX(Recipes!$D$6:$D$105,MATCH(B174,Recipes!$B$6:$B$105,0)),1),2),0))</f>
        <v/>
      </c>
      <c r="H174" s="1" t="n"/>
    </row>
    <row r="175">
      <c r="A175" s="1" t="n"/>
      <c r="B175" s="33" t="n"/>
      <c r="C175" s="33" t="n"/>
      <c r="D175" s="31" t="n"/>
      <c r="E175" s="35">
        <f>IF(C175="","",IFERROR(INDEX(Pantry!$C$6:$C$305,MATCH(C175,Pantry!$B$6:$B$305,0))&amp;"","Add to Pantry"))</f>
        <v/>
      </c>
      <c r="F175" s="25">
        <f>IF(OR(C175="",E175="Add to Pantry"),"",ROUND(N(D175)*INDEX(Pantry!$N$6:$N$305,MATCH(C175,Pantry!$B$6:$B$305,0)),2))</f>
        <v/>
      </c>
      <c r="G175" s="35">
        <f>IF(OR(B175="",C175=""),"",IFERROR(ROUND(N(D175)*N(INDEX(Recipes!$H$6:$H$105,MATCH(B175,Recipes!$B$6:$B$105,0)))/IF(N(INDEX(Recipes!$D$6:$D$105,MATCH(B175,Recipes!$B$6:$B$105,0)))&gt;0,INDEX(Recipes!$D$6:$D$105,MATCH(B175,Recipes!$B$6:$B$105,0)),1),2),0))</f>
        <v/>
      </c>
      <c r="H175" s="1" t="n"/>
    </row>
    <row r="176">
      <c r="A176" s="1" t="n"/>
      <c r="B176" s="33" t="n"/>
      <c r="C176" s="33" t="n"/>
      <c r="D176" s="31" t="n"/>
      <c r="E176" s="35">
        <f>IF(C176="","",IFERROR(INDEX(Pantry!$C$6:$C$305,MATCH(C176,Pantry!$B$6:$B$305,0))&amp;"","Add to Pantry"))</f>
        <v/>
      </c>
      <c r="F176" s="25">
        <f>IF(OR(C176="",E176="Add to Pantry"),"",ROUND(N(D176)*INDEX(Pantry!$N$6:$N$305,MATCH(C176,Pantry!$B$6:$B$305,0)),2))</f>
        <v/>
      </c>
      <c r="G176" s="35">
        <f>IF(OR(B176="",C176=""),"",IFERROR(ROUND(N(D176)*N(INDEX(Recipes!$H$6:$H$105,MATCH(B176,Recipes!$B$6:$B$105,0)))/IF(N(INDEX(Recipes!$D$6:$D$105,MATCH(B176,Recipes!$B$6:$B$105,0)))&gt;0,INDEX(Recipes!$D$6:$D$105,MATCH(B176,Recipes!$B$6:$B$105,0)),1),2),0))</f>
        <v/>
      </c>
      <c r="H176" s="1" t="n"/>
    </row>
    <row r="177">
      <c r="A177" s="1" t="n"/>
      <c r="B177" s="33" t="n"/>
      <c r="C177" s="33" t="n"/>
      <c r="D177" s="31" t="n"/>
      <c r="E177" s="35">
        <f>IF(C177="","",IFERROR(INDEX(Pantry!$C$6:$C$305,MATCH(C177,Pantry!$B$6:$B$305,0))&amp;"","Add to Pantry"))</f>
        <v/>
      </c>
      <c r="F177" s="25">
        <f>IF(OR(C177="",E177="Add to Pantry"),"",ROUND(N(D177)*INDEX(Pantry!$N$6:$N$305,MATCH(C177,Pantry!$B$6:$B$305,0)),2))</f>
        <v/>
      </c>
      <c r="G177" s="35">
        <f>IF(OR(B177="",C177=""),"",IFERROR(ROUND(N(D177)*N(INDEX(Recipes!$H$6:$H$105,MATCH(B177,Recipes!$B$6:$B$105,0)))/IF(N(INDEX(Recipes!$D$6:$D$105,MATCH(B177,Recipes!$B$6:$B$105,0)))&gt;0,INDEX(Recipes!$D$6:$D$105,MATCH(B177,Recipes!$B$6:$B$105,0)),1),2),0))</f>
        <v/>
      </c>
      <c r="H177" s="1" t="n"/>
    </row>
    <row r="178">
      <c r="A178" s="1" t="n"/>
      <c r="B178" s="33" t="n"/>
      <c r="C178" s="33" t="n"/>
      <c r="D178" s="31" t="n"/>
      <c r="E178" s="35">
        <f>IF(C178="","",IFERROR(INDEX(Pantry!$C$6:$C$305,MATCH(C178,Pantry!$B$6:$B$305,0))&amp;"","Add to Pantry"))</f>
        <v/>
      </c>
      <c r="F178" s="25">
        <f>IF(OR(C178="",E178="Add to Pantry"),"",ROUND(N(D178)*INDEX(Pantry!$N$6:$N$305,MATCH(C178,Pantry!$B$6:$B$305,0)),2))</f>
        <v/>
      </c>
      <c r="G178" s="35">
        <f>IF(OR(B178="",C178=""),"",IFERROR(ROUND(N(D178)*N(INDEX(Recipes!$H$6:$H$105,MATCH(B178,Recipes!$B$6:$B$105,0)))/IF(N(INDEX(Recipes!$D$6:$D$105,MATCH(B178,Recipes!$B$6:$B$105,0)))&gt;0,INDEX(Recipes!$D$6:$D$105,MATCH(B178,Recipes!$B$6:$B$105,0)),1),2),0))</f>
        <v/>
      </c>
      <c r="H178" s="1" t="n"/>
    </row>
    <row r="179">
      <c r="A179" s="1" t="n"/>
      <c r="B179" s="33" t="n"/>
      <c r="C179" s="33" t="n"/>
      <c r="D179" s="31" t="n"/>
      <c r="E179" s="35">
        <f>IF(C179="","",IFERROR(INDEX(Pantry!$C$6:$C$305,MATCH(C179,Pantry!$B$6:$B$305,0))&amp;"","Add to Pantry"))</f>
        <v/>
      </c>
      <c r="F179" s="25">
        <f>IF(OR(C179="",E179="Add to Pantry"),"",ROUND(N(D179)*INDEX(Pantry!$N$6:$N$305,MATCH(C179,Pantry!$B$6:$B$305,0)),2))</f>
        <v/>
      </c>
      <c r="G179" s="35">
        <f>IF(OR(B179="",C179=""),"",IFERROR(ROUND(N(D179)*N(INDEX(Recipes!$H$6:$H$105,MATCH(B179,Recipes!$B$6:$B$105,0)))/IF(N(INDEX(Recipes!$D$6:$D$105,MATCH(B179,Recipes!$B$6:$B$105,0)))&gt;0,INDEX(Recipes!$D$6:$D$105,MATCH(B179,Recipes!$B$6:$B$105,0)),1),2),0))</f>
        <v/>
      </c>
      <c r="H179" s="1" t="n"/>
    </row>
    <row r="180">
      <c r="A180" s="1" t="n"/>
      <c r="B180" s="33" t="n"/>
      <c r="C180" s="33" t="n"/>
      <c r="D180" s="31" t="n"/>
      <c r="E180" s="35">
        <f>IF(C180="","",IFERROR(INDEX(Pantry!$C$6:$C$305,MATCH(C180,Pantry!$B$6:$B$305,0))&amp;"","Add to Pantry"))</f>
        <v/>
      </c>
      <c r="F180" s="25">
        <f>IF(OR(C180="",E180="Add to Pantry"),"",ROUND(N(D180)*INDEX(Pantry!$N$6:$N$305,MATCH(C180,Pantry!$B$6:$B$305,0)),2))</f>
        <v/>
      </c>
      <c r="G180" s="35">
        <f>IF(OR(B180="",C180=""),"",IFERROR(ROUND(N(D180)*N(INDEX(Recipes!$H$6:$H$105,MATCH(B180,Recipes!$B$6:$B$105,0)))/IF(N(INDEX(Recipes!$D$6:$D$105,MATCH(B180,Recipes!$B$6:$B$105,0)))&gt;0,INDEX(Recipes!$D$6:$D$105,MATCH(B180,Recipes!$B$6:$B$105,0)),1),2),0))</f>
        <v/>
      </c>
      <c r="H180" s="1" t="n"/>
    </row>
    <row r="181">
      <c r="A181" s="1" t="n"/>
      <c r="B181" s="33" t="n"/>
      <c r="C181" s="33" t="n"/>
      <c r="D181" s="31" t="n"/>
      <c r="E181" s="35">
        <f>IF(C181="","",IFERROR(INDEX(Pantry!$C$6:$C$305,MATCH(C181,Pantry!$B$6:$B$305,0))&amp;"","Add to Pantry"))</f>
        <v/>
      </c>
      <c r="F181" s="25">
        <f>IF(OR(C181="",E181="Add to Pantry"),"",ROUND(N(D181)*INDEX(Pantry!$N$6:$N$305,MATCH(C181,Pantry!$B$6:$B$305,0)),2))</f>
        <v/>
      </c>
      <c r="G181" s="35">
        <f>IF(OR(B181="",C181=""),"",IFERROR(ROUND(N(D181)*N(INDEX(Recipes!$H$6:$H$105,MATCH(B181,Recipes!$B$6:$B$105,0)))/IF(N(INDEX(Recipes!$D$6:$D$105,MATCH(B181,Recipes!$B$6:$B$105,0)))&gt;0,INDEX(Recipes!$D$6:$D$105,MATCH(B181,Recipes!$B$6:$B$105,0)),1),2),0))</f>
        <v/>
      </c>
      <c r="H181" s="1" t="n"/>
    </row>
    <row r="182">
      <c r="A182" s="1" t="n"/>
      <c r="B182" s="33" t="n"/>
      <c r="C182" s="33" t="n"/>
      <c r="D182" s="31" t="n"/>
      <c r="E182" s="35">
        <f>IF(C182="","",IFERROR(INDEX(Pantry!$C$6:$C$305,MATCH(C182,Pantry!$B$6:$B$305,0))&amp;"","Add to Pantry"))</f>
        <v/>
      </c>
      <c r="F182" s="25">
        <f>IF(OR(C182="",E182="Add to Pantry"),"",ROUND(N(D182)*INDEX(Pantry!$N$6:$N$305,MATCH(C182,Pantry!$B$6:$B$305,0)),2))</f>
        <v/>
      </c>
      <c r="G182" s="35">
        <f>IF(OR(B182="",C182=""),"",IFERROR(ROUND(N(D182)*N(INDEX(Recipes!$H$6:$H$105,MATCH(B182,Recipes!$B$6:$B$105,0)))/IF(N(INDEX(Recipes!$D$6:$D$105,MATCH(B182,Recipes!$B$6:$B$105,0)))&gt;0,INDEX(Recipes!$D$6:$D$105,MATCH(B182,Recipes!$B$6:$B$105,0)),1),2),0))</f>
        <v/>
      </c>
      <c r="H182" s="1" t="n"/>
    </row>
    <row r="183">
      <c r="A183" s="1" t="n"/>
      <c r="B183" s="33" t="n"/>
      <c r="C183" s="33" t="n"/>
      <c r="D183" s="31" t="n"/>
      <c r="E183" s="35">
        <f>IF(C183="","",IFERROR(INDEX(Pantry!$C$6:$C$305,MATCH(C183,Pantry!$B$6:$B$305,0))&amp;"","Add to Pantry"))</f>
        <v/>
      </c>
      <c r="F183" s="25">
        <f>IF(OR(C183="",E183="Add to Pantry"),"",ROUND(N(D183)*INDEX(Pantry!$N$6:$N$305,MATCH(C183,Pantry!$B$6:$B$305,0)),2))</f>
        <v/>
      </c>
      <c r="G183" s="35">
        <f>IF(OR(B183="",C183=""),"",IFERROR(ROUND(N(D183)*N(INDEX(Recipes!$H$6:$H$105,MATCH(B183,Recipes!$B$6:$B$105,0)))/IF(N(INDEX(Recipes!$D$6:$D$105,MATCH(B183,Recipes!$B$6:$B$105,0)))&gt;0,INDEX(Recipes!$D$6:$D$105,MATCH(B183,Recipes!$B$6:$B$105,0)),1),2),0))</f>
        <v/>
      </c>
      <c r="H183" s="1" t="n"/>
    </row>
    <row r="184">
      <c r="A184" s="1" t="n"/>
      <c r="B184" s="33" t="n"/>
      <c r="C184" s="33" t="n"/>
      <c r="D184" s="31" t="n"/>
      <c r="E184" s="35">
        <f>IF(C184="","",IFERROR(INDEX(Pantry!$C$6:$C$305,MATCH(C184,Pantry!$B$6:$B$305,0))&amp;"","Add to Pantry"))</f>
        <v/>
      </c>
      <c r="F184" s="25">
        <f>IF(OR(C184="",E184="Add to Pantry"),"",ROUND(N(D184)*INDEX(Pantry!$N$6:$N$305,MATCH(C184,Pantry!$B$6:$B$305,0)),2))</f>
        <v/>
      </c>
      <c r="G184" s="35">
        <f>IF(OR(B184="",C184=""),"",IFERROR(ROUND(N(D184)*N(INDEX(Recipes!$H$6:$H$105,MATCH(B184,Recipes!$B$6:$B$105,0)))/IF(N(INDEX(Recipes!$D$6:$D$105,MATCH(B184,Recipes!$B$6:$B$105,0)))&gt;0,INDEX(Recipes!$D$6:$D$105,MATCH(B184,Recipes!$B$6:$B$105,0)),1),2),0))</f>
        <v/>
      </c>
      <c r="H184" s="1" t="n"/>
    </row>
    <row r="185">
      <c r="A185" s="1" t="n"/>
      <c r="B185" s="33" t="n"/>
      <c r="C185" s="33" t="n"/>
      <c r="D185" s="31" t="n"/>
      <c r="E185" s="35">
        <f>IF(C185="","",IFERROR(INDEX(Pantry!$C$6:$C$305,MATCH(C185,Pantry!$B$6:$B$305,0))&amp;"","Add to Pantry"))</f>
        <v/>
      </c>
      <c r="F185" s="25">
        <f>IF(OR(C185="",E185="Add to Pantry"),"",ROUND(N(D185)*INDEX(Pantry!$N$6:$N$305,MATCH(C185,Pantry!$B$6:$B$305,0)),2))</f>
        <v/>
      </c>
      <c r="G185" s="35">
        <f>IF(OR(B185="",C185=""),"",IFERROR(ROUND(N(D185)*N(INDEX(Recipes!$H$6:$H$105,MATCH(B185,Recipes!$B$6:$B$105,0)))/IF(N(INDEX(Recipes!$D$6:$D$105,MATCH(B185,Recipes!$B$6:$B$105,0)))&gt;0,INDEX(Recipes!$D$6:$D$105,MATCH(B185,Recipes!$B$6:$B$105,0)),1),2),0))</f>
        <v/>
      </c>
      <c r="H185" s="1" t="n"/>
    </row>
    <row r="186">
      <c r="A186" s="1" t="n"/>
      <c r="B186" s="33" t="n"/>
      <c r="C186" s="33" t="n"/>
      <c r="D186" s="31" t="n"/>
      <c r="E186" s="35">
        <f>IF(C186="","",IFERROR(INDEX(Pantry!$C$6:$C$305,MATCH(C186,Pantry!$B$6:$B$305,0))&amp;"","Add to Pantry"))</f>
        <v/>
      </c>
      <c r="F186" s="25">
        <f>IF(OR(C186="",E186="Add to Pantry"),"",ROUND(N(D186)*INDEX(Pantry!$N$6:$N$305,MATCH(C186,Pantry!$B$6:$B$305,0)),2))</f>
        <v/>
      </c>
      <c r="G186" s="35">
        <f>IF(OR(B186="",C186=""),"",IFERROR(ROUND(N(D186)*N(INDEX(Recipes!$H$6:$H$105,MATCH(B186,Recipes!$B$6:$B$105,0)))/IF(N(INDEX(Recipes!$D$6:$D$105,MATCH(B186,Recipes!$B$6:$B$105,0)))&gt;0,INDEX(Recipes!$D$6:$D$105,MATCH(B186,Recipes!$B$6:$B$105,0)),1),2),0))</f>
        <v/>
      </c>
      <c r="H186" s="1" t="n"/>
    </row>
    <row r="187">
      <c r="A187" s="1" t="n"/>
      <c r="B187" s="33" t="n"/>
      <c r="C187" s="33" t="n"/>
      <c r="D187" s="31" t="n"/>
      <c r="E187" s="35">
        <f>IF(C187="","",IFERROR(INDEX(Pantry!$C$6:$C$305,MATCH(C187,Pantry!$B$6:$B$305,0))&amp;"","Add to Pantry"))</f>
        <v/>
      </c>
      <c r="F187" s="25">
        <f>IF(OR(C187="",E187="Add to Pantry"),"",ROUND(N(D187)*INDEX(Pantry!$N$6:$N$305,MATCH(C187,Pantry!$B$6:$B$305,0)),2))</f>
        <v/>
      </c>
      <c r="G187" s="35">
        <f>IF(OR(B187="",C187=""),"",IFERROR(ROUND(N(D187)*N(INDEX(Recipes!$H$6:$H$105,MATCH(B187,Recipes!$B$6:$B$105,0)))/IF(N(INDEX(Recipes!$D$6:$D$105,MATCH(B187,Recipes!$B$6:$B$105,0)))&gt;0,INDEX(Recipes!$D$6:$D$105,MATCH(B187,Recipes!$B$6:$B$105,0)),1),2),0))</f>
        <v/>
      </c>
      <c r="H187" s="1" t="n"/>
    </row>
    <row r="188">
      <c r="A188" s="1" t="n"/>
      <c r="B188" s="33" t="n"/>
      <c r="C188" s="33" t="n"/>
      <c r="D188" s="31" t="n"/>
      <c r="E188" s="35">
        <f>IF(C188="","",IFERROR(INDEX(Pantry!$C$6:$C$305,MATCH(C188,Pantry!$B$6:$B$305,0))&amp;"","Add to Pantry"))</f>
        <v/>
      </c>
      <c r="F188" s="25">
        <f>IF(OR(C188="",E188="Add to Pantry"),"",ROUND(N(D188)*INDEX(Pantry!$N$6:$N$305,MATCH(C188,Pantry!$B$6:$B$305,0)),2))</f>
        <v/>
      </c>
      <c r="G188" s="35">
        <f>IF(OR(B188="",C188=""),"",IFERROR(ROUND(N(D188)*N(INDEX(Recipes!$H$6:$H$105,MATCH(B188,Recipes!$B$6:$B$105,0)))/IF(N(INDEX(Recipes!$D$6:$D$105,MATCH(B188,Recipes!$B$6:$B$105,0)))&gt;0,INDEX(Recipes!$D$6:$D$105,MATCH(B188,Recipes!$B$6:$B$105,0)),1),2),0))</f>
        <v/>
      </c>
      <c r="H188" s="1" t="n"/>
    </row>
    <row r="189">
      <c r="A189" s="1" t="n"/>
      <c r="B189" s="33" t="n"/>
      <c r="C189" s="33" t="n"/>
      <c r="D189" s="31" t="n"/>
      <c r="E189" s="35">
        <f>IF(C189="","",IFERROR(INDEX(Pantry!$C$6:$C$305,MATCH(C189,Pantry!$B$6:$B$305,0))&amp;"","Add to Pantry"))</f>
        <v/>
      </c>
      <c r="F189" s="25">
        <f>IF(OR(C189="",E189="Add to Pantry"),"",ROUND(N(D189)*INDEX(Pantry!$N$6:$N$305,MATCH(C189,Pantry!$B$6:$B$305,0)),2))</f>
        <v/>
      </c>
      <c r="G189" s="35">
        <f>IF(OR(B189="",C189=""),"",IFERROR(ROUND(N(D189)*N(INDEX(Recipes!$H$6:$H$105,MATCH(B189,Recipes!$B$6:$B$105,0)))/IF(N(INDEX(Recipes!$D$6:$D$105,MATCH(B189,Recipes!$B$6:$B$105,0)))&gt;0,INDEX(Recipes!$D$6:$D$105,MATCH(B189,Recipes!$B$6:$B$105,0)),1),2),0))</f>
        <v/>
      </c>
      <c r="H189" s="1" t="n"/>
    </row>
    <row r="190">
      <c r="A190" s="1" t="n"/>
      <c r="B190" s="33" t="n"/>
      <c r="C190" s="33" t="n"/>
      <c r="D190" s="31" t="n"/>
      <c r="E190" s="35">
        <f>IF(C190="","",IFERROR(INDEX(Pantry!$C$6:$C$305,MATCH(C190,Pantry!$B$6:$B$305,0))&amp;"","Add to Pantry"))</f>
        <v/>
      </c>
      <c r="F190" s="25">
        <f>IF(OR(C190="",E190="Add to Pantry"),"",ROUND(N(D190)*INDEX(Pantry!$N$6:$N$305,MATCH(C190,Pantry!$B$6:$B$305,0)),2))</f>
        <v/>
      </c>
      <c r="G190" s="35">
        <f>IF(OR(B190="",C190=""),"",IFERROR(ROUND(N(D190)*N(INDEX(Recipes!$H$6:$H$105,MATCH(B190,Recipes!$B$6:$B$105,0)))/IF(N(INDEX(Recipes!$D$6:$D$105,MATCH(B190,Recipes!$B$6:$B$105,0)))&gt;0,INDEX(Recipes!$D$6:$D$105,MATCH(B190,Recipes!$B$6:$B$105,0)),1),2),0))</f>
        <v/>
      </c>
      <c r="H190" s="1" t="n"/>
    </row>
    <row r="191">
      <c r="A191" s="1" t="n"/>
      <c r="B191" s="33" t="n"/>
      <c r="C191" s="33" t="n"/>
      <c r="D191" s="31" t="n"/>
      <c r="E191" s="35">
        <f>IF(C191="","",IFERROR(INDEX(Pantry!$C$6:$C$305,MATCH(C191,Pantry!$B$6:$B$305,0))&amp;"","Add to Pantry"))</f>
        <v/>
      </c>
      <c r="F191" s="25">
        <f>IF(OR(C191="",E191="Add to Pantry"),"",ROUND(N(D191)*INDEX(Pantry!$N$6:$N$305,MATCH(C191,Pantry!$B$6:$B$305,0)),2))</f>
        <v/>
      </c>
      <c r="G191" s="35">
        <f>IF(OR(B191="",C191=""),"",IFERROR(ROUND(N(D191)*N(INDEX(Recipes!$H$6:$H$105,MATCH(B191,Recipes!$B$6:$B$105,0)))/IF(N(INDEX(Recipes!$D$6:$D$105,MATCH(B191,Recipes!$B$6:$B$105,0)))&gt;0,INDEX(Recipes!$D$6:$D$105,MATCH(B191,Recipes!$B$6:$B$105,0)),1),2),0))</f>
        <v/>
      </c>
      <c r="H191" s="1" t="n"/>
    </row>
    <row r="192">
      <c r="A192" s="1" t="n"/>
      <c r="B192" s="33" t="n"/>
      <c r="C192" s="33" t="n"/>
      <c r="D192" s="31" t="n"/>
      <c r="E192" s="35">
        <f>IF(C192="","",IFERROR(INDEX(Pantry!$C$6:$C$305,MATCH(C192,Pantry!$B$6:$B$305,0))&amp;"","Add to Pantry"))</f>
        <v/>
      </c>
      <c r="F192" s="25">
        <f>IF(OR(C192="",E192="Add to Pantry"),"",ROUND(N(D192)*INDEX(Pantry!$N$6:$N$305,MATCH(C192,Pantry!$B$6:$B$305,0)),2))</f>
        <v/>
      </c>
      <c r="G192" s="35">
        <f>IF(OR(B192="",C192=""),"",IFERROR(ROUND(N(D192)*N(INDEX(Recipes!$H$6:$H$105,MATCH(B192,Recipes!$B$6:$B$105,0)))/IF(N(INDEX(Recipes!$D$6:$D$105,MATCH(B192,Recipes!$B$6:$B$105,0)))&gt;0,INDEX(Recipes!$D$6:$D$105,MATCH(B192,Recipes!$B$6:$B$105,0)),1),2),0))</f>
        <v/>
      </c>
      <c r="H192" s="1" t="n"/>
    </row>
    <row r="193">
      <c r="A193" s="1" t="n"/>
      <c r="B193" s="33" t="n"/>
      <c r="C193" s="33" t="n"/>
      <c r="D193" s="31" t="n"/>
      <c r="E193" s="35">
        <f>IF(C193="","",IFERROR(INDEX(Pantry!$C$6:$C$305,MATCH(C193,Pantry!$B$6:$B$305,0))&amp;"","Add to Pantry"))</f>
        <v/>
      </c>
      <c r="F193" s="25">
        <f>IF(OR(C193="",E193="Add to Pantry"),"",ROUND(N(D193)*INDEX(Pantry!$N$6:$N$305,MATCH(C193,Pantry!$B$6:$B$305,0)),2))</f>
        <v/>
      </c>
      <c r="G193" s="35">
        <f>IF(OR(B193="",C193=""),"",IFERROR(ROUND(N(D193)*N(INDEX(Recipes!$H$6:$H$105,MATCH(B193,Recipes!$B$6:$B$105,0)))/IF(N(INDEX(Recipes!$D$6:$D$105,MATCH(B193,Recipes!$B$6:$B$105,0)))&gt;0,INDEX(Recipes!$D$6:$D$105,MATCH(B193,Recipes!$B$6:$B$105,0)),1),2),0))</f>
        <v/>
      </c>
      <c r="H193" s="1" t="n"/>
    </row>
    <row r="194">
      <c r="A194" s="1" t="n"/>
      <c r="B194" s="33" t="n"/>
      <c r="C194" s="33" t="n"/>
      <c r="D194" s="31" t="n"/>
      <c r="E194" s="35">
        <f>IF(C194="","",IFERROR(INDEX(Pantry!$C$6:$C$305,MATCH(C194,Pantry!$B$6:$B$305,0))&amp;"","Add to Pantry"))</f>
        <v/>
      </c>
      <c r="F194" s="25">
        <f>IF(OR(C194="",E194="Add to Pantry"),"",ROUND(N(D194)*INDEX(Pantry!$N$6:$N$305,MATCH(C194,Pantry!$B$6:$B$305,0)),2))</f>
        <v/>
      </c>
      <c r="G194" s="35">
        <f>IF(OR(B194="",C194=""),"",IFERROR(ROUND(N(D194)*N(INDEX(Recipes!$H$6:$H$105,MATCH(B194,Recipes!$B$6:$B$105,0)))/IF(N(INDEX(Recipes!$D$6:$D$105,MATCH(B194,Recipes!$B$6:$B$105,0)))&gt;0,INDEX(Recipes!$D$6:$D$105,MATCH(B194,Recipes!$B$6:$B$105,0)),1),2),0))</f>
        <v/>
      </c>
      <c r="H194" s="1" t="n"/>
    </row>
    <row r="195">
      <c r="A195" s="1" t="n"/>
      <c r="B195" s="33" t="n"/>
      <c r="C195" s="33" t="n"/>
      <c r="D195" s="31" t="n"/>
      <c r="E195" s="35">
        <f>IF(C195="","",IFERROR(INDEX(Pantry!$C$6:$C$305,MATCH(C195,Pantry!$B$6:$B$305,0))&amp;"","Add to Pantry"))</f>
        <v/>
      </c>
      <c r="F195" s="25">
        <f>IF(OR(C195="",E195="Add to Pantry"),"",ROUND(N(D195)*INDEX(Pantry!$N$6:$N$305,MATCH(C195,Pantry!$B$6:$B$305,0)),2))</f>
        <v/>
      </c>
      <c r="G195" s="35">
        <f>IF(OR(B195="",C195=""),"",IFERROR(ROUND(N(D195)*N(INDEX(Recipes!$H$6:$H$105,MATCH(B195,Recipes!$B$6:$B$105,0)))/IF(N(INDEX(Recipes!$D$6:$D$105,MATCH(B195,Recipes!$B$6:$B$105,0)))&gt;0,INDEX(Recipes!$D$6:$D$105,MATCH(B195,Recipes!$B$6:$B$105,0)),1),2),0))</f>
        <v/>
      </c>
      <c r="H195" s="1" t="n"/>
    </row>
    <row r="196">
      <c r="A196" s="1" t="n"/>
      <c r="B196" s="33" t="n"/>
      <c r="C196" s="33" t="n"/>
      <c r="D196" s="31" t="n"/>
      <c r="E196" s="35">
        <f>IF(C196="","",IFERROR(INDEX(Pantry!$C$6:$C$305,MATCH(C196,Pantry!$B$6:$B$305,0))&amp;"","Add to Pantry"))</f>
        <v/>
      </c>
      <c r="F196" s="25">
        <f>IF(OR(C196="",E196="Add to Pantry"),"",ROUND(N(D196)*INDEX(Pantry!$N$6:$N$305,MATCH(C196,Pantry!$B$6:$B$305,0)),2))</f>
        <v/>
      </c>
      <c r="G196" s="35">
        <f>IF(OR(B196="",C196=""),"",IFERROR(ROUND(N(D196)*N(INDEX(Recipes!$H$6:$H$105,MATCH(B196,Recipes!$B$6:$B$105,0)))/IF(N(INDEX(Recipes!$D$6:$D$105,MATCH(B196,Recipes!$B$6:$B$105,0)))&gt;0,INDEX(Recipes!$D$6:$D$105,MATCH(B196,Recipes!$B$6:$B$105,0)),1),2),0))</f>
        <v/>
      </c>
      <c r="H196" s="1" t="n"/>
    </row>
    <row r="197">
      <c r="A197" s="1" t="n"/>
      <c r="B197" s="33" t="n"/>
      <c r="C197" s="33" t="n"/>
      <c r="D197" s="31" t="n"/>
      <c r="E197" s="35">
        <f>IF(C197="","",IFERROR(INDEX(Pantry!$C$6:$C$305,MATCH(C197,Pantry!$B$6:$B$305,0))&amp;"","Add to Pantry"))</f>
        <v/>
      </c>
      <c r="F197" s="25">
        <f>IF(OR(C197="",E197="Add to Pantry"),"",ROUND(N(D197)*INDEX(Pantry!$N$6:$N$305,MATCH(C197,Pantry!$B$6:$B$305,0)),2))</f>
        <v/>
      </c>
      <c r="G197" s="35">
        <f>IF(OR(B197="",C197=""),"",IFERROR(ROUND(N(D197)*N(INDEX(Recipes!$H$6:$H$105,MATCH(B197,Recipes!$B$6:$B$105,0)))/IF(N(INDEX(Recipes!$D$6:$D$105,MATCH(B197,Recipes!$B$6:$B$105,0)))&gt;0,INDEX(Recipes!$D$6:$D$105,MATCH(B197,Recipes!$B$6:$B$105,0)),1),2),0))</f>
        <v/>
      </c>
      <c r="H197" s="1" t="n"/>
    </row>
    <row r="198">
      <c r="A198" s="1" t="n"/>
      <c r="B198" s="33" t="n"/>
      <c r="C198" s="33" t="n"/>
      <c r="D198" s="31" t="n"/>
      <c r="E198" s="35">
        <f>IF(C198="","",IFERROR(INDEX(Pantry!$C$6:$C$305,MATCH(C198,Pantry!$B$6:$B$305,0))&amp;"","Add to Pantry"))</f>
        <v/>
      </c>
      <c r="F198" s="25">
        <f>IF(OR(C198="",E198="Add to Pantry"),"",ROUND(N(D198)*INDEX(Pantry!$N$6:$N$305,MATCH(C198,Pantry!$B$6:$B$305,0)),2))</f>
        <v/>
      </c>
      <c r="G198" s="35">
        <f>IF(OR(B198="",C198=""),"",IFERROR(ROUND(N(D198)*N(INDEX(Recipes!$H$6:$H$105,MATCH(B198,Recipes!$B$6:$B$105,0)))/IF(N(INDEX(Recipes!$D$6:$D$105,MATCH(B198,Recipes!$B$6:$B$105,0)))&gt;0,INDEX(Recipes!$D$6:$D$105,MATCH(B198,Recipes!$B$6:$B$105,0)),1),2),0))</f>
        <v/>
      </c>
      <c r="H198" s="1" t="n"/>
    </row>
    <row r="199">
      <c r="A199" s="1" t="n"/>
      <c r="B199" s="33" t="n"/>
      <c r="C199" s="33" t="n"/>
      <c r="D199" s="31" t="n"/>
      <c r="E199" s="35">
        <f>IF(C199="","",IFERROR(INDEX(Pantry!$C$6:$C$305,MATCH(C199,Pantry!$B$6:$B$305,0))&amp;"","Add to Pantry"))</f>
        <v/>
      </c>
      <c r="F199" s="25">
        <f>IF(OR(C199="",E199="Add to Pantry"),"",ROUND(N(D199)*INDEX(Pantry!$N$6:$N$305,MATCH(C199,Pantry!$B$6:$B$305,0)),2))</f>
        <v/>
      </c>
      <c r="G199" s="35">
        <f>IF(OR(B199="",C199=""),"",IFERROR(ROUND(N(D199)*N(INDEX(Recipes!$H$6:$H$105,MATCH(B199,Recipes!$B$6:$B$105,0)))/IF(N(INDEX(Recipes!$D$6:$D$105,MATCH(B199,Recipes!$B$6:$B$105,0)))&gt;0,INDEX(Recipes!$D$6:$D$105,MATCH(B199,Recipes!$B$6:$B$105,0)),1),2),0))</f>
        <v/>
      </c>
      <c r="H199" s="1" t="n"/>
    </row>
    <row r="200">
      <c r="A200" s="1" t="n"/>
      <c r="B200" s="33" t="n"/>
      <c r="C200" s="33" t="n"/>
      <c r="D200" s="31" t="n"/>
      <c r="E200" s="35">
        <f>IF(C200="","",IFERROR(INDEX(Pantry!$C$6:$C$305,MATCH(C200,Pantry!$B$6:$B$305,0))&amp;"","Add to Pantry"))</f>
        <v/>
      </c>
      <c r="F200" s="25">
        <f>IF(OR(C200="",E200="Add to Pantry"),"",ROUND(N(D200)*INDEX(Pantry!$N$6:$N$305,MATCH(C200,Pantry!$B$6:$B$305,0)),2))</f>
        <v/>
      </c>
      <c r="G200" s="35">
        <f>IF(OR(B200="",C200=""),"",IFERROR(ROUND(N(D200)*N(INDEX(Recipes!$H$6:$H$105,MATCH(B200,Recipes!$B$6:$B$105,0)))/IF(N(INDEX(Recipes!$D$6:$D$105,MATCH(B200,Recipes!$B$6:$B$105,0)))&gt;0,INDEX(Recipes!$D$6:$D$105,MATCH(B200,Recipes!$B$6:$B$105,0)),1),2),0))</f>
        <v/>
      </c>
      <c r="H200" s="1" t="n"/>
    </row>
    <row r="201">
      <c r="A201" s="1" t="n"/>
      <c r="B201" s="33" t="n"/>
      <c r="C201" s="33" t="n"/>
      <c r="D201" s="31" t="n"/>
      <c r="E201" s="35">
        <f>IF(C201="","",IFERROR(INDEX(Pantry!$C$6:$C$305,MATCH(C201,Pantry!$B$6:$B$305,0))&amp;"","Add to Pantry"))</f>
        <v/>
      </c>
      <c r="F201" s="25">
        <f>IF(OR(C201="",E201="Add to Pantry"),"",ROUND(N(D201)*INDEX(Pantry!$N$6:$N$305,MATCH(C201,Pantry!$B$6:$B$305,0)),2))</f>
        <v/>
      </c>
      <c r="G201" s="35">
        <f>IF(OR(B201="",C201=""),"",IFERROR(ROUND(N(D201)*N(INDEX(Recipes!$H$6:$H$105,MATCH(B201,Recipes!$B$6:$B$105,0)))/IF(N(INDEX(Recipes!$D$6:$D$105,MATCH(B201,Recipes!$B$6:$B$105,0)))&gt;0,INDEX(Recipes!$D$6:$D$105,MATCH(B201,Recipes!$B$6:$B$105,0)),1),2),0))</f>
        <v/>
      </c>
      <c r="H201" s="1" t="n"/>
    </row>
    <row r="202">
      <c r="A202" s="1" t="n"/>
      <c r="B202" s="33" t="n"/>
      <c r="C202" s="33" t="n"/>
      <c r="D202" s="31" t="n"/>
      <c r="E202" s="35">
        <f>IF(C202="","",IFERROR(INDEX(Pantry!$C$6:$C$305,MATCH(C202,Pantry!$B$6:$B$305,0))&amp;"","Add to Pantry"))</f>
        <v/>
      </c>
      <c r="F202" s="25">
        <f>IF(OR(C202="",E202="Add to Pantry"),"",ROUND(N(D202)*INDEX(Pantry!$N$6:$N$305,MATCH(C202,Pantry!$B$6:$B$305,0)),2))</f>
        <v/>
      </c>
      <c r="G202" s="35">
        <f>IF(OR(B202="",C202=""),"",IFERROR(ROUND(N(D202)*N(INDEX(Recipes!$H$6:$H$105,MATCH(B202,Recipes!$B$6:$B$105,0)))/IF(N(INDEX(Recipes!$D$6:$D$105,MATCH(B202,Recipes!$B$6:$B$105,0)))&gt;0,INDEX(Recipes!$D$6:$D$105,MATCH(B202,Recipes!$B$6:$B$105,0)),1),2),0))</f>
        <v/>
      </c>
      <c r="H202" s="1" t="n"/>
    </row>
    <row r="203">
      <c r="A203" s="1" t="n"/>
      <c r="B203" s="33" t="n"/>
      <c r="C203" s="33" t="n"/>
      <c r="D203" s="31" t="n"/>
      <c r="E203" s="35">
        <f>IF(C203="","",IFERROR(INDEX(Pantry!$C$6:$C$305,MATCH(C203,Pantry!$B$6:$B$305,0))&amp;"","Add to Pantry"))</f>
        <v/>
      </c>
      <c r="F203" s="25">
        <f>IF(OR(C203="",E203="Add to Pantry"),"",ROUND(N(D203)*INDEX(Pantry!$N$6:$N$305,MATCH(C203,Pantry!$B$6:$B$305,0)),2))</f>
        <v/>
      </c>
      <c r="G203" s="35">
        <f>IF(OR(B203="",C203=""),"",IFERROR(ROUND(N(D203)*N(INDEX(Recipes!$H$6:$H$105,MATCH(B203,Recipes!$B$6:$B$105,0)))/IF(N(INDEX(Recipes!$D$6:$D$105,MATCH(B203,Recipes!$B$6:$B$105,0)))&gt;0,INDEX(Recipes!$D$6:$D$105,MATCH(B203,Recipes!$B$6:$B$105,0)),1),2),0))</f>
        <v/>
      </c>
      <c r="H203" s="1" t="n"/>
    </row>
    <row r="204">
      <c r="A204" s="1" t="n"/>
      <c r="B204" s="33" t="n"/>
      <c r="C204" s="33" t="n"/>
      <c r="D204" s="31" t="n"/>
      <c r="E204" s="35">
        <f>IF(C204="","",IFERROR(INDEX(Pantry!$C$6:$C$305,MATCH(C204,Pantry!$B$6:$B$305,0))&amp;"","Add to Pantry"))</f>
        <v/>
      </c>
      <c r="F204" s="25">
        <f>IF(OR(C204="",E204="Add to Pantry"),"",ROUND(N(D204)*INDEX(Pantry!$N$6:$N$305,MATCH(C204,Pantry!$B$6:$B$305,0)),2))</f>
        <v/>
      </c>
      <c r="G204" s="35">
        <f>IF(OR(B204="",C204=""),"",IFERROR(ROUND(N(D204)*N(INDEX(Recipes!$H$6:$H$105,MATCH(B204,Recipes!$B$6:$B$105,0)))/IF(N(INDEX(Recipes!$D$6:$D$105,MATCH(B204,Recipes!$B$6:$B$105,0)))&gt;0,INDEX(Recipes!$D$6:$D$105,MATCH(B204,Recipes!$B$6:$B$105,0)),1),2),0))</f>
        <v/>
      </c>
      <c r="H204" s="1" t="n"/>
    </row>
    <row r="205">
      <c r="A205" s="1" t="n"/>
      <c r="B205" s="33" t="n"/>
      <c r="C205" s="33" t="n"/>
      <c r="D205" s="31" t="n"/>
      <c r="E205" s="35">
        <f>IF(C205="","",IFERROR(INDEX(Pantry!$C$6:$C$305,MATCH(C205,Pantry!$B$6:$B$305,0))&amp;"","Add to Pantry"))</f>
        <v/>
      </c>
      <c r="F205" s="25">
        <f>IF(OR(C205="",E205="Add to Pantry"),"",ROUND(N(D205)*INDEX(Pantry!$N$6:$N$305,MATCH(C205,Pantry!$B$6:$B$305,0)),2))</f>
        <v/>
      </c>
      <c r="G205" s="35">
        <f>IF(OR(B205="",C205=""),"",IFERROR(ROUND(N(D205)*N(INDEX(Recipes!$H$6:$H$105,MATCH(B205,Recipes!$B$6:$B$105,0)))/IF(N(INDEX(Recipes!$D$6:$D$105,MATCH(B205,Recipes!$B$6:$B$105,0)))&gt;0,INDEX(Recipes!$D$6:$D$105,MATCH(B205,Recipes!$B$6:$B$105,0)),1),2),0))</f>
        <v/>
      </c>
      <c r="H205" s="1" t="n"/>
    </row>
    <row r="206">
      <c r="A206" s="1" t="n"/>
      <c r="B206" s="33" t="n"/>
      <c r="C206" s="33" t="n"/>
      <c r="D206" s="31" t="n"/>
      <c r="E206" s="35">
        <f>IF(C206="","",IFERROR(INDEX(Pantry!$C$6:$C$305,MATCH(C206,Pantry!$B$6:$B$305,0))&amp;"","Add to Pantry"))</f>
        <v/>
      </c>
      <c r="F206" s="25">
        <f>IF(OR(C206="",E206="Add to Pantry"),"",ROUND(N(D206)*INDEX(Pantry!$N$6:$N$305,MATCH(C206,Pantry!$B$6:$B$305,0)),2))</f>
        <v/>
      </c>
      <c r="G206" s="35">
        <f>IF(OR(B206="",C206=""),"",IFERROR(ROUND(N(D206)*N(INDEX(Recipes!$H$6:$H$105,MATCH(B206,Recipes!$B$6:$B$105,0)))/IF(N(INDEX(Recipes!$D$6:$D$105,MATCH(B206,Recipes!$B$6:$B$105,0)))&gt;0,INDEX(Recipes!$D$6:$D$105,MATCH(B206,Recipes!$B$6:$B$105,0)),1),2),0))</f>
        <v/>
      </c>
      <c r="H206" s="1" t="n"/>
    </row>
    <row r="207">
      <c r="A207" s="1" t="n"/>
      <c r="B207" s="33" t="n"/>
      <c r="C207" s="33" t="n"/>
      <c r="D207" s="31" t="n"/>
      <c r="E207" s="35">
        <f>IF(C207="","",IFERROR(INDEX(Pantry!$C$6:$C$305,MATCH(C207,Pantry!$B$6:$B$305,0))&amp;"","Add to Pantry"))</f>
        <v/>
      </c>
      <c r="F207" s="25">
        <f>IF(OR(C207="",E207="Add to Pantry"),"",ROUND(N(D207)*INDEX(Pantry!$N$6:$N$305,MATCH(C207,Pantry!$B$6:$B$305,0)),2))</f>
        <v/>
      </c>
      <c r="G207" s="35">
        <f>IF(OR(B207="",C207=""),"",IFERROR(ROUND(N(D207)*N(INDEX(Recipes!$H$6:$H$105,MATCH(B207,Recipes!$B$6:$B$105,0)))/IF(N(INDEX(Recipes!$D$6:$D$105,MATCH(B207,Recipes!$B$6:$B$105,0)))&gt;0,INDEX(Recipes!$D$6:$D$105,MATCH(B207,Recipes!$B$6:$B$105,0)),1),2),0))</f>
        <v/>
      </c>
      <c r="H207" s="1" t="n"/>
    </row>
    <row r="208">
      <c r="A208" s="1" t="n"/>
      <c r="B208" s="33" t="n"/>
      <c r="C208" s="33" t="n"/>
      <c r="D208" s="31" t="n"/>
      <c r="E208" s="35">
        <f>IF(C208="","",IFERROR(INDEX(Pantry!$C$6:$C$305,MATCH(C208,Pantry!$B$6:$B$305,0))&amp;"","Add to Pantry"))</f>
        <v/>
      </c>
      <c r="F208" s="25">
        <f>IF(OR(C208="",E208="Add to Pantry"),"",ROUND(N(D208)*INDEX(Pantry!$N$6:$N$305,MATCH(C208,Pantry!$B$6:$B$305,0)),2))</f>
        <v/>
      </c>
      <c r="G208" s="35">
        <f>IF(OR(B208="",C208=""),"",IFERROR(ROUND(N(D208)*N(INDEX(Recipes!$H$6:$H$105,MATCH(B208,Recipes!$B$6:$B$105,0)))/IF(N(INDEX(Recipes!$D$6:$D$105,MATCH(B208,Recipes!$B$6:$B$105,0)))&gt;0,INDEX(Recipes!$D$6:$D$105,MATCH(B208,Recipes!$B$6:$B$105,0)),1),2),0))</f>
        <v/>
      </c>
      <c r="H208" s="1" t="n"/>
    </row>
    <row r="209">
      <c r="A209" s="1" t="n"/>
      <c r="B209" s="33" t="n"/>
      <c r="C209" s="33" t="n"/>
      <c r="D209" s="31" t="n"/>
      <c r="E209" s="35">
        <f>IF(C209="","",IFERROR(INDEX(Pantry!$C$6:$C$305,MATCH(C209,Pantry!$B$6:$B$305,0))&amp;"","Add to Pantry"))</f>
        <v/>
      </c>
      <c r="F209" s="25">
        <f>IF(OR(C209="",E209="Add to Pantry"),"",ROUND(N(D209)*INDEX(Pantry!$N$6:$N$305,MATCH(C209,Pantry!$B$6:$B$305,0)),2))</f>
        <v/>
      </c>
      <c r="G209" s="35">
        <f>IF(OR(B209="",C209=""),"",IFERROR(ROUND(N(D209)*N(INDEX(Recipes!$H$6:$H$105,MATCH(B209,Recipes!$B$6:$B$105,0)))/IF(N(INDEX(Recipes!$D$6:$D$105,MATCH(B209,Recipes!$B$6:$B$105,0)))&gt;0,INDEX(Recipes!$D$6:$D$105,MATCH(B209,Recipes!$B$6:$B$105,0)),1),2),0))</f>
        <v/>
      </c>
      <c r="H209" s="1" t="n"/>
    </row>
    <row r="210">
      <c r="A210" s="1" t="n"/>
      <c r="B210" s="33" t="n"/>
      <c r="C210" s="33" t="n"/>
      <c r="D210" s="31" t="n"/>
      <c r="E210" s="35">
        <f>IF(C210="","",IFERROR(INDEX(Pantry!$C$6:$C$305,MATCH(C210,Pantry!$B$6:$B$305,0))&amp;"","Add to Pantry"))</f>
        <v/>
      </c>
      <c r="F210" s="25">
        <f>IF(OR(C210="",E210="Add to Pantry"),"",ROUND(N(D210)*INDEX(Pantry!$N$6:$N$305,MATCH(C210,Pantry!$B$6:$B$305,0)),2))</f>
        <v/>
      </c>
      <c r="G210" s="35">
        <f>IF(OR(B210="",C210=""),"",IFERROR(ROUND(N(D210)*N(INDEX(Recipes!$H$6:$H$105,MATCH(B210,Recipes!$B$6:$B$105,0)))/IF(N(INDEX(Recipes!$D$6:$D$105,MATCH(B210,Recipes!$B$6:$B$105,0)))&gt;0,INDEX(Recipes!$D$6:$D$105,MATCH(B210,Recipes!$B$6:$B$105,0)),1),2),0))</f>
        <v/>
      </c>
      <c r="H210" s="1" t="n"/>
    </row>
    <row r="211">
      <c r="A211" s="1" t="n"/>
      <c r="B211" s="33" t="n"/>
      <c r="C211" s="33" t="n"/>
      <c r="D211" s="31" t="n"/>
      <c r="E211" s="35">
        <f>IF(C211="","",IFERROR(INDEX(Pantry!$C$6:$C$305,MATCH(C211,Pantry!$B$6:$B$305,0))&amp;"","Add to Pantry"))</f>
        <v/>
      </c>
      <c r="F211" s="25">
        <f>IF(OR(C211="",E211="Add to Pantry"),"",ROUND(N(D211)*INDEX(Pantry!$N$6:$N$305,MATCH(C211,Pantry!$B$6:$B$305,0)),2))</f>
        <v/>
      </c>
      <c r="G211" s="35">
        <f>IF(OR(B211="",C211=""),"",IFERROR(ROUND(N(D211)*N(INDEX(Recipes!$H$6:$H$105,MATCH(B211,Recipes!$B$6:$B$105,0)))/IF(N(INDEX(Recipes!$D$6:$D$105,MATCH(B211,Recipes!$B$6:$B$105,0)))&gt;0,INDEX(Recipes!$D$6:$D$105,MATCH(B211,Recipes!$B$6:$B$105,0)),1),2),0))</f>
        <v/>
      </c>
      <c r="H211" s="1" t="n"/>
    </row>
    <row r="212">
      <c r="A212" s="1" t="n"/>
      <c r="B212" s="33" t="n"/>
      <c r="C212" s="33" t="n"/>
      <c r="D212" s="31" t="n"/>
      <c r="E212" s="35">
        <f>IF(C212="","",IFERROR(INDEX(Pantry!$C$6:$C$305,MATCH(C212,Pantry!$B$6:$B$305,0))&amp;"","Add to Pantry"))</f>
        <v/>
      </c>
      <c r="F212" s="25">
        <f>IF(OR(C212="",E212="Add to Pantry"),"",ROUND(N(D212)*INDEX(Pantry!$N$6:$N$305,MATCH(C212,Pantry!$B$6:$B$305,0)),2))</f>
        <v/>
      </c>
      <c r="G212" s="35">
        <f>IF(OR(B212="",C212=""),"",IFERROR(ROUND(N(D212)*N(INDEX(Recipes!$H$6:$H$105,MATCH(B212,Recipes!$B$6:$B$105,0)))/IF(N(INDEX(Recipes!$D$6:$D$105,MATCH(B212,Recipes!$B$6:$B$105,0)))&gt;0,INDEX(Recipes!$D$6:$D$105,MATCH(B212,Recipes!$B$6:$B$105,0)),1),2),0))</f>
        <v/>
      </c>
      <c r="H212" s="1" t="n"/>
    </row>
    <row r="213">
      <c r="A213" s="1" t="n"/>
      <c r="B213" s="33" t="n"/>
      <c r="C213" s="33" t="n"/>
      <c r="D213" s="31" t="n"/>
      <c r="E213" s="35">
        <f>IF(C213="","",IFERROR(INDEX(Pantry!$C$6:$C$305,MATCH(C213,Pantry!$B$6:$B$305,0))&amp;"","Add to Pantry"))</f>
        <v/>
      </c>
      <c r="F213" s="25">
        <f>IF(OR(C213="",E213="Add to Pantry"),"",ROUND(N(D213)*INDEX(Pantry!$N$6:$N$305,MATCH(C213,Pantry!$B$6:$B$305,0)),2))</f>
        <v/>
      </c>
      <c r="G213" s="35">
        <f>IF(OR(B213="",C213=""),"",IFERROR(ROUND(N(D213)*N(INDEX(Recipes!$H$6:$H$105,MATCH(B213,Recipes!$B$6:$B$105,0)))/IF(N(INDEX(Recipes!$D$6:$D$105,MATCH(B213,Recipes!$B$6:$B$105,0)))&gt;0,INDEX(Recipes!$D$6:$D$105,MATCH(B213,Recipes!$B$6:$B$105,0)),1),2),0))</f>
        <v/>
      </c>
      <c r="H213" s="1" t="n"/>
    </row>
    <row r="214">
      <c r="A214" s="1" t="n"/>
      <c r="B214" s="33" t="n"/>
      <c r="C214" s="33" t="n"/>
      <c r="D214" s="31" t="n"/>
      <c r="E214" s="35">
        <f>IF(C214="","",IFERROR(INDEX(Pantry!$C$6:$C$305,MATCH(C214,Pantry!$B$6:$B$305,0))&amp;"","Add to Pantry"))</f>
        <v/>
      </c>
      <c r="F214" s="25">
        <f>IF(OR(C214="",E214="Add to Pantry"),"",ROUND(N(D214)*INDEX(Pantry!$N$6:$N$305,MATCH(C214,Pantry!$B$6:$B$305,0)),2))</f>
        <v/>
      </c>
      <c r="G214" s="35">
        <f>IF(OR(B214="",C214=""),"",IFERROR(ROUND(N(D214)*N(INDEX(Recipes!$H$6:$H$105,MATCH(B214,Recipes!$B$6:$B$105,0)))/IF(N(INDEX(Recipes!$D$6:$D$105,MATCH(B214,Recipes!$B$6:$B$105,0)))&gt;0,INDEX(Recipes!$D$6:$D$105,MATCH(B214,Recipes!$B$6:$B$105,0)),1),2),0))</f>
        <v/>
      </c>
      <c r="H214" s="1" t="n"/>
    </row>
    <row r="215">
      <c r="A215" s="1" t="n"/>
      <c r="B215" s="33" t="n"/>
      <c r="C215" s="33" t="n"/>
      <c r="D215" s="31" t="n"/>
      <c r="E215" s="35">
        <f>IF(C215="","",IFERROR(INDEX(Pantry!$C$6:$C$305,MATCH(C215,Pantry!$B$6:$B$305,0))&amp;"","Add to Pantry"))</f>
        <v/>
      </c>
      <c r="F215" s="25">
        <f>IF(OR(C215="",E215="Add to Pantry"),"",ROUND(N(D215)*INDEX(Pantry!$N$6:$N$305,MATCH(C215,Pantry!$B$6:$B$305,0)),2))</f>
        <v/>
      </c>
      <c r="G215" s="35">
        <f>IF(OR(B215="",C215=""),"",IFERROR(ROUND(N(D215)*N(INDEX(Recipes!$H$6:$H$105,MATCH(B215,Recipes!$B$6:$B$105,0)))/IF(N(INDEX(Recipes!$D$6:$D$105,MATCH(B215,Recipes!$B$6:$B$105,0)))&gt;0,INDEX(Recipes!$D$6:$D$105,MATCH(B215,Recipes!$B$6:$B$105,0)),1),2),0))</f>
        <v/>
      </c>
      <c r="H215" s="1" t="n"/>
    </row>
    <row r="216">
      <c r="A216" s="1" t="n"/>
      <c r="B216" s="33" t="n"/>
      <c r="C216" s="33" t="n"/>
      <c r="D216" s="31" t="n"/>
      <c r="E216" s="35">
        <f>IF(C216="","",IFERROR(INDEX(Pantry!$C$6:$C$305,MATCH(C216,Pantry!$B$6:$B$305,0))&amp;"","Add to Pantry"))</f>
        <v/>
      </c>
      <c r="F216" s="25">
        <f>IF(OR(C216="",E216="Add to Pantry"),"",ROUND(N(D216)*INDEX(Pantry!$N$6:$N$305,MATCH(C216,Pantry!$B$6:$B$305,0)),2))</f>
        <v/>
      </c>
      <c r="G216" s="35">
        <f>IF(OR(B216="",C216=""),"",IFERROR(ROUND(N(D216)*N(INDEX(Recipes!$H$6:$H$105,MATCH(B216,Recipes!$B$6:$B$105,0)))/IF(N(INDEX(Recipes!$D$6:$D$105,MATCH(B216,Recipes!$B$6:$B$105,0)))&gt;0,INDEX(Recipes!$D$6:$D$105,MATCH(B216,Recipes!$B$6:$B$105,0)),1),2),0))</f>
        <v/>
      </c>
      <c r="H216" s="1" t="n"/>
    </row>
    <row r="217">
      <c r="A217" s="1" t="n"/>
      <c r="B217" s="33" t="n"/>
      <c r="C217" s="33" t="n"/>
      <c r="D217" s="31" t="n"/>
      <c r="E217" s="35">
        <f>IF(C217="","",IFERROR(INDEX(Pantry!$C$6:$C$305,MATCH(C217,Pantry!$B$6:$B$305,0))&amp;"","Add to Pantry"))</f>
        <v/>
      </c>
      <c r="F217" s="25">
        <f>IF(OR(C217="",E217="Add to Pantry"),"",ROUND(N(D217)*INDEX(Pantry!$N$6:$N$305,MATCH(C217,Pantry!$B$6:$B$305,0)),2))</f>
        <v/>
      </c>
      <c r="G217" s="35">
        <f>IF(OR(B217="",C217=""),"",IFERROR(ROUND(N(D217)*N(INDEX(Recipes!$H$6:$H$105,MATCH(B217,Recipes!$B$6:$B$105,0)))/IF(N(INDEX(Recipes!$D$6:$D$105,MATCH(B217,Recipes!$B$6:$B$105,0)))&gt;0,INDEX(Recipes!$D$6:$D$105,MATCH(B217,Recipes!$B$6:$B$105,0)),1),2),0))</f>
        <v/>
      </c>
      <c r="H217" s="1" t="n"/>
    </row>
    <row r="218">
      <c r="A218" s="1" t="n"/>
      <c r="B218" s="33" t="n"/>
      <c r="C218" s="33" t="n"/>
      <c r="D218" s="31" t="n"/>
      <c r="E218" s="35">
        <f>IF(C218="","",IFERROR(INDEX(Pantry!$C$6:$C$305,MATCH(C218,Pantry!$B$6:$B$305,0))&amp;"","Add to Pantry"))</f>
        <v/>
      </c>
      <c r="F218" s="25">
        <f>IF(OR(C218="",E218="Add to Pantry"),"",ROUND(N(D218)*INDEX(Pantry!$N$6:$N$305,MATCH(C218,Pantry!$B$6:$B$305,0)),2))</f>
        <v/>
      </c>
      <c r="G218" s="35">
        <f>IF(OR(B218="",C218=""),"",IFERROR(ROUND(N(D218)*N(INDEX(Recipes!$H$6:$H$105,MATCH(B218,Recipes!$B$6:$B$105,0)))/IF(N(INDEX(Recipes!$D$6:$D$105,MATCH(B218,Recipes!$B$6:$B$105,0)))&gt;0,INDEX(Recipes!$D$6:$D$105,MATCH(B218,Recipes!$B$6:$B$105,0)),1),2),0))</f>
        <v/>
      </c>
      <c r="H218" s="1" t="n"/>
    </row>
    <row r="219">
      <c r="A219" s="1" t="n"/>
      <c r="B219" s="33" t="n"/>
      <c r="C219" s="33" t="n"/>
      <c r="D219" s="31" t="n"/>
      <c r="E219" s="35">
        <f>IF(C219="","",IFERROR(INDEX(Pantry!$C$6:$C$305,MATCH(C219,Pantry!$B$6:$B$305,0))&amp;"","Add to Pantry"))</f>
        <v/>
      </c>
      <c r="F219" s="25">
        <f>IF(OR(C219="",E219="Add to Pantry"),"",ROUND(N(D219)*INDEX(Pantry!$N$6:$N$305,MATCH(C219,Pantry!$B$6:$B$305,0)),2))</f>
        <v/>
      </c>
      <c r="G219" s="35">
        <f>IF(OR(B219="",C219=""),"",IFERROR(ROUND(N(D219)*N(INDEX(Recipes!$H$6:$H$105,MATCH(B219,Recipes!$B$6:$B$105,0)))/IF(N(INDEX(Recipes!$D$6:$D$105,MATCH(B219,Recipes!$B$6:$B$105,0)))&gt;0,INDEX(Recipes!$D$6:$D$105,MATCH(B219,Recipes!$B$6:$B$105,0)),1),2),0))</f>
        <v/>
      </c>
      <c r="H219" s="1" t="n"/>
    </row>
    <row r="220">
      <c r="A220" s="1" t="n"/>
      <c r="B220" s="33" t="n"/>
      <c r="C220" s="33" t="n"/>
      <c r="D220" s="31" t="n"/>
      <c r="E220" s="35">
        <f>IF(C220="","",IFERROR(INDEX(Pantry!$C$6:$C$305,MATCH(C220,Pantry!$B$6:$B$305,0))&amp;"","Add to Pantry"))</f>
        <v/>
      </c>
      <c r="F220" s="25">
        <f>IF(OR(C220="",E220="Add to Pantry"),"",ROUND(N(D220)*INDEX(Pantry!$N$6:$N$305,MATCH(C220,Pantry!$B$6:$B$305,0)),2))</f>
        <v/>
      </c>
      <c r="G220" s="35">
        <f>IF(OR(B220="",C220=""),"",IFERROR(ROUND(N(D220)*N(INDEX(Recipes!$H$6:$H$105,MATCH(B220,Recipes!$B$6:$B$105,0)))/IF(N(INDEX(Recipes!$D$6:$D$105,MATCH(B220,Recipes!$B$6:$B$105,0)))&gt;0,INDEX(Recipes!$D$6:$D$105,MATCH(B220,Recipes!$B$6:$B$105,0)),1),2),0))</f>
        <v/>
      </c>
      <c r="H220" s="1" t="n"/>
    </row>
    <row r="221">
      <c r="A221" s="1" t="n"/>
      <c r="B221" s="33" t="n"/>
      <c r="C221" s="33" t="n"/>
      <c r="D221" s="31" t="n"/>
      <c r="E221" s="35">
        <f>IF(C221="","",IFERROR(INDEX(Pantry!$C$6:$C$305,MATCH(C221,Pantry!$B$6:$B$305,0))&amp;"","Add to Pantry"))</f>
        <v/>
      </c>
      <c r="F221" s="25">
        <f>IF(OR(C221="",E221="Add to Pantry"),"",ROUND(N(D221)*INDEX(Pantry!$N$6:$N$305,MATCH(C221,Pantry!$B$6:$B$305,0)),2))</f>
        <v/>
      </c>
      <c r="G221" s="35">
        <f>IF(OR(B221="",C221=""),"",IFERROR(ROUND(N(D221)*N(INDEX(Recipes!$H$6:$H$105,MATCH(B221,Recipes!$B$6:$B$105,0)))/IF(N(INDEX(Recipes!$D$6:$D$105,MATCH(B221,Recipes!$B$6:$B$105,0)))&gt;0,INDEX(Recipes!$D$6:$D$105,MATCH(B221,Recipes!$B$6:$B$105,0)),1),2),0))</f>
        <v/>
      </c>
      <c r="H221" s="1" t="n"/>
    </row>
    <row r="222">
      <c r="A222" s="1" t="n"/>
      <c r="B222" s="33" t="n"/>
      <c r="C222" s="33" t="n"/>
      <c r="D222" s="31" t="n"/>
      <c r="E222" s="35">
        <f>IF(C222="","",IFERROR(INDEX(Pantry!$C$6:$C$305,MATCH(C222,Pantry!$B$6:$B$305,0))&amp;"","Add to Pantry"))</f>
        <v/>
      </c>
      <c r="F222" s="25">
        <f>IF(OR(C222="",E222="Add to Pantry"),"",ROUND(N(D222)*INDEX(Pantry!$N$6:$N$305,MATCH(C222,Pantry!$B$6:$B$305,0)),2))</f>
        <v/>
      </c>
      <c r="G222" s="35">
        <f>IF(OR(B222="",C222=""),"",IFERROR(ROUND(N(D222)*N(INDEX(Recipes!$H$6:$H$105,MATCH(B222,Recipes!$B$6:$B$105,0)))/IF(N(INDEX(Recipes!$D$6:$D$105,MATCH(B222,Recipes!$B$6:$B$105,0)))&gt;0,INDEX(Recipes!$D$6:$D$105,MATCH(B222,Recipes!$B$6:$B$105,0)),1),2),0))</f>
        <v/>
      </c>
      <c r="H222" s="1" t="n"/>
    </row>
    <row r="223">
      <c r="A223" s="1" t="n"/>
      <c r="B223" s="33" t="n"/>
      <c r="C223" s="33" t="n"/>
      <c r="D223" s="31" t="n"/>
      <c r="E223" s="35">
        <f>IF(C223="","",IFERROR(INDEX(Pantry!$C$6:$C$305,MATCH(C223,Pantry!$B$6:$B$305,0))&amp;"","Add to Pantry"))</f>
        <v/>
      </c>
      <c r="F223" s="25">
        <f>IF(OR(C223="",E223="Add to Pantry"),"",ROUND(N(D223)*INDEX(Pantry!$N$6:$N$305,MATCH(C223,Pantry!$B$6:$B$305,0)),2))</f>
        <v/>
      </c>
      <c r="G223" s="35">
        <f>IF(OR(B223="",C223=""),"",IFERROR(ROUND(N(D223)*N(INDEX(Recipes!$H$6:$H$105,MATCH(B223,Recipes!$B$6:$B$105,0)))/IF(N(INDEX(Recipes!$D$6:$D$105,MATCH(B223,Recipes!$B$6:$B$105,0)))&gt;0,INDEX(Recipes!$D$6:$D$105,MATCH(B223,Recipes!$B$6:$B$105,0)),1),2),0))</f>
        <v/>
      </c>
      <c r="H223" s="1" t="n"/>
    </row>
    <row r="224">
      <c r="A224" s="1" t="n"/>
      <c r="B224" s="33" t="n"/>
      <c r="C224" s="33" t="n"/>
      <c r="D224" s="31" t="n"/>
      <c r="E224" s="35">
        <f>IF(C224="","",IFERROR(INDEX(Pantry!$C$6:$C$305,MATCH(C224,Pantry!$B$6:$B$305,0))&amp;"","Add to Pantry"))</f>
        <v/>
      </c>
      <c r="F224" s="25">
        <f>IF(OR(C224="",E224="Add to Pantry"),"",ROUND(N(D224)*INDEX(Pantry!$N$6:$N$305,MATCH(C224,Pantry!$B$6:$B$305,0)),2))</f>
        <v/>
      </c>
      <c r="G224" s="35">
        <f>IF(OR(B224="",C224=""),"",IFERROR(ROUND(N(D224)*N(INDEX(Recipes!$H$6:$H$105,MATCH(B224,Recipes!$B$6:$B$105,0)))/IF(N(INDEX(Recipes!$D$6:$D$105,MATCH(B224,Recipes!$B$6:$B$105,0)))&gt;0,INDEX(Recipes!$D$6:$D$105,MATCH(B224,Recipes!$B$6:$B$105,0)),1),2),0))</f>
        <v/>
      </c>
      <c r="H224" s="1" t="n"/>
    </row>
    <row r="225">
      <c r="A225" s="1" t="n"/>
      <c r="B225" s="33" t="n"/>
      <c r="C225" s="33" t="n"/>
      <c r="D225" s="31" t="n"/>
      <c r="E225" s="35">
        <f>IF(C225="","",IFERROR(INDEX(Pantry!$C$6:$C$305,MATCH(C225,Pantry!$B$6:$B$305,0))&amp;"","Add to Pantry"))</f>
        <v/>
      </c>
      <c r="F225" s="25">
        <f>IF(OR(C225="",E225="Add to Pantry"),"",ROUND(N(D225)*INDEX(Pantry!$N$6:$N$305,MATCH(C225,Pantry!$B$6:$B$305,0)),2))</f>
        <v/>
      </c>
      <c r="G225" s="35">
        <f>IF(OR(B225="",C225=""),"",IFERROR(ROUND(N(D225)*N(INDEX(Recipes!$H$6:$H$105,MATCH(B225,Recipes!$B$6:$B$105,0)))/IF(N(INDEX(Recipes!$D$6:$D$105,MATCH(B225,Recipes!$B$6:$B$105,0)))&gt;0,INDEX(Recipes!$D$6:$D$105,MATCH(B225,Recipes!$B$6:$B$105,0)),1),2),0))</f>
        <v/>
      </c>
      <c r="H225" s="1" t="n"/>
    </row>
    <row r="226">
      <c r="A226" s="1" t="n"/>
      <c r="B226" s="33" t="n"/>
      <c r="C226" s="33" t="n"/>
      <c r="D226" s="31" t="n"/>
      <c r="E226" s="35">
        <f>IF(C226="","",IFERROR(INDEX(Pantry!$C$6:$C$305,MATCH(C226,Pantry!$B$6:$B$305,0))&amp;"","Add to Pantry"))</f>
        <v/>
      </c>
      <c r="F226" s="25">
        <f>IF(OR(C226="",E226="Add to Pantry"),"",ROUND(N(D226)*INDEX(Pantry!$N$6:$N$305,MATCH(C226,Pantry!$B$6:$B$305,0)),2))</f>
        <v/>
      </c>
      <c r="G226" s="35">
        <f>IF(OR(B226="",C226=""),"",IFERROR(ROUND(N(D226)*N(INDEX(Recipes!$H$6:$H$105,MATCH(B226,Recipes!$B$6:$B$105,0)))/IF(N(INDEX(Recipes!$D$6:$D$105,MATCH(B226,Recipes!$B$6:$B$105,0)))&gt;0,INDEX(Recipes!$D$6:$D$105,MATCH(B226,Recipes!$B$6:$B$105,0)),1),2),0))</f>
        <v/>
      </c>
      <c r="H226" s="1" t="n"/>
    </row>
    <row r="227">
      <c r="A227" s="1" t="n"/>
      <c r="B227" s="33" t="n"/>
      <c r="C227" s="33" t="n"/>
      <c r="D227" s="31" t="n"/>
      <c r="E227" s="35">
        <f>IF(C227="","",IFERROR(INDEX(Pantry!$C$6:$C$305,MATCH(C227,Pantry!$B$6:$B$305,0))&amp;"","Add to Pantry"))</f>
        <v/>
      </c>
      <c r="F227" s="25">
        <f>IF(OR(C227="",E227="Add to Pantry"),"",ROUND(N(D227)*INDEX(Pantry!$N$6:$N$305,MATCH(C227,Pantry!$B$6:$B$305,0)),2))</f>
        <v/>
      </c>
      <c r="G227" s="35">
        <f>IF(OR(B227="",C227=""),"",IFERROR(ROUND(N(D227)*N(INDEX(Recipes!$H$6:$H$105,MATCH(B227,Recipes!$B$6:$B$105,0)))/IF(N(INDEX(Recipes!$D$6:$D$105,MATCH(B227,Recipes!$B$6:$B$105,0)))&gt;0,INDEX(Recipes!$D$6:$D$105,MATCH(B227,Recipes!$B$6:$B$105,0)),1),2),0))</f>
        <v/>
      </c>
      <c r="H227" s="1" t="n"/>
    </row>
    <row r="228">
      <c r="A228" s="1" t="n"/>
      <c r="B228" s="33" t="n"/>
      <c r="C228" s="33" t="n"/>
      <c r="D228" s="31" t="n"/>
      <c r="E228" s="35">
        <f>IF(C228="","",IFERROR(INDEX(Pantry!$C$6:$C$305,MATCH(C228,Pantry!$B$6:$B$305,0))&amp;"","Add to Pantry"))</f>
        <v/>
      </c>
      <c r="F228" s="25">
        <f>IF(OR(C228="",E228="Add to Pantry"),"",ROUND(N(D228)*INDEX(Pantry!$N$6:$N$305,MATCH(C228,Pantry!$B$6:$B$305,0)),2))</f>
        <v/>
      </c>
      <c r="G228" s="35">
        <f>IF(OR(B228="",C228=""),"",IFERROR(ROUND(N(D228)*N(INDEX(Recipes!$H$6:$H$105,MATCH(B228,Recipes!$B$6:$B$105,0)))/IF(N(INDEX(Recipes!$D$6:$D$105,MATCH(B228,Recipes!$B$6:$B$105,0)))&gt;0,INDEX(Recipes!$D$6:$D$105,MATCH(B228,Recipes!$B$6:$B$105,0)),1),2),0))</f>
        <v/>
      </c>
      <c r="H228" s="1" t="n"/>
    </row>
    <row r="229">
      <c r="A229" s="1" t="n"/>
      <c r="B229" s="33" t="n"/>
      <c r="C229" s="33" t="n"/>
      <c r="D229" s="31" t="n"/>
      <c r="E229" s="35">
        <f>IF(C229="","",IFERROR(INDEX(Pantry!$C$6:$C$305,MATCH(C229,Pantry!$B$6:$B$305,0))&amp;"","Add to Pantry"))</f>
        <v/>
      </c>
      <c r="F229" s="25">
        <f>IF(OR(C229="",E229="Add to Pantry"),"",ROUND(N(D229)*INDEX(Pantry!$N$6:$N$305,MATCH(C229,Pantry!$B$6:$B$305,0)),2))</f>
        <v/>
      </c>
      <c r="G229" s="35">
        <f>IF(OR(B229="",C229=""),"",IFERROR(ROUND(N(D229)*N(INDEX(Recipes!$H$6:$H$105,MATCH(B229,Recipes!$B$6:$B$105,0)))/IF(N(INDEX(Recipes!$D$6:$D$105,MATCH(B229,Recipes!$B$6:$B$105,0)))&gt;0,INDEX(Recipes!$D$6:$D$105,MATCH(B229,Recipes!$B$6:$B$105,0)),1),2),0))</f>
        <v/>
      </c>
      <c r="H229" s="1" t="n"/>
    </row>
    <row r="230">
      <c r="A230" s="1" t="n"/>
      <c r="B230" s="33" t="n"/>
      <c r="C230" s="33" t="n"/>
      <c r="D230" s="31" t="n"/>
      <c r="E230" s="35">
        <f>IF(C230="","",IFERROR(INDEX(Pantry!$C$6:$C$305,MATCH(C230,Pantry!$B$6:$B$305,0))&amp;"","Add to Pantry"))</f>
        <v/>
      </c>
      <c r="F230" s="25">
        <f>IF(OR(C230="",E230="Add to Pantry"),"",ROUND(N(D230)*INDEX(Pantry!$N$6:$N$305,MATCH(C230,Pantry!$B$6:$B$305,0)),2))</f>
        <v/>
      </c>
      <c r="G230" s="35">
        <f>IF(OR(B230="",C230=""),"",IFERROR(ROUND(N(D230)*N(INDEX(Recipes!$H$6:$H$105,MATCH(B230,Recipes!$B$6:$B$105,0)))/IF(N(INDEX(Recipes!$D$6:$D$105,MATCH(B230,Recipes!$B$6:$B$105,0)))&gt;0,INDEX(Recipes!$D$6:$D$105,MATCH(B230,Recipes!$B$6:$B$105,0)),1),2),0))</f>
        <v/>
      </c>
      <c r="H230" s="1" t="n"/>
    </row>
    <row r="231">
      <c r="A231" s="1" t="n"/>
      <c r="B231" s="33" t="n"/>
      <c r="C231" s="33" t="n"/>
      <c r="D231" s="31" t="n"/>
      <c r="E231" s="35">
        <f>IF(C231="","",IFERROR(INDEX(Pantry!$C$6:$C$305,MATCH(C231,Pantry!$B$6:$B$305,0))&amp;"","Add to Pantry"))</f>
        <v/>
      </c>
      <c r="F231" s="25">
        <f>IF(OR(C231="",E231="Add to Pantry"),"",ROUND(N(D231)*INDEX(Pantry!$N$6:$N$305,MATCH(C231,Pantry!$B$6:$B$305,0)),2))</f>
        <v/>
      </c>
      <c r="G231" s="35">
        <f>IF(OR(B231="",C231=""),"",IFERROR(ROUND(N(D231)*N(INDEX(Recipes!$H$6:$H$105,MATCH(B231,Recipes!$B$6:$B$105,0)))/IF(N(INDEX(Recipes!$D$6:$D$105,MATCH(B231,Recipes!$B$6:$B$105,0)))&gt;0,INDEX(Recipes!$D$6:$D$105,MATCH(B231,Recipes!$B$6:$B$105,0)),1),2),0))</f>
        <v/>
      </c>
      <c r="H231" s="1" t="n"/>
    </row>
    <row r="232">
      <c r="A232" s="1" t="n"/>
      <c r="B232" s="33" t="n"/>
      <c r="C232" s="33" t="n"/>
      <c r="D232" s="31" t="n"/>
      <c r="E232" s="35">
        <f>IF(C232="","",IFERROR(INDEX(Pantry!$C$6:$C$305,MATCH(C232,Pantry!$B$6:$B$305,0))&amp;"","Add to Pantry"))</f>
        <v/>
      </c>
      <c r="F232" s="25">
        <f>IF(OR(C232="",E232="Add to Pantry"),"",ROUND(N(D232)*INDEX(Pantry!$N$6:$N$305,MATCH(C232,Pantry!$B$6:$B$305,0)),2))</f>
        <v/>
      </c>
      <c r="G232" s="35">
        <f>IF(OR(B232="",C232=""),"",IFERROR(ROUND(N(D232)*N(INDEX(Recipes!$H$6:$H$105,MATCH(B232,Recipes!$B$6:$B$105,0)))/IF(N(INDEX(Recipes!$D$6:$D$105,MATCH(B232,Recipes!$B$6:$B$105,0)))&gt;0,INDEX(Recipes!$D$6:$D$105,MATCH(B232,Recipes!$B$6:$B$105,0)),1),2),0))</f>
        <v/>
      </c>
      <c r="H232" s="1" t="n"/>
    </row>
    <row r="233">
      <c r="A233" s="1" t="n"/>
      <c r="B233" s="33" t="n"/>
      <c r="C233" s="33" t="n"/>
      <c r="D233" s="31" t="n"/>
      <c r="E233" s="35">
        <f>IF(C233="","",IFERROR(INDEX(Pantry!$C$6:$C$305,MATCH(C233,Pantry!$B$6:$B$305,0))&amp;"","Add to Pantry"))</f>
        <v/>
      </c>
      <c r="F233" s="25">
        <f>IF(OR(C233="",E233="Add to Pantry"),"",ROUND(N(D233)*INDEX(Pantry!$N$6:$N$305,MATCH(C233,Pantry!$B$6:$B$305,0)),2))</f>
        <v/>
      </c>
      <c r="G233" s="35">
        <f>IF(OR(B233="",C233=""),"",IFERROR(ROUND(N(D233)*N(INDEX(Recipes!$H$6:$H$105,MATCH(B233,Recipes!$B$6:$B$105,0)))/IF(N(INDEX(Recipes!$D$6:$D$105,MATCH(B233,Recipes!$B$6:$B$105,0)))&gt;0,INDEX(Recipes!$D$6:$D$105,MATCH(B233,Recipes!$B$6:$B$105,0)),1),2),0))</f>
        <v/>
      </c>
      <c r="H233" s="1" t="n"/>
    </row>
    <row r="234">
      <c r="A234" s="1" t="n"/>
      <c r="B234" s="33" t="n"/>
      <c r="C234" s="33" t="n"/>
      <c r="D234" s="31" t="n"/>
      <c r="E234" s="35">
        <f>IF(C234="","",IFERROR(INDEX(Pantry!$C$6:$C$305,MATCH(C234,Pantry!$B$6:$B$305,0))&amp;"","Add to Pantry"))</f>
        <v/>
      </c>
      <c r="F234" s="25">
        <f>IF(OR(C234="",E234="Add to Pantry"),"",ROUND(N(D234)*INDEX(Pantry!$N$6:$N$305,MATCH(C234,Pantry!$B$6:$B$305,0)),2))</f>
        <v/>
      </c>
      <c r="G234" s="35">
        <f>IF(OR(B234="",C234=""),"",IFERROR(ROUND(N(D234)*N(INDEX(Recipes!$H$6:$H$105,MATCH(B234,Recipes!$B$6:$B$105,0)))/IF(N(INDEX(Recipes!$D$6:$D$105,MATCH(B234,Recipes!$B$6:$B$105,0)))&gt;0,INDEX(Recipes!$D$6:$D$105,MATCH(B234,Recipes!$B$6:$B$105,0)),1),2),0))</f>
        <v/>
      </c>
      <c r="H234" s="1" t="n"/>
    </row>
    <row r="235">
      <c r="A235" s="1" t="n"/>
      <c r="B235" s="33" t="n"/>
      <c r="C235" s="33" t="n"/>
      <c r="D235" s="31" t="n"/>
      <c r="E235" s="35">
        <f>IF(C235="","",IFERROR(INDEX(Pantry!$C$6:$C$305,MATCH(C235,Pantry!$B$6:$B$305,0))&amp;"","Add to Pantry"))</f>
        <v/>
      </c>
      <c r="F235" s="25">
        <f>IF(OR(C235="",E235="Add to Pantry"),"",ROUND(N(D235)*INDEX(Pantry!$N$6:$N$305,MATCH(C235,Pantry!$B$6:$B$305,0)),2))</f>
        <v/>
      </c>
      <c r="G235" s="35">
        <f>IF(OR(B235="",C235=""),"",IFERROR(ROUND(N(D235)*N(INDEX(Recipes!$H$6:$H$105,MATCH(B235,Recipes!$B$6:$B$105,0)))/IF(N(INDEX(Recipes!$D$6:$D$105,MATCH(B235,Recipes!$B$6:$B$105,0)))&gt;0,INDEX(Recipes!$D$6:$D$105,MATCH(B235,Recipes!$B$6:$B$105,0)),1),2),0))</f>
        <v/>
      </c>
      <c r="H235" s="1" t="n"/>
    </row>
    <row r="236">
      <c r="A236" s="1" t="n"/>
      <c r="B236" s="33" t="n"/>
      <c r="C236" s="33" t="n"/>
      <c r="D236" s="31" t="n"/>
      <c r="E236" s="35">
        <f>IF(C236="","",IFERROR(INDEX(Pantry!$C$6:$C$305,MATCH(C236,Pantry!$B$6:$B$305,0))&amp;"","Add to Pantry"))</f>
        <v/>
      </c>
      <c r="F236" s="25">
        <f>IF(OR(C236="",E236="Add to Pantry"),"",ROUND(N(D236)*INDEX(Pantry!$N$6:$N$305,MATCH(C236,Pantry!$B$6:$B$305,0)),2))</f>
        <v/>
      </c>
      <c r="G236" s="35">
        <f>IF(OR(B236="",C236=""),"",IFERROR(ROUND(N(D236)*N(INDEX(Recipes!$H$6:$H$105,MATCH(B236,Recipes!$B$6:$B$105,0)))/IF(N(INDEX(Recipes!$D$6:$D$105,MATCH(B236,Recipes!$B$6:$B$105,0)))&gt;0,INDEX(Recipes!$D$6:$D$105,MATCH(B236,Recipes!$B$6:$B$105,0)),1),2),0))</f>
        <v/>
      </c>
      <c r="H236" s="1" t="n"/>
    </row>
    <row r="237">
      <c r="A237" s="1" t="n"/>
      <c r="B237" s="33" t="n"/>
      <c r="C237" s="33" t="n"/>
      <c r="D237" s="31" t="n"/>
      <c r="E237" s="35">
        <f>IF(C237="","",IFERROR(INDEX(Pantry!$C$6:$C$305,MATCH(C237,Pantry!$B$6:$B$305,0))&amp;"","Add to Pantry"))</f>
        <v/>
      </c>
      <c r="F237" s="25">
        <f>IF(OR(C237="",E237="Add to Pantry"),"",ROUND(N(D237)*INDEX(Pantry!$N$6:$N$305,MATCH(C237,Pantry!$B$6:$B$305,0)),2))</f>
        <v/>
      </c>
      <c r="G237" s="35">
        <f>IF(OR(B237="",C237=""),"",IFERROR(ROUND(N(D237)*N(INDEX(Recipes!$H$6:$H$105,MATCH(B237,Recipes!$B$6:$B$105,0)))/IF(N(INDEX(Recipes!$D$6:$D$105,MATCH(B237,Recipes!$B$6:$B$105,0)))&gt;0,INDEX(Recipes!$D$6:$D$105,MATCH(B237,Recipes!$B$6:$B$105,0)),1),2),0))</f>
        <v/>
      </c>
      <c r="H237" s="1" t="n"/>
    </row>
    <row r="238">
      <c r="A238" s="1" t="n"/>
      <c r="B238" s="33" t="n"/>
      <c r="C238" s="33" t="n"/>
      <c r="D238" s="31" t="n"/>
      <c r="E238" s="35">
        <f>IF(C238="","",IFERROR(INDEX(Pantry!$C$6:$C$305,MATCH(C238,Pantry!$B$6:$B$305,0))&amp;"","Add to Pantry"))</f>
        <v/>
      </c>
      <c r="F238" s="25">
        <f>IF(OR(C238="",E238="Add to Pantry"),"",ROUND(N(D238)*INDEX(Pantry!$N$6:$N$305,MATCH(C238,Pantry!$B$6:$B$305,0)),2))</f>
        <v/>
      </c>
      <c r="G238" s="35">
        <f>IF(OR(B238="",C238=""),"",IFERROR(ROUND(N(D238)*N(INDEX(Recipes!$H$6:$H$105,MATCH(B238,Recipes!$B$6:$B$105,0)))/IF(N(INDEX(Recipes!$D$6:$D$105,MATCH(B238,Recipes!$B$6:$B$105,0)))&gt;0,INDEX(Recipes!$D$6:$D$105,MATCH(B238,Recipes!$B$6:$B$105,0)),1),2),0))</f>
        <v/>
      </c>
      <c r="H238" s="1" t="n"/>
    </row>
    <row r="239">
      <c r="A239" s="1" t="n"/>
      <c r="B239" s="33" t="n"/>
      <c r="C239" s="33" t="n"/>
      <c r="D239" s="31" t="n"/>
      <c r="E239" s="35">
        <f>IF(C239="","",IFERROR(INDEX(Pantry!$C$6:$C$305,MATCH(C239,Pantry!$B$6:$B$305,0))&amp;"","Add to Pantry"))</f>
        <v/>
      </c>
      <c r="F239" s="25">
        <f>IF(OR(C239="",E239="Add to Pantry"),"",ROUND(N(D239)*INDEX(Pantry!$N$6:$N$305,MATCH(C239,Pantry!$B$6:$B$305,0)),2))</f>
        <v/>
      </c>
      <c r="G239" s="35">
        <f>IF(OR(B239="",C239=""),"",IFERROR(ROUND(N(D239)*N(INDEX(Recipes!$H$6:$H$105,MATCH(B239,Recipes!$B$6:$B$105,0)))/IF(N(INDEX(Recipes!$D$6:$D$105,MATCH(B239,Recipes!$B$6:$B$105,0)))&gt;0,INDEX(Recipes!$D$6:$D$105,MATCH(B239,Recipes!$B$6:$B$105,0)),1),2),0))</f>
        <v/>
      </c>
      <c r="H239" s="1" t="n"/>
    </row>
    <row r="240">
      <c r="A240" s="1" t="n"/>
      <c r="B240" s="33" t="n"/>
      <c r="C240" s="33" t="n"/>
      <c r="D240" s="31" t="n"/>
      <c r="E240" s="35">
        <f>IF(C240="","",IFERROR(INDEX(Pantry!$C$6:$C$305,MATCH(C240,Pantry!$B$6:$B$305,0))&amp;"","Add to Pantry"))</f>
        <v/>
      </c>
      <c r="F240" s="25">
        <f>IF(OR(C240="",E240="Add to Pantry"),"",ROUND(N(D240)*INDEX(Pantry!$N$6:$N$305,MATCH(C240,Pantry!$B$6:$B$305,0)),2))</f>
        <v/>
      </c>
      <c r="G240" s="35">
        <f>IF(OR(B240="",C240=""),"",IFERROR(ROUND(N(D240)*N(INDEX(Recipes!$H$6:$H$105,MATCH(B240,Recipes!$B$6:$B$105,0)))/IF(N(INDEX(Recipes!$D$6:$D$105,MATCH(B240,Recipes!$B$6:$B$105,0)))&gt;0,INDEX(Recipes!$D$6:$D$105,MATCH(B240,Recipes!$B$6:$B$105,0)),1),2),0))</f>
        <v/>
      </c>
      <c r="H240" s="1" t="n"/>
    </row>
    <row r="241">
      <c r="A241" s="1" t="n"/>
      <c r="B241" s="33" t="n"/>
      <c r="C241" s="33" t="n"/>
      <c r="D241" s="31" t="n"/>
      <c r="E241" s="35">
        <f>IF(C241="","",IFERROR(INDEX(Pantry!$C$6:$C$305,MATCH(C241,Pantry!$B$6:$B$305,0))&amp;"","Add to Pantry"))</f>
        <v/>
      </c>
      <c r="F241" s="25">
        <f>IF(OR(C241="",E241="Add to Pantry"),"",ROUND(N(D241)*INDEX(Pantry!$N$6:$N$305,MATCH(C241,Pantry!$B$6:$B$305,0)),2))</f>
        <v/>
      </c>
      <c r="G241" s="35">
        <f>IF(OR(B241="",C241=""),"",IFERROR(ROUND(N(D241)*N(INDEX(Recipes!$H$6:$H$105,MATCH(B241,Recipes!$B$6:$B$105,0)))/IF(N(INDEX(Recipes!$D$6:$D$105,MATCH(B241,Recipes!$B$6:$B$105,0)))&gt;0,INDEX(Recipes!$D$6:$D$105,MATCH(B241,Recipes!$B$6:$B$105,0)),1),2),0))</f>
        <v/>
      </c>
      <c r="H241" s="1" t="n"/>
    </row>
    <row r="242">
      <c r="A242" s="1" t="n"/>
      <c r="B242" s="33" t="n"/>
      <c r="C242" s="33" t="n"/>
      <c r="D242" s="31" t="n"/>
      <c r="E242" s="35">
        <f>IF(C242="","",IFERROR(INDEX(Pantry!$C$6:$C$305,MATCH(C242,Pantry!$B$6:$B$305,0))&amp;"","Add to Pantry"))</f>
        <v/>
      </c>
      <c r="F242" s="25">
        <f>IF(OR(C242="",E242="Add to Pantry"),"",ROUND(N(D242)*INDEX(Pantry!$N$6:$N$305,MATCH(C242,Pantry!$B$6:$B$305,0)),2))</f>
        <v/>
      </c>
      <c r="G242" s="35">
        <f>IF(OR(B242="",C242=""),"",IFERROR(ROUND(N(D242)*N(INDEX(Recipes!$H$6:$H$105,MATCH(B242,Recipes!$B$6:$B$105,0)))/IF(N(INDEX(Recipes!$D$6:$D$105,MATCH(B242,Recipes!$B$6:$B$105,0)))&gt;0,INDEX(Recipes!$D$6:$D$105,MATCH(B242,Recipes!$B$6:$B$105,0)),1),2),0))</f>
        <v/>
      </c>
      <c r="H242" s="1" t="n"/>
    </row>
    <row r="243">
      <c r="A243" s="1" t="n"/>
      <c r="B243" s="33" t="n"/>
      <c r="C243" s="33" t="n"/>
      <c r="D243" s="31" t="n"/>
      <c r="E243" s="35">
        <f>IF(C243="","",IFERROR(INDEX(Pantry!$C$6:$C$305,MATCH(C243,Pantry!$B$6:$B$305,0))&amp;"","Add to Pantry"))</f>
        <v/>
      </c>
      <c r="F243" s="25">
        <f>IF(OR(C243="",E243="Add to Pantry"),"",ROUND(N(D243)*INDEX(Pantry!$N$6:$N$305,MATCH(C243,Pantry!$B$6:$B$305,0)),2))</f>
        <v/>
      </c>
      <c r="G243" s="35">
        <f>IF(OR(B243="",C243=""),"",IFERROR(ROUND(N(D243)*N(INDEX(Recipes!$H$6:$H$105,MATCH(B243,Recipes!$B$6:$B$105,0)))/IF(N(INDEX(Recipes!$D$6:$D$105,MATCH(B243,Recipes!$B$6:$B$105,0)))&gt;0,INDEX(Recipes!$D$6:$D$105,MATCH(B243,Recipes!$B$6:$B$105,0)),1),2),0))</f>
        <v/>
      </c>
      <c r="H243" s="1" t="n"/>
    </row>
    <row r="244">
      <c r="A244" s="1" t="n"/>
      <c r="B244" s="33" t="n"/>
      <c r="C244" s="33" t="n"/>
      <c r="D244" s="31" t="n"/>
      <c r="E244" s="35">
        <f>IF(C244="","",IFERROR(INDEX(Pantry!$C$6:$C$305,MATCH(C244,Pantry!$B$6:$B$305,0))&amp;"","Add to Pantry"))</f>
        <v/>
      </c>
      <c r="F244" s="25">
        <f>IF(OR(C244="",E244="Add to Pantry"),"",ROUND(N(D244)*INDEX(Pantry!$N$6:$N$305,MATCH(C244,Pantry!$B$6:$B$305,0)),2))</f>
        <v/>
      </c>
      <c r="G244" s="35">
        <f>IF(OR(B244="",C244=""),"",IFERROR(ROUND(N(D244)*N(INDEX(Recipes!$H$6:$H$105,MATCH(B244,Recipes!$B$6:$B$105,0)))/IF(N(INDEX(Recipes!$D$6:$D$105,MATCH(B244,Recipes!$B$6:$B$105,0)))&gt;0,INDEX(Recipes!$D$6:$D$105,MATCH(B244,Recipes!$B$6:$B$105,0)),1),2),0))</f>
        <v/>
      </c>
      <c r="H244" s="1" t="n"/>
    </row>
    <row r="245">
      <c r="A245" s="1" t="n"/>
      <c r="B245" s="33" t="n"/>
      <c r="C245" s="33" t="n"/>
      <c r="D245" s="31" t="n"/>
      <c r="E245" s="35">
        <f>IF(C245="","",IFERROR(INDEX(Pantry!$C$6:$C$305,MATCH(C245,Pantry!$B$6:$B$305,0))&amp;"","Add to Pantry"))</f>
        <v/>
      </c>
      <c r="F245" s="25">
        <f>IF(OR(C245="",E245="Add to Pantry"),"",ROUND(N(D245)*INDEX(Pantry!$N$6:$N$305,MATCH(C245,Pantry!$B$6:$B$305,0)),2))</f>
        <v/>
      </c>
      <c r="G245" s="35">
        <f>IF(OR(B245="",C245=""),"",IFERROR(ROUND(N(D245)*N(INDEX(Recipes!$H$6:$H$105,MATCH(B245,Recipes!$B$6:$B$105,0)))/IF(N(INDEX(Recipes!$D$6:$D$105,MATCH(B245,Recipes!$B$6:$B$105,0)))&gt;0,INDEX(Recipes!$D$6:$D$105,MATCH(B245,Recipes!$B$6:$B$105,0)),1),2),0))</f>
        <v/>
      </c>
      <c r="H245" s="1" t="n"/>
    </row>
    <row r="246">
      <c r="A246" s="1" t="n"/>
      <c r="B246" s="33" t="n"/>
      <c r="C246" s="33" t="n"/>
      <c r="D246" s="31" t="n"/>
      <c r="E246" s="35">
        <f>IF(C246="","",IFERROR(INDEX(Pantry!$C$6:$C$305,MATCH(C246,Pantry!$B$6:$B$305,0))&amp;"","Add to Pantry"))</f>
        <v/>
      </c>
      <c r="F246" s="25">
        <f>IF(OR(C246="",E246="Add to Pantry"),"",ROUND(N(D246)*INDEX(Pantry!$N$6:$N$305,MATCH(C246,Pantry!$B$6:$B$305,0)),2))</f>
        <v/>
      </c>
      <c r="G246" s="35">
        <f>IF(OR(B246="",C246=""),"",IFERROR(ROUND(N(D246)*N(INDEX(Recipes!$H$6:$H$105,MATCH(B246,Recipes!$B$6:$B$105,0)))/IF(N(INDEX(Recipes!$D$6:$D$105,MATCH(B246,Recipes!$B$6:$B$105,0)))&gt;0,INDEX(Recipes!$D$6:$D$105,MATCH(B246,Recipes!$B$6:$B$105,0)),1),2),0))</f>
        <v/>
      </c>
      <c r="H246" s="1" t="n"/>
    </row>
    <row r="247">
      <c r="A247" s="1" t="n"/>
      <c r="B247" s="33" t="n"/>
      <c r="C247" s="33" t="n"/>
      <c r="D247" s="31" t="n"/>
      <c r="E247" s="35">
        <f>IF(C247="","",IFERROR(INDEX(Pantry!$C$6:$C$305,MATCH(C247,Pantry!$B$6:$B$305,0))&amp;"","Add to Pantry"))</f>
        <v/>
      </c>
      <c r="F247" s="25">
        <f>IF(OR(C247="",E247="Add to Pantry"),"",ROUND(N(D247)*INDEX(Pantry!$N$6:$N$305,MATCH(C247,Pantry!$B$6:$B$305,0)),2))</f>
        <v/>
      </c>
      <c r="G247" s="35">
        <f>IF(OR(B247="",C247=""),"",IFERROR(ROUND(N(D247)*N(INDEX(Recipes!$H$6:$H$105,MATCH(B247,Recipes!$B$6:$B$105,0)))/IF(N(INDEX(Recipes!$D$6:$D$105,MATCH(B247,Recipes!$B$6:$B$105,0)))&gt;0,INDEX(Recipes!$D$6:$D$105,MATCH(B247,Recipes!$B$6:$B$105,0)),1),2),0))</f>
        <v/>
      </c>
      <c r="H247" s="1" t="n"/>
    </row>
    <row r="248">
      <c r="A248" s="1" t="n"/>
      <c r="B248" s="33" t="n"/>
      <c r="C248" s="33" t="n"/>
      <c r="D248" s="31" t="n"/>
      <c r="E248" s="35">
        <f>IF(C248="","",IFERROR(INDEX(Pantry!$C$6:$C$305,MATCH(C248,Pantry!$B$6:$B$305,0))&amp;"","Add to Pantry"))</f>
        <v/>
      </c>
      <c r="F248" s="25">
        <f>IF(OR(C248="",E248="Add to Pantry"),"",ROUND(N(D248)*INDEX(Pantry!$N$6:$N$305,MATCH(C248,Pantry!$B$6:$B$305,0)),2))</f>
        <v/>
      </c>
      <c r="G248" s="35">
        <f>IF(OR(B248="",C248=""),"",IFERROR(ROUND(N(D248)*N(INDEX(Recipes!$H$6:$H$105,MATCH(B248,Recipes!$B$6:$B$105,0)))/IF(N(INDEX(Recipes!$D$6:$D$105,MATCH(B248,Recipes!$B$6:$B$105,0)))&gt;0,INDEX(Recipes!$D$6:$D$105,MATCH(B248,Recipes!$B$6:$B$105,0)),1),2),0))</f>
        <v/>
      </c>
      <c r="H248" s="1" t="n"/>
    </row>
    <row r="249">
      <c r="A249" s="1" t="n"/>
      <c r="B249" s="33" t="n"/>
      <c r="C249" s="33" t="n"/>
      <c r="D249" s="31" t="n"/>
      <c r="E249" s="35">
        <f>IF(C249="","",IFERROR(INDEX(Pantry!$C$6:$C$305,MATCH(C249,Pantry!$B$6:$B$305,0))&amp;"","Add to Pantry"))</f>
        <v/>
      </c>
      <c r="F249" s="25">
        <f>IF(OR(C249="",E249="Add to Pantry"),"",ROUND(N(D249)*INDEX(Pantry!$N$6:$N$305,MATCH(C249,Pantry!$B$6:$B$305,0)),2))</f>
        <v/>
      </c>
      <c r="G249" s="35">
        <f>IF(OR(B249="",C249=""),"",IFERROR(ROUND(N(D249)*N(INDEX(Recipes!$H$6:$H$105,MATCH(B249,Recipes!$B$6:$B$105,0)))/IF(N(INDEX(Recipes!$D$6:$D$105,MATCH(B249,Recipes!$B$6:$B$105,0)))&gt;0,INDEX(Recipes!$D$6:$D$105,MATCH(B249,Recipes!$B$6:$B$105,0)),1),2),0))</f>
        <v/>
      </c>
      <c r="H249" s="1" t="n"/>
    </row>
    <row r="250">
      <c r="A250" s="1" t="n"/>
      <c r="B250" s="33" t="n"/>
      <c r="C250" s="33" t="n"/>
      <c r="D250" s="31" t="n"/>
      <c r="E250" s="35">
        <f>IF(C250="","",IFERROR(INDEX(Pantry!$C$6:$C$305,MATCH(C250,Pantry!$B$6:$B$305,0))&amp;"","Add to Pantry"))</f>
        <v/>
      </c>
      <c r="F250" s="25">
        <f>IF(OR(C250="",E250="Add to Pantry"),"",ROUND(N(D250)*INDEX(Pantry!$N$6:$N$305,MATCH(C250,Pantry!$B$6:$B$305,0)),2))</f>
        <v/>
      </c>
      <c r="G250" s="35">
        <f>IF(OR(B250="",C250=""),"",IFERROR(ROUND(N(D250)*N(INDEX(Recipes!$H$6:$H$105,MATCH(B250,Recipes!$B$6:$B$105,0)))/IF(N(INDEX(Recipes!$D$6:$D$105,MATCH(B250,Recipes!$B$6:$B$105,0)))&gt;0,INDEX(Recipes!$D$6:$D$105,MATCH(B250,Recipes!$B$6:$B$105,0)),1),2),0))</f>
        <v/>
      </c>
      <c r="H250" s="1" t="n"/>
    </row>
    <row r="251">
      <c r="A251" s="1" t="n"/>
      <c r="B251" s="33" t="n"/>
      <c r="C251" s="33" t="n"/>
      <c r="D251" s="31" t="n"/>
      <c r="E251" s="35">
        <f>IF(C251="","",IFERROR(INDEX(Pantry!$C$6:$C$305,MATCH(C251,Pantry!$B$6:$B$305,0))&amp;"","Add to Pantry"))</f>
        <v/>
      </c>
      <c r="F251" s="25">
        <f>IF(OR(C251="",E251="Add to Pantry"),"",ROUND(N(D251)*INDEX(Pantry!$N$6:$N$305,MATCH(C251,Pantry!$B$6:$B$305,0)),2))</f>
        <v/>
      </c>
      <c r="G251" s="35">
        <f>IF(OR(B251="",C251=""),"",IFERROR(ROUND(N(D251)*N(INDEX(Recipes!$H$6:$H$105,MATCH(B251,Recipes!$B$6:$B$105,0)))/IF(N(INDEX(Recipes!$D$6:$D$105,MATCH(B251,Recipes!$B$6:$B$105,0)))&gt;0,INDEX(Recipes!$D$6:$D$105,MATCH(B251,Recipes!$B$6:$B$105,0)),1),2),0))</f>
        <v/>
      </c>
      <c r="H251" s="1" t="n"/>
    </row>
    <row r="252">
      <c r="A252" s="1" t="n"/>
      <c r="B252" s="33" t="n"/>
      <c r="C252" s="33" t="n"/>
      <c r="D252" s="31" t="n"/>
      <c r="E252" s="35">
        <f>IF(C252="","",IFERROR(INDEX(Pantry!$C$6:$C$305,MATCH(C252,Pantry!$B$6:$B$305,0))&amp;"","Add to Pantry"))</f>
        <v/>
      </c>
      <c r="F252" s="25">
        <f>IF(OR(C252="",E252="Add to Pantry"),"",ROUND(N(D252)*INDEX(Pantry!$N$6:$N$305,MATCH(C252,Pantry!$B$6:$B$305,0)),2))</f>
        <v/>
      </c>
      <c r="G252" s="35">
        <f>IF(OR(B252="",C252=""),"",IFERROR(ROUND(N(D252)*N(INDEX(Recipes!$H$6:$H$105,MATCH(B252,Recipes!$B$6:$B$105,0)))/IF(N(INDEX(Recipes!$D$6:$D$105,MATCH(B252,Recipes!$B$6:$B$105,0)))&gt;0,INDEX(Recipes!$D$6:$D$105,MATCH(B252,Recipes!$B$6:$B$105,0)),1),2),0))</f>
        <v/>
      </c>
      <c r="H252" s="1" t="n"/>
    </row>
    <row r="253">
      <c r="A253" s="1" t="n"/>
      <c r="B253" s="33" t="n"/>
      <c r="C253" s="33" t="n"/>
      <c r="D253" s="31" t="n"/>
      <c r="E253" s="35">
        <f>IF(C253="","",IFERROR(INDEX(Pantry!$C$6:$C$305,MATCH(C253,Pantry!$B$6:$B$305,0))&amp;"","Add to Pantry"))</f>
        <v/>
      </c>
      <c r="F253" s="25">
        <f>IF(OR(C253="",E253="Add to Pantry"),"",ROUND(N(D253)*INDEX(Pantry!$N$6:$N$305,MATCH(C253,Pantry!$B$6:$B$305,0)),2))</f>
        <v/>
      </c>
      <c r="G253" s="35">
        <f>IF(OR(B253="",C253=""),"",IFERROR(ROUND(N(D253)*N(INDEX(Recipes!$H$6:$H$105,MATCH(B253,Recipes!$B$6:$B$105,0)))/IF(N(INDEX(Recipes!$D$6:$D$105,MATCH(B253,Recipes!$B$6:$B$105,0)))&gt;0,INDEX(Recipes!$D$6:$D$105,MATCH(B253,Recipes!$B$6:$B$105,0)),1),2),0))</f>
        <v/>
      </c>
      <c r="H253" s="1" t="n"/>
    </row>
    <row r="254">
      <c r="A254" s="1" t="n"/>
      <c r="B254" s="33" t="n"/>
      <c r="C254" s="33" t="n"/>
      <c r="D254" s="31" t="n"/>
      <c r="E254" s="35">
        <f>IF(C254="","",IFERROR(INDEX(Pantry!$C$6:$C$305,MATCH(C254,Pantry!$B$6:$B$305,0))&amp;"","Add to Pantry"))</f>
        <v/>
      </c>
      <c r="F254" s="25">
        <f>IF(OR(C254="",E254="Add to Pantry"),"",ROUND(N(D254)*INDEX(Pantry!$N$6:$N$305,MATCH(C254,Pantry!$B$6:$B$305,0)),2))</f>
        <v/>
      </c>
      <c r="G254" s="35">
        <f>IF(OR(B254="",C254=""),"",IFERROR(ROUND(N(D254)*N(INDEX(Recipes!$H$6:$H$105,MATCH(B254,Recipes!$B$6:$B$105,0)))/IF(N(INDEX(Recipes!$D$6:$D$105,MATCH(B254,Recipes!$B$6:$B$105,0)))&gt;0,INDEX(Recipes!$D$6:$D$105,MATCH(B254,Recipes!$B$6:$B$105,0)),1),2),0))</f>
        <v/>
      </c>
      <c r="H254" s="1" t="n"/>
    </row>
    <row r="255">
      <c r="A255" s="1" t="n"/>
      <c r="B255" s="33" t="n"/>
      <c r="C255" s="33" t="n"/>
      <c r="D255" s="31" t="n"/>
      <c r="E255" s="35">
        <f>IF(C255="","",IFERROR(INDEX(Pantry!$C$6:$C$305,MATCH(C255,Pantry!$B$6:$B$305,0))&amp;"","Add to Pantry"))</f>
        <v/>
      </c>
      <c r="F255" s="25">
        <f>IF(OR(C255="",E255="Add to Pantry"),"",ROUND(N(D255)*INDEX(Pantry!$N$6:$N$305,MATCH(C255,Pantry!$B$6:$B$305,0)),2))</f>
        <v/>
      </c>
      <c r="G255" s="35">
        <f>IF(OR(B255="",C255=""),"",IFERROR(ROUND(N(D255)*N(INDEX(Recipes!$H$6:$H$105,MATCH(B255,Recipes!$B$6:$B$105,0)))/IF(N(INDEX(Recipes!$D$6:$D$105,MATCH(B255,Recipes!$B$6:$B$105,0)))&gt;0,INDEX(Recipes!$D$6:$D$105,MATCH(B255,Recipes!$B$6:$B$105,0)),1),2),0))</f>
        <v/>
      </c>
      <c r="H255" s="1" t="n"/>
    </row>
    <row r="256">
      <c r="A256" s="1" t="n"/>
      <c r="B256" s="33" t="n"/>
      <c r="C256" s="33" t="n"/>
      <c r="D256" s="31" t="n"/>
      <c r="E256" s="35">
        <f>IF(C256="","",IFERROR(INDEX(Pantry!$C$6:$C$305,MATCH(C256,Pantry!$B$6:$B$305,0))&amp;"","Add to Pantry"))</f>
        <v/>
      </c>
      <c r="F256" s="25">
        <f>IF(OR(C256="",E256="Add to Pantry"),"",ROUND(N(D256)*INDEX(Pantry!$N$6:$N$305,MATCH(C256,Pantry!$B$6:$B$305,0)),2))</f>
        <v/>
      </c>
      <c r="G256" s="35">
        <f>IF(OR(B256="",C256=""),"",IFERROR(ROUND(N(D256)*N(INDEX(Recipes!$H$6:$H$105,MATCH(B256,Recipes!$B$6:$B$105,0)))/IF(N(INDEX(Recipes!$D$6:$D$105,MATCH(B256,Recipes!$B$6:$B$105,0)))&gt;0,INDEX(Recipes!$D$6:$D$105,MATCH(B256,Recipes!$B$6:$B$105,0)),1),2),0))</f>
        <v/>
      </c>
      <c r="H256" s="1" t="n"/>
    </row>
    <row r="257">
      <c r="A257" s="1" t="n"/>
      <c r="B257" s="33" t="n"/>
      <c r="C257" s="33" t="n"/>
      <c r="D257" s="31" t="n"/>
      <c r="E257" s="35">
        <f>IF(C257="","",IFERROR(INDEX(Pantry!$C$6:$C$305,MATCH(C257,Pantry!$B$6:$B$305,0))&amp;"","Add to Pantry"))</f>
        <v/>
      </c>
      <c r="F257" s="25">
        <f>IF(OR(C257="",E257="Add to Pantry"),"",ROUND(N(D257)*INDEX(Pantry!$N$6:$N$305,MATCH(C257,Pantry!$B$6:$B$305,0)),2))</f>
        <v/>
      </c>
      <c r="G257" s="35">
        <f>IF(OR(B257="",C257=""),"",IFERROR(ROUND(N(D257)*N(INDEX(Recipes!$H$6:$H$105,MATCH(B257,Recipes!$B$6:$B$105,0)))/IF(N(INDEX(Recipes!$D$6:$D$105,MATCH(B257,Recipes!$B$6:$B$105,0)))&gt;0,INDEX(Recipes!$D$6:$D$105,MATCH(B257,Recipes!$B$6:$B$105,0)),1),2),0))</f>
        <v/>
      </c>
      <c r="H257" s="1" t="n"/>
    </row>
    <row r="258">
      <c r="A258" s="1" t="n"/>
      <c r="B258" s="33" t="n"/>
      <c r="C258" s="33" t="n"/>
      <c r="D258" s="31" t="n"/>
      <c r="E258" s="35">
        <f>IF(C258="","",IFERROR(INDEX(Pantry!$C$6:$C$305,MATCH(C258,Pantry!$B$6:$B$305,0))&amp;"","Add to Pantry"))</f>
        <v/>
      </c>
      <c r="F258" s="25">
        <f>IF(OR(C258="",E258="Add to Pantry"),"",ROUND(N(D258)*INDEX(Pantry!$N$6:$N$305,MATCH(C258,Pantry!$B$6:$B$305,0)),2))</f>
        <v/>
      </c>
      <c r="G258" s="35">
        <f>IF(OR(B258="",C258=""),"",IFERROR(ROUND(N(D258)*N(INDEX(Recipes!$H$6:$H$105,MATCH(B258,Recipes!$B$6:$B$105,0)))/IF(N(INDEX(Recipes!$D$6:$D$105,MATCH(B258,Recipes!$B$6:$B$105,0)))&gt;0,INDEX(Recipes!$D$6:$D$105,MATCH(B258,Recipes!$B$6:$B$105,0)),1),2),0))</f>
        <v/>
      </c>
      <c r="H258" s="1" t="n"/>
    </row>
    <row r="259">
      <c r="A259" s="1" t="n"/>
      <c r="B259" s="33" t="n"/>
      <c r="C259" s="33" t="n"/>
      <c r="D259" s="31" t="n"/>
      <c r="E259" s="35">
        <f>IF(C259="","",IFERROR(INDEX(Pantry!$C$6:$C$305,MATCH(C259,Pantry!$B$6:$B$305,0))&amp;"","Add to Pantry"))</f>
        <v/>
      </c>
      <c r="F259" s="25">
        <f>IF(OR(C259="",E259="Add to Pantry"),"",ROUND(N(D259)*INDEX(Pantry!$N$6:$N$305,MATCH(C259,Pantry!$B$6:$B$305,0)),2))</f>
        <v/>
      </c>
      <c r="G259" s="35">
        <f>IF(OR(B259="",C259=""),"",IFERROR(ROUND(N(D259)*N(INDEX(Recipes!$H$6:$H$105,MATCH(B259,Recipes!$B$6:$B$105,0)))/IF(N(INDEX(Recipes!$D$6:$D$105,MATCH(B259,Recipes!$B$6:$B$105,0)))&gt;0,INDEX(Recipes!$D$6:$D$105,MATCH(B259,Recipes!$B$6:$B$105,0)),1),2),0))</f>
        <v/>
      </c>
      <c r="H259" s="1" t="n"/>
    </row>
    <row r="260">
      <c r="A260" s="1" t="n"/>
      <c r="B260" s="33" t="n"/>
      <c r="C260" s="33" t="n"/>
      <c r="D260" s="31" t="n"/>
      <c r="E260" s="35">
        <f>IF(C260="","",IFERROR(INDEX(Pantry!$C$6:$C$305,MATCH(C260,Pantry!$B$6:$B$305,0))&amp;"","Add to Pantry"))</f>
        <v/>
      </c>
      <c r="F260" s="25">
        <f>IF(OR(C260="",E260="Add to Pantry"),"",ROUND(N(D260)*INDEX(Pantry!$N$6:$N$305,MATCH(C260,Pantry!$B$6:$B$305,0)),2))</f>
        <v/>
      </c>
      <c r="G260" s="35">
        <f>IF(OR(B260="",C260=""),"",IFERROR(ROUND(N(D260)*N(INDEX(Recipes!$H$6:$H$105,MATCH(B260,Recipes!$B$6:$B$105,0)))/IF(N(INDEX(Recipes!$D$6:$D$105,MATCH(B260,Recipes!$B$6:$B$105,0)))&gt;0,INDEX(Recipes!$D$6:$D$105,MATCH(B260,Recipes!$B$6:$B$105,0)),1),2),0))</f>
        <v/>
      </c>
      <c r="H260" s="1" t="n"/>
    </row>
    <row r="261">
      <c r="A261" s="1" t="n"/>
      <c r="B261" s="33" t="n"/>
      <c r="C261" s="33" t="n"/>
      <c r="D261" s="31" t="n"/>
      <c r="E261" s="35">
        <f>IF(C261="","",IFERROR(INDEX(Pantry!$C$6:$C$305,MATCH(C261,Pantry!$B$6:$B$305,0))&amp;"","Add to Pantry"))</f>
        <v/>
      </c>
      <c r="F261" s="25">
        <f>IF(OR(C261="",E261="Add to Pantry"),"",ROUND(N(D261)*INDEX(Pantry!$N$6:$N$305,MATCH(C261,Pantry!$B$6:$B$305,0)),2))</f>
        <v/>
      </c>
      <c r="G261" s="35">
        <f>IF(OR(B261="",C261=""),"",IFERROR(ROUND(N(D261)*N(INDEX(Recipes!$H$6:$H$105,MATCH(B261,Recipes!$B$6:$B$105,0)))/IF(N(INDEX(Recipes!$D$6:$D$105,MATCH(B261,Recipes!$B$6:$B$105,0)))&gt;0,INDEX(Recipes!$D$6:$D$105,MATCH(B261,Recipes!$B$6:$B$105,0)),1),2),0))</f>
        <v/>
      </c>
      <c r="H261" s="1" t="n"/>
    </row>
    <row r="262">
      <c r="A262" s="1" t="n"/>
      <c r="B262" s="33" t="n"/>
      <c r="C262" s="33" t="n"/>
      <c r="D262" s="31" t="n"/>
      <c r="E262" s="35">
        <f>IF(C262="","",IFERROR(INDEX(Pantry!$C$6:$C$305,MATCH(C262,Pantry!$B$6:$B$305,0))&amp;"","Add to Pantry"))</f>
        <v/>
      </c>
      <c r="F262" s="25">
        <f>IF(OR(C262="",E262="Add to Pantry"),"",ROUND(N(D262)*INDEX(Pantry!$N$6:$N$305,MATCH(C262,Pantry!$B$6:$B$305,0)),2))</f>
        <v/>
      </c>
      <c r="G262" s="35">
        <f>IF(OR(B262="",C262=""),"",IFERROR(ROUND(N(D262)*N(INDEX(Recipes!$H$6:$H$105,MATCH(B262,Recipes!$B$6:$B$105,0)))/IF(N(INDEX(Recipes!$D$6:$D$105,MATCH(B262,Recipes!$B$6:$B$105,0)))&gt;0,INDEX(Recipes!$D$6:$D$105,MATCH(B262,Recipes!$B$6:$B$105,0)),1),2),0))</f>
        <v/>
      </c>
      <c r="H262" s="1" t="n"/>
    </row>
    <row r="263">
      <c r="A263" s="1" t="n"/>
      <c r="B263" s="33" t="n"/>
      <c r="C263" s="33" t="n"/>
      <c r="D263" s="31" t="n"/>
      <c r="E263" s="35">
        <f>IF(C263="","",IFERROR(INDEX(Pantry!$C$6:$C$305,MATCH(C263,Pantry!$B$6:$B$305,0))&amp;"","Add to Pantry"))</f>
        <v/>
      </c>
      <c r="F263" s="25">
        <f>IF(OR(C263="",E263="Add to Pantry"),"",ROUND(N(D263)*INDEX(Pantry!$N$6:$N$305,MATCH(C263,Pantry!$B$6:$B$305,0)),2))</f>
        <v/>
      </c>
      <c r="G263" s="35">
        <f>IF(OR(B263="",C263=""),"",IFERROR(ROUND(N(D263)*N(INDEX(Recipes!$H$6:$H$105,MATCH(B263,Recipes!$B$6:$B$105,0)))/IF(N(INDEX(Recipes!$D$6:$D$105,MATCH(B263,Recipes!$B$6:$B$105,0)))&gt;0,INDEX(Recipes!$D$6:$D$105,MATCH(B263,Recipes!$B$6:$B$105,0)),1),2),0))</f>
        <v/>
      </c>
      <c r="H263" s="1" t="n"/>
    </row>
    <row r="264">
      <c r="A264" s="1" t="n"/>
      <c r="B264" s="33" t="n"/>
      <c r="C264" s="33" t="n"/>
      <c r="D264" s="31" t="n"/>
      <c r="E264" s="35">
        <f>IF(C264="","",IFERROR(INDEX(Pantry!$C$6:$C$305,MATCH(C264,Pantry!$B$6:$B$305,0))&amp;"","Add to Pantry"))</f>
        <v/>
      </c>
      <c r="F264" s="25">
        <f>IF(OR(C264="",E264="Add to Pantry"),"",ROUND(N(D264)*INDEX(Pantry!$N$6:$N$305,MATCH(C264,Pantry!$B$6:$B$305,0)),2))</f>
        <v/>
      </c>
      <c r="G264" s="35">
        <f>IF(OR(B264="",C264=""),"",IFERROR(ROUND(N(D264)*N(INDEX(Recipes!$H$6:$H$105,MATCH(B264,Recipes!$B$6:$B$105,0)))/IF(N(INDEX(Recipes!$D$6:$D$105,MATCH(B264,Recipes!$B$6:$B$105,0)))&gt;0,INDEX(Recipes!$D$6:$D$105,MATCH(B264,Recipes!$B$6:$B$105,0)),1),2),0))</f>
        <v/>
      </c>
      <c r="H264" s="1" t="n"/>
    </row>
    <row r="265">
      <c r="A265" s="1" t="n"/>
      <c r="B265" s="33" t="n"/>
      <c r="C265" s="33" t="n"/>
      <c r="D265" s="31" t="n"/>
      <c r="E265" s="35">
        <f>IF(C265="","",IFERROR(INDEX(Pantry!$C$6:$C$305,MATCH(C265,Pantry!$B$6:$B$305,0))&amp;"","Add to Pantry"))</f>
        <v/>
      </c>
      <c r="F265" s="25">
        <f>IF(OR(C265="",E265="Add to Pantry"),"",ROUND(N(D265)*INDEX(Pantry!$N$6:$N$305,MATCH(C265,Pantry!$B$6:$B$305,0)),2))</f>
        <v/>
      </c>
      <c r="G265" s="35">
        <f>IF(OR(B265="",C265=""),"",IFERROR(ROUND(N(D265)*N(INDEX(Recipes!$H$6:$H$105,MATCH(B265,Recipes!$B$6:$B$105,0)))/IF(N(INDEX(Recipes!$D$6:$D$105,MATCH(B265,Recipes!$B$6:$B$105,0)))&gt;0,INDEX(Recipes!$D$6:$D$105,MATCH(B265,Recipes!$B$6:$B$105,0)),1),2),0))</f>
        <v/>
      </c>
      <c r="H265" s="1" t="n"/>
    </row>
    <row r="266">
      <c r="A266" s="1" t="n"/>
      <c r="B266" s="33" t="n"/>
      <c r="C266" s="33" t="n"/>
      <c r="D266" s="31" t="n"/>
      <c r="E266" s="35">
        <f>IF(C266="","",IFERROR(INDEX(Pantry!$C$6:$C$305,MATCH(C266,Pantry!$B$6:$B$305,0))&amp;"","Add to Pantry"))</f>
        <v/>
      </c>
      <c r="F266" s="25">
        <f>IF(OR(C266="",E266="Add to Pantry"),"",ROUND(N(D266)*INDEX(Pantry!$N$6:$N$305,MATCH(C266,Pantry!$B$6:$B$305,0)),2))</f>
        <v/>
      </c>
      <c r="G266" s="35">
        <f>IF(OR(B266="",C266=""),"",IFERROR(ROUND(N(D266)*N(INDEX(Recipes!$H$6:$H$105,MATCH(B266,Recipes!$B$6:$B$105,0)))/IF(N(INDEX(Recipes!$D$6:$D$105,MATCH(B266,Recipes!$B$6:$B$105,0)))&gt;0,INDEX(Recipes!$D$6:$D$105,MATCH(B266,Recipes!$B$6:$B$105,0)),1),2),0))</f>
        <v/>
      </c>
      <c r="H266" s="1" t="n"/>
    </row>
    <row r="267">
      <c r="A267" s="1" t="n"/>
      <c r="B267" s="33" t="n"/>
      <c r="C267" s="33" t="n"/>
      <c r="D267" s="31" t="n"/>
      <c r="E267" s="35">
        <f>IF(C267="","",IFERROR(INDEX(Pantry!$C$6:$C$305,MATCH(C267,Pantry!$B$6:$B$305,0))&amp;"","Add to Pantry"))</f>
        <v/>
      </c>
      <c r="F267" s="25">
        <f>IF(OR(C267="",E267="Add to Pantry"),"",ROUND(N(D267)*INDEX(Pantry!$N$6:$N$305,MATCH(C267,Pantry!$B$6:$B$305,0)),2))</f>
        <v/>
      </c>
      <c r="G267" s="35">
        <f>IF(OR(B267="",C267=""),"",IFERROR(ROUND(N(D267)*N(INDEX(Recipes!$H$6:$H$105,MATCH(B267,Recipes!$B$6:$B$105,0)))/IF(N(INDEX(Recipes!$D$6:$D$105,MATCH(B267,Recipes!$B$6:$B$105,0)))&gt;0,INDEX(Recipes!$D$6:$D$105,MATCH(B267,Recipes!$B$6:$B$105,0)),1),2),0))</f>
        <v/>
      </c>
      <c r="H267" s="1" t="n"/>
    </row>
    <row r="268">
      <c r="A268" s="1" t="n"/>
      <c r="B268" s="33" t="n"/>
      <c r="C268" s="33" t="n"/>
      <c r="D268" s="31" t="n"/>
      <c r="E268" s="35">
        <f>IF(C268="","",IFERROR(INDEX(Pantry!$C$6:$C$305,MATCH(C268,Pantry!$B$6:$B$305,0))&amp;"","Add to Pantry"))</f>
        <v/>
      </c>
      <c r="F268" s="25">
        <f>IF(OR(C268="",E268="Add to Pantry"),"",ROUND(N(D268)*INDEX(Pantry!$N$6:$N$305,MATCH(C268,Pantry!$B$6:$B$305,0)),2))</f>
        <v/>
      </c>
      <c r="G268" s="35">
        <f>IF(OR(B268="",C268=""),"",IFERROR(ROUND(N(D268)*N(INDEX(Recipes!$H$6:$H$105,MATCH(B268,Recipes!$B$6:$B$105,0)))/IF(N(INDEX(Recipes!$D$6:$D$105,MATCH(B268,Recipes!$B$6:$B$105,0)))&gt;0,INDEX(Recipes!$D$6:$D$105,MATCH(B268,Recipes!$B$6:$B$105,0)),1),2),0))</f>
        <v/>
      </c>
      <c r="H268" s="1" t="n"/>
    </row>
    <row r="269">
      <c r="A269" s="1" t="n"/>
      <c r="B269" s="33" t="n"/>
      <c r="C269" s="33" t="n"/>
      <c r="D269" s="31" t="n"/>
      <c r="E269" s="35">
        <f>IF(C269="","",IFERROR(INDEX(Pantry!$C$6:$C$305,MATCH(C269,Pantry!$B$6:$B$305,0))&amp;"","Add to Pantry"))</f>
        <v/>
      </c>
      <c r="F269" s="25">
        <f>IF(OR(C269="",E269="Add to Pantry"),"",ROUND(N(D269)*INDEX(Pantry!$N$6:$N$305,MATCH(C269,Pantry!$B$6:$B$305,0)),2))</f>
        <v/>
      </c>
      <c r="G269" s="35">
        <f>IF(OR(B269="",C269=""),"",IFERROR(ROUND(N(D269)*N(INDEX(Recipes!$H$6:$H$105,MATCH(B269,Recipes!$B$6:$B$105,0)))/IF(N(INDEX(Recipes!$D$6:$D$105,MATCH(B269,Recipes!$B$6:$B$105,0)))&gt;0,INDEX(Recipes!$D$6:$D$105,MATCH(B269,Recipes!$B$6:$B$105,0)),1),2),0))</f>
        <v/>
      </c>
      <c r="H269" s="1" t="n"/>
    </row>
    <row r="270">
      <c r="A270" s="1" t="n"/>
      <c r="B270" s="33" t="n"/>
      <c r="C270" s="33" t="n"/>
      <c r="D270" s="31" t="n"/>
      <c r="E270" s="35">
        <f>IF(C270="","",IFERROR(INDEX(Pantry!$C$6:$C$305,MATCH(C270,Pantry!$B$6:$B$305,0))&amp;"","Add to Pantry"))</f>
        <v/>
      </c>
      <c r="F270" s="25">
        <f>IF(OR(C270="",E270="Add to Pantry"),"",ROUND(N(D270)*INDEX(Pantry!$N$6:$N$305,MATCH(C270,Pantry!$B$6:$B$305,0)),2))</f>
        <v/>
      </c>
      <c r="G270" s="35">
        <f>IF(OR(B270="",C270=""),"",IFERROR(ROUND(N(D270)*N(INDEX(Recipes!$H$6:$H$105,MATCH(B270,Recipes!$B$6:$B$105,0)))/IF(N(INDEX(Recipes!$D$6:$D$105,MATCH(B270,Recipes!$B$6:$B$105,0)))&gt;0,INDEX(Recipes!$D$6:$D$105,MATCH(B270,Recipes!$B$6:$B$105,0)),1),2),0))</f>
        <v/>
      </c>
      <c r="H270" s="1" t="n"/>
    </row>
    <row r="271">
      <c r="A271" s="1" t="n"/>
      <c r="B271" s="33" t="n"/>
      <c r="C271" s="33" t="n"/>
      <c r="D271" s="31" t="n"/>
      <c r="E271" s="35">
        <f>IF(C271="","",IFERROR(INDEX(Pantry!$C$6:$C$305,MATCH(C271,Pantry!$B$6:$B$305,0))&amp;"","Add to Pantry"))</f>
        <v/>
      </c>
      <c r="F271" s="25">
        <f>IF(OR(C271="",E271="Add to Pantry"),"",ROUND(N(D271)*INDEX(Pantry!$N$6:$N$305,MATCH(C271,Pantry!$B$6:$B$305,0)),2))</f>
        <v/>
      </c>
      <c r="G271" s="35">
        <f>IF(OR(B271="",C271=""),"",IFERROR(ROUND(N(D271)*N(INDEX(Recipes!$H$6:$H$105,MATCH(B271,Recipes!$B$6:$B$105,0)))/IF(N(INDEX(Recipes!$D$6:$D$105,MATCH(B271,Recipes!$B$6:$B$105,0)))&gt;0,INDEX(Recipes!$D$6:$D$105,MATCH(B271,Recipes!$B$6:$B$105,0)),1),2),0))</f>
        <v/>
      </c>
      <c r="H271" s="1" t="n"/>
    </row>
    <row r="272">
      <c r="A272" s="1" t="n"/>
      <c r="B272" s="33" t="n"/>
      <c r="C272" s="33" t="n"/>
      <c r="D272" s="31" t="n"/>
      <c r="E272" s="35">
        <f>IF(C272="","",IFERROR(INDEX(Pantry!$C$6:$C$305,MATCH(C272,Pantry!$B$6:$B$305,0))&amp;"","Add to Pantry"))</f>
        <v/>
      </c>
      <c r="F272" s="25">
        <f>IF(OR(C272="",E272="Add to Pantry"),"",ROUND(N(D272)*INDEX(Pantry!$N$6:$N$305,MATCH(C272,Pantry!$B$6:$B$305,0)),2))</f>
        <v/>
      </c>
      <c r="G272" s="35">
        <f>IF(OR(B272="",C272=""),"",IFERROR(ROUND(N(D272)*N(INDEX(Recipes!$H$6:$H$105,MATCH(B272,Recipes!$B$6:$B$105,0)))/IF(N(INDEX(Recipes!$D$6:$D$105,MATCH(B272,Recipes!$B$6:$B$105,0)))&gt;0,INDEX(Recipes!$D$6:$D$105,MATCH(B272,Recipes!$B$6:$B$105,0)),1),2),0))</f>
        <v/>
      </c>
      <c r="H272" s="1" t="n"/>
    </row>
    <row r="273">
      <c r="A273" s="1" t="n"/>
      <c r="B273" s="33" t="n"/>
      <c r="C273" s="33" t="n"/>
      <c r="D273" s="31" t="n"/>
      <c r="E273" s="35">
        <f>IF(C273="","",IFERROR(INDEX(Pantry!$C$6:$C$305,MATCH(C273,Pantry!$B$6:$B$305,0))&amp;"","Add to Pantry"))</f>
        <v/>
      </c>
      <c r="F273" s="25">
        <f>IF(OR(C273="",E273="Add to Pantry"),"",ROUND(N(D273)*INDEX(Pantry!$N$6:$N$305,MATCH(C273,Pantry!$B$6:$B$305,0)),2))</f>
        <v/>
      </c>
      <c r="G273" s="35">
        <f>IF(OR(B273="",C273=""),"",IFERROR(ROUND(N(D273)*N(INDEX(Recipes!$H$6:$H$105,MATCH(B273,Recipes!$B$6:$B$105,0)))/IF(N(INDEX(Recipes!$D$6:$D$105,MATCH(B273,Recipes!$B$6:$B$105,0)))&gt;0,INDEX(Recipes!$D$6:$D$105,MATCH(B273,Recipes!$B$6:$B$105,0)),1),2),0))</f>
        <v/>
      </c>
      <c r="H273" s="1" t="n"/>
    </row>
    <row r="274">
      <c r="A274" s="1" t="n"/>
      <c r="B274" s="33" t="n"/>
      <c r="C274" s="33" t="n"/>
      <c r="D274" s="31" t="n"/>
      <c r="E274" s="35">
        <f>IF(C274="","",IFERROR(INDEX(Pantry!$C$6:$C$305,MATCH(C274,Pantry!$B$6:$B$305,0))&amp;"","Add to Pantry"))</f>
        <v/>
      </c>
      <c r="F274" s="25">
        <f>IF(OR(C274="",E274="Add to Pantry"),"",ROUND(N(D274)*INDEX(Pantry!$N$6:$N$305,MATCH(C274,Pantry!$B$6:$B$305,0)),2))</f>
        <v/>
      </c>
      <c r="G274" s="35">
        <f>IF(OR(B274="",C274=""),"",IFERROR(ROUND(N(D274)*N(INDEX(Recipes!$H$6:$H$105,MATCH(B274,Recipes!$B$6:$B$105,0)))/IF(N(INDEX(Recipes!$D$6:$D$105,MATCH(B274,Recipes!$B$6:$B$105,0)))&gt;0,INDEX(Recipes!$D$6:$D$105,MATCH(B274,Recipes!$B$6:$B$105,0)),1),2),0))</f>
        <v/>
      </c>
      <c r="H274" s="1" t="n"/>
    </row>
    <row r="275">
      <c r="A275" s="1" t="n"/>
      <c r="B275" s="33" t="n"/>
      <c r="C275" s="33" t="n"/>
      <c r="D275" s="31" t="n"/>
      <c r="E275" s="35">
        <f>IF(C275="","",IFERROR(INDEX(Pantry!$C$6:$C$305,MATCH(C275,Pantry!$B$6:$B$305,0))&amp;"","Add to Pantry"))</f>
        <v/>
      </c>
      <c r="F275" s="25">
        <f>IF(OR(C275="",E275="Add to Pantry"),"",ROUND(N(D275)*INDEX(Pantry!$N$6:$N$305,MATCH(C275,Pantry!$B$6:$B$305,0)),2))</f>
        <v/>
      </c>
      <c r="G275" s="35">
        <f>IF(OR(B275="",C275=""),"",IFERROR(ROUND(N(D275)*N(INDEX(Recipes!$H$6:$H$105,MATCH(B275,Recipes!$B$6:$B$105,0)))/IF(N(INDEX(Recipes!$D$6:$D$105,MATCH(B275,Recipes!$B$6:$B$105,0)))&gt;0,INDEX(Recipes!$D$6:$D$105,MATCH(B275,Recipes!$B$6:$B$105,0)),1),2),0))</f>
        <v/>
      </c>
      <c r="H275" s="1" t="n"/>
    </row>
    <row r="276">
      <c r="A276" s="1" t="n"/>
      <c r="B276" s="33" t="n"/>
      <c r="C276" s="33" t="n"/>
      <c r="D276" s="31" t="n"/>
      <c r="E276" s="35">
        <f>IF(C276="","",IFERROR(INDEX(Pantry!$C$6:$C$305,MATCH(C276,Pantry!$B$6:$B$305,0))&amp;"","Add to Pantry"))</f>
        <v/>
      </c>
      <c r="F276" s="25">
        <f>IF(OR(C276="",E276="Add to Pantry"),"",ROUND(N(D276)*INDEX(Pantry!$N$6:$N$305,MATCH(C276,Pantry!$B$6:$B$305,0)),2))</f>
        <v/>
      </c>
      <c r="G276" s="35">
        <f>IF(OR(B276="",C276=""),"",IFERROR(ROUND(N(D276)*N(INDEX(Recipes!$H$6:$H$105,MATCH(B276,Recipes!$B$6:$B$105,0)))/IF(N(INDEX(Recipes!$D$6:$D$105,MATCH(B276,Recipes!$B$6:$B$105,0)))&gt;0,INDEX(Recipes!$D$6:$D$105,MATCH(B276,Recipes!$B$6:$B$105,0)),1),2),0))</f>
        <v/>
      </c>
      <c r="H276" s="1" t="n"/>
    </row>
    <row r="277">
      <c r="A277" s="1" t="n"/>
      <c r="B277" s="33" t="n"/>
      <c r="C277" s="33" t="n"/>
      <c r="D277" s="31" t="n"/>
      <c r="E277" s="35">
        <f>IF(C277="","",IFERROR(INDEX(Pantry!$C$6:$C$305,MATCH(C277,Pantry!$B$6:$B$305,0))&amp;"","Add to Pantry"))</f>
        <v/>
      </c>
      <c r="F277" s="25">
        <f>IF(OR(C277="",E277="Add to Pantry"),"",ROUND(N(D277)*INDEX(Pantry!$N$6:$N$305,MATCH(C277,Pantry!$B$6:$B$305,0)),2))</f>
        <v/>
      </c>
      <c r="G277" s="35">
        <f>IF(OR(B277="",C277=""),"",IFERROR(ROUND(N(D277)*N(INDEX(Recipes!$H$6:$H$105,MATCH(B277,Recipes!$B$6:$B$105,0)))/IF(N(INDEX(Recipes!$D$6:$D$105,MATCH(B277,Recipes!$B$6:$B$105,0)))&gt;0,INDEX(Recipes!$D$6:$D$105,MATCH(B277,Recipes!$B$6:$B$105,0)),1),2),0))</f>
        <v/>
      </c>
      <c r="H277" s="1" t="n"/>
    </row>
    <row r="278">
      <c r="A278" s="1" t="n"/>
      <c r="B278" s="33" t="n"/>
      <c r="C278" s="33" t="n"/>
      <c r="D278" s="31" t="n"/>
      <c r="E278" s="35">
        <f>IF(C278="","",IFERROR(INDEX(Pantry!$C$6:$C$305,MATCH(C278,Pantry!$B$6:$B$305,0))&amp;"","Add to Pantry"))</f>
        <v/>
      </c>
      <c r="F278" s="25">
        <f>IF(OR(C278="",E278="Add to Pantry"),"",ROUND(N(D278)*INDEX(Pantry!$N$6:$N$305,MATCH(C278,Pantry!$B$6:$B$305,0)),2))</f>
        <v/>
      </c>
      <c r="G278" s="35">
        <f>IF(OR(B278="",C278=""),"",IFERROR(ROUND(N(D278)*N(INDEX(Recipes!$H$6:$H$105,MATCH(B278,Recipes!$B$6:$B$105,0)))/IF(N(INDEX(Recipes!$D$6:$D$105,MATCH(B278,Recipes!$B$6:$B$105,0)))&gt;0,INDEX(Recipes!$D$6:$D$105,MATCH(B278,Recipes!$B$6:$B$105,0)),1),2),0))</f>
        <v/>
      </c>
      <c r="H278" s="1" t="n"/>
    </row>
    <row r="279">
      <c r="A279" s="1" t="n"/>
      <c r="B279" s="33" t="n"/>
      <c r="C279" s="33" t="n"/>
      <c r="D279" s="31" t="n"/>
      <c r="E279" s="35">
        <f>IF(C279="","",IFERROR(INDEX(Pantry!$C$6:$C$305,MATCH(C279,Pantry!$B$6:$B$305,0))&amp;"","Add to Pantry"))</f>
        <v/>
      </c>
      <c r="F279" s="25">
        <f>IF(OR(C279="",E279="Add to Pantry"),"",ROUND(N(D279)*INDEX(Pantry!$N$6:$N$305,MATCH(C279,Pantry!$B$6:$B$305,0)),2))</f>
        <v/>
      </c>
      <c r="G279" s="35">
        <f>IF(OR(B279="",C279=""),"",IFERROR(ROUND(N(D279)*N(INDEX(Recipes!$H$6:$H$105,MATCH(B279,Recipes!$B$6:$B$105,0)))/IF(N(INDEX(Recipes!$D$6:$D$105,MATCH(B279,Recipes!$B$6:$B$105,0)))&gt;0,INDEX(Recipes!$D$6:$D$105,MATCH(B279,Recipes!$B$6:$B$105,0)),1),2),0))</f>
        <v/>
      </c>
      <c r="H279" s="1" t="n"/>
    </row>
    <row r="280">
      <c r="A280" s="1" t="n"/>
      <c r="B280" s="33" t="n"/>
      <c r="C280" s="33" t="n"/>
      <c r="D280" s="31" t="n"/>
      <c r="E280" s="35">
        <f>IF(C280="","",IFERROR(INDEX(Pantry!$C$6:$C$305,MATCH(C280,Pantry!$B$6:$B$305,0))&amp;"","Add to Pantry"))</f>
        <v/>
      </c>
      <c r="F280" s="25">
        <f>IF(OR(C280="",E280="Add to Pantry"),"",ROUND(N(D280)*INDEX(Pantry!$N$6:$N$305,MATCH(C280,Pantry!$B$6:$B$305,0)),2))</f>
        <v/>
      </c>
      <c r="G280" s="35">
        <f>IF(OR(B280="",C280=""),"",IFERROR(ROUND(N(D280)*N(INDEX(Recipes!$H$6:$H$105,MATCH(B280,Recipes!$B$6:$B$105,0)))/IF(N(INDEX(Recipes!$D$6:$D$105,MATCH(B280,Recipes!$B$6:$B$105,0)))&gt;0,INDEX(Recipes!$D$6:$D$105,MATCH(B280,Recipes!$B$6:$B$105,0)),1),2),0))</f>
        <v/>
      </c>
      <c r="H280" s="1" t="n"/>
    </row>
    <row r="281">
      <c r="A281" s="1" t="n"/>
      <c r="B281" s="33" t="n"/>
      <c r="C281" s="33" t="n"/>
      <c r="D281" s="31" t="n"/>
      <c r="E281" s="35">
        <f>IF(C281="","",IFERROR(INDEX(Pantry!$C$6:$C$305,MATCH(C281,Pantry!$B$6:$B$305,0))&amp;"","Add to Pantry"))</f>
        <v/>
      </c>
      <c r="F281" s="25">
        <f>IF(OR(C281="",E281="Add to Pantry"),"",ROUND(N(D281)*INDEX(Pantry!$N$6:$N$305,MATCH(C281,Pantry!$B$6:$B$305,0)),2))</f>
        <v/>
      </c>
      <c r="G281" s="35">
        <f>IF(OR(B281="",C281=""),"",IFERROR(ROUND(N(D281)*N(INDEX(Recipes!$H$6:$H$105,MATCH(B281,Recipes!$B$6:$B$105,0)))/IF(N(INDEX(Recipes!$D$6:$D$105,MATCH(B281,Recipes!$B$6:$B$105,0)))&gt;0,INDEX(Recipes!$D$6:$D$105,MATCH(B281,Recipes!$B$6:$B$105,0)),1),2),0))</f>
        <v/>
      </c>
      <c r="H281" s="1" t="n"/>
    </row>
    <row r="282">
      <c r="A282" s="1" t="n"/>
      <c r="B282" s="33" t="n"/>
      <c r="C282" s="33" t="n"/>
      <c r="D282" s="31" t="n"/>
      <c r="E282" s="35">
        <f>IF(C282="","",IFERROR(INDEX(Pantry!$C$6:$C$305,MATCH(C282,Pantry!$B$6:$B$305,0))&amp;"","Add to Pantry"))</f>
        <v/>
      </c>
      <c r="F282" s="25">
        <f>IF(OR(C282="",E282="Add to Pantry"),"",ROUND(N(D282)*INDEX(Pantry!$N$6:$N$305,MATCH(C282,Pantry!$B$6:$B$305,0)),2))</f>
        <v/>
      </c>
      <c r="G282" s="35">
        <f>IF(OR(B282="",C282=""),"",IFERROR(ROUND(N(D282)*N(INDEX(Recipes!$H$6:$H$105,MATCH(B282,Recipes!$B$6:$B$105,0)))/IF(N(INDEX(Recipes!$D$6:$D$105,MATCH(B282,Recipes!$B$6:$B$105,0)))&gt;0,INDEX(Recipes!$D$6:$D$105,MATCH(B282,Recipes!$B$6:$B$105,0)),1),2),0))</f>
        <v/>
      </c>
      <c r="H282" s="1" t="n"/>
    </row>
    <row r="283">
      <c r="A283" s="1" t="n"/>
      <c r="B283" s="33" t="n"/>
      <c r="C283" s="33" t="n"/>
      <c r="D283" s="31" t="n"/>
      <c r="E283" s="35">
        <f>IF(C283="","",IFERROR(INDEX(Pantry!$C$6:$C$305,MATCH(C283,Pantry!$B$6:$B$305,0))&amp;"","Add to Pantry"))</f>
        <v/>
      </c>
      <c r="F283" s="25">
        <f>IF(OR(C283="",E283="Add to Pantry"),"",ROUND(N(D283)*INDEX(Pantry!$N$6:$N$305,MATCH(C283,Pantry!$B$6:$B$305,0)),2))</f>
        <v/>
      </c>
      <c r="G283" s="35">
        <f>IF(OR(B283="",C283=""),"",IFERROR(ROUND(N(D283)*N(INDEX(Recipes!$H$6:$H$105,MATCH(B283,Recipes!$B$6:$B$105,0)))/IF(N(INDEX(Recipes!$D$6:$D$105,MATCH(B283,Recipes!$B$6:$B$105,0)))&gt;0,INDEX(Recipes!$D$6:$D$105,MATCH(B283,Recipes!$B$6:$B$105,0)),1),2),0))</f>
        <v/>
      </c>
      <c r="H283" s="1" t="n"/>
    </row>
    <row r="284">
      <c r="A284" s="1" t="n"/>
      <c r="B284" s="33" t="n"/>
      <c r="C284" s="33" t="n"/>
      <c r="D284" s="31" t="n"/>
      <c r="E284" s="35">
        <f>IF(C284="","",IFERROR(INDEX(Pantry!$C$6:$C$305,MATCH(C284,Pantry!$B$6:$B$305,0))&amp;"","Add to Pantry"))</f>
        <v/>
      </c>
      <c r="F284" s="25">
        <f>IF(OR(C284="",E284="Add to Pantry"),"",ROUND(N(D284)*INDEX(Pantry!$N$6:$N$305,MATCH(C284,Pantry!$B$6:$B$305,0)),2))</f>
        <v/>
      </c>
      <c r="G284" s="35">
        <f>IF(OR(B284="",C284=""),"",IFERROR(ROUND(N(D284)*N(INDEX(Recipes!$H$6:$H$105,MATCH(B284,Recipes!$B$6:$B$105,0)))/IF(N(INDEX(Recipes!$D$6:$D$105,MATCH(B284,Recipes!$B$6:$B$105,0)))&gt;0,INDEX(Recipes!$D$6:$D$105,MATCH(B284,Recipes!$B$6:$B$105,0)),1),2),0))</f>
        <v/>
      </c>
      <c r="H284" s="1" t="n"/>
    </row>
    <row r="285">
      <c r="A285" s="1" t="n"/>
      <c r="B285" s="33" t="n"/>
      <c r="C285" s="33" t="n"/>
      <c r="D285" s="31" t="n"/>
      <c r="E285" s="35">
        <f>IF(C285="","",IFERROR(INDEX(Pantry!$C$6:$C$305,MATCH(C285,Pantry!$B$6:$B$305,0))&amp;"","Add to Pantry"))</f>
        <v/>
      </c>
      <c r="F285" s="25">
        <f>IF(OR(C285="",E285="Add to Pantry"),"",ROUND(N(D285)*INDEX(Pantry!$N$6:$N$305,MATCH(C285,Pantry!$B$6:$B$305,0)),2))</f>
        <v/>
      </c>
      <c r="G285" s="35">
        <f>IF(OR(B285="",C285=""),"",IFERROR(ROUND(N(D285)*N(INDEX(Recipes!$H$6:$H$105,MATCH(B285,Recipes!$B$6:$B$105,0)))/IF(N(INDEX(Recipes!$D$6:$D$105,MATCH(B285,Recipes!$B$6:$B$105,0)))&gt;0,INDEX(Recipes!$D$6:$D$105,MATCH(B285,Recipes!$B$6:$B$105,0)),1),2),0))</f>
        <v/>
      </c>
      <c r="H285" s="1" t="n"/>
    </row>
    <row r="286">
      <c r="A286" s="1" t="n"/>
      <c r="B286" s="33" t="n"/>
      <c r="C286" s="33" t="n"/>
      <c r="D286" s="31" t="n"/>
      <c r="E286" s="35">
        <f>IF(C286="","",IFERROR(INDEX(Pantry!$C$6:$C$305,MATCH(C286,Pantry!$B$6:$B$305,0))&amp;"","Add to Pantry"))</f>
        <v/>
      </c>
      <c r="F286" s="25">
        <f>IF(OR(C286="",E286="Add to Pantry"),"",ROUND(N(D286)*INDEX(Pantry!$N$6:$N$305,MATCH(C286,Pantry!$B$6:$B$305,0)),2))</f>
        <v/>
      </c>
      <c r="G286" s="35">
        <f>IF(OR(B286="",C286=""),"",IFERROR(ROUND(N(D286)*N(INDEX(Recipes!$H$6:$H$105,MATCH(B286,Recipes!$B$6:$B$105,0)))/IF(N(INDEX(Recipes!$D$6:$D$105,MATCH(B286,Recipes!$B$6:$B$105,0)))&gt;0,INDEX(Recipes!$D$6:$D$105,MATCH(B286,Recipes!$B$6:$B$105,0)),1),2),0))</f>
        <v/>
      </c>
      <c r="H286" s="1" t="n"/>
    </row>
    <row r="287">
      <c r="A287" s="1" t="n"/>
      <c r="B287" s="33" t="n"/>
      <c r="C287" s="33" t="n"/>
      <c r="D287" s="31" t="n"/>
      <c r="E287" s="35">
        <f>IF(C287="","",IFERROR(INDEX(Pantry!$C$6:$C$305,MATCH(C287,Pantry!$B$6:$B$305,0))&amp;"","Add to Pantry"))</f>
        <v/>
      </c>
      <c r="F287" s="25">
        <f>IF(OR(C287="",E287="Add to Pantry"),"",ROUND(N(D287)*INDEX(Pantry!$N$6:$N$305,MATCH(C287,Pantry!$B$6:$B$305,0)),2))</f>
        <v/>
      </c>
      <c r="G287" s="35">
        <f>IF(OR(B287="",C287=""),"",IFERROR(ROUND(N(D287)*N(INDEX(Recipes!$H$6:$H$105,MATCH(B287,Recipes!$B$6:$B$105,0)))/IF(N(INDEX(Recipes!$D$6:$D$105,MATCH(B287,Recipes!$B$6:$B$105,0)))&gt;0,INDEX(Recipes!$D$6:$D$105,MATCH(B287,Recipes!$B$6:$B$105,0)),1),2),0))</f>
        <v/>
      </c>
      <c r="H287" s="1" t="n"/>
    </row>
    <row r="288">
      <c r="A288" s="1" t="n"/>
      <c r="B288" s="33" t="n"/>
      <c r="C288" s="33" t="n"/>
      <c r="D288" s="31" t="n"/>
      <c r="E288" s="35">
        <f>IF(C288="","",IFERROR(INDEX(Pantry!$C$6:$C$305,MATCH(C288,Pantry!$B$6:$B$305,0))&amp;"","Add to Pantry"))</f>
        <v/>
      </c>
      <c r="F288" s="25">
        <f>IF(OR(C288="",E288="Add to Pantry"),"",ROUND(N(D288)*INDEX(Pantry!$N$6:$N$305,MATCH(C288,Pantry!$B$6:$B$305,0)),2))</f>
        <v/>
      </c>
      <c r="G288" s="35">
        <f>IF(OR(B288="",C288=""),"",IFERROR(ROUND(N(D288)*N(INDEX(Recipes!$H$6:$H$105,MATCH(B288,Recipes!$B$6:$B$105,0)))/IF(N(INDEX(Recipes!$D$6:$D$105,MATCH(B288,Recipes!$B$6:$B$105,0)))&gt;0,INDEX(Recipes!$D$6:$D$105,MATCH(B288,Recipes!$B$6:$B$105,0)),1),2),0))</f>
        <v/>
      </c>
      <c r="H288" s="1" t="n"/>
    </row>
    <row r="289">
      <c r="A289" s="1" t="n"/>
      <c r="B289" s="33" t="n"/>
      <c r="C289" s="33" t="n"/>
      <c r="D289" s="31" t="n"/>
      <c r="E289" s="35">
        <f>IF(C289="","",IFERROR(INDEX(Pantry!$C$6:$C$305,MATCH(C289,Pantry!$B$6:$B$305,0))&amp;"","Add to Pantry"))</f>
        <v/>
      </c>
      <c r="F289" s="25">
        <f>IF(OR(C289="",E289="Add to Pantry"),"",ROUND(N(D289)*INDEX(Pantry!$N$6:$N$305,MATCH(C289,Pantry!$B$6:$B$305,0)),2))</f>
        <v/>
      </c>
      <c r="G289" s="35">
        <f>IF(OR(B289="",C289=""),"",IFERROR(ROUND(N(D289)*N(INDEX(Recipes!$H$6:$H$105,MATCH(B289,Recipes!$B$6:$B$105,0)))/IF(N(INDEX(Recipes!$D$6:$D$105,MATCH(B289,Recipes!$B$6:$B$105,0)))&gt;0,INDEX(Recipes!$D$6:$D$105,MATCH(B289,Recipes!$B$6:$B$105,0)),1),2),0))</f>
        <v/>
      </c>
      <c r="H289" s="1" t="n"/>
    </row>
    <row r="290">
      <c r="A290" s="1" t="n"/>
      <c r="B290" s="33" t="n"/>
      <c r="C290" s="33" t="n"/>
      <c r="D290" s="31" t="n"/>
      <c r="E290" s="35">
        <f>IF(C290="","",IFERROR(INDEX(Pantry!$C$6:$C$305,MATCH(C290,Pantry!$B$6:$B$305,0))&amp;"","Add to Pantry"))</f>
        <v/>
      </c>
      <c r="F290" s="25">
        <f>IF(OR(C290="",E290="Add to Pantry"),"",ROUND(N(D290)*INDEX(Pantry!$N$6:$N$305,MATCH(C290,Pantry!$B$6:$B$305,0)),2))</f>
        <v/>
      </c>
      <c r="G290" s="35">
        <f>IF(OR(B290="",C290=""),"",IFERROR(ROUND(N(D290)*N(INDEX(Recipes!$H$6:$H$105,MATCH(B290,Recipes!$B$6:$B$105,0)))/IF(N(INDEX(Recipes!$D$6:$D$105,MATCH(B290,Recipes!$B$6:$B$105,0)))&gt;0,INDEX(Recipes!$D$6:$D$105,MATCH(B290,Recipes!$B$6:$B$105,0)),1),2),0))</f>
        <v/>
      </c>
      <c r="H290" s="1" t="n"/>
    </row>
    <row r="291">
      <c r="A291" s="1" t="n"/>
      <c r="B291" s="33" t="n"/>
      <c r="C291" s="33" t="n"/>
      <c r="D291" s="31" t="n"/>
      <c r="E291" s="35">
        <f>IF(C291="","",IFERROR(INDEX(Pantry!$C$6:$C$305,MATCH(C291,Pantry!$B$6:$B$305,0))&amp;"","Add to Pantry"))</f>
        <v/>
      </c>
      <c r="F291" s="25">
        <f>IF(OR(C291="",E291="Add to Pantry"),"",ROUND(N(D291)*INDEX(Pantry!$N$6:$N$305,MATCH(C291,Pantry!$B$6:$B$305,0)),2))</f>
        <v/>
      </c>
      <c r="G291" s="35">
        <f>IF(OR(B291="",C291=""),"",IFERROR(ROUND(N(D291)*N(INDEX(Recipes!$H$6:$H$105,MATCH(B291,Recipes!$B$6:$B$105,0)))/IF(N(INDEX(Recipes!$D$6:$D$105,MATCH(B291,Recipes!$B$6:$B$105,0)))&gt;0,INDEX(Recipes!$D$6:$D$105,MATCH(B291,Recipes!$B$6:$B$105,0)),1),2),0))</f>
        <v/>
      </c>
      <c r="H291" s="1" t="n"/>
    </row>
    <row r="292">
      <c r="A292" s="1" t="n"/>
      <c r="B292" s="33" t="n"/>
      <c r="C292" s="33" t="n"/>
      <c r="D292" s="31" t="n"/>
      <c r="E292" s="35">
        <f>IF(C292="","",IFERROR(INDEX(Pantry!$C$6:$C$305,MATCH(C292,Pantry!$B$6:$B$305,0))&amp;"","Add to Pantry"))</f>
        <v/>
      </c>
      <c r="F292" s="25">
        <f>IF(OR(C292="",E292="Add to Pantry"),"",ROUND(N(D292)*INDEX(Pantry!$N$6:$N$305,MATCH(C292,Pantry!$B$6:$B$305,0)),2))</f>
        <v/>
      </c>
      <c r="G292" s="35">
        <f>IF(OR(B292="",C292=""),"",IFERROR(ROUND(N(D292)*N(INDEX(Recipes!$H$6:$H$105,MATCH(B292,Recipes!$B$6:$B$105,0)))/IF(N(INDEX(Recipes!$D$6:$D$105,MATCH(B292,Recipes!$B$6:$B$105,0)))&gt;0,INDEX(Recipes!$D$6:$D$105,MATCH(B292,Recipes!$B$6:$B$105,0)),1),2),0))</f>
        <v/>
      </c>
      <c r="H292" s="1" t="n"/>
    </row>
    <row r="293">
      <c r="A293" s="1" t="n"/>
      <c r="B293" s="33" t="n"/>
      <c r="C293" s="33" t="n"/>
      <c r="D293" s="31" t="n"/>
      <c r="E293" s="35">
        <f>IF(C293="","",IFERROR(INDEX(Pantry!$C$6:$C$305,MATCH(C293,Pantry!$B$6:$B$305,0))&amp;"","Add to Pantry"))</f>
        <v/>
      </c>
      <c r="F293" s="25">
        <f>IF(OR(C293="",E293="Add to Pantry"),"",ROUND(N(D293)*INDEX(Pantry!$N$6:$N$305,MATCH(C293,Pantry!$B$6:$B$305,0)),2))</f>
        <v/>
      </c>
      <c r="G293" s="35">
        <f>IF(OR(B293="",C293=""),"",IFERROR(ROUND(N(D293)*N(INDEX(Recipes!$H$6:$H$105,MATCH(B293,Recipes!$B$6:$B$105,0)))/IF(N(INDEX(Recipes!$D$6:$D$105,MATCH(B293,Recipes!$B$6:$B$105,0)))&gt;0,INDEX(Recipes!$D$6:$D$105,MATCH(B293,Recipes!$B$6:$B$105,0)),1),2),0))</f>
        <v/>
      </c>
      <c r="H293" s="1" t="n"/>
    </row>
    <row r="294">
      <c r="A294" s="1" t="n"/>
      <c r="B294" s="33" t="n"/>
      <c r="C294" s="33" t="n"/>
      <c r="D294" s="31" t="n"/>
      <c r="E294" s="35">
        <f>IF(C294="","",IFERROR(INDEX(Pantry!$C$6:$C$305,MATCH(C294,Pantry!$B$6:$B$305,0))&amp;"","Add to Pantry"))</f>
        <v/>
      </c>
      <c r="F294" s="25">
        <f>IF(OR(C294="",E294="Add to Pantry"),"",ROUND(N(D294)*INDEX(Pantry!$N$6:$N$305,MATCH(C294,Pantry!$B$6:$B$305,0)),2))</f>
        <v/>
      </c>
      <c r="G294" s="35">
        <f>IF(OR(B294="",C294=""),"",IFERROR(ROUND(N(D294)*N(INDEX(Recipes!$H$6:$H$105,MATCH(B294,Recipes!$B$6:$B$105,0)))/IF(N(INDEX(Recipes!$D$6:$D$105,MATCH(B294,Recipes!$B$6:$B$105,0)))&gt;0,INDEX(Recipes!$D$6:$D$105,MATCH(B294,Recipes!$B$6:$B$105,0)),1),2),0))</f>
        <v/>
      </c>
      <c r="H294" s="1" t="n"/>
    </row>
    <row r="295">
      <c r="A295" s="1" t="n"/>
      <c r="B295" s="33" t="n"/>
      <c r="C295" s="33" t="n"/>
      <c r="D295" s="31" t="n"/>
      <c r="E295" s="35">
        <f>IF(C295="","",IFERROR(INDEX(Pantry!$C$6:$C$305,MATCH(C295,Pantry!$B$6:$B$305,0))&amp;"","Add to Pantry"))</f>
        <v/>
      </c>
      <c r="F295" s="25">
        <f>IF(OR(C295="",E295="Add to Pantry"),"",ROUND(N(D295)*INDEX(Pantry!$N$6:$N$305,MATCH(C295,Pantry!$B$6:$B$305,0)),2))</f>
        <v/>
      </c>
      <c r="G295" s="35">
        <f>IF(OR(B295="",C295=""),"",IFERROR(ROUND(N(D295)*N(INDEX(Recipes!$H$6:$H$105,MATCH(B295,Recipes!$B$6:$B$105,0)))/IF(N(INDEX(Recipes!$D$6:$D$105,MATCH(B295,Recipes!$B$6:$B$105,0)))&gt;0,INDEX(Recipes!$D$6:$D$105,MATCH(B295,Recipes!$B$6:$B$105,0)),1),2),0))</f>
        <v/>
      </c>
      <c r="H295" s="1" t="n"/>
    </row>
    <row r="296">
      <c r="A296" s="1" t="n"/>
      <c r="B296" s="33" t="n"/>
      <c r="C296" s="33" t="n"/>
      <c r="D296" s="31" t="n"/>
      <c r="E296" s="35">
        <f>IF(C296="","",IFERROR(INDEX(Pantry!$C$6:$C$305,MATCH(C296,Pantry!$B$6:$B$305,0))&amp;"","Add to Pantry"))</f>
        <v/>
      </c>
      <c r="F296" s="25">
        <f>IF(OR(C296="",E296="Add to Pantry"),"",ROUND(N(D296)*INDEX(Pantry!$N$6:$N$305,MATCH(C296,Pantry!$B$6:$B$305,0)),2))</f>
        <v/>
      </c>
      <c r="G296" s="35">
        <f>IF(OR(B296="",C296=""),"",IFERROR(ROUND(N(D296)*N(INDEX(Recipes!$H$6:$H$105,MATCH(B296,Recipes!$B$6:$B$105,0)))/IF(N(INDEX(Recipes!$D$6:$D$105,MATCH(B296,Recipes!$B$6:$B$105,0)))&gt;0,INDEX(Recipes!$D$6:$D$105,MATCH(B296,Recipes!$B$6:$B$105,0)),1),2),0))</f>
        <v/>
      </c>
      <c r="H296" s="1" t="n"/>
    </row>
    <row r="297">
      <c r="A297" s="1" t="n"/>
      <c r="B297" s="33" t="n"/>
      <c r="C297" s="33" t="n"/>
      <c r="D297" s="31" t="n"/>
      <c r="E297" s="35">
        <f>IF(C297="","",IFERROR(INDEX(Pantry!$C$6:$C$305,MATCH(C297,Pantry!$B$6:$B$305,0))&amp;"","Add to Pantry"))</f>
        <v/>
      </c>
      <c r="F297" s="25">
        <f>IF(OR(C297="",E297="Add to Pantry"),"",ROUND(N(D297)*INDEX(Pantry!$N$6:$N$305,MATCH(C297,Pantry!$B$6:$B$305,0)),2))</f>
        <v/>
      </c>
      <c r="G297" s="35">
        <f>IF(OR(B297="",C297=""),"",IFERROR(ROUND(N(D297)*N(INDEX(Recipes!$H$6:$H$105,MATCH(B297,Recipes!$B$6:$B$105,0)))/IF(N(INDEX(Recipes!$D$6:$D$105,MATCH(B297,Recipes!$B$6:$B$105,0)))&gt;0,INDEX(Recipes!$D$6:$D$105,MATCH(B297,Recipes!$B$6:$B$105,0)),1),2),0))</f>
        <v/>
      </c>
      <c r="H297" s="1" t="n"/>
    </row>
    <row r="298">
      <c r="A298" s="1" t="n"/>
      <c r="B298" s="33" t="n"/>
      <c r="C298" s="33" t="n"/>
      <c r="D298" s="31" t="n"/>
      <c r="E298" s="35">
        <f>IF(C298="","",IFERROR(INDEX(Pantry!$C$6:$C$305,MATCH(C298,Pantry!$B$6:$B$305,0))&amp;"","Add to Pantry"))</f>
        <v/>
      </c>
      <c r="F298" s="25">
        <f>IF(OR(C298="",E298="Add to Pantry"),"",ROUND(N(D298)*INDEX(Pantry!$N$6:$N$305,MATCH(C298,Pantry!$B$6:$B$305,0)),2))</f>
        <v/>
      </c>
      <c r="G298" s="35">
        <f>IF(OR(B298="",C298=""),"",IFERROR(ROUND(N(D298)*N(INDEX(Recipes!$H$6:$H$105,MATCH(B298,Recipes!$B$6:$B$105,0)))/IF(N(INDEX(Recipes!$D$6:$D$105,MATCH(B298,Recipes!$B$6:$B$105,0)))&gt;0,INDEX(Recipes!$D$6:$D$105,MATCH(B298,Recipes!$B$6:$B$105,0)),1),2),0))</f>
        <v/>
      </c>
      <c r="H298" s="1" t="n"/>
    </row>
    <row r="299">
      <c r="A299" s="1" t="n"/>
      <c r="B299" s="33" t="n"/>
      <c r="C299" s="33" t="n"/>
      <c r="D299" s="31" t="n"/>
      <c r="E299" s="35">
        <f>IF(C299="","",IFERROR(INDEX(Pantry!$C$6:$C$305,MATCH(C299,Pantry!$B$6:$B$305,0))&amp;"","Add to Pantry"))</f>
        <v/>
      </c>
      <c r="F299" s="25">
        <f>IF(OR(C299="",E299="Add to Pantry"),"",ROUND(N(D299)*INDEX(Pantry!$N$6:$N$305,MATCH(C299,Pantry!$B$6:$B$305,0)),2))</f>
        <v/>
      </c>
      <c r="G299" s="35">
        <f>IF(OR(B299="",C299=""),"",IFERROR(ROUND(N(D299)*N(INDEX(Recipes!$H$6:$H$105,MATCH(B299,Recipes!$B$6:$B$105,0)))/IF(N(INDEX(Recipes!$D$6:$D$105,MATCH(B299,Recipes!$B$6:$B$105,0)))&gt;0,INDEX(Recipes!$D$6:$D$105,MATCH(B299,Recipes!$B$6:$B$105,0)),1),2),0))</f>
        <v/>
      </c>
      <c r="H299" s="1" t="n"/>
    </row>
    <row r="300">
      <c r="A300" s="1" t="n"/>
      <c r="B300" s="33" t="n"/>
      <c r="C300" s="33" t="n"/>
      <c r="D300" s="31" t="n"/>
      <c r="E300" s="35">
        <f>IF(C300="","",IFERROR(INDEX(Pantry!$C$6:$C$305,MATCH(C300,Pantry!$B$6:$B$305,0))&amp;"","Add to Pantry"))</f>
        <v/>
      </c>
      <c r="F300" s="25">
        <f>IF(OR(C300="",E300="Add to Pantry"),"",ROUND(N(D300)*INDEX(Pantry!$N$6:$N$305,MATCH(C300,Pantry!$B$6:$B$305,0)),2))</f>
        <v/>
      </c>
      <c r="G300" s="35">
        <f>IF(OR(B300="",C300=""),"",IFERROR(ROUND(N(D300)*N(INDEX(Recipes!$H$6:$H$105,MATCH(B300,Recipes!$B$6:$B$105,0)))/IF(N(INDEX(Recipes!$D$6:$D$105,MATCH(B300,Recipes!$B$6:$B$105,0)))&gt;0,INDEX(Recipes!$D$6:$D$105,MATCH(B300,Recipes!$B$6:$B$105,0)),1),2),0))</f>
        <v/>
      </c>
      <c r="H300" s="1" t="n"/>
    </row>
    <row r="301">
      <c r="A301" s="1" t="n"/>
      <c r="B301" s="33" t="n"/>
      <c r="C301" s="33" t="n"/>
      <c r="D301" s="31" t="n"/>
      <c r="E301" s="35">
        <f>IF(C301="","",IFERROR(INDEX(Pantry!$C$6:$C$305,MATCH(C301,Pantry!$B$6:$B$305,0))&amp;"","Add to Pantry"))</f>
        <v/>
      </c>
      <c r="F301" s="25">
        <f>IF(OR(C301="",E301="Add to Pantry"),"",ROUND(N(D301)*INDEX(Pantry!$N$6:$N$305,MATCH(C301,Pantry!$B$6:$B$305,0)),2))</f>
        <v/>
      </c>
      <c r="G301" s="35">
        <f>IF(OR(B301="",C301=""),"",IFERROR(ROUND(N(D301)*N(INDEX(Recipes!$H$6:$H$105,MATCH(B301,Recipes!$B$6:$B$105,0)))/IF(N(INDEX(Recipes!$D$6:$D$105,MATCH(B301,Recipes!$B$6:$B$105,0)))&gt;0,INDEX(Recipes!$D$6:$D$105,MATCH(B301,Recipes!$B$6:$B$105,0)),1),2),0))</f>
        <v/>
      </c>
      <c r="H301" s="1" t="n"/>
    </row>
    <row r="302">
      <c r="A302" s="1" t="n"/>
      <c r="B302" s="33" t="n"/>
      <c r="C302" s="33" t="n"/>
      <c r="D302" s="31" t="n"/>
      <c r="E302" s="35">
        <f>IF(C302="","",IFERROR(INDEX(Pantry!$C$6:$C$305,MATCH(C302,Pantry!$B$6:$B$305,0))&amp;"","Add to Pantry"))</f>
        <v/>
      </c>
      <c r="F302" s="25">
        <f>IF(OR(C302="",E302="Add to Pantry"),"",ROUND(N(D302)*INDEX(Pantry!$N$6:$N$305,MATCH(C302,Pantry!$B$6:$B$305,0)),2))</f>
        <v/>
      </c>
      <c r="G302" s="35">
        <f>IF(OR(B302="",C302=""),"",IFERROR(ROUND(N(D302)*N(INDEX(Recipes!$H$6:$H$105,MATCH(B302,Recipes!$B$6:$B$105,0)))/IF(N(INDEX(Recipes!$D$6:$D$105,MATCH(B302,Recipes!$B$6:$B$105,0)))&gt;0,INDEX(Recipes!$D$6:$D$105,MATCH(B302,Recipes!$B$6:$B$105,0)),1),2),0))</f>
        <v/>
      </c>
      <c r="H302" s="1" t="n"/>
    </row>
    <row r="303">
      <c r="A303" s="1" t="n"/>
      <c r="B303" s="33" t="n"/>
      <c r="C303" s="33" t="n"/>
      <c r="D303" s="31" t="n"/>
      <c r="E303" s="35">
        <f>IF(C303="","",IFERROR(INDEX(Pantry!$C$6:$C$305,MATCH(C303,Pantry!$B$6:$B$305,0))&amp;"","Add to Pantry"))</f>
        <v/>
      </c>
      <c r="F303" s="25">
        <f>IF(OR(C303="",E303="Add to Pantry"),"",ROUND(N(D303)*INDEX(Pantry!$N$6:$N$305,MATCH(C303,Pantry!$B$6:$B$305,0)),2))</f>
        <v/>
      </c>
      <c r="G303" s="35">
        <f>IF(OR(B303="",C303=""),"",IFERROR(ROUND(N(D303)*N(INDEX(Recipes!$H$6:$H$105,MATCH(B303,Recipes!$B$6:$B$105,0)))/IF(N(INDEX(Recipes!$D$6:$D$105,MATCH(B303,Recipes!$B$6:$B$105,0)))&gt;0,INDEX(Recipes!$D$6:$D$105,MATCH(B303,Recipes!$B$6:$B$105,0)),1),2),0))</f>
        <v/>
      </c>
      <c r="H303" s="1" t="n"/>
    </row>
    <row r="304">
      <c r="A304" s="1" t="n"/>
      <c r="B304" s="33" t="n"/>
      <c r="C304" s="33" t="n"/>
      <c r="D304" s="31" t="n"/>
      <c r="E304" s="35">
        <f>IF(C304="","",IFERROR(INDEX(Pantry!$C$6:$C$305,MATCH(C304,Pantry!$B$6:$B$305,0))&amp;"","Add to Pantry"))</f>
        <v/>
      </c>
      <c r="F304" s="25">
        <f>IF(OR(C304="",E304="Add to Pantry"),"",ROUND(N(D304)*INDEX(Pantry!$N$6:$N$305,MATCH(C304,Pantry!$B$6:$B$305,0)),2))</f>
        <v/>
      </c>
      <c r="G304" s="35">
        <f>IF(OR(B304="",C304=""),"",IFERROR(ROUND(N(D304)*N(INDEX(Recipes!$H$6:$H$105,MATCH(B304,Recipes!$B$6:$B$105,0)))/IF(N(INDEX(Recipes!$D$6:$D$105,MATCH(B304,Recipes!$B$6:$B$105,0)))&gt;0,INDEX(Recipes!$D$6:$D$105,MATCH(B304,Recipes!$B$6:$B$105,0)),1),2),0))</f>
        <v/>
      </c>
      <c r="H304" s="1" t="n"/>
    </row>
    <row r="305">
      <c r="A305" s="1" t="n"/>
      <c r="B305" s="33" t="n"/>
      <c r="C305" s="33" t="n"/>
      <c r="D305" s="31" t="n"/>
      <c r="E305" s="35">
        <f>IF(C305="","",IFERROR(INDEX(Pantry!$C$6:$C$305,MATCH(C305,Pantry!$B$6:$B$305,0))&amp;"","Add to Pantry"))</f>
        <v/>
      </c>
      <c r="F305" s="25">
        <f>IF(OR(C305="",E305="Add to Pantry"),"",ROUND(N(D305)*INDEX(Pantry!$N$6:$N$305,MATCH(C305,Pantry!$B$6:$B$305,0)),2))</f>
        <v/>
      </c>
      <c r="G305" s="35">
        <f>IF(OR(B305="",C305=""),"",IFERROR(ROUND(N(D305)*N(INDEX(Recipes!$H$6:$H$105,MATCH(B305,Recipes!$B$6:$B$105,0)))/IF(N(INDEX(Recipes!$D$6:$D$105,MATCH(B305,Recipes!$B$6:$B$105,0)))&gt;0,INDEX(Recipes!$D$6:$D$105,MATCH(B305,Recipes!$B$6:$B$105,0)),1),2),0))</f>
        <v/>
      </c>
      <c r="H305" s="1" t="n"/>
    </row>
    <row r="306">
      <c r="A306" s="1" t="n"/>
      <c r="B306" s="33" t="n"/>
      <c r="C306" s="33" t="n"/>
      <c r="D306" s="31" t="n"/>
      <c r="E306" s="35">
        <f>IF(C306="","",IFERROR(INDEX(Pantry!$C$6:$C$305,MATCH(C306,Pantry!$B$6:$B$305,0))&amp;"","Add to Pantry"))</f>
        <v/>
      </c>
      <c r="F306" s="25">
        <f>IF(OR(C306="",E306="Add to Pantry"),"",ROUND(N(D306)*INDEX(Pantry!$N$6:$N$305,MATCH(C306,Pantry!$B$6:$B$305,0)),2))</f>
        <v/>
      </c>
      <c r="G306" s="35">
        <f>IF(OR(B306="",C306=""),"",IFERROR(ROUND(N(D306)*N(INDEX(Recipes!$H$6:$H$105,MATCH(B306,Recipes!$B$6:$B$105,0)))/IF(N(INDEX(Recipes!$D$6:$D$105,MATCH(B306,Recipes!$B$6:$B$105,0)))&gt;0,INDEX(Recipes!$D$6:$D$105,MATCH(B306,Recipes!$B$6:$B$105,0)),1),2),0))</f>
        <v/>
      </c>
      <c r="H306" s="1" t="n"/>
    </row>
    <row r="307">
      <c r="A307" s="1" t="n"/>
      <c r="B307" s="33" t="n"/>
      <c r="C307" s="33" t="n"/>
      <c r="D307" s="31" t="n"/>
      <c r="E307" s="35">
        <f>IF(C307="","",IFERROR(INDEX(Pantry!$C$6:$C$305,MATCH(C307,Pantry!$B$6:$B$305,0))&amp;"","Add to Pantry"))</f>
        <v/>
      </c>
      <c r="F307" s="25">
        <f>IF(OR(C307="",E307="Add to Pantry"),"",ROUND(N(D307)*INDEX(Pantry!$N$6:$N$305,MATCH(C307,Pantry!$B$6:$B$305,0)),2))</f>
        <v/>
      </c>
      <c r="G307" s="35">
        <f>IF(OR(B307="",C307=""),"",IFERROR(ROUND(N(D307)*N(INDEX(Recipes!$H$6:$H$105,MATCH(B307,Recipes!$B$6:$B$105,0)))/IF(N(INDEX(Recipes!$D$6:$D$105,MATCH(B307,Recipes!$B$6:$B$105,0)))&gt;0,INDEX(Recipes!$D$6:$D$105,MATCH(B307,Recipes!$B$6:$B$105,0)),1),2),0))</f>
        <v/>
      </c>
      <c r="H307" s="1" t="n"/>
    </row>
    <row r="308">
      <c r="A308" s="1" t="n"/>
      <c r="B308" s="33" t="n"/>
      <c r="C308" s="33" t="n"/>
      <c r="D308" s="31" t="n"/>
      <c r="E308" s="35">
        <f>IF(C308="","",IFERROR(INDEX(Pantry!$C$6:$C$305,MATCH(C308,Pantry!$B$6:$B$305,0))&amp;"","Add to Pantry"))</f>
        <v/>
      </c>
      <c r="F308" s="25">
        <f>IF(OR(C308="",E308="Add to Pantry"),"",ROUND(N(D308)*INDEX(Pantry!$N$6:$N$305,MATCH(C308,Pantry!$B$6:$B$305,0)),2))</f>
        <v/>
      </c>
      <c r="G308" s="35">
        <f>IF(OR(B308="",C308=""),"",IFERROR(ROUND(N(D308)*N(INDEX(Recipes!$H$6:$H$105,MATCH(B308,Recipes!$B$6:$B$105,0)))/IF(N(INDEX(Recipes!$D$6:$D$105,MATCH(B308,Recipes!$B$6:$B$105,0)))&gt;0,INDEX(Recipes!$D$6:$D$105,MATCH(B308,Recipes!$B$6:$B$105,0)),1),2),0))</f>
        <v/>
      </c>
      <c r="H308" s="1" t="n"/>
    </row>
    <row r="309">
      <c r="A309" s="1" t="n"/>
      <c r="B309" s="33" t="n"/>
      <c r="C309" s="33" t="n"/>
      <c r="D309" s="31" t="n"/>
      <c r="E309" s="35">
        <f>IF(C309="","",IFERROR(INDEX(Pantry!$C$6:$C$305,MATCH(C309,Pantry!$B$6:$B$305,0))&amp;"","Add to Pantry"))</f>
        <v/>
      </c>
      <c r="F309" s="25">
        <f>IF(OR(C309="",E309="Add to Pantry"),"",ROUND(N(D309)*INDEX(Pantry!$N$6:$N$305,MATCH(C309,Pantry!$B$6:$B$305,0)),2))</f>
        <v/>
      </c>
      <c r="G309" s="35">
        <f>IF(OR(B309="",C309=""),"",IFERROR(ROUND(N(D309)*N(INDEX(Recipes!$H$6:$H$105,MATCH(B309,Recipes!$B$6:$B$105,0)))/IF(N(INDEX(Recipes!$D$6:$D$105,MATCH(B309,Recipes!$B$6:$B$105,0)))&gt;0,INDEX(Recipes!$D$6:$D$105,MATCH(B309,Recipes!$B$6:$B$105,0)),1),2),0))</f>
        <v/>
      </c>
      <c r="H309" s="1" t="n"/>
    </row>
    <row r="310">
      <c r="A310" s="1" t="n"/>
      <c r="B310" s="33" t="n"/>
      <c r="C310" s="33" t="n"/>
      <c r="D310" s="31" t="n"/>
      <c r="E310" s="35">
        <f>IF(C310="","",IFERROR(INDEX(Pantry!$C$6:$C$305,MATCH(C310,Pantry!$B$6:$B$305,0))&amp;"","Add to Pantry"))</f>
        <v/>
      </c>
      <c r="F310" s="25">
        <f>IF(OR(C310="",E310="Add to Pantry"),"",ROUND(N(D310)*INDEX(Pantry!$N$6:$N$305,MATCH(C310,Pantry!$B$6:$B$305,0)),2))</f>
        <v/>
      </c>
      <c r="G310" s="35">
        <f>IF(OR(B310="",C310=""),"",IFERROR(ROUND(N(D310)*N(INDEX(Recipes!$H$6:$H$105,MATCH(B310,Recipes!$B$6:$B$105,0)))/IF(N(INDEX(Recipes!$D$6:$D$105,MATCH(B310,Recipes!$B$6:$B$105,0)))&gt;0,INDEX(Recipes!$D$6:$D$105,MATCH(B310,Recipes!$B$6:$B$105,0)),1),2),0))</f>
        <v/>
      </c>
      <c r="H310" s="1" t="n"/>
    </row>
    <row r="311">
      <c r="A311" s="1" t="n"/>
      <c r="B311" s="33" t="n"/>
      <c r="C311" s="33" t="n"/>
      <c r="D311" s="31" t="n"/>
      <c r="E311" s="35">
        <f>IF(C311="","",IFERROR(INDEX(Pantry!$C$6:$C$305,MATCH(C311,Pantry!$B$6:$B$305,0))&amp;"","Add to Pantry"))</f>
        <v/>
      </c>
      <c r="F311" s="25">
        <f>IF(OR(C311="",E311="Add to Pantry"),"",ROUND(N(D311)*INDEX(Pantry!$N$6:$N$305,MATCH(C311,Pantry!$B$6:$B$305,0)),2))</f>
        <v/>
      </c>
      <c r="G311" s="35">
        <f>IF(OR(B311="",C311=""),"",IFERROR(ROUND(N(D311)*N(INDEX(Recipes!$H$6:$H$105,MATCH(B311,Recipes!$B$6:$B$105,0)))/IF(N(INDEX(Recipes!$D$6:$D$105,MATCH(B311,Recipes!$B$6:$B$105,0)))&gt;0,INDEX(Recipes!$D$6:$D$105,MATCH(B311,Recipes!$B$6:$B$105,0)),1),2),0))</f>
        <v/>
      </c>
      <c r="H311" s="1" t="n"/>
    </row>
    <row r="312">
      <c r="A312" s="1" t="n"/>
      <c r="B312" s="33" t="n"/>
      <c r="C312" s="33" t="n"/>
      <c r="D312" s="31" t="n"/>
      <c r="E312" s="35">
        <f>IF(C312="","",IFERROR(INDEX(Pantry!$C$6:$C$305,MATCH(C312,Pantry!$B$6:$B$305,0))&amp;"","Add to Pantry"))</f>
        <v/>
      </c>
      <c r="F312" s="25">
        <f>IF(OR(C312="",E312="Add to Pantry"),"",ROUND(N(D312)*INDEX(Pantry!$N$6:$N$305,MATCH(C312,Pantry!$B$6:$B$305,0)),2))</f>
        <v/>
      </c>
      <c r="G312" s="35">
        <f>IF(OR(B312="",C312=""),"",IFERROR(ROUND(N(D312)*N(INDEX(Recipes!$H$6:$H$105,MATCH(B312,Recipes!$B$6:$B$105,0)))/IF(N(INDEX(Recipes!$D$6:$D$105,MATCH(B312,Recipes!$B$6:$B$105,0)))&gt;0,INDEX(Recipes!$D$6:$D$105,MATCH(B312,Recipes!$B$6:$B$105,0)),1),2),0))</f>
        <v/>
      </c>
      <c r="H312" s="1" t="n"/>
    </row>
    <row r="313">
      <c r="A313" s="1" t="n"/>
      <c r="B313" s="33" t="n"/>
      <c r="C313" s="33" t="n"/>
      <c r="D313" s="31" t="n"/>
      <c r="E313" s="35">
        <f>IF(C313="","",IFERROR(INDEX(Pantry!$C$6:$C$305,MATCH(C313,Pantry!$B$6:$B$305,0))&amp;"","Add to Pantry"))</f>
        <v/>
      </c>
      <c r="F313" s="25">
        <f>IF(OR(C313="",E313="Add to Pantry"),"",ROUND(N(D313)*INDEX(Pantry!$N$6:$N$305,MATCH(C313,Pantry!$B$6:$B$305,0)),2))</f>
        <v/>
      </c>
      <c r="G313" s="35">
        <f>IF(OR(B313="",C313=""),"",IFERROR(ROUND(N(D313)*N(INDEX(Recipes!$H$6:$H$105,MATCH(B313,Recipes!$B$6:$B$105,0)))/IF(N(INDEX(Recipes!$D$6:$D$105,MATCH(B313,Recipes!$B$6:$B$105,0)))&gt;0,INDEX(Recipes!$D$6:$D$105,MATCH(B313,Recipes!$B$6:$B$105,0)),1),2),0))</f>
        <v/>
      </c>
      <c r="H313" s="1" t="n"/>
    </row>
    <row r="314">
      <c r="A314" s="1" t="n"/>
      <c r="B314" s="33" t="n"/>
      <c r="C314" s="33" t="n"/>
      <c r="D314" s="31" t="n"/>
      <c r="E314" s="35">
        <f>IF(C314="","",IFERROR(INDEX(Pantry!$C$6:$C$305,MATCH(C314,Pantry!$B$6:$B$305,0))&amp;"","Add to Pantry"))</f>
        <v/>
      </c>
      <c r="F314" s="25">
        <f>IF(OR(C314="",E314="Add to Pantry"),"",ROUND(N(D314)*INDEX(Pantry!$N$6:$N$305,MATCH(C314,Pantry!$B$6:$B$305,0)),2))</f>
        <v/>
      </c>
      <c r="G314" s="35">
        <f>IF(OR(B314="",C314=""),"",IFERROR(ROUND(N(D314)*N(INDEX(Recipes!$H$6:$H$105,MATCH(B314,Recipes!$B$6:$B$105,0)))/IF(N(INDEX(Recipes!$D$6:$D$105,MATCH(B314,Recipes!$B$6:$B$105,0)))&gt;0,INDEX(Recipes!$D$6:$D$105,MATCH(B314,Recipes!$B$6:$B$105,0)),1),2),0))</f>
        <v/>
      </c>
      <c r="H314" s="1" t="n"/>
    </row>
    <row r="315">
      <c r="A315" s="1" t="n"/>
      <c r="B315" s="33" t="n"/>
      <c r="C315" s="33" t="n"/>
      <c r="D315" s="31" t="n"/>
      <c r="E315" s="35">
        <f>IF(C315="","",IFERROR(INDEX(Pantry!$C$6:$C$305,MATCH(C315,Pantry!$B$6:$B$305,0))&amp;"","Add to Pantry"))</f>
        <v/>
      </c>
      <c r="F315" s="25">
        <f>IF(OR(C315="",E315="Add to Pantry"),"",ROUND(N(D315)*INDEX(Pantry!$N$6:$N$305,MATCH(C315,Pantry!$B$6:$B$305,0)),2))</f>
        <v/>
      </c>
      <c r="G315" s="35">
        <f>IF(OR(B315="",C315=""),"",IFERROR(ROUND(N(D315)*N(INDEX(Recipes!$H$6:$H$105,MATCH(B315,Recipes!$B$6:$B$105,0)))/IF(N(INDEX(Recipes!$D$6:$D$105,MATCH(B315,Recipes!$B$6:$B$105,0)))&gt;0,INDEX(Recipes!$D$6:$D$105,MATCH(B315,Recipes!$B$6:$B$105,0)),1),2),0))</f>
        <v/>
      </c>
      <c r="H315" s="1" t="n"/>
    </row>
    <row r="316">
      <c r="A316" s="1" t="n"/>
      <c r="B316" s="33" t="n"/>
      <c r="C316" s="33" t="n"/>
      <c r="D316" s="31" t="n"/>
      <c r="E316" s="35">
        <f>IF(C316="","",IFERROR(INDEX(Pantry!$C$6:$C$305,MATCH(C316,Pantry!$B$6:$B$305,0))&amp;"","Add to Pantry"))</f>
        <v/>
      </c>
      <c r="F316" s="25">
        <f>IF(OR(C316="",E316="Add to Pantry"),"",ROUND(N(D316)*INDEX(Pantry!$N$6:$N$305,MATCH(C316,Pantry!$B$6:$B$305,0)),2))</f>
        <v/>
      </c>
      <c r="G316" s="35">
        <f>IF(OR(B316="",C316=""),"",IFERROR(ROUND(N(D316)*N(INDEX(Recipes!$H$6:$H$105,MATCH(B316,Recipes!$B$6:$B$105,0)))/IF(N(INDEX(Recipes!$D$6:$D$105,MATCH(B316,Recipes!$B$6:$B$105,0)))&gt;0,INDEX(Recipes!$D$6:$D$105,MATCH(B316,Recipes!$B$6:$B$105,0)),1),2),0))</f>
        <v/>
      </c>
      <c r="H316" s="1" t="n"/>
    </row>
    <row r="317">
      <c r="A317" s="1" t="n"/>
      <c r="B317" s="33" t="n"/>
      <c r="C317" s="33" t="n"/>
      <c r="D317" s="31" t="n"/>
      <c r="E317" s="35">
        <f>IF(C317="","",IFERROR(INDEX(Pantry!$C$6:$C$305,MATCH(C317,Pantry!$B$6:$B$305,0))&amp;"","Add to Pantry"))</f>
        <v/>
      </c>
      <c r="F317" s="25">
        <f>IF(OR(C317="",E317="Add to Pantry"),"",ROUND(N(D317)*INDEX(Pantry!$N$6:$N$305,MATCH(C317,Pantry!$B$6:$B$305,0)),2))</f>
        <v/>
      </c>
      <c r="G317" s="35">
        <f>IF(OR(B317="",C317=""),"",IFERROR(ROUND(N(D317)*N(INDEX(Recipes!$H$6:$H$105,MATCH(B317,Recipes!$B$6:$B$105,0)))/IF(N(INDEX(Recipes!$D$6:$D$105,MATCH(B317,Recipes!$B$6:$B$105,0)))&gt;0,INDEX(Recipes!$D$6:$D$105,MATCH(B317,Recipes!$B$6:$B$105,0)),1),2),0))</f>
        <v/>
      </c>
      <c r="H317" s="1" t="n"/>
    </row>
    <row r="318">
      <c r="A318" s="1" t="n"/>
      <c r="B318" s="33" t="n"/>
      <c r="C318" s="33" t="n"/>
      <c r="D318" s="31" t="n"/>
      <c r="E318" s="35">
        <f>IF(C318="","",IFERROR(INDEX(Pantry!$C$6:$C$305,MATCH(C318,Pantry!$B$6:$B$305,0))&amp;"","Add to Pantry"))</f>
        <v/>
      </c>
      <c r="F318" s="25">
        <f>IF(OR(C318="",E318="Add to Pantry"),"",ROUND(N(D318)*INDEX(Pantry!$N$6:$N$305,MATCH(C318,Pantry!$B$6:$B$305,0)),2))</f>
        <v/>
      </c>
      <c r="G318" s="35">
        <f>IF(OR(B318="",C318=""),"",IFERROR(ROUND(N(D318)*N(INDEX(Recipes!$H$6:$H$105,MATCH(B318,Recipes!$B$6:$B$105,0)))/IF(N(INDEX(Recipes!$D$6:$D$105,MATCH(B318,Recipes!$B$6:$B$105,0)))&gt;0,INDEX(Recipes!$D$6:$D$105,MATCH(B318,Recipes!$B$6:$B$105,0)),1),2),0))</f>
        <v/>
      </c>
      <c r="H318" s="1" t="n"/>
    </row>
    <row r="319">
      <c r="A319" s="1" t="n"/>
      <c r="B319" s="33" t="n"/>
      <c r="C319" s="33" t="n"/>
      <c r="D319" s="31" t="n"/>
      <c r="E319" s="35">
        <f>IF(C319="","",IFERROR(INDEX(Pantry!$C$6:$C$305,MATCH(C319,Pantry!$B$6:$B$305,0))&amp;"","Add to Pantry"))</f>
        <v/>
      </c>
      <c r="F319" s="25">
        <f>IF(OR(C319="",E319="Add to Pantry"),"",ROUND(N(D319)*INDEX(Pantry!$N$6:$N$305,MATCH(C319,Pantry!$B$6:$B$305,0)),2))</f>
        <v/>
      </c>
      <c r="G319" s="35">
        <f>IF(OR(B319="",C319=""),"",IFERROR(ROUND(N(D319)*N(INDEX(Recipes!$H$6:$H$105,MATCH(B319,Recipes!$B$6:$B$105,0)))/IF(N(INDEX(Recipes!$D$6:$D$105,MATCH(B319,Recipes!$B$6:$B$105,0)))&gt;0,INDEX(Recipes!$D$6:$D$105,MATCH(B319,Recipes!$B$6:$B$105,0)),1),2),0))</f>
        <v/>
      </c>
      <c r="H319" s="1" t="n"/>
    </row>
    <row r="320">
      <c r="A320" s="1" t="n"/>
      <c r="B320" s="33" t="n"/>
      <c r="C320" s="33" t="n"/>
      <c r="D320" s="31" t="n"/>
      <c r="E320" s="35">
        <f>IF(C320="","",IFERROR(INDEX(Pantry!$C$6:$C$305,MATCH(C320,Pantry!$B$6:$B$305,0))&amp;"","Add to Pantry"))</f>
        <v/>
      </c>
      <c r="F320" s="25">
        <f>IF(OR(C320="",E320="Add to Pantry"),"",ROUND(N(D320)*INDEX(Pantry!$N$6:$N$305,MATCH(C320,Pantry!$B$6:$B$305,0)),2))</f>
        <v/>
      </c>
      <c r="G320" s="35">
        <f>IF(OR(B320="",C320=""),"",IFERROR(ROUND(N(D320)*N(INDEX(Recipes!$H$6:$H$105,MATCH(B320,Recipes!$B$6:$B$105,0)))/IF(N(INDEX(Recipes!$D$6:$D$105,MATCH(B320,Recipes!$B$6:$B$105,0)))&gt;0,INDEX(Recipes!$D$6:$D$105,MATCH(B320,Recipes!$B$6:$B$105,0)),1),2),0))</f>
        <v/>
      </c>
      <c r="H320" s="1" t="n"/>
    </row>
    <row r="321">
      <c r="A321" s="1" t="n"/>
      <c r="B321" s="33" t="n"/>
      <c r="C321" s="33" t="n"/>
      <c r="D321" s="31" t="n"/>
      <c r="E321" s="35">
        <f>IF(C321="","",IFERROR(INDEX(Pantry!$C$6:$C$305,MATCH(C321,Pantry!$B$6:$B$305,0))&amp;"","Add to Pantry"))</f>
        <v/>
      </c>
      <c r="F321" s="25">
        <f>IF(OR(C321="",E321="Add to Pantry"),"",ROUND(N(D321)*INDEX(Pantry!$N$6:$N$305,MATCH(C321,Pantry!$B$6:$B$305,0)),2))</f>
        <v/>
      </c>
      <c r="G321" s="35">
        <f>IF(OR(B321="",C321=""),"",IFERROR(ROUND(N(D321)*N(INDEX(Recipes!$H$6:$H$105,MATCH(B321,Recipes!$B$6:$B$105,0)))/IF(N(INDEX(Recipes!$D$6:$D$105,MATCH(B321,Recipes!$B$6:$B$105,0)))&gt;0,INDEX(Recipes!$D$6:$D$105,MATCH(B321,Recipes!$B$6:$B$105,0)),1),2),0))</f>
        <v/>
      </c>
      <c r="H321" s="1" t="n"/>
    </row>
    <row r="322">
      <c r="A322" s="1" t="n"/>
      <c r="B322" s="33" t="n"/>
      <c r="C322" s="33" t="n"/>
      <c r="D322" s="31" t="n"/>
      <c r="E322" s="35">
        <f>IF(C322="","",IFERROR(INDEX(Pantry!$C$6:$C$305,MATCH(C322,Pantry!$B$6:$B$305,0))&amp;"","Add to Pantry"))</f>
        <v/>
      </c>
      <c r="F322" s="25">
        <f>IF(OR(C322="",E322="Add to Pantry"),"",ROUND(N(D322)*INDEX(Pantry!$N$6:$N$305,MATCH(C322,Pantry!$B$6:$B$305,0)),2))</f>
        <v/>
      </c>
      <c r="G322" s="35">
        <f>IF(OR(B322="",C322=""),"",IFERROR(ROUND(N(D322)*N(INDEX(Recipes!$H$6:$H$105,MATCH(B322,Recipes!$B$6:$B$105,0)))/IF(N(INDEX(Recipes!$D$6:$D$105,MATCH(B322,Recipes!$B$6:$B$105,0)))&gt;0,INDEX(Recipes!$D$6:$D$105,MATCH(B322,Recipes!$B$6:$B$105,0)),1),2),0))</f>
        <v/>
      </c>
      <c r="H322" s="1" t="n"/>
    </row>
    <row r="323">
      <c r="A323" s="1" t="n"/>
      <c r="B323" s="33" t="n"/>
      <c r="C323" s="33" t="n"/>
      <c r="D323" s="31" t="n"/>
      <c r="E323" s="35">
        <f>IF(C323="","",IFERROR(INDEX(Pantry!$C$6:$C$305,MATCH(C323,Pantry!$B$6:$B$305,0))&amp;"","Add to Pantry"))</f>
        <v/>
      </c>
      <c r="F323" s="25">
        <f>IF(OR(C323="",E323="Add to Pantry"),"",ROUND(N(D323)*INDEX(Pantry!$N$6:$N$305,MATCH(C323,Pantry!$B$6:$B$305,0)),2))</f>
        <v/>
      </c>
      <c r="G323" s="35">
        <f>IF(OR(B323="",C323=""),"",IFERROR(ROUND(N(D323)*N(INDEX(Recipes!$H$6:$H$105,MATCH(B323,Recipes!$B$6:$B$105,0)))/IF(N(INDEX(Recipes!$D$6:$D$105,MATCH(B323,Recipes!$B$6:$B$105,0)))&gt;0,INDEX(Recipes!$D$6:$D$105,MATCH(B323,Recipes!$B$6:$B$105,0)),1),2),0))</f>
        <v/>
      </c>
      <c r="H323" s="1" t="n"/>
    </row>
    <row r="324">
      <c r="A324" s="1" t="n"/>
      <c r="B324" s="33" t="n"/>
      <c r="C324" s="33" t="n"/>
      <c r="D324" s="31" t="n"/>
      <c r="E324" s="35">
        <f>IF(C324="","",IFERROR(INDEX(Pantry!$C$6:$C$305,MATCH(C324,Pantry!$B$6:$B$305,0))&amp;"","Add to Pantry"))</f>
        <v/>
      </c>
      <c r="F324" s="25">
        <f>IF(OR(C324="",E324="Add to Pantry"),"",ROUND(N(D324)*INDEX(Pantry!$N$6:$N$305,MATCH(C324,Pantry!$B$6:$B$305,0)),2))</f>
        <v/>
      </c>
      <c r="G324" s="35">
        <f>IF(OR(B324="",C324=""),"",IFERROR(ROUND(N(D324)*N(INDEX(Recipes!$H$6:$H$105,MATCH(B324,Recipes!$B$6:$B$105,0)))/IF(N(INDEX(Recipes!$D$6:$D$105,MATCH(B324,Recipes!$B$6:$B$105,0)))&gt;0,INDEX(Recipes!$D$6:$D$105,MATCH(B324,Recipes!$B$6:$B$105,0)),1),2),0))</f>
        <v/>
      </c>
      <c r="H324" s="1" t="n"/>
    </row>
    <row r="325">
      <c r="A325" s="1" t="n"/>
      <c r="B325" s="33" t="n"/>
      <c r="C325" s="33" t="n"/>
      <c r="D325" s="31" t="n"/>
      <c r="E325" s="35">
        <f>IF(C325="","",IFERROR(INDEX(Pantry!$C$6:$C$305,MATCH(C325,Pantry!$B$6:$B$305,0))&amp;"","Add to Pantry"))</f>
        <v/>
      </c>
      <c r="F325" s="25">
        <f>IF(OR(C325="",E325="Add to Pantry"),"",ROUND(N(D325)*INDEX(Pantry!$N$6:$N$305,MATCH(C325,Pantry!$B$6:$B$305,0)),2))</f>
        <v/>
      </c>
      <c r="G325" s="35">
        <f>IF(OR(B325="",C325=""),"",IFERROR(ROUND(N(D325)*N(INDEX(Recipes!$H$6:$H$105,MATCH(B325,Recipes!$B$6:$B$105,0)))/IF(N(INDEX(Recipes!$D$6:$D$105,MATCH(B325,Recipes!$B$6:$B$105,0)))&gt;0,INDEX(Recipes!$D$6:$D$105,MATCH(B325,Recipes!$B$6:$B$105,0)),1),2),0))</f>
        <v/>
      </c>
      <c r="H325" s="1" t="n"/>
    </row>
    <row r="326">
      <c r="A326" s="1" t="n"/>
      <c r="B326" s="33" t="n"/>
      <c r="C326" s="33" t="n"/>
      <c r="D326" s="31" t="n"/>
      <c r="E326" s="35">
        <f>IF(C326="","",IFERROR(INDEX(Pantry!$C$6:$C$305,MATCH(C326,Pantry!$B$6:$B$305,0))&amp;"","Add to Pantry"))</f>
        <v/>
      </c>
      <c r="F326" s="25">
        <f>IF(OR(C326="",E326="Add to Pantry"),"",ROUND(N(D326)*INDEX(Pantry!$N$6:$N$305,MATCH(C326,Pantry!$B$6:$B$305,0)),2))</f>
        <v/>
      </c>
      <c r="G326" s="35">
        <f>IF(OR(B326="",C326=""),"",IFERROR(ROUND(N(D326)*N(INDEX(Recipes!$H$6:$H$105,MATCH(B326,Recipes!$B$6:$B$105,0)))/IF(N(INDEX(Recipes!$D$6:$D$105,MATCH(B326,Recipes!$B$6:$B$105,0)))&gt;0,INDEX(Recipes!$D$6:$D$105,MATCH(B326,Recipes!$B$6:$B$105,0)),1),2),0))</f>
        <v/>
      </c>
      <c r="H326" s="1" t="n"/>
    </row>
    <row r="327">
      <c r="A327" s="1" t="n"/>
      <c r="B327" s="33" t="n"/>
      <c r="C327" s="33" t="n"/>
      <c r="D327" s="31" t="n"/>
      <c r="E327" s="35">
        <f>IF(C327="","",IFERROR(INDEX(Pantry!$C$6:$C$305,MATCH(C327,Pantry!$B$6:$B$305,0))&amp;"","Add to Pantry"))</f>
        <v/>
      </c>
      <c r="F327" s="25">
        <f>IF(OR(C327="",E327="Add to Pantry"),"",ROUND(N(D327)*INDEX(Pantry!$N$6:$N$305,MATCH(C327,Pantry!$B$6:$B$305,0)),2))</f>
        <v/>
      </c>
      <c r="G327" s="35">
        <f>IF(OR(B327="",C327=""),"",IFERROR(ROUND(N(D327)*N(INDEX(Recipes!$H$6:$H$105,MATCH(B327,Recipes!$B$6:$B$105,0)))/IF(N(INDEX(Recipes!$D$6:$D$105,MATCH(B327,Recipes!$B$6:$B$105,0)))&gt;0,INDEX(Recipes!$D$6:$D$105,MATCH(B327,Recipes!$B$6:$B$105,0)),1),2),0))</f>
        <v/>
      </c>
      <c r="H327" s="1" t="n"/>
    </row>
    <row r="328">
      <c r="A328" s="1" t="n"/>
      <c r="B328" s="33" t="n"/>
      <c r="C328" s="33" t="n"/>
      <c r="D328" s="31" t="n"/>
      <c r="E328" s="35">
        <f>IF(C328="","",IFERROR(INDEX(Pantry!$C$6:$C$305,MATCH(C328,Pantry!$B$6:$B$305,0))&amp;"","Add to Pantry"))</f>
        <v/>
      </c>
      <c r="F328" s="25">
        <f>IF(OR(C328="",E328="Add to Pantry"),"",ROUND(N(D328)*INDEX(Pantry!$N$6:$N$305,MATCH(C328,Pantry!$B$6:$B$305,0)),2))</f>
        <v/>
      </c>
      <c r="G328" s="35">
        <f>IF(OR(B328="",C328=""),"",IFERROR(ROUND(N(D328)*N(INDEX(Recipes!$H$6:$H$105,MATCH(B328,Recipes!$B$6:$B$105,0)))/IF(N(INDEX(Recipes!$D$6:$D$105,MATCH(B328,Recipes!$B$6:$B$105,0)))&gt;0,INDEX(Recipes!$D$6:$D$105,MATCH(B328,Recipes!$B$6:$B$105,0)),1),2),0))</f>
        <v/>
      </c>
      <c r="H328" s="1" t="n"/>
    </row>
    <row r="329">
      <c r="A329" s="1" t="n"/>
      <c r="B329" s="33" t="n"/>
      <c r="C329" s="33" t="n"/>
      <c r="D329" s="31" t="n"/>
      <c r="E329" s="35">
        <f>IF(C329="","",IFERROR(INDEX(Pantry!$C$6:$C$305,MATCH(C329,Pantry!$B$6:$B$305,0))&amp;"","Add to Pantry"))</f>
        <v/>
      </c>
      <c r="F329" s="25">
        <f>IF(OR(C329="",E329="Add to Pantry"),"",ROUND(N(D329)*INDEX(Pantry!$N$6:$N$305,MATCH(C329,Pantry!$B$6:$B$305,0)),2))</f>
        <v/>
      </c>
      <c r="G329" s="35">
        <f>IF(OR(B329="",C329=""),"",IFERROR(ROUND(N(D329)*N(INDEX(Recipes!$H$6:$H$105,MATCH(B329,Recipes!$B$6:$B$105,0)))/IF(N(INDEX(Recipes!$D$6:$D$105,MATCH(B329,Recipes!$B$6:$B$105,0)))&gt;0,INDEX(Recipes!$D$6:$D$105,MATCH(B329,Recipes!$B$6:$B$105,0)),1),2),0))</f>
        <v/>
      </c>
      <c r="H329" s="1" t="n"/>
    </row>
    <row r="330">
      <c r="A330" s="1" t="n"/>
      <c r="B330" s="33" t="n"/>
      <c r="C330" s="33" t="n"/>
      <c r="D330" s="31" t="n"/>
      <c r="E330" s="35">
        <f>IF(C330="","",IFERROR(INDEX(Pantry!$C$6:$C$305,MATCH(C330,Pantry!$B$6:$B$305,0))&amp;"","Add to Pantry"))</f>
        <v/>
      </c>
      <c r="F330" s="25">
        <f>IF(OR(C330="",E330="Add to Pantry"),"",ROUND(N(D330)*INDEX(Pantry!$N$6:$N$305,MATCH(C330,Pantry!$B$6:$B$305,0)),2))</f>
        <v/>
      </c>
      <c r="G330" s="35">
        <f>IF(OR(B330="",C330=""),"",IFERROR(ROUND(N(D330)*N(INDEX(Recipes!$H$6:$H$105,MATCH(B330,Recipes!$B$6:$B$105,0)))/IF(N(INDEX(Recipes!$D$6:$D$105,MATCH(B330,Recipes!$B$6:$B$105,0)))&gt;0,INDEX(Recipes!$D$6:$D$105,MATCH(B330,Recipes!$B$6:$B$105,0)),1),2),0))</f>
        <v/>
      </c>
      <c r="H330" s="1" t="n"/>
    </row>
    <row r="331">
      <c r="A331" s="1" t="n"/>
      <c r="B331" s="33" t="n"/>
      <c r="C331" s="33" t="n"/>
      <c r="D331" s="31" t="n"/>
      <c r="E331" s="35">
        <f>IF(C331="","",IFERROR(INDEX(Pantry!$C$6:$C$305,MATCH(C331,Pantry!$B$6:$B$305,0))&amp;"","Add to Pantry"))</f>
        <v/>
      </c>
      <c r="F331" s="25">
        <f>IF(OR(C331="",E331="Add to Pantry"),"",ROUND(N(D331)*INDEX(Pantry!$N$6:$N$305,MATCH(C331,Pantry!$B$6:$B$305,0)),2))</f>
        <v/>
      </c>
      <c r="G331" s="35">
        <f>IF(OR(B331="",C331=""),"",IFERROR(ROUND(N(D331)*N(INDEX(Recipes!$H$6:$H$105,MATCH(B331,Recipes!$B$6:$B$105,0)))/IF(N(INDEX(Recipes!$D$6:$D$105,MATCH(B331,Recipes!$B$6:$B$105,0)))&gt;0,INDEX(Recipes!$D$6:$D$105,MATCH(B331,Recipes!$B$6:$B$105,0)),1),2),0))</f>
        <v/>
      </c>
      <c r="H331" s="1" t="n"/>
    </row>
    <row r="332">
      <c r="A332" s="1" t="n"/>
      <c r="B332" s="33" t="n"/>
      <c r="C332" s="33" t="n"/>
      <c r="D332" s="31" t="n"/>
      <c r="E332" s="35">
        <f>IF(C332="","",IFERROR(INDEX(Pantry!$C$6:$C$305,MATCH(C332,Pantry!$B$6:$B$305,0))&amp;"","Add to Pantry"))</f>
        <v/>
      </c>
      <c r="F332" s="25">
        <f>IF(OR(C332="",E332="Add to Pantry"),"",ROUND(N(D332)*INDEX(Pantry!$N$6:$N$305,MATCH(C332,Pantry!$B$6:$B$305,0)),2))</f>
        <v/>
      </c>
      <c r="G332" s="35">
        <f>IF(OR(B332="",C332=""),"",IFERROR(ROUND(N(D332)*N(INDEX(Recipes!$H$6:$H$105,MATCH(B332,Recipes!$B$6:$B$105,0)))/IF(N(INDEX(Recipes!$D$6:$D$105,MATCH(B332,Recipes!$B$6:$B$105,0)))&gt;0,INDEX(Recipes!$D$6:$D$105,MATCH(B332,Recipes!$B$6:$B$105,0)),1),2),0))</f>
        <v/>
      </c>
      <c r="H332" s="1" t="n"/>
    </row>
    <row r="333">
      <c r="A333" s="1" t="n"/>
      <c r="B333" s="33" t="n"/>
      <c r="C333" s="33" t="n"/>
      <c r="D333" s="31" t="n"/>
      <c r="E333" s="35">
        <f>IF(C333="","",IFERROR(INDEX(Pantry!$C$6:$C$305,MATCH(C333,Pantry!$B$6:$B$305,0))&amp;"","Add to Pantry"))</f>
        <v/>
      </c>
      <c r="F333" s="25">
        <f>IF(OR(C333="",E333="Add to Pantry"),"",ROUND(N(D333)*INDEX(Pantry!$N$6:$N$305,MATCH(C333,Pantry!$B$6:$B$305,0)),2))</f>
        <v/>
      </c>
      <c r="G333" s="35">
        <f>IF(OR(B333="",C333=""),"",IFERROR(ROUND(N(D333)*N(INDEX(Recipes!$H$6:$H$105,MATCH(B333,Recipes!$B$6:$B$105,0)))/IF(N(INDEX(Recipes!$D$6:$D$105,MATCH(B333,Recipes!$B$6:$B$105,0)))&gt;0,INDEX(Recipes!$D$6:$D$105,MATCH(B333,Recipes!$B$6:$B$105,0)),1),2),0))</f>
        <v/>
      </c>
      <c r="H333" s="1" t="n"/>
    </row>
    <row r="334">
      <c r="A334" s="1" t="n"/>
      <c r="B334" s="33" t="n"/>
      <c r="C334" s="33" t="n"/>
      <c r="D334" s="31" t="n"/>
      <c r="E334" s="35">
        <f>IF(C334="","",IFERROR(INDEX(Pantry!$C$6:$C$305,MATCH(C334,Pantry!$B$6:$B$305,0))&amp;"","Add to Pantry"))</f>
        <v/>
      </c>
      <c r="F334" s="25">
        <f>IF(OR(C334="",E334="Add to Pantry"),"",ROUND(N(D334)*INDEX(Pantry!$N$6:$N$305,MATCH(C334,Pantry!$B$6:$B$305,0)),2))</f>
        <v/>
      </c>
      <c r="G334" s="35">
        <f>IF(OR(B334="",C334=""),"",IFERROR(ROUND(N(D334)*N(INDEX(Recipes!$H$6:$H$105,MATCH(B334,Recipes!$B$6:$B$105,0)))/IF(N(INDEX(Recipes!$D$6:$D$105,MATCH(B334,Recipes!$B$6:$B$105,0)))&gt;0,INDEX(Recipes!$D$6:$D$105,MATCH(B334,Recipes!$B$6:$B$105,0)),1),2),0))</f>
        <v/>
      </c>
      <c r="H334" s="1" t="n"/>
    </row>
    <row r="335">
      <c r="A335" s="1" t="n"/>
      <c r="B335" s="33" t="n"/>
      <c r="C335" s="33" t="n"/>
      <c r="D335" s="31" t="n"/>
      <c r="E335" s="35">
        <f>IF(C335="","",IFERROR(INDEX(Pantry!$C$6:$C$305,MATCH(C335,Pantry!$B$6:$B$305,0))&amp;"","Add to Pantry"))</f>
        <v/>
      </c>
      <c r="F335" s="25">
        <f>IF(OR(C335="",E335="Add to Pantry"),"",ROUND(N(D335)*INDEX(Pantry!$N$6:$N$305,MATCH(C335,Pantry!$B$6:$B$305,0)),2))</f>
        <v/>
      </c>
      <c r="G335" s="35">
        <f>IF(OR(B335="",C335=""),"",IFERROR(ROUND(N(D335)*N(INDEX(Recipes!$H$6:$H$105,MATCH(B335,Recipes!$B$6:$B$105,0)))/IF(N(INDEX(Recipes!$D$6:$D$105,MATCH(B335,Recipes!$B$6:$B$105,0)))&gt;0,INDEX(Recipes!$D$6:$D$105,MATCH(B335,Recipes!$B$6:$B$105,0)),1),2),0))</f>
        <v/>
      </c>
      <c r="H335" s="1" t="n"/>
    </row>
    <row r="336">
      <c r="A336" s="1" t="n"/>
      <c r="B336" s="33" t="n"/>
      <c r="C336" s="33" t="n"/>
      <c r="D336" s="31" t="n"/>
      <c r="E336" s="35">
        <f>IF(C336="","",IFERROR(INDEX(Pantry!$C$6:$C$305,MATCH(C336,Pantry!$B$6:$B$305,0))&amp;"","Add to Pantry"))</f>
        <v/>
      </c>
      <c r="F336" s="25">
        <f>IF(OR(C336="",E336="Add to Pantry"),"",ROUND(N(D336)*INDEX(Pantry!$N$6:$N$305,MATCH(C336,Pantry!$B$6:$B$305,0)),2))</f>
        <v/>
      </c>
      <c r="G336" s="35">
        <f>IF(OR(B336="",C336=""),"",IFERROR(ROUND(N(D336)*N(INDEX(Recipes!$H$6:$H$105,MATCH(B336,Recipes!$B$6:$B$105,0)))/IF(N(INDEX(Recipes!$D$6:$D$105,MATCH(B336,Recipes!$B$6:$B$105,0)))&gt;0,INDEX(Recipes!$D$6:$D$105,MATCH(B336,Recipes!$B$6:$B$105,0)),1),2),0))</f>
        <v/>
      </c>
      <c r="H336" s="1" t="n"/>
    </row>
    <row r="337">
      <c r="A337" s="1" t="n"/>
      <c r="B337" s="33" t="n"/>
      <c r="C337" s="33" t="n"/>
      <c r="D337" s="31" t="n"/>
      <c r="E337" s="35">
        <f>IF(C337="","",IFERROR(INDEX(Pantry!$C$6:$C$305,MATCH(C337,Pantry!$B$6:$B$305,0))&amp;"","Add to Pantry"))</f>
        <v/>
      </c>
      <c r="F337" s="25">
        <f>IF(OR(C337="",E337="Add to Pantry"),"",ROUND(N(D337)*INDEX(Pantry!$N$6:$N$305,MATCH(C337,Pantry!$B$6:$B$305,0)),2))</f>
        <v/>
      </c>
      <c r="G337" s="35">
        <f>IF(OR(B337="",C337=""),"",IFERROR(ROUND(N(D337)*N(INDEX(Recipes!$H$6:$H$105,MATCH(B337,Recipes!$B$6:$B$105,0)))/IF(N(INDEX(Recipes!$D$6:$D$105,MATCH(B337,Recipes!$B$6:$B$105,0)))&gt;0,INDEX(Recipes!$D$6:$D$105,MATCH(B337,Recipes!$B$6:$B$105,0)),1),2),0))</f>
        <v/>
      </c>
      <c r="H337" s="1" t="n"/>
    </row>
    <row r="338">
      <c r="A338" s="1" t="n"/>
      <c r="B338" s="33" t="n"/>
      <c r="C338" s="33" t="n"/>
      <c r="D338" s="31" t="n"/>
      <c r="E338" s="35">
        <f>IF(C338="","",IFERROR(INDEX(Pantry!$C$6:$C$305,MATCH(C338,Pantry!$B$6:$B$305,0))&amp;"","Add to Pantry"))</f>
        <v/>
      </c>
      <c r="F338" s="25">
        <f>IF(OR(C338="",E338="Add to Pantry"),"",ROUND(N(D338)*INDEX(Pantry!$N$6:$N$305,MATCH(C338,Pantry!$B$6:$B$305,0)),2))</f>
        <v/>
      </c>
      <c r="G338" s="35">
        <f>IF(OR(B338="",C338=""),"",IFERROR(ROUND(N(D338)*N(INDEX(Recipes!$H$6:$H$105,MATCH(B338,Recipes!$B$6:$B$105,0)))/IF(N(INDEX(Recipes!$D$6:$D$105,MATCH(B338,Recipes!$B$6:$B$105,0)))&gt;0,INDEX(Recipes!$D$6:$D$105,MATCH(B338,Recipes!$B$6:$B$105,0)),1),2),0))</f>
        <v/>
      </c>
      <c r="H338" s="1" t="n"/>
    </row>
    <row r="339">
      <c r="A339" s="1" t="n"/>
      <c r="B339" s="33" t="n"/>
      <c r="C339" s="33" t="n"/>
      <c r="D339" s="31" t="n"/>
      <c r="E339" s="35">
        <f>IF(C339="","",IFERROR(INDEX(Pantry!$C$6:$C$305,MATCH(C339,Pantry!$B$6:$B$305,0))&amp;"","Add to Pantry"))</f>
        <v/>
      </c>
      <c r="F339" s="25">
        <f>IF(OR(C339="",E339="Add to Pantry"),"",ROUND(N(D339)*INDEX(Pantry!$N$6:$N$305,MATCH(C339,Pantry!$B$6:$B$305,0)),2))</f>
        <v/>
      </c>
      <c r="G339" s="35">
        <f>IF(OR(B339="",C339=""),"",IFERROR(ROUND(N(D339)*N(INDEX(Recipes!$H$6:$H$105,MATCH(B339,Recipes!$B$6:$B$105,0)))/IF(N(INDEX(Recipes!$D$6:$D$105,MATCH(B339,Recipes!$B$6:$B$105,0)))&gt;0,INDEX(Recipes!$D$6:$D$105,MATCH(B339,Recipes!$B$6:$B$105,0)),1),2),0))</f>
        <v/>
      </c>
      <c r="H339" s="1" t="n"/>
    </row>
    <row r="340">
      <c r="A340" s="1" t="n"/>
      <c r="B340" s="33" t="n"/>
      <c r="C340" s="33" t="n"/>
      <c r="D340" s="31" t="n"/>
      <c r="E340" s="35">
        <f>IF(C340="","",IFERROR(INDEX(Pantry!$C$6:$C$305,MATCH(C340,Pantry!$B$6:$B$305,0))&amp;"","Add to Pantry"))</f>
        <v/>
      </c>
      <c r="F340" s="25">
        <f>IF(OR(C340="",E340="Add to Pantry"),"",ROUND(N(D340)*INDEX(Pantry!$N$6:$N$305,MATCH(C340,Pantry!$B$6:$B$305,0)),2))</f>
        <v/>
      </c>
      <c r="G340" s="35">
        <f>IF(OR(B340="",C340=""),"",IFERROR(ROUND(N(D340)*N(INDEX(Recipes!$H$6:$H$105,MATCH(B340,Recipes!$B$6:$B$105,0)))/IF(N(INDEX(Recipes!$D$6:$D$105,MATCH(B340,Recipes!$B$6:$B$105,0)))&gt;0,INDEX(Recipes!$D$6:$D$105,MATCH(B340,Recipes!$B$6:$B$105,0)),1),2),0))</f>
        <v/>
      </c>
      <c r="H340" s="1" t="n"/>
    </row>
    <row r="341">
      <c r="A341" s="1" t="n"/>
      <c r="B341" s="33" t="n"/>
      <c r="C341" s="33" t="n"/>
      <c r="D341" s="31" t="n"/>
      <c r="E341" s="35">
        <f>IF(C341="","",IFERROR(INDEX(Pantry!$C$6:$C$305,MATCH(C341,Pantry!$B$6:$B$305,0))&amp;"","Add to Pantry"))</f>
        <v/>
      </c>
      <c r="F341" s="25">
        <f>IF(OR(C341="",E341="Add to Pantry"),"",ROUND(N(D341)*INDEX(Pantry!$N$6:$N$305,MATCH(C341,Pantry!$B$6:$B$305,0)),2))</f>
        <v/>
      </c>
      <c r="G341" s="35">
        <f>IF(OR(B341="",C341=""),"",IFERROR(ROUND(N(D341)*N(INDEX(Recipes!$H$6:$H$105,MATCH(B341,Recipes!$B$6:$B$105,0)))/IF(N(INDEX(Recipes!$D$6:$D$105,MATCH(B341,Recipes!$B$6:$B$105,0)))&gt;0,INDEX(Recipes!$D$6:$D$105,MATCH(B341,Recipes!$B$6:$B$105,0)),1),2),0))</f>
        <v/>
      </c>
      <c r="H341" s="1" t="n"/>
    </row>
    <row r="342">
      <c r="A342" s="1" t="n"/>
      <c r="B342" s="33" t="n"/>
      <c r="C342" s="33" t="n"/>
      <c r="D342" s="31" t="n"/>
      <c r="E342" s="35">
        <f>IF(C342="","",IFERROR(INDEX(Pantry!$C$6:$C$305,MATCH(C342,Pantry!$B$6:$B$305,0))&amp;"","Add to Pantry"))</f>
        <v/>
      </c>
      <c r="F342" s="25">
        <f>IF(OR(C342="",E342="Add to Pantry"),"",ROUND(N(D342)*INDEX(Pantry!$N$6:$N$305,MATCH(C342,Pantry!$B$6:$B$305,0)),2))</f>
        <v/>
      </c>
      <c r="G342" s="35">
        <f>IF(OR(B342="",C342=""),"",IFERROR(ROUND(N(D342)*N(INDEX(Recipes!$H$6:$H$105,MATCH(B342,Recipes!$B$6:$B$105,0)))/IF(N(INDEX(Recipes!$D$6:$D$105,MATCH(B342,Recipes!$B$6:$B$105,0)))&gt;0,INDEX(Recipes!$D$6:$D$105,MATCH(B342,Recipes!$B$6:$B$105,0)),1),2),0))</f>
        <v/>
      </c>
      <c r="H342" s="1" t="n"/>
    </row>
    <row r="343">
      <c r="A343" s="1" t="n"/>
      <c r="B343" s="33" t="n"/>
      <c r="C343" s="33" t="n"/>
      <c r="D343" s="31" t="n"/>
      <c r="E343" s="35">
        <f>IF(C343="","",IFERROR(INDEX(Pantry!$C$6:$C$305,MATCH(C343,Pantry!$B$6:$B$305,0))&amp;"","Add to Pantry"))</f>
        <v/>
      </c>
      <c r="F343" s="25">
        <f>IF(OR(C343="",E343="Add to Pantry"),"",ROUND(N(D343)*INDEX(Pantry!$N$6:$N$305,MATCH(C343,Pantry!$B$6:$B$305,0)),2))</f>
        <v/>
      </c>
      <c r="G343" s="35">
        <f>IF(OR(B343="",C343=""),"",IFERROR(ROUND(N(D343)*N(INDEX(Recipes!$H$6:$H$105,MATCH(B343,Recipes!$B$6:$B$105,0)))/IF(N(INDEX(Recipes!$D$6:$D$105,MATCH(B343,Recipes!$B$6:$B$105,0)))&gt;0,INDEX(Recipes!$D$6:$D$105,MATCH(B343,Recipes!$B$6:$B$105,0)),1),2),0))</f>
        <v/>
      </c>
      <c r="H343" s="1" t="n"/>
    </row>
    <row r="344">
      <c r="A344" s="1" t="n"/>
      <c r="B344" s="33" t="n"/>
      <c r="C344" s="33" t="n"/>
      <c r="D344" s="31" t="n"/>
      <c r="E344" s="35">
        <f>IF(C344="","",IFERROR(INDEX(Pantry!$C$6:$C$305,MATCH(C344,Pantry!$B$6:$B$305,0))&amp;"","Add to Pantry"))</f>
        <v/>
      </c>
      <c r="F344" s="25">
        <f>IF(OR(C344="",E344="Add to Pantry"),"",ROUND(N(D344)*INDEX(Pantry!$N$6:$N$305,MATCH(C344,Pantry!$B$6:$B$305,0)),2))</f>
        <v/>
      </c>
      <c r="G344" s="35">
        <f>IF(OR(B344="",C344=""),"",IFERROR(ROUND(N(D344)*N(INDEX(Recipes!$H$6:$H$105,MATCH(B344,Recipes!$B$6:$B$105,0)))/IF(N(INDEX(Recipes!$D$6:$D$105,MATCH(B344,Recipes!$B$6:$B$105,0)))&gt;0,INDEX(Recipes!$D$6:$D$105,MATCH(B344,Recipes!$B$6:$B$105,0)),1),2),0))</f>
        <v/>
      </c>
      <c r="H344" s="1" t="n"/>
    </row>
    <row r="345">
      <c r="A345" s="1" t="n"/>
      <c r="B345" s="33" t="n"/>
      <c r="C345" s="33" t="n"/>
      <c r="D345" s="31" t="n"/>
      <c r="E345" s="35">
        <f>IF(C345="","",IFERROR(INDEX(Pantry!$C$6:$C$305,MATCH(C345,Pantry!$B$6:$B$305,0))&amp;"","Add to Pantry"))</f>
        <v/>
      </c>
      <c r="F345" s="25">
        <f>IF(OR(C345="",E345="Add to Pantry"),"",ROUND(N(D345)*INDEX(Pantry!$N$6:$N$305,MATCH(C345,Pantry!$B$6:$B$305,0)),2))</f>
        <v/>
      </c>
      <c r="G345" s="35">
        <f>IF(OR(B345="",C345=""),"",IFERROR(ROUND(N(D345)*N(INDEX(Recipes!$H$6:$H$105,MATCH(B345,Recipes!$B$6:$B$105,0)))/IF(N(INDEX(Recipes!$D$6:$D$105,MATCH(B345,Recipes!$B$6:$B$105,0)))&gt;0,INDEX(Recipes!$D$6:$D$105,MATCH(B345,Recipes!$B$6:$B$105,0)),1),2),0))</f>
        <v/>
      </c>
      <c r="H345" s="1" t="n"/>
    </row>
    <row r="346">
      <c r="A346" s="1" t="n"/>
      <c r="B346" s="33" t="n"/>
      <c r="C346" s="33" t="n"/>
      <c r="D346" s="31" t="n"/>
      <c r="E346" s="35">
        <f>IF(C346="","",IFERROR(INDEX(Pantry!$C$6:$C$305,MATCH(C346,Pantry!$B$6:$B$305,0))&amp;"","Add to Pantry"))</f>
        <v/>
      </c>
      <c r="F346" s="25">
        <f>IF(OR(C346="",E346="Add to Pantry"),"",ROUND(N(D346)*INDEX(Pantry!$N$6:$N$305,MATCH(C346,Pantry!$B$6:$B$305,0)),2))</f>
        <v/>
      </c>
      <c r="G346" s="35">
        <f>IF(OR(B346="",C346=""),"",IFERROR(ROUND(N(D346)*N(INDEX(Recipes!$H$6:$H$105,MATCH(B346,Recipes!$B$6:$B$105,0)))/IF(N(INDEX(Recipes!$D$6:$D$105,MATCH(B346,Recipes!$B$6:$B$105,0)))&gt;0,INDEX(Recipes!$D$6:$D$105,MATCH(B346,Recipes!$B$6:$B$105,0)),1),2),0))</f>
        <v/>
      </c>
      <c r="H346" s="1" t="n"/>
    </row>
    <row r="347">
      <c r="A347" s="1" t="n"/>
      <c r="B347" s="33" t="n"/>
      <c r="C347" s="33" t="n"/>
      <c r="D347" s="31" t="n"/>
      <c r="E347" s="35">
        <f>IF(C347="","",IFERROR(INDEX(Pantry!$C$6:$C$305,MATCH(C347,Pantry!$B$6:$B$305,0))&amp;"","Add to Pantry"))</f>
        <v/>
      </c>
      <c r="F347" s="25">
        <f>IF(OR(C347="",E347="Add to Pantry"),"",ROUND(N(D347)*INDEX(Pantry!$N$6:$N$305,MATCH(C347,Pantry!$B$6:$B$305,0)),2))</f>
        <v/>
      </c>
      <c r="G347" s="35">
        <f>IF(OR(B347="",C347=""),"",IFERROR(ROUND(N(D347)*N(INDEX(Recipes!$H$6:$H$105,MATCH(B347,Recipes!$B$6:$B$105,0)))/IF(N(INDEX(Recipes!$D$6:$D$105,MATCH(B347,Recipes!$B$6:$B$105,0)))&gt;0,INDEX(Recipes!$D$6:$D$105,MATCH(B347,Recipes!$B$6:$B$105,0)),1),2),0))</f>
        <v/>
      </c>
      <c r="H347" s="1" t="n"/>
    </row>
    <row r="348">
      <c r="A348" s="1" t="n"/>
      <c r="B348" s="33" t="n"/>
      <c r="C348" s="33" t="n"/>
      <c r="D348" s="31" t="n"/>
      <c r="E348" s="35">
        <f>IF(C348="","",IFERROR(INDEX(Pantry!$C$6:$C$305,MATCH(C348,Pantry!$B$6:$B$305,0))&amp;"","Add to Pantry"))</f>
        <v/>
      </c>
      <c r="F348" s="25">
        <f>IF(OR(C348="",E348="Add to Pantry"),"",ROUND(N(D348)*INDEX(Pantry!$N$6:$N$305,MATCH(C348,Pantry!$B$6:$B$305,0)),2))</f>
        <v/>
      </c>
      <c r="G348" s="35">
        <f>IF(OR(B348="",C348=""),"",IFERROR(ROUND(N(D348)*N(INDEX(Recipes!$H$6:$H$105,MATCH(B348,Recipes!$B$6:$B$105,0)))/IF(N(INDEX(Recipes!$D$6:$D$105,MATCH(B348,Recipes!$B$6:$B$105,0)))&gt;0,INDEX(Recipes!$D$6:$D$105,MATCH(B348,Recipes!$B$6:$B$105,0)),1),2),0))</f>
        <v/>
      </c>
      <c r="H348" s="1" t="n"/>
    </row>
    <row r="349">
      <c r="A349" s="1" t="n"/>
      <c r="B349" s="33" t="n"/>
      <c r="C349" s="33" t="n"/>
      <c r="D349" s="31" t="n"/>
      <c r="E349" s="35">
        <f>IF(C349="","",IFERROR(INDEX(Pantry!$C$6:$C$305,MATCH(C349,Pantry!$B$6:$B$305,0))&amp;"","Add to Pantry"))</f>
        <v/>
      </c>
      <c r="F349" s="25">
        <f>IF(OR(C349="",E349="Add to Pantry"),"",ROUND(N(D349)*INDEX(Pantry!$N$6:$N$305,MATCH(C349,Pantry!$B$6:$B$305,0)),2))</f>
        <v/>
      </c>
      <c r="G349" s="35">
        <f>IF(OR(B349="",C349=""),"",IFERROR(ROUND(N(D349)*N(INDEX(Recipes!$H$6:$H$105,MATCH(B349,Recipes!$B$6:$B$105,0)))/IF(N(INDEX(Recipes!$D$6:$D$105,MATCH(B349,Recipes!$B$6:$B$105,0)))&gt;0,INDEX(Recipes!$D$6:$D$105,MATCH(B349,Recipes!$B$6:$B$105,0)),1),2),0))</f>
        <v/>
      </c>
      <c r="H349" s="1" t="n"/>
    </row>
    <row r="350">
      <c r="A350" s="1" t="n"/>
      <c r="B350" s="33" t="n"/>
      <c r="C350" s="33" t="n"/>
      <c r="D350" s="31" t="n"/>
      <c r="E350" s="35">
        <f>IF(C350="","",IFERROR(INDEX(Pantry!$C$6:$C$305,MATCH(C350,Pantry!$B$6:$B$305,0))&amp;"","Add to Pantry"))</f>
        <v/>
      </c>
      <c r="F350" s="25">
        <f>IF(OR(C350="",E350="Add to Pantry"),"",ROUND(N(D350)*INDEX(Pantry!$N$6:$N$305,MATCH(C350,Pantry!$B$6:$B$305,0)),2))</f>
        <v/>
      </c>
      <c r="G350" s="35">
        <f>IF(OR(B350="",C350=""),"",IFERROR(ROUND(N(D350)*N(INDEX(Recipes!$H$6:$H$105,MATCH(B350,Recipes!$B$6:$B$105,0)))/IF(N(INDEX(Recipes!$D$6:$D$105,MATCH(B350,Recipes!$B$6:$B$105,0)))&gt;0,INDEX(Recipes!$D$6:$D$105,MATCH(B350,Recipes!$B$6:$B$105,0)),1),2),0))</f>
        <v/>
      </c>
      <c r="H350" s="1" t="n"/>
    </row>
    <row r="351">
      <c r="A351" s="1" t="n"/>
      <c r="B351" s="33" t="n"/>
      <c r="C351" s="33" t="n"/>
      <c r="D351" s="31" t="n"/>
      <c r="E351" s="35">
        <f>IF(C351="","",IFERROR(INDEX(Pantry!$C$6:$C$305,MATCH(C351,Pantry!$B$6:$B$305,0))&amp;"","Add to Pantry"))</f>
        <v/>
      </c>
      <c r="F351" s="25">
        <f>IF(OR(C351="",E351="Add to Pantry"),"",ROUND(N(D351)*INDEX(Pantry!$N$6:$N$305,MATCH(C351,Pantry!$B$6:$B$305,0)),2))</f>
        <v/>
      </c>
      <c r="G351" s="35">
        <f>IF(OR(B351="",C351=""),"",IFERROR(ROUND(N(D351)*N(INDEX(Recipes!$H$6:$H$105,MATCH(B351,Recipes!$B$6:$B$105,0)))/IF(N(INDEX(Recipes!$D$6:$D$105,MATCH(B351,Recipes!$B$6:$B$105,0)))&gt;0,INDEX(Recipes!$D$6:$D$105,MATCH(B351,Recipes!$B$6:$B$105,0)),1),2),0))</f>
        <v/>
      </c>
      <c r="H351" s="1" t="n"/>
    </row>
    <row r="352">
      <c r="A352" s="1" t="n"/>
      <c r="B352" s="33" t="n"/>
      <c r="C352" s="33" t="n"/>
      <c r="D352" s="31" t="n"/>
      <c r="E352" s="35">
        <f>IF(C352="","",IFERROR(INDEX(Pantry!$C$6:$C$305,MATCH(C352,Pantry!$B$6:$B$305,0))&amp;"","Add to Pantry"))</f>
        <v/>
      </c>
      <c r="F352" s="25">
        <f>IF(OR(C352="",E352="Add to Pantry"),"",ROUND(N(D352)*INDEX(Pantry!$N$6:$N$305,MATCH(C352,Pantry!$B$6:$B$305,0)),2))</f>
        <v/>
      </c>
      <c r="G352" s="35">
        <f>IF(OR(B352="",C352=""),"",IFERROR(ROUND(N(D352)*N(INDEX(Recipes!$H$6:$H$105,MATCH(B352,Recipes!$B$6:$B$105,0)))/IF(N(INDEX(Recipes!$D$6:$D$105,MATCH(B352,Recipes!$B$6:$B$105,0)))&gt;0,INDEX(Recipes!$D$6:$D$105,MATCH(B352,Recipes!$B$6:$B$105,0)),1),2),0))</f>
        <v/>
      </c>
      <c r="H352" s="1" t="n"/>
    </row>
    <row r="353">
      <c r="A353" s="1" t="n"/>
      <c r="B353" s="33" t="n"/>
      <c r="C353" s="33" t="n"/>
      <c r="D353" s="31" t="n"/>
      <c r="E353" s="35">
        <f>IF(C353="","",IFERROR(INDEX(Pantry!$C$6:$C$305,MATCH(C353,Pantry!$B$6:$B$305,0))&amp;"","Add to Pantry"))</f>
        <v/>
      </c>
      <c r="F353" s="25">
        <f>IF(OR(C353="",E353="Add to Pantry"),"",ROUND(N(D353)*INDEX(Pantry!$N$6:$N$305,MATCH(C353,Pantry!$B$6:$B$305,0)),2))</f>
        <v/>
      </c>
      <c r="G353" s="35">
        <f>IF(OR(B353="",C353=""),"",IFERROR(ROUND(N(D353)*N(INDEX(Recipes!$H$6:$H$105,MATCH(B353,Recipes!$B$6:$B$105,0)))/IF(N(INDEX(Recipes!$D$6:$D$105,MATCH(B353,Recipes!$B$6:$B$105,0)))&gt;0,INDEX(Recipes!$D$6:$D$105,MATCH(B353,Recipes!$B$6:$B$105,0)),1),2),0))</f>
        <v/>
      </c>
      <c r="H353" s="1" t="n"/>
    </row>
    <row r="354">
      <c r="A354" s="1" t="n"/>
      <c r="B354" s="33" t="n"/>
      <c r="C354" s="33" t="n"/>
      <c r="D354" s="31" t="n"/>
      <c r="E354" s="35">
        <f>IF(C354="","",IFERROR(INDEX(Pantry!$C$6:$C$305,MATCH(C354,Pantry!$B$6:$B$305,0))&amp;"","Add to Pantry"))</f>
        <v/>
      </c>
      <c r="F354" s="25">
        <f>IF(OR(C354="",E354="Add to Pantry"),"",ROUND(N(D354)*INDEX(Pantry!$N$6:$N$305,MATCH(C354,Pantry!$B$6:$B$305,0)),2))</f>
        <v/>
      </c>
      <c r="G354" s="35">
        <f>IF(OR(B354="",C354=""),"",IFERROR(ROUND(N(D354)*N(INDEX(Recipes!$H$6:$H$105,MATCH(B354,Recipes!$B$6:$B$105,0)))/IF(N(INDEX(Recipes!$D$6:$D$105,MATCH(B354,Recipes!$B$6:$B$105,0)))&gt;0,INDEX(Recipes!$D$6:$D$105,MATCH(B354,Recipes!$B$6:$B$105,0)),1),2),0))</f>
        <v/>
      </c>
      <c r="H354" s="1" t="n"/>
    </row>
    <row r="355">
      <c r="A355" s="1" t="n"/>
      <c r="B355" s="33" t="n"/>
      <c r="C355" s="33" t="n"/>
      <c r="D355" s="31" t="n"/>
      <c r="E355" s="35">
        <f>IF(C355="","",IFERROR(INDEX(Pantry!$C$6:$C$305,MATCH(C355,Pantry!$B$6:$B$305,0))&amp;"","Add to Pantry"))</f>
        <v/>
      </c>
      <c r="F355" s="25">
        <f>IF(OR(C355="",E355="Add to Pantry"),"",ROUND(N(D355)*INDEX(Pantry!$N$6:$N$305,MATCH(C355,Pantry!$B$6:$B$305,0)),2))</f>
        <v/>
      </c>
      <c r="G355" s="35">
        <f>IF(OR(B355="",C355=""),"",IFERROR(ROUND(N(D355)*N(INDEX(Recipes!$H$6:$H$105,MATCH(B355,Recipes!$B$6:$B$105,0)))/IF(N(INDEX(Recipes!$D$6:$D$105,MATCH(B355,Recipes!$B$6:$B$105,0)))&gt;0,INDEX(Recipes!$D$6:$D$105,MATCH(B355,Recipes!$B$6:$B$105,0)),1),2),0))</f>
        <v/>
      </c>
      <c r="H355" s="1" t="n"/>
    </row>
    <row r="356">
      <c r="A356" s="1" t="n"/>
      <c r="B356" s="33" t="n"/>
      <c r="C356" s="33" t="n"/>
      <c r="D356" s="31" t="n"/>
      <c r="E356" s="35">
        <f>IF(C356="","",IFERROR(INDEX(Pantry!$C$6:$C$305,MATCH(C356,Pantry!$B$6:$B$305,0))&amp;"","Add to Pantry"))</f>
        <v/>
      </c>
      <c r="F356" s="25">
        <f>IF(OR(C356="",E356="Add to Pantry"),"",ROUND(N(D356)*INDEX(Pantry!$N$6:$N$305,MATCH(C356,Pantry!$B$6:$B$305,0)),2))</f>
        <v/>
      </c>
      <c r="G356" s="35">
        <f>IF(OR(B356="",C356=""),"",IFERROR(ROUND(N(D356)*N(INDEX(Recipes!$H$6:$H$105,MATCH(B356,Recipes!$B$6:$B$105,0)))/IF(N(INDEX(Recipes!$D$6:$D$105,MATCH(B356,Recipes!$B$6:$B$105,0)))&gt;0,INDEX(Recipes!$D$6:$D$105,MATCH(B356,Recipes!$B$6:$B$105,0)),1),2),0))</f>
        <v/>
      </c>
      <c r="H356" s="1" t="n"/>
    </row>
    <row r="357">
      <c r="A357" s="1" t="n"/>
      <c r="B357" s="33" t="n"/>
      <c r="C357" s="33" t="n"/>
      <c r="D357" s="31" t="n"/>
      <c r="E357" s="35">
        <f>IF(C357="","",IFERROR(INDEX(Pantry!$C$6:$C$305,MATCH(C357,Pantry!$B$6:$B$305,0))&amp;"","Add to Pantry"))</f>
        <v/>
      </c>
      <c r="F357" s="25">
        <f>IF(OR(C357="",E357="Add to Pantry"),"",ROUND(N(D357)*INDEX(Pantry!$N$6:$N$305,MATCH(C357,Pantry!$B$6:$B$305,0)),2))</f>
        <v/>
      </c>
      <c r="G357" s="35">
        <f>IF(OR(B357="",C357=""),"",IFERROR(ROUND(N(D357)*N(INDEX(Recipes!$H$6:$H$105,MATCH(B357,Recipes!$B$6:$B$105,0)))/IF(N(INDEX(Recipes!$D$6:$D$105,MATCH(B357,Recipes!$B$6:$B$105,0)))&gt;0,INDEX(Recipes!$D$6:$D$105,MATCH(B357,Recipes!$B$6:$B$105,0)),1),2),0))</f>
        <v/>
      </c>
      <c r="H357" s="1" t="n"/>
    </row>
    <row r="358">
      <c r="A358" s="1" t="n"/>
      <c r="B358" s="33" t="n"/>
      <c r="C358" s="33" t="n"/>
      <c r="D358" s="31" t="n"/>
      <c r="E358" s="35">
        <f>IF(C358="","",IFERROR(INDEX(Pantry!$C$6:$C$305,MATCH(C358,Pantry!$B$6:$B$305,0))&amp;"","Add to Pantry"))</f>
        <v/>
      </c>
      <c r="F358" s="25">
        <f>IF(OR(C358="",E358="Add to Pantry"),"",ROUND(N(D358)*INDEX(Pantry!$N$6:$N$305,MATCH(C358,Pantry!$B$6:$B$305,0)),2))</f>
        <v/>
      </c>
      <c r="G358" s="35">
        <f>IF(OR(B358="",C358=""),"",IFERROR(ROUND(N(D358)*N(INDEX(Recipes!$H$6:$H$105,MATCH(B358,Recipes!$B$6:$B$105,0)))/IF(N(INDEX(Recipes!$D$6:$D$105,MATCH(B358,Recipes!$B$6:$B$105,0)))&gt;0,INDEX(Recipes!$D$6:$D$105,MATCH(B358,Recipes!$B$6:$B$105,0)),1),2),0))</f>
        <v/>
      </c>
      <c r="H358" s="1" t="n"/>
    </row>
    <row r="359">
      <c r="A359" s="1" t="n"/>
      <c r="B359" s="33" t="n"/>
      <c r="C359" s="33" t="n"/>
      <c r="D359" s="31" t="n"/>
      <c r="E359" s="35">
        <f>IF(C359="","",IFERROR(INDEX(Pantry!$C$6:$C$305,MATCH(C359,Pantry!$B$6:$B$305,0))&amp;"","Add to Pantry"))</f>
        <v/>
      </c>
      <c r="F359" s="25">
        <f>IF(OR(C359="",E359="Add to Pantry"),"",ROUND(N(D359)*INDEX(Pantry!$N$6:$N$305,MATCH(C359,Pantry!$B$6:$B$305,0)),2))</f>
        <v/>
      </c>
      <c r="G359" s="35">
        <f>IF(OR(B359="",C359=""),"",IFERROR(ROUND(N(D359)*N(INDEX(Recipes!$H$6:$H$105,MATCH(B359,Recipes!$B$6:$B$105,0)))/IF(N(INDEX(Recipes!$D$6:$D$105,MATCH(B359,Recipes!$B$6:$B$105,0)))&gt;0,INDEX(Recipes!$D$6:$D$105,MATCH(B359,Recipes!$B$6:$B$105,0)),1),2),0))</f>
        <v/>
      </c>
      <c r="H359" s="1" t="n"/>
    </row>
    <row r="360">
      <c r="A360" s="1" t="n"/>
      <c r="B360" s="33" t="n"/>
      <c r="C360" s="33" t="n"/>
      <c r="D360" s="31" t="n"/>
      <c r="E360" s="35">
        <f>IF(C360="","",IFERROR(INDEX(Pantry!$C$6:$C$305,MATCH(C360,Pantry!$B$6:$B$305,0))&amp;"","Add to Pantry"))</f>
        <v/>
      </c>
      <c r="F360" s="25">
        <f>IF(OR(C360="",E360="Add to Pantry"),"",ROUND(N(D360)*INDEX(Pantry!$N$6:$N$305,MATCH(C360,Pantry!$B$6:$B$305,0)),2))</f>
        <v/>
      </c>
      <c r="G360" s="35">
        <f>IF(OR(B360="",C360=""),"",IFERROR(ROUND(N(D360)*N(INDEX(Recipes!$H$6:$H$105,MATCH(B360,Recipes!$B$6:$B$105,0)))/IF(N(INDEX(Recipes!$D$6:$D$105,MATCH(B360,Recipes!$B$6:$B$105,0)))&gt;0,INDEX(Recipes!$D$6:$D$105,MATCH(B360,Recipes!$B$6:$B$105,0)),1),2),0))</f>
        <v/>
      </c>
      <c r="H360" s="1" t="n"/>
    </row>
    <row r="361">
      <c r="A361" s="1" t="n"/>
      <c r="B361" s="33" t="n"/>
      <c r="C361" s="33" t="n"/>
      <c r="D361" s="31" t="n"/>
      <c r="E361" s="35">
        <f>IF(C361="","",IFERROR(INDEX(Pantry!$C$6:$C$305,MATCH(C361,Pantry!$B$6:$B$305,0))&amp;"","Add to Pantry"))</f>
        <v/>
      </c>
      <c r="F361" s="25">
        <f>IF(OR(C361="",E361="Add to Pantry"),"",ROUND(N(D361)*INDEX(Pantry!$N$6:$N$305,MATCH(C361,Pantry!$B$6:$B$305,0)),2))</f>
        <v/>
      </c>
      <c r="G361" s="35">
        <f>IF(OR(B361="",C361=""),"",IFERROR(ROUND(N(D361)*N(INDEX(Recipes!$H$6:$H$105,MATCH(B361,Recipes!$B$6:$B$105,0)))/IF(N(INDEX(Recipes!$D$6:$D$105,MATCH(B361,Recipes!$B$6:$B$105,0)))&gt;0,INDEX(Recipes!$D$6:$D$105,MATCH(B361,Recipes!$B$6:$B$105,0)),1),2),0))</f>
        <v/>
      </c>
      <c r="H361" s="1" t="n"/>
    </row>
    <row r="362">
      <c r="A362" s="1" t="n"/>
      <c r="B362" s="33" t="n"/>
      <c r="C362" s="33" t="n"/>
      <c r="D362" s="31" t="n"/>
      <c r="E362" s="35">
        <f>IF(C362="","",IFERROR(INDEX(Pantry!$C$6:$C$305,MATCH(C362,Pantry!$B$6:$B$305,0))&amp;"","Add to Pantry"))</f>
        <v/>
      </c>
      <c r="F362" s="25">
        <f>IF(OR(C362="",E362="Add to Pantry"),"",ROUND(N(D362)*INDEX(Pantry!$N$6:$N$305,MATCH(C362,Pantry!$B$6:$B$305,0)),2))</f>
        <v/>
      </c>
      <c r="G362" s="35">
        <f>IF(OR(B362="",C362=""),"",IFERROR(ROUND(N(D362)*N(INDEX(Recipes!$H$6:$H$105,MATCH(B362,Recipes!$B$6:$B$105,0)))/IF(N(INDEX(Recipes!$D$6:$D$105,MATCH(B362,Recipes!$B$6:$B$105,0)))&gt;0,INDEX(Recipes!$D$6:$D$105,MATCH(B362,Recipes!$B$6:$B$105,0)),1),2),0))</f>
        <v/>
      </c>
      <c r="H362" s="1" t="n"/>
    </row>
    <row r="363">
      <c r="A363" s="1" t="n"/>
      <c r="B363" s="33" t="n"/>
      <c r="C363" s="33" t="n"/>
      <c r="D363" s="31" t="n"/>
      <c r="E363" s="35">
        <f>IF(C363="","",IFERROR(INDEX(Pantry!$C$6:$C$305,MATCH(C363,Pantry!$B$6:$B$305,0))&amp;"","Add to Pantry"))</f>
        <v/>
      </c>
      <c r="F363" s="25">
        <f>IF(OR(C363="",E363="Add to Pantry"),"",ROUND(N(D363)*INDEX(Pantry!$N$6:$N$305,MATCH(C363,Pantry!$B$6:$B$305,0)),2))</f>
        <v/>
      </c>
      <c r="G363" s="35">
        <f>IF(OR(B363="",C363=""),"",IFERROR(ROUND(N(D363)*N(INDEX(Recipes!$H$6:$H$105,MATCH(B363,Recipes!$B$6:$B$105,0)))/IF(N(INDEX(Recipes!$D$6:$D$105,MATCH(B363,Recipes!$B$6:$B$105,0)))&gt;0,INDEX(Recipes!$D$6:$D$105,MATCH(B363,Recipes!$B$6:$B$105,0)),1),2),0))</f>
        <v/>
      </c>
      <c r="H363" s="1" t="n"/>
    </row>
    <row r="364">
      <c r="A364" s="1" t="n"/>
      <c r="B364" s="33" t="n"/>
      <c r="C364" s="33" t="n"/>
      <c r="D364" s="31" t="n"/>
      <c r="E364" s="35">
        <f>IF(C364="","",IFERROR(INDEX(Pantry!$C$6:$C$305,MATCH(C364,Pantry!$B$6:$B$305,0))&amp;"","Add to Pantry"))</f>
        <v/>
      </c>
      <c r="F364" s="25">
        <f>IF(OR(C364="",E364="Add to Pantry"),"",ROUND(N(D364)*INDEX(Pantry!$N$6:$N$305,MATCH(C364,Pantry!$B$6:$B$305,0)),2))</f>
        <v/>
      </c>
      <c r="G364" s="35">
        <f>IF(OR(B364="",C364=""),"",IFERROR(ROUND(N(D364)*N(INDEX(Recipes!$H$6:$H$105,MATCH(B364,Recipes!$B$6:$B$105,0)))/IF(N(INDEX(Recipes!$D$6:$D$105,MATCH(B364,Recipes!$B$6:$B$105,0)))&gt;0,INDEX(Recipes!$D$6:$D$105,MATCH(B364,Recipes!$B$6:$B$105,0)),1),2),0))</f>
        <v/>
      </c>
      <c r="H364" s="1" t="n"/>
    </row>
    <row r="365">
      <c r="A365" s="1" t="n"/>
      <c r="B365" s="33" t="n"/>
      <c r="C365" s="33" t="n"/>
      <c r="D365" s="31" t="n"/>
      <c r="E365" s="35">
        <f>IF(C365="","",IFERROR(INDEX(Pantry!$C$6:$C$305,MATCH(C365,Pantry!$B$6:$B$305,0))&amp;"","Add to Pantry"))</f>
        <v/>
      </c>
      <c r="F365" s="25">
        <f>IF(OR(C365="",E365="Add to Pantry"),"",ROUND(N(D365)*INDEX(Pantry!$N$6:$N$305,MATCH(C365,Pantry!$B$6:$B$305,0)),2))</f>
        <v/>
      </c>
      <c r="G365" s="35">
        <f>IF(OR(B365="",C365=""),"",IFERROR(ROUND(N(D365)*N(INDEX(Recipes!$H$6:$H$105,MATCH(B365,Recipes!$B$6:$B$105,0)))/IF(N(INDEX(Recipes!$D$6:$D$105,MATCH(B365,Recipes!$B$6:$B$105,0)))&gt;0,INDEX(Recipes!$D$6:$D$105,MATCH(B365,Recipes!$B$6:$B$105,0)),1),2),0))</f>
        <v/>
      </c>
      <c r="H365" s="1" t="n"/>
    </row>
    <row r="366">
      <c r="A366" s="1" t="n"/>
      <c r="B366" s="33" t="n"/>
      <c r="C366" s="33" t="n"/>
      <c r="D366" s="31" t="n"/>
      <c r="E366" s="35">
        <f>IF(C366="","",IFERROR(INDEX(Pantry!$C$6:$C$305,MATCH(C366,Pantry!$B$6:$B$305,0))&amp;"","Add to Pantry"))</f>
        <v/>
      </c>
      <c r="F366" s="25">
        <f>IF(OR(C366="",E366="Add to Pantry"),"",ROUND(N(D366)*INDEX(Pantry!$N$6:$N$305,MATCH(C366,Pantry!$B$6:$B$305,0)),2))</f>
        <v/>
      </c>
      <c r="G366" s="35">
        <f>IF(OR(B366="",C366=""),"",IFERROR(ROUND(N(D366)*N(INDEX(Recipes!$H$6:$H$105,MATCH(B366,Recipes!$B$6:$B$105,0)))/IF(N(INDEX(Recipes!$D$6:$D$105,MATCH(B366,Recipes!$B$6:$B$105,0)))&gt;0,INDEX(Recipes!$D$6:$D$105,MATCH(B366,Recipes!$B$6:$B$105,0)),1),2),0))</f>
        <v/>
      </c>
      <c r="H366" s="1" t="n"/>
    </row>
    <row r="367">
      <c r="A367" s="1" t="n"/>
      <c r="B367" s="33" t="n"/>
      <c r="C367" s="33" t="n"/>
      <c r="D367" s="31" t="n"/>
      <c r="E367" s="35">
        <f>IF(C367="","",IFERROR(INDEX(Pantry!$C$6:$C$305,MATCH(C367,Pantry!$B$6:$B$305,0))&amp;"","Add to Pantry"))</f>
        <v/>
      </c>
      <c r="F367" s="25">
        <f>IF(OR(C367="",E367="Add to Pantry"),"",ROUND(N(D367)*INDEX(Pantry!$N$6:$N$305,MATCH(C367,Pantry!$B$6:$B$305,0)),2))</f>
        <v/>
      </c>
      <c r="G367" s="35">
        <f>IF(OR(B367="",C367=""),"",IFERROR(ROUND(N(D367)*N(INDEX(Recipes!$H$6:$H$105,MATCH(B367,Recipes!$B$6:$B$105,0)))/IF(N(INDEX(Recipes!$D$6:$D$105,MATCH(B367,Recipes!$B$6:$B$105,0)))&gt;0,INDEX(Recipes!$D$6:$D$105,MATCH(B367,Recipes!$B$6:$B$105,0)),1),2),0))</f>
        <v/>
      </c>
      <c r="H367" s="1" t="n"/>
    </row>
    <row r="368">
      <c r="A368" s="1" t="n"/>
      <c r="B368" s="33" t="n"/>
      <c r="C368" s="33" t="n"/>
      <c r="D368" s="31" t="n"/>
      <c r="E368" s="35">
        <f>IF(C368="","",IFERROR(INDEX(Pantry!$C$6:$C$305,MATCH(C368,Pantry!$B$6:$B$305,0))&amp;"","Add to Pantry"))</f>
        <v/>
      </c>
      <c r="F368" s="25">
        <f>IF(OR(C368="",E368="Add to Pantry"),"",ROUND(N(D368)*INDEX(Pantry!$N$6:$N$305,MATCH(C368,Pantry!$B$6:$B$305,0)),2))</f>
        <v/>
      </c>
      <c r="G368" s="35">
        <f>IF(OR(B368="",C368=""),"",IFERROR(ROUND(N(D368)*N(INDEX(Recipes!$H$6:$H$105,MATCH(B368,Recipes!$B$6:$B$105,0)))/IF(N(INDEX(Recipes!$D$6:$D$105,MATCH(B368,Recipes!$B$6:$B$105,0)))&gt;0,INDEX(Recipes!$D$6:$D$105,MATCH(B368,Recipes!$B$6:$B$105,0)),1),2),0))</f>
        <v/>
      </c>
      <c r="H368" s="1" t="n"/>
    </row>
    <row r="369">
      <c r="A369" s="1" t="n"/>
      <c r="B369" s="33" t="n"/>
      <c r="C369" s="33" t="n"/>
      <c r="D369" s="31" t="n"/>
      <c r="E369" s="35">
        <f>IF(C369="","",IFERROR(INDEX(Pantry!$C$6:$C$305,MATCH(C369,Pantry!$B$6:$B$305,0))&amp;"","Add to Pantry"))</f>
        <v/>
      </c>
      <c r="F369" s="25">
        <f>IF(OR(C369="",E369="Add to Pantry"),"",ROUND(N(D369)*INDEX(Pantry!$N$6:$N$305,MATCH(C369,Pantry!$B$6:$B$305,0)),2))</f>
        <v/>
      </c>
      <c r="G369" s="35">
        <f>IF(OR(B369="",C369=""),"",IFERROR(ROUND(N(D369)*N(INDEX(Recipes!$H$6:$H$105,MATCH(B369,Recipes!$B$6:$B$105,0)))/IF(N(INDEX(Recipes!$D$6:$D$105,MATCH(B369,Recipes!$B$6:$B$105,0)))&gt;0,INDEX(Recipes!$D$6:$D$105,MATCH(B369,Recipes!$B$6:$B$105,0)),1),2),0))</f>
        <v/>
      </c>
      <c r="H369" s="1" t="n"/>
    </row>
    <row r="370">
      <c r="A370" s="1" t="n"/>
      <c r="B370" s="33" t="n"/>
      <c r="C370" s="33" t="n"/>
      <c r="D370" s="31" t="n"/>
      <c r="E370" s="35">
        <f>IF(C370="","",IFERROR(INDEX(Pantry!$C$6:$C$305,MATCH(C370,Pantry!$B$6:$B$305,0))&amp;"","Add to Pantry"))</f>
        <v/>
      </c>
      <c r="F370" s="25">
        <f>IF(OR(C370="",E370="Add to Pantry"),"",ROUND(N(D370)*INDEX(Pantry!$N$6:$N$305,MATCH(C370,Pantry!$B$6:$B$305,0)),2))</f>
        <v/>
      </c>
      <c r="G370" s="35">
        <f>IF(OR(B370="",C370=""),"",IFERROR(ROUND(N(D370)*N(INDEX(Recipes!$H$6:$H$105,MATCH(B370,Recipes!$B$6:$B$105,0)))/IF(N(INDEX(Recipes!$D$6:$D$105,MATCH(B370,Recipes!$B$6:$B$105,0)))&gt;0,INDEX(Recipes!$D$6:$D$105,MATCH(B370,Recipes!$B$6:$B$105,0)),1),2),0))</f>
        <v/>
      </c>
      <c r="H370" s="1" t="n"/>
    </row>
    <row r="371">
      <c r="A371" s="1" t="n"/>
      <c r="B371" s="33" t="n"/>
      <c r="C371" s="33" t="n"/>
      <c r="D371" s="31" t="n"/>
      <c r="E371" s="35">
        <f>IF(C371="","",IFERROR(INDEX(Pantry!$C$6:$C$305,MATCH(C371,Pantry!$B$6:$B$305,0))&amp;"","Add to Pantry"))</f>
        <v/>
      </c>
      <c r="F371" s="25">
        <f>IF(OR(C371="",E371="Add to Pantry"),"",ROUND(N(D371)*INDEX(Pantry!$N$6:$N$305,MATCH(C371,Pantry!$B$6:$B$305,0)),2))</f>
        <v/>
      </c>
      <c r="G371" s="35">
        <f>IF(OR(B371="",C371=""),"",IFERROR(ROUND(N(D371)*N(INDEX(Recipes!$H$6:$H$105,MATCH(B371,Recipes!$B$6:$B$105,0)))/IF(N(INDEX(Recipes!$D$6:$D$105,MATCH(B371,Recipes!$B$6:$B$105,0)))&gt;0,INDEX(Recipes!$D$6:$D$105,MATCH(B371,Recipes!$B$6:$B$105,0)),1),2),0))</f>
        <v/>
      </c>
      <c r="H371" s="1" t="n"/>
    </row>
    <row r="372">
      <c r="A372" s="1" t="n"/>
      <c r="B372" s="33" t="n"/>
      <c r="C372" s="33" t="n"/>
      <c r="D372" s="31" t="n"/>
      <c r="E372" s="35">
        <f>IF(C372="","",IFERROR(INDEX(Pantry!$C$6:$C$305,MATCH(C372,Pantry!$B$6:$B$305,0))&amp;"","Add to Pantry"))</f>
        <v/>
      </c>
      <c r="F372" s="25">
        <f>IF(OR(C372="",E372="Add to Pantry"),"",ROUND(N(D372)*INDEX(Pantry!$N$6:$N$305,MATCH(C372,Pantry!$B$6:$B$305,0)),2))</f>
        <v/>
      </c>
      <c r="G372" s="35">
        <f>IF(OR(B372="",C372=""),"",IFERROR(ROUND(N(D372)*N(INDEX(Recipes!$H$6:$H$105,MATCH(B372,Recipes!$B$6:$B$105,0)))/IF(N(INDEX(Recipes!$D$6:$D$105,MATCH(B372,Recipes!$B$6:$B$105,0)))&gt;0,INDEX(Recipes!$D$6:$D$105,MATCH(B372,Recipes!$B$6:$B$105,0)),1),2),0))</f>
        <v/>
      </c>
      <c r="H372" s="1" t="n"/>
    </row>
    <row r="373">
      <c r="A373" s="1" t="n"/>
      <c r="B373" s="33" t="n"/>
      <c r="C373" s="33" t="n"/>
      <c r="D373" s="31" t="n"/>
      <c r="E373" s="35">
        <f>IF(C373="","",IFERROR(INDEX(Pantry!$C$6:$C$305,MATCH(C373,Pantry!$B$6:$B$305,0))&amp;"","Add to Pantry"))</f>
        <v/>
      </c>
      <c r="F373" s="25">
        <f>IF(OR(C373="",E373="Add to Pantry"),"",ROUND(N(D373)*INDEX(Pantry!$N$6:$N$305,MATCH(C373,Pantry!$B$6:$B$305,0)),2))</f>
        <v/>
      </c>
      <c r="G373" s="35">
        <f>IF(OR(B373="",C373=""),"",IFERROR(ROUND(N(D373)*N(INDEX(Recipes!$H$6:$H$105,MATCH(B373,Recipes!$B$6:$B$105,0)))/IF(N(INDEX(Recipes!$D$6:$D$105,MATCH(B373,Recipes!$B$6:$B$105,0)))&gt;0,INDEX(Recipes!$D$6:$D$105,MATCH(B373,Recipes!$B$6:$B$105,0)),1),2),0))</f>
        <v/>
      </c>
      <c r="H373" s="1" t="n"/>
    </row>
    <row r="374">
      <c r="A374" s="1" t="n"/>
      <c r="B374" s="33" t="n"/>
      <c r="C374" s="33" t="n"/>
      <c r="D374" s="31" t="n"/>
      <c r="E374" s="35">
        <f>IF(C374="","",IFERROR(INDEX(Pantry!$C$6:$C$305,MATCH(C374,Pantry!$B$6:$B$305,0))&amp;"","Add to Pantry"))</f>
        <v/>
      </c>
      <c r="F374" s="25">
        <f>IF(OR(C374="",E374="Add to Pantry"),"",ROUND(N(D374)*INDEX(Pantry!$N$6:$N$305,MATCH(C374,Pantry!$B$6:$B$305,0)),2))</f>
        <v/>
      </c>
      <c r="G374" s="35">
        <f>IF(OR(B374="",C374=""),"",IFERROR(ROUND(N(D374)*N(INDEX(Recipes!$H$6:$H$105,MATCH(B374,Recipes!$B$6:$B$105,0)))/IF(N(INDEX(Recipes!$D$6:$D$105,MATCH(B374,Recipes!$B$6:$B$105,0)))&gt;0,INDEX(Recipes!$D$6:$D$105,MATCH(B374,Recipes!$B$6:$B$105,0)),1),2),0))</f>
        <v/>
      </c>
      <c r="H374" s="1" t="n"/>
    </row>
    <row r="375">
      <c r="A375" s="1" t="n"/>
      <c r="B375" s="33" t="n"/>
      <c r="C375" s="33" t="n"/>
      <c r="D375" s="31" t="n"/>
      <c r="E375" s="35">
        <f>IF(C375="","",IFERROR(INDEX(Pantry!$C$6:$C$305,MATCH(C375,Pantry!$B$6:$B$305,0))&amp;"","Add to Pantry"))</f>
        <v/>
      </c>
      <c r="F375" s="25">
        <f>IF(OR(C375="",E375="Add to Pantry"),"",ROUND(N(D375)*INDEX(Pantry!$N$6:$N$305,MATCH(C375,Pantry!$B$6:$B$305,0)),2))</f>
        <v/>
      </c>
      <c r="G375" s="35">
        <f>IF(OR(B375="",C375=""),"",IFERROR(ROUND(N(D375)*N(INDEX(Recipes!$H$6:$H$105,MATCH(B375,Recipes!$B$6:$B$105,0)))/IF(N(INDEX(Recipes!$D$6:$D$105,MATCH(B375,Recipes!$B$6:$B$105,0)))&gt;0,INDEX(Recipes!$D$6:$D$105,MATCH(B375,Recipes!$B$6:$B$105,0)),1),2),0))</f>
        <v/>
      </c>
      <c r="H375" s="1" t="n"/>
    </row>
    <row r="376">
      <c r="A376" s="1" t="n"/>
      <c r="B376" s="33" t="n"/>
      <c r="C376" s="33" t="n"/>
      <c r="D376" s="31" t="n"/>
      <c r="E376" s="35">
        <f>IF(C376="","",IFERROR(INDEX(Pantry!$C$6:$C$305,MATCH(C376,Pantry!$B$6:$B$305,0))&amp;"","Add to Pantry"))</f>
        <v/>
      </c>
      <c r="F376" s="25">
        <f>IF(OR(C376="",E376="Add to Pantry"),"",ROUND(N(D376)*INDEX(Pantry!$N$6:$N$305,MATCH(C376,Pantry!$B$6:$B$305,0)),2))</f>
        <v/>
      </c>
      <c r="G376" s="35">
        <f>IF(OR(B376="",C376=""),"",IFERROR(ROUND(N(D376)*N(INDEX(Recipes!$H$6:$H$105,MATCH(B376,Recipes!$B$6:$B$105,0)))/IF(N(INDEX(Recipes!$D$6:$D$105,MATCH(B376,Recipes!$B$6:$B$105,0)))&gt;0,INDEX(Recipes!$D$6:$D$105,MATCH(B376,Recipes!$B$6:$B$105,0)),1),2),0))</f>
        <v/>
      </c>
      <c r="H376" s="1" t="n"/>
    </row>
    <row r="377">
      <c r="A377" s="1" t="n"/>
      <c r="B377" s="33" t="n"/>
      <c r="C377" s="33" t="n"/>
      <c r="D377" s="31" t="n"/>
      <c r="E377" s="35">
        <f>IF(C377="","",IFERROR(INDEX(Pantry!$C$6:$C$305,MATCH(C377,Pantry!$B$6:$B$305,0))&amp;"","Add to Pantry"))</f>
        <v/>
      </c>
      <c r="F377" s="25">
        <f>IF(OR(C377="",E377="Add to Pantry"),"",ROUND(N(D377)*INDEX(Pantry!$N$6:$N$305,MATCH(C377,Pantry!$B$6:$B$305,0)),2))</f>
        <v/>
      </c>
      <c r="G377" s="35">
        <f>IF(OR(B377="",C377=""),"",IFERROR(ROUND(N(D377)*N(INDEX(Recipes!$H$6:$H$105,MATCH(B377,Recipes!$B$6:$B$105,0)))/IF(N(INDEX(Recipes!$D$6:$D$105,MATCH(B377,Recipes!$B$6:$B$105,0)))&gt;0,INDEX(Recipes!$D$6:$D$105,MATCH(B377,Recipes!$B$6:$B$105,0)),1),2),0))</f>
        <v/>
      </c>
      <c r="H377" s="1" t="n"/>
    </row>
    <row r="378">
      <c r="A378" s="1" t="n"/>
      <c r="B378" s="33" t="n"/>
      <c r="C378" s="33" t="n"/>
      <c r="D378" s="31" t="n"/>
      <c r="E378" s="35">
        <f>IF(C378="","",IFERROR(INDEX(Pantry!$C$6:$C$305,MATCH(C378,Pantry!$B$6:$B$305,0))&amp;"","Add to Pantry"))</f>
        <v/>
      </c>
      <c r="F378" s="25">
        <f>IF(OR(C378="",E378="Add to Pantry"),"",ROUND(N(D378)*INDEX(Pantry!$N$6:$N$305,MATCH(C378,Pantry!$B$6:$B$305,0)),2))</f>
        <v/>
      </c>
      <c r="G378" s="35">
        <f>IF(OR(B378="",C378=""),"",IFERROR(ROUND(N(D378)*N(INDEX(Recipes!$H$6:$H$105,MATCH(B378,Recipes!$B$6:$B$105,0)))/IF(N(INDEX(Recipes!$D$6:$D$105,MATCH(B378,Recipes!$B$6:$B$105,0)))&gt;0,INDEX(Recipes!$D$6:$D$105,MATCH(B378,Recipes!$B$6:$B$105,0)),1),2),0))</f>
        <v/>
      </c>
      <c r="H378" s="1" t="n"/>
    </row>
    <row r="379">
      <c r="A379" s="1" t="n"/>
      <c r="B379" s="33" t="n"/>
      <c r="C379" s="33" t="n"/>
      <c r="D379" s="31" t="n"/>
      <c r="E379" s="35">
        <f>IF(C379="","",IFERROR(INDEX(Pantry!$C$6:$C$305,MATCH(C379,Pantry!$B$6:$B$305,0))&amp;"","Add to Pantry"))</f>
        <v/>
      </c>
      <c r="F379" s="25">
        <f>IF(OR(C379="",E379="Add to Pantry"),"",ROUND(N(D379)*INDEX(Pantry!$N$6:$N$305,MATCH(C379,Pantry!$B$6:$B$305,0)),2))</f>
        <v/>
      </c>
      <c r="G379" s="35">
        <f>IF(OR(B379="",C379=""),"",IFERROR(ROUND(N(D379)*N(INDEX(Recipes!$H$6:$H$105,MATCH(B379,Recipes!$B$6:$B$105,0)))/IF(N(INDEX(Recipes!$D$6:$D$105,MATCH(B379,Recipes!$B$6:$B$105,0)))&gt;0,INDEX(Recipes!$D$6:$D$105,MATCH(B379,Recipes!$B$6:$B$105,0)),1),2),0))</f>
        <v/>
      </c>
      <c r="H379" s="1" t="n"/>
    </row>
    <row r="380">
      <c r="A380" s="1" t="n"/>
      <c r="B380" s="33" t="n"/>
      <c r="C380" s="33" t="n"/>
      <c r="D380" s="31" t="n"/>
      <c r="E380" s="35">
        <f>IF(C380="","",IFERROR(INDEX(Pantry!$C$6:$C$305,MATCH(C380,Pantry!$B$6:$B$305,0))&amp;"","Add to Pantry"))</f>
        <v/>
      </c>
      <c r="F380" s="25">
        <f>IF(OR(C380="",E380="Add to Pantry"),"",ROUND(N(D380)*INDEX(Pantry!$N$6:$N$305,MATCH(C380,Pantry!$B$6:$B$305,0)),2))</f>
        <v/>
      </c>
      <c r="G380" s="35">
        <f>IF(OR(B380="",C380=""),"",IFERROR(ROUND(N(D380)*N(INDEX(Recipes!$H$6:$H$105,MATCH(B380,Recipes!$B$6:$B$105,0)))/IF(N(INDEX(Recipes!$D$6:$D$105,MATCH(B380,Recipes!$B$6:$B$105,0)))&gt;0,INDEX(Recipes!$D$6:$D$105,MATCH(B380,Recipes!$B$6:$B$105,0)),1),2),0))</f>
        <v/>
      </c>
      <c r="H380" s="1" t="n"/>
    </row>
    <row r="381">
      <c r="A381" s="1" t="n"/>
      <c r="B381" s="33" t="n"/>
      <c r="C381" s="33" t="n"/>
      <c r="D381" s="31" t="n"/>
      <c r="E381" s="35">
        <f>IF(C381="","",IFERROR(INDEX(Pantry!$C$6:$C$305,MATCH(C381,Pantry!$B$6:$B$305,0))&amp;"","Add to Pantry"))</f>
        <v/>
      </c>
      <c r="F381" s="25">
        <f>IF(OR(C381="",E381="Add to Pantry"),"",ROUND(N(D381)*INDEX(Pantry!$N$6:$N$305,MATCH(C381,Pantry!$B$6:$B$305,0)),2))</f>
        <v/>
      </c>
      <c r="G381" s="35">
        <f>IF(OR(B381="",C381=""),"",IFERROR(ROUND(N(D381)*N(INDEX(Recipes!$H$6:$H$105,MATCH(B381,Recipes!$B$6:$B$105,0)))/IF(N(INDEX(Recipes!$D$6:$D$105,MATCH(B381,Recipes!$B$6:$B$105,0)))&gt;0,INDEX(Recipes!$D$6:$D$105,MATCH(B381,Recipes!$B$6:$B$105,0)),1),2),0))</f>
        <v/>
      </c>
      <c r="H381" s="1" t="n"/>
    </row>
    <row r="382">
      <c r="A382" s="1" t="n"/>
      <c r="B382" s="33" t="n"/>
      <c r="C382" s="33" t="n"/>
      <c r="D382" s="31" t="n"/>
      <c r="E382" s="35">
        <f>IF(C382="","",IFERROR(INDEX(Pantry!$C$6:$C$305,MATCH(C382,Pantry!$B$6:$B$305,0))&amp;"","Add to Pantry"))</f>
        <v/>
      </c>
      <c r="F382" s="25">
        <f>IF(OR(C382="",E382="Add to Pantry"),"",ROUND(N(D382)*INDEX(Pantry!$N$6:$N$305,MATCH(C382,Pantry!$B$6:$B$305,0)),2))</f>
        <v/>
      </c>
      <c r="G382" s="35">
        <f>IF(OR(B382="",C382=""),"",IFERROR(ROUND(N(D382)*N(INDEX(Recipes!$H$6:$H$105,MATCH(B382,Recipes!$B$6:$B$105,0)))/IF(N(INDEX(Recipes!$D$6:$D$105,MATCH(B382,Recipes!$B$6:$B$105,0)))&gt;0,INDEX(Recipes!$D$6:$D$105,MATCH(B382,Recipes!$B$6:$B$105,0)),1),2),0))</f>
        <v/>
      </c>
      <c r="H382" s="1" t="n"/>
    </row>
    <row r="383">
      <c r="A383" s="1" t="n"/>
      <c r="B383" s="33" t="n"/>
      <c r="C383" s="33" t="n"/>
      <c r="D383" s="31" t="n"/>
      <c r="E383" s="35">
        <f>IF(C383="","",IFERROR(INDEX(Pantry!$C$6:$C$305,MATCH(C383,Pantry!$B$6:$B$305,0))&amp;"","Add to Pantry"))</f>
        <v/>
      </c>
      <c r="F383" s="25">
        <f>IF(OR(C383="",E383="Add to Pantry"),"",ROUND(N(D383)*INDEX(Pantry!$N$6:$N$305,MATCH(C383,Pantry!$B$6:$B$305,0)),2))</f>
        <v/>
      </c>
      <c r="G383" s="35">
        <f>IF(OR(B383="",C383=""),"",IFERROR(ROUND(N(D383)*N(INDEX(Recipes!$H$6:$H$105,MATCH(B383,Recipes!$B$6:$B$105,0)))/IF(N(INDEX(Recipes!$D$6:$D$105,MATCH(B383,Recipes!$B$6:$B$105,0)))&gt;0,INDEX(Recipes!$D$6:$D$105,MATCH(B383,Recipes!$B$6:$B$105,0)),1),2),0))</f>
        <v/>
      </c>
      <c r="H383" s="1" t="n"/>
    </row>
    <row r="384">
      <c r="A384" s="1" t="n"/>
      <c r="B384" s="33" t="n"/>
      <c r="C384" s="33" t="n"/>
      <c r="D384" s="31" t="n"/>
      <c r="E384" s="35">
        <f>IF(C384="","",IFERROR(INDEX(Pantry!$C$6:$C$305,MATCH(C384,Pantry!$B$6:$B$305,0))&amp;"","Add to Pantry"))</f>
        <v/>
      </c>
      <c r="F384" s="25">
        <f>IF(OR(C384="",E384="Add to Pantry"),"",ROUND(N(D384)*INDEX(Pantry!$N$6:$N$305,MATCH(C384,Pantry!$B$6:$B$305,0)),2))</f>
        <v/>
      </c>
      <c r="G384" s="35">
        <f>IF(OR(B384="",C384=""),"",IFERROR(ROUND(N(D384)*N(INDEX(Recipes!$H$6:$H$105,MATCH(B384,Recipes!$B$6:$B$105,0)))/IF(N(INDEX(Recipes!$D$6:$D$105,MATCH(B384,Recipes!$B$6:$B$105,0)))&gt;0,INDEX(Recipes!$D$6:$D$105,MATCH(B384,Recipes!$B$6:$B$105,0)),1),2),0))</f>
        <v/>
      </c>
      <c r="H384" s="1" t="n"/>
    </row>
    <row r="385">
      <c r="A385" s="1" t="n"/>
      <c r="B385" s="33" t="n"/>
      <c r="C385" s="33" t="n"/>
      <c r="D385" s="31" t="n"/>
      <c r="E385" s="35">
        <f>IF(C385="","",IFERROR(INDEX(Pantry!$C$6:$C$305,MATCH(C385,Pantry!$B$6:$B$305,0))&amp;"","Add to Pantry"))</f>
        <v/>
      </c>
      <c r="F385" s="25">
        <f>IF(OR(C385="",E385="Add to Pantry"),"",ROUND(N(D385)*INDEX(Pantry!$N$6:$N$305,MATCH(C385,Pantry!$B$6:$B$305,0)),2))</f>
        <v/>
      </c>
      <c r="G385" s="35">
        <f>IF(OR(B385="",C385=""),"",IFERROR(ROUND(N(D385)*N(INDEX(Recipes!$H$6:$H$105,MATCH(B385,Recipes!$B$6:$B$105,0)))/IF(N(INDEX(Recipes!$D$6:$D$105,MATCH(B385,Recipes!$B$6:$B$105,0)))&gt;0,INDEX(Recipes!$D$6:$D$105,MATCH(B385,Recipes!$B$6:$B$105,0)),1),2),0))</f>
        <v/>
      </c>
      <c r="H385" s="1" t="n"/>
    </row>
    <row r="386">
      <c r="A386" s="1" t="n"/>
      <c r="B386" s="33" t="n"/>
      <c r="C386" s="33" t="n"/>
      <c r="D386" s="31" t="n"/>
      <c r="E386" s="35">
        <f>IF(C386="","",IFERROR(INDEX(Pantry!$C$6:$C$305,MATCH(C386,Pantry!$B$6:$B$305,0))&amp;"","Add to Pantry"))</f>
        <v/>
      </c>
      <c r="F386" s="25">
        <f>IF(OR(C386="",E386="Add to Pantry"),"",ROUND(N(D386)*INDEX(Pantry!$N$6:$N$305,MATCH(C386,Pantry!$B$6:$B$305,0)),2))</f>
        <v/>
      </c>
      <c r="G386" s="35">
        <f>IF(OR(B386="",C386=""),"",IFERROR(ROUND(N(D386)*N(INDEX(Recipes!$H$6:$H$105,MATCH(B386,Recipes!$B$6:$B$105,0)))/IF(N(INDEX(Recipes!$D$6:$D$105,MATCH(B386,Recipes!$B$6:$B$105,0)))&gt;0,INDEX(Recipes!$D$6:$D$105,MATCH(B386,Recipes!$B$6:$B$105,0)),1),2),0))</f>
        <v/>
      </c>
      <c r="H386" s="1" t="n"/>
    </row>
    <row r="387">
      <c r="A387" s="1" t="n"/>
      <c r="B387" s="33" t="n"/>
      <c r="C387" s="33" t="n"/>
      <c r="D387" s="31" t="n"/>
      <c r="E387" s="35">
        <f>IF(C387="","",IFERROR(INDEX(Pantry!$C$6:$C$305,MATCH(C387,Pantry!$B$6:$B$305,0))&amp;"","Add to Pantry"))</f>
        <v/>
      </c>
      <c r="F387" s="25">
        <f>IF(OR(C387="",E387="Add to Pantry"),"",ROUND(N(D387)*INDEX(Pantry!$N$6:$N$305,MATCH(C387,Pantry!$B$6:$B$305,0)),2))</f>
        <v/>
      </c>
      <c r="G387" s="35">
        <f>IF(OR(B387="",C387=""),"",IFERROR(ROUND(N(D387)*N(INDEX(Recipes!$H$6:$H$105,MATCH(B387,Recipes!$B$6:$B$105,0)))/IF(N(INDEX(Recipes!$D$6:$D$105,MATCH(B387,Recipes!$B$6:$B$105,0)))&gt;0,INDEX(Recipes!$D$6:$D$105,MATCH(B387,Recipes!$B$6:$B$105,0)),1),2),0))</f>
        <v/>
      </c>
      <c r="H387" s="1" t="n"/>
    </row>
    <row r="388">
      <c r="A388" s="1" t="n"/>
      <c r="B388" s="33" t="n"/>
      <c r="C388" s="33" t="n"/>
      <c r="D388" s="31" t="n"/>
      <c r="E388" s="35">
        <f>IF(C388="","",IFERROR(INDEX(Pantry!$C$6:$C$305,MATCH(C388,Pantry!$B$6:$B$305,0))&amp;"","Add to Pantry"))</f>
        <v/>
      </c>
      <c r="F388" s="25">
        <f>IF(OR(C388="",E388="Add to Pantry"),"",ROUND(N(D388)*INDEX(Pantry!$N$6:$N$305,MATCH(C388,Pantry!$B$6:$B$305,0)),2))</f>
        <v/>
      </c>
      <c r="G388" s="35">
        <f>IF(OR(B388="",C388=""),"",IFERROR(ROUND(N(D388)*N(INDEX(Recipes!$H$6:$H$105,MATCH(B388,Recipes!$B$6:$B$105,0)))/IF(N(INDEX(Recipes!$D$6:$D$105,MATCH(B388,Recipes!$B$6:$B$105,0)))&gt;0,INDEX(Recipes!$D$6:$D$105,MATCH(B388,Recipes!$B$6:$B$105,0)),1),2),0))</f>
        <v/>
      </c>
      <c r="H388" s="1" t="n"/>
    </row>
    <row r="389">
      <c r="A389" s="1" t="n"/>
      <c r="B389" s="33" t="n"/>
      <c r="C389" s="33" t="n"/>
      <c r="D389" s="31" t="n"/>
      <c r="E389" s="35">
        <f>IF(C389="","",IFERROR(INDEX(Pantry!$C$6:$C$305,MATCH(C389,Pantry!$B$6:$B$305,0))&amp;"","Add to Pantry"))</f>
        <v/>
      </c>
      <c r="F389" s="25">
        <f>IF(OR(C389="",E389="Add to Pantry"),"",ROUND(N(D389)*INDEX(Pantry!$N$6:$N$305,MATCH(C389,Pantry!$B$6:$B$305,0)),2))</f>
        <v/>
      </c>
      <c r="G389" s="35">
        <f>IF(OR(B389="",C389=""),"",IFERROR(ROUND(N(D389)*N(INDEX(Recipes!$H$6:$H$105,MATCH(B389,Recipes!$B$6:$B$105,0)))/IF(N(INDEX(Recipes!$D$6:$D$105,MATCH(B389,Recipes!$B$6:$B$105,0)))&gt;0,INDEX(Recipes!$D$6:$D$105,MATCH(B389,Recipes!$B$6:$B$105,0)),1),2),0))</f>
        <v/>
      </c>
      <c r="H389" s="1" t="n"/>
    </row>
    <row r="390">
      <c r="A390" s="1" t="n"/>
      <c r="B390" s="33" t="n"/>
      <c r="C390" s="33" t="n"/>
      <c r="D390" s="31" t="n"/>
      <c r="E390" s="35">
        <f>IF(C390="","",IFERROR(INDEX(Pantry!$C$6:$C$305,MATCH(C390,Pantry!$B$6:$B$305,0))&amp;"","Add to Pantry"))</f>
        <v/>
      </c>
      <c r="F390" s="25">
        <f>IF(OR(C390="",E390="Add to Pantry"),"",ROUND(N(D390)*INDEX(Pantry!$N$6:$N$305,MATCH(C390,Pantry!$B$6:$B$305,0)),2))</f>
        <v/>
      </c>
      <c r="G390" s="35">
        <f>IF(OR(B390="",C390=""),"",IFERROR(ROUND(N(D390)*N(INDEX(Recipes!$H$6:$H$105,MATCH(B390,Recipes!$B$6:$B$105,0)))/IF(N(INDEX(Recipes!$D$6:$D$105,MATCH(B390,Recipes!$B$6:$B$105,0)))&gt;0,INDEX(Recipes!$D$6:$D$105,MATCH(B390,Recipes!$B$6:$B$105,0)),1),2),0))</f>
        <v/>
      </c>
      <c r="H390" s="1" t="n"/>
    </row>
    <row r="391">
      <c r="A391" s="1" t="n"/>
      <c r="B391" s="33" t="n"/>
      <c r="C391" s="33" t="n"/>
      <c r="D391" s="31" t="n"/>
      <c r="E391" s="35">
        <f>IF(C391="","",IFERROR(INDEX(Pantry!$C$6:$C$305,MATCH(C391,Pantry!$B$6:$B$305,0))&amp;"","Add to Pantry"))</f>
        <v/>
      </c>
      <c r="F391" s="25">
        <f>IF(OR(C391="",E391="Add to Pantry"),"",ROUND(N(D391)*INDEX(Pantry!$N$6:$N$305,MATCH(C391,Pantry!$B$6:$B$305,0)),2))</f>
        <v/>
      </c>
      <c r="G391" s="35">
        <f>IF(OR(B391="",C391=""),"",IFERROR(ROUND(N(D391)*N(INDEX(Recipes!$H$6:$H$105,MATCH(B391,Recipes!$B$6:$B$105,0)))/IF(N(INDEX(Recipes!$D$6:$D$105,MATCH(B391,Recipes!$B$6:$B$105,0)))&gt;0,INDEX(Recipes!$D$6:$D$105,MATCH(B391,Recipes!$B$6:$B$105,0)),1),2),0))</f>
        <v/>
      </c>
      <c r="H391" s="1" t="n"/>
    </row>
    <row r="392">
      <c r="A392" s="1" t="n"/>
      <c r="B392" s="33" t="n"/>
      <c r="C392" s="33" t="n"/>
      <c r="D392" s="31" t="n"/>
      <c r="E392" s="35">
        <f>IF(C392="","",IFERROR(INDEX(Pantry!$C$6:$C$305,MATCH(C392,Pantry!$B$6:$B$305,0))&amp;"","Add to Pantry"))</f>
        <v/>
      </c>
      <c r="F392" s="25">
        <f>IF(OR(C392="",E392="Add to Pantry"),"",ROUND(N(D392)*INDEX(Pantry!$N$6:$N$305,MATCH(C392,Pantry!$B$6:$B$305,0)),2))</f>
        <v/>
      </c>
      <c r="G392" s="35">
        <f>IF(OR(B392="",C392=""),"",IFERROR(ROUND(N(D392)*N(INDEX(Recipes!$H$6:$H$105,MATCH(B392,Recipes!$B$6:$B$105,0)))/IF(N(INDEX(Recipes!$D$6:$D$105,MATCH(B392,Recipes!$B$6:$B$105,0)))&gt;0,INDEX(Recipes!$D$6:$D$105,MATCH(B392,Recipes!$B$6:$B$105,0)),1),2),0))</f>
        <v/>
      </c>
      <c r="H392" s="1" t="n"/>
    </row>
    <row r="393">
      <c r="A393" s="1" t="n"/>
      <c r="B393" s="33" t="n"/>
      <c r="C393" s="33" t="n"/>
      <c r="D393" s="31" t="n"/>
      <c r="E393" s="35">
        <f>IF(C393="","",IFERROR(INDEX(Pantry!$C$6:$C$305,MATCH(C393,Pantry!$B$6:$B$305,0))&amp;"","Add to Pantry"))</f>
        <v/>
      </c>
      <c r="F393" s="25">
        <f>IF(OR(C393="",E393="Add to Pantry"),"",ROUND(N(D393)*INDEX(Pantry!$N$6:$N$305,MATCH(C393,Pantry!$B$6:$B$305,0)),2))</f>
        <v/>
      </c>
      <c r="G393" s="35">
        <f>IF(OR(B393="",C393=""),"",IFERROR(ROUND(N(D393)*N(INDEX(Recipes!$H$6:$H$105,MATCH(B393,Recipes!$B$6:$B$105,0)))/IF(N(INDEX(Recipes!$D$6:$D$105,MATCH(B393,Recipes!$B$6:$B$105,0)))&gt;0,INDEX(Recipes!$D$6:$D$105,MATCH(B393,Recipes!$B$6:$B$105,0)),1),2),0))</f>
        <v/>
      </c>
      <c r="H393" s="1" t="n"/>
    </row>
    <row r="394">
      <c r="A394" s="1" t="n"/>
      <c r="B394" s="33" t="n"/>
      <c r="C394" s="33" t="n"/>
      <c r="D394" s="31" t="n"/>
      <c r="E394" s="35">
        <f>IF(C394="","",IFERROR(INDEX(Pantry!$C$6:$C$305,MATCH(C394,Pantry!$B$6:$B$305,0))&amp;"","Add to Pantry"))</f>
        <v/>
      </c>
      <c r="F394" s="25">
        <f>IF(OR(C394="",E394="Add to Pantry"),"",ROUND(N(D394)*INDEX(Pantry!$N$6:$N$305,MATCH(C394,Pantry!$B$6:$B$305,0)),2))</f>
        <v/>
      </c>
      <c r="G394" s="35">
        <f>IF(OR(B394="",C394=""),"",IFERROR(ROUND(N(D394)*N(INDEX(Recipes!$H$6:$H$105,MATCH(B394,Recipes!$B$6:$B$105,0)))/IF(N(INDEX(Recipes!$D$6:$D$105,MATCH(B394,Recipes!$B$6:$B$105,0)))&gt;0,INDEX(Recipes!$D$6:$D$105,MATCH(B394,Recipes!$B$6:$B$105,0)),1),2),0))</f>
        <v/>
      </c>
      <c r="H394" s="1" t="n"/>
    </row>
    <row r="395">
      <c r="A395" s="1" t="n"/>
      <c r="B395" s="33" t="n"/>
      <c r="C395" s="33" t="n"/>
      <c r="D395" s="31" t="n"/>
      <c r="E395" s="35">
        <f>IF(C395="","",IFERROR(INDEX(Pantry!$C$6:$C$305,MATCH(C395,Pantry!$B$6:$B$305,0))&amp;"","Add to Pantry"))</f>
        <v/>
      </c>
      <c r="F395" s="25">
        <f>IF(OR(C395="",E395="Add to Pantry"),"",ROUND(N(D395)*INDEX(Pantry!$N$6:$N$305,MATCH(C395,Pantry!$B$6:$B$305,0)),2))</f>
        <v/>
      </c>
      <c r="G395" s="35">
        <f>IF(OR(B395="",C395=""),"",IFERROR(ROUND(N(D395)*N(INDEX(Recipes!$H$6:$H$105,MATCH(B395,Recipes!$B$6:$B$105,0)))/IF(N(INDEX(Recipes!$D$6:$D$105,MATCH(B395,Recipes!$B$6:$B$105,0)))&gt;0,INDEX(Recipes!$D$6:$D$105,MATCH(B395,Recipes!$B$6:$B$105,0)),1),2),0))</f>
        <v/>
      </c>
      <c r="H395" s="1" t="n"/>
    </row>
    <row r="396">
      <c r="A396" s="1" t="n"/>
      <c r="B396" s="33" t="n"/>
      <c r="C396" s="33" t="n"/>
      <c r="D396" s="31" t="n"/>
      <c r="E396" s="35">
        <f>IF(C396="","",IFERROR(INDEX(Pantry!$C$6:$C$305,MATCH(C396,Pantry!$B$6:$B$305,0))&amp;"","Add to Pantry"))</f>
        <v/>
      </c>
      <c r="F396" s="25">
        <f>IF(OR(C396="",E396="Add to Pantry"),"",ROUND(N(D396)*INDEX(Pantry!$N$6:$N$305,MATCH(C396,Pantry!$B$6:$B$305,0)),2))</f>
        <v/>
      </c>
      <c r="G396" s="35">
        <f>IF(OR(B396="",C396=""),"",IFERROR(ROUND(N(D396)*N(INDEX(Recipes!$H$6:$H$105,MATCH(B396,Recipes!$B$6:$B$105,0)))/IF(N(INDEX(Recipes!$D$6:$D$105,MATCH(B396,Recipes!$B$6:$B$105,0)))&gt;0,INDEX(Recipes!$D$6:$D$105,MATCH(B396,Recipes!$B$6:$B$105,0)),1),2),0))</f>
        <v/>
      </c>
      <c r="H396" s="1" t="n"/>
    </row>
    <row r="397">
      <c r="A397" s="1" t="n"/>
      <c r="B397" s="33" t="n"/>
      <c r="C397" s="33" t="n"/>
      <c r="D397" s="31" t="n"/>
      <c r="E397" s="35">
        <f>IF(C397="","",IFERROR(INDEX(Pantry!$C$6:$C$305,MATCH(C397,Pantry!$B$6:$B$305,0))&amp;"","Add to Pantry"))</f>
        <v/>
      </c>
      <c r="F397" s="25">
        <f>IF(OR(C397="",E397="Add to Pantry"),"",ROUND(N(D397)*INDEX(Pantry!$N$6:$N$305,MATCH(C397,Pantry!$B$6:$B$305,0)),2))</f>
        <v/>
      </c>
      <c r="G397" s="35">
        <f>IF(OR(B397="",C397=""),"",IFERROR(ROUND(N(D397)*N(INDEX(Recipes!$H$6:$H$105,MATCH(B397,Recipes!$B$6:$B$105,0)))/IF(N(INDEX(Recipes!$D$6:$D$105,MATCH(B397,Recipes!$B$6:$B$105,0)))&gt;0,INDEX(Recipes!$D$6:$D$105,MATCH(B397,Recipes!$B$6:$B$105,0)),1),2),0))</f>
        <v/>
      </c>
      <c r="H397" s="1" t="n"/>
    </row>
    <row r="398">
      <c r="A398" s="1" t="n"/>
      <c r="B398" s="33" t="n"/>
      <c r="C398" s="33" t="n"/>
      <c r="D398" s="31" t="n"/>
      <c r="E398" s="35">
        <f>IF(C398="","",IFERROR(INDEX(Pantry!$C$6:$C$305,MATCH(C398,Pantry!$B$6:$B$305,0))&amp;"","Add to Pantry"))</f>
        <v/>
      </c>
      <c r="F398" s="25">
        <f>IF(OR(C398="",E398="Add to Pantry"),"",ROUND(N(D398)*INDEX(Pantry!$N$6:$N$305,MATCH(C398,Pantry!$B$6:$B$305,0)),2))</f>
        <v/>
      </c>
      <c r="G398" s="35">
        <f>IF(OR(B398="",C398=""),"",IFERROR(ROUND(N(D398)*N(INDEX(Recipes!$H$6:$H$105,MATCH(B398,Recipes!$B$6:$B$105,0)))/IF(N(INDEX(Recipes!$D$6:$D$105,MATCH(B398,Recipes!$B$6:$B$105,0)))&gt;0,INDEX(Recipes!$D$6:$D$105,MATCH(B398,Recipes!$B$6:$B$105,0)),1),2),0))</f>
        <v/>
      </c>
      <c r="H398" s="1" t="n"/>
    </row>
    <row r="399">
      <c r="A399" s="1" t="n"/>
      <c r="B399" s="33" t="n"/>
      <c r="C399" s="33" t="n"/>
      <c r="D399" s="31" t="n"/>
      <c r="E399" s="35">
        <f>IF(C399="","",IFERROR(INDEX(Pantry!$C$6:$C$305,MATCH(C399,Pantry!$B$6:$B$305,0))&amp;"","Add to Pantry"))</f>
        <v/>
      </c>
      <c r="F399" s="25">
        <f>IF(OR(C399="",E399="Add to Pantry"),"",ROUND(N(D399)*INDEX(Pantry!$N$6:$N$305,MATCH(C399,Pantry!$B$6:$B$305,0)),2))</f>
        <v/>
      </c>
      <c r="G399" s="35">
        <f>IF(OR(B399="",C399=""),"",IFERROR(ROUND(N(D399)*N(INDEX(Recipes!$H$6:$H$105,MATCH(B399,Recipes!$B$6:$B$105,0)))/IF(N(INDEX(Recipes!$D$6:$D$105,MATCH(B399,Recipes!$B$6:$B$105,0)))&gt;0,INDEX(Recipes!$D$6:$D$105,MATCH(B399,Recipes!$B$6:$B$105,0)),1),2),0))</f>
        <v/>
      </c>
      <c r="H399" s="1" t="n"/>
    </row>
    <row r="400">
      <c r="A400" s="1" t="n"/>
      <c r="B400" s="33" t="n"/>
      <c r="C400" s="33" t="n"/>
      <c r="D400" s="31" t="n"/>
      <c r="E400" s="35">
        <f>IF(C400="","",IFERROR(INDEX(Pantry!$C$6:$C$305,MATCH(C400,Pantry!$B$6:$B$305,0))&amp;"","Add to Pantry"))</f>
        <v/>
      </c>
      <c r="F400" s="25">
        <f>IF(OR(C400="",E400="Add to Pantry"),"",ROUND(N(D400)*INDEX(Pantry!$N$6:$N$305,MATCH(C400,Pantry!$B$6:$B$305,0)),2))</f>
        <v/>
      </c>
      <c r="G400" s="35">
        <f>IF(OR(B400="",C400=""),"",IFERROR(ROUND(N(D400)*N(INDEX(Recipes!$H$6:$H$105,MATCH(B400,Recipes!$B$6:$B$105,0)))/IF(N(INDEX(Recipes!$D$6:$D$105,MATCH(B400,Recipes!$B$6:$B$105,0)))&gt;0,INDEX(Recipes!$D$6:$D$105,MATCH(B400,Recipes!$B$6:$B$105,0)),1),2),0))</f>
        <v/>
      </c>
      <c r="H400" s="1" t="n"/>
    </row>
    <row r="401">
      <c r="A401" s="1" t="n"/>
      <c r="B401" s="33" t="n"/>
      <c r="C401" s="33" t="n"/>
      <c r="D401" s="31" t="n"/>
      <c r="E401" s="35">
        <f>IF(C401="","",IFERROR(INDEX(Pantry!$C$6:$C$305,MATCH(C401,Pantry!$B$6:$B$305,0))&amp;"","Add to Pantry"))</f>
        <v/>
      </c>
      <c r="F401" s="25">
        <f>IF(OR(C401="",E401="Add to Pantry"),"",ROUND(N(D401)*INDEX(Pantry!$N$6:$N$305,MATCH(C401,Pantry!$B$6:$B$305,0)),2))</f>
        <v/>
      </c>
      <c r="G401" s="35">
        <f>IF(OR(B401="",C401=""),"",IFERROR(ROUND(N(D401)*N(INDEX(Recipes!$H$6:$H$105,MATCH(B401,Recipes!$B$6:$B$105,0)))/IF(N(INDEX(Recipes!$D$6:$D$105,MATCH(B401,Recipes!$B$6:$B$105,0)))&gt;0,INDEX(Recipes!$D$6:$D$105,MATCH(B401,Recipes!$B$6:$B$105,0)),1),2),0))</f>
        <v/>
      </c>
      <c r="H401" s="1" t="n"/>
    </row>
    <row r="402">
      <c r="A402" s="1" t="n"/>
      <c r="B402" s="33" t="n"/>
      <c r="C402" s="33" t="n"/>
      <c r="D402" s="31" t="n"/>
      <c r="E402" s="35">
        <f>IF(C402="","",IFERROR(INDEX(Pantry!$C$6:$C$305,MATCH(C402,Pantry!$B$6:$B$305,0))&amp;"","Add to Pantry"))</f>
        <v/>
      </c>
      <c r="F402" s="25">
        <f>IF(OR(C402="",E402="Add to Pantry"),"",ROUND(N(D402)*INDEX(Pantry!$N$6:$N$305,MATCH(C402,Pantry!$B$6:$B$305,0)),2))</f>
        <v/>
      </c>
      <c r="G402" s="35">
        <f>IF(OR(B402="",C402=""),"",IFERROR(ROUND(N(D402)*N(INDEX(Recipes!$H$6:$H$105,MATCH(B402,Recipes!$B$6:$B$105,0)))/IF(N(INDEX(Recipes!$D$6:$D$105,MATCH(B402,Recipes!$B$6:$B$105,0)))&gt;0,INDEX(Recipes!$D$6:$D$105,MATCH(B402,Recipes!$B$6:$B$105,0)),1),2),0))</f>
        <v/>
      </c>
      <c r="H402" s="1" t="n"/>
    </row>
    <row r="403">
      <c r="A403" s="1" t="n"/>
      <c r="B403" s="33" t="n"/>
      <c r="C403" s="33" t="n"/>
      <c r="D403" s="31" t="n"/>
      <c r="E403" s="35">
        <f>IF(C403="","",IFERROR(INDEX(Pantry!$C$6:$C$305,MATCH(C403,Pantry!$B$6:$B$305,0))&amp;"","Add to Pantry"))</f>
        <v/>
      </c>
      <c r="F403" s="25">
        <f>IF(OR(C403="",E403="Add to Pantry"),"",ROUND(N(D403)*INDEX(Pantry!$N$6:$N$305,MATCH(C403,Pantry!$B$6:$B$305,0)),2))</f>
        <v/>
      </c>
      <c r="G403" s="35">
        <f>IF(OR(B403="",C403=""),"",IFERROR(ROUND(N(D403)*N(INDEX(Recipes!$H$6:$H$105,MATCH(B403,Recipes!$B$6:$B$105,0)))/IF(N(INDEX(Recipes!$D$6:$D$105,MATCH(B403,Recipes!$B$6:$B$105,0)))&gt;0,INDEX(Recipes!$D$6:$D$105,MATCH(B403,Recipes!$B$6:$B$105,0)),1),2),0))</f>
        <v/>
      </c>
      <c r="H403" s="1" t="n"/>
    </row>
    <row r="404">
      <c r="A404" s="1" t="n"/>
      <c r="B404" s="33" t="n"/>
      <c r="C404" s="33" t="n"/>
      <c r="D404" s="31" t="n"/>
      <c r="E404" s="35">
        <f>IF(C404="","",IFERROR(INDEX(Pantry!$C$6:$C$305,MATCH(C404,Pantry!$B$6:$B$305,0))&amp;"","Add to Pantry"))</f>
        <v/>
      </c>
      <c r="F404" s="25">
        <f>IF(OR(C404="",E404="Add to Pantry"),"",ROUND(N(D404)*INDEX(Pantry!$N$6:$N$305,MATCH(C404,Pantry!$B$6:$B$305,0)),2))</f>
        <v/>
      </c>
      <c r="G404" s="35">
        <f>IF(OR(B404="",C404=""),"",IFERROR(ROUND(N(D404)*N(INDEX(Recipes!$H$6:$H$105,MATCH(B404,Recipes!$B$6:$B$105,0)))/IF(N(INDEX(Recipes!$D$6:$D$105,MATCH(B404,Recipes!$B$6:$B$105,0)))&gt;0,INDEX(Recipes!$D$6:$D$105,MATCH(B404,Recipes!$B$6:$B$105,0)),1),2),0))</f>
        <v/>
      </c>
      <c r="H404" s="1" t="n"/>
    </row>
    <row r="405">
      <c r="A405" s="1" t="n"/>
      <c r="B405" s="33" t="n"/>
      <c r="C405" s="33" t="n"/>
      <c r="D405" s="31" t="n"/>
      <c r="E405" s="35">
        <f>IF(C405="","",IFERROR(INDEX(Pantry!$C$6:$C$305,MATCH(C405,Pantry!$B$6:$B$305,0))&amp;"","Add to Pantry"))</f>
        <v/>
      </c>
      <c r="F405" s="25">
        <f>IF(OR(C405="",E405="Add to Pantry"),"",ROUND(N(D405)*INDEX(Pantry!$N$6:$N$305,MATCH(C405,Pantry!$B$6:$B$305,0)),2))</f>
        <v/>
      </c>
      <c r="G405" s="35">
        <f>IF(OR(B405="",C405=""),"",IFERROR(ROUND(N(D405)*N(INDEX(Recipes!$H$6:$H$105,MATCH(B405,Recipes!$B$6:$B$105,0)))/IF(N(INDEX(Recipes!$D$6:$D$105,MATCH(B405,Recipes!$B$6:$B$105,0)))&gt;0,INDEX(Recipes!$D$6:$D$105,MATCH(B405,Recipes!$B$6:$B$105,0)),1),2),0))</f>
        <v/>
      </c>
      <c r="H405" s="1" t="n"/>
    </row>
    <row r="406">
      <c r="A406" s="1" t="n"/>
      <c r="B406" s="33" t="n"/>
      <c r="C406" s="33" t="n"/>
      <c r="D406" s="31" t="n"/>
      <c r="E406" s="35">
        <f>IF(C406="","",IFERROR(INDEX(Pantry!$C$6:$C$305,MATCH(C406,Pantry!$B$6:$B$305,0))&amp;"","Add to Pantry"))</f>
        <v/>
      </c>
      <c r="F406" s="25">
        <f>IF(OR(C406="",E406="Add to Pantry"),"",ROUND(N(D406)*INDEX(Pantry!$N$6:$N$305,MATCH(C406,Pantry!$B$6:$B$305,0)),2))</f>
        <v/>
      </c>
      <c r="G406" s="35">
        <f>IF(OR(B406="",C406=""),"",IFERROR(ROUND(N(D406)*N(INDEX(Recipes!$H$6:$H$105,MATCH(B406,Recipes!$B$6:$B$105,0)))/IF(N(INDEX(Recipes!$D$6:$D$105,MATCH(B406,Recipes!$B$6:$B$105,0)))&gt;0,INDEX(Recipes!$D$6:$D$105,MATCH(B406,Recipes!$B$6:$B$105,0)),1),2),0))</f>
        <v/>
      </c>
      <c r="H406" s="1" t="n"/>
    </row>
    <row r="407">
      <c r="A407" s="1" t="n"/>
      <c r="B407" s="33" t="n"/>
      <c r="C407" s="33" t="n"/>
      <c r="D407" s="31" t="n"/>
      <c r="E407" s="35">
        <f>IF(C407="","",IFERROR(INDEX(Pantry!$C$6:$C$305,MATCH(C407,Pantry!$B$6:$B$305,0))&amp;"","Add to Pantry"))</f>
        <v/>
      </c>
      <c r="F407" s="25">
        <f>IF(OR(C407="",E407="Add to Pantry"),"",ROUND(N(D407)*INDEX(Pantry!$N$6:$N$305,MATCH(C407,Pantry!$B$6:$B$305,0)),2))</f>
        <v/>
      </c>
      <c r="G407" s="35">
        <f>IF(OR(B407="",C407=""),"",IFERROR(ROUND(N(D407)*N(INDEX(Recipes!$H$6:$H$105,MATCH(B407,Recipes!$B$6:$B$105,0)))/IF(N(INDEX(Recipes!$D$6:$D$105,MATCH(B407,Recipes!$B$6:$B$105,0)))&gt;0,INDEX(Recipes!$D$6:$D$105,MATCH(B407,Recipes!$B$6:$B$105,0)),1),2),0))</f>
        <v/>
      </c>
      <c r="H407" s="1" t="n"/>
    </row>
    <row r="408">
      <c r="A408" s="1" t="n"/>
      <c r="B408" s="33" t="n"/>
      <c r="C408" s="33" t="n"/>
      <c r="D408" s="31" t="n"/>
      <c r="E408" s="35">
        <f>IF(C408="","",IFERROR(INDEX(Pantry!$C$6:$C$305,MATCH(C408,Pantry!$B$6:$B$305,0))&amp;"","Add to Pantry"))</f>
        <v/>
      </c>
      <c r="F408" s="25">
        <f>IF(OR(C408="",E408="Add to Pantry"),"",ROUND(N(D408)*INDEX(Pantry!$N$6:$N$305,MATCH(C408,Pantry!$B$6:$B$305,0)),2))</f>
        <v/>
      </c>
      <c r="G408" s="35">
        <f>IF(OR(B408="",C408=""),"",IFERROR(ROUND(N(D408)*N(INDEX(Recipes!$H$6:$H$105,MATCH(B408,Recipes!$B$6:$B$105,0)))/IF(N(INDEX(Recipes!$D$6:$D$105,MATCH(B408,Recipes!$B$6:$B$105,0)))&gt;0,INDEX(Recipes!$D$6:$D$105,MATCH(B408,Recipes!$B$6:$B$105,0)),1),2),0))</f>
        <v/>
      </c>
      <c r="H408" s="1" t="n"/>
    </row>
    <row r="409">
      <c r="A409" s="1" t="n"/>
      <c r="B409" s="33" t="n"/>
      <c r="C409" s="33" t="n"/>
      <c r="D409" s="31" t="n"/>
      <c r="E409" s="35">
        <f>IF(C409="","",IFERROR(INDEX(Pantry!$C$6:$C$305,MATCH(C409,Pantry!$B$6:$B$305,0))&amp;"","Add to Pantry"))</f>
        <v/>
      </c>
      <c r="F409" s="25">
        <f>IF(OR(C409="",E409="Add to Pantry"),"",ROUND(N(D409)*INDEX(Pantry!$N$6:$N$305,MATCH(C409,Pantry!$B$6:$B$305,0)),2))</f>
        <v/>
      </c>
      <c r="G409" s="35">
        <f>IF(OR(B409="",C409=""),"",IFERROR(ROUND(N(D409)*N(INDEX(Recipes!$H$6:$H$105,MATCH(B409,Recipes!$B$6:$B$105,0)))/IF(N(INDEX(Recipes!$D$6:$D$105,MATCH(B409,Recipes!$B$6:$B$105,0)))&gt;0,INDEX(Recipes!$D$6:$D$105,MATCH(B409,Recipes!$B$6:$B$105,0)),1),2),0))</f>
        <v/>
      </c>
      <c r="H409" s="1" t="n"/>
    </row>
    <row r="410">
      <c r="A410" s="1" t="n"/>
      <c r="B410" s="33" t="n"/>
      <c r="C410" s="33" t="n"/>
      <c r="D410" s="31" t="n"/>
      <c r="E410" s="35">
        <f>IF(C410="","",IFERROR(INDEX(Pantry!$C$6:$C$305,MATCH(C410,Pantry!$B$6:$B$305,0))&amp;"","Add to Pantry"))</f>
        <v/>
      </c>
      <c r="F410" s="25">
        <f>IF(OR(C410="",E410="Add to Pantry"),"",ROUND(N(D410)*INDEX(Pantry!$N$6:$N$305,MATCH(C410,Pantry!$B$6:$B$305,0)),2))</f>
        <v/>
      </c>
      <c r="G410" s="35">
        <f>IF(OR(B410="",C410=""),"",IFERROR(ROUND(N(D410)*N(INDEX(Recipes!$H$6:$H$105,MATCH(B410,Recipes!$B$6:$B$105,0)))/IF(N(INDEX(Recipes!$D$6:$D$105,MATCH(B410,Recipes!$B$6:$B$105,0)))&gt;0,INDEX(Recipes!$D$6:$D$105,MATCH(B410,Recipes!$B$6:$B$105,0)),1),2),0))</f>
        <v/>
      </c>
      <c r="H410" s="1" t="n"/>
    </row>
    <row r="411">
      <c r="A411" s="1" t="n"/>
      <c r="B411" s="33" t="n"/>
      <c r="C411" s="33" t="n"/>
      <c r="D411" s="31" t="n"/>
      <c r="E411" s="35">
        <f>IF(C411="","",IFERROR(INDEX(Pantry!$C$6:$C$305,MATCH(C411,Pantry!$B$6:$B$305,0))&amp;"","Add to Pantry"))</f>
        <v/>
      </c>
      <c r="F411" s="25">
        <f>IF(OR(C411="",E411="Add to Pantry"),"",ROUND(N(D411)*INDEX(Pantry!$N$6:$N$305,MATCH(C411,Pantry!$B$6:$B$305,0)),2))</f>
        <v/>
      </c>
      <c r="G411" s="35">
        <f>IF(OR(B411="",C411=""),"",IFERROR(ROUND(N(D411)*N(INDEX(Recipes!$H$6:$H$105,MATCH(B411,Recipes!$B$6:$B$105,0)))/IF(N(INDEX(Recipes!$D$6:$D$105,MATCH(B411,Recipes!$B$6:$B$105,0)))&gt;0,INDEX(Recipes!$D$6:$D$105,MATCH(B411,Recipes!$B$6:$B$105,0)),1),2),0))</f>
        <v/>
      </c>
      <c r="H411" s="1" t="n"/>
    </row>
    <row r="412">
      <c r="A412" s="1" t="n"/>
      <c r="B412" s="33" t="n"/>
      <c r="C412" s="33" t="n"/>
      <c r="D412" s="31" t="n"/>
      <c r="E412" s="35">
        <f>IF(C412="","",IFERROR(INDEX(Pantry!$C$6:$C$305,MATCH(C412,Pantry!$B$6:$B$305,0))&amp;"","Add to Pantry"))</f>
        <v/>
      </c>
      <c r="F412" s="25">
        <f>IF(OR(C412="",E412="Add to Pantry"),"",ROUND(N(D412)*INDEX(Pantry!$N$6:$N$305,MATCH(C412,Pantry!$B$6:$B$305,0)),2))</f>
        <v/>
      </c>
      <c r="G412" s="35">
        <f>IF(OR(B412="",C412=""),"",IFERROR(ROUND(N(D412)*N(INDEX(Recipes!$H$6:$H$105,MATCH(B412,Recipes!$B$6:$B$105,0)))/IF(N(INDEX(Recipes!$D$6:$D$105,MATCH(B412,Recipes!$B$6:$B$105,0)))&gt;0,INDEX(Recipes!$D$6:$D$105,MATCH(B412,Recipes!$B$6:$B$105,0)),1),2),0))</f>
        <v/>
      </c>
      <c r="H412" s="1" t="n"/>
    </row>
    <row r="413">
      <c r="A413" s="1" t="n"/>
      <c r="B413" s="33" t="n"/>
      <c r="C413" s="33" t="n"/>
      <c r="D413" s="31" t="n"/>
      <c r="E413" s="35">
        <f>IF(C413="","",IFERROR(INDEX(Pantry!$C$6:$C$305,MATCH(C413,Pantry!$B$6:$B$305,0))&amp;"","Add to Pantry"))</f>
        <v/>
      </c>
      <c r="F413" s="25">
        <f>IF(OR(C413="",E413="Add to Pantry"),"",ROUND(N(D413)*INDEX(Pantry!$N$6:$N$305,MATCH(C413,Pantry!$B$6:$B$305,0)),2))</f>
        <v/>
      </c>
      <c r="G413" s="35">
        <f>IF(OR(B413="",C413=""),"",IFERROR(ROUND(N(D413)*N(INDEX(Recipes!$H$6:$H$105,MATCH(B413,Recipes!$B$6:$B$105,0)))/IF(N(INDEX(Recipes!$D$6:$D$105,MATCH(B413,Recipes!$B$6:$B$105,0)))&gt;0,INDEX(Recipes!$D$6:$D$105,MATCH(B413,Recipes!$B$6:$B$105,0)),1),2),0))</f>
        <v/>
      </c>
      <c r="H413" s="1" t="n"/>
    </row>
    <row r="414">
      <c r="A414" s="1" t="n"/>
      <c r="B414" s="33" t="n"/>
      <c r="C414" s="33" t="n"/>
      <c r="D414" s="31" t="n"/>
      <c r="E414" s="35">
        <f>IF(C414="","",IFERROR(INDEX(Pantry!$C$6:$C$305,MATCH(C414,Pantry!$B$6:$B$305,0))&amp;"","Add to Pantry"))</f>
        <v/>
      </c>
      <c r="F414" s="25">
        <f>IF(OR(C414="",E414="Add to Pantry"),"",ROUND(N(D414)*INDEX(Pantry!$N$6:$N$305,MATCH(C414,Pantry!$B$6:$B$305,0)),2))</f>
        <v/>
      </c>
      <c r="G414" s="35">
        <f>IF(OR(B414="",C414=""),"",IFERROR(ROUND(N(D414)*N(INDEX(Recipes!$H$6:$H$105,MATCH(B414,Recipes!$B$6:$B$105,0)))/IF(N(INDEX(Recipes!$D$6:$D$105,MATCH(B414,Recipes!$B$6:$B$105,0)))&gt;0,INDEX(Recipes!$D$6:$D$105,MATCH(B414,Recipes!$B$6:$B$105,0)),1),2),0))</f>
        <v/>
      </c>
      <c r="H414" s="1" t="n"/>
    </row>
    <row r="415">
      <c r="A415" s="1" t="n"/>
      <c r="B415" s="33" t="n"/>
      <c r="C415" s="33" t="n"/>
      <c r="D415" s="31" t="n"/>
      <c r="E415" s="35">
        <f>IF(C415="","",IFERROR(INDEX(Pantry!$C$6:$C$305,MATCH(C415,Pantry!$B$6:$B$305,0))&amp;"","Add to Pantry"))</f>
        <v/>
      </c>
      <c r="F415" s="25">
        <f>IF(OR(C415="",E415="Add to Pantry"),"",ROUND(N(D415)*INDEX(Pantry!$N$6:$N$305,MATCH(C415,Pantry!$B$6:$B$305,0)),2))</f>
        <v/>
      </c>
      <c r="G415" s="35">
        <f>IF(OR(B415="",C415=""),"",IFERROR(ROUND(N(D415)*N(INDEX(Recipes!$H$6:$H$105,MATCH(B415,Recipes!$B$6:$B$105,0)))/IF(N(INDEX(Recipes!$D$6:$D$105,MATCH(B415,Recipes!$B$6:$B$105,0)))&gt;0,INDEX(Recipes!$D$6:$D$105,MATCH(B415,Recipes!$B$6:$B$105,0)),1),2),0))</f>
        <v/>
      </c>
      <c r="H415" s="1" t="n"/>
    </row>
    <row r="416">
      <c r="A416" s="1" t="n"/>
      <c r="B416" s="33" t="n"/>
      <c r="C416" s="33" t="n"/>
      <c r="D416" s="31" t="n"/>
      <c r="E416" s="35">
        <f>IF(C416="","",IFERROR(INDEX(Pantry!$C$6:$C$305,MATCH(C416,Pantry!$B$6:$B$305,0))&amp;"","Add to Pantry"))</f>
        <v/>
      </c>
      <c r="F416" s="25">
        <f>IF(OR(C416="",E416="Add to Pantry"),"",ROUND(N(D416)*INDEX(Pantry!$N$6:$N$305,MATCH(C416,Pantry!$B$6:$B$305,0)),2))</f>
        <v/>
      </c>
      <c r="G416" s="35">
        <f>IF(OR(B416="",C416=""),"",IFERROR(ROUND(N(D416)*N(INDEX(Recipes!$H$6:$H$105,MATCH(B416,Recipes!$B$6:$B$105,0)))/IF(N(INDEX(Recipes!$D$6:$D$105,MATCH(B416,Recipes!$B$6:$B$105,0)))&gt;0,INDEX(Recipes!$D$6:$D$105,MATCH(B416,Recipes!$B$6:$B$105,0)),1),2),0))</f>
        <v/>
      </c>
      <c r="H416" s="1" t="n"/>
    </row>
    <row r="417">
      <c r="A417" s="1" t="n"/>
      <c r="B417" s="33" t="n"/>
      <c r="C417" s="33" t="n"/>
      <c r="D417" s="31" t="n"/>
      <c r="E417" s="35">
        <f>IF(C417="","",IFERROR(INDEX(Pantry!$C$6:$C$305,MATCH(C417,Pantry!$B$6:$B$305,0))&amp;"","Add to Pantry"))</f>
        <v/>
      </c>
      <c r="F417" s="25">
        <f>IF(OR(C417="",E417="Add to Pantry"),"",ROUND(N(D417)*INDEX(Pantry!$N$6:$N$305,MATCH(C417,Pantry!$B$6:$B$305,0)),2))</f>
        <v/>
      </c>
      <c r="G417" s="35">
        <f>IF(OR(B417="",C417=""),"",IFERROR(ROUND(N(D417)*N(INDEX(Recipes!$H$6:$H$105,MATCH(B417,Recipes!$B$6:$B$105,0)))/IF(N(INDEX(Recipes!$D$6:$D$105,MATCH(B417,Recipes!$B$6:$B$105,0)))&gt;0,INDEX(Recipes!$D$6:$D$105,MATCH(B417,Recipes!$B$6:$B$105,0)),1),2),0))</f>
        <v/>
      </c>
      <c r="H417" s="1" t="n"/>
    </row>
    <row r="418">
      <c r="A418" s="1" t="n"/>
      <c r="B418" s="33" t="n"/>
      <c r="C418" s="33" t="n"/>
      <c r="D418" s="31" t="n"/>
      <c r="E418" s="35">
        <f>IF(C418="","",IFERROR(INDEX(Pantry!$C$6:$C$305,MATCH(C418,Pantry!$B$6:$B$305,0))&amp;"","Add to Pantry"))</f>
        <v/>
      </c>
      <c r="F418" s="25">
        <f>IF(OR(C418="",E418="Add to Pantry"),"",ROUND(N(D418)*INDEX(Pantry!$N$6:$N$305,MATCH(C418,Pantry!$B$6:$B$305,0)),2))</f>
        <v/>
      </c>
      <c r="G418" s="35">
        <f>IF(OR(B418="",C418=""),"",IFERROR(ROUND(N(D418)*N(INDEX(Recipes!$H$6:$H$105,MATCH(B418,Recipes!$B$6:$B$105,0)))/IF(N(INDEX(Recipes!$D$6:$D$105,MATCH(B418,Recipes!$B$6:$B$105,0)))&gt;0,INDEX(Recipes!$D$6:$D$105,MATCH(B418,Recipes!$B$6:$B$105,0)),1),2),0))</f>
        <v/>
      </c>
      <c r="H418" s="1" t="n"/>
    </row>
    <row r="419">
      <c r="A419" s="1" t="n"/>
      <c r="B419" s="33" t="n"/>
      <c r="C419" s="33" t="n"/>
      <c r="D419" s="31" t="n"/>
      <c r="E419" s="35">
        <f>IF(C419="","",IFERROR(INDEX(Pantry!$C$6:$C$305,MATCH(C419,Pantry!$B$6:$B$305,0))&amp;"","Add to Pantry"))</f>
        <v/>
      </c>
      <c r="F419" s="25">
        <f>IF(OR(C419="",E419="Add to Pantry"),"",ROUND(N(D419)*INDEX(Pantry!$N$6:$N$305,MATCH(C419,Pantry!$B$6:$B$305,0)),2))</f>
        <v/>
      </c>
      <c r="G419" s="35">
        <f>IF(OR(B419="",C419=""),"",IFERROR(ROUND(N(D419)*N(INDEX(Recipes!$H$6:$H$105,MATCH(B419,Recipes!$B$6:$B$105,0)))/IF(N(INDEX(Recipes!$D$6:$D$105,MATCH(B419,Recipes!$B$6:$B$105,0)))&gt;0,INDEX(Recipes!$D$6:$D$105,MATCH(B419,Recipes!$B$6:$B$105,0)),1),2),0))</f>
        <v/>
      </c>
      <c r="H419" s="1" t="n"/>
    </row>
    <row r="420">
      <c r="A420" s="1" t="n"/>
      <c r="B420" s="33" t="n"/>
      <c r="C420" s="33" t="n"/>
      <c r="D420" s="31" t="n"/>
      <c r="E420" s="35">
        <f>IF(C420="","",IFERROR(INDEX(Pantry!$C$6:$C$305,MATCH(C420,Pantry!$B$6:$B$305,0))&amp;"","Add to Pantry"))</f>
        <v/>
      </c>
      <c r="F420" s="25">
        <f>IF(OR(C420="",E420="Add to Pantry"),"",ROUND(N(D420)*INDEX(Pantry!$N$6:$N$305,MATCH(C420,Pantry!$B$6:$B$305,0)),2))</f>
        <v/>
      </c>
      <c r="G420" s="35">
        <f>IF(OR(B420="",C420=""),"",IFERROR(ROUND(N(D420)*N(INDEX(Recipes!$H$6:$H$105,MATCH(B420,Recipes!$B$6:$B$105,0)))/IF(N(INDEX(Recipes!$D$6:$D$105,MATCH(B420,Recipes!$B$6:$B$105,0)))&gt;0,INDEX(Recipes!$D$6:$D$105,MATCH(B420,Recipes!$B$6:$B$105,0)),1),2),0))</f>
        <v/>
      </c>
      <c r="H420" s="1" t="n"/>
    </row>
    <row r="421">
      <c r="A421" s="1" t="n"/>
      <c r="B421" s="33" t="n"/>
      <c r="C421" s="33" t="n"/>
      <c r="D421" s="31" t="n"/>
      <c r="E421" s="35">
        <f>IF(C421="","",IFERROR(INDEX(Pantry!$C$6:$C$305,MATCH(C421,Pantry!$B$6:$B$305,0))&amp;"","Add to Pantry"))</f>
        <v/>
      </c>
      <c r="F421" s="25">
        <f>IF(OR(C421="",E421="Add to Pantry"),"",ROUND(N(D421)*INDEX(Pantry!$N$6:$N$305,MATCH(C421,Pantry!$B$6:$B$305,0)),2))</f>
        <v/>
      </c>
      <c r="G421" s="35">
        <f>IF(OR(B421="",C421=""),"",IFERROR(ROUND(N(D421)*N(INDEX(Recipes!$H$6:$H$105,MATCH(B421,Recipes!$B$6:$B$105,0)))/IF(N(INDEX(Recipes!$D$6:$D$105,MATCH(B421,Recipes!$B$6:$B$105,0)))&gt;0,INDEX(Recipes!$D$6:$D$105,MATCH(B421,Recipes!$B$6:$B$105,0)),1),2),0))</f>
        <v/>
      </c>
      <c r="H421" s="1" t="n"/>
    </row>
    <row r="422">
      <c r="A422" s="1" t="n"/>
      <c r="B422" s="33" t="n"/>
      <c r="C422" s="33" t="n"/>
      <c r="D422" s="31" t="n"/>
      <c r="E422" s="35">
        <f>IF(C422="","",IFERROR(INDEX(Pantry!$C$6:$C$305,MATCH(C422,Pantry!$B$6:$B$305,0))&amp;"","Add to Pantry"))</f>
        <v/>
      </c>
      <c r="F422" s="25">
        <f>IF(OR(C422="",E422="Add to Pantry"),"",ROUND(N(D422)*INDEX(Pantry!$N$6:$N$305,MATCH(C422,Pantry!$B$6:$B$305,0)),2))</f>
        <v/>
      </c>
      <c r="G422" s="35">
        <f>IF(OR(B422="",C422=""),"",IFERROR(ROUND(N(D422)*N(INDEX(Recipes!$H$6:$H$105,MATCH(B422,Recipes!$B$6:$B$105,0)))/IF(N(INDEX(Recipes!$D$6:$D$105,MATCH(B422,Recipes!$B$6:$B$105,0)))&gt;0,INDEX(Recipes!$D$6:$D$105,MATCH(B422,Recipes!$B$6:$B$105,0)),1),2),0))</f>
        <v/>
      </c>
      <c r="H422" s="1" t="n"/>
    </row>
    <row r="423">
      <c r="A423" s="1" t="n"/>
      <c r="B423" s="33" t="n"/>
      <c r="C423" s="33" t="n"/>
      <c r="D423" s="31" t="n"/>
      <c r="E423" s="35">
        <f>IF(C423="","",IFERROR(INDEX(Pantry!$C$6:$C$305,MATCH(C423,Pantry!$B$6:$B$305,0))&amp;"","Add to Pantry"))</f>
        <v/>
      </c>
      <c r="F423" s="25">
        <f>IF(OR(C423="",E423="Add to Pantry"),"",ROUND(N(D423)*INDEX(Pantry!$N$6:$N$305,MATCH(C423,Pantry!$B$6:$B$305,0)),2))</f>
        <v/>
      </c>
      <c r="G423" s="35">
        <f>IF(OR(B423="",C423=""),"",IFERROR(ROUND(N(D423)*N(INDEX(Recipes!$H$6:$H$105,MATCH(B423,Recipes!$B$6:$B$105,0)))/IF(N(INDEX(Recipes!$D$6:$D$105,MATCH(B423,Recipes!$B$6:$B$105,0)))&gt;0,INDEX(Recipes!$D$6:$D$105,MATCH(B423,Recipes!$B$6:$B$105,0)),1),2),0))</f>
        <v/>
      </c>
      <c r="H423" s="1" t="n"/>
    </row>
    <row r="424">
      <c r="A424" s="1" t="n"/>
      <c r="B424" s="33" t="n"/>
      <c r="C424" s="33" t="n"/>
      <c r="D424" s="31" t="n"/>
      <c r="E424" s="35">
        <f>IF(C424="","",IFERROR(INDEX(Pantry!$C$6:$C$305,MATCH(C424,Pantry!$B$6:$B$305,0))&amp;"","Add to Pantry"))</f>
        <v/>
      </c>
      <c r="F424" s="25">
        <f>IF(OR(C424="",E424="Add to Pantry"),"",ROUND(N(D424)*INDEX(Pantry!$N$6:$N$305,MATCH(C424,Pantry!$B$6:$B$305,0)),2))</f>
        <v/>
      </c>
      <c r="G424" s="35">
        <f>IF(OR(B424="",C424=""),"",IFERROR(ROUND(N(D424)*N(INDEX(Recipes!$H$6:$H$105,MATCH(B424,Recipes!$B$6:$B$105,0)))/IF(N(INDEX(Recipes!$D$6:$D$105,MATCH(B424,Recipes!$B$6:$B$105,0)))&gt;0,INDEX(Recipes!$D$6:$D$105,MATCH(B424,Recipes!$B$6:$B$105,0)),1),2),0))</f>
        <v/>
      </c>
      <c r="H424" s="1" t="n"/>
    </row>
    <row r="425">
      <c r="A425" s="1" t="n"/>
      <c r="B425" s="33" t="n"/>
      <c r="C425" s="33" t="n"/>
      <c r="D425" s="31" t="n"/>
      <c r="E425" s="35">
        <f>IF(C425="","",IFERROR(INDEX(Pantry!$C$6:$C$305,MATCH(C425,Pantry!$B$6:$B$305,0))&amp;"","Add to Pantry"))</f>
        <v/>
      </c>
      <c r="F425" s="25">
        <f>IF(OR(C425="",E425="Add to Pantry"),"",ROUND(N(D425)*INDEX(Pantry!$N$6:$N$305,MATCH(C425,Pantry!$B$6:$B$305,0)),2))</f>
        <v/>
      </c>
      <c r="G425" s="35">
        <f>IF(OR(B425="",C425=""),"",IFERROR(ROUND(N(D425)*N(INDEX(Recipes!$H$6:$H$105,MATCH(B425,Recipes!$B$6:$B$105,0)))/IF(N(INDEX(Recipes!$D$6:$D$105,MATCH(B425,Recipes!$B$6:$B$105,0)))&gt;0,INDEX(Recipes!$D$6:$D$105,MATCH(B425,Recipes!$B$6:$B$105,0)),1),2),0))</f>
        <v/>
      </c>
      <c r="H425" s="1" t="n"/>
    </row>
    <row r="426">
      <c r="A426" s="1" t="n"/>
      <c r="B426" s="33" t="n"/>
      <c r="C426" s="33" t="n"/>
      <c r="D426" s="31" t="n"/>
      <c r="E426" s="35">
        <f>IF(C426="","",IFERROR(INDEX(Pantry!$C$6:$C$305,MATCH(C426,Pantry!$B$6:$B$305,0))&amp;"","Add to Pantry"))</f>
        <v/>
      </c>
      <c r="F426" s="25">
        <f>IF(OR(C426="",E426="Add to Pantry"),"",ROUND(N(D426)*INDEX(Pantry!$N$6:$N$305,MATCH(C426,Pantry!$B$6:$B$305,0)),2))</f>
        <v/>
      </c>
      <c r="G426" s="35">
        <f>IF(OR(B426="",C426=""),"",IFERROR(ROUND(N(D426)*N(INDEX(Recipes!$H$6:$H$105,MATCH(B426,Recipes!$B$6:$B$105,0)))/IF(N(INDEX(Recipes!$D$6:$D$105,MATCH(B426,Recipes!$B$6:$B$105,0)))&gt;0,INDEX(Recipes!$D$6:$D$105,MATCH(B426,Recipes!$B$6:$B$105,0)),1),2),0))</f>
        <v/>
      </c>
      <c r="H426" s="1" t="n"/>
    </row>
    <row r="427">
      <c r="A427" s="1" t="n"/>
      <c r="B427" s="33" t="n"/>
      <c r="C427" s="33" t="n"/>
      <c r="D427" s="31" t="n"/>
      <c r="E427" s="35">
        <f>IF(C427="","",IFERROR(INDEX(Pantry!$C$6:$C$305,MATCH(C427,Pantry!$B$6:$B$305,0))&amp;"","Add to Pantry"))</f>
        <v/>
      </c>
      <c r="F427" s="25">
        <f>IF(OR(C427="",E427="Add to Pantry"),"",ROUND(N(D427)*INDEX(Pantry!$N$6:$N$305,MATCH(C427,Pantry!$B$6:$B$305,0)),2))</f>
        <v/>
      </c>
      <c r="G427" s="35">
        <f>IF(OR(B427="",C427=""),"",IFERROR(ROUND(N(D427)*N(INDEX(Recipes!$H$6:$H$105,MATCH(B427,Recipes!$B$6:$B$105,0)))/IF(N(INDEX(Recipes!$D$6:$D$105,MATCH(B427,Recipes!$B$6:$B$105,0)))&gt;0,INDEX(Recipes!$D$6:$D$105,MATCH(B427,Recipes!$B$6:$B$105,0)),1),2),0))</f>
        <v/>
      </c>
      <c r="H427" s="1" t="n"/>
    </row>
    <row r="428">
      <c r="A428" s="1" t="n"/>
      <c r="B428" s="33" t="n"/>
      <c r="C428" s="33" t="n"/>
      <c r="D428" s="31" t="n"/>
      <c r="E428" s="35">
        <f>IF(C428="","",IFERROR(INDEX(Pantry!$C$6:$C$305,MATCH(C428,Pantry!$B$6:$B$305,0))&amp;"","Add to Pantry"))</f>
        <v/>
      </c>
      <c r="F428" s="25">
        <f>IF(OR(C428="",E428="Add to Pantry"),"",ROUND(N(D428)*INDEX(Pantry!$N$6:$N$305,MATCH(C428,Pantry!$B$6:$B$305,0)),2))</f>
        <v/>
      </c>
      <c r="G428" s="35">
        <f>IF(OR(B428="",C428=""),"",IFERROR(ROUND(N(D428)*N(INDEX(Recipes!$H$6:$H$105,MATCH(B428,Recipes!$B$6:$B$105,0)))/IF(N(INDEX(Recipes!$D$6:$D$105,MATCH(B428,Recipes!$B$6:$B$105,0)))&gt;0,INDEX(Recipes!$D$6:$D$105,MATCH(B428,Recipes!$B$6:$B$105,0)),1),2),0))</f>
        <v/>
      </c>
      <c r="H428" s="1" t="n"/>
    </row>
    <row r="429">
      <c r="A429" s="1" t="n"/>
      <c r="B429" s="33" t="n"/>
      <c r="C429" s="33" t="n"/>
      <c r="D429" s="31" t="n"/>
      <c r="E429" s="35">
        <f>IF(C429="","",IFERROR(INDEX(Pantry!$C$6:$C$305,MATCH(C429,Pantry!$B$6:$B$305,0))&amp;"","Add to Pantry"))</f>
        <v/>
      </c>
      <c r="F429" s="25">
        <f>IF(OR(C429="",E429="Add to Pantry"),"",ROUND(N(D429)*INDEX(Pantry!$N$6:$N$305,MATCH(C429,Pantry!$B$6:$B$305,0)),2))</f>
        <v/>
      </c>
      <c r="G429" s="35">
        <f>IF(OR(B429="",C429=""),"",IFERROR(ROUND(N(D429)*N(INDEX(Recipes!$H$6:$H$105,MATCH(B429,Recipes!$B$6:$B$105,0)))/IF(N(INDEX(Recipes!$D$6:$D$105,MATCH(B429,Recipes!$B$6:$B$105,0)))&gt;0,INDEX(Recipes!$D$6:$D$105,MATCH(B429,Recipes!$B$6:$B$105,0)),1),2),0))</f>
        <v/>
      </c>
      <c r="H429" s="1" t="n"/>
    </row>
    <row r="430">
      <c r="A430" s="1" t="n"/>
      <c r="B430" s="33" t="n"/>
      <c r="C430" s="33" t="n"/>
      <c r="D430" s="31" t="n"/>
      <c r="E430" s="35">
        <f>IF(C430="","",IFERROR(INDEX(Pantry!$C$6:$C$305,MATCH(C430,Pantry!$B$6:$B$305,0))&amp;"","Add to Pantry"))</f>
        <v/>
      </c>
      <c r="F430" s="25">
        <f>IF(OR(C430="",E430="Add to Pantry"),"",ROUND(N(D430)*INDEX(Pantry!$N$6:$N$305,MATCH(C430,Pantry!$B$6:$B$305,0)),2))</f>
        <v/>
      </c>
      <c r="G430" s="35">
        <f>IF(OR(B430="",C430=""),"",IFERROR(ROUND(N(D430)*N(INDEX(Recipes!$H$6:$H$105,MATCH(B430,Recipes!$B$6:$B$105,0)))/IF(N(INDEX(Recipes!$D$6:$D$105,MATCH(B430,Recipes!$B$6:$B$105,0)))&gt;0,INDEX(Recipes!$D$6:$D$105,MATCH(B430,Recipes!$B$6:$B$105,0)),1),2),0))</f>
        <v/>
      </c>
      <c r="H430" s="1" t="n"/>
    </row>
    <row r="431">
      <c r="A431" s="1" t="n"/>
      <c r="B431" s="33" t="n"/>
      <c r="C431" s="33" t="n"/>
      <c r="D431" s="31" t="n"/>
      <c r="E431" s="35">
        <f>IF(C431="","",IFERROR(INDEX(Pantry!$C$6:$C$305,MATCH(C431,Pantry!$B$6:$B$305,0))&amp;"","Add to Pantry"))</f>
        <v/>
      </c>
      <c r="F431" s="25">
        <f>IF(OR(C431="",E431="Add to Pantry"),"",ROUND(N(D431)*INDEX(Pantry!$N$6:$N$305,MATCH(C431,Pantry!$B$6:$B$305,0)),2))</f>
        <v/>
      </c>
      <c r="G431" s="35">
        <f>IF(OR(B431="",C431=""),"",IFERROR(ROUND(N(D431)*N(INDEX(Recipes!$H$6:$H$105,MATCH(B431,Recipes!$B$6:$B$105,0)))/IF(N(INDEX(Recipes!$D$6:$D$105,MATCH(B431,Recipes!$B$6:$B$105,0)))&gt;0,INDEX(Recipes!$D$6:$D$105,MATCH(B431,Recipes!$B$6:$B$105,0)),1),2),0))</f>
        <v/>
      </c>
      <c r="H431" s="1" t="n"/>
    </row>
    <row r="432">
      <c r="A432" s="1" t="n"/>
      <c r="B432" s="33" t="n"/>
      <c r="C432" s="33" t="n"/>
      <c r="D432" s="31" t="n"/>
      <c r="E432" s="35">
        <f>IF(C432="","",IFERROR(INDEX(Pantry!$C$6:$C$305,MATCH(C432,Pantry!$B$6:$B$305,0))&amp;"","Add to Pantry"))</f>
        <v/>
      </c>
      <c r="F432" s="25">
        <f>IF(OR(C432="",E432="Add to Pantry"),"",ROUND(N(D432)*INDEX(Pantry!$N$6:$N$305,MATCH(C432,Pantry!$B$6:$B$305,0)),2))</f>
        <v/>
      </c>
      <c r="G432" s="35">
        <f>IF(OR(B432="",C432=""),"",IFERROR(ROUND(N(D432)*N(INDEX(Recipes!$H$6:$H$105,MATCH(B432,Recipes!$B$6:$B$105,0)))/IF(N(INDEX(Recipes!$D$6:$D$105,MATCH(B432,Recipes!$B$6:$B$105,0)))&gt;0,INDEX(Recipes!$D$6:$D$105,MATCH(B432,Recipes!$B$6:$B$105,0)),1),2),0))</f>
        <v/>
      </c>
      <c r="H432" s="1" t="n"/>
    </row>
    <row r="433">
      <c r="A433" s="1" t="n"/>
      <c r="B433" s="33" t="n"/>
      <c r="C433" s="33" t="n"/>
      <c r="D433" s="31" t="n"/>
      <c r="E433" s="35">
        <f>IF(C433="","",IFERROR(INDEX(Pantry!$C$6:$C$305,MATCH(C433,Pantry!$B$6:$B$305,0))&amp;"","Add to Pantry"))</f>
        <v/>
      </c>
      <c r="F433" s="25">
        <f>IF(OR(C433="",E433="Add to Pantry"),"",ROUND(N(D433)*INDEX(Pantry!$N$6:$N$305,MATCH(C433,Pantry!$B$6:$B$305,0)),2))</f>
        <v/>
      </c>
      <c r="G433" s="35">
        <f>IF(OR(B433="",C433=""),"",IFERROR(ROUND(N(D433)*N(INDEX(Recipes!$H$6:$H$105,MATCH(B433,Recipes!$B$6:$B$105,0)))/IF(N(INDEX(Recipes!$D$6:$D$105,MATCH(B433,Recipes!$B$6:$B$105,0)))&gt;0,INDEX(Recipes!$D$6:$D$105,MATCH(B433,Recipes!$B$6:$B$105,0)),1),2),0))</f>
        <v/>
      </c>
      <c r="H433" s="1" t="n"/>
    </row>
    <row r="434">
      <c r="A434" s="1" t="n"/>
      <c r="B434" s="33" t="n"/>
      <c r="C434" s="33" t="n"/>
      <c r="D434" s="31" t="n"/>
      <c r="E434" s="35">
        <f>IF(C434="","",IFERROR(INDEX(Pantry!$C$6:$C$305,MATCH(C434,Pantry!$B$6:$B$305,0))&amp;"","Add to Pantry"))</f>
        <v/>
      </c>
      <c r="F434" s="25">
        <f>IF(OR(C434="",E434="Add to Pantry"),"",ROUND(N(D434)*INDEX(Pantry!$N$6:$N$305,MATCH(C434,Pantry!$B$6:$B$305,0)),2))</f>
        <v/>
      </c>
      <c r="G434" s="35">
        <f>IF(OR(B434="",C434=""),"",IFERROR(ROUND(N(D434)*N(INDEX(Recipes!$H$6:$H$105,MATCH(B434,Recipes!$B$6:$B$105,0)))/IF(N(INDEX(Recipes!$D$6:$D$105,MATCH(B434,Recipes!$B$6:$B$105,0)))&gt;0,INDEX(Recipes!$D$6:$D$105,MATCH(B434,Recipes!$B$6:$B$105,0)),1),2),0))</f>
        <v/>
      </c>
      <c r="H434" s="1" t="n"/>
    </row>
    <row r="435">
      <c r="A435" s="1" t="n"/>
      <c r="B435" s="33" t="n"/>
      <c r="C435" s="33" t="n"/>
      <c r="D435" s="31" t="n"/>
      <c r="E435" s="35">
        <f>IF(C435="","",IFERROR(INDEX(Pantry!$C$6:$C$305,MATCH(C435,Pantry!$B$6:$B$305,0))&amp;"","Add to Pantry"))</f>
        <v/>
      </c>
      <c r="F435" s="25">
        <f>IF(OR(C435="",E435="Add to Pantry"),"",ROUND(N(D435)*INDEX(Pantry!$N$6:$N$305,MATCH(C435,Pantry!$B$6:$B$305,0)),2))</f>
        <v/>
      </c>
      <c r="G435" s="35">
        <f>IF(OR(B435="",C435=""),"",IFERROR(ROUND(N(D435)*N(INDEX(Recipes!$H$6:$H$105,MATCH(B435,Recipes!$B$6:$B$105,0)))/IF(N(INDEX(Recipes!$D$6:$D$105,MATCH(B435,Recipes!$B$6:$B$105,0)))&gt;0,INDEX(Recipes!$D$6:$D$105,MATCH(B435,Recipes!$B$6:$B$105,0)),1),2),0))</f>
        <v/>
      </c>
      <c r="H435" s="1" t="n"/>
    </row>
    <row r="436">
      <c r="A436" s="1" t="n"/>
      <c r="B436" s="33" t="n"/>
      <c r="C436" s="33" t="n"/>
      <c r="D436" s="31" t="n"/>
      <c r="E436" s="35">
        <f>IF(C436="","",IFERROR(INDEX(Pantry!$C$6:$C$305,MATCH(C436,Pantry!$B$6:$B$305,0))&amp;"","Add to Pantry"))</f>
        <v/>
      </c>
      <c r="F436" s="25">
        <f>IF(OR(C436="",E436="Add to Pantry"),"",ROUND(N(D436)*INDEX(Pantry!$N$6:$N$305,MATCH(C436,Pantry!$B$6:$B$305,0)),2))</f>
        <v/>
      </c>
      <c r="G436" s="35">
        <f>IF(OR(B436="",C436=""),"",IFERROR(ROUND(N(D436)*N(INDEX(Recipes!$H$6:$H$105,MATCH(B436,Recipes!$B$6:$B$105,0)))/IF(N(INDEX(Recipes!$D$6:$D$105,MATCH(B436,Recipes!$B$6:$B$105,0)))&gt;0,INDEX(Recipes!$D$6:$D$105,MATCH(B436,Recipes!$B$6:$B$105,0)),1),2),0))</f>
        <v/>
      </c>
      <c r="H436" s="1" t="n"/>
    </row>
    <row r="437">
      <c r="A437" s="1" t="n"/>
      <c r="B437" s="33" t="n"/>
      <c r="C437" s="33" t="n"/>
      <c r="D437" s="31" t="n"/>
      <c r="E437" s="35">
        <f>IF(C437="","",IFERROR(INDEX(Pantry!$C$6:$C$305,MATCH(C437,Pantry!$B$6:$B$305,0))&amp;"","Add to Pantry"))</f>
        <v/>
      </c>
      <c r="F437" s="25">
        <f>IF(OR(C437="",E437="Add to Pantry"),"",ROUND(N(D437)*INDEX(Pantry!$N$6:$N$305,MATCH(C437,Pantry!$B$6:$B$305,0)),2))</f>
        <v/>
      </c>
      <c r="G437" s="35">
        <f>IF(OR(B437="",C437=""),"",IFERROR(ROUND(N(D437)*N(INDEX(Recipes!$H$6:$H$105,MATCH(B437,Recipes!$B$6:$B$105,0)))/IF(N(INDEX(Recipes!$D$6:$D$105,MATCH(B437,Recipes!$B$6:$B$105,0)))&gt;0,INDEX(Recipes!$D$6:$D$105,MATCH(B437,Recipes!$B$6:$B$105,0)),1),2),0))</f>
        <v/>
      </c>
      <c r="H437" s="1" t="n"/>
    </row>
    <row r="438">
      <c r="A438" s="1" t="n"/>
      <c r="B438" s="33" t="n"/>
      <c r="C438" s="33" t="n"/>
      <c r="D438" s="31" t="n"/>
      <c r="E438" s="35">
        <f>IF(C438="","",IFERROR(INDEX(Pantry!$C$6:$C$305,MATCH(C438,Pantry!$B$6:$B$305,0))&amp;"","Add to Pantry"))</f>
        <v/>
      </c>
      <c r="F438" s="25">
        <f>IF(OR(C438="",E438="Add to Pantry"),"",ROUND(N(D438)*INDEX(Pantry!$N$6:$N$305,MATCH(C438,Pantry!$B$6:$B$305,0)),2))</f>
        <v/>
      </c>
      <c r="G438" s="35">
        <f>IF(OR(B438="",C438=""),"",IFERROR(ROUND(N(D438)*N(INDEX(Recipes!$H$6:$H$105,MATCH(B438,Recipes!$B$6:$B$105,0)))/IF(N(INDEX(Recipes!$D$6:$D$105,MATCH(B438,Recipes!$B$6:$B$105,0)))&gt;0,INDEX(Recipes!$D$6:$D$105,MATCH(B438,Recipes!$B$6:$B$105,0)),1),2),0))</f>
        <v/>
      </c>
      <c r="H438" s="1" t="n"/>
    </row>
    <row r="439">
      <c r="A439" s="1" t="n"/>
      <c r="B439" s="33" t="n"/>
      <c r="C439" s="33" t="n"/>
      <c r="D439" s="31" t="n"/>
      <c r="E439" s="35">
        <f>IF(C439="","",IFERROR(INDEX(Pantry!$C$6:$C$305,MATCH(C439,Pantry!$B$6:$B$305,0))&amp;"","Add to Pantry"))</f>
        <v/>
      </c>
      <c r="F439" s="25">
        <f>IF(OR(C439="",E439="Add to Pantry"),"",ROUND(N(D439)*INDEX(Pantry!$N$6:$N$305,MATCH(C439,Pantry!$B$6:$B$305,0)),2))</f>
        <v/>
      </c>
      <c r="G439" s="35">
        <f>IF(OR(B439="",C439=""),"",IFERROR(ROUND(N(D439)*N(INDEX(Recipes!$H$6:$H$105,MATCH(B439,Recipes!$B$6:$B$105,0)))/IF(N(INDEX(Recipes!$D$6:$D$105,MATCH(B439,Recipes!$B$6:$B$105,0)))&gt;0,INDEX(Recipes!$D$6:$D$105,MATCH(B439,Recipes!$B$6:$B$105,0)),1),2),0))</f>
        <v/>
      </c>
      <c r="H439" s="1" t="n"/>
    </row>
    <row r="440">
      <c r="A440" s="1" t="n"/>
      <c r="B440" s="33" t="n"/>
      <c r="C440" s="33" t="n"/>
      <c r="D440" s="31" t="n"/>
      <c r="E440" s="35">
        <f>IF(C440="","",IFERROR(INDEX(Pantry!$C$6:$C$305,MATCH(C440,Pantry!$B$6:$B$305,0))&amp;"","Add to Pantry"))</f>
        <v/>
      </c>
      <c r="F440" s="25">
        <f>IF(OR(C440="",E440="Add to Pantry"),"",ROUND(N(D440)*INDEX(Pantry!$N$6:$N$305,MATCH(C440,Pantry!$B$6:$B$305,0)),2))</f>
        <v/>
      </c>
      <c r="G440" s="35">
        <f>IF(OR(B440="",C440=""),"",IFERROR(ROUND(N(D440)*N(INDEX(Recipes!$H$6:$H$105,MATCH(B440,Recipes!$B$6:$B$105,0)))/IF(N(INDEX(Recipes!$D$6:$D$105,MATCH(B440,Recipes!$B$6:$B$105,0)))&gt;0,INDEX(Recipes!$D$6:$D$105,MATCH(B440,Recipes!$B$6:$B$105,0)),1),2),0))</f>
        <v/>
      </c>
      <c r="H440" s="1" t="n"/>
    </row>
    <row r="441">
      <c r="A441" s="1" t="n"/>
      <c r="B441" s="33" t="n"/>
      <c r="C441" s="33" t="n"/>
      <c r="D441" s="31" t="n"/>
      <c r="E441" s="35">
        <f>IF(C441="","",IFERROR(INDEX(Pantry!$C$6:$C$305,MATCH(C441,Pantry!$B$6:$B$305,0))&amp;"","Add to Pantry"))</f>
        <v/>
      </c>
      <c r="F441" s="25">
        <f>IF(OR(C441="",E441="Add to Pantry"),"",ROUND(N(D441)*INDEX(Pantry!$N$6:$N$305,MATCH(C441,Pantry!$B$6:$B$305,0)),2))</f>
        <v/>
      </c>
      <c r="G441" s="35">
        <f>IF(OR(B441="",C441=""),"",IFERROR(ROUND(N(D441)*N(INDEX(Recipes!$H$6:$H$105,MATCH(B441,Recipes!$B$6:$B$105,0)))/IF(N(INDEX(Recipes!$D$6:$D$105,MATCH(B441,Recipes!$B$6:$B$105,0)))&gt;0,INDEX(Recipes!$D$6:$D$105,MATCH(B441,Recipes!$B$6:$B$105,0)),1),2),0))</f>
        <v/>
      </c>
      <c r="H441" s="1" t="n"/>
    </row>
    <row r="442">
      <c r="A442" s="1" t="n"/>
      <c r="B442" s="33" t="n"/>
      <c r="C442" s="33" t="n"/>
      <c r="D442" s="31" t="n"/>
      <c r="E442" s="35">
        <f>IF(C442="","",IFERROR(INDEX(Pantry!$C$6:$C$305,MATCH(C442,Pantry!$B$6:$B$305,0))&amp;"","Add to Pantry"))</f>
        <v/>
      </c>
      <c r="F442" s="25">
        <f>IF(OR(C442="",E442="Add to Pantry"),"",ROUND(N(D442)*INDEX(Pantry!$N$6:$N$305,MATCH(C442,Pantry!$B$6:$B$305,0)),2))</f>
        <v/>
      </c>
      <c r="G442" s="35">
        <f>IF(OR(B442="",C442=""),"",IFERROR(ROUND(N(D442)*N(INDEX(Recipes!$H$6:$H$105,MATCH(B442,Recipes!$B$6:$B$105,0)))/IF(N(INDEX(Recipes!$D$6:$D$105,MATCH(B442,Recipes!$B$6:$B$105,0)))&gt;0,INDEX(Recipes!$D$6:$D$105,MATCH(B442,Recipes!$B$6:$B$105,0)),1),2),0))</f>
        <v/>
      </c>
      <c r="H442" s="1" t="n"/>
    </row>
    <row r="443">
      <c r="A443" s="1" t="n"/>
      <c r="B443" s="33" t="n"/>
      <c r="C443" s="33" t="n"/>
      <c r="D443" s="31" t="n"/>
      <c r="E443" s="35">
        <f>IF(C443="","",IFERROR(INDEX(Pantry!$C$6:$C$305,MATCH(C443,Pantry!$B$6:$B$305,0))&amp;"","Add to Pantry"))</f>
        <v/>
      </c>
      <c r="F443" s="25">
        <f>IF(OR(C443="",E443="Add to Pantry"),"",ROUND(N(D443)*INDEX(Pantry!$N$6:$N$305,MATCH(C443,Pantry!$B$6:$B$305,0)),2))</f>
        <v/>
      </c>
      <c r="G443" s="35">
        <f>IF(OR(B443="",C443=""),"",IFERROR(ROUND(N(D443)*N(INDEX(Recipes!$H$6:$H$105,MATCH(B443,Recipes!$B$6:$B$105,0)))/IF(N(INDEX(Recipes!$D$6:$D$105,MATCH(B443,Recipes!$B$6:$B$105,0)))&gt;0,INDEX(Recipes!$D$6:$D$105,MATCH(B443,Recipes!$B$6:$B$105,0)),1),2),0))</f>
        <v/>
      </c>
      <c r="H443" s="1" t="n"/>
    </row>
    <row r="444">
      <c r="A444" s="1" t="n"/>
      <c r="B444" s="33" t="n"/>
      <c r="C444" s="33" t="n"/>
      <c r="D444" s="31" t="n"/>
      <c r="E444" s="35">
        <f>IF(C444="","",IFERROR(INDEX(Pantry!$C$6:$C$305,MATCH(C444,Pantry!$B$6:$B$305,0))&amp;"","Add to Pantry"))</f>
        <v/>
      </c>
      <c r="F444" s="25">
        <f>IF(OR(C444="",E444="Add to Pantry"),"",ROUND(N(D444)*INDEX(Pantry!$N$6:$N$305,MATCH(C444,Pantry!$B$6:$B$305,0)),2))</f>
        <v/>
      </c>
      <c r="G444" s="35">
        <f>IF(OR(B444="",C444=""),"",IFERROR(ROUND(N(D444)*N(INDEX(Recipes!$H$6:$H$105,MATCH(B444,Recipes!$B$6:$B$105,0)))/IF(N(INDEX(Recipes!$D$6:$D$105,MATCH(B444,Recipes!$B$6:$B$105,0)))&gt;0,INDEX(Recipes!$D$6:$D$105,MATCH(B444,Recipes!$B$6:$B$105,0)),1),2),0))</f>
        <v/>
      </c>
      <c r="H444" s="1" t="n"/>
    </row>
    <row r="445">
      <c r="A445" s="1" t="n"/>
      <c r="B445" s="33" t="n"/>
      <c r="C445" s="33" t="n"/>
      <c r="D445" s="31" t="n"/>
      <c r="E445" s="35">
        <f>IF(C445="","",IFERROR(INDEX(Pantry!$C$6:$C$305,MATCH(C445,Pantry!$B$6:$B$305,0))&amp;"","Add to Pantry"))</f>
        <v/>
      </c>
      <c r="F445" s="25">
        <f>IF(OR(C445="",E445="Add to Pantry"),"",ROUND(N(D445)*INDEX(Pantry!$N$6:$N$305,MATCH(C445,Pantry!$B$6:$B$305,0)),2))</f>
        <v/>
      </c>
      <c r="G445" s="35">
        <f>IF(OR(B445="",C445=""),"",IFERROR(ROUND(N(D445)*N(INDEX(Recipes!$H$6:$H$105,MATCH(B445,Recipes!$B$6:$B$105,0)))/IF(N(INDEX(Recipes!$D$6:$D$105,MATCH(B445,Recipes!$B$6:$B$105,0)))&gt;0,INDEX(Recipes!$D$6:$D$105,MATCH(B445,Recipes!$B$6:$B$105,0)),1),2),0))</f>
        <v/>
      </c>
      <c r="H445" s="1" t="n"/>
    </row>
    <row r="446">
      <c r="A446" s="1" t="n"/>
      <c r="B446" s="33" t="n"/>
      <c r="C446" s="33" t="n"/>
      <c r="D446" s="31" t="n"/>
      <c r="E446" s="35">
        <f>IF(C446="","",IFERROR(INDEX(Pantry!$C$6:$C$305,MATCH(C446,Pantry!$B$6:$B$305,0))&amp;"","Add to Pantry"))</f>
        <v/>
      </c>
      <c r="F446" s="25">
        <f>IF(OR(C446="",E446="Add to Pantry"),"",ROUND(N(D446)*INDEX(Pantry!$N$6:$N$305,MATCH(C446,Pantry!$B$6:$B$305,0)),2))</f>
        <v/>
      </c>
      <c r="G446" s="35">
        <f>IF(OR(B446="",C446=""),"",IFERROR(ROUND(N(D446)*N(INDEX(Recipes!$H$6:$H$105,MATCH(B446,Recipes!$B$6:$B$105,0)))/IF(N(INDEX(Recipes!$D$6:$D$105,MATCH(B446,Recipes!$B$6:$B$105,0)))&gt;0,INDEX(Recipes!$D$6:$D$105,MATCH(B446,Recipes!$B$6:$B$105,0)),1),2),0))</f>
        <v/>
      </c>
      <c r="H446" s="1" t="n"/>
    </row>
    <row r="447">
      <c r="A447" s="1" t="n"/>
      <c r="B447" s="33" t="n"/>
      <c r="C447" s="33" t="n"/>
      <c r="D447" s="31" t="n"/>
      <c r="E447" s="35">
        <f>IF(C447="","",IFERROR(INDEX(Pantry!$C$6:$C$305,MATCH(C447,Pantry!$B$6:$B$305,0))&amp;"","Add to Pantry"))</f>
        <v/>
      </c>
      <c r="F447" s="25">
        <f>IF(OR(C447="",E447="Add to Pantry"),"",ROUND(N(D447)*INDEX(Pantry!$N$6:$N$305,MATCH(C447,Pantry!$B$6:$B$305,0)),2))</f>
        <v/>
      </c>
      <c r="G447" s="35">
        <f>IF(OR(B447="",C447=""),"",IFERROR(ROUND(N(D447)*N(INDEX(Recipes!$H$6:$H$105,MATCH(B447,Recipes!$B$6:$B$105,0)))/IF(N(INDEX(Recipes!$D$6:$D$105,MATCH(B447,Recipes!$B$6:$B$105,0)))&gt;0,INDEX(Recipes!$D$6:$D$105,MATCH(B447,Recipes!$B$6:$B$105,0)),1),2),0))</f>
        <v/>
      </c>
      <c r="H447" s="1" t="n"/>
    </row>
    <row r="448">
      <c r="A448" s="1" t="n"/>
      <c r="B448" s="33" t="n"/>
      <c r="C448" s="33" t="n"/>
      <c r="D448" s="31" t="n"/>
      <c r="E448" s="35">
        <f>IF(C448="","",IFERROR(INDEX(Pantry!$C$6:$C$305,MATCH(C448,Pantry!$B$6:$B$305,0))&amp;"","Add to Pantry"))</f>
        <v/>
      </c>
      <c r="F448" s="25">
        <f>IF(OR(C448="",E448="Add to Pantry"),"",ROUND(N(D448)*INDEX(Pantry!$N$6:$N$305,MATCH(C448,Pantry!$B$6:$B$305,0)),2))</f>
        <v/>
      </c>
      <c r="G448" s="35">
        <f>IF(OR(B448="",C448=""),"",IFERROR(ROUND(N(D448)*N(INDEX(Recipes!$H$6:$H$105,MATCH(B448,Recipes!$B$6:$B$105,0)))/IF(N(INDEX(Recipes!$D$6:$D$105,MATCH(B448,Recipes!$B$6:$B$105,0)))&gt;0,INDEX(Recipes!$D$6:$D$105,MATCH(B448,Recipes!$B$6:$B$105,0)),1),2),0))</f>
        <v/>
      </c>
      <c r="H448" s="1" t="n"/>
    </row>
    <row r="449">
      <c r="A449" s="1" t="n"/>
      <c r="B449" s="33" t="n"/>
      <c r="C449" s="33" t="n"/>
      <c r="D449" s="31" t="n"/>
      <c r="E449" s="35">
        <f>IF(C449="","",IFERROR(INDEX(Pantry!$C$6:$C$305,MATCH(C449,Pantry!$B$6:$B$305,0))&amp;"","Add to Pantry"))</f>
        <v/>
      </c>
      <c r="F449" s="25">
        <f>IF(OR(C449="",E449="Add to Pantry"),"",ROUND(N(D449)*INDEX(Pantry!$N$6:$N$305,MATCH(C449,Pantry!$B$6:$B$305,0)),2))</f>
        <v/>
      </c>
      <c r="G449" s="35">
        <f>IF(OR(B449="",C449=""),"",IFERROR(ROUND(N(D449)*N(INDEX(Recipes!$H$6:$H$105,MATCH(B449,Recipes!$B$6:$B$105,0)))/IF(N(INDEX(Recipes!$D$6:$D$105,MATCH(B449,Recipes!$B$6:$B$105,0)))&gt;0,INDEX(Recipes!$D$6:$D$105,MATCH(B449,Recipes!$B$6:$B$105,0)),1),2),0))</f>
        <v/>
      </c>
      <c r="H449" s="1" t="n"/>
    </row>
    <row r="450">
      <c r="A450" s="1" t="n"/>
      <c r="B450" s="33" t="n"/>
      <c r="C450" s="33" t="n"/>
      <c r="D450" s="31" t="n"/>
      <c r="E450" s="35">
        <f>IF(C450="","",IFERROR(INDEX(Pantry!$C$6:$C$305,MATCH(C450,Pantry!$B$6:$B$305,0))&amp;"","Add to Pantry"))</f>
        <v/>
      </c>
      <c r="F450" s="25">
        <f>IF(OR(C450="",E450="Add to Pantry"),"",ROUND(N(D450)*INDEX(Pantry!$N$6:$N$305,MATCH(C450,Pantry!$B$6:$B$305,0)),2))</f>
        <v/>
      </c>
      <c r="G450" s="35">
        <f>IF(OR(B450="",C450=""),"",IFERROR(ROUND(N(D450)*N(INDEX(Recipes!$H$6:$H$105,MATCH(B450,Recipes!$B$6:$B$105,0)))/IF(N(INDEX(Recipes!$D$6:$D$105,MATCH(B450,Recipes!$B$6:$B$105,0)))&gt;0,INDEX(Recipes!$D$6:$D$105,MATCH(B450,Recipes!$B$6:$B$105,0)),1),2),0))</f>
        <v/>
      </c>
      <c r="H450" s="1" t="n"/>
    </row>
    <row r="451">
      <c r="A451" s="1" t="n"/>
      <c r="B451" s="33" t="n"/>
      <c r="C451" s="33" t="n"/>
      <c r="D451" s="31" t="n"/>
      <c r="E451" s="35">
        <f>IF(C451="","",IFERROR(INDEX(Pantry!$C$6:$C$305,MATCH(C451,Pantry!$B$6:$B$305,0))&amp;"","Add to Pantry"))</f>
        <v/>
      </c>
      <c r="F451" s="25">
        <f>IF(OR(C451="",E451="Add to Pantry"),"",ROUND(N(D451)*INDEX(Pantry!$N$6:$N$305,MATCH(C451,Pantry!$B$6:$B$305,0)),2))</f>
        <v/>
      </c>
      <c r="G451" s="35">
        <f>IF(OR(B451="",C451=""),"",IFERROR(ROUND(N(D451)*N(INDEX(Recipes!$H$6:$H$105,MATCH(B451,Recipes!$B$6:$B$105,0)))/IF(N(INDEX(Recipes!$D$6:$D$105,MATCH(B451,Recipes!$B$6:$B$105,0)))&gt;0,INDEX(Recipes!$D$6:$D$105,MATCH(B451,Recipes!$B$6:$B$105,0)),1),2),0))</f>
        <v/>
      </c>
      <c r="H451" s="1" t="n"/>
    </row>
    <row r="452">
      <c r="A452" s="1" t="n"/>
      <c r="B452" s="33" t="n"/>
      <c r="C452" s="33" t="n"/>
      <c r="D452" s="31" t="n"/>
      <c r="E452" s="35">
        <f>IF(C452="","",IFERROR(INDEX(Pantry!$C$6:$C$305,MATCH(C452,Pantry!$B$6:$B$305,0))&amp;"","Add to Pantry"))</f>
        <v/>
      </c>
      <c r="F452" s="25">
        <f>IF(OR(C452="",E452="Add to Pantry"),"",ROUND(N(D452)*INDEX(Pantry!$N$6:$N$305,MATCH(C452,Pantry!$B$6:$B$305,0)),2))</f>
        <v/>
      </c>
      <c r="G452" s="35">
        <f>IF(OR(B452="",C452=""),"",IFERROR(ROUND(N(D452)*N(INDEX(Recipes!$H$6:$H$105,MATCH(B452,Recipes!$B$6:$B$105,0)))/IF(N(INDEX(Recipes!$D$6:$D$105,MATCH(B452,Recipes!$B$6:$B$105,0)))&gt;0,INDEX(Recipes!$D$6:$D$105,MATCH(B452,Recipes!$B$6:$B$105,0)),1),2),0))</f>
        <v/>
      </c>
      <c r="H452" s="1" t="n"/>
    </row>
    <row r="453">
      <c r="A453" s="1" t="n"/>
      <c r="B453" s="33" t="n"/>
      <c r="C453" s="33" t="n"/>
      <c r="D453" s="31" t="n"/>
      <c r="E453" s="35">
        <f>IF(C453="","",IFERROR(INDEX(Pantry!$C$6:$C$305,MATCH(C453,Pantry!$B$6:$B$305,0))&amp;"","Add to Pantry"))</f>
        <v/>
      </c>
      <c r="F453" s="25">
        <f>IF(OR(C453="",E453="Add to Pantry"),"",ROUND(N(D453)*INDEX(Pantry!$N$6:$N$305,MATCH(C453,Pantry!$B$6:$B$305,0)),2))</f>
        <v/>
      </c>
      <c r="G453" s="35">
        <f>IF(OR(B453="",C453=""),"",IFERROR(ROUND(N(D453)*N(INDEX(Recipes!$H$6:$H$105,MATCH(B453,Recipes!$B$6:$B$105,0)))/IF(N(INDEX(Recipes!$D$6:$D$105,MATCH(B453,Recipes!$B$6:$B$105,0)))&gt;0,INDEX(Recipes!$D$6:$D$105,MATCH(B453,Recipes!$B$6:$B$105,0)),1),2),0))</f>
        <v/>
      </c>
      <c r="H453" s="1" t="n"/>
    </row>
    <row r="454">
      <c r="A454" s="1" t="n"/>
      <c r="B454" s="33" t="n"/>
      <c r="C454" s="33" t="n"/>
      <c r="D454" s="31" t="n"/>
      <c r="E454" s="35">
        <f>IF(C454="","",IFERROR(INDEX(Pantry!$C$6:$C$305,MATCH(C454,Pantry!$B$6:$B$305,0))&amp;"","Add to Pantry"))</f>
        <v/>
      </c>
      <c r="F454" s="25">
        <f>IF(OR(C454="",E454="Add to Pantry"),"",ROUND(N(D454)*INDEX(Pantry!$N$6:$N$305,MATCH(C454,Pantry!$B$6:$B$305,0)),2))</f>
        <v/>
      </c>
      <c r="G454" s="35">
        <f>IF(OR(B454="",C454=""),"",IFERROR(ROUND(N(D454)*N(INDEX(Recipes!$H$6:$H$105,MATCH(B454,Recipes!$B$6:$B$105,0)))/IF(N(INDEX(Recipes!$D$6:$D$105,MATCH(B454,Recipes!$B$6:$B$105,0)))&gt;0,INDEX(Recipes!$D$6:$D$105,MATCH(B454,Recipes!$B$6:$B$105,0)),1),2),0))</f>
        <v/>
      </c>
      <c r="H454" s="1" t="n"/>
    </row>
    <row r="455">
      <c r="A455" s="1" t="n"/>
      <c r="B455" s="33" t="n"/>
      <c r="C455" s="33" t="n"/>
      <c r="D455" s="31" t="n"/>
      <c r="E455" s="35">
        <f>IF(C455="","",IFERROR(INDEX(Pantry!$C$6:$C$305,MATCH(C455,Pantry!$B$6:$B$305,0))&amp;"","Add to Pantry"))</f>
        <v/>
      </c>
      <c r="F455" s="25">
        <f>IF(OR(C455="",E455="Add to Pantry"),"",ROUND(N(D455)*INDEX(Pantry!$N$6:$N$305,MATCH(C455,Pantry!$B$6:$B$305,0)),2))</f>
        <v/>
      </c>
      <c r="G455" s="35">
        <f>IF(OR(B455="",C455=""),"",IFERROR(ROUND(N(D455)*N(INDEX(Recipes!$H$6:$H$105,MATCH(B455,Recipes!$B$6:$B$105,0)))/IF(N(INDEX(Recipes!$D$6:$D$105,MATCH(B455,Recipes!$B$6:$B$105,0)))&gt;0,INDEX(Recipes!$D$6:$D$105,MATCH(B455,Recipes!$B$6:$B$105,0)),1),2),0))</f>
        <v/>
      </c>
      <c r="H455" s="1" t="n"/>
    </row>
    <row r="456">
      <c r="A456" s="1" t="n"/>
      <c r="B456" s="33" t="n"/>
      <c r="C456" s="33" t="n"/>
      <c r="D456" s="31" t="n"/>
      <c r="E456" s="35">
        <f>IF(C456="","",IFERROR(INDEX(Pantry!$C$6:$C$305,MATCH(C456,Pantry!$B$6:$B$305,0))&amp;"","Add to Pantry"))</f>
        <v/>
      </c>
      <c r="F456" s="25">
        <f>IF(OR(C456="",E456="Add to Pantry"),"",ROUND(N(D456)*INDEX(Pantry!$N$6:$N$305,MATCH(C456,Pantry!$B$6:$B$305,0)),2))</f>
        <v/>
      </c>
      <c r="G456" s="35">
        <f>IF(OR(B456="",C456=""),"",IFERROR(ROUND(N(D456)*N(INDEX(Recipes!$H$6:$H$105,MATCH(B456,Recipes!$B$6:$B$105,0)))/IF(N(INDEX(Recipes!$D$6:$D$105,MATCH(B456,Recipes!$B$6:$B$105,0)))&gt;0,INDEX(Recipes!$D$6:$D$105,MATCH(B456,Recipes!$B$6:$B$105,0)),1),2),0))</f>
        <v/>
      </c>
      <c r="H456" s="1" t="n"/>
    </row>
    <row r="457">
      <c r="A457" s="1" t="n"/>
      <c r="B457" s="33" t="n"/>
      <c r="C457" s="33" t="n"/>
      <c r="D457" s="31" t="n"/>
      <c r="E457" s="35">
        <f>IF(C457="","",IFERROR(INDEX(Pantry!$C$6:$C$305,MATCH(C457,Pantry!$B$6:$B$305,0))&amp;"","Add to Pantry"))</f>
        <v/>
      </c>
      <c r="F457" s="25">
        <f>IF(OR(C457="",E457="Add to Pantry"),"",ROUND(N(D457)*INDEX(Pantry!$N$6:$N$305,MATCH(C457,Pantry!$B$6:$B$305,0)),2))</f>
        <v/>
      </c>
      <c r="G457" s="35">
        <f>IF(OR(B457="",C457=""),"",IFERROR(ROUND(N(D457)*N(INDEX(Recipes!$H$6:$H$105,MATCH(B457,Recipes!$B$6:$B$105,0)))/IF(N(INDEX(Recipes!$D$6:$D$105,MATCH(B457,Recipes!$B$6:$B$105,0)))&gt;0,INDEX(Recipes!$D$6:$D$105,MATCH(B457,Recipes!$B$6:$B$105,0)),1),2),0))</f>
        <v/>
      </c>
      <c r="H457" s="1" t="n"/>
    </row>
    <row r="458">
      <c r="A458" s="1" t="n"/>
      <c r="B458" s="33" t="n"/>
      <c r="C458" s="33" t="n"/>
      <c r="D458" s="31" t="n"/>
      <c r="E458" s="35">
        <f>IF(C458="","",IFERROR(INDEX(Pantry!$C$6:$C$305,MATCH(C458,Pantry!$B$6:$B$305,0))&amp;"","Add to Pantry"))</f>
        <v/>
      </c>
      <c r="F458" s="25">
        <f>IF(OR(C458="",E458="Add to Pantry"),"",ROUND(N(D458)*INDEX(Pantry!$N$6:$N$305,MATCH(C458,Pantry!$B$6:$B$305,0)),2))</f>
        <v/>
      </c>
      <c r="G458" s="35">
        <f>IF(OR(B458="",C458=""),"",IFERROR(ROUND(N(D458)*N(INDEX(Recipes!$H$6:$H$105,MATCH(B458,Recipes!$B$6:$B$105,0)))/IF(N(INDEX(Recipes!$D$6:$D$105,MATCH(B458,Recipes!$B$6:$B$105,0)))&gt;0,INDEX(Recipes!$D$6:$D$105,MATCH(B458,Recipes!$B$6:$B$105,0)),1),2),0))</f>
        <v/>
      </c>
      <c r="H458" s="1" t="n"/>
    </row>
    <row r="459">
      <c r="A459" s="1" t="n"/>
      <c r="B459" s="33" t="n"/>
      <c r="C459" s="33" t="n"/>
      <c r="D459" s="31" t="n"/>
      <c r="E459" s="35">
        <f>IF(C459="","",IFERROR(INDEX(Pantry!$C$6:$C$305,MATCH(C459,Pantry!$B$6:$B$305,0))&amp;"","Add to Pantry"))</f>
        <v/>
      </c>
      <c r="F459" s="25">
        <f>IF(OR(C459="",E459="Add to Pantry"),"",ROUND(N(D459)*INDEX(Pantry!$N$6:$N$305,MATCH(C459,Pantry!$B$6:$B$305,0)),2))</f>
        <v/>
      </c>
      <c r="G459" s="35">
        <f>IF(OR(B459="",C459=""),"",IFERROR(ROUND(N(D459)*N(INDEX(Recipes!$H$6:$H$105,MATCH(B459,Recipes!$B$6:$B$105,0)))/IF(N(INDEX(Recipes!$D$6:$D$105,MATCH(B459,Recipes!$B$6:$B$105,0)))&gt;0,INDEX(Recipes!$D$6:$D$105,MATCH(B459,Recipes!$B$6:$B$105,0)),1),2),0))</f>
        <v/>
      </c>
      <c r="H459" s="1" t="n"/>
    </row>
    <row r="460">
      <c r="A460" s="1" t="n"/>
      <c r="B460" s="33" t="n"/>
      <c r="C460" s="33" t="n"/>
      <c r="D460" s="31" t="n"/>
      <c r="E460" s="35">
        <f>IF(C460="","",IFERROR(INDEX(Pantry!$C$6:$C$305,MATCH(C460,Pantry!$B$6:$B$305,0))&amp;"","Add to Pantry"))</f>
        <v/>
      </c>
      <c r="F460" s="25">
        <f>IF(OR(C460="",E460="Add to Pantry"),"",ROUND(N(D460)*INDEX(Pantry!$N$6:$N$305,MATCH(C460,Pantry!$B$6:$B$305,0)),2))</f>
        <v/>
      </c>
      <c r="G460" s="35">
        <f>IF(OR(B460="",C460=""),"",IFERROR(ROUND(N(D460)*N(INDEX(Recipes!$H$6:$H$105,MATCH(B460,Recipes!$B$6:$B$105,0)))/IF(N(INDEX(Recipes!$D$6:$D$105,MATCH(B460,Recipes!$B$6:$B$105,0)))&gt;0,INDEX(Recipes!$D$6:$D$105,MATCH(B460,Recipes!$B$6:$B$105,0)),1),2),0))</f>
        <v/>
      </c>
      <c r="H460" s="1" t="n"/>
    </row>
    <row r="461">
      <c r="A461" s="1" t="n"/>
      <c r="B461" s="33" t="n"/>
      <c r="C461" s="33" t="n"/>
      <c r="D461" s="31" t="n"/>
      <c r="E461" s="35">
        <f>IF(C461="","",IFERROR(INDEX(Pantry!$C$6:$C$305,MATCH(C461,Pantry!$B$6:$B$305,0))&amp;"","Add to Pantry"))</f>
        <v/>
      </c>
      <c r="F461" s="25">
        <f>IF(OR(C461="",E461="Add to Pantry"),"",ROUND(N(D461)*INDEX(Pantry!$N$6:$N$305,MATCH(C461,Pantry!$B$6:$B$305,0)),2))</f>
        <v/>
      </c>
      <c r="G461" s="35">
        <f>IF(OR(B461="",C461=""),"",IFERROR(ROUND(N(D461)*N(INDEX(Recipes!$H$6:$H$105,MATCH(B461,Recipes!$B$6:$B$105,0)))/IF(N(INDEX(Recipes!$D$6:$D$105,MATCH(B461,Recipes!$B$6:$B$105,0)))&gt;0,INDEX(Recipes!$D$6:$D$105,MATCH(B461,Recipes!$B$6:$B$105,0)),1),2),0))</f>
        <v/>
      </c>
      <c r="H461" s="1" t="n"/>
    </row>
    <row r="462">
      <c r="A462" s="1" t="n"/>
      <c r="B462" s="33" t="n"/>
      <c r="C462" s="33" t="n"/>
      <c r="D462" s="31" t="n"/>
      <c r="E462" s="35">
        <f>IF(C462="","",IFERROR(INDEX(Pantry!$C$6:$C$305,MATCH(C462,Pantry!$B$6:$B$305,0))&amp;"","Add to Pantry"))</f>
        <v/>
      </c>
      <c r="F462" s="25">
        <f>IF(OR(C462="",E462="Add to Pantry"),"",ROUND(N(D462)*INDEX(Pantry!$N$6:$N$305,MATCH(C462,Pantry!$B$6:$B$305,0)),2))</f>
        <v/>
      </c>
      <c r="G462" s="35">
        <f>IF(OR(B462="",C462=""),"",IFERROR(ROUND(N(D462)*N(INDEX(Recipes!$H$6:$H$105,MATCH(B462,Recipes!$B$6:$B$105,0)))/IF(N(INDEX(Recipes!$D$6:$D$105,MATCH(B462,Recipes!$B$6:$B$105,0)))&gt;0,INDEX(Recipes!$D$6:$D$105,MATCH(B462,Recipes!$B$6:$B$105,0)),1),2),0))</f>
        <v/>
      </c>
      <c r="H462" s="1" t="n"/>
    </row>
    <row r="463">
      <c r="A463" s="1" t="n"/>
      <c r="B463" s="33" t="n"/>
      <c r="C463" s="33" t="n"/>
      <c r="D463" s="31" t="n"/>
      <c r="E463" s="35">
        <f>IF(C463="","",IFERROR(INDEX(Pantry!$C$6:$C$305,MATCH(C463,Pantry!$B$6:$B$305,0))&amp;"","Add to Pantry"))</f>
        <v/>
      </c>
      <c r="F463" s="25">
        <f>IF(OR(C463="",E463="Add to Pantry"),"",ROUND(N(D463)*INDEX(Pantry!$N$6:$N$305,MATCH(C463,Pantry!$B$6:$B$305,0)),2))</f>
        <v/>
      </c>
      <c r="G463" s="35">
        <f>IF(OR(B463="",C463=""),"",IFERROR(ROUND(N(D463)*N(INDEX(Recipes!$H$6:$H$105,MATCH(B463,Recipes!$B$6:$B$105,0)))/IF(N(INDEX(Recipes!$D$6:$D$105,MATCH(B463,Recipes!$B$6:$B$105,0)))&gt;0,INDEX(Recipes!$D$6:$D$105,MATCH(B463,Recipes!$B$6:$B$105,0)),1),2),0))</f>
        <v/>
      </c>
      <c r="H463" s="1" t="n"/>
    </row>
    <row r="464">
      <c r="A464" s="1" t="n"/>
      <c r="B464" s="33" t="n"/>
      <c r="C464" s="33" t="n"/>
      <c r="D464" s="31" t="n"/>
      <c r="E464" s="35">
        <f>IF(C464="","",IFERROR(INDEX(Pantry!$C$6:$C$305,MATCH(C464,Pantry!$B$6:$B$305,0))&amp;"","Add to Pantry"))</f>
        <v/>
      </c>
      <c r="F464" s="25">
        <f>IF(OR(C464="",E464="Add to Pantry"),"",ROUND(N(D464)*INDEX(Pantry!$N$6:$N$305,MATCH(C464,Pantry!$B$6:$B$305,0)),2))</f>
        <v/>
      </c>
      <c r="G464" s="35">
        <f>IF(OR(B464="",C464=""),"",IFERROR(ROUND(N(D464)*N(INDEX(Recipes!$H$6:$H$105,MATCH(B464,Recipes!$B$6:$B$105,0)))/IF(N(INDEX(Recipes!$D$6:$D$105,MATCH(B464,Recipes!$B$6:$B$105,0)))&gt;0,INDEX(Recipes!$D$6:$D$105,MATCH(B464,Recipes!$B$6:$B$105,0)),1),2),0))</f>
        <v/>
      </c>
      <c r="H464" s="1" t="n"/>
    </row>
    <row r="465">
      <c r="A465" s="1" t="n"/>
      <c r="B465" s="33" t="n"/>
      <c r="C465" s="33" t="n"/>
      <c r="D465" s="31" t="n"/>
      <c r="E465" s="35">
        <f>IF(C465="","",IFERROR(INDEX(Pantry!$C$6:$C$305,MATCH(C465,Pantry!$B$6:$B$305,0))&amp;"","Add to Pantry"))</f>
        <v/>
      </c>
      <c r="F465" s="25">
        <f>IF(OR(C465="",E465="Add to Pantry"),"",ROUND(N(D465)*INDEX(Pantry!$N$6:$N$305,MATCH(C465,Pantry!$B$6:$B$305,0)),2))</f>
        <v/>
      </c>
      <c r="G465" s="35">
        <f>IF(OR(B465="",C465=""),"",IFERROR(ROUND(N(D465)*N(INDEX(Recipes!$H$6:$H$105,MATCH(B465,Recipes!$B$6:$B$105,0)))/IF(N(INDEX(Recipes!$D$6:$D$105,MATCH(B465,Recipes!$B$6:$B$105,0)))&gt;0,INDEX(Recipes!$D$6:$D$105,MATCH(B465,Recipes!$B$6:$B$105,0)),1),2),0))</f>
        <v/>
      </c>
      <c r="H465" s="1" t="n"/>
    </row>
    <row r="466">
      <c r="A466" s="1" t="n"/>
      <c r="B466" s="33" t="n"/>
      <c r="C466" s="33" t="n"/>
      <c r="D466" s="31" t="n"/>
      <c r="E466" s="35">
        <f>IF(C466="","",IFERROR(INDEX(Pantry!$C$6:$C$305,MATCH(C466,Pantry!$B$6:$B$305,0))&amp;"","Add to Pantry"))</f>
        <v/>
      </c>
      <c r="F466" s="25">
        <f>IF(OR(C466="",E466="Add to Pantry"),"",ROUND(N(D466)*INDEX(Pantry!$N$6:$N$305,MATCH(C466,Pantry!$B$6:$B$305,0)),2))</f>
        <v/>
      </c>
      <c r="G466" s="35">
        <f>IF(OR(B466="",C466=""),"",IFERROR(ROUND(N(D466)*N(INDEX(Recipes!$H$6:$H$105,MATCH(B466,Recipes!$B$6:$B$105,0)))/IF(N(INDEX(Recipes!$D$6:$D$105,MATCH(B466,Recipes!$B$6:$B$105,0)))&gt;0,INDEX(Recipes!$D$6:$D$105,MATCH(B466,Recipes!$B$6:$B$105,0)),1),2),0))</f>
        <v/>
      </c>
      <c r="H466" s="1" t="n"/>
    </row>
    <row r="467">
      <c r="A467" s="1" t="n"/>
      <c r="B467" s="33" t="n"/>
      <c r="C467" s="33" t="n"/>
      <c r="D467" s="31" t="n"/>
      <c r="E467" s="35">
        <f>IF(C467="","",IFERROR(INDEX(Pantry!$C$6:$C$305,MATCH(C467,Pantry!$B$6:$B$305,0))&amp;"","Add to Pantry"))</f>
        <v/>
      </c>
      <c r="F467" s="25">
        <f>IF(OR(C467="",E467="Add to Pantry"),"",ROUND(N(D467)*INDEX(Pantry!$N$6:$N$305,MATCH(C467,Pantry!$B$6:$B$305,0)),2))</f>
        <v/>
      </c>
      <c r="G467" s="35">
        <f>IF(OR(B467="",C467=""),"",IFERROR(ROUND(N(D467)*N(INDEX(Recipes!$H$6:$H$105,MATCH(B467,Recipes!$B$6:$B$105,0)))/IF(N(INDEX(Recipes!$D$6:$D$105,MATCH(B467,Recipes!$B$6:$B$105,0)))&gt;0,INDEX(Recipes!$D$6:$D$105,MATCH(B467,Recipes!$B$6:$B$105,0)),1),2),0))</f>
        <v/>
      </c>
      <c r="H467" s="1" t="n"/>
    </row>
    <row r="468">
      <c r="A468" s="1" t="n"/>
      <c r="B468" s="33" t="n"/>
      <c r="C468" s="33" t="n"/>
      <c r="D468" s="31" t="n"/>
      <c r="E468" s="35">
        <f>IF(C468="","",IFERROR(INDEX(Pantry!$C$6:$C$305,MATCH(C468,Pantry!$B$6:$B$305,0))&amp;"","Add to Pantry"))</f>
        <v/>
      </c>
      <c r="F468" s="25">
        <f>IF(OR(C468="",E468="Add to Pantry"),"",ROUND(N(D468)*INDEX(Pantry!$N$6:$N$305,MATCH(C468,Pantry!$B$6:$B$305,0)),2))</f>
        <v/>
      </c>
      <c r="G468" s="35">
        <f>IF(OR(B468="",C468=""),"",IFERROR(ROUND(N(D468)*N(INDEX(Recipes!$H$6:$H$105,MATCH(B468,Recipes!$B$6:$B$105,0)))/IF(N(INDEX(Recipes!$D$6:$D$105,MATCH(B468,Recipes!$B$6:$B$105,0)))&gt;0,INDEX(Recipes!$D$6:$D$105,MATCH(B468,Recipes!$B$6:$B$105,0)),1),2),0))</f>
        <v/>
      </c>
      <c r="H468" s="1" t="n"/>
    </row>
    <row r="469">
      <c r="A469" s="1" t="n"/>
      <c r="B469" s="33" t="n"/>
      <c r="C469" s="33" t="n"/>
      <c r="D469" s="31" t="n"/>
      <c r="E469" s="35">
        <f>IF(C469="","",IFERROR(INDEX(Pantry!$C$6:$C$305,MATCH(C469,Pantry!$B$6:$B$305,0))&amp;"","Add to Pantry"))</f>
        <v/>
      </c>
      <c r="F469" s="25">
        <f>IF(OR(C469="",E469="Add to Pantry"),"",ROUND(N(D469)*INDEX(Pantry!$N$6:$N$305,MATCH(C469,Pantry!$B$6:$B$305,0)),2))</f>
        <v/>
      </c>
      <c r="G469" s="35">
        <f>IF(OR(B469="",C469=""),"",IFERROR(ROUND(N(D469)*N(INDEX(Recipes!$H$6:$H$105,MATCH(B469,Recipes!$B$6:$B$105,0)))/IF(N(INDEX(Recipes!$D$6:$D$105,MATCH(B469,Recipes!$B$6:$B$105,0)))&gt;0,INDEX(Recipes!$D$6:$D$105,MATCH(B469,Recipes!$B$6:$B$105,0)),1),2),0))</f>
        <v/>
      </c>
      <c r="H469" s="1" t="n"/>
    </row>
    <row r="470">
      <c r="A470" s="1" t="n"/>
      <c r="B470" s="33" t="n"/>
      <c r="C470" s="33" t="n"/>
      <c r="D470" s="31" t="n"/>
      <c r="E470" s="35">
        <f>IF(C470="","",IFERROR(INDEX(Pantry!$C$6:$C$305,MATCH(C470,Pantry!$B$6:$B$305,0))&amp;"","Add to Pantry"))</f>
        <v/>
      </c>
      <c r="F470" s="25">
        <f>IF(OR(C470="",E470="Add to Pantry"),"",ROUND(N(D470)*INDEX(Pantry!$N$6:$N$305,MATCH(C470,Pantry!$B$6:$B$305,0)),2))</f>
        <v/>
      </c>
      <c r="G470" s="35">
        <f>IF(OR(B470="",C470=""),"",IFERROR(ROUND(N(D470)*N(INDEX(Recipes!$H$6:$H$105,MATCH(B470,Recipes!$B$6:$B$105,0)))/IF(N(INDEX(Recipes!$D$6:$D$105,MATCH(B470,Recipes!$B$6:$B$105,0)))&gt;0,INDEX(Recipes!$D$6:$D$105,MATCH(B470,Recipes!$B$6:$B$105,0)),1),2),0))</f>
        <v/>
      </c>
      <c r="H470" s="1" t="n"/>
    </row>
    <row r="471">
      <c r="A471" s="1" t="n"/>
      <c r="B471" s="33" t="n"/>
      <c r="C471" s="33" t="n"/>
      <c r="D471" s="31" t="n"/>
      <c r="E471" s="35">
        <f>IF(C471="","",IFERROR(INDEX(Pantry!$C$6:$C$305,MATCH(C471,Pantry!$B$6:$B$305,0))&amp;"","Add to Pantry"))</f>
        <v/>
      </c>
      <c r="F471" s="25">
        <f>IF(OR(C471="",E471="Add to Pantry"),"",ROUND(N(D471)*INDEX(Pantry!$N$6:$N$305,MATCH(C471,Pantry!$B$6:$B$305,0)),2))</f>
        <v/>
      </c>
      <c r="G471" s="35">
        <f>IF(OR(B471="",C471=""),"",IFERROR(ROUND(N(D471)*N(INDEX(Recipes!$H$6:$H$105,MATCH(B471,Recipes!$B$6:$B$105,0)))/IF(N(INDEX(Recipes!$D$6:$D$105,MATCH(B471,Recipes!$B$6:$B$105,0)))&gt;0,INDEX(Recipes!$D$6:$D$105,MATCH(B471,Recipes!$B$6:$B$105,0)),1),2),0))</f>
        <v/>
      </c>
      <c r="H471" s="1" t="n"/>
    </row>
    <row r="472">
      <c r="A472" s="1" t="n"/>
      <c r="B472" s="33" t="n"/>
      <c r="C472" s="33" t="n"/>
      <c r="D472" s="31" t="n"/>
      <c r="E472" s="35">
        <f>IF(C472="","",IFERROR(INDEX(Pantry!$C$6:$C$305,MATCH(C472,Pantry!$B$6:$B$305,0))&amp;"","Add to Pantry"))</f>
        <v/>
      </c>
      <c r="F472" s="25">
        <f>IF(OR(C472="",E472="Add to Pantry"),"",ROUND(N(D472)*INDEX(Pantry!$N$6:$N$305,MATCH(C472,Pantry!$B$6:$B$305,0)),2))</f>
        <v/>
      </c>
      <c r="G472" s="35">
        <f>IF(OR(B472="",C472=""),"",IFERROR(ROUND(N(D472)*N(INDEX(Recipes!$H$6:$H$105,MATCH(B472,Recipes!$B$6:$B$105,0)))/IF(N(INDEX(Recipes!$D$6:$D$105,MATCH(B472,Recipes!$B$6:$B$105,0)))&gt;0,INDEX(Recipes!$D$6:$D$105,MATCH(B472,Recipes!$B$6:$B$105,0)),1),2),0))</f>
        <v/>
      </c>
      <c r="H472" s="1" t="n"/>
    </row>
    <row r="473">
      <c r="A473" s="1" t="n"/>
      <c r="B473" s="33" t="n"/>
      <c r="C473" s="33" t="n"/>
      <c r="D473" s="31" t="n"/>
      <c r="E473" s="35">
        <f>IF(C473="","",IFERROR(INDEX(Pantry!$C$6:$C$305,MATCH(C473,Pantry!$B$6:$B$305,0))&amp;"","Add to Pantry"))</f>
        <v/>
      </c>
      <c r="F473" s="25">
        <f>IF(OR(C473="",E473="Add to Pantry"),"",ROUND(N(D473)*INDEX(Pantry!$N$6:$N$305,MATCH(C473,Pantry!$B$6:$B$305,0)),2))</f>
        <v/>
      </c>
      <c r="G473" s="35">
        <f>IF(OR(B473="",C473=""),"",IFERROR(ROUND(N(D473)*N(INDEX(Recipes!$H$6:$H$105,MATCH(B473,Recipes!$B$6:$B$105,0)))/IF(N(INDEX(Recipes!$D$6:$D$105,MATCH(B473,Recipes!$B$6:$B$105,0)))&gt;0,INDEX(Recipes!$D$6:$D$105,MATCH(B473,Recipes!$B$6:$B$105,0)),1),2),0))</f>
        <v/>
      </c>
      <c r="H473" s="1" t="n"/>
    </row>
    <row r="474">
      <c r="A474" s="1" t="n"/>
      <c r="B474" s="33" t="n"/>
      <c r="C474" s="33" t="n"/>
      <c r="D474" s="31" t="n"/>
      <c r="E474" s="35">
        <f>IF(C474="","",IFERROR(INDEX(Pantry!$C$6:$C$305,MATCH(C474,Pantry!$B$6:$B$305,0))&amp;"","Add to Pantry"))</f>
        <v/>
      </c>
      <c r="F474" s="25">
        <f>IF(OR(C474="",E474="Add to Pantry"),"",ROUND(N(D474)*INDEX(Pantry!$N$6:$N$305,MATCH(C474,Pantry!$B$6:$B$305,0)),2))</f>
        <v/>
      </c>
      <c r="G474" s="35">
        <f>IF(OR(B474="",C474=""),"",IFERROR(ROUND(N(D474)*N(INDEX(Recipes!$H$6:$H$105,MATCH(B474,Recipes!$B$6:$B$105,0)))/IF(N(INDEX(Recipes!$D$6:$D$105,MATCH(B474,Recipes!$B$6:$B$105,0)))&gt;0,INDEX(Recipes!$D$6:$D$105,MATCH(B474,Recipes!$B$6:$B$105,0)),1),2),0))</f>
        <v/>
      </c>
      <c r="H474" s="1" t="n"/>
    </row>
    <row r="475">
      <c r="A475" s="1" t="n"/>
      <c r="B475" s="33" t="n"/>
      <c r="C475" s="33" t="n"/>
      <c r="D475" s="31" t="n"/>
      <c r="E475" s="35">
        <f>IF(C475="","",IFERROR(INDEX(Pantry!$C$6:$C$305,MATCH(C475,Pantry!$B$6:$B$305,0))&amp;"","Add to Pantry"))</f>
        <v/>
      </c>
      <c r="F475" s="25">
        <f>IF(OR(C475="",E475="Add to Pantry"),"",ROUND(N(D475)*INDEX(Pantry!$N$6:$N$305,MATCH(C475,Pantry!$B$6:$B$305,0)),2))</f>
        <v/>
      </c>
      <c r="G475" s="35">
        <f>IF(OR(B475="",C475=""),"",IFERROR(ROUND(N(D475)*N(INDEX(Recipes!$H$6:$H$105,MATCH(B475,Recipes!$B$6:$B$105,0)))/IF(N(INDEX(Recipes!$D$6:$D$105,MATCH(B475,Recipes!$B$6:$B$105,0)))&gt;0,INDEX(Recipes!$D$6:$D$105,MATCH(B475,Recipes!$B$6:$B$105,0)),1),2),0))</f>
        <v/>
      </c>
      <c r="H475" s="1" t="n"/>
    </row>
    <row r="476">
      <c r="A476" s="1" t="n"/>
      <c r="B476" s="33" t="n"/>
      <c r="C476" s="33" t="n"/>
      <c r="D476" s="31" t="n"/>
      <c r="E476" s="35">
        <f>IF(C476="","",IFERROR(INDEX(Pantry!$C$6:$C$305,MATCH(C476,Pantry!$B$6:$B$305,0))&amp;"","Add to Pantry"))</f>
        <v/>
      </c>
      <c r="F476" s="25">
        <f>IF(OR(C476="",E476="Add to Pantry"),"",ROUND(N(D476)*INDEX(Pantry!$N$6:$N$305,MATCH(C476,Pantry!$B$6:$B$305,0)),2))</f>
        <v/>
      </c>
      <c r="G476" s="35">
        <f>IF(OR(B476="",C476=""),"",IFERROR(ROUND(N(D476)*N(INDEX(Recipes!$H$6:$H$105,MATCH(B476,Recipes!$B$6:$B$105,0)))/IF(N(INDEX(Recipes!$D$6:$D$105,MATCH(B476,Recipes!$B$6:$B$105,0)))&gt;0,INDEX(Recipes!$D$6:$D$105,MATCH(B476,Recipes!$B$6:$B$105,0)),1),2),0))</f>
        <v/>
      </c>
      <c r="H476" s="1" t="n"/>
    </row>
    <row r="477">
      <c r="A477" s="1" t="n"/>
      <c r="B477" s="33" t="n"/>
      <c r="C477" s="33" t="n"/>
      <c r="D477" s="31" t="n"/>
      <c r="E477" s="35">
        <f>IF(C477="","",IFERROR(INDEX(Pantry!$C$6:$C$305,MATCH(C477,Pantry!$B$6:$B$305,0))&amp;"","Add to Pantry"))</f>
        <v/>
      </c>
      <c r="F477" s="25">
        <f>IF(OR(C477="",E477="Add to Pantry"),"",ROUND(N(D477)*INDEX(Pantry!$N$6:$N$305,MATCH(C477,Pantry!$B$6:$B$305,0)),2))</f>
        <v/>
      </c>
      <c r="G477" s="35">
        <f>IF(OR(B477="",C477=""),"",IFERROR(ROUND(N(D477)*N(INDEX(Recipes!$H$6:$H$105,MATCH(B477,Recipes!$B$6:$B$105,0)))/IF(N(INDEX(Recipes!$D$6:$D$105,MATCH(B477,Recipes!$B$6:$B$105,0)))&gt;0,INDEX(Recipes!$D$6:$D$105,MATCH(B477,Recipes!$B$6:$B$105,0)),1),2),0))</f>
        <v/>
      </c>
      <c r="H477" s="1" t="n"/>
    </row>
    <row r="478">
      <c r="A478" s="1" t="n"/>
      <c r="B478" s="33" t="n"/>
      <c r="C478" s="33" t="n"/>
      <c r="D478" s="31" t="n"/>
      <c r="E478" s="35">
        <f>IF(C478="","",IFERROR(INDEX(Pantry!$C$6:$C$305,MATCH(C478,Pantry!$B$6:$B$305,0))&amp;"","Add to Pantry"))</f>
        <v/>
      </c>
      <c r="F478" s="25">
        <f>IF(OR(C478="",E478="Add to Pantry"),"",ROUND(N(D478)*INDEX(Pantry!$N$6:$N$305,MATCH(C478,Pantry!$B$6:$B$305,0)),2))</f>
        <v/>
      </c>
      <c r="G478" s="35">
        <f>IF(OR(B478="",C478=""),"",IFERROR(ROUND(N(D478)*N(INDEX(Recipes!$H$6:$H$105,MATCH(B478,Recipes!$B$6:$B$105,0)))/IF(N(INDEX(Recipes!$D$6:$D$105,MATCH(B478,Recipes!$B$6:$B$105,0)))&gt;0,INDEX(Recipes!$D$6:$D$105,MATCH(B478,Recipes!$B$6:$B$105,0)),1),2),0))</f>
        <v/>
      </c>
      <c r="H478" s="1" t="n"/>
    </row>
    <row r="479">
      <c r="A479" s="1" t="n"/>
      <c r="B479" s="33" t="n"/>
      <c r="C479" s="33" t="n"/>
      <c r="D479" s="31" t="n"/>
      <c r="E479" s="35">
        <f>IF(C479="","",IFERROR(INDEX(Pantry!$C$6:$C$305,MATCH(C479,Pantry!$B$6:$B$305,0))&amp;"","Add to Pantry"))</f>
        <v/>
      </c>
      <c r="F479" s="25">
        <f>IF(OR(C479="",E479="Add to Pantry"),"",ROUND(N(D479)*INDEX(Pantry!$N$6:$N$305,MATCH(C479,Pantry!$B$6:$B$305,0)),2))</f>
        <v/>
      </c>
      <c r="G479" s="35">
        <f>IF(OR(B479="",C479=""),"",IFERROR(ROUND(N(D479)*N(INDEX(Recipes!$H$6:$H$105,MATCH(B479,Recipes!$B$6:$B$105,0)))/IF(N(INDEX(Recipes!$D$6:$D$105,MATCH(B479,Recipes!$B$6:$B$105,0)))&gt;0,INDEX(Recipes!$D$6:$D$105,MATCH(B479,Recipes!$B$6:$B$105,0)),1),2),0))</f>
        <v/>
      </c>
      <c r="H479" s="1" t="n"/>
    </row>
    <row r="480">
      <c r="A480" s="1" t="n"/>
      <c r="B480" s="33" t="n"/>
      <c r="C480" s="33" t="n"/>
      <c r="D480" s="31" t="n"/>
      <c r="E480" s="35">
        <f>IF(C480="","",IFERROR(INDEX(Pantry!$C$6:$C$305,MATCH(C480,Pantry!$B$6:$B$305,0))&amp;"","Add to Pantry"))</f>
        <v/>
      </c>
      <c r="F480" s="25">
        <f>IF(OR(C480="",E480="Add to Pantry"),"",ROUND(N(D480)*INDEX(Pantry!$N$6:$N$305,MATCH(C480,Pantry!$B$6:$B$305,0)),2))</f>
        <v/>
      </c>
      <c r="G480" s="35">
        <f>IF(OR(B480="",C480=""),"",IFERROR(ROUND(N(D480)*N(INDEX(Recipes!$H$6:$H$105,MATCH(B480,Recipes!$B$6:$B$105,0)))/IF(N(INDEX(Recipes!$D$6:$D$105,MATCH(B480,Recipes!$B$6:$B$105,0)))&gt;0,INDEX(Recipes!$D$6:$D$105,MATCH(B480,Recipes!$B$6:$B$105,0)),1),2),0))</f>
        <v/>
      </c>
      <c r="H480" s="1" t="n"/>
    </row>
    <row r="481">
      <c r="A481" s="1" t="n"/>
      <c r="B481" s="33" t="n"/>
      <c r="C481" s="33" t="n"/>
      <c r="D481" s="31" t="n"/>
      <c r="E481" s="35">
        <f>IF(C481="","",IFERROR(INDEX(Pantry!$C$6:$C$305,MATCH(C481,Pantry!$B$6:$B$305,0))&amp;"","Add to Pantry"))</f>
        <v/>
      </c>
      <c r="F481" s="25">
        <f>IF(OR(C481="",E481="Add to Pantry"),"",ROUND(N(D481)*INDEX(Pantry!$N$6:$N$305,MATCH(C481,Pantry!$B$6:$B$305,0)),2))</f>
        <v/>
      </c>
      <c r="G481" s="35">
        <f>IF(OR(B481="",C481=""),"",IFERROR(ROUND(N(D481)*N(INDEX(Recipes!$H$6:$H$105,MATCH(B481,Recipes!$B$6:$B$105,0)))/IF(N(INDEX(Recipes!$D$6:$D$105,MATCH(B481,Recipes!$B$6:$B$105,0)))&gt;0,INDEX(Recipes!$D$6:$D$105,MATCH(B481,Recipes!$B$6:$B$105,0)),1),2),0))</f>
        <v/>
      </c>
      <c r="H481" s="1" t="n"/>
    </row>
    <row r="482">
      <c r="A482" s="1" t="n"/>
      <c r="B482" s="33" t="n"/>
      <c r="C482" s="33" t="n"/>
      <c r="D482" s="31" t="n"/>
      <c r="E482" s="35">
        <f>IF(C482="","",IFERROR(INDEX(Pantry!$C$6:$C$305,MATCH(C482,Pantry!$B$6:$B$305,0))&amp;"","Add to Pantry"))</f>
        <v/>
      </c>
      <c r="F482" s="25">
        <f>IF(OR(C482="",E482="Add to Pantry"),"",ROUND(N(D482)*INDEX(Pantry!$N$6:$N$305,MATCH(C482,Pantry!$B$6:$B$305,0)),2))</f>
        <v/>
      </c>
      <c r="G482" s="35">
        <f>IF(OR(B482="",C482=""),"",IFERROR(ROUND(N(D482)*N(INDEX(Recipes!$H$6:$H$105,MATCH(B482,Recipes!$B$6:$B$105,0)))/IF(N(INDEX(Recipes!$D$6:$D$105,MATCH(B482,Recipes!$B$6:$B$105,0)))&gt;0,INDEX(Recipes!$D$6:$D$105,MATCH(B482,Recipes!$B$6:$B$105,0)),1),2),0))</f>
        <v/>
      </c>
      <c r="H482" s="1" t="n"/>
    </row>
    <row r="483">
      <c r="A483" s="1" t="n"/>
      <c r="B483" s="33" t="n"/>
      <c r="C483" s="33" t="n"/>
      <c r="D483" s="31" t="n"/>
      <c r="E483" s="35">
        <f>IF(C483="","",IFERROR(INDEX(Pantry!$C$6:$C$305,MATCH(C483,Pantry!$B$6:$B$305,0))&amp;"","Add to Pantry"))</f>
        <v/>
      </c>
      <c r="F483" s="25">
        <f>IF(OR(C483="",E483="Add to Pantry"),"",ROUND(N(D483)*INDEX(Pantry!$N$6:$N$305,MATCH(C483,Pantry!$B$6:$B$305,0)),2))</f>
        <v/>
      </c>
      <c r="G483" s="35">
        <f>IF(OR(B483="",C483=""),"",IFERROR(ROUND(N(D483)*N(INDEX(Recipes!$H$6:$H$105,MATCH(B483,Recipes!$B$6:$B$105,0)))/IF(N(INDEX(Recipes!$D$6:$D$105,MATCH(B483,Recipes!$B$6:$B$105,0)))&gt;0,INDEX(Recipes!$D$6:$D$105,MATCH(B483,Recipes!$B$6:$B$105,0)),1),2),0))</f>
        <v/>
      </c>
      <c r="H483" s="1" t="n"/>
    </row>
    <row r="484">
      <c r="A484" s="1" t="n"/>
      <c r="B484" s="33" t="n"/>
      <c r="C484" s="33" t="n"/>
      <c r="D484" s="31" t="n"/>
      <c r="E484" s="35">
        <f>IF(C484="","",IFERROR(INDEX(Pantry!$C$6:$C$305,MATCH(C484,Pantry!$B$6:$B$305,0))&amp;"","Add to Pantry"))</f>
        <v/>
      </c>
      <c r="F484" s="25">
        <f>IF(OR(C484="",E484="Add to Pantry"),"",ROUND(N(D484)*INDEX(Pantry!$N$6:$N$305,MATCH(C484,Pantry!$B$6:$B$305,0)),2))</f>
        <v/>
      </c>
      <c r="G484" s="35">
        <f>IF(OR(B484="",C484=""),"",IFERROR(ROUND(N(D484)*N(INDEX(Recipes!$H$6:$H$105,MATCH(B484,Recipes!$B$6:$B$105,0)))/IF(N(INDEX(Recipes!$D$6:$D$105,MATCH(B484,Recipes!$B$6:$B$105,0)))&gt;0,INDEX(Recipes!$D$6:$D$105,MATCH(B484,Recipes!$B$6:$B$105,0)),1),2),0))</f>
        <v/>
      </c>
      <c r="H484" s="1" t="n"/>
    </row>
    <row r="485">
      <c r="A485" s="1" t="n"/>
      <c r="B485" s="33" t="n"/>
      <c r="C485" s="33" t="n"/>
      <c r="D485" s="31" t="n"/>
      <c r="E485" s="35">
        <f>IF(C485="","",IFERROR(INDEX(Pantry!$C$6:$C$305,MATCH(C485,Pantry!$B$6:$B$305,0))&amp;"","Add to Pantry"))</f>
        <v/>
      </c>
      <c r="F485" s="25">
        <f>IF(OR(C485="",E485="Add to Pantry"),"",ROUND(N(D485)*INDEX(Pantry!$N$6:$N$305,MATCH(C485,Pantry!$B$6:$B$305,0)),2))</f>
        <v/>
      </c>
      <c r="G485" s="35">
        <f>IF(OR(B485="",C485=""),"",IFERROR(ROUND(N(D485)*N(INDEX(Recipes!$H$6:$H$105,MATCH(B485,Recipes!$B$6:$B$105,0)))/IF(N(INDEX(Recipes!$D$6:$D$105,MATCH(B485,Recipes!$B$6:$B$105,0)))&gt;0,INDEX(Recipes!$D$6:$D$105,MATCH(B485,Recipes!$B$6:$B$105,0)),1),2),0))</f>
        <v/>
      </c>
      <c r="H485" s="1" t="n"/>
    </row>
    <row r="486">
      <c r="A486" s="1" t="n"/>
      <c r="B486" s="33" t="n"/>
      <c r="C486" s="33" t="n"/>
      <c r="D486" s="31" t="n"/>
      <c r="E486" s="35">
        <f>IF(C486="","",IFERROR(INDEX(Pantry!$C$6:$C$305,MATCH(C486,Pantry!$B$6:$B$305,0))&amp;"","Add to Pantry"))</f>
        <v/>
      </c>
      <c r="F486" s="25">
        <f>IF(OR(C486="",E486="Add to Pantry"),"",ROUND(N(D486)*INDEX(Pantry!$N$6:$N$305,MATCH(C486,Pantry!$B$6:$B$305,0)),2))</f>
        <v/>
      </c>
      <c r="G486" s="35">
        <f>IF(OR(B486="",C486=""),"",IFERROR(ROUND(N(D486)*N(INDEX(Recipes!$H$6:$H$105,MATCH(B486,Recipes!$B$6:$B$105,0)))/IF(N(INDEX(Recipes!$D$6:$D$105,MATCH(B486,Recipes!$B$6:$B$105,0)))&gt;0,INDEX(Recipes!$D$6:$D$105,MATCH(B486,Recipes!$B$6:$B$105,0)),1),2),0))</f>
        <v/>
      </c>
      <c r="H486" s="1" t="n"/>
    </row>
    <row r="487">
      <c r="A487" s="1" t="n"/>
      <c r="B487" s="33" t="n"/>
      <c r="C487" s="33" t="n"/>
      <c r="D487" s="31" t="n"/>
      <c r="E487" s="35">
        <f>IF(C487="","",IFERROR(INDEX(Pantry!$C$6:$C$305,MATCH(C487,Pantry!$B$6:$B$305,0))&amp;"","Add to Pantry"))</f>
        <v/>
      </c>
      <c r="F487" s="25">
        <f>IF(OR(C487="",E487="Add to Pantry"),"",ROUND(N(D487)*INDEX(Pantry!$N$6:$N$305,MATCH(C487,Pantry!$B$6:$B$305,0)),2))</f>
        <v/>
      </c>
      <c r="G487" s="35">
        <f>IF(OR(B487="",C487=""),"",IFERROR(ROUND(N(D487)*N(INDEX(Recipes!$H$6:$H$105,MATCH(B487,Recipes!$B$6:$B$105,0)))/IF(N(INDEX(Recipes!$D$6:$D$105,MATCH(B487,Recipes!$B$6:$B$105,0)))&gt;0,INDEX(Recipes!$D$6:$D$105,MATCH(B487,Recipes!$B$6:$B$105,0)),1),2),0))</f>
        <v/>
      </c>
      <c r="H487" s="1" t="n"/>
    </row>
    <row r="488">
      <c r="A488" s="1" t="n"/>
      <c r="B488" s="33" t="n"/>
      <c r="C488" s="33" t="n"/>
      <c r="D488" s="31" t="n"/>
      <c r="E488" s="35">
        <f>IF(C488="","",IFERROR(INDEX(Pantry!$C$6:$C$305,MATCH(C488,Pantry!$B$6:$B$305,0))&amp;"","Add to Pantry"))</f>
        <v/>
      </c>
      <c r="F488" s="25">
        <f>IF(OR(C488="",E488="Add to Pantry"),"",ROUND(N(D488)*INDEX(Pantry!$N$6:$N$305,MATCH(C488,Pantry!$B$6:$B$305,0)),2))</f>
        <v/>
      </c>
      <c r="G488" s="35">
        <f>IF(OR(B488="",C488=""),"",IFERROR(ROUND(N(D488)*N(INDEX(Recipes!$H$6:$H$105,MATCH(B488,Recipes!$B$6:$B$105,0)))/IF(N(INDEX(Recipes!$D$6:$D$105,MATCH(B488,Recipes!$B$6:$B$105,0)))&gt;0,INDEX(Recipes!$D$6:$D$105,MATCH(B488,Recipes!$B$6:$B$105,0)),1),2),0))</f>
        <v/>
      </c>
      <c r="H488" s="1" t="n"/>
    </row>
    <row r="489">
      <c r="A489" s="1" t="n"/>
      <c r="B489" s="33" t="n"/>
      <c r="C489" s="33" t="n"/>
      <c r="D489" s="31" t="n"/>
      <c r="E489" s="35">
        <f>IF(C489="","",IFERROR(INDEX(Pantry!$C$6:$C$305,MATCH(C489,Pantry!$B$6:$B$305,0))&amp;"","Add to Pantry"))</f>
        <v/>
      </c>
      <c r="F489" s="25">
        <f>IF(OR(C489="",E489="Add to Pantry"),"",ROUND(N(D489)*INDEX(Pantry!$N$6:$N$305,MATCH(C489,Pantry!$B$6:$B$305,0)),2))</f>
        <v/>
      </c>
      <c r="G489" s="35">
        <f>IF(OR(B489="",C489=""),"",IFERROR(ROUND(N(D489)*N(INDEX(Recipes!$H$6:$H$105,MATCH(B489,Recipes!$B$6:$B$105,0)))/IF(N(INDEX(Recipes!$D$6:$D$105,MATCH(B489,Recipes!$B$6:$B$105,0)))&gt;0,INDEX(Recipes!$D$6:$D$105,MATCH(B489,Recipes!$B$6:$B$105,0)),1),2),0))</f>
        <v/>
      </c>
      <c r="H489" s="1" t="n"/>
    </row>
    <row r="490">
      <c r="A490" s="1" t="n"/>
      <c r="B490" s="33" t="n"/>
      <c r="C490" s="33" t="n"/>
      <c r="D490" s="31" t="n"/>
      <c r="E490" s="35">
        <f>IF(C490="","",IFERROR(INDEX(Pantry!$C$6:$C$305,MATCH(C490,Pantry!$B$6:$B$305,0))&amp;"","Add to Pantry"))</f>
        <v/>
      </c>
      <c r="F490" s="25">
        <f>IF(OR(C490="",E490="Add to Pantry"),"",ROUND(N(D490)*INDEX(Pantry!$N$6:$N$305,MATCH(C490,Pantry!$B$6:$B$305,0)),2))</f>
        <v/>
      </c>
      <c r="G490" s="35">
        <f>IF(OR(B490="",C490=""),"",IFERROR(ROUND(N(D490)*N(INDEX(Recipes!$H$6:$H$105,MATCH(B490,Recipes!$B$6:$B$105,0)))/IF(N(INDEX(Recipes!$D$6:$D$105,MATCH(B490,Recipes!$B$6:$B$105,0)))&gt;0,INDEX(Recipes!$D$6:$D$105,MATCH(B490,Recipes!$B$6:$B$105,0)),1),2),0))</f>
        <v/>
      </c>
      <c r="H490" s="1" t="n"/>
    </row>
    <row r="491">
      <c r="A491" s="1" t="n"/>
      <c r="B491" s="33" t="n"/>
      <c r="C491" s="33" t="n"/>
      <c r="D491" s="31" t="n"/>
      <c r="E491" s="35">
        <f>IF(C491="","",IFERROR(INDEX(Pantry!$C$6:$C$305,MATCH(C491,Pantry!$B$6:$B$305,0))&amp;"","Add to Pantry"))</f>
        <v/>
      </c>
      <c r="F491" s="25">
        <f>IF(OR(C491="",E491="Add to Pantry"),"",ROUND(N(D491)*INDEX(Pantry!$N$6:$N$305,MATCH(C491,Pantry!$B$6:$B$305,0)),2))</f>
        <v/>
      </c>
      <c r="G491" s="35">
        <f>IF(OR(B491="",C491=""),"",IFERROR(ROUND(N(D491)*N(INDEX(Recipes!$H$6:$H$105,MATCH(B491,Recipes!$B$6:$B$105,0)))/IF(N(INDEX(Recipes!$D$6:$D$105,MATCH(B491,Recipes!$B$6:$B$105,0)))&gt;0,INDEX(Recipes!$D$6:$D$105,MATCH(B491,Recipes!$B$6:$B$105,0)),1),2),0))</f>
        <v/>
      </c>
      <c r="H491" s="1" t="n"/>
    </row>
    <row r="492">
      <c r="A492" s="1" t="n"/>
      <c r="B492" s="33" t="n"/>
      <c r="C492" s="33" t="n"/>
      <c r="D492" s="31" t="n"/>
      <c r="E492" s="35">
        <f>IF(C492="","",IFERROR(INDEX(Pantry!$C$6:$C$305,MATCH(C492,Pantry!$B$6:$B$305,0))&amp;"","Add to Pantry"))</f>
        <v/>
      </c>
      <c r="F492" s="25">
        <f>IF(OR(C492="",E492="Add to Pantry"),"",ROUND(N(D492)*INDEX(Pantry!$N$6:$N$305,MATCH(C492,Pantry!$B$6:$B$305,0)),2))</f>
        <v/>
      </c>
      <c r="G492" s="35">
        <f>IF(OR(B492="",C492=""),"",IFERROR(ROUND(N(D492)*N(INDEX(Recipes!$H$6:$H$105,MATCH(B492,Recipes!$B$6:$B$105,0)))/IF(N(INDEX(Recipes!$D$6:$D$105,MATCH(B492,Recipes!$B$6:$B$105,0)))&gt;0,INDEX(Recipes!$D$6:$D$105,MATCH(B492,Recipes!$B$6:$B$105,0)),1),2),0))</f>
        <v/>
      </c>
      <c r="H492" s="1" t="n"/>
    </row>
    <row r="493">
      <c r="A493" s="1" t="n"/>
      <c r="B493" s="33" t="n"/>
      <c r="C493" s="33" t="n"/>
      <c r="D493" s="31" t="n"/>
      <c r="E493" s="35">
        <f>IF(C493="","",IFERROR(INDEX(Pantry!$C$6:$C$305,MATCH(C493,Pantry!$B$6:$B$305,0))&amp;"","Add to Pantry"))</f>
        <v/>
      </c>
      <c r="F493" s="25">
        <f>IF(OR(C493="",E493="Add to Pantry"),"",ROUND(N(D493)*INDEX(Pantry!$N$6:$N$305,MATCH(C493,Pantry!$B$6:$B$305,0)),2))</f>
        <v/>
      </c>
      <c r="G493" s="35">
        <f>IF(OR(B493="",C493=""),"",IFERROR(ROUND(N(D493)*N(INDEX(Recipes!$H$6:$H$105,MATCH(B493,Recipes!$B$6:$B$105,0)))/IF(N(INDEX(Recipes!$D$6:$D$105,MATCH(B493,Recipes!$B$6:$B$105,0)))&gt;0,INDEX(Recipes!$D$6:$D$105,MATCH(B493,Recipes!$B$6:$B$105,0)),1),2),0))</f>
        <v/>
      </c>
      <c r="H493" s="1" t="n"/>
    </row>
    <row r="494">
      <c r="A494" s="1" t="n"/>
      <c r="B494" s="33" t="n"/>
      <c r="C494" s="33" t="n"/>
      <c r="D494" s="31" t="n"/>
      <c r="E494" s="35">
        <f>IF(C494="","",IFERROR(INDEX(Pantry!$C$6:$C$305,MATCH(C494,Pantry!$B$6:$B$305,0))&amp;"","Add to Pantry"))</f>
        <v/>
      </c>
      <c r="F494" s="25">
        <f>IF(OR(C494="",E494="Add to Pantry"),"",ROUND(N(D494)*INDEX(Pantry!$N$6:$N$305,MATCH(C494,Pantry!$B$6:$B$305,0)),2))</f>
        <v/>
      </c>
      <c r="G494" s="35">
        <f>IF(OR(B494="",C494=""),"",IFERROR(ROUND(N(D494)*N(INDEX(Recipes!$H$6:$H$105,MATCH(B494,Recipes!$B$6:$B$105,0)))/IF(N(INDEX(Recipes!$D$6:$D$105,MATCH(B494,Recipes!$B$6:$B$105,0)))&gt;0,INDEX(Recipes!$D$6:$D$105,MATCH(B494,Recipes!$B$6:$B$105,0)),1),2),0))</f>
        <v/>
      </c>
      <c r="H494" s="1" t="n"/>
    </row>
    <row r="495">
      <c r="A495" s="1" t="n"/>
      <c r="B495" s="33" t="n"/>
      <c r="C495" s="33" t="n"/>
      <c r="D495" s="31" t="n"/>
      <c r="E495" s="35">
        <f>IF(C495="","",IFERROR(INDEX(Pantry!$C$6:$C$305,MATCH(C495,Pantry!$B$6:$B$305,0))&amp;"","Add to Pantry"))</f>
        <v/>
      </c>
      <c r="F495" s="25">
        <f>IF(OR(C495="",E495="Add to Pantry"),"",ROUND(N(D495)*INDEX(Pantry!$N$6:$N$305,MATCH(C495,Pantry!$B$6:$B$305,0)),2))</f>
        <v/>
      </c>
      <c r="G495" s="35">
        <f>IF(OR(B495="",C495=""),"",IFERROR(ROUND(N(D495)*N(INDEX(Recipes!$H$6:$H$105,MATCH(B495,Recipes!$B$6:$B$105,0)))/IF(N(INDEX(Recipes!$D$6:$D$105,MATCH(B495,Recipes!$B$6:$B$105,0)))&gt;0,INDEX(Recipes!$D$6:$D$105,MATCH(B495,Recipes!$B$6:$B$105,0)),1),2),0))</f>
        <v/>
      </c>
      <c r="H495" s="1" t="n"/>
    </row>
    <row r="496">
      <c r="A496" s="1" t="n"/>
      <c r="B496" s="33" t="n"/>
      <c r="C496" s="33" t="n"/>
      <c r="D496" s="31" t="n"/>
      <c r="E496" s="35">
        <f>IF(C496="","",IFERROR(INDEX(Pantry!$C$6:$C$305,MATCH(C496,Pantry!$B$6:$B$305,0))&amp;"","Add to Pantry"))</f>
        <v/>
      </c>
      <c r="F496" s="25">
        <f>IF(OR(C496="",E496="Add to Pantry"),"",ROUND(N(D496)*INDEX(Pantry!$N$6:$N$305,MATCH(C496,Pantry!$B$6:$B$305,0)),2))</f>
        <v/>
      </c>
      <c r="G496" s="35">
        <f>IF(OR(B496="",C496=""),"",IFERROR(ROUND(N(D496)*N(INDEX(Recipes!$H$6:$H$105,MATCH(B496,Recipes!$B$6:$B$105,0)))/IF(N(INDEX(Recipes!$D$6:$D$105,MATCH(B496,Recipes!$B$6:$B$105,0)))&gt;0,INDEX(Recipes!$D$6:$D$105,MATCH(B496,Recipes!$B$6:$B$105,0)),1),2),0))</f>
        <v/>
      </c>
      <c r="H496" s="1" t="n"/>
    </row>
    <row r="497">
      <c r="A497" s="1" t="n"/>
      <c r="B497" s="33" t="n"/>
      <c r="C497" s="33" t="n"/>
      <c r="D497" s="31" t="n"/>
      <c r="E497" s="35">
        <f>IF(C497="","",IFERROR(INDEX(Pantry!$C$6:$C$305,MATCH(C497,Pantry!$B$6:$B$305,0))&amp;"","Add to Pantry"))</f>
        <v/>
      </c>
      <c r="F497" s="25">
        <f>IF(OR(C497="",E497="Add to Pantry"),"",ROUND(N(D497)*INDEX(Pantry!$N$6:$N$305,MATCH(C497,Pantry!$B$6:$B$305,0)),2))</f>
        <v/>
      </c>
      <c r="G497" s="35">
        <f>IF(OR(B497="",C497=""),"",IFERROR(ROUND(N(D497)*N(INDEX(Recipes!$H$6:$H$105,MATCH(B497,Recipes!$B$6:$B$105,0)))/IF(N(INDEX(Recipes!$D$6:$D$105,MATCH(B497,Recipes!$B$6:$B$105,0)))&gt;0,INDEX(Recipes!$D$6:$D$105,MATCH(B497,Recipes!$B$6:$B$105,0)),1),2),0))</f>
        <v/>
      </c>
      <c r="H497" s="1" t="n"/>
    </row>
    <row r="498">
      <c r="A498" s="1" t="n"/>
      <c r="B498" s="33" t="n"/>
      <c r="C498" s="33" t="n"/>
      <c r="D498" s="31" t="n"/>
      <c r="E498" s="35">
        <f>IF(C498="","",IFERROR(INDEX(Pantry!$C$6:$C$305,MATCH(C498,Pantry!$B$6:$B$305,0))&amp;"","Add to Pantry"))</f>
        <v/>
      </c>
      <c r="F498" s="25">
        <f>IF(OR(C498="",E498="Add to Pantry"),"",ROUND(N(D498)*INDEX(Pantry!$N$6:$N$305,MATCH(C498,Pantry!$B$6:$B$305,0)),2))</f>
        <v/>
      </c>
      <c r="G498" s="35">
        <f>IF(OR(B498="",C498=""),"",IFERROR(ROUND(N(D498)*N(INDEX(Recipes!$H$6:$H$105,MATCH(B498,Recipes!$B$6:$B$105,0)))/IF(N(INDEX(Recipes!$D$6:$D$105,MATCH(B498,Recipes!$B$6:$B$105,0)))&gt;0,INDEX(Recipes!$D$6:$D$105,MATCH(B498,Recipes!$B$6:$B$105,0)),1),2),0))</f>
        <v/>
      </c>
      <c r="H498" s="1" t="n"/>
    </row>
    <row r="499">
      <c r="A499" s="1" t="n"/>
      <c r="B499" s="33" t="n"/>
      <c r="C499" s="33" t="n"/>
      <c r="D499" s="31" t="n"/>
      <c r="E499" s="35">
        <f>IF(C499="","",IFERROR(INDEX(Pantry!$C$6:$C$305,MATCH(C499,Pantry!$B$6:$B$305,0))&amp;"","Add to Pantry"))</f>
        <v/>
      </c>
      <c r="F499" s="25">
        <f>IF(OR(C499="",E499="Add to Pantry"),"",ROUND(N(D499)*INDEX(Pantry!$N$6:$N$305,MATCH(C499,Pantry!$B$6:$B$305,0)),2))</f>
        <v/>
      </c>
      <c r="G499" s="35">
        <f>IF(OR(B499="",C499=""),"",IFERROR(ROUND(N(D499)*N(INDEX(Recipes!$H$6:$H$105,MATCH(B499,Recipes!$B$6:$B$105,0)))/IF(N(INDEX(Recipes!$D$6:$D$105,MATCH(B499,Recipes!$B$6:$B$105,0)))&gt;0,INDEX(Recipes!$D$6:$D$105,MATCH(B499,Recipes!$B$6:$B$105,0)),1),2),0))</f>
        <v/>
      </c>
      <c r="H499" s="1" t="n"/>
    </row>
    <row r="500">
      <c r="A500" s="1" t="n"/>
      <c r="B500" s="33" t="n"/>
      <c r="C500" s="33" t="n"/>
      <c r="D500" s="31" t="n"/>
      <c r="E500" s="35">
        <f>IF(C500="","",IFERROR(INDEX(Pantry!$C$6:$C$305,MATCH(C500,Pantry!$B$6:$B$305,0))&amp;"","Add to Pantry"))</f>
        <v/>
      </c>
      <c r="F500" s="25">
        <f>IF(OR(C500="",E500="Add to Pantry"),"",ROUND(N(D500)*INDEX(Pantry!$N$6:$N$305,MATCH(C500,Pantry!$B$6:$B$305,0)),2))</f>
        <v/>
      </c>
      <c r="G500" s="35">
        <f>IF(OR(B500="",C500=""),"",IFERROR(ROUND(N(D500)*N(INDEX(Recipes!$H$6:$H$105,MATCH(B500,Recipes!$B$6:$B$105,0)))/IF(N(INDEX(Recipes!$D$6:$D$105,MATCH(B500,Recipes!$B$6:$B$105,0)))&gt;0,INDEX(Recipes!$D$6:$D$105,MATCH(B500,Recipes!$B$6:$B$105,0)),1),2),0))</f>
        <v/>
      </c>
      <c r="H500" s="1" t="n"/>
    </row>
    <row r="501">
      <c r="A501" s="1" t="n"/>
      <c r="B501" s="33" t="n"/>
      <c r="C501" s="33" t="n"/>
      <c r="D501" s="31" t="n"/>
      <c r="E501" s="35">
        <f>IF(C501="","",IFERROR(INDEX(Pantry!$C$6:$C$305,MATCH(C501,Pantry!$B$6:$B$305,0))&amp;"","Add to Pantry"))</f>
        <v/>
      </c>
      <c r="F501" s="25">
        <f>IF(OR(C501="",E501="Add to Pantry"),"",ROUND(N(D501)*INDEX(Pantry!$N$6:$N$305,MATCH(C501,Pantry!$B$6:$B$305,0)),2))</f>
        <v/>
      </c>
      <c r="G501" s="35">
        <f>IF(OR(B501="",C501=""),"",IFERROR(ROUND(N(D501)*N(INDEX(Recipes!$H$6:$H$105,MATCH(B501,Recipes!$B$6:$B$105,0)))/IF(N(INDEX(Recipes!$D$6:$D$105,MATCH(B501,Recipes!$B$6:$B$105,0)))&gt;0,INDEX(Recipes!$D$6:$D$105,MATCH(B501,Recipes!$B$6:$B$105,0)),1),2),0))</f>
        <v/>
      </c>
      <c r="H501" s="1" t="n"/>
    </row>
    <row r="502">
      <c r="A502" s="1" t="n"/>
      <c r="B502" s="33" t="n"/>
      <c r="C502" s="33" t="n"/>
      <c r="D502" s="31" t="n"/>
      <c r="E502" s="35">
        <f>IF(C502="","",IFERROR(INDEX(Pantry!$C$6:$C$305,MATCH(C502,Pantry!$B$6:$B$305,0))&amp;"","Add to Pantry"))</f>
        <v/>
      </c>
      <c r="F502" s="25">
        <f>IF(OR(C502="",E502="Add to Pantry"),"",ROUND(N(D502)*INDEX(Pantry!$N$6:$N$305,MATCH(C502,Pantry!$B$6:$B$305,0)),2))</f>
        <v/>
      </c>
      <c r="G502" s="35">
        <f>IF(OR(B502="",C502=""),"",IFERROR(ROUND(N(D502)*N(INDEX(Recipes!$H$6:$H$105,MATCH(B502,Recipes!$B$6:$B$105,0)))/IF(N(INDEX(Recipes!$D$6:$D$105,MATCH(B502,Recipes!$B$6:$B$105,0)))&gt;0,INDEX(Recipes!$D$6:$D$105,MATCH(B502,Recipes!$B$6:$B$105,0)),1),2),0))</f>
        <v/>
      </c>
      <c r="H502" s="1" t="n"/>
    </row>
    <row r="503">
      <c r="A503" s="1" t="n"/>
      <c r="B503" s="33" t="n"/>
      <c r="C503" s="33" t="n"/>
      <c r="D503" s="31" t="n"/>
      <c r="E503" s="35">
        <f>IF(C503="","",IFERROR(INDEX(Pantry!$C$6:$C$305,MATCH(C503,Pantry!$B$6:$B$305,0))&amp;"","Add to Pantry"))</f>
        <v/>
      </c>
      <c r="F503" s="25">
        <f>IF(OR(C503="",E503="Add to Pantry"),"",ROUND(N(D503)*INDEX(Pantry!$N$6:$N$305,MATCH(C503,Pantry!$B$6:$B$305,0)),2))</f>
        <v/>
      </c>
      <c r="G503" s="35">
        <f>IF(OR(B503="",C503=""),"",IFERROR(ROUND(N(D503)*N(INDEX(Recipes!$H$6:$H$105,MATCH(B503,Recipes!$B$6:$B$105,0)))/IF(N(INDEX(Recipes!$D$6:$D$105,MATCH(B503,Recipes!$B$6:$B$105,0)))&gt;0,INDEX(Recipes!$D$6:$D$105,MATCH(B503,Recipes!$B$6:$B$105,0)),1),2),0))</f>
        <v/>
      </c>
      <c r="H503" s="1" t="n"/>
    </row>
    <row r="504">
      <c r="A504" s="1" t="n"/>
      <c r="B504" s="33" t="n"/>
      <c r="C504" s="33" t="n"/>
      <c r="D504" s="31" t="n"/>
      <c r="E504" s="35">
        <f>IF(C504="","",IFERROR(INDEX(Pantry!$C$6:$C$305,MATCH(C504,Pantry!$B$6:$B$305,0))&amp;"","Add to Pantry"))</f>
        <v/>
      </c>
      <c r="F504" s="25">
        <f>IF(OR(C504="",E504="Add to Pantry"),"",ROUND(N(D504)*INDEX(Pantry!$N$6:$N$305,MATCH(C504,Pantry!$B$6:$B$305,0)),2))</f>
        <v/>
      </c>
      <c r="G504" s="35">
        <f>IF(OR(B504="",C504=""),"",IFERROR(ROUND(N(D504)*N(INDEX(Recipes!$H$6:$H$105,MATCH(B504,Recipes!$B$6:$B$105,0)))/IF(N(INDEX(Recipes!$D$6:$D$105,MATCH(B504,Recipes!$B$6:$B$105,0)))&gt;0,INDEX(Recipes!$D$6:$D$105,MATCH(B504,Recipes!$B$6:$B$105,0)),1),2),0))</f>
        <v/>
      </c>
      <c r="H504" s="1" t="n"/>
    </row>
    <row r="505">
      <c r="A505" s="1" t="n"/>
      <c r="B505" s="33" t="n"/>
      <c r="C505" s="33" t="n"/>
      <c r="D505" s="31" t="n"/>
      <c r="E505" s="35">
        <f>IF(C505="","",IFERROR(INDEX(Pantry!$C$6:$C$305,MATCH(C505,Pantry!$B$6:$B$305,0))&amp;"","Add to Pantry"))</f>
        <v/>
      </c>
      <c r="F505" s="25">
        <f>IF(OR(C505="",E505="Add to Pantry"),"",ROUND(N(D505)*INDEX(Pantry!$N$6:$N$305,MATCH(C505,Pantry!$B$6:$B$305,0)),2))</f>
        <v/>
      </c>
      <c r="G505" s="35">
        <f>IF(OR(B505="",C505=""),"",IFERROR(ROUND(N(D505)*N(INDEX(Recipes!$H$6:$H$105,MATCH(B505,Recipes!$B$6:$B$105,0)))/IF(N(INDEX(Recipes!$D$6:$D$105,MATCH(B505,Recipes!$B$6:$B$105,0)))&gt;0,INDEX(Recipes!$D$6:$D$105,MATCH(B505,Recipes!$B$6:$B$105,0)),1),2),0))</f>
        <v/>
      </c>
      <c r="H505" s="1" t="n"/>
    </row>
    <row r="506">
      <c r="A506" s="1" t="n"/>
      <c r="B506" s="33" t="n"/>
      <c r="C506" s="33" t="n"/>
      <c r="D506" s="31" t="n"/>
      <c r="E506" s="35">
        <f>IF(C506="","",IFERROR(INDEX(Pantry!$C$6:$C$305,MATCH(C506,Pantry!$B$6:$B$305,0))&amp;"","Add to Pantry"))</f>
        <v/>
      </c>
      <c r="F506" s="25">
        <f>IF(OR(C506="",E506="Add to Pantry"),"",ROUND(N(D506)*INDEX(Pantry!$N$6:$N$305,MATCH(C506,Pantry!$B$6:$B$305,0)),2))</f>
        <v/>
      </c>
      <c r="G506" s="35">
        <f>IF(OR(B506="",C506=""),"",IFERROR(ROUND(N(D506)*N(INDEX(Recipes!$H$6:$H$105,MATCH(B506,Recipes!$B$6:$B$105,0)))/IF(N(INDEX(Recipes!$D$6:$D$105,MATCH(B506,Recipes!$B$6:$B$105,0)))&gt;0,INDEX(Recipes!$D$6:$D$105,MATCH(B506,Recipes!$B$6:$B$105,0)),1),2),0))</f>
        <v/>
      </c>
      <c r="H506" s="1" t="n"/>
    </row>
    <row r="507">
      <c r="A507" s="1" t="n"/>
      <c r="B507" s="33" t="n"/>
      <c r="C507" s="33" t="n"/>
      <c r="D507" s="31" t="n"/>
      <c r="E507" s="35">
        <f>IF(C507="","",IFERROR(INDEX(Pantry!$C$6:$C$305,MATCH(C507,Pantry!$B$6:$B$305,0))&amp;"","Add to Pantry"))</f>
        <v/>
      </c>
      <c r="F507" s="25">
        <f>IF(OR(C507="",E507="Add to Pantry"),"",ROUND(N(D507)*INDEX(Pantry!$N$6:$N$305,MATCH(C507,Pantry!$B$6:$B$305,0)),2))</f>
        <v/>
      </c>
      <c r="G507" s="35">
        <f>IF(OR(B507="",C507=""),"",IFERROR(ROUND(N(D507)*N(INDEX(Recipes!$H$6:$H$105,MATCH(B507,Recipes!$B$6:$B$105,0)))/IF(N(INDEX(Recipes!$D$6:$D$105,MATCH(B507,Recipes!$B$6:$B$105,0)))&gt;0,INDEX(Recipes!$D$6:$D$105,MATCH(B507,Recipes!$B$6:$B$105,0)),1),2),0))</f>
        <v/>
      </c>
      <c r="H507" s="1" t="n"/>
    </row>
    <row r="508">
      <c r="A508" s="1" t="n"/>
      <c r="B508" s="33" t="n"/>
      <c r="C508" s="33" t="n"/>
      <c r="D508" s="31" t="n"/>
      <c r="E508" s="35">
        <f>IF(C508="","",IFERROR(INDEX(Pantry!$C$6:$C$305,MATCH(C508,Pantry!$B$6:$B$305,0))&amp;"","Add to Pantry"))</f>
        <v/>
      </c>
      <c r="F508" s="25">
        <f>IF(OR(C508="",E508="Add to Pantry"),"",ROUND(N(D508)*INDEX(Pantry!$N$6:$N$305,MATCH(C508,Pantry!$B$6:$B$305,0)),2))</f>
        <v/>
      </c>
      <c r="G508" s="35">
        <f>IF(OR(B508="",C508=""),"",IFERROR(ROUND(N(D508)*N(INDEX(Recipes!$H$6:$H$105,MATCH(B508,Recipes!$B$6:$B$105,0)))/IF(N(INDEX(Recipes!$D$6:$D$105,MATCH(B508,Recipes!$B$6:$B$105,0)))&gt;0,INDEX(Recipes!$D$6:$D$105,MATCH(B508,Recipes!$B$6:$B$105,0)),1),2),0))</f>
        <v/>
      </c>
      <c r="H508" s="1" t="n"/>
    </row>
    <row r="509">
      <c r="A509" s="1" t="n"/>
      <c r="B509" s="33" t="n"/>
      <c r="C509" s="33" t="n"/>
      <c r="D509" s="31" t="n"/>
      <c r="E509" s="35">
        <f>IF(C509="","",IFERROR(INDEX(Pantry!$C$6:$C$305,MATCH(C509,Pantry!$B$6:$B$305,0))&amp;"","Add to Pantry"))</f>
        <v/>
      </c>
      <c r="F509" s="25">
        <f>IF(OR(C509="",E509="Add to Pantry"),"",ROUND(N(D509)*INDEX(Pantry!$N$6:$N$305,MATCH(C509,Pantry!$B$6:$B$305,0)),2))</f>
        <v/>
      </c>
      <c r="G509" s="35">
        <f>IF(OR(B509="",C509=""),"",IFERROR(ROUND(N(D509)*N(INDEX(Recipes!$H$6:$H$105,MATCH(B509,Recipes!$B$6:$B$105,0)))/IF(N(INDEX(Recipes!$D$6:$D$105,MATCH(B509,Recipes!$B$6:$B$105,0)))&gt;0,INDEX(Recipes!$D$6:$D$105,MATCH(B509,Recipes!$B$6:$B$105,0)),1),2),0))</f>
        <v/>
      </c>
      <c r="H509" s="1" t="n"/>
    </row>
    <row r="510">
      <c r="A510" s="1" t="n"/>
      <c r="B510" s="33" t="n"/>
      <c r="C510" s="33" t="n"/>
      <c r="D510" s="31" t="n"/>
      <c r="E510" s="35">
        <f>IF(C510="","",IFERROR(INDEX(Pantry!$C$6:$C$305,MATCH(C510,Pantry!$B$6:$B$305,0))&amp;"","Add to Pantry"))</f>
        <v/>
      </c>
      <c r="F510" s="25">
        <f>IF(OR(C510="",E510="Add to Pantry"),"",ROUND(N(D510)*INDEX(Pantry!$N$6:$N$305,MATCH(C510,Pantry!$B$6:$B$305,0)),2))</f>
        <v/>
      </c>
      <c r="G510" s="35">
        <f>IF(OR(B510="",C510=""),"",IFERROR(ROUND(N(D510)*N(INDEX(Recipes!$H$6:$H$105,MATCH(B510,Recipes!$B$6:$B$105,0)))/IF(N(INDEX(Recipes!$D$6:$D$105,MATCH(B510,Recipes!$B$6:$B$105,0)))&gt;0,INDEX(Recipes!$D$6:$D$105,MATCH(B510,Recipes!$B$6:$B$105,0)),1),2),0))</f>
        <v/>
      </c>
      <c r="H510" s="1" t="n"/>
    </row>
    <row r="511">
      <c r="A511" s="1" t="n"/>
      <c r="B511" s="33" t="n"/>
      <c r="C511" s="33" t="n"/>
      <c r="D511" s="31" t="n"/>
      <c r="E511" s="35">
        <f>IF(C511="","",IFERROR(INDEX(Pantry!$C$6:$C$305,MATCH(C511,Pantry!$B$6:$B$305,0))&amp;"","Add to Pantry"))</f>
        <v/>
      </c>
      <c r="F511" s="25">
        <f>IF(OR(C511="",E511="Add to Pantry"),"",ROUND(N(D511)*INDEX(Pantry!$N$6:$N$305,MATCH(C511,Pantry!$B$6:$B$305,0)),2))</f>
        <v/>
      </c>
      <c r="G511" s="35">
        <f>IF(OR(B511="",C511=""),"",IFERROR(ROUND(N(D511)*N(INDEX(Recipes!$H$6:$H$105,MATCH(B511,Recipes!$B$6:$B$105,0)))/IF(N(INDEX(Recipes!$D$6:$D$105,MATCH(B511,Recipes!$B$6:$B$105,0)))&gt;0,INDEX(Recipes!$D$6:$D$105,MATCH(B511,Recipes!$B$6:$B$105,0)),1),2),0))</f>
        <v/>
      </c>
      <c r="H511" s="1" t="n"/>
    </row>
    <row r="512">
      <c r="A512" s="1" t="n"/>
      <c r="B512" s="33" t="n"/>
      <c r="C512" s="33" t="n"/>
      <c r="D512" s="31" t="n"/>
      <c r="E512" s="35">
        <f>IF(C512="","",IFERROR(INDEX(Pantry!$C$6:$C$305,MATCH(C512,Pantry!$B$6:$B$305,0))&amp;"","Add to Pantry"))</f>
        <v/>
      </c>
      <c r="F512" s="25">
        <f>IF(OR(C512="",E512="Add to Pantry"),"",ROUND(N(D512)*INDEX(Pantry!$N$6:$N$305,MATCH(C512,Pantry!$B$6:$B$305,0)),2))</f>
        <v/>
      </c>
      <c r="G512" s="35">
        <f>IF(OR(B512="",C512=""),"",IFERROR(ROUND(N(D512)*N(INDEX(Recipes!$H$6:$H$105,MATCH(B512,Recipes!$B$6:$B$105,0)))/IF(N(INDEX(Recipes!$D$6:$D$105,MATCH(B512,Recipes!$B$6:$B$105,0)))&gt;0,INDEX(Recipes!$D$6:$D$105,MATCH(B512,Recipes!$B$6:$B$105,0)),1),2),0))</f>
        <v/>
      </c>
      <c r="H512" s="1" t="n"/>
    </row>
    <row r="513">
      <c r="A513" s="1" t="n"/>
      <c r="B513" s="33" t="n"/>
      <c r="C513" s="33" t="n"/>
      <c r="D513" s="31" t="n"/>
      <c r="E513" s="35">
        <f>IF(C513="","",IFERROR(INDEX(Pantry!$C$6:$C$305,MATCH(C513,Pantry!$B$6:$B$305,0))&amp;"","Add to Pantry"))</f>
        <v/>
      </c>
      <c r="F513" s="25">
        <f>IF(OR(C513="",E513="Add to Pantry"),"",ROUND(N(D513)*INDEX(Pantry!$N$6:$N$305,MATCH(C513,Pantry!$B$6:$B$305,0)),2))</f>
        <v/>
      </c>
      <c r="G513" s="35">
        <f>IF(OR(B513="",C513=""),"",IFERROR(ROUND(N(D513)*N(INDEX(Recipes!$H$6:$H$105,MATCH(B513,Recipes!$B$6:$B$105,0)))/IF(N(INDEX(Recipes!$D$6:$D$105,MATCH(B513,Recipes!$B$6:$B$105,0)))&gt;0,INDEX(Recipes!$D$6:$D$105,MATCH(B513,Recipes!$B$6:$B$105,0)),1),2),0))</f>
        <v/>
      </c>
      <c r="H513" s="1" t="n"/>
    </row>
    <row r="514">
      <c r="A514" s="1" t="n"/>
      <c r="B514" s="33" t="n"/>
      <c r="C514" s="33" t="n"/>
      <c r="D514" s="31" t="n"/>
      <c r="E514" s="35">
        <f>IF(C514="","",IFERROR(INDEX(Pantry!$C$6:$C$305,MATCH(C514,Pantry!$B$6:$B$305,0))&amp;"","Add to Pantry"))</f>
        <v/>
      </c>
      <c r="F514" s="25">
        <f>IF(OR(C514="",E514="Add to Pantry"),"",ROUND(N(D514)*INDEX(Pantry!$N$6:$N$305,MATCH(C514,Pantry!$B$6:$B$305,0)),2))</f>
        <v/>
      </c>
      <c r="G514" s="35">
        <f>IF(OR(B514="",C514=""),"",IFERROR(ROUND(N(D514)*N(INDEX(Recipes!$H$6:$H$105,MATCH(B514,Recipes!$B$6:$B$105,0)))/IF(N(INDEX(Recipes!$D$6:$D$105,MATCH(B514,Recipes!$B$6:$B$105,0)))&gt;0,INDEX(Recipes!$D$6:$D$105,MATCH(B514,Recipes!$B$6:$B$105,0)),1),2),0))</f>
        <v/>
      </c>
      <c r="H514" s="1" t="n"/>
    </row>
    <row r="515">
      <c r="A515" s="1" t="n"/>
      <c r="B515" s="33" t="n"/>
      <c r="C515" s="33" t="n"/>
      <c r="D515" s="31" t="n"/>
      <c r="E515" s="35">
        <f>IF(C515="","",IFERROR(INDEX(Pantry!$C$6:$C$305,MATCH(C515,Pantry!$B$6:$B$305,0))&amp;"","Add to Pantry"))</f>
        <v/>
      </c>
      <c r="F515" s="25">
        <f>IF(OR(C515="",E515="Add to Pantry"),"",ROUND(N(D515)*INDEX(Pantry!$N$6:$N$305,MATCH(C515,Pantry!$B$6:$B$305,0)),2))</f>
        <v/>
      </c>
      <c r="G515" s="35">
        <f>IF(OR(B515="",C515=""),"",IFERROR(ROUND(N(D515)*N(INDEX(Recipes!$H$6:$H$105,MATCH(B515,Recipes!$B$6:$B$105,0)))/IF(N(INDEX(Recipes!$D$6:$D$105,MATCH(B515,Recipes!$B$6:$B$105,0)))&gt;0,INDEX(Recipes!$D$6:$D$105,MATCH(B515,Recipes!$B$6:$B$105,0)),1),2),0))</f>
        <v/>
      </c>
      <c r="H515" s="1" t="n"/>
    </row>
    <row r="516">
      <c r="A516" s="1" t="n"/>
      <c r="B516" s="33" t="n"/>
      <c r="C516" s="33" t="n"/>
      <c r="D516" s="31" t="n"/>
      <c r="E516" s="35">
        <f>IF(C516="","",IFERROR(INDEX(Pantry!$C$6:$C$305,MATCH(C516,Pantry!$B$6:$B$305,0))&amp;"","Add to Pantry"))</f>
        <v/>
      </c>
      <c r="F516" s="25">
        <f>IF(OR(C516="",E516="Add to Pantry"),"",ROUND(N(D516)*INDEX(Pantry!$N$6:$N$305,MATCH(C516,Pantry!$B$6:$B$305,0)),2))</f>
        <v/>
      </c>
      <c r="G516" s="35">
        <f>IF(OR(B516="",C516=""),"",IFERROR(ROUND(N(D516)*N(INDEX(Recipes!$H$6:$H$105,MATCH(B516,Recipes!$B$6:$B$105,0)))/IF(N(INDEX(Recipes!$D$6:$D$105,MATCH(B516,Recipes!$B$6:$B$105,0)))&gt;0,INDEX(Recipes!$D$6:$D$105,MATCH(B516,Recipes!$B$6:$B$105,0)),1),2),0))</f>
        <v/>
      </c>
      <c r="H516" s="1" t="n"/>
    </row>
    <row r="517">
      <c r="A517" s="1" t="n"/>
      <c r="B517" s="33" t="n"/>
      <c r="C517" s="33" t="n"/>
      <c r="D517" s="31" t="n"/>
      <c r="E517" s="35">
        <f>IF(C517="","",IFERROR(INDEX(Pantry!$C$6:$C$305,MATCH(C517,Pantry!$B$6:$B$305,0))&amp;"","Add to Pantry"))</f>
        <v/>
      </c>
      <c r="F517" s="25">
        <f>IF(OR(C517="",E517="Add to Pantry"),"",ROUND(N(D517)*INDEX(Pantry!$N$6:$N$305,MATCH(C517,Pantry!$B$6:$B$305,0)),2))</f>
        <v/>
      </c>
      <c r="G517" s="35">
        <f>IF(OR(B517="",C517=""),"",IFERROR(ROUND(N(D517)*N(INDEX(Recipes!$H$6:$H$105,MATCH(B517,Recipes!$B$6:$B$105,0)))/IF(N(INDEX(Recipes!$D$6:$D$105,MATCH(B517,Recipes!$B$6:$B$105,0)))&gt;0,INDEX(Recipes!$D$6:$D$105,MATCH(B517,Recipes!$B$6:$B$105,0)),1),2),0))</f>
        <v/>
      </c>
      <c r="H517" s="1" t="n"/>
    </row>
    <row r="518">
      <c r="A518" s="1" t="n"/>
      <c r="B518" s="33" t="n"/>
      <c r="C518" s="33" t="n"/>
      <c r="D518" s="31" t="n"/>
      <c r="E518" s="35">
        <f>IF(C518="","",IFERROR(INDEX(Pantry!$C$6:$C$305,MATCH(C518,Pantry!$B$6:$B$305,0))&amp;"","Add to Pantry"))</f>
        <v/>
      </c>
      <c r="F518" s="25">
        <f>IF(OR(C518="",E518="Add to Pantry"),"",ROUND(N(D518)*INDEX(Pantry!$N$6:$N$305,MATCH(C518,Pantry!$B$6:$B$305,0)),2))</f>
        <v/>
      </c>
      <c r="G518" s="35">
        <f>IF(OR(B518="",C518=""),"",IFERROR(ROUND(N(D518)*N(INDEX(Recipes!$H$6:$H$105,MATCH(B518,Recipes!$B$6:$B$105,0)))/IF(N(INDEX(Recipes!$D$6:$D$105,MATCH(B518,Recipes!$B$6:$B$105,0)))&gt;0,INDEX(Recipes!$D$6:$D$105,MATCH(B518,Recipes!$B$6:$B$105,0)),1),2),0))</f>
        <v/>
      </c>
      <c r="H518" s="1" t="n"/>
    </row>
    <row r="519">
      <c r="A519" s="1" t="n"/>
      <c r="B519" s="33" t="n"/>
      <c r="C519" s="33" t="n"/>
      <c r="D519" s="31" t="n"/>
      <c r="E519" s="35">
        <f>IF(C519="","",IFERROR(INDEX(Pantry!$C$6:$C$305,MATCH(C519,Pantry!$B$6:$B$305,0))&amp;"","Add to Pantry"))</f>
        <v/>
      </c>
      <c r="F519" s="25">
        <f>IF(OR(C519="",E519="Add to Pantry"),"",ROUND(N(D519)*INDEX(Pantry!$N$6:$N$305,MATCH(C519,Pantry!$B$6:$B$305,0)),2))</f>
        <v/>
      </c>
      <c r="G519" s="35">
        <f>IF(OR(B519="",C519=""),"",IFERROR(ROUND(N(D519)*N(INDEX(Recipes!$H$6:$H$105,MATCH(B519,Recipes!$B$6:$B$105,0)))/IF(N(INDEX(Recipes!$D$6:$D$105,MATCH(B519,Recipes!$B$6:$B$105,0)))&gt;0,INDEX(Recipes!$D$6:$D$105,MATCH(B519,Recipes!$B$6:$B$105,0)),1),2),0))</f>
        <v/>
      </c>
      <c r="H519" s="1" t="n"/>
    </row>
    <row r="520">
      <c r="A520" s="1" t="n"/>
      <c r="B520" s="33" t="n"/>
      <c r="C520" s="33" t="n"/>
      <c r="D520" s="31" t="n"/>
      <c r="E520" s="35">
        <f>IF(C520="","",IFERROR(INDEX(Pantry!$C$6:$C$305,MATCH(C520,Pantry!$B$6:$B$305,0))&amp;"","Add to Pantry"))</f>
        <v/>
      </c>
      <c r="F520" s="25">
        <f>IF(OR(C520="",E520="Add to Pantry"),"",ROUND(N(D520)*INDEX(Pantry!$N$6:$N$305,MATCH(C520,Pantry!$B$6:$B$305,0)),2))</f>
        <v/>
      </c>
      <c r="G520" s="35">
        <f>IF(OR(B520="",C520=""),"",IFERROR(ROUND(N(D520)*N(INDEX(Recipes!$H$6:$H$105,MATCH(B520,Recipes!$B$6:$B$105,0)))/IF(N(INDEX(Recipes!$D$6:$D$105,MATCH(B520,Recipes!$B$6:$B$105,0)))&gt;0,INDEX(Recipes!$D$6:$D$105,MATCH(B520,Recipes!$B$6:$B$105,0)),1),2),0))</f>
        <v/>
      </c>
      <c r="H520" s="1" t="n"/>
    </row>
    <row r="521">
      <c r="A521" s="1" t="n"/>
      <c r="B521" s="33" t="n"/>
      <c r="C521" s="33" t="n"/>
      <c r="D521" s="31" t="n"/>
      <c r="E521" s="35">
        <f>IF(C521="","",IFERROR(INDEX(Pantry!$C$6:$C$305,MATCH(C521,Pantry!$B$6:$B$305,0))&amp;"","Add to Pantry"))</f>
        <v/>
      </c>
      <c r="F521" s="25">
        <f>IF(OR(C521="",E521="Add to Pantry"),"",ROUND(N(D521)*INDEX(Pantry!$N$6:$N$305,MATCH(C521,Pantry!$B$6:$B$305,0)),2))</f>
        <v/>
      </c>
      <c r="G521" s="35">
        <f>IF(OR(B521="",C521=""),"",IFERROR(ROUND(N(D521)*N(INDEX(Recipes!$H$6:$H$105,MATCH(B521,Recipes!$B$6:$B$105,0)))/IF(N(INDEX(Recipes!$D$6:$D$105,MATCH(B521,Recipes!$B$6:$B$105,0)))&gt;0,INDEX(Recipes!$D$6:$D$105,MATCH(B521,Recipes!$B$6:$B$105,0)),1),2),0))</f>
        <v/>
      </c>
      <c r="H521" s="1" t="n"/>
    </row>
    <row r="522">
      <c r="A522" s="1" t="n"/>
      <c r="B522" s="33" t="n"/>
      <c r="C522" s="33" t="n"/>
      <c r="D522" s="31" t="n"/>
      <c r="E522" s="35">
        <f>IF(C522="","",IFERROR(INDEX(Pantry!$C$6:$C$305,MATCH(C522,Pantry!$B$6:$B$305,0))&amp;"","Add to Pantry"))</f>
        <v/>
      </c>
      <c r="F522" s="25">
        <f>IF(OR(C522="",E522="Add to Pantry"),"",ROUND(N(D522)*INDEX(Pantry!$N$6:$N$305,MATCH(C522,Pantry!$B$6:$B$305,0)),2))</f>
        <v/>
      </c>
      <c r="G522" s="35">
        <f>IF(OR(B522="",C522=""),"",IFERROR(ROUND(N(D522)*N(INDEX(Recipes!$H$6:$H$105,MATCH(B522,Recipes!$B$6:$B$105,0)))/IF(N(INDEX(Recipes!$D$6:$D$105,MATCH(B522,Recipes!$B$6:$B$105,0)))&gt;0,INDEX(Recipes!$D$6:$D$105,MATCH(B522,Recipes!$B$6:$B$105,0)),1),2),0))</f>
        <v/>
      </c>
      <c r="H522" s="1" t="n"/>
    </row>
    <row r="523">
      <c r="A523" s="1" t="n"/>
      <c r="B523" s="33" t="n"/>
      <c r="C523" s="33" t="n"/>
      <c r="D523" s="31" t="n"/>
      <c r="E523" s="35">
        <f>IF(C523="","",IFERROR(INDEX(Pantry!$C$6:$C$305,MATCH(C523,Pantry!$B$6:$B$305,0))&amp;"","Add to Pantry"))</f>
        <v/>
      </c>
      <c r="F523" s="25">
        <f>IF(OR(C523="",E523="Add to Pantry"),"",ROUND(N(D523)*INDEX(Pantry!$N$6:$N$305,MATCH(C523,Pantry!$B$6:$B$305,0)),2))</f>
        <v/>
      </c>
      <c r="G523" s="35">
        <f>IF(OR(B523="",C523=""),"",IFERROR(ROUND(N(D523)*N(INDEX(Recipes!$H$6:$H$105,MATCH(B523,Recipes!$B$6:$B$105,0)))/IF(N(INDEX(Recipes!$D$6:$D$105,MATCH(B523,Recipes!$B$6:$B$105,0)))&gt;0,INDEX(Recipes!$D$6:$D$105,MATCH(B523,Recipes!$B$6:$B$105,0)),1),2),0))</f>
        <v/>
      </c>
      <c r="H523" s="1" t="n"/>
    </row>
    <row r="524">
      <c r="A524" s="1" t="n"/>
      <c r="B524" s="33" t="n"/>
      <c r="C524" s="33" t="n"/>
      <c r="D524" s="31" t="n"/>
      <c r="E524" s="35">
        <f>IF(C524="","",IFERROR(INDEX(Pantry!$C$6:$C$305,MATCH(C524,Pantry!$B$6:$B$305,0))&amp;"","Add to Pantry"))</f>
        <v/>
      </c>
      <c r="F524" s="25">
        <f>IF(OR(C524="",E524="Add to Pantry"),"",ROUND(N(D524)*INDEX(Pantry!$N$6:$N$305,MATCH(C524,Pantry!$B$6:$B$305,0)),2))</f>
        <v/>
      </c>
      <c r="G524" s="35">
        <f>IF(OR(B524="",C524=""),"",IFERROR(ROUND(N(D524)*N(INDEX(Recipes!$H$6:$H$105,MATCH(B524,Recipes!$B$6:$B$105,0)))/IF(N(INDEX(Recipes!$D$6:$D$105,MATCH(B524,Recipes!$B$6:$B$105,0)))&gt;0,INDEX(Recipes!$D$6:$D$105,MATCH(B524,Recipes!$B$6:$B$105,0)),1),2),0))</f>
        <v/>
      </c>
      <c r="H524" s="1" t="n"/>
    </row>
    <row r="525">
      <c r="A525" s="1" t="n"/>
      <c r="B525" s="33" t="n"/>
      <c r="C525" s="33" t="n"/>
      <c r="D525" s="31" t="n"/>
      <c r="E525" s="35">
        <f>IF(C525="","",IFERROR(INDEX(Pantry!$C$6:$C$305,MATCH(C525,Pantry!$B$6:$B$305,0))&amp;"","Add to Pantry"))</f>
        <v/>
      </c>
      <c r="F525" s="25">
        <f>IF(OR(C525="",E525="Add to Pantry"),"",ROUND(N(D525)*INDEX(Pantry!$N$6:$N$305,MATCH(C525,Pantry!$B$6:$B$305,0)),2))</f>
        <v/>
      </c>
      <c r="G525" s="35">
        <f>IF(OR(B525="",C525=""),"",IFERROR(ROUND(N(D525)*N(INDEX(Recipes!$H$6:$H$105,MATCH(B525,Recipes!$B$6:$B$105,0)))/IF(N(INDEX(Recipes!$D$6:$D$105,MATCH(B525,Recipes!$B$6:$B$105,0)))&gt;0,INDEX(Recipes!$D$6:$D$105,MATCH(B525,Recipes!$B$6:$B$105,0)),1),2),0))</f>
        <v/>
      </c>
      <c r="H525" s="1" t="n"/>
    </row>
    <row r="526">
      <c r="A526" s="1" t="n"/>
      <c r="B526" s="33" t="n"/>
      <c r="C526" s="33" t="n"/>
      <c r="D526" s="31" t="n"/>
      <c r="E526" s="35">
        <f>IF(C526="","",IFERROR(INDEX(Pantry!$C$6:$C$305,MATCH(C526,Pantry!$B$6:$B$305,0))&amp;"","Add to Pantry"))</f>
        <v/>
      </c>
      <c r="F526" s="25">
        <f>IF(OR(C526="",E526="Add to Pantry"),"",ROUND(N(D526)*INDEX(Pantry!$N$6:$N$305,MATCH(C526,Pantry!$B$6:$B$305,0)),2))</f>
        <v/>
      </c>
      <c r="G526" s="35">
        <f>IF(OR(B526="",C526=""),"",IFERROR(ROUND(N(D526)*N(INDEX(Recipes!$H$6:$H$105,MATCH(B526,Recipes!$B$6:$B$105,0)))/IF(N(INDEX(Recipes!$D$6:$D$105,MATCH(B526,Recipes!$B$6:$B$105,0)))&gt;0,INDEX(Recipes!$D$6:$D$105,MATCH(B526,Recipes!$B$6:$B$105,0)),1),2),0))</f>
        <v/>
      </c>
      <c r="H526" s="1" t="n"/>
    </row>
    <row r="527">
      <c r="A527" s="1" t="n"/>
      <c r="B527" s="33" t="n"/>
      <c r="C527" s="33" t="n"/>
      <c r="D527" s="31" t="n"/>
      <c r="E527" s="35">
        <f>IF(C527="","",IFERROR(INDEX(Pantry!$C$6:$C$305,MATCH(C527,Pantry!$B$6:$B$305,0))&amp;"","Add to Pantry"))</f>
        <v/>
      </c>
      <c r="F527" s="25">
        <f>IF(OR(C527="",E527="Add to Pantry"),"",ROUND(N(D527)*INDEX(Pantry!$N$6:$N$305,MATCH(C527,Pantry!$B$6:$B$305,0)),2))</f>
        <v/>
      </c>
      <c r="G527" s="35">
        <f>IF(OR(B527="",C527=""),"",IFERROR(ROUND(N(D527)*N(INDEX(Recipes!$H$6:$H$105,MATCH(B527,Recipes!$B$6:$B$105,0)))/IF(N(INDEX(Recipes!$D$6:$D$105,MATCH(B527,Recipes!$B$6:$B$105,0)))&gt;0,INDEX(Recipes!$D$6:$D$105,MATCH(B527,Recipes!$B$6:$B$105,0)),1),2),0))</f>
        <v/>
      </c>
      <c r="H527" s="1" t="n"/>
    </row>
    <row r="528">
      <c r="A528" s="1" t="n"/>
      <c r="B528" s="33" t="n"/>
      <c r="C528" s="33" t="n"/>
      <c r="D528" s="31" t="n"/>
      <c r="E528" s="35">
        <f>IF(C528="","",IFERROR(INDEX(Pantry!$C$6:$C$305,MATCH(C528,Pantry!$B$6:$B$305,0))&amp;"","Add to Pantry"))</f>
        <v/>
      </c>
      <c r="F528" s="25">
        <f>IF(OR(C528="",E528="Add to Pantry"),"",ROUND(N(D528)*INDEX(Pantry!$N$6:$N$305,MATCH(C528,Pantry!$B$6:$B$305,0)),2))</f>
        <v/>
      </c>
      <c r="G528" s="35">
        <f>IF(OR(B528="",C528=""),"",IFERROR(ROUND(N(D528)*N(INDEX(Recipes!$H$6:$H$105,MATCH(B528,Recipes!$B$6:$B$105,0)))/IF(N(INDEX(Recipes!$D$6:$D$105,MATCH(B528,Recipes!$B$6:$B$105,0)))&gt;0,INDEX(Recipes!$D$6:$D$105,MATCH(B528,Recipes!$B$6:$B$105,0)),1),2),0))</f>
        <v/>
      </c>
      <c r="H528" s="1" t="n"/>
    </row>
    <row r="529">
      <c r="A529" s="1" t="n"/>
      <c r="B529" s="33" t="n"/>
      <c r="C529" s="33" t="n"/>
      <c r="D529" s="31" t="n"/>
      <c r="E529" s="35">
        <f>IF(C529="","",IFERROR(INDEX(Pantry!$C$6:$C$305,MATCH(C529,Pantry!$B$6:$B$305,0))&amp;"","Add to Pantry"))</f>
        <v/>
      </c>
      <c r="F529" s="25">
        <f>IF(OR(C529="",E529="Add to Pantry"),"",ROUND(N(D529)*INDEX(Pantry!$N$6:$N$305,MATCH(C529,Pantry!$B$6:$B$305,0)),2))</f>
        <v/>
      </c>
      <c r="G529" s="35">
        <f>IF(OR(B529="",C529=""),"",IFERROR(ROUND(N(D529)*N(INDEX(Recipes!$H$6:$H$105,MATCH(B529,Recipes!$B$6:$B$105,0)))/IF(N(INDEX(Recipes!$D$6:$D$105,MATCH(B529,Recipes!$B$6:$B$105,0)))&gt;0,INDEX(Recipes!$D$6:$D$105,MATCH(B529,Recipes!$B$6:$B$105,0)),1),2),0))</f>
        <v/>
      </c>
      <c r="H529" s="1" t="n"/>
    </row>
    <row r="530">
      <c r="A530" s="1" t="n"/>
      <c r="B530" s="33" t="n"/>
      <c r="C530" s="33" t="n"/>
      <c r="D530" s="31" t="n"/>
      <c r="E530" s="35">
        <f>IF(C530="","",IFERROR(INDEX(Pantry!$C$6:$C$305,MATCH(C530,Pantry!$B$6:$B$305,0))&amp;"","Add to Pantry"))</f>
        <v/>
      </c>
      <c r="F530" s="25">
        <f>IF(OR(C530="",E530="Add to Pantry"),"",ROUND(N(D530)*INDEX(Pantry!$N$6:$N$305,MATCH(C530,Pantry!$B$6:$B$305,0)),2))</f>
        <v/>
      </c>
      <c r="G530" s="35">
        <f>IF(OR(B530="",C530=""),"",IFERROR(ROUND(N(D530)*N(INDEX(Recipes!$H$6:$H$105,MATCH(B530,Recipes!$B$6:$B$105,0)))/IF(N(INDEX(Recipes!$D$6:$D$105,MATCH(B530,Recipes!$B$6:$B$105,0)))&gt;0,INDEX(Recipes!$D$6:$D$105,MATCH(B530,Recipes!$B$6:$B$105,0)),1),2),0))</f>
        <v/>
      </c>
      <c r="H530" s="1" t="n"/>
    </row>
    <row r="531">
      <c r="A531" s="1" t="n"/>
      <c r="B531" s="33" t="n"/>
      <c r="C531" s="33" t="n"/>
      <c r="D531" s="31" t="n"/>
      <c r="E531" s="35">
        <f>IF(C531="","",IFERROR(INDEX(Pantry!$C$6:$C$305,MATCH(C531,Pantry!$B$6:$B$305,0))&amp;"","Add to Pantry"))</f>
        <v/>
      </c>
      <c r="F531" s="25">
        <f>IF(OR(C531="",E531="Add to Pantry"),"",ROUND(N(D531)*INDEX(Pantry!$N$6:$N$305,MATCH(C531,Pantry!$B$6:$B$305,0)),2))</f>
        <v/>
      </c>
      <c r="G531" s="35">
        <f>IF(OR(B531="",C531=""),"",IFERROR(ROUND(N(D531)*N(INDEX(Recipes!$H$6:$H$105,MATCH(B531,Recipes!$B$6:$B$105,0)))/IF(N(INDEX(Recipes!$D$6:$D$105,MATCH(B531,Recipes!$B$6:$B$105,0)))&gt;0,INDEX(Recipes!$D$6:$D$105,MATCH(B531,Recipes!$B$6:$B$105,0)),1),2),0))</f>
        <v/>
      </c>
      <c r="H531" s="1" t="n"/>
    </row>
    <row r="532">
      <c r="A532" s="1" t="n"/>
      <c r="B532" s="33" t="n"/>
      <c r="C532" s="33" t="n"/>
      <c r="D532" s="31" t="n"/>
      <c r="E532" s="35">
        <f>IF(C532="","",IFERROR(INDEX(Pantry!$C$6:$C$305,MATCH(C532,Pantry!$B$6:$B$305,0))&amp;"","Add to Pantry"))</f>
        <v/>
      </c>
      <c r="F532" s="25">
        <f>IF(OR(C532="",E532="Add to Pantry"),"",ROUND(N(D532)*INDEX(Pantry!$N$6:$N$305,MATCH(C532,Pantry!$B$6:$B$305,0)),2))</f>
        <v/>
      </c>
      <c r="G532" s="35">
        <f>IF(OR(B532="",C532=""),"",IFERROR(ROUND(N(D532)*N(INDEX(Recipes!$H$6:$H$105,MATCH(B532,Recipes!$B$6:$B$105,0)))/IF(N(INDEX(Recipes!$D$6:$D$105,MATCH(B532,Recipes!$B$6:$B$105,0)))&gt;0,INDEX(Recipes!$D$6:$D$105,MATCH(B532,Recipes!$B$6:$B$105,0)),1),2),0))</f>
        <v/>
      </c>
      <c r="H532" s="1" t="n"/>
    </row>
    <row r="533">
      <c r="A533" s="1" t="n"/>
      <c r="B533" s="33" t="n"/>
      <c r="C533" s="33" t="n"/>
      <c r="D533" s="31" t="n"/>
      <c r="E533" s="35">
        <f>IF(C533="","",IFERROR(INDEX(Pantry!$C$6:$C$305,MATCH(C533,Pantry!$B$6:$B$305,0))&amp;"","Add to Pantry"))</f>
        <v/>
      </c>
      <c r="F533" s="25">
        <f>IF(OR(C533="",E533="Add to Pantry"),"",ROUND(N(D533)*INDEX(Pantry!$N$6:$N$305,MATCH(C533,Pantry!$B$6:$B$305,0)),2))</f>
        <v/>
      </c>
      <c r="G533" s="35">
        <f>IF(OR(B533="",C533=""),"",IFERROR(ROUND(N(D533)*N(INDEX(Recipes!$H$6:$H$105,MATCH(B533,Recipes!$B$6:$B$105,0)))/IF(N(INDEX(Recipes!$D$6:$D$105,MATCH(B533,Recipes!$B$6:$B$105,0)))&gt;0,INDEX(Recipes!$D$6:$D$105,MATCH(B533,Recipes!$B$6:$B$105,0)),1),2),0))</f>
        <v/>
      </c>
      <c r="H533" s="1" t="n"/>
    </row>
    <row r="534">
      <c r="A534" s="1" t="n"/>
      <c r="B534" s="33" t="n"/>
      <c r="C534" s="33" t="n"/>
      <c r="D534" s="31" t="n"/>
      <c r="E534" s="35">
        <f>IF(C534="","",IFERROR(INDEX(Pantry!$C$6:$C$305,MATCH(C534,Pantry!$B$6:$B$305,0))&amp;"","Add to Pantry"))</f>
        <v/>
      </c>
      <c r="F534" s="25">
        <f>IF(OR(C534="",E534="Add to Pantry"),"",ROUND(N(D534)*INDEX(Pantry!$N$6:$N$305,MATCH(C534,Pantry!$B$6:$B$305,0)),2))</f>
        <v/>
      </c>
      <c r="G534" s="35">
        <f>IF(OR(B534="",C534=""),"",IFERROR(ROUND(N(D534)*N(INDEX(Recipes!$H$6:$H$105,MATCH(B534,Recipes!$B$6:$B$105,0)))/IF(N(INDEX(Recipes!$D$6:$D$105,MATCH(B534,Recipes!$B$6:$B$105,0)))&gt;0,INDEX(Recipes!$D$6:$D$105,MATCH(B534,Recipes!$B$6:$B$105,0)),1),2),0))</f>
        <v/>
      </c>
      <c r="H534" s="1" t="n"/>
    </row>
    <row r="535">
      <c r="A535" s="1" t="n"/>
      <c r="B535" s="33" t="n"/>
      <c r="C535" s="33" t="n"/>
      <c r="D535" s="31" t="n"/>
      <c r="E535" s="35">
        <f>IF(C535="","",IFERROR(INDEX(Pantry!$C$6:$C$305,MATCH(C535,Pantry!$B$6:$B$305,0))&amp;"","Add to Pantry"))</f>
        <v/>
      </c>
      <c r="F535" s="25">
        <f>IF(OR(C535="",E535="Add to Pantry"),"",ROUND(N(D535)*INDEX(Pantry!$N$6:$N$305,MATCH(C535,Pantry!$B$6:$B$305,0)),2))</f>
        <v/>
      </c>
      <c r="G535" s="35">
        <f>IF(OR(B535="",C535=""),"",IFERROR(ROUND(N(D535)*N(INDEX(Recipes!$H$6:$H$105,MATCH(B535,Recipes!$B$6:$B$105,0)))/IF(N(INDEX(Recipes!$D$6:$D$105,MATCH(B535,Recipes!$B$6:$B$105,0)))&gt;0,INDEX(Recipes!$D$6:$D$105,MATCH(B535,Recipes!$B$6:$B$105,0)),1),2),0))</f>
        <v/>
      </c>
      <c r="H535" s="1" t="n"/>
    </row>
    <row r="536">
      <c r="A536" s="1" t="n"/>
      <c r="B536" s="33" t="n"/>
      <c r="C536" s="33" t="n"/>
      <c r="D536" s="31" t="n"/>
      <c r="E536" s="35">
        <f>IF(C536="","",IFERROR(INDEX(Pantry!$C$6:$C$305,MATCH(C536,Pantry!$B$6:$B$305,0))&amp;"","Add to Pantry"))</f>
        <v/>
      </c>
      <c r="F536" s="25">
        <f>IF(OR(C536="",E536="Add to Pantry"),"",ROUND(N(D536)*INDEX(Pantry!$N$6:$N$305,MATCH(C536,Pantry!$B$6:$B$305,0)),2))</f>
        <v/>
      </c>
      <c r="G536" s="35">
        <f>IF(OR(B536="",C536=""),"",IFERROR(ROUND(N(D536)*N(INDEX(Recipes!$H$6:$H$105,MATCH(B536,Recipes!$B$6:$B$105,0)))/IF(N(INDEX(Recipes!$D$6:$D$105,MATCH(B536,Recipes!$B$6:$B$105,0)))&gt;0,INDEX(Recipes!$D$6:$D$105,MATCH(B536,Recipes!$B$6:$B$105,0)),1),2),0))</f>
        <v/>
      </c>
      <c r="H536" s="1" t="n"/>
    </row>
    <row r="537">
      <c r="A537" s="1" t="n"/>
      <c r="B537" s="33" t="n"/>
      <c r="C537" s="33" t="n"/>
      <c r="D537" s="31" t="n"/>
      <c r="E537" s="35">
        <f>IF(C537="","",IFERROR(INDEX(Pantry!$C$6:$C$305,MATCH(C537,Pantry!$B$6:$B$305,0))&amp;"","Add to Pantry"))</f>
        <v/>
      </c>
      <c r="F537" s="25">
        <f>IF(OR(C537="",E537="Add to Pantry"),"",ROUND(N(D537)*INDEX(Pantry!$N$6:$N$305,MATCH(C537,Pantry!$B$6:$B$305,0)),2))</f>
        <v/>
      </c>
      <c r="G537" s="35">
        <f>IF(OR(B537="",C537=""),"",IFERROR(ROUND(N(D537)*N(INDEX(Recipes!$H$6:$H$105,MATCH(B537,Recipes!$B$6:$B$105,0)))/IF(N(INDEX(Recipes!$D$6:$D$105,MATCH(B537,Recipes!$B$6:$B$105,0)))&gt;0,INDEX(Recipes!$D$6:$D$105,MATCH(B537,Recipes!$B$6:$B$105,0)),1),2),0))</f>
        <v/>
      </c>
      <c r="H537" s="1" t="n"/>
    </row>
    <row r="538">
      <c r="A538" s="1" t="n"/>
      <c r="B538" s="33" t="n"/>
      <c r="C538" s="33" t="n"/>
      <c r="D538" s="31" t="n"/>
      <c r="E538" s="35">
        <f>IF(C538="","",IFERROR(INDEX(Pantry!$C$6:$C$305,MATCH(C538,Pantry!$B$6:$B$305,0))&amp;"","Add to Pantry"))</f>
        <v/>
      </c>
      <c r="F538" s="25">
        <f>IF(OR(C538="",E538="Add to Pantry"),"",ROUND(N(D538)*INDEX(Pantry!$N$6:$N$305,MATCH(C538,Pantry!$B$6:$B$305,0)),2))</f>
        <v/>
      </c>
      <c r="G538" s="35">
        <f>IF(OR(B538="",C538=""),"",IFERROR(ROUND(N(D538)*N(INDEX(Recipes!$H$6:$H$105,MATCH(B538,Recipes!$B$6:$B$105,0)))/IF(N(INDEX(Recipes!$D$6:$D$105,MATCH(B538,Recipes!$B$6:$B$105,0)))&gt;0,INDEX(Recipes!$D$6:$D$105,MATCH(B538,Recipes!$B$6:$B$105,0)),1),2),0))</f>
        <v/>
      </c>
      <c r="H538" s="1" t="n"/>
    </row>
    <row r="539">
      <c r="A539" s="1" t="n"/>
      <c r="B539" s="33" t="n"/>
      <c r="C539" s="33" t="n"/>
      <c r="D539" s="31" t="n"/>
      <c r="E539" s="35">
        <f>IF(C539="","",IFERROR(INDEX(Pantry!$C$6:$C$305,MATCH(C539,Pantry!$B$6:$B$305,0))&amp;"","Add to Pantry"))</f>
        <v/>
      </c>
      <c r="F539" s="25">
        <f>IF(OR(C539="",E539="Add to Pantry"),"",ROUND(N(D539)*INDEX(Pantry!$N$6:$N$305,MATCH(C539,Pantry!$B$6:$B$305,0)),2))</f>
        <v/>
      </c>
      <c r="G539" s="35">
        <f>IF(OR(B539="",C539=""),"",IFERROR(ROUND(N(D539)*N(INDEX(Recipes!$H$6:$H$105,MATCH(B539,Recipes!$B$6:$B$105,0)))/IF(N(INDEX(Recipes!$D$6:$D$105,MATCH(B539,Recipes!$B$6:$B$105,0)))&gt;0,INDEX(Recipes!$D$6:$D$105,MATCH(B539,Recipes!$B$6:$B$105,0)),1),2),0))</f>
        <v/>
      </c>
      <c r="H539" s="1" t="n"/>
    </row>
    <row r="540">
      <c r="A540" s="1" t="n"/>
      <c r="B540" s="33" t="n"/>
      <c r="C540" s="33" t="n"/>
      <c r="D540" s="31" t="n"/>
      <c r="E540" s="35">
        <f>IF(C540="","",IFERROR(INDEX(Pantry!$C$6:$C$305,MATCH(C540,Pantry!$B$6:$B$305,0))&amp;"","Add to Pantry"))</f>
        <v/>
      </c>
      <c r="F540" s="25">
        <f>IF(OR(C540="",E540="Add to Pantry"),"",ROUND(N(D540)*INDEX(Pantry!$N$6:$N$305,MATCH(C540,Pantry!$B$6:$B$305,0)),2))</f>
        <v/>
      </c>
      <c r="G540" s="35">
        <f>IF(OR(B540="",C540=""),"",IFERROR(ROUND(N(D540)*N(INDEX(Recipes!$H$6:$H$105,MATCH(B540,Recipes!$B$6:$B$105,0)))/IF(N(INDEX(Recipes!$D$6:$D$105,MATCH(B540,Recipes!$B$6:$B$105,0)))&gt;0,INDEX(Recipes!$D$6:$D$105,MATCH(B540,Recipes!$B$6:$B$105,0)),1),2),0))</f>
        <v/>
      </c>
      <c r="H540" s="1" t="n"/>
    </row>
    <row r="541">
      <c r="A541" s="1" t="n"/>
      <c r="B541" s="33" t="n"/>
      <c r="C541" s="33" t="n"/>
      <c r="D541" s="31" t="n"/>
      <c r="E541" s="35">
        <f>IF(C541="","",IFERROR(INDEX(Pantry!$C$6:$C$305,MATCH(C541,Pantry!$B$6:$B$305,0))&amp;"","Add to Pantry"))</f>
        <v/>
      </c>
      <c r="F541" s="25">
        <f>IF(OR(C541="",E541="Add to Pantry"),"",ROUND(N(D541)*INDEX(Pantry!$N$6:$N$305,MATCH(C541,Pantry!$B$6:$B$305,0)),2))</f>
        <v/>
      </c>
      <c r="G541" s="35">
        <f>IF(OR(B541="",C541=""),"",IFERROR(ROUND(N(D541)*N(INDEX(Recipes!$H$6:$H$105,MATCH(B541,Recipes!$B$6:$B$105,0)))/IF(N(INDEX(Recipes!$D$6:$D$105,MATCH(B541,Recipes!$B$6:$B$105,0)))&gt;0,INDEX(Recipes!$D$6:$D$105,MATCH(B541,Recipes!$B$6:$B$105,0)),1),2),0))</f>
        <v/>
      </c>
      <c r="H541" s="1" t="n"/>
    </row>
    <row r="542">
      <c r="A542" s="1" t="n"/>
      <c r="B542" s="33" t="n"/>
      <c r="C542" s="33" t="n"/>
      <c r="D542" s="31" t="n"/>
      <c r="E542" s="35">
        <f>IF(C542="","",IFERROR(INDEX(Pantry!$C$6:$C$305,MATCH(C542,Pantry!$B$6:$B$305,0))&amp;"","Add to Pantry"))</f>
        <v/>
      </c>
      <c r="F542" s="25">
        <f>IF(OR(C542="",E542="Add to Pantry"),"",ROUND(N(D542)*INDEX(Pantry!$N$6:$N$305,MATCH(C542,Pantry!$B$6:$B$305,0)),2))</f>
        <v/>
      </c>
      <c r="G542" s="35">
        <f>IF(OR(B542="",C542=""),"",IFERROR(ROUND(N(D542)*N(INDEX(Recipes!$H$6:$H$105,MATCH(B542,Recipes!$B$6:$B$105,0)))/IF(N(INDEX(Recipes!$D$6:$D$105,MATCH(B542,Recipes!$B$6:$B$105,0)))&gt;0,INDEX(Recipes!$D$6:$D$105,MATCH(B542,Recipes!$B$6:$B$105,0)),1),2),0))</f>
        <v/>
      </c>
      <c r="H542" s="1" t="n"/>
    </row>
    <row r="543">
      <c r="A543" s="1" t="n"/>
      <c r="B543" s="33" t="n"/>
      <c r="C543" s="33" t="n"/>
      <c r="D543" s="31" t="n"/>
      <c r="E543" s="35">
        <f>IF(C543="","",IFERROR(INDEX(Pantry!$C$6:$C$305,MATCH(C543,Pantry!$B$6:$B$305,0))&amp;"","Add to Pantry"))</f>
        <v/>
      </c>
      <c r="F543" s="25">
        <f>IF(OR(C543="",E543="Add to Pantry"),"",ROUND(N(D543)*INDEX(Pantry!$N$6:$N$305,MATCH(C543,Pantry!$B$6:$B$305,0)),2))</f>
        <v/>
      </c>
      <c r="G543" s="35">
        <f>IF(OR(B543="",C543=""),"",IFERROR(ROUND(N(D543)*N(INDEX(Recipes!$H$6:$H$105,MATCH(B543,Recipes!$B$6:$B$105,0)))/IF(N(INDEX(Recipes!$D$6:$D$105,MATCH(B543,Recipes!$B$6:$B$105,0)))&gt;0,INDEX(Recipes!$D$6:$D$105,MATCH(B543,Recipes!$B$6:$B$105,0)),1),2),0))</f>
        <v/>
      </c>
      <c r="H543" s="1" t="n"/>
    </row>
    <row r="544">
      <c r="A544" s="1" t="n"/>
      <c r="B544" s="33" t="n"/>
      <c r="C544" s="33" t="n"/>
      <c r="D544" s="31" t="n"/>
      <c r="E544" s="35">
        <f>IF(C544="","",IFERROR(INDEX(Pantry!$C$6:$C$305,MATCH(C544,Pantry!$B$6:$B$305,0))&amp;"","Add to Pantry"))</f>
        <v/>
      </c>
      <c r="F544" s="25">
        <f>IF(OR(C544="",E544="Add to Pantry"),"",ROUND(N(D544)*INDEX(Pantry!$N$6:$N$305,MATCH(C544,Pantry!$B$6:$B$305,0)),2))</f>
        <v/>
      </c>
      <c r="G544" s="35">
        <f>IF(OR(B544="",C544=""),"",IFERROR(ROUND(N(D544)*N(INDEX(Recipes!$H$6:$H$105,MATCH(B544,Recipes!$B$6:$B$105,0)))/IF(N(INDEX(Recipes!$D$6:$D$105,MATCH(B544,Recipes!$B$6:$B$105,0)))&gt;0,INDEX(Recipes!$D$6:$D$105,MATCH(B544,Recipes!$B$6:$B$105,0)),1),2),0))</f>
        <v/>
      </c>
      <c r="H544" s="1" t="n"/>
    </row>
    <row r="545">
      <c r="A545" s="1" t="n"/>
      <c r="B545" s="33" t="n"/>
      <c r="C545" s="33" t="n"/>
      <c r="D545" s="31" t="n"/>
      <c r="E545" s="35">
        <f>IF(C545="","",IFERROR(INDEX(Pantry!$C$6:$C$305,MATCH(C545,Pantry!$B$6:$B$305,0))&amp;"","Add to Pantry"))</f>
        <v/>
      </c>
      <c r="F545" s="25">
        <f>IF(OR(C545="",E545="Add to Pantry"),"",ROUND(N(D545)*INDEX(Pantry!$N$6:$N$305,MATCH(C545,Pantry!$B$6:$B$305,0)),2))</f>
        <v/>
      </c>
      <c r="G545" s="35">
        <f>IF(OR(B545="",C545=""),"",IFERROR(ROUND(N(D545)*N(INDEX(Recipes!$H$6:$H$105,MATCH(B545,Recipes!$B$6:$B$105,0)))/IF(N(INDEX(Recipes!$D$6:$D$105,MATCH(B545,Recipes!$B$6:$B$105,0)))&gt;0,INDEX(Recipes!$D$6:$D$105,MATCH(B545,Recipes!$B$6:$B$105,0)),1),2),0))</f>
        <v/>
      </c>
      <c r="H545" s="1" t="n"/>
    </row>
    <row r="546">
      <c r="A546" s="1" t="n"/>
      <c r="B546" s="33" t="n"/>
      <c r="C546" s="33" t="n"/>
      <c r="D546" s="31" t="n"/>
      <c r="E546" s="35">
        <f>IF(C546="","",IFERROR(INDEX(Pantry!$C$6:$C$305,MATCH(C546,Pantry!$B$6:$B$305,0))&amp;"","Add to Pantry"))</f>
        <v/>
      </c>
      <c r="F546" s="25">
        <f>IF(OR(C546="",E546="Add to Pantry"),"",ROUND(N(D546)*INDEX(Pantry!$N$6:$N$305,MATCH(C546,Pantry!$B$6:$B$305,0)),2))</f>
        <v/>
      </c>
      <c r="G546" s="35">
        <f>IF(OR(B546="",C546=""),"",IFERROR(ROUND(N(D546)*N(INDEX(Recipes!$H$6:$H$105,MATCH(B546,Recipes!$B$6:$B$105,0)))/IF(N(INDEX(Recipes!$D$6:$D$105,MATCH(B546,Recipes!$B$6:$B$105,0)))&gt;0,INDEX(Recipes!$D$6:$D$105,MATCH(B546,Recipes!$B$6:$B$105,0)),1),2),0))</f>
        <v/>
      </c>
      <c r="H546" s="1" t="n"/>
    </row>
    <row r="547">
      <c r="A547" s="1" t="n"/>
      <c r="B547" s="33" t="n"/>
      <c r="C547" s="33" t="n"/>
      <c r="D547" s="31" t="n"/>
      <c r="E547" s="35">
        <f>IF(C547="","",IFERROR(INDEX(Pantry!$C$6:$C$305,MATCH(C547,Pantry!$B$6:$B$305,0))&amp;"","Add to Pantry"))</f>
        <v/>
      </c>
      <c r="F547" s="25">
        <f>IF(OR(C547="",E547="Add to Pantry"),"",ROUND(N(D547)*INDEX(Pantry!$N$6:$N$305,MATCH(C547,Pantry!$B$6:$B$305,0)),2))</f>
        <v/>
      </c>
      <c r="G547" s="35">
        <f>IF(OR(B547="",C547=""),"",IFERROR(ROUND(N(D547)*N(INDEX(Recipes!$H$6:$H$105,MATCH(B547,Recipes!$B$6:$B$105,0)))/IF(N(INDEX(Recipes!$D$6:$D$105,MATCH(B547,Recipes!$B$6:$B$105,0)))&gt;0,INDEX(Recipes!$D$6:$D$105,MATCH(B547,Recipes!$B$6:$B$105,0)),1),2),0))</f>
        <v/>
      </c>
      <c r="H547" s="1" t="n"/>
    </row>
    <row r="548">
      <c r="A548" s="1" t="n"/>
      <c r="B548" s="33" t="n"/>
      <c r="C548" s="33" t="n"/>
      <c r="D548" s="31" t="n"/>
      <c r="E548" s="35">
        <f>IF(C548="","",IFERROR(INDEX(Pantry!$C$6:$C$305,MATCH(C548,Pantry!$B$6:$B$305,0))&amp;"","Add to Pantry"))</f>
        <v/>
      </c>
      <c r="F548" s="25">
        <f>IF(OR(C548="",E548="Add to Pantry"),"",ROUND(N(D548)*INDEX(Pantry!$N$6:$N$305,MATCH(C548,Pantry!$B$6:$B$305,0)),2))</f>
        <v/>
      </c>
      <c r="G548" s="35">
        <f>IF(OR(B548="",C548=""),"",IFERROR(ROUND(N(D548)*N(INDEX(Recipes!$H$6:$H$105,MATCH(B548,Recipes!$B$6:$B$105,0)))/IF(N(INDEX(Recipes!$D$6:$D$105,MATCH(B548,Recipes!$B$6:$B$105,0)))&gt;0,INDEX(Recipes!$D$6:$D$105,MATCH(B548,Recipes!$B$6:$B$105,0)),1),2),0))</f>
        <v/>
      </c>
      <c r="H548" s="1" t="n"/>
    </row>
    <row r="549">
      <c r="A549" s="1" t="n"/>
      <c r="B549" s="33" t="n"/>
      <c r="C549" s="33" t="n"/>
      <c r="D549" s="31" t="n"/>
      <c r="E549" s="35">
        <f>IF(C549="","",IFERROR(INDEX(Pantry!$C$6:$C$305,MATCH(C549,Pantry!$B$6:$B$305,0))&amp;"","Add to Pantry"))</f>
        <v/>
      </c>
      <c r="F549" s="25">
        <f>IF(OR(C549="",E549="Add to Pantry"),"",ROUND(N(D549)*INDEX(Pantry!$N$6:$N$305,MATCH(C549,Pantry!$B$6:$B$305,0)),2))</f>
        <v/>
      </c>
      <c r="G549" s="35">
        <f>IF(OR(B549="",C549=""),"",IFERROR(ROUND(N(D549)*N(INDEX(Recipes!$H$6:$H$105,MATCH(B549,Recipes!$B$6:$B$105,0)))/IF(N(INDEX(Recipes!$D$6:$D$105,MATCH(B549,Recipes!$B$6:$B$105,0)))&gt;0,INDEX(Recipes!$D$6:$D$105,MATCH(B549,Recipes!$B$6:$B$105,0)),1),2),0))</f>
        <v/>
      </c>
      <c r="H549" s="1" t="n"/>
    </row>
    <row r="550">
      <c r="A550" s="1" t="n"/>
      <c r="B550" s="33" t="n"/>
      <c r="C550" s="33" t="n"/>
      <c r="D550" s="31" t="n"/>
      <c r="E550" s="35">
        <f>IF(C550="","",IFERROR(INDEX(Pantry!$C$6:$C$305,MATCH(C550,Pantry!$B$6:$B$305,0))&amp;"","Add to Pantry"))</f>
        <v/>
      </c>
      <c r="F550" s="25">
        <f>IF(OR(C550="",E550="Add to Pantry"),"",ROUND(N(D550)*INDEX(Pantry!$N$6:$N$305,MATCH(C550,Pantry!$B$6:$B$305,0)),2))</f>
        <v/>
      </c>
      <c r="G550" s="35">
        <f>IF(OR(B550="",C550=""),"",IFERROR(ROUND(N(D550)*N(INDEX(Recipes!$H$6:$H$105,MATCH(B550,Recipes!$B$6:$B$105,0)))/IF(N(INDEX(Recipes!$D$6:$D$105,MATCH(B550,Recipes!$B$6:$B$105,0)))&gt;0,INDEX(Recipes!$D$6:$D$105,MATCH(B550,Recipes!$B$6:$B$105,0)),1),2),0))</f>
        <v/>
      </c>
      <c r="H550" s="1" t="n"/>
    </row>
    <row r="551">
      <c r="A551" s="1" t="n"/>
      <c r="B551" s="33" t="n"/>
      <c r="C551" s="33" t="n"/>
      <c r="D551" s="31" t="n"/>
      <c r="E551" s="35">
        <f>IF(C551="","",IFERROR(INDEX(Pantry!$C$6:$C$305,MATCH(C551,Pantry!$B$6:$B$305,0))&amp;"","Add to Pantry"))</f>
        <v/>
      </c>
      <c r="F551" s="25">
        <f>IF(OR(C551="",E551="Add to Pantry"),"",ROUND(N(D551)*INDEX(Pantry!$N$6:$N$305,MATCH(C551,Pantry!$B$6:$B$305,0)),2))</f>
        <v/>
      </c>
      <c r="G551" s="35">
        <f>IF(OR(B551="",C551=""),"",IFERROR(ROUND(N(D551)*N(INDEX(Recipes!$H$6:$H$105,MATCH(B551,Recipes!$B$6:$B$105,0)))/IF(N(INDEX(Recipes!$D$6:$D$105,MATCH(B551,Recipes!$B$6:$B$105,0)))&gt;0,INDEX(Recipes!$D$6:$D$105,MATCH(B551,Recipes!$B$6:$B$105,0)),1),2),0))</f>
        <v/>
      </c>
      <c r="H551" s="1" t="n"/>
    </row>
    <row r="552">
      <c r="A552" s="1" t="n"/>
      <c r="B552" s="33" t="n"/>
      <c r="C552" s="33" t="n"/>
      <c r="D552" s="31" t="n"/>
      <c r="E552" s="35">
        <f>IF(C552="","",IFERROR(INDEX(Pantry!$C$6:$C$305,MATCH(C552,Pantry!$B$6:$B$305,0))&amp;"","Add to Pantry"))</f>
        <v/>
      </c>
      <c r="F552" s="25">
        <f>IF(OR(C552="",E552="Add to Pantry"),"",ROUND(N(D552)*INDEX(Pantry!$N$6:$N$305,MATCH(C552,Pantry!$B$6:$B$305,0)),2))</f>
        <v/>
      </c>
      <c r="G552" s="35">
        <f>IF(OR(B552="",C552=""),"",IFERROR(ROUND(N(D552)*N(INDEX(Recipes!$H$6:$H$105,MATCH(B552,Recipes!$B$6:$B$105,0)))/IF(N(INDEX(Recipes!$D$6:$D$105,MATCH(B552,Recipes!$B$6:$B$105,0)))&gt;0,INDEX(Recipes!$D$6:$D$105,MATCH(B552,Recipes!$B$6:$B$105,0)),1),2),0))</f>
        <v/>
      </c>
      <c r="H552" s="1" t="n"/>
    </row>
    <row r="553">
      <c r="A553" s="1" t="n"/>
      <c r="B553" s="33" t="n"/>
      <c r="C553" s="33" t="n"/>
      <c r="D553" s="31" t="n"/>
      <c r="E553" s="35">
        <f>IF(C553="","",IFERROR(INDEX(Pantry!$C$6:$C$305,MATCH(C553,Pantry!$B$6:$B$305,0))&amp;"","Add to Pantry"))</f>
        <v/>
      </c>
      <c r="F553" s="25">
        <f>IF(OR(C553="",E553="Add to Pantry"),"",ROUND(N(D553)*INDEX(Pantry!$N$6:$N$305,MATCH(C553,Pantry!$B$6:$B$305,0)),2))</f>
        <v/>
      </c>
      <c r="G553" s="35">
        <f>IF(OR(B553="",C553=""),"",IFERROR(ROUND(N(D553)*N(INDEX(Recipes!$H$6:$H$105,MATCH(B553,Recipes!$B$6:$B$105,0)))/IF(N(INDEX(Recipes!$D$6:$D$105,MATCH(B553,Recipes!$B$6:$B$105,0)))&gt;0,INDEX(Recipes!$D$6:$D$105,MATCH(B553,Recipes!$B$6:$B$105,0)),1),2),0))</f>
        <v/>
      </c>
      <c r="H553" s="1" t="n"/>
    </row>
    <row r="554">
      <c r="A554" s="1" t="n"/>
      <c r="B554" s="33" t="n"/>
      <c r="C554" s="33" t="n"/>
      <c r="D554" s="31" t="n"/>
      <c r="E554" s="35">
        <f>IF(C554="","",IFERROR(INDEX(Pantry!$C$6:$C$305,MATCH(C554,Pantry!$B$6:$B$305,0))&amp;"","Add to Pantry"))</f>
        <v/>
      </c>
      <c r="F554" s="25">
        <f>IF(OR(C554="",E554="Add to Pantry"),"",ROUND(N(D554)*INDEX(Pantry!$N$6:$N$305,MATCH(C554,Pantry!$B$6:$B$305,0)),2))</f>
        <v/>
      </c>
      <c r="G554" s="35">
        <f>IF(OR(B554="",C554=""),"",IFERROR(ROUND(N(D554)*N(INDEX(Recipes!$H$6:$H$105,MATCH(B554,Recipes!$B$6:$B$105,0)))/IF(N(INDEX(Recipes!$D$6:$D$105,MATCH(B554,Recipes!$B$6:$B$105,0)))&gt;0,INDEX(Recipes!$D$6:$D$105,MATCH(B554,Recipes!$B$6:$B$105,0)),1),2),0))</f>
        <v/>
      </c>
      <c r="H554" s="1" t="n"/>
    </row>
    <row r="555">
      <c r="A555" s="1" t="n"/>
      <c r="B555" s="33" t="n"/>
      <c r="C555" s="33" t="n"/>
      <c r="D555" s="31" t="n"/>
      <c r="E555" s="35">
        <f>IF(C555="","",IFERROR(INDEX(Pantry!$C$6:$C$305,MATCH(C555,Pantry!$B$6:$B$305,0))&amp;"","Add to Pantry"))</f>
        <v/>
      </c>
      <c r="F555" s="25">
        <f>IF(OR(C555="",E555="Add to Pantry"),"",ROUND(N(D555)*INDEX(Pantry!$N$6:$N$305,MATCH(C555,Pantry!$B$6:$B$305,0)),2))</f>
        <v/>
      </c>
      <c r="G555" s="35">
        <f>IF(OR(B555="",C555=""),"",IFERROR(ROUND(N(D555)*N(INDEX(Recipes!$H$6:$H$105,MATCH(B555,Recipes!$B$6:$B$105,0)))/IF(N(INDEX(Recipes!$D$6:$D$105,MATCH(B555,Recipes!$B$6:$B$105,0)))&gt;0,INDEX(Recipes!$D$6:$D$105,MATCH(B555,Recipes!$B$6:$B$105,0)),1),2),0))</f>
        <v/>
      </c>
      <c r="H555" s="1" t="n"/>
    </row>
    <row r="556">
      <c r="A556" s="1" t="n"/>
      <c r="B556" s="33" t="n"/>
      <c r="C556" s="33" t="n"/>
      <c r="D556" s="31" t="n"/>
      <c r="E556" s="35">
        <f>IF(C556="","",IFERROR(INDEX(Pantry!$C$6:$C$305,MATCH(C556,Pantry!$B$6:$B$305,0))&amp;"","Add to Pantry"))</f>
        <v/>
      </c>
      <c r="F556" s="25">
        <f>IF(OR(C556="",E556="Add to Pantry"),"",ROUND(N(D556)*INDEX(Pantry!$N$6:$N$305,MATCH(C556,Pantry!$B$6:$B$305,0)),2))</f>
        <v/>
      </c>
      <c r="G556" s="35">
        <f>IF(OR(B556="",C556=""),"",IFERROR(ROUND(N(D556)*N(INDEX(Recipes!$H$6:$H$105,MATCH(B556,Recipes!$B$6:$B$105,0)))/IF(N(INDEX(Recipes!$D$6:$D$105,MATCH(B556,Recipes!$B$6:$B$105,0)))&gt;0,INDEX(Recipes!$D$6:$D$105,MATCH(B556,Recipes!$B$6:$B$105,0)),1),2),0))</f>
        <v/>
      </c>
      <c r="H556" s="1" t="n"/>
    </row>
    <row r="557">
      <c r="A557" s="1" t="n"/>
      <c r="B557" s="33" t="n"/>
      <c r="C557" s="33" t="n"/>
      <c r="D557" s="31" t="n"/>
      <c r="E557" s="35">
        <f>IF(C557="","",IFERROR(INDEX(Pantry!$C$6:$C$305,MATCH(C557,Pantry!$B$6:$B$305,0))&amp;"","Add to Pantry"))</f>
        <v/>
      </c>
      <c r="F557" s="25">
        <f>IF(OR(C557="",E557="Add to Pantry"),"",ROUND(N(D557)*INDEX(Pantry!$N$6:$N$305,MATCH(C557,Pantry!$B$6:$B$305,0)),2))</f>
        <v/>
      </c>
      <c r="G557" s="35">
        <f>IF(OR(B557="",C557=""),"",IFERROR(ROUND(N(D557)*N(INDEX(Recipes!$H$6:$H$105,MATCH(B557,Recipes!$B$6:$B$105,0)))/IF(N(INDEX(Recipes!$D$6:$D$105,MATCH(B557,Recipes!$B$6:$B$105,0)))&gt;0,INDEX(Recipes!$D$6:$D$105,MATCH(B557,Recipes!$B$6:$B$105,0)),1),2),0))</f>
        <v/>
      </c>
      <c r="H557" s="1" t="n"/>
    </row>
    <row r="558">
      <c r="A558" s="1" t="n"/>
      <c r="B558" s="33" t="n"/>
      <c r="C558" s="33" t="n"/>
      <c r="D558" s="31" t="n"/>
      <c r="E558" s="35">
        <f>IF(C558="","",IFERROR(INDEX(Pantry!$C$6:$C$305,MATCH(C558,Pantry!$B$6:$B$305,0))&amp;"","Add to Pantry"))</f>
        <v/>
      </c>
      <c r="F558" s="25">
        <f>IF(OR(C558="",E558="Add to Pantry"),"",ROUND(N(D558)*INDEX(Pantry!$N$6:$N$305,MATCH(C558,Pantry!$B$6:$B$305,0)),2))</f>
        <v/>
      </c>
      <c r="G558" s="35">
        <f>IF(OR(B558="",C558=""),"",IFERROR(ROUND(N(D558)*N(INDEX(Recipes!$H$6:$H$105,MATCH(B558,Recipes!$B$6:$B$105,0)))/IF(N(INDEX(Recipes!$D$6:$D$105,MATCH(B558,Recipes!$B$6:$B$105,0)))&gt;0,INDEX(Recipes!$D$6:$D$105,MATCH(B558,Recipes!$B$6:$B$105,0)),1),2),0))</f>
        <v/>
      </c>
      <c r="H558" s="1" t="n"/>
    </row>
    <row r="559">
      <c r="A559" s="1" t="n"/>
      <c r="B559" s="33" t="n"/>
      <c r="C559" s="33" t="n"/>
      <c r="D559" s="31" t="n"/>
      <c r="E559" s="35">
        <f>IF(C559="","",IFERROR(INDEX(Pantry!$C$6:$C$305,MATCH(C559,Pantry!$B$6:$B$305,0))&amp;"","Add to Pantry"))</f>
        <v/>
      </c>
      <c r="F559" s="25">
        <f>IF(OR(C559="",E559="Add to Pantry"),"",ROUND(N(D559)*INDEX(Pantry!$N$6:$N$305,MATCH(C559,Pantry!$B$6:$B$305,0)),2))</f>
        <v/>
      </c>
      <c r="G559" s="35">
        <f>IF(OR(B559="",C559=""),"",IFERROR(ROUND(N(D559)*N(INDEX(Recipes!$H$6:$H$105,MATCH(B559,Recipes!$B$6:$B$105,0)))/IF(N(INDEX(Recipes!$D$6:$D$105,MATCH(B559,Recipes!$B$6:$B$105,0)))&gt;0,INDEX(Recipes!$D$6:$D$105,MATCH(B559,Recipes!$B$6:$B$105,0)),1),2),0))</f>
        <v/>
      </c>
      <c r="H559" s="1" t="n"/>
    </row>
    <row r="560">
      <c r="A560" s="1" t="n"/>
      <c r="B560" s="33" t="n"/>
      <c r="C560" s="33" t="n"/>
      <c r="D560" s="31" t="n"/>
      <c r="E560" s="35">
        <f>IF(C560="","",IFERROR(INDEX(Pantry!$C$6:$C$305,MATCH(C560,Pantry!$B$6:$B$305,0))&amp;"","Add to Pantry"))</f>
        <v/>
      </c>
      <c r="F560" s="25">
        <f>IF(OR(C560="",E560="Add to Pantry"),"",ROUND(N(D560)*INDEX(Pantry!$N$6:$N$305,MATCH(C560,Pantry!$B$6:$B$305,0)),2))</f>
        <v/>
      </c>
      <c r="G560" s="35">
        <f>IF(OR(B560="",C560=""),"",IFERROR(ROUND(N(D560)*N(INDEX(Recipes!$H$6:$H$105,MATCH(B560,Recipes!$B$6:$B$105,0)))/IF(N(INDEX(Recipes!$D$6:$D$105,MATCH(B560,Recipes!$B$6:$B$105,0)))&gt;0,INDEX(Recipes!$D$6:$D$105,MATCH(B560,Recipes!$B$6:$B$105,0)),1),2),0))</f>
        <v/>
      </c>
      <c r="H560" s="1" t="n"/>
    </row>
    <row r="561">
      <c r="A561" s="1" t="n"/>
      <c r="B561" s="33" t="n"/>
      <c r="C561" s="33" t="n"/>
      <c r="D561" s="31" t="n"/>
      <c r="E561" s="35">
        <f>IF(C561="","",IFERROR(INDEX(Pantry!$C$6:$C$305,MATCH(C561,Pantry!$B$6:$B$305,0))&amp;"","Add to Pantry"))</f>
        <v/>
      </c>
      <c r="F561" s="25">
        <f>IF(OR(C561="",E561="Add to Pantry"),"",ROUND(N(D561)*INDEX(Pantry!$N$6:$N$305,MATCH(C561,Pantry!$B$6:$B$305,0)),2))</f>
        <v/>
      </c>
      <c r="G561" s="35">
        <f>IF(OR(B561="",C561=""),"",IFERROR(ROUND(N(D561)*N(INDEX(Recipes!$H$6:$H$105,MATCH(B561,Recipes!$B$6:$B$105,0)))/IF(N(INDEX(Recipes!$D$6:$D$105,MATCH(B561,Recipes!$B$6:$B$105,0)))&gt;0,INDEX(Recipes!$D$6:$D$105,MATCH(B561,Recipes!$B$6:$B$105,0)),1),2),0))</f>
        <v/>
      </c>
      <c r="H561" s="1" t="n"/>
    </row>
    <row r="562">
      <c r="A562" s="1" t="n"/>
      <c r="B562" s="33" t="n"/>
      <c r="C562" s="33" t="n"/>
      <c r="D562" s="31" t="n"/>
      <c r="E562" s="35">
        <f>IF(C562="","",IFERROR(INDEX(Pantry!$C$6:$C$305,MATCH(C562,Pantry!$B$6:$B$305,0))&amp;"","Add to Pantry"))</f>
        <v/>
      </c>
      <c r="F562" s="25">
        <f>IF(OR(C562="",E562="Add to Pantry"),"",ROUND(N(D562)*INDEX(Pantry!$N$6:$N$305,MATCH(C562,Pantry!$B$6:$B$305,0)),2))</f>
        <v/>
      </c>
      <c r="G562" s="35">
        <f>IF(OR(B562="",C562=""),"",IFERROR(ROUND(N(D562)*N(INDEX(Recipes!$H$6:$H$105,MATCH(B562,Recipes!$B$6:$B$105,0)))/IF(N(INDEX(Recipes!$D$6:$D$105,MATCH(B562,Recipes!$B$6:$B$105,0)))&gt;0,INDEX(Recipes!$D$6:$D$105,MATCH(B562,Recipes!$B$6:$B$105,0)),1),2),0))</f>
        <v/>
      </c>
      <c r="H562" s="1" t="n"/>
    </row>
    <row r="563">
      <c r="A563" s="1" t="n"/>
      <c r="B563" s="33" t="n"/>
      <c r="C563" s="33" t="n"/>
      <c r="D563" s="31" t="n"/>
      <c r="E563" s="35">
        <f>IF(C563="","",IFERROR(INDEX(Pantry!$C$6:$C$305,MATCH(C563,Pantry!$B$6:$B$305,0))&amp;"","Add to Pantry"))</f>
        <v/>
      </c>
      <c r="F563" s="25">
        <f>IF(OR(C563="",E563="Add to Pantry"),"",ROUND(N(D563)*INDEX(Pantry!$N$6:$N$305,MATCH(C563,Pantry!$B$6:$B$305,0)),2))</f>
        <v/>
      </c>
      <c r="G563" s="35">
        <f>IF(OR(B563="",C563=""),"",IFERROR(ROUND(N(D563)*N(INDEX(Recipes!$H$6:$H$105,MATCH(B563,Recipes!$B$6:$B$105,0)))/IF(N(INDEX(Recipes!$D$6:$D$105,MATCH(B563,Recipes!$B$6:$B$105,0)))&gt;0,INDEX(Recipes!$D$6:$D$105,MATCH(B563,Recipes!$B$6:$B$105,0)),1),2),0))</f>
        <v/>
      </c>
      <c r="H563" s="1" t="n"/>
    </row>
    <row r="564">
      <c r="A564" s="1" t="n"/>
      <c r="B564" s="33" t="n"/>
      <c r="C564" s="33" t="n"/>
      <c r="D564" s="31" t="n"/>
      <c r="E564" s="35">
        <f>IF(C564="","",IFERROR(INDEX(Pantry!$C$6:$C$305,MATCH(C564,Pantry!$B$6:$B$305,0))&amp;"","Add to Pantry"))</f>
        <v/>
      </c>
      <c r="F564" s="25">
        <f>IF(OR(C564="",E564="Add to Pantry"),"",ROUND(N(D564)*INDEX(Pantry!$N$6:$N$305,MATCH(C564,Pantry!$B$6:$B$305,0)),2))</f>
        <v/>
      </c>
      <c r="G564" s="35">
        <f>IF(OR(B564="",C564=""),"",IFERROR(ROUND(N(D564)*N(INDEX(Recipes!$H$6:$H$105,MATCH(B564,Recipes!$B$6:$B$105,0)))/IF(N(INDEX(Recipes!$D$6:$D$105,MATCH(B564,Recipes!$B$6:$B$105,0)))&gt;0,INDEX(Recipes!$D$6:$D$105,MATCH(B564,Recipes!$B$6:$B$105,0)),1),2),0))</f>
        <v/>
      </c>
      <c r="H564" s="1" t="n"/>
    </row>
    <row r="565">
      <c r="A565" s="1" t="n"/>
      <c r="B565" s="33" t="n"/>
      <c r="C565" s="33" t="n"/>
      <c r="D565" s="31" t="n"/>
      <c r="E565" s="35">
        <f>IF(C565="","",IFERROR(INDEX(Pantry!$C$6:$C$305,MATCH(C565,Pantry!$B$6:$B$305,0))&amp;"","Add to Pantry"))</f>
        <v/>
      </c>
      <c r="F565" s="25">
        <f>IF(OR(C565="",E565="Add to Pantry"),"",ROUND(N(D565)*INDEX(Pantry!$N$6:$N$305,MATCH(C565,Pantry!$B$6:$B$305,0)),2))</f>
        <v/>
      </c>
      <c r="G565" s="35">
        <f>IF(OR(B565="",C565=""),"",IFERROR(ROUND(N(D565)*N(INDEX(Recipes!$H$6:$H$105,MATCH(B565,Recipes!$B$6:$B$105,0)))/IF(N(INDEX(Recipes!$D$6:$D$105,MATCH(B565,Recipes!$B$6:$B$105,0)))&gt;0,INDEX(Recipes!$D$6:$D$105,MATCH(B565,Recipes!$B$6:$B$105,0)),1),2),0))</f>
        <v/>
      </c>
      <c r="H565" s="1" t="n"/>
    </row>
    <row r="566">
      <c r="A566" s="1" t="n"/>
      <c r="B566" s="33" t="n"/>
      <c r="C566" s="33" t="n"/>
      <c r="D566" s="31" t="n"/>
      <c r="E566" s="35">
        <f>IF(C566="","",IFERROR(INDEX(Pantry!$C$6:$C$305,MATCH(C566,Pantry!$B$6:$B$305,0))&amp;"","Add to Pantry"))</f>
        <v/>
      </c>
      <c r="F566" s="25">
        <f>IF(OR(C566="",E566="Add to Pantry"),"",ROUND(N(D566)*INDEX(Pantry!$N$6:$N$305,MATCH(C566,Pantry!$B$6:$B$305,0)),2))</f>
        <v/>
      </c>
      <c r="G566" s="35">
        <f>IF(OR(B566="",C566=""),"",IFERROR(ROUND(N(D566)*N(INDEX(Recipes!$H$6:$H$105,MATCH(B566,Recipes!$B$6:$B$105,0)))/IF(N(INDEX(Recipes!$D$6:$D$105,MATCH(B566,Recipes!$B$6:$B$105,0)))&gt;0,INDEX(Recipes!$D$6:$D$105,MATCH(B566,Recipes!$B$6:$B$105,0)),1),2),0))</f>
        <v/>
      </c>
      <c r="H566" s="1" t="n"/>
    </row>
    <row r="567">
      <c r="A567" s="1" t="n"/>
      <c r="B567" s="33" t="n"/>
      <c r="C567" s="33" t="n"/>
      <c r="D567" s="31" t="n"/>
      <c r="E567" s="35">
        <f>IF(C567="","",IFERROR(INDEX(Pantry!$C$6:$C$305,MATCH(C567,Pantry!$B$6:$B$305,0))&amp;"","Add to Pantry"))</f>
        <v/>
      </c>
      <c r="F567" s="25">
        <f>IF(OR(C567="",E567="Add to Pantry"),"",ROUND(N(D567)*INDEX(Pantry!$N$6:$N$305,MATCH(C567,Pantry!$B$6:$B$305,0)),2))</f>
        <v/>
      </c>
      <c r="G567" s="35">
        <f>IF(OR(B567="",C567=""),"",IFERROR(ROUND(N(D567)*N(INDEX(Recipes!$H$6:$H$105,MATCH(B567,Recipes!$B$6:$B$105,0)))/IF(N(INDEX(Recipes!$D$6:$D$105,MATCH(B567,Recipes!$B$6:$B$105,0)))&gt;0,INDEX(Recipes!$D$6:$D$105,MATCH(B567,Recipes!$B$6:$B$105,0)),1),2),0))</f>
        <v/>
      </c>
      <c r="H567" s="1" t="n"/>
    </row>
    <row r="568">
      <c r="A568" s="1" t="n"/>
      <c r="B568" s="33" t="n"/>
      <c r="C568" s="33" t="n"/>
      <c r="D568" s="31" t="n"/>
      <c r="E568" s="35">
        <f>IF(C568="","",IFERROR(INDEX(Pantry!$C$6:$C$305,MATCH(C568,Pantry!$B$6:$B$305,0))&amp;"","Add to Pantry"))</f>
        <v/>
      </c>
      <c r="F568" s="25">
        <f>IF(OR(C568="",E568="Add to Pantry"),"",ROUND(N(D568)*INDEX(Pantry!$N$6:$N$305,MATCH(C568,Pantry!$B$6:$B$305,0)),2))</f>
        <v/>
      </c>
      <c r="G568" s="35">
        <f>IF(OR(B568="",C568=""),"",IFERROR(ROUND(N(D568)*N(INDEX(Recipes!$H$6:$H$105,MATCH(B568,Recipes!$B$6:$B$105,0)))/IF(N(INDEX(Recipes!$D$6:$D$105,MATCH(B568,Recipes!$B$6:$B$105,0)))&gt;0,INDEX(Recipes!$D$6:$D$105,MATCH(B568,Recipes!$B$6:$B$105,0)),1),2),0))</f>
        <v/>
      </c>
      <c r="H568" s="1" t="n"/>
    </row>
    <row r="569">
      <c r="A569" s="1" t="n"/>
      <c r="B569" s="33" t="n"/>
      <c r="C569" s="33" t="n"/>
      <c r="D569" s="31" t="n"/>
      <c r="E569" s="35">
        <f>IF(C569="","",IFERROR(INDEX(Pantry!$C$6:$C$305,MATCH(C569,Pantry!$B$6:$B$305,0))&amp;"","Add to Pantry"))</f>
        <v/>
      </c>
      <c r="F569" s="25">
        <f>IF(OR(C569="",E569="Add to Pantry"),"",ROUND(N(D569)*INDEX(Pantry!$N$6:$N$305,MATCH(C569,Pantry!$B$6:$B$305,0)),2))</f>
        <v/>
      </c>
      <c r="G569" s="35">
        <f>IF(OR(B569="",C569=""),"",IFERROR(ROUND(N(D569)*N(INDEX(Recipes!$H$6:$H$105,MATCH(B569,Recipes!$B$6:$B$105,0)))/IF(N(INDEX(Recipes!$D$6:$D$105,MATCH(B569,Recipes!$B$6:$B$105,0)))&gt;0,INDEX(Recipes!$D$6:$D$105,MATCH(B569,Recipes!$B$6:$B$105,0)),1),2),0))</f>
        <v/>
      </c>
      <c r="H569" s="1" t="n"/>
    </row>
    <row r="570">
      <c r="A570" s="1" t="n"/>
      <c r="B570" s="33" t="n"/>
      <c r="C570" s="33" t="n"/>
      <c r="D570" s="31" t="n"/>
      <c r="E570" s="35">
        <f>IF(C570="","",IFERROR(INDEX(Pantry!$C$6:$C$305,MATCH(C570,Pantry!$B$6:$B$305,0))&amp;"","Add to Pantry"))</f>
        <v/>
      </c>
      <c r="F570" s="25">
        <f>IF(OR(C570="",E570="Add to Pantry"),"",ROUND(N(D570)*INDEX(Pantry!$N$6:$N$305,MATCH(C570,Pantry!$B$6:$B$305,0)),2))</f>
        <v/>
      </c>
      <c r="G570" s="35">
        <f>IF(OR(B570="",C570=""),"",IFERROR(ROUND(N(D570)*N(INDEX(Recipes!$H$6:$H$105,MATCH(B570,Recipes!$B$6:$B$105,0)))/IF(N(INDEX(Recipes!$D$6:$D$105,MATCH(B570,Recipes!$B$6:$B$105,0)))&gt;0,INDEX(Recipes!$D$6:$D$105,MATCH(B570,Recipes!$B$6:$B$105,0)),1),2),0))</f>
        <v/>
      </c>
      <c r="H570" s="1" t="n"/>
    </row>
    <row r="571">
      <c r="A571" s="1" t="n"/>
      <c r="B571" s="33" t="n"/>
      <c r="C571" s="33" t="n"/>
      <c r="D571" s="31" t="n"/>
      <c r="E571" s="35">
        <f>IF(C571="","",IFERROR(INDEX(Pantry!$C$6:$C$305,MATCH(C571,Pantry!$B$6:$B$305,0))&amp;"","Add to Pantry"))</f>
        <v/>
      </c>
      <c r="F571" s="25">
        <f>IF(OR(C571="",E571="Add to Pantry"),"",ROUND(N(D571)*INDEX(Pantry!$N$6:$N$305,MATCH(C571,Pantry!$B$6:$B$305,0)),2))</f>
        <v/>
      </c>
      <c r="G571" s="35">
        <f>IF(OR(B571="",C571=""),"",IFERROR(ROUND(N(D571)*N(INDEX(Recipes!$H$6:$H$105,MATCH(B571,Recipes!$B$6:$B$105,0)))/IF(N(INDEX(Recipes!$D$6:$D$105,MATCH(B571,Recipes!$B$6:$B$105,0)))&gt;0,INDEX(Recipes!$D$6:$D$105,MATCH(B571,Recipes!$B$6:$B$105,0)),1),2),0))</f>
        <v/>
      </c>
      <c r="H571" s="1" t="n"/>
    </row>
    <row r="572">
      <c r="A572" s="1" t="n"/>
      <c r="B572" s="33" t="n"/>
      <c r="C572" s="33" t="n"/>
      <c r="D572" s="31" t="n"/>
      <c r="E572" s="35">
        <f>IF(C572="","",IFERROR(INDEX(Pantry!$C$6:$C$305,MATCH(C572,Pantry!$B$6:$B$305,0))&amp;"","Add to Pantry"))</f>
        <v/>
      </c>
      <c r="F572" s="25">
        <f>IF(OR(C572="",E572="Add to Pantry"),"",ROUND(N(D572)*INDEX(Pantry!$N$6:$N$305,MATCH(C572,Pantry!$B$6:$B$305,0)),2))</f>
        <v/>
      </c>
      <c r="G572" s="35">
        <f>IF(OR(B572="",C572=""),"",IFERROR(ROUND(N(D572)*N(INDEX(Recipes!$H$6:$H$105,MATCH(B572,Recipes!$B$6:$B$105,0)))/IF(N(INDEX(Recipes!$D$6:$D$105,MATCH(B572,Recipes!$B$6:$B$105,0)))&gt;0,INDEX(Recipes!$D$6:$D$105,MATCH(B572,Recipes!$B$6:$B$105,0)),1),2),0))</f>
        <v/>
      </c>
      <c r="H572" s="1" t="n"/>
    </row>
    <row r="573">
      <c r="A573" s="1" t="n"/>
      <c r="B573" s="33" t="n"/>
      <c r="C573" s="33" t="n"/>
      <c r="D573" s="31" t="n"/>
      <c r="E573" s="35">
        <f>IF(C573="","",IFERROR(INDEX(Pantry!$C$6:$C$305,MATCH(C573,Pantry!$B$6:$B$305,0))&amp;"","Add to Pantry"))</f>
        <v/>
      </c>
      <c r="F573" s="25">
        <f>IF(OR(C573="",E573="Add to Pantry"),"",ROUND(N(D573)*INDEX(Pantry!$N$6:$N$305,MATCH(C573,Pantry!$B$6:$B$305,0)),2))</f>
        <v/>
      </c>
      <c r="G573" s="35">
        <f>IF(OR(B573="",C573=""),"",IFERROR(ROUND(N(D573)*N(INDEX(Recipes!$H$6:$H$105,MATCH(B573,Recipes!$B$6:$B$105,0)))/IF(N(INDEX(Recipes!$D$6:$D$105,MATCH(B573,Recipes!$B$6:$B$105,0)))&gt;0,INDEX(Recipes!$D$6:$D$105,MATCH(B573,Recipes!$B$6:$B$105,0)),1),2),0))</f>
        <v/>
      </c>
      <c r="H573" s="1" t="n"/>
    </row>
    <row r="574">
      <c r="A574" s="1" t="n"/>
      <c r="B574" s="33" t="n"/>
      <c r="C574" s="33" t="n"/>
      <c r="D574" s="31" t="n"/>
      <c r="E574" s="35">
        <f>IF(C574="","",IFERROR(INDEX(Pantry!$C$6:$C$305,MATCH(C574,Pantry!$B$6:$B$305,0))&amp;"","Add to Pantry"))</f>
        <v/>
      </c>
      <c r="F574" s="25">
        <f>IF(OR(C574="",E574="Add to Pantry"),"",ROUND(N(D574)*INDEX(Pantry!$N$6:$N$305,MATCH(C574,Pantry!$B$6:$B$305,0)),2))</f>
        <v/>
      </c>
      <c r="G574" s="35">
        <f>IF(OR(B574="",C574=""),"",IFERROR(ROUND(N(D574)*N(INDEX(Recipes!$H$6:$H$105,MATCH(B574,Recipes!$B$6:$B$105,0)))/IF(N(INDEX(Recipes!$D$6:$D$105,MATCH(B574,Recipes!$B$6:$B$105,0)))&gt;0,INDEX(Recipes!$D$6:$D$105,MATCH(B574,Recipes!$B$6:$B$105,0)),1),2),0))</f>
        <v/>
      </c>
      <c r="H574" s="1" t="n"/>
    </row>
    <row r="575">
      <c r="A575" s="1" t="n"/>
      <c r="B575" s="33" t="n"/>
      <c r="C575" s="33" t="n"/>
      <c r="D575" s="31" t="n"/>
      <c r="E575" s="35">
        <f>IF(C575="","",IFERROR(INDEX(Pantry!$C$6:$C$305,MATCH(C575,Pantry!$B$6:$B$305,0))&amp;"","Add to Pantry"))</f>
        <v/>
      </c>
      <c r="F575" s="25">
        <f>IF(OR(C575="",E575="Add to Pantry"),"",ROUND(N(D575)*INDEX(Pantry!$N$6:$N$305,MATCH(C575,Pantry!$B$6:$B$305,0)),2))</f>
        <v/>
      </c>
      <c r="G575" s="35">
        <f>IF(OR(B575="",C575=""),"",IFERROR(ROUND(N(D575)*N(INDEX(Recipes!$H$6:$H$105,MATCH(B575,Recipes!$B$6:$B$105,0)))/IF(N(INDEX(Recipes!$D$6:$D$105,MATCH(B575,Recipes!$B$6:$B$105,0)))&gt;0,INDEX(Recipes!$D$6:$D$105,MATCH(B575,Recipes!$B$6:$B$105,0)),1),2),0))</f>
        <v/>
      </c>
      <c r="H575" s="1" t="n"/>
    </row>
    <row r="576">
      <c r="A576" s="1" t="n"/>
      <c r="B576" s="33" t="n"/>
      <c r="C576" s="33" t="n"/>
      <c r="D576" s="31" t="n"/>
      <c r="E576" s="35">
        <f>IF(C576="","",IFERROR(INDEX(Pantry!$C$6:$C$305,MATCH(C576,Pantry!$B$6:$B$305,0))&amp;"","Add to Pantry"))</f>
        <v/>
      </c>
      <c r="F576" s="25">
        <f>IF(OR(C576="",E576="Add to Pantry"),"",ROUND(N(D576)*INDEX(Pantry!$N$6:$N$305,MATCH(C576,Pantry!$B$6:$B$305,0)),2))</f>
        <v/>
      </c>
      <c r="G576" s="35">
        <f>IF(OR(B576="",C576=""),"",IFERROR(ROUND(N(D576)*N(INDEX(Recipes!$H$6:$H$105,MATCH(B576,Recipes!$B$6:$B$105,0)))/IF(N(INDEX(Recipes!$D$6:$D$105,MATCH(B576,Recipes!$B$6:$B$105,0)))&gt;0,INDEX(Recipes!$D$6:$D$105,MATCH(B576,Recipes!$B$6:$B$105,0)),1),2),0))</f>
        <v/>
      </c>
      <c r="H576" s="1" t="n"/>
    </row>
    <row r="577">
      <c r="A577" s="1" t="n"/>
      <c r="B577" s="33" t="n"/>
      <c r="C577" s="33" t="n"/>
      <c r="D577" s="31" t="n"/>
      <c r="E577" s="35">
        <f>IF(C577="","",IFERROR(INDEX(Pantry!$C$6:$C$305,MATCH(C577,Pantry!$B$6:$B$305,0))&amp;"","Add to Pantry"))</f>
        <v/>
      </c>
      <c r="F577" s="25">
        <f>IF(OR(C577="",E577="Add to Pantry"),"",ROUND(N(D577)*INDEX(Pantry!$N$6:$N$305,MATCH(C577,Pantry!$B$6:$B$305,0)),2))</f>
        <v/>
      </c>
      <c r="G577" s="35">
        <f>IF(OR(B577="",C577=""),"",IFERROR(ROUND(N(D577)*N(INDEX(Recipes!$H$6:$H$105,MATCH(B577,Recipes!$B$6:$B$105,0)))/IF(N(INDEX(Recipes!$D$6:$D$105,MATCH(B577,Recipes!$B$6:$B$105,0)))&gt;0,INDEX(Recipes!$D$6:$D$105,MATCH(B577,Recipes!$B$6:$B$105,0)),1),2),0))</f>
        <v/>
      </c>
      <c r="H577" s="1" t="n"/>
    </row>
    <row r="578">
      <c r="A578" s="1" t="n"/>
      <c r="B578" s="33" t="n"/>
      <c r="C578" s="33" t="n"/>
      <c r="D578" s="31" t="n"/>
      <c r="E578" s="35">
        <f>IF(C578="","",IFERROR(INDEX(Pantry!$C$6:$C$305,MATCH(C578,Pantry!$B$6:$B$305,0))&amp;"","Add to Pantry"))</f>
        <v/>
      </c>
      <c r="F578" s="25">
        <f>IF(OR(C578="",E578="Add to Pantry"),"",ROUND(N(D578)*INDEX(Pantry!$N$6:$N$305,MATCH(C578,Pantry!$B$6:$B$305,0)),2))</f>
        <v/>
      </c>
      <c r="G578" s="35">
        <f>IF(OR(B578="",C578=""),"",IFERROR(ROUND(N(D578)*N(INDEX(Recipes!$H$6:$H$105,MATCH(B578,Recipes!$B$6:$B$105,0)))/IF(N(INDEX(Recipes!$D$6:$D$105,MATCH(B578,Recipes!$B$6:$B$105,0)))&gt;0,INDEX(Recipes!$D$6:$D$105,MATCH(B578,Recipes!$B$6:$B$105,0)),1),2),0))</f>
        <v/>
      </c>
      <c r="H578" s="1" t="n"/>
    </row>
    <row r="579">
      <c r="A579" s="1" t="n"/>
      <c r="B579" s="33" t="n"/>
      <c r="C579" s="33" t="n"/>
      <c r="D579" s="31" t="n"/>
      <c r="E579" s="35">
        <f>IF(C579="","",IFERROR(INDEX(Pantry!$C$6:$C$305,MATCH(C579,Pantry!$B$6:$B$305,0))&amp;"","Add to Pantry"))</f>
        <v/>
      </c>
      <c r="F579" s="25">
        <f>IF(OR(C579="",E579="Add to Pantry"),"",ROUND(N(D579)*INDEX(Pantry!$N$6:$N$305,MATCH(C579,Pantry!$B$6:$B$305,0)),2))</f>
        <v/>
      </c>
      <c r="G579" s="35">
        <f>IF(OR(B579="",C579=""),"",IFERROR(ROUND(N(D579)*N(INDEX(Recipes!$H$6:$H$105,MATCH(B579,Recipes!$B$6:$B$105,0)))/IF(N(INDEX(Recipes!$D$6:$D$105,MATCH(B579,Recipes!$B$6:$B$105,0)))&gt;0,INDEX(Recipes!$D$6:$D$105,MATCH(B579,Recipes!$B$6:$B$105,0)),1),2),0))</f>
        <v/>
      </c>
      <c r="H579" s="1" t="n"/>
    </row>
    <row r="580">
      <c r="A580" s="1" t="n"/>
      <c r="B580" s="33" t="n"/>
      <c r="C580" s="33" t="n"/>
      <c r="D580" s="31" t="n"/>
      <c r="E580" s="35">
        <f>IF(C580="","",IFERROR(INDEX(Pantry!$C$6:$C$305,MATCH(C580,Pantry!$B$6:$B$305,0))&amp;"","Add to Pantry"))</f>
        <v/>
      </c>
      <c r="F580" s="25">
        <f>IF(OR(C580="",E580="Add to Pantry"),"",ROUND(N(D580)*INDEX(Pantry!$N$6:$N$305,MATCH(C580,Pantry!$B$6:$B$305,0)),2))</f>
        <v/>
      </c>
      <c r="G580" s="35">
        <f>IF(OR(B580="",C580=""),"",IFERROR(ROUND(N(D580)*N(INDEX(Recipes!$H$6:$H$105,MATCH(B580,Recipes!$B$6:$B$105,0)))/IF(N(INDEX(Recipes!$D$6:$D$105,MATCH(B580,Recipes!$B$6:$B$105,0)))&gt;0,INDEX(Recipes!$D$6:$D$105,MATCH(B580,Recipes!$B$6:$B$105,0)),1),2),0))</f>
        <v/>
      </c>
      <c r="H580" s="1" t="n"/>
    </row>
    <row r="581">
      <c r="A581" s="1" t="n"/>
      <c r="B581" s="33" t="n"/>
      <c r="C581" s="33" t="n"/>
      <c r="D581" s="31" t="n"/>
      <c r="E581" s="35">
        <f>IF(C581="","",IFERROR(INDEX(Pantry!$C$6:$C$305,MATCH(C581,Pantry!$B$6:$B$305,0))&amp;"","Add to Pantry"))</f>
        <v/>
      </c>
      <c r="F581" s="25">
        <f>IF(OR(C581="",E581="Add to Pantry"),"",ROUND(N(D581)*INDEX(Pantry!$N$6:$N$305,MATCH(C581,Pantry!$B$6:$B$305,0)),2))</f>
        <v/>
      </c>
      <c r="G581" s="35">
        <f>IF(OR(B581="",C581=""),"",IFERROR(ROUND(N(D581)*N(INDEX(Recipes!$H$6:$H$105,MATCH(B581,Recipes!$B$6:$B$105,0)))/IF(N(INDEX(Recipes!$D$6:$D$105,MATCH(B581,Recipes!$B$6:$B$105,0)))&gt;0,INDEX(Recipes!$D$6:$D$105,MATCH(B581,Recipes!$B$6:$B$105,0)),1),2),0))</f>
        <v/>
      </c>
      <c r="H581" s="1" t="n"/>
    </row>
    <row r="582">
      <c r="A582" s="1" t="n"/>
      <c r="B582" s="33" t="n"/>
      <c r="C582" s="33" t="n"/>
      <c r="D582" s="31" t="n"/>
      <c r="E582" s="35">
        <f>IF(C582="","",IFERROR(INDEX(Pantry!$C$6:$C$305,MATCH(C582,Pantry!$B$6:$B$305,0))&amp;"","Add to Pantry"))</f>
        <v/>
      </c>
      <c r="F582" s="25">
        <f>IF(OR(C582="",E582="Add to Pantry"),"",ROUND(N(D582)*INDEX(Pantry!$N$6:$N$305,MATCH(C582,Pantry!$B$6:$B$305,0)),2))</f>
        <v/>
      </c>
      <c r="G582" s="35">
        <f>IF(OR(B582="",C582=""),"",IFERROR(ROUND(N(D582)*N(INDEX(Recipes!$H$6:$H$105,MATCH(B582,Recipes!$B$6:$B$105,0)))/IF(N(INDEX(Recipes!$D$6:$D$105,MATCH(B582,Recipes!$B$6:$B$105,0)))&gt;0,INDEX(Recipes!$D$6:$D$105,MATCH(B582,Recipes!$B$6:$B$105,0)),1),2),0))</f>
        <v/>
      </c>
      <c r="H582" s="1" t="n"/>
    </row>
    <row r="583">
      <c r="A583" s="1" t="n"/>
      <c r="B583" s="33" t="n"/>
      <c r="C583" s="33" t="n"/>
      <c r="D583" s="31" t="n"/>
      <c r="E583" s="35">
        <f>IF(C583="","",IFERROR(INDEX(Pantry!$C$6:$C$305,MATCH(C583,Pantry!$B$6:$B$305,0))&amp;"","Add to Pantry"))</f>
        <v/>
      </c>
      <c r="F583" s="25">
        <f>IF(OR(C583="",E583="Add to Pantry"),"",ROUND(N(D583)*INDEX(Pantry!$N$6:$N$305,MATCH(C583,Pantry!$B$6:$B$305,0)),2))</f>
        <v/>
      </c>
      <c r="G583" s="35">
        <f>IF(OR(B583="",C583=""),"",IFERROR(ROUND(N(D583)*N(INDEX(Recipes!$H$6:$H$105,MATCH(B583,Recipes!$B$6:$B$105,0)))/IF(N(INDEX(Recipes!$D$6:$D$105,MATCH(B583,Recipes!$B$6:$B$105,0)))&gt;0,INDEX(Recipes!$D$6:$D$105,MATCH(B583,Recipes!$B$6:$B$105,0)),1),2),0))</f>
        <v/>
      </c>
      <c r="H583" s="1" t="n"/>
    </row>
    <row r="584">
      <c r="A584" s="1" t="n"/>
      <c r="B584" s="33" t="n"/>
      <c r="C584" s="33" t="n"/>
      <c r="D584" s="31" t="n"/>
      <c r="E584" s="35">
        <f>IF(C584="","",IFERROR(INDEX(Pantry!$C$6:$C$305,MATCH(C584,Pantry!$B$6:$B$305,0))&amp;"","Add to Pantry"))</f>
        <v/>
      </c>
      <c r="F584" s="25">
        <f>IF(OR(C584="",E584="Add to Pantry"),"",ROUND(N(D584)*INDEX(Pantry!$N$6:$N$305,MATCH(C584,Pantry!$B$6:$B$305,0)),2))</f>
        <v/>
      </c>
      <c r="G584" s="35">
        <f>IF(OR(B584="",C584=""),"",IFERROR(ROUND(N(D584)*N(INDEX(Recipes!$H$6:$H$105,MATCH(B584,Recipes!$B$6:$B$105,0)))/IF(N(INDEX(Recipes!$D$6:$D$105,MATCH(B584,Recipes!$B$6:$B$105,0)))&gt;0,INDEX(Recipes!$D$6:$D$105,MATCH(B584,Recipes!$B$6:$B$105,0)),1),2),0))</f>
        <v/>
      </c>
      <c r="H584" s="1" t="n"/>
    </row>
    <row r="585">
      <c r="A585" s="1" t="n"/>
      <c r="B585" s="33" t="n"/>
      <c r="C585" s="33" t="n"/>
      <c r="D585" s="31" t="n"/>
      <c r="E585" s="35">
        <f>IF(C585="","",IFERROR(INDEX(Pantry!$C$6:$C$305,MATCH(C585,Pantry!$B$6:$B$305,0))&amp;"","Add to Pantry"))</f>
        <v/>
      </c>
      <c r="F585" s="25">
        <f>IF(OR(C585="",E585="Add to Pantry"),"",ROUND(N(D585)*INDEX(Pantry!$N$6:$N$305,MATCH(C585,Pantry!$B$6:$B$305,0)),2))</f>
        <v/>
      </c>
      <c r="G585" s="35">
        <f>IF(OR(B585="",C585=""),"",IFERROR(ROUND(N(D585)*N(INDEX(Recipes!$H$6:$H$105,MATCH(B585,Recipes!$B$6:$B$105,0)))/IF(N(INDEX(Recipes!$D$6:$D$105,MATCH(B585,Recipes!$B$6:$B$105,0)))&gt;0,INDEX(Recipes!$D$6:$D$105,MATCH(B585,Recipes!$B$6:$B$105,0)),1),2),0))</f>
        <v/>
      </c>
      <c r="H585" s="1" t="n"/>
    </row>
    <row r="586">
      <c r="A586" s="1" t="n"/>
      <c r="B586" s="33" t="n"/>
      <c r="C586" s="33" t="n"/>
      <c r="D586" s="31" t="n"/>
      <c r="E586" s="35">
        <f>IF(C586="","",IFERROR(INDEX(Pantry!$C$6:$C$305,MATCH(C586,Pantry!$B$6:$B$305,0))&amp;"","Add to Pantry"))</f>
        <v/>
      </c>
      <c r="F586" s="25">
        <f>IF(OR(C586="",E586="Add to Pantry"),"",ROUND(N(D586)*INDEX(Pantry!$N$6:$N$305,MATCH(C586,Pantry!$B$6:$B$305,0)),2))</f>
        <v/>
      </c>
      <c r="G586" s="35">
        <f>IF(OR(B586="",C586=""),"",IFERROR(ROUND(N(D586)*N(INDEX(Recipes!$H$6:$H$105,MATCH(B586,Recipes!$B$6:$B$105,0)))/IF(N(INDEX(Recipes!$D$6:$D$105,MATCH(B586,Recipes!$B$6:$B$105,0)))&gt;0,INDEX(Recipes!$D$6:$D$105,MATCH(B586,Recipes!$B$6:$B$105,0)),1),2),0))</f>
        <v/>
      </c>
      <c r="H586" s="1" t="n"/>
    </row>
    <row r="587">
      <c r="A587" s="1" t="n"/>
      <c r="B587" s="33" t="n"/>
      <c r="C587" s="33" t="n"/>
      <c r="D587" s="31" t="n"/>
      <c r="E587" s="35">
        <f>IF(C587="","",IFERROR(INDEX(Pantry!$C$6:$C$305,MATCH(C587,Pantry!$B$6:$B$305,0))&amp;"","Add to Pantry"))</f>
        <v/>
      </c>
      <c r="F587" s="25">
        <f>IF(OR(C587="",E587="Add to Pantry"),"",ROUND(N(D587)*INDEX(Pantry!$N$6:$N$305,MATCH(C587,Pantry!$B$6:$B$305,0)),2))</f>
        <v/>
      </c>
      <c r="G587" s="35">
        <f>IF(OR(B587="",C587=""),"",IFERROR(ROUND(N(D587)*N(INDEX(Recipes!$H$6:$H$105,MATCH(B587,Recipes!$B$6:$B$105,0)))/IF(N(INDEX(Recipes!$D$6:$D$105,MATCH(B587,Recipes!$B$6:$B$105,0)))&gt;0,INDEX(Recipes!$D$6:$D$105,MATCH(B587,Recipes!$B$6:$B$105,0)),1),2),0))</f>
        <v/>
      </c>
      <c r="H587" s="1" t="n"/>
    </row>
    <row r="588">
      <c r="A588" s="1" t="n"/>
      <c r="B588" s="33" t="n"/>
      <c r="C588" s="33" t="n"/>
      <c r="D588" s="31" t="n"/>
      <c r="E588" s="35">
        <f>IF(C588="","",IFERROR(INDEX(Pantry!$C$6:$C$305,MATCH(C588,Pantry!$B$6:$B$305,0))&amp;"","Add to Pantry"))</f>
        <v/>
      </c>
      <c r="F588" s="25">
        <f>IF(OR(C588="",E588="Add to Pantry"),"",ROUND(N(D588)*INDEX(Pantry!$N$6:$N$305,MATCH(C588,Pantry!$B$6:$B$305,0)),2))</f>
        <v/>
      </c>
      <c r="G588" s="35">
        <f>IF(OR(B588="",C588=""),"",IFERROR(ROUND(N(D588)*N(INDEX(Recipes!$H$6:$H$105,MATCH(B588,Recipes!$B$6:$B$105,0)))/IF(N(INDEX(Recipes!$D$6:$D$105,MATCH(B588,Recipes!$B$6:$B$105,0)))&gt;0,INDEX(Recipes!$D$6:$D$105,MATCH(B588,Recipes!$B$6:$B$105,0)),1),2),0))</f>
        <v/>
      </c>
      <c r="H588" s="1" t="n"/>
    </row>
    <row r="589">
      <c r="A589" s="1" t="n"/>
      <c r="B589" s="33" t="n"/>
      <c r="C589" s="33" t="n"/>
      <c r="D589" s="31" t="n"/>
      <c r="E589" s="35">
        <f>IF(C589="","",IFERROR(INDEX(Pantry!$C$6:$C$305,MATCH(C589,Pantry!$B$6:$B$305,0))&amp;"","Add to Pantry"))</f>
        <v/>
      </c>
      <c r="F589" s="25">
        <f>IF(OR(C589="",E589="Add to Pantry"),"",ROUND(N(D589)*INDEX(Pantry!$N$6:$N$305,MATCH(C589,Pantry!$B$6:$B$305,0)),2))</f>
        <v/>
      </c>
      <c r="G589" s="35">
        <f>IF(OR(B589="",C589=""),"",IFERROR(ROUND(N(D589)*N(INDEX(Recipes!$H$6:$H$105,MATCH(B589,Recipes!$B$6:$B$105,0)))/IF(N(INDEX(Recipes!$D$6:$D$105,MATCH(B589,Recipes!$B$6:$B$105,0)))&gt;0,INDEX(Recipes!$D$6:$D$105,MATCH(B589,Recipes!$B$6:$B$105,0)),1),2),0))</f>
        <v/>
      </c>
      <c r="H589" s="1" t="n"/>
    </row>
    <row r="590">
      <c r="A590" s="1" t="n"/>
      <c r="B590" s="33" t="n"/>
      <c r="C590" s="33" t="n"/>
      <c r="D590" s="31" t="n"/>
      <c r="E590" s="35">
        <f>IF(C590="","",IFERROR(INDEX(Pantry!$C$6:$C$305,MATCH(C590,Pantry!$B$6:$B$305,0))&amp;"","Add to Pantry"))</f>
        <v/>
      </c>
      <c r="F590" s="25">
        <f>IF(OR(C590="",E590="Add to Pantry"),"",ROUND(N(D590)*INDEX(Pantry!$N$6:$N$305,MATCH(C590,Pantry!$B$6:$B$305,0)),2))</f>
        <v/>
      </c>
      <c r="G590" s="35">
        <f>IF(OR(B590="",C590=""),"",IFERROR(ROUND(N(D590)*N(INDEX(Recipes!$H$6:$H$105,MATCH(B590,Recipes!$B$6:$B$105,0)))/IF(N(INDEX(Recipes!$D$6:$D$105,MATCH(B590,Recipes!$B$6:$B$105,0)))&gt;0,INDEX(Recipes!$D$6:$D$105,MATCH(B590,Recipes!$B$6:$B$105,0)),1),2),0))</f>
        <v/>
      </c>
      <c r="H590" s="1" t="n"/>
    </row>
    <row r="591">
      <c r="A591" s="1" t="n"/>
      <c r="B591" s="33" t="n"/>
      <c r="C591" s="33" t="n"/>
      <c r="D591" s="31" t="n"/>
      <c r="E591" s="35">
        <f>IF(C591="","",IFERROR(INDEX(Pantry!$C$6:$C$305,MATCH(C591,Pantry!$B$6:$B$305,0))&amp;"","Add to Pantry"))</f>
        <v/>
      </c>
      <c r="F591" s="25">
        <f>IF(OR(C591="",E591="Add to Pantry"),"",ROUND(N(D591)*INDEX(Pantry!$N$6:$N$305,MATCH(C591,Pantry!$B$6:$B$305,0)),2))</f>
        <v/>
      </c>
      <c r="G591" s="35">
        <f>IF(OR(B591="",C591=""),"",IFERROR(ROUND(N(D591)*N(INDEX(Recipes!$H$6:$H$105,MATCH(B591,Recipes!$B$6:$B$105,0)))/IF(N(INDEX(Recipes!$D$6:$D$105,MATCH(B591,Recipes!$B$6:$B$105,0)))&gt;0,INDEX(Recipes!$D$6:$D$105,MATCH(B591,Recipes!$B$6:$B$105,0)),1),2),0))</f>
        <v/>
      </c>
      <c r="H591" s="1" t="n"/>
    </row>
    <row r="592">
      <c r="A592" s="1" t="n"/>
      <c r="B592" s="33" t="n"/>
      <c r="C592" s="33" t="n"/>
      <c r="D592" s="31" t="n"/>
      <c r="E592" s="35">
        <f>IF(C592="","",IFERROR(INDEX(Pantry!$C$6:$C$305,MATCH(C592,Pantry!$B$6:$B$305,0))&amp;"","Add to Pantry"))</f>
        <v/>
      </c>
      <c r="F592" s="25">
        <f>IF(OR(C592="",E592="Add to Pantry"),"",ROUND(N(D592)*INDEX(Pantry!$N$6:$N$305,MATCH(C592,Pantry!$B$6:$B$305,0)),2))</f>
        <v/>
      </c>
      <c r="G592" s="35">
        <f>IF(OR(B592="",C592=""),"",IFERROR(ROUND(N(D592)*N(INDEX(Recipes!$H$6:$H$105,MATCH(B592,Recipes!$B$6:$B$105,0)))/IF(N(INDEX(Recipes!$D$6:$D$105,MATCH(B592,Recipes!$B$6:$B$105,0)))&gt;0,INDEX(Recipes!$D$6:$D$105,MATCH(B592,Recipes!$B$6:$B$105,0)),1),2),0))</f>
        <v/>
      </c>
      <c r="H592" s="1" t="n"/>
    </row>
    <row r="593">
      <c r="A593" s="1" t="n"/>
      <c r="B593" s="33" t="n"/>
      <c r="C593" s="33" t="n"/>
      <c r="D593" s="31" t="n"/>
      <c r="E593" s="35">
        <f>IF(C593="","",IFERROR(INDEX(Pantry!$C$6:$C$305,MATCH(C593,Pantry!$B$6:$B$305,0))&amp;"","Add to Pantry"))</f>
        <v/>
      </c>
      <c r="F593" s="25">
        <f>IF(OR(C593="",E593="Add to Pantry"),"",ROUND(N(D593)*INDEX(Pantry!$N$6:$N$305,MATCH(C593,Pantry!$B$6:$B$305,0)),2))</f>
        <v/>
      </c>
      <c r="G593" s="35">
        <f>IF(OR(B593="",C593=""),"",IFERROR(ROUND(N(D593)*N(INDEX(Recipes!$H$6:$H$105,MATCH(B593,Recipes!$B$6:$B$105,0)))/IF(N(INDEX(Recipes!$D$6:$D$105,MATCH(B593,Recipes!$B$6:$B$105,0)))&gt;0,INDEX(Recipes!$D$6:$D$105,MATCH(B593,Recipes!$B$6:$B$105,0)),1),2),0))</f>
        <v/>
      </c>
      <c r="H593" s="1" t="n"/>
    </row>
    <row r="594">
      <c r="A594" s="1" t="n"/>
      <c r="B594" s="33" t="n"/>
      <c r="C594" s="33" t="n"/>
      <c r="D594" s="31" t="n"/>
      <c r="E594" s="35">
        <f>IF(C594="","",IFERROR(INDEX(Pantry!$C$6:$C$305,MATCH(C594,Pantry!$B$6:$B$305,0))&amp;"","Add to Pantry"))</f>
        <v/>
      </c>
      <c r="F594" s="25">
        <f>IF(OR(C594="",E594="Add to Pantry"),"",ROUND(N(D594)*INDEX(Pantry!$N$6:$N$305,MATCH(C594,Pantry!$B$6:$B$305,0)),2))</f>
        <v/>
      </c>
      <c r="G594" s="35">
        <f>IF(OR(B594="",C594=""),"",IFERROR(ROUND(N(D594)*N(INDEX(Recipes!$H$6:$H$105,MATCH(B594,Recipes!$B$6:$B$105,0)))/IF(N(INDEX(Recipes!$D$6:$D$105,MATCH(B594,Recipes!$B$6:$B$105,0)))&gt;0,INDEX(Recipes!$D$6:$D$105,MATCH(B594,Recipes!$B$6:$B$105,0)),1),2),0))</f>
        <v/>
      </c>
      <c r="H594" s="1" t="n"/>
    </row>
    <row r="595">
      <c r="A595" s="1" t="n"/>
      <c r="B595" s="33" t="n"/>
      <c r="C595" s="33" t="n"/>
      <c r="D595" s="31" t="n"/>
      <c r="E595" s="35">
        <f>IF(C595="","",IFERROR(INDEX(Pantry!$C$6:$C$305,MATCH(C595,Pantry!$B$6:$B$305,0))&amp;"","Add to Pantry"))</f>
        <v/>
      </c>
      <c r="F595" s="25">
        <f>IF(OR(C595="",E595="Add to Pantry"),"",ROUND(N(D595)*INDEX(Pantry!$N$6:$N$305,MATCH(C595,Pantry!$B$6:$B$305,0)),2))</f>
        <v/>
      </c>
      <c r="G595" s="35">
        <f>IF(OR(B595="",C595=""),"",IFERROR(ROUND(N(D595)*N(INDEX(Recipes!$H$6:$H$105,MATCH(B595,Recipes!$B$6:$B$105,0)))/IF(N(INDEX(Recipes!$D$6:$D$105,MATCH(B595,Recipes!$B$6:$B$105,0)))&gt;0,INDEX(Recipes!$D$6:$D$105,MATCH(B595,Recipes!$B$6:$B$105,0)),1),2),0))</f>
        <v/>
      </c>
      <c r="H595" s="1" t="n"/>
    </row>
    <row r="596">
      <c r="A596" s="1" t="n"/>
      <c r="B596" s="33" t="n"/>
      <c r="C596" s="33" t="n"/>
      <c r="D596" s="31" t="n"/>
      <c r="E596" s="35">
        <f>IF(C596="","",IFERROR(INDEX(Pantry!$C$6:$C$305,MATCH(C596,Pantry!$B$6:$B$305,0))&amp;"","Add to Pantry"))</f>
        <v/>
      </c>
      <c r="F596" s="25">
        <f>IF(OR(C596="",E596="Add to Pantry"),"",ROUND(N(D596)*INDEX(Pantry!$N$6:$N$305,MATCH(C596,Pantry!$B$6:$B$305,0)),2))</f>
        <v/>
      </c>
      <c r="G596" s="35">
        <f>IF(OR(B596="",C596=""),"",IFERROR(ROUND(N(D596)*N(INDEX(Recipes!$H$6:$H$105,MATCH(B596,Recipes!$B$6:$B$105,0)))/IF(N(INDEX(Recipes!$D$6:$D$105,MATCH(B596,Recipes!$B$6:$B$105,0)))&gt;0,INDEX(Recipes!$D$6:$D$105,MATCH(B596,Recipes!$B$6:$B$105,0)),1),2),0))</f>
        <v/>
      </c>
      <c r="H596" s="1" t="n"/>
    </row>
    <row r="597">
      <c r="A597" s="1" t="n"/>
      <c r="B597" s="33" t="n"/>
      <c r="C597" s="33" t="n"/>
      <c r="D597" s="31" t="n"/>
      <c r="E597" s="35">
        <f>IF(C597="","",IFERROR(INDEX(Pantry!$C$6:$C$305,MATCH(C597,Pantry!$B$6:$B$305,0))&amp;"","Add to Pantry"))</f>
        <v/>
      </c>
      <c r="F597" s="25">
        <f>IF(OR(C597="",E597="Add to Pantry"),"",ROUND(N(D597)*INDEX(Pantry!$N$6:$N$305,MATCH(C597,Pantry!$B$6:$B$305,0)),2))</f>
        <v/>
      </c>
      <c r="G597" s="35">
        <f>IF(OR(B597="",C597=""),"",IFERROR(ROUND(N(D597)*N(INDEX(Recipes!$H$6:$H$105,MATCH(B597,Recipes!$B$6:$B$105,0)))/IF(N(INDEX(Recipes!$D$6:$D$105,MATCH(B597,Recipes!$B$6:$B$105,0)))&gt;0,INDEX(Recipes!$D$6:$D$105,MATCH(B597,Recipes!$B$6:$B$105,0)),1),2),0))</f>
        <v/>
      </c>
      <c r="H597" s="1" t="n"/>
    </row>
    <row r="598">
      <c r="A598" s="1" t="n"/>
      <c r="B598" s="33" t="n"/>
      <c r="C598" s="33" t="n"/>
      <c r="D598" s="31" t="n"/>
      <c r="E598" s="35">
        <f>IF(C598="","",IFERROR(INDEX(Pantry!$C$6:$C$305,MATCH(C598,Pantry!$B$6:$B$305,0))&amp;"","Add to Pantry"))</f>
        <v/>
      </c>
      <c r="F598" s="25">
        <f>IF(OR(C598="",E598="Add to Pantry"),"",ROUND(N(D598)*INDEX(Pantry!$N$6:$N$305,MATCH(C598,Pantry!$B$6:$B$305,0)),2))</f>
        <v/>
      </c>
      <c r="G598" s="35">
        <f>IF(OR(B598="",C598=""),"",IFERROR(ROUND(N(D598)*N(INDEX(Recipes!$H$6:$H$105,MATCH(B598,Recipes!$B$6:$B$105,0)))/IF(N(INDEX(Recipes!$D$6:$D$105,MATCH(B598,Recipes!$B$6:$B$105,0)))&gt;0,INDEX(Recipes!$D$6:$D$105,MATCH(B598,Recipes!$B$6:$B$105,0)),1),2),0))</f>
        <v/>
      </c>
      <c r="H598" s="1" t="n"/>
    </row>
    <row r="599">
      <c r="A599" s="1" t="n"/>
      <c r="B599" s="33" t="n"/>
      <c r="C599" s="33" t="n"/>
      <c r="D599" s="31" t="n"/>
      <c r="E599" s="35">
        <f>IF(C599="","",IFERROR(INDEX(Pantry!$C$6:$C$305,MATCH(C599,Pantry!$B$6:$B$305,0))&amp;"","Add to Pantry"))</f>
        <v/>
      </c>
      <c r="F599" s="25">
        <f>IF(OR(C599="",E599="Add to Pantry"),"",ROUND(N(D599)*INDEX(Pantry!$N$6:$N$305,MATCH(C599,Pantry!$B$6:$B$305,0)),2))</f>
        <v/>
      </c>
      <c r="G599" s="35">
        <f>IF(OR(B599="",C599=""),"",IFERROR(ROUND(N(D599)*N(INDEX(Recipes!$H$6:$H$105,MATCH(B599,Recipes!$B$6:$B$105,0)))/IF(N(INDEX(Recipes!$D$6:$D$105,MATCH(B599,Recipes!$B$6:$B$105,0)))&gt;0,INDEX(Recipes!$D$6:$D$105,MATCH(B599,Recipes!$B$6:$B$105,0)),1),2),0))</f>
        <v/>
      </c>
      <c r="H599" s="1" t="n"/>
    </row>
    <row r="600">
      <c r="A600" s="1" t="n"/>
      <c r="B600" s="33" t="n"/>
      <c r="C600" s="33" t="n"/>
      <c r="D600" s="31" t="n"/>
      <c r="E600" s="35">
        <f>IF(C600="","",IFERROR(INDEX(Pantry!$C$6:$C$305,MATCH(C600,Pantry!$B$6:$B$305,0))&amp;"","Add to Pantry"))</f>
        <v/>
      </c>
      <c r="F600" s="25">
        <f>IF(OR(C600="",E600="Add to Pantry"),"",ROUND(N(D600)*INDEX(Pantry!$N$6:$N$305,MATCH(C600,Pantry!$B$6:$B$305,0)),2))</f>
        <v/>
      </c>
      <c r="G600" s="35">
        <f>IF(OR(B600="",C600=""),"",IFERROR(ROUND(N(D600)*N(INDEX(Recipes!$H$6:$H$105,MATCH(B600,Recipes!$B$6:$B$105,0)))/IF(N(INDEX(Recipes!$D$6:$D$105,MATCH(B600,Recipes!$B$6:$B$105,0)))&gt;0,INDEX(Recipes!$D$6:$D$105,MATCH(B600,Recipes!$B$6:$B$105,0)),1),2),0))</f>
        <v/>
      </c>
      <c r="H600" s="1" t="n"/>
    </row>
    <row r="601">
      <c r="A601" s="1" t="n"/>
      <c r="B601" s="33" t="n"/>
      <c r="C601" s="33" t="n"/>
      <c r="D601" s="31" t="n"/>
      <c r="E601" s="35">
        <f>IF(C601="","",IFERROR(INDEX(Pantry!$C$6:$C$305,MATCH(C601,Pantry!$B$6:$B$305,0))&amp;"","Add to Pantry"))</f>
        <v/>
      </c>
      <c r="F601" s="25">
        <f>IF(OR(C601="",E601="Add to Pantry"),"",ROUND(N(D601)*INDEX(Pantry!$N$6:$N$305,MATCH(C601,Pantry!$B$6:$B$305,0)),2))</f>
        <v/>
      </c>
      <c r="G601" s="35">
        <f>IF(OR(B601="",C601=""),"",IFERROR(ROUND(N(D601)*N(INDEX(Recipes!$H$6:$H$105,MATCH(B601,Recipes!$B$6:$B$105,0)))/IF(N(INDEX(Recipes!$D$6:$D$105,MATCH(B601,Recipes!$B$6:$B$105,0)))&gt;0,INDEX(Recipes!$D$6:$D$105,MATCH(B601,Recipes!$B$6:$B$105,0)),1),2),0))</f>
        <v/>
      </c>
      <c r="H601" s="1" t="n"/>
    </row>
    <row r="602">
      <c r="A602" s="1" t="n"/>
      <c r="B602" s="33" t="n"/>
      <c r="C602" s="33" t="n"/>
      <c r="D602" s="31" t="n"/>
      <c r="E602" s="35">
        <f>IF(C602="","",IFERROR(INDEX(Pantry!$C$6:$C$305,MATCH(C602,Pantry!$B$6:$B$305,0))&amp;"","Add to Pantry"))</f>
        <v/>
      </c>
      <c r="F602" s="25">
        <f>IF(OR(C602="",E602="Add to Pantry"),"",ROUND(N(D602)*INDEX(Pantry!$N$6:$N$305,MATCH(C602,Pantry!$B$6:$B$305,0)),2))</f>
        <v/>
      </c>
      <c r="G602" s="35">
        <f>IF(OR(B602="",C602=""),"",IFERROR(ROUND(N(D602)*N(INDEX(Recipes!$H$6:$H$105,MATCH(B602,Recipes!$B$6:$B$105,0)))/IF(N(INDEX(Recipes!$D$6:$D$105,MATCH(B602,Recipes!$B$6:$B$105,0)))&gt;0,INDEX(Recipes!$D$6:$D$105,MATCH(B602,Recipes!$B$6:$B$105,0)),1),2),0))</f>
        <v/>
      </c>
      <c r="H602" s="1" t="n"/>
    </row>
    <row r="603">
      <c r="A603" s="1" t="n"/>
      <c r="B603" s="33" t="n"/>
      <c r="C603" s="33" t="n"/>
      <c r="D603" s="31" t="n"/>
      <c r="E603" s="35">
        <f>IF(C603="","",IFERROR(INDEX(Pantry!$C$6:$C$305,MATCH(C603,Pantry!$B$6:$B$305,0))&amp;"","Add to Pantry"))</f>
        <v/>
      </c>
      <c r="F603" s="25">
        <f>IF(OR(C603="",E603="Add to Pantry"),"",ROUND(N(D603)*INDEX(Pantry!$N$6:$N$305,MATCH(C603,Pantry!$B$6:$B$305,0)),2))</f>
        <v/>
      </c>
      <c r="G603" s="35">
        <f>IF(OR(B603="",C603=""),"",IFERROR(ROUND(N(D603)*N(INDEX(Recipes!$H$6:$H$105,MATCH(B603,Recipes!$B$6:$B$105,0)))/IF(N(INDEX(Recipes!$D$6:$D$105,MATCH(B603,Recipes!$B$6:$B$105,0)))&gt;0,INDEX(Recipes!$D$6:$D$105,MATCH(B603,Recipes!$B$6:$B$105,0)),1),2),0))</f>
        <v/>
      </c>
      <c r="H603" s="1" t="n"/>
    </row>
    <row r="604">
      <c r="A604" s="1" t="n"/>
      <c r="B604" s="33" t="n"/>
      <c r="C604" s="33" t="n"/>
      <c r="D604" s="31" t="n"/>
      <c r="E604" s="35">
        <f>IF(C604="","",IFERROR(INDEX(Pantry!$C$6:$C$305,MATCH(C604,Pantry!$B$6:$B$305,0))&amp;"","Add to Pantry"))</f>
        <v/>
      </c>
      <c r="F604" s="25">
        <f>IF(OR(C604="",E604="Add to Pantry"),"",ROUND(N(D604)*INDEX(Pantry!$N$6:$N$305,MATCH(C604,Pantry!$B$6:$B$305,0)),2))</f>
        <v/>
      </c>
      <c r="G604" s="35">
        <f>IF(OR(B604="",C604=""),"",IFERROR(ROUND(N(D604)*N(INDEX(Recipes!$H$6:$H$105,MATCH(B604,Recipes!$B$6:$B$105,0)))/IF(N(INDEX(Recipes!$D$6:$D$105,MATCH(B604,Recipes!$B$6:$B$105,0)))&gt;0,INDEX(Recipes!$D$6:$D$105,MATCH(B604,Recipes!$B$6:$B$105,0)),1),2),0))</f>
        <v/>
      </c>
      <c r="H604" s="1" t="n"/>
    </row>
    <row r="605">
      <c r="A605" s="1" t="n"/>
      <c r="B605" s="33" t="n"/>
      <c r="C605" s="33" t="n"/>
      <c r="D605" s="31" t="n"/>
      <c r="E605" s="35">
        <f>IF(C605="","",IFERROR(INDEX(Pantry!$C$6:$C$305,MATCH(C605,Pantry!$B$6:$B$305,0))&amp;"","Add to Pantry"))</f>
        <v/>
      </c>
      <c r="F605" s="25">
        <f>IF(OR(C605="",E605="Add to Pantry"),"",ROUND(N(D605)*INDEX(Pantry!$N$6:$N$305,MATCH(C605,Pantry!$B$6:$B$305,0)),2))</f>
        <v/>
      </c>
      <c r="G605" s="35">
        <f>IF(OR(B605="",C605=""),"",IFERROR(ROUND(N(D605)*N(INDEX(Recipes!$H$6:$H$105,MATCH(B605,Recipes!$B$6:$B$105,0)))/IF(N(INDEX(Recipes!$D$6:$D$105,MATCH(B605,Recipes!$B$6:$B$105,0)))&gt;0,INDEX(Recipes!$D$6:$D$105,MATCH(B605,Recipes!$B$6:$B$105,0)),1),2),0))</f>
        <v/>
      </c>
      <c r="H605" s="1" t="n"/>
    </row>
    <row r="606">
      <c r="A606" s="1" t="n"/>
      <c r="B606" s="33" t="n"/>
      <c r="C606" s="33" t="n"/>
      <c r="D606" s="31" t="n"/>
      <c r="E606" s="35">
        <f>IF(C606="","",IFERROR(INDEX(Pantry!$C$6:$C$305,MATCH(C606,Pantry!$B$6:$B$305,0))&amp;"","Add to Pantry"))</f>
        <v/>
      </c>
      <c r="F606" s="25">
        <f>IF(OR(C606="",E606="Add to Pantry"),"",ROUND(N(D606)*INDEX(Pantry!$N$6:$N$305,MATCH(C606,Pantry!$B$6:$B$305,0)),2))</f>
        <v/>
      </c>
      <c r="G606" s="35">
        <f>IF(OR(B606="",C606=""),"",IFERROR(ROUND(N(D606)*N(INDEX(Recipes!$H$6:$H$105,MATCH(B606,Recipes!$B$6:$B$105,0)))/IF(N(INDEX(Recipes!$D$6:$D$105,MATCH(B606,Recipes!$B$6:$B$105,0)))&gt;0,INDEX(Recipes!$D$6:$D$105,MATCH(B606,Recipes!$B$6:$B$105,0)),1),2),0))</f>
        <v/>
      </c>
      <c r="H606" s="1" t="n"/>
    </row>
    <row r="607">
      <c r="A607" s="1" t="n"/>
      <c r="B607" s="33" t="n"/>
      <c r="C607" s="33" t="n"/>
      <c r="D607" s="31" t="n"/>
      <c r="E607" s="35">
        <f>IF(C607="","",IFERROR(INDEX(Pantry!$C$6:$C$305,MATCH(C607,Pantry!$B$6:$B$305,0))&amp;"","Add to Pantry"))</f>
        <v/>
      </c>
      <c r="F607" s="25">
        <f>IF(OR(C607="",E607="Add to Pantry"),"",ROUND(N(D607)*INDEX(Pantry!$N$6:$N$305,MATCH(C607,Pantry!$B$6:$B$305,0)),2))</f>
        <v/>
      </c>
      <c r="G607" s="35">
        <f>IF(OR(B607="",C607=""),"",IFERROR(ROUND(N(D607)*N(INDEX(Recipes!$H$6:$H$105,MATCH(B607,Recipes!$B$6:$B$105,0)))/IF(N(INDEX(Recipes!$D$6:$D$105,MATCH(B607,Recipes!$B$6:$B$105,0)))&gt;0,INDEX(Recipes!$D$6:$D$105,MATCH(B607,Recipes!$B$6:$B$105,0)),1),2),0))</f>
        <v/>
      </c>
      <c r="H607" s="1" t="n"/>
    </row>
    <row r="608">
      <c r="A608" s="1" t="n"/>
      <c r="B608" s="33" t="n"/>
      <c r="C608" s="33" t="n"/>
      <c r="D608" s="31" t="n"/>
      <c r="E608" s="35">
        <f>IF(C608="","",IFERROR(INDEX(Pantry!$C$6:$C$305,MATCH(C608,Pantry!$B$6:$B$305,0))&amp;"","Add to Pantry"))</f>
        <v/>
      </c>
      <c r="F608" s="25">
        <f>IF(OR(C608="",E608="Add to Pantry"),"",ROUND(N(D608)*INDEX(Pantry!$N$6:$N$305,MATCH(C608,Pantry!$B$6:$B$305,0)),2))</f>
        <v/>
      </c>
      <c r="G608" s="35">
        <f>IF(OR(B608="",C608=""),"",IFERROR(ROUND(N(D608)*N(INDEX(Recipes!$H$6:$H$105,MATCH(B608,Recipes!$B$6:$B$105,0)))/IF(N(INDEX(Recipes!$D$6:$D$105,MATCH(B608,Recipes!$B$6:$B$105,0)))&gt;0,INDEX(Recipes!$D$6:$D$105,MATCH(B608,Recipes!$B$6:$B$105,0)),1),2),0))</f>
        <v/>
      </c>
      <c r="H608" s="1" t="n"/>
    </row>
    <row r="609">
      <c r="A609" s="1" t="n"/>
      <c r="B609" s="33" t="n"/>
      <c r="C609" s="33" t="n"/>
      <c r="D609" s="31" t="n"/>
      <c r="E609" s="35">
        <f>IF(C609="","",IFERROR(INDEX(Pantry!$C$6:$C$305,MATCH(C609,Pantry!$B$6:$B$305,0))&amp;"","Add to Pantry"))</f>
        <v/>
      </c>
      <c r="F609" s="25">
        <f>IF(OR(C609="",E609="Add to Pantry"),"",ROUND(N(D609)*INDEX(Pantry!$N$6:$N$305,MATCH(C609,Pantry!$B$6:$B$305,0)),2))</f>
        <v/>
      </c>
      <c r="G609" s="35">
        <f>IF(OR(B609="",C609=""),"",IFERROR(ROUND(N(D609)*N(INDEX(Recipes!$H$6:$H$105,MATCH(B609,Recipes!$B$6:$B$105,0)))/IF(N(INDEX(Recipes!$D$6:$D$105,MATCH(B609,Recipes!$B$6:$B$105,0)))&gt;0,INDEX(Recipes!$D$6:$D$105,MATCH(B609,Recipes!$B$6:$B$105,0)),1),2),0))</f>
        <v/>
      </c>
      <c r="H609" s="1" t="n"/>
    </row>
    <row r="610">
      <c r="A610" s="1" t="n"/>
      <c r="B610" s="33" t="n"/>
      <c r="C610" s="33" t="n"/>
      <c r="D610" s="31" t="n"/>
      <c r="E610" s="35">
        <f>IF(C610="","",IFERROR(INDEX(Pantry!$C$6:$C$305,MATCH(C610,Pantry!$B$6:$B$305,0))&amp;"","Add to Pantry"))</f>
        <v/>
      </c>
      <c r="F610" s="25">
        <f>IF(OR(C610="",E610="Add to Pantry"),"",ROUND(N(D610)*INDEX(Pantry!$N$6:$N$305,MATCH(C610,Pantry!$B$6:$B$305,0)),2))</f>
        <v/>
      </c>
      <c r="G610" s="35">
        <f>IF(OR(B610="",C610=""),"",IFERROR(ROUND(N(D610)*N(INDEX(Recipes!$H$6:$H$105,MATCH(B610,Recipes!$B$6:$B$105,0)))/IF(N(INDEX(Recipes!$D$6:$D$105,MATCH(B610,Recipes!$B$6:$B$105,0)))&gt;0,INDEX(Recipes!$D$6:$D$105,MATCH(B610,Recipes!$B$6:$B$105,0)),1),2),0))</f>
        <v/>
      </c>
      <c r="H610" s="1" t="n"/>
    </row>
    <row r="611">
      <c r="A611" s="1" t="n"/>
      <c r="B611" s="33" t="n"/>
      <c r="C611" s="33" t="n"/>
      <c r="D611" s="31" t="n"/>
      <c r="E611" s="35">
        <f>IF(C611="","",IFERROR(INDEX(Pantry!$C$6:$C$305,MATCH(C611,Pantry!$B$6:$B$305,0))&amp;"","Add to Pantry"))</f>
        <v/>
      </c>
      <c r="F611" s="25">
        <f>IF(OR(C611="",E611="Add to Pantry"),"",ROUND(N(D611)*INDEX(Pantry!$N$6:$N$305,MATCH(C611,Pantry!$B$6:$B$305,0)),2))</f>
        <v/>
      </c>
      <c r="G611" s="35">
        <f>IF(OR(B611="",C611=""),"",IFERROR(ROUND(N(D611)*N(INDEX(Recipes!$H$6:$H$105,MATCH(B611,Recipes!$B$6:$B$105,0)))/IF(N(INDEX(Recipes!$D$6:$D$105,MATCH(B611,Recipes!$B$6:$B$105,0)))&gt;0,INDEX(Recipes!$D$6:$D$105,MATCH(B611,Recipes!$B$6:$B$105,0)),1),2),0))</f>
        <v/>
      </c>
      <c r="H611" s="1" t="n"/>
    </row>
    <row r="612">
      <c r="A612" s="1" t="n"/>
      <c r="B612" s="33" t="n"/>
      <c r="C612" s="33" t="n"/>
      <c r="D612" s="31" t="n"/>
      <c r="E612" s="35">
        <f>IF(C612="","",IFERROR(INDEX(Pantry!$C$6:$C$305,MATCH(C612,Pantry!$B$6:$B$305,0))&amp;"","Add to Pantry"))</f>
        <v/>
      </c>
      <c r="F612" s="25">
        <f>IF(OR(C612="",E612="Add to Pantry"),"",ROUND(N(D612)*INDEX(Pantry!$N$6:$N$305,MATCH(C612,Pantry!$B$6:$B$305,0)),2))</f>
        <v/>
      </c>
      <c r="G612" s="35">
        <f>IF(OR(B612="",C612=""),"",IFERROR(ROUND(N(D612)*N(INDEX(Recipes!$H$6:$H$105,MATCH(B612,Recipes!$B$6:$B$105,0)))/IF(N(INDEX(Recipes!$D$6:$D$105,MATCH(B612,Recipes!$B$6:$B$105,0)))&gt;0,INDEX(Recipes!$D$6:$D$105,MATCH(B612,Recipes!$B$6:$B$105,0)),1),2),0))</f>
        <v/>
      </c>
      <c r="H612" s="1" t="n"/>
    </row>
    <row r="613">
      <c r="A613" s="1" t="n"/>
      <c r="B613" s="33" t="n"/>
      <c r="C613" s="33" t="n"/>
      <c r="D613" s="31" t="n"/>
      <c r="E613" s="35">
        <f>IF(C613="","",IFERROR(INDEX(Pantry!$C$6:$C$305,MATCH(C613,Pantry!$B$6:$B$305,0))&amp;"","Add to Pantry"))</f>
        <v/>
      </c>
      <c r="F613" s="25">
        <f>IF(OR(C613="",E613="Add to Pantry"),"",ROUND(N(D613)*INDEX(Pantry!$N$6:$N$305,MATCH(C613,Pantry!$B$6:$B$305,0)),2))</f>
        <v/>
      </c>
      <c r="G613" s="35">
        <f>IF(OR(B613="",C613=""),"",IFERROR(ROUND(N(D613)*N(INDEX(Recipes!$H$6:$H$105,MATCH(B613,Recipes!$B$6:$B$105,0)))/IF(N(INDEX(Recipes!$D$6:$D$105,MATCH(B613,Recipes!$B$6:$B$105,0)))&gt;0,INDEX(Recipes!$D$6:$D$105,MATCH(B613,Recipes!$B$6:$B$105,0)),1),2),0))</f>
        <v/>
      </c>
      <c r="H613" s="1" t="n"/>
    </row>
    <row r="614">
      <c r="A614" s="1" t="n"/>
      <c r="B614" s="33" t="n"/>
      <c r="C614" s="33" t="n"/>
      <c r="D614" s="31" t="n"/>
      <c r="E614" s="35">
        <f>IF(C614="","",IFERROR(INDEX(Pantry!$C$6:$C$305,MATCH(C614,Pantry!$B$6:$B$305,0))&amp;"","Add to Pantry"))</f>
        <v/>
      </c>
      <c r="F614" s="25">
        <f>IF(OR(C614="",E614="Add to Pantry"),"",ROUND(N(D614)*INDEX(Pantry!$N$6:$N$305,MATCH(C614,Pantry!$B$6:$B$305,0)),2))</f>
        <v/>
      </c>
      <c r="G614" s="35">
        <f>IF(OR(B614="",C614=""),"",IFERROR(ROUND(N(D614)*N(INDEX(Recipes!$H$6:$H$105,MATCH(B614,Recipes!$B$6:$B$105,0)))/IF(N(INDEX(Recipes!$D$6:$D$105,MATCH(B614,Recipes!$B$6:$B$105,0)))&gt;0,INDEX(Recipes!$D$6:$D$105,MATCH(B614,Recipes!$B$6:$B$105,0)),1),2),0))</f>
        <v/>
      </c>
      <c r="H614" s="1" t="n"/>
    </row>
    <row r="615">
      <c r="A615" s="1" t="n"/>
      <c r="B615" s="33" t="n"/>
      <c r="C615" s="33" t="n"/>
      <c r="D615" s="31" t="n"/>
      <c r="E615" s="35">
        <f>IF(C615="","",IFERROR(INDEX(Pantry!$C$6:$C$305,MATCH(C615,Pantry!$B$6:$B$305,0))&amp;"","Add to Pantry"))</f>
        <v/>
      </c>
      <c r="F615" s="25">
        <f>IF(OR(C615="",E615="Add to Pantry"),"",ROUND(N(D615)*INDEX(Pantry!$N$6:$N$305,MATCH(C615,Pantry!$B$6:$B$305,0)),2))</f>
        <v/>
      </c>
      <c r="G615" s="35">
        <f>IF(OR(B615="",C615=""),"",IFERROR(ROUND(N(D615)*N(INDEX(Recipes!$H$6:$H$105,MATCH(B615,Recipes!$B$6:$B$105,0)))/IF(N(INDEX(Recipes!$D$6:$D$105,MATCH(B615,Recipes!$B$6:$B$105,0)))&gt;0,INDEX(Recipes!$D$6:$D$105,MATCH(B615,Recipes!$B$6:$B$105,0)),1),2),0))</f>
        <v/>
      </c>
      <c r="H615" s="1" t="n"/>
    </row>
    <row r="616">
      <c r="A616" s="1" t="n"/>
      <c r="B616" s="33" t="n"/>
      <c r="C616" s="33" t="n"/>
      <c r="D616" s="31" t="n"/>
      <c r="E616" s="35">
        <f>IF(C616="","",IFERROR(INDEX(Pantry!$C$6:$C$305,MATCH(C616,Pantry!$B$6:$B$305,0))&amp;"","Add to Pantry"))</f>
        <v/>
      </c>
      <c r="F616" s="25">
        <f>IF(OR(C616="",E616="Add to Pantry"),"",ROUND(N(D616)*INDEX(Pantry!$N$6:$N$305,MATCH(C616,Pantry!$B$6:$B$305,0)),2))</f>
        <v/>
      </c>
      <c r="G616" s="35">
        <f>IF(OR(B616="",C616=""),"",IFERROR(ROUND(N(D616)*N(INDEX(Recipes!$H$6:$H$105,MATCH(B616,Recipes!$B$6:$B$105,0)))/IF(N(INDEX(Recipes!$D$6:$D$105,MATCH(B616,Recipes!$B$6:$B$105,0)))&gt;0,INDEX(Recipes!$D$6:$D$105,MATCH(B616,Recipes!$B$6:$B$105,0)),1),2),0))</f>
        <v/>
      </c>
      <c r="H616" s="1" t="n"/>
    </row>
    <row r="617">
      <c r="A617" s="1" t="n"/>
      <c r="B617" s="33" t="n"/>
      <c r="C617" s="33" t="n"/>
      <c r="D617" s="31" t="n"/>
      <c r="E617" s="35">
        <f>IF(C617="","",IFERROR(INDEX(Pantry!$C$6:$C$305,MATCH(C617,Pantry!$B$6:$B$305,0))&amp;"","Add to Pantry"))</f>
        <v/>
      </c>
      <c r="F617" s="25">
        <f>IF(OR(C617="",E617="Add to Pantry"),"",ROUND(N(D617)*INDEX(Pantry!$N$6:$N$305,MATCH(C617,Pantry!$B$6:$B$305,0)),2))</f>
        <v/>
      </c>
      <c r="G617" s="35">
        <f>IF(OR(B617="",C617=""),"",IFERROR(ROUND(N(D617)*N(INDEX(Recipes!$H$6:$H$105,MATCH(B617,Recipes!$B$6:$B$105,0)))/IF(N(INDEX(Recipes!$D$6:$D$105,MATCH(B617,Recipes!$B$6:$B$105,0)))&gt;0,INDEX(Recipes!$D$6:$D$105,MATCH(B617,Recipes!$B$6:$B$105,0)),1),2),0))</f>
        <v/>
      </c>
      <c r="H617" s="1" t="n"/>
    </row>
    <row r="618">
      <c r="A618" s="1" t="n"/>
      <c r="B618" s="33" t="n"/>
      <c r="C618" s="33" t="n"/>
      <c r="D618" s="31" t="n"/>
      <c r="E618" s="35">
        <f>IF(C618="","",IFERROR(INDEX(Pantry!$C$6:$C$305,MATCH(C618,Pantry!$B$6:$B$305,0))&amp;"","Add to Pantry"))</f>
        <v/>
      </c>
      <c r="F618" s="25">
        <f>IF(OR(C618="",E618="Add to Pantry"),"",ROUND(N(D618)*INDEX(Pantry!$N$6:$N$305,MATCH(C618,Pantry!$B$6:$B$305,0)),2))</f>
        <v/>
      </c>
      <c r="G618" s="35">
        <f>IF(OR(B618="",C618=""),"",IFERROR(ROUND(N(D618)*N(INDEX(Recipes!$H$6:$H$105,MATCH(B618,Recipes!$B$6:$B$105,0)))/IF(N(INDEX(Recipes!$D$6:$D$105,MATCH(B618,Recipes!$B$6:$B$105,0)))&gt;0,INDEX(Recipes!$D$6:$D$105,MATCH(B618,Recipes!$B$6:$B$105,0)),1),2),0))</f>
        <v/>
      </c>
      <c r="H618" s="1" t="n"/>
    </row>
    <row r="619">
      <c r="A619" s="1" t="n"/>
      <c r="B619" s="33" t="n"/>
      <c r="C619" s="33" t="n"/>
      <c r="D619" s="31" t="n"/>
      <c r="E619" s="35">
        <f>IF(C619="","",IFERROR(INDEX(Pantry!$C$6:$C$305,MATCH(C619,Pantry!$B$6:$B$305,0))&amp;"","Add to Pantry"))</f>
        <v/>
      </c>
      <c r="F619" s="25">
        <f>IF(OR(C619="",E619="Add to Pantry"),"",ROUND(N(D619)*INDEX(Pantry!$N$6:$N$305,MATCH(C619,Pantry!$B$6:$B$305,0)),2))</f>
        <v/>
      </c>
      <c r="G619" s="35">
        <f>IF(OR(B619="",C619=""),"",IFERROR(ROUND(N(D619)*N(INDEX(Recipes!$H$6:$H$105,MATCH(B619,Recipes!$B$6:$B$105,0)))/IF(N(INDEX(Recipes!$D$6:$D$105,MATCH(B619,Recipes!$B$6:$B$105,0)))&gt;0,INDEX(Recipes!$D$6:$D$105,MATCH(B619,Recipes!$B$6:$B$105,0)),1),2),0))</f>
        <v/>
      </c>
      <c r="H619" s="1" t="n"/>
    </row>
    <row r="620">
      <c r="A620" s="1" t="n"/>
      <c r="B620" s="33" t="n"/>
      <c r="C620" s="33" t="n"/>
      <c r="D620" s="31" t="n"/>
      <c r="E620" s="35">
        <f>IF(C620="","",IFERROR(INDEX(Pantry!$C$6:$C$305,MATCH(C620,Pantry!$B$6:$B$305,0))&amp;"","Add to Pantry"))</f>
        <v/>
      </c>
      <c r="F620" s="25">
        <f>IF(OR(C620="",E620="Add to Pantry"),"",ROUND(N(D620)*INDEX(Pantry!$N$6:$N$305,MATCH(C620,Pantry!$B$6:$B$305,0)),2))</f>
        <v/>
      </c>
      <c r="G620" s="35">
        <f>IF(OR(B620="",C620=""),"",IFERROR(ROUND(N(D620)*N(INDEX(Recipes!$H$6:$H$105,MATCH(B620,Recipes!$B$6:$B$105,0)))/IF(N(INDEX(Recipes!$D$6:$D$105,MATCH(B620,Recipes!$B$6:$B$105,0)))&gt;0,INDEX(Recipes!$D$6:$D$105,MATCH(B620,Recipes!$B$6:$B$105,0)),1),2),0))</f>
        <v/>
      </c>
      <c r="H620" s="1" t="n"/>
    </row>
    <row r="621">
      <c r="A621" s="1" t="n"/>
      <c r="B621" s="33" t="n"/>
      <c r="C621" s="33" t="n"/>
      <c r="D621" s="31" t="n"/>
      <c r="E621" s="35">
        <f>IF(C621="","",IFERROR(INDEX(Pantry!$C$6:$C$305,MATCH(C621,Pantry!$B$6:$B$305,0))&amp;"","Add to Pantry"))</f>
        <v/>
      </c>
      <c r="F621" s="25">
        <f>IF(OR(C621="",E621="Add to Pantry"),"",ROUND(N(D621)*INDEX(Pantry!$N$6:$N$305,MATCH(C621,Pantry!$B$6:$B$305,0)),2))</f>
        <v/>
      </c>
      <c r="G621" s="35">
        <f>IF(OR(B621="",C621=""),"",IFERROR(ROUND(N(D621)*N(INDEX(Recipes!$H$6:$H$105,MATCH(B621,Recipes!$B$6:$B$105,0)))/IF(N(INDEX(Recipes!$D$6:$D$105,MATCH(B621,Recipes!$B$6:$B$105,0)))&gt;0,INDEX(Recipes!$D$6:$D$105,MATCH(B621,Recipes!$B$6:$B$105,0)),1),2),0))</f>
        <v/>
      </c>
      <c r="H621" s="1" t="n"/>
    </row>
    <row r="622">
      <c r="A622" s="1" t="n"/>
      <c r="B622" s="33" t="n"/>
      <c r="C622" s="33" t="n"/>
      <c r="D622" s="31" t="n"/>
      <c r="E622" s="35">
        <f>IF(C622="","",IFERROR(INDEX(Pantry!$C$6:$C$305,MATCH(C622,Pantry!$B$6:$B$305,0))&amp;"","Add to Pantry"))</f>
        <v/>
      </c>
      <c r="F622" s="25">
        <f>IF(OR(C622="",E622="Add to Pantry"),"",ROUND(N(D622)*INDEX(Pantry!$N$6:$N$305,MATCH(C622,Pantry!$B$6:$B$305,0)),2))</f>
        <v/>
      </c>
      <c r="G622" s="35">
        <f>IF(OR(B622="",C622=""),"",IFERROR(ROUND(N(D622)*N(INDEX(Recipes!$H$6:$H$105,MATCH(B622,Recipes!$B$6:$B$105,0)))/IF(N(INDEX(Recipes!$D$6:$D$105,MATCH(B622,Recipes!$B$6:$B$105,0)))&gt;0,INDEX(Recipes!$D$6:$D$105,MATCH(B622,Recipes!$B$6:$B$105,0)),1),2),0))</f>
        <v/>
      </c>
      <c r="H622" s="1" t="n"/>
    </row>
    <row r="623">
      <c r="A623" s="1" t="n"/>
      <c r="B623" s="33" t="n"/>
      <c r="C623" s="33" t="n"/>
      <c r="D623" s="31" t="n"/>
      <c r="E623" s="35">
        <f>IF(C623="","",IFERROR(INDEX(Pantry!$C$6:$C$305,MATCH(C623,Pantry!$B$6:$B$305,0))&amp;"","Add to Pantry"))</f>
        <v/>
      </c>
      <c r="F623" s="25">
        <f>IF(OR(C623="",E623="Add to Pantry"),"",ROUND(N(D623)*INDEX(Pantry!$N$6:$N$305,MATCH(C623,Pantry!$B$6:$B$305,0)),2))</f>
        <v/>
      </c>
      <c r="G623" s="35">
        <f>IF(OR(B623="",C623=""),"",IFERROR(ROUND(N(D623)*N(INDEX(Recipes!$H$6:$H$105,MATCH(B623,Recipes!$B$6:$B$105,0)))/IF(N(INDEX(Recipes!$D$6:$D$105,MATCH(B623,Recipes!$B$6:$B$105,0)))&gt;0,INDEX(Recipes!$D$6:$D$105,MATCH(B623,Recipes!$B$6:$B$105,0)),1),2),0))</f>
        <v/>
      </c>
      <c r="H623" s="1" t="n"/>
    </row>
    <row r="624">
      <c r="A624" s="1" t="n"/>
      <c r="B624" s="33" t="n"/>
      <c r="C624" s="33" t="n"/>
      <c r="D624" s="31" t="n"/>
      <c r="E624" s="35">
        <f>IF(C624="","",IFERROR(INDEX(Pantry!$C$6:$C$305,MATCH(C624,Pantry!$B$6:$B$305,0))&amp;"","Add to Pantry"))</f>
        <v/>
      </c>
      <c r="F624" s="25">
        <f>IF(OR(C624="",E624="Add to Pantry"),"",ROUND(N(D624)*INDEX(Pantry!$N$6:$N$305,MATCH(C624,Pantry!$B$6:$B$305,0)),2))</f>
        <v/>
      </c>
      <c r="G624" s="35">
        <f>IF(OR(B624="",C624=""),"",IFERROR(ROUND(N(D624)*N(INDEX(Recipes!$H$6:$H$105,MATCH(B624,Recipes!$B$6:$B$105,0)))/IF(N(INDEX(Recipes!$D$6:$D$105,MATCH(B624,Recipes!$B$6:$B$105,0)))&gt;0,INDEX(Recipes!$D$6:$D$105,MATCH(B624,Recipes!$B$6:$B$105,0)),1),2),0))</f>
        <v/>
      </c>
      <c r="H624" s="1" t="n"/>
    </row>
    <row r="625">
      <c r="A625" s="1" t="n"/>
      <c r="B625" s="33" t="n"/>
      <c r="C625" s="33" t="n"/>
      <c r="D625" s="31" t="n"/>
      <c r="E625" s="35">
        <f>IF(C625="","",IFERROR(INDEX(Pantry!$C$6:$C$305,MATCH(C625,Pantry!$B$6:$B$305,0))&amp;"","Add to Pantry"))</f>
        <v/>
      </c>
      <c r="F625" s="25">
        <f>IF(OR(C625="",E625="Add to Pantry"),"",ROUND(N(D625)*INDEX(Pantry!$N$6:$N$305,MATCH(C625,Pantry!$B$6:$B$305,0)),2))</f>
        <v/>
      </c>
      <c r="G625" s="35">
        <f>IF(OR(B625="",C625=""),"",IFERROR(ROUND(N(D625)*N(INDEX(Recipes!$H$6:$H$105,MATCH(B625,Recipes!$B$6:$B$105,0)))/IF(N(INDEX(Recipes!$D$6:$D$105,MATCH(B625,Recipes!$B$6:$B$105,0)))&gt;0,INDEX(Recipes!$D$6:$D$105,MATCH(B625,Recipes!$B$6:$B$105,0)),1),2),0))</f>
        <v/>
      </c>
      <c r="H625" s="1" t="n"/>
    </row>
    <row r="626">
      <c r="A626" s="1" t="n"/>
      <c r="B626" s="33" t="n"/>
      <c r="C626" s="33" t="n"/>
      <c r="D626" s="31" t="n"/>
      <c r="E626" s="35">
        <f>IF(C626="","",IFERROR(INDEX(Pantry!$C$6:$C$305,MATCH(C626,Pantry!$B$6:$B$305,0))&amp;"","Add to Pantry"))</f>
        <v/>
      </c>
      <c r="F626" s="25">
        <f>IF(OR(C626="",E626="Add to Pantry"),"",ROUND(N(D626)*INDEX(Pantry!$N$6:$N$305,MATCH(C626,Pantry!$B$6:$B$305,0)),2))</f>
        <v/>
      </c>
      <c r="G626" s="35">
        <f>IF(OR(B626="",C626=""),"",IFERROR(ROUND(N(D626)*N(INDEX(Recipes!$H$6:$H$105,MATCH(B626,Recipes!$B$6:$B$105,0)))/IF(N(INDEX(Recipes!$D$6:$D$105,MATCH(B626,Recipes!$B$6:$B$105,0)))&gt;0,INDEX(Recipes!$D$6:$D$105,MATCH(B626,Recipes!$B$6:$B$105,0)),1),2),0))</f>
        <v/>
      </c>
      <c r="H626" s="1" t="n"/>
    </row>
    <row r="627">
      <c r="A627" s="1" t="n"/>
      <c r="B627" s="33" t="n"/>
      <c r="C627" s="33" t="n"/>
      <c r="D627" s="31" t="n"/>
      <c r="E627" s="35">
        <f>IF(C627="","",IFERROR(INDEX(Pantry!$C$6:$C$305,MATCH(C627,Pantry!$B$6:$B$305,0))&amp;"","Add to Pantry"))</f>
        <v/>
      </c>
      <c r="F627" s="25">
        <f>IF(OR(C627="",E627="Add to Pantry"),"",ROUND(N(D627)*INDEX(Pantry!$N$6:$N$305,MATCH(C627,Pantry!$B$6:$B$305,0)),2))</f>
        <v/>
      </c>
      <c r="G627" s="35">
        <f>IF(OR(B627="",C627=""),"",IFERROR(ROUND(N(D627)*N(INDEX(Recipes!$H$6:$H$105,MATCH(B627,Recipes!$B$6:$B$105,0)))/IF(N(INDEX(Recipes!$D$6:$D$105,MATCH(B627,Recipes!$B$6:$B$105,0)))&gt;0,INDEX(Recipes!$D$6:$D$105,MATCH(B627,Recipes!$B$6:$B$105,0)),1),2),0))</f>
        <v/>
      </c>
      <c r="H627" s="1" t="n"/>
    </row>
    <row r="628">
      <c r="A628" s="1" t="n"/>
      <c r="B628" s="33" t="n"/>
      <c r="C628" s="33" t="n"/>
      <c r="D628" s="31" t="n"/>
      <c r="E628" s="35">
        <f>IF(C628="","",IFERROR(INDEX(Pantry!$C$6:$C$305,MATCH(C628,Pantry!$B$6:$B$305,0))&amp;"","Add to Pantry"))</f>
        <v/>
      </c>
      <c r="F628" s="25">
        <f>IF(OR(C628="",E628="Add to Pantry"),"",ROUND(N(D628)*INDEX(Pantry!$N$6:$N$305,MATCH(C628,Pantry!$B$6:$B$305,0)),2))</f>
        <v/>
      </c>
      <c r="G628" s="35">
        <f>IF(OR(B628="",C628=""),"",IFERROR(ROUND(N(D628)*N(INDEX(Recipes!$H$6:$H$105,MATCH(B628,Recipes!$B$6:$B$105,0)))/IF(N(INDEX(Recipes!$D$6:$D$105,MATCH(B628,Recipes!$B$6:$B$105,0)))&gt;0,INDEX(Recipes!$D$6:$D$105,MATCH(B628,Recipes!$B$6:$B$105,0)),1),2),0))</f>
        <v/>
      </c>
      <c r="H628" s="1" t="n"/>
    </row>
    <row r="629">
      <c r="A629" s="1" t="n"/>
      <c r="B629" s="33" t="n"/>
      <c r="C629" s="33" t="n"/>
      <c r="D629" s="31" t="n"/>
      <c r="E629" s="35">
        <f>IF(C629="","",IFERROR(INDEX(Pantry!$C$6:$C$305,MATCH(C629,Pantry!$B$6:$B$305,0))&amp;"","Add to Pantry"))</f>
        <v/>
      </c>
      <c r="F629" s="25">
        <f>IF(OR(C629="",E629="Add to Pantry"),"",ROUND(N(D629)*INDEX(Pantry!$N$6:$N$305,MATCH(C629,Pantry!$B$6:$B$305,0)),2))</f>
        <v/>
      </c>
      <c r="G629" s="35">
        <f>IF(OR(B629="",C629=""),"",IFERROR(ROUND(N(D629)*N(INDEX(Recipes!$H$6:$H$105,MATCH(B629,Recipes!$B$6:$B$105,0)))/IF(N(INDEX(Recipes!$D$6:$D$105,MATCH(B629,Recipes!$B$6:$B$105,0)))&gt;0,INDEX(Recipes!$D$6:$D$105,MATCH(B629,Recipes!$B$6:$B$105,0)),1),2),0))</f>
        <v/>
      </c>
      <c r="H629" s="1" t="n"/>
    </row>
    <row r="630">
      <c r="A630" s="1" t="n"/>
      <c r="B630" s="33" t="n"/>
      <c r="C630" s="33" t="n"/>
      <c r="D630" s="31" t="n"/>
      <c r="E630" s="35">
        <f>IF(C630="","",IFERROR(INDEX(Pantry!$C$6:$C$305,MATCH(C630,Pantry!$B$6:$B$305,0))&amp;"","Add to Pantry"))</f>
        <v/>
      </c>
      <c r="F630" s="25">
        <f>IF(OR(C630="",E630="Add to Pantry"),"",ROUND(N(D630)*INDEX(Pantry!$N$6:$N$305,MATCH(C630,Pantry!$B$6:$B$305,0)),2))</f>
        <v/>
      </c>
      <c r="G630" s="35">
        <f>IF(OR(B630="",C630=""),"",IFERROR(ROUND(N(D630)*N(INDEX(Recipes!$H$6:$H$105,MATCH(B630,Recipes!$B$6:$B$105,0)))/IF(N(INDEX(Recipes!$D$6:$D$105,MATCH(B630,Recipes!$B$6:$B$105,0)))&gt;0,INDEX(Recipes!$D$6:$D$105,MATCH(B630,Recipes!$B$6:$B$105,0)),1),2),0))</f>
        <v/>
      </c>
      <c r="H630" s="1" t="n"/>
    </row>
    <row r="631">
      <c r="A631" s="1" t="n"/>
      <c r="B631" s="33" t="n"/>
      <c r="C631" s="33" t="n"/>
      <c r="D631" s="31" t="n"/>
      <c r="E631" s="35">
        <f>IF(C631="","",IFERROR(INDEX(Pantry!$C$6:$C$305,MATCH(C631,Pantry!$B$6:$B$305,0))&amp;"","Add to Pantry"))</f>
        <v/>
      </c>
      <c r="F631" s="25">
        <f>IF(OR(C631="",E631="Add to Pantry"),"",ROUND(N(D631)*INDEX(Pantry!$N$6:$N$305,MATCH(C631,Pantry!$B$6:$B$305,0)),2))</f>
        <v/>
      </c>
      <c r="G631" s="35">
        <f>IF(OR(B631="",C631=""),"",IFERROR(ROUND(N(D631)*N(INDEX(Recipes!$H$6:$H$105,MATCH(B631,Recipes!$B$6:$B$105,0)))/IF(N(INDEX(Recipes!$D$6:$D$105,MATCH(B631,Recipes!$B$6:$B$105,0)))&gt;0,INDEX(Recipes!$D$6:$D$105,MATCH(B631,Recipes!$B$6:$B$105,0)),1),2),0))</f>
        <v/>
      </c>
      <c r="H631" s="1" t="n"/>
    </row>
    <row r="632">
      <c r="A632" s="1" t="n"/>
      <c r="B632" s="33" t="n"/>
      <c r="C632" s="33" t="n"/>
      <c r="D632" s="31" t="n"/>
      <c r="E632" s="35">
        <f>IF(C632="","",IFERROR(INDEX(Pantry!$C$6:$C$305,MATCH(C632,Pantry!$B$6:$B$305,0))&amp;"","Add to Pantry"))</f>
        <v/>
      </c>
      <c r="F632" s="25">
        <f>IF(OR(C632="",E632="Add to Pantry"),"",ROUND(N(D632)*INDEX(Pantry!$N$6:$N$305,MATCH(C632,Pantry!$B$6:$B$305,0)),2))</f>
        <v/>
      </c>
      <c r="G632" s="35">
        <f>IF(OR(B632="",C632=""),"",IFERROR(ROUND(N(D632)*N(INDEX(Recipes!$H$6:$H$105,MATCH(B632,Recipes!$B$6:$B$105,0)))/IF(N(INDEX(Recipes!$D$6:$D$105,MATCH(B632,Recipes!$B$6:$B$105,0)))&gt;0,INDEX(Recipes!$D$6:$D$105,MATCH(B632,Recipes!$B$6:$B$105,0)),1),2),0))</f>
        <v/>
      </c>
      <c r="H632" s="1" t="n"/>
    </row>
    <row r="633">
      <c r="A633" s="1" t="n"/>
      <c r="B633" s="33" t="n"/>
      <c r="C633" s="33" t="n"/>
      <c r="D633" s="31" t="n"/>
      <c r="E633" s="35">
        <f>IF(C633="","",IFERROR(INDEX(Pantry!$C$6:$C$305,MATCH(C633,Pantry!$B$6:$B$305,0))&amp;"","Add to Pantry"))</f>
        <v/>
      </c>
      <c r="F633" s="25">
        <f>IF(OR(C633="",E633="Add to Pantry"),"",ROUND(N(D633)*INDEX(Pantry!$N$6:$N$305,MATCH(C633,Pantry!$B$6:$B$305,0)),2))</f>
        <v/>
      </c>
      <c r="G633" s="35">
        <f>IF(OR(B633="",C633=""),"",IFERROR(ROUND(N(D633)*N(INDEX(Recipes!$H$6:$H$105,MATCH(B633,Recipes!$B$6:$B$105,0)))/IF(N(INDEX(Recipes!$D$6:$D$105,MATCH(B633,Recipes!$B$6:$B$105,0)))&gt;0,INDEX(Recipes!$D$6:$D$105,MATCH(B633,Recipes!$B$6:$B$105,0)),1),2),0))</f>
        <v/>
      </c>
      <c r="H633" s="1" t="n"/>
    </row>
    <row r="634">
      <c r="A634" s="1" t="n"/>
      <c r="B634" s="33" t="n"/>
      <c r="C634" s="33" t="n"/>
      <c r="D634" s="31" t="n"/>
      <c r="E634" s="35">
        <f>IF(C634="","",IFERROR(INDEX(Pantry!$C$6:$C$305,MATCH(C634,Pantry!$B$6:$B$305,0))&amp;"","Add to Pantry"))</f>
        <v/>
      </c>
      <c r="F634" s="25">
        <f>IF(OR(C634="",E634="Add to Pantry"),"",ROUND(N(D634)*INDEX(Pantry!$N$6:$N$305,MATCH(C634,Pantry!$B$6:$B$305,0)),2))</f>
        <v/>
      </c>
      <c r="G634" s="35">
        <f>IF(OR(B634="",C634=""),"",IFERROR(ROUND(N(D634)*N(INDEX(Recipes!$H$6:$H$105,MATCH(B634,Recipes!$B$6:$B$105,0)))/IF(N(INDEX(Recipes!$D$6:$D$105,MATCH(B634,Recipes!$B$6:$B$105,0)))&gt;0,INDEX(Recipes!$D$6:$D$105,MATCH(B634,Recipes!$B$6:$B$105,0)),1),2),0))</f>
        <v/>
      </c>
      <c r="H634" s="1" t="n"/>
    </row>
    <row r="635">
      <c r="A635" s="1" t="n"/>
      <c r="B635" s="33" t="n"/>
      <c r="C635" s="33" t="n"/>
      <c r="D635" s="31" t="n"/>
      <c r="E635" s="35">
        <f>IF(C635="","",IFERROR(INDEX(Pantry!$C$6:$C$305,MATCH(C635,Pantry!$B$6:$B$305,0))&amp;"","Add to Pantry"))</f>
        <v/>
      </c>
      <c r="F635" s="25">
        <f>IF(OR(C635="",E635="Add to Pantry"),"",ROUND(N(D635)*INDEX(Pantry!$N$6:$N$305,MATCH(C635,Pantry!$B$6:$B$305,0)),2))</f>
        <v/>
      </c>
      <c r="G635" s="35">
        <f>IF(OR(B635="",C635=""),"",IFERROR(ROUND(N(D635)*N(INDEX(Recipes!$H$6:$H$105,MATCH(B635,Recipes!$B$6:$B$105,0)))/IF(N(INDEX(Recipes!$D$6:$D$105,MATCH(B635,Recipes!$B$6:$B$105,0)))&gt;0,INDEX(Recipes!$D$6:$D$105,MATCH(B635,Recipes!$B$6:$B$105,0)),1),2),0))</f>
        <v/>
      </c>
      <c r="H635" s="1" t="n"/>
    </row>
    <row r="636">
      <c r="A636" s="1" t="n"/>
      <c r="B636" s="33" t="n"/>
      <c r="C636" s="33" t="n"/>
      <c r="D636" s="31" t="n"/>
      <c r="E636" s="35">
        <f>IF(C636="","",IFERROR(INDEX(Pantry!$C$6:$C$305,MATCH(C636,Pantry!$B$6:$B$305,0))&amp;"","Add to Pantry"))</f>
        <v/>
      </c>
      <c r="F636" s="25">
        <f>IF(OR(C636="",E636="Add to Pantry"),"",ROUND(N(D636)*INDEX(Pantry!$N$6:$N$305,MATCH(C636,Pantry!$B$6:$B$305,0)),2))</f>
        <v/>
      </c>
      <c r="G636" s="35">
        <f>IF(OR(B636="",C636=""),"",IFERROR(ROUND(N(D636)*N(INDEX(Recipes!$H$6:$H$105,MATCH(B636,Recipes!$B$6:$B$105,0)))/IF(N(INDEX(Recipes!$D$6:$D$105,MATCH(B636,Recipes!$B$6:$B$105,0)))&gt;0,INDEX(Recipes!$D$6:$D$105,MATCH(B636,Recipes!$B$6:$B$105,0)),1),2),0))</f>
        <v/>
      </c>
      <c r="H636" s="1" t="n"/>
    </row>
    <row r="637">
      <c r="A637" s="1" t="n"/>
      <c r="B637" s="33" t="n"/>
      <c r="C637" s="33" t="n"/>
      <c r="D637" s="31" t="n"/>
      <c r="E637" s="35">
        <f>IF(C637="","",IFERROR(INDEX(Pantry!$C$6:$C$305,MATCH(C637,Pantry!$B$6:$B$305,0))&amp;"","Add to Pantry"))</f>
        <v/>
      </c>
      <c r="F637" s="25">
        <f>IF(OR(C637="",E637="Add to Pantry"),"",ROUND(N(D637)*INDEX(Pantry!$N$6:$N$305,MATCH(C637,Pantry!$B$6:$B$305,0)),2))</f>
        <v/>
      </c>
      <c r="G637" s="35">
        <f>IF(OR(B637="",C637=""),"",IFERROR(ROUND(N(D637)*N(INDEX(Recipes!$H$6:$H$105,MATCH(B637,Recipes!$B$6:$B$105,0)))/IF(N(INDEX(Recipes!$D$6:$D$105,MATCH(B637,Recipes!$B$6:$B$105,0)))&gt;0,INDEX(Recipes!$D$6:$D$105,MATCH(B637,Recipes!$B$6:$B$105,0)),1),2),0))</f>
        <v/>
      </c>
      <c r="H637" s="1" t="n"/>
    </row>
    <row r="638">
      <c r="A638" s="1" t="n"/>
      <c r="B638" s="33" t="n"/>
      <c r="C638" s="33" t="n"/>
      <c r="D638" s="31" t="n"/>
      <c r="E638" s="35">
        <f>IF(C638="","",IFERROR(INDEX(Pantry!$C$6:$C$305,MATCH(C638,Pantry!$B$6:$B$305,0))&amp;"","Add to Pantry"))</f>
        <v/>
      </c>
      <c r="F638" s="25">
        <f>IF(OR(C638="",E638="Add to Pantry"),"",ROUND(N(D638)*INDEX(Pantry!$N$6:$N$305,MATCH(C638,Pantry!$B$6:$B$305,0)),2))</f>
        <v/>
      </c>
      <c r="G638" s="35">
        <f>IF(OR(B638="",C638=""),"",IFERROR(ROUND(N(D638)*N(INDEX(Recipes!$H$6:$H$105,MATCH(B638,Recipes!$B$6:$B$105,0)))/IF(N(INDEX(Recipes!$D$6:$D$105,MATCH(B638,Recipes!$B$6:$B$105,0)))&gt;0,INDEX(Recipes!$D$6:$D$105,MATCH(B638,Recipes!$B$6:$B$105,0)),1),2),0))</f>
        <v/>
      </c>
      <c r="H638" s="1" t="n"/>
    </row>
    <row r="639">
      <c r="A639" s="1" t="n"/>
      <c r="B639" s="33" t="n"/>
      <c r="C639" s="33" t="n"/>
      <c r="D639" s="31" t="n"/>
      <c r="E639" s="35">
        <f>IF(C639="","",IFERROR(INDEX(Pantry!$C$6:$C$305,MATCH(C639,Pantry!$B$6:$B$305,0))&amp;"","Add to Pantry"))</f>
        <v/>
      </c>
      <c r="F639" s="25">
        <f>IF(OR(C639="",E639="Add to Pantry"),"",ROUND(N(D639)*INDEX(Pantry!$N$6:$N$305,MATCH(C639,Pantry!$B$6:$B$305,0)),2))</f>
        <v/>
      </c>
      <c r="G639" s="35">
        <f>IF(OR(B639="",C639=""),"",IFERROR(ROUND(N(D639)*N(INDEX(Recipes!$H$6:$H$105,MATCH(B639,Recipes!$B$6:$B$105,0)))/IF(N(INDEX(Recipes!$D$6:$D$105,MATCH(B639,Recipes!$B$6:$B$105,0)))&gt;0,INDEX(Recipes!$D$6:$D$105,MATCH(B639,Recipes!$B$6:$B$105,0)),1),2),0))</f>
        <v/>
      </c>
      <c r="H639" s="1" t="n"/>
    </row>
    <row r="640">
      <c r="A640" s="1" t="n"/>
      <c r="B640" s="33" t="n"/>
      <c r="C640" s="33" t="n"/>
      <c r="D640" s="31" t="n"/>
      <c r="E640" s="35">
        <f>IF(C640="","",IFERROR(INDEX(Pantry!$C$6:$C$305,MATCH(C640,Pantry!$B$6:$B$305,0))&amp;"","Add to Pantry"))</f>
        <v/>
      </c>
      <c r="F640" s="25">
        <f>IF(OR(C640="",E640="Add to Pantry"),"",ROUND(N(D640)*INDEX(Pantry!$N$6:$N$305,MATCH(C640,Pantry!$B$6:$B$305,0)),2))</f>
        <v/>
      </c>
      <c r="G640" s="35">
        <f>IF(OR(B640="",C640=""),"",IFERROR(ROUND(N(D640)*N(INDEX(Recipes!$H$6:$H$105,MATCH(B640,Recipes!$B$6:$B$105,0)))/IF(N(INDEX(Recipes!$D$6:$D$105,MATCH(B640,Recipes!$B$6:$B$105,0)))&gt;0,INDEX(Recipes!$D$6:$D$105,MATCH(B640,Recipes!$B$6:$B$105,0)),1),2),0))</f>
        <v/>
      </c>
      <c r="H640" s="1" t="n"/>
    </row>
    <row r="641">
      <c r="A641" s="1" t="n"/>
      <c r="B641" s="33" t="n"/>
      <c r="C641" s="33" t="n"/>
      <c r="D641" s="31" t="n"/>
      <c r="E641" s="35">
        <f>IF(C641="","",IFERROR(INDEX(Pantry!$C$6:$C$305,MATCH(C641,Pantry!$B$6:$B$305,0))&amp;"","Add to Pantry"))</f>
        <v/>
      </c>
      <c r="F641" s="25">
        <f>IF(OR(C641="",E641="Add to Pantry"),"",ROUND(N(D641)*INDEX(Pantry!$N$6:$N$305,MATCH(C641,Pantry!$B$6:$B$305,0)),2))</f>
        <v/>
      </c>
      <c r="G641" s="35">
        <f>IF(OR(B641="",C641=""),"",IFERROR(ROUND(N(D641)*N(INDEX(Recipes!$H$6:$H$105,MATCH(B641,Recipes!$B$6:$B$105,0)))/IF(N(INDEX(Recipes!$D$6:$D$105,MATCH(B641,Recipes!$B$6:$B$105,0)))&gt;0,INDEX(Recipes!$D$6:$D$105,MATCH(B641,Recipes!$B$6:$B$105,0)),1),2),0))</f>
        <v/>
      </c>
      <c r="H641" s="1" t="n"/>
    </row>
    <row r="642">
      <c r="A642" s="1" t="n"/>
      <c r="B642" s="33" t="n"/>
      <c r="C642" s="33" t="n"/>
      <c r="D642" s="31" t="n"/>
      <c r="E642" s="35">
        <f>IF(C642="","",IFERROR(INDEX(Pantry!$C$6:$C$305,MATCH(C642,Pantry!$B$6:$B$305,0))&amp;"","Add to Pantry"))</f>
        <v/>
      </c>
      <c r="F642" s="25">
        <f>IF(OR(C642="",E642="Add to Pantry"),"",ROUND(N(D642)*INDEX(Pantry!$N$6:$N$305,MATCH(C642,Pantry!$B$6:$B$305,0)),2))</f>
        <v/>
      </c>
      <c r="G642" s="35">
        <f>IF(OR(B642="",C642=""),"",IFERROR(ROUND(N(D642)*N(INDEX(Recipes!$H$6:$H$105,MATCH(B642,Recipes!$B$6:$B$105,0)))/IF(N(INDEX(Recipes!$D$6:$D$105,MATCH(B642,Recipes!$B$6:$B$105,0)))&gt;0,INDEX(Recipes!$D$6:$D$105,MATCH(B642,Recipes!$B$6:$B$105,0)),1),2),0))</f>
        <v/>
      </c>
      <c r="H642" s="1" t="n"/>
    </row>
    <row r="643">
      <c r="A643" s="1" t="n"/>
      <c r="B643" s="33" t="n"/>
      <c r="C643" s="33" t="n"/>
      <c r="D643" s="31" t="n"/>
      <c r="E643" s="35">
        <f>IF(C643="","",IFERROR(INDEX(Pantry!$C$6:$C$305,MATCH(C643,Pantry!$B$6:$B$305,0))&amp;"","Add to Pantry"))</f>
        <v/>
      </c>
      <c r="F643" s="25">
        <f>IF(OR(C643="",E643="Add to Pantry"),"",ROUND(N(D643)*INDEX(Pantry!$N$6:$N$305,MATCH(C643,Pantry!$B$6:$B$305,0)),2))</f>
        <v/>
      </c>
      <c r="G643" s="35">
        <f>IF(OR(B643="",C643=""),"",IFERROR(ROUND(N(D643)*N(INDEX(Recipes!$H$6:$H$105,MATCH(B643,Recipes!$B$6:$B$105,0)))/IF(N(INDEX(Recipes!$D$6:$D$105,MATCH(B643,Recipes!$B$6:$B$105,0)))&gt;0,INDEX(Recipes!$D$6:$D$105,MATCH(B643,Recipes!$B$6:$B$105,0)),1),2),0))</f>
        <v/>
      </c>
      <c r="H643" s="1" t="n"/>
    </row>
    <row r="644">
      <c r="A644" s="1" t="n"/>
      <c r="B644" s="33" t="n"/>
      <c r="C644" s="33" t="n"/>
      <c r="D644" s="31" t="n"/>
      <c r="E644" s="35">
        <f>IF(C644="","",IFERROR(INDEX(Pantry!$C$6:$C$305,MATCH(C644,Pantry!$B$6:$B$305,0))&amp;"","Add to Pantry"))</f>
        <v/>
      </c>
      <c r="F644" s="25">
        <f>IF(OR(C644="",E644="Add to Pantry"),"",ROUND(N(D644)*INDEX(Pantry!$N$6:$N$305,MATCH(C644,Pantry!$B$6:$B$305,0)),2))</f>
        <v/>
      </c>
      <c r="G644" s="35">
        <f>IF(OR(B644="",C644=""),"",IFERROR(ROUND(N(D644)*N(INDEX(Recipes!$H$6:$H$105,MATCH(B644,Recipes!$B$6:$B$105,0)))/IF(N(INDEX(Recipes!$D$6:$D$105,MATCH(B644,Recipes!$B$6:$B$105,0)))&gt;0,INDEX(Recipes!$D$6:$D$105,MATCH(B644,Recipes!$B$6:$B$105,0)),1),2),0))</f>
        <v/>
      </c>
      <c r="H644" s="1" t="n"/>
    </row>
    <row r="645">
      <c r="A645" s="1" t="n"/>
      <c r="B645" s="33" t="n"/>
      <c r="C645" s="33" t="n"/>
      <c r="D645" s="31" t="n"/>
      <c r="E645" s="35">
        <f>IF(C645="","",IFERROR(INDEX(Pantry!$C$6:$C$305,MATCH(C645,Pantry!$B$6:$B$305,0))&amp;"","Add to Pantry"))</f>
        <v/>
      </c>
      <c r="F645" s="25">
        <f>IF(OR(C645="",E645="Add to Pantry"),"",ROUND(N(D645)*INDEX(Pantry!$N$6:$N$305,MATCH(C645,Pantry!$B$6:$B$305,0)),2))</f>
        <v/>
      </c>
      <c r="G645" s="35">
        <f>IF(OR(B645="",C645=""),"",IFERROR(ROUND(N(D645)*N(INDEX(Recipes!$H$6:$H$105,MATCH(B645,Recipes!$B$6:$B$105,0)))/IF(N(INDEX(Recipes!$D$6:$D$105,MATCH(B645,Recipes!$B$6:$B$105,0)))&gt;0,INDEX(Recipes!$D$6:$D$105,MATCH(B645,Recipes!$B$6:$B$105,0)),1),2),0))</f>
        <v/>
      </c>
      <c r="H645" s="1" t="n"/>
    </row>
    <row r="646">
      <c r="A646" s="1" t="n"/>
      <c r="B646" s="33" t="n"/>
      <c r="C646" s="33" t="n"/>
      <c r="D646" s="31" t="n"/>
      <c r="E646" s="35">
        <f>IF(C646="","",IFERROR(INDEX(Pantry!$C$6:$C$305,MATCH(C646,Pantry!$B$6:$B$305,0))&amp;"","Add to Pantry"))</f>
        <v/>
      </c>
      <c r="F646" s="25">
        <f>IF(OR(C646="",E646="Add to Pantry"),"",ROUND(N(D646)*INDEX(Pantry!$N$6:$N$305,MATCH(C646,Pantry!$B$6:$B$305,0)),2))</f>
        <v/>
      </c>
      <c r="G646" s="35">
        <f>IF(OR(B646="",C646=""),"",IFERROR(ROUND(N(D646)*N(INDEX(Recipes!$H$6:$H$105,MATCH(B646,Recipes!$B$6:$B$105,0)))/IF(N(INDEX(Recipes!$D$6:$D$105,MATCH(B646,Recipes!$B$6:$B$105,0)))&gt;0,INDEX(Recipes!$D$6:$D$105,MATCH(B646,Recipes!$B$6:$B$105,0)),1),2),0))</f>
        <v/>
      </c>
      <c r="H646" s="1" t="n"/>
    </row>
    <row r="647">
      <c r="A647" s="1" t="n"/>
      <c r="B647" s="33" t="n"/>
      <c r="C647" s="33" t="n"/>
      <c r="D647" s="31" t="n"/>
      <c r="E647" s="35">
        <f>IF(C647="","",IFERROR(INDEX(Pantry!$C$6:$C$305,MATCH(C647,Pantry!$B$6:$B$305,0))&amp;"","Add to Pantry"))</f>
        <v/>
      </c>
      <c r="F647" s="25">
        <f>IF(OR(C647="",E647="Add to Pantry"),"",ROUND(N(D647)*INDEX(Pantry!$N$6:$N$305,MATCH(C647,Pantry!$B$6:$B$305,0)),2))</f>
        <v/>
      </c>
      <c r="G647" s="35">
        <f>IF(OR(B647="",C647=""),"",IFERROR(ROUND(N(D647)*N(INDEX(Recipes!$H$6:$H$105,MATCH(B647,Recipes!$B$6:$B$105,0)))/IF(N(INDEX(Recipes!$D$6:$D$105,MATCH(B647,Recipes!$B$6:$B$105,0)))&gt;0,INDEX(Recipes!$D$6:$D$105,MATCH(B647,Recipes!$B$6:$B$105,0)),1),2),0))</f>
        <v/>
      </c>
      <c r="H647" s="1" t="n"/>
    </row>
    <row r="648">
      <c r="A648" s="1" t="n"/>
      <c r="B648" s="33" t="n"/>
      <c r="C648" s="33" t="n"/>
      <c r="D648" s="31" t="n"/>
      <c r="E648" s="35">
        <f>IF(C648="","",IFERROR(INDEX(Pantry!$C$6:$C$305,MATCH(C648,Pantry!$B$6:$B$305,0))&amp;"","Add to Pantry"))</f>
        <v/>
      </c>
      <c r="F648" s="25">
        <f>IF(OR(C648="",E648="Add to Pantry"),"",ROUND(N(D648)*INDEX(Pantry!$N$6:$N$305,MATCH(C648,Pantry!$B$6:$B$305,0)),2))</f>
        <v/>
      </c>
      <c r="G648" s="35">
        <f>IF(OR(B648="",C648=""),"",IFERROR(ROUND(N(D648)*N(INDEX(Recipes!$H$6:$H$105,MATCH(B648,Recipes!$B$6:$B$105,0)))/IF(N(INDEX(Recipes!$D$6:$D$105,MATCH(B648,Recipes!$B$6:$B$105,0)))&gt;0,INDEX(Recipes!$D$6:$D$105,MATCH(B648,Recipes!$B$6:$B$105,0)),1),2),0))</f>
        <v/>
      </c>
      <c r="H648" s="1" t="n"/>
    </row>
    <row r="649">
      <c r="A649" s="1" t="n"/>
      <c r="B649" s="33" t="n"/>
      <c r="C649" s="33" t="n"/>
      <c r="D649" s="31" t="n"/>
      <c r="E649" s="35">
        <f>IF(C649="","",IFERROR(INDEX(Pantry!$C$6:$C$305,MATCH(C649,Pantry!$B$6:$B$305,0))&amp;"","Add to Pantry"))</f>
        <v/>
      </c>
      <c r="F649" s="25">
        <f>IF(OR(C649="",E649="Add to Pantry"),"",ROUND(N(D649)*INDEX(Pantry!$N$6:$N$305,MATCH(C649,Pantry!$B$6:$B$305,0)),2))</f>
        <v/>
      </c>
      <c r="G649" s="35">
        <f>IF(OR(B649="",C649=""),"",IFERROR(ROUND(N(D649)*N(INDEX(Recipes!$H$6:$H$105,MATCH(B649,Recipes!$B$6:$B$105,0)))/IF(N(INDEX(Recipes!$D$6:$D$105,MATCH(B649,Recipes!$B$6:$B$105,0)))&gt;0,INDEX(Recipes!$D$6:$D$105,MATCH(B649,Recipes!$B$6:$B$105,0)),1),2),0))</f>
        <v/>
      </c>
      <c r="H649" s="1" t="n"/>
    </row>
    <row r="650">
      <c r="A650" s="1" t="n"/>
      <c r="B650" s="33" t="n"/>
      <c r="C650" s="33" t="n"/>
      <c r="D650" s="31" t="n"/>
      <c r="E650" s="35">
        <f>IF(C650="","",IFERROR(INDEX(Pantry!$C$6:$C$305,MATCH(C650,Pantry!$B$6:$B$305,0))&amp;"","Add to Pantry"))</f>
        <v/>
      </c>
      <c r="F650" s="25">
        <f>IF(OR(C650="",E650="Add to Pantry"),"",ROUND(N(D650)*INDEX(Pantry!$N$6:$N$305,MATCH(C650,Pantry!$B$6:$B$305,0)),2))</f>
        <v/>
      </c>
      <c r="G650" s="35">
        <f>IF(OR(B650="",C650=""),"",IFERROR(ROUND(N(D650)*N(INDEX(Recipes!$H$6:$H$105,MATCH(B650,Recipes!$B$6:$B$105,0)))/IF(N(INDEX(Recipes!$D$6:$D$105,MATCH(B650,Recipes!$B$6:$B$105,0)))&gt;0,INDEX(Recipes!$D$6:$D$105,MATCH(B650,Recipes!$B$6:$B$105,0)),1),2),0))</f>
        <v/>
      </c>
      <c r="H650" s="1" t="n"/>
    </row>
    <row r="651">
      <c r="A651" s="1" t="n"/>
      <c r="B651" s="33" t="n"/>
      <c r="C651" s="33" t="n"/>
      <c r="D651" s="31" t="n"/>
      <c r="E651" s="35">
        <f>IF(C651="","",IFERROR(INDEX(Pantry!$C$6:$C$305,MATCH(C651,Pantry!$B$6:$B$305,0))&amp;"","Add to Pantry"))</f>
        <v/>
      </c>
      <c r="F651" s="25">
        <f>IF(OR(C651="",E651="Add to Pantry"),"",ROUND(N(D651)*INDEX(Pantry!$N$6:$N$305,MATCH(C651,Pantry!$B$6:$B$305,0)),2))</f>
        <v/>
      </c>
      <c r="G651" s="35">
        <f>IF(OR(B651="",C651=""),"",IFERROR(ROUND(N(D651)*N(INDEX(Recipes!$H$6:$H$105,MATCH(B651,Recipes!$B$6:$B$105,0)))/IF(N(INDEX(Recipes!$D$6:$D$105,MATCH(B651,Recipes!$B$6:$B$105,0)))&gt;0,INDEX(Recipes!$D$6:$D$105,MATCH(B651,Recipes!$B$6:$B$105,0)),1),2),0))</f>
        <v/>
      </c>
      <c r="H651" s="1" t="n"/>
    </row>
    <row r="652">
      <c r="A652" s="1" t="n"/>
      <c r="B652" s="33" t="n"/>
      <c r="C652" s="33" t="n"/>
      <c r="D652" s="31" t="n"/>
      <c r="E652" s="35">
        <f>IF(C652="","",IFERROR(INDEX(Pantry!$C$6:$C$305,MATCH(C652,Pantry!$B$6:$B$305,0))&amp;"","Add to Pantry"))</f>
        <v/>
      </c>
      <c r="F652" s="25">
        <f>IF(OR(C652="",E652="Add to Pantry"),"",ROUND(N(D652)*INDEX(Pantry!$N$6:$N$305,MATCH(C652,Pantry!$B$6:$B$305,0)),2))</f>
        <v/>
      </c>
      <c r="G652" s="35">
        <f>IF(OR(B652="",C652=""),"",IFERROR(ROUND(N(D652)*N(INDEX(Recipes!$H$6:$H$105,MATCH(B652,Recipes!$B$6:$B$105,0)))/IF(N(INDEX(Recipes!$D$6:$D$105,MATCH(B652,Recipes!$B$6:$B$105,0)))&gt;0,INDEX(Recipes!$D$6:$D$105,MATCH(B652,Recipes!$B$6:$B$105,0)),1),2),0))</f>
        <v/>
      </c>
      <c r="H652" s="1" t="n"/>
    </row>
    <row r="653">
      <c r="A653" s="1" t="n"/>
      <c r="B653" s="33" t="n"/>
      <c r="C653" s="33" t="n"/>
      <c r="D653" s="31" t="n"/>
      <c r="E653" s="35">
        <f>IF(C653="","",IFERROR(INDEX(Pantry!$C$6:$C$305,MATCH(C653,Pantry!$B$6:$B$305,0))&amp;"","Add to Pantry"))</f>
        <v/>
      </c>
      <c r="F653" s="25">
        <f>IF(OR(C653="",E653="Add to Pantry"),"",ROUND(N(D653)*INDEX(Pantry!$N$6:$N$305,MATCH(C653,Pantry!$B$6:$B$305,0)),2))</f>
        <v/>
      </c>
      <c r="G653" s="35">
        <f>IF(OR(B653="",C653=""),"",IFERROR(ROUND(N(D653)*N(INDEX(Recipes!$H$6:$H$105,MATCH(B653,Recipes!$B$6:$B$105,0)))/IF(N(INDEX(Recipes!$D$6:$D$105,MATCH(B653,Recipes!$B$6:$B$105,0)))&gt;0,INDEX(Recipes!$D$6:$D$105,MATCH(B653,Recipes!$B$6:$B$105,0)),1),2),0))</f>
        <v/>
      </c>
      <c r="H653" s="1" t="n"/>
    </row>
    <row r="654">
      <c r="A654" s="1" t="n"/>
      <c r="B654" s="33" t="n"/>
      <c r="C654" s="33" t="n"/>
      <c r="D654" s="31" t="n"/>
      <c r="E654" s="35">
        <f>IF(C654="","",IFERROR(INDEX(Pantry!$C$6:$C$305,MATCH(C654,Pantry!$B$6:$B$305,0))&amp;"","Add to Pantry"))</f>
        <v/>
      </c>
      <c r="F654" s="25">
        <f>IF(OR(C654="",E654="Add to Pantry"),"",ROUND(N(D654)*INDEX(Pantry!$N$6:$N$305,MATCH(C654,Pantry!$B$6:$B$305,0)),2))</f>
        <v/>
      </c>
      <c r="G654" s="35">
        <f>IF(OR(B654="",C654=""),"",IFERROR(ROUND(N(D654)*N(INDEX(Recipes!$H$6:$H$105,MATCH(B654,Recipes!$B$6:$B$105,0)))/IF(N(INDEX(Recipes!$D$6:$D$105,MATCH(B654,Recipes!$B$6:$B$105,0)))&gt;0,INDEX(Recipes!$D$6:$D$105,MATCH(B654,Recipes!$B$6:$B$105,0)),1),2),0))</f>
        <v/>
      </c>
      <c r="H654" s="1" t="n"/>
    </row>
    <row r="655">
      <c r="A655" s="1" t="n"/>
      <c r="B655" s="33" t="n"/>
      <c r="C655" s="33" t="n"/>
      <c r="D655" s="31" t="n"/>
      <c r="E655" s="35">
        <f>IF(C655="","",IFERROR(INDEX(Pantry!$C$6:$C$305,MATCH(C655,Pantry!$B$6:$B$305,0))&amp;"","Add to Pantry"))</f>
        <v/>
      </c>
      <c r="F655" s="25">
        <f>IF(OR(C655="",E655="Add to Pantry"),"",ROUND(N(D655)*INDEX(Pantry!$N$6:$N$305,MATCH(C655,Pantry!$B$6:$B$305,0)),2))</f>
        <v/>
      </c>
      <c r="G655" s="35">
        <f>IF(OR(B655="",C655=""),"",IFERROR(ROUND(N(D655)*N(INDEX(Recipes!$H$6:$H$105,MATCH(B655,Recipes!$B$6:$B$105,0)))/IF(N(INDEX(Recipes!$D$6:$D$105,MATCH(B655,Recipes!$B$6:$B$105,0)))&gt;0,INDEX(Recipes!$D$6:$D$105,MATCH(B655,Recipes!$B$6:$B$105,0)),1),2),0))</f>
        <v/>
      </c>
      <c r="H655" s="1" t="n"/>
    </row>
    <row r="656">
      <c r="A656" s="1" t="n"/>
      <c r="B656" s="33" t="n"/>
      <c r="C656" s="33" t="n"/>
      <c r="D656" s="31" t="n"/>
      <c r="E656" s="35">
        <f>IF(C656="","",IFERROR(INDEX(Pantry!$C$6:$C$305,MATCH(C656,Pantry!$B$6:$B$305,0))&amp;"","Add to Pantry"))</f>
        <v/>
      </c>
      <c r="F656" s="25">
        <f>IF(OR(C656="",E656="Add to Pantry"),"",ROUND(N(D656)*INDEX(Pantry!$N$6:$N$305,MATCH(C656,Pantry!$B$6:$B$305,0)),2))</f>
        <v/>
      </c>
      <c r="G656" s="35">
        <f>IF(OR(B656="",C656=""),"",IFERROR(ROUND(N(D656)*N(INDEX(Recipes!$H$6:$H$105,MATCH(B656,Recipes!$B$6:$B$105,0)))/IF(N(INDEX(Recipes!$D$6:$D$105,MATCH(B656,Recipes!$B$6:$B$105,0)))&gt;0,INDEX(Recipes!$D$6:$D$105,MATCH(B656,Recipes!$B$6:$B$105,0)),1),2),0))</f>
        <v/>
      </c>
      <c r="H656" s="1" t="n"/>
    </row>
    <row r="657">
      <c r="A657" s="1" t="n"/>
      <c r="B657" s="33" t="n"/>
      <c r="C657" s="33" t="n"/>
      <c r="D657" s="31" t="n"/>
      <c r="E657" s="35">
        <f>IF(C657="","",IFERROR(INDEX(Pantry!$C$6:$C$305,MATCH(C657,Pantry!$B$6:$B$305,0))&amp;"","Add to Pantry"))</f>
        <v/>
      </c>
      <c r="F657" s="25">
        <f>IF(OR(C657="",E657="Add to Pantry"),"",ROUND(N(D657)*INDEX(Pantry!$N$6:$N$305,MATCH(C657,Pantry!$B$6:$B$305,0)),2))</f>
        <v/>
      </c>
      <c r="G657" s="35">
        <f>IF(OR(B657="",C657=""),"",IFERROR(ROUND(N(D657)*N(INDEX(Recipes!$H$6:$H$105,MATCH(B657,Recipes!$B$6:$B$105,0)))/IF(N(INDEX(Recipes!$D$6:$D$105,MATCH(B657,Recipes!$B$6:$B$105,0)))&gt;0,INDEX(Recipes!$D$6:$D$105,MATCH(B657,Recipes!$B$6:$B$105,0)),1),2),0))</f>
        <v/>
      </c>
      <c r="H657" s="1" t="n"/>
    </row>
    <row r="658">
      <c r="A658" s="1" t="n"/>
      <c r="B658" s="33" t="n"/>
      <c r="C658" s="33" t="n"/>
      <c r="D658" s="31" t="n"/>
      <c r="E658" s="35">
        <f>IF(C658="","",IFERROR(INDEX(Pantry!$C$6:$C$305,MATCH(C658,Pantry!$B$6:$B$305,0))&amp;"","Add to Pantry"))</f>
        <v/>
      </c>
      <c r="F658" s="25">
        <f>IF(OR(C658="",E658="Add to Pantry"),"",ROUND(N(D658)*INDEX(Pantry!$N$6:$N$305,MATCH(C658,Pantry!$B$6:$B$305,0)),2))</f>
        <v/>
      </c>
      <c r="G658" s="35">
        <f>IF(OR(B658="",C658=""),"",IFERROR(ROUND(N(D658)*N(INDEX(Recipes!$H$6:$H$105,MATCH(B658,Recipes!$B$6:$B$105,0)))/IF(N(INDEX(Recipes!$D$6:$D$105,MATCH(B658,Recipes!$B$6:$B$105,0)))&gt;0,INDEX(Recipes!$D$6:$D$105,MATCH(B658,Recipes!$B$6:$B$105,0)),1),2),0))</f>
        <v/>
      </c>
      <c r="H658" s="1" t="n"/>
    </row>
    <row r="659">
      <c r="A659" s="1" t="n"/>
      <c r="B659" s="33" t="n"/>
      <c r="C659" s="33" t="n"/>
      <c r="D659" s="31" t="n"/>
      <c r="E659" s="35">
        <f>IF(C659="","",IFERROR(INDEX(Pantry!$C$6:$C$305,MATCH(C659,Pantry!$B$6:$B$305,0))&amp;"","Add to Pantry"))</f>
        <v/>
      </c>
      <c r="F659" s="25">
        <f>IF(OR(C659="",E659="Add to Pantry"),"",ROUND(N(D659)*INDEX(Pantry!$N$6:$N$305,MATCH(C659,Pantry!$B$6:$B$305,0)),2))</f>
        <v/>
      </c>
      <c r="G659" s="35">
        <f>IF(OR(B659="",C659=""),"",IFERROR(ROUND(N(D659)*N(INDEX(Recipes!$H$6:$H$105,MATCH(B659,Recipes!$B$6:$B$105,0)))/IF(N(INDEX(Recipes!$D$6:$D$105,MATCH(B659,Recipes!$B$6:$B$105,0)))&gt;0,INDEX(Recipes!$D$6:$D$105,MATCH(B659,Recipes!$B$6:$B$105,0)),1),2),0))</f>
        <v/>
      </c>
      <c r="H659" s="1" t="n"/>
    </row>
    <row r="660">
      <c r="A660" s="1" t="n"/>
      <c r="B660" s="33" t="n"/>
      <c r="C660" s="33" t="n"/>
      <c r="D660" s="31" t="n"/>
      <c r="E660" s="35">
        <f>IF(C660="","",IFERROR(INDEX(Pantry!$C$6:$C$305,MATCH(C660,Pantry!$B$6:$B$305,0))&amp;"","Add to Pantry"))</f>
        <v/>
      </c>
      <c r="F660" s="25">
        <f>IF(OR(C660="",E660="Add to Pantry"),"",ROUND(N(D660)*INDEX(Pantry!$N$6:$N$305,MATCH(C660,Pantry!$B$6:$B$305,0)),2))</f>
        <v/>
      </c>
      <c r="G660" s="35">
        <f>IF(OR(B660="",C660=""),"",IFERROR(ROUND(N(D660)*N(INDEX(Recipes!$H$6:$H$105,MATCH(B660,Recipes!$B$6:$B$105,0)))/IF(N(INDEX(Recipes!$D$6:$D$105,MATCH(B660,Recipes!$B$6:$B$105,0)))&gt;0,INDEX(Recipes!$D$6:$D$105,MATCH(B660,Recipes!$B$6:$B$105,0)),1),2),0))</f>
        <v/>
      </c>
      <c r="H660" s="1" t="n"/>
    </row>
    <row r="661">
      <c r="A661" s="1" t="n"/>
      <c r="B661" s="33" t="n"/>
      <c r="C661" s="33" t="n"/>
      <c r="D661" s="31" t="n"/>
      <c r="E661" s="35">
        <f>IF(C661="","",IFERROR(INDEX(Pantry!$C$6:$C$305,MATCH(C661,Pantry!$B$6:$B$305,0))&amp;"","Add to Pantry"))</f>
        <v/>
      </c>
      <c r="F661" s="25">
        <f>IF(OR(C661="",E661="Add to Pantry"),"",ROUND(N(D661)*INDEX(Pantry!$N$6:$N$305,MATCH(C661,Pantry!$B$6:$B$305,0)),2))</f>
        <v/>
      </c>
      <c r="G661" s="35">
        <f>IF(OR(B661="",C661=""),"",IFERROR(ROUND(N(D661)*N(INDEX(Recipes!$H$6:$H$105,MATCH(B661,Recipes!$B$6:$B$105,0)))/IF(N(INDEX(Recipes!$D$6:$D$105,MATCH(B661,Recipes!$B$6:$B$105,0)))&gt;0,INDEX(Recipes!$D$6:$D$105,MATCH(B661,Recipes!$B$6:$B$105,0)),1),2),0))</f>
        <v/>
      </c>
      <c r="H661" s="1" t="n"/>
    </row>
    <row r="662">
      <c r="A662" s="1" t="n"/>
      <c r="B662" s="33" t="n"/>
      <c r="C662" s="33" t="n"/>
      <c r="D662" s="31" t="n"/>
      <c r="E662" s="35">
        <f>IF(C662="","",IFERROR(INDEX(Pantry!$C$6:$C$305,MATCH(C662,Pantry!$B$6:$B$305,0))&amp;"","Add to Pantry"))</f>
        <v/>
      </c>
      <c r="F662" s="25">
        <f>IF(OR(C662="",E662="Add to Pantry"),"",ROUND(N(D662)*INDEX(Pantry!$N$6:$N$305,MATCH(C662,Pantry!$B$6:$B$305,0)),2))</f>
        <v/>
      </c>
      <c r="G662" s="35">
        <f>IF(OR(B662="",C662=""),"",IFERROR(ROUND(N(D662)*N(INDEX(Recipes!$H$6:$H$105,MATCH(B662,Recipes!$B$6:$B$105,0)))/IF(N(INDEX(Recipes!$D$6:$D$105,MATCH(B662,Recipes!$B$6:$B$105,0)))&gt;0,INDEX(Recipes!$D$6:$D$105,MATCH(B662,Recipes!$B$6:$B$105,0)),1),2),0))</f>
        <v/>
      </c>
      <c r="H662" s="1" t="n"/>
    </row>
    <row r="663">
      <c r="A663" s="1" t="n"/>
      <c r="B663" s="33" t="n"/>
      <c r="C663" s="33" t="n"/>
      <c r="D663" s="31" t="n"/>
      <c r="E663" s="35">
        <f>IF(C663="","",IFERROR(INDEX(Pantry!$C$6:$C$305,MATCH(C663,Pantry!$B$6:$B$305,0))&amp;"","Add to Pantry"))</f>
        <v/>
      </c>
      <c r="F663" s="25">
        <f>IF(OR(C663="",E663="Add to Pantry"),"",ROUND(N(D663)*INDEX(Pantry!$N$6:$N$305,MATCH(C663,Pantry!$B$6:$B$305,0)),2))</f>
        <v/>
      </c>
      <c r="G663" s="35">
        <f>IF(OR(B663="",C663=""),"",IFERROR(ROUND(N(D663)*N(INDEX(Recipes!$H$6:$H$105,MATCH(B663,Recipes!$B$6:$B$105,0)))/IF(N(INDEX(Recipes!$D$6:$D$105,MATCH(B663,Recipes!$B$6:$B$105,0)))&gt;0,INDEX(Recipes!$D$6:$D$105,MATCH(B663,Recipes!$B$6:$B$105,0)),1),2),0))</f>
        <v/>
      </c>
      <c r="H663" s="1" t="n"/>
    </row>
    <row r="664">
      <c r="A664" s="1" t="n"/>
      <c r="B664" s="33" t="n"/>
      <c r="C664" s="33" t="n"/>
      <c r="D664" s="31" t="n"/>
      <c r="E664" s="35">
        <f>IF(C664="","",IFERROR(INDEX(Pantry!$C$6:$C$305,MATCH(C664,Pantry!$B$6:$B$305,0))&amp;"","Add to Pantry"))</f>
        <v/>
      </c>
      <c r="F664" s="25">
        <f>IF(OR(C664="",E664="Add to Pantry"),"",ROUND(N(D664)*INDEX(Pantry!$N$6:$N$305,MATCH(C664,Pantry!$B$6:$B$305,0)),2))</f>
        <v/>
      </c>
      <c r="G664" s="35">
        <f>IF(OR(B664="",C664=""),"",IFERROR(ROUND(N(D664)*N(INDEX(Recipes!$H$6:$H$105,MATCH(B664,Recipes!$B$6:$B$105,0)))/IF(N(INDEX(Recipes!$D$6:$D$105,MATCH(B664,Recipes!$B$6:$B$105,0)))&gt;0,INDEX(Recipes!$D$6:$D$105,MATCH(B664,Recipes!$B$6:$B$105,0)),1),2),0))</f>
        <v/>
      </c>
      <c r="H664" s="1" t="n"/>
    </row>
    <row r="665">
      <c r="A665" s="1" t="n"/>
      <c r="B665" s="33" t="n"/>
      <c r="C665" s="33" t="n"/>
      <c r="D665" s="31" t="n"/>
      <c r="E665" s="35">
        <f>IF(C665="","",IFERROR(INDEX(Pantry!$C$6:$C$305,MATCH(C665,Pantry!$B$6:$B$305,0))&amp;"","Add to Pantry"))</f>
        <v/>
      </c>
      <c r="F665" s="25">
        <f>IF(OR(C665="",E665="Add to Pantry"),"",ROUND(N(D665)*INDEX(Pantry!$N$6:$N$305,MATCH(C665,Pantry!$B$6:$B$305,0)),2))</f>
        <v/>
      </c>
      <c r="G665" s="35">
        <f>IF(OR(B665="",C665=""),"",IFERROR(ROUND(N(D665)*N(INDEX(Recipes!$H$6:$H$105,MATCH(B665,Recipes!$B$6:$B$105,0)))/IF(N(INDEX(Recipes!$D$6:$D$105,MATCH(B665,Recipes!$B$6:$B$105,0)))&gt;0,INDEX(Recipes!$D$6:$D$105,MATCH(B665,Recipes!$B$6:$B$105,0)),1),2),0))</f>
        <v/>
      </c>
      <c r="H665" s="1" t="n"/>
    </row>
    <row r="666">
      <c r="A666" s="1" t="n"/>
      <c r="B666" s="33" t="n"/>
      <c r="C666" s="33" t="n"/>
      <c r="D666" s="31" t="n"/>
      <c r="E666" s="35">
        <f>IF(C666="","",IFERROR(INDEX(Pantry!$C$6:$C$305,MATCH(C666,Pantry!$B$6:$B$305,0))&amp;"","Add to Pantry"))</f>
        <v/>
      </c>
      <c r="F666" s="25">
        <f>IF(OR(C666="",E666="Add to Pantry"),"",ROUND(N(D666)*INDEX(Pantry!$N$6:$N$305,MATCH(C666,Pantry!$B$6:$B$305,0)),2))</f>
        <v/>
      </c>
      <c r="G666" s="35">
        <f>IF(OR(B666="",C666=""),"",IFERROR(ROUND(N(D666)*N(INDEX(Recipes!$H$6:$H$105,MATCH(B666,Recipes!$B$6:$B$105,0)))/IF(N(INDEX(Recipes!$D$6:$D$105,MATCH(B666,Recipes!$B$6:$B$105,0)))&gt;0,INDEX(Recipes!$D$6:$D$105,MATCH(B666,Recipes!$B$6:$B$105,0)),1),2),0))</f>
        <v/>
      </c>
      <c r="H666" s="1" t="n"/>
    </row>
    <row r="667">
      <c r="A667" s="1" t="n"/>
      <c r="B667" s="33" t="n"/>
      <c r="C667" s="33" t="n"/>
      <c r="D667" s="31" t="n"/>
      <c r="E667" s="35">
        <f>IF(C667="","",IFERROR(INDEX(Pantry!$C$6:$C$305,MATCH(C667,Pantry!$B$6:$B$305,0))&amp;"","Add to Pantry"))</f>
        <v/>
      </c>
      <c r="F667" s="25">
        <f>IF(OR(C667="",E667="Add to Pantry"),"",ROUND(N(D667)*INDEX(Pantry!$N$6:$N$305,MATCH(C667,Pantry!$B$6:$B$305,0)),2))</f>
        <v/>
      </c>
      <c r="G667" s="35">
        <f>IF(OR(B667="",C667=""),"",IFERROR(ROUND(N(D667)*N(INDEX(Recipes!$H$6:$H$105,MATCH(B667,Recipes!$B$6:$B$105,0)))/IF(N(INDEX(Recipes!$D$6:$D$105,MATCH(B667,Recipes!$B$6:$B$105,0)))&gt;0,INDEX(Recipes!$D$6:$D$105,MATCH(B667,Recipes!$B$6:$B$105,0)),1),2),0))</f>
        <v/>
      </c>
      <c r="H667" s="1" t="n"/>
    </row>
    <row r="668">
      <c r="A668" s="1" t="n"/>
      <c r="B668" s="33" t="n"/>
      <c r="C668" s="33" t="n"/>
      <c r="D668" s="31" t="n"/>
      <c r="E668" s="35">
        <f>IF(C668="","",IFERROR(INDEX(Pantry!$C$6:$C$305,MATCH(C668,Pantry!$B$6:$B$305,0))&amp;"","Add to Pantry"))</f>
        <v/>
      </c>
      <c r="F668" s="25">
        <f>IF(OR(C668="",E668="Add to Pantry"),"",ROUND(N(D668)*INDEX(Pantry!$N$6:$N$305,MATCH(C668,Pantry!$B$6:$B$305,0)),2))</f>
        <v/>
      </c>
      <c r="G668" s="35">
        <f>IF(OR(B668="",C668=""),"",IFERROR(ROUND(N(D668)*N(INDEX(Recipes!$H$6:$H$105,MATCH(B668,Recipes!$B$6:$B$105,0)))/IF(N(INDEX(Recipes!$D$6:$D$105,MATCH(B668,Recipes!$B$6:$B$105,0)))&gt;0,INDEX(Recipes!$D$6:$D$105,MATCH(B668,Recipes!$B$6:$B$105,0)),1),2),0))</f>
        <v/>
      </c>
      <c r="H668" s="1" t="n"/>
    </row>
    <row r="669">
      <c r="A669" s="1" t="n"/>
      <c r="B669" s="33" t="n"/>
      <c r="C669" s="33" t="n"/>
      <c r="D669" s="31" t="n"/>
      <c r="E669" s="35">
        <f>IF(C669="","",IFERROR(INDEX(Pantry!$C$6:$C$305,MATCH(C669,Pantry!$B$6:$B$305,0))&amp;"","Add to Pantry"))</f>
        <v/>
      </c>
      <c r="F669" s="25">
        <f>IF(OR(C669="",E669="Add to Pantry"),"",ROUND(N(D669)*INDEX(Pantry!$N$6:$N$305,MATCH(C669,Pantry!$B$6:$B$305,0)),2))</f>
        <v/>
      </c>
      <c r="G669" s="35">
        <f>IF(OR(B669="",C669=""),"",IFERROR(ROUND(N(D669)*N(INDEX(Recipes!$H$6:$H$105,MATCH(B669,Recipes!$B$6:$B$105,0)))/IF(N(INDEX(Recipes!$D$6:$D$105,MATCH(B669,Recipes!$B$6:$B$105,0)))&gt;0,INDEX(Recipes!$D$6:$D$105,MATCH(B669,Recipes!$B$6:$B$105,0)),1),2),0))</f>
        <v/>
      </c>
      <c r="H669" s="1" t="n"/>
    </row>
    <row r="670">
      <c r="A670" s="1" t="n"/>
      <c r="B670" s="33" t="n"/>
      <c r="C670" s="33" t="n"/>
      <c r="D670" s="31" t="n"/>
      <c r="E670" s="35">
        <f>IF(C670="","",IFERROR(INDEX(Pantry!$C$6:$C$305,MATCH(C670,Pantry!$B$6:$B$305,0))&amp;"","Add to Pantry"))</f>
        <v/>
      </c>
      <c r="F670" s="25">
        <f>IF(OR(C670="",E670="Add to Pantry"),"",ROUND(N(D670)*INDEX(Pantry!$N$6:$N$305,MATCH(C670,Pantry!$B$6:$B$305,0)),2))</f>
        <v/>
      </c>
      <c r="G670" s="35">
        <f>IF(OR(B670="",C670=""),"",IFERROR(ROUND(N(D670)*N(INDEX(Recipes!$H$6:$H$105,MATCH(B670,Recipes!$B$6:$B$105,0)))/IF(N(INDEX(Recipes!$D$6:$D$105,MATCH(B670,Recipes!$B$6:$B$105,0)))&gt;0,INDEX(Recipes!$D$6:$D$105,MATCH(B670,Recipes!$B$6:$B$105,0)),1),2),0))</f>
        <v/>
      </c>
      <c r="H670" s="1" t="n"/>
    </row>
    <row r="671">
      <c r="A671" s="1" t="n"/>
      <c r="B671" s="33" t="n"/>
      <c r="C671" s="33" t="n"/>
      <c r="D671" s="31" t="n"/>
      <c r="E671" s="35">
        <f>IF(C671="","",IFERROR(INDEX(Pantry!$C$6:$C$305,MATCH(C671,Pantry!$B$6:$B$305,0))&amp;"","Add to Pantry"))</f>
        <v/>
      </c>
      <c r="F671" s="25">
        <f>IF(OR(C671="",E671="Add to Pantry"),"",ROUND(N(D671)*INDEX(Pantry!$N$6:$N$305,MATCH(C671,Pantry!$B$6:$B$305,0)),2))</f>
        <v/>
      </c>
      <c r="G671" s="35">
        <f>IF(OR(B671="",C671=""),"",IFERROR(ROUND(N(D671)*N(INDEX(Recipes!$H$6:$H$105,MATCH(B671,Recipes!$B$6:$B$105,0)))/IF(N(INDEX(Recipes!$D$6:$D$105,MATCH(B671,Recipes!$B$6:$B$105,0)))&gt;0,INDEX(Recipes!$D$6:$D$105,MATCH(B671,Recipes!$B$6:$B$105,0)),1),2),0))</f>
        <v/>
      </c>
      <c r="H671" s="1" t="n"/>
    </row>
    <row r="672">
      <c r="A672" s="1" t="n"/>
      <c r="B672" s="33" t="n"/>
      <c r="C672" s="33" t="n"/>
      <c r="D672" s="31" t="n"/>
      <c r="E672" s="35">
        <f>IF(C672="","",IFERROR(INDEX(Pantry!$C$6:$C$305,MATCH(C672,Pantry!$B$6:$B$305,0))&amp;"","Add to Pantry"))</f>
        <v/>
      </c>
      <c r="F672" s="25">
        <f>IF(OR(C672="",E672="Add to Pantry"),"",ROUND(N(D672)*INDEX(Pantry!$N$6:$N$305,MATCH(C672,Pantry!$B$6:$B$305,0)),2))</f>
        <v/>
      </c>
      <c r="G672" s="35">
        <f>IF(OR(B672="",C672=""),"",IFERROR(ROUND(N(D672)*N(INDEX(Recipes!$H$6:$H$105,MATCH(B672,Recipes!$B$6:$B$105,0)))/IF(N(INDEX(Recipes!$D$6:$D$105,MATCH(B672,Recipes!$B$6:$B$105,0)))&gt;0,INDEX(Recipes!$D$6:$D$105,MATCH(B672,Recipes!$B$6:$B$105,0)),1),2),0))</f>
        <v/>
      </c>
      <c r="H672" s="1" t="n"/>
    </row>
    <row r="673">
      <c r="A673" s="1" t="n"/>
      <c r="B673" s="33" t="n"/>
      <c r="C673" s="33" t="n"/>
      <c r="D673" s="31" t="n"/>
      <c r="E673" s="35">
        <f>IF(C673="","",IFERROR(INDEX(Pantry!$C$6:$C$305,MATCH(C673,Pantry!$B$6:$B$305,0))&amp;"","Add to Pantry"))</f>
        <v/>
      </c>
      <c r="F673" s="25">
        <f>IF(OR(C673="",E673="Add to Pantry"),"",ROUND(N(D673)*INDEX(Pantry!$N$6:$N$305,MATCH(C673,Pantry!$B$6:$B$305,0)),2))</f>
        <v/>
      </c>
      <c r="G673" s="35">
        <f>IF(OR(B673="",C673=""),"",IFERROR(ROUND(N(D673)*N(INDEX(Recipes!$H$6:$H$105,MATCH(B673,Recipes!$B$6:$B$105,0)))/IF(N(INDEX(Recipes!$D$6:$D$105,MATCH(B673,Recipes!$B$6:$B$105,0)))&gt;0,INDEX(Recipes!$D$6:$D$105,MATCH(B673,Recipes!$B$6:$B$105,0)),1),2),0))</f>
        <v/>
      </c>
      <c r="H673" s="1" t="n"/>
    </row>
    <row r="674">
      <c r="A674" s="1" t="n"/>
      <c r="B674" s="33" t="n"/>
      <c r="C674" s="33" t="n"/>
      <c r="D674" s="31" t="n"/>
      <c r="E674" s="35">
        <f>IF(C674="","",IFERROR(INDEX(Pantry!$C$6:$C$305,MATCH(C674,Pantry!$B$6:$B$305,0))&amp;"","Add to Pantry"))</f>
        <v/>
      </c>
      <c r="F674" s="25">
        <f>IF(OR(C674="",E674="Add to Pantry"),"",ROUND(N(D674)*INDEX(Pantry!$N$6:$N$305,MATCH(C674,Pantry!$B$6:$B$305,0)),2))</f>
        <v/>
      </c>
      <c r="G674" s="35">
        <f>IF(OR(B674="",C674=""),"",IFERROR(ROUND(N(D674)*N(INDEX(Recipes!$H$6:$H$105,MATCH(B674,Recipes!$B$6:$B$105,0)))/IF(N(INDEX(Recipes!$D$6:$D$105,MATCH(B674,Recipes!$B$6:$B$105,0)))&gt;0,INDEX(Recipes!$D$6:$D$105,MATCH(B674,Recipes!$B$6:$B$105,0)),1),2),0))</f>
        <v/>
      </c>
      <c r="H674" s="1" t="n"/>
    </row>
    <row r="675">
      <c r="A675" s="1" t="n"/>
      <c r="B675" s="33" t="n"/>
      <c r="C675" s="33" t="n"/>
      <c r="D675" s="31" t="n"/>
      <c r="E675" s="35">
        <f>IF(C675="","",IFERROR(INDEX(Pantry!$C$6:$C$305,MATCH(C675,Pantry!$B$6:$B$305,0))&amp;"","Add to Pantry"))</f>
        <v/>
      </c>
      <c r="F675" s="25">
        <f>IF(OR(C675="",E675="Add to Pantry"),"",ROUND(N(D675)*INDEX(Pantry!$N$6:$N$305,MATCH(C675,Pantry!$B$6:$B$305,0)),2))</f>
        <v/>
      </c>
      <c r="G675" s="35">
        <f>IF(OR(B675="",C675=""),"",IFERROR(ROUND(N(D675)*N(INDEX(Recipes!$H$6:$H$105,MATCH(B675,Recipes!$B$6:$B$105,0)))/IF(N(INDEX(Recipes!$D$6:$D$105,MATCH(B675,Recipes!$B$6:$B$105,0)))&gt;0,INDEX(Recipes!$D$6:$D$105,MATCH(B675,Recipes!$B$6:$B$105,0)),1),2),0))</f>
        <v/>
      </c>
      <c r="H675" s="1" t="n"/>
    </row>
    <row r="676">
      <c r="A676" s="1" t="n"/>
      <c r="B676" s="33" t="n"/>
      <c r="C676" s="33" t="n"/>
      <c r="D676" s="31" t="n"/>
      <c r="E676" s="35">
        <f>IF(C676="","",IFERROR(INDEX(Pantry!$C$6:$C$305,MATCH(C676,Pantry!$B$6:$B$305,0))&amp;"","Add to Pantry"))</f>
        <v/>
      </c>
      <c r="F676" s="25">
        <f>IF(OR(C676="",E676="Add to Pantry"),"",ROUND(N(D676)*INDEX(Pantry!$N$6:$N$305,MATCH(C676,Pantry!$B$6:$B$305,0)),2))</f>
        <v/>
      </c>
      <c r="G676" s="35">
        <f>IF(OR(B676="",C676=""),"",IFERROR(ROUND(N(D676)*N(INDEX(Recipes!$H$6:$H$105,MATCH(B676,Recipes!$B$6:$B$105,0)))/IF(N(INDEX(Recipes!$D$6:$D$105,MATCH(B676,Recipes!$B$6:$B$105,0)))&gt;0,INDEX(Recipes!$D$6:$D$105,MATCH(B676,Recipes!$B$6:$B$105,0)),1),2),0))</f>
        <v/>
      </c>
      <c r="H676" s="1" t="n"/>
    </row>
    <row r="677">
      <c r="A677" s="1" t="n"/>
      <c r="B677" s="33" t="n"/>
      <c r="C677" s="33" t="n"/>
      <c r="D677" s="31" t="n"/>
      <c r="E677" s="35">
        <f>IF(C677="","",IFERROR(INDEX(Pantry!$C$6:$C$305,MATCH(C677,Pantry!$B$6:$B$305,0))&amp;"","Add to Pantry"))</f>
        <v/>
      </c>
      <c r="F677" s="25">
        <f>IF(OR(C677="",E677="Add to Pantry"),"",ROUND(N(D677)*INDEX(Pantry!$N$6:$N$305,MATCH(C677,Pantry!$B$6:$B$305,0)),2))</f>
        <v/>
      </c>
      <c r="G677" s="35">
        <f>IF(OR(B677="",C677=""),"",IFERROR(ROUND(N(D677)*N(INDEX(Recipes!$H$6:$H$105,MATCH(B677,Recipes!$B$6:$B$105,0)))/IF(N(INDEX(Recipes!$D$6:$D$105,MATCH(B677,Recipes!$B$6:$B$105,0)))&gt;0,INDEX(Recipes!$D$6:$D$105,MATCH(B677,Recipes!$B$6:$B$105,0)),1),2),0))</f>
        <v/>
      </c>
      <c r="H677" s="1" t="n"/>
    </row>
    <row r="678">
      <c r="A678" s="1" t="n"/>
      <c r="B678" s="33" t="n"/>
      <c r="C678" s="33" t="n"/>
      <c r="D678" s="31" t="n"/>
      <c r="E678" s="35">
        <f>IF(C678="","",IFERROR(INDEX(Pantry!$C$6:$C$305,MATCH(C678,Pantry!$B$6:$B$305,0))&amp;"","Add to Pantry"))</f>
        <v/>
      </c>
      <c r="F678" s="25">
        <f>IF(OR(C678="",E678="Add to Pantry"),"",ROUND(N(D678)*INDEX(Pantry!$N$6:$N$305,MATCH(C678,Pantry!$B$6:$B$305,0)),2))</f>
        <v/>
      </c>
      <c r="G678" s="35">
        <f>IF(OR(B678="",C678=""),"",IFERROR(ROUND(N(D678)*N(INDEX(Recipes!$H$6:$H$105,MATCH(B678,Recipes!$B$6:$B$105,0)))/IF(N(INDEX(Recipes!$D$6:$D$105,MATCH(B678,Recipes!$B$6:$B$105,0)))&gt;0,INDEX(Recipes!$D$6:$D$105,MATCH(B678,Recipes!$B$6:$B$105,0)),1),2),0))</f>
        <v/>
      </c>
      <c r="H678" s="1" t="n"/>
    </row>
    <row r="679">
      <c r="A679" s="1" t="n"/>
      <c r="B679" s="33" t="n"/>
      <c r="C679" s="33" t="n"/>
      <c r="D679" s="31" t="n"/>
      <c r="E679" s="35">
        <f>IF(C679="","",IFERROR(INDEX(Pantry!$C$6:$C$305,MATCH(C679,Pantry!$B$6:$B$305,0))&amp;"","Add to Pantry"))</f>
        <v/>
      </c>
      <c r="F679" s="25">
        <f>IF(OR(C679="",E679="Add to Pantry"),"",ROUND(N(D679)*INDEX(Pantry!$N$6:$N$305,MATCH(C679,Pantry!$B$6:$B$305,0)),2))</f>
        <v/>
      </c>
      <c r="G679" s="35">
        <f>IF(OR(B679="",C679=""),"",IFERROR(ROUND(N(D679)*N(INDEX(Recipes!$H$6:$H$105,MATCH(B679,Recipes!$B$6:$B$105,0)))/IF(N(INDEX(Recipes!$D$6:$D$105,MATCH(B679,Recipes!$B$6:$B$105,0)))&gt;0,INDEX(Recipes!$D$6:$D$105,MATCH(B679,Recipes!$B$6:$B$105,0)),1),2),0))</f>
        <v/>
      </c>
      <c r="H679" s="1" t="n"/>
    </row>
    <row r="680">
      <c r="A680" s="1" t="n"/>
      <c r="B680" s="33" t="n"/>
      <c r="C680" s="33" t="n"/>
      <c r="D680" s="31" t="n"/>
      <c r="E680" s="35">
        <f>IF(C680="","",IFERROR(INDEX(Pantry!$C$6:$C$305,MATCH(C680,Pantry!$B$6:$B$305,0))&amp;"","Add to Pantry"))</f>
        <v/>
      </c>
      <c r="F680" s="25">
        <f>IF(OR(C680="",E680="Add to Pantry"),"",ROUND(N(D680)*INDEX(Pantry!$N$6:$N$305,MATCH(C680,Pantry!$B$6:$B$305,0)),2))</f>
        <v/>
      </c>
      <c r="G680" s="35">
        <f>IF(OR(B680="",C680=""),"",IFERROR(ROUND(N(D680)*N(INDEX(Recipes!$H$6:$H$105,MATCH(B680,Recipes!$B$6:$B$105,0)))/IF(N(INDEX(Recipes!$D$6:$D$105,MATCH(B680,Recipes!$B$6:$B$105,0)))&gt;0,INDEX(Recipes!$D$6:$D$105,MATCH(B680,Recipes!$B$6:$B$105,0)),1),2),0))</f>
        <v/>
      </c>
      <c r="H680" s="1" t="n"/>
    </row>
    <row r="681">
      <c r="A681" s="1" t="n"/>
      <c r="B681" s="33" t="n"/>
      <c r="C681" s="33" t="n"/>
      <c r="D681" s="31" t="n"/>
      <c r="E681" s="35">
        <f>IF(C681="","",IFERROR(INDEX(Pantry!$C$6:$C$305,MATCH(C681,Pantry!$B$6:$B$305,0))&amp;"","Add to Pantry"))</f>
        <v/>
      </c>
      <c r="F681" s="25">
        <f>IF(OR(C681="",E681="Add to Pantry"),"",ROUND(N(D681)*INDEX(Pantry!$N$6:$N$305,MATCH(C681,Pantry!$B$6:$B$305,0)),2))</f>
        <v/>
      </c>
      <c r="G681" s="35">
        <f>IF(OR(B681="",C681=""),"",IFERROR(ROUND(N(D681)*N(INDEX(Recipes!$H$6:$H$105,MATCH(B681,Recipes!$B$6:$B$105,0)))/IF(N(INDEX(Recipes!$D$6:$D$105,MATCH(B681,Recipes!$B$6:$B$105,0)))&gt;0,INDEX(Recipes!$D$6:$D$105,MATCH(B681,Recipes!$B$6:$B$105,0)),1),2),0))</f>
        <v/>
      </c>
      <c r="H681" s="1" t="n"/>
    </row>
    <row r="682">
      <c r="A682" s="1" t="n"/>
      <c r="B682" s="33" t="n"/>
      <c r="C682" s="33" t="n"/>
      <c r="D682" s="31" t="n"/>
      <c r="E682" s="35">
        <f>IF(C682="","",IFERROR(INDEX(Pantry!$C$6:$C$305,MATCH(C682,Pantry!$B$6:$B$305,0))&amp;"","Add to Pantry"))</f>
        <v/>
      </c>
      <c r="F682" s="25">
        <f>IF(OR(C682="",E682="Add to Pantry"),"",ROUND(N(D682)*INDEX(Pantry!$N$6:$N$305,MATCH(C682,Pantry!$B$6:$B$305,0)),2))</f>
        <v/>
      </c>
      <c r="G682" s="35">
        <f>IF(OR(B682="",C682=""),"",IFERROR(ROUND(N(D682)*N(INDEX(Recipes!$H$6:$H$105,MATCH(B682,Recipes!$B$6:$B$105,0)))/IF(N(INDEX(Recipes!$D$6:$D$105,MATCH(B682,Recipes!$B$6:$B$105,0)))&gt;0,INDEX(Recipes!$D$6:$D$105,MATCH(B682,Recipes!$B$6:$B$105,0)),1),2),0))</f>
        <v/>
      </c>
      <c r="H682" s="1" t="n"/>
    </row>
    <row r="683">
      <c r="A683" s="1" t="n"/>
      <c r="B683" s="33" t="n"/>
      <c r="C683" s="33" t="n"/>
      <c r="D683" s="31" t="n"/>
      <c r="E683" s="35">
        <f>IF(C683="","",IFERROR(INDEX(Pantry!$C$6:$C$305,MATCH(C683,Pantry!$B$6:$B$305,0))&amp;"","Add to Pantry"))</f>
        <v/>
      </c>
      <c r="F683" s="25">
        <f>IF(OR(C683="",E683="Add to Pantry"),"",ROUND(N(D683)*INDEX(Pantry!$N$6:$N$305,MATCH(C683,Pantry!$B$6:$B$305,0)),2))</f>
        <v/>
      </c>
      <c r="G683" s="35">
        <f>IF(OR(B683="",C683=""),"",IFERROR(ROUND(N(D683)*N(INDEX(Recipes!$H$6:$H$105,MATCH(B683,Recipes!$B$6:$B$105,0)))/IF(N(INDEX(Recipes!$D$6:$D$105,MATCH(B683,Recipes!$B$6:$B$105,0)))&gt;0,INDEX(Recipes!$D$6:$D$105,MATCH(B683,Recipes!$B$6:$B$105,0)),1),2),0))</f>
        <v/>
      </c>
      <c r="H683" s="1" t="n"/>
    </row>
    <row r="684">
      <c r="A684" s="1" t="n"/>
      <c r="B684" s="33" t="n"/>
      <c r="C684" s="33" t="n"/>
      <c r="D684" s="31" t="n"/>
      <c r="E684" s="35">
        <f>IF(C684="","",IFERROR(INDEX(Pantry!$C$6:$C$305,MATCH(C684,Pantry!$B$6:$B$305,0))&amp;"","Add to Pantry"))</f>
        <v/>
      </c>
      <c r="F684" s="25">
        <f>IF(OR(C684="",E684="Add to Pantry"),"",ROUND(N(D684)*INDEX(Pantry!$N$6:$N$305,MATCH(C684,Pantry!$B$6:$B$305,0)),2))</f>
        <v/>
      </c>
      <c r="G684" s="35">
        <f>IF(OR(B684="",C684=""),"",IFERROR(ROUND(N(D684)*N(INDEX(Recipes!$H$6:$H$105,MATCH(B684,Recipes!$B$6:$B$105,0)))/IF(N(INDEX(Recipes!$D$6:$D$105,MATCH(B684,Recipes!$B$6:$B$105,0)))&gt;0,INDEX(Recipes!$D$6:$D$105,MATCH(B684,Recipes!$B$6:$B$105,0)),1),2),0))</f>
        <v/>
      </c>
      <c r="H684" s="1" t="n"/>
    </row>
    <row r="685">
      <c r="A685" s="1" t="n"/>
      <c r="B685" s="33" t="n"/>
      <c r="C685" s="33" t="n"/>
      <c r="D685" s="31" t="n"/>
      <c r="E685" s="35">
        <f>IF(C685="","",IFERROR(INDEX(Pantry!$C$6:$C$305,MATCH(C685,Pantry!$B$6:$B$305,0))&amp;"","Add to Pantry"))</f>
        <v/>
      </c>
      <c r="F685" s="25">
        <f>IF(OR(C685="",E685="Add to Pantry"),"",ROUND(N(D685)*INDEX(Pantry!$N$6:$N$305,MATCH(C685,Pantry!$B$6:$B$305,0)),2))</f>
        <v/>
      </c>
      <c r="G685" s="35">
        <f>IF(OR(B685="",C685=""),"",IFERROR(ROUND(N(D685)*N(INDEX(Recipes!$H$6:$H$105,MATCH(B685,Recipes!$B$6:$B$105,0)))/IF(N(INDEX(Recipes!$D$6:$D$105,MATCH(B685,Recipes!$B$6:$B$105,0)))&gt;0,INDEX(Recipes!$D$6:$D$105,MATCH(B685,Recipes!$B$6:$B$105,0)),1),2),0))</f>
        <v/>
      </c>
      <c r="H685" s="1" t="n"/>
    </row>
    <row r="686">
      <c r="A686" s="1" t="n"/>
      <c r="B686" s="33" t="n"/>
      <c r="C686" s="33" t="n"/>
      <c r="D686" s="31" t="n"/>
      <c r="E686" s="35">
        <f>IF(C686="","",IFERROR(INDEX(Pantry!$C$6:$C$305,MATCH(C686,Pantry!$B$6:$B$305,0))&amp;"","Add to Pantry"))</f>
        <v/>
      </c>
      <c r="F686" s="25">
        <f>IF(OR(C686="",E686="Add to Pantry"),"",ROUND(N(D686)*INDEX(Pantry!$N$6:$N$305,MATCH(C686,Pantry!$B$6:$B$305,0)),2))</f>
        <v/>
      </c>
      <c r="G686" s="35">
        <f>IF(OR(B686="",C686=""),"",IFERROR(ROUND(N(D686)*N(INDEX(Recipes!$H$6:$H$105,MATCH(B686,Recipes!$B$6:$B$105,0)))/IF(N(INDEX(Recipes!$D$6:$D$105,MATCH(B686,Recipes!$B$6:$B$105,0)))&gt;0,INDEX(Recipes!$D$6:$D$105,MATCH(B686,Recipes!$B$6:$B$105,0)),1),2),0))</f>
        <v/>
      </c>
      <c r="H686" s="1" t="n"/>
    </row>
    <row r="687">
      <c r="A687" s="1" t="n"/>
      <c r="B687" s="33" t="n"/>
      <c r="C687" s="33" t="n"/>
      <c r="D687" s="31" t="n"/>
      <c r="E687" s="35">
        <f>IF(C687="","",IFERROR(INDEX(Pantry!$C$6:$C$305,MATCH(C687,Pantry!$B$6:$B$305,0))&amp;"","Add to Pantry"))</f>
        <v/>
      </c>
      <c r="F687" s="25">
        <f>IF(OR(C687="",E687="Add to Pantry"),"",ROUND(N(D687)*INDEX(Pantry!$N$6:$N$305,MATCH(C687,Pantry!$B$6:$B$305,0)),2))</f>
        <v/>
      </c>
      <c r="G687" s="35">
        <f>IF(OR(B687="",C687=""),"",IFERROR(ROUND(N(D687)*N(INDEX(Recipes!$H$6:$H$105,MATCH(B687,Recipes!$B$6:$B$105,0)))/IF(N(INDEX(Recipes!$D$6:$D$105,MATCH(B687,Recipes!$B$6:$B$105,0)))&gt;0,INDEX(Recipes!$D$6:$D$105,MATCH(B687,Recipes!$B$6:$B$105,0)),1),2),0))</f>
        <v/>
      </c>
      <c r="H687" s="1" t="n"/>
    </row>
    <row r="688">
      <c r="A688" s="1" t="n"/>
      <c r="B688" s="33" t="n"/>
      <c r="C688" s="33" t="n"/>
      <c r="D688" s="31" t="n"/>
      <c r="E688" s="35">
        <f>IF(C688="","",IFERROR(INDEX(Pantry!$C$6:$C$305,MATCH(C688,Pantry!$B$6:$B$305,0))&amp;"","Add to Pantry"))</f>
        <v/>
      </c>
      <c r="F688" s="25">
        <f>IF(OR(C688="",E688="Add to Pantry"),"",ROUND(N(D688)*INDEX(Pantry!$N$6:$N$305,MATCH(C688,Pantry!$B$6:$B$305,0)),2))</f>
        <v/>
      </c>
      <c r="G688" s="35">
        <f>IF(OR(B688="",C688=""),"",IFERROR(ROUND(N(D688)*N(INDEX(Recipes!$H$6:$H$105,MATCH(B688,Recipes!$B$6:$B$105,0)))/IF(N(INDEX(Recipes!$D$6:$D$105,MATCH(B688,Recipes!$B$6:$B$105,0)))&gt;0,INDEX(Recipes!$D$6:$D$105,MATCH(B688,Recipes!$B$6:$B$105,0)),1),2),0))</f>
        <v/>
      </c>
      <c r="H688" s="1" t="n"/>
    </row>
    <row r="689">
      <c r="A689" s="1" t="n"/>
      <c r="B689" s="33" t="n"/>
      <c r="C689" s="33" t="n"/>
      <c r="D689" s="31" t="n"/>
      <c r="E689" s="35">
        <f>IF(C689="","",IFERROR(INDEX(Pantry!$C$6:$C$305,MATCH(C689,Pantry!$B$6:$B$305,0))&amp;"","Add to Pantry"))</f>
        <v/>
      </c>
      <c r="F689" s="25">
        <f>IF(OR(C689="",E689="Add to Pantry"),"",ROUND(N(D689)*INDEX(Pantry!$N$6:$N$305,MATCH(C689,Pantry!$B$6:$B$305,0)),2))</f>
        <v/>
      </c>
      <c r="G689" s="35">
        <f>IF(OR(B689="",C689=""),"",IFERROR(ROUND(N(D689)*N(INDEX(Recipes!$H$6:$H$105,MATCH(B689,Recipes!$B$6:$B$105,0)))/IF(N(INDEX(Recipes!$D$6:$D$105,MATCH(B689,Recipes!$B$6:$B$105,0)))&gt;0,INDEX(Recipes!$D$6:$D$105,MATCH(B689,Recipes!$B$6:$B$105,0)),1),2),0))</f>
        <v/>
      </c>
      <c r="H689" s="1" t="n"/>
    </row>
    <row r="690">
      <c r="A690" s="1" t="n"/>
      <c r="B690" s="33" t="n"/>
      <c r="C690" s="33" t="n"/>
      <c r="D690" s="31" t="n"/>
      <c r="E690" s="35">
        <f>IF(C690="","",IFERROR(INDEX(Pantry!$C$6:$C$305,MATCH(C690,Pantry!$B$6:$B$305,0))&amp;"","Add to Pantry"))</f>
        <v/>
      </c>
      <c r="F690" s="25">
        <f>IF(OR(C690="",E690="Add to Pantry"),"",ROUND(N(D690)*INDEX(Pantry!$N$6:$N$305,MATCH(C690,Pantry!$B$6:$B$305,0)),2))</f>
        <v/>
      </c>
      <c r="G690" s="35">
        <f>IF(OR(B690="",C690=""),"",IFERROR(ROUND(N(D690)*N(INDEX(Recipes!$H$6:$H$105,MATCH(B690,Recipes!$B$6:$B$105,0)))/IF(N(INDEX(Recipes!$D$6:$D$105,MATCH(B690,Recipes!$B$6:$B$105,0)))&gt;0,INDEX(Recipes!$D$6:$D$105,MATCH(B690,Recipes!$B$6:$B$105,0)),1),2),0))</f>
        <v/>
      </c>
      <c r="H690" s="1" t="n"/>
    </row>
    <row r="691">
      <c r="A691" s="1" t="n"/>
      <c r="B691" s="33" t="n"/>
      <c r="C691" s="33" t="n"/>
      <c r="D691" s="31" t="n"/>
      <c r="E691" s="35">
        <f>IF(C691="","",IFERROR(INDEX(Pantry!$C$6:$C$305,MATCH(C691,Pantry!$B$6:$B$305,0))&amp;"","Add to Pantry"))</f>
        <v/>
      </c>
      <c r="F691" s="25">
        <f>IF(OR(C691="",E691="Add to Pantry"),"",ROUND(N(D691)*INDEX(Pantry!$N$6:$N$305,MATCH(C691,Pantry!$B$6:$B$305,0)),2))</f>
        <v/>
      </c>
      <c r="G691" s="35">
        <f>IF(OR(B691="",C691=""),"",IFERROR(ROUND(N(D691)*N(INDEX(Recipes!$H$6:$H$105,MATCH(B691,Recipes!$B$6:$B$105,0)))/IF(N(INDEX(Recipes!$D$6:$D$105,MATCH(B691,Recipes!$B$6:$B$105,0)))&gt;0,INDEX(Recipes!$D$6:$D$105,MATCH(B691,Recipes!$B$6:$B$105,0)),1),2),0))</f>
        <v/>
      </c>
      <c r="H691" s="1" t="n"/>
    </row>
    <row r="692">
      <c r="A692" s="1" t="n"/>
      <c r="B692" s="33" t="n"/>
      <c r="C692" s="33" t="n"/>
      <c r="D692" s="31" t="n"/>
      <c r="E692" s="35">
        <f>IF(C692="","",IFERROR(INDEX(Pantry!$C$6:$C$305,MATCH(C692,Pantry!$B$6:$B$305,0))&amp;"","Add to Pantry"))</f>
        <v/>
      </c>
      <c r="F692" s="25">
        <f>IF(OR(C692="",E692="Add to Pantry"),"",ROUND(N(D692)*INDEX(Pantry!$N$6:$N$305,MATCH(C692,Pantry!$B$6:$B$305,0)),2))</f>
        <v/>
      </c>
      <c r="G692" s="35">
        <f>IF(OR(B692="",C692=""),"",IFERROR(ROUND(N(D692)*N(INDEX(Recipes!$H$6:$H$105,MATCH(B692,Recipes!$B$6:$B$105,0)))/IF(N(INDEX(Recipes!$D$6:$D$105,MATCH(B692,Recipes!$B$6:$B$105,0)))&gt;0,INDEX(Recipes!$D$6:$D$105,MATCH(B692,Recipes!$B$6:$B$105,0)),1),2),0))</f>
        <v/>
      </c>
      <c r="H692" s="1" t="n"/>
    </row>
    <row r="693">
      <c r="A693" s="1" t="n"/>
      <c r="B693" s="33" t="n"/>
      <c r="C693" s="33" t="n"/>
      <c r="D693" s="31" t="n"/>
      <c r="E693" s="35">
        <f>IF(C693="","",IFERROR(INDEX(Pantry!$C$6:$C$305,MATCH(C693,Pantry!$B$6:$B$305,0))&amp;"","Add to Pantry"))</f>
        <v/>
      </c>
      <c r="F693" s="25">
        <f>IF(OR(C693="",E693="Add to Pantry"),"",ROUND(N(D693)*INDEX(Pantry!$N$6:$N$305,MATCH(C693,Pantry!$B$6:$B$305,0)),2))</f>
        <v/>
      </c>
      <c r="G693" s="35">
        <f>IF(OR(B693="",C693=""),"",IFERROR(ROUND(N(D693)*N(INDEX(Recipes!$H$6:$H$105,MATCH(B693,Recipes!$B$6:$B$105,0)))/IF(N(INDEX(Recipes!$D$6:$D$105,MATCH(B693,Recipes!$B$6:$B$105,0)))&gt;0,INDEX(Recipes!$D$6:$D$105,MATCH(B693,Recipes!$B$6:$B$105,0)),1),2),0))</f>
        <v/>
      </c>
      <c r="H693" s="1" t="n"/>
    </row>
    <row r="694">
      <c r="A694" s="1" t="n"/>
      <c r="B694" s="33" t="n"/>
      <c r="C694" s="33" t="n"/>
      <c r="D694" s="31" t="n"/>
      <c r="E694" s="35">
        <f>IF(C694="","",IFERROR(INDEX(Pantry!$C$6:$C$305,MATCH(C694,Pantry!$B$6:$B$305,0))&amp;"","Add to Pantry"))</f>
        <v/>
      </c>
      <c r="F694" s="25">
        <f>IF(OR(C694="",E694="Add to Pantry"),"",ROUND(N(D694)*INDEX(Pantry!$N$6:$N$305,MATCH(C694,Pantry!$B$6:$B$305,0)),2))</f>
        <v/>
      </c>
      <c r="G694" s="35">
        <f>IF(OR(B694="",C694=""),"",IFERROR(ROUND(N(D694)*N(INDEX(Recipes!$H$6:$H$105,MATCH(B694,Recipes!$B$6:$B$105,0)))/IF(N(INDEX(Recipes!$D$6:$D$105,MATCH(B694,Recipes!$B$6:$B$105,0)))&gt;0,INDEX(Recipes!$D$6:$D$105,MATCH(B694,Recipes!$B$6:$B$105,0)),1),2),0))</f>
        <v/>
      </c>
      <c r="H694" s="1" t="n"/>
    </row>
    <row r="695">
      <c r="A695" s="1" t="n"/>
      <c r="B695" s="33" t="n"/>
      <c r="C695" s="33" t="n"/>
      <c r="D695" s="31" t="n"/>
      <c r="E695" s="35">
        <f>IF(C695="","",IFERROR(INDEX(Pantry!$C$6:$C$305,MATCH(C695,Pantry!$B$6:$B$305,0))&amp;"","Add to Pantry"))</f>
        <v/>
      </c>
      <c r="F695" s="25">
        <f>IF(OR(C695="",E695="Add to Pantry"),"",ROUND(N(D695)*INDEX(Pantry!$N$6:$N$305,MATCH(C695,Pantry!$B$6:$B$305,0)),2))</f>
        <v/>
      </c>
      <c r="G695" s="35">
        <f>IF(OR(B695="",C695=""),"",IFERROR(ROUND(N(D695)*N(INDEX(Recipes!$H$6:$H$105,MATCH(B695,Recipes!$B$6:$B$105,0)))/IF(N(INDEX(Recipes!$D$6:$D$105,MATCH(B695,Recipes!$B$6:$B$105,0)))&gt;0,INDEX(Recipes!$D$6:$D$105,MATCH(B695,Recipes!$B$6:$B$105,0)),1),2),0))</f>
        <v/>
      </c>
      <c r="H695" s="1" t="n"/>
    </row>
    <row r="696">
      <c r="A696" s="1" t="n"/>
      <c r="B696" s="33" t="n"/>
      <c r="C696" s="33" t="n"/>
      <c r="D696" s="31" t="n"/>
      <c r="E696" s="35">
        <f>IF(C696="","",IFERROR(INDEX(Pantry!$C$6:$C$305,MATCH(C696,Pantry!$B$6:$B$305,0))&amp;"","Add to Pantry"))</f>
        <v/>
      </c>
      <c r="F696" s="25">
        <f>IF(OR(C696="",E696="Add to Pantry"),"",ROUND(N(D696)*INDEX(Pantry!$N$6:$N$305,MATCH(C696,Pantry!$B$6:$B$305,0)),2))</f>
        <v/>
      </c>
      <c r="G696" s="35">
        <f>IF(OR(B696="",C696=""),"",IFERROR(ROUND(N(D696)*N(INDEX(Recipes!$H$6:$H$105,MATCH(B696,Recipes!$B$6:$B$105,0)))/IF(N(INDEX(Recipes!$D$6:$D$105,MATCH(B696,Recipes!$B$6:$B$105,0)))&gt;0,INDEX(Recipes!$D$6:$D$105,MATCH(B696,Recipes!$B$6:$B$105,0)),1),2),0))</f>
        <v/>
      </c>
      <c r="H696" s="1" t="n"/>
    </row>
    <row r="697">
      <c r="A697" s="1" t="n"/>
      <c r="B697" s="33" t="n"/>
      <c r="C697" s="33" t="n"/>
      <c r="D697" s="31" t="n"/>
      <c r="E697" s="35">
        <f>IF(C697="","",IFERROR(INDEX(Pantry!$C$6:$C$305,MATCH(C697,Pantry!$B$6:$B$305,0))&amp;"","Add to Pantry"))</f>
        <v/>
      </c>
      <c r="F697" s="25">
        <f>IF(OR(C697="",E697="Add to Pantry"),"",ROUND(N(D697)*INDEX(Pantry!$N$6:$N$305,MATCH(C697,Pantry!$B$6:$B$305,0)),2))</f>
        <v/>
      </c>
      <c r="G697" s="35">
        <f>IF(OR(B697="",C697=""),"",IFERROR(ROUND(N(D697)*N(INDEX(Recipes!$H$6:$H$105,MATCH(B697,Recipes!$B$6:$B$105,0)))/IF(N(INDEX(Recipes!$D$6:$D$105,MATCH(B697,Recipes!$B$6:$B$105,0)))&gt;0,INDEX(Recipes!$D$6:$D$105,MATCH(B697,Recipes!$B$6:$B$105,0)),1),2),0))</f>
        <v/>
      </c>
      <c r="H697" s="1" t="n"/>
    </row>
    <row r="698">
      <c r="A698" s="1" t="n"/>
      <c r="B698" s="33" t="n"/>
      <c r="C698" s="33" t="n"/>
      <c r="D698" s="31" t="n"/>
      <c r="E698" s="35">
        <f>IF(C698="","",IFERROR(INDEX(Pantry!$C$6:$C$305,MATCH(C698,Pantry!$B$6:$B$305,0))&amp;"","Add to Pantry"))</f>
        <v/>
      </c>
      <c r="F698" s="25">
        <f>IF(OR(C698="",E698="Add to Pantry"),"",ROUND(N(D698)*INDEX(Pantry!$N$6:$N$305,MATCH(C698,Pantry!$B$6:$B$305,0)),2))</f>
        <v/>
      </c>
      <c r="G698" s="35">
        <f>IF(OR(B698="",C698=""),"",IFERROR(ROUND(N(D698)*N(INDEX(Recipes!$H$6:$H$105,MATCH(B698,Recipes!$B$6:$B$105,0)))/IF(N(INDEX(Recipes!$D$6:$D$105,MATCH(B698,Recipes!$B$6:$B$105,0)))&gt;0,INDEX(Recipes!$D$6:$D$105,MATCH(B698,Recipes!$B$6:$B$105,0)),1),2),0))</f>
        <v/>
      </c>
      <c r="H698" s="1" t="n"/>
    </row>
    <row r="699">
      <c r="A699" s="1" t="n"/>
      <c r="B699" s="33" t="n"/>
      <c r="C699" s="33" t="n"/>
      <c r="D699" s="31" t="n"/>
      <c r="E699" s="35">
        <f>IF(C699="","",IFERROR(INDEX(Pantry!$C$6:$C$305,MATCH(C699,Pantry!$B$6:$B$305,0))&amp;"","Add to Pantry"))</f>
        <v/>
      </c>
      <c r="F699" s="25">
        <f>IF(OR(C699="",E699="Add to Pantry"),"",ROUND(N(D699)*INDEX(Pantry!$N$6:$N$305,MATCH(C699,Pantry!$B$6:$B$305,0)),2))</f>
        <v/>
      </c>
      <c r="G699" s="35">
        <f>IF(OR(B699="",C699=""),"",IFERROR(ROUND(N(D699)*N(INDEX(Recipes!$H$6:$H$105,MATCH(B699,Recipes!$B$6:$B$105,0)))/IF(N(INDEX(Recipes!$D$6:$D$105,MATCH(B699,Recipes!$B$6:$B$105,0)))&gt;0,INDEX(Recipes!$D$6:$D$105,MATCH(B699,Recipes!$B$6:$B$105,0)),1),2),0))</f>
        <v/>
      </c>
      <c r="H699" s="1" t="n"/>
    </row>
    <row r="700">
      <c r="A700" s="1" t="n"/>
      <c r="B700" s="33" t="n"/>
      <c r="C700" s="33" t="n"/>
      <c r="D700" s="31" t="n"/>
      <c r="E700" s="35">
        <f>IF(C700="","",IFERROR(INDEX(Pantry!$C$6:$C$305,MATCH(C700,Pantry!$B$6:$B$305,0))&amp;"","Add to Pantry"))</f>
        <v/>
      </c>
      <c r="F700" s="25">
        <f>IF(OR(C700="",E700="Add to Pantry"),"",ROUND(N(D700)*INDEX(Pantry!$N$6:$N$305,MATCH(C700,Pantry!$B$6:$B$305,0)),2))</f>
        <v/>
      </c>
      <c r="G700" s="35">
        <f>IF(OR(B700="",C700=""),"",IFERROR(ROUND(N(D700)*N(INDEX(Recipes!$H$6:$H$105,MATCH(B700,Recipes!$B$6:$B$105,0)))/IF(N(INDEX(Recipes!$D$6:$D$105,MATCH(B700,Recipes!$B$6:$B$105,0)))&gt;0,INDEX(Recipes!$D$6:$D$105,MATCH(B700,Recipes!$B$6:$B$105,0)),1),2),0))</f>
        <v/>
      </c>
      <c r="H700" s="1" t="n"/>
    </row>
    <row r="701">
      <c r="A701" s="1" t="n"/>
      <c r="B701" s="33" t="n"/>
      <c r="C701" s="33" t="n"/>
      <c r="D701" s="31" t="n"/>
      <c r="E701" s="35">
        <f>IF(C701="","",IFERROR(INDEX(Pantry!$C$6:$C$305,MATCH(C701,Pantry!$B$6:$B$305,0))&amp;"","Add to Pantry"))</f>
        <v/>
      </c>
      <c r="F701" s="25">
        <f>IF(OR(C701="",E701="Add to Pantry"),"",ROUND(N(D701)*INDEX(Pantry!$N$6:$N$305,MATCH(C701,Pantry!$B$6:$B$305,0)),2))</f>
        <v/>
      </c>
      <c r="G701" s="35">
        <f>IF(OR(B701="",C701=""),"",IFERROR(ROUND(N(D701)*N(INDEX(Recipes!$H$6:$H$105,MATCH(B701,Recipes!$B$6:$B$105,0)))/IF(N(INDEX(Recipes!$D$6:$D$105,MATCH(B701,Recipes!$B$6:$B$105,0)))&gt;0,INDEX(Recipes!$D$6:$D$105,MATCH(B701,Recipes!$B$6:$B$105,0)),1),2),0))</f>
        <v/>
      </c>
      <c r="H701" s="1" t="n"/>
    </row>
    <row r="702">
      <c r="A702" s="1" t="n"/>
      <c r="B702" s="33" t="n"/>
      <c r="C702" s="33" t="n"/>
      <c r="D702" s="31" t="n"/>
      <c r="E702" s="35">
        <f>IF(C702="","",IFERROR(INDEX(Pantry!$C$6:$C$305,MATCH(C702,Pantry!$B$6:$B$305,0))&amp;"","Add to Pantry"))</f>
        <v/>
      </c>
      <c r="F702" s="25">
        <f>IF(OR(C702="",E702="Add to Pantry"),"",ROUND(N(D702)*INDEX(Pantry!$N$6:$N$305,MATCH(C702,Pantry!$B$6:$B$305,0)),2))</f>
        <v/>
      </c>
      <c r="G702" s="35">
        <f>IF(OR(B702="",C702=""),"",IFERROR(ROUND(N(D702)*N(INDEX(Recipes!$H$6:$H$105,MATCH(B702,Recipes!$B$6:$B$105,0)))/IF(N(INDEX(Recipes!$D$6:$D$105,MATCH(B702,Recipes!$B$6:$B$105,0)))&gt;0,INDEX(Recipes!$D$6:$D$105,MATCH(B702,Recipes!$B$6:$B$105,0)),1),2),0))</f>
        <v/>
      </c>
      <c r="H702" s="1" t="n"/>
    </row>
    <row r="703">
      <c r="A703" s="1" t="n"/>
      <c r="B703" s="33" t="n"/>
      <c r="C703" s="33" t="n"/>
      <c r="D703" s="31" t="n"/>
      <c r="E703" s="35">
        <f>IF(C703="","",IFERROR(INDEX(Pantry!$C$6:$C$305,MATCH(C703,Pantry!$B$6:$B$305,0))&amp;"","Add to Pantry"))</f>
        <v/>
      </c>
      <c r="F703" s="25">
        <f>IF(OR(C703="",E703="Add to Pantry"),"",ROUND(N(D703)*INDEX(Pantry!$N$6:$N$305,MATCH(C703,Pantry!$B$6:$B$305,0)),2))</f>
        <v/>
      </c>
      <c r="G703" s="35">
        <f>IF(OR(B703="",C703=""),"",IFERROR(ROUND(N(D703)*N(INDEX(Recipes!$H$6:$H$105,MATCH(B703,Recipes!$B$6:$B$105,0)))/IF(N(INDEX(Recipes!$D$6:$D$105,MATCH(B703,Recipes!$B$6:$B$105,0)))&gt;0,INDEX(Recipes!$D$6:$D$105,MATCH(B703,Recipes!$B$6:$B$105,0)),1),2),0))</f>
        <v/>
      </c>
      <c r="H703" s="1" t="n"/>
    </row>
    <row r="704">
      <c r="A704" s="1" t="n"/>
      <c r="B704" s="33" t="n"/>
      <c r="C704" s="33" t="n"/>
      <c r="D704" s="31" t="n"/>
      <c r="E704" s="35">
        <f>IF(C704="","",IFERROR(INDEX(Pantry!$C$6:$C$305,MATCH(C704,Pantry!$B$6:$B$305,0))&amp;"","Add to Pantry"))</f>
        <v/>
      </c>
      <c r="F704" s="25">
        <f>IF(OR(C704="",E704="Add to Pantry"),"",ROUND(N(D704)*INDEX(Pantry!$N$6:$N$305,MATCH(C704,Pantry!$B$6:$B$305,0)),2))</f>
        <v/>
      </c>
      <c r="G704" s="35">
        <f>IF(OR(B704="",C704=""),"",IFERROR(ROUND(N(D704)*N(INDEX(Recipes!$H$6:$H$105,MATCH(B704,Recipes!$B$6:$B$105,0)))/IF(N(INDEX(Recipes!$D$6:$D$105,MATCH(B704,Recipes!$B$6:$B$105,0)))&gt;0,INDEX(Recipes!$D$6:$D$105,MATCH(B704,Recipes!$B$6:$B$105,0)),1),2),0))</f>
        <v/>
      </c>
      <c r="H704" s="1" t="n"/>
    </row>
    <row r="705">
      <c r="A705" s="1" t="n"/>
      <c r="B705" s="33" t="n"/>
      <c r="C705" s="33" t="n"/>
      <c r="D705" s="31" t="n"/>
      <c r="E705" s="35">
        <f>IF(C705="","",IFERROR(INDEX(Pantry!$C$6:$C$305,MATCH(C705,Pantry!$B$6:$B$305,0))&amp;"","Add to Pantry"))</f>
        <v/>
      </c>
      <c r="F705" s="25">
        <f>IF(OR(C705="",E705="Add to Pantry"),"",ROUND(N(D705)*INDEX(Pantry!$N$6:$N$305,MATCH(C705,Pantry!$B$6:$B$305,0)),2))</f>
        <v/>
      </c>
      <c r="G705" s="35">
        <f>IF(OR(B705="",C705=""),"",IFERROR(ROUND(N(D705)*N(INDEX(Recipes!$H$6:$H$105,MATCH(B705,Recipes!$B$6:$B$105,0)))/IF(N(INDEX(Recipes!$D$6:$D$105,MATCH(B705,Recipes!$B$6:$B$105,0)))&gt;0,INDEX(Recipes!$D$6:$D$105,MATCH(B705,Recipes!$B$6:$B$105,0)),1),2),0))</f>
        <v/>
      </c>
      <c r="H705" s="1" t="n"/>
    </row>
    <row r="706">
      <c r="A706" s="1" t="n"/>
      <c r="B706" s="33" t="n"/>
      <c r="C706" s="33" t="n"/>
      <c r="D706" s="31" t="n"/>
      <c r="E706" s="35">
        <f>IF(C706="","",IFERROR(INDEX(Pantry!$C$6:$C$305,MATCH(C706,Pantry!$B$6:$B$305,0))&amp;"","Add to Pantry"))</f>
        <v/>
      </c>
      <c r="F706" s="25">
        <f>IF(OR(C706="",E706="Add to Pantry"),"",ROUND(N(D706)*INDEX(Pantry!$N$6:$N$305,MATCH(C706,Pantry!$B$6:$B$305,0)),2))</f>
        <v/>
      </c>
      <c r="G706" s="35">
        <f>IF(OR(B706="",C706=""),"",IFERROR(ROUND(N(D706)*N(INDEX(Recipes!$H$6:$H$105,MATCH(B706,Recipes!$B$6:$B$105,0)))/IF(N(INDEX(Recipes!$D$6:$D$105,MATCH(B706,Recipes!$B$6:$B$105,0)))&gt;0,INDEX(Recipes!$D$6:$D$105,MATCH(B706,Recipes!$B$6:$B$105,0)),1),2),0))</f>
        <v/>
      </c>
      <c r="H706" s="1" t="n"/>
    </row>
    <row r="707">
      <c r="A707" s="1" t="n"/>
      <c r="B707" s="33" t="n"/>
      <c r="C707" s="33" t="n"/>
      <c r="D707" s="31" t="n"/>
      <c r="E707" s="35">
        <f>IF(C707="","",IFERROR(INDEX(Pantry!$C$6:$C$305,MATCH(C707,Pantry!$B$6:$B$305,0))&amp;"","Add to Pantry"))</f>
        <v/>
      </c>
      <c r="F707" s="25">
        <f>IF(OR(C707="",E707="Add to Pantry"),"",ROUND(N(D707)*INDEX(Pantry!$N$6:$N$305,MATCH(C707,Pantry!$B$6:$B$305,0)),2))</f>
        <v/>
      </c>
      <c r="G707" s="35">
        <f>IF(OR(B707="",C707=""),"",IFERROR(ROUND(N(D707)*N(INDEX(Recipes!$H$6:$H$105,MATCH(B707,Recipes!$B$6:$B$105,0)))/IF(N(INDEX(Recipes!$D$6:$D$105,MATCH(B707,Recipes!$B$6:$B$105,0)))&gt;0,INDEX(Recipes!$D$6:$D$105,MATCH(B707,Recipes!$B$6:$B$105,0)),1),2),0))</f>
        <v/>
      </c>
      <c r="H707" s="1" t="n"/>
    </row>
    <row r="708">
      <c r="A708" s="1" t="n"/>
      <c r="B708" s="33" t="n"/>
      <c r="C708" s="33" t="n"/>
      <c r="D708" s="31" t="n"/>
      <c r="E708" s="35">
        <f>IF(C708="","",IFERROR(INDEX(Pantry!$C$6:$C$305,MATCH(C708,Pantry!$B$6:$B$305,0))&amp;"","Add to Pantry"))</f>
        <v/>
      </c>
      <c r="F708" s="25">
        <f>IF(OR(C708="",E708="Add to Pantry"),"",ROUND(N(D708)*INDEX(Pantry!$N$6:$N$305,MATCH(C708,Pantry!$B$6:$B$305,0)),2))</f>
        <v/>
      </c>
      <c r="G708" s="35">
        <f>IF(OR(B708="",C708=""),"",IFERROR(ROUND(N(D708)*N(INDEX(Recipes!$H$6:$H$105,MATCH(B708,Recipes!$B$6:$B$105,0)))/IF(N(INDEX(Recipes!$D$6:$D$105,MATCH(B708,Recipes!$B$6:$B$105,0)))&gt;0,INDEX(Recipes!$D$6:$D$105,MATCH(B708,Recipes!$B$6:$B$105,0)),1),2),0))</f>
        <v/>
      </c>
      <c r="H708" s="1" t="n"/>
    </row>
    <row r="709">
      <c r="A709" s="1" t="n"/>
      <c r="B709" s="33" t="n"/>
      <c r="C709" s="33" t="n"/>
      <c r="D709" s="31" t="n"/>
      <c r="E709" s="35">
        <f>IF(C709="","",IFERROR(INDEX(Pantry!$C$6:$C$305,MATCH(C709,Pantry!$B$6:$B$305,0))&amp;"","Add to Pantry"))</f>
        <v/>
      </c>
      <c r="F709" s="25">
        <f>IF(OR(C709="",E709="Add to Pantry"),"",ROUND(N(D709)*INDEX(Pantry!$N$6:$N$305,MATCH(C709,Pantry!$B$6:$B$305,0)),2))</f>
        <v/>
      </c>
      <c r="G709" s="35">
        <f>IF(OR(B709="",C709=""),"",IFERROR(ROUND(N(D709)*N(INDEX(Recipes!$H$6:$H$105,MATCH(B709,Recipes!$B$6:$B$105,0)))/IF(N(INDEX(Recipes!$D$6:$D$105,MATCH(B709,Recipes!$B$6:$B$105,0)))&gt;0,INDEX(Recipes!$D$6:$D$105,MATCH(B709,Recipes!$B$6:$B$105,0)),1),2),0))</f>
        <v/>
      </c>
      <c r="H709" s="1" t="n"/>
    </row>
    <row r="710">
      <c r="A710" s="1" t="n"/>
      <c r="B710" s="33" t="n"/>
      <c r="C710" s="33" t="n"/>
      <c r="D710" s="31" t="n"/>
      <c r="E710" s="35">
        <f>IF(C710="","",IFERROR(INDEX(Pantry!$C$6:$C$305,MATCH(C710,Pantry!$B$6:$B$305,0))&amp;"","Add to Pantry"))</f>
        <v/>
      </c>
      <c r="F710" s="25">
        <f>IF(OR(C710="",E710="Add to Pantry"),"",ROUND(N(D710)*INDEX(Pantry!$N$6:$N$305,MATCH(C710,Pantry!$B$6:$B$305,0)),2))</f>
        <v/>
      </c>
      <c r="G710" s="35">
        <f>IF(OR(B710="",C710=""),"",IFERROR(ROUND(N(D710)*N(INDEX(Recipes!$H$6:$H$105,MATCH(B710,Recipes!$B$6:$B$105,0)))/IF(N(INDEX(Recipes!$D$6:$D$105,MATCH(B710,Recipes!$B$6:$B$105,0)))&gt;0,INDEX(Recipes!$D$6:$D$105,MATCH(B710,Recipes!$B$6:$B$105,0)),1),2),0))</f>
        <v/>
      </c>
      <c r="H710" s="1" t="n"/>
    </row>
    <row r="711">
      <c r="A711" s="1" t="n"/>
      <c r="B711" s="33" t="n"/>
      <c r="C711" s="33" t="n"/>
      <c r="D711" s="31" t="n"/>
      <c r="E711" s="35">
        <f>IF(C711="","",IFERROR(INDEX(Pantry!$C$6:$C$305,MATCH(C711,Pantry!$B$6:$B$305,0))&amp;"","Add to Pantry"))</f>
        <v/>
      </c>
      <c r="F711" s="25">
        <f>IF(OR(C711="",E711="Add to Pantry"),"",ROUND(N(D711)*INDEX(Pantry!$N$6:$N$305,MATCH(C711,Pantry!$B$6:$B$305,0)),2))</f>
        <v/>
      </c>
      <c r="G711" s="35">
        <f>IF(OR(B711="",C711=""),"",IFERROR(ROUND(N(D711)*N(INDEX(Recipes!$H$6:$H$105,MATCH(B711,Recipes!$B$6:$B$105,0)))/IF(N(INDEX(Recipes!$D$6:$D$105,MATCH(B711,Recipes!$B$6:$B$105,0)))&gt;0,INDEX(Recipes!$D$6:$D$105,MATCH(B711,Recipes!$B$6:$B$105,0)),1),2),0))</f>
        <v/>
      </c>
      <c r="H711" s="1" t="n"/>
    </row>
    <row r="712">
      <c r="A712" s="1" t="n"/>
      <c r="B712" s="33" t="n"/>
      <c r="C712" s="33" t="n"/>
      <c r="D712" s="31" t="n"/>
      <c r="E712" s="35">
        <f>IF(C712="","",IFERROR(INDEX(Pantry!$C$6:$C$305,MATCH(C712,Pantry!$B$6:$B$305,0))&amp;"","Add to Pantry"))</f>
        <v/>
      </c>
      <c r="F712" s="25">
        <f>IF(OR(C712="",E712="Add to Pantry"),"",ROUND(N(D712)*INDEX(Pantry!$N$6:$N$305,MATCH(C712,Pantry!$B$6:$B$305,0)),2))</f>
        <v/>
      </c>
      <c r="G712" s="35">
        <f>IF(OR(B712="",C712=""),"",IFERROR(ROUND(N(D712)*N(INDEX(Recipes!$H$6:$H$105,MATCH(B712,Recipes!$B$6:$B$105,0)))/IF(N(INDEX(Recipes!$D$6:$D$105,MATCH(B712,Recipes!$B$6:$B$105,0)))&gt;0,INDEX(Recipes!$D$6:$D$105,MATCH(B712,Recipes!$B$6:$B$105,0)),1),2),0))</f>
        <v/>
      </c>
      <c r="H712" s="1" t="n"/>
    </row>
    <row r="713">
      <c r="A713" s="1" t="n"/>
      <c r="B713" s="33" t="n"/>
      <c r="C713" s="33" t="n"/>
      <c r="D713" s="31" t="n"/>
      <c r="E713" s="35">
        <f>IF(C713="","",IFERROR(INDEX(Pantry!$C$6:$C$305,MATCH(C713,Pantry!$B$6:$B$305,0))&amp;"","Add to Pantry"))</f>
        <v/>
      </c>
      <c r="F713" s="25">
        <f>IF(OR(C713="",E713="Add to Pantry"),"",ROUND(N(D713)*INDEX(Pantry!$N$6:$N$305,MATCH(C713,Pantry!$B$6:$B$305,0)),2))</f>
        <v/>
      </c>
      <c r="G713" s="35">
        <f>IF(OR(B713="",C713=""),"",IFERROR(ROUND(N(D713)*N(INDEX(Recipes!$H$6:$H$105,MATCH(B713,Recipes!$B$6:$B$105,0)))/IF(N(INDEX(Recipes!$D$6:$D$105,MATCH(B713,Recipes!$B$6:$B$105,0)))&gt;0,INDEX(Recipes!$D$6:$D$105,MATCH(B713,Recipes!$B$6:$B$105,0)),1),2),0))</f>
        <v/>
      </c>
      <c r="H713" s="1" t="n"/>
    </row>
    <row r="714">
      <c r="A714" s="1" t="n"/>
      <c r="B714" s="33" t="n"/>
      <c r="C714" s="33" t="n"/>
      <c r="D714" s="31" t="n"/>
      <c r="E714" s="35">
        <f>IF(C714="","",IFERROR(INDEX(Pantry!$C$6:$C$305,MATCH(C714,Pantry!$B$6:$B$305,0))&amp;"","Add to Pantry"))</f>
        <v/>
      </c>
      <c r="F714" s="25">
        <f>IF(OR(C714="",E714="Add to Pantry"),"",ROUND(N(D714)*INDEX(Pantry!$N$6:$N$305,MATCH(C714,Pantry!$B$6:$B$305,0)),2))</f>
        <v/>
      </c>
      <c r="G714" s="35">
        <f>IF(OR(B714="",C714=""),"",IFERROR(ROUND(N(D714)*N(INDEX(Recipes!$H$6:$H$105,MATCH(B714,Recipes!$B$6:$B$105,0)))/IF(N(INDEX(Recipes!$D$6:$D$105,MATCH(B714,Recipes!$B$6:$B$105,0)))&gt;0,INDEX(Recipes!$D$6:$D$105,MATCH(B714,Recipes!$B$6:$B$105,0)),1),2),0))</f>
        <v/>
      </c>
      <c r="H714" s="1" t="n"/>
    </row>
    <row r="715">
      <c r="A715" s="1" t="n"/>
      <c r="B715" s="33" t="n"/>
      <c r="C715" s="33" t="n"/>
      <c r="D715" s="31" t="n"/>
      <c r="E715" s="35">
        <f>IF(C715="","",IFERROR(INDEX(Pantry!$C$6:$C$305,MATCH(C715,Pantry!$B$6:$B$305,0))&amp;"","Add to Pantry"))</f>
        <v/>
      </c>
      <c r="F715" s="25">
        <f>IF(OR(C715="",E715="Add to Pantry"),"",ROUND(N(D715)*INDEX(Pantry!$N$6:$N$305,MATCH(C715,Pantry!$B$6:$B$305,0)),2))</f>
        <v/>
      </c>
      <c r="G715" s="35">
        <f>IF(OR(B715="",C715=""),"",IFERROR(ROUND(N(D715)*N(INDEX(Recipes!$H$6:$H$105,MATCH(B715,Recipes!$B$6:$B$105,0)))/IF(N(INDEX(Recipes!$D$6:$D$105,MATCH(B715,Recipes!$B$6:$B$105,0)))&gt;0,INDEX(Recipes!$D$6:$D$105,MATCH(B715,Recipes!$B$6:$B$105,0)),1),2),0))</f>
        <v/>
      </c>
      <c r="H715" s="1" t="n"/>
    </row>
    <row r="716">
      <c r="A716" s="1" t="n"/>
      <c r="B716" s="33" t="n"/>
      <c r="C716" s="33" t="n"/>
      <c r="D716" s="31" t="n"/>
      <c r="E716" s="35">
        <f>IF(C716="","",IFERROR(INDEX(Pantry!$C$6:$C$305,MATCH(C716,Pantry!$B$6:$B$305,0))&amp;"","Add to Pantry"))</f>
        <v/>
      </c>
      <c r="F716" s="25">
        <f>IF(OR(C716="",E716="Add to Pantry"),"",ROUND(N(D716)*INDEX(Pantry!$N$6:$N$305,MATCH(C716,Pantry!$B$6:$B$305,0)),2))</f>
        <v/>
      </c>
      <c r="G716" s="35">
        <f>IF(OR(B716="",C716=""),"",IFERROR(ROUND(N(D716)*N(INDEX(Recipes!$H$6:$H$105,MATCH(B716,Recipes!$B$6:$B$105,0)))/IF(N(INDEX(Recipes!$D$6:$D$105,MATCH(B716,Recipes!$B$6:$B$105,0)))&gt;0,INDEX(Recipes!$D$6:$D$105,MATCH(B716,Recipes!$B$6:$B$105,0)),1),2),0))</f>
        <v/>
      </c>
      <c r="H716" s="1" t="n"/>
    </row>
    <row r="717">
      <c r="A717" s="1" t="n"/>
      <c r="B717" s="33" t="n"/>
      <c r="C717" s="33" t="n"/>
      <c r="D717" s="31" t="n"/>
      <c r="E717" s="35">
        <f>IF(C717="","",IFERROR(INDEX(Pantry!$C$6:$C$305,MATCH(C717,Pantry!$B$6:$B$305,0))&amp;"","Add to Pantry"))</f>
        <v/>
      </c>
      <c r="F717" s="25">
        <f>IF(OR(C717="",E717="Add to Pantry"),"",ROUND(N(D717)*INDEX(Pantry!$N$6:$N$305,MATCH(C717,Pantry!$B$6:$B$305,0)),2))</f>
        <v/>
      </c>
      <c r="G717" s="35">
        <f>IF(OR(B717="",C717=""),"",IFERROR(ROUND(N(D717)*N(INDEX(Recipes!$H$6:$H$105,MATCH(B717,Recipes!$B$6:$B$105,0)))/IF(N(INDEX(Recipes!$D$6:$D$105,MATCH(B717,Recipes!$B$6:$B$105,0)))&gt;0,INDEX(Recipes!$D$6:$D$105,MATCH(B717,Recipes!$B$6:$B$105,0)),1),2),0))</f>
        <v/>
      </c>
      <c r="H717" s="1" t="n"/>
    </row>
    <row r="718">
      <c r="A718" s="1" t="n"/>
      <c r="B718" s="33" t="n"/>
      <c r="C718" s="33" t="n"/>
      <c r="D718" s="31" t="n"/>
      <c r="E718" s="35">
        <f>IF(C718="","",IFERROR(INDEX(Pantry!$C$6:$C$305,MATCH(C718,Pantry!$B$6:$B$305,0))&amp;"","Add to Pantry"))</f>
        <v/>
      </c>
      <c r="F718" s="25">
        <f>IF(OR(C718="",E718="Add to Pantry"),"",ROUND(N(D718)*INDEX(Pantry!$N$6:$N$305,MATCH(C718,Pantry!$B$6:$B$305,0)),2))</f>
        <v/>
      </c>
      <c r="G718" s="35">
        <f>IF(OR(B718="",C718=""),"",IFERROR(ROUND(N(D718)*N(INDEX(Recipes!$H$6:$H$105,MATCH(B718,Recipes!$B$6:$B$105,0)))/IF(N(INDEX(Recipes!$D$6:$D$105,MATCH(B718,Recipes!$B$6:$B$105,0)))&gt;0,INDEX(Recipes!$D$6:$D$105,MATCH(B718,Recipes!$B$6:$B$105,0)),1),2),0))</f>
        <v/>
      </c>
      <c r="H718" s="1" t="n"/>
    </row>
    <row r="719">
      <c r="A719" s="1" t="n"/>
      <c r="B719" s="33" t="n"/>
      <c r="C719" s="33" t="n"/>
      <c r="D719" s="31" t="n"/>
      <c r="E719" s="35">
        <f>IF(C719="","",IFERROR(INDEX(Pantry!$C$6:$C$305,MATCH(C719,Pantry!$B$6:$B$305,0))&amp;"","Add to Pantry"))</f>
        <v/>
      </c>
      <c r="F719" s="25">
        <f>IF(OR(C719="",E719="Add to Pantry"),"",ROUND(N(D719)*INDEX(Pantry!$N$6:$N$305,MATCH(C719,Pantry!$B$6:$B$305,0)),2))</f>
        <v/>
      </c>
      <c r="G719" s="35">
        <f>IF(OR(B719="",C719=""),"",IFERROR(ROUND(N(D719)*N(INDEX(Recipes!$H$6:$H$105,MATCH(B719,Recipes!$B$6:$B$105,0)))/IF(N(INDEX(Recipes!$D$6:$D$105,MATCH(B719,Recipes!$B$6:$B$105,0)))&gt;0,INDEX(Recipes!$D$6:$D$105,MATCH(B719,Recipes!$B$6:$B$105,0)),1),2),0))</f>
        <v/>
      </c>
      <c r="H719" s="1" t="n"/>
    </row>
    <row r="720">
      <c r="A720" s="1" t="n"/>
      <c r="B720" s="33" t="n"/>
      <c r="C720" s="33" t="n"/>
      <c r="D720" s="31" t="n"/>
      <c r="E720" s="35">
        <f>IF(C720="","",IFERROR(INDEX(Pantry!$C$6:$C$305,MATCH(C720,Pantry!$B$6:$B$305,0))&amp;"","Add to Pantry"))</f>
        <v/>
      </c>
      <c r="F720" s="25">
        <f>IF(OR(C720="",E720="Add to Pantry"),"",ROUND(N(D720)*INDEX(Pantry!$N$6:$N$305,MATCH(C720,Pantry!$B$6:$B$305,0)),2))</f>
        <v/>
      </c>
      <c r="G720" s="35">
        <f>IF(OR(B720="",C720=""),"",IFERROR(ROUND(N(D720)*N(INDEX(Recipes!$H$6:$H$105,MATCH(B720,Recipes!$B$6:$B$105,0)))/IF(N(INDEX(Recipes!$D$6:$D$105,MATCH(B720,Recipes!$B$6:$B$105,0)))&gt;0,INDEX(Recipes!$D$6:$D$105,MATCH(B720,Recipes!$B$6:$B$105,0)),1),2),0))</f>
        <v/>
      </c>
      <c r="H720" s="1" t="n"/>
    </row>
    <row r="721">
      <c r="A721" s="1" t="n"/>
      <c r="B721" s="33" t="n"/>
      <c r="C721" s="33" t="n"/>
      <c r="D721" s="31" t="n"/>
      <c r="E721" s="35">
        <f>IF(C721="","",IFERROR(INDEX(Pantry!$C$6:$C$305,MATCH(C721,Pantry!$B$6:$B$305,0))&amp;"","Add to Pantry"))</f>
        <v/>
      </c>
      <c r="F721" s="25">
        <f>IF(OR(C721="",E721="Add to Pantry"),"",ROUND(N(D721)*INDEX(Pantry!$N$6:$N$305,MATCH(C721,Pantry!$B$6:$B$305,0)),2))</f>
        <v/>
      </c>
      <c r="G721" s="35">
        <f>IF(OR(B721="",C721=""),"",IFERROR(ROUND(N(D721)*N(INDEX(Recipes!$H$6:$H$105,MATCH(B721,Recipes!$B$6:$B$105,0)))/IF(N(INDEX(Recipes!$D$6:$D$105,MATCH(B721,Recipes!$B$6:$B$105,0)))&gt;0,INDEX(Recipes!$D$6:$D$105,MATCH(B721,Recipes!$B$6:$B$105,0)),1),2),0))</f>
        <v/>
      </c>
      <c r="H721" s="1" t="n"/>
    </row>
    <row r="722">
      <c r="A722" s="1" t="n"/>
      <c r="B722" s="33" t="n"/>
      <c r="C722" s="33" t="n"/>
      <c r="D722" s="31" t="n"/>
      <c r="E722" s="35">
        <f>IF(C722="","",IFERROR(INDEX(Pantry!$C$6:$C$305,MATCH(C722,Pantry!$B$6:$B$305,0))&amp;"","Add to Pantry"))</f>
        <v/>
      </c>
      <c r="F722" s="25">
        <f>IF(OR(C722="",E722="Add to Pantry"),"",ROUND(N(D722)*INDEX(Pantry!$N$6:$N$305,MATCH(C722,Pantry!$B$6:$B$305,0)),2))</f>
        <v/>
      </c>
      <c r="G722" s="35">
        <f>IF(OR(B722="",C722=""),"",IFERROR(ROUND(N(D722)*N(INDEX(Recipes!$H$6:$H$105,MATCH(B722,Recipes!$B$6:$B$105,0)))/IF(N(INDEX(Recipes!$D$6:$D$105,MATCH(B722,Recipes!$B$6:$B$105,0)))&gt;0,INDEX(Recipes!$D$6:$D$105,MATCH(B722,Recipes!$B$6:$B$105,0)),1),2),0))</f>
        <v/>
      </c>
      <c r="H722" s="1" t="n"/>
    </row>
    <row r="723">
      <c r="A723" s="1" t="n"/>
      <c r="B723" s="33" t="n"/>
      <c r="C723" s="33" t="n"/>
      <c r="D723" s="31" t="n"/>
      <c r="E723" s="35">
        <f>IF(C723="","",IFERROR(INDEX(Pantry!$C$6:$C$305,MATCH(C723,Pantry!$B$6:$B$305,0))&amp;"","Add to Pantry"))</f>
        <v/>
      </c>
      <c r="F723" s="25">
        <f>IF(OR(C723="",E723="Add to Pantry"),"",ROUND(N(D723)*INDEX(Pantry!$N$6:$N$305,MATCH(C723,Pantry!$B$6:$B$305,0)),2))</f>
        <v/>
      </c>
      <c r="G723" s="35">
        <f>IF(OR(B723="",C723=""),"",IFERROR(ROUND(N(D723)*N(INDEX(Recipes!$H$6:$H$105,MATCH(B723,Recipes!$B$6:$B$105,0)))/IF(N(INDEX(Recipes!$D$6:$D$105,MATCH(B723,Recipes!$B$6:$B$105,0)))&gt;0,INDEX(Recipes!$D$6:$D$105,MATCH(B723,Recipes!$B$6:$B$105,0)),1),2),0))</f>
        <v/>
      </c>
      <c r="H723" s="1" t="n"/>
    </row>
    <row r="724">
      <c r="A724" s="1" t="n"/>
      <c r="B724" s="33" t="n"/>
      <c r="C724" s="33" t="n"/>
      <c r="D724" s="31" t="n"/>
      <c r="E724" s="35">
        <f>IF(C724="","",IFERROR(INDEX(Pantry!$C$6:$C$305,MATCH(C724,Pantry!$B$6:$B$305,0))&amp;"","Add to Pantry"))</f>
        <v/>
      </c>
      <c r="F724" s="25">
        <f>IF(OR(C724="",E724="Add to Pantry"),"",ROUND(N(D724)*INDEX(Pantry!$N$6:$N$305,MATCH(C724,Pantry!$B$6:$B$305,0)),2))</f>
        <v/>
      </c>
      <c r="G724" s="35">
        <f>IF(OR(B724="",C724=""),"",IFERROR(ROUND(N(D724)*N(INDEX(Recipes!$H$6:$H$105,MATCH(B724,Recipes!$B$6:$B$105,0)))/IF(N(INDEX(Recipes!$D$6:$D$105,MATCH(B724,Recipes!$B$6:$B$105,0)))&gt;0,INDEX(Recipes!$D$6:$D$105,MATCH(B724,Recipes!$B$6:$B$105,0)),1),2),0))</f>
        <v/>
      </c>
      <c r="H724" s="1" t="n"/>
    </row>
    <row r="725">
      <c r="A725" s="1" t="n"/>
      <c r="B725" s="33" t="n"/>
      <c r="C725" s="33" t="n"/>
      <c r="D725" s="31" t="n"/>
      <c r="E725" s="35">
        <f>IF(C725="","",IFERROR(INDEX(Pantry!$C$6:$C$305,MATCH(C725,Pantry!$B$6:$B$305,0))&amp;"","Add to Pantry"))</f>
        <v/>
      </c>
      <c r="F725" s="25">
        <f>IF(OR(C725="",E725="Add to Pantry"),"",ROUND(N(D725)*INDEX(Pantry!$N$6:$N$305,MATCH(C725,Pantry!$B$6:$B$305,0)),2))</f>
        <v/>
      </c>
      <c r="G725" s="35">
        <f>IF(OR(B725="",C725=""),"",IFERROR(ROUND(N(D725)*N(INDEX(Recipes!$H$6:$H$105,MATCH(B725,Recipes!$B$6:$B$105,0)))/IF(N(INDEX(Recipes!$D$6:$D$105,MATCH(B725,Recipes!$B$6:$B$105,0)))&gt;0,INDEX(Recipes!$D$6:$D$105,MATCH(B725,Recipes!$B$6:$B$105,0)),1),2),0))</f>
        <v/>
      </c>
      <c r="H725" s="1" t="n"/>
    </row>
    <row r="726">
      <c r="A726" s="1" t="n"/>
      <c r="B726" s="33" t="n"/>
      <c r="C726" s="33" t="n"/>
      <c r="D726" s="31" t="n"/>
      <c r="E726" s="35">
        <f>IF(C726="","",IFERROR(INDEX(Pantry!$C$6:$C$305,MATCH(C726,Pantry!$B$6:$B$305,0))&amp;"","Add to Pantry"))</f>
        <v/>
      </c>
      <c r="F726" s="25">
        <f>IF(OR(C726="",E726="Add to Pantry"),"",ROUND(N(D726)*INDEX(Pantry!$N$6:$N$305,MATCH(C726,Pantry!$B$6:$B$305,0)),2))</f>
        <v/>
      </c>
      <c r="G726" s="35">
        <f>IF(OR(B726="",C726=""),"",IFERROR(ROUND(N(D726)*N(INDEX(Recipes!$H$6:$H$105,MATCH(B726,Recipes!$B$6:$B$105,0)))/IF(N(INDEX(Recipes!$D$6:$D$105,MATCH(B726,Recipes!$B$6:$B$105,0)))&gt;0,INDEX(Recipes!$D$6:$D$105,MATCH(B726,Recipes!$B$6:$B$105,0)),1),2),0))</f>
        <v/>
      </c>
      <c r="H726" s="1" t="n"/>
    </row>
    <row r="727">
      <c r="A727" s="1" t="n"/>
      <c r="B727" s="33" t="n"/>
      <c r="C727" s="33" t="n"/>
      <c r="D727" s="31" t="n"/>
      <c r="E727" s="35">
        <f>IF(C727="","",IFERROR(INDEX(Pantry!$C$6:$C$305,MATCH(C727,Pantry!$B$6:$B$305,0))&amp;"","Add to Pantry"))</f>
        <v/>
      </c>
      <c r="F727" s="25">
        <f>IF(OR(C727="",E727="Add to Pantry"),"",ROUND(N(D727)*INDEX(Pantry!$N$6:$N$305,MATCH(C727,Pantry!$B$6:$B$305,0)),2))</f>
        <v/>
      </c>
      <c r="G727" s="35">
        <f>IF(OR(B727="",C727=""),"",IFERROR(ROUND(N(D727)*N(INDEX(Recipes!$H$6:$H$105,MATCH(B727,Recipes!$B$6:$B$105,0)))/IF(N(INDEX(Recipes!$D$6:$D$105,MATCH(B727,Recipes!$B$6:$B$105,0)))&gt;0,INDEX(Recipes!$D$6:$D$105,MATCH(B727,Recipes!$B$6:$B$105,0)),1),2),0))</f>
        <v/>
      </c>
      <c r="H727" s="1" t="n"/>
    </row>
    <row r="728">
      <c r="A728" s="1" t="n"/>
      <c r="B728" s="33" t="n"/>
      <c r="C728" s="33" t="n"/>
      <c r="D728" s="31" t="n"/>
      <c r="E728" s="35">
        <f>IF(C728="","",IFERROR(INDEX(Pantry!$C$6:$C$305,MATCH(C728,Pantry!$B$6:$B$305,0))&amp;"","Add to Pantry"))</f>
        <v/>
      </c>
      <c r="F728" s="25">
        <f>IF(OR(C728="",E728="Add to Pantry"),"",ROUND(N(D728)*INDEX(Pantry!$N$6:$N$305,MATCH(C728,Pantry!$B$6:$B$305,0)),2))</f>
        <v/>
      </c>
      <c r="G728" s="35">
        <f>IF(OR(B728="",C728=""),"",IFERROR(ROUND(N(D728)*N(INDEX(Recipes!$H$6:$H$105,MATCH(B728,Recipes!$B$6:$B$105,0)))/IF(N(INDEX(Recipes!$D$6:$D$105,MATCH(B728,Recipes!$B$6:$B$105,0)))&gt;0,INDEX(Recipes!$D$6:$D$105,MATCH(B728,Recipes!$B$6:$B$105,0)),1),2),0))</f>
        <v/>
      </c>
      <c r="H728" s="1" t="n"/>
    </row>
    <row r="729">
      <c r="A729" s="1" t="n"/>
      <c r="B729" s="33" t="n"/>
      <c r="C729" s="33" t="n"/>
      <c r="D729" s="31" t="n"/>
      <c r="E729" s="35">
        <f>IF(C729="","",IFERROR(INDEX(Pantry!$C$6:$C$305,MATCH(C729,Pantry!$B$6:$B$305,0))&amp;"","Add to Pantry"))</f>
        <v/>
      </c>
      <c r="F729" s="25">
        <f>IF(OR(C729="",E729="Add to Pantry"),"",ROUND(N(D729)*INDEX(Pantry!$N$6:$N$305,MATCH(C729,Pantry!$B$6:$B$305,0)),2))</f>
        <v/>
      </c>
      <c r="G729" s="35">
        <f>IF(OR(B729="",C729=""),"",IFERROR(ROUND(N(D729)*N(INDEX(Recipes!$H$6:$H$105,MATCH(B729,Recipes!$B$6:$B$105,0)))/IF(N(INDEX(Recipes!$D$6:$D$105,MATCH(B729,Recipes!$B$6:$B$105,0)))&gt;0,INDEX(Recipes!$D$6:$D$105,MATCH(B729,Recipes!$B$6:$B$105,0)),1),2),0))</f>
        <v/>
      </c>
      <c r="H729" s="1" t="n"/>
    </row>
    <row r="730">
      <c r="A730" s="1" t="n"/>
      <c r="B730" s="33" t="n"/>
      <c r="C730" s="33" t="n"/>
      <c r="D730" s="31" t="n"/>
      <c r="E730" s="35">
        <f>IF(C730="","",IFERROR(INDEX(Pantry!$C$6:$C$305,MATCH(C730,Pantry!$B$6:$B$305,0))&amp;"","Add to Pantry"))</f>
        <v/>
      </c>
      <c r="F730" s="25">
        <f>IF(OR(C730="",E730="Add to Pantry"),"",ROUND(N(D730)*INDEX(Pantry!$N$6:$N$305,MATCH(C730,Pantry!$B$6:$B$305,0)),2))</f>
        <v/>
      </c>
      <c r="G730" s="35">
        <f>IF(OR(B730="",C730=""),"",IFERROR(ROUND(N(D730)*N(INDEX(Recipes!$H$6:$H$105,MATCH(B730,Recipes!$B$6:$B$105,0)))/IF(N(INDEX(Recipes!$D$6:$D$105,MATCH(B730,Recipes!$B$6:$B$105,0)))&gt;0,INDEX(Recipes!$D$6:$D$105,MATCH(B730,Recipes!$B$6:$B$105,0)),1),2),0))</f>
        <v/>
      </c>
      <c r="H730" s="1" t="n"/>
    </row>
    <row r="731">
      <c r="A731" s="1" t="n"/>
      <c r="B731" s="33" t="n"/>
      <c r="C731" s="33" t="n"/>
      <c r="D731" s="31" t="n"/>
      <c r="E731" s="35">
        <f>IF(C731="","",IFERROR(INDEX(Pantry!$C$6:$C$305,MATCH(C731,Pantry!$B$6:$B$305,0))&amp;"","Add to Pantry"))</f>
        <v/>
      </c>
      <c r="F731" s="25">
        <f>IF(OR(C731="",E731="Add to Pantry"),"",ROUND(N(D731)*INDEX(Pantry!$N$6:$N$305,MATCH(C731,Pantry!$B$6:$B$305,0)),2))</f>
        <v/>
      </c>
      <c r="G731" s="35">
        <f>IF(OR(B731="",C731=""),"",IFERROR(ROUND(N(D731)*N(INDEX(Recipes!$H$6:$H$105,MATCH(B731,Recipes!$B$6:$B$105,0)))/IF(N(INDEX(Recipes!$D$6:$D$105,MATCH(B731,Recipes!$B$6:$B$105,0)))&gt;0,INDEX(Recipes!$D$6:$D$105,MATCH(B731,Recipes!$B$6:$B$105,0)),1),2),0))</f>
        <v/>
      </c>
      <c r="H731" s="1" t="n"/>
    </row>
    <row r="732">
      <c r="A732" s="1" t="n"/>
      <c r="B732" s="33" t="n"/>
      <c r="C732" s="33" t="n"/>
      <c r="D732" s="31" t="n"/>
      <c r="E732" s="35">
        <f>IF(C732="","",IFERROR(INDEX(Pantry!$C$6:$C$305,MATCH(C732,Pantry!$B$6:$B$305,0))&amp;"","Add to Pantry"))</f>
        <v/>
      </c>
      <c r="F732" s="25">
        <f>IF(OR(C732="",E732="Add to Pantry"),"",ROUND(N(D732)*INDEX(Pantry!$N$6:$N$305,MATCH(C732,Pantry!$B$6:$B$305,0)),2))</f>
        <v/>
      </c>
      <c r="G732" s="35">
        <f>IF(OR(B732="",C732=""),"",IFERROR(ROUND(N(D732)*N(INDEX(Recipes!$H$6:$H$105,MATCH(B732,Recipes!$B$6:$B$105,0)))/IF(N(INDEX(Recipes!$D$6:$D$105,MATCH(B732,Recipes!$B$6:$B$105,0)))&gt;0,INDEX(Recipes!$D$6:$D$105,MATCH(B732,Recipes!$B$6:$B$105,0)),1),2),0))</f>
        <v/>
      </c>
      <c r="H732" s="1" t="n"/>
    </row>
    <row r="733">
      <c r="A733" s="1" t="n"/>
      <c r="B733" s="33" t="n"/>
      <c r="C733" s="33" t="n"/>
      <c r="D733" s="31" t="n"/>
      <c r="E733" s="35">
        <f>IF(C733="","",IFERROR(INDEX(Pantry!$C$6:$C$305,MATCH(C733,Pantry!$B$6:$B$305,0))&amp;"","Add to Pantry"))</f>
        <v/>
      </c>
      <c r="F733" s="25">
        <f>IF(OR(C733="",E733="Add to Pantry"),"",ROUND(N(D733)*INDEX(Pantry!$N$6:$N$305,MATCH(C733,Pantry!$B$6:$B$305,0)),2))</f>
        <v/>
      </c>
      <c r="G733" s="35">
        <f>IF(OR(B733="",C733=""),"",IFERROR(ROUND(N(D733)*N(INDEX(Recipes!$H$6:$H$105,MATCH(B733,Recipes!$B$6:$B$105,0)))/IF(N(INDEX(Recipes!$D$6:$D$105,MATCH(B733,Recipes!$B$6:$B$105,0)))&gt;0,INDEX(Recipes!$D$6:$D$105,MATCH(B733,Recipes!$B$6:$B$105,0)),1),2),0))</f>
        <v/>
      </c>
      <c r="H733" s="1" t="n"/>
    </row>
    <row r="734">
      <c r="A734" s="1" t="n"/>
      <c r="B734" s="33" t="n"/>
      <c r="C734" s="33" t="n"/>
      <c r="D734" s="31" t="n"/>
      <c r="E734" s="35">
        <f>IF(C734="","",IFERROR(INDEX(Pantry!$C$6:$C$305,MATCH(C734,Pantry!$B$6:$B$305,0))&amp;"","Add to Pantry"))</f>
        <v/>
      </c>
      <c r="F734" s="25">
        <f>IF(OR(C734="",E734="Add to Pantry"),"",ROUND(N(D734)*INDEX(Pantry!$N$6:$N$305,MATCH(C734,Pantry!$B$6:$B$305,0)),2))</f>
        <v/>
      </c>
      <c r="G734" s="35">
        <f>IF(OR(B734="",C734=""),"",IFERROR(ROUND(N(D734)*N(INDEX(Recipes!$H$6:$H$105,MATCH(B734,Recipes!$B$6:$B$105,0)))/IF(N(INDEX(Recipes!$D$6:$D$105,MATCH(B734,Recipes!$B$6:$B$105,0)))&gt;0,INDEX(Recipes!$D$6:$D$105,MATCH(B734,Recipes!$B$6:$B$105,0)),1),2),0))</f>
        <v/>
      </c>
      <c r="H734" s="1" t="n"/>
    </row>
    <row r="735">
      <c r="A735" s="1" t="n"/>
      <c r="B735" s="33" t="n"/>
      <c r="C735" s="33" t="n"/>
      <c r="D735" s="31" t="n"/>
      <c r="E735" s="35">
        <f>IF(C735="","",IFERROR(INDEX(Pantry!$C$6:$C$305,MATCH(C735,Pantry!$B$6:$B$305,0))&amp;"","Add to Pantry"))</f>
        <v/>
      </c>
      <c r="F735" s="25">
        <f>IF(OR(C735="",E735="Add to Pantry"),"",ROUND(N(D735)*INDEX(Pantry!$N$6:$N$305,MATCH(C735,Pantry!$B$6:$B$305,0)),2))</f>
        <v/>
      </c>
      <c r="G735" s="35">
        <f>IF(OR(B735="",C735=""),"",IFERROR(ROUND(N(D735)*N(INDEX(Recipes!$H$6:$H$105,MATCH(B735,Recipes!$B$6:$B$105,0)))/IF(N(INDEX(Recipes!$D$6:$D$105,MATCH(B735,Recipes!$B$6:$B$105,0)))&gt;0,INDEX(Recipes!$D$6:$D$105,MATCH(B735,Recipes!$B$6:$B$105,0)),1),2),0))</f>
        <v/>
      </c>
      <c r="H735" s="1" t="n"/>
    </row>
    <row r="736">
      <c r="A736" s="1" t="n"/>
      <c r="B736" s="33" t="n"/>
      <c r="C736" s="33" t="n"/>
      <c r="D736" s="31" t="n"/>
      <c r="E736" s="35">
        <f>IF(C736="","",IFERROR(INDEX(Pantry!$C$6:$C$305,MATCH(C736,Pantry!$B$6:$B$305,0))&amp;"","Add to Pantry"))</f>
        <v/>
      </c>
      <c r="F736" s="25">
        <f>IF(OR(C736="",E736="Add to Pantry"),"",ROUND(N(D736)*INDEX(Pantry!$N$6:$N$305,MATCH(C736,Pantry!$B$6:$B$305,0)),2))</f>
        <v/>
      </c>
      <c r="G736" s="35">
        <f>IF(OR(B736="",C736=""),"",IFERROR(ROUND(N(D736)*N(INDEX(Recipes!$H$6:$H$105,MATCH(B736,Recipes!$B$6:$B$105,0)))/IF(N(INDEX(Recipes!$D$6:$D$105,MATCH(B736,Recipes!$B$6:$B$105,0)))&gt;0,INDEX(Recipes!$D$6:$D$105,MATCH(B736,Recipes!$B$6:$B$105,0)),1),2),0))</f>
        <v/>
      </c>
      <c r="H736" s="1" t="n"/>
    </row>
    <row r="737">
      <c r="A737" s="1" t="n"/>
      <c r="B737" s="33" t="n"/>
      <c r="C737" s="33" t="n"/>
      <c r="D737" s="31" t="n"/>
      <c r="E737" s="35">
        <f>IF(C737="","",IFERROR(INDEX(Pantry!$C$6:$C$305,MATCH(C737,Pantry!$B$6:$B$305,0))&amp;"","Add to Pantry"))</f>
        <v/>
      </c>
      <c r="F737" s="25">
        <f>IF(OR(C737="",E737="Add to Pantry"),"",ROUND(N(D737)*INDEX(Pantry!$N$6:$N$305,MATCH(C737,Pantry!$B$6:$B$305,0)),2))</f>
        <v/>
      </c>
      <c r="G737" s="35">
        <f>IF(OR(B737="",C737=""),"",IFERROR(ROUND(N(D737)*N(INDEX(Recipes!$H$6:$H$105,MATCH(B737,Recipes!$B$6:$B$105,0)))/IF(N(INDEX(Recipes!$D$6:$D$105,MATCH(B737,Recipes!$B$6:$B$105,0)))&gt;0,INDEX(Recipes!$D$6:$D$105,MATCH(B737,Recipes!$B$6:$B$105,0)),1),2),0))</f>
        <v/>
      </c>
      <c r="H737" s="1" t="n"/>
    </row>
    <row r="738">
      <c r="A738" s="1" t="n"/>
      <c r="B738" s="33" t="n"/>
      <c r="C738" s="33" t="n"/>
      <c r="D738" s="31" t="n"/>
      <c r="E738" s="35">
        <f>IF(C738="","",IFERROR(INDEX(Pantry!$C$6:$C$305,MATCH(C738,Pantry!$B$6:$B$305,0))&amp;"","Add to Pantry"))</f>
        <v/>
      </c>
      <c r="F738" s="25">
        <f>IF(OR(C738="",E738="Add to Pantry"),"",ROUND(N(D738)*INDEX(Pantry!$N$6:$N$305,MATCH(C738,Pantry!$B$6:$B$305,0)),2))</f>
        <v/>
      </c>
      <c r="G738" s="35">
        <f>IF(OR(B738="",C738=""),"",IFERROR(ROUND(N(D738)*N(INDEX(Recipes!$H$6:$H$105,MATCH(B738,Recipes!$B$6:$B$105,0)))/IF(N(INDEX(Recipes!$D$6:$D$105,MATCH(B738,Recipes!$B$6:$B$105,0)))&gt;0,INDEX(Recipes!$D$6:$D$105,MATCH(B738,Recipes!$B$6:$B$105,0)),1),2),0))</f>
        <v/>
      </c>
      <c r="H738" s="1" t="n"/>
    </row>
    <row r="739">
      <c r="A739" s="1" t="n"/>
      <c r="B739" s="33" t="n"/>
      <c r="C739" s="33" t="n"/>
      <c r="D739" s="31" t="n"/>
      <c r="E739" s="35">
        <f>IF(C739="","",IFERROR(INDEX(Pantry!$C$6:$C$305,MATCH(C739,Pantry!$B$6:$B$305,0))&amp;"","Add to Pantry"))</f>
        <v/>
      </c>
      <c r="F739" s="25">
        <f>IF(OR(C739="",E739="Add to Pantry"),"",ROUND(N(D739)*INDEX(Pantry!$N$6:$N$305,MATCH(C739,Pantry!$B$6:$B$305,0)),2))</f>
        <v/>
      </c>
      <c r="G739" s="35">
        <f>IF(OR(B739="",C739=""),"",IFERROR(ROUND(N(D739)*N(INDEX(Recipes!$H$6:$H$105,MATCH(B739,Recipes!$B$6:$B$105,0)))/IF(N(INDEX(Recipes!$D$6:$D$105,MATCH(B739,Recipes!$B$6:$B$105,0)))&gt;0,INDEX(Recipes!$D$6:$D$105,MATCH(B739,Recipes!$B$6:$B$105,0)),1),2),0))</f>
        <v/>
      </c>
      <c r="H739" s="1" t="n"/>
    </row>
    <row r="740">
      <c r="A740" s="1" t="n"/>
      <c r="B740" s="33" t="n"/>
      <c r="C740" s="33" t="n"/>
      <c r="D740" s="31" t="n"/>
      <c r="E740" s="35">
        <f>IF(C740="","",IFERROR(INDEX(Pantry!$C$6:$C$305,MATCH(C740,Pantry!$B$6:$B$305,0))&amp;"","Add to Pantry"))</f>
        <v/>
      </c>
      <c r="F740" s="25">
        <f>IF(OR(C740="",E740="Add to Pantry"),"",ROUND(N(D740)*INDEX(Pantry!$N$6:$N$305,MATCH(C740,Pantry!$B$6:$B$305,0)),2))</f>
        <v/>
      </c>
      <c r="G740" s="35">
        <f>IF(OR(B740="",C740=""),"",IFERROR(ROUND(N(D740)*N(INDEX(Recipes!$H$6:$H$105,MATCH(B740,Recipes!$B$6:$B$105,0)))/IF(N(INDEX(Recipes!$D$6:$D$105,MATCH(B740,Recipes!$B$6:$B$105,0)))&gt;0,INDEX(Recipes!$D$6:$D$105,MATCH(B740,Recipes!$B$6:$B$105,0)),1),2),0))</f>
        <v/>
      </c>
      <c r="H740" s="1" t="n"/>
    </row>
    <row r="741">
      <c r="A741" s="1" t="n"/>
      <c r="B741" s="33" t="n"/>
      <c r="C741" s="33" t="n"/>
      <c r="D741" s="31" t="n"/>
      <c r="E741" s="35">
        <f>IF(C741="","",IFERROR(INDEX(Pantry!$C$6:$C$305,MATCH(C741,Pantry!$B$6:$B$305,0))&amp;"","Add to Pantry"))</f>
        <v/>
      </c>
      <c r="F741" s="25">
        <f>IF(OR(C741="",E741="Add to Pantry"),"",ROUND(N(D741)*INDEX(Pantry!$N$6:$N$305,MATCH(C741,Pantry!$B$6:$B$305,0)),2))</f>
        <v/>
      </c>
      <c r="G741" s="35">
        <f>IF(OR(B741="",C741=""),"",IFERROR(ROUND(N(D741)*N(INDEX(Recipes!$H$6:$H$105,MATCH(B741,Recipes!$B$6:$B$105,0)))/IF(N(INDEX(Recipes!$D$6:$D$105,MATCH(B741,Recipes!$B$6:$B$105,0)))&gt;0,INDEX(Recipes!$D$6:$D$105,MATCH(B741,Recipes!$B$6:$B$105,0)),1),2),0))</f>
        <v/>
      </c>
      <c r="H741" s="1" t="n"/>
    </row>
    <row r="742">
      <c r="A742" s="1" t="n"/>
      <c r="B742" s="33" t="n"/>
      <c r="C742" s="33" t="n"/>
      <c r="D742" s="31" t="n"/>
      <c r="E742" s="35">
        <f>IF(C742="","",IFERROR(INDEX(Pantry!$C$6:$C$305,MATCH(C742,Pantry!$B$6:$B$305,0))&amp;"","Add to Pantry"))</f>
        <v/>
      </c>
      <c r="F742" s="25">
        <f>IF(OR(C742="",E742="Add to Pantry"),"",ROUND(N(D742)*INDEX(Pantry!$N$6:$N$305,MATCH(C742,Pantry!$B$6:$B$305,0)),2))</f>
        <v/>
      </c>
      <c r="G742" s="35">
        <f>IF(OR(B742="",C742=""),"",IFERROR(ROUND(N(D742)*N(INDEX(Recipes!$H$6:$H$105,MATCH(B742,Recipes!$B$6:$B$105,0)))/IF(N(INDEX(Recipes!$D$6:$D$105,MATCH(B742,Recipes!$B$6:$B$105,0)))&gt;0,INDEX(Recipes!$D$6:$D$105,MATCH(B742,Recipes!$B$6:$B$105,0)),1),2),0))</f>
        <v/>
      </c>
      <c r="H742" s="1" t="n"/>
    </row>
    <row r="743">
      <c r="A743" s="1" t="n"/>
      <c r="B743" s="33" t="n"/>
      <c r="C743" s="33" t="n"/>
      <c r="D743" s="31" t="n"/>
      <c r="E743" s="35">
        <f>IF(C743="","",IFERROR(INDEX(Pantry!$C$6:$C$305,MATCH(C743,Pantry!$B$6:$B$305,0))&amp;"","Add to Pantry"))</f>
        <v/>
      </c>
      <c r="F743" s="25">
        <f>IF(OR(C743="",E743="Add to Pantry"),"",ROUND(N(D743)*INDEX(Pantry!$N$6:$N$305,MATCH(C743,Pantry!$B$6:$B$305,0)),2))</f>
        <v/>
      </c>
      <c r="G743" s="35">
        <f>IF(OR(B743="",C743=""),"",IFERROR(ROUND(N(D743)*N(INDEX(Recipes!$H$6:$H$105,MATCH(B743,Recipes!$B$6:$B$105,0)))/IF(N(INDEX(Recipes!$D$6:$D$105,MATCH(B743,Recipes!$B$6:$B$105,0)))&gt;0,INDEX(Recipes!$D$6:$D$105,MATCH(B743,Recipes!$B$6:$B$105,0)),1),2),0))</f>
        <v/>
      </c>
      <c r="H743" s="1" t="n"/>
    </row>
    <row r="744">
      <c r="A744" s="1" t="n"/>
      <c r="B744" s="33" t="n"/>
      <c r="C744" s="33" t="n"/>
      <c r="D744" s="31" t="n"/>
      <c r="E744" s="35">
        <f>IF(C744="","",IFERROR(INDEX(Pantry!$C$6:$C$305,MATCH(C744,Pantry!$B$6:$B$305,0))&amp;"","Add to Pantry"))</f>
        <v/>
      </c>
      <c r="F744" s="25">
        <f>IF(OR(C744="",E744="Add to Pantry"),"",ROUND(N(D744)*INDEX(Pantry!$N$6:$N$305,MATCH(C744,Pantry!$B$6:$B$305,0)),2))</f>
        <v/>
      </c>
      <c r="G744" s="35">
        <f>IF(OR(B744="",C744=""),"",IFERROR(ROUND(N(D744)*N(INDEX(Recipes!$H$6:$H$105,MATCH(B744,Recipes!$B$6:$B$105,0)))/IF(N(INDEX(Recipes!$D$6:$D$105,MATCH(B744,Recipes!$B$6:$B$105,0)))&gt;0,INDEX(Recipes!$D$6:$D$105,MATCH(B744,Recipes!$B$6:$B$105,0)),1),2),0))</f>
        <v/>
      </c>
      <c r="H744" s="1" t="n"/>
    </row>
    <row r="745">
      <c r="A745" s="1" t="n"/>
      <c r="B745" s="33" t="n"/>
      <c r="C745" s="33" t="n"/>
      <c r="D745" s="31" t="n"/>
      <c r="E745" s="35">
        <f>IF(C745="","",IFERROR(INDEX(Pantry!$C$6:$C$305,MATCH(C745,Pantry!$B$6:$B$305,0))&amp;"","Add to Pantry"))</f>
        <v/>
      </c>
      <c r="F745" s="25">
        <f>IF(OR(C745="",E745="Add to Pantry"),"",ROUND(N(D745)*INDEX(Pantry!$N$6:$N$305,MATCH(C745,Pantry!$B$6:$B$305,0)),2))</f>
        <v/>
      </c>
      <c r="G745" s="35">
        <f>IF(OR(B745="",C745=""),"",IFERROR(ROUND(N(D745)*N(INDEX(Recipes!$H$6:$H$105,MATCH(B745,Recipes!$B$6:$B$105,0)))/IF(N(INDEX(Recipes!$D$6:$D$105,MATCH(B745,Recipes!$B$6:$B$105,0)))&gt;0,INDEX(Recipes!$D$6:$D$105,MATCH(B745,Recipes!$B$6:$B$105,0)),1),2),0))</f>
        <v/>
      </c>
      <c r="H745" s="1" t="n"/>
    </row>
    <row r="746">
      <c r="A746" s="1" t="n"/>
      <c r="B746" s="33" t="n"/>
      <c r="C746" s="33" t="n"/>
      <c r="D746" s="31" t="n"/>
      <c r="E746" s="35">
        <f>IF(C746="","",IFERROR(INDEX(Pantry!$C$6:$C$305,MATCH(C746,Pantry!$B$6:$B$305,0))&amp;"","Add to Pantry"))</f>
        <v/>
      </c>
      <c r="F746" s="25">
        <f>IF(OR(C746="",E746="Add to Pantry"),"",ROUND(N(D746)*INDEX(Pantry!$N$6:$N$305,MATCH(C746,Pantry!$B$6:$B$305,0)),2))</f>
        <v/>
      </c>
      <c r="G746" s="35">
        <f>IF(OR(B746="",C746=""),"",IFERROR(ROUND(N(D746)*N(INDEX(Recipes!$H$6:$H$105,MATCH(B746,Recipes!$B$6:$B$105,0)))/IF(N(INDEX(Recipes!$D$6:$D$105,MATCH(B746,Recipes!$B$6:$B$105,0)))&gt;0,INDEX(Recipes!$D$6:$D$105,MATCH(B746,Recipes!$B$6:$B$105,0)),1),2),0))</f>
        <v/>
      </c>
      <c r="H746" s="1" t="n"/>
    </row>
    <row r="747">
      <c r="A747" s="1" t="n"/>
      <c r="B747" s="33" t="n"/>
      <c r="C747" s="33" t="n"/>
      <c r="D747" s="31" t="n"/>
      <c r="E747" s="35">
        <f>IF(C747="","",IFERROR(INDEX(Pantry!$C$6:$C$305,MATCH(C747,Pantry!$B$6:$B$305,0))&amp;"","Add to Pantry"))</f>
        <v/>
      </c>
      <c r="F747" s="25">
        <f>IF(OR(C747="",E747="Add to Pantry"),"",ROUND(N(D747)*INDEX(Pantry!$N$6:$N$305,MATCH(C747,Pantry!$B$6:$B$305,0)),2))</f>
        <v/>
      </c>
      <c r="G747" s="35">
        <f>IF(OR(B747="",C747=""),"",IFERROR(ROUND(N(D747)*N(INDEX(Recipes!$H$6:$H$105,MATCH(B747,Recipes!$B$6:$B$105,0)))/IF(N(INDEX(Recipes!$D$6:$D$105,MATCH(B747,Recipes!$B$6:$B$105,0)))&gt;0,INDEX(Recipes!$D$6:$D$105,MATCH(B747,Recipes!$B$6:$B$105,0)),1),2),0))</f>
        <v/>
      </c>
      <c r="H747" s="1" t="n"/>
    </row>
    <row r="748">
      <c r="A748" s="1" t="n"/>
      <c r="B748" s="33" t="n"/>
      <c r="C748" s="33" t="n"/>
      <c r="D748" s="31" t="n"/>
      <c r="E748" s="35">
        <f>IF(C748="","",IFERROR(INDEX(Pantry!$C$6:$C$305,MATCH(C748,Pantry!$B$6:$B$305,0))&amp;"","Add to Pantry"))</f>
        <v/>
      </c>
      <c r="F748" s="25">
        <f>IF(OR(C748="",E748="Add to Pantry"),"",ROUND(N(D748)*INDEX(Pantry!$N$6:$N$305,MATCH(C748,Pantry!$B$6:$B$305,0)),2))</f>
        <v/>
      </c>
      <c r="G748" s="35">
        <f>IF(OR(B748="",C748=""),"",IFERROR(ROUND(N(D748)*N(INDEX(Recipes!$H$6:$H$105,MATCH(B748,Recipes!$B$6:$B$105,0)))/IF(N(INDEX(Recipes!$D$6:$D$105,MATCH(B748,Recipes!$B$6:$B$105,0)))&gt;0,INDEX(Recipes!$D$6:$D$105,MATCH(B748,Recipes!$B$6:$B$105,0)),1),2),0))</f>
        <v/>
      </c>
      <c r="H748" s="1" t="n"/>
    </row>
    <row r="749">
      <c r="A749" s="1" t="n"/>
      <c r="B749" s="33" t="n"/>
      <c r="C749" s="33" t="n"/>
      <c r="D749" s="31" t="n"/>
      <c r="E749" s="35">
        <f>IF(C749="","",IFERROR(INDEX(Pantry!$C$6:$C$305,MATCH(C749,Pantry!$B$6:$B$305,0))&amp;"","Add to Pantry"))</f>
        <v/>
      </c>
      <c r="F749" s="25">
        <f>IF(OR(C749="",E749="Add to Pantry"),"",ROUND(N(D749)*INDEX(Pantry!$N$6:$N$305,MATCH(C749,Pantry!$B$6:$B$305,0)),2))</f>
        <v/>
      </c>
      <c r="G749" s="35">
        <f>IF(OR(B749="",C749=""),"",IFERROR(ROUND(N(D749)*N(INDEX(Recipes!$H$6:$H$105,MATCH(B749,Recipes!$B$6:$B$105,0)))/IF(N(INDEX(Recipes!$D$6:$D$105,MATCH(B749,Recipes!$B$6:$B$105,0)))&gt;0,INDEX(Recipes!$D$6:$D$105,MATCH(B749,Recipes!$B$6:$B$105,0)),1),2),0))</f>
        <v/>
      </c>
      <c r="H749" s="1" t="n"/>
    </row>
    <row r="750">
      <c r="A750" s="1" t="n"/>
      <c r="B750" s="33" t="n"/>
      <c r="C750" s="33" t="n"/>
      <c r="D750" s="31" t="n"/>
      <c r="E750" s="35">
        <f>IF(C750="","",IFERROR(INDEX(Pantry!$C$6:$C$305,MATCH(C750,Pantry!$B$6:$B$305,0))&amp;"","Add to Pantry"))</f>
        <v/>
      </c>
      <c r="F750" s="25">
        <f>IF(OR(C750="",E750="Add to Pantry"),"",ROUND(N(D750)*INDEX(Pantry!$N$6:$N$305,MATCH(C750,Pantry!$B$6:$B$305,0)),2))</f>
        <v/>
      </c>
      <c r="G750" s="35">
        <f>IF(OR(B750="",C750=""),"",IFERROR(ROUND(N(D750)*N(INDEX(Recipes!$H$6:$H$105,MATCH(B750,Recipes!$B$6:$B$105,0)))/IF(N(INDEX(Recipes!$D$6:$D$105,MATCH(B750,Recipes!$B$6:$B$105,0)))&gt;0,INDEX(Recipes!$D$6:$D$105,MATCH(B750,Recipes!$B$6:$B$105,0)),1),2),0))</f>
        <v/>
      </c>
      <c r="H750" s="1" t="n"/>
    </row>
    <row r="751">
      <c r="A751" s="1" t="n"/>
      <c r="B751" s="33" t="n"/>
      <c r="C751" s="33" t="n"/>
      <c r="D751" s="31" t="n"/>
      <c r="E751" s="35">
        <f>IF(C751="","",IFERROR(INDEX(Pantry!$C$6:$C$305,MATCH(C751,Pantry!$B$6:$B$305,0))&amp;"","Add to Pantry"))</f>
        <v/>
      </c>
      <c r="F751" s="25">
        <f>IF(OR(C751="",E751="Add to Pantry"),"",ROUND(N(D751)*INDEX(Pantry!$N$6:$N$305,MATCH(C751,Pantry!$B$6:$B$305,0)),2))</f>
        <v/>
      </c>
      <c r="G751" s="35">
        <f>IF(OR(B751="",C751=""),"",IFERROR(ROUND(N(D751)*N(INDEX(Recipes!$H$6:$H$105,MATCH(B751,Recipes!$B$6:$B$105,0)))/IF(N(INDEX(Recipes!$D$6:$D$105,MATCH(B751,Recipes!$B$6:$B$105,0)))&gt;0,INDEX(Recipes!$D$6:$D$105,MATCH(B751,Recipes!$B$6:$B$105,0)),1),2),0))</f>
        <v/>
      </c>
      <c r="H751" s="1" t="n"/>
    </row>
    <row r="752">
      <c r="A752" s="1" t="n"/>
      <c r="B752" s="33" t="n"/>
      <c r="C752" s="33" t="n"/>
      <c r="D752" s="31" t="n"/>
      <c r="E752" s="35">
        <f>IF(C752="","",IFERROR(INDEX(Pantry!$C$6:$C$305,MATCH(C752,Pantry!$B$6:$B$305,0))&amp;"","Add to Pantry"))</f>
        <v/>
      </c>
      <c r="F752" s="25">
        <f>IF(OR(C752="",E752="Add to Pantry"),"",ROUND(N(D752)*INDEX(Pantry!$N$6:$N$305,MATCH(C752,Pantry!$B$6:$B$305,0)),2))</f>
        <v/>
      </c>
      <c r="G752" s="35">
        <f>IF(OR(B752="",C752=""),"",IFERROR(ROUND(N(D752)*N(INDEX(Recipes!$H$6:$H$105,MATCH(B752,Recipes!$B$6:$B$105,0)))/IF(N(INDEX(Recipes!$D$6:$D$105,MATCH(B752,Recipes!$B$6:$B$105,0)))&gt;0,INDEX(Recipes!$D$6:$D$105,MATCH(B752,Recipes!$B$6:$B$105,0)),1),2),0))</f>
        <v/>
      </c>
      <c r="H752" s="1" t="n"/>
    </row>
    <row r="753">
      <c r="A753" s="1" t="n"/>
      <c r="B753" s="33" t="n"/>
      <c r="C753" s="33" t="n"/>
      <c r="D753" s="31" t="n"/>
      <c r="E753" s="35">
        <f>IF(C753="","",IFERROR(INDEX(Pantry!$C$6:$C$305,MATCH(C753,Pantry!$B$6:$B$305,0))&amp;"","Add to Pantry"))</f>
        <v/>
      </c>
      <c r="F753" s="25">
        <f>IF(OR(C753="",E753="Add to Pantry"),"",ROUND(N(D753)*INDEX(Pantry!$N$6:$N$305,MATCH(C753,Pantry!$B$6:$B$305,0)),2))</f>
        <v/>
      </c>
      <c r="G753" s="35">
        <f>IF(OR(B753="",C753=""),"",IFERROR(ROUND(N(D753)*N(INDEX(Recipes!$H$6:$H$105,MATCH(B753,Recipes!$B$6:$B$105,0)))/IF(N(INDEX(Recipes!$D$6:$D$105,MATCH(B753,Recipes!$B$6:$B$105,0)))&gt;0,INDEX(Recipes!$D$6:$D$105,MATCH(B753,Recipes!$B$6:$B$105,0)),1),2),0))</f>
        <v/>
      </c>
      <c r="H753" s="1" t="n"/>
    </row>
    <row r="754">
      <c r="A754" s="1" t="n"/>
      <c r="B754" s="33" t="n"/>
      <c r="C754" s="33" t="n"/>
      <c r="D754" s="31" t="n"/>
      <c r="E754" s="35">
        <f>IF(C754="","",IFERROR(INDEX(Pantry!$C$6:$C$305,MATCH(C754,Pantry!$B$6:$B$305,0))&amp;"","Add to Pantry"))</f>
        <v/>
      </c>
      <c r="F754" s="25">
        <f>IF(OR(C754="",E754="Add to Pantry"),"",ROUND(N(D754)*INDEX(Pantry!$N$6:$N$305,MATCH(C754,Pantry!$B$6:$B$305,0)),2))</f>
        <v/>
      </c>
      <c r="G754" s="35">
        <f>IF(OR(B754="",C754=""),"",IFERROR(ROUND(N(D754)*N(INDEX(Recipes!$H$6:$H$105,MATCH(B754,Recipes!$B$6:$B$105,0)))/IF(N(INDEX(Recipes!$D$6:$D$105,MATCH(B754,Recipes!$B$6:$B$105,0)))&gt;0,INDEX(Recipes!$D$6:$D$105,MATCH(B754,Recipes!$B$6:$B$105,0)),1),2),0))</f>
        <v/>
      </c>
      <c r="H754" s="1" t="n"/>
    </row>
    <row r="755">
      <c r="A755" s="1" t="n"/>
      <c r="B755" s="33" t="n"/>
      <c r="C755" s="33" t="n"/>
      <c r="D755" s="31" t="n"/>
      <c r="E755" s="35">
        <f>IF(C755="","",IFERROR(INDEX(Pantry!$C$6:$C$305,MATCH(C755,Pantry!$B$6:$B$305,0))&amp;"","Add to Pantry"))</f>
        <v/>
      </c>
      <c r="F755" s="25">
        <f>IF(OR(C755="",E755="Add to Pantry"),"",ROUND(N(D755)*INDEX(Pantry!$N$6:$N$305,MATCH(C755,Pantry!$B$6:$B$305,0)),2))</f>
        <v/>
      </c>
      <c r="G755" s="35">
        <f>IF(OR(B755="",C755=""),"",IFERROR(ROUND(N(D755)*N(INDEX(Recipes!$H$6:$H$105,MATCH(B755,Recipes!$B$6:$B$105,0)))/IF(N(INDEX(Recipes!$D$6:$D$105,MATCH(B755,Recipes!$B$6:$B$105,0)))&gt;0,INDEX(Recipes!$D$6:$D$105,MATCH(B755,Recipes!$B$6:$B$105,0)),1),2),0))</f>
        <v/>
      </c>
      <c r="H755" s="1" t="n"/>
    </row>
    <row r="756">
      <c r="A756" s="1" t="n"/>
      <c r="B756" s="33" t="n"/>
      <c r="C756" s="33" t="n"/>
      <c r="D756" s="31" t="n"/>
      <c r="E756" s="35">
        <f>IF(C756="","",IFERROR(INDEX(Pantry!$C$6:$C$305,MATCH(C756,Pantry!$B$6:$B$305,0))&amp;"","Add to Pantry"))</f>
        <v/>
      </c>
      <c r="F756" s="25">
        <f>IF(OR(C756="",E756="Add to Pantry"),"",ROUND(N(D756)*INDEX(Pantry!$N$6:$N$305,MATCH(C756,Pantry!$B$6:$B$305,0)),2))</f>
        <v/>
      </c>
      <c r="G756" s="35">
        <f>IF(OR(B756="",C756=""),"",IFERROR(ROUND(N(D756)*N(INDEX(Recipes!$H$6:$H$105,MATCH(B756,Recipes!$B$6:$B$105,0)))/IF(N(INDEX(Recipes!$D$6:$D$105,MATCH(B756,Recipes!$B$6:$B$105,0)))&gt;0,INDEX(Recipes!$D$6:$D$105,MATCH(B756,Recipes!$B$6:$B$105,0)),1),2),0))</f>
        <v/>
      </c>
      <c r="H756" s="1" t="n"/>
    </row>
    <row r="757">
      <c r="A757" s="1" t="n"/>
      <c r="B757" s="33" t="n"/>
      <c r="C757" s="33" t="n"/>
      <c r="D757" s="31" t="n"/>
      <c r="E757" s="35">
        <f>IF(C757="","",IFERROR(INDEX(Pantry!$C$6:$C$305,MATCH(C757,Pantry!$B$6:$B$305,0))&amp;"","Add to Pantry"))</f>
        <v/>
      </c>
      <c r="F757" s="25">
        <f>IF(OR(C757="",E757="Add to Pantry"),"",ROUND(N(D757)*INDEX(Pantry!$N$6:$N$305,MATCH(C757,Pantry!$B$6:$B$305,0)),2))</f>
        <v/>
      </c>
      <c r="G757" s="35">
        <f>IF(OR(B757="",C757=""),"",IFERROR(ROUND(N(D757)*N(INDEX(Recipes!$H$6:$H$105,MATCH(B757,Recipes!$B$6:$B$105,0)))/IF(N(INDEX(Recipes!$D$6:$D$105,MATCH(B757,Recipes!$B$6:$B$105,0)))&gt;0,INDEX(Recipes!$D$6:$D$105,MATCH(B757,Recipes!$B$6:$B$105,0)),1),2),0))</f>
        <v/>
      </c>
      <c r="H757" s="1" t="n"/>
    </row>
    <row r="758">
      <c r="A758" s="1" t="n"/>
      <c r="B758" s="33" t="n"/>
      <c r="C758" s="33" t="n"/>
      <c r="D758" s="31" t="n"/>
      <c r="E758" s="35">
        <f>IF(C758="","",IFERROR(INDEX(Pantry!$C$6:$C$305,MATCH(C758,Pantry!$B$6:$B$305,0))&amp;"","Add to Pantry"))</f>
        <v/>
      </c>
      <c r="F758" s="25">
        <f>IF(OR(C758="",E758="Add to Pantry"),"",ROUND(N(D758)*INDEX(Pantry!$N$6:$N$305,MATCH(C758,Pantry!$B$6:$B$305,0)),2))</f>
        <v/>
      </c>
      <c r="G758" s="35">
        <f>IF(OR(B758="",C758=""),"",IFERROR(ROUND(N(D758)*N(INDEX(Recipes!$H$6:$H$105,MATCH(B758,Recipes!$B$6:$B$105,0)))/IF(N(INDEX(Recipes!$D$6:$D$105,MATCH(B758,Recipes!$B$6:$B$105,0)))&gt;0,INDEX(Recipes!$D$6:$D$105,MATCH(B758,Recipes!$B$6:$B$105,0)),1),2),0))</f>
        <v/>
      </c>
      <c r="H758" s="1" t="n"/>
    </row>
    <row r="759">
      <c r="A759" s="1" t="n"/>
      <c r="B759" s="33" t="n"/>
      <c r="C759" s="33" t="n"/>
      <c r="D759" s="31" t="n"/>
      <c r="E759" s="35">
        <f>IF(C759="","",IFERROR(INDEX(Pantry!$C$6:$C$305,MATCH(C759,Pantry!$B$6:$B$305,0))&amp;"","Add to Pantry"))</f>
        <v/>
      </c>
      <c r="F759" s="25">
        <f>IF(OR(C759="",E759="Add to Pantry"),"",ROUND(N(D759)*INDEX(Pantry!$N$6:$N$305,MATCH(C759,Pantry!$B$6:$B$305,0)),2))</f>
        <v/>
      </c>
      <c r="G759" s="35">
        <f>IF(OR(B759="",C759=""),"",IFERROR(ROUND(N(D759)*N(INDEX(Recipes!$H$6:$H$105,MATCH(B759,Recipes!$B$6:$B$105,0)))/IF(N(INDEX(Recipes!$D$6:$D$105,MATCH(B759,Recipes!$B$6:$B$105,0)))&gt;0,INDEX(Recipes!$D$6:$D$105,MATCH(B759,Recipes!$B$6:$B$105,0)),1),2),0))</f>
        <v/>
      </c>
      <c r="H759" s="1" t="n"/>
    </row>
    <row r="760">
      <c r="A760" s="1" t="n"/>
      <c r="B760" s="33" t="n"/>
      <c r="C760" s="33" t="n"/>
      <c r="D760" s="31" t="n"/>
      <c r="E760" s="35">
        <f>IF(C760="","",IFERROR(INDEX(Pantry!$C$6:$C$305,MATCH(C760,Pantry!$B$6:$B$305,0))&amp;"","Add to Pantry"))</f>
        <v/>
      </c>
      <c r="F760" s="25">
        <f>IF(OR(C760="",E760="Add to Pantry"),"",ROUND(N(D760)*INDEX(Pantry!$N$6:$N$305,MATCH(C760,Pantry!$B$6:$B$305,0)),2))</f>
        <v/>
      </c>
      <c r="G760" s="35">
        <f>IF(OR(B760="",C760=""),"",IFERROR(ROUND(N(D760)*N(INDEX(Recipes!$H$6:$H$105,MATCH(B760,Recipes!$B$6:$B$105,0)))/IF(N(INDEX(Recipes!$D$6:$D$105,MATCH(B760,Recipes!$B$6:$B$105,0)))&gt;0,INDEX(Recipes!$D$6:$D$105,MATCH(B760,Recipes!$B$6:$B$105,0)),1),2),0))</f>
        <v/>
      </c>
      <c r="H760" s="1" t="n"/>
    </row>
    <row r="761">
      <c r="A761" s="1" t="n"/>
      <c r="B761" s="33" t="n"/>
      <c r="C761" s="33" t="n"/>
      <c r="D761" s="31" t="n"/>
      <c r="E761" s="35">
        <f>IF(C761="","",IFERROR(INDEX(Pantry!$C$6:$C$305,MATCH(C761,Pantry!$B$6:$B$305,0))&amp;"","Add to Pantry"))</f>
        <v/>
      </c>
      <c r="F761" s="25">
        <f>IF(OR(C761="",E761="Add to Pantry"),"",ROUND(N(D761)*INDEX(Pantry!$N$6:$N$305,MATCH(C761,Pantry!$B$6:$B$305,0)),2))</f>
        <v/>
      </c>
      <c r="G761" s="35">
        <f>IF(OR(B761="",C761=""),"",IFERROR(ROUND(N(D761)*N(INDEX(Recipes!$H$6:$H$105,MATCH(B761,Recipes!$B$6:$B$105,0)))/IF(N(INDEX(Recipes!$D$6:$D$105,MATCH(B761,Recipes!$B$6:$B$105,0)))&gt;0,INDEX(Recipes!$D$6:$D$105,MATCH(B761,Recipes!$B$6:$B$105,0)),1),2),0))</f>
        <v/>
      </c>
      <c r="H761" s="1" t="n"/>
    </row>
    <row r="762">
      <c r="A762" s="1" t="n"/>
      <c r="B762" s="33" t="n"/>
      <c r="C762" s="33" t="n"/>
      <c r="D762" s="31" t="n"/>
      <c r="E762" s="35">
        <f>IF(C762="","",IFERROR(INDEX(Pantry!$C$6:$C$305,MATCH(C762,Pantry!$B$6:$B$305,0))&amp;"","Add to Pantry"))</f>
        <v/>
      </c>
      <c r="F762" s="25">
        <f>IF(OR(C762="",E762="Add to Pantry"),"",ROUND(N(D762)*INDEX(Pantry!$N$6:$N$305,MATCH(C762,Pantry!$B$6:$B$305,0)),2))</f>
        <v/>
      </c>
      <c r="G762" s="35">
        <f>IF(OR(B762="",C762=""),"",IFERROR(ROUND(N(D762)*N(INDEX(Recipes!$H$6:$H$105,MATCH(B762,Recipes!$B$6:$B$105,0)))/IF(N(INDEX(Recipes!$D$6:$D$105,MATCH(B762,Recipes!$B$6:$B$105,0)))&gt;0,INDEX(Recipes!$D$6:$D$105,MATCH(B762,Recipes!$B$6:$B$105,0)),1),2),0))</f>
        <v/>
      </c>
      <c r="H762" s="1" t="n"/>
    </row>
    <row r="763">
      <c r="A763" s="1" t="n"/>
      <c r="B763" s="33" t="n"/>
      <c r="C763" s="33" t="n"/>
      <c r="D763" s="31" t="n"/>
      <c r="E763" s="35">
        <f>IF(C763="","",IFERROR(INDEX(Pantry!$C$6:$C$305,MATCH(C763,Pantry!$B$6:$B$305,0))&amp;"","Add to Pantry"))</f>
        <v/>
      </c>
      <c r="F763" s="25">
        <f>IF(OR(C763="",E763="Add to Pantry"),"",ROUND(N(D763)*INDEX(Pantry!$N$6:$N$305,MATCH(C763,Pantry!$B$6:$B$305,0)),2))</f>
        <v/>
      </c>
      <c r="G763" s="35">
        <f>IF(OR(B763="",C763=""),"",IFERROR(ROUND(N(D763)*N(INDEX(Recipes!$H$6:$H$105,MATCH(B763,Recipes!$B$6:$B$105,0)))/IF(N(INDEX(Recipes!$D$6:$D$105,MATCH(B763,Recipes!$B$6:$B$105,0)))&gt;0,INDEX(Recipes!$D$6:$D$105,MATCH(B763,Recipes!$B$6:$B$105,0)),1),2),0))</f>
        <v/>
      </c>
      <c r="H763" s="1" t="n"/>
    </row>
    <row r="764">
      <c r="A764" s="1" t="n"/>
      <c r="B764" s="33" t="n"/>
      <c r="C764" s="33" t="n"/>
      <c r="D764" s="31" t="n"/>
      <c r="E764" s="35">
        <f>IF(C764="","",IFERROR(INDEX(Pantry!$C$6:$C$305,MATCH(C764,Pantry!$B$6:$B$305,0))&amp;"","Add to Pantry"))</f>
        <v/>
      </c>
      <c r="F764" s="25">
        <f>IF(OR(C764="",E764="Add to Pantry"),"",ROUND(N(D764)*INDEX(Pantry!$N$6:$N$305,MATCH(C764,Pantry!$B$6:$B$305,0)),2))</f>
        <v/>
      </c>
      <c r="G764" s="35">
        <f>IF(OR(B764="",C764=""),"",IFERROR(ROUND(N(D764)*N(INDEX(Recipes!$H$6:$H$105,MATCH(B764,Recipes!$B$6:$B$105,0)))/IF(N(INDEX(Recipes!$D$6:$D$105,MATCH(B764,Recipes!$B$6:$B$105,0)))&gt;0,INDEX(Recipes!$D$6:$D$105,MATCH(B764,Recipes!$B$6:$B$105,0)),1),2),0))</f>
        <v/>
      </c>
      <c r="H764" s="1" t="n"/>
    </row>
    <row r="765">
      <c r="A765" s="1" t="n"/>
      <c r="B765" s="33" t="n"/>
      <c r="C765" s="33" t="n"/>
      <c r="D765" s="31" t="n"/>
      <c r="E765" s="35">
        <f>IF(C765="","",IFERROR(INDEX(Pantry!$C$6:$C$305,MATCH(C765,Pantry!$B$6:$B$305,0))&amp;"","Add to Pantry"))</f>
        <v/>
      </c>
      <c r="F765" s="25">
        <f>IF(OR(C765="",E765="Add to Pantry"),"",ROUND(N(D765)*INDEX(Pantry!$N$6:$N$305,MATCH(C765,Pantry!$B$6:$B$305,0)),2))</f>
        <v/>
      </c>
      <c r="G765" s="35">
        <f>IF(OR(B765="",C765=""),"",IFERROR(ROUND(N(D765)*N(INDEX(Recipes!$H$6:$H$105,MATCH(B765,Recipes!$B$6:$B$105,0)))/IF(N(INDEX(Recipes!$D$6:$D$105,MATCH(B765,Recipes!$B$6:$B$105,0)))&gt;0,INDEX(Recipes!$D$6:$D$105,MATCH(B765,Recipes!$B$6:$B$105,0)),1),2),0))</f>
        <v/>
      </c>
      <c r="H765" s="1" t="n"/>
    </row>
    <row r="766">
      <c r="A766" s="1" t="n"/>
      <c r="B766" s="33" t="n"/>
      <c r="C766" s="33" t="n"/>
      <c r="D766" s="31" t="n"/>
      <c r="E766" s="35">
        <f>IF(C766="","",IFERROR(INDEX(Pantry!$C$6:$C$305,MATCH(C766,Pantry!$B$6:$B$305,0))&amp;"","Add to Pantry"))</f>
        <v/>
      </c>
      <c r="F766" s="25">
        <f>IF(OR(C766="",E766="Add to Pantry"),"",ROUND(N(D766)*INDEX(Pantry!$N$6:$N$305,MATCH(C766,Pantry!$B$6:$B$305,0)),2))</f>
        <v/>
      </c>
      <c r="G766" s="35">
        <f>IF(OR(B766="",C766=""),"",IFERROR(ROUND(N(D766)*N(INDEX(Recipes!$H$6:$H$105,MATCH(B766,Recipes!$B$6:$B$105,0)))/IF(N(INDEX(Recipes!$D$6:$D$105,MATCH(B766,Recipes!$B$6:$B$105,0)))&gt;0,INDEX(Recipes!$D$6:$D$105,MATCH(B766,Recipes!$B$6:$B$105,0)),1),2),0))</f>
        <v/>
      </c>
      <c r="H766" s="1" t="n"/>
    </row>
    <row r="767">
      <c r="A767" s="1" t="n"/>
      <c r="B767" s="33" t="n"/>
      <c r="C767" s="33" t="n"/>
      <c r="D767" s="31" t="n"/>
      <c r="E767" s="35">
        <f>IF(C767="","",IFERROR(INDEX(Pantry!$C$6:$C$305,MATCH(C767,Pantry!$B$6:$B$305,0))&amp;"","Add to Pantry"))</f>
        <v/>
      </c>
      <c r="F767" s="25">
        <f>IF(OR(C767="",E767="Add to Pantry"),"",ROUND(N(D767)*INDEX(Pantry!$N$6:$N$305,MATCH(C767,Pantry!$B$6:$B$305,0)),2))</f>
        <v/>
      </c>
      <c r="G767" s="35">
        <f>IF(OR(B767="",C767=""),"",IFERROR(ROUND(N(D767)*N(INDEX(Recipes!$H$6:$H$105,MATCH(B767,Recipes!$B$6:$B$105,0)))/IF(N(INDEX(Recipes!$D$6:$D$105,MATCH(B767,Recipes!$B$6:$B$105,0)))&gt;0,INDEX(Recipes!$D$6:$D$105,MATCH(B767,Recipes!$B$6:$B$105,0)),1),2),0))</f>
        <v/>
      </c>
      <c r="H767" s="1" t="n"/>
    </row>
    <row r="768">
      <c r="A768" s="1" t="n"/>
      <c r="B768" s="33" t="n"/>
      <c r="C768" s="33" t="n"/>
      <c r="D768" s="31" t="n"/>
      <c r="E768" s="35">
        <f>IF(C768="","",IFERROR(INDEX(Pantry!$C$6:$C$305,MATCH(C768,Pantry!$B$6:$B$305,0))&amp;"","Add to Pantry"))</f>
        <v/>
      </c>
      <c r="F768" s="25">
        <f>IF(OR(C768="",E768="Add to Pantry"),"",ROUND(N(D768)*INDEX(Pantry!$N$6:$N$305,MATCH(C768,Pantry!$B$6:$B$305,0)),2))</f>
        <v/>
      </c>
      <c r="G768" s="35">
        <f>IF(OR(B768="",C768=""),"",IFERROR(ROUND(N(D768)*N(INDEX(Recipes!$H$6:$H$105,MATCH(B768,Recipes!$B$6:$B$105,0)))/IF(N(INDEX(Recipes!$D$6:$D$105,MATCH(B768,Recipes!$B$6:$B$105,0)))&gt;0,INDEX(Recipes!$D$6:$D$105,MATCH(B768,Recipes!$B$6:$B$105,0)),1),2),0))</f>
        <v/>
      </c>
      <c r="H768" s="1" t="n"/>
    </row>
    <row r="769">
      <c r="A769" s="1" t="n"/>
      <c r="B769" s="33" t="n"/>
      <c r="C769" s="33" t="n"/>
      <c r="D769" s="31" t="n"/>
      <c r="E769" s="35">
        <f>IF(C769="","",IFERROR(INDEX(Pantry!$C$6:$C$305,MATCH(C769,Pantry!$B$6:$B$305,0))&amp;"","Add to Pantry"))</f>
        <v/>
      </c>
      <c r="F769" s="25">
        <f>IF(OR(C769="",E769="Add to Pantry"),"",ROUND(N(D769)*INDEX(Pantry!$N$6:$N$305,MATCH(C769,Pantry!$B$6:$B$305,0)),2))</f>
        <v/>
      </c>
      <c r="G769" s="35">
        <f>IF(OR(B769="",C769=""),"",IFERROR(ROUND(N(D769)*N(INDEX(Recipes!$H$6:$H$105,MATCH(B769,Recipes!$B$6:$B$105,0)))/IF(N(INDEX(Recipes!$D$6:$D$105,MATCH(B769,Recipes!$B$6:$B$105,0)))&gt;0,INDEX(Recipes!$D$6:$D$105,MATCH(B769,Recipes!$B$6:$B$105,0)),1),2),0))</f>
        <v/>
      </c>
      <c r="H769" s="1" t="n"/>
    </row>
    <row r="770">
      <c r="A770" s="1" t="n"/>
      <c r="B770" s="33" t="n"/>
      <c r="C770" s="33" t="n"/>
      <c r="D770" s="31" t="n"/>
      <c r="E770" s="35">
        <f>IF(C770="","",IFERROR(INDEX(Pantry!$C$6:$C$305,MATCH(C770,Pantry!$B$6:$B$305,0))&amp;"","Add to Pantry"))</f>
        <v/>
      </c>
      <c r="F770" s="25">
        <f>IF(OR(C770="",E770="Add to Pantry"),"",ROUND(N(D770)*INDEX(Pantry!$N$6:$N$305,MATCH(C770,Pantry!$B$6:$B$305,0)),2))</f>
        <v/>
      </c>
      <c r="G770" s="35">
        <f>IF(OR(B770="",C770=""),"",IFERROR(ROUND(N(D770)*N(INDEX(Recipes!$H$6:$H$105,MATCH(B770,Recipes!$B$6:$B$105,0)))/IF(N(INDEX(Recipes!$D$6:$D$105,MATCH(B770,Recipes!$B$6:$B$105,0)))&gt;0,INDEX(Recipes!$D$6:$D$105,MATCH(B770,Recipes!$B$6:$B$105,0)),1),2),0))</f>
        <v/>
      </c>
      <c r="H770" s="1" t="n"/>
    </row>
    <row r="771">
      <c r="A771" s="1" t="n"/>
      <c r="B771" s="33" t="n"/>
      <c r="C771" s="33" t="n"/>
      <c r="D771" s="31" t="n"/>
      <c r="E771" s="35">
        <f>IF(C771="","",IFERROR(INDEX(Pantry!$C$6:$C$305,MATCH(C771,Pantry!$B$6:$B$305,0))&amp;"","Add to Pantry"))</f>
        <v/>
      </c>
      <c r="F771" s="25">
        <f>IF(OR(C771="",E771="Add to Pantry"),"",ROUND(N(D771)*INDEX(Pantry!$N$6:$N$305,MATCH(C771,Pantry!$B$6:$B$305,0)),2))</f>
        <v/>
      </c>
      <c r="G771" s="35">
        <f>IF(OR(B771="",C771=""),"",IFERROR(ROUND(N(D771)*N(INDEX(Recipes!$H$6:$H$105,MATCH(B771,Recipes!$B$6:$B$105,0)))/IF(N(INDEX(Recipes!$D$6:$D$105,MATCH(B771,Recipes!$B$6:$B$105,0)))&gt;0,INDEX(Recipes!$D$6:$D$105,MATCH(B771,Recipes!$B$6:$B$105,0)),1),2),0))</f>
        <v/>
      </c>
      <c r="H771" s="1" t="n"/>
    </row>
    <row r="772">
      <c r="A772" s="1" t="n"/>
      <c r="B772" s="33" t="n"/>
      <c r="C772" s="33" t="n"/>
      <c r="D772" s="31" t="n"/>
      <c r="E772" s="35">
        <f>IF(C772="","",IFERROR(INDEX(Pantry!$C$6:$C$305,MATCH(C772,Pantry!$B$6:$B$305,0))&amp;"","Add to Pantry"))</f>
        <v/>
      </c>
      <c r="F772" s="25">
        <f>IF(OR(C772="",E772="Add to Pantry"),"",ROUND(N(D772)*INDEX(Pantry!$N$6:$N$305,MATCH(C772,Pantry!$B$6:$B$305,0)),2))</f>
        <v/>
      </c>
      <c r="G772" s="35">
        <f>IF(OR(B772="",C772=""),"",IFERROR(ROUND(N(D772)*N(INDEX(Recipes!$H$6:$H$105,MATCH(B772,Recipes!$B$6:$B$105,0)))/IF(N(INDEX(Recipes!$D$6:$D$105,MATCH(B772,Recipes!$B$6:$B$105,0)))&gt;0,INDEX(Recipes!$D$6:$D$105,MATCH(B772,Recipes!$B$6:$B$105,0)),1),2),0))</f>
        <v/>
      </c>
      <c r="H772" s="1" t="n"/>
    </row>
    <row r="773">
      <c r="A773" s="1" t="n"/>
      <c r="B773" s="33" t="n"/>
      <c r="C773" s="33" t="n"/>
      <c r="D773" s="31" t="n"/>
      <c r="E773" s="35">
        <f>IF(C773="","",IFERROR(INDEX(Pantry!$C$6:$C$305,MATCH(C773,Pantry!$B$6:$B$305,0))&amp;"","Add to Pantry"))</f>
        <v/>
      </c>
      <c r="F773" s="25">
        <f>IF(OR(C773="",E773="Add to Pantry"),"",ROUND(N(D773)*INDEX(Pantry!$N$6:$N$305,MATCH(C773,Pantry!$B$6:$B$305,0)),2))</f>
        <v/>
      </c>
      <c r="G773" s="35">
        <f>IF(OR(B773="",C773=""),"",IFERROR(ROUND(N(D773)*N(INDEX(Recipes!$H$6:$H$105,MATCH(B773,Recipes!$B$6:$B$105,0)))/IF(N(INDEX(Recipes!$D$6:$D$105,MATCH(B773,Recipes!$B$6:$B$105,0)))&gt;0,INDEX(Recipes!$D$6:$D$105,MATCH(B773,Recipes!$B$6:$B$105,0)),1),2),0))</f>
        <v/>
      </c>
      <c r="H773" s="1" t="n"/>
    </row>
    <row r="774">
      <c r="A774" s="1" t="n"/>
      <c r="B774" s="33" t="n"/>
      <c r="C774" s="33" t="n"/>
      <c r="D774" s="31" t="n"/>
      <c r="E774" s="35">
        <f>IF(C774="","",IFERROR(INDEX(Pantry!$C$6:$C$305,MATCH(C774,Pantry!$B$6:$B$305,0))&amp;"","Add to Pantry"))</f>
        <v/>
      </c>
      <c r="F774" s="25">
        <f>IF(OR(C774="",E774="Add to Pantry"),"",ROUND(N(D774)*INDEX(Pantry!$N$6:$N$305,MATCH(C774,Pantry!$B$6:$B$305,0)),2))</f>
        <v/>
      </c>
      <c r="G774" s="35">
        <f>IF(OR(B774="",C774=""),"",IFERROR(ROUND(N(D774)*N(INDEX(Recipes!$H$6:$H$105,MATCH(B774,Recipes!$B$6:$B$105,0)))/IF(N(INDEX(Recipes!$D$6:$D$105,MATCH(B774,Recipes!$B$6:$B$105,0)))&gt;0,INDEX(Recipes!$D$6:$D$105,MATCH(B774,Recipes!$B$6:$B$105,0)),1),2),0))</f>
        <v/>
      </c>
      <c r="H774" s="1" t="n"/>
    </row>
    <row r="775">
      <c r="A775" s="1" t="n"/>
      <c r="B775" s="33" t="n"/>
      <c r="C775" s="33" t="n"/>
      <c r="D775" s="31" t="n"/>
      <c r="E775" s="35">
        <f>IF(C775="","",IFERROR(INDEX(Pantry!$C$6:$C$305,MATCH(C775,Pantry!$B$6:$B$305,0))&amp;"","Add to Pantry"))</f>
        <v/>
      </c>
      <c r="F775" s="25">
        <f>IF(OR(C775="",E775="Add to Pantry"),"",ROUND(N(D775)*INDEX(Pantry!$N$6:$N$305,MATCH(C775,Pantry!$B$6:$B$305,0)),2))</f>
        <v/>
      </c>
      <c r="G775" s="35">
        <f>IF(OR(B775="",C775=""),"",IFERROR(ROUND(N(D775)*N(INDEX(Recipes!$H$6:$H$105,MATCH(B775,Recipes!$B$6:$B$105,0)))/IF(N(INDEX(Recipes!$D$6:$D$105,MATCH(B775,Recipes!$B$6:$B$105,0)))&gt;0,INDEX(Recipes!$D$6:$D$105,MATCH(B775,Recipes!$B$6:$B$105,0)),1),2),0))</f>
        <v/>
      </c>
      <c r="H775" s="1" t="n"/>
    </row>
    <row r="776">
      <c r="A776" s="1" t="n"/>
      <c r="B776" s="33" t="n"/>
      <c r="C776" s="33" t="n"/>
      <c r="D776" s="31" t="n"/>
      <c r="E776" s="35">
        <f>IF(C776="","",IFERROR(INDEX(Pantry!$C$6:$C$305,MATCH(C776,Pantry!$B$6:$B$305,0))&amp;"","Add to Pantry"))</f>
        <v/>
      </c>
      <c r="F776" s="25">
        <f>IF(OR(C776="",E776="Add to Pantry"),"",ROUND(N(D776)*INDEX(Pantry!$N$6:$N$305,MATCH(C776,Pantry!$B$6:$B$305,0)),2))</f>
        <v/>
      </c>
      <c r="G776" s="35">
        <f>IF(OR(B776="",C776=""),"",IFERROR(ROUND(N(D776)*N(INDEX(Recipes!$H$6:$H$105,MATCH(B776,Recipes!$B$6:$B$105,0)))/IF(N(INDEX(Recipes!$D$6:$D$105,MATCH(B776,Recipes!$B$6:$B$105,0)))&gt;0,INDEX(Recipes!$D$6:$D$105,MATCH(B776,Recipes!$B$6:$B$105,0)),1),2),0))</f>
        <v/>
      </c>
      <c r="H776" s="1" t="n"/>
    </row>
    <row r="777">
      <c r="A777" s="1" t="n"/>
      <c r="B777" s="33" t="n"/>
      <c r="C777" s="33" t="n"/>
      <c r="D777" s="31" t="n"/>
      <c r="E777" s="35">
        <f>IF(C777="","",IFERROR(INDEX(Pantry!$C$6:$C$305,MATCH(C777,Pantry!$B$6:$B$305,0))&amp;"","Add to Pantry"))</f>
        <v/>
      </c>
      <c r="F777" s="25">
        <f>IF(OR(C777="",E777="Add to Pantry"),"",ROUND(N(D777)*INDEX(Pantry!$N$6:$N$305,MATCH(C777,Pantry!$B$6:$B$305,0)),2))</f>
        <v/>
      </c>
      <c r="G777" s="35">
        <f>IF(OR(B777="",C777=""),"",IFERROR(ROUND(N(D777)*N(INDEX(Recipes!$H$6:$H$105,MATCH(B777,Recipes!$B$6:$B$105,0)))/IF(N(INDEX(Recipes!$D$6:$D$105,MATCH(B777,Recipes!$B$6:$B$105,0)))&gt;0,INDEX(Recipes!$D$6:$D$105,MATCH(B777,Recipes!$B$6:$B$105,0)),1),2),0))</f>
        <v/>
      </c>
      <c r="H777" s="1" t="n"/>
    </row>
    <row r="778">
      <c r="A778" s="1" t="n"/>
      <c r="B778" s="33" t="n"/>
      <c r="C778" s="33" t="n"/>
      <c r="D778" s="31" t="n"/>
      <c r="E778" s="35">
        <f>IF(C778="","",IFERROR(INDEX(Pantry!$C$6:$C$305,MATCH(C778,Pantry!$B$6:$B$305,0))&amp;"","Add to Pantry"))</f>
        <v/>
      </c>
      <c r="F778" s="25">
        <f>IF(OR(C778="",E778="Add to Pantry"),"",ROUND(N(D778)*INDEX(Pantry!$N$6:$N$305,MATCH(C778,Pantry!$B$6:$B$305,0)),2))</f>
        <v/>
      </c>
      <c r="G778" s="35">
        <f>IF(OR(B778="",C778=""),"",IFERROR(ROUND(N(D778)*N(INDEX(Recipes!$H$6:$H$105,MATCH(B778,Recipes!$B$6:$B$105,0)))/IF(N(INDEX(Recipes!$D$6:$D$105,MATCH(B778,Recipes!$B$6:$B$105,0)))&gt;0,INDEX(Recipes!$D$6:$D$105,MATCH(B778,Recipes!$B$6:$B$105,0)),1),2),0))</f>
        <v/>
      </c>
      <c r="H778" s="1" t="n"/>
    </row>
    <row r="779">
      <c r="A779" s="1" t="n"/>
      <c r="B779" s="33" t="n"/>
      <c r="C779" s="33" t="n"/>
      <c r="D779" s="31" t="n"/>
      <c r="E779" s="35">
        <f>IF(C779="","",IFERROR(INDEX(Pantry!$C$6:$C$305,MATCH(C779,Pantry!$B$6:$B$305,0))&amp;"","Add to Pantry"))</f>
        <v/>
      </c>
      <c r="F779" s="25">
        <f>IF(OR(C779="",E779="Add to Pantry"),"",ROUND(N(D779)*INDEX(Pantry!$N$6:$N$305,MATCH(C779,Pantry!$B$6:$B$305,0)),2))</f>
        <v/>
      </c>
      <c r="G779" s="35">
        <f>IF(OR(B779="",C779=""),"",IFERROR(ROUND(N(D779)*N(INDEX(Recipes!$H$6:$H$105,MATCH(B779,Recipes!$B$6:$B$105,0)))/IF(N(INDEX(Recipes!$D$6:$D$105,MATCH(B779,Recipes!$B$6:$B$105,0)))&gt;0,INDEX(Recipes!$D$6:$D$105,MATCH(B779,Recipes!$B$6:$B$105,0)),1),2),0))</f>
        <v/>
      </c>
      <c r="H779" s="1" t="n"/>
    </row>
    <row r="780">
      <c r="A780" s="1" t="n"/>
      <c r="B780" s="33" t="n"/>
      <c r="C780" s="33" t="n"/>
      <c r="D780" s="31" t="n"/>
      <c r="E780" s="35">
        <f>IF(C780="","",IFERROR(INDEX(Pantry!$C$6:$C$305,MATCH(C780,Pantry!$B$6:$B$305,0))&amp;"","Add to Pantry"))</f>
        <v/>
      </c>
      <c r="F780" s="25">
        <f>IF(OR(C780="",E780="Add to Pantry"),"",ROUND(N(D780)*INDEX(Pantry!$N$6:$N$305,MATCH(C780,Pantry!$B$6:$B$305,0)),2))</f>
        <v/>
      </c>
      <c r="G780" s="35">
        <f>IF(OR(B780="",C780=""),"",IFERROR(ROUND(N(D780)*N(INDEX(Recipes!$H$6:$H$105,MATCH(B780,Recipes!$B$6:$B$105,0)))/IF(N(INDEX(Recipes!$D$6:$D$105,MATCH(B780,Recipes!$B$6:$B$105,0)))&gt;0,INDEX(Recipes!$D$6:$D$105,MATCH(B780,Recipes!$B$6:$B$105,0)),1),2),0))</f>
        <v/>
      </c>
      <c r="H780" s="1" t="n"/>
    </row>
    <row r="781">
      <c r="A781" s="1" t="n"/>
      <c r="B781" s="33" t="n"/>
      <c r="C781" s="33" t="n"/>
      <c r="D781" s="31" t="n"/>
      <c r="E781" s="35">
        <f>IF(C781="","",IFERROR(INDEX(Pantry!$C$6:$C$305,MATCH(C781,Pantry!$B$6:$B$305,0))&amp;"","Add to Pantry"))</f>
        <v/>
      </c>
      <c r="F781" s="25">
        <f>IF(OR(C781="",E781="Add to Pantry"),"",ROUND(N(D781)*INDEX(Pantry!$N$6:$N$305,MATCH(C781,Pantry!$B$6:$B$305,0)),2))</f>
        <v/>
      </c>
      <c r="G781" s="35">
        <f>IF(OR(B781="",C781=""),"",IFERROR(ROUND(N(D781)*N(INDEX(Recipes!$H$6:$H$105,MATCH(B781,Recipes!$B$6:$B$105,0)))/IF(N(INDEX(Recipes!$D$6:$D$105,MATCH(B781,Recipes!$B$6:$B$105,0)))&gt;0,INDEX(Recipes!$D$6:$D$105,MATCH(B781,Recipes!$B$6:$B$105,0)),1),2),0))</f>
        <v/>
      </c>
      <c r="H781" s="1" t="n"/>
    </row>
    <row r="782">
      <c r="A782" s="1" t="n"/>
      <c r="B782" s="33" t="n"/>
      <c r="C782" s="33" t="n"/>
      <c r="D782" s="31" t="n"/>
      <c r="E782" s="35">
        <f>IF(C782="","",IFERROR(INDEX(Pantry!$C$6:$C$305,MATCH(C782,Pantry!$B$6:$B$305,0))&amp;"","Add to Pantry"))</f>
        <v/>
      </c>
      <c r="F782" s="25">
        <f>IF(OR(C782="",E782="Add to Pantry"),"",ROUND(N(D782)*INDEX(Pantry!$N$6:$N$305,MATCH(C782,Pantry!$B$6:$B$305,0)),2))</f>
        <v/>
      </c>
      <c r="G782" s="35">
        <f>IF(OR(B782="",C782=""),"",IFERROR(ROUND(N(D782)*N(INDEX(Recipes!$H$6:$H$105,MATCH(B782,Recipes!$B$6:$B$105,0)))/IF(N(INDEX(Recipes!$D$6:$D$105,MATCH(B782,Recipes!$B$6:$B$105,0)))&gt;0,INDEX(Recipes!$D$6:$D$105,MATCH(B782,Recipes!$B$6:$B$105,0)),1),2),0))</f>
        <v/>
      </c>
      <c r="H782" s="1" t="n"/>
    </row>
    <row r="783">
      <c r="A783" s="1" t="n"/>
      <c r="B783" s="33" t="n"/>
      <c r="C783" s="33" t="n"/>
      <c r="D783" s="31" t="n"/>
      <c r="E783" s="35">
        <f>IF(C783="","",IFERROR(INDEX(Pantry!$C$6:$C$305,MATCH(C783,Pantry!$B$6:$B$305,0))&amp;"","Add to Pantry"))</f>
        <v/>
      </c>
      <c r="F783" s="25">
        <f>IF(OR(C783="",E783="Add to Pantry"),"",ROUND(N(D783)*INDEX(Pantry!$N$6:$N$305,MATCH(C783,Pantry!$B$6:$B$305,0)),2))</f>
        <v/>
      </c>
      <c r="G783" s="35">
        <f>IF(OR(B783="",C783=""),"",IFERROR(ROUND(N(D783)*N(INDEX(Recipes!$H$6:$H$105,MATCH(B783,Recipes!$B$6:$B$105,0)))/IF(N(INDEX(Recipes!$D$6:$D$105,MATCH(B783,Recipes!$B$6:$B$105,0)))&gt;0,INDEX(Recipes!$D$6:$D$105,MATCH(B783,Recipes!$B$6:$B$105,0)),1),2),0))</f>
        <v/>
      </c>
      <c r="H783" s="1" t="n"/>
    </row>
    <row r="784">
      <c r="A784" s="1" t="n"/>
      <c r="B784" s="33" t="n"/>
      <c r="C784" s="33" t="n"/>
      <c r="D784" s="31" t="n"/>
      <c r="E784" s="35">
        <f>IF(C784="","",IFERROR(INDEX(Pantry!$C$6:$C$305,MATCH(C784,Pantry!$B$6:$B$305,0))&amp;"","Add to Pantry"))</f>
        <v/>
      </c>
      <c r="F784" s="25">
        <f>IF(OR(C784="",E784="Add to Pantry"),"",ROUND(N(D784)*INDEX(Pantry!$N$6:$N$305,MATCH(C784,Pantry!$B$6:$B$305,0)),2))</f>
        <v/>
      </c>
      <c r="G784" s="35">
        <f>IF(OR(B784="",C784=""),"",IFERROR(ROUND(N(D784)*N(INDEX(Recipes!$H$6:$H$105,MATCH(B784,Recipes!$B$6:$B$105,0)))/IF(N(INDEX(Recipes!$D$6:$D$105,MATCH(B784,Recipes!$B$6:$B$105,0)))&gt;0,INDEX(Recipes!$D$6:$D$105,MATCH(B784,Recipes!$B$6:$B$105,0)),1),2),0))</f>
        <v/>
      </c>
      <c r="H784" s="1" t="n"/>
    </row>
    <row r="785">
      <c r="A785" s="1" t="n"/>
      <c r="B785" s="33" t="n"/>
      <c r="C785" s="33" t="n"/>
      <c r="D785" s="31" t="n"/>
      <c r="E785" s="35">
        <f>IF(C785="","",IFERROR(INDEX(Pantry!$C$6:$C$305,MATCH(C785,Pantry!$B$6:$B$305,0))&amp;"","Add to Pantry"))</f>
        <v/>
      </c>
      <c r="F785" s="25">
        <f>IF(OR(C785="",E785="Add to Pantry"),"",ROUND(N(D785)*INDEX(Pantry!$N$6:$N$305,MATCH(C785,Pantry!$B$6:$B$305,0)),2))</f>
        <v/>
      </c>
      <c r="G785" s="35">
        <f>IF(OR(B785="",C785=""),"",IFERROR(ROUND(N(D785)*N(INDEX(Recipes!$H$6:$H$105,MATCH(B785,Recipes!$B$6:$B$105,0)))/IF(N(INDEX(Recipes!$D$6:$D$105,MATCH(B785,Recipes!$B$6:$B$105,0)))&gt;0,INDEX(Recipes!$D$6:$D$105,MATCH(B785,Recipes!$B$6:$B$105,0)),1),2),0))</f>
        <v/>
      </c>
      <c r="H785" s="1" t="n"/>
    </row>
    <row r="786">
      <c r="A786" s="1" t="n"/>
      <c r="B786" s="33" t="n"/>
      <c r="C786" s="33" t="n"/>
      <c r="D786" s="31" t="n"/>
      <c r="E786" s="35">
        <f>IF(C786="","",IFERROR(INDEX(Pantry!$C$6:$C$305,MATCH(C786,Pantry!$B$6:$B$305,0))&amp;"","Add to Pantry"))</f>
        <v/>
      </c>
      <c r="F786" s="25">
        <f>IF(OR(C786="",E786="Add to Pantry"),"",ROUND(N(D786)*INDEX(Pantry!$N$6:$N$305,MATCH(C786,Pantry!$B$6:$B$305,0)),2))</f>
        <v/>
      </c>
      <c r="G786" s="35">
        <f>IF(OR(B786="",C786=""),"",IFERROR(ROUND(N(D786)*N(INDEX(Recipes!$H$6:$H$105,MATCH(B786,Recipes!$B$6:$B$105,0)))/IF(N(INDEX(Recipes!$D$6:$D$105,MATCH(B786,Recipes!$B$6:$B$105,0)))&gt;0,INDEX(Recipes!$D$6:$D$105,MATCH(B786,Recipes!$B$6:$B$105,0)),1),2),0))</f>
        <v/>
      </c>
      <c r="H786" s="1" t="n"/>
    </row>
    <row r="787">
      <c r="A787" s="1" t="n"/>
      <c r="B787" s="33" t="n"/>
      <c r="C787" s="33" t="n"/>
      <c r="D787" s="31" t="n"/>
      <c r="E787" s="35">
        <f>IF(C787="","",IFERROR(INDEX(Pantry!$C$6:$C$305,MATCH(C787,Pantry!$B$6:$B$305,0))&amp;"","Add to Pantry"))</f>
        <v/>
      </c>
      <c r="F787" s="25">
        <f>IF(OR(C787="",E787="Add to Pantry"),"",ROUND(N(D787)*INDEX(Pantry!$N$6:$N$305,MATCH(C787,Pantry!$B$6:$B$305,0)),2))</f>
        <v/>
      </c>
      <c r="G787" s="35">
        <f>IF(OR(B787="",C787=""),"",IFERROR(ROUND(N(D787)*N(INDEX(Recipes!$H$6:$H$105,MATCH(B787,Recipes!$B$6:$B$105,0)))/IF(N(INDEX(Recipes!$D$6:$D$105,MATCH(B787,Recipes!$B$6:$B$105,0)))&gt;0,INDEX(Recipes!$D$6:$D$105,MATCH(B787,Recipes!$B$6:$B$105,0)),1),2),0))</f>
        <v/>
      </c>
      <c r="H787" s="1" t="n"/>
    </row>
    <row r="788">
      <c r="A788" s="1" t="n"/>
      <c r="B788" s="33" t="n"/>
      <c r="C788" s="33" t="n"/>
      <c r="D788" s="31" t="n"/>
      <c r="E788" s="35">
        <f>IF(C788="","",IFERROR(INDEX(Pantry!$C$6:$C$305,MATCH(C788,Pantry!$B$6:$B$305,0))&amp;"","Add to Pantry"))</f>
        <v/>
      </c>
      <c r="F788" s="25">
        <f>IF(OR(C788="",E788="Add to Pantry"),"",ROUND(N(D788)*INDEX(Pantry!$N$6:$N$305,MATCH(C788,Pantry!$B$6:$B$305,0)),2))</f>
        <v/>
      </c>
      <c r="G788" s="35">
        <f>IF(OR(B788="",C788=""),"",IFERROR(ROUND(N(D788)*N(INDEX(Recipes!$H$6:$H$105,MATCH(B788,Recipes!$B$6:$B$105,0)))/IF(N(INDEX(Recipes!$D$6:$D$105,MATCH(B788,Recipes!$B$6:$B$105,0)))&gt;0,INDEX(Recipes!$D$6:$D$105,MATCH(B788,Recipes!$B$6:$B$105,0)),1),2),0))</f>
        <v/>
      </c>
      <c r="H788" s="1" t="n"/>
    </row>
    <row r="789">
      <c r="A789" s="1" t="n"/>
      <c r="B789" s="33" t="n"/>
      <c r="C789" s="33" t="n"/>
      <c r="D789" s="31" t="n"/>
      <c r="E789" s="35">
        <f>IF(C789="","",IFERROR(INDEX(Pantry!$C$6:$C$305,MATCH(C789,Pantry!$B$6:$B$305,0))&amp;"","Add to Pantry"))</f>
        <v/>
      </c>
      <c r="F789" s="25">
        <f>IF(OR(C789="",E789="Add to Pantry"),"",ROUND(N(D789)*INDEX(Pantry!$N$6:$N$305,MATCH(C789,Pantry!$B$6:$B$305,0)),2))</f>
        <v/>
      </c>
      <c r="G789" s="35">
        <f>IF(OR(B789="",C789=""),"",IFERROR(ROUND(N(D789)*N(INDEX(Recipes!$H$6:$H$105,MATCH(B789,Recipes!$B$6:$B$105,0)))/IF(N(INDEX(Recipes!$D$6:$D$105,MATCH(B789,Recipes!$B$6:$B$105,0)))&gt;0,INDEX(Recipes!$D$6:$D$105,MATCH(B789,Recipes!$B$6:$B$105,0)),1),2),0))</f>
        <v/>
      </c>
      <c r="H789" s="1" t="n"/>
    </row>
    <row r="790">
      <c r="A790" s="1" t="n"/>
      <c r="B790" s="33" t="n"/>
      <c r="C790" s="33" t="n"/>
      <c r="D790" s="31" t="n"/>
      <c r="E790" s="35">
        <f>IF(C790="","",IFERROR(INDEX(Pantry!$C$6:$C$305,MATCH(C790,Pantry!$B$6:$B$305,0))&amp;"","Add to Pantry"))</f>
        <v/>
      </c>
      <c r="F790" s="25">
        <f>IF(OR(C790="",E790="Add to Pantry"),"",ROUND(N(D790)*INDEX(Pantry!$N$6:$N$305,MATCH(C790,Pantry!$B$6:$B$305,0)),2))</f>
        <v/>
      </c>
      <c r="G790" s="35">
        <f>IF(OR(B790="",C790=""),"",IFERROR(ROUND(N(D790)*N(INDEX(Recipes!$H$6:$H$105,MATCH(B790,Recipes!$B$6:$B$105,0)))/IF(N(INDEX(Recipes!$D$6:$D$105,MATCH(B790,Recipes!$B$6:$B$105,0)))&gt;0,INDEX(Recipes!$D$6:$D$105,MATCH(B790,Recipes!$B$6:$B$105,0)),1),2),0))</f>
        <v/>
      </c>
      <c r="H790" s="1" t="n"/>
    </row>
    <row r="791">
      <c r="A791" s="1" t="n"/>
      <c r="B791" s="33" t="n"/>
      <c r="C791" s="33" t="n"/>
      <c r="D791" s="31" t="n"/>
      <c r="E791" s="35">
        <f>IF(C791="","",IFERROR(INDEX(Pantry!$C$6:$C$305,MATCH(C791,Pantry!$B$6:$B$305,0))&amp;"","Add to Pantry"))</f>
        <v/>
      </c>
      <c r="F791" s="25">
        <f>IF(OR(C791="",E791="Add to Pantry"),"",ROUND(N(D791)*INDEX(Pantry!$N$6:$N$305,MATCH(C791,Pantry!$B$6:$B$305,0)),2))</f>
        <v/>
      </c>
      <c r="G791" s="35">
        <f>IF(OR(B791="",C791=""),"",IFERROR(ROUND(N(D791)*N(INDEX(Recipes!$H$6:$H$105,MATCH(B791,Recipes!$B$6:$B$105,0)))/IF(N(INDEX(Recipes!$D$6:$D$105,MATCH(B791,Recipes!$B$6:$B$105,0)))&gt;0,INDEX(Recipes!$D$6:$D$105,MATCH(B791,Recipes!$B$6:$B$105,0)),1),2),0))</f>
        <v/>
      </c>
      <c r="H791" s="1" t="n"/>
    </row>
    <row r="792">
      <c r="A792" s="1" t="n"/>
      <c r="B792" s="33" t="n"/>
      <c r="C792" s="33" t="n"/>
      <c r="D792" s="31" t="n"/>
      <c r="E792" s="35">
        <f>IF(C792="","",IFERROR(INDEX(Pantry!$C$6:$C$305,MATCH(C792,Pantry!$B$6:$B$305,0))&amp;"","Add to Pantry"))</f>
        <v/>
      </c>
      <c r="F792" s="25">
        <f>IF(OR(C792="",E792="Add to Pantry"),"",ROUND(N(D792)*INDEX(Pantry!$N$6:$N$305,MATCH(C792,Pantry!$B$6:$B$305,0)),2))</f>
        <v/>
      </c>
      <c r="G792" s="35">
        <f>IF(OR(B792="",C792=""),"",IFERROR(ROUND(N(D792)*N(INDEX(Recipes!$H$6:$H$105,MATCH(B792,Recipes!$B$6:$B$105,0)))/IF(N(INDEX(Recipes!$D$6:$D$105,MATCH(B792,Recipes!$B$6:$B$105,0)))&gt;0,INDEX(Recipes!$D$6:$D$105,MATCH(B792,Recipes!$B$6:$B$105,0)),1),2),0))</f>
        <v/>
      </c>
      <c r="H792" s="1" t="n"/>
    </row>
    <row r="793">
      <c r="A793" s="1" t="n"/>
      <c r="B793" s="33" t="n"/>
      <c r="C793" s="33" t="n"/>
      <c r="D793" s="31" t="n"/>
      <c r="E793" s="35">
        <f>IF(C793="","",IFERROR(INDEX(Pantry!$C$6:$C$305,MATCH(C793,Pantry!$B$6:$B$305,0))&amp;"","Add to Pantry"))</f>
        <v/>
      </c>
      <c r="F793" s="25">
        <f>IF(OR(C793="",E793="Add to Pantry"),"",ROUND(N(D793)*INDEX(Pantry!$N$6:$N$305,MATCH(C793,Pantry!$B$6:$B$305,0)),2))</f>
        <v/>
      </c>
      <c r="G793" s="35">
        <f>IF(OR(B793="",C793=""),"",IFERROR(ROUND(N(D793)*N(INDEX(Recipes!$H$6:$H$105,MATCH(B793,Recipes!$B$6:$B$105,0)))/IF(N(INDEX(Recipes!$D$6:$D$105,MATCH(B793,Recipes!$B$6:$B$105,0)))&gt;0,INDEX(Recipes!$D$6:$D$105,MATCH(B793,Recipes!$B$6:$B$105,0)),1),2),0))</f>
        <v/>
      </c>
      <c r="H793" s="1" t="n"/>
    </row>
    <row r="794">
      <c r="A794" s="1" t="n"/>
      <c r="B794" s="33" t="n"/>
      <c r="C794" s="33" t="n"/>
      <c r="D794" s="31" t="n"/>
      <c r="E794" s="35">
        <f>IF(C794="","",IFERROR(INDEX(Pantry!$C$6:$C$305,MATCH(C794,Pantry!$B$6:$B$305,0))&amp;"","Add to Pantry"))</f>
        <v/>
      </c>
      <c r="F794" s="25">
        <f>IF(OR(C794="",E794="Add to Pantry"),"",ROUND(N(D794)*INDEX(Pantry!$N$6:$N$305,MATCH(C794,Pantry!$B$6:$B$305,0)),2))</f>
        <v/>
      </c>
      <c r="G794" s="35">
        <f>IF(OR(B794="",C794=""),"",IFERROR(ROUND(N(D794)*N(INDEX(Recipes!$H$6:$H$105,MATCH(B794,Recipes!$B$6:$B$105,0)))/IF(N(INDEX(Recipes!$D$6:$D$105,MATCH(B794,Recipes!$B$6:$B$105,0)))&gt;0,INDEX(Recipes!$D$6:$D$105,MATCH(B794,Recipes!$B$6:$B$105,0)),1),2),0))</f>
        <v/>
      </c>
      <c r="H794" s="1" t="n"/>
    </row>
    <row r="795">
      <c r="A795" s="1" t="n"/>
      <c r="B795" s="33" t="n"/>
      <c r="C795" s="33" t="n"/>
      <c r="D795" s="31" t="n"/>
      <c r="E795" s="35">
        <f>IF(C795="","",IFERROR(INDEX(Pantry!$C$6:$C$305,MATCH(C795,Pantry!$B$6:$B$305,0))&amp;"","Add to Pantry"))</f>
        <v/>
      </c>
      <c r="F795" s="25">
        <f>IF(OR(C795="",E795="Add to Pantry"),"",ROUND(N(D795)*INDEX(Pantry!$N$6:$N$305,MATCH(C795,Pantry!$B$6:$B$305,0)),2))</f>
        <v/>
      </c>
      <c r="G795" s="35">
        <f>IF(OR(B795="",C795=""),"",IFERROR(ROUND(N(D795)*N(INDEX(Recipes!$H$6:$H$105,MATCH(B795,Recipes!$B$6:$B$105,0)))/IF(N(INDEX(Recipes!$D$6:$D$105,MATCH(B795,Recipes!$B$6:$B$105,0)))&gt;0,INDEX(Recipes!$D$6:$D$105,MATCH(B795,Recipes!$B$6:$B$105,0)),1),2),0))</f>
        <v/>
      </c>
      <c r="H795" s="1" t="n"/>
    </row>
    <row r="796">
      <c r="A796" s="1" t="n"/>
      <c r="B796" s="33" t="n"/>
      <c r="C796" s="33" t="n"/>
      <c r="D796" s="31" t="n"/>
      <c r="E796" s="35">
        <f>IF(C796="","",IFERROR(INDEX(Pantry!$C$6:$C$305,MATCH(C796,Pantry!$B$6:$B$305,0))&amp;"","Add to Pantry"))</f>
        <v/>
      </c>
      <c r="F796" s="25">
        <f>IF(OR(C796="",E796="Add to Pantry"),"",ROUND(N(D796)*INDEX(Pantry!$N$6:$N$305,MATCH(C796,Pantry!$B$6:$B$305,0)),2))</f>
        <v/>
      </c>
      <c r="G796" s="35">
        <f>IF(OR(B796="",C796=""),"",IFERROR(ROUND(N(D796)*N(INDEX(Recipes!$H$6:$H$105,MATCH(B796,Recipes!$B$6:$B$105,0)))/IF(N(INDEX(Recipes!$D$6:$D$105,MATCH(B796,Recipes!$B$6:$B$105,0)))&gt;0,INDEX(Recipes!$D$6:$D$105,MATCH(B796,Recipes!$B$6:$B$105,0)),1),2),0))</f>
        <v/>
      </c>
      <c r="H796" s="1" t="n"/>
    </row>
    <row r="797">
      <c r="A797" s="1" t="n"/>
      <c r="B797" s="33" t="n"/>
      <c r="C797" s="33" t="n"/>
      <c r="D797" s="31" t="n"/>
      <c r="E797" s="35">
        <f>IF(C797="","",IFERROR(INDEX(Pantry!$C$6:$C$305,MATCH(C797,Pantry!$B$6:$B$305,0))&amp;"","Add to Pantry"))</f>
        <v/>
      </c>
      <c r="F797" s="25">
        <f>IF(OR(C797="",E797="Add to Pantry"),"",ROUND(N(D797)*INDEX(Pantry!$N$6:$N$305,MATCH(C797,Pantry!$B$6:$B$305,0)),2))</f>
        <v/>
      </c>
      <c r="G797" s="35">
        <f>IF(OR(B797="",C797=""),"",IFERROR(ROUND(N(D797)*N(INDEX(Recipes!$H$6:$H$105,MATCH(B797,Recipes!$B$6:$B$105,0)))/IF(N(INDEX(Recipes!$D$6:$D$105,MATCH(B797,Recipes!$B$6:$B$105,0)))&gt;0,INDEX(Recipes!$D$6:$D$105,MATCH(B797,Recipes!$B$6:$B$105,0)),1),2),0))</f>
        <v/>
      </c>
      <c r="H797" s="1" t="n"/>
    </row>
    <row r="798">
      <c r="A798" s="1" t="n"/>
      <c r="B798" s="33" t="n"/>
      <c r="C798" s="33" t="n"/>
      <c r="D798" s="31" t="n"/>
      <c r="E798" s="35">
        <f>IF(C798="","",IFERROR(INDEX(Pantry!$C$6:$C$305,MATCH(C798,Pantry!$B$6:$B$305,0))&amp;"","Add to Pantry"))</f>
        <v/>
      </c>
      <c r="F798" s="25">
        <f>IF(OR(C798="",E798="Add to Pantry"),"",ROUND(N(D798)*INDEX(Pantry!$N$6:$N$305,MATCH(C798,Pantry!$B$6:$B$305,0)),2))</f>
        <v/>
      </c>
      <c r="G798" s="35">
        <f>IF(OR(B798="",C798=""),"",IFERROR(ROUND(N(D798)*N(INDEX(Recipes!$H$6:$H$105,MATCH(B798,Recipes!$B$6:$B$105,0)))/IF(N(INDEX(Recipes!$D$6:$D$105,MATCH(B798,Recipes!$B$6:$B$105,0)))&gt;0,INDEX(Recipes!$D$6:$D$105,MATCH(B798,Recipes!$B$6:$B$105,0)),1),2),0))</f>
        <v/>
      </c>
      <c r="H798" s="1" t="n"/>
    </row>
    <row r="799">
      <c r="A799" s="1" t="n"/>
      <c r="B799" s="33" t="n"/>
      <c r="C799" s="33" t="n"/>
      <c r="D799" s="31" t="n"/>
      <c r="E799" s="35">
        <f>IF(C799="","",IFERROR(INDEX(Pantry!$C$6:$C$305,MATCH(C799,Pantry!$B$6:$B$305,0))&amp;"","Add to Pantry"))</f>
        <v/>
      </c>
      <c r="F799" s="25">
        <f>IF(OR(C799="",E799="Add to Pantry"),"",ROUND(N(D799)*INDEX(Pantry!$N$6:$N$305,MATCH(C799,Pantry!$B$6:$B$305,0)),2))</f>
        <v/>
      </c>
      <c r="G799" s="35">
        <f>IF(OR(B799="",C799=""),"",IFERROR(ROUND(N(D799)*N(INDEX(Recipes!$H$6:$H$105,MATCH(B799,Recipes!$B$6:$B$105,0)))/IF(N(INDEX(Recipes!$D$6:$D$105,MATCH(B799,Recipes!$B$6:$B$105,0)))&gt;0,INDEX(Recipes!$D$6:$D$105,MATCH(B799,Recipes!$B$6:$B$105,0)),1),2),0))</f>
        <v/>
      </c>
      <c r="H799" s="1" t="n"/>
    </row>
    <row r="800">
      <c r="A800" s="1" t="n"/>
      <c r="B800" s="33" t="n"/>
      <c r="C800" s="33" t="n"/>
      <c r="D800" s="31" t="n"/>
      <c r="E800" s="35">
        <f>IF(C800="","",IFERROR(INDEX(Pantry!$C$6:$C$305,MATCH(C800,Pantry!$B$6:$B$305,0))&amp;"","Add to Pantry"))</f>
        <v/>
      </c>
      <c r="F800" s="25">
        <f>IF(OR(C800="",E800="Add to Pantry"),"",ROUND(N(D800)*INDEX(Pantry!$N$6:$N$305,MATCH(C800,Pantry!$B$6:$B$305,0)),2))</f>
        <v/>
      </c>
      <c r="G800" s="35">
        <f>IF(OR(B800="",C800=""),"",IFERROR(ROUND(N(D800)*N(INDEX(Recipes!$H$6:$H$105,MATCH(B800,Recipes!$B$6:$B$105,0)))/IF(N(INDEX(Recipes!$D$6:$D$105,MATCH(B800,Recipes!$B$6:$B$105,0)))&gt;0,INDEX(Recipes!$D$6:$D$105,MATCH(B800,Recipes!$B$6:$B$105,0)),1),2),0))</f>
        <v/>
      </c>
      <c r="H800" s="1" t="n"/>
    </row>
    <row r="801">
      <c r="A801" s="1" t="n"/>
      <c r="B801" s="33" t="n"/>
      <c r="C801" s="33" t="n"/>
      <c r="D801" s="31" t="n"/>
      <c r="E801" s="35">
        <f>IF(C801="","",IFERROR(INDEX(Pantry!$C$6:$C$305,MATCH(C801,Pantry!$B$6:$B$305,0))&amp;"","Add to Pantry"))</f>
        <v/>
      </c>
      <c r="F801" s="25">
        <f>IF(OR(C801="",E801="Add to Pantry"),"",ROUND(N(D801)*INDEX(Pantry!$N$6:$N$305,MATCH(C801,Pantry!$B$6:$B$305,0)),2))</f>
        <v/>
      </c>
      <c r="G801" s="35">
        <f>IF(OR(B801="",C801=""),"",IFERROR(ROUND(N(D801)*N(INDEX(Recipes!$H$6:$H$105,MATCH(B801,Recipes!$B$6:$B$105,0)))/IF(N(INDEX(Recipes!$D$6:$D$105,MATCH(B801,Recipes!$B$6:$B$105,0)))&gt;0,INDEX(Recipes!$D$6:$D$105,MATCH(B801,Recipes!$B$6:$B$105,0)),1),2),0))</f>
        <v/>
      </c>
      <c r="H801" s="1" t="n"/>
    </row>
    <row r="802">
      <c r="A802" s="1" t="n"/>
      <c r="B802" s="33" t="n"/>
      <c r="C802" s="33" t="n"/>
      <c r="D802" s="31" t="n"/>
      <c r="E802" s="35">
        <f>IF(C802="","",IFERROR(INDEX(Pantry!$C$6:$C$305,MATCH(C802,Pantry!$B$6:$B$305,0))&amp;"","Add to Pantry"))</f>
        <v/>
      </c>
      <c r="F802" s="25">
        <f>IF(OR(C802="",E802="Add to Pantry"),"",ROUND(N(D802)*INDEX(Pantry!$N$6:$N$305,MATCH(C802,Pantry!$B$6:$B$305,0)),2))</f>
        <v/>
      </c>
      <c r="G802" s="35">
        <f>IF(OR(B802="",C802=""),"",IFERROR(ROUND(N(D802)*N(INDEX(Recipes!$H$6:$H$105,MATCH(B802,Recipes!$B$6:$B$105,0)))/IF(N(INDEX(Recipes!$D$6:$D$105,MATCH(B802,Recipes!$B$6:$B$105,0)))&gt;0,INDEX(Recipes!$D$6:$D$105,MATCH(B802,Recipes!$B$6:$B$105,0)),1),2),0))</f>
        <v/>
      </c>
      <c r="H802" s="1" t="n"/>
    </row>
    <row r="803">
      <c r="A803" s="1" t="n"/>
      <c r="B803" s="33" t="n"/>
      <c r="C803" s="33" t="n"/>
      <c r="D803" s="31" t="n"/>
      <c r="E803" s="35">
        <f>IF(C803="","",IFERROR(INDEX(Pantry!$C$6:$C$305,MATCH(C803,Pantry!$B$6:$B$305,0))&amp;"","Add to Pantry"))</f>
        <v/>
      </c>
      <c r="F803" s="25">
        <f>IF(OR(C803="",E803="Add to Pantry"),"",ROUND(N(D803)*INDEX(Pantry!$N$6:$N$305,MATCH(C803,Pantry!$B$6:$B$305,0)),2))</f>
        <v/>
      </c>
      <c r="G803" s="35">
        <f>IF(OR(B803="",C803=""),"",IFERROR(ROUND(N(D803)*N(INDEX(Recipes!$H$6:$H$105,MATCH(B803,Recipes!$B$6:$B$105,0)))/IF(N(INDEX(Recipes!$D$6:$D$105,MATCH(B803,Recipes!$B$6:$B$105,0)))&gt;0,INDEX(Recipes!$D$6:$D$105,MATCH(B803,Recipes!$B$6:$B$105,0)),1),2),0))</f>
        <v/>
      </c>
      <c r="H803" s="1" t="n"/>
    </row>
    <row r="804">
      <c r="A804" s="1" t="n"/>
      <c r="B804" s="33" t="n"/>
      <c r="C804" s="33" t="n"/>
      <c r="D804" s="31" t="n"/>
      <c r="E804" s="35">
        <f>IF(C804="","",IFERROR(INDEX(Pantry!$C$6:$C$305,MATCH(C804,Pantry!$B$6:$B$305,0))&amp;"","Add to Pantry"))</f>
        <v/>
      </c>
      <c r="F804" s="25">
        <f>IF(OR(C804="",E804="Add to Pantry"),"",ROUND(N(D804)*INDEX(Pantry!$N$6:$N$305,MATCH(C804,Pantry!$B$6:$B$305,0)),2))</f>
        <v/>
      </c>
      <c r="G804" s="35">
        <f>IF(OR(B804="",C804=""),"",IFERROR(ROUND(N(D804)*N(INDEX(Recipes!$H$6:$H$105,MATCH(B804,Recipes!$B$6:$B$105,0)))/IF(N(INDEX(Recipes!$D$6:$D$105,MATCH(B804,Recipes!$B$6:$B$105,0)))&gt;0,INDEX(Recipes!$D$6:$D$105,MATCH(B804,Recipes!$B$6:$B$105,0)),1),2),0))</f>
        <v/>
      </c>
      <c r="H804" s="1" t="n"/>
    </row>
    <row r="805">
      <c r="A805" s="1" t="n"/>
      <c r="B805" s="33" t="n"/>
      <c r="C805" s="33" t="n"/>
      <c r="D805" s="31" t="n"/>
      <c r="E805" s="35">
        <f>IF(C805="","",IFERROR(INDEX(Pantry!$C$6:$C$305,MATCH(C805,Pantry!$B$6:$B$305,0))&amp;"","Add to Pantry"))</f>
        <v/>
      </c>
      <c r="F805" s="25">
        <f>IF(OR(C805="",E805="Add to Pantry"),"",ROUND(N(D805)*INDEX(Pantry!$N$6:$N$305,MATCH(C805,Pantry!$B$6:$B$305,0)),2))</f>
        <v/>
      </c>
      <c r="G805" s="35">
        <f>IF(OR(B805="",C805=""),"",IFERROR(ROUND(N(D805)*N(INDEX(Recipes!$H$6:$H$105,MATCH(B805,Recipes!$B$6:$B$105,0)))/IF(N(INDEX(Recipes!$D$6:$D$105,MATCH(B805,Recipes!$B$6:$B$105,0)))&gt;0,INDEX(Recipes!$D$6:$D$105,MATCH(B805,Recipes!$B$6:$B$105,0)),1),2),0))</f>
        <v/>
      </c>
      <c r="H805" s="1" t="n"/>
    </row>
    <row r="806">
      <c r="A806" s="1" t="n"/>
      <c r="B806" s="33" t="n"/>
      <c r="C806" s="33" t="n"/>
      <c r="D806" s="31" t="n"/>
      <c r="E806" s="35">
        <f>IF(C806="","",IFERROR(INDEX(Pantry!$C$6:$C$305,MATCH(C806,Pantry!$B$6:$B$305,0))&amp;"","Add to Pantry"))</f>
        <v/>
      </c>
      <c r="F806" s="25">
        <f>IF(OR(C806="",E806="Add to Pantry"),"",ROUND(N(D806)*INDEX(Pantry!$N$6:$N$305,MATCH(C806,Pantry!$B$6:$B$305,0)),2))</f>
        <v/>
      </c>
      <c r="G806" s="35">
        <f>IF(OR(B806="",C806=""),"",IFERROR(ROUND(N(D806)*N(INDEX(Recipes!$H$6:$H$105,MATCH(B806,Recipes!$B$6:$B$105,0)))/IF(N(INDEX(Recipes!$D$6:$D$105,MATCH(B806,Recipes!$B$6:$B$105,0)))&gt;0,INDEX(Recipes!$D$6:$D$105,MATCH(B806,Recipes!$B$6:$B$105,0)),1),2),0))</f>
        <v/>
      </c>
      <c r="H806" s="1" t="n"/>
    </row>
    <row r="807">
      <c r="A807" s="1" t="n"/>
      <c r="B807" s="33" t="n"/>
      <c r="C807" s="33" t="n"/>
      <c r="D807" s="31" t="n"/>
      <c r="E807" s="35">
        <f>IF(C807="","",IFERROR(INDEX(Pantry!$C$6:$C$305,MATCH(C807,Pantry!$B$6:$B$305,0))&amp;"","Add to Pantry"))</f>
        <v/>
      </c>
      <c r="F807" s="25">
        <f>IF(OR(C807="",E807="Add to Pantry"),"",ROUND(N(D807)*INDEX(Pantry!$N$6:$N$305,MATCH(C807,Pantry!$B$6:$B$305,0)),2))</f>
        <v/>
      </c>
      <c r="G807" s="35">
        <f>IF(OR(B807="",C807=""),"",IFERROR(ROUND(N(D807)*N(INDEX(Recipes!$H$6:$H$105,MATCH(B807,Recipes!$B$6:$B$105,0)))/IF(N(INDEX(Recipes!$D$6:$D$105,MATCH(B807,Recipes!$B$6:$B$105,0)))&gt;0,INDEX(Recipes!$D$6:$D$105,MATCH(B807,Recipes!$B$6:$B$105,0)),1),2),0))</f>
        <v/>
      </c>
      <c r="H807" s="1" t="n"/>
    </row>
    <row r="808">
      <c r="A808" s="1" t="n"/>
      <c r="B808" s="33" t="n"/>
      <c r="C808" s="33" t="n"/>
      <c r="D808" s="31" t="n"/>
      <c r="E808" s="35">
        <f>IF(C808="","",IFERROR(INDEX(Pantry!$C$6:$C$305,MATCH(C808,Pantry!$B$6:$B$305,0))&amp;"","Add to Pantry"))</f>
        <v/>
      </c>
      <c r="F808" s="25">
        <f>IF(OR(C808="",E808="Add to Pantry"),"",ROUND(N(D808)*INDEX(Pantry!$N$6:$N$305,MATCH(C808,Pantry!$B$6:$B$305,0)),2))</f>
        <v/>
      </c>
      <c r="G808" s="35">
        <f>IF(OR(B808="",C808=""),"",IFERROR(ROUND(N(D808)*N(INDEX(Recipes!$H$6:$H$105,MATCH(B808,Recipes!$B$6:$B$105,0)))/IF(N(INDEX(Recipes!$D$6:$D$105,MATCH(B808,Recipes!$B$6:$B$105,0)))&gt;0,INDEX(Recipes!$D$6:$D$105,MATCH(B808,Recipes!$B$6:$B$105,0)),1),2),0))</f>
        <v/>
      </c>
      <c r="H808" s="1" t="n"/>
    </row>
    <row r="809">
      <c r="A809" s="1" t="n"/>
      <c r="B809" s="33" t="n"/>
      <c r="C809" s="33" t="n"/>
      <c r="D809" s="31" t="n"/>
      <c r="E809" s="35">
        <f>IF(C809="","",IFERROR(INDEX(Pantry!$C$6:$C$305,MATCH(C809,Pantry!$B$6:$B$305,0))&amp;"","Add to Pantry"))</f>
        <v/>
      </c>
      <c r="F809" s="25">
        <f>IF(OR(C809="",E809="Add to Pantry"),"",ROUND(N(D809)*INDEX(Pantry!$N$6:$N$305,MATCH(C809,Pantry!$B$6:$B$305,0)),2))</f>
        <v/>
      </c>
      <c r="G809" s="35">
        <f>IF(OR(B809="",C809=""),"",IFERROR(ROUND(N(D809)*N(INDEX(Recipes!$H$6:$H$105,MATCH(B809,Recipes!$B$6:$B$105,0)))/IF(N(INDEX(Recipes!$D$6:$D$105,MATCH(B809,Recipes!$B$6:$B$105,0)))&gt;0,INDEX(Recipes!$D$6:$D$105,MATCH(B809,Recipes!$B$6:$B$105,0)),1),2),0))</f>
        <v/>
      </c>
      <c r="H809" s="1" t="n"/>
    </row>
    <row r="810">
      <c r="A810" s="1" t="n"/>
      <c r="B810" s="33" t="n"/>
      <c r="C810" s="33" t="n"/>
      <c r="D810" s="31" t="n"/>
      <c r="E810" s="35">
        <f>IF(C810="","",IFERROR(INDEX(Pantry!$C$6:$C$305,MATCH(C810,Pantry!$B$6:$B$305,0))&amp;"","Add to Pantry"))</f>
        <v/>
      </c>
      <c r="F810" s="25">
        <f>IF(OR(C810="",E810="Add to Pantry"),"",ROUND(N(D810)*INDEX(Pantry!$N$6:$N$305,MATCH(C810,Pantry!$B$6:$B$305,0)),2))</f>
        <v/>
      </c>
      <c r="G810" s="35">
        <f>IF(OR(B810="",C810=""),"",IFERROR(ROUND(N(D810)*N(INDEX(Recipes!$H$6:$H$105,MATCH(B810,Recipes!$B$6:$B$105,0)))/IF(N(INDEX(Recipes!$D$6:$D$105,MATCH(B810,Recipes!$B$6:$B$105,0)))&gt;0,INDEX(Recipes!$D$6:$D$105,MATCH(B810,Recipes!$B$6:$B$105,0)),1),2),0))</f>
        <v/>
      </c>
      <c r="H810" s="1" t="n"/>
    </row>
    <row r="811">
      <c r="A811" s="1" t="n"/>
      <c r="B811" s="33" t="n"/>
      <c r="C811" s="33" t="n"/>
      <c r="D811" s="31" t="n"/>
      <c r="E811" s="35">
        <f>IF(C811="","",IFERROR(INDEX(Pantry!$C$6:$C$305,MATCH(C811,Pantry!$B$6:$B$305,0))&amp;"","Add to Pantry"))</f>
        <v/>
      </c>
      <c r="F811" s="25">
        <f>IF(OR(C811="",E811="Add to Pantry"),"",ROUND(N(D811)*INDEX(Pantry!$N$6:$N$305,MATCH(C811,Pantry!$B$6:$B$305,0)),2))</f>
        <v/>
      </c>
      <c r="G811" s="35">
        <f>IF(OR(B811="",C811=""),"",IFERROR(ROUND(N(D811)*N(INDEX(Recipes!$H$6:$H$105,MATCH(B811,Recipes!$B$6:$B$105,0)))/IF(N(INDEX(Recipes!$D$6:$D$105,MATCH(B811,Recipes!$B$6:$B$105,0)))&gt;0,INDEX(Recipes!$D$6:$D$105,MATCH(B811,Recipes!$B$6:$B$105,0)),1),2),0))</f>
        <v/>
      </c>
      <c r="H811" s="1" t="n"/>
    </row>
    <row r="812">
      <c r="A812" s="1" t="n"/>
      <c r="B812" s="33" t="n"/>
      <c r="C812" s="33" t="n"/>
      <c r="D812" s="31" t="n"/>
      <c r="E812" s="35">
        <f>IF(C812="","",IFERROR(INDEX(Pantry!$C$6:$C$305,MATCH(C812,Pantry!$B$6:$B$305,0))&amp;"","Add to Pantry"))</f>
        <v/>
      </c>
      <c r="F812" s="25">
        <f>IF(OR(C812="",E812="Add to Pantry"),"",ROUND(N(D812)*INDEX(Pantry!$N$6:$N$305,MATCH(C812,Pantry!$B$6:$B$305,0)),2))</f>
        <v/>
      </c>
      <c r="G812" s="35">
        <f>IF(OR(B812="",C812=""),"",IFERROR(ROUND(N(D812)*N(INDEX(Recipes!$H$6:$H$105,MATCH(B812,Recipes!$B$6:$B$105,0)))/IF(N(INDEX(Recipes!$D$6:$D$105,MATCH(B812,Recipes!$B$6:$B$105,0)))&gt;0,INDEX(Recipes!$D$6:$D$105,MATCH(B812,Recipes!$B$6:$B$105,0)),1),2),0))</f>
        <v/>
      </c>
      <c r="H812" s="1" t="n"/>
    </row>
    <row r="813">
      <c r="A813" s="1" t="n"/>
      <c r="B813" s="33" t="n"/>
      <c r="C813" s="33" t="n"/>
      <c r="D813" s="31" t="n"/>
      <c r="E813" s="35">
        <f>IF(C813="","",IFERROR(INDEX(Pantry!$C$6:$C$305,MATCH(C813,Pantry!$B$6:$B$305,0))&amp;"","Add to Pantry"))</f>
        <v/>
      </c>
      <c r="F813" s="25">
        <f>IF(OR(C813="",E813="Add to Pantry"),"",ROUND(N(D813)*INDEX(Pantry!$N$6:$N$305,MATCH(C813,Pantry!$B$6:$B$305,0)),2))</f>
        <v/>
      </c>
      <c r="G813" s="35">
        <f>IF(OR(B813="",C813=""),"",IFERROR(ROUND(N(D813)*N(INDEX(Recipes!$H$6:$H$105,MATCH(B813,Recipes!$B$6:$B$105,0)))/IF(N(INDEX(Recipes!$D$6:$D$105,MATCH(B813,Recipes!$B$6:$B$105,0)))&gt;0,INDEX(Recipes!$D$6:$D$105,MATCH(B813,Recipes!$B$6:$B$105,0)),1),2),0))</f>
        <v/>
      </c>
      <c r="H813" s="1" t="n"/>
    </row>
    <row r="814">
      <c r="A814" s="1" t="n"/>
      <c r="B814" s="33" t="n"/>
      <c r="C814" s="33" t="n"/>
      <c r="D814" s="31" t="n"/>
      <c r="E814" s="35">
        <f>IF(C814="","",IFERROR(INDEX(Pantry!$C$6:$C$305,MATCH(C814,Pantry!$B$6:$B$305,0))&amp;"","Add to Pantry"))</f>
        <v/>
      </c>
      <c r="F814" s="25">
        <f>IF(OR(C814="",E814="Add to Pantry"),"",ROUND(N(D814)*INDEX(Pantry!$N$6:$N$305,MATCH(C814,Pantry!$B$6:$B$305,0)),2))</f>
        <v/>
      </c>
      <c r="G814" s="35">
        <f>IF(OR(B814="",C814=""),"",IFERROR(ROUND(N(D814)*N(INDEX(Recipes!$H$6:$H$105,MATCH(B814,Recipes!$B$6:$B$105,0)))/IF(N(INDEX(Recipes!$D$6:$D$105,MATCH(B814,Recipes!$B$6:$B$105,0)))&gt;0,INDEX(Recipes!$D$6:$D$105,MATCH(B814,Recipes!$B$6:$B$105,0)),1),2),0))</f>
        <v/>
      </c>
      <c r="H814" s="1" t="n"/>
    </row>
    <row r="815">
      <c r="A815" s="1" t="n"/>
      <c r="B815" s="33" t="n"/>
      <c r="C815" s="33" t="n"/>
      <c r="D815" s="31" t="n"/>
      <c r="E815" s="35">
        <f>IF(C815="","",IFERROR(INDEX(Pantry!$C$6:$C$305,MATCH(C815,Pantry!$B$6:$B$305,0))&amp;"","Add to Pantry"))</f>
        <v/>
      </c>
      <c r="F815" s="25">
        <f>IF(OR(C815="",E815="Add to Pantry"),"",ROUND(N(D815)*INDEX(Pantry!$N$6:$N$305,MATCH(C815,Pantry!$B$6:$B$305,0)),2))</f>
        <v/>
      </c>
      <c r="G815" s="35">
        <f>IF(OR(B815="",C815=""),"",IFERROR(ROUND(N(D815)*N(INDEX(Recipes!$H$6:$H$105,MATCH(B815,Recipes!$B$6:$B$105,0)))/IF(N(INDEX(Recipes!$D$6:$D$105,MATCH(B815,Recipes!$B$6:$B$105,0)))&gt;0,INDEX(Recipes!$D$6:$D$105,MATCH(B815,Recipes!$B$6:$B$105,0)),1),2),0))</f>
        <v/>
      </c>
      <c r="H815" s="1" t="n"/>
    </row>
    <row r="816">
      <c r="A816" s="1" t="n"/>
      <c r="B816" s="33" t="n"/>
      <c r="C816" s="33" t="n"/>
      <c r="D816" s="31" t="n"/>
      <c r="E816" s="35">
        <f>IF(C816="","",IFERROR(INDEX(Pantry!$C$6:$C$305,MATCH(C816,Pantry!$B$6:$B$305,0))&amp;"","Add to Pantry"))</f>
        <v/>
      </c>
      <c r="F816" s="25">
        <f>IF(OR(C816="",E816="Add to Pantry"),"",ROUND(N(D816)*INDEX(Pantry!$N$6:$N$305,MATCH(C816,Pantry!$B$6:$B$305,0)),2))</f>
        <v/>
      </c>
      <c r="G816" s="35">
        <f>IF(OR(B816="",C816=""),"",IFERROR(ROUND(N(D816)*N(INDEX(Recipes!$H$6:$H$105,MATCH(B816,Recipes!$B$6:$B$105,0)))/IF(N(INDEX(Recipes!$D$6:$D$105,MATCH(B816,Recipes!$B$6:$B$105,0)))&gt;0,INDEX(Recipes!$D$6:$D$105,MATCH(B816,Recipes!$B$6:$B$105,0)),1),2),0))</f>
        <v/>
      </c>
      <c r="H816" s="1" t="n"/>
    </row>
    <row r="817">
      <c r="A817" s="1" t="n"/>
      <c r="B817" s="33" t="n"/>
      <c r="C817" s="33" t="n"/>
      <c r="D817" s="31" t="n"/>
      <c r="E817" s="35">
        <f>IF(C817="","",IFERROR(INDEX(Pantry!$C$6:$C$305,MATCH(C817,Pantry!$B$6:$B$305,0))&amp;"","Add to Pantry"))</f>
        <v/>
      </c>
      <c r="F817" s="25">
        <f>IF(OR(C817="",E817="Add to Pantry"),"",ROUND(N(D817)*INDEX(Pantry!$N$6:$N$305,MATCH(C817,Pantry!$B$6:$B$305,0)),2))</f>
        <v/>
      </c>
      <c r="G817" s="35">
        <f>IF(OR(B817="",C817=""),"",IFERROR(ROUND(N(D817)*N(INDEX(Recipes!$H$6:$H$105,MATCH(B817,Recipes!$B$6:$B$105,0)))/IF(N(INDEX(Recipes!$D$6:$D$105,MATCH(B817,Recipes!$B$6:$B$105,0)))&gt;0,INDEX(Recipes!$D$6:$D$105,MATCH(B817,Recipes!$B$6:$B$105,0)),1),2),0))</f>
        <v/>
      </c>
      <c r="H817" s="1" t="n"/>
    </row>
    <row r="818">
      <c r="A818" s="1" t="n"/>
      <c r="B818" s="33" t="n"/>
      <c r="C818" s="33" t="n"/>
      <c r="D818" s="31" t="n"/>
      <c r="E818" s="35">
        <f>IF(C818="","",IFERROR(INDEX(Pantry!$C$6:$C$305,MATCH(C818,Pantry!$B$6:$B$305,0))&amp;"","Add to Pantry"))</f>
        <v/>
      </c>
      <c r="F818" s="25">
        <f>IF(OR(C818="",E818="Add to Pantry"),"",ROUND(N(D818)*INDEX(Pantry!$N$6:$N$305,MATCH(C818,Pantry!$B$6:$B$305,0)),2))</f>
        <v/>
      </c>
      <c r="G818" s="35">
        <f>IF(OR(B818="",C818=""),"",IFERROR(ROUND(N(D818)*N(INDEX(Recipes!$H$6:$H$105,MATCH(B818,Recipes!$B$6:$B$105,0)))/IF(N(INDEX(Recipes!$D$6:$D$105,MATCH(B818,Recipes!$B$6:$B$105,0)))&gt;0,INDEX(Recipes!$D$6:$D$105,MATCH(B818,Recipes!$B$6:$B$105,0)),1),2),0))</f>
        <v/>
      </c>
      <c r="H818" s="1" t="n"/>
    </row>
    <row r="819">
      <c r="A819" s="1" t="n"/>
      <c r="B819" s="33" t="n"/>
      <c r="C819" s="33" t="n"/>
      <c r="D819" s="31" t="n"/>
      <c r="E819" s="35">
        <f>IF(C819="","",IFERROR(INDEX(Pantry!$C$6:$C$305,MATCH(C819,Pantry!$B$6:$B$305,0))&amp;"","Add to Pantry"))</f>
        <v/>
      </c>
      <c r="F819" s="25">
        <f>IF(OR(C819="",E819="Add to Pantry"),"",ROUND(N(D819)*INDEX(Pantry!$N$6:$N$305,MATCH(C819,Pantry!$B$6:$B$305,0)),2))</f>
        <v/>
      </c>
      <c r="G819" s="35">
        <f>IF(OR(B819="",C819=""),"",IFERROR(ROUND(N(D819)*N(INDEX(Recipes!$H$6:$H$105,MATCH(B819,Recipes!$B$6:$B$105,0)))/IF(N(INDEX(Recipes!$D$6:$D$105,MATCH(B819,Recipes!$B$6:$B$105,0)))&gt;0,INDEX(Recipes!$D$6:$D$105,MATCH(B819,Recipes!$B$6:$B$105,0)),1),2),0))</f>
        <v/>
      </c>
      <c r="H819" s="1" t="n"/>
    </row>
    <row r="820">
      <c r="A820" s="1" t="n"/>
      <c r="B820" s="33" t="n"/>
      <c r="C820" s="33" t="n"/>
      <c r="D820" s="31" t="n"/>
      <c r="E820" s="35">
        <f>IF(C820="","",IFERROR(INDEX(Pantry!$C$6:$C$305,MATCH(C820,Pantry!$B$6:$B$305,0))&amp;"","Add to Pantry"))</f>
        <v/>
      </c>
      <c r="F820" s="25">
        <f>IF(OR(C820="",E820="Add to Pantry"),"",ROUND(N(D820)*INDEX(Pantry!$N$6:$N$305,MATCH(C820,Pantry!$B$6:$B$305,0)),2))</f>
        <v/>
      </c>
      <c r="G820" s="35">
        <f>IF(OR(B820="",C820=""),"",IFERROR(ROUND(N(D820)*N(INDEX(Recipes!$H$6:$H$105,MATCH(B820,Recipes!$B$6:$B$105,0)))/IF(N(INDEX(Recipes!$D$6:$D$105,MATCH(B820,Recipes!$B$6:$B$105,0)))&gt;0,INDEX(Recipes!$D$6:$D$105,MATCH(B820,Recipes!$B$6:$B$105,0)),1),2),0))</f>
        <v/>
      </c>
      <c r="H820" s="1" t="n"/>
    </row>
    <row r="821">
      <c r="A821" s="1" t="n"/>
      <c r="B821" s="33" t="n"/>
      <c r="C821" s="33" t="n"/>
      <c r="D821" s="31" t="n"/>
      <c r="E821" s="35">
        <f>IF(C821="","",IFERROR(INDEX(Pantry!$C$6:$C$305,MATCH(C821,Pantry!$B$6:$B$305,0))&amp;"","Add to Pantry"))</f>
        <v/>
      </c>
      <c r="F821" s="25">
        <f>IF(OR(C821="",E821="Add to Pantry"),"",ROUND(N(D821)*INDEX(Pantry!$N$6:$N$305,MATCH(C821,Pantry!$B$6:$B$305,0)),2))</f>
        <v/>
      </c>
      <c r="G821" s="35">
        <f>IF(OR(B821="",C821=""),"",IFERROR(ROUND(N(D821)*N(INDEX(Recipes!$H$6:$H$105,MATCH(B821,Recipes!$B$6:$B$105,0)))/IF(N(INDEX(Recipes!$D$6:$D$105,MATCH(B821,Recipes!$B$6:$B$105,0)))&gt;0,INDEX(Recipes!$D$6:$D$105,MATCH(B821,Recipes!$B$6:$B$105,0)),1),2),0))</f>
        <v/>
      </c>
      <c r="H821" s="1" t="n"/>
    </row>
    <row r="822">
      <c r="A822" s="1" t="n"/>
      <c r="B822" s="33" t="n"/>
      <c r="C822" s="33" t="n"/>
      <c r="D822" s="31" t="n"/>
      <c r="E822" s="35">
        <f>IF(C822="","",IFERROR(INDEX(Pantry!$C$6:$C$305,MATCH(C822,Pantry!$B$6:$B$305,0))&amp;"","Add to Pantry"))</f>
        <v/>
      </c>
      <c r="F822" s="25">
        <f>IF(OR(C822="",E822="Add to Pantry"),"",ROUND(N(D822)*INDEX(Pantry!$N$6:$N$305,MATCH(C822,Pantry!$B$6:$B$305,0)),2))</f>
        <v/>
      </c>
      <c r="G822" s="35">
        <f>IF(OR(B822="",C822=""),"",IFERROR(ROUND(N(D822)*N(INDEX(Recipes!$H$6:$H$105,MATCH(B822,Recipes!$B$6:$B$105,0)))/IF(N(INDEX(Recipes!$D$6:$D$105,MATCH(B822,Recipes!$B$6:$B$105,0)))&gt;0,INDEX(Recipes!$D$6:$D$105,MATCH(B822,Recipes!$B$6:$B$105,0)),1),2),0))</f>
        <v/>
      </c>
      <c r="H822" s="1" t="n"/>
    </row>
    <row r="823">
      <c r="A823" s="1" t="n"/>
      <c r="B823" s="33" t="n"/>
      <c r="C823" s="33" t="n"/>
      <c r="D823" s="31" t="n"/>
      <c r="E823" s="35">
        <f>IF(C823="","",IFERROR(INDEX(Pantry!$C$6:$C$305,MATCH(C823,Pantry!$B$6:$B$305,0))&amp;"","Add to Pantry"))</f>
        <v/>
      </c>
      <c r="F823" s="25">
        <f>IF(OR(C823="",E823="Add to Pantry"),"",ROUND(N(D823)*INDEX(Pantry!$N$6:$N$305,MATCH(C823,Pantry!$B$6:$B$305,0)),2))</f>
        <v/>
      </c>
      <c r="G823" s="35">
        <f>IF(OR(B823="",C823=""),"",IFERROR(ROUND(N(D823)*N(INDEX(Recipes!$H$6:$H$105,MATCH(B823,Recipes!$B$6:$B$105,0)))/IF(N(INDEX(Recipes!$D$6:$D$105,MATCH(B823,Recipes!$B$6:$B$105,0)))&gt;0,INDEX(Recipes!$D$6:$D$105,MATCH(B823,Recipes!$B$6:$B$105,0)),1),2),0))</f>
        <v/>
      </c>
      <c r="H823" s="1" t="n"/>
    </row>
    <row r="824">
      <c r="A824" s="1" t="n"/>
      <c r="B824" s="33" t="n"/>
      <c r="C824" s="33" t="n"/>
      <c r="D824" s="31" t="n"/>
      <c r="E824" s="35">
        <f>IF(C824="","",IFERROR(INDEX(Pantry!$C$6:$C$305,MATCH(C824,Pantry!$B$6:$B$305,0))&amp;"","Add to Pantry"))</f>
        <v/>
      </c>
      <c r="F824" s="25">
        <f>IF(OR(C824="",E824="Add to Pantry"),"",ROUND(N(D824)*INDEX(Pantry!$N$6:$N$305,MATCH(C824,Pantry!$B$6:$B$305,0)),2))</f>
        <v/>
      </c>
      <c r="G824" s="35">
        <f>IF(OR(B824="",C824=""),"",IFERROR(ROUND(N(D824)*N(INDEX(Recipes!$H$6:$H$105,MATCH(B824,Recipes!$B$6:$B$105,0)))/IF(N(INDEX(Recipes!$D$6:$D$105,MATCH(B824,Recipes!$B$6:$B$105,0)))&gt;0,INDEX(Recipes!$D$6:$D$105,MATCH(B824,Recipes!$B$6:$B$105,0)),1),2),0))</f>
        <v/>
      </c>
      <c r="H824" s="1" t="n"/>
    </row>
    <row r="825">
      <c r="A825" s="1" t="n"/>
      <c r="B825" s="33" t="n"/>
      <c r="C825" s="33" t="n"/>
      <c r="D825" s="31" t="n"/>
      <c r="E825" s="35">
        <f>IF(C825="","",IFERROR(INDEX(Pantry!$C$6:$C$305,MATCH(C825,Pantry!$B$6:$B$305,0))&amp;"","Add to Pantry"))</f>
        <v/>
      </c>
      <c r="F825" s="25">
        <f>IF(OR(C825="",E825="Add to Pantry"),"",ROUND(N(D825)*INDEX(Pantry!$N$6:$N$305,MATCH(C825,Pantry!$B$6:$B$305,0)),2))</f>
        <v/>
      </c>
      <c r="G825" s="35">
        <f>IF(OR(B825="",C825=""),"",IFERROR(ROUND(N(D825)*N(INDEX(Recipes!$H$6:$H$105,MATCH(B825,Recipes!$B$6:$B$105,0)))/IF(N(INDEX(Recipes!$D$6:$D$105,MATCH(B825,Recipes!$B$6:$B$105,0)))&gt;0,INDEX(Recipes!$D$6:$D$105,MATCH(B825,Recipes!$B$6:$B$105,0)),1),2),0))</f>
        <v/>
      </c>
      <c r="H825" s="1" t="n"/>
    </row>
    <row r="826">
      <c r="A826" s="1" t="n"/>
      <c r="B826" s="33" t="n"/>
      <c r="C826" s="33" t="n"/>
      <c r="D826" s="31" t="n"/>
      <c r="E826" s="35">
        <f>IF(C826="","",IFERROR(INDEX(Pantry!$C$6:$C$305,MATCH(C826,Pantry!$B$6:$B$305,0))&amp;"","Add to Pantry"))</f>
        <v/>
      </c>
      <c r="F826" s="25">
        <f>IF(OR(C826="",E826="Add to Pantry"),"",ROUND(N(D826)*INDEX(Pantry!$N$6:$N$305,MATCH(C826,Pantry!$B$6:$B$305,0)),2))</f>
        <v/>
      </c>
      <c r="G826" s="35">
        <f>IF(OR(B826="",C826=""),"",IFERROR(ROUND(N(D826)*N(INDEX(Recipes!$H$6:$H$105,MATCH(B826,Recipes!$B$6:$B$105,0)))/IF(N(INDEX(Recipes!$D$6:$D$105,MATCH(B826,Recipes!$B$6:$B$105,0)))&gt;0,INDEX(Recipes!$D$6:$D$105,MATCH(B826,Recipes!$B$6:$B$105,0)),1),2),0))</f>
        <v/>
      </c>
      <c r="H826" s="1" t="n"/>
    </row>
    <row r="827">
      <c r="A827" s="1" t="n"/>
      <c r="B827" s="33" t="n"/>
      <c r="C827" s="33" t="n"/>
      <c r="D827" s="31" t="n"/>
      <c r="E827" s="35">
        <f>IF(C827="","",IFERROR(INDEX(Pantry!$C$6:$C$305,MATCH(C827,Pantry!$B$6:$B$305,0))&amp;"","Add to Pantry"))</f>
        <v/>
      </c>
      <c r="F827" s="25">
        <f>IF(OR(C827="",E827="Add to Pantry"),"",ROUND(N(D827)*INDEX(Pantry!$N$6:$N$305,MATCH(C827,Pantry!$B$6:$B$305,0)),2))</f>
        <v/>
      </c>
      <c r="G827" s="35">
        <f>IF(OR(B827="",C827=""),"",IFERROR(ROUND(N(D827)*N(INDEX(Recipes!$H$6:$H$105,MATCH(B827,Recipes!$B$6:$B$105,0)))/IF(N(INDEX(Recipes!$D$6:$D$105,MATCH(B827,Recipes!$B$6:$B$105,0)))&gt;0,INDEX(Recipes!$D$6:$D$105,MATCH(B827,Recipes!$B$6:$B$105,0)),1),2),0))</f>
        <v/>
      </c>
      <c r="H827" s="1" t="n"/>
    </row>
    <row r="828">
      <c r="A828" s="1" t="n"/>
      <c r="B828" s="33" t="n"/>
      <c r="C828" s="33" t="n"/>
      <c r="D828" s="31" t="n"/>
      <c r="E828" s="35">
        <f>IF(C828="","",IFERROR(INDEX(Pantry!$C$6:$C$305,MATCH(C828,Pantry!$B$6:$B$305,0))&amp;"","Add to Pantry"))</f>
        <v/>
      </c>
      <c r="F828" s="25">
        <f>IF(OR(C828="",E828="Add to Pantry"),"",ROUND(N(D828)*INDEX(Pantry!$N$6:$N$305,MATCH(C828,Pantry!$B$6:$B$305,0)),2))</f>
        <v/>
      </c>
      <c r="G828" s="35">
        <f>IF(OR(B828="",C828=""),"",IFERROR(ROUND(N(D828)*N(INDEX(Recipes!$H$6:$H$105,MATCH(B828,Recipes!$B$6:$B$105,0)))/IF(N(INDEX(Recipes!$D$6:$D$105,MATCH(B828,Recipes!$B$6:$B$105,0)))&gt;0,INDEX(Recipes!$D$6:$D$105,MATCH(B828,Recipes!$B$6:$B$105,0)),1),2),0))</f>
        <v/>
      </c>
      <c r="H828" s="1" t="n"/>
    </row>
    <row r="829">
      <c r="A829" s="1" t="n"/>
      <c r="B829" s="33" t="n"/>
      <c r="C829" s="33" t="n"/>
      <c r="D829" s="31" t="n"/>
      <c r="E829" s="35">
        <f>IF(C829="","",IFERROR(INDEX(Pantry!$C$6:$C$305,MATCH(C829,Pantry!$B$6:$B$305,0))&amp;"","Add to Pantry"))</f>
        <v/>
      </c>
      <c r="F829" s="25">
        <f>IF(OR(C829="",E829="Add to Pantry"),"",ROUND(N(D829)*INDEX(Pantry!$N$6:$N$305,MATCH(C829,Pantry!$B$6:$B$305,0)),2))</f>
        <v/>
      </c>
      <c r="G829" s="35">
        <f>IF(OR(B829="",C829=""),"",IFERROR(ROUND(N(D829)*N(INDEX(Recipes!$H$6:$H$105,MATCH(B829,Recipes!$B$6:$B$105,0)))/IF(N(INDEX(Recipes!$D$6:$D$105,MATCH(B829,Recipes!$B$6:$B$105,0)))&gt;0,INDEX(Recipes!$D$6:$D$105,MATCH(B829,Recipes!$B$6:$B$105,0)),1),2),0))</f>
        <v/>
      </c>
      <c r="H829" s="1" t="n"/>
    </row>
    <row r="830">
      <c r="A830" s="1" t="n"/>
      <c r="B830" s="33" t="n"/>
      <c r="C830" s="33" t="n"/>
      <c r="D830" s="31" t="n"/>
      <c r="E830" s="35">
        <f>IF(C830="","",IFERROR(INDEX(Pantry!$C$6:$C$305,MATCH(C830,Pantry!$B$6:$B$305,0))&amp;"","Add to Pantry"))</f>
        <v/>
      </c>
      <c r="F830" s="25">
        <f>IF(OR(C830="",E830="Add to Pantry"),"",ROUND(N(D830)*INDEX(Pantry!$N$6:$N$305,MATCH(C830,Pantry!$B$6:$B$305,0)),2))</f>
        <v/>
      </c>
      <c r="G830" s="35">
        <f>IF(OR(B830="",C830=""),"",IFERROR(ROUND(N(D830)*N(INDEX(Recipes!$H$6:$H$105,MATCH(B830,Recipes!$B$6:$B$105,0)))/IF(N(INDEX(Recipes!$D$6:$D$105,MATCH(B830,Recipes!$B$6:$B$105,0)))&gt;0,INDEX(Recipes!$D$6:$D$105,MATCH(B830,Recipes!$B$6:$B$105,0)),1),2),0))</f>
        <v/>
      </c>
      <c r="H830" s="1" t="n"/>
    </row>
    <row r="831">
      <c r="A831" s="1" t="n"/>
      <c r="B831" s="33" t="n"/>
      <c r="C831" s="33" t="n"/>
      <c r="D831" s="31" t="n"/>
      <c r="E831" s="35">
        <f>IF(C831="","",IFERROR(INDEX(Pantry!$C$6:$C$305,MATCH(C831,Pantry!$B$6:$B$305,0))&amp;"","Add to Pantry"))</f>
        <v/>
      </c>
      <c r="F831" s="25">
        <f>IF(OR(C831="",E831="Add to Pantry"),"",ROUND(N(D831)*INDEX(Pantry!$N$6:$N$305,MATCH(C831,Pantry!$B$6:$B$305,0)),2))</f>
        <v/>
      </c>
      <c r="G831" s="35">
        <f>IF(OR(B831="",C831=""),"",IFERROR(ROUND(N(D831)*N(INDEX(Recipes!$H$6:$H$105,MATCH(B831,Recipes!$B$6:$B$105,0)))/IF(N(INDEX(Recipes!$D$6:$D$105,MATCH(B831,Recipes!$B$6:$B$105,0)))&gt;0,INDEX(Recipes!$D$6:$D$105,MATCH(B831,Recipes!$B$6:$B$105,0)),1),2),0))</f>
        <v/>
      </c>
      <c r="H831" s="1" t="n"/>
    </row>
    <row r="832">
      <c r="A832" s="1" t="n"/>
      <c r="B832" s="33" t="n"/>
      <c r="C832" s="33" t="n"/>
      <c r="D832" s="31" t="n"/>
      <c r="E832" s="35">
        <f>IF(C832="","",IFERROR(INDEX(Pantry!$C$6:$C$305,MATCH(C832,Pantry!$B$6:$B$305,0))&amp;"","Add to Pantry"))</f>
        <v/>
      </c>
      <c r="F832" s="25">
        <f>IF(OR(C832="",E832="Add to Pantry"),"",ROUND(N(D832)*INDEX(Pantry!$N$6:$N$305,MATCH(C832,Pantry!$B$6:$B$305,0)),2))</f>
        <v/>
      </c>
      <c r="G832" s="35">
        <f>IF(OR(B832="",C832=""),"",IFERROR(ROUND(N(D832)*N(INDEX(Recipes!$H$6:$H$105,MATCH(B832,Recipes!$B$6:$B$105,0)))/IF(N(INDEX(Recipes!$D$6:$D$105,MATCH(B832,Recipes!$B$6:$B$105,0)))&gt;0,INDEX(Recipes!$D$6:$D$105,MATCH(B832,Recipes!$B$6:$B$105,0)),1),2),0))</f>
        <v/>
      </c>
      <c r="H832" s="1" t="n"/>
    </row>
    <row r="833">
      <c r="A833" s="1" t="n"/>
      <c r="B833" s="33" t="n"/>
      <c r="C833" s="33" t="n"/>
      <c r="D833" s="31" t="n"/>
      <c r="E833" s="35">
        <f>IF(C833="","",IFERROR(INDEX(Pantry!$C$6:$C$305,MATCH(C833,Pantry!$B$6:$B$305,0))&amp;"","Add to Pantry"))</f>
        <v/>
      </c>
      <c r="F833" s="25">
        <f>IF(OR(C833="",E833="Add to Pantry"),"",ROUND(N(D833)*INDEX(Pantry!$N$6:$N$305,MATCH(C833,Pantry!$B$6:$B$305,0)),2))</f>
        <v/>
      </c>
      <c r="G833" s="35">
        <f>IF(OR(B833="",C833=""),"",IFERROR(ROUND(N(D833)*N(INDEX(Recipes!$H$6:$H$105,MATCH(B833,Recipes!$B$6:$B$105,0)))/IF(N(INDEX(Recipes!$D$6:$D$105,MATCH(B833,Recipes!$B$6:$B$105,0)))&gt;0,INDEX(Recipes!$D$6:$D$105,MATCH(B833,Recipes!$B$6:$B$105,0)),1),2),0))</f>
        <v/>
      </c>
      <c r="H833" s="1" t="n"/>
    </row>
    <row r="834">
      <c r="A834" s="1" t="n"/>
      <c r="B834" s="33" t="n"/>
      <c r="C834" s="33" t="n"/>
      <c r="D834" s="31" t="n"/>
      <c r="E834" s="35">
        <f>IF(C834="","",IFERROR(INDEX(Pantry!$C$6:$C$305,MATCH(C834,Pantry!$B$6:$B$305,0))&amp;"","Add to Pantry"))</f>
        <v/>
      </c>
      <c r="F834" s="25">
        <f>IF(OR(C834="",E834="Add to Pantry"),"",ROUND(N(D834)*INDEX(Pantry!$N$6:$N$305,MATCH(C834,Pantry!$B$6:$B$305,0)),2))</f>
        <v/>
      </c>
      <c r="G834" s="35">
        <f>IF(OR(B834="",C834=""),"",IFERROR(ROUND(N(D834)*N(INDEX(Recipes!$H$6:$H$105,MATCH(B834,Recipes!$B$6:$B$105,0)))/IF(N(INDEX(Recipes!$D$6:$D$105,MATCH(B834,Recipes!$B$6:$B$105,0)))&gt;0,INDEX(Recipes!$D$6:$D$105,MATCH(B834,Recipes!$B$6:$B$105,0)),1),2),0))</f>
        <v/>
      </c>
      <c r="H834" s="1" t="n"/>
    </row>
    <row r="835">
      <c r="A835" s="1" t="n"/>
      <c r="B835" s="33" t="n"/>
      <c r="C835" s="33" t="n"/>
      <c r="D835" s="31" t="n"/>
      <c r="E835" s="35">
        <f>IF(C835="","",IFERROR(INDEX(Pantry!$C$6:$C$305,MATCH(C835,Pantry!$B$6:$B$305,0))&amp;"","Add to Pantry"))</f>
        <v/>
      </c>
      <c r="F835" s="25">
        <f>IF(OR(C835="",E835="Add to Pantry"),"",ROUND(N(D835)*INDEX(Pantry!$N$6:$N$305,MATCH(C835,Pantry!$B$6:$B$305,0)),2))</f>
        <v/>
      </c>
      <c r="G835" s="35">
        <f>IF(OR(B835="",C835=""),"",IFERROR(ROUND(N(D835)*N(INDEX(Recipes!$H$6:$H$105,MATCH(B835,Recipes!$B$6:$B$105,0)))/IF(N(INDEX(Recipes!$D$6:$D$105,MATCH(B835,Recipes!$B$6:$B$105,0)))&gt;0,INDEX(Recipes!$D$6:$D$105,MATCH(B835,Recipes!$B$6:$B$105,0)),1),2),0))</f>
        <v/>
      </c>
      <c r="H835" s="1" t="n"/>
    </row>
    <row r="836">
      <c r="A836" s="1" t="n"/>
      <c r="B836" s="33" t="n"/>
      <c r="C836" s="33" t="n"/>
      <c r="D836" s="31" t="n"/>
      <c r="E836" s="35">
        <f>IF(C836="","",IFERROR(INDEX(Pantry!$C$6:$C$305,MATCH(C836,Pantry!$B$6:$B$305,0))&amp;"","Add to Pantry"))</f>
        <v/>
      </c>
      <c r="F836" s="25">
        <f>IF(OR(C836="",E836="Add to Pantry"),"",ROUND(N(D836)*INDEX(Pantry!$N$6:$N$305,MATCH(C836,Pantry!$B$6:$B$305,0)),2))</f>
        <v/>
      </c>
      <c r="G836" s="35">
        <f>IF(OR(B836="",C836=""),"",IFERROR(ROUND(N(D836)*N(INDEX(Recipes!$H$6:$H$105,MATCH(B836,Recipes!$B$6:$B$105,0)))/IF(N(INDEX(Recipes!$D$6:$D$105,MATCH(B836,Recipes!$B$6:$B$105,0)))&gt;0,INDEX(Recipes!$D$6:$D$105,MATCH(B836,Recipes!$B$6:$B$105,0)),1),2),0))</f>
        <v/>
      </c>
      <c r="H836" s="1" t="n"/>
    </row>
    <row r="837">
      <c r="A837" s="1" t="n"/>
      <c r="B837" s="33" t="n"/>
      <c r="C837" s="33" t="n"/>
      <c r="D837" s="31" t="n"/>
      <c r="E837" s="35">
        <f>IF(C837="","",IFERROR(INDEX(Pantry!$C$6:$C$305,MATCH(C837,Pantry!$B$6:$B$305,0))&amp;"","Add to Pantry"))</f>
        <v/>
      </c>
      <c r="F837" s="25">
        <f>IF(OR(C837="",E837="Add to Pantry"),"",ROUND(N(D837)*INDEX(Pantry!$N$6:$N$305,MATCH(C837,Pantry!$B$6:$B$305,0)),2))</f>
        <v/>
      </c>
      <c r="G837" s="35">
        <f>IF(OR(B837="",C837=""),"",IFERROR(ROUND(N(D837)*N(INDEX(Recipes!$H$6:$H$105,MATCH(B837,Recipes!$B$6:$B$105,0)))/IF(N(INDEX(Recipes!$D$6:$D$105,MATCH(B837,Recipes!$B$6:$B$105,0)))&gt;0,INDEX(Recipes!$D$6:$D$105,MATCH(B837,Recipes!$B$6:$B$105,0)),1),2),0))</f>
        <v/>
      </c>
      <c r="H837" s="1" t="n"/>
    </row>
    <row r="838">
      <c r="A838" s="1" t="n"/>
      <c r="B838" s="33" t="n"/>
      <c r="C838" s="33" t="n"/>
      <c r="D838" s="31" t="n"/>
      <c r="E838" s="35">
        <f>IF(C838="","",IFERROR(INDEX(Pantry!$C$6:$C$305,MATCH(C838,Pantry!$B$6:$B$305,0))&amp;"","Add to Pantry"))</f>
        <v/>
      </c>
      <c r="F838" s="25">
        <f>IF(OR(C838="",E838="Add to Pantry"),"",ROUND(N(D838)*INDEX(Pantry!$N$6:$N$305,MATCH(C838,Pantry!$B$6:$B$305,0)),2))</f>
        <v/>
      </c>
      <c r="G838" s="35">
        <f>IF(OR(B838="",C838=""),"",IFERROR(ROUND(N(D838)*N(INDEX(Recipes!$H$6:$H$105,MATCH(B838,Recipes!$B$6:$B$105,0)))/IF(N(INDEX(Recipes!$D$6:$D$105,MATCH(B838,Recipes!$B$6:$B$105,0)))&gt;0,INDEX(Recipes!$D$6:$D$105,MATCH(B838,Recipes!$B$6:$B$105,0)),1),2),0))</f>
        <v/>
      </c>
      <c r="H838" s="1" t="n"/>
    </row>
    <row r="839">
      <c r="A839" s="1" t="n"/>
      <c r="B839" s="33" t="n"/>
      <c r="C839" s="33" t="n"/>
      <c r="D839" s="31" t="n"/>
      <c r="E839" s="35">
        <f>IF(C839="","",IFERROR(INDEX(Pantry!$C$6:$C$305,MATCH(C839,Pantry!$B$6:$B$305,0))&amp;"","Add to Pantry"))</f>
        <v/>
      </c>
      <c r="F839" s="25">
        <f>IF(OR(C839="",E839="Add to Pantry"),"",ROUND(N(D839)*INDEX(Pantry!$N$6:$N$305,MATCH(C839,Pantry!$B$6:$B$305,0)),2))</f>
        <v/>
      </c>
      <c r="G839" s="35">
        <f>IF(OR(B839="",C839=""),"",IFERROR(ROUND(N(D839)*N(INDEX(Recipes!$H$6:$H$105,MATCH(B839,Recipes!$B$6:$B$105,0)))/IF(N(INDEX(Recipes!$D$6:$D$105,MATCH(B839,Recipes!$B$6:$B$105,0)))&gt;0,INDEX(Recipes!$D$6:$D$105,MATCH(B839,Recipes!$B$6:$B$105,0)),1),2),0))</f>
        <v/>
      </c>
      <c r="H839" s="1" t="n"/>
    </row>
    <row r="840">
      <c r="A840" s="1" t="n"/>
      <c r="B840" s="33" t="n"/>
      <c r="C840" s="33" t="n"/>
      <c r="D840" s="31" t="n"/>
      <c r="E840" s="35">
        <f>IF(C840="","",IFERROR(INDEX(Pantry!$C$6:$C$305,MATCH(C840,Pantry!$B$6:$B$305,0))&amp;"","Add to Pantry"))</f>
        <v/>
      </c>
      <c r="F840" s="25">
        <f>IF(OR(C840="",E840="Add to Pantry"),"",ROUND(N(D840)*INDEX(Pantry!$N$6:$N$305,MATCH(C840,Pantry!$B$6:$B$305,0)),2))</f>
        <v/>
      </c>
      <c r="G840" s="35">
        <f>IF(OR(B840="",C840=""),"",IFERROR(ROUND(N(D840)*N(INDEX(Recipes!$H$6:$H$105,MATCH(B840,Recipes!$B$6:$B$105,0)))/IF(N(INDEX(Recipes!$D$6:$D$105,MATCH(B840,Recipes!$B$6:$B$105,0)))&gt;0,INDEX(Recipes!$D$6:$D$105,MATCH(B840,Recipes!$B$6:$B$105,0)),1),2),0))</f>
        <v/>
      </c>
      <c r="H840" s="1" t="n"/>
    </row>
    <row r="841">
      <c r="A841" s="1" t="n"/>
      <c r="B841" s="33" t="n"/>
      <c r="C841" s="33" t="n"/>
      <c r="D841" s="31" t="n"/>
      <c r="E841" s="35">
        <f>IF(C841="","",IFERROR(INDEX(Pantry!$C$6:$C$305,MATCH(C841,Pantry!$B$6:$B$305,0))&amp;"","Add to Pantry"))</f>
        <v/>
      </c>
      <c r="F841" s="25">
        <f>IF(OR(C841="",E841="Add to Pantry"),"",ROUND(N(D841)*INDEX(Pantry!$N$6:$N$305,MATCH(C841,Pantry!$B$6:$B$305,0)),2))</f>
        <v/>
      </c>
      <c r="G841" s="35">
        <f>IF(OR(B841="",C841=""),"",IFERROR(ROUND(N(D841)*N(INDEX(Recipes!$H$6:$H$105,MATCH(B841,Recipes!$B$6:$B$105,0)))/IF(N(INDEX(Recipes!$D$6:$D$105,MATCH(B841,Recipes!$B$6:$B$105,0)))&gt;0,INDEX(Recipes!$D$6:$D$105,MATCH(B841,Recipes!$B$6:$B$105,0)),1),2),0))</f>
        <v/>
      </c>
      <c r="H841" s="1" t="n"/>
    </row>
    <row r="842">
      <c r="A842" s="1" t="n"/>
      <c r="B842" s="33" t="n"/>
      <c r="C842" s="33" t="n"/>
      <c r="D842" s="31" t="n"/>
      <c r="E842" s="35">
        <f>IF(C842="","",IFERROR(INDEX(Pantry!$C$6:$C$305,MATCH(C842,Pantry!$B$6:$B$305,0))&amp;"","Add to Pantry"))</f>
        <v/>
      </c>
      <c r="F842" s="25">
        <f>IF(OR(C842="",E842="Add to Pantry"),"",ROUND(N(D842)*INDEX(Pantry!$N$6:$N$305,MATCH(C842,Pantry!$B$6:$B$305,0)),2))</f>
        <v/>
      </c>
      <c r="G842" s="35">
        <f>IF(OR(B842="",C842=""),"",IFERROR(ROUND(N(D842)*N(INDEX(Recipes!$H$6:$H$105,MATCH(B842,Recipes!$B$6:$B$105,0)))/IF(N(INDEX(Recipes!$D$6:$D$105,MATCH(B842,Recipes!$B$6:$B$105,0)))&gt;0,INDEX(Recipes!$D$6:$D$105,MATCH(B842,Recipes!$B$6:$B$105,0)),1),2),0))</f>
        <v/>
      </c>
      <c r="H842" s="1" t="n"/>
    </row>
    <row r="843">
      <c r="A843" s="1" t="n"/>
      <c r="B843" s="33" t="n"/>
      <c r="C843" s="33" t="n"/>
      <c r="D843" s="31" t="n"/>
      <c r="E843" s="35">
        <f>IF(C843="","",IFERROR(INDEX(Pantry!$C$6:$C$305,MATCH(C843,Pantry!$B$6:$B$305,0))&amp;"","Add to Pantry"))</f>
        <v/>
      </c>
      <c r="F843" s="25">
        <f>IF(OR(C843="",E843="Add to Pantry"),"",ROUND(N(D843)*INDEX(Pantry!$N$6:$N$305,MATCH(C843,Pantry!$B$6:$B$305,0)),2))</f>
        <v/>
      </c>
      <c r="G843" s="35">
        <f>IF(OR(B843="",C843=""),"",IFERROR(ROUND(N(D843)*N(INDEX(Recipes!$H$6:$H$105,MATCH(B843,Recipes!$B$6:$B$105,0)))/IF(N(INDEX(Recipes!$D$6:$D$105,MATCH(B843,Recipes!$B$6:$B$105,0)))&gt;0,INDEX(Recipes!$D$6:$D$105,MATCH(B843,Recipes!$B$6:$B$105,0)),1),2),0))</f>
        <v/>
      </c>
      <c r="H843" s="1" t="n"/>
    </row>
    <row r="844">
      <c r="A844" s="1" t="n"/>
      <c r="B844" s="33" t="n"/>
      <c r="C844" s="33" t="n"/>
      <c r="D844" s="31" t="n"/>
      <c r="E844" s="35">
        <f>IF(C844="","",IFERROR(INDEX(Pantry!$C$6:$C$305,MATCH(C844,Pantry!$B$6:$B$305,0))&amp;"","Add to Pantry"))</f>
        <v/>
      </c>
      <c r="F844" s="25">
        <f>IF(OR(C844="",E844="Add to Pantry"),"",ROUND(N(D844)*INDEX(Pantry!$N$6:$N$305,MATCH(C844,Pantry!$B$6:$B$305,0)),2))</f>
        <v/>
      </c>
      <c r="G844" s="35">
        <f>IF(OR(B844="",C844=""),"",IFERROR(ROUND(N(D844)*N(INDEX(Recipes!$H$6:$H$105,MATCH(B844,Recipes!$B$6:$B$105,0)))/IF(N(INDEX(Recipes!$D$6:$D$105,MATCH(B844,Recipes!$B$6:$B$105,0)))&gt;0,INDEX(Recipes!$D$6:$D$105,MATCH(B844,Recipes!$B$6:$B$105,0)),1),2),0))</f>
        <v/>
      </c>
      <c r="H844" s="1" t="n"/>
    </row>
    <row r="845">
      <c r="A845" s="1" t="n"/>
      <c r="B845" s="33" t="n"/>
      <c r="C845" s="33" t="n"/>
      <c r="D845" s="31" t="n"/>
      <c r="E845" s="35">
        <f>IF(C845="","",IFERROR(INDEX(Pantry!$C$6:$C$305,MATCH(C845,Pantry!$B$6:$B$305,0))&amp;"","Add to Pantry"))</f>
        <v/>
      </c>
      <c r="F845" s="25">
        <f>IF(OR(C845="",E845="Add to Pantry"),"",ROUND(N(D845)*INDEX(Pantry!$N$6:$N$305,MATCH(C845,Pantry!$B$6:$B$305,0)),2))</f>
        <v/>
      </c>
      <c r="G845" s="35">
        <f>IF(OR(B845="",C845=""),"",IFERROR(ROUND(N(D845)*N(INDEX(Recipes!$H$6:$H$105,MATCH(B845,Recipes!$B$6:$B$105,0)))/IF(N(INDEX(Recipes!$D$6:$D$105,MATCH(B845,Recipes!$B$6:$B$105,0)))&gt;0,INDEX(Recipes!$D$6:$D$105,MATCH(B845,Recipes!$B$6:$B$105,0)),1),2),0))</f>
        <v/>
      </c>
      <c r="H845" s="1" t="n"/>
    </row>
    <row r="846">
      <c r="A846" s="1" t="n"/>
      <c r="B846" s="33" t="n"/>
      <c r="C846" s="33" t="n"/>
      <c r="D846" s="31" t="n"/>
      <c r="E846" s="35">
        <f>IF(C846="","",IFERROR(INDEX(Pantry!$C$6:$C$305,MATCH(C846,Pantry!$B$6:$B$305,0))&amp;"","Add to Pantry"))</f>
        <v/>
      </c>
      <c r="F846" s="25">
        <f>IF(OR(C846="",E846="Add to Pantry"),"",ROUND(N(D846)*INDEX(Pantry!$N$6:$N$305,MATCH(C846,Pantry!$B$6:$B$305,0)),2))</f>
        <v/>
      </c>
      <c r="G846" s="35">
        <f>IF(OR(B846="",C846=""),"",IFERROR(ROUND(N(D846)*N(INDEX(Recipes!$H$6:$H$105,MATCH(B846,Recipes!$B$6:$B$105,0)))/IF(N(INDEX(Recipes!$D$6:$D$105,MATCH(B846,Recipes!$B$6:$B$105,0)))&gt;0,INDEX(Recipes!$D$6:$D$105,MATCH(B846,Recipes!$B$6:$B$105,0)),1),2),0))</f>
        <v/>
      </c>
      <c r="H846" s="1" t="n"/>
    </row>
    <row r="847">
      <c r="A847" s="1" t="n"/>
      <c r="B847" s="33" t="n"/>
      <c r="C847" s="33" t="n"/>
      <c r="D847" s="31" t="n"/>
      <c r="E847" s="35">
        <f>IF(C847="","",IFERROR(INDEX(Pantry!$C$6:$C$305,MATCH(C847,Pantry!$B$6:$B$305,0))&amp;"","Add to Pantry"))</f>
        <v/>
      </c>
      <c r="F847" s="25">
        <f>IF(OR(C847="",E847="Add to Pantry"),"",ROUND(N(D847)*INDEX(Pantry!$N$6:$N$305,MATCH(C847,Pantry!$B$6:$B$305,0)),2))</f>
        <v/>
      </c>
      <c r="G847" s="35">
        <f>IF(OR(B847="",C847=""),"",IFERROR(ROUND(N(D847)*N(INDEX(Recipes!$H$6:$H$105,MATCH(B847,Recipes!$B$6:$B$105,0)))/IF(N(INDEX(Recipes!$D$6:$D$105,MATCH(B847,Recipes!$B$6:$B$105,0)))&gt;0,INDEX(Recipes!$D$6:$D$105,MATCH(B847,Recipes!$B$6:$B$105,0)),1),2),0))</f>
        <v/>
      </c>
      <c r="H847" s="1" t="n"/>
    </row>
    <row r="848">
      <c r="A848" s="1" t="n"/>
      <c r="B848" s="33" t="n"/>
      <c r="C848" s="33" t="n"/>
      <c r="D848" s="31" t="n"/>
      <c r="E848" s="35">
        <f>IF(C848="","",IFERROR(INDEX(Pantry!$C$6:$C$305,MATCH(C848,Pantry!$B$6:$B$305,0))&amp;"","Add to Pantry"))</f>
        <v/>
      </c>
      <c r="F848" s="25">
        <f>IF(OR(C848="",E848="Add to Pantry"),"",ROUND(N(D848)*INDEX(Pantry!$N$6:$N$305,MATCH(C848,Pantry!$B$6:$B$305,0)),2))</f>
        <v/>
      </c>
      <c r="G848" s="35">
        <f>IF(OR(B848="",C848=""),"",IFERROR(ROUND(N(D848)*N(INDEX(Recipes!$H$6:$H$105,MATCH(B848,Recipes!$B$6:$B$105,0)))/IF(N(INDEX(Recipes!$D$6:$D$105,MATCH(B848,Recipes!$B$6:$B$105,0)))&gt;0,INDEX(Recipes!$D$6:$D$105,MATCH(B848,Recipes!$B$6:$B$105,0)),1),2),0))</f>
        <v/>
      </c>
      <c r="H848" s="1" t="n"/>
    </row>
    <row r="849">
      <c r="A849" s="1" t="n"/>
      <c r="B849" s="33" t="n"/>
      <c r="C849" s="33" t="n"/>
      <c r="D849" s="31" t="n"/>
      <c r="E849" s="35">
        <f>IF(C849="","",IFERROR(INDEX(Pantry!$C$6:$C$305,MATCH(C849,Pantry!$B$6:$B$305,0))&amp;"","Add to Pantry"))</f>
        <v/>
      </c>
      <c r="F849" s="25">
        <f>IF(OR(C849="",E849="Add to Pantry"),"",ROUND(N(D849)*INDEX(Pantry!$N$6:$N$305,MATCH(C849,Pantry!$B$6:$B$305,0)),2))</f>
        <v/>
      </c>
      <c r="G849" s="35">
        <f>IF(OR(B849="",C849=""),"",IFERROR(ROUND(N(D849)*N(INDEX(Recipes!$H$6:$H$105,MATCH(B849,Recipes!$B$6:$B$105,0)))/IF(N(INDEX(Recipes!$D$6:$D$105,MATCH(B849,Recipes!$B$6:$B$105,0)))&gt;0,INDEX(Recipes!$D$6:$D$105,MATCH(B849,Recipes!$B$6:$B$105,0)),1),2),0))</f>
        <v/>
      </c>
      <c r="H849" s="1" t="n"/>
    </row>
    <row r="850">
      <c r="A850" s="1" t="n"/>
      <c r="B850" s="33" t="n"/>
      <c r="C850" s="33" t="n"/>
      <c r="D850" s="31" t="n"/>
      <c r="E850" s="35">
        <f>IF(C850="","",IFERROR(INDEX(Pantry!$C$6:$C$305,MATCH(C850,Pantry!$B$6:$B$305,0))&amp;"","Add to Pantry"))</f>
        <v/>
      </c>
      <c r="F850" s="25">
        <f>IF(OR(C850="",E850="Add to Pantry"),"",ROUND(N(D850)*INDEX(Pantry!$N$6:$N$305,MATCH(C850,Pantry!$B$6:$B$305,0)),2))</f>
        <v/>
      </c>
      <c r="G850" s="35">
        <f>IF(OR(B850="",C850=""),"",IFERROR(ROUND(N(D850)*N(INDEX(Recipes!$H$6:$H$105,MATCH(B850,Recipes!$B$6:$B$105,0)))/IF(N(INDEX(Recipes!$D$6:$D$105,MATCH(B850,Recipes!$B$6:$B$105,0)))&gt;0,INDEX(Recipes!$D$6:$D$105,MATCH(B850,Recipes!$B$6:$B$105,0)),1),2),0))</f>
        <v/>
      </c>
      <c r="H850" s="1" t="n"/>
    </row>
    <row r="851">
      <c r="A851" s="1" t="n"/>
      <c r="B851" s="33" t="n"/>
      <c r="C851" s="33" t="n"/>
      <c r="D851" s="31" t="n"/>
      <c r="E851" s="35">
        <f>IF(C851="","",IFERROR(INDEX(Pantry!$C$6:$C$305,MATCH(C851,Pantry!$B$6:$B$305,0))&amp;"","Add to Pantry"))</f>
        <v/>
      </c>
      <c r="F851" s="25">
        <f>IF(OR(C851="",E851="Add to Pantry"),"",ROUND(N(D851)*INDEX(Pantry!$N$6:$N$305,MATCH(C851,Pantry!$B$6:$B$305,0)),2))</f>
        <v/>
      </c>
      <c r="G851" s="35">
        <f>IF(OR(B851="",C851=""),"",IFERROR(ROUND(N(D851)*N(INDEX(Recipes!$H$6:$H$105,MATCH(B851,Recipes!$B$6:$B$105,0)))/IF(N(INDEX(Recipes!$D$6:$D$105,MATCH(B851,Recipes!$B$6:$B$105,0)))&gt;0,INDEX(Recipes!$D$6:$D$105,MATCH(B851,Recipes!$B$6:$B$105,0)),1),2),0))</f>
        <v/>
      </c>
      <c r="H851" s="1" t="n"/>
    </row>
    <row r="852">
      <c r="A852" s="1" t="n"/>
      <c r="B852" s="33" t="n"/>
      <c r="C852" s="33" t="n"/>
      <c r="D852" s="31" t="n"/>
      <c r="E852" s="35">
        <f>IF(C852="","",IFERROR(INDEX(Pantry!$C$6:$C$305,MATCH(C852,Pantry!$B$6:$B$305,0))&amp;"","Add to Pantry"))</f>
        <v/>
      </c>
      <c r="F852" s="25">
        <f>IF(OR(C852="",E852="Add to Pantry"),"",ROUND(N(D852)*INDEX(Pantry!$N$6:$N$305,MATCH(C852,Pantry!$B$6:$B$305,0)),2))</f>
        <v/>
      </c>
      <c r="G852" s="35">
        <f>IF(OR(B852="",C852=""),"",IFERROR(ROUND(N(D852)*N(INDEX(Recipes!$H$6:$H$105,MATCH(B852,Recipes!$B$6:$B$105,0)))/IF(N(INDEX(Recipes!$D$6:$D$105,MATCH(B852,Recipes!$B$6:$B$105,0)))&gt;0,INDEX(Recipes!$D$6:$D$105,MATCH(B852,Recipes!$B$6:$B$105,0)),1),2),0))</f>
        <v/>
      </c>
      <c r="H852" s="1" t="n"/>
    </row>
    <row r="853">
      <c r="A853" s="1" t="n"/>
      <c r="B853" s="33" t="n"/>
      <c r="C853" s="33" t="n"/>
      <c r="D853" s="31" t="n"/>
      <c r="E853" s="35">
        <f>IF(C853="","",IFERROR(INDEX(Pantry!$C$6:$C$305,MATCH(C853,Pantry!$B$6:$B$305,0))&amp;"","Add to Pantry"))</f>
        <v/>
      </c>
      <c r="F853" s="25">
        <f>IF(OR(C853="",E853="Add to Pantry"),"",ROUND(N(D853)*INDEX(Pantry!$N$6:$N$305,MATCH(C853,Pantry!$B$6:$B$305,0)),2))</f>
        <v/>
      </c>
      <c r="G853" s="35">
        <f>IF(OR(B853="",C853=""),"",IFERROR(ROUND(N(D853)*N(INDEX(Recipes!$H$6:$H$105,MATCH(B853,Recipes!$B$6:$B$105,0)))/IF(N(INDEX(Recipes!$D$6:$D$105,MATCH(B853,Recipes!$B$6:$B$105,0)))&gt;0,INDEX(Recipes!$D$6:$D$105,MATCH(B853,Recipes!$B$6:$B$105,0)),1),2),0))</f>
        <v/>
      </c>
      <c r="H853" s="1" t="n"/>
    </row>
    <row r="854">
      <c r="A854" s="1" t="n"/>
      <c r="B854" s="33" t="n"/>
      <c r="C854" s="33" t="n"/>
      <c r="D854" s="31" t="n"/>
      <c r="E854" s="35">
        <f>IF(C854="","",IFERROR(INDEX(Pantry!$C$6:$C$305,MATCH(C854,Pantry!$B$6:$B$305,0))&amp;"","Add to Pantry"))</f>
        <v/>
      </c>
      <c r="F854" s="25">
        <f>IF(OR(C854="",E854="Add to Pantry"),"",ROUND(N(D854)*INDEX(Pantry!$N$6:$N$305,MATCH(C854,Pantry!$B$6:$B$305,0)),2))</f>
        <v/>
      </c>
      <c r="G854" s="35">
        <f>IF(OR(B854="",C854=""),"",IFERROR(ROUND(N(D854)*N(INDEX(Recipes!$H$6:$H$105,MATCH(B854,Recipes!$B$6:$B$105,0)))/IF(N(INDEX(Recipes!$D$6:$D$105,MATCH(B854,Recipes!$B$6:$B$105,0)))&gt;0,INDEX(Recipes!$D$6:$D$105,MATCH(B854,Recipes!$B$6:$B$105,0)),1),2),0))</f>
        <v/>
      </c>
      <c r="H854" s="1" t="n"/>
    </row>
    <row r="855">
      <c r="A855" s="1" t="n"/>
      <c r="B855" s="33" t="n"/>
      <c r="C855" s="33" t="n"/>
      <c r="D855" s="31" t="n"/>
      <c r="E855" s="35">
        <f>IF(C855="","",IFERROR(INDEX(Pantry!$C$6:$C$305,MATCH(C855,Pantry!$B$6:$B$305,0))&amp;"","Add to Pantry"))</f>
        <v/>
      </c>
      <c r="F855" s="25">
        <f>IF(OR(C855="",E855="Add to Pantry"),"",ROUND(N(D855)*INDEX(Pantry!$N$6:$N$305,MATCH(C855,Pantry!$B$6:$B$305,0)),2))</f>
        <v/>
      </c>
      <c r="G855" s="35">
        <f>IF(OR(B855="",C855=""),"",IFERROR(ROUND(N(D855)*N(INDEX(Recipes!$H$6:$H$105,MATCH(B855,Recipes!$B$6:$B$105,0)))/IF(N(INDEX(Recipes!$D$6:$D$105,MATCH(B855,Recipes!$B$6:$B$105,0)))&gt;0,INDEX(Recipes!$D$6:$D$105,MATCH(B855,Recipes!$B$6:$B$105,0)),1),2),0))</f>
        <v/>
      </c>
      <c r="H855" s="1" t="n"/>
    </row>
    <row r="856">
      <c r="A856" s="1" t="n"/>
      <c r="B856" s="33" t="n"/>
      <c r="C856" s="33" t="n"/>
      <c r="D856" s="31" t="n"/>
      <c r="E856" s="35">
        <f>IF(C856="","",IFERROR(INDEX(Pantry!$C$6:$C$305,MATCH(C856,Pantry!$B$6:$B$305,0))&amp;"","Add to Pantry"))</f>
        <v/>
      </c>
      <c r="F856" s="25">
        <f>IF(OR(C856="",E856="Add to Pantry"),"",ROUND(N(D856)*INDEX(Pantry!$N$6:$N$305,MATCH(C856,Pantry!$B$6:$B$305,0)),2))</f>
        <v/>
      </c>
      <c r="G856" s="35">
        <f>IF(OR(B856="",C856=""),"",IFERROR(ROUND(N(D856)*N(INDEX(Recipes!$H$6:$H$105,MATCH(B856,Recipes!$B$6:$B$105,0)))/IF(N(INDEX(Recipes!$D$6:$D$105,MATCH(B856,Recipes!$B$6:$B$105,0)))&gt;0,INDEX(Recipes!$D$6:$D$105,MATCH(B856,Recipes!$B$6:$B$105,0)),1),2),0))</f>
        <v/>
      </c>
      <c r="H856" s="1" t="n"/>
    </row>
    <row r="857">
      <c r="A857" s="1" t="n"/>
      <c r="B857" s="33" t="n"/>
      <c r="C857" s="33" t="n"/>
      <c r="D857" s="31" t="n"/>
      <c r="E857" s="35">
        <f>IF(C857="","",IFERROR(INDEX(Pantry!$C$6:$C$305,MATCH(C857,Pantry!$B$6:$B$305,0))&amp;"","Add to Pantry"))</f>
        <v/>
      </c>
      <c r="F857" s="25">
        <f>IF(OR(C857="",E857="Add to Pantry"),"",ROUND(N(D857)*INDEX(Pantry!$N$6:$N$305,MATCH(C857,Pantry!$B$6:$B$305,0)),2))</f>
        <v/>
      </c>
      <c r="G857" s="35">
        <f>IF(OR(B857="",C857=""),"",IFERROR(ROUND(N(D857)*N(INDEX(Recipes!$H$6:$H$105,MATCH(B857,Recipes!$B$6:$B$105,0)))/IF(N(INDEX(Recipes!$D$6:$D$105,MATCH(B857,Recipes!$B$6:$B$105,0)))&gt;0,INDEX(Recipes!$D$6:$D$105,MATCH(B857,Recipes!$B$6:$B$105,0)),1),2),0))</f>
        <v/>
      </c>
      <c r="H857" s="1" t="n"/>
    </row>
    <row r="858">
      <c r="A858" s="1" t="n"/>
      <c r="B858" s="33" t="n"/>
      <c r="C858" s="33" t="n"/>
      <c r="D858" s="31" t="n"/>
      <c r="E858" s="35">
        <f>IF(C858="","",IFERROR(INDEX(Pantry!$C$6:$C$305,MATCH(C858,Pantry!$B$6:$B$305,0))&amp;"","Add to Pantry"))</f>
        <v/>
      </c>
      <c r="F858" s="25">
        <f>IF(OR(C858="",E858="Add to Pantry"),"",ROUND(N(D858)*INDEX(Pantry!$N$6:$N$305,MATCH(C858,Pantry!$B$6:$B$305,0)),2))</f>
        <v/>
      </c>
      <c r="G858" s="35">
        <f>IF(OR(B858="",C858=""),"",IFERROR(ROUND(N(D858)*N(INDEX(Recipes!$H$6:$H$105,MATCH(B858,Recipes!$B$6:$B$105,0)))/IF(N(INDEX(Recipes!$D$6:$D$105,MATCH(B858,Recipes!$B$6:$B$105,0)))&gt;0,INDEX(Recipes!$D$6:$D$105,MATCH(B858,Recipes!$B$6:$B$105,0)),1),2),0))</f>
        <v/>
      </c>
      <c r="H858" s="1" t="n"/>
    </row>
    <row r="859">
      <c r="A859" s="1" t="n"/>
      <c r="B859" s="33" t="n"/>
      <c r="C859" s="33" t="n"/>
      <c r="D859" s="31" t="n"/>
      <c r="E859" s="35">
        <f>IF(C859="","",IFERROR(INDEX(Pantry!$C$6:$C$305,MATCH(C859,Pantry!$B$6:$B$305,0))&amp;"","Add to Pantry"))</f>
        <v/>
      </c>
      <c r="F859" s="25">
        <f>IF(OR(C859="",E859="Add to Pantry"),"",ROUND(N(D859)*INDEX(Pantry!$N$6:$N$305,MATCH(C859,Pantry!$B$6:$B$305,0)),2))</f>
        <v/>
      </c>
      <c r="G859" s="35">
        <f>IF(OR(B859="",C859=""),"",IFERROR(ROUND(N(D859)*N(INDEX(Recipes!$H$6:$H$105,MATCH(B859,Recipes!$B$6:$B$105,0)))/IF(N(INDEX(Recipes!$D$6:$D$105,MATCH(B859,Recipes!$B$6:$B$105,0)))&gt;0,INDEX(Recipes!$D$6:$D$105,MATCH(B859,Recipes!$B$6:$B$105,0)),1),2),0))</f>
        <v/>
      </c>
      <c r="H859" s="1" t="n"/>
    </row>
    <row r="860">
      <c r="A860" s="1" t="n"/>
      <c r="B860" s="33" t="n"/>
      <c r="C860" s="33" t="n"/>
      <c r="D860" s="31" t="n"/>
      <c r="E860" s="35">
        <f>IF(C860="","",IFERROR(INDEX(Pantry!$C$6:$C$305,MATCH(C860,Pantry!$B$6:$B$305,0))&amp;"","Add to Pantry"))</f>
        <v/>
      </c>
      <c r="F860" s="25">
        <f>IF(OR(C860="",E860="Add to Pantry"),"",ROUND(N(D860)*INDEX(Pantry!$N$6:$N$305,MATCH(C860,Pantry!$B$6:$B$305,0)),2))</f>
        <v/>
      </c>
      <c r="G860" s="35">
        <f>IF(OR(B860="",C860=""),"",IFERROR(ROUND(N(D860)*N(INDEX(Recipes!$H$6:$H$105,MATCH(B860,Recipes!$B$6:$B$105,0)))/IF(N(INDEX(Recipes!$D$6:$D$105,MATCH(B860,Recipes!$B$6:$B$105,0)))&gt;0,INDEX(Recipes!$D$6:$D$105,MATCH(B860,Recipes!$B$6:$B$105,0)),1),2),0))</f>
        <v/>
      </c>
      <c r="H860" s="1" t="n"/>
    </row>
    <row r="861">
      <c r="A861" s="1" t="n"/>
      <c r="B861" s="33" t="n"/>
      <c r="C861" s="33" t="n"/>
      <c r="D861" s="31" t="n"/>
      <c r="E861" s="35">
        <f>IF(C861="","",IFERROR(INDEX(Pantry!$C$6:$C$305,MATCH(C861,Pantry!$B$6:$B$305,0))&amp;"","Add to Pantry"))</f>
        <v/>
      </c>
      <c r="F861" s="25">
        <f>IF(OR(C861="",E861="Add to Pantry"),"",ROUND(N(D861)*INDEX(Pantry!$N$6:$N$305,MATCH(C861,Pantry!$B$6:$B$305,0)),2))</f>
        <v/>
      </c>
      <c r="G861" s="35">
        <f>IF(OR(B861="",C861=""),"",IFERROR(ROUND(N(D861)*N(INDEX(Recipes!$H$6:$H$105,MATCH(B861,Recipes!$B$6:$B$105,0)))/IF(N(INDEX(Recipes!$D$6:$D$105,MATCH(B861,Recipes!$B$6:$B$105,0)))&gt;0,INDEX(Recipes!$D$6:$D$105,MATCH(B861,Recipes!$B$6:$B$105,0)),1),2),0))</f>
        <v/>
      </c>
      <c r="H861" s="1" t="n"/>
    </row>
    <row r="862">
      <c r="A862" s="1" t="n"/>
      <c r="B862" s="33" t="n"/>
      <c r="C862" s="33" t="n"/>
      <c r="D862" s="31" t="n"/>
      <c r="E862" s="35">
        <f>IF(C862="","",IFERROR(INDEX(Pantry!$C$6:$C$305,MATCH(C862,Pantry!$B$6:$B$305,0))&amp;"","Add to Pantry"))</f>
        <v/>
      </c>
      <c r="F862" s="25">
        <f>IF(OR(C862="",E862="Add to Pantry"),"",ROUND(N(D862)*INDEX(Pantry!$N$6:$N$305,MATCH(C862,Pantry!$B$6:$B$305,0)),2))</f>
        <v/>
      </c>
      <c r="G862" s="35">
        <f>IF(OR(B862="",C862=""),"",IFERROR(ROUND(N(D862)*N(INDEX(Recipes!$H$6:$H$105,MATCH(B862,Recipes!$B$6:$B$105,0)))/IF(N(INDEX(Recipes!$D$6:$D$105,MATCH(B862,Recipes!$B$6:$B$105,0)))&gt;0,INDEX(Recipes!$D$6:$D$105,MATCH(B862,Recipes!$B$6:$B$105,0)),1),2),0))</f>
        <v/>
      </c>
      <c r="H862" s="1" t="n"/>
    </row>
    <row r="863">
      <c r="A863" s="1" t="n"/>
      <c r="B863" s="33" t="n"/>
      <c r="C863" s="33" t="n"/>
      <c r="D863" s="31" t="n"/>
      <c r="E863" s="35">
        <f>IF(C863="","",IFERROR(INDEX(Pantry!$C$6:$C$305,MATCH(C863,Pantry!$B$6:$B$305,0))&amp;"","Add to Pantry"))</f>
        <v/>
      </c>
      <c r="F863" s="25">
        <f>IF(OR(C863="",E863="Add to Pantry"),"",ROUND(N(D863)*INDEX(Pantry!$N$6:$N$305,MATCH(C863,Pantry!$B$6:$B$305,0)),2))</f>
        <v/>
      </c>
      <c r="G863" s="35">
        <f>IF(OR(B863="",C863=""),"",IFERROR(ROUND(N(D863)*N(INDEX(Recipes!$H$6:$H$105,MATCH(B863,Recipes!$B$6:$B$105,0)))/IF(N(INDEX(Recipes!$D$6:$D$105,MATCH(B863,Recipes!$B$6:$B$105,0)))&gt;0,INDEX(Recipes!$D$6:$D$105,MATCH(B863,Recipes!$B$6:$B$105,0)),1),2),0))</f>
        <v/>
      </c>
      <c r="H863" s="1" t="n"/>
    </row>
    <row r="864">
      <c r="A864" s="1" t="n"/>
      <c r="B864" s="33" t="n"/>
      <c r="C864" s="33" t="n"/>
      <c r="D864" s="31" t="n"/>
      <c r="E864" s="35">
        <f>IF(C864="","",IFERROR(INDEX(Pantry!$C$6:$C$305,MATCH(C864,Pantry!$B$6:$B$305,0))&amp;"","Add to Pantry"))</f>
        <v/>
      </c>
      <c r="F864" s="25">
        <f>IF(OR(C864="",E864="Add to Pantry"),"",ROUND(N(D864)*INDEX(Pantry!$N$6:$N$305,MATCH(C864,Pantry!$B$6:$B$305,0)),2))</f>
        <v/>
      </c>
      <c r="G864" s="35">
        <f>IF(OR(B864="",C864=""),"",IFERROR(ROUND(N(D864)*N(INDEX(Recipes!$H$6:$H$105,MATCH(B864,Recipes!$B$6:$B$105,0)))/IF(N(INDEX(Recipes!$D$6:$D$105,MATCH(B864,Recipes!$B$6:$B$105,0)))&gt;0,INDEX(Recipes!$D$6:$D$105,MATCH(B864,Recipes!$B$6:$B$105,0)),1),2),0))</f>
        <v/>
      </c>
      <c r="H864" s="1" t="n"/>
    </row>
    <row r="865">
      <c r="A865" s="1" t="n"/>
      <c r="B865" s="33" t="n"/>
      <c r="C865" s="33" t="n"/>
      <c r="D865" s="31" t="n"/>
      <c r="E865" s="35">
        <f>IF(C865="","",IFERROR(INDEX(Pantry!$C$6:$C$305,MATCH(C865,Pantry!$B$6:$B$305,0))&amp;"","Add to Pantry"))</f>
        <v/>
      </c>
      <c r="F865" s="25">
        <f>IF(OR(C865="",E865="Add to Pantry"),"",ROUND(N(D865)*INDEX(Pantry!$N$6:$N$305,MATCH(C865,Pantry!$B$6:$B$305,0)),2))</f>
        <v/>
      </c>
      <c r="G865" s="35">
        <f>IF(OR(B865="",C865=""),"",IFERROR(ROUND(N(D865)*N(INDEX(Recipes!$H$6:$H$105,MATCH(B865,Recipes!$B$6:$B$105,0)))/IF(N(INDEX(Recipes!$D$6:$D$105,MATCH(B865,Recipes!$B$6:$B$105,0)))&gt;0,INDEX(Recipes!$D$6:$D$105,MATCH(B865,Recipes!$B$6:$B$105,0)),1),2),0))</f>
        <v/>
      </c>
      <c r="H865" s="1" t="n"/>
    </row>
    <row r="866">
      <c r="A866" s="1" t="n"/>
      <c r="B866" s="33" t="n"/>
      <c r="C866" s="33" t="n"/>
      <c r="D866" s="31" t="n"/>
      <c r="E866" s="35">
        <f>IF(C866="","",IFERROR(INDEX(Pantry!$C$6:$C$305,MATCH(C866,Pantry!$B$6:$B$305,0))&amp;"","Add to Pantry"))</f>
        <v/>
      </c>
      <c r="F866" s="25">
        <f>IF(OR(C866="",E866="Add to Pantry"),"",ROUND(N(D866)*INDEX(Pantry!$N$6:$N$305,MATCH(C866,Pantry!$B$6:$B$305,0)),2))</f>
        <v/>
      </c>
      <c r="G866" s="35">
        <f>IF(OR(B866="",C866=""),"",IFERROR(ROUND(N(D866)*N(INDEX(Recipes!$H$6:$H$105,MATCH(B866,Recipes!$B$6:$B$105,0)))/IF(N(INDEX(Recipes!$D$6:$D$105,MATCH(B866,Recipes!$B$6:$B$105,0)))&gt;0,INDEX(Recipes!$D$6:$D$105,MATCH(B866,Recipes!$B$6:$B$105,0)),1),2),0))</f>
        <v/>
      </c>
      <c r="H866" s="1" t="n"/>
    </row>
    <row r="867">
      <c r="A867" s="1" t="n"/>
      <c r="B867" s="33" t="n"/>
      <c r="C867" s="33" t="n"/>
      <c r="D867" s="31" t="n"/>
      <c r="E867" s="35">
        <f>IF(C867="","",IFERROR(INDEX(Pantry!$C$6:$C$305,MATCH(C867,Pantry!$B$6:$B$305,0))&amp;"","Add to Pantry"))</f>
        <v/>
      </c>
      <c r="F867" s="25">
        <f>IF(OR(C867="",E867="Add to Pantry"),"",ROUND(N(D867)*INDEX(Pantry!$N$6:$N$305,MATCH(C867,Pantry!$B$6:$B$305,0)),2))</f>
        <v/>
      </c>
      <c r="G867" s="35">
        <f>IF(OR(B867="",C867=""),"",IFERROR(ROUND(N(D867)*N(INDEX(Recipes!$H$6:$H$105,MATCH(B867,Recipes!$B$6:$B$105,0)))/IF(N(INDEX(Recipes!$D$6:$D$105,MATCH(B867,Recipes!$B$6:$B$105,0)))&gt;0,INDEX(Recipes!$D$6:$D$105,MATCH(B867,Recipes!$B$6:$B$105,0)),1),2),0))</f>
        <v/>
      </c>
      <c r="H867" s="1" t="n"/>
    </row>
    <row r="868">
      <c r="A868" s="1" t="n"/>
      <c r="B868" s="33" t="n"/>
      <c r="C868" s="33" t="n"/>
      <c r="D868" s="31" t="n"/>
      <c r="E868" s="35">
        <f>IF(C868="","",IFERROR(INDEX(Pantry!$C$6:$C$305,MATCH(C868,Pantry!$B$6:$B$305,0))&amp;"","Add to Pantry"))</f>
        <v/>
      </c>
      <c r="F868" s="25">
        <f>IF(OR(C868="",E868="Add to Pantry"),"",ROUND(N(D868)*INDEX(Pantry!$N$6:$N$305,MATCH(C868,Pantry!$B$6:$B$305,0)),2))</f>
        <v/>
      </c>
      <c r="G868" s="35">
        <f>IF(OR(B868="",C868=""),"",IFERROR(ROUND(N(D868)*N(INDEX(Recipes!$H$6:$H$105,MATCH(B868,Recipes!$B$6:$B$105,0)))/IF(N(INDEX(Recipes!$D$6:$D$105,MATCH(B868,Recipes!$B$6:$B$105,0)))&gt;0,INDEX(Recipes!$D$6:$D$105,MATCH(B868,Recipes!$B$6:$B$105,0)),1),2),0))</f>
        <v/>
      </c>
      <c r="H868" s="1" t="n"/>
    </row>
    <row r="869">
      <c r="A869" s="1" t="n"/>
      <c r="B869" s="33" t="n"/>
      <c r="C869" s="33" t="n"/>
      <c r="D869" s="31" t="n"/>
      <c r="E869" s="35">
        <f>IF(C869="","",IFERROR(INDEX(Pantry!$C$6:$C$305,MATCH(C869,Pantry!$B$6:$B$305,0))&amp;"","Add to Pantry"))</f>
        <v/>
      </c>
      <c r="F869" s="25">
        <f>IF(OR(C869="",E869="Add to Pantry"),"",ROUND(N(D869)*INDEX(Pantry!$N$6:$N$305,MATCH(C869,Pantry!$B$6:$B$305,0)),2))</f>
        <v/>
      </c>
      <c r="G869" s="35">
        <f>IF(OR(B869="",C869=""),"",IFERROR(ROUND(N(D869)*N(INDEX(Recipes!$H$6:$H$105,MATCH(B869,Recipes!$B$6:$B$105,0)))/IF(N(INDEX(Recipes!$D$6:$D$105,MATCH(B869,Recipes!$B$6:$B$105,0)))&gt;0,INDEX(Recipes!$D$6:$D$105,MATCH(B869,Recipes!$B$6:$B$105,0)),1),2),0))</f>
        <v/>
      </c>
      <c r="H869" s="1" t="n"/>
    </row>
    <row r="870">
      <c r="A870" s="1" t="n"/>
      <c r="B870" s="33" t="n"/>
      <c r="C870" s="33" t="n"/>
      <c r="D870" s="31" t="n"/>
      <c r="E870" s="35">
        <f>IF(C870="","",IFERROR(INDEX(Pantry!$C$6:$C$305,MATCH(C870,Pantry!$B$6:$B$305,0))&amp;"","Add to Pantry"))</f>
        <v/>
      </c>
      <c r="F870" s="25">
        <f>IF(OR(C870="",E870="Add to Pantry"),"",ROUND(N(D870)*INDEX(Pantry!$N$6:$N$305,MATCH(C870,Pantry!$B$6:$B$305,0)),2))</f>
        <v/>
      </c>
      <c r="G870" s="35">
        <f>IF(OR(B870="",C870=""),"",IFERROR(ROUND(N(D870)*N(INDEX(Recipes!$H$6:$H$105,MATCH(B870,Recipes!$B$6:$B$105,0)))/IF(N(INDEX(Recipes!$D$6:$D$105,MATCH(B870,Recipes!$B$6:$B$105,0)))&gt;0,INDEX(Recipes!$D$6:$D$105,MATCH(B870,Recipes!$B$6:$B$105,0)),1),2),0))</f>
        <v/>
      </c>
      <c r="H870" s="1" t="n"/>
    </row>
    <row r="871">
      <c r="A871" s="1" t="n"/>
      <c r="B871" s="33" t="n"/>
      <c r="C871" s="33" t="n"/>
      <c r="D871" s="31" t="n"/>
      <c r="E871" s="35">
        <f>IF(C871="","",IFERROR(INDEX(Pantry!$C$6:$C$305,MATCH(C871,Pantry!$B$6:$B$305,0))&amp;"","Add to Pantry"))</f>
        <v/>
      </c>
      <c r="F871" s="25">
        <f>IF(OR(C871="",E871="Add to Pantry"),"",ROUND(N(D871)*INDEX(Pantry!$N$6:$N$305,MATCH(C871,Pantry!$B$6:$B$305,0)),2))</f>
        <v/>
      </c>
      <c r="G871" s="35">
        <f>IF(OR(B871="",C871=""),"",IFERROR(ROUND(N(D871)*N(INDEX(Recipes!$H$6:$H$105,MATCH(B871,Recipes!$B$6:$B$105,0)))/IF(N(INDEX(Recipes!$D$6:$D$105,MATCH(B871,Recipes!$B$6:$B$105,0)))&gt;0,INDEX(Recipes!$D$6:$D$105,MATCH(B871,Recipes!$B$6:$B$105,0)),1),2),0))</f>
        <v/>
      </c>
      <c r="H871" s="1" t="n"/>
    </row>
    <row r="872">
      <c r="A872" s="1" t="n"/>
      <c r="B872" s="33" t="n"/>
      <c r="C872" s="33" t="n"/>
      <c r="D872" s="31" t="n"/>
      <c r="E872" s="35">
        <f>IF(C872="","",IFERROR(INDEX(Pantry!$C$6:$C$305,MATCH(C872,Pantry!$B$6:$B$305,0))&amp;"","Add to Pantry"))</f>
        <v/>
      </c>
      <c r="F872" s="25">
        <f>IF(OR(C872="",E872="Add to Pantry"),"",ROUND(N(D872)*INDEX(Pantry!$N$6:$N$305,MATCH(C872,Pantry!$B$6:$B$305,0)),2))</f>
        <v/>
      </c>
      <c r="G872" s="35">
        <f>IF(OR(B872="",C872=""),"",IFERROR(ROUND(N(D872)*N(INDEX(Recipes!$H$6:$H$105,MATCH(B872,Recipes!$B$6:$B$105,0)))/IF(N(INDEX(Recipes!$D$6:$D$105,MATCH(B872,Recipes!$B$6:$B$105,0)))&gt;0,INDEX(Recipes!$D$6:$D$105,MATCH(B872,Recipes!$B$6:$B$105,0)),1),2),0))</f>
        <v/>
      </c>
      <c r="H872" s="1" t="n"/>
    </row>
    <row r="873">
      <c r="A873" s="1" t="n"/>
      <c r="B873" s="33" t="n"/>
      <c r="C873" s="33" t="n"/>
      <c r="D873" s="31" t="n"/>
      <c r="E873" s="35">
        <f>IF(C873="","",IFERROR(INDEX(Pantry!$C$6:$C$305,MATCH(C873,Pantry!$B$6:$B$305,0))&amp;"","Add to Pantry"))</f>
        <v/>
      </c>
      <c r="F873" s="25">
        <f>IF(OR(C873="",E873="Add to Pantry"),"",ROUND(N(D873)*INDEX(Pantry!$N$6:$N$305,MATCH(C873,Pantry!$B$6:$B$305,0)),2))</f>
        <v/>
      </c>
      <c r="G873" s="35">
        <f>IF(OR(B873="",C873=""),"",IFERROR(ROUND(N(D873)*N(INDEX(Recipes!$H$6:$H$105,MATCH(B873,Recipes!$B$6:$B$105,0)))/IF(N(INDEX(Recipes!$D$6:$D$105,MATCH(B873,Recipes!$B$6:$B$105,0)))&gt;0,INDEX(Recipes!$D$6:$D$105,MATCH(B873,Recipes!$B$6:$B$105,0)),1),2),0))</f>
        <v/>
      </c>
      <c r="H873" s="1" t="n"/>
    </row>
    <row r="874">
      <c r="A874" s="1" t="n"/>
      <c r="B874" s="33" t="n"/>
      <c r="C874" s="33" t="n"/>
      <c r="D874" s="31" t="n"/>
      <c r="E874" s="35">
        <f>IF(C874="","",IFERROR(INDEX(Pantry!$C$6:$C$305,MATCH(C874,Pantry!$B$6:$B$305,0))&amp;"","Add to Pantry"))</f>
        <v/>
      </c>
      <c r="F874" s="25">
        <f>IF(OR(C874="",E874="Add to Pantry"),"",ROUND(N(D874)*INDEX(Pantry!$N$6:$N$305,MATCH(C874,Pantry!$B$6:$B$305,0)),2))</f>
        <v/>
      </c>
      <c r="G874" s="35">
        <f>IF(OR(B874="",C874=""),"",IFERROR(ROUND(N(D874)*N(INDEX(Recipes!$H$6:$H$105,MATCH(B874,Recipes!$B$6:$B$105,0)))/IF(N(INDEX(Recipes!$D$6:$D$105,MATCH(B874,Recipes!$B$6:$B$105,0)))&gt;0,INDEX(Recipes!$D$6:$D$105,MATCH(B874,Recipes!$B$6:$B$105,0)),1),2),0))</f>
        <v/>
      </c>
      <c r="H874" s="1" t="n"/>
    </row>
    <row r="875">
      <c r="A875" s="1" t="n"/>
      <c r="B875" s="33" t="n"/>
      <c r="C875" s="33" t="n"/>
      <c r="D875" s="31" t="n"/>
      <c r="E875" s="35">
        <f>IF(C875="","",IFERROR(INDEX(Pantry!$C$6:$C$305,MATCH(C875,Pantry!$B$6:$B$305,0))&amp;"","Add to Pantry"))</f>
        <v/>
      </c>
      <c r="F875" s="25">
        <f>IF(OR(C875="",E875="Add to Pantry"),"",ROUND(N(D875)*INDEX(Pantry!$N$6:$N$305,MATCH(C875,Pantry!$B$6:$B$305,0)),2))</f>
        <v/>
      </c>
      <c r="G875" s="35">
        <f>IF(OR(B875="",C875=""),"",IFERROR(ROUND(N(D875)*N(INDEX(Recipes!$H$6:$H$105,MATCH(B875,Recipes!$B$6:$B$105,0)))/IF(N(INDEX(Recipes!$D$6:$D$105,MATCH(B875,Recipes!$B$6:$B$105,0)))&gt;0,INDEX(Recipes!$D$6:$D$105,MATCH(B875,Recipes!$B$6:$B$105,0)),1),2),0))</f>
        <v/>
      </c>
      <c r="H875" s="1" t="n"/>
    </row>
    <row r="876">
      <c r="A876" s="1" t="n"/>
      <c r="B876" s="33" t="n"/>
      <c r="C876" s="33" t="n"/>
      <c r="D876" s="31" t="n"/>
      <c r="E876" s="35">
        <f>IF(C876="","",IFERROR(INDEX(Pantry!$C$6:$C$305,MATCH(C876,Pantry!$B$6:$B$305,0))&amp;"","Add to Pantry"))</f>
        <v/>
      </c>
      <c r="F876" s="25">
        <f>IF(OR(C876="",E876="Add to Pantry"),"",ROUND(N(D876)*INDEX(Pantry!$N$6:$N$305,MATCH(C876,Pantry!$B$6:$B$305,0)),2))</f>
        <v/>
      </c>
      <c r="G876" s="35">
        <f>IF(OR(B876="",C876=""),"",IFERROR(ROUND(N(D876)*N(INDEX(Recipes!$H$6:$H$105,MATCH(B876,Recipes!$B$6:$B$105,0)))/IF(N(INDEX(Recipes!$D$6:$D$105,MATCH(B876,Recipes!$B$6:$B$105,0)))&gt;0,INDEX(Recipes!$D$6:$D$105,MATCH(B876,Recipes!$B$6:$B$105,0)),1),2),0))</f>
        <v/>
      </c>
      <c r="H876" s="1" t="n"/>
    </row>
    <row r="877">
      <c r="A877" s="1" t="n"/>
      <c r="B877" s="33" t="n"/>
      <c r="C877" s="33" t="n"/>
      <c r="D877" s="31" t="n"/>
      <c r="E877" s="35">
        <f>IF(C877="","",IFERROR(INDEX(Pantry!$C$6:$C$305,MATCH(C877,Pantry!$B$6:$B$305,0))&amp;"","Add to Pantry"))</f>
        <v/>
      </c>
      <c r="F877" s="25">
        <f>IF(OR(C877="",E877="Add to Pantry"),"",ROUND(N(D877)*INDEX(Pantry!$N$6:$N$305,MATCH(C877,Pantry!$B$6:$B$305,0)),2))</f>
        <v/>
      </c>
      <c r="G877" s="35">
        <f>IF(OR(B877="",C877=""),"",IFERROR(ROUND(N(D877)*N(INDEX(Recipes!$H$6:$H$105,MATCH(B877,Recipes!$B$6:$B$105,0)))/IF(N(INDEX(Recipes!$D$6:$D$105,MATCH(B877,Recipes!$B$6:$B$105,0)))&gt;0,INDEX(Recipes!$D$6:$D$105,MATCH(B877,Recipes!$B$6:$B$105,0)),1),2),0))</f>
        <v/>
      </c>
      <c r="H877" s="1" t="n"/>
    </row>
    <row r="878">
      <c r="A878" s="1" t="n"/>
      <c r="B878" s="33" t="n"/>
      <c r="C878" s="33" t="n"/>
      <c r="D878" s="31" t="n"/>
      <c r="E878" s="35">
        <f>IF(C878="","",IFERROR(INDEX(Pantry!$C$6:$C$305,MATCH(C878,Pantry!$B$6:$B$305,0))&amp;"","Add to Pantry"))</f>
        <v/>
      </c>
      <c r="F878" s="25">
        <f>IF(OR(C878="",E878="Add to Pantry"),"",ROUND(N(D878)*INDEX(Pantry!$N$6:$N$305,MATCH(C878,Pantry!$B$6:$B$305,0)),2))</f>
        <v/>
      </c>
      <c r="G878" s="35">
        <f>IF(OR(B878="",C878=""),"",IFERROR(ROUND(N(D878)*N(INDEX(Recipes!$H$6:$H$105,MATCH(B878,Recipes!$B$6:$B$105,0)))/IF(N(INDEX(Recipes!$D$6:$D$105,MATCH(B878,Recipes!$B$6:$B$105,0)))&gt;0,INDEX(Recipes!$D$6:$D$105,MATCH(B878,Recipes!$B$6:$B$105,0)),1),2),0))</f>
        <v/>
      </c>
      <c r="H878" s="1" t="n"/>
    </row>
    <row r="879">
      <c r="A879" s="1" t="n"/>
      <c r="B879" s="33" t="n"/>
      <c r="C879" s="33" t="n"/>
      <c r="D879" s="31" t="n"/>
      <c r="E879" s="35">
        <f>IF(C879="","",IFERROR(INDEX(Pantry!$C$6:$C$305,MATCH(C879,Pantry!$B$6:$B$305,0))&amp;"","Add to Pantry"))</f>
        <v/>
      </c>
      <c r="F879" s="25">
        <f>IF(OR(C879="",E879="Add to Pantry"),"",ROUND(N(D879)*INDEX(Pantry!$N$6:$N$305,MATCH(C879,Pantry!$B$6:$B$305,0)),2))</f>
        <v/>
      </c>
      <c r="G879" s="35">
        <f>IF(OR(B879="",C879=""),"",IFERROR(ROUND(N(D879)*N(INDEX(Recipes!$H$6:$H$105,MATCH(B879,Recipes!$B$6:$B$105,0)))/IF(N(INDEX(Recipes!$D$6:$D$105,MATCH(B879,Recipes!$B$6:$B$105,0)))&gt;0,INDEX(Recipes!$D$6:$D$105,MATCH(B879,Recipes!$B$6:$B$105,0)),1),2),0))</f>
        <v/>
      </c>
      <c r="H879" s="1" t="n"/>
    </row>
    <row r="880">
      <c r="A880" s="1" t="n"/>
      <c r="B880" s="33" t="n"/>
      <c r="C880" s="33" t="n"/>
      <c r="D880" s="31" t="n"/>
      <c r="E880" s="35">
        <f>IF(C880="","",IFERROR(INDEX(Pantry!$C$6:$C$305,MATCH(C880,Pantry!$B$6:$B$305,0))&amp;"","Add to Pantry"))</f>
        <v/>
      </c>
      <c r="F880" s="25">
        <f>IF(OR(C880="",E880="Add to Pantry"),"",ROUND(N(D880)*INDEX(Pantry!$N$6:$N$305,MATCH(C880,Pantry!$B$6:$B$305,0)),2))</f>
        <v/>
      </c>
      <c r="G880" s="35">
        <f>IF(OR(B880="",C880=""),"",IFERROR(ROUND(N(D880)*N(INDEX(Recipes!$H$6:$H$105,MATCH(B880,Recipes!$B$6:$B$105,0)))/IF(N(INDEX(Recipes!$D$6:$D$105,MATCH(B880,Recipes!$B$6:$B$105,0)))&gt;0,INDEX(Recipes!$D$6:$D$105,MATCH(B880,Recipes!$B$6:$B$105,0)),1),2),0))</f>
        <v/>
      </c>
      <c r="H880" s="1" t="n"/>
    </row>
    <row r="881">
      <c r="A881" s="1" t="n"/>
      <c r="B881" s="33" t="n"/>
      <c r="C881" s="33" t="n"/>
      <c r="D881" s="31" t="n"/>
      <c r="E881" s="35">
        <f>IF(C881="","",IFERROR(INDEX(Pantry!$C$6:$C$305,MATCH(C881,Pantry!$B$6:$B$305,0))&amp;"","Add to Pantry"))</f>
        <v/>
      </c>
      <c r="F881" s="25">
        <f>IF(OR(C881="",E881="Add to Pantry"),"",ROUND(N(D881)*INDEX(Pantry!$N$6:$N$305,MATCH(C881,Pantry!$B$6:$B$305,0)),2))</f>
        <v/>
      </c>
      <c r="G881" s="35">
        <f>IF(OR(B881="",C881=""),"",IFERROR(ROUND(N(D881)*N(INDEX(Recipes!$H$6:$H$105,MATCH(B881,Recipes!$B$6:$B$105,0)))/IF(N(INDEX(Recipes!$D$6:$D$105,MATCH(B881,Recipes!$B$6:$B$105,0)))&gt;0,INDEX(Recipes!$D$6:$D$105,MATCH(B881,Recipes!$B$6:$B$105,0)),1),2),0))</f>
        <v/>
      </c>
      <c r="H881" s="1" t="n"/>
    </row>
    <row r="882">
      <c r="A882" s="1" t="n"/>
      <c r="B882" s="33" t="n"/>
      <c r="C882" s="33" t="n"/>
      <c r="D882" s="31" t="n"/>
      <c r="E882" s="35">
        <f>IF(C882="","",IFERROR(INDEX(Pantry!$C$6:$C$305,MATCH(C882,Pantry!$B$6:$B$305,0))&amp;"","Add to Pantry"))</f>
        <v/>
      </c>
      <c r="F882" s="25">
        <f>IF(OR(C882="",E882="Add to Pantry"),"",ROUND(N(D882)*INDEX(Pantry!$N$6:$N$305,MATCH(C882,Pantry!$B$6:$B$305,0)),2))</f>
        <v/>
      </c>
      <c r="G882" s="35">
        <f>IF(OR(B882="",C882=""),"",IFERROR(ROUND(N(D882)*N(INDEX(Recipes!$H$6:$H$105,MATCH(B882,Recipes!$B$6:$B$105,0)))/IF(N(INDEX(Recipes!$D$6:$D$105,MATCH(B882,Recipes!$B$6:$B$105,0)))&gt;0,INDEX(Recipes!$D$6:$D$105,MATCH(B882,Recipes!$B$6:$B$105,0)),1),2),0))</f>
        <v/>
      </c>
      <c r="H882" s="1" t="n"/>
    </row>
    <row r="883">
      <c r="A883" s="1" t="n"/>
      <c r="B883" s="33" t="n"/>
      <c r="C883" s="33" t="n"/>
      <c r="D883" s="31" t="n"/>
      <c r="E883" s="35">
        <f>IF(C883="","",IFERROR(INDEX(Pantry!$C$6:$C$305,MATCH(C883,Pantry!$B$6:$B$305,0))&amp;"","Add to Pantry"))</f>
        <v/>
      </c>
      <c r="F883" s="25">
        <f>IF(OR(C883="",E883="Add to Pantry"),"",ROUND(N(D883)*INDEX(Pantry!$N$6:$N$305,MATCH(C883,Pantry!$B$6:$B$305,0)),2))</f>
        <v/>
      </c>
      <c r="G883" s="35">
        <f>IF(OR(B883="",C883=""),"",IFERROR(ROUND(N(D883)*N(INDEX(Recipes!$H$6:$H$105,MATCH(B883,Recipes!$B$6:$B$105,0)))/IF(N(INDEX(Recipes!$D$6:$D$105,MATCH(B883,Recipes!$B$6:$B$105,0)))&gt;0,INDEX(Recipes!$D$6:$D$105,MATCH(B883,Recipes!$B$6:$B$105,0)),1),2),0))</f>
        <v/>
      </c>
      <c r="H883" s="1" t="n"/>
    </row>
    <row r="884">
      <c r="A884" s="1" t="n"/>
      <c r="B884" s="33" t="n"/>
      <c r="C884" s="33" t="n"/>
      <c r="D884" s="31" t="n"/>
      <c r="E884" s="35">
        <f>IF(C884="","",IFERROR(INDEX(Pantry!$C$6:$C$305,MATCH(C884,Pantry!$B$6:$B$305,0))&amp;"","Add to Pantry"))</f>
        <v/>
      </c>
      <c r="F884" s="25">
        <f>IF(OR(C884="",E884="Add to Pantry"),"",ROUND(N(D884)*INDEX(Pantry!$N$6:$N$305,MATCH(C884,Pantry!$B$6:$B$305,0)),2))</f>
        <v/>
      </c>
      <c r="G884" s="35">
        <f>IF(OR(B884="",C884=""),"",IFERROR(ROUND(N(D884)*N(INDEX(Recipes!$H$6:$H$105,MATCH(B884,Recipes!$B$6:$B$105,0)))/IF(N(INDEX(Recipes!$D$6:$D$105,MATCH(B884,Recipes!$B$6:$B$105,0)))&gt;0,INDEX(Recipes!$D$6:$D$105,MATCH(B884,Recipes!$B$6:$B$105,0)),1),2),0))</f>
        <v/>
      </c>
      <c r="H884" s="1" t="n"/>
    </row>
    <row r="885">
      <c r="A885" s="1" t="n"/>
      <c r="B885" s="33" t="n"/>
      <c r="C885" s="33" t="n"/>
      <c r="D885" s="31" t="n"/>
      <c r="E885" s="35">
        <f>IF(C885="","",IFERROR(INDEX(Pantry!$C$6:$C$305,MATCH(C885,Pantry!$B$6:$B$305,0))&amp;"","Add to Pantry"))</f>
        <v/>
      </c>
      <c r="F885" s="25">
        <f>IF(OR(C885="",E885="Add to Pantry"),"",ROUND(N(D885)*INDEX(Pantry!$N$6:$N$305,MATCH(C885,Pantry!$B$6:$B$305,0)),2))</f>
        <v/>
      </c>
      <c r="G885" s="35">
        <f>IF(OR(B885="",C885=""),"",IFERROR(ROUND(N(D885)*N(INDEX(Recipes!$H$6:$H$105,MATCH(B885,Recipes!$B$6:$B$105,0)))/IF(N(INDEX(Recipes!$D$6:$D$105,MATCH(B885,Recipes!$B$6:$B$105,0)))&gt;0,INDEX(Recipes!$D$6:$D$105,MATCH(B885,Recipes!$B$6:$B$105,0)),1),2),0))</f>
        <v/>
      </c>
      <c r="H885" s="1" t="n"/>
    </row>
    <row r="886">
      <c r="A886" s="1" t="n"/>
      <c r="B886" s="33" t="n"/>
      <c r="C886" s="33" t="n"/>
      <c r="D886" s="31" t="n"/>
      <c r="E886" s="35">
        <f>IF(C886="","",IFERROR(INDEX(Pantry!$C$6:$C$305,MATCH(C886,Pantry!$B$6:$B$305,0))&amp;"","Add to Pantry"))</f>
        <v/>
      </c>
      <c r="F886" s="25">
        <f>IF(OR(C886="",E886="Add to Pantry"),"",ROUND(N(D886)*INDEX(Pantry!$N$6:$N$305,MATCH(C886,Pantry!$B$6:$B$305,0)),2))</f>
        <v/>
      </c>
      <c r="G886" s="35">
        <f>IF(OR(B886="",C886=""),"",IFERROR(ROUND(N(D886)*N(INDEX(Recipes!$H$6:$H$105,MATCH(B886,Recipes!$B$6:$B$105,0)))/IF(N(INDEX(Recipes!$D$6:$D$105,MATCH(B886,Recipes!$B$6:$B$105,0)))&gt;0,INDEX(Recipes!$D$6:$D$105,MATCH(B886,Recipes!$B$6:$B$105,0)),1),2),0))</f>
        <v/>
      </c>
      <c r="H886" s="1" t="n"/>
    </row>
    <row r="887">
      <c r="A887" s="1" t="n"/>
      <c r="B887" s="33" t="n"/>
      <c r="C887" s="33" t="n"/>
      <c r="D887" s="31" t="n"/>
      <c r="E887" s="35">
        <f>IF(C887="","",IFERROR(INDEX(Pantry!$C$6:$C$305,MATCH(C887,Pantry!$B$6:$B$305,0))&amp;"","Add to Pantry"))</f>
        <v/>
      </c>
      <c r="F887" s="25">
        <f>IF(OR(C887="",E887="Add to Pantry"),"",ROUND(N(D887)*INDEX(Pantry!$N$6:$N$305,MATCH(C887,Pantry!$B$6:$B$305,0)),2))</f>
        <v/>
      </c>
      <c r="G887" s="35">
        <f>IF(OR(B887="",C887=""),"",IFERROR(ROUND(N(D887)*N(INDEX(Recipes!$H$6:$H$105,MATCH(B887,Recipes!$B$6:$B$105,0)))/IF(N(INDEX(Recipes!$D$6:$D$105,MATCH(B887,Recipes!$B$6:$B$105,0)))&gt;0,INDEX(Recipes!$D$6:$D$105,MATCH(B887,Recipes!$B$6:$B$105,0)),1),2),0))</f>
        <v/>
      </c>
      <c r="H887" s="1" t="n"/>
    </row>
    <row r="888">
      <c r="A888" s="1" t="n"/>
      <c r="B888" s="33" t="n"/>
      <c r="C888" s="33" t="n"/>
      <c r="D888" s="31" t="n"/>
      <c r="E888" s="35">
        <f>IF(C888="","",IFERROR(INDEX(Pantry!$C$6:$C$305,MATCH(C888,Pantry!$B$6:$B$305,0))&amp;"","Add to Pantry"))</f>
        <v/>
      </c>
      <c r="F888" s="25">
        <f>IF(OR(C888="",E888="Add to Pantry"),"",ROUND(N(D888)*INDEX(Pantry!$N$6:$N$305,MATCH(C888,Pantry!$B$6:$B$305,0)),2))</f>
        <v/>
      </c>
      <c r="G888" s="35">
        <f>IF(OR(B888="",C888=""),"",IFERROR(ROUND(N(D888)*N(INDEX(Recipes!$H$6:$H$105,MATCH(B888,Recipes!$B$6:$B$105,0)))/IF(N(INDEX(Recipes!$D$6:$D$105,MATCH(B888,Recipes!$B$6:$B$105,0)))&gt;0,INDEX(Recipes!$D$6:$D$105,MATCH(B888,Recipes!$B$6:$B$105,0)),1),2),0))</f>
        <v/>
      </c>
      <c r="H888" s="1" t="n"/>
    </row>
    <row r="889">
      <c r="A889" s="1" t="n"/>
      <c r="B889" s="33" t="n"/>
      <c r="C889" s="33" t="n"/>
      <c r="D889" s="31" t="n"/>
      <c r="E889" s="35">
        <f>IF(C889="","",IFERROR(INDEX(Pantry!$C$6:$C$305,MATCH(C889,Pantry!$B$6:$B$305,0))&amp;"","Add to Pantry"))</f>
        <v/>
      </c>
      <c r="F889" s="25">
        <f>IF(OR(C889="",E889="Add to Pantry"),"",ROUND(N(D889)*INDEX(Pantry!$N$6:$N$305,MATCH(C889,Pantry!$B$6:$B$305,0)),2))</f>
        <v/>
      </c>
      <c r="G889" s="35">
        <f>IF(OR(B889="",C889=""),"",IFERROR(ROUND(N(D889)*N(INDEX(Recipes!$H$6:$H$105,MATCH(B889,Recipes!$B$6:$B$105,0)))/IF(N(INDEX(Recipes!$D$6:$D$105,MATCH(B889,Recipes!$B$6:$B$105,0)))&gt;0,INDEX(Recipes!$D$6:$D$105,MATCH(B889,Recipes!$B$6:$B$105,0)),1),2),0))</f>
        <v/>
      </c>
      <c r="H889" s="1" t="n"/>
    </row>
    <row r="890">
      <c r="A890" s="1" t="n"/>
      <c r="B890" s="33" t="n"/>
      <c r="C890" s="33" t="n"/>
      <c r="D890" s="31" t="n"/>
      <c r="E890" s="35">
        <f>IF(C890="","",IFERROR(INDEX(Pantry!$C$6:$C$305,MATCH(C890,Pantry!$B$6:$B$305,0))&amp;"","Add to Pantry"))</f>
        <v/>
      </c>
      <c r="F890" s="25">
        <f>IF(OR(C890="",E890="Add to Pantry"),"",ROUND(N(D890)*INDEX(Pantry!$N$6:$N$305,MATCH(C890,Pantry!$B$6:$B$305,0)),2))</f>
        <v/>
      </c>
      <c r="G890" s="35">
        <f>IF(OR(B890="",C890=""),"",IFERROR(ROUND(N(D890)*N(INDEX(Recipes!$H$6:$H$105,MATCH(B890,Recipes!$B$6:$B$105,0)))/IF(N(INDEX(Recipes!$D$6:$D$105,MATCH(B890,Recipes!$B$6:$B$105,0)))&gt;0,INDEX(Recipes!$D$6:$D$105,MATCH(B890,Recipes!$B$6:$B$105,0)),1),2),0))</f>
        <v/>
      </c>
      <c r="H890" s="1" t="n"/>
    </row>
    <row r="891">
      <c r="A891" s="1" t="n"/>
      <c r="B891" s="33" t="n"/>
      <c r="C891" s="33" t="n"/>
      <c r="D891" s="31" t="n"/>
      <c r="E891" s="35">
        <f>IF(C891="","",IFERROR(INDEX(Pantry!$C$6:$C$305,MATCH(C891,Pantry!$B$6:$B$305,0))&amp;"","Add to Pantry"))</f>
        <v/>
      </c>
      <c r="F891" s="25">
        <f>IF(OR(C891="",E891="Add to Pantry"),"",ROUND(N(D891)*INDEX(Pantry!$N$6:$N$305,MATCH(C891,Pantry!$B$6:$B$305,0)),2))</f>
        <v/>
      </c>
      <c r="G891" s="35">
        <f>IF(OR(B891="",C891=""),"",IFERROR(ROUND(N(D891)*N(INDEX(Recipes!$H$6:$H$105,MATCH(B891,Recipes!$B$6:$B$105,0)))/IF(N(INDEX(Recipes!$D$6:$D$105,MATCH(B891,Recipes!$B$6:$B$105,0)))&gt;0,INDEX(Recipes!$D$6:$D$105,MATCH(B891,Recipes!$B$6:$B$105,0)),1),2),0))</f>
        <v/>
      </c>
      <c r="H891" s="1" t="n"/>
    </row>
    <row r="892">
      <c r="A892" s="1" t="n"/>
      <c r="B892" s="33" t="n"/>
      <c r="C892" s="33" t="n"/>
      <c r="D892" s="31" t="n"/>
      <c r="E892" s="35">
        <f>IF(C892="","",IFERROR(INDEX(Pantry!$C$6:$C$305,MATCH(C892,Pantry!$B$6:$B$305,0))&amp;"","Add to Pantry"))</f>
        <v/>
      </c>
      <c r="F892" s="25">
        <f>IF(OR(C892="",E892="Add to Pantry"),"",ROUND(N(D892)*INDEX(Pantry!$N$6:$N$305,MATCH(C892,Pantry!$B$6:$B$305,0)),2))</f>
        <v/>
      </c>
      <c r="G892" s="35">
        <f>IF(OR(B892="",C892=""),"",IFERROR(ROUND(N(D892)*N(INDEX(Recipes!$H$6:$H$105,MATCH(B892,Recipes!$B$6:$B$105,0)))/IF(N(INDEX(Recipes!$D$6:$D$105,MATCH(B892,Recipes!$B$6:$B$105,0)))&gt;0,INDEX(Recipes!$D$6:$D$105,MATCH(B892,Recipes!$B$6:$B$105,0)),1),2),0))</f>
        <v/>
      </c>
      <c r="H892" s="1" t="n"/>
    </row>
    <row r="893">
      <c r="A893" s="1" t="n"/>
      <c r="B893" s="33" t="n"/>
      <c r="C893" s="33" t="n"/>
      <c r="D893" s="31" t="n"/>
      <c r="E893" s="35">
        <f>IF(C893="","",IFERROR(INDEX(Pantry!$C$6:$C$305,MATCH(C893,Pantry!$B$6:$B$305,0))&amp;"","Add to Pantry"))</f>
        <v/>
      </c>
      <c r="F893" s="25">
        <f>IF(OR(C893="",E893="Add to Pantry"),"",ROUND(N(D893)*INDEX(Pantry!$N$6:$N$305,MATCH(C893,Pantry!$B$6:$B$305,0)),2))</f>
        <v/>
      </c>
      <c r="G893" s="35">
        <f>IF(OR(B893="",C893=""),"",IFERROR(ROUND(N(D893)*N(INDEX(Recipes!$H$6:$H$105,MATCH(B893,Recipes!$B$6:$B$105,0)))/IF(N(INDEX(Recipes!$D$6:$D$105,MATCH(B893,Recipes!$B$6:$B$105,0)))&gt;0,INDEX(Recipes!$D$6:$D$105,MATCH(B893,Recipes!$B$6:$B$105,0)),1),2),0))</f>
        <v/>
      </c>
      <c r="H893" s="1" t="n"/>
    </row>
    <row r="894">
      <c r="A894" s="1" t="n"/>
      <c r="B894" s="33" t="n"/>
      <c r="C894" s="33" t="n"/>
      <c r="D894" s="31" t="n"/>
      <c r="E894" s="35">
        <f>IF(C894="","",IFERROR(INDEX(Pantry!$C$6:$C$305,MATCH(C894,Pantry!$B$6:$B$305,0))&amp;"","Add to Pantry"))</f>
        <v/>
      </c>
      <c r="F894" s="25">
        <f>IF(OR(C894="",E894="Add to Pantry"),"",ROUND(N(D894)*INDEX(Pantry!$N$6:$N$305,MATCH(C894,Pantry!$B$6:$B$305,0)),2))</f>
        <v/>
      </c>
      <c r="G894" s="35">
        <f>IF(OR(B894="",C894=""),"",IFERROR(ROUND(N(D894)*N(INDEX(Recipes!$H$6:$H$105,MATCH(B894,Recipes!$B$6:$B$105,0)))/IF(N(INDEX(Recipes!$D$6:$D$105,MATCH(B894,Recipes!$B$6:$B$105,0)))&gt;0,INDEX(Recipes!$D$6:$D$105,MATCH(B894,Recipes!$B$6:$B$105,0)),1),2),0))</f>
        <v/>
      </c>
      <c r="H894" s="1" t="n"/>
    </row>
    <row r="895">
      <c r="A895" s="1" t="n"/>
      <c r="B895" s="33" t="n"/>
      <c r="C895" s="33" t="n"/>
      <c r="D895" s="31" t="n"/>
      <c r="E895" s="35">
        <f>IF(C895="","",IFERROR(INDEX(Pantry!$C$6:$C$305,MATCH(C895,Pantry!$B$6:$B$305,0))&amp;"","Add to Pantry"))</f>
        <v/>
      </c>
      <c r="F895" s="25">
        <f>IF(OR(C895="",E895="Add to Pantry"),"",ROUND(N(D895)*INDEX(Pantry!$N$6:$N$305,MATCH(C895,Pantry!$B$6:$B$305,0)),2))</f>
        <v/>
      </c>
      <c r="G895" s="35">
        <f>IF(OR(B895="",C895=""),"",IFERROR(ROUND(N(D895)*N(INDEX(Recipes!$H$6:$H$105,MATCH(B895,Recipes!$B$6:$B$105,0)))/IF(N(INDEX(Recipes!$D$6:$D$105,MATCH(B895,Recipes!$B$6:$B$105,0)))&gt;0,INDEX(Recipes!$D$6:$D$105,MATCH(B895,Recipes!$B$6:$B$105,0)),1),2),0))</f>
        <v/>
      </c>
      <c r="H895" s="1" t="n"/>
    </row>
    <row r="896">
      <c r="A896" s="1" t="n"/>
      <c r="B896" s="33" t="n"/>
      <c r="C896" s="33" t="n"/>
      <c r="D896" s="31" t="n"/>
      <c r="E896" s="35">
        <f>IF(C896="","",IFERROR(INDEX(Pantry!$C$6:$C$305,MATCH(C896,Pantry!$B$6:$B$305,0))&amp;"","Add to Pantry"))</f>
        <v/>
      </c>
      <c r="F896" s="25">
        <f>IF(OR(C896="",E896="Add to Pantry"),"",ROUND(N(D896)*INDEX(Pantry!$N$6:$N$305,MATCH(C896,Pantry!$B$6:$B$305,0)),2))</f>
        <v/>
      </c>
      <c r="G896" s="35">
        <f>IF(OR(B896="",C896=""),"",IFERROR(ROUND(N(D896)*N(INDEX(Recipes!$H$6:$H$105,MATCH(B896,Recipes!$B$6:$B$105,0)))/IF(N(INDEX(Recipes!$D$6:$D$105,MATCH(B896,Recipes!$B$6:$B$105,0)))&gt;0,INDEX(Recipes!$D$6:$D$105,MATCH(B896,Recipes!$B$6:$B$105,0)),1),2),0))</f>
        <v/>
      </c>
      <c r="H896" s="1" t="n"/>
    </row>
    <row r="897">
      <c r="A897" s="1" t="n"/>
      <c r="B897" s="33" t="n"/>
      <c r="C897" s="33" t="n"/>
      <c r="D897" s="31" t="n"/>
      <c r="E897" s="35">
        <f>IF(C897="","",IFERROR(INDEX(Pantry!$C$6:$C$305,MATCH(C897,Pantry!$B$6:$B$305,0))&amp;"","Add to Pantry"))</f>
        <v/>
      </c>
      <c r="F897" s="25">
        <f>IF(OR(C897="",E897="Add to Pantry"),"",ROUND(N(D897)*INDEX(Pantry!$N$6:$N$305,MATCH(C897,Pantry!$B$6:$B$305,0)),2))</f>
        <v/>
      </c>
      <c r="G897" s="35">
        <f>IF(OR(B897="",C897=""),"",IFERROR(ROUND(N(D897)*N(INDEX(Recipes!$H$6:$H$105,MATCH(B897,Recipes!$B$6:$B$105,0)))/IF(N(INDEX(Recipes!$D$6:$D$105,MATCH(B897,Recipes!$B$6:$B$105,0)))&gt;0,INDEX(Recipes!$D$6:$D$105,MATCH(B897,Recipes!$B$6:$B$105,0)),1),2),0))</f>
        <v/>
      </c>
      <c r="H897" s="1" t="n"/>
    </row>
    <row r="898">
      <c r="A898" s="1" t="n"/>
      <c r="B898" s="33" t="n"/>
      <c r="C898" s="33" t="n"/>
      <c r="D898" s="31" t="n"/>
      <c r="E898" s="35">
        <f>IF(C898="","",IFERROR(INDEX(Pantry!$C$6:$C$305,MATCH(C898,Pantry!$B$6:$B$305,0))&amp;"","Add to Pantry"))</f>
        <v/>
      </c>
      <c r="F898" s="25">
        <f>IF(OR(C898="",E898="Add to Pantry"),"",ROUND(N(D898)*INDEX(Pantry!$N$6:$N$305,MATCH(C898,Pantry!$B$6:$B$305,0)),2))</f>
        <v/>
      </c>
      <c r="G898" s="35">
        <f>IF(OR(B898="",C898=""),"",IFERROR(ROUND(N(D898)*N(INDEX(Recipes!$H$6:$H$105,MATCH(B898,Recipes!$B$6:$B$105,0)))/IF(N(INDEX(Recipes!$D$6:$D$105,MATCH(B898,Recipes!$B$6:$B$105,0)))&gt;0,INDEX(Recipes!$D$6:$D$105,MATCH(B898,Recipes!$B$6:$B$105,0)),1),2),0))</f>
        <v/>
      </c>
      <c r="H898" s="1" t="n"/>
    </row>
    <row r="899">
      <c r="A899" s="1" t="n"/>
      <c r="B899" s="33" t="n"/>
      <c r="C899" s="33" t="n"/>
      <c r="D899" s="31" t="n"/>
      <c r="E899" s="35">
        <f>IF(C899="","",IFERROR(INDEX(Pantry!$C$6:$C$305,MATCH(C899,Pantry!$B$6:$B$305,0))&amp;"","Add to Pantry"))</f>
        <v/>
      </c>
      <c r="F899" s="25">
        <f>IF(OR(C899="",E899="Add to Pantry"),"",ROUND(N(D899)*INDEX(Pantry!$N$6:$N$305,MATCH(C899,Pantry!$B$6:$B$305,0)),2))</f>
        <v/>
      </c>
      <c r="G899" s="35">
        <f>IF(OR(B899="",C899=""),"",IFERROR(ROUND(N(D899)*N(INDEX(Recipes!$H$6:$H$105,MATCH(B899,Recipes!$B$6:$B$105,0)))/IF(N(INDEX(Recipes!$D$6:$D$105,MATCH(B899,Recipes!$B$6:$B$105,0)))&gt;0,INDEX(Recipes!$D$6:$D$105,MATCH(B899,Recipes!$B$6:$B$105,0)),1),2),0))</f>
        <v/>
      </c>
      <c r="H899" s="1" t="n"/>
    </row>
    <row r="900">
      <c r="A900" s="1" t="n"/>
      <c r="B900" s="33" t="n"/>
      <c r="C900" s="33" t="n"/>
      <c r="D900" s="31" t="n"/>
      <c r="E900" s="35">
        <f>IF(C900="","",IFERROR(INDEX(Pantry!$C$6:$C$305,MATCH(C900,Pantry!$B$6:$B$305,0))&amp;"","Add to Pantry"))</f>
        <v/>
      </c>
      <c r="F900" s="25">
        <f>IF(OR(C900="",E900="Add to Pantry"),"",ROUND(N(D900)*INDEX(Pantry!$N$6:$N$305,MATCH(C900,Pantry!$B$6:$B$305,0)),2))</f>
        <v/>
      </c>
      <c r="G900" s="35">
        <f>IF(OR(B900="",C900=""),"",IFERROR(ROUND(N(D900)*N(INDEX(Recipes!$H$6:$H$105,MATCH(B900,Recipes!$B$6:$B$105,0)))/IF(N(INDEX(Recipes!$D$6:$D$105,MATCH(B900,Recipes!$B$6:$B$105,0)))&gt;0,INDEX(Recipes!$D$6:$D$105,MATCH(B900,Recipes!$B$6:$B$105,0)),1),2),0))</f>
        <v/>
      </c>
      <c r="H900" s="1" t="n"/>
    </row>
    <row r="901">
      <c r="A901" s="1" t="n"/>
      <c r="B901" s="33" t="n"/>
      <c r="C901" s="33" t="n"/>
      <c r="D901" s="31" t="n"/>
      <c r="E901" s="35">
        <f>IF(C901="","",IFERROR(INDEX(Pantry!$C$6:$C$305,MATCH(C901,Pantry!$B$6:$B$305,0))&amp;"","Add to Pantry"))</f>
        <v/>
      </c>
      <c r="F901" s="25">
        <f>IF(OR(C901="",E901="Add to Pantry"),"",ROUND(N(D901)*INDEX(Pantry!$N$6:$N$305,MATCH(C901,Pantry!$B$6:$B$305,0)),2))</f>
        <v/>
      </c>
      <c r="G901" s="35">
        <f>IF(OR(B901="",C901=""),"",IFERROR(ROUND(N(D901)*N(INDEX(Recipes!$H$6:$H$105,MATCH(B901,Recipes!$B$6:$B$105,0)))/IF(N(INDEX(Recipes!$D$6:$D$105,MATCH(B901,Recipes!$B$6:$B$105,0)))&gt;0,INDEX(Recipes!$D$6:$D$105,MATCH(B901,Recipes!$B$6:$B$105,0)),1),2),0))</f>
        <v/>
      </c>
      <c r="H901" s="1" t="n"/>
    </row>
    <row r="902">
      <c r="A902" s="1" t="n"/>
      <c r="B902" s="33" t="n"/>
      <c r="C902" s="33" t="n"/>
      <c r="D902" s="31" t="n"/>
      <c r="E902" s="35">
        <f>IF(C902="","",IFERROR(INDEX(Pantry!$C$6:$C$305,MATCH(C902,Pantry!$B$6:$B$305,0))&amp;"","Add to Pantry"))</f>
        <v/>
      </c>
      <c r="F902" s="25">
        <f>IF(OR(C902="",E902="Add to Pantry"),"",ROUND(N(D902)*INDEX(Pantry!$N$6:$N$305,MATCH(C902,Pantry!$B$6:$B$305,0)),2))</f>
        <v/>
      </c>
      <c r="G902" s="35">
        <f>IF(OR(B902="",C902=""),"",IFERROR(ROUND(N(D902)*N(INDEX(Recipes!$H$6:$H$105,MATCH(B902,Recipes!$B$6:$B$105,0)))/IF(N(INDEX(Recipes!$D$6:$D$105,MATCH(B902,Recipes!$B$6:$B$105,0)))&gt;0,INDEX(Recipes!$D$6:$D$105,MATCH(B902,Recipes!$B$6:$B$105,0)),1),2),0))</f>
        <v/>
      </c>
      <c r="H902" s="1" t="n"/>
    </row>
    <row r="903">
      <c r="A903" s="1" t="n"/>
      <c r="B903" s="33" t="n"/>
      <c r="C903" s="33" t="n"/>
      <c r="D903" s="31" t="n"/>
      <c r="E903" s="35">
        <f>IF(C903="","",IFERROR(INDEX(Pantry!$C$6:$C$305,MATCH(C903,Pantry!$B$6:$B$305,0))&amp;"","Add to Pantry"))</f>
        <v/>
      </c>
      <c r="F903" s="25">
        <f>IF(OR(C903="",E903="Add to Pantry"),"",ROUND(N(D903)*INDEX(Pantry!$N$6:$N$305,MATCH(C903,Pantry!$B$6:$B$305,0)),2))</f>
        <v/>
      </c>
      <c r="G903" s="35">
        <f>IF(OR(B903="",C903=""),"",IFERROR(ROUND(N(D903)*N(INDEX(Recipes!$H$6:$H$105,MATCH(B903,Recipes!$B$6:$B$105,0)))/IF(N(INDEX(Recipes!$D$6:$D$105,MATCH(B903,Recipes!$B$6:$B$105,0)))&gt;0,INDEX(Recipes!$D$6:$D$105,MATCH(B903,Recipes!$B$6:$B$105,0)),1),2),0))</f>
        <v/>
      </c>
      <c r="H903" s="1" t="n"/>
    </row>
    <row r="904">
      <c r="A904" s="1" t="n"/>
      <c r="B904" s="33" t="n"/>
      <c r="C904" s="33" t="n"/>
      <c r="D904" s="31" t="n"/>
      <c r="E904" s="35">
        <f>IF(C904="","",IFERROR(INDEX(Pantry!$C$6:$C$305,MATCH(C904,Pantry!$B$6:$B$305,0))&amp;"","Add to Pantry"))</f>
        <v/>
      </c>
      <c r="F904" s="25">
        <f>IF(OR(C904="",E904="Add to Pantry"),"",ROUND(N(D904)*INDEX(Pantry!$N$6:$N$305,MATCH(C904,Pantry!$B$6:$B$305,0)),2))</f>
        <v/>
      </c>
      <c r="G904" s="35">
        <f>IF(OR(B904="",C904=""),"",IFERROR(ROUND(N(D904)*N(INDEX(Recipes!$H$6:$H$105,MATCH(B904,Recipes!$B$6:$B$105,0)))/IF(N(INDEX(Recipes!$D$6:$D$105,MATCH(B904,Recipes!$B$6:$B$105,0)))&gt;0,INDEX(Recipes!$D$6:$D$105,MATCH(B904,Recipes!$B$6:$B$105,0)),1),2),0))</f>
        <v/>
      </c>
      <c r="H904" s="1" t="n"/>
    </row>
    <row r="905">
      <c r="A905" s="1" t="n"/>
      <c r="B905" s="33" t="n"/>
      <c r="C905" s="33" t="n"/>
      <c r="D905" s="31" t="n"/>
      <c r="E905" s="35">
        <f>IF(C905="","",IFERROR(INDEX(Pantry!$C$6:$C$305,MATCH(C905,Pantry!$B$6:$B$305,0))&amp;"","Add to Pantry"))</f>
        <v/>
      </c>
      <c r="F905" s="25">
        <f>IF(OR(C905="",E905="Add to Pantry"),"",ROUND(N(D905)*INDEX(Pantry!$N$6:$N$305,MATCH(C905,Pantry!$B$6:$B$305,0)),2))</f>
        <v/>
      </c>
      <c r="G905" s="35">
        <f>IF(OR(B905="",C905=""),"",IFERROR(ROUND(N(D905)*N(INDEX(Recipes!$H$6:$H$105,MATCH(B905,Recipes!$B$6:$B$105,0)))/IF(N(INDEX(Recipes!$D$6:$D$105,MATCH(B905,Recipes!$B$6:$B$105,0)))&gt;0,INDEX(Recipes!$D$6:$D$105,MATCH(B905,Recipes!$B$6:$B$105,0)),1),2),0))</f>
        <v/>
      </c>
      <c r="H905" s="1" t="n"/>
    </row>
    <row r="906">
      <c r="A906" s="1" t="n"/>
      <c r="B906" s="33" t="n"/>
      <c r="C906" s="33" t="n"/>
      <c r="D906" s="31" t="n"/>
      <c r="E906" s="35">
        <f>IF(C906="","",IFERROR(INDEX(Pantry!$C$6:$C$305,MATCH(C906,Pantry!$B$6:$B$305,0))&amp;"","Add to Pantry"))</f>
        <v/>
      </c>
      <c r="F906" s="25">
        <f>IF(OR(C906="",E906="Add to Pantry"),"",ROUND(N(D906)*INDEX(Pantry!$N$6:$N$305,MATCH(C906,Pantry!$B$6:$B$305,0)),2))</f>
        <v/>
      </c>
      <c r="G906" s="35">
        <f>IF(OR(B906="",C906=""),"",IFERROR(ROUND(N(D906)*N(INDEX(Recipes!$H$6:$H$105,MATCH(B906,Recipes!$B$6:$B$105,0)))/IF(N(INDEX(Recipes!$D$6:$D$105,MATCH(B906,Recipes!$B$6:$B$105,0)))&gt;0,INDEX(Recipes!$D$6:$D$105,MATCH(B906,Recipes!$B$6:$B$105,0)),1),2),0))</f>
        <v/>
      </c>
      <c r="H906" s="1" t="n"/>
    </row>
    <row r="907">
      <c r="A907" s="1" t="n"/>
      <c r="B907" s="33" t="n"/>
      <c r="C907" s="33" t="n"/>
      <c r="D907" s="31" t="n"/>
      <c r="E907" s="35">
        <f>IF(C907="","",IFERROR(INDEX(Pantry!$C$6:$C$305,MATCH(C907,Pantry!$B$6:$B$305,0))&amp;"","Add to Pantry"))</f>
        <v/>
      </c>
      <c r="F907" s="25">
        <f>IF(OR(C907="",E907="Add to Pantry"),"",ROUND(N(D907)*INDEX(Pantry!$N$6:$N$305,MATCH(C907,Pantry!$B$6:$B$305,0)),2))</f>
        <v/>
      </c>
      <c r="G907" s="35">
        <f>IF(OR(B907="",C907=""),"",IFERROR(ROUND(N(D907)*N(INDEX(Recipes!$H$6:$H$105,MATCH(B907,Recipes!$B$6:$B$105,0)))/IF(N(INDEX(Recipes!$D$6:$D$105,MATCH(B907,Recipes!$B$6:$B$105,0)))&gt;0,INDEX(Recipes!$D$6:$D$105,MATCH(B907,Recipes!$B$6:$B$105,0)),1),2),0))</f>
        <v/>
      </c>
      <c r="H907" s="1" t="n"/>
    </row>
    <row r="908">
      <c r="A908" s="1" t="n"/>
      <c r="B908" s="33" t="n"/>
      <c r="C908" s="33" t="n"/>
      <c r="D908" s="31" t="n"/>
      <c r="E908" s="35">
        <f>IF(C908="","",IFERROR(INDEX(Pantry!$C$6:$C$305,MATCH(C908,Pantry!$B$6:$B$305,0))&amp;"","Add to Pantry"))</f>
        <v/>
      </c>
      <c r="F908" s="25">
        <f>IF(OR(C908="",E908="Add to Pantry"),"",ROUND(N(D908)*INDEX(Pantry!$N$6:$N$305,MATCH(C908,Pantry!$B$6:$B$305,0)),2))</f>
        <v/>
      </c>
      <c r="G908" s="35">
        <f>IF(OR(B908="",C908=""),"",IFERROR(ROUND(N(D908)*N(INDEX(Recipes!$H$6:$H$105,MATCH(B908,Recipes!$B$6:$B$105,0)))/IF(N(INDEX(Recipes!$D$6:$D$105,MATCH(B908,Recipes!$B$6:$B$105,0)))&gt;0,INDEX(Recipes!$D$6:$D$105,MATCH(B908,Recipes!$B$6:$B$105,0)),1),2),0))</f>
        <v/>
      </c>
      <c r="H908" s="1" t="n"/>
    </row>
    <row r="909">
      <c r="A909" s="1" t="n"/>
      <c r="B909" s="33" t="n"/>
      <c r="C909" s="33" t="n"/>
      <c r="D909" s="31" t="n"/>
      <c r="E909" s="35">
        <f>IF(C909="","",IFERROR(INDEX(Pantry!$C$6:$C$305,MATCH(C909,Pantry!$B$6:$B$305,0))&amp;"","Add to Pantry"))</f>
        <v/>
      </c>
      <c r="F909" s="25">
        <f>IF(OR(C909="",E909="Add to Pantry"),"",ROUND(N(D909)*INDEX(Pantry!$N$6:$N$305,MATCH(C909,Pantry!$B$6:$B$305,0)),2))</f>
        <v/>
      </c>
      <c r="G909" s="35">
        <f>IF(OR(B909="",C909=""),"",IFERROR(ROUND(N(D909)*N(INDEX(Recipes!$H$6:$H$105,MATCH(B909,Recipes!$B$6:$B$105,0)))/IF(N(INDEX(Recipes!$D$6:$D$105,MATCH(B909,Recipes!$B$6:$B$105,0)))&gt;0,INDEX(Recipes!$D$6:$D$105,MATCH(B909,Recipes!$B$6:$B$105,0)),1),2),0))</f>
        <v/>
      </c>
      <c r="H909" s="1" t="n"/>
    </row>
    <row r="910">
      <c r="A910" s="1" t="n"/>
      <c r="B910" s="33" t="n"/>
      <c r="C910" s="33" t="n"/>
      <c r="D910" s="31" t="n"/>
      <c r="E910" s="35">
        <f>IF(C910="","",IFERROR(INDEX(Pantry!$C$6:$C$305,MATCH(C910,Pantry!$B$6:$B$305,0))&amp;"","Add to Pantry"))</f>
        <v/>
      </c>
      <c r="F910" s="25">
        <f>IF(OR(C910="",E910="Add to Pantry"),"",ROUND(N(D910)*INDEX(Pantry!$N$6:$N$305,MATCH(C910,Pantry!$B$6:$B$305,0)),2))</f>
        <v/>
      </c>
      <c r="G910" s="35">
        <f>IF(OR(B910="",C910=""),"",IFERROR(ROUND(N(D910)*N(INDEX(Recipes!$H$6:$H$105,MATCH(B910,Recipes!$B$6:$B$105,0)))/IF(N(INDEX(Recipes!$D$6:$D$105,MATCH(B910,Recipes!$B$6:$B$105,0)))&gt;0,INDEX(Recipes!$D$6:$D$105,MATCH(B910,Recipes!$B$6:$B$105,0)),1),2),0))</f>
        <v/>
      </c>
      <c r="H910" s="1" t="n"/>
    </row>
    <row r="911">
      <c r="A911" s="1" t="n"/>
      <c r="B911" s="33" t="n"/>
      <c r="C911" s="33" t="n"/>
      <c r="D911" s="31" t="n"/>
      <c r="E911" s="35">
        <f>IF(C911="","",IFERROR(INDEX(Pantry!$C$6:$C$305,MATCH(C911,Pantry!$B$6:$B$305,0))&amp;"","Add to Pantry"))</f>
        <v/>
      </c>
      <c r="F911" s="25">
        <f>IF(OR(C911="",E911="Add to Pantry"),"",ROUND(N(D911)*INDEX(Pantry!$N$6:$N$305,MATCH(C911,Pantry!$B$6:$B$305,0)),2))</f>
        <v/>
      </c>
      <c r="G911" s="35">
        <f>IF(OR(B911="",C911=""),"",IFERROR(ROUND(N(D911)*N(INDEX(Recipes!$H$6:$H$105,MATCH(B911,Recipes!$B$6:$B$105,0)))/IF(N(INDEX(Recipes!$D$6:$D$105,MATCH(B911,Recipes!$B$6:$B$105,0)))&gt;0,INDEX(Recipes!$D$6:$D$105,MATCH(B911,Recipes!$B$6:$B$105,0)),1),2),0))</f>
        <v/>
      </c>
      <c r="H911" s="1" t="n"/>
    </row>
    <row r="912">
      <c r="A912" s="1" t="n"/>
      <c r="B912" s="33" t="n"/>
      <c r="C912" s="33" t="n"/>
      <c r="D912" s="31" t="n"/>
      <c r="E912" s="35">
        <f>IF(C912="","",IFERROR(INDEX(Pantry!$C$6:$C$305,MATCH(C912,Pantry!$B$6:$B$305,0))&amp;"","Add to Pantry"))</f>
        <v/>
      </c>
      <c r="F912" s="25">
        <f>IF(OR(C912="",E912="Add to Pantry"),"",ROUND(N(D912)*INDEX(Pantry!$N$6:$N$305,MATCH(C912,Pantry!$B$6:$B$305,0)),2))</f>
        <v/>
      </c>
      <c r="G912" s="35">
        <f>IF(OR(B912="",C912=""),"",IFERROR(ROUND(N(D912)*N(INDEX(Recipes!$H$6:$H$105,MATCH(B912,Recipes!$B$6:$B$105,0)))/IF(N(INDEX(Recipes!$D$6:$D$105,MATCH(B912,Recipes!$B$6:$B$105,0)))&gt;0,INDEX(Recipes!$D$6:$D$105,MATCH(B912,Recipes!$B$6:$B$105,0)),1),2),0))</f>
        <v/>
      </c>
      <c r="H912" s="1" t="n"/>
    </row>
    <row r="913">
      <c r="A913" s="1" t="n"/>
      <c r="B913" s="33" t="n"/>
      <c r="C913" s="33" t="n"/>
      <c r="D913" s="31" t="n"/>
      <c r="E913" s="35">
        <f>IF(C913="","",IFERROR(INDEX(Pantry!$C$6:$C$305,MATCH(C913,Pantry!$B$6:$B$305,0))&amp;"","Add to Pantry"))</f>
        <v/>
      </c>
      <c r="F913" s="25">
        <f>IF(OR(C913="",E913="Add to Pantry"),"",ROUND(N(D913)*INDEX(Pantry!$N$6:$N$305,MATCH(C913,Pantry!$B$6:$B$305,0)),2))</f>
        <v/>
      </c>
      <c r="G913" s="35">
        <f>IF(OR(B913="",C913=""),"",IFERROR(ROUND(N(D913)*N(INDEX(Recipes!$H$6:$H$105,MATCH(B913,Recipes!$B$6:$B$105,0)))/IF(N(INDEX(Recipes!$D$6:$D$105,MATCH(B913,Recipes!$B$6:$B$105,0)))&gt;0,INDEX(Recipes!$D$6:$D$105,MATCH(B913,Recipes!$B$6:$B$105,0)),1),2),0))</f>
        <v/>
      </c>
      <c r="H913" s="1" t="n"/>
    </row>
    <row r="914">
      <c r="A914" s="1" t="n"/>
      <c r="B914" s="33" t="n"/>
      <c r="C914" s="33" t="n"/>
      <c r="D914" s="31" t="n"/>
      <c r="E914" s="35">
        <f>IF(C914="","",IFERROR(INDEX(Pantry!$C$6:$C$305,MATCH(C914,Pantry!$B$6:$B$305,0))&amp;"","Add to Pantry"))</f>
        <v/>
      </c>
      <c r="F914" s="25">
        <f>IF(OR(C914="",E914="Add to Pantry"),"",ROUND(N(D914)*INDEX(Pantry!$N$6:$N$305,MATCH(C914,Pantry!$B$6:$B$305,0)),2))</f>
        <v/>
      </c>
      <c r="G914" s="35">
        <f>IF(OR(B914="",C914=""),"",IFERROR(ROUND(N(D914)*N(INDEX(Recipes!$H$6:$H$105,MATCH(B914,Recipes!$B$6:$B$105,0)))/IF(N(INDEX(Recipes!$D$6:$D$105,MATCH(B914,Recipes!$B$6:$B$105,0)))&gt;0,INDEX(Recipes!$D$6:$D$105,MATCH(B914,Recipes!$B$6:$B$105,0)),1),2),0))</f>
        <v/>
      </c>
      <c r="H914" s="1" t="n"/>
    </row>
    <row r="915">
      <c r="A915" s="1" t="n"/>
      <c r="B915" s="33" t="n"/>
      <c r="C915" s="33" t="n"/>
      <c r="D915" s="31" t="n"/>
      <c r="E915" s="35">
        <f>IF(C915="","",IFERROR(INDEX(Pantry!$C$6:$C$305,MATCH(C915,Pantry!$B$6:$B$305,0))&amp;"","Add to Pantry"))</f>
        <v/>
      </c>
      <c r="F915" s="25">
        <f>IF(OR(C915="",E915="Add to Pantry"),"",ROUND(N(D915)*INDEX(Pantry!$N$6:$N$305,MATCH(C915,Pantry!$B$6:$B$305,0)),2))</f>
        <v/>
      </c>
      <c r="G915" s="35">
        <f>IF(OR(B915="",C915=""),"",IFERROR(ROUND(N(D915)*N(INDEX(Recipes!$H$6:$H$105,MATCH(B915,Recipes!$B$6:$B$105,0)))/IF(N(INDEX(Recipes!$D$6:$D$105,MATCH(B915,Recipes!$B$6:$B$105,0)))&gt;0,INDEX(Recipes!$D$6:$D$105,MATCH(B915,Recipes!$B$6:$B$105,0)),1),2),0))</f>
        <v/>
      </c>
      <c r="H915" s="1" t="n"/>
    </row>
    <row r="916">
      <c r="A916" s="1" t="n"/>
      <c r="B916" s="33" t="n"/>
      <c r="C916" s="33" t="n"/>
      <c r="D916" s="31" t="n"/>
      <c r="E916" s="35">
        <f>IF(C916="","",IFERROR(INDEX(Pantry!$C$6:$C$305,MATCH(C916,Pantry!$B$6:$B$305,0))&amp;"","Add to Pantry"))</f>
        <v/>
      </c>
      <c r="F916" s="25">
        <f>IF(OR(C916="",E916="Add to Pantry"),"",ROUND(N(D916)*INDEX(Pantry!$N$6:$N$305,MATCH(C916,Pantry!$B$6:$B$305,0)),2))</f>
        <v/>
      </c>
      <c r="G916" s="35">
        <f>IF(OR(B916="",C916=""),"",IFERROR(ROUND(N(D916)*N(INDEX(Recipes!$H$6:$H$105,MATCH(B916,Recipes!$B$6:$B$105,0)))/IF(N(INDEX(Recipes!$D$6:$D$105,MATCH(B916,Recipes!$B$6:$B$105,0)))&gt;0,INDEX(Recipes!$D$6:$D$105,MATCH(B916,Recipes!$B$6:$B$105,0)),1),2),0))</f>
        <v/>
      </c>
      <c r="H916" s="1" t="n"/>
    </row>
    <row r="917">
      <c r="A917" s="1" t="n"/>
      <c r="B917" s="33" t="n"/>
      <c r="C917" s="33" t="n"/>
      <c r="D917" s="31" t="n"/>
      <c r="E917" s="35">
        <f>IF(C917="","",IFERROR(INDEX(Pantry!$C$6:$C$305,MATCH(C917,Pantry!$B$6:$B$305,0))&amp;"","Add to Pantry"))</f>
        <v/>
      </c>
      <c r="F917" s="25">
        <f>IF(OR(C917="",E917="Add to Pantry"),"",ROUND(N(D917)*INDEX(Pantry!$N$6:$N$305,MATCH(C917,Pantry!$B$6:$B$305,0)),2))</f>
        <v/>
      </c>
      <c r="G917" s="35">
        <f>IF(OR(B917="",C917=""),"",IFERROR(ROUND(N(D917)*N(INDEX(Recipes!$H$6:$H$105,MATCH(B917,Recipes!$B$6:$B$105,0)))/IF(N(INDEX(Recipes!$D$6:$D$105,MATCH(B917,Recipes!$B$6:$B$105,0)))&gt;0,INDEX(Recipes!$D$6:$D$105,MATCH(B917,Recipes!$B$6:$B$105,0)),1),2),0))</f>
        <v/>
      </c>
      <c r="H917" s="1" t="n"/>
    </row>
    <row r="918">
      <c r="A918" s="1" t="n"/>
      <c r="B918" s="33" t="n"/>
      <c r="C918" s="33" t="n"/>
      <c r="D918" s="31" t="n"/>
      <c r="E918" s="35">
        <f>IF(C918="","",IFERROR(INDEX(Pantry!$C$6:$C$305,MATCH(C918,Pantry!$B$6:$B$305,0))&amp;"","Add to Pantry"))</f>
        <v/>
      </c>
      <c r="F918" s="25">
        <f>IF(OR(C918="",E918="Add to Pantry"),"",ROUND(N(D918)*INDEX(Pantry!$N$6:$N$305,MATCH(C918,Pantry!$B$6:$B$305,0)),2))</f>
        <v/>
      </c>
      <c r="G918" s="35">
        <f>IF(OR(B918="",C918=""),"",IFERROR(ROUND(N(D918)*N(INDEX(Recipes!$H$6:$H$105,MATCH(B918,Recipes!$B$6:$B$105,0)))/IF(N(INDEX(Recipes!$D$6:$D$105,MATCH(B918,Recipes!$B$6:$B$105,0)))&gt;0,INDEX(Recipes!$D$6:$D$105,MATCH(B918,Recipes!$B$6:$B$105,0)),1),2),0))</f>
        <v/>
      </c>
      <c r="H918" s="1" t="n"/>
    </row>
    <row r="919">
      <c r="A919" s="1" t="n"/>
      <c r="B919" s="33" t="n"/>
      <c r="C919" s="33" t="n"/>
      <c r="D919" s="31" t="n"/>
      <c r="E919" s="35">
        <f>IF(C919="","",IFERROR(INDEX(Pantry!$C$6:$C$305,MATCH(C919,Pantry!$B$6:$B$305,0))&amp;"","Add to Pantry"))</f>
        <v/>
      </c>
      <c r="F919" s="25">
        <f>IF(OR(C919="",E919="Add to Pantry"),"",ROUND(N(D919)*INDEX(Pantry!$N$6:$N$305,MATCH(C919,Pantry!$B$6:$B$305,0)),2))</f>
        <v/>
      </c>
      <c r="G919" s="35">
        <f>IF(OR(B919="",C919=""),"",IFERROR(ROUND(N(D919)*N(INDEX(Recipes!$H$6:$H$105,MATCH(B919,Recipes!$B$6:$B$105,0)))/IF(N(INDEX(Recipes!$D$6:$D$105,MATCH(B919,Recipes!$B$6:$B$105,0)))&gt;0,INDEX(Recipes!$D$6:$D$105,MATCH(B919,Recipes!$B$6:$B$105,0)),1),2),0))</f>
        <v/>
      </c>
      <c r="H919" s="1" t="n"/>
    </row>
    <row r="920">
      <c r="A920" s="1" t="n"/>
      <c r="B920" s="33" t="n"/>
      <c r="C920" s="33" t="n"/>
      <c r="D920" s="31" t="n"/>
      <c r="E920" s="35">
        <f>IF(C920="","",IFERROR(INDEX(Pantry!$C$6:$C$305,MATCH(C920,Pantry!$B$6:$B$305,0))&amp;"","Add to Pantry"))</f>
        <v/>
      </c>
      <c r="F920" s="25">
        <f>IF(OR(C920="",E920="Add to Pantry"),"",ROUND(N(D920)*INDEX(Pantry!$N$6:$N$305,MATCH(C920,Pantry!$B$6:$B$305,0)),2))</f>
        <v/>
      </c>
      <c r="G920" s="35">
        <f>IF(OR(B920="",C920=""),"",IFERROR(ROUND(N(D920)*N(INDEX(Recipes!$H$6:$H$105,MATCH(B920,Recipes!$B$6:$B$105,0)))/IF(N(INDEX(Recipes!$D$6:$D$105,MATCH(B920,Recipes!$B$6:$B$105,0)))&gt;0,INDEX(Recipes!$D$6:$D$105,MATCH(B920,Recipes!$B$6:$B$105,0)),1),2),0))</f>
        <v/>
      </c>
      <c r="H920" s="1" t="n"/>
    </row>
    <row r="921">
      <c r="A921" s="1" t="n"/>
      <c r="B921" s="33" t="n"/>
      <c r="C921" s="33" t="n"/>
      <c r="D921" s="31" t="n"/>
      <c r="E921" s="35">
        <f>IF(C921="","",IFERROR(INDEX(Pantry!$C$6:$C$305,MATCH(C921,Pantry!$B$6:$B$305,0))&amp;"","Add to Pantry"))</f>
        <v/>
      </c>
      <c r="F921" s="25">
        <f>IF(OR(C921="",E921="Add to Pantry"),"",ROUND(N(D921)*INDEX(Pantry!$N$6:$N$305,MATCH(C921,Pantry!$B$6:$B$305,0)),2))</f>
        <v/>
      </c>
      <c r="G921" s="35">
        <f>IF(OR(B921="",C921=""),"",IFERROR(ROUND(N(D921)*N(INDEX(Recipes!$H$6:$H$105,MATCH(B921,Recipes!$B$6:$B$105,0)))/IF(N(INDEX(Recipes!$D$6:$D$105,MATCH(B921,Recipes!$B$6:$B$105,0)))&gt;0,INDEX(Recipes!$D$6:$D$105,MATCH(B921,Recipes!$B$6:$B$105,0)),1),2),0))</f>
        <v/>
      </c>
      <c r="H921" s="1" t="n"/>
    </row>
    <row r="922">
      <c r="A922" s="1" t="n"/>
      <c r="B922" s="33" t="n"/>
      <c r="C922" s="33" t="n"/>
      <c r="D922" s="31" t="n"/>
      <c r="E922" s="35">
        <f>IF(C922="","",IFERROR(INDEX(Pantry!$C$6:$C$305,MATCH(C922,Pantry!$B$6:$B$305,0))&amp;"","Add to Pantry"))</f>
        <v/>
      </c>
      <c r="F922" s="25">
        <f>IF(OR(C922="",E922="Add to Pantry"),"",ROUND(N(D922)*INDEX(Pantry!$N$6:$N$305,MATCH(C922,Pantry!$B$6:$B$305,0)),2))</f>
        <v/>
      </c>
      <c r="G922" s="35">
        <f>IF(OR(B922="",C922=""),"",IFERROR(ROUND(N(D922)*N(INDEX(Recipes!$H$6:$H$105,MATCH(B922,Recipes!$B$6:$B$105,0)))/IF(N(INDEX(Recipes!$D$6:$D$105,MATCH(B922,Recipes!$B$6:$B$105,0)))&gt;0,INDEX(Recipes!$D$6:$D$105,MATCH(B922,Recipes!$B$6:$B$105,0)),1),2),0))</f>
        <v/>
      </c>
      <c r="H922" s="1" t="n"/>
    </row>
    <row r="923">
      <c r="A923" s="1" t="n"/>
      <c r="B923" s="33" t="n"/>
      <c r="C923" s="33" t="n"/>
      <c r="D923" s="31" t="n"/>
      <c r="E923" s="35">
        <f>IF(C923="","",IFERROR(INDEX(Pantry!$C$6:$C$305,MATCH(C923,Pantry!$B$6:$B$305,0))&amp;"","Add to Pantry"))</f>
        <v/>
      </c>
      <c r="F923" s="25">
        <f>IF(OR(C923="",E923="Add to Pantry"),"",ROUND(N(D923)*INDEX(Pantry!$N$6:$N$305,MATCH(C923,Pantry!$B$6:$B$305,0)),2))</f>
        <v/>
      </c>
      <c r="G923" s="35">
        <f>IF(OR(B923="",C923=""),"",IFERROR(ROUND(N(D923)*N(INDEX(Recipes!$H$6:$H$105,MATCH(B923,Recipes!$B$6:$B$105,0)))/IF(N(INDEX(Recipes!$D$6:$D$105,MATCH(B923,Recipes!$B$6:$B$105,0)))&gt;0,INDEX(Recipes!$D$6:$D$105,MATCH(B923,Recipes!$B$6:$B$105,0)),1),2),0))</f>
        <v/>
      </c>
      <c r="H923" s="1" t="n"/>
    </row>
    <row r="924">
      <c r="A924" s="1" t="n"/>
      <c r="B924" s="33" t="n"/>
      <c r="C924" s="33" t="n"/>
      <c r="D924" s="31" t="n"/>
      <c r="E924" s="35">
        <f>IF(C924="","",IFERROR(INDEX(Pantry!$C$6:$C$305,MATCH(C924,Pantry!$B$6:$B$305,0))&amp;"","Add to Pantry"))</f>
        <v/>
      </c>
      <c r="F924" s="25">
        <f>IF(OR(C924="",E924="Add to Pantry"),"",ROUND(N(D924)*INDEX(Pantry!$N$6:$N$305,MATCH(C924,Pantry!$B$6:$B$305,0)),2))</f>
        <v/>
      </c>
      <c r="G924" s="35">
        <f>IF(OR(B924="",C924=""),"",IFERROR(ROUND(N(D924)*N(INDEX(Recipes!$H$6:$H$105,MATCH(B924,Recipes!$B$6:$B$105,0)))/IF(N(INDEX(Recipes!$D$6:$D$105,MATCH(B924,Recipes!$B$6:$B$105,0)))&gt;0,INDEX(Recipes!$D$6:$D$105,MATCH(B924,Recipes!$B$6:$B$105,0)),1),2),0))</f>
        <v/>
      </c>
      <c r="H924" s="1" t="n"/>
    </row>
    <row r="925">
      <c r="A925" s="1" t="n"/>
      <c r="B925" s="33" t="n"/>
      <c r="C925" s="33" t="n"/>
      <c r="D925" s="31" t="n"/>
      <c r="E925" s="35">
        <f>IF(C925="","",IFERROR(INDEX(Pantry!$C$6:$C$305,MATCH(C925,Pantry!$B$6:$B$305,0))&amp;"","Add to Pantry"))</f>
        <v/>
      </c>
      <c r="F925" s="25">
        <f>IF(OR(C925="",E925="Add to Pantry"),"",ROUND(N(D925)*INDEX(Pantry!$N$6:$N$305,MATCH(C925,Pantry!$B$6:$B$305,0)),2))</f>
        <v/>
      </c>
      <c r="G925" s="35">
        <f>IF(OR(B925="",C925=""),"",IFERROR(ROUND(N(D925)*N(INDEX(Recipes!$H$6:$H$105,MATCH(B925,Recipes!$B$6:$B$105,0)))/IF(N(INDEX(Recipes!$D$6:$D$105,MATCH(B925,Recipes!$B$6:$B$105,0)))&gt;0,INDEX(Recipes!$D$6:$D$105,MATCH(B925,Recipes!$B$6:$B$105,0)),1),2),0))</f>
        <v/>
      </c>
      <c r="H925" s="1" t="n"/>
    </row>
    <row r="926">
      <c r="A926" s="1" t="n"/>
      <c r="B926" s="33" t="n"/>
      <c r="C926" s="33" t="n"/>
      <c r="D926" s="31" t="n"/>
      <c r="E926" s="35">
        <f>IF(C926="","",IFERROR(INDEX(Pantry!$C$6:$C$305,MATCH(C926,Pantry!$B$6:$B$305,0))&amp;"","Add to Pantry"))</f>
        <v/>
      </c>
      <c r="F926" s="25">
        <f>IF(OR(C926="",E926="Add to Pantry"),"",ROUND(N(D926)*INDEX(Pantry!$N$6:$N$305,MATCH(C926,Pantry!$B$6:$B$305,0)),2))</f>
        <v/>
      </c>
      <c r="G926" s="35">
        <f>IF(OR(B926="",C926=""),"",IFERROR(ROUND(N(D926)*N(INDEX(Recipes!$H$6:$H$105,MATCH(B926,Recipes!$B$6:$B$105,0)))/IF(N(INDEX(Recipes!$D$6:$D$105,MATCH(B926,Recipes!$B$6:$B$105,0)))&gt;0,INDEX(Recipes!$D$6:$D$105,MATCH(B926,Recipes!$B$6:$B$105,0)),1),2),0))</f>
        <v/>
      </c>
      <c r="H926" s="1" t="n"/>
    </row>
    <row r="927">
      <c r="A927" s="1" t="n"/>
      <c r="B927" s="33" t="n"/>
      <c r="C927" s="33" t="n"/>
      <c r="D927" s="31" t="n"/>
      <c r="E927" s="35">
        <f>IF(C927="","",IFERROR(INDEX(Pantry!$C$6:$C$305,MATCH(C927,Pantry!$B$6:$B$305,0))&amp;"","Add to Pantry"))</f>
        <v/>
      </c>
      <c r="F927" s="25">
        <f>IF(OR(C927="",E927="Add to Pantry"),"",ROUND(N(D927)*INDEX(Pantry!$N$6:$N$305,MATCH(C927,Pantry!$B$6:$B$305,0)),2))</f>
        <v/>
      </c>
      <c r="G927" s="35">
        <f>IF(OR(B927="",C927=""),"",IFERROR(ROUND(N(D927)*N(INDEX(Recipes!$H$6:$H$105,MATCH(B927,Recipes!$B$6:$B$105,0)))/IF(N(INDEX(Recipes!$D$6:$D$105,MATCH(B927,Recipes!$B$6:$B$105,0)))&gt;0,INDEX(Recipes!$D$6:$D$105,MATCH(B927,Recipes!$B$6:$B$105,0)),1),2),0))</f>
        <v/>
      </c>
      <c r="H927" s="1" t="n"/>
    </row>
    <row r="928">
      <c r="A928" s="1" t="n"/>
      <c r="B928" s="33" t="n"/>
      <c r="C928" s="33" t="n"/>
      <c r="D928" s="31" t="n"/>
      <c r="E928" s="35">
        <f>IF(C928="","",IFERROR(INDEX(Pantry!$C$6:$C$305,MATCH(C928,Pantry!$B$6:$B$305,0))&amp;"","Add to Pantry"))</f>
        <v/>
      </c>
      <c r="F928" s="25">
        <f>IF(OR(C928="",E928="Add to Pantry"),"",ROUND(N(D928)*INDEX(Pantry!$N$6:$N$305,MATCH(C928,Pantry!$B$6:$B$305,0)),2))</f>
        <v/>
      </c>
      <c r="G928" s="35">
        <f>IF(OR(B928="",C928=""),"",IFERROR(ROUND(N(D928)*N(INDEX(Recipes!$H$6:$H$105,MATCH(B928,Recipes!$B$6:$B$105,0)))/IF(N(INDEX(Recipes!$D$6:$D$105,MATCH(B928,Recipes!$B$6:$B$105,0)))&gt;0,INDEX(Recipes!$D$6:$D$105,MATCH(B928,Recipes!$B$6:$B$105,0)),1),2),0))</f>
        <v/>
      </c>
      <c r="H928" s="1" t="n"/>
    </row>
    <row r="929">
      <c r="A929" s="1" t="n"/>
      <c r="B929" s="33" t="n"/>
      <c r="C929" s="33" t="n"/>
      <c r="D929" s="31" t="n"/>
      <c r="E929" s="35">
        <f>IF(C929="","",IFERROR(INDEX(Pantry!$C$6:$C$305,MATCH(C929,Pantry!$B$6:$B$305,0))&amp;"","Add to Pantry"))</f>
        <v/>
      </c>
      <c r="F929" s="25">
        <f>IF(OR(C929="",E929="Add to Pantry"),"",ROUND(N(D929)*INDEX(Pantry!$N$6:$N$305,MATCH(C929,Pantry!$B$6:$B$305,0)),2))</f>
        <v/>
      </c>
      <c r="G929" s="35">
        <f>IF(OR(B929="",C929=""),"",IFERROR(ROUND(N(D929)*N(INDEX(Recipes!$H$6:$H$105,MATCH(B929,Recipes!$B$6:$B$105,0)))/IF(N(INDEX(Recipes!$D$6:$D$105,MATCH(B929,Recipes!$B$6:$B$105,0)))&gt;0,INDEX(Recipes!$D$6:$D$105,MATCH(B929,Recipes!$B$6:$B$105,0)),1),2),0))</f>
        <v/>
      </c>
      <c r="H929" s="1" t="n"/>
    </row>
    <row r="930">
      <c r="A930" s="1" t="n"/>
      <c r="B930" s="33" t="n"/>
      <c r="C930" s="33" t="n"/>
      <c r="D930" s="31" t="n"/>
      <c r="E930" s="35">
        <f>IF(C930="","",IFERROR(INDEX(Pantry!$C$6:$C$305,MATCH(C930,Pantry!$B$6:$B$305,0))&amp;"","Add to Pantry"))</f>
        <v/>
      </c>
      <c r="F930" s="25">
        <f>IF(OR(C930="",E930="Add to Pantry"),"",ROUND(N(D930)*INDEX(Pantry!$N$6:$N$305,MATCH(C930,Pantry!$B$6:$B$305,0)),2))</f>
        <v/>
      </c>
      <c r="G930" s="35">
        <f>IF(OR(B930="",C930=""),"",IFERROR(ROUND(N(D930)*N(INDEX(Recipes!$H$6:$H$105,MATCH(B930,Recipes!$B$6:$B$105,0)))/IF(N(INDEX(Recipes!$D$6:$D$105,MATCH(B930,Recipes!$B$6:$B$105,0)))&gt;0,INDEX(Recipes!$D$6:$D$105,MATCH(B930,Recipes!$B$6:$B$105,0)),1),2),0))</f>
        <v/>
      </c>
      <c r="H930" s="1" t="n"/>
    </row>
    <row r="931">
      <c r="A931" s="1" t="n"/>
      <c r="B931" s="33" t="n"/>
      <c r="C931" s="33" t="n"/>
      <c r="D931" s="31" t="n"/>
      <c r="E931" s="35">
        <f>IF(C931="","",IFERROR(INDEX(Pantry!$C$6:$C$305,MATCH(C931,Pantry!$B$6:$B$305,0))&amp;"","Add to Pantry"))</f>
        <v/>
      </c>
      <c r="F931" s="25">
        <f>IF(OR(C931="",E931="Add to Pantry"),"",ROUND(N(D931)*INDEX(Pantry!$N$6:$N$305,MATCH(C931,Pantry!$B$6:$B$305,0)),2))</f>
        <v/>
      </c>
      <c r="G931" s="35">
        <f>IF(OR(B931="",C931=""),"",IFERROR(ROUND(N(D931)*N(INDEX(Recipes!$H$6:$H$105,MATCH(B931,Recipes!$B$6:$B$105,0)))/IF(N(INDEX(Recipes!$D$6:$D$105,MATCH(B931,Recipes!$B$6:$B$105,0)))&gt;0,INDEX(Recipes!$D$6:$D$105,MATCH(B931,Recipes!$B$6:$B$105,0)),1),2),0))</f>
        <v/>
      </c>
      <c r="H931" s="1" t="n"/>
    </row>
    <row r="932">
      <c r="A932" s="1" t="n"/>
      <c r="B932" s="33" t="n"/>
      <c r="C932" s="33" t="n"/>
      <c r="D932" s="31" t="n"/>
      <c r="E932" s="35">
        <f>IF(C932="","",IFERROR(INDEX(Pantry!$C$6:$C$305,MATCH(C932,Pantry!$B$6:$B$305,0))&amp;"","Add to Pantry"))</f>
        <v/>
      </c>
      <c r="F932" s="25">
        <f>IF(OR(C932="",E932="Add to Pantry"),"",ROUND(N(D932)*INDEX(Pantry!$N$6:$N$305,MATCH(C932,Pantry!$B$6:$B$305,0)),2))</f>
        <v/>
      </c>
      <c r="G932" s="35">
        <f>IF(OR(B932="",C932=""),"",IFERROR(ROUND(N(D932)*N(INDEX(Recipes!$H$6:$H$105,MATCH(B932,Recipes!$B$6:$B$105,0)))/IF(N(INDEX(Recipes!$D$6:$D$105,MATCH(B932,Recipes!$B$6:$B$105,0)))&gt;0,INDEX(Recipes!$D$6:$D$105,MATCH(B932,Recipes!$B$6:$B$105,0)),1),2),0))</f>
        <v/>
      </c>
      <c r="H932" s="1" t="n"/>
    </row>
    <row r="933">
      <c r="A933" s="1" t="n"/>
      <c r="B933" s="33" t="n"/>
      <c r="C933" s="33" t="n"/>
      <c r="D933" s="31" t="n"/>
      <c r="E933" s="35">
        <f>IF(C933="","",IFERROR(INDEX(Pantry!$C$6:$C$305,MATCH(C933,Pantry!$B$6:$B$305,0))&amp;"","Add to Pantry"))</f>
        <v/>
      </c>
      <c r="F933" s="25">
        <f>IF(OR(C933="",E933="Add to Pantry"),"",ROUND(N(D933)*INDEX(Pantry!$N$6:$N$305,MATCH(C933,Pantry!$B$6:$B$305,0)),2))</f>
        <v/>
      </c>
      <c r="G933" s="35">
        <f>IF(OR(B933="",C933=""),"",IFERROR(ROUND(N(D933)*N(INDEX(Recipes!$H$6:$H$105,MATCH(B933,Recipes!$B$6:$B$105,0)))/IF(N(INDEX(Recipes!$D$6:$D$105,MATCH(B933,Recipes!$B$6:$B$105,0)))&gt;0,INDEX(Recipes!$D$6:$D$105,MATCH(B933,Recipes!$B$6:$B$105,0)),1),2),0))</f>
        <v/>
      </c>
      <c r="H933" s="1" t="n"/>
    </row>
    <row r="934">
      <c r="A934" s="1" t="n"/>
      <c r="B934" s="33" t="n"/>
      <c r="C934" s="33" t="n"/>
      <c r="D934" s="31" t="n"/>
      <c r="E934" s="35">
        <f>IF(C934="","",IFERROR(INDEX(Pantry!$C$6:$C$305,MATCH(C934,Pantry!$B$6:$B$305,0))&amp;"","Add to Pantry"))</f>
        <v/>
      </c>
      <c r="F934" s="25">
        <f>IF(OR(C934="",E934="Add to Pantry"),"",ROUND(N(D934)*INDEX(Pantry!$N$6:$N$305,MATCH(C934,Pantry!$B$6:$B$305,0)),2))</f>
        <v/>
      </c>
      <c r="G934" s="35">
        <f>IF(OR(B934="",C934=""),"",IFERROR(ROUND(N(D934)*N(INDEX(Recipes!$H$6:$H$105,MATCH(B934,Recipes!$B$6:$B$105,0)))/IF(N(INDEX(Recipes!$D$6:$D$105,MATCH(B934,Recipes!$B$6:$B$105,0)))&gt;0,INDEX(Recipes!$D$6:$D$105,MATCH(B934,Recipes!$B$6:$B$105,0)),1),2),0))</f>
        <v/>
      </c>
      <c r="H934" s="1" t="n"/>
    </row>
    <row r="935">
      <c r="A935" s="1" t="n"/>
      <c r="B935" s="33" t="n"/>
      <c r="C935" s="33" t="n"/>
      <c r="D935" s="31" t="n"/>
      <c r="E935" s="35">
        <f>IF(C935="","",IFERROR(INDEX(Pantry!$C$6:$C$305,MATCH(C935,Pantry!$B$6:$B$305,0))&amp;"","Add to Pantry"))</f>
        <v/>
      </c>
      <c r="F935" s="25">
        <f>IF(OR(C935="",E935="Add to Pantry"),"",ROUND(N(D935)*INDEX(Pantry!$N$6:$N$305,MATCH(C935,Pantry!$B$6:$B$305,0)),2))</f>
        <v/>
      </c>
      <c r="G935" s="35">
        <f>IF(OR(B935="",C935=""),"",IFERROR(ROUND(N(D935)*N(INDEX(Recipes!$H$6:$H$105,MATCH(B935,Recipes!$B$6:$B$105,0)))/IF(N(INDEX(Recipes!$D$6:$D$105,MATCH(B935,Recipes!$B$6:$B$105,0)))&gt;0,INDEX(Recipes!$D$6:$D$105,MATCH(B935,Recipes!$B$6:$B$105,0)),1),2),0))</f>
        <v/>
      </c>
      <c r="H935" s="1" t="n"/>
    </row>
    <row r="936">
      <c r="A936" s="1" t="n"/>
      <c r="B936" s="33" t="n"/>
      <c r="C936" s="33" t="n"/>
      <c r="D936" s="31" t="n"/>
      <c r="E936" s="35">
        <f>IF(C936="","",IFERROR(INDEX(Pantry!$C$6:$C$305,MATCH(C936,Pantry!$B$6:$B$305,0))&amp;"","Add to Pantry"))</f>
        <v/>
      </c>
      <c r="F936" s="25">
        <f>IF(OR(C936="",E936="Add to Pantry"),"",ROUND(N(D936)*INDEX(Pantry!$N$6:$N$305,MATCH(C936,Pantry!$B$6:$B$305,0)),2))</f>
        <v/>
      </c>
      <c r="G936" s="35">
        <f>IF(OR(B936="",C936=""),"",IFERROR(ROUND(N(D936)*N(INDEX(Recipes!$H$6:$H$105,MATCH(B936,Recipes!$B$6:$B$105,0)))/IF(N(INDEX(Recipes!$D$6:$D$105,MATCH(B936,Recipes!$B$6:$B$105,0)))&gt;0,INDEX(Recipes!$D$6:$D$105,MATCH(B936,Recipes!$B$6:$B$105,0)),1),2),0))</f>
        <v/>
      </c>
      <c r="H936" s="1" t="n"/>
    </row>
    <row r="937">
      <c r="A937" s="1" t="n"/>
      <c r="B937" s="33" t="n"/>
      <c r="C937" s="33" t="n"/>
      <c r="D937" s="31" t="n"/>
      <c r="E937" s="35">
        <f>IF(C937="","",IFERROR(INDEX(Pantry!$C$6:$C$305,MATCH(C937,Pantry!$B$6:$B$305,0))&amp;"","Add to Pantry"))</f>
        <v/>
      </c>
      <c r="F937" s="25">
        <f>IF(OR(C937="",E937="Add to Pantry"),"",ROUND(N(D937)*INDEX(Pantry!$N$6:$N$305,MATCH(C937,Pantry!$B$6:$B$305,0)),2))</f>
        <v/>
      </c>
      <c r="G937" s="35">
        <f>IF(OR(B937="",C937=""),"",IFERROR(ROUND(N(D937)*N(INDEX(Recipes!$H$6:$H$105,MATCH(B937,Recipes!$B$6:$B$105,0)))/IF(N(INDEX(Recipes!$D$6:$D$105,MATCH(B937,Recipes!$B$6:$B$105,0)))&gt;0,INDEX(Recipes!$D$6:$D$105,MATCH(B937,Recipes!$B$6:$B$105,0)),1),2),0))</f>
        <v/>
      </c>
      <c r="H937" s="1" t="n"/>
    </row>
    <row r="938">
      <c r="A938" s="1" t="n"/>
      <c r="B938" s="33" t="n"/>
      <c r="C938" s="33" t="n"/>
      <c r="D938" s="31" t="n"/>
      <c r="E938" s="35">
        <f>IF(C938="","",IFERROR(INDEX(Pantry!$C$6:$C$305,MATCH(C938,Pantry!$B$6:$B$305,0))&amp;"","Add to Pantry"))</f>
        <v/>
      </c>
      <c r="F938" s="25">
        <f>IF(OR(C938="",E938="Add to Pantry"),"",ROUND(N(D938)*INDEX(Pantry!$N$6:$N$305,MATCH(C938,Pantry!$B$6:$B$305,0)),2))</f>
        <v/>
      </c>
      <c r="G938" s="35">
        <f>IF(OR(B938="",C938=""),"",IFERROR(ROUND(N(D938)*N(INDEX(Recipes!$H$6:$H$105,MATCH(B938,Recipes!$B$6:$B$105,0)))/IF(N(INDEX(Recipes!$D$6:$D$105,MATCH(B938,Recipes!$B$6:$B$105,0)))&gt;0,INDEX(Recipes!$D$6:$D$105,MATCH(B938,Recipes!$B$6:$B$105,0)),1),2),0))</f>
        <v/>
      </c>
      <c r="H938" s="1" t="n"/>
    </row>
    <row r="939">
      <c r="A939" s="1" t="n"/>
      <c r="B939" s="33" t="n"/>
      <c r="C939" s="33" t="n"/>
      <c r="D939" s="31" t="n"/>
      <c r="E939" s="35">
        <f>IF(C939="","",IFERROR(INDEX(Pantry!$C$6:$C$305,MATCH(C939,Pantry!$B$6:$B$305,0))&amp;"","Add to Pantry"))</f>
        <v/>
      </c>
      <c r="F939" s="25">
        <f>IF(OR(C939="",E939="Add to Pantry"),"",ROUND(N(D939)*INDEX(Pantry!$N$6:$N$305,MATCH(C939,Pantry!$B$6:$B$305,0)),2))</f>
        <v/>
      </c>
      <c r="G939" s="35">
        <f>IF(OR(B939="",C939=""),"",IFERROR(ROUND(N(D939)*N(INDEX(Recipes!$H$6:$H$105,MATCH(B939,Recipes!$B$6:$B$105,0)))/IF(N(INDEX(Recipes!$D$6:$D$105,MATCH(B939,Recipes!$B$6:$B$105,0)))&gt;0,INDEX(Recipes!$D$6:$D$105,MATCH(B939,Recipes!$B$6:$B$105,0)),1),2),0))</f>
        <v/>
      </c>
      <c r="H939" s="1" t="n"/>
    </row>
    <row r="940">
      <c r="A940" s="1" t="n"/>
      <c r="B940" s="33" t="n"/>
      <c r="C940" s="33" t="n"/>
      <c r="D940" s="31" t="n"/>
      <c r="E940" s="35">
        <f>IF(C940="","",IFERROR(INDEX(Pantry!$C$6:$C$305,MATCH(C940,Pantry!$B$6:$B$305,0))&amp;"","Add to Pantry"))</f>
        <v/>
      </c>
      <c r="F940" s="25">
        <f>IF(OR(C940="",E940="Add to Pantry"),"",ROUND(N(D940)*INDEX(Pantry!$N$6:$N$305,MATCH(C940,Pantry!$B$6:$B$305,0)),2))</f>
        <v/>
      </c>
      <c r="G940" s="35">
        <f>IF(OR(B940="",C940=""),"",IFERROR(ROUND(N(D940)*N(INDEX(Recipes!$H$6:$H$105,MATCH(B940,Recipes!$B$6:$B$105,0)))/IF(N(INDEX(Recipes!$D$6:$D$105,MATCH(B940,Recipes!$B$6:$B$105,0)))&gt;0,INDEX(Recipes!$D$6:$D$105,MATCH(B940,Recipes!$B$6:$B$105,0)),1),2),0))</f>
        <v/>
      </c>
      <c r="H940" s="1" t="n"/>
    </row>
    <row r="941">
      <c r="A941" s="1" t="n"/>
      <c r="B941" s="33" t="n"/>
      <c r="C941" s="33" t="n"/>
      <c r="D941" s="31" t="n"/>
      <c r="E941" s="35">
        <f>IF(C941="","",IFERROR(INDEX(Pantry!$C$6:$C$305,MATCH(C941,Pantry!$B$6:$B$305,0))&amp;"","Add to Pantry"))</f>
        <v/>
      </c>
      <c r="F941" s="25">
        <f>IF(OR(C941="",E941="Add to Pantry"),"",ROUND(N(D941)*INDEX(Pantry!$N$6:$N$305,MATCH(C941,Pantry!$B$6:$B$305,0)),2))</f>
        <v/>
      </c>
      <c r="G941" s="35">
        <f>IF(OR(B941="",C941=""),"",IFERROR(ROUND(N(D941)*N(INDEX(Recipes!$H$6:$H$105,MATCH(B941,Recipes!$B$6:$B$105,0)))/IF(N(INDEX(Recipes!$D$6:$D$105,MATCH(B941,Recipes!$B$6:$B$105,0)))&gt;0,INDEX(Recipes!$D$6:$D$105,MATCH(B941,Recipes!$B$6:$B$105,0)),1),2),0))</f>
        <v/>
      </c>
      <c r="H941" s="1" t="n"/>
    </row>
    <row r="942">
      <c r="A942" s="1" t="n"/>
      <c r="B942" s="33" t="n"/>
      <c r="C942" s="33" t="n"/>
      <c r="D942" s="31" t="n"/>
      <c r="E942" s="35">
        <f>IF(C942="","",IFERROR(INDEX(Pantry!$C$6:$C$305,MATCH(C942,Pantry!$B$6:$B$305,0))&amp;"","Add to Pantry"))</f>
        <v/>
      </c>
      <c r="F942" s="25">
        <f>IF(OR(C942="",E942="Add to Pantry"),"",ROUND(N(D942)*INDEX(Pantry!$N$6:$N$305,MATCH(C942,Pantry!$B$6:$B$305,0)),2))</f>
        <v/>
      </c>
      <c r="G942" s="35">
        <f>IF(OR(B942="",C942=""),"",IFERROR(ROUND(N(D942)*N(INDEX(Recipes!$H$6:$H$105,MATCH(B942,Recipes!$B$6:$B$105,0)))/IF(N(INDEX(Recipes!$D$6:$D$105,MATCH(B942,Recipes!$B$6:$B$105,0)))&gt;0,INDEX(Recipes!$D$6:$D$105,MATCH(B942,Recipes!$B$6:$B$105,0)),1),2),0))</f>
        <v/>
      </c>
      <c r="H942" s="1" t="n"/>
    </row>
    <row r="943">
      <c r="A943" s="1" t="n"/>
      <c r="B943" s="33" t="n"/>
      <c r="C943" s="33" t="n"/>
      <c r="D943" s="31" t="n"/>
      <c r="E943" s="35">
        <f>IF(C943="","",IFERROR(INDEX(Pantry!$C$6:$C$305,MATCH(C943,Pantry!$B$6:$B$305,0))&amp;"","Add to Pantry"))</f>
        <v/>
      </c>
      <c r="F943" s="25">
        <f>IF(OR(C943="",E943="Add to Pantry"),"",ROUND(N(D943)*INDEX(Pantry!$N$6:$N$305,MATCH(C943,Pantry!$B$6:$B$305,0)),2))</f>
        <v/>
      </c>
      <c r="G943" s="35">
        <f>IF(OR(B943="",C943=""),"",IFERROR(ROUND(N(D943)*N(INDEX(Recipes!$H$6:$H$105,MATCH(B943,Recipes!$B$6:$B$105,0)))/IF(N(INDEX(Recipes!$D$6:$D$105,MATCH(B943,Recipes!$B$6:$B$105,0)))&gt;0,INDEX(Recipes!$D$6:$D$105,MATCH(B943,Recipes!$B$6:$B$105,0)),1),2),0))</f>
        <v/>
      </c>
      <c r="H943" s="1" t="n"/>
    </row>
    <row r="944">
      <c r="A944" s="1" t="n"/>
      <c r="B944" s="33" t="n"/>
      <c r="C944" s="33" t="n"/>
      <c r="D944" s="31" t="n"/>
      <c r="E944" s="35">
        <f>IF(C944="","",IFERROR(INDEX(Pantry!$C$6:$C$305,MATCH(C944,Pantry!$B$6:$B$305,0))&amp;"","Add to Pantry"))</f>
        <v/>
      </c>
      <c r="F944" s="25">
        <f>IF(OR(C944="",E944="Add to Pantry"),"",ROUND(N(D944)*INDEX(Pantry!$N$6:$N$305,MATCH(C944,Pantry!$B$6:$B$305,0)),2))</f>
        <v/>
      </c>
      <c r="G944" s="35">
        <f>IF(OR(B944="",C944=""),"",IFERROR(ROUND(N(D944)*N(INDEX(Recipes!$H$6:$H$105,MATCH(B944,Recipes!$B$6:$B$105,0)))/IF(N(INDEX(Recipes!$D$6:$D$105,MATCH(B944,Recipes!$B$6:$B$105,0)))&gt;0,INDEX(Recipes!$D$6:$D$105,MATCH(B944,Recipes!$B$6:$B$105,0)),1),2),0))</f>
        <v/>
      </c>
      <c r="H944" s="1" t="n"/>
    </row>
    <row r="945">
      <c r="A945" s="1" t="n"/>
      <c r="B945" s="33" t="n"/>
      <c r="C945" s="33" t="n"/>
      <c r="D945" s="31" t="n"/>
      <c r="E945" s="35">
        <f>IF(C945="","",IFERROR(INDEX(Pantry!$C$6:$C$305,MATCH(C945,Pantry!$B$6:$B$305,0))&amp;"","Add to Pantry"))</f>
        <v/>
      </c>
      <c r="F945" s="25">
        <f>IF(OR(C945="",E945="Add to Pantry"),"",ROUND(N(D945)*INDEX(Pantry!$N$6:$N$305,MATCH(C945,Pantry!$B$6:$B$305,0)),2))</f>
        <v/>
      </c>
      <c r="G945" s="35">
        <f>IF(OR(B945="",C945=""),"",IFERROR(ROUND(N(D945)*N(INDEX(Recipes!$H$6:$H$105,MATCH(B945,Recipes!$B$6:$B$105,0)))/IF(N(INDEX(Recipes!$D$6:$D$105,MATCH(B945,Recipes!$B$6:$B$105,0)))&gt;0,INDEX(Recipes!$D$6:$D$105,MATCH(B945,Recipes!$B$6:$B$105,0)),1),2),0))</f>
        <v/>
      </c>
      <c r="H945" s="1" t="n"/>
    </row>
    <row r="946">
      <c r="A946" s="1" t="n"/>
      <c r="B946" s="33" t="n"/>
      <c r="C946" s="33" t="n"/>
      <c r="D946" s="31" t="n"/>
      <c r="E946" s="35">
        <f>IF(C946="","",IFERROR(INDEX(Pantry!$C$6:$C$305,MATCH(C946,Pantry!$B$6:$B$305,0))&amp;"","Add to Pantry"))</f>
        <v/>
      </c>
      <c r="F946" s="25">
        <f>IF(OR(C946="",E946="Add to Pantry"),"",ROUND(N(D946)*INDEX(Pantry!$N$6:$N$305,MATCH(C946,Pantry!$B$6:$B$305,0)),2))</f>
        <v/>
      </c>
      <c r="G946" s="35">
        <f>IF(OR(B946="",C946=""),"",IFERROR(ROUND(N(D946)*N(INDEX(Recipes!$H$6:$H$105,MATCH(B946,Recipes!$B$6:$B$105,0)))/IF(N(INDEX(Recipes!$D$6:$D$105,MATCH(B946,Recipes!$B$6:$B$105,0)))&gt;0,INDEX(Recipes!$D$6:$D$105,MATCH(B946,Recipes!$B$6:$B$105,0)),1),2),0))</f>
        <v/>
      </c>
      <c r="H946" s="1" t="n"/>
    </row>
    <row r="947">
      <c r="A947" s="1" t="n"/>
      <c r="B947" s="33" t="n"/>
      <c r="C947" s="33" t="n"/>
      <c r="D947" s="31" t="n"/>
      <c r="E947" s="35">
        <f>IF(C947="","",IFERROR(INDEX(Pantry!$C$6:$C$305,MATCH(C947,Pantry!$B$6:$B$305,0))&amp;"","Add to Pantry"))</f>
        <v/>
      </c>
      <c r="F947" s="25">
        <f>IF(OR(C947="",E947="Add to Pantry"),"",ROUND(N(D947)*INDEX(Pantry!$N$6:$N$305,MATCH(C947,Pantry!$B$6:$B$305,0)),2))</f>
        <v/>
      </c>
      <c r="G947" s="35">
        <f>IF(OR(B947="",C947=""),"",IFERROR(ROUND(N(D947)*N(INDEX(Recipes!$H$6:$H$105,MATCH(B947,Recipes!$B$6:$B$105,0)))/IF(N(INDEX(Recipes!$D$6:$D$105,MATCH(B947,Recipes!$B$6:$B$105,0)))&gt;0,INDEX(Recipes!$D$6:$D$105,MATCH(B947,Recipes!$B$6:$B$105,0)),1),2),0))</f>
        <v/>
      </c>
      <c r="H947" s="1" t="n"/>
    </row>
    <row r="948">
      <c r="A948" s="1" t="n"/>
      <c r="B948" s="33" t="n"/>
      <c r="C948" s="33" t="n"/>
      <c r="D948" s="31" t="n"/>
      <c r="E948" s="35">
        <f>IF(C948="","",IFERROR(INDEX(Pantry!$C$6:$C$305,MATCH(C948,Pantry!$B$6:$B$305,0))&amp;"","Add to Pantry"))</f>
        <v/>
      </c>
      <c r="F948" s="25">
        <f>IF(OR(C948="",E948="Add to Pantry"),"",ROUND(N(D948)*INDEX(Pantry!$N$6:$N$305,MATCH(C948,Pantry!$B$6:$B$305,0)),2))</f>
        <v/>
      </c>
      <c r="G948" s="35">
        <f>IF(OR(B948="",C948=""),"",IFERROR(ROUND(N(D948)*N(INDEX(Recipes!$H$6:$H$105,MATCH(B948,Recipes!$B$6:$B$105,0)))/IF(N(INDEX(Recipes!$D$6:$D$105,MATCH(B948,Recipes!$B$6:$B$105,0)))&gt;0,INDEX(Recipes!$D$6:$D$105,MATCH(B948,Recipes!$B$6:$B$105,0)),1),2),0))</f>
        <v/>
      </c>
      <c r="H948" s="1" t="n"/>
    </row>
    <row r="949">
      <c r="A949" s="1" t="n"/>
      <c r="B949" s="33" t="n"/>
      <c r="C949" s="33" t="n"/>
      <c r="D949" s="31" t="n"/>
      <c r="E949" s="35">
        <f>IF(C949="","",IFERROR(INDEX(Pantry!$C$6:$C$305,MATCH(C949,Pantry!$B$6:$B$305,0))&amp;"","Add to Pantry"))</f>
        <v/>
      </c>
      <c r="F949" s="25">
        <f>IF(OR(C949="",E949="Add to Pantry"),"",ROUND(N(D949)*INDEX(Pantry!$N$6:$N$305,MATCH(C949,Pantry!$B$6:$B$305,0)),2))</f>
        <v/>
      </c>
      <c r="G949" s="35">
        <f>IF(OR(B949="",C949=""),"",IFERROR(ROUND(N(D949)*N(INDEX(Recipes!$H$6:$H$105,MATCH(B949,Recipes!$B$6:$B$105,0)))/IF(N(INDEX(Recipes!$D$6:$D$105,MATCH(B949,Recipes!$B$6:$B$105,0)))&gt;0,INDEX(Recipes!$D$6:$D$105,MATCH(B949,Recipes!$B$6:$B$105,0)),1),2),0))</f>
        <v/>
      </c>
      <c r="H949" s="1" t="n"/>
    </row>
    <row r="950">
      <c r="A950" s="1" t="n"/>
      <c r="B950" s="33" t="n"/>
      <c r="C950" s="33" t="n"/>
      <c r="D950" s="31" t="n"/>
      <c r="E950" s="35">
        <f>IF(C950="","",IFERROR(INDEX(Pantry!$C$6:$C$305,MATCH(C950,Pantry!$B$6:$B$305,0))&amp;"","Add to Pantry"))</f>
        <v/>
      </c>
      <c r="F950" s="25">
        <f>IF(OR(C950="",E950="Add to Pantry"),"",ROUND(N(D950)*INDEX(Pantry!$N$6:$N$305,MATCH(C950,Pantry!$B$6:$B$305,0)),2))</f>
        <v/>
      </c>
      <c r="G950" s="35">
        <f>IF(OR(B950="",C950=""),"",IFERROR(ROUND(N(D950)*N(INDEX(Recipes!$H$6:$H$105,MATCH(B950,Recipes!$B$6:$B$105,0)))/IF(N(INDEX(Recipes!$D$6:$D$105,MATCH(B950,Recipes!$B$6:$B$105,0)))&gt;0,INDEX(Recipes!$D$6:$D$105,MATCH(B950,Recipes!$B$6:$B$105,0)),1),2),0))</f>
        <v/>
      </c>
      <c r="H950" s="1" t="n"/>
    </row>
    <row r="951">
      <c r="A951" s="1" t="n"/>
      <c r="B951" s="33" t="n"/>
      <c r="C951" s="33" t="n"/>
      <c r="D951" s="31" t="n"/>
      <c r="E951" s="35">
        <f>IF(C951="","",IFERROR(INDEX(Pantry!$C$6:$C$305,MATCH(C951,Pantry!$B$6:$B$305,0))&amp;"","Add to Pantry"))</f>
        <v/>
      </c>
      <c r="F951" s="25">
        <f>IF(OR(C951="",E951="Add to Pantry"),"",ROUND(N(D951)*INDEX(Pantry!$N$6:$N$305,MATCH(C951,Pantry!$B$6:$B$305,0)),2))</f>
        <v/>
      </c>
      <c r="G951" s="35">
        <f>IF(OR(B951="",C951=""),"",IFERROR(ROUND(N(D951)*N(INDEX(Recipes!$H$6:$H$105,MATCH(B951,Recipes!$B$6:$B$105,0)))/IF(N(INDEX(Recipes!$D$6:$D$105,MATCH(B951,Recipes!$B$6:$B$105,0)))&gt;0,INDEX(Recipes!$D$6:$D$105,MATCH(B951,Recipes!$B$6:$B$105,0)),1),2),0))</f>
        <v/>
      </c>
      <c r="H951" s="1" t="n"/>
    </row>
    <row r="952">
      <c r="A952" s="1" t="n"/>
      <c r="B952" s="33" t="n"/>
      <c r="C952" s="33" t="n"/>
      <c r="D952" s="31" t="n"/>
      <c r="E952" s="35">
        <f>IF(C952="","",IFERROR(INDEX(Pantry!$C$6:$C$305,MATCH(C952,Pantry!$B$6:$B$305,0))&amp;"","Add to Pantry"))</f>
        <v/>
      </c>
      <c r="F952" s="25">
        <f>IF(OR(C952="",E952="Add to Pantry"),"",ROUND(N(D952)*INDEX(Pantry!$N$6:$N$305,MATCH(C952,Pantry!$B$6:$B$305,0)),2))</f>
        <v/>
      </c>
      <c r="G952" s="35">
        <f>IF(OR(B952="",C952=""),"",IFERROR(ROUND(N(D952)*N(INDEX(Recipes!$H$6:$H$105,MATCH(B952,Recipes!$B$6:$B$105,0)))/IF(N(INDEX(Recipes!$D$6:$D$105,MATCH(B952,Recipes!$B$6:$B$105,0)))&gt;0,INDEX(Recipes!$D$6:$D$105,MATCH(B952,Recipes!$B$6:$B$105,0)),1),2),0))</f>
        <v/>
      </c>
      <c r="H952" s="1" t="n"/>
    </row>
    <row r="953">
      <c r="A953" s="1" t="n"/>
      <c r="B953" s="33" t="n"/>
      <c r="C953" s="33" t="n"/>
      <c r="D953" s="31" t="n"/>
      <c r="E953" s="35">
        <f>IF(C953="","",IFERROR(INDEX(Pantry!$C$6:$C$305,MATCH(C953,Pantry!$B$6:$B$305,0))&amp;"","Add to Pantry"))</f>
        <v/>
      </c>
      <c r="F953" s="25">
        <f>IF(OR(C953="",E953="Add to Pantry"),"",ROUND(N(D953)*INDEX(Pantry!$N$6:$N$305,MATCH(C953,Pantry!$B$6:$B$305,0)),2))</f>
        <v/>
      </c>
      <c r="G953" s="35">
        <f>IF(OR(B953="",C953=""),"",IFERROR(ROUND(N(D953)*N(INDEX(Recipes!$H$6:$H$105,MATCH(B953,Recipes!$B$6:$B$105,0)))/IF(N(INDEX(Recipes!$D$6:$D$105,MATCH(B953,Recipes!$B$6:$B$105,0)))&gt;0,INDEX(Recipes!$D$6:$D$105,MATCH(B953,Recipes!$B$6:$B$105,0)),1),2),0))</f>
        <v/>
      </c>
      <c r="H953" s="1" t="n"/>
    </row>
    <row r="954">
      <c r="A954" s="1" t="n"/>
      <c r="B954" s="33" t="n"/>
      <c r="C954" s="33" t="n"/>
      <c r="D954" s="31" t="n"/>
      <c r="E954" s="35">
        <f>IF(C954="","",IFERROR(INDEX(Pantry!$C$6:$C$305,MATCH(C954,Pantry!$B$6:$B$305,0))&amp;"","Add to Pantry"))</f>
        <v/>
      </c>
      <c r="F954" s="25">
        <f>IF(OR(C954="",E954="Add to Pantry"),"",ROUND(N(D954)*INDEX(Pantry!$N$6:$N$305,MATCH(C954,Pantry!$B$6:$B$305,0)),2))</f>
        <v/>
      </c>
      <c r="G954" s="35">
        <f>IF(OR(B954="",C954=""),"",IFERROR(ROUND(N(D954)*N(INDEX(Recipes!$H$6:$H$105,MATCH(B954,Recipes!$B$6:$B$105,0)))/IF(N(INDEX(Recipes!$D$6:$D$105,MATCH(B954,Recipes!$B$6:$B$105,0)))&gt;0,INDEX(Recipes!$D$6:$D$105,MATCH(B954,Recipes!$B$6:$B$105,0)),1),2),0))</f>
        <v/>
      </c>
      <c r="H954" s="1" t="n"/>
    </row>
    <row r="955">
      <c r="A955" s="1" t="n"/>
      <c r="B955" s="33" t="n"/>
      <c r="C955" s="33" t="n"/>
      <c r="D955" s="31" t="n"/>
      <c r="E955" s="35">
        <f>IF(C955="","",IFERROR(INDEX(Pantry!$C$6:$C$305,MATCH(C955,Pantry!$B$6:$B$305,0))&amp;"","Add to Pantry"))</f>
        <v/>
      </c>
      <c r="F955" s="25">
        <f>IF(OR(C955="",E955="Add to Pantry"),"",ROUND(N(D955)*INDEX(Pantry!$N$6:$N$305,MATCH(C955,Pantry!$B$6:$B$305,0)),2))</f>
        <v/>
      </c>
      <c r="G955" s="35">
        <f>IF(OR(B955="",C955=""),"",IFERROR(ROUND(N(D955)*N(INDEX(Recipes!$H$6:$H$105,MATCH(B955,Recipes!$B$6:$B$105,0)))/IF(N(INDEX(Recipes!$D$6:$D$105,MATCH(B955,Recipes!$B$6:$B$105,0)))&gt;0,INDEX(Recipes!$D$6:$D$105,MATCH(B955,Recipes!$B$6:$B$105,0)),1),2),0))</f>
        <v/>
      </c>
      <c r="H955" s="1" t="n"/>
    </row>
    <row r="956">
      <c r="A956" s="1" t="n"/>
      <c r="B956" s="33" t="n"/>
      <c r="C956" s="33" t="n"/>
      <c r="D956" s="31" t="n"/>
      <c r="E956" s="35">
        <f>IF(C956="","",IFERROR(INDEX(Pantry!$C$6:$C$305,MATCH(C956,Pantry!$B$6:$B$305,0))&amp;"","Add to Pantry"))</f>
        <v/>
      </c>
      <c r="F956" s="25">
        <f>IF(OR(C956="",E956="Add to Pantry"),"",ROUND(N(D956)*INDEX(Pantry!$N$6:$N$305,MATCH(C956,Pantry!$B$6:$B$305,0)),2))</f>
        <v/>
      </c>
      <c r="G956" s="35">
        <f>IF(OR(B956="",C956=""),"",IFERROR(ROUND(N(D956)*N(INDEX(Recipes!$H$6:$H$105,MATCH(B956,Recipes!$B$6:$B$105,0)))/IF(N(INDEX(Recipes!$D$6:$D$105,MATCH(B956,Recipes!$B$6:$B$105,0)))&gt;0,INDEX(Recipes!$D$6:$D$105,MATCH(B956,Recipes!$B$6:$B$105,0)),1),2),0))</f>
        <v/>
      </c>
      <c r="H956" s="1" t="n"/>
    </row>
    <row r="957">
      <c r="A957" s="1" t="n"/>
      <c r="B957" s="33" t="n"/>
      <c r="C957" s="33" t="n"/>
      <c r="D957" s="31" t="n"/>
      <c r="E957" s="35">
        <f>IF(C957="","",IFERROR(INDEX(Pantry!$C$6:$C$305,MATCH(C957,Pantry!$B$6:$B$305,0))&amp;"","Add to Pantry"))</f>
        <v/>
      </c>
      <c r="F957" s="25">
        <f>IF(OR(C957="",E957="Add to Pantry"),"",ROUND(N(D957)*INDEX(Pantry!$N$6:$N$305,MATCH(C957,Pantry!$B$6:$B$305,0)),2))</f>
        <v/>
      </c>
      <c r="G957" s="35">
        <f>IF(OR(B957="",C957=""),"",IFERROR(ROUND(N(D957)*N(INDEX(Recipes!$H$6:$H$105,MATCH(B957,Recipes!$B$6:$B$105,0)))/IF(N(INDEX(Recipes!$D$6:$D$105,MATCH(B957,Recipes!$B$6:$B$105,0)))&gt;0,INDEX(Recipes!$D$6:$D$105,MATCH(B957,Recipes!$B$6:$B$105,0)),1),2),0))</f>
        <v/>
      </c>
      <c r="H957" s="1" t="n"/>
    </row>
    <row r="958">
      <c r="A958" s="1" t="n"/>
      <c r="B958" s="33" t="n"/>
      <c r="C958" s="33" t="n"/>
      <c r="D958" s="31" t="n"/>
      <c r="E958" s="35">
        <f>IF(C958="","",IFERROR(INDEX(Pantry!$C$6:$C$305,MATCH(C958,Pantry!$B$6:$B$305,0))&amp;"","Add to Pantry"))</f>
        <v/>
      </c>
      <c r="F958" s="25">
        <f>IF(OR(C958="",E958="Add to Pantry"),"",ROUND(N(D958)*INDEX(Pantry!$N$6:$N$305,MATCH(C958,Pantry!$B$6:$B$305,0)),2))</f>
        <v/>
      </c>
      <c r="G958" s="35">
        <f>IF(OR(B958="",C958=""),"",IFERROR(ROUND(N(D958)*N(INDEX(Recipes!$H$6:$H$105,MATCH(B958,Recipes!$B$6:$B$105,0)))/IF(N(INDEX(Recipes!$D$6:$D$105,MATCH(B958,Recipes!$B$6:$B$105,0)))&gt;0,INDEX(Recipes!$D$6:$D$105,MATCH(B958,Recipes!$B$6:$B$105,0)),1),2),0))</f>
        <v/>
      </c>
      <c r="H958" s="1" t="n"/>
    </row>
    <row r="959">
      <c r="A959" s="1" t="n"/>
      <c r="B959" s="33" t="n"/>
      <c r="C959" s="33" t="n"/>
      <c r="D959" s="31" t="n"/>
      <c r="E959" s="35">
        <f>IF(C959="","",IFERROR(INDEX(Pantry!$C$6:$C$305,MATCH(C959,Pantry!$B$6:$B$305,0))&amp;"","Add to Pantry"))</f>
        <v/>
      </c>
      <c r="F959" s="25">
        <f>IF(OR(C959="",E959="Add to Pantry"),"",ROUND(N(D959)*INDEX(Pantry!$N$6:$N$305,MATCH(C959,Pantry!$B$6:$B$305,0)),2))</f>
        <v/>
      </c>
      <c r="G959" s="35">
        <f>IF(OR(B959="",C959=""),"",IFERROR(ROUND(N(D959)*N(INDEX(Recipes!$H$6:$H$105,MATCH(B959,Recipes!$B$6:$B$105,0)))/IF(N(INDEX(Recipes!$D$6:$D$105,MATCH(B959,Recipes!$B$6:$B$105,0)))&gt;0,INDEX(Recipes!$D$6:$D$105,MATCH(B959,Recipes!$B$6:$B$105,0)),1),2),0))</f>
        <v/>
      </c>
      <c r="H959" s="1" t="n"/>
    </row>
    <row r="960">
      <c r="A960" s="1" t="n"/>
      <c r="B960" s="33" t="n"/>
      <c r="C960" s="33" t="n"/>
      <c r="D960" s="31" t="n"/>
      <c r="E960" s="35">
        <f>IF(C960="","",IFERROR(INDEX(Pantry!$C$6:$C$305,MATCH(C960,Pantry!$B$6:$B$305,0))&amp;"","Add to Pantry"))</f>
        <v/>
      </c>
      <c r="F960" s="25">
        <f>IF(OR(C960="",E960="Add to Pantry"),"",ROUND(N(D960)*INDEX(Pantry!$N$6:$N$305,MATCH(C960,Pantry!$B$6:$B$305,0)),2))</f>
        <v/>
      </c>
      <c r="G960" s="35">
        <f>IF(OR(B960="",C960=""),"",IFERROR(ROUND(N(D960)*N(INDEX(Recipes!$H$6:$H$105,MATCH(B960,Recipes!$B$6:$B$105,0)))/IF(N(INDEX(Recipes!$D$6:$D$105,MATCH(B960,Recipes!$B$6:$B$105,0)))&gt;0,INDEX(Recipes!$D$6:$D$105,MATCH(B960,Recipes!$B$6:$B$105,0)),1),2),0))</f>
        <v/>
      </c>
      <c r="H960" s="1" t="n"/>
    </row>
    <row r="961">
      <c r="A961" s="1" t="n"/>
      <c r="B961" s="33" t="n"/>
      <c r="C961" s="33" t="n"/>
      <c r="D961" s="31" t="n"/>
      <c r="E961" s="35">
        <f>IF(C961="","",IFERROR(INDEX(Pantry!$C$6:$C$305,MATCH(C961,Pantry!$B$6:$B$305,0))&amp;"","Add to Pantry"))</f>
        <v/>
      </c>
      <c r="F961" s="25">
        <f>IF(OR(C961="",E961="Add to Pantry"),"",ROUND(N(D961)*INDEX(Pantry!$N$6:$N$305,MATCH(C961,Pantry!$B$6:$B$305,0)),2))</f>
        <v/>
      </c>
      <c r="G961" s="35">
        <f>IF(OR(B961="",C961=""),"",IFERROR(ROUND(N(D961)*N(INDEX(Recipes!$H$6:$H$105,MATCH(B961,Recipes!$B$6:$B$105,0)))/IF(N(INDEX(Recipes!$D$6:$D$105,MATCH(B961,Recipes!$B$6:$B$105,0)))&gt;0,INDEX(Recipes!$D$6:$D$105,MATCH(B961,Recipes!$B$6:$B$105,0)),1),2),0))</f>
        <v/>
      </c>
      <c r="H961" s="1" t="n"/>
    </row>
    <row r="962">
      <c r="A962" s="1" t="n"/>
      <c r="B962" s="33" t="n"/>
      <c r="C962" s="33" t="n"/>
      <c r="D962" s="31" t="n"/>
      <c r="E962" s="35">
        <f>IF(C962="","",IFERROR(INDEX(Pantry!$C$6:$C$305,MATCH(C962,Pantry!$B$6:$B$305,0))&amp;"","Add to Pantry"))</f>
        <v/>
      </c>
      <c r="F962" s="25">
        <f>IF(OR(C962="",E962="Add to Pantry"),"",ROUND(N(D962)*INDEX(Pantry!$N$6:$N$305,MATCH(C962,Pantry!$B$6:$B$305,0)),2))</f>
        <v/>
      </c>
      <c r="G962" s="35">
        <f>IF(OR(B962="",C962=""),"",IFERROR(ROUND(N(D962)*N(INDEX(Recipes!$H$6:$H$105,MATCH(B962,Recipes!$B$6:$B$105,0)))/IF(N(INDEX(Recipes!$D$6:$D$105,MATCH(B962,Recipes!$B$6:$B$105,0)))&gt;0,INDEX(Recipes!$D$6:$D$105,MATCH(B962,Recipes!$B$6:$B$105,0)),1),2),0))</f>
        <v/>
      </c>
      <c r="H962" s="1" t="n"/>
    </row>
    <row r="963">
      <c r="A963" s="1" t="n"/>
      <c r="B963" s="33" t="n"/>
      <c r="C963" s="33" t="n"/>
      <c r="D963" s="31" t="n"/>
      <c r="E963" s="35">
        <f>IF(C963="","",IFERROR(INDEX(Pantry!$C$6:$C$305,MATCH(C963,Pantry!$B$6:$B$305,0))&amp;"","Add to Pantry"))</f>
        <v/>
      </c>
      <c r="F963" s="25">
        <f>IF(OR(C963="",E963="Add to Pantry"),"",ROUND(N(D963)*INDEX(Pantry!$N$6:$N$305,MATCH(C963,Pantry!$B$6:$B$305,0)),2))</f>
        <v/>
      </c>
      <c r="G963" s="35">
        <f>IF(OR(B963="",C963=""),"",IFERROR(ROUND(N(D963)*N(INDEX(Recipes!$H$6:$H$105,MATCH(B963,Recipes!$B$6:$B$105,0)))/IF(N(INDEX(Recipes!$D$6:$D$105,MATCH(B963,Recipes!$B$6:$B$105,0)))&gt;0,INDEX(Recipes!$D$6:$D$105,MATCH(B963,Recipes!$B$6:$B$105,0)),1),2),0))</f>
        <v/>
      </c>
      <c r="H963" s="1" t="n"/>
    </row>
    <row r="964">
      <c r="A964" s="1" t="n"/>
      <c r="B964" s="33" t="n"/>
      <c r="C964" s="33" t="n"/>
      <c r="D964" s="31" t="n"/>
      <c r="E964" s="35">
        <f>IF(C964="","",IFERROR(INDEX(Pantry!$C$6:$C$305,MATCH(C964,Pantry!$B$6:$B$305,0))&amp;"","Add to Pantry"))</f>
        <v/>
      </c>
      <c r="F964" s="25">
        <f>IF(OR(C964="",E964="Add to Pantry"),"",ROUND(N(D964)*INDEX(Pantry!$N$6:$N$305,MATCH(C964,Pantry!$B$6:$B$305,0)),2))</f>
        <v/>
      </c>
      <c r="G964" s="35">
        <f>IF(OR(B964="",C964=""),"",IFERROR(ROUND(N(D964)*N(INDEX(Recipes!$H$6:$H$105,MATCH(B964,Recipes!$B$6:$B$105,0)))/IF(N(INDEX(Recipes!$D$6:$D$105,MATCH(B964,Recipes!$B$6:$B$105,0)))&gt;0,INDEX(Recipes!$D$6:$D$105,MATCH(B964,Recipes!$B$6:$B$105,0)),1),2),0))</f>
        <v/>
      </c>
      <c r="H964" s="1" t="n"/>
    </row>
    <row r="965">
      <c r="A965" s="1" t="n"/>
      <c r="B965" s="33" t="n"/>
      <c r="C965" s="33" t="n"/>
      <c r="D965" s="31" t="n"/>
      <c r="E965" s="35">
        <f>IF(C965="","",IFERROR(INDEX(Pantry!$C$6:$C$305,MATCH(C965,Pantry!$B$6:$B$305,0))&amp;"","Add to Pantry"))</f>
        <v/>
      </c>
      <c r="F965" s="25">
        <f>IF(OR(C965="",E965="Add to Pantry"),"",ROUND(N(D965)*INDEX(Pantry!$N$6:$N$305,MATCH(C965,Pantry!$B$6:$B$305,0)),2))</f>
        <v/>
      </c>
      <c r="G965" s="35">
        <f>IF(OR(B965="",C965=""),"",IFERROR(ROUND(N(D965)*N(INDEX(Recipes!$H$6:$H$105,MATCH(B965,Recipes!$B$6:$B$105,0)))/IF(N(INDEX(Recipes!$D$6:$D$105,MATCH(B965,Recipes!$B$6:$B$105,0)))&gt;0,INDEX(Recipes!$D$6:$D$105,MATCH(B965,Recipes!$B$6:$B$105,0)),1),2),0))</f>
        <v/>
      </c>
      <c r="H965" s="1" t="n"/>
    </row>
    <row r="966">
      <c r="A966" s="1" t="n"/>
      <c r="B966" s="33" t="n"/>
      <c r="C966" s="33" t="n"/>
      <c r="D966" s="31" t="n"/>
      <c r="E966" s="35">
        <f>IF(C966="","",IFERROR(INDEX(Pantry!$C$6:$C$305,MATCH(C966,Pantry!$B$6:$B$305,0))&amp;"","Add to Pantry"))</f>
        <v/>
      </c>
      <c r="F966" s="25">
        <f>IF(OR(C966="",E966="Add to Pantry"),"",ROUND(N(D966)*INDEX(Pantry!$N$6:$N$305,MATCH(C966,Pantry!$B$6:$B$305,0)),2))</f>
        <v/>
      </c>
      <c r="G966" s="35">
        <f>IF(OR(B966="",C966=""),"",IFERROR(ROUND(N(D966)*N(INDEX(Recipes!$H$6:$H$105,MATCH(B966,Recipes!$B$6:$B$105,0)))/IF(N(INDEX(Recipes!$D$6:$D$105,MATCH(B966,Recipes!$B$6:$B$105,0)))&gt;0,INDEX(Recipes!$D$6:$D$105,MATCH(B966,Recipes!$B$6:$B$105,0)),1),2),0))</f>
        <v/>
      </c>
      <c r="H966" s="1" t="n"/>
    </row>
    <row r="967">
      <c r="A967" s="1" t="n"/>
      <c r="B967" s="33" t="n"/>
      <c r="C967" s="33" t="n"/>
      <c r="D967" s="31" t="n"/>
      <c r="E967" s="35">
        <f>IF(C967="","",IFERROR(INDEX(Pantry!$C$6:$C$305,MATCH(C967,Pantry!$B$6:$B$305,0))&amp;"","Add to Pantry"))</f>
        <v/>
      </c>
      <c r="F967" s="25">
        <f>IF(OR(C967="",E967="Add to Pantry"),"",ROUND(N(D967)*INDEX(Pantry!$N$6:$N$305,MATCH(C967,Pantry!$B$6:$B$305,0)),2))</f>
        <v/>
      </c>
      <c r="G967" s="35">
        <f>IF(OR(B967="",C967=""),"",IFERROR(ROUND(N(D967)*N(INDEX(Recipes!$H$6:$H$105,MATCH(B967,Recipes!$B$6:$B$105,0)))/IF(N(INDEX(Recipes!$D$6:$D$105,MATCH(B967,Recipes!$B$6:$B$105,0)))&gt;0,INDEX(Recipes!$D$6:$D$105,MATCH(B967,Recipes!$B$6:$B$105,0)),1),2),0))</f>
        <v/>
      </c>
      <c r="H967" s="1" t="n"/>
    </row>
    <row r="968">
      <c r="A968" s="1" t="n"/>
      <c r="B968" s="33" t="n"/>
      <c r="C968" s="33" t="n"/>
      <c r="D968" s="31" t="n"/>
      <c r="E968" s="35">
        <f>IF(C968="","",IFERROR(INDEX(Pantry!$C$6:$C$305,MATCH(C968,Pantry!$B$6:$B$305,0))&amp;"","Add to Pantry"))</f>
        <v/>
      </c>
      <c r="F968" s="25">
        <f>IF(OR(C968="",E968="Add to Pantry"),"",ROUND(N(D968)*INDEX(Pantry!$N$6:$N$305,MATCH(C968,Pantry!$B$6:$B$305,0)),2))</f>
        <v/>
      </c>
      <c r="G968" s="35">
        <f>IF(OR(B968="",C968=""),"",IFERROR(ROUND(N(D968)*N(INDEX(Recipes!$H$6:$H$105,MATCH(B968,Recipes!$B$6:$B$105,0)))/IF(N(INDEX(Recipes!$D$6:$D$105,MATCH(B968,Recipes!$B$6:$B$105,0)))&gt;0,INDEX(Recipes!$D$6:$D$105,MATCH(B968,Recipes!$B$6:$B$105,0)),1),2),0))</f>
        <v/>
      </c>
      <c r="H968" s="1" t="n"/>
    </row>
    <row r="969">
      <c r="A969" s="1" t="n"/>
      <c r="B969" s="33" t="n"/>
      <c r="C969" s="33" t="n"/>
      <c r="D969" s="31" t="n"/>
      <c r="E969" s="35">
        <f>IF(C969="","",IFERROR(INDEX(Pantry!$C$6:$C$305,MATCH(C969,Pantry!$B$6:$B$305,0))&amp;"","Add to Pantry"))</f>
        <v/>
      </c>
      <c r="F969" s="25">
        <f>IF(OR(C969="",E969="Add to Pantry"),"",ROUND(N(D969)*INDEX(Pantry!$N$6:$N$305,MATCH(C969,Pantry!$B$6:$B$305,0)),2))</f>
        <v/>
      </c>
      <c r="G969" s="35">
        <f>IF(OR(B969="",C969=""),"",IFERROR(ROUND(N(D969)*N(INDEX(Recipes!$H$6:$H$105,MATCH(B969,Recipes!$B$6:$B$105,0)))/IF(N(INDEX(Recipes!$D$6:$D$105,MATCH(B969,Recipes!$B$6:$B$105,0)))&gt;0,INDEX(Recipes!$D$6:$D$105,MATCH(B969,Recipes!$B$6:$B$105,0)),1),2),0))</f>
        <v/>
      </c>
      <c r="H969" s="1" t="n"/>
    </row>
    <row r="970">
      <c r="A970" s="1" t="n"/>
      <c r="B970" s="33" t="n"/>
      <c r="C970" s="33" t="n"/>
      <c r="D970" s="31" t="n"/>
      <c r="E970" s="35">
        <f>IF(C970="","",IFERROR(INDEX(Pantry!$C$6:$C$305,MATCH(C970,Pantry!$B$6:$B$305,0))&amp;"","Add to Pantry"))</f>
        <v/>
      </c>
      <c r="F970" s="25">
        <f>IF(OR(C970="",E970="Add to Pantry"),"",ROUND(N(D970)*INDEX(Pantry!$N$6:$N$305,MATCH(C970,Pantry!$B$6:$B$305,0)),2))</f>
        <v/>
      </c>
      <c r="G970" s="35">
        <f>IF(OR(B970="",C970=""),"",IFERROR(ROUND(N(D970)*N(INDEX(Recipes!$H$6:$H$105,MATCH(B970,Recipes!$B$6:$B$105,0)))/IF(N(INDEX(Recipes!$D$6:$D$105,MATCH(B970,Recipes!$B$6:$B$105,0)))&gt;0,INDEX(Recipes!$D$6:$D$105,MATCH(B970,Recipes!$B$6:$B$105,0)),1),2),0))</f>
        <v/>
      </c>
      <c r="H970" s="1" t="n"/>
    </row>
    <row r="971">
      <c r="A971" s="1" t="n"/>
      <c r="B971" s="33" t="n"/>
      <c r="C971" s="33" t="n"/>
      <c r="D971" s="31" t="n"/>
      <c r="E971" s="35">
        <f>IF(C971="","",IFERROR(INDEX(Pantry!$C$6:$C$305,MATCH(C971,Pantry!$B$6:$B$305,0))&amp;"","Add to Pantry"))</f>
        <v/>
      </c>
      <c r="F971" s="25">
        <f>IF(OR(C971="",E971="Add to Pantry"),"",ROUND(N(D971)*INDEX(Pantry!$N$6:$N$305,MATCH(C971,Pantry!$B$6:$B$305,0)),2))</f>
        <v/>
      </c>
      <c r="G971" s="35">
        <f>IF(OR(B971="",C971=""),"",IFERROR(ROUND(N(D971)*N(INDEX(Recipes!$H$6:$H$105,MATCH(B971,Recipes!$B$6:$B$105,0)))/IF(N(INDEX(Recipes!$D$6:$D$105,MATCH(B971,Recipes!$B$6:$B$105,0)))&gt;0,INDEX(Recipes!$D$6:$D$105,MATCH(B971,Recipes!$B$6:$B$105,0)),1),2),0))</f>
        <v/>
      </c>
      <c r="H971" s="1" t="n"/>
    </row>
    <row r="972">
      <c r="A972" s="1" t="n"/>
      <c r="B972" s="33" t="n"/>
      <c r="C972" s="33" t="n"/>
      <c r="D972" s="31" t="n"/>
      <c r="E972" s="35">
        <f>IF(C972="","",IFERROR(INDEX(Pantry!$C$6:$C$305,MATCH(C972,Pantry!$B$6:$B$305,0))&amp;"","Add to Pantry"))</f>
        <v/>
      </c>
      <c r="F972" s="25">
        <f>IF(OR(C972="",E972="Add to Pantry"),"",ROUND(N(D972)*INDEX(Pantry!$N$6:$N$305,MATCH(C972,Pantry!$B$6:$B$305,0)),2))</f>
        <v/>
      </c>
      <c r="G972" s="35">
        <f>IF(OR(B972="",C972=""),"",IFERROR(ROUND(N(D972)*N(INDEX(Recipes!$H$6:$H$105,MATCH(B972,Recipes!$B$6:$B$105,0)))/IF(N(INDEX(Recipes!$D$6:$D$105,MATCH(B972,Recipes!$B$6:$B$105,0)))&gt;0,INDEX(Recipes!$D$6:$D$105,MATCH(B972,Recipes!$B$6:$B$105,0)),1),2),0))</f>
        <v/>
      </c>
      <c r="H972" s="1" t="n"/>
    </row>
    <row r="973">
      <c r="A973" s="1" t="n"/>
      <c r="B973" s="33" t="n"/>
      <c r="C973" s="33" t="n"/>
      <c r="D973" s="31" t="n"/>
      <c r="E973" s="35">
        <f>IF(C973="","",IFERROR(INDEX(Pantry!$C$6:$C$305,MATCH(C973,Pantry!$B$6:$B$305,0))&amp;"","Add to Pantry"))</f>
        <v/>
      </c>
      <c r="F973" s="25">
        <f>IF(OR(C973="",E973="Add to Pantry"),"",ROUND(N(D973)*INDEX(Pantry!$N$6:$N$305,MATCH(C973,Pantry!$B$6:$B$305,0)),2))</f>
        <v/>
      </c>
      <c r="G973" s="35">
        <f>IF(OR(B973="",C973=""),"",IFERROR(ROUND(N(D973)*N(INDEX(Recipes!$H$6:$H$105,MATCH(B973,Recipes!$B$6:$B$105,0)))/IF(N(INDEX(Recipes!$D$6:$D$105,MATCH(B973,Recipes!$B$6:$B$105,0)))&gt;0,INDEX(Recipes!$D$6:$D$105,MATCH(B973,Recipes!$B$6:$B$105,0)),1),2),0))</f>
        <v/>
      </c>
      <c r="H973" s="1" t="n"/>
    </row>
    <row r="974">
      <c r="A974" s="1" t="n"/>
      <c r="B974" s="33" t="n"/>
      <c r="C974" s="33" t="n"/>
      <c r="D974" s="31" t="n"/>
      <c r="E974" s="35">
        <f>IF(C974="","",IFERROR(INDEX(Pantry!$C$6:$C$305,MATCH(C974,Pantry!$B$6:$B$305,0))&amp;"","Add to Pantry"))</f>
        <v/>
      </c>
      <c r="F974" s="25">
        <f>IF(OR(C974="",E974="Add to Pantry"),"",ROUND(N(D974)*INDEX(Pantry!$N$6:$N$305,MATCH(C974,Pantry!$B$6:$B$305,0)),2))</f>
        <v/>
      </c>
      <c r="G974" s="35">
        <f>IF(OR(B974="",C974=""),"",IFERROR(ROUND(N(D974)*N(INDEX(Recipes!$H$6:$H$105,MATCH(B974,Recipes!$B$6:$B$105,0)))/IF(N(INDEX(Recipes!$D$6:$D$105,MATCH(B974,Recipes!$B$6:$B$105,0)))&gt;0,INDEX(Recipes!$D$6:$D$105,MATCH(B974,Recipes!$B$6:$B$105,0)),1),2),0))</f>
        <v/>
      </c>
      <c r="H974" s="1" t="n"/>
    </row>
    <row r="975">
      <c r="A975" s="1" t="n"/>
      <c r="B975" s="33" t="n"/>
      <c r="C975" s="33" t="n"/>
      <c r="D975" s="31" t="n"/>
      <c r="E975" s="35">
        <f>IF(C975="","",IFERROR(INDEX(Pantry!$C$6:$C$305,MATCH(C975,Pantry!$B$6:$B$305,0))&amp;"","Add to Pantry"))</f>
        <v/>
      </c>
      <c r="F975" s="25">
        <f>IF(OR(C975="",E975="Add to Pantry"),"",ROUND(N(D975)*INDEX(Pantry!$N$6:$N$305,MATCH(C975,Pantry!$B$6:$B$305,0)),2))</f>
        <v/>
      </c>
      <c r="G975" s="35">
        <f>IF(OR(B975="",C975=""),"",IFERROR(ROUND(N(D975)*N(INDEX(Recipes!$H$6:$H$105,MATCH(B975,Recipes!$B$6:$B$105,0)))/IF(N(INDEX(Recipes!$D$6:$D$105,MATCH(B975,Recipes!$B$6:$B$105,0)))&gt;0,INDEX(Recipes!$D$6:$D$105,MATCH(B975,Recipes!$B$6:$B$105,0)),1),2),0))</f>
        <v/>
      </c>
      <c r="H975" s="1" t="n"/>
    </row>
    <row r="976">
      <c r="A976" s="1" t="n"/>
      <c r="B976" s="33" t="n"/>
      <c r="C976" s="33" t="n"/>
      <c r="D976" s="31" t="n"/>
      <c r="E976" s="35">
        <f>IF(C976="","",IFERROR(INDEX(Pantry!$C$6:$C$305,MATCH(C976,Pantry!$B$6:$B$305,0))&amp;"","Add to Pantry"))</f>
        <v/>
      </c>
      <c r="F976" s="25">
        <f>IF(OR(C976="",E976="Add to Pantry"),"",ROUND(N(D976)*INDEX(Pantry!$N$6:$N$305,MATCH(C976,Pantry!$B$6:$B$305,0)),2))</f>
        <v/>
      </c>
      <c r="G976" s="35">
        <f>IF(OR(B976="",C976=""),"",IFERROR(ROUND(N(D976)*N(INDEX(Recipes!$H$6:$H$105,MATCH(B976,Recipes!$B$6:$B$105,0)))/IF(N(INDEX(Recipes!$D$6:$D$105,MATCH(B976,Recipes!$B$6:$B$105,0)))&gt;0,INDEX(Recipes!$D$6:$D$105,MATCH(B976,Recipes!$B$6:$B$105,0)),1),2),0))</f>
        <v/>
      </c>
      <c r="H976" s="1" t="n"/>
    </row>
    <row r="977">
      <c r="A977" s="1" t="n"/>
      <c r="B977" s="33" t="n"/>
      <c r="C977" s="33" t="n"/>
      <c r="D977" s="31" t="n"/>
      <c r="E977" s="35">
        <f>IF(C977="","",IFERROR(INDEX(Pantry!$C$6:$C$305,MATCH(C977,Pantry!$B$6:$B$305,0))&amp;"","Add to Pantry"))</f>
        <v/>
      </c>
      <c r="F977" s="25">
        <f>IF(OR(C977="",E977="Add to Pantry"),"",ROUND(N(D977)*INDEX(Pantry!$N$6:$N$305,MATCH(C977,Pantry!$B$6:$B$305,0)),2))</f>
        <v/>
      </c>
      <c r="G977" s="35">
        <f>IF(OR(B977="",C977=""),"",IFERROR(ROUND(N(D977)*N(INDEX(Recipes!$H$6:$H$105,MATCH(B977,Recipes!$B$6:$B$105,0)))/IF(N(INDEX(Recipes!$D$6:$D$105,MATCH(B977,Recipes!$B$6:$B$105,0)))&gt;0,INDEX(Recipes!$D$6:$D$105,MATCH(B977,Recipes!$B$6:$B$105,0)),1),2),0))</f>
        <v/>
      </c>
      <c r="H977" s="1" t="n"/>
    </row>
    <row r="978">
      <c r="A978" s="1" t="n"/>
      <c r="B978" s="33" t="n"/>
      <c r="C978" s="33" t="n"/>
      <c r="D978" s="31" t="n"/>
      <c r="E978" s="35">
        <f>IF(C978="","",IFERROR(INDEX(Pantry!$C$6:$C$305,MATCH(C978,Pantry!$B$6:$B$305,0))&amp;"","Add to Pantry"))</f>
        <v/>
      </c>
      <c r="F978" s="25">
        <f>IF(OR(C978="",E978="Add to Pantry"),"",ROUND(N(D978)*INDEX(Pantry!$N$6:$N$305,MATCH(C978,Pantry!$B$6:$B$305,0)),2))</f>
        <v/>
      </c>
      <c r="G978" s="35">
        <f>IF(OR(B978="",C978=""),"",IFERROR(ROUND(N(D978)*N(INDEX(Recipes!$H$6:$H$105,MATCH(B978,Recipes!$B$6:$B$105,0)))/IF(N(INDEX(Recipes!$D$6:$D$105,MATCH(B978,Recipes!$B$6:$B$105,0)))&gt;0,INDEX(Recipes!$D$6:$D$105,MATCH(B978,Recipes!$B$6:$B$105,0)),1),2),0))</f>
        <v/>
      </c>
      <c r="H978" s="1" t="n"/>
    </row>
    <row r="979">
      <c r="A979" s="1" t="n"/>
      <c r="B979" s="33" t="n"/>
      <c r="C979" s="33" t="n"/>
      <c r="D979" s="31" t="n"/>
      <c r="E979" s="35">
        <f>IF(C979="","",IFERROR(INDEX(Pantry!$C$6:$C$305,MATCH(C979,Pantry!$B$6:$B$305,0))&amp;"","Add to Pantry"))</f>
        <v/>
      </c>
      <c r="F979" s="25">
        <f>IF(OR(C979="",E979="Add to Pantry"),"",ROUND(N(D979)*INDEX(Pantry!$N$6:$N$305,MATCH(C979,Pantry!$B$6:$B$305,0)),2))</f>
        <v/>
      </c>
      <c r="G979" s="35">
        <f>IF(OR(B979="",C979=""),"",IFERROR(ROUND(N(D979)*N(INDEX(Recipes!$H$6:$H$105,MATCH(B979,Recipes!$B$6:$B$105,0)))/IF(N(INDEX(Recipes!$D$6:$D$105,MATCH(B979,Recipes!$B$6:$B$105,0)))&gt;0,INDEX(Recipes!$D$6:$D$105,MATCH(B979,Recipes!$B$6:$B$105,0)),1),2),0))</f>
        <v/>
      </c>
      <c r="H979" s="1" t="n"/>
    </row>
    <row r="980">
      <c r="A980" s="1" t="n"/>
      <c r="B980" s="33" t="n"/>
      <c r="C980" s="33" t="n"/>
      <c r="D980" s="31" t="n"/>
      <c r="E980" s="35">
        <f>IF(C980="","",IFERROR(INDEX(Pantry!$C$6:$C$305,MATCH(C980,Pantry!$B$6:$B$305,0))&amp;"","Add to Pantry"))</f>
        <v/>
      </c>
      <c r="F980" s="25">
        <f>IF(OR(C980="",E980="Add to Pantry"),"",ROUND(N(D980)*INDEX(Pantry!$N$6:$N$305,MATCH(C980,Pantry!$B$6:$B$305,0)),2))</f>
        <v/>
      </c>
      <c r="G980" s="35">
        <f>IF(OR(B980="",C980=""),"",IFERROR(ROUND(N(D980)*N(INDEX(Recipes!$H$6:$H$105,MATCH(B980,Recipes!$B$6:$B$105,0)))/IF(N(INDEX(Recipes!$D$6:$D$105,MATCH(B980,Recipes!$B$6:$B$105,0)))&gt;0,INDEX(Recipes!$D$6:$D$105,MATCH(B980,Recipes!$B$6:$B$105,0)),1),2),0))</f>
        <v/>
      </c>
      <c r="H980" s="1" t="n"/>
    </row>
    <row r="981">
      <c r="A981" s="1" t="n"/>
      <c r="B981" s="33" t="n"/>
      <c r="C981" s="33" t="n"/>
      <c r="D981" s="31" t="n"/>
      <c r="E981" s="35">
        <f>IF(C981="","",IFERROR(INDEX(Pantry!$C$6:$C$305,MATCH(C981,Pantry!$B$6:$B$305,0))&amp;"","Add to Pantry"))</f>
        <v/>
      </c>
      <c r="F981" s="25">
        <f>IF(OR(C981="",E981="Add to Pantry"),"",ROUND(N(D981)*INDEX(Pantry!$N$6:$N$305,MATCH(C981,Pantry!$B$6:$B$305,0)),2))</f>
        <v/>
      </c>
      <c r="G981" s="35">
        <f>IF(OR(B981="",C981=""),"",IFERROR(ROUND(N(D981)*N(INDEX(Recipes!$H$6:$H$105,MATCH(B981,Recipes!$B$6:$B$105,0)))/IF(N(INDEX(Recipes!$D$6:$D$105,MATCH(B981,Recipes!$B$6:$B$105,0)))&gt;0,INDEX(Recipes!$D$6:$D$105,MATCH(B981,Recipes!$B$6:$B$105,0)),1),2),0))</f>
        <v/>
      </c>
      <c r="H981" s="1" t="n"/>
    </row>
    <row r="982">
      <c r="A982" s="1" t="n"/>
      <c r="B982" s="33" t="n"/>
      <c r="C982" s="33" t="n"/>
      <c r="D982" s="31" t="n"/>
      <c r="E982" s="35">
        <f>IF(C982="","",IFERROR(INDEX(Pantry!$C$6:$C$305,MATCH(C982,Pantry!$B$6:$B$305,0))&amp;"","Add to Pantry"))</f>
        <v/>
      </c>
      <c r="F982" s="25">
        <f>IF(OR(C982="",E982="Add to Pantry"),"",ROUND(N(D982)*INDEX(Pantry!$N$6:$N$305,MATCH(C982,Pantry!$B$6:$B$305,0)),2))</f>
        <v/>
      </c>
      <c r="G982" s="35">
        <f>IF(OR(B982="",C982=""),"",IFERROR(ROUND(N(D982)*N(INDEX(Recipes!$H$6:$H$105,MATCH(B982,Recipes!$B$6:$B$105,0)))/IF(N(INDEX(Recipes!$D$6:$D$105,MATCH(B982,Recipes!$B$6:$B$105,0)))&gt;0,INDEX(Recipes!$D$6:$D$105,MATCH(B982,Recipes!$B$6:$B$105,0)),1),2),0))</f>
        <v/>
      </c>
      <c r="H982" s="1" t="n"/>
    </row>
    <row r="983">
      <c r="A983" s="1" t="n"/>
      <c r="B983" s="33" t="n"/>
      <c r="C983" s="33" t="n"/>
      <c r="D983" s="31" t="n"/>
      <c r="E983" s="35">
        <f>IF(C983="","",IFERROR(INDEX(Pantry!$C$6:$C$305,MATCH(C983,Pantry!$B$6:$B$305,0))&amp;"","Add to Pantry"))</f>
        <v/>
      </c>
      <c r="F983" s="25">
        <f>IF(OR(C983="",E983="Add to Pantry"),"",ROUND(N(D983)*INDEX(Pantry!$N$6:$N$305,MATCH(C983,Pantry!$B$6:$B$305,0)),2))</f>
        <v/>
      </c>
      <c r="G983" s="35">
        <f>IF(OR(B983="",C983=""),"",IFERROR(ROUND(N(D983)*N(INDEX(Recipes!$H$6:$H$105,MATCH(B983,Recipes!$B$6:$B$105,0)))/IF(N(INDEX(Recipes!$D$6:$D$105,MATCH(B983,Recipes!$B$6:$B$105,0)))&gt;0,INDEX(Recipes!$D$6:$D$105,MATCH(B983,Recipes!$B$6:$B$105,0)),1),2),0))</f>
        <v/>
      </c>
      <c r="H983" s="1" t="n"/>
    </row>
    <row r="984">
      <c r="A984" s="1" t="n"/>
      <c r="B984" s="33" t="n"/>
      <c r="C984" s="33" t="n"/>
      <c r="D984" s="31" t="n"/>
      <c r="E984" s="35">
        <f>IF(C984="","",IFERROR(INDEX(Pantry!$C$6:$C$305,MATCH(C984,Pantry!$B$6:$B$305,0))&amp;"","Add to Pantry"))</f>
        <v/>
      </c>
      <c r="F984" s="25">
        <f>IF(OR(C984="",E984="Add to Pantry"),"",ROUND(N(D984)*INDEX(Pantry!$N$6:$N$305,MATCH(C984,Pantry!$B$6:$B$305,0)),2))</f>
        <v/>
      </c>
      <c r="G984" s="35">
        <f>IF(OR(B984="",C984=""),"",IFERROR(ROUND(N(D984)*N(INDEX(Recipes!$H$6:$H$105,MATCH(B984,Recipes!$B$6:$B$105,0)))/IF(N(INDEX(Recipes!$D$6:$D$105,MATCH(B984,Recipes!$B$6:$B$105,0)))&gt;0,INDEX(Recipes!$D$6:$D$105,MATCH(B984,Recipes!$B$6:$B$105,0)),1),2),0))</f>
        <v/>
      </c>
      <c r="H984" s="1" t="n"/>
    </row>
    <row r="985">
      <c r="A985" s="1" t="n"/>
      <c r="B985" s="33" t="n"/>
      <c r="C985" s="33" t="n"/>
      <c r="D985" s="31" t="n"/>
      <c r="E985" s="35">
        <f>IF(C985="","",IFERROR(INDEX(Pantry!$C$6:$C$305,MATCH(C985,Pantry!$B$6:$B$305,0))&amp;"","Add to Pantry"))</f>
        <v/>
      </c>
      <c r="F985" s="25">
        <f>IF(OR(C985="",E985="Add to Pantry"),"",ROUND(N(D985)*INDEX(Pantry!$N$6:$N$305,MATCH(C985,Pantry!$B$6:$B$305,0)),2))</f>
        <v/>
      </c>
      <c r="G985" s="35">
        <f>IF(OR(B985="",C985=""),"",IFERROR(ROUND(N(D985)*N(INDEX(Recipes!$H$6:$H$105,MATCH(B985,Recipes!$B$6:$B$105,0)))/IF(N(INDEX(Recipes!$D$6:$D$105,MATCH(B985,Recipes!$B$6:$B$105,0)))&gt;0,INDEX(Recipes!$D$6:$D$105,MATCH(B985,Recipes!$B$6:$B$105,0)),1),2),0))</f>
        <v/>
      </c>
      <c r="H985" s="1" t="n"/>
    </row>
    <row r="986">
      <c r="A986" s="1" t="n"/>
      <c r="B986" s="33" t="n"/>
      <c r="C986" s="33" t="n"/>
      <c r="D986" s="31" t="n"/>
      <c r="E986" s="35">
        <f>IF(C986="","",IFERROR(INDEX(Pantry!$C$6:$C$305,MATCH(C986,Pantry!$B$6:$B$305,0))&amp;"","Add to Pantry"))</f>
        <v/>
      </c>
      <c r="F986" s="25">
        <f>IF(OR(C986="",E986="Add to Pantry"),"",ROUND(N(D986)*INDEX(Pantry!$N$6:$N$305,MATCH(C986,Pantry!$B$6:$B$305,0)),2))</f>
        <v/>
      </c>
      <c r="G986" s="35">
        <f>IF(OR(B986="",C986=""),"",IFERROR(ROUND(N(D986)*N(INDEX(Recipes!$H$6:$H$105,MATCH(B986,Recipes!$B$6:$B$105,0)))/IF(N(INDEX(Recipes!$D$6:$D$105,MATCH(B986,Recipes!$B$6:$B$105,0)))&gt;0,INDEX(Recipes!$D$6:$D$105,MATCH(B986,Recipes!$B$6:$B$105,0)),1),2),0))</f>
        <v/>
      </c>
      <c r="H986" s="1" t="n"/>
    </row>
    <row r="987">
      <c r="A987" s="1" t="n"/>
      <c r="B987" s="33" t="n"/>
      <c r="C987" s="33" t="n"/>
      <c r="D987" s="31" t="n"/>
      <c r="E987" s="35">
        <f>IF(C987="","",IFERROR(INDEX(Pantry!$C$6:$C$305,MATCH(C987,Pantry!$B$6:$B$305,0))&amp;"","Add to Pantry"))</f>
        <v/>
      </c>
      <c r="F987" s="25">
        <f>IF(OR(C987="",E987="Add to Pantry"),"",ROUND(N(D987)*INDEX(Pantry!$N$6:$N$305,MATCH(C987,Pantry!$B$6:$B$305,0)),2))</f>
        <v/>
      </c>
      <c r="G987" s="35">
        <f>IF(OR(B987="",C987=""),"",IFERROR(ROUND(N(D987)*N(INDEX(Recipes!$H$6:$H$105,MATCH(B987,Recipes!$B$6:$B$105,0)))/IF(N(INDEX(Recipes!$D$6:$D$105,MATCH(B987,Recipes!$B$6:$B$105,0)))&gt;0,INDEX(Recipes!$D$6:$D$105,MATCH(B987,Recipes!$B$6:$B$105,0)),1),2),0))</f>
        <v/>
      </c>
      <c r="H987" s="1" t="n"/>
    </row>
    <row r="988">
      <c r="A988" s="1" t="n"/>
      <c r="B988" s="33" t="n"/>
      <c r="C988" s="33" t="n"/>
      <c r="D988" s="31" t="n"/>
      <c r="E988" s="35">
        <f>IF(C988="","",IFERROR(INDEX(Pantry!$C$6:$C$305,MATCH(C988,Pantry!$B$6:$B$305,0))&amp;"","Add to Pantry"))</f>
        <v/>
      </c>
      <c r="F988" s="25">
        <f>IF(OR(C988="",E988="Add to Pantry"),"",ROUND(N(D988)*INDEX(Pantry!$N$6:$N$305,MATCH(C988,Pantry!$B$6:$B$305,0)),2))</f>
        <v/>
      </c>
      <c r="G988" s="35">
        <f>IF(OR(B988="",C988=""),"",IFERROR(ROUND(N(D988)*N(INDEX(Recipes!$H$6:$H$105,MATCH(B988,Recipes!$B$6:$B$105,0)))/IF(N(INDEX(Recipes!$D$6:$D$105,MATCH(B988,Recipes!$B$6:$B$105,0)))&gt;0,INDEX(Recipes!$D$6:$D$105,MATCH(B988,Recipes!$B$6:$B$105,0)),1),2),0))</f>
        <v/>
      </c>
      <c r="H988" s="1" t="n"/>
    </row>
    <row r="989">
      <c r="A989" s="1" t="n"/>
      <c r="B989" s="33" t="n"/>
      <c r="C989" s="33" t="n"/>
      <c r="D989" s="31" t="n"/>
      <c r="E989" s="35">
        <f>IF(C989="","",IFERROR(INDEX(Pantry!$C$6:$C$305,MATCH(C989,Pantry!$B$6:$B$305,0))&amp;"","Add to Pantry"))</f>
        <v/>
      </c>
      <c r="F989" s="25">
        <f>IF(OR(C989="",E989="Add to Pantry"),"",ROUND(N(D989)*INDEX(Pantry!$N$6:$N$305,MATCH(C989,Pantry!$B$6:$B$305,0)),2))</f>
        <v/>
      </c>
      <c r="G989" s="35">
        <f>IF(OR(B989="",C989=""),"",IFERROR(ROUND(N(D989)*N(INDEX(Recipes!$H$6:$H$105,MATCH(B989,Recipes!$B$6:$B$105,0)))/IF(N(INDEX(Recipes!$D$6:$D$105,MATCH(B989,Recipes!$B$6:$B$105,0)))&gt;0,INDEX(Recipes!$D$6:$D$105,MATCH(B989,Recipes!$B$6:$B$105,0)),1),2),0))</f>
        <v/>
      </c>
      <c r="H989" s="1" t="n"/>
    </row>
    <row r="990">
      <c r="A990" s="1" t="n"/>
      <c r="B990" s="33" t="n"/>
      <c r="C990" s="33" t="n"/>
      <c r="D990" s="31" t="n"/>
      <c r="E990" s="35">
        <f>IF(C990="","",IFERROR(INDEX(Pantry!$C$6:$C$305,MATCH(C990,Pantry!$B$6:$B$305,0))&amp;"","Add to Pantry"))</f>
        <v/>
      </c>
      <c r="F990" s="25">
        <f>IF(OR(C990="",E990="Add to Pantry"),"",ROUND(N(D990)*INDEX(Pantry!$N$6:$N$305,MATCH(C990,Pantry!$B$6:$B$305,0)),2))</f>
        <v/>
      </c>
      <c r="G990" s="35">
        <f>IF(OR(B990="",C990=""),"",IFERROR(ROUND(N(D990)*N(INDEX(Recipes!$H$6:$H$105,MATCH(B990,Recipes!$B$6:$B$105,0)))/IF(N(INDEX(Recipes!$D$6:$D$105,MATCH(B990,Recipes!$B$6:$B$105,0)))&gt;0,INDEX(Recipes!$D$6:$D$105,MATCH(B990,Recipes!$B$6:$B$105,0)),1),2),0))</f>
        <v/>
      </c>
      <c r="H990" s="1" t="n"/>
    </row>
    <row r="991">
      <c r="A991" s="1" t="n"/>
      <c r="B991" s="33" t="n"/>
      <c r="C991" s="33" t="n"/>
      <c r="D991" s="31" t="n"/>
      <c r="E991" s="35">
        <f>IF(C991="","",IFERROR(INDEX(Pantry!$C$6:$C$305,MATCH(C991,Pantry!$B$6:$B$305,0))&amp;"","Add to Pantry"))</f>
        <v/>
      </c>
      <c r="F991" s="25">
        <f>IF(OR(C991="",E991="Add to Pantry"),"",ROUND(N(D991)*INDEX(Pantry!$N$6:$N$305,MATCH(C991,Pantry!$B$6:$B$305,0)),2))</f>
        <v/>
      </c>
      <c r="G991" s="35">
        <f>IF(OR(B991="",C991=""),"",IFERROR(ROUND(N(D991)*N(INDEX(Recipes!$H$6:$H$105,MATCH(B991,Recipes!$B$6:$B$105,0)))/IF(N(INDEX(Recipes!$D$6:$D$105,MATCH(B991,Recipes!$B$6:$B$105,0)))&gt;0,INDEX(Recipes!$D$6:$D$105,MATCH(B991,Recipes!$B$6:$B$105,0)),1),2),0))</f>
        <v/>
      </c>
      <c r="H991" s="1" t="n"/>
    </row>
    <row r="992">
      <c r="A992" s="1" t="n"/>
      <c r="B992" s="33" t="n"/>
      <c r="C992" s="33" t="n"/>
      <c r="D992" s="31" t="n"/>
      <c r="E992" s="35">
        <f>IF(C992="","",IFERROR(INDEX(Pantry!$C$6:$C$305,MATCH(C992,Pantry!$B$6:$B$305,0))&amp;"","Add to Pantry"))</f>
        <v/>
      </c>
      <c r="F992" s="25">
        <f>IF(OR(C992="",E992="Add to Pantry"),"",ROUND(N(D992)*INDEX(Pantry!$N$6:$N$305,MATCH(C992,Pantry!$B$6:$B$305,0)),2))</f>
        <v/>
      </c>
      <c r="G992" s="35">
        <f>IF(OR(B992="",C992=""),"",IFERROR(ROUND(N(D992)*N(INDEX(Recipes!$H$6:$H$105,MATCH(B992,Recipes!$B$6:$B$105,0)))/IF(N(INDEX(Recipes!$D$6:$D$105,MATCH(B992,Recipes!$B$6:$B$105,0)))&gt;0,INDEX(Recipes!$D$6:$D$105,MATCH(B992,Recipes!$B$6:$B$105,0)),1),2),0))</f>
        <v/>
      </c>
      <c r="H992" s="1" t="n"/>
    </row>
    <row r="993">
      <c r="A993" s="1" t="n"/>
      <c r="B993" s="33" t="n"/>
      <c r="C993" s="33" t="n"/>
      <c r="D993" s="31" t="n"/>
      <c r="E993" s="35">
        <f>IF(C993="","",IFERROR(INDEX(Pantry!$C$6:$C$305,MATCH(C993,Pantry!$B$6:$B$305,0))&amp;"","Add to Pantry"))</f>
        <v/>
      </c>
      <c r="F993" s="25">
        <f>IF(OR(C993="",E993="Add to Pantry"),"",ROUND(N(D993)*INDEX(Pantry!$N$6:$N$305,MATCH(C993,Pantry!$B$6:$B$305,0)),2))</f>
        <v/>
      </c>
      <c r="G993" s="35">
        <f>IF(OR(B993="",C993=""),"",IFERROR(ROUND(N(D993)*N(INDEX(Recipes!$H$6:$H$105,MATCH(B993,Recipes!$B$6:$B$105,0)))/IF(N(INDEX(Recipes!$D$6:$D$105,MATCH(B993,Recipes!$B$6:$B$105,0)))&gt;0,INDEX(Recipes!$D$6:$D$105,MATCH(B993,Recipes!$B$6:$B$105,0)),1),2),0))</f>
        <v/>
      </c>
      <c r="H993" s="1" t="n"/>
    </row>
    <row r="994">
      <c r="A994" s="1" t="n"/>
      <c r="B994" s="33" t="n"/>
      <c r="C994" s="33" t="n"/>
      <c r="D994" s="31" t="n"/>
      <c r="E994" s="35">
        <f>IF(C994="","",IFERROR(INDEX(Pantry!$C$6:$C$305,MATCH(C994,Pantry!$B$6:$B$305,0))&amp;"","Add to Pantry"))</f>
        <v/>
      </c>
      <c r="F994" s="25">
        <f>IF(OR(C994="",E994="Add to Pantry"),"",ROUND(N(D994)*INDEX(Pantry!$N$6:$N$305,MATCH(C994,Pantry!$B$6:$B$305,0)),2))</f>
        <v/>
      </c>
      <c r="G994" s="35">
        <f>IF(OR(B994="",C994=""),"",IFERROR(ROUND(N(D994)*N(INDEX(Recipes!$H$6:$H$105,MATCH(B994,Recipes!$B$6:$B$105,0)))/IF(N(INDEX(Recipes!$D$6:$D$105,MATCH(B994,Recipes!$B$6:$B$105,0)))&gt;0,INDEX(Recipes!$D$6:$D$105,MATCH(B994,Recipes!$B$6:$B$105,0)),1),2),0))</f>
        <v/>
      </c>
      <c r="H994" s="1" t="n"/>
    </row>
    <row r="995">
      <c r="A995" s="1" t="n"/>
      <c r="B995" s="33" t="n"/>
      <c r="C995" s="33" t="n"/>
      <c r="D995" s="31" t="n"/>
      <c r="E995" s="35">
        <f>IF(C995="","",IFERROR(INDEX(Pantry!$C$6:$C$305,MATCH(C995,Pantry!$B$6:$B$305,0))&amp;"","Add to Pantry"))</f>
        <v/>
      </c>
      <c r="F995" s="25">
        <f>IF(OR(C995="",E995="Add to Pantry"),"",ROUND(N(D995)*INDEX(Pantry!$N$6:$N$305,MATCH(C995,Pantry!$B$6:$B$305,0)),2))</f>
        <v/>
      </c>
      <c r="G995" s="35">
        <f>IF(OR(B995="",C995=""),"",IFERROR(ROUND(N(D995)*N(INDEX(Recipes!$H$6:$H$105,MATCH(B995,Recipes!$B$6:$B$105,0)))/IF(N(INDEX(Recipes!$D$6:$D$105,MATCH(B995,Recipes!$B$6:$B$105,0)))&gt;0,INDEX(Recipes!$D$6:$D$105,MATCH(B995,Recipes!$B$6:$B$105,0)),1),2),0))</f>
        <v/>
      </c>
      <c r="H995" s="1" t="n"/>
    </row>
    <row r="996">
      <c r="A996" s="1" t="n"/>
      <c r="B996" s="33" t="n"/>
      <c r="C996" s="33" t="n"/>
      <c r="D996" s="31" t="n"/>
      <c r="E996" s="35">
        <f>IF(C996="","",IFERROR(INDEX(Pantry!$C$6:$C$305,MATCH(C996,Pantry!$B$6:$B$305,0))&amp;"","Add to Pantry"))</f>
        <v/>
      </c>
      <c r="F996" s="25">
        <f>IF(OR(C996="",E996="Add to Pantry"),"",ROUND(N(D996)*INDEX(Pantry!$N$6:$N$305,MATCH(C996,Pantry!$B$6:$B$305,0)),2))</f>
        <v/>
      </c>
      <c r="G996" s="35">
        <f>IF(OR(B996="",C996=""),"",IFERROR(ROUND(N(D996)*N(INDEX(Recipes!$H$6:$H$105,MATCH(B996,Recipes!$B$6:$B$105,0)))/IF(N(INDEX(Recipes!$D$6:$D$105,MATCH(B996,Recipes!$B$6:$B$105,0)))&gt;0,INDEX(Recipes!$D$6:$D$105,MATCH(B996,Recipes!$B$6:$B$105,0)),1),2),0))</f>
        <v/>
      </c>
      <c r="H996" s="1" t="n"/>
    </row>
    <row r="997">
      <c r="A997" s="1" t="n"/>
      <c r="B997" s="33" t="n"/>
      <c r="C997" s="33" t="n"/>
      <c r="D997" s="31" t="n"/>
      <c r="E997" s="35">
        <f>IF(C997="","",IFERROR(INDEX(Pantry!$C$6:$C$305,MATCH(C997,Pantry!$B$6:$B$305,0))&amp;"","Add to Pantry"))</f>
        <v/>
      </c>
      <c r="F997" s="25">
        <f>IF(OR(C997="",E997="Add to Pantry"),"",ROUND(N(D997)*INDEX(Pantry!$N$6:$N$305,MATCH(C997,Pantry!$B$6:$B$305,0)),2))</f>
        <v/>
      </c>
      <c r="G997" s="35">
        <f>IF(OR(B997="",C997=""),"",IFERROR(ROUND(N(D997)*N(INDEX(Recipes!$H$6:$H$105,MATCH(B997,Recipes!$B$6:$B$105,0)))/IF(N(INDEX(Recipes!$D$6:$D$105,MATCH(B997,Recipes!$B$6:$B$105,0)))&gt;0,INDEX(Recipes!$D$6:$D$105,MATCH(B997,Recipes!$B$6:$B$105,0)),1),2),0))</f>
        <v/>
      </c>
      <c r="H997" s="1" t="n"/>
    </row>
    <row r="998">
      <c r="A998" s="1" t="n"/>
      <c r="B998" s="33" t="n"/>
      <c r="C998" s="33" t="n"/>
      <c r="D998" s="31" t="n"/>
      <c r="E998" s="35">
        <f>IF(C998="","",IFERROR(INDEX(Pantry!$C$6:$C$305,MATCH(C998,Pantry!$B$6:$B$305,0))&amp;"","Add to Pantry"))</f>
        <v/>
      </c>
      <c r="F998" s="25">
        <f>IF(OR(C998="",E998="Add to Pantry"),"",ROUND(N(D998)*INDEX(Pantry!$N$6:$N$305,MATCH(C998,Pantry!$B$6:$B$305,0)),2))</f>
        <v/>
      </c>
      <c r="G998" s="35">
        <f>IF(OR(B998="",C998=""),"",IFERROR(ROUND(N(D998)*N(INDEX(Recipes!$H$6:$H$105,MATCH(B998,Recipes!$B$6:$B$105,0)))/IF(N(INDEX(Recipes!$D$6:$D$105,MATCH(B998,Recipes!$B$6:$B$105,0)))&gt;0,INDEX(Recipes!$D$6:$D$105,MATCH(B998,Recipes!$B$6:$B$105,0)),1),2),0))</f>
        <v/>
      </c>
      <c r="H998" s="1" t="n"/>
    </row>
    <row r="999">
      <c r="A999" s="1" t="n"/>
      <c r="B999" s="33" t="n"/>
      <c r="C999" s="33" t="n"/>
      <c r="D999" s="31" t="n"/>
      <c r="E999" s="35">
        <f>IF(C999="","",IFERROR(INDEX(Pantry!$C$6:$C$305,MATCH(C999,Pantry!$B$6:$B$305,0))&amp;"","Add to Pantry"))</f>
        <v/>
      </c>
      <c r="F999" s="25">
        <f>IF(OR(C999="",E999="Add to Pantry"),"",ROUND(N(D999)*INDEX(Pantry!$N$6:$N$305,MATCH(C999,Pantry!$B$6:$B$305,0)),2))</f>
        <v/>
      </c>
      <c r="G999" s="35">
        <f>IF(OR(B999="",C999=""),"",IFERROR(ROUND(N(D999)*N(INDEX(Recipes!$H$6:$H$105,MATCH(B999,Recipes!$B$6:$B$105,0)))/IF(N(INDEX(Recipes!$D$6:$D$105,MATCH(B999,Recipes!$B$6:$B$105,0)))&gt;0,INDEX(Recipes!$D$6:$D$105,MATCH(B999,Recipes!$B$6:$B$105,0)),1),2),0))</f>
        <v/>
      </c>
      <c r="H999" s="1" t="n"/>
    </row>
    <row r="1000">
      <c r="A1000" s="1" t="n"/>
      <c r="B1000" s="33" t="n"/>
      <c r="C1000" s="33" t="n"/>
      <c r="D1000" s="31" t="n"/>
      <c r="E1000" s="35">
        <f>IF(C1000="","",IFERROR(INDEX(Pantry!$C$6:$C$305,MATCH(C1000,Pantry!$B$6:$B$305,0))&amp;"","Add to Pantry"))</f>
        <v/>
      </c>
      <c r="F1000" s="25">
        <f>IF(OR(C1000="",E1000="Add to Pantry"),"",ROUND(N(D1000)*INDEX(Pantry!$N$6:$N$305,MATCH(C1000,Pantry!$B$6:$B$305,0)),2))</f>
        <v/>
      </c>
      <c r="G1000" s="35">
        <f>IF(OR(B1000="",C1000=""),"",IFERROR(ROUND(N(D1000)*N(INDEX(Recipes!$H$6:$H$105,MATCH(B1000,Recipes!$B$6:$B$105,0)))/IF(N(INDEX(Recipes!$D$6:$D$105,MATCH(B1000,Recipes!$B$6:$B$105,0)))&gt;0,INDEX(Recipes!$D$6:$D$105,MATCH(B1000,Recipes!$B$6:$B$105,0)),1),2),0))</f>
        <v/>
      </c>
      <c r="H1000" s="1" t="n"/>
    </row>
    <row r="1001">
      <c r="A1001" s="1" t="n"/>
      <c r="B1001" s="33" t="n"/>
      <c r="C1001" s="33" t="n"/>
      <c r="D1001" s="31" t="n"/>
      <c r="E1001" s="35">
        <f>IF(C1001="","",IFERROR(INDEX(Pantry!$C$6:$C$305,MATCH(C1001,Pantry!$B$6:$B$305,0))&amp;"","Add to Pantry"))</f>
        <v/>
      </c>
      <c r="F1001" s="25">
        <f>IF(OR(C1001="",E1001="Add to Pantry"),"",ROUND(N(D1001)*INDEX(Pantry!$N$6:$N$305,MATCH(C1001,Pantry!$B$6:$B$305,0)),2))</f>
        <v/>
      </c>
      <c r="G1001" s="35">
        <f>IF(OR(B1001="",C1001=""),"",IFERROR(ROUND(N(D1001)*N(INDEX(Recipes!$H$6:$H$105,MATCH(B1001,Recipes!$B$6:$B$105,0)))/IF(N(INDEX(Recipes!$D$6:$D$105,MATCH(B1001,Recipes!$B$6:$B$105,0)))&gt;0,INDEX(Recipes!$D$6:$D$105,MATCH(B1001,Recipes!$B$6:$B$105,0)),1),2),0))</f>
        <v/>
      </c>
      <c r="H1001" s="1" t="n"/>
    </row>
    <row r="1002">
      <c r="A1002" s="1" t="n"/>
      <c r="B1002" s="33" t="n"/>
      <c r="C1002" s="33" t="n"/>
      <c r="D1002" s="31" t="n"/>
      <c r="E1002" s="35">
        <f>IF(C1002="","",IFERROR(INDEX(Pantry!$C$6:$C$305,MATCH(C1002,Pantry!$B$6:$B$305,0))&amp;"","Add to Pantry"))</f>
        <v/>
      </c>
      <c r="F1002" s="25">
        <f>IF(OR(C1002="",E1002="Add to Pantry"),"",ROUND(N(D1002)*INDEX(Pantry!$N$6:$N$305,MATCH(C1002,Pantry!$B$6:$B$305,0)),2))</f>
        <v/>
      </c>
      <c r="G1002" s="35">
        <f>IF(OR(B1002="",C1002=""),"",IFERROR(ROUND(N(D1002)*N(INDEX(Recipes!$H$6:$H$105,MATCH(B1002,Recipes!$B$6:$B$105,0)))/IF(N(INDEX(Recipes!$D$6:$D$105,MATCH(B1002,Recipes!$B$6:$B$105,0)))&gt;0,INDEX(Recipes!$D$6:$D$105,MATCH(B1002,Recipes!$B$6:$B$105,0)),1),2),0))</f>
        <v/>
      </c>
      <c r="H1002" s="1" t="n"/>
    </row>
    <row r="1003">
      <c r="A1003" s="1" t="n"/>
      <c r="B1003" s="33" t="n"/>
      <c r="C1003" s="33" t="n"/>
      <c r="D1003" s="31" t="n"/>
      <c r="E1003" s="35">
        <f>IF(C1003="","",IFERROR(INDEX(Pantry!$C$6:$C$305,MATCH(C1003,Pantry!$B$6:$B$305,0))&amp;"","Add to Pantry"))</f>
        <v/>
      </c>
      <c r="F1003" s="25">
        <f>IF(OR(C1003="",E1003="Add to Pantry"),"",ROUND(N(D1003)*INDEX(Pantry!$N$6:$N$305,MATCH(C1003,Pantry!$B$6:$B$305,0)),2))</f>
        <v/>
      </c>
      <c r="G1003" s="35">
        <f>IF(OR(B1003="",C1003=""),"",IFERROR(ROUND(N(D1003)*N(INDEX(Recipes!$H$6:$H$105,MATCH(B1003,Recipes!$B$6:$B$105,0)))/IF(N(INDEX(Recipes!$D$6:$D$105,MATCH(B1003,Recipes!$B$6:$B$105,0)))&gt;0,INDEX(Recipes!$D$6:$D$105,MATCH(B1003,Recipes!$B$6:$B$105,0)),1),2),0))</f>
        <v/>
      </c>
      <c r="H1003" s="1" t="n"/>
    </row>
    <row r="1004">
      <c r="A1004" s="1" t="n"/>
      <c r="B1004" s="33" t="n"/>
      <c r="C1004" s="33" t="n"/>
      <c r="D1004" s="31" t="n"/>
      <c r="E1004" s="35">
        <f>IF(C1004="","",IFERROR(INDEX(Pantry!$C$6:$C$305,MATCH(C1004,Pantry!$B$6:$B$305,0))&amp;"","Add to Pantry"))</f>
        <v/>
      </c>
      <c r="F1004" s="25">
        <f>IF(OR(C1004="",E1004="Add to Pantry"),"",ROUND(N(D1004)*INDEX(Pantry!$N$6:$N$305,MATCH(C1004,Pantry!$B$6:$B$305,0)),2))</f>
        <v/>
      </c>
      <c r="G1004" s="35">
        <f>IF(OR(B1004="",C1004=""),"",IFERROR(ROUND(N(D1004)*N(INDEX(Recipes!$H$6:$H$105,MATCH(B1004,Recipes!$B$6:$B$105,0)))/IF(N(INDEX(Recipes!$D$6:$D$105,MATCH(B1004,Recipes!$B$6:$B$105,0)))&gt;0,INDEX(Recipes!$D$6:$D$105,MATCH(B1004,Recipes!$B$6:$B$105,0)),1),2),0))</f>
        <v/>
      </c>
      <c r="H1004" s="1" t="n"/>
    </row>
    <row r="1005">
      <c r="A1005" s="1" t="n"/>
      <c r="B1005" s="33" t="n"/>
      <c r="C1005" s="33" t="n"/>
      <c r="D1005" s="31" t="n"/>
      <c r="E1005" s="35">
        <f>IF(C1005="","",IFERROR(INDEX(Pantry!$C$6:$C$305,MATCH(C1005,Pantry!$B$6:$B$305,0))&amp;"","Add to Pantry"))</f>
        <v/>
      </c>
      <c r="F1005" s="25">
        <f>IF(OR(C1005="",E1005="Add to Pantry"),"",ROUND(N(D1005)*INDEX(Pantry!$N$6:$N$305,MATCH(C1005,Pantry!$B$6:$B$305,0)),2))</f>
        <v/>
      </c>
      <c r="G1005" s="35">
        <f>IF(OR(B1005="",C1005=""),"",IFERROR(ROUND(N(D1005)*N(INDEX(Recipes!$H$6:$H$105,MATCH(B1005,Recipes!$B$6:$B$105,0)))/IF(N(INDEX(Recipes!$D$6:$D$105,MATCH(B1005,Recipes!$B$6:$B$105,0)))&gt;0,INDEX(Recipes!$D$6:$D$105,MATCH(B1005,Recipes!$B$6:$B$105,0)),1),2),0))</f>
        <v/>
      </c>
      <c r="H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</row>
  </sheetData>
  <conditionalFormatting sqref="B6:B1005">
    <cfRule type="expression" priority="1" dxfId="6">
      <formula>AND($B6&lt;&gt;"",$B6=$B5)</formula>
    </cfRule>
  </conditionalFormatting>
  <conditionalFormatting sqref="E6:E1005">
    <cfRule type="expression" priority="2" dxfId="5">
      <formula>$E6="Add to Pantry"</formula>
    </cfRule>
  </conditionalFormatting>
  <conditionalFormatting sqref="G6:G1005">
    <cfRule type="expression" priority="3" dxfId="2">
      <formula>N($G6)&gt;0</formula>
    </cfRule>
  </conditionalFormatting>
  <dataValidations count="2">
    <dataValidation sqref="B6:B1005" showDropDown="0" showInputMessage="0" showErrorMessage="0" allowBlank="1" type="list">
      <formula1>=Recipes!$B$6:$B$105</formula1>
    </dataValidation>
    <dataValidation sqref="C6:C1005" showDropDown="0" showInputMessage="0" showErrorMessage="0" allowBlank="1" type="list">
      <formula1>=Pantry!$B$6:$B$305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30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8" customWidth="1" min="3" max="3"/>
    <col width="21" customWidth="1" min="4" max="4"/>
    <col width="15" customWidth="1" min="5" max="5"/>
    <col width="9" customWidth="1" min="6" max="6"/>
    <col width="9" customWidth="1" min="7" max="7"/>
    <col width="9" customWidth="1" min="8" max="8"/>
    <col width="8" customWidth="1" min="9" max="9"/>
    <col width="10" customWidth="1" min="10" max="10"/>
    <col width="9" customWidth="1" min="11" max="11"/>
    <col width="8" customWidth="1" min="12" max="12"/>
    <col width="10" customWidth="1" min="13" max="13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Pantry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Every food you buy, with its unit, store section, pack and price, and what you have at home.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7" t="inlineStr">
        <is>
          <t>Item</t>
        </is>
      </c>
      <c r="C5" s="7" t="inlineStr">
        <is>
          <t>Unit</t>
        </is>
      </c>
      <c r="D5" s="7" t="inlineStr">
        <is>
          <t>Store section</t>
        </is>
      </c>
      <c r="E5" s="7" t="inlineStr">
        <is>
          <t>Pack</t>
        </is>
      </c>
      <c r="F5" s="7" t="inlineStr">
        <is>
          <t>Units in a pack</t>
        </is>
      </c>
      <c r="G5" s="7" t="inlineStr">
        <is>
          <t>Pack price</t>
        </is>
      </c>
      <c r="H5" s="7" t="inlineStr">
        <is>
          <t>Have at home</t>
        </is>
      </c>
      <c r="I5" s="7" t="inlineStr">
        <is>
          <t>Extra packs</t>
        </is>
      </c>
      <c r="J5" s="7" t="inlineStr">
        <is>
          <t>Needed this week</t>
        </is>
      </c>
      <c r="K5" s="7" t="inlineStr">
        <is>
          <t>Still needed</t>
        </is>
      </c>
      <c r="L5" s="7" t="inlineStr">
        <is>
          <t>Packs to buy</t>
        </is>
      </c>
      <c r="M5" s="7" t="inlineStr">
        <is>
          <t>Cost</t>
        </is>
      </c>
      <c r="N5" s="1" t="n"/>
    </row>
    <row r="6">
      <c r="A6" s="1" t="n"/>
      <c r="B6" s="32" t="inlineStr">
        <is>
          <t>Onion</t>
        </is>
      </c>
      <c r="C6" s="31" t="inlineStr">
        <is>
          <t>each</t>
        </is>
      </c>
      <c r="D6" s="33" t="inlineStr">
        <is>
          <t>Fruit and vegetables</t>
        </is>
      </c>
      <c r="E6" s="33" t="inlineStr">
        <is>
          <t>bag of 6</t>
        </is>
      </c>
      <c r="F6" s="31" t="n">
        <v>6</v>
      </c>
      <c r="G6" s="36" t="n">
        <v>3.49</v>
      </c>
      <c r="H6" s="31" t="n">
        <v>1</v>
      </c>
      <c r="I6" s="34" t="n"/>
      <c r="J6" s="35">
        <f>IF(B6="","",ROUND(SUMIFS(Ingredients!$G$6:$G$1005,Ingredients!$C$6:$C$1005,B6),2))</f>
        <v/>
      </c>
      <c r="K6" s="35">
        <f>IF(B6="","",MAX(0,ROUND(J6-N(H6),2)))</f>
        <v/>
      </c>
      <c r="L6" s="30">
        <f>IF(B6="","",IF(N(K6)=0,0,ROUNDUP(ROUND(K6/IF(N(F6)&gt;0,F6,1),6),0))+N(I6))</f>
        <v/>
      </c>
      <c r="M6" s="25">
        <f>IF(B6="","",L6*N(G6))</f>
        <v/>
      </c>
      <c r="N6" s="1">
        <f>IF(B6="","",N(G6)/IF(N(F6)&gt;0,F6,1))</f>
        <v/>
      </c>
      <c r="O6">
        <f>IF(OR(B6="",N(L6)=0),"",IFERROR(MATCH(D6,Settings!$B$6:$B$17,0),13)*1000+ROW())</f>
        <v/>
      </c>
    </row>
    <row r="7">
      <c r="A7" s="1" t="n"/>
      <c r="B7" s="32" t="inlineStr">
        <is>
          <t>Garlic</t>
        </is>
      </c>
      <c r="C7" s="31" t="inlineStr">
        <is>
          <t>clove</t>
        </is>
      </c>
      <c r="D7" s="33" t="inlineStr">
        <is>
          <t>Fruit and vegetables</t>
        </is>
      </c>
      <c r="E7" s="33" t="inlineStr">
        <is>
          <t>bulb</t>
        </is>
      </c>
      <c r="F7" s="31" t="n">
        <v>10</v>
      </c>
      <c r="G7" s="36" t="n">
        <v>0.6</v>
      </c>
      <c r="H7" s="31" t="n">
        <v>4</v>
      </c>
      <c r="I7" s="34" t="n"/>
      <c r="J7" s="35">
        <f>IF(B7="","",ROUND(SUMIFS(Ingredients!$G$6:$G$1005,Ingredients!$C$6:$C$1005,B7),2))</f>
        <v/>
      </c>
      <c r="K7" s="35">
        <f>IF(B7="","",MAX(0,ROUND(J7-N(H7),2)))</f>
        <v/>
      </c>
      <c r="L7" s="30">
        <f>IF(B7="","",IF(N(K7)=0,0,ROUNDUP(ROUND(K7/IF(N(F7)&gt;0,F7,1),6),0))+N(I7))</f>
        <v/>
      </c>
      <c r="M7" s="25">
        <f>IF(B7="","",L7*N(G7))</f>
        <v/>
      </c>
      <c r="N7" s="1">
        <f>IF(B7="","",N(G7)/IF(N(F7)&gt;0,F7,1))</f>
        <v/>
      </c>
      <c r="O7">
        <f>IF(OR(B7="",N(L7)=0),"",IFERROR(MATCH(D7,Settings!$B$6:$B$17,0),13)*1000+ROW())</f>
        <v/>
      </c>
    </row>
    <row r="8">
      <c r="A8" s="1" t="n"/>
      <c r="B8" s="32" t="inlineStr">
        <is>
          <t>Carrot</t>
        </is>
      </c>
      <c r="C8" s="31" t="inlineStr">
        <is>
          <t>each</t>
        </is>
      </c>
      <c r="D8" s="33" t="inlineStr">
        <is>
          <t>Fruit and vegetables</t>
        </is>
      </c>
      <c r="E8" s="33" t="inlineStr">
        <is>
          <t>2 lb bag</t>
        </is>
      </c>
      <c r="F8" s="31" t="n">
        <v>12</v>
      </c>
      <c r="G8" s="36" t="n">
        <v>1.49</v>
      </c>
      <c r="H8" s="31" t="n"/>
      <c r="I8" s="34" t="n"/>
      <c r="J8" s="35">
        <f>IF(B8="","",ROUND(SUMIFS(Ingredients!$G$6:$G$1005,Ingredients!$C$6:$C$1005,B8),2))</f>
        <v/>
      </c>
      <c r="K8" s="35">
        <f>IF(B8="","",MAX(0,ROUND(J8-N(H8),2)))</f>
        <v/>
      </c>
      <c r="L8" s="30">
        <f>IF(B8="","",IF(N(K8)=0,0,ROUNDUP(ROUND(K8/IF(N(F8)&gt;0,F8,1),6),0))+N(I8))</f>
        <v/>
      </c>
      <c r="M8" s="25">
        <f>IF(B8="","",L8*N(G8))</f>
        <v/>
      </c>
      <c r="N8" s="1">
        <f>IF(B8="","",N(G8)/IF(N(F8)&gt;0,F8,1))</f>
        <v/>
      </c>
      <c r="O8">
        <f>IF(OR(B8="",N(L8)=0),"",IFERROR(MATCH(D8,Settings!$B$6:$B$17,0),13)*1000+ROW())</f>
        <v/>
      </c>
    </row>
    <row r="9">
      <c r="A9" s="1" t="n"/>
      <c r="B9" s="32" t="inlineStr">
        <is>
          <t>Celery</t>
        </is>
      </c>
      <c r="C9" s="31" t="inlineStr">
        <is>
          <t>stalk</t>
        </is>
      </c>
      <c r="D9" s="33" t="inlineStr">
        <is>
          <t>Fruit and vegetables</t>
        </is>
      </c>
      <c r="E9" s="33" t="inlineStr">
        <is>
          <t>bunch</t>
        </is>
      </c>
      <c r="F9" s="31" t="n">
        <v>8</v>
      </c>
      <c r="G9" s="36" t="n">
        <v>1.99</v>
      </c>
      <c r="H9" s="31" t="n"/>
      <c r="I9" s="34" t="n"/>
      <c r="J9" s="35">
        <f>IF(B9="","",ROUND(SUMIFS(Ingredients!$G$6:$G$1005,Ingredients!$C$6:$C$1005,B9),2))</f>
        <v/>
      </c>
      <c r="K9" s="35">
        <f>IF(B9="","",MAX(0,ROUND(J9-N(H9),2)))</f>
        <v/>
      </c>
      <c r="L9" s="30">
        <f>IF(B9="","",IF(N(K9)=0,0,ROUNDUP(ROUND(K9/IF(N(F9)&gt;0,F9,1),6),0))+N(I9))</f>
        <v/>
      </c>
      <c r="M9" s="25">
        <f>IF(B9="","",L9*N(G9))</f>
        <v/>
      </c>
      <c r="N9" s="1">
        <f>IF(B9="","",N(G9)/IF(N(F9)&gt;0,F9,1))</f>
        <v/>
      </c>
      <c r="O9">
        <f>IF(OR(B9="",N(L9)=0),"",IFERROR(MATCH(D9,Settings!$B$6:$B$17,0),13)*1000+ROW())</f>
        <v/>
      </c>
    </row>
    <row r="10">
      <c r="A10" s="1" t="n"/>
      <c r="B10" s="32" t="inlineStr">
        <is>
          <t>Bell pepper</t>
        </is>
      </c>
      <c r="C10" s="31" t="inlineStr">
        <is>
          <t>each</t>
        </is>
      </c>
      <c r="D10" s="33" t="inlineStr">
        <is>
          <t>Fruit and vegetables</t>
        </is>
      </c>
      <c r="E10" s="33" t="inlineStr">
        <is>
          <t>each</t>
        </is>
      </c>
      <c r="F10" s="31" t="n">
        <v>1</v>
      </c>
      <c r="G10" s="36" t="n">
        <v>1</v>
      </c>
      <c r="H10" s="31" t="n"/>
      <c r="I10" s="34" t="n"/>
      <c r="J10" s="35">
        <f>IF(B10="","",ROUND(SUMIFS(Ingredients!$G$6:$G$1005,Ingredients!$C$6:$C$1005,B10),2))</f>
        <v/>
      </c>
      <c r="K10" s="35">
        <f>IF(B10="","",MAX(0,ROUND(J10-N(H10),2)))</f>
        <v/>
      </c>
      <c r="L10" s="30">
        <f>IF(B10="","",IF(N(K10)=0,0,ROUNDUP(ROUND(K10/IF(N(F10)&gt;0,F10,1),6),0))+N(I10))</f>
        <v/>
      </c>
      <c r="M10" s="25">
        <f>IF(B10="","",L10*N(G10))</f>
        <v/>
      </c>
      <c r="N10" s="1">
        <f>IF(B10="","",N(G10)/IF(N(F10)&gt;0,F10,1))</f>
        <v/>
      </c>
      <c r="O10">
        <f>IF(OR(B10="",N(L10)=0),"",IFERROR(MATCH(D10,Settings!$B$6:$B$17,0),13)*1000+ROW())</f>
        <v/>
      </c>
    </row>
    <row r="11">
      <c r="A11" s="1" t="n"/>
      <c r="B11" s="32" t="inlineStr">
        <is>
          <t>Broccoli</t>
        </is>
      </c>
      <c r="C11" s="31" t="inlineStr">
        <is>
          <t>head</t>
        </is>
      </c>
      <c r="D11" s="33" t="inlineStr">
        <is>
          <t>Fruit and vegetables</t>
        </is>
      </c>
      <c r="E11" s="33" t="inlineStr">
        <is>
          <t>each</t>
        </is>
      </c>
      <c r="F11" s="31" t="n">
        <v>1</v>
      </c>
      <c r="G11" s="36" t="n">
        <v>1.99</v>
      </c>
      <c r="H11" s="31" t="n"/>
      <c r="I11" s="34" t="n"/>
      <c r="J11" s="35">
        <f>IF(B11="","",ROUND(SUMIFS(Ingredients!$G$6:$G$1005,Ingredients!$C$6:$C$1005,B11),2))</f>
        <v/>
      </c>
      <c r="K11" s="35">
        <f>IF(B11="","",MAX(0,ROUND(J11-N(H11),2)))</f>
        <v/>
      </c>
      <c r="L11" s="30">
        <f>IF(B11="","",IF(N(K11)=0,0,ROUNDUP(ROUND(K11/IF(N(F11)&gt;0,F11,1),6),0))+N(I11))</f>
        <v/>
      </c>
      <c r="M11" s="25">
        <f>IF(B11="","",L11*N(G11))</f>
        <v/>
      </c>
      <c r="N11" s="1">
        <f>IF(B11="","",N(G11)/IF(N(F11)&gt;0,F11,1))</f>
        <v/>
      </c>
      <c r="O11">
        <f>IF(OR(B11="",N(L11)=0),"",IFERROR(MATCH(D11,Settings!$B$6:$B$17,0),13)*1000+ROW())</f>
        <v/>
      </c>
    </row>
    <row r="12">
      <c r="A12" s="1" t="n"/>
      <c r="B12" s="32" t="inlineStr">
        <is>
          <t>Baby potatoes</t>
        </is>
      </c>
      <c r="C12" s="31" t="inlineStr">
        <is>
          <t>lb</t>
        </is>
      </c>
      <c r="D12" s="33" t="inlineStr">
        <is>
          <t>Fruit and vegetables</t>
        </is>
      </c>
      <c r="E12" s="33" t="inlineStr">
        <is>
          <t>1.5 lb bag</t>
        </is>
      </c>
      <c r="F12" s="31" t="n">
        <v>1.5</v>
      </c>
      <c r="G12" s="36" t="n">
        <v>3.49</v>
      </c>
      <c r="H12" s="31" t="n"/>
      <c r="I12" s="34" t="n"/>
      <c r="J12" s="35">
        <f>IF(B12="","",ROUND(SUMIFS(Ingredients!$G$6:$G$1005,Ingredients!$C$6:$C$1005,B12),2))</f>
        <v/>
      </c>
      <c r="K12" s="35">
        <f>IF(B12="","",MAX(0,ROUND(J12-N(H12),2)))</f>
        <v/>
      </c>
      <c r="L12" s="30">
        <f>IF(B12="","",IF(N(K12)=0,0,ROUNDUP(ROUND(K12/IF(N(F12)&gt;0,F12,1),6),0))+N(I12))</f>
        <v/>
      </c>
      <c r="M12" s="25">
        <f>IF(B12="","",L12*N(G12))</f>
        <v/>
      </c>
      <c r="N12" s="1">
        <f>IF(B12="","",N(G12)/IF(N(F12)&gt;0,F12,1))</f>
        <v/>
      </c>
      <c r="O12">
        <f>IF(OR(B12="",N(L12)=0),"",IFERROR(MATCH(D12,Settings!$B$6:$B$17,0),13)*1000+ROW())</f>
        <v/>
      </c>
    </row>
    <row r="13">
      <c r="A13" s="1" t="n"/>
      <c r="B13" s="32" t="inlineStr">
        <is>
          <t>Green beans</t>
        </is>
      </c>
      <c r="C13" s="31" t="inlineStr">
        <is>
          <t>lb</t>
        </is>
      </c>
      <c r="D13" s="33" t="inlineStr">
        <is>
          <t>Fruit and vegetables</t>
        </is>
      </c>
      <c r="E13" s="33" t="inlineStr">
        <is>
          <t>1 lb bag</t>
        </is>
      </c>
      <c r="F13" s="31" t="n">
        <v>1</v>
      </c>
      <c r="G13" s="36" t="n">
        <v>2.29</v>
      </c>
      <c r="H13" s="31" t="n"/>
      <c r="I13" s="34" t="n"/>
      <c r="J13" s="35">
        <f>IF(B13="","",ROUND(SUMIFS(Ingredients!$G$6:$G$1005,Ingredients!$C$6:$C$1005,B13),2))</f>
        <v/>
      </c>
      <c r="K13" s="35">
        <f>IF(B13="","",MAX(0,ROUND(J13-N(H13),2)))</f>
        <v/>
      </c>
      <c r="L13" s="30">
        <f>IF(B13="","",IF(N(K13)=0,0,ROUNDUP(ROUND(K13/IF(N(F13)&gt;0,F13,1),6),0))+N(I13))</f>
        <v/>
      </c>
      <c r="M13" s="25">
        <f>IF(B13="","",L13*N(G13))</f>
        <v/>
      </c>
      <c r="N13" s="1">
        <f>IF(B13="","",N(G13)/IF(N(F13)&gt;0,F13,1))</f>
        <v/>
      </c>
      <c r="O13">
        <f>IF(OR(B13="",N(L13)=0),"",IFERROR(MATCH(D13,Settings!$B$6:$B$17,0),13)*1000+ROW())</f>
        <v/>
      </c>
    </row>
    <row r="14">
      <c r="A14" s="1" t="n"/>
      <c r="B14" s="32" t="inlineStr">
        <is>
          <t>Lemon</t>
        </is>
      </c>
      <c r="C14" s="31" t="inlineStr">
        <is>
          <t>each</t>
        </is>
      </c>
      <c r="D14" s="33" t="inlineStr">
        <is>
          <t>Fruit and vegetables</t>
        </is>
      </c>
      <c r="E14" s="33" t="inlineStr">
        <is>
          <t>each</t>
        </is>
      </c>
      <c r="F14" s="31" t="n">
        <v>1</v>
      </c>
      <c r="G14" s="36" t="n">
        <v>0.6899999999999999</v>
      </c>
      <c r="H14" s="31" t="n"/>
      <c r="I14" s="34" t="n"/>
      <c r="J14" s="35">
        <f>IF(B14="","",ROUND(SUMIFS(Ingredients!$G$6:$G$1005,Ingredients!$C$6:$C$1005,B14),2))</f>
        <v/>
      </c>
      <c r="K14" s="35">
        <f>IF(B14="","",MAX(0,ROUND(J14-N(H14),2)))</f>
        <v/>
      </c>
      <c r="L14" s="30">
        <f>IF(B14="","",IF(N(K14)=0,0,ROUNDUP(ROUND(K14/IF(N(F14)&gt;0,F14,1),6),0))+N(I14))</f>
        <v/>
      </c>
      <c r="M14" s="25">
        <f>IF(B14="","",L14*N(G14))</f>
        <v/>
      </c>
      <c r="N14" s="1">
        <f>IF(B14="","",N(G14)/IF(N(F14)&gt;0,F14,1))</f>
        <v/>
      </c>
      <c r="O14">
        <f>IF(OR(B14="",N(L14)=0),"",IFERROR(MATCH(D14,Settings!$B$6:$B$17,0),13)*1000+ROW())</f>
        <v/>
      </c>
    </row>
    <row r="15">
      <c r="A15" s="1" t="n"/>
      <c r="B15" s="32" t="inlineStr">
        <is>
          <t>Lime</t>
        </is>
      </c>
      <c r="C15" s="31" t="inlineStr">
        <is>
          <t>each</t>
        </is>
      </c>
      <c r="D15" s="33" t="inlineStr">
        <is>
          <t>Fruit and vegetables</t>
        </is>
      </c>
      <c r="E15" s="33" t="inlineStr">
        <is>
          <t>each</t>
        </is>
      </c>
      <c r="F15" s="31" t="n">
        <v>1</v>
      </c>
      <c r="G15" s="36" t="n">
        <v>0.35</v>
      </c>
      <c r="H15" s="31" t="n"/>
      <c r="I15" s="34" t="n"/>
      <c r="J15" s="35">
        <f>IF(B15="","",ROUND(SUMIFS(Ingredients!$G$6:$G$1005,Ingredients!$C$6:$C$1005,B15),2))</f>
        <v/>
      </c>
      <c r="K15" s="35">
        <f>IF(B15="","",MAX(0,ROUND(J15-N(H15),2)))</f>
        <v/>
      </c>
      <c r="L15" s="30">
        <f>IF(B15="","",IF(N(K15)=0,0,ROUNDUP(ROUND(K15/IF(N(F15)&gt;0,F15,1),6),0))+N(I15))</f>
        <v/>
      </c>
      <c r="M15" s="25">
        <f>IF(B15="","",L15*N(G15))</f>
        <v/>
      </c>
      <c r="N15" s="1">
        <f>IF(B15="","",N(G15)/IF(N(F15)&gt;0,F15,1))</f>
        <v/>
      </c>
      <c r="O15">
        <f>IF(OR(B15="",N(L15)=0),"",IFERROR(MATCH(D15,Settings!$B$6:$B$17,0),13)*1000+ROW())</f>
        <v/>
      </c>
    </row>
    <row r="16">
      <c r="A16" s="1" t="n"/>
      <c r="B16" s="32" t="inlineStr">
        <is>
          <t>Avocado</t>
        </is>
      </c>
      <c r="C16" s="31" t="inlineStr">
        <is>
          <t>each</t>
        </is>
      </c>
      <c r="D16" s="33" t="inlineStr">
        <is>
          <t>Fruit and vegetables</t>
        </is>
      </c>
      <c r="E16" s="33" t="inlineStr">
        <is>
          <t>each</t>
        </is>
      </c>
      <c r="F16" s="31" t="n">
        <v>1</v>
      </c>
      <c r="G16" s="36" t="n">
        <v>1.25</v>
      </c>
      <c r="H16" s="31" t="n"/>
      <c r="I16" s="34" t="n"/>
      <c r="J16" s="35">
        <f>IF(B16="","",ROUND(SUMIFS(Ingredients!$G$6:$G$1005,Ingredients!$C$6:$C$1005,B16),2))</f>
        <v/>
      </c>
      <c r="K16" s="35">
        <f>IF(B16="","",MAX(0,ROUND(J16-N(H16),2)))</f>
        <v/>
      </c>
      <c r="L16" s="30">
        <f>IF(B16="","",IF(N(K16)=0,0,ROUNDUP(ROUND(K16/IF(N(F16)&gt;0,F16,1),6),0))+N(I16))</f>
        <v/>
      </c>
      <c r="M16" s="25">
        <f>IF(B16="","",L16*N(G16))</f>
        <v/>
      </c>
      <c r="N16" s="1">
        <f>IF(B16="","",N(G16)/IF(N(F16)&gt;0,F16,1))</f>
        <v/>
      </c>
      <c r="O16">
        <f>IF(OR(B16="",N(L16)=0),"",IFERROR(MATCH(D16,Settings!$B$6:$B$17,0),13)*1000+ROW())</f>
        <v/>
      </c>
    </row>
    <row r="17">
      <c r="A17" s="1" t="n"/>
      <c r="B17" s="32" t="inlineStr">
        <is>
          <t>Tomato</t>
        </is>
      </c>
      <c r="C17" s="31" t="inlineStr">
        <is>
          <t>each</t>
        </is>
      </c>
      <c r="D17" s="33" t="inlineStr">
        <is>
          <t>Fruit and vegetables</t>
        </is>
      </c>
      <c r="E17" s="33" t="inlineStr">
        <is>
          <t>each</t>
        </is>
      </c>
      <c r="F17" s="31" t="n">
        <v>1</v>
      </c>
      <c r="G17" s="36" t="n">
        <v>0.6</v>
      </c>
      <c r="H17" s="31" t="n"/>
      <c r="I17" s="34" t="n"/>
      <c r="J17" s="35">
        <f>IF(B17="","",ROUND(SUMIFS(Ingredients!$G$6:$G$1005,Ingredients!$C$6:$C$1005,B17),2))</f>
        <v/>
      </c>
      <c r="K17" s="35">
        <f>IF(B17="","",MAX(0,ROUND(J17-N(H17),2)))</f>
        <v/>
      </c>
      <c r="L17" s="30">
        <f>IF(B17="","",IF(N(K17)=0,0,ROUNDUP(ROUND(K17/IF(N(F17)&gt;0,F17,1),6),0))+N(I17))</f>
        <v/>
      </c>
      <c r="M17" s="25">
        <f>IF(B17="","",L17*N(G17))</f>
        <v/>
      </c>
      <c r="N17" s="1">
        <f>IF(B17="","",N(G17)/IF(N(F17)&gt;0,F17,1))</f>
        <v/>
      </c>
      <c r="O17">
        <f>IF(OR(B17="",N(L17)=0),"",IFERROR(MATCH(D17,Settings!$B$6:$B$17,0),13)*1000+ROW())</f>
        <v/>
      </c>
    </row>
    <row r="18">
      <c r="A18" s="1" t="n"/>
      <c r="B18" s="32" t="inlineStr">
        <is>
          <t>Cherry tomatoes</t>
        </is>
      </c>
      <c r="C18" s="31" t="inlineStr">
        <is>
          <t>oz</t>
        </is>
      </c>
      <c r="D18" s="33" t="inlineStr">
        <is>
          <t>Fruit and vegetables</t>
        </is>
      </c>
      <c r="E18" s="33" t="inlineStr">
        <is>
          <t>10 oz box</t>
        </is>
      </c>
      <c r="F18" s="31" t="n">
        <v>10</v>
      </c>
      <c r="G18" s="36" t="n">
        <v>2.99</v>
      </c>
      <c r="H18" s="31" t="n"/>
      <c r="I18" s="34" t="n"/>
      <c r="J18" s="35">
        <f>IF(B18="","",ROUND(SUMIFS(Ingredients!$G$6:$G$1005,Ingredients!$C$6:$C$1005,B18),2))</f>
        <v/>
      </c>
      <c r="K18" s="35">
        <f>IF(B18="","",MAX(0,ROUND(J18-N(H18),2)))</f>
        <v/>
      </c>
      <c r="L18" s="30">
        <f>IF(B18="","",IF(N(K18)=0,0,ROUNDUP(ROUND(K18/IF(N(F18)&gt;0,F18,1),6),0))+N(I18))</f>
        <v/>
      </c>
      <c r="M18" s="25">
        <f>IF(B18="","",L18*N(G18))</f>
        <v/>
      </c>
      <c r="N18" s="1">
        <f>IF(B18="","",N(G18)/IF(N(F18)&gt;0,F18,1))</f>
        <v/>
      </c>
      <c r="O18">
        <f>IF(OR(B18="",N(L18)=0),"",IFERROR(MATCH(D18,Settings!$B$6:$B$17,0),13)*1000+ROW())</f>
        <v/>
      </c>
    </row>
    <row r="19">
      <c r="A19" s="1" t="n"/>
      <c r="B19" s="32" t="inlineStr">
        <is>
          <t>Cucumber</t>
        </is>
      </c>
      <c r="C19" s="31" t="inlineStr">
        <is>
          <t>each</t>
        </is>
      </c>
      <c r="D19" s="33" t="inlineStr">
        <is>
          <t>Fruit and vegetables</t>
        </is>
      </c>
      <c r="E19" s="33" t="inlineStr">
        <is>
          <t>each</t>
        </is>
      </c>
      <c r="F19" s="31" t="n">
        <v>1</v>
      </c>
      <c r="G19" s="36" t="n">
        <v>0.79</v>
      </c>
      <c r="H19" s="31" t="n"/>
      <c r="I19" s="34" t="n"/>
      <c r="J19" s="35">
        <f>IF(B19="","",ROUND(SUMIFS(Ingredients!$G$6:$G$1005,Ingredients!$C$6:$C$1005,B19),2))</f>
        <v/>
      </c>
      <c r="K19" s="35">
        <f>IF(B19="","",MAX(0,ROUND(J19-N(H19),2)))</f>
        <v/>
      </c>
      <c r="L19" s="30">
        <f>IF(B19="","",IF(N(K19)=0,0,ROUNDUP(ROUND(K19/IF(N(F19)&gt;0,F19,1),6),0))+N(I19))</f>
        <v/>
      </c>
      <c r="M19" s="25">
        <f>IF(B19="","",L19*N(G19))</f>
        <v/>
      </c>
      <c r="N19" s="1">
        <f>IF(B19="","",N(G19)/IF(N(F19)&gt;0,F19,1))</f>
        <v/>
      </c>
      <c r="O19">
        <f>IF(OR(B19="",N(L19)=0),"",IFERROR(MATCH(D19,Settings!$B$6:$B$17,0),13)*1000+ROW())</f>
        <v/>
      </c>
    </row>
    <row r="20">
      <c r="A20" s="1" t="n"/>
      <c r="B20" s="32" t="inlineStr">
        <is>
          <t>Spinach</t>
        </is>
      </c>
      <c r="C20" s="31" t="inlineStr">
        <is>
          <t>oz</t>
        </is>
      </c>
      <c r="D20" s="33" t="inlineStr">
        <is>
          <t>Fruit and vegetables</t>
        </is>
      </c>
      <c r="E20" s="33" t="inlineStr">
        <is>
          <t>5 oz bag</t>
        </is>
      </c>
      <c r="F20" s="31" t="n">
        <v>5</v>
      </c>
      <c r="G20" s="36" t="n">
        <v>2.99</v>
      </c>
      <c r="H20" s="31" t="n"/>
      <c r="I20" s="34" t="n"/>
      <c r="J20" s="35">
        <f>IF(B20="","",ROUND(SUMIFS(Ingredients!$G$6:$G$1005,Ingredients!$C$6:$C$1005,B20),2))</f>
        <v/>
      </c>
      <c r="K20" s="35">
        <f>IF(B20="","",MAX(0,ROUND(J20-N(H20),2)))</f>
        <v/>
      </c>
      <c r="L20" s="30">
        <f>IF(B20="","",IF(N(K20)=0,0,ROUNDUP(ROUND(K20/IF(N(F20)&gt;0,F20,1),6),0))+N(I20))</f>
        <v/>
      </c>
      <c r="M20" s="25">
        <f>IF(B20="","",L20*N(G20))</f>
        <v/>
      </c>
      <c r="N20" s="1">
        <f>IF(B20="","",N(G20)/IF(N(F20)&gt;0,F20,1))</f>
        <v/>
      </c>
      <c r="O20">
        <f>IF(OR(B20="",N(L20)=0),"",IFERROR(MATCH(D20,Settings!$B$6:$B$17,0),13)*1000+ROW())</f>
        <v/>
      </c>
    </row>
    <row r="21">
      <c r="A21" s="1" t="n"/>
      <c r="B21" s="32" t="inlineStr">
        <is>
          <t>Romaine hearts</t>
        </is>
      </c>
      <c r="C21" s="31" t="inlineStr">
        <is>
          <t>each</t>
        </is>
      </c>
      <c r="D21" s="33" t="inlineStr">
        <is>
          <t>Fruit and vegetables</t>
        </is>
      </c>
      <c r="E21" s="33" t="inlineStr">
        <is>
          <t>pack of 3</t>
        </is>
      </c>
      <c r="F21" s="31" t="n">
        <v>3</v>
      </c>
      <c r="G21" s="36" t="n">
        <v>3.49</v>
      </c>
      <c r="H21" s="31" t="n"/>
      <c r="I21" s="34" t="n"/>
      <c r="J21" s="35">
        <f>IF(B21="","",ROUND(SUMIFS(Ingredients!$G$6:$G$1005,Ingredients!$C$6:$C$1005,B21),2))</f>
        <v/>
      </c>
      <c r="K21" s="35">
        <f>IF(B21="","",MAX(0,ROUND(J21-N(H21),2)))</f>
        <v/>
      </c>
      <c r="L21" s="30">
        <f>IF(B21="","",IF(N(K21)=0,0,ROUNDUP(ROUND(K21/IF(N(F21)&gt;0,F21,1),6),0))+N(I21))</f>
        <v/>
      </c>
      <c r="M21" s="25">
        <f>IF(B21="","",L21*N(G21))</f>
        <v/>
      </c>
      <c r="N21" s="1">
        <f>IF(B21="","",N(G21)/IF(N(F21)&gt;0,F21,1))</f>
        <v/>
      </c>
      <c r="O21">
        <f>IF(OR(B21="",N(L21)=0),"",IFERROR(MATCH(D21,Settings!$B$6:$B$17,0),13)*1000+ROW())</f>
        <v/>
      </c>
    </row>
    <row r="22">
      <c r="A22" s="1" t="n"/>
      <c r="B22" s="32" t="inlineStr">
        <is>
          <t>Apple</t>
        </is>
      </c>
      <c r="C22" s="31" t="inlineStr">
        <is>
          <t>each</t>
        </is>
      </c>
      <c r="D22" s="33" t="inlineStr">
        <is>
          <t>Fruit and vegetables</t>
        </is>
      </c>
      <c r="E22" s="33" t="inlineStr">
        <is>
          <t>bag of 6</t>
        </is>
      </c>
      <c r="F22" s="31" t="n">
        <v>6</v>
      </c>
      <c r="G22" s="36" t="n">
        <v>4.49</v>
      </c>
      <c r="H22" s="31" t="n">
        <v>2</v>
      </c>
      <c r="I22" s="34" t="n"/>
      <c r="J22" s="35">
        <f>IF(B22="","",ROUND(SUMIFS(Ingredients!$G$6:$G$1005,Ingredients!$C$6:$C$1005,B22),2))</f>
        <v/>
      </c>
      <c r="K22" s="35">
        <f>IF(B22="","",MAX(0,ROUND(J22-N(H22),2)))</f>
        <v/>
      </c>
      <c r="L22" s="30">
        <f>IF(B22="","",IF(N(K22)=0,0,ROUNDUP(ROUND(K22/IF(N(F22)&gt;0,F22,1),6),0))+N(I22))</f>
        <v/>
      </c>
      <c r="M22" s="25">
        <f>IF(B22="","",L22*N(G22))</f>
        <v/>
      </c>
      <c r="N22" s="1">
        <f>IF(B22="","",N(G22)/IF(N(F22)&gt;0,F22,1))</f>
        <v/>
      </c>
      <c r="O22">
        <f>IF(OR(B22="",N(L22)=0),"",IFERROR(MATCH(D22,Settings!$B$6:$B$17,0),13)*1000+ROW())</f>
        <v/>
      </c>
    </row>
    <row r="23">
      <c r="A23" s="1" t="n"/>
      <c r="B23" s="32" t="inlineStr">
        <is>
          <t>Banana</t>
        </is>
      </c>
      <c r="C23" s="31" t="inlineStr">
        <is>
          <t>each</t>
        </is>
      </c>
      <c r="D23" s="33" t="inlineStr">
        <is>
          <t>Fruit and vegetables</t>
        </is>
      </c>
      <c r="E23" s="33" t="inlineStr">
        <is>
          <t>bunch of 6</t>
        </is>
      </c>
      <c r="F23" s="31" t="n">
        <v>6</v>
      </c>
      <c r="G23" s="36" t="n">
        <v>1.49</v>
      </c>
      <c r="H23" s="31" t="n"/>
      <c r="I23" s="34" t="n">
        <v>1</v>
      </c>
      <c r="J23" s="35">
        <f>IF(B23="","",ROUND(SUMIFS(Ingredients!$G$6:$G$1005,Ingredients!$C$6:$C$1005,B23),2))</f>
        <v/>
      </c>
      <c r="K23" s="35">
        <f>IF(B23="","",MAX(0,ROUND(J23-N(H23),2)))</f>
        <v/>
      </c>
      <c r="L23" s="30">
        <f>IF(B23="","",IF(N(K23)=0,0,ROUNDUP(ROUND(K23/IF(N(F23)&gt;0,F23,1),6),0))+N(I23))</f>
        <v/>
      </c>
      <c r="M23" s="25">
        <f>IF(B23="","",L23*N(G23))</f>
        <v/>
      </c>
      <c r="N23" s="1">
        <f>IF(B23="","",N(G23)/IF(N(F23)&gt;0,F23,1))</f>
        <v/>
      </c>
      <c r="O23">
        <f>IF(OR(B23="",N(L23)=0),"",IFERROR(MATCH(D23,Settings!$B$6:$B$17,0),13)*1000+ROW())</f>
        <v/>
      </c>
    </row>
    <row r="24">
      <c r="A24" s="1" t="n"/>
      <c r="B24" s="32" t="inlineStr">
        <is>
          <t>Sliced bread</t>
        </is>
      </c>
      <c r="C24" s="31" t="inlineStr">
        <is>
          <t>slice</t>
        </is>
      </c>
      <c r="D24" s="33" t="inlineStr">
        <is>
          <t>Bread and bakery</t>
        </is>
      </c>
      <c r="E24" s="33" t="inlineStr">
        <is>
          <t>loaf</t>
        </is>
      </c>
      <c r="F24" s="31" t="n">
        <v>20</v>
      </c>
      <c r="G24" s="36" t="n">
        <v>3.29</v>
      </c>
      <c r="H24" s="31" t="n">
        <v>6</v>
      </c>
      <c r="I24" s="34" t="n"/>
      <c r="J24" s="35">
        <f>IF(B24="","",ROUND(SUMIFS(Ingredients!$G$6:$G$1005,Ingredients!$C$6:$C$1005,B24),2))</f>
        <v/>
      </c>
      <c r="K24" s="35">
        <f>IF(B24="","",MAX(0,ROUND(J24-N(H24),2)))</f>
        <v/>
      </c>
      <c r="L24" s="30">
        <f>IF(B24="","",IF(N(K24)=0,0,ROUNDUP(ROUND(K24/IF(N(F24)&gt;0,F24,1),6),0))+N(I24))</f>
        <v/>
      </c>
      <c r="M24" s="25">
        <f>IF(B24="","",L24*N(G24))</f>
        <v/>
      </c>
      <c r="N24" s="1">
        <f>IF(B24="","",N(G24)/IF(N(F24)&gt;0,F24,1))</f>
        <v/>
      </c>
      <c r="O24">
        <f>IF(OR(B24="",N(L24)=0),"",IFERROR(MATCH(D24,Settings!$B$6:$B$17,0),13)*1000+ROW())</f>
        <v/>
      </c>
    </row>
    <row r="25">
      <c r="A25" s="1" t="n"/>
      <c r="B25" s="32" t="inlineStr">
        <is>
          <t>Tortillas</t>
        </is>
      </c>
      <c r="C25" s="31" t="inlineStr">
        <is>
          <t>each</t>
        </is>
      </c>
      <c r="D25" s="33" t="inlineStr">
        <is>
          <t>Bread and bakery</t>
        </is>
      </c>
      <c r="E25" s="33" t="inlineStr">
        <is>
          <t>pack of 10</t>
        </is>
      </c>
      <c r="F25" s="31" t="n">
        <v>10</v>
      </c>
      <c r="G25" s="36" t="n">
        <v>3.19</v>
      </c>
      <c r="H25" s="31" t="n"/>
      <c r="I25" s="34" t="n"/>
      <c r="J25" s="35">
        <f>IF(B25="","",ROUND(SUMIFS(Ingredients!$G$6:$G$1005,Ingredients!$C$6:$C$1005,B25),2))</f>
        <v/>
      </c>
      <c r="K25" s="35">
        <f>IF(B25="","",MAX(0,ROUND(J25-N(H25),2)))</f>
        <v/>
      </c>
      <c r="L25" s="30">
        <f>IF(B25="","",IF(N(K25)=0,0,ROUNDUP(ROUND(K25/IF(N(F25)&gt;0,F25,1),6),0))+N(I25))</f>
        <v/>
      </c>
      <c r="M25" s="25">
        <f>IF(B25="","",L25*N(G25))</f>
        <v/>
      </c>
      <c r="N25" s="1">
        <f>IF(B25="","",N(G25)/IF(N(F25)&gt;0,F25,1))</f>
        <v/>
      </c>
      <c r="O25">
        <f>IF(OR(B25="",N(L25)=0),"",IFERROR(MATCH(D25,Settings!$B$6:$B$17,0),13)*1000+ROW())</f>
        <v/>
      </c>
    </row>
    <row r="26">
      <c r="A26" s="1" t="n"/>
      <c r="B26" s="32" t="inlineStr">
        <is>
          <t>Pizza dough</t>
        </is>
      </c>
      <c r="C26" s="31" t="inlineStr">
        <is>
          <t>each</t>
        </is>
      </c>
      <c r="D26" s="33" t="inlineStr">
        <is>
          <t>Bread and bakery</t>
        </is>
      </c>
      <c r="E26" s="33" t="inlineStr">
        <is>
          <t>each</t>
        </is>
      </c>
      <c r="F26" s="31" t="n">
        <v>1</v>
      </c>
      <c r="G26" s="36" t="n">
        <v>2.99</v>
      </c>
      <c r="H26" s="31" t="n"/>
      <c r="I26" s="34" t="n"/>
      <c r="J26" s="35">
        <f>IF(B26="","",ROUND(SUMIFS(Ingredients!$G$6:$G$1005,Ingredients!$C$6:$C$1005,B26),2))</f>
        <v/>
      </c>
      <c r="K26" s="35">
        <f>IF(B26="","",MAX(0,ROUND(J26-N(H26),2)))</f>
        <v/>
      </c>
      <c r="L26" s="30">
        <f>IF(B26="","",IF(N(K26)=0,0,ROUNDUP(ROUND(K26/IF(N(F26)&gt;0,F26,1),6),0))+N(I26))</f>
        <v/>
      </c>
      <c r="M26" s="25">
        <f>IF(B26="","",L26*N(G26))</f>
        <v/>
      </c>
      <c r="N26" s="1">
        <f>IF(B26="","",N(G26)/IF(N(F26)&gt;0,F26,1))</f>
        <v/>
      </c>
      <c r="O26">
        <f>IF(OR(B26="",N(L26)=0),"",IFERROR(MATCH(D26,Settings!$B$6:$B$17,0),13)*1000+ROW())</f>
        <v/>
      </c>
    </row>
    <row r="27">
      <c r="A27" s="1" t="n"/>
      <c r="B27" s="32" t="inlineStr">
        <is>
          <t>Chicken breast</t>
        </is>
      </c>
      <c r="C27" s="31" t="inlineStr">
        <is>
          <t>lb</t>
        </is>
      </c>
      <c r="D27" s="33" t="inlineStr">
        <is>
          <t>Meat and fish</t>
        </is>
      </c>
      <c r="E27" s="33" t="inlineStr">
        <is>
          <t>2 lb pack</t>
        </is>
      </c>
      <c r="F27" s="31" t="n">
        <v>2</v>
      </c>
      <c r="G27" s="36" t="n">
        <v>7.98</v>
      </c>
      <c r="H27" s="31" t="n"/>
      <c r="I27" s="34" t="n"/>
      <c r="J27" s="35">
        <f>IF(B27="","",ROUND(SUMIFS(Ingredients!$G$6:$G$1005,Ingredients!$C$6:$C$1005,B27),2))</f>
        <v/>
      </c>
      <c r="K27" s="35">
        <f>IF(B27="","",MAX(0,ROUND(J27-N(H27),2)))</f>
        <v/>
      </c>
      <c r="L27" s="30">
        <f>IF(B27="","",IF(N(K27)=0,0,ROUNDUP(ROUND(K27/IF(N(F27)&gt;0,F27,1),6),0))+N(I27))</f>
        <v/>
      </c>
      <c r="M27" s="25">
        <f>IF(B27="","",L27*N(G27))</f>
        <v/>
      </c>
      <c r="N27" s="1">
        <f>IF(B27="","",N(G27)/IF(N(F27)&gt;0,F27,1))</f>
        <v/>
      </c>
      <c r="O27">
        <f>IF(OR(B27="",N(L27)=0),"",IFERROR(MATCH(D27,Settings!$B$6:$B$17,0),13)*1000+ROW())</f>
        <v/>
      </c>
    </row>
    <row r="28">
      <c r="A28" s="1" t="n"/>
      <c r="B28" s="32" t="inlineStr">
        <is>
          <t>Ground beef</t>
        </is>
      </c>
      <c r="C28" s="31" t="inlineStr">
        <is>
          <t>lb</t>
        </is>
      </c>
      <c r="D28" s="33" t="inlineStr">
        <is>
          <t>Meat and fish</t>
        </is>
      </c>
      <c r="E28" s="33" t="inlineStr">
        <is>
          <t>1 lb pack</t>
        </is>
      </c>
      <c r="F28" s="31" t="n">
        <v>1</v>
      </c>
      <c r="G28" s="36" t="n">
        <v>5.49</v>
      </c>
      <c r="H28" s="31" t="n"/>
      <c r="I28" s="34" t="n"/>
      <c r="J28" s="35">
        <f>IF(B28="","",ROUND(SUMIFS(Ingredients!$G$6:$G$1005,Ingredients!$C$6:$C$1005,B28),2))</f>
        <v/>
      </c>
      <c r="K28" s="35">
        <f>IF(B28="","",MAX(0,ROUND(J28-N(H28),2)))</f>
        <v/>
      </c>
      <c r="L28" s="30">
        <f>IF(B28="","",IF(N(K28)=0,0,ROUNDUP(ROUND(K28/IF(N(F28)&gt;0,F28,1),6),0))+N(I28))</f>
        <v/>
      </c>
      <c r="M28" s="25">
        <f>IF(B28="","",L28*N(G28))</f>
        <v/>
      </c>
      <c r="N28" s="1">
        <f>IF(B28="","",N(G28)/IF(N(F28)&gt;0,F28,1))</f>
        <v/>
      </c>
      <c r="O28">
        <f>IF(OR(B28="",N(L28)=0),"",IFERROR(MATCH(D28,Settings!$B$6:$B$17,0),13)*1000+ROW())</f>
        <v/>
      </c>
    </row>
    <row r="29">
      <c r="A29" s="1" t="n"/>
      <c r="B29" s="32" t="inlineStr">
        <is>
          <t>Salmon fillet</t>
        </is>
      </c>
      <c r="C29" s="31" t="inlineStr">
        <is>
          <t>each</t>
        </is>
      </c>
      <c r="D29" s="33" t="inlineStr">
        <is>
          <t>Meat and fish</t>
        </is>
      </c>
      <c r="E29" s="33" t="inlineStr">
        <is>
          <t>pack of 2</t>
        </is>
      </c>
      <c r="F29" s="31" t="n">
        <v>2</v>
      </c>
      <c r="G29" s="36" t="n">
        <v>9.99</v>
      </c>
      <c r="H29" s="31" t="n"/>
      <c r="I29" s="34" t="n"/>
      <c r="J29" s="35">
        <f>IF(B29="","",ROUND(SUMIFS(Ingredients!$G$6:$G$1005,Ingredients!$C$6:$C$1005,B29),2))</f>
        <v/>
      </c>
      <c r="K29" s="35">
        <f>IF(B29="","",MAX(0,ROUND(J29-N(H29),2)))</f>
        <v/>
      </c>
      <c r="L29" s="30">
        <f>IF(B29="","",IF(N(K29)=0,0,ROUNDUP(ROUND(K29/IF(N(F29)&gt;0,F29,1),6),0))+N(I29))</f>
        <v/>
      </c>
      <c r="M29" s="25">
        <f>IF(B29="","",L29*N(G29))</f>
        <v/>
      </c>
      <c r="N29" s="1">
        <f>IF(B29="","",N(G29)/IF(N(F29)&gt;0,F29,1))</f>
        <v/>
      </c>
      <c r="O29">
        <f>IF(OR(B29="",N(L29)=0),"",IFERROR(MATCH(D29,Settings!$B$6:$B$17,0),13)*1000+ROW())</f>
        <v/>
      </c>
    </row>
    <row r="30">
      <c r="A30" s="1" t="n"/>
      <c r="B30" s="32" t="inlineStr">
        <is>
          <t>Pepperoni</t>
        </is>
      </c>
      <c r="C30" s="31" t="inlineStr">
        <is>
          <t>oz</t>
        </is>
      </c>
      <c r="D30" s="33" t="inlineStr">
        <is>
          <t>Meat and fish</t>
        </is>
      </c>
      <c r="E30" s="33" t="inlineStr">
        <is>
          <t>6 oz pack</t>
        </is>
      </c>
      <c r="F30" s="31" t="n">
        <v>6</v>
      </c>
      <c r="G30" s="36" t="n">
        <v>3.49</v>
      </c>
      <c r="H30" s="31" t="n"/>
      <c r="I30" s="34" t="n"/>
      <c r="J30" s="35">
        <f>IF(B30="","",ROUND(SUMIFS(Ingredients!$G$6:$G$1005,Ingredients!$C$6:$C$1005,B30),2))</f>
        <v/>
      </c>
      <c r="K30" s="35">
        <f>IF(B30="","",MAX(0,ROUND(J30-N(H30),2)))</f>
        <v/>
      </c>
      <c r="L30" s="30">
        <f>IF(B30="","",IF(N(K30)=0,0,ROUNDUP(ROUND(K30/IF(N(F30)&gt;0,F30,1),6),0))+N(I30))</f>
        <v/>
      </c>
      <c r="M30" s="25">
        <f>IF(B30="","",L30*N(G30))</f>
        <v/>
      </c>
      <c r="N30" s="1">
        <f>IF(B30="","",N(G30)/IF(N(F30)&gt;0,F30,1))</f>
        <v/>
      </c>
      <c r="O30">
        <f>IF(OR(B30="",N(L30)=0),"",IFERROR(MATCH(D30,Settings!$B$6:$B$17,0),13)*1000+ROW())</f>
        <v/>
      </c>
    </row>
    <row r="31">
      <c r="A31" s="1" t="n"/>
      <c r="B31" s="32" t="inlineStr">
        <is>
          <t>Eggs</t>
        </is>
      </c>
      <c r="C31" s="31" t="inlineStr">
        <is>
          <t>each</t>
        </is>
      </c>
      <c r="D31" s="33" t="inlineStr">
        <is>
          <t>Dairy and eggs</t>
        </is>
      </c>
      <c r="E31" s="33" t="inlineStr">
        <is>
          <t>dozen</t>
        </is>
      </c>
      <c r="F31" s="31" t="n">
        <v>12</v>
      </c>
      <c r="G31" s="36" t="n">
        <v>3.49</v>
      </c>
      <c r="H31" s="31" t="n">
        <v>4</v>
      </c>
      <c r="I31" s="34" t="n"/>
      <c r="J31" s="35">
        <f>IF(B31="","",ROUND(SUMIFS(Ingredients!$G$6:$G$1005,Ingredients!$C$6:$C$1005,B31),2))</f>
        <v/>
      </c>
      <c r="K31" s="35">
        <f>IF(B31="","",MAX(0,ROUND(J31-N(H31),2)))</f>
        <v/>
      </c>
      <c r="L31" s="30">
        <f>IF(B31="","",IF(N(K31)=0,0,ROUNDUP(ROUND(K31/IF(N(F31)&gt;0,F31,1),6),0))+N(I31))</f>
        <v/>
      </c>
      <c r="M31" s="25">
        <f>IF(B31="","",L31*N(G31))</f>
        <v/>
      </c>
      <c r="N31" s="1">
        <f>IF(B31="","",N(G31)/IF(N(F31)&gt;0,F31,1))</f>
        <v/>
      </c>
      <c r="O31">
        <f>IF(OR(B31="",N(L31)=0),"",IFERROR(MATCH(D31,Settings!$B$6:$B$17,0),13)*1000+ROW())</f>
        <v/>
      </c>
    </row>
    <row r="32">
      <c r="A32" s="1" t="n"/>
      <c r="B32" s="32" t="inlineStr">
        <is>
          <t>Milk</t>
        </is>
      </c>
      <c r="C32" s="31" t="inlineStr">
        <is>
          <t>cup</t>
        </is>
      </c>
      <c r="D32" s="33" t="inlineStr">
        <is>
          <t>Dairy and eggs</t>
        </is>
      </c>
      <c r="E32" s="33" t="inlineStr">
        <is>
          <t>half gallon</t>
        </is>
      </c>
      <c r="F32" s="31" t="n">
        <v>8</v>
      </c>
      <c r="G32" s="36" t="n">
        <v>2.79</v>
      </c>
      <c r="H32" s="31" t="n">
        <v>2</v>
      </c>
      <c r="I32" s="34" t="n">
        <v>1</v>
      </c>
      <c r="J32" s="35">
        <f>IF(B32="","",ROUND(SUMIFS(Ingredients!$G$6:$G$1005,Ingredients!$C$6:$C$1005,B32),2))</f>
        <v/>
      </c>
      <c r="K32" s="35">
        <f>IF(B32="","",MAX(0,ROUND(J32-N(H32),2)))</f>
        <v/>
      </c>
      <c r="L32" s="30">
        <f>IF(B32="","",IF(N(K32)=0,0,ROUNDUP(ROUND(K32/IF(N(F32)&gt;0,F32,1),6),0))+N(I32))</f>
        <v/>
      </c>
      <c r="M32" s="25">
        <f>IF(B32="","",L32*N(G32))</f>
        <v/>
      </c>
      <c r="N32" s="1">
        <f>IF(B32="","",N(G32)/IF(N(F32)&gt;0,F32,1))</f>
        <v/>
      </c>
      <c r="O32">
        <f>IF(OR(B32="",N(L32)=0),"",IFERROR(MATCH(D32,Settings!$B$6:$B$17,0),13)*1000+ROW())</f>
        <v/>
      </c>
    </row>
    <row r="33">
      <c r="A33" s="1" t="n"/>
      <c r="B33" s="32" t="inlineStr">
        <is>
          <t>Greek yogurt</t>
        </is>
      </c>
      <c r="C33" s="31" t="inlineStr">
        <is>
          <t>oz</t>
        </is>
      </c>
      <c r="D33" s="33" t="inlineStr">
        <is>
          <t>Dairy and eggs</t>
        </is>
      </c>
      <c r="E33" s="33" t="inlineStr">
        <is>
          <t>32 oz tub</t>
        </is>
      </c>
      <c r="F33" s="31" t="n">
        <v>32</v>
      </c>
      <c r="G33" s="36" t="n">
        <v>5.49</v>
      </c>
      <c r="H33" s="31" t="n"/>
      <c r="I33" s="34" t="n"/>
      <c r="J33" s="35">
        <f>IF(B33="","",ROUND(SUMIFS(Ingredients!$G$6:$G$1005,Ingredients!$C$6:$C$1005,B33),2))</f>
        <v/>
      </c>
      <c r="K33" s="35">
        <f>IF(B33="","",MAX(0,ROUND(J33-N(H33),2)))</f>
        <v/>
      </c>
      <c r="L33" s="30">
        <f>IF(B33="","",IF(N(K33)=0,0,ROUNDUP(ROUND(K33/IF(N(F33)&gt;0,F33,1),6),0))+N(I33))</f>
        <v/>
      </c>
      <c r="M33" s="25">
        <f>IF(B33="","",L33*N(G33))</f>
        <v/>
      </c>
      <c r="N33" s="1">
        <f>IF(B33="","",N(G33)/IF(N(F33)&gt;0,F33,1))</f>
        <v/>
      </c>
      <c r="O33">
        <f>IF(OR(B33="",N(L33)=0),"",IFERROR(MATCH(D33,Settings!$B$6:$B$17,0),13)*1000+ROW())</f>
        <v/>
      </c>
    </row>
    <row r="34">
      <c r="A34" s="1" t="n"/>
      <c r="B34" s="32" t="inlineStr">
        <is>
          <t>Butter</t>
        </is>
      </c>
      <c r="C34" s="31" t="inlineStr">
        <is>
          <t>tbsp</t>
        </is>
      </c>
      <c r="D34" s="33" t="inlineStr">
        <is>
          <t>Dairy and eggs</t>
        </is>
      </c>
      <c r="E34" s="33" t="inlineStr">
        <is>
          <t>1 lb box</t>
        </is>
      </c>
      <c r="F34" s="31" t="n">
        <v>32</v>
      </c>
      <c r="G34" s="36" t="n">
        <v>4.99</v>
      </c>
      <c r="H34" s="31" t="n">
        <v>20</v>
      </c>
      <c r="I34" s="34" t="n"/>
      <c r="J34" s="35">
        <f>IF(B34="","",ROUND(SUMIFS(Ingredients!$G$6:$G$1005,Ingredients!$C$6:$C$1005,B34),2))</f>
        <v/>
      </c>
      <c r="K34" s="35">
        <f>IF(B34="","",MAX(0,ROUND(J34-N(H34),2)))</f>
        <v/>
      </c>
      <c r="L34" s="30">
        <f>IF(B34="","",IF(N(K34)=0,0,ROUNDUP(ROUND(K34/IF(N(F34)&gt;0,F34,1),6),0))+N(I34))</f>
        <v/>
      </c>
      <c r="M34" s="25">
        <f>IF(B34="","",L34*N(G34))</f>
        <v/>
      </c>
      <c r="N34" s="1">
        <f>IF(B34="","",N(G34)/IF(N(F34)&gt;0,F34,1))</f>
        <v/>
      </c>
      <c r="O34">
        <f>IF(OR(B34="",N(L34)=0),"",IFERROR(MATCH(D34,Settings!$B$6:$B$17,0),13)*1000+ROW())</f>
        <v/>
      </c>
    </row>
    <row r="35">
      <c r="A35" s="1" t="n"/>
      <c r="B35" s="32" t="inlineStr">
        <is>
          <t>Cheddar</t>
        </is>
      </c>
      <c r="C35" s="31" t="inlineStr">
        <is>
          <t>oz</t>
        </is>
      </c>
      <c r="D35" s="33" t="inlineStr">
        <is>
          <t>Dairy and eggs</t>
        </is>
      </c>
      <c r="E35" s="33" t="inlineStr">
        <is>
          <t>8 oz block</t>
        </is>
      </c>
      <c r="F35" s="31" t="n">
        <v>8</v>
      </c>
      <c r="G35" s="36" t="n">
        <v>3.29</v>
      </c>
      <c r="H35" s="31" t="n"/>
      <c r="I35" s="34" t="n"/>
      <c r="J35" s="35">
        <f>IF(B35="","",ROUND(SUMIFS(Ingredients!$G$6:$G$1005,Ingredients!$C$6:$C$1005,B35),2))</f>
        <v/>
      </c>
      <c r="K35" s="35">
        <f>IF(B35="","",MAX(0,ROUND(J35-N(H35),2)))</f>
        <v/>
      </c>
      <c r="L35" s="30">
        <f>IF(B35="","",IF(N(K35)=0,0,ROUNDUP(ROUND(K35/IF(N(F35)&gt;0,F35,1),6),0))+N(I35))</f>
        <v/>
      </c>
      <c r="M35" s="25">
        <f>IF(B35="","",L35*N(G35))</f>
        <v/>
      </c>
      <c r="N35" s="1">
        <f>IF(B35="","",N(G35)/IF(N(F35)&gt;0,F35,1))</f>
        <v/>
      </c>
      <c r="O35">
        <f>IF(OR(B35="",N(L35)=0),"",IFERROR(MATCH(D35,Settings!$B$6:$B$17,0),13)*1000+ROW())</f>
        <v/>
      </c>
    </row>
    <row r="36">
      <c r="A36" s="1" t="n"/>
      <c r="B36" s="32" t="inlineStr">
        <is>
          <t>Parmesan</t>
        </is>
      </c>
      <c r="C36" s="31" t="inlineStr">
        <is>
          <t>oz</t>
        </is>
      </c>
      <c r="D36" s="33" t="inlineStr">
        <is>
          <t>Dairy and eggs</t>
        </is>
      </c>
      <c r="E36" s="33" t="inlineStr">
        <is>
          <t>5 oz wedge</t>
        </is>
      </c>
      <c r="F36" s="31" t="n">
        <v>5</v>
      </c>
      <c r="G36" s="36" t="n">
        <v>4.49</v>
      </c>
      <c r="H36" s="31" t="n">
        <v>1</v>
      </c>
      <c r="I36" s="34" t="n"/>
      <c r="J36" s="35">
        <f>IF(B36="","",ROUND(SUMIFS(Ingredients!$G$6:$G$1005,Ingredients!$C$6:$C$1005,B36),2))</f>
        <v/>
      </c>
      <c r="K36" s="35">
        <f>IF(B36="","",MAX(0,ROUND(J36-N(H36),2)))</f>
        <v/>
      </c>
      <c r="L36" s="30">
        <f>IF(B36="","",IF(N(K36)=0,0,ROUNDUP(ROUND(K36/IF(N(F36)&gt;0,F36,1),6),0))+N(I36))</f>
        <v/>
      </c>
      <c r="M36" s="25">
        <f>IF(B36="","",L36*N(G36))</f>
        <v/>
      </c>
      <c r="N36" s="1">
        <f>IF(B36="","",N(G36)/IF(N(F36)&gt;0,F36,1))</f>
        <v/>
      </c>
      <c r="O36">
        <f>IF(OR(B36="",N(L36)=0),"",IFERROR(MATCH(D36,Settings!$B$6:$B$17,0),13)*1000+ROW())</f>
        <v/>
      </c>
    </row>
    <row r="37">
      <c r="A37" s="1" t="n"/>
      <c r="B37" s="32" t="inlineStr">
        <is>
          <t>Mozzarella</t>
        </is>
      </c>
      <c r="C37" s="31" t="inlineStr">
        <is>
          <t>oz</t>
        </is>
      </c>
      <c r="D37" s="33" t="inlineStr">
        <is>
          <t>Dairy and eggs</t>
        </is>
      </c>
      <c r="E37" s="33" t="inlineStr">
        <is>
          <t>8 oz bag</t>
        </is>
      </c>
      <c r="F37" s="31" t="n">
        <v>8</v>
      </c>
      <c r="G37" s="36" t="n">
        <v>3.49</v>
      </c>
      <c r="H37" s="31" t="n"/>
      <c r="I37" s="34" t="n"/>
      <c r="J37" s="35">
        <f>IF(B37="","",ROUND(SUMIFS(Ingredients!$G$6:$G$1005,Ingredients!$C$6:$C$1005,B37),2))</f>
        <v/>
      </c>
      <c r="K37" s="35">
        <f>IF(B37="","",MAX(0,ROUND(J37-N(H37),2)))</f>
        <v/>
      </c>
      <c r="L37" s="30">
        <f>IF(B37="","",IF(N(K37)=0,0,ROUNDUP(ROUND(K37/IF(N(F37)&gt;0,F37,1),6),0))+N(I37))</f>
        <v/>
      </c>
      <c r="M37" s="25">
        <f>IF(B37="","",L37*N(G37))</f>
        <v/>
      </c>
      <c r="N37" s="1">
        <f>IF(B37="","",N(G37)/IF(N(F37)&gt;0,F37,1))</f>
        <v/>
      </c>
      <c r="O37">
        <f>IF(OR(B37="",N(L37)=0),"",IFERROR(MATCH(D37,Settings!$B$6:$B$17,0),13)*1000+ROW())</f>
        <v/>
      </c>
    </row>
    <row r="38">
      <c r="A38" s="1" t="n"/>
      <c r="B38" s="32" t="inlineStr">
        <is>
          <t>Spaghetti</t>
        </is>
      </c>
      <c r="C38" s="31" t="inlineStr">
        <is>
          <t>oz</t>
        </is>
      </c>
      <c r="D38" s="33" t="inlineStr">
        <is>
          <t>Pasta, rice and grains</t>
        </is>
      </c>
      <c r="E38" s="33" t="inlineStr">
        <is>
          <t>1 lb box</t>
        </is>
      </c>
      <c r="F38" s="31" t="n">
        <v>16</v>
      </c>
      <c r="G38" s="36" t="n">
        <v>1.49</v>
      </c>
      <c r="H38" s="31" t="n"/>
      <c r="I38" s="34" t="n"/>
      <c r="J38" s="35">
        <f>IF(B38="","",ROUND(SUMIFS(Ingredients!$G$6:$G$1005,Ingredients!$C$6:$C$1005,B38),2))</f>
        <v/>
      </c>
      <c r="K38" s="35">
        <f>IF(B38="","",MAX(0,ROUND(J38-N(H38),2)))</f>
        <v/>
      </c>
      <c r="L38" s="30">
        <f>IF(B38="","",IF(N(K38)=0,0,ROUNDUP(ROUND(K38/IF(N(F38)&gt;0,F38,1),6),0))+N(I38))</f>
        <v/>
      </c>
      <c r="M38" s="25">
        <f>IF(B38="","",L38*N(G38))</f>
        <v/>
      </c>
      <c r="N38" s="1">
        <f>IF(B38="","",N(G38)/IF(N(F38)&gt;0,F38,1))</f>
        <v/>
      </c>
      <c r="O38">
        <f>IF(OR(B38="",N(L38)=0),"",IFERROR(MATCH(D38,Settings!$B$6:$B$17,0),13)*1000+ROW())</f>
        <v/>
      </c>
    </row>
    <row r="39">
      <c r="A39" s="1" t="n"/>
      <c r="B39" s="32" t="inlineStr">
        <is>
          <t>Penne</t>
        </is>
      </c>
      <c r="C39" s="31" t="inlineStr">
        <is>
          <t>oz</t>
        </is>
      </c>
      <c r="D39" s="33" t="inlineStr">
        <is>
          <t>Pasta, rice and grains</t>
        </is>
      </c>
      <c r="E39" s="33" t="inlineStr">
        <is>
          <t>1 lb box</t>
        </is>
      </c>
      <c r="F39" s="31" t="n">
        <v>16</v>
      </c>
      <c r="G39" s="36" t="n">
        <v>1.49</v>
      </c>
      <c r="H39" s="31" t="n"/>
      <c r="I39" s="34" t="n"/>
      <c r="J39" s="35">
        <f>IF(B39="","",ROUND(SUMIFS(Ingredients!$G$6:$G$1005,Ingredients!$C$6:$C$1005,B39),2))</f>
        <v/>
      </c>
      <c r="K39" s="35">
        <f>IF(B39="","",MAX(0,ROUND(J39-N(H39),2)))</f>
        <v/>
      </c>
      <c r="L39" s="30">
        <f>IF(B39="","",IF(N(K39)=0,0,ROUNDUP(ROUND(K39/IF(N(F39)&gt;0,F39,1),6),0))+N(I39))</f>
        <v/>
      </c>
      <c r="M39" s="25">
        <f>IF(B39="","",L39*N(G39))</f>
        <v/>
      </c>
      <c r="N39" s="1">
        <f>IF(B39="","",N(G39)/IF(N(F39)&gt;0,F39,1))</f>
        <v/>
      </c>
      <c r="O39">
        <f>IF(OR(B39="",N(L39)=0),"",IFERROR(MATCH(D39,Settings!$B$6:$B$17,0),13)*1000+ROW())</f>
        <v/>
      </c>
    </row>
    <row r="40">
      <c r="A40" s="1" t="n"/>
      <c r="B40" s="32" t="inlineStr">
        <is>
          <t>Rice</t>
        </is>
      </c>
      <c r="C40" s="31" t="inlineStr">
        <is>
          <t>cup</t>
        </is>
      </c>
      <c r="D40" s="33" t="inlineStr">
        <is>
          <t>Pasta, rice and grains</t>
        </is>
      </c>
      <c r="E40" s="33" t="inlineStr">
        <is>
          <t>2 lb bag</t>
        </is>
      </c>
      <c r="F40" s="31" t="n">
        <v>4.5</v>
      </c>
      <c r="G40" s="36" t="n">
        <v>2.99</v>
      </c>
      <c r="H40" s="31" t="n">
        <v>2</v>
      </c>
      <c r="I40" s="34" t="n"/>
      <c r="J40" s="35">
        <f>IF(B40="","",ROUND(SUMIFS(Ingredients!$G$6:$G$1005,Ingredients!$C$6:$C$1005,B40),2))</f>
        <v/>
      </c>
      <c r="K40" s="35">
        <f>IF(B40="","",MAX(0,ROUND(J40-N(H40),2)))</f>
        <v/>
      </c>
      <c r="L40" s="30">
        <f>IF(B40="","",IF(N(K40)=0,0,ROUNDUP(ROUND(K40/IF(N(F40)&gt;0,F40,1),6),0))+N(I40))</f>
        <v/>
      </c>
      <c r="M40" s="25">
        <f>IF(B40="","",L40*N(G40))</f>
        <v/>
      </c>
      <c r="N40" s="1">
        <f>IF(B40="","",N(G40)/IF(N(F40)&gt;0,F40,1))</f>
        <v/>
      </c>
      <c r="O40">
        <f>IF(OR(B40="",N(L40)=0),"",IFERROR(MATCH(D40,Settings!$B$6:$B$17,0),13)*1000+ROW())</f>
        <v/>
      </c>
    </row>
    <row r="41">
      <c r="A41" s="1" t="n"/>
      <c r="B41" s="32" t="inlineStr">
        <is>
          <t>Rolled oats</t>
        </is>
      </c>
      <c r="C41" s="31" t="inlineStr">
        <is>
          <t>cup</t>
        </is>
      </c>
      <c r="D41" s="33" t="inlineStr">
        <is>
          <t>Pasta, rice and grains</t>
        </is>
      </c>
      <c r="E41" s="33" t="inlineStr">
        <is>
          <t>18 oz canister</t>
        </is>
      </c>
      <c r="F41" s="31" t="n">
        <v>6</v>
      </c>
      <c r="G41" s="36" t="n">
        <v>3.49</v>
      </c>
      <c r="H41" s="31" t="n">
        <v>1</v>
      </c>
      <c r="I41" s="34" t="n"/>
      <c r="J41" s="35">
        <f>IF(B41="","",ROUND(SUMIFS(Ingredients!$G$6:$G$1005,Ingredients!$C$6:$C$1005,B41),2))</f>
        <v/>
      </c>
      <c r="K41" s="35">
        <f>IF(B41="","",MAX(0,ROUND(J41-N(H41),2)))</f>
        <v/>
      </c>
      <c r="L41" s="30">
        <f>IF(B41="","",IF(N(K41)=0,0,ROUNDUP(ROUND(K41/IF(N(F41)&gt;0,F41,1),6),0))+N(I41))</f>
        <v/>
      </c>
      <c r="M41" s="25">
        <f>IF(B41="","",L41*N(G41))</f>
        <v/>
      </c>
      <c r="N41" s="1">
        <f>IF(B41="","",N(G41)/IF(N(F41)&gt;0,F41,1))</f>
        <v/>
      </c>
      <c r="O41">
        <f>IF(OR(B41="",N(L41)=0),"",IFERROR(MATCH(D41,Settings!$B$6:$B$17,0),13)*1000+ROW())</f>
        <v/>
      </c>
    </row>
    <row r="42">
      <c r="A42" s="1" t="n"/>
      <c r="B42" s="32" t="inlineStr">
        <is>
          <t>Red lentils</t>
        </is>
      </c>
      <c r="C42" s="31" t="inlineStr">
        <is>
          <t>cup</t>
        </is>
      </c>
      <c r="D42" s="33" t="inlineStr">
        <is>
          <t>Pasta, rice and grains</t>
        </is>
      </c>
      <c r="E42" s="33" t="inlineStr">
        <is>
          <t>1 lb bag</t>
        </is>
      </c>
      <c r="F42" s="31" t="n">
        <v>2.25</v>
      </c>
      <c r="G42" s="36" t="n">
        <v>1.99</v>
      </c>
      <c r="H42" s="31" t="n"/>
      <c r="I42" s="34" t="n"/>
      <c r="J42" s="35">
        <f>IF(B42="","",ROUND(SUMIFS(Ingredients!$G$6:$G$1005,Ingredients!$C$6:$C$1005,B42),2))</f>
        <v/>
      </c>
      <c r="K42" s="35">
        <f>IF(B42="","",MAX(0,ROUND(J42-N(H42),2)))</f>
        <v/>
      </c>
      <c r="L42" s="30">
        <f>IF(B42="","",IF(N(K42)=0,0,ROUNDUP(ROUND(K42/IF(N(F42)&gt;0,F42,1),6),0))+N(I42))</f>
        <v/>
      </c>
      <c r="M42" s="25">
        <f>IF(B42="","",L42*N(G42))</f>
        <v/>
      </c>
      <c r="N42" s="1">
        <f>IF(B42="","",N(G42)/IF(N(F42)&gt;0,F42,1))</f>
        <v/>
      </c>
      <c r="O42">
        <f>IF(OR(B42="",N(L42)=0),"",IFERROR(MATCH(D42,Settings!$B$6:$B$17,0),13)*1000+ROW())</f>
        <v/>
      </c>
    </row>
    <row r="43">
      <c r="A43" s="1" t="n"/>
      <c r="B43" s="32" t="inlineStr">
        <is>
          <t>Canned tomatoes</t>
        </is>
      </c>
      <c r="C43" s="31" t="inlineStr">
        <is>
          <t>can</t>
        </is>
      </c>
      <c r="D43" s="33" t="inlineStr">
        <is>
          <t>Cans and jars</t>
        </is>
      </c>
      <c r="E43" s="33" t="inlineStr">
        <is>
          <t>can</t>
        </is>
      </c>
      <c r="F43" s="31" t="n">
        <v>1</v>
      </c>
      <c r="G43" s="36" t="n">
        <v>1.19</v>
      </c>
      <c r="H43" s="31" t="n">
        <v>1</v>
      </c>
      <c r="I43" s="34" t="n"/>
      <c r="J43" s="35">
        <f>IF(B43="","",ROUND(SUMIFS(Ingredients!$G$6:$G$1005,Ingredients!$C$6:$C$1005,B43),2))</f>
        <v/>
      </c>
      <c r="K43" s="35">
        <f>IF(B43="","",MAX(0,ROUND(J43-N(H43),2)))</f>
        <v/>
      </c>
      <c r="L43" s="30">
        <f>IF(B43="","",IF(N(K43)=0,0,ROUNDUP(ROUND(K43/IF(N(F43)&gt;0,F43,1),6),0))+N(I43))</f>
        <v/>
      </c>
      <c r="M43" s="25">
        <f>IF(B43="","",L43*N(G43))</f>
        <v/>
      </c>
      <c r="N43" s="1">
        <f>IF(B43="","",N(G43)/IF(N(F43)&gt;0,F43,1))</f>
        <v/>
      </c>
      <c r="O43">
        <f>IF(OR(B43="",N(L43)=0),"",IFERROR(MATCH(D43,Settings!$B$6:$B$17,0),13)*1000+ROW())</f>
        <v/>
      </c>
    </row>
    <row r="44">
      <c r="A44" s="1" t="n"/>
      <c r="B44" s="32" t="inlineStr">
        <is>
          <t>Black beans</t>
        </is>
      </c>
      <c r="C44" s="31" t="inlineStr">
        <is>
          <t>can</t>
        </is>
      </c>
      <c r="D44" s="33" t="inlineStr">
        <is>
          <t>Cans and jars</t>
        </is>
      </c>
      <c r="E44" s="33" t="inlineStr">
        <is>
          <t>can</t>
        </is>
      </c>
      <c r="F44" s="31" t="n">
        <v>1</v>
      </c>
      <c r="G44" s="36" t="n">
        <v>0.99</v>
      </c>
      <c r="H44" s="31" t="n"/>
      <c r="I44" s="34" t="n"/>
      <c r="J44" s="35">
        <f>IF(B44="","",ROUND(SUMIFS(Ingredients!$G$6:$G$1005,Ingredients!$C$6:$C$1005,B44),2))</f>
        <v/>
      </c>
      <c r="K44" s="35">
        <f>IF(B44="","",MAX(0,ROUND(J44-N(H44),2)))</f>
        <v/>
      </c>
      <c r="L44" s="30">
        <f>IF(B44="","",IF(N(K44)=0,0,ROUNDUP(ROUND(K44/IF(N(F44)&gt;0,F44,1),6),0))+N(I44))</f>
        <v/>
      </c>
      <c r="M44" s="25">
        <f>IF(B44="","",L44*N(G44))</f>
        <v/>
      </c>
      <c r="N44" s="1">
        <f>IF(B44="","",N(G44)/IF(N(F44)&gt;0,F44,1))</f>
        <v/>
      </c>
      <c r="O44">
        <f>IF(OR(B44="",N(L44)=0),"",IFERROR(MATCH(D44,Settings!$B$6:$B$17,0),13)*1000+ROW())</f>
        <v/>
      </c>
    </row>
    <row r="45">
      <c r="A45" s="1" t="n"/>
      <c r="B45" s="32" t="inlineStr">
        <is>
          <t>Tuna</t>
        </is>
      </c>
      <c r="C45" s="31" t="inlineStr">
        <is>
          <t>can</t>
        </is>
      </c>
      <c r="D45" s="33" t="inlineStr">
        <is>
          <t>Cans and jars</t>
        </is>
      </c>
      <c r="E45" s="33" t="inlineStr">
        <is>
          <t>can</t>
        </is>
      </c>
      <c r="F45" s="31" t="n">
        <v>1</v>
      </c>
      <c r="G45" s="36" t="n">
        <v>1.29</v>
      </c>
      <c r="H45" s="31" t="n"/>
      <c r="I45" s="34" t="n"/>
      <c r="J45" s="35">
        <f>IF(B45="","",ROUND(SUMIFS(Ingredients!$G$6:$G$1005,Ingredients!$C$6:$C$1005,B45),2))</f>
        <v/>
      </c>
      <c r="K45" s="35">
        <f>IF(B45="","",MAX(0,ROUND(J45-N(H45),2)))</f>
        <v/>
      </c>
      <c r="L45" s="30">
        <f>IF(B45="","",IF(N(K45)=0,0,ROUNDUP(ROUND(K45/IF(N(F45)&gt;0,F45,1),6),0))+N(I45))</f>
        <v/>
      </c>
      <c r="M45" s="25">
        <f>IF(B45="","",L45*N(G45))</f>
        <v/>
      </c>
      <c r="N45" s="1">
        <f>IF(B45="","",N(G45)/IF(N(F45)&gt;0,F45,1))</f>
        <v/>
      </c>
      <c r="O45">
        <f>IF(OR(B45="",N(L45)=0),"",IFERROR(MATCH(D45,Settings!$B$6:$B$17,0),13)*1000+ROW())</f>
        <v/>
      </c>
    </row>
    <row r="46">
      <c r="A46" s="1" t="n"/>
      <c r="B46" s="32" t="inlineStr">
        <is>
          <t>Vegetable stock</t>
        </is>
      </c>
      <c r="C46" s="31" t="inlineStr">
        <is>
          <t>cup</t>
        </is>
      </c>
      <c r="D46" s="33" t="inlineStr">
        <is>
          <t>Cans and jars</t>
        </is>
      </c>
      <c r="E46" s="33" t="inlineStr">
        <is>
          <t>32 oz carton</t>
        </is>
      </c>
      <c r="F46" s="31" t="n">
        <v>4</v>
      </c>
      <c r="G46" s="36" t="n">
        <v>2.49</v>
      </c>
      <c r="H46" s="31" t="n"/>
      <c r="I46" s="34" t="n"/>
      <c r="J46" s="35">
        <f>IF(B46="","",ROUND(SUMIFS(Ingredients!$G$6:$G$1005,Ingredients!$C$6:$C$1005,B46),2))</f>
        <v/>
      </c>
      <c r="K46" s="35">
        <f>IF(B46="","",MAX(0,ROUND(J46-N(H46),2)))</f>
        <v/>
      </c>
      <c r="L46" s="30">
        <f>IF(B46="","",IF(N(K46)=0,0,ROUNDUP(ROUND(K46/IF(N(F46)&gt;0,F46,1),6),0))+N(I46))</f>
        <v/>
      </c>
      <c r="M46" s="25">
        <f>IF(B46="","",L46*N(G46))</f>
        <v/>
      </c>
      <c r="N46" s="1">
        <f>IF(B46="","",N(G46)/IF(N(F46)&gt;0,F46,1))</f>
        <v/>
      </c>
      <c r="O46">
        <f>IF(OR(B46="",N(L46)=0),"",IFERROR(MATCH(D46,Settings!$B$6:$B$17,0),13)*1000+ROW())</f>
        <v/>
      </c>
    </row>
    <row r="47">
      <c r="A47" s="1" t="n"/>
      <c r="B47" s="32" t="inlineStr">
        <is>
          <t>Pizza sauce</t>
        </is>
      </c>
      <c r="C47" s="31" t="inlineStr">
        <is>
          <t>jar</t>
        </is>
      </c>
      <c r="D47" s="33" t="inlineStr">
        <is>
          <t>Cans and jars</t>
        </is>
      </c>
      <c r="E47" s="33" t="inlineStr">
        <is>
          <t>jar</t>
        </is>
      </c>
      <c r="F47" s="31" t="n">
        <v>1</v>
      </c>
      <c r="G47" s="36" t="n">
        <v>2.49</v>
      </c>
      <c r="H47" s="31" t="n"/>
      <c r="I47" s="34" t="n"/>
      <c r="J47" s="35">
        <f>IF(B47="","",ROUND(SUMIFS(Ingredients!$G$6:$G$1005,Ingredients!$C$6:$C$1005,B47),2))</f>
        <v/>
      </c>
      <c r="K47" s="35">
        <f>IF(B47="","",MAX(0,ROUND(J47-N(H47),2)))</f>
        <v/>
      </c>
      <c r="L47" s="30">
        <f>IF(B47="","",IF(N(K47)=0,0,ROUNDUP(ROUND(K47/IF(N(F47)&gt;0,F47,1),6),0))+N(I47))</f>
        <v/>
      </c>
      <c r="M47" s="25">
        <f>IF(B47="","",L47*N(G47))</f>
        <v/>
      </c>
      <c r="N47" s="1">
        <f>IF(B47="","",N(G47)/IF(N(F47)&gt;0,F47,1))</f>
        <v/>
      </c>
      <c r="O47">
        <f>IF(OR(B47="",N(L47)=0),"",IFERROR(MATCH(D47,Settings!$B$6:$B$17,0),13)*1000+ROW())</f>
        <v/>
      </c>
    </row>
    <row r="48">
      <c r="A48" s="1" t="n"/>
      <c r="B48" s="32" t="inlineStr">
        <is>
          <t>Peanut butter</t>
        </is>
      </c>
      <c r="C48" s="31" t="inlineStr">
        <is>
          <t>tbsp</t>
        </is>
      </c>
      <c r="D48" s="33" t="inlineStr">
        <is>
          <t>Cans and jars</t>
        </is>
      </c>
      <c r="E48" s="33" t="inlineStr">
        <is>
          <t>16 oz jar</t>
        </is>
      </c>
      <c r="F48" s="31" t="n">
        <v>28</v>
      </c>
      <c r="G48" s="36" t="n">
        <v>2.99</v>
      </c>
      <c r="H48" s="31" t="n">
        <v>10</v>
      </c>
      <c r="I48" s="34" t="n"/>
      <c r="J48" s="35">
        <f>IF(B48="","",ROUND(SUMIFS(Ingredients!$G$6:$G$1005,Ingredients!$C$6:$C$1005,B48),2))</f>
        <v/>
      </c>
      <c r="K48" s="35">
        <f>IF(B48="","",MAX(0,ROUND(J48-N(H48),2)))</f>
        <v/>
      </c>
      <c r="L48" s="30">
        <f>IF(B48="","",IF(N(K48)=0,0,ROUNDUP(ROUND(K48/IF(N(F48)&gt;0,F48,1),6),0))+N(I48))</f>
        <v/>
      </c>
      <c r="M48" s="25">
        <f>IF(B48="","",L48*N(G48))</f>
        <v/>
      </c>
      <c r="N48" s="1">
        <f>IF(B48="","",N(G48)/IF(N(F48)&gt;0,F48,1))</f>
        <v/>
      </c>
      <c r="O48">
        <f>IF(OR(B48="",N(L48)=0),"",IFERROR(MATCH(D48,Settings!$B$6:$B$17,0),13)*1000+ROW())</f>
        <v/>
      </c>
    </row>
    <row r="49">
      <c r="A49" s="1" t="n"/>
      <c r="B49" s="32" t="inlineStr">
        <is>
          <t>Olive oil</t>
        </is>
      </c>
      <c r="C49" s="31" t="inlineStr">
        <is>
          <t>tbsp</t>
        </is>
      </c>
      <c r="D49" s="33" t="inlineStr">
        <is>
          <t>Sauces and oils</t>
        </is>
      </c>
      <c r="E49" s="33" t="inlineStr">
        <is>
          <t>17 oz bottle</t>
        </is>
      </c>
      <c r="F49" s="31" t="n">
        <v>33</v>
      </c>
      <c r="G49" s="36" t="n">
        <v>7.99</v>
      </c>
      <c r="H49" s="31" t="n">
        <v>20</v>
      </c>
      <c r="I49" s="34" t="n"/>
      <c r="J49" s="35">
        <f>IF(B49="","",ROUND(SUMIFS(Ingredients!$G$6:$G$1005,Ingredients!$C$6:$C$1005,B49),2))</f>
        <v/>
      </c>
      <c r="K49" s="35">
        <f>IF(B49="","",MAX(0,ROUND(J49-N(H49),2)))</f>
        <v/>
      </c>
      <c r="L49" s="30">
        <f>IF(B49="","",IF(N(K49)=0,0,ROUNDUP(ROUND(K49/IF(N(F49)&gt;0,F49,1),6),0))+N(I49))</f>
        <v/>
      </c>
      <c r="M49" s="25">
        <f>IF(B49="","",L49*N(G49))</f>
        <v/>
      </c>
      <c r="N49" s="1">
        <f>IF(B49="","",N(G49)/IF(N(F49)&gt;0,F49,1))</f>
        <v/>
      </c>
      <c r="O49">
        <f>IF(OR(B49="",N(L49)=0),"",IFERROR(MATCH(D49,Settings!$B$6:$B$17,0),13)*1000+ROW())</f>
        <v/>
      </c>
    </row>
    <row r="50">
      <c r="A50" s="1" t="n"/>
      <c r="B50" s="32" t="inlineStr">
        <is>
          <t>Soy sauce</t>
        </is>
      </c>
      <c r="C50" s="31" t="inlineStr">
        <is>
          <t>tbsp</t>
        </is>
      </c>
      <c r="D50" s="33" t="inlineStr">
        <is>
          <t>Sauces and oils</t>
        </is>
      </c>
      <c r="E50" s="33" t="inlineStr">
        <is>
          <t>10 oz bottle</t>
        </is>
      </c>
      <c r="F50" s="31" t="n">
        <v>20</v>
      </c>
      <c r="G50" s="36" t="n">
        <v>2.49</v>
      </c>
      <c r="H50" s="31" t="n">
        <v>6</v>
      </c>
      <c r="I50" s="34" t="n"/>
      <c r="J50" s="35">
        <f>IF(B50="","",ROUND(SUMIFS(Ingredients!$G$6:$G$1005,Ingredients!$C$6:$C$1005,B50),2))</f>
        <v/>
      </c>
      <c r="K50" s="35">
        <f>IF(B50="","",MAX(0,ROUND(J50-N(H50),2)))</f>
        <v/>
      </c>
      <c r="L50" s="30">
        <f>IF(B50="","",IF(N(K50)=0,0,ROUNDUP(ROUND(K50/IF(N(F50)&gt;0,F50,1),6),0))+N(I50))</f>
        <v/>
      </c>
      <c r="M50" s="25">
        <f>IF(B50="","",L50*N(G50))</f>
        <v/>
      </c>
      <c r="N50" s="1">
        <f>IF(B50="","",N(G50)/IF(N(F50)&gt;0,F50,1))</f>
        <v/>
      </c>
      <c r="O50">
        <f>IF(OR(B50="",N(L50)=0),"",IFERROR(MATCH(D50,Settings!$B$6:$B$17,0),13)*1000+ROW())</f>
        <v/>
      </c>
    </row>
    <row r="51">
      <c r="A51" s="1" t="n"/>
      <c r="B51" s="32" t="inlineStr">
        <is>
          <t>Caesar dressing</t>
        </is>
      </c>
      <c r="C51" s="31" t="inlineStr">
        <is>
          <t>tbsp</t>
        </is>
      </c>
      <c r="D51" s="33" t="inlineStr">
        <is>
          <t>Sauces and oils</t>
        </is>
      </c>
      <c r="E51" s="33" t="inlineStr">
        <is>
          <t>12 oz bottle</t>
        </is>
      </c>
      <c r="F51" s="31" t="n">
        <v>24</v>
      </c>
      <c r="G51" s="36" t="n">
        <v>3.29</v>
      </c>
      <c r="H51" s="31" t="n"/>
      <c r="I51" s="34" t="n"/>
      <c r="J51" s="35">
        <f>IF(B51="","",ROUND(SUMIFS(Ingredients!$G$6:$G$1005,Ingredients!$C$6:$C$1005,B51),2))</f>
        <v/>
      </c>
      <c r="K51" s="35">
        <f>IF(B51="","",MAX(0,ROUND(J51-N(H51),2)))</f>
        <v/>
      </c>
      <c r="L51" s="30">
        <f>IF(B51="","",IF(N(K51)=0,0,ROUNDUP(ROUND(K51/IF(N(F51)&gt;0,F51,1),6),0))+N(I51))</f>
        <v/>
      </c>
      <c r="M51" s="25">
        <f>IF(B51="","",L51*N(G51))</f>
        <v/>
      </c>
      <c r="N51" s="1">
        <f>IF(B51="","",N(G51)/IF(N(F51)&gt;0,F51,1))</f>
        <v/>
      </c>
      <c r="O51">
        <f>IF(OR(B51="",N(L51)=0),"",IFERROR(MATCH(D51,Settings!$B$6:$B$17,0),13)*1000+ROW())</f>
        <v/>
      </c>
    </row>
    <row r="52">
      <c r="A52" s="1" t="n"/>
      <c r="B52" s="32" t="inlineStr">
        <is>
          <t>Mayonnaise</t>
        </is>
      </c>
      <c r="C52" s="31" t="inlineStr">
        <is>
          <t>tbsp</t>
        </is>
      </c>
      <c r="D52" s="33" t="inlineStr">
        <is>
          <t>Sauces and oils</t>
        </is>
      </c>
      <c r="E52" s="33" t="inlineStr">
        <is>
          <t>15 oz jar</t>
        </is>
      </c>
      <c r="F52" s="31" t="n">
        <v>30</v>
      </c>
      <c r="G52" s="36" t="n">
        <v>3.99</v>
      </c>
      <c r="H52" s="31" t="n">
        <v>12</v>
      </c>
      <c r="I52" s="34" t="n"/>
      <c r="J52" s="35">
        <f>IF(B52="","",ROUND(SUMIFS(Ingredients!$G$6:$G$1005,Ingredients!$C$6:$C$1005,B52),2))</f>
        <v/>
      </c>
      <c r="K52" s="35">
        <f>IF(B52="","",MAX(0,ROUND(J52-N(H52),2)))</f>
        <v/>
      </c>
      <c r="L52" s="30">
        <f>IF(B52="","",IF(N(K52)=0,0,ROUNDUP(ROUND(K52/IF(N(F52)&gt;0,F52,1),6),0))+N(I52))</f>
        <v/>
      </c>
      <c r="M52" s="25">
        <f>IF(B52="","",L52*N(G52))</f>
        <v/>
      </c>
      <c r="N52" s="1">
        <f>IF(B52="","",N(G52)/IF(N(F52)&gt;0,F52,1))</f>
        <v/>
      </c>
      <c r="O52">
        <f>IF(OR(B52="",N(L52)=0),"",IFERROR(MATCH(D52,Settings!$B$6:$B$17,0),13)*1000+ROW())</f>
        <v/>
      </c>
    </row>
    <row r="53">
      <c r="A53" s="1" t="n"/>
      <c r="B53" s="32" t="inlineStr">
        <is>
          <t>Honey</t>
        </is>
      </c>
      <c r="C53" s="31" t="inlineStr">
        <is>
          <t>tbsp</t>
        </is>
      </c>
      <c r="D53" s="33" t="inlineStr">
        <is>
          <t>Sauces and oils</t>
        </is>
      </c>
      <c r="E53" s="33" t="inlineStr">
        <is>
          <t>12 oz bottle</t>
        </is>
      </c>
      <c r="F53" s="31" t="n">
        <v>16</v>
      </c>
      <c r="G53" s="36" t="n">
        <v>4.49</v>
      </c>
      <c r="H53" s="31" t="n">
        <v>10</v>
      </c>
      <c r="I53" s="34" t="n"/>
      <c r="J53" s="35">
        <f>IF(B53="","",ROUND(SUMIFS(Ingredients!$G$6:$G$1005,Ingredients!$C$6:$C$1005,B53),2))</f>
        <v/>
      </c>
      <c r="K53" s="35">
        <f>IF(B53="","",MAX(0,ROUND(J53-N(H53),2)))</f>
        <v/>
      </c>
      <c r="L53" s="30">
        <f>IF(B53="","",IF(N(K53)=0,0,ROUNDUP(ROUND(K53/IF(N(F53)&gt;0,F53,1),6),0))+N(I53))</f>
        <v/>
      </c>
      <c r="M53" s="25">
        <f>IF(B53="","",L53*N(G53))</f>
        <v/>
      </c>
      <c r="N53" s="1">
        <f>IF(B53="","",N(G53)/IF(N(F53)&gt;0,F53,1))</f>
        <v/>
      </c>
      <c r="O53">
        <f>IF(OR(B53="",N(L53)=0),"",IFERROR(MATCH(D53,Settings!$B$6:$B$17,0),13)*1000+ROW())</f>
        <v/>
      </c>
    </row>
    <row r="54">
      <c r="A54" s="1" t="n"/>
      <c r="B54" s="32" t="inlineStr">
        <is>
          <t>Flour</t>
        </is>
      </c>
      <c r="C54" s="31" t="inlineStr">
        <is>
          <t>cup</t>
        </is>
      </c>
      <c r="D54" s="33" t="inlineStr">
        <is>
          <t>Spices and baking</t>
        </is>
      </c>
      <c r="E54" s="33" t="inlineStr">
        <is>
          <t>5 lb bag</t>
        </is>
      </c>
      <c r="F54" s="31" t="n">
        <v>18</v>
      </c>
      <c r="G54" s="36" t="n">
        <v>3.49</v>
      </c>
      <c r="H54" s="31" t="n">
        <v>6</v>
      </c>
      <c r="I54" s="34" t="n"/>
      <c r="J54" s="35">
        <f>IF(B54="","",ROUND(SUMIFS(Ingredients!$G$6:$G$1005,Ingredients!$C$6:$C$1005,B54),2))</f>
        <v/>
      </c>
      <c r="K54" s="35">
        <f>IF(B54="","",MAX(0,ROUND(J54-N(H54),2)))</f>
        <v/>
      </c>
      <c r="L54" s="30">
        <f>IF(B54="","",IF(N(K54)=0,0,ROUNDUP(ROUND(K54/IF(N(F54)&gt;0,F54,1),6),0))+N(I54))</f>
        <v/>
      </c>
      <c r="M54" s="25">
        <f>IF(B54="","",L54*N(G54))</f>
        <v/>
      </c>
      <c r="N54" s="1">
        <f>IF(B54="","",N(G54)/IF(N(F54)&gt;0,F54,1))</f>
        <v/>
      </c>
      <c r="O54">
        <f>IF(OR(B54="",N(L54)=0),"",IFERROR(MATCH(D54,Settings!$B$6:$B$17,0),13)*1000+ROW())</f>
        <v/>
      </c>
    </row>
    <row r="55">
      <c r="A55" s="1" t="n"/>
      <c r="B55" s="32" t="inlineStr">
        <is>
          <t>Ground cumin</t>
        </is>
      </c>
      <c r="C55" s="31" t="inlineStr">
        <is>
          <t>tsp</t>
        </is>
      </c>
      <c r="D55" s="33" t="inlineStr">
        <is>
          <t>Spices and baking</t>
        </is>
      </c>
      <c r="E55" s="33" t="inlineStr">
        <is>
          <t>jar</t>
        </is>
      </c>
      <c r="F55" s="31" t="n">
        <v>20</v>
      </c>
      <c r="G55" s="36" t="n">
        <v>2.99</v>
      </c>
      <c r="H55" s="31" t="n">
        <v>12</v>
      </c>
      <c r="I55" s="34" t="n"/>
      <c r="J55" s="35">
        <f>IF(B55="","",ROUND(SUMIFS(Ingredients!$G$6:$G$1005,Ingredients!$C$6:$C$1005,B55),2))</f>
        <v/>
      </c>
      <c r="K55" s="35">
        <f>IF(B55="","",MAX(0,ROUND(J55-N(H55),2)))</f>
        <v/>
      </c>
      <c r="L55" s="30">
        <f>IF(B55="","",IF(N(K55)=0,0,ROUNDUP(ROUND(K55/IF(N(F55)&gt;0,F55,1),6),0))+N(I55))</f>
        <v/>
      </c>
      <c r="M55" s="25">
        <f>IF(B55="","",L55*N(G55))</f>
        <v/>
      </c>
      <c r="N55" s="1">
        <f>IF(B55="","",N(G55)/IF(N(F55)&gt;0,F55,1))</f>
        <v/>
      </c>
      <c r="O55">
        <f>IF(OR(B55="",N(L55)=0),"",IFERROR(MATCH(D55,Settings!$B$6:$B$17,0),13)*1000+ROW())</f>
        <v/>
      </c>
    </row>
    <row r="56">
      <c r="A56" s="1" t="n"/>
      <c r="B56" s="32" t="inlineStr">
        <is>
          <t>Frozen berries</t>
        </is>
      </c>
      <c r="C56" s="31" t="inlineStr">
        <is>
          <t>cup</t>
        </is>
      </c>
      <c r="D56" s="33" t="inlineStr">
        <is>
          <t>Frozen</t>
        </is>
      </c>
      <c r="E56" s="33" t="inlineStr">
        <is>
          <t>16 oz bag</t>
        </is>
      </c>
      <c r="F56" s="31" t="n">
        <v>3.5</v>
      </c>
      <c r="G56" s="36" t="n">
        <v>3.99</v>
      </c>
      <c r="H56" s="31" t="n"/>
      <c r="I56" s="34" t="n"/>
      <c r="J56" s="35">
        <f>IF(B56="","",ROUND(SUMIFS(Ingredients!$G$6:$G$1005,Ingredients!$C$6:$C$1005,B56),2))</f>
        <v/>
      </c>
      <c r="K56" s="35">
        <f>IF(B56="","",MAX(0,ROUND(J56-N(H56),2)))</f>
        <v/>
      </c>
      <c r="L56" s="30">
        <f>IF(B56="","",IF(N(K56)=0,0,ROUNDUP(ROUND(K56/IF(N(F56)&gt;0,F56,1),6),0))+N(I56))</f>
        <v/>
      </c>
      <c r="M56" s="25">
        <f>IF(B56="","",L56*N(G56))</f>
        <v/>
      </c>
      <c r="N56" s="1">
        <f>IF(B56="","",N(G56)/IF(N(F56)&gt;0,F56,1))</f>
        <v/>
      </c>
      <c r="O56">
        <f>IF(OR(B56="",N(L56)=0),"",IFERROR(MATCH(D56,Settings!$B$6:$B$17,0),13)*1000+ROW())</f>
        <v/>
      </c>
    </row>
    <row r="57">
      <c r="A57" s="1" t="n"/>
      <c r="B57" s="32" t="inlineStr">
        <is>
          <t>Coffee</t>
        </is>
      </c>
      <c r="C57" s="31" t="inlineStr">
        <is>
          <t>bag</t>
        </is>
      </c>
      <c r="D57" s="33" t="inlineStr">
        <is>
          <t>Snacks and drinks</t>
        </is>
      </c>
      <c r="E57" s="33" t="inlineStr">
        <is>
          <t>12 oz bag</t>
        </is>
      </c>
      <c r="F57" s="31" t="n">
        <v>1</v>
      </c>
      <c r="G57" s="36" t="n">
        <v>8.99</v>
      </c>
      <c r="H57" s="31" t="n"/>
      <c r="I57" s="34" t="n">
        <v>1</v>
      </c>
      <c r="J57" s="35">
        <f>IF(B57="","",ROUND(SUMIFS(Ingredients!$G$6:$G$1005,Ingredients!$C$6:$C$1005,B57),2))</f>
        <v/>
      </c>
      <c r="K57" s="35">
        <f>IF(B57="","",MAX(0,ROUND(J57-N(H57),2)))</f>
        <v/>
      </c>
      <c r="L57" s="30">
        <f>IF(B57="","",IF(N(K57)=0,0,ROUNDUP(ROUND(K57/IF(N(F57)&gt;0,F57,1),6),0))+N(I57))</f>
        <v/>
      </c>
      <c r="M57" s="25">
        <f>IF(B57="","",L57*N(G57))</f>
        <v/>
      </c>
      <c r="N57" s="1">
        <f>IF(B57="","",N(G57)/IF(N(F57)&gt;0,F57,1))</f>
        <v/>
      </c>
      <c r="O57">
        <f>IF(OR(B57="",N(L57)=0),"",IFERROR(MATCH(D57,Settings!$B$6:$B$17,0),13)*1000+ROW())</f>
        <v/>
      </c>
    </row>
    <row r="58">
      <c r="A58" s="1" t="n"/>
      <c r="B58" s="32" t="inlineStr">
        <is>
          <t>Dish soap</t>
        </is>
      </c>
      <c r="C58" s="31" t="inlineStr">
        <is>
          <t>bottle</t>
        </is>
      </c>
      <c r="D58" s="33" t="inlineStr">
        <is>
          <t>Household</t>
        </is>
      </c>
      <c r="E58" s="33" t="inlineStr">
        <is>
          <t>bottle</t>
        </is>
      </c>
      <c r="F58" s="31" t="n">
        <v>1</v>
      </c>
      <c r="G58" s="36" t="n">
        <v>2.99</v>
      </c>
      <c r="H58" s="31" t="n"/>
      <c r="I58" s="34" t="n">
        <v>1</v>
      </c>
      <c r="J58" s="35">
        <f>IF(B58="","",ROUND(SUMIFS(Ingredients!$G$6:$G$1005,Ingredients!$C$6:$C$1005,B58),2))</f>
        <v/>
      </c>
      <c r="K58" s="35">
        <f>IF(B58="","",MAX(0,ROUND(J58-N(H58),2)))</f>
        <v/>
      </c>
      <c r="L58" s="30">
        <f>IF(B58="","",IF(N(K58)=0,0,ROUNDUP(ROUND(K58/IF(N(F58)&gt;0,F58,1),6),0))+N(I58))</f>
        <v/>
      </c>
      <c r="M58" s="25">
        <f>IF(B58="","",L58*N(G58))</f>
        <v/>
      </c>
      <c r="N58" s="1">
        <f>IF(B58="","",N(G58)/IF(N(F58)&gt;0,F58,1))</f>
        <v/>
      </c>
      <c r="O58">
        <f>IF(OR(B58="",N(L58)=0),"",IFERROR(MATCH(D58,Settings!$B$6:$B$17,0),13)*1000+ROW())</f>
        <v/>
      </c>
    </row>
    <row r="59">
      <c r="A59" s="1" t="n"/>
      <c r="B59" s="32" t="n"/>
      <c r="C59" s="31" t="n"/>
      <c r="D59" s="33" t="n"/>
      <c r="E59" s="33" t="n"/>
      <c r="F59" s="31" t="n"/>
      <c r="G59" s="36" t="n"/>
      <c r="H59" s="31" t="n"/>
      <c r="I59" s="34" t="n"/>
      <c r="J59" s="35">
        <f>IF(B59="","",ROUND(SUMIFS(Ingredients!$G$6:$G$1005,Ingredients!$C$6:$C$1005,B59),2))</f>
        <v/>
      </c>
      <c r="K59" s="35">
        <f>IF(B59="","",MAX(0,ROUND(J59-N(H59),2)))</f>
        <v/>
      </c>
      <c r="L59" s="30">
        <f>IF(B59="","",IF(N(K59)=0,0,ROUNDUP(ROUND(K59/IF(N(F59)&gt;0,F59,1),6),0))+N(I59))</f>
        <v/>
      </c>
      <c r="M59" s="25">
        <f>IF(B59="","",L59*N(G59))</f>
        <v/>
      </c>
      <c r="N59" s="1">
        <f>IF(B59="","",N(G59)/IF(N(F59)&gt;0,F59,1))</f>
        <v/>
      </c>
      <c r="O59">
        <f>IF(OR(B59="",N(L59)=0),"",IFERROR(MATCH(D59,Settings!$B$6:$B$17,0),13)*1000+ROW())</f>
        <v/>
      </c>
    </row>
    <row r="60">
      <c r="A60" s="1" t="n"/>
      <c r="B60" s="32" t="n"/>
      <c r="C60" s="31" t="n"/>
      <c r="D60" s="33" t="n"/>
      <c r="E60" s="33" t="n"/>
      <c r="F60" s="31" t="n"/>
      <c r="G60" s="36" t="n"/>
      <c r="H60" s="31" t="n"/>
      <c r="I60" s="34" t="n"/>
      <c r="J60" s="35">
        <f>IF(B60="","",ROUND(SUMIFS(Ingredients!$G$6:$G$1005,Ingredients!$C$6:$C$1005,B60),2))</f>
        <v/>
      </c>
      <c r="K60" s="35">
        <f>IF(B60="","",MAX(0,ROUND(J60-N(H60),2)))</f>
        <v/>
      </c>
      <c r="L60" s="30">
        <f>IF(B60="","",IF(N(K60)=0,0,ROUNDUP(ROUND(K60/IF(N(F60)&gt;0,F60,1),6),0))+N(I60))</f>
        <v/>
      </c>
      <c r="M60" s="25">
        <f>IF(B60="","",L60*N(G60))</f>
        <v/>
      </c>
      <c r="N60" s="1">
        <f>IF(B60="","",N(G60)/IF(N(F60)&gt;0,F60,1))</f>
        <v/>
      </c>
      <c r="O60">
        <f>IF(OR(B60="",N(L60)=0),"",IFERROR(MATCH(D60,Settings!$B$6:$B$17,0),13)*1000+ROW())</f>
        <v/>
      </c>
    </row>
    <row r="61">
      <c r="A61" s="1" t="n"/>
      <c r="B61" s="32" t="n"/>
      <c r="C61" s="31" t="n"/>
      <c r="D61" s="33" t="n"/>
      <c r="E61" s="33" t="n"/>
      <c r="F61" s="31" t="n"/>
      <c r="G61" s="36" t="n"/>
      <c r="H61" s="31" t="n"/>
      <c r="I61" s="34" t="n"/>
      <c r="J61" s="35">
        <f>IF(B61="","",ROUND(SUMIFS(Ingredients!$G$6:$G$1005,Ingredients!$C$6:$C$1005,B61),2))</f>
        <v/>
      </c>
      <c r="K61" s="35">
        <f>IF(B61="","",MAX(0,ROUND(J61-N(H61),2)))</f>
        <v/>
      </c>
      <c r="L61" s="30">
        <f>IF(B61="","",IF(N(K61)=0,0,ROUNDUP(ROUND(K61/IF(N(F61)&gt;0,F61,1),6),0))+N(I61))</f>
        <v/>
      </c>
      <c r="M61" s="25">
        <f>IF(B61="","",L61*N(G61))</f>
        <v/>
      </c>
      <c r="N61" s="1">
        <f>IF(B61="","",N(G61)/IF(N(F61)&gt;0,F61,1))</f>
        <v/>
      </c>
      <c r="O61">
        <f>IF(OR(B61="",N(L61)=0),"",IFERROR(MATCH(D61,Settings!$B$6:$B$17,0),13)*1000+ROW())</f>
        <v/>
      </c>
    </row>
    <row r="62">
      <c r="A62" s="1" t="n"/>
      <c r="B62" s="32" t="n"/>
      <c r="C62" s="31" t="n"/>
      <c r="D62" s="33" t="n"/>
      <c r="E62" s="33" t="n"/>
      <c r="F62" s="31" t="n"/>
      <c r="G62" s="36" t="n"/>
      <c r="H62" s="31" t="n"/>
      <c r="I62" s="34" t="n"/>
      <c r="J62" s="35">
        <f>IF(B62="","",ROUND(SUMIFS(Ingredients!$G$6:$G$1005,Ingredients!$C$6:$C$1005,B62),2))</f>
        <v/>
      </c>
      <c r="K62" s="35">
        <f>IF(B62="","",MAX(0,ROUND(J62-N(H62),2)))</f>
        <v/>
      </c>
      <c r="L62" s="30">
        <f>IF(B62="","",IF(N(K62)=0,0,ROUNDUP(ROUND(K62/IF(N(F62)&gt;0,F62,1),6),0))+N(I62))</f>
        <v/>
      </c>
      <c r="M62" s="25">
        <f>IF(B62="","",L62*N(G62))</f>
        <v/>
      </c>
      <c r="N62" s="1">
        <f>IF(B62="","",N(G62)/IF(N(F62)&gt;0,F62,1))</f>
        <v/>
      </c>
      <c r="O62">
        <f>IF(OR(B62="",N(L62)=0),"",IFERROR(MATCH(D62,Settings!$B$6:$B$17,0),13)*1000+ROW())</f>
        <v/>
      </c>
    </row>
    <row r="63">
      <c r="A63" s="1" t="n"/>
      <c r="B63" s="32" t="n"/>
      <c r="C63" s="31" t="n"/>
      <c r="D63" s="33" t="n"/>
      <c r="E63" s="33" t="n"/>
      <c r="F63" s="31" t="n"/>
      <c r="G63" s="36" t="n"/>
      <c r="H63" s="31" t="n"/>
      <c r="I63" s="34" t="n"/>
      <c r="J63" s="35">
        <f>IF(B63="","",ROUND(SUMIFS(Ingredients!$G$6:$G$1005,Ingredients!$C$6:$C$1005,B63),2))</f>
        <v/>
      </c>
      <c r="K63" s="35">
        <f>IF(B63="","",MAX(0,ROUND(J63-N(H63),2)))</f>
        <v/>
      </c>
      <c r="L63" s="30">
        <f>IF(B63="","",IF(N(K63)=0,0,ROUNDUP(ROUND(K63/IF(N(F63)&gt;0,F63,1),6),0))+N(I63))</f>
        <v/>
      </c>
      <c r="M63" s="25">
        <f>IF(B63="","",L63*N(G63))</f>
        <v/>
      </c>
      <c r="N63" s="1">
        <f>IF(B63="","",N(G63)/IF(N(F63)&gt;0,F63,1))</f>
        <v/>
      </c>
      <c r="O63">
        <f>IF(OR(B63="",N(L63)=0),"",IFERROR(MATCH(D63,Settings!$B$6:$B$17,0),13)*1000+ROW())</f>
        <v/>
      </c>
    </row>
    <row r="64">
      <c r="A64" s="1" t="n"/>
      <c r="B64" s="32" t="n"/>
      <c r="C64" s="31" t="n"/>
      <c r="D64" s="33" t="n"/>
      <c r="E64" s="33" t="n"/>
      <c r="F64" s="31" t="n"/>
      <c r="G64" s="36" t="n"/>
      <c r="H64" s="31" t="n"/>
      <c r="I64" s="34" t="n"/>
      <c r="J64" s="35">
        <f>IF(B64="","",ROUND(SUMIFS(Ingredients!$G$6:$G$1005,Ingredients!$C$6:$C$1005,B64),2))</f>
        <v/>
      </c>
      <c r="K64" s="35">
        <f>IF(B64="","",MAX(0,ROUND(J64-N(H64),2)))</f>
        <v/>
      </c>
      <c r="L64" s="30">
        <f>IF(B64="","",IF(N(K64)=0,0,ROUNDUP(ROUND(K64/IF(N(F64)&gt;0,F64,1),6),0))+N(I64))</f>
        <v/>
      </c>
      <c r="M64" s="25">
        <f>IF(B64="","",L64*N(G64))</f>
        <v/>
      </c>
      <c r="N64" s="1">
        <f>IF(B64="","",N(G64)/IF(N(F64)&gt;0,F64,1))</f>
        <v/>
      </c>
      <c r="O64">
        <f>IF(OR(B64="",N(L64)=0),"",IFERROR(MATCH(D64,Settings!$B$6:$B$17,0),13)*1000+ROW())</f>
        <v/>
      </c>
    </row>
    <row r="65">
      <c r="A65" s="1" t="n"/>
      <c r="B65" s="32" t="n"/>
      <c r="C65" s="31" t="n"/>
      <c r="D65" s="33" t="n"/>
      <c r="E65" s="33" t="n"/>
      <c r="F65" s="31" t="n"/>
      <c r="G65" s="36" t="n"/>
      <c r="H65" s="31" t="n"/>
      <c r="I65" s="34" t="n"/>
      <c r="J65" s="35">
        <f>IF(B65="","",ROUND(SUMIFS(Ingredients!$G$6:$G$1005,Ingredients!$C$6:$C$1005,B65),2))</f>
        <v/>
      </c>
      <c r="K65" s="35">
        <f>IF(B65="","",MAX(0,ROUND(J65-N(H65),2)))</f>
        <v/>
      </c>
      <c r="L65" s="30">
        <f>IF(B65="","",IF(N(K65)=0,0,ROUNDUP(ROUND(K65/IF(N(F65)&gt;0,F65,1),6),0))+N(I65))</f>
        <v/>
      </c>
      <c r="M65" s="25">
        <f>IF(B65="","",L65*N(G65))</f>
        <v/>
      </c>
      <c r="N65" s="1">
        <f>IF(B65="","",N(G65)/IF(N(F65)&gt;0,F65,1))</f>
        <v/>
      </c>
      <c r="O65">
        <f>IF(OR(B65="",N(L65)=0),"",IFERROR(MATCH(D65,Settings!$B$6:$B$17,0),13)*1000+ROW())</f>
        <v/>
      </c>
    </row>
    <row r="66">
      <c r="A66" s="1" t="n"/>
      <c r="B66" s="32" t="n"/>
      <c r="C66" s="31" t="n"/>
      <c r="D66" s="33" t="n"/>
      <c r="E66" s="33" t="n"/>
      <c r="F66" s="31" t="n"/>
      <c r="G66" s="36" t="n"/>
      <c r="H66" s="31" t="n"/>
      <c r="I66" s="34" t="n"/>
      <c r="J66" s="35">
        <f>IF(B66="","",ROUND(SUMIFS(Ingredients!$G$6:$G$1005,Ingredients!$C$6:$C$1005,B66),2))</f>
        <v/>
      </c>
      <c r="K66" s="35">
        <f>IF(B66="","",MAX(0,ROUND(J66-N(H66),2)))</f>
        <v/>
      </c>
      <c r="L66" s="30">
        <f>IF(B66="","",IF(N(K66)=0,0,ROUNDUP(ROUND(K66/IF(N(F66)&gt;0,F66,1),6),0))+N(I66))</f>
        <v/>
      </c>
      <c r="M66" s="25">
        <f>IF(B66="","",L66*N(G66))</f>
        <v/>
      </c>
      <c r="N66" s="1">
        <f>IF(B66="","",N(G66)/IF(N(F66)&gt;0,F66,1))</f>
        <v/>
      </c>
      <c r="O66">
        <f>IF(OR(B66="",N(L66)=0),"",IFERROR(MATCH(D66,Settings!$B$6:$B$17,0),13)*1000+ROW())</f>
        <v/>
      </c>
    </row>
    <row r="67">
      <c r="A67" s="1" t="n"/>
      <c r="B67" s="32" t="n"/>
      <c r="C67" s="31" t="n"/>
      <c r="D67" s="33" t="n"/>
      <c r="E67" s="33" t="n"/>
      <c r="F67" s="31" t="n"/>
      <c r="G67" s="36" t="n"/>
      <c r="H67" s="31" t="n"/>
      <c r="I67" s="34" t="n"/>
      <c r="J67" s="35">
        <f>IF(B67="","",ROUND(SUMIFS(Ingredients!$G$6:$G$1005,Ingredients!$C$6:$C$1005,B67),2))</f>
        <v/>
      </c>
      <c r="K67" s="35">
        <f>IF(B67="","",MAX(0,ROUND(J67-N(H67),2)))</f>
        <v/>
      </c>
      <c r="L67" s="30">
        <f>IF(B67="","",IF(N(K67)=0,0,ROUNDUP(ROUND(K67/IF(N(F67)&gt;0,F67,1),6),0))+N(I67))</f>
        <v/>
      </c>
      <c r="M67" s="25">
        <f>IF(B67="","",L67*N(G67))</f>
        <v/>
      </c>
      <c r="N67" s="1">
        <f>IF(B67="","",N(G67)/IF(N(F67)&gt;0,F67,1))</f>
        <v/>
      </c>
      <c r="O67">
        <f>IF(OR(B67="",N(L67)=0),"",IFERROR(MATCH(D67,Settings!$B$6:$B$17,0),13)*1000+ROW())</f>
        <v/>
      </c>
    </row>
    <row r="68">
      <c r="A68" s="1" t="n"/>
      <c r="B68" s="32" t="n"/>
      <c r="C68" s="31" t="n"/>
      <c r="D68" s="33" t="n"/>
      <c r="E68" s="33" t="n"/>
      <c r="F68" s="31" t="n"/>
      <c r="G68" s="36" t="n"/>
      <c r="H68" s="31" t="n"/>
      <c r="I68" s="34" t="n"/>
      <c r="J68" s="35">
        <f>IF(B68="","",ROUND(SUMIFS(Ingredients!$G$6:$G$1005,Ingredients!$C$6:$C$1005,B68),2))</f>
        <v/>
      </c>
      <c r="K68" s="35">
        <f>IF(B68="","",MAX(0,ROUND(J68-N(H68),2)))</f>
        <v/>
      </c>
      <c r="L68" s="30">
        <f>IF(B68="","",IF(N(K68)=0,0,ROUNDUP(ROUND(K68/IF(N(F68)&gt;0,F68,1),6),0))+N(I68))</f>
        <v/>
      </c>
      <c r="M68" s="25">
        <f>IF(B68="","",L68*N(G68))</f>
        <v/>
      </c>
      <c r="N68" s="1">
        <f>IF(B68="","",N(G68)/IF(N(F68)&gt;0,F68,1))</f>
        <v/>
      </c>
      <c r="O68">
        <f>IF(OR(B68="",N(L68)=0),"",IFERROR(MATCH(D68,Settings!$B$6:$B$17,0),13)*1000+ROW())</f>
        <v/>
      </c>
    </row>
    <row r="69">
      <c r="A69" s="1" t="n"/>
      <c r="B69" s="32" t="n"/>
      <c r="C69" s="31" t="n"/>
      <c r="D69" s="33" t="n"/>
      <c r="E69" s="33" t="n"/>
      <c r="F69" s="31" t="n"/>
      <c r="G69" s="36" t="n"/>
      <c r="H69" s="31" t="n"/>
      <c r="I69" s="34" t="n"/>
      <c r="J69" s="35">
        <f>IF(B69="","",ROUND(SUMIFS(Ingredients!$G$6:$G$1005,Ingredients!$C$6:$C$1005,B69),2))</f>
        <v/>
      </c>
      <c r="K69" s="35">
        <f>IF(B69="","",MAX(0,ROUND(J69-N(H69),2)))</f>
        <v/>
      </c>
      <c r="L69" s="30">
        <f>IF(B69="","",IF(N(K69)=0,0,ROUNDUP(ROUND(K69/IF(N(F69)&gt;0,F69,1),6),0))+N(I69))</f>
        <v/>
      </c>
      <c r="M69" s="25">
        <f>IF(B69="","",L69*N(G69))</f>
        <v/>
      </c>
      <c r="N69" s="1">
        <f>IF(B69="","",N(G69)/IF(N(F69)&gt;0,F69,1))</f>
        <v/>
      </c>
      <c r="O69">
        <f>IF(OR(B69="",N(L69)=0),"",IFERROR(MATCH(D69,Settings!$B$6:$B$17,0),13)*1000+ROW())</f>
        <v/>
      </c>
    </row>
    <row r="70">
      <c r="A70" s="1" t="n"/>
      <c r="B70" s="32" t="n"/>
      <c r="C70" s="31" t="n"/>
      <c r="D70" s="33" t="n"/>
      <c r="E70" s="33" t="n"/>
      <c r="F70" s="31" t="n"/>
      <c r="G70" s="36" t="n"/>
      <c r="H70" s="31" t="n"/>
      <c r="I70" s="34" t="n"/>
      <c r="J70" s="35">
        <f>IF(B70="","",ROUND(SUMIFS(Ingredients!$G$6:$G$1005,Ingredients!$C$6:$C$1005,B70),2))</f>
        <v/>
      </c>
      <c r="K70" s="35">
        <f>IF(B70="","",MAX(0,ROUND(J70-N(H70),2)))</f>
        <v/>
      </c>
      <c r="L70" s="30">
        <f>IF(B70="","",IF(N(K70)=0,0,ROUNDUP(ROUND(K70/IF(N(F70)&gt;0,F70,1),6),0))+N(I70))</f>
        <v/>
      </c>
      <c r="M70" s="25">
        <f>IF(B70="","",L70*N(G70))</f>
        <v/>
      </c>
      <c r="N70" s="1">
        <f>IF(B70="","",N(G70)/IF(N(F70)&gt;0,F70,1))</f>
        <v/>
      </c>
      <c r="O70">
        <f>IF(OR(B70="",N(L70)=0),"",IFERROR(MATCH(D70,Settings!$B$6:$B$17,0),13)*1000+ROW())</f>
        <v/>
      </c>
    </row>
    <row r="71">
      <c r="A71" s="1" t="n"/>
      <c r="B71" s="32" t="n"/>
      <c r="C71" s="31" t="n"/>
      <c r="D71" s="33" t="n"/>
      <c r="E71" s="33" t="n"/>
      <c r="F71" s="31" t="n"/>
      <c r="G71" s="36" t="n"/>
      <c r="H71" s="31" t="n"/>
      <c r="I71" s="34" t="n"/>
      <c r="J71" s="35">
        <f>IF(B71="","",ROUND(SUMIFS(Ingredients!$G$6:$G$1005,Ingredients!$C$6:$C$1005,B71),2))</f>
        <v/>
      </c>
      <c r="K71" s="35">
        <f>IF(B71="","",MAX(0,ROUND(J71-N(H71),2)))</f>
        <v/>
      </c>
      <c r="L71" s="30">
        <f>IF(B71="","",IF(N(K71)=0,0,ROUNDUP(ROUND(K71/IF(N(F71)&gt;0,F71,1),6),0))+N(I71))</f>
        <v/>
      </c>
      <c r="M71" s="25">
        <f>IF(B71="","",L71*N(G71))</f>
        <v/>
      </c>
      <c r="N71" s="1">
        <f>IF(B71="","",N(G71)/IF(N(F71)&gt;0,F71,1))</f>
        <v/>
      </c>
      <c r="O71">
        <f>IF(OR(B71="",N(L71)=0),"",IFERROR(MATCH(D71,Settings!$B$6:$B$17,0),13)*1000+ROW())</f>
        <v/>
      </c>
    </row>
    <row r="72">
      <c r="A72" s="1" t="n"/>
      <c r="B72" s="32" t="n"/>
      <c r="C72" s="31" t="n"/>
      <c r="D72" s="33" t="n"/>
      <c r="E72" s="33" t="n"/>
      <c r="F72" s="31" t="n"/>
      <c r="G72" s="36" t="n"/>
      <c r="H72" s="31" t="n"/>
      <c r="I72" s="34" t="n"/>
      <c r="J72" s="35">
        <f>IF(B72="","",ROUND(SUMIFS(Ingredients!$G$6:$G$1005,Ingredients!$C$6:$C$1005,B72),2))</f>
        <v/>
      </c>
      <c r="K72" s="35">
        <f>IF(B72="","",MAX(0,ROUND(J72-N(H72),2)))</f>
        <v/>
      </c>
      <c r="L72" s="30">
        <f>IF(B72="","",IF(N(K72)=0,0,ROUNDUP(ROUND(K72/IF(N(F72)&gt;0,F72,1),6),0))+N(I72))</f>
        <v/>
      </c>
      <c r="M72" s="25">
        <f>IF(B72="","",L72*N(G72))</f>
        <v/>
      </c>
      <c r="N72" s="1">
        <f>IF(B72="","",N(G72)/IF(N(F72)&gt;0,F72,1))</f>
        <v/>
      </c>
      <c r="O72">
        <f>IF(OR(B72="",N(L72)=0),"",IFERROR(MATCH(D72,Settings!$B$6:$B$17,0),13)*1000+ROW())</f>
        <v/>
      </c>
    </row>
    <row r="73">
      <c r="A73" s="1" t="n"/>
      <c r="B73" s="32" t="n"/>
      <c r="C73" s="31" t="n"/>
      <c r="D73" s="33" t="n"/>
      <c r="E73" s="33" t="n"/>
      <c r="F73" s="31" t="n"/>
      <c r="G73" s="36" t="n"/>
      <c r="H73" s="31" t="n"/>
      <c r="I73" s="34" t="n"/>
      <c r="J73" s="35">
        <f>IF(B73="","",ROUND(SUMIFS(Ingredients!$G$6:$G$1005,Ingredients!$C$6:$C$1005,B73),2))</f>
        <v/>
      </c>
      <c r="K73" s="35">
        <f>IF(B73="","",MAX(0,ROUND(J73-N(H73),2)))</f>
        <v/>
      </c>
      <c r="L73" s="30">
        <f>IF(B73="","",IF(N(K73)=0,0,ROUNDUP(ROUND(K73/IF(N(F73)&gt;0,F73,1),6),0))+N(I73))</f>
        <v/>
      </c>
      <c r="M73" s="25">
        <f>IF(B73="","",L73*N(G73))</f>
        <v/>
      </c>
      <c r="N73" s="1">
        <f>IF(B73="","",N(G73)/IF(N(F73)&gt;0,F73,1))</f>
        <v/>
      </c>
      <c r="O73">
        <f>IF(OR(B73="",N(L73)=0),"",IFERROR(MATCH(D73,Settings!$B$6:$B$17,0),13)*1000+ROW())</f>
        <v/>
      </c>
    </row>
    <row r="74">
      <c r="A74" s="1" t="n"/>
      <c r="B74" s="32" t="n"/>
      <c r="C74" s="31" t="n"/>
      <c r="D74" s="33" t="n"/>
      <c r="E74" s="33" t="n"/>
      <c r="F74" s="31" t="n"/>
      <c r="G74" s="36" t="n"/>
      <c r="H74" s="31" t="n"/>
      <c r="I74" s="34" t="n"/>
      <c r="J74" s="35">
        <f>IF(B74="","",ROUND(SUMIFS(Ingredients!$G$6:$G$1005,Ingredients!$C$6:$C$1005,B74),2))</f>
        <v/>
      </c>
      <c r="K74" s="35">
        <f>IF(B74="","",MAX(0,ROUND(J74-N(H74),2)))</f>
        <v/>
      </c>
      <c r="L74" s="30">
        <f>IF(B74="","",IF(N(K74)=0,0,ROUNDUP(ROUND(K74/IF(N(F74)&gt;0,F74,1),6),0))+N(I74))</f>
        <v/>
      </c>
      <c r="M74" s="25">
        <f>IF(B74="","",L74*N(G74))</f>
        <v/>
      </c>
      <c r="N74" s="1">
        <f>IF(B74="","",N(G74)/IF(N(F74)&gt;0,F74,1))</f>
        <v/>
      </c>
      <c r="O74">
        <f>IF(OR(B74="",N(L74)=0),"",IFERROR(MATCH(D74,Settings!$B$6:$B$17,0),13)*1000+ROW())</f>
        <v/>
      </c>
    </row>
    <row r="75">
      <c r="A75" s="1" t="n"/>
      <c r="B75" s="32" t="n"/>
      <c r="C75" s="31" t="n"/>
      <c r="D75" s="33" t="n"/>
      <c r="E75" s="33" t="n"/>
      <c r="F75" s="31" t="n"/>
      <c r="G75" s="36" t="n"/>
      <c r="H75" s="31" t="n"/>
      <c r="I75" s="34" t="n"/>
      <c r="J75" s="35">
        <f>IF(B75="","",ROUND(SUMIFS(Ingredients!$G$6:$G$1005,Ingredients!$C$6:$C$1005,B75),2))</f>
        <v/>
      </c>
      <c r="K75" s="35">
        <f>IF(B75="","",MAX(0,ROUND(J75-N(H75),2)))</f>
        <v/>
      </c>
      <c r="L75" s="30">
        <f>IF(B75="","",IF(N(K75)=0,0,ROUNDUP(ROUND(K75/IF(N(F75)&gt;0,F75,1),6),0))+N(I75))</f>
        <v/>
      </c>
      <c r="M75" s="25">
        <f>IF(B75="","",L75*N(G75))</f>
        <v/>
      </c>
      <c r="N75" s="1">
        <f>IF(B75="","",N(G75)/IF(N(F75)&gt;0,F75,1))</f>
        <v/>
      </c>
      <c r="O75">
        <f>IF(OR(B75="",N(L75)=0),"",IFERROR(MATCH(D75,Settings!$B$6:$B$17,0),13)*1000+ROW())</f>
        <v/>
      </c>
    </row>
    <row r="76">
      <c r="A76" s="1" t="n"/>
      <c r="B76" s="32" t="n"/>
      <c r="C76" s="31" t="n"/>
      <c r="D76" s="33" t="n"/>
      <c r="E76" s="33" t="n"/>
      <c r="F76" s="31" t="n"/>
      <c r="G76" s="36" t="n"/>
      <c r="H76" s="31" t="n"/>
      <c r="I76" s="34" t="n"/>
      <c r="J76" s="35">
        <f>IF(B76="","",ROUND(SUMIFS(Ingredients!$G$6:$G$1005,Ingredients!$C$6:$C$1005,B76),2))</f>
        <v/>
      </c>
      <c r="K76" s="35">
        <f>IF(B76="","",MAX(0,ROUND(J76-N(H76),2)))</f>
        <v/>
      </c>
      <c r="L76" s="30">
        <f>IF(B76="","",IF(N(K76)=0,0,ROUNDUP(ROUND(K76/IF(N(F76)&gt;0,F76,1),6),0))+N(I76))</f>
        <v/>
      </c>
      <c r="M76" s="25">
        <f>IF(B76="","",L76*N(G76))</f>
        <v/>
      </c>
      <c r="N76" s="1">
        <f>IF(B76="","",N(G76)/IF(N(F76)&gt;0,F76,1))</f>
        <v/>
      </c>
      <c r="O76">
        <f>IF(OR(B76="",N(L76)=0),"",IFERROR(MATCH(D76,Settings!$B$6:$B$17,0),13)*1000+ROW())</f>
        <v/>
      </c>
    </row>
    <row r="77">
      <c r="A77" s="1" t="n"/>
      <c r="B77" s="32" t="n"/>
      <c r="C77" s="31" t="n"/>
      <c r="D77" s="33" t="n"/>
      <c r="E77" s="33" t="n"/>
      <c r="F77" s="31" t="n"/>
      <c r="G77" s="36" t="n"/>
      <c r="H77" s="31" t="n"/>
      <c r="I77" s="34" t="n"/>
      <c r="J77" s="35">
        <f>IF(B77="","",ROUND(SUMIFS(Ingredients!$G$6:$G$1005,Ingredients!$C$6:$C$1005,B77),2))</f>
        <v/>
      </c>
      <c r="K77" s="35">
        <f>IF(B77="","",MAX(0,ROUND(J77-N(H77),2)))</f>
        <v/>
      </c>
      <c r="L77" s="30">
        <f>IF(B77="","",IF(N(K77)=0,0,ROUNDUP(ROUND(K77/IF(N(F77)&gt;0,F77,1),6),0))+N(I77))</f>
        <v/>
      </c>
      <c r="M77" s="25">
        <f>IF(B77="","",L77*N(G77))</f>
        <v/>
      </c>
      <c r="N77" s="1">
        <f>IF(B77="","",N(G77)/IF(N(F77)&gt;0,F77,1))</f>
        <v/>
      </c>
      <c r="O77">
        <f>IF(OR(B77="",N(L77)=0),"",IFERROR(MATCH(D77,Settings!$B$6:$B$17,0),13)*1000+ROW())</f>
        <v/>
      </c>
    </row>
    <row r="78">
      <c r="A78" s="1" t="n"/>
      <c r="B78" s="32" t="n"/>
      <c r="C78" s="31" t="n"/>
      <c r="D78" s="33" t="n"/>
      <c r="E78" s="33" t="n"/>
      <c r="F78" s="31" t="n"/>
      <c r="G78" s="36" t="n"/>
      <c r="H78" s="31" t="n"/>
      <c r="I78" s="34" t="n"/>
      <c r="J78" s="35">
        <f>IF(B78="","",ROUND(SUMIFS(Ingredients!$G$6:$G$1005,Ingredients!$C$6:$C$1005,B78),2))</f>
        <v/>
      </c>
      <c r="K78" s="35">
        <f>IF(B78="","",MAX(0,ROUND(J78-N(H78),2)))</f>
        <v/>
      </c>
      <c r="L78" s="30">
        <f>IF(B78="","",IF(N(K78)=0,0,ROUNDUP(ROUND(K78/IF(N(F78)&gt;0,F78,1),6),0))+N(I78))</f>
        <v/>
      </c>
      <c r="M78" s="25">
        <f>IF(B78="","",L78*N(G78))</f>
        <v/>
      </c>
      <c r="N78" s="1">
        <f>IF(B78="","",N(G78)/IF(N(F78)&gt;0,F78,1))</f>
        <v/>
      </c>
      <c r="O78">
        <f>IF(OR(B78="",N(L78)=0),"",IFERROR(MATCH(D78,Settings!$B$6:$B$17,0),13)*1000+ROW())</f>
        <v/>
      </c>
    </row>
    <row r="79">
      <c r="A79" s="1" t="n"/>
      <c r="B79" s="32" t="n"/>
      <c r="C79" s="31" t="n"/>
      <c r="D79" s="33" t="n"/>
      <c r="E79" s="33" t="n"/>
      <c r="F79" s="31" t="n"/>
      <c r="G79" s="36" t="n"/>
      <c r="H79" s="31" t="n"/>
      <c r="I79" s="34" t="n"/>
      <c r="J79" s="35">
        <f>IF(B79="","",ROUND(SUMIFS(Ingredients!$G$6:$G$1005,Ingredients!$C$6:$C$1005,B79),2))</f>
        <v/>
      </c>
      <c r="K79" s="35">
        <f>IF(B79="","",MAX(0,ROUND(J79-N(H79),2)))</f>
        <v/>
      </c>
      <c r="L79" s="30">
        <f>IF(B79="","",IF(N(K79)=0,0,ROUNDUP(ROUND(K79/IF(N(F79)&gt;0,F79,1),6),0))+N(I79))</f>
        <v/>
      </c>
      <c r="M79" s="25">
        <f>IF(B79="","",L79*N(G79))</f>
        <v/>
      </c>
      <c r="N79" s="1">
        <f>IF(B79="","",N(G79)/IF(N(F79)&gt;0,F79,1))</f>
        <v/>
      </c>
      <c r="O79">
        <f>IF(OR(B79="",N(L79)=0),"",IFERROR(MATCH(D79,Settings!$B$6:$B$17,0),13)*1000+ROW())</f>
        <v/>
      </c>
    </row>
    <row r="80">
      <c r="A80" s="1" t="n"/>
      <c r="B80" s="32" t="n"/>
      <c r="C80" s="31" t="n"/>
      <c r="D80" s="33" t="n"/>
      <c r="E80" s="33" t="n"/>
      <c r="F80" s="31" t="n"/>
      <c r="G80" s="36" t="n"/>
      <c r="H80" s="31" t="n"/>
      <c r="I80" s="34" t="n"/>
      <c r="J80" s="35">
        <f>IF(B80="","",ROUND(SUMIFS(Ingredients!$G$6:$G$1005,Ingredients!$C$6:$C$1005,B80),2))</f>
        <v/>
      </c>
      <c r="K80" s="35">
        <f>IF(B80="","",MAX(0,ROUND(J80-N(H80),2)))</f>
        <v/>
      </c>
      <c r="L80" s="30">
        <f>IF(B80="","",IF(N(K80)=0,0,ROUNDUP(ROUND(K80/IF(N(F80)&gt;0,F80,1),6),0))+N(I80))</f>
        <v/>
      </c>
      <c r="M80" s="25">
        <f>IF(B80="","",L80*N(G80))</f>
        <v/>
      </c>
      <c r="N80" s="1">
        <f>IF(B80="","",N(G80)/IF(N(F80)&gt;0,F80,1))</f>
        <v/>
      </c>
      <c r="O80">
        <f>IF(OR(B80="",N(L80)=0),"",IFERROR(MATCH(D80,Settings!$B$6:$B$17,0),13)*1000+ROW())</f>
        <v/>
      </c>
    </row>
    <row r="81">
      <c r="A81" s="1" t="n"/>
      <c r="B81" s="32" t="n"/>
      <c r="C81" s="31" t="n"/>
      <c r="D81" s="33" t="n"/>
      <c r="E81" s="33" t="n"/>
      <c r="F81" s="31" t="n"/>
      <c r="G81" s="36" t="n"/>
      <c r="H81" s="31" t="n"/>
      <c r="I81" s="34" t="n"/>
      <c r="J81" s="35">
        <f>IF(B81="","",ROUND(SUMIFS(Ingredients!$G$6:$G$1005,Ingredients!$C$6:$C$1005,B81),2))</f>
        <v/>
      </c>
      <c r="K81" s="35">
        <f>IF(B81="","",MAX(0,ROUND(J81-N(H81),2)))</f>
        <v/>
      </c>
      <c r="L81" s="30">
        <f>IF(B81="","",IF(N(K81)=0,0,ROUNDUP(ROUND(K81/IF(N(F81)&gt;0,F81,1),6),0))+N(I81))</f>
        <v/>
      </c>
      <c r="M81" s="25">
        <f>IF(B81="","",L81*N(G81))</f>
        <v/>
      </c>
      <c r="N81" s="1">
        <f>IF(B81="","",N(G81)/IF(N(F81)&gt;0,F81,1))</f>
        <v/>
      </c>
      <c r="O81">
        <f>IF(OR(B81="",N(L81)=0),"",IFERROR(MATCH(D81,Settings!$B$6:$B$17,0),13)*1000+ROW())</f>
        <v/>
      </c>
    </row>
    <row r="82">
      <c r="A82" s="1" t="n"/>
      <c r="B82" s="32" t="n"/>
      <c r="C82" s="31" t="n"/>
      <c r="D82" s="33" t="n"/>
      <c r="E82" s="33" t="n"/>
      <c r="F82" s="31" t="n"/>
      <c r="G82" s="36" t="n"/>
      <c r="H82" s="31" t="n"/>
      <c r="I82" s="34" t="n"/>
      <c r="J82" s="35">
        <f>IF(B82="","",ROUND(SUMIFS(Ingredients!$G$6:$G$1005,Ingredients!$C$6:$C$1005,B82),2))</f>
        <v/>
      </c>
      <c r="K82" s="35">
        <f>IF(B82="","",MAX(0,ROUND(J82-N(H82),2)))</f>
        <v/>
      </c>
      <c r="L82" s="30">
        <f>IF(B82="","",IF(N(K82)=0,0,ROUNDUP(ROUND(K82/IF(N(F82)&gt;0,F82,1),6),0))+N(I82))</f>
        <v/>
      </c>
      <c r="M82" s="25">
        <f>IF(B82="","",L82*N(G82))</f>
        <v/>
      </c>
      <c r="N82" s="1">
        <f>IF(B82="","",N(G82)/IF(N(F82)&gt;0,F82,1))</f>
        <v/>
      </c>
      <c r="O82">
        <f>IF(OR(B82="",N(L82)=0),"",IFERROR(MATCH(D82,Settings!$B$6:$B$17,0),13)*1000+ROW())</f>
        <v/>
      </c>
    </row>
    <row r="83">
      <c r="A83" s="1" t="n"/>
      <c r="B83" s="32" t="n"/>
      <c r="C83" s="31" t="n"/>
      <c r="D83" s="33" t="n"/>
      <c r="E83" s="33" t="n"/>
      <c r="F83" s="31" t="n"/>
      <c r="G83" s="36" t="n"/>
      <c r="H83" s="31" t="n"/>
      <c r="I83" s="34" t="n"/>
      <c r="J83" s="35">
        <f>IF(B83="","",ROUND(SUMIFS(Ingredients!$G$6:$G$1005,Ingredients!$C$6:$C$1005,B83),2))</f>
        <v/>
      </c>
      <c r="K83" s="35">
        <f>IF(B83="","",MAX(0,ROUND(J83-N(H83),2)))</f>
        <v/>
      </c>
      <c r="L83" s="30">
        <f>IF(B83="","",IF(N(K83)=0,0,ROUNDUP(ROUND(K83/IF(N(F83)&gt;0,F83,1),6),0))+N(I83))</f>
        <v/>
      </c>
      <c r="M83" s="25">
        <f>IF(B83="","",L83*N(G83))</f>
        <v/>
      </c>
      <c r="N83" s="1">
        <f>IF(B83="","",N(G83)/IF(N(F83)&gt;0,F83,1))</f>
        <v/>
      </c>
      <c r="O83">
        <f>IF(OR(B83="",N(L83)=0),"",IFERROR(MATCH(D83,Settings!$B$6:$B$17,0),13)*1000+ROW())</f>
        <v/>
      </c>
    </row>
    <row r="84">
      <c r="A84" s="1" t="n"/>
      <c r="B84" s="32" t="n"/>
      <c r="C84" s="31" t="n"/>
      <c r="D84" s="33" t="n"/>
      <c r="E84" s="33" t="n"/>
      <c r="F84" s="31" t="n"/>
      <c r="G84" s="36" t="n"/>
      <c r="H84" s="31" t="n"/>
      <c r="I84" s="34" t="n"/>
      <c r="J84" s="35">
        <f>IF(B84="","",ROUND(SUMIFS(Ingredients!$G$6:$G$1005,Ingredients!$C$6:$C$1005,B84),2))</f>
        <v/>
      </c>
      <c r="K84" s="35">
        <f>IF(B84="","",MAX(0,ROUND(J84-N(H84),2)))</f>
        <v/>
      </c>
      <c r="L84" s="30">
        <f>IF(B84="","",IF(N(K84)=0,0,ROUNDUP(ROUND(K84/IF(N(F84)&gt;0,F84,1),6),0))+N(I84))</f>
        <v/>
      </c>
      <c r="M84" s="25">
        <f>IF(B84="","",L84*N(G84))</f>
        <v/>
      </c>
      <c r="N84" s="1">
        <f>IF(B84="","",N(G84)/IF(N(F84)&gt;0,F84,1))</f>
        <v/>
      </c>
      <c r="O84">
        <f>IF(OR(B84="",N(L84)=0),"",IFERROR(MATCH(D84,Settings!$B$6:$B$17,0),13)*1000+ROW())</f>
        <v/>
      </c>
    </row>
    <row r="85">
      <c r="A85" s="1" t="n"/>
      <c r="B85" s="32" t="n"/>
      <c r="C85" s="31" t="n"/>
      <c r="D85" s="33" t="n"/>
      <c r="E85" s="33" t="n"/>
      <c r="F85" s="31" t="n"/>
      <c r="G85" s="36" t="n"/>
      <c r="H85" s="31" t="n"/>
      <c r="I85" s="34" t="n"/>
      <c r="J85" s="35">
        <f>IF(B85="","",ROUND(SUMIFS(Ingredients!$G$6:$G$1005,Ingredients!$C$6:$C$1005,B85),2))</f>
        <v/>
      </c>
      <c r="K85" s="35">
        <f>IF(B85="","",MAX(0,ROUND(J85-N(H85),2)))</f>
        <v/>
      </c>
      <c r="L85" s="30">
        <f>IF(B85="","",IF(N(K85)=0,0,ROUNDUP(ROUND(K85/IF(N(F85)&gt;0,F85,1),6),0))+N(I85))</f>
        <v/>
      </c>
      <c r="M85" s="25">
        <f>IF(B85="","",L85*N(G85))</f>
        <v/>
      </c>
      <c r="N85" s="1">
        <f>IF(B85="","",N(G85)/IF(N(F85)&gt;0,F85,1))</f>
        <v/>
      </c>
      <c r="O85">
        <f>IF(OR(B85="",N(L85)=0),"",IFERROR(MATCH(D85,Settings!$B$6:$B$17,0),13)*1000+ROW())</f>
        <v/>
      </c>
    </row>
    <row r="86">
      <c r="A86" s="1" t="n"/>
      <c r="B86" s="32" t="n"/>
      <c r="C86" s="31" t="n"/>
      <c r="D86" s="33" t="n"/>
      <c r="E86" s="33" t="n"/>
      <c r="F86" s="31" t="n"/>
      <c r="G86" s="36" t="n"/>
      <c r="H86" s="31" t="n"/>
      <c r="I86" s="34" t="n"/>
      <c r="J86" s="35">
        <f>IF(B86="","",ROUND(SUMIFS(Ingredients!$G$6:$G$1005,Ingredients!$C$6:$C$1005,B86),2))</f>
        <v/>
      </c>
      <c r="K86" s="35">
        <f>IF(B86="","",MAX(0,ROUND(J86-N(H86),2)))</f>
        <v/>
      </c>
      <c r="L86" s="30">
        <f>IF(B86="","",IF(N(K86)=0,0,ROUNDUP(ROUND(K86/IF(N(F86)&gt;0,F86,1),6),0))+N(I86))</f>
        <v/>
      </c>
      <c r="M86" s="25">
        <f>IF(B86="","",L86*N(G86))</f>
        <v/>
      </c>
      <c r="N86" s="1">
        <f>IF(B86="","",N(G86)/IF(N(F86)&gt;0,F86,1))</f>
        <v/>
      </c>
      <c r="O86">
        <f>IF(OR(B86="",N(L86)=0),"",IFERROR(MATCH(D86,Settings!$B$6:$B$17,0),13)*1000+ROW())</f>
        <v/>
      </c>
    </row>
    <row r="87">
      <c r="A87" s="1" t="n"/>
      <c r="B87" s="32" t="n"/>
      <c r="C87" s="31" t="n"/>
      <c r="D87" s="33" t="n"/>
      <c r="E87" s="33" t="n"/>
      <c r="F87" s="31" t="n"/>
      <c r="G87" s="36" t="n"/>
      <c r="H87" s="31" t="n"/>
      <c r="I87" s="34" t="n"/>
      <c r="J87" s="35">
        <f>IF(B87="","",ROUND(SUMIFS(Ingredients!$G$6:$G$1005,Ingredients!$C$6:$C$1005,B87),2))</f>
        <v/>
      </c>
      <c r="K87" s="35">
        <f>IF(B87="","",MAX(0,ROUND(J87-N(H87),2)))</f>
        <v/>
      </c>
      <c r="L87" s="30">
        <f>IF(B87="","",IF(N(K87)=0,0,ROUNDUP(ROUND(K87/IF(N(F87)&gt;0,F87,1),6),0))+N(I87))</f>
        <v/>
      </c>
      <c r="M87" s="25">
        <f>IF(B87="","",L87*N(G87))</f>
        <v/>
      </c>
      <c r="N87" s="1">
        <f>IF(B87="","",N(G87)/IF(N(F87)&gt;0,F87,1))</f>
        <v/>
      </c>
      <c r="O87">
        <f>IF(OR(B87="",N(L87)=0),"",IFERROR(MATCH(D87,Settings!$B$6:$B$17,0),13)*1000+ROW())</f>
        <v/>
      </c>
    </row>
    <row r="88">
      <c r="A88" s="1" t="n"/>
      <c r="B88" s="32" t="n"/>
      <c r="C88" s="31" t="n"/>
      <c r="D88" s="33" t="n"/>
      <c r="E88" s="33" t="n"/>
      <c r="F88" s="31" t="n"/>
      <c r="G88" s="36" t="n"/>
      <c r="H88" s="31" t="n"/>
      <c r="I88" s="34" t="n"/>
      <c r="J88" s="35">
        <f>IF(B88="","",ROUND(SUMIFS(Ingredients!$G$6:$G$1005,Ingredients!$C$6:$C$1005,B88),2))</f>
        <v/>
      </c>
      <c r="K88" s="35">
        <f>IF(B88="","",MAX(0,ROUND(J88-N(H88),2)))</f>
        <v/>
      </c>
      <c r="L88" s="30">
        <f>IF(B88="","",IF(N(K88)=0,0,ROUNDUP(ROUND(K88/IF(N(F88)&gt;0,F88,1),6),0))+N(I88))</f>
        <v/>
      </c>
      <c r="M88" s="25">
        <f>IF(B88="","",L88*N(G88))</f>
        <v/>
      </c>
      <c r="N88" s="1">
        <f>IF(B88="","",N(G88)/IF(N(F88)&gt;0,F88,1))</f>
        <v/>
      </c>
      <c r="O88">
        <f>IF(OR(B88="",N(L88)=0),"",IFERROR(MATCH(D88,Settings!$B$6:$B$17,0),13)*1000+ROW())</f>
        <v/>
      </c>
    </row>
    <row r="89">
      <c r="A89" s="1" t="n"/>
      <c r="B89" s="32" t="n"/>
      <c r="C89" s="31" t="n"/>
      <c r="D89" s="33" t="n"/>
      <c r="E89" s="33" t="n"/>
      <c r="F89" s="31" t="n"/>
      <c r="G89" s="36" t="n"/>
      <c r="H89" s="31" t="n"/>
      <c r="I89" s="34" t="n"/>
      <c r="J89" s="35">
        <f>IF(B89="","",ROUND(SUMIFS(Ingredients!$G$6:$G$1005,Ingredients!$C$6:$C$1005,B89),2))</f>
        <v/>
      </c>
      <c r="K89" s="35">
        <f>IF(B89="","",MAX(0,ROUND(J89-N(H89),2)))</f>
        <v/>
      </c>
      <c r="L89" s="30">
        <f>IF(B89="","",IF(N(K89)=0,0,ROUNDUP(ROUND(K89/IF(N(F89)&gt;0,F89,1),6),0))+N(I89))</f>
        <v/>
      </c>
      <c r="M89" s="25">
        <f>IF(B89="","",L89*N(G89))</f>
        <v/>
      </c>
      <c r="N89" s="1">
        <f>IF(B89="","",N(G89)/IF(N(F89)&gt;0,F89,1))</f>
        <v/>
      </c>
      <c r="O89">
        <f>IF(OR(B89="",N(L89)=0),"",IFERROR(MATCH(D89,Settings!$B$6:$B$17,0),13)*1000+ROW())</f>
        <v/>
      </c>
    </row>
    <row r="90">
      <c r="A90" s="1" t="n"/>
      <c r="B90" s="32" t="n"/>
      <c r="C90" s="31" t="n"/>
      <c r="D90" s="33" t="n"/>
      <c r="E90" s="33" t="n"/>
      <c r="F90" s="31" t="n"/>
      <c r="G90" s="36" t="n"/>
      <c r="H90" s="31" t="n"/>
      <c r="I90" s="34" t="n"/>
      <c r="J90" s="35">
        <f>IF(B90="","",ROUND(SUMIFS(Ingredients!$G$6:$G$1005,Ingredients!$C$6:$C$1005,B90),2))</f>
        <v/>
      </c>
      <c r="K90" s="35">
        <f>IF(B90="","",MAX(0,ROUND(J90-N(H90),2)))</f>
        <v/>
      </c>
      <c r="L90" s="30">
        <f>IF(B90="","",IF(N(K90)=0,0,ROUNDUP(ROUND(K90/IF(N(F90)&gt;0,F90,1),6),0))+N(I90))</f>
        <v/>
      </c>
      <c r="M90" s="25">
        <f>IF(B90="","",L90*N(G90))</f>
        <v/>
      </c>
      <c r="N90" s="1">
        <f>IF(B90="","",N(G90)/IF(N(F90)&gt;0,F90,1))</f>
        <v/>
      </c>
      <c r="O90">
        <f>IF(OR(B90="",N(L90)=0),"",IFERROR(MATCH(D90,Settings!$B$6:$B$17,0),13)*1000+ROW())</f>
        <v/>
      </c>
    </row>
    <row r="91">
      <c r="A91" s="1" t="n"/>
      <c r="B91" s="32" t="n"/>
      <c r="C91" s="31" t="n"/>
      <c r="D91" s="33" t="n"/>
      <c r="E91" s="33" t="n"/>
      <c r="F91" s="31" t="n"/>
      <c r="G91" s="36" t="n"/>
      <c r="H91" s="31" t="n"/>
      <c r="I91" s="34" t="n"/>
      <c r="J91" s="35">
        <f>IF(B91="","",ROUND(SUMIFS(Ingredients!$G$6:$G$1005,Ingredients!$C$6:$C$1005,B91),2))</f>
        <v/>
      </c>
      <c r="K91" s="35">
        <f>IF(B91="","",MAX(0,ROUND(J91-N(H91),2)))</f>
        <v/>
      </c>
      <c r="L91" s="30">
        <f>IF(B91="","",IF(N(K91)=0,0,ROUNDUP(ROUND(K91/IF(N(F91)&gt;0,F91,1),6),0))+N(I91))</f>
        <v/>
      </c>
      <c r="M91" s="25">
        <f>IF(B91="","",L91*N(G91))</f>
        <v/>
      </c>
      <c r="N91" s="1">
        <f>IF(B91="","",N(G91)/IF(N(F91)&gt;0,F91,1))</f>
        <v/>
      </c>
      <c r="O91">
        <f>IF(OR(B91="",N(L91)=0),"",IFERROR(MATCH(D91,Settings!$B$6:$B$17,0),13)*1000+ROW())</f>
        <v/>
      </c>
    </row>
    <row r="92">
      <c r="A92" s="1" t="n"/>
      <c r="B92" s="32" t="n"/>
      <c r="C92" s="31" t="n"/>
      <c r="D92" s="33" t="n"/>
      <c r="E92" s="33" t="n"/>
      <c r="F92" s="31" t="n"/>
      <c r="G92" s="36" t="n"/>
      <c r="H92" s="31" t="n"/>
      <c r="I92" s="34" t="n"/>
      <c r="J92" s="35">
        <f>IF(B92="","",ROUND(SUMIFS(Ingredients!$G$6:$G$1005,Ingredients!$C$6:$C$1005,B92),2))</f>
        <v/>
      </c>
      <c r="K92" s="35">
        <f>IF(B92="","",MAX(0,ROUND(J92-N(H92),2)))</f>
        <v/>
      </c>
      <c r="L92" s="30">
        <f>IF(B92="","",IF(N(K92)=0,0,ROUNDUP(ROUND(K92/IF(N(F92)&gt;0,F92,1),6),0))+N(I92))</f>
        <v/>
      </c>
      <c r="M92" s="25">
        <f>IF(B92="","",L92*N(G92))</f>
        <v/>
      </c>
      <c r="N92" s="1">
        <f>IF(B92="","",N(G92)/IF(N(F92)&gt;0,F92,1))</f>
        <v/>
      </c>
      <c r="O92">
        <f>IF(OR(B92="",N(L92)=0),"",IFERROR(MATCH(D92,Settings!$B$6:$B$17,0),13)*1000+ROW())</f>
        <v/>
      </c>
    </row>
    <row r="93">
      <c r="A93" s="1" t="n"/>
      <c r="B93" s="32" t="n"/>
      <c r="C93" s="31" t="n"/>
      <c r="D93" s="33" t="n"/>
      <c r="E93" s="33" t="n"/>
      <c r="F93" s="31" t="n"/>
      <c r="G93" s="36" t="n"/>
      <c r="H93" s="31" t="n"/>
      <c r="I93" s="34" t="n"/>
      <c r="J93" s="35">
        <f>IF(B93="","",ROUND(SUMIFS(Ingredients!$G$6:$G$1005,Ingredients!$C$6:$C$1005,B93),2))</f>
        <v/>
      </c>
      <c r="K93" s="35">
        <f>IF(B93="","",MAX(0,ROUND(J93-N(H93),2)))</f>
        <v/>
      </c>
      <c r="L93" s="30">
        <f>IF(B93="","",IF(N(K93)=0,0,ROUNDUP(ROUND(K93/IF(N(F93)&gt;0,F93,1),6),0))+N(I93))</f>
        <v/>
      </c>
      <c r="M93" s="25">
        <f>IF(B93="","",L93*N(G93))</f>
        <v/>
      </c>
      <c r="N93" s="1">
        <f>IF(B93="","",N(G93)/IF(N(F93)&gt;0,F93,1))</f>
        <v/>
      </c>
      <c r="O93">
        <f>IF(OR(B93="",N(L93)=0),"",IFERROR(MATCH(D93,Settings!$B$6:$B$17,0),13)*1000+ROW())</f>
        <v/>
      </c>
    </row>
    <row r="94">
      <c r="A94" s="1" t="n"/>
      <c r="B94" s="32" t="n"/>
      <c r="C94" s="31" t="n"/>
      <c r="D94" s="33" t="n"/>
      <c r="E94" s="33" t="n"/>
      <c r="F94" s="31" t="n"/>
      <c r="G94" s="36" t="n"/>
      <c r="H94" s="31" t="n"/>
      <c r="I94" s="34" t="n"/>
      <c r="J94" s="35">
        <f>IF(B94="","",ROUND(SUMIFS(Ingredients!$G$6:$G$1005,Ingredients!$C$6:$C$1005,B94),2))</f>
        <v/>
      </c>
      <c r="K94" s="35">
        <f>IF(B94="","",MAX(0,ROUND(J94-N(H94),2)))</f>
        <v/>
      </c>
      <c r="L94" s="30">
        <f>IF(B94="","",IF(N(K94)=0,0,ROUNDUP(ROUND(K94/IF(N(F94)&gt;0,F94,1),6),0))+N(I94))</f>
        <v/>
      </c>
      <c r="M94" s="25">
        <f>IF(B94="","",L94*N(G94))</f>
        <v/>
      </c>
      <c r="N94" s="1">
        <f>IF(B94="","",N(G94)/IF(N(F94)&gt;0,F94,1))</f>
        <v/>
      </c>
      <c r="O94">
        <f>IF(OR(B94="",N(L94)=0),"",IFERROR(MATCH(D94,Settings!$B$6:$B$17,0),13)*1000+ROW())</f>
        <v/>
      </c>
    </row>
    <row r="95">
      <c r="A95" s="1" t="n"/>
      <c r="B95" s="32" t="n"/>
      <c r="C95" s="31" t="n"/>
      <c r="D95" s="33" t="n"/>
      <c r="E95" s="33" t="n"/>
      <c r="F95" s="31" t="n"/>
      <c r="G95" s="36" t="n"/>
      <c r="H95" s="31" t="n"/>
      <c r="I95" s="34" t="n"/>
      <c r="J95" s="35">
        <f>IF(B95="","",ROUND(SUMIFS(Ingredients!$G$6:$G$1005,Ingredients!$C$6:$C$1005,B95),2))</f>
        <v/>
      </c>
      <c r="K95" s="35">
        <f>IF(B95="","",MAX(0,ROUND(J95-N(H95),2)))</f>
        <v/>
      </c>
      <c r="L95" s="30">
        <f>IF(B95="","",IF(N(K95)=0,0,ROUNDUP(ROUND(K95/IF(N(F95)&gt;0,F95,1),6),0))+N(I95))</f>
        <v/>
      </c>
      <c r="M95" s="25">
        <f>IF(B95="","",L95*N(G95))</f>
        <v/>
      </c>
      <c r="N95" s="1">
        <f>IF(B95="","",N(G95)/IF(N(F95)&gt;0,F95,1))</f>
        <v/>
      </c>
      <c r="O95">
        <f>IF(OR(B95="",N(L95)=0),"",IFERROR(MATCH(D95,Settings!$B$6:$B$17,0),13)*1000+ROW())</f>
        <v/>
      </c>
    </row>
    <row r="96">
      <c r="A96" s="1" t="n"/>
      <c r="B96" s="32" t="n"/>
      <c r="C96" s="31" t="n"/>
      <c r="D96" s="33" t="n"/>
      <c r="E96" s="33" t="n"/>
      <c r="F96" s="31" t="n"/>
      <c r="G96" s="36" t="n"/>
      <c r="H96" s="31" t="n"/>
      <c r="I96" s="34" t="n"/>
      <c r="J96" s="35">
        <f>IF(B96="","",ROUND(SUMIFS(Ingredients!$G$6:$G$1005,Ingredients!$C$6:$C$1005,B96),2))</f>
        <v/>
      </c>
      <c r="K96" s="35">
        <f>IF(B96="","",MAX(0,ROUND(J96-N(H96),2)))</f>
        <v/>
      </c>
      <c r="L96" s="30">
        <f>IF(B96="","",IF(N(K96)=0,0,ROUNDUP(ROUND(K96/IF(N(F96)&gt;0,F96,1),6),0))+N(I96))</f>
        <v/>
      </c>
      <c r="M96" s="25">
        <f>IF(B96="","",L96*N(G96))</f>
        <v/>
      </c>
      <c r="N96" s="1">
        <f>IF(B96="","",N(G96)/IF(N(F96)&gt;0,F96,1))</f>
        <v/>
      </c>
      <c r="O96">
        <f>IF(OR(B96="",N(L96)=0),"",IFERROR(MATCH(D96,Settings!$B$6:$B$17,0),13)*1000+ROW())</f>
        <v/>
      </c>
    </row>
    <row r="97">
      <c r="A97" s="1" t="n"/>
      <c r="B97" s="32" t="n"/>
      <c r="C97" s="31" t="n"/>
      <c r="D97" s="33" t="n"/>
      <c r="E97" s="33" t="n"/>
      <c r="F97" s="31" t="n"/>
      <c r="G97" s="36" t="n"/>
      <c r="H97" s="31" t="n"/>
      <c r="I97" s="34" t="n"/>
      <c r="J97" s="35">
        <f>IF(B97="","",ROUND(SUMIFS(Ingredients!$G$6:$G$1005,Ingredients!$C$6:$C$1005,B97),2))</f>
        <v/>
      </c>
      <c r="K97" s="35">
        <f>IF(B97="","",MAX(0,ROUND(J97-N(H97),2)))</f>
        <v/>
      </c>
      <c r="L97" s="30">
        <f>IF(B97="","",IF(N(K97)=0,0,ROUNDUP(ROUND(K97/IF(N(F97)&gt;0,F97,1),6),0))+N(I97))</f>
        <v/>
      </c>
      <c r="M97" s="25">
        <f>IF(B97="","",L97*N(G97))</f>
        <v/>
      </c>
      <c r="N97" s="1">
        <f>IF(B97="","",N(G97)/IF(N(F97)&gt;0,F97,1))</f>
        <v/>
      </c>
      <c r="O97">
        <f>IF(OR(B97="",N(L97)=0),"",IFERROR(MATCH(D97,Settings!$B$6:$B$17,0),13)*1000+ROW())</f>
        <v/>
      </c>
    </row>
    <row r="98">
      <c r="A98" s="1" t="n"/>
      <c r="B98" s="32" t="n"/>
      <c r="C98" s="31" t="n"/>
      <c r="D98" s="33" t="n"/>
      <c r="E98" s="33" t="n"/>
      <c r="F98" s="31" t="n"/>
      <c r="G98" s="36" t="n"/>
      <c r="H98" s="31" t="n"/>
      <c r="I98" s="34" t="n"/>
      <c r="J98" s="35">
        <f>IF(B98="","",ROUND(SUMIFS(Ingredients!$G$6:$G$1005,Ingredients!$C$6:$C$1005,B98),2))</f>
        <v/>
      </c>
      <c r="K98" s="35">
        <f>IF(B98="","",MAX(0,ROUND(J98-N(H98),2)))</f>
        <v/>
      </c>
      <c r="L98" s="30">
        <f>IF(B98="","",IF(N(K98)=0,0,ROUNDUP(ROUND(K98/IF(N(F98)&gt;0,F98,1),6),0))+N(I98))</f>
        <v/>
      </c>
      <c r="M98" s="25">
        <f>IF(B98="","",L98*N(G98))</f>
        <v/>
      </c>
      <c r="N98" s="1">
        <f>IF(B98="","",N(G98)/IF(N(F98)&gt;0,F98,1))</f>
        <v/>
      </c>
      <c r="O98">
        <f>IF(OR(B98="",N(L98)=0),"",IFERROR(MATCH(D98,Settings!$B$6:$B$17,0),13)*1000+ROW())</f>
        <v/>
      </c>
    </row>
    <row r="99">
      <c r="A99" s="1" t="n"/>
      <c r="B99" s="32" t="n"/>
      <c r="C99" s="31" t="n"/>
      <c r="D99" s="33" t="n"/>
      <c r="E99" s="33" t="n"/>
      <c r="F99" s="31" t="n"/>
      <c r="G99" s="36" t="n"/>
      <c r="H99" s="31" t="n"/>
      <c r="I99" s="34" t="n"/>
      <c r="J99" s="35">
        <f>IF(B99="","",ROUND(SUMIFS(Ingredients!$G$6:$G$1005,Ingredients!$C$6:$C$1005,B99),2))</f>
        <v/>
      </c>
      <c r="K99" s="35">
        <f>IF(B99="","",MAX(0,ROUND(J99-N(H99),2)))</f>
        <v/>
      </c>
      <c r="L99" s="30">
        <f>IF(B99="","",IF(N(K99)=0,0,ROUNDUP(ROUND(K99/IF(N(F99)&gt;0,F99,1),6),0))+N(I99))</f>
        <v/>
      </c>
      <c r="M99" s="25">
        <f>IF(B99="","",L99*N(G99))</f>
        <v/>
      </c>
      <c r="N99" s="1">
        <f>IF(B99="","",N(G99)/IF(N(F99)&gt;0,F99,1))</f>
        <v/>
      </c>
      <c r="O99">
        <f>IF(OR(B99="",N(L99)=0),"",IFERROR(MATCH(D99,Settings!$B$6:$B$17,0),13)*1000+ROW())</f>
        <v/>
      </c>
    </row>
    <row r="100">
      <c r="A100" s="1" t="n"/>
      <c r="B100" s="32" t="n"/>
      <c r="C100" s="31" t="n"/>
      <c r="D100" s="33" t="n"/>
      <c r="E100" s="33" t="n"/>
      <c r="F100" s="31" t="n"/>
      <c r="G100" s="36" t="n"/>
      <c r="H100" s="31" t="n"/>
      <c r="I100" s="34" t="n"/>
      <c r="J100" s="35">
        <f>IF(B100="","",ROUND(SUMIFS(Ingredients!$G$6:$G$1005,Ingredients!$C$6:$C$1005,B100),2))</f>
        <v/>
      </c>
      <c r="K100" s="35">
        <f>IF(B100="","",MAX(0,ROUND(J100-N(H100),2)))</f>
        <v/>
      </c>
      <c r="L100" s="30">
        <f>IF(B100="","",IF(N(K100)=0,0,ROUNDUP(ROUND(K100/IF(N(F100)&gt;0,F100,1),6),0))+N(I100))</f>
        <v/>
      </c>
      <c r="M100" s="25">
        <f>IF(B100="","",L100*N(G100))</f>
        <v/>
      </c>
      <c r="N100" s="1">
        <f>IF(B100="","",N(G100)/IF(N(F100)&gt;0,F100,1))</f>
        <v/>
      </c>
      <c r="O100">
        <f>IF(OR(B100="",N(L100)=0),"",IFERROR(MATCH(D100,Settings!$B$6:$B$17,0),13)*1000+ROW())</f>
        <v/>
      </c>
    </row>
    <row r="101">
      <c r="A101" s="1" t="n"/>
      <c r="B101" s="32" t="n"/>
      <c r="C101" s="31" t="n"/>
      <c r="D101" s="33" t="n"/>
      <c r="E101" s="33" t="n"/>
      <c r="F101" s="31" t="n"/>
      <c r="G101" s="36" t="n"/>
      <c r="H101" s="31" t="n"/>
      <c r="I101" s="34" t="n"/>
      <c r="J101" s="35">
        <f>IF(B101="","",ROUND(SUMIFS(Ingredients!$G$6:$G$1005,Ingredients!$C$6:$C$1005,B101),2))</f>
        <v/>
      </c>
      <c r="K101" s="35">
        <f>IF(B101="","",MAX(0,ROUND(J101-N(H101),2)))</f>
        <v/>
      </c>
      <c r="L101" s="30">
        <f>IF(B101="","",IF(N(K101)=0,0,ROUNDUP(ROUND(K101/IF(N(F101)&gt;0,F101,1),6),0))+N(I101))</f>
        <v/>
      </c>
      <c r="M101" s="25">
        <f>IF(B101="","",L101*N(G101))</f>
        <v/>
      </c>
      <c r="N101" s="1">
        <f>IF(B101="","",N(G101)/IF(N(F101)&gt;0,F101,1))</f>
        <v/>
      </c>
      <c r="O101">
        <f>IF(OR(B101="",N(L101)=0),"",IFERROR(MATCH(D101,Settings!$B$6:$B$17,0),13)*1000+ROW())</f>
        <v/>
      </c>
    </row>
    <row r="102">
      <c r="A102" s="1" t="n"/>
      <c r="B102" s="32" t="n"/>
      <c r="C102" s="31" t="n"/>
      <c r="D102" s="33" t="n"/>
      <c r="E102" s="33" t="n"/>
      <c r="F102" s="31" t="n"/>
      <c r="G102" s="36" t="n"/>
      <c r="H102" s="31" t="n"/>
      <c r="I102" s="34" t="n"/>
      <c r="J102" s="35">
        <f>IF(B102="","",ROUND(SUMIFS(Ingredients!$G$6:$G$1005,Ingredients!$C$6:$C$1005,B102),2))</f>
        <v/>
      </c>
      <c r="K102" s="35">
        <f>IF(B102="","",MAX(0,ROUND(J102-N(H102),2)))</f>
        <v/>
      </c>
      <c r="L102" s="30">
        <f>IF(B102="","",IF(N(K102)=0,0,ROUNDUP(ROUND(K102/IF(N(F102)&gt;0,F102,1),6),0))+N(I102))</f>
        <v/>
      </c>
      <c r="M102" s="25">
        <f>IF(B102="","",L102*N(G102))</f>
        <v/>
      </c>
      <c r="N102" s="1">
        <f>IF(B102="","",N(G102)/IF(N(F102)&gt;0,F102,1))</f>
        <v/>
      </c>
      <c r="O102">
        <f>IF(OR(B102="",N(L102)=0),"",IFERROR(MATCH(D102,Settings!$B$6:$B$17,0),13)*1000+ROW())</f>
        <v/>
      </c>
    </row>
    <row r="103">
      <c r="A103" s="1" t="n"/>
      <c r="B103" s="32" t="n"/>
      <c r="C103" s="31" t="n"/>
      <c r="D103" s="33" t="n"/>
      <c r="E103" s="33" t="n"/>
      <c r="F103" s="31" t="n"/>
      <c r="G103" s="36" t="n"/>
      <c r="H103" s="31" t="n"/>
      <c r="I103" s="34" t="n"/>
      <c r="J103" s="35">
        <f>IF(B103="","",ROUND(SUMIFS(Ingredients!$G$6:$G$1005,Ingredients!$C$6:$C$1005,B103),2))</f>
        <v/>
      </c>
      <c r="K103" s="35">
        <f>IF(B103="","",MAX(0,ROUND(J103-N(H103),2)))</f>
        <v/>
      </c>
      <c r="L103" s="30">
        <f>IF(B103="","",IF(N(K103)=0,0,ROUNDUP(ROUND(K103/IF(N(F103)&gt;0,F103,1),6),0))+N(I103))</f>
        <v/>
      </c>
      <c r="M103" s="25">
        <f>IF(B103="","",L103*N(G103))</f>
        <v/>
      </c>
      <c r="N103" s="1">
        <f>IF(B103="","",N(G103)/IF(N(F103)&gt;0,F103,1))</f>
        <v/>
      </c>
      <c r="O103">
        <f>IF(OR(B103="",N(L103)=0),"",IFERROR(MATCH(D103,Settings!$B$6:$B$17,0),13)*1000+ROW())</f>
        <v/>
      </c>
    </row>
    <row r="104">
      <c r="A104" s="1" t="n"/>
      <c r="B104" s="32" t="n"/>
      <c r="C104" s="31" t="n"/>
      <c r="D104" s="33" t="n"/>
      <c r="E104" s="33" t="n"/>
      <c r="F104" s="31" t="n"/>
      <c r="G104" s="36" t="n"/>
      <c r="H104" s="31" t="n"/>
      <c r="I104" s="34" t="n"/>
      <c r="J104" s="35">
        <f>IF(B104="","",ROUND(SUMIFS(Ingredients!$G$6:$G$1005,Ingredients!$C$6:$C$1005,B104),2))</f>
        <v/>
      </c>
      <c r="K104" s="35">
        <f>IF(B104="","",MAX(0,ROUND(J104-N(H104),2)))</f>
        <v/>
      </c>
      <c r="L104" s="30">
        <f>IF(B104="","",IF(N(K104)=0,0,ROUNDUP(ROUND(K104/IF(N(F104)&gt;0,F104,1),6),0))+N(I104))</f>
        <v/>
      </c>
      <c r="M104" s="25">
        <f>IF(B104="","",L104*N(G104))</f>
        <v/>
      </c>
      <c r="N104" s="1">
        <f>IF(B104="","",N(G104)/IF(N(F104)&gt;0,F104,1))</f>
        <v/>
      </c>
      <c r="O104">
        <f>IF(OR(B104="",N(L104)=0),"",IFERROR(MATCH(D104,Settings!$B$6:$B$17,0),13)*1000+ROW())</f>
        <v/>
      </c>
    </row>
    <row r="105">
      <c r="A105" s="1" t="n"/>
      <c r="B105" s="32" t="n"/>
      <c r="C105" s="31" t="n"/>
      <c r="D105" s="33" t="n"/>
      <c r="E105" s="33" t="n"/>
      <c r="F105" s="31" t="n"/>
      <c r="G105" s="36" t="n"/>
      <c r="H105" s="31" t="n"/>
      <c r="I105" s="34" t="n"/>
      <c r="J105" s="35">
        <f>IF(B105="","",ROUND(SUMIFS(Ingredients!$G$6:$G$1005,Ingredients!$C$6:$C$1005,B105),2))</f>
        <v/>
      </c>
      <c r="K105" s="35">
        <f>IF(B105="","",MAX(0,ROUND(J105-N(H105),2)))</f>
        <v/>
      </c>
      <c r="L105" s="30">
        <f>IF(B105="","",IF(N(K105)=0,0,ROUNDUP(ROUND(K105/IF(N(F105)&gt;0,F105,1),6),0))+N(I105))</f>
        <v/>
      </c>
      <c r="M105" s="25">
        <f>IF(B105="","",L105*N(G105))</f>
        <v/>
      </c>
      <c r="N105" s="1">
        <f>IF(B105="","",N(G105)/IF(N(F105)&gt;0,F105,1))</f>
        <v/>
      </c>
      <c r="O105">
        <f>IF(OR(B105="",N(L105)=0),"",IFERROR(MATCH(D105,Settings!$B$6:$B$17,0),13)*1000+ROW())</f>
        <v/>
      </c>
    </row>
    <row r="106">
      <c r="A106" s="1" t="n"/>
      <c r="B106" s="32" t="n"/>
      <c r="C106" s="31" t="n"/>
      <c r="D106" s="33" t="n"/>
      <c r="E106" s="33" t="n"/>
      <c r="F106" s="31" t="n"/>
      <c r="G106" s="36" t="n"/>
      <c r="H106" s="31" t="n"/>
      <c r="I106" s="34" t="n"/>
      <c r="J106" s="35">
        <f>IF(B106="","",ROUND(SUMIFS(Ingredients!$G$6:$G$1005,Ingredients!$C$6:$C$1005,B106),2))</f>
        <v/>
      </c>
      <c r="K106" s="35">
        <f>IF(B106="","",MAX(0,ROUND(J106-N(H106),2)))</f>
        <v/>
      </c>
      <c r="L106" s="30">
        <f>IF(B106="","",IF(N(K106)=0,0,ROUNDUP(ROUND(K106/IF(N(F106)&gt;0,F106,1),6),0))+N(I106))</f>
        <v/>
      </c>
      <c r="M106" s="25">
        <f>IF(B106="","",L106*N(G106))</f>
        <v/>
      </c>
      <c r="N106" s="1">
        <f>IF(B106="","",N(G106)/IF(N(F106)&gt;0,F106,1))</f>
        <v/>
      </c>
      <c r="O106">
        <f>IF(OR(B106="",N(L106)=0),"",IFERROR(MATCH(D106,Settings!$B$6:$B$17,0),13)*1000+ROW())</f>
        <v/>
      </c>
    </row>
    <row r="107">
      <c r="A107" s="1" t="n"/>
      <c r="B107" s="32" t="n"/>
      <c r="C107" s="31" t="n"/>
      <c r="D107" s="33" t="n"/>
      <c r="E107" s="33" t="n"/>
      <c r="F107" s="31" t="n"/>
      <c r="G107" s="36" t="n"/>
      <c r="H107" s="31" t="n"/>
      <c r="I107" s="34" t="n"/>
      <c r="J107" s="35">
        <f>IF(B107="","",ROUND(SUMIFS(Ingredients!$G$6:$G$1005,Ingredients!$C$6:$C$1005,B107),2))</f>
        <v/>
      </c>
      <c r="K107" s="35">
        <f>IF(B107="","",MAX(0,ROUND(J107-N(H107),2)))</f>
        <v/>
      </c>
      <c r="L107" s="30">
        <f>IF(B107="","",IF(N(K107)=0,0,ROUNDUP(ROUND(K107/IF(N(F107)&gt;0,F107,1),6),0))+N(I107))</f>
        <v/>
      </c>
      <c r="M107" s="25">
        <f>IF(B107="","",L107*N(G107))</f>
        <v/>
      </c>
      <c r="N107" s="1">
        <f>IF(B107="","",N(G107)/IF(N(F107)&gt;0,F107,1))</f>
        <v/>
      </c>
      <c r="O107">
        <f>IF(OR(B107="",N(L107)=0),"",IFERROR(MATCH(D107,Settings!$B$6:$B$17,0),13)*1000+ROW())</f>
        <v/>
      </c>
    </row>
    <row r="108">
      <c r="A108" s="1" t="n"/>
      <c r="B108" s="32" t="n"/>
      <c r="C108" s="31" t="n"/>
      <c r="D108" s="33" t="n"/>
      <c r="E108" s="33" t="n"/>
      <c r="F108" s="31" t="n"/>
      <c r="G108" s="36" t="n"/>
      <c r="H108" s="31" t="n"/>
      <c r="I108" s="34" t="n"/>
      <c r="J108" s="35">
        <f>IF(B108="","",ROUND(SUMIFS(Ingredients!$G$6:$G$1005,Ingredients!$C$6:$C$1005,B108),2))</f>
        <v/>
      </c>
      <c r="K108" s="35">
        <f>IF(B108="","",MAX(0,ROUND(J108-N(H108),2)))</f>
        <v/>
      </c>
      <c r="L108" s="30">
        <f>IF(B108="","",IF(N(K108)=0,0,ROUNDUP(ROUND(K108/IF(N(F108)&gt;0,F108,1),6),0))+N(I108))</f>
        <v/>
      </c>
      <c r="M108" s="25">
        <f>IF(B108="","",L108*N(G108))</f>
        <v/>
      </c>
      <c r="N108" s="1">
        <f>IF(B108="","",N(G108)/IF(N(F108)&gt;0,F108,1))</f>
        <v/>
      </c>
      <c r="O108">
        <f>IF(OR(B108="",N(L108)=0),"",IFERROR(MATCH(D108,Settings!$B$6:$B$17,0),13)*1000+ROW())</f>
        <v/>
      </c>
    </row>
    <row r="109">
      <c r="A109" s="1" t="n"/>
      <c r="B109" s="32" t="n"/>
      <c r="C109" s="31" t="n"/>
      <c r="D109" s="33" t="n"/>
      <c r="E109" s="33" t="n"/>
      <c r="F109" s="31" t="n"/>
      <c r="G109" s="36" t="n"/>
      <c r="H109" s="31" t="n"/>
      <c r="I109" s="34" t="n"/>
      <c r="J109" s="35">
        <f>IF(B109="","",ROUND(SUMIFS(Ingredients!$G$6:$G$1005,Ingredients!$C$6:$C$1005,B109),2))</f>
        <v/>
      </c>
      <c r="K109" s="35">
        <f>IF(B109="","",MAX(0,ROUND(J109-N(H109),2)))</f>
        <v/>
      </c>
      <c r="L109" s="30">
        <f>IF(B109="","",IF(N(K109)=0,0,ROUNDUP(ROUND(K109/IF(N(F109)&gt;0,F109,1),6),0))+N(I109))</f>
        <v/>
      </c>
      <c r="M109" s="25">
        <f>IF(B109="","",L109*N(G109))</f>
        <v/>
      </c>
      <c r="N109" s="1">
        <f>IF(B109="","",N(G109)/IF(N(F109)&gt;0,F109,1))</f>
        <v/>
      </c>
      <c r="O109">
        <f>IF(OR(B109="",N(L109)=0),"",IFERROR(MATCH(D109,Settings!$B$6:$B$17,0),13)*1000+ROW())</f>
        <v/>
      </c>
    </row>
    <row r="110">
      <c r="A110" s="1" t="n"/>
      <c r="B110" s="32" t="n"/>
      <c r="C110" s="31" t="n"/>
      <c r="D110" s="33" t="n"/>
      <c r="E110" s="33" t="n"/>
      <c r="F110" s="31" t="n"/>
      <c r="G110" s="36" t="n"/>
      <c r="H110" s="31" t="n"/>
      <c r="I110" s="34" t="n"/>
      <c r="J110" s="35">
        <f>IF(B110="","",ROUND(SUMIFS(Ingredients!$G$6:$G$1005,Ingredients!$C$6:$C$1005,B110),2))</f>
        <v/>
      </c>
      <c r="K110" s="35">
        <f>IF(B110="","",MAX(0,ROUND(J110-N(H110),2)))</f>
        <v/>
      </c>
      <c r="L110" s="30">
        <f>IF(B110="","",IF(N(K110)=0,0,ROUNDUP(ROUND(K110/IF(N(F110)&gt;0,F110,1),6),0))+N(I110))</f>
        <v/>
      </c>
      <c r="M110" s="25">
        <f>IF(B110="","",L110*N(G110))</f>
        <v/>
      </c>
      <c r="N110" s="1">
        <f>IF(B110="","",N(G110)/IF(N(F110)&gt;0,F110,1))</f>
        <v/>
      </c>
      <c r="O110">
        <f>IF(OR(B110="",N(L110)=0),"",IFERROR(MATCH(D110,Settings!$B$6:$B$17,0),13)*1000+ROW())</f>
        <v/>
      </c>
    </row>
    <row r="111">
      <c r="A111" s="1" t="n"/>
      <c r="B111" s="32" t="n"/>
      <c r="C111" s="31" t="n"/>
      <c r="D111" s="33" t="n"/>
      <c r="E111" s="33" t="n"/>
      <c r="F111" s="31" t="n"/>
      <c r="G111" s="36" t="n"/>
      <c r="H111" s="31" t="n"/>
      <c r="I111" s="34" t="n"/>
      <c r="J111" s="35">
        <f>IF(B111="","",ROUND(SUMIFS(Ingredients!$G$6:$G$1005,Ingredients!$C$6:$C$1005,B111),2))</f>
        <v/>
      </c>
      <c r="K111" s="35">
        <f>IF(B111="","",MAX(0,ROUND(J111-N(H111),2)))</f>
        <v/>
      </c>
      <c r="L111" s="30">
        <f>IF(B111="","",IF(N(K111)=0,0,ROUNDUP(ROUND(K111/IF(N(F111)&gt;0,F111,1),6),0))+N(I111))</f>
        <v/>
      </c>
      <c r="M111" s="25">
        <f>IF(B111="","",L111*N(G111))</f>
        <v/>
      </c>
      <c r="N111" s="1">
        <f>IF(B111="","",N(G111)/IF(N(F111)&gt;0,F111,1))</f>
        <v/>
      </c>
      <c r="O111">
        <f>IF(OR(B111="",N(L111)=0),"",IFERROR(MATCH(D111,Settings!$B$6:$B$17,0),13)*1000+ROW())</f>
        <v/>
      </c>
    </row>
    <row r="112">
      <c r="A112" s="1" t="n"/>
      <c r="B112" s="32" t="n"/>
      <c r="C112" s="31" t="n"/>
      <c r="D112" s="33" t="n"/>
      <c r="E112" s="33" t="n"/>
      <c r="F112" s="31" t="n"/>
      <c r="G112" s="36" t="n"/>
      <c r="H112" s="31" t="n"/>
      <c r="I112" s="34" t="n"/>
      <c r="J112" s="35">
        <f>IF(B112="","",ROUND(SUMIFS(Ingredients!$G$6:$G$1005,Ingredients!$C$6:$C$1005,B112),2))</f>
        <v/>
      </c>
      <c r="K112" s="35">
        <f>IF(B112="","",MAX(0,ROUND(J112-N(H112),2)))</f>
        <v/>
      </c>
      <c r="L112" s="30">
        <f>IF(B112="","",IF(N(K112)=0,0,ROUNDUP(ROUND(K112/IF(N(F112)&gt;0,F112,1),6),0))+N(I112))</f>
        <v/>
      </c>
      <c r="M112" s="25">
        <f>IF(B112="","",L112*N(G112))</f>
        <v/>
      </c>
      <c r="N112" s="1">
        <f>IF(B112="","",N(G112)/IF(N(F112)&gt;0,F112,1))</f>
        <v/>
      </c>
      <c r="O112">
        <f>IF(OR(B112="",N(L112)=0),"",IFERROR(MATCH(D112,Settings!$B$6:$B$17,0),13)*1000+ROW())</f>
        <v/>
      </c>
    </row>
    <row r="113">
      <c r="A113" s="1" t="n"/>
      <c r="B113" s="32" t="n"/>
      <c r="C113" s="31" t="n"/>
      <c r="D113" s="33" t="n"/>
      <c r="E113" s="33" t="n"/>
      <c r="F113" s="31" t="n"/>
      <c r="G113" s="36" t="n"/>
      <c r="H113" s="31" t="n"/>
      <c r="I113" s="34" t="n"/>
      <c r="J113" s="35">
        <f>IF(B113="","",ROUND(SUMIFS(Ingredients!$G$6:$G$1005,Ingredients!$C$6:$C$1005,B113),2))</f>
        <v/>
      </c>
      <c r="K113" s="35">
        <f>IF(B113="","",MAX(0,ROUND(J113-N(H113),2)))</f>
        <v/>
      </c>
      <c r="L113" s="30">
        <f>IF(B113="","",IF(N(K113)=0,0,ROUNDUP(ROUND(K113/IF(N(F113)&gt;0,F113,1),6),0))+N(I113))</f>
        <v/>
      </c>
      <c r="M113" s="25">
        <f>IF(B113="","",L113*N(G113))</f>
        <v/>
      </c>
      <c r="N113" s="1">
        <f>IF(B113="","",N(G113)/IF(N(F113)&gt;0,F113,1))</f>
        <v/>
      </c>
      <c r="O113">
        <f>IF(OR(B113="",N(L113)=0),"",IFERROR(MATCH(D113,Settings!$B$6:$B$17,0),13)*1000+ROW())</f>
        <v/>
      </c>
    </row>
    <row r="114">
      <c r="A114" s="1" t="n"/>
      <c r="B114" s="32" t="n"/>
      <c r="C114" s="31" t="n"/>
      <c r="D114" s="33" t="n"/>
      <c r="E114" s="33" t="n"/>
      <c r="F114" s="31" t="n"/>
      <c r="G114" s="36" t="n"/>
      <c r="H114" s="31" t="n"/>
      <c r="I114" s="34" t="n"/>
      <c r="J114" s="35">
        <f>IF(B114="","",ROUND(SUMIFS(Ingredients!$G$6:$G$1005,Ingredients!$C$6:$C$1005,B114),2))</f>
        <v/>
      </c>
      <c r="K114" s="35">
        <f>IF(B114="","",MAX(0,ROUND(J114-N(H114),2)))</f>
        <v/>
      </c>
      <c r="L114" s="30">
        <f>IF(B114="","",IF(N(K114)=0,0,ROUNDUP(ROUND(K114/IF(N(F114)&gt;0,F114,1),6),0))+N(I114))</f>
        <v/>
      </c>
      <c r="M114" s="25">
        <f>IF(B114="","",L114*N(G114))</f>
        <v/>
      </c>
      <c r="N114" s="1">
        <f>IF(B114="","",N(G114)/IF(N(F114)&gt;0,F114,1))</f>
        <v/>
      </c>
      <c r="O114">
        <f>IF(OR(B114="",N(L114)=0),"",IFERROR(MATCH(D114,Settings!$B$6:$B$17,0),13)*1000+ROW())</f>
        <v/>
      </c>
    </row>
    <row r="115">
      <c r="A115" s="1" t="n"/>
      <c r="B115" s="32" t="n"/>
      <c r="C115" s="31" t="n"/>
      <c r="D115" s="33" t="n"/>
      <c r="E115" s="33" t="n"/>
      <c r="F115" s="31" t="n"/>
      <c r="G115" s="36" t="n"/>
      <c r="H115" s="31" t="n"/>
      <c r="I115" s="34" t="n"/>
      <c r="J115" s="35">
        <f>IF(B115="","",ROUND(SUMIFS(Ingredients!$G$6:$G$1005,Ingredients!$C$6:$C$1005,B115),2))</f>
        <v/>
      </c>
      <c r="K115" s="35">
        <f>IF(B115="","",MAX(0,ROUND(J115-N(H115),2)))</f>
        <v/>
      </c>
      <c r="L115" s="30">
        <f>IF(B115="","",IF(N(K115)=0,0,ROUNDUP(ROUND(K115/IF(N(F115)&gt;0,F115,1),6),0))+N(I115))</f>
        <v/>
      </c>
      <c r="M115" s="25">
        <f>IF(B115="","",L115*N(G115))</f>
        <v/>
      </c>
      <c r="N115" s="1">
        <f>IF(B115="","",N(G115)/IF(N(F115)&gt;0,F115,1))</f>
        <v/>
      </c>
      <c r="O115">
        <f>IF(OR(B115="",N(L115)=0),"",IFERROR(MATCH(D115,Settings!$B$6:$B$17,0),13)*1000+ROW())</f>
        <v/>
      </c>
    </row>
    <row r="116">
      <c r="A116" s="1" t="n"/>
      <c r="B116" s="32" t="n"/>
      <c r="C116" s="31" t="n"/>
      <c r="D116" s="33" t="n"/>
      <c r="E116" s="33" t="n"/>
      <c r="F116" s="31" t="n"/>
      <c r="G116" s="36" t="n"/>
      <c r="H116" s="31" t="n"/>
      <c r="I116" s="34" t="n"/>
      <c r="J116" s="35">
        <f>IF(B116="","",ROUND(SUMIFS(Ingredients!$G$6:$G$1005,Ingredients!$C$6:$C$1005,B116),2))</f>
        <v/>
      </c>
      <c r="K116" s="35">
        <f>IF(B116="","",MAX(0,ROUND(J116-N(H116),2)))</f>
        <v/>
      </c>
      <c r="L116" s="30">
        <f>IF(B116="","",IF(N(K116)=0,0,ROUNDUP(ROUND(K116/IF(N(F116)&gt;0,F116,1),6),0))+N(I116))</f>
        <v/>
      </c>
      <c r="M116" s="25">
        <f>IF(B116="","",L116*N(G116))</f>
        <v/>
      </c>
      <c r="N116" s="1">
        <f>IF(B116="","",N(G116)/IF(N(F116)&gt;0,F116,1))</f>
        <v/>
      </c>
      <c r="O116">
        <f>IF(OR(B116="",N(L116)=0),"",IFERROR(MATCH(D116,Settings!$B$6:$B$17,0),13)*1000+ROW())</f>
        <v/>
      </c>
    </row>
    <row r="117">
      <c r="A117" s="1" t="n"/>
      <c r="B117" s="32" t="n"/>
      <c r="C117" s="31" t="n"/>
      <c r="D117" s="33" t="n"/>
      <c r="E117" s="33" t="n"/>
      <c r="F117" s="31" t="n"/>
      <c r="G117" s="36" t="n"/>
      <c r="H117" s="31" t="n"/>
      <c r="I117" s="34" t="n"/>
      <c r="J117" s="35">
        <f>IF(B117="","",ROUND(SUMIFS(Ingredients!$G$6:$G$1005,Ingredients!$C$6:$C$1005,B117),2))</f>
        <v/>
      </c>
      <c r="K117" s="35">
        <f>IF(B117="","",MAX(0,ROUND(J117-N(H117),2)))</f>
        <v/>
      </c>
      <c r="L117" s="30">
        <f>IF(B117="","",IF(N(K117)=0,0,ROUNDUP(ROUND(K117/IF(N(F117)&gt;0,F117,1),6),0))+N(I117))</f>
        <v/>
      </c>
      <c r="M117" s="25">
        <f>IF(B117="","",L117*N(G117))</f>
        <v/>
      </c>
      <c r="N117" s="1">
        <f>IF(B117="","",N(G117)/IF(N(F117)&gt;0,F117,1))</f>
        <v/>
      </c>
      <c r="O117">
        <f>IF(OR(B117="",N(L117)=0),"",IFERROR(MATCH(D117,Settings!$B$6:$B$17,0),13)*1000+ROW())</f>
        <v/>
      </c>
    </row>
    <row r="118">
      <c r="A118" s="1" t="n"/>
      <c r="B118" s="32" t="n"/>
      <c r="C118" s="31" t="n"/>
      <c r="D118" s="33" t="n"/>
      <c r="E118" s="33" t="n"/>
      <c r="F118" s="31" t="n"/>
      <c r="G118" s="36" t="n"/>
      <c r="H118" s="31" t="n"/>
      <c r="I118" s="34" t="n"/>
      <c r="J118" s="35">
        <f>IF(B118="","",ROUND(SUMIFS(Ingredients!$G$6:$G$1005,Ingredients!$C$6:$C$1005,B118),2))</f>
        <v/>
      </c>
      <c r="K118" s="35">
        <f>IF(B118="","",MAX(0,ROUND(J118-N(H118),2)))</f>
        <v/>
      </c>
      <c r="L118" s="30">
        <f>IF(B118="","",IF(N(K118)=0,0,ROUNDUP(ROUND(K118/IF(N(F118)&gt;0,F118,1),6),0))+N(I118))</f>
        <v/>
      </c>
      <c r="M118" s="25">
        <f>IF(B118="","",L118*N(G118))</f>
        <v/>
      </c>
      <c r="N118" s="1">
        <f>IF(B118="","",N(G118)/IF(N(F118)&gt;0,F118,1))</f>
        <v/>
      </c>
      <c r="O118">
        <f>IF(OR(B118="",N(L118)=0),"",IFERROR(MATCH(D118,Settings!$B$6:$B$17,0),13)*1000+ROW())</f>
        <v/>
      </c>
    </row>
    <row r="119">
      <c r="A119" s="1" t="n"/>
      <c r="B119" s="32" t="n"/>
      <c r="C119" s="31" t="n"/>
      <c r="D119" s="33" t="n"/>
      <c r="E119" s="33" t="n"/>
      <c r="F119" s="31" t="n"/>
      <c r="G119" s="36" t="n"/>
      <c r="H119" s="31" t="n"/>
      <c r="I119" s="34" t="n"/>
      <c r="J119" s="35">
        <f>IF(B119="","",ROUND(SUMIFS(Ingredients!$G$6:$G$1005,Ingredients!$C$6:$C$1005,B119),2))</f>
        <v/>
      </c>
      <c r="K119" s="35">
        <f>IF(B119="","",MAX(0,ROUND(J119-N(H119),2)))</f>
        <v/>
      </c>
      <c r="L119" s="30">
        <f>IF(B119="","",IF(N(K119)=0,0,ROUNDUP(ROUND(K119/IF(N(F119)&gt;0,F119,1),6),0))+N(I119))</f>
        <v/>
      </c>
      <c r="M119" s="25">
        <f>IF(B119="","",L119*N(G119))</f>
        <v/>
      </c>
      <c r="N119" s="1">
        <f>IF(B119="","",N(G119)/IF(N(F119)&gt;0,F119,1))</f>
        <v/>
      </c>
      <c r="O119">
        <f>IF(OR(B119="",N(L119)=0),"",IFERROR(MATCH(D119,Settings!$B$6:$B$17,0),13)*1000+ROW())</f>
        <v/>
      </c>
    </row>
    <row r="120">
      <c r="A120" s="1" t="n"/>
      <c r="B120" s="32" t="n"/>
      <c r="C120" s="31" t="n"/>
      <c r="D120" s="33" t="n"/>
      <c r="E120" s="33" t="n"/>
      <c r="F120" s="31" t="n"/>
      <c r="G120" s="36" t="n"/>
      <c r="H120" s="31" t="n"/>
      <c r="I120" s="34" t="n"/>
      <c r="J120" s="35">
        <f>IF(B120="","",ROUND(SUMIFS(Ingredients!$G$6:$G$1005,Ingredients!$C$6:$C$1005,B120),2))</f>
        <v/>
      </c>
      <c r="K120" s="35">
        <f>IF(B120="","",MAX(0,ROUND(J120-N(H120),2)))</f>
        <v/>
      </c>
      <c r="L120" s="30">
        <f>IF(B120="","",IF(N(K120)=0,0,ROUNDUP(ROUND(K120/IF(N(F120)&gt;0,F120,1),6),0))+N(I120))</f>
        <v/>
      </c>
      <c r="M120" s="25">
        <f>IF(B120="","",L120*N(G120))</f>
        <v/>
      </c>
      <c r="N120" s="1">
        <f>IF(B120="","",N(G120)/IF(N(F120)&gt;0,F120,1))</f>
        <v/>
      </c>
      <c r="O120">
        <f>IF(OR(B120="",N(L120)=0),"",IFERROR(MATCH(D120,Settings!$B$6:$B$17,0),13)*1000+ROW())</f>
        <v/>
      </c>
    </row>
    <row r="121">
      <c r="A121" s="1" t="n"/>
      <c r="B121" s="32" t="n"/>
      <c r="C121" s="31" t="n"/>
      <c r="D121" s="33" t="n"/>
      <c r="E121" s="33" t="n"/>
      <c r="F121" s="31" t="n"/>
      <c r="G121" s="36" t="n"/>
      <c r="H121" s="31" t="n"/>
      <c r="I121" s="34" t="n"/>
      <c r="J121" s="35">
        <f>IF(B121="","",ROUND(SUMIFS(Ingredients!$G$6:$G$1005,Ingredients!$C$6:$C$1005,B121),2))</f>
        <v/>
      </c>
      <c r="K121" s="35">
        <f>IF(B121="","",MAX(0,ROUND(J121-N(H121),2)))</f>
        <v/>
      </c>
      <c r="L121" s="30">
        <f>IF(B121="","",IF(N(K121)=0,0,ROUNDUP(ROUND(K121/IF(N(F121)&gt;0,F121,1),6),0))+N(I121))</f>
        <v/>
      </c>
      <c r="M121" s="25">
        <f>IF(B121="","",L121*N(G121))</f>
        <v/>
      </c>
      <c r="N121" s="1">
        <f>IF(B121="","",N(G121)/IF(N(F121)&gt;0,F121,1))</f>
        <v/>
      </c>
      <c r="O121">
        <f>IF(OR(B121="",N(L121)=0),"",IFERROR(MATCH(D121,Settings!$B$6:$B$17,0),13)*1000+ROW())</f>
        <v/>
      </c>
    </row>
    <row r="122">
      <c r="A122" s="1" t="n"/>
      <c r="B122" s="32" t="n"/>
      <c r="C122" s="31" t="n"/>
      <c r="D122" s="33" t="n"/>
      <c r="E122" s="33" t="n"/>
      <c r="F122" s="31" t="n"/>
      <c r="G122" s="36" t="n"/>
      <c r="H122" s="31" t="n"/>
      <c r="I122" s="34" t="n"/>
      <c r="J122" s="35">
        <f>IF(B122="","",ROUND(SUMIFS(Ingredients!$G$6:$G$1005,Ingredients!$C$6:$C$1005,B122),2))</f>
        <v/>
      </c>
      <c r="K122" s="35">
        <f>IF(B122="","",MAX(0,ROUND(J122-N(H122),2)))</f>
        <v/>
      </c>
      <c r="L122" s="30">
        <f>IF(B122="","",IF(N(K122)=0,0,ROUNDUP(ROUND(K122/IF(N(F122)&gt;0,F122,1),6),0))+N(I122))</f>
        <v/>
      </c>
      <c r="M122" s="25">
        <f>IF(B122="","",L122*N(G122))</f>
        <v/>
      </c>
      <c r="N122" s="1">
        <f>IF(B122="","",N(G122)/IF(N(F122)&gt;0,F122,1))</f>
        <v/>
      </c>
      <c r="O122">
        <f>IF(OR(B122="",N(L122)=0),"",IFERROR(MATCH(D122,Settings!$B$6:$B$17,0),13)*1000+ROW())</f>
        <v/>
      </c>
    </row>
    <row r="123">
      <c r="A123" s="1" t="n"/>
      <c r="B123" s="32" t="n"/>
      <c r="C123" s="31" t="n"/>
      <c r="D123" s="33" t="n"/>
      <c r="E123" s="33" t="n"/>
      <c r="F123" s="31" t="n"/>
      <c r="G123" s="36" t="n"/>
      <c r="H123" s="31" t="n"/>
      <c r="I123" s="34" t="n"/>
      <c r="J123" s="35">
        <f>IF(B123="","",ROUND(SUMIFS(Ingredients!$G$6:$G$1005,Ingredients!$C$6:$C$1005,B123),2))</f>
        <v/>
      </c>
      <c r="K123" s="35">
        <f>IF(B123="","",MAX(0,ROUND(J123-N(H123),2)))</f>
        <v/>
      </c>
      <c r="L123" s="30">
        <f>IF(B123="","",IF(N(K123)=0,0,ROUNDUP(ROUND(K123/IF(N(F123)&gt;0,F123,1),6),0))+N(I123))</f>
        <v/>
      </c>
      <c r="M123" s="25">
        <f>IF(B123="","",L123*N(G123))</f>
        <v/>
      </c>
      <c r="N123" s="1">
        <f>IF(B123="","",N(G123)/IF(N(F123)&gt;0,F123,1))</f>
        <v/>
      </c>
      <c r="O123">
        <f>IF(OR(B123="",N(L123)=0),"",IFERROR(MATCH(D123,Settings!$B$6:$B$17,0),13)*1000+ROW())</f>
        <v/>
      </c>
    </row>
    <row r="124">
      <c r="A124" s="1" t="n"/>
      <c r="B124" s="32" t="n"/>
      <c r="C124" s="31" t="n"/>
      <c r="D124" s="33" t="n"/>
      <c r="E124" s="33" t="n"/>
      <c r="F124" s="31" t="n"/>
      <c r="G124" s="36" t="n"/>
      <c r="H124" s="31" t="n"/>
      <c r="I124" s="34" t="n"/>
      <c r="J124" s="35">
        <f>IF(B124="","",ROUND(SUMIFS(Ingredients!$G$6:$G$1005,Ingredients!$C$6:$C$1005,B124),2))</f>
        <v/>
      </c>
      <c r="K124" s="35">
        <f>IF(B124="","",MAX(0,ROUND(J124-N(H124),2)))</f>
        <v/>
      </c>
      <c r="L124" s="30">
        <f>IF(B124="","",IF(N(K124)=0,0,ROUNDUP(ROUND(K124/IF(N(F124)&gt;0,F124,1),6),0))+N(I124))</f>
        <v/>
      </c>
      <c r="M124" s="25">
        <f>IF(B124="","",L124*N(G124))</f>
        <v/>
      </c>
      <c r="N124" s="1">
        <f>IF(B124="","",N(G124)/IF(N(F124)&gt;0,F124,1))</f>
        <v/>
      </c>
      <c r="O124">
        <f>IF(OR(B124="",N(L124)=0),"",IFERROR(MATCH(D124,Settings!$B$6:$B$17,0),13)*1000+ROW())</f>
        <v/>
      </c>
    </row>
    <row r="125">
      <c r="A125" s="1" t="n"/>
      <c r="B125" s="32" t="n"/>
      <c r="C125" s="31" t="n"/>
      <c r="D125" s="33" t="n"/>
      <c r="E125" s="33" t="n"/>
      <c r="F125" s="31" t="n"/>
      <c r="G125" s="36" t="n"/>
      <c r="H125" s="31" t="n"/>
      <c r="I125" s="34" t="n"/>
      <c r="J125" s="35">
        <f>IF(B125="","",ROUND(SUMIFS(Ingredients!$G$6:$G$1005,Ingredients!$C$6:$C$1005,B125),2))</f>
        <v/>
      </c>
      <c r="K125" s="35">
        <f>IF(B125="","",MAX(0,ROUND(J125-N(H125),2)))</f>
        <v/>
      </c>
      <c r="L125" s="30">
        <f>IF(B125="","",IF(N(K125)=0,0,ROUNDUP(ROUND(K125/IF(N(F125)&gt;0,F125,1),6),0))+N(I125))</f>
        <v/>
      </c>
      <c r="M125" s="25">
        <f>IF(B125="","",L125*N(G125))</f>
        <v/>
      </c>
      <c r="N125" s="1">
        <f>IF(B125="","",N(G125)/IF(N(F125)&gt;0,F125,1))</f>
        <v/>
      </c>
      <c r="O125">
        <f>IF(OR(B125="",N(L125)=0),"",IFERROR(MATCH(D125,Settings!$B$6:$B$17,0),13)*1000+ROW())</f>
        <v/>
      </c>
    </row>
    <row r="126">
      <c r="A126" s="1" t="n"/>
      <c r="B126" s="32" t="n"/>
      <c r="C126" s="31" t="n"/>
      <c r="D126" s="33" t="n"/>
      <c r="E126" s="33" t="n"/>
      <c r="F126" s="31" t="n"/>
      <c r="G126" s="36" t="n"/>
      <c r="H126" s="31" t="n"/>
      <c r="I126" s="34" t="n"/>
      <c r="J126" s="35">
        <f>IF(B126="","",ROUND(SUMIFS(Ingredients!$G$6:$G$1005,Ingredients!$C$6:$C$1005,B126),2))</f>
        <v/>
      </c>
      <c r="K126" s="35">
        <f>IF(B126="","",MAX(0,ROUND(J126-N(H126),2)))</f>
        <v/>
      </c>
      <c r="L126" s="30">
        <f>IF(B126="","",IF(N(K126)=0,0,ROUNDUP(ROUND(K126/IF(N(F126)&gt;0,F126,1),6),0))+N(I126))</f>
        <v/>
      </c>
      <c r="M126" s="25">
        <f>IF(B126="","",L126*N(G126))</f>
        <v/>
      </c>
      <c r="N126" s="1">
        <f>IF(B126="","",N(G126)/IF(N(F126)&gt;0,F126,1))</f>
        <v/>
      </c>
      <c r="O126">
        <f>IF(OR(B126="",N(L126)=0),"",IFERROR(MATCH(D126,Settings!$B$6:$B$17,0),13)*1000+ROW())</f>
        <v/>
      </c>
    </row>
    <row r="127">
      <c r="A127" s="1" t="n"/>
      <c r="B127" s="32" t="n"/>
      <c r="C127" s="31" t="n"/>
      <c r="D127" s="33" t="n"/>
      <c r="E127" s="33" t="n"/>
      <c r="F127" s="31" t="n"/>
      <c r="G127" s="36" t="n"/>
      <c r="H127" s="31" t="n"/>
      <c r="I127" s="34" t="n"/>
      <c r="J127" s="35">
        <f>IF(B127="","",ROUND(SUMIFS(Ingredients!$G$6:$G$1005,Ingredients!$C$6:$C$1005,B127),2))</f>
        <v/>
      </c>
      <c r="K127" s="35">
        <f>IF(B127="","",MAX(0,ROUND(J127-N(H127),2)))</f>
        <v/>
      </c>
      <c r="L127" s="30">
        <f>IF(B127="","",IF(N(K127)=0,0,ROUNDUP(ROUND(K127/IF(N(F127)&gt;0,F127,1),6),0))+N(I127))</f>
        <v/>
      </c>
      <c r="M127" s="25">
        <f>IF(B127="","",L127*N(G127))</f>
        <v/>
      </c>
      <c r="N127" s="1">
        <f>IF(B127="","",N(G127)/IF(N(F127)&gt;0,F127,1))</f>
        <v/>
      </c>
      <c r="O127">
        <f>IF(OR(B127="",N(L127)=0),"",IFERROR(MATCH(D127,Settings!$B$6:$B$17,0),13)*1000+ROW())</f>
        <v/>
      </c>
    </row>
    <row r="128">
      <c r="A128" s="1" t="n"/>
      <c r="B128" s="32" t="n"/>
      <c r="C128" s="31" t="n"/>
      <c r="D128" s="33" t="n"/>
      <c r="E128" s="33" t="n"/>
      <c r="F128" s="31" t="n"/>
      <c r="G128" s="36" t="n"/>
      <c r="H128" s="31" t="n"/>
      <c r="I128" s="34" t="n"/>
      <c r="J128" s="35">
        <f>IF(B128="","",ROUND(SUMIFS(Ingredients!$G$6:$G$1005,Ingredients!$C$6:$C$1005,B128),2))</f>
        <v/>
      </c>
      <c r="K128" s="35">
        <f>IF(B128="","",MAX(0,ROUND(J128-N(H128),2)))</f>
        <v/>
      </c>
      <c r="L128" s="30">
        <f>IF(B128="","",IF(N(K128)=0,0,ROUNDUP(ROUND(K128/IF(N(F128)&gt;0,F128,1),6),0))+N(I128))</f>
        <v/>
      </c>
      <c r="M128" s="25">
        <f>IF(B128="","",L128*N(G128))</f>
        <v/>
      </c>
      <c r="N128" s="1">
        <f>IF(B128="","",N(G128)/IF(N(F128)&gt;0,F128,1))</f>
        <v/>
      </c>
      <c r="O128">
        <f>IF(OR(B128="",N(L128)=0),"",IFERROR(MATCH(D128,Settings!$B$6:$B$17,0),13)*1000+ROW())</f>
        <v/>
      </c>
    </row>
    <row r="129">
      <c r="A129" s="1" t="n"/>
      <c r="B129" s="32" t="n"/>
      <c r="C129" s="31" t="n"/>
      <c r="D129" s="33" t="n"/>
      <c r="E129" s="33" t="n"/>
      <c r="F129" s="31" t="n"/>
      <c r="G129" s="36" t="n"/>
      <c r="H129" s="31" t="n"/>
      <c r="I129" s="34" t="n"/>
      <c r="J129" s="35">
        <f>IF(B129="","",ROUND(SUMIFS(Ingredients!$G$6:$G$1005,Ingredients!$C$6:$C$1005,B129),2))</f>
        <v/>
      </c>
      <c r="K129" s="35">
        <f>IF(B129="","",MAX(0,ROUND(J129-N(H129),2)))</f>
        <v/>
      </c>
      <c r="L129" s="30">
        <f>IF(B129="","",IF(N(K129)=0,0,ROUNDUP(ROUND(K129/IF(N(F129)&gt;0,F129,1),6),0))+N(I129))</f>
        <v/>
      </c>
      <c r="M129" s="25">
        <f>IF(B129="","",L129*N(G129))</f>
        <v/>
      </c>
      <c r="N129" s="1">
        <f>IF(B129="","",N(G129)/IF(N(F129)&gt;0,F129,1))</f>
        <v/>
      </c>
      <c r="O129">
        <f>IF(OR(B129="",N(L129)=0),"",IFERROR(MATCH(D129,Settings!$B$6:$B$17,0),13)*1000+ROW())</f>
        <v/>
      </c>
    </row>
    <row r="130">
      <c r="A130" s="1" t="n"/>
      <c r="B130" s="32" t="n"/>
      <c r="C130" s="31" t="n"/>
      <c r="D130" s="33" t="n"/>
      <c r="E130" s="33" t="n"/>
      <c r="F130" s="31" t="n"/>
      <c r="G130" s="36" t="n"/>
      <c r="H130" s="31" t="n"/>
      <c r="I130" s="34" t="n"/>
      <c r="J130" s="35">
        <f>IF(B130="","",ROUND(SUMIFS(Ingredients!$G$6:$G$1005,Ingredients!$C$6:$C$1005,B130),2))</f>
        <v/>
      </c>
      <c r="K130" s="35">
        <f>IF(B130="","",MAX(0,ROUND(J130-N(H130),2)))</f>
        <v/>
      </c>
      <c r="L130" s="30">
        <f>IF(B130="","",IF(N(K130)=0,0,ROUNDUP(ROUND(K130/IF(N(F130)&gt;0,F130,1),6),0))+N(I130))</f>
        <v/>
      </c>
      <c r="M130" s="25">
        <f>IF(B130="","",L130*N(G130))</f>
        <v/>
      </c>
      <c r="N130" s="1">
        <f>IF(B130="","",N(G130)/IF(N(F130)&gt;0,F130,1))</f>
        <v/>
      </c>
      <c r="O130">
        <f>IF(OR(B130="",N(L130)=0),"",IFERROR(MATCH(D130,Settings!$B$6:$B$17,0),13)*1000+ROW())</f>
        <v/>
      </c>
    </row>
    <row r="131">
      <c r="A131" s="1" t="n"/>
      <c r="B131" s="32" t="n"/>
      <c r="C131" s="31" t="n"/>
      <c r="D131" s="33" t="n"/>
      <c r="E131" s="33" t="n"/>
      <c r="F131" s="31" t="n"/>
      <c r="G131" s="36" t="n"/>
      <c r="H131" s="31" t="n"/>
      <c r="I131" s="34" t="n"/>
      <c r="J131" s="35">
        <f>IF(B131="","",ROUND(SUMIFS(Ingredients!$G$6:$G$1005,Ingredients!$C$6:$C$1005,B131),2))</f>
        <v/>
      </c>
      <c r="K131" s="35">
        <f>IF(B131="","",MAX(0,ROUND(J131-N(H131),2)))</f>
        <v/>
      </c>
      <c r="L131" s="30">
        <f>IF(B131="","",IF(N(K131)=0,0,ROUNDUP(ROUND(K131/IF(N(F131)&gt;0,F131,1),6),0))+N(I131))</f>
        <v/>
      </c>
      <c r="M131" s="25">
        <f>IF(B131="","",L131*N(G131))</f>
        <v/>
      </c>
      <c r="N131" s="1">
        <f>IF(B131="","",N(G131)/IF(N(F131)&gt;0,F131,1))</f>
        <v/>
      </c>
      <c r="O131">
        <f>IF(OR(B131="",N(L131)=0),"",IFERROR(MATCH(D131,Settings!$B$6:$B$17,0),13)*1000+ROW())</f>
        <v/>
      </c>
    </row>
    <row r="132">
      <c r="A132" s="1" t="n"/>
      <c r="B132" s="32" t="n"/>
      <c r="C132" s="31" t="n"/>
      <c r="D132" s="33" t="n"/>
      <c r="E132" s="33" t="n"/>
      <c r="F132" s="31" t="n"/>
      <c r="G132" s="36" t="n"/>
      <c r="H132" s="31" t="n"/>
      <c r="I132" s="34" t="n"/>
      <c r="J132" s="35">
        <f>IF(B132="","",ROUND(SUMIFS(Ingredients!$G$6:$G$1005,Ingredients!$C$6:$C$1005,B132),2))</f>
        <v/>
      </c>
      <c r="K132" s="35">
        <f>IF(B132="","",MAX(0,ROUND(J132-N(H132),2)))</f>
        <v/>
      </c>
      <c r="L132" s="30">
        <f>IF(B132="","",IF(N(K132)=0,0,ROUNDUP(ROUND(K132/IF(N(F132)&gt;0,F132,1),6),0))+N(I132))</f>
        <v/>
      </c>
      <c r="M132" s="25">
        <f>IF(B132="","",L132*N(G132))</f>
        <v/>
      </c>
      <c r="N132" s="1">
        <f>IF(B132="","",N(G132)/IF(N(F132)&gt;0,F132,1))</f>
        <v/>
      </c>
      <c r="O132">
        <f>IF(OR(B132="",N(L132)=0),"",IFERROR(MATCH(D132,Settings!$B$6:$B$17,0),13)*1000+ROW())</f>
        <v/>
      </c>
    </row>
    <row r="133">
      <c r="A133" s="1" t="n"/>
      <c r="B133" s="32" t="n"/>
      <c r="C133" s="31" t="n"/>
      <c r="D133" s="33" t="n"/>
      <c r="E133" s="33" t="n"/>
      <c r="F133" s="31" t="n"/>
      <c r="G133" s="36" t="n"/>
      <c r="H133" s="31" t="n"/>
      <c r="I133" s="34" t="n"/>
      <c r="J133" s="35">
        <f>IF(B133="","",ROUND(SUMIFS(Ingredients!$G$6:$G$1005,Ingredients!$C$6:$C$1005,B133),2))</f>
        <v/>
      </c>
      <c r="K133" s="35">
        <f>IF(B133="","",MAX(0,ROUND(J133-N(H133),2)))</f>
        <v/>
      </c>
      <c r="L133" s="30">
        <f>IF(B133="","",IF(N(K133)=0,0,ROUNDUP(ROUND(K133/IF(N(F133)&gt;0,F133,1),6),0))+N(I133))</f>
        <v/>
      </c>
      <c r="M133" s="25">
        <f>IF(B133="","",L133*N(G133))</f>
        <v/>
      </c>
      <c r="N133" s="1">
        <f>IF(B133="","",N(G133)/IF(N(F133)&gt;0,F133,1))</f>
        <v/>
      </c>
      <c r="O133">
        <f>IF(OR(B133="",N(L133)=0),"",IFERROR(MATCH(D133,Settings!$B$6:$B$17,0),13)*1000+ROW())</f>
        <v/>
      </c>
    </row>
    <row r="134">
      <c r="A134" s="1" t="n"/>
      <c r="B134" s="32" t="n"/>
      <c r="C134" s="31" t="n"/>
      <c r="D134" s="33" t="n"/>
      <c r="E134" s="33" t="n"/>
      <c r="F134" s="31" t="n"/>
      <c r="G134" s="36" t="n"/>
      <c r="H134" s="31" t="n"/>
      <c r="I134" s="34" t="n"/>
      <c r="J134" s="35">
        <f>IF(B134="","",ROUND(SUMIFS(Ingredients!$G$6:$G$1005,Ingredients!$C$6:$C$1005,B134),2))</f>
        <v/>
      </c>
      <c r="K134" s="35">
        <f>IF(B134="","",MAX(0,ROUND(J134-N(H134),2)))</f>
        <v/>
      </c>
      <c r="L134" s="30">
        <f>IF(B134="","",IF(N(K134)=0,0,ROUNDUP(ROUND(K134/IF(N(F134)&gt;0,F134,1),6),0))+N(I134))</f>
        <v/>
      </c>
      <c r="M134" s="25">
        <f>IF(B134="","",L134*N(G134))</f>
        <v/>
      </c>
      <c r="N134" s="1">
        <f>IF(B134="","",N(G134)/IF(N(F134)&gt;0,F134,1))</f>
        <v/>
      </c>
      <c r="O134">
        <f>IF(OR(B134="",N(L134)=0),"",IFERROR(MATCH(D134,Settings!$B$6:$B$17,0),13)*1000+ROW())</f>
        <v/>
      </c>
    </row>
    <row r="135">
      <c r="A135" s="1" t="n"/>
      <c r="B135" s="32" t="n"/>
      <c r="C135" s="31" t="n"/>
      <c r="D135" s="33" t="n"/>
      <c r="E135" s="33" t="n"/>
      <c r="F135" s="31" t="n"/>
      <c r="G135" s="36" t="n"/>
      <c r="H135" s="31" t="n"/>
      <c r="I135" s="34" t="n"/>
      <c r="J135" s="35">
        <f>IF(B135="","",ROUND(SUMIFS(Ingredients!$G$6:$G$1005,Ingredients!$C$6:$C$1005,B135),2))</f>
        <v/>
      </c>
      <c r="K135" s="35">
        <f>IF(B135="","",MAX(0,ROUND(J135-N(H135),2)))</f>
        <v/>
      </c>
      <c r="L135" s="30">
        <f>IF(B135="","",IF(N(K135)=0,0,ROUNDUP(ROUND(K135/IF(N(F135)&gt;0,F135,1),6),0))+N(I135))</f>
        <v/>
      </c>
      <c r="M135" s="25">
        <f>IF(B135="","",L135*N(G135))</f>
        <v/>
      </c>
      <c r="N135" s="1">
        <f>IF(B135="","",N(G135)/IF(N(F135)&gt;0,F135,1))</f>
        <v/>
      </c>
      <c r="O135">
        <f>IF(OR(B135="",N(L135)=0),"",IFERROR(MATCH(D135,Settings!$B$6:$B$17,0),13)*1000+ROW())</f>
        <v/>
      </c>
    </row>
    <row r="136">
      <c r="A136" s="1" t="n"/>
      <c r="B136" s="32" t="n"/>
      <c r="C136" s="31" t="n"/>
      <c r="D136" s="33" t="n"/>
      <c r="E136" s="33" t="n"/>
      <c r="F136" s="31" t="n"/>
      <c r="G136" s="36" t="n"/>
      <c r="H136" s="31" t="n"/>
      <c r="I136" s="34" t="n"/>
      <c r="J136" s="35">
        <f>IF(B136="","",ROUND(SUMIFS(Ingredients!$G$6:$G$1005,Ingredients!$C$6:$C$1005,B136),2))</f>
        <v/>
      </c>
      <c r="K136" s="35">
        <f>IF(B136="","",MAX(0,ROUND(J136-N(H136),2)))</f>
        <v/>
      </c>
      <c r="L136" s="30">
        <f>IF(B136="","",IF(N(K136)=0,0,ROUNDUP(ROUND(K136/IF(N(F136)&gt;0,F136,1),6),0))+N(I136))</f>
        <v/>
      </c>
      <c r="M136" s="25">
        <f>IF(B136="","",L136*N(G136))</f>
        <v/>
      </c>
      <c r="N136" s="1">
        <f>IF(B136="","",N(G136)/IF(N(F136)&gt;0,F136,1))</f>
        <v/>
      </c>
      <c r="O136">
        <f>IF(OR(B136="",N(L136)=0),"",IFERROR(MATCH(D136,Settings!$B$6:$B$17,0),13)*1000+ROW())</f>
        <v/>
      </c>
    </row>
    <row r="137">
      <c r="A137" s="1" t="n"/>
      <c r="B137" s="32" t="n"/>
      <c r="C137" s="31" t="n"/>
      <c r="D137" s="33" t="n"/>
      <c r="E137" s="33" t="n"/>
      <c r="F137" s="31" t="n"/>
      <c r="G137" s="36" t="n"/>
      <c r="H137" s="31" t="n"/>
      <c r="I137" s="34" t="n"/>
      <c r="J137" s="35">
        <f>IF(B137="","",ROUND(SUMIFS(Ingredients!$G$6:$G$1005,Ingredients!$C$6:$C$1005,B137),2))</f>
        <v/>
      </c>
      <c r="K137" s="35">
        <f>IF(B137="","",MAX(0,ROUND(J137-N(H137),2)))</f>
        <v/>
      </c>
      <c r="L137" s="30">
        <f>IF(B137="","",IF(N(K137)=0,0,ROUNDUP(ROUND(K137/IF(N(F137)&gt;0,F137,1),6),0))+N(I137))</f>
        <v/>
      </c>
      <c r="M137" s="25">
        <f>IF(B137="","",L137*N(G137))</f>
        <v/>
      </c>
      <c r="N137" s="1">
        <f>IF(B137="","",N(G137)/IF(N(F137)&gt;0,F137,1))</f>
        <v/>
      </c>
      <c r="O137">
        <f>IF(OR(B137="",N(L137)=0),"",IFERROR(MATCH(D137,Settings!$B$6:$B$17,0),13)*1000+ROW())</f>
        <v/>
      </c>
    </row>
    <row r="138">
      <c r="A138" s="1" t="n"/>
      <c r="B138" s="32" t="n"/>
      <c r="C138" s="31" t="n"/>
      <c r="D138" s="33" t="n"/>
      <c r="E138" s="33" t="n"/>
      <c r="F138" s="31" t="n"/>
      <c r="G138" s="36" t="n"/>
      <c r="H138" s="31" t="n"/>
      <c r="I138" s="34" t="n"/>
      <c r="J138" s="35">
        <f>IF(B138="","",ROUND(SUMIFS(Ingredients!$G$6:$G$1005,Ingredients!$C$6:$C$1005,B138),2))</f>
        <v/>
      </c>
      <c r="K138" s="35">
        <f>IF(B138="","",MAX(0,ROUND(J138-N(H138),2)))</f>
        <v/>
      </c>
      <c r="L138" s="30">
        <f>IF(B138="","",IF(N(K138)=0,0,ROUNDUP(ROUND(K138/IF(N(F138)&gt;0,F138,1),6),0))+N(I138))</f>
        <v/>
      </c>
      <c r="M138" s="25">
        <f>IF(B138="","",L138*N(G138))</f>
        <v/>
      </c>
      <c r="N138" s="1">
        <f>IF(B138="","",N(G138)/IF(N(F138)&gt;0,F138,1))</f>
        <v/>
      </c>
      <c r="O138">
        <f>IF(OR(B138="",N(L138)=0),"",IFERROR(MATCH(D138,Settings!$B$6:$B$17,0),13)*1000+ROW())</f>
        <v/>
      </c>
    </row>
    <row r="139">
      <c r="A139" s="1" t="n"/>
      <c r="B139" s="32" t="n"/>
      <c r="C139" s="31" t="n"/>
      <c r="D139" s="33" t="n"/>
      <c r="E139" s="33" t="n"/>
      <c r="F139" s="31" t="n"/>
      <c r="G139" s="36" t="n"/>
      <c r="H139" s="31" t="n"/>
      <c r="I139" s="34" t="n"/>
      <c r="J139" s="35">
        <f>IF(B139="","",ROUND(SUMIFS(Ingredients!$G$6:$G$1005,Ingredients!$C$6:$C$1005,B139),2))</f>
        <v/>
      </c>
      <c r="K139" s="35">
        <f>IF(B139="","",MAX(0,ROUND(J139-N(H139),2)))</f>
        <v/>
      </c>
      <c r="L139" s="30">
        <f>IF(B139="","",IF(N(K139)=0,0,ROUNDUP(ROUND(K139/IF(N(F139)&gt;0,F139,1),6),0))+N(I139))</f>
        <v/>
      </c>
      <c r="M139" s="25">
        <f>IF(B139="","",L139*N(G139))</f>
        <v/>
      </c>
      <c r="N139" s="1">
        <f>IF(B139="","",N(G139)/IF(N(F139)&gt;0,F139,1))</f>
        <v/>
      </c>
      <c r="O139">
        <f>IF(OR(B139="",N(L139)=0),"",IFERROR(MATCH(D139,Settings!$B$6:$B$17,0),13)*1000+ROW())</f>
        <v/>
      </c>
    </row>
    <row r="140">
      <c r="A140" s="1" t="n"/>
      <c r="B140" s="32" t="n"/>
      <c r="C140" s="31" t="n"/>
      <c r="D140" s="33" t="n"/>
      <c r="E140" s="33" t="n"/>
      <c r="F140" s="31" t="n"/>
      <c r="G140" s="36" t="n"/>
      <c r="H140" s="31" t="n"/>
      <c r="I140" s="34" t="n"/>
      <c r="J140" s="35">
        <f>IF(B140="","",ROUND(SUMIFS(Ingredients!$G$6:$G$1005,Ingredients!$C$6:$C$1005,B140),2))</f>
        <v/>
      </c>
      <c r="K140" s="35">
        <f>IF(B140="","",MAX(0,ROUND(J140-N(H140),2)))</f>
        <v/>
      </c>
      <c r="L140" s="30">
        <f>IF(B140="","",IF(N(K140)=0,0,ROUNDUP(ROUND(K140/IF(N(F140)&gt;0,F140,1),6),0))+N(I140))</f>
        <v/>
      </c>
      <c r="M140" s="25">
        <f>IF(B140="","",L140*N(G140))</f>
        <v/>
      </c>
      <c r="N140" s="1">
        <f>IF(B140="","",N(G140)/IF(N(F140)&gt;0,F140,1))</f>
        <v/>
      </c>
      <c r="O140">
        <f>IF(OR(B140="",N(L140)=0),"",IFERROR(MATCH(D140,Settings!$B$6:$B$17,0),13)*1000+ROW())</f>
        <v/>
      </c>
    </row>
    <row r="141">
      <c r="A141" s="1" t="n"/>
      <c r="B141" s="32" t="n"/>
      <c r="C141" s="31" t="n"/>
      <c r="D141" s="33" t="n"/>
      <c r="E141" s="33" t="n"/>
      <c r="F141" s="31" t="n"/>
      <c r="G141" s="36" t="n"/>
      <c r="H141" s="31" t="n"/>
      <c r="I141" s="34" t="n"/>
      <c r="J141" s="35">
        <f>IF(B141="","",ROUND(SUMIFS(Ingredients!$G$6:$G$1005,Ingredients!$C$6:$C$1005,B141),2))</f>
        <v/>
      </c>
      <c r="K141" s="35">
        <f>IF(B141="","",MAX(0,ROUND(J141-N(H141),2)))</f>
        <v/>
      </c>
      <c r="L141" s="30">
        <f>IF(B141="","",IF(N(K141)=0,0,ROUNDUP(ROUND(K141/IF(N(F141)&gt;0,F141,1),6),0))+N(I141))</f>
        <v/>
      </c>
      <c r="M141" s="25">
        <f>IF(B141="","",L141*N(G141))</f>
        <v/>
      </c>
      <c r="N141" s="1">
        <f>IF(B141="","",N(G141)/IF(N(F141)&gt;0,F141,1))</f>
        <v/>
      </c>
      <c r="O141">
        <f>IF(OR(B141="",N(L141)=0),"",IFERROR(MATCH(D141,Settings!$B$6:$B$17,0),13)*1000+ROW())</f>
        <v/>
      </c>
    </row>
    <row r="142">
      <c r="A142" s="1" t="n"/>
      <c r="B142" s="32" t="n"/>
      <c r="C142" s="31" t="n"/>
      <c r="D142" s="33" t="n"/>
      <c r="E142" s="33" t="n"/>
      <c r="F142" s="31" t="n"/>
      <c r="G142" s="36" t="n"/>
      <c r="H142" s="31" t="n"/>
      <c r="I142" s="34" t="n"/>
      <c r="J142" s="35">
        <f>IF(B142="","",ROUND(SUMIFS(Ingredients!$G$6:$G$1005,Ingredients!$C$6:$C$1005,B142),2))</f>
        <v/>
      </c>
      <c r="K142" s="35">
        <f>IF(B142="","",MAX(0,ROUND(J142-N(H142),2)))</f>
        <v/>
      </c>
      <c r="L142" s="30">
        <f>IF(B142="","",IF(N(K142)=0,0,ROUNDUP(ROUND(K142/IF(N(F142)&gt;0,F142,1),6),0))+N(I142))</f>
        <v/>
      </c>
      <c r="M142" s="25">
        <f>IF(B142="","",L142*N(G142))</f>
        <v/>
      </c>
      <c r="N142" s="1">
        <f>IF(B142="","",N(G142)/IF(N(F142)&gt;0,F142,1))</f>
        <v/>
      </c>
      <c r="O142">
        <f>IF(OR(B142="",N(L142)=0),"",IFERROR(MATCH(D142,Settings!$B$6:$B$17,0),13)*1000+ROW())</f>
        <v/>
      </c>
    </row>
    <row r="143">
      <c r="A143" s="1" t="n"/>
      <c r="B143" s="32" t="n"/>
      <c r="C143" s="31" t="n"/>
      <c r="D143" s="33" t="n"/>
      <c r="E143" s="33" t="n"/>
      <c r="F143" s="31" t="n"/>
      <c r="G143" s="36" t="n"/>
      <c r="H143" s="31" t="n"/>
      <c r="I143" s="34" t="n"/>
      <c r="J143" s="35">
        <f>IF(B143="","",ROUND(SUMIFS(Ingredients!$G$6:$G$1005,Ingredients!$C$6:$C$1005,B143),2))</f>
        <v/>
      </c>
      <c r="K143" s="35">
        <f>IF(B143="","",MAX(0,ROUND(J143-N(H143),2)))</f>
        <v/>
      </c>
      <c r="L143" s="30">
        <f>IF(B143="","",IF(N(K143)=0,0,ROUNDUP(ROUND(K143/IF(N(F143)&gt;0,F143,1),6),0))+N(I143))</f>
        <v/>
      </c>
      <c r="M143" s="25">
        <f>IF(B143="","",L143*N(G143))</f>
        <v/>
      </c>
      <c r="N143" s="1">
        <f>IF(B143="","",N(G143)/IF(N(F143)&gt;0,F143,1))</f>
        <v/>
      </c>
      <c r="O143">
        <f>IF(OR(B143="",N(L143)=0),"",IFERROR(MATCH(D143,Settings!$B$6:$B$17,0),13)*1000+ROW())</f>
        <v/>
      </c>
    </row>
    <row r="144">
      <c r="A144" s="1" t="n"/>
      <c r="B144" s="32" t="n"/>
      <c r="C144" s="31" t="n"/>
      <c r="D144" s="33" t="n"/>
      <c r="E144" s="33" t="n"/>
      <c r="F144" s="31" t="n"/>
      <c r="G144" s="36" t="n"/>
      <c r="H144" s="31" t="n"/>
      <c r="I144" s="34" t="n"/>
      <c r="J144" s="35">
        <f>IF(B144="","",ROUND(SUMIFS(Ingredients!$G$6:$G$1005,Ingredients!$C$6:$C$1005,B144),2))</f>
        <v/>
      </c>
      <c r="K144" s="35">
        <f>IF(B144="","",MAX(0,ROUND(J144-N(H144),2)))</f>
        <v/>
      </c>
      <c r="L144" s="30">
        <f>IF(B144="","",IF(N(K144)=0,0,ROUNDUP(ROUND(K144/IF(N(F144)&gt;0,F144,1),6),0))+N(I144))</f>
        <v/>
      </c>
      <c r="M144" s="25">
        <f>IF(B144="","",L144*N(G144))</f>
        <v/>
      </c>
      <c r="N144" s="1">
        <f>IF(B144="","",N(G144)/IF(N(F144)&gt;0,F144,1))</f>
        <v/>
      </c>
      <c r="O144">
        <f>IF(OR(B144="",N(L144)=0),"",IFERROR(MATCH(D144,Settings!$B$6:$B$17,0),13)*1000+ROW())</f>
        <v/>
      </c>
    </row>
    <row r="145">
      <c r="A145" s="1" t="n"/>
      <c r="B145" s="32" t="n"/>
      <c r="C145" s="31" t="n"/>
      <c r="D145" s="33" t="n"/>
      <c r="E145" s="33" t="n"/>
      <c r="F145" s="31" t="n"/>
      <c r="G145" s="36" t="n"/>
      <c r="H145" s="31" t="n"/>
      <c r="I145" s="34" t="n"/>
      <c r="J145" s="35">
        <f>IF(B145="","",ROUND(SUMIFS(Ingredients!$G$6:$G$1005,Ingredients!$C$6:$C$1005,B145),2))</f>
        <v/>
      </c>
      <c r="K145" s="35">
        <f>IF(B145="","",MAX(0,ROUND(J145-N(H145),2)))</f>
        <v/>
      </c>
      <c r="L145" s="30">
        <f>IF(B145="","",IF(N(K145)=0,0,ROUNDUP(ROUND(K145/IF(N(F145)&gt;0,F145,1),6),0))+N(I145))</f>
        <v/>
      </c>
      <c r="M145" s="25">
        <f>IF(B145="","",L145*N(G145))</f>
        <v/>
      </c>
      <c r="N145" s="1">
        <f>IF(B145="","",N(G145)/IF(N(F145)&gt;0,F145,1))</f>
        <v/>
      </c>
      <c r="O145">
        <f>IF(OR(B145="",N(L145)=0),"",IFERROR(MATCH(D145,Settings!$B$6:$B$17,0),13)*1000+ROW())</f>
        <v/>
      </c>
    </row>
    <row r="146">
      <c r="A146" s="1" t="n"/>
      <c r="B146" s="32" t="n"/>
      <c r="C146" s="31" t="n"/>
      <c r="D146" s="33" t="n"/>
      <c r="E146" s="33" t="n"/>
      <c r="F146" s="31" t="n"/>
      <c r="G146" s="36" t="n"/>
      <c r="H146" s="31" t="n"/>
      <c r="I146" s="34" t="n"/>
      <c r="J146" s="35">
        <f>IF(B146="","",ROUND(SUMIFS(Ingredients!$G$6:$G$1005,Ingredients!$C$6:$C$1005,B146),2))</f>
        <v/>
      </c>
      <c r="K146" s="35">
        <f>IF(B146="","",MAX(0,ROUND(J146-N(H146),2)))</f>
        <v/>
      </c>
      <c r="L146" s="30">
        <f>IF(B146="","",IF(N(K146)=0,0,ROUNDUP(ROUND(K146/IF(N(F146)&gt;0,F146,1),6),0))+N(I146))</f>
        <v/>
      </c>
      <c r="M146" s="25">
        <f>IF(B146="","",L146*N(G146))</f>
        <v/>
      </c>
      <c r="N146" s="1">
        <f>IF(B146="","",N(G146)/IF(N(F146)&gt;0,F146,1))</f>
        <v/>
      </c>
      <c r="O146">
        <f>IF(OR(B146="",N(L146)=0),"",IFERROR(MATCH(D146,Settings!$B$6:$B$17,0),13)*1000+ROW())</f>
        <v/>
      </c>
    </row>
    <row r="147">
      <c r="A147" s="1" t="n"/>
      <c r="B147" s="32" t="n"/>
      <c r="C147" s="31" t="n"/>
      <c r="D147" s="33" t="n"/>
      <c r="E147" s="33" t="n"/>
      <c r="F147" s="31" t="n"/>
      <c r="G147" s="36" t="n"/>
      <c r="H147" s="31" t="n"/>
      <c r="I147" s="34" t="n"/>
      <c r="J147" s="35">
        <f>IF(B147="","",ROUND(SUMIFS(Ingredients!$G$6:$G$1005,Ingredients!$C$6:$C$1005,B147),2))</f>
        <v/>
      </c>
      <c r="K147" s="35">
        <f>IF(B147="","",MAX(0,ROUND(J147-N(H147),2)))</f>
        <v/>
      </c>
      <c r="L147" s="30">
        <f>IF(B147="","",IF(N(K147)=0,0,ROUNDUP(ROUND(K147/IF(N(F147)&gt;0,F147,1),6),0))+N(I147))</f>
        <v/>
      </c>
      <c r="M147" s="25">
        <f>IF(B147="","",L147*N(G147))</f>
        <v/>
      </c>
      <c r="N147" s="1">
        <f>IF(B147="","",N(G147)/IF(N(F147)&gt;0,F147,1))</f>
        <v/>
      </c>
      <c r="O147">
        <f>IF(OR(B147="",N(L147)=0),"",IFERROR(MATCH(D147,Settings!$B$6:$B$17,0),13)*1000+ROW())</f>
        <v/>
      </c>
    </row>
    <row r="148">
      <c r="A148" s="1" t="n"/>
      <c r="B148" s="32" t="n"/>
      <c r="C148" s="31" t="n"/>
      <c r="D148" s="33" t="n"/>
      <c r="E148" s="33" t="n"/>
      <c r="F148" s="31" t="n"/>
      <c r="G148" s="36" t="n"/>
      <c r="H148" s="31" t="n"/>
      <c r="I148" s="34" t="n"/>
      <c r="J148" s="35">
        <f>IF(B148="","",ROUND(SUMIFS(Ingredients!$G$6:$G$1005,Ingredients!$C$6:$C$1005,B148),2))</f>
        <v/>
      </c>
      <c r="K148" s="35">
        <f>IF(B148="","",MAX(0,ROUND(J148-N(H148),2)))</f>
        <v/>
      </c>
      <c r="L148" s="30">
        <f>IF(B148="","",IF(N(K148)=0,0,ROUNDUP(ROUND(K148/IF(N(F148)&gt;0,F148,1),6),0))+N(I148))</f>
        <v/>
      </c>
      <c r="M148" s="25">
        <f>IF(B148="","",L148*N(G148))</f>
        <v/>
      </c>
      <c r="N148" s="1">
        <f>IF(B148="","",N(G148)/IF(N(F148)&gt;0,F148,1))</f>
        <v/>
      </c>
      <c r="O148">
        <f>IF(OR(B148="",N(L148)=0),"",IFERROR(MATCH(D148,Settings!$B$6:$B$17,0),13)*1000+ROW())</f>
        <v/>
      </c>
    </row>
    <row r="149">
      <c r="A149" s="1" t="n"/>
      <c r="B149" s="32" t="n"/>
      <c r="C149" s="31" t="n"/>
      <c r="D149" s="33" t="n"/>
      <c r="E149" s="33" t="n"/>
      <c r="F149" s="31" t="n"/>
      <c r="G149" s="36" t="n"/>
      <c r="H149" s="31" t="n"/>
      <c r="I149" s="34" t="n"/>
      <c r="J149" s="35">
        <f>IF(B149="","",ROUND(SUMIFS(Ingredients!$G$6:$G$1005,Ingredients!$C$6:$C$1005,B149),2))</f>
        <v/>
      </c>
      <c r="K149" s="35">
        <f>IF(B149="","",MAX(0,ROUND(J149-N(H149),2)))</f>
        <v/>
      </c>
      <c r="L149" s="30">
        <f>IF(B149="","",IF(N(K149)=0,0,ROUNDUP(ROUND(K149/IF(N(F149)&gt;0,F149,1),6),0))+N(I149))</f>
        <v/>
      </c>
      <c r="M149" s="25">
        <f>IF(B149="","",L149*N(G149))</f>
        <v/>
      </c>
      <c r="N149" s="1">
        <f>IF(B149="","",N(G149)/IF(N(F149)&gt;0,F149,1))</f>
        <v/>
      </c>
      <c r="O149">
        <f>IF(OR(B149="",N(L149)=0),"",IFERROR(MATCH(D149,Settings!$B$6:$B$17,0),13)*1000+ROW())</f>
        <v/>
      </c>
    </row>
    <row r="150">
      <c r="A150" s="1" t="n"/>
      <c r="B150" s="32" t="n"/>
      <c r="C150" s="31" t="n"/>
      <c r="D150" s="33" t="n"/>
      <c r="E150" s="33" t="n"/>
      <c r="F150" s="31" t="n"/>
      <c r="G150" s="36" t="n"/>
      <c r="H150" s="31" t="n"/>
      <c r="I150" s="34" t="n"/>
      <c r="J150" s="35">
        <f>IF(B150="","",ROUND(SUMIFS(Ingredients!$G$6:$G$1005,Ingredients!$C$6:$C$1005,B150),2))</f>
        <v/>
      </c>
      <c r="K150" s="35">
        <f>IF(B150="","",MAX(0,ROUND(J150-N(H150),2)))</f>
        <v/>
      </c>
      <c r="L150" s="30">
        <f>IF(B150="","",IF(N(K150)=0,0,ROUNDUP(ROUND(K150/IF(N(F150)&gt;0,F150,1),6),0))+N(I150))</f>
        <v/>
      </c>
      <c r="M150" s="25">
        <f>IF(B150="","",L150*N(G150))</f>
        <v/>
      </c>
      <c r="N150" s="1">
        <f>IF(B150="","",N(G150)/IF(N(F150)&gt;0,F150,1))</f>
        <v/>
      </c>
      <c r="O150">
        <f>IF(OR(B150="",N(L150)=0),"",IFERROR(MATCH(D150,Settings!$B$6:$B$17,0),13)*1000+ROW())</f>
        <v/>
      </c>
    </row>
    <row r="151">
      <c r="A151" s="1" t="n"/>
      <c r="B151" s="32" t="n"/>
      <c r="C151" s="31" t="n"/>
      <c r="D151" s="33" t="n"/>
      <c r="E151" s="33" t="n"/>
      <c r="F151" s="31" t="n"/>
      <c r="G151" s="36" t="n"/>
      <c r="H151" s="31" t="n"/>
      <c r="I151" s="34" t="n"/>
      <c r="J151" s="35">
        <f>IF(B151="","",ROUND(SUMIFS(Ingredients!$G$6:$G$1005,Ingredients!$C$6:$C$1005,B151),2))</f>
        <v/>
      </c>
      <c r="K151" s="35">
        <f>IF(B151="","",MAX(0,ROUND(J151-N(H151),2)))</f>
        <v/>
      </c>
      <c r="L151" s="30">
        <f>IF(B151="","",IF(N(K151)=0,0,ROUNDUP(ROUND(K151/IF(N(F151)&gt;0,F151,1),6),0))+N(I151))</f>
        <v/>
      </c>
      <c r="M151" s="25">
        <f>IF(B151="","",L151*N(G151))</f>
        <v/>
      </c>
      <c r="N151" s="1">
        <f>IF(B151="","",N(G151)/IF(N(F151)&gt;0,F151,1))</f>
        <v/>
      </c>
      <c r="O151">
        <f>IF(OR(B151="",N(L151)=0),"",IFERROR(MATCH(D151,Settings!$B$6:$B$17,0),13)*1000+ROW())</f>
        <v/>
      </c>
    </row>
    <row r="152">
      <c r="A152" s="1" t="n"/>
      <c r="B152" s="32" t="n"/>
      <c r="C152" s="31" t="n"/>
      <c r="D152" s="33" t="n"/>
      <c r="E152" s="33" t="n"/>
      <c r="F152" s="31" t="n"/>
      <c r="G152" s="36" t="n"/>
      <c r="H152" s="31" t="n"/>
      <c r="I152" s="34" t="n"/>
      <c r="J152" s="35">
        <f>IF(B152="","",ROUND(SUMIFS(Ingredients!$G$6:$G$1005,Ingredients!$C$6:$C$1005,B152),2))</f>
        <v/>
      </c>
      <c r="K152" s="35">
        <f>IF(B152="","",MAX(0,ROUND(J152-N(H152),2)))</f>
        <v/>
      </c>
      <c r="L152" s="30">
        <f>IF(B152="","",IF(N(K152)=0,0,ROUNDUP(ROUND(K152/IF(N(F152)&gt;0,F152,1),6),0))+N(I152))</f>
        <v/>
      </c>
      <c r="M152" s="25">
        <f>IF(B152="","",L152*N(G152))</f>
        <v/>
      </c>
      <c r="N152" s="1">
        <f>IF(B152="","",N(G152)/IF(N(F152)&gt;0,F152,1))</f>
        <v/>
      </c>
      <c r="O152">
        <f>IF(OR(B152="",N(L152)=0),"",IFERROR(MATCH(D152,Settings!$B$6:$B$17,0),13)*1000+ROW())</f>
        <v/>
      </c>
    </row>
    <row r="153">
      <c r="A153" s="1" t="n"/>
      <c r="B153" s="32" t="n"/>
      <c r="C153" s="31" t="n"/>
      <c r="D153" s="33" t="n"/>
      <c r="E153" s="33" t="n"/>
      <c r="F153" s="31" t="n"/>
      <c r="G153" s="36" t="n"/>
      <c r="H153" s="31" t="n"/>
      <c r="I153" s="34" t="n"/>
      <c r="J153" s="35">
        <f>IF(B153="","",ROUND(SUMIFS(Ingredients!$G$6:$G$1005,Ingredients!$C$6:$C$1005,B153),2))</f>
        <v/>
      </c>
      <c r="K153" s="35">
        <f>IF(B153="","",MAX(0,ROUND(J153-N(H153),2)))</f>
        <v/>
      </c>
      <c r="L153" s="30">
        <f>IF(B153="","",IF(N(K153)=0,0,ROUNDUP(ROUND(K153/IF(N(F153)&gt;0,F153,1),6),0))+N(I153))</f>
        <v/>
      </c>
      <c r="M153" s="25">
        <f>IF(B153="","",L153*N(G153))</f>
        <v/>
      </c>
      <c r="N153" s="1">
        <f>IF(B153="","",N(G153)/IF(N(F153)&gt;0,F153,1))</f>
        <v/>
      </c>
      <c r="O153">
        <f>IF(OR(B153="",N(L153)=0),"",IFERROR(MATCH(D153,Settings!$B$6:$B$17,0),13)*1000+ROW())</f>
        <v/>
      </c>
    </row>
    <row r="154">
      <c r="A154" s="1" t="n"/>
      <c r="B154" s="32" t="n"/>
      <c r="C154" s="31" t="n"/>
      <c r="D154" s="33" t="n"/>
      <c r="E154" s="33" t="n"/>
      <c r="F154" s="31" t="n"/>
      <c r="G154" s="36" t="n"/>
      <c r="H154" s="31" t="n"/>
      <c r="I154" s="34" t="n"/>
      <c r="J154" s="35">
        <f>IF(B154="","",ROUND(SUMIFS(Ingredients!$G$6:$G$1005,Ingredients!$C$6:$C$1005,B154),2))</f>
        <v/>
      </c>
      <c r="K154" s="35">
        <f>IF(B154="","",MAX(0,ROUND(J154-N(H154),2)))</f>
        <v/>
      </c>
      <c r="L154" s="30">
        <f>IF(B154="","",IF(N(K154)=0,0,ROUNDUP(ROUND(K154/IF(N(F154)&gt;0,F154,1),6),0))+N(I154))</f>
        <v/>
      </c>
      <c r="M154" s="25">
        <f>IF(B154="","",L154*N(G154))</f>
        <v/>
      </c>
      <c r="N154" s="1">
        <f>IF(B154="","",N(G154)/IF(N(F154)&gt;0,F154,1))</f>
        <v/>
      </c>
      <c r="O154">
        <f>IF(OR(B154="",N(L154)=0),"",IFERROR(MATCH(D154,Settings!$B$6:$B$17,0),13)*1000+ROW())</f>
        <v/>
      </c>
    </row>
    <row r="155">
      <c r="A155" s="1" t="n"/>
      <c r="B155" s="32" t="n"/>
      <c r="C155" s="31" t="n"/>
      <c r="D155" s="33" t="n"/>
      <c r="E155" s="33" t="n"/>
      <c r="F155" s="31" t="n"/>
      <c r="G155" s="36" t="n"/>
      <c r="H155" s="31" t="n"/>
      <c r="I155" s="34" t="n"/>
      <c r="J155" s="35">
        <f>IF(B155="","",ROUND(SUMIFS(Ingredients!$G$6:$G$1005,Ingredients!$C$6:$C$1005,B155),2))</f>
        <v/>
      </c>
      <c r="K155" s="35">
        <f>IF(B155="","",MAX(0,ROUND(J155-N(H155),2)))</f>
        <v/>
      </c>
      <c r="L155" s="30">
        <f>IF(B155="","",IF(N(K155)=0,0,ROUNDUP(ROUND(K155/IF(N(F155)&gt;0,F155,1),6),0))+N(I155))</f>
        <v/>
      </c>
      <c r="M155" s="25">
        <f>IF(B155="","",L155*N(G155))</f>
        <v/>
      </c>
      <c r="N155" s="1">
        <f>IF(B155="","",N(G155)/IF(N(F155)&gt;0,F155,1))</f>
        <v/>
      </c>
      <c r="O155">
        <f>IF(OR(B155="",N(L155)=0),"",IFERROR(MATCH(D155,Settings!$B$6:$B$17,0),13)*1000+ROW())</f>
        <v/>
      </c>
    </row>
    <row r="156">
      <c r="A156" s="1" t="n"/>
      <c r="B156" s="32" t="n"/>
      <c r="C156" s="31" t="n"/>
      <c r="D156" s="33" t="n"/>
      <c r="E156" s="33" t="n"/>
      <c r="F156" s="31" t="n"/>
      <c r="G156" s="36" t="n"/>
      <c r="H156" s="31" t="n"/>
      <c r="I156" s="34" t="n"/>
      <c r="J156" s="35">
        <f>IF(B156="","",ROUND(SUMIFS(Ingredients!$G$6:$G$1005,Ingredients!$C$6:$C$1005,B156),2))</f>
        <v/>
      </c>
      <c r="K156" s="35">
        <f>IF(B156="","",MAX(0,ROUND(J156-N(H156),2)))</f>
        <v/>
      </c>
      <c r="L156" s="30">
        <f>IF(B156="","",IF(N(K156)=0,0,ROUNDUP(ROUND(K156/IF(N(F156)&gt;0,F156,1),6),0))+N(I156))</f>
        <v/>
      </c>
      <c r="M156" s="25">
        <f>IF(B156="","",L156*N(G156))</f>
        <v/>
      </c>
      <c r="N156" s="1">
        <f>IF(B156="","",N(G156)/IF(N(F156)&gt;0,F156,1))</f>
        <v/>
      </c>
      <c r="O156">
        <f>IF(OR(B156="",N(L156)=0),"",IFERROR(MATCH(D156,Settings!$B$6:$B$17,0),13)*1000+ROW())</f>
        <v/>
      </c>
    </row>
    <row r="157">
      <c r="A157" s="1" t="n"/>
      <c r="B157" s="32" t="n"/>
      <c r="C157" s="31" t="n"/>
      <c r="D157" s="33" t="n"/>
      <c r="E157" s="33" t="n"/>
      <c r="F157" s="31" t="n"/>
      <c r="G157" s="36" t="n"/>
      <c r="H157" s="31" t="n"/>
      <c r="I157" s="34" t="n"/>
      <c r="J157" s="35">
        <f>IF(B157="","",ROUND(SUMIFS(Ingredients!$G$6:$G$1005,Ingredients!$C$6:$C$1005,B157),2))</f>
        <v/>
      </c>
      <c r="K157" s="35">
        <f>IF(B157="","",MAX(0,ROUND(J157-N(H157),2)))</f>
        <v/>
      </c>
      <c r="L157" s="30">
        <f>IF(B157="","",IF(N(K157)=0,0,ROUNDUP(ROUND(K157/IF(N(F157)&gt;0,F157,1),6),0))+N(I157))</f>
        <v/>
      </c>
      <c r="M157" s="25">
        <f>IF(B157="","",L157*N(G157))</f>
        <v/>
      </c>
      <c r="N157" s="1">
        <f>IF(B157="","",N(G157)/IF(N(F157)&gt;0,F157,1))</f>
        <v/>
      </c>
      <c r="O157">
        <f>IF(OR(B157="",N(L157)=0),"",IFERROR(MATCH(D157,Settings!$B$6:$B$17,0),13)*1000+ROW())</f>
        <v/>
      </c>
    </row>
    <row r="158">
      <c r="A158" s="1" t="n"/>
      <c r="B158" s="32" t="n"/>
      <c r="C158" s="31" t="n"/>
      <c r="D158" s="33" t="n"/>
      <c r="E158" s="33" t="n"/>
      <c r="F158" s="31" t="n"/>
      <c r="G158" s="36" t="n"/>
      <c r="H158" s="31" t="n"/>
      <c r="I158" s="34" t="n"/>
      <c r="J158" s="35">
        <f>IF(B158="","",ROUND(SUMIFS(Ingredients!$G$6:$G$1005,Ingredients!$C$6:$C$1005,B158),2))</f>
        <v/>
      </c>
      <c r="K158" s="35">
        <f>IF(B158="","",MAX(0,ROUND(J158-N(H158),2)))</f>
        <v/>
      </c>
      <c r="L158" s="30">
        <f>IF(B158="","",IF(N(K158)=0,0,ROUNDUP(ROUND(K158/IF(N(F158)&gt;0,F158,1),6),0))+N(I158))</f>
        <v/>
      </c>
      <c r="M158" s="25">
        <f>IF(B158="","",L158*N(G158))</f>
        <v/>
      </c>
      <c r="N158" s="1">
        <f>IF(B158="","",N(G158)/IF(N(F158)&gt;0,F158,1))</f>
        <v/>
      </c>
      <c r="O158">
        <f>IF(OR(B158="",N(L158)=0),"",IFERROR(MATCH(D158,Settings!$B$6:$B$17,0),13)*1000+ROW())</f>
        <v/>
      </c>
    </row>
    <row r="159">
      <c r="A159" s="1" t="n"/>
      <c r="B159" s="32" t="n"/>
      <c r="C159" s="31" t="n"/>
      <c r="D159" s="33" t="n"/>
      <c r="E159" s="33" t="n"/>
      <c r="F159" s="31" t="n"/>
      <c r="G159" s="36" t="n"/>
      <c r="H159" s="31" t="n"/>
      <c r="I159" s="34" t="n"/>
      <c r="J159" s="35">
        <f>IF(B159="","",ROUND(SUMIFS(Ingredients!$G$6:$G$1005,Ingredients!$C$6:$C$1005,B159),2))</f>
        <v/>
      </c>
      <c r="K159" s="35">
        <f>IF(B159="","",MAX(0,ROUND(J159-N(H159),2)))</f>
        <v/>
      </c>
      <c r="L159" s="30">
        <f>IF(B159="","",IF(N(K159)=0,0,ROUNDUP(ROUND(K159/IF(N(F159)&gt;0,F159,1),6),0))+N(I159))</f>
        <v/>
      </c>
      <c r="M159" s="25">
        <f>IF(B159="","",L159*N(G159))</f>
        <v/>
      </c>
      <c r="N159" s="1">
        <f>IF(B159="","",N(G159)/IF(N(F159)&gt;0,F159,1))</f>
        <v/>
      </c>
      <c r="O159">
        <f>IF(OR(B159="",N(L159)=0),"",IFERROR(MATCH(D159,Settings!$B$6:$B$17,0),13)*1000+ROW())</f>
        <v/>
      </c>
    </row>
    <row r="160">
      <c r="A160" s="1" t="n"/>
      <c r="B160" s="32" t="n"/>
      <c r="C160" s="31" t="n"/>
      <c r="D160" s="33" t="n"/>
      <c r="E160" s="33" t="n"/>
      <c r="F160" s="31" t="n"/>
      <c r="G160" s="36" t="n"/>
      <c r="H160" s="31" t="n"/>
      <c r="I160" s="34" t="n"/>
      <c r="J160" s="35">
        <f>IF(B160="","",ROUND(SUMIFS(Ingredients!$G$6:$G$1005,Ingredients!$C$6:$C$1005,B160),2))</f>
        <v/>
      </c>
      <c r="K160" s="35">
        <f>IF(B160="","",MAX(0,ROUND(J160-N(H160),2)))</f>
        <v/>
      </c>
      <c r="L160" s="30">
        <f>IF(B160="","",IF(N(K160)=0,0,ROUNDUP(ROUND(K160/IF(N(F160)&gt;0,F160,1),6),0))+N(I160))</f>
        <v/>
      </c>
      <c r="M160" s="25">
        <f>IF(B160="","",L160*N(G160))</f>
        <v/>
      </c>
      <c r="N160" s="1">
        <f>IF(B160="","",N(G160)/IF(N(F160)&gt;0,F160,1))</f>
        <v/>
      </c>
      <c r="O160">
        <f>IF(OR(B160="",N(L160)=0),"",IFERROR(MATCH(D160,Settings!$B$6:$B$17,0),13)*1000+ROW())</f>
        <v/>
      </c>
    </row>
    <row r="161">
      <c r="A161" s="1" t="n"/>
      <c r="B161" s="32" t="n"/>
      <c r="C161" s="31" t="n"/>
      <c r="D161" s="33" t="n"/>
      <c r="E161" s="33" t="n"/>
      <c r="F161" s="31" t="n"/>
      <c r="G161" s="36" t="n"/>
      <c r="H161" s="31" t="n"/>
      <c r="I161" s="34" t="n"/>
      <c r="J161" s="35">
        <f>IF(B161="","",ROUND(SUMIFS(Ingredients!$G$6:$G$1005,Ingredients!$C$6:$C$1005,B161),2))</f>
        <v/>
      </c>
      <c r="K161" s="35">
        <f>IF(B161="","",MAX(0,ROUND(J161-N(H161),2)))</f>
        <v/>
      </c>
      <c r="L161" s="30">
        <f>IF(B161="","",IF(N(K161)=0,0,ROUNDUP(ROUND(K161/IF(N(F161)&gt;0,F161,1),6),0))+N(I161))</f>
        <v/>
      </c>
      <c r="M161" s="25">
        <f>IF(B161="","",L161*N(G161))</f>
        <v/>
      </c>
      <c r="N161" s="1">
        <f>IF(B161="","",N(G161)/IF(N(F161)&gt;0,F161,1))</f>
        <v/>
      </c>
      <c r="O161">
        <f>IF(OR(B161="",N(L161)=0),"",IFERROR(MATCH(D161,Settings!$B$6:$B$17,0),13)*1000+ROW())</f>
        <v/>
      </c>
    </row>
    <row r="162">
      <c r="A162" s="1" t="n"/>
      <c r="B162" s="32" t="n"/>
      <c r="C162" s="31" t="n"/>
      <c r="D162" s="33" t="n"/>
      <c r="E162" s="33" t="n"/>
      <c r="F162" s="31" t="n"/>
      <c r="G162" s="36" t="n"/>
      <c r="H162" s="31" t="n"/>
      <c r="I162" s="34" t="n"/>
      <c r="J162" s="35">
        <f>IF(B162="","",ROUND(SUMIFS(Ingredients!$G$6:$G$1005,Ingredients!$C$6:$C$1005,B162),2))</f>
        <v/>
      </c>
      <c r="K162" s="35">
        <f>IF(B162="","",MAX(0,ROUND(J162-N(H162),2)))</f>
        <v/>
      </c>
      <c r="L162" s="30">
        <f>IF(B162="","",IF(N(K162)=0,0,ROUNDUP(ROUND(K162/IF(N(F162)&gt;0,F162,1),6),0))+N(I162))</f>
        <v/>
      </c>
      <c r="M162" s="25">
        <f>IF(B162="","",L162*N(G162))</f>
        <v/>
      </c>
      <c r="N162" s="1">
        <f>IF(B162="","",N(G162)/IF(N(F162)&gt;0,F162,1))</f>
        <v/>
      </c>
      <c r="O162">
        <f>IF(OR(B162="",N(L162)=0),"",IFERROR(MATCH(D162,Settings!$B$6:$B$17,0),13)*1000+ROW())</f>
        <v/>
      </c>
    </row>
    <row r="163">
      <c r="A163" s="1" t="n"/>
      <c r="B163" s="32" t="n"/>
      <c r="C163" s="31" t="n"/>
      <c r="D163" s="33" t="n"/>
      <c r="E163" s="33" t="n"/>
      <c r="F163" s="31" t="n"/>
      <c r="G163" s="36" t="n"/>
      <c r="H163" s="31" t="n"/>
      <c r="I163" s="34" t="n"/>
      <c r="J163" s="35">
        <f>IF(B163="","",ROUND(SUMIFS(Ingredients!$G$6:$G$1005,Ingredients!$C$6:$C$1005,B163),2))</f>
        <v/>
      </c>
      <c r="K163" s="35">
        <f>IF(B163="","",MAX(0,ROUND(J163-N(H163),2)))</f>
        <v/>
      </c>
      <c r="L163" s="30">
        <f>IF(B163="","",IF(N(K163)=0,0,ROUNDUP(ROUND(K163/IF(N(F163)&gt;0,F163,1),6),0))+N(I163))</f>
        <v/>
      </c>
      <c r="M163" s="25">
        <f>IF(B163="","",L163*N(G163))</f>
        <v/>
      </c>
      <c r="N163" s="1">
        <f>IF(B163="","",N(G163)/IF(N(F163)&gt;0,F163,1))</f>
        <v/>
      </c>
      <c r="O163">
        <f>IF(OR(B163="",N(L163)=0),"",IFERROR(MATCH(D163,Settings!$B$6:$B$17,0),13)*1000+ROW())</f>
        <v/>
      </c>
    </row>
    <row r="164">
      <c r="A164" s="1" t="n"/>
      <c r="B164" s="32" t="n"/>
      <c r="C164" s="31" t="n"/>
      <c r="D164" s="33" t="n"/>
      <c r="E164" s="33" t="n"/>
      <c r="F164" s="31" t="n"/>
      <c r="G164" s="36" t="n"/>
      <c r="H164" s="31" t="n"/>
      <c r="I164" s="34" t="n"/>
      <c r="J164" s="35">
        <f>IF(B164="","",ROUND(SUMIFS(Ingredients!$G$6:$G$1005,Ingredients!$C$6:$C$1005,B164),2))</f>
        <v/>
      </c>
      <c r="K164" s="35">
        <f>IF(B164="","",MAX(0,ROUND(J164-N(H164),2)))</f>
        <v/>
      </c>
      <c r="L164" s="30">
        <f>IF(B164="","",IF(N(K164)=0,0,ROUNDUP(ROUND(K164/IF(N(F164)&gt;0,F164,1),6),0))+N(I164))</f>
        <v/>
      </c>
      <c r="M164" s="25">
        <f>IF(B164="","",L164*N(G164))</f>
        <v/>
      </c>
      <c r="N164" s="1">
        <f>IF(B164="","",N(G164)/IF(N(F164)&gt;0,F164,1))</f>
        <v/>
      </c>
      <c r="O164">
        <f>IF(OR(B164="",N(L164)=0),"",IFERROR(MATCH(D164,Settings!$B$6:$B$17,0),13)*1000+ROW())</f>
        <v/>
      </c>
    </row>
    <row r="165">
      <c r="A165" s="1" t="n"/>
      <c r="B165" s="32" t="n"/>
      <c r="C165" s="31" t="n"/>
      <c r="D165" s="33" t="n"/>
      <c r="E165" s="33" t="n"/>
      <c r="F165" s="31" t="n"/>
      <c r="G165" s="36" t="n"/>
      <c r="H165" s="31" t="n"/>
      <c r="I165" s="34" t="n"/>
      <c r="J165" s="35">
        <f>IF(B165="","",ROUND(SUMIFS(Ingredients!$G$6:$G$1005,Ingredients!$C$6:$C$1005,B165),2))</f>
        <v/>
      </c>
      <c r="K165" s="35">
        <f>IF(B165="","",MAX(0,ROUND(J165-N(H165),2)))</f>
        <v/>
      </c>
      <c r="L165" s="30">
        <f>IF(B165="","",IF(N(K165)=0,0,ROUNDUP(ROUND(K165/IF(N(F165)&gt;0,F165,1),6),0))+N(I165))</f>
        <v/>
      </c>
      <c r="M165" s="25">
        <f>IF(B165="","",L165*N(G165))</f>
        <v/>
      </c>
      <c r="N165" s="1">
        <f>IF(B165="","",N(G165)/IF(N(F165)&gt;0,F165,1))</f>
        <v/>
      </c>
      <c r="O165">
        <f>IF(OR(B165="",N(L165)=0),"",IFERROR(MATCH(D165,Settings!$B$6:$B$17,0),13)*1000+ROW())</f>
        <v/>
      </c>
    </row>
    <row r="166">
      <c r="A166" s="1" t="n"/>
      <c r="B166" s="32" t="n"/>
      <c r="C166" s="31" t="n"/>
      <c r="D166" s="33" t="n"/>
      <c r="E166" s="33" t="n"/>
      <c r="F166" s="31" t="n"/>
      <c r="G166" s="36" t="n"/>
      <c r="H166" s="31" t="n"/>
      <c r="I166" s="34" t="n"/>
      <c r="J166" s="35">
        <f>IF(B166="","",ROUND(SUMIFS(Ingredients!$G$6:$G$1005,Ingredients!$C$6:$C$1005,B166),2))</f>
        <v/>
      </c>
      <c r="K166" s="35">
        <f>IF(B166="","",MAX(0,ROUND(J166-N(H166),2)))</f>
        <v/>
      </c>
      <c r="L166" s="30">
        <f>IF(B166="","",IF(N(K166)=0,0,ROUNDUP(ROUND(K166/IF(N(F166)&gt;0,F166,1),6),0))+N(I166))</f>
        <v/>
      </c>
      <c r="M166" s="25">
        <f>IF(B166="","",L166*N(G166))</f>
        <v/>
      </c>
      <c r="N166" s="1">
        <f>IF(B166="","",N(G166)/IF(N(F166)&gt;0,F166,1))</f>
        <v/>
      </c>
      <c r="O166">
        <f>IF(OR(B166="",N(L166)=0),"",IFERROR(MATCH(D166,Settings!$B$6:$B$17,0),13)*1000+ROW())</f>
        <v/>
      </c>
    </row>
    <row r="167">
      <c r="A167" s="1" t="n"/>
      <c r="B167" s="32" t="n"/>
      <c r="C167" s="31" t="n"/>
      <c r="D167" s="33" t="n"/>
      <c r="E167" s="33" t="n"/>
      <c r="F167" s="31" t="n"/>
      <c r="G167" s="36" t="n"/>
      <c r="H167" s="31" t="n"/>
      <c r="I167" s="34" t="n"/>
      <c r="J167" s="35">
        <f>IF(B167="","",ROUND(SUMIFS(Ingredients!$G$6:$G$1005,Ingredients!$C$6:$C$1005,B167),2))</f>
        <v/>
      </c>
      <c r="K167" s="35">
        <f>IF(B167="","",MAX(0,ROUND(J167-N(H167),2)))</f>
        <v/>
      </c>
      <c r="L167" s="30">
        <f>IF(B167="","",IF(N(K167)=0,0,ROUNDUP(ROUND(K167/IF(N(F167)&gt;0,F167,1),6),0))+N(I167))</f>
        <v/>
      </c>
      <c r="M167" s="25">
        <f>IF(B167="","",L167*N(G167))</f>
        <v/>
      </c>
      <c r="N167" s="1">
        <f>IF(B167="","",N(G167)/IF(N(F167)&gt;0,F167,1))</f>
        <v/>
      </c>
      <c r="O167">
        <f>IF(OR(B167="",N(L167)=0),"",IFERROR(MATCH(D167,Settings!$B$6:$B$17,0),13)*1000+ROW())</f>
        <v/>
      </c>
    </row>
    <row r="168">
      <c r="A168" s="1" t="n"/>
      <c r="B168" s="32" t="n"/>
      <c r="C168" s="31" t="n"/>
      <c r="D168" s="33" t="n"/>
      <c r="E168" s="33" t="n"/>
      <c r="F168" s="31" t="n"/>
      <c r="G168" s="36" t="n"/>
      <c r="H168" s="31" t="n"/>
      <c r="I168" s="34" t="n"/>
      <c r="J168" s="35">
        <f>IF(B168="","",ROUND(SUMIFS(Ingredients!$G$6:$G$1005,Ingredients!$C$6:$C$1005,B168),2))</f>
        <v/>
      </c>
      <c r="K168" s="35">
        <f>IF(B168="","",MAX(0,ROUND(J168-N(H168),2)))</f>
        <v/>
      </c>
      <c r="L168" s="30">
        <f>IF(B168="","",IF(N(K168)=0,0,ROUNDUP(ROUND(K168/IF(N(F168)&gt;0,F168,1),6),0))+N(I168))</f>
        <v/>
      </c>
      <c r="M168" s="25">
        <f>IF(B168="","",L168*N(G168))</f>
        <v/>
      </c>
      <c r="N168" s="1">
        <f>IF(B168="","",N(G168)/IF(N(F168)&gt;0,F168,1))</f>
        <v/>
      </c>
      <c r="O168">
        <f>IF(OR(B168="",N(L168)=0),"",IFERROR(MATCH(D168,Settings!$B$6:$B$17,0),13)*1000+ROW())</f>
        <v/>
      </c>
    </row>
    <row r="169">
      <c r="A169" s="1" t="n"/>
      <c r="B169" s="32" t="n"/>
      <c r="C169" s="31" t="n"/>
      <c r="D169" s="33" t="n"/>
      <c r="E169" s="33" t="n"/>
      <c r="F169" s="31" t="n"/>
      <c r="G169" s="36" t="n"/>
      <c r="H169" s="31" t="n"/>
      <c r="I169" s="34" t="n"/>
      <c r="J169" s="35">
        <f>IF(B169="","",ROUND(SUMIFS(Ingredients!$G$6:$G$1005,Ingredients!$C$6:$C$1005,B169),2))</f>
        <v/>
      </c>
      <c r="K169" s="35">
        <f>IF(B169="","",MAX(0,ROUND(J169-N(H169),2)))</f>
        <v/>
      </c>
      <c r="L169" s="30">
        <f>IF(B169="","",IF(N(K169)=0,0,ROUNDUP(ROUND(K169/IF(N(F169)&gt;0,F169,1),6),0))+N(I169))</f>
        <v/>
      </c>
      <c r="M169" s="25">
        <f>IF(B169="","",L169*N(G169))</f>
        <v/>
      </c>
      <c r="N169" s="1">
        <f>IF(B169="","",N(G169)/IF(N(F169)&gt;0,F169,1))</f>
        <v/>
      </c>
      <c r="O169">
        <f>IF(OR(B169="",N(L169)=0),"",IFERROR(MATCH(D169,Settings!$B$6:$B$17,0),13)*1000+ROW())</f>
        <v/>
      </c>
    </row>
    <row r="170">
      <c r="A170" s="1" t="n"/>
      <c r="B170" s="32" t="n"/>
      <c r="C170" s="31" t="n"/>
      <c r="D170" s="33" t="n"/>
      <c r="E170" s="33" t="n"/>
      <c r="F170" s="31" t="n"/>
      <c r="G170" s="36" t="n"/>
      <c r="H170" s="31" t="n"/>
      <c r="I170" s="34" t="n"/>
      <c r="J170" s="35">
        <f>IF(B170="","",ROUND(SUMIFS(Ingredients!$G$6:$G$1005,Ingredients!$C$6:$C$1005,B170),2))</f>
        <v/>
      </c>
      <c r="K170" s="35">
        <f>IF(B170="","",MAX(0,ROUND(J170-N(H170),2)))</f>
        <v/>
      </c>
      <c r="L170" s="30">
        <f>IF(B170="","",IF(N(K170)=0,0,ROUNDUP(ROUND(K170/IF(N(F170)&gt;0,F170,1),6),0))+N(I170))</f>
        <v/>
      </c>
      <c r="M170" s="25">
        <f>IF(B170="","",L170*N(G170))</f>
        <v/>
      </c>
      <c r="N170" s="1">
        <f>IF(B170="","",N(G170)/IF(N(F170)&gt;0,F170,1))</f>
        <v/>
      </c>
      <c r="O170">
        <f>IF(OR(B170="",N(L170)=0),"",IFERROR(MATCH(D170,Settings!$B$6:$B$17,0),13)*1000+ROW())</f>
        <v/>
      </c>
    </row>
    <row r="171">
      <c r="A171" s="1" t="n"/>
      <c r="B171" s="32" t="n"/>
      <c r="C171" s="31" t="n"/>
      <c r="D171" s="33" t="n"/>
      <c r="E171" s="33" t="n"/>
      <c r="F171" s="31" t="n"/>
      <c r="G171" s="36" t="n"/>
      <c r="H171" s="31" t="n"/>
      <c r="I171" s="34" t="n"/>
      <c r="J171" s="35">
        <f>IF(B171="","",ROUND(SUMIFS(Ingredients!$G$6:$G$1005,Ingredients!$C$6:$C$1005,B171),2))</f>
        <v/>
      </c>
      <c r="K171" s="35">
        <f>IF(B171="","",MAX(0,ROUND(J171-N(H171),2)))</f>
        <v/>
      </c>
      <c r="L171" s="30">
        <f>IF(B171="","",IF(N(K171)=0,0,ROUNDUP(ROUND(K171/IF(N(F171)&gt;0,F171,1),6),0))+N(I171))</f>
        <v/>
      </c>
      <c r="M171" s="25">
        <f>IF(B171="","",L171*N(G171))</f>
        <v/>
      </c>
      <c r="N171" s="1">
        <f>IF(B171="","",N(G171)/IF(N(F171)&gt;0,F171,1))</f>
        <v/>
      </c>
      <c r="O171">
        <f>IF(OR(B171="",N(L171)=0),"",IFERROR(MATCH(D171,Settings!$B$6:$B$17,0),13)*1000+ROW())</f>
        <v/>
      </c>
    </row>
    <row r="172">
      <c r="A172" s="1" t="n"/>
      <c r="B172" s="32" t="n"/>
      <c r="C172" s="31" t="n"/>
      <c r="D172" s="33" t="n"/>
      <c r="E172" s="33" t="n"/>
      <c r="F172" s="31" t="n"/>
      <c r="G172" s="36" t="n"/>
      <c r="H172" s="31" t="n"/>
      <c r="I172" s="34" t="n"/>
      <c r="J172" s="35">
        <f>IF(B172="","",ROUND(SUMIFS(Ingredients!$G$6:$G$1005,Ingredients!$C$6:$C$1005,B172),2))</f>
        <v/>
      </c>
      <c r="K172" s="35">
        <f>IF(B172="","",MAX(0,ROUND(J172-N(H172),2)))</f>
        <v/>
      </c>
      <c r="L172" s="30">
        <f>IF(B172="","",IF(N(K172)=0,0,ROUNDUP(ROUND(K172/IF(N(F172)&gt;0,F172,1),6),0))+N(I172))</f>
        <v/>
      </c>
      <c r="M172" s="25">
        <f>IF(B172="","",L172*N(G172))</f>
        <v/>
      </c>
      <c r="N172" s="1">
        <f>IF(B172="","",N(G172)/IF(N(F172)&gt;0,F172,1))</f>
        <v/>
      </c>
      <c r="O172">
        <f>IF(OR(B172="",N(L172)=0),"",IFERROR(MATCH(D172,Settings!$B$6:$B$17,0),13)*1000+ROW())</f>
        <v/>
      </c>
    </row>
    <row r="173">
      <c r="A173" s="1" t="n"/>
      <c r="B173" s="32" t="n"/>
      <c r="C173" s="31" t="n"/>
      <c r="D173" s="33" t="n"/>
      <c r="E173" s="33" t="n"/>
      <c r="F173" s="31" t="n"/>
      <c r="G173" s="36" t="n"/>
      <c r="H173" s="31" t="n"/>
      <c r="I173" s="34" t="n"/>
      <c r="J173" s="35">
        <f>IF(B173="","",ROUND(SUMIFS(Ingredients!$G$6:$G$1005,Ingredients!$C$6:$C$1005,B173),2))</f>
        <v/>
      </c>
      <c r="K173" s="35">
        <f>IF(B173="","",MAX(0,ROUND(J173-N(H173),2)))</f>
        <v/>
      </c>
      <c r="L173" s="30">
        <f>IF(B173="","",IF(N(K173)=0,0,ROUNDUP(ROUND(K173/IF(N(F173)&gt;0,F173,1),6),0))+N(I173))</f>
        <v/>
      </c>
      <c r="M173" s="25">
        <f>IF(B173="","",L173*N(G173))</f>
        <v/>
      </c>
      <c r="N173" s="1">
        <f>IF(B173="","",N(G173)/IF(N(F173)&gt;0,F173,1))</f>
        <v/>
      </c>
      <c r="O173">
        <f>IF(OR(B173="",N(L173)=0),"",IFERROR(MATCH(D173,Settings!$B$6:$B$17,0),13)*1000+ROW())</f>
        <v/>
      </c>
    </row>
    <row r="174">
      <c r="A174" s="1" t="n"/>
      <c r="B174" s="32" t="n"/>
      <c r="C174" s="31" t="n"/>
      <c r="D174" s="33" t="n"/>
      <c r="E174" s="33" t="n"/>
      <c r="F174" s="31" t="n"/>
      <c r="G174" s="36" t="n"/>
      <c r="H174" s="31" t="n"/>
      <c r="I174" s="34" t="n"/>
      <c r="J174" s="35">
        <f>IF(B174="","",ROUND(SUMIFS(Ingredients!$G$6:$G$1005,Ingredients!$C$6:$C$1005,B174),2))</f>
        <v/>
      </c>
      <c r="K174" s="35">
        <f>IF(B174="","",MAX(0,ROUND(J174-N(H174),2)))</f>
        <v/>
      </c>
      <c r="L174" s="30">
        <f>IF(B174="","",IF(N(K174)=0,0,ROUNDUP(ROUND(K174/IF(N(F174)&gt;0,F174,1),6),0))+N(I174))</f>
        <v/>
      </c>
      <c r="M174" s="25">
        <f>IF(B174="","",L174*N(G174))</f>
        <v/>
      </c>
      <c r="N174" s="1">
        <f>IF(B174="","",N(G174)/IF(N(F174)&gt;0,F174,1))</f>
        <v/>
      </c>
      <c r="O174">
        <f>IF(OR(B174="",N(L174)=0),"",IFERROR(MATCH(D174,Settings!$B$6:$B$17,0),13)*1000+ROW())</f>
        <v/>
      </c>
    </row>
    <row r="175">
      <c r="A175" s="1" t="n"/>
      <c r="B175" s="32" t="n"/>
      <c r="C175" s="31" t="n"/>
      <c r="D175" s="33" t="n"/>
      <c r="E175" s="33" t="n"/>
      <c r="F175" s="31" t="n"/>
      <c r="G175" s="36" t="n"/>
      <c r="H175" s="31" t="n"/>
      <c r="I175" s="34" t="n"/>
      <c r="J175" s="35">
        <f>IF(B175="","",ROUND(SUMIFS(Ingredients!$G$6:$G$1005,Ingredients!$C$6:$C$1005,B175),2))</f>
        <v/>
      </c>
      <c r="K175" s="35">
        <f>IF(B175="","",MAX(0,ROUND(J175-N(H175),2)))</f>
        <v/>
      </c>
      <c r="L175" s="30">
        <f>IF(B175="","",IF(N(K175)=0,0,ROUNDUP(ROUND(K175/IF(N(F175)&gt;0,F175,1),6),0))+N(I175))</f>
        <v/>
      </c>
      <c r="M175" s="25">
        <f>IF(B175="","",L175*N(G175))</f>
        <v/>
      </c>
      <c r="N175" s="1">
        <f>IF(B175="","",N(G175)/IF(N(F175)&gt;0,F175,1))</f>
        <v/>
      </c>
      <c r="O175">
        <f>IF(OR(B175="",N(L175)=0),"",IFERROR(MATCH(D175,Settings!$B$6:$B$17,0),13)*1000+ROW())</f>
        <v/>
      </c>
    </row>
    <row r="176">
      <c r="A176" s="1" t="n"/>
      <c r="B176" s="32" t="n"/>
      <c r="C176" s="31" t="n"/>
      <c r="D176" s="33" t="n"/>
      <c r="E176" s="33" t="n"/>
      <c r="F176" s="31" t="n"/>
      <c r="G176" s="36" t="n"/>
      <c r="H176" s="31" t="n"/>
      <c r="I176" s="34" t="n"/>
      <c r="J176" s="35">
        <f>IF(B176="","",ROUND(SUMIFS(Ingredients!$G$6:$G$1005,Ingredients!$C$6:$C$1005,B176),2))</f>
        <v/>
      </c>
      <c r="K176" s="35">
        <f>IF(B176="","",MAX(0,ROUND(J176-N(H176),2)))</f>
        <v/>
      </c>
      <c r="L176" s="30">
        <f>IF(B176="","",IF(N(K176)=0,0,ROUNDUP(ROUND(K176/IF(N(F176)&gt;0,F176,1),6),0))+N(I176))</f>
        <v/>
      </c>
      <c r="M176" s="25">
        <f>IF(B176="","",L176*N(G176))</f>
        <v/>
      </c>
      <c r="N176" s="1">
        <f>IF(B176="","",N(G176)/IF(N(F176)&gt;0,F176,1))</f>
        <v/>
      </c>
      <c r="O176">
        <f>IF(OR(B176="",N(L176)=0),"",IFERROR(MATCH(D176,Settings!$B$6:$B$17,0),13)*1000+ROW())</f>
        <v/>
      </c>
    </row>
    <row r="177">
      <c r="A177" s="1" t="n"/>
      <c r="B177" s="32" t="n"/>
      <c r="C177" s="31" t="n"/>
      <c r="D177" s="33" t="n"/>
      <c r="E177" s="33" t="n"/>
      <c r="F177" s="31" t="n"/>
      <c r="G177" s="36" t="n"/>
      <c r="H177" s="31" t="n"/>
      <c r="I177" s="34" t="n"/>
      <c r="J177" s="35">
        <f>IF(B177="","",ROUND(SUMIFS(Ingredients!$G$6:$G$1005,Ingredients!$C$6:$C$1005,B177),2))</f>
        <v/>
      </c>
      <c r="K177" s="35">
        <f>IF(B177="","",MAX(0,ROUND(J177-N(H177),2)))</f>
        <v/>
      </c>
      <c r="L177" s="30">
        <f>IF(B177="","",IF(N(K177)=0,0,ROUNDUP(ROUND(K177/IF(N(F177)&gt;0,F177,1),6),0))+N(I177))</f>
        <v/>
      </c>
      <c r="M177" s="25">
        <f>IF(B177="","",L177*N(G177))</f>
        <v/>
      </c>
      <c r="N177" s="1">
        <f>IF(B177="","",N(G177)/IF(N(F177)&gt;0,F177,1))</f>
        <v/>
      </c>
      <c r="O177">
        <f>IF(OR(B177="",N(L177)=0),"",IFERROR(MATCH(D177,Settings!$B$6:$B$17,0),13)*1000+ROW())</f>
        <v/>
      </c>
    </row>
    <row r="178">
      <c r="A178" s="1" t="n"/>
      <c r="B178" s="32" t="n"/>
      <c r="C178" s="31" t="n"/>
      <c r="D178" s="33" t="n"/>
      <c r="E178" s="33" t="n"/>
      <c r="F178" s="31" t="n"/>
      <c r="G178" s="36" t="n"/>
      <c r="H178" s="31" t="n"/>
      <c r="I178" s="34" t="n"/>
      <c r="J178" s="35">
        <f>IF(B178="","",ROUND(SUMIFS(Ingredients!$G$6:$G$1005,Ingredients!$C$6:$C$1005,B178),2))</f>
        <v/>
      </c>
      <c r="K178" s="35">
        <f>IF(B178="","",MAX(0,ROUND(J178-N(H178),2)))</f>
        <v/>
      </c>
      <c r="L178" s="30">
        <f>IF(B178="","",IF(N(K178)=0,0,ROUNDUP(ROUND(K178/IF(N(F178)&gt;0,F178,1),6),0))+N(I178))</f>
        <v/>
      </c>
      <c r="M178" s="25">
        <f>IF(B178="","",L178*N(G178))</f>
        <v/>
      </c>
      <c r="N178" s="1">
        <f>IF(B178="","",N(G178)/IF(N(F178)&gt;0,F178,1))</f>
        <v/>
      </c>
      <c r="O178">
        <f>IF(OR(B178="",N(L178)=0),"",IFERROR(MATCH(D178,Settings!$B$6:$B$17,0),13)*1000+ROW())</f>
        <v/>
      </c>
    </row>
    <row r="179">
      <c r="A179" s="1" t="n"/>
      <c r="B179" s="32" t="n"/>
      <c r="C179" s="31" t="n"/>
      <c r="D179" s="33" t="n"/>
      <c r="E179" s="33" t="n"/>
      <c r="F179" s="31" t="n"/>
      <c r="G179" s="36" t="n"/>
      <c r="H179" s="31" t="n"/>
      <c r="I179" s="34" t="n"/>
      <c r="J179" s="35">
        <f>IF(B179="","",ROUND(SUMIFS(Ingredients!$G$6:$G$1005,Ingredients!$C$6:$C$1005,B179),2))</f>
        <v/>
      </c>
      <c r="K179" s="35">
        <f>IF(B179="","",MAX(0,ROUND(J179-N(H179),2)))</f>
        <v/>
      </c>
      <c r="L179" s="30">
        <f>IF(B179="","",IF(N(K179)=0,0,ROUNDUP(ROUND(K179/IF(N(F179)&gt;0,F179,1),6),0))+N(I179))</f>
        <v/>
      </c>
      <c r="M179" s="25">
        <f>IF(B179="","",L179*N(G179))</f>
        <v/>
      </c>
      <c r="N179" s="1">
        <f>IF(B179="","",N(G179)/IF(N(F179)&gt;0,F179,1))</f>
        <v/>
      </c>
      <c r="O179">
        <f>IF(OR(B179="",N(L179)=0),"",IFERROR(MATCH(D179,Settings!$B$6:$B$17,0),13)*1000+ROW())</f>
        <v/>
      </c>
    </row>
    <row r="180">
      <c r="A180" s="1" t="n"/>
      <c r="B180" s="32" t="n"/>
      <c r="C180" s="31" t="n"/>
      <c r="D180" s="33" t="n"/>
      <c r="E180" s="33" t="n"/>
      <c r="F180" s="31" t="n"/>
      <c r="G180" s="36" t="n"/>
      <c r="H180" s="31" t="n"/>
      <c r="I180" s="34" t="n"/>
      <c r="J180" s="35">
        <f>IF(B180="","",ROUND(SUMIFS(Ingredients!$G$6:$G$1005,Ingredients!$C$6:$C$1005,B180),2))</f>
        <v/>
      </c>
      <c r="K180" s="35">
        <f>IF(B180="","",MAX(0,ROUND(J180-N(H180),2)))</f>
        <v/>
      </c>
      <c r="L180" s="30">
        <f>IF(B180="","",IF(N(K180)=0,0,ROUNDUP(ROUND(K180/IF(N(F180)&gt;0,F180,1),6),0))+N(I180))</f>
        <v/>
      </c>
      <c r="M180" s="25">
        <f>IF(B180="","",L180*N(G180))</f>
        <v/>
      </c>
      <c r="N180" s="1">
        <f>IF(B180="","",N(G180)/IF(N(F180)&gt;0,F180,1))</f>
        <v/>
      </c>
      <c r="O180">
        <f>IF(OR(B180="",N(L180)=0),"",IFERROR(MATCH(D180,Settings!$B$6:$B$17,0),13)*1000+ROW())</f>
        <v/>
      </c>
    </row>
    <row r="181">
      <c r="A181" s="1" t="n"/>
      <c r="B181" s="32" t="n"/>
      <c r="C181" s="31" t="n"/>
      <c r="D181" s="33" t="n"/>
      <c r="E181" s="33" t="n"/>
      <c r="F181" s="31" t="n"/>
      <c r="G181" s="36" t="n"/>
      <c r="H181" s="31" t="n"/>
      <c r="I181" s="34" t="n"/>
      <c r="J181" s="35">
        <f>IF(B181="","",ROUND(SUMIFS(Ingredients!$G$6:$G$1005,Ingredients!$C$6:$C$1005,B181),2))</f>
        <v/>
      </c>
      <c r="K181" s="35">
        <f>IF(B181="","",MAX(0,ROUND(J181-N(H181),2)))</f>
        <v/>
      </c>
      <c r="L181" s="30">
        <f>IF(B181="","",IF(N(K181)=0,0,ROUNDUP(ROUND(K181/IF(N(F181)&gt;0,F181,1),6),0))+N(I181))</f>
        <v/>
      </c>
      <c r="M181" s="25">
        <f>IF(B181="","",L181*N(G181))</f>
        <v/>
      </c>
      <c r="N181" s="1">
        <f>IF(B181="","",N(G181)/IF(N(F181)&gt;0,F181,1))</f>
        <v/>
      </c>
      <c r="O181">
        <f>IF(OR(B181="",N(L181)=0),"",IFERROR(MATCH(D181,Settings!$B$6:$B$17,0),13)*1000+ROW())</f>
        <v/>
      </c>
    </row>
    <row r="182">
      <c r="A182" s="1" t="n"/>
      <c r="B182" s="32" t="n"/>
      <c r="C182" s="31" t="n"/>
      <c r="D182" s="33" t="n"/>
      <c r="E182" s="33" t="n"/>
      <c r="F182" s="31" t="n"/>
      <c r="G182" s="36" t="n"/>
      <c r="H182" s="31" t="n"/>
      <c r="I182" s="34" t="n"/>
      <c r="J182" s="35">
        <f>IF(B182="","",ROUND(SUMIFS(Ingredients!$G$6:$G$1005,Ingredients!$C$6:$C$1005,B182),2))</f>
        <v/>
      </c>
      <c r="K182" s="35">
        <f>IF(B182="","",MAX(0,ROUND(J182-N(H182),2)))</f>
        <v/>
      </c>
      <c r="L182" s="30">
        <f>IF(B182="","",IF(N(K182)=0,0,ROUNDUP(ROUND(K182/IF(N(F182)&gt;0,F182,1),6),0))+N(I182))</f>
        <v/>
      </c>
      <c r="M182" s="25">
        <f>IF(B182="","",L182*N(G182))</f>
        <v/>
      </c>
      <c r="N182" s="1">
        <f>IF(B182="","",N(G182)/IF(N(F182)&gt;0,F182,1))</f>
        <v/>
      </c>
      <c r="O182">
        <f>IF(OR(B182="",N(L182)=0),"",IFERROR(MATCH(D182,Settings!$B$6:$B$17,0),13)*1000+ROW())</f>
        <v/>
      </c>
    </row>
    <row r="183">
      <c r="A183" s="1" t="n"/>
      <c r="B183" s="32" t="n"/>
      <c r="C183" s="31" t="n"/>
      <c r="D183" s="33" t="n"/>
      <c r="E183" s="33" t="n"/>
      <c r="F183" s="31" t="n"/>
      <c r="G183" s="36" t="n"/>
      <c r="H183" s="31" t="n"/>
      <c r="I183" s="34" t="n"/>
      <c r="J183" s="35">
        <f>IF(B183="","",ROUND(SUMIFS(Ingredients!$G$6:$G$1005,Ingredients!$C$6:$C$1005,B183),2))</f>
        <v/>
      </c>
      <c r="K183" s="35">
        <f>IF(B183="","",MAX(0,ROUND(J183-N(H183),2)))</f>
        <v/>
      </c>
      <c r="L183" s="30">
        <f>IF(B183="","",IF(N(K183)=0,0,ROUNDUP(ROUND(K183/IF(N(F183)&gt;0,F183,1),6),0))+N(I183))</f>
        <v/>
      </c>
      <c r="M183" s="25">
        <f>IF(B183="","",L183*N(G183))</f>
        <v/>
      </c>
      <c r="N183" s="1">
        <f>IF(B183="","",N(G183)/IF(N(F183)&gt;0,F183,1))</f>
        <v/>
      </c>
      <c r="O183">
        <f>IF(OR(B183="",N(L183)=0),"",IFERROR(MATCH(D183,Settings!$B$6:$B$17,0),13)*1000+ROW())</f>
        <v/>
      </c>
    </row>
    <row r="184">
      <c r="A184" s="1" t="n"/>
      <c r="B184" s="32" t="n"/>
      <c r="C184" s="31" t="n"/>
      <c r="D184" s="33" t="n"/>
      <c r="E184" s="33" t="n"/>
      <c r="F184" s="31" t="n"/>
      <c r="G184" s="36" t="n"/>
      <c r="H184" s="31" t="n"/>
      <c r="I184" s="34" t="n"/>
      <c r="J184" s="35">
        <f>IF(B184="","",ROUND(SUMIFS(Ingredients!$G$6:$G$1005,Ingredients!$C$6:$C$1005,B184),2))</f>
        <v/>
      </c>
      <c r="K184" s="35">
        <f>IF(B184="","",MAX(0,ROUND(J184-N(H184),2)))</f>
        <v/>
      </c>
      <c r="L184" s="30">
        <f>IF(B184="","",IF(N(K184)=0,0,ROUNDUP(ROUND(K184/IF(N(F184)&gt;0,F184,1),6),0))+N(I184))</f>
        <v/>
      </c>
      <c r="M184" s="25">
        <f>IF(B184="","",L184*N(G184))</f>
        <v/>
      </c>
      <c r="N184" s="1">
        <f>IF(B184="","",N(G184)/IF(N(F184)&gt;0,F184,1))</f>
        <v/>
      </c>
      <c r="O184">
        <f>IF(OR(B184="",N(L184)=0),"",IFERROR(MATCH(D184,Settings!$B$6:$B$17,0),13)*1000+ROW())</f>
        <v/>
      </c>
    </row>
    <row r="185">
      <c r="A185" s="1" t="n"/>
      <c r="B185" s="32" t="n"/>
      <c r="C185" s="31" t="n"/>
      <c r="D185" s="33" t="n"/>
      <c r="E185" s="33" t="n"/>
      <c r="F185" s="31" t="n"/>
      <c r="G185" s="36" t="n"/>
      <c r="H185" s="31" t="n"/>
      <c r="I185" s="34" t="n"/>
      <c r="J185" s="35">
        <f>IF(B185="","",ROUND(SUMIFS(Ingredients!$G$6:$G$1005,Ingredients!$C$6:$C$1005,B185),2))</f>
        <v/>
      </c>
      <c r="K185" s="35">
        <f>IF(B185="","",MAX(0,ROUND(J185-N(H185),2)))</f>
        <v/>
      </c>
      <c r="L185" s="30">
        <f>IF(B185="","",IF(N(K185)=0,0,ROUNDUP(ROUND(K185/IF(N(F185)&gt;0,F185,1),6),0))+N(I185))</f>
        <v/>
      </c>
      <c r="M185" s="25">
        <f>IF(B185="","",L185*N(G185))</f>
        <v/>
      </c>
      <c r="N185" s="1">
        <f>IF(B185="","",N(G185)/IF(N(F185)&gt;0,F185,1))</f>
        <v/>
      </c>
      <c r="O185">
        <f>IF(OR(B185="",N(L185)=0),"",IFERROR(MATCH(D185,Settings!$B$6:$B$17,0),13)*1000+ROW())</f>
        <v/>
      </c>
    </row>
    <row r="186">
      <c r="A186" s="1" t="n"/>
      <c r="B186" s="32" t="n"/>
      <c r="C186" s="31" t="n"/>
      <c r="D186" s="33" t="n"/>
      <c r="E186" s="33" t="n"/>
      <c r="F186" s="31" t="n"/>
      <c r="G186" s="36" t="n"/>
      <c r="H186" s="31" t="n"/>
      <c r="I186" s="34" t="n"/>
      <c r="J186" s="35">
        <f>IF(B186="","",ROUND(SUMIFS(Ingredients!$G$6:$G$1005,Ingredients!$C$6:$C$1005,B186),2))</f>
        <v/>
      </c>
      <c r="K186" s="35">
        <f>IF(B186="","",MAX(0,ROUND(J186-N(H186),2)))</f>
        <v/>
      </c>
      <c r="L186" s="30">
        <f>IF(B186="","",IF(N(K186)=0,0,ROUNDUP(ROUND(K186/IF(N(F186)&gt;0,F186,1),6),0))+N(I186))</f>
        <v/>
      </c>
      <c r="M186" s="25">
        <f>IF(B186="","",L186*N(G186))</f>
        <v/>
      </c>
      <c r="N186" s="1">
        <f>IF(B186="","",N(G186)/IF(N(F186)&gt;0,F186,1))</f>
        <v/>
      </c>
      <c r="O186">
        <f>IF(OR(B186="",N(L186)=0),"",IFERROR(MATCH(D186,Settings!$B$6:$B$17,0),13)*1000+ROW())</f>
        <v/>
      </c>
    </row>
    <row r="187">
      <c r="A187" s="1" t="n"/>
      <c r="B187" s="32" t="n"/>
      <c r="C187" s="31" t="n"/>
      <c r="D187" s="33" t="n"/>
      <c r="E187" s="33" t="n"/>
      <c r="F187" s="31" t="n"/>
      <c r="G187" s="36" t="n"/>
      <c r="H187" s="31" t="n"/>
      <c r="I187" s="34" t="n"/>
      <c r="J187" s="35">
        <f>IF(B187="","",ROUND(SUMIFS(Ingredients!$G$6:$G$1005,Ingredients!$C$6:$C$1005,B187),2))</f>
        <v/>
      </c>
      <c r="K187" s="35">
        <f>IF(B187="","",MAX(0,ROUND(J187-N(H187),2)))</f>
        <v/>
      </c>
      <c r="L187" s="30">
        <f>IF(B187="","",IF(N(K187)=0,0,ROUNDUP(ROUND(K187/IF(N(F187)&gt;0,F187,1),6),0))+N(I187))</f>
        <v/>
      </c>
      <c r="M187" s="25">
        <f>IF(B187="","",L187*N(G187))</f>
        <v/>
      </c>
      <c r="N187" s="1">
        <f>IF(B187="","",N(G187)/IF(N(F187)&gt;0,F187,1))</f>
        <v/>
      </c>
      <c r="O187">
        <f>IF(OR(B187="",N(L187)=0),"",IFERROR(MATCH(D187,Settings!$B$6:$B$17,0),13)*1000+ROW())</f>
        <v/>
      </c>
    </row>
    <row r="188">
      <c r="A188" s="1" t="n"/>
      <c r="B188" s="32" t="n"/>
      <c r="C188" s="31" t="n"/>
      <c r="D188" s="33" t="n"/>
      <c r="E188" s="33" t="n"/>
      <c r="F188" s="31" t="n"/>
      <c r="G188" s="36" t="n"/>
      <c r="H188" s="31" t="n"/>
      <c r="I188" s="34" t="n"/>
      <c r="J188" s="35">
        <f>IF(B188="","",ROUND(SUMIFS(Ingredients!$G$6:$G$1005,Ingredients!$C$6:$C$1005,B188),2))</f>
        <v/>
      </c>
      <c r="K188" s="35">
        <f>IF(B188="","",MAX(0,ROUND(J188-N(H188),2)))</f>
        <v/>
      </c>
      <c r="L188" s="30">
        <f>IF(B188="","",IF(N(K188)=0,0,ROUNDUP(ROUND(K188/IF(N(F188)&gt;0,F188,1),6),0))+N(I188))</f>
        <v/>
      </c>
      <c r="M188" s="25">
        <f>IF(B188="","",L188*N(G188))</f>
        <v/>
      </c>
      <c r="N188" s="1">
        <f>IF(B188="","",N(G188)/IF(N(F188)&gt;0,F188,1))</f>
        <v/>
      </c>
      <c r="O188">
        <f>IF(OR(B188="",N(L188)=0),"",IFERROR(MATCH(D188,Settings!$B$6:$B$17,0),13)*1000+ROW())</f>
        <v/>
      </c>
    </row>
    <row r="189">
      <c r="A189" s="1" t="n"/>
      <c r="B189" s="32" t="n"/>
      <c r="C189" s="31" t="n"/>
      <c r="D189" s="33" t="n"/>
      <c r="E189" s="33" t="n"/>
      <c r="F189" s="31" t="n"/>
      <c r="G189" s="36" t="n"/>
      <c r="H189" s="31" t="n"/>
      <c r="I189" s="34" t="n"/>
      <c r="J189" s="35">
        <f>IF(B189="","",ROUND(SUMIFS(Ingredients!$G$6:$G$1005,Ingredients!$C$6:$C$1005,B189),2))</f>
        <v/>
      </c>
      <c r="K189" s="35">
        <f>IF(B189="","",MAX(0,ROUND(J189-N(H189),2)))</f>
        <v/>
      </c>
      <c r="L189" s="30">
        <f>IF(B189="","",IF(N(K189)=0,0,ROUNDUP(ROUND(K189/IF(N(F189)&gt;0,F189,1),6),0))+N(I189))</f>
        <v/>
      </c>
      <c r="M189" s="25">
        <f>IF(B189="","",L189*N(G189))</f>
        <v/>
      </c>
      <c r="N189" s="1">
        <f>IF(B189="","",N(G189)/IF(N(F189)&gt;0,F189,1))</f>
        <v/>
      </c>
      <c r="O189">
        <f>IF(OR(B189="",N(L189)=0),"",IFERROR(MATCH(D189,Settings!$B$6:$B$17,0),13)*1000+ROW())</f>
        <v/>
      </c>
    </row>
    <row r="190">
      <c r="A190" s="1" t="n"/>
      <c r="B190" s="32" t="n"/>
      <c r="C190" s="31" t="n"/>
      <c r="D190" s="33" t="n"/>
      <c r="E190" s="33" t="n"/>
      <c r="F190" s="31" t="n"/>
      <c r="G190" s="36" t="n"/>
      <c r="H190" s="31" t="n"/>
      <c r="I190" s="34" t="n"/>
      <c r="J190" s="35">
        <f>IF(B190="","",ROUND(SUMIFS(Ingredients!$G$6:$G$1005,Ingredients!$C$6:$C$1005,B190),2))</f>
        <v/>
      </c>
      <c r="K190" s="35">
        <f>IF(B190="","",MAX(0,ROUND(J190-N(H190),2)))</f>
        <v/>
      </c>
      <c r="L190" s="30">
        <f>IF(B190="","",IF(N(K190)=0,0,ROUNDUP(ROUND(K190/IF(N(F190)&gt;0,F190,1),6),0))+N(I190))</f>
        <v/>
      </c>
      <c r="M190" s="25">
        <f>IF(B190="","",L190*N(G190))</f>
        <v/>
      </c>
      <c r="N190" s="1">
        <f>IF(B190="","",N(G190)/IF(N(F190)&gt;0,F190,1))</f>
        <v/>
      </c>
      <c r="O190">
        <f>IF(OR(B190="",N(L190)=0),"",IFERROR(MATCH(D190,Settings!$B$6:$B$17,0),13)*1000+ROW())</f>
        <v/>
      </c>
    </row>
    <row r="191">
      <c r="A191" s="1" t="n"/>
      <c r="B191" s="32" t="n"/>
      <c r="C191" s="31" t="n"/>
      <c r="D191" s="33" t="n"/>
      <c r="E191" s="33" t="n"/>
      <c r="F191" s="31" t="n"/>
      <c r="G191" s="36" t="n"/>
      <c r="H191" s="31" t="n"/>
      <c r="I191" s="34" t="n"/>
      <c r="J191" s="35">
        <f>IF(B191="","",ROUND(SUMIFS(Ingredients!$G$6:$G$1005,Ingredients!$C$6:$C$1005,B191),2))</f>
        <v/>
      </c>
      <c r="K191" s="35">
        <f>IF(B191="","",MAX(0,ROUND(J191-N(H191),2)))</f>
        <v/>
      </c>
      <c r="L191" s="30">
        <f>IF(B191="","",IF(N(K191)=0,0,ROUNDUP(ROUND(K191/IF(N(F191)&gt;0,F191,1),6),0))+N(I191))</f>
        <v/>
      </c>
      <c r="M191" s="25">
        <f>IF(B191="","",L191*N(G191))</f>
        <v/>
      </c>
      <c r="N191" s="1">
        <f>IF(B191="","",N(G191)/IF(N(F191)&gt;0,F191,1))</f>
        <v/>
      </c>
      <c r="O191">
        <f>IF(OR(B191="",N(L191)=0),"",IFERROR(MATCH(D191,Settings!$B$6:$B$17,0),13)*1000+ROW())</f>
        <v/>
      </c>
    </row>
    <row r="192">
      <c r="A192" s="1" t="n"/>
      <c r="B192" s="32" t="n"/>
      <c r="C192" s="31" t="n"/>
      <c r="D192" s="33" t="n"/>
      <c r="E192" s="33" t="n"/>
      <c r="F192" s="31" t="n"/>
      <c r="G192" s="36" t="n"/>
      <c r="H192" s="31" t="n"/>
      <c r="I192" s="34" t="n"/>
      <c r="J192" s="35">
        <f>IF(B192="","",ROUND(SUMIFS(Ingredients!$G$6:$G$1005,Ingredients!$C$6:$C$1005,B192),2))</f>
        <v/>
      </c>
      <c r="K192" s="35">
        <f>IF(B192="","",MAX(0,ROUND(J192-N(H192),2)))</f>
        <v/>
      </c>
      <c r="L192" s="30">
        <f>IF(B192="","",IF(N(K192)=0,0,ROUNDUP(ROUND(K192/IF(N(F192)&gt;0,F192,1),6),0))+N(I192))</f>
        <v/>
      </c>
      <c r="M192" s="25">
        <f>IF(B192="","",L192*N(G192))</f>
        <v/>
      </c>
      <c r="N192" s="1">
        <f>IF(B192="","",N(G192)/IF(N(F192)&gt;0,F192,1))</f>
        <v/>
      </c>
      <c r="O192">
        <f>IF(OR(B192="",N(L192)=0),"",IFERROR(MATCH(D192,Settings!$B$6:$B$17,0),13)*1000+ROW())</f>
        <v/>
      </c>
    </row>
    <row r="193">
      <c r="A193" s="1" t="n"/>
      <c r="B193" s="32" t="n"/>
      <c r="C193" s="31" t="n"/>
      <c r="D193" s="33" t="n"/>
      <c r="E193" s="33" t="n"/>
      <c r="F193" s="31" t="n"/>
      <c r="G193" s="36" t="n"/>
      <c r="H193" s="31" t="n"/>
      <c r="I193" s="34" t="n"/>
      <c r="J193" s="35">
        <f>IF(B193="","",ROUND(SUMIFS(Ingredients!$G$6:$G$1005,Ingredients!$C$6:$C$1005,B193),2))</f>
        <v/>
      </c>
      <c r="K193" s="35">
        <f>IF(B193="","",MAX(0,ROUND(J193-N(H193),2)))</f>
        <v/>
      </c>
      <c r="L193" s="30">
        <f>IF(B193="","",IF(N(K193)=0,0,ROUNDUP(ROUND(K193/IF(N(F193)&gt;0,F193,1),6),0))+N(I193))</f>
        <v/>
      </c>
      <c r="M193" s="25">
        <f>IF(B193="","",L193*N(G193))</f>
        <v/>
      </c>
      <c r="N193" s="1">
        <f>IF(B193="","",N(G193)/IF(N(F193)&gt;0,F193,1))</f>
        <v/>
      </c>
      <c r="O193">
        <f>IF(OR(B193="",N(L193)=0),"",IFERROR(MATCH(D193,Settings!$B$6:$B$17,0),13)*1000+ROW())</f>
        <v/>
      </c>
    </row>
    <row r="194">
      <c r="A194" s="1" t="n"/>
      <c r="B194" s="32" t="n"/>
      <c r="C194" s="31" t="n"/>
      <c r="D194" s="33" t="n"/>
      <c r="E194" s="33" t="n"/>
      <c r="F194" s="31" t="n"/>
      <c r="G194" s="36" t="n"/>
      <c r="H194" s="31" t="n"/>
      <c r="I194" s="34" t="n"/>
      <c r="J194" s="35">
        <f>IF(B194="","",ROUND(SUMIFS(Ingredients!$G$6:$G$1005,Ingredients!$C$6:$C$1005,B194),2))</f>
        <v/>
      </c>
      <c r="K194" s="35">
        <f>IF(B194="","",MAX(0,ROUND(J194-N(H194),2)))</f>
        <v/>
      </c>
      <c r="L194" s="30">
        <f>IF(B194="","",IF(N(K194)=0,0,ROUNDUP(ROUND(K194/IF(N(F194)&gt;0,F194,1),6),0))+N(I194))</f>
        <v/>
      </c>
      <c r="M194" s="25">
        <f>IF(B194="","",L194*N(G194))</f>
        <v/>
      </c>
      <c r="N194" s="1">
        <f>IF(B194="","",N(G194)/IF(N(F194)&gt;0,F194,1))</f>
        <v/>
      </c>
      <c r="O194">
        <f>IF(OR(B194="",N(L194)=0),"",IFERROR(MATCH(D194,Settings!$B$6:$B$17,0),13)*1000+ROW())</f>
        <v/>
      </c>
    </row>
    <row r="195">
      <c r="A195" s="1" t="n"/>
      <c r="B195" s="32" t="n"/>
      <c r="C195" s="31" t="n"/>
      <c r="D195" s="33" t="n"/>
      <c r="E195" s="33" t="n"/>
      <c r="F195" s="31" t="n"/>
      <c r="G195" s="36" t="n"/>
      <c r="H195" s="31" t="n"/>
      <c r="I195" s="34" t="n"/>
      <c r="J195" s="35">
        <f>IF(B195="","",ROUND(SUMIFS(Ingredients!$G$6:$G$1005,Ingredients!$C$6:$C$1005,B195),2))</f>
        <v/>
      </c>
      <c r="K195" s="35">
        <f>IF(B195="","",MAX(0,ROUND(J195-N(H195),2)))</f>
        <v/>
      </c>
      <c r="L195" s="30">
        <f>IF(B195="","",IF(N(K195)=0,0,ROUNDUP(ROUND(K195/IF(N(F195)&gt;0,F195,1),6),0))+N(I195))</f>
        <v/>
      </c>
      <c r="M195" s="25">
        <f>IF(B195="","",L195*N(G195))</f>
        <v/>
      </c>
      <c r="N195" s="1">
        <f>IF(B195="","",N(G195)/IF(N(F195)&gt;0,F195,1))</f>
        <v/>
      </c>
      <c r="O195">
        <f>IF(OR(B195="",N(L195)=0),"",IFERROR(MATCH(D195,Settings!$B$6:$B$17,0),13)*1000+ROW())</f>
        <v/>
      </c>
    </row>
    <row r="196">
      <c r="A196" s="1" t="n"/>
      <c r="B196" s="32" t="n"/>
      <c r="C196" s="31" t="n"/>
      <c r="D196" s="33" t="n"/>
      <c r="E196" s="33" t="n"/>
      <c r="F196" s="31" t="n"/>
      <c r="G196" s="36" t="n"/>
      <c r="H196" s="31" t="n"/>
      <c r="I196" s="34" t="n"/>
      <c r="J196" s="35">
        <f>IF(B196="","",ROUND(SUMIFS(Ingredients!$G$6:$G$1005,Ingredients!$C$6:$C$1005,B196),2))</f>
        <v/>
      </c>
      <c r="K196" s="35">
        <f>IF(B196="","",MAX(0,ROUND(J196-N(H196),2)))</f>
        <v/>
      </c>
      <c r="L196" s="30">
        <f>IF(B196="","",IF(N(K196)=0,0,ROUNDUP(ROUND(K196/IF(N(F196)&gt;0,F196,1),6),0))+N(I196))</f>
        <v/>
      </c>
      <c r="M196" s="25">
        <f>IF(B196="","",L196*N(G196))</f>
        <v/>
      </c>
      <c r="N196" s="1">
        <f>IF(B196="","",N(G196)/IF(N(F196)&gt;0,F196,1))</f>
        <v/>
      </c>
      <c r="O196">
        <f>IF(OR(B196="",N(L196)=0),"",IFERROR(MATCH(D196,Settings!$B$6:$B$17,0),13)*1000+ROW())</f>
        <v/>
      </c>
    </row>
    <row r="197">
      <c r="A197" s="1" t="n"/>
      <c r="B197" s="32" t="n"/>
      <c r="C197" s="31" t="n"/>
      <c r="D197" s="33" t="n"/>
      <c r="E197" s="33" t="n"/>
      <c r="F197" s="31" t="n"/>
      <c r="G197" s="36" t="n"/>
      <c r="H197" s="31" t="n"/>
      <c r="I197" s="34" t="n"/>
      <c r="J197" s="35">
        <f>IF(B197="","",ROUND(SUMIFS(Ingredients!$G$6:$G$1005,Ingredients!$C$6:$C$1005,B197),2))</f>
        <v/>
      </c>
      <c r="K197" s="35">
        <f>IF(B197="","",MAX(0,ROUND(J197-N(H197),2)))</f>
        <v/>
      </c>
      <c r="L197" s="30">
        <f>IF(B197="","",IF(N(K197)=0,0,ROUNDUP(ROUND(K197/IF(N(F197)&gt;0,F197,1),6),0))+N(I197))</f>
        <v/>
      </c>
      <c r="M197" s="25">
        <f>IF(B197="","",L197*N(G197))</f>
        <v/>
      </c>
      <c r="N197" s="1">
        <f>IF(B197="","",N(G197)/IF(N(F197)&gt;0,F197,1))</f>
        <v/>
      </c>
      <c r="O197">
        <f>IF(OR(B197="",N(L197)=0),"",IFERROR(MATCH(D197,Settings!$B$6:$B$17,0),13)*1000+ROW())</f>
        <v/>
      </c>
    </row>
    <row r="198">
      <c r="A198" s="1" t="n"/>
      <c r="B198" s="32" t="n"/>
      <c r="C198" s="31" t="n"/>
      <c r="D198" s="33" t="n"/>
      <c r="E198" s="33" t="n"/>
      <c r="F198" s="31" t="n"/>
      <c r="G198" s="36" t="n"/>
      <c r="H198" s="31" t="n"/>
      <c r="I198" s="34" t="n"/>
      <c r="J198" s="35">
        <f>IF(B198="","",ROUND(SUMIFS(Ingredients!$G$6:$G$1005,Ingredients!$C$6:$C$1005,B198),2))</f>
        <v/>
      </c>
      <c r="K198" s="35">
        <f>IF(B198="","",MAX(0,ROUND(J198-N(H198),2)))</f>
        <v/>
      </c>
      <c r="L198" s="30">
        <f>IF(B198="","",IF(N(K198)=0,0,ROUNDUP(ROUND(K198/IF(N(F198)&gt;0,F198,1),6),0))+N(I198))</f>
        <v/>
      </c>
      <c r="M198" s="25">
        <f>IF(B198="","",L198*N(G198))</f>
        <v/>
      </c>
      <c r="N198" s="1">
        <f>IF(B198="","",N(G198)/IF(N(F198)&gt;0,F198,1))</f>
        <v/>
      </c>
      <c r="O198">
        <f>IF(OR(B198="",N(L198)=0),"",IFERROR(MATCH(D198,Settings!$B$6:$B$17,0),13)*1000+ROW())</f>
        <v/>
      </c>
    </row>
    <row r="199">
      <c r="A199" s="1" t="n"/>
      <c r="B199" s="32" t="n"/>
      <c r="C199" s="31" t="n"/>
      <c r="D199" s="33" t="n"/>
      <c r="E199" s="33" t="n"/>
      <c r="F199" s="31" t="n"/>
      <c r="G199" s="36" t="n"/>
      <c r="H199" s="31" t="n"/>
      <c r="I199" s="34" t="n"/>
      <c r="J199" s="35">
        <f>IF(B199="","",ROUND(SUMIFS(Ingredients!$G$6:$G$1005,Ingredients!$C$6:$C$1005,B199),2))</f>
        <v/>
      </c>
      <c r="K199" s="35">
        <f>IF(B199="","",MAX(0,ROUND(J199-N(H199),2)))</f>
        <v/>
      </c>
      <c r="L199" s="30">
        <f>IF(B199="","",IF(N(K199)=0,0,ROUNDUP(ROUND(K199/IF(N(F199)&gt;0,F199,1),6),0))+N(I199))</f>
        <v/>
      </c>
      <c r="M199" s="25">
        <f>IF(B199="","",L199*N(G199))</f>
        <v/>
      </c>
      <c r="N199" s="1">
        <f>IF(B199="","",N(G199)/IF(N(F199)&gt;0,F199,1))</f>
        <v/>
      </c>
      <c r="O199">
        <f>IF(OR(B199="",N(L199)=0),"",IFERROR(MATCH(D199,Settings!$B$6:$B$17,0),13)*1000+ROW())</f>
        <v/>
      </c>
    </row>
    <row r="200">
      <c r="A200" s="1" t="n"/>
      <c r="B200" s="32" t="n"/>
      <c r="C200" s="31" t="n"/>
      <c r="D200" s="33" t="n"/>
      <c r="E200" s="33" t="n"/>
      <c r="F200" s="31" t="n"/>
      <c r="G200" s="36" t="n"/>
      <c r="H200" s="31" t="n"/>
      <c r="I200" s="34" t="n"/>
      <c r="J200" s="35">
        <f>IF(B200="","",ROUND(SUMIFS(Ingredients!$G$6:$G$1005,Ingredients!$C$6:$C$1005,B200),2))</f>
        <v/>
      </c>
      <c r="K200" s="35">
        <f>IF(B200="","",MAX(0,ROUND(J200-N(H200),2)))</f>
        <v/>
      </c>
      <c r="L200" s="30">
        <f>IF(B200="","",IF(N(K200)=0,0,ROUNDUP(ROUND(K200/IF(N(F200)&gt;0,F200,1),6),0))+N(I200))</f>
        <v/>
      </c>
      <c r="M200" s="25">
        <f>IF(B200="","",L200*N(G200))</f>
        <v/>
      </c>
      <c r="N200" s="1">
        <f>IF(B200="","",N(G200)/IF(N(F200)&gt;0,F200,1))</f>
        <v/>
      </c>
      <c r="O200">
        <f>IF(OR(B200="",N(L200)=0),"",IFERROR(MATCH(D200,Settings!$B$6:$B$17,0),13)*1000+ROW())</f>
        <v/>
      </c>
    </row>
    <row r="201">
      <c r="A201" s="1" t="n"/>
      <c r="B201" s="32" t="n"/>
      <c r="C201" s="31" t="n"/>
      <c r="D201" s="33" t="n"/>
      <c r="E201" s="33" t="n"/>
      <c r="F201" s="31" t="n"/>
      <c r="G201" s="36" t="n"/>
      <c r="H201" s="31" t="n"/>
      <c r="I201" s="34" t="n"/>
      <c r="J201" s="35">
        <f>IF(B201="","",ROUND(SUMIFS(Ingredients!$G$6:$G$1005,Ingredients!$C$6:$C$1005,B201),2))</f>
        <v/>
      </c>
      <c r="K201" s="35">
        <f>IF(B201="","",MAX(0,ROUND(J201-N(H201),2)))</f>
        <v/>
      </c>
      <c r="L201" s="30">
        <f>IF(B201="","",IF(N(K201)=0,0,ROUNDUP(ROUND(K201/IF(N(F201)&gt;0,F201,1),6),0))+N(I201))</f>
        <v/>
      </c>
      <c r="M201" s="25">
        <f>IF(B201="","",L201*N(G201))</f>
        <v/>
      </c>
      <c r="N201" s="1">
        <f>IF(B201="","",N(G201)/IF(N(F201)&gt;0,F201,1))</f>
        <v/>
      </c>
      <c r="O201">
        <f>IF(OR(B201="",N(L201)=0),"",IFERROR(MATCH(D201,Settings!$B$6:$B$17,0),13)*1000+ROW())</f>
        <v/>
      </c>
    </row>
    <row r="202">
      <c r="A202" s="1" t="n"/>
      <c r="B202" s="32" t="n"/>
      <c r="C202" s="31" t="n"/>
      <c r="D202" s="33" t="n"/>
      <c r="E202" s="33" t="n"/>
      <c r="F202" s="31" t="n"/>
      <c r="G202" s="36" t="n"/>
      <c r="H202" s="31" t="n"/>
      <c r="I202" s="34" t="n"/>
      <c r="J202" s="35">
        <f>IF(B202="","",ROUND(SUMIFS(Ingredients!$G$6:$G$1005,Ingredients!$C$6:$C$1005,B202),2))</f>
        <v/>
      </c>
      <c r="K202" s="35">
        <f>IF(B202="","",MAX(0,ROUND(J202-N(H202),2)))</f>
        <v/>
      </c>
      <c r="L202" s="30">
        <f>IF(B202="","",IF(N(K202)=0,0,ROUNDUP(ROUND(K202/IF(N(F202)&gt;0,F202,1),6),0))+N(I202))</f>
        <v/>
      </c>
      <c r="M202" s="25">
        <f>IF(B202="","",L202*N(G202))</f>
        <v/>
      </c>
      <c r="N202" s="1">
        <f>IF(B202="","",N(G202)/IF(N(F202)&gt;0,F202,1))</f>
        <v/>
      </c>
      <c r="O202">
        <f>IF(OR(B202="",N(L202)=0),"",IFERROR(MATCH(D202,Settings!$B$6:$B$17,0),13)*1000+ROW())</f>
        <v/>
      </c>
    </row>
    <row r="203">
      <c r="A203" s="1" t="n"/>
      <c r="B203" s="32" t="n"/>
      <c r="C203" s="31" t="n"/>
      <c r="D203" s="33" t="n"/>
      <c r="E203" s="33" t="n"/>
      <c r="F203" s="31" t="n"/>
      <c r="G203" s="36" t="n"/>
      <c r="H203" s="31" t="n"/>
      <c r="I203" s="34" t="n"/>
      <c r="J203" s="35">
        <f>IF(B203="","",ROUND(SUMIFS(Ingredients!$G$6:$G$1005,Ingredients!$C$6:$C$1005,B203),2))</f>
        <v/>
      </c>
      <c r="K203" s="35">
        <f>IF(B203="","",MAX(0,ROUND(J203-N(H203),2)))</f>
        <v/>
      </c>
      <c r="L203" s="30">
        <f>IF(B203="","",IF(N(K203)=0,0,ROUNDUP(ROUND(K203/IF(N(F203)&gt;0,F203,1),6),0))+N(I203))</f>
        <v/>
      </c>
      <c r="M203" s="25">
        <f>IF(B203="","",L203*N(G203))</f>
        <v/>
      </c>
      <c r="N203" s="1">
        <f>IF(B203="","",N(G203)/IF(N(F203)&gt;0,F203,1))</f>
        <v/>
      </c>
      <c r="O203">
        <f>IF(OR(B203="",N(L203)=0),"",IFERROR(MATCH(D203,Settings!$B$6:$B$17,0),13)*1000+ROW())</f>
        <v/>
      </c>
    </row>
    <row r="204">
      <c r="A204" s="1" t="n"/>
      <c r="B204" s="32" t="n"/>
      <c r="C204" s="31" t="n"/>
      <c r="D204" s="33" t="n"/>
      <c r="E204" s="33" t="n"/>
      <c r="F204" s="31" t="n"/>
      <c r="G204" s="36" t="n"/>
      <c r="H204" s="31" t="n"/>
      <c r="I204" s="34" t="n"/>
      <c r="J204" s="35">
        <f>IF(B204="","",ROUND(SUMIFS(Ingredients!$G$6:$G$1005,Ingredients!$C$6:$C$1005,B204),2))</f>
        <v/>
      </c>
      <c r="K204" s="35">
        <f>IF(B204="","",MAX(0,ROUND(J204-N(H204),2)))</f>
        <v/>
      </c>
      <c r="L204" s="30">
        <f>IF(B204="","",IF(N(K204)=0,0,ROUNDUP(ROUND(K204/IF(N(F204)&gt;0,F204,1),6),0))+N(I204))</f>
        <v/>
      </c>
      <c r="M204" s="25">
        <f>IF(B204="","",L204*N(G204))</f>
        <v/>
      </c>
      <c r="N204" s="1">
        <f>IF(B204="","",N(G204)/IF(N(F204)&gt;0,F204,1))</f>
        <v/>
      </c>
      <c r="O204">
        <f>IF(OR(B204="",N(L204)=0),"",IFERROR(MATCH(D204,Settings!$B$6:$B$17,0),13)*1000+ROW())</f>
        <v/>
      </c>
    </row>
    <row r="205">
      <c r="A205" s="1" t="n"/>
      <c r="B205" s="32" t="n"/>
      <c r="C205" s="31" t="n"/>
      <c r="D205" s="33" t="n"/>
      <c r="E205" s="33" t="n"/>
      <c r="F205" s="31" t="n"/>
      <c r="G205" s="36" t="n"/>
      <c r="H205" s="31" t="n"/>
      <c r="I205" s="34" t="n"/>
      <c r="J205" s="35">
        <f>IF(B205="","",ROUND(SUMIFS(Ingredients!$G$6:$G$1005,Ingredients!$C$6:$C$1005,B205),2))</f>
        <v/>
      </c>
      <c r="K205" s="35">
        <f>IF(B205="","",MAX(0,ROUND(J205-N(H205),2)))</f>
        <v/>
      </c>
      <c r="L205" s="30">
        <f>IF(B205="","",IF(N(K205)=0,0,ROUNDUP(ROUND(K205/IF(N(F205)&gt;0,F205,1),6),0))+N(I205))</f>
        <v/>
      </c>
      <c r="M205" s="25">
        <f>IF(B205="","",L205*N(G205))</f>
        <v/>
      </c>
      <c r="N205" s="1">
        <f>IF(B205="","",N(G205)/IF(N(F205)&gt;0,F205,1))</f>
        <v/>
      </c>
      <c r="O205">
        <f>IF(OR(B205="",N(L205)=0),"",IFERROR(MATCH(D205,Settings!$B$6:$B$17,0),13)*1000+ROW())</f>
        <v/>
      </c>
    </row>
    <row r="206">
      <c r="A206" s="1" t="n"/>
      <c r="B206" s="32" t="n"/>
      <c r="C206" s="31" t="n"/>
      <c r="D206" s="33" t="n"/>
      <c r="E206" s="33" t="n"/>
      <c r="F206" s="31" t="n"/>
      <c r="G206" s="36" t="n"/>
      <c r="H206" s="31" t="n"/>
      <c r="I206" s="34" t="n"/>
      <c r="J206" s="35">
        <f>IF(B206="","",ROUND(SUMIFS(Ingredients!$G$6:$G$1005,Ingredients!$C$6:$C$1005,B206),2))</f>
        <v/>
      </c>
      <c r="K206" s="35">
        <f>IF(B206="","",MAX(0,ROUND(J206-N(H206),2)))</f>
        <v/>
      </c>
      <c r="L206" s="30">
        <f>IF(B206="","",IF(N(K206)=0,0,ROUNDUP(ROUND(K206/IF(N(F206)&gt;0,F206,1),6),0))+N(I206))</f>
        <v/>
      </c>
      <c r="M206" s="25">
        <f>IF(B206="","",L206*N(G206))</f>
        <v/>
      </c>
      <c r="N206" s="1">
        <f>IF(B206="","",N(G206)/IF(N(F206)&gt;0,F206,1))</f>
        <v/>
      </c>
      <c r="O206">
        <f>IF(OR(B206="",N(L206)=0),"",IFERROR(MATCH(D206,Settings!$B$6:$B$17,0),13)*1000+ROW())</f>
        <v/>
      </c>
    </row>
    <row r="207">
      <c r="A207" s="1" t="n"/>
      <c r="B207" s="32" t="n"/>
      <c r="C207" s="31" t="n"/>
      <c r="D207" s="33" t="n"/>
      <c r="E207" s="33" t="n"/>
      <c r="F207" s="31" t="n"/>
      <c r="G207" s="36" t="n"/>
      <c r="H207" s="31" t="n"/>
      <c r="I207" s="34" t="n"/>
      <c r="J207" s="35">
        <f>IF(B207="","",ROUND(SUMIFS(Ingredients!$G$6:$G$1005,Ingredients!$C$6:$C$1005,B207),2))</f>
        <v/>
      </c>
      <c r="K207" s="35">
        <f>IF(B207="","",MAX(0,ROUND(J207-N(H207),2)))</f>
        <v/>
      </c>
      <c r="L207" s="30">
        <f>IF(B207="","",IF(N(K207)=0,0,ROUNDUP(ROUND(K207/IF(N(F207)&gt;0,F207,1),6),0))+N(I207))</f>
        <v/>
      </c>
      <c r="M207" s="25">
        <f>IF(B207="","",L207*N(G207))</f>
        <v/>
      </c>
      <c r="N207" s="1">
        <f>IF(B207="","",N(G207)/IF(N(F207)&gt;0,F207,1))</f>
        <v/>
      </c>
      <c r="O207">
        <f>IF(OR(B207="",N(L207)=0),"",IFERROR(MATCH(D207,Settings!$B$6:$B$17,0),13)*1000+ROW())</f>
        <v/>
      </c>
    </row>
    <row r="208">
      <c r="A208" s="1" t="n"/>
      <c r="B208" s="32" t="n"/>
      <c r="C208" s="31" t="n"/>
      <c r="D208" s="33" t="n"/>
      <c r="E208" s="33" t="n"/>
      <c r="F208" s="31" t="n"/>
      <c r="G208" s="36" t="n"/>
      <c r="H208" s="31" t="n"/>
      <c r="I208" s="34" t="n"/>
      <c r="J208" s="35">
        <f>IF(B208="","",ROUND(SUMIFS(Ingredients!$G$6:$G$1005,Ingredients!$C$6:$C$1005,B208),2))</f>
        <v/>
      </c>
      <c r="K208" s="35">
        <f>IF(B208="","",MAX(0,ROUND(J208-N(H208),2)))</f>
        <v/>
      </c>
      <c r="L208" s="30">
        <f>IF(B208="","",IF(N(K208)=0,0,ROUNDUP(ROUND(K208/IF(N(F208)&gt;0,F208,1),6),0))+N(I208))</f>
        <v/>
      </c>
      <c r="M208" s="25">
        <f>IF(B208="","",L208*N(G208))</f>
        <v/>
      </c>
      <c r="N208" s="1">
        <f>IF(B208="","",N(G208)/IF(N(F208)&gt;0,F208,1))</f>
        <v/>
      </c>
      <c r="O208">
        <f>IF(OR(B208="",N(L208)=0),"",IFERROR(MATCH(D208,Settings!$B$6:$B$17,0),13)*1000+ROW())</f>
        <v/>
      </c>
    </row>
    <row r="209">
      <c r="A209" s="1" t="n"/>
      <c r="B209" s="32" t="n"/>
      <c r="C209" s="31" t="n"/>
      <c r="D209" s="33" t="n"/>
      <c r="E209" s="33" t="n"/>
      <c r="F209" s="31" t="n"/>
      <c r="G209" s="36" t="n"/>
      <c r="H209" s="31" t="n"/>
      <c r="I209" s="34" t="n"/>
      <c r="J209" s="35">
        <f>IF(B209="","",ROUND(SUMIFS(Ingredients!$G$6:$G$1005,Ingredients!$C$6:$C$1005,B209),2))</f>
        <v/>
      </c>
      <c r="K209" s="35">
        <f>IF(B209="","",MAX(0,ROUND(J209-N(H209),2)))</f>
        <v/>
      </c>
      <c r="L209" s="30">
        <f>IF(B209="","",IF(N(K209)=0,0,ROUNDUP(ROUND(K209/IF(N(F209)&gt;0,F209,1),6),0))+N(I209))</f>
        <v/>
      </c>
      <c r="M209" s="25">
        <f>IF(B209="","",L209*N(G209))</f>
        <v/>
      </c>
      <c r="N209" s="1">
        <f>IF(B209="","",N(G209)/IF(N(F209)&gt;0,F209,1))</f>
        <v/>
      </c>
      <c r="O209">
        <f>IF(OR(B209="",N(L209)=0),"",IFERROR(MATCH(D209,Settings!$B$6:$B$17,0),13)*1000+ROW())</f>
        <v/>
      </c>
    </row>
    <row r="210">
      <c r="A210" s="1" t="n"/>
      <c r="B210" s="32" t="n"/>
      <c r="C210" s="31" t="n"/>
      <c r="D210" s="33" t="n"/>
      <c r="E210" s="33" t="n"/>
      <c r="F210" s="31" t="n"/>
      <c r="G210" s="36" t="n"/>
      <c r="H210" s="31" t="n"/>
      <c r="I210" s="34" t="n"/>
      <c r="J210" s="35">
        <f>IF(B210="","",ROUND(SUMIFS(Ingredients!$G$6:$G$1005,Ingredients!$C$6:$C$1005,B210),2))</f>
        <v/>
      </c>
      <c r="K210" s="35">
        <f>IF(B210="","",MAX(0,ROUND(J210-N(H210),2)))</f>
        <v/>
      </c>
      <c r="L210" s="30">
        <f>IF(B210="","",IF(N(K210)=0,0,ROUNDUP(ROUND(K210/IF(N(F210)&gt;0,F210,1),6),0))+N(I210))</f>
        <v/>
      </c>
      <c r="M210" s="25">
        <f>IF(B210="","",L210*N(G210))</f>
        <v/>
      </c>
      <c r="N210" s="1">
        <f>IF(B210="","",N(G210)/IF(N(F210)&gt;0,F210,1))</f>
        <v/>
      </c>
      <c r="O210">
        <f>IF(OR(B210="",N(L210)=0),"",IFERROR(MATCH(D210,Settings!$B$6:$B$17,0),13)*1000+ROW())</f>
        <v/>
      </c>
    </row>
    <row r="211">
      <c r="A211" s="1" t="n"/>
      <c r="B211" s="32" t="n"/>
      <c r="C211" s="31" t="n"/>
      <c r="D211" s="33" t="n"/>
      <c r="E211" s="33" t="n"/>
      <c r="F211" s="31" t="n"/>
      <c r="G211" s="36" t="n"/>
      <c r="H211" s="31" t="n"/>
      <c r="I211" s="34" t="n"/>
      <c r="J211" s="35">
        <f>IF(B211="","",ROUND(SUMIFS(Ingredients!$G$6:$G$1005,Ingredients!$C$6:$C$1005,B211),2))</f>
        <v/>
      </c>
      <c r="K211" s="35">
        <f>IF(B211="","",MAX(0,ROUND(J211-N(H211),2)))</f>
        <v/>
      </c>
      <c r="L211" s="30">
        <f>IF(B211="","",IF(N(K211)=0,0,ROUNDUP(ROUND(K211/IF(N(F211)&gt;0,F211,1),6),0))+N(I211))</f>
        <v/>
      </c>
      <c r="M211" s="25">
        <f>IF(B211="","",L211*N(G211))</f>
        <v/>
      </c>
      <c r="N211" s="1">
        <f>IF(B211="","",N(G211)/IF(N(F211)&gt;0,F211,1))</f>
        <v/>
      </c>
      <c r="O211">
        <f>IF(OR(B211="",N(L211)=0),"",IFERROR(MATCH(D211,Settings!$B$6:$B$17,0),13)*1000+ROW())</f>
        <v/>
      </c>
    </row>
    <row r="212">
      <c r="A212" s="1" t="n"/>
      <c r="B212" s="32" t="n"/>
      <c r="C212" s="31" t="n"/>
      <c r="D212" s="33" t="n"/>
      <c r="E212" s="33" t="n"/>
      <c r="F212" s="31" t="n"/>
      <c r="G212" s="36" t="n"/>
      <c r="H212" s="31" t="n"/>
      <c r="I212" s="34" t="n"/>
      <c r="J212" s="35">
        <f>IF(B212="","",ROUND(SUMIFS(Ingredients!$G$6:$G$1005,Ingredients!$C$6:$C$1005,B212),2))</f>
        <v/>
      </c>
      <c r="K212" s="35">
        <f>IF(B212="","",MAX(0,ROUND(J212-N(H212),2)))</f>
        <v/>
      </c>
      <c r="L212" s="30">
        <f>IF(B212="","",IF(N(K212)=0,0,ROUNDUP(ROUND(K212/IF(N(F212)&gt;0,F212,1),6),0))+N(I212))</f>
        <v/>
      </c>
      <c r="M212" s="25">
        <f>IF(B212="","",L212*N(G212))</f>
        <v/>
      </c>
      <c r="N212" s="1">
        <f>IF(B212="","",N(G212)/IF(N(F212)&gt;0,F212,1))</f>
        <v/>
      </c>
      <c r="O212">
        <f>IF(OR(B212="",N(L212)=0),"",IFERROR(MATCH(D212,Settings!$B$6:$B$17,0),13)*1000+ROW())</f>
        <v/>
      </c>
    </row>
    <row r="213">
      <c r="A213" s="1" t="n"/>
      <c r="B213" s="32" t="n"/>
      <c r="C213" s="31" t="n"/>
      <c r="D213" s="33" t="n"/>
      <c r="E213" s="33" t="n"/>
      <c r="F213" s="31" t="n"/>
      <c r="G213" s="36" t="n"/>
      <c r="H213" s="31" t="n"/>
      <c r="I213" s="34" t="n"/>
      <c r="J213" s="35">
        <f>IF(B213="","",ROUND(SUMIFS(Ingredients!$G$6:$G$1005,Ingredients!$C$6:$C$1005,B213),2))</f>
        <v/>
      </c>
      <c r="K213" s="35">
        <f>IF(B213="","",MAX(0,ROUND(J213-N(H213),2)))</f>
        <v/>
      </c>
      <c r="L213" s="30">
        <f>IF(B213="","",IF(N(K213)=0,0,ROUNDUP(ROUND(K213/IF(N(F213)&gt;0,F213,1),6),0))+N(I213))</f>
        <v/>
      </c>
      <c r="M213" s="25">
        <f>IF(B213="","",L213*N(G213))</f>
        <v/>
      </c>
      <c r="N213" s="1">
        <f>IF(B213="","",N(G213)/IF(N(F213)&gt;0,F213,1))</f>
        <v/>
      </c>
      <c r="O213">
        <f>IF(OR(B213="",N(L213)=0),"",IFERROR(MATCH(D213,Settings!$B$6:$B$17,0),13)*1000+ROW())</f>
        <v/>
      </c>
    </row>
    <row r="214">
      <c r="A214" s="1" t="n"/>
      <c r="B214" s="32" t="n"/>
      <c r="C214" s="31" t="n"/>
      <c r="D214" s="33" t="n"/>
      <c r="E214" s="33" t="n"/>
      <c r="F214" s="31" t="n"/>
      <c r="G214" s="36" t="n"/>
      <c r="H214" s="31" t="n"/>
      <c r="I214" s="34" t="n"/>
      <c r="J214" s="35">
        <f>IF(B214="","",ROUND(SUMIFS(Ingredients!$G$6:$G$1005,Ingredients!$C$6:$C$1005,B214),2))</f>
        <v/>
      </c>
      <c r="K214" s="35">
        <f>IF(B214="","",MAX(0,ROUND(J214-N(H214),2)))</f>
        <v/>
      </c>
      <c r="L214" s="30">
        <f>IF(B214="","",IF(N(K214)=0,0,ROUNDUP(ROUND(K214/IF(N(F214)&gt;0,F214,1),6),0))+N(I214))</f>
        <v/>
      </c>
      <c r="M214" s="25">
        <f>IF(B214="","",L214*N(G214))</f>
        <v/>
      </c>
      <c r="N214" s="1">
        <f>IF(B214="","",N(G214)/IF(N(F214)&gt;0,F214,1))</f>
        <v/>
      </c>
      <c r="O214">
        <f>IF(OR(B214="",N(L214)=0),"",IFERROR(MATCH(D214,Settings!$B$6:$B$17,0),13)*1000+ROW())</f>
        <v/>
      </c>
    </row>
    <row r="215">
      <c r="A215" s="1" t="n"/>
      <c r="B215" s="32" t="n"/>
      <c r="C215" s="31" t="n"/>
      <c r="D215" s="33" t="n"/>
      <c r="E215" s="33" t="n"/>
      <c r="F215" s="31" t="n"/>
      <c r="G215" s="36" t="n"/>
      <c r="H215" s="31" t="n"/>
      <c r="I215" s="34" t="n"/>
      <c r="J215" s="35">
        <f>IF(B215="","",ROUND(SUMIFS(Ingredients!$G$6:$G$1005,Ingredients!$C$6:$C$1005,B215),2))</f>
        <v/>
      </c>
      <c r="K215" s="35">
        <f>IF(B215="","",MAX(0,ROUND(J215-N(H215),2)))</f>
        <v/>
      </c>
      <c r="L215" s="30">
        <f>IF(B215="","",IF(N(K215)=0,0,ROUNDUP(ROUND(K215/IF(N(F215)&gt;0,F215,1),6),0))+N(I215))</f>
        <v/>
      </c>
      <c r="M215" s="25">
        <f>IF(B215="","",L215*N(G215))</f>
        <v/>
      </c>
      <c r="N215" s="1">
        <f>IF(B215="","",N(G215)/IF(N(F215)&gt;0,F215,1))</f>
        <v/>
      </c>
      <c r="O215">
        <f>IF(OR(B215="",N(L215)=0),"",IFERROR(MATCH(D215,Settings!$B$6:$B$17,0),13)*1000+ROW())</f>
        <v/>
      </c>
    </row>
    <row r="216">
      <c r="A216" s="1" t="n"/>
      <c r="B216" s="32" t="n"/>
      <c r="C216" s="31" t="n"/>
      <c r="D216" s="33" t="n"/>
      <c r="E216" s="33" t="n"/>
      <c r="F216" s="31" t="n"/>
      <c r="G216" s="36" t="n"/>
      <c r="H216" s="31" t="n"/>
      <c r="I216" s="34" t="n"/>
      <c r="J216" s="35">
        <f>IF(B216="","",ROUND(SUMIFS(Ingredients!$G$6:$G$1005,Ingredients!$C$6:$C$1005,B216),2))</f>
        <v/>
      </c>
      <c r="K216" s="35">
        <f>IF(B216="","",MAX(0,ROUND(J216-N(H216),2)))</f>
        <v/>
      </c>
      <c r="L216" s="30">
        <f>IF(B216="","",IF(N(K216)=0,0,ROUNDUP(ROUND(K216/IF(N(F216)&gt;0,F216,1),6),0))+N(I216))</f>
        <v/>
      </c>
      <c r="M216" s="25">
        <f>IF(B216="","",L216*N(G216))</f>
        <v/>
      </c>
      <c r="N216" s="1">
        <f>IF(B216="","",N(G216)/IF(N(F216)&gt;0,F216,1))</f>
        <v/>
      </c>
      <c r="O216">
        <f>IF(OR(B216="",N(L216)=0),"",IFERROR(MATCH(D216,Settings!$B$6:$B$17,0),13)*1000+ROW())</f>
        <v/>
      </c>
    </row>
    <row r="217">
      <c r="A217" s="1" t="n"/>
      <c r="B217" s="32" t="n"/>
      <c r="C217" s="31" t="n"/>
      <c r="D217" s="33" t="n"/>
      <c r="E217" s="33" t="n"/>
      <c r="F217" s="31" t="n"/>
      <c r="G217" s="36" t="n"/>
      <c r="H217" s="31" t="n"/>
      <c r="I217" s="34" t="n"/>
      <c r="J217" s="35">
        <f>IF(B217="","",ROUND(SUMIFS(Ingredients!$G$6:$G$1005,Ingredients!$C$6:$C$1005,B217),2))</f>
        <v/>
      </c>
      <c r="K217" s="35">
        <f>IF(B217="","",MAX(0,ROUND(J217-N(H217),2)))</f>
        <v/>
      </c>
      <c r="L217" s="30">
        <f>IF(B217="","",IF(N(K217)=0,0,ROUNDUP(ROUND(K217/IF(N(F217)&gt;0,F217,1),6),0))+N(I217))</f>
        <v/>
      </c>
      <c r="M217" s="25">
        <f>IF(B217="","",L217*N(G217))</f>
        <v/>
      </c>
      <c r="N217" s="1">
        <f>IF(B217="","",N(G217)/IF(N(F217)&gt;0,F217,1))</f>
        <v/>
      </c>
      <c r="O217">
        <f>IF(OR(B217="",N(L217)=0),"",IFERROR(MATCH(D217,Settings!$B$6:$B$17,0),13)*1000+ROW())</f>
        <v/>
      </c>
    </row>
    <row r="218">
      <c r="A218" s="1" t="n"/>
      <c r="B218" s="32" t="n"/>
      <c r="C218" s="31" t="n"/>
      <c r="D218" s="33" t="n"/>
      <c r="E218" s="33" t="n"/>
      <c r="F218" s="31" t="n"/>
      <c r="G218" s="36" t="n"/>
      <c r="H218" s="31" t="n"/>
      <c r="I218" s="34" t="n"/>
      <c r="J218" s="35">
        <f>IF(B218="","",ROUND(SUMIFS(Ingredients!$G$6:$G$1005,Ingredients!$C$6:$C$1005,B218),2))</f>
        <v/>
      </c>
      <c r="K218" s="35">
        <f>IF(B218="","",MAX(0,ROUND(J218-N(H218),2)))</f>
        <v/>
      </c>
      <c r="L218" s="30">
        <f>IF(B218="","",IF(N(K218)=0,0,ROUNDUP(ROUND(K218/IF(N(F218)&gt;0,F218,1),6),0))+N(I218))</f>
        <v/>
      </c>
      <c r="M218" s="25">
        <f>IF(B218="","",L218*N(G218))</f>
        <v/>
      </c>
      <c r="N218" s="1">
        <f>IF(B218="","",N(G218)/IF(N(F218)&gt;0,F218,1))</f>
        <v/>
      </c>
      <c r="O218">
        <f>IF(OR(B218="",N(L218)=0),"",IFERROR(MATCH(D218,Settings!$B$6:$B$17,0),13)*1000+ROW())</f>
        <v/>
      </c>
    </row>
    <row r="219">
      <c r="A219" s="1" t="n"/>
      <c r="B219" s="32" t="n"/>
      <c r="C219" s="31" t="n"/>
      <c r="D219" s="33" t="n"/>
      <c r="E219" s="33" t="n"/>
      <c r="F219" s="31" t="n"/>
      <c r="G219" s="36" t="n"/>
      <c r="H219" s="31" t="n"/>
      <c r="I219" s="34" t="n"/>
      <c r="J219" s="35">
        <f>IF(B219="","",ROUND(SUMIFS(Ingredients!$G$6:$G$1005,Ingredients!$C$6:$C$1005,B219),2))</f>
        <v/>
      </c>
      <c r="K219" s="35">
        <f>IF(B219="","",MAX(0,ROUND(J219-N(H219),2)))</f>
        <v/>
      </c>
      <c r="L219" s="30">
        <f>IF(B219="","",IF(N(K219)=0,0,ROUNDUP(ROUND(K219/IF(N(F219)&gt;0,F219,1),6),0))+N(I219))</f>
        <v/>
      </c>
      <c r="M219" s="25">
        <f>IF(B219="","",L219*N(G219))</f>
        <v/>
      </c>
      <c r="N219" s="1">
        <f>IF(B219="","",N(G219)/IF(N(F219)&gt;0,F219,1))</f>
        <v/>
      </c>
      <c r="O219">
        <f>IF(OR(B219="",N(L219)=0),"",IFERROR(MATCH(D219,Settings!$B$6:$B$17,0),13)*1000+ROW())</f>
        <v/>
      </c>
    </row>
    <row r="220">
      <c r="A220" s="1" t="n"/>
      <c r="B220" s="32" t="n"/>
      <c r="C220" s="31" t="n"/>
      <c r="D220" s="33" t="n"/>
      <c r="E220" s="33" t="n"/>
      <c r="F220" s="31" t="n"/>
      <c r="G220" s="36" t="n"/>
      <c r="H220" s="31" t="n"/>
      <c r="I220" s="34" t="n"/>
      <c r="J220" s="35">
        <f>IF(B220="","",ROUND(SUMIFS(Ingredients!$G$6:$G$1005,Ingredients!$C$6:$C$1005,B220),2))</f>
        <v/>
      </c>
      <c r="K220" s="35">
        <f>IF(B220="","",MAX(0,ROUND(J220-N(H220),2)))</f>
        <v/>
      </c>
      <c r="L220" s="30">
        <f>IF(B220="","",IF(N(K220)=0,0,ROUNDUP(ROUND(K220/IF(N(F220)&gt;0,F220,1),6),0))+N(I220))</f>
        <v/>
      </c>
      <c r="M220" s="25">
        <f>IF(B220="","",L220*N(G220))</f>
        <v/>
      </c>
      <c r="N220" s="1">
        <f>IF(B220="","",N(G220)/IF(N(F220)&gt;0,F220,1))</f>
        <v/>
      </c>
      <c r="O220">
        <f>IF(OR(B220="",N(L220)=0),"",IFERROR(MATCH(D220,Settings!$B$6:$B$17,0),13)*1000+ROW())</f>
        <v/>
      </c>
    </row>
    <row r="221">
      <c r="A221" s="1" t="n"/>
      <c r="B221" s="32" t="n"/>
      <c r="C221" s="31" t="n"/>
      <c r="D221" s="33" t="n"/>
      <c r="E221" s="33" t="n"/>
      <c r="F221" s="31" t="n"/>
      <c r="G221" s="36" t="n"/>
      <c r="H221" s="31" t="n"/>
      <c r="I221" s="34" t="n"/>
      <c r="J221" s="35">
        <f>IF(B221="","",ROUND(SUMIFS(Ingredients!$G$6:$G$1005,Ingredients!$C$6:$C$1005,B221),2))</f>
        <v/>
      </c>
      <c r="K221" s="35">
        <f>IF(B221="","",MAX(0,ROUND(J221-N(H221),2)))</f>
        <v/>
      </c>
      <c r="L221" s="30">
        <f>IF(B221="","",IF(N(K221)=0,0,ROUNDUP(ROUND(K221/IF(N(F221)&gt;0,F221,1),6),0))+N(I221))</f>
        <v/>
      </c>
      <c r="M221" s="25">
        <f>IF(B221="","",L221*N(G221))</f>
        <v/>
      </c>
      <c r="N221" s="1">
        <f>IF(B221="","",N(G221)/IF(N(F221)&gt;0,F221,1))</f>
        <v/>
      </c>
      <c r="O221">
        <f>IF(OR(B221="",N(L221)=0),"",IFERROR(MATCH(D221,Settings!$B$6:$B$17,0),13)*1000+ROW())</f>
        <v/>
      </c>
    </row>
    <row r="222">
      <c r="A222" s="1" t="n"/>
      <c r="B222" s="32" t="n"/>
      <c r="C222" s="31" t="n"/>
      <c r="D222" s="33" t="n"/>
      <c r="E222" s="33" t="n"/>
      <c r="F222" s="31" t="n"/>
      <c r="G222" s="36" t="n"/>
      <c r="H222" s="31" t="n"/>
      <c r="I222" s="34" t="n"/>
      <c r="J222" s="35">
        <f>IF(B222="","",ROUND(SUMIFS(Ingredients!$G$6:$G$1005,Ingredients!$C$6:$C$1005,B222),2))</f>
        <v/>
      </c>
      <c r="K222" s="35">
        <f>IF(B222="","",MAX(0,ROUND(J222-N(H222),2)))</f>
        <v/>
      </c>
      <c r="L222" s="30">
        <f>IF(B222="","",IF(N(K222)=0,0,ROUNDUP(ROUND(K222/IF(N(F222)&gt;0,F222,1),6),0))+N(I222))</f>
        <v/>
      </c>
      <c r="M222" s="25">
        <f>IF(B222="","",L222*N(G222))</f>
        <v/>
      </c>
      <c r="N222" s="1">
        <f>IF(B222="","",N(G222)/IF(N(F222)&gt;0,F222,1))</f>
        <v/>
      </c>
      <c r="O222">
        <f>IF(OR(B222="",N(L222)=0),"",IFERROR(MATCH(D222,Settings!$B$6:$B$17,0),13)*1000+ROW())</f>
        <v/>
      </c>
    </row>
    <row r="223">
      <c r="A223" s="1" t="n"/>
      <c r="B223" s="32" t="n"/>
      <c r="C223" s="31" t="n"/>
      <c r="D223" s="33" t="n"/>
      <c r="E223" s="33" t="n"/>
      <c r="F223" s="31" t="n"/>
      <c r="G223" s="36" t="n"/>
      <c r="H223" s="31" t="n"/>
      <c r="I223" s="34" t="n"/>
      <c r="J223" s="35">
        <f>IF(B223="","",ROUND(SUMIFS(Ingredients!$G$6:$G$1005,Ingredients!$C$6:$C$1005,B223),2))</f>
        <v/>
      </c>
      <c r="K223" s="35">
        <f>IF(B223="","",MAX(0,ROUND(J223-N(H223),2)))</f>
        <v/>
      </c>
      <c r="L223" s="30">
        <f>IF(B223="","",IF(N(K223)=0,0,ROUNDUP(ROUND(K223/IF(N(F223)&gt;0,F223,1),6),0))+N(I223))</f>
        <v/>
      </c>
      <c r="M223" s="25">
        <f>IF(B223="","",L223*N(G223))</f>
        <v/>
      </c>
      <c r="N223" s="1">
        <f>IF(B223="","",N(G223)/IF(N(F223)&gt;0,F223,1))</f>
        <v/>
      </c>
      <c r="O223">
        <f>IF(OR(B223="",N(L223)=0),"",IFERROR(MATCH(D223,Settings!$B$6:$B$17,0),13)*1000+ROW())</f>
        <v/>
      </c>
    </row>
    <row r="224">
      <c r="A224" s="1" t="n"/>
      <c r="B224" s="32" t="n"/>
      <c r="C224" s="31" t="n"/>
      <c r="D224" s="33" t="n"/>
      <c r="E224" s="33" t="n"/>
      <c r="F224" s="31" t="n"/>
      <c r="G224" s="36" t="n"/>
      <c r="H224" s="31" t="n"/>
      <c r="I224" s="34" t="n"/>
      <c r="J224" s="35">
        <f>IF(B224="","",ROUND(SUMIFS(Ingredients!$G$6:$G$1005,Ingredients!$C$6:$C$1005,B224),2))</f>
        <v/>
      </c>
      <c r="K224" s="35">
        <f>IF(B224="","",MAX(0,ROUND(J224-N(H224),2)))</f>
        <v/>
      </c>
      <c r="L224" s="30">
        <f>IF(B224="","",IF(N(K224)=0,0,ROUNDUP(ROUND(K224/IF(N(F224)&gt;0,F224,1),6),0))+N(I224))</f>
        <v/>
      </c>
      <c r="M224" s="25">
        <f>IF(B224="","",L224*N(G224))</f>
        <v/>
      </c>
      <c r="N224" s="1">
        <f>IF(B224="","",N(G224)/IF(N(F224)&gt;0,F224,1))</f>
        <v/>
      </c>
      <c r="O224">
        <f>IF(OR(B224="",N(L224)=0),"",IFERROR(MATCH(D224,Settings!$B$6:$B$17,0),13)*1000+ROW())</f>
        <v/>
      </c>
    </row>
    <row r="225">
      <c r="A225" s="1" t="n"/>
      <c r="B225" s="32" t="n"/>
      <c r="C225" s="31" t="n"/>
      <c r="D225" s="33" t="n"/>
      <c r="E225" s="33" t="n"/>
      <c r="F225" s="31" t="n"/>
      <c r="G225" s="36" t="n"/>
      <c r="H225" s="31" t="n"/>
      <c r="I225" s="34" t="n"/>
      <c r="J225" s="35">
        <f>IF(B225="","",ROUND(SUMIFS(Ingredients!$G$6:$G$1005,Ingredients!$C$6:$C$1005,B225),2))</f>
        <v/>
      </c>
      <c r="K225" s="35">
        <f>IF(B225="","",MAX(0,ROUND(J225-N(H225),2)))</f>
        <v/>
      </c>
      <c r="L225" s="30">
        <f>IF(B225="","",IF(N(K225)=0,0,ROUNDUP(ROUND(K225/IF(N(F225)&gt;0,F225,1),6),0))+N(I225))</f>
        <v/>
      </c>
      <c r="M225" s="25">
        <f>IF(B225="","",L225*N(G225))</f>
        <v/>
      </c>
      <c r="N225" s="1">
        <f>IF(B225="","",N(G225)/IF(N(F225)&gt;0,F225,1))</f>
        <v/>
      </c>
      <c r="O225">
        <f>IF(OR(B225="",N(L225)=0),"",IFERROR(MATCH(D225,Settings!$B$6:$B$17,0),13)*1000+ROW())</f>
        <v/>
      </c>
    </row>
    <row r="226">
      <c r="A226" s="1" t="n"/>
      <c r="B226" s="32" t="n"/>
      <c r="C226" s="31" t="n"/>
      <c r="D226" s="33" t="n"/>
      <c r="E226" s="33" t="n"/>
      <c r="F226" s="31" t="n"/>
      <c r="G226" s="36" t="n"/>
      <c r="H226" s="31" t="n"/>
      <c r="I226" s="34" t="n"/>
      <c r="J226" s="35">
        <f>IF(B226="","",ROUND(SUMIFS(Ingredients!$G$6:$G$1005,Ingredients!$C$6:$C$1005,B226),2))</f>
        <v/>
      </c>
      <c r="K226" s="35">
        <f>IF(B226="","",MAX(0,ROUND(J226-N(H226),2)))</f>
        <v/>
      </c>
      <c r="L226" s="30">
        <f>IF(B226="","",IF(N(K226)=0,0,ROUNDUP(ROUND(K226/IF(N(F226)&gt;0,F226,1),6),0))+N(I226))</f>
        <v/>
      </c>
      <c r="M226" s="25">
        <f>IF(B226="","",L226*N(G226))</f>
        <v/>
      </c>
      <c r="N226" s="1">
        <f>IF(B226="","",N(G226)/IF(N(F226)&gt;0,F226,1))</f>
        <v/>
      </c>
      <c r="O226">
        <f>IF(OR(B226="",N(L226)=0),"",IFERROR(MATCH(D226,Settings!$B$6:$B$17,0),13)*1000+ROW())</f>
        <v/>
      </c>
    </row>
    <row r="227">
      <c r="A227" s="1" t="n"/>
      <c r="B227" s="32" t="n"/>
      <c r="C227" s="31" t="n"/>
      <c r="D227" s="33" t="n"/>
      <c r="E227" s="33" t="n"/>
      <c r="F227" s="31" t="n"/>
      <c r="G227" s="36" t="n"/>
      <c r="H227" s="31" t="n"/>
      <c r="I227" s="34" t="n"/>
      <c r="J227" s="35">
        <f>IF(B227="","",ROUND(SUMIFS(Ingredients!$G$6:$G$1005,Ingredients!$C$6:$C$1005,B227),2))</f>
        <v/>
      </c>
      <c r="K227" s="35">
        <f>IF(B227="","",MAX(0,ROUND(J227-N(H227),2)))</f>
        <v/>
      </c>
      <c r="L227" s="30">
        <f>IF(B227="","",IF(N(K227)=0,0,ROUNDUP(ROUND(K227/IF(N(F227)&gt;0,F227,1),6),0))+N(I227))</f>
        <v/>
      </c>
      <c r="M227" s="25">
        <f>IF(B227="","",L227*N(G227))</f>
        <v/>
      </c>
      <c r="N227" s="1">
        <f>IF(B227="","",N(G227)/IF(N(F227)&gt;0,F227,1))</f>
        <v/>
      </c>
      <c r="O227">
        <f>IF(OR(B227="",N(L227)=0),"",IFERROR(MATCH(D227,Settings!$B$6:$B$17,0),13)*1000+ROW())</f>
        <v/>
      </c>
    </row>
    <row r="228">
      <c r="A228" s="1" t="n"/>
      <c r="B228" s="32" t="n"/>
      <c r="C228" s="31" t="n"/>
      <c r="D228" s="33" t="n"/>
      <c r="E228" s="33" t="n"/>
      <c r="F228" s="31" t="n"/>
      <c r="G228" s="36" t="n"/>
      <c r="H228" s="31" t="n"/>
      <c r="I228" s="34" t="n"/>
      <c r="J228" s="35">
        <f>IF(B228="","",ROUND(SUMIFS(Ingredients!$G$6:$G$1005,Ingredients!$C$6:$C$1005,B228),2))</f>
        <v/>
      </c>
      <c r="K228" s="35">
        <f>IF(B228="","",MAX(0,ROUND(J228-N(H228),2)))</f>
        <v/>
      </c>
      <c r="L228" s="30">
        <f>IF(B228="","",IF(N(K228)=0,0,ROUNDUP(ROUND(K228/IF(N(F228)&gt;0,F228,1),6),0))+N(I228))</f>
        <v/>
      </c>
      <c r="M228" s="25">
        <f>IF(B228="","",L228*N(G228))</f>
        <v/>
      </c>
      <c r="N228" s="1">
        <f>IF(B228="","",N(G228)/IF(N(F228)&gt;0,F228,1))</f>
        <v/>
      </c>
      <c r="O228">
        <f>IF(OR(B228="",N(L228)=0),"",IFERROR(MATCH(D228,Settings!$B$6:$B$17,0),13)*1000+ROW())</f>
        <v/>
      </c>
    </row>
    <row r="229">
      <c r="A229" s="1" t="n"/>
      <c r="B229" s="32" t="n"/>
      <c r="C229" s="31" t="n"/>
      <c r="D229" s="33" t="n"/>
      <c r="E229" s="33" t="n"/>
      <c r="F229" s="31" t="n"/>
      <c r="G229" s="36" t="n"/>
      <c r="H229" s="31" t="n"/>
      <c r="I229" s="34" t="n"/>
      <c r="J229" s="35">
        <f>IF(B229="","",ROUND(SUMIFS(Ingredients!$G$6:$G$1005,Ingredients!$C$6:$C$1005,B229),2))</f>
        <v/>
      </c>
      <c r="K229" s="35">
        <f>IF(B229="","",MAX(0,ROUND(J229-N(H229),2)))</f>
        <v/>
      </c>
      <c r="L229" s="30">
        <f>IF(B229="","",IF(N(K229)=0,0,ROUNDUP(ROUND(K229/IF(N(F229)&gt;0,F229,1),6),0))+N(I229))</f>
        <v/>
      </c>
      <c r="M229" s="25">
        <f>IF(B229="","",L229*N(G229))</f>
        <v/>
      </c>
      <c r="N229" s="1">
        <f>IF(B229="","",N(G229)/IF(N(F229)&gt;0,F229,1))</f>
        <v/>
      </c>
      <c r="O229">
        <f>IF(OR(B229="",N(L229)=0),"",IFERROR(MATCH(D229,Settings!$B$6:$B$17,0),13)*1000+ROW())</f>
        <v/>
      </c>
    </row>
    <row r="230">
      <c r="A230" s="1" t="n"/>
      <c r="B230" s="32" t="n"/>
      <c r="C230" s="31" t="n"/>
      <c r="D230" s="33" t="n"/>
      <c r="E230" s="33" t="n"/>
      <c r="F230" s="31" t="n"/>
      <c r="G230" s="36" t="n"/>
      <c r="H230" s="31" t="n"/>
      <c r="I230" s="34" t="n"/>
      <c r="J230" s="35">
        <f>IF(B230="","",ROUND(SUMIFS(Ingredients!$G$6:$G$1005,Ingredients!$C$6:$C$1005,B230),2))</f>
        <v/>
      </c>
      <c r="K230" s="35">
        <f>IF(B230="","",MAX(0,ROUND(J230-N(H230),2)))</f>
        <v/>
      </c>
      <c r="L230" s="30">
        <f>IF(B230="","",IF(N(K230)=0,0,ROUNDUP(ROUND(K230/IF(N(F230)&gt;0,F230,1),6),0))+N(I230))</f>
        <v/>
      </c>
      <c r="M230" s="25">
        <f>IF(B230="","",L230*N(G230))</f>
        <v/>
      </c>
      <c r="N230" s="1">
        <f>IF(B230="","",N(G230)/IF(N(F230)&gt;0,F230,1))</f>
        <v/>
      </c>
      <c r="O230">
        <f>IF(OR(B230="",N(L230)=0),"",IFERROR(MATCH(D230,Settings!$B$6:$B$17,0),13)*1000+ROW())</f>
        <v/>
      </c>
    </row>
    <row r="231">
      <c r="A231" s="1" t="n"/>
      <c r="B231" s="32" t="n"/>
      <c r="C231" s="31" t="n"/>
      <c r="D231" s="33" t="n"/>
      <c r="E231" s="33" t="n"/>
      <c r="F231" s="31" t="n"/>
      <c r="G231" s="36" t="n"/>
      <c r="H231" s="31" t="n"/>
      <c r="I231" s="34" t="n"/>
      <c r="J231" s="35">
        <f>IF(B231="","",ROUND(SUMIFS(Ingredients!$G$6:$G$1005,Ingredients!$C$6:$C$1005,B231),2))</f>
        <v/>
      </c>
      <c r="K231" s="35">
        <f>IF(B231="","",MAX(0,ROUND(J231-N(H231),2)))</f>
        <v/>
      </c>
      <c r="L231" s="30">
        <f>IF(B231="","",IF(N(K231)=0,0,ROUNDUP(ROUND(K231/IF(N(F231)&gt;0,F231,1),6),0))+N(I231))</f>
        <v/>
      </c>
      <c r="M231" s="25">
        <f>IF(B231="","",L231*N(G231))</f>
        <v/>
      </c>
      <c r="N231" s="1">
        <f>IF(B231="","",N(G231)/IF(N(F231)&gt;0,F231,1))</f>
        <v/>
      </c>
      <c r="O231">
        <f>IF(OR(B231="",N(L231)=0),"",IFERROR(MATCH(D231,Settings!$B$6:$B$17,0),13)*1000+ROW())</f>
        <v/>
      </c>
    </row>
    <row r="232">
      <c r="A232" s="1" t="n"/>
      <c r="B232" s="32" t="n"/>
      <c r="C232" s="31" t="n"/>
      <c r="D232" s="33" t="n"/>
      <c r="E232" s="33" t="n"/>
      <c r="F232" s="31" t="n"/>
      <c r="G232" s="36" t="n"/>
      <c r="H232" s="31" t="n"/>
      <c r="I232" s="34" t="n"/>
      <c r="J232" s="35">
        <f>IF(B232="","",ROUND(SUMIFS(Ingredients!$G$6:$G$1005,Ingredients!$C$6:$C$1005,B232),2))</f>
        <v/>
      </c>
      <c r="K232" s="35">
        <f>IF(B232="","",MAX(0,ROUND(J232-N(H232),2)))</f>
        <v/>
      </c>
      <c r="L232" s="30">
        <f>IF(B232="","",IF(N(K232)=0,0,ROUNDUP(ROUND(K232/IF(N(F232)&gt;0,F232,1),6),0))+N(I232))</f>
        <v/>
      </c>
      <c r="M232" s="25">
        <f>IF(B232="","",L232*N(G232))</f>
        <v/>
      </c>
      <c r="N232" s="1">
        <f>IF(B232="","",N(G232)/IF(N(F232)&gt;0,F232,1))</f>
        <v/>
      </c>
      <c r="O232">
        <f>IF(OR(B232="",N(L232)=0),"",IFERROR(MATCH(D232,Settings!$B$6:$B$17,0),13)*1000+ROW())</f>
        <v/>
      </c>
    </row>
    <row r="233">
      <c r="A233" s="1" t="n"/>
      <c r="B233" s="32" t="n"/>
      <c r="C233" s="31" t="n"/>
      <c r="D233" s="33" t="n"/>
      <c r="E233" s="33" t="n"/>
      <c r="F233" s="31" t="n"/>
      <c r="G233" s="36" t="n"/>
      <c r="H233" s="31" t="n"/>
      <c r="I233" s="34" t="n"/>
      <c r="J233" s="35">
        <f>IF(B233="","",ROUND(SUMIFS(Ingredients!$G$6:$G$1005,Ingredients!$C$6:$C$1005,B233),2))</f>
        <v/>
      </c>
      <c r="K233" s="35">
        <f>IF(B233="","",MAX(0,ROUND(J233-N(H233),2)))</f>
        <v/>
      </c>
      <c r="L233" s="30">
        <f>IF(B233="","",IF(N(K233)=0,0,ROUNDUP(ROUND(K233/IF(N(F233)&gt;0,F233,1),6),0))+N(I233))</f>
        <v/>
      </c>
      <c r="M233" s="25">
        <f>IF(B233="","",L233*N(G233))</f>
        <v/>
      </c>
      <c r="N233" s="1">
        <f>IF(B233="","",N(G233)/IF(N(F233)&gt;0,F233,1))</f>
        <v/>
      </c>
      <c r="O233">
        <f>IF(OR(B233="",N(L233)=0),"",IFERROR(MATCH(D233,Settings!$B$6:$B$17,0),13)*1000+ROW())</f>
        <v/>
      </c>
    </row>
    <row r="234">
      <c r="A234" s="1" t="n"/>
      <c r="B234" s="32" t="n"/>
      <c r="C234" s="31" t="n"/>
      <c r="D234" s="33" t="n"/>
      <c r="E234" s="33" t="n"/>
      <c r="F234" s="31" t="n"/>
      <c r="G234" s="36" t="n"/>
      <c r="H234" s="31" t="n"/>
      <c r="I234" s="34" t="n"/>
      <c r="J234" s="35">
        <f>IF(B234="","",ROUND(SUMIFS(Ingredients!$G$6:$G$1005,Ingredients!$C$6:$C$1005,B234),2))</f>
        <v/>
      </c>
      <c r="K234" s="35">
        <f>IF(B234="","",MAX(0,ROUND(J234-N(H234),2)))</f>
        <v/>
      </c>
      <c r="L234" s="30">
        <f>IF(B234="","",IF(N(K234)=0,0,ROUNDUP(ROUND(K234/IF(N(F234)&gt;0,F234,1),6),0))+N(I234))</f>
        <v/>
      </c>
      <c r="M234" s="25">
        <f>IF(B234="","",L234*N(G234))</f>
        <v/>
      </c>
      <c r="N234" s="1">
        <f>IF(B234="","",N(G234)/IF(N(F234)&gt;0,F234,1))</f>
        <v/>
      </c>
      <c r="O234">
        <f>IF(OR(B234="",N(L234)=0),"",IFERROR(MATCH(D234,Settings!$B$6:$B$17,0),13)*1000+ROW())</f>
        <v/>
      </c>
    </row>
    <row r="235">
      <c r="A235" s="1" t="n"/>
      <c r="B235" s="32" t="n"/>
      <c r="C235" s="31" t="n"/>
      <c r="D235" s="33" t="n"/>
      <c r="E235" s="33" t="n"/>
      <c r="F235" s="31" t="n"/>
      <c r="G235" s="36" t="n"/>
      <c r="H235" s="31" t="n"/>
      <c r="I235" s="34" t="n"/>
      <c r="J235" s="35">
        <f>IF(B235="","",ROUND(SUMIFS(Ingredients!$G$6:$G$1005,Ingredients!$C$6:$C$1005,B235),2))</f>
        <v/>
      </c>
      <c r="K235" s="35">
        <f>IF(B235="","",MAX(0,ROUND(J235-N(H235),2)))</f>
        <v/>
      </c>
      <c r="L235" s="30">
        <f>IF(B235="","",IF(N(K235)=0,0,ROUNDUP(ROUND(K235/IF(N(F235)&gt;0,F235,1),6),0))+N(I235))</f>
        <v/>
      </c>
      <c r="M235" s="25">
        <f>IF(B235="","",L235*N(G235))</f>
        <v/>
      </c>
      <c r="N235" s="1">
        <f>IF(B235="","",N(G235)/IF(N(F235)&gt;0,F235,1))</f>
        <v/>
      </c>
      <c r="O235">
        <f>IF(OR(B235="",N(L235)=0),"",IFERROR(MATCH(D235,Settings!$B$6:$B$17,0),13)*1000+ROW())</f>
        <v/>
      </c>
    </row>
    <row r="236">
      <c r="A236" s="1" t="n"/>
      <c r="B236" s="32" t="n"/>
      <c r="C236" s="31" t="n"/>
      <c r="D236" s="33" t="n"/>
      <c r="E236" s="33" t="n"/>
      <c r="F236" s="31" t="n"/>
      <c r="G236" s="36" t="n"/>
      <c r="H236" s="31" t="n"/>
      <c r="I236" s="34" t="n"/>
      <c r="J236" s="35">
        <f>IF(B236="","",ROUND(SUMIFS(Ingredients!$G$6:$G$1005,Ingredients!$C$6:$C$1005,B236),2))</f>
        <v/>
      </c>
      <c r="K236" s="35">
        <f>IF(B236="","",MAX(0,ROUND(J236-N(H236),2)))</f>
        <v/>
      </c>
      <c r="L236" s="30">
        <f>IF(B236="","",IF(N(K236)=0,0,ROUNDUP(ROUND(K236/IF(N(F236)&gt;0,F236,1),6),0))+N(I236))</f>
        <v/>
      </c>
      <c r="M236" s="25">
        <f>IF(B236="","",L236*N(G236))</f>
        <v/>
      </c>
      <c r="N236" s="1">
        <f>IF(B236="","",N(G236)/IF(N(F236)&gt;0,F236,1))</f>
        <v/>
      </c>
      <c r="O236">
        <f>IF(OR(B236="",N(L236)=0),"",IFERROR(MATCH(D236,Settings!$B$6:$B$17,0),13)*1000+ROW())</f>
        <v/>
      </c>
    </row>
    <row r="237">
      <c r="A237" s="1" t="n"/>
      <c r="B237" s="32" t="n"/>
      <c r="C237" s="31" t="n"/>
      <c r="D237" s="33" t="n"/>
      <c r="E237" s="33" t="n"/>
      <c r="F237" s="31" t="n"/>
      <c r="G237" s="36" t="n"/>
      <c r="H237" s="31" t="n"/>
      <c r="I237" s="34" t="n"/>
      <c r="J237" s="35">
        <f>IF(B237="","",ROUND(SUMIFS(Ingredients!$G$6:$G$1005,Ingredients!$C$6:$C$1005,B237),2))</f>
        <v/>
      </c>
      <c r="K237" s="35">
        <f>IF(B237="","",MAX(0,ROUND(J237-N(H237),2)))</f>
        <v/>
      </c>
      <c r="L237" s="30">
        <f>IF(B237="","",IF(N(K237)=0,0,ROUNDUP(ROUND(K237/IF(N(F237)&gt;0,F237,1),6),0))+N(I237))</f>
        <v/>
      </c>
      <c r="M237" s="25">
        <f>IF(B237="","",L237*N(G237))</f>
        <v/>
      </c>
      <c r="N237" s="1">
        <f>IF(B237="","",N(G237)/IF(N(F237)&gt;0,F237,1))</f>
        <v/>
      </c>
      <c r="O237">
        <f>IF(OR(B237="",N(L237)=0),"",IFERROR(MATCH(D237,Settings!$B$6:$B$17,0),13)*1000+ROW())</f>
        <v/>
      </c>
    </row>
    <row r="238">
      <c r="A238" s="1" t="n"/>
      <c r="B238" s="32" t="n"/>
      <c r="C238" s="31" t="n"/>
      <c r="D238" s="33" t="n"/>
      <c r="E238" s="33" t="n"/>
      <c r="F238" s="31" t="n"/>
      <c r="G238" s="36" t="n"/>
      <c r="H238" s="31" t="n"/>
      <c r="I238" s="34" t="n"/>
      <c r="J238" s="35">
        <f>IF(B238="","",ROUND(SUMIFS(Ingredients!$G$6:$G$1005,Ingredients!$C$6:$C$1005,B238),2))</f>
        <v/>
      </c>
      <c r="K238" s="35">
        <f>IF(B238="","",MAX(0,ROUND(J238-N(H238),2)))</f>
        <v/>
      </c>
      <c r="L238" s="30">
        <f>IF(B238="","",IF(N(K238)=0,0,ROUNDUP(ROUND(K238/IF(N(F238)&gt;0,F238,1),6),0))+N(I238))</f>
        <v/>
      </c>
      <c r="M238" s="25">
        <f>IF(B238="","",L238*N(G238))</f>
        <v/>
      </c>
      <c r="N238" s="1">
        <f>IF(B238="","",N(G238)/IF(N(F238)&gt;0,F238,1))</f>
        <v/>
      </c>
      <c r="O238">
        <f>IF(OR(B238="",N(L238)=0),"",IFERROR(MATCH(D238,Settings!$B$6:$B$17,0),13)*1000+ROW())</f>
        <v/>
      </c>
    </row>
    <row r="239">
      <c r="A239" s="1" t="n"/>
      <c r="B239" s="32" t="n"/>
      <c r="C239" s="31" t="n"/>
      <c r="D239" s="33" t="n"/>
      <c r="E239" s="33" t="n"/>
      <c r="F239" s="31" t="n"/>
      <c r="G239" s="36" t="n"/>
      <c r="H239" s="31" t="n"/>
      <c r="I239" s="34" t="n"/>
      <c r="J239" s="35">
        <f>IF(B239="","",ROUND(SUMIFS(Ingredients!$G$6:$G$1005,Ingredients!$C$6:$C$1005,B239),2))</f>
        <v/>
      </c>
      <c r="K239" s="35">
        <f>IF(B239="","",MAX(0,ROUND(J239-N(H239),2)))</f>
        <v/>
      </c>
      <c r="L239" s="30">
        <f>IF(B239="","",IF(N(K239)=0,0,ROUNDUP(ROUND(K239/IF(N(F239)&gt;0,F239,1),6),0))+N(I239))</f>
        <v/>
      </c>
      <c r="M239" s="25">
        <f>IF(B239="","",L239*N(G239))</f>
        <v/>
      </c>
      <c r="N239" s="1">
        <f>IF(B239="","",N(G239)/IF(N(F239)&gt;0,F239,1))</f>
        <v/>
      </c>
      <c r="O239">
        <f>IF(OR(B239="",N(L239)=0),"",IFERROR(MATCH(D239,Settings!$B$6:$B$17,0),13)*1000+ROW())</f>
        <v/>
      </c>
    </row>
    <row r="240">
      <c r="A240" s="1" t="n"/>
      <c r="B240" s="32" t="n"/>
      <c r="C240" s="31" t="n"/>
      <c r="D240" s="33" t="n"/>
      <c r="E240" s="33" t="n"/>
      <c r="F240" s="31" t="n"/>
      <c r="G240" s="36" t="n"/>
      <c r="H240" s="31" t="n"/>
      <c r="I240" s="34" t="n"/>
      <c r="J240" s="35">
        <f>IF(B240="","",ROUND(SUMIFS(Ingredients!$G$6:$G$1005,Ingredients!$C$6:$C$1005,B240),2))</f>
        <v/>
      </c>
      <c r="K240" s="35">
        <f>IF(B240="","",MAX(0,ROUND(J240-N(H240),2)))</f>
        <v/>
      </c>
      <c r="L240" s="30">
        <f>IF(B240="","",IF(N(K240)=0,0,ROUNDUP(ROUND(K240/IF(N(F240)&gt;0,F240,1),6),0))+N(I240))</f>
        <v/>
      </c>
      <c r="M240" s="25">
        <f>IF(B240="","",L240*N(G240))</f>
        <v/>
      </c>
      <c r="N240" s="1">
        <f>IF(B240="","",N(G240)/IF(N(F240)&gt;0,F240,1))</f>
        <v/>
      </c>
      <c r="O240">
        <f>IF(OR(B240="",N(L240)=0),"",IFERROR(MATCH(D240,Settings!$B$6:$B$17,0),13)*1000+ROW())</f>
        <v/>
      </c>
    </row>
    <row r="241">
      <c r="A241" s="1" t="n"/>
      <c r="B241" s="32" t="n"/>
      <c r="C241" s="31" t="n"/>
      <c r="D241" s="33" t="n"/>
      <c r="E241" s="33" t="n"/>
      <c r="F241" s="31" t="n"/>
      <c r="G241" s="36" t="n"/>
      <c r="H241" s="31" t="n"/>
      <c r="I241" s="34" t="n"/>
      <c r="J241" s="35">
        <f>IF(B241="","",ROUND(SUMIFS(Ingredients!$G$6:$G$1005,Ingredients!$C$6:$C$1005,B241),2))</f>
        <v/>
      </c>
      <c r="K241" s="35">
        <f>IF(B241="","",MAX(0,ROUND(J241-N(H241),2)))</f>
        <v/>
      </c>
      <c r="L241" s="30">
        <f>IF(B241="","",IF(N(K241)=0,0,ROUNDUP(ROUND(K241/IF(N(F241)&gt;0,F241,1),6),0))+N(I241))</f>
        <v/>
      </c>
      <c r="M241" s="25">
        <f>IF(B241="","",L241*N(G241))</f>
        <v/>
      </c>
      <c r="N241" s="1">
        <f>IF(B241="","",N(G241)/IF(N(F241)&gt;0,F241,1))</f>
        <v/>
      </c>
      <c r="O241">
        <f>IF(OR(B241="",N(L241)=0),"",IFERROR(MATCH(D241,Settings!$B$6:$B$17,0),13)*1000+ROW())</f>
        <v/>
      </c>
    </row>
    <row r="242">
      <c r="A242" s="1" t="n"/>
      <c r="B242" s="32" t="n"/>
      <c r="C242" s="31" t="n"/>
      <c r="D242" s="33" t="n"/>
      <c r="E242" s="33" t="n"/>
      <c r="F242" s="31" t="n"/>
      <c r="G242" s="36" t="n"/>
      <c r="H242" s="31" t="n"/>
      <c r="I242" s="34" t="n"/>
      <c r="J242" s="35">
        <f>IF(B242="","",ROUND(SUMIFS(Ingredients!$G$6:$G$1005,Ingredients!$C$6:$C$1005,B242),2))</f>
        <v/>
      </c>
      <c r="K242" s="35">
        <f>IF(B242="","",MAX(0,ROUND(J242-N(H242),2)))</f>
        <v/>
      </c>
      <c r="L242" s="30">
        <f>IF(B242="","",IF(N(K242)=0,0,ROUNDUP(ROUND(K242/IF(N(F242)&gt;0,F242,1),6),0))+N(I242))</f>
        <v/>
      </c>
      <c r="M242" s="25">
        <f>IF(B242="","",L242*N(G242))</f>
        <v/>
      </c>
      <c r="N242" s="1">
        <f>IF(B242="","",N(G242)/IF(N(F242)&gt;0,F242,1))</f>
        <v/>
      </c>
      <c r="O242">
        <f>IF(OR(B242="",N(L242)=0),"",IFERROR(MATCH(D242,Settings!$B$6:$B$17,0),13)*1000+ROW())</f>
        <v/>
      </c>
    </row>
    <row r="243">
      <c r="A243" s="1" t="n"/>
      <c r="B243" s="32" t="n"/>
      <c r="C243" s="31" t="n"/>
      <c r="D243" s="33" t="n"/>
      <c r="E243" s="33" t="n"/>
      <c r="F243" s="31" t="n"/>
      <c r="G243" s="36" t="n"/>
      <c r="H243" s="31" t="n"/>
      <c r="I243" s="34" t="n"/>
      <c r="J243" s="35">
        <f>IF(B243="","",ROUND(SUMIFS(Ingredients!$G$6:$G$1005,Ingredients!$C$6:$C$1005,B243),2))</f>
        <v/>
      </c>
      <c r="K243" s="35">
        <f>IF(B243="","",MAX(0,ROUND(J243-N(H243),2)))</f>
        <v/>
      </c>
      <c r="L243" s="30">
        <f>IF(B243="","",IF(N(K243)=0,0,ROUNDUP(ROUND(K243/IF(N(F243)&gt;0,F243,1),6),0))+N(I243))</f>
        <v/>
      </c>
      <c r="M243" s="25">
        <f>IF(B243="","",L243*N(G243))</f>
        <v/>
      </c>
      <c r="N243" s="1">
        <f>IF(B243="","",N(G243)/IF(N(F243)&gt;0,F243,1))</f>
        <v/>
      </c>
      <c r="O243">
        <f>IF(OR(B243="",N(L243)=0),"",IFERROR(MATCH(D243,Settings!$B$6:$B$17,0),13)*1000+ROW())</f>
        <v/>
      </c>
    </row>
    <row r="244">
      <c r="A244" s="1" t="n"/>
      <c r="B244" s="32" t="n"/>
      <c r="C244" s="31" t="n"/>
      <c r="D244" s="33" t="n"/>
      <c r="E244" s="33" t="n"/>
      <c r="F244" s="31" t="n"/>
      <c r="G244" s="36" t="n"/>
      <c r="H244" s="31" t="n"/>
      <c r="I244" s="34" t="n"/>
      <c r="J244" s="35">
        <f>IF(B244="","",ROUND(SUMIFS(Ingredients!$G$6:$G$1005,Ingredients!$C$6:$C$1005,B244),2))</f>
        <v/>
      </c>
      <c r="K244" s="35">
        <f>IF(B244="","",MAX(0,ROUND(J244-N(H244),2)))</f>
        <v/>
      </c>
      <c r="L244" s="30">
        <f>IF(B244="","",IF(N(K244)=0,0,ROUNDUP(ROUND(K244/IF(N(F244)&gt;0,F244,1),6),0))+N(I244))</f>
        <v/>
      </c>
      <c r="M244" s="25">
        <f>IF(B244="","",L244*N(G244))</f>
        <v/>
      </c>
      <c r="N244" s="1">
        <f>IF(B244="","",N(G244)/IF(N(F244)&gt;0,F244,1))</f>
        <v/>
      </c>
      <c r="O244">
        <f>IF(OR(B244="",N(L244)=0),"",IFERROR(MATCH(D244,Settings!$B$6:$B$17,0),13)*1000+ROW())</f>
        <v/>
      </c>
    </row>
    <row r="245">
      <c r="A245" s="1" t="n"/>
      <c r="B245" s="32" t="n"/>
      <c r="C245" s="31" t="n"/>
      <c r="D245" s="33" t="n"/>
      <c r="E245" s="33" t="n"/>
      <c r="F245" s="31" t="n"/>
      <c r="G245" s="36" t="n"/>
      <c r="H245" s="31" t="n"/>
      <c r="I245" s="34" t="n"/>
      <c r="J245" s="35">
        <f>IF(B245="","",ROUND(SUMIFS(Ingredients!$G$6:$G$1005,Ingredients!$C$6:$C$1005,B245),2))</f>
        <v/>
      </c>
      <c r="K245" s="35">
        <f>IF(B245="","",MAX(0,ROUND(J245-N(H245),2)))</f>
        <v/>
      </c>
      <c r="L245" s="30">
        <f>IF(B245="","",IF(N(K245)=0,0,ROUNDUP(ROUND(K245/IF(N(F245)&gt;0,F245,1),6),0))+N(I245))</f>
        <v/>
      </c>
      <c r="M245" s="25">
        <f>IF(B245="","",L245*N(G245))</f>
        <v/>
      </c>
      <c r="N245" s="1">
        <f>IF(B245="","",N(G245)/IF(N(F245)&gt;0,F245,1))</f>
        <v/>
      </c>
      <c r="O245">
        <f>IF(OR(B245="",N(L245)=0),"",IFERROR(MATCH(D245,Settings!$B$6:$B$17,0),13)*1000+ROW())</f>
        <v/>
      </c>
    </row>
    <row r="246">
      <c r="A246" s="1" t="n"/>
      <c r="B246" s="32" t="n"/>
      <c r="C246" s="31" t="n"/>
      <c r="D246" s="33" t="n"/>
      <c r="E246" s="33" t="n"/>
      <c r="F246" s="31" t="n"/>
      <c r="G246" s="36" t="n"/>
      <c r="H246" s="31" t="n"/>
      <c r="I246" s="34" t="n"/>
      <c r="J246" s="35">
        <f>IF(B246="","",ROUND(SUMIFS(Ingredients!$G$6:$G$1005,Ingredients!$C$6:$C$1005,B246),2))</f>
        <v/>
      </c>
      <c r="K246" s="35">
        <f>IF(B246="","",MAX(0,ROUND(J246-N(H246),2)))</f>
        <v/>
      </c>
      <c r="L246" s="30">
        <f>IF(B246="","",IF(N(K246)=0,0,ROUNDUP(ROUND(K246/IF(N(F246)&gt;0,F246,1),6),0))+N(I246))</f>
        <v/>
      </c>
      <c r="M246" s="25">
        <f>IF(B246="","",L246*N(G246))</f>
        <v/>
      </c>
      <c r="N246" s="1">
        <f>IF(B246="","",N(G246)/IF(N(F246)&gt;0,F246,1))</f>
        <v/>
      </c>
      <c r="O246">
        <f>IF(OR(B246="",N(L246)=0),"",IFERROR(MATCH(D246,Settings!$B$6:$B$17,0),13)*1000+ROW())</f>
        <v/>
      </c>
    </row>
    <row r="247">
      <c r="A247" s="1" t="n"/>
      <c r="B247" s="32" t="n"/>
      <c r="C247" s="31" t="n"/>
      <c r="D247" s="33" t="n"/>
      <c r="E247" s="33" t="n"/>
      <c r="F247" s="31" t="n"/>
      <c r="G247" s="36" t="n"/>
      <c r="H247" s="31" t="n"/>
      <c r="I247" s="34" t="n"/>
      <c r="J247" s="35">
        <f>IF(B247="","",ROUND(SUMIFS(Ingredients!$G$6:$G$1005,Ingredients!$C$6:$C$1005,B247),2))</f>
        <v/>
      </c>
      <c r="K247" s="35">
        <f>IF(B247="","",MAX(0,ROUND(J247-N(H247),2)))</f>
        <v/>
      </c>
      <c r="L247" s="30">
        <f>IF(B247="","",IF(N(K247)=0,0,ROUNDUP(ROUND(K247/IF(N(F247)&gt;0,F247,1),6),0))+N(I247))</f>
        <v/>
      </c>
      <c r="M247" s="25">
        <f>IF(B247="","",L247*N(G247))</f>
        <v/>
      </c>
      <c r="N247" s="1">
        <f>IF(B247="","",N(G247)/IF(N(F247)&gt;0,F247,1))</f>
        <v/>
      </c>
      <c r="O247">
        <f>IF(OR(B247="",N(L247)=0),"",IFERROR(MATCH(D247,Settings!$B$6:$B$17,0),13)*1000+ROW())</f>
        <v/>
      </c>
    </row>
    <row r="248">
      <c r="A248" s="1" t="n"/>
      <c r="B248" s="32" t="n"/>
      <c r="C248" s="31" t="n"/>
      <c r="D248" s="33" t="n"/>
      <c r="E248" s="33" t="n"/>
      <c r="F248" s="31" t="n"/>
      <c r="G248" s="36" t="n"/>
      <c r="H248" s="31" t="n"/>
      <c r="I248" s="34" t="n"/>
      <c r="J248" s="35">
        <f>IF(B248="","",ROUND(SUMIFS(Ingredients!$G$6:$G$1005,Ingredients!$C$6:$C$1005,B248),2))</f>
        <v/>
      </c>
      <c r="K248" s="35">
        <f>IF(B248="","",MAX(0,ROUND(J248-N(H248),2)))</f>
        <v/>
      </c>
      <c r="L248" s="30">
        <f>IF(B248="","",IF(N(K248)=0,0,ROUNDUP(ROUND(K248/IF(N(F248)&gt;0,F248,1),6),0))+N(I248))</f>
        <v/>
      </c>
      <c r="M248" s="25">
        <f>IF(B248="","",L248*N(G248))</f>
        <v/>
      </c>
      <c r="N248" s="1">
        <f>IF(B248="","",N(G248)/IF(N(F248)&gt;0,F248,1))</f>
        <v/>
      </c>
      <c r="O248">
        <f>IF(OR(B248="",N(L248)=0),"",IFERROR(MATCH(D248,Settings!$B$6:$B$17,0),13)*1000+ROW())</f>
        <v/>
      </c>
    </row>
    <row r="249">
      <c r="A249" s="1" t="n"/>
      <c r="B249" s="32" t="n"/>
      <c r="C249" s="31" t="n"/>
      <c r="D249" s="33" t="n"/>
      <c r="E249" s="33" t="n"/>
      <c r="F249" s="31" t="n"/>
      <c r="G249" s="36" t="n"/>
      <c r="H249" s="31" t="n"/>
      <c r="I249" s="34" t="n"/>
      <c r="J249" s="35">
        <f>IF(B249="","",ROUND(SUMIFS(Ingredients!$G$6:$G$1005,Ingredients!$C$6:$C$1005,B249),2))</f>
        <v/>
      </c>
      <c r="K249" s="35">
        <f>IF(B249="","",MAX(0,ROUND(J249-N(H249),2)))</f>
        <v/>
      </c>
      <c r="L249" s="30">
        <f>IF(B249="","",IF(N(K249)=0,0,ROUNDUP(ROUND(K249/IF(N(F249)&gt;0,F249,1),6),0))+N(I249))</f>
        <v/>
      </c>
      <c r="M249" s="25">
        <f>IF(B249="","",L249*N(G249))</f>
        <v/>
      </c>
      <c r="N249" s="1">
        <f>IF(B249="","",N(G249)/IF(N(F249)&gt;0,F249,1))</f>
        <v/>
      </c>
      <c r="O249">
        <f>IF(OR(B249="",N(L249)=0),"",IFERROR(MATCH(D249,Settings!$B$6:$B$17,0),13)*1000+ROW())</f>
        <v/>
      </c>
    </row>
    <row r="250">
      <c r="A250" s="1" t="n"/>
      <c r="B250" s="32" t="n"/>
      <c r="C250" s="31" t="n"/>
      <c r="D250" s="33" t="n"/>
      <c r="E250" s="33" t="n"/>
      <c r="F250" s="31" t="n"/>
      <c r="G250" s="36" t="n"/>
      <c r="H250" s="31" t="n"/>
      <c r="I250" s="34" t="n"/>
      <c r="J250" s="35">
        <f>IF(B250="","",ROUND(SUMIFS(Ingredients!$G$6:$G$1005,Ingredients!$C$6:$C$1005,B250),2))</f>
        <v/>
      </c>
      <c r="K250" s="35">
        <f>IF(B250="","",MAX(0,ROUND(J250-N(H250),2)))</f>
        <v/>
      </c>
      <c r="L250" s="30">
        <f>IF(B250="","",IF(N(K250)=0,0,ROUNDUP(ROUND(K250/IF(N(F250)&gt;0,F250,1),6),0))+N(I250))</f>
        <v/>
      </c>
      <c r="M250" s="25">
        <f>IF(B250="","",L250*N(G250))</f>
        <v/>
      </c>
      <c r="N250" s="1">
        <f>IF(B250="","",N(G250)/IF(N(F250)&gt;0,F250,1))</f>
        <v/>
      </c>
      <c r="O250">
        <f>IF(OR(B250="",N(L250)=0),"",IFERROR(MATCH(D250,Settings!$B$6:$B$17,0),13)*1000+ROW())</f>
        <v/>
      </c>
    </row>
    <row r="251">
      <c r="A251" s="1" t="n"/>
      <c r="B251" s="32" t="n"/>
      <c r="C251" s="31" t="n"/>
      <c r="D251" s="33" t="n"/>
      <c r="E251" s="33" t="n"/>
      <c r="F251" s="31" t="n"/>
      <c r="G251" s="36" t="n"/>
      <c r="H251" s="31" t="n"/>
      <c r="I251" s="34" t="n"/>
      <c r="J251" s="35">
        <f>IF(B251="","",ROUND(SUMIFS(Ingredients!$G$6:$G$1005,Ingredients!$C$6:$C$1005,B251),2))</f>
        <v/>
      </c>
      <c r="K251" s="35">
        <f>IF(B251="","",MAX(0,ROUND(J251-N(H251),2)))</f>
        <v/>
      </c>
      <c r="L251" s="30">
        <f>IF(B251="","",IF(N(K251)=0,0,ROUNDUP(ROUND(K251/IF(N(F251)&gt;0,F251,1),6),0))+N(I251))</f>
        <v/>
      </c>
      <c r="M251" s="25">
        <f>IF(B251="","",L251*N(G251))</f>
        <v/>
      </c>
      <c r="N251" s="1">
        <f>IF(B251="","",N(G251)/IF(N(F251)&gt;0,F251,1))</f>
        <v/>
      </c>
      <c r="O251">
        <f>IF(OR(B251="",N(L251)=0),"",IFERROR(MATCH(D251,Settings!$B$6:$B$17,0),13)*1000+ROW())</f>
        <v/>
      </c>
    </row>
    <row r="252">
      <c r="A252" s="1" t="n"/>
      <c r="B252" s="32" t="n"/>
      <c r="C252" s="31" t="n"/>
      <c r="D252" s="33" t="n"/>
      <c r="E252" s="33" t="n"/>
      <c r="F252" s="31" t="n"/>
      <c r="G252" s="36" t="n"/>
      <c r="H252" s="31" t="n"/>
      <c r="I252" s="34" t="n"/>
      <c r="J252" s="35">
        <f>IF(B252="","",ROUND(SUMIFS(Ingredients!$G$6:$G$1005,Ingredients!$C$6:$C$1005,B252),2))</f>
        <v/>
      </c>
      <c r="K252" s="35">
        <f>IF(B252="","",MAX(0,ROUND(J252-N(H252),2)))</f>
        <v/>
      </c>
      <c r="L252" s="30">
        <f>IF(B252="","",IF(N(K252)=0,0,ROUNDUP(ROUND(K252/IF(N(F252)&gt;0,F252,1),6),0))+N(I252))</f>
        <v/>
      </c>
      <c r="M252" s="25">
        <f>IF(B252="","",L252*N(G252))</f>
        <v/>
      </c>
      <c r="N252" s="1">
        <f>IF(B252="","",N(G252)/IF(N(F252)&gt;0,F252,1))</f>
        <v/>
      </c>
      <c r="O252">
        <f>IF(OR(B252="",N(L252)=0),"",IFERROR(MATCH(D252,Settings!$B$6:$B$17,0),13)*1000+ROW())</f>
        <v/>
      </c>
    </row>
    <row r="253">
      <c r="A253" s="1" t="n"/>
      <c r="B253" s="32" t="n"/>
      <c r="C253" s="31" t="n"/>
      <c r="D253" s="33" t="n"/>
      <c r="E253" s="33" t="n"/>
      <c r="F253" s="31" t="n"/>
      <c r="G253" s="36" t="n"/>
      <c r="H253" s="31" t="n"/>
      <c r="I253" s="34" t="n"/>
      <c r="J253" s="35">
        <f>IF(B253="","",ROUND(SUMIFS(Ingredients!$G$6:$G$1005,Ingredients!$C$6:$C$1005,B253),2))</f>
        <v/>
      </c>
      <c r="K253" s="35">
        <f>IF(B253="","",MAX(0,ROUND(J253-N(H253),2)))</f>
        <v/>
      </c>
      <c r="L253" s="30">
        <f>IF(B253="","",IF(N(K253)=0,0,ROUNDUP(ROUND(K253/IF(N(F253)&gt;0,F253,1),6),0))+N(I253))</f>
        <v/>
      </c>
      <c r="M253" s="25">
        <f>IF(B253="","",L253*N(G253))</f>
        <v/>
      </c>
      <c r="N253" s="1">
        <f>IF(B253="","",N(G253)/IF(N(F253)&gt;0,F253,1))</f>
        <v/>
      </c>
      <c r="O253">
        <f>IF(OR(B253="",N(L253)=0),"",IFERROR(MATCH(D253,Settings!$B$6:$B$17,0),13)*1000+ROW())</f>
        <v/>
      </c>
    </row>
    <row r="254">
      <c r="A254" s="1" t="n"/>
      <c r="B254" s="32" t="n"/>
      <c r="C254" s="31" t="n"/>
      <c r="D254" s="33" t="n"/>
      <c r="E254" s="33" t="n"/>
      <c r="F254" s="31" t="n"/>
      <c r="G254" s="36" t="n"/>
      <c r="H254" s="31" t="n"/>
      <c r="I254" s="34" t="n"/>
      <c r="J254" s="35">
        <f>IF(B254="","",ROUND(SUMIFS(Ingredients!$G$6:$G$1005,Ingredients!$C$6:$C$1005,B254),2))</f>
        <v/>
      </c>
      <c r="K254" s="35">
        <f>IF(B254="","",MAX(0,ROUND(J254-N(H254),2)))</f>
        <v/>
      </c>
      <c r="L254" s="30">
        <f>IF(B254="","",IF(N(K254)=0,0,ROUNDUP(ROUND(K254/IF(N(F254)&gt;0,F254,1),6),0))+N(I254))</f>
        <v/>
      </c>
      <c r="M254" s="25">
        <f>IF(B254="","",L254*N(G254))</f>
        <v/>
      </c>
      <c r="N254" s="1">
        <f>IF(B254="","",N(G254)/IF(N(F254)&gt;0,F254,1))</f>
        <v/>
      </c>
      <c r="O254">
        <f>IF(OR(B254="",N(L254)=0),"",IFERROR(MATCH(D254,Settings!$B$6:$B$17,0),13)*1000+ROW())</f>
        <v/>
      </c>
    </row>
    <row r="255">
      <c r="A255" s="1" t="n"/>
      <c r="B255" s="32" t="n"/>
      <c r="C255" s="31" t="n"/>
      <c r="D255" s="33" t="n"/>
      <c r="E255" s="33" t="n"/>
      <c r="F255" s="31" t="n"/>
      <c r="G255" s="36" t="n"/>
      <c r="H255" s="31" t="n"/>
      <c r="I255" s="34" t="n"/>
      <c r="J255" s="35">
        <f>IF(B255="","",ROUND(SUMIFS(Ingredients!$G$6:$G$1005,Ingredients!$C$6:$C$1005,B255),2))</f>
        <v/>
      </c>
      <c r="K255" s="35">
        <f>IF(B255="","",MAX(0,ROUND(J255-N(H255),2)))</f>
        <v/>
      </c>
      <c r="L255" s="30">
        <f>IF(B255="","",IF(N(K255)=0,0,ROUNDUP(ROUND(K255/IF(N(F255)&gt;0,F255,1),6),0))+N(I255))</f>
        <v/>
      </c>
      <c r="M255" s="25">
        <f>IF(B255="","",L255*N(G255))</f>
        <v/>
      </c>
      <c r="N255" s="1">
        <f>IF(B255="","",N(G255)/IF(N(F255)&gt;0,F255,1))</f>
        <v/>
      </c>
      <c r="O255">
        <f>IF(OR(B255="",N(L255)=0),"",IFERROR(MATCH(D255,Settings!$B$6:$B$17,0),13)*1000+ROW())</f>
        <v/>
      </c>
    </row>
    <row r="256">
      <c r="A256" s="1" t="n"/>
      <c r="B256" s="32" t="n"/>
      <c r="C256" s="31" t="n"/>
      <c r="D256" s="33" t="n"/>
      <c r="E256" s="33" t="n"/>
      <c r="F256" s="31" t="n"/>
      <c r="G256" s="36" t="n"/>
      <c r="H256" s="31" t="n"/>
      <c r="I256" s="34" t="n"/>
      <c r="J256" s="35">
        <f>IF(B256="","",ROUND(SUMIFS(Ingredients!$G$6:$G$1005,Ingredients!$C$6:$C$1005,B256),2))</f>
        <v/>
      </c>
      <c r="K256" s="35">
        <f>IF(B256="","",MAX(0,ROUND(J256-N(H256),2)))</f>
        <v/>
      </c>
      <c r="L256" s="30">
        <f>IF(B256="","",IF(N(K256)=0,0,ROUNDUP(ROUND(K256/IF(N(F256)&gt;0,F256,1),6),0))+N(I256))</f>
        <v/>
      </c>
      <c r="M256" s="25">
        <f>IF(B256="","",L256*N(G256))</f>
        <v/>
      </c>
      <c r="N256" s="1">
        <f>IF(B256="","",N(G256)/IF(N(F256)&gt;0,F256,1))</f>
        <v/>
      </c>
      <c r="O256">
        <f>IF(OR(B256="",N(L256)=0),"",IFERROR(MATCH(D256,Settings!$B$6:$B$17,0),13)*1000+ROW())</f>
        <v/>
      </c>
    </row>
    <row r="257">
      <c r="A257" s="1" t="n"/>
      <c r="B257" s="32" t="n"/>
      <c r="C257" s="31" t="n"/>
      <c r="D257" s="33" t="n"/>
      <c r="E257" s="33" t="n"/>
      <c r="F257" s="31" t="n"/>
      <c r="G257" s="36" t="n"/>
      <c r="H257" s="31" t="n"/>
      <c r="I257" s="34" t="n"/>
      <c r="J257" s="35">
        <f>IF(B257="","",ROUND(SUMIFS(Ingredients!$G$6:$G$1005,Ingredients!$C$6:$C$1005,B257),2))</f>
        <v/>
      </c>
      <c r="K257" s="35">
        <f>IF(B257="","",MAX(0,ROUND(J257-N(H257),2)))</f>
        <v/>
      </c>
      <c r="L257" s="30">
        <f>IF(B257="","",IF(N(K257)=0,0,ROUNDUP(ROUND(K257/IF(N(F257)&gt;0,F257,1),6),0))+N(I257))</f>
        <v/>
      </c>
      <c r="M257" s="25">
        <f>IF(B257="","",L257*N(G257))</f>
        <v/>
      </c>
      <c r="N257" s="1">
        <f>IF(B257="","",N(G257)/IF(N(F257)&gt;0,F257,1))</f>
        <v/>
      </c>
      <c r="O257">
        <f>IF(OR(B257="",N(L257)=0),"",IFERROR(MATCH(D257,Settings!$B$6:$B$17,0),13)*1000+ROW())</f>
        <v/>
      </c>
    </row>
    <row r="258">
      <c r="A258" s="1" t="n"/>
      <c r="B258" s="32" t="n"/>
      <c r="C258" s="31" t="n"/>
      <c r="D258" s="33" t="n"/>
      <c r="E258" s="33" t="n"/>
      <c r="F258" s="31" t="n"/>
      <c r="G258" s="36" t="n"/>
      <c r="H258" s="31" t="n"/>
      <c r="I258" s="34" t="n"/>
      <c r="J258" s="35">
        <f>IF(B258="","",ROUND(SUMIFS(Ingredients!$G$6:$G$1005,Ingredients!$C$6:$C$1005,B258),2))</f>
        <v/>
      </c>
      <c r="K258" s="35">
        <f>IF(B258="","",MAX(0,ROUND(J258-N(H258),2)))</f>
        <v/>
      </c>
      <c r="L258" s="30">
        <f>IF(B258="","",IF(N(K258)=0,0,ROUNDUP(ROUND(K258/IF(N(F258)&gt;0,F258,1),6),0))+N(I258))</f>
        <v/>
      </c>
      <c r="M258" s="25">
        <f>IF(B258="","",L258*N(G258))</f>
        <v/>
      </c>
      <c r="N258" s="1">
        <f>IF(B258="","",N(G258)/IF(N(F258)&gt;0,F258,1))</f>
        <v/>
      </c>
      <c r="O258">
        <f>IF(OR(B258="",N(L258)=0),"",IFERROR(MATCH(D258,Settings!$B$6:$B$17,0),13)*1000+ROW())</f>
        <v/>
      </c>
    </row>
    <row r="259">
      <c r="A259" s="1" t="n"/>
      <c r="B259" s="32" t="n"/>
      <c r="C259" s="31" t="n"/>
      <c r="D259" s="33" t="n"/>
      <c r="E259" s="33" t="n"/>
      <c r="F259" s="31" t="n"/>
      <c r="G259" s="36" t="n"/>
      <c r="H259" s="31" t="n"/>
      <c r="I259" s="34" t="n"/>
      <c r="J259" s="35">
        <f>IF(B259="","",ROUND(SUMIFS(Ingredients!$G$6:$G$1005,Ingredients!$C$6:$C$1005,B259),2))</f>
        <v/>
      </c>
      <c r="K259" s="35">
        <f>IF(B259="","",MAX(0,ROUND(J259-N(H259),2)))</f>
        <v/>
      </c>
      <c r="L259" s="30">
        <f>IF(B259="","",IF(N(K259)=0,0,ROUNDUP(ROUND(K259/IF(N(F259)&gt;0,F259,1),6),0))+N(I259))</f>
        <v/>
      </c>
      <c r="M259" s="25">
        <f>IF(B259="","",L259*N(G259))</f>
        <v/>
      </c>
      <c r="N259" s="1">
        <f>IF(B259="","",N(G259)/IF(N(F259)&gt;0,F259,1))</f>
        <v/>
      </c>
      <c r="O259">
        <f>IF(OR(B259="",N(L259)=0),"",IFERROR(MATCH(D259,Settings!$B$6:$B$17,0),13)*1000+ROW())</f>
        <v/>
      </c>
    </row>
    <row r="260">
      <c r="A260" s="1" t="n"/>
      <c r="B260" s="32" t="n"/>
      <c r="C260" s="31" t="n"/>
      <c r="D260" s="33" t="n"/>
      <c r="E260" s="33" t="n"/>
      <c r="F260" s="31" t="n"/>
      <c r="G260" s="36" t="n"/>
      <c r="H260" s="31" t="n"/>
      <c r="I260" s="34" t="n"/>
      <c r="J260" s="35">
        <f>IF(B260="","",ROUND(SUMIFS(Ingredients!$G$6:$G$1005,Ingredients!$C$6:$C$1005,B260),2))</f>
        <v/>
      </c>
      <c r="K260" s="35">
        <f>IF(B260="","",MAX(0,ROUND(J260-N(H260),2)))</f>
        <v/>
      </c>
      <c r="L260" s="30">
        <f>IF(B260="","",IF(N(K260)=0,0,ROUNDUP(ROUND(K260/IF(N(F260)&gt;0,F260,1),6),0))+N(I260))</f>
        <v/>
      </c>
      <c r="M260" s="25">
        <f>IF(B260="","",L260*N(G260))</f>
        <v/>
      </c>
      <c r="N260" s="1">
        <f>IF(B260="","",N(G260)/IF(N(F260)&gt;0,F260,1))</f>
        <v/>
      </c>
      <c r="O260">
        <f>IF(OR(B260="",N(L260)=0),"",IFERROR(MATCH(D260,Settings!$B$6:$B$17,0),13)*1000+ROW())</f>
        <v/>
      </c>
    </row>
    <row r="261">
      <c r="A261" s="1" t="n"/>
      <c r="B261" s="32" t="n"/>
      <c r="C261" s="31" t="n"/>
      <c r="D261" s="33" t="n"/>
      <c r="E261" s="33" t="n"/>
      <c r="F261" s="31" t="n"/>
      <c r="G261" s="36" t="n"/>
      <c r="H261" s="31" t="n"/>
      <c r="I261" s="34" t="n"/>
      <c r="J261" s="35">
        <f>IF(B261="","",ROUND(SUMIFS(Ingredients!$G$6:$G$1005,Ingredients!$C$6:$C$1005,B261),2))</f>
        <v/>
      </c>
      <c r="K261" s="35">
        <f>IF(B261="","",MAX(0,ROUND(J261-N(H261),2)))</f>
        <v/>
      </c>
      <c r="L261" s="30">
        <f>IF(B261="","",IF(N(K261)=0,0,ROUNDUP(ROUND(K261/IF(N(F261)&gt;0,F261,1),6),0))+N(I261))</f>
        <v/>
      </c>
      <c r="M261" s="25">
        <f>IF(B261="","",L261*N(G261))</f>
        <v/>
      </c>
      <c r="N261" s="1">
        <f>IF(B261="","",N(G261)/IF(N(F261)&gt;0,F261,1))</f>
        <v/>
      </c>
      <c r="O261">
        <f>IF(OR(B261="",N(L261)=0),"",IFERROR(MATCH(D261,Settings!$B$6:$B$17,0),13)*1000+ROW())</f>
        <v/>
      </c>
    </row>
    <row r="262">
      <c r="A262" s="1" t="n"/>
      <c r="B262" s="32" t="n"/>
      <c r="C262" s="31" t="n"/>
      <c r="D262" s="33" t="n"/>
      <c r="E262" s="33" t="n"/>
      <c r="F262" s="31" t="n"/>
      <c r="G262" s="36" t="n"/>
      <c r="H262" s="31" t="n"/>
      <c r="I262" s="34" t="n"/>
      <c r="J262" s="35">
        <f>IF(B262="","",ROUND(SUMIFS(Ingredients!$G$6:$G$1005,Ingredients!$C$6:$C$1005,B262),2))</f>
        <v/>
      </c>
      <c r="K262" s="35">
        <f>IF(B262="","",MAX(0,ROUND(J262-N(H262),2)))</f>
        <v/>
      </c>
      <c r="L262" s="30">
        <f>IF(B262="","",IF(N(K262)=0,0,ROUNDUP(ROUND(K262/IF(N(F262)&gt;0,F262,1),6),0))+N(I262))</f>
        <v/>
      </c>
      <c r="M262" s="25">
        <f>IF(B262="","",L262*N(G262))</f>
        <v/>
      </c>
      <c r="N262" s="1">
        <f>IF(B262="","",N(G262)/IF(N(F262)&gt;0,F262,1))</f>
        <v/>
      </c>
      <c r="O262">
        <f>IF(OR(B262="",N(L262)=0),"",IFERROR(MATCH(D262,Settings!$B$6:$B$17,0),13)*1000+ROW())</f>
        <v/>
      </c>
    </row>
    <row r="263">
      <c r="A263" s="1" t="n"/>
      <c r="B263" s="32" t="n"/>
      <c r="C263" s="31" t="n"/>
      <c r="D263" s="33" t="n"/>
      <c r="E263" s="33" t="n"/>
      <c r="F263" s="31" t="n"/>
      <c r="G263" s="36" t="n"/>
      <c r="H263" s="31" t="n"/>
      <c r="I263" s="34" t="n"/>
      <c r="J263" s="35">
        <f>IF(B263="","",ROUND(SUMIFS(Ingredients!$G$6:$G$1005,Ingredients!$C$6:$C$1005,B263),2))</f>
        <v/>
      </c>
      <c r="K263" s="35">
        <f>IF(B263="","",MAX(0,ROUND(J263-N(H263),2)))</f>
        <v/>
      </c>
      <c r="L263" s="30">
        <f>IF(B263="","",IF(N(K263)=0,0,ROUNDUP(ROUND(K263/IF(N(F263)&gt;0,F263,1),6),0))+N(I263))</f>
        <v/>
      </c>
      <c r="M263" s="25">
        <f>IF(B263="","",L263*N(G263))</f>
        <v/>
      </c>
      <c r="N263" s="1">
        <f>IF(B263="","",N(G263)/IF(N(F263)&gt;0,F263,1))</f>
        <v/>
      </c>
      <c r="O263">
        <f>IF(OR(B263="",N(L263)=0),"",IFERROR(MATCH(D263,Settings!$B$6:$B$17,0),13)*1000+ROW())</f>
        <v/>
      </c>
    </row>
    <row r="264">
      <c r="A264" s="1" t="n"/>
      <c r="B264" s="32" t="n"/>
      <c r="C264" s="31" t="n"/>
      <c r="D264" s="33" t="n"/>
      <c r="E264" s="33" t="n"/>
      <c r="F264" s="31" t="n"/>
      <c r="G264" s="36" t="n"/>
      <c r="H264" s="31" t="n"/>
      <c r="I264" s="34" t="n"/>
      <c r="J264" s="35">
        <f>IF(B264="","",ROUND(SUMIFS(Ingredients!$G$6:$G$1005,Ingredients!$C$6:$C$1005,B264),2))</f>
        <v/>
      </c>
      <c r="K264" s="35">
        <f>IF(B264="","",MAX(0,ROUND(J264-N(H264),2)))</f>
        <v/>
      </c>
      <c r="L264" s="30">
        <f>IF(B264="","",IF(N(K264)=0,0,ROUNDUP(ROUND(K264/IF(N(F264)&gt;0,F264,1),6),0))+N(I264))</f>
        <v/>
      </c>
      <c r="M264" s="25">
        <f>IF(B264="","",L264*N(G264))</f>
        <v/>
      </c>
      <c r="N264" s="1">
        <f>IF(B264="","",N(G264)/IF(N(F264)&gt;0,F264,1))</f>
        <v/>
      </c>
      <c r="O264">
        <f>IF(OR(B264="",N(L264)=0),"",IFERROR(MATCH(D264,Settings!$B$6:$B$17,0),13)*1000+ROW())</f>
        <v/>
      </c>
    </row>
    <row r="265">
      <c r="A265" s="1" t="n"/>
      <c r="B265" s="32" t="n"/>
      <c r="C265" s="31" t="n"/>
      <c r="D265" s="33" t="n"/>
      <c r="E265" s="33" t="n"/>
      <c r="F265" s="31" t="n"/>
      <c r="G265" s="36" t="n"/>
      <c r="H265" s="31" t="n"/>
      <c r="I265" s="34" t="n"/>
      <c r="J265" s="35">
        <f>IF(B265="","",ROUND(SUMIFS(Ingredients!$G$6:$G$1005,Ingredients!$C$6:$C$1005,B265),2))</f>
        <v/>
      </c>
      <c r="K265" s="35">
        <f>IF(B265="","",MAX(0,ROUND(J265-N(H265),2)))</f>
        <v/>
      </c>
      <c r="L265" s="30">
        <f>IF(B265="","",IF(N(K265)=0,0,ROUNDUP(ROUND(K265/IF(N(F265)&gt;0,F265,1),6),0))+N(I265))</f>
        <v/>
      </c>
      <c r="M265" s="25">
        <f>IF(B265="","",L265*N(G265))</f>
        <v/>
      </c>
      <c r="N265" s="1">
        <f>IF(B265="","",N(G265)/IF(N(F265)&gt;0,F265,1))</f>
        <v/>
      </c>
      <c r="O265">
        <f>IF(OR(B265="",N(L265)=0),"",IFERROR(MATCH(D265,Settings!$B$6:$B$17,0),13)*1000+ROW())</f>
        <v/>
      </c>
    </row>
    <row r="266">
      <c r="A266" s="1" t="n"/>
      <c r="B266" s="32" t="n"/>
      <c r="C266" s="31" t="n"/>
      <c r="D266" s="33" t="n"/>
      <c r="E266" s="33" t="n"/>
      <c r="F266" s="31" t="n"/>
      <c r="G266" s="36" t="n"/>
      <c r="H266" s="31" t="n"/>
      <c r="I266" s="34" t="n"/>
      <c r="J266" s="35">
        <f>IF(B266="","",ROUND(SUMIFS(Ingredients!$G$6:$G$1005,Ingredients!$C$6:$C$1005,B266),2))</f>
        <v/>
      </c>
      <c r="K266" s="35">
        <f>IF(B266="","",MAX(0,ROUND(J266-N(H266),2)))</f>
        <v/>
      </c>
      <c r="L266" s="30">
        <f>IF(B266="","",IF(N(K266)=0,0,ROUNDUP(ROUND(K266/IF(N(F266)&gt;0,F266,1),6),0))+N(I266))</f>
        <v/>
      </c>
      <c r="M266" s="25">
        <f>IF(B266="","",L266*N(G266))</f>
        <v/>
      </c>
      <c r="N266" s="1">
        <f>IF(B266="","",N(G266)/IF(N(F266)&gt;0,F266,1))</f>
        <v/>
      </c>
      <c r="O266">
        <f>IF(OR(B266="",N(L266)=0),"",IFERROR(MATCH(D266,Settings!$B$6:$B$17,0),13)*1000+ROW())</f>
        <v/>
      </c>
    </row>
    <row r="267">
      <c r="A267" s="1" t="n"/>
      <c r="B267" s="32" t="n"/>
      <c r="C267" s="31" t="n"/>
      <c r="D267" s="33" t="n"/>
      <c r="E267" s="33" t="n"/>
      <c r="F267" s="31" t="n"/>
      <c r="G267" s="36" t="n"/>
      <c r="H267" s="31" t="n"/>
      <c r="I267" s="34" t="n"/>
      <c r="J267" s="35">
        <f>IF(B267="","",ROUND(SUMIFS(Ingredients!$G$6:$G$1005,Ingredients!$C$6:$C$1005,B267),2))</f>
        <v/>
      </c>
      <c r="K267" s="35">
        <f>IF(B267="","",MAX(0,ROUND(J267-N(H267),2)))</f>
        <v/>
      </c>
      <c r="L267" s="30">
        <f>IF(B267="","",IF(N(K267)=0,0,ROUNDUP(ROUND(K267/IF(N(F267)&gt;0,F267,1),6),0))+N(I267))</f>
        <v/>
      </c>
      <c r="M267" s="25">
        <f>IF(B267="","",L267*N(G267))</f>
        <v/>
      </c>
      <c r="N267" s="1">
        <f>IF(B267="","",N(G267)/IF(N(F267)&gt;0,F267,1))</f>
        <v/>
      </c>
      <c r="O267">
        <f>IF(OR(B267="",N(L267)=0),"",IFERROR(MATCH(D267,Settings!$B$6:$B$17,0),13)*1000+ROW())</f>
        <v/>
      </c>
    </row>
    <row r="268">
      <c r="A268" s="1" t="n"/>
      <c r="B268" s="32" t="n"/>
      <c r="C268" s="31" t="n"/>
      <c r="D268" s="33" t="n"/>
      <c r="E268" s="33" t="n"/>
      <c r="F268" s="31" t="n"/>
      <c r="G268" s="36" t="n"/>
      <c r="H268" s="31" t="n"/>
      <c r="I268" s="34" t="n"/>
      <c r="J268" s="35">
        <f>IF(B268="","",ROUND(SUMIFS(Ingredients!$G$6:$G$1005,Ingredients!$C$6:$C$1005,B268),2))</f>
        <v/>
      </c>
      <c r="K268" s="35">
        <f>IF(B268="","",MAX(0,ROUND(J268-N(H268),2)))</f>
        <v/>
      </c>
      <c r="L268" s="30">
        <f>IF(B268="","",IF(N(K268)=0,0,ROUNDUP(ROUND(K268/IF(N(F268)&gt;0,F268,1),6),0))+N(I268))</f>
        <v/>
      </c>
      <c r="M268" s="25">
        <f>IF(B268="","",L268*N(G268))</f>
        <v/>
      </c>
      <c r="N268" s="1">
        <f>IF(B268="","",N(G268)/IF(N(F268)&gt;0,F268,1))</f>
        <v/>
      </c>
      <c r="O268">
        <f>IF(OR(B268="",N(L268)=0),"",IFERROR(MATCH(D268,Settings!$B$6:$B$17,0),13)*1000+ROW())</f>
        <v/>
      </c>
    </row>
    <row r="269">
      <c r="A269" s="1" t="n"/>
      <c r="B269" s="32" t="n"/>
      <c r="C269" s="31" t="n"/>
      <c r="D269" s="33" t="n"/>
      <c r="E269" s="33" t="n"/>
      <c r="F269" s="31" t="n"/>
      <c r="G269" s="36" t="n"/>
      <c r="H269" s="31" t="n"/>
      <c r="I269" s="34" t="n"/>
      <c r="J269" s="35">
        <f>IF(B269="","",ROUND(SUMIFS(Ingredients!$G$6:$G$1005,Ingredients!$C$6:$C$1005,B269),2))</f>
        <v/>
      </c>
      <c r="K269" s="35">
        <f>IF(B269="","",MAX(0,ROUND(J269-N(H269),2)))</f>
        <v/>
      </c>
      <c r="L269" s="30">
        <f>IF(B269="","",IF(N(K269)=0,0,ROUNDUP(ROUND(K269/IF(N(F269)&gt;0,F269,1),6),0))+N(I269))</f>
        <v/>
      </c>
      <c r="M269" s="25">
        <f>IF(B269="","",L269*N(G269))</f>
        <v/>
      </c>
      <c r="N269" s="1">
        <f>IF(B269="","",N(G269)/IF(N(F269)&gt;0,F269,1))</f>
        <v/>
      </c>
      <c r="O269">
        <f>IF(OR(B269="",N(L269)=0),"",IFERROR(MATCH(D269,Settings!$B$6:$B$17,0),13)*1000+ROW())</f>
        <v/>
      </c>
    </row>
    <row r="270">
      <c r="A270" s="1" t="n"/>
      <c r="B270" s="32" t="n"/>
      <c r="C270" s="31" t="n"/>
      <c r="D270" s="33" t="n"/>
      <c r="E270" s="33" t="n"/>
      <c r="F270" s="31" t="n"/>
      <c r="G270" s="36" t="n"/>
      <c r="H270" s="31" t="n"/>
      <c r="I270" s="34" t="n"/>
      <c r="J270" s="35">
        <f>IF(B270="","",ROUND(SUMIFS(Ingredients!$G$6:$G$1005,Ingredients!$C$6:$C$1005,B270),2))</f>
        <v/>
      </c>
      <c r="K270" s="35">
        <f>IF(B270="","",MAX(0,ROUND(J270-N(H270),2)))</f>
        <v/>
      </c>
      <c r="L270" s="30">
        <f>IF(B270="","",IF(N(K270)=0,0,ROUNDUP(ROUND(K270/IF(N(F270)&gt;0,F270,1),6),0))+N(I270))</f>
        <v/>
      </c>
      <c r="M270" s="25">
        <f>IF(B270="","",L270*N(G270))</f>
        <v/>
      </c>
      <c r="N270" s="1">
        <f>IF(B270="","",N(G270)/IF(N(F270)&gt;0,F270,1))</f>
        <v/>
      </c>
      <c r="O270">
        <f>IF(OR(B270="",N(L270)=0),"",IFERROR(MATCH(D270,Settings!$B$6:$B$17,0),13)*1000+ROW())</f>
        <v/>
      </c>
    </row>
    <row r="271">
      <c r="A271" s="1" t="n"/>
      <c r="B271" s="32" t="n"/>
      <c r="C271" s="31" t="n"/>
      <c r="D271" s="33" t="n"/>
      <c r="E271" s="33" t="n"/>
      <c r="F271" s="31" t="n"/>
      <c r="G271" s="36" t="n"/>
      <c r="H271" s="31" t="n"/>
      <c r="I271" s="34" t="n"/>
      <c r="J271" s="35">
        <f>IF(B271="","",ROUND(SUMIFS(Ingredients!$G$6:$G$1005,Ingredients!$C$6:$C$1005,B271),2))</f>
        <v/>
      </c>
      <c r="K271" s="35">
        <f>IF(B271="","",MAX(0,ROUND(J271-N(H271),2)))</f>
        <v/>
      </c>
      <c r="L271" s="30">
        <f>IF(B271="","",IF(N(K271)=0,0,ROUNDUP(ROUND(K271/IF(N(F271)&gt;0,F271,1),6),0))+N(I271))</f>
        <v/>
      </c>
      <c r="M271" s="25">
        <f>IF(B271="","",L271*N(G271))</f>
        <v/>
      </c>
      <c r="N271" s="1">
        <f>IF(B271="","",N(G271)/IF(N(F271)&gt;0,F271,1))</f>
        <v/>
      </c>
      <c r="O271">
        <f>IF(OR(B271="",N(L271)=0),"",IFERROR(MATCH(D271,Settings!$B$6:$B$17,0),13)*1000+ROW())</f>
        <v/>
      </c>
    </row>
    <row r="272">
      <c r="A272" s="1" t="n"/>
      <c r="B272" s="32" t="n"/>
      <c r="C272" s="31" t="n"/>
      <c r="D272" s="33" t="n"/>
      <c r="E272" s="33" t="n"/>
      <c r="F272" s="31" t="n"/>
      <c r="G272" s="36" t="n"/>
      <c r="H272" s="31" t="n"/>
      <c r="I272" s="34" t="n"/>
      <c r="J272" s="35">
        <f>IF(B272="","",ROUND(SUMIFS(Ingredients!$G$6:$G$1005,Ingredients!$C$6:$C$1005,B272),2))</f>
        <v/>
      </c>
      <c r="K272" s="35">
        <f>IF(B272="","",MAX(0,ROUND(J272-N(H272),2)))</f>
        <v/>
      </c>
      <c r="L272" s="30">
        <f>IF(B272="","",IF(N(K272)=0,0,ROUNDUP(ROUND(K272/IF(N(F272)&gt;0,F272,1),6),0))+N(I272))</f>
        <v/>
      </c>
      <c r="M272" s="25">
        <f>IF(B272="","",L272*N(G272))</f>
        <v/>
      </c>
      <c r="N272" s="1">
        <f>IF(B272="","",N(G272)/IF(N(F272)&gt;0,F272,1))</f>
        <v/>
      </c>
      <c r="O272">
        <f>IF(OR(B272="",N(L272)=0),"",IFERROR(MATCH(D272,Settings!$B$6:$B$17,0),13)*1000+ROW())</f>
        <v/>
      </c>
    </row>
    <row r="273">
      <c r="A273" s="1" t="n"/>
      <c r="B273" s="32" t="n"/>
      <c r="C273" s="31" t="n"/>
      <c r="D273" s="33" t="n"/>
      <c r="E273" s="33" t="n"/>
      <c r="F273" s="31" t="n"/>
      <c r="G273" s="36" t="n"/>
      <c r="H273" s="31" t="n"/>
      <c r="I273" s="34" t="n"/>
      <c r="J273" s="35">
        <f>IF(B273="","",ROUND(SUMIFS(Ingredients!$G$6:$G$1005,Ingredients!$C$6:$C$1005,B273),2))</f>
        <v/>
      </c>
      <c r="K273" s="35">
        <f>IF(B273="","",MAX(0,ROUND(J273-N(H273),2)))</f>
        <v/>
      </c>
      <c r="L273" s="30">
        <f>IF(B273="","",IF(N(K273)=0,0,ROUNDUP(ROUND(K273/IF(N(F273)&gt;0,F273,1),6),0))+N(I273))</f>
        <v/>
      </c>
      <c r="M273" s="25">
        <f>IF(B273="","",L273*N(G273))</f>
        <v/>
      </c>
      <c r="N273" s="1">
        <f>IF(B273="","",N(G273)/IF(N(F273)&gt;0,F273,1))</f>
        <v/>
      </c>
      <c r="O273">
        <f>IF(OR(B273="",N(L273)=0),"",IFERROR(MATCH(D273,Settings!$B$6:$B$17,0),13)*1000+ROW())</f>
        <v/>
      </c>
    </row>
    <row r="274">
      <c r="A274" s="1" t="n"/>
      <c r="B274" s="32" t="n"/>
      <c r="C274" s="31" t="n"/>
      <c r="D274" s="33" t="n"/>
      <c r="E274" s="33" t="n"/>
      <c r="F274" s="31" t="n"/>
      <c r="G274" s="36" t="n"/>
      <c r="H274" s="31" t="n"/>
      <c r="I274" s="34" t="n"/>
      <c r="J274" s="35">
        <f>IF(B274="","",ROUND(SUMIFS(Ingredients!$G$6:$G$1005,Ingredients!$C$6:$C$1005,B274),2))</f>
        <v/>
      </c>
      <c r="K274" s="35">
        <f>IF(B274="","",MAX(0,ROUND(J274-N(H274),2)))</f>
        <v/>
      </c>
      <c r="L274" s="30">
        <f>IF(B274="","",IF(N(K274)=0,0,ROUNDUP(ROUND(K274/IF(N(F274)&gt;0,F274,1),6),0))+N(I274))</f>
        <v/>
      </c>
      <c r="M274" s="25">
        <f>IF(B274="","",L274*N(G274))</f>
        <v/>
      </c>
      <c r="N274" s="1">
        <f>IF(B274="","",N(G274)/IF(N(F274)&gt;0,F274,1))</f>
        <v/>
      </c>
      <c r="O274">
        <f>IF(OR(B274="",N(L274)=0),"",IFERROR(MATCH(D274,Settings!$B$6:$B$17,0),13)*1000+ROW())</f>
        <v/>
      </c>
    </row>
    <row r="275">
      <c r="A275" s="1" t="n"/>
      <c r="B275" s="32" t="n"/>
      <c r="C275" s="31" t="n"/>
      <c r="D275" s="33" t="n"/>
      <c r="E275" s="33" t="n"/>
      <c r="F275" s="31" t="n"/>
      <c r="G275" s="36" t="n"/>
      <c r="H275" s="31" t="n"/>
      <c r="I275" s="34" t="n"/>
      <c r="J275" s="35">
        <f>IF(B275="","",ROUND(SUMIFS(Ingredients!$G$6:$G$1005,Ingredients!$C$6:$C$1005,B275),2))</f>
        <v/>
      </c>
      <c r="K275" s="35">
        <f>IF(B275="","",MAX(0,ROUND(J275-N(H275),2)))</f>
        <v/>
      </c>
      <c r="L275" s="30">
        <f>IF(B275="","",IF(N(K275)=0,0,ROUNDUP(ROUND(K275/IF(N(F275)&gt;0,F275,1),6),0))+N(I275))</f>
        <v/>
      </c>
      <c r="M275" s="25">
        <f>IF(B275="","",L275*N(G275))</f>
        <v/>
      </c>
      <c r="N275" s="1">
        <f>IF(B275="","",N(G275)/IF(N(F275)&gt;0,F275,1))</f>
        <v/>
      </c>
      <c r="O275">
        <f>IF(OR(B275="",N(L275)=0),"",IFERROR(MATCH(D275,Settings!$B$6:$B$17,0),13)*1000+ROW())</f>
        <v/>
      </c>
    </row>
    <row r="276">
      <c r="A276" s="1" t="n"/>
      <c r="B276" s="32" t="n"/>
      <c r="C276" s="31" t="n"/>
      <c r="D276" s="33" t="n"/>
      <c r="E276" s="33" t="n"/>
      <c r="F276" s="31" t="n"/>
      <c r="G276" s="36" t="n"/>
      <c r="H276" s="31" t="n"/>
      <c r="I276" s="34" t="n"/>
      <c r="J276" s="35">
        <f>IF(B276="","",ROUND(SUMIFS(Ingredients!$G$6:$G$1005,Ingredients!$C$6:$C$1005,B276),2))</f>
        <v/>
      </c>
      <c r="K276" s="35">
        <f>IF(B276="","",MAX(0,ROUND(J276-N(H276),2)))</f>
        <v/>
      </c>
      <c r="L276" s="30">
        <f>IF(B276="","",IF(N(K276)=0,0,ROUNDUP(ROUND(K276/IF(N(F276)&gt;0,F276,1),6),0))+N(I276))</f>
        <v/>
      </c>
      <c r="M276" s="25">
        <f>IF(B276="","",L276*N(G276))</f>
        <v/>
      </c>
      <c r="N276" s="1">
        <f>IF(B276="","",N(G276)/IF(N(F276)&gt;0,F276,1))</f>
        <v/>
      </c>
      <c r="O276">
        <f>IF(OR(B276="",N(L276)=0),"",IFERROR(MATCH(D276,Settings!$B$6:$B$17,0),13)*1000+ROW())</f>
        <v/>
      </c>
    </row>
    <row r="277">
      <c r="A277" s="1" t="n"/>
      <c r="B277" s="32" t="n"/>
      <c r="C277" s="31" t="n"/>
      <c r="D277" s="33" t="n"/>
      <c r="E277" s="33" t="n"/>
      <c r="F277" s="31" t="n"/>
      <c r="G277" s="36" t="n"/>
      <c r="H277" s="31" t="n"/>
      <c r="I277" s="34" t="n"/>
      <c r="J277" s="35">
        <f>IF(B277="","",ROUND(SUMIFS(Ingredients!$G$6:$G$1005,Ingredients!$C$6:$C$1005,B277),2))</f>
        <v/>
      </c>
      <c r="K277" s="35">
        <f>IF(B277="","",MAX(0,ROUND(J277-N(H277),2)))</f>
        <v/>
      </c>
      <c r="L277" s="30">
        <f>IF(B277="","",IF(N(K277)=0,0,ROUNDUP(ROUND(K277/IF(N(F277)&gt;0,F277,1),6),0))+N(I277))</f>
        <v/>
      </c>
      <c r="M277" s="25">
        <f>IF(B277="","",L277*N(G277))</f>
        <v/>
      </c>
      <c r="N277" s="1">
        <f>IF(B277="","",N(G277)/IF(N(F277)&gt;0,F277,1))</f>
        <v/>
      </c>
      <c r="O277">
        <f>IF(OR(B277="",N(L277)=0),"",IFERROR(MATCH(D277,Settings!$B$6:$B$17,0),13)*1000+ROW())</f>
        <v/>
      </c>
    </row>
    <row r="278">
      <c r="A278" s="1" t="n"/>
      <c r="B278" s="32" t="n"/>
      <c r="C278" s="31" t="n"/>
      <c r="D278" s="33" t="n"/>
      <c r="E278" s="33" t="n"/>
      <c r="F278" s="31" t="n"/>
      <c r="G278" s="36" t="n"/>
      <c r="H278" s="31" t="n"/>
      <c r="I278" s="34" t="n"/>
      <c r="J278" s="35">
        <f>IF(B278="","",ROUND(SUMIFS(Ingredients!$G$6:$G$1005,Ingredients!$C$6:$C$1005,B278),2))</f>
        <v/>
      </c>
      <c r="K278" s="35">
        <f>IF(B278="","",MAX(0,ROUND(J278-N(H278),2)))</f>
        <v/>
      </c>
      <c r="L278" s="30">
        <f>IF(B278="","",IF(N(K278)=0,0,ROUNDUP(ROUND(K278/IF(N(F278)&gt;0,F278,1),6),0))+N(I278))</f>
        <v/>
      </c>
      <c r="M278" s="25">
        <f>IF(B278="","",L278*N(G278))</f>
        <v/>
      </c>
      <c r="N278" s="1">
        <f>IF(B278="","",N(G278)/IF(N(F278)&gt;0,F278,1))</f>
        <v/>
      </c>
      <c r="O278">
        <f>IF(OR(B278="",N(L278)=0),"",IFERROR(MATCH(D278,Settings!$B$6:$B$17,0),13)*1000+ROW())</f>
        <v/>
      </c>
    </row>
    <row r="279">
      <c r="A279" s="1" t="n"/>
      <c r="B279" s="32" t="n"/>
      <c r="C279" s="31" t="n"/>
      <c r="D279" s="33" t="n"/>
      <c r="E279" s="33" t="n"/>
      <c r="F279" s="31" t="n"/>
      <c r="G279" s="36" t="n"/>
      <c r="H279" s="31" t="n"/>
      <c r="I279" s="34" t="n"/>
      <c r="J279" s="35">
        <f>IF(B279="","",ROUND(SUMIFS(Ingredients!$G$6:$G$1005,Ingredients!$C$6:$C$1005,B279),2))</f>
        <v/>
      </c>
      <c r="K279" s="35">
        <f>IF(B279="","",MAX(0,ROUND(J279-N(H279),2)))</f>
        <v/>
      </c>
      <c r="L279" s="30">
        <f>IF(B279="","",IF(N(K279)=0,0,ROUNDUP(ROUND(K279/IF(N(F279)&gt;0,F279,1),6),0))+N(I279))</f>
        <v/>
      </c>
      <c r="M279" s="25">
        <f>IF(B279="","",L279*N(G279))</f>
        <v/>
      </c>
      <c r="N279" s="1">
        <f>IF(B279="","",N(G279)/IF(N(F279)&gt;0,F279,1))</f>
        <v/>
      </c>
      <c r="O279">
        <f>IF(OR(B279="",N(L279)=0),"",IFERROR(MATCH(D279,Settings!$B$6:$B$17,0),13)*1000+ROW())</f>
        <v/>
      </c>
    </row>
    <row r="280">
      <c r="A280" s="1" t="n"/>
      <c r="B280" s="32" t="n"/>
      <c r="C280" s="31" t="n"/>
      <c r="D280" s="33" t="n"/>
      <c r="E280" s="33" t="n"/>
      <c r="F280" s="31" t="n"/>
      <c r="G280" s="36" t="n"/>
      <c r="H280" s="31" t="n"/>
      <c r="I280" s="34" t="n"/>
      <c r="J280" s="35">
        <f>IF(B280="","",ROUND(SUMIFS(Ingredients!$G$6:$G$1005,Ingredients!$C$6:$C$1005,B280),2))</f>
        <v/>
      </c>
      <c r="K280" s="35">
        <f>IF(B280="","",MAX(0,ROUND(J280-N(H280),2)))</f>
        <v/>
      </c>
      <c r="L280" s="30">
        <f>IF(B280="","",IF(N(K280)=0,0,ROUNDUP(ROUND(K280/IF(N(F280)&gt;0,F280,1),6),0))+N(I280))</f>
        <v/>
      </c>
      <c r="M280" s="25">
        <f>IF(B280="","",L280*N(G280))</f>
        <v/>
      </c>
      <c r="N280" s="1">
        <f>IF(B280="","",N(G280)/IF(N(F280)&gt;0,F280,1))</f>
        <v/>
      </c>
      <c r="O280">
        <f>IF(OR(B280="",N(L280)=0),"",IFERROR(MATCH(D280,Settings!$B$6:$B$17,0),13)*1000+ROW())</f>
        <v/>
      </c>
    </row>
    <row r="281">
      <c r="A281" s="1" t="n"/>
      <c r="B281" s="32" t="n"/>
      <c r="C281" s="31" t="n"/>
      <c r="D281" s="33" t="n"/>
      <c r="E281" s="33" t="n"/>
      <c r="F281" s="31" t="n"/>
      <c r="G281" s="36" t="n"/>
      <c r="H281" s="31" t="n"/>
      <c r="I281" s="34" t="n"/>
      <c r="J281" s="35">
        <f>IF(B281="","",ROUND(SUMIFS(Ingredients!$G$6:$G$1005,Ingredients!$C$6:$C$1005,B281),2))</f>
        <v/>
      </c>
      <c r="K281" s="35">
        <f>IF(B281="","",MAX(0,ROUND(J281-N(H281),2)))</f>
        <v/>
      </c>
      <c r="L281" s="30">
        <f>IF(B281="","",IF(N(K281)=0,0,ROUNDUP(ROUND(K281/IF(N(F281)&gt;0,F281,1),6),0))+N(I281))</f>
        <v/>
      </c>
      <c r="M281" s="25">
        <f>IF(B281="","",L281*N(G281))</f>
        <v/>
      </c>
      <c r="N281" s="1">
        <f>IF(B281="","",N(G281)/IF(N(F281)&gt;0,F281,1))</f>
        <v/>
      </c>
      <c r="O281">
        <f>IF(OR(B281="",N(L281)=0),"",IFERROR(MATCH(D281,Settings!$B$6:$B$17,0),13)*1000+ROW())</f>
        <v/>
      </c>
    </row>
    <row r="282">
      <c r="A282" s="1" t="n"/>
      <c r="B282" s="32" t="n"/>
      <c r="C282" s="31" t="n"/>
      <c r="D282" s="33" t="n"/>
      <c r="E282" s="33" t="n"/>
      <c r="F282" s="31" t="n"/>
      <c r="G282" s="36" t="n"/>
      <c r="H282" s="31" t="n"/>
      <c r="I282" s="34" t="n"/>
      <c r="J282" s="35">
        <f>IF(B282="","",ROUND(SUMIFS(Ingredients!$G$6:$G$1005,Ingredients!$C$6:$C$1005,B282),2))</f>
        <v/>
      </c>
      <c r="K282" s="35">
        <f>IF(B282="","",MAX(0,ROUND(J282-N(H282),2)))</f>
        <v/>
      </c>
      <c r="L282" s="30">
        <f>IF(B282="","",IF(N(K282)=0,0,ROUNDUP(ROUND(K282/IF(N(F282)&gt;0,F282,1),6),0))+N(I282))</f>
        <v/>
      </c>
      <c r="M282" s="25">
        <f>IF(B282="","",L282*N(G282))</f>
        <v/>
      </c>
      <c r="N282" s="1">
        <f>IF(B282="","",N(G282)/IF(N(F282)&gt;0,F282,1))</f>
        <v/>
      </c>
      <c r="O282">
        <f>IF(OR(B282="",N(L282)=0),"",IFERROR(MATCH(D282,Settings!$B$6:$B$17,0),13)*1000+ROW())</f>
        <v/>
      </c>
    </row>
    <row r="283">
      <c r="A283" s="1" t="n"/>
      <c r="B283" s="32" t="n"/>
      <c r="C283" s="31" t="n"/>
      <c r="D283" s="33" t="n"/>
      <c r="E283" s="33" t="n"/>
      <c r="F283" s="31" t="n"/>
      <c r="G283" s="36" t="n"/>
      <c r="H283" s="31" t="n"/>
      <c r="I283" s="34" t="n"/>
      <c r="J283" s="35">
        <f>IF(B283="","",ROUND(SUMIFS(Ingredients!$G$6:$G$1005,Ingredients!$C$6:$C$1005,B283),2))</f>
        <v/>
      </c>
      <c r="K283" s="35">
        <f>IF(B283="","",MAX(0,ROUND(J283-N(H283),2)))</f>
        <v/>
      </c>
      <c r="L283" s="30">
        <f>IF(B283="","",IF(N(K283)=0,0,ROUNDUP(ROUND(K283/IF(N(F283)&gt;0,F283,1),6),0))+N(I283))</f>
        <v/>
      </c>
      <c r="M283" s="25">
        <f>IF(B283="","",L283*N(G283))</f>
        <v/>
      </c>
      <c r="N283" s="1">
        <f>IF(B283="","",N(G283)/IF(N(F283)&gt;0,F283,1))</f>
        <v/>
      </c>
      <c r="O283">
        <f>IF(OR(B283="",N(L283)=0),"",IFERROR(MATCH(D283,Settings!$B$6:$B$17,0),13)*1000+ROW())</f>
        <v/>
      </c>
    </row>
    <row r="284">
      <c r="A284" s="1" t="n"/>
      <c r="B284" s="32" t="n"/>
      <c r="C284" s="31" t="n"/>
      <c r="D284" s="33" t="n"/>
      <c r="E284" s="33" t="n"/>
      <c r="F284" s="31" t="n"/>
      <c r="G284" s="36" t="n"/>
      <c r="H284" s="31" t="n"/>
      <c r="I284" s="34" t="n"/>
      <c r="J284" s="35">
        <f>IF(B284="","",ROUND(SUMIFS(Ingredients!$G$6:$G$1005,Ingredients!$C$6:$C$1005,B284),2))</f>
        <v/>
      </c>
      <c r="K284" s="35">
        <f>IF(B284="","",MAX(0,ROUND(J284-N(H284),2)))</f>
        <v/>
      </c>
      <c r="L284" s="30">
        <f>IF(B284="","",IF(N(K284)=0,0,ROUNDUP(ROUND(K284/IF(N(F284)&gt;0,F284,1),6),0))+N(I284))</f>
        <v/>
      </c>
      <c r="M284" s="25">
        <f>IF(B284="","",L284*N(G284))</f>
        <v/>
      </c>
      <c r="N284" s="1">
        <f>IF(B284="","",N(G284)/IF(N(F284)&gt;0,F284,1))</f>
        <v/>
      </c>
      <c r="O284">
        <f>IF(OR(B284="",N(L284)=0),"",IFERROR(MATCH(D284,Settings!$B$6:$B$17,0),13)*1000+ROW())</f>
        <v/>
      </c>
    </row>
    <row r="285">
      <c r="A285" s="1" t="n"/>
      <c r="B285" s="32" t="n"/>
      <c r="C285" s="31" t="n"/>
      <c r="D285" s="33" t="n"/>
      <c r="E285" s="33" t="n"/>
      <c r="F285" s="31" t="n"/>
      <c r="G285" s="36" t="n"/>
      <c r="H285" s="31" t="n"/>
      <c r="I285" s="34" t="n"/>
      <c r="J285" s="35">
        <f>IF(B285="","",ROUND(SUMIFS(Ingredients!$G$6:$G$1005,Ingredients!$C$6:$C$1005,B285),2))</f>
        <v/>
      </c>
      <c r="K285" s="35">
        <f>IF(B285="","",MAX(0,ROUND(J285-N(H285),2)))</f>
        <v/>
      </c>
      <c r="L285" s="30">
        <f>IF(B285="","",IF(N(K285)=0,0,ROUNDUP(ROUND(K285/IF(N(F285)&gt;0,F285,1),6),0))+N(I285))</f>
        <v/>
      </c>
      <c r="M285" s="25">
        <f>IF(B285="","",L285*N(G285))</f>
        <v/>
      </c>
      <c r="N285" s="1">
        <f>IF(B285="","",N(G285)/IF(N(F285)&gt;0,F285,1))</f>
        <v/>
      </c>
      <c r="O285">
        <f>IF(OR(B285="",N(L285)=0),"",IFERROR(MATCH(D285,Settings!$B$6:$B$17,0),13)*1000+ROW())</f>
        <v/>
      </c>
    </row>
    <row r="286">
      <c r="A286" s="1" t="n"/>
      <c r="B286" s="32" t="n"/>
      <c r="C286" s="31" t="n"/>
      <c r="D286" s="33" t="n"/>
      <c r="E286" s="33" t="n"/>
      <c r="F286" s="31" t="n"/>
      <c r="G286" s="36" t="n"/>
      <c r="H286" s="31" t="n"/>
      <c r="I286" s="34" t="n"/>
      <c r="J286" s="35">
        <f>IF(B286="","",ROUND(SUMIFS(Ingredients!$G$6:$G$1005,Ingredients!$C$6:$C$1005,B286),2))</f>
        <v/>
      </c>
      <c r="K286" s="35">
        <f>IF(B286="","",MAX(0,ROUND(J286-N(H286),2)))</f>
        <v/>
      </c>
      <c r="L286" s="30">
        <f>IF(B286="","",IF(N(K286)=0,0,ROUNDUP(ROUND(K286/IF(N(F286)&gt;0,F286,1),6),0))+N(I286))</f>
        <v/>
      </c>
      <c r="M286" s="25">
        <f>IF(B286="","",L286*N(G286))</f>
        <v/>
      </c>
      <c r="N286" s="1">
        <f>IF(B286="","",N(G286)/IF(N(F286)&gt;0,F286,1))</f>
        <v/>
      </c>
      <c r="O286">
        <f>IF(OR(B286="",N(L286)=0),"",IFERROR(MATCH(D286,Settings!$B$6:$B$17,0),13)*1000+ROW())</f>
        <v/>
      </c>
    </row>
    <row r="287">
      <c r="A287" s="1" t="n"/>
      <c r="B287" s="32" t="n"/>
      <c r="C287" s="31" t="n"/>
      <c r="D287" s="33" t="n"/>
      <c r="E287" s="33" t="n"/>
      <c r="F287" s="31" t="n"/>
      <c r="G287" s="36" t="n"/>
      <c r="H287" s="31" t="n"/>
      <c r="I287" s="34" t="n"/>
      <c r="J287" s="35">
        <f>IF(B287="","",ROUND(SUMIFS(Ingredients!$G$6:$G$1005,Ingredients!$C$6:$C$1005,B287),2))</f>
        <v/>
      </c>
      <c r="K287" s="35">
        <f>IF(B287="","",MAX(0,ROUND(J287-N(H287),2)))</f>
        <v/>
      </c>
      <c r="L287" s="30">
        <f>IF(B287="","",IF(N(K287)=0,0,ROUNDUP(ROUND(K287/IF(N(F287)&gt;0,F287,1),6),0))+N(I287))</f>
        <v/>
      </c>
      <c r="M287" s="25">
        <f>IF(B287="","",L287*N(G287))</f>
        <v/>
      </c>
      <c r="N287" s="1">
        <f>IF(B287="","",N(G287)/IF(N(F287)&gt;0,F287,1))</f>
        <v/>
      </c>
      <c r="O287">
        <f>IF(OR(B287="",N(L287)=0),"",IFERROR(MATCH(D287,Settings!$B$6:$B$17,0),13)*1000+ROW())</f>
        <v/>
      </c>
    </row>
    <row r="288">
      <c r="A288" s="1" t="n"/>
      <c r="B288" s="32" t="n"/>
      <c r="C288" s="31" t="n"/>
      <c r="D288" s="33" t="n"/>
      <c r="E288" s="33" t="n"/>
      <c r="F288" s="31" t="n"/>
      <c r="G288" s="36" t="n"/>
      <c r="H288" s="31" t="n"/>
      <c r="I288" s="34" t="n"/>
      <c r="J288" s="35">
        <f>IF(B288="","",ROUND(SUMIFS(Ingredients!$G$6:$G$1005,Ingredients!$C$6:$C$1005,B288),2))</f>
        <v/>
      </c>
      <c r="K288" s="35">
        <f>IF(B288="","",MAX(0,ROUND(J288-N(H288),2)))</f>
        <v/>
      </c>
      <c r="L288" s="30">
        <f>IF(B288="","",IF(N(K288)=0,0,ROUNDUP(ROUND(K288/IF(N(F288)&gt;0,F288,1),6),0))+N(I288))</f>
        <v/>
      </c>
      <c r="M288" s="25">
        <f>IF(B288="","",L288*N(G288))</f>
        <v/>
      </c>
      <c r="N288" s="1">
        <f>IF(B288="","",N(G288)/IF(N(F288)&gt;0,F288,1))</f>
        <v/>
      </c>
      <c r="O288">
        <f>IF(OR(B288="",N(L288)=0),"",IFERROR(MATCH(D288,Settings!$B$6:$B$17,0),13)*1000+ROW())</f>
        <v/>
      </c>
    </row>
    <row r="289">
      <c r="A289" s="1" t="n"/>
      <c r="B289" s="32" t="n"/>
      <c r="C289" s="31" t="n"/>
      <c r="D289" s="33" t="n"/>
      <c r="E289" s="33" t="n"/>
      <c r="F289" s="31" t="n"/>
      <c r="G289" s="36" t="n"/>
      <c r="H289" s="31" t="n"/>
      <c r="I289" s="34" t="n"/>
      <c r="J289" s="35">
        <f>IF(B289="","",ROUND(SUMIFS(Ingredients!$G$6:$G$1005,Ingredients!$C$6:$C$1005,B289),2))</f>
        <v/>
      </c>
      <c r="K289" s="35">
        <f>IF(B289="","",MAX(0,ROUND(J289-N(H289),2)))</f>
        <v/>
      </c>
      <c r="L289" s="30">
        <f>IF(B289="","",IF(N(K289)=0,0,ROUNDUP(ROUND(K289/IF(N(F289)&gt;0,F289,1),6),0))+N(I289))</f>
        <v/>
      </c>
      <c r="M289" s="25">
        <f>IF(B289="","",L289*N(G289))</f>
        <v/>
      </c>
      <c r="N289" s="1">
        <f>IF(B289="","",N(G289)/IF(N(F289)&gt;0,F289,1))</f>
        <v/>
      </c>
      <c r="O289">
        <f>IF(OR(B289="",N(L289)=0),"",IFERROR(MATCH(D289,Settings!$B$6:$B$17,0),13)*1000+ROW())</f>
        <v/>
      </c>
    </row>
    <row r="290">
      <c r="A290" s="1" t="n"/>
      <c r="B290" s="32" t="n"/>
      <c r="C290" s="31" t="n"/>
      <c r="D290" s="33" t="n"/>
      <c r="E290" s="33" t="n"/>
      <c r="F290" s="31" t="n"/>
      <c r="G290" s="36" t="n"/>
      <c r="H290" s="31" t="n"/>
      <c r="I290" s="34" t="n"/>
      <c r="J290" s="35">
        <f>IF(B290="","",ROUND(SUMIFS(Ingredients!$G$6:$G$1005,Ingredients!$C$6:$C$1005,B290),2))</f>
        <v/>
      </c>
      <c r="K290" s="35">
        <f>IF(B290="","",MAX(0,ROUND(J290-N(H290),2)))</f>
        <v/>
      </c>
      <c r="L290" s="30">
        <f>IF(B290="","",IF(N(K290)=0,0,ROUNDUP(ROUND(K290/IF(N(F290)&gt;0,F290,1),6),0))+N(I290))</f>
        <v/>
      </c>
      <c r="M290" s="25">
        <f>IF(B290="","",L290*N(G290))</f>
        <v/>
      </c>
      <c r="N290" s="1">
        <f>IF(B290="","",N(G290)/IF(N(F290)&gt;0,F290,1))</f>
        <v/>
      </c>
      <c r="O290">
        <f>IF(OR(B290="",N(L290)=0),"",IFERROR(MATCH(D290,Settings!$B$6:$B$17,0),13)*1000+ROW())</f>
        <v/>
      </c>
    </row>
    <row r="291">
      <c r="A291" s="1" t="n"/>
      <c r="B291" s="32" t="n"/>
      <c r="C291" s="31" t="n"/>
      <c r="D291" s="33" t="n"/>
      <c r="E291" s="33" t="n"/>
      <c r="F291" s="31" t="n"/>
      <c r="G291" s="36" t="n"/>
      <c r="H291" s="31" t="n"/>
      <c r="I291" s="34" t="n"/>
      <c r="J291" s="35">
        <f>IF(B291="","",ROUND(SUMIFS(Ingredients!$G$6:$G$1005,Ingredients!$C$6:$C$1005,B291),2))</f>
        <v/>
      </c>
      <c r="K291" s="35">
        <f>IF(B291="","",MAX(0,ROUND(J291-N(H291),2)))</f>
        <v/>
      </c>
      <c r="L291" s="30">
        <f>IF(B291="","",IF(N(K291)=0,0,ROUNDUP(ROUND(K291/IF(N(F291)&gt;0,F291,1),6),0))+N(I291))</f>
        <v/>
      </c>
      <c r="M291" s="25">
        <f>IF(B291="","",L291*N(G291))</f>
        <v/>
      </c>
      <c r="N291" s="1">
        <f>IF(B291="","",N(G291)/IF(N(F291)&gt;0,F291,1))</f>
        <v/>
      </c>
      <c r="O291">
        <f>IF(OR(B291="",N(L291)=0),"",IFERROR(MATCH(D291,Settings!$B$6:$B$17,0),13)*1000+ROW())</f>
        <v/>
      </c>
    </row>
    <row r="292">
      <c r="A292" s="1" t="n"/>
      <c r="B292" s="32" t="n"/>
      <c r="C292" s="31" t="n"/>
      <c r="D292" s="33" t="n"/>
      <c r="E292" s="33" t="n"/>
      <c r="F292" s="31" t="n"/>
      <c r="G292" s="36" t="n"/>
      <c r="H292" s="31" t="n"/>
      <c r="I292" s="34" t="n"/>
      <c r="J292" s="35">
        <f>IF(B292="","",ROUND(SUMIFS(Ingredients!$G$6:$G$1005,Ingredients!$C$6:$C$1005,B292),2))</f>
        <v/>
      </c>
      <c r="K292" s="35">
        <f>IF(B292="","",MAX(0,ROUND(J292-N(H292),2)))</f>
        <v/>
      </c>
      <c r="L292" s="30">
        <f>IF(B292="","",IF(N(K292)=0,0,ROUNDUP(ROUND(K292/IF(N(F292)&gt;0,F292,1),6),0))+N(I292))</f>
        <v/>
      </c>
      <c r="M292" s="25">
        <f>IF(B292="","",L292*N(G292))</f>
        <v/>
      </c>
      <c r="N292" s="1">
        <f>IF(B292="","",N(G292)/IF(N(F292)&gt;0,F292,1))</f>
        <v/>
      </c>
      <c r="O292">
        <f>IF(OR(B292="",N(L292)=0),"",IFERROR(MATCH(D292,Settings!$B$6:$B$17,0),13)*1000+ROW())</f>
        <v/>
      </c>
    </row>
    <row r="293">
      <c r="A293" s="1" t="n"/>
      <c r="B293" s="32" t="n"/>
      <c r="C293" s="31" t="n"/>
      <c r="D293" s="33" t="n"/>
      <c r="E293" s="33" t="n"/>
      <c r="F293" s="31" t="n"/>
      <c r="G293" s="36" t="n"/>
      <c r="H293" s="31" t="n"/>
      <c r="I293" s="34" t="n"/>
      <c r="J293" s="35">
        <f>IF(B293="","",ROUND(SUMIFS(Ingredients!$G$6:$G$1005,Ingredients!$C$6:$C$1005,B293),2))</f>
        <v/>
      </c>
      <c r="K293" s="35">
        <f>IF(B293="","",MAX(0,ROUND(J293-N(H293),2)))</f>
        <v/>
      </c>
      <c r="L293" s="30">
        <f>IF(B293="","",IF(N(K293)=0,0,ROUNDUP(ROUND(K293/IF(N(F293)&gt;0,F293,1),6),0))+N(I293))</f>
        <v/>
      </c>
      <c r="M293" s="25">
        <f>IF(B293="","",L293*N(G293))</f>
        <v/>
      </c>
      <c r="N293" s="1">
        <f>IF(B293="","",N(G293)/IF(N(F293)&gt;0,F293,1))</f>
        <v/>
      </c>
      <c r="O293">
        <f>IF(OR(B293="",N(L293)=0),"",IFERROR(MATCH(D293,Settings!$B$6:$B$17,0),13)*1000+ROW())</f>
        <v/>
      </c>
    </row>
    <row r="294">
      <c r="A294" s="1" t="n"/>
      <c r="B294" s="32" t="n"/>
      <c r="C294" s="31" t="n"/>
      <c r="D294" s="33" t="n"/>
      <c r="E294" s="33" t="n"/>
      <c r="F294" s="31" t="n"/>
      <c r="G294" s="36" t="n"/>
      <c r="H294" s="31" t="n"/>
      <c r="I294" s="34" t="n"/>
      <c r="J294" s="35">
        <f>IF(B294="","",ROUND(SUMIFS(Ingredients!$G$6:$G$1005,Ingredients!$C$6:$C$1005,B294),2))</f>
        <v/>
      </c>
      <c r="K294" s="35">
        <f>IF(B294="","",MAX(0,ROUND(J294-N(H294),2)))</f>
        <v/>
      </c>
      <c r="L294" s="30">
        <f>IF(B294="","",IF(N(K294)=0,0,ROUNDUP(ROUND(K294/IF(N(F294)&gt;0,F294,1),6),0))+N(I294))</f>
        <v/>
      </c>
      <c r="M294" s="25">
        <f>IF(B294="","",L294*N(G294))</f>
        <v/>
      </c>
      <c r="N294" s="1">
        <f>IF(B294="","",N(G294)/IF(N(F294)&gt;0,F294,1))</f>
        <v/>
      </c>
      <c r="O294">
        <f>IF(OR(B294="",N(L294)=0),"",IFERROR(MATCH(D294,Settings!$B$6:$B$17,0),13)*1000+ROW())</f>
        <v/>
      </c>
    </row>
    <row r="295">
      <c r="A295" s="1" t="n"/>
      <c r="B295" s="32" t="n"/>
      <c r="C295" s="31" t="n"/>
      <c r="D295" s="33" t="n"/>
      <c r="E295" s="33" t="n"/>
      <c r="F295" s="31" t="n"/>
      <c r="G295" s="36" t="n"/>
      <c r="H295" s="31" t="n"/>
      <c r="I295" s="34" t="n"/>
      <c r="J295" s="35">
        <f>IF(B295="","",ROUND(SUMIFS(Ingredients!$G$6:$G$1005,Ingredients!$C$6:$C$1005,B295),2))</f>
        <v/>
      </c>
      <c r="K295" s="35">
        <f>IF(B295="","",MAX(0,ROUND(J295-N(H295),2)))</f>
        <v/>
      </c>
      <c r="L295" s="30">
        <f>IF(B295="","",IF(N(K295)=0,0,ROUNDUP(ROUND(K295/IF(N(F295)&gt;0,F295,1),6),0))+N(I295))</f>
        <v/>
      </c>
      <c r="M295" s="25">
        <f>IF(B295="","",L295*N(G295))</f>
        <v/>
      </c>
      <c r="N295" s="1">
        <f>IF(B295="","",N(G295)/IF(N(F295)&gt;0,F295,1))</f>
        <v/>
      </c>
      <c r="O295">
        <f>IF(OR(B295="",N(L295)=0),"",IFERROR(MATCH(D295,Settings!$B$6:$B$17,0),13)*1000+ROW())</f>
        <v/>
      </c>
    </row>
    <row r="296">
      <c r="A296" s="1" t="n"/>
      <c r="B296" s="32" t="n"/>
      <c r="C296" s="31" t="n"/>
      <c r="D296" s="33" t="n"/>
      <c r="E296" s="33" t="n"/>
      <c r="F296" s="31" t="n"/>
      <c r="G296" s="36" t="n"/>
      <c r="H296" s="31" t="n"/>
      <c r="I296" s="34" t="n"/>
      <c r="J296" s="35">
        <f>IF(B296="","",ROUND(SUMIFS(Ingredients!$G$6:$G$1005,Ingredients!$C$6:$C$1005,B296),2))</f>
        <v/>
      </c>
      <c r="K296" s="35">
        <f>IF(B296="","",MAX(0,ROUND(J296-N(H296),2)))</f>
        <v/>
      </c>
      <c r="L296" s="30">
        <f>IF(B296="","",IF(N(K296)=0,0,ROUNDUP(ROUND(K296/IF(N(F296)&gt;0,F296,1),6),0))+N(I296))</f>
        <v/>
      </c>
      <c r="M296" s="25">
        <f>IF(B296="","",L296*N(G296))</f>
        <v/>
      </c>
      <c r="N296" s="1">
        <f>IF(B296="","",N(G296)/IF(N(F296)&gt;0,F296,1))</f>
        <v/>
      </c>
      <c r="O296">
        <f>IF(OR(B296="",N(L296)=0),"",IFERROR(MATCH(D296,Settings!$B$6:$B$17,0),13)*1000+ROW())</f>
        <v/>
      </c>
    </row>
    <row r="297">
      <c r="A297" s="1" t="n"/>
      <c r="B297" s="32" t="n"/>
      <c r="C297" s="31" t="n"/>
      <c r="D297" s="33" t="n"/>
      <c r="E297" s="33" t="n"/>
      <c r="F297" s="31" t="n"/>
      <c r="G297" s="36" t="n"/>
      <c r="H297" s="31" t="n"/>
      <c r="I297" s="34" t="n"/>
      <c r="J297" s="35">
        <f>IF(B297="","",ROUND(SUMIFS(Ingredients!$G$6:$G$1005,Ingredients!$C$6:$C$1005,B297),2))</f>
        <v/>
      </c>
      <c r="K297" s="35">
        <f>IF(B297="","",MAX(0,ROUND(J297-N(H297),2)))</f>
        <v/>
      </c>
      <c r="L297" s="30">
        <f>IF(B297="","",IF(N(K297)=0,0,ROUNDUP(ROUND(K297/IF(N(F297)&gt;0,F297,1),6),0))+N(I297))</f>
        <v/>
      </c>
      <c r="M297" s="25">
        <f>IF(B297="","",L297*N(G297))</f>
        <v/>
      </c>
      <c r="N297" s="1">
        <f>IF(B297="","",N(G297)/IF(N(F297)&gt;0,F297,1))</f>
        <v/>
      </c>
      <c r="O297">
        <f>IF(OR(B297="",N(L297)=0),"",IFERROR(MATCH(D297,Settings!$B$6:$B$17,0),13)*1000+ROW())</f>
        <v/>
      </c>
    </row>
    <row r="298">
      <c r="A298" s="1" t="n"/>
      <c r="B298" s="32" t="n"/>
      <c r="C298" s="31" t="n"/>
      <c r="D298" s="33" t="n"/>
      <c r="E298" s="33" t="n"/>
      <c r="F298" s="31" t="n"/>
      <c r="G298" s="36" t="n"/>
      <c r="H298" s="31" t="n"/>
      <c r="I298" s="34" t="n"/>
      <c r="J298" s="35">
        <f>IF(B298="","",ROUND(SUMIFS(Ingredients!$G$6:$G$1005,Ingredients!$C$6:$C$1005,B298),2))</f>
        <v/>
      </c>
      <c r="K298" s="35">
        <f>IF(B298="","",MAX(0,ROUND(J298-N(H298),2)))</f>
        <v/>
      </c>
      <c r="L298" s="30">
        <f>IF(B298="","",IF(N(K298)=0,0,ROUNDUP(ROUND(K298/IF(N(F298)&gt;0,F298,1),6),0))+N(I298))</f>
        <v/>
      </c>
      <c r="M298" s="25">
        <f>IF(B298="","",L298*N(G298))</f>
        <v/>
      </c>
      <c r="N298" s="1">
        <f>IF(B298="","",N(G298)/IF(N(F298)&gt;0,F298,1))</f>
        <v/>
      </c>
      <c r="O298">
        <f>IF(OR(B298="",N(L298)=0),"",IFERROR(MATCH(D298,Settings!$B$6:$B$17,0),13)*1000+ROW())</f>
        <v/>
      </c>
    </row>
    <row r="299">
      <c r="A299" s="1" t="n"/>
      <c r="B299" s="32" t="n"/>
      <c r="C299" s="31" t="n"/>
      <c r="D299" s="33" t="n"/>
      <c r="E299" s="33" t="n"/>
      <c r="F299" s="31" t="n"/>
      <c r="G299" s="36" t="n"/>
      <c r="H299" s="31" t="n"/>
      <c r="I299" s="34" t="n"/>
      <c r="J299" s="35">
        <f>IF(B299="","",ROUND(SUMIFS(Ingredients!$G$6:$G$1005,Ingredients!$C$6:$C$1005,B299),2))</f>
        <v/>
      </c>
      <c r="K299" s="35">
        <f>IF(B299="","",MAX(0,ROUND(J299-N(H299),2)))</f>
        <v/>
      </c>
      <c r="L299" s="30">
        <f>IF(B299="","",IF(N(K299)=0,0,ROUNDUP(ROUND(K299/IF(N(F299)&gt;0,F299,1),6),0))+N(I299))</f>
        <v/>
      </c>
      <c r="M299" s="25">
        <f>IF(B299="","",L299*N(G299))</f>
        <v/>
      </c>
      <c r="N299" s="1">
        <f>IF(B299="","",N(G299)/IF(N(F299)&gt;0,F299,1))</f>
        <v/>
      </c>
      <c r="O299">
        <f>IF(OR(B299="",N(L299)=0),"",IFERROR(MATCH(D299,Settings!$B$6:$B$17,0),13)*1000+ROW())</f>
        <v/>
      </c>
    </row>
    <row r="300">
      <c r="A300" s="1" t="n"/>
      <c r="B300" s="32" t="n"/>
      <c r="C300" s="31" t="n"/>
      <c r="D300" s="33" t="n"/>
      <c r="E300" s="33" t="n"/>
      <c r="F300" s="31" t="n"/>
      <c r="G300" s="36" t="n"/>
      <c r="H300" s="31" t="n"/>
      <c r="I300" s="34" t="n"/>
      <c r="J300" s="35">
        <f>IF(B300="","",ROUND(SUMIFS(Ingredients!$G$6:$G$1005,Ingredients!$C$6:$C$1005,B300),2))</f>
        <v/>
      </c>
      <c r="K300" s="35">
        <f>IF(B300="","",MAX(0,ROUND(J300-N(H300),2)))</f>
        <v/>
      </c>
      <c r="L300" s="30">
        <f>IF(B300="","",IF(N(K300)=0,0,ROUNDUP(ROUND(K300/IF(N(F300)&gt;0,F300,1),6),0))+N(I300))</f>
        <v/>
      </c>
      <c r="M300" s="25">
        <f>IF(B300="","",L300*N(G300))</f>
        <v/>
      </c>
      <c r="N300" s="1">
        <f>IF(B300="","",N(G300)/IF(N(F300)&gt;0,F300,1))</f>
        <v/>
      </c>
      <c r="O300">
        <f>IF(OR(B300="",N(L300)=0),"",IFERROR(MATCH(D300,Settings!$B$6:$B$17,0),13)*1000+ROW())</f>
        <v/>
      </c>
    </row>
    <row r="301">
      <c r="A301" s="1" t="n"/>
      <c r="B301" s="32" t="n"/>
      <c r="C301" s="31" t="n"/>
      <c r="D301" s="33" t="n"/>
      <c r="E301" s="33" t="n"/>
      <c r="F301" s="31" t="n"/>
      <c r="G301" s="36" t="n"/>
      <c r="H301" s="31" t="n"/>
      <c r="I301" s="34" t="n"/>
      <c r="J301" s="35">
        <f>IF(B301="","",ROUND(SUMIFS(Ingredients!$G$6:$G$1005,Ingredients!$C$6:$C$1005,B301),2))</f>
        <v/>
      </c>
      <c r="K301" s="35">
        <f>IF(B301="","",MAX(0,ROUND(J301-N(H301),2)))</f>
        <v/>
      </c>
      <c r="L301" s="30">
        <f>IF(B301="","",IF(N(K301)=0,0,ROUNDUP(ROUND(K301/IF(N(F301)&gt;0,F301,1),6),0))+N(I301))</f>
        <v/>
      </c>
      <c r="M301" s="25">
        <f>IF(B301="","",L301*N(G301))</f>
        <v/>
      </c>
      <c r="N301" s="1">
        <f>IF(B301="","",N(G301)/IF(N(F301)&gt;0,F301,1))</f>
        <v/>
      </c>
      <c r="O301">
        <f>IF(OR(B301="",N(L301)=0),"",IFERROR(MATCH(D301,Settings!$B$6:$B$17,0),13)*1000+ROW())</f>
        <v/>
      </c>
    </row>
    <row r="302">
      <c r="A302" s="1" t="n"/>
      <c r="B302" s="32" t="n"/>
      <c r="C302" s="31" t="n"/>
      <c r="D302" s="33" t="n"/>
      <c r="E302" s="33" t="n"/>
      <c r="F302" s="31" t="n"/>
      <c r="G302" s="36" t="n"/>
      <c r="H302" s="31" t="n"/>
      <c r="I302" s="34" t="n"/>
      <c r="J302" s="35">
        <f>IF(B302="","",ROUND(SUMIFS(Ingredients!$G$6:$G$1005,Ingredients!$C$6:$C$1005,B302),2))</f>
        <v/>
      </c>
      <c r="K302" s="35">
        <f>IF(B302="","",MAX(0,ROUND(J302-N(H302),2)))</f>
        <v/>
      </c>
      <c r="L302" s="30">
        <f>IF(B302="","",IF(N(K302)=0,0,ROUNDUP(ROUND(K302/IF(N(F302)&gt;0,F302,1),6),0))+N(I302))</f>
        <v/>
      </c>
      <c r="M302" s="25">
        <f>IF(B302="","",L302*N(G302))</f>
        <v/>
      </c>
      <c r="N302" s="1">
        <f>IF(B302="","",N(G302)/IF(N(F302)&gt;0,F302,1))</f>
        <v/>
      </c>
      <c r="O302">
        <f>IF(OR(B302="",N(L302)=0),"",IFERROR(MATCH(D302,Settings!$B$6:$B$17,0),13)*1000+ROW())</f>
        <v/>
      </c>
    </row>
    <row r="303">
      <c r="A303" s="1" t="n"/>
      <c r="B303" s="32" t="n"/>
      <c r="C303" s="31" t="n"/>
      <c r="D303" s="33" t="n"/>
      <c r="E303" s="33" t="n"/>
      <c r="F303" s="31" t="n"/>
      <c r="G303" s="36" t="n"/>
      <c r="H303" s="31" t="n"/>
      <c r="I303" s="34" t="n"/>
      <c r="J303" s="35">
        <f>IF(B303="","",ROUND(SUMIFS(Ingredients!$G$6:$G$1005,Ingredients!$C$6:$C$1005,B303),2))</f>
        <v/>
      </c>
      <c r="K303" s="35">
        <f>IF(B303="","",MAX(0,ROUND(J303-N(H303),2)))</f>
        <v/>
      </c>
      <c r="L303" s="30">
        <f>IF(B303="","",IF(N(K303)=0,0,ROUNDUP(ROUND(K303/IF(N(F303)&gt;0,F303,1),6),0))+N(I303))</f>
        <v/>
      </c>
      <c r="M303" s="25">
        <f>IF(B303="","",L303*N(G303))</f>
        <v/>
      </c>
      <c r="N303" s="1">
        <f>IF(B303="","",N(G303)/IF(N(F303)&gt;0,F303,1))</f>
        <v/>
      </c>
      <c r="O303">
        <f>IF(OR(B303="",N(L303)=0),"",IFERROR(MATCH(D303,Settings!$B$6:$B$17,0),13)*1000+ROW())</f>
        <v/>
      </c>
    </row>
    <row r="304">
      <c r="A304" s="1" t="n"/>
      <c r="B304" s="32" t="n"/>
      <c r="C304" s="31" t="n"/>
      <c r="D304" s="33" t="n"/>
      <c r="E304" s="33" t="n"/>
      <c r="F304" s="31" t="n"/>
      <c r="G304" s="36" t="n"/>
      <c r="H304" s="31" t="n"/>
      <c r="I304" s="34" t="n"/>
      <c r="J304" s="35">
        <f>IF(B304="","",ROUND(SUMIFS(Ingredients!$G$6:$G$1005,Ingredients!$C$6:$C$1005,B304),2))</f>
        <v/>
      </c>
      <c r="K304" s="35">
        <f>IF(B304="","",MAX(0,ROUND(J304-N(H304),2)))</f>
        <v/>
      </c>
      <c r="L304" s="30">
        <f>IF(B304="","",IF(N(K304)=0,0,ROUNDUP(ROUND(K304/IF(N(F304)&gt;0,F304,1),6),0))+N(I304))</f>
        <v/>
      </c>
      <c r="M304" s="25">
        <f>IF(B304="","",L304*N(G304))</f>
        <v/>
      </c>
      <c r="N304" s="1">
        <f>IF(B304="","",N(G304)/IF(N(F304)&gt;0,F304,1))</f>
        <v/>
      </c>
      <c r="O304">
        <f>IF(OR(B304="",N(L304)=0),"",IFERROR(MATCH(D304,Settings!$B$6:$B$17,0),13)*1000+ROW())</f>
        <v/>
      </c>
    </row>
    <row r="305">
      <c r="A305" s="1" t="n"/>
      <c r="B305" s="32" t="n"/>
      <c r="C305" s="31" t="n"/>
      <c r="D305" s="33" t="n"/>
      <c r="E305" s="33" t="n"/>
      <c r="F305" s="31" t="n"/>
      <c r="G305" s="36" t="n"/>
      <c r="H305" s="31" t="n"/>
      <c r="I305" s="34" t="n"/>
      <c r="J305" s="35">
        <f>IF(B305="","",ROUND(SUMIFS(Ingredients!$G$6:$G$1005,Ingredients!$C$6:$C$1005,B305),2))</f>
        <v/>
      </c>
      <c r="K305" s="35">
        <f>IF(B305="","",MAX(0,ROUND(J305-N(H305),2)))</f>
        <v/>
      </c>
      <c r="L305" s="30">
        <f>IF(B305="","",IF(N(K305)=0,0,ROUNDUP(ROUND(K305/IF(N(F305)&gt;0,F305,1),6),0))+N(I305))</f>
        <v/>
      </c>
      <c r="M305" s="25">
        <f>IF(B305="","",L305*N(G305))</f>
        <v/>
      </c>
      <c r="N305" s="1">
        <f>IF(B305="","",N(G305)/IF(N(F305)&gt;0,F305,1))</f>
        <v/>
      </c>
      <c r="O305">
        <f>IF(OR(B305="",N(L305)=0),"",IFERROR(MATCH(D305,Settings!$B$6:$B$17,0),13)*1000+ROW())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</sheetData>
  <conditionalFormatting sqref="L6:M305">
    <cfRule type="expression" priority="1" dxfId="2">
      <formula>N($L6)&gt;0</formula>
    </cfRule>
  </conditionalFormatting>
  <dataValidations count="1">
    <dataValidation sqref="D6:D305" showDropDown="0" showInputMessage="0" showErrorMessage="0" allowBlank="1" type="list">
      <formula1>=Settings!$B$6:$B$17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60" customWidth="1" min="4" max="4"/>
  </cols>
  <sheetData>
    <row r="1">
      <c r="A1" s="1" t="n"/>
      <c r="B1" s="1" t="n"/>
      <c r="C1" s="1" t="n"/>
      <c r="D1" s="1" t="n"/>
      <c r="E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</row>
    <row r="3">
      <c r="A3" s="1" t="n"/>
      <c r="B3" s="3" t="inlineStr">
        <is>
          <t>Store sections in the order you walk through the store. The grocery list follows it.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 ht="30" customHeight="1">
      <c r="A5" s="1" t="n"/>
      <c r="B5" s="7" t="inlineStr">
        <is>
          <t>Store sections, in order</t>
        </is>
      </c>
      <c r="C5" s="1" t="n"/>
      <c r="D5" s="1" t="n"/>
      <c r="E5" s="1" t="n"/>
    </row>
    <row r="6">
      <c r="A6" s="1" t="n"/>
      <c r="B6" s="33" t="inlineStr">
        <is>
          <t>Fruit and vegetables</t>
        </is>
      </c>
      <c r="C6" s="1" t="n"/>
      <c r="D6" s="6" t="inlineStr">
        <is>
          <t>Rename them or change the order to match your store. Items with no section go last.</t>
        </is>
      </c>
      <c r="E6" s="1" t="n"/>
    </row>
    <row r="7">
      <c r="A7" s="1" t="n"/>
      <c r="B7" s="33" t="inlineStr">
        <is>
          <t>Bread and bakery</t>
        </is>
      </c>
      <c r="C7" s="1" t="n"/>
      <c r="D7" s="1" t="n"/>
      <c r="E7" s="1" t="n"/>
    </row>
    <row r="8">
      <c r="A8" s="1" t="n"/>
      <c r="B8" s="33" t="inlineStr">
        <is>
          <t>Meat and fish</t>
        </is>
      </c>
      <c r="C8" s="1" t="n"/>
      <c r="D8" s="1" t="n"/>
      <c r="E8" s="1" t="n"/>
    </row>
    <row r="9">
      <c r="A9" s="1" t="n"/>
      <c r="B9" s="33" t="inlineStr">
        <is>
          <t>Dairy and eggs</t>
        </is>
      </c>
      <c r="C9" s="1" t="n"/>
      <c r="D9" s="1" t="n"/>
      <c r="E9" s="1" t="n"/>
    </row>
    <row r="10">
      <c r="A10" s="1" t="n"/>
      <c r="B10" s="33" t="inlineStr">
        <is>
          <t>Pasta, rice and grains</t>
        </is>
      </c>
      <c r="C10" s="1" t="n"/>
      <c r="D10" s="1" t="n"/>
      <c r="E10" s="1" t="n"/>
    </row>
    <row r="11">
      <c r="A11" s="1" t="n"/>
      <c r="B11" s="33" t="inlineStr">
        <is>
          <t>Cans and jars</t>
        </is>
      </c>
      <c r="C11" s="1" t="n"/>
      <c r="D11" s="1" t="n"/>
      <c r="E11" s="1" t="n"/>
    </row>
    <row r="12">
      <c r="A12" s="1" t="n"/>
      <c r="B12" s="33" t="inlineStr">
        <is>
          <t>Sauces and oils</t>
        </is>
      </c>
      <c r="C12" s="1" t="n"/>
      <c r="D12" s="1" t="n"/>
      <c r="E12" s="1" t="n"/>
    </row>
    <row r="13">
      <c r="A13" s="1" t="n"/>
      <c r="B13" s="33" t="inlineStr">
        <is>
          <t>Spices and baking</t>
        </is>
      </c>
      <c r="C13" s="1" t="n"/>
      <c r="D13" s="1" t="n"/>
      <c r="E13" s="1" t="n"/>
    </row>
    <row r="14">
      <c r="A14" s="1" t="n"/>
      <c r="B14" s="33" t="inlineStr">
        <is>
          <t>Frozen</t>
        </is>
      </c>
      <c r="C14" s="1" t="n"/>
      <c r="D14" s="1" t="n"/>
      <c r="E14" s="1" t="n"/>
    </row>
    <row r="15">
      <c r="A15" s="1" t="n"/>
      <c r="B15" s="33" t="inlineStr">
        <is>
          <t>Snacks and drinks</t>
        </is>
      </c>
      <c r="C15" s="1" t="n"/>
      <c r="D15" s="1" t="n"/>
      <c r="E15" s="1" t="n"/>
    </row>
    <row r="16">
      <c r="A16" s="1" t="n"/>
      <c r="B16" s="33" t="inlineStr">
        <is>
          <t>Household</t>
        </is>
      </c>
      <c r="C16" s="1" t="n"/>
      <c r="D16" s="1" t="n"/>
      <c r="E16" s="1" t="n"/>
    </row>
    <row r="17">
      <c r="A17" s="1" t="n"/>
      <c r="B17" s="33" t="inlineStr">
        <is>
          <t>Other</t>
        </is>
      </c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7" t="inlineStr">
        <is>
          <t>1</t>
        </is>
      </c>
      <c r="C5" s="38" t="inlineStr">
        <is>
          <t>Pantry: the foods you buy, the unit you cook with, the store section, the pack you buy and its price.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7" t="inlineStr">
        <is>
          <t>2</t>
        </is>
      </c>
      <c r="C7" s="38" t="inlineStr">
        <is>
          <t>Recipes: one line per recipe, with how many people it serves.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7" t="inlineStr">
        <is>
          <t>3</t>
        </is>
      </c>
      <c r="C9" s="38" t="inlineStr">
        <is>
          <t>Ingredients: one line per ingredient of each recipe, in the unit the Pantry uses.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7" t="inlineStr">
        <is>
          <t>4</t>
        </is>
      </c>
      <c r="C11" s="38" t="inlineStr">
        <is>
          <t>Week plan: type the first day and the number of people each day, then pick a recipe for each meal.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7" t="inlineStr">
        <is>
          <t>5</t>
        </is>
      </c>
      <c r="C13" s="38" t="inlineStr">
        <is>
          <t>Before you shop, fill in what you have at home on the Pantry tab. The Grocery list does the rest.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Cooking once and eating it twice? Put the recipe on both days. The list buys enough for both.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Anything you type that is not a recipe, like Eating out, adds nothing to the list.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Extra packs on the Pantry tab add things you buy anyway, like coffee or dish soap.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The example recipes, pantry and plan show how it works. Replace them with your own.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3" t="inlineStr">
        <is>
          <t>Works in Google Sheets and Microsoft Excel, in any currency and any unit.</t>
        </is>
      </c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2026-09-28T11:55:54Z</dcterms:created>
  <dcterms:modified xsi:type="dcterms:W3CDTF">2026-09-28T11:55:55Z</dcterms:modified>
</cp:coreProperties>
</file>